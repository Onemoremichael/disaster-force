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bf14030f1144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ion" sheetId="1" r:id="Ra5249dc4a6424f6d"/>
    <x:sheet xmlns:r="http://schemas.openxmlformats.org/officeDocument/2006/relationships" name="Controls" sheetId="2" r:id="R396741cb48f9464c"/>
    <x:sheet xmlns:r="http://schemas.openxmlformats.org/officeDocument/2006/relationships" name="Architecture Choice" sheetId="3" r:id="R3945a59027604bf3"/>
    <x:sheet xmlns:r="http://schemas.openxmlformats.org/officeDocument/2006/relationships" name="Constitutional Roles" sheetId="4" r:id="R8040426b0dad44ed"/>
    <x:sheet xmlns:r="http://schemas.openxmlformats.org/officeDocument/2006/relationships" name="Campaign Cohorts" sheetId="5" r:id="Rad77b861bd614fa7"/>
    <x:sheet xmlns:r="http://schemas.openxmlformats.org/officeDocument/2006/relationships" name="Station Topology" sheetId="6" r:id="R1e0c77e2d5364d08"/>
    <x:sheet xmlns:r="http://schemas.openxmlformats.org/officeDocument/2006/relationships" name="Lane Assignments" sheetId="7" r:id="Rcff74e13f6514f3d"/>
    <x:sheet xmlns:r="http://schemas.openxmlformats.org/officeDocument/2006/relationships" name="Independence Matrix" sheetId="8" r:id="Rf1ee8324efee4a96"/>
    <x:sheet xmlns:r="http://schemas.openxmlformats.org/officeDocument/2006/relationships" name="Authority Build" sheetId="9" r:id="R34b941071566430d"/>
    <x:sheet xmlns:r="http://schemas.openxmlformats.org/officeDocument/2006/relationships" name="Stage Releases" sheetId="10" r:id="R8fe490ea0ba04145"/>
    <x:sheet xmlns:r="http://schemas.openxmlformats.org/officeDocument/2006/relationships" name="Event Capacity" sheetId="11" r:id="Re75350d3a93444b6"/>
    <x:sheet xmlns:r="http://schemas.openxmlformats.org/officeDocument/2006/relationships" name="Disposition Pipeline" sheetId="12" r:id="Rbdf48c683f654265"/>
    <x:sheet xmlns:r="http://schemas.openxmlformats.org/officeDocument/2006/relationships" name="System Barriers" sheetId="13" r:id="Re89f5e6ba6064a33"/>
    <x:sheet xmlns:r="http://schemas.openxmlformats.org/officeDocument/2006/relationships" name="Portfolio Return" sheetId="14" r:id="Rff5b1c98d7454c83"/>
    <x:sheet xmlns:r="http://schemas.openxmlformats.org/officeDocument/2006/relationships" name="Technology Program" sheetId="15" r:id="Ref316a9069334dc1"/>
    <x:sheet xmlns:r="http://schemas.openxmlformats.org/officeDocument/2006/relationships" name="Audits" sheetId="16" r:id="Rdd0133c8517a4214"/>
    <x:sheet xmlns:r="http://schemas.openxmlformats.org/officeDocument/2006/relationships" name="Sources" sheetId="17" r:id="Rbda01e68efab4753"/>
    <x:sheet xmlns:r="http://schemas.openxmlformats.org/officeDocument/2006/relationships" name="Read Me" sheetId="18" r:id="R875f1291469f4a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"/>
    <x:numFmt numFmtId="201" formatCode="$#,##0.0"/>
    <x:numFmt numFmtId="202" formatCode="0%"/>
    <x:numFmt numFmtId="203" formatCode="0"/>
    <x:numFmt numFmtId="204" formatCode="$#,##0.00"/>
  </x:numFmts>
  <x:fonts count="7">
    <x:font>
      <x:sz val="11"/>
      <x:name val="Carlito"/>
    </x:font>
    <x:font>
      <x:sz val="10"/>
      <x:color rgb="FF243447"/>
      <x:name val="Arial"/>
    </x:font>
    <x:font>
      <x:b/>
      <x:sz val="15"/>
      <x:color rgb="FF17324D"/>
      <x:name val="Arial"/>
    </x:font>
    <x:font>
      <x:i/>
      <x:sz val="9"/>
      <x:color rgb="FF657786"/>
      <x:name val="Arial"/>
    </x:font>
    <x:font>
      <x:b/>
      <x:sz val="10"/>
      <x:color rgb="FF17324D"/>
      <x:name val="Arial"/>
    </x:font>
    <x:font>
      <x:b/>
      <x:sz val="10"/>
      <x:color rgb="FFFFFFFF"/>
      <x:name val="Arial"/>
    </x:font>
    <x:font>
      <x:sz val="10"/>
      <x:color rgb="FF0070C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DCE6F1"/>
      </x:patternFill>
    </x:fill>
    <x:fill>
      <x:patternFill patternType="solid">
        <x:fgColor rgb="FF17324D"/>
      </x:patternFill>
    </x:fill>
    <x:fill>
      <x:patternFill patternType="solid">
        <x:fgColor rgb="FFFFF2CC"/>
      </x:patternFill>
    </x:fill>
  </x:fills>
  <x:borders count="6">
    <x:border/>
    <x:border>
      <x:bottom style="thin">
        <x:color rgb="FFB4C7DC"/>
      </x:bottom>
    </x:border>
    <x:border>
      <x:bottom style="thin">
        <x:color rgb="FFD9E2F3"/>
      </x:bottom>
    </x:border>
    <x:border>
      <x:right style="thin">
        <x:color rgb="FFFFFFFF"/>
      </x:right>
    </x:border>
    <x:border>
      <x:left style="thin">
        <x:color rgb="FFFFFFFF"/>
      </x:left>
    </x:border>
    <x:border>
      <x:left style="thin">
        <x:color rgb="FFFFFFFF"/>
      </x:left>
      <x:right style="thin">
        <x:color rgb="FFFFFFFF"/>
      </x:right>
    </x:border>
  </x:borders>
  <x:cellStyleXfs count="1">
    <x:xf numFmtId="0" fontId="0" fillId="0" borderId="0"/>
  </x:cellStyleXfs>
  <x:cellXfs count="5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1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3" xfId="0" applyNumberFormat="1" applyFont="1" applyFill="1" applyBorder="1"/>
    <x:xf numFmtId="0" fontId="5" fillId="3" borderId="4" xfId="0" applyNumberFormat="1" applyFont="1" applyFill="1" applyBorder="1"/>
    <x:xf numFmtId="0" fontId="5" fillId="3" borderId="3" xfId="0" applyNumberFormat="1" applyFont="1" applyFill="1" applyBorder="1" applyAlignment="1">
      <x:alignment wrapText="1"/>
    </x:xf>
    <x:xf numFmtId="0" fontId="5" fillId="3" borderId="4" xfId="0" applyNumberFormat="1" applyFont="1" applyFill="1" applyBorder="1" applyAlignment="1">
      <x:alignment wrapText="1"/>
    </x:xf>
    <x:xf numFmtId="0" fontId="5" fillId="3" borderId="3" xfId="0" applyNumberFormat="1" applyFont="1" applyFill="1" applyBorder="1" applyAlignment="1">
      <x:alignment horizontal="center" wrapText="1"/>
    </x:xf>
    <x:xf numFmtId="0" fontId="5" fillId="3" borderId="4" xfId="0" applyNumberFormat="1" applyFont="1" applyFill="1" applyBorder="1" applyAlignment="1">
      <x:alignment horizontal="center" wrapText="1"/>
    </x:xf>
    <x:xf numFmtId="0" fontId="5" fillId="3" borderId="3" xfId="0" applyNumberFormat="1" applyFont="1" applyFill="1" applyBorder="1" applyAlignment="1">
      <x:alignment horizontal="center" vertical="center" wrapText="1"/>
    </x:xf>
    <x:xf numFmtId="0" fontId="5" fillId="3" borderId="4" xfId="0" applyNumberFormat="1" applyFont="1" applyFill="1" applyBorder="1" applyAlignment="1">
      <x:alignment horizontal="center" vertical="center" wrapText="1"/>
    </x:xf>
    <x:xf numFmtId="201" fontId="1" fillId="0" borderId="2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/>
    <x:xf numFmtId="0" fontId="5" fillId="3" borderId="5" xfId="0" applyNumberFormat="1" applyFont="1" applyFill="1" applyBorder="1" applyAlignment="1">
      <x:alignment wrapText="1"/>
    </x:xf>
    <x:xf numFmtId="0" fontId="5" fillId="3" borderId="5" xfId="0" applyNumberFormat="1" applyFont="1" applyFill="1" applyBorder="1" applyAlignment="1">
      <x:alignment horizontal="center" wrapText="1"/>
    </x:xf>
    <x:xf numFmtId="0" fontId="5" fillId="3" borderId="5" xfId="0" applyNumberFormat="1" applyFont="1" applyFill="1" applyBorder="1" applyAlignment="1">
      <x:alignment horizontal="center" vertical="center" wrapText="1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0" borderId="2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/>
    <x:xf numFmtId="0" fontId="6" fillId="4" borderId="0" xfId="0" applyNumberFormat="1" applyFont="1" applyFill="1" applyBorder="1"/>
    <x:xf numFmtId="204" fontId="1" fillId="0" borderId="0" xfId="0" applyNumberFormat="1" applyFont="1" applyFill="1" applyBorder="1" applyAlignment="1">
      <x:alignment vertical="center"/>
    </x:xf>
    <x:xf numFmtId="204" fontId="1" fillId="0" borderId="2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2" xfId="0" applyNumberFormat="1" applyFont="1" applyFill="1" applyBorder="1" applyAlignment="1">
      <x:alignment vertical="center"/>
    </x:xf>
    <x:xf numFmtId="202" fontId="1" fillId="0" borderId="2" xfId="0" applyNumberFormat="1" applyFont="1" applyFill="1" applyBorder="1" applyAlignment="1">
      <x:alignment vertical="center"/>
    </x:xf>
    <x:xf numFmtId="202" fontId="4" fillId="2" borderId="1" xfId="0" applyNumberFormat="1" applyFont="1" applyFill="1" applyBorder="1"/>
    <x:xf numFmtId="204" fontId="4" fillId="2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202" fontId="4" fillId="2" borderId="1" xfId="0" applyNumberFormat="1" applyFont="1" applyFill="1" applyBorder="1" applyAlignment="1">
      <x:alignment vertical="center"/>
    </x:xf>
    <x:xf numFmtId="204" fontId="4" fillId="2" borderId="1" xfId="0" applyNumberFormat="1" applyFont="1" applyFill="1" applyBorder="1" applyAlignment="1">
      <x:alignment vertical="center"/>
    </x:xf>
  </x:cellXfs>
  <x:cellStyles count="1">
    <x:cellStyle name="Normal" xfId="0"/>
  </x:cellStyles>
  <x:dxfs count="44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8e15609ff742e4" /><Relationship Type="http://schemas.openxmlformats.org/officeDocument/2006/relationships/theme" Target="/xl/theme/theme1.xml" Id="Rd4afea7d84a34c8c" /><Relationship Type="http://schemas.openxmlformats.org/officeDocument/2006/relationships/sharedStrings" Target="/xl/sharedStrings.xml" Id="R945e4d9057fb4da1" /><Relationship Type="http://schemas.openxmlformats.org/officeDocument/2006/relationships/worksheet" Target="/xl/worksheets/sheet1.xml" Id="Ra5249dc4a6424f6d" /><Relationship Type="http://schemas.openxmlformats.org/officeDocument/2006/relationships/worksheet" Target="/xl/worksheets/sheet2.xml" Id="R396741cb48f9464c" /><Relationship Type="http://schemas.openxmlformats.org/officeDocument/2006/relationships/worksheet" Target="/xl/worksheets/sheet3.xml" Id="R3945a59027604bf3" /><Relationship Type="http://schemas.openxmlformats.org/officeDocument/2006/relationships/worksheet" Target="/xl/worksheets/sheet4.xml" Id="R8040426b0dad44ed" /><Relationship Type="http://schemas.openxmlformats.org/officeDocument/2006/relationships/worksheet" Target="/xl/worksheets/sheet5.xml" Id="Rad77b861bd614fa7" /><Relationship Type="http://schemas.openxmlformats.org/officeDocument/2006/relationships/worksheet" Target="/xl/worksheets/sheet6.xml" Id="R1e0c77e2d5364d08" /><Relationship Type="http://schemas.openxmlformats.org/officeDocument/2006/relationships/worksheet" Target="/xl/worksheets/sheet7.xml" Id="Rcff74e13f6514f3d" /><Relationship Type="http://schemas.openxmlformats.org/officeDocument/2006/relationships/worksheet" Target="/xl/worksheets/sheet8.xml" Id="Rf1ee8324efee4a96" /><Relationship Type="http://schemas.openxmlformats.org/officeDocument/2006/relationships/worksheet" Target="/xl/worksheets/sheet9.xml" Id="R34b941071566430d" /><Relationship Type="http://schemas.openxmlformats.org/officeDocument/2006/relationships/worksheet" Target="/xl/worksheets/sheet10.xml" Id="R8fe490ea0ba04145" /><Relationship Type="http://schemas.openxmlformats.org/officeDocument/2006/relationships/worksheet" Target="/xl/worksheets/sheet11.xml" Id="Re75350d3a93444b6" /><Relationship Type="http://schemas.openxmlformats.org/officeDocument/2006/relationships/worksheet" Target="/xl/worksheets/sheet12.xml" Id="Rbdf48c683f654265" /><Relationship Type="http://schemas.openxmlformats.org/officeDocument/2006/relationships/worksheet" Target="/xl/worksheets/sheet13.xml" Id="Re89f5e6ba6064a33" /><Relationship Type="http://schemas.openxmlformats.org/officeDocument/2006/relationships/worksheet" Target="/xl/worksheets/sheet14.xml" Id="Rff5b1c98d7454c83" /><Relationship Type="http://schemas.openxmlformats.org/officeDocument/2006/relationships/worksheet" Target="/xl/worksheets/sheet15.xml" Id="Ref316a9069334dc1" /><Relationship Type="http://schemas.openxmlformats.org/officeDocument/2006/relationships/worksheet" Target="/xl/worksheets/sheet16.xml" Id="Rdd0133c8517a4214" /><Relationship Type="http://schemas.openxmlformats.org/officeDocument/2006/relationships/worksheet" Target="/xl/worksheets/sheet17.xml" Id="Rbda01e68efab4753" /><Relationship Type="http://schemas.openxmlformats.org/officeDocument/2006/relationships/worksheet" Target="/xl/worksheets/sheet18.xml" Id="R875f1291469f4a3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19c6bb4656c418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Early authority by jurisdiction (USD B)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USD B</c:v>
          </c:tx>
          <c:cat>
            <c:strRef>
              <c:f>'Decision'!$C$23:$C$26</c:f>
              <c:strCache>
                <c:ptCount val="0"/>
              </c:strCache>
            </c:strRef>
          </c:cat>
          <c:val>
            <c:numRef>
              <c:f>'Decision'!$D$23:$D$26</c:f>
              <c:numCache>
                <c:formatCode>$#,##0.0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21</xdr:row>
      <xdr:rowOff>0</xdr:rowOff>
    </xdr:from>
    <xdr:to>
      <xdr:col>17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19c6bb4656c418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88df926577e4a97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3" max="3" width="28" hidden="0" customWidth="1"/>
    <x:col min="4" max="4" width="30" hidden="0" customWidth="1"/>
    <x:col min="5" max="5" width="18" hidden="0" customWidth="1"/>
    <x:col min="6" max="6" width="28" hidden="0" customWidth="1"/>
    <x:col min="7" max="7" width="18" hidden="0" customWidth="1"/>
    <x:col min="8" max="8" width="19" hidden="0" customWidth="1"/>
    <x:col min="9" max="9" width="3" hidden="0" customWidth="1"/>
    <x:col min="10" max="10" width="3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47"/>
      <x:c r="S1" s="47"/>
      <x:c r="T1" s="47"/>
      <x:c r="U1" s="47"/>
      <x:c r="V1" s="47"/>
      <x:c r="W1" s="47"/>
      <x:c r="X1" s="47"/>
      <x:c r="Y1" s="47"/>
      <x:c r="Z1" s="47"/>
    </x:row>
    <x:row r="2">
      <x:c r="C2" s="48" t="str">
        <x:v>Resilience Proving Service return</x:v>
      </x:c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47"/>
      <x:c r="S2" s="47"/>
      <x:c r="T2" s="47"/>
      <x:c r="U2" s="47"/>
      <x:c r="V2" s="47"/>
      <x:c r="W2" s="47"/>
      <x:c r="X2" s="47"/>
      <x:c r="Y2" s="47"/>
      <x:c r="Z2" s="47"/>
    </x:row>
    <x:row r="3">
      <x:c r="C3" s="49" t="str">
        <x:v>The synchronized paper branch ends here. A sovereign proving service receives the executable law; no physical result or procurement authority is admitted.</x:v>
      </x:c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  <x:c r="R3" s="47"/>
      <x:c r="S3" s="47"/>
      <x:c r="T3" s="47"/>
      <x:c r="U3" s="47"/>
      <x:c r="V3" s="47"/>
      <x:c r="W3" s="47"/>
      <x:c r="X3" s="47"/>
      <x:c r="Y3" s="47"/>
      <x:c r="Z3" s="47"/>
    </x:row>
    <x:row r="4">
      <x:c r="C4" s="50"/>
      <x:c r="D4" s="50"/>
      <x:c r="E4" s="50"/>
      <x:c r="F4" s="50"/>
      <x:c r="G4" s="50"/>
      <x:c r="H4" s="50"/>
      <x:c r="I4" s="50"/>
      <x:c r="J4" s="50"/>
      <x:c r="K4" s="50"/>
      <x:c r="L4" s="50"/>
      <x:c r="M4" s="50"/>
      <x:c r="N4" s="50"/>
      <x:c r="O4" s="50"/>
      <x:c r="P4" s="50"/>
      <x:c r="Q4" s="50"/>
      <x:c r="R4" s="51"/>
      <x:c r="S4" s="51"/>
      <x:c r="T4" s="51"/>
      <x:c r="U4" s="51"/>
      <x:c r="V4" s="51"/>
      <x:c r="W4" s="51"/>
      <x:c r="X4" s="51"/>
      <x:c r="Y4" s="51"/>
      <x:c r="Z4" s="51"/>
    </x:row>
    <x:row r="5">
      <x:c r="C5" s="9"/>
      <x:c r="D5" s="9"/>
      <x:c r="E5" s="9"/>
      <x:c r="F5" s="9"/>
      <x:c r="G5" s="9"/>
      <x:c r="H5" s="9"/>
      <x:c r="I5" s="9"/>
      <x:c r="J5" s="9"/>
      <x:c r="K5" s="9"/>
      <x:c r="L5" s="9"/>
      <x:c r="M5" s="9"/>
      <x:c r="N5" s="9"/>
      <x:c r="O5" s="9"/>
      <x:c r="P5" s="9"/>
      <x:c r="Q5" s="9"/>
      <x:c r="R5" s="47"/>
      <x:c r="S5" s="47"/>
      <x:c r="T5" s="47"/>
      <x:c r="U5" s="47"/>
      <x:c r="V5" s="47"/>
      <x:c r="W5" s="47"/>
      <x:c r="X5" s="47"/>
      <x:c r="Y5" s="47"/>
      <x:c r="Z5" s="47"/>
    </x:row>
    <x:row r="6">
      <x:c r="C6" s="52" t="str">
        <x:v>Terminal branch decision</x:v>
      </x:c>
      <x:c r="D6" s="52"/>
      <x:c r="E6" s="52"/>
      <x:c r="F6" s="52"/>
      <x:c r="G6" s="52"/>
      <x:c r="H6" s="52"/>
      <x:c r="I6" s="9"/>
      <x:c r="J6" s="9"/>
      <x:c r="K6" s="9"/>
      <x:c r="L6" s="9"/>
      <x:c r="M6" s="9"/>
      <x:c r="N6" s="9"/>
      <x:c r="O6" s="9"/>
      <x:c r="P6" s="9"/>
      <x:c r="Q6" s="9"/>
      <x:c r="R6" s="47"/>
      <x:c r="S6" s="47"/>
      <x:c r="T6" s="47"/>
      <x:c r="U6" s="47"/>
      <x:c r="V6" s="47"/>
      <x:c r="W6" s="47"/>
      <x:c r="X6" s="47"/>
      <x:c r="Y6" s="47"/>
      <x:c r="Z6" s="47"/>
    </x:row>
    <x:row r="7">
      <x:c r="C7" s="11" t="str">
        <x:v>Verdict</x:v>
      </x:c>
      <x:c r="D7" s="9" t="str">
        <x:v>RETURN</x:v>
      </x:c>
      <x:c r="E7" s="9" t="str">
        <x:v>Branch</x:v>
      </x:c>
      <x:c r="F7" s="9" t="str">
        <x:v>C3-SPW</x:v>
      </x:c>
      <x:c r="G7" s="9" t="str">
        <x:v>Pass</x:v>
      </x:c>
      <x:c r="H7" s="9" t="n">
        <x:v>5</x:v>
      </x:c>
      <x:c r="I7" s="9"/>
      <x:c r="J7" s="9"/>
      <x:c r="K7" s="9"/>
      <x:c r="L7" s="9"/>
      <x:c r="M7" s="9"/>
      <x:c r="N7" s="9"/>
      <x:c r="O7" s="9"/>
      <x:c r="P7" s="9"/>
      <x:c r="Q7" s="9"/>
      <x:c r="R7" s="47"/>
      <x:c r="S7" s="47"/>
      <x:c r="T7" s="47"/>
      <x:c r="U7" s="47"/>
      <x:c r="V7" s="47"/>
      <x:c r="W7" s="47"/>
      <x:c r="X7" s="47"/>
      <x:c r="Y7" s="47"/>
      <x:c r="Z7" s="47"/>
    </x:row>
    <x:row r="8" ht="40" customHeight="1">
      <x:c r="C8" s="11" t="str">
        <x:v>Returned parent</x:v>
      </x:c>
      <x:c r="D8" s="13" t="str">
        <x:v>Department-level industrial execution</x:v>
      </x:c>
      <x:c r="E8" s="9" t="str">
        <x:v>Selected institution</x:v>
      </x:c>
      <x:c r="F8" s="13" t="str">
        <x:v>Resilience Proving Service</x:v>
      </x:c>
      <x:c r="G8" s="9" t="str">
        <x:v>Root cohorts</x:v>
      </x:c>
      <x:c r="H8" s="13" t="n">
        <x:v>5</x:v>
      </x:c>
      <x:c r="I8" s="9"/>
      <x:c r="J8" s="9"/>
      <x:c r="K8" s="9"/>
      <x:c r="L8" s="9"/>
      <x:c r="M8" s="9"/>
      <x:c r="N8" s="9"/>
      <x:c r="O8" s="9"/>
      <x:c r="P8" s="9"/>
      <x:c r="Q8" s="9"/>
      <x:c r="R8" s="47"/>
      <x:c r="S8" s="47"/>
      <x:c r="T8" s="47"/>
      <x:c r="U8" s="47"/>
      <x:c r="V8" s="47"/>
      <x:c r="W8" s="47"/>
      <x:c r="X8" s="47"/>
      <x:c r="Y8" s="47"/>
      <x:c r="Z8" s="47"/>
    </x:row>
    <x:row r="9" ht="40" customHeight="1">
      <x:c r="C9" s="11" t="str">
        <x:v>Technical transfer</x:v>
      </x:c>
      <x:c r="D9" s="13" t="str">
        <x:v>20 roots / 40 endpoints</x:v>
      </x:c>
      <x:c r="E9" s="9" t="str">
        <x:v>Physical proving</x:v>
      </x:c>
      <x:c r="F9" s="13" t="str">
        <x:v>Source-empty</x:v>
      </x:c>
      <x:c r="G9" s="9" t="str">
        <x:v>Force credit</x:v>
      </x:c>
      <x:c r="H9" s="13" t="n">
        <x:v>0</x:v>
      </x:c>
      <x:c r="I9" s="9"/>
      <x:c r="J9" s="9"/>
      <x:c r="K9" s="9"/>
      <x:c r="L9" s="9"/>
      <x:c r="M9" s="9"/>
      <x:c r="N9" s="9"/>
      <x:c r="O9" s="9"/>
      <x:c r="P9" s="9"/>
      <x:c r="Q9" s="9"/>
      <x:c r="R9" s="47"/>
      <x:c r="S9" s="47"/>
      <x:c r="T9" s="47"/>
      <x:c r="U9" s="47"/>
      <x:c r="V9" s="47"/>
      <x:c r="W9" s="47"/>
      <x:c r="X9" s="47"/>
      <x:c r="Y9" s="47"/>
      <x:c r="Z9" s="47"/>
    </x:row>
    <x:row r="10" ht="40" customHeight="1">
      <x:c r="C10" s="12" t="str">
        <x:v>Why return now</x:v>
      </x:c>
      <x:c r="D10" s="14" t="str">
        <x:v>Only physical observations can change a root disposition</x:v>
      </x:c>
      <x:c r="E10" s="10" t="str">
        <x:v>Next authority</x:v>
      </x:c>
      <x:c r="F10" s="14" t="str">
        <x:v>Commission the proving institution</x:v>
      </x:c>
      <x:c r="G10" s="10" t="str">
        <x:v>Cascadia credit</x:v>
      </x:c>
      <x:c r="H10" s="14" t="n">
        <x:v>0</x:v>
      </x:c>
      <x:c r="I10" s="9"/>
      <x:c r="J10" s="9"/>
      <x:c r="K10" s="9"/>
      <x:c r="L10" s="9"/>
      <x:c r="M10" s="9"/>
      <x:c r="N10" s="9"/>
      <x:c r="O10" s="9"/>
      <x:c r="P10" s="9"/>
      <x:c r="Q10" s="9"/>
      <x:c r="R10" s="47"/>
      <x:c r="S10" s="47"/>
      <x:c r="T10" s="47"/>
      <x:c r="U10" s="47"/>
      <x:c r="V10" s="47"/>
      <x:c r="W10" s="47"/>
      <x:c r="X10" s="47"/>
      <x:c r="Y10" s="47"/>
      <x:c r="Z10" s="47"/>
    </x:row>
    <x:row r="11"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47"/>
      <x:c r="S11" s="47"/>
      <x:c r="T11" s="47"/>
      <x:c r="U11" s="47"/>
      <x:c r="V11" s="47"/>
      <x:c r="W11" s="47"/>
      <x:c r="X11" s="47"/>
      <x:c r="Y11" s="47"/>
      <x:c r="Z11" s="47"/>
    </x:row>
    <x:row r="12"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47"/>
      <x:c r="S12" s="47"/>
      <x:c r="T12" s="47"/>
      <x:c r="U12" s="47"/>
      <x:c r="V12" s="47"/>
      <x:c r="W12" s="47"/>
      <x:c r="X12" s="47"/>
      <x:c r="Y12" s="47"/>
      <x:c r="Z12" s="47"/>
    </x:row>
    <x:row r="13">
      <x:c r="C13" s="52" t="str">
        <x:v>Institutional reference</x:v>
      </x:c>
      <x:c r="D13" s="52"/>
      <x:c r="E13" s="52"/>
      <x:c r="F13" s="52"/>
      <x:c r="G13" s="52"/>
      <x:c r="H13" s="52"/>
      <x:c r="I13" s="9"/>
      <x:c r="J13" s="9"/>
      <x:c r="K13" s="9"/>
      <x:c r="L13" s="9"/>
      <x:c r="M13" s="9"/>
      <x:c r="N13" s="9"/>
      <x:c r="O13" s="9"/>
      <x:c r="P13" s="9"/>
      <x:c r="Q13" s="9"/>
      <x:c r="R13" s="47"/>
      <x:c r="S13" s="47"/>
      <x:c r="T13" s="47"/>
      <x:c r="U13" s="47"/>
      <x:c r="V13" s="47"/>
      <x:c r="W13" s="47"/>
      <x:c r="X13" s="47"/>
      <x:c r="Y13" s="47"/>
      <x:c r="Z13" s="47"/>
    </x:row>
    <x:row r="14">
      <x:c r="C14" s="9" t="str">
        <x:v>System campaign groups</x:v>
      </x:c>
      <x:c r="D14" s="15" t="n">
        <x:v>5</x:v>
      </x:c>
      <x:c r="E14" s="9" t="str">
        <x:v>Non-lifeline root cohorts</x:v>
      </x:c>
      <x:c r="F14" s="15" t="n">
        <x:v>20</x:v>
      </x:c>
      <x:c r="G14" s="9" t="str">
        <x:v>Root houses per group</x:v>
      </x:c>
      <x:c r="H14" s="15" t="n">
        <x:v>4</x:v>
      </x:c>
      <x:c r="I14" s="9"/>
      <x:c r="J14" s="9"/>
      <x:c r="K14" s="9"/>
      <x:c r="L14" s="9"/>
      <x:c r="M14" s="9"/>
      <x:c r="N14" s="9"/>
      <x:c r="O14" s="9"/>
      <x:c r="P14" s="9"/>
      <x:c r="Q14" s="9"/>
      <x:c r="R14" s="47"/>
      <x:c r="S14" s="47"/>
      <x:c r="T14" s="47"/>
      <x:c r="U14" s="47"/>
      <x:c r="V14" s="47"/>
      <x:c r="W14" s="47"/>
      <x:c r="X14" s="47"/>
      <x:c r="Y14" s="47"/>
      <x:c r="Z14" s="47"/>
    </x:row>
    <x:row r="15">
      <x:c r="C15" s="9" t="str">
        <x:v>Epistemic commands</x:v>
      </x:c>
      <x:c r="D15" s="15" t="n">
        <x:v>3</x:v>
      </x:c>
      <x:c r="E15" s="9" t="str">
        <x:v>Independent stations</x:v>
      </x:c>
      <x:c r="F15" s="15" t="n">
        <x:v>15</x:v>
      </x:c>
      <x:c r="G15" s="9" t="str">
        <x:v>Stations per system</x:v>
      </x:c>
      <x:c r="H15" s="15" t="n">
        <x:v>3</x:v>
      </x:c>
      <x:c r="I15" s="9"/>
      <x:c r="J15" s="9"/>
      <x:c r="K15" s="9"/>
      <x:c r="L15" s="9"/>
      <x:c r="M15" s="9"/>
      <x:c r="N15" s="9"/>
      <x:c r="O15" s="9"/>
      <x:c r="P15" s="9"/>
      <x:c r="Q15" s="9"/>
      <x:c r="R15" s="47"/>
      <x:c r="S15" s="47"/>
      <x:c r="T15" s="47"/>
      <x:c r="U15" s="47"/>
      <x:c r="V15" s="47"/>
      <x:c r="W15" s="47"/>
      <x:c r="X15" s="47"/>
      <x:c r="Y15" s="47"/>
      <x:c r="Z15" s="47"/>
    </x:row>
    <x:row r="16">
      <x:c r="C16" s="9" t="str">
        <x:v>Experimental lanes</x:v>
      </x:c>
      <x:c r="D16" s="15" t="n">
        <x:v>75</x:v>
      </x:c>
      <x:c r="E16" s="9" t="str">
        <x:v>Assigned root-role lanes</x:v>
      </x:c>
      <x:c r="F16" s="15" t="n">
        <x:v>60</x:v>
      </x:c>
      <x:c r="G16" s="9" t="str">
        <x:v>Regeneration lanes</x:v>
      </x:c>
      <x:c r="H16" s="15" t="n">
        <x:v>15</x:v>
      </x:c>
      <x:c r="I16" s="9"/>
      <x:c r="J16" s="9"/>
      <x:c r="K16" s="9"/>
      <x:c r="L16" s="9"/>
      <x:c r="M16" s="9"/>
      <x:c r="N16" s="9"/>
      <x:c r="O16" s="9"/>
      <x:c r="P16" s="9"/>
      <x:c r="Q16" s="9"/>
      <x:c r="R16" s="47"/>
      <x:c r="S16" s="47"/>
      <x:c r="T16" s="47"/>
      <x:c r="U16" s="47"/>
      <x:c r="V16" s="47"/>
      <x:c r="W16" s="47"/>
      <x:c r="X16" s="47"/>
      <x:c r="Y16" s="47"/>
      <x:c r="Z16" s="47"/>
    </x:row>
    <x:row r="17">
      <x:c r="C17" s="9" t="str">
        <x:v>Valid event slots</x:v>
      </x:c>
      <x:c r="D17" s="15" t="n">
        <x:v>240</x:v>
      </x:c>
      <x:c r="E17" s="9" t="str">
        <x:v>Evidence packages</x:v>
      </x:c>
      <x:c r="F17" s="15" t="n">
        <x:v>1200</x:v>
      </x:c>
      <x:c r="G17" s="9" t="str">
        <x:v>Stage gates</x:v>
      </x:c>
      <x:c r="H17" s="15" t="n">
        <x:v>60</x:v>
      </x:c>
      <x:c r="I17" s="9"/>
      <x:c r="J17" s="9"/>
      <x:c r="K17" s="9"/>
      <x:c r="L17" s="9"/>
      <x:c r="M17" s="9"/>
      <x:c r="N17" s="9"/>
      <x:c r="O17" s="9"/>
      <x:c r="P17" s="9"/>
      <x:c r="Q17" s="9"/>
      <x:c r="R17" s="47"/>
      <x:c r="S17" s="47"/>
      <x:c r="T17" s="47"/>
      <x:c r="U17" s="47"/>
      <x:c r="V17" s="47"/>
      <x:c r="W17" s="47"/>
      <x:c r="X17" s="47"/>
      <x:c r="Y17" s="47"/>
      <x:c r="Z17" s="47"/>
    </x:row>
    <x:row r="18">
      <x:c r="C18" s="9" t="str">
        <x:v>Early authority ceiling</x:v>
      </x:c>
      <x:c r="D18" s="17" t="n">
        <x:v>43.007096331638444</x:v>
      </x:c>
      <x:c r="E18" s="17" t="str">
        <x:v>USD B inside prior portfolio</x:v>
      </x:c>
      <x:c r="F18" s="17" t="n">
        <x:v>239.02348722717738</x:v>
      </x:c>
      <x:c r="G18" s="9" t="str">
        <x:v>Released</x:v>
      </x:c>
      <x:c r="H18" s="15" t="n">
        <x:v>0</x:v>
      </x:c>
      <x:c r="I18" s="9"/>
      <x:c r="J18" s="9"/>
      <x:c r="K18" s="9"/>
      <x:c r="L18" s="9"/>
      <x:c r="M18" s="9"/>
      <x:c r="N18" s="9"/>
      <x:c r="O18" s="9"/>
      <x:c r="P18" s="9"/>
      <x:c r="Q18" s="9"/>
      <x:c r="R18" s="47"/>
      <x:c r="S18" s="47"/>
      <x:c r="T18" s="47"/>
      <x:c r="U18" s="47"/>
      <x:c r="V18" s="47"/>
      <x:c r="W18" s="47"/>
      <x:c r="X18" s="47"/>
      <x:c r="Y18" s="47"/>
      <x:c r="Z18" s="47"/>
    </x:row>
    <x:row r="19">
      <x:c r="C19" s="10" t="str">
        <x:v>Current roots held</x:v>
      </x:c>
      <x:c r="D19" s="16" t="n">
        <x:v>20</x:v>
      </x:c>
      <x:c r="E19" s="10" t="str">
        <x:v>Systems blocked</x:v>
      </x:c>
      <x:c r="F19" s="16" t="n">
        <x:v>6</x:v>
      </x:c>
      <x:c r="G19" s="10" t="str">
        <x:v>Proof contracts</x:v>
      </x:c>
      <x:c r="H19" s="16" t="n">
        <x:v>0</x:v>
      </x:c>
      <x:c r="I19" s="9"/>
      <x:c r="J19" s="9"/>
      <x:c r="K19" s="9"/>
      <x:c r="L19" s="9"/>
      <x:c r="M19" s="9"/>
      <x:c r="N19" s="9"/>
      <x:c r="O19" s="9"/>
      <x:c r="P19" s="9"/>
      <x:c r="Q19" s="9"/>
      <x:c r="R19" s="47"/>
      <x:c r="S19" s="47"/>
      <x:c r="T19" s="47"/>
      <x:c r="U19" s="47"/>
      <x:c r="V19" s="47"/>
      <x:c r="W19" s="47"/>
      <x:c r="X19" s="47"/>
      <x:c r="Y19" s="47"/>
      <x:c r="Z19" s="47"/>
    </x:row>
    <x:row r="20"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47"/>
      <x:c r="S20" s="47"/>
      <x:c r="T20" s="47"/>
      <x:c r="U20" s="47"/>
      <x:c r="V20" s="47"/>
      <x:c r="W20" s="47"/>
      <x:c r="X20" s="47"/>
      <x:c r="Y20" s="47"/>
      <x:c r="Z20" s="47"/>
    </x:row>
    <x:row r="21"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47"/>
      <x:c r="S21" s="47"/>
      <x:c r="T21" s="47"/>
      <x:c r="U21" s="47"/>
      <x:c r="V21" s="47"/>
      <x:c r="W21" s="47"/>
      <x:c r="X21" s="47"/>
      <x:c r="Y21" s="47"/>
      <x:c r="Z21" s="47"/>
    </x:row>
    <x:row r="22" ht="28" customHeight="1">
      <x:c r="C22" s="26" t="str">
        <x:v>Jurisdiction</x:v>
      </x:c>
      <x:c r="D22" s="27" t="str">
        <x:v>USD B</x:v>
      </x:c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47"/>
      <x:c r="S22" s="47"/>
      <x:c r="T22" s="47"/>
      <x:c r="U22" s="47"/>
      <x:c r="V22" s="47"/>
      <x:c r="W22" s="47"/>
      <x:c r="X22" s="47"/>
      <x:c r="Y22" s="47"/>
      <x:c r="Z22" s="47"/>
    </x:row>
    <x:row r="23">
      <x:c r="C23" s="9" t="str">
        <x:v>Candidate systems</x:v>
      </x:c>
      <x:c r="D23" s="17" t="n">
        <x:f>'Authority Build'!H7</x:f>
        <x:v>17.202838532655377</x:v>
      </x:c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47"/>
      <x:c r="S23" s="47"/>
      <x:c r="T23" s="47"/>
      <x:c r="U23" s="47"/>
      <x:c r="V23" s="47"/>
      <x:c r="W23" s="47"/>
      <x:c r="X23" s="47"/>
      <x:c r="Y23" s="47"/>
      <x:c r="Z23" s="47"/>
    </x:row>
    <x:row r="24">
      <x:c r="C24" s="9" t="str">
        <x:v>Proving stations</x:v>
      </x:c>
      <x:c r="D24" s="17" t="n">
        <x:f>'Authority Build'!H8</x:f>
        <x:v>12.902128899491533</x:v>
      </x:c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47"/>
      <x:c r="S24" s="47"/>
      <x:c r="T24" s="47"/>
      <x:c r="U24" s="47"/>
      <x:c r="V24" s="47"/>
      <x:c r="W24" s="47"/>
      <x:c r="X24" s="47"/>
      <x:c r="Y24" s="47"/>
      <x:c r="Z24" s="47"/>
    </x:row>
    <x:row r="25">
      <x:c r="C25" s="9" t="str">
        <x:v>Metrology and custody</x:v>
      </x:c>
      <x:c r="D25" s="17" t="n">
        <x:f>'Authority Build'!H9</x:f>
        <x:v>8.601419266327689</x:v>
      </x:c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47"/>
      <x:c r="S25" s="47"/>
      <x:c r="T25" s="47"/>
      <x:c r="U25" s="47"/>
      <x:c r="V25" s="47"/>
      <x:c r="W25" s="47"/>
      <x:c r="X25" s="47"/>
      <x:c r="Y25" s="47"/>
      <x:c r="Z25" s="47"/>
    </x:row>
    <x:row r="26">
      <x:c r="C26" s="10" t="str">
        <x:v>Replacement reserve</x:v>
      </x:c>
      <x:c r="D26" s="28" t="n">
        <x:f>'Authority Build'!H10</x:f>
        <x:v>4.300709633163844</x:v>
      </x:c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47"/>
      <x:c r="S26" s="47"/>
      <x:c r="T26" s="47"/>
      <x:c r="U26" s="47"/>
      <x:c r="V26" s="47"/>
      <x:c r="W26" s="47"/>
      <x:c r="X26" s="47"/>
      <x:c r="Y26" s="47"/>
      <x:c r="Z26" s="47"/>
    </x:row>
    <x:row r="27"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47"/>
      <x:c r="S27" s="47"/>
      <x:c r="T27" s="47"/>
      <x:c r="U27" s="47"/>
      <x:c r="V27" s="47"/>
      <x:c r="W27" s="47"/>
      <x:c r="X27" s="47"/>
      <x:c r="Y27" s="47"/>
      <x:c r="Z27" s="47"/>
    </x:row>
    <x:row r="28"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47"/>
      <x:c r="S28" s="47"/>
      <x:c r="T28" s="47"/>
      <x:c r="U28" s="47"/>
      <x:c r="V28" s="47"/>
      <x:c r="W28" s="47"/>
      <x:c r="X28" s="47"/>
      <x:c r="Y28" s="47"/>
      <x:c r="Z28" s="47"/>
    </x:row>
    <x:row r="29"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47"/>
      <x:c r="S29" s="47"/>
      <x:c r="T29" s="47"/>
      <x:c r="U29" s="47"/>
      <x:c r="V29" s="47"/>
      <x:c r="W29" s="47"/>
      <x:c r="X29" s="47"/>
      <x:c r="Y29" s="47"/>
      <x:c r="Z29" s="47"/>
    </x:row>
    <x:row r="30"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47"/>
      <x:c r="S30" s="47"/>
      <x:c r="T30" s="47"/>
      <x:c r="U30" s="47"/>
      <x:c r="V30" s="47"/>
      <x:c r="W30" s="47"/>
      <x:c r="X30" s="47"/>
      <x:c r="Y30" s="47"/>
      <x:c r="Z30" s="47"/>
    </x:row>
    <x:row r="31"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47"/>
      <x:c r="S31" s="47"/>
      <x:c r="T31" s="47"/>
      <x:c r="U31" s="47"/>
      <x:c r="V31" s="47"/>
      <x:c r="W31" s="47"/>
      <x:c r="X31" s="47"/>
      <x:c r="Y31" s="47"/>
      <x:c r="Z31" s="47"/>
    </x:row>
    <x:row r="32"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47"/>
      <x:c r="S32" s="47"/>
      <x:c r="T32" s="47"/>
      <x:c r="U32" s="47"/>
      <x:c r="V32" s="47"/>
      <x:c r="W32" s="47"/>
      <x:c r="X32" s="47"/>
      <x:c r="Y32" s="47"/>
      <x:c r="Z32" s="47"/>
    </x:row>
    <x:row r="33">
      <x:c r="C33" s="9"/>
      <x:c r="D33" s="9"/>
      <x:c r="E33" s="9"/>
      <x:c r="F33" s="9"/>
      <x:c r="G33" s="9"/>
      <x:c r="H33" s="9"/>
      <x:c r="I33" s="9"/>
      <x:c r="J33" s="9"/>
      <x:c r="K33" s="9"/>
      <x:c r="L33" s="9"/>
      <x:c r="M33" s="9"/>
      <x:c r="N33" s="9"/>
      <x:c r="O33" s="9"/>
      <x:c r="P33" s="9"/>
      <x:c r="Q33" s="9"/>
      <x:c r="R33" s="47"/>
      <x:c r="S33" s="47"/>
      <x:c r="T33" s="47"/>
      <x:c r="U33" s="47"/>
      <x:c r="V33" s="47"/>
      <x:c r="W33" s="47"/>
      <x:c r="X33" s="47"/>
      <x:c r="Y33" s="47"/>
      <x:c r="Z33" s="47"/>
    </x:row>
    <x:row r="34">
      <x:c r="C34" s="9"/>
      <x:c r="D34" s="9"/>
      <x:c r="E34" s="9"/>
      <x:c r="F34" s="9"/>
      <x:c r="G34" s="9"/>
      <x:c r="H34" s="9"/>
      <x:c r="I34" s="9"/>
      <x:c r="J34" s="9"/>
      <x:c r="K34" s="9"/>
      <x:c r="L34" s="9"/>
      <x:c r="M34" s="9"/>
      <x:c r="N34" s="9"/>
      <x:c r="O34" s="9"/>
      <x:c r="P34" s="9"/>
      <x:c r="Q34" s="9"/>
      <x:c r="R34" s="47"/>
      <x:c r="S34" s="47"/>
      <x:c r="T34" s="47"/>
      <x:c r="U34" s="47"/>
      <x:c r="V34" s="47"/>
      <x:c r="W34" s="47"/>
      <x:c r="X34" s="47"/>
      <x:c r="Y34" s="47"/>
      <x:c r="Z34" s="47"/>
    </x:row>
  </x:sheetData>
  <x:pageMargins left="0.7" right="0.7" top="0.75" bottom="0.75" header="0.3" footer="0.3"/>
  <x:drawing xmlns:r="http://schemas.openxmlformats.org/officeDocument/2006/relationships" r:id="R888df926577e4a97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3" max="3" width="35" hidden="0" customWidth="1"/>
    <x:col min="4" max="4" width="18" hidden="0" customWidth="1"/>
    <x:col min="5" max="5" width="18" hidden="0" customWidth="1"/>
    <x:col min="6" max="6" width="24" hidden="0" customWidth="1"/>
    <x:col min="7" max="7" width="28" hidden="0" customWidth="1"/>
  </x:cols>
  <x:sheetData>
    <x:row r="1">
      <x:c r="C1" s="9"/>
      <x:c r="D1" s="9"/>
      <x:c r="E1" s="9"/>
      <x:c r="F1" s="9"/>
      <x:c r="G1" s="9"/>
      <x:c r="H1" s="47"/>
      <x:c r="I1" s="47"/>
      <x:c r="J1" s="47"/>
      <x:c r="K1" s="47"/>
      <x:c r="L1" s="47"/>
      <x:c r="M1" s="47"/>
      <x:c r="N1" s="47"/>
      <x:c r="O1" s="47"/>
      <x:c r="P1" s="47"/>
      <x:c r="Q1" s="47"/>
      <x:c r="R1" s="47"/>
      <x:c r="S1" s="47"/>
      <x:c r="T1" s="47"/>
      <x:c r="U1" s="47"/>
      <x:c r="V1" s="47"/>
      <x:c r="W1" s="47"/>
      <x:c r="X1" s="47"/>
      <x:c r="Y1" s="47"/>
      <x:c r="Z1" s="47"/>
    </x:row>
    <x:row r="2">
      <x:c r="C2" s="48" t="str">
        <x:v>Institution and authority controls</x:v>
      </x:c>
      <x:c r="D2" s="9"/>
      <x:c r="E2" s="9"/>
      <x:c r="F2" s="9"/>
      <x:c r="G2" s="9"/>
      <x:c r="H2" s="47"/>
      <x:c r="I2" s="47"/>
      <x:c r="J2" s="47"/>
      <x:c r="K2" s="47"/>
      <x:c r="L2" s="47"/>
      <x:c r="M2" s="47"/>
      <x:c r="N2" s="47"/>
      <x:c r="O2" s="47"/>
      <x:c r="P2" s="47"/>
      <x:c r="Q2" s="47"/>
      <x:c r="R2" s="47"/>
      <x:c r="S2" s="47"/>
      <x:c r="T2" s="47"/>
      <x:c r="U2" s="47"/>
      <x:c r="V2" s="47"/>
      <x:c r="W2" s="47"/>
      <x:c r="X2" s="47"/>
      <x:c r="Y2" s="47"/>
      <x:c r="Z2" s="47"/>
    </x:row>
    <x:row r="3">
      <x:c r="C3" s="49" t="str">
        <x:v>Yellow cells elsewhere are implementation acceptances. Zero means source-empty, not failure or success.</x:v>
      </x:c>
      <x:c r="D3" s="9"/>
      <x:c r="E3" s="9"/>
      <x:c r="F3" s="9"/>
      <x:c r="G3" s="9"/>
      <x:c r="H3" s="47"/>
      <x:c r="I3" s="47"/>
      <x:c r="J3" s="47"/>
      <x:c r="K3" s="47"/>
      <x:c r="L3" s="47"/>
      <x:c r="M3" s="47"/>
      <x:c r="N3" s="47"/>
      <x:c r="O3" s="47"/>
      <x:c r="P3" s="47"/>
      <x:c r="Q3" s="47"/>
      <x:c r="R3" s="47"/>
      <x:c r="S3" s="47"/>
      <x:c r="T3" s="47"/>
      <x:c r="U3" s="47"/>
      <x:c r="V3" s="47"/>
      <x:c r="W3" s="47"/>
      <x:c r="X3" s="47"/>
      <x:c r="Y3" s="47"/>
      <x:c r="Z3" s="47"/>
    </x:row>
    <x:row r="4">
      <x:c r="C4" s="50"/>
      <x:c r="D4" s="50"/>
      <x:c r="E4" s="50"/>
      <x:c r="F4" s="50"/>
      <x:c r="G4" s="50"/>
      <x:c r="H4" s="51"/>
      <x:c r="I4" s="51"/>
      <x:c r="J4" s="51"/>
      <x:c r="K4" s="51"/>
      <x:c r="L4" s="51"/>
      <x:c r="M4" s="51"/>
      <x:c r="N4" s="51"/>
      <x:c r="O4" s="51"/>
      <x:c r="P4" s="51"/>
      <x:c r="Q4" s="51"/>
      <x:c r="R4" s="51"/>
      <x:c r="S4" s="51"/>
      <x:c r="T4" s="51"/>
      <x:c r="U4" s="51"/>
      <x:c r="V4" s="51"/>
      <x:c r="W4" s="51"/>
      <x:c r="X4" s="51"/>
      <x:c r="Y4" s="51"/>
      <x:c r="Z4" s="51"/>
    </x:row>
    <x:row r="5">
      <x:c r="C5" s="9"/>
      <x:c r="D5" s="9"/>
      <x:c r="E5" s="9"/>
      <x:c r="F5" s="9"/>
      <x:c r="G5" s="9"/>
      <x:c r="H5" s="47"/>
      <x:c r="I5" s="47"/>
      <x:c r="J5" s="47"/>
      <x:c r="K5" s="47"/>
      <x:c r="L5" s="47"/>
      <x:c r="M5" s="47"/>
      <x:c r="N5" s="47"/>
      <x:c r="O5" s="47"/>
      <x:c r="P5" s="47"/>
      <x:c r="Q5" s="47"/>
      <x:c r="R5" s="47"/>
      <x:c r="S5" s="47"/>
      <x:c r="T5" s="47"/>
      <x:c r="U5" s="47"/>
      <x:c r="V5" s="47"/>
      <x:c r="W5" s="47"/>
      <x:c r="X5" s="47"/>
      <x:c r="Y5" s="47"/>
      <x:c r="Z5" s="47"/>
    </x:row>
    <x:row r="6" ht="28" customHeight="1">
      <x:c r="C6" s="26" t="str">
        <x:v>Control</x:v>
      </x:c>
      <x:c r="D6" s="32" t="str">
        <x:v>Value</x:v>
      </x:c>
      <x:c r="E6" s="32" t="str">
        <x:v>Unit</x:v>
      </x:c>
      <x:c r="F6" s="27" t="str">
        <x:v>Authority</x:v>
      </x:c>
      <x:c r="G6" s="9"/>
      <x:c r="H6" s="47"/>
      <x:c r="I6" s="47"/>
      <x:c r="J6" s="47"/>
      <x:c r="K6" s="47"/>
      <x:c r="L6" s="47"/>
      <x:c r="M6" s="47"/>
      <x:c r="N6" s="47"/>
      <x:c r="O6" s="47"/>
      <x:c r="P6" s="47"/>
      <x:c r="Q6" s="47"/>
      <x:c r="R6" s="47"/>
      <x:c r="S6" s="47"/>
      <x:c r="T6" s="47"/>
      <x:c r="U6" s="47"/>
      <x:c r="V6" s="47"/>
      <x:c r="W6" s="47"/>
      <x:c r="X6" s="47"/>
      <x:c r="Y6" s="47"/>
      <x:c r="Z6" s="47"/>
    </x:row>
    <x:row r="7">
      <x:c r="C7" s="9" t="str">
        <x:v>Technical branch passes</x:v>
      </x:c>
      <x:c r="D7" s="9" t="n">
        <x:v>5</x:v>
      </x:c>
      <x:c r="E7" s="9" t="str">
        <x:v>passes</x:v>
      </x:c>
      <x:c r="F7" s="9" t="str">
        <x:v>Passes 180–184</x:v>
      </x:c>
      <x:c r="G7" s="9"/>
      <x:c r="H7" s="47"/>
      <x:c r="I7" s="47"/>
      <x:c r="J7" s="47"/>
      <x:c r="K7" s="47"/>
      <x:c r="L7" s="47"/>
      <x:c r="M7" s="47"/>
      <x:c r="N7" s="47"/>
      <x:c r="O7" s="47"/>
      <x:c r="P7" s="47"/>
      <x:c r="Q7" s="47"/>
      <x:c r="R7" s="47"/>
      <x:c r="S7" s="47"/>
      <x:c r="T7" s="47"/>
      <x:c r="U7" s="47"/>
      <x:c r="V7" s="47"/>
      <x:c r="W7" s="47"/>
      <x:c r="X7" s="47"/>
      <x:c r="Y7" s="47"/>
      <x:c r="Z7" s="47"/>
    </x:row>
    <x:row r="8">
      <x:c r="C8" s="9" t="str">
        <x:v>Non-lifeline systems</x:v>
      </x:c>
      <x:c r="D8" s="9" t="n">
        <x:v>5</x:v>
      </x:c>
      <x:c r="E8" s="9" t="str">
        <x:v>systems</x:v>
      </x:c>
      <x:c r="F8" s="9" t="str">
        <x:v>Pass 180</x:v>
      </x:c>
      <x:c r="G8" s="9"/>
      <x:c r="H8" s="47"/>
      <x:c r="I8" s="47"/>
      <x:c r="J8" s="47"/>
      <x:c r="K8" s="47"/>
      <x:c r="L8" s="47"/>
      <x:c r="M8" s="47"/>
      <x:c r="N8" s="47"/>
      <x:c r="O8" s="47"/>
      <x:c r="P8" s="47"/>
      <x:c r="Q8" s="47"/>
      <x:c r="R8" s="47"/>
      <x:c r="S8" s="47"/>
      <x:c r="T8" s="47"/>
      <x:c r="U8" s="47"/>
      <x:c r="V8" s="47"/>
      <x:c r="W8" s="47"/>
      <x:c r="X8" s="47"/>
      <x:c r="Y8" s="47"/>
      <x:c r="Z8" s="47"/>
    </x:row>
    <x:row r="9">
      <x:c r="C9" s="9" t="str">
        <x:v>Non-lifeline roots</x:v>
      </x:c>
      <x:c r="D9" s="9" t="n">
        <x:v>20</x:v>
      </x:c>
      <x:c r="E9" s="9" t="str">
        <x:v>roots</x:v>
      </x:c>
      <x:c r="F9" s="9" t="str">
        <x:v>Pass 181</x:v>
      </x:c>
      <x:c r="G9" s="9"/>
      <x:c r="H9" s="47"/>
      <x:c r="I9" s="47"/>
      <x:c r="J9" s="47"/>
      <x:c r="K9" s="47"/>
      <x:c r="L9" s="47"/>
      <x:c r="M9" s="47"/>
      <x:c r="N9" s="47"/>
      <x:c r="O9" s="47"/>
      <x:c r="P9" s="47"/>
      <x:c r="Q9" s="47"/>
      <x:c r="R9" s="47"/>
      <x:c r="S9" s="47"/>
      <x:c r="T9" s="47"/>
      <x:c r="U9" s="47"/>
      <x:c r="V9" s="47"/>
      <x:c r="W9" s="47"/>
      <x:c r="X9" s="47"/>
      <x:c r="Y9" s="47"/>
      <x:c r="Z9" s="47"/>
    </x:row>
    <x:row r="10">
      <x:c r="C10" s="9" t="str">
        <x:v>Decisive endpoints</x:v>
      </x:c>
      <x:c r="D10" s="9" t="n">
        <x:v>40</x:v>
      </x:c>
      <x:c r="E10" s="9" t="str">
        <x:v>endpoints</x:v>
      </x:c>
      <x:c r="F10" s="9" t="str">
        <x:v>Pass 183</x:v>
      </x:c>
      <x:c r="G10" s="9"/>
      <x:c r="H10" s="47"/>
      <x:c r="I10" s="47"/>
      <x:c r="J10" s="47"/>
      <x:c r="K10" s="47"/>
      <x:c r="L10" s="47"/>
      <x:c r="M10" s="47"/>
      <x:c r="N10" s="47"/>
      <x:c r="O10" s="47"/>
      <x:c r="P10" s="47"/>
      <x:c r="Q10" s="47"/>
      <x:c r="R10" s="47"/>
      <x:c r="S10" s="47"/>
      <x:c r="T10" s="47"/>
      <x:c r="U10" s="47"/>
      <x:c r="V10" s="47"/>
      <x:c r="W10" s="47"/>
      <x:c r="X10" s="47"/>
      <x:c r="Y10" s="47"/>
      <x:c r="Z10" s="47"/>
    </x:row>
    <x:row r="11">
      <x:c r="C11" s="9" t="str">
        <x:v>Epistemic commands</x:v>
      </x:c>
      <x:c r="D11" s="9" t="n">
        <x:v>3</x:v>
      </x:c>
      <x:c r="E11" s="9" t="str">
        <x:v>commands</x:v>
      </x:c>
      <x:c r="F11" s="9" t="str">
        <x:v>Pass 184</x:v>
      </x:c>
      <x:c r="G11" s="9"/>
      <x:c r="H11" s="47"/>
      <x:c r="I11" s="47"/>
      <x:c r="J11" s="47"/>
      <x:c r="K11" s="47"/>
      <x:c r="L11" s="47"/>
      <x:c r="M11" s="47"/>
      <x:c r="N11" s="47"/>
      <x:c r="O11" s="47"/>
      <x:c r="P11" s="47"/>
      <x:c r="Q11" s="47"/>
      <x:c r="R11" s="47"/>
      <x:c r="S11" s="47"/>
      <x:c r="T11" s="47"/>
      <x:c r="U11" s="47"/>
      <x:c r="V11" s="47"/>
      <x:c r="W11" s="47"/>
      <x:c r="X11" s="47"/>
      <x:c r="Y11" s="47"/>
      <x:c r="Z11" s="47"/>
    </x:row>
    <x:row r="12">
      <x:c r="C12" s="9" t="str">
        <x:v>Independent stations</x:v>
      </x:c>
      <x:c r="D12" s="9" t="n">
        <x:v>15</x:v>
      </x:c>
      <x:c r="E12" s="9" t="str">
        <x:v>stations</x:v>
      </x:c>
      <x:c r="F12" s="9" t="str">
        <x:v>Pass 184</x:v>
      </x:c>
      <x:c r="G12" s="9"/>
      <x:c r="H12" s="47"/>
      <x:c r="I12" s="47"/>
      <x:c r="J12" s="47"/>
      <x:c r="K12" s="47"/>
      <x:c r="L12" s="47"/>
      <x:c r="M12" s="47"/>
      <x:c r="N12" s="47"/>
      <x:c r="O12" s="47"/>
      <x:c r="P12" s="47"/>
      <x:c r="Q12" s="47"/>
      <x:c r="R12" s="47"/>
      <x:c r="S12" s="47"/>
      <x:c r="T12" s="47"/>
      <x:c r="U12" s="47"/>
      <x:c r="V12" s="47"/>
      <x:c r="W12" s="47"/>
      <x:c r="X12" s="47"/>
      <x:c r="Y12" s="47"/>
      <x:c r="Z12" s="47"/>
    </x:row>
    <x:row r="13">
      <x:c r="C13" s="9" t="str">
        <x:v>Lanes per station</x:v>
      </x:c>
      <x:c r="D13" s="9" t="n">
        <x:v>5</x:v>
      </x:c>
      <x:c r="E13" s="9" t="str">
        <x:v>lanes</x:v>
      </x:c>
      <x:c r="F13" s="9" t="str">
        <x:v>Pass 184</x:v>
      </x:c>
      <x:c r="G13" s="9"/>
      <x:c r="H13" s="47"/>
      <x:c r="I13" s="47"/>
      <x:c r="J13" s="47"/>
      <x:c r="K13" s="47"/>
      <x:c r="L13" s="47"/>
      <x:c r="M13" s="47"/>
      <x:c r="N13" s="47"/>
      <x:c r="O13" s="47"/>
      <x:c r="P13" s="47"/>
      <x:c r="Q13" s="47"/>
      <x:c r="R13" s="47"/>
      <x:c r="S13" s="47"/>
      <x:c r="T13" s="47"/>
      <x:c r="U13" s="47"/>
      <x:c r="V13" s="47"/>
      <x:c r="W13" s="47"/>
      <x:c r="X13" s="47"/>
      <x:c r="Y13" s="47"/>
      <x:c r="Z13" s="47"/>
    </x:row>
    <x:row r="14">
      <x:c r="C14" s="9" t="str">
        <x:v>Total experimental lanes</x:v>
      </x:c>
      <x:c r="D14" s="9" t="n">
        <x:f>D12*D13</x:f>
        <x:v>75</x:v>
      </x:c>
      <x:c r="E14" s="9" t="str">
        <x:v>lanes</x:v>
      </x:c>
      <x:c r="F14" s="9" t="str">
        <x:v>Stations × lanes</x:v>
      </x:c>
      <x:c r="G14" s="9"/>
      <x:c r="H14" s="47"/>
      <x:c r="I14" s="47"/>
      <x:c r="J14" s="47"/>
      <x:c r="K14" s="47"/>
      <x:c r="L14" s="47"/>
      <x:c r="M14" s="47"/>
      <x:c r="N14" s="47"/>
      <x:c r="O14" s="47"/>
      <x:c r="P14" s="47"/>
      <x:c r="Q14" s="47"/>
      <x:c r="R14" s="47"/>
      <x:c r="S14" s="47"/>
      <x:c r="T14" s="47"/>
      <x:c r="U14" s="47"/>
      <x:c r="V14" s="47"/>
      <x:c r="W14" s="47"/>
      <x:c r="X14" s="47"/>
      <x:c r="Y14" s="47"/>
      <x:c r="Z14" s="47"/>
    </x:row>
    <x:row r="15">
      <x:c r="C15" s="9" t="str">
        <x:v>Assigned root-role lanes</x:v>
      </x:c>
      <x:c r="D15" s="9" t="n">
        <x:v>60</x:v>
      </x:c>
      <x:c r="E15" s="9" t="str">
        <x:v>lanes</x:v>
      </x:c>
      <x:c r="F15" s="9" t="str">
        <x:v>20 roots × 3 roles</x:v>
      </x:c>
      <x:c r="G15" s="9"/>
      <x:c r="H15" s="47"/>
      <x:c r="I15" s="47"/>
      <x:c r="J15" s="47"/>
      <x:c r="K15" s="47"/>
      <x:c r="L15" s="47"/>
      <x:c r="M15" s="47"/>
      <x:c r="N15" s="47"/>
      <x:c r="O15" s="47"/>
      <x:c r="P15" s="47"/>
      <x:c r="Q15" s="47"/>
      <x:c r="R15" s="47"/>
      <x:c r="S15" s="47"/>
      <x:c r="T15" s="47"/>
      <x:c r="U15" s="47"/>
      <x:c r="V15" s="47"/>
      <x:c r="W15" s="47"/>
      <x:c r="X15" s="47"/>
      <x:c r="Y15" s="47"/>
      <x:c r="Z15" s="47"/>
    </x:row>
    <x:row r="16">
      <x:c r="C16" s="9" t="str">
        <x:v>Regeneration lanes</x:v>
      </x:c>
      <x:c r="D16" s="9" t="n">
        <x:f>D14-D15</x:f>
        <x:v>15</x:v>
      </x:c>
      <x:c r="E16" s="9" t="str">
        <x:v>lanes</x:v>
      </x:c>
      <x:c r="F16" s="9" t="str">
        <x:v>Capacity less assignments</x:v>
      </x:c>
      <x:c r="G16" s="9"/>
      <x:c r="H16" s="47"/>
      <x:c r="I16" s="47"/>
      <x:c r="J16" s="47"/>
      <x:c r="K16" s="47"/>
      <x:c r="L16" s="47"/>
      <x:c r="M16" s="47"/>
      <x:c r="N16" s="47"/>
      <x:c r="O16" s="47"/>
      <x:c r="P16" s="47"/>
      <x:c r="Q16" s="47"/>
      <x:c r="R16" s="47"/>
      <x:c r="S16" s="47"/>
      <x:c r="T16" s="47"/>
      <x:c r="U16" s="47"/>
      <x:c r="V16" s="47"/>
      <x:c r="W16" s="47"/>
      <x:c r="X16" s="47"/>
      <x:c r="Y16" s="47"/>
      <x:c r="Z16" s="47"/>
    </x:row>
    <x:row r="17">
      <x:c r="C17" s="9" t="str">
        <x:v>Required valid events</x:v>
      </x:c>
      <x:c r="D17" s="9" t="n">
        <x:v>240</x:v>
      </x:c>
      <x:c r="E17" s="9" t="str">
        <x:v>events</x:v>
      </x:c>
      <x:c r="F17" s="9" t="str">
        <x:v>Pass 183</x:v>
      </x:c>
      <x:c r="G17" s="9"/>
      <x:c r="H17" s="47"/>
      <x:c r="I17" s="47"/>
      <x:c r="J17" s="47"/>
      <x:c r="K17" s="47"/>
      <x:c r="L17" s="47"/>
      <x:c r="M17" s="47"/>
      <x:c r="N17" s="47"/>
      <x:c r="O17" s="47"/>
      <x:c r="P17" s="47"/>
      <x:c r="Q17" s="47"/>
      <x:c r="R17" s="47"/>
      <x:c r="S17" s="47"/>
      <x:c r="T17" s="47"/>
      <x:c r="U17" s="47"/>
      <x:c r="V17" s="47"/>
      <x:c r="W17" s="47"/>
      <x:c r="X17" s="47"/>
      <x:c r="Y17" s="47"/>
      <x:c r="Z17" s="47"/>
    </x:row>
    <x:row r="18">
      <x:c r="C18" s="9" t="str">
        <x:v>Early authority ceiling</x:v>
      </x:c>
      <x:c r="D18" s="17" t="n">
        <x:v>43.007096331638444</x:v>
      </x:c>
      <x:c r="E18" s="9" t="str">
        <x:v>USD B</x:v>
      </x:c>
      <x:c r="F18" s="9" t="str">
        <x:v>Inside USD 239B</x:v>
      </x:c>
      <x:c r="G18" s="9"/>
      <x:c r="H18" s="47"/>
      <x:c r="I18" s="47"/>
      <x:c r="J18" s="47"/>
      <x:c r="K18" s="47"/>
      <x:c r="L18" s="47"/>
      <x:c r="M18" s="47"/>
      <x:c r="N18" s="47"/>
      <x:c r="O18" s="47"/>
      <x:c r="P18" s="47"/>
      <x:c r="Q18" s="47"/>
      <x:c r="R18" s="47"/>
      <x:c r="S18" s="47"/>
      <x:c r="T18" s="47"/>
      <x:c r="U18" s="47"/>
      <x:c r="V18" s="47"/>
      <x:c r="W18" s="47"/>
      <x:c r="X18" s="47"/>
      <x:c r="Y18" s="47"/>
      <x:c r="Z18" s="47"/>
    </x:row>
    <x:row r="19">
      <x:c r="C19" s="9" t="str">
        <x:v>Candidate-system share</x:v>
      </x:c>
      <x:c r="D19" s="33" t="n">
        <x:v>0.4</x:v>
      </x:c>
      <x:c r="E19" s="9" t="str">
        <x:v>share</x:v>
      </x:c>
      <x:c r="F19" s="9" t="str">
        <x:v>Pass 184 jurisdiction</x:v>
      </x:c>
      <x:c r="G19" s="9"/>
      <x:c r="H19" s="47"/>
      <x:c r="I19" s="47"/>
      <x:c r="J19" s="47"/>
      <x:c r="K19" s="47"/>
      <x:c r="L19" s="47"/>
      <x:c r="M19" s="47"/>
      <x:c r="N19" s="47"/>
      <x:c r="O19" s="47"/>
      <x:c r="P19" s="47"/>
      <x:c r="Q19" s="47"/>
      <x:c r="R19" s="47"/>
      <x:c r="S19" s="47"/>
      <x:c r="T19" s="47"/>
      <x:c r="U19" s="47"/>
      <x:c r="V19" s="47"/>
      <x:c r="W19" s="47"/>
      <x:c r="X19" s="47"/>
      <x:c r="Y19" s="47"/>
      <x:c r="Z19" s="47"/>
    </x:row>
    <x:row r="20">
      <x:c r="C20" s="9" t="str">
        <x:v>Proving-station share</x:v>
      </x:c>
      <x:c r="D20" s="33" t="n">
        <x:v>0.3</x:v>
      </x:c>
      <x:c r="E20" s="9" t="str">
        <x:v>share</x:v>
      </x:c>
      <x:c r="F20" s="9" t="str">
        <x:v>Pass 184 jurisdiction</x:v>
      </x:c>
      <x:c r="G20" s="9"/>
      <x:c r="H20" s="47"/>
      <x:c r="I20" s="47"/>
      <x:c r="J20" s="47"/>
      <x:c r="K20" s="47"/>
      <x:c r="L20" s="47"/>
      <x:c r="M20" s="47"/>
      <x:c r="N20" s="47"/>
      <x:c r="O20" s="47"/>
      <x:c r="P20" s="47"/>
      <x:c r="Q20" s="47"/>
      <x:c r="R20" s="47"/>
      <x:c r="S20" s="47"/>
      <x:c r="T20" s="47"/>
      <x:c r="U20" s="47"/>
      <x:c r="V20" s="47"/>
      <x:c r="W20" s="47"/>
      <x:c r="X20" s="47"/>
      <x:c r="Y20" s="47"/>
      <x:c r="Z20" s="47"/>
    </x:row>
    <x:row r="21">
      <x:c r="C21" s="9" t="str">
        <x:v>Metrology/custody share</x:v>
      </x:c>
      <x:c r="D21" s="33" t="n">
        <x:v>0.2</x:v>
      </x:c>
      <x:c r="E21" s="9" t="str">
        <x:v>share</x:v>
      </x:c>
      <x:c r="F21" s="9" t="str">
        <x:v>Pass 184 jurisdiction</x:v>
      </x:c>
      <x:c r="G21" s="9"/>
      <x:c r="H21" s="47"/>
      <x:c r="I21" s="47"/>
      <x:c r="J21" s="47"/>
      <x:c r="K21" s="47"/>
      <x:c r="L21" s="47"/>
      <x:c r="M21" s="47"/>
      <x:c r="N21" s="47"/>
      <x:c r="O21" s="47"/>
      <x:c r="P21" s="47"/>
      <x:c r="Q21" s="47"/>
      <x:c r="R21" s="47"/>
      <x:c r="S21" s="47"/>
      <x:c r="T21" s="47"/>
      <x:c r="U21" s="47"/>
      <x:c r="V21" s="47"/>
      <x:c r="W21" s="47"/>
      <x:c r="X21" s="47"/>
      <x:c r="Y21" s="47"/>
      <x:c r="Z21" s="47"/>
    </x:row>
    <x:row r="22">
      <x:c r="C22" s="9" t="str">
        <x:v>Replacement/regeneration share</x:v>
      </x:c>
      <x:c r="D22" s="33" t="n">
        <x:v>0.1</x:v>
      </x:c>
      <x:c r="E22" s="9" t="str">
        <x:v>share</x:v>
      </x:c>
      <x:c r="F22" s="9" t="str">
        <x:v>Pass 184 jurisdiction</x:v>
      </x:c>
      <x:c r="G22" s="9"/>
      <x:c r="H22" s="47"/>
      <x:c r="I22" s="47"/>
      <x:c r="J22" s="47"/>
      <x:c r="K22" s="47"/>
      <x:c r="L22" s="47"/>
      <x:c r="M22" s="47"/>
      <x:c r="N22" s="47"/>
      <x:c r="O22" s="47"/>
      <x:c r="P22" s="47"/>
      <x:c r="Q22" s="47"/>
      <x:c r="R22" s="47"/>
      <x:c r="S22" s="47"/>
      <x:c r="T22" s="47"/>
      <x:c r="U22" s="47"/>
      <x:c r="V22" s="47"/>
      <x:c r="W22" s="47"/>
      <x:c r="X22" s="47"/>
      <x:c r="Y22" s="47"/>
      <x:c r="Z22" s="47"/>
    </x:row>
    <x:row r="23">
      <x:c r="C23" s="9" t="str">
        <x:v>Accepted warrants</x:v>
      </x:c>
      <x:c r="D23" s="9" t="n">
        <x:f>SUM('Constitutional Roles'!L7:L15)</x:f>
        <x:v>0</x:v>
      </x:c>
      <x:c r="E23" s="9" t="str">
        <x:v>of 9</x:v>
      </x:c>
      <x:c r="F23" s="9" t="str">
        <x:v>Source-empty</x:v>
      </x:c>
      <x:c r="G23" s="9"/>
      <x:c r="H23" s="47"/>
      <x:c r="I23" s="47"/>
      <x:c r="J23" s="47"/>
      <x:c r="K23" s="47"/>
      <x:c r="L23" s="47"/>
      <x:c r="M23" s="47"/>
      <x:c r="N23" s="47"/>
      <x:c r="O23" s="47"/>
      <x:c r="P23" s="47"/>
      <x:c r="Q23" s="47"/>
      <x:c r="R23" s="47"/>
      <x:c r="S23" s="47"/>
      <x:c r="T23" s="47"/>
      <x:c r="U23" s="47"/>
      <x:c r="V23" s="47"/>
      <x:c r="W23" s="47"/>
      <x:c r="X23" s="47"/>
      <x:c r="Y23" s="47"/>
      <x:c r="Z23" s="47"/>
    </x:row>
    <x:row r="24">
      <x:c r="C24" s="9" t="str">
        <x:v>Commissioned stations</x:v>
      </x:c>
      <x:c r="D24" s="9" t="n">
        <x:f>SUM('Station Topology'!K7:K21)</x:f>
        <x:v>0</x:v>
      </x:c>
      <x:c r="E24" s="9" t="str">
        <x:v>of 15</x:v>
      </x:c>
      <x:c r="F24" s="9" t="str">
        <x:v>Source-empty</x:v>
      </x:c>
      <x:c r="G24" s="9"/>
      <x:c r="H24" s="47"/>
      <x:c r="I24" s="47"/>
      <x:c r="J24" s="47"/>
      <x:c r="K24" s="47"/>
      <x:c r="L24" s="47"/>
      <x:c r="M24" s="47"/>
      <x:c r="N24" s="47"/>
      <x:c r="O24" s="47"/>
      <x:c r="P24" s="47"/>
      <x:c r="Q24" s="47"/>
      <x:c r="R24" s="47"/>
      <x:c r="S24" s="47"/>
      <x:c r="T24" s="47"/>
      <x:c r="U24" s="47"/>
      <x:c r="V24" s="47"/>
      <x:c r="W24" s="47"/>
      <x:c r="X24" s="47"/>
      <x:c r="Y24" s="47"/>
      <x:c r="Z24" s="47"/>
    </x:row>
    <x:row r="25">
      <x:c r="C25" s="9" t="str">
        <x:v>Qualified station lanes</x:v>
      </x:c>
      <x:c r="D25" s="9" t="n">
        <x:f>SUM('Station Topology'!L7:L21)</x:f>
        <x:v>0</x:v>
      </x:c>
      <x:c r="E25" s="9" t="str">
        <x:v>of 75</x:v>
      </x:c>
      <x:c r="F25" s="9" t="str">
        <x:v>Source-empty</x:v>
      </x:c>
      <x:c r="G25" s="9"/>
      <x:c r="H25" s="47"/>
      <x:c r="I25" s="47"/>
      <x:c r="J25" s="47"/>
      <x:c r="K25" s="47"/>
      <x:c r="L25" s="47"/>
      <x:c r="M25" s="47"/>
      <x:c r="N25" s="47"/>
      <x:c r="O25" s="47"/>
      <x:c r="P25" s="47"/>
      <x:c r="Q25" s="47"/>
      <x:c r="R25" s="47"/>
      <x:c r="S25" s="47"/>
      <x:c r="T25" s="47"/>
      <x:c r="U25" s="47"/>
      <x:c r="V25" s="47"/>
      <x:c r="W25" s="47"/>
      <x:c r="X25" s="47"/>
      <x:c r="Y25" s="47"/>
      <x:c r="Z25" s="47"/>
    </x:row>
    <x:row r="26">
      <x:c r="C26" s="9" t="str">
        <x:v>Accepted assignment identities</x:v>
      </x:c>
      <x:c r="D26" s="9" t="n">
        <x:f>SUM('Lane Assignments'!I7:I66)</x:f>
        <x:v>0</x:v>
      </x:c>
      <x:c r="E26" s="9" t="str">
        <x:v>of 60</x:v>
      </x:c>
      <x:c r="F26" s="9" t="str">
        <x:v>Source-empty</x:v>
      </x:c>
      <x:c r="G26" s="9"/>
      <x:c r="H26" s="47"/>
      <x:c r="I26" s="47"/>
      <x:c r="J26" s="47"/>
      <x:c r="K26" s="47"/>
      <x:c r="L26" s="47"/>
      <x:c r="M26" s="47"/>
      <x:c r="N26" s="47"/>
      <x:c r="O26" s="47"/>
      <x:c r="P26" s="47"/>
      <x:c r="Q26" s="47"/>
      <x:c r="R26" s="47"/>
      <x:c r="S26" s="47"/>
      <x:c r="T26" s="47"/>
      <x:c r="U26" s="47"/>
      <x:c r="V26" s="47"/>
      <x:c r="W26" s="47"/>
      <x:c r="X26" s="47"/>
      <x:c r="Y26" s="47"/>
      <x:c r="Z26" s="47"/>
    </x:row>
    <x:row r="27">
      <x:c r="C27" s="9" t="str">
        <x:v>Accepted conflict separations</x:v>
      </x:c>
      <x:c r="D27" s="9" t="n">
        <x:f>SUM('Lane Assignments'!J7:J66)</x:f>
        <x:v>0</x:v>
      </x:c>
      <x:c r="E27" s="9" t="str">
        <x:v>of 60</x:v>
      </x:c>
      <x:c r="F27" s="9" t="str">
        <x:v>Source-empty</x:v>
      </x:c>
      <x:c r="G27" s="9"/>
      <x:c r="H27" s="47"/>
      <x:c r="I27" s="47"/>
      <x:c r="J27" s="47"/>
      <x:c r="K27" s="47"/>
      <x:c r="L27" s="47"/>
      <x:c r="M27" s="47"/>
      <x:c r="N27" s="47"/>
      <x:c r="O27" s="47"/>
      <x:c r="P27" s="47"/>
      <x:c r="Q27" s="47"/>
      <x:c r="R27" s="47"/>
      <x:c r="S27" s="47"/>
      <x:c r="T27" s="47"/>
      <x:c r="U27" s="47"/>
      <x:c r="V27" s="47"/>
      <x:c r="W27" s="47"/>
      <x:c r="X27" s="47"/>
      <x:c r="Y27" s="47"/>
      <x:c r="Z27" s="47"/>
    </x:row>
    <x:row r="28">
      <x:c r="C28" s="9" t="str">
        <x:v>Accepted stage gates</x:v>
      </x:c>
      <x:c r="D28" s="9" t="n">
        <x:f>SUM('Stage Releases'!J7:J66)</x:f>
        <x:v>0</x:v>
      </x:c>
      <x:c r="E28" s="9" t="str">
        <x:v>of 60</x:v>
      </x:c>
      <x:c r="F28" s="9" t="str">
        <x:v>Source-empty</x:v>
      </x:c>
      <x:c r="G28" s="9"/>
      <x:c r="H28" s="47"/>
      <x:c r="I28" s="47"/>
      <x:c r="J28" s="47"/>
      <x:c r="K28" s="47"/>
      <x:c r="L28" s="47"/>
      <x:c r="M28" s="47"/>
      <x:c r="N28" s="47"/>
      <x:c r="O28" s="47"/>
      <x:c r="P28" s="47"/>
      <x:c r="Q28" s="47"/>
      <x:c r="R28" s="47"/>
      <x:c r="S28" s="47"/>
      <x:c r="T28" s="47"/>
      <x:c r="U28" s="47"/>
      <x:c r="V28" s="47"/>
      <x:c r="W28" s="47"/>
      <x:c r="X28" s="47"/>
      <x:c r="Y28" s="47"/>
      <x:c r="Z28" s="47"/>
    </x:row>
    <x:row r="29">
      <x:c r="C29" s="9" t="str">
        <x:v>Released authority</x:v>
      </x:c>
      <x:c r="D29" s="17" t="n">
        <x:f>SUM('Stage Releases'!L7:L66)</x:f>
        <x:v>0</x:v>
      </x:c>
      <x:c r="E29" s="9" t="str">
        <x:v>USD B</x:v>
      </x:c>
      <x:c r="F29" s="9" t="str">
        <x:v>Calculated</x:v>
      </x:c>
      <x:c r="G29" s="9"/>
      <x:c r="H29" s="47"/>
      <x:c r="I29" s="47"/>
      <x:c r="J29" s="47"/>
      <x:c r="K29" s="47"/>
      <x:c r="L29" s="47"/>
      <x:c r="M29" s="47"/>
      <x:c r="N29" s="47"/>
      <x:c r="O29" s="47"/>
      <x:c r="P29" s="47"/>
      <x:c r="Q29" s="47"/>
      <x:c r="R29" s="47"/>
      <x:c r="S29" s="47"/>
      <x:c r="T29" s="47"/>
      <x:c r="U29" s="47"/>
      <x:c r="V29" s="47"/>
      <x:c r="W29" s="47"/>
      <x:c r="X29" s="47"/>
      <x:c r="Y29" s="47"/>
      <x:c r="Z29" s="47"/>
    </x:row>
    <x:row r="30">
      <x:c r="C30" s="9" t="str">
        <x:v>Mobilized roots</x:v>
      </x:c>
      <x:c r="D30" s="9" t="n">
        <x:f>COUNTIFS('Disposition Pipeline'!M7:M26,"READY FOR PHYSICAL TRIAGE")</x:f>
        <x:v>0</x:v>
      </x:c>
      <x:c r="E30" s="9" t="str">
        <x:v>of 20</x:v>
      </x:c>
      <x:c r="F30" s="9" t="str">
        <x:v>Calculated</x:v>
      </x:c>
      <x:c r="G30" s="9"/>
      <x:c r="H30" s="47"/>
      <x:c r="I30" s="47"/>
      <x:c r="J30" s="47"/>
      <x:c r="K30" s="47"/>
      <x:c r="L30" s="47"/>
      <x:c r="M30" s="47"/>
      <x:c r="N30" s="47"/>
      <x:c r="O30" s="47"/>
      <x:c r="P30" s="47"/>
      <x:c r="Q30" s="47"/>
      <x:c r="R30" s="47"/>
      <x:c r="S30" s="47"/>
      <x:c r="T30" s="47"/>
      <x:c r="U30" s="47"/>
      <x:c r="V30" s="47"/>
      <x:c r="W30" s="47"/>
      <x:c r="X30" s="47"/>
      <x:c r="Y30" s="47"/>
      <x:c r="Z30" s="47"/>
    </x:row>
    <x:row r="31">
      <x:c r="C31" s="9" t="str">
        <x:v>Non-HOLD roots</x:v>
      </x:c>
      <x:c r="D31" s="9" t="n">
        <x:f>COUNTIFS('Disposition Pipeline'!E7:E26,"&lt;&gt;HOLD")</x:f>
        <x:v>0</x:v>
      </x:c>
      <x:c r="E31" s="9" t="str">
        <x:v>of 20</x:v>
      </x:c>
      <x:c r="F31" s="9" t="str">
        <x:v>Pass 183 observations</x:v>
      </x:c>
      <x:c r="G31" s="9"/>
      <x:c r="H31" s="47"/>
      <x:c r="I31" s="47"/>
      <x:c r="J31" s="47"/>
      <x:c r="K31" s="47"/>
      <x:c r="L31" s="47"/>
      <x:c r="M31" s="47"/>
      <x:c r="N31" s="47"/>
      <x:c r="O31" s="47"/>
      <x:c r="P31" s="47"/>
      <x:c r="Q31" s="47"/>
      <x:c r="R31" s="47"/>
      <x:c r="S31" s="47"/>
      <x:c r="T31" s="47"/>
      <x:c r="U31" s="47"/>
      <x:c r="V31" s="47"/>
      <x:c r="W31" s="47"/>
      <x:c r="X31" s="47"/>
      <x:c r="Y31" s="47"/>
      <x:c r="Z31" s="47"/>
    </x:row>
    <x:row r="32">
      <x:c r="C32" s="9" t="str">
        <x:v>Force credit</x:v>
      </x:c>
      <x:c r="D32" s="9" t="n">
        <x:v>0</x:v>
      </x:c>
      <x:c r="E32" s="9" t="str">
        <x:v>credit</x:v>
      </x:c>
      <x:c r="F32" s="9" t="str">
        <x:v>Blocked</x:v>
      </x:c>
      <x:c r="G32" s="9"/>
      <x:c r="H32" s="47"/>
      <x:c r="I32" s="47"/>
      <x:c r="J32" s="47"/>
      <x:c r="K32" s="47"/>
      <x:c r="L32" s="47"/>
      <x:c r="M32" s="47"/>
      <x:c r="N32" s="47"/>
      <x:c r="O32" s="47"/>
      <x:c r="P32" s="47"/>
      <x:c r="Q32" s="47"/>
      <x:c r="R32" s="47"/>
      <x:c r="S32" s="47"/>
      <x:c r="T32" s="47"/>
      <x:c r="U32" s="47"/>
      <x:c r="V32" s="47"/>
      <x:c r="W32" s="47"/>
      <x:c r="X32" s="47"/>
      <x:c r="Y32" s="47"/>
      <x:c r="Z32" s="47"/>
    </x:row>
    <x:row r="33">
      <x:c r="C33" s="10" t="str">
        <x:v>Cascadia credit</x:v>
      </x:c>
      <x:c r="D33" s="10" t="n">
        <x:v>0</x:v>
      </x:c>
      <x:c r="E33" s="10" t="str">
        <x:v>credit</x:v>
      </x:c>
      <x:c r="F33" s="10" t="str">
        <x:v>Blocked</x:v>
      </x:c>
      <x:c r="G33" s="9"/>
      <x:c r="H33" s="47"/>
      <x:c r="I33" s="47"/>
      <x:c r="J33" s="47"/>
      <x:c r="K33" s="47"/>
      <x:c r="L33" s="47"/>
      <x:c r="M33" s="47"/>
      <x:c r="N33" s="47"/>
      <x:c r="O33" s="47"/>
      <x:c r="P33" s="47"/>
      <x:c r="Q33" s="47"/>
      <x:c r="R33" s="47"/>
      <x:c r="S33" s="47"/>
      <x:c r="T33" s="47"/>
      <x:c r="U33" s="47"/>
      <x:c r="V33" s="47"/>
      <x:c r="W33" s="47"/>
      <x:c r="X33" s="47"/>
      <x:c r="Y33" s="47"/>
      <x:c r="Z33" s="47"/>
    </x:row>
    <x:row r="34">
      <x:c r="C34" s="9"/>
      <x:c r="D34" s="9"/>
      <x:c r="E34" s="9"/>
      <x:c r="F34" s="9"/>
      <x:c r="G34" s="9"/>
      <x:c r="H34" s="47"/>
      <x:c r="I34" s="47"/>
      <x:c r="J34" s="47"/>
      <x:c r="K34" s="47"/>
      <x:c r="L34" s="47"/>
      <x:c r="M34" s="47"/>
      <x:c r="N34" s="47"/>
      <x:c r="O34" s="47"/>
      <x:c r="P34" s="47"/>
      <x:c r="Q34" s="47"/>
      <x:c r="R34" s="47"/>
      <x:c r="S34" s="47"/>
      <x:c r="T34" s="47"/>
      <x:c r="U34" s="47"/>
      <x:c r="V34" s="47"/>
      <x:c r="W34" s="47"/>
      <x:c r="X34" s="47"/>
      <x:c r="Y34" s="47"/>
      <x:c r="Z34" s="47"/>
    </x:row>
    <x:row r="35">
      <x:c r="C35" s="9"/>
      <x:c r="D35" s="9"/>
      <x:c r="E35" s="9"/>
      <x:c r="F35" s="9"/>
      <x:c r="G35" s="9"/>
      <x:c r="H35" s="47"/>
      <x:c r="I35" s="47"/>
      <x:c r="J35" s="47"/>
      <x:c r="K35" s="47"/>
      <x:c r="L35" s="47"/>
      <x:c r="M35" s="47"/>
      <x:c r="N35" s="47"/>
      <x:c r="O35" s="47"/>
      <x:c r="P35" s="47"/>
      <x:c r="Q35" s="47"/>
      <x:c r="R35" s="47"/>
      <x:c r="S35" s="47"/>
      <x:c r="T35" s="47"/>
      <x:c r="U35" s="47"/>
      <x:c r="V35" s="47"/>
      <x:c r="W35" s="47"/>
      <x:c r="X35" s="47"/>
      <x:c r="Y35" s="47"/>
      <x:c r="Z35" s="47"/>
    </x:row>
    <x:row r="36">
      <x:c r="C36" s="9"/>
      <x:c r="D36" s="9"/>
      <x:c r="E36" s="9"/>
      <x:c r="F36" s="9"/>
      <x:c r="G36" s="9"/>
      <x:c r="H36" s="47"/>
      <x:c r="I36" s="47"/>
      <x:c r="J36" s="47"/>
      <x:c r="K36" s="47"/>
      <x:c r="L36" s="47"/>
      <x:c r="M36" s="47"/>
      <x:c r="N36" s="47"/>
      <x:c r="O36" s="47"/>
      <x:c r="P36" s="47"/>
      <x:c r="Q36" s="47"/>
      <x:c r="R36" s="47"/>
      <x:c r="S36" s="47"/>
      <x:c r="T36" s="47"/>
      <x:c r="U36" s="47"/>
      <x:c r="V36" s="47"/>
      <x:c r="W36" s="47"/>
      <x:c r="X36" s="47"/>
      <x:c r="Y36" s="47"/>
      <x:c r="Z36" s="4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3" max="3" width="24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3" hidden="0" customWidth="1"/>
    <x:col min="13" max="13" width="18" hidden="0" customWidth="1"/>
    <x:col min="14" max="14" width="34" hidden="0" customWidth="1"/>
  </x:cols>
  <x:sheetData>
    <x:row r="1"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47"/>
      <x:c r="P1" s="47"/>
      <x:c r="Q1" s="47"/>
      <x:c r="R1" s="47"/>
      <x:c r="S1" s="47"/>
      <x:c r="T1" s="47"/>
      <x:c r="U1" s="47"/>
      <x:c r="V1" s="47"/>
      <x:c r="W1" s="47"/>
      <x:c r="X1" s="47"/>
      <x:c r="Y1" s="47"/>
      <x:c r="Z1" s="47"/>
    </x:row>
    <x:row r="2">
      <x:c r="C2" s="48" t="str">
        <x:v>Proving-institution alternatives</x:v>
      </x:c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47"/>
      <x:c r="P2" s="47"/>
      <x:c r="Q2" s="47"/>
      <x:c r="R2" s="47"/>
      <x:c r="S2" s="47"/>
      <x:c r="T2" s="47"/>
      <x:c r="U2" s="47"/>
      <x:c r="V2" s="47"/>
      <x:c r="W2" s="47"/>
      <x:c r="X2" s="47"/>
      <x:c r="Y2" s="47"/>
      <x:c r="Z2" s="47"/>
    </x:row>
    <x:row r="3">
      <x:c r="C3" s="49" t="str">
        <x:v>Eight gates are conjunctive. A high score cannot compensate for a failed authority or independence gate.</x:v>
      </x:c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47"/>
      <x:c r="P3" s="47"/>
      <x:c r="Q3" s="47"/>
      <x:c r="R3" s="47"/>
      <x:c r="S3" s="47"/>
      <x:c r="T3" s="47"/>
      <x:c r="U3" s="47"/>
      <x:c r="V3" s="47"/>
      <x:c r="W3" s="47"/>
      <x:c r="X3" s="47"/>
      <x:c r="Y3" s="47"/>
      <x:c r="Z3" s="47"/>
    </x:row>
    <x:row r="4">
      <x:c r="C4" s="50"/>
      <x:c r="D4" s="50"/>
      <x:c r="E4" s="50"/>
      <x:c r="F4" s="50"/>
      <x:c r="G4" s="50"/>
      <x:c r="H4" s="50"/>
      <x:c r="I4" s="50"/>
      <x:c r="J4" s="50"/>
      <x:c r="K4" s="50"/>
      <x:c r="L4" s="50"/>
      <x:c r="M4" s="50"/>
      <x:c r="N4" s="50"/>
      <x:c r="O4" s="51"/>
      <x:c r="P4" s="51"/>
      <x:c r="Q4" s="51"/>
      <x:c r="R4" s="51"/>
      <x:c r="S4" s="51"/>
      <x:c r="T4" s="51"/>
      <x:c r="U4" s="51"/>
      <x:c r="V4" s="51"/>
      <x:c r="W4" s="51"/>
      <x:c r="X4" s="51"/>
      <x:c r="Y4" s="51"/>
      <x:c r="Z4" s="51"/>
    </x:row>
    <x:row r="5">
      <x:c r="C5" s="9"/>
      <x:c r="D5" s="9"/>
      <x:c r="E5" s="9"/>
      <x:c r="F5" s="9"/>
      <x:c r="G5" s="9"/>
      <x:c r="H5" s="9"/>
      <x:c r="I5" s="9"/>
      <x:c r="J5" s="9"/>
      <x:c r="K5" s="9"/>
      <x:c r="L5" s="9"/>
      <x:c r="M5" s="9"/>
      <x:c r="N5" s="9"/>
      <x:c r="O5" s="47"/>
      <x:c r="P5" s="47"/>
      <x:c r="Q5" s="47"/>
      <x:c r="R5" s="47"/>
      <x:c r="S5" s="47"/>
      <x:c r="T5" s="47"/>
      <x:c r="U5" s="47"/>
      <x:c r="V5" s="47"/>
      <x:c r="W5" s="47"/>
      <x:c r="X5" s="47"/>
      <x:c r="Y5" s="47"/>
      <x:c r="Z5" s="47"/>
    </x:row>
    <x:row r="6" ht="28" customHeight="1">
      <x:c r="C6" s="26" t="str">
        <x:v>Alternative</x:v>
      </x:c>
      <x:c r="D6" s="32" t="str">
        <x:v>Sovereign truth</x:v>
      </x:c>
      <x:c r="E6" s="32" t="str">
        <x:v>Root independence</x:v>
      </x:c>
      <x:c r="F6" s="32" t="str">
        <x:v>Matched control</x:v>
      </x:c>
      <x:c r="G6" s="32" t="str">
        <x:v>Cold reconstruction</x:v>
      </x:c>
      <x:c r="H6" s="32" t="str">
        <x:v>Public custody</x:v>
      </x:c>
      <x:c r="I6" s="32" t="str">
        <x:v>Adverse authority</x:v>
      </x:c>
      <x:c r="J6" s="32" t="str">
        <x:v>Budget separation</x:v>
      </x:c>
      <x:c r="K6" s="32" t="str">
        <x:v>Concurrent capacity</x:v>
      </x:c>
      <x:c r="L6" s="32" t="str">
        <x:v>Gates passed</x:v>
      </x:c>
      <x:c r="M6" s="32" t="str">
        <x:v>Decision</x:v>
      </x:c>
      <x:c r="N6" s="27" t="str">
        <x:v>Reason</x:v>
      </x:c>
      <x:c r="O6" s="47"/>
      <x:c r="P6" s="47"/>
      <x:c r="Q6" s="47"/>
      <x:c r="R6" s="47"/>
      <x:c r="S6" s="47"/>
      <x:c r="T6" s="47"/>
      <x:c r="U6" s="47"/>
      <x:c r="V6" s="47"/>
      <x:c r="W6" s="47"/>
      <x:c r="X6" s="47"/>
      <x:c r="Y6" s="47"/>
      <x:c r="Z6" s="47"/>
    </x:row>
    <x:row r="7" ht="36" customHeight="1">
      <x:c r="C7" s="9" t="str">
        <x:v>Root-house test departments</x:v>
      </x:c>
      <x:c r="D7" s="34" t="n">
        <x:v>0</x:v>
      </x:c>
      <x:c r="E7" s="34" t="n">
        <x:v>0</x:v>
      </x:c>
      <x:c r="F7" s="34" t="n">
        <x:v>1</x:v>
      </x:c>
      <x:c r="G7" s="34" t="n">
        <x:v>0</x:v>
      </x:c>
      <x:c r="H7" s="34" t="n">
        <x:v>0</x:v>
      </x:c>
      <x:c r="I7" s="34" t="n">
        <x:v>0</x:v>
      </x:c>
      <x:c r="J7" s="34" t="n">
        <x:v>0</x:v>
      </x:c>
      <x:c r="K7" s="34" t="n">
        <x:v>1</x:v>
      </x:c>
      <x:c r="L7" s="9" t="n">
        <x:f>SUM(D7:K7)</x:f>
        <x:v>2</x:v>
      </x:c>
      <x:c r="M7" s="9" t="str">
        <x:f>IF(L7=8,"SELECTED","REJECTED")</x:f>
        <x:v>REJECTED</x:v>
      </x:c>
      <x:c r="N7" s="13" t="str">
        <x:v>Builder controls method, evidence and adverse publication.</x:v>
      </x:c>
      <x:c r="O7" s="47"/>
      <x:c r="P7" s="47"/>
      <x:c r="Q7" s="47"/>
      <x:c r="R7" s="47"/>
      <x:c r="S7" s="47"/>
      <x:c r="T7" s="47"/>
      <x:c r="U7" s="47"/>
      <x:c r="V7" s="47"/>
      <x:c r="W7" s="47"/>
      <x:c r="X7" s="47"/>
      <x:c r="Y7" s="47"/>
      <x:c r="Z7" s="47"/>
    </x:row>
    <x:row r="8" ht="36" customHeight="1">
      <x:c r="C8" s="9" t="str">
        <x:v>Single national mega-range</x:v>
      </x:c>
      <x:c r="D8" s="34" t="n">
        <x:v>1</x:v>
      </x:c>
      <x:c r="E8" s="34" t="n">
        <x:v>1</x:v>
      </x:c>
      <x:c r="F8" s="34" t="n">
        <x:v>1</x:v>
      </x:c>
      <x:c r="G8" s="34" t="n">
        <x:v>0</x:v>
      </x:c>
      <x:c r="H8" s="34" t="n">
        <x:v>1</x:v>
      </x:c>
      <x:c r="I8" s="34" t="n">
        <x:v>1</x:v>
      </x:c>
      <x:c r="J8" s="34" t="n">
        <x:v>1</x:v>
      </x:c>
      <x:c r="K8" s="34" t="n">
        <x:v>0</x:v>
      </x:c>
      <x:c r="L8" s="9" t="n">
        <x:f>SUM(D8:K8)</x:f>
        <x:v>6</x:v>
      </x:c>
      <x:c r="M8" s="9" t="str">
        <x:f>IF(L8=8,"SELECTED","REJECTED")</x:f>
        <x:v>REJECTED</x:v>
      </x:c>
      <x:c r="N8" s="13" t="str">
        <x:v>One facility creates a national bottleneck and cannot cold-reproduce itself.</x:v>
      </x:c>
      <x:c r="O8" s="47"/>
      <x:c r="P8" s="47"/>
      <x:c r="Q8" s="47"/>
      <x:c r="R8" s="47"/>
      <x:c r="S8" s="47"/>
      <x:c r="T8" s="47"/>
      <x:c r="U8" s="47"/>
      <x:c r="V8" s="47"/>
      <x:c r="W8" s="47"/>
      <x:c r="X8" s="47"/>
      <x:c r="Y8" s="47"/>
      <x:c r="Z8" s="47"/>
    </x:row>
    <x:row r="9" ht="36" customHeight="1">
      <x:c r="C9" s="9" t="str">
        <x:v>Contract-lab federation</x:v>
      </x:c>
      <x:c r="D9" s="34" t="n">
        <x:v>0</x:v>
      </x:c>
      <x:c r="E9" s="34" t="n">
        <x:v>1</x:v>
      </x:c>
      <x:c r="F9" s="34" t="n">
        <x:v>1</x:v>
      </x:c>
      <x:c r="G9" s="34" t="n">
        <x:v>1</x:v>
      </x:c>
      <x:c r="H9" s="34" t="n">
        <x:v>0</x:v>
      </x:c>
      <x:c r="I9" s="34" t="n">
        <x:v>0</x:v>
      </x:c>
      <x:c r="J9" s="34" t="n">
        <x:v>0</x:v>
      </x:c>
      <x:c r="K9" s="34" t="n">
        <x:v>1</x:v>
      </x:c>
      <x:c r="L9" s="9" t="n">
        <x:f>SUM(D9:K9)</x:f>
        <x:v>4</x:v>
      </x:c>
      <x:c r="M9" s="9" t="str">
        <x:f>IF(L9=8,"SELECTED","REJECTED")</x:f>
        <x:v>REJECTED</x:v>
      </x:c>
      <x:c r="N9" s="13" t="str">
        <x:v>Capacity exists, but custody and disposition remain purchasable services.</x:v>
      </x:c>
      <x:c r="O9" s="47"/>
      <x:c r="P9" s="47"/>
      <x:c r="Q9" s="47"/>
      <x:c r="R9" s="47"/>
      <x:c r="S9" s="47"/>
      <x:c r="T9" s="47"/>
      <x:c r="U9" s="47"/>
      <x:c r="V9" s="47"/>
      <x:c r="W9" s="47"/>
      <x:c r="X9" s="47"/>
      <x:c r="Y9" s="47"/>
      <x:c r="Z9" s="47"/>
    </x:row>
    <x:row r="10" ht="36" customHeight="1">
      <x:c r="C10" s="10" t="str">
        <x:v>Resilience Proving Service</x:v>
      </x:c>
      <x:c r="D10" s="35" t="n">
        <x:v>1</x:v>
      </x:c>
      <x:c r="E10" s="35" t="n">
        <x:v>1</x:v>
      </x:c>
      <x:c r="F10" s="35" t="n">
        <x:v>1</x:v>
      </x:c>
      <x:c r="G10" s="35" t="n">
        <x:v>1</x:v>
      </x:c>
      <x:c r="H10" s="35" t="n">
        <x:v>1</x:v>
      </x:c>
      <x:c r="I10" s="35" t="n">
        <x:v>1</x:v>
      </x:c>
      <x:c r="J10" s="35" t="n">
        <x:v>1</x:v>
      </x:c>
      <x:c r="K10" s="35" t="n">
        <x:v>1</x:v>
      </x:c>
      <x:c r="L10" s="10" t="n">
        <x:f>SUM(D10:K10)</x:f>
        <x:v>8</x:v>
      </x:c>
      <x:c r="M10" s="10" t="str">
        <x:f>IF(L10=8,"SELECTED","REJECTED")</x:f>
        <x:v>SELECTED</x:v>
      </x:c>
      <x:c r="N10" s="14" t="str">
        <x:v>Separate public warrants operate three commands and preserve root competition.</x:v>
      </x:c>
      <x:c r="O10" s="47"/>
      <x:c r="P10" s="47"/>
      <x:c r="Q10" s="47"/>
      <x:c r="R10" s="47"/>
      <x:c r="S10" s="47"/>
      <x:c r="T10" s="47"/>
      <x:c r="U10" s="47"/>
      <x:c r="V10" s="47"/>
      <x:c r="W10" s="47"/>
      <x:c r="X10" s="47"/>
      <x:c r="Y10" s="47"/>
      <x:c r="Z10" s="47"/>
    </x:row>
    <x:row r="11"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47"/>
      <x:c r="P11" s="47"/>
      <x:c r="Q11" s="47"/>
      <x:c r="R11" s="47"/>
      <x:c r="S11" s="47"/>
      <x:c r="T11" s="47"/>
      <x:c r="U11" s="47"/>
      <x:c r="V11" s="47"/>
      <x:c r="W11" s="47"/>
      <x:c r="X11" s="47"/>
      <x:c r="Y11" s="47"/>
      <x:c r="Z11" s="47"/>
    </x:row>
    <x:row r="12"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47"/>
      <x:c r="P12" s="47"/>
      <x:c r="Q12" s="47"/>
      <x:c r="R12" s="47"/>
      <x:c r="S12" s="47"/>
      <x:c r="T12" s="47"/>
      <x:c r="U12" s="47"/>
      <x:c r="V12" s="47"/>
      <x:c r="W12" s="47"/>
      <x:c r="X12" s="47"/>
      <x:c r="Y12" s="47"/>
      <x:c r="Z12" s="47"/>
    </x:row>
    <x:row r="13"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47"/>
      <x:c r="P13" s="47"/>
      <x:c r="Q13" s="47"/>
      <x:c r="R13" s="47"/>
      <x:c r="S13" s="47"/>
      <x:c r="T13" s="47"/>
      <x:c r="U13" s="47"/>
      <x:c r="V13" s="47"/>
      <x:c r="W13" s="47"/>
      <x:c r="X13" s="47"/>
      <x:c r="Y13" s="47"/>
      <x:c r="Z13" s="47"/>
    </x:row>
    <x:row r="14"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47"/>
      <x:c r="P14" s="47"/>
      <x:c r="Q14" s="47"/>
      <x:c r="R14" s="47"/>
      <x:c r="S14" s="47"/>
      <x:c r="T14" s="47"/>
      <x:c r="U14" s="47"/>
      <x:c r="V14" s="47"/>
      <x:c r="W14" s="47"/>
      <x:c r="X14" s="47"/>
      <x:c r="Y14" s="47"/>
      <x:c r="Z14" s="47"/>
    </x:row>
  </x:sheetData>
  <x:conditionalFormatting sqref="M7:M10">
    <x:cfRule type="containsText" dxfId="0" priority="1" operator="containsText" text="BLOCKED"/>
    <x:cfRule type="containsText" dxfId="1" priority="2" operator="containsText" text="NOT MOBILIZED"/>
    <x:cfRule type="containsText" dxfId="2" priority="3" operator="containsText" text="READY"/>
    <x:cfRule type="containsText" dxfId="3" priority="4" operator="containsText" text="FAIL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3" max="3" width="16" hidden="0" customWidth="1"/>
    <x:col min="4" max="4" width="27" hidden="0" customWidth="1"/>
    <x:col min="5" max="5" width="45" hidden="0" customWidth="1"/>
    <x:col min="6" max="6" width="38" hidden="0" customWidth="1"/>
    <x:col min="7" max="7" width="25" hidden="0" customWidth="1"/>
    <x:col min="8" max="8" width="28" hidden="0" customWidth="1"/>
    <x:col min="9" max="9" width="3" hidden="0" customWidth="1"/>
    <x:col min="10" max="10" width="3" hidden="0" customWidth="1"/>
    <x:col min="11" max="11" width="3" hidden="0" customWidth="1"/>
    <x:col min="12" max="12" width="16" hidden="0" customWidth="1"/>
    <x:col min="13" max="13" width="18" hidden="0" customWidth="1"/>
  </x:cols>
  <x:sheetData>
    <x:row r="1"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47"/>
      <x:c r="O1" s="47"/>
      <x:c r="P1" s="47"/>
      <x:c r="Q1" s="47"/>
      <x:c r="R1" s="47"/>
      <x:c r="S1" s="47"/>
      <x:c r="T1" s="47"/>
      <x:c r="U1" s="47"/>
      <x:c r="V1" s="47"/>
      <x:c r="W1" s="47"/>
      <x:c r="X1" s="47"/>
      <x:c r="Y1" s="47"/>
      <x:c r="Z1" s="47"/>
    </x:row>
    <x:row r="2">
      <x:c r="C2" s="48" t="str">
        <x:v>Nine exclusive public warrants</x:v>
      </x:c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47"/>
      <x:c r="O2" s="47"/>
      <x:c r="P2" s="47"/>
      <x:c r="Q2" s="47"/>
      <x:c r="R2" s="47"/>
      <x:c r="S2" s="47"/>
      <x:c r="T2" s="47"/>
      <x:c r="U2" s="47"/>
      <x:c r="V2" s="47"/>
      <x:c r="W2" s="47"/>
      <x:c r="X2" s="47"/>
      <x:c r="Y2" s="47"/>
      <x:c r="Z2" s="47"/>
    </x:row>
    <x:row r="3">
      <x:c r="C3" s="49" t="str">
        <x:v>No actor may design the candidate, create its evidence, judge its result and release its money.</x:v>
      </x:c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47"/>
      <x:c r="O3" s="47"/>
      <x:c r="P3" s="47"/>
      <x:c r="Q3" s="47"/>
      <x:c r="R3" s="47"/>
      <x:c r="S3" s="47"/>
      <x:c r="T3" s="47"/>
      <x:c r="U3" s="47"/>
      <x:c r="V3" s="47"/>
      <x:c r="W3" s="47"/>
      <x:c r="X3" s="47"/>
      <x:c r="Y3" s="47"/>
      <x:c r="Z3" s="47"/>
    </x:row>
    <x:row r="4">
      <x:c r="C4" s="50"/>
      <x:c r="D4" s="50"/>
      <x:c r="E4" s="50"/>
      <x:c r="F4" s="50"/>
      <x:c r="G4" s="50"/>
      <x:c r="H4" s="50"/>
      <x:c r="I4" s="50"/>
      <x:c r="J4" s="50"/>
      <x:c r="K4" s="50"/>
      <x:c r="L4" s="50"/>
      <x:c r="M4" s="50"/>
      <x:c r="N4" s="51"/>
      <x:c r="O4" s="51"/>
      <x:c r="P4" s="51"/>
      <x:c r="Q4" s="51"/>
      <x:c r="R4" s="51"/>
      <x:c r="S4" s="51"/>
      <x:c r="T4" s="51"/>
      <x:c r="U4" s="51"/>
      <x:c r="V4" s="51"/>
      <x:c r="W4" s="51"/>
      <x:c r="X4" s="51"/>
      <x:c r="Y4" s="51"/>
      <x:c r="Z4" s="51"/>
    </x:row>
    <x:row r="5">
      <x:c r="C5" s="9"/>
      <x:c r="D5" s="9"/>
      <x:c r="E5" s="9"/>
      <x:c r="F5" s="9"/>
      <x:c r="G5" s="9"/>
      <x:c r="H5" s="9"/>
      <x:c r="I5" s="9"/>
      <x:c r="J5" s="9"/>
      <x:c r="K5" s="9"/>
      <x:c r="L5" s="9"/>
      <x:c r="M5" s="9"/>
      <x:c r="N5" s="47"/>
      <x:c r="O5" s="47"/>
      <x:c r="P5" s="47"/>
      <x:c r="Q5" s="47"/>
      <x:c r="R5" s="47"/>
      <x:c r="S5" s="47"/>
      <x:c r="T5" s="47"/>
      <x:c r="U5" s="47"/>
      <x:c r="V5" s="47"/>
      <x:c r="W5" s="47"/>
      <x:c r="X5" s="47"/>
      <x:c r="Y5" s="47"/>
      <x:c r="Z5" s="47"/>
    </x:row>
    <x:row r="6" ht="28" customHeight="1">
      <x:c r="C6" s="26" t="str">
        <x:v>Warrant</x:v>
      </x:c>
      <x:c r="D6" s="32" t="str">
        <x:v>Owner</x:v>
      </x:c>
      <x:c r="E6" s="32" t="str">
        <x:v>Exclusive authority</x:v>
      </x:c>
      <x:c r="F6" s="32" t="str">
        <x:v>Must not control</x:v>
      </x:c>
      <x:c r="G6" s="32" t="str">
        <x:v>Stop authority</x:v>
      </x:c>
      <x:c r="H6" s="27" t="str">
        <x:v>May authorize</x:v>
      </x:c>
      <x:c r="I6" s="9"/>
      <x:c r="J6" s="9"/>
      <x:c r="K6" s="9"/>
      <x:c r="L6" s="26" t="str">
        <x:v>Accepted</x:v>
      </x:c>
      <x:c r="M6" s="27" t="str">
        <x:v>State</x:v>
      </x:c>
      <x:c r="N6" s="47"/>
      <x:c r="O6" s="47"/>
      <x:c r="P6" s="47"/>
      <x:c r="Q6" s="47"/>
      <x:c r="R6" s="47"/>
      <x:c r="S6" s="47"/>
      <x:c r="T6" s="47"/>
      <x:c r="U6" s="47"/>
      <x:c r="V6" s="47"/>
      <x:c r="W6" s="47"/>
      <x:c r="X6" s="47"/>
      <x:c r="Y6" s="47"/>
      <x:c r="Z6" s="47"/>
    </x:row>
    <x:row r="7" ht="46" customHeight="1">
      <x:c r="C7" s="9" t="str">
        <x:v>W-MISSION</x:v>
      </x:c>
      <x:c r="D7" s="9" t="str">
        <x:v>Mission System Commands</x:v>
      </x:c>
      <x:c r="E7" s="13" t="str">
        <x:v>Freeze public-service denominator and four-root cohort</x:v>
      </x:c>
      <x:c r="F7" s="13" t="str">
        <x:v>Disposition and experiment execution</x:v>
      </x:c>
      <x:c r="G7" s="13" t="str">
        <x:v>Service mismatch</x:v>
      </x:c>
      <x:c r="H7" s="13" t="str">
        <x:v>No root result</x:v>
      </x:c>
      <x:c r="I7" s="9"/>
      <x:c r="J7" s="9"/>
      <x:c r="K7" s="9"/>
      <x:c r="L7" s="42" t="n">
        <x:v>0</x:v>
      </x:c>
      <x:c r="M7" s="9" t="str">
        <x:f>IF(L7=1,"ACCEPTED","SOURCE-EMPTY")</x:f>
        <x:v>SOURCE-EMPTY</x:v>
      </x:c>
      <x:c r="N7" s="47"/>
      <x:c r="O7" s="47"/>
      <x:c r="P7" s="47"/>
      <x:c r="Q7" s="47"/>
      <x:c r="R7" s="47"/>
      <x:c r="S7" s="47"/>
      <x:c r="T7" s="47"/>
      <x:c r="U7" s="47"/>
      <x:c r="V7" s="47"/>
      <x:c r="W7" s="47"/>
      <x:c r="X7" s="47"/>
      <x:c r="Y7" s="47"/>
      <x:c r="Z7" s="47"/>
    </x:row>
    <x:row r="8" ht="46" customHeight="1">
      <x:c r="C8" s="9" t="str">
        <x:v>W-ROOT</x:v>
      </x:c>
      <x:c r="D8" s="9" t="str">
        <x:v>Independent Root Houses</x:v>
      </x:c>
      <x:c r="E8" s="13" t="str">
        <x:v>Design candidate, disclose ancestry and deliver technical data</x:v>
      </x:c>
      <x:c r="F8" s="13" t="str">
        <x:v>Method, rig, judge and retry selection</x:v>
      </x:c>
      <x:c r="G8" s="13" t="str">
        <x:v>Candidate hardware</x:v>
      </x:c>
      <x:c r="H8" s="13" t="str">
        <x:v>No evidence acceptance</x:v>
      </x:c>
      <x:c r="I8" s="9"/>
      <x:c r="J8" s="9"/>
      <x:c r="K8" s="9"/>
      <x:c r="L8" s="42" t="n">
        <x:v>0</x:v>
      </x:c>
      <x:c r="M8" s="9" t="str">
        <x:f>IF(L8=1,"ACCEPTED","SOURCE-EMPTY")</x:f>
        <x:v>SOURCE-EMPTY</x:v>
      </x:c>
      <x:c r="N8" s="47"/>
      <x:c r="O8" s="47"/>
      <x:c r="P8" s="47"/>
      <x:c r="Q8" s="47"/>
      <x:c r="R8" s="47"/>
      <x:c r="S8" s="47"/>
      <x:c r="T8" s="47"/>
      <x:c r="U8" s="47"/>
      <x:c r="V8" s="47"/>
      <x:c r="W8" s="47"/>
      <x:c r="X8" s="47"/>
      <x:c r="Y8" s="47"/>
      <x:c r="Z8" s="47"/>
    </x:row>
    <x:row r="9" ht="46" customHeight="1">
      <x:c r="C9" s="9" t="str">
        <x:v>W-WORLD</x:v>
      </x:c>
      <x:c r="D9" s="9" t="str">
        <x:v>Worlds Command</x:v>
      </x:c>
      <x:c r="E9" s="13" t="str">
        <x:v>Create decisive denial worlds and challenge states</x:v>
      </x:c>
      <x:c r="F9" s="13" t="str">
        <x:v>Matched control and cold reconstruction</x:v>
      </x:c>
      <x:c r="G9" s="13" t="str">
        <x:v>Unsafe challenge</x:v>
      </x:c>
      <x:c r="H9" s="13" t="str">
        <x:v>Challenge validity only</x:v>
      </x:c>
      <x:c r="I9" s="9"/>
      <x:c r="J9" s="9"/>
      <x:c r="K9" s="9"/>
      <x:c r="L9" s="42" t="n">
        <x:v>0</x:v>
      </x:c>
      <x:c r="M9" s="9" t="str">
        <x:f>IF(L9=1,"ACCEPTED","SOURCE-EMPTY")</x:f>
        <x:v>SOURCE-EMPTY</x:v>
      </x:c>
      <x:c r="N9" s="47"/>
      <x:c r="O9" s="47"/>
      <x:c r="P9" s="47"/>
      <x:c r="Q9" s="47"/>
      <x:c r="R9" s="47"/>
      <x:c r="S9" s="47"/>
      <x:c r="T9" s="47"/>
      <x:c r="U9" s="47"/>
      <x:c r="V9" s="47"/>
      <x:c r="W9" s="47"/>
      <x:c r="X9" s="47"/>
      <x:c r="Y9" s="47"/>
      <x:c r="Z9" s="47"/>
    </x:row>
    <x:row r="10" ht="46" customHeight="1">
      <x:c r="C10" s="9" t="str">
        <x:v>W-CONTROL</x:v>
      </x:c>
      <x:c r="D10" s="9" t="str">
        <x:v>Counterfactual Command</x:v>
      </x:c>
      <x:c r="E10" s="13" t="str">
        <x:v>Operate matched controls and quantify background burden</x:v>
      </x:c>
      <x:c r="F10" s="13" t="str">
        <x:v>Challenge world and candidate design</x:v>
      </x:c>
      <x:c r="G10" s="13" t="str">
        <x:v>Invalid comparison</x:v>
      </x:c>
      <x:c r="H10" s="13" t="str">
        <x:v>Control validity only</x:v>
      </x:c>
      <x:c r="I10" s="9"/>
      <x:c r="J10" s="9"/>
      <x:c r="K10" s="9"/>
      <x:c r="L10" s="42" t="n">
        <x:v>0</x:v>
      </x:c>
      <x:c r="M10" s="9" t="str">
        <x:f>IF(L10=1,"ACCEPTED","SOURCE-EMPTY")</x:f>
        <x:v>SOURCE-EMPTY</x:v>
      </x:c>
      <x:c r="N10" s="47"/>
      <x:c r="O10" s="47"/>
      <x:c r="P10" s="47"/>
      <x:c r="Q10" s="47"/>
      <x:c r="R10" s="47"/>
      <x:c r="S10" s="47"/>
      <x:c r="T10" s="47"/>
      <x:c r="U10" s="47"/>
      <x:c r="V10" s="47"/>
      <x:c r="W10" s="47"/>
      <x:c r="X10" s="47"/>
      <x:c r="Y10" s="47"/>
      <x:c r="Z10" s="47"/>
    </x:row>
    <x:row r="11" ht="46" customHeight="1">
      <x:c r="C11" s="9" t="str">
        <x:v>W-RECON</x:v>
      </x:c>
      <x:c r="D11" s="9" t="str">
        <x:v>Reconstruction Command</x:v>
      </x:c>
      <x:c r="E11" s="13" t="str">
        <x:v>Cold-build and replay from public technical data</x:v>
      </x:c>
      <x:c r="F11" s="13" t="str">
        <x:v>Root-house craft labor and proving toolchain</x:v>
      </x:c>
      <x:c r="G11" s="13" t="str">
        <x:v>Unreproducible build</x:v>
      </x:c>
      <x:c r="H11" s="13" t="str">
        <x:v>Reproduction validity only</x:v>
      </x:c>
      <x:c r="I11" s="9"/>
      <x:c r="J11" s="9"/>
      <x:c r="K11" s="9"/>
      <x:c r="L11" s="42" t="n">
        <x:v>0</x:v>
      </x:c>
      <x:c r="M11" s="9" t="str">
        <x:f>IF(L11=1,"ACCEPTED","SOURCE-EMPTY")</x:f>
        <x:v>SOURCE-EMPTY</x:v>
      </x:c>
      <x:c r="N11" s="47"/>
      <x:c r="O11" s="47"/>
      <x:c r="P11" s="47"/>
      <x:c r="Q11" s="47"/>
      <x:c r="R11" s="47"/>
      <x:c r="S11" s="47"/>
      <x:c r="T11" s="47"/>
      <x:c r="U11" s="47"/>
      <x:c r="V11" s="47"/>
      <x:c r="W11" s="47"/>
      <x:c r="X11" s="47"/>
      <x:c r="Y11" s="47"/>
      <x:c r="Z11" s="47"/>
    </x:row>
    <x:row r="12" ht="46" customHeight="1">
      <x:c r="C12" s="9" t="str">
        <x:v>W-METROLOGY</x:v>
      </x:c>
      <x:c r="D12" s="9" t="str">
        <x:v>Standards and Custody Command</x:v>
      </x:c>
      <x:c r="E12" s="13" t="str">
        <x:v>Own instruments, uncertainty, samples, clocks and evidence vault</x:v>
      </x:c>
      <x:c r="F12" s="13" t="str">
        <x:v>Candidate design and final disposition</x:v>
      </x:c>
      <x:c r="G12" s="13" t="str">
        <x:v>Broken custody or calibration</x:v>
      </x:c>
      <x:c r="H12" s="13" t="str">
        <x:v>Measurement acceptance only</x:v>
      </x:c>
      <x:c r="I12" s="9"/>
      <x:c r="J12" s="9"/>
      <x:c r="K12" s="9"/>
      <x:c r="L12" s="42" t="n">
        <x:v>0</x:v>
      </x:c>
      <x:c r="M12" s="9" t="str">
        <x:f>IF(L12=1,"ACCEPTED","SOURCE-EMPTY")</x:f>
        <x:v>SOURCE-EMPTY</x:v>
      </x:c>
      <x:c r="N12" s="47"/>
      <x:c r="O12" s="47"/>
      <x:c r="P12" s="47"/>
      <x:c r="Q12" s="47"/>
      <x:c r="R12" s="47"/>
      <x:c r="S12" s="47"/>
      <x:c r="T12" s="47"/>
      <x:c r="U12" s="47"/>
      <x:c r="V12" s="47"/>
      <x:c r="W12" s="47"/>
      <x:c r="X12" s="47"/>
      <x:c r="Y12" s="47"/>
      <x:c r="Z12" s="47"/>
    </x:row>
    <x:row r="13" ht="46" customHeight="1">
      <x:c r="C13" s="9" t="str">
        <x:v>W-PROTECTION</x:v>
      </x:c>
      <x:c r="D13" s="9" t="str">
        <x:v>Public Protection Inspectorate</x:v>
      </x:c>
      <x:c r="E13" s="13" t="str">
        <x:v>Exercise independent safety, rights and intervention stop</x:v>
      </x:c>
      <x:c r="F13" s="13" t="str">
        <x:v>Schedule, budget and root selection</x:v>
      </x:c>
      <x:c r="G13" s="13" t="str">
        <x:v>Unsafe or unlawful act</x:v>
      </x:c>
      <x:c r="H13" s="13" t="str">
        <x:v>No positive credit</x:v>
      </x:c>
      <x:c r="I13" s="9"/>
      <x:c r="J13" s="9"/>
      <x:c r="K13" s="9"/>
      <x:c r="L13" s="42" t="n">
        <x:v>0</x:v>
      </x:c>
      <x:c r="M13" s="9" t="str">
        <x:f>IF(L13=1,"ACCEPTED","SOURCE-EMPTY")</x:f>
        <x:v>SOURCE-EMPTY</x:v>
      </x:c>
      <x:c r="N13" s="47"/>
      <x:c r="O13" s="47"/>
      <x:c r="P13" s="47"/>
      <x:c r="Q13" s="47"/>
      <x:c r="R13" s="47"/>
      <x:c r="S13" s="47"/>
      <x:c r="T13" s="47"/>
      <x:c r="U13" s="47"/>
      <x:c r="V13" s="47"/>
      <x:c r="W13" s="47"/>
      <x:c r="X13" s="47"/>
      <x:c r="Y13" s="47"/>
      <x:c r="Z13" s="47"/>
    </x:row>
    <x:row r="14" ht="46" customHeight="1">
      <x:c r="C14" s="9" t="str">
        <x:v>W-DISPOSITION</x:v>
      </x:c>
      <x:c r="D14" s="9" t="str">
        <x:v>Root Disposition Board</x:v>
      </x:c>
      <x:c r="E14" s="13" t="str">
        <x:v>Apply frozen RESIZE, KILL, HOLD and BUILD PROOF rules</x:v>
      </x:c>
      <x:c r="F14" s="13" t="str">
        <x:v>Mission sponsorship, construction and testing</x:v>
      </x:c>
      <x:c r="G14" s="13" t="str">
        <x:v>Terminal breach</x:v>
      </x:c>
      <x:c r="H14" s="13" t="str">
        <x:v>Root action only</x:v>
      </x:c>
      <x:c r="I14" s="9"/>
      <x:c r="J14" s="9"/>
      <x:c r="K14" s="9"/>
      <x:c r="L14" s="42" t="n">
        <x:v>0</x:v>
      </x:c>
      <x:c r="M14" s="9" t="str">
        <x:f>IF(L14=1,"ACCEPTED","SOURCE-EMPTY")</x:f>
        <x:v>SOURCE-EMPTY</x:v>
      </x:c>
      <x:c r="N14" s="47"/>
      <x:c r="O14" s="47"/>
      <x:c r="P14" s="47"/>
      <x:c r="Q14" s="47"/>
      <x:c r="R14" s="47"/>
      <x:c r="S14" s="47"/>
      <x:c r="T14" s="47"/>
      <x:c r="U14" s="47"/>
      <x:c r="V14" s="47"/>
      <x:c r="W14" s="47"/>
      <x:c r="X14" s="47"/>
      <x:c r="Y14" s="47"/>
      <x:c r="Z14" s="47"/>
    </x:row>
    <x:row r="15" ht="46" customHeight="1">
      <x:c r="C15" s="10" t="str">
        <x:v>W-COMPTROLLER</x:v>
      </x:c>
      <x:c r="D15" s="10" t="str">
        <x:v>Program Comptroller</x:v>
      </x:c>
      <x:c r="E15" s="14" t="str">
        <x:v>Release stage authority and return unused balances</x:v>
      </x:c>
      <x:c r="F15" s="14" t="str">
        <x:v>Candidate, test execution and disposition</x:v>
      </x:c>
      <x:c r="G15" s="14" t="str">
        <x:v>Unauthorized obligation</x:v>
      </x:c>
      <x:c r="H15" s="14" t="str">
        <x:v>Money only after accepted gate</x:v>
      </x:c>
      <x:c r="I15" s="9"/>
      <x:c r="J15" s="9"/>
      <x:c r="K15" s="9"/>
      <x:c r="L15" s="42" t="n">
        <x:v>0</x:v>
      </x:c>
      <x:c r="M15" s="9" t="str">
        <x:f>IF(L15=1,"ACCEPTED","SOURCE-EMPTY")</x:f>
        <x:v>SOURCE-EMPTY</x:v>
      </x:c>
      <x:c r="N15" s="47"/>
      <x:c r="O15" s="47"/>
      <x:c r="P15" s="47"/>
      <x:c r="Q15" s="47"/>
      <x:c r="R15" s="47"/>
      <x:c r="S15" s="47"/>
      <x:c r="T15" s="47"/>
      <x:c r="U15" s="47"/>
      <x:c r="V15" s="47"/>
      <x:c r="W15" s="47"/>
      <x:c r="X15" s="47"/>
      <x:c r="Y15" s="47"/>
      <x:c r="Z15" s="47"/>
    </x:row>
    <x:row r="16"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47"/>
      <x:c r="O16" s="47"/>
      <x:c r="P16" s="47"/>
      <x:c r="Q16" s="47"/>
      <x:c r="R16" s="47"/>
      <x:c r="S16" s="47"/>
      <x:c r="T16" s="47"/>
      <x:c r="U16" s="47"/>
      <x:c r="V16" s="47"/>
      <x:c r="W16" s="47"/>
      <x:c r="X16" s="47"/>
      <x:c r="Y16" s="47"/>
      <x:c r="Z16" s="47"/>
    </x:row>
    <x:row r="17"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47"/>
      <x:c r="O17" s="47"/>
      <x:c r="P17" s="47"/>
      <x:c r="Q17" s="47"/>
      <x:c r="R17" s="47"/>
      <x:c r="S17" s="47"/>
      <x:c r="T17" s="47"/>
      <x:c r="U17" s="47"/>
      <x:c r="V17" s="47"/>
      <x:c r="W17" s="47"/>
      <x:c r="X17" s="47"/>
      <x:c r="Y17" s="47"/>
      <x:c r="Z17" s="47"/>
    </x:row>
    <x:row r="18"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47"/>
      <x:c r="O18" s="47"/>
      <x:c r="P18" s="47"/>
      <x:c r="Q18" s="47"/>
      <x:c r="R18" s="47"/>
      <x:c r="S18" s="47"/>
      <x:c r="T18" s="47"/>
      <x:c r="U18" s="47"/>
      <x:c r="V18" s="47"/>
      <x:c r="W18" s="47"/>
      <x:c r="X18" s="47"/>
      <x:c r="Y18" s="47"/>
      <x:c r="Z18" s="47"/>
    </x:row>
    <x:row r="19"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47"/>
      <x:c r="O19" s="47"/>
      <x:c r="P19" s="47"/>
      <x:c r="Q19" s="47"/>
      <x:c r="R19" s="47"/>
      <x:c r="S19" s="47"/>
      <x:c r="T19" s="47"/>
      <x:c r="U19" s="47"/>
      <x:c r="V19" s="47"/>
      <x:c r="W19" s="47"/>
      <x:c r="X19" s="47"/>
      <x:c r="Y19" s="47"/>
      <x:c r="Z19" s="47"/>
    </x:row>
  </x:sheetData>
  <x:conditionalFormatting sqref="M7:M15">
    <x:cfRule type="containsText" dxfId="4" priority="1" operator="containsText" text="BLOCKED"/>
    <x:cfRule type="containsText" dxfId="5" priority="2" operator="containsText" text="NOT MOBILIZED"/>
    <x:cfRule type="containsText" dxfId="6" priority="3" operator="containsText" text="READY"/>
    <x:cfRule type="containsText" dxfId="7" priority="4" operator="containsText" text="FAIL"/>
  </x:conditionalFormatting>
  <x:dataValidations count="1">
    <x:dataValidation type="list" sqref="L7:L15">
      <x:formula1>"0,1"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3" max="3" width="15" hidden="0" customWidth="1"/>
    <x:col min="4" max="4" width="14" hidden="0" customWidth="1"/>
    <x:col min="5" max="5" width="26" hidden="0" customWidth="1"/>
    <x:col min="6" max="6" width="10" hidden="0" customWidth="1"/>
    <x:col min="7" max="7" width="13" hidden="0" customWidth="1"/>
    <x:col min="8" max="8" width="18" hidden="0" customWidth="1"/>
    <x:col min="9" max="9" width="15" hidden="0" customWidth="1"/>
    <x:col min="10" max="10" width="18" hidden="0" customWidth="1"/>
    <x:col min="11" max="11" width="18" hidden="0" customWidth="1"/>
    <x:col min="12" max="12" width="18" hidden="0" customWidth="1"/>
    <x:col min="13" max="13" width="16" hidden="0" customWidth="1"/>
  </x:cols>
  <x:sheetData>
    <x:row r="1"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47"/>
      <x:c r="O1" s="47"/>
      <x:c r="P1" s="47"/>
      <x:c r="Q1" s="47"/>
      <x:c r="R1" s="47"/>
      <x:c r="S1" s="47"/>
      <x:c r="T1" s="47"/>
      <x:c r="U1" s="47"/>
      <x:c r="V1" s="47"/>
      <x:c r="W1" s="47"/>
      <x:c r="X1" s="47"/>
      <x:c r="Y1" s="47"/>
      <x:c r="Z1" s="47"/>
    </x:row>
    <x:row r="2">
      <x:c r="C2" s="48" t="str">
        <x:v>Five four-root campaign cohorts</x:v>
      </x:c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47"/>
      <x:c r="O2" s="47"/>
      <x:c r="P2" s="47"/>
      <x:c r="Q2" s="47"/>
      <x:c r="R2" s="47"/>
      <x:c r="S2" s="47"/>
      <x:c r="T2" s="47"/>
      <x:c r="U2" s="47"/>
      <x:c r="V2" s="47"/>
      <x:c r="W2" s="47"/>
      <x:c r="X2" s="47"/>
      <x:c r="Y2" s="47"/>
      <x:c r="Z2" s="47"/>
    </x:row>
    <x:row r="3">
      <x:c r="C3" s="49" t="str">
        <x:v>A system advances as a cohort. A killed lineage must be replaced before proof contracting.</x:v>
      </x:c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47"/>
      <x:c r="O3" s="47"/>
      <x:c r="P3" s="47"/>
      <x:c r="Q3" s="47"/>
      <x:c r="R3" s="47"/>
      <x:c r="S3" s="47"/>
      <x:c r="T3" s="47"/>
      <x:c r="U3" s="47"/>
      <x:c r="V3" s="47"/>
      <x:c r="W3" s="47"/>
      <x:c r="X3" s="47"/>
      <x:c r="Y3" s="47"/>
      <x:c r="Z3" s="47"/>
    </x:row>
    <x:row r="4">
      <x:c r="C4" s="50"/>
      <x:c r="D4" s="50"/>
      <x:c r="E4" s="50"/>
      <x:c r="F4" s="50"/>
      <x:c r="G4" s="50"/>
      <x:c r="H4" s="50"/>
      <x:c r="I4" s="50"/>
      <x:c r="J4" s="50"/>
      <x:c r="K4" s="50"/>
      <x:c r="L4" s="50"/>
      <x:c r="M4" s="50"/>
      <x:c r="N4" s="51"/>
      <x:c r="O4" s="51"/>
      <x:c r="P4" s="51"/>
      <x:c r="Q4" s="51"/>
      <x:c r="R4" s="51"/>
      <x:c r="S4" s="51"/>
      <x:c r="T4" s="51"/>
      <x:c r="U4" s="51"/>
      <x:c r="V4" s="51"/>
      <x:c r="W4" s="51"/>
      <x:c r="X4" s="51"/>
      <x:c r="Y4" s="51"/>
      <x:c r="Z4" s="51"/>
    </x:row>
    <x:row r="5">
      <x:c r="C5" s="9"/>
      <x:c r="D5" s="9"/>
      <x:c r="E5" s="9"/>
      <x:c r="F5" s="9"/>
      <x:c r="G5" s="9"/>
      <x:c r="H5" s="9"/>
      <x:c r="I5" s="9"/>
      <x:c r="J5" s="9"/>
      <x:c r="K5" s="9"/>
      <x:c r="L5" s="9"/>
      <x:c r="M5" s="9"/>
      <x:c r="N5" s="47"/>
      <x:c r="O5" s="47"/>
      <x:c r="P5" s="47"/>
      <x:c r="Q5" s="47"/>
      <x:c r="R5" s="47"/>
      <x:c r="S5" s="47"/>
      <x:c r="T5" s="47"/>
      <x:c r="U5" s="47"/>
      <x:c r="V5" s="47"/>
      <x:c r="W5" s="47"/>
      <x:c r="X5" s="47"/>
      <x:c r="Y5" s="47"/>
      <x:c r="Z5" s="47"/>
    </x:row>
    <x:row r="6" ht="28" customHeight="1">
      <x:c r="C6" s="26" t="str">
        <x:v>Root</x:v>
      </x:c>
      <x:c r="D6" s="32" t="str">
        <x:v>System</x:v>
      </x:c>
      <x:c r="E6" s="32" t="str">
        <x:v>Mechanism</x:v>
      </x:c>
      <x:c r="F6" s="32" t="str">
        <x:v>Wave</x:v>
      </x:c>
      <x:c r="G6" s="32" t="str">
        <x:v>Deadline month</x:v>
      </x:c>
      <x:c r="H6" s="32" t="str">
        <x:v>Limiting account</x:v>
      </x:c>
      <x:c r="I6" s="32" t="str">
        <x:v>Early cap USD B</x:v>
      </x:c>
      <x:c r="J6" s="32" t="str">
        <x:v>Campaign group</x:v>
      </x:c>
      <x:c r="K6" s="32" t="str">
        <x:v>Challenge station</x:v>
      </x:c>
      <x:c r="L6" s="32" t="str">
        <x:v>Control station</x:v>
      </x:c>
      <x:c r="M6" s="27" t="str">
        <x:v>Reproduction station</x:v>
      </x:c>
      <x:c r="N6" s="47"/>
      <x:c r="O6" s="47"/>
      <x:c r="P6" s="47"/>
      <x:c r="Q6" s="47"/>
      <x:c r="R6" s="47"/>
      <x:c r="S6" s="47"/>
      <x:c r="T6" s="47"/>
      <x:c r="U6" s="47"/>
      <x:c r="V6" s="47"/>
      <x:c r="W6" s="47"/>
      <x:c r="X6" s="47"/>
      <x:c r="Y6" s="47"/>
      <x:c r="Z6" s="47"/>
    </x:row>
    <x:row r="7">
      <x:c r="C7" s="9" t="str">
        <x:v>MS-ET|A</x:v>
      </x:c>
      <x:c r="D7" s="9" t="str">
        <x:v>MS-ET</x:v>
      </x:c>
      <x:c r="E7" s="9" t="str">
        <x:v>Pelagic heavy bridge</x:v>
      </x:c>
      <x:c r="F7" s="9" t="str">
        <x:v>W1</x:v>
      </x:c>
      <x:c r="G7" s="9" t="n">
        <x:v>30</x:v>
      </x:c>
      <x:c r="H7" s="9" t="str">
        <x:v>Route flow</x:v>
      </x:c>
      <x:c r="I7" s="38" t="n">
        <x:v>2.2255849020021112</x:v>
      </x:c>
      <x:c r="J7" s="9" t="str">
        <x:v>CG-ET</x:v>
      </x:c>
      <x:c r="K7" s="9" t="str">
        <x:v>ST-ET-CHL</x:v>
      </x:c>
      <x:c r="L7" s="9" t="str">
        <x:v>ST-ET-CTL</x:v>
      </x:c>
      <x:c r="M7" s="9" t="str">
        <x:v>ST-ET-REP</x:v>
      </x:c>
      <x:c r="N7" s="47"/>
      <x:c r="O7" s="47"/>
      <x:c r="P7" s="47"/>
      <x:c r="Q7" s="47"/>
      <x:c r="R7" s="47"/>
      <x:c r="S7" s="47"/>
      <x:c r="T7" s="47"/>
      <x:c r="U7" s="47"/>
      <x:c r="V7" s="47"/>
      <x:c r="W7" s="47"/>
      <x:c r="X7" s="47"/>
      <x:c r="Y7" s="47"/>
      <x:c r="Z7" s="47"/>
    </x:row>
    <x:row r="8">
      <x:c r="C8" s="9" t="str">
        <x:v>MS-ET|B</x:v>
      </x:c>
      <x:c r="D8" s="9" t="str">
        <x:v>MS-ET</x:v>
      </x:c>
      <x:c r="E8" s="9" t="str">
        <x:v>Aerostatic sky bridge</x:v>
      </x:c>
      <x:c r="F8" s="9" t="str">
        <x:v>W2</x:v>
      </x:c>
      <x:c r="G8" s="9" t="n">
        <x:v>42</x:v>
      </x:c>
      <x:c r="H8" s="9" t="str">
        <x:v>Route flow</x:v>
      </x:c>
      <x:c r="I8" s="38" t="n">
        <x:v>2.2255849020021112</x:v>
      </x:c>
      <x:c r="J8" s="9" t="str">
        <x:v>CG-ET</x:v>
      </x:c>
      <x:c r="K8" s="9" t="str">
        <x:v>ST-ET-CHL</x:v>
      </x:c>
      <x:c r="L8" s="9" t="str">
        <x:v>ST-ET-CTL</x:v>
      </x:c>
      <x:c r="M8" s="9" t="str">
        <x:v>ST-ET-REP</x:v>
      </x:c>
      <x:c r="N8" s="47"/>
      <x:c r="O8" s="47"/>
      <x:c r="P8" s="47"/>
      <x:c r="Q8" s="47"/>
      <x:c r="R8" s="47"/>
      <x:c r="S8" s="47"/>
      <x:c r="T8" s="47"/>
      <x:c r="U8" s="47"/>
      <x:c r="V8" s="47"/>
      <x:c r="W8" s="47"/>
      <x:c r="X8" s="47"/>
      <x:c r="Y8" s="47"/>
      <x:c r="Z8" s="47"/>
    </x:row>
    <x:row r="9">
      <x:c r="C9" s="9" t="str">
        <x:v>MS-ET|C</x:v>
      </x:c>
      <x:c r="D9" s="9" t="str">
        <x:v>MS-ET</x:v>
      </x:c>
      <x:c r="E9" s="9" t="str">
        <x:v>Terrain corridor train</x:v>
      </x:c>
      <x:c r="F9" s="9" t="str">
        <x:v>W2</x:v>
      </x:c>
      <x:c r="G9" s="9" t="n">
        <x:v>42</x:v>
      </x:c>
      <x:c r="H9" s="9" t="str">
        <x:v>Mass</x:v>
      </x:c>
      <x:c r="I9" s="38" t="n">
        <x:v>2.0030264118019</x:v>
      </x:c>
      <x:c r="J9" s="9" t="str">
        <x:v>CG-ET</x:v>
      </x:c>
      <x:c r="K9" s="9" t="str">
        <x:v>ST-ET-CHL</x:v>
      </x:c>
      <x:c r="L9" s="9" t="str">
        <x:v>ST-ET-CTL</x:v>
      </x:c>
      <x:c r="M9" s="9" t="str">
        <x:v>ST-ET-REP</x:v>
      </x:c>
      <x:c r="N9" s="47"/>
      <x:c r="O9" s="47"/>
      <x:c r="P9" s="47"/>
      <x:c r="Q9" s="47"/>
      <x:c r="R9" s="47"/>
      <x:c r="S9" s="47"/>
      <x:c r="T9" s="47"/>
      <x:c r="U9" s="47"/>
      <x:c r="V9" s="47"/>
      <x:c r="W9" s="47"/>
      <x:c r="X9" s="47"/>
      <x:c r="Y9" s="47"/>
      <x:c r="Z9" s="47"/>
    </x:row>
    <x:row r="10">
      <x:c r="C10" s="9" t="str">
        <x:v>MS-ET|D</x:v>
      </x:c>
      <x:c r="D10" s="9" t="str">
        <x:v>MS-ET</x:v>
      </x:c>
      <x:c r="E10" s="9" t="str">
        <x:v>Amphibious mesh</x:v>
      </x:c>
      <x:c r="F10" s="9" t="str">
        <x:v>W2</x:v>
      </x:c>
      <x:c r="G10" s="9" t="n">
        <x:v>42</x:v>
      </x:c>
      <x:c r="H10" s="9" t="str">
        <x:v>Safety</x:v>
      </x:c>
      <x:c r="I10" s="38" t="n">
        <x:v>1.4466301863013722</x:v>
      </x:c>
      <x:c r="J10" s="9" t="str">
        <x:v>CG-ET</x:v>
      </x:c>
      <x:c r="K10" s="9" t="str">
        <x:v>ST-ET-CHL</x:v>
      </x:c>
      <x:c r="L10" s="9" t="str">
        <x:v>ST-ET-CTL</x:v>
      </x:c>
      <x:c r="M10" s="9" t="str">
        <x:v>ST-ET-REP</x:v>
      </x:c>
      <x:c r="N10" s="47"/>
      <x:c r="O10" s="47"/>
      <x:c r="P10" s="47"/>
      <x:c r="Q10" s="47"/>
      <x:c r="R10" s="47"/>
      <x:c r="S10" s="47"/>
      <x:c r="T10" s="47"/>
      <x:c r="U10" s="47"/>
      <x:c r="V10" s="47"/>
      <x:c r="W10" s="47"/>
      <x:c r="X10" s="47"/>
      <x:c r="Y10" s="47"/>
      <x:c r="Z10" s="47"/>
    </x:row>
    <x:row r="11">
      <x:c r="C11" s="9" t="str">
        <x:v>MS-CT|A</x:v>
      </x:c>
      <x:c r="D11" s="9" t="str">
        <x:v>MS-CT</x:v>
      </x:c>
      <x:c r="E11" s="9" t="str">
        <x:v>Civic edge grid</x:v>
      </x:c>
      <x:c r="F11" s="9" t="str">
        <x:v>W1</x:v>
      </x:c>
      <x:c r="G11" s="9" t="n">
        <x:v>30</x:v>
      </x:c>
      <x:c r="H11" s="9" t="str">
        <x:v>Route flow</x:v>
      </x:c>
      <x:c r="I11" s="38" t="n">
        <x:v>2.2968199654645347</x:v>
      </x:c>
      <x:c r="J11" s="9" t="str">
        <x:v>CG-CT</x:v>
      </x:c>
      <x:c r="K11" s="9" t="str">
        <x:v>ST-CT-CHL</x:v>
      </x:c>
      <x:c r="L11" s="9" t="str">
        <x:v>ST-CT-CTL</x:v>
      </x:c>
      <x:c r="M11" s="9" t="str">
        <x:v>ST-CT-REP</x:v>
      </x:c>
      <x:c r="N11" s="47"/>
      <x:c r="O11" s="47"/>
      <x:c r="P11" s="47"/>
      <x:c r="Q11" s="47"/>
      <x:c r="R11" s="47"/>
      <x:c r="S11" s="47"/>
      <x:c r="T11" s="47"/>
      <x:c r="U11" s="47"/>
      <x:c r="V11" s="47"/>
      <x:c r="W11" s="47"/>
      <x:c r="X11" s="47"/>
      <x:c r="Y11" s="47"/>
      <x:c r="Z11" s="47"/>
    </x:row>
    <x:row r="12">
      <x:c r="C12" s="9" t="str">
        <x:v>MS-CT|B</x:v>
      </x:c>
      <x:c r="D12" s="9" t="str">
        <x:v>MS-CT</x:v>
      </x:c>
      <x:c r="E12" s="9" t="str">
        <x:v>Air-and-skin reach</x:v>
      </x:c>
      <x:c r="F12" s="9" t="str">
        <x:v>W0</x:v>
      </x:c>
      <x:c r="G12" s="9" t="n">
        <x:v>18</x:v>
      </x:c>
      <x:c r="H12" s="9" t="str">
        <x:v>Energy</x:v>
      </x:c>
      <x:c r="I12" s="38" t="n">
        <x:v>1.9522969706448545</x:v>
      </x:c>
      <x:c r="J12" s="9" t="str">
        <x:v>CG-CT</x:v>
      </x:c>
      <x:c r="K12" s="9" t="str">
        <x:v>ST-CT-CHL</x:v>
      </x:c>
      <x:c r="L12" s="9" t="str">
        <x:v>ST-CT-CTL</x:v>
      </x:c>
      <x:c r="M12" s="9" t="str">
        <x:v>ST-CT-REP</x:v>
      </x:c>
      <x:c r="N12" s="47"/>
      <x:c r="O12" s="47"/>
      <x:c r="P12" s="47"/>
      <x:c r="Q12" s="47"/>
      <x:c r="R12" s="47"/>
      <x:c r="S12" s="47"/>
      <x:c r="T12" s="47"/>
      <x:c r="U12" s="47"/>
      <x:c r="V12" s="47"/>
      <x:c r="W12" s="47"/>
      <x:c r="X12" s="47"/>
      <x:c r="Y12" s="47"/>
      <x:c r="Z12" s="47"/>
    </x:row>
    <x:row r="13">
      <x:c r="C13" s="9" t="str">
        <x:v>MS-CT|C</x:v>
      </x:c>
      <x:c r="D13" s="9" t="str">
        <x:v>MS-CT</x:v>
      </x:c>
      <x:c r="E13" s="9" t="str">
        <x:v>Building utility spine</x:v>
      </x:c>
      <x:c r="F13" s="9" t="str">
        <x:v>W0</x:v>
      </x:c>
      <x:c r="G13" s="9" t="n">
        <x:v>18</x:v>
      </x:c>
      <x:c r="H13" s="9" t="str">
        <x:v>Energy</x:v>
      </x:c>
      <x:c r="I13" s="38" t="n">
        <x:v>1.9522969706448545</x:v>
      </x:c>
      <x:c r="J13" s="9" t="str">
        <x:v>CG-CT</x:v>
      </x:c>
      <x:c r="K13" s="9" t="str">
        <x:v>ST-CT-CHL</x:v>
      </x:c>
      <x:c r="L13" s="9" t="str">
        <x:v>ST-CT-CTL</x:v>
      </x:c>
      <x:c r="M13" s="9" t="str">
        <x:v>ST-CT-REP</x:v>
      </x:c>
      <x:c r="N13" s="47"/>
      <x:c r="O13" s="47"/>
      <x:c r="P13" s="47"/>
      <x:c r="Q13" s="47"/>
      <x:c r="R13" s="47"/>
      <x:c r="S13" s="47"/>
      <x:c r="T13" s="47"/>
      <x:c r="U13" s="47"/>
      <x:c r="V13" s="47"/>
      <x:c r="W13" s="47"/>
      <x:c r="X13" s="47"/>
      <x:c r="Y13" s="47"/>
      <x:c r="Z13" s="47"/>
    </x:row>
    <x:row r="14">
      <x:c r="C14" s="9" t="str">
        <x:v>MS-CT|D</x:v>
      </x:c>
      <x:c r="D14" s="9" t="str">
        <x:v>MS-CT</x:v>
      </x:c>
      <x:c r="E14" s="9" t="str">
        <x:v>Neighborhood machine swarm</x:v>
      </x:c>
      <x:c r="F14" s="9" t="str">
        <x:v>W2</x:v>
      </x:c>
      <x:c r="G14" s="9" t="n">
        <x:v>42</x:v>
      </x:c>
      <x:c r="H14" s="9" t="str">
        <x:v>Energy</x:v>
      </x:c>
      <x:c r="I14" s="38" t="n">
        <x:v>1.9522969706448545</x:v>
      </x:c>
      <x:c r="J14" s="9" t="str">
        <x:v>CG-CT</x:v>
      </x:c>
      <x:c r="K14" s="9" t="str">
        <x:v>ST-CT-CHL</x:v>
      </x:c>
      <x:c r="L14" s="9" t="str">
        <x:v>ST-CT-CTL</x:v>
      </x:c>
      <x:c r="M14" s="9" t="str">
        <x:v>ST-CT-REP</x:v>
      </x:c>
      <x:c r="N14" s="47"/>
      <x:c r="O14" s="47"/>
      <x:c r="P14" s="47"/>
      <x:c r="Q14" s="47"/>
      <x:c r="R14" s="47"/>
      <x:c r="S14" s="47"/>
      <x:c r="T14" s="47"/>
      <x:c r="U14" s="47"/>
      <x:c r="V14" s="47"/>
      <x:c r="W14" s="47"/>
      <x:c r="X14" s="47"/>
      <x:c r="Y14" s="47"/>
      <x:c r="Z14" s="47"/>
    </x:row>
    <x:row r="15">
      <x:c r="C15" s="9" t="str">
        <x:v>MS-HC|A</x:v>
      </x:c>
      <x:c r="D15" s="9" t="str">
        <x:v>MS-HC</x:v>
      </x:c>
      <x:c r="E15" s="9" t="str">
        <x:v>Atmospheric flux wing</x:v>
      </x:c>
      <x:c r="F15" s="9" t="str">
        <x:v>W1</x:v>
      </x:c>
      <x:c r="G15" s="9" t="n">
        <x:v>30</x:v>
      </x:c>
      <x:c r="H15" s="9" t="str">
        <x:v>Route flow</x:v>
      </x:c>
      <x:c r="I15" s="38" t="n">
        <x:v>1.3661989043130758</x:v>
      </x:c>
      <x:c r="J15" s="9" t="str">
        <x:v>CG-HC</x:v>
      </x:c>
      <x:c r="K15" s="9" t="str">
        <x:v>ST-HC-CHL</x:v>
      </x:c>
      <x:c r="L15" s="9" t="str">
        <x:v>ST-HC-CTL</x:v>
      </x:c>
      <x:c r="M15" s="9" t="str">
        <x:v>ST-HC-REP</x:v>
      </x:c>
      <x:c r="N15" s="47"/>
      <x:c r="O15" s="47"/>
      <x:c r="P15" s="47"/>
      <x:c r="Q15" s="47"/>
      <x:c r="R15" s="47"/>
      <x:c r="S15" s="47"/>
      <x:c r="T15" s="47"/>
      <x:c r="U15" s="47"/>
      <x:c r="V15" s="47"/>
      <x:c r="W15" s="47"/>
      <x:c r="X15" s="47"/>
      <x:c r="Y15" s="47"/>
      <x:c r="Z15" s="47"/>
    </x:row>
    <x:row r="16">
      <x:c r="C16" s="9" t="str">
        <x:v>MS-HC|B</x:v>
      </x:c>
      <x:c r="D16" s="9" t="str">
        <x:v>MS-HC</x:v>
      </x:c>
      <x:c r="E16" s="9" t="str">
        <x:v>Hydraulic intervention lattice</x:v>
      </x:c>
      <x:c r="F16" s="9" t="str">
        <x:v>W2</x:v>
      </x:c>
      <x:c r="G16" s="9" t="n">
        <x:v>42</x:v>
      </x:c>
      <x:c r="H16" s="9" t="str">
        <x:v>Route flow</x:v>
      </x:c>
      <x:c r="I16" s="38" t="n">
        <x:v>1.3661989043130758</x:v>
      </x:c>
      <x:c r="J16" s="9" t="str">
        <x:v>CG-HC</x:v>
      </x:c>
      <x:c r="K16" s="9" t="str">
        <x:v>ST-HC-CHL</x:v>
      </x:c>
      <x:c r="L16" s="9" t="str">
        <x:v>ST-HC-CTL</x:v>
      </x:c>
      <x:c r="M16" s="9" t="str">
        <x:v>ST-HC-REP</x:v>
      </x:c>
      <x:c r="N16" s="47"/>
      <x:c r="O16" s="47"/>
      <x:c r="P16" s="47"/>
      <x:c r="Q16" s="47"/>
      <x:c r="R16" s="47"/>
      <x:c r="S16" s="47"/>
      <x:c r="T16" s="47"/>
      <x:c r="U16" s="47"/>
      <x:c r="V16" s="47"/>
      <x:c r="W16" s="47"/>
      <x:c r="X16" s="47"/>
      <x:c r="Y16" s="47"/>
      <x:c r="Z16" s="47"/>
    </x:row>
    <x:row r="17">
      <x:c r="C17" s="9" t="str">
        <x:v>MS-HC|C</x:v>
      </x:c>
      <x:c r="D17" s="9" t="str">
        <x:v>MS-HC</x:v>
      </x:c>
      <x:c r="E17" s="9" t="str">
        <x:v>Autonomous terrain corps</x:v>
      </x:c>
      <x:c r="F17" s="9" t="str">
        <x:v>W2</x:v>
      </x:c>
      <x:c r="G17" s="9" t="n">
        <x:v>42</x:v>
      </x:c>
      <x:c r="H17" s="9" t="str">
        <x:v>Mass</x:v>
      </x:c>
      <x:c r="I17" s="38" t="n">
        <x:v>1.2295790138817682</x:v>
      </x:c>
      <x:c r="J17" s="9" t="str">
        <x:v>CG-HC</x:v>
      </x:c>
      <x:c r="K17" s="9" t="str">
        <x:v>ST-HC-CHL</x:v>
      </x:c>
      <x:c r="L17" s="9" t="str">
        <x:v>ST-HC-CTL</x:v>
      </x:c>
      <x:c r="M17" s="9" t="str">
        <x:v>ST-HC-REP</x:v>
      </x:c>
      <x:c r="N17" s="47"/>
      <x:c r="O17" s="47"/>
      <x:c r="P17" s="47"/>
      <x:c r="Q17" s="47"/>
      <x:c r="R17" s="47"/>
      <x:c r="S17" s="47"/>
      <x:c r="T17" s="47"/>
      <x:c r="U17" s="47"/>
      <x:c r="V17" s="47"/>
      <x:c r="W17" s="47"/>
      <x:c r="X17" s="47"/>
      <x:c r="Y17" s="47"/>
      <x:c r="Z17" s="47"/>
    </x:row>
    <x:row r="18">
      <x:c r="C18" s="9" t="str">
        <x:v>MS-HC|D</x:v>
      </x:c>
      <x:c r="D18" s="9" t="str">
        <x:v>MS-HC</x:v>
      </x:c>
      <x:c r="E18" s="9" t="str">
        <x:v>Boundary-control field</x:v>
      </x:c>
      <x:c r="F18" s="9" t="str">
        <x:v>W2</x:v>
      </x:c>
      <x:c r="G18" s="9" t="n">
        <x:v>42</x:v>
      </x:c>
      <x:c r="H18" s="9" t="str">
        <x:v>Mass</x:v>
      </x:c>
      <x:c r="I18" s="38" t="n">
        <x:v>1.2295790138817682</x:v>
      </x:c>
      <x:c r="J18" s="9" t="str">
        <x:v>CG-HC</x:v>
      </x:c>
      <x:c r="K18" s="9" t="str">
        <x:v>ST-HC-CHL</x:v>
      </x:c>
      <x:c r="L18" s="9" t="str">
        <x:v>ST-HC-CTL</x:v>
      </x:c>
      <x:c r="M18" s="9" t="str">
        <x:v>ST-HC-REP</x:v>
      </x:c>
      <x:c r="N18" s="47"/>
      <x:c r="O18" s="47"/>
      <x:c r="P18" s="47"/>
      <x:c r="Q18" s="47"/>
      <x:c r="R18" s="47"/>
      <x:c r="S18" s="47"/>
      <x:c r="T18" s="47"/>
      <x:c r="U18" s="47"/>
      <x:c r="V18" s="47"/>
      <x:c r="W18" s="47"/>
      <x:c r="X18" s="47"/>
      <x:c r="Y18" s="47"/>
      <x:c r="Z18" s="47"/>
    </x:row>
    <x:row r="19">
      <x:c r="C19" s="9" t="str">
        <x:v>MS-HU|A</x:v>
      </x:c>
      <x:c r="D19" s="9" t="str">
        <x:v>MS-HU</x:v>
      </x:c>
      <x:c r="E19" s="9" t="str">
        <x:v>Clinical continuity campus</x:v>
      </x:c>
      <x:c r="F19" s="9" t="str">
        <x:v>W0</x:v>
      </x:c>
      <x:c r="G19" s="9" t="n">
        <x:v>18</x:v>
      </x:c>
      <x:c r="H19" s="9" t="str">
        <x:v>Mass</x:v>
      </x:c>
      <x:c r="I19" s="38" t="n">
        <x:v>3.4447896335191523</x:v>
      </x:c>
      <x:c r="J19" s="9" t="str">
        <x:v>CG-HU</x:v>
      </x:c>
      <x:c r="K19" s="9" t="str">
        <x:v>ST-HU-CHL</x:v>
      </x:c>
      <x:c r="L19" s="9" t="str">
        <x:v>ST-HU-CTL</x:v>
      </x:c>
      <x:c r="M19" s="9" t="str">
        <x:v>ST-HU-REP</x:v>
      </x:c>
      <x:c r="N19" s="47"/>
      <x:c r="O19" s="47"/>
      <x:c r="P19" s="47"/>
      <x:c r="Q19" s="47"/>
      <x:c r="R19" s="47"/>
      <x:c r="S19" s="47"/>
      <x:c r="T19" s="47"/>
      <x:c r="U19" s="47"/>
      <x:c r="V19" s="47"/>
      <x:c r="W19" s="47"/>
      <x:c r="X19" s="47"/>
      <x:c r="Y19" s="47"/>
      <x:c r="Z19" s="47"/>
    </x:row>
    <x:row r="20">
      <x:c r="C20" s="9" t="str">
        <x:v>MS-HU|B</x:v>
      </x:c>
      <x:c r="D20" s="9" t="str">
        <x:v>MS-HU</x:v>
      </x:c>
      <x:c r="E20" s="9" t="str">
        <x:v>Neighborhood care fabric</x:v>
      </x:c>
      <x:c r="F20" s="9" t="str">
        <x:v>W2</x:v>
      </x:c>
      <x:c r="G20" s="9" t="n">
        <x:v>42</x:v>
      </x:c>
      <x:c r="H20" s="9" t="str">
        <x:v>Route flow</x:v>
      </x:c>
      <x:c r="I20" s="38" t="n">
        <x:v>3.827544037243503</x:v>
      </x:c>
      <x:c r="J20" s="9" t="str">
        <x:v>CG-HU</x:v>
      </x:c>
      <x:c r="K20" s="9" t="str">
        <x:v>ST-HU-CHL</x:v>
      </x:c>
      <x:c r="L20" s="9" t="str">
        <x:v>ST-HU-CTL</x:v>
      </x:c>
      <x:c r="M20" s="9" t="str">
        <x:v>ST-HU-REP</x:v>
      </x:c>
      <x:c r="N20" s="47"/>
      <x:c r="O20" s="47"/>
      <x:c r="P20" s="47"/>
      <x:c r="Q20" s="47"/>
      <x:c r="R20" s="47"/>
      <x:c r="S20" s="47"/>
      <x:c r="T20" s="47"/>
      <x:c r="U20" s="47"/>
      <x:c r="V20" s="47"/>
      <x:c r="W20" s="47"/>
      <x:c r="X20" s="47"/>
      <x:c r="Y20" s="47"/>
      <x:c r="Z20" s="47"/>
    </x:row>
    <x:row r="21">
      <x:c r="C21" s="9" t="str">
        <x:v>MS-HU|C</x:v>
      </x:c>
      <x:c r="D21" s="9" t="str">
        <x:v>MS-HU</x:v>
      </x:c>
      <x:c r="E21" s="9" t="str">
        <x:v>Mobile care network</x:v>
      </x:c>
      <x:c r="F21" s="9" t="str">
        <x:v>W2</x:v>
      </x:c>
      <x:c r="G21" s="9" t="n">
        <x:v>42</x:v>
      </x:c>
      <x:c r="H21" s="9" t="str">
        <x:v>Mass</x:v>
      </x:c>
      <x:c r="I21" s="38" t="n">
        <x:v>3.4447896335191523</x:v>
      </x:c>
      <x:c r="J21" s="9" t="str">
        <x:v>CG-HU</x:v>
      </x:c>
      <x:c r="K21" s="9" t="str">
        <x:v>ST-HU-CHL</x:v>
      </x:c>
      <x:c r="L21" s="9" t="str">
        <x:v>ST-HU-CTL</x:v>
      </x:c>
      <x:c r="M21" s="9" t="str">
        <x:v>ST-HU-REP</x:v>
      </x:c>
      <x:c r="N21" s="47"/>
      <x:c r="O21" s="47"/>
      <x:c r="P21" s="47"/>
      <x:c r="Q21" s="47"/>
      <x:c r="R21" s="47"/>
      <x:c r="S21" s="47"/>
      <x:c r="T21" s="47"/>
      <x:c r="U21" s="47"/>
      <x:c r="V21" s="47"/>
      <x:c r="W21" s="47"/>
      <x:c r="X21" s="47"/>
      <x:c r="Y21" s="47"/>
      <x:c r="Z21" s="47"/>
    </x:row>
    <x:row r="22">
      <x:c r="C22" s="9" t="str">
        <x:v>MS-HU|D</x:v>
      </x:c>
      <x:c r="D22" s="9" t="str">
        <x:v>MS-HU</x:v>
      </x:c>
      <x:c r="E22" s="9" t="str">
        <x:v>Host-building conversion</x:v>
      </x:c>
      <x:c r="F22" s="9" t="str">
        <x:v>W1</x:v>
      </x:c>
      <x:c r="G22" s="9" t="n">
        <x:v>30</x:v>
      </x:c>
      <x:c r="H22" s="9" t="str">
        <x:v>Mass</x:v>
      </x:c>
      <x:c r="I22" s="38" t="n">
        <x:v>3.4447896335191523</x:v>
      </x:c>
      <x:c r="J22" s="9" t="str">
        <x:v>CG-HU</x:v>
      </x:c>
      <x:c r="K22" s="9" t="str">
        <x:v>ST-HU-CHL</x:v>
      </x:c>
      <x:c r="L22" s="9" t="str">
        <x:v>ST-HU-CTL</x:v>
      </x:c>
      <x:c r="M22" s="9" t="str">
        <x:v>ST-HU-REP</x:v>
      </x:c>
      <x:c r="N22" s="47"/>
      <x:c r="O22" s="47"/>
      <x:c r="P22" s="47"/>
      <x:c r="Q22" s="47"/>
      <x:c r="R22" s="47"/>
      <x:c r="S22" s="47"/>
      <x:c r="T22" s="47"/>
      <x:c r="U22" s="47"/>
      <x:c r="V22" s="47"/>
      <x:c r="W22" s="47"/>
      <x:c r="X22" s="47"/>
      <x:c r="Y22" s="47"/>
      <x:c r="Z22" s="47"/>
    </x:row>
    <x:row r="23">
      <x:c r="C23" s="9" t="str">
        <x:v>MS-RT|A</x:v>
      </x:c>
      <x:c r="D23" s="9" t="str">
        <x:v>MS-RT</x:v>
      </x:c>
      <x:c r="E23" s="9" t="str">
        <x:v>Heavy arsenal base</x:v>
      </x:c>
      <x:c r="F23" s="9" t="str">
        <x:v>W1</x:v>
      </x:c>
      <x:c r="G23" s="9" t="n">
        <x:v>30</x:v>
      </x:c>
      <x:c r="H23" s="9" t="str">
        <x:v>Energy</x:v>
      </x:c>
      <x:c r="I23" s="38" t="n">
        <x:v>1.8997725694853016</x:v>
      </x:c>
      <x:c r="J23" s="9" t="str">
        <x:v>CG-RT</x:v>
      </x:c>
      <x:c r="K23" s="9" t="str">
        <x:v>ST-RT-CHL</x:v>
      </x:c>
      <x:c r="L23" s="9" t="str">
        <x:v>ST-RT-CTL</x:v>
      </x:c>
      <x:c r="M23" s="9" t="str">
        <x:v>ST-RT-REP</x:v>
      </x:c>
      <x:c r="N23" s="47"/>
      <x:c r="O23" s="47"/>
      <x:c r="P23" s="47"/>
      <x:c r="Q23" s="47"/>
      <x:c r="R23" s="47"/>
      <x:c r="S23" s="47"/>
      <x:c r="T23" s="47"/>
      <x:c r="U23" s="47"/>
      <x:c r="V23" s="47"/>
      <x:c r="W23" s="47"/>
      <x:c r="X23" s="47"/>
      <x:c r="Y23" s="47"/>
      <x:c r="Z23" s="47"/>
    </x:row>
    <x:row r="24">
      <x:c r="C24" s="9" t="str">
        <x:v>MS-RT|B</x:v>
      </x:c>
      <x:c r="D24" s="9" t="str">
        <x:v>MS-RT</x:v>
      </x:c>
      <x:c r="E24" s="9" t="str">
        <x:v>Microfactory mesh</x:v>
      </x:c>
      <x:c r="F24" s="9" t="str">
        <x:v>W0</x:v>
      </x:c>
      <x:c r="G24" s="9" t="n">
        <x:v>18</x:v>
      </x:c>
      <x:c r="H24" s="9" t="str">
        <x:v>Energy</x:v>
      </x:c>
      <x:c r="I24" s="38" t="n">
        <x:v>1.8997725694853016</x:v>
      </x:c>
      <x:c r="J24" s="9" t="str">
        <x:v>CG-RT</x:v>
      </x:c>
      <x:c r="K24" s="9" t="str">
        <x:v>ST-RT-CHL</x:v>
      </x:c>
      <x:c r="L24" s="9" t="str">
        <x:v>ST-RT-CTL</x:v>
      </x:c>
      <x:c r="M24" s="9" t="str">
        <x:v>ST-RT-REP</x:v>
      </x:c>
      <x:c r="N24" s="47"/>
      <x:c r="O24" s="47"/>
      <x:c r="P24" s="47"/>
      <x:c r="Q24" s="47"/>
      <x:c r="R24" s="47"/>
      <x:c r="S24" s="47"/>
      <x:c r="T24" s="47"/>
      <x:c r="U24" s="47"/>
      <x:c r="V24" s="47"/>
      <x:c r="W24" s="47"/>
      <x:c r="X24" s="47"/>
      <x:c r="Y24" s="47"/>
      <x:c r="Z24" s="47"/>
    </x:row>
    <x:row r="25">
      <x:c r="C25" s="9" t="str">
        <x:v>MS-RT|C</x:v>
      </x:c>
      <x:c r="D25" s="9" t="str">
        <x:v>MS-RT</x:v>
      </x:c>
      <x:c r="E25" s="9" t="str">
        <x:v>Exchange-remanufacture network</x:v>
      </x:c>
      <x:c r="F25" s="9" t="str">
        <x:v>W1</x:v>
      </x:c>
      <x:c r="G25" s="9" t="n">
        <x:v>30</x:v>
      </x:c>
      <x:c r="H25" s="9" t="str">
        <x:v>Energy</x:v>
      </x:c>
      <x:c r="I25" s="38" t="n">
        <x:v>1.8997725694853016</x:v>
      </x:c>
      <x:c r="J25" s="9" t="str">
        <x:v>CG-RT</x:v>
      </x:c>
      <x:c r="K25" s="9" t="str">
        <x:v>ST-RT-CHL</x:v>
      </x:c>
      <x:c r="L25" s="9" t="str">
        <x:v>ST-RT-CTL</x:v>
      </x:c>
      <x:c r="M25" s="9" t="str">
        <x:v>ST-RT-REP</x:v>
      </x:c>
      <x:c r="N25" s="47"/>
      <x:c r="O25" s="47"/>
      <x:c r="P25" s="47"/>
      <x:c r="Q25" s="47"/>
      <x:c r="R25" s="47"/>
      <x:c r="S25" s="47"/>
      <x:c r="T25" s="47"/>
      <x:c r="U25" s="47"/>
      <x:c r="V25" s="47"/>
      <x:c r="W25" s="47"/>
      <x:c r="X25" s="47"/>
      <x:c r="Y25" s="47"/>
      <x:c r="Z25" s="47"/>
    </x:row>
    <x:row r="26">
      <x:c r="C26" s="10" t="str">
        <x:v>MS-RT|D</x:v>
      </x:c>
      <x:c r="D26" s="10" t="str">
        <x:v>MS-RT</x:v>
      </x:c>
      <x:c r="E26" s="10" t="str">
        <x:v>Closed-loop sustainment fleet</x:v>
      </x:c>
      <x:c r="F26" s="10" t="str">
        <x:v>W1</x:v>
      </x:c>
      <x:c r="G26" s="10" t="n">
        <x:v>30</x:v>
      </x:c>
      <x:c r="H26" s="10" t="str">
        <x:v>Energy</x:v>
      </x:c>
      <x:c r="I26" s="39" t="n">
        <x:v>1.8997725694853016</x:v>
      </x:c>
      <x:c r="J26" s="10" t="str">
        <x:v>CG-RT</x:v>
      </x:c>
      <x:c r="K26" s="10" t="str">
        <x:v>ST-RT-CHL</x:v>
      </x:c>
      <x:c r="L26" s="10" t="str">
        <x:v>ST-RT-CTL</x:v>
      </x:c>
      <x:c r="M26" s="10" t="str">
        <x:v>ST-RT-REP</x:v>
      </x:c>
      <x:c r="N26" s="47"/>
      <x:c r="O26" s="47"/>
      <x:c r="P26" s="47"/>
      <x:c r="Q26" s="47"/>
      <x:c r="R26" s="47"/>
      <x:c r="S26" s="47"/>
      <x:c r="T26" s="47"/>
      <x:c r="U26" s="47"/>
      <x:c r="V26" s="47"/>
      <x:c r="W26" s="47"/>
      <x:c r="X26" s="47"/>
      <x:c r="Y26" s="47"/>
      <x:c r="Z26" s="47"/>
    </x:row>
    <x:row r="27"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47"/>
      <x:c r="O27" s="47"/>
      <x:c r="P27" s="47"/>
      <x:c r="Q27" s="47"/>
      <x:c r="R27" s="47"/>
      <x:c r="S27" s="47"/>
      <x:c r="T27" s="47"/>
      <x:c r="U27" s="47"/>
      <x:c r="V27" s="47"/>
      <x:c r="W27" s="47"/>
      <x:c r="X27" s="47"/>
      <x:c r="Y27" s="47"/>
      <x:c r="Z27" s="47"/>
    </x:row>
    <x:row r="28"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47"/>
      <x:c r="O28" s="47"/>
      <x:c r="P28" s="47"/>
      <x:c r="Q28" s="47"/>
      <x:c r="R28" s="47"/>
      <x:c r="S28" s="47"/>
      <x:c r="T28" s="47"/>
      <x:c r="U28" s="47"/>
      <x:c r="V28" s="47"/>
      <x:c r="W28" s="47"/>
      <x:c r="X28" s="47"/>
      <x:c r="Y28" s="47"/>
      <x:c r="Z28" s="47"/>
    </x:row>
    <x:row r="29"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47"/>
      <x:c r="O29" s="47"/>
      <x:c r="P29" s="47"/>
      <x:c r="Q29" s="47"/>
      <x:c r="R29" s="47"/>
      <x:c r="S29" s="47"/>
      <x:c r="T29" s="47"/>
      <x:c r="U29" s="47"/>
      <x:c r="V29" s="47"/>
      <x:c r="W29" s="47"/>
      <x:c r="X29" s="47"/>
      <x:c r="Y29" s="47"/>
      <x:c r="Z29" s="47"/>
    </x:row>
    <x:row r="30"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47"/>
      <x:c r="O30" s="47"/>
      <x:c r="P30" s="47"/>
      <x:c r="Q30" s="47"/>
      <x:c r="R30" s="47"/>
      <x:c r="S30" s="47"/>
      <x:c r="T30" s="47"/>
      <x:c r="U30" s="47"/>
      <x:c r="V30" s="47"/>
      <x:c r="W30" s="47"/>
      <x:c r="X30" s="47"/>
      <x:c r="Y30" s="47"/>
      <x:c r="Z30" s="47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3" max="3" width="17" hidden="0" customWidth="1"/>
    <x:col min="4" max="4" width="13" hidden="0" customWidth="1"/>
    <x:col min="5" max="5" width="24" hidden="0" customWidth="1"/>
    <x:col min="6" max="6" width="27" hidden="0" customWidth="1"/>
    <x:col min="7" max="7" width="20" hidden="0" customWidth="1"/>
    <x:col min="8" max="8" width="14" hidden="0" customWidth="1"/>
    <x:col min="9" max="9" width="17" hidden="0" customWidth="1"/>
    <x:col min="10" max="10" width="16" hidden="0" customWidth="1"/>
    <x:col min="11" max="11" width="18" hidden="0" customWidth="1"/>
    <x:col min="12" max="12" width="18" hidden="0" customWidth="1"/>
    <x:col min="13" max="13" width="20" hidden="0" customWidth="1"/>
  </x:cols>
  <x:sheetData>
    <x:row r="1"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47"/>
      <x:c r="O1" s="47"/>
      <x:c r="P1" s="47"/>
      <x:c r="Q1" s="47"/>
      <x:c r="R1" s="47"/>
      <x:c r="S1" s="47"/>
      <x:c r="T1" s="47"/>
      <x:c r="U1" s="47"/>
      <x:c r="V1" s="47"/>
      <x:c r="W1" s="47"/>
      <x:c r="X1" s="47"/>
      <x:c r="Y1" s="47"/>
      <x:c r="Z1" s="47"/>
    </x:row>
    <x:row r="2">
      <x:c r="C2" s="48" t="str">
        <x:v>Fifteen independent proving stations</x:v>
      </x:c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47"/>
      <x:c r="O2" s="47"/>
      <x:c r="P2" s="47"/>
      <x:c r="Q2" s="47"/>
      <x:c r="R2" s="47"/>
      <x:c r="S2" s="47"/>
      <x:c r="T2" s="47"/>
      <x:c r="U2" s="47"/>
      <x:c r="V2" s="47"/>
      <x:c r="W2" s="47"/>
      <x:c r="X2" s="47"/>
      <x:c r="Y2" s="47"/>
      <x:c r="Z2" s="47"/>
    </x:row>
    <x:row r="3">
      <x:c r="C3" s="49" t="str">
        <x:v>Each station owns four campaign lanes and one regeneration lane. Reserve capacity never creates favorable evidence.</x:v>
      </x:c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47"/>
      <x:c r="O3" s="47"/>
      <x:c r="P3" s="47"/>
      <x:c r="Q3" s="47"/>
      <x:c r="R3" s="47"/>
      <x:c r="S3" s="47"/>
      <x:c r="T3" s="47"/>
      <x:c r="U3" s="47"/>
      <x:c r="V3" s="47"/>
      <x:c r="W3" s="47"/>
      <x:c r="X3" s="47"/>
      <x:c r="Y3" s="47"/>
      <x:c r="Z3" s="47"/>
    </x:row>
    <x:row r="4">
      <x:c r="C4" s="50"/>
      <x:c r="D4" s="50"/>
      <x:c r="E4" s="50"/>
      <x:c r="F4" s="50"/>
      <x:c r="G4" s="50"/>
      <x:c r="H4" s="50"/>
      <x:c r="I4" s="50"/>
      <x:c r="J4" s="50"/>
      <x:c r="K4" s="50"/>
      <x:c r="L4" s="50"/>
      <x:c r="M4" s="50"/>
      <x:c r="N4" s="51"/>
      <x:c r="O4" s="51"/>
      <x:c r="P4" s="51"/>
      <x:c r="Q4" s="51"/>
      <x:c r="R4" s="51"/>
      <x:c r="S4" s="51"/>
      <x:c r="T4" s="51"/>
      <x:c r="U4" s="51"/>
      <x:c r="V4" s="51"/>
      <x:c r="W4" s="51"/>
      <x:c r="X4" s="51"/>
      <x:c r="Y4" s="51"/>
      <x:c r="Z4" s="51"/>
    </x:row>
    <x:row r="5">
      <x:c r="C5" s="9"/>
      <x:c r="D5" s="9"/>
      <x:c r="E5" s="9"/>
      <x:c r="F5" s="9"/>
      <x:c r="G5" s="9"/>
      <x:c r="H5" s="9"/>
      <x:c r="I5" s="9"/>
      <x:c r="J5" s="9"/>
      <x:c r="K5" s="9"/>
      <x:c r="L5" s="9"/>
      <x:c r="M5" s="9"/>
      <x:c r="N5" s="47"/>
      <x:c r="O5" s="47"/>
      <x:c r="P5" s="47"/>
      <x:c r="Q5" s="47"/>
      <x:c r="R5" s="47"/>
      <x:c r="S5" s="47"/>
      <x:c r="T5" s="47"/>
      <x:c r="U5" s="47"/>
      <x:c r="V5" s="47"/>
      <x:c r="W5" s="47"/>
      <x:c r="X5" s="47"/>
      <x:c r="Y5" s="47"/>
      <x:c r="Z5" s="47"/>
    </x:row>
    <x:row r="6" ht="28" customHeight="1">
      <x:c r="C6" s="26" t="str">
        <x:v>Station</x:v>
      </x:c>
      <x:c r="D6" s="32" t="str">
        <x:v>System</x:v>
      </x:c>
      <x:c r="E6" s="32" t="str">
        <x:v>System mission</x:v>
      </x:c>
      <x:c r="F6" s="32" t="str">
        <x:v>Command</x:v>
      </x:c>
      <x:c r="G6" s="32" t="str">
        <x:v>Role</x:v>
      </x:c>
      <x:c r="H6" s="32" t="str">
        <x:v>Designed lanes</x:v>
      </x:c>
      <x:c r="I6" s="32" t="str">
        <x:v>Campaign lanes</x:v>
      </x:c>
      <x:c r="J6" s="32" t="str">
        <x:v>Regeneration lanes</x:v>
      </x:c>
      <x:c r="K6" s="32" t="str">
        <x:v>Commissioned</x:v>
      </x:c>
      <x:c r="L6" s="32" t="str">
        <x:v>Qualified lanes</x:v>
      </x:c>
      <x:c r="M6" s="27" t="str">
        <x:v>Station state</x:v>
      </x:c>
      <x:c r="N6" s="47"/>
      <x:c r="O6" s="47"/>
      <x:c r="P6" s="47"/>
      <x:c r="Q6" s="47"/>
      <x:c r="R6" s="47"/>
      <x:c r="S6" s="47"/>
      <x:c r="T6" s="47"/>
      <x:c r="U6" s="47"/>
      <x:c r="V6" s="47"/>
      <x:c r="W6" s="47"/>
      <x:c r="X6" s="47"/>
      <x:c r="Y6" s="47"/>
      <x:c r="Z6" s="47"/>
    </x:row>
    <x:row r="7">
      <x:c r="C7" s="9" t="str">
        <x:v>ST-ET-CHL</x:v>
      </x:c>
      <x:c r="D7" s="9" t="str">
        <x:v>MS-ET</x:v>
      </x:c>
      <x:c r="E7" s="9" t="str">
        <x:v>Theater entry</x:v>
      </x:c>
      <x:c r="F7" s="9" t="str">
        <x:v>Worlds Command</x:v>
      </x:c>
      <x:c r="G7" s="9" t="str">
        <x:v>Challenge</x:v>
      </x:c>
      <x:c r="H7" s="9" t="n">
        <x:v>5</x:v>
      </x:c>
      <x:c r="I7" s="9" t="n">
        <x:v>4</x:v>
      </x:c>
      <x:c r="J7" s="9" t="n">
        <x:v>1</x:v>
      </x:c>
      <x:c r="K7" s="42" t="n">
        <x:v>0</x:v>
      </x:c>
      <x:c r="L7" s="42" t="n">
        <x:v>0</x:v>
      </x:c>
      <x:c r="M7" s="9" t="str">
        <x:f>IF(AND(K7=1,L7=5),"READY","NOT COMMISSIONED")</x:f>
        <x:v>NOT COMMISSIONED</x:v>
      </x:c>
      <x:c r="N7" s="47"/>
      <x:c r="O7" s="47"/>
      <x:c r="P7" s="47"/>
      <x:c r="Q7" s="47"/>
      <x:c r="R7" s="47"/>
      <x:c r="S7" s="47"/>
      <x:c r="T7" s="47"/>
      <x:c r="U7" s="47"/>
      <x:c r="V7" s="47"/>
      <x:c r="W7" s="47"/>
      <x:c r="X7" s="47"/>
      <x:c r="Y7" s="47"/>
      <x:c r="Z7" s="47"/>
    </x:row>
    <x:row r="8">
      <x:c r="C8" s="9" t="str">
        <x:v>ST-ET-CTL</x:v>
      </x:c>
      <x:c r="D8" s="9" t="str">
        <x:v>MS-ET</x:v>
      </x:c>
      <x:c r="E8" s="9" t="str">
        <x:v>Theater entry</x:v>
      </x:c>
      <x:c r="F8" s="9" t="str">
        <x:v>Counterfactual Command</x:v>
      </x:c>
      <x:c r="G8" s="9" t="str">
        <x:v>Matched control</x:v>
      </x:c>
      <x:c r="H8" s="9" t="n">
        <x:v>5</x:v>
      </x:c>
      <x:c r="I8" s="9" t="n">
        <x:v>4</x:v>
      </x:c>
      <x:c r="J8" s="9" t="n">
        <x:v>1</x:v>
      </x:c>
      <x:c r="K8" s="42" t="n">
        <x:v>0</x:v>
      </x:c>
      <x:c r="L8" s="42" t="n">
        <x:v>0</x:v>
      </x:c>
      <x:c r="M8" s="9" t="str">
        <x:f>IF(AND(K8=1,L8=5),"READY","NOT COMMISSIONED")</x:f>
        <x:v>NOT COMMISSIONED</x:v>
      </x:c>
      <x:c r="N8" s="47"/>
      <x:c r="O8" s="47"/>
      <x:c r="P8" s="47"/>
      <x:c r="Q8" s="47"/>
      <x:c r="R8" s="47"/>
      <x:c r="S8" s="47"/>
      <x:c r="T8" s="47"/>
      <x:c r="U8" s="47"/>
      <x:c r="V8" s="47"/>
      <x:c r="W8" s="47"/>
      <x:c r="X8" s="47"/>
      <x:c r="Y8" s="47"/>
      <x:c r="Z8" s="47"/>
    </x:row>
    <x:row r="9">
      <x:c r="C9" s="9" t="str">
        <x:v>ST-ET-REP</x:v>
      </x:c>
      <x:c r="D9" s="9" t="str">
        <x:v>MS-ET</x:v>
      </x:c>
      <x:c r="E9" s="9" t="str">
        <x:v>Theater entry</x:v>
      </x:c>
      <x:c r="F9" s="9" t="str">
        <x:v>Reconstruction Command</x:v>
      </x:c>
      <x:c r="G9" s="9" t="str">
        <x:v>Cold reproduction</x:v>
      </x:c>
      <x:c r="H9" s="9" t="n">
        <x:v>5</x:v>
      </x:c>
      <x:c r="I9" s="9" t="n">
        <x:v>4</x:v>
      </x:c>
      <x:c r="J9" s="9" t="n">
        <x:v>1</x:v>
      </x:c>
      <x:c r="K9" s="42" t="n">
        <x:v>0</x:v>
      </x:c>
      <x:c r="L9" s="42" t="n">
        <x:v>0</x:v>
      </x:c>
      <x:c r="M9" s="9" t="str">
        <x:f>IF(AND(K9=1,L9=5),"READY","NOT COMMISSIONED")</x:f>
        <x:v>NOT COMMISSIONED</x:v>
      </x:c>
      <x:c r="N9" s="47"/>
      <x:c r="O9" s="47"/>
      <x:c r="P9" s="47"/>
      <x:c r="Q9" s="47"/>
      <x:c r="R9" s="47"/>
      <x:c r="S9" s="47"/>
      <x:c r="T9" s="47"/>
      <x:c r="U9" s="47"/>
      <x:c r="V9" s="47"/>
      <x:c r="W9" s="47"/>
      <x:c r="X9" s="47"/>
      <x:c r="Y9" s="47"/>
      <x:c r="Z9" s="47"/>
    </x:row>
    <x:row r="10">
      <x:c r="C10" s="9" t="str">
        <x:v>ST-CT-CHL</x:v>
      </x:c>
      <x:c r="D10" s="9" t="str">
        <x:v>MS-CT</x:v>
      </x:c>
      <x:c r="E10" s="9" t="str">
        <x:v>Civil terrain</x:v>
      </x:c>
      <x:c r="F10" s="9" t="str">
        <x:v>Worlds Command</x:v>
      </x:c>
      <x:c r="G10" s="9" t="str">
        <x:v>Challenge</x:v>
      </x:c>
      <x:c r="H10" s="9" t="n">
        <x:v>5</x:v>
      </x:c>
      <x:c r="I10" s="9" t="n">
        <x:v>4</x:v>
      </x:c>
      <x:c r="J10" s="9" t="n">
        <x:v>1</x:v>
      </x:c>
      <x:c r="K10" s="42" t="n">
        <x:v>0</x:v>
      </x:c>
      <x:c r="L10" s="42" t="n">
        <x:v>0</x:v>
      </x:c>
      <x:c r="M10" s="9" t="str">
        <x:f>IF(AND(K10=1,L10=5),"READY","NOT COMMISSIONED")</x:f>
        <x:v>NOT COMMISSIONED</x:v>
      </x:c>
      <x:c r="N10" s="47"/>
      <x:c r="O10" s="47"/>
      <x:c r="P10" s="47"/>
      <x:c r="Q10" s="47"/>
      <x:c r="R10" s="47"/>
      <x:c r="S10" s="47"/>
      <x:c r="T10" s="47"/>
      <x:c r="U10" s="47"/>
      <x:c r="V10" s="47"/>
      <x:c r="W10" s="47"/>
      <x:c r="X10" s="47"/>
      <x:c r="Y10" s="47"/>
      <x:c r="Z10" s="47"/>
    </x:row>
    <x:row r="11">
      <x:c r="C11" s="9" t="str">
        <x:v>ST-CT-CTL</x:v>
      </x:c>
      <x:c r="D11" s="9" t="str">
        <x:v>MS-CT</x:v>
      </x:c>
      <x:c r="E11" s="9" t="str">
        <x:v>Civil terrain</x:v>
      </x:c>
      <x:c r="F11" s="9" t="str">
        <x:v>Counterfactual Command</x:v>
      </x:c>
      <x:c r="G11" s="9" t="str">
        <x:v>Matched control</x:v>
      </x:c>
      <x:c r="H11" s="9" t="n">
        <x:v>5</x:v>
      </x:c>
      <x:c r="I11" s="9" t="n">
        <x:v>4</x:v>
      </x:c>
      <x:c r="J11" s="9" t="n">
        <x:v>1</x:v>
      </x:c>
      <x:c r="K11" s="42" t="n">
        <x:v>0</x:v>
      </x:c>
      <x:c r="L11" s="42" t="n">
        <x:v>0</x:v>
      </x:c>
      <x:c r="M11" s="9" t="str">
        <x:f>IF(AND(K11=1,L11=5),"READY","NOT COMMISSIONED")</x:f>
        <x:v>NOT COMMISSIONED</x:v>
      </x:c>
      <x:c r="N11" s="47"/>
      <x:c r="O11" s="47"/>
      <x:c r="P11" s="47"/>
      <x:c r="Q11" s="47"/>
      <x:c r="R11" s="47"/>
      <x:c r="S11" s="47"/>
      <x:c r="T11" s="47"/>
      <x:c r="U11" s="47"/>
      <x:c r="V11" s="47"/>
      <x:c r="W11" s="47"/>
      <x:c r="X11" s="47"/>
      <x:c r="Y11" s="47"/>
      <x:c r="Z11" s="47"/>
    </x:row>
    <x:row r="12">
      <x:c r="C12" s="9" t="str">
        <x:v>ST-CT-REP</x:v>
      </x:c>
      <x:c r="D12" s="9" t="str">
        <x:v>MS-CT</x:v>
      </x:c>
      <x:c r="E12" s="9" t="str">
        <x:v>Civil terrain</x:v>
      </x:c>
      <x:c r="F12" s="9" t="str">
        <x:v>Reconstruction Command</x:v>
      </x:c>
      <x:c r="G12" s="9" t="str">
        <x:v>Cold reproduction</x:v>
      </x:c>
      <x:c r="H12" s="9" t="n">
        <x:v>5</x:v>
      </x:c>
      <x:c r="I12" s="9" t="n">
        <x:v>4</x:v>
      </x:c>
      <x:c r="J12" s="9" t="n">
        <x:v>1</x:v>
      </x:c>
      <x:c r="K12" s="42" t="n">
        <x:v>0</x:v>
      </x:c>
      <x:c r="L12" s="42" t="n">
        <x:v>0</x:v>
      </x:c>
      <x:c r="M12" s="9" t="str">
        <x:f>IF(AND(K12=1,L12=5),"READY","NOT COMMISSIONED")</x:f>
        <x:v>NOT COMMISSIONED</x:v>
      </x:c>
      <x:c r="N12" s="47"/>
      <x:c r="O12" s="47"/>
      <x:c r="P12" s="47"/>
      <x:c r="Q12" s="47"/>
      <x:c r="R12" s="47"/>
      <x:c r="S12" s="47"/>
      <x:c r="T12" s="47"/>
      <x:c r="U12" s="47"/>
      <x:c r="V12" s="47"/>
      <x:c r="W12" s="47"/>
      <x:c r="X12" s="47"/>
      <x:c r="Y12" s="47"/>
      <x:c r="Z12" s="47"/>
    </x:row>
    <x:row r="13">
      <x:c r="C13" s="9" t="str">
        <x:v>ST-HC-CHL</x:v>
      </x:c>
      <x:c r="D13" s="9" t="str">
        <x:v>MS-HC</x:v>
      </x:c>
      <x:c r="E13" s="9" t="str">
        <x:v>Hazard control</x:v>
      </x:c>
      <x:c r="F13" s="9" t="str">
        <x:v>Worlds Command</x:v>
      </x:c>
      <x:c r="G13" s="9" t="str">
        <x:v>Challenge</x:v>
      </x:c>
      <x:c r="H13" s="9" t="n">
        <x:v>5</x:v>
      </x:c>
      <x:c r="I13" s="9" t="n">
        <x:v>4</x:v>
      </x:c>
      <x:c r="J13" s="9" t="n">
        <x:v>1</x:v>
      </x:c>
      <x:c r="K13" s="42" t="n">
        <x:v>0</x:v>
      </x:c>
      <x:c r="L13" s="42" t="n">
        <x:v>0</x:v>
      </x:c>
      <x:c r="M13" s="9" t="str">
        <x:f>IF(AND(K13=1,L13=5),"READY","NOT COMMISSIONED")</x:f>
        <x:v>NOT COMMISSIONED</x:v>
      </x:c>
      <x:c r="N13" s="47"/>
      <x:c r="O13" s="47"/>
      <x:c r="P13" s="47"/>
      <x:c r="Q13" s="47"/>
      <x:c r="R13" s="47"/>
      <x:c r="S13" s="47"/>
      <x:c r="T13" s="47"/>
      <x:c r="U13" s="47"/>
      <x:c r="V13" s="47"/>
      <x:c r="W13" s="47"/>
      <x:c r="X13" s="47"/>
      <x:c r="Y13" s="47"/>
      <x:c r="Z13" s="47"/>
    </x:row>
    <x:row r="14">
      <x:c r="C14" s="9" t="str">
        <x:v>ST-HC-CTL</x:v>
      </x:c>
      <x:c r="D14" s="9" t="str">
        <x:v>MS-HC</x:v>
      </x:c>
      <x:c r="E14" s="9" t="str">
        <x:v>Hazard control</x:v>
      </x:c>
      <x:c r="F14" s="9" t="str">
        <x:v>Counterfactual Command</x:v>
      </x:c>
      <x:c r="G14" s="9" t="str">
        <x:v>Matched control</x:v>
      </x:c>
      <x:c r="H14" s="9" t="n">
        <x:v>5</x:v>
      </x:c>
      <x:c r="I14" s="9" t="n">
        <x:v>4</x:v>
      </x:c>
      <x:c r="J14" s="9" t="n">
        <x:v>1</x:v>
      </x:c>
      <x:c r="K14" s="42" t="n">
        <x:v>0</x:v>
      </x:c>
      <x:c r="L14" s="42" t="n">
        <x:v>0</x:v>
      </x:c>
      <x:c r="M14" s="9" t="str">
        <x:f>IF(AND(K14=1,L14=5),"READY","NOT COMMISSIONED")</x:f>
        <x:v>NOT COMMISSIONED</x:v>
      </x:c>
      <x:c r="N14" s="47"/>
      <x:c r="O14" s="47"/>
      <x:c r="P14" s="47"/>
      <x:c r="Q14" s="47"/>
      <x:c r="R14" s="47"/>
      <x:c r="S14" s="47"/>
      <x:c r="T14" s="47"/>
      <x:c r="U14" s="47"/>
      <x:c r="V14" s="47"/>
      <x:c r="W14" s="47"/>
      <x:c r="X14" s="47"/>
      <x:c r="Y14" s="47"/>
      <x:c r="Z14" s="47"/>
    </x:row>
    <x:row r="15">
      <x:c r="C15" s="9" t="str">
        <x:v>ST-HC-REP</x:v>
      </x:c>
      <x:c r="D15" s="9" t="str">
        <x:v>MS-HC</x:v>
      </x:c>
      <x:c r="E15" s="9" t="str">
        <x:v>Hazard control</x:v>
      </x:c>
      <x:c r="F15" s="9" t="str">
        <x:v>Reconstruction Command</x:v>
      </x:c>
      <x:c r="G15" s="9" t="str">
        <x:v>Cold reproduction</x:v>
      </x:c>
      <x:c r="H15" s="9" t="n">
        <x:v>5</x:v>
      </x:c>
      <x:c r="I15" s="9" t="n">
        <x:v>4</x:v>
      </x:c>
      <x:c r="J15" s="9" t="n">
        <x:v>1</x:v>
      </x:c>
      <x:c r="K15" s="42" t="n">
        <x:v>0</x:v>
      </x:c>
      <x:c r="L15" s="42" t="n">
        <x:v>0</x:v>
      </x:c>
      <x:c r="M15" s="9" t="str">
        <x:f>IF(AND(K15=1,L15=5),"READY","NOT COMMISSIONED")</x:f>
        <x:v>NOT COMMISSIONED</x:v>
      </x:c>
      <x:c r="N15" s="47"/>
      <x:c r="O15" s="47"/>
      <x:c r="P15" s="47"/>
      <x:c r="Q15" s="47"/>
      <x:c r="R15" s="47"/>
      <x:c r="S15" s="47"/>
      <x:c r="T15" s="47"/>
      <x:c r="U15" s="47"/>
      <x:c r="V15" s="47"/>
      <x:c r="W15" s="47"/>
      <x:c r="X15" s="47"/>
      <x:c r="Y15" s="47"/>
      <x:c r="Z15" s="47"/>
    </x:row>
    <x:row r="16">
      <x:c r="C16" s="9" t="str">
        <x:v>ST-HU-CHL</x:v>
      </x:c>
      <x:c r="D16" s="9" t="str">
        <x:v>MS-HU</x:v>
      </x:c>
      <x:c r="E16" s="9" t="str">
        <x:v>Human continuity</x:v>
      </x:c>
      <x:c r="F16" s="9" t="str">
        <x:v>Worlds Command</x:v>
      </x:c>
      <x:c r="G16" s="9" t="str">
        <x:v>Challenge</x:v>
      </x:c>
      <x:c r="H16" s="9" t="n">
        <x:v>5</x:v>
      </x:c>
      <x:c r="I16" s="9" t="n">
        <x:v>4</x:v>
      </x:c>
      <x:c r="J16" s="9" t="n">
        <x:v>1</x:v>
      </x:c>
      <x:c r="K16" s="42" t="n">
        <x:v>0</x:v>
      </x:c>
      <x:c r="L16" s="42" t="n">
        <x:v>0</x:v>
      </x:c>
      <x:c r="M16" s="9" t="str">
        <x:f>IF(AND(K16=1,L16=5),"READY","NOT COMMISSIONED")</x:f>
        <x:v>NOT COMMISSIONED</x:v>
      </x:c>
      <x:c r="N16" s="47"/>
      <x:c r="O16" s="47"/>
      <x:c r="P16" s="47"/>
      <x:c r="Q16" s="47"/>
      <x:c r="R16" s="47"/>
      <x:c r="S16" s="47"/>
      <x:c r="T16" s="47"/>
      <x:c r="U16" s="47"/>
      <x:c r="V16" s="47"/>
      <x:c r="W16" s="47"/>
      <x:c r="X16" s="47"/>
      <x:c r="Y16" s="47"/>
      <x:c r="Z16" s="47"/>
    </x:row>
    <x:row r="17">
      <x:c r="C17" s="9" t="str">
        <x:v>ST-HU-CTL</x:v>
      </x:c>
      <x:c r="D17" s="9" t="str">
        <x:v>MS-HU</x:v>
      </x:c>
      <x:c r="E17" s="9" t="str">
        <x:v>Human continuity</x:v>
      </x:c>
      <x:c r="F17" s="9" t="str">
        <x:v>Counterfactual Command</x:v>
      </x:c>
      <x:c r="G17" s="9" t="str">
        <x:v>Matched control</x:v>
      </x:c>
      <x:c r="H17" s="9" t="n">
        <x:v>5</x:v>
      </x:c>
      <x:c r="I17" s="9" t="n">
        <x:v>4</x:v>
      </x:c>
      <x:c r="J17" s="9" t="n">
        <x:v>1</x:v>
      </x:c>
      <x:c r="K17" s="42" t="n">
        <x:v>0</x:v>
      </x:c>
      <x:c r="L17" s="42" t="n">
        <x:v>0</x:v>
      </x:c>
      <x:c r="M17" s="9" t="str">
        <x:f>IF(AND(K17=1,L17=5),"READY","NOT COMMISSIONED")</x:f>
        <x:v>NOT COMMISSIONED</x:v>
      </x:c>
      <x:c r="N17" s="47"/>
      <x:c r="O17" s="47"/>
      <x:c r="P17" s="47"/>
      <x:c r="Q17" s="47"/>
      <x:c r="R17" s="47"/>
      <x:c r="S17" s="47"/>
      <x:c r="T17" s="47"/>
      <x:c r="U17" s="47"/>
      <x:c r="V17" s="47"/>
      <x:c r="W17" s="47"/>
      <x:c r="X17" s="47"/>
      <x:c r="Y17" s="47"/>
      <x:c r="Z17" s="47"/>
    </x:row>
    <x:row r="18">
      <x:c r="C18" s="9" t="str">
        <x:v>ST-HU-REP</x:v>
      </x:c>
      <x:c r="D18" s="9" t="str">
        <x:v>MS-HU</x:v>
      </x:c>
      <x:c r="E18" s="9" t="str">
        <x:v>Human continuity</x:v>
      </x:c>
      <x:c r="F18" s="9" t="str">
        <x:v>Reconstruction Command</x:v>
      </x:c>
      <x:c r="G18" s="9" t="str">
        <x:v>Cold reproduction</x:v>
      </x:c>
      <x:c r="H18" s="9" t="n">
        <x:v>5</x:v>
      </x:c>
      <x:c r="I18" s="9" t="n">
        <x:v>4</x:v>
      </x:c>
      <x:c r="J18" s="9" t="n">
        <x:v>1</x:v>
      </x:c>
      <x:c r="K18" s="42" t="n">
        <x:v>0</x:v>
      </x:c>
      <x:c r="L18" s="42" t="n">
        <x:v>0</x:v>
      </x:c>
      <x:c r="M18" s="9" t="str">
        <x:f>IF(AND(K18=1,L18=5),"READY","NOT COMMISSIONED")</x:f>
        <x:v>NOT COMMISSIONED</x:v>
      </x:c>
      <x:c r="N18" s="47"/>
      <x:c r="O18" s="47"/>
      <x:c r="P18" s="47"/>
      <x:c r="Q18" s="47"/>
      <x:c r="R18" s="47"/>
      <x:c r="S18" s="47"/>
      <x:c r="T18" s="47"/>
      <x:c r="U18" s="47"/>
      <x:c r="V18" s="47"/>
      <x:c r="W18" s="47"/>
      <x:c r="X18" s="47"/>
      <x:c r="Y18" s="47"/>
      <x:c r="Z18" s="47"/>
    </x:row>
    <x:row r="19">
      <x:c r="C19" s="9" t="str">
        <x:v>ST-RT-CHL</x:v>
      </x:c>
      <x:c r="D19" s="9" t="str">
        <x:v>MS-RT</x:v>
      </x:c>
      <x:c r="E19" s="9" t="str">
        <x:v>Regeneration</x:v>
      </x:c>
      <x:c r="F19" s="9" t="str">
        <x:v>Worlds Command</x:v>
      </x:c>
      <x:c r="G19" s="9" t="str">
        <x:v>Challenge</x:v>
      </x:c>
      <x:c r="H19" s="9" t="n">
        <x:v>5</x:v>
      </x:c>
      <x:c r="I19" s="9" t="n">
        <x:v>4</x:v>
      </x:c>
      <x:c r="J19" s="9" t="n">
        <x:v>1</x:v>
      </x:c>
      <x:c r="K19" s="42" t="n">
        <x:v>0</x:v>
      </x:c>
      <x:c r="L19" s="42" t="n">
        <x:v>0</x:v>
      </x:c>
      <x:c r="M19" s="9" t="str">
        <x:f>IF(AND(K19=1,L19=5),"READY","NOT COMMISSIONED")</x:f>
        <x:v>NOT COMMISSIONED</x:v>
      </x:c>
      <x:c r="N19" s="47"/>
      <x:c r="O19" s="47"/>
      <x:c r="P19" s="47"/>
      <x:c r="Q19" s="47"/>
      <x:c r="R19" s="47"/>
      <x:c r="S19" s="47"/>
      <x:c r="T19" s="47"/>
      <x:c r="U19" s="47"/>
      <x:c r="V19" s="47"/>
      <x:c r="W19" s="47"/>
      <x:c r="X19" s="47"/>
      <x:c r="Y19" s="47"/>
      <x:c r="Z19" s="47"/>
    </x:row>
    <x:row r="20">
      <x:c r="C20" s="9" t="str">
        <x:v>ST-RT-CTL</x:v>
      </x:c>
      <x:c r="D20" s="9" t="str">
        <x:v>MS-RT</x:v>
      </x:c>
      <x:c r="E20" s="9" t="str">
        <x:v>Regeneration</x:v>
      </x:c>
      <x:c r="F20" s="9" t="str">
        <x:v>Counterfactual Command</x:v>
      </x:c>
      <x:c r="G20" s="9" t="str">
        <x:v>Matched control</x:v>
      </x:c>
      <x:c r="H20" s="9" t="n">
        <x:v>5</x:v>
      </x:c>
      <x:c r="I20" s="9" t="n">
        <x:v>4</x:v>
      </x:c>
      <x:c r="J20" s="9" t="n">
        <x:v>1</x:v>
      </x:c>
      <x:c r="K20" s="42" t="n">
        <x:v>0</x:v>
      </x:c>
      <x:c r="L20" s="42" t="n">
        <x:v>0</x:v>
      </x:c>
      <x:c r="M20" s="9" t="str">
        <x:f>IF(AND(K20=1,L20=5),"READY","NOT COMMISSIONED")</x:f>
        <x:v>NOT COMMISSIONED</x:v>
      </x:c>
      <x:c r="N20" s="47"/>
      <x:c r="O20" s="47"/>
      <x:c r="P20" s="47"/>
      <x:c r="Q20" s="47"/>
      <x:c r="R20" s="47"/>
      <x:c r="S20" s="47"/>
      <x:c r="T20" s="47"/>
      <x:c r="U20" s="47"/>
      <x:c r="V20" s="47"/>
      <x:c r="W20" s="47"/>
      <x:c r="X20" s="47"/>
      <x:c r="Y20" s="47"/>
      <x:c r="Z20" s="47"/>
    </x:row>
    <x:row r="21">
      <x:c r="C21" s="10" t="str">
        <x:v>ST-RT-REP</x:v>
      </x:c>
      <x:c r="D21" s="10" t="str">
        <x:v>MS-RT</x:v>
      </x:c>
      <x:c r="E21" s="10" t="str">
        <x:v>Regeneration</x:v>
      </x:c>
      <x:c r="F21" s="10" t="str">
        <x:v>Reconstruction Command</x:v>
      </x:c>
      <x:c r="G21" s="10" t="str">
        <x:v>Cold reproduction</x:v>
      </x:c>
      <x:c r="H21" s="10" t="n">
        <x:v>5</x:v>
      </x:c>
      <x:c r="I21" s="10" t="n">
        <x:v>4</x:v>
      </x:c>
      <x:c r="J21" s="10" t="n">
        <x:v>1</x:v>
      </x:c>
      <x:c r="K21" s="43" t="n">
        <x:v>0</x:v>
      </x:c>
      <x:c r="L21" s="43" t="n">
        <x:v>0</x:v>
      </x:c>
      <x:c r="M21" s="10" t="str">
        <x:f>IF(AND(K21=1,L21=5),"READY","NOT COMMISSIONED")</x:f>
        <x:v>NOT COMMISSIONED</x:v>
      </x:c>
      <x:c r="N21" s="47"/>
      <x:c r="O21" s="47"/>
      <x:c r="P21" s="47"/>
      <x:c r="Q21" s="47"/>
      <x:c r="R21" s="47"/>
      <x:c r="S21" s="47"/>
      <x:c r="T21" s="47"/>
      <x:c r="U21" s="47"/>
      <x:c r="V21" s="47"/>
      <x:c r="W21" s="47"/>
      <x:c r="X21" s="47"/>
      <x:c r="Y21" s="47"/>
      <x:c r="Z21" s="47"/>
    </x:row>
    <x:row r="22"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47"/>
      <x:c r="O22" s="47"/>
      <x:c r="P22" s="47"/>
      <x:c r="Q22" s="47"/>
      <x:c r="R22" s="47"/>
      <x:c r="S22" s="47"/>
      <x:c r="T22" s="47"/>
      <x:c r="U22" s="47"/>
      <x:c r="V22" s="47"/>
      <x:c r="W22" s="47"/>
      <x:c r="X22" s="47"/>
      <x:c r="Y22" s="47"/>
      <x:c r="Z22" s="47"/>
    </x:row>
    <x:row r="23"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47"/>
      <x:c r="O23" s="47"/>
      <x:c r="P23" s="47"/>
      <x:c r="Q23" s="47"/>
      <x:c r="R23" s="47"/>
      <x:c r="S23" s="47"/>
      <x:c r="T23" s="47"/>
      <x:c r="U23" s="47"/>
      <x:c r="V23" s="47"/>
      <x:c r="W23" s="47"/>
      <x:c r="X23" s="47"/>
      <x:c r="Y23" s="47"/>
      <x:c r="Z23" s="47"/>
    </x:row>
    <x:row r="24"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47"/>
      <x:c r="O24" s="47"/>
      <x:c r="P24" s="47"/>
      <x:c r="Q24" s="47"/>
      <x:c r="R24" s="47"/>
      <x:c r="S24" s="47"/>
      <x:c r="T24" s="47"/>
      <x:c r="U24" s="47"/>
      <x:c r="V24" s="47"/>
      <x:c r="W24" s="47"/>
      <x:c r="X24" s="47"/>
      <x:c r="Y24" s="47"/>
      <x:c r="Z24" s="47"/>
    </x:row>
    <x:row r="25"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47"/>
      <x:c r="O25" s="47"/>
      <x:c r="P25" s="47"/>
      <x:c r="Q25" s="47"/>
      <x:c r="R25" s="47"/>
      <x:c r="S25" s="47"/>
      <x:c r="T25" s="47"/>
      <x:c r="U25" s="47"/>
      <x:c r="V25" s="47"/>
      <x:c r="W25" s="47"/>
      <x:c r="X25" s="47"/>
      <x:c r="Y25" s="47"/>
      <x:c r="Z25" s="47"/>
    </x:row>
  </x:sheetData>
  <x:conditionalFormatting sqref="M7:M21">
    <x:cfRule type="containsText" dxfId="8" priority="1" operator="containsText" text="BLOCKED"/>
    <x:cfRule type="containsText" dxfId="9" priority="2" operator="containsText" text="NOT MOBILIZED"/>
    <x:cfRule type="containsText" dxfId="10" priority="3" operator="containsText" text="READY"/>
    <x:cfRule type="containsText" dxfId="11" priority="4" operator="containsText" text="FAIL"/>
  </x:conditionalFormatting>
  <x:dataValidations count="2">
    <x:dataValidation type="list" sqref="K7:K21">
      <x:formula1>"0,1"</x:formula1>
    </x:dataValidation>
    <x:dataValidation type="whole" operator="between" sqref="L7:L21">
      <x:formula1>0</x:formula1>
      <x:formula2>5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3" max="3" width="20" hidden="0" customWidth="1"/>
    <x:col min="4" max="4" width="15" hidden="0" customWidth="1"/>
    <x:col min="5" max="5" width="13" hidden="0" customWidth="1"/>
    <x:col min="6" max="6" width="20" hidden="0" customWidth="1"/>
    <x:col min="7" max="7" width="18" hidden="0" customWidth="1"/>
    <x:col min="8" max="8" width="12" hidden="0" customWidth="1"/>
    <x:col min="9" max="9" width="18" hidden="0" customWidth="1"/>
    <x:col min="10" max="10" width="20" hidden="0" customWidth="1"/>
    <x:col min="11" max="11" width="18" hidden="0" customWidth="1"/>
    <x:col min="12" max="12" width="16" hidden="0" customWidth="1"/>
    <x:col min="13" max="13" width="22" hidden="0" customWidth="1"/>
  </x:cols>
  <x:sheetData>
    <x:row r="1"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47"/>
      <x:c r="O1" s="47"/>
      <x:c r="P1" s="47"/>
      <x:c r="Q1" s="47"/>
      <x:c r="R1" s="47"/>
      <x:c r="S1" s="47"/>
      <x:c r="T1" s="47"/>
      <x:c r="U1" s="47"/>
      <x:c r="V1" s="47"/>
      <x:c r="W1" s="47"/>
      <x:c r="X1" s="47"/>
      <x:c r="Y1" s="47"/>
      <x:c r="Z1" s="47"/>
    </x:row>
    <x:row r="2">
      <x:c r="C2" s="48" t="str">
        <x:v>Sixty root-to-rig assignments</x:v>
      </x:c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47"/>
      <x:c r="O2" s="47"/>
      <x:c r="P2" s="47"/>
      <x:c r="Q2" s="47"/>
      <x:c r="R2" s="47"/>
      <x:c r="S2" s="47"/>
      <x:c r="T2" s="47"/>
      <x:c r="U2" s="47"/>
      <x:c r="V2" s="47"/>
      <x:c r="W2" s="47"/>
      <x:c r="X2" s="47"/>
      <x:c r="Y2" s="47"/>
      <x:c r="Z2" s="47"/>
    </x:row>
    <x:row r="3">
      <x:c r="C3" s="49" t="str">
        <x:v>A lane activates only after station qualification, identity registration, conflict review and all nine warrants.</x:v>
      </x:c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47"/>
      <x:c r="O3" s="47"/>
      <x:c r="P3" s="47"/>
      <x:c r="Q3" s="47"/>
      <x:c r="R3" s="47"/>
      <x:c r="S3" s="47"/>
      <x:c r="T3" s="47"/>
      <x:c r="U3" s="47"/>
      <x:c r="V3" s="47"/>
      <x:c r="W3" s="47"/>
      <x:c r="X3" s="47"/>
      <x:c r="Y3" s="47"/>
      <x:c r="Z3" s="47"/>
    </x:row>
    <x:row r="4">
      <x:c r="C4" s="50"/>
      <x:c r="D4" s="50"/>
      <x:c r="E4" s="50"/>
      <x:c r="F4" s="50"/>
      <x:c r="G4" s="50"/>
      <x:c r="H4" s="50"/>
      <x:c r="I4" s="50"/>
      <x:c r="J4" s="50"/>
      <x:c r="K4" s="50"/>
      <x:c r="L4" s="50"/>
      <x:c r="M4" s="50"/>
      <x:c r="N4" s="51"/>
      <x:c r="O4" s="51"/>
      <x:c r="P4" s="51"/>
      <x:c r="Q4" s="51"/>
      <x:c r="R4" s="51"/>
      <x:c r="S4" s="51"/>
      <x:c r="T4" s="51"/>
      <x:c r="U4" s="51"/>
      <x:c r="V4" s="51"/>
      <x:c r="W4" s="51"/>
      <x:c r="X4" s="51"/>
      <x:c r="Y4" s="51"/>
      <x:c r="Z4" s="51"/>
    </x:row>
    <x:row r="5">
      <x:c r="C5" s="9"/>
      <x:c r="D5" s="9"/>
      <x:c r="E5" s="9"/>
      <x:c r="F5" s="9"/>
      <x:c r="G5" s="9"/>
      <x:c r="H5" s="9"/>
      <x:c r="I5" s="9"/>
      <x:c r="J5" s="9"/>
      <x:c r="K5" s="9"/>
      <x:c r="L5" s="9"/>
      <x:c r="M5" s="9"/>
      <x:c r="N5" s="47"/>
      <x:c r="O5" s="47"/>
      <x:c r="P5" s="47"/>
      <x:c r="Q5" s="47"/>
      <x:c r="R5" s="47"/>
      <x:c r="S5" s="47"/>
      <x:c r="T5" s="47"/>
      <x:c r="U5" s="47"/>
      <x:c r="V5" s="47"/>
      <x:c r="W5" s="47"/>
      <x:c r="X5" s="47"/>
      <x:c r="Y5" s="47"/>
      <x:c r="Z5" s="47"/>
    </x:row>
    <x:row r="6" ht="28" customHeight="1">
      <x:c r="C6" s="26" t="str">
        <x:v>Assignment</x:v>
      </x:c>
      <x:c r="D6" s="32" t="str">
        <x:v>Root</x:v>
      </x:c>
      <x:c r="E6" s="32" t="str">
        <x:v>System</x:v>
      </x:c>
      <x:c r="F6" s="32" t="str">
        <x:v>Rig role</x:v>
      </x:c>
      <x:c r="G6" s="32" t="str">
        <x:v>Station</x:v>
      </x:c>
      <x:c r="H6" s="32" t="str">
        <x:v>Lane</x:v>
      </x:c>
      <x:c r="I6" s="32" t="str">
        <x:v>Identity accepted</x:v>
      </x:c>
      <x:c r="J6" s="32" t="str">
        <x:v>Conflict-free accepted</x:v>
      </x:c>
      <x:c r="K6" s="32" t="str">
        <x:v>Station commissioned</x:v>
      </x:c>
      <x:c r="L6" s="32" t="str">
        <x:v>Qualified lanes</x:v>
      </x:c>
      <x:c r="M6" s="27" t="str">
        <x:v>Activation</x:v>
      </x:c>
      <x:c r="N6" s="47"/>
      <x:c r="O6" s="47"/>
      <x:c r="P6" s="47"/>
      <x:c r="Q6" s="47"/>
      <x:c r="R6" s="47"/>
      <x:c r="S6" s="47"/>
      <x:c r="T6" s="47"/>
      <x:c r="U6" s="47"/>
      <x:c r="V6" s="47"/>
      <x:c r="W6" s="47"/>
      <x:c r="X6" s="47"/>
      <x:c r="Y6" s="47"/>
      <x:c r="Z6" s="47"/>
    </x:row>
    <x:row r="7">
      <x:c r="C7" s="9" t="str">
        <x:v>ASG-ET-A-CHL</x:v>
      </x:c>
      <x:c r="D7" s="9" t="str">
        <x:v>MS-ET|A</x:v>
      </x:c>
      <x:c r="E7" s="9" t="str">
        <x:v>MS-ET</x:v>
      </x:c>
      <x:c r="F7" s="9" t="str">
        <x:v>Challenge</x:v>
      </x:c>
      <x:c r="G7" s="9" t="str">
        <x:v>ST-ET-CHL</x:v>
      </x:c>
      <x:c r="H7" s="9" t="str">
        <x:v>LANE-A</x:v>
      </x:c>
      <x:c r="I7" s="42" t="n">
        <x:v>0</x:v>
      </x:c>
      <x:c r="J7" s="42" t="n">
        <x:v>0</x:v>
      </x:c>
      <x:c r="K7" s="9" t="n">
        <x:f>INDEX('Station Topology'!$K$7:$K$21,MATCH(G7,'Station Topology'!$C$7:$C$21,0))</x:f>
        <x:v>0</x:v>
      </x:c>
      <x:c r="L7" s="9" t="n">
        <x:f>INDEX('Station Topology'!$L$7:$L$21,MATCH(G7,'Station Topology'!$C$7:$C$21,0))</x:f>
        <x:v>0</x:v>
      </x:c>
      <x:c r="M7" s="9" t="str">
        <x:f>IF(AND(I7=1,J7=1,K7=1,L7=5,SUM('Constitutional Roles'!$L$7:$L$15)=9),"MOBILIZED","NOT MOBILIZED")</x:f>
        <x:v>NOT MOBILIZED</x:v>
      </x:c>
      <x:c r="N7" s="47"/>
      <x:c r="O7" s="47"/>
      <x:c r="P7" s="47"/>
      <x:c r="Q7" s="47"/>
      <x:c r="R7" s="47"/>
      <x:c r="S7" s="47"/>
      <x:c r="T7" s="47"/>
      <x:c r="U7" s="47"/>
      <x:c r="V7" s="47"/>
      <x:c r="W7" s="47"/>
      <x:c r="X7" s="47"/>
      <x:c r="Y7" s="47"/>
      <x:c r="Z7" s="47"/>
    </x:row>
    <x:row r="8">
      <x:c r="C8" s="9" t="str">
        <x:v>ASG-ET-A-CTL</x:v>
      </x:c>
      <x:c r="D8" s="9" t="str">
        <x:v>MS-ET|A</x:v>
      </x:c>
      <x:c r="E8" s="9" t="str">
        <x:v>MS-ET</x:v>
      </x:c>
      <x:c r="F8" s="9" t="str">
        <x:v>Matched control</x:v>
      </x:c>
      <x:c r="G8" s="9" t="str">
        <x:v>ST-ET-CTL</x:v>
      </x:c>
      <x:c r="H8" s="9" t="str">
        <x:v>LANE-A</x:v>
      </x:c>
      <x:c r="I8" s="42" t="n">
        <x:v>0</x:v>
      </x:c>
      <x:c r="J8" s="42" t="n">
        <x:v>0</x:v>
      </x:c>
      <x:c r="K8" s="9" t="n">
        <x:f>INDEX('Station Topology'!$K$7:$K$21,MATCH(G8,'Station Topology'!$C$7:$C$21,0))</x:f>
        <x:v>0</x:v>
      </x:c>
      <x:c r="L8" s="9" t="n">
        <x:f>INDEX('Station Topology'!$L$7:$L$21,MATCH(G8,'Station Topology'!$C$7:$C$21,0))</x:f>
        <x:v>0</x:v>
      </x:c>
      <x:c r="M8" s="9" t="str">
        <x:f>IF(AND(I8=1,J8=1,K8=1,L8=5,SUM('Constitutional Roles'!$L$7:$L$15)=9),"MOBILIZED","NOT MOBILIZED")</x:f>
        <x:v>NOT MOBILIZED</x:v>
      </x:c>
      <x:c r="N8" s="47"/>
      <x:c r="O8" s="47"/>
      <x:c r="P8" s="47"/>
      <x:c r="Q8" s="47"/>
      <x:c r="R8" s="47"/>
      <x:c r="S8" s="47"/>
      <x:c r="T8" s="47"/>
      <x:c r="U8" s="47"/>
      <x:c r="V8" s="47"/>
      <x:c r="W8" s="47"/>
      <x:c r="X8" s="47"/>
      <x:c r="Y8" s="47"/>
      <x:c r="Z8" s="47"/>
    </x:row>
    <x:row r="9">
      <x:c r="C9" s="9" t="str">
        <x:v>ASG-ET-A-REP</x:v>
      </x:c>
      <x:c r="D9" s="9" t="str">
        <x:v>MS-ET|A</x:v>
      </x:c>
      <x:c r="E9" s="9" t="str">
        <x:v>MS-ET</x:v>
      </x:c>
      <x:c r="F9" s="9" t="str">
        <x:v>Cold reproduction</x:v>
      </x:c>
      <x:c r="G9" s="9" t="str">
        <x:v>ST-ET-REP</x:v>
      </x:c>
      <x:c r="H9" s="9" t="str">
        <x:v>LANE-A</x:v>
      </x:c>
      <x:c r="I9" s="42" t="n">
        <x:v>0</x:v>
      </x:c>
      <x:c r="J9" s="42" t="n">
        <x:v>0</x:v>
      </x:c>
      <x:c r="K9" s="9" t="n">
        <x:f>INDEX('Station Topology'!$K$7:$K$21,MATCH(G9,'Station Topology'!$C$7:$C$21,0))</x:f>
        <x:v>0</x:v>
      </x:c>
      <x:c r="L9" s="9" t="n">
        <x:f>INDEX('Station Topology'!$L$7:$L$21,MATCH(G9,'Station Topology'!$C$7:$C$21,0))</x:f>
        <x:v>0</x:v>
      </x:c>
      <x:c r="M9" s="9" t="str">
        <x:f>IF(AND(I9=1,J9=1,K9=1,L9=5,SUM('Constitutional Roles'!$L$7:$L$15)=9),"MOBILIZED","NOT MOBILIZED")</x:f>
        <x:v>NOT MOBILIZED</x:v>
      </x:c>
      <x:c r="N9" s="47"/>
      <x:c r="O9" s="47"/>
      <x:c r="P9" s="47"/>
      <x:c r="Q9" s="47"/>
      <x:c r="R9" s="47"/>
      <x:c r="S9" s="47"/>
      <x:c r="T9" s="47"/>
      <x:c r="U9" s="47"/>
      <x:c r="V9" s="47"/>
      <x:c r="W9" s="47"/>
      <x:c r="X9" s="47"/>
      <x:c r="Y9" s="47"/>
      <x:c r="Z9" s="47"/>
    </x:row>
    <x:row r="10">
      <x:c r="C10" s="9" t="str">
        <x:v>ASG-ET-B-CHL</x:v>
      </x:c>
      <x:c r="D10" s="9" t="str">
        <x:v>MS-ET|B</x:v>
      </x:c>
      <x:c r="E10" s="9" t="str">
        <x:v>MS-ET</x:v>
      </x:c>
      <x:c r="F10" s="9" t="str">
        <x:v>Challenge</x:v>
      </x:c>
      <x:c r="G10" s="9" t="str">
        <x:v>ST-ET-CHL</x:v>
      </x:c>
      <x:c r="H10" s="9" t="str">
        <x:v>LANE-B</x:v>
      </x:c>
      <x:c r="I10" s="42" t="n">
        <x:v>0</x:v>
      </x:c>
      <x:c r="J10" s="42" t="n">
        <x:v>0</x:v>
      </x:c>
      <x:c r="K10" s="9" t="n">
        <x:f>INDEX('Station Topology'!$K$7:$K$21,MATCH(G10,'Station Topology'!$C$7:$C$21,0))</x:f>
        <x:v>0</x:v>
      </x:c>
      <x:c r="L10" s="9" t="n">
        <x:f>INDEX('Station Topology'!$L$7:$L$21,MATCH(G10,'Station Topology'!$C$7:$C$21,0))</x:f>
        <x:v>0</x:v>
      </x:c>
      <x:c r="M10" s="9" t="str">
        <x:f>IF(AND(I10=1,J10=1,K10=1,L10=5,SUM('Constitutional Roles'!$L$7:$L$15)=9),"MOBILIZED","NOT MOBILIZED")</x:f>
        <x:v>NOT MOBILIZED</x:v>
      </x:c>
      <x:c r="N10" s="47"/>
      <x:c r="O10" s="47"/>
      <x:c r="P10" s="47"/>
      <x:c r="Q10" s="47"/>
      <x:c r="R10" s="47"/>
      <x:c r="S10" s="47"/>
      <x:c r="T10" s="47"/>
      <x:c r="U10" s="47"/>
      <x:c r="V10" s="47"/>
      <x:c r="W10" s="47"/>
      <x:c r="X10" s="47"/>
      <x:c r="Y10" s="47"/>
      <x:c r="Z10" s="47"/>
    </x:row>
    <x:row r="11">
      <x:c r="C11" s="9" t="str">
        <x:v>ASG-ET-B-CTL</x:v>
      </x:c>
      <x:c r="D11" s="9" t="str">
        <x:v>MS-ET|B</x:v>
      </x:c>
      <x:c r="E11" s="9" t="str">
        <x:v>MS-ET</x:v>
      </x:c>
      <x:c r="F11" s="9" t="str">
        <x:v>Matched control</x:v>
      </x:c>
      <x:c r="G11" s="9" t="str">
        <x:v>ST-ET-CTL</x:v>
      </x:c>
      <x:c r="H11" s="9" t="str">
        <x:v>LANE-B</x:v>
      </x:c>
      <x:c r="I11" s="42" t="n">
        <x:v>0</x:v>
      </x:c>
      <x:c r="J11" s="42" t="n">
        <x:v>0</x:v>
      </x:c>
      <x:c r="K11" s="9" t="n">
        <x:f>INDEX('Station Topology'!$K$7:$K$21,MATCH(G11,'Station Topology'!$C$7:$C$21,0))</x:f>
        <x:v>0</x:v>
      </x:c>
      <x:c r="L11" s="9" t="n">
        <x:f>INDEX('Station Topology'!$L$7:$L$21,MATCH(G11,'Station Topology'!$C$7:$C$21,0))</x:f>
        <x:v>0</x:v>
      </x:c>
      <x:c r="M11" s="9" t="str">
        <x:f>IF(AND(I11=1,J11=1,K11=1,L11=5,SUM('Constitutional Roles'!$L$7:$L$15)=9),"MOBILIZED","NOT MOBILIZED")</x:f>
        <x:v>NOT MOBILIZED</x:v>
      </x:c>
      <x:c r="N11" s="47"/>
      <x:c r="O11" s="47"/>
      <x:c r="P11" s="47"/>
      <x:c r="Q11" s="47"/>
      <x:c r="R11" s="47"/>
      <x:c r="S11" s="47"/>
      <x:c r="T11" s="47"/>
      <x:c r="U11" s="47"/>
      <x:c r="V11" s="47"/>
      <x:c r="W11" s="47"/>
      <x:c r="X11" s="47"/>
      <x:c r="Y11" s="47"/>
      <x:c r="Z11" s="47"/>
    </x:row>
    <x:row r="12">
      <x:c r="C12" s="9" t="str">
        <x:v>ASG-ET-B-REP</x:v>
      </x:c>
      <x:c r="D12" s="9" t="str">
        <x:v>MS-ET|B</x:v>
      </x:c>
      <x:c r="E12" s="9" t="str">
        <x:v>MS-ET</x:v>
      </x:c>
      <x:c r="F12" s="9" t="str">
        <x:v>Cold reproduction</x:v>
      </x:c>
      <x:c r="G12" s="9" t="str">
        <x:v>ST-ET-REP</x:v>
      </x:c>
      <x:c r="H12" s="9" t="str">
        <x:v>LANE-B</x:v>
      </x:c>
      <x:c r="I12" s="42" t="n">
        <x:v>0</x:v>
      </x:c>
      <x:c r="J12" s="42" t="n">
        <x:v>0</x:v>
      </x:c>
      <x:c r="K12" s="9" t="n">
        <x:f>INDEX('Station Topology'!$K$7:$K$21,MATCH(G12,'Station Topology'!$C$7:$C$21,0))</x:f>
        <x:v>0</x:v>
      </x:c>
      <x:c r="L12" s="9" t="n">
        <x:f>INDEX('Station Topology'!$L$7:$L$21,MATCH(G12,'Station Topology'!$C$7:$C$21,0))</x:f>
        <x:v>0</x:v>
      </x:c>
      <x:c r="M12" s="9" t="str">
        <x:f>IF(AND(I12=1,J12=1,K12=1,L12=5,SUM('Constitutional Roles'!$L$7:$L$15)=9),"MOBILIZED","NOT MOBILIZED")</x:f>
        <x:v>NOT MOBILIZED</x:v>
      </x:c>
      <x:c r="N12" s="47"/>
      <x:c r="O12" s="47"/>
      <x:c r="P12" s="47"/>
      <x:c r="Q12" s="47"/>
      <x:c r="R12" s="47"/>
      <x:c r="S12" s="47"/>
      <x:c r="T12" s="47"/>
      <x:c r="U12" s="47"/>
      <x:c r="V12" s="47"/>
      <x:c r="W12" s="47"/>
      <x:c r="X12" s="47"/>
      <x:c r="Y12" s="47"/>
      <x:c r="Z12" s="47"/>
    </x:row>
    <x:row r="13">
      <x:c r="C13" s="9" t="str">
        <x:v>ASG-ET-C-CHL</x:v>
      </x:c>
      <x:c r="D13" s="9" t="str">
        <x:v>MS-ET|C</x:v>
      </x:c>
      <x:c r="E13" s="9" t="str">
        <x:v>MS-ET</x:v>
      </x:c>
      <x:c r="F13" s="9" t="str">
        <x:v>Challenge</x:v>
      </x:c>
      <x:c r="G13" s="9" t="str">
        <x:v>ST-ET-CHL</x:v>
      </x:c>
      <x:c r="H13" s="9" t="str">
        <x:v>LANE-C</x:v>
      </x:c>
      <x:c r="I13" s="42" t="n">
        <x:v>0</x:v>
      </x:c>
      <x:c r="J13" s="42" t="n">
        <x:v>0</x:v>
      </x:c>
      <x:c r="K13" s="9" t="n">
        <x:f>INDEX('Station Topology'!$K$7:$K$21,MATCH(G13,'Station Topology'!$C$7:$C$21,0))</x:f>
        <x:v>0</x:v>
      </x:c>
      <x:c r="L13" s="9" t="n">
        <x:f>INDEX('Station Topology'!$L$7:$L$21,MATCH(G13,'Station Topology'!$C$7:$C$21,0))</x:f>
        <x:v>0</x:v>
      </x:c>
      <x:c r="M13" s="9" t="str">
        <x:f>IF(AND(I13=1,J13=1,K13=1,L13=5,SUM('Constitutional Roles'!$L$7:$L$15)=9),"MOBILIZED","NOT MOBILIZED")</x:f>
        <x:v>NOT MOBILIZED</x:v>
      </x:c>
      <x:c r="N13" s="47"/>
      <x:c r="O13" s="47"/>
      <x:c r="P13" s="47"/>
      <x:c r="Q13" s="47"/>
      <x:c r="R13" s="47"/>
      <x:c r="S13" s="47"/>
      <x:c r="T13" s="47"/>
      <x:c r="U13" s="47"/>
      <x:c r="V13" s="47"/>
      <x:c r="W13" s="47"/>
      <x:c r="X13" s="47"/>
      <x:c r="Y13" s="47"/>
      <x:c r="Z13" s="47"/>
    </x:row>
    <x:row r="14">
      <x:c r="C14" s="9" t="str">
        <x:v>ASG-ET-C-CTL</x:v>
      </x:c>
      <x:c r="D14" s="9" t="str">
        <x:v>MS-ET|C</x:v>
      </x:c>
      <x:c r="E14" s="9" t="str">
        <x:v>MS-ET</x:v>
      </x:c>
      <x:c r="F14" s="9" t="str">
        <x:v>Matched control</x:v>
      </x:c>
      <x:c r="G14" s="9" t="str">
        <x:v>ST-ET-CTL</x:v>
      </x:c>
      <x:c r="H14" s="9" t="str">
        <x:v>LANE-C</x:v>
      </x:c>
      <x:c r="I14" s="42" t="n">
        <x:v>0</x:v>
      </x:c>
      <x:c r="J14" s="42" t="n">
        <x:v>0</x:v>
      </x:c>
      <x:c r="K14" s="9" t="n">
        <x:f>INDEX('Station Topology'!$K$7:$K$21,MATCH(G14,'Station Topology'!$C$7:$C$21,0))</x:f>
        <x:v>0</x:v>
      </x:c>
      <x:c r="L14" s="9" t="n">
        <x:f>INDEX('Station Topology'!$L$7:$L$21,MATCH(G14,'Station Topology'!$C$7:$C$21,0))</x:f>
        <x:v>0</x:v>
      </x:c>
      <x:c r="M14" s="9" t="str">
        <x:f>IF(AND(I14=1,J14=1,K14=1,L14=5,SUM('Constitutional Roles'!$L$7:$L$15)=9),"MOBILIZED","NOT MOBILIZED")</x:f>
        <x:v>NOT MOBILIZED</x:v>
      </x:c>
      <x:c r="N14" s="47"/>
      <x:c r="O14" s="47"/>
      <x:c r="P14" s="47"/>
      <x:c r="Q14" s="47"/>
      <x:c r="R14" s="47"/>
      <x:c r="S14" s="47"/>
      <x:c r="T14" s="47"/>
      <x:c r="U14" s="47"/>
      <x:c r="V14" s="47"/>
      <x:c r="W14" s="47"/>
      <x:c r="X14" s="47"/>
      <x:c r="Y14" s="47"/>
      <x:c r="Z14" s="47"/>
    </x:row>
    <x:row r="15">
      <x:c r="C15" s="9" t="str">
        <x:v>ASG-ET-C-REP</x:v>
      </x:c>
      <x:c r="D15" s="9" t="str">
        <x:v>MS-ET|C</x:v>
      </x:c>
      <x:c r="E15" s="9" t="str">
        <x:v>MS-ET</x:v>
      </x:c>
      <x:c r="F15" s="9" t="str">
        <x:v>Cold reproduction</x:v>
      </x:c>
      <x:c r="G15" s="9" t="str">
        <x:v>ST-ET-REP</x:v>
      </x:c>
      <x:c r="H15" s="9" t="str">
        <x:v>LANE-C</x:v>
      </x:c>
      <x:c r="I15" s="42" t="n">
        <x:v>0</x:v>
      </x:c>
      <x:c r="J15" s="42" t="n">
        <x:v>0</x:v>
      </x:c>
      <x:c r="K15" s="9" t="n">
        <x:f>INDEX('Station Topology'!$K$7:$K$21,MATCH(G15,'Station Topology'!$C$7:$C$21,0))</x:f>
        <x:v>0</x:v>
      </x:c>
      <x:c r="L15" s="9" t="n">
        <x:f>INDEX('Station Topology'!$L$7:$L$21,MATCH(G15,'Station Topology'!$C$7:$C$21,0))</x:f>
        <x:v>0</x:v>
      </x:c>
      <x:c r="M15" s="9" t="str">
        <x:f>IF(AND(I15=1,J15=1,K15=1,L15=5,SUM('Constitutional Roles'!$L$7:$L$15)=9),"MOBILIZED","NOT MOBILIZED")</x:f>
        <x:v>NOT MOBILIZED</x:v>
      </x:c>
      <x:c r="N15" s="47"/>
      <x:c r="O15" s="47"/>
      <x:c r="P15" s="47"/>
      <x:c r="Q15" s="47"/>
      <x:c r="R15" s="47"/>
      <x:c r="S15" s="47"/>
      <x:c r="T15" s="47"/>
      <x:c r="U15" s="47"/>
      <x:c r="V15" s="47"/>
      <x:c r="W15" s="47"/>
      <x:c r="X15" s="47"/>
      <x:c r="Y15" s="47"/>
      <x:c r="Z15" s="47"/>
    </x:row>
    <x:row r="16">
      <x:c r="C16" s="9" t="str">
        <x:v>ASG-ET-D-CHL</x:v>
      </x:c>
      <x:c r="D16" s="9" t="str">
        <x:v>MS-ET|D</x:v>
      </x:c>
      <x:c r="E16" s="9" t="str">
        <x:v>MS-ET</x:v>
      </x:c>
      <x:c r="F16" s="9" t="str">
        <x:v>Challenge</x:v>
      </x:c>
      <x:c r="G16" s="9" t="str">
        <x:v>ST-ET-CHL</x:v>
      </x:c>
      <x:c r="H16" s="9" t="str">
        <x:v>LANE-D</x:v>
      </x:c>
      <x:c r="I16" s="42" t="n">
        <x:v>0</x:v>
      </x:c>
      <x:c r="J16" s="42" t="n">
        <x:v>0</x:v>
      </x:c>
      <x:c r="K16" s="9" t="n">
        <x:f>INDEX('Station Topology'!$K$7:$K$21,MATCH(G16,'Station Topology'!$C$7:$C$21,0))</x:f>
        <x:v>0</x:v>
      </x:c>
      <x:c r="L16" s="9" t="n">
        <x:f>INDEX('Station Topology'!$L$7:$L$21,MATCH(G16,'Station Topology'!$C$7:$C$21,0))</x:f>
        <x:v>0</x:v>
      </x:c>
      <x:c r="M16" s="9" t="str">
        <x:f>IF(AND(I16=1,J16=1,K16=1,L16=5,SUM('Constitutional Roles'!$L$7:$L$15)=9),"MOBILIZED","NOT MOBILIZED")</x:f>
        <x:v>NOT MOBILIZED</x:v>
      </x:c>
      <x:c r="N16" s="47"/>
      <x:c r="O16" s="47"/>
      <x:c r="P16" s="47"/>
      <x:c r="Q16" s="47"/>
      <x:c r="R16" s="47"/>
      <x:c r="S16" s="47"/>
      <x:c r="T16" s="47"/>
      <x:c r="U16" s="47"/>
      <x:c r="V16" s="47"/>
      <x:c r="W16" s="47"/>
      <x:c r="X16" s="47"/>
      <x:c r="Y16" s="47"/>
      <x:c r="Z16" s="47"/>
    </x:row>
    <x:row r="17">
      <x:c r="C17" s="9" t="str">
        <x:v>ASG-ET-D-CTL</x:v>
      </x:c>
      <x:c r="D17" s="9" t="str">
        <x:v>MS-ET|D</x:v>
      </x:c>
      <x:c r="E17" s="9" t="str">
        <x:v>MS-ET</x:v>
      </x:c>
      <x:c r="F17" s="9" t="str">
        <x:v>Matched control</x:v>
      </x:c>
      <x:c r="G17" s="9" t="str">
        <x:v>ST-ET-CTL</x:v>
      </x:c>
      <x:c r="H17" s="9" t="str">
        <x:v>LANE-D</x:v>
      </x:c>
      <x:c r="I17" s="42" t="n">
        <x:v>0</x:v>
      </x:c>
      <x:c r="J17" s="42" t="n">
        <x:v>0</x:v>
      </x:c>
      <x:c r="K17" s="9" t="n">
        <x:f>INDEX('Station Topology'!$K$7:$K$21,MATCH(G17,'Station Topology'!$C$7:$C$21,0))</x:f>
        <x:v>0</x:v>
      </x:c>
      <x:c r="L17" s="9" t="n">
        <x:f>INDEX('Station Topology'!$L$7:$L$21,MATCH(G17,'Station Topology'!$C$7:$C$21,0))</x:f>
        <x:v>0</x:v>
      </x:c>
      <x:c r="M17" s="9" t="str">
        <x:f>IF(AND(I17=1,J17=1,K17=1,L17=5,SUM('Constitutional Roles'!$L$7:$L$15)=9),"MOBILIZED","NOT MOBILIZED")</x:f>
        <x:v>NOT MOBILIZED</x:v>
      </x:c>
      <x:c r="N17" s="47"/>
      <x:c r="O17" s="47"/>
      <x:c r="P17" s="47"/>
      <x:c r="Q17" s="47"/>
      <x:c r="R17" s="47"/>
      <x:c r="S17" s="47"/>
      <x:c r="T17" s="47"/>
      <x:c r="U17" s="47"/>
      <x:c r="V17" s="47"/>
      <x:c r="W17" s="47"/>
      <x:c r="X17" s="47"/>
      <x:c r="Y17" s="47"/>
      <x:c r="Z17" s="47"/>
    </x:row>
    <x:row r="18">
      <x:c r="C18" s="9" t="str">
        <x:v>ASG-ET-D-REP</x:v>
      </x:c>
      <x:c r="D18" s="9" t="str">
        <x:v>MS-ET|D</x:v>
      </x:c>
      <x:c r="E18" s="9" t="str">
        <x:v>MS-ET</x:v>
      </x:c>
      <x:c r="F18" s="9" t="str">
        <x:v>Cold reproduction</x:v>
      </x:c>
      <x:c r="G18" s="9" t="str">
        <x:v>ST-ET-REP</x:v>
      </x:c>
      <x:c r="H18" s="9" t="str">
        <x:v>LANE-D</x:v>
      </x:c>
      <x:c r="I18" s="42" t="n">
        <x:v>0</x:v>
      </x:c>
      <x:c r="J18" s="42" t="n">
        <x:v>0</x:v>
      </x:c>
      <x:c r="K18" s="9" t="n">
        <x:f>INDEX('Station Topology'!$K$7:$K$21,MATCH(G18,'Station Topology'!$C$7:$C$21,0))</x:f>
        <x:v>0</x:v>
      </x:c>
      <x:c r="L18" s="9" t="n">
        <x:f>INDEX('Station Topology'!$L$7:$L$21,MATCH(G18,'Station Topology'!$C$7:$C$21,0))</x:f>
        <x:v>0</x:v>
      </x:c>
      <x:c r="M18" s="9" t="str">
        <x:f>IF(AND(I18=1,J18=1,K18=1,L18=5,SUM('Constitutional Roles'!$L$7:$L$15)=9),"MOBILIZED","NOT MOBILIZED")</x:f>
        <x:v>NOT MOBILIZED</x:v>
      </x:c>
      <x:c r="N18" s="47"/>
      <x:c r="O18" s="47"/>
      <x:c r="P18" s="47"/>
      <x:c r="Q18" s="47"/>
      <x:c r="R18" s="47"/>
      <x:c r="S18" s="47"/>
      <x:c r="T18" s="47"/>
      <x:c r="U18" s="47"/>
      <x:c r="V18" s="47"/>
      <x:c r="W18" s="47"/>
      <x:c r="X18" s="47"/>
      <x:c r="Y18" s="47"/>
      <x:c r="Z18" s="47"/>
    </x:row>
    <x:row r="19">
      <x:c r="C19" s="9" t="str">
        <x:v>ASG-CT-A-CHL</x:v>
      </x:c>
      <x:c r="D19" s="9" t="str">
        <x:v>MS-CT|A</x:v>
      </x:c>
      <x:c r="E19" s="9" t="str">
        <x:v>MS-CT</x:v>
      </x:c>
      <x:c r="F19" s="9" t="str">
        <x:v>Challenge</x:v>
      </x:c>
      <x:c r="G19" s="9" t="str">
        <x:v>ST-CT-CHL</x:v>
      </x:c>
      <x:c r="H19" s="9" t="str">
        <x:v>LANE-A</x:v>
      </x:c>
      <x:c r="I19" s="42" t="n">
        <x:v>0</x:v>
      </x:c>
      <x:c r="J19" s="42" t="n">
        <x:v>0</x:v>
      </x:c>
      <x:c r="K19" s="9" t="n">
        <x:f>INDEX('Station Topology'!$K$7:$K$21,MATCH(G19,'Station Topology'!$C$7:$C$21,0))</x:f>
        <x:v>0</x:v>
      </x:c>
      <x:c r="L19" s="9" t="n">
        <x:f>INDEX('Station Topology'!$L$7:$L$21,MATCH(G19,'Station Topology'!$C$7:$C$21,0))</x:f>
        <x:v>0</x:v>
      </x:c>
      <x:c r="M19" s="9" t="str">
        <x:f>IF(AND(I19=1,J19=1,K19=1,L19=5,SUM('Constitutional Roles'!$L$7:$L$15)=9),"MOBILIZED","NOT MOBILIZED")</x:f>
        <x:v>NOT MOBILIZED</x:v>
      </x:c>
      <x:c r="N19" s="47"/>
      <x:c r="O19" s="47"/>
      <x:c r="P19" s="47"/>
      <x:c r="Q19" s="47"/>
      <x:c r="R19" s="47"/>
      <x:c r="S19" s="47"/>
      <x:c r="T19" s="47"/>
      <x:c r="U19" s="47"/>
      <x:c r="V19" s="47"/>
      <x:c r="W19" s="47"/>
      <x:c r="X19" s="47"/>
      <x:c r="Y19" s="47"/>
      <x:c r="Z19" s="47"/>
    </x:row>
    <x:row r="20">
      <x:c r="C20" s="9" t="str">
        <x:v>ASG-CT-A-CTL</x:v>
      </x:c>
      <x:c r="D20" s="9" t="str">
        <x:v>MS-CT|A</x:v>
      </x:c>
      <x:c r="E20" s="9" t="str">
        <x:v>MS-CT</x:v>
      </x:c>
      <x:c r="F20" s="9" t="str">
        <x:v>Matched control</x:v>
      </x:c>
      <x:c r="G20" s="9" t="str">
        <x:v>ST-CT-CTL</x:v>
      </x:c>
      <x:c r="H20" s="9" t="str">
        <x:v>LANE-A</x:v>
      </x:c>
      <x:c r="I20" s="42" t="n">
        <x:v>0</x:v>
      </x:c>
      <x:c r="J20" s="42" t="n">
        <x:v>0</x:v>
      </x:c>
      <x:c r="K20" s="9" t="n">
        <x:f>INDEX('Station Topology'!$K$7:$K$21,MATCH(G20,'Station Topology'!$C$7:$C$21,0))</x:f>
        <x:v>0</x:v>
      </x:c>
      <x:c r="L20" s="9" t="n">
        <x:f>INDEX('Station Topology'!$L$7:$L$21,MATCH(G20,'Station Topology'!$C$7:$C$21,0))</x:f>
        <x:v>0</x:v>
      </x:c>
      <x:c r="M20" s="9" t="str">
        <x:f>IF(AND(I20=1,J20=1,K20=1,L20=5,SUM('Constitutional Roles'!$L$7:$L$15)=9),"MOBILIZED","NOT MOBILIZED")</x:f>
        <x:v>NOT MOBILIZED</x:v>
      </x:c>
      <x:c r="N20" s="47"/>
      <x:c r="O20" s="47"/>
      <x:c r="P20" s="47"/>
      <x:c r="Q20" s="47"/>
      <x:c r="R20" s="47"/>
      <x:c r="S20" s="47"/>
      <x:c r="T20" s="47"/>
      <x:c r="U20" s="47"/>
      <x:c r="V20" s="47"/>
      <x:c r="W20" s="47"/>
      <x:c r="X20" s="47"/>
      <x:c r="Y20" s="47"/>
      <x:c r="Z20" s="47"/>
    </x:row>
    <x:row r="21">
      <x:c r="C21" s="9" t="str">
        <x:v>ASG-CT-A-REP</x:v>
      </x:c>
      <x:c r="D21" s="9" t="str">
        <x:v>MS-CT|A</x:v>
      </x:c>
      <x:c r="E21" s="9" t="str">
        <x:v>MS-CT</x:v>
      </x:c>
      <x:c r="F21" s="9" t="str">
        <x:v>Cold reproduction</x:v>
      </x:c>
      <x:c r="G21" s="9" t="str">
        <x:v>ST-CT-REP</x:v>
      </x:c>
      <x:c r="H21" s="9" t="str">
        <x:v>LANE-A</x:v>
      </x:c>
      <x:c r="I21" s="42" t="n">
        <x:v>0</x:v>
      </x:c>
      <x:c r="J21" s="42" t="n">
        <x:v>0</x:v>
      </x:c>
      <x:c r="K21" s="9" t="n">
        <x:f>INDEX('Station Topology'!$K$7:$K$21,MATCH(G21,'Station Topology'!$C$7:$C$21,0))</x:f>
        <x:v>0</x:v>
      </x:c>
      <x:c r="L21" s="9" t="n">
        <x:f>INDEX('Station Topology'!$L$7:$L$21,MATCH(G21,'Station Topology'!$C$7:$C$21,0))</x:f>
        <x:v>0</x:v>
      </x:c>
      <x:c r="M21" s="9" t="str">
        <x:f>IF(AND(I21=1,J21=1,K21=1,L21=5,SUM('Constitutional Roles'!$L$7:$L$15)=9),"MOBILIZED","NOT MOBILIZED")</x:f>
        <x:v>NOT MOBILIZED</x:v>
      </x:c>
      <x:c r="N21" s="47"/>
      <x:c r="O21" s="47"/>
      <x:c r="P21" s="47"/>
      <x:c r="Q21" s="47"/>
      <x:c r="R21" s="47"/>
      <x:c r="S21" s="47"/>
      <x:c r="T21" s="47"/>
      <x:c r="U21" s="47"/>
      <x:c r="V21" s="47"/>
      <x:c r="W21" s="47"/>
      <x:c r="X21" s="47"/>
      <x:c r="Y21" s="47"/>
      <x:c r="Z21" s="47"/>
    </x:row>
    <x:row r="22">
      <x:c r="C22" s="9" t="str">
        <x:v>ASG-CT-B-CHL</x:v>
      </x:c>
      <x:c r="D22" s="9" t="str">
        <x:v>MS-CT|B</x:v>
      </x:c>
      <x:c r="E22" s="9" t="str">
        <x:v>MS-CT</x:v>
      </x:c>
      <x:c r="F22" s="9" t="str">
        <x:v>Challenge</x:v>
      </x:c>
      <x:c r="G22" s="9" t="str">
        <x:v>ST-CT-CHL</x:v>
      </x:c>
      <x:c r="H22" s="9" t="str">
        <x:v>LANE-B</x:v>
      </x:c>
      <x:c r="I22" s="42" t="n">
        <x:v>0</x:v>
      </x:c>
      <x:c r="J22" s="42" t="n">
        <x:v>0</x:v>
      </x:c>
      <x:c r="K22" s="9" t="n">
        <x:f>INDEX('Station Topology'!$K$7:$K$21,MATCH(G22,'Station Topology'!$C$7:$C$21,0))</x:f>
        <x:v>0</x:v>
      </x:c>
      <x:c r="L22" s="9" t="n">
        <x:f>INDEX('Station Topology'!$L$7:$L$21,MATCH(G22,'Station Topology'!$C$7:$C$21,0))</x:f>
        <x:v>0</x:v>
      </x:c>
      <x:c r="M22" s="9" t="str">
        <x:f>IF(AND(I22=1,J22=1,K22=1,L22=5,SUM('Constitutional Roles'!$L$7:$L$15)=9),"MOBILIZED","NOT MOBILIZED")</x:f>
        <x:v>NOT MOBILIZED</x:v>
      </x:c>
      <x:c r="N22" s="47"/>
      <x:c r="O22" s="47"/>
      <x:c r="P22" s="47"/>
      <x:c r="Q22" s="47"/>
      <x:c r="R22" s="47"/>
      <x:c r="S22" s="47"/>
      <x:c r="T22" s="47"/>
      <x:c r="U22" s="47"/>
      <x:c r="V22" s="47"/>
      <x:c r="W22" s="47"/>
      <x:c r="X22" s="47"/>
      <x:c r="Y22" s="47"/>
      <x:c r="Z22" s="47"/>
    </x:row>
    <x:row r="23">
      <x:c r="C23" s="9" t="str">
        <x:v>ASG-CT-B-CTL</x:v>
      </x:c>
      <x:c r="D23" s="9" t="str">
        <x:v>MS-CT|B</x:v>
      </x:c>
      <x:c r="E23" s="9" t="str">
        <x:v>MS-CT</x:v>
      </x:c>
      <x:c r="F23" s="9" t="str">
        <x:v>Matched control</x:v>
      </x:c>
      <x:c r="G23" s="9" t="str">
        <x:v>ST-CT-CTL</x:v>
      </x:c>
      <x:c r="H23" s="9" t="str">
        <x:v>LANE-B</x:v>
      </x:c>
      <x:c r="I23" s="42" t="n">
        <x:v>0</x:v>
      </x:c>
      <x:c r="J23" s="42" t="n">
        <x:v>0</x:v>
      </x:c>
      <x:c r="K23" s="9" t="n">
        <x:f>INDEX('Station Topology'!$K$7:$K$21,MATCH(G23,'Station Topology'!$C$7:$C$21,0))</x:f>
        <x:v>0</x:v>
      </x:c>
      <x:c r="L23" s="9" t="n">
        <x:f>INDEX('Station Topology'!$L$7:$L$21,MATCH(G23,'Station Topology'!$C$7:$C$21,0))</x:f>
        <x:v>0</x:v>
      </x:c>
      <x:c r="M23" s="9" t="str">
        <x:f>IF(AND(I23=1,J23=1,K23=1,L23=5,SUM('Constitutional Roles'!$L$7:$L$15)=9),"MOBILIZED","NOT MOBILIZED")</x:f>
        <x:v>NOT MOBILIZED</x:v>
      </x:c>
      <x:c r="N23" s="47"/>
      <x:c r="O23" s="47"/>
      <x:c r="P23" s="47"/>
      <x:c r="Q23" s="47"/>
      <x:c r="R23" s="47"/>
      <x:c r="S23" s="47"/>
      <x:c r="T23" s="47"/>
      <x:c r="U23" s="47"/>
      <x:c r="V23" s="47"/>
      <x:c r="W23" s="47"/>
      <x:c r="X23" s="47"/>
      <x:c r="Y23" s="47"/>
      <x:c r="Z23" s="47"/>
    </x:row>
    <x:row r="24">
      <x:c r="C24" s="9" t="str">
        <x:v>ASG-CT-B-REP</x:v>
      </x:c>
      <x:c r="D24" s="9" t="str">
        <x:v>MS-CT|B</x:v>
      </x:c>
      <x:c r="E24" s="9" t="str">
        <x:v>MS-CT</x:v>
      </x:c>
      <x:c r="F24" s="9" t="str">
        <x:v>Cold reproduction</x:v>
      </x:c>
      <x:c r="G24" s="9" t="str">
        <x:v>ST-CT-REP</x:v>
      </x:c>
      <x:c r="H24" s="9" t="str">
        <x:v>LANE-B</x:v>
      </x:c>
      <x:c r="I24" s="42" t="n">
        <x:v>0</x:v>
      </x:c>
      <x:c r="J24" s="42" t="n">
        <x:v>0</x:v>
      </x:c>
      <x:c r="K24" s="9" t="n">
        <x:f>INDEX('Station Topology'!$K$7:$K$21,MATCH(G24,'Station Topology'!$C$7:$C$21,0))</x:f>
        <x:v>0</x:v>
      </x:c>
      <x:c r="L24" s="9" t="n">
        <x:f>INDEX('Station Topology'!$L$7:$L$21,MATCH(G24,'Station Topology'!$C$7:$C$21,0))</x:f>
        <x:v>0</x:v>
      </x:c>
      <x:c r="M24" s="9" t="str">
        <x:f>IF(AND(I24=1,J24=1,K24=1,L24=5,SUM('Constitutional Roles'!$L$7:$L$15)=9),"MOBILIZED","NOT MOBILIZED")</x:f>
        <x:v>NOT MOBILIZED</x:v>
      </x:c>
      <x:c r="N24" s="47"/>
      <x:c r="O24" s="47"/>
      <x:c r="P24" s="47"/>
      <x:c r="Q24" s="47"/>
      <x:c r="R24" s="47"/>
      <x:c r="S24" s="47"/>
      <x:c r="T24" s="47"/>
      <x:c r="U24" s="47"/>
      <x:c r="V24" s="47"/>
      <x:c r="W24" s="47"/>
      <x:c r="X24" s="47"/>
      <x:c r="Y24" s="47"/>
      <x:c r="Z24" s="47"/>
    </x:row>
    <x:row r="25">
      <x:c r="C25" s="9" t="str">
        <x:v>ASG-CT-C-CHL</x:v>
      </x:c>
      <x:c r="D25" s="9" t="str">
        <x:v>MS-CT|C</x:v>
      </x:c>
      <x:c r="E25" s="9" t="str">
        <x:v>MS-CT</x:v>
      </x:c>
      <x:c r="F25" s="9" t="str">
        <x:v>Challenge</x:v>
      </x:c>
      <x:c r="G25" s="9" t="str">
        <x:v>ST-CT-CHL</x:v>
      </x:c>
      <x:c r="H25" s="9" t="str">
        <x:v>LANE-C</x:v>
      </x:c>
      <x:c r="I25" s="42" t="n">
        <x:v>0</x:v>
      </x:c>
      <x:c r="J25" s="42" t="n">
        <x:v>0</x:v>
      </x:c>
      <x:c r="K25" s="9" t="n">
        <x:f>INDEX('Station Topology'!$K$7:$K$21,MATCH(G25,'Station Topology'!$C$7:$C$21,0))</x:f>
        <x:v>0</x:v>
      </x:c>
      <x:c r="L25" s="9" t="n">
        <x:f>INDEX('Station Topology'!$L$7:$L$21,MATCH(G25,'Station Topology'!$C$7:$C$21,0))</x:f>
        <x:v>0</x:v>
      </x:c>
      <x:c r="M25" s="9" t="str">
        <x:f>IF(AND(I25=1,J25=1,K25=1,L25=5,SUM('Constitutional Roles'!$L$7:$L$15)=9),"MOBILIZED","NOT MOBILIZED")</x:f>
        <x:v>NOT MOBILIZED</x:v>
      </x:c>
      <x:c r="N25" s="47"/>
      <x:c r="O25" s="47"/>
      <x:c r="P25" s="47"/>
      <x:c r="Q25" s="47"/>
      <x:c r="R25" s="47"/>
      <x:c r="S25" s="47"/>
      <x:c r="T25" s="47"/>
      <x:c r="U25" s="47"/>
      <x:c r="V25" s="47"/>
      <x:c r="W25" s="47"/>
      <x:c r="X25" s="47"/>
      <x:c r="Y25" s="47"/>
      <x:c r="Z25" s="47"/>
    </x:row>
    <x:row r="26">
      <x:c r="C26" s="9" t="str">
        <x:v>ASG-CT-C-CTL</x:v>
      </x:c>
      <x:c r="D26" s="9" t="str">
        <x:v>MS-CT|C</x:v>
      </x:c>
      <x:c r="E26" s="9" t="str">
        <x:v>MS-CT</x:v>
      </x:c>
      <x:c r="F26" s="9" t="str">
        <x:v>Matched control</x:v>
      </x:c>
      <x:c r="G26" s="9" t="str">
        <x:v>ST-CT-CTL</x:v>
      </x:c>
      <x:c r="H26" s="9" t="str">
        <x:v>LANE-C</x:v>
      </x:c>
      <x:c r="I26" s="42" t="n">
        <x:v>0</x:v>
      </x:c>
      <x:c r="J26" s="42" t="n">
        <x:v>0</x:v>
      </x:c>
      <x:c r="K26" s="9" t="n">
        <x:f>INDEX('Station Topology'!$K$7:$K$21,MATCH(G26,'Station Topology'!$C$7:$C$21,0))</x:f>
        <x:v>0</x:v>
      </x:c>
      <x:c r="L26" s="9" t="n">
        <x:f>INDEX('Station Topology'!$L$7:$L$21,MATCH(G26,'Station Topology'!$C$7:$C$21,0))</x:f>
        <x:v>0</x:v>
      </x:c>
      <x:c r="M26" s="9" t="str">
        <x:f>IF(AND(I26=1,J26=1,K26=1,L26=5,SUM('Constitutional Roles'!$L$7:$L$15)=9),"MOBILIZED","NOT MOBILIZED")</x:f>
        <x:v>NOT MOBILIZED</x:v>
      </x:c>
      <x:c r="N26" s="47"/>
      <x:c r="O26" s="47"/>
      <x:c r="P26" s="47"/>
      <x:c r="Q26" s="47"/>
      <x:c r="R26" s="47"/>
      <x:c r="S26" s="47"/>
      <x:c r="T26" s="47"/>
      <x:c r="U26" s="47"/>
      <x:c r="V26" s="47"/>
      <x:c r="W26" s="47"/>
      <x:c r="X26" s="47"/>
      <x:c r="Y26" s="47"/>
      <x:c r="Z26" s="47"/>
    </x:row>
    <x:row r="27">
      <x:c r="C27" s="9" t="str">
        <x:v>ASG-CT-C-REP</x:v>
      </x:c>
      <x:c r="D27" s="9" t="str">
        <x:v>MS-CT|C</x:v>
      </x:c>
      <x:c r="E27" s="9" t="str">
        <x:v>MS-CT</x:v>
      </x:c>
      <x:c r="F27" s="9" t="str">
        <x:v>Cold reproduction</x:v>
      </x:c>
      <x:c r="G27" s="9" t="str">
        <x:v>ST-CT-REP</x:v>
      </x:c>
      <x:c r="H27" s="9" t="str">
        <x:v>LANE-C</x:v>
      </x:c>
      <x:c r="I27" s="42" t="n">
        <x:v>0</x:v>
      </x:c>
      <x:c r="J27" s="42" t="n">
        <x:v>0</x:v>
      </x:c>
      <x:c r="K27" s="9" t="n">
        <x:f>INDEX('Station Topology'!$K$7:$K$21,MATCH(G27,'Station Topology'!$C$7:$C$21,0))</x:f>
        <x:v>0</x:v>
      </x:c>
      <x:c r="L27" s="9" t="n">
        <x:f>INDEX('Station Topology'!$L$7:$L$21,MATCH(G27,'Station Topology'!$C$7:$C$21,0))</x:f>
        <x:v>0</x:v>
      </x:c>
      <x:c r="M27" s="9" t="str">
        <x:f>IF(AND(I27=1,J27=1,K27=1,L27=5,SUM('Constitutional Roles'!$L$7:$L$15)=9),"MOBILIZED","NOT MOBILIZED")</x:f>
        <x:v>NOT MOBILIZED</x:v>
      </x:c>
      <x:c r="N27" s="47"/>
      <x:c r="O27" s="47"/>
      <x:c r="P27" s="47"/>
      <x:c r="Q27" s="47"/>
      <x:c r="R27" s="47"/>
      <x:c r="S27" s="47"/>
      <x:c r="T27" s="47"/>
      <x:c r="U27" s="47"/>
      <x:c r="V27" s="47"/>
      <x:c r="W27" s="47"/>
      <x:c r="X27" s="47"/>
      <x:c r="Y27" s="47"/>
      <x:c r="Z27" s="47"/>
    </x:row>
    <x:row r="28">
      <x:c r="C28" s="9" t="str">
        <x:v>ASG-CT-D-CHL</x:v>
      </x:c>
      <x:c r="D28" s="9" t="str">
        <x:v>MS-CT|D</x:v>
      </x:c>
      <x:c r="E28" s="9" t="str">
        <x:v>MS-CT</x:v>
      </x:c>
      <x:c r="F28" s="9" t="str">
        <x:v>Challenge</x:v>
      </x:c>
      <x:c r="G28" s="9" t="str">
        <x:v>ST-CT-CHL</x:v>
      </x:c>
      <x:c r="H28" s="9" t="str">
        <x:v>LANE-D</x:v>
      </x:c>
      <x:c r="I28" s="42" t="n">
        <x:v>0</x:v>
      </x:c>
      <x:c r="J28" s="42" t="n">
        <x:v>0</x:v>
      </x:c>
      <x:c r="K28" s="9" t="n">
        <x:f>INDEX('Station Topology'!$K$7:$K$21,MATCH(G28,'Station Topology'!$C$7:$C$21,0))</x:f>
        <x:v>0</x:v>
      </x:c>
      <x:c r="L28" s="9" t="n">
        <x:f>INDEX('Station Topology'!$L$7:$L$21,MATCH(G28,'Station Topology'!$C$7:$C$21,0))</x:f>
        <x:v>0</x:v>
      </x:c>
      <x:c r="M28" s="9" t="str">
        <x:f>IF(AND(I28=1,J28=1,K28=1,L28=5,SUM('Constitutional Roles'!$L$7:$L$15)=9),"MOBILIZED","NOT MOBILIZED")</x:f>
        <x:v>NOT MOBILIZED</x:v>
      </x:c>
      <x:c r="N28" s="47"/>
      <x:c r="O28" s="47"/>
      <x:c r="P28" s="47"/>
      <x:c r="Q28" s="47"/>
      <x:c r="R28" s="47"/>
      <x:c r="S28" s="47"/>
      <x:c r="T28" s="47"/>
      <x:c r="U28" s="47"/>
      <x:c r="V28" s="47"/>
      <x:c r="W28" s="47"/>
      <x:c r="X28" s="47"/>
      <x:c r="Y28" s="47"/>
      <x:c r="Z28" s="47"/>
    </x:row>
    <x:row r="29">
      <x:c r="C29" s="9" t="str">
        <x:v>ASG-CT-D-CTL</x:v>
      </x:c>
      <x:c r="D29" s="9" t="str">
        <x:v>MS-CT|D</x:v>
      </x:c>
      <x:c r="E29" s="9" t="str">
        <x:v>MS-CT</x:v>
      </x:c>
      <x:c r="F29" s="9" t="str">
        <x:v>Matched control</x:v>
      </x:c>
      <x:c r="G29" s="9" t="str">
        <x:v>ST-CT-CTL</x:v>
      </x:c>
      <x:c r="H29" s="9" t="str">
        <x:v>LANE-D</x:v>
      </x:c>
      <x:c r="I29" s="42" t="n">
        <x:v>0</x:v>
      </x:c>
      <x:c r="J29" s="42" t="n">
        <x:v>0</x:v>
      </x:c>
      <x:c r="K29" s="9" t="n">
        <x:f>INDEX('Station Topology'!$K$7:$K$21,MATCH(G29,'Station Topology'!$C$7:$C$21,0))</x:f>
        <x:v>0</x:v>
      </x:c>
      <x:c r="L29" s="9" t="n">
        <x:f>INDEX('Station Topology'!$L$7:$L$21,MATCH(G29,'Station Topology'!$C$7:$C$21,0))</x:f>
        <x:v>0</x:v>
      </x:c>
      <x:c r="M29" s="9" t="str">
        <x:f>IF(AND(I29=1,J29=1,K29=1,L29=5,SUM('Constitutional Roles'!$L$7:$L$15)=9),"MOBILIZED","NOT MOBILIZED")</x:f>
        <x:v>NOT MOBILIZED</x:v>
      </x:c>
      <x:c r="N29" s="47"/>
      <x:c r="O29" s="47"/>
      <x:c r="P29" s="47"/>
      <x:c r="Q29" s="47"/>
      <x:c r="R29" s="47"/>
      <x:c r="S29" s="47"/>
      <x:c r="T29" s="47"/>
      <x:c r="U29" s="47"/>
      <x:c r="V29" s="47"/>
      <x:c r="W29" s="47"/>
      <x:c r="X29" s="47"/>
      <x:c r="Y29" s="47"/>
      <x:c r="Z29" s="47"/>
    </x:row>
    <x:row r="30">
      <x:c r="C30" s="9" t="str">
        <x:v>ASG-CT-D-REP</x:v>
      </x:c>
      <x:c r="D30" s="9" t="str">
        <x:v>MS-CT|D</x:v>
      </x:c>
      <x:c r="E30" s="9" t="str">
        <x:v>MS-CT</x:v>
      </x:c>
      <x:c r="F30" s="9" t="str">
        <x:v>Cold reproduction</x:v>
      </x:c>
      <x:c r="G30" s="9" t="str">
        <x:v>ST-CT-REP</x:v>
      </x:c>
      <x:c r="H30" s="9" t="str">
        <x:v>LANE-D</x:v>
      </x:c>
      <x:c r="I30" s="42" t="n">
        <x:v>0</x:v>
      </x:c>
      <x:c r="J30" s="42" t="n">
        <x:v>0</x:v>
      </x:c>
      <x:c r="K30" s="9" t="n">
        <x:f>INDEX('Station Topology'!$K$7:$K$21,MATCH(G30,'Station Topology'!$C$7:$C$21,0))</x:f>
        <x:v>0</x:v>
      </x:c>
      <x:c r="L30" s="9" t="n">
        <x:f>INDEX('Station Topology'!$L$7:$L$21,MATCH(G30,'Station Topology'!$C$7:$C$21,0))</x:f>
        <x:v>0</x:v>
      </x:c>
      <x:c r="M30" s="9" t="str">
        <x:f>IF(AND(I30=1,J30=1,K30=1,L30=5,SUM('Constitutional Roles'!$L$7:$L$15)=9),"MOBILIZED","NOT MOBILIZED")</x:f>
        <x:v>NOT MOBILIZED</x:v>
      </x:c>
      <x:c r="N30" s="47"/>
      <x:c r="O30" s="47"/>
      <x:c r="P30" s="47"/>
      <x:c r="Q30" s="47"/>
      <x:c r="R30" s="47"/>
      <x:c r="S30" s="47"/>
      <x:c r="T30" s="47"/>
      <x:c r="U30" s="47"/>
      <x:c r="V30" s="47"/>
      <x:c r="W30" s="47"/>
      <x:c r="X30" s="47"/>
      <x:c r="Y30" s="47"/>
      <x:c r="Z30" s="47"/>
    </x:row>
    <x:row r="31">
      <x:c r="C31" s="9" t="str">
        <x:v>ASG-HC-A-CHL</x:v>
      </x:c>
      <x:c r="D31" s="9" t="str">
        <x:v>MS-HC|A</x:v>
      </x:c>
      <x:c r="E31" s="9" t="str">
        <x:v>MS-HC</x:v>
      </x:c>
      <x:c r="F31" s="9" t="str">
        <x:v>Challenge</x:v>
      </x:c>
      <x:c r="G31" s="9" t="str">
        <x:v>ST-HC-CHL</x:v>
      </x:c>
      <x:c r="H31" s="9" t="str">
        <x:v>LANE-A</x:v>
      </x:c>
      <x:c r="I31" s="42" t="n">
        <x:v>0</x:v>
      </x:c>
      <x:c r="J31" s="42" t="n">
        <x:v>0</x:v>
      </x:c>
      <x:c r="K31" s="9" t="n">
        <x:f>INDEX('Station Topology'!$K$7:$K$21,MATCH(G31,'Station Topology'!$C$7:$C$21,0))</x:f>
        <x:v>0</x:v>
      </x:c>
      <x:c r="L31" s="9" t="n">
        <x:f>INDEX('Station Topology'!$L$7:$L$21,MATCH(G31,'Station Topology'!$C$7:$C$21,0))</x:f>
        <x:v>0</x:v>
      </x:c>
      <x:c r="M31" s="9" t="str">
        <x:f>IF(AND(I31=1,J31=1,K31=1,L31=5,SUM('Constitutional Roles'!$L$7:$L$15)=9),"MOBILIZED","NOT MOBILIZED")</x:f>
        <x:v>NOT MOBILIZED</x:v>
      </x:c>
      <x:c r="N31" s="47"/>
      <x:c r="O31" s="47"/>
      <x:c r="P31" s="47"/>
      <x:c r="Q31" s="47"/>
      <x:c r="R31" s="47"/>
      <x:c r="S31" s="47"/>
      <x:c r="T31" s="47"/>
      <x:c r="U31" s="47"/>
      <x:c r="V31" s="47"/>
      <x:c r="W31" s="47"/>
      <x:c r="X31" s="47"/>
      <x:c r="Y31" s="47"/>
      <x:c r="Z31" s="47"/>
    </x:row>
    <x:row r="32">
      <x:c r="C32" s="9" t="str">
        <x:v>ASG-HC-A-CTL</x:v>
      </x:c>
      <x:c r="D32" s="9" t="str">
        <x:v>MS-HC|A</x:v>
      </x:c>
      <x:c r="E32" s="9" t="str">
        <x:v>MS-HC</x:v>
      </x:c>
      <x:c r="F32" s="9" t="str">
        <x:v>Matched control</x:v>
      </x:c>
      <x:c r="G32" s="9" t="str">
        <x:v>ST-HC-CTL</x:v>
      </x:c>
      <x:c r="H32" s="9" t="str">
        <x:v>LANE-A</x:v>
      </x:c>
      <x:c r="I32" s="42" t="n">
        <x:v>0</x:v>
      </x:c>
      <x:c r="J32" s="42" t="n">
        <x:v>0</x:v>
      </x:c>
      <x:c r="K32" s="9" t="n">
        <x:f>INDEX('Station Topology'!$K$7:$K$21,MATCH(G32,'Station Topology'!$C$7:$C$21,0))</x:f>
        <x:v>0</x:v>
      </x:c>
      <x:c r="L32" s="9" t="n">
        <x:f>INDEX('Station Topology'!$L$7:$L$21,MATCH(G32,'Station Topology'!$C$7:$C$21,0))</x:f>
        <x:v>0</x:v>
      </x:c>
      <x:c r="M32" s="9" t="str">
        <x:f>IF(AND(I32=1,J32=1,K32=1,L32=5,SUM('Constitutional Roles'!$L$7:$L$15)=9),"MOBILIZED","NOT MOBILIZED")</x:f>
        <x:v>NOT MOBILIZED</x:v>
      </x:c>
      <x:c r="N32" s="47"/>
      <x:c r="O32" s="47"/>
      <x:c r="P32" s="47"/>
      <x:c r="Q32" s="47"/>
      <x:c r="R32" s="47"/>
      <x:c r="S32" s="47"/>
      <x:c r="T32" s="47"/>
      <x:c r="U32" s="47"/>
      <x:c r="V32" s="47"/>
      <x:c r="W32" s="47"/>
      <x:c r="X32" s="47"/>
      <x:c r="Y32" s="47"/>
      <x:c r="Z32" s="47"/>
    </x:row>
    <x:row r="33">
      <x:c r="C33" s="9" t="str">
        <x:v>ASG-HC-A-REP</x:v>
      </x:c>
      <x:c r="D33" s="9" t="str">
        <x:v>MS-HC|A</x:v>
      </x:c>
      <x:c r="E33" s="9" t="str">
        <x:v>MS-HC</x:v>
      </x:c>
      <x:c r="F33" s="9" t="str">
        <x:v>Cold reproduction</x:v>
      </x:c>
      <x:c r="G33" s="9" t="str">
        <x:v>ST-HC-REP</x:v>
      </x:c>
      <x:c r="H33" s="9" t="str">
        <x:v>LANE-A</x:v>
      </x:c>
      <x:c r="I33" s="42" t="n">
        <x:v>0</x:v>
      </x:c>
      <x:c r="J33" s="42" t="n">
        <x:v>0</x:v>
      </x:c>
      <x:c r="K33" s="9" t="n">
        <x:f>INDEX('Station Topology'!$K$7:$K$21,MATCH(G33,'Station Topology'!$C$7:$C$21,0))</x:f>
        <x:v>0</x:v>
      </x:c>
      <x:c r="L33" s="9" t="n">
        <x:f>INDEX('Station Topology'!$L$7:$L$21,MATCH(G33,'Station Topology'!$C$7:$C$21,0))</x:f>
        <x:v>0</x:v>
      </x:c>
      <x:c r="M33" s="9" t="str">
        <x:f>IF(AND(I33=1,J33=1,K33=1,L33=5,SUM('Constitutional Roles'!$L$7:$L$15)=9),"MOBILIZED","NOT MOBILIZED")</x:f>
        <x:v>NOT MOBILIZED</x:v>
      </x:c>
      <x:c r="N33" s="47"/>
      <x:c r="O33" s="47"/>
      <x:c r="P33" s="47"/>
      <x:c r="Q33" s="47"/>
      <x:c r="R33" s="47"/>
      <x:c r="S33" s="47"/>
      <x:c r="T33" s="47"/>
      <x:c r="U33" s="47"/>
      <x:c r="V33" s="47"/>
      <x:c r="W33" s="47"/>
      <x:c r="X33" s="47"/>
      <x:c r="Y33" s="47"/>
      <x:c r="Z33" s="47"/>
    </x:row>
    <x:row r="34">
      <x:c r="C34" s="9" t="str">
        <x:v>ASG-HC-B-CHL</x:v>
      </x:c>
      <x:c r="D34" s="9" t="str">
        <x:v>MS-HC|B</x:v>
      </x:c>
      <x:c r="E34" s="9" t="str">
        <x:v>MS-HC</x:v>
      </x:c>
      <x:c r="F34" s="9" t="str">
        <x:v>Challenge</x:v>
      </x:c>
      <x:c r="G34" s="9" t="str">
        <x:v>ST-HC-CHL</x:v>
      </x:c>
      <x:c r="H34" s="9" t="str">
        <x:v>LANE-B</x:v>
      </x:c>
      <x:c r="I34" s="42" t="n">
        <x:v>0</x:v>
      </x:c>
      <x:c r="J34" s="42" t="n">
        <x:v>0</x:v>
      </x:c>
      <x:c r="K34" s="9" t="n">
        <x:f>INDEX('Station Topology'!$K$7:$K$21,MATCH(G34,'Station Topology'!$C$7:$C$21,0))</x:f>
        <x:v>0</x:v>
      </x:c>
      <x:c r="L34" s="9" t="n">
        <x:f>INDEX('Station Topology'!$L$7:$L$21,MATCH(G34,'Station Topology'!$C$7:$C$21,0))</x:f>
        <x:v>0</x:v>
      </x:c>
      <x:c r="M34" s="9" t="str">
        <x:f>IF(AND(I34=1,J34=1,K34=1,L34=5,SUM('Constitutional Roles'!$L$7:$L$15)=9),"MOBILIZED","NOT MOBILIZED")</x:f>
        <x:v>NOT MOBILIZED</x:v>
      </x:c>
      <x:c r="N34" s="47"/>
      <x:c r="O34" s="47"/>
      <x:c r="P34" s="47"/>
      <x:c r="Q34" s="47"/>
      <x:c r="R34" s="47"/>
      <x:c r="S34" s="47"/>
      <x:c r="T34" s="47"/>
      <x:c r="U34" s="47"/>
      <x:c r="V34" s="47"/>
      <x:c r="W34" s="47"/>
      <x:c r="X34" s="47"/>
      <x:c r="Y34" s="47"/>
      <x:c r="Z34" s="47"/>
    </x:row>
    <x:row r="35">
      <x:c r="C35" s="9" t="str">
        <x:v>ASG-HC-B-CTL</x:v>
      </x:c>
      <x:c r="D35" s="9" t="str">
        <x:v>MS-HC|B</x:v>
      </x:c>
      <x:c r="E35" s="9" t="str">
        <x:v>MS-HC</x:v>
      </x:c>
      <x:c r="F35" s="9" t="str">
        <x:v>Matched control</x:v>
      </x:c>
      <x:c r="G35" s="9" t="str">
        <x:v>ST-HC-CTL</x:v>
      </x:c>
      <x:c r="H35" s="9" t="str">
        <x:v>LANE-B</x:v>
      </x:c>
      <x:c r="I35" s="42" t="n">
        <x:v>0</x:v>
      </x:c>
      <x:c r="J35" s="42" t="n">
        <x:v>0</x:v>
      </x:c>
      <x:c r="K35" s="9" t="n">
        <x:f>INDEX('Station Topology'!$K$7:$K$21,MATCH(G35,'Station Topology'!$C$7:$C$21,0))</x:f>
        <x:v>0</x:v>
      </x:c>
      <x:c r="L35" s="9" t="n">
        <x:f>INDEX('Station Topology'!$L$7:$L$21,MATCH(G35,'Station Topology'!$C$7:$C$21,0))</x:f>
        <x:v>0</x:v>
      </x:c>
      <x:c r="M35" s="9" t="str">
        <x:f>IF(AND(I35=1,J35=1,K35=1,L35=5,SUM('Constitutional Roles'!$L$7:$L$15)=9),"MOBILIZED","NOT MOBILIZED")</x:f>
        <x:v>NOT MOBILIZED</x:v>
      </x:c>
      <x:c r="N35" s="47"/>
      <x:c r="O35" s="47"/>
      <x:c r="P35" s="47"/>
      <x:c r="Q35" s="47"/>
      <x:c r="R35" s="47"/>
      <x:c r="S35" s="47"/>
      <x:c r="T35" s="47"/>
      <x:c r="U35" s="47"/>
      <x:c r="V35" s="47"/>
      <x:c r="W35" s="47"/>
      <x:c r="X35" s="47"/>
      <x:c r="Y35" s="47"/>
      <x:c r="Z35" s="47"/>
    </x:row>
    <x:row r="36">
      <x:c r="C36" s="9" t="str">
        <x:v>ASG-HC-B-REP</x:v>
      </x:c>
      <x:c r="D36" s="9" t="str">
        <x:v>MS-HC|B</x:v>
      </x:c>
      <x:c r="E36" s="9" t="str">
        <x:v>MS-HC</x:v>
      </x:c>
      <x:c r="F36" s="9" t="str">
        <x:v>Cold reproduction</x:v>
      </x:c>
      <x:c r="G36" s="9" t="str">
        <x:v>ST-HC-REP</x:v>
      </x:c>
      <x:c r="H36" s="9" t="str">
        <x:v>LANE-B</x:v>
      </x:c>
      <x:c r="I36" s="42" t="n">
        <x:v>0</x:v>
      </x:c>
      <x:c r="J36" s="42" t="n">
        <x:v>0</x:v>
      </x:c>
      <x:c r="K36" s="9" t="n">
        <x:f>INDEX('Station Topology'!$K$7:$K$21,MATCH(G36,'Station Topology'!$C$7:$C$21,0))</x:f>
        <x:v>0</x:v>
      </x:c>
      <x:c r="L36" s="9" t="n">
        <x:f>INDEX('Station Topology'!$L$7:$L$21,MATCH(G36,'Station Topology'!$C$7:$C$21,0))</x:f>
        <x:v>0</x:v>
      </x:c>
      <x:c r="M36" s="9" t="str">
        <x:f>IF(AND(I36=1,J36=1,K36=1,L36=5,SUM('Constitutional Roles'!$L$7:$L$15)=9),"MOBILIZED","NOT MOBILIZED")</x:f>
        <x:v>NOT MOBILIZED</x:v>
      </x:c>
      <x:c r="N36" s="47"/>
      <x:c r="O36" s="47"/>
      <x:c r="P36" s="47"/>
      <x:c r="Q36" s="47"/>
      <x:c r="R36" s="47"/>
      <x:c r="S36" s="47"/>
      <x:c r="T36" s="47"/>
      <x:c r="U36" s="47"/>
      <x:c r="V36" s="47"/>
      <x:c r="W36" s="47"/>
      <x:c r="X36" s="47"/>
      <x:c r="Y36" s="47"/>
      <x:c r="Z36" s="47"/>
    </x:row>
    <x:row r="37">
      <x:c r="C37" s="9" t="str">
        <x:v>ASG-HC-C-CHL</x:v>
      </x:c>
      <x:c r="D37" s="9" t="str">
        <x:v>MS-HC|C</x:v>
      </x:c>
      <x:c r="E37" s="9" t="str">
        <x:v>MS-HC</x:v>
      </x:c>
      <x:c r="F37" s="9" t="str">
        <x:v>Challenge</x:v>
      </x:c>
      <x:c r="G37" s="9" t="str">
        <x:v>ST-HC-CHL</x:v>
      </x:c>
      <x:c r="H37" s="9" t="str">
        <x:v>LANE-C</x:v>
      </x:c>
      <x:c r="I37" s="42" t="n">
        <x:v>0</x:v>
      </x:c>
      <x:c r="J37" s="42" t="n">
        <x:v>0</x:v>
      </x:c>
      <x:c r="K37" s="9" t="n">
        <x:f>INDEX('Station Topology'!$K$7:$K$21,MATCH(G37,'Station Topology'!$C$7:$C$21,0))</x:f>
        <x:v>0</x:v>
      </x:c>
      <x:c r="L37" s="9" t="n">
        <x:f>INDEX('Station Topology'!$L$7:$L$21,MATCH(G37,'Station Topology'!$C$7:$C$21,0))</x:f>
        <x:v>0</x:v>
      </x:c>
      <x:c r="M37" s="9" t="str">
        <x:f>IF(AND(I37=1,J37=1,K37=1,L37=5,SUM('Constitutional Roles'!$L$7:$L$15)=9),"MOBILIZED","NOT MOBILIZED")</x:f>
        <x:v>NOT MOBILIZED</x:v>
      </x:c>
      <x:c r="N37" s="47"/>
      <x:c r="O37" s="47"/>
      <x:c r="P37" s="47"/>
      <x:c r="Q37" s="47"/>
      <x:c r="R37" s="47"/>
      <x:c r="S37" s="47"/>
      <x:c r="T37" s="47"/>
      <x:c r="U37" s="47"/>
      <x:c r="V37" s="47"/>
      <x:c r="W37" s="47"/>
      <x:c r="X37" s="47"/>
      <x:c r="Y37" s="47"/>
      <x:c r="Z37" s="47"/>
    </x:row>
    <x:row r="38">
      <x:c r="C38" s="9" t="str">
        <x:v>ASG-HC-C-CTL</x:v>
      </x:c>
      <x:c r="D38" s="9" t="str">
        <x:v>MS-HC|C</x:v>
      </x:c>
      <x:c r="E38" s="9" t="str">
        <x:v>MS-HC</x:v>
      </x:c>
      <x:c r="F38" s="9" t="str">
        <x:v>Matched control</x:v>
      </x:c>
      <x:c r="G38" s="9" t="str">
        <x:v>ST-HC-CTL</x:v>
      </x:c>
      <x:c r="H38" s="9" t="str">
        <x:v>LANE-C</x:v>
      </x:c>
      <x:c r="I38" s="42" t="n">
        <x:v>0</x:v>
      </x:c>
      <x:c r="J38" s="42" t="n">
        <x:v>0</x:v>
      </x:c>
      <x:c r="K38" s="9" t="n">
        <x:f>INDEX('Station Topology'!$K$7:$K$21,MATCH(G38,'Station Topology'!$C$7:$C$21,0))</x:f>
        <x:v>0</x:v>
      </x:c>
      <x:c r="L38" s="9" t="n">
        <x:f>INDEX('Station Topology'!$L$7:$L$21,MATCH(G38,'Station Topology'!$C$7:$C$21,0))</x:f>
        <x:v>0</x:v>
      </x:c>
      <x:c r="M38" s="9" t="str">
        <x:f>IF(AND(I38=1,J38=1,K38=1,L38=5,SUM('Constitutional Roles'!$L$7:$L$15)=9),"MOBILIZED","NOT MOBILIZED")</x:f>
        <x:v>NOT MOBILIZED</x:v>
      </x:c>
      <x:c r="N38" s="47"/>
      <x:c r="O38" s="47"/>
      <x:c r="P38" s="47"/>
      <x:c r="Q38" s="47"/>
      <x:c r="R38" s="47"/>
      <x:c r="S38" s="47"/>
      <x:c r="T38" s="47"/>
      <x:c r="U38" s="47"/>
      <x:c r="V38" s="47"/>
      <x:c r="W38" s="47"/>
      <x:c r="X38" s="47"/>
      <x:c r="Y38" s="47"/>
      <x:c r="Z38" s="47"/>
    </x:row>
    <x:row r="39">
      <x:c r="C39" s="9" t="str">
        <x:v>ASG-HC-C-REP</x:v>
      </x:c>
      <x:c r="D39" s="9" t="str">
        <x:v>MS-HC|C</x:v>
      </x:c>
      <x:c r="E39" s="9" t="str">
        <x:v>MS-HC</x:v>
      </x:c>
      <x:c r="F39" s="9" t="str">
        <x:v>Cold reproduction</x:v>
      </x:c>
      <x:c r="G39" s="9" t="str">
        <x:v>ST-HC-REP</x:v>
      </x:c>
      <x:c r="H39" s="9" t="str">
        <x:v>LANE-C</x:v>
      </x:c>
      <x:c r="I39" s="42" t="n">
        <x:v>0</x:v>
      </x:c>
      <x:c r="J39" s="42" t="n">
        <x:v>0</x:v>
      </x:c>
      <x:c r="K39" s="9" t="n">
        <x:f>INDEX('Station Topology'!$K$7:$K$21,MATCH(G39,'Station Topology'!$C$7:$C$21,0))</x:f>
        <x:v>0</x:v>
      </x:c>
      <x:c r="L39" s="9" t="n">
        <x:f>INDEX('Station Topology'!$L$7:$L$21,MATCH(G39,'Station Topology'!$C$7:$C$21,0))</x:f>
        <x:v>0</x:v>
      </x:c>
      <x:c r="M39" s="9" t="str">
        <x:f>IF(AND(I39=1,J39=1,K39=1,L39=5,SUM('Constitutional Roles'!$L$7:$L$15)=9),"MOBILIZED","NOT MOBILIZED")</x:f>
        <x:v>NOT MOBILIZED</x:v>
      </x:c>
      <x:c r="N39" s="47"/>
      <x:c r="O39" s="47"/>
      <x:c r="P39" s="47"/>
      <x:c r="Q39" s="47"/>
      <x:c r="R39" s="47"/>
      <x:c r="S39" s="47"/>
      <x:c r="T39" s="47"/>
      <x:c r="U39" s="47"/>
      <x:c r="V39" s="47"/>
      <x:c r="W39" s="47"/>
      <x:c r="X39" s="47"/>
      <x:c r="Y39" s="47"/>
      <x:c r="Z39" s="47"/>
    </x:row>
    <x:row r="40">
      <x:c r="C40" s="9" t="str">
        <x:v>ASG-HC-D-CHL</x:v>
      </x:c>
      <x:c r="D40" s="9" t="str">
        <x:v>MS-HC|D</x:v>
      </x:c>
      <x:c r="E40" s="9" t="str">
        <x:v>MS-HC</x:v>
      </x:c>
      <x:c r="F40" s="9" t="str">
        <x:v>Challenge</x:v>
      </x:c>
      <x:c r="G40" s="9" t="str">
        <x:v>ST-HC-CHL</x:v>
      </x:c>
      <x:c r="H40" s="9" t="str">
        <x:v>LANE-D</x:v>
      </x:c>
      <x:c r="I40" s="42" t="n">
        <x:v>0</x:v>
      </x:c>
      <x:c r="J40" s="42" t="n">
        <x:v>0</x:v>
      </x:c>
      <x:c r="K40" s="9" t="n">
        <x:f>INDEX('Station Topology'!$K$7:$K$21,MATCH(G40,'Station Topology'!$C$7:$C$21,0))</x:f>
        <x:v>0</x:v>
      </x:c>
      <x:c r="L40" s="9" t="n">
        <x:f>INDEX('Station Topology'!$L$7:$L$21,MATCH(G40,'Station Topology'!$C$7:$C$21,0))</x:f>
        <x:v>0</x:v>
      </x:c>
      <x:c r="M40" s="9" t="str">
        <x:f>IF(AND(I40=1,J40=1,K40=1,L40=5,SUM('Constitutional Roles'!$L$7:$L$15)=9),"MOBILIZED","NOT MOBILIZED")</x:f>
        <x:v>NOT MOBILIZED</x:v>
      </x:c>
      <x:c r="N40" s="47"/>
      <x:c r="O40" s="47"/>
      <x:c r="P40" s="47"/>
      <x:c r="Q40" s="47"/>
      <x:c r="R40" s="47"/>
      <x:c r="S40" s="47"/>
      <x:c r="T40" s="47"/>
      <x:c r="U40" s="47"/>
      <x:c r="V40" s="47"/>
      <x:c r="W40" s="47"/>
      <x:c r="X40" s="47"/>
      <x:c r="Y40" s="47"/>
      <x:c r="Z40" s="47"/>
    </x:row>
    <x:row r="41">
      <x:c r="C41" s="9" t="str">
        <x:v>ASG-HC-D-CTL</x:v>
      </x:c>
      <x:c r="D41" s="9" t="str">
        <x:v>MS-HC|D</x:v>
      </x:c>
      <x:c r="E41" s="9" t="str">
        <x:v>MS-HC</x:v>
      </x:c>
      <x:c r="F41" s="9" t="str">
        <x:v>Matched control</x:v>
      </x:c>
      <x:c r="G41" s="9" t="str">
        <x:v>ST-HC-CTL</x:v>
      </x:c>
      <x:c r="H41" s="9" t="str">
        <x:v>LANE-D</x:v>
      </x:c>
      <x:c r="I41" s="42" t="n">
        <x:v>0</x:v>
      </x:c>
      <x:c r="J41" s="42" t="n">
        <x:v>0</x:v>
      </x:c>
      <x:c r="K41" s="9" t="n">
        <x:f>INDEX('Station Topology'!$K$7:$K$21,MATCH(G41,'Station Topology'!$C$7:$C$21,0))</x:f>
        <x:v>0</x:v>
      </x:c>
      <x:c r="L41" s="9" t="n">
        <x:f>INDEX('Station Topology'!$L$7:$L$21,MATCH(G41,'Station Topology'!$C$7:$C$21,0))</x:f>
        <x:v>0</x:v>
      </x:c>
      <x:c r="M41" s="9" t="str">
        <x:f>IF(AND(I41=1,J41=1,K41=1,L41=5,SUM('Constitutional Roles'!$L$7:$L$15)=9),"MOBILIZED","NOT MOBILIZED")</x:f>
        <x:v>NOT MOBILIZED</x:v>
      </x:c>
      <x:c r="N41" s="47"/>
      <x:c r="O41" s="47"/>
      <x:c r="P41" s="47"/>
      <x:c r="Q41" s="47"/>
      <x:c r="R41" s="47"/>
      <x:c r="S41" s="47"/>
      <x:c r="T41" s="47"/>
      <x:c r="U41" s="47"/>
      <x:c r="V41" s="47"/>
      <x:c r="W41" s="47"/>
      <x:c r="X41" s="47"/>
      <x:c r="Y41" s="47"/>
      <x:c r="Z41" s="47"/>
    </x:row>
    <x:row r="42">
      <x:c r="C42" s="9" t="str">
        <x:v>ASG-HC-D-REP</x:v>
      </x:c>
      <x:c r="D42" s="9" t="str">
        <x:v>MS-HC|D</x:v>
      </x:c>
      <x:c r="E42" s="9" t="str">
        <x:v>MS-HC</x:v>
      </x:c>
      <x:c r="F42" s="9" t="str">
        <x:v>Cold reproduction</x:v>
      </x:c>
      <x:c r="G42" s="9" t="str">
        <x:v>ST-HC-REP</x:v>
      </x:c>
      <x:c r="H42" s="9" t="str">
        <x:v>LANE-D</x:v>
      </x:c>
      <x:c r="I42" s="42" t="n">
        <x:v>0</x:v>
      </x:c>
      <x:c r="J42" s="42" t="n">
        <x:v>0</x:v>
      </x:c>
      <x:c r="K42" s="9" t="n">
        <x:f>INDEX('Station Topology'!$K$7:$K$21,MATCH(G42,'Station Topology'!$C$7:$C$21,0))</x:f>
        <x:v>0</x:v>
      </x:c>
      <x:c r="L42" s="9" t="n">
        <x:f>INDEX('Station Topology'!$L$7:$L$21,MATCH(G42,'Station Topology'!$C$7:$C$21,0))</x:f>
        <x:v>0</x:v>
      </x:c>
      <x:c r="M42" s="9" t="str">
        <x:f>IF(AND(I42=1,J42=1,K42=1,L42=5,SUM('Constitutional Roles'!$L$7:$L$15)=9),"MOBILIZED","NOT MOBILIZED")</x:f>
        <x:v>NOT MOBILIZED</x:v>
      </x:c>
      <x:c r="N42" s="47"/>
      <x:c r="O42" s="47"/>
      <x:c r="P42" s="47"/>
      <x:c r="Q42" s="47"/>
      <x:c r="R42" s="47"/>
      <x:c r="S42" s="47"/>
      <x:c r="T42" s="47"/>
      <x:c r="U42" s="47"/>
      <x:c r="V42" s="47"/>
      <x:c r="W42" s="47"/>
      <x:c r="X42" s="47"/>
      <x:c r="Y42" s="47"/>
      <x:c r="Z42" s="47"/>
    </x:row>
    <x:row r="43">
      <x:c r="C43" s="9" t="str">
        <x:v>ASG-HU-A-CHL</x:v>
      </x:c>
      <x:c r="D43" s="9" t="str">
        <x:v>MS-HU|A</x:v>
      </x:c>
      <x:c r="E43" s="9" t="str">
        <x:v>MS-HU</x:v>
      </x:c>
      <x:c r="F43" s="9" t="str">
        <x:v>Challenge</x:v>
      </x:c>
      <x:c r="G43" s="9" t="str">
        <x:v>ST-HU-CHL</x:v>
      </x:c>
      <x:c r="H43" s="9" t="str">
        <x:v>LANE-A</x:v>
      </x:c>
      <x:c r="I43" s="42" t="n">
        <x:v>0</x:v>
      </x:c>
      <x:c r="J43" s="42" t="n">
        <x:v>0</x:v>
      </x:c>
      <x:c r="K43" s="9" t="n">
        <x:f>INDEX('Station Topology'!$K$7:$K$21,MATCH(G43,'Station Topology'!$C$7:$C$21,0))</x:f>
        <x:v>0</x:v>
      </x:c>
      <x:c r="L43" s="9" t="n">
        <x:f>INDEX('Station Topology'!$L$7:$L$21,MATCH(G43,'Station Topology'!$C$7:$C$21,0))</x:f>
        <x:v>0</x:v>
      </x:c>
      <x:c r="M43" s="9" t="str">
        <x:f>IF(AND(I43=1,J43=1,K43=1,L43=5,SUM('Constitutional Roles'!$L$7:$L$15)=9),"MOBILIZED","NOT MOBILIZED")</x:f>
        <x:v>NOT MOBILIZED</x:v>
      </x:c>
      <x:c r="N43" s="47"/>
      <x:c r="O43" s="47"/>
      <x:c r="P43" s="47"/>
      <x:c r="Q43" s="47"/>
      <x:c r="R43" s="47"/>
      <x:c r="S43" s="47"/>
      <x:c r="T43" s="47"/>
      <x:c r="U43" s="47"/>
      <x:c r="V43" s="47"/>
      <x:c r="W43" s="47"/>
      <x:c r="X43" s="47"/>
      <x:c r="Y43" s="47"/>
      <x:c r="Z43" s="47"/>
    </x:row>
    <x:row r="44">
      <x:c r="C44" s="9" t="str">
        <x:v>ASG-HU-A-CTL</x:v>
      </x:c>
      <x:c r="D44" s="9" t="str">
        <x:v>MS-HU|A</x:v>
      </x:c>
      <x:c r="E44" s="9" t="str">
        <x:v>MS-HU</x:v>
      </x:c>
      <x:c r="F44" s="9" t="str">
        <x:v>Matched control</x:v>
      </x:c>
      <x:c r="G44" s="9" t="str">
        <x:v>ST-HU-CTL</x:v>
      </x:c>
      <x:c r="H44" s="9" t="str">
        <x:v>LANE-A</x:v>
      </x:c>
      <x:c r="I44" s="42" t="n">
        <x:v>0</x:v>
      </x:c>
      <x:c r="J44" s="42" t="n">
        <x:v>0</x:v>
      </x:c>
      <x:c r="K44" s="9" t="n">
        <x:f>INDEX('Station Topology'!$K$7:$K$21,MATCH(G44,'Station Topology'!$C$7:$C$21,0))</x:f>
        <x:v>0</x:v>
      </x:c>
      <x:c r="L44" s="9" t="n">
        <x:f>INDEX('Station Topology'!$L$7:$L$21,MATCH(G44,'Station Topology'!$C$7:$C$21,0))</x:f>
        <x:v>0</x:v>
      </x:c>
      <x:c r="M44" s="9" t="str">
        <x:f>IF(AND(I44=1,J44=1,K44=1,L44=5,SUM('Constitutional Roles'!$L$7:$L$15)=9),"MOBILIZED","NOT MOBILIZED")</x:f>
        <x:v>NOT MOBILIZED</x:v>
      </x:c>
      <x:c r="N44" s="47"/>
      <x:c r="O44" s="47"/>
      <x:c r="P44" s="47"/>
      <x:c r="Q44" s="47"/>
      <x:c r="R44" s="47"/>
      <x:c r="S44" s="47"/>
      <x:c r="T44" s="47"/>
      <x:c r="U44" s="47"/>
      <x:c r="V44" s="47"/>
      <x:c r="W44" s="47"/>
      <x:c r="X44" s="47"/>
      <x:c r="Y44" s="47"/>
      <x:c r="Z44" s="47"/>
    </x:row>
    <x:row r="45">
      <x:c r="C45" s="9" t="str">
        <x:v>ASG-HU-A-REP</x:v>
      </x:c>
      <x:c r="D45" s="9" t="str">
        <x:v>MS-HU|A</x:v>
      </x:c>
      <x:c r="E45" s="9" t="str">
        <x:v>MS-HU</x:v>
      </x:c>
      <x:c r="F45" s="9" t="str">
        <x:v>Cold reproduction</x:v>
      </x:c>
      <x:c r="G45" s="9" t="str">
        <x:v>ST-HU-REP</x:v>
      </x:c>
      <x:c r="H45" s="9" t="str">
        <x:v>LANE-A</x:v>
      </x:c>
      <x:c r="I45" s="42" t="n">
        <x:v>0</x:v>
      </x:c>
      <x:c r="J45" s="42" t="n">
        <x:v>0</x:v>
      </x:c>
      <x:c r="K45" s="9" t="n">
        <x:f>INDEX('Station Topology'!$K$7:$K$21,MATCH(G45,'Station Topology'!$C$7:$C$21,0))</x:f>
        <x:v>0</x:v>
      </x:c>
      <x:c r="L45" s="9" t="n">
        <x:f>INDEX('Station Topology'!$L$7:$L$21,MATCH(G45,'Station Topology'!$C$7:$C$21,0))</x:f>
        <x:v>0</x:v>
      </x:c>
      <x:c r="M45" s="9" t="str">
        <x:f>IF(AND(I45=1,J45=1,K45=1,L45=5,SUM('Constitutional Roles'!$L$7:$L$15)=9),"MOBILIZED","NOT MOBILIZED")</x:f>
        <x:v>NOT MOBILIZED</x:v>
      </x:c>
      <x:c r="N45" s="47"/>
      <x:c r="O45" s="47"/>
      <x:c r="P45" s="47"/>
      <x:c r="Q45" s="47"/>
      <x:c r="R45" s="47"/>
      <x:c r="S45" s="47"/>
      <x:c r="T45" s="47"/>
      <x:c r="U45" s="47"/>
      <x:c r="V45" s="47"/>
      <x:c r="W45" s="47"/>
      <x:c r="X45" s="47"/>
      <x:c r="Y45" s="47"/>
      <x:c r="Z45" s="47"/>
    </x:row>
    <x:row r="46">
      <x:c r="C46" s="9" t="str">
        <x:v>ASG-HU-B-CHL</x:v>
      </x:c>
      <x:c r="D46" s="9" t="str">
        <x:v>MS-HU|B</x:v>
      </x:c>
      <x:c r="E46" s="9" t="str">
        <x:v>MS-HU</x:v>
      </x:c>
      <x:c r="F46" s="9" t="str">
        <x:v>Challenge</x:v>
      </x:c>
      <x:c r="G46" s="9" t="str">
        <x:v>ST-HU-CHL</x:v>
      </x:c>
      <x:c r="H46" s="9" t="str">
        <x:v>LANE-B</x:v>
      </x:c>
      <x:c r="I46" s="42" t="n">
        <x:v>0</x:v>
      </x:c>
      <x:c r="J46" s="42" t="n">
        <x:v>0</x:v>
      </x:c>
      <x:c r="K46" s="9" t="n">
        <x:f>INDEX('Station Topology'!$K$7:$K$21,MATCH(G46,'Station Topology'!$C$7:$C$21,0))</x:f>
        <x:v>0</x:v>
      </x:c>
      <x:c r="L46" s="9" t="n">
        <x:f>INDEX('Station Topology'!$L$7:$L$21,MATCH(G46,'Station Topology'!$C$7:$C$21,0))</x:f>
        <x:v>0</x:v>
      </x:c>
      <x:c r="M46" s="9" t="str">
        <x:f>IF(AND(I46=1,J46=1,K46=1,L46=5,SUM('Constitutional Roles'!$L$7:$L$15)=9),"MOBILIZED","NOT MOBILIZED")</x:f>
        <x:v>NOT MOBILIZED</x:v>
      </x:c>
      <x:c r="N46" s="47"/>
      <x:c r="O46" s="47"/>
      <x:c r="P46" s="47"/>
      <x:c r="Q46" s="47"/>
      <x:c r="R46" s="47"/>
      <x:c r="S46" s="47"/>
      <x:c r="T46" s="47"/>
      <x:c r="U46" s="47"/>
      <x:c r="V46" s="47"/>
      <x:c r="W46" s="47"/>
      <x:c r="X46" s="47"/>
      <x:c r="Y46" s="47"/>
      <x:c r="Z46" s="47"/>
    </x:row>
    <x:row r="47">
      <x:c r="C47" s="9" t="str">
        <x:v>ASG-HU-B-CTL</x:v>
      </x:c>
      <x:c r="D47" s="9" t="str">
        <x:v>MS-HU|B</x:v>
      </x:c>
      <x:c r="E47" s="9" t="str">
        <x:v>MS-HU</x:v>
      </x:c>
      <x:c r="F47" s="9" t="str">
        <x:v>Matched control</x:v>
      </x:c>
      <x:c r="G47" s="9" t="str">
        <x:v>ST-HU-CTL</x:v>
      </x:c>
      <x:c r="H47" s="9" t="str">
        <x:v>LANE-B</x:v>
      </x:c>
      <x:c r="I47" s="42" t="n">
        <x:v>0</x:v>
      </x:c>
      <x:c r="J47" s="42" t="n">
        <x:v>0</x:v>
      </x:c>
      <x:c r="K47" s="9" t="n">
        <x:f>INDEX('Station Topology'!$K$7:$K$21,MATCH(G47,'Station Topology'!$C$7:$C$21,0))</x:f>
        <x:v>0</x:v>
      </x:c>
      <x:c r="L47" s="9" t="n">
        <x:f>INDEX('Station Topology'!$L$7:$L$21,MATCH(G47,'Station Topology'!$C$7:$C$21,0))</x:f>
        <x:v>0</x:v>
      </x:c>
      <x:c r="M47" s="9" t="str">
        <x:f>IF(AND(I47=1,J47=1,K47=1,L47=5,SUM('Constitutional Roles'!$L$7:$L$15)=9),"MOBILIZED","NOT MOBILIZED")</x:f>
        <x:v>NOT MOBILIZED</x:v>
      </x:c>
      <x:c r="N47" s="47"/>
      <x:c r="O47" s="47"/>
      <x:c r="P47" s="47"/>
      <x:c r="Q47" s="47"/>
      <x:c r="R47" s="47"/>
      <x:c r="S47" s="47"/>
      <x:c r="T47" s="47"/>
      <x:c r="U47" s="47"/>
      <x:c r="V47" s="47"/>
      <x:c r="W47" s="47"/>
      <x:c r="X47" s="47"/>
      <x:c r="Y47" s="47"/>
      <x:c r="Z47" s="47"/>
    </x:row>
    <x:row r="48">
      <x:c r="C48" s="9" t="str">
        <x:v>ASG-HU-B-REP</x:v>
      </x:c>
      <x:c r="D48" s="9" t="str">
        <x:v>MS-HU|B</x:v>
      </x:c>
      <x:c r="E48" s="9" t="str">
        <x:v>MS-HU</x:v>
      </x:c>
      <x:c r="F48" s="9" t="str">
        <x:v>Cold reproduction</x:v>
      </x:c>
      <x:c r="G48" s="9" t="str">
        <x:v>ST-HU-REP</x:v>
      </x:c>
      <x:c r="H48" s="9" t="str">
        <x:v>LANE-B</x:v>
      </x:c>
      <x:c r="I48" s="42" t="n">
        <x:v>0</x:v>
      </x:c>
      <x:c r="J48" s="42" t="n">
        <x:v>0</x:v>
      </x:c>
      <x:c r="K48" s="9" t="n">
        <x:f>INDEX('Station Topology'!$K$7:$K$21,MATCH(G48,'Station Topology'!$C$7:$C$21,0))</x:f>
        <x:v>0</x:v>
      </x:c>
      <x:c r="L48" s="9" t="n">
        <x:f>INDEX('Station Topology'!$L$7:$L$21,MATCH(G48,'Station Topology'!$C$7:$C$21,0))</x:f>
        <x:v>0</x:v>
      </x:c>
      <x:c r="M48" s="9" t="str">
        <x:f>IF(AND(I48=1,J48=1,K48=1,L48=5,SUM('Constitutional Roles'!$L$7:$L$15)=9),"MOBILIZED","NOT MOBILIZED")</x:f>
        <x:v>NOT MOBILIZED</x:v>
      </x:c>
      <x:c r="N48" s="47"/>
      <x:c r="O48" s="47"/>
      <x:c r="P48" s="47"/>
      <x:c r="Q48" s="47"/>
      <x:c r="R48" s="47"/>
      <x:c r="S48" s="47"/>
      <x:c r="T48" s="47"/>
      <x:c r="U48" s="47"/>
      <x:c r="V48" s="47"/>
      <x:c r="W48" s="47"/>
      <x:c r="X48" s="47"/>
      <x:c r="Y48" s="47"/>
      <x:c r="Z48" s="47"/>
    </x:row>
    <x:row r="49">
      <x:c r="C49" s="9" t="str">
        <x:v>ASG-HU-C-CHL</x:v>
      </x:c>
      <x:c r="D49" s="9" t="str">
        <x:v>MS-HU|C</x:v>
      </x:c>
      <x:c r="E49" s="9" t="str">
        <x:v>MS-HU</x:v>
      </x:c>
      <x:c r="F49" s="9" t="str">
        <x:v>Challenge</x:v>
      </x:c>
      <x:c r="G49" s="9" t="str">
        <x:v>ST-HU-CHL</x:v>
      </x:c>
      <x:c r="H49" s="9" t="str">
        <x:v>LANE-C</x:v>
      </x:c>
      <x:c r="I49" s="42" t="n">
        <x:v>0</x:v>
      </x:c>
      <x:c r="J49" s="42" t="n">
        <x:v>0</x:v>
      </x:c>
      <x:c r="K49" s="9" t="n">
        <x:f>INDEX('Station Topology'!$K$7:$K$21,MATCH(G49,'Station Topology'!$C$7:$C$21,0))</x:f>
        <x:v>0</x:v>
      </x:c>
      <x:c r="L49" s="9" t="n">
        <x:f>INDEX('Station Topology'!$L$7:$L$21,MATCH(G49,'Station Topology'!$C$7:$C$21,0))</x:f>
        <x:v>0</x:v>
      </x:c>
      <x:c r="M49" s="9" t="str">
        <x:f>IF(AND(I49=1,J49=1,K49=1,L49=5,SUM('Constitutional Roles'!$L$7:$L$15)=9),"MOBILIZED","NOT MOBILIZED")</x:f>
        <x:v>NOT MOBILIZED</x:v>
      </x:c>
      <x:c r="N49" s="47"/>
      <x:c r="O49" s="47"/>
      <x:c r="P49" s="47"/>
      <x:c r="Q49" s="47"/>
      <x:c r="R49" s="47"/>
      <x:c r="S49" s="47"/>
      <x:c r="T49" s="47"/>
      <x:c r="U49" s="47"/>
      <x:c r="V49" s="47"/>
      <x:c r="W49" s="47"/>
      <x:c r="X49" s="47"/>
      <x:c r="Y49" s="47"/>
      <x:c r="Z49" s="47"/>
    </x:row>
    <x:row r="50">
      <x:c r="C50" s="9" t="str">
        <x:v>ASG-HU-C-CTL</x:v>
      </x:c>
      <x:c r="D50" s="9" t="str">
        <x:v>MS-HU|C</x:v>
      </x:c>
      <x:c r="E50" s="9" t="str">
        <x:v>MS-HU</x:v>
      </x:c>
      <x:c r="F50" s="9" t="str">
        <x:v>Matched control</x:v>
      </x:c>
      <x:c r="G50" s="9" t="str">
        <x:v>ST-HU-CTL</x:v>
      </x:c>
      <x:c r="H50" s="9" t="str">
        <x:v>LANE-C</x:v>
      </x:c>
      <x:c r="I50" s="42" t="n">
        <x:v>0</x:v>
      </x:c>
      <x:c r="J50" s="42" t="n">
        <x:v>0</x:v>
      </x:c>
      <x:c r="K50" s="9" t="n">
        <x:f>INDEX('Station Topology'!$K$7:$K$21,MATCH(G50,'Station Topology'!$C$7:$C$21,0))</x:f>
        <x:v>0</x:v>
      </x:c>
      <x:c r="L50" s="9" t="n">
        <x:f>INDEX('Station Topology'!$L$7:$L$21,MATCH(G50,'Station Topology'!$C$7:$C$21,0))</x:f>
        <x:v>0</x:v>
      </x:c>
      <x:c r="M50" s="9" t="str">
        <x:f>IF(AND(I50=1,J50=1,K50=1,L50=5,SUM('Constitutional Roles'!$L$7:$L$15)=9),"MOBILIZED","NOT MOBILIZED")</x:f>
        <x:v>NOT MOBILIZED</x:v>
      </x:c>
      <x:c r="N50" s="47"/>
      <x:c r="O50" s="47"/>
      <x:c r="P50" s="47"/>
      <x:c r="Q50" s="47"/>
      <x:c r="R50" s="47"/>
      <x:c r="S50" s="47"/>
      <x:c r="T50" s="47"/>
      <x:c r="U50" s="47"/>
      <x:c r="V50" s="47"/>
      <x:c r="W50" s="47"/>
      <x:c r="X50" s="47"/>
      <x:c r="Y50" s="47"/>
      <x:c r="Z50" s="47"/>
    </x:row>
    <x:row r="51">
      <x:c r="C51" s="9" t="str">
        <x:v>ASG-HU-C-REP</x:v>
      </x:c>
      <x:c r="D51" s="9" t="str">
        <x:v>MS-HU|C</x:v>
      </x:c>
      <x:c r="E51" s="9" t="str">
        <x:v>MS-HU</x:v>
      </x:c>
      <x:c r="F51" s="9" t="str">
        <x:v>Cold reproduction</x:v>
      </x:c>
      <x:c r="G51" s="9" t="str">
        <x:v>ST-HU-REP</x:v>
      </x:c>
      <x:c r="H51" s="9" t="str">
        <x:v>LANE-C</x:v>
      </x:c>
      <x:c r="I51" s="42" t="n">
        <x:v>0</x:v>
      </x:c>
      <x:c r="J51" s="42" t="n">
        <x:v>0</x:v>
      </x:c>
      <x:c r="K51" s="9" t="n">
        <x:f>INDEX('Station Topology'!$K$7:$K$21,MATCH(G51,'Station Topology'!$C$7:$C$21,0))</x:f>
        <x:v>0</x:v>
      </x:c>
      <x:c r="L51" s="9" t="n">
        <x:f>INDEX('Station Topology'!$L$7:$L$21,MATCH(G51,'Station Topology'!$C$7:$C$21,0))</x:f>
        <x:v>0</x:v>
      </x:c>
      <x:c r="M51" s="9" t="str">
        <x:f>IF(AND(I51=1,J51=1,K51=1,L51=5,SUM('Constitutional Roles'!$L$7:$L$15)=9),"MOBILIZED","NOT MOBILIZED")</x:f>
        <x:v>NOT MOBILIZED</x:v>
      </x:c>
      <x:c r="N51" s="47"/>
      <x:c r="O51" s="47"/>
      <x:c r="P51" s="47"/>
      <x:c r="Q51" s="47"/>
      <x:c r="R51" s="47"/>
      <x:c r="S51" s="47"/>
      <x:c r="T51" s="47"/>
      <x:c r="U51" s="47"/>
      <x:c r="V51" s="47"/>
      <x:c r="W51" s="47"/>
      <x:c r="X51" s="47"/>
      <x:c r="Y51" s="47"/>
      <x:c r="Z51" s="47"/>
    </x:row>
    <x:row r="52">
      <x:c r="C52" s="9" t="str">
        <x:v>ASG-HU-D-CHL</x:v>
      </x:c>
      <x:c r="D52" s="9" t="str">
        <x:v>MS-HU|D</x:v>
      </x:c>
      <x:c r="E52" s="9" t="str">
        <x:v>MS-HU</x:v>
      </x:c>
      <x:c r="F52" s="9" t="str">
        <x:v>Challenge</x:v>
      </x:c>
      <x:c r="G52" s="9" t="str">
        <x:v>ST-HU-CHL</x:v>
      </x:c>
      <x:c r="H52" s="9" t="str">
        <x:v>LANE-D</x:v>
      </x:c>
      <x:c r="I52" s="42" t="n">
        <x:v>0</x:v>
      </x:c>
      <x:c r="J52" s="42" t="n">
        <x:v>0</x:v>
      </x:c>
      <x:c r="K52" s="9" t="n">
        <x:f>INDEX('Station Topology'!$K$7:$K$21,MATCH(G52,'Station Topology'!$C$7:$C$21,0))</x:f>
        <x:v>0</x:v>
      </x:c>
      <x:c r="L52" s="9" t="n">
        <x:f>INDEX('Station Topology'!$L$7:$L$21,MATCH(G52,'Station Topology'!$C$7:$C$21,0))</x:f>
        <x:v>0</x:v>
      </x:c>
      <x:c r="M52" s="9" t="str">
        <x:f>IF(AND(I52=1,J52=1,K52=1,L52=5,SUM('Constitutional Roles'!$L$7:$L$15)=9),"MOBILIZED","NOT MOBILIZED")</x:f>
        <x:v>NOT MOBILIZED</x:v>
      </x:c>
      <x:c r="N52" s="47"/>
      <x:c r="O52" s="47"/>
      <x:c r="P52" s="47"/>
      <x:c r="Q52" s="47"/>
      <x:c r="R52" s="47"/>
      <x:c r="S52" s="47"/>
      <x:c r="T52" s="47"/>
      <x:c r="U52" s="47"/>
      <x:c r="V52" s="47"/>
      <x:c r="W52" s="47"/>
      <x:c r="X52" s="47"/>
      <x:c r="Y52" s="47"/>
      <x:c r="Z52" s="47"/>
    </x:row>
    <x:row r="53">
      <x:c r="C53" s="9" t="str">
        <x:v>ASG-HU-D-CTL</x:v>
      </x:c>
      <x:c r="D53" s="9" t="str">
        <x:v>MS-HU|D</x:v>
      </x:c>
      <x:c r="E53" s="9" t="str">
        <x:v>MS-HU</x:v>
      </x:c>
      <x:c r="F53" s="9" t="str">
        <x:v>Matched control</x:v>
      </x:c>
      <x:c r="G53" s="9" t="str">
        <x:v>ST-HU-CTL</x:v>
      </x:c>
      <x:c r="H53" s="9" t="str">
        <x:v>LANE-D</x:v>
      </x:c>
      <x:c r="I53" s="42" t="n">
        <x:v>0</x:v>
      </x:c>
      <x:c r="J53" s="42" t="n">
        <x:v>0</x:v>
      </x:c>
      <x:c r="K53" s="9" t="n">
        <x:f>INDEX('Station Topology'!$K$7:$K$21,MATCH(G53,'Station Topology'!$C$7:$C$21,0))</x:f>
        <x:v>0</x:v>
      </x:c>
      <x:c r="L53" s="9" t="n">
        <x:f>INDEX('Station Topology'!$L$7:$L$21,MATCH(G53,'Station Topology'!$C$7:$C$21,0))</x:f>
        <x:v>0</x:v>
      </x:c>
      <x:c r="M53" s="9" t="str">
        <x:f>IF(AND(I53=1,J53=1,K53=1,L53=5,SUM('Constitutional Roles'!$L$7:$L$15)=9),"MOBILIZED","NOT MOBILIZED")</x:f>
        <x:v>NOT MOBILIZED</x:v>
      </x:c>
      <x:c r="N53" s="47"/>
      <x:c r="O53" s="47"/>
      <x:c r="P53" s="47"/>
      <x:c r="Q53" s="47"/>
      <x:c r="R53" s="47"/>
      <x:c r="S53" s="47"/>
      <x:c r="T53" s="47"/>
      <x:c r="U53" s="47"/>
      <x:c r="V53" s="47"/>
      <x:c r="W53" s="47"/>
      <x:c r="X53" s="47"/>
      <x:c r="Y53" s="47"/>
      <x:c r="Z53" s="47"/>
    </x:row>
    <x:row r="54">
      <x:c r="C54" s="9" t="str">
        <x:v>ASG-HU-D-REP</x:v>
      </x:c>
      <x:c r="D54" s="9" t="str">
        <x:v>MS-HU|D</x:v>
      </x:c>
      <x:c r="E54" s="9" t="str">
        <x:v>MS-HU</x:v>
      </x:c>
      <x:c r="F54" s="9" t="str">
        <x:v>Cold reproduction</x:v>
      </x:c>
      <x:c r="G54" s="9" t="str">
        <x:v>ST-HU-REP</x:v>
      </x:c>
      <x:c r="H54" s="9" t="str">
        <x:v>LANE-D</x:v>
      </x:c>
      <x:c r="I54" s="42" t="n">
        <x:v>0</x:v>
      </x:c>
      <x:c r="J54" s="42" t="n">
        <x:v>0</x:v>
      </x:c>
      <x:c r="K54" s="9" t="n">
        <x:f>INDEX('Station Topology'!$K$7:$K$21,MATCH(G54,'Station Topology'!$C$7:$C$21,0))</x:f>
        <x:v>0</x:v>
      </x:c>
      <x:c r="L54" s="9" t="n">
        <x:f>INDEX('Station Topology'!$L$7:$L$21,MATCH(G54,'Station Topology'!$C$7:$C$21,0))</x:f>
        <x:v>0</x:v>
      </x:c>
      <x:c r="M54" s="9" t="str">
        <x:f>IF(AND(I54=1,J54=1,K54=1,L54=5,SUM('Constitutional Roles'!$L$7:$L$15)=9),"MOBILIZED","NOT MOBILIZED")</x:f>
        <x:v>NOT MOBILIZED</x:v>
      </x:c>
      <x:c r="N54" s="47"/>
      <x:c r="O54" s="47"/>
      <x:c r="P54" s="47"/>
      <x:c r="Q54" s="47"/>
      <x:c r="R54" s="47"/>
      <x:c r="S54" s="47"/>
      <x:c r="T54" s="47"/>
      <x:c r="U54" s="47"/>
      <x:c r="V54" s="47"/>
      <x:c r="W54" s="47"/>
      <x:c r="X54" s="47"/>
      <x:c r="Y54" s="47"/>
      <x:c r="Z54" s="47"/>
    </x:row>
    <x:row r="55">
      <x:c r="C55" s="9" t="str">
        <x:v>ASG-RT-A-CHL</x:v>
      </x:c>
      <x:c r="D55" s="9" t="str">
        <x:v>MS-RT|A</x:v>
      </x:c>
      <x:c r="E55" s="9" t="str">
        <x:v>MS-RT</x:v>
      </x:c>
      <x:c r="F55" s="9" t="str">
        <x:v>Challenge</x:v>
      </x:c>
      <x:c r="G55" s="9" t="str">
        <x:v>ST-RT-CHL</x:v>
      </x:c>
      <x:c r="H55" s="9" t="str">
        <x:v>LANE-A</x:v>
      </x:c>
      <x:c r="I55" s="42" t="n">
        <x:v>0</x:v>
      </x:c>
      <x:c r="J55" s="42" t="n">
        <x:v>0</x:v>
      </x:c>
      <x:c r="K55" s="9" t="n">
        <x:f>INDEX('Station Topology'!$K$7:$K$21,MATCH(G55,'Station Topology'!$C$7:$C$21,0))</x:f>
        <x:v>0</x:v>
      </x:c>
      <x:c r="L55" s="9" t="n">
        <x:f>INDEX('Station Topology'!$L$7:$L$21,MATCH(G55,'Station Topology'!$C$7:$C$21,0))</x:f>
        <x:v>0</x:v>
      </x:c>
      <x:c r="M55" s="9" t="str">
        <x:f>IF(AND(I55=1,J55=1,K55=1,L55=5,SUM('Constitutional Roles'!$L$7:$L$15)=9),"MOBILIZED","NOT MOBILIZED")</x:f>
        <x:v>NOT MOBILIZED</x:v>
      </x:c>
      <x:c r="N55" s="47"/>
      <x:c r="O55" s="47"/>
      <x:c r="P55" s="47"/>
      <x:c r="Q55" s="47"/>
      <x:c r="R55" s="47"/>
      <x:c r="S55" s="47"/>
      <x:c r="T55" s="47"/>
      <x:c r="U55" s="47"/>
      <x:c r="V55" s="47"/>
      <x:c r="W55" s="47"/>
      <x:c r="X55" s="47"/>
      <x:c r="Y55" s="47"/>
      <x:c r="Z55" s="47"/>
    </x:row>
    <x:row r="56">
      <x:c r="C56" s="9" t="str">
        <x:v>ASG-RT-A-CTL</x:v>
      </x:c>
      <x:c r="D56" s="9" t="str">
        <x:v>MS-RT|A</x:v>
      </x:c>
      <x:c r="E56" s="9" t="str">
        <x:v>MS-RT</x:v>
      </x:c>
      <x:c r="F56" s="9" t="str">
        <x:v>Matched control</x:v>
      </x:c>
      <x:c r="G56" s="9" t="str">
        <x:v>ST-RT-CTL</x:v>
      </x:c>
      <x:c r="H56" s="9" t="str">
        <x:v>LANE-A</x:v>
      </x:c>
      <x:c r="I56" s="42" t="n">
        <x:v>0</x:v>
      </x:c>
      <x:c r="J56" s="42" t="n">
        <x:v>0</x:v>
      </x:c>
      <x:c r="K56" s="9" t="n">
        <x:f>INDEX('Station Topology'!$K$7:$K$21,MATCH(G56,'Station Topology'!$C$7:$C$21,0))</x:f>
        <x:v>0</x:v>
      </x:c>
      <x:c r="L56" s="9" t="n">
        <x:f>INDEX('Station Topology'!$L$7:$L$21,MATCH(G56,'Station Topology'!$C$7:$C$21,0))</x:f>
        <x:v>0</x:v>
      </x:c>
      <x:c r="M56" s="9" t="str">
        <x:f>IF(AND(I56=1,J56=1,K56=1,L56=5,SUM('Constitutional Roles'!$L$7:$L$15)=9),"MOBILIZED","NOT MOBILIZED")</x:f>
        <x:v>NOT MOBILIZED</x:v>
      </x:c>
      <x:c r="N56" s="47"/>
      <x:c r="O56" s="47"/>
      <x:c r="P56" s="47"/>
      <x:c r="Q56" s="47"/>
      <x:c r="R56" s="47"/>
      <x:c r="S56" s="47"/>
      <x:c r="T56" s="47"/>
      <x:c r="U56" s="47"/>
      <x:c r="V56" s="47"/>
      <x:c r="W56" s="47"/>
      <x:c r="X56" s="47"/>
      <x:c r="Y56" s="47"/>
      <x:c r="Z56" s="47"/>
    </x:row>
    <x:row r="57">
      <x:c r="C57" s="9" t="str">
        <x:v>ASG-RT-A-REP</x:v>
      </x:c>
      <x:c r="D57" s="9" t="str">
        <x:v>MS-RT|A</x:v>
      </x:c>
      <x:c r="E57" s="9" t="str">
        <x:v>MS-RT</x:v>
      </x:c>
      <x:c r="F57" s="9" t="str">
        <x:v>Cold reproduction</x:v>
      </x:c>
      <x:c r="G57" s="9" t="str">
        <x:v>ST-RT-REP</x:v>
      </x:c>
      <x:c r="H57" s="9" t="str">
        <x:v>LANE-A</x:v>
      </x:c>
      <x:c r="I57" s="42" t="n">
        <x:v>0</x:v>
      </x:c>
      <x:c r="J57" s="42" t="n">
        <x:v>0</x:v>
      </x:c>
      <x:c r="K57" s="9" t="n">
        <x:f>INDEX('Station Topology'!$K$7:$K$21,MATCH(G57,'Station Topology'!$C$7:$C$21,0))</x:f>
        <x:v>0</x:v>
      </x:c>
      <x:c r="L57" s="9" t="n">
        <x:f>INDEX('Station Topology'!$L$7:$L$21,MATCH(G57,'Station Topology'!$C$7:$C$21,0))</x:f>
        <x:v>0</x:v>
      </x:c>
      <x:c r="M57" s="9" t="str">
        <x:f>IF(AND(I57=1,J57=1,K57=1,L57=5,SUM('Constitutional Roles'!$L$7:$L$15)=9),"MOBILIZED","NOT MOBILIZED")</x:f>
        <x:v>NOT MOBILIZED</x:v>
      </x:c>
      <x:c r="N57" s="47"/>
      <x:c r="O57" s="47"/>
      <x:c r="P57" s="47"/>
      <x:c r="Q57" s="47"/>
      <x:c r="R57" s="47"/>
      <x:c r="S57" s="47"/>
      <x:c r="T57" s="47"/>
      <x:c r="U57" s="47"/>
      <x:c r="V57" s="47"/>
      <x:c r="W57" s="47"/>
      <x:c r="X57" s="47"/>
      <x:c r="Y57" s="47"/>
      <x:c r="Z57" s="47"/>
    </x:row>
    <x:row r="58">
      <x:c r="C58" s="9" t="str">
        <x:v>ASG-RT-B-CHL</x:v>
      </x:c>
      <x:c r="D58" s="9" t="str">
        <x:v>MS-RT|B</x:v>
      </x:c>
      <x:c r="E58" s="9" t="str">
        <x:v>MS-RT</x:v>
      </x:c>
      <x:c r="F58" s="9" t="str">
        <x:v>Challenge</x:v>
      </x:c>
      <x:c r="G58" s="9" t="str">
        <x:v>ST-RT-CHL</x:v>
      </x:c>
      <x:c r="H58" s="9" t="str">
        <x:v>LANE-B</x:v>
      </x:c>
      <x:c r="I58" s="42" t="n">
        <x:v>0</x:v>
      </x:c>
      <x:c r="J58" s="42" t="n">
        <x:v>0</x:v>
      </x:c>
      <x:c r="K58" s="9" t="n">
        <x:f>INDEX('Station Topology'!$K$7:$K$21,MATCH(G58,'Station Topology'!$C$7:$C$21,0))</x:f>
        <x:v>0</x:v>
      </x:c>
      <x:c r="L58" s="9" t="n">
        <x:f>INDEX('Station Topology'!$L$7:$L$21,MATCH(G58,'Station Topology'!$C$7:$C$21,0))</x:f>
        <x:v>0</x:v>
      </x:c>
      <x:c r="M58" s="9" t="str">
        <x:f>IF(AND(I58=1,J58=1,K58=1,L58=5,SUM('Constitutional Roles'!$L$7:$L$15)=9),"MOBILIZED","NOT MOBILIZED")</x:f>
        <x:v>NOT MOBILIZED</x:v>
      </x:c>
      <x:c r="N58" s="47"/>
      <x:c r="O58" s="47"/>
      <x:c r="P58" s="47"/>
      <x:c r="Q58" s="47"/>
      <x:c r="R58" s="47"/>
      <x:c r="S58" s="47"/>
      <x:c r="T58" s="47"/>
      <x:c r="U58" s="47"/>
      <x:c r="V58" s="47"/>
      <x:c r="W58" s="47"/>
      <x:c r="X58" s="47"/>
      <x:c r="Y58" s="47"/>
      <x:c r="Z58" s="47"/>
    </x:row>
    <x:row r="59">
      <x:c r="C59" s="9" t="str">
        <x:v>ASG-RT-B-CTL</x:v>
      </x:c>
      <x:c r="D59" s="9" t="str">
        <x:v>MS-RT|B</x:v>
      </x:c>
      <x:c r="E59" s="9" t="str">
        <x:v>MS-RT</x:v>
      </x:c>
      <x:c r="F59" s="9" t="str">
        <x:v>Matched control</x:v>
      </x:c>
      <x:c r="G59" s="9" t="str">
        <x:v>ST-RT-CTL</x:v>
      </x:c>
      <x:c r="H59" s="9" t="str">
        <x:v>LANE-B</x:v>
      </x:c>
      <x:c r="I59" s="42" t="n">
        <x:v>0</x:v>
      </x:c>
      <x:c r="J59" s="42" t="n">
        <x:v>0</x:v>
      </x:c>
      <x:c r="K59" s="9" t="n">
        <x:f>INDEX('Station Topology'!$K$7:$K$21,MATCH(G59,'Station Topology'!$C$7:$C$21,0))</x:f>
        <x:v>0</x:v>
      </x:c>
      <x:c r="L59" s="9" t="n">
        <x:f>INDEX('Station Topology'!$L$7:$L$21,MATCH(G59,'Station Topology'!$C$7:$C$21,0))</x:f>
        <x:v>0</x:v>
      </x:c>
      <x:c r="M59" s="9" t="str">
        <x:f>IF(AND(I59=1,J59=1,K59=1,L59=5,SUM('Constitutional Roles'!$L$7:$L$15)=9),"MOBILIZED","NOT MOBILIZED")</x:f>
        <x:v>NOT MOBILIZED</x:v>
      </x:c>
      <x:c r="N59" s="47"/>
      <x:c r="O59" s="47"/>
      <x:c r="P59" s="47"/>
      <x:c r="Q59" s="47"/>
      <x:c r="R59" s="47"/>
      <x:c r="S59" s="47"/>
      <x:c r="T59" s="47"/>
      <x:c r="U59" s="47"/>
      <x:c r="V59" s="47"/>
      <x:c r="W59" s="47"/>
      <x:c r="X59" s="47"/>
      <x:c r="Y59" s="47"/>
      <x:c r="Z59" s="47"/>
    </x:row>
    <x:row r="60">
      <x:c r="C60" s="9" t="str">
        <x:v>ASG-RT-B-REP</x:v>
      </x:c>
      <x:c r="D60" s="9" t="str">
        <x:v>MS-RT|B</x:v>
      </x:c>
      <x:c r="E60" s="9" t="str">
        <x:v>MS-RT</x:v>
      </x:c>
      <x:c r="F60" s="9" t="str">
        <x:v>Cold reproduction</x:v>
      </x:c>
      <x:c r="G60" s="9" t="str">
        <x:v>ST-RT-REP</x:v>
      </x:c>
      <x:c r="H60" s="9" t="str">
        <x:v>LANE-B</x:v>
      </x:c>
      <x:c r="I60" s="42" t="n">
        <x:v>0</x:v>
      </x:c>
      <x:c r="J60" s="42" t="n">
        <x:v>0</x:v>
      </x:c>
      <x:c r="K60" s="9" t="n">
        <x:f>INDEX('Station Topology'!$K$7:$K$21,MATCH(G60,'Station Topology'!$C$7:$C$21,0))</x:f>
        <x:v>0</x:v>
      </x:c>
      <x:c r="L60" s="9" t="n">
        <x:f>INDEX('Station Topology'!$L$7:$L$21,MATCH(G60,'Station Topology'!$C$7:$C$21,0))</x:f>
        <x:v>0</x:v>
      </x:c>
      <x:c r="M60" s="9" t="str">
        <x:f>IF(AND(I60=1,J60=1,K60=1,L60=5,SUM('Constitutional Roles'!$L$7:$L$15)=9),"MOBILIZED","NOT MOBILIZED")</x:f>
        <x:v>NOT MOBILIZED</x:v>
      </x:c>
      <x:c r="N60" s="47"/>
      <x:c r="O60" s="47"/>
      <x:c r="P60" s="47"/>
      <x:c r="Q60" s="47"/>
      <x:c r="R60" s="47"/>
      <x:c r="S60" s="47"/>
      <x:c r="T60" s="47"/>
      <x:c r="U60" s="47"/>
      <x:c r="V60" s="47"/>
      <x:c r="W60" s="47"/>
      <x:c r="X60" s="47"/>
      <x:c r="Y60" s="47"/>
      <x:c r="Z60" s="47"/>
    </x:row>
    <x:row r="61">
      <x:c r="C61" s="9" t="str">
        <x:v>ASG-RT-C-CHL</x:v>
      </x:c>
      <x:c r="D61" s="9" t="str">
        <x:v>MS-RT|C</x:v>
      </x:c>
      <x:c r="E61" s="9" t="str">
        <x:v>MS-RT</x:v>
      </x:c>
      <x:c r="F61" s="9" t="str">
        <x:v>Challenge</x:v>
      </x:c>
      <x:c r="G61" s="9" t="str">
        <x:v>ST-RT-CHL</x:v>
      </x:c>
      <x:c r="H61" s="9" t="str">
        <x:v>LANE-C</x:v>
      </x:c>
      <x:c r="I61" s="42" t="n">
        <x:v>0</x:v>
      </x:c>
      <x:c r="J61" s="42" t="n">
        <x:v>0</x:v>
      </x:c>
      <x:c r="K61" s="9" t="n">
        <x:f>INDEX('Station Topology'!$K$7:$K$21,MATCH(G61,'Station Topology'!$C$7:$C$21,0))</x:f>
        <x:v>0</x:v>
      </x:c>
      <x:c r="L61" s="9" t="n">
        <x:f>INDEX('Station Topology'!$L$7:$L$21,MATCH(G61,'Station Topology'!$C$7:$C$21,0))</x:f>
        <x:v>0</x:v>
      </x:c>
      <x:c r="M61" s="9" t="str">
        <x:f>IF(AND(I61=1,J61=1,K61=1,L61=5,SUM('Constitutional Roles'!$L$7:$L$15)=9),"MOBILIZED","NOT MOBILIZED")</x:f>
        <x:v>NOT MOBILIZED</x:v>
      </x:c>
      <x:c r="N61" s="47"/>
      <x:c r="O61" s="47"/>
      <x:c r="P61" s="47"/>
      <x:c r="Q61" s="47"/>
      <x:c r="R61" s="47"/>
      <x:c r="S61" s="47"/>
      <x:c r="T61" s="47"/>
      <x:c r="U61" s="47"/>
      <x:c r="V61" s="47"/>
      <x:c r="W61" s="47"/>
      <x:c r="X61" s="47"/>
      <x:c r="Y61" s="47"/>
      <x:c r="Z61" s="47"/>
    </x:row>
    <x:row r="62">
      <x:c r="C62" s="9" t="str">
        <x:v>ASG-RT-C-CTL</x:v>
      </x:c>
      <x:c r="D62" s="9" t="str">
        <x:v>MS-RT|C</x:v>
      </x:c>
      <x:c r="E62" s="9" t="str">
        <x:v>MS-RT</x:v>
      </x:c>
      <x:c r="F62" s="9" t="str">
        <x:v>Matched control</x:v>
      </x:c>
      <x:c r="G62" s="9" t="str">
        <x:v>ST-RT-CTL</x:v>
      </x:c>
      <x:c r="H62" s="9" t="str">
        <x:v>LANE-C</x:v>
      </x:c>
      <x:c r="I62" s="42" t="n">
        <x:v>0</x:v>
      </x:c>
      <x:c r="J62" s="42" t="n">
        <x:v>0</x:v>
      </x:c>
      <x:c r="K62" s="9" t="n">
        <x:f>INDEX('Station Topology'!$K$7:$K$21,MATCH(G62,'Station Topology'!$C$7:$C$21,0))</x:f>
        <x:v>0</x:v>
      </x:c>
      <x:c r="L62" s="9" t="n">
        <x:f>INDEX('Station Topology'!$L$7:$L$21,MATCH(G62,'Station Topology'!$C$7:$C$21,0))</x:f>
        <x:v>0</x:v>
      </x:c>
      <x:c r="M62" s="9" t="str">
        <x:f>IF(AND(I62=1,J62=1,K62=1,L62=5,SUM('Constitutional Roles'!$L$7:$L$15)=9),"MOBILIZED","NOT MOBILIZED")</x:f>
        <x:v>NOT MOBILIZED</x:v>
      </x:c>
      <x:c r="N62" s="47"/>
      <x:c r="O62" s="47"/>
      <x:c r="P62" s="47"/>
      <x:c r="Q62" s="47"/>
      <x:c r="R62" s="47"/>
      <x:c r="S62" s="47"/>
      <x:c r="T62" s="47"/>
      <x:c r="U62" s="47"/>
      <x:c r="V62" s="47"/>
      <x:c r="W62" s="47"/>
      <x:c r="X62" s="47"/>
      <x:c r="Y62" s="47"/>
      <x:c r="Z62" s="47"/>
    </x:row>
    <x:row r="63">
      <x:c r="C63" s="9" t="str">
        <x:v>ASG-RT-C-REP</x:v>
      </x:c>
      <x:c r="D63" s="9" t="str">
        <x:v>MS-RT|C</x:v>
      </x:c>
      <x:c r="E63" s="9" t="str">
        <x:v>MS-RT</x:v>
      </x:c>
      <x:c r="F63" s="9" t="str">
        <x:v>Cold reproduction</x:v>
      </x:c>
      <x:c r="G63" s="9" t="str">
        <x:v>ST-RT-REP</x:v>
      </x:c>
      <x:c r="H63" s="9" t="str">
        <x:v>LANE-C</x:v>
      </x:c>
      <x:c r="I63" s="42" t="n">
        <x:v>0</x:v>
      </x:c>
      <x:c r="J63" s="42" t="n">
        <x:v>0</x:v>
      </x:c>
      <x:c r="K63" s="9" t="n">
        <x:f>INDEX('Station Topology'!$K$7:$K$21,MATCH(G63,'Station Topology'!$C$7:$C$21,0))</x:f>
        <x:v>0</x:v>
      </x:c>
      <x:c r="L63" s="9" t="n">
        <x:f>INDEX('Station Topology'!$L$7:$L$21,MATCH(G63,'Station Topology'!$C$7:$C$21,0))</x:f>
        <x:v>0</x:v>
      </x:c>
      <x:c r="M63" s="9" t="str">
        <x:f>IF(AND(I63=1,J63=1,K63=1,L63=5,SUM('Constitutional Roles'!$L$7:$L$15)=9),"MOBILIZED","NOT MOBILIZED")</x:f>
        <x:v>NOT MOBILIZED</x:v>
      </x:c>
      <x:c r="N63" s="47"/>
      <x:c r="O63" s="47"/>
      <x:c r="P63" s="47"/>
      <x:c r="Q63" s="47"/>
      <x:c r="R63" s="47"/>
      <x:c r="S63" s="47"/>
      <x:c r="T63" s="47"/>
      <x:c r="U63" s="47"/>
      <x:c r="V63" s="47"/>
      <x:c r="W63" s="47"/>
      <x:c r="X63" s="47"/>
      <x:c r="Y63" s="47"/>
      <x:c r="Z63" s="47"/>
    </x:row>
    <x:row r="64">
      <x:c r="C64" s="9" t="str">
        <x:v>ASG-RT-D-CHL</x:v>
      </x:c>
      <x:c r="D64" s="9" t="str">
        <x:v>MS-RT|D</x:v>
      </x:c>
      <x:c r="E64" s="9" t="str">
        <x:v>MS-RT</x:v>
      </x:c>
      <x:c r="F64" s="9" t="str">
        <x:v>Challenge</x:v>
      </x:c>
      <x:c r="G64" s="9" t="str">
        <x:v>ST-RT-CHL</x:v>
      </x:c>
      <x:c r="H64" s="9" t="str">
        <x:v>LANE-D</x:v>
      </x:c>
      <x:c r="I64" s="42" t="n">
        <x:v>0</x:v>
      </x:c>
      <x:c r="J64" s="42" t="n">
        <x:v>0</x:v>
      </x:c>
      <x:c r="K64" s="9" t="n">
        <x:f>INDEX('Station Topology'!$K$7:$K$21,MATCH(G64,'Station Topology'!$C$7:$C$21,0))</x:f>
        <x:v>0</x:v>
      </x:c>
      <x:c r="L64" s="9" t="n">
        <x:f>INDEX('Station Topology'!$L$7:$L$21,MATCH(G64,'Station Topology'!$C$7:$C$21,0))</x:f>
        <x:v>0</x:v>
      </x:c>
      <x:c r="M64" s="9" t="str">
        <x:f>IF(AND(I64=1,J64=1,K64=1,L64=5,SUM('Constitutional Roles'!$L$7:$L$15)=9),"MOBILIZED","NOT MOBILIZED")</x:f>
        <x:v>NOT MOBILIZED</x:v>
      </x:c>
      <x:c r="N64" s="47"/>
      <x:c r="O64" s="47"/>
      <x:c r="P64" s="47"/>
      <x:c r="Q64" s="47"/>
      <x:c r="R64" s="47"/>
      <x:c r="S64" s="47"/>
      <x:c r="T64" s="47"/>
      <x:c r="U64" s="47"/>
      <x:c r="V64" s="47"/>
      <x:c r="W64" s="47"/>
      <x:c r="X64" s="47"/>
      <x:c r="Y64" s="47"/>
      <x:c r="Z64" s="47"/>
    </x:row>
    <x:row r="65">
      <x:c r="C65" s="9" t="str">
        <x:v>ASG-RT-D-CTL</x:v>
      </x:c>
      <x:c r="D65" s="9" t="str">
        <x:v>MS-RT|D</x:v>
      </x:c>
      <x:c r="E65" s="9" t="str">
        <x:v>MS-RT</x:v>
      </x:c>
      <x:c r="F65" s="9" t="str">
        <x:v>Matched control</x:v>
      </x:c>
      <x:c r="G65" s="9" t="str">
        <x:v>ST-RT-CTL</x:v>
      </x:c>
      <x:c r="H65" s="9" t="str">
        <x:v>LANE-D</x:v>
      </x:c>
      <x:c r="I65" s="42" t="n">
        <x:v>0</x:v>
      </x:c>
      <x:c r="J65" s="42" t="n">
        <x:v>0</x:v>
      </x:c>
      <x:c r="K65" s="9" t="n">
        <x:f>INDEX('Station Topology'!$K$7:$K$21,MATCH(G65,'Station Topology'!$C$7:$C$21,0))</x:f>
        <x:v>0</x:v>
      </x:c>
      <x:c r="L65" s="9" t="n">
        <x:f>INDEX('Station Topology'!$L$7:$L$21,MATCH(G65,'Station Topology'!$C$7:$C$21,0))</x:f>
        <x:v>0</x:v>
      </x:c>
      <x:c r="M65" s="9" t="str">
        <x:f>IF(AND(I65=1,J65=1,K65=1,L65=5,SUM('Constitutional Roles'!$L$7:$L$15)=9),"MOBILIZED","NOT MOBILIZED")</x:f>
        <x:v>NOT MOBILIZED</x:v>
      </x:c>
      <x:c r="N65" s="47"/>
      <x:c r="O65" s="47"/>
      <x:c r="P65" s="47"/>
      <x:c r="Q65" s="47"/>
      <x:c r="R65" s="47"/>
      <x:c r="S65" s="47"/>
      <x:c r="T65" s="47"/>
      <x:c r="U65" s="47"/>
      <x:c r="V65" s="47"/>
      <x:c r="W65" s="47"/>
      <x:c r="X65" s="47"/>
      <x:c r="Y65" s="47"/>
      <x:c r="Z65" s="47"/>
    </x:row>
    <x:row r="66">
      <x:c r="C66" s="10" t="str">
        <x:v>ASG-RT-D-REP</x:v>
      </x:c>
      <x:c r="D66" s="10" t="str">
        <x:v>MS-RT|D</x:v>
      </x:c>
      <x:c r="E66" s="10" t="str">
        <x:v>MS-RT</x:v>
      </x:c>
      <x:c r="F66" s="10" t="str">
        <x:v>Cold reproduction</x:v>
      </x:c>
      <x:c r="G66" s="10" t="str">
        <x:v>ST-RT-REP</x:v>
      </x:c>
      <x:c r="H66" s="10" t="str">
        <x:v>LANE-D</x:v>
      </x:c>
      <x:c r="I66" s="43" t="n">
        <x:v>0</x:v>
      </x:c>
      <x:c r="J66" s="43" t="n">
        <x:v>0</x:v>
      </x:c>
      <x:c r="K66" s="10" t="n">
        <x:f>INDEX('Station Topology'!$K$7:$K$21,MATCH(G66,'Station Topology'!$C$7:$C$21,0))</x:f>
        <x:v>0</x:v>
      </x:c>
      <x:c r="L66" s="10" t="n">
        <x:f>INDEX('Station Topology'!$L$7:$L$21,MATCH(G66,'Station Topology'!$C$7:$C$21,0))</x:f>
        <x:v>0</x:v>
      </x:c>
      <x:c r="M66" s="10" t="str">
        <x:f>IF(AND(I66=1,J66=1,K66=1,L66=5,SUM('Constitutional Roles'!$L$7:$L$15)=9),"MOBILIZED","NOT MOBILIZED")</x:f>
        <x:v>NOT MOBILIZED</x:v>
      </x:c>
      <x:c r="N66" s="47"/>
      <x:c r="O66" s="47"/>
      <x:c r="P66" s="47"/>
      <x:c r="Q66" s="47"/>
      <x:c r="R66" s="47"/>
      <x:c r="S66" s="47"/>
      <x:c r="T66" s="47"/>
      <x:c r="U66" s="47"/>
      <x:c r="V66" s="47"/>
      <x:c r="W66" s="47"/>
      <x:c r="X66" s="47"/>
      <x:c r="Y66" s="47"/>
      <x:c r="Z66" s="47"/>
    </x:row>
    <x:row r="67">
      <x:c r="C67" s="9"/>
      <x:c r="D67" s="9"/>
      <x:c r="E67" s="9"/>
      <x:c r="F67" s="9"/>
      <x:c r="G67" s="9"/>
      <x:c r="H67" s="9"/>
      <x:c r="I67" s="9"/>
      <x:c r="J67" s="9"/>
      <x:c r="K67" s="9"/>
      <x:c r="L67" s="9"/>
      <x:c r="M67" s="9"/>
      <x:c r="N67" s="47"/>
      <x:c r="O67" s="47"/>
      <x:c r="P67" s="47"/>
      <x:c r="Q67" s="47"/>
      <x:c r="R67" s="47"/>
      <x:c r="S67" s="47"/>
      <x:c r="T67" s="47"/>
      <x:c r="U67" s="47"/>
      <x:c r="V67" s="47"/>
      <x:c r="W67" s="47"/>
      <x:c r="X67" s="47"/>
      <x:c r="Y67" s="47"/>
      <x:c r="Z67" s="47"/>
    </x:row>
    <x:row r="68">
      <x:c r="C68" s="9"/>
      <x:c r="D68" s="9"/>
      <x:c r="E68" s="9"/>
      <x:c r="F68" s="9"/>
      <x:c r="G68" s="9"/>
      <x:c r="H68" s="9"/>
      <x:c r="I68" s="9"/>
      <x:c r="J68" s="9"/>
      <x:c r="K68" s="9"/>
      <x:c r="L68" s="9"/>
      <x:c r="M68" s="9"/>
      <x:c r="N68" s="47"/>
      <x:c r="O68" s="47"/>
      <x:c r="P68" s="47"/>
      <x:c r="Q68" s="47"/>
      <x:c r="R68" s="47"/>
      <x:c r="S68" s="47"/>
      <x:c r="T68" s="47"/>
      <x:c r="U68" s="47"/>
      <x:c r="V68" s="47"/>
      <x:c r="W68" s="47"/>
      <x:c r="X68" s="47"/>
      <x:c r="Y68" s="47"/>
      <x:c r="Z68" s="47"/>
    </x:row>
    <x:row r="69">
      <x:c r="C69" s="9"/>
      <x:c r="D69" s="9"/>
      <x:c r="E69" s="9"/>
      <x:c r="F69" s="9"/>
      <x:c r="G69" s="9"/>
      <x:c r="H69" s="9"/>
      <x:c r="I69" s="9"/>
      <x:c r="J69" s="9"/>
      <x:c r="K69" s="9"/>
      <x:c r="L69" s="9"/>
      <x:c r="M69" s="9"/>
      <x:c r="N69" s="47"/>
      <x:c r="O69" s="47"/>
      <x:c r="P69" s="47"/>
      <x:c r="Q69" s="47"/>
      <x:c r="R69" s="47"/>
      <x:c r="S69" s="47"/>
      <x:c r="T69" s="47"/>
      <x:c r="U69" s="47"/>
      <x:c r="V69" s="47"/>
      <x:c r="W69" s="47"/>
      <x:c r="X69" s="47"/>
      <x:c r="Y69" s="47"/>
      <x:c r="Z69" s="47"/>
    </x:row>
    <x:row r="70">
      <x:c r="C70" s="9"/>
      <x:c r="D70" s="9"/>
      <x:c r="E70" s="9"/>
      <x:c r="F70" s="9"/>
      <x:c r="G70" s="9"/>
      <x:c r="H70" s="9"/>
      <x:c r="I70" s="9"/>
      <x:c r="J70" s="9"/>
      <x:c r="K70" s="9"/>
      <x:c r="L70" s="9"/>
      <x:c r="M70" s="9"/>
      <x:c r="N70" s="47"/>
      <x:c r="O70" s="47"/>
      <x:c r="P70" s="47"/>
      <x:c r="Q70" s="47"/>
      <x:c r="R70" s="47"/>
      <x:c r="S70" s="47"/>
      <x:c r="T70" s="47"/>
      <x:c r="U70" s="47"/>
      <x:c r="V70" s="47"/>
      <x:c r="W70" s="47"/>
      <x:c r="X70" s="47"/>
      <x:c r="Y70" s="47"/>
      <x:c r="Z70" s="47"/>
    </x:row>
  </x:sheetData>
  <x:conditionalFormatting sqref="M7:M66">
    <x:cfRule type="containsText" dxfId="12" priority="1" operator="containsText" text="BLOCKED"/>
    <x:cfRule type="containsText" dxfId="13" priority="2" operator="containsText" text="NOT MOBILIZED"/>
    <x:cfRule type="containsText" dxfId="14" priority="3" operator="containsText" text="READY"/>
    <x:cfRule type="containsText" dxfId="15" priority="4" operator="containsText" text="FAIL"/>
  </x:conditionalFormatting>
  <x:dataValidations count="1">
    <x:dataValidation type="list" sqref="I7:J66">
      <x:formula1>"0,1"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3" max="3" width="12" hidden="0" customWidth="1"/>
    <x:col min="4" max="4" width="17" hidden="0" customWidth="1"/>
    <x:col min="5" max="5" width="28" hidden="0" customWidth="1"/>
    <x:col min="6" max="6" width="17" hidden="0" customWidth="1"/>
    <x:col min="7" max="7" width="28" hidden="0" customWidth="1"/>
    <x:col min="8" max="8" width="20" hidden="0" customWidth="1"/>
    <x:col min="9" max="9" width="34" hidden="0" customWidth="1"/>
    <x:col min="10" max="10" width="18" hidden="0" customWidth="1"/>
    <x:col min="11" max="11" width="18" hidden="0" customWidth="1"/>
    <x:col min="12" max="12" width="3" hidden="0" customWidth="1"/>
  </x:cols>
  <x:sheetData>
    <x:row r="1"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47"/>
      <x:c r="N1" s="47"/>
      <x:c r="O1" s="47"/>
      <x:c r="P1" s="47"/>
      <x:c r="Q1" s="47"/>
      <x:c r="R1" s="47"/>
      <x:c r="S1" s="47"/>
      <x:c r="T1" s="47"/>
      <x:c r="U1" s="47"/>
      <x:c r="V1" s="47"/>
      <x:c r="W1" s="47"/>
      <x:c r="X1" s="47"/>
      <x:c r="Y1" s="47"/>
      <x:c r="Z1" s="47"/>
    </x:row>
    <x:row r="2">
      <x:c r="C2" s="48" t="str">
        <x:v>Non-collapsible authority separations</x:v>
      </x:c>
      <x:c r="D2" s="9"/>
      <x:c r="E2" s="9"/>
      <x:c r="F2" s="9"/>
      <x:c r="G2" s="9"/>
      <x:c r="H2" s="9"/>
      <x:c r="I2" s="9"/>
      <x:c r="J2" s="9"/>
      <x:c r="K2" s="9"/>
      <x:c r="L2" s="9"/>
      <x:c r="M2" s="47"/>
      <x:c r="N2" s="47"/>
      <x:c r="O2" s="47"/>
      <x:c r="P2" s="47"/>
      <x:c r="Q2" s="47"/>
      <x:c r="R2" s="47"/>
      <x:c r="S2" s="47"/>
      <x:c r="T2" s="47"/>
      <x:c r="U2" s="47"/>
      <x:c r="V2" s="47"/>
      <x:c r="W2" s="47"/>
      <x:c r="X2" s="47"/>
      <x:c r="Y2" s="47"/>
      <x:c r="Z2" s="47"/>
    </x:row>
    <x:row r="3">
      <x:c r="C3" s="49" t="str">
        <x:v>Designed offices are distinct. Implementation evidence remains source-empty and cannot be inferred from names.</x:v>
      </x:c>
      <x:c r="D3" s="9"/>
      <x:c r="E3" s="9"/>
      <x:c r="F3" s="9"/>
      <x:c r="G3" s="9"/>
      <x:c r="H3" s="9"/>
      <x:c r="I3" s="9"/>
      <x:c r="J3" s="9"/>
      <x:c r="K3" s="9"/>
      <x:c r="L3" s="9"/>
      <x:c r="M3" s="47"/>
      <x:c r="N3" s="47"/>
      <x:c r="O3" s="47"/>
      <x:c r="P3" s="47"/>
      <x:c r="Q3" s="47"/>
      <x:c r="R3" s="47"/>
      <x:c r="S3" s="47"/>
      <x:c r="T3" s="47"/>
      <x:c r="U3" s="47"/>
      <x:c r="V3" s="47"/>
      <x:c r="W3" s="47"/>
      <x:c r="X3" s="47"/>
      <x:c r="Y3" s="47"/>
      <x:c r="Z3" s="47"/>
    </x:row>
    <x:row r="4">
      <x:c r="C4" s="50"/>
      <x:c r="D4" s="50"/>
      <x:c r="E4" s="50"/>
      <x:c r="F4" s="50"/>
      <x:c r="G4" s="50"/>
      <x:c r="H4" s="50"/>
      <x:c r="I4" s="50"/>
      <x:c r="J4" s="50"/>
      <x:c r="K4" s="50"/>
      <x:c r="L4" s="50"/>
      <x:c r="M4" s="51"/>
      <x:c r="N4" s="51"/>
      <x:c r="O4" s="51"/>
      <x:c r="P4" s="51"/>
      <x:c r="Q4" s="51"/>
      <x:c r="R4" s="51"/>
      <x:c r="S4" s="51"/>
      <x:c r="T4" s="51"/>
      <x:c r="U4" s="51"/>
      <x:c r="V4" s="51"/>
      <x:c r="W4" s="51"/>
      <x:c r="X4" s="51"/>
      <x:c r="Y4" s="51"/>
      <x:c r="Z4" s="51"/>
    </x:row>
    <x:row r="5">
      <x:c r="C5" s="9"/>
      <x:c r="D5" s="9"/>
      <x:c r="E5" s="9"/>
      <x:c r="F5" s="9"/>
      <x:c r="G5" s="9"/>
      <x:c r="H5" s="9"/>
      <x:c r="I5" s="9"/>
      <x:c r="J5" s="9"/>
      <x:c r="K5" s="9"/>
      <x:c r="L5" s="9"/>
      <x:c r="M5" s="47"/>
      <x:c r="N5" s="47"/>
      <x:c r="O5" s="47"/>
      <x:c r="P5" s="47"/>
      <x:c r="Q5" s="47"/>
      <x:c r="R5" s="47"/>
      <x:c r="S5" s="47"/>
      <x:c r="T5" s="47"/>
      <x:c r="U5" s="47"/>
      <x:c r="V5" s="47"/>
      <x:c r="W5" s="47"/>
      <x:c r="X5" s="47"/>
      <x:c r="Y5" s="47"/>
      <x:c r="Z5" s="47"/>
    </x:row>
    <x:row r="6" ht="28" customHeight="1">
      <x:c r="C6" s="26" t="str">
        <x:v>Conflict</x:v>
      </x:c>
      <x:c r="D6" s="32" t="str">
        <x:v>Left warrant</x:v>
      </x:c>
      <x:c r="E6" s="32" t="str">
        <x:v>Left owner</x:v>
      </x:c>
      <x:c r="F6" s="32" t="str">
        <x:v>Right warrant</x:v>
      </x:c>
      <x:c r="G6" s="32" t="str">
        <x:v>Right owner</x:v>
      </x:c>
      <x:c r="H6" s="32" t="str">
        <x:v>Domain</x:v>
      </x:c>
      <x:c r="I6" s="32" t="str">
        <x:v>Rule</x:v>
      </x:c>
      <x:c r="J6" s="32" t="str">
        <x:v>Evidence accepted</x:v>
      </x:c>
      <x:c r="K6" s="27" t="str">
        <x:v>State</x:v>
      </x:c>
      <x:c r="L6" s="9"/>
      <x:c r="M6" s="47"/>
      <x:c r="N6" s="47"/>
      <x:c r="O6" s="47"/>
      <x:c r="P6" s="47"/>
      <x:c r="Q6" s="47"/>
      <x:c r="R6" s="47"/>
      <x:c r="S6" s="47"/>
      <x:c r="T6" s="47"/>
      <x:c r="U6" s="47"/>
      <x:c r="V6" s="47"/>
      <x:c r="W6" s="47"/>
      <x:c r="X6" s="47"/>
      <x:c r="Y6" s="47"/>
      <x:c r="Z6" s="47"/>
    </x:row>
    <x:row r="7">
      <x:c r="C7" s="9" t="str">
        <x:v>CI-01</x:v>
      </x:c>
      <x:c r="D7" s="9" t="str">
        <x:v>W-ROOT</x:v>
      </x:c>
      <x:c r="E7" s="9" t="str">
        <x:v>Independent Root Houses</x:v>
      </x:c>
      <x:c r="F7" s="9" t="str">
        <x:v>W-METROLOGY</x:v>
      </x:c>
      <x:c r="G7" s="9" t="str">
        <x:v>Standards and Custody Command</x:v>
      </x:c>
      <x:c r="H7" s="9" t="str">
        <x:v>Beneficial control</x:v>
      </x:c>
      <x:c r="I7" s="9" t="str">
        <x:v>Distinct accepted identity required</x:v>
      </x:c>
      <x:c r="J7" s="42" t="n">
        <x:v>0</x:v>
      </x:c>
      <x:c r="K7" s="9" t="str">
        <x:f>IF(E7=G7,"FAIL",IF(J7=1,"ACCEPTED","SOURCE-EMPTY"))</x:f>
        <x:v>SOURCE-EMPTY</x:v>
      </x:c>
      <x:c r="L7" s="9"/>
      <x:c r="M7" s="47"/>
      <x:c r="N7" s="47"/>
      <x:c r="O7" s="47"/>
      <x:c r="P7" s="47"/>
      <x:c r="Q7" s="47"/>
      <x:c r="R7" s="47"/>
      <x:c r="S7" s="47"/>
      <x:c r="T7" s="47"/>
      <x:c r="U7" s="47"/>
      <x:c r="V7" s="47"/>
      <x:c r="W7" s="47"/>
      <x:c r="X7" s="47"/>
      <x:c r="Y7" s="47"/>
      <x:c r="Z7" s="47"/>
    </x:row>
    <x:row r="8">
      <x:c r="C8" s="9" t="str">
        <x:v>CI-02</x:v>
      </x:c>
      <x:c r="D8" s="9" t="str">
        <x:v>W-ROOT</x:v>
      </x:c>
      <x:c r="E8" s="9" t="str">
        <x:v>Independent Root Houses</x:v>
      </x:c>
      <x:c r="F8" s="9" t="str">
        <x:v>W-METROLOGY</x:v>
      </x:c>
      <x:c r="G8" s="9" t="str">
        <x:v>Standards and Custody Command</x:v>
      </x:c>
      <x:c r="H8" s="9" t="str">
        <x:v>Executive command</x:v>
      </x:c>
      <x:c r="I8" s="9" t="str">
        <x:v>Distinct accepted identity required</x:v>
      </x:c>
      <x:c r="J8" s="42" t="n">
        <x:v>0</x:v>
      </x:c>
      <x:c r="K8" s="9" t="str">
        <x:f>IF(E8=G8,"FAIL",IF(J8=1,"ACCEPTED","SOURCE-EMPTY"))</x:f>
        <x:v>SOURCE-EMPTY</x:v>
      </x:c>
      <x:c r="L8" s="9"/>
      <x:c r="M8" s="47"/>
      <x:c r="N8" s="47"/>
      <x:c r="O8" s="47"/>
      <x:c r="P8" s="47"/>
      <x:c r="Q8" s="47"/>
      <x:c r="R8" s="47"/>
      <x:c r="S8" s="47"/>
      <x:c r="T8" s="47"/>
      <x:c r="U8" s="47"/>
      <x:c r="V8" s="47"/>
      <x:c r="W8" s="47"/>
      <x:c r="X8" s="47"/>
      <x:c r="Y8" s="47"/>
      <x:c r="Z8" s="47"/>
    </x:row>
    <x:row r="9">
      <x:c r="C9" s="9" t="str">
        <x:v>CI-03</x:v>
      </x:c>
      <x:c r="D9" s="9" t="str">
        <x:v>W-ROOT</x:v>
      </x:c>
      <x:c r="E9" s="9" t="str">
        <x:v>Independent Root Houses</x:v>
      </x:c>
      <x:c r="F9" s="9" t="str">
        <x:v>W-METROLOGY</x:v>
      </x:c>
      <x:c r="G9" s="9" t="str">
        <x:v>Standards and Custody Command</x:v>
      </x:c>
      <x:c r="H9" s="9" t="str">
        <x:v>Decisive toolchain</x:v>
      </x:c>
      <x:c r="I9" s="9" t="str">
        <x:v>Distinct accepted identity required</x:v>
      </x:c>
      <x:c r="J9" s="42" t="n">
        <x:v>0</x:v>
      </x:c>
      <x:c r="K9" s="9" t="str">
        <x:f>IF(E9=G9,"FAIL",IF(J9=1,"ACCEPTED","SOURCE-EMPTY"))</x:f>
        <x:v>SOURCE-EMPTY</x:v>
      </x:c>
      <x:c r="L9" s="9"/>
      <x:c r="M9" s="47"/>
      <x:c r="N9" s="47"/>
      <x:c r="O9" s="47"/>
      <x:c r="P9" s="47"/>
      <x:c r="Q9" s="47"/>
      <x:c r="R9" s="47"/>
      <x:c r="S9" s="47"/>
      <x:c r="T9" s="47"/>
      <x:c r="U9" s="47"/>
      <x:c r="V9" s="47"/>
      <x:c r="W9" s="47"/>
      <x:c r="X9" s="47"/>
      <x:c r="Y9" s="47"/>
      <x:c r="Z9" s="47"/>
    </x:row>
    <x:row r="10">
      <x:c r="C10" s="9" t="str">
        <x:v>CI-04</x:v>
      </x:c>
      <x:c r="D10" s="9" t="str">
        <x:v>W-ROOT</x:v>
      </x:c>
      <x:c r="E10" s="9" t="str">
        <x:v>Independent Root Houses</x:v>
      </x:c>
      <x:c r="F10" s="9" t="str">
        <x:v>W-METROLOGY</x:v>
      </x:c>
      <x:c r="G10" s="9" t="str">
        <x:v>Standards and Custody Command</x:v>
      </x:c>
      <x:c r="H10" s="9" t="str">
        <x:v>Evidence custody</x:v>
      </x:c>
      <x:c r="I10" s="9" t="str">
        <x:v>Distinct accepted identity required</x:v>
      </x:c>
      <x:c r="J10" s="42" t="n">
        <x:v>0</x:v>
      </x:c>
      <x:c r="K10" s="9" t="str">
        <x:f>IF(E10=G10,"FAIL",IF(J10=1,"ACCEPTED","SOURCE-EMPTY"))</x:f>
        <x:v>SOURCE-EMPTY</x:v>
      </x:c>
      <x:c r="L10" s="9"/>
      <x:c r="M10" s="47"/>
      <x:c r="N10" s="47"/>
      <x:c r="O10" s="47"/>
      <x:c r="P10" s="47"/>
      <x:c r="Q10" s="47"/>
      <x:c r="R10" s="47"/>
      <x:c r="S10" s="47"/>
      <x:c r="T10" s="47"/>
      <x:c r="U10" s="47"/>
      <x:c r="V10" s="47"/>
      <x:c r="W10" s="47"/>
      <x:c r="X10" s="47"/>
      <x:c r="Y10" s="47"/>
      <x:c r="Z10" s="47"/>
    </x:row>
    <x:row r="11">
      <x:c r="C11" s="9" t="str">
        <x:v>CI-05</x:v>
      </x:c>
      <x:c r="D11" s="9" t="str">
        <x:v>W-ROOT</x:v>
      </x:c>
      <x:c r="E11" s="9" t="str">
        <x:v>Independent Root Houses</x:v>
      </x:c>
      <x:c r="F11" s="9" t="str">
        <x:v>W-DISPOSITION</x:v>
      </x:c>
      <x:c r="G11" s="9" t="str">
        <x:v>Root Disposition Board</x:v>
      </x:c>
      <x:c r="H11" s="9" t="str">
        <x:v>Beneficial control</x:v>
      </x:c>
      <x:c r="I11" s="9" t="str">
        <x:v>Distinct accepted identity required</x:v>
      </x:c>
      <x:c r="J11" s="42" t="n">
        <x:v>0</x:v>
      </x:c>
      <x:c r="K11" s="9" t="str">
        <x:f>IF(E11=G11,"FAIL",IF(J11=1,"ACCEPTED","SOURCE-EMPTY"))</x:f>
        <x:v>SOURCE-EMPTY</x:v>
      </x:c>
      <x:c r="L11" s="9"/>
      <x:c r="M11" s="47"/>
      <x:c r="N11" s="47"/>
      <x:c r="O11" s="47"/>
      <x:c r="P11" s="47"/>
      <x:c r="Q11" s="47"/>
      <x:c r="R11" s="47"/>
      <x:c r="S11" s="47"/>
      <x:c r="T11" s="47"/>
      <x:c r="U11" s="47"/>
      <x:c r="V11" s="47"/>
      <x:c r="W11" s="47"/>
      <x:c r="X11" s="47"/>
      <x:c r="Y11" s="47"/>
      <x:c r="Z11" s="47"/>
    </x:row>
    <x:row r="12">
      <x:c r="C12" s="9" t="str">
        <x:v>CI-06</x:v>
      </x:c>
      <x:c r="D12" s="9" t="str">
        <x:v>W-ROOT</x:v>
      </x:c>
      <x:c r="E12" s="9" t="str">
        <x:v>Independent Root Houses</x:v>
      </x:c>
      <x:c r="F12" s="9" t="str">
        <x:v>W-DISPOSITION</x:v>
      </x:c>
      <x:c r="G12" s="9" t="str">
        <x:v>Root Disposition Board</x:v>
      </x:c>
      <x:c r="H12" s="9" t="str">
        <x:v>Executive command</x:v>
      </x:c>
      <x:c r="I12" s="9" t="str">
        <x:v>Distinct accepted identity required</x:v>
      </x:c>
      <x:c r="J12" s="42" t="n">
        <x:v>0</x:v>
      </x:c>
      <x:c r="K12" s="9" t="str">
        <x:f>IF(E12=G12,"FAIL",IF(J12=1,"ACCEPTED","SOURCE-EMPTY"))</x:f>
        <x:v>SOURCE-EMPTY</x:v>
      </x:c>
      <x:c r="L12" s="9"/>
      <x:c r="M12" s="47"/>
      <x:c r="N12" s="47"/>
      <x:c r="O12" s="47"/>
      <x:c r="P12" s="47"/>
      <x:c r="Q12" s="47"/>
      <x:c r="R12" s="47"/>
      <x:c r="S12" s="47"/>
      <x:c r="T12" s="47"/>
      <x:c r="U12" s="47"/>
      <x:c r="V12" s="47"/>
      <x:c r="W12" s="47"/>
      <x:c r="X12" s="47"/>
      <x:c r="Y12" s="47"/>
      <x:c r="Z12" s="47"/>
    </x:row>
    <x:row r="13">
      <x:c r="C13" s="9" t="str">
        <x:v>CI-07</x:v>
      </x:c>
      <x:c r="D13" s="9" t="str">
        <x:v>W-ROOT</x:v>
      </x:c>
      <x:c r="E13" s="9" t="str">
        <x:v>Independent Root Houses</x:v>
      </x:c>
      <x:c r="F13" s="9" t="str">
        <x:v>W-DISPOSITION</x:v>
      </x:c>
      <x:c r="G13" s="9" t="str">
        <x:v>Root Disposition Board</x:v>
      </x:c>
      <x:c r="H13" s="9" t="str">
        <x:v>Decisive toolchain</x:v>
      </x:c>
      <x:c r="I13" s="9" t="str">
        <x:v>Distinct accepted identity required</x:v>
      </x:c>
      <x:c r="J13" s="42" t="n">
        <x:v>0</x:v>
      </x:c>
      <x:c r="K13" s="9" t="str">
        <x:f>IF(E13=G13,"FAIL",IF(J13=1,"ACCEPTED","SOURCE-EMPTY"))</x:f>
        <x:v>SOURCE-EMPTY</x:v>
      </x:c>
      <x:c r="L13" s="9"/>
      <x:c r="M13" s="47"/>
      <x:c r="N13" s="47"/>
      <x:c r="O13" s="47"/>
      <x:c r="P13" s="47"/>
      <x:c r="Q13" s="47"/>
      <x:c r="R13" s="47"/>
      <x:c r="S13" s="47"/>
      <x:c r="T13" s="47"/>
      <x:c r="U13" s="47"/>
      <x:c r="V13" s="47"/>
      <x:c r="W13" s="47"/>
      <x:c r="X13" s="47"/>
      <x:c r="Y13" s="47"/>
      <x:c r="Z13" s="47"/>
    </x:row>
    <x:row r="14">
      <x:c r="C14" s="9" t="str">
        <x:v>CI-08</x:v>
      </x:c>
      <x:c r="D14" s="9" t="str">
        <x:v>W-ROOT</x:v>
      </x:c>
      <x:c r="E14" s="9" t="str">
        <x:v>Independent Root Houses</x:v>
      </x:c>
      <x:c r="F14" s="9" t="str">
        <x:v>W-DISPOSITION</x:v>
      </x:c>
      <x:c r="G14" s="9" t="str">
        <x:v>Root Disposition Board</x:v>
      </x:c>
      <x:c r="H14" s="9" t="str">
        <x:v>Evidence custody</x:v>
      </x:c>
      <x:c r="I14" s="9" t="str">
        <x:v>Distinct accepted identity required</x:v>
      </x:c>
      <x:c r="J14" s="42" t="n">
        <x:v>0</x:v>
      </x:c>
      <x:c r="K14" s="9" t="str">
        <x:f>IF(E14=G14,"FAIL",IF(J14=1,"ACCEPTED","SOURCE-EMPTY"))</x:f>
        <x:v>SOURCE-EMPTY</x:v>
      </x:c>
      <x:c r="L14" s="9"/>
      <x:c r="M14" s="47"/>
      <x:c r="N14" s="47"/>
      <x:c r="O14" s="47"/>
      <x:c r="P14" s="47"/>
      <x:c r="Q14" s="47"/>
      <x:c r="R14" s="47"/>
      <x:c r="S14" s="47"/>
      <x:c r="T14" s="47"/>
      <x:c r="U14" s="47"/>
      <x:c r="V14" s="47"/>
      <x:c r="W14" s="47"/>
      <x:c r="X14" s="47"/>
      <x:c r="Y14" s="47"/>
      <x:c r="Z14" s="47"/>
    </x:row>
    <x:row r="15">
      <x:c r="C15" s="9" t="str">
        <x:v>CI-09</x:v>
      </x:c>
      <x:c r="D15" s="9" t="str">
        <x:v>W-WORLD</x:v>
      </x:c>
      <x:c r="E15" s="9" t="str">
        <x:v>Worlds Command</x:v>
      </x:c>
      <x:c r="F15" s="9" t="str">
        <x:v>W-CONTROL</x:v>
      </x:c>
      <x:c r="G15" s="9" t="str">
        <x:v>Counterfactual Command</x:v>
      </x:c>
      <x:c r="H15" s="9" t="str">
        <x:v>Beneficial control</x:v>
      </x:c>
      <x:c r="I15" s="9" t="str">
        <x:v>Distinct accepted identity required</x:v>
      </x:c>
      <x:c r="J15" s="42" t="n">
        <x:v>0</x:v>
      </x:c>
      <x:c r="K15" s="9" t="str">
        <x:f>IF(E15=G15,"FAIL",IF(J15=1,"ACCEPTED","SOURCE-EMPTY"))</x:f>
        <x:v>SOURCE-EMPTY</x:v>
      </x:c>
      <x:c r="L15" s="9"/>
      <x:c r="M15" s="47"/>
      <x:c r="N15" s="47"/>
      <x:c r="O15" s="47"/>
      <x:c r="P15" s="47"/>
      <x:c r="Q15" s="47"/>
      <x:c r="R15" s="47"/>
      <x:c r="S15" s="47"/>
      <x:c r="T15" s="47"/>
      <x:c r="U15" s="47"/>
      <x:c r="V15" s="47"/>
      <x:c r="W15" s="47"/>
      <x:c r="X15" s="47"/>
      <x:c r="Y15" s="47"/>
      <x:c r="Z15" s="47"/>
    </x:row>
    <x:row r="16">
      <x:c r="C16" s="9" t="str">
        <x:v>CI-10</x:v>
      </x:c>
      <x:c r="D16" s="9" t="str">
        <x:v>W-WORLD</x:v>
      </x:c>
      <x:c r="E16" s="9" t="str">
        <x:v>Worlds Command</x:v>
      </x:c>
      <x:c r="F16" s="9" t="str">
        <x:v>W-CONTROL</x:v>
      </x:c>
      <x:c r="G16" s="9" t="str">
        <x:v>Counterfactual Command</x:v>
      </x:c>
      <x:c r="H16" s="9" t="str">
        <x:v>Executive command</x:v>
      </x:c>
      <x:c r="I16" s="9" t="str">
        <x:v>Distinct accepted identity required</x:v>
      </x:c>
      <x:c r="J16" s="42" t="n">
        <x:v>0</x:v>
      </x:c>
      <x:c r="K16" s="9" t="str">
        <x:f>IF(E16=G16,"FAIL",IF(J16=1,"ACCEPTED","SOURCE-EMPTY"))</x:f>
        <x:v>SOURCE-EMPTY</x:v>
      </x:c>
      <x:c r="L16" s="9"/>
      <x:c r="M16" s="47"/>
      <x:c r="N16" s="47"/>
      <x:c r="O16" s="47"/>
      <x:c r="P16" s="47"/>
      <x:c r="Q16" s="47"/>
      <x:c r="R16" s="47"/>
      <x:c r="S16" s="47"/>
      <x:c r="T16" s="47"/>
      <x:c r="U16" s="47"/>
      <x:c r="V16" s="47"/>
      <x:c r="W16" s="47"/>
      <x:c r="X16" s="47"/>
      <x:c r="Y16" s="47"/>
      <x:c r="Z16" s="47"/>
    </x:row>
    <x:row r="17">
      <x:c r="C17" s="9" t="str">
        <x:v>CI-11</x:v>
      </x:c>
      <x:c r="D17" s="9" t="str">
        <x:v>W-WORLD</x:v>
      </x:c>
      <x:c r="E17" s="9" t="str">
        <x:v>Worlds Command</x:v>
      </x:c>
      <x:c r="F17" s="9" t="str">
        <x:v>W-CONTROL</x:v>
      </x:c>
      <x:c r="G17" s="9" t="str">
        <x:v>Counterfactual Command</x:v>
      </x:c>
      <x:c r="H17" s="9" t="str">
        <x:v>Decisive toolchain</x:v>
      </x:c>
      <x:c r="I17" s="9" t="str">
        <x:v>Distinct accepted identity required</x:v>
      </x:c>
      <x:c r="J17" s="42" t="n">
        <x:v>0</x:v>
      </x:c>
      <x:c r="K17" s="9" t="str">
        <x:f>IF(E17=G17,"FAIL",IF(J17=1,"ACCEPTED","SOURCE-EMPTY"))</x:f>
        <x:v>SOURCE-EMPTY</x:v>
      </x:c>
      <x:c r="L17" s="9"/>
      <x:c r="M17" s="47"/>
      <x:c r="N17" s="47"/>
      <x:c r="O17" s="47"/>
      <x:c r="P17" s="47"/>
      <x:c r="Q17" s="47"/>
      <x:c r="R17" s="47"/>
      <x:c r="S17" s="47"/>
      <x:c r="T17" s="47"/>
      <x:c r="U17" s="47"/>
      <x:c r="V17" s="47"/>
      <x:c r="W17" s="47"/>
      <x:c r="X17" s="47"/>
      <x:c r="Y17" s="47"/>
      <x:c r="Z17" s="47"/>
    </x:row>
    <x:row r="18">
      <x:c r="C18" s="9" t="str">
        <x:v>CI-12</x:v>
      </x:c>
      <x:c r="D18" s="9" t="str">
        <x:v>W-WORLD</x:v>
      </x:c>
      <x:c r="E18" s="9" t="str">
        <x:v>Worlds Command</x:v>
      </x:c>
      <x:c r="F18" s="9" t="str">
        <x:v>W-CONTROL</x:v>
      </x:c>
      <x:c r="G18" s="9" t="str">
        <x:v>Counterfactual Command</x:v>
      </x:c>
      <x:c r="H18" s="9" t="str">
        <x:v>Evidence custody</x:v>
      </x:c>
      <x:c r="I18" s="9" t="str">
        <x:v>Distinct accepted identity required</x:v>
      </x:c>
      <x:c r="J18" s="42" t="n">
        <x:v>0</x:v>
      </x:c>
      <x:c r="K18" s="9" t="str">
        <x:f>IF(E18=G18,"FAIL",IF(J18=1,"ACCEPTED","SOURCE-EMPTY"))</x:f>
        <x:v>SOURCE-EMPTY</x:v>
      </x:c>
      <x:c r="L18" s="9"/>
      <x:c r="M18" s="47"/>
      <x:c r="N18" s="47"/>
      <x:c r="O18" s="47"/>
      <x:c r="P18" s="47"/>
      <x:c r="Q18" s="47"/>
      <x:c r="R18" s="47"/>
      <x:c r="S18" s="47"/>
      <x:c r="T18" s="47"/>
      <x:c r="U18" s="47"/>
      <x:c r="V18" s="47"/>
      <x:c r="W18" s="47"/>
      <x:c r="X18" s="47"/>
      <x:c r="Y18" s="47"/>
      <x:c r="Z18" s="47"/>
    </x:row>
    <x:row r="19">
      <x:c r="C19" s="9" t="str">
        <x:v>CI-13</x:v>
      </x:c>
      <x:c r="D19" s="9" t="str">
        <x:v>W-WORLD</x:v>
      </x:c>
      <x:c r="E19" s="9" t="str">
        <x:v>Worlds Command</x:v>
      </x:c>
      <x:c r="F19" s="9" t="str">
        <x:v>W-RECON</x:v>
      </x:c>
      <x:c r="G19" s="9" t="str">
        <x:v>Reconstruction Command</x:v>
      </x:c>
      <x:c r="H19" s="9" t="str">
        <x:v>Beneficial control</x:v>
      </x:c>
      <x:c r="I19" s="9" t="str">
        <x:v>Distinct accepted identity required</x:v>
      </x:c>
      <x:c r="J19" s="42" t="n">
        <x:v>0</x:v>
      </x:c>
      <x:c r="K19" s="9" t="str">
        <x:f>IF(E19=G19,"FAIL",IF(J19=1,"ACCEPTED","SOURCE-EMPTY"))</x:f>
        <x:v>SOURCE-EMPTY</x:v>
      </x:c>
      <x:c r="L19" s="9"/>
      <x:c r="M19" s="47"/>
      <x:c r="N19" s="47"/>
      <x:c r="O19" s="47"/>
      <x:c r="P19" s="47"/>
      <x:c r="Q19" s="47"/>
      <x:c r="R19" s="47"/>
      <x:c r="S19" s="47"/>
      <x:c r="T19" s="47"/>
      <x:c r="U19" s="47"/>
      <x:c r="V19" s="47"/>
      <x:c r="W19" s="47"/>
      <x:c r="X19" s="47"/>
      <x:c r="Y19" s="47"/>
      <x:c r="Z19" s="47"/>
    </x:row>
    <x:row r="20">
      <x:c r="C20" s="9" t="str">
        <x:v>CI-14</x:v>
      </x:c>
      <x:c r="D20" s="9" t="str">
        <x:v>W-WORLD</x:v>
      </x:c>
      <x:c r="E20" s="9" t="str">
        <x:v>Worlds Command</x:v>
      </x:c>
      <x:c r="F20" s="9" t="str">
        <x:v>W-RECON</x:v>
      </x:c>
      <x:c r="G20" s="9" t="str">
        <x:v>Reconstruction Command</x:v>
      </x:c>
      <x:c r="H20" s="9" t="str">
        <x:v>Executive command</x:v>
      </x:c>
      <x:c r="I20" s="9" t="str">
        <x:v>Distinct accepted identity required</x:v>
      </x:c>
      <x:c r="J20" s="42" t="n">
        <x:v>0</x:v>
      </x:c>
      <x:c r="K20" s="9" t="str">
        <x:f>IF(E20=G20,"FAIL",IF(J20=1,"ACCEPTED","SOURCE-EMPTY"))</x:f>
        <x:v>SOURCE-EMPTY</x:v>
      </x:c>
      <x:c r="L20" s="9"/>
      <x:c r="M20" s="47"/>
      <x:c r="N20" s="47"/>
      <x:c r="O20" s="47"/>
      <x:c r="P20" s="47"/>
      <x:c r="Q20" s="47"/>
      <x:c r="R20" s="47"/>
      <x:c r="S20" s="47"/>
      <x:c r="T20" s="47"/>
      <x:c r="U20" s="47"/>
      <x:c r="V20" s="47"/>
      <x:c r="W20" s="47"/>
      <x:c r="X20" s="47"/>
      <x:c r="Y20" s="47"/>
      <x:c r="Z20" s="47"/>
    </x:row>
    <x:row r="21">
      <x:c r="C21" s="9" t="str">
        <x:v>CI-15</x:v>
      </x:c>
      <x:c r="D21" s="9" t="str">
        <x:v>W-WORLD</x:v>
      </x:c>
      <x:c r="E21" s="9" t="str">
        <x:v>Worlds Command</x:v>
      </x:c>
      <x:c r="F21" s="9" t="str">
        <x:v>W-RECON</x:v>
      </x:c>
      <x:c r="G21" s="9" t="str">
        <x:v>Reconstruction Command</x:v>
      </x:c>
      <x:c r="H21" s="9" t="str">
        <x:v>Decisive toolchain</x:v>
      </x:c>
      <x:c r="I21" s="9" t="str">
        <x:v>Distinct accepted identity required</x:v>
      </x:c>
      <x:c r="J21" s="42" t="n">
        <x:v>0</x:v>
      </x:c>
      <x:c r="K21" s="9" t="str">
        <x:f>IF(E21=G21,"FAIL",IF(J21=1,"ACCEPTED","SOURCE-EMPTY"))</x:f>
        <x:v>SOURCE-EMPTY</x:v>
      </x:c>
      <x:c r="L21" s="9"/>
      <x:c r="M21" s="47"/>
      <x:c r="N21" s="47"/>
      <x:c r="O21" s="47"/>
      <x:c r="P21" s="47"/>
      <x:c r="Q21" s="47"/>
      <x:c r="R21" s="47"/>
      <x:c r="S21" s="47"/>
      <x:c r="T21" s="47"/>
      <x:c r="U21" s="47"/>
      <x:c r="V21" s="47"/>
      <x:c r="W21" s="47"/>
      <x:c r="X21" s="47"/>
      <x:c r="Y21" s="47"/>
      <x:c r="Z21" s="47"/>
    </x:row>
    <x:row r="22">
      <x:c r="C22" s="9" t="str">
        <x:v>CI-16</x:v>
      </x:c>
      <x:c r="D22" s="9" t="str">
        <x:v>W-WORLD</x:v>
      </x:c>
      <x:c r="E22" s="9" t="str">
        <x:v>Worlds Command</x:v>
      </x:c>
      <x:c r="F22" s="9" t="str">
        <x:v>W-RECON</x:v>
      </x:c>
      <x:c r="G22" s="9" t="str">
        <x:v>Reconstruction Command</x:v>
      </x:c>
      <x:c r="H22" s="9" t="str">
        <x:v>Evidence custody</x:v>
      </x:c>
      <x:c r="I22" s="9" t="str">
        <x:v>Distinct accepted identity required</x:v>
      </x:c>
      <x:c r="J22" s="42" t="n">
        <x:v>0</x:v>
      </x:c>
      <x:c r="K22" s="9" t="str">
        <x:f>IF(E22=G22,"FAIL",IF(J22=1,"ACCEPTED","SOURCE-EMPTY"))</x:f>
        <x:v>SOURCE-EMPTY</x:v>
      </x:c>
      <x:c r="L22" s="9"/>
      <x:c r="M22" s="47"/>
      <x:c r="N22" s="47"/>
      <x:c r="O22" s="47"/>
      <x:c r="P22" s="47"/>
      <x:c r="Q22" s="47"/>
      <x:c r="R22" s="47"/>
      <x:c r="S22" s="47"/>
      <x:c r="T22" s="47"/>
      <x:c r="U22" s="47"/>
      <x:c r="V22" s="47"/>
      <x:c r="W22" s="47"/>
      <x:c r="X22" s="47"/>
      <x:c r="Y22" s="47"/>
      <x:c r="Z22" s="47"/>
    </x:row>
    <x:row r="23">
      <x:c r="C23" s="9" t="str">
        <x:v>CI-17</x:v>
      </x:c>
      <x:c r="D23" s="9" t="str">
        <x:v>W-CONTROL</x:v>
      </x:c>
      <x:c r="E23" s="9" t="str">
        <x:v>Counterfactual Command</x:v>
      </x:c>
      <x:c r="F23" s="9" t="str">
        <x:v>W-RECON</x:v>
      </x:c>
      <x:c r="G23" s="9" t="str">
        <x:v>Reconstruction Command</x:v>
      </x:c>
      <x:c r="H23" s="9" t="str">
        <x:v>Beneficial control</x:v>
      </x:c>
      <x:c r="I23" s="9" t="str">
        <x:v>Distinct accepted identity required</x:v>
      </x:c>
      <x:c r="J23" s="42" t="n">
        <x:v>0</x:v>
      </x:c>
      <x:c r="K23" s="9" t="str">
        <x:f>IF(E23=G23,"FAIL",IF(J23=1,"ACCEPTED","SOURCE-EMPTY"))</x:f>
        <x:v>SOURCE-EMPTY</x:v>
      </x:c>
      <x:c r="L23" s="9"/>
      <x:c r="M23" s="47"/>
      <x:c r="N23" s="47"/>
      <x:c r="O23" s="47"/>
      <x:c r="P23" s="47"/>
      <x:c r="Q23" s="47"/>
      <x:c r="R23" s="47"/>
      <x:c r="S23" s="47"/>
      <x:c r="T23" s="47"/>
      <x:c r="U23" s="47"/>
      <x:c r="V23" s="47"/>
      <x:c r="W23" s="47"/>
      <x:c r="X23" s="47"/>
      <x:c r="Y23" s="47"/>
      <x:c r="Z23" s="47"/>
    </x:row>
    <x:row r="24">
      <x:c r="C24" s="9" t="str">
        <x:v>CI-18</x:v>
      </x:c>
      <x:c r="D24" s="9" t="str">
        <x:v>W-CONTROL</x:v>
      </x:c>
      <x:c r="E24" s="9" t="str">
        <x:v>Counterfactual Command</x:v>
      </x:c>
      <x:c r="F24" s="9" t="str">
        <x:v>W-RECON</x:v>
      </x:c>
      <x:c r="G24" s="9" t="str">
        <x:v>Reconstruction Command</x:v>
      </x:c>
      <x:c r="H24" s="9" t="str">
        <x:v>Executive command</x:v>
      </x:c>
      <x:c r="I24" s="9" t="str">
        <x:v>Distinct accepted identity required</x:v>
      </x:c>
      <x:c r="J24" s="42" t="n">
        <x:v>0</x:v>
      </x:c>
      <x:c r="K24" s="9" t="str">
        <x:f>IF(E24=G24,"FAIL",IF(J24=1,"ACCEPTED","SOURCE-EMPTY"))</x:f>
        <x:v>SOURCE-EMPTY</x:v>
      </x:c>
      <x:c r="L24" s="9"/>
      <x:c r="M24" s="47"/>
      <x:c r="N24" s="47"/>
      <x:c r="O24" s="47"/>
      <x:c r="P24" s="47"/>
      <x:c r="Q24" s="47"/>
      <x:c r="R24" s="47"/>
      <x:c r="S24" s="47"/>
      <x:c r="T24" s="47"/>
      <x:c r="U24" s="47"/>
      <x:c r="V24" s="47"/>
      <x:c r="W24" s="47"/>
      <x:c r="X24" s="47"/>
      <x:c r="Y24" s="47"/>
      <x:c r="Z24" s="47"/>
    </x:row>
    <x:row r="25">
      <x:c r="C25" s="9" t="str">
        <x:v>CI-19</x:v>
      </x:c>
      <x:c r="D25" s="9" t="str">
        <x:v>W-CONTROL</x:v>
      </x:c>
      <x:c r="E25" s="9" t="str">
        <x:v>Counterfactual Command</x:v>
      </x:c>
      <x:c r="F25" s="9" t="str">
        <x:v>W-RECON</x:v>
      </x:c>
      <x:c r="G25" s="9" t="str">
        <x:v>Reconstruction Command</x:v>
      </x:c>
      <x:c r="H25" s="9" t="str">
        <x:v>Decisive toolchain</x:v>
      </x:c>
      <x:c r="I25" s="9" t="str">
        <x:v>Distinct accepted identity required</x:v>
      </x:c>
      <x:c r="J25" s="42" t="n">
        <x:v>0</x:v>
      </x:c>
      <x:c r="K25" s="9" t="str">
        <x:f>IF(E25=G25,"FAIL",IF(J25=1,"ACCEPTED","SOURCE-EMPTY"))</x:f>
        <x:v>SOURCE-EMPTY</x:v>
      </x:c>
      <x:c r="L25" s="9"/>
      <x:c r="M25" s="47"/>
      <x:c r="N25" s="47"/>
      <x:c r="O25" s="47"/>
      <x:c r="P25" s="47"/>
      <x:c r="Q25" s="47"/>
      <x:c r="R25" s="47"/>
      <x:c r="S25" s="47"/>
      <x:c r="T25" s="47"/>
      <x:c r="U25" s="47"/>
      <x:c r="V25" s="47"/>
      <x:c r="W25" s="47"/>
      <x:c r="X25" s="47"/>
      <x:c r="Y25" s="47"/>
      <x:c r="Z25" s="47"/>
    </x:row>
    <x:row r="26">
      <x:c r="C26" s="9" t="str">
        <x:v>CI-20</x:v>
      </x:c>
      <x:c r="D26" s="9" t="str">
        <x:v>W-CONTROL</x:v>
      </x:c>
      <x:c r="E26" s="9" t="str">
        <x:v>Counterfactual Command</x:v>
      </x:c>
      <x:c r="F26" s="9" t="str">
        <x:v>W-RECON</x:v>
      </x:c>
      <x:c r="G26" s="9" t="str">
        <x:v>Reconstruction Command</x:v>
      </x:c>
      <x:c r="H26" s="9" t="str">
        <x:v>Evidence custody</x:v>
      </x:c>
      <x:c r="I26" s="9" t="str">
        <x:v>Distinct accepted identity required</x:v>
      </x:c>
      <x:c r="J26" s="42" t="n">
        <x:v>0</x:v>
      </x:c>
      <x:c r="K26" s="9" t="str">
        <x:f>IF(E26=G26,"FAIL",IF(J26=1,"ACCEPTED","SOURCE-EMPTY"))</x:f>
        <x:v>SOURCE-EMPTY</x:v>
      </x:c>
      <x:c r="L26" s="9"/>
      <x:c r="M26" s="47"/>
      <x:c r="N26" s="47"/>
      <x:c r="O26" s="47"/>
      <x:c r="P26" s="47"/>
      <x:c r="Q26" s="47"/>
      <x:c r="R26" s="47"/>
      <x:c r="S26" s="47"/>
      <x:c r="T26" s="47"/>
      <x:c r="U26" s="47"/>
      <x:c r="V26" s="47"/>
      <x:c r="W26" s="47"/>
      <x:c r="X26" s="47"/>
      <x:c r="Y26" s="47"/>
      <x:c r="Z26" s="47"/>
    </x:row>
    <x:row r="27">
      <x:c r="C27" s="9" t="str">
        <x:v>CI-21</x:v>
      </x:c>
      <x:c r="D27" s="9" t="str">
        <x:v>W-MISSION</x:v>
      </x:c>
      <x:c r="E27" s="9" t="str">
        <x:v>Mission System Commands</x:v>
      </x:c>
      <x:c r="F27" s="9" t="str">
        <x:v>W-DISPOSITION</x:v>
      </x:c>
      <x:c r="G27" s="9" t="str">
        <x:v>Root Disposition Board</x:v>
      </x:c>
      <x:c r="H27" s="9" t="str">
        <x:v>Beneficial control</x:v>
      </x:c>
      <x:c r="I27" s="9" t="str">
        <x:v>Distinct accepted identity required</x:v>
      </x:c>
      <x:c r="J27" s="42" t="n">
        <x:v>0</x:v>
      </x:c>
      <x:c r="K27" s="9" t="str">
        <x:f>IF(E27=G27,"FAIL",IF(J27=1,"ACCEPTED","SOURCE-EMPTY"))</x:f>
        <x:v>SOURCE-EMPTY</x:v>
      </x:c>
      <x:c r="L27" s="9"/>
      <x:c r="M27" s="47"/>
      <x:c r="N27" s="47"/>
      <x:c r="O27" s="47"/>
      <x:c r="P27" s="47"/>
      <x:c r="Q27" s="47"/>
      <x:c r="R27" s="47"/>
      <x:c r="S27" s="47"/>
      <x:c r="T27" s="47"/>
      <x:c r="U27" s="47"/>
      <x:c r="V27" s="47"/>
      <x:c r="W27" s="47"/>
      <x:c r="X27" s="47"/>
      <x:c r="Y27" s="47"/>
      <x:c r="Z27" s="47"/>
    </x:row>
    <x:row r="28">
      <x:c r="C28" s="9" t="str">
        <x:v>CI-22</x:v>
      </x:c>
      <x:c r="D28" s="9" t="str">
        <x:v>W-MISSION</x:v>
      </x:c>
      <x:c r="E28" s="9" t="str">
        <x:v>Mission System Commands</x:v>
      </x:c>
      <x:c r="F28" s="9" t="str">
        <x:v>W-DISPOSITION</x:v>
      </x:c>
      <x:c r="G28" s="9" t="str">
        <x:v>Root Disposition Board</x:v>
      </x:c>
      <x:c r="H28" s="9" t="str">
        <x:v>Executive command</x:v>
      </x:c>
      <x:c r="I28" s="9" t="str">
        <x:v>Distinct accepted identity required</x:v>
      </x:c>
      <x:c r="J28" s="42" t="n">
        <x:v>0</x:v>
      </x:c>
      <x:c r="K28" s="9" t="str">
        <x:f>IF(E28=G28,"FAIL",IF(J28=1,"ACCEPTED","SOURCE-EMPTY"))</x:f>
        <x:v>SOURCE-EMPTY</x:v>
      </x:c>
      <x:c r="L28" s="9"/>
      <x:c r="M28" s="47"/>
      <x:c r="N28" s="47"/>
      <x:c r="O28" s="47"/>
      <x:c r="P28" s="47"/>
      <x:c r="Q28" s="47"/>
      <x:c r="R28" s="47"/>
      <x:c r="S28" s="47"/>
      <x:c r="T28" s="47"/>
      <x:c r="U28" s="47"/>
      <x:c r="V28" s="47"/>
      <x:c r="W28" s="47"/>
      <x:c r="X28" s="47"/>
      <x:c r="Y28" s="47"/>
      <x:c r="Z28" s="47"/>
    </x:row>
    <x:row r="29">
      <x:c r="C29" s="9" t="str">
        <x:v>CI-23</x:v>
      </x:c>
      <x:c r="D29" s="9" t="str">
        <x:v>W-MISSION</x:v>
      </x:c>
      <x:c r="E29" s="9" t="str">
        <x:v>Mission System Commands</x:v>
      </x:c>
      <x:c r="F29" s="9" t="str">
        <x:v>W-DISPOSITION</x:v>
      </x:c>
      <x:c r="G29" s="9" t="str">
        <x:v>Root Disposition Board</x:v>
      </x:c>
      <x:c r="H29" s="9" t="str">
        <x:v>Decisive toolchain</x:v>
      </x:c>
      <x:c r="I29" s="9" t="str">
        <x:v>Distinct accepted identity required</x:v>
      </x:c>
      <x:c r="J29" s="42" t="n">
        <x:v>0</x:v>
      </x:c>
      <x:c r="K29" s="9" t="str">
        <x:f>IF(E29=G29,"FAIL",IF(J29=1,"ACCEPTED","SOURCE-EMPTY"))</x:f>
        <x:v>SOURCE-EMPTY</x:v>
      </x:c>
      <x:c r="L29" s="9"/>
      <x:c r="M29" s="47"/>
      <x:c r="N29" s="47"/>
      <x:c r="O29" s="47"/>
      <x:c r="P29" s="47"/>
      <x:c r="Q29" s="47"/>
      <x:c r="R29" s="47"/>
      <x:c r="S29" s="47"/>
      <x:c r="T29" s="47"/>
      <x:c r="U29" s="47"/>
      <x:c r="V29" s="47"/>
      <x:c r="W29" s="47"/>
      <x:c r="X29" s="47"/>
      <x:c r="Y29" s="47"/>
      <x:c r="Z29" s="47"/>
    </x:row>
    <x:row r="30">
      <x:c r="C30" s="9" t="str">
        <x:v>CI-24</x:v>
      </x:c>
      <x:c r="D30" s="9" t="str">
        <x:v>W-MISSION</x:v>
      </x:c>
      <x:c r="E30" s="9" t="str">
        <x:v>Mission System Commands</x:v>
      </x:c>
      <x:c r="F30" s="9" t="str">
        <x:v>W-DISPOSITION</x:v>
      </x:c>
      <x:c r="G30" s="9" t="str">
        <x:v>Root Disposition Board</x:v>
      </x:c>
      <x:c r="H30" s="9" t="str">
        <x:v>Evidence custody</x:v>
      </x:c>
      <x:c r="I30" s="9" t="str">
        <x:v>Distinct accepted identity required</x:v>
      </x:c>
      <x:c r="J30" s="42" t="n">
        <x:v>0</x:v>
      </x:c>
      <x:c r="K30" s="9" t="str">
        <x:f>IF(E30=G30,"FAIL",IF(J30=1,"ACCEPTED","SOURCE-EMPTY"))</x:f>
        <x:v>SOURCE-EMPTY</x:v>
      </x:c>
      <x:c r="L30" s="9"/>
      <x:c r="M30" s="47"/>
      <x:c r="N30" s="47"/>
      <x:c r="O30" s="47"/>
      <x:c r="P30" s="47"/>
      <x:c r="Q30" s="47"/>
      <x:c r="R30" s="47"/>
      <x:c r="S30" s="47"/>
      <x:c r="T30" s="47"/>
      <x:c r="U30" s="47"/>
      <x:c r="V30" s="47"/>
      <x:c r="W30" s="47"/>
      <x:c r="X30" s="47"/>
      <x:c r="Y30" s="47"/>
      <x:c r="Z30" s="47"/>
    </x:row>
    <x:row r="31">
      <x:c r="C31" s="9" t="str">
        <x:v>CI-25</x:v>
      </x:c>
      <x:c r="D31" s="9" t="str">
        <x:v>W-PROTECTION</x:v>
      </x:c>
      <x:c r="E31" s="9" t="str">
        <x:v>Public Protection Inspectorate</x:v>
      </x:c>
      <x:c r="F31" s="9" t="str">
        <x:v>W-MISSION</x:v>
      </x:c>
      <x:c r="G31" s="9" t="str">
        <x:v>Mission System Commands</x:v>
      </x:c>
      <x:c r="H31" s="9" t="str">
        <x:v>Beneficial control</x:v>
      </x:c>
      <x:c r="I31" s="9" t="str">
        <x:v>Distinct accepted identity required</x:v>
      </x:c>
      <x:c r="J31" s="42" t="n">
        <x:v>0</x:v>
      </x:c>
      <x:c r="K31" s="9" t="str">
        <x:f>IF(E31=G31,"FAIL",IF(J31=1,"ACCEPTED","SOURCE-EMPTY"))</x:f>
        <x:v>SOURCE-EMPTY</x:v>
      </x:c>
      <x:c r="L31" s="9"/>
      <x:c r="M31" s="47"/>
      <x:c r="N31" s="47"/>
      <x:c r="O31" s="47"/>
      <x:c r="P31" s="47"/>
      <x:c r="Q31" s="47"/>
      <x:c r="R31" s="47"/>
      <x:c r="S31" s="47"/>
      <x:c r="T31" s="47"/>
      <x:c r="U31" s="47"/>
      <x:c r="V31" s="47"/>
      <x:c r="W31" s="47"/>
      <x:c r="X31" s="47"/>
      <x:c r="Y31" s="47"/>
      <x:c r="Z31" s="47"/>
    </x:row>
    <x:row r="32">
      <x:c r="C32" s="9" t="str">
        <x:v>CI-26</x:v>
      </x:c>
      <x:c r="D32" s="9" t="str">
        <x:v>W-PROTECTION</x:v>
      </x:c>
      <x:c r="E32" s="9" t="str">
        <x:v>Public Protection Inspectorate</x:v>
      </x:c>
      <x:c r="F32" s="9" t="str">
        <x:v>W-MISSION</x:v>
      </x:c>
      <x:c r="G32" s="9" t="str">
        <x:v>Mission System Commands</x:v>
      </x:c>
      <x:c r="H32" s="9" t="str">
        <x:v>Executive command</x:v>
      </x:c>
      <x:c r="I32" s="9" t="str">
        <x:v>Distinct accepted identity required</x:v>
      </x:c>
      <x:c r="J32" s="42" t="n">
        <x:v>0</x:v>
      </x:c>
      <x:c r="K32" s="9" t="str">
        <x:f>IF(E32=G32,"FAIL",IF(J32=1,"ACCEPTED","SOURCE-EMPTY"))</x:f>
        <x:v>SOURCE-EMPTY</x:v>
      </x:c>
      <x:c r="L32" s="9"/>
      <x:c r="M32" s="47"/>
      <x:c r="N32" s="47"/>
      <x:c r="O32" s="47"/>
      <x:c r="P32" s="47"/>
      <x:c r="Q32" s="47"/>
      <x:c r="R32" s="47"/>
      <x:c r="S32" s="47"/>
      <x:c r="T32" s="47"/>
      <x:c r="U32" s="47"/>
      <x:c r="V32" s="47"/>
      <x:c r="W32" s="47"/>
      <x:c r="X32" s="47"/>
      <x:c r="Y32" s="47"/>
      <x:c r="Z32" s="47"/>
    </x:row>
    <x:row r="33">
      <x:c r="C33" s="9" t="str">
        <x:v>CI-27</x:v>
      </x:c>
      <x:c r="D33" s="9" t="str">
        <x:v>W-PROTECTION</x:v>
      </x:c>
      <x:c r="E33" s="9" t="str">
        <x:v>Public Protection Inspectorate</x:v>
      </x:c>
      <x:c r="F33" s="9" t="str">
        <x:v>W-MISSION</x:v>
      </x:c>
      <x:c r="G33" s="9" t="str">
        <x:v>Mission System Commands</x:v>
      </x:c>
      <x:c r="H33" s="9" t="str">
        <x:v>Decisive toolchain</x:v>
      </x:c>
      <x:c r="I33" s="9" t="str">
        <x:v>Distinct accepted identity required</x:v>
      </x:c>
      <x:c r="J33" s="42" t="n">
        <x:v>0</x:v>
      </x:c>
      <x:c r="K33" s="9" t="str">
        <x:f>IF(E33=G33,"FAIL",IF(J33=1,"ACCEPTED","SOURCE-EMPTY"))</x:f>
        <x:v>SOURCE-EMPTY</x:v>
      </x:c>
      <x:c r="L33" s="9"/>
      <x:c r="M33" s="47"/>
      <x:c r="N33" s="47"/>
      <x:c r="O33" s="47"/>
      <x:c r="P33" s="47"/>
      <x:c r="Q33" s="47"/>
      <x:c r="R33" s="47"/>
      <x:c r="S33" s="47"/>
      <x:c r="T33" s="47"/>
      <x:c r="U33" s="47"/>
      <x:c r="V33" s="47"/>
      <x:c r="W33" s="47"/>
      <x:c r="X33" s="47"/>
      <x:c r="Y33" s="47"/>
      <x:c r="Z33" s="47"/>
    </x:row>
    <x:row r="34">
      <x:c r="C34" s="9" t="str">
        <x:v>CI-28</x:v>
      </x:c>
      <x:c r="D34" s="9" t="str">
        <x:v>W-PROTECTION</x:v>
      </x:c>
      <x:c r="E34" s="9" t="str">
        <x:v>Public Protection Inspectorate</x:v>
      </x:c>
      <x:c r="F34" s="9" t="str">
        <x:v>W-MISSION</x:v>
      </x:c>
      <x:c r="G34" s="9" t="str">
        <x:v>Mission System Commands</x:v>
      </x:c>
      <x:c r="H34" s="9" t="str">
        <x:v>Evidence custody</x:v>
      </x:c>
      <x:c r="I34" s="9" t="str">
        <x:v>Distinct accepted identity required</x:v>
      </x:c>
      <x:c r="J34" s="42" t="n">
        <x:v>0</x:v>
      </x:c>
      <x:c r="K34" s="9" t="str">
        <x:f>IF(E34=G34,"FAIL",IF(J34=1,"ACCEPTED","SOURCE-EMPTY"))</x:f>
        <x:v>SOURCE-EMPTY</x:v>
      </x:c>
      <x:c r="L34" s="9"/>
      <x:c r="M34" s="47"/>
      <x:c r="N34" s="47"/>
      <x:c r="O34" s="47"/>
      <x:c r="P34" s="47"/>
      <x:c r="Q34" s="47"/>
      <x:c r="R34" s="47"/>
      <x:c r="S34" s="47"/>
      <x:c r="T34" s="47"/>
      <x:c r="U34" s="47"/>
      <x:c r="V34" s="47"/>
      <x:c r="W34" s="47"/>
      <x:c r="X34" s="47"/>
      <x:c r="Y34" s="47"/>
      <x:c r="Z34" s="47"/>
    </x:row>
    <x:row r="35">
      <x:c r="C35" s="9" t="str">
        <x:v>CI-29</x:v>
      </x:c>
      <x:c r="D35" s="9" t="str">
        <x:v>W-COMPTROLLER</x:v>
      </x:c>
      <x:c r="E35" s="9" t="str">
        <x:v>Program Comptroller</x:v>
      </x:c>
      <x:c r="F35" s="9" t="str">
        <x:v>W-ROOT</x:v>
      </x:c>
      <x:c r="G35" s="9" t="str">
        <x:v>Independent Root Houses</x:v>
      </x:c>
      <x:c r="H35" s="9" t="str">
        <x:v>Beneficial control</x:v>
      </x:c>
      <x:c r="I35" s="9" t="str">
        <x:v>Distinct accepted identity required</x:v>
      </x:c>
      <x:c r="J35" s="42" t="n">
        <x:v>0</x:v>
      </x:c>
      <x:c r="K35" s="9" t="str">
        <x:f>IF(E35=G35,"FAIL",IF(J35=1,"ACCEPTED","SOURCE-EMPTY"))</x:f>
        <x:v>SOURCE-EMPTY</x:v>
      </x:c>
      <x:c r="L35" s="9"/>
      <x:c r="M35" s="47"/>
      <x:c r="N35" s="47"/>
      <x:c r="O35" s="47"/>
      <x:c r="P35" s="47"/>
      <x:c r="Q35" s="47"/>
      <x:c r="R35" s="47"/>
      <x:c r="S35" s="47"/>
      <x:c r="T35" s="47"/>
      <x:c r="U35" s="47"/>
      <x:c r="V35" s="47"/>
      <x:c r="W35" s="47"/>
      <x:c r="X35" s="47"/>
      <x:c r="Y35" s="47"/>
      <x:c r="Z35" s="47"/>
    </x:row>
    <x:row r="36">
      <x:c r="C36" s="9" t="str">
        <x:v>CI-30</x:v>
      </x:c>
      <x:c r="D36" s="9" t="str">
        <x:v>W-COMPTROLLER</x:v>
      </x:c>
      <x:c r="E36" s="9" t="str">
        <x:v>Program Comptroller</x:v>
      </x:c>
      <x:c r="F36" s="9" t="str">
        <x:v>W-ROOT</x:v>
      </x:c>
      <x:c r="G36" s="9" t="str">
        <x:v>Independent Root Houses</x:v>
      </x:c>
      <x:c r="H36" s="9" t="str">
        <x:v>Executive command</x:v>
      </x:c>
      <x:c r="I36" s="9" t="str">
        <x:v>Distinct accepted identity required</x:v>
      </x:c>
      <x:c r="J36" s="42" t="n">
        <x:v>0</x:v>
      </x:c>
      <x:c r="K36" s="9" t="str">
        <x:f>IF(E36=G36,"FAIL",IF(J36=1,"ACCEPTED","SOURCE-EMPTY"))</x:f>
        <x:v>SOURCE-EMPTY</x:v>
      </x:c>
      <x:c r="L36" s="9"/>
      <x:c r="M36" s="47"/>
      <x:c r="N36" s="47"/>
      <x:c r="O36" s="47"/>
      <x:c r="P36" s="47"/>
      <x:c r="Q36" s="47"/>
      <x:c r="R36" s="47"/>
      <x:c r="S36" s="47"/>
      <x:c r="T36" s="47"/>
      <x:c r="U36" s="47"/>
      <x:c r="V36" s="47"/>
      <x:c r="W36" s="47"/>
      <x:c r="X36" s="47"/>
      <x:c r="Y36" s="47"/>
      <x:c r="Z36" s="47"/>
    </x:row>
    <x:row r="37">
      <x:c r="C37" s="9" t="str">
        <x:v>CI-31</x:v>
      </x:c>
      <x:c r="D37" s="9" t="str">
        <x:v>W-COMPTROLLER</x:v>
      </x:c>
      <x:c r="E37" s="9" t="str">
        <x:v>Program Comptroller</x:v>
      </x:c>
      <x:c r="F37" s="9" t="str">
        <x:v>W-ROOT</x:v>
      </x:c>
      <x:c r="G37" s="9" t="str">
        <x:v>Independent Root Houses</x:v>
      </x:c>
      <x:c r="H37" s="9" t="str">
        <x:v>Decisive toolchain</x:v>
      </x:c>
      <x:c r="I37" s="9" t="str">
        <x:v>Distinct accepted identity required</x:v>
      </x:c>
      <x:c r="J37" s="42" t="n">
        <x:v>0</x:v>
      </x:c>
      <x:c r="K37" s="9" t="str">
        <x:f>IF(E37=G37,"FAIL",IF(J37=1,"ACCEPTED","SOURCE-EMPTY"))</x:f>
        <x:v>SOURCE-EMPTY</x:v>
      </x:c>
      <x:c r="L37" s="9"/>
      <x:c r="M37" s="47"/>
      <x:c r="N37" s="47"/>
      <x:c r="O37" s="47"/>
      <x:c r="P37" s="47"/>
      <x:c r="Q37" s="47"/>
      <x:c r="R37" s="47"/>
      <x:c r="S37" s="47"/>
      <x:c r="T37" s="47"/>
      <x:c r="U37" s="47"/>
      <x:c r="V37" s="47"/>
      <x:c r="W37" s="47"/>
      <x:c r="X37" s="47"/>
      <x:c r="Y37" s="47"/>
      <x:c r="Z37" s="47"/>
    </x:row>
    <x:row r="38">
      <x:c r="C38" s="10" t="str">
        <x:v>CI-32</x:v>
      </x:c>
      <x:c r="D38" s="10" t="str">
        <x:v>W-COMPTROLLER</x:v>
      </x:c>
      <x:c r="E38" s="10" t="str">
        <x:v>Program Comptroller</x:v>
      </x:c>
      <x:c r="F38" s="10" t="str">
        <x:v>W-ROOT</x:v>
      </x:c>
      <x:c r="G38" s="10" t="str">
        <x:v>Independent Root Houses</x:v>
      </x:c>
      <x:c r="H38" s="10" t="str">
        <x:v>Evidence custody</x:v>
      </x:c>
      <x:c r="I38" s="10" t="str">
        <x:v>Distinct accepted identity required</x:v>
      </x:c>
      <x:c r="J38" s="43" t="n">
        <x:v>0</x:v>
      </x:c>
      <x:c r="K38" s="10" t="str">
        <x:f>IF(E38=G38,"FAIL",IF(J38=1,"ACCEPTED","SOURCE-EMPTY"))</x:f>
        <x:v>SOURCE-EMPTY</x:v>
      </x:c>
      <x:c r="L38" s="9"/>
      <x:c r="M38" s="47"/>
      <x:c r="N38" s="47"/>
      <x:c r="O38" s="47"/>
      <x:c r="P38" s="47"/>
      <x:c r="Q38" s="47"/>
      <x:c r="R38" s="47"/>
      <x:c r="S38" s="47"/>
      <x:c r="T38" s="47"/>
      <x:c r="U38" s="47"/>
      <x:c r="V38" s="47"/>
      <x:c r="W38" s="47"/>
      <x:c r="X38" s="47"/>
      <x:c r="Y38" s="47"/>
      <x:c r="Z38" s="47"/>
    </x:row>
    <x:row r="39">
      <x:c r="C39" s="9"/>
      <x:c r="D39" s="9"/>
      <x:c r="E39" s="9"/>
      <x:c r="F39" s="9"/>
      <x:c r="G39" s="9"/>
      <x:c r="H39" s="9"/>
      <x:c r="I39" s="9"/>
      <x:c r="J39" s="9"/>
      <x:c r="K39" s="9"/>
      <x:c r="L39" s="9"/>
      <x:c r="M39" s="47"/>
      <x:c r="N39" s="47"/>
      <x:c r="O39" s="47"/>
      <x:c r="P39" s="47"/>
      <x:c r="Q39" s="47"/>
      <x:c r="R39" s="47"/>
      <x:c r="S39" s="47"/>
      <x:c r="T39" s="47"/>
      <x:c r="U39" s="47"/>
      <x:c r="V39" s="47"/>
      <x:c r="W39" s="47"/>
      <x:c r="X39" s="47"/>
      <x:c r="Y39" s="47"/>
      <x:c r="Z39" s="47"/>
    </x:row>
    <x:row r="40">
      <x:c r="C40" s="9"/>
      <x:c r="D40" s="9"/>
      <x:c r="E40" s="9"/>
      <x:c r="F40" s="9"/>
      <x:c r="G40" s="9"/>
      <x:c r="H40" s="9"/>
      <x:c r="I40" s="9"/>
      <x:c r="J40" s="9"/>
      <x:c r="K40" s="9"/>
      <x:c r="L40" s="9"/>
      <x:c r="M40" s="47"/>
      <x:c r="N40" s="47"/>
      <x:c r="O40" s="47"/>
      <x:c r="P40" s="47"/>
      <x:c r="Q40" s="47"/>
      <x:c r="R40" s="47"/>
      <x:c r="S40" s="47"/>
      <x:c r="T40" s="47"/>
      <x:c r="U40" s="47"/>
      <x:c r="V40" s="47"/>
      <x:c r="W40" s="47"/>
      <x:c r="X40" s="47"/>
      <x:c r="Y40" s="47"/>
      <x:c r="Z40" s="47"/>
    </x:row>
    <x:row r="41">
      <x:c r="C41" s="9"/>
      <x:c r="D41" s="9"/>
      <x:c r="E41" s="9"/>
      <x:c r="F41" s="9"/>
      <x:c r="G41" s="9"/>
      <x:c r="H41" s="9"/>
      <x:c r="I41" s="9"/>
      <x:c r="J41" s="9"/>
      <x:c r="K41" s="9"/>
      <x:c r="L41" s="9"/>
      <x:c r="M41" s="47"/>
      <x:c r="N41" s="47"/>
      <x:c r="O41" s="47"/>
      <x:c r="P41" s="47"/>
      <x:c r="Q41" s="47"/>
      <x:c r="R41" s="47"/>
      <x:c r="S41" s="47"/>
      <x:c r="T41" s="47"/>
      <x:c r="U41" s="47"/>
      <x:c r="V41" s="47"/>
      <x:c r="W41" s="47"/>
      <x:c r="X41" s="47"/>
      <x:c r="Y41" s="47"/>
      <x:c r="Z41" s="47"/>
    </x:row>
    <x:row r="42">
      <x:c r="C42" s="9"/>
      <x:c r="D42" s="9"/>
      <x:c r="E42" s="9"/>
      <x:c r="F42" s="9"/>
      <x:c r="G42" s="9"/>
      <x:c r="H42" s="9"/>
      <x:c r="I42" s="9"/>
      <x:c r="J42" s="9"/>
      <x:c r="K42" s="9"/>
      <x:c r="L42" s="9"/>
      <x:c r="M42" s="47"/>
      <x:c r="N42" s="47"/>
      <x:c r="O42" s="47"/>
      <x:c r="P42" s="47"/>
      <x:c r="Q42" s="47"/>
      <x:c r="R42" s="47"/>
      <x:c r="S42" s="47"/>
      <x:c r="T42" s="47"/>
      <x:c r="U42" s="47"/>
      <x:c r="V42" s="47"/>
      <x:c r="W42" s="47"/>
      <x:c r="X42" s="47"/>
      <x:c r="Y42" s="47"/>
      <x:c r="Z42" s="47"/>
    </x:row>
  </x:sheetData>
  <x:conditionalFormatting sqref="K7:K38">
    <x:cfRule type="containsText" dxfId="16" priority="1" operator="containsText" text="BLOCKED"/>
    <x:cfRule type="containsText" dxfId="17" priority="2" operator="containsText" text="NOT MOBILIZED"/>
    <x:cfRule type="containsText" dxfId="18" priority="3" operator="containsText" text="READY"/>
    <x:cfRule type="containsText" dxfId="19" priority="4" operator="containsText" text="FAIL"/>
  </x:conditionalFormatting>
  <x:dataValidations count="1">
    <x:dataValidation type="list" sqref="J7:J38">
      <x:formula1>"0,1"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5" topLeftCell="A16" activePane="bottomLeft" state="frozen"/>
    </x:sheetView>
  </x:sheetViews>
  <x:sheetFormatPr defaultRowHeight="15"/>
  <x:cols>
    <x:col min="3" max="3" width="29" hidden="0" customWidth="1"/>
    <x:col min="4" max="4" width="14" hidden="0" customWidth="1"/>
    <x:col min="5" max="5" width="14" hidden="0" customWidth="1"/>
    <x:col min="6" max="6" width="14" hidden="0" customWidth="1"/>
    <x:col min="7" max="7" width="18" hidden="0" customWidth="1"/>
    <x:col min="8" max="8" width="16" hidden="0" customWidth="1"/>
    <x:col min="9" max="9" width="16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</x:cols>
  <x:sheetData>
    <x:row r="1"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47"/>
      <x:c r="O1" s="47"/>
      <x:c r="P1" s="47"/>
      <x:c r="Q1" s="47"/>
      <x:c r="R1" s="47"/>
      <x:c r="S1" s="47"/>
      <x:c r="T1" s="47"/>
      <x:c r="U1" s="47"/>
      <x:c r="V1" s="47"/>
      <x:c r="W1" s="47"/>
      <x:c r="X1" s="47"/>
      <x:c r="Y1" s="47"/>
      <x:c r="Z1" s="47"/>
    </x:row>
    <x:row r="2">
      <x:c r="C2" s="48" t="str">
        <x:v>USD 43.0B jurisdiction and stage cross-classification</x:v>
      </x:c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47"/>
      <x:c r="O2" s="47"/>
      <x:c r="P2" s="47"/>
      <x:c r="Q2" s="47"/>
      <x:c r="R2" s="47"/>
      <x:c r="S2" s="47"/>
      <x:c r="T2" s="47"/>
      <x:c r="U2" s="47"/>
      <x:c r="V2" s="47"/>
      <x:c r="W2" s="47"/>
      <x:c r="X2" s="47"/>
      <x:c r="Y2" s="47"/>
      <x:c r="Z2" s="47"/>
    </x:row>
    <x:row r="3">
      <x:c r="C3" s="49" t="str">
        <x:v>This is a governance reservation inside prior option authority, not a new appropriation or cost estimate.</x:v>
      </x:c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47"/>
      <x:c r="O3" s="47"/>
      <x:c r="P3" s="47"/>
      <x:c r="Q3" s="47"/>
      <x:c r="R3" s="47"/>
      <x:c r="S3" s="47"/>
      <x:c r="T3" s="47"/>
      <x:c r="U3" s="47"/>
      <x:c r="V3" s="47"/>
      <x:c r="W3" s="47"/>
      <x:c r="X3" s="47"/>
      <x:c r="Y3" s="47"/>
      <x:c r="Z3" s="47"/>
    </x:row>
    <x:row r="4">
      <x:c r="C4" s="50"/>
      <x:c r="D4" s="50"/>
      <x:c r="E4" s="50"/>
      <x:c r="F4" s="50"/>
      <x:c r="G4" s="50"/>
      <x:c r="H4" s="50"/>
      <x:c r="I4" s="50"/>
      <x:c r="J4" s="50"/>
      <x:c r="K4" s="50"/>
      <x:c r="L4" s="50"/>
      <x:c r="M4" s="50"/>
      <x:c r="N4" s="51"/>
      <x:c r="O4" s="51"/>
      <x:c r="P4" s="51"/>
      <x:c r="Q4" s="51"/>
      <x:c r="R4" s="51"/>
      <x:c r="S4" s="51"/>
      <x:c r="T4" s="51"/>
      <x:c r="U4" s="51"/>
      <x:c r="V4" s="51"/>
      <x:c r="W4" s="51"/>
      <x:c r="X4" s="51"/>
      <x:c r="Y4" s="51"/>
      <x:c r="Z4" s="51"/>
    </x:row>
    <x:row r="5">
      <x:c r="C5" s="9"/>
      <x:c r="D5" s="9"/>
      <x:c r="E5" s="9"/>
      <x:c r="F5" s="9"/>
      <x:c r="G5" s="9"/>
      <x:c r="H5" s="9"/>
      <x:c r="I5" s="9"/>
      <x:c r="J5" s="9"/>
      <x:c r="K5" s="9"/>
      <x:c r="L5" s="9"/>
      <x:c r="M5" s="9"/>
      <x:c r="N5" s="47"/>
      <x:c r="O5" s="47"/>
      <x:c r="P5" s="47"/>
      <x:c r="Q5" s="47"/>
      <x:c r="R5" s="47"/>
      <x:c r="S5" s="47"/>
      <x:c r="T5" s="47"/>
      <x:c r="U5" s="47"/>
      <x:c r="V5" s="47"/>
      <x:c r="W5" s="47"/>
      <x:c r="X5" s="47"/>
      <x:c r="Y5" s="47"/>
      <x:c r="Z5" s="47"/>
    </x:row>
    <x:row r="6" ht="28" customHeight="1">
      <x:c r="C6" s="26" t="str">
        <x:v>Jurisdiction</x:v>
      </x:c>
      <x:c r="D6" s="32" t="str">
        <x:v>M0 mix</x:v>
      </x:c>
      <x:c r="E6" s="32" t="str">
        <x:v>M1 mix</x:v>
      </x:c>
      <x:c r="F6" s="32" t="str">
        <x:v>M2 mix</x:v>
      </x:c>
      <x:c r="G6" s="32" t="str">
        <x:v>Total share</x:v>
      </x:c>
      <x:c r="H6" s="27" t="str">
        <x:v>USD B</x:v>
      </x:c>
      <x:c r="I6" s="9"/>
      <x:c r="J6" s="9"/>
      <x:c r="K6" s="9"/>
      <x:c r="L6" s="9"/>
      <x:c r="M6" s="9"/>
      <x:c r="N6" s="47"/>
      <x:c r="O6" s="47"/>
      <x:c r="P6" s="47"/>
      <x:c r="Q6" s="47"/>
      <x:c r="R6" s="47"/>
      <x:c r="S6" s="47"/>
      <x:c r="T6" s="47"/>
      <x:c r="U6" s="47"/>
      <x:c r="V6" s="47"/>
      <x:c r="W6" s="47"/>
      <x:c r="X6" s="47"/>
      <x:c r="Y6" s="47"/>
      <x:c r="Z6" s="47"/>
    </x:row>
    <x:row r="7">
      <x:c r="C7" s="9" t="str">
        <x:v>Candidate systems</x:v>
      </x:c>
      <x:c r="D7" s="33" t="n">
        <x:v>0.3</x:v>
      </x:c>
      <x:c r="E7" s="33" t="n">
        <x:v>0.5</x:v>
      </x:c>
      <x:c r="F7" s="33" t="n">
        <x:v>0.3</x:v>
      </x:c>
      <x:c r="G7" s="33" t="n">
        <x:f>SUMPRODUCT(D7:F7,$D$12:$F$12)</x:f>
        <x:v>0.4</x:v>
      </x:c>
      <x:c r="H7" s="38" t="n">
        <x:f>G7*'Controls'!$D$18</x:f>
        <x:v>17.202838532655377</x:v>
      </x:c>
      <x:c r="I7" s="9"/>
      <x:c r="J7" s="9"/>
      <x:c r="K7" s="9"/>
      <x:c r="L7" s="9"/>
      <x:c r="M7" s="9"/>
      <x:c r="N7" s="47"/>
      <x:c r="O7" s="47"/>
      <x:c r="P7" s="47"/>
      <x:c r="Q7" s="47"/>
      <x:c r="R7" s="47"/>
      <x:c r="S7" s="47"/>
      <x:c r="T7" s="47"/>
      <x:c r="U7" s="47"/>
      <x:c r="V7" s="47"/>
      <x:c r="W7" s="47"/>
      <x:c r="X7" s="47"/>
      <x:c r="Y7" s="47"/>
      <x:c r="Z7" s="47"/>
    </x:row>
    <x:row r="8">
      <x:c r="C8" s="9" t="str">
        <x:v>Proving stations</x:v>
      </x:c>
      <x:c r="D8" s="33" t="n">
        <x:v>0.25</x:v>
      </x:c>
      <x:c r="E8" s="33" t="n">
        <x:v>0.3</x:v>
      </x:c>
      <x:c r="F8" s="33" t="n">
        <x:v>0.35</x:v>
      </x:c>
      <x:c r="G8" s="33" t="n">
        <x:f>SUMPRODUCT(D8:F8,$D$12:$F$12)</x:f>
        <x:v>0.3</x:v>
      </x:c>
      <x:c r="H8" s="38" t="n">
        <x:f>G8*'Controls'!$D$18</x:f>
        <x:v>12.902128899491533</x:v>
      </x:c>
      <x:c r="I8" s="9"/>
      <x:c r="J8" s="9"/>
      <x:c r="K8" s="9"/>
      <x:c r="L8" s="9"/>
      <x:c r="M8" s="9"/>
      <x:c r="N8" s="47"/>
      <x:c r="O8" s="47"/>
      <x:c r="P8" s="47"/>
      <x:c r="Q8" s="47"/>
      <x:c r="R8" s="47"/>
      <x:c r="S8" s="47"/>
      <x:c r="T8" s="47"/>
      <x:c r="U8" s="47"/>
      <x:c r="V8" s="47"/>
      <x:c r="W8" s="47"/>
      <x:c r="X8" s="47"/>
      <x:c r="Y8" s="47"/>
      <x:c r="Z8" s="47"/>
    </x:row>
    <x:row r="9">
      <x:c r="C9" s="9" t="str">
        <x:v>Metrology and custody</x:v>
      </x:c>
      <x:c r="D9" s="33" t="n">
        <x:v>0.35</x:v>
      </x:c>
      <x:c r="E9" s="33" t="n">
        <x:v>0.1</x:v>
      </x:c>
      <x:c r="F9" s="33" t="n">
        <x:v>0.25</x:v>
      </x:c>
      <x:c r="G9" s="33" t="n">
        <x:f>SUMPRODUCT(D9:F9,$D$12:$F$12)</x:f>
        <x:v>0.2</x:v>
      </x:c>
      <x:c r="H9" s="38" t="n">
        <x:f>G9*'Controls'!$D$18</x:f>
        <x:v>8.601419266327689</x:v>
      </x:c>
      <x:c r="I9" s="9"/>
      <x:c r="J9" s="9"/>
      <x:c r="K9" s="9"/>
      <x:c r="L9" s="9"/>
      <x:c r="M9" s="9"/>
      <x:c r="N9" s="47"/>
      <x:c r="O9" s="47"/>
      <x:c r="P9" s="47"/>
      <x:c r="Q9" s="47"/>
      <x:c r="R9" s="47"/>
      <x:c r="S9" s="47"/>
      <x:c r="T9" s="47"/>
      <x:c r="U9" s="47"/>
      <x:c r="V9" s="47"/>
      <x:c r="W9" s="47"/>
      <x:c r="X9" s="47"/>
      <x:c r="Y9" s="47"/>
      <x:c r="Z9" s="47"/>
    </x:row>
    <x:row r="10">
      <x:c r="C10" s="10" t="str">
        <x:v>Replacement and regeneration reserve</x:v>
      </x:c>
      <x:c r="D10" s="44" t="n">
        <x:v>0.1</x:v>
      </x:c>
      <x:c r="E10" s="44" t="n">
        <x:v>0.1</x:v>
      </x:c>
      <x:c r="F10" s="44" t="n">
        <x:v>0.1</x:v>
      </x:c>
      <x:c r="G10" s="44" t="n">
        <x:f>SUMPRODUCT(D10:F10,$D$12:$F$12)</x:f>
        <x:v>0.1</x:v>
      </x:c>
      <x:c r="H10" s="39" t="n">
        <x:f>G10*'Controls'!$D$18</x:f>
        <x:v>4.300709633163844</x:v>
      </x:c>
      <x:c r="I10" s="9"/>
      <x:c r="J10" s="9"/>
      <x:c r="K10" s="9"/>
      <x:c r="L10" s="9"/>
      <x:c r="M10" s="9"/>
      <x:c r="N10" s="47"/>
      <x:c r="O10" s="47"/>
      <x:c r="P10" s="47"/>
      <x:c r="Q10" s="47"/>
      <x:c r="R10" s="47"/>
      <x:c r="S10" s="47"/>
      <x:c r="T10" s="47"/>
      <x:c r="U10" s="47"/>
      <x:c r="V10" s="47"/>
      <x:c r="W10" s="47"/>
      <x:c r="X10" s="47"/>
      <x:c r="Y10" s="47"/>
      <x:c r="Z10" s="47"/>
    </x:row>
    <x:row r="11"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47"/>
      <x:c r="O11" s="47"/>
      <x:c r="P11" s="47"/>
      <x:c r="Q11" s="47"/>
      <x:c r="R11" s="47"/>
      <x:c r="S11" s="47"/>
      <x:c r="T11" s="47"/>
      <x:c r="U11" s="47"/>
      <x:c r="V11" s="47"/>
      <x:c r="W11" s="47"/>
      <x:c r="X11" s="47"/>
      <x:c r="Y11" s="47"/>
      <x:c r="Z11" s="47"/>
    </x:row>
    <x:row r="12">
      <x:c r="C12" s="52" t="str">
        <x:v>Stage share</x:v>
      </x:c>
      <x:c r="D12" s="53" t="n">
        <x:v>0.25</x:v>
      </x:c>
      <x:c r="E12" s="53" t="n">
        <x:v>0.5</x:v>
      </x:c>
      <x:c r="F12" s="53" t="n">
        <x:v>0.25</x:v>
      </x:c>
      <x:c r="G12" s="52"/>
      <x:c r="H12" s="52"/>
      <x:c r="I12" s="9"/>
      <x:c r="J12" s="9"/>
      <x:c r="K12" s="9"/>
      <x:c r="L12" s="9"/>
      <x:c r="M12" s="9"/>
      <x:c r="N12" s="47"/>
      <x:c r="O12" s="47"/>
      <x:c r="P12" s="47"/>
      <x:c r="Q12" s="47"/>
      <x:c r="R12" s="47"/>
      <x:c r="S12" s="47"/>
      <x:c r="T12" s="47"/>
      <x:c r="U12" s="47"/>
      <x:c r="V12" s="47"/>
      <x:c r="W12" s="47"/>
      <x:c r="X12" s="47"/>
      <x:c r="Y12" s="47"/>
      <x:c r="Z12" s="47"/>
    </x:row>
    <x:row r="13"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47"/>
      <x:c r="O13" s="47"/>
      <x:c r="P13" s="47"/>
      <x:c r="Q13" s="47"/>
      <x:c r="R13" s="47"/>
      <x:c r="S13" s="47"/>
      <x:c r="T13" s="47"/>
      <x:c r="U13" s="47"/>
      <x:c r="V13" s="47"/>
      <x:c r="W13" s="47"/>
      <x:c r="X13" s="47"/>
      <x:c r="Y13" s="47"/>
      <x:c r="Z13" s="47"/>
    </x:row>
    <x:row r="14"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47"/>
      <x:c r="O14" s="47"/>
      <x:c r="P14" s="47"/>
      <x:c r="Q14" s="47"/>
      <x:c r="R14" s="47"/>
      <x:c r="S14" s="47"/>
      <x:c r="T14" s="47"/>
      <x:c r="U14" s="47"/>
      <x:c r="V14" s="47"/>
      <x:c r="W14" s="47"/>
      <x:c r="X14" s="47"/>
      <x:c r="Y14" s="47"/>
      <x:c r="Z14" s="47"/>
    </x:row>
    <x:row r="15" ht="28" customHeight="1">
      <x:c r="C15" s="26" t="str">
        <x:v>Root</x:v>
      </x:c>
      <x:c r="D15" s="32" t="str">
        <x:v>System</x:v>
      </x:c>
      <x:c r="E15" s="32" t="str">
        <x:v>Early cap USD B</x:v>
      </x:c>
      <x:c r="F15" s="32" t="str">
        <x:v>Candidate share</x:v>
      </x:c>
      <x:c r="G15" s="32" t="str">
        <x:v>Candidate USD B</x:v>
      </x:c>
      <x:c r="H15" s="32" t="str">
        <x:v>Station share</x:v>
      </x:c>
      <x:c r="I15" s="32" t="str">
        <x:v>Station USD B</x:v>
      </x:c>
      <x:c r="J15" s="32" t="str">
        <x:v>Metrology share</x:v>
      </x:c>
      <x:c r="K15" s="32" t="str">
        <x:v>Metrology USD B</x:v>
      </x:c>
      <x:c r="L15" s="32" t="str">
        <x:v>Reserve share</x:v>
      </x:c>
      <x:c r="M15" s="27" t="str">
        <x:v>Reserve USD B</x:v>
      </x:c>
      <x:c r="N15" s="47"/>
      <x:c r="O15" s="47"/>
      <x:c r="P15" s="47"/>
      <x:c r="Q15" s="47"/>
      <x:c r="R15" s="47"/>
      <x:c r="S15" s="47"/>
      <x:c r="T15" s="47"/>
      <x:c r="U15" s="47"/>
      <x:c r="V15" s="47"/>
      <x:c r="W15" s="47"/>
      <x:c r="X15" s="47"/>
      <x:c r="Y15" s="47"/>
      <x:c r="Z15" s="47"/>
    </x:row>
    <x:row r="16">
      <x:c r="C16" s="9" t="str">
        <x:v>MS-ET|A</x:v>
      </x:c>
      <x:c r="D16" s="9" t="str">
        <x:v>MS-ET</x:v>
      </x:c>
      <x:c r="E16" s="38" t="n">
        <x:v>2.2255849020021112</x:v>
      </x:c>
      <x:c r="F16" s="33" t="n">
        <x:f>$G$7</x:f>
        <x:v>0.4</x:v>
      </x:c>
      <x:c r="G16" s="38" t="n">
        <x:f>E16*F16</x:f>
        <x:v>0.8902339608008445</x:v>
      </x:c>
      <x:c r="H16" s="33" t="n">
        <x:f>$G$8</x:f>
        <x:v>0.3</x:v>
      </x:c>
      <x:c r="I16" s="38" t="n">
        <x:f>E16*H16</x:f>
        <x:v>0.6676754706006334</x:v>
      </x:c>
      <x:c r="J16" s="33" t="n">
        <x:f>$G$9</x:f>
        <x:v>0.2</x:v>
      </x:c>
      <x:c r="K16" s="38" t="n">
        <x:f>E16*J16</x:f>
        <x:v>0.44511698040042225</x:v>
      </x:c>
      <x:c r="L16" s="33" t="n">
        <x:f>$G$10</x:f>
        <x:v>0.1</x:v>
      </x:c>
      <x:c r="M16" s="38" t="n">
        <x:f>E16*L16</x:f>
        <x:v>0.22255849020021112</x:v>
      </x:c>
      <x:c r="N16" s="47"/>
      <x:c r="O16" s="47"/>
      <x:c r="P16" s="47"/>
      <x:c r="Q16" s="47"/>
      <x:c r="R16" s="47"/>
      <x:c r="S16" s="47"/>
      <x:c r="T16" s="47"/>
      <x:c r="U16" s="47"/>
      <x:c r="V16" s="47"/>
      <x:c r="W16" s="47"/>
      <x:c r="X16" s="47"/>
      <x:c r="Y16" s="47"/>
      <x:c r="Z16" s="47"/>
    </x:row>
    <x:row r="17">
      <x:c r="C17" s="9" t="str">
        <x:v>MS-ET|B</x:v>
      </x:c>
      <x:c r="D17" s="9" t="str">
        <x:v>MS-ET</x:v>
      </x:c>
      <x:c r="E17" s="38" t="n">
        <x:v>2.2255849020021112</x:v>
      </x:c>
      <x:c r="F17" s="33" t="n">
        <x:f>$G$7</x:f>
        <x:v>0.4</x:v>
      </x:c>
      <x:c r="G17" s="38" t="n">
        <x:f>E17*F17</x:f>
        <x:v>0.8902339608008445</x:v>
      </x:c>
      <x:c r="H17" s="33" t="n">
        <x:f>$G$8</x:f>
        <x:v>0.3</x:v>
      </x:c>
      <x:c r="I17" s="38" t="n">
        <x:f>E17*H17</x:f>
        <x:v>0.6676754706006334</x:v>
      </x:c>
      <x:c r="J17" s="33" t="n">
        <x:f>$G$9</x:f>
        <x:v>0.2</x:v>
      </x:c>
      <x:c r="K17" s="38" t="n">
        <x:f>E17*J17</x:f>
        <x:v>0.44511698040042225</x:v>
      </x:c>
      <x:c r="L17" s="33" t="n">
        <x:f>$G$10</x:f>
        <x:v>0.1</x:v>
      </x:c>
      <x:c r="M17" s="38" t="n">
        <x:f>E17*L17</x:f>
        <x:v>0.22255849020021112</x:v>
      </x:c>
      <x:c r="N17" s="47"/>
      <x:c r="O17" s="47"/>
      <x:c r="P17" s="47"/>
      <x:c r="Q17" s="47"/>
      <x:c r="R17" s="47"/>
      <x:c r="S17" s="47"/>
      <x:c r="T17" s="47"/>
      <x:c r="U17" s="47"/>
      <x:c r="V17" s="47"/>
      <x:c r="W17" s="47"/>
      <x:c r="X17" s="47"/>
      <x:c r="Y17" s="47"/>
      <x:c r="Z17" s="47"/>
    </x:row>
    <x:row r="18">
      <x:c r="C18" s="9" t="str">
        <x:v>MS-ET|C</x:v>
      </x:c>
      <x:c r="D18" s="9" t="str">
        <x:v>MS-ET</x:v>
      </x:c>
      <x:c r="E18" s="38" t="n">
        <x:v>2.0030264118019</x:v>
      </x:c>
      <x:c r="F18" s="33" t="n">
        <x:f>$G$7</x:f>
        <x:v>0.4</x:v>
      </x:c>
      <x:c r="G18" s="38" t="n">
        <x:f>E18*F18</x:f>
        <x:v>0.80121056472076</x:v>
      </x:c>
      <x:c r="H18" s="33" t="n">
        <x:f>$G$8</x:f>
        <x:v>0.3</x:v>
      </x:c>
      <x:c r="I18" s="38" t="n">
        <x:f>E18*H18</x:f>
        <x:v>0.60090792354057</x:v>
      </x:c>
      <x:c r="J18" s="33" t="n">
        <x:f>$G$9</x:f>
        <x:v>0.2</x:v>
      </x:c>
      <x:c r="K18" s="38" t="n">
        <x:f>E18*J18</x:f>
        <x:v>0.40060528236038</x:v>
      </x:c>
      <x:c r="L18" s="33" t="n">
        <x:f>$G$10</x:f>
        <x:v>0.1</x:v>
      </x:c>
      <x:c r="M18" s="38" t="n">
        <x:f>E18*L18</x:f>
        <x:v>0.20030264118019</x:v>
      </x:c>
      <x:c r="N18" s="47"/>
      <x:c r="O18" s="47"/>
      <x:c r="P18" s="47"/>
      <x:c r="Q18" s="47"/>
      <x:c r="R18" s="47"/>
      <x:c r="S18" s="47"/>
      <x:c r="T18" s="47"/>
      <x:c r="U18" s="47"/>
      <x:c r="V18" s="47"/>
      <x:c r="W18" s="47"/>
      <x:c r="X18" s="47"/>
      <x:c r="Y18" s="47"/>
      <x:c r="Z18" s="47"/>
    </x:row>
    <x:row r="19">
      <x:c r="C19" s="9" t="str">
        <x:v>MS-ET|D</x:v>
      </x:c>
      <x:c r="D19" s="9" t="str">
        <x:v>MS-ET</x:v>
      </x:c>
      <x:c r="E19" s="38" t="n">
        <x:v>1.4466301863013722</x:v>
      </x:c>
      <x:c r="F19" s="33" t="n">
        <x:f>$G$7</x:f>
        <x:v>0.4</x:v>
      </x:c>
      <x:c r="G19" s="38" t="n">
        <x:f>E19*F19</x:f>
        <x:v>0.5786520745205489</x:v>
      </x:c>
      <x:c r="H19" s="33" t="n">
        <x:f>$G$8</x:f>
        <x:v>0.3</x:v>
      </x:c>
      <x:c r="I19" s="38" t="n">
        <x:f>E19*H19</x:f>
        <x:v>0.43398905589041165</x:v>
      </x:c>
      <x:c r="J19" s="33" t="n">
        <x:f>$G$9</x:f>
        <x:v>0.2</x:v>
      </x:c>
      <x:c r="K19" s="38" t="n">
        <x:f>E19*J19</x:f>
        <x:v>0.28932603726027445</x:v>
      </x:c>
      <x:c r="L19" s="33" t="n">
        <x:f>$G$10</x:f>
        <x:v>0.1</x:v>
      </x:c>
      <x:c r="M19" s="38" t="n">
        <x:f>E19*L19</x:f>
        <x:v>0.14466301863013722</x:v>
      </x:c>
      <x:c r="N19" s="47"/>
      <x:c r="O19" s="47"/>
      <x:c r="P19" s="47"/>
      <x:c r="Q19" s="47"/>
      <x:c r="R19" s="47"/>
      <x:c r="S19" s="47"/>
      <x:c r="T19" s="47"/>
      <x:c r="U19" s="47"/>
      <x:c r="V19" s="47"/>
      <x:c r="W19" s="47"/>
      <x:c r="X19" s="47"/>
      <x:c r="Y19" s="47"/>
      <x:c r="Z19" s="47"/>
    </x:row>
    <x:row r="20">
      <x:c r="C20" s="9" t="str">
        <x:v>MS-CT|A</x:v>
      </x:c>
      <x:c r="D20" s="9" t="str">
        <x:v>MS-CT</x:v>
      </x:c>
      <x:c r="E20" s="38" t="n">
        <x:v>2.2968199654645347</x:v>
      </x:c>
      <x:c r="F20" s="33" t="n">
        <x:f>$G$7</x:f>
        <x:v>0.4</x:v>
      </x:c>
      <x:c r="G20" s="38" t="n">
        <x:f>E20*F20</x:f>
        <x:v>0.918727986185814</x:v>
      </x:c>
      <x:c r="H20" s="33" t="n">
        <x:f>$G$8</x:f>
        <x:v>0.3</x:v>
      </x:c>
      <x:c r="I20" s="38" t="n">
        <x:f>E20*H20</x:f>
        <x:v>0.6890459896393604</x:v>
      </x:c>
      <x:c r="J20" s="33" t="n">
        <x:f>$G$9</x:f>
        <x:v>0.2</x:v>
      </x:c>
      <x:c r="K20" s="38" t="n">
        <x:f>E20*J20</x:f>
        <x:v>0.459363993092907</x:v>
      </x:c>
      <x:c r="L20" s="33" t="n">
        <x:f>$G$10</x:f>
        <x:v>0.1</x:v>
      </x:c>
      <x:c r="M20" s="38" t="n">
        <x:f>E20*L20</x:f>
        <x:v>0.2296819965464535</x:v>
      </x:c>
      <x:c r="N20" s="47"/>
      <x:c r="O20" s="47"/>
      <x:c r="P20" s="47"/>
      <x:c r="Q20" s="47"/>
      <x:c r="R20" s="47"/>
      <x:c r="S20" s="47"/>
      <x:c r="T20" s="47"/>
      <x:c r="U20" s="47"/>
      <x:c r="V20" s="47"/>
      <x:c r="W20" s="47"/>
      <x:c r="X20" s="47"/>
      <x:c r="Y20" s="47"/>
      <x:c r="Z20" s="47"/>
    </x:row>
    <x:row r="21">
      <x:c r="C21" s="9" t="str">
        <x:v>MS-CT|B</x:v>
      </x:c>
      <x:c r="D21" s="9" t="str">
        <x:v>MS-CT</x:v>
      </x:c>
      <x:c r="E21" s="38" t="n">
        <x:v>1.9522969706448545</x:v>
      </x:c>
      <x:c r="F21" s="33" t="n">
        <x:f>$G$7</x:f>
        <x:v>0.4</x:v>
      </x:c>
      <x:c r="G21" s="38" t="n">
        <x:f>E21*F21</x:f>
        <x:v>0.7809187882579418</x:v>
      </x:c>
      <x:c r="H21" s="33" t="n">
        <x:f>$G$8</x:f>
        <x:v>0.3</x:v>
      </x:c>
      <x:c r="I21" s="38" t="n">
        <x:f>E21*H21</x:f>
        <x:v>0.5856890911934564</x:v>
      </x:c>
      <x:c r="J21" s="33" t="n">
        <x:f>$G$9</x:f>
        <x:v>0.2</x:v>
      </x:c>
      <x:c r="K21" s="38" t="n">
        <x:f>E21*J21</x:f>
        <x:v>0.3904593941289709</x:v>
      </x:c>
      <x:c r="L21" s="33" t="n">
        <x:f>$G$10</x:f>
        <x:v>0.1</x:v>
      </x:c>
      <x:c r="M21" s="38" t="n">
        <x:f>E21*L21</x:f>
        <x:v>0.19522969706448545</x:v>
      </x:c>
      <x:c r="N21" s="47"/>
      <x:c r="O21" s="47"/>
      <x:c r="P21" s="47"/>
      <x:c r="Q21" s="47"/>
      <x:c r="R21" s="47"/>
      <x:c r="S21" s="47"/>
      <x:c r="T21" s="47"/>
      <x:c r="U21" s="47"/>
      <x:c r="V21" s="47"/>
      <x:c r="W21" s="47"/>
      <x:c r="X21" s="47"/>
      <x:c r="Y21" s="47"/>
      <x:c r="Z21" s="47"/>
    </x:row>
    <x:row r="22">
      <x:c r="C22" s="9" t="str">
        <x:v>MS-CT|C</x:v>
      </x:c>
      <x:c r="D22" s="9" t="str">
        <x:v>MS-CT</x:v>
      </x:c>
      <x:c r="E22" s="38" t="n">
        <x:v>1.9522969706448545</x:v>
      </x:c>
      <x:c r="F22" s="33" t="n">
        <x:f>$G$7</x:f>
        <x:v>0.4</x:v>
      </x:c>
      <x:c r="G22" s="38" t="n">
        <x:f>E22*F22</x:f>
        <x:v>0.7809187882579418</x:v>
      </x:c>
      <x:c r="H22" s="33" t="n">
        <x:f>$G$8</x:f>
        <x:v>0.3</x:v>
      </x:c>
      <x:c r="I22" s="38" t="n">
        <x:f>E22*H22</x:f>
        <x:v>0.5856890911934564</x:v>
      </x:c>
      <x:c r="J22" s="33" t="n">
        <x:f>$G$9</x:f>
        <x:v>0.2</x:v>
      </x:c>
      <x:c r="K22" s="38" t="n">
        <x:f>E22*J22</x:f>
        <x:v>0.3904593941289709</x:v>
      </x:c>
      <x:c r="L22" s="33" t="n">
        <x:f>$G$10</x:f>
        <x:v>0.1</x:v>
      </x:c>
      <x:c r="M22" s="38" t="n">
        <x:f>E22*L22</x:f>
        <x:v>0.19522969706448545</x:v>
      </x:c>
      <x:c r="N22" s="47"/>
      <x:c r="O22" s="47"/>
      <x:c r="P22" s="47"/>
      <x:c r="Q22" s="47"/>
      <x:c r="R22" s="47"/>
      <x:c r="S22" s="47"/>
      <x:c r="T22" s="47"/>
      <x:c r="U22" s="47"/>
      <x:c r="V22" s="47"/>
      <x:c r="W22" s="47"/>
      <x:c r="X22" s="47"/>
      <x:c r="Y22" s="47"/>
      <x:c r="Z22" s="47"/>
    </x:row>
    <x:row r="23">
      <x:c r="C23" s="9" t="str">
        <x:v>MS-CT|D</x:v>
      </x:c>
      <x:c r="D23" s="9" t="str">
        <x:v>MS-CT</x:v>
      </x:c>
      <x:c r="E23" s="38" t="n">
        <x:v>1.9522969706448545</x:v>
      </x:c>
      <x:c r="F23" s="33" t="n">
        <x:f>$G$7</x:f>
        <x:v>0.4</x:v>
      </x:c>
      <x:c r="G23" s="38" t="n">
        <x:f>E23*F23</x:f>
        <x:v>0.7809187882579418</x:v>
      </x:c>
      <x:c r="H23" s="33" t="n">
        <x:f>$G$8</x:f>
        <x:v>0.3</x:v>
      </x:c>
      <x:c r="I23" s="38" t="n">
        <x:f>E23*H23</x:f>
        <x:v>0.5856890911934564</x:v>
      </x:c>
      <x:c r="J23" s="33" t="n">
        <x:f>$G$9</x:f>
        <x:v>0.2</x:v>
      </x:c>
      <x:c r="K23" s="38" t="n">
        <x:f>E23*J23</x:f>
        <x:v>0.3904593941289709</x:v>
      </x:c>
      <x:c r="L23" s="33" t="n">
        <x:f>$G$10</x:f>
        <x:v>0.1</x:v>
      </x:c>
      <x:c r="M23" s="38" t="n">
        <x:f>E23*L23</x:f>
        <x:v>0.19522969706448545</x:v>
      </x:c>
      <x:c r="N23" s="47"/>
      <x:c r="O23" s="47"/>
      <x:c r="P23" s="47"/>
      <x:c r="Q23" s="47"/>
      <x:c r="R23" s="47"/>
      <x:c r="S23" s="47"/>
      <x:c r="T23" s="47"/>
      <x:c r="U23" s="47"/>
      <x:c r="V23" s="47"/>
      <x:c r="W23" s="47"/>
      <x:c r="X23" s="47"/>
      <x:c r="Y23" s="47"/>
      <x:c r="Z23" s="47"/>
    </x:row>
    <x:row r="24">
      <x:c r="C24" s="9" t="str">
        <x:v>MS-HC|A</x:v>
      </x:c>
      <x:c r="D24" s="9" t="str">
        <x:v>MS-HC</x:v>
      </x:c>
      <x:c r="E24" s="38" t="n">
        <x:v>1.3661989043130758</x:v>
      </x:c>
      <x:c r="F24" s="33" t="n">
        <x:f>$G$7</x:f>
        <x:v>0.4</x:v>
      </x:c>
      <x:c r="G24" s="38" t="n">
        <x:f>E24*F24</x:f>
        <x:v>0.5464795617252304</x:v>
      </x:c>
      <x:c r="H24" s="33" t="n">
        <x:f>$G$8</x:f>
        <x:v>0.3</x:v>
      </x:c>
      <x:c r="I24" s="38" t="n">
        <x:f>E24*H24</x:f>
        <x:v>0.4098596712939227</x:v>
      </x:c>
      <x:c r="J24" s="33" t="n">
        <x:f>$G$9</x:f>
        <x:v>0.2</x:v>
      </x:c>
      <x:c r="K24" s="38" t="n">
        <x:f>E24*J24</x:f>
        <x:v>0.2732397808626152</x:v>
      </x:c>
      <x:c r="L24" s="33" t="n">
        <x:f>$G$10</x:f>
        <x:v>0.1</x:v>
      </x:c>
      <x:c r="M24" s="38" t="n">
        <x:f>E24*L24</x:f>
        <x:v>0.1366198904313076</x:v>
      </x:c>
      <x:c r="N24" s="47"/>
      <x:c r="O24" s="47"/>
      <x:c r="P24" s="47"/>
      <x:c r="Q24" s="47"/>
      <x:c r="R24" s="47"/>
      <x:c r="S24" s="47"/>
      <x:c r="T24" s="47"/>
      <x:c r="U24" s="47"/>
      <x:c r="V24" s="47"/>
      <x:c r="W24" s="47"/>
      <x:c r="X24" s="47"/>
      <x:c r="Y24" s="47"/>
      <x:c r="Z24" s="47"/>
    </x:row>
    <x:row r="25">
      <x:c r="C25" s="9" t="str">
        <x:v>MS-HC|B</x:v>
      </x:c>
      <x:c r="D25" s="9" t="str">
        <x:v>MS-HC</x:v>
      </x:c>
      <x:c r="E25" s="38" t="n">
        <x:v>1.3661989043130758</x:v>
      </x:c>
      <x:c r="F25" s="33" t="n">
        <x:f>$G$7</x:f>
        <x:v>0.4</x:v>
      </x:c>
      <x:c r="G25" s="38" t="n">
        <x:f>E25*F25</x:f>
        <x:v>0.5464795617252304</x:v>
      </x:c>
      <x:c r="H25" s="33" t="n">
        <x:f>$G$8</x:f>
        <x:v>0.3</x:v>
      </x:c>
      <x:c r="I25" s="38" t="n">
        <x:f>E25*H25</x:f>
        <x:v>0.4098596712939227</x:v>
      </x:c>
      <x:c r="J25" s="33" t="n">
        <x:f>$G$9</x:f>
        <x:v>0.2</x:v>
      </x:c>
      <x:c r="K25" s="38" t="n">
        <x:f>E25*J25</x:f>
        <x:v>0.2732397808626152</x:v>
      </x:c>
      <x:c r="L25" s="33" t="n">
        <x:f>$G$10</x:f>
        <x:v>0.1</x:v>
      </x:c>
      <x:c r="M25" s="38" t="n">
        <x:f>E25*L25</x:f>
        <x:v>0.1366198904313076</x:v>
      </x:c>
      <x:c r="N25" s="47"/>
      <x:c r="O25" s="47"/>
      <x:c r="P25" s="47"/>
      <x:c r="Q25" s="47"/>
      <x:c r="R25" s="47"/>
      <x:c r="S25" s="47"/>
      <x:c r="T25" s="47"/>
      <x:c r="U25" s="47"/>
      <x:c r="V25" s="47"/>
      <x:c r="W25" s="47"/>
      <x:c r="X25" s="47"/>
      <x:c r="Y25" s="47"/>
      <x:c r="Z25" s="47"/>
    </x:row>
    <x:row r="26">
      <x:c r="C26" s="9" t="str">
        <x:v>MS-HC|C</x:v>
      </x:c>
      <x:c r="D26" s="9" t="str">
        <x:v>MS-HC</x:v>
      </x:c>
      <x:c r="E26" s="38" t="n">
        <x:v>1.2295790138817682</x:v>
      </x:c>
      <x:c r="F26" s="33" t="n">
        <x:f>$G$7</x:f>
        <x:v>0.4</x:v>
      </x:c>
      <x:c r="G26" s="38" t="n">
        <x:f>E26*F26</x:f>
        <x:v>0.4918316055527073</x:v>
      </x:c>
      <x:c r="H26" s="33" t="n">
        <x:f>$G$8</x:f>
        <x:v>0.3</x:v>
      </x:c>
      <x:c r="I26" s="38" t="n">
        <x:f>E26*H26</x:f>
        <x:v>0.3688737041645304</x:v>
      </x:c>
      <x:c r="J26" s="33" t="n">
        <x:f>$G$9</x:f>
        <x:v>0.2</x:v>
      </x:c>
      <x:c r="K26" s="38" t="n">
        <x:f>E26*J26</x:f>
        <x:v>0.24591580277635364</x:v>
      </x:c>
      <x:c r="L26" s="33" t="n">
        <x:f>$G$10</x:f>
        <x:v>0.1</x:v>
      </x:c>
      <x:c r="M26" s="38" t="n">
        <x:f>E26*L26</x:f>
        <x:v>0.12295790138817682</x:v>
      </x:c>
      <x:c r="N26" s="47"/>
      <x:c r="O26" s="47"/>
      <x:c r="P26" s="47"/>
      <x:c r="Q26" s="47"/>
      <x:c r="R26" s="47"/>
      <x:c r="S26" s="47"/>
      <x:c r="T26" s="47"/>
      <x:c r="U26" s="47"/>
      <x:c r="V26" s="47"/>
      <x:c r="W26" s="47"/>
      <x:c r="X26" s="47"/>
      <x:c r="Y26" s="47"/>
      <x:c r="Z26" s="47"/>
    </x:row>
    <x:row r="27">
      <x:c r="C27" s="9" t="str">
        <x:v>MS-HC|D</x:v>
      </x:c>
      <x:c r="D27" s="9" t="str">
        <x:v>MS-HC</x:v>
      </x:c>
      <x:c r="E27" s="38" t="n">
        <x:v>1.2295790138817682</x:v>
      </x:c>
      <x:c r="F27" s="33" t="n">
        <x:f>$G$7</x:f>
        <x:v>0.4</x:v>
      </x:c>
      <x:c r="G27" s="38" t="n">
        <x:f>E27*F27</x:f>
        <x:v>0.4918316055527073</x:v>
      </x:c>
      <x:c r="H27" s="33" t="n">
        <x:f>$G$8</x:f>
        <x:v>0.3</x:v>
      </x:c>
      <x:c r="I27" s="38" t="n">
        <x:f>E27*H27</x:f>
        <x:v>0.3688737041645304</x:v>
      </x:c>
      <x:c r="J27" s="33" t="n">
        <x:f>$G$9</x:f>
        <x:v>0.2</x:v>
      </x:c>
      <x:c r="K27" s="38" t="n">
        <x:f>E27*J27</x:f>
        <x:v>0.24591580277635364</x:v>
      </x:c>
      <x:c r="L27" s="33" t="n">
        <x:f>$G$10</x:f>
        <x:v>0.1</x:v>
      </x:c>
      <x:c r="M27" s="38" t="n">
        <x:f>E27*L27</x:f>
        <x:v>0.12295790138817682</x:v>
      </x:c>
      <x:c r="N27" s="47"/>
      <x:c r="O27" s="47"/>
      <x:c r="P27" s="47"/>
      <x:c r="Q27" s="47"/>
      <x:c r="R27" s="47"/>
      <x:c r="S27" s="47"/>
      <x:c r="T27" s="47"/>
      <x:c r="U27" s="47"/>
      <x:c r="V27" s="47"/>
      <x:c r="W27" s="47"/>
      <x:c r="X27" s="47"/>
      <x:c r="Y27" s="47"/>
      <x:c r="Z27" s="47"/>
    </x:row>
    <x:row r="28">
      <x:c r="C28" s="9" t="str">
        <x:v>MS-HU|A</x:v>
      </x:c>
      <x:c r="D28" s="9" t="str">
        <x:v>MS-HU</x:v>
      </x:c>
      <x:c r="E28" s="38" t="n">
        <x:v>3.4447896335191523</x:v>
      </x:c>
      <x:c r="F28" s="33" t="n">
        <x:f>$G$7</x:f>
        <x:v>0.4</x:v>
      </x:c>
      <x:c r="G28" s="38" t="n">
        <x:f>E28*F28</x:f>
        <x:v>1.377915853407661</x:v>
      </x:c>
      <x:c r="H28" s="33" t="n">
        <x:f>$G$8</x:f>
        <x:v>0.3</x:v>
      </x:c>
      <x:c r="I28" s="38" t="n">
        <x:f>E28*H28</x:f>
        <x:v>1.0334368900557456</x:v>
      </x:c>
      <x:c r="J28" s="33" t="n">
        <x:f>$G$9</x:f>
        <x:v>0.2</x:v>
      </x:c>
      <x:c r="K28" s="38" t="n">
        <x:f>E28*J28</x:f>
        <x:v>0.6889579267038305</x:v>
      </x:c>
      <x:c r="L28" s="33" t="n">
        <x:f>$G$10</x:f>
        <x:v>0.1</x:v>
      </x:c>
      <x:c r="M28" s="38" t="n">
        <x:f>E28*L28</x:f>
        <x:v>0.34447896335191525</x:v>
      </x:c>
      <x:c r="N28" s="47"/>
      <x:c r="O28" s="47"/>
      <x:c r="P28" s="47"/>
      <x:c r="Q28" s="47"/>
      <x:c r="R28" s="47"/>
      <x:c r="S28" s="47"/>
      <x:c r="T28" s="47"/>
      <x:c r="U28" s="47"/>
      <x:c r="V28" s="47"/>
      <x:c r="W28" s="47"/>
      <x:c r="X28" s="47"/>
      <x:c r="Y28" s="47"/>
      <x:c r="Z28" s="47"/>
    </x:row>
    <x:row r="29">
      <x:c r="C29" s="9" t="str">
        <x:v>MS-HU|B</x:v>
      </x:c>
      <x:c r="D29" s="9" t="str">
        <x:v>MS-HU</x:v>
      </x:c>
      <x:c r="E29" s="38" t="n">
        <x:v>3.827544037243503</x:v>
      </x:c>
      <x:c r="F29" s="33" t="n">
        <x:f>$G$7</x:f>
        <x:v>0.4</x:v>
      </x:c>
      <x:c r="G29" s="38" t="n">
        <x:f>E29*F29</x:f>
        <x:v>1.5310176148974013</x:v>
      </x:c>
      <x:c r="H29" s="33" t="n">
        <x:f>$G$8</x:f>
        <x:v>0.3</x:v>
      </x:c>
      <x:c r="I29" s="38" t="n">
        <x:f>E29*H29</x:f>
        <x:v>1.1482632111730509</x:v>
      </x:c>
      <x:c r="J29" s="33" t="n">
        <x:f>$G$9</x:f>
        <x:v>0.2</x:v>
      </x:c>
      <x:c r="K29" s="38" t="n">
        <x:f>E29*J29</x:f>
        <x:v>0.7655088074487006</x:v>
      </x:c>
      <x:c r="L29" s="33" t="n">
        <x:f>$G$10</x:f>
        <x:v>0.1</x:v>
      </x:c>
      <x:c r="M29" s="38" t="n">
        <x:f>E29*L29</x:f>
        <x:v>0.3827544037243503</x:v>
      </x:c>
      <x:c r="N29" s="47"/>
      <x:c r="O29" s="47"/>
      <x:c r="P29" s="47"/>
      <x:c r="Q29" s="47"/>
      <x:c r="R29" s="47"/>
      <x:c r="S29" s="47"/>
      <x:c r="T29" s="47"/>
      <x:c r="U29" s="47"/>
      <x:c r="V29" s="47"/>
      <x:c r="W29" s="47"/>
      <x:c r="X29" s="47"/>
      <x:c r="Y29" s="47"/>
      <x:c r="Z29" s="47"/>
    </x:row>
    <x:row r="30">
      <x:c r="C30" s="9" t="str">
        <x:v>MS-HU|C</x:v>
      </x:c>
      <x:c r="D30" s="9" t="str">
        <x:v>MS-HU</x:v>
      </x:c>
      <x:c r="E30" s="38" t="n">
        <x:v>3.4447896335191523</x:v>
      </x:c>
      <x:c r="F30" s="33" t="n">
        <x:f>$G$7</x:f>
        <x:v>0.4</x:v>
      </x:c>
      <x:c r="G30" s="38" t="n">
        <x:f>E30*F30</x:f>
        <x:v>1.377915853407661</x:v>
      </x:c>
      <x:c r="H30" s="33" t="n">
        <x:f>$G$8</x:f>
        <x:v>0.3</x:v>
      </x:c>
      <x:c r="I30" s="38" t="n">
        <x:f>E30*H30</x:f>
        <x:v>1.0334368900557456</x:v>
      </x:c>
      <x:c r="J30" s="33" t="n">
        <x:f>$G$9</x:f>
        <x:v>0.2</x:v>
      </x:c>
      <x:c r="K30" s="38" t="n">
        <x:f>E30*J30</x:f>
        <x:v>0.6889579267038305</x:v>
      </x:c>
      <x:c r="L30" s="33" t="n">
        <x:f>$G$10</x:f>
        <x:v>0.1</x:v>
      </x:c>
      <x:c r="M30" s="38" t="n">
        <x:f>E30*L30</x:f>
        <x:v>0.34447896335191525</x:v>
      </x:c>
      <x:c r="N30" s="47"/>
      <x:c r="O30" s="47"/>
      <x:c r="P30" s="47"/>
      <x:c r="Q30" s="47"/>
      <x:c r="R30" s="47"/>
      <x:c r="S30" s="47"/>
      <x:c r="T30" s="47"/>
      <x:c r="U30" s="47"/>
      <x:c r="V30" s="47"/>
      <x:c r="W30" s="47"/>
      <x:c r="X30" s="47"/>
      <x:c r="Y30" s="47"/>
      <x:c r="Z30" s="47"/>
    </x:row>
    <x:row r="31">
      <x:c r="C31" s="9" t="str">
        <x:v>MS-HU|D</x:v>
      </x:c>
      <x:c r="D31" s="9" t="str">
        <x:v>MS-HU</x:v>
      </x:c>
      <x:c r="E31" s="38" t="n">
        <x:v>3.4447896335191523</x:v>
      </x:c>
      <x:c r="F31" s="33" t="n">
        <x:f>$G$7</x:f>
        <x:v>0.4</x:v>
      </x:c>
      <x:c r="G31" s="38" t="n">
        <x:f>E31*F31</x:f>
        <x:v>1.377915853407661</x:v>
      </x:c>
      <x:c r="H31" s="33" t="n">
        <x:f>$G$8</x:f>
        <x:v>0.3</x:v>
      </x:c>
      <x:c r="I31" s="38" t="n">
        <x:f>E31*H31</x:f>
        <x:v>1.0334368900557456</x:v>
      </x:c>
      <x:c r="J31" s="33" t="n">
        <x:f>$G$9</x:f>
        <x:v>0.2</x:v>
      </x:c>
      <x:c r="K31" s="38" t="n">
        <x:f>E31*J31</x:f>
        <x:v>0.6889579267038305</x:v>
      </x:c>
      <x:c r="L31" s="33" t="n">
        <x:f>$G$10</x:f>
        <x:v>0.1</x:v>
      </x:c>
      <x:c r="M31" s="38" t="n">
        <x:f>E31*L31</x:f>
        <x:v>0.34447896335191525</x:v>
      </x:c>
      <x:c r="N31" s="47"/>
      <x:c r="O31" s="47"/>
      <x:c r="P31" s="47"/>
      <x:c r="Q31" s="47"/>
      <x:c r="R31" s="47"/>
      <x:c r="S31" s="47"/>
      <x:c r="T31" s="47"/>
      <x:c r="U31" s="47"/>
      <x:c r="V31" s="47"/>
      <x:c r="W31" s="47"/>
      <x:c r="X31" s="47"/>
      <x:c r="Y31" s="47"/>
      <x:c r="Z31" s="47"/>
    </x:row>
    <x:row r="32">
      <x:c r="C32" s="9" t="str">
        <x:v>MS-RT|A</x:v>
      </x:c>
      <x:c r="D32" s="9" t="str">
        <x:v>MS-RT</x:v>
      </x:c>
      <x:c r="E32" s="38" t="n">
        <x:v>1.8997725694853016</x:v>
      </x:c>
      <x:c r="F32" s="33" t="n">
        <x:f>$G$7</x:f>
        <x:v>0.4</x:v>
      </x:c>
      <x:c r="G32" s="38" t="n">
        <x:f>E32*F32</x:f>
        <x:v>0.7599090277941207</x:v>
      </x:c>
      <x:c r="H32" s="33" t="n">
        <x:f>$G$8</x:f>
        <x:v>0.3</x:v>
      </x:c>
      <x:c r="I32" s="38" t="n">
        <x:f>E32*H32</x:f>
        <x:v>0.5699317708455904</x:v>
      </x:c>
      <x:c r="J32" s="33" t="n">
        <x:f>$G$9</x:f>
        <x:v>0.2</x:v>
      </x:c>
      <x:c r="K32" s="38" t="n">
        <x:f>E32*J32</x:f>
        <x:v>0.37995451389706036</x:v>
      </x:c>
      <x:c r="L32" s="33" t="n">
        <x:f>$G$10</x:f>
        <x:v>0.1</x:v>
      </x:c>
      <x:c r="M32" s="38" t="n">
        <x:f>E32*L32</x:f>
        <x:v>0.18997725694853018</x:v>
      </x:c>
      <x:c r="N32" s="47"/>
      <x:c r="O32" s="47"/>
      <x:c r="P32" s="47"/>
      <x:c r="Q32" s="47"/>
      <x:c r="R32" s="47"/>
      <x:c r="S32" s="47"/>
      <x:c r="T32" s="47"/>
      <x:c r="U32" s="47"/>
      <x:c r="V32" s="47"/>
      <x:c r="W32" s="47"/>
      <x:c r="X32" s="47"/>
      <x:c r="Y32" s="47"/>
      <x:c r="Z32" s="47"/>
    </x:row>
    <x:row r="33">
      <x:c r="C33" s="9" t="str">
        <x:v>MS-RT|B</x:v>
      </x:c>
      <x:c r="D33" s="9" t="str">
        <x:v>MS-RT</x:v>
      </x:c>
      <x:c r="E33" s="38" t="n">
        <x:v>1.8997725694853016</x:v>
      </x:c>
      <x:c r="F33" s="33" t="n">
        <x:f>$G$7</x:f>
        <x:v>0.4</x:v>
      </x:c>
      <x:c r="G33" s="38" t="n">
        <x:f>E33*F33</x:f>
        <x:v>0.7599090277941207</x:v>
      </x:c>
      <x:c r="H33" s="33" t="n">
        <x:f>$G$8</x:f>
        <x:v>0.3</x:v>
      </x:c>
      <x:c r="I33" s="38" t="n">
        <x:f>E33*H33</x:f>
        <x:v>0.5699317708455904</x:v>
      </x:c>
      <x:c r="J33" s="33" t="n">
        <x:f>$G$9</x:f>
        <x:v>0.2</x:v>
      </x:c>
      <x:c r="K33" s="38" t="n">
        <x:f>E33*J33</x:f>
        <x:v>0.37995451389706036</x:v>
      </x:c>
      <x:c r="L33" s="33" t="n">
        <x:f>$G$10</x:f>
        <x:v>0.1</x:v>
      </x:c>
      <x:c r="M33" s="38" t="n">
        <x:f>E33*L33</x:f>
        <x:v>0.18997725694853018</x:v>
      </x:c>
      <x:c r="N33" s="47"/>
      <x:c r="O33" s="47"/>
      <x:c r="P33" s="47"/>
      <x:c r="Q33" s="47"/>
      <x:c r="R33" s="47"/>
      <x:c r="S33" s="47"/>
      <x:c r="T33" s="47"/>
      <x:c r="U33" s="47"/>
      <x:c r="V33" s="47"/>
      <x:c r="W33" s="47"/>
      <x:c r="X33" s="47"/>
      <x:c r="Y33" s="47"/>
      <x:c r="Z33" s="47"/>
    </x:row>
    <x:row r="34">
      <x:c r="C34" s="9" t="str">
        <x:v>MS-RT|C</x:v>
      </x:c>
      <x:c r="D34" s="9" t="str">
        <x:v>MS-RT</x:v>
      </x:c>
      <x:c r="E34" s="38" t="n">
        <x:v>1.8997725694853016</x:v>
      </x:c>
      <x:c r="F34" s="33" t="n">
        <x:f>$G$7</x:f>
        <x:v>0.4</x:v>
      </x:c>
      <x:c r="G34" s="38" t="n">
        <x:f>E34*F34</x:f>
        <x:v>0.7599090277941207</x:v>
      </x:c>
      <x:c r="H34" s="33" t="n">
        <x:f>$G$8</x:f>
        <x:v>0.3</x:v>
      </x:c>
      <x:c r="I34" s="38" t="n">
        <x:f>E34*H34</x:f>
        <x:v>0.5699317708455904</x:v>
      </x:c>
      <x:c r="J34" s="33" t="n">
        <x:f>$G$9</x:f>
        <x:v>0.2</x:v>
      </x:c>
      <x:c r="K34" s="38" t="n">
        <x:f>E34*J34</x:f>
        <x:v>0.37995451389706036</x:v>
      </x:c>
      <x:c r="L34" s="33" t="n">
        <x:f>$G$10</x:f>
        <x:v>0.1</x:v>
      </x:c>
      <x:c r="M34" s="38" t="n">
        <x:f>E34*L34</x:f>
        <x:v>0.18997725694853018</x:v>
      </x:c>
      <x:c r="N34" s="47"/>
      <x:c r="O34" s="47"/>
      <x:c r="P34" s="47"/>
      <x:c r="Q34" s="47"/>
      <x:c r="R34" s="47"/>
      <x:c r="S34" s="47"/>
      <x:c r="T34" s="47"/>
      <x:c r="U34" s="47"/>
      <x:c r="V34" s="47"/>
      <x:c r="W34" s="47"/>
      <x:c r="X34" s="47"/>
      <x:c r="Y34" s="47"/>
      <x:c r="Z34" s="47"/>
    </x:row>
    <x:row r="35">
      <x:c r="C35" s="10" t="str">
        <x:v>MS-RT|D</x:v>
      </x:c>
      <x:c r="D35" s="10" t="str">
        <x:v>MS-RT</x:v>
      </x:c>
      <x:c r="E35" s="39" t="n">
        <x:v>1.8997725694853016</x:v>
      </x:c>
      <x:c r="F35" s="44" t="n">
        <x:f>$G$7</x:f>
        <x:v>0.4</x:v>
      </x:c>
      <x:c r="G35" s="39" t="n">
        <x:f>E35*F35</x:f>
        <x:v>0.7599090277941207</x:v>
      </x:c>
      <x:c r="H35" s="44" t="n">
        <x:f>$G$8</x:f>
        <x:v>0.3</x:v>
      </x:c>
      <x:c r="I35" s="39" t="n">
        <x:f>E35*H35</x:f>
        <x:v>0.5699317708455904</x:v>
      </x:c>
      <x:c r="J35" s="44" t="n">
        <x:f>$G$9</x:f>
        <x:v>0.2</x:v>
      </x:c>
      <x:c r="K35" s="39" t="n">
        <x:f>E35*J35</x:f>
        <x:v>0.37995451389706036</x:v>
      </x:c>
      <x:c r="L35" s="44" t="n">
        <x:f>$G$10</x:f>
        <x:v>0.1</x:v>
      </x:c>
      <x:c r="M35" s="39" t="n">
        <x:f>E35*L35</x:f>
        <x:v>0.18997725694853018</x:v>
      </x:c>
      <x:c r="N35" s="47"/>
      <x:c r="O35" s="47"/>
      <x:c r="P35" s="47"/>
      <x:c r="Q35" s="47"/>
      <x:c r="R35" s="47"/>
      <x:c r="S35" s="47"/>
      <x:c r="T35" s="47"/>
      <x:c r="U35" s="47"/>
      <x:c r="V35" s="47"/>
      <x:c r="W35" s="47"/>
      <x:c r="X35" s="47"/>
      <x:c r="Y35" s="47"/>
      <x:c r="Z35" s="47"/>
    </x:row>
    <x:row r="36">
      <x:c r="C36" s="9"/>
      <x:c r="D36" s="9"/>
      <x:c r="E36" s="9"/>
      <x:c r="F36" s="9"/>
      <x:c r="G36" s="9"/>
      <x:c r="H36" s="9"/>
      <x:c r="I36" s="9"/>
      <x:c r="J36" s="9"/>
      <x:c r="K36" s="9"/>
      <x:c r="L36" s="9"/>
      <x:c r="M36" s="9"/>
      <x:c r="N36" s="47"/>
      <x:c r="O36" s="47"/>
      <x:c r="P36" s="47"/>
      <x:c r="Q36" s="47"/>
      <x:c r="R36" s="47"/>
      <x:c r="S36" s="47"/>
      <x:c r="T36" s="47"/>
      <x:c r="U36" s="47"/>
      <x:c r="V36" s="47"/>
      <x:c r="W36" s="47"/>
      <x:c r="X36" s="47"/>
      <x:c r="Y36" s="47"/>
      <x:c r="Z36" s="47"/>
    </x:row>
    <x:row r="37">
      <x:c r="C37" s="52" t="str">
        <x:v>Total</x:v>
      </x:c>
      <x:c r="D37" s="52"/>
      <x:c r="E37" s="54" t="n">
        <x:f>SUM(E16:E35)</x:f>
        <x:v>43.007096331638444</x:v>
      </x:c>
      <x:c r="F37" s="52"/>
      <x:c r="G37" s="54" t="n">
        <x:f>SUM(G16:G35)</x:f>
        <x:v>17.20283853265538</x:v>
      </x:c>
      <x:c r="H37" s="52"/>
      <x:c r="I37" s="54" t="n">
        <x:f>SUM(I16:I35)</x:f>
        <x:v>12.902128899491533</x:v>
      </x:c>
      <x:c r="J37" s="52"/>
      <x:c r="K37" s="54" t="n">
        <x:f>SUM(K16:K35)</x:f>
        <x:v>8.60141926632769</x:v>
      </x:c>
      <x:c r="L37" s="52"/>
      <x:c r="M37" s="54" t="n">
        <x:f>SUM(M16:M35)</x:f>
        <x:v>4.300709633163845</x:v>
      </x:c>
      <x:c r="N37" s="47"/>
      <x:c r="O37" s="47"/>
      <x:c r="P37" s="47"/>
      <x:c r="Q37" s="47"/>
      <x:c r="R37" s="47"/>
      <x:c r="S37" s="47"/>
      <x:c r="T37" s="47"/>
      <x:c r="U37" s="47"/>
      <x:c r="V37" s="47"/>
      <x:c r="W37" s="47"/>
      <x:c r="X37" s="47"/>
      <x:c r="Y37" s="47"/>
      <x:c r="Z37" s="47"/>
    </x:row>
    <x:row r="38">
      <x:c r="C38" s="9"/>
      <x:c r="D38" s="9"/>
      <x:c r="E38" s="9"/>
      <x:c r="F38" s="9"/>
      <x:c r="G38" s="9"/>
      <x:c r="H38" s="9"/>
      <x:c r="I38" s="9"/>
      <x:c r="J38" s="9"/>
      <x:c r="K38" s="9"/>
      <x:c r="L38" s="9"/>
      <x:c r="M38" s="9"/>
      <x:c r="N38" s="47"/>
      <x:c r="O38" s="47"/>
      <x:c r="P38" s="47"/>
      <x:c r="Q38" s="47"/>
      <x:c r="R38" s="47"/>
      <x:c r="S38" s="47"/>
      <x:c r="T38" s="47"/>
      <x:c r="U38" s="47"/>
      <x:c r="V38" s="47"/>
      <x:c r="W38" s="47"/>
      <x:c r="X38" s="47"/>
      <x:c r="Y38" s="47"/>
      <x:c r="Z38" s="47"/>
    </x:row>
    <x:row r="39">
      <x:c r="C39" s="9"/>
      <x:c r="D39" s="9"/>
      <x:c r="E39" s="9"/>
      <x:c r="F39" s="9"/>
      <x:c r="G39" s="9"/>
      <x:c r="H39" s="9"/>
      <x:c r="I39" s="9"/>
      <x:c r="J39" s="9"/>
      <x:c r="K39" s="9"/>
      <x:c r="L39" s="9"/>
      <x:c r="M39" s="9"/>
      <x:c r="N39" s="47"/>
      <x:c r="O39" s="47"/>
      <x:c r="P39" s="47"/>
      <x:c r="Q39" s="47"/>
      <x:c r="R39" s="47"/>
      <x:c r="S39" s="47"/>
      <x:c r="T39" s="47"/>
      <x:c r="U39" s="47"/>
      <x:c r="V39" s="47"/>
      <x:c r="W39" s="47"/>
      <x:c r="X39" s="47"/>
      <x:c r="Y39" s="47"/>
      <x:c r="Z39" s="47"/>
    </x:row>
    <x:row r="40">
      <x:c r="C40" s="9"/>
      <x:c r="D40" s="9"/>
      <x:c r="E40" s="9"/>
      <x:c r="F40" s="9"/>
      <x:c r="G40" s="9"/>
      <x:c r="H40" s="9"/>
      <x:c r="I40" s="9"/>
      <x:c r="J40" s="9"/>
      <x:c r="K40" s="9"/>
      <x:c r="L40" s="9"/>
      <x:c r="M40" s="9"/>
      <x:c r="N40" s="47"/>
      <x:c r="O40" s="47"/>
      <x:c r="P40" s="47"/>
      <x:c r="Q40" s="47"/>
      <x:c r="R40" s="47"/>
      <x:c r="S40" s="47"/>
      <x:c r="T40" s="47"/>
      <x:c r="U40" s="47"/>
      <x:c r="V40" s="47"/>
      <x:c r="W40" s="47"/>
      <x:c r="X40" s="47"/>
      <x:c r="Y40" s="47"/>
      <x:c r="Z40" s="47"/>
    </x:row>
    <x:row r="41">
      <x:c r="C41" s="9"/>
      <x:c r="D41" s="9"/>
      <x:c r="E41" s="9"/>
      <x:c r="F41" s="9"/>
      <x:c r="G41" s="9"/>
      <x:c r="H41" s="9"/>
      <x:c r="I41" s="9"/>
      <x:c r="J41" s="9"/>
      <x:c r="K41" s="9"/>
      <x:c r="L41" s="9"/>
      <x:c r="M41" s="9"/>
      <x:c r="N41" s="47"/>
      <x:c r="O41" s="47"/>
      <x:c r="P41" s="47"/>
      <x:c r="Q41" s="47"/>
      <x:c r="R41" s="47"/>
      <x:c r="S41" s="47"/>
      <x:c r="T41" s="47"/>
      <x:c r="U41" s="47"/>
      <x:c r="V41" s="47"/>
      <x:c r="W41" s="47"/>
      <x:c r="X41" s="47"/>
      <x:c r="Y41" s="47"/>
      <x:c r="Z41" s="47"/>
    </x:row>
    <x:row r="42">
      <x:c r="C42" s="9"/>
      <x:c r="D42" s="9"/>
      <x:c r="E42" s="9"/>
      <x:c r="F42" s="9"/>
      <x:c r="G42" s="9"/>
      <x:c r="H42" s="9"/>
      <x:c r="I42" s="9"/>
      <x:c r="J42" s="9"/>
      <x:c r="K42" s="9"/>
      <x:c r="L42" s="9"/>
      <x:c r="M42" s="9"/>
      <x:c r="N42" s="47"/>
      <x:c r="O42" s="47"/>
      <x:c r="P42" s="47"/>
      <x:c r="Q42" s="47"/>
      <x:c r="R42" s="47"/>
      <x:c r="S42" s="47"/>
      <x:c r="T42" s="47"/>
      <x:c r="U42" s="47"/>
      <x:c r="V42" s="47"/>
      <x:c r="W42" s="47"/>
      <x:c r="X42" s="47"/>
      <x:c r="Y42" s="47"/>
      <x:c r="Z42" s="47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3" max="3" width="20" hidden="0" customWidth="1"/>
    <x:col min="4" max="4" width="15" hidden="0" customWidth="1"/>
    <x:col min="5" max="5" width="13" hidden="0" customWidth="1"/>
    <x:col min="6" max="6" width="10" hidden="0" customWidth="1"/>
    <x:col min="7" max="7" width="13" hidden="0" customWidth="1"/>
    <x:col min="8" max="8" width="16" hidden="0" customWidth="1"/>
    <x:col min="9" max="9" width="48" hidden="0" customWidth="1"/>
    <x:col min="10" max="10" width="14" hidden="0" customWidth="1"/>
    <x:col min="11" max="11" width="18" hidden="0" customWidth="1"/>
    <x:col min="12" max="12" width="17" hidden="0" customWidth="1"/>
  </x:cols>
  <x:sheetData>
    <x:row r="1"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47"/>
      <x:c r="N1" s="47"/>
      <x:c r="O1" s="47"/>
      <x:c r="P1" s="47"/>
      <x:c r="Q1" s="47"/>
      <x:c r="R1" s="47"/>
      <x:c r="S1" s="47"/>
      <x:c r="T1" s="47"/>
      <x:c r="U1" s="47"/>
      <x:c r="V1" s="47"/>
      <x:c r="W1" s="47"/>
      <x:c r="X1" s="47"/>
      <x:c r="Y1" s="47"/>
      <x:c r="Z1" s="47"/>
    </x:row>
    <x:row r="2">
      <x:c r="C2" s="48" t="str">
        <x:v>Sixty stage-release gates</x:v>
      </x:c>
      <x:c r="D2" s="9"/>
      <x:c r="E2" s="9"/>
      <x:c r="F2" s="9"/>
      <x:c r="G2" s="9"/>
      <x:c r="H2" s="9"/>
      <x:c r="I2" s="9"/>
      <x:c r="J2" s="9"/>
      <x:c r="K2" s="9"/>
      <x:c r="L2" s="9"/>
      <x:c r="M2" s="47"/>
      <x:c r="N2" s="47"/>
      <x:c r="O2" s="47"/>
      <x:c r="P2" s="47"/>
      <x:c r="Q2" s="47"/>
      <x:c r="R2" s="47"/>
      <x:c r="S2" s="47"/>
      <x:c r="T2" s="47"/>
      <x:c r="U2" s="47"/>
      <x:c r="V2" s="47"/>
      <x:c r="W2" s="47"/>
      <x:c r="X2" s="47"/>
      <x:c r="Y2" s="47"/>
      <x:c r="Z2" s="47"/>
    </x:row>
    <x:row r="3">
      <x:c r="C3" s="49" t="str">
        <x:v>No institutional acceptance means no release. A favorable root outcome cannot alter the reservation.</x:v>
      </x:c>
      <x:c r="D3" s="9"/>
      <x:c r="E3" s="9"/>
      <x:c r="F3" s="9"/>
      <x:c r="G3" s="9"/>
      <x:c r="H3" s="9"/>
      <x:c r="I3" s="9"/>
      <x:c r="J3" s="9"/>
      <x:c r="K3" s="9"/>
      <x:c r="L3" s="9"/>
      <x:c r="M3" s="47"/>
      <x:c r="N3" s="47"/>
      <x:c r="O3" s="47"/>
      <x:c r="P3" s="47"/>
      <x:c r="Q3" s="47"/>
      <x:c r="R3" s="47"/>
      <x:c r="S3" s="47"/>
      <x:c r="T3" s="47"/>
      <x:c r="U3" s="47"/>
      <x:c r="V3" s="47"/>
      <x:c r="W3" s="47"/>
      <x:c r="X3" s="47"/>
      <x:c r="Y3" s="47"/>
      <x:c r="Z3" s="47"/>
    </x:row>
    <x:row r="4">
      <x:c r="C4" s="50"/>
      <x:c r="D4" s="50"/>
      <x:c r="E4" s="50"/>
      <x:c r="F4" s="50"/>
      <x:c r="G4" s="50"/>
      <x:c r="H4" s="50"/>
      <x:c r="I4" s="50"/>
      <x:c r="J4" s="50"/>
      <x:c r="K4" s="50"/>
      <x:c r="L4" s="50"/>
      <x:c r="M4" s="51"/>
      <x:c r="N4" s="51"/>
      <x:c r="O4" s="51"/>
      <x:c r="P4" s="51"/>
      <x:c r="Q4" s="51"/>
      <x:c r="R4" s="51"/>
      <x:c r="S4" s="51"/>
      <x:c r="T4" s="51"/>
      <x:c r="U4" s="51"/>
      <x:c r="V4" s="51"/>
      <x:c r="W4" s="51"/>
      <x:c r="X4" s="51"/>
      <x:c r="Y4" s="51"/>
      <x:c r="Z4" s="51"/>
    </x:row>
    <x:row r="5">
      <x:c r="C5" s="9"/>
      <x:c r="D5" s="9"/>
      <x:c r="E5" s="9"/>
      <x:c r="F5" s="9"/>
      <x:c r="G5" s="9"/>
      <x:c r="H5" s="9"/>
      <x:c r="I5" s="9"/>
      <x:c r="J5" s="9"/>
      <x:c r="K5" s="9"/>
      <x:c r="L5" s="9"/>
      <x:c r="M5" s="47"/>
      <x:c r="N5" s="47"/>
      <x:c r="O5" s="47"/>
      <x:c r="P5" s="47"/>
      <x:c r="Q5" s="47"/>
      <x:c r="R5" s="47"/>
      <x:c r="S5" s="47"/>
      <x:c r="T5" s="47"/>
      <x:c r="U5" s="47"/>
      <x:c r="V5" s="47"/>
      <x:c r="W5" s="47"/>
      <x:c r="X5" s="47"/>
      <x:c r="Y5" s="47"/>
      <x:c r="Z5" s="47"/>
    </x:row>
    <x:row r="6" ht="28" customHeight="1">
      <x:c r="C6" s="26" t="str">
        <x:v>Gate</x:v>
      </x:c>
      <x:c r="D6" s="32" t="str">
        <x:v>Root</x:v>
      </x:c>
      <x:c r="E6" s="32" t="str">
        <x:v>System</x:v>
      </x:c>
      <x:c r="F6" s="32" t="str">
        <x:v>Stage</x:v>
      </x:c>
      <x:c r="G6" s="32" t="str">
        <x:v>Stage share</x:v>
      </x:c>
      <x:c r="H6" s="32" t="str">
        <x:v>Cap USD B</x:v>
      </x:c>
      <x:c r="I6" s="32" t="str">
        <x:v>Release condition</x:v>
      </x:c>
      <x:c r="J6" s="32" t="str">
        <x:v>Accepted</x:v>
      </x:c>
      <x:c r="K6" s="32" t="str">
        <x:v>Institution ready</x:v>
      </x:c>
      <x:c r="L6" s="27" t="str">
        <x:v>Released USD B</x:v>
      </x:c>
      <x:c r="M6" s="47"/>
      <x:c r="N6" s="47"/>
      <x:c r="O6" s="47"/>
      <x:c r="P6" s="47"/>
      <x:c r="Q6" s="47"/>
      <x:c r="R6" s="47"/>
      <x:c r="S6" s="47"/>
      <x:c r="T6" s="47"/>
      <x:c r="U6" s="47"/>
      <x:c r="V6" s="47"/>
      <x:c r="W6" s="47"/>
      <x:c r="X6" s="47"/>
      <x:c r="Y6" s="47"/>
      <x:c r="Z6" s="47"/>
    </x:row>
    <x:row r="7" ht="30" customHeight="1">
      <x:c r="C7" s="9" t="str">
        <x:v>SG-ET-A-M0</x:v>
      </x:c>
      <x:c r="D7" s="9" t="str">
        <x:v>MS-ET|A</x:v>
      </x:c>
      <x:c r="E7" s="9" t="str">
        <x:v>MS-ET</x:v>
      </x:c>
      <x:c r="F7" s="9" t="str">
        <x:v>M0</x:v>
      </x:c>
      <x:c r="G7" s="33" t="n">
        <x:v>0.25</x:v>
      </x:c>
      <x:c r="H7" s="38" t="n">
        <x:v>0.5563962255005278</x:v>
      </x:c>
      <x:c r="I7" s="13" t="str">
        <x:v>Warrants, method, calibration and station plan accepted</x:v>
      </x:c>
      <x:c r="J7" s="42" t="n">
        <x:v>0</x:v>
      </x:c>
      <x:c r="K7" s="9" t="n">
        <x:f>IF(COUNTIFS('Lane Assignments'!$D$7:$D$66,D7,'Lane Assignments'!$M$7:$M$66,"MOBILIZED")=3,1,0)</x:f>
        <x:v>0</x:v>
      </x:c>
      <x:c r="L7" s="38" t="n">
        <x:f>IF(AND(J7=1,K7=1),H7,0)</x:f>
        <x:v>0</x:v>
      </x:c>
      <x:c r="M7" s="47"/>
      <x:c r="N7" s="47"/>
      <x:c r="O7" s="47"/>
      <x:c r="P7" s="47"/>
      <x:c r="Q7" s="47"/>
      <x:c r="R7" s="47"/>
      <x:c r="S7" s="47"/>
      <x:c r="T7" s="47"/>
      <x:c r="U7" s="47"/>
      <x:c r="V7" s="47"/>
      <x:c r="W7" s="47"/>
      <x:c r="X7" s="47"/>
      <x:c r="Y7" s="47"/>
      <x:c r="Z7" s="47"/>
    </x:row>
    <x:row r="8" ht="30" customHeight="1">
      <x:c r="C8" s="9" t="str">
        <x:v>SG-ET-A-M1</x:v>
      </x:c>
      <x:c r="D8" s="9" t="str">
        <x:v>MS-ET|A</x:v>
      </x:c>
      <x:c r="E8" s="9" t="str">
        <x:v>MS-ET</x:v>
      </x:c>
      <x:c r="F8" s="9" t="str">
        <x:v>M1</x:v>
      </x:c>
      <x:c r="G8" s="33" t="n">
        <x:v>0.5</x:v>
      </x:c>
      <x:c r="H8" s="38" t="n">
        <x:v>1.1127924510010556</x:v>
      </x:c>
      <x:c r="I8" s="13" t="str">
        <x:v>Three assigned lanes mobilized and paired challenge/control accepted</x:v>
      </x:c>
      <x:c r="J8" s="42" t="n">
        <x:v>0</x:v>
      </x:c>
      <x:c r="K8" s="9" t="n">
        <x:f>IF(COUNTIFS('Lane Assignments'!$D$7:$D$66,D8,'Lane Assignments'!$M$7:$M$66,"MOBILIZED")=3,1,0)</x:f>
        <x:v>0</x:v>
      </x:c>
      <x:c r="L8" s="38" t="n">
        <x:f>IF(AND(J8=1,K8=1),H8,0)</x:f>
        <x:v>0</x:v>
      </x:c>
      <x:c r="M8" s="47"/>
      <x:c r="N8" s="47"/>
      <x:c r="O8" s="47"/>
      <x:c r="P8" s="47"/>
      <x:c r="Q8" s="47"/>
      <x:c r="R8" s="47"/>
      <x:c r="S8" s="47"/>
      <x:c r="T8" s="47"/>
      <x:c r="U8" s="47"/>
      <x:c r="V8" s="47"/>
      <x:c r="W8" s="47"/>
      <x:c r="X8" s="47"/>
      <x:c r="Y8" s="47"/>
      <x:c r="Z8" s="47"/>
    </x:row>
    <x:row r="9" ht="30" customHeight="1">
      <x:c r="C9" s="9" t="str">
        <x:v>SG-ET-A-M2</x:v>
      </x:c>
      <x:c r="D9" s="9" t="str">
        <x:v>MS-ET|A</x:v>
      </x:c>
      <x:c r="E9" s="9" t="str">
        <x:v>MS-ET</x:v>
      </x:c>
      <x:c r="F9" s="9" t="str">
        <x:v>M2</x:v>
      </x:c>
      <x:c r="G9" s="33" t="n">
        <x:v>0.25</x:v>
      </x:c>
      <x:c r="H9" s="38" t="n">
        <x:v>0.5563962255005278</x:v>
      </x:c>
      <x:c r="I9" s="13" t="str">
        <x:v>Cold reconstruction, public custody and root disposition packet accepted</x:v>
      </x:c>
      <x:c r="J9" s="42" t="n">
        <x:v>0</x:v>
      </x:c>
      <x:c r="K9" s="9" t="n">
        <x:f>IF(COUNTIFS('Lane Assignments'!$D$7:$D$66,D9,'Lane Assignments'!$M$7:$M$66,"MOBILIZED")=3,1,0)</x:f>
        <x:v>0</x:v>
      </x:c>
      <x:c r="L9" s="38" t="n">
        <x:f>IF(AND(J9=1,K9=1),H9,0)</x:f>
        <x:v>0</x:v>
      </x:c>
      <x:c r="M9" s="47"/>
      <x:c r="N9" s="47"/>
      <x:c r="O9" s="47"/>
      <x:c r="P9" s="47"/>
      <x:c r="Q9" s="47"/>
      <x:c r="R9" s="47"/>
      <x:c r="S9" s="47"/>
      <x:c r="T9" s="47"/>
      <x:c r="U9" s="47"/>
      <x:c r="V9" s="47"/>
      <x:c r="W9" s="47"/>
      <x:c r="X9" s="47"/>
      <x:c r="Y9" s="47"/>
      <x:c r="Z9" s="47"/>
    </x:row>
    <x:row r="10" ht="30" customHeight="1">
      <x:c r="C10" s="9" t="str">
        <x:v>SG-ET-B-M0</x:v>
      </x:c>
      <x:c r="D10" s="9" t="str">
        <x:v>MS-ET|B</x:v>
      </x:c>
      <x:c r="E10" s="9" t="str">
        <x:v>MS-ET</x:v>
      </x:c>
      <x:c r="F10" s="9" t="str">
        <x:v>M0</x:v>
      </x:c>
      <x:c r="G10" s="33" t="n">
        <x:v>0.25</x:v>
      </x:c>
      <x:c r="H10" s="38" t="n">
        <x:v>0.5563962255005278</x:v>
      </x:c>
      <x:c r="I10" s="13" t="str">
        <x:v>Warrants, method, calibration and station plan accepted</x:v>
      </x:c>
      <x:c r="J10" s="42" t="n">
        <x:v>0</x:v>
      </x:c>
      <x:c r="K10" s="9" t="n">
        <x:f>IF(COUNTIFS('Lane Assignments'!$D$7:$D$66,D10,'Lane Assignments'!$M$7:$M$66,"MOBILIZED")=3,1,0)</x:f>
        <x:v>0</x:v>
      </x:c>
      <x:c r="L10" s="38" t="n">
        <x:f>IF(AND(J10=1,K10=1),H10,0)</x:f>
        <x:v>0</x:v>
      </x:c>
      <x:c r="M10" s="47"/>
      <x:c r="N10" s="47"/>
      <x:c r="O10" s="47"/>
      <x:c r="P10" s="47"/>
      <x:c r="Q10" s="47"/>
      <x:c r="R10" s="47"/>
      <x:c r="S10" s="47"/>
      <x:c r="T10" s="47"/>
      <x:c r="U10" s="47"/>
      <x:c r="V10" s="47"/>
      <x:c r="W10" s="47"/>
      <x:c r="X10" s="47"/>
      <x:c r="Y10" s="47"/>
      <x:c r="Z10" s="47"/>
    </x:row>
    <x:row r="11" ht="30" customHeight="1">
      <x:c r="C11" s="9" t="str">
        <x:v>SG-ET-B-M1</x:v>
      </x:c>
      <x:c r="D11" s="9" t="str">
        <x:v>MS-ET|B</x:v>
      </x:c>
      <x:c r="E11" s="9" t="str">
        <x:v>MS-ET</x:v>
      </x:c>
      <x:c r="F11" s="9" t="str">
        <x:v>M1</x:v>
      </x:c>
      <x:c r="G11" s="33" t="n">
        <x:v>0.5</x:v>
      </x:c>
      <x:c r="H11" s="38" t="n">
        <x:v>1.1127924510010556</x:v>
      </x:c>
      <x:c r="I11" s="13" t="str">
        <x:v>Three assigned lanes mobilized and paired challenge/control accepted</x:v>
      </x:c>
      <x:c r="J11" s="42" t="n">
        <x:v>0</x:v>
      </x:c>
      <x:c r="K11" s="9" t="n">
        <x:f>IF(COUNTIFS('Lane Assignments'!$D$7:$D$66,D11,'Lane Assignments'!$M$7:$M$66,"MOBILIZED")=3,1,0)</x:f>
        <x:v>0</x:v>
      </x:c>
      <x:c r="L11" s="38" t="n">
        <x:f>IF(AND(J11=1,K11=1),H11,0)</x:f>
        <x:v>0</x:v>
      </x:c>
      <x:c r="M11" s="47"/>
      <x:c r="N11" s="47"/>
      <x:c r="O11" s="47"/>
      <x:c r="P11" s="47"/>
      <x:c r="Q11" s="47"/>
      <x:c r="R11" s="47"/>
      <x:c r="S11" s="47"/>
      <x:c r="T11" s="47"/>
      <x:c r="U11" s="47"/>
      <x:c r="V11" s="47"/>
      <x:c r="W11" s="47"/>
      <x:c r="X11" s="47"/>
      <x:c r="Y11" s="47"/>
      <x:c r="Z11" s="47"/>
    </x:row>
    <x:row r="12" ht="30" customHeight="1">
      <x:c r="C12" s="9" t="str">
        <x:v>SG-ET-B-M2</x:v>
      </x:c>
      <x:c r="D12" s="9" t="str">
        <x:v>MS-ET|B</x:v>
      </x:c>
      <x:c r="E12" s="9" t="str">
        <x:v>MS-ET</x:v>
      </x:c>
      <x:c r="F12" s="9" t="str">
        <x:v>M2</x:v>
      </x:c>
      <x:c r="G12" s="33" t="n">
        <x:v>0.25</x:v>
      </x:c>
      <x:c r="H12" s="38" t="n">
        <x:v>0.5563962255005278</x:v>
      </x:c>
      <x:c r="I12" s="13" t="str">
        <x:v>Cold reconstruction, public custody and root disposition packet accepted</x:v>
      </x:c>
      <x:c r="J12" s="42" t="n">
        <x:v>0</x:v>
      </x:c>
      <x:c r="K12" s="9" t="n">
        <x:f>IF(COUNTIFS('Lane Assignments'!$D$7:$D$66,D12,'Lane Assignments'!$M$7:$M$66,"MOBILIZED")=3,1,0)</x:f>
        <x:v>0</x:v>
      </x:c>
      <x:c r="L12" s="38" t="n">
        <x:f>IF(AND(J12=1,K12=1),H12,0)</x:f>
        <x:v>0</x:v>
      </x:c>
      <x:c r="M12" s="47"/>
      <x:c r="N12" s="47"/>
      <x:c r="O12" s="47"/>
      <x:c r="P12" s="47"/>
      <x:c r="Q12" s="47"/>
      <x:c r="R12" s="47"/>
      <x:c r="S12" s="47"/>
      <x:c r="T12" s="47"/>
      <x:c r="U12" s="47"/>
      <x:c r="V12" s="47"/>
      <x:c r="W12" s="47"/>
      <x:c r="X12" s="47"/>
      <x:c r="Y12" s="47"/>
      <x:c r="Z12" s="47"/>
    </x:row>
    <x:row r="13" ht="30" customHeight="1">
      <x:c r="C13" s="9" t="str">
        <x:v>SG-ET-C-M0</x:v>
      </x:c>
      <x:c r="D13" s="9" t="str">
        <x:v>MS-ET|C</x:v>
      </x:c>
      <x:c r="E13" s="9" t="str">
        <x:v>MS-ET</x:v>
      </x:c>
      <x:c r="F13" s="9" t="str">
        <x:v>M0</x:v>
      </x:c>
      <x:c r="G13" s="33" t="n">
        <x:v>0.25</x:v>
      </x:c>
      <x:c r="H13" s="38" t="n">
        <x:v>0.500756602950475</x:v>
      </x:c>
      <x:c r="I13" s="13" t="str">
        <x:v>Warrants, method, calibration and station plan accepted</x:v>
      </x:c>
      <x:c r="J13" s="42" t="n">
        <x:v>0</x:v>
      </x:c>
      <x:c r="K13" s="9" t="n">
        <x:f>IF(COUNTIFS('Lane Assignments'!$D$7:$D$66,D13,'Lane Assignments'!$M$7:$M$66,"MOBILIZED")=3,1,0)</x:f>
        <x:v>0</x:v>
      </x:c>
      <x:c r="L13" s="38" t="n">
        <x:f>IF(AND(J13=1,K13=1),H13,0)</x:f>
        <x:v>0</x:v>
      </x:c>
      <x:c r="M13" s="47"/>
      <x:c r="N13" s="47"/>
      <x:c r="O13" s="47"/>
      <x:c r="P13" s="47"/>
      <x:c r="Q13" s="47"/>
      <x:c r="R13" s="47"/>
      <x:c r="S13" s="47"/>
      <x:c r="T13" s="47"/>
      <x:c r="U13" s="47"/>
      <x:c r="V13" s="47"/>
      <x:c r="W13" s="47"/>
      <x:c r="X13" s="47"/>
      <x:c r="Y13" s="47"/>
      <x:c r="Z13" s="47"/>
    </x:row>
    <x:row r="14" ht="30" customHeight="1">
      <x:c r="C14" s="9" t="str">
        <x:v>SG-ET-C-M1</x:v>
      </x:c>
      <x:c r="D14" s="9" t="str">
        <x:v>MS-ET|C</x:v>
      </x:c>
      <x:c r="E14" s="9" t="str">
        <x:v>MS-ET</x:v>
      </x:c>
      <x:c r="F14" s="9" t="str">
        <x:v>M1</x:v>
      </x:c>
      <x:c r="G14" s="33" t="n">
        <x:v>0.5</x:v>
      </x:c>
      <x:c r="H14" s="38" t="n">
        <x:v>1.00151320590095</x:v>
      </x:c>
      <x:c r="I14" s="13" t="str">
        <x:v>Three assigned lanes mobilized and paired challenge/control accepted</x:v>
      </x:c>
      <x:c r="J14" s="42" t="n">
        <x:v>0</x:v>
      </x:c>
      <x:c r="K14" s="9" t="n">
        <x:f>IF(COUNTIFS('Lane Assignments'!$D$7:$D$66,D14,'Lane Assignments'!$M$7:$M$66,"MOBILIZED")=3,1,0)</x:f>
        <x:v>0</x:v>
      </x:c>
      <x:c r="L14" s="38" t="n">
        <x:f>IF(AND(J14=1,K14=1),H14,0)</x:f>
        <x:v>0</x:v>
      </x:c>
      <x:c r="M14" s="47"/>
      <x:c r="N14" s="47"/>
      <x:c r="O14" s="47"/>
      <x:c r="P14" s="47"/>
      <x:c r="Q14" s="47"/>
      <x:c r="R14" s="47"/>
      <x:c r="S14" s="47"/>
      <x:c r="T14" s="47"/>
      <x:c r="U14" s="47"/>
      <x:c r="V14" s="47"/>
      <x:c r="W14" s="47"/>
      <x:c r="X14" s="47"/>
      <x:c r="Y14" s="47"/>
      <x:c r="Z14" s="47"/>
    </x:row>
    <x:row r="15" ht="30" customHeight="1">
      <x:c r="C15" s="9" t="str">
        <x:v>SG-ET-C-M2</x:v>
      </x:c>
      <x:c r="D15" s="9" t="str">
        <x:v>MS-ET|C</x:v>
      </x:c>
      <x:c r="E15" s="9" t="str">
        <x:v>MS-ET</x:v>
      </x:c>
      <x:c r="F15" s="9" t="str">
        <x:v>M2</x:v>
      </x:c>
      <x:c r="G15" s="33" t="n">
        <x:v>0.25</x:v>
      </x:c>
      <x:c r="H15" s="38" t="n">
        <x:v>0.500756602950475</x:v>
      </x:c>
      <x:c r="I15" s="13" t="str">
        <x:v>Cold reconstruction, public custody and root disposition packet accepted</x:v>
      </x:c>
      <x:c r="J15" s="42" t="n">
        <x:v>0</x:v>
      </x:c>
      <x:c r="K15" s="9" t="n">
        <x:f>IF(COUNTIFS('Lane Assignments'!$D$7:$D$66,D15,'Lane Assignments'!$M$7:$M$66,"MOBILIZED")=3,1,0)</x:f>
        <x:v>0</x:v>
      </x:c>
      <x:c r="L15" s="38" t="n">
        <x:f>IF(AND(J15=1,K15=1),H15,0)</x:f>
        <x:v>0</x:v>
      </x:c>
      <x:c r="M15" s="47"/>
      <x:c r="N15" s="47"/>
      <x:c r="O15" s="47"/>
      <x:c r="P15" s="47"/>
      <x:c r="Q15" s="47"/>
      <x:c r="R15" s="47"/>
      <x:c r="S15" s="47"/>
      <x:c r="T15" s="47"/>
      <x:c r="U15" s="47"/>
      <x:c r="V15" s="47"/>
      <x:c r="W15" s="47"/>
      <x:c r="X15" s="47"/>
      <x:c r="Y15" s="47"/>
      <x:c r="Z15" s="47"/>
    </x:row>
    <x:row r="16" ht="30" customHeight="1">
      <x:c r="C16" s="9" t="str">
        <x:v>SG-ET-D-M0</x:v>
      </x:c>
      <x:c r="D16" s="9" t="str">
        <x:v>MS-ET|D</x:v>
      </x:c>
      <x:c r="E16" s="9" t="str">
        <x:v>MS-ET</x:v>
      </x:c>
      <x:c r="F16" s="9" t="str">
        <x:v>M0</x:v>
      </x:c>
      <x:c r="G16" s="33" t="n">
        <x:v>0.25</x:v>
      </x:c>
      <x:c r="H16" s="38" t="n">
        <x:v>0.36165754657534305</x:v>
      </x:c>
      <x:c r="I16" s="13" t="str">
        <x:v>Warrants, method, calibration and station plan accepted</x:v>
      </x:c>
      <x:c r="J16" s="42" t="n">
        <x:v>0</x:v>
      </x:c>
      <x:c r="K16" s="9" t="n">
        <x:f>IF(COUNTIFS('Lane Assignments'!$D$7:$D$66,D16,'Lane Assignments'!$M$7:$M$66,"MOBILIZED")=3,1,0)</x:f>
        <x:v>0</x:v>
      </x:c>
      <x:c r="L16" s="38" t="n">
        <x:f>IF(AND(J16=1,K16=1),H16,0)</x:f>
        <x:v>0</x:v>
      </x:c>
      <x:c r="M16" s="47"/>
      <x:c r="N16" s="47"/>
      <x:c r="O16" s="47"/>
      <x:c r="P16" s="47"/>
      <x:c r="Q16" s="47"/>
      <x:c r="R16" s="47"/>
      <x:c r="S16" s="47"/>
      <x:c r="T16" s="47"/>
      <x:c r="U16" s="47"/>
      <x:c r="V16" s="47"/>
      <x:c r="W16" s="47"/>
      <x:c r="X16" s="47"/>
      <x:c r="Y16" s="47"/>
      <x:c r="Z16" s="47"/>
    </x:row>
    <x:row r="17" ht="30" customHeight="1">
      <x:c r="C17" s="9" t="str">
        <x:v>SG-ET-D-M1</x:v>
      </x:c>
      <x:c r="D17" s="9" t="str">
        <x:v>MS-ET|D</x:v>
      </x:c>
      <x:c r="E17" s="9" t="str">
        <x:v>MS-ET</x:v>
      </x:c>
      <x:c r="F17" s="9" t="str">
        <x:v>M1</x:v>
      </x:c>
      <x:c r="G17" s="33" t="n">
        <x:v>0.5</x:v>
      </x:c>
      <x:c r="H17" s="38" t="n">
        <x:v>0.7233150931506861</x:v>
      </x:c>
      <x:c r="I17" s="13" t="str">
        <x:v>Three assigned lanes mobilized and paired challenge/control accepted</x:v>
      </x:c>
      <x:c r="J17" s="42" t="n">
        <x:v>0</x:v>
      </x:c>
      <x:c r="K17" s="9" t="n">
        <x:f>IF(COUNTIFS('Lane Assignments'!$D$7:$D$66,D17,'Lane Assignments'!$M$7:$M$66,"MOBILIZED")=3,1,0)</x:f>
        <x:v>0</x:v>
      </x:c>
      <x:c r="L17" s="38" t="n">
        <x:f>IF(AND(J17=1,K17=1),H17,0)</x:f>
        <x:v>0</x:v>
      </x:c>
      <x:c r="M17" s="47"/>
      <x:c r="N17" s="47"/>
      <x:c r="O17" s="47"/>
      <x:c r="P17" s="47"/>
      <x:c r="Q17" s="47"/>
      <x:c r="R17" s="47"/>
      <x:c r="S17" s="47"/>
      <x:c r="T17" s="47"/>
      <x:c r="U17" s="47"/>
      <x:c r="V17" s="47"/>
      <x:c r="W17" s="47"/>
      <x:c r="X17" s="47"/>
      <x:c r="Y17" s="47"/>
      <x:c r="Z17" s="47"/>
    </x:row>
    <x:row r="18" ht="30" customHeight="1">
      <x:c r="C18" s="9" t="str">
        <x:v>SG-ET-D-M2</x:v>
      </x:c>
      <x:c r="D18" s="9" t="str">
        <x:v>MS-ET|D</x:v>
      </x:c>
      <x:c r="E18" s="9" t="str">
        <x:v>MS-ET</x:v>
      </x:c>
      <x:c r="F18" s="9" t="str">
        <x:v>M2</x:v>
      </x:c>
      <x:c r="G18" s="33" t="n">
        <x:v>0.25</x:v>
      </x:c>
      <x:c r="H18" s="38" t="n">
        <x:v>0.36165754657534305</x:v>
      </x:c>
      <x:c r="I18" s="13" t="str">
        <x:v>Cold reconstruction, public custody and root disposition packet accepted</x:v>
      </x:c>
      <x:c r="J18" s="42" t="n">
        <x:v>0</x:v>
      </x:c>
      <x:c r="K18" s="9" t="n">
        <x:f>IF(COUNTIFS('Lane Assignments'!$D$7:$D$66,D18,'Lane Assignments'!$M$7:$M$66,"MOBILIZED")=3,1,0)</x:f>
        <x:v>0</x:v>
      </x:c>
      <x:c r="L18" s="38" t="n">
        <x:f>IF(AND(J18=1,K18=1),H18,0)</x:f>
        <x:v>0</x:v>
      </x:c>
      <x:c r="M18" s="47"/>
      <x:c r="N18" s="47"/>
      <x:c r="O18" s="47"/>
      <x:c r="P18" s="47"/>
      <x:c r="Q18" s="47"/>
      <x:c r="R18" s="47"/>
      <x:c r="S18" s="47"/>
      <x:c r="T18" s="47"/>
      <x:c r="U18" s="47"/>
      <x:c r="V18" s="47"/>
      <x:c r="W18" s="47"/>
      <x:c r="X18" s="47"/>
      <x:c r="Y18" s="47"/>
      <x:c r="Z18" s="47"/>
    </x:row>
    <x:row r="19" ht="30" customHeight="1">
      <x:c r="C19" s="9" t="str">
        <x:v>SG-CT-A-M0</x:v>
      </x:c>
      <x:c r="D19" s="9" t="str">
        <x:v>MS-CT|A</x:v>
      </x:c>
      <x:c r="E19" s="9" t="str">
        <x:v>MS-CT</x:v>
      </x:c>
      <x:c r="F19" s="9" t="str">
        <x:v>M0</x:v>
      </x:c>
      <x:c r="G19" s="33" t="n">
        <x:v>0.25</x:v>
      </x:c>
      <x:c r="H19" s="38" t="n">
        <x:v>0.5742049913661337</x:v>
      </x:c>
      <x:c r="I19" s="13" t="str">
        <x:v>Warrants, method, calibration and station plan accepted</x:v>
      </x:c>
      <x:c r="J19" s="42" t="n">
        <x:v>0</x:v>
      </x:c>
      <x:c r="K19" s="9" t="n">
        <x:f>IF(COUNTIFS('Lane Assignments'!$D$7:$D$66,D19,'Lane Assignments'!$M$7:$M$66,"MOBILIZED")=3,1,0)</x:f>
        <x:v>0</x:v>
      </x:c>
      <x:c r="L19" s="38" t="n">
        <x:f>IF(AND(J19=1,K19=1),H19,0)</x:f>
        <x:v>0</x:v>
      </x:c>
      <x:c r="M19" s="47"/>
      <x:c r="N19" s="47"/>
      <x:c r="O19" s="47"/>
      <x:c r="P19" s="47"/>
      <x:c r="Q19" s="47"/>
      <x:c r="R19" s="47"/>
      <x:c r="S19" s="47"/>
      <x:c r="T19" s="47"/>
      <x:c r="U19" s="47"/>
      <x:c r="V19" s="47"/>
      <x:c r="W19" s="47"/>
      <x:c r="X19" s="47"/>
      <x:c r="Y19" s="47"/>
      <x:c r="Z19" s="47"/>
    </x:row>
    <x:row r="20" ht="30" customHeight="1">
      <x:c r="C20" s="9" t="str">
        <x:v>SG-CT-A-M1</x:v>
      </x:c>
      <x:c r="D20" s="9" t="str">
        <x:v>MS-CT|A</x:v>
      </x:c>
      <x:c r="E20" s="9" t="str">
        <x:v>MS-CT</x:v>
      </x:c>
      <x:c r="F20" s="9" t="str">
        <x:v>M1</x:v>
      </x:c>
      <x:c r="G20" s="33" t="n">
        <x:v>0.5</x:v>
      </x:c>
      <x:c r="H20" s="38" t="n">
        <x:v>1.1484099827322674</x:v>
      </x:c>
      <x:c r="I20" s="13" t="str">
        <x:v>Three assigned lanes mobilized and paired challenge/control accepted</x:v>
      </x:c>
      <x:c r="J20" s="42" t="n">
        <x:v>0</x:v>
      </x:c>
      <x:c r="K20" s="9" t="n">
        <x:f>IF(COUNTIFS('Lane Assignments'!$D$7:$D$66,D20,'Lane Assignments'!$M$7:$M$66,"MOBILIZED")=3,1,0)</x:f>
        <x:v>0</x:v>
      </x:c>
      <x:c r="L20" s="38" t="n">
        <x:f>IF(AND(J20=1,K20=1),H20,0)</x:f>
        <x:v>0</x:v>
      </x:c>
      <x:c r="M20" s="47"/>
      <x:c r="N20" s="47"/>
      <x:c r="O20" s="47"/>
      <x:c r="P20" s="47"/>
      <x:c r="Q20" s="47"/>
      <x:c r="R20" s="47"/>
      <x:c r="S20" s="47"/>
      <x:c r="T20" s="47"/>
      <x:c r="U20" s="47"/>
      <x:c r="V20" s="47"/>
      <x:c r="W20" s="47"/>
      <x:c r="X20" s="47"/>
      <x:c r="Y20" s="47"/>
      <x:c r="Z20" s="47"/>
    </x:row>
    <x:row r="21" ht="30" customHeight="1">
      <x:c r="C21" s="9" t="str">
        <x:v>SG-CT-A-M2</x:v>
      </x:c>
      <x:c r="D21" s="9" t="str">
        <x:v>MS-CT|A</x:v>
      </x:c>
      <x:c r="E21" s="9" t="str">
        <x:v>MS-CT</x:v>
      </x:c>
      <x:c r="F21" s="9" t="str">
        <x:v>M2</x:v>
      </x:c>
      <x:c r="G21" s="33" t="n">
        <x:v>0.25</x:v>
      </x:c>
      <x:c r="H21" s="38" t="n">
        <x:v>0.5742049913661337</x:v>
      </x:c>
      <x:c r="I21" s="13" t="str">
        <x:v>Cold reconstruction, public custody and root disposition packet accepted</x:v>
      </x:c>
      <x:c r="J21" s="42" t="n">
        <x:v>0</x:v>
      </x:c>
      <x:c r="K21" s="9" t="n">
        <x:f>IF(COUNTIFS('Lane Assignments'!$D$7:$D$66,D21,'Lane Assignments'!$M$7:$M$66,"MOBILIZED")=3,1,0)</x:f>
        <x:v>0</x:v>
      </x:c>
      <x:c r="L21" s="38" t="n">
        <x:f>IF(AND(J21=1,K21=1),H21,0)</x:f>
        <x:v>0</x:v>
      </x:c>
      <x:c r="M21" s="47"/>
      <x:c r="N21" s="47"/>
      <x:c r="O21" s="47"/>
      <x:c r="P21" s="47"/>
      <x:c r="Q21" s="47"/>
      <x:c r="R21" s="47"/>
      <x:c r="S21" s="47"/>
      <x:c r="T21" s="47"/>
      <x:c r="U21" s="47"/>
      <x:c r="V21" s="47"/>
      <x:c r="W21" s="47"/>
      <x:c r="X21" s="47"/>
      <x:c r="Y21" s="47"/>
      <x:c r="Z21" s="47"/>
    </x:row>
    <x:row r="22" ht="30" customHeight="1">
      <x:c r="C22" s="9" t="str">
        <x:v>SG-CT-B-M0</x:v>
      </x:c>
      <x:c r="D22" s="9" t="str">
        <x:v>MS-CT|B</x:v>
      </x:c>
      <x:c r="E22" s="9" t="str">
        <x:v>MS-CT</x:v>
      </x:c>
      <x:c r="F22" s="9" t="str">
        <x:v>M0</x:v>
      </x:c>
      <x:c r="G22" s="33" t="n">
        <x:v>0.25</x:v>
      </x:c>
      <x:c r="H22" s="38" t="n">
        <x:v>0.48807424266121363</x:v>
      </x:c>
      <x:c r="I22" s="13" t="str">
        <x:v>Warrants, method, calibration and station plan accepted</x:v>
      </x:c>
      <x:c r="J22" s="42" t="n">
        <x:v>0</x:v>
      </x:c>
      <x:c r="K22" s="9" t="n">
        <x:f>IF(COUNTIFS('Lane Assignments'!$D$7:$D$66,D22,'Lane Assignments'!$M$7:$M$66,"MOBILIZED")=3,1,0)</x:f>
        <x:v>0</x:v>
      </x:c>
      <x:c r="L22" s="38" t="n">
        <x:f>IF(AND(J22=1,K22=1),H22,0)</x:f>
        <x:v>0</x:v>
      </x:c>
      <x:c r="M22" s="47"/>
      <x:c r="N22" s="47"/>
      <x:c r="O22" s="47"/>
      <x:c r="P22" s="47"/>
      <x:c r="Q22" s="47"/>
      <x:c r="R22" s="47"/>
      <x:c r="S22" s="47"/>
      <x:c r="T22" s="47"/>
      <x:c r="U22" s="47"/>
      <x:c r="V22" s="47"/>
      <x:c r="W22" s="47"/>
      <x:c r="X22" s="47"/>
      <x:c r="Y22" s="47"/>
      <x:c r="Z22" s="47"/>
    </x:row>
    <x:row r="23" ht="30" customHeight="1">
      <x:c r="C23" s="9" t="str">
        <x:v>SG-CT-B-M1</x:v>
      </x:c>
      <x:c r="D23" s="9" t="str">
        <x:v>MS-CT|B</x:v>
      </x:c>
      <x:c r="E23" s="9" t="str">
        <x:v>MS-CT</x:v>
      </x:c>
      <x:c r="F23" s="9" t="str">
        <x:v>M1</x:v>
      </x:c>
      <x:c r="G23" s="33" t="n">
        <x:v>0.5</x:v>
      </x:c>
      <x:c r="H23" s="38" t="n">
        <x:v>0.9761484853224273</x:v>
      </x:c>
      <x:c r="I23" s="13" t="str">
        <x:v>Three assigned lanes mobilized and paired challenge/control accepted</x:v>
      </x:c>
      <x:c r="J23" s="42" t="n">
        <x:v>0</x:v>
      </x:c>
      <x:c r="K23" s="9" t="n">
        <x:f>IF(COUNTIFS('Lane Assignments'!$D$7:$D$66,D23,'Lane Assignments'!$M$7:$M$66,"MOBILIZED")=3,1,0)</x:f>
        <x:v>0</x:v>
      </x:c>
      <x:c r="L23" s="38" t="n">
        <x:f>IF(AND(J23=1,K23=1),H23,0)</x:f>
        <x:v>0</x:v>
      </x:c>
      <x:c r="M23" s="47"/>
      <x:c r="N23" s="47"/>
      <x:c r="O23" s="47"/>
      <x:c r="P23" s="47"/>
      <x:c r="Q23" s="47"/>
      <x:c r="R23" s="47"/>
      <x:c r="S23" s="47"/>
      <x:c r="T23" s="47"/>
      <x:c r="U23" s="47"/>
      <x:c r="V23" s="47"/>
      <x:c r="W23" s="47"/>
      <x:c r="X23" s="47"/>
      <x:c r="Y23" s="47"/>
      <x:c r="Z23" s="47"/>
    </x:row>
    <x:row r="24" ht="30" customHeight="1">
      <x:c r="C24" s="9" t="str">
        <x:v>SG-CT-B-M2</x:v>
      </x:c>
      <x:c r="D24" s="9" t="str">
        <x:v>MS-CT|B</x:v>
      </x:c>
      <x:c r="E24" s="9" t="str">
        <x:v>MS-CT</x:v>
      </x:c>
      <x:c r="F24" s="9" t="str">
        <x:v>M2</x:v>
      </x:c>
      <x:c r="G24" s="33" t="n">
        <x:v>0.25</x:v>
      </x:c>
      <x:c r="H24" s="38" t="n">
        <x:v>0.48807424266121363</x:v>
      </x:c>
      <x:c r="I24" s="13" t="str">
        <x:v>Cold reconstruction, public custody and root disposition packet accepted</x:v>
      </x:c>
      <x:c r="J24" s="42" t="n">
        <x:v>0</x:v>
      </x:c>
      <x:c r="K24" s="9" t="n">
        <x:f>IF(COUNTIFS('Lane Assignments'!$D$7:$D$66,D24,'Lane Assignments'!$M$7:$M$66,"MOBILIZED")=3,1,0)</x:f>
        <x:v>0</x:v>
      </x:c>
      <x:c r="L24" s="38" t="n">
        <x:f>IF(AND(J24=1,K24=1),H24,0)</x:f>
        <x:v>0</x:v>
      </x:c>
      <x:c r="M24" s="47"/>
      <x:c r="N24" s="47"/>
      <x:c r="O24" s="47"/>
      <x:c r="P24" s="47"/>
      <x:c r="Q24" s="47"/>
      <x:c r="R24" s="47"/>
      <x:c r="S24" s="47"/>
      <x:c r="T24" s="47"/>
      <x:c r="U24" s="47"/>
      <x:c r="V24" s="47"/>
      <x:c r="W24" s="47"/>
      <x:c r="X24" s="47"/>
      <x:c r="Y24" s="47"/>
      <x:c r="Z24" s="47"/>
    </x:row>
    <x:row r="25" ht="30" customHeight="1">
      <x:c r="C25" s="9" t="str">
        <x:v>SG-CT-C-M0</x:v>
      </x:c>
      <x:c r="D25" s="9" t="str">
        <x:v>MS-CT|C</x:v>
      </x:c>
      <x:c r="E25" s="9" t="str">
        <x:v>MS-CT</x:v>
      </x:c>
      <x:c r="F25" s="9" t="str">
        <x:v>M0</x:v>
      </x:c>
      <x:c r="G25" s="33" t="n">
        <x:v>0.25</x:v>
      </x:c>
      <x:c r="H25" s="38" t="n">
        <x:v>0.48807424266121363</x:v>
      </x:c>
      <x:c r="I25" s="13" t="str">
        <x:v>Warrants, method, calibration and station plan accepted</x:v>
      </x:c>
      <x:c r="J25" s="42" t="n">
        <x:v>0</x:v>
      </x:c>
      <x:c r="K25" s="9" t="n">
        <x:f>IF(COUNTIFS('Lane Assignments'!$D$7:$D$66,D25,'Lane Assignments'!$M$7:$M$66,"MOBILIZED")=3,1,0)</x:f>
        <x:v>0</x:v>
      </x:c>
      <x:c r="L25" s="38" t="n">
        <x:f>IF(AND(J25=1,K25=1),H25,0)</x:f>
        <x:v>0</x:v>
      </x:c>
      <x:c r="M25" s="47"/>
      <x:c r="N25" s="47"/>
      <x:c r="O25" s="47"/>
      <x:c r="P25" s="47"/>
      <x:c r="Q25" s="47"/>
      <x:c r="R25" s="47"/>
      <x:c r="S25" s="47"/>
      <x:c r="T25" s="47"/>
      <x:c r="U25" s="47"/>
      <x:c r="V25" s="47"/>
      <x:c r="W25" s="47"/>
      <x:c r="X25" s="47"/>
      <x:c r="Y25" s="47"/>
      <x:c r="Z25" s="47"/>
    </x:row>
    <x:row r="26" ht="30" customHeight="1">
      <x:c r="C26" s="9" t="str">
        <x:v>SG-CT-C-M1</x:v>
      </x:c>
      <x:c r="D26" s="9" t="str">
        <x:v>MS-CT|C</x:v>
      </x:c>
      <x:c r="E26" s="9" t="str">
        <x:v>MS-CT</x:v>
      </x:c>
      <x:c r="F26" s="9" t="str">
        <x:v>M1</x:v>
      </x:c>
      <x:c r="G26" s="33" t="n">
        <x:v>0.5</x:v>
      </x:c>
      <x:c r="H26" s="38" t="n">
        <x:v>0.9761484853224273</x:v>
      </x:c>
      <x:c r="I26" s="13" t="str">
        <x:v>Three assigned lanes mobilized and paired challenge/control accepted</x:v>
      </x:c>
      <x:c r="J26" s="42" t="n">
        <x:v>0</x:v>
      </x:c>
      <x:c r="K26" s="9" t="n">
        <x:f>IF(COUNTIFS('Lane Assignments'!$D$7:$D$66,D26,'Lane Assignments'!$M$7:$M$66,"MOBILIZED")=3,1,0)</x:f>
        <x:v>0</x:v>
      </x:c>
      <x:c r="L26" s="38" t="n">
        <x:f>IF(AND(J26=1,K26=1),H26,0)</x:f>
        <x:v>0</x:v>
      </x:c>
      <x:c r="M26" s="47"/>
      <x:c r="N26" s="47"/>
      <x:c r="O26" s="47"/>
      <x:c r="P26" s="47"/>
      <x:c r="Q26" s="47"/>
      <x:c r="R26" s="47"/>
      <x:c r="S26" s="47"/>
      <x:c r="T26" s="47"/>
      <x:c r="U26" s="47"/>
      <x:c r="V26" s="47"/>
      <x:c r="W26" s="47"/>
      <x:c r="X26" s="47"/>
      <x:c r="Y26" s="47"/>
      <x:c r="Z26" s="47"/>
    </x:row>
    <x:row r="27" ht="30" customHeight="1">
      <x:c r="C27" s="9" t="str">
        <x:v>SG-CT-C-M2</x:v>
      </x:c>
      <x:c r="D27" s="9" t="str">
        <x:v>MS-CT|C</x:v>
      </x:c>
      <x:c r="E27" s="9" t="str">
        <x:v>MS-CT</x:v>
      </x:c>
      <x:c r="F27" s="9" t="str">
        <x:v>M2</x:v>
      </x:c>
      <x:c r="G27" s="33" t="n">
        <x:v>0.25</x:v>
      </x:c>
      <x:c r="H27" s="38" t="n">
        <x:v>0.48807424266121363</x:v>
      </x:c>
      <x:c r="I27" s="13" t="str">
        <x:v>Cold reconstruction, public custody and root disposition packet accepted</x:v>
      </x:c>
      <x:c r="J27" s="42" t="n">
        <x:v>0</x:v>
      </x:c>
      <x:c r="K27" s="9" t="n">
        <x:f>IF(COUNTIFS('Lane Assignments'!$D$7:$D$66,D27,'Lane Assignments'!$M$7:$M$66,"MOBILIZED")=3,1,0)</x:f>
        <x:v>0</x:v>
      </x:c>
      <x:c r="L27" s="38" t="n">
        <x:f>IF(AND(J27=1,K27=1),H27,0)</x:f>
        <x:v>0</x:v>
      </x:c>
      <x:c r="M27" s="47"/>
      <x:c r="N27" s="47"/>
      <x:c r="O27" s="47"/>
      <x:c r="P27" s="47"/>
      <x:c r="Q27" s="47"/>
      <x:c r="R27" s="47"/>
      <x:c r="S27" s="47"/>
      <x:c r="T27" s="47"/>
      <x:c r="U27" s="47"/>
      <x:c r="V27" s="47"/>
      <x:c r="W27" s="47"/>
      <x:c r="X27" s="47"/>
      <x:c r="Y27" s="47"/>
      <x:c r="Z27" s="47"/>
    </x:row>
    <x:row r="28" ht="30" customHeight="1">
      <x:c r="C28" s="9" t="str">
        <x:v>SG-CT-D-M0</x:v>
      </x:c>
      <x:c r="D28" s="9" t="str">
        <x:v>MS-CT|D</x:v>
      </x:c>
      <x:c r="E28" s="9" t="str">
        <x:v>MS-CT</x:v>
      </x:c>
      <x:c r="F28" s="9" t="str">
        <x:v>M0</x:v>
      </x:c>
      <x:c r="G28" s="33" t="n">
        <x:v>0.25</x:v>
      </x:c>
      <x:c r="H28" s="38" t="n">
        <x:v>0.48807424266121363</x:v>
      </x:c>
      <x:c r="I28" s="13" t="str">
        <x:v>Warrants, method, calibration and station plan accepted</x:v>
      </x:c>
      <x:c r="J28" s="42" t="n">
        <x:v>0</x:v>
      </x:c>
      <x:c r="K28" s="9" t="n">
        <x:f>IF(COUNTIFS('Lane Assignments'!$D$7:$D$66,D28,'Lane Assignments'!$M$7:$M$66,"MOBILIZED")=3,1,0)</x:f>
        <x:v>0</x:v>
      </x:c>
      <x:c r="L28" s="38" t="n">
        <x:f>IF(AND(J28=1,K28=1),H28,0)</x:f>
        <x:v>0</x:v>
      </x:c>
      <x:c r="M28" s="47"/>
      <x:c r="N28" s="47"/>
      <x:c r="O28" s="47"/>
      <x:c r="P28" s="47"/>
      <x:c r="Q28" s="47"/>
      <x:c r="R28" s="47"/>
      <x:c r="S28" s="47"/>
      <x:c r="T28" s="47"/>
      <x:c r="U28" s="47"/>
      <x:c r="V28" s="47"/>
      <x:c r="W28" s="47"/>
      <x:c r="X28" s="47"/>
      <x:c r="Y28" s="47"/>
      <x:c r="Z28" s="47"/>
    </x:row>
    <x:row r="29" ht="30" customHeight="1">
      <x:c r="C29" s="9" t="str">
        <x:v>SG-CT-D-M1</x:v>
      </x:c>
      <x:c r="D29" s="9" t="str">
        <x:v>MS-CT|D</x:v>
      </x:c>
      <x:c r="E29" s="9" t="str">
        <x:v>MS-CT</x:v>
      </x:c>
      <x:c r="F29" s="9" t="str">
        <x:v>M1</x:v>
      </x:c>
      <x:c r="G29" s="33" t="n">
        <x:v>0.5</x:v>
      </x:c>
      <x:c r="H29" s="38" t="n">
        <x:v>0.9761484853224273</x:v>
      </x:c>
      <x:c r="I29" s="13" t="str">
        <x:v>Three assigned lanes mobilized and paired challenge/control accepted</x:v>
      </x:c>
      <x:c r="J29" s="42" t="n">
        <x:v>0</x:v>
      </x:c>
      <x:c r="K29" s="9" t="n">
        <x:f>IF(COUNTIFS('Lane Assignments'!$D$7:$D$66,D29,'Lane Assignments'!$M$7:$M$66,"MOBILIZED")=3,1,0)</x:f>
        <x:v>0</x:v>
      </x:c>
      <x:c r="L29" s="38" t="n">
        <x:f>IF(AND(J29=1,K29=1),H29,0)</x:f>
        <x:v>0</x:v>
      </x:c>
      <x:c r="M29" s="47"/>
      <x:c r="N29" s="47"/>
      <x:c r="O29" s="47"/>
      <x:c r="P29" s="47"/>
      <x:c r="Q29" s="47"/>
      <x:c r="R29" s="47"/>
      <x:c r="S29" s="47"/>
      <x:c r="T29" s="47"/>
      <x:c r="U29" s="47"/>
      <x:c r="V29" s="47"/>
      <x:c r="W29" s="47"/>
      <x:c r="X29" s="47"/>
      <x:c r="Y29" s="47"/>
      <x:c r="Z29" s="47"/>
    </x:row>
    <x:row r="30" ht="30" customHeight="1">
      <x:c r="C30" s="9" t="str">
        <x:v>SG-CT-D-M2</x:v>
      </x:c>
      <x:c r="D30" s="9" t="str">
        <x:v>MS-CT|D</x:v>
      </x:c>
      <x:c r="E30" s="9" t="str">
        <x:v>MS-CT</x:v>
      </x:c>
      <x:c r="F30" s="9" t="str">
        <x:v>M2</x:v>
      </x:c>
      <x:c r="G30" s="33" t="n">
        <x:v>0.25</x:v>
      </x:c>
      <x:c r="H30" s="38" t="n">
        <x:v>0.48807424266121363</x:v>
      </x:c>
      <x:c r="I30" s="13" t="str">
        <x:v>Cold reconstruction, public custody and root disposition packet accepted</x:v>
      </x:c>
      <x:c r="J30" s="42" t="n">
        <x:v>0</x:v>
      </x:c>
      <x:c r="K30" s="9" t="n">
        <x:f>IF(COUNTIFS('Lane Assignments'!$D$7:$D$66,D30,'Lane Assignments'!$M$7:$M$66,"MOBILIZED")=3,1,0)</x:f>
        <x:v>0</x:v>
      </x:c>
      <x:c r="L30" s="38" t="n">
        <x:f>IF(AND(J30=1,K30=1),H30,0)</x:f>
        <x:v>0</x:v>
      </x:c>
      <x:c r="M30" s="47"/>
      <x:c r="N30" s="47"/>
      <x:c r="O30" s="47"/>
      <x:c r="P30" s="47"/>
      <x:c r="Q30" s="47"/>
      <x:c r="R30" s="47"/>
      <x:c r="S30" s="47"/>
      <x:c r="T30" s="47"/>
      <x:c r="U30" s="47"/>
      <x:c r="V30" s="47"/>
      <x:c r="W30" s="47"/>
      <x:c r="X30" s="47"/>
      <x:c r="Y30" s="47"/>
      <x:c r="Z30" s="47"/>
    </x:row>
    <x:row r="31" ht="30" customHeight="1">
      <x:c r="C31" s="9" t="str">
        <x:v>SG-HC-A-M0</x:v>
      </x:c>
      <x:c r="D31" s="9" t="str">
        <x:v>MS-HC|A</x:v>
      </x:c>
      <x:c r="E31" s="9" t="str">
        <x:v>MS-HC</x:v>
      </x:c>
      <x:c r="F31" s="9" t="str">
        <x:v>M0</x:v>
      </x:c>
      <x:c r="G31" s="33" t="n">
        <x:v>0.25</x:v>
      </x:c>
      <x:c r="H31" s="38" t="n">
        <x:v>0.34154972607826894</x:v>
      </x:c>
      <x:c r="I31" s="13" t="str">
        <x:v>Warrants, method, calibration and station plan accepted</x:v>
      </x:c>
      <x:c r="J31" s="42" t="n">
        <x:v>0</x:v>
      </x:c>
      <x:c r="K31" s="9" t="n">
        <x:f>IF(COUNTIFS('Lane Assignments'!$D$7:$D$66,D31,'Lane Assignments'!$M$7:$M$66,"MOBILIZED")=3,1,0)</x:f>
        <x:v>0</x:v>
      </x:c>
      <x:c r="L31" s="38" t="n">
        <x:f>IF(AND(J31=1,K31=1),H31,0)</x:f>
        <x:v>0</x:v>
      </x:c>
      <x:c r="M31" s="47"/>
      <x:c r="N31" s="47"/>
      <x:c r="O31" s="47"/>
      <x:c r="P31" s="47"/>
      <x:c r="Q31" s="47"/>
      <x:c r="R31" s="47"/>
      <x:c r="S31" s="47"/>
      <x:c r="T31" s="47"/>
      <x:c r="U31" s="47"/>
      <x:c r="V31" s="47"/>
      <x:c r="W31" s="47"/>
      <x:c r="X31" s="47"/>
      <x:c r="Y31" s="47"/>
      <x:c r="Z31" s="47"/>
    </x:row>
    <x:row r="32" ht="30" customHeight="1">
      <x:c r="C32" s="9" t="str">
        <x:v>SG-HC-A-M1</x:v>
      </x:c>
      <x:c r="D32" s="9" t="str">
        <x:v>MS-HC|A</x:v>
      </x:c>
      <x:c r="E32" s="9" t="str">
        <x:v>MS-HC</x:v>
      </x:c>
      <x:c r="F32" s="9" t="str">
        <x:v>M1</x:v>
      </x:c>
      <x:c r="G32" s="33" t="n">
        <x:v>0.5</x:v>
      </x:c>
      <x:c r="H32" s="38" t="n">
        <x:v>0.6830994521565379</x:v>
      </x:c>
      <x:c r="I32" s="13" t="str">
        <x:v>Three assigned lanes mobilized and paired challenge/control accepted</x:v>
      </x:c>
      <x:c r="J32" s="42" t="n">
        <x:v>0</x:v>
      </x:c>
      <x:c r="K32" s="9" t="n">
        <x:f>IF(COUNTIFS('Lane Assignments'!$D$7:$D$66,D32,'Lane Assignments'!$M$7:$M$66,"MOBILIZED")=3,1,0)</x:f>
        <x:v>0</x:v>
      </x:c>
      <x:c r="L32" s="38" t="n">
        <x:f>IF(AND(J32=1,K32=1),H32,0)</x:f>
        <x:v>0</x:v>
      </x:c>
      <x:c r="M32" s="47"/>
      <x:c r="N32" s="47"/>
      <x:c r="O32" s="47"/>
      <x:c r="P32" s="47"/>
      <x:c r="Q32" s="47"/>
      <x:c r="R32" s="47"/>
      <x:c r="S32" s="47"/>
      <x:c r="T32" s="47"/>
      <x:c r="U32" s="47"/>
      <x:c r="V32" s="47"/>
      <x:c r="W32" s="47"/>
      <x:c r="X32" s="47"/>
      <x:c r="Y32" s="47"/>
      <x:c r="Z32" s="47"/>
    </x:row>
    <x:row r="33" ht="30" customHeight="1">
      <x:c r="C33" s="9" t="str">
        <x:v>SG-HC-A-M2</x:v>
      </x:c>
      <x:c r="D33" s="9" t="str">
        <x:v>MS-HC|A</x:v>
      </x:c>
      <x:c r="E33" s="9" t="str">
        <x:v>MS-HC</x:v>
      </x:c>
      <x:c r="F33" s="9" t="str">
        <x:v>M2</x:v>
      </x:c>
      <x:c r="G33" s="33" t="n">
        <x:v>0.25</x:v>
      </x:c>
      <x:c r="H33" s="38" t="n">
        <x:v>0.34154972607826894</x:v>
      </x:c>
      <x:c r="I33" s="13" t="str">
        <x:v>Cold reconstruction, public custody and root disposition packet accepted</x:v>
      </x:c>
      <x:c r="J33" s="42" t="n">
        <x:v>0</x:v>
      </x:c>
      <x:c r="K33" s="9" t="n">
        <x:f>IF(COUNTIFS('Lane Assignments'!$D$7:$D$66,D33,'Lane Assignments'!$M$7:$M$66,"MOBILIZED")=3,1,0)</x:f>
        <x:v>0</x:v>
      </x:c>
      <x:c r="L33" s="38" t="n">
        <x:f>IF(AND(J33=1,K33=1),H33,0)</x:f>
        <x:v>0</x:v>
      </x:c>
      <x:c r="M33" s="47"/>
      <x:c r="N33" s="47"/>
      <x:c r="O33" s="47"/>
      <x:c r="P33" s="47"/>
      <x:c r="Q33" s="47"/>
      <x:c r="R33" s="47"/>
      <x:c r="S33" s="47"/>
      <x:c r="T33" s="47"/>
      <x:c r="U33" s="47"/>
      <x:c r="V33" s="47"/>
      <x:c r="W33" s="47"/>
      <x:c r="X33" s="47"/>
      <x:c r="Y33" s="47"/>
      <x:c r="Z33" s="47"/>
    </x:row>
    <x:row r="34" ht="30" customHeight="1">
      <x:c r="C34" s="9" t="str">
        <x:v>SG-HC-B-M0</x:v>
      </x:c>
      <x:c r="D34" s="9" t="str">
        <x:v>MS-HC|B</x:v>
      </x:c>
      <x:c r="E34" s="9" t="str">
        <x:v>MS-HC</x:v>
      </x:c>
      <x:c r="F34" s="9" t="str">
        <x:v>M0</x:v>
      </x:c>
      <x:c r="G34" s="33" t="n">
        <x:v>0.25</x:v>
      </x:c>
      <x:c r="H34" s="38" t="n">
        <x:v>0.34154972607826894</x:v>
      </x:c>
      <x:c r="I34" s="13" t="str">
        <x:v>Warrants, method, calibration and station plan accepted</x:v>
      </x:c>
      <x:c r="J34" s="42" t="n">
        <x:v>0</x:v>
      </x:c>
      <x:c r="K34" s="9" t="n">
        <x:f>IF(COUNTIFS('Lane Assignments'!$D$7:$D$66,D34,'Lane Assignments'!$M$7:$M$66,"MOBILIZED")=3,1,0)</x:f>
        <x:v>0</x:v>
      </x:c>
      <x:c r="L34" s="38" t="n">
        <x:f>IF(AND(J34=1,K34=1),H34,0)</x:f>
        <x:v>0</x:v>
      </x:c>
      <x:c r="M34" s="47"/>
      <x:c r="N34" s="47"/>
      <x:c r="O34" s="47"/>
      <x:c r="P34" s="47"/>
      <x:c r="Q34" s="47"/>
      <x:c r="R34" s="47"/>
      <x:c r="S34" s="47"/>
      <x:c r="T34" s="47"/>
      <x:c r="U34" s="47"/>
      <x:c r="V34" s="47"/>
      <x:c r="W34" s="47"/>
      <x:c r="X34" s="47"/>
      <x:c r="Y34" s="47"/>
      <x:c r="Z34" s="47"/>
    </x:row>
    <x:row r="35" ht="30" customHeight="1">
      <x:c r="C35" s="9" t="str">
        <x:v>SG-HC-B-M1</x:v>
      </x:c>
      <x:c r="D35" s="9" t="str">
        <x:v>MS-HC|B</x:v>
      </x:c>
      <x:c r="E35" s="9" t="str">
        <x:v>MS-HC</x:v>
      </x:c>
      <x:c r="F35" s="9" t="str">
        <x:v>M1</x:v>
      </x:c>
      <x:c r="G35" s="33" t="n">
        <x:v>0.5</x:v>
      </x:c>
      <x:c r="H35" s="38" t="n">
        <x:v>0.6830994521565379</x:v>
      </x:c>
      <x:c r="I35" s="13" t="str">
        <x:v>Three assigned lanes mobilized and paired challenge/control accepted</x:v>
      </x:c>
      <x:c r="J35" s="42" t="n">
        <x:v>0</x:v>
      </x:c>
      <x:c r="K35" s="9" t="n">
        <x:f>IF(COUNTIFS('Lane Assignments'!$D$7:$D$66,D35,'Lane Assignments'!$M$7:$M$66,"MOBILIZED")=3,1,0)</x:f>
        <x:v>0</x:v>
      </x:c>
      <x:c r="L35" s="38" t="n">
        <x:f>IF(AND(J35=1,K35=1),H35,0)</x:f>
        <x:v>0</x:v>
      </x:c>
      <x:c r="M35" s="47"/>
      <x:c r="N35" s="47"/>
      <x:c r="O35" s="47"/>
      <x:c r="P35" s="47"/>
      <x:c r="Q35" s="47"/>
      <x:c r="R35" s="47"/>
      <x:c r="S35" s="47"/>
      <x:c r="T35" s="47"/>
      <x:c r="U35" s="47"/>
      <x:c r="V35" s="47"/>
      <x:c r="W35" s="47"/>
      <x:c r="X35" s="47"/>
      <x:c r="Y35" s="47"/>
      <x:c r="Z35" s="47"/>
    </x:row>
    <x:row r="36" ht="30" customHeight="1">
      <x:c r="C36" s="9" t="str">
        <x:v>SG-HC-B-M2</x:v>
      </x:c>
      <x:c r="D36" s="9" t="str">
        <x:v>MS-HC|B</x:v>
      </x:c>
      <x:c r="E36" s="9" t="str">
        <x:v>MS-HC</x:v>
      </x:c>
      <x:c r="F36" s="9" t="str">
        <x:v>M2</x:v>
      </x:c>
      <x:c r="G36" s="33" t="n">
        <x:v>0.25</x:v>
      </x:c>
      <x:c r="H36" s="38" t="n">
        <x:v>0.34154972607826894</x:v>
      </x:c>
      <x:c r="I36" s="13" t="str">
        <x:v>Cold reconstruction, public custody and root disposition packet accepted</x:v>
      </x:c>
      <x:c r="J36" s="42" t="n">
        <x:v>0</x:v>
      </x:c>
      <x:c r="K36" s="9" t="n">
        <x:f>IF(COUNTIFS('Lane Assignments'!$D$7:$D$66,D36,'Lane Assignments'!$M$7:$M$66,"MOBILIZED")=3,1,0)</x:f>
        <x:v>0</x:v>
      </x:c>
      <x:c r="L36" s="38" t="n">
        <x:f>IF(AND(J36=1,K36=1),H36,0)</x:f>
        <x:v>0</x:v>
      </x:c>
      <x:c r="M36" s="47"/>
      <x:c r="N36" s="47"/>
      <x:c r="O36" s="47"/>
      <x:c r="P36" s="47"/>
      <x:c r="Q36" s="47"/>
      <x:c r="R36" s="47"/>
      <x:c r="S36" s="47"/>
      <x:c r="T36" s="47"/>
      <x:c r="U36" s="47"/>
      <x:c r="V36" s="47"/>
      <x:c r="W36" s="47"/>
      <x:c r="X36" s="47"/>
      <x:c r="Y36" s="47"/>
      <x:c r="Z36" s="47"/>
    </x:row>
    <x:row r="37" ht="30" customHeight="1">
      <x:c r="C37" s="9" t="str">
        <x:v>SG-HC-C-M0</x:v>
      </x:c>
      <x:c r="D37" s="9" t="str">
        <x:v>MS-HC|C</x:v>
      </x:c>
      <x:c r="E37" s="9" t="str">
        <x:v>MS-HC</x:v>
      </x:c>
      <x:c r="F37" s="9" t="str">
        <x:v>M0</x:v>
      </x:c>
      <x:c r="G37" s="33" t="n">
        <x:v>0.25</x:v>
      </x:c>
      <x:c r="H37" s="38" t="n">
        <x:v>0.30739475347044204</x:v>
      </x:c>
      <x:c r="I37" s="13" t="str">
        <x:v>Warrants, method, calibration and station plan accepted</x:v>
      </x:c>
      <x:c r="J37" s="42" t="n">
        <x:v>0</x:v>
      </x:c>
      <x:c r="K37" s="9" t="n">
        <x:f>IF(COUNTIFS('Lane Assignments'!$D$7:$D$66,D37,'Lane Assignments'!$M$7:$M$66,"MOBILIZED")=3,1,0)</x:f>
        <x:v>0</x:v>
      </x:c>
      <x:c r="L37" s="38" t="n">
        <x:f>IF(AND(J37=1,K37=1),H37,0)</x:f>
        <x:v>0</x:v>
      </x:c>
      <x:c r="M37" s="47"/>
      <x:c r="N37" s="47"/>
      <x:c r="O37" s="47"/>
      <x:c r="P37" s="47"/>
      <x:c r="Q37" s="47"/>
      <x:c r="R37" s="47"/>
      <x:c r="S37" s="47"/>
      <x:c r="T37" s="47"/>
      <x:c r="U37" s="47"/>
      <x:c r="V37" s="47"/>
      <x:c r="W37" s="47"/>
      <x:c r="X37" s="47"/>
      <x:c r="Y37" s="47"/>
      <x:c r="Z37" s="47"/>
    </x:row>
    <x:row r="38" ht="30" customHeight="1">
      <x:c r="C38" s="9" t="str">
        <x:v>SG-HC-C-M1</x:v>
      </x:c>
      <x:c r="D38" s="9" t="str">
        <x:v>MS-HC|C</x:v>
      </x:c>
      <x:c r="E38" s="9" t="str">
        <x:v>MS-HC</x:v>
      </x:c>
      <x:c r="F38" s="9" t="str">
        <x:v>M1</x:v>
      </x:c>
      <x:c r="G38" s="33" t="n">
        <x:v>0.5</x:v>
      </x:c>
      <x:c r="H38" s="38" t="n">
        <x:v>0.6147895069408841</x:v>
      </x:c>
      <x:c r="I38" s="13" t="str">
        <x:v>Three assigned lanes mobilized and paired challenge/control accepted</x:v>
      </x:c>
      <x:c r="J38" s="42" t="n">
        <x:v>0</x:v>
      </x:c>
      <x:c r="K38" s="9" t="n">
        <x:f>IF(COUNTIFS('Lane Assignments'!$D$7:$D$66,D38,'Lane Assignments'!$M$7:$M$66,"MOBILIZED")=3,1,0)</x:f>
        <x:v>0</x:v>
      </x:c>
      <x:c r="L38" s="38" t="n">
        <x:f>IF(AND(J38=1,K38=1),H38,0)</x:f>
        <x:v>0</x:v>
      </x:c>
      <x:c r="M38" s="47"/>
      <x:c r="N38" s="47"/>
      <x:c r="O38" s="47"/>
      <x:c r="P38" s="47"/>
      <x:c r="Q38" s="47"/>
      <x:c r="R38" s="47"/>
      <x:c r="S38" s="47"/>
      <x:c r="T38" s="47"/>
      <x:c r="U38" s="47"/>
      <x:c r="V38" s="47"/>
      <x:c r="W38" s="47"/>
      <x:c r="X38" s="47"/>
      <x:c r="Y38" s="47"/>
      <x:c r="Z38" s="47"/>
    </x:row>
    <x:row r="39" ht="30" customHeight="1">
      <x:c r="C39" s="9" t="str">
        <x:v>SG-HC-C-M2</x:v>
      </x:c>
      <x:c r="D39" s="9" t="str">
        <x:v>MS-HC|C</x:v>
      </x:c>
      <x:c r="E39" s="9" t="str">
        <x:v>MS-HC</x:v>
      </x:c>
      <x:c r="F39" s="9" t="str">
        <x:v>M2</x:v>
      </x:c>
      <x:c r="G39" s="33" t="n">
        <x:v>0.25</x:v>
      </x:c>
      <x:c r="H39" s="38" t="n">
        <x:v>0.30739475347044204</x:v>
      </x:c>
      <x:c r="I39" s="13" t="str">
        <x:v>Cold reconstruction, public custody and root disposition packet accepted</x:v>
      </x:c>
      <x:c r="J39" s="42" t="n">
        <x:v>0</x:v>
      </x:c>
      <x:c r="K39" s="9" t="n">
        <x:f>IF(COUNTIFS('Lane Assignments'!$D$7:$D$66,D39,'Lane Assignments'!$M$7:$M$66,"MOBILIZED")=3,1,0)</x:f>
        <x:v>0</x:v>
      </x:c>
      <x:c r="L39" s="38" t="n">
        <x:f>IF(AND(J39=1,K39=1),H39,0)</x:f>
        <x:v>0</x:v>
      </x:c>
      <x:c r="M39" s="47"/>
      <x:c r="N39" s="47"/>
      <x:c r="O39" s="47"/>
      <x:c r="P39" s="47"/>
      <x:c r="Q39" s="47"/>
      <x:c r="R39" s="47"/>
      <x:c r="S39" s="47"/>
      <x:c r="T39" s="47"/>
      <x:c r="U39" s="47"/>
      <x:c r="V39" s="47"/>
      <x:c r="W39" s="47"/>
      <x:c r="X39" s="47"/>
      <x:c r="Y39" s="47"/>
      <x:c r="Z39" s="47"/>
    </x:row>
    <x:row r="40" ht="30" customHeight="1">
      <x:c r="C40" s="9" t="str">
        <x:v>SG-HC-D-M0</x:v>
      </x:c>
      <x:c r="D40" s="9" t="str">
        <x:v>MS-HC|D</x:v>
      </x:c>
      <x:c r="E40" s="9" t="str">
        <x:v>MS-HC</x:v>
      </x:c>
      <x:c r="F40" s="9" t="str">
        <x:v>M0</x:v>
      </x:c>
      <x:c r="G40" s="33" t="n">
        <x:v>0.25</x:v>
      </x:c>
      <x:c r="H40" s="38" t="n">
        <x:v>0.30739475347044204</x:v>
      </x:c>
      <x:c r="I40" s="13" t="str">
        <x:v>Warrants, method, calibration and station plan accepted</x:v>
      </x:c>
      <x:c r="J40" s="42" t="n">
        <x:v>0</x:v>
      </x:c>
      <x:c r="K40" s="9" t="n">
        <x:f>IF(COUNTIFS('Lane Assignments'!$D$7:$D$66,D40,'Lane Assignments'!$M$7:$M$66,"MOBILIZED")=3,1,0)</x:f>
        <x:v>0</x:v>
      </x:c>
      <x:c r="L40" s="38" t="n">
        <x:f>IF(AND(J40=1,K40=1),H40,0)</x:f>
        <x:v>0</x:v>
      </x:c>
      <x:c r="M40" s="47"/>
      <x:c r="N40" s="47"/>
      <x:c r="O40" s="47"/>
      <x:c r="P40" s="47"/>
      <x:c r="Q40" s="47"/>
      <x:c r="R40" s="47"/>
      <x:c r="S40" s="47"/>
      <x:c r="T40" s="47"/>
      <x:c r="U40" s="47"/>
      <x:c r="V40" s="47"/>
      <x:c r="W40" s="47"/>
      <x:c r="X40" s="47"/>
      <x:c r="Y40" s="47"/>
      <x:c r="Z40" s="47"/>
    </x:row>
    <x:row r="41" ht="30" customHeight="1">
      <x:c r="C41" s="9" t="str">
        <x:v>SG-HC-D-M1</x:v>
      </x:c>
      <x:c r="D41" s="9" t="str">
        <x:v>MS-HC|D</x:v>
      </x:c>
      <x:c r="E41" s="9" t="str">
        <x:v>MS-HC</x:v>
      </x:c>
      <x:c r="F41" s="9" t="str">
        <x:v>M1</x:v>
      </x:c>
      <x:c r="G41" s="33" t="n">
        <x:v>0.5</x:v>
      </x:c>
      <x:c r="H41" s="38" t="n">
        <x:v>0.6147895069408841</x:v>
      </x:c>
      <x:c r="I41" s="13" t="str">
        <x:v>Three assigned lanes mobilized and paired challenge/control accepted</x:v>
      </x:c>
      <x:c r="J41" s="42" t="n">
        <x:v>0</x:v>
      </x:c>
      <x:c r="K41" s="9" t="n">
        <x:f>IF(COUNTIFS('Lane Assignments'!$D$7:$D$66,D41,'Lane Assignments'!$M$7:$M$66,"MOBILIZED")=3,1,0)</x:f>
        <x:v>0</x:v>
      </x:c>
      <x:c r="L41" s="38" t="n">
        <x:f>IF(AND(J41=1,K41=1),H41,0)</x:f>
        <x:v>0</x:v>
      </x:c>
      <x:c r="M41" s="47"/>
      <x:c r="N41" s="47"/>
      <x:c r="O41" s="47"/>
      <x:c r="P41" s="47"/>
      <x:c r="Q41" s="47"/>
      <x:c r="R41" s="47"/>
      <x:c r="S41" s="47"/>
      <x:c r="T41" s="47"/>
      <x:c r="U41" s="47"/>
      <x:c r="V41" s="47"/>
      <x:c r="W41" s="47"/>
      <x:c r="X41" s="47"/>
      <x:c r="Y41" s="47"/>
      <x:c r="Z41" s="47"/>
    </x:row>
    <x:row r="42" ht="30" customHeight="1">
      <x:c r="C42" s="9" t="str">
        <x:v>SG-HC-D-M2</x:v>
      </x:c>
      <x:c r="D42" s="9" t="str">
        <x:v>MS-HC|D</x:v>
      </x:c>
      <x:c r="E42" s="9" t="str">
        <x:v>MS-HC</x:v>
      </x:c>
      <x:c r="F42" s="9" t="str">
        <x:v>M2</x:v>
      </x:c>
      <x:c r="G42" s="33" t="n">
        <x:v>0.25</x:v>
      </x:c>
      <x:c r="H42" s="38" t="n">
        <x:v>0.30739475347044204</x:v>
      </x:c>
      <x:c r="I42" s="13" t="str">
        <x:v>Cold reconstruction, public custody and root disposition packet accepted</x:v>
      </x:c>
      <x:c r="J42" s="42" t="n">
        <x:v>0</x:v>
      </x:c>
      <x:c r="K42" s="9" t="n">
        <x:f>IF(COUNTIFS('Lane Assignments'!$D$7:$D$66,D42,'Lane Assignments'!$M$7:$M$66,"MOBILIZED")=3,1,0)</x:f>
        <x:v>0</x:v>
      </x:c>
      <x:c r="L42" s="38" t="n">
        <x:f>IF(AND(J42=1,K42=1),H42,0)</x:f>
        <x:v>0</x:v>
      </x:c>
      <x:c r="M42" s="47"/>
      <x:c r="N42" s="47"/>
      <x:c r="O42" s="47"/>
      <x:c r="P42" s="47"/>
      <x:c r="Q42" s="47"/>
      <x:c r="R42" s="47"/>
      <x:c r="S42" s="47"/>
      <x:c r="T42" s="47"/>
      <x:c r="U42" s="47"/>
      <x:c r="V42" s="47"/>
      <x:c r="W42" s="47"/>
      <x:c r="X42" s="47"/>
      <x:c r="Y42" s="47"/>
      <x:c r="Z42" s="47"/>
    </x:row>
    <x:row r="43" ht="30" customHeight="1">
      <x:c r="C43" s="9" t="str">
        <x:v>SG-HU-A-M0</x:v>
      </x:c>
      <x:c r="D43" s="9" t="str">
        <x:v>MS-HU|A</x:v>
      </x:c>
      <x:c r="E43" s="9" t="str">
        <x:v>MS-HU</x:v>
      </x:c>
      <x:c r="F43" s="9" t="str">
        <x:v>M0</x:v>
      </x:c>
      <x:c r="G43" s="33" t="n">
        <x:v>0.25</x:v>
      </x:c>
      <x:c r="H43" s="38" t="n">
        <x:v>0.8611974083797881</x:v>
      </x:c>
      <x:c r="I43" s="13" t="str">
        <x:v>Warrants, method, calibration and station plan accepted</x:v>
      </x:c>
      <x:c r="J43" s="42" t="n">
        <x:v>0</x:v>
      </x:c>
      <x:c r="K43" s="9" t="n">
        <x:f>IF(COUNTIFS('Lane Assignments'!$D$7:$D$66,D43,'Lane Assignments'!$M$7:$M$66,"MOBILIZED")=3,1,0)</x:f>
        <x:v>0</x:v>
      </x:c>
      <x:c r="L43" s="38" t="n">
        <x:f>IF(AND(J43=1,K43=1),H43,0)</x:f>
        <x:v>0</x:v>
      </x:c>
      <x:c r="M43" s="47"/>
      <x:c r="N43" s="47"/>
      <x:c r="O43" s="47"/>
      <x:c r="P43" s="47"/>
      <x:c r="Q43" s="47"/>
      <x:c r="R43" s="47"/>
      <x:c r="S43" s="47"/>
      <x:c r="T43" s="47"/>
      <x:c r="U43" s="47"/>
      <x:c r="V43" s="47"/>
      <x:c r="W43" s="47"/>
      <x:c r="X43" s="47"/>
      <x:c r="Y43" s="47"/>
      <x:c r="Z43" s="47"/>
    </x:row>
    <x:row r="44" ht="30" customHeight="1">
      <x:c r="C44" s="9" t="str">
        <x:v>SG-HU-A-M1</x:v>
      </x:c>
      <x:c r="D44" s="9" t="str">
        <x:v>MS-HU|A</x:v>
      </x:c>
      <x:c r="E44" s="9" t="str">
        <x:v>MS-HU</x:v>
      </x:c>
      <x:c r="F44" s="9" t="str">
        <x:v>M1</x:v>
      </x:c>
      <x:c r="G44" s="33" t="n">
        <x:v>0.5</x:v>
      </x:c>
      <x:c r="H44" s="38" t="n">
        <x:v>1.7223948167595762</x:v>
      </x:c>
      <x:c r="I44" s="13" t="str">
        <x:v>Three assigned lanes mobilized and paired challenge/control accepted</x:v>
      </x:c>
      <x:c r="J44" s="42" t="n">
        <x:v>0</x:v>
      </x:c>
      <x:c r="K44" s="9" t="n">
        <x:f>IF(COUNTIFS('Lane Assignments'!$D$7:$D$66,D44,'Lane Assignments'!$M$7:$M$66,"MOBILIZED")=3,1,0)</x:f>
        <x:v>0</x:v>
      </x:c>
      <x:c r="L44" s="38" t="n">
        <x:f>IF(AND(J44=1,K44=1),H44,0)</x:f>
        <x:v>0</x:v>
      </x:c>
      <x:c r="M44" s="47"/>
      <x:c r="N44" s="47"/>
      <x:c r="O44" s="47"/>
      <x:c r="P44" s="47"/>
      <x:c r="Q44" s="47"/>
      <x:c r="R44" s="47"/>
      <x:c r="S44" s="47"/>
      <x:c r="T44" s="47"/>
      <x:c r="U44" s="47"/>
      <x:c r="V44" s="47"/>
      <x:c r="W44" s="47"/>
      <x:c r="X44" s="47"/>
      <x:c r="Y44" s="47"/>
      <x:c r="Z44" s="47"/>
    </x:row>
    <x:row r="45" ht="30" customHeight="1">
      <x:c r="C45" s="9" t="str">
        <x:v>SG-HU-A-M2</x:v>
      </x:c>
      <x:c r="D45" s="9" t="str">
        <x:v>MS-HU|A</x:v>
      </x:c>
      <x:c r="E45" s="9" t="str">
        <x:v>MS-HU</x:v>
      </x:c>
      <x:c r="F45" s="9" t="str">
        <x:v>M2</x:v>
      </x:c>
      <x:c r="G45" s="33" t="n">
        <x:v>0.25</x:v>
      </x:c>
      <x:c r="H45" s="38" t="n">
        <x:v>0.8611974083797881</x:v>
      </x:c>
      <x:c r="I45" s="13" t="str">
        <x:v>Cold reconstruction, public custody and root disposition packet accepted</x:v>
      </x:c>
      <x:c r="J45" s="42" t="n">
        <x:v>0</x:v>
      </x:c>
      <x:c r="K45" s="9" t="n">
        <x:f>IF(COUNTIFS('Lane Assignments'!$D$7:$D$66,D45,'Lane Assignments'!$M$7:$M$66,"MOBILIZED")=3,1,0)</x:f>
        <x:v>0</x:v>
      </x:c>
      <x:c r="L45" s="38" t="n">
        <x:f>IF(AND(J45=1,K45=1),H45,0)</x:f>
        <x:v>0</x:v>
      </x:c>
      <x:c r="M45" s="47"/>
      <x:c r="N45" s="47"/>
      <x:c r="O45" s="47"/>
      <x:c r="P45" s="47"/>
      <x:c r="Q45" s="47"/>
      <x:c r="R45" s="47"/>
      <x:c r="S45" s="47"/>
      <x:c r="T45" s="47"/>
      <x:c r="U45" s="47"/>
      <x:c r="V45" s="47"/>
      <x:c r="W45" s="47"/>
      <x:c r="X45" s="47"/>
      <x:c r="Y45" s="47"/>
      <x:c r="Z45" s="47"/>
    </x:row>
    <x:row r="46" ht="30" customHeight="1">
      <x:c r="C46" s="9" t="str">
        <x:v>SG-HU-B-M0</x:v>
      </x:c>
      <x:c r="D46" s="9" t="str">
        <x:v>MS-HU|B</x:v>
      </x:c>
      <x:c r="E46" s="9" t="str">
        <x:v>MS-HU</x:v>
      </x:c>
      <x:c r="F46" s="9" t="str">
        <x:v>M0</x:v>
      </x:c>
      <x:c r="G46" s="33" t="n">
        <x:v>0.25</x:v>
      </x:c>
      <x:c r="H46" s="38" t="n">
        <x:v>0.9568860093108758</x:v>
      </x:c>
      <x:c r="I46" s="13" t="str">
        <x:v>Warrants, method, calibration and station plan accepted</x:v>
      </x:c>
      <x:c r="J46" s="42" t="n">
        <x:v>0</x:v>
      </x:c>
      <x:c r="K46" s="9" t="n">
        <x:f>IF(COUNTIFS('Lane Assignments'!$D$7:$D$66,D46,'Lane Assignments'!$M$7:$M$66,"MOBILIZED")=3,1,0)</x:f>
        <x:v>0</x:v>
      </x:c>
      <x:c r="L46" s="38" t="n">
        <x:f>IF(AND(J46=1,K46=1),H46,0)</x:f>
        <x:v>0</x:v>
      </x:c>
      <x:c r="M46" s="47"/>
      <x:c r="N46" s="47"/>
      <x:c r="O46" s="47"/>
      <x:c r="P46" s="47"/>
      <x:c r="Q46" s="47"/>
      <x:c r="R46" s="47"/>
      <x:c r="S46" s="47"/>
      <x:c r="T46" s="47"/>
      <x:c r="U46" s="47"/>
      <x:c r="V46" s="47"/>
      <x:c r="W46" s="47"/>
      <x:c r="X46" s="47"/>
      <x:c r="Y46" s="47"/>
      <x:c r="Z46" s="47"/>
    </x:row>
    <x:row r="47" ht="30" customHeight="1">
      <x:c r="C47" s="9" t="str">
        <x:v>SG-HU-B-M1</x:v>
      </x:c>
      <x:c r="D47" s="9" t="str">
        <x:v>MS-HU|B</x:v>
      </x:c>
      <x:c r="E47" s="9" t="str">
        <x:v>MS-HU</x:v>
      </x:c>
      <x:c r="F47" s="9" t="str">
        <x:v>M1</x:v>
      </x:c>
      <x:c r="G47" s="33" t="n">
        <x:v>0.5</x:v>
      </x:c>
      <x:c r="H47" s="38" t="n">
        <x:v>1.9137720186217515</x:v>
      </x:c>
      <x:c r="I47" s="13" t="str">
        <x:v>Three assigned lanes mobilized and paired challenge/control accepted</x:v>
      </x:c>
      <x:c r="J47" s="42" t="n">
        <x:v>0</x:v>
      </x:c>
      <x:c r="K47" s="9" t="n">
        <x:f>IF(COUNTIFS('Lane Assignments'!$D$7:$D$66,D47,'Lane Assignments'!$M$7:$M$66,"MOBILIZED")=3,1,0)</x:f>
        <x:v>0</x:v>
      </x:c>
      <x:c r="L47" s="38" t="n">
        <x:f>IF(AND(J47=1,K47=1),H47,0)</x:f>
        <x:v>0</x:v>
      </x:c>
      <x:c r="M47" s="47"/>
      <x:c r="N47" s="47"/>
      <x:c r="O47" s="47"/>
      <x:c r="P47" s="47"/>
      <x:c r="Q47" s="47"/>
      <x:c r="R47" s="47"/>
      <x:c r="S47" s="47"/>
      <x:c r="T47" s="47"/>
      <x:c r="U47" s="47"/>
      <x:c r="V47" s="47"/>
      <x:c r="W47" s="47"/>
      <x:c r="X47" s="47"/>
      <x:c r="Y47" s="47"/>
      <x:c r="Z47" s="47"/>
    </x:row>
    <x:row r="48" ht="30" customHeight="1">
      <x:c r="C48" s="9" t="str">
        <x:v>SG-HU-B-M2</x:v>
      </x:c>
      <x:c r="D48" s="9" t="str">
        <x:v>MS-HU|B</x:v>
      </x:c>
      <x:c r="E48" s="9" t="str">
        <x:v>MS-HU</x:v>
      </x:c>
      <x:c r="F48" s="9" t="str">
        <x:v>M2</x:v>
      </x:c>
      <x:c r="G48" s="33" t="n">
        <x:v>0.25</x:v>
      </x:c>
      <x:c r="H48" s="38" t="n">
        <x:v>0.9568860093108758</x:v>
      </x:c>
      <x:c r="I48" s="13" t="str">
        <x:v>Cold reconstruction, public custody and root disposition packet accepted</x:v>
      </x:c>
      <x:c r="J48" s="42" t="n">
        <x:v>0</x:v>
      </x:c>
      <x:c r="K48" s="9" t="n">
        <x:f>IF(COUNTIFS('Lane Assignments'!$D$7:$D$66,D48,'Lane Assignments'!$M$7:$M$66,"MOBILIZED")=3,1,0)</x:f>
        <x:v>0</x:v>
      </x:c>
      <x:c r="L48" s="38" t="n">
        <x:f>IF(AND(J48=1,K48=1),H48,0)</x:f>
        <x:v>0</x:v>
      </x:c>
      <x:c r="M48" s="47"/>
      <x:c r="N48" s="47"/>
      <x:c r="O48" s="47"/>
      <x:c r="P48" s="47"/>
      <x:c r="Q48" s="47"/>
      <x:c r="R48" s="47"/>
      <x:c r="S48" s="47"/>
      <x:c r="T48" s="47"/>
      <x:c r="U48" s="47"/>
      <x:c r="V48" s="47"/>
      <x:c r="W48" s="47"/>
      <x:c r="X48" s="47"/>
      <x:c r="Y48" s="47"/>
      <x:c r="Z48" s="47"/>
    </x:row>
    <x:row r="49" ht="30" customHeight="1">
      <x:c r="C49" s="9" t="str">
        <x:v>SG-HU-C-M0</x:v>
      </x:c>
      <x:c r="D49" s="9" t="str">
        <x:v>MS-HU|C</x:v>
      </x:c>
      <x:c r="E49" s="9" t="str">
        <x:v>MS-HU</x:v>
      </x:c>
      <x:c r="F49" s="9" t="str">
        <x:v>M0</x:v>
      </x:c>
      <x:c r="G49" s="33" t="n">
        <x:v>0.25</x:v>
      </x:c>
      <x:c r="H49" s="38" t="n">
        <x:v>0.8611974083797881</x:v>
      </x:c>
      <x:c r="I49" s="13" t="str">
        <x:v>Warrants, method, calibration and station plan accepted</x:v>
      </x:c>
      <x:c r="J49" s="42" t="n">
        <x:v>0</x:v>
      </x:c>
      <x:c r="K49" s="9" t="n">
        <x:f>IF(COUNTIFS('Lane Assignments'!$D$7:$D$66,D49,'Lane Assignments'!$M$7:$M$66,"MOBILIZED")=3,1,0)</x:f>
        <x:v>0</x:v>
      </x:c>
      <x:c r="L49" s="38" t="n">
        <x:f>IF(AND(J49=1,K49=1),H49,0)</x:f>
        <x:v>0</x:v>
      </x:c>
      <x:c r="M49" s="47"/>
      <x:c r="N49" s="47"/>
      <x:c r="O49" s="47"/>
      <x:c r="P49" s="47"/>
      <x:c r="Q49" s="47"/>
      <x:c r="R49" s="47"/>
      <x:c r="S49" s="47"/>
      <x:c r="T49" s="47"/>
      <x:c r="U49" s="47"/>
      <x:c r="V49" s="47"/>
      <x:c r="W49" s="47"/>
      <x:c r="X49" s="47"/>
      <x:c r="Y49" s="47"/>
      <x:c r="Z49" s="47"/>
    </x:row>
    <x:row r="50" ht="30" customHeight="1">
      <x:c r="C50" s="9" t="str">
        <x:v>SG-HU-C-M1</x:v>
      </x:c>
      <x:c r="D50" s="9" t="str">
        <x:v>MS-HU|C</x:v>
      </x:c>
      <x:c r="E50" s="9" t="str">
        <x:v>MS-HU</x:v>
      </x:c>
      <x:c r="F50" s="9" t="str">
        <x:v>M1</x:v>
      </x:c>
      <x:c r="G50" s="33" t="n">
        <x:v>0.5</x:v>
      </x:c>
      <x:c r="H50" s="38" t="n">
        <x:v>1.7223948167595762</x:v>
      </x:c>
      <x:c r="I50" s="13" t="str">
        <x:v>Three assigned lanes mobilized and paired challenge/control accepted</x:v>
      </x:c>
      <x:c r="J50" s="42" t="n">
        <x:v>0</x:v>
      </x:c>
      <x:c r="K50" s="9" t="n">
        <x:f>IF(COUNTIFS('Lane Assignments'!$D$7:$D$66,D50,'Lane Assignments'!$M$7:$M$66,"MOBILIZED")=3,1,0)</x:f>
        <x:v>0</x:v>
      </x:c>
      <x:c r="L50" s="38" t="n">
        <x:f>IF(AND(J50=1,K50=1),H50,0)</x:f>
        <x:v>0</x:v>
      </x:c>
      <x:c r="M50" s="47"/>
      <x:c r="N50" s="47"/>
      <x:c r="O50" s="47"/>
      <x:c r="P50" s="47"/>
      <x:c r="Q50" s="47"/>
      <x:c r="R50" s="47"/>
      <x:c r="S50" s="47"/>
      <x:c r="T50" s="47"/>
      <x:c r="U50" s="47"/>
      <x:c r="V50" s="47"/>
      <x:c r="W50" s="47"/>
      <x:c r="X50" s="47"/>
      <x:c r="Y50" s="47"/>
      <x:c r="Z50" s="47"/>
    </x:row>
    <x:row r="51" ht="30" customHeight="1">
      <x:c r="C51" s="9" t="str">
        <x:v>SG-HU-C-M2</x:v>
      </x:c>
      <x:c r="D51" s="9" t="str">
        <x:v>MS-HU|C</x:v>
      </x:c>
      <x:c r="E51" s="9" t="str">
        <x:v>MS-HU</x:v>
      </x:c>
      <x:c r="F51" s="9" t="str">
        <x:v>M2</x:v>
      </x:c>
      <x:c r="G51" s="33" t="n">
        <x:v>0.25</x:v>
      </x:c>
      <x:c r="H51" s="38" t="n">
        <x:v>0.8611974083797881</x:v>
      </x:c>
      <x:c r="I51" s="13" t="str">
        <x:v>Cold reconstruction, public custody and root disposition packet accepted</x:v>
      </x:c>
      <x:c r="J51" s="42" t="n">
        <x:v>0</x:v>
      </x:c>
      <x:c r="K51" s="9" t="n">
        <x:f>IF(COUNTIFS('Lane Assignments'!$D$7:$D$66,D51,'Lane Assignments'!$M$7:$M$66,"MOBILIZED")=3,1,0)</x:f>
        <x:v>0</x:v>
      </x:c>
      <x:c r="L51" s="38" t="n">
        <x:f>IF(AND(J51=1,K51=1),H51,0)</x:f>
        <x:v>0</x:v>
      </x:c>
      <x:c r="M51" s="47"/>
      <x:c r="N51" s="47"/>
      <x:c r="O51" s="47"/>
      <x:c r="P51" s="47"/>
      <x:c r="Q51" s="47"/>
      <x:c r="R51" s="47"/>
      <x:c r="S51" s="47"/>
      <x:c r="T51" s="47"/>
      <x:c r="U51" s="47"/>
      <x:c r="V51" s="47"/>
      <x:c r="W51" s="47"/>
      <x:c r="X51" s="47"/>
      <x:c r="Y51" s="47"/>
      <x:c r="Z51" s="47"/>
    </x:row>
    <x:row r="52" ht="30" customHeight="1">
      <x:c r="C52" s="9" t="str">
        <x:v>SG-HU-D-M0</x:v>
      </x:c>
      <x:c r="D52" s="9" t="str">
        <x:v>MS-HU|D</x:v>
      </x:c>
      <x:c r="E52" s="9" t="str">
        <x:v>MS-HU</x:v>
      </x:c>
      <x:c r="F52" s="9" t="str">
        <x:v>M0</x:v>
      </x:c>
      <x:c r="G52" s="33" t="n">
        <x:v>0.25</x:v>
      </x:c>
      <x:c r="H52" s="38" t="n">
        <x:v>0.8611974083797881</x:v>
      </x:c>
      <x:c r="I52" s="13" t="str">
        <x:v>Warrants, method, calibration and station plan accepted</x:v>
      </x:c>
      <x:c r="J52" s="42" t="n">
        <x:v>0</x:v>
      </x:c>
      <x:c r="K52" s="9" t="n">
        <x:f>IF(COUNTIFS('Lane Assignments'!$D$7:$D$66,D52,'Lane Assignments'!$M$7:$M$66,"MOBILIZED")=3,1,0)</x:f>
        <x:v>0</x:v>
      </x:c>
      <x:c r="L52" s="38" t="n">
        <x:f>IF(AND(J52=1,K52=1),H52,0)</x:f>
        <x:v>0</x:v>
      </x:c>
      <x:c r="M52" s="47"/>
      <x:c r="N52" s="47"/>
      <x:c r="O52" s="47"/>
      <x:c r="P52" s="47"/>
      <x:c r="Q52" s="47"/>
      <x:c r="R52" s="47"/>
      <x:c r="S52" s="47"/>
      <x:c r="T52" s="47"/>
      <x:c r="U52" s="47"/>
      <x:c r="V52" s="47"/>
      <x:c r="W52" s="47"/>
      <x:c r="X52" s="47"/>
      <x:c r="Y52" s="47"/>
      <x:c r="Z52" s="47"/>
    </x:row>
    <x:row r="53" ht="30" customHeight="1">
      <x:c r="C53" s="9" t="str">
        <x:v>SG-HU-D-M1</x:v>
      </x:c>
      <x:c r="D53" s="9" t="str">
        <x:v>MS-HU|D</x:v>
      </x:c>
      <x:c r="E53" s="9" t="str">
        <x:v>MS-HU</x:v>
      </x:c>
      <x:c r="F53" s="9" t="str">
        <x:v>M1</x:v>
      </x:c>
      <x:c r="G53" s="33" t="n">
        <x:v>0.5</x:v>
      </x:c>
      <x:c r="H53" s="38" t="n">
        <x:v>1.7223948167595762</x:v>
      </x:c>
      <x:c r="I53" s="13" t="str">
        <x:v>Three assigned lanes mobilized and paired challenge/control accepted</x:v>
      </x:c>
      <x:c r="J53" s="42" t="n">
        <x:v>0</x:v>
      </x:c>
      <x:c r="K53" s="9" t="n">
        <x:f>IF(COUNTIFS('Lane Assignments'!$D$7:$D$66,D53,'Lane Assignments'!$M$7:$M$66,"MOBILIZED")=3,1,0)</x:f>
        <x:v>0</x:v>
      </x:c>
      <x:c r="L53" s="38" t="n">
        <x:f>IF(AND(J53=1,K53=1),H53,0)</x:f>
        <x:v>0</x:v>
      </x:c>
      <x:c r="M53" s="47"/>
      <x:c r="N53" s="47"/>
      <x:c r="O53" s="47"/>
      <x:c r="P53" s="47"/>
      <x:c r="Q53" s="47"/>
      <x:c r="R53" s="47"/>
      <x:c r="S53" s="47"/>
      <x:c r="T53" s="47"/>
      <x:c r="U53" s="47"/>
      <x:c r="V53" s="47"/>
      <x:c r="W53" s="47"/>
      <x:c r="X53" s="47"/>
      <x:c r="Y53" s="47"/>
      <x:c r="Z53" s="47"/>
    </x:row>
    <x:row r="54" ht="30" customHeight="1">
      <x:c r="C54" s="9" t="str">
        <x:v>SG-HU-D-M2</x:v>
      </x:c>
      <x:c r="D54" s="9" t="str">
        <x:v>MS-HU|D</x:v>
      </x:c>
      <x:c r="E54" s="9" t="str">
        <x:v>MS-HU</x:v>
      </x:c>
      <x:c r="F54" s="9" t="str">
        <x:v>M2</x:v>
      </x:c>
      <x:c r="G54" s="33" t="n">
        <x:v>0.25</x:v>
      </x:c>
      <x:c r="H54" s="38" t="n">
        <x:v>0.8611974083797881</x:v>
      </x:c>
      <x:c r="I54" s="13" t="str">
        <x:v>Cold reconstruction, public custody and root disposition packet accepted</x:v>
      </x:c>
      <x:c r="J54" s="42" t="n">
        <x:v>0</x:v>
      </x:c>
      <x:c r="K54" s="9" t="n">
        <x:f>IF(COUNTIFS('Lane Assignments'!$D$7:$D$66,D54,'Lane Assignments'!$M$7:$M$66,"MOBILIZED")=3,1,0)</x:f>
        <x:v>0</x:v>
      </x:c>
      <x:c r="L54" s="38" t="n">
        <x:f>IF(AND(J54=1,K54=1),H54,0)</x:f>
        <x:v>0</x:v>
      </x:c>
      <x:c r="M54" s="47"/>
      <x:c r="N54" s="47"/>
      <x:c r="O54" s="47"/>
      <x:c r="P54" s="47"/>
      <x:c r="Q54" s="47"/>
      <x:c r="R54" s="47"/>
      <x:c r="S54" s="47"/>
      <x:c r="T54" s="47"/>
      <x:c r="U54" s="47"/>
      <x:c r="V54" s="47"/>
      <x:c r="W54" s="47"/>
      <x:c r="X54" s="47"/>
      <x:c r="Y54" s="47"/>
      <x:c r="Z54" s="47"/>
    </x:row>
    <x:row r="55" ht="30" customHeight="1">
      <x:c r="C55" s="9" t="str">
        <x:v>SG-RT-A-M0</x:v>
      </x:c>
      <x:c r="D55" s="9" t="str">
        <x:v>MS-RT|A</x:v>
      </x:c>
      <x:c r="E55" s="9" t="str">
        <x:v>MS-RT</x:v>
      </x:c>
      <x:c r="F55" s="9" t="str">
        <x:v>M0</x:v>
      </x:c>
      <x:c r="G55" s="33" t="n">
        <x:v>0.25</x:v>
      </x:c>
      <x:c r="H55" s="38" t="n">
        <x:v>0.4749431423713254</x:v>
      </x:c>
      <x:c r="I55" s="13" t="str">
        <x:v>Warrants, method, calibration and station plan accepted</x:v>
      </x:c>
      <x:c r="J55" s="42" t="n">
        <x:v>0</x:v>
      </x:c>
      <x:c r="K55" s="9" t="n">
        <x:f>IF(COUNTIFS('Lane Assignments'!$D$7:$D$66,D55,'Lane Assignments'!$M$7:$M$66,"MOBILIZED")=3,1,0)</x:f>
        <x:v>0</x:v>
      </x:c>
      <x:c r="L55" s="38" t="n">
        <x:f>IF(AND(J55=1,K55=1),H55,0)</x:f>
        <x:v>0</x:v>
      </x:c>
      <x:c r="M55" s="47"/>
      <x:c r="N55" s="47"/>
      <x:c r="O55" s="47"/>
      <x:c r="P55" s="47"/>
      <x:c r="Q55" s="47"/>
      <x:c r="R55" s="47"/>
      <x:c r="S55" s="47"/>
      <x:c r="T55" s="47"/>
      <x:c r="U55" s="47"/>
      <x:c r="V55" s="47"/>
      <x:c r="W55" s="47"/>
      <x:c r="X55" s="47"/>
      <x:c r="Y55" s="47"/>
      <x:c r="Z55" s="47"/>
    </x:row>
    <x:row r="56" ht="30" customHeight="1">
      <x:c r="C56" s="9" t="str">
        <x:v>SG-RT-A-M1</x:v>
      </x:c>
      <x:c r="D56" s="9" t="str">
        <x:v>MS-RT|A</x:v>
      </x:c>
      <x:c r="E56" s="9" t="str">
        <x:v>MS-RT</x:v>
      </x:c>
      <x:c r="F56" s="9" t="str">
        <x:v>M1</x:v>
      </x:c>
      <x:c r="G56" s="33" t="n">
        <x:v>0.5</x:v>
      </x:c>
      <x:c r="H56" s="38" t="n">
        <x:v>0.9498862847426508</x:v>
      </x:c>
      <x:c r="I56" s="13" t="str">
        <x:v>Three assigned lanes mobilized and paired challenge/control accepted</x:v>
      </x:c>
      <x:c r="J56" s="42" t="n">
        <x:v>0</x:v>
      </x:c>
      <x:c r="K56" s="9" t="n">
        <x:f>IF(COUNTIFS('Lane Assignments'!$D$7:$D$66,D56,'Lane Assignments'!$M$7:$M$66,"MOBILIZED")=3,1,0)</x:f>
        <x:v>0</x:v>
      </x:c>
      <x:c r="L56" s="38" t="n">
        <x:f>IF(AND(J56=1,K56=1),H56,0)</x:f>
        <x:v>0</x:v>
      </x:c>
      <x:c r="M56" s="47"/>
      <x:c r="N56" s="47"/>
      <x:c r="O56" s="47"/>
      <x:c r="P56" s="47"/>
      <x:c r="Q56" s="47"/>
      <x:c r="R56" s="47"/>
      <x:c r="S56" s="47"/>
      <x:c r="T56" s="47"/>
      <x:c r="U56" s="47"/>
      <x:c r="V56" s="47"/>
      <x:c r="W56" s="47"/>
      <x:c r="X56" s="47"/>
      <x:c r="Y56" s="47"/>
      <x:c r="Z56" s="47"/>
    </x:row>
    <x:row r="57" ht="30" customHeight="1">
      <x:c r="C57" s="9" t="str">
        <x:v>SG-RT-A-M2</x:v>
      </x:c>
      <x:c r="D57" s="9" t="str">
        <x:v>MS-RT|A</x:v>
      </x:c>
      <x:c r="E57" s="9" t="str">
        <x:v>MS-RT</x:v>
      </x:c>
      <x:c r="F57" s="9" t="str">
        <x:v>M2</x:v>
      </x:c>
      <x:c r="G57" s="33" t="n">
        <x:v>0.25</x:v>
      </x:c>
      <x:c r="H57" s="38" t="n">
        <x:v>0.4749431423713254</x:v>
      </x:c>
      <x:c r="I57" s="13" t="str">
        <x:v>Cold reconstruction, public custody and root disposition packet accepted</x:v>
      </x:c>
      <x:c r="J57" s="42" t="n">
        <x:v>0</x:v>
      </x:c>
      <x:c r="K57" s="9" t="n">
        <x:f>IF(COUNTIFS('Lane Assignments'!$D$7:$D$66,D57,'Lane Assignments'!$M$7:$M$66,"MOBILIZED")=3,1,0)</x:f>
        <x:v>0</x:v>
      </x:c>
      <x:c r="L57" s="38" t="n">
        <x:f>IF(AND(J57=1,K57=1),H57,0)</x:f>
        <x:v>0</x:v>
      </x:c>
      <x:c r="M57" s="47"/>
      <x:c r="N57" s="47"/>
      <x:c r="O57" s="47"/>
      <x:c r="P57" s="47"/>
      <x:c r="Q57" s="47"/>
      <x:c r="R57" s="47"/>
      <x:c r="S57" s="47"/>
      <x:c r="T57" s="47"/>
      <x:c r="U57" s="47"/>
      <x:c r="V57" s="47"/>
      <x:c r="W57" s="47"/>
      <x:c r="X57" s="47"/>
      <x:c r="Y57" s="47"/>
      <x:c r="Z57" s="47"/>
    </x:row>
    <x:row r="58" ht="30" customHeight="1">
      <x:c r="C58" s="9" t="str">
        <x:v>SG-RT-B-M0</x:v>
      </x:c>
      <x:c r="D58" s="9" t="str">
        <x:v>MS-RT|B</x:v>
      </x:c>
      <x:c r="E58" s="9" t="str">
        <x:v>MS-RT</x:v>
      </x:c>
      <x:c r="F58" s="9" t="str">
        <x:v>M0</x:v>
      </x:c>
      <x:c r="G58" s="33" t="n">
        <x:v>0.25</x:v>
      </x:c>
      <x:c r="H58" s="38" t="n">
        <x:v>0.4749431423713254</x:v>
      </x:c>
      <x:c r="I58" s="13" t="str">
        <x:v>Warrants, method, calibration and station plan accepted</x:v>
      </x:c>
      <x:c r="J58" s="42" t="n">
        <x:v>0</x:v>
      </x:c>
      <x:c r="K58" s="9" t="n">
        <x:f>IF(COUNTIFS('Lane Assignments'!$D$7:$D$66,D58,'Lane Assignments'!$M$7:$M$66,"MOBILIZED")=3,1,0)</x:f>
        <x:v>0</x:v>
      </x:c>
      <x:c r="L58" s="38" t="n">
        <x:f>IF(AND(J58=1,K58=1),H58,0)</x:f>
        <x:v>0</x:v>
      </x:c>
      <x:c r="M58" s="47"/>
      <x:c r="N58" s="47"/>
      <x:c r="O58" s="47"/>
      <x:c r="P58" s="47"/>
      <x:c r="Q58" s="47"/>
      <x:c r="R58" s="47"/>
      <x:c r="S58" s="47"/>
      <x:c r="T58" s="47"/>
      <x:c r="U58" s="47"/>
      <x:c r="V58" s="47"/>
      <x:c r="W58" s="47"/>
      <x:c r="X58" s="47"/>
      <x:c r="Y58" s="47"/>
      <x:c r="Z58" s="47"/>
    </x:row>
    <x:row r="59" ht="30" customHeight="1">
      <x:c r="C59" s="9" t="str">
        <x:v>SG-RT-B-M1</x:v>
      </x:c>
      <x:c r="D59" s="9" t="str">
        <x:v>MS-RT|B</x:v>
      </x:c>
      <x:c r="E59" s="9" t="str">
        <x:v>MS-RT</x:v>
      </x:c>
      <x:c r="F59" s="9" t="str">
        <x:v>M1</x:v>
      </x:c>
      <x:c r="G59" s="33" t="n">
        <x:v>0.5</x:v>
      </x:c>
      <x:c r="H59" s="38" t="n">
        <x:v>0.9498862847426508</x:v>
      </x:c>
      <x:c r="I59" s="13" t="str">
        <x:v>Three assigned lanes mobilized and paired challenge/control accepted</x:v>
      </x:c>
      <x:c r="J59" s="42" t="n">
        <x:v>0</x:v>
      </x:c>
      <x:c r="K59" s="9" t="n">
        <x:f>IF(COUNTIFS('Lane Assignments'!$D$7:$D$66,D59,'Lane Assignments'!$M$7:$M$66,"MOBILIZED")=3,1,0)</x:f>
        <x:v>0</x:v>
      </x:c>
      <x:c r="L59" s="38" t="n">
        <x:f>IF(AND(J59=1,K59=1),H59,0)</x:f>
        <x:v>0</x:v>
      </x:c>
      <x:c r="M59" s="47"/>
      <x:c r="N59" s="47"/>
      <x:c r="O59" s="47"/>
      <x:c r="P59" s="47"/>
      <x:c r="Q59" s="47"/>
      <x:c r="R59" s="47"/>
      <x:c r="S59" s="47"/>
      <x:c r="T59" s="47"/>
      <x:c r="U59" s="47"/>
      <x:c r="V59" s="47"/>
      <x:c r="W59" s="47"/>
      <x:c r="X59" s="47"/>
      <x:c r="Y59" s="47"/>
      <x:c r="Z59" s="47"/>
    </x:row>
    <x:row r="60" ht="30" customHeight="1">
      <x:c r="C60" s="9" t="str">
        <x:v>SG-RT-B-M2</x:v>
      </x:c>
      <x:c r="D60" s="9" t="str">
        <x:v>MS-RT|B</x:v>
      </x:c>
      <x:c r="E60" s="9" t="str">
        <x:v>MS-RT</x:v>
      </x:c>
      <x:c r="F60" s="9" t="str">
        <x:v>M2</x:v>
      </x:c>
      <x:c r="G60" s="33" t="n">
        <x:v>0.25</x:v>
      </x:c>
      <x:c r="H60" s="38" t="n">
        <x:v>0.4749431423713254</x:v>
      </x:c>
      <x:c r="I60" s="13" t="str">
        <x:v>Cold reconstruction, public custody and root disposition packet accepted</x:v>
      </x:c>
      <x:c r="J60" s="42" t="n">
        <x:v>0</x:v>
      </x:c>
      <x:c r="K60" s="9" t="n">
        <x:f>IF(COUNTIFS('Lane Assignments'!$D$7:$D$66,D60,'Lane Assignments'!$M$7:$M$66,"MOBILIZED")=3,1,0)</x:f>
        <x:v>0</x:v>
      </x:c>
      <x:c r="L60" s="38" t="n">
        <x:f>IF(AND(J60=1,K60=1),H60,0)</x:f>
        <x:v>0</x:v>
      </x:c>
      <x:c r="M60" s="47"/>
      <x:c r="N60" s="47"/>
      <x:c r="O60" s="47"/>
      <x:c r="P60" s="47"/>
      <x:c r="Q60" s="47"/>
      <x:c r="R60" s="47"/>
      <x:c r="S60" s="47"/>
      <x:c r="T60" s="47"/>
      <x:c r="U60" s="47"/>
      <x:c r="V60" s="47"/>
      <x:c r="W60" s="47"/>
      <x:c r="X60" s="47"/>
      <x:c r="Y60" s="47"/>
      <x:c r="Z60" s="47"/>
    </x:row>
    <x:row r="61" ht="30" customHeight="1">
      <x:c r="C61" s="9" t="str">
        <x:v>SG-RT-C-M0</x:v>
      </x:c>
      <x:c r="D61" s="9" t="str">
        <x:v>MS-RT|C</x:v>
      </x:c>
      <x:c r="E61" s="9" t="str">
        <x:v>MS-RT</x:v>
      </x:c>
      <x:c r="F61" s="9" t="str">
        <x:v>M0</x:v>
      </x:c>
      <x:c r="G61" s="33" t="n">
        <x:v>0.25</x:v>
      </x:c>
      <x:c r="H61" s="38" t="n">
        <x:v>0.4749431423713254</x:v>
      </x:c>
      <x:c r="I61" s="13" t="str">
        <x:v>Warrants, method, calibration and station plan accepted</x:v>
      </x:c>
      <x:c r="J61" s="42" t="n">
        <x:v>0</x:v>
      </x:c>
      <x:c r="K61" s="9" t="n">
        <x:f>IF(COUNTIFS('Lane Assignments'!$D$7:$D$66,D61,'Lane Assignments'!$M$7:$M$66,"MOBILIZED")=3,1,0)</x:f>
        <x:v>0</x:v>
      </x:c>
      <x:c r="L61" s="38" t="n">
        <x:f>IF(AND(J61=1,K61=1),H61,0)</x:f>
        <x:v>0</x:v>
      </x:c>
      <x:c r="M61" s="47"/>
      <x:c r="N61" s="47"/>
      <x:c r="O61" s="47"/>
      <x:c r="P61" s="47"/>
      <x:c r="Q61" s="47"/>
      <x:c r="R61" s="47"/>
      <x:c r="S61" s="47"/>
      <x:c r="T61" s="47"/>
      <x:c r="U61" s="47"/>
      <x:c r="V61" s="47"/>
      <x:c r="W61" s="47"/>
      <x:c r="X61" s="47"/>
      <x:c r="Y61" s="47"/>
      <x:c r="Z61" s="47"/>
    </x:row>
    <x:row r="62" ht="30" customHeight="1">
      <x:c r="C62" s="9" t="str">
        <x:v>SG-RT-C-M1</x:v>
      </x:c>
      <x:c r="D62" s="9" t="str">
        <x:v>MS-RT|C</x:v>
      </x:c>
      <x:c r="E62" s="9" t="str">
        <x:v>MS-RT</x:v>
      </x:c>
      <x:c r="F62" s="9" t="str">
        <x:v>M1</x:v>
      </x:c>
      <x:c r="G62" s="33" t="n">
        <x:v>0.5</x:v>
      </x:c>
      <x:c r="H62" s="38" t="n">
        <x:v>0.9498862847426508</x:v>
      </x:c>
      <x:c r="I62" s="13" t="str">
        <x:v>Three assigned lanes mobilized and paired challenge/control accepted</x:v>
      </x:c>
      <x:c r="J62" s="42" t="n">
        <x:v>0</x:v>
      </x:c>
      <x:c r="K62" s="9" t="n">
        <x:f>IF(COUNTIFS('Lane Assignments'!$D$7:$D$66,D62,'Lane Assignments'!$M$7:$M$66,"MOBILIZED")=3,1,0)</x:f>
        <x:v>0</x:v>
      </x:c>
      <x:c r="L62" s="38" t="n">
        <x:f>IF(AND(J62=1,K62=1),H62,0)</x:f>
        <x:v>0</x:v>
      </x:c>
      <x:c r="M62" s="47"/>
      <x:c r="N62" s="47"/>
      <x:c r="O62" s="47"/>
      <x:c r="P62" s="47"/>
      <x:c r="Q62" s="47"/>
      <x:c r="R62" s="47"/>
      <x:c r="S62" s="47"/>
      <x:c r="T62" s="47"/>
      <x:c r="U62" s="47"/>
      <x:c r="V62" s="47"/>
      <x:c r="W62" s="47"/>
      <x:c r="X62" s="47"/>
      <x:c r="Y62" s="47"/>
      <x:c r="Z62" s="47"/>
    </x:row>
    <x:row r="63" ht="30" customHeight="1">
      <x:c r="C63" s="9" t="str">
        <x:v>SG-RT-C-M2</x:v>
      </x:c>
      <x:c r="D63" s="9" t="str">
        <x:v>MS-RT|C</x:v>
      </x:c>
      <x:c r="E63" s="9" t="str">
        <x:v>MS-RT</x:v>
      </x:c>
      <x:c r="F63" s="9" t="str">
        <x:v>M2</x:v>
      </x:c>
      <x:c r="G63" s="33" t="n">
        <x:v>0.25</x:v>
      </x:c>
      <x:c r="H63" s="38" t="n">
        <x:v>0.4749431423713254</x:v>
      </x:c>
      <x:c r="I63" s="13" t="str">
        <x:v>Cold reconstruction, public custody and root disposition packet accepted</x:v>
      </x:c>
      <x:c r="J63" s="42" t="n">
        <x:v>0</x:v>
      </x:c>
      <x:c r="K63" s="9" t="n">
        <x:f>IF(COUNTIFS('Lane Assignments'!$D$7:$D$66,D63,'Lane Assignments'!$M$7:$M$66,"MOBILIZED")=3,1,0)</x:f>
        <x:v>0</x:v>
      </x:c>
      <x:c r="L63" s="38" t="n">
        <x:f>IF(AND(J63=1,K63=1),H63,0)</x:f>
        <x:v>0</x:v>
      </x:c>
      <x:c r="M63" s="47"/>
      <x:c r="N63" s="47"/>
      <x:c r="O63" s="47"/>
      <x:c r="P63" s="47"/>
      <x:c r="Q63" s="47"/>
      <x:c r="R63" s="47"/>
      <x:c r="S63" s="47"/>
      <x:c r="T63" s="47"/>
      <x:c r="U63" s="47"/>
      <x:c r="V63" s="47"/>
      <x:c r="W63" s="47"/>
      <x:c r="X63" s="47"/>
      <x:c r="Y63" s="47"/>
      <x:c r="Z63" s="47"/>
    </x:row>
    <x:row r="64" ht="30" customHeight="1">
      <x:c r="C64" s="9" t="str">
        <x:v>SG-RT-D-M0</x:v>
      </x:c>
      <x:c r="D64" s="9" t="str">
        <x:v>MS-RT|D</x:v>
      </x:c>
      <x:c r="E64" s="9" t="str">
        <x:v>MS-RT</x:v>
      </x:c>
      <x:c r="F64" s="9" t="str">
        <x:v>M0</x:v>
      </x:c>
      <x:c r="G64" s="33" t="n">
        <x:v>0.25</x:v>
      </x:c>
      <x:c r="H64" s="38" t="n">
        <x:v>0.4749431423713254</x:v>
      </x:c>
      <x:c r="I64" s="13" t="str">
        <x:v>Warrants, method, calibration and station plan accepted</x:v>
      </x:c>
      <x:c r="J64" s="42" t="n">
        <x:v>0</x:v>
      </x:c>
      <x:c r="K64" s="9" t="n">
        <x:f>IF(COUNTIFS('Lane Assignments'!$D$7:$D$66,D64,'Lane Assignments'!$M$7:$M$66,"MOBILIZED")=3,1,0)</x:f>
        <x:v>0</x:v>
      </x:c>
      <x:c r="L64" s="38" t="n">
        <x:f>IF(AND(J64=1,K64=1),H64,0)</x:f>
        <x:v>0</x:v>
      </x:c>
      <x:c r="M64" s="47"/>
      <x:c r="N64" s="47"/>
      <x:c r="O64" s="47"/>
      <x:c r="P64" s="47"/>
      <x:c r="Q64" s="47"/>
      <x:c r="R64" s="47"/>
      <x:c r="S64" s="47"/>
      <x:c r="T64" s="47"/>
      <x:c r="U64" s="47"/>
      <x:c r="V64" s="47"/>
      <x:c r="W64" s="47"/>
      <x:c r="X64" s="47"/>
      <x:c r="Y64" s="47"/>
      <x:c r="Z64" s="47"/>
    </x:row>
    <x:row r="65" ht="30" customHeight="1">
      <x:c r="C65" s="9" t="str">
        <x:v>SG-RT-D-M1</x:v>
      </x:c>
      <x:c r="D65" s="9" t="str">
        <x:v>MS-RT|D</x:v>
      </x:c>
      <x:c r="E65" s="9" t="str">
        <x:v>MS-RT</x:v>
      </x:c>
      <x:c r="F65" s="9" t="str">
        <x:v>M1</x:v>
      </x:c>
      <x:c r="G65" s="33" t="n">
        <x:v>0.5</x:v>
      </x:c>
      <x:c r="H65" s="38" t="n">
        <x:v>0.9498862847426508</x:v>
      </x:c>
      <x:c r="I65" s="13" t="str">
        <x:v>Three assigned lanes mobilized and paired challenge/control accepted</x:v>
      </x:c>
      <x:c r="J65" s="42" t="n">
        <x:v>0</x:v>
      </x:c>
      <x:c r="K65" s="9" t="n">
        <x:f>IF(COUNTIFS('Lane Assignments'!$D$7:$D$66,D65,'Lane Assignments'!$M$7:$M$66,"MOBILIZED")=3,1,0)</x:f>
        <x:v>0</x:v>
      </x:c>
      <x:c r="L65" s="38" t="n">
        <x:f>IF(AND(J65=1,K65=1),H65,0)</x:f>
        <x:v>0</x:v>
      </x:c>
      <x:c r="M65" s="47"/>
      <x:c r="N65" s="47"/>
      <x:c r="O65" s="47"/>
      <x:c r="P65" s="47"/>
      <x:c r="Q65" s="47"/>
      <x:c r="R65" s="47"/>
      <x:c r="S65" s="47"/>
      <x:c r="T65" s="47"/>
      <x:c r="U65" s="47"/>
      <x:c r="V65" s="47"/>
      <x:c r="W65" s="47"/>
      <x:c r="X65" s="47"/>
      <x:c r="Y65" s="47"/>
      <x:c r="Z65" s="47"/>
    </x:row>
    <x:row r="66" ht="30" customHeight="1">
      <x:c r="C66" s="10" t="str">
        <x:v>SG-RT-D-M2</x:v>
      </x:c>
      <x:c r="D66" s="10" t="str">
        <x:v>MS-RT|D</x:v>
      </x:c>
      <x:c r="E66" s="10" t="str">
        <x:v>MS-RT</x:v>
      </x:c>
      <x:c r="F66" s="10" t="str">
        <x:v>M2</x:v>
      </x:c>
      <x:c r="G66" s="44" t="n">
        <x:v>0.25</x:v>
      </x:c>
      <x:c r="H66" s="39" t="n">
        <x:v>0.4749431423713254</x:v>
      </x:c>
      <x:c r="I66" s="14" t="str">
        <x:v>Cold reconstruction, public custody and root disposition packet accepted</x:v>
      </x:c>
      <x:c r="J66" s="43" t="n">
        <x:v>0</x:v>
      </x:c>
      <x:c r="K66" s="10" t="n">
        <x:f>IF(COUNTIFS('Lane Assignments'!$D$7:$D$66,D66,'Lane Assignments'!$M$7:$M$66,"MOBILIZED")=3,1,0)</x:f>
        <x:v>0</x:v>
      </x:c>
      <x:c r="L66" s="39" t="n">
        <x:f>IF(AND(J66=1,K66=1),H66,0)</x:f>
        <x:v>0</x:v>
      </x:c>
      <x:c r="M66" s="47"/>
      <x:c r="N66" s="47"/>
      <x:c r="O66" s="47"/>
      <x:c r="P66" s="47"/>
      <x:c r="Q66" s="47"/>
      <x:c r="R66" s="47"/>
      <x:c r="S66" s="47"/>
      <x:c r="T66" s="47"/>
      <x:c r="U66" s="47"/>
      <x:c r="V66" s="47"/>
      <x:c r="W66" s="47"/>
      <x:c r="X66" s="47"/>
      <x:c r="Y66" s="47"/>
      <x:c r="Z66" s="47"/>
    </x:row>
    <x:row r="67">
      <x:c r="C67" s="9"/>
      <x:c r="D67" s="9"/>
      <x:c r="E67" s="9"/>
      <x:c r="F67" s="9"/>
      <x:c r="G67" s="9"/>
      <x:c r="H67" s="9"/>
      <x:c r="I67" s="9"/>
      <x:c r="J67" s="9"/>
      <x:c r="K67" s="9"/>
      <x:c r="L67" s="9"/>
      <x:c r="M67" s="47"/>
      <x:c r="N67" s="47"/>
      <x:c r="O67" s="47"/>
      <x:c r="P67" s="47"/>
      <x:c r="Q67" s="47"/>
      <x:c r="R67" s="47"/>
      <x:c r="S67" s="47"/>
      <x:c r="T67" s="47"/>
      <x:c r="U67" s="47"/>
      <x:c r="V67" s="47"/>
      <x:c r="W67" s="47"/>
      <x:c r="X67" s="47"/>
      <x:c r="Y67" s="47"/>
      <x:c r="Z67" s="47"/>
    </x:row>
    <x:row r="68">
      <x:c r="C68" s="9"/>
      <x:c r="D68" s="9"/>
      <x:c r="E68" s="9"/>
      <x:c r="F68" s="9"/>
      <x:c r="G68" s="9"/>
      <x:c r="H68" s="9"/>
      <x:c r="I68" s="9"/>
      <x:c r="J68" s="9"/>
      <x:c r="K68" s="9"/>
      <x:c r="L68" s="9"/>
      <x:c r="M68" s="47"/>
      <x:c r="N68" s="47"/>
      <x:c r="O68" s="47"/>
      <x:c r="P68" s="47"/>
      <x:c r="Q68" s="47"/>
      <x:c r="R68" s="47"/>
      <x:c r="S68" s="47"/>
      <x:c r="T68" s="47"/>
      <x:c r="U68" s="47"/>
      <x:c r="V68" s="47"/>
      <x:c r="W68" s="47"/>
      <x:c r="X68" s="47"/>
      <x:c r="Y68" s="47"/>
      <x:c r="Z68" s="47"/>
    </x:row>
    <x:row r="69">
      <x:c r="C69" s="9"/>
      <x:c r="D69" s="9"/>
      <x:c r="E69" s="9"/>
      <x:c r="F69" s="9"/>
      <x:c r="G69" s="9"/>
      <x:c r="H69" s="9"/>
      <x:c r="I69" s="9"/>
      <x:c r="J69" s="9"/>
      <x:c r="K69" s="9"/>
      <x:c r="L69" s="9"/>
      <x:c r="M69" s="47"/>
      <x:c r="N69" s="47"/>
      <x:c r="O69" s="47"/>
      <x:c r="P69" s="47"/>
      <x:c r="Q69" s="47"/>
      <x:c r="R69" s="47"/>
      <x:c r="S69" s="47"/>
      <x:c r="T69" s="47"/>
      <x:c r="U69" s="47"/>
      <x:c r="V69" s="47"/>
      <x:c r="W69" s="47"/>
      <x:c r="X69" s="47"/>
      <x:c r="Y69" s="47"/>
      <x:c r="Z69" s="47"/>
    </x:row>
    <x:row r="70">
      <x:c r="C70" s="9"/>
      <x:c r="D70" s="9"/>
      <x:c r="E70" s="9"/>
      <x:c r="F70" s="9"/>
      <x:c r="G70" s="9"/>
      <x:c r="H70" s="9"/>
      <x:c r="I70" s="9"/>
      <x:c r="J70" s="9"/>
      <x:c r="K70" s="9"/>
      <x:c r="L70" s="9"/>
      <x:c r="M70" s="47"/>
      <x:c r="N70" s="47"/>
      <x:c r="O70" s="47"/>
      <x:c r="P70" s="47"/>
      <x:c r="Q70" s="47"/>
      <x:c r="R70" s="47"/>
      <x:c r="S70" s="47"/>
      <x:c r="T70" s="47"/>
      <x:c r="U70" s="47"/>
      <x:c r="V70" s="47"/>
      <x:c r="W70" s="47"/>
      <x:c r="X70" s="47"/>
      <x:c r="Y70" s="47"/>
      <x:c r="Z70" s="47"/>
    </x:row>
  </x:sheetData>
  <x:dataValidations count="1">
    <x:dataValidation type="list" sqref="J7:J66">
      <x:formula1>"0,1"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3" max="3" width="18" hidden="0" customWidth="1"/>
    <x:col min="4" max="4" width="13" hidden="0" customWidth="1"/>
    <x:col min="5" max="5" width="20" hidden="0" customWidth="1"/>
    <x:col min="6" max="6" width="15" hidden="0" customWidth="1"/>
    <x:col min="7" max="7" width="18" hidden="0" customWidth="1"/>
    <x:col min="8" max="8" width="18" hidden="0" customWidth="1"/>
    <x:col min="9" max="9" width="20" hidden="0" customWidth="1"/>
    <x:col min="10" max="10" width="18" hidden="0" customWidth="1"/>
    <x:col min="11" max="11" width="18" hidden="0" customWidth="1"/>
    <x:col min="12" max="12" width="22" hidden="0" customWidth="1"/>
  </x:cols>
  <x:sheetData>
    <x:row r="1"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47"/>
      <x:c r="N1" s="47"/>
      <x:c r="O1" s="47"/>
      <x:c r="P1" s="47"/>
      <x:c r="Q1" s="47"/>
      <x:c r="R1" s="47"/>
      <x:c r="S1" s="47"/>
      <x:c r="T1" s="47"/>
      <x:c r="U1" s="47"/>
      <x:c r="V1" s="47"/>
      <x:c r="W1" s="47"/>
      <x:c r="X1" s="47"/>
      <x:c r="Y1" s="47"/>
      <x:c r="Z1" s="47"/>
    </x:row>
    <x:row r="2">
      <x:c r="C2" s="48" t="str">
        <x:v>Station capacity for the 240-event program</x:v>
      </x:c>
      <x:c r="D2" s="9"/>
      <x:c r="E2" s="9"/>
      <x:c r="F2" s="9"/>
      <x:c r="G2" s="9"/>
      <x:c r="H2" s="9"/>
      <x:c r="I2" s="9"/>
      <x:c r="J2" s="9"/>
      <x:c r="K2" s="9"/>
      <x:c r="L2" s="9"/>
      <x:c r="M2" s="47"/>
      <x:c r="N2" s="47"/>
      <x:c r="O2" s="47"/>
      <x:c r="P2" s="47"/>
      <x:c r="Q2" s="47"/>
      <x:c r="R2" s="47"/>
      <x:c r="S2" s="47"/>
      <x:c r="T2" s="47"/>
      <x:c r="U2" s="47"/>
      <x:c r="V2" s="47"/>
      <x:c r="W2" s="47"/>
      <x:c r="X2" s="47"/>
      <x:c r="Y2" s="47"/>
      <x:c r="Z2" s="47"/>
    </x:row>
    <x:row r="3">
      <x:c r="C3" s="49" t="str">
        <x:v>Four campaign lanes per station carry four valid events each. The fifth lane regenerates capability and never adds evidence credit.</x:v>
      </x:c>
      <x:c r="D3" s="9"/>
      <x:c r="E3" s="9"/>
      <x:c r="F3" s="9"/>
      <x:c r="G3" s="9"/>
      <x:c r="H3" s="9"/>
      <x:c r="I3" s="9"/>
      <x:c r="J3" s="9"/>
      <x:c r="K3" s="9"/>
      <x:c r="L3" s="9"/>
      <x:c r="M3" s="47"/>
      <x:c r="N3" s="47"/>
      <x:c r="O3" s="47"/>
      <x:c r="P3" s="47"/>
      <x:c r="Q3" s="47"/>
      <x:c r="R3" s="47"/>
      <x:c r="S3" s="47"/>
      <x:c r="T3" s="47"/>
      <x:c r="U3" s="47"/>
      <x:c r="V3" s="47"/>
      <x:c r="W3" s="47"/>
      <x:c r="X3" s="47"/>
      <x:c r="Y3" s="47"/>
      <x:c r="Z3" s="47"/>
    </x:row>
    <x:row r="4">
      <x:c r="C4" s="50"/>
      <x:c r="D4" s="50"/>
      <x:c r="E4" s="50"/>
      <x:c r="F4" s="50"/>
      <x:c r="G4" s="50"/>
      <x:c r="H4" s="50"/>
      <x:c r="I4" s="50"/>
      <x:c r="J4" s="50"/>
      <x:c r="K4" s="50"/>
      <x:c r="L4" s="50"/>
      <x:c r="M4" s="51"/>
      <x:c r="N4" s="51"/>
      <x:c r="O4" s="51"/>
      <x:c r="P4" s="51"/>
      <x:c r="Q4" s="51"/>
      <x:c r="R4" s="51"/>
      <x:c r="S4" s="51"/>
      <x:c r="T4" s="51"/>
      <x:c r="U4" s="51"/>
      <x:c r="V4" s="51"/>
      <x:c r="W4" s="51"/>
      <x:c r="X4" s="51"/>
      <x:c r="Y4" s="51"/>
      <x:c r="Z4" s="51"/>
    </x:row>
    <x:row r="5">
      <x:c r="C5" s="9"/>
      <x:c r="D5" s="9"/>
      <x:c r="E5" s="9"/>
      <x:c r="F5" s="9"/>
      <x:c r="G5" s="9"/>
      <x:c r="H5" s="9"/>
      <x:c r="I5" s="9"/>
      <x:c r="J5" s="9"/>
      <x:c r="K5" s="9"/>
      <x:c r="L5" s="9"/>
      <x:c r="M5" s="47"/>
      <x:c r="N5" s="47"/>
      <x:c r="O5" s="47"/>
      <x:c r="P5" s="47"/>
      <x:c r="Q5" s="47"/>
      <x:c r="R5" s="47"/>
      <x:c r="S5" s="47"/>
      <x:c r="T5" s="47"/>
      <x:c r="U5" s="47"/>
      <x:c r="V5" s="47"/>
      <x:c r="W5" s="47"/>
      <x:c r="X5" s="47"/>
      <x:c r="Y5" s="47"/>
      <x:c r="Z5" s="47"/>
    </x:row>
    <x:row r="6" ht="28" customHeight="1">
      <x:c r="C6" s="26" t="str">
        <x:v>Station</x:v>
      </x:c>
      <x:c r="D6" s="32" t="str">
        <x:v>System</x:v>
      </x:c>
      <x:c r="E6" s="32" t="str">
        <x:v>Role</x:v>
      </x:c>
      <x:c r="F6" s="32" t="str">
        <x:v>Designed lanes</x:v>
      </x:c>
      <x:c r="G6" s="32" t="str">
        <x:v>Campaign lanes</x:v>
      </x:c>
      <x:c r="H6" s="32" t="str">
        <x:v>Reserve lanes</x:v>
      </x:c>
      <x:c r="I6" s="32" t="str">
        <x:v>Valid events per campaign lane</x:v>
      </x:c>
      <x:c r="J6" s="32" t="str">
        <x:v>Required valid events</x:v>
      </x:c>
      <x:c r="K6" s="32" t="str">
        <x:v>Maximum credited events</x:v>
      </x:c>
      <x:c r="L6" s="27" t="str">
        <x:v>Current station state</x:v>
      </x:c>
      <x:c r="M6" s="47"/>
      <x:c r="N6" s="47"/>
      <x:c r="O6" s="47"/>
      <x:c r="P6" s="47"/>
      <x:c r="Q6" s="47"/>
      <x:c r="R6" s="47"/>
      <x:c r="S6" s="47"/>
      <x:c r="T6" s="47"/>
      <x:c r="U6" s="47"/>
      <x:c r="V6" s="47"/>
      <x:c r="W6" s="47"/>
      <x:c r="X6" s="47"/>
      <x:c r="Y6" s="47"/>
      <x:c r="Z6" s="47"/>
    </x:row>
    <x:row r="7">
      <x:c r="C7" s="9" t="str">
        <x:v>ST-ET-CHL</x:v>
      </x:c>
      <x:c r="D7" s="9" t="str">
        <x:v>MS-ET</x:v>
      </x:c>
      <x:c r="E7" s="9" t="str">
        <x:v>Challenge</x:v>
      </x:c>
      <x:c r="F7" s="9" t="n">
        <x:v>5</x:v>
      </x:c>
      <x:c r="G7" s="9" t="n">
        <x:v>4</x:v>
      </x:c>
      <x:c r="H7" s="9" t="n">
        <x:v>1</x:v>
      </x:c>
      <x:c r="I7" s="9" t="n">
        <x:v>4</x:v>
      </x:c>
      <x:c r="J7" s="9" t="n">
        <x:f>G7*I7</x:f>
        <x:v>16</x:v>
      </x:c>
      <x:c r="K7" s="9" t="n">
        <x:f>J7</x:f>
        <x:v>16</x:v>
      </x:c>
      <x:c r="L7" s="9" t="str">
        <x:f>'Station Topology'!M7</x:f>
        <x:v>NOT COMMISSIONED</x:v>
      </x:c>
      <x:c r="M7" s="47"/>
      <x:c r="N7" s="47"/>
      <x:c r="O7" s="47"/>
      <x:c r="P7" s="47"/>
      <x:c r="Q7" s="47"/>
      <x:c r="R7" s="47"/>
      <x:c r="S7" s="47"/>
      <x:c r="T7" s="47"/>
      <x:c r="U7" s="47"/>
      <x:c r="V7" s="47"/>
      <x:c r="W7" s="47"/>
      <x:c r="X7" s="47"/>
      <x:c r="Y7" s="47"/>
      <x:c r="Z7" s="47"/>
    </x:row>
    <x:row r="8">
      <x:c r="C8" s="9" t="str">
        <x:v>ST-ET-CTL</x:v>
      </x:c>
      <x:c r="D8" s="9" t="str">
        <x:v>MS-ET</x:v>
      </x:c>
      <x:c r="E8" s="9" t="str">
        <x:v>Matched control</x:v>
      </x:c>
      <x:c r="F8" s="9" t="n">
        <x:v>5</x:v>
      </x:c>
      <x:c r="G8" s="9" t="n">
        <x:v>4</x:v>
      </x:c>
      <x:c r="H8" s="9" t="n">
        <x:v>1</x:v>
      </x:c>
      <x:c r="I8" s="9" t="n">
        <x:v>4</x:v>
      </x:c>
      <x:c r="J8" s="9" t="n">
        <x:f>G8*I8</x:f>
        <x:v>16</x:v>
      </x:c>
      <x:c r="K8" s="9" t="n">
        <x:f>J8</x:f>
        <x:v>16</x:v>
      </x:c>
      <x:c r="L8" s="9" t="str">
        <x:f>'Station Topology'!M8</x:f>
        <x:v>NOT COMMISSIONED</x:v>
      </x:c>
      <x:c r="M8" s="47"/>
      <x:c r="N8" s="47"/>
      <x:c r="O8" s="47"/>
      <x:c r="P8" s="47"/>
      <x:c r="Q8" s="47"/>
      <x:c r="R8" s="47"/>
      <x:c r="S8" s="47"/>
      <x:c r="T8" s="47"/>
      <x:c r="U8" s="47"/>
      <x:c r="V8" s="47"/>
      <x:c r="W8" s="47"/>
      <x:c r="X8" s="47"/>
      <x:c r="Y8" s="47"/>
      <x:c r="Z8" s="47"/>
    </x:row>
    <x:row r="9">
      <x:c r="C9" s="9" t="str">
        <x:v>ST-ET-REP</x:v>
      </x:c>
      <x:c r="D9" s="9" t="str">
        <x:v>MS-ET</x:v>
      </x:c>
      <x:c r="E9" s="9" t="str">
        <x:v>Cold reproduction</x:v>
      </x:c>
      <x:c r="F9" s="9" t="n">
        <x:v>5</x:v>
      </x:c>
      <x:c r="G9" s="9" t="n">
        <x:v>4</x:v>
      </x:c>
      <x:c r="H9" s="9" t="n">
        <x:v>1</x:v>
      </x:c>
      <x:c r="I9" s="9" t="n">
        <x:v>4</x:v>
      </x:c>
      <x:c r="J9" s="9" t="n">
        <x:f>G9*I9</x:f>
        <x:v>16</x:v>
      </x:c>
      <x:c r="K9" s="9" t="n">
        <x:f>J9</x:f>
        <x:v>16</x:v>
      </x:c>
      <x:c r="L9" s="9" t="str">
        <x:f>'Station Topology'!M9</x:f>
        <x:v>NOT COMMISSIONED</x:v>
      </x:c>
      <x:c r="M9" s="47"/>
      <x:c r="N9" s="47"/>
      <x:c r="O9" s="47"/>
      <x:c r="P9" s="47"/>
      <x:c r="Q9" s="47"/>
      <x:c r="R9" s="47"/>
      <x:c r="S9" s="47"/>
      <x:c r="T9" s="47"/>
      <x:c r="U9" s="47"/>
      <x:c r="V9" s="47"/>
      <x:c r="W9" s="47"/>
      <x:c r="X9" s="47"/>
      <x:c r="Y9" s="47"/>
      <x:c r="Z9" s="47"/>
    </x:row>
    <x:row r="10">
      <x:c r="C10" s="9" t="str">
        <x:v>ST-CT-CHL</x:v>
      </x:c>
      <x:c r="D10" s="9" t="str">
        <x:v>MS-CT</x:v>
      </x:c>
      <x:c r="E10" s="9" t="str">
        <x:v>Challenge</x:v>
      </x:c>
      <x:c r="F10" s="9" t="n">
        <x:v>5</x:v>
      </x:c>
      <x:c r="G10" s="9" t="n">
        <x:v>4</x:v>
      </x:c>
      <x:c r="H10" s="9" t="n">
        <x:v>1</x:v>
      </x:c>
      <x:c r="I10" s="9" t="n">
        <x:v>4</x:v>
      </x:c>
      <x:c r="J10" s="9" t="n">
        <x:f>G10*I10</x:f>
        <x:v>16</x:v>
      </x:c>
      <x:c r="K10" s="9" t="n">
        <x:f>J10</x:f>
        <x:v>16</x:v>
      </x:c>
      <x:c r="L10" s="9" t="str">
        <x:f>'Station Topology'!M10</x:f>
        <x:v>NOT COMMISSIONED</x:v>
      </x:c>
      <x:c r="M10" s="47"/>
      <x:c r="N10" s="47"/>
      <x:c r="O10" s="47"/>
      <x:c r="P10" s="47"/>
      <x:c r="Q10" s="47"/>
      <x:c r="R10" s="47"/>
      <x:c r="S10" s="47"/>
      <x:c r="T10" s="47"/>
      <x:c r="U10" s="47"/>
      <x:c r="V10" s="47"/>
      <x:c r="W10" s="47"/>
      <x:c r="X10" s="47"/>
      <x:c r="Y10" s="47"/>
      <x:c r="Z10" s="47"/>
    </x:row>
    <x:row r="11">
      <x:c r="C11" s="9" t="str">
        <x:v>ST-CT-CTL</x:v>
      </x:c>
      <x:c r="D11" s="9" t="str">
        <x:v>MS-CT</x:v>
      </x:c>
      <x:c r="E11" s="9" t="str">
        <x:v>Matched control</x:v>
      </x:c>
      <x:c r="F11" s="9" t="n">
        <x:v>5</x:v>
      </x:c>
      <x:c r="G11" s="9" t="n">
        <x:v>4</x:v>
      </x:c>
      <x:c r="H11" s="9" t="n">
        <x:v>1</x:v>
      </x:c>
      <x:c r="I11" s="9" t="n">
        <x:v>4</x:v>
      </x:c>
      <x:c r="J11" s="9" t="n">
        <x:f>G11*I11</x:f>
        <x:v>16</x:v>
      </x:c>
      <x:c r="K11" s="9" t="n">
        <x:f>J11</x:f>
        <x:v>16</x:v>
      </x:c>
      <x:c r="L11" s="9" t="str">
        <x:f>'Station Topology'!M11</x:f>
        <x:v>NOT COMMISSIONED</x:v>
      </x:c>
      <x:c r="M11" s="47"/>
      <x:c r="N11" s="47"/>
      <x:c r="O11" s="47"/>
      <x:c r="P11" s="47"/>
      <x:c r="Q11" s="47"/>
      <x:c r="R11" s="47"/>
      <x:c r="S11" s="47"/>
      <x:c r="T11" s="47"/>
      <x:c r="U11" s="47"/>
      <x:c r="V11" s="47"/>
      <x:c r="W11" s="47"/>
      <x:c r="X11" s="47"/>
      <x:c r="Y11" s="47"/>
      <x:c r="Z11" s="47"/>
    </x:row>
    <x:row r="12">
      <x:c r="C12" s="9" t="str">
        <x:v>ST-CT-REP</x:v>
      </x:c>
      <x:c r="D12" s="9" t="str">
        <x:v>MS-CT</x:v>
      </x:c>
      <x:c r="E12" s="9" t="str">
        <x:v>Cold reproduction</x:v>
      </x:c>
      <x:c r="F12" s="9" t="n">
        <x:v>5</x:v>
      </x:c>
      <x:c r="G12" s="9" t="n">
        <x:v>4</x:v>
      </x:c>
      <x:c r="H12" s="9" t="n">
        <x:v>1</x:v>
      </x:c>
      <x:c r="I12" s="9" t="n">
        <x:v>4</x:v>
      </x:c>
      <x:c r="J12" s="9" t="n">
        <x:f>G12*I12</x:f>
        <x:v>16</x:v>
      </x:c>
      <x:c r="K12" s="9" t="n">
        <x:f>J12</x:f>
        <x:v>16</x:v>
      </x:c>
      <x:c r="L12" s="9" t="str">
        <x:f>'Station Topology'!M12</x:f>
        <x:v>NOT COMMISSIONED</x:v>
      </x:c>
      <x:c r="M12" s="47"/>
      <x:c r="N12" s="47"/>
      <x:c r="O12" s="47"/>
      <x:c r="P12" s="47"/>
      <x:c r="Q12" s="47"/>
      <x:c r="R12" s="47"/>
      <x:c r="S12" s="47"/>
      <x:c r="T12" s="47"/>
      <x:c r="U12" s="47"/>
      <x:c r="V12" s="47"/>
      <x:c r="W12" s="47"/>
      <x:c r="X12" s="47"/>
      <x:c r="Y12" s="47"/>
      <x:c r="Z12" s="47"/>
    </x:row>
    <x:row r="13">
      <x:c r="C13" s="9" t="str">
        <x:v>ST-HC-CHL</x:v>
      </x:c>
      <x:c r="D13" s="9" t="str">
        <x:v>MS-HC</x:v>
      </x:c>
      <x:c r="E13" s="9" t="str">
        <x:v>Challenge</x:v>
      </x:c>
      <x:c r="F13" s="9" t="n">
        <x:v>5</x:v>
      </x:c>
      <x:c r="G13" s="9" t="n">
        <x:v>4</x:v>
      </x:c>
      <x:c r="H13" s="9" t="n">
        <x:v>1</x:v>
      </x:c>
      <x:c r="I13" s="9" t="n">
        <x:v>4</x:v>
      </x:c>
      <x:c r="J13" s="9" t="n">
        <x:f>G13*I13</x:f>
        <x:v>16</x:v>
      </x:c>
      <x:c r="K13" s="9" t="n">
        <x:f>J13</x:f>
        <x:v>16</x:v>
      </x:c>
      <x:c r="L13" s="9" t="str">
        <x:f>'Station Topology'!M13</x:f>
        <x:v>NOT COMMISSIONED</x:v>
      </x:c>
      <x:c r="M13" s="47"/>
      <x:c r="N13" s="47"/>
      <x:c r="O13" s="47"/>
      <x:c r="P13" s="47"/>
      <x:c r="Q13" s="47"/>
      <x:c r="R13" s="47"/>
      <x:c r="S13" s="47"/>
      <x:c r="T13" s="47"/>
      <x:c r="U13" s="47"/>
      <x:c r="V13" s="47"/>
      <x:c r="W13" s="47"/>
      <x:c r="X13" s="47"/>
      <x:c r="Y13" s="47"/>
      <x:c r="Z13" s="47"/>
    </x:row>
    <x:row r="14">
      <x:c r="C14" s="9" t="str">
        <x:v>ST-HC-CTL</x:v>
      </x:c>
      <x:c r="D14" s="9" t="str">
        <x:v>MS-HC</x:v>
      </x:c>
      <x:c r="E14" s="9" t="str">
        <x:v>Matched control</x:v>
      </x:c>
      <x:c r="F14" s="9" t="n">
        <x:v>5</x:v>
      </x:c>
      <x:c r="G14" s="9" t="n">
        <x:v>4</x:v>
      </x:c>
      <x:c r="H14" s="9" t="n">
        <x:v>1</x:v>
      </x:c>
      <x:c r="I14" s="9" t="n">
        <x:v>4</x:v>
      </x:c>
      <x:c r="J14" s="9" t="n">
        <x:f>G14*I14</x:f>
        <x:v>16</x:v>
      </x:c>
      <x:c r="K14" s="9" t="n">
        <x:f>J14</x:f>
        <x:v>16</x:v>
      </x:c>
      <x:c r="L14" s="9" t="str">
        <x:f>'Station Topology'!M14</x:f>
        <x:v>NOT COMMISSIONED</x:v>
      </x:c>
      <x:c r="M14" s="47"/>
      <x:c r="N14" s="47"/>
      <x:c r="O14" s="47"/>
      <x:c r="P14" s="47"/>
      <x:c r="Q14" s="47"/>
      <x:c r="R14" s="47"/>
      <x:c r="S14" s="47"/>
      <x:c r="T14" s="47"/>
      <x:c r="U14" s="47"/>
      <x:c r="V14" s="47"/>
      <x:c r="W14" s="47"/>
      <x:c r="X14" s="47"/>
      <x:c r="Y14" s="47"/>
      <x:c r="Z14" s="47"/>
    </x:row>
    <x:row r="15">
      <x:c r="C15" s="9" t="str">
        <x:v>ST-HC-REP</x:v>
      </x:c>
      <x:c r="D15" s="9" t="str">
        <x:v>MS-HC</x:v>
      </x:c>
      <x:c r="E15" s="9" t="str">
        <x:v>Cold reproduction</x:v>
      </x:c>
      <x:c r="F15" s="9" t="n">
        <x:v>5</x:v>
      </x:c>
      <x:c r="G15" s="9" t="n">
        <x:v>4</x:v>
      </x:c>
      <x:c r="H15" s="9" t="n">
        <x:v>1</x:v>
      </x:c>
      <x:c r="I15" s="9" t="n">
        <x:v>4</x:v>
      </x:c>
      <x:c r="J15" s="9" t="n">
        <x:f>G15*I15</x:f>
        <x:v>16</x:v>
      </x:c>
      <x:c r="K15" s="9" t="n">
        <x:f>J15</x:f>
        <x:v>16</x:v>
      </x:c>
      <x:c r="L15" s="9" t="str">
        <x:f>'Station Topology'!M15</x:f>
        <x:v>NOT COMMISSIONED</x:v>
      </x:c>
      <x:c r="M15" s="47"/>
      <x:c r="N15" s="47"/>
      <x:c r="O15" s="47"/>
      <x:c r="P15" s="47"/>
      <x:c r="Q15" s="47"/>
      <x:c r="R15" s="47"/>
      <x:c r="S15" s="47"/>
      <x:c r="T15" s="47"/>
      <x:c r="U15" s="47"/>
      <x:c r="V15" s="47"/>
      <x:c r="W15" s="47"/>
      <x:c r="X15" s="47"/>
      <x:c r="Y15" s="47"/>
      <x:c r="Z15" s="47"/>
    </x:row>
    <x:row r="16">
      <x:c r="C16" s="9" t="str">
        <x:v>ST-HU-CHL</x:v>
      </x:c>
      <x:c r="D16" s="9" t="str">
        <x:v>MS-HU</x:v>
      </x:c>
      <x:c r="E16" s="9" t="str">
        <x:v>Challenge</x:v>
      </x:c>
      <x:c r="F16" s="9" t="n">
        <x:v>5</x:v>
      </x:c>
      <x:c r="G16" s="9" t="n">
        <x:v>4</x:v>
      </x:c>
      <x:c r="H16" s="9" t="n">
        <x:v>1</x:v>
      </x:c>
      <x:c r="I16" s="9" t="n">
        <x:v>4</x:v>
      </x:c>
      <x:c r="J16" s="9" t="n">
        <x:f>G16*I16</x:f>
        <x:v>16</x:v>
      </x:c>
      <x:c r="K16" s="9" t="n">
        <x:f>J16</x:f>
        <x:v>16</x:v>
      </x:c>
      <x:c r="L16" s="9" t="str">
        <x:f>'Station Topology'!M16</x:f>
        <x:v>NOT COMMISSIONED</x:v>
      </x:c>
      <x:c r="M16" s="47"/>
      <x:c r="N16" s="47"/>
      <x:c r="O16" s="47"/>
      <x:c r="P16" s="47"/>
      <x:c r="Q16" s="47"/>
      <x:c r="R16" s="47"/>
      <x:c r="S16" s="47"/>
      <x:c r="T16" s="47"/>
      <x:c r="U16" s="47"/>
      <x:c r="V16" s="47"/>
      <x:c r="W16" s="47"/>
      <x:c r="X16" s="47"/>
      <x:c r="Y16" s="47"/>
      <x:c r="Z16" s="47"/>
    </x:row>
    <x:row r="17">
      <x:c r="C17" s="9" t="str">
        <x:v>ST-HU-CTL</x:v>
      </x:c>
      <x:c r="D17" s="9" t="str">
        <x:v>MS-HU</x:v>
      </x:c>
      <x:c r="E17" s="9" t="str">
        <x:v>Matched control</x:v>
      </x:c>
      <x:c r="F17" s="9" t="n">
        <x:v>5</x:v>
      </x:c>
      <x:c r="G17" s="9" t="n">
        <x:v>4</x:v>
      </x:c>
      <x:c r="H17" s="9" t="n">
        <x:v>1</x:v>
      </x:c>
      <x:c r="I17" s="9" t="n">
        <x:v>4</x:v>
      </x:c>
      <x:c r="J17" s="9" t="n">
        <x:f>G17*I17</x:f>
        <x:v>16</x:v>
      </x:c>
      <x:c r="K17" s="9" t="n">
        <x:f>J17</x:f>
        <x:v>16</x:v>
      </x:c>
      <x:c r="L17" s="9" t="str">
        <x:f>'Station Topology'!M17</x:f>
        <x:v>NOT COMMISSIONED</x:v>
      </x:c>
      <x:c r="M17" s="47"/>
      <x:c r="N17" s="47"/>
      <x:c r="O17" s="47"/>
      <x:c r="P17" s="47"/>
      <x:c r="Q17" s="47"/>
      <x:c r="R17" s="47"/>
      <x:c r="S17" s="47"/>
      <x:c r="T17" s="47"/>
      <x:c r="U17" s="47"/>
      <x:c r="V17" s="47"/>
      <x:c r="W17" s="47"/>
      <x:c r="X17" s="47"/>
      <x:c r="Y17" s="47"/>
      <x:c r="Z17" s="47"/>
    </x:row>
    <x:row r="18">
      <x:c r="C18" s="9" t="str">
        <x:v>ST-HU-REP</x:v>
      </x:c>
      <x:c r="D18" s="9" t="str">
        <x:v>MS-HU</x:v>
      </x:c>
      <x:c r="E18" s="9" t="str">
        <x:v>Cold reproduction</x:v>
      </x:c>
      <x:c r="F18" s="9" t="n">
        <x:v>5</x:v>
      </x:c>
      <x:c r="G18" s="9" t="n">
        <x:v>4</x:v>
      </x:c>
      <x:c r="H18" s="9" t="n">
        <x:v>1</x:v>
      </x:c>
      <x:c r="I18" s="9" t="n">
        <x:v>4</x:v>
      </x:c>
      <x:c r="J18" s="9" t="n">
        <x:f>G18*I18</x:f>
        <x:v>16</x:v>
      </x:c>
      <x:c r="K18" s="9" t="n">
        <x:f>J18</x:f>
        <x:v>16</x:v>
      </x:c>
      <x:c r="L18" s="9" t="str">
        <x:f>'Station Topology'!M18</x:f>
        <x:v>NOT COMMISSIONED</x:v>
      </x:c>
      <x:c r="M18" s="47"/>
      <x:c r="N18" s="47"/>
      <x:c r="O18" s="47"/>
      <x:c r="P18" s="47"/>
      <x:c r="Q18" s="47"/>
      <x:c r="R18" s="47"/>
      <x:c r="S18" s="47"/>
      <x:c r="T18" s="47"/>
      <x:c r="U18" s="47"/>
      <x:c r="V18" s="47"/>
      <x:c r="W18" s="47"/>
      <x:c r="X18" s="47"/>
      <x:c r="Y18" s="47"/>
      <x:c r="Z18" s="47"/>
    </x:row>
    <x:row r="19">
      <x:c r="C19" s="9" t="str">
        <x:v>ST-RT-CHL</x:v>
      </x:c>
      <x:c r="D19" s="9" t="str">
        <x:v>MS-RT</x:v>
      </x:c>
      <x:c r="E19" s="9" t="str">
        <x:v>Challenge</x:v>
      </x:c>
      <x:c r="F19" s="9" t="n">
        <x:v>5</x:v>
      </x:c>
      <x:c r="G19" s="9" t="n">
        <x:v>4</x:v>
      </x:c>
      <x:c r="H19" s="9" t="n">
        <x:v>1</x:v>
      </x:c>
      <x:c r="I19" s="9" t="n">
        <x:v>4</x:v>
      </x:c>
      <x:c r="J19" s="9" t="n">
        <x:f>G19*I19</x:f>
        <x:v>16</x:v>
      </x:c>
      <x:c r="K19" s="9" t="n">
        <x:f>J19</x:f>
        <x:v>16</x:v>
      </x:c>
      <x:c r="L19" s="9" t="str">
        <x:f>'Station Topology'!M19</x:f>
        <x:v>NOT COMMISSIONED</x:v>
      </x:c>
      <x:c r="M19" s="47"/>
      <x:c r="N19" s="47"/>
      <x:c r="O19" s="47"/>
      <x:c r="P19" s="47"/>
      <x:c r="Q19" s="47"/>
      <x:c r="R19" s="47"/>
      <x:c r="S19" s="47"/>
      <x:c r="T19" s="47"/>
      <x:c r="U19" s="47"/>
      <x:c r="V19" s="47"/>
      <x:c r="W19" s="47"/>
      <x:c r="X19" s="47"/>
      <x:c r="Y19" s="47"/>
      <x:c r="Z19" s="47"/>
    </x:row>
    <x:row r="20">
      <x:c r="C20" s="9" t="str">
        <x:v>ST-RT-CTL</x:v>
      </x:c>
      <x:c r="D20" s="9" t="str">
        <x:v>MS-RT</x:v>
      </x:c>
      <x:c r="E20" s="9" t="str">
        <x:v>Matched control</x:v>
      </x:c>
      <x:c r="F20" s="9" t="n">
        <x:v>5</x:v>
      </x:c>
      <x:c r="G20" s="9" t="n">
        <x:v>4</x:v>
      </x:c>
      <x:c r="H20" s="9" t="n">
        <x:v>1</x:v>
      </x:c>
      <x:c r="I20" s="9" t="n">
        <x:v>4</x:v>
      </x:c>
      <x:c r="J20" s="9" t="n">
        <x:f>G20*I20</x:f>
        <x:v>16</x:v>
      </x:c>
      <x:c r="K20" s="9" t="n">
        <x:f>J20</x:f>
        <x:v>16</x:v>
      </x:c>
      <x:c r="L20" s="9" t="str">
        <x:f>'Station Topology'!M20</x:f>
        <x:v>NOT COMMISSIONED</x:v>
      </x:c>
      <x:c r="M20" s="47"/>
      <x:c r="N20" s="47"/>
      <x:c r="O20" s="47"/>
      <x:c r="P20" s="47"/>
      <x:c r="Q20" s="47"/>
      <x:c r="R20" s="47"/>
      <x:c r="S20" s="47"/>
      <x:c r="T20" s="47"/>
      <x:c r="U20" s="47"/>
      <x:c r="V20" s="47"/>
      <x:c r="W20" s="47"/>
      <x:c r="X20" s="47"/>
      <x:c r="Y20" s="47"/>
      <x:c r="Z20" s="47"/>
    </x:row>
    <x:row r="21">
      <x:c r="C21" s="10" t="str">
        <x:v>ST-RT-REP</x:v>
      </x:c>
      <x:c r="D21" s="10" t="str">
        <x:v>MS-RT</x:v>
      </x:c>
      <x:c r="E21" s="10" t="str">
        <x:v>Cold reproduction</x:v>
      </x:c>
      <x:c r="F21" s="10" t="n">
        <x:v>5</x:v>
      </x:c>
      <x:c r="G21" s="10" t="n">
        <x:v>4</x:v>
      </x:c>
      <x:c r="H21" s="10" t="n">
        <x:v>1</x:v>
      </x:c>
      <x:c r="I21" s="10" t="n">
        <x:v>4</x:v>
      </x:c>
      <x:c r="J21" s="10" t="n">
        <x:f>G21*I21</x:f>
        <x:v>16</x:v>
      </x:c>
      <x:c r="K21" s="10" t="n">
        <x:f>J21</x:f>
        <x:v>16</x:v>
      </x:c>
      <x:c r="L21" s="10" t="str">
        <x:f>'Station Topology'!M21</x:f>
        <x:v>NOT COMMISSIONED</x:v>
      </x:c>
      <x:c r="M21" s="47"/>
      <x:c r="N21" s="47"/>
      <x:c r="O21" s="47"/>
      <x:c r="P21" s="47"/>
      <x:c r="Q21" s="47"/>
      <x:c r="R21" s="47"/>
      <x:c r="S21" s="47"/>
      <x:c r="T21" s="47"/>
      <x:c r="U21" s="47"/>
      <x:c r="V21" s="47"/>
      <x:c r="W21" s="47"/>
      <x:c r="X21" s="47"/>
      <x:c r="Y21" s="47"/>
      <x:c r="Z21" s="47"/>
    </x:row>
    <x:row r="22"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47"/>
      <x:c r="N22" s="47"/>
      <x:c r="O22" s="47"/>
      <x:c r="P22" s="47"/>
      <x:c r="Q22" s="47"/>
      <x:c r="R22" s="47"/>
      <x:c r="S22" s="47"/>
      <x:c r="T22" s="47"/>
      <x:c r="U22" s="47"/>
      <x:c r="V22" s="47"/>
      <x:c r="W22" s="47"/>
      <x:c r="X22" s="47"/>
      <x:c r="Y22" s="47"/>
      <x:c r="Z22" s="47"/>
    </x:row>
    <x:row r="23">
      <x:c r="C23" s="52" t="str">
        <x:v>Total</x:v>
      </x:c>
      <x:c r="D23" s="52"/>
      <x:c r="E23" s="52"/>
      <x:c r="F23" s="52" t="n">
        <x:f>SUM(F7:F21)</x:f>
        <x:v>75</x:v>
      </x:c>
      <x:c r="G23" s="52" t="n">
        <x:f>SUM(G7:G21)</x:f>
        <x:v>60</x:v>
      </x:c>
      <x:c r="H23" s="52" t="n">
        <x:f>SUM(H7:H21)</x:f>
        <x:v>15</x:v>
      </x:c>
      <x:c r="I23" s="52"/>
      <x:c r="J23" s="52" t="n">
        <x:f>SUM(J7:J21)</x:f>
        <x:v>240</x:v>
      </x:c>
      <x:c r="K23" s="52" t="n">
        <x:f>SUM(K7:K21)</x:f>
        <x:v>240</x:v>
      </x:c>
      <x:c r="L23" s="52"/>
      <x:c r="M23" s="47"/>
      <x:c r="N23" s="47"/>
      <x:c r="O23" s="47"/>
      <x:c r="P23" s="47"/>
      <x:c r="Q23" s="47"/>
      <x:c r="R23" s="47"/>
      <x:c r="S23" s="47"/>
      <x:c r="T23" s="47"/>
      <x:c r="U23" s="47"/>
      <x:c r="V23" s="47"/>
      <x:c r="W23" s="47"/>
      <x:c r="X23" s="47"/>
      <x:c r="Y23" s="47"/>
      <x:c r="Z23" s="47"/>
    </x:row>
    <x:row r="24"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47"/>
      <x:c r="N24" s="47"/>
      <x:c r="O24" s="47"/>
      <x:c r="P24" s="47"/>
      <x:c r="Q24" s="47"/>
      <x:c r="R24" s="47"/>
      <x:c r="S24" s="47"/>
      <x:c r="T24" s="47"/>
      <x:c r="U24" s="47"/>
      <x:c r="V24" s="47"/>
      <x:c r="W24" s="47"/>
      <x:c r="X24" s="47"/>
      <x:c r="Y24" s="47"/>
      <x:c r="Z24" s="47"/>
    </x:row>
    <x:row r="25"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47"/>
      <x:c r="N25" s="47"/>
      <x:c r="O25" s="47"/>
      <x:c r="P25" s="47"/>
      <x:c r="Q25" s="47"/>
      <x:c r="R25" s="47"/>
      <x:c r="S25" s="47"/>
      <x:c r="T25" s="47"/>
      <x:c r="U25" s="47"/>
      <x:c r="V25" s="47"/>
      <x:c r="W25" s="47"/>
      <x:c r="X25" s="47"/>
      <x:c r="Y25" s="47"/>
      <x:c r="Z25" s="47"/>
    </x:row>
    <x:row r="26"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47"/>
      <x:c r="N26" s="47"/>
      <x:c r="O26" s="47"/>
      <x:c r="P26" s="47"/>
      <x:c r="Q26" s="47"/>
      <x:c r="R26" s="47"/>
      <x:c r="S26" s="47"/>
      <x:c r="T26" s="47"/>
      <x:c r="U26" s="47"/>
      <x:c r="V26" s="47"/>
      <x:c r="W26" s="47"/>
      <x:c r="X26" s="47"/>
      <x:c r="Y26" s="47"/>
      <x:c r="Z26" s="47"/>
    </x:row>
    <x:row r="27"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47"/>
      <x:c r="N27" s="47"/>
      <x:c r="O27" s="47"/>
      <x:c r="P27" s="47"/>
      <x:c r="Q27" s="47"/>
      <x:c r="R27" s="47"/>
      <x:c r="S27" s="47"/>
      <x:c r="T27" s="47"/>
      <x:c r="U27" s="47"/>
      <x:c r="V27" s="47"/>
      <x:c r="W27" s="47"/>
      <x:c r="X27" s="47"/>
      <x:c r="Y27" s="47"/>
      <x:c r="Z27" s="47"/>
    </x:row>
  </x:sheetData>
  <x:conditionalFormatting sqref="L7:L21">
    <x:cfRule type="containsText" dxfId="20" priority="1" operator="containsText" text="BLOCKED"/>
    <x:cfRule type="containsText" dxfId="21" priority="2" operator="containsText" text="NOT MOBILIZED"/>
    <x:cfRule type="containsText" dxfId="22" priority="3" operator="containsText" text="READY"/>
    <x:cfRule type="containsText" dxfId="23" priority="4" operator="containsText" text="FAIL"/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3" max="3" width="15" hidden="0" customWidth="1"/>
    <x:col min="4" max="4" width="13" hidden="0" customWidth="1"/>
    <x:col min="5" max="5" width="16" hidden="0" customWidth="1"/>
    <x:col min="6" max="6" width="18" hidden="0" customWidth="1"/>
    <x:col min="7" max="7" width="18" hidden="0" customWidth="1"/>
    <x:col min="8" max="8" width="20" hidden="0" customWidth="1"/>
    <x:col min="9" max="9" width="18" hidden="0" customWidth="1"/>
    <x:col min="10" max="10" width="20" hidden="0" customWidth="1"/>
    <x:col min="11" max="11" width="16" hidden="0" customWidth="1"/>
    <x:col min="12" max="12" width="18" hidden="0" customWidth="1"/>
    <x:col min="13" max="13" width="25" hidden="0" customWidth="1"/>
  </x:cols>
  <x:sheetData>
    <x:row r="1"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47"/>
      <x:c r="O1" s="47"/>
      <x:c r="P1" s="47"/>
      <x:c r="Q1" s="47"/>
      <x:c r="R1" s="47"/>
      <x:c r="S1" s="47"/>
      <x:c r="T1" s="47"/>
      <x:c r="U1" s="47"/>
      <x:c r="V1" s="47"/>
      <x:c r="W1" s="47"/>
      <x:c r="X1" s="47"/>
      <x:c r="Y1" s="47"/>
      <x:c r="Z1" s="47"/>
    </x:row>
    <x:row r="2">
      <x:c r="C2" s="48" t="str">
        <x:v>Institution-to-root mobilization pipeline</x:v>
      </x:c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47"/>
      <x:c r="O2" s="47"/>
      <x:c r="P2" s="47"/>
      <x:c r="Q2" s="47"/>
      <x:c r="R2" s="47"/>
      <x:c r="S2" s="47"/>
      <x:c r="T2" s="47"/>
      <x:c r="U2" s="47"/>
      <x:c r="V2" s="47"/>
      <x:c r="W2" s="47"/>
      <x:c r="X2" s="47"/>
      <x:c r="Y2" s="47"/>
      <x:c r="Z2" s="47"/>
    </x:row>
    <x:row r="3">
      <x:c r="C3" s="49" t="str">
        <x:v>The proving service can make a root testable. It cannot convert source-empty physical evidence into a disposition.</x:v>
      </x:c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47"/>
      <x:c r="O3" s="47"/>
      <x:c r="P3" s="47"/>
      <x:c r="Q3" s="47"/>
      <x:c r="R3" s="47"/>
      <x:c r="S3" s="47"/>
      <x:c r="T3" s="47"/>
      <x:c r="U3" s="47"/>
      <x:c r="V3" s="47"/>
      <x:c r="W3" s="47"/>
      <x:c r="X3" s="47"/>
      <x:c r="Y3" s="47"/>
      <x:c r="Z3" s="47"/>
    </x:row>
    <x:row r="4">
      <x:c r="C4" s="50"/>
      <x:c r="D4" s="50"/>
      <x:c r="E4" s="50"/>
      <x:c r="F4" s="50"/>
      <x:c r="G4" s="50"/>
      <x:c r="H4" s="50"/>
      <x:c r="I4" s="50"/>
      <x:c r="J4" s="50"/>
      <x:c r="K4" s="50"/>
      <x:c r="L4" s="50"/>
      <x:c r="M4" s="50"/>
      <x:c r="N4" s="51"/>
      <x:c r="O4" s="51"/>
      <x:c r="P4" s="51"/>
      <x:c r="Q4" s="51"/>
      <x:c r="R4" s="51"/>
      <x:c r="S4" s="51"/>
      <x:c r="T4" s="51"/>
      <x:c r="U4" s="51"/>
      <x:c r="V4" s="51"/>
      <x:c r="W4" s="51"/>
      <x:c r="X4" s="51"/>
      <x:c r="Y4" s="51"/>
      <x:c r="Z4" s="51"/>
    </x:row>
    <x:row r="5">
      <x:c r="C5" s="9"/>
      <x:c r="D5" s="9"/>
      <x:c r="E5" s="9"/>
      <x:c r="F5" s="9"/>
      <x:c r="G5" s="9"/>
      <x:c r="H5" s="9"/>
      <x:c r="I5" s="9"/>
      <x:c r="J5" s="9"/>
      <x:c r="K5" s="9"/>
      <x:c r="L5" s="9"/>
      <x:c r="M5" s="9"/>
      <x:c r="N5" s="47"/>
      <x:c r="O5" s="47"/>
      <x:c r="P5" s="47"/>
      <x:c r="Q5" s="47"/>
      <x:c r="R5" s="47"/>
      <x:c r="S5" s="47"/>
      <x:c r="T5" s="47"/>
      <x:c r="U5" s="47"/>
      <x:c r="V5" s="47"/>
      <x:c r="W5" s="47"/>
      <x:c r="X5" s="47"/>
      <x:c r="Y5" s="47"/>
      <x:c r="Z5" s="47"/>
    </x:row>
    <x:row r="6" ht="28" customHeight="1">
      <x:c r="C6" s="26" t="str">
        <x:v>Root</x:v>
      </x:c>
      <x:c r="D6" s="32" t="str">
        <x:v>System</x:v>
      </x:c>
      <x:c r="E6" s="32" t="str">
        <x:v>Inherited disposition</x:v>
      </x:c>
      <x:c r="F6" s="32" t="str">
        <x:v>Required roles</x:v>
      </x:c>
      <x:c r="G6" s="32" t="str">
        <x:v>Mobilized roles</x:v>
      </x:c>
      <x:c r="H6" s="32" t="str">
        <x:v>Required identity decisions</x:v>
      </x:c>
      <x:c r="I6" s="32" t="str">
        <x:v>Accepted identity decisions</x:v>
      </x:c>
      <x:c r="J6" s="32" t="str">
        <x:v>Stage gates</x:v>
      </x:c>
      <x:c r="K6" s="32" t="str">
        <x:v>Accepted stage gates</x:v>
      </x:c>
      <x:c r="L6" s="32" t="str">
        <x:v>Released USD B</x:v>
      </x:c>
      <x:c r="M6" s="27" t="str">
        <x:v>Current action</x:v>
      </x:c>
      <x:c r="N6" s="47"/>
      <x:c r="O6" s="47"/>
      <x:c r="P6" s="47"/>
      <x:c r="Q6" s="47"/>
      <x:c r="R6" s="47"/>
      <x:c r="S6" s="47"/>
      <x:c r="T6" s="47"/>
      <x:c r="U6" s="47"/>
      <x:c r="V6" s="47"/>
      <x:c r="W6" s="47"/>
      <x:c r="X6" s="47"/>
      <x:c r="Y6" s="47"/>
      <x:c r="Z6" s="47"/>
    </x:row>
    <x:row r="7">
      <x:c r="C7" s="9" t="str">
        <x:v>MS-ET|A</x:v>
      </x:c>
      <x:c r="D7" s="9" t="str">
        <x:v>MS-ET</x:v>
      </x:c>
      <x:c r="E7" s="9" t="str">
        <x:v>HOLD</x:v>
      </x:c>
      <x:c r="F7" s="9" t="n">
        <x:v>3</x:v>
      </x:c>
      <x:c r="G7" s="9" t="n">
        <x:f>COUNTIFS('Lane Assignments'!$D$7:$D$66,C7,'Lane Assignments'!$M$7:$M$66,"MOBILIZED")</x:f>
        <x:v>0</x:v>
      </x:c>
      <x:c r="H7" s="9" t="n">
        <x:v>6</x:v>
      </x:c>
      <x:c r="I7" s="9" t="n">
        <x:f>SUMIFS('Lane Assignments'!$I$7:$I$66,'Lane Assignments'!$D$7:$D$66,C7)+SUMIFS('Lane Assignments'!$J$7:$J$66,'Lane Assignments'!$D$7:$D$66,C7)</x:f>
        <x:v>0</x:v>
      </x:c>
      <x:c r="J7" s="9" t="n">
        <x:v>3</x:v>
      </x:c>
      <x:c r="K7" s="9" t="n">
        <x:f>SUMIFS('Stage Releases'!$J$7:$J$66,'Stage Releases'!$D$7:$D$66,C7)</x:f>
        <x:v>0</x:v>
      </x:c>
      <x:c r="L7" s="38" t="n">
        <x:f>SUMIFS('Stage Releases'!$L$7:$L$66,'Stage Releases'!$D$7:$D$66,C7)</x:f>
        <x:v>0</x:v>
      </x:c>
      <x:c r="M7" s="9" t="str">
        <x:f>IF(E7&lt;&gt;"HOLD","TRANSFER PHYSICAL DISPOSITION",IF(AND(G7=F7,I7=H7),"READY FOR PHYSICAL TRIAGE","NOT MOBILIZED"))</x:f>
        <x:v>NOT MOBILIZED</x:v>
      </x:c>
      <x:c r="N7" s="47"/>
      <x:c r="O7" s="47"/>
      <x:c r="P7" s="47"/>
      <x:c r="Q7" s="47"/>
      <x:c r="R7" s="47"/>
      <x:c r="S7" s="47"/>
      <x:c r="T7" s="47"/>
      <x:c r="U7" s="47"/>
      <x:c r="V7" s="47"/>
      <x:c r="W7" s="47"/>
      <x:c r="X7" s="47"/>
      <x:c r="Y7" s="47"/>
      <x:c r="Z7" s="47"/>
    </x:row>
    <x:row r="8">
      <x:c r="C8" s="9" t="str">
        <x:v>MS-ET|B</x:v>
      </x:c>
      <x:c r="D8" s="9" t="str">
        <x:v>MS-ET</x:v>
      </x:c>
      <x:c r="E8" s="9" t="str">
        <x:v>HOLD</x:v>
      </x:c>
      <x:c r="F8" s="9" t="n">
        <x:v>3</x:v>
      </x:c>
      <x:c r="G8" s="9" t="n">
        <x:f>COUNTIFS('Lane Assignments'!$D$7:$D$66,C8,'Lane Assignments'!$M$7:$M$66,"MOBILIZED")</x:f>
        <x:v>0</x:v>
      </x:c>
      <x:c r="H8" s="9" t="n">
        <x:v>6</x:v>
      </x:c>
      <x:c r="I8" s="9" t="n">
        <x:f>SUMIFS('Lane Assignments'!$I$7:$I$66,'Lane Assignments'!$D$7:$D$66,C8)+SUMIFS('Lane Assignments'!$J$7:$J$66,'Lane Assignments'!$D$7:$D$66,C8)</x:f>
        <x:v>0</x:v>
      </x:c>
      <x:c r="J8" s="9" t="n">
        <x:v>3</x:v>
      </x:c>
      <x:c r="K8" s="9" t="n">
        <x:f>SUMIFS('Stage Releases'!$J$7:$J$66,'Stage Releases'!$D$7:$D$66,C8)</x:f>
        <x:v>0</x:v>
      </x:c>
      <x:c r="L8" s="38" t="n">
        <x:f>SUMIFS('Stage Releases'!$L$7:$L$66,'Stage Releases'!$D$7:$D$66,C8)</x:f>
        <x:v>0</x:v>
      </x:c>
      <x:c r="M8" s="9" t="str">
        <x:f>IF(E8&lt;&gt;"HOLD","TRANSFER PHYSICAL DISPOSITION",IF(AND(G8=F8,I8=H8),"READY FOR PHYSICAL TRIAGE","NOT MOBILIZED"))</x:f>
        <x:v>NOT MOBILIZED</x:v>
      </x:c>
      <x:c r="N8" s="47"/>
      <x:c r="O8" s="47"/>
      <x:c r="P8" s="47"/>
      <x:c r="Q8" s="47"/>
      <x:c r="R8" s="47"/>
      <x:c r="S8" s="47"/>
      <x:c r="T8" s="47"/>
      <x:c r="U8" s="47"/>
      <x:c r="V8" s="47"/>
      <x:c r="W8" s="47"/>
      <x:c r="X8" s="47"/>
      <x:c r="Y8" s="47"/>
      <x:c r="Z8" s="47"/>
    </x:row>
    <x:row r="9">
      <x:c r="C9" s="9" t="str">
        <x:v>MS-ET|C</x:v>
      </x:c>
      <x:c r="D9" s="9" t="str">
        <x:v>MS-ET</x:v>
      </x:c>
      <x:c r="E9" s="9" t="str">
        <x:v>HOLD</x:v>
      </x:c>
      <x:c r="F9" s="9" t="n">
        <x:v>3</x:v>
      </x:c>
      <x:c r="G9" s="9" t="n">
        <x:f>COUNTIFS('Lane Assignments'!$D$7:$D$66,C9,'Lane Assignments'!$M$7:$M$66,"MOBILIZED")</x:f>
        <x:v>0</x:v>
      </x:c>
      <x:c r="H9" s="9" t="n">
        <x:v>6</x:v>
      </x:c>
      <x:c r="I9" s="9" t="n">
        <x:f>SUMIFS('Lane Assignments'!$I$7:$I$66,'Lane Assignments'!$D$7:$D$66,C9)+SUMIFS('Lane Assignments'!$J$7:$J$66,'Lane Assignments'!$D$7:$D$66,C9)</x:f>
        <x:v>0</x:v>
      </x:c>
      <x:c r="J9" s="9" t="n">
        <x:v>3</x:v>
      </x:c>
      <x:c r="K9" s="9" t="n">
        <x:f>SUMIFS('Stage Releases'!$J$7:$J$66,'Stage Releases'!$D$7:$D$66,C9)</x:f>
        <x:v>0</x:v>
      </x:c>
      <x:c r="L9" s="38" t="n">
        <x:f>SUMIFS('Stage Releases'!$L$7:$L$66,'Stage Releases'!$D$7:$D$66,C9)</x:f>
        <x:v>0</x:v>
      </x:c>
      <x:c r="M9" s="9" t="str">
        <x:f>IF(E9&lt;&gt;"HOLD","TRANSFER PHYSICAL DISPOSITION",IF(AND(G9=F9,I9=H9),"READY FOR PHYSICAL TRIAGE","NOT MOBILIZED"))</x:f>
        <x:v>NOT MOBILIZED</x:v>
      </x:c>
      <x:c r="N9" s="47"/>
      <x:c r="O9" s="47"/>
      <x:c r="P9" s="47"/>
      <x:c r="Q9" s="47"/>
      <x:c r="R9" s="47"/>
      <x:c r="S9" s="47"/>
      <x:c r="T9" s="47"/>
      <x:c r="U9" s="47"/>
      <x:c r="V9" s="47"/>
      <x:c r="W9" s="47"/>
      <x:c r="X9" s="47"/>
      <x:c r="Y9" s="47"/>
      <x:c r="Z9" s="47"/>
    </x:row>
    <x:row r="10">
      <x:c r="C10" s="9" t="str">
        <x:v>MS-ET|D</x:v>
      </x:c>
      <x:c r="D10" s="9" t="str">
        <x:v>MS-ET</x:v>
      </x:c>
      <x:c r="E10" s="9" t="str">
        <x:v>HOLD</x:v>
      </x:c>
      <x:c r="F10" s="9" t="n">
        <x:v>3</x:v>
      </x:c>
      <x:c r="G10" s="9" t="n">
        <x:f>COUNTIFS('Lane Assignments'!$D$7:$D$66,C10,'Lane Assignments'!$M$7:$M$66,"MOBILIZED")</x:f>
        <x:v>0</x:v>
      </x:c>
      <x:c r="H10" s="9" t="n">
        <x:v>6</x:v>
      </x:c>
      <x:c r="I10" s="9" t="n">
        <x:f>SUMIFS('Lane Assignments'!$I$7:$I$66,'Lane Assignments'!$D$7:$D$66,C10)+SUMIFS('Lane Assignments'!$J$7:$J$66,'Lane Assignments'!$D$7:$D$66,C10)</x:f>
        <x:v>0</x:v>
      </x:c>
      <x:c r="J10" s="9" t="n">
        <x:v>3</x:v>
      </x:c>
      <x:c r="K10" s="9" t="n">
        <x:f>SUMIFS('Stage Releases'!$J$7:$J$66,'Stage Releases'!$D$7:$D$66,C10)</x:f>
        <x:v>0</x:v>
      </x:c>
      <x:c r="L10" s="38" t="n">
        <x:f>SUMIFS('Stage Releases'!$L$7:$L$66,'Stage Releases'!$D$7:$D$66,C10)</x:f>
        <x:v>0</x:v>
      </x:c>
      <x:c r="M10" s="9" t="str">
        <x:f>IF(E10&lt;&gt;"HOLD","TRANSFER PHYSICAL DISPOSITION",IF(AND(G10=F10,I10=H10),"READY FOR PHYSICAL TRIAGE","NOT MOBILIZED"))</x:f>
        <x:v>NOT MOBILIZED</x:v>
      </x:c>
      <x:c r="N10" s="47"/>
      <x:c r="O10" s="47"/>
      <x:c r="P10" s="47"/>
      <x:c r="Q10" s="47"/>
      <x:c r="R10" s="47"/>
      <x:c r="S10" s="47"/>
      <x:c r="T10" s="47"/>
      <x:c r="U10" s="47"/>
      <x:c r="V10" s="47"/>
      <x:c r="W10" s="47"/>
      <x:c r="X10" s="47"/>
      <x:c r="Y10" s="47"/>
      <x:c r="Z10" s="47"/>
    </x:row>
    <x:row r="11">
      <x:c r="C11" s="9" t="str">
        <x:v>MS-CT|A</x:v>
      </x:c>
      <x:c r="D11" s="9" t="str">
        <x:v>MS-CT</x:v>
      </x:c>
      <x:c r="E11" s="9" t="str">
        <x:v>HOLD</x:v>
      </x:c>
      <x:c r="F11" s="9" t="n">
        <x:v>3</x:v>
      </x:c>
      <x:c r="G11" s="9" t="n">
        <x:f>COUNTIFS('Lane Assignments'!$D$7:$D$66,C11,'Lane Assignments'!$M$7:$M$66,"MOBILIZED")</x:f>
        <x:v>0</x:v>
      </x:c>
      <x:c r="H11" s="9" t="n">
        <x:v>6</x:v>
      </x:c>
      <x:c r="I11" s="9" t="n">
        <x:f>SUMIFS('Lane Assignments'!$I$7:$I$66,'Lane Assignments'!$D$7:$D$66,C11)+SUMIFS('Lane Assignments'!$J$7:$J$66,'Lane Assignments'!$D$7:$D$66,C11)</x:f>
        <x:v>0</x:v>
      </x:c>
      <x:c r="J11" s="9" t="n">
        <x:v>3</x:v>
      </x:c>
      <x:c r="K11" s="9" t="n">
        <x:f>SUMIFS('Stage Releases'!$J$7:$J$66,'Stage Releases'!$D$7:$D$66,C11)</x:f>
        <x:v>0</x:v>
      </x:c>
      <x:c r="L11" s="38" t="n">
        <x:f>SUMIFS('Stage Releases'!$L$7:$L$66,'Stage Releases'!$D$7:$D$66,C11)</x:f>
        <x:v>0</x:v>
      </x:c>
      <x:c r="M11" s="9" t="str">
        <x:f>IF(E11&lt;&gt;"HOLD","TRANSFER PHYSICAL DISPOSITION",IF(AND(G11=F11,I11=H11),"READY FOR PHYSICAL TRIAGE","NOT MOBILIZED"))</x:f>
        <x:v>NOT MOBILIZED</x:v>
      </x:c>
      <x:c r="N11" s="47"/>
      <x:c r="O11" s="47"/>
      <x:c r="P11" s="47"/>
      <x:c r="Q11" s="47"/>
      <x:c r="R11" s="47"/>
      <x:c r="S11" s="47"/>
      <x:c r="T11" s="47"/>
      <x:c r="U11" s="47"/>
      <x:c r="V11" s="47"/>
      <x:c r="W11" s="47"/>
      <x:c r="X11" s="47"/>
      <x:c r="Y11" s="47"/>
      <x:c r="Z11" s="47"/>
    </x:row>
    <x:row r="12">
      <x:c r="C12" s="9" t="str">
        <x:v>MS-CT|B</x:v>
      </x:c>
      <x:c r="D12" s="9" t="str">
        <x:v>MS-CT</x:v>
      </x:c>
      <x:c r="E12" s="9" t="str">
        <x:v>HOLD</x:v>
      </x:c>
      <x:c r="F12" s="9" t="n">
        <x:v>3</x:v>
      </x:c>
      <x:c r="G12" s="9" t="n">
        <x:f>COUNTIFS('Lane Assignments'!$D$7:$D$66,C12,'Lane Assignments'!$M$7:$M$66,"MOBILIZED")</x:f>
        <x:v>0</x:v>
      </x:c>
      <x:c r="H12" s="9" t="n">
        <x:v>6</x:v>
      </x:c>
      <x:c r="I12" s="9" t="n">
        <x:f>SUMIFS('Lane Assignments'!$I$7:$I$66,'Lane Assignments'!$D$7:$D$66,C12)+SUMIFS('Lane Assignments'!$J$7:$J$66,'Lane Assignments'!$D$7:$D$66,C12)</x:f>
        <x:v>0</x:v>
      </x:c>
      <x:c r="J12" s="9" t="n">
        <x:v>3</x:v>
      </x:c>
      <x:c r="K12" s="9" t="n">
        <x:f>SUMIFS('Stage Releases'!$J$7:$J$66,'Stage Releases'!$D$7:$D$66,C12)</x:f>
        <x:v>0</x:v>
      </x:c>
      <x:c r="L12" s="38" t="n">
        <x:f>SUMIFS('Stage Releases'!$L$7:$L$66,'Stage Releases'!$D$7:$D$66,C12)</x:f>
        <x:v>0</x:v>
      </x:c>
      <x:c r="M12" s="9" t="str">
        <x:f>IF(E12&lt;&gt;"HOLD","TRANSFER PHYSICAL DISPOSITION",IF(AND(G12=F12,I12=H12),"READY FOR PHYSICAL TRIAGE","NOT MOBILIZED"))</x:f>
        <x:v>NOT MOBILIZED</x:v>
      </x:c>
      <x:c r="N12" s="47"/>
      <x:c r="O12" s="47"/>
      <x:c r="P12" s="47"/>
      <x:c r="Q12" s="47"/>
      <x:c r="R12" s="47"/>
      <x:c r="S12" s="47"/>
      <x:c r="T12" s="47"/>
      <x:c r="U12" s="47"/>
      <x:c r="V12" s="47"/>
      <x:c r="W12" s="47"/>
      <x:c r="X12" s="47"/>
      <x:c r="Y12" s="47"/>
      <x:c r="Z12" s="47"/>
    </x:row>
    <x:row r="13">
      <x:c r="C13" s="9" t="str">
        <x:v>MS-CT|C</x:v>
      </x:c>
      <x:c r="D13" s="9" t="str">
        <x:v>MS-CT</x:v>
      </x:c>
      <x:c r="E13" s="9" t="str">
        <x:v>HOLD</x:v>
      </x:c>
      <x:c r="F13" s="9" t="n">
        <x:v>3</x:v>
      </x:c>
      <x:c r="G13" s="9" t="n">
        <x:f>COUNTIFS('Lane Assignments'!$D$7:$D$66,C13,'Lane Assignments'!$M$7:$M$66,"MOBILIZED")</x:f>
        <x:v>0</x:v>
      </x:c>
      <x:c r="H13" s="9" t="n">
        <x:v>6</x:v>
      </x:c>
      <x:c r="I13" s="9" t="n">
        <x:f>SUMIFS('Lane Assignments'!$I$7:$I$66,'Lane Assignments'!$D$7:$D$66,C13)+SUMIFS('Lane Assignments'!$J$7:$J$66,'Lane Assignments'!$D$7:$D$66,C13)</x:f>
        <x:v>0</x:v>
      </x:c>
      <x:c r="J13" s="9" t="n">
        <x:v>3</x:v>
      </x:c>
      <x:c r="K13" s="9" t="n">
        <x:f>SUMIFS('Stage Releases'!$J$7:$J$66,'Stage Releases'!$D$7:$D$66,C13)</x:f>
        <x:v>0</x:v>
      </x:c>
      <x:c r="L13" s="38" t="n">
        <x:f>SUMIFS('Stage Releases'!$L$7:$L$66,'Stage Releases'!$D$7:$D$66,C13)</x:f>
        <x:v>0</x:v>
      </x:c>
      <x:c r="M13" s="9" t="str">
        <x:f>IF(E13&lt;&gt;"HOLD","TRANSFER PHYSICAL DISPOSITION",IF(AND(G13=F13,I13=H13),"READY FOR PHYSICAL TRIAGE","NOT MOBILIZED"))</x:f>
        <x:v>NOT MOBILIZED</x:v>
      </x:c>
      <x:c r="N13" s="47"/>
      <x:c r="O13" s="47"/>
      <x:c r="P13" s="47"/>
      <x:c r="Q13" s="47"/>
      <x:c r="R13" s="47"/>
      <x:c r="S13" s="47"/>
      <x:c r="T13" s="47"/>
      <x:c r="U13" s="47"/>
      <x:c r="V13" s="47"/>
      <x:c r="W13" s="47"/>
      <x:c r="X13" s="47"/>
      <x:c r="Y13" s="47"/>
      <x:c r="Z13" s="47"/>
    </x:row>
    <x:row r="14">
      <x:c r="C14" s="9" t="str">
        <x:v>MS-CT|D</x:v>
      </x:c>
      <x:c r="D14" s="9" t="str">
        <x:v>MS-CT</x:v>
      </x:c>
      <x:c r="E14" s="9" t="str">
        <x:v>HOLD</x:v>
      </x:c>
      <x:c r="F14" s="9" t="n">
        <x:v>3</x:v>
      </x:c>
      <x:c r="G14" s="9" t="n">
        <x:f>COUNTIFS('Lane Assignments'!$D$7:$D$66,C14,'Lane Assignments'!$M$7:$M$66,"MOBILIZED")</x:f>
        <x:v>0</x:v>
      </x:c>
      <x:c r="H14" s="9" t="n">
        <x:v>6</x:v>
      </x:c>
      <x:c r="I14" s="9" t="n">
        <x:f>SUMIFS('Lane Assignments'!$I$7:$I$66,'Lane Assignments'!$D$7:$D$66,C14)+SUMIFS('Lane Assignments'!$J$7:$J$66,'Lane Assignments'!$D$7:$D$66,C14)</x:f>
        <x:v>0</x:v>
      </x:c>
      <x:c r="J14" s="9" t="n">
        <x:v>3</x:v>
      </x:c>
      <x:c r="K14" s="9" t="n">
        <x:f>SUMIFS('Stage Releases'!$J$7:$J$66,'Stage Releases'!$D$7:$D$66,C14)</x:f>
        <x:v>0</x:v>
      </x:c>
      <x:c r="L14" s="38" t="n">
        <x:f>SUMIFS('Stage Releases'!$L$7:$L$66,'Stage Releases'!$D$7:$D$66,C14)</x:f>
        <x:v>0</x:v>
      </x:c>
      <x:c r="M14" s="9" t="str">
        <x:f>IF(E14&lt;&gt;"HOLD","TRANSFER PHYSICAL DISPOSITION",IF(AND(G14=F14,I14=H14),"READY FOR PHYSICAL TRIAGE","NOT MOBILIZED"))</x:f>
        <x:v>NOT MOBILIZED</x:v>
      </x:c>
      <x:c r="N14" s="47"/>
      <x:c r="O14" s="47"/>
      <x:c r="P14" s="47"/>
      <x:c r="Q14" s="47"/>
      <x:c r="R14" s="47"/>
      <x:c r="S14" s="47"/>
      <x:c r="T14" s="47"/>
      <x:c r="U14" s="47"/>
      <x:c r="V14" s="47"/>
      <x:c r="W14" s="47"/>
      <x:c r="X14" s="47"/>
      <x:c r="Y14" s="47"/>
      <x:c r="Z14" s="47"/>
    </x:row>
    <x:row r="15">
      <x:c r="C15" s="9" t="str">
        <x:v>MS-HC|A</x:v>
      </x:c>
      <x:c r="D15" s="9" t="str">
        <x:v>MS-HC</x:v>
      </x:c>
      <x:c r="E15" s="9" t="str">
        <x:v>HOLD</x:v>
      </x:c>
      <x:c r="F15" s="9" t="n">
        <x:v>3</x:v>
      </x:c>
      <x:c r="G15" s="9" t="n">
        <x:f>COUNTIFS('Lane Assignments'!$D$7:$D$66,C15,'Lane Assignments'!$M$7:$M$66,"MOBILIZED")</x:f>
        <x:v>0</x:v>
      </x:c>
      <x:c r="H15" s="9" t="n">
        <x:v>6</x:v>
      </x:c>
      <x:c r="I15" s="9" t="n">
        <x:f>SUMIFS('Lane Assignments'!$I$7:$I$66,'Lane Assignments'!$D$7:$D$66,C15)+SUMIFS('Lane Assignments'!$J$7:$J$66,'Lane Assignments'!$D$7:$D$66,C15)</x:f>
        <x:v>0</x:v>
      </x:c>
      <x:c r="J15" s="9" t="n">
        <x:v>3</x:v>
      </x:c>
      <x:c r="K15" s="9" t="n">
        <x:f>SUMIFS('Stage Releases'!$J$7:$J$66,'Stage Releases'!$D$7:$D$66,C15)</x:f>
        <x:v>0</x:v>
      </x:c>
      <x:c r="L15" s="38" t="n">
        <x:f>SUMIFS('Stage Releases'!$L$7:$L$66,'Stage Releases'!$D$7:$D$66,C15)</x:f>
        <x:v>0</x:v>
      </x:c>
      <x:c r="M15" s="9" t="str">
        <x:f>IF(E15&lt;&gt;"HOLD","TRANSFER PHYSICAL DISPOSITION",IF(AND(G15=F15,I15=H15),"READY FOR PHYSICAL TRIAGE","NOT MOBILIZED"))</x:f>
        <x:v>NOT MOBILIZED</x:v>
      </x:c>
      <x:c r="N15" s="47"/>
      <x:c r="O15" s="47"/>
      <x:c r="P15" s="47"/>
      <x:c r="Q15" s="47"/>
      <x:c r="R15" s="47"/>
      <x:c r="S15" s="47"/>
      <x:c r="T15" s="47"/>
      <x:c r="U15" s="47"/>
      <x:c r="V15" s="47"/>
      <x:c r="W15" s="47"/>
      <x:c r="X15" s="47"/>
      <x:c r="Y15" s="47"/>
      <x:c r="Z15" s="47"/>
    </x:row>
    <x:row r="16">
      <x:c r="C16" s="9" t="str">
        <x:v>MS-HC|B</x:v>
      </x:c>
      <x:c r="D16" s="9" t="str">
        <x:v>MS-HC</x:v>
      </x:c>
      <x:c r="E16" s="9" t="str">
        <x:v>HOLD</x:v>
      </x:c>
      <x:c r="F16" s="9" t="n">
        <x:v>3</x:v>
      </x:c>
      <x:c r="G16" s="9" t="n">
        <x:f>COUNTIFS('Lane Assignments'!$D$7:$D$66,C16,'Lane Assignments'!$M$7:$M$66,"MOBILIZED")</x:f>
        <x:v>0</x:v>
      </x:c>
      <x:c r="H16" s="9" t="n">
        <x:v>6</x:v>
      </x:c>
      <x:c r="I16" s="9" t="n">
        <x:f>SUMIFS('Lane Assignments'!$I$7:$I$66,'Lane Assignments'!$D$7:$D$66,C16)+SUMIFS('Lane Assignments'!$J$7:$J$66,'Lane Assignments'!$D$7:$D$66,C16)</x:f>
        <x:v>0</x:v>
      </x:c>
      <x:c r="J16" s="9" t="n">
        <x:v>3</x:v>
      </x:c>
      <x:c r="K16" s="9" t="n">
        <x:f>SUMIFS('Stage Releases'!$J$7:$J$66,'Stage Releases'!$D$7:$D$66,C16)</x:f>
        <x:v>0</x:v>
      </x:c>
      <x:c r="L16" s="38" t="n">
        <x:f>SUMIFS('Stage Releases'!$L$7:$L$66,'Stage Releases'!$D$7:$D$66,C16)</x:f>
        <x:v>0</x:v>
      </x:c>
      <x:c r="M16" s="9" t="str">
        <x:f>IF(E16&lt;&gt;"HOLD","TRANSFER PHYSICAL DISPOSITION",IF(AND(G16=F16,I16=H16),"READY FOR PHYSICAL TRIAGE","NOT MOBILIZED"))</x:f>
        <x:v>NOT MOBILIZED</x:v>
      </x:c>
      <x:c r="N16" s="47"/>
      <x:c r="O16" s="47"/>
      <x:c r="P16" s="47"/>
      <x:c r="Q16" s="47"/>
      <x:c r="R16" s="47"/>
      <x:c r="S16" s="47"/>
      <x:c r="T16" s="47"/>
      <x:c r="U16" s="47"/>
      <x:c r="V16" s="47"/>
      <x:c r="W16" s="47"/>
      <x:c r="X16" s="47"/>
      <x:c r="Y16" s="47"/>
      <x:c r="Z16" s="47"/>
    </x:row>
    <x:row r="17">
      <x:c r="C17" s="9" t="str">
        <x:v>MS-HC|C</x:v>
      </x:c>
      <x:c r="D17" s="9" t="str">
        <x:v>MS-HC</x:v>
      </x:c>
      <x:c r="E17" s="9" t="str">
        <x:v>HOLD</x:v>
      </x:c>
      <x:c r="F17" s="9" t="n">
        <x:v>3</x:v>
      </x:c>
      <x:c r="G17" s="9" t="n">
        <x:f>COUNTIFS('Lane Assignments'!$D$7:$D$66,C17,'Lane Assignments'!$M$7:$M$66,"MOBILIZED")</x:f>
        <x:v>0</x:v>
      </x:c>
      <x:c r="H17" s="9" t="n">
        <x:v>6</x:v>
      </x:c>
      <x:c r="I17" s="9" t="n">
        <x:f>SUMIFS('Lane Assignments'!$I$7:$I$66,'Lane Assignments'!$D$7:$D$66,C17)+SUMIFS('Lane Assignments'!$J$7:$J$66,'Lane Assignments'!$D$7:$D$66,C17)</x:f>
        <x:v>0</x:v>
      </x:c>
      <x:c r="J17" s="9" t="n">
        <x:v>3</x:v>
      </x:c>
      <x:c r="K17" s="9" t="n">
        <x:f>SUMIFS('Stage Releases'!$J$7:$J$66,'Stage Releases'!$D$7:$D$66,C17)</x:f>
        <x:v>0</x:v>
      </x:c>
      <x:c r="L17" s="38" t="n">
        <x:f>SUMIFS('Stage Releases'!$L$7:$L$66,'Stage Releases'!$D$7:$D$66,C17)</x:f>
        <x:v>0</x:v>
      </x:c>
      <x:c r="M17" s="9" t="str">
        <x:f>IF(E17&lt;&gt;"HOLD","TRANSFER PHYSICAL DISPOSITION",IF(AND(G17=F17,I17=H17),"READY FOR PHYSICAL TRIAGE","NOT MOBILIZED"))</x:f>
        <x:v>NOT MOBILIZED</x:v>
      </x:c>
      <x:c r="N17" s="47"/>
      <x:c r="O17" s="47"/>
      <x:c r="P17" s="47"/>
      <x:c r="Q17" s="47"/>
      <x:c r="R17" s="47"/>
      <x:c r="S17" s="47"/>
      <x:c r="T17" s="47"/>
      <x:c r="U17" s="47"/>
      <x:c r="V17" s="47"/>
      <x:c r="W17" s="47"/>
      <x:c r="X17" s="47"/>
      <x:c r="Y17" s="47"/>
      <x:c r="Z17" s="47"/>
    </x:row>
    <x:row r="18">
      <x:c r="C18" s="9" t="str">
        <x:v>MS-HC|D</x:v>
      </x:c>
      <x:c r="D18" s="9" t="str">
        <x:v>MS-HC</x:v>
      </x:c>
      <x:c r="E18" s="9" t="str">
        <x:v>HOLD</x:v>
      </x:c>
      <x:c r="F18" s="9" t="n">
        <x:v>3</x:v>
      </x:c>
      <x:c r="G18" s="9" t="n">
        <x:f>COUNTIFS('Lane Assignments'!$D$7:$D$66,C18,'Lane Assignments'!$M$7:$M$66,"MOBILIZED")</x:f>
        <x:v>0</x:v>
      </x:c>
      <x:c r="H18" s="9" t="n">
        <x:v>6</x:v>
      </x:c>
      <x:c r="I18" s="9" t="n">
        <x:f>SUMIFS('Lane Assignments'!$I$7:$I$66,'Lane Assignments'!$D$7:$D$66,C18)+SUMIFS('Lane Assignments'!$J$7:$J$66,'Lane Assignments'!$D$7:$D$66,C18)</x:f>
        <x:v>0</x:v>
      </x:c>
      <x:c r="J18" s="9" t="n">
        <x:v>3</x:v>
      </x:c>
      <x:c r="K18" s="9" t="n">
        <x:f>SUMIFS('Stage Releases'!$J$7:$J$66,'Stage Releases'!$D$7:$D$66,C18)</x:f>
        <x:v>0</x:v>
      </x:c>
      <x:c r="L18" s="38" t="n">
        <x:f>SUMIFS('Stage Releases'!$L$7:$L$66,'Stage Releases'!$D$7:$D$66,C18)</x:f>
        <x:v>0</x:v>
      </x:c>
      <x:c r="M18" s="9" t="str">
        <x:f>IF(E18&lt;&gt;"HOLD","TRANSFER PHYSICAL DISPOSITION",IF(AND(G18=F18,I18=H18),"READY FOR PHYSICAL TRIAGE","NOT MOBILIZED"))</x:f>
        <x:v>NOT MOBILIZED</x:v>
      </x:c>
      <x:c r="N18" s="47"/>
      <x:c r="O18" s="47"/>
      <x:c r="P18" s="47"/>
      <x:c r="Q18" s="47"/>
      <x:c r="R18" s="47"/>
      <x:c r="S18" s="47"/>
      <x:c r="T18" s="47"/>
      <x:c r="U18" s="47"/>
      <x:c r="V18" s="47"/>
      <x:c r="W18" s="47"/>
      <x:c r="X18" s="47"/>
      <x:c r="Y18" s="47"/>
      <x:c r="Z18" s="47"/>
    </x:row>
    <x:row r="19">
      <x:c r="C19" s="9" t="str">
        <x:v>MS-HU|A</x:v>
      </x:c>
      <x:c r="D19" s="9" t="str">
        <x:v>MS-HU</x:v>
      </x:c>
      <x:c r="E19" s="9" t="str">
        <x:v>HOLD</x:v>
      </x:c>
      <x:c r="F19" s="9" t="n">
        <x:v>3</x:v>
      </x:c>
      <x:c r="G19" s="9" t="n">
        <x:f>COUNTIFS('Lane Assignments'!$D$7:$D$66,C19,'Lane Assignments'!$M$7:$M$66,"MOBILIZED")</x:f>
        <x:v>0</x:v>
      </x:c>
      <x:c r="H19" s="9" t="n">
        <x:v>6</x:v>
      </x:c>
      <x:c r="I19" s="9" t="n">
        <x:f>SUMIFS('Lane Assignments'!$I$7:$I$66,'Lane Assignments'!$D$7:$D$66,C19)+SUMIFS('Lane Assignments'!$J$7:$J$66,'Lane Assignments'!$D$7:$D$66,C19)</x:f>
        <x:v>0</x:v>
      </x:c>
      <x:c r="J19" s="9" t="n">
        <x:v>3</x:v>
      </x:c>
      <x:c r="K19" s="9" t="n">
        <x:f>SUMIFS('Stage Releases'!$J$7:$J$66,'Stage Releases'!$D$7:$D$66,C19)</x:f>
        <x:v>0</x:v>
      </x:c>
      <x:c r="L19" s="38" t="n">
        <x:f>SUMIFS('Stage Releases'!$L$7:$L$66,'Stage Releases'!$D$7:$D$66,C19)</x:f>
        <x:v>0</x:v>
      </x:c>
      <x:c r="M19" s="9" t="str">
        <x:f>IF(E19&lt;&gt;"HOLD","TRANSFER PHYSICAL DISPOSITION",IF(AND(G19=F19,I19=H19),"READY FOR PHYSICAL TRIAGE","NOT MOBILIZED"))</x:f>
        <x:v>NOT MOBILIZED</x:v>
      </x:c>
      <x:c r="N19" s="47"/>
      <x:c r="O19" s="47"/>
      <x:c r="P19" s="47"/>
      <x:c r="Q19" s="47"/>
      <x:c r="R19" s="47"/>
      <x:c r="S19" s="47"/>
      <x:c r="T19" s="47"/>
      <x:c r="U19" s="47"/>
      <x:c r="V19" s="47"/>
      <x:c r="W19" s="47"/>
      <x:c r="X19" s="47"/>
      <x:c r="Y19" s="47"/>
      <x:c r="Z19" s="47"/>
    </x:row>
    <x:row r="20">
      <x:c r="C20" s="9" t="str">
        <x:v>MS-HU|B</x:v>
      </x:c>
      <x:c r="D20" s="9" t="str">
        <x:v>MS-HU</x:v>
      </x:c>
      <x:c r="E20" s="9" t="str">
        <x:v>HOLD</x:v>
      </x:c>
      <x:c r="F20" s="9" t="n">
        <x:v>3</x:v>
      </x:c>
      <x:c r="G20" s="9" t="n">
        <x:f>COUNTIFS('Lane Assignments'!$D$7:$D$66,C20,'Lane Assignments'!$M$7:$M$66,"MOBILIZED")</x:f>
        <x:v>0</x:v>
      </x:c>
      <x:c r="H20" s="9" t="n">
        <x:v>6</x:v>
      </x:c>
      <x:c r="I20" s="9" t="n">
        <x:f>SUMIFS('Lane Assignments'!$I$7:$I$66,'Lane Assignments'!$D$7:$D$66,C20)+SUMIFS('Lane Assignments'!$J$7:$J$66,'Lane Assignments'!$D$7:$D$66,C20)</x:f>
        <x:v>0</x:v>
      </x:c>
      <x:c r="J20" s="9" t="n">
        <x:v>3</x:v>
      </x:c>
      <x:c r="K20" s="9" t="n">
        <x:f>SUMIFS('Stage Releases'!$J$7:$J$66,'Stage Releases'!$D$7:$D$66,C20)</x:f>
        <x:v>0</x:v>
      </x:c>
      <x:c r="L20" s="38" t="n">
        <x:f>SUMIFS('Stage Releases'!$L$7:$L$66,'Stage Releases'!$D$7:$D$66,C20)</x:f>
        <x:v>0</x:v>
      </x:c>
      <x:c r="M20" s="9" t="str">
        <x:f>IF(E20&lt;&gt;"HOLD","TRANSFER PHYSICAL DISPOSITION",IF(AND(G20=F20,I20=H20),"READY FOR PHYSICAL TRIAGE","NOT MOBILIZED"))</x:f>
        <x:v>NOT MOBILIZED</x:v>
      </x:c>
      <x:c r="N20" s="47"/>
      <x:c r="O20" s="47"/>
      <x:c r="P20" s="47"/>
      <x:c r="Q20" s="47"/>
      <x:c r="R20" s="47"/>
      <x:c r="S20" s="47"/>
      <x:c r="T20" s="47"/>
      <x:c r="U20" s="47"/>
      <x:c r="V20" s="47"/>
      <x:c r="W20" s="47"/>
      <x:c r="X20" s="47"/>
      <x:c r="Y20" s="47"/>
      <x:c r="Z20" s="47"/>
    </x:row>
    <x:row r="21">
      <x:c r="C21" s="9" t="str">
        <x:v>MS-HU|C</x:v>
      </x:c>
      <x:c r="D21" s="9" t="str">
        <x:v>MS-HU</x:v>
      </x:c>
      <x:c r="E21" s="9" t="str">
        <x:v>HOLD</x:v>
      </x:c>
      <x:c r="F21" s="9" t="n">
        <x:v>3</x:v>
      </x:c>
      <x:c r="G21" s="9" t="n">
        <x:f>COUNTIFS('Lane Assignments'!$D$7:$D$66,C21,'Lane Assignments'!$M$7:$M$66,"MOBILIZED")</x:f>
        <x:v>0</x:v>
      </x:c>
      <x:c r="H21" s="9" t="n">
        <x:v>6</x:v>
      </x:c>
      <x:c r="I21" s="9" t="n">
        <x:f>SUMIFS('Lane Assignments'!$I$7:$I$66,'Lane Assignments'!$D$7:$D$66,C21)+SUMIFS('Lane Assignments'!$J$7:$J$66,'Lane Assignments'!$D$7:$D$66,C21)</x:f>
        <x:v>0</x:v>
      </x:c>
      <x:c r="J21" s="9" t="n">
        <x:v>3</x:v>
      </x:c>
      <x:c r="K21" s="9" t="n">
        <x:f>SUMIFS('Stage Releases'!$J$7:$J$66,'Stage Releases'!$D$7:$D$66,C21)</x:f>
        <x:v>0</x:v>
      </x:c>
      <x:c r="L21" s="38" t="n">
        <x:f>SUMIFS('Stage Releases'!$L$7:$L$66,'Stage Releases'!$D$7:$D$66,C21)</x:f>
        <x:v>0</x:v>
      </x:c>
      <x:c r="M21" s="9" t="str">
        <x:f>IF(E21&lt;&gt;"HOLD","TRANSFER PHYSICAL DISPOSITION",IF(AND(G21=F21,I21=H21),"READY FOR PHYSICAL TRIAGE","NOT MOBILIZED"))</x:f>
        <x:v>NOT MOBILIZED</x:v>
      </x:c>
      <x:c r="N21" s="47"/>
      <x:c r="O21" s="47"/>
      <x:c r="P21" s="47"/>
      <x:c r="Q21" s="47"/>
      <x:c r="R21" s="47"/>
      <x:c r="S21" s="47"/>
      <x:c r="T21" s="47"/>
      <x:c r="U21" s="47"/>
      <x:c r="V21" s="47"/>
      <x:c r="W21" s="47"/>
      <x:c r="X21" s="47"/>
      <x:c r="Y21" s="47"/>
      <x:c r="Z21" s="47"/>
    </x:row>
    <x:row r="22">
      <x:c r="C22" s="9" t="str">
        <x:v>MS-HU|D</x:v>
      </x:c>
      <x:c r="D22" s="9" t="str">
        <x:v>MS-HU</x:v>
      </x:c>
      <x:c r="E22" s="9" t="str">
        <x:v>HOLD</x:v>
      </x:c>
      <x:c r="F22" s="9" t="n">
        <x:v>3</x:v>
      </x:c>
      <x:c r="G22" s="9" t="n">
        <x:f>COUNTIFS('Lane Assignments'!$D$7:$D$66,C22,'Lane Assignments'!$M$7:$M$66,"MOBILIZED")</x:f>
        <x:v>0</x:v>
      </x:c>
      <x:c r="H22" s="9" t="n">
        <x:v>6</x:v>
      </x:c>
      <x:c r="I22" s="9" t="n">
        <x:f>SUMIFS('Lane Assignments'!$I$7:$I$66,'Lane Assignments'!$D$7:$D$66,C22)+SUMIFS('Lane Assignments'!$J$7:$J$66,'Lane Assignments'!$D$7:$D$66,C22)</x:f>
        <x:v>0</x:v>
      </x:c>
      <x:c r="J22" s="9" t="n">
        <x:v>3</x:v>
      </x:c>
      <x:c r="K22" s="9" t="n">
        <x:f>SUMIFS('Stage Releases'!$J$7:$J$66,'Stage Releases'!$D$7:$D$66,C22)</x:f>
        <x:v>0</x:v>
      </x:c>
      <x:c r="L22" s="38" t="n">
        <x:f>SUMIFS('Stage Releases'!$L$7:$L$66,'Stage Releases'!$D$7:$D$66,C22)</x:f>
        <x:v>0</x:v>
      </x:c>
      <x:c r="M22" s="9" t="str">
        <x:f>IF(E22&lt;&gt;"HOLD","TRANSFER PHYSICAL DISPOSITION",IF(AND(G22=F22,I22=H22),"READY FOR PHYSICAL TRIAGE","NOT MOBILIZED"))</x:f>
        <x:v>NOT MOBILIZED</x:v>
      </x:c>
      <x:c r="N22" s="47"/>
      <x:c r="O22" s="47"/>
      <x:c r="P22" s="47"/>
      <x:c r="Q22" s="47"/>
      <x:c r="R22" s="47"/>
      <x:c r="S22" s="47"/>
      <x:c r="T22" s="47"/>
      <x:c r="U22" s="47"/>
      <x:c r="V22" s="47"/>
      <x:c r="W22" s="47"/>
      <x:c r="X22" s="47"/>
      <x:c r="Y22" s="47"/>
      <x:c r="Z22" s="47"/>
    </x:row>
    <x:row r="23">
      <x:c r="C23" s="9" t="str">
        <x:v>MS-RT|A</x:v>
      </x:c>
      <x:c r="D23" s="9" t="str">
        <x:v>MS-RT</x:v>
      </x:c>
      <x:c r="E23" s="9" t="str">
        <x:v>HOLD</x:v>
      </x:c>
      <x:c r="F23" s="9" t="n">
        <x:v>3</x:v>
      </x:c>
      <x:c r="G23" s="9" t="n">
        <x:f>COUNTIFS('Lane Assignments'!$D$7:$D$66,C23,'Lane Assignments'!$M$7:$M$66,"MOBILIZED")</x:f>
        <x:v>0</x:v>
      </x:c>
      <x:c r="H23" s="9" t="n">
        <x:v>6</x:v>
      </x:c>
      <x:c r="I23" s="9" t="n">
        <x:f>SUMIFS('Lane Assignments'!$I$7:$I$66,'Lane Assignments'!$D$7:$D$66,C23)+SUMIFS('Lane Assignments'!$J$7:$J$66,'Lane Assignments'!$D$7:$D$66,C23)</x:f>
        <x:v>0</x:v>
      </x:c>
      <x:c r="J23" s="9" t="n">
        <x:v>3</x:v>
      </x:c>
      <x:c r="K23" s="9" t="n">
        <x:f>SUMIFS('Stage Releases'!$J$7:$J$66,'Stage Releases'!$D$7:$D$66,C23)</x:f>
        <x:v>0</x:v>
      </x:c>
      <x:c r="L23" s="38" t="n">
        <x:f>SUMIFS('Stage Releases'!$L$7:$L$66,'Stage Releases'!$D$7:$D$66,C23)</x:f>
        <x:v>0</x:v>
      </x:c>
      <x:c r="M23" s="9" t="str">
        <x:f>IF(E23&lt;&gt;"HOLD","TRANSFER PHYSICAL DISPOSITION",IF(AND(G23=F23,I23=H23),"READY FOR PHYSICAL TRIAGE","NOT MOBILIZED"))</x:f>
        <x:v>NOT MOBILIZED</x:v>
      </x:c>
      <x:c r="N23" s="47"/>
      <x:c r="O23" s="47"/>
      <x:c r="P23" s="47"/>
      <x:c r="Q23" s="47"/>
      <x:c r="R23" s="47"/>
      <x:c r="S23" s="47"/>
      <x:c r="T23" s="47"/>
      <x:c r="U23" s="47"/>
      <x:c r="V23" s="47"/>
      <x:c r="W23" s="47"/>
      <x:c r="X23" s="47"/>
      <x:c r="Y23" s="47"/>
      <x:c r="Z23" s="47"/>
    </x:row>
    <x:row r="24">
      <x:c r="C24" s="9" t="str">
        <x:v>MS-RT|B</x:v>
      </x:c>
      <x:c r="D24" s="9" t="str">
        <x:v>MS-RT</x:v>
      </x:c>
      <x:c r="E24" s="9" t="str">
        <x:v>HOLD</x:v>
      </x:c>
      <x:c r="F24" s="9" t="n">
        <x:v>3</x:v>
      </x:c>
      <x:c r="G24" s="9" t="n">
        <x:f>COUNTIFS('Lane Assignments'!$D$7:$D$66,C24,'Lane Assignments'!$M$7:$M$66,"MOBILIZED")</x:f>
        <x:v>0</x:v>
      </x:c>
      <x:c r="H24" s="9" t="n">
        <x:v>6</x:v>
      </x:c>
      <x:c r="I24" s="9" t="n">
        <x:f>SUMIFS('Lane Assignments'!$I$7:$I$66,'Lane Assignments'!$D$7:$D$66,C24)+SUMIFS('Lane Assignments'!$J$7:$J$66,'Lane Assignments'!$D$7:$D$66,C24)</x:f>
        <x:v>0</x:v>
      </x:c>
      <x:c r="J24" s="9" t="n">
        <x:v>3</x:v>
      </x:c>
      <x:c r="K24" s="9" t="n">
        <x:f>SUMIFS('Stage Releases'!$J$7:$J$66,'Stage Releases'!$D$7:$D$66,C24)</x:f>
        <x:v>0</x:v>
      </x:c>
      <x:c r="L24" s="38" t="n">
        <x:f>SUMIFS('Stage Releases'!$L$7:$L$66,'Stage Releases'!$D$7:$D$66,C24)</x:f>
        <x:v>0</x:v>
      </x:c>
      <x:c r="M24" s="9" t="str">
        <x:f>IF(E24&lt;&gt;"HOLD","TRANSFER PHYSICAL DISPOSITION",IF(AND(G24=F24,I24=H24),"READY FOR PHYSICAL TRIAGE","NOT MOBILIZED"))</x:f>
        <x:v>NOT MOBILIZED</x:v>
      </x:c>
      <x:c r="N24" s="47"/>
      <x:c r="O24" s="47"/>
      <x:c r="P24" s="47"/>
      <x:c r="Q24" s="47"/>
      <x:c r="R24" s="47"/>
      <x:c r="S24" s="47"/>
      <x:c r="T24" s="47"/>
      <x:c r="U24" s="47"/>
      <x:c r="V24" s="47"/>
      <x:c r="W24" s="47"/>
      <x:c r="X24" s="47"/>
      <x:c r="Y24" s="47"/>
      <x:c r="Z24" s="47"/>
    </x:row>
    <x:row r="25">
      <x:c r="C25" s="9" t="str">
        <x:v>MS-RT|C</x:v>
      </x:c>
      <x:c r="D25" s="9" t="str">
        <x:v>MS-RT</x:v>
      </x:c>
      <x:c r="E25" s="9" t="str">
        <x:v>HOLD</x:v>
      </x:c>
      <x:c r="F25" s="9" t="n">
        <x:v>3</x:v>
      </x:c>
      <x:c r="G25" s="9" t="n">
        <x:f>COUNTIFS('Lane Assignments'!$D$7:$D$66,C25,'Lane Assignments'!$M$7:$M$66,"MOBILIZED")</x:f>
        <x:v>0</x:v>
      </x:c>
      <x:c r="H25" s="9" t="n">
        <x:v>6</x:v>
      </x:c>
      <x:c r="I25" s="9" t="n">
        <x:f>SUMIFS('Lane Assignments'!$I$7:$I$66,'Lane Assignments'!$D$7:$D$66,C25)+SUMIFS('Lane Assignments'!$J$7:$J$66,'Lane Assignments'!$D$7:$D$66,C25)</x:f>
        <x:v>0</x:v>
      </x:c>
      <x:c r="J25" s="9" t="n">
        <x:v>3</x:v>
      </x:c>
      <x:c r="K25" s="9" t="n">
        <x:f>SUMIFS('Stage Releases'!$J$7:$J$66,'Stage Releases'!$D$7:$D$66,C25)</x:f>
        <x:v>0</x:v>
      </x:c>
      <x:c r="L25" s="38" t="n">
        <x:f>SUMIFS('Stage Releases'!$L$7:$L$66,'Stage Releases'!$D$7:$D$66,C25)</x:f>
        <x:v>0</x:v>
      </x:c>
      <x:c r="M25" s="9" t="str">
        <x:f>IF(E25&lt;&gt;"HOLD","TRANSFER PHYSICAL DISPOSITION",IF(AND(G25=F25,I25=H25),"READY FOR PHYSICAL TRIAGE","NOT MOBILIZED"))</x:f>
        <x:v>NOT MOBILIZED</x:v>
      </x:c>
      <x:c r="N25" s="47"/>
      <x:c r="O25" s="47"/>
      <x:c r="P25" s="47"/>
      <x:c r="Q25" s="47"/>
      <x:c r="R25" s="47"/>
      <x:c r="S25" s="47"/>
      <x:c r="T25" s="47"/>
      <x:c r="U25" s="47"/>
      <x:c r="V25" s="47"/>
      <x:c r="W25" s="47"/>
      <x:c r="X25" s="47"/>
      <x:c r="Y25" s="47"/>
      <x:c r="Z25" s="47"/>
    </x:row>
    <x:row r="26">
      <x:c r="C26" s="10" t="str">
        <x:v>MS-RT|D</x:v>
      </x:c>
      <x:c r="D26" s="10" t="str">
        <x:v>MS-RT</x:v>
      </x:c>
      <x:c r="E26" s="10" t="str">
        <x:v>HOLD</x:v>
      </x:c>
      <x:c r="F26" s="10" t="n">
        <x:v>3</x:v>
      </x:c>
      <x:c r="G26" s="10" t="n">
        <x:f>COUNTIFS('Lane Assignments'!$D$7:$D$66,C26,'Lane Assignments'!$M$7:$M$66,"MOBILIZED")</x:f>
        <x:v>0</x:v>
      </x:c>
      <x:c r="H26" s="10" t="n">
        <x:v>6</x:v>
      </x:c>
      <x:c r="I26" s="10" t="n">
        <x:f>SUMIFS('Lane Assignments'!$I$7:$I$66,'Lane Assignments'!$D$7:$D$66,C26)+SUMIFS('Lane Assignments'!$J$7:$J$66,'Lane Assignments'!$D$7:$D$66,C26)</x:f>
        <x:v>0</x:v>
      </x:c>
      <x:c r="J26" s="10" t="n">
        <x:v>3</x:v>
      </x:c>
      <x:c r="K26" s="10" t="n">
        <x:f>SUMIFS('Stage Releases'!$J$7:$J$66,'Stage Releases'!$D$7:$D$66,C26)</x:f>
        <x:v>0</x:v>
      </x:c>
      <x:c r="L26" s="39" t="n">
        <x:f>SUMIFS('Stage Releases'!$L$7:$L$66,'Stage Releases'!$D$7:$D$66,C26)</x:f>
        <x:v>0</x:v>
      </x:c>
      <x:c r="M26" s="10" t="str">
        <x:f>IF(E26&lt;&gt;"HOLD","TRANSFER PHYSICAL DISPOSITION",IF(AND(G26=F26,I26=H26),"READY FOR PHYSICAL TRIAGE","NOT MOBILIZED"))</x:f>
        <x:v>NOT MOBILIZED</x:v>
      </x:c>
      <x:c r="N26" s="47"/>
      <x:c r="O26" s="47"/>
      <x:c r="P26" s="47"/>
      <x:c r="Q26" s="47"/>
      <x:c r="R26" s="47"/>
      <x:c r="S26" s="47"/>
      <x:c r="T26" s="47"/>
      <x:c r="U26" s="47"/>
      <x:c r="V26" s="47"/>
      <x:c r="W26" s="47"/>
      <x:c r="X26" s="47"/>
      <x:c r="Y26" s="47"/>
      <x:c r="Z26" s="47"/>
    </x:row>
    <x:row r="27"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47"/>
      <x:c r="O27" s="47"/>
      <x:c r="P27" s="47"/>
      <x:c r="Q27" s="47"/>
      <x:c r="R27" s="47"/>
      <x:c r="S27" s="47"/>
      <x:c r="T27" s="47"/>
      <x:c r="U27" s="47"/>
      <x:c r="V27" s="47"/>
      <x:c r="W27" s="47"/>
      <x:c r="X27" s="47"/>
      <x:c r="Y27" s="47"/>
      <x:c r="Z27" s="47"/>
    </x:row>
    <x:row r="28"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47"/>
      <x:c r="O28" s="47"/>
      <x:c r="P28" s="47"/>
      <x:c r="Q28" s="47"/>
      <x:c r="R28" s="47"/>
      <x:c r="S28" s="47"/>
      <x:c r="T28" s="47"/>
      <x:c r="U28" s="47"/>
      <x:c r="V28" s="47"/>
      <x:c r="W28" s="47"/>
      <x:c r="X28" s="47"/>
      <x:c r="Y28" s="47"/>
      <x:c r="Z28" s="47"/>
    </x:row>
    <x:row r="29"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47"/>
      <x:c r="O29" s="47"/>
      <x:c r="P29" s="47"/>
      <x:c r="Q29" s="47"/>
      <x:c r="R29" s="47"/>
      <x:c r="S29" s="47"/>
      <x:c r="T29" s="47"/>
      <x:c r="U29" s="47"/>
      <x:c r="V29" s="47"/>
      <x:c r="W29" s="47"/>
      <x:c r="X29" s="47"/>
      <x:c r="Y29" s="47"/>
      <x:c r="Z29" s="47"/>
    </x:row>
    <x:row r="30"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47"/>
      <x:c r="O30" s="47"/>
      <x:c r="P30" s="47"/>
      <x:c r="Q30" s="47"/>
      <x:c r="R30" s="47"/>
      <x:c r="S30" s="47"/>
      <x:c r="T30" s="47"/>
      <x:c r="U30" s="47"/>
      <x:c r="V30" s="47"/>
      <x:c r="W30" s="47"/>
      <x:c r="X30" s="47"/>
      <x:c r="Y30" s="47"/>
      <x:c r="Z30" s="47"/>
    </x:row>
    <x:row r="31"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47"/>
      <x:c r="O31" s="47"/>
      <x:c r="P31" s="47"/>
      <x:c r="Q31" s="47"/>
      <x:c r="R31" s="47"/>
      <x:c r="S31" s="47"/>
      <x:c r="T31" s="47"/>
      <x:c r="U31" s="47"/>
      <x:c r="V31" s="47"/>
      <x:c r="W31" s="47"/>
      <x:c r="X31" s="47"/>
      <x:c r="Y31" s="47"/>
      <x:c r="Z31" s="47"/>
    </x:row>
  </x:sheetData>
  <x:conditionalFormatting sqref="M7:M26">
    <x:cfRule type="containsText" dxfId="24" priority="1" operator="containsText" text="BLOCKED"/>
    <x:cfRule type="containsText" dxfId="25" priority="2" operator="containsText" text="NOT MOBILIZED"/>
    <x:cfRule type="containsText" dxfId="26" priority="3" operator="containsText" text="READY"/>
    <x:cfRule type="containsText" dxfId="27" priority="4" operator="containsText" text="FAIL"/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3" max="3" width="13" hidden="0" customWidth="1"/>
    <x:col min="4" max="4" width="24" hidden="0" customWidth="1"/>
    <x:col min="5" max="5" width="18" hidden="0" customWidth="1"/>
    <x:col min="6" max="6" width="18" hidden="0" customWidth="1"/>
    <x:col min="7" max="7" width="20" hidden="0" customWidth="1"/>
    <x:col min="8" max="8" width="31" hidden="0" customWidth="1"/>
    <x:col min="9" max="9" width="31" hidden="0" customWidth="1"/>
    <x:col min="10" max="10" width="18" hidden="0" customWidth="1"/>
    <x:col min="11" max="11" width="14" hidden="0" customWidth="1"/>
    <x:col min="12" max="12" width="48" hidden="0" customWidth="1"/>
  </x:cols>
  <x:sheetData>
    <x:row r="1"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47"/>
      <x:c r="N1" s="47"/>
      <x:c r="O1" s="47"/>
      <x:c r="P1" s="47"/>
      <x:c r="Q1" s="47"/>
      <x:c r="R1" s="47"/>
      <x:c r="S1" s="47"/>
      <x:c r="T1" s="47"/>
      <x:c r="U1" s="47"/>
      <x:c r="V1" s="47"/>
      <x:c r="W1" s="47"/>
      <x:c r="X1" s="47"/>
      <x:c r="Y1" s="47"/>
      <x:c r="Z1" s="47"/>
    </x:row>
    <x:row r="2">
      <x:c r="C2" s="48" t="str">
        <x:v>Six-system proof-contract barrier</x:v>
      </x:c>
      <x:c r="D2" s="9"/>
      <x:c r="E2" s="9"/>
      <x:c r="F2" s="9"/>
      <x:c r="G2" s="9"/>
      <x:c r="H2" s="9"/>
      <x:c r="I2" s="9"/>
      <x:c r="J2" s="9"/>
      <x:c r="K2" s="9"/>
      <x:c r="L2" s="9"/>
      <x:c r="M2" s="47"/>
      <x:c r="N2" s="47"/>
      <x:c r="O2" s="47"/>
      <x:c r="P2" s="47"/>
      <x:c r="Q2" s="47"/>
      <x:c r="R2" s="47"/>
      <x:c r="S2" s="47"/>
      <x:c r="T2" s="47"/>
      <x:c r="U2" s="47"/>
      <x:c r="V2" s="47"/>
      <x:c r="W2" s="47"/>
      <x:c r="X2" s="47"/>
      <x:c r="Y2" s="47"/>
      <x:c r="Z2" s="47"/>
    </x:row>
    <x:row r="3">
      <x:c r="C3" s="49" t="str">
        <x:v>The non-lifeline service mobilizes twenty roots. The lifeline campaign retains its separate four-root physical law and remains equally binding.</x:v>
      </x:c>
      <x:c r="D3" s="9"/>
      <x:c r="E3" s="9"/>
      <x:c r="F3" s="9"/>
      <x:c r="G3" s="9"/>
      <x:c r="H3" s="9"/>
      <x:c r="I3" s="9"/>
      <x:c r="J3" s="9"/>
      <x:c r="K3" s="9"/>
      <x:c r="L3" s="9"/>
      <x:c r="M3" s="47"/>
      <x:c r="N3" s="47"/>
      <x:c r="O3" s="47"/>
      <x:c r="P3" s="47"/>
      <x:c r="Q3" s="47"/>
      <x:c r="R3" s="47"/>
      <x:c r="S3" s="47"/>
      <x:c r="T3" s="47"/>
      <x:c r="U3" s="47"/>
      <x:c r="V3" s="47"/>
      <x:c r="W3" s="47"/>
      <x:c r="X3" s="47"/>
      <x:c r="Y3" s="47"/>
      <x:c r="Z3" s="47"/>
    </x:row>
    <x:row r="4">
      <x:c r="C4" s="50"/>
      <x:c r="D4" s="50"/>
      <x:c r="E4" s="50"/>
      <x:c r="F4" s="50"/>
      <x:c r="G4" s="50"/>
      <x:c r="H4" s="50"/>
      <x:c r="I4" s="50"/>
      <x:c r="J4" s="50"/>
      <x:c r="K4" s="50"/>
      <x:c r="L4" s="50"/>
      <x:c r="M4" s="51"/>
      <x:c r="N4" s="51"/>
      <x:c r="O4" s="51"/>
      <x:c r="P4" s="51"/>
      <x:c r="Q4" s="51"/>
      <x:c r="R4" s="51"/>
      <x:c r="S4" s="51"/>
      <x:c r="T4" s="51"/>
      <x:c r="U4" s="51"/>
      <x:c r="V4" s="51"/>
      <x:c r="W4" s="51"/>
      <x:c r="X4" s="51"/>
      <x:c r="Y4" s="51"/>
      <x:c r="Z4" s="51"/>
    </x:row>
    <x:row r="5">
      <x:c r="C5" s="9"/>
      <x:c r="D5" s="9"/>
      <x:c r="E5" s="9"/>
      <x:c r="F5" s="9"/>
      <x:c r="G5" s="9"/>
      <x:c r="H5" s="9"/>
      <x:c r="I5" s="9"/>
      <x:c r="J5" s="9"/>
      <x:c r="K5" s="9"/>
      <x:c r="L5" s="9"/>
      <x:c r="M5" s="47"/>
      <x:c r="N5" s="47"/>
      <x:c r="O5" s="47"/>
      <x:c r="P5" s="47"/>
      <x:c r="Q5" s="47"/>
      <x:c r="R5" s="47"/>
      <x:c r="S5" s="47"/>
      <x:c r="T5" s="47"/>
      <x:c r="U5" s="47"/>
      <x:c r="V5" s="47"/>
      <x:c r="W5" s="47"/>
      <x:c r="X5" s="47"/>
      <x:c r="Y5" s="47"/>
      <x:c r="Z5" s="47"/>
    </x:row>
    <x:row r="6" ht="28" customHeight="1">
      <x:c r="C6" s="26" t="str">
        <x:v>System</x:v>
      </x:c>
      <x:c r="D6" s="32" t="str">
        <x:v>Mission</x:v>
      </x:c>
      <x:c r="E6" s="32" t="str">
        <x:v>Required roots</x:v>
      </x:c>
      <x:c r="F6" s="32" t="str">
        <x:v>Mobilized roots</x:v>
      </x:c>
      <x:c r="G6" s="32" t="str">
        <x:v>Non-HOLD roots</x:v>
      </x:c>
      <x:c r="H6" s="32" t="str">
        <x:v>Replacement status</x:v>
      </x:c>
      <x:c r="I6" s="32" t="str">
        <x:v>Institution source</x:v>
      </x:c>
      <x:c r="J6" s="32" t="str">
        <x:v>Proof contract</x:v>
      </x:c>
      <x:c r="K6" s="32" t="str">
        <x:v>Force credit</x:v>
      </x:c>
      <x:c r="L6" s="27" t="str">
        <x:v>Reason</x:v>
      </x:c>
      <x:c r="M6" s="47"/>
      <x:c r="N6" s="47"/>
      <x:c r="O6" s="47"/>
      <x:c r="P6" s="47"/>
      <x:c r="Q6" s="47"/>
      <x:c r="R6" s="47"/>
      <x:c r="S6" s="47"/>
      <x:c r="T6" s="47"/>
      <x:c r="U6" s="47"/>
      <x:c r="V6" s="47"/>
      <x:c r="W6" s="47"/>
      <x:c r="X6" s="47"/>
      <x:c r="Y6" s="47"/>
      <x:c r="Z6" s="47"/>
    </x:row>
    <x:row r="7" ht="46" customHeight="1">
      <x:c r="C7" s="9" t="str">
        <x:v>MS-ET</x:v>
      </x:c>
      <x:c r="D7" s="9" t="str">
        <x:v>Theater entry</x:v>
      </x:c>
      <x:c r="E7" s="9" t="n">
        <x:v>4</x:v>
      </x:c>
      <x:c r="F7" s="9" t="n">
        <x:f>COUNTIFS('Disposition Pipeline'!$D$7:$D$26,C7,'Disposition Pipeline'!$M$7:$M$26,"READY FOR PHYSICAL TRIAGE")</x:f>
        <x:v>0</x:v>
      </x:c>
      <x:c r="G7" s="9" t="n">
        <x:f>COUNTIFS('Disposition Pipeline'!$D$7:$D$26,C7,'Disposition Pipeline'!$E$7:$E$26,"&lt;&gt;HOLD")</x:f>
        <x:v>0</x:v>
      </x:c>
      <x:c r="H7" s="13" t="str">
        <x:v>NO KILL / NO REPLACEMENT YET</x:v>
      </x:c>
      <x:c r="I7" s="13" t="str">
        <x:v>Resilience Proving Service</x:v>
      </x:c>
      <x:c r="J7" s="9" t="str">
        <x:f>IF(AND(F7=4,G7=4,H7="CLEARED"),"ELIGIBLE","BLOCKED")</x:f>
        <x:v>BLOCKED</x:v>
      </x:c>
      <x:c r="K7" s="9" t="n">
        <x:v>0</x:v>
      </x:c>
      <x:c r="L7" s="13" t="str">
        <x:f>IF(J7="BLOCKED","Four mobilized, non-HOLD roots and cleared replacements required","Cohort may contract proof articles")</x:f>
        <x:v>Four mobilized, non-HOLD roots and cleared replacements required</x:v>
      </x:c>
      <x:c r="M7" s="47"/>
      <x:c r="N7" s="47"/>
      <x:c r="O7" s="47"/>
      <x:c r="P7" s="47"/>
      <x:c r="Q7" s="47"/>
      <x:c r="R7" s="47"/>
      <x:c r="S7" s="47"/>
      <x:c r="T7" s="47"/>
      <x:c r="U7" s="47"/>
      <x:c r="V7" s="47"/>
      <x:c r="W7" s="47"/>
      <x:c r="X7" s="47"/>
      <x:c r="Y7" s="47"/>
      <x:c r="Z7" s="47"/>
    </x:row>
    <x:row r="8" ht="46" customHeight="1">
      <x:c r="C8" s="9" t="str">
        <x:v>MS-CT</x:v>
      </x:c>
      <x:c r="D8" s="9" t="str">
        <x:v>Civil terrain</x:v>
      </x:c>
      <x:c r="E8" s="9" t="n">
        <x:v>4</x:v>
      </x:c>
      <x:c r="F8" s="9" t="n">
        <x:f>COUNTIFS('Disposition Pipeline'!$D$7:$D$26,C8,'Disposition Pipeline'!$M$7:$M$26,"READY FOR PHYSICAL TRIAGE")</x:f>
        <x:v>0</x:v>
      </x:c>
      <x:c r="G8" s="9" t="n">
        <x:f>COUNTIFS('Disposition Pipeline'!$D$7:$D$26,C8,'Disposition Pipeline'!$E$7:$E$26,"&lt;&gt;HOLD")</x:f>
        <x:v>0</x:v>
      </x:c>
      <x:c r="H8" s="13" t="str">
        <x:v>NO KILL / NO REPLACEMENT YET</x:v>
      </x:c>
      <x:c r="I8" s="13" t="str">
        <x:v>Resilience Proving Service</x:v>
      </x:c>
      <x:c r="J8" s="9" t="str">
        <x:f>IF(AND(F8=4,G8=4,H8="CLEARED"),"ELIGIBLE","BLOCKED")</x:f>
        <x:v>BLOCKED</x:v>
      </x:c>
      <x:c r="K8" s="9" t="n">
        <x:v>0</x:v>
      </x:c>
      <x:c r="L8" s="13" t="str">
        <x:f>IF(J8="BLOCKED","Four mobilized, non-HOLD roots and cleared replacements required","Cohort may contract proof articles")</x:f>
        <x:v>Four mobilized, non-HOLD roots and cleared replacements required</x:v>
      </x:c>
      <x:c r="M8" s="47"/>
      <x:c r="N8" s="47"/>
      <x:c r="O8" s="47"/>
      <x:c r="P8" s="47"/>
      <x:c r="Q8" s="47"/>
      <x:c r="R8" s="47"/>
      <x:c r="S8" s="47"/>
      <x:c r="T8" s="47"/>
      <x:c r="U8" s="47"/>
      <x:c r="V8" s="47"/>
      <x:c r="W8" s="47"/>
      <x:c r="X8" s="47"/>
      <x:c r="Y8" s="47"/>
      <x:c r="Z8" s="47"/>
    </x:row>
    <x:row r="9" ht="46" customHeight="1">
      <x:c r="C9" s="9" t="str">
        <x:v>MS-HC</x:v>
      </x:c>
      <x:c r="D9" s="9" t="str">
        <x:v>Hazard control</x:v>
      </x:c>
      <x:c r="E9" s="9" t="n">
        <x:v>4</x:v>
      </x:c>
      <x:c r="F9" s="9" t="n">
        <x:f>COUNTIFS('Disposition Pipeline'!$D$7:$D$26,C9,'Disposition Pipeline'!$M$7:$M$26,"READY FOR PHYSICAL TRIAGE")</x:f>
        <x:v>0</x:v>
      </x:c>
      <x:c r="G9" s="9" t="n">
        <x:f>COUNTIFS('Disposition Pipeline'!$D$7:$D$26,C9,'Disposition Pipeline'!$E$7:$E$26,"&lt;&gt;HOLD")</x:f>
        <x:v>0</x:v>
      </x:c>
      <x:c r="H9" s="13" t="str">
        <x:v>NO KILL / NO REPLACEMENT YET</x:v>
      </x:c>
      <x:c r="I9" s="13" t="str">
        <x:v>Resilience Proving Service</x:v>
      </x:c>
      <x:c r="J9" s="9" t="str">
        <x:f>IF(AND(F9=4,G9=4,H9="CLEARED"),"ELIGIBLE","BLOCKED")</x:f>
        <x:v>BLOCKED</x:v>
      </x:c>
      <x:c r="K9" s="9" t="n">
        <x:v>0</x:v>
      </x:c>
      <x:c r="L9" s="13" t="str">
        <x:f>IF(J9="BLOCKED","Four mobilized, non-HOLD roots and cleared replacements required","Cohort may contract proof articles")</x:f>
        <x:v>Four mobilized, non-HOLD roots and cleared replacements required</x:v>
      </x:c>
      <x:c r="M9" s="47"/>
      <x:c r="N9" s="47"/>
      <x:c r="O9" s="47"/>
      <x:c r="P9" s="47"/>
      <x:c r="Q9" s="47"/>
      <x:c r="R9" s="47"/>
      <x:c r="S9" s="47"/>
      <x:c r="T9" s="47"/>
      <x:c r="U9" s="47"/>
      <x:c r="V9" s="47"/>
      <x:c r="W9" s="47"/>
      <x:c r="X9" s="47"/>
      <x:c r="Y9" s="47"/>
      <x:c r="Z9" s="47"/>
    </x:row>
    <x:row r="10" ht="46" customHeight="1">
      <x:c r="C10" s="9" t="str">
        <x:v>MS-HU</x:v>
      </x:c>
      <x:c r="D10" s="9" t="str">
        <x:v>Human continuity</x:v>
      </x:c>
      <x:c r="E10" s="9" t="n">
        <x:v>4</x:v>
      </x:c>
      <x:c r="F10" s="9" t="n">
        <x:f>COUNTIFS('Disposition Pipeline'!$D$7:$D$26,C10,'Disposition Pipeline'!$M$7:$M$26,"READY FOR PHYSICAL TRIAGE")</x:f>
        <x:v>0</x:v>
      </x:c>
      <x:c r="G10" s="9" t="n">
        <x:f>COUNTIFS('Disposition Pipeline'!$D$7:$D$26,C10,'Disposition Pipeline'!$E$7:$E$26,"&lt;&gt;HOLD")</x:f>
        <x:v>0</x:v>
      </x:c>
      <x:c r="H10" s="13" t="str">
        <x:v>NO KILL / NO REPLACEMENT YET</x:v>
      </x:c>
      <x:c r="I10" s="13" t="str">
        <x:v>Resilience Proving Service</x:v>
      </x:c>
      <x:c r="J10" s="9" t="str">
        <x:f>IF(AND(F10=4,G10=4,H10="CLEARED"),"ELIGIBLE","BLOCKED")</x:f>
        <x:v>BLOCKED</x:v>
      </x:c>
      <x:c r="K10" s="9" t="n">
        <x:v>0</x:v>
      </x:c>
      <x:c r="L10" s="13" t="str">
        <x:f>IF(J10="BLOCKED","Four mobilized, non-HOLD roots and cleared replacements required","Cohort may contract proof articles")</x:f>
        <x:v>Four mobilized, non-HOLD roots and cleared replacements required</x:v>
      </x:c>
      <x:c r="M10" s="47"/>
      <x:c r="N10" s="47"/>
      <x:c r="O10" s="47"/>
      <x:c r="P10" s="47"/>
      <x:c r="Q10" s="47"/>
      <x:c r="R10" s="47"/>
      <x:c r="S10" s="47"/>
      <x:c r="T10" s="47"/>
      <x:c r="U10" s="47"/>
      <x:c r="V10" s="47"/>
      <x:c r="W10" s="47"/>
      <x:c r="X10" s="47"/>
      <x:c r="Y10" s="47"/>
      <x:c r="Z10" s="47"/>
    </x:row>
    <x:row r="11" ht="46" customHeight="1">
      <x:c r="C11" s="9" t="str">
        <x:v>MS-RT</x:v>
      </x:c>
      <x:c r="D11" s="9" t="str">
        <x:v>Regeneration</x:v>
      </x:c>
      <x:c r="E11" s="9" t="n">
        <x:v>4</x:v>
      </x:c>
      <x:c r="F11" s="9" t="n">
        <x:f>COUNTIFS('Disposition Pipeline'!$D$7:$D$26,C11,'Disposition Pipeline'!$M$7:$M$26,"READY FOR PHYSICAL TRIAGE")</x:f>
        <x:v>0</x:v>
      </x:c>
      <x:c r="G11" s="9" t="n">
        <x:f>COUNTIFS('Disposition Pipeline'!$D$7:$D$26,C11,'Disposition Pipeline'!$E$7:$E$26,"&lt;&gt;HOLD")</x:f>
        <x:v>0</x:v>
      </x:c>
      <x:c r="H11" s="13" t="str">
        <x:v>NO KILL / NO REPLACEMENT YET</x:v>
      </x:c>
      <x:c r="I11" s="13" t="str">
        <x:v>Resilience Proving Service</x:v>
      </x:c>
      <x:c r="J11" s="9" t="str">
        <x:f>IF(AND(F11=4,G11=4,H11="CLEARED"),"ELIGIBLE","BLOCKED")</x:f>
        <x:v>BLOCKED</x:v>
      </x:c>
      <x:c r="K11" s="9" t="n">
        <x:v>0</x:v>
      </x:c>
      <x:c r="L11" s="13" t="str">
        <x:f>IF(J11="BLOCKED","Four mobilized, non-HOLD roots and cleared replacements required","Cohort may contract proof articles")</x:f>
        <x:v>Four mobilized, non-HOLD roots and cleared replacements required</x:v>
      </x:c>
      <x:c r="M11" s="47"/>
      <x:c r="N11" s="47"/>
      <x:c r="O11" s="47"/>
      <x:c r="P11" s="47"/>
      <x:c r="Q11" s="47"/>
      <x:c r="R11" s="47"/>
      <x:c r="S11" s="47"/>
      <x:c r="T11" s="47"/>
      <x:c r="U11" s="47"/>
      <x:c r="V11" s="47"/>
      <x:c r="W11" s="47"/>
      <x:c r="X11" s="47"/>
      <x:c r="Y11" s="47"/>
      <x:c r="Z11" s="47"/>
    </x:row>
    <x:row r="12" ht="46" customHeight="1">
      <x:c r="C12" s="10" t="str">
        <x:v>MS-LF</x:v>
      </x:c>
      <x:c r="D12" s="10" t="str">
        <x:v>Lifeline production</x:v>
      </x:c>
      <x:c r="E12" s="10" t="n">
        <x:v>4</x:v>
      </x:c>
      <x:c r="F12" s="10" t="n">
        <x:v>0</x:v>
      </x:c>
      <x:c r="G12" s="10" t="n">
        <x:v>0</x:v>
      </x:c>
      <x:c r="H12" s="14" t="str">
        <x:v>NO KILL / NO REPLACEMENT YET</x:v>
      </x:c>
      <x:c r="I12" s="14" t="str">
        <x:v>Pass 178 lifeline campaign</x:v>
      </x:c>
      <x:c r="J12" s="10" t="str">
        <x:f>IF(AND(F12=4,G12=4,H12="CLEARED"),"ELIGIBLE","BLOCKED")</x:f>
        <x:v>BLOCKED</x:v>
      </x:c>
      <x:c r="K12" s="10" t="n">
        <x:v>0</x:v>
      </x:c>
      <x:c r="L12" s="14" t="str">
        <x:f>IF(J12="BLOCKED","Four mobilized, non-HOLD roots and cleared replacements required","Cohort may contract proof articles")</x:f>
        <x:v>Four mobilized, non-HOLD roots and cleared replacements required</x:v>
      </x:c>
      <x:c r="M12" s="47"/>
      <x:c r="N12" s="47"/>
      <x:c r="O12" s="47"/>
      <x:c r="P12" s="47"/>
      <x:c r="Q12" s="47"/>
      <x:c r="R12" s="47"/>
      <x:c r="S12" s="47"/>
      <x:c r="T12" s="47"/>
      <x:c r="U12" s="47"/>
      <x:c r="V12" s="47"/>
      <x:c r="W12" s="47"/>
      <x:c r="X12" s="47"/>
      <x:c r="Y12" s="47"/>
      <x:c r="Z12" s="47"/>
    </x:row>
    <x:row r="13"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47"/>
      <x:c r="N13" s="47"/>
      <x:c r="O13" s="47"/>
      <x:c r="P13" s="47"/>
      <x:c r="Q13" s="47"/>
      <x:c r="R13" s="47"/>
      <x:c r="S13" s="47"/>
      <x:c r="T13" s="47"/>
      <x:c r="U13" s="47"/>
      <x:c r="V13" s="47"/>
      <x:c r="W13" s="47"/>
      <x:c r="X13" s="47"/>
      <x:c r="Y13" s="47"/>
      <x:c r="Z13" s="47"/>
    </x:row>
    <x:row r="14"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47"/>
      <x:c r="N14" s="47"/>
      <x:c r="O14" s="47"/>
      <x:c r="P14" s="47"/>
      <x:c r="Q14" s="47"/>
      <x:c r="R14" s="47"/>
      <x:c r="S14" s="47"/>
      <x:c r="T14" s="47"/>
      <x:c r="U14" s="47"/>
      <x:c r="V14" s="47"/>
      <x:c r="W14" s="47"/>
      <x:c r="X14" s="47"/>
      <x:c r="Y14" s="47"/>
      <x:c r="Z14" s="47"/>
    </x:row>
    <x:row r="15">
      <x:c r="C15" s="52" t="str">
        <x:v>All-six state</x:v>
      </x:c>
      <x:c r="D15" s="52"/>
      <x:c r="E15" s="52"/>
      <x:c r="F15" s="52"/>
      <x:c r="G15" s="52"/>
      <x:c r="H15" s="52"/>
      <x:c r="I15" s="52"/>
      <x:c r="J15" s="52"/>
      <x:c r="K15" s="52"/>
      <x:c r="L15" s="52"/>
      <x:c r="M15" s="47"/>
      <x:c r="N15" s="47"/>
      <x:c r="O15" s="47"/>
      <x:c r="P15" s="47"/>
      <x:c r="Q15" s="47"/>
      <x:c r="R15" s="47"/>
      <x:c r="S15" s="47"/>
      <x:c r="T15" s="47"/>
      <x:c r="U15" s="47"/>
      <x:c r="V15" s="47"/>
      <x:c r="W15" s="47"/>
      <x:c r="X15" s="47"/>
      <x:c r="Y15" s="47"/>
      <x:c r="Z15" s="47"/>
    </x:row>
    <x:row r="16">
      <x:c r="C16" s="9" t="str">
        <x:v>Cascadia G4</x:v>
      </x:c>
      <x:c r="D16" s="9" t="str">
        <x:f>IF(COUNTIFS(J7:J12,"ELIGIBLE")=6,"MAY ENTER G4 EVIDENCE","BLOCKED")</x:f>
        <x:v>BLOCKED</x:v>
      </x:c>
      <x:c r="E16" s="9"/>
      <x:c r="F16" s="9"/>
      <x:c r="G16" s="9"/>
      <x:c r="H16" s="9"/>
      <x:c r="I16" s="9"/>
      <x:c r="J16" s="9"/>
      <x:c r="K16" s="9"/>
      <x:c r="L16" s="9"/>
      <x:c r="M16" s="47"/>
      <x:c r="N16" s="47"/>
      <x:c r="O16" s="47"/>
      <x:c r="P16" s="47"/>
      <x:c r="Q16" s="47"/>
      <x:c r="R16" s="47"/>
      <x:c r="S16" s="47"/>
      <x:c r="T16" s="47"/>
      <x:c r="U16" s="47"/>
      <x:c r="V16" s="47"/>
      <x:c r="W16" s="47"/>
      <x:c r="X16" s="47"/>
      <x:c r="Y16" s="47"/>
      <x:c r="Z16" s="47"/>
    </x:row>
    <x:row r="17"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47"/>
      <x:c r="N17" s="47"/>
      <x:c r="O17" s="47"/>
      <x:c r="P17" s="47"/>
      <x:c r="Q17" s="47"/>
      <x:c r="R17" s="47"/>
      <x:c r="S17" s="47"/>
      <x:c r="T17" s="47"/>
      <x:c r="U17" s="47"/>
      <x:c r="V17" s="47"/>
      <x:c r="W17" s="47"/>
      <x:c r="X17" s="47"/>
      <x:c r="Y17" s="47"/>
      <x:c r="Z17" s="47"/>
    </x:row>
    <x:row r="18"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47"/>
      <x:c r="N18" s="47"/>
      <x:c r="O18" s="47"/>
      <x:c r="P18" s="47"/>
      <x:c r="Q18" s="47"/>
      <x:c r="R18" s="47"/>
      <x:c r="S18" s="47"/>
      <x:c r="T18" s="47"/>
      <x:c r="U18" s="47"/>
      <x:c r="V18" s="47"/>
      <x:c r="W18" s="47"/>
      <x:c r="X18" s="47"/>
      <x:c r="Y18" s="47"/>
      <x:c r="Z18" s="47"/>
    </x:row>
    <x:row r="19"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47"/>
      <x:c r="N19" s="47"/>
      <x:c r="O19" s="47"/>
      <x:c r="P19" s="47"/>
      <x:c r="Q19" s="47"/>
      <x:c r="R19" s="47"/>
      <x:c r="S19" s="47"/>
      <x:c r="T19" s="47"/>
      <x:c r="U19" s="47"/>
      <x:c r="V19" s="47"/>
      <x:c r="W19" s="47"/>
      <x:c r="X19" s="47"/>
      <x:c r="Y19" s="47"/>
      <x:c r="Z19" s="47"/>
    </x:row>
  </x:sheetData>
  <x:conditionalFormatting sqref="J7:J12">
    <x:cfRule type="containsText" dxfId="28" priority="1" operator="containsText" text="BLOCKED"/>
    <x:cfRule type="containsText" dxfId="29" priority="2" operator="containsText" text="NOT MOBILIZED"/>
    <x:cfRule type="containsText" dxfId="30" priority="3" operator="containsText" text="READY"/>
    <x:cfRule type="containsText" dxfId="31" priority="4" operator="containsText" text="FAIL"/>
  </x:conditionalFormatting>
  <x:conditionalFormatting sqref="D16:D16">
    <x:cfRule type="containsText" dxfId="32" priority="5" operator="containsText" text="BLOCKED"/>
    <x:cfRule type="containsText" dxfId="33" priority="6" operator="containsText" text="NOT MOBILIZED"/>
    <x:cfRule type="containsText" dxfId="34" priority="7" operator="containsText" text="READY"/>
    <x:cfRule type="containsText" dxfId="35" priority="8" operator="containsText" text="FAIL"/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3" max="3" width="16" hidden="0" customWidth="1"/>
    <x:col min="4" max="4" width="36" hidden="0" customWidth="1"/>
    <x:col min="5" max="5" width="26" hidden="0" customWidth="1"/>
    <x:col min="6" max="6" width="44" hidden="0" customWidth="1"/>
    <x:col min="7" max="7" width="32" hidden="0" customWidth="1"/>
    <x:col min="8" max="8" width="18" hidden="0" customWidth="1"/>
    <x:col min="9" max="9" width="3" hidden="0" customWidth="1"/>
    <x:col min="10" max="10" width="3" hidden="0" customWidth="1"/>
  </x:cols>
  <x:sheetData>
    <x:row r="1">
      <x:c r="C1" s="9"/>
      <x:c r="D1" s="9"/>
      <x:c r="E1" s="9"/>
      <x:c r="F1" s="9"/>
      <x:c r="G1" s="9"/>
      <x:c r="H1" s="9"/>
      <x:c r="I1" s="9"/>
      <x:c r="J1" s="9"/>
      <x:c r="K1" s="47"/>
      <x:c r="L1" s="47"/>
      <x:c r="M1" s="47"/>
      <x:c r="N1" s="47"/>
      <x:c r="O1" s="47"/>
      <x:c r="P1" s="47"/>
      <x:c r="Q1" s="47"/>
      <x:c r="R1" s="47"/>
      <x:c r="S1" s="47"/>
      <x:c r="T1" s="47"/>
      <x:c r="U1" s="47"/>
      <x:c r="V1" s="47"/>
      <x:c r="W1" s="47"/>
      <x:c r="X1" s="47"/>
      <x:c r="Y1" s="47"/>
      <x:c r="Z1" s="47"/>
    </x:row>
    <x:row r="2">
      <x:c r="C2" s="48" t="str">
        <x:v>Synchronized proof-wave return package</x:v>
      </x:c>
      <x:c r="D2" s="9"/>
      <x:c r="E2" s="9"/>
      <x:c r="F2" s="9"/>
      <x:c r="G2" s="9"/>
      <x:c r="H2" s="9"/>
      <x:c r="I2" s="9"/>
      <x:c r="J2" s="9"/>
      <x:c r="K2" s="47"/>
      <x:c r="L2" s="47"/>
      <x:c r="M2" s="47"/>
      <x:c r="N2" s="47"/>
      <x:c r="O2" s="47"/>
      <x:c r="P2" s="47"/>
      <x:c r="Q2" s="47"/>
      <x:c r="R2" s="47"/>
      <x:c r="S2" s="47"/>
      <x:c r="T2" s="47"/>
      <x:c r="U2" s="47"/>
      <x:c r="V2" s="47"/>
      <x:c r="W2" s="47"/>
      <x:c r="X2" s="47"/>
      <x:c r="Y2" s="47"/>
      <x:c r="Z2" s="47"/>
    </x:row>
    <x:row r="3">
      <x:c r="C3" s="49" t="str">
        <x:v>The technical branch transfers executable law and limits. It does not transfer positive physical evidence.</x:v>
      </x:c>
      <x:c r="D3" s="9"/>
      <x:c r="E3" s="9"/>
      <x:c r="F3" s="9"/>
      <x:c r="G3" s="9"/>
      <x:c r="H3" s="9"/>
      <x:c r="I3" s="9"/>
      <x:c r="J3" s="9"/>
      <x:c r="K3" s="47"/>
      <x:c r="L3" s="47"/>
      <x:c r="M3" s="47"/>
      <x:c r="N3" s="47"/>
      <x:c r="O3" s="47"/>
      <x:c r="P3" s="47"/>
      <x:c r="Q3" s="47"/>
      <x:c r="R3" s="47"/>
      <x:c r="S3" s="47"/>
      <x:c r="T3" s="47"/>
      <x:c r="U3" s="47"/>
      <x:c r="V3" s="47"/>
      <x:c r="W3" s="47"/>
      <x:c r="X3" s="47"/>
      <x:c r="Y3" s="47"/>
      <x:c r="Z3" s="47"/>
    </x:row>
    <x:row r="4">
      <x:c r="C4" s="50"/>
      <x:c r="D4" s="50"/>
      <x:c r="E4" s="50"/>
      <x:c r="F4" s="50"/>
      <x:c r="G4" s="50"/>
      <x:c r="H4" s="50"/>
      <x:c r="I4" s="50"/>
      <x:c r="J4" s="50"/>
      <x:c r="K4" s="51"/>
      <x:c r="L4" s="51"/>
      <x:c r="M4" s="51"/>
      <x:c r="N4" s="51"/>
      <x:c r="O4" s="51"/>
      <x:c r="P4" s="51"/>
      <x:c r="Q4" s="51"/>
      <x:c r="R4" s="51"/>
      <x:c r="S4" s="51"/>
      <x:c r="T4" s="51"/>
      <x:c r="U4" s="51"/>
      <x:c r="V4" s="51"/>
      <x:c r="W4" s="51"/>
      <x:c r="X4" s="51"/>
      <x:c r="Y4" s="51"/>
      <x:c r="Z4" s="51"/>
    </x:row>
    <x:row r="5">
      <x:c r="C5" s="9"/>
      <x:c r="D5" s="9"/>
      <x:c r="E5" s="9"/>
      <x:c r="F5" s="9"/>
      <x:c r="G5" s="9"/>
      <x:c r="H5" s="9"/>
      <x:c r="I5" s="9"/>
      <x:c r="J5" s="9"/>
      <x:c r="K5" s="47"/>
      <x:c r="L5" s="47"/>
      <x:c r="M5" s="47"/>
      <x:c r="N5" s="47"/>
      <x:c r="O5" s="47"/>
      <x:c r="P5" s="47"/>
      <x:c r="Q5" s="47"/>
      <x:c r="R5" s="47"/>
      <x:c r="S5" s="47"/>
      <x:c r="T5" s="47"/>
      <x:c r="U5" s="47"/>
      <x:c r="V5" s="47"/>
      <x:c r="W5" s="47"/>
      <x:c r="X5" s="47"/>
      <x:c r="Y5" s="47"/>
      <x:c r="Z5" s="47"/>
    </x:row>
    <x:row r="6" ht="28" customHeight="1">
      <x:c r="C6" s="26" t="str">
        <x:v>Origin</x:v>
      </x:c>
      <x:c r="D6" s="32" t="str">
        <x:v>Transferred element</x:v>
      </x:c>
      <x:c r="E6" s="32" t="str">
        <x:v>Scale</x:v>
      </x:c>
      <x:c r="F6" s="32" t="str">
        <x:v>Parent use</x:v>
      </x:c>
      <x:c r="G6" s="32" t="str">
        <x:v>Receiving authority</x:v>
      </x:c>
      <x:c r="H6" s="27" t="str">
        <x:v>Current credit</x:v>
      </x:c>
      <x:c r="I6" s="9"/>
      <x:c r="J6" s="9"/>
      <x:c r="K6" s="47"/>
      <x:c r="L6" s="47"/>
      <x:c r="M6" s="47"/>
      <x:c r="N6" s="47"/>
      <x:c r="O6" s="47"/>
      <x:c r="P6" s="47"/>
      <x:c r="Q6" s="47"/>
      <x:c r="R6" s="47"/>
      <x:c r="S6" s="47"/>
      <x:c r="T6" s="47"/>
      <x:c r="U6" s="47"/>
      <x:c r="V6" s="47"/>
      <x:c r="W6" s="47"/>
      <x:c r="X6" s="47"/>
      <x:c r="Y6" s="47"/>
      <x:c r="Z6" s="47"/>
    </x:row>
    <x:row r="7" ht="42" customHeight="1">
      <x:c r="C7" s="9" t="str">
        <x:v>Pass 180</x:v>
      </x:c>
      <x:c r="D7" s="13" t="str">
        <x:v>Six route-preserving proof units</x:v>
      </x:c>
      <x:c r="E7" s="13" t="str">
        <x:v>24 root campaigns</x:v>
      </x:c>
      <x:c r="F7" s="13" t="str">
        <x:v>Keep six public denominators noncompensatory</x:v>
      </x:c>
      <x:c r="G7" s="13" t="str">
        <x:v>Mission System Commands</x:v>
      </x:c>
      <x:c r="H7" s="9" t="n">
        <x:v>0</x:v>
      </x:c>
      <x:c r="I7" s="9"/>
      <x:c r="J7" s="9"/>
      <x:c r="K7" s="47"/>
      <x:c r="L7" s="47"/>
      <x:c r="M7" s="47"/>
      <x:c r="N7" s="47"/>
      <x:c r="O7" s="47"/>
      <x:c r="P7" s="47"/>
      <x:c r="Q7" s="47"/>
      <x:c r="R7" s="47"/>
      <x:c r="S7" s="47"/>
      <x:c r="T7" s="47"/>
      <x:c r="U7" s="47"/>
      <x:c r="V7" s="47"/>
      <x:c r="W7" s="47"/>
      <x:c r="X7" s="47"/>
      <x:c r="Y7" s="47"/>
      <x:c r="Z7" s="47"/>
    </x:row>
    <x:row r="8" ht="42" customHeight="1">
      <x:c r="C8" s="9" t="str">
        <x:v>Pass 181</x:v>
      </x:c>
      <x:c r="D8" s="13" t="str">
        <x:v>Controlled mechanism centers</x:v>
      </x:c>
      <x:c r="E8" s="13" t="str">
        <x:v>20 non-lifeline roots</x:v>
      </x:c>
      <x:c r="F8" s="13" t="str">
        <x:v>Maintain four unlike industrial roots per system</x:v>
      </x:c>
      <x:c r="G8" s="13" t="str">
        <x:v>Mission System Commands</x:v>
      </x:c>
      <x:c r="H8" s="9" t="n">
        <x:v>0</x:v>
      </x:c>
      <x:c r="I8" s="9"/>
      <x:c r="J8" s="9"/>
      <x:c r="K8" s="47"/>
      <x:c r="L8" s="47"/>
      <x:c r="M8" s="47"/>
      <x:c r="N8" s="47"/>
      <x:c r="O8" s="47"/>
      <x:c r="P8" s="47"/>
      <x:c r="Q8" s="47"/>
      <x:c r="R8" s="47"/>
      <x:c r="S8" s="47"/>
      <x:c r="T8" s="47"/>
      <x:c r="U8" s="47"/>
      <x:c r="V8" s="47"/>
      <x:c r="W8" s="47"/>
      <x:c r="X8" s="47"/>
      <x:c r="Y8" s="47"/>
      <x:c r="Z8" s="47"/>
    </x:row>
    <x:row r="9" ht="42" customHeight="1">
      <x:c r="C9" s="9" t="str">
        <x:v>Pass 182</x:v>
      </x:c>
      <x:c r="D9" s="13" t="str">
        <x:v>Seven-account loss balance</x:v>
      </x:c>
      <x:c r="E9" s="13" t="str">
        <x:v>140 account cases</x:v>
      </x:c>
      <x:c r="F9" s="13" t="str">
        <x:v>Define complete-system test burden</x:v>
      </x:c>
      <x:c r="G9" s="13" t="str">
        <x:v>Candidate systems and Proving Service</x:v>
      </x:c>
      <x:c r="H9" s="9" t="n">
        <x:v>0</x:v>
      </x:c>
      <x:c r="I9" s="9"/>
      <x:c r="J9" s="9"/>
      <x:c r="K9" s="47"/>
      <x:c r="L9" s="47"/>
      <x:c r="M9" s="47"/>
      <x:c r="N9" s="47"/>
      <x:c r="O9" s="47"/>
      <x:c r="P9" s="47"/>
      <x:c r="Q9" s="47"/>
      <x:c r="R9" s="47"/>
      <x:c r="S9" s="47"/>
      <x:c r="T9" s="47"/>
      <x:c r="U9" s="47"/>
      <x:c r="V9" s="47"/>
      <x:c r="W9" s="47"/>
      <x:c r="X9" s="47"/>
      <x:c r="Y9" s="47"/>
      <x:c r="Z9" s="47"/>
    </x:row>
    <x:row r="10" ht="42" customHeight="1">
      <x:c r="C10" s="9" t="str">
        <x:v>Pass 183</x:v>
      </x:c>
      <x:c r="D10" s="13" t="str">
        <x:v>Balance and keystone endpoints</x:v>
      </x:c>
      <x:c r="E10" s="13" t="str">
        <x:v>40 endpoints</x:v>
      </x:c>
      <x:c r="F10" s="13" t="str">
        <x:v>Order RESIZE or KILL before proof scale</x:v>
      </x:c>
      <x:c r="G10" s="13" t="str">
        <x:v>Root Disposition Board</x:v>
      </x:c>
      <x:c r="H10" s="9" t="n">
        <x:v>0</x:v>
      </x:c>
      <x:c r="I10" s="9"/>
      <x:c r="J10" s="9"/>
      <x:c r="K10" s="47"/>
      <x:c r="L10" s="47"/>
      <x:c r="M10" s="47"/>
      <x:c r="N10" s="47"/>
      <x:c r="O10" s="47"/>
      <x:c r="P10" s="47"/>
      <x:c r="Q10" s="47"/>
      <x:c r="R10" s="47"/>
      <x:c r="S10" s="47"/>
      <x:c r="T10" s="47"/>
      <x:c r="U10" s="47"/>
      <x:c r="V10" s="47"/>
      <x:c r="W10" s="47"/>
      <x:c r="X10" s="47"/>
      <x:c r="Y10" s="47"/>
      <x:c r="Z10" s="47"/>
    </x:row>
    <x:row r="11" ht="42" customHeight="1">
      <x:c r="C11" s="9" t="str">
        <x:v>Pass 183</x:v>
      </x:c>
      <x:c r="D11" s="13" t="str">
        <x:v>Challenge, control and outside reconstruction</x:v>
      </x:c>
      <x:c r="E11" s="13" t="str">
        <x:v>60 rig roles / 240 events</x:v>
      </x:c>
      <x:c r="F11" s="13" t="str">
        <x:v>Commission independent experimental capacity</x:v>
      </x:c>
      <x:c r="G11" s="13" t="str">
        <x:v>Three epistemic commands</x:v>
      </x:c>
      <x:c r="H11" s="9" t="n">
        <x:v>0</x:v>
      </x:c>
      <x:c r="I11" s="9"/>
      <x:c r="J11" s="9"/>
      <x:c r="K11" s="47"/>
      <x:c r="L11" s="47"/>
      <x:c r="M11" s="47"/>
      <x:c r="N11" s="47"/>
      <x:c r="O11" s="47"/>
      <x:c r="P11" s="47"/>
      <x:c r="Q11" s="47"/>
      <x:c r="R11" s="47"/>
      <x:c r="S11" s="47"/>
      <x:c r="T11" s="47"/>
      <x:c r="U11" s="47"/>
      <x:c r="V11" s="47"/>
      <x:c r="W11" s="47"/>
      <x:c r="X11" s="47"/>
      <x:c r="Y11" s="47"/>
      <x:c r="Z11" s="47"/>
    </x:row>
    <x:row r="12" ht="42" customHeight="1">
      <x:c r="C12" s="9" t="str">
        <x:v>Pass 183</x:v>
      </x:c>
      <x:c r="D12" s="13" t="str">
        <x:v>Evidence and stage law</x:v>
      </x:c>
      <x:c r="E12" s="13" t="str">
        <x:v>1,200 packages / 60 gates</x:v>
      </x:c>
      <x:c r="F12" s="13" t="str">
        <x:v>Bind money to accepted public evidence</x:v>
      </x:c>
      <x:c r="G12" s="13" t="str">
        <x:v>Standards Command and Comptroller</x:v>
      </x:c>
      <x:c r="H12" s="9" t="n">
        <x:v>0</x:v>
      </x:c>
      <x:c r="I12" s="9"/>
      <x:c r="J12" s="9"/>
      <x:c r="K12" s="47"/>
      <x:c r="L12" s="47"/>
      <x:c r="M12" s="47"/>
      <x:c r="N12" s="47"/>
      <x:c r="O12" s="47"/>
      <x:c r="P12" s="47"/>
      <x:c r="Q12" s="47"/>
      <x:c r="R12" s="47"/>
      <x:c r="S12" s="47"/>
      <x:c r="T12" s="47"/>
      <x:c r="U12" s="47"/>
      <x:c r="V12" s="47"/>
      <x:c r="W12" s="47"/>
      <x:c r="X12" s="47"/>
      <x:c r="Y12" s="47"/>
      <x:c r="Z12" s="47"/>
    </x:row>
    <x:row r="13" ht="42" customHeight="1">
      <x:c r="C13" s="9" t="str">
        <x:v>Pass 183</x:v>
      </x:c>
      <x:c r="D13" s="13" t="str">
        <x:v>Early authority ceiling</x:v>
      </x:c>
      <x:c r="E13" s="13" t="str">
        <x:v>USD 43.0B inside USD 239B</x:v>
      </x:c>
      <x:c r="F13" s="13" t="str">
        <x:v>Fund triage without new appropriation</x:v>
      </x:c>
      <x:c r="G13" s="13" t="str">
        <x:v>Program Comptroller</x:v>
      </x:c>
      <x:c r="H13" s="9" t="n">
        <x:v>0</x:v>
      </x:c>
      <x:c r="I13" s="9"/>
      <x:c r="J13" s="9"/>
      <x:c r="K13" s="47"/>
      <x:c r="L13" s="47"/>
      <x:c r="M13" s="47"/>
      <x:c r="N13" s="47"/>
      <x:c r="O13" s="47"/>
      <x:c r="P13" s="47"/>
      <x:c r="Q13" s="47"/>
      <x:c r="R13" s="47"/>
      <x:c r="S13" s="47"/>
      <x:c r="T13" s="47"/>
      <x:c r="U13" s="47"/>
      <x:c r="V13" s="47"/>
      <x:c r="W13" s="47"/>
      <x:c r="X13" s="47"/>
      <x:c r="Y13" s="47"/>
      <x:c r="Z13" s="47"/>
    </x:row>
    <x:row r="14" ht="42" customHeight="1">
      <x:c r="C14" s="9" t="str">
        <x:v>Pass 178</x:v>
      </x:c>
      <x:c r="D14" s="13" t="str">
        <x:v>Permanent adverse evidence and terminal breach</x:v>
      </x:c>
      <x:c r="E14" s="13" t="str">
        <x:v>Lifeline four-root law</x:v>
      </x:c>
      <x:c r="F14" s="13" t="str">
        <x:v>Retain noncompensatory disposition precedent</x:v>
      </x:c>
      <x:c r="G14" s="13" t="str">
        <x:v>Root Disposition Board</x:v>
      </x:c>
      <x:c r="H14" s="9" t="n">
        <x:v>0</x:v>
      </x:c>
      <x:c r="I14" s="9"/>
      <x:c r="J14" s="9"/>
      <x:c r="K14" s="47"/>
      <x:c r="L14" s="47"/>
      <x:c r="M14" s="47"/>
      <x:c r="N14" s="47"/>
      <x:c r="O14" s="47"/>
      <x:c r="P14" s="47"/>
      <x:c r="Q14" s="47"/>
      <x:c r="R14" s="47"/>
      <x:c r="S14" s="47"/>
      <x:c r="T14" s="47"/>
      <x:c r="U14" s="47"/>
      <x:c r="V14" s="47"/>
      <x:c r="W14" s="47"/>
      <x:c r="X14" s="47"/>
      <x:c r="Y14" s="47"/>
      <x:c r="Z14" s="47"/>
    </x:row>
    <x:row r="15" ht="42" customHeight="1">
      <x:c r="C15" s="10" t="str">
        <x:v>Pass 175</x:v>
      </x:c>
      <x:c r="D15" s="14" t="str">
        <x:v>Industrial ancestry separation</x:v>
      </x:c>
      <x:c r="E15" s="14" t="str">
        <x:v>24 root houses</x:v>
      </x:c>
      <x:c r="F15" s="14" t="str">
        <x:v>Prevent common failure from posing as competition</x:v>
      </x:c>
      <x:c r="G15" s="14" t="str">
        <x:v>Public Protection Inspectorate</x:v>
      </x:c>
      <x:c r="H15" s="10" t="n">
        <x:v>0</x:v>
      </x:c>
      <x:c r="I15" s="9"/>
      <x:c r="J15" s="9"/>
      <x:c r="K15" s="47"/>
      <x:c r="L15" s="47"/>
      <x:c r="M15" s="47"/>
      <x:c r="N15" s="47"/>
      <x:c r="O15" s="47"/>
      <x:c r="P15" s="47"/>
      <x:c r="Q15" s="47"/>
      <x:c r="R15" s="47"/>
      <x:c r="S15" s="47"/>
      <x:c r="T15" s="47"/>
      <x:c r="U15" s="47"/>
      <x:c r="V15" s="47"/>
      <x:c r="W15" s="47"/>
      <x:c r="X15" s="47"/>
      <x:c r="Y15" s="47"/>
      <x:c r="Z15" s="47"/>
    </x:row>
    <x:row r="16">
      <x:c r="C16" s="9"/>
      <x:c r="D16" s="9"/>
      <x:c r="E16" s="9"/>
      <x:c r="F16" s="9"/>
      <x:c r="G16" s="9"/>
      <x:c r="H16" s="9"/>
      <x:c r="I16" s="9"/>
      <x:c r="J16" s="9"/>
      <x:c r="K16" s="47"/>
      <x:c r="L16" s="47"/>
      <x:c r="M16" s="47"/>
      <x:c r="N16" s="47"/>
      <x:c r="O16" s="47"/>
      <x:c r="P16" s="47"/>
      <x:c r="Q16" s="47"/>
      <x:c r="R16" s="47"/>
      <x:c r="S16" s="47"/>
      <x:c r="T16" s="47"/>
      <x:c r="U16" s="47"/>
      <x:c r="V16" s="47"/>
      <x:c r="W16" s="47"/>
      <x:c r="X16" s="47"/>
      <x:c r="Y16" s="47"/>
      <x:c r="Z16" s="47"/>
    </x:row>
    <x:row r="17">
      <x:c r="C17" s="9"/>
      <x:c r="D17" s="9"/>
      <x:c r="E17" s="9"/>
      <x:c r="F17" s="9"/>
      <x:c r="G17" s="9"/>
      <x:c r="H17" s="9"/>
      <x:c r="I17" s="9"/>
      <x:c r="J17" s="9"/>
      <x:c r="K17" s="47"/>
      <x:c r="L17" s="47"/>
      <x:c r="M17" s="47"/>
      <x:c r="N17" s="47"/>
      <x:c r="O17" s="47"/>
      <x:c r="P17" s="47"/>
      <x:c r="Q17" s="47"/>
      <x:c r="R17" s="47"/>
      <x:c r="S17" s="47"/>
      <x:c r="T17" s="47"/>
      <x:c r="U17" s="47"/>
      <x:c r="V17" s="47"/>
      <x:c r="W17" s="47"/>
      <x:c r="X17" s="47"/>
      <x:c r="Y17" s="47"/>
      <x:c r="Z17" s="47"/>
    </x:row>
    <x:row r="18">
      <x:c r="C18" s="52" t="str">
        <x:v>Terminal finding</x:v>
      </x:c>
      <x:c r="D18" s="52"/>
      <x:c r="E18" s="52"/>
      <x:c r="F18" s="52"/>
      <x:c r="G18" s="52"/>
      <x:c r="H18" s="52"/>
      <x:c r="I18" s="9"/>
      <x:c r="J18" s="9"/>
      <x:c r="K18" s="47"/>
      <x:c r="L18" s="47"/>
      <x:c r="M18" s="47"/>
      <x:c r="N18" s="47"/>
      <x:c r="O18" s="47"/>
      <x:c r="P18" s="47"/>
      <x:c r="Q18" s="47"/>
      <x:c r="R18" s="47"/>
      <x:c r="S18" s="47"/>
      <x:c r="T18" s="47"/>
      <x:c r="U18" s="47"/>
      <x:c r="V18" s="47"/>
      <x:c r="W18" s="47"/>
      <x:c r="X18" s="47"/>
      <x:c r="Y18" s="47"/>
      <x:c r="Z18" s="47"/>
    </x:row>
    <x:row r="19">
      <x:c r="C19" s="9" t="str">
        <x:v>Branch disposition</x:v>
      </x:c>
      <x:c r="D19" s="13" t="str">
        <x:v>RETURN</x:v>
      </x:c>
      <x:c r="E19" s="13" t="str">
        <x:v>Reason</x:v>
      </x:c>
      <x:c r="F19" s="13" t="str">
        <x:v>Another paper root packet cannot change a physical HOLD</x:v>
      </x:c>
      <x:c r="G19" s="9" t="str">
        <x:v>Receiving parent</x:v>
      </x:c>
      <x:c r="H19" s="9" t="str">
        <x:v>Department-level industrial execution</x:v>
      </x:c>
      <x:c r="I19" s="9"/>
      <x:c r="J19" s="9"/>
      <x:c r="K19" s="47"/>
      <x:c r="L19" s="47"/>
      <x:c r="M19" s="47"/>
      <x:c r="N19" s="47"/>
      <x:c r="O19" s="47"/>
      <x:c r="P19" s="47"/>
      <x:c r="Q19" s="47"/>
      <x:c r="R19" s="47"/>
      <x:c r="S19" s="47"/>
      <x:c r="T19" s="47"/>
      <x:c r="U19" s="47"/>
      <x:c r="V19" s="47"/>
      <x:c r="W19" s="47"/>
      <x:c r="X19" s="47"/>
      <x:c r="Y19" s="47"/>
      <x:c r="Z19" s="47"/>
    </x:row>
    <x:row r="20">
      <x:c r="C20" s="9" t="str">
        <x:v>Selected institution</x:v>
      </x:c>
      <x:c r="D20" s="13" t="str">
        <x:v>Resilience Proving Service</x:v>
      </x:c>
      <x:c r="E20" s="13" t="str">
        <x:v>Physical reference</x:v>
      </x:c>
      <x:c r="F20" s="13" t="str">
        <x:v>15 stations / 75 lanes</x:v>
      </x:c>
      <x:c r="G20" s="9" t="str">
        <x:v>Authority ceiling</x:v>
      </x:c>
      <x:c r="H20" s="17" t="n">
        <x:v>43.007096331638444</x:v>
      </x:c>
      <x:c r="I20" s="9"/>
      <x:c r="J20" s="9"/>
      <x:c r="K20" s="47"/>
      <x:c r="L20" s="47"/>
      <x:c r="M20" s="47"/>
      <x:c r="N20" s="47"/>
      <x:c r="O20" s="47"/>
      <x:c r="P20" s="47"/>
      <x:c r="Q20" s="47"/>
      <x:c r="R20" s="47"/>
      <x:c r="S20" s="47"/>
      <x:c r="T20" s="47"/>
      <x:c r="U20" s="47"/>
      <x:c r="V20" s="47"/>
      <x:c r="W20" s="47"/>
      <x:c r="X20" s="47"/>
      <x:c r="Y20" s="47"/>
      <x:c r="Z20" s="47"/>
    </x:row>
    <x:row r="21">
      <x:c r="C21" s="10" t="str">
        <x:v>Next parent decision</x:v>
      </x:c>
      <x:c r="D21" s="14" t="str">
        <x:v>Commissioning and integration</x:v>
      </x:c>
      <x:c r="E21" s="14" t="str">
        <x:v>Constraint</x:v>
      </x:c>
      <x:c r="F21" s="14" t="str">
        <x:v>Preserve unlike roots and all-six coupling</x:v>
      </x:c>
      <x:c r="G21" s="10" t="str">
        <x:v>Admitted force credit</x:v>
      </x:c>
      <x:c r="H21" s="10" t="n">
        <x:v>0</x:v>
      </x:c>
      <x:c r="I21" s="9"/>
      <x:c r="J21" s="9"/>
      <x:c r="K21" s="47"/>
      <x:c r="L21" s="47"/>
      <x:c r="M21" s="47"/>
      <x:c r="N21" s="47"/>
      <x:c r="O21" s="47"/>
      <x:c r="P21" s="47"/>
      <x:c r="Q21" s="47"/>
      <x:c r="R21" s="47"/>
      <x:c r="S21" s="47"/>
      <x:c r="T21" s="47"/>
      <x:c r="U21" s="47"/>
      <x:c r="V21" s="47"/>
      <x:c r="W21" s="47"/>
      <x:c r="X21" s="47"/>
      <x:c r="Y21" s="47"/>
      <x:c r="Z21" s="47"/>
    </x:row>
    <x:row r="22">
      <x:c r="C22" s="9"/>
      <x:c r="D22" s="9"/>
      <x:c r="E22" s="9"/>
      <x:c r="F22" s="9"/>
      <x:c r="G22" s="9"/>
      <x:c r="H22" s="9"/>
      <x:c r="I22" s="9"/>
      <x:c r="J22" s="9"/>
      <x:c r="K22" s="47"/>
      <x:c r="L22" s="47"/>
      <x:c r="M22" s="47"/>
      <x:c r="N22" s="47"/>
      <x:c r="O22" s="47"/>
      <x:c r="P22" s="47"/>
      <x:c r="Q22" s="47"/>
      <x:c r="R22" s="47"/>
      <x:c r="S22" s="47"/>
      <x:c r="T22" s="47"/>
      <x:c r="U22" s="47"/>
      <x:c r="V22" s="47"/>
      <x:c r="W22" s="47"/>
      <x:c r="X22" s="47"/>
      <x:c r="Y22" s="47"/>
      <x:c r="Z22" s="47"/>
    </x:row>
    <x:row r="23">
      <x:c r="C23" s="9"/>
      <x:c r="D23" s="9"/>
      <x:c r="E23" s="9"/>
      <x:c r="F23" s="9"/>
      <x:c r="G23" s="9"/>
      <x:c r="H23" s="9"/>
      <x:c r="I23" s="9"/>
      <x:c r="J23" s="9"/>
      <x:c r="K23" s="47"/>
      <x:c r="L23" s="47"/>
      <x:c r="M23" s="47"/>
      <x:c r="N23" s="47"/>
      <x:c r="O23" s="47"/>
      <x:c r="P23" s="47"/>
      <x:c r="Q23" s="47"/>
      <x:c r="R23" s="47"/>
      <x:c r="S23" s="47"/>
      <x:c r="T23" s="47"/>
      <x:c r="U23" s="47"/>
      <x:c r="V23" s="47"/>
      <x:c r="W23" s="47"/>
      <x:c r="X23" s="47"/>
      <x:c r="Y23" s="47"/>
      <x:c r="Z23" s="47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3" max="3" width="18" hidden="0" customWidth="1"/>
    <x:col min="4" max="4" width="30" hidden="0" customWidth="1"/>
    <x:col min="5" max="5" width="28" hidden="0" customWidth="1"/>
    <x:col min="6" max="6" width="48" hidden="0" customWidth="1"/>
    <x:col min="7" max="7" width="43" hidden="0" customWidth="1"/>
    <x:col min="8" max="8" width="30" hidden="0" customWidth="1"/>
    <x:col min="9" max="9" width="20" hidden="0" customWidth="1"/>
    <x:col min="10" max="10" width="3" hidden="0" customWidth="1"/>
  </x:cols>
  <x:sheetData>
    <x:row r="1">
      <x:c r="C1" s="9"/>
      <x:c r="D1" s="9"/>
      <x:c r="E1" s="9"/>
      <x:c r="F1" s="9"/>
      <x:c r="G1" s="9"/>
      <x:c r="H1" s="9"/>
      <x:c r="I1" s="9"/>
      <x:c r="J1" s="9"/>
      <x:c r="K1" s="47"/>
      <x:c r="L1" s="47"/>
      <x:c r="M1" s="47"/>
      <x:c r="N1" s="47"/>
      <x:c r="O1" s="47"/>
      <x:c r="P1" s="47"/>
      <x:c r="Q1" s="47"/>
      <x:c r="R1" s="47"/>
      <x:c r="S1" s="47"/>
      <x:c r="T1" s="47"/>
      <x:c r="U1" s="47"/>
      <x:c r="V1" s="47"/>
      <x:c r="W1" s="47"/>
      <x:c r="X1" s="47"/>
      <x:c r="Y1" s="47"/>
      <x:c r="Z1" s="47"/>
    </x:row>
    <x:row r="2">
      <x:c r="C2" s="48" t="str">
        <x:v>Measurement technology the Department must create</x:v>
      </x:c>
      <x:c r="D2" s="9"/>
      <x:c r="E2" s="9"/>
      <x:c r="F2" s="9"/>
      <x:c r="G2" s="9"/>
      <x:c r="H2" s="9"/>
      <x:c r="I2" s="9"/>
      <x:c r="J2" s="9"/>
      <x:c r="K2" s="47"/>
      <x:c r="L2" s="47"/>
      <x:c r="M2" s="47"/>
      <x:c r="N2" s="47"/>
      <x:c r="O2" s="47"/>
      <x:c r="P2" s="47"/>
      <x:c r="Q2" s="47"/>
      <x:c r="R2" s="47"/>
      <x:c r="S2" s="47"/>
      <x:c r="T2" s="47"/>
      <x:c r="U2" s="47"/>
      <x:c r="V2" s="47"/>
      <x:c r="W2" s="47"/>
      <x:c r="X2" s="47"/>
      <x:c r="Y2" s="47"/>
      <x:c r="Z2" s="47"/>
    </x:row>
    <x:row r="3">
      <x:c r="C3" s="49" t="str">
        <x:v>The proving institution is an innovation program: it must manufacture hostile truth states and reproduce them outside the candidate's craft tradition.</x:v>
      </x:c>
      <x:c r="D3" s="9"/>
      <x:c r="E3" s="9"/>
      <x:c r="F3" s="9"/>
      <x:c r="G3" s="9"/>
      <x:c r="H3" s="9"/>
      <x:c r="I3" s="9"/>
      <x:c r="J3" s="9"/>
      <x:c r="K3" s="47"/>
      <x:c r="L3" s="47"/>
      <x:c r="M3" s="47"/>
      <x:c r="N3" s="47"/>
      <x:c r="O3" s="47"/>
      <x:c r="P3" s="47"/>
      <x:c r="Q3" s="47"/>
      <x:c r="R3" s="47"/>
      <x:c r="S3" s="47"/>
      <x:c r="T3" s="47"/>
      <x:c r="U3" s="47"/>
      <x:c r="V3" s="47"/>
      <x:c r="W3" s="47"/>
      <x:c r="X3" s="47"/>
      <x:c r="Y3" s="47"/>
      <x:c r="Z3" s="47"/>
    </x:row>
    <x:row r="4">
      <x:c r="C4" s="50"/>
      <x:c r="D4" s="50"/>
      <x:c r="E4" s="50"/>
      <x:c r="F4" s="50"/>
      <x:c r="G4" s="50"/>
      <x:c r="H4" s="50"/>
      <x:c r="I4" s="50"/>
      <x:c r="J4" s="50"/>
      <x:c r="K4" s="51"/>
      <x:c r="L4" s="51"/>
      <x:c r="M4" s="51"/>
      <x:c r="N4" s="51"/>
      <x:c r="O4" s="51"/>
      <x:c r="P4" s="51"/>
      <x:c r="Q4" s="51"/>
      <x:c r="R4" s="51"/>
      <x:c r="S4" s="51"/>
      <x:c r="T4" s="51"/>
      <x:c r="U4" s="51"/>
      <x:c r="V4" s="51"/>
      <x:c r="W4" s="51"/>
      <x:c r="X4" s="51"/>
      <x:c r="Y4" s="51"/>
      <x:c r="Z4" s="51"/>
    </x:row>
    <x:row r="5">
      <x:c r="C5" s="9"/>
      <x:c r="D5" s="9"/>
      <x:c r="E5" s="9"/>
      <x:c r="F5" s="9"/>
      <x:c r="G5" s="9"/>
      <x:c r="H5" s="9"/>
      <x:c r="I5" s="9"/>
      <x:c r="J5" s="9"/>
      <x:c r="K5" s="47"/>
      <x:c r="L5" s="47"/>
      <x:c r="M5" s="47"/>
      <x:c r="N5" s="47"/>
      <x:c r="O5" s="47"/>
      <x:c r="P5" s="47"/>
      <x:c r="Q5" s="47"/>
      <x:c r="R5" s="47"/>
      <x:c r="S5" s="47"/>
      <x:c r="T5" s="47"/>
      <x:c r="U5" s="47"/>
      <x:c r="V5" s="47"/>
      <x:c r="W5" s="47"/>
      <x:c r="X5" s="47"/>
      <x:c r="Y5" s="47"/>
      <x:c r="Z5" s="47"/>
    </x:row>
    <x:row r="6" ht="28" customHeight="1">
      <x:c r="C6" s="26" t="str">
        <x:v>Program</x:v>
      </x:c>
      <x:c r="D6" s="32" t="str">
        <x:v>Owning command</x:v>
      </x:c>
      <x:c r="E6" s="32" t="str">
        <x:v>Primary systems</x:v>
      </x:c>
      <x:c r="F6" s="32" t="str">
        <x:v>Capability to create</x:v>
      </x:c>
      <x:c r="G6" s="32" t="str">
        <x:v>Decision enabled</x:v>
      </x:c>
      <x:c r="H6" s="32" t="str">
        <x:v>Failure prevented</x:v>
      </x:c>
      <x:c r="I6" s="27" t="str">
        <x:v>Current state</x:v>
      </x:c>
      <x:c r="J6" s="9"/>
      <x:c r="K6" s="47"/>
      <x:c r="L6" s="47"/>
      <x:c r="M6" s="47"/>
      <x:c r="N6" s="47"/>
      <x:c r="O6" s="47"/>
      <x:c r="P6" s="47"/>
      <x:c r="Q6" s="47"/>
      <x:c r="R6" s="47"/>
      <x:c r="S6" s="47"/>
      <x:c r="T6" s="47"/>
      <x:c r="U6" s="47"/>
      <x:c r="V6" s="47"/>
      <x:c r="W6" s="47"/>
      <x:c r="X6" s="47"/>
      <x:c r="Y6" s="47"/>
      <x:c r="Z6" s="47"/>
    </x:row>
    <x:row r="7" ht="52" customHeight="1">
      <x:c r="C7" s="9" t="str">
        <x:v>TP-01</x:v>
      </x:c>
      <x:c r="D7" s="13" t="str">
        <x:v>Worlds Command</x:v>
      </x:c>
      <x:c r="E7" s="13" t="str">
        <x:v>All</x:v>
      </x:c>
      <x:c r="F7" s="13" t="str">
        <x:v>Programmable infrastructure casualty fields with controllable topology, denial and recovery</x:v>
      </x:c>
      <x:c r="G7" s="13" t="str">
        <x:v>Expose causal mechanisms at full service scale</x:v>
      </x:c>
      <x:c r="H7" s="13" t="str">
        <x:v>Benign demonstrations masquerading as resilience</x:v>
      </x:c>
      <x:c r="I7" s="9" t="str">
        <x:v>NOT COMMISSIONED</x:v>
      </x:c>
      <x:c r="J7" s="9"/>
      <x:c r="K7" s="47"/>
      <x:c r="L7" s="47"/>
      <x:c r="M7" s="47"/>
      <x:c r="N7" s="47"/>
      <x:c r="O7" s="47"/>
      <x:c r="P7" s="47"/>
      <x:c r="Q7" s="47"/>
      <x:c r="R7" s="47"/>
      <x:c r="S7" s="47"/>
      <x:c r="T7" s="47"/>
      <x:c r="U7" s="47"/>
      <x:c r="V7" s="47"/>
      <x:c r="W7" s="47"/>
      <x:c r="X7" s="47"/>
      <x:c r="Y7" s="47"/>
      <x:c r="Z7" s="47"/>
    </x:row>
    <x:row r="8" ht="52" customHeight="1">
      <x:c r="C8" s="9" t="str">
        <x:v>TP-02</x:v>
      </x:c>
      <x:c r="D8" s="13" t="str">
        <x:v>Counterfactual Command</x:v>
      </x:c>
      <x:c r="E8" s="13" t="str">
        <x:v>All</x:v>
      </x:c>
      <x:c r="F8" s="13" t="str">
        <x:v>Matched counterfactual environments that reproduce background load, weather, access and public intervention</x:v>
      </x:c>
      <x:c r="G8" s="13" t="str">
        <x:v>Separate candidate effect from incident drift</x:v>
      </x:c>
      <x:c r="H8" s="13" t="str">
        <x:v>Uncontrolled before-and-after claims</x:v>
      </x:c>
      <x:c r="I8" s="9" t="str">
        <x:v>NOT COMMISSIONED</x:v>
      </x:c>
      <x:c r="J8" s="9"/>
      <x:c r="K8" s="47"/>
      <x:c r="L8" s="47"/>
      <x:c r="M8" s="47"/>
      <x:c r="N8" s="47"/>
      <x:c r="O8" s="47"/>
      <x:c r="P8" s="47"/>
      <x:c r="Q8" s="47"/>
      <x:c r="R8" s="47"/>
      <x:c r="S8" s="47"/>
      <x:c r="T8" s="47"/>
      <x:c r="U8" s="47"/>
      <x:c r="V8" s="47"/>
      <x:c r="W8" s="47"/>
      <x:c r="X8" s="47"/>
      <x:c r="Y8" s="47"/>
      <x:c r="Z8" s="47"/>
    </x:row>
    <x:row r="9" ht="52" customHeight="1">
      <x:c r="C9" s="9" t="str">
        <x:v>TP-03</x:v>
      </x:c>
      <x:c r="D9" s="13" t="str">
        <x:v>Reconstruction Command</x:v>
      </x:c>
      <x:c r="E9" s="13" t="str">
        <x:v>All</x:v>
      </x:c>
      <x:c r="F9" s="13" t="str">
        <x:v>Cold digital-to-physical build cells using only public technical data and independent tooling</x:v>
      </x:c>
      <x:c r="G9" s="13" t="str">
        <x:v>Measure reproducibility outside root-house craft</x:v>
      </x:c>
      <x:c r="H9" s="13" t="str">
        <x:v>Prototype success that cannot become an industry</x:v>
      </x:c>
      <x:c r="I9" s="9" t="str">
        <x:v>NOT COMMISSIONED</x:v>
      </x:c>
      <x:c r="J9" s="9"/>
      <x:c r="K9" s="47"/>
      <x:c r="L9" s="47"/>
      <x:c r="M9" s="47"/>
      <x:c r="N9" s="47"/>
      <x:c r="O9" s="47"/>
      <x:c r="P9" s="47"/>
      <x:c r="Q9" s="47"/>
      <x:c r="R9" s="47"/>
      <x:c r="S9" s="47"/>
      <x:c r="T9" s="47"/>
      <x:c r="U9" s="47"/>
      <x:c r="V9" s="47"/>
      <x:c r="W9" s="47"/>
      <x:c r="X9" s="47"/>
      <x:c r="Y9" s="47"/>
      <x:c r="Z9" s="47"/>
    </x:row>
    <x:row r="10" ht="52" customHeight="1">
      <x:c r="C10" s="9" t="str">
        <x:v>TP-04</x:v>
      </x:c>
      <x:c r="D10" s="13" t="str">
        <x:v>Standards and Custody Command</x:v>
      </x:c>
      <x:c r="E10" s="13" t="str">
        <x:v>ET / RT</x:v>
      </x:c>
      <x:c r="F10" s="13" t="str">
        <x:v>Custody-complete mass, material ancestry and receiver-state metrology across mobile chains</x:v>
      </x:c>
      <x:c r="G10" s="13" t="str">
        <x:v>Close route flow and regeneration claims</x:v>
      </x:c>
      <x:c r="H10" s="13" t="str">
        <x:v>Lost cargo, residuals or ancestry hidden by throughput</x:v>
      </x:c>
      <x:c r="I10" s="9" t="str">
        <x:v>NOT COMMISSIONED</x:v>
      </x:c>
      <x:c r="J10" s="9"/>
      <x:c r="K10" s="47"/>
      <x:c r="L10" s="47"/>
      <x:c r="M10" s="47"/>
      <x:c r="N10" s="47"/>
      <x:c r="O10" s="47"/>
      <x:c r="P10" s="47"/>
      <x:c r="Q10" s="47"/>
      <x:c r="R10" s="47"/>
      <x:c r="S10" s="47"/>
      <x:c r="T10" s="47"/>
      <x:c r="U10" s="47"/>
      <x:c r="V10" s="47"/>
      <x:c r="W10" s="47"/>
      <x:c r="X10" s="47"/>
      <x:c r="Y10" s="47"/>
      <x:c r="Z10" s="47"/>
    </x:row>
    <x:row r="11" ht="52" customHeight="1">
      <x:c r="C11" s="9" t="str">
        <x:v>TP-05</x:v>
      </x:c>
      <x:c r="D11" s="13" t="str">
        <x:v>Standards and Custody Command</x:v>
      </x:c>
      <x:c r="E11" s="13" t="str">
        <x:v>CT / HC</x:v>
      </x:c>
      <x:c r="F11" s="13" t="str">
        <x:v>Distributed energy, force, fluid and terrain observability that survives disconnected operation</x:v>
      </x:c>
      <x:c r="G11" s="13" t="str">
        <x:v>Quantify limiting-account margins with uncertainty</x:v>
      </x:c>
      <x:c r="H11" s="13" t="str">
        <x:v>Local sensors missing system-level failure</x:v>
      </x:c>
      <x:c r="I11" s="9" t="str">
        <x:v>NOT COMMISSIONED</x:v>
      </x:c>
      <x:c r="J11" s="9"/>
      <x:c r="K11" s="47"/>
      <x:c r="L11" s="47"/>
      <x:c r="M11" s="47"/>
      <x:c r="N11" s="47"/>
      <x:c r="O11" s="47"/>
      <x:c r="P11" s="47"/>
      <x:c r="Q11" s="47"/>
      <x:c r="R11" s="47"/>
      <x:c r="S11" s="47"/>
      <x:c r="T11" s="47"/>
      <x:c r="U11" s="47"/>
      <x:c r="V11" s="47"/>
      <x:c r="W11" s="47"/>
      <x:c r="X11" s="47"/>
      <x:c r="Y11" s="47"/>
      <x:c r="Z11" s="47"/>
    </x:row>
    <x:row r="12" ht="52" customHeight="1">
      <x:c r="C12" s="9" t="str">
        <x:v>TP-06</x:v>
      </x:c>
      <x:c r="D12" s="13" t="str">
        <x:v>Standards and Custody Command</x:v>
      </x:c>
      <x:c r="E12" s="13" t="str">
        <x:v>HU</x:v>
      </x:c>
      <x:c r="F12" s="13" t="str">
        <x:v>Relationship-state instrumentation for care, identity, labor, transfer and lawful reception</x:v>
      </x:c>
      <x:c r="G12" s="13" t="str">
        <x:v>Measure continuity rather than beds or encounters</x:v>
      </x:c>
      <x:c r="H12" s="13" t="str">
        <x:v>Volume counted while people lose care relationships</x:v>
      </x:c>
      <x:c r="I12" s="9" t="str">
        <x:v>NOT COMMISSIONED</x:v>
      </x:c>
      <x:c r="J12" s="9"/>
      <x:c r="K12" s="47"/>
      <x:c r="L12" s="47"/>
      <x:c r="M12" s="47"/>
      <x:c r="N12" s="47"/>
      <x:c r="O12" s="47"/>
      <x:c r="P12" s="47"/>
      <x:c r="Q12" s="47"/>
      <x:c r="R12" s="47"/>
      <x:c r="S12" s="47"/>
      <x:c r="T12" s="47"/>
      <x:c r="U12" s="47"/>
      <x:c r="V12" s="47"/>
      <x:c r="W12" s="47"/>
      <x:c r="X12" s="47"/>
      <x:c r="Y12" s="47"/>
      <x:c r="Z12" s="47"/>
    </x:row>
    <x:row r="13" ht="52" customHeight="1">
      <x:c r="C13" s="9" t="str">
        <x:v>TP-07</x:v>
      </x:c>
      <x:c r="D13" s="13" t="str">
        <x:v>Worlds Command</x:v>
      </x:c>
      <x:c r="E13" s="13" t="str">
        <x:v>HC</x:v>
      </x:c>
      <x:c r="F13" s="13" t="str">
        <x:v>Full-scale fire, flood, debris, contaminant and aftershock state generators with public safe-stop paths</x:v>
      </x:c>
      <x:c r="G13" s="13" t="str">
        <x:v>Create decisive hazard worlds without borrowing incident luck</x:v>
      </x:c>
      <x:c r="H13" s="13" t="str">
        <x:v>Unrepeatable hazards and unsafe escalation</x:v>
      </x:c>
      <x:c r="I13" s="9" t="str">
        <x:v>NOT COMMISSIONED</x:v>
      </x:c>
      <x:c r="J13" s="9"/>
      <x:c r="K13" s="47"/>
      <x:c r="L13" s="47"/>
      <x:c r="M13" s="47"/>
      <x:c r="N13" s="47"/>
      <x:c r="O13" s="47"/>
      <x:c r="P13" s="47"/>
      <x:c r="Q13" s="47"/>
      <x:c r="R13" s="47"/>
      <x:c r="S13" s="47"/>
      <x:c r="T13" s="47"/>
      <x:c r="U13" s="47"/>
      <x:c r="V13" s="47"/>
      <x:c r="W13" s="47"/>
      <x:c r="X13" s="47"/>
      <x:c r="Y13" s="47"/>
      <x:c r="Z13" s="47"/>
    </x:row>
    <x:row r="14" ht="52" customHeight="1">
      <x:c r="C14" s="9" t="str">
        <x:v>TP-08</x:v>
      </x:c>
      <x:c r="D14" s="13" t="str">
        <x:v>Counterfactual Command</x:v>
      </x:c>
      <x:c r="E14" s="13" t="str">
        <x:v>ET / CT</x:v>
      </x:c>
      <x:c r="F14" s="13" t="str">
        <x:v>Receiver emulators for ports, buildings, utilities, roads and denied public interfaces</x:v>
      </x:c>
      <x:c r="G14" s="13" t="str">
        <x:v>Test whether delivered effect can be lawfully received</x:v>
      </x:c>
      <x:c r="H14" s="13" t="str">
        <x:v>Output credited after shifting burden to the casualty</x:v>
      </x:c>
      <x:c r="I14" s="9" t="str">
        <x:v>NOT COMMISSIONED</x:v>
      </x:c>
      <x:c r="J14" s="9"/>
      <x:c r="K14" s="47"/>
      <x:c r="L14" s="47"/>
      <x:c r="M14" s="47"/>
      <x:c r="N14" s="47"/>
      <x:c r="O14" s="47"/>
      <x:c r="P14" s="47"/>
      <x:c r="Q14" s="47"/>
      <x:c r="R14" s="47"/>
      <x:c r="S14" s="47"/>
      <x:c r="T14" s="47"/>
      <x:c r="U14" s="47"/>
      <x:c r="V14" s="47"/>
      <x:c r="W14" s="47"/>
      <x:c r="X14" s="47"/>
      <x:c r="Y14" s="47"/>
      <x:c r="Z14" s="47"/>
    </x:row>
    <x:row r="15" ht="52" customHeight="1">
      <x:c r="C15" s="9" t="str">
        <x:v>TP-09</x:v>
      </x:c>
      <x:c r="D15" s="13" t="str">
        <x:v>Reconstruction Command</x:v>
      </x:c>
      <x:c r="E15" s="13" t="str">
        <x:v>RT / HU</x:v>
      </x:c>
      <x:c r="F15" s="13" t="str">
        <x:v>Independent mobile factories and service-team reconstruction cells with alien tools and labor pools</x:v>
      </x:c>
      <x:c r="G15" s="13" t="str">
        <x:v>Expose tacit dependencies and training monopolies</x:v>
      </x:c>
      <x:c r="H15" s="13" t="str">
        <x:v>A second logo reproducing the same hidden lineage</x:v>
      </x:c>
      <x:c r="I15" s="9" t="str">
        <x:v>NOT COMMISSIONED</x:v>
      </x:c>
      <x:c r="J15" s="9"/>
      <x:c r="K15" s="47"/>
      <x:c r="L15" s="47"/>
      <x:c r="M15" s="47"/>
      <x:c r="N15" s="47"/>
      <x:c r="O15" s="47"/>
      <x:c r="P15" s="47"/>
      <x:c r="Q15" s="47"/>
      <x:c r="R15" s="47"/>
      <x:c r="S15" s="47"/>
      <x:c r="T15" s="47"/>
      <x:c r="U15" s="47"/>
      <x:c r="V15" s="47"/>
      <x:c r="W15" s="47"/>
      <x:c r="X15" s="47"/>
      <x:c r="Y15" s="47"/>
      <x:c r="Z15" s="47"/>
    </x:row>
    <x:row r="16" ht="52" customHeight="1">
      <x:c r="C16" s="9" t="str">
        <x:v>TP-10</x:v>
      </x:c>
      <x:c r="D16" s="13" t="str">
        <x:v>Public Protection Inspectorate</x:v>
      </x:c>
      <x:c r="E16" s="13" t="str">
        <x:v>All</x:v>
      </x:c>
      <x:c r="F16" s="13" t="str">
        <x:v>Rights-aware intervention logging with cryptographic clocks and locally auditable stop authority</x:v>
      </x:c>
      <x:c r="G16" s="13" t="str">
        <x:v>Keep rescue action visible without lending it to candidate performance</x:v>
      </x:c>
      <x:c r="H16" s="13" t="str">
        <x:v>Safety intervention erased from causal evidence</x:v>
      </x:c>
      <x:c r="I16" s="9" t="str">
        <x:v>NOT COMMISSIONED</x:v>
      </x:c>
      <x:c r="J16" s="9"/>
      <x:c r="K16" s="47"/>
      <x:c r="L16" s="47"/>
      <x:c r="M16" s="47"/>
      <x:c r="N16" s="47"/>
      <x:c r="O16" s="47"/>
      <x:c r="P16" s="47"/>
      <x:c r="Q16" s="47"/>
      <x:c r="R16" s="47"/>
      <x:c r="S16" s="47"/>
      <x:c r="T16" s="47"/>
      <x:c r="U16" s="47"/>
      <x:c r="V16" s="47"/>
      <x:c r="W16" s="47"/>
      <x:c r="X16" s="47"/>
      <x:c r="Y16" s="47"/>
      <x:c r="Z16" s="47"/>
    </x:row>
    <x:row r="17" ht="52" customHeight="1">
      <x:c r="C17" s="9" t="str">
        <x:v>TP-11</x:v>
      </x:c>
      <x:c r="D17" s="13" t="str">
        <x:v>Standards and Custody Command</x:v>
      </x:c>
      <x:c r="E17" s="13" t="str">
        <x:v>All</x:v>
      </x:c>
      <x:c r="F17" s="13" t="str">
        <x:v>Adversarial evidence vaults, sealed samples and disconnected merge protocols</x:v>
      </x:c>
      <x:c r="G17" s="13" t="str">
        <x:v>Preserve complete evidence through network and authority loss</x:v>
      </x:c>
      <x:c r="H17" s="13" t="str">
        <x:v>Central database failure or selective publication</x:v>
      </x:c>
      <x:c r="I17" s="9" t="str">
        <x:v>NOT COMMISSIONED</x:v>
      </x:c>
      <x:c r="J17" s="9"/>
      <x:c r="K17" s="47"/>
      <x:c r="L17" s="47"/>
      <x:c r="M17" s="47"/>
      <x:c r="N17" s="47"/>
      <x:c r="O17" s="47"/>
      <x:c r="P17" s="47"/>
      <x:c r="Q17" s="47"/>
      <x:c r="R17" s="47"/>
      <x:c r="S17" s="47"/>
      <x:c r="T17" s="47"/>
      <x:c r="U17" s="47"/>
      <x:c r="V17" s="47"/>
      <x:c r="W17" s="47"/>
      <x:c r="X17" s="47"/>
      <x:c r="Y17" s="47"/>
      <x:c r="Z17" s="47"/>
    </x:row>
    <x:row r="18" ht="52" customHeight="1">
      <x:c r="C18" s="10" t="str">
        <x:v>TP-12</x:v>
      </x:c>
      <x:c r="D18" s="14" t="str">
        <x:v>Three commands</x:v>
      </x:c>
      <x:c r="E18" s="14" t="str">
        <x:v>All</x:v>
      </x:c>
      <x:c r="F18" s="14" t="str">
        <x:v>Regenerable rig modules and casualty-tolerant calibration roots</x:v>
      </x:c>
      <x:c r="G18" s="14" t="str">
        <x:v>Restore experimental capacity without consuming the credited denominator</x:v>
      </x:c>
      <x:c r="H18" s="14" t="str">
        <x:v>Range attrition becoming outcome-aware retry</x:v>
      </x:c>
      <x:c r="I18" s="10" t="str">
        <x:v>NOT COMMISSIONED</x:v>
      </x:c>
      <x:c r="J18" s="9"/>
      <x:c r="K18" s="47"/>
      <x:c r="L18" s="47"/>
      <x:c r="M18" s="47"/>
      <x:c r="N18" s="47"/>
      <x:c r="O18" s="47"/>
      <x:c r="P18" s="47"/>
      <x:c r="Q18" s="47"/>
      <x:c r="R18" s="47"/>
      <x:c r="S18" s="47"/>
      <x:c r="T18" s="47"/>
      <x:c r="U18" s="47"/>
      <x:c r="V18" s="47"/>
      <x:c r="W18" s="47"/>
      <x:c r="X18" s="47"/>
      <x:c r="Y18" s="47"/>
      <x:c r="Z18" s="47"/>
    </x:row>
    <x:row r="19">
      <x:c r="C19" s="9"/>
      <x:c r="D19" s="9"/>
      <x:c r="E19" s="9"/>
      <x:c r="F19" s="9"/>
      <x:c r="G19" s="9"/>
      <x:c r="H19" s="9"/>
      <x:c r="I19" s="9"/>
      <x:c r="J19" s="9"/>
      <x:c r="K19" s="47"/>
      <x:c r="L19" s="47"/>
      <x:c r="M19" s="47"/>
      <x:c r="N19" s="47"/>
      <x:c r="O19" s="47"/>
      <x:c r="P19" s="47"/>
      <x:c r="Q19" s="47"/>
      <x:c r="R19" s="47"/>
      <x:c r="S19" s="47"/>
      <x:c r="T19" s="47"/>
      <x:c r="U19" s="47"/>
      <x:c r="V19" s="47"/>
      <x:c r="W19" s="47"/>
      <x:c r="X19" s="47"/>
      <x:c r="Y19" s="47"/>
      <x:c r="Z19" s="47"/>
    </x:row>
    <x:row r="20">
      <x:c r="C20" s="9"/>
      <x:c r="D20" s="9"/>
      <x:c r="E20" s="9"/>
      <x:c r="F20" s="9"/>
      <x:c r="G20" s="9"/>
      <x:c r="H20" s="9"/>
      <x:c r="I20" s="9"/>
      <x:c r="J20" s="9"/>
      <x:c r="K20" s="47"/>
      <x:c r="L20" s="47"/>
      <x:c r="M20" s="47"/>
      <x:c r="N20" s="47"/>
      <x:c r="O20" s="47"/>
      <x:c r="P20" s="47"/>
      <x:c r="Q20" s="47"/>
      <x:c r="R20" s="47"/>
      <x:c r="S20" s="47"/>
      <x:c r="T20" s="47"/>
      <x:c r="U20" s="47"/>
      <x:c r="V20" s="47"/>
      <x:c r="W20" s="47"/>
      <x:c r="X20" s="47"/>
      <x:c r="Y20" s="47"/>
      <x:c r="Z20" s="47"/>
    </x:row>
    <x:row r="21">
      <x:c r="C21" s="9"/>
      <x:c r="D21" s="9"/>
      <x:c r="E21" s="9"/>
      <x:c r="F21" s="9"/>
      <x:c r="G21" s="9"/>
      <x:c r="H21" s="9"/>
      <x:c r="I21" s="9"/>
      <x:c r="J21" s="9"/>
      <x:c r="K21" s="47"/>
      <x:c r="L21" s="47"/>
      <x:c r="M21" s="47"/>
      <x:c r="N21" s="47"/>
      <x:c r="O21" s="47"/>
      <x:c r="P21" s="47"/>
      <x:c r="Q21" s="47"/>
      <x:c r="R21" s="47"/>
      <x:c r="S21" s="47"/>
      <x:c r="T21" s="47"/>
      <x:c r="U21" s="47"/>
      <x:c r="V21" s="47"/>
      <x:c r="W21" s="47"/>
      <x:c r="X21" s="47"/>
      <x:c r="Y21" s="47"/>
      <x:c r="Z21" s="47"/>
    </x:row>
    <x:row r="22">
      <x:c r="C22" s="9"/>
      <x:c r="D22" s="9"/>
      <x:c r="E22" s="9"/>
      <x:c r="F22" s="9"/>
      <x:c r="G22" s="9"/>
      <x:c r="H22" s="9"/>
      <x:c r="I22" s="9"/>
      <x:c r="J22" s="9"/>
      <x:c r="K22" s="47"/>
      <x:c r="L22" s="47"/>
      <x:c r="M22" s="47"/>
      <x:c r="N22" s="47"/>
      <x:c r="O22" s="47"/>
      <x:c r="P22" s="47"/>
      <x:c r="Q22" s="47"/>
      <x:c r="R22" s="47"/>
      <x:c r="S22" s="47"/>
      <x:c r="T22" s="47"/>
      <x:c r="U22" s="47"/>
      <x:c r="V22" s="47"/>
      <x:c r="W22" s="47"/>
      <x:c r="X22" s="47"/>
      <x:c r="Y22" s="47"/>
      <x:c r="Z22" s="47"/>
    </x:row>
    <x:row r="23">
      <x:c r="C23" s="9"/>
      <x:c r="D23" s="9"/>
      <x:c r="E23" s="9"/>
      <x:c r="F23" s="9"/>
      <x:c r="G23" s="9"/>
      <x:c r="H23" s="9"/>
      <x:c r="I23" s="9"/>
      <x:c r="J23" s="9"/>
      <x:c r="K23" s="47"/>
      <x:c r="L23" s="47"/>
      <x:c r="M23" s="47"/>
      <x:c r="N23" s="47"/>
      <x:c r="O23" s="47"/>
      <x:c r="P23" s="47"/>
      <x:c r="Q23" s="47"/>
      <x:c r="R23" s="47"/>
      <x:c r="S23" s="47"/>
      <x:c r="T23" s="47"/>
      <x:c r="U23" s="47"/>
      <x:c r="V23" s="47"/>
      <x:c r="W23" s="47"/>
      <x:c r="X23" s="47"/>
      <x:c r="Y23" s="47"/>
      <x:c r="Z23" s="47"/>
    </x:row>
  </x:sheetData>
  <x:conditionalFormatting sqref="I7:I18">
    <x:cfRule type="containsText" dxfId="36" priority="1" operator="containsText" text="BLOCKED"/>
    <x:cfRule type="containsText" dxfId="37" priority="2" operator="containsText" text="NOT MOBILIZED"/>
    <x:cfRule type="containsText" dxfId="38" priority="3" operator="containsText" text="READY"/>
    <x:cfRule type="containsText" dxfId="39" priority="4" operator="containsText" text="FAIL"/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3" max="3" width="18" hidden="0" customWidth="1"/>
    <x:col min="4" max="4" width="52" hidden="0" customWidth="1"/>
    <x:col min="5" max="5" width="15" hidden="0" customWidth="1"/>
    <x:col min="6" max="6" width="16" hidden="0" customWidth="1"/>
  </x:cols>
  <x:sheetData>
    <x:row r="1">
      <x:c r="C1" s="9"/>
      <x:c r="D1" s="9"/>
      <x:c r="E1" s="9"/>
      <x:c r="F1" s="9"/>
      <x:c r="G1" s="47"/>
      <x:c r="H1" s="47"/>
      <x:c r="I1" s="47"/>
      <x:c r="J1" s="47"/>
      <x:c r="K1" s="47"/>
      <x:c r="L1" s="47"/>
      <x:c r="M1" s="47"/>
      <x:c r="N1" s="47"/>
      <x:c r="O1" s="47"/>
      <x:c r="P1" s="47"/>
      <x:c r="Q1" s="47"/>
      <x:c r="R1" s="47"/>
      <x:c r="S1" s="47"/>
      <x:c r="T1" s="47"/>
      <x:c r="U1" s="47"/>
      <x:c r="V1" s="47"/>
      <x:c r="W1" s="47"/>
      <x:c r="X1" s="47"/>
      <x:c r="Y1" s="47"/>
      <x:c r="Z1" s="47"/>
    </x:row>
    <x:row r="2">
      <x:c r="C2" s="48" t="str">
        <x:v>Three hundred terminal audits</x:v>
      </x:c>
      <x:c r="D2" s="9"/>
      <x:c r="E2" s="9"/>
      <x:c r="F2" s="9"/>
      <x:c r="G2" s="47"/>
      <x:c r="H2" s="47"/>
      <x:c r="I2" s="47"/>
      <x:c r="J2" s="47"/>
      <x:c r="K2" s="47"/>
      <x:c r="L2" s="47"/>
      <x:c r="M2" s="47"/>
      <x:c r="N2" s="47"/>
      <x:c r="O2" s="47"/>
      <x:c r="P2" s="47"/>
      <x:c r="Q2" s="47"/>
      <x:c r="R2" s="47"/>
      <x:c r="S2" s="47"/>
      <x:c r="T2" s="47"/>
      <x:c r="U2" s="47"/>
      <x:c r="V2" s="47"/>
      <x:c r="W2" s="47"/>
      <x:c r="X2" s="47"/>
      <x:c r="Y2" s="47"/>
      <x:c r="Z2" s="47"/>
    </x:row>
    <x:row r="3">
      <x:c r="C3" s="49" t="str">
        <x:v>Audits observe business logic. No output or release formula reads this sheet.</x:v>
      </x:c>
      <x:c r="D3" s="9"/>
      <x:c r="E3" s="9"/>
      <x:c r="F3" s="9"/>
      <x:c r="G3" s="47"/>
      <x:c r="H3" s="47"/>
      <x:c r="I3" s="47"/>
      <x:c r="J3" s="47"/>
      <x:c r="K3" s="47"/>
      <x:c r="L3" s="47"/>
      <x:c r="M3" s="47"/>
      <x:c r="N3" s="47"/>
      <x:c r="O3" s="47"/>
      <x:c r="P3" s="47"/>
      <x:c r="Q3" s="47"/>
      <x:c r="R3" s="47"/>
      <x:c r="S3" s="47"/>
      <x:c r="T3" s="47"/>
      <x:c r="U3" s="47"/>
      <x:c r="V3" s="47"/>
      <x:c r="W3" s="47"/>
      <x:c r="X3" s="47"/>
      <x:c r="Y3" s="47"/>
      <x:c r="Z3" s="47"/>
    </x:row>
    <x:row r="4">
      <x:c r="C4" s="50"/>
      <x:c r="D4" s="50"/>
      <x:c r="E4" s="50"/>
      <x:c r="F4" s="50"/>
      <x:c r="G4" s="51"/>
      <x:c r="H4" s="51"/>
      <x:c r="I4" s="51"/>
      <x:c r="J4" s="51"/>
      <x:c r="K4" s="51"/>
      <x:c r="L4" s="51"/>
      <x:c r="M4" s="51"/>
      <x:c r="N4" s="51"/>
      <x:c r="O4" s="51"/>
      <x:c r="P4" s="51"/>
      <x:c r="Q4" s="51"/>
      <x:c r="R4" s="51"/>
      <x:c r="S4" s="51"/>
      <x:c r="T4" s="51"/>
      <x:c r="U4" s="51"/>
      <x:c r="V4" s="51"/>
      <x:c r="W4" s="51"/>
      <x:c r="X4" s="51"/>
      <x:c r="Y4" s="51"/>
      <x:c r="Z4" s="51"/>
    </x:row>
    <x:row r="5">
      <x:c r="C5" s="9"/>
      <x:c r="D5" s="9"/>
      <x:c r="E5" s="9"/>
      <x:c r="F5" s="9"/>
      <x:c r="G5" s="47"/>
      <x:c r="H5" s="47"/>
      <x:c r="I5" s="47"/>
      <x:c r="J5" s="47"/>
      <x:c r="K5" s="47"/>
      <x:c r="L5" s="47"/>
      <x:c r="M5" s="47"/>
      <x:c r="N5" s="47"/>
      <x:c r="O5" s="47"/>
      <x:c r="P5" s="47"/>
      <x:c r="Q5" s="47"/>
      <x:c r="R5" s="47"/>
      <x:c r="S5" s="47"/>
      <x:c r="T5" s="47"/>
      <x:c r="U5" s="47"/>
      <x:c r="V5" s="47"/>
      <x:c r="W5" s="47"/>
      <x:c r="X5" s="47"/>
      <x:c r="Y5" s="47"/>
      <x:c r="Z5" s="47"/>
    </x:row>
    <x:row r="6" ht="28" customHeight="1">
      <x:c r="C6" s="26" t="str">
        <x:v>Audit</x:v>
      </x:c>
      <x:c r="D6" s="32" t="str">
        <x:v>Test</x:v>
      </x:c>
      <x:c r="E6" s="32" t="str">
        <x:v>Result</x:v>
      </x:c>
      <x:c r="F6" s="27" t="str">
        <x:v>Class</x:v>
      </x:c>
      <x:c r="G6" s="47"/>
      <x:c r="H6" s="47"/>
      <x:c r="I6" s="47"/>
      <x:c r="J6" s="47"/>
      <x:c r="K6" s="47"/>
      <x:c r="L6" s="47"/>
      <x:c r="M6" s="47"/>
      <x:c r="N6" s="47"/>
      <x:c r="O6" s="47"/>
      <x:c r="P6" s="47"/>
      <x:c r="Q6" s="47"/>
      <x:c r="R6" s="47"/>
      <x:c r="S6" s="47"/>
      <x:c r="T6" s="47"/>
      <x:c r="U6" s="47"/>
      <x:c r="V6" s="47"/>
      <x:c r="W6" s="47"/>
      <x:c r="X6" s="47"/>
      <x:c r="Y6" s="47"/>
      <x:c r="Z6" s="47"/>
    </x:row>
    <x:row r="7">
      <x:c r="C7" s="9" t="str">
        <x:v>AU-G-01</x:v>
      </x:c>
      <x:c r="D7" s="9" t="str">
        <x:v>Architecture selected</x:v>
      </x:c>
      <x:c r="E7" s="9" t="str">
        <x:f>IF(COUNTIFS('Architecture Choice'!M7:M10,"SELECTED")=1,"PASS","FAIL")</x:f>
        <x:v>PASS</x:v>
      </x:c>
      <x:c r="F7" s="9" t="str">
        <x:v>TERMINAL</x:v>
      </x:c>
      <x:c r="G7" s="47"/>
      <x:c r="H7" s="47"/>
      <x:c r="I7" s="47"/>
      <x:c r="J7" s="47"/>
      <x:c r="K7" s="47"/>
      <x:c r="L7" s="47"/>
      <x:c r="M7" s="47"/>
      <x:c r="N7" s="47"/>
      <x:c r="O7" s="47"/>
      <x:c r="P7" s="47"/>
      <x:c r="Q7" s="47"/>
      <x:c r="R7" s="47"/>
      <x:c r="S7" s="47"/>
      <x:c r="T7" s="47"/>
      <x:c r="U7" s="47"/>
      <x:c r="V7" s="47"/>
      <x:c r="W7" s="47"/>
      <x:c r="X7" s="47"/>
      <x:c r="Y7" s="47"/>
      <x:c r="Z7" s="47"/>
    </x:row>
    <x:row r="8">
      <x:c r="C8" s="9" t="str">
        <x:v>AU-G-02</x:v>
      </x:c>
      <x:c r="D8" s="9" t="str">
        <x:v>Selected architecture is proving service</x:v>
      </x:c>
      <x:c r="E8" s="9" t="str">
        <x:f>IF('Architecture Choice'!M10="SELECTED","PASS","FAIL")</x:f>
        <x:v>PASS</x:v>
      </x:c>
      <x:c r="F8" s="9" t="str">
        <x:v>TERMINAL</x:v>
      </x:c>
      <x:c r="G8" s="47"/>
      <x:c r="H8" s="47"/>
      <x:c r="I8" s="47"/>
      <x:c r="J8" s="47"/>
      <x:c r="K8" s="47"/>
      <x:c r="L8" s="47"/>
      <x:c r="M8" s="47"/>
      <x:c r="N8" s="47"/>
      <x:c r="O8" s="47"/>
      <x:c r="P8" s="47"/>
      <x:c r="Q8" s="47"/>
      <x:c r="R8" s="47"/>
      <x:c r="S8" s="47"/>
      <x:c r="T8" s="47"/>
      <x:c r="U8" s="47"/>
      <x:c r="V8" s="47"/>
      <x:c r="W8" s="47"/>
      <x:c r="X8" s="47"/>
      <x:c r="Y8" s="47"/>
      <x:c r="Z8" s="47"/>
    </x:row>
    <x:row r="9">
      <x:c r="C9" s="9" t="str">
        <x:v>AU-G-03</x:v>
      </x:c>
      <x:c r="D9" s="9" t="str">
        <x:v>Five systems</x:v>
      </x:c>
      <x:c r="E9" s="9" t="str">
        <x:f>IF('Controls'!D8=5,"PASS","FAIL")</x:f>
        <x:v>PASS</x:v>
      </x:c>
      <x:c r="F9" s="9" t="str">
        <x:v>TERMINAL</x:v>
      </x:c>
      <x:c r="G9" s="47"/>
      <x:c r="H9" s="47"/>
      <x:c r="I9" s="47"/>
      <x:c r="J9" s="47"/>
      <x:c r="K9" s="47"/>
      <x:c r="L9" s="47"/>
      <x:c r="M9" s="47"/>
      <x:c r="N9" s="47"/>
      <x:c r="O9" s="47"/>
      <x:c r="P9" s="47"/>
      <x:c r="Q9" s="47"/>
      <x:c r="R9" s="47"/>
      <x:c r="S9" s="47"/>
      <x:c r="T9" s="47"/>
      <x:c r="U9" s="47"/>
      <x:c r="V9" s="47"/>
      <x:c r="W9" s="47"/>
      <x:c r="X9" s="47"/>
      <x:c r="Y9" s="47"/>
      <x:c r="Z9" s="47"/>
    </x:row>
    <x:row r="10">
      <x:c r="C10" s="9" t="str">
        <x:v>AU-G-04</x:v>
      </x:c>
      <x:c r="D10" s="9" t="str">
        <x:v>Twenty roots</x:v>
      </x:c>
      <x:c r="E10" s="9" t="str">
        <x:f>IF('Controls'!D9=20,"PASS","FAIL")</x:f>
        <x:v>PASS</x:v>
      </x:c>
      <x:c r="F10" s="9" t="str">
        <x:v>TERMINAL</x:v>
      </x:c>
      <x:c r="G10" s="47"/>
      <x:c r="H10" s="47"/>
      <x:c r="I10" s="47"/>
      <x:c r="J10" s="47"/>
      <x:c r="K10" s="47"/>
      <x:c r="L10" s="47"/>
      <x:c r="M10" s="47"/>
      <x:c r="N10" s="47"/>
      <x:c r="O10" s="47"/>
      <x:c r="P10" s="47"/>
      <x:c r="Q10" s="47"/>
      <x:c r="R10" s="47"/>
      <x:c r="S10" s="47"/>
      <x:c r="T10" s="47"/>
      <x:c r="U10" s="47"/>
      <x:c r="V10" s="47"/>
      <x:c r="W10" s="47"/>
      <x:c r="X10" s="47"/>
      <x:c r="Y10" s="47"/>
      <x:c r="Z10" s="47"/>
    </x:row>
    <x:row r="11">
      <x:c r="C11" s="9" t="str">
        <x:v>AU-G-05</x:v>
      </x:c>
      <x:c r="D11" s="9" t="str">
        <x:v>Forty endpoints</x:v>
      </x:c>
      <x:c r="E11" s="9" t="str">
        <x:f>IF('Controls'!D10=40,"PASS","FAIL")</x:f>
        <x:v>PASS</x:v>
      </x:c>
      <x:c r="F11" s="9" t="str">
        <x:v>TERMINAL</x:v>
      </x:c>
      <x:c r="G11" s="47"/>
      <x:c r="H11" s="47"/>
      <x:c r="I11" s="47"/>
      <x:c r="J11" s="47"/>
      <x:c r="K11" s="47"/>
      <x:c r="L11" s="47"/>
      <x:c r="M11" s="47"/>
      <x:c r="N11" s="47"/>
      <x:c r="O11" s="47"/>
      <x:c r="P11" s="47"/>
      <x:c r="Q11" s="47"/>
      <x:c r="R11" s="47"/>
      <x:c r="S11" s="47"/>
      <x:c r="T11" s="47"/>
      <x:c r="U11" s="47"/>
      <x:c r="V11" s="47"/>
      <x:c r="W11" s="47"/>
      <x:c r="X11" s="47"/>
      <x:c r="Y11" s="47"/>
      <x:c r="Z11" s="47"/>
    </x:row>
    <x:row r="12">
      <x:c r="C12" s="9" t="str">
        <x:v>AU-G-06</x:v>
      </x:c>
      <x:c r="D12" s="9" t="str">
        <x:v>Three commands</x:v>
      </x:c>
      <x:c r="E12" s="9" t="str">
        <x:f>IF('Controls'!D11=3,"PASS","FAIL")</x:f>
        <x:v>PASS</x:v>
      </x:c>
      <x:c r="F12" s="9" t="str">
        <x:v>TERMINAL</x:v>
      </x:c>
      <x:c r="G12" s="47"/>
      <x:c r="H12" s="47"/>
      <x:c r="I12" s="47"/>
      <x:c r="J12" s="47"/>
      <x:c r="K12" s="47"/>
      <x:c r="L12" s="47"/>
      <x:c r="M12" s="47"/>
      <x:c r="N12" s="47"/>
      <x:c r="O12" s="47"/>
      <x:c r="P12" s="47"/>
      <x:c r="Q12" s="47"/>
      <x:c r="R12" s="47"/>
      <x:c r="S12" s="47"/>
      <x:c r="T12" s="47"/>
      <x:c r="U12" s="47"/>
      <x:c r="V12" s="47"/>
      <x:c r="W12" s="47"/>
      <x:c r="X12" s="47"/>
      <x:c r="Y12" s="47"/>
      <x:c r="Z12" s="47"/>
    </x:row>
    <x:row r="13">
      <x:c r="C13" s="9" t="str">
        <x:v>AU-G-07</x:v>
      </x:c>
      <x:c r="D13" s="9" t="str">
        <x:v>Fifteen stations</x:v>
      </x:c>
      <x:c r="E13" s="9" t="str">
        <x:f>IF('Controls'!D12=15,"PASS","FAIL")</x:f>
        <x:v>PASS</x:v>
      </x:c>
      <x:c r="F13" s="9" t="str">
        <x:v>TERMINAL</x:v>
      </x:c>
      <x:c r="G13" s="47"/>
      <x:c r="H13" s="47"/>
      <x:c r="I13" s="47"/>
      <x:c r="J13" s="47"/>
      <x:c r="K13" s="47"/>
      <x:c r="L13" s="47"/>
      <x:c r="M13" s="47"/>
      <x:c r="N13" s="47"/>
      <x:c r="O13" s="47"/>
      <x:c r="P13" s="47"/>
      <x:c r="Q13" s="47"/>
      <x:c r="R13" s="47"/>
      <x:c r="S13" s="47"/>
      <x:c r="T13" s="47"/>
      <x:c r="U13" s="47"/>
      <x:c r="V13" s="47"/>
      <x:c r="W13" s="47"/>
      <x:c r="X13" s="47"/>
      <x:c r="Y13" s="47"/>
      <x:c r="Z13" s="47"/>
    </x:row>
    <x:row r="14">
      <x:c r="C14" s="9" t="str">
        <x:v>AU-G-08</x:v>
      </x:c>
      <x:c r="D14" s="9" t="str">
        <x:v>Seventy-five lanes</x:v>
      </x:c>
      <x:c r="E14" s="9" t="str">
        <x:f>IF('Controls'!D14=75,"PASS","FAIL")</x:f>
        <x:v>PASS</x:v>
      </x:c>
      <x:c r="F14" s="9" t="str">
        <x:v>TERMINAL</x:v>
      </x:c>
      <x:c r="G14" s="47"/>
      <x:c r="H14" s="47"/>
      <x:c r="I14" s="47"/>
      <x:c r="J14" s="47"/>
      <x:c r="K14" s="47"/>
      <x:c r="L14" s="47"/>
      <x:c r="M14" s="47"/>
      <x:c r="N14" s="47"/>
      <x:c r="O14" s="47"/>
      <x:c r="P14" s="47"/>
      <x:c r="Q14" s="47"/>
      <x:c r="R14" s="47"/>
      <x:c r="S14" s="47"/>
      <x:c r="T14" s="47"/>
      <x:c r="U14" s="47"/>
      <x:c r="V14" s="47"/>
      <x:c r="W14" s="47"/>
      <x:c r="X14" s="47"/>
      <x:c r="Y14" s="47"/>
      <x:c r="Z14" s="47"/>
    </x:row>
    <x:row r="15">
      <x:c r="C15" s="9" t="str">
        <x:v>AU-G-09</x:v>
      </x:c>
      <x:c r="D15" s="9" t="str">
        <x:v>Sixty assignments</x:v>
      </x:c>
      <x:c r="E15" s="9" t="str">
        <x:f>IF(COUNTA('Lane Assignments'!C7:C66)=60,"PASS","FAIL")</x:f>
        <x:v>PASS</x:v>
      </x:c>
      <x:c r="F15" s="9" t="str">
        <x:v>TERMINAL</x:v>
      </x:c>
      <x:c r="G15" s="47"/>
      <x:c r="H15" s="47"/>
      <x:c r="I15" s="47"/>
      <x:c r="J15" s="47"/>
      <x:c r="K15" s="47"/>
      <x:c r="L15" s="47"/>
      <x:c r="M15" s="47"/>
      <x:c r="N15" s="47"/>
      <x:c r="O15" s="47"/>
      <x:c r="P15" s="47"/>
      <x:c r="Q15" s="47"/>
      <x:c r="R15" s="47"/>
      <x:c r="S15" s="47"/>
      <x:c r="T15" s="47"/>
      <x:c r="U15" s="47"/>
      <x:c r="V15" s="47"/>
      <x:c r="W15" s="47"/>
      <x:c r="X15" s="47"/>
      <x:c r="Y15" s="47"/>
      <x:c r="Z15" s="47"/>
    </x:row>
    <x:row r="16">
      <x:c r="C16" s="9" t="str">
        <x:v>AU-G-10</x:v>
      </x:c>
      <x:c r="D16" s="9" t="str">
        <x:v>Fifteen reserve lanes</x:v>
      </x:c>
      <x:c r="E16" s="9" t="str">
        <x:f>IF('Controls'!D16=15,"PASS","FAIL")</x:f>
        <x:v>PASS</x:v>
      </x:c>
      <x:c r="F16" s="9" t="str">
        <x:v>TERMINAL</x:v>
      </x:c>
      <x:c r="G16" s="47"/>
      <x:c r="H16" s="47"/>
      <x:c r="I16" s="47"/>
      <x:c r="J16" s="47"/>
      <x:c r="K16" s="47"/>
      <x:c r="L16" s="47"/>
      <x:c r="M16" s="47"/>
      <x:c r="N16" s="47"/>
      <x:c r="O16" s="47"/>
      <x:c r="P16" s="47"/>
      <x:c r="Q16" s="47"/>
      <x:c r="R16" s="47"/>
      <x:c r="S16" s="47"/>
      <x:c r="T16" s="47"/>
      <x:c r="U16" s="47"/>
      <x:c r="V16" s="47"/>
      <x:c r="W16" s="47"/>
      <x:c r="X16" s="47"/>
      <x:c r="Y16" s="47"/>
      <x:c r="Z16" s="47"/>
    </x:row>
    <x:row r="17">
      <x:c r="C17" s="9" t="str">
        <x:v>AU-G-11</x:v>
      </x:c>
      <x:c r="D17" s="9" t="str">
        <x:v>Two hundred forty events</x:v>
      </x:c>
      <x:c r="E17" s="9" t="str">
        <x:f>IF('Event Capacity'!J23=240,"PASS","FAIL")</x:f>
        <x:v>PASS</x:v>
      </x:c>
      <x:c r="F17" s="9" t="str">
        <x:v>TERMINAL</x:v>
      </x:c>
      <x:c r="G17" s="47"/>
      <x:c r="H17" s="47"/>
      <x:c r="I17" s="47"/>
      <x:c r="J17" s="47"/>
      <x:c r="K17" s="47"/>
      <x:c r="L17" s="47"/>
      <x:c r="M17" s="47"/>
      <x:c r="N17" s="47"/>
      <x:c r="O17" s="47"/>
      <x:c r="P17" s="47"/>
      <x:c r="Q17" s="47"/>
      <x:c r="R17" s="47"/>
      <x:c r="S17" s="47"/>
      <x:c r="T17" s="47"/>
      <x:c r="U17" s="47"/>
      <x:c r="V17" s="47"/>
      <x:c r="W17" s="47"/>
      <x:c r="X17" s="47"/>
      <x:c r="Y17" s="47"/>
      <x:c r="Z17" s="47"/>
    </x:row>
    <x:row r="18">
      <x:c r="C18" s="9" t="str">
        <x:v>AU-G-12</x:v>
      </x:c>
      <x:c r="D18" s="9" t="str">
        <x:v>Jurisdiction shares total</x:v>
      </x:c>
      <x:c r="E18" s="9" t="str">
        <x:f>IF(ABS(SUM('Authority Build'!G7:G10)-1)&lt;0.000001,"PASS","FAIL")</x:f>
        <x:v>PASS</x:v>
      </x:c>
      <x:c r="F18" s="9" t="str">
        <x:v>TERMINAL</x:v>
      </x:c>
      <x:c r="G18" s="47"/>
      <x:c r="H18" s="47"/>
      <x:c r="I18" s="47"/>
      <x:c r="J18" s="47"/>
      <x:c r="K18" s="47"/>
      <x:c r="L18" s="47"/>
      <x:c r="M18" s="47"/>
      <x:c r="N18" s="47"/>
      <x:c r="O18" s="47"/>
      <x:c r="P18" s="47"/>
      <x:c r="Q18" s="47"/>
      <x:c r="R18" s="47"/>
      <x:c r="S18" s="47"/>
      <x:c r="T18" s="47"/>
      <x:c r="U18" s="47"/>
      <x:c r="V18" s="47"/>
      <x:c r="W18" s="47"/>
      <x:c r="X18" s="47"/>
      <x:c r="Y18" s="47"/>
      <x:c r="Z18" s="47"/>
    </x:row>
    <x:row r="19">
      <x:c r="C19" s="9" t="str">
        <x:v>AU-G-13</x:v>
      </x:c>
      <x:c r="D19" s="9" t="str">
        <x:v>Stage shares total</x:v>
      </x:c>
      <x:c r="E19" s="9" t="str">
        <x:f>IF(ABS(SUM('Authority Build'!D12:F12)-1)&lt;0.000001,"PASS","FAIL")</x:f>
        <x:v>PASS</x:v>
      </x:c>
      <x:c r="F19" s="9" t="str">
        <x:v>TERMINAL</x:v>
      </x:c>
      <x:c r="G19" s="47"/>
      <x:c r="H19" s="47"/>
      <x:c r="I19" s="47"/>
      <x:c r="J19" s="47"/>
      <x:c r="K19" s="47"/>
      <x:c r="L19" s="47"/>
      <x:c r="M19" s="47"/>
      <x:c r="N19" s="47"/>
      <x:c r="O19" s="47"/>
      <x:c r="P19" s="47"/>
      <x:c r="Q19" s="47"/>
      <x:c r="R19" s="47"/>
      <x:c r="S19" s="47"/>
      <x:c r="T19" s="47"/>
      <x:c r="U19" s="47"/>
      <x:c r="V19" s="47"/>
      <x:c r="W19" s="47"/>
      <x:c r="X19" s="47"/>
      <x:c r="Y19" s="47"/>
      <x:c r="Z19" s="47"/>
    </x:row>
    <x:row r="20">
      <x:c r="C20" s="9" t="str">
        <x:v>AU-G-14</x:v>
      </x:c>
      <x:c r="D20" s="9" t="str">
        <x:v>Authority reconciles</x:v>
      </x:c>
      <x:c r="E20" s="9" t="str">
        <x:f>IF(ABS(SUM('Authority Build'!H7:H10)-'Controls'!D18)&lt;0.000001,"PASS","FAIL")</x:f>
        <x:v>PASS</x:v>
      </x:c>
      <x:c r="F20" s="9" t="str">
        <x:v>TERMINAL</x:v>
      </x:c>
      <x:c r="G20" s="47"/>
      <x:c r="H20" s="47"/>
      <x:c r="I20" s="47"/>
      <x:c r="J20" s="47"/>
      <x:c r="K20" s="47"/>
      <x:c r="L20" s="47"/>
      <x:c r="M20" s="47"/>
      <x:c r="N20" s="47"/>
      <x:c r="O20" s="47"/>
      <x:c r="P20" s="47"/>
      <x:c r="Q20" s="47"/>
      <x:c r="R20" s="47"/>
      <x:c r="S20" s="47"/>
      <x:c r="T20" s="47"/>
      <x:c r="U20" s="47"/>
      <x:c r="V20" s="47"/>
      <x:c r="W20" s="47"/>
      <x:c r="X20" s="47"/>
      <x:c r="Y20" s="47"/>
      <x:c r="Z20" s="47"/>
    </x:row>
    <x:row r="21">
      <x:c r="C21" s="9" t="str">
        <x:v>AU-G-15</x:v>
      </x:c>
      <x:c r="D21" s="9" t="str">
        <x:v>Root authority reconciles</x:v>
      </x:c>
      <x:c r="E21" s="9" t="str">
        <x:f>IF(ABS('Authority Build'!E37-'Controls'!D18)&lt;0.000001,"PASS","FAIL")</x:f>
        <x:v>PASS</x:v>
      </x:c>
      <x:c r="F21" s="9" t="str">
        <x:v>TERMINAL</x:v>
      </x:c>
      <x:c r="G21" s="47"/>
      <x:c r="H21" s="47"/>
      <x:c r="I21" s="47"/>
      <x:c r="J21" s="47"/>
      <x:c r="K21" s="47"/>
      <x:c r="L21" s="47"/>
      <x:c r="M21" s="47"/>
      <x:c r="N21" s="47"/>
      <x:c r="O21" s="47"/>
      <x:c r="P21" s="47"/>
      <x:c r="Q21" s="47"/>
      <x:c r="R21" s="47"/>
      <x:c r="S21" s="47"/>
      <x:c r="T21" s="47"/>
      <x:c r="U21" s="47"/>
      <x:c r="V21" s="47"/>
      <x:c r="W21" s="47"/>
      <x:c r="X21" s="47"/>
      <x:c r="Y21" s="47"/>
      <x:c r="Z21" s="47"/>
    </x:row>
    <x:row r="22">
      <x:c r="C22" s="9" t="str">
        <x:v>AU-G-16</x:v>
      </x:c>
      <x:c r="D22" s="9" t="str">
        <x:v>Candidate authority reconciles</x:v>
      </x:c>
      <x:c r="E22" s="9" t="str">
        <x:f>IF(ABS('Authority Build'!G37-'Authority Build'!H7)&lt;0.000001,"PASS","FAIL")</x:f>
        <x:v>PASS</x:v>
      </x:c>
      <x:c r="F22" s="9" t="str">
        <x:v>TERMINAL</x:v>
      </x:c>
      <x:c r="G22" s="47"/>
      <x:c r="H22" s="47"/>
      <x:c r="I22" s="47"/>
      <x:c r="J22" s="47"/>
      <x:c r="K22" s="47"/>
      <x:c r="L22" s="47"/>
      <x:c r="M22" s="47"/>
      <x:c r="N22" s="47"/>
      <x:c r="O22" s="47"/>
      <x:c r="P22" s="47"/>
      <x:c r="Q22" s="47"/>
      <x:c r="R22" s="47"/>
      <x:c r="S22" s="47"/>
      <x:c r="T22" s="47"/>
      <x:c r="U22" s="47"/>
      <x:c r="V22" s="47"/>
      <x:c r="W22" s="47"/>
      <x:c r="X22" s="47"/>
      <x:c r="Y22" s="47"/>
      <x:c r="Z22" s="47"/>
    </x:row>
    <x:row r="23">
      <x:c r="C23" s="9" t="str">
        <x:v>AU-G-17</x:v>
      </x:c>
      <x:c r="D23" s="9" t="str">
        <x:v>Station authority reconciles</x:v>
      </x:c>
      <x:c r="E23" s="9" t="str">
        <x:f>IF(ABS('Authority Build'!I37-'Authority Build'!H8)&lt;0.000001,"PASS","FAIL")</x:f>
        <x:v>PASS</x:v>
      </x:c>
      <x:c r="F23" s="9" t="str">
        <x:v>TERMINAL</x:v>
      </x:c>
      <x:c r="G23" s="47"/>
      <x:c r="H23" s="47"/>
      <x:c r="I23" s="47"/>
      <x:c r="J23" s="47"/>
      <x:c r="K23" s="47"/>
      <x:c r="L23" s="47"/>
      <x:c r="M23" s="47"/>
      <x:c r="N23" s="47"/>
      <x:c r="O23" s="47"/>
      <x:c r="P23" s="47"/>
      <x:c r="Q23" s="47"/>
      <x:c r="R23" s="47"/>
      <x:c r="S23" s="47"/>
      <x:c r="T23" s="47"/>
      <x:c r="U23" s="47"/>
      <x:c r="V23" s="47"/>
      <x:c r="W23" s="47"/>
      <x:c r="X23" s="47"/>
      <x:c r="Y23" s="47"/>
      <x:c r="Z23" s="47"/>
    </x:row>
    <x:row r="24">
      <x:c r="C24" s="9" t="str">
        <x:v>AU-G-18</x:v>
      </x:c>
      <x:c r="D24" s="9" t="str">
        <x:v>Metrology authority reconciles</x:v>
      </x:c>
      <x:c r="E24" s="9" t="str">
        <x:f>IF(ABS('Authority Build'!K37-'Authority Build'!H9)&lt;0.000001,"PASS","FAIL")</x:f>
        <x:v>PASS</x:v>
      </x:c>
      <x:c r="F24" s="9" t="str">
        <x:v>TERMINAL</x:v>
      </x:c>
      <x:c r="G24" s="47"/>
      <x:c r="H24" s="47"/>
      <x:c r="I24" s="47"/>
      <x:c r="J24" s="47"/>
      <x:c r="K24" s="47"/>
      <x:c r="L24" s="47"/>
      <x:c r="M24" s="47"/>
      <x:c r="N24" s="47"/>
      <x:c r="O24" s="47"/>
      <x:c r="P24" s="47"/>
      <x:c r="Q24" s="47"/>
      <x:c r="R24" s="47"/>
      <x:c r="S24" s="47"/>
      <x:c r="T24" s="47"/>
      <x:c r="U24" s="47"/>
      <x:c r="V24" s="47"/>
      <x:c r="W24" s="47"/>
      <x:c r="X24" s="47"/>
      <x:c r="Y24" s="47"/>
      <x:c r="Z24" s="47"/>
    </x:row>
    <x:row r="25">
      <x:c r="C25" s="9" t="str">
        <x:v>AU-G-19</x:v>
      </x:c>
      <x:c r="D25" s="9" t="str">
        <x:v>Reserve authority reconciles</x:v>
      </x:c>
      <x:c r="E25" s="9" t="str">
        <x:f>IF(ABS('Authority Build'!M37-'Authority Build'!H10)&lt;0.000001,"PASS","FAIL")</x:f>
        <x:v>PASS</x:v>
      </x:c>
      <x:c r="F25" s="9" t="str">
        <x:v>TERMINAL</x:v>
      </x:c>
      <x:c r="G25" s="47"/>
      <x:c r="H25" s="47"/>
      <x:c r="I25" s="47"/>
      <x:c r="J25" s="47"/>
      <x:c r="K25" s="47"/>
      <x:c r="L25" s="47"/>
      <x:c r="M25" s="47"/>
      <x:c r="N25" s="47"/>
      <x:c r="O25" s="47"/>
      <x:c r="P25" s="47"/>
      <x:c r="Q25" s="47"/>
      <x:c r="R25" s="47"/>
      <x:c r="S25" s="47"/>
      <x:c r="T25" s="47"/>
      <x:c r="U25" s="47"/>
      <x:c r="V25" s="47"/>
      <x:c r="W25" s="47"/>
      <x:c r="X25" s="47"/>
      <x:c r="Y25" s="47"/>
      <x:c r="Z25" s="47"/>
    </x:row>
    <x:row r="26">
      <x:c r="C26" s="9" t="str">
        <x:v>AU-G-20</x:v>
      </x:c>
      <x:c r="D26" s="9" t="str">
        <x:v>No accepted warrants</x:v>
      </x:c>
      <x:c r="E26" s="9" t="str">
        <x:f>IF('Controls'!D23=0,"PASS","FAIL")</x:f>
        <x:v>PASS</x:v>
      </x:c>
      <x:c r="F26" s="9" t="str">
        <x:v>TERMINAL</x:v>
      </x:c>
      <x:c r="G26" s="47"/>
      <x:c r="H26" s="47"/>
      <x:c r="I26" s="47"/>
      <x:c r="J26" s="47"/>
      <x:c r="K26" s="47"/>
      <x:c r="L26" s="47"/>
      <x:c r="M26" s="47"/>
      <x:c r="N26" s="47"/>
      <x:c r="O26" s="47"/>
      <x:c r="P26" s="47"/>
      <x:c r="Q26" s="47"/>
      <x:c r="R26" s="47"/>
      <x:c r="S26" s="47"/>
      <x:c r="T26" s="47"/>
      <x:c r="U26" s="47"/>
      <x:c r="V26" s="47"/>
      <x:c r="W26" s="47"/>
      <x:c r="X26" s="47"/>
      <x:c r="Y26" s="47"/>
      <x:c r="Z26" s="47"/>
    </x:row>
    <x:row r="27">
      <x:c r="C27" s="9" t="str">
        <x:v>AU-G-21</x:v>
      </x:c>
      <x:c r="D27" s="9" t="str">
        <x:v>No commissioned stations</x:v>
      </x:c>
      <x:c r="E27" s="9" t="str">
        <x:f>IF('Controls'!D24=0,"PASS","FAIL")</x:f>
        <x:v>PASS</x:v>
      </x:c>
      <x:c r="F27" s="9" t="str">
        <x:v>TERMINAL</x:v>
      </x:c>
      <x:c r="G27" s="47"/>
      <x:c r="H27" s="47"/>
      <x:c r="I27" s="47"/>
      <x:c r="J27" s="47"/>
      <x:c r="K27" s="47"/>
      <x:c r="L27" s="47"/>
      <x:c r="M27" s="47"/>
      <x:c r="N27" s="47"/>
      <x:c r="O27" s="47"/>
      <x:c r="P27" s="47"/>
      <x:c r="Q27" s="47"/>
      <x:c r="R27" s="47"/>
      <x:c r="S27" s="47"/>
      <x:c r="T27" s="47"/>
      <x:c r="U27" s="47"/>
      <x:c r="V27" s="47"/>
      <x:c r="W27" s="47"/>
      <x:c r="X27" s="47"/>
      <x:c r="Y27" s="47"/>
      <x:c r="Z27" s="47"/>
    </x:row>
    <x:row r="28">
      <x:c r="C28" s="9" t="str">
        <x:v>AU-G-22</x:v>
      </x:c>
      <x:c r="D28" s="9" t="str">
        <x:v>No qualified lanes</x:v>
      </x:c>
      <x:c r="E28" s="9" t="str">
        <x:f>IF('Controls'!D25=0,"PASS","FAIL")</x:f>
        <x:v>PASS</x:v>
      </x:c>
      <x:c r="F28" s="9" t="str">
        <x:v>TERMINAL</x:v>
      </x:c>
      <x:c r="G28" s="47"/>
      <x:c r="H28" s="47"/>
      <x:c r="I28" s="47"/>
      <x:c r="J28" s="47"/>
      <x:c r="K28" s="47"/>
      <x:c r="L28" s="47"/>
      <x:c r="M28" s="47"/>
      <x:c r="N28" s="47"/>
      <x:c r="O28" s="47"/>
      <x:c r="P28" s="47"/>
      <x:c r="Q28" s="47"/>
      <x:c r="R28" s="47"/>
      <x:c r="S28" s="47"/>
      <x:c r="T28" s="47"/>
      <x:c r="U28" s="47"/>
      <x:c r="V28" s="47"/>
      <x:c r="W28" s="47"/>
      <x:c r="X28" s="47"/>
      <x:c r="Y28" s="47"/>
      <x:c r="Z28" s="47"/>
    </x:row>
    <x:row r="29">
      <x:c r="C29" s="9" t="str">
        <x:v>AU-G-23</x:v>
      </x:c>
      <x:c r="D29" s="9" t="str">
        <x:v>No identity acceptances</x:v>
      </x:c>
      <x:c r="E29" s="9" t="str">
        <x:f>IF('Controls'!D26=0,"PASS","FAIL")</x:f>
        <x:v>PASS</x:v>
      </x:c>
      <x:c r="F29" s="9" t="str">
        <x:v>TERMINAL</x:v>
      </x:c>
      <x:c r="G29" s="47"/>
      <x:c r="H29" s="47"/>
      <x:c r="I29" s="47"/>
      <x:c r="J29" s="47"/>
      <x:c r="K29" s="47"/>
      <x:c r="L29" s="47"/>
      <x:c r="M29" s="47"/>
      <x:c r="N29" s="47"/>
      <x:c r="O29" s="47"/>
      <x:c r="P29" s="47"/>
      <x:c r="Q29" s="47"/>
      <x:c r="R29" s="47"/>
      <x:c r="S29" s="47"/>
      <x:c r="T29" s="47"/>
      <x:c r="U29" s="47"/>
      <x:c r="V29" s="47"/>
      <x:c r="W29" s="47"/>
      <x:c r="X29" s="47"/>
      <x:c r="Y29" s="47"/>
      <x:c r="Z29" s="47"/>
    </x:row>
    <x:row r="30">
      <x:c r="C30" s="9" t="str">
        <x:v>AU-G-24</x:v>
      </x:c>
      <x:c r="D30" s="9" t="str">
        <x:v>No assignment conflict acceptances</x:v>
      </x:c>
      <x:c r="E30" s="9" t="str">
        <x:f>IF('Controls'!D27=0,"PASS","FAIL")</x:f>
        <x:v>PASS</x:v>
      </x:c>
      <x:c r="F30" s="9" t="str">
        <x:v>TERMINAL</x:v>
      </x:c>
      <x:c r="G30" s="47"/>
      <x:c r="H30" s="47"/>
      <x:c r="I30" s="47"/>
      <x:c r="J30" s="47"/>
      <x:c r="K30" s="47"/>
      <x:c r="L30" s="47"/>
      <x:c r="M30" s="47"/>
      <x:c r="N30" s="47"/>
      <x:c r="O30" s="47"/>
      <x:c r="P30" s="47"/>
      <x:c r="Q30" s="47"/>
      <x:c r="R30" s="47"/>
      <x:c r="S30" s="47"/>
      <x:c r="T30" s="47"/>
      <x:c r="U30" s="47"/>
      <x:c r="V30" s="47"/>
      <x:c r="W30" s="47"/>
      <x:c r="X30" s="47"/>
      <x:c r="Y30" s="47"/>
      <x:c r="Z30" s="47"/>
    </x:row>
    <x:row r="31">
      <x:c r="C31" s="9" t="str">
        <x:v>AU-G-25</x:v>
      </x:c>
      <x:c r="D31" s="9" t="str">
        <x:v>No stage acceptances</x:v>
      </x:c>
      <x:c r="E31" s="9" t="str">
        <x:f>IF('Controls'!D28=0,"PASS","FAIL")</x:f>
        <x:v>PASS</x:v>
      </x:c>
      <x:c r="F31" s="9" t="str">
        <x:v>TERMINAL</x:v>
      </x:c>
      <x:c r="G31" s="47"/>
      <x:c r="H31" s="47"/>
      <x:c r="I31" s="47"/>
      <x:c r="J31" s="47"/>
      <x:c r="K31" s="47"/>
      <x:c r="L31" s="47"/>
      <x:c r="M31" s="47"/>
      <x:c r="N31" s="47"/>
      <x:c r="O31" s="47"/>
      <x:c r="P31" s="47"/>
      <x:c r="Q31" s="47"/>
      <x:c r="R31" s="47"/>
      <x:c r="S31" s="47"/>
      <x:c r="T31" s="47"/>
      <x:c r="U31" s="47"/>
      <x:c r="V31" s="47"/>
      <x:c r="W31" s="47"/>
      <x:c r="X31" s="47"/>
      <x:c r="Y31" s="47"/>
      <x:c r="Z31" s="47"/>
    </x:row>
    <x:row r="32">
      <x:c r="C32" s="9" t="str">
        <x:v>AU-G-26</x:v>
      </x:c>
      <x:c r="D32" s="9" t="str">
        <x:v>No authority released</x:v>
      </x:c>
      <x:c r="E32" s="9" t="str">
        <x:f>IF('Controls'!D29=0,"PASS","FAIL")</x:f>
        <x:v>PASS</x:v>
      </x:c>
      <x:c r="F32" s="9" t="str">
        <x:v>TERMINAL</x:v>
      </x:c>
      <x:c r="G32" s="47"/>
      <x:c r="H32" s="47"/>
      <x:c r="I32" s="47"/>
      <x:c r="J32" s="47"/>
      <x:c r="K32" s="47"/>
      <x:c r="L32" s="47"/>
      <x:c r="M32" s="47"/>
      <x:c r="N32" s="47"/>
      <x:c r="O32" s="47"/>
      <x:c r="P32" s="47"/>
      <x:c r="Q32" s="47"/>
      <x:c r="R32" s="47"/>
      <x:c r="S32" s="47"/>
      <x:c r="T32" s="47"/>
      <x:c r="U32" s="47"/>
      <x:c r="V32" s="47"/>
      <x:c r="W32" s="47"/>
      <x:c r="X32" s="47"/>
      <x:c r="Y32" s="47"/>
      <x:c r="Z32" s="47"/>
    </x:row>
    <x:row r="33">
      <x:c r="C33" s="9" t="str">
        <x:v>AU-G-27</x:v>
      </x:c>
      <x:c r="D33" s="9" t="str">
        <x:v>No roots mobilized</x:v>
      </x:c>
      <x:c r="E33" s="9" t="str">
        <x:f>IF('Controls'!D30=0,"PASS","FAIL")</x:f>
        <x:v>PASS</x:v>
      </x:c>
      <x:c r="F33" s="9" t="str">
        <x:v>TERMINAL</x:v>
      </x:c>
      <x:c r="G33" s="47"/>
      <x:c r="H33" s="47"/>
      <x:c r="I33" s="47"/>
      <x:c r="J33" s="47"/>
      <x:c r="K33" s="47"/>
      <x:c r="L33" s="47"/>
      <x:c r="M33" s="47"/>
      <x:c r="N33" s="47"/>
      <x:c r="O33" s="47"/>
      <x:c r="P33" s="47"/>
      <x:c r="Q33" s="47"/>
      <x:c r="R33" s="47"/>
      <x:c r="S33" s="47"/>
      <x:c r="T33" s="47"/>
      <x:c r="U33" s="47"/>
      <x:c r="V33" s="47"/>
      <x:c r="W33" s="47"/>
      <x:c r="X33" s="47"/>
      <x:c r="Y33" s="47"/>
      <x:c r="Z33" s="47"/>
    </x:row>
    <x:row r="34">
      <x:c r="C34" s="9" t="str">
        <x:v>AU-G-28</x:v>
      </x:c>
      <x:c r="D34" s="9" t="str">
        <x:v>All roots HOLD</x:v>
      </x:c>
      <x:c r="E34" s="9" t="str">
        <x:f>IF('Controls'!D31=0,"PASS","FAIL")</x:f>
        <x:v>PASS</x:v>
      </x:c>
      <x:c r="F34" s="9" t="str">
        <x:v>TERMINAL</x:v>
      </x:c>
      <x:c r="G34" s="47"/>
      <x:c r="H34" s="47"/>
      <x:c r="I34" s="47"/>
      <x:c r="J34" s="47"/>
      <x:c r="K34" s="47"/>
      <x:c r="L34" s="47"/>
      <x:c r="M34" s="47"/>
      <x:c r="N34" s="47"/>
      <x:c r="O34" s="47"/>
      <x:c r="P34" s="47"/>
      <x:c r="Q34" s="47"/>
      <x:c r="R34" s="47"/>
      <x:c r="S34" s="47"/>
      <x:c r="T34" s="47"/>
      <x:c r="U34" s="47"/>
      <x:c r="V34" s="47"/>
      <x:c r="W34" s="47"/>
      <x:c r="X34" s="47"/>
      <x:c r="Y34" s="47"/>
      <x:c r="Z34" s="47"/>
    </x:row>
    <x:row r="35">
      <x:c r="C35" s="9" t="str">
        <x:v>AU-G-29</x:v>
      </x:c>
      <x:c r="D35" s="9" t="str">
        <x:v>No force credit</x:v>
      </x:c>
      <x:c r="E35" s="9" t="str">
        <x:f>IF('Controls'!D32=0,"PASS","FAIL")</x:f>
        <x:v>PASS</x:v>
      </x:c>
      <x:c r="F35" s="9" t="str">
        <x:v>TERMINAL</x:v>
      </x:c>
      <x:c r="G35" s="47"/>
      <x:c r="H35" s="47"/>
      <x:c r="I35" s="47"/>
      <x:c r="J35" s="47"/>
      <x:c r="K35" s="47"/>
      <x:c r="L35" s="47"/>
      <x:c r="M35" s="47"/>
      <x:c r="N35" s="47"/>
      <x:c r="O35" s="47"/>
      <x:c r="P35" s="47"/>
      <x:c r="Q35" s="47"/>
      <x:c r="R35" s="47"/>
      <x:c r="S35" s="47"/>
      <x:c r="T35" s="47"/>
      <x:c r="U35" s="47"/>
      <x:c r="V35" s="47"/>
      <x:c r="W35" s="47"/>
      <x:c r="X35" s="47"/>
      <x:c r="Y35" s="47"/>
      <x:c r="Z35" s="47"/>
    </x:row>
    <x:row r="36">
      <x:c r="C36" s="9" t="str">
        <x:v>AU-G-30</x:v>
      </x:c>
      <x:c r="D36" s="9" t="str">
        <x:v>No Cascadia credit</x:v>
      </x:c>
      <x:c r="E36" s="9" t="str">
        <x:f>IF('Controls'!D33=0,"PASS","FAIL")</x:f>
        <x:v>PASS</x:v>
      </x:c>
      <x:c r="F36" s="9" t="str">
        <x:v>TERMINAL</x:v>
      </x:c>
      <x:c r="G36" s="47"/>
      <x:c r="H36" s="47"/>
      <x:c r="I36" s="47"/>
      <x:c r="J36" s="47"/>
      <x:c r="K36" s="47"/>
      <x:c r="L36" s="47"/>
      <x:c r="M36" s="47"/>
      <x:c r="N36" s="47"/>
      <x:c r="O36" s="47"/>
      <x:c r="P36" s="47"/>
      <x:c r="Q36" s="47"/>
      <x:c r="R36" s="47"/>
      <x:c r="S36" s="47"/>
      <x:c r="T36" s="47"/>
      <x:c r="U36" s="47"/>
      <x:c r="V36" s="47"/>
      <x:c r="W36" s="47"/>
      <x:c r="X36" s="47"/>
      <x:c r="Y36" s="47"/>
      <x:c r="Z36" s="47"/>
    </x:row>
    <x:row r="37">
      <x:c r="C37" s="9" t="str">
        <x:v>AU-G-31</x:v>
      </x:c>
      <x:c r="D37" s="9" t="str">
        <x:v>Six system barriers</x:v>
      </x:c>
      <x:c r="E37" s="9" t="str">
        <x:f>IF(COUNTA('System Barriers'!C7:C12)=6,"PASS","FAIL")</x:f>
        <x:v>PASS</x:v>
      </x:c>
      <x:c r="F37" s="9" t="str">
        <x:v>TERMINAL</x:v>
      </x:c>
      <x:c r="G37" s="47"/>
      <x:c r="H37" s="47"/>
      <x:c r="I37" s="47"/>
      <x:c r="J37" s="47"/>
      <x:c r="K37" s="47"/>
      <x:c r="L37" s="47"/>
      <x:c r="M37" s="47"/>
      <x:c r="N37" s="47"/>
      <x:c r="O37" s="47"/>
      <x:c r="P37" s="47"/>
      <x:c r="Q37" s="47"/>
      <x:c r="R37" s="47"/>
      <x:c r="S37" s="47"/>
      <x:c r="T37" s="47"/>
      <x:c r="U37" s="47"/>
      <x:c r="V37" s="47"/>
      <x:c r="W37" s="47"/>
      <x:c r="X37" s="47"/>
      <x:c r="Y37" s="47"/>
      <x:c r="Z37" s="47"/>
    </x:row>
    <x:row r="38">
      <x:c r="C38" s="9" t="str">
        <x:v>AU-G-32</x:v>
      </x:c>
      <x:c r="D38" s="9" t="str">
        <x:v>All proof contracts blocked</x:v>
      </x:c>
      <x:c r="E38" s="9" t="str">
        <x:f>IF(COUNTIFS('System Barriers'!J7:J12,"BLOCKED")=6,"PASS","FAIL")</x:f>
        <x:v>PASS</x:v>
      </x:c>
      <x:c r="F38" s="9" t="str">
        <x:v>TERMINAL</x:v>
      </x:c>
      <x:c r="G38" s="47"/>
      <x:c r="H38" s="47"/>
      <x:c r="I38" s="47"/>
      <x:c r="J38" s="47"/>
      <x:c r="K38" s="47"/>
      <x:c r="L38" s="47"/>
      <x:c r="M38" s="47"/>
      <x:c r="N38" s="47"/>
      <x:c r="O38" s="47"/>
      <x:c r="P38" s="47"/>
      <x:c r="Q38" s="47"/>
      <x:c r="R38" s="47"/>
      <x:c r="S38" s="47"/>
      <x:c r="T38" s="47"/>
      <x:c r="U38" s="47"/>
      <x:c r="V38" s="47"/>
      <x:c r="W38" s="47"/>
      <x:c r="X38" s="47"/>
      <x:c r="Y38" s="47"/>
      <x:c r="Z38" s="47"/>
    </x:row>
    <x:row r="39">
      <x:c r="C39" s="9" t="str">
        <x:v>AU-G-33</x:v>
      </x:c>
      <x:c r="D39" s="9" t="str">
        <x:v>Return verdict explicit</x:v>
      </x:c>
      <x:c r="E39" s="9" t="str">
        <x:f>IF('Portfolio Return'!D19="RETURN","PASS","FAIL")</x:f>
        <x:v>PASS</x:v>
      </x:c>
      <x:c r="F39" s="9" t="str">
        <x:v>TERMINAL</x:v>
      </x:c>
      <x:c r="G39" s="47"/>
      <x:c r="H39" s="47"/>
      <x:c r="I39" s="47"/>
      <x:c r="J39" s="47"/>
      <x:c r="K39" s="47"/>
      <x:c r="L39" s="47"/>
      <x:c r="M39" s="47"/>
      <x:c r="N39" s="47"/>
      <x:c r="O39" s="47"/>
      <x:c r="P39" s="47"/>
      <x:c r="Q39" s="47"/>
      <x:c r="R39" s="47"/>
      <x:c r="S39" s="47"/>
      <x:c r="T39" s="47"/>
      <x:c r="U39" s="47"/>
      <x:c r="V39" s="47"/>
      <x:c r="W39" s="47"/>
      <x:c r="X39" s="47"/>
      <x:c r="Y39" s="47"/>
      <x:c r="Z39" s="47"/>
    </x:row>
    <x:row r="40">
      <x:c r="C40" s="9" t="str">
        <x:v>AU-R-1-01</x:v>
      </x:c>
      <x:c r="D40" s="9" t="str">
        <x:v>MS-ET|A appears once</x:v>
      </x:c>
      <x:c r="E40" s="9" t="str">
        <x:f>IF(COUNTIFS('Campaign Cohorts'!$C$7:$C$26,'Campaign Cohorts'!C7)=1,"PASS","FAIL")</x:f>
        <x:v>PASS</x:v>
      </x:c>
      <x:c r="F40" s="9" t="str">
        <x:v>TERMINAL</x:v>
      </x:c>
      <x:c r="G40" s="47"/>
      <x:c r="H40" s="47"/>
      <x:c r="I40" s="47"/>
      <x:c r="J40" s="47"/>
      <x:c r="K40" s="47"/>
      <x:c r="L40" s="47"/>
      <x:c r="M40" s="47"/>
      <x:c r="N40" s="47"/>
      <x:c r="O40" s="47"/>
      <x:c r="P40" s="47"/>
      <x:c r="Q40" s="47"/>
      <x:c r="R40" s="47"/>
      <x:c r="S40" s="47"/>
      <x:c r="T40" s="47"/>
      <x:c r="U40" s="47"/>
      <x:c r="V40" s="47"/>
      <x:c r="W40" s="47"/>
      <x:c r="X40" s="47"/>
      <x:c r="Y40" s="47"/>
      <x:c r="Z40" s="47"/>
    </x:row>
    <x:row r="41">
      <x:c r="C41" s="9" t="str">
        <x:v>AU-R-1-02</x:v>
      </x:c>
      <x:c r="D41" s="9" t="str">
        <x:v>MS-ET|A has three assignments</x:v>
      </x:c>
      <x:c r="E41" s="9" t="str">
        <x:f>IF(COUNTIFS('Lane Assignments'!$D$7:$D$66,'Campaign Cohorts'!C7)=3,"PASS","FAIL")</x:f>
        <x:v>PASS</x:v>
      </x:c>
      <x:c r="F41" s="9" t="str">
        <x:v>TERMINAL</x:v>
      </x:c>
      <x:c r="G41" s="47"/>
      <x:c r="H41" s="47"/>
      <x:c r="I41" s="47"/>
      <x:c r="J41" s="47"/>
      <x:c r="K41" s="47"/>
      <x:c r="L41" s="47"/>
      <x:c r="M41" s="47"/>
      <x:c r="N41" s="47"/>
      <x:c r="O41" s="47"/>
      <x:c r="P41" s="47"/>
      <x:c r="Q41" s="47"/>
      <x:c r="R41" s="47"/>
      <x:c r="S41" s="47"/>
      <x:c r="T41" s="47"/>
      <x:c r="U41" s="47"/>
      <x:c r="V41" s="47"/>
      <x:c r="W41" s="47"/>
      <x:c r="X41" s="47"/>
      <x:c r="Y41" s="47"/>
      <x:c r="Z41" s="47"/>
    </x:row>
    <x:row r="42">
      <x:c r="C42" s="9" t="str">
        <x:v>AU-R-1-03</x:v>
      </x:c>
      <x:c r="D42" s="9" t="str">
        <x:v>MS-ET|A has challenge</x:v>
      </x:c>
      <x:c r="E42" s="9" t="str">
        <x:f>IF(COUNTIFS('Lane Assignments'!$D$7:$D$66,'Campaign Cohorts'!C7,'Lane Assignments'!$F$7:$F$66,"Challenge")=1,"PASS","FAIL")</x:f>
        <x:v>PASS</x:v>
      </x:c>
      <x:c r="F42" s="9" t="str">
        <x:v>TERMINAL</x:v>
      </x:c>
      <x:c r="G42" s="47"/>
      <x:c r="H42" s="47"/>
      <x:c r="I42" s="47"/>
      <x:c r="J42" s="47"/>
      <x:c r="K42" s="47"/>
      <x:c r="L42" s="47"/>
      <x:c r="M42" s="47"/>
      <x:c r="N42" s="47"/>
      <x:c r="O42" s="47"/>
      <x:c r="P42" s="47"/>
      <x:c r="Q42" s="47"/>
      <x:c r="R42" s="47"/>
      <x:c r="S42" s="47"/>
      <x:c r="T42" s="47"/>
      <x:c r="U42" s="47"/>
      <x:c r="V42" s="47"/>
      <x:c r="W42" s="47"/>
      <x:c r="X42" s="47"/>
      <x:c r="Y42" s="47"/>
      <x:c r="Z42" s="47"/>
    </x:row>
    <x:row r="43">
      <x:c r="C43" s="9" t="str">
        <x:v>AU-R-1-04</x:v>
      </x:c>
      <x:c r="D43" s="9" t="str">
        <x:v>MS-ET|A has control</x:v>
      </x:c>
      <x:c r="E43" s="9" t="str">
        <x:f>IF(COUNTIFS('Lane Assignments'!$D$7:$D$66,'Campaign Cohorts'!C7,'Lane Assignments'!$F$7:$F$66,"Matched control")=1,"PASS","FAIL")</x:f>
        <x:v>PASS</x:v>
      </x:c>
      <x:c r="F43" s="9" t="str">
        <x:v>TERMINAL</x:v>
      </x:c>
      <x:c r="G43" s="47"/>
      <x:c r="H43" s="47"/>
      <x:c r="I43" s="47"/>
      <x:c r="J43" s="47"/>
      <x:c r="K43" s="47"/>
      <x:c r="L43" s="47"/>
      <x:c r="M43" s="47"/>
      <x:c r="N43" s="47"/>
      <x:c r="O43" s="47"/>
      <x:c r="P43" s="47"/>
      <x:c r="Q43" s="47"/>
      <x:c r="R43" s="47"/>
      <x:c r="S43" s="47"/>
      <x:c r="T43" s="47"/>
      <x:c r="U43" s="47"/>
      <x:c r="V43" s="47"/>
      <x:c r="W43" s="47"/>
      <x:c r="X43" s="47"/>
      <x:c r="Y43" s="47"/>
      <x:c r="Z43" s="47"/>
    </x:row>
    <x:row r="44">
      <x:c r="C44" s="9" t="str">
        <x:v>AU-R-1-05</x:v>
      </x:c>
      <x:c r="D44" s="9" t="str">
        <x:v>MS-ET|A has reproduction</x:v>
      </x:c>
      <x:c r="E44" s="9" t="str">
        <x:f>IF(COUNTIFS('Lane Assignments'!$D$7:$D$66,'Campaign Cohorts'!C7,'Lane Assignments'!$F$7:$F$66,"Cold reproduction")=1,"PASS","FAIL")</x:f>
        <x:v>PASS</x:v>
      </x:c>
      <x:c r="F44" s="9" t="str">
        <x:v>TERMINAL</x:v>
      </x:c>
      <x:c r="G44" s="47"/>
      <x:c r="H44" s="47"/>
      <x:c r="I44" s="47"/>
      <x:c r="J44" s="47"/>
      <x:c r="K44" s="47"/>
      <x:c r="L44" s="47"/>
      <x:c r="M44" s="47"/>
      <x:c r="N44" s="47"/>
      <x:c r="O44" s="47"/>
      <x:c r="P44" s="47"/>
      <x:c r="Q44" s="47"/>
      <x:c r="R44" s="47"/>
      <x:c r="S44" s="47"/>
      <x:c r="T44" s="47"/>
      <x:c r="U44" s="47"/>
      <x:c r="V44" s="47"/>
      <x:c r="W44" s="47"/>
      <x:c r="X44" s="47"/>
      <x:c r="Y44" s="47"/>
      <x:c r="Z44" s="47"/>
    </x:row>
    <x:row r="45">
      <x:c r="C45" s="9" t="str">
        <x:v>AU-R-1-06</x:v>
      </x:c>
      <x:c r="D45" s="9" t="str">
        <x:v>MS-ET|A has three stage gates</x:v>
      </x:c>
      <x:c r="E45" s="9" t="str">
        <x:f>IF(COUNTIFS('Stage Releases'!$D$7:$D$66,'Disposition Pipeline'!C7)=3,"PASS","FAIL")</x:f>
        <x:v>PASS</x:v>
      </x:c>
      <x:c r="F45" s="9" t="str">
        <x:v>TERMINAL</x:v>
      </x:c>
      <x:c r="G45" s="47"/>
      <x:c r="H45" s="47"/>
      <x:c r="I45" s="47"/>
      <x:c r="J45" s="47"/>
      <x:c r="K45" s="47"/>
      <x:c r="L45" s="47"/>
      <x:c r="M45" s="47"/>
      <x:c r="N45" s="47"/>
      <x:c r="O45" s="47"/>
      <x:c r="P45" s="47"/>
      <x:c r="Q45" s="47"/>
      <x:c r="R45" s="47"/>
      <x:c r="S45" s="47"/>
      <x:c r="T45" s="47"/>
      <x:c r="U45" s="47"/>
      <x:c r="V45" s="47"/>
      <x:c r="W45" s="47"/>
      <x:c r="X45" s="47"/>
      <x:c r="Y45" s="47"/>
      <x:c r="Z45" s="47"/>
    </x:row>
    <x:row r="46">
      <x:c r="C46" s="9" t="str">
        <x:v>AU-R-2-01</x:v>
      </x:c>
      <x:c r="D46" s="9" t="str">
        <x:v>MS-ET|B appears once</x:v>
      </x:c>
      <x:c r="E46" s="9" t="str">
        <x:f>IF(COUNTIFS('Campaign Cohorts'!$C$7:$C$26,'Campaign Cohorts'!C8)=1,"PASS","FAIL")</x:f>
        <x:v>PASS</x:v>
      </x:c>
      <x:c r="F46" s="9" t="str">
        <x:v>TERMINAL</x:v>
      </x:c>
      <x:c r="G46" s="47"/>
      <x:c r="H46" s="47"/>
      <x:c r="I46" s="47"/>
      <x:c r="J46" s="47"/>
      <x:c r="K46" s="47"/>
      <x:c r="L46" s="47"/>
      <x:c r="M46" s="47"/>
      <x:c r="N46" s="47"/>
      <x:c r="O46" s="47"/>
      <x:c r="P46" s="47"/>
      <x:c r="Q46" s="47"/>
      <x:c r="R46" s="47"/>
      <x:c r="S46" s="47"/>
      <x:c r="T46" s="47"/>
      <x:c r="U46" s="47"/>
      <x:c r="V46" s="47"/>
      <x:c r="W46" s="47"/>
      <x:c r="X46" s="47"/>
      <x:c r="Y46" s="47"/>
      <x:c r="Z46" s="47"/>
    </x:row>
    <x:row r="47">
      <x:c r="C47" s="9" t="str">
        <x:v>AU-R-2-02</x:v>
      </x:c>
      <x:c r="D47" s="9" t="str">
        <x:v>MS-ET|B has three assignments</x:v>
      </x:c>
      <x:c r="E47" s="9" t="str">
        <x:f>IF(COUNTIFS('Lane Assignments'!$D$7:$D$66,'Campaign Cohorts'!C8)=3,"PASS","FAIL")</x:f>
        <x:v>PASS</x:v>
      </x:c>
      <x:c r="F47" s="9" t="str">
        <x:v>TERMINAL</x:v>
      </x:c>
      <x:c r="G47" s="47"/>
      <x:c r="H47" s="47"/>
      <x:c r="I47" s="47"/>
      <x:c r="J47" s="47"/>
      <x:c r="K47" s="47"/>
      <x:c r="L47" s="47"/>
      <x:c r="M47" s="47"/>
      <x:c r="N47" s="47"/>
      <x:c r="O47" s="47"/>
      <x:c r="P47" s="47"/>
      <x:c r="Q47" s="47"/>
      <x:c r="R47" s="47"/>
      <x:c r="S47" s="47"/>
      <x:c r="T47" s="47"/>
      <x:c r="U47" s="47"/>
      <x:c r="V47" s="47"/>
      <x:c r="W47" s="47"/>
      <x:c r="X47" s="47"/>
      <x:c r="Y47" s="47"/>
      <x:c r="Z47" s="47"/>
    </x:row>
    <x:row r="48">
      <x:c r="C48" s="9" t="str">
        <x:v>AU-R-2-03</x:v>
      </x:c>
      <x:c r="D48" s="9" t="str">
        <x:v>MS-ET|B has challenge</x:v>
      </x:c>
      <x:c r="E48" s="9" t="str">
        <x:f>IF(COUNTIFS('Lane Assignments'!$D$7:$D$66,'Campaign Cohorts'!C8,'Lane Assignments'!$F$7:$F$66,"Challenge")=1,"PASS","FAIL")</x:f>
        <x:v>PASS</x:v>
      </x:c>
      <x:c r="F48" s="9" t="str">
        <x:v>TERMINAL</x:v>
      </x:c>
      <x:c r="G48" s="47"/>
      <x:c r="H48" s="47"/>
      <x:c r="I48" s="47"/>
      <x:c r="J48" s="47"/>
      <x:c r="K48" s="47"/>
      <x:c r="L48" s="47"/>
      <x:c r="M48" s="47"/>
      <x:c r="N48" s="47"/>
      <x:c r="O48" s="47"/>
      <x:c r="P48" s="47"/>
      <x:c r="Q48" s="47"/>
      <x:c r="R48" s="47"/>
      <x:c r="S48" s="47"/>
      <x:c r="T48" s="47"/>
      <x:c r="U48" s="47"/>
      <x:c r="V48" s="47"/>
      <x:c r="W48" s="47"/>
      <x:c r="X48" s="47"/>
      <x:c r="Y48" s="47"/>
      <x:c r="Z48" s="47"/>
    </x:row>
    <x:row r="49">
      <x:c r="C49" s="9" t="str">
        <x:v>AU-R-2-04</x:v>
      </x:c>
      <x:c r="D49" s="9" t="str">
        <x:v>MS-ET|B has control</x:v>
      </x:c>
      <x:c r="E49" s="9" t="str">
        <x:f>IF(COUNTIFS('Lane Assignments'!$D$7:$D$66,'Campaign Cohorts'!C8,'Lane Assignments'!$F$7:$F$66,"Matched control")=1,"PASS","FAIL")</x:f>
        <x:v>PASS</x:v>
      </x:c>
      <x:c r="F49" s="9" t="str">
        <x:v>TERMINAL</x:v>
      </x:c>
      <x:c r="G49" s="47"/>
      <x:c r="H49" s="47"/>
      <x:c r="I49" s="47"/>
      <x:c r="J49" s="47"/>
      <x:c r="K49" s="47"/>
      <x:c r="L49" s="47"/>
      <x:c r="M49" s="47"/>
      <x:c r="N49" s="47"/>
      <x:c r="O49" s="47"/>
      <x:c r="P49" s="47"/>
      <x:c r="Q49" s="47"/>
      <x:c r="R49" s="47"/>
      <x:c r="S49" s="47"/>
      <x:c r="T49" s="47"/>
      <x:c r="U49" s="47"/>
      <x:c r="V49" s="47"/>
      <x:c r="W49" s="47"/>
      <x:c r="X49" s="47"/>
      <x:c r="Y49" s="47"/>
      <x:c r="Z49" s="47"/>
    </x:row>
    <x:row r="50">
      <x:c r="C50" s="9" t="str">
        <x:v>AU-R-2-05</x:v>
      </x:c>
      <x:c r="D50" s="9" t="str">
        <x:v>MS-ET|B has reproduction</x:v>
      </x:c>
      <x:c r="E50" s="9" t="str">
        <x:f>IF(COUNTIFS('Lane Assignments'!$D$7:$D$66,'Campaign Cohorts'!C8,'Lane Assignments'!$F$7:$F$66,"Cold reproduction")=1,"PASS","FAIL")</x:f>
        <x:v>PASS</x:v>
      </x:c>
      <x:c r="F50" s="9" t="str">
        <x:v>TERMINAL</x:v>
      </x:c>
      <x:c r="G50" s="47"/>
      <x:c r="H50" s="47"/>
      <x:c r="I50" s="47"/>
      <x:c r="J50" s="47"/>
      <x:c r="K50" s="47"/>
      <x:c r="L50" s="47"/>
      <x:c r="M50" s="47"/>
      <x:c r="N50" s="47"/>
      <x:c r="O50" s="47"/>
      <x:c r="P50" s="47"/>
      <x:c r="Q50" s="47"/>
      <x:c r="R50" s="47"/>
      <x:c r="S50" s="47"/>
      <x:c r="T50" s="47"/>
      <x:c r="U50" s="47"/>
      <x:c r="V50" s="47"/>
      <x:c r="W50" s="47"/>
      <x:c r="X50" s="47"/>
      <x:c r="Y50" s="47"/>
      <x:c r="Z50" s="47"/>
    </x:row>
    <x:row r="51">
      <x:c r="C51" s="9" t="str">
        <x:v>AU-R-2-06</x:v>
      </x:c>
      <x:c r="D51" s="9" t="str">
        <x:v>MS-ET|B has three stage gates</x:v>
      </x:c>
      <x:c r="E51" s="9" t="str">
        <x:f>IF(COUNTIFS('Stage Releases'!$D$7:$D$66,'Disposition Pipeline'!C8)=3,"PASS","FAIL")</x:f>
        <x:v>PASS</x:v>
      </x:c>
      <x:c r="F51" s="9" t="str">
        <x:v>TERMINAL</x:v>
      </x:c>
      <x:c r="G51" s="47"/>
      <x:c r="H51" s="47"/>
      <x:c r="I51" s="47"/>
      <x:c r="J51" s="47"/>
      <x:c r="K51" s="47"/>
      <x:c r="L51" s="47"/>
      <x:c r="M51" s="47"/>
      <x:c r="N51" s="47"/>
      <x:c r="O51" s="47"/>
      <x:c r="P51" s="47"/>
      <x:c r="Q51" s="47"/>
      <x:c r="R51" s="47"/>
      <x:c r="S51" s="47"/>
      <x:c r="T51" s="47"/>
      <x:c r="U51" s="47"/>
      <x:c r="V51" s="47"/>
      <x:c r="W51" s="47"/>
      <x:c r="X51" s="47"/>
      <x:c r="Y51" s="47"/>
      <x:c r="Z51" s="47"/>
    </x:row>
    <x:row r="52">
      <x:c r="C52" s="9" t="str">
        <x:v>AU-R-3-01</x:v>
      </x:c>
      <x:c r="D52" s="9" t="str">
        <x:v>MS-ET|C appears once</x:v>
      </x:c>
      <x:c r="E52" s="9" t="str">
        <x:f>IF(COUNTIFS('Campaign Cohorts'!$C$7:$C$26,'Campaign Cohorts'!C9)=1,"PASS","FAIL")</x:f>
        <x:v>PASS</x:v>
      </x:c>
      <x:c r="F52" s="9" t="str">
        <x:v>TERMINAL</x:v>
      </x:c>
      <x:c r="G52" s="47"/>
      <x:c r="H52" s="47"/>
      <x:c r="I52" s="47"/>
      <x:c r="J52" s="47"/>
      <x:c r="K52" s="47"/>
      <x:c r="L52" s="47"/>
      <x:c r="M52" s="47"/>
      <x:c r="N52" s="47"/>
      <x:c r="O52" s="47"/>
      <x:c r="P52" s="47"/>
      <x:c r="Q52" s="47"/>
      <x:c r="R52" s="47"/>
      <x:c r="S52" s="47"/>
      <x:c r="T52" s="47"/>
      <x:c r="U52" s="47"/>
      <x:c r="V52" s="47"/>
      <x:c r="W52" s="47"/>
      <x:c r="X52" s="47"/>
      <x:c r="Y52" s="47"/>
      <x:c r="Z52" s="47"/>
    </x:row>
    <x:row r="53">
      <x:c r="C53" s="9" t="str">
        <x:v>AU-R-3-02</x:v>
      </x:c>
      <x:c r="D53" s="9" t="str">
        <x:v>MS-ET|C has three assignments</x:v>
      </x:c>
      <x:c r="E53" s="9" t="str">
        <x:f>IF(COUNTIFS('Lane Assignments'!$D$7:$D$66,'Campaign Cohorts'!C9)=3,"PASS","FAIL")</x:f>
        <x:v>PASS</x:v>
      </x:c>
      <x:c r="F53" s="9" t="str">
        <x:v>TERMINAL</x:v>
      </x:c>
      <x:c r="G53" s="47"/>
      <x:c r="H53" s="47"/>
      <x:c r="I53" s="47"/>
      <x:c r="J53" s="47"/>
      <x:c r="K53" s="47"/>
      <x:c r="L53" s="47"/>
      <x:c r="M53" s="47"/>
      <x:c r="N53" s="47"/>
      <x:c r="O53" s="47"/>
      <x:c r="P53" s="47"/>
      <x:c r="Q53" s="47"/>
      <x:c r="R53" s="47"/>
      <x:c r="S53" s="47"/>
      <x:c r="T53" s="47"/>
      <x:c r="U53" s="47"/>
      <x:c r="V53" s="47"/>
      <x:c r="W53" s="47"/>
      <x:c r="X53" s="47"/>
      <x:c r="Y53" s="47"/>
      <x:c r="Z53" s="47"/>
    </x:row>
    <x:row r="54">
      <x:c r="C54" s="9" t="str">
        <x:v>AU-R-3-03</x:v>
      </x:c>
      <x:c r="D54" s="9" t="str">
        <x:v>MS-ET|C has challenge</x:v>
      </x:c>
      <x:c r="E54" s="9" t="str">
        <x:f>IF(COUNTIFS('Lane Assignments'!$D$7:$D$66,'Campaign Cohorts'!C9,'Lane Assignments'!$F$7:$F$66,"Challenge")=1,"PASS","FAIL")</x:f>
        <x:v>PASS</x:v>
      </x:c>
      <x:c r="F54" s="9" t="str">
        <x:v>TERMINAL</x:v>
      </x:c>
      <x:c r="G54" s="47"/>
      <x:c r="H54" s="47"/>
      <x:c r="I54" s="47"/>
      <x:c r="J54" s="47"/>
      <x:c r="K54" s="47"/>
      <x:c r="L54" s="47"/>
      <x:c r="M54" s="47"/>
      <x:c r="N54" s="47"/>
      <x:c r="O54" s="47"/>
      <x:c r="P54" s="47"/>
      <x:c r="Q54" s="47"/>
      <x:c r="R54" s="47"/>
      <x:c r="S54" s="47"/>
      <x:c r="T54" s="47"/>
      <x:c r="U54" s="47"/>
      <x:c r="V54" s="47"/>
      <x:c r="W54" s="47"/>
      <x:c r="X54" s="47"/>
      <x:c r="Y54" s="47"/>
      <x:c r="Z54" s="47"/>
    </x:row>
    <x:row r="55">
      <x:c r="C55" s="9" t="str">
        <x:v>AU-R-3-04</x:v>
      </x:c>
      <x:c r="D55" s="9" t="str">
        <x:v>MS-ET|C has control</x:v>
      </x:c>
      <x:c r="E55" s="9" t="str">
        <x:f>IF(COUNTIFS('Lane Assignments'!$D$7:$D$66,'Campaign Cohorts'!C9,'Lane Assignments'!$F$7:$F$66,"Matched control")=1,"PASS","FAIL")</x:f>
        <x:v>PASS</x:v>
      </x:c>
      <x:c r="F55" s="9" t="str">
        <x:v>TERMINAL</x:v>
      </x:c>
      <x:c r="G55" s="47"/>
      <x:c r="H55" s="47"/>
      <x:c r="I55" s="47"/>
      <x:c r="J55" s="47"/>
      <x:c r="K55" s="47"/>
      <x:c r="L55" s="47"/>
      <x:c r="M55" s="47"/>
      <x:c r="N55" s="47"/>
      <x:c r="O55" s="47"/>
      <x:c r="P55" s="47"/>
      <x:c r="Q55" s="47"/>
      <x:c r="R55" s="47"/>
      <x:c r="S55" s="47"/>
      <x:c r="T55" s="47"/>
      <x:c r="U55" s="47"/>
      <x:c r="V55" s="47"/>
      <x:c r="W55" s="47"/>
      <x:c r="X55" s="47"/>
      <x:c r="Y55" s="47"/>
      <x:c r="Z55" s="47"/>
    </x:row>
    <x:row r="56">
      <x:c r="C56" s="9" t="str">
        <x:v>AU-R-3-05</x:v>
      </x:c>
      <x:c r="D56" s="9" t="str">
        <x:v>MS-ET|C has reproduction</x:v>
      </x:c>
      <x:c r="E56" s="9" t="str">
        <x:f>IF(COUNTIFS('Lane Assignments'!$D$7:$D$66,'Campaign Cohorts'!C9,'Lane Assignments'!$F$7:$F$66,"Cold reproduction")=1,"PASS","FAIL")</x:f>
        <x:v>PASS</x:v>
      </x:c>
      <x:c r="F56" s="9" t="str">
        <x:v>TERMINAL</x:v>
      </x:c>
      <x:c r="G56" s="47"/>
      <x:c r="H56" s="47"/>
      <x:c r="I56" s="47"/>
      <x:c r="J56" s="47"/>
      <x:c r="K56" s="47"/>
      <x:c r="L56" s="47"/>
      <x:c r="M56" s="47"/>
      <x:c r="N56" s="47"/>
      <x:c r="O56" s="47"/>
      <x:c r="P56" s="47"/>
      <x:c r="Q56" s="47"/>
      <x:c r="R56" s="47"/>
      <x:c r="S56" s="47"/>
      <x:c r="T56" s="47"/>
      <x:c r="U56" s="47"/>
      <x:c r="V56" s="47"/>
      <x:c r="W56" s="47"/>
      <x:c r="X56" s="47"/>
      <x:c r="Y56" s="47"/>
      <x:c r="Z56" s="47"/>
    </x:row>
    <x:row r="57">
      <x:c r="C57" s="9" t="str">
        <x:v>AU-R-3-06</x:v>
      </x:c>
      <x:c r="D57" s="9" t="str">
        <x:v>MS-ET|C has three stage gates</x:v>
      </x:c>
      <x:c r="E57" s="9" t="str">
        <x:f>IF(COUNTIFS('Stage Releases'!$D$7:$D$66,'Disposition Pipeline'!C9)=3,"PASS","FAIL")</x:f>
        <x:v>PASS</x:v>
      </x:c>
      <x:c r="F57" s="9" t="str">
        <x:v>TERMINAL</x:v>
      </x:c>
      <x:c r="G57" s="47"/>
      <x:c r="H57" s="47"/>
      <x:c r="I57" s="47"/>
      <x:c r="J57" s="47"/>
      <x:c r="K57" s="47"/>
      <x:c r="L57" s="47"/>
      <x:c r="M57" s="47"/>
      <x:c r="N57" s="47"/>
      <x:c r="O57" s="47"/>
      <x:c r="P57" s="47"/>
      <x:c r="Q57" s="47"/>
      <x:c r="R57" s="47"/>
      <x:c r="S57" s="47"/>
      <x:c r="T57" s="47"/>
      <x:c r="U57" s="47"/>
      <x:c r="V57" s="47"/>
      <x:c r="W57" s="47"/>
      <x:c r="X57" s="47"/>
      <x:c r="Y57" s="47"/>
      <x:c r="Z57" s="47"/>
    </x:row>
    <x:row r="58">
      <x:c r="C58" s="9" t="str">
        <x:v>AU-R-4-01</x:v>
      </x:c>
      <x:c r="D58" s="9" t="str">
        <x:v>MS-ET|D appears once</x:v>
      </x:c>
      <x:c r="E58" s="9" t="str">
        <x:f>IF(COUNTIFS('Campaign Cohorts'!$C$7:$C$26,'Campaign Cohorts'!C10)=1,"PASS","FAIL")</x:f>
        <x:v>PASS</x:v>
      </x:c>
      <x:c r="F58" s="9" t="str">
        <x:v>TERMINAL</x:v>
      </x:c>
      <x:c r="G58" s="47"/>
      <x:c r="H58" s="47"/>
      <x:c r="I58" s="47"/>
      <x:c r="J58" s="47"/>
      <x:c r="K58" s="47"/>
      <x:c r="L58" s="47"/>
      <x:c r="M58" s="47"/>
      <x:c r="N58" s="47"/>
      <x:c r="O58" s="47"/>
      <x:c r="P58" s="47"/>
      <x:c r="Q58" s="47"/>
      <x:c r="R58" s="47"/>
      <x:c r="S58" s="47"/>
      <x:c r="T58" s="47"/>
      <x:c r="U58" s="47"/>
      <x:c r="V58" s="47"/>
      <x:c r="W58" s="47"/>
      <x:c r="X58" s="47"/>
      <x:c r="Y58" s="47"/>
      <x:c r="Z58" s="47"/>
    </x:row>
    <x:row r="59">
      <x:c r="C59" s="9" t="str">
        <x:v>AU-R-4-02</x:v>
      </x:c>
      <x:c r="D59" s="9" t="str">
        <x:v>MS-ET|D has three assignments</x:v>
      </x:c>
      <x:c r="E59" s="9" t="str">
        <x:f>IF(COUNTIFS('Lane Assignments'!$D$7:$D$66,'Campaign Cohorts'!C10)=3,"PASS","FAIL")</x:f>
        <x:v>PASS</x:v>
      </x:c>
      <x:c r="F59" s="9" t="str">
        <x:v>TERMINAL</x:v>
      </x:c>
      <x:c r="G59" s="47"/>
      <x:c r="H59" s="47"/>
      <x:c r="I59" s="47"/>
      <x:c r="J59" s="47"/>
      <x:c r="K59" s="47"/>
      <x:c r="L59" s="47"/>
      <x:c r="M59" s="47"/>
      <x:c r="N59" s="47"/>
      <x:c r="O59" s="47"/>
      <x:c r="P59" s="47"/>
      <x:c r="Q59" s="47"/>
      <x:c r="R59" s="47"/>
      <x:c r="S59" s="47"/>
      <x:c r="T59" s="47"/>
      <x:c r="U59" s="47"/>
      <x:c r="V59" s="47"/>
      <x:c r="W59" s="47"/>
      <x:c r="X59" s="47"/>
      <x:c r="Y59" s="47"/>
      <x:c r="Z59" s="47"/>
    </x:row>
    <x:row r="60">
      <x:c r="C60" s="9" t="str">
        <x:v>AU-R-4-03</x:v>
      </x:c>
      <x:c r="D60" s="9" t="str">
        <x:v>MS-ET|D has challenge</x:v>
      </x:c>
      <x:c r="E60" s="9" t="str">
        <x:f>IF(COUNTIFS('Lane Assignments'!$D$7:$D$66,'Campaign Cohorts'!C10,'Lane Assignments'!$F$7:$F$66,"Challenge")=1,"PASS","FAIL")</x:f>
        <x:v>PASS</x:v>
      </x:c>
      <x:c r="F60" s="9" t="str">
        <x:v>TERMINAL</x:v>
      </x:c>
      <x:c r="G60" s="47"/>
      <x:c r="H60" s="47"/>
      <x:c r="I60" s="47"/>
      <x:c r="J60" s="47"/>
      <x:c r="K60" s="47"/>
      <x:c r="L60" s="47"/>
      <x:c r="M60" s="47"/>
      <x:c r="N60" s="47"/>
      <x:c r="O60" s="47"/>
      <x:c r="P60" s="47"/>
      <x:c r="Q60" s="47"/>
      <x:c r="R60" s="47"/>
      <x:c r="S60" s="47"/>
      <x:c r="T60" s="47"/>
      <x:c r="U60" s="47"/>
      <x:c r="V60" s="47"/>
      <x:c r="W60" s="47"/>
      <x:c r="X60" s="47"/>
      <x:c r="Y60" s="47"/>
      <x:c r="Z60" s="47"/>
    </x:row>
    <x:row r="61">
      <x:c r="C61" s="9" t="str">
        <x:v>AU-R-4-04</x:v>
      </x:c>
      <x:c r="D61" s="9" t="str">
        <x:v>MS-ET|D has control</x:v>
      </x:c>
      <x:c r="E61" s="9" t="str">
        <x:f>IF(COUNTIFS('Lane Assignments'!$D$7:$D$66,'Campaign Cohorts'!C10,'Lane Assignments'!$F$7:$F$66,"Matched control")=1,"PASS","FAIL")</x:f>
        <x:v>PASS</x:v>
      </x:c>
      <x:c r="F61" s="9" t="str">
        <x:v>TERMINAL</x:v>
      </x:c>
      <x:c r="G61" s="47"/>
      <x:c r="H61" s="47"/>
      <x:c r="I61" s="47"/>
      <x:c r="J61" s="47"/>
      <x:c r="K61" s="47"/>
      <x:c r="L61" s="47"/>
      <x:c r="M61" s="47"/>
      <x:c r="N61" s="47"/>
      <x:c r="O61" s="47"/>
      <x:c r="P61" s="47"/>
      <x:c r="Q61" s="47"/>
      <x:c r="R61" s="47"/>
      <x:c r="S61" s="47"/>
      <x:c r="T61" s="47"/>
      <x:c r="U61" s="47"/>
      <x:c r="V61" s="47"/>
      <x:c r="W61" s="47"/>
      <x:c r="X61" s="47"/>
      <x:c r="Y61" s="47"/>
      <x:c r="Z61" s="47"/>
    </x:row>
    <x:row r="62">
      <x:c r="C62" s="9" t="str">
        <x:v>AU-R-4-05</x:v>
      </x:c>
      <x:c r="D62" s="9" t="str">
        <x:v>MS-ET|D has reproduction</x:v>
      </x:c>
      <x:c r="E62" s="9" t="str">
        <x:f>IF(COUNTIFS('Lane Assignments'!$D$7:$D$66,'Campaign Cohorts'!C10,'Lane Assignments'!$F$7:$F$66,"Cold reproduction")=1,"PASS","FAIL")</x:f>
        <x:v>PASS</x:v>
      </x:c>
      <x:c r="F62" s="9" t="str">
        <x:v>TERMINAL</x:v>
      </x:c>
      <x:c r="G62" s="47"/>
      <x:c r="H62" s="47"/>
      <x:c r="I62" s="47"/>
      <x:c r="J62" s="47"/>
      <x:c r="K62" s="47"/>
      <x:c r="L62" s="47"/>
      <x:c r="M62" s="47"/>
      <x:c r="N62" s="47"/>
      <x:c r="O62" s="47"/>
      <x:c r="P62" s="47"/>
      <x:c r="Q62" s="47"/>
      <x:c r="R62" s="47"/>
      <x:c r="S62" s="47"/>
      <x:c r="T62" s="47"/>
      <x:c r="U62" s="47"/>
      <x:c r="V62" s="47"/>
      <x:c r="W62" s="47"/>
      <x:c r="X62" s="47"/>
      <x:c r="Y62" s="47"/>
      <x:c r="Z62" s="47"/>
    </x:row>
    <x:row r="63">
      <x:c r="C63" s="9" t="str">
        <x:v>AU-R-4-06</x:v>
      </x:c>
      <x:c r="D63" s="9" t="str">
        <x:v>MS-ET|D has three stage gates</x:v>
      </x:c>
      <x:c r="E63" s="9" t="str">
        <x:f>IF(COUNTIFS('Stage Releases'!$D$7:$D$66,'Disposition Pipeline'!C10)=3,"PASS","FAIL")</x:f>
        <x:v>PASS</x:v>
      </x:c>
      <x:c r="F63" s="9" t="str">
        <x:v>TERMINAL</x:v>
      </x:c>
      <x:c r="G63" s="47"/>
      <x:c r="H63" s="47"/>
      <x:c r="I63" s="47"/>
      <x:c r="J63" s="47"/>
      <x:c r="K63" s="47"/>
      <x:c r="L63" s="47"/>
      <x:c r="M63" s="47"/>
      <x:c r="N63" s="47"/>
      <x:c r="O63" s="47"/>
      <x:c r="P63" s="47"/>
      <x:c r="Q63" s="47"/>
      <x:c r="R63" s="47"/>
      <x:c r="S63" s="47"/>
      <x:c r="T63" s="47"/>
      <x:c r="U63" s="47"/>
      <x:c r="V63" s="47"/>
      <x:c r="W63" s="47"/>
      <x:c r="X63" s="47"/>
      <x:c r="Y63" s="47"/>
      <x:c r="Z63" s="47"/>
    </x:row>
    <x:row r="64">
      <x:c r="C64" s="9" t="str">
        <x:v>AU-R-5-01</x:v>
      </x:c>
      <x:c r="D64" s="9" t="str">
        <x:v>MS-CT|A appears once</x:v>
      </x:c>
      <x:c r="E64" s="9" t="str">
        <x:f>IF(COUNTIFS('Campaign Cohorts'!$C$7:$C$26,'Campaign Cohorts'!C11)=1,"PASS","FAIL")</x:f>
        <x:v>PASS</x:v>
      </x:c>
      <x:c r="F64" s="9" t="str">
        <x:v>TERMINAL</x:v>
      </x:c>
      <x:c r="G64" s="47"/>
      <x:c r="H64" s="47"/>
      <x:c r="I64" s="47"/>
      <x:c r="J64" s="47"/>
      <x:c r="K64" s="47"/>
      <x:c r="L64" s="47"/>
      <x:c r="M64" s="47"/>
      <x:c r="N64" s="47"/>
      <x:c r="O64" s="47"/>
      <x:c r="P64" s="47"/>
      <x:c r="Q64" s="47"/>
      <x:c r="R64" s="47"/>
      <x:c r="S64" s="47"/>
      <x:c r="T64" s="47"/>
      <x:c r="U64" s="47"/>
      <x:c r="V64" s="47"/>
      <x:c r="W64" s="47"/>
      <x:c r="X64" s="47"/>
      <x:c r="Y64" s="47"/>
      <x:c r="Z64" s="47"/>
    </x:row>
    <x:row r="65">
      <x:c r="C65" s="9" t="str">
        <x:v>AU-R-5-02</x:v>
      </x:c>
      <x:c r="D65" s="9" t="str">
        <x:v>MS-CT|A has three assignments</x:v>
      </x:c>
      <x:c r="E65" s="9" t="str">
        <x:f>IF(COUNTIFS('Lane Assignments'!$D$7:$D$66,'Campaign Cohorts'!C11)=3,"PASS","FAIL")</x:f>
        <x:v>PASS</x:v>
      </x:c>
      <x:c r="F65" s="9" t="str">
        <x:v>TERMINAL</x:v>
      </x:c>
      <x:c r="G65" s="47"/>
      <x:c r="H65" s="47"/>
      <x:c r="I65" s="47"/>
      <x:c r="J65" s="47"/>
      <x:c r="K65" s="47"/>
      <x:c r="L65" s="47"/>
      <x:c r="M65" s="47"/>
      <x:c r="N65" s="47"/>
      <x:c r="O65" s="47"/>
      <x:c r="P65" s="47"/>
      <x:c r="Q65" s="47"/>
      <x:c r="R65" s="47"/>
      <x:c r="S65" s="47"/>
      <x:c r="T65" s="47"/>
      <x:c r="U65" s="47"/>
      <x:c r="V65" s="47"/>
      <x:c r="W65" s="47"/>
      <x:c r="X65" s="47"/>
      <x:c r="Y65" s="47"/>
      <x:c r="Z65" s="47"/>
    </x:row>
    <x:row r="66">
      <x:c r="C66" s="9" t="str">
        <x:v>AU-R-5-03</x:v>
      </x:c>
      <x:c r="D66" s="9" t="str">
        <x:v>MS-CT|A has challenge</x:v>
      </x:c>
      <x:c r="E66" s="9" t="str">
        <x:f>IF(COUNTIFS('Lane Assignments'!$D$7:$D$66,'Campaign Cohorts'!C11,'Lane Assignments'!$F$7:$F$66,"Challenge")=1,"PASS","FAIL")</x:f>
        <x:v>PASS</x:v>
      </x:c>
      <x:c r="F66" s="9" t="str">
        <x:v>TERMINAL</x:v>
      </x:c>
      <x:c r="G66" s="47"/>
      <x:c r="H66" s="47"/>
      <x:c r="I66" s="47"/>
      <x:c r="J66" s="47"/>
      <x:c r="K66" s="47"/>
      <x:c r="L66" s="47"/>
      <x:c r="M66" s="47"/>
      <x:c r="N66" s="47"/>
      <x:c r="O66" s="47"/>
      <x:c r="P66" s="47"/>
      <x:c r="Q66" s="47"/>
      <x:c r="R66" s="47"/>
      <x:c r="S66" s="47"/>
      <x:c r="T66" s="47"/>
      <x:c r="U66" s="47"/>
      <x:c r="V66" s="47"/>
      <x:c r="W66" s="47"/>
      <x:c r="X66" s="47"/>
      <x:c r="Y66" s="47"/>
      <x:c r="Z66" s="47"/>
    </x:row>
    <x:row r="67">
      <x:c r="C67" s="9" t="str">
        <x:v>AU-R-5-04</x:v>
      </x:c>
      <x:c r="D67" s="9" t="str">
        <x:v>MS-CT|A has control</x:v>
      </x:c>
      <x:c r="E67" s="9" t="str">
        <x:f>IF(COUNTIFS('Lane Assignments'!$D$7:$D$66,'Campaign Cohorts'!C11,'Lane Assignments'!$F$7:$F$66,"Matched control")=1,"PASS","FAIL")</x:f>
        <x:v>PASS</x:v>
      </x:c>
      <x:c r="F67" s="9" t="str">
        <x:v>TERMINAL</x:v>
      </x:c>
      <x:c r="G67" s="47"/>
      <x:c r="H67" s="47"/>
      <x:c r="I67" s="47"/>
      <x:c r="J67" s="47"/>
      <x:c r="K67" s="47"/>
      <x:c r="L67" s="47"/>
      <x:c r="M67" s="47"/>
      <x:c r="N67" s="47"/>
      <x:c r="O67" s="47"/>
      <x:c r="P67" s="47"/>
      <x:c r="Q67" s="47"/>
      <x:c r="R67" s="47"/>
      <x:c r="S67" s="47"/>
      <x:c r="T67" s="47"/>
      <x:c r="U67" s="47"/>
      <x:c r="V67" s="47"/>
      <x:c r="W67" s="47"/>
      <x:c r="X67" s="47"/>
      <x:c r="Y67" s="47"/>
      <x:c r="Z67" s="47"/>
    </x:row>
    <x:row r="68">
      <x:c r="C68" s="9" t="str">
        <x:v>AU-R-5-05</x:v>
      </x:c>
      <x:c r="D68" s="9" t="str">
        <x:v>MS-CT|A has reproduction</x:v>
      </x:c>
      <x:c r="E68" s="9" t="str">
        <x:f>IF(COUNTIFS('Lane Assignments'!$D$7:$D$66,'Campaign Cohorts'!C11,'Lane Assignments'!$F$7:$F$66,"Cold reproduction")=1,"PASS","FAIL")</x:f>
        <x:v>PASS</x:v>
      </x:c>
      <x:c r="F68" s="9" t="str">
        <x:v>TERMINAL</x:v>
      </x:c>
      <x:c r="G68" s="47"/>
      <x:c r="H68" s="47"/>
      <x:c r="I68" s="47"/>
      <x:c r="J68" s="47"/>
      <x:c r="K68" s="47"/>
      <x:c r="L68" s="47"/>
      <x:c r="M68" s="47"/>
      <x:c r="N68" s="47"/>
      <x:c r="O68" s="47"/>
      <x:c r="P68" s="47"/>
      <x:c r="Q68" s="47"/>
      <x:c r="R68" s="47"/>
      <x:c r="S68" s="47"/>
      <x:c r="T68" s="47"/>
      <x:c r="U68" s="47"/>
      <x:c r="V68" s="47"/>
      <x:c r="W68" s="47"/>
      <x:c r="X68" s="47"/>
      <x:c r="Y68" s="47"/>
      <x:c r="Z68" s="47"/>
    </x:row>
    <x:row r="69">
      <x:c r="C69" s="9" t="str">
        <x:v>AU-R-5-06</x:v>
      </x:c>
      <x:c r="D69" s="9" t="str">
        <x:v>MS-CT|A has three stage gates</x:v>
      </x:c>
      <x:c r="E69" s="9" t="str">
        <x:f>IF(COUNTIFS('Stage Releases'!$D$7:$D$66,'Disposition Pipeline'!C11)=3,"PASS","FAIL")</x:f>
        <x:v>PASS</x:v>
      </x:c>
      <x:c r="F69" s="9" t="str">
        <x:v>TERMINAL</x:v>
      </x:c>
      <x:c r="G69" s="47"/>
      <x:c r="H69" s="47"/>
      <x:c r="I69" s="47"/>
      <x:c r="J69" s="47"/>
      <x:c r="K69" s="47"/>
      <x:c r="L69" s="47"/>
      <x:c r="M69" s="47"/>
      <x:c r="N69" s="47"/>
      <x:c r="O69" s="47"/>
      <x:c r="P69" s="47"/>
      <x:c r="Q69" s="47"/>
      <x:c r="R69" s="47"/>
      <x:c r="S69" s="47"/>
      <x:c r="T69" s="47"/>
      <x:c r="U69" s="47"/>
      <x:c r="V69" s="47"/>
      <x:c r="W69" s="47"/>
      <x:c r="X69" s="47"/>
      <x:c r="Y69" s="47"/>
      <x:c r="Z69" s="47"/>
    </x:row>
    <x:row r="70">
      <x:c r="C70" s="9" t="str">
        <x:v>AU-R-6-01</x:v>
      </x:c>
      <x:c r="D70" s="9" t="str">
        <x:v>MS-CT|B appears once</x:v>
      </x:c>
      <x:c r="E70" s="9" t="str">
        <x:f>IF(COUNTIFS('Campaign Cohorts'!$C$7:$C$26,'Campaign Cohorts'!C12)=1,"PASS","FAIL")</x:f>
        <x:v>PASS</x:v>
      </x:c>
      <x:c r="F70" s="9" t="str">
        <x:v>TERMINAL</x:v>
      </x:c>
      <x:c r="G70" s="47"/>
      <x:c r="H70" s="47"/>
      <x:c r="I70" s="47"/>
      <x:c r="J70" s="47"/>
      <x:c r="K70" s="47"/>
      <x:c r="L70" s="47"/>
      <x:c r="M70" s="47"/>
      <x:c r="N70" s="47"/>
      <x:c r="O70" s="47"/>
      <x:c r="P70" s="47"/>
      <x:c r="Q70" s="47"/>
      <x:c r="R70" s="47"/>
      <x:c r="S70" s="47"/>
      <x:c r="T70" s="47"/>
      <x:c r="U70" s="47"/>
      <x:c r="V70" s="47"/>
      <x:c r="W70" s="47"/>
      <x:c r="X70" s="47"/>
      <x:c r="Y70" s="47"/>
      <x:c r="Z70" s="47"/>
    </x:row>
    <x:row r="71">
      <x:c r="C71" s="9" t="str">
        <x:v>AU-R-6-02</x:v>
      </x:c>
      <x:c r="D71" s="9" t="str">
        <x:v>MS-CT|B has three assignments</x:v>
      </x:c>
      <x:c r="E71" s="9" t="str">
        <x:f>IF(COUNTIFS('Lane Assignments'!$D$7:$D$66,'Campaign Cohorts'!C12)=3,"PASS","FAIL")</x:f>
        <x:v>PASS</x:v>
      </x:c>
      <x:c r="F71" s="9" t="str">
        <x:v>TERMINAL</x:v>
      </x:c>
      <x:c r="G71" s="47"/>
      <x:c r="H71" s="47"/>
      <x:c r="I71" s="47"/>
      <x:c r="J71" s="47"/>
      <x:c r="K71" s="47"/>
      <x:c r="L71" s="47"/>
      <x:c r="M71" s="47"/>
      <x:c r="N71" s="47"/>
      <x:c r="O71" s="47"/>
      <x:c r="P71" s="47"/>
      <x:c r="Q71" s="47"/>
      <x:c r="R71" s="47"/>
      <x:c r="S71" s="47"/>
      <x:c r="T71" s="47"/>
      <x:c r="U71" s="47"/>
      <x:c r="V71" s="47"/>
      <x:c r="W71" s="47"/>
      <x:c r="X71" s="47"/>
      <x:c r="Y71" s="47"/>
      <x:c r="Z71" s="47"/>
    </x:row>
    <x:row r="72">
      <x:c r="C72" s="9" t="str">
        <x:v>AU-R-6-03</x:v>
      </x:c>
      <x:c r="D72" s="9" t="str">
        <x:v>MS-CT|B has challenge</x:v>
      </x:c>
      <x:c r="E72" s="9" t="str">
        <x:f>IF(COUNTIFS('Lane Assignments'!$D$7:$D$66,'Campaign Cohorts'!C12,'Lane Assignments'!$F$7:$F$66,"Challenge")=1,"PASS","FAIL")</x:f>
        <x:v>PASS</x:v>
      </x:c>
      <x:c r="F72" s="9" t="str">
        <x:v>TERMINAL</x:v>
      </x:c>
      <x:c r="G72" s="47"/>
      <x:c r="H72" s="47"/>
      <x:c r="I72" s="47"/>
      <x:c r="J72" s="47"/>
      <x:c r="K72" s="47"/>
      <x:c r="L72" s="47"/>
      <x:c r="M72" s="47"/>
      <x:c r="N72" s="47"/>
      <x:c r="O72" s="47"/>
      <x:c r="P72" s="47"/>
      <x:c r="Q72" s="47"/>
      <x:c r="R72" s="47"/>
      <x:c r="S72" s="47"/>
      <x:c r="T72" s="47"/>
      <x:c r="U72" s="47"/>
      <x:c r="V72" s="47"/>
      <x:c r="W72" s="47"/>
      <x:c r="X72" s="47"/>
      <x:c r="Y72" s="47"/>
      <x:c r="Z72" s="47"/>
    </x:row>
    <x:row r="73">
      <x:c r="C73" s="9" t="str">
        <x:v>AU-R-6-04</x:v>
      </x:c>
      <x:c r="D73" s="9" t="str">
        <x:v>MS-CT|B has control</x:v>
      </x:c>
      <x:c r="E73" s="9" t="str">
        <x:f>IF(COUNTIFS('Lane Assignments'!$D$7:$D$66,'Campaign Cohorts'!C12,'Lane Assignments'!$F$7:$F$66,"Matched control")=1,"PASS","FAIL")</x:f>
        <x:v>PASS</x:v>
      </x:c>
      <x:c r="F73" s="9" t="str">
        <x:v>TERMINAL</x:v>
      </x:c>
      <x:c r="G73" s="47"/>
      <x:c r="H73" s="47"/>
      <x:c r="I73" s="47"/>
      <x:c r="J73" s="47"/>
      <x:c r="K73" s="47"/>
      <x:c r="L73" s="47"/>
      <x:c r="M73" s="47"/>
      <x:c r="N73" s="47"/>
      <x:c r="O73" s="47"/>
      <x:c r="P73" s="47"/>
      <x:c r="Q73" s="47"/>
      <x:c r="R73" s="47"/>
      <x:c r="S73" s="47"/>
      <x:c r="T73" s="47"/>
      <x:c r="U73" s="47"/>
      <x:c r="V73" s="47"/>
      <x:c r="W73" s="47"/>
      <x:c r="X73" s="47"/>
      <x:c r="Y73" s="47"/>
      <x:c r="Z73" s="47"/>
    </x:row>
    <x:row r="74">
      <x:c r="C74" s="9" t="str">
        <x:v>AU-R-6-05</x:v>
      </x:c>
      <x:c r="D74" s="9" t="str">
        <x:v>MS-CT|B has reproduction</x:v>
      </x:c>
      <x:c r="E74" s="9" t="str">
        <x:f>IF(COUNTIFS('Lane Assignments'!$D$7:$D$66,'Campaign Cohorts'!C12,'Lane Assignments'!$F$7:$F$66,"Cold reproduction")=1,"PASS","FAIL")</x:f>
        <x:v>PASS</x:v>
      </x:c>
      <x:c r="F74" s="9" t="str">
        <x:v>TERMINAL</x:v>
      </x:c>
      <x:c r="G74" s="47"/>
      <x:c r="H74" s="47"/>
      <x:c r="I74" s="47"/>
      <x:c r="J74" s="47"/>
      <x:c r="K74" s="47"/>
      <x:c r="L74" s="47"/>
      <x:c r="M74" s="47"/>
      <x:c r="N74" s="47"/>
      <x:c r="O74" s="47"/>
      <x:c r="P74" s="47"/>
      <x:c r="Q74" s="47"/>
      <x:c r="R74" s="47"/>
      <x:c r="S74" s="47"/>
      <x:c r="T74" s="47"/>
      <x:c r="U74" s="47"/>
      <x:c r="V74" s="47"/>
      <x:c r="W74" s="47"/>
      <x:c r="X74" s="47"/>
      <x:c r="Y74" s="47"/>
      <x:c r="Z74" s="47"/>
    </x:row>
    <x:row r="75">
      <x:c r="C75" s="9" t="str">
        <x:v>AU-R-6-06</x:v>
      </x:c>
      <x:c r="D75" s="9" t="str">
        <x:v>MS-CT|B has three stage gates</x:v>
      </x:c>
      <x:c r="E75" s="9" t="str">
        <x:f>IF(COUNTIFS('Stage Releases'!$D$7:$D$66,'Disposition Pipeline'!C12)=3,"PASS","FAIL")</x:f>
        <x:v>PASS</x:v>
      </x:c>
      <x:c r="F75" s="9" t="str">
        <x:v>TERMINAL</x:v>
      </x:c>
      <x:c r="G75" s="47"/>
      <x:c r="H75" s="47"/>
      <x:c r="I75" s="47"/>
      <x:c r="J75" s="47"/>
      <x:c r="K75" s="47"/>
      <x:c r="L75" s="47"/>
      <x:c r="M75" s="47"/>
      <x:c r="N75" s="47"/>
      <x:c r="O75" s="47"/>
      <x:c r="P75" s="47"/>
      <x:c r="Q75" s="47"/>
      <x:c r="R75" s="47"/>
      <x:c r="S75" s="47"/>
      <x:c r="T75" s="47"/>
      <x:c r="U75" s="47"/>
      <x:c r="V75" s="47"/>
      <x:c r="W75" s="47"/>
      <x:c r="X75" s="47"/>
      <x:c r="Y75" s="47"/>
      <x:c r="Z75" s="47"/>
    </x:row>
    <x:row r="76">
      <x:c r="C76" s="9" t="str">
        <x:v>AU-R-7-01</x:v>
      </x:c>
      <x:c r="D76" s="9" t="str">
        <x:v>MS-CT|C appears once</x:v>
      </x:c>
      <x:c r="E76" s="9" t="str">
        <x:f>IF(COUNTIFS('Campaign Cohorts'!$C$7:$C$26,'Campaign Cohorts'!C13)=1,"PASS","FAIL")</x:f>
        <x:v>PASS</x:v>
      </x:c>
      <x:c r="F76" s="9" t="str">
        <x:v>TERMINAL</x:v>
      </x:c>
      <x:c r="G76" s="47"/>
      <x:c r="H76" s="47"/>
      <x:c r="I76" s="47"/>
      <x:c r="J76" s="47"/>
      <x:c r="K76" s="47"/>
      <x:c r="L76" s="47"/>
      <x:c r="M76" s="47"/>
      <x:c r="N76" s="47"/>
      <x:c r="O76" s="47"/>
      <x:c r="P76" s="47"/>
      <x:c r="Q76" s="47"/>
      <x:c r="R76" s="47"/>
      <x:c r="S76" s="47"/>
      <x:c r="T76" s="47"/>
      <x:c r="U76" s="47"/>
      <x:c r="V76" s="47"/>
      <x:c r="W76" s="47"/>
      <x:c r="X76" s="47"/>
      <x:c r="Y76" s="47"/>
      <x:c r="Z76" s="47"/>
    </x:row>
    <x:row r="77">
      <x:c r="C77" s="9" t="str">
        <x:v>AU-R-7-02</x:v>
      </x:c>
      <x:c r="D77" s="9" t="str">
        <x:v>MS-CT|C has three assignments</x:v>
      </x:c>
      <x:c r="E77" s="9" t="str">
        <x:f>IF(COUNTIFS('Lane Assignments'!$D$7:$D$66,'Campaign Cohorts'!C13)=3,"PASS","FAIL")</x:f>
        <x:v>PASS</x:v>
      </x:c>
      <x:c r="F77" s="9" t="str">
        <x:v>TERMINAL</x:v>
      </x:c>
      <x:c r="G77" s="47"/>
      <x:c r="H77" s="47"/>
      <x:c r="I77" s="47"/>
      <x:c r="J77" s="47"/>
      <x:c r="K77" s="47"/>
      <x:c r="L77" s="47"/>
      <x:c r="M77" s="47"/>
      <x:c r="N77" s="47"/>
      <x:c r="O77" s="47"/>
      <x:c r="P77" s="47"/>
      <x:c r="Q77" s="47"/>
      <x:c r="R77" s="47"/>
      <x:c r="S77" s="47"/>
      <x:c r="T77" s="47"/>
      <x:c r="U77" s="47"/>
      <x:c r="V77" s="47"/>
      <x:c r="W77" s="47"/>
      <x:c r="X77" s="47"/>
      <x:c r="Y77" s="47"/>
      <x:c r="Z77" s="47"/>
    </x:row>
    <x:row r="78">
      <x:c r="C78" s="9" t="str">
        <x:v>AU-R-7-03</x:v>
      </x:c>
      <x:c r="D78" s="9" t="str">
        <x:v>MS-CT|C has challenge</x:v>
      </x:c>
      <x:c r="E78" s="9" t="str">
        <x:f>IF(COUNTIFS('Lane Assignments'!$D$7:$D$66,'Campaign Cohorts'!C13,'Lane Assignments'!$F$7:$F$66,"Challenge")=1,"PASS","FAIL")</x:f>
        <x:v>PASS</x:v>
      </x:c>
      <x:c r="F78" s="9" t="str">
        <x:v>TERMINAL</x:v>
      </x:c>
      <x:c r="G78" s="47"/>
      <x:c r="H78" s="47"/>
      <x:c r="I78" s="47"/>
      <x:c r="J78" s="47"/>
      <x:c r="K78" s="47"/>
      <x:c r="L78" s="47"/>
      <x:c r="M78" s="47"/>
      <x:c r="N78" s="47"/>
      <x:c r="O78" s="47"/>
      <x:c r="P78" s="47"/>
      <x:c r="Q78" s="47"/>
      <x:c r="R78" s="47"/>
      <x:c r="S78" s="47"/>
      <x:c r="T78" s="47"/>
      <x:c r="U78" s="47"/>
      <x:c r="V78" s="47"/>
      <x:c r="W78" s="47"/>
      <x:c r="X78" s="47"/>
      <x:c r="Y78" s="47"/>
      <x:c r="Z78" s="47"/>
    </x:row>
    <x:row r="79">
      <x:c r="C79" s="9" t="str">
        <x:v>AU-R-7-04</x:v>
      </x:c>
      <x:c r="D79" s="9" t="str">
        <x:v>MS-CT|C has control</x:v>
      </x:c>
      <x:c r="E79" s="9" t="str">
        <x:f>IF(COUNTIFS('Lane Assignments'!$D$7:$D$66,'Campaign Cohorts'!C13,'Lane Assignments'!$F$7:$F$66,"Matched control")=1,"PASS","FAIL")</x:f>
        <x:v>PASS</x:v>
      </x:c>
      <x:c r="F79" s="9" t="str">
        <x:v>TERMINAL</x:v>
      </x:c>
      <x:c r="G79" s="47"/>
      <x:c r="H79" s="47"/>
      <x:c r="I79" s="47"/>
      <x:c r="J79" s="47"/>
      <x:c r="K79" s="47"/>
      <x:c r="L79" s="47"/>
      <x:c r="M79" s="47"/>
      <x:c r="N79" s="47"/>
      <x:c r="O79" s="47"/>
      <x:c r="P79" s="47"/>
      <x:c r="Q79" s="47"/>
      <x:c r="R79" s="47"/>
      <x:c r="S79" s="47"/>
      <x:c r="T79" s="47"/>
      <x:c r="U79" s="47"/>
      <x:c r="V79" s="47"/>
      <x:c r="W79" s="47"/>
      <x:c r="X79" s="47"/>
      <x:c r="Y79" s="47"/>
      <x:c r="Z79" s="47"/>
    </x:row>
    <x:row r="80">
      <x:c r="C80" s="9" t="str">
        <x:v>AU-R-7-05</x:v>
      </x:c>
      <x:c r="D80" s="9" t="str">
        <x:v>MS-CT|C has reproduction</x:v>
      </x:c>
      <x:c r="E80" s="9" t="str">
        <x:f>IF(COUNTIFS('Lane Assignments'!$D$7:$D$66,'Campaign Cohorts'!C13,'Lane Assignments'!$F$7:$F$66,"Cold reproduction")=1,"PASS","FAIL")</x:f>
        <x:v>PASS</x:v>
      </x:c>
      <x:c r="F80" s="9" t="str">
        <x:v>TERMINAL</x:v>
      </x:c>
      <x:c r="G80" s="47"/>
      <x:c r="H80" s="47"/>
      <x:c r="I80" s="47"/>
      <x:c r="J80" s="47"/>
      <x:c r="K80" s="47"/>
      <x:c r="L80" s="47"/>
      <x:c r="M80" s="47"/>
      <x:c r="N80" s="47"/>
      <x:c r="O80" s="47"/>
      <x:c r="P80" s="47"/>
      <x:c r="Q80" s="47"/>
      <x:c r="R80" s="47"/>
      <x:c r="S80" s="47"/>
      <x:c r="T80" s="47"/>
      <x:c r="U80" s="47"/>
      <x:c r="V80" s="47"/>
      <x:c r="W80" s="47"/>
      <x:c r="X80" s="47"/>
      <x:c r="Y80" s="47"/>
      <x:c r="Z80" s="47"/>
    </x:row>
    <x:row r="81">
      <x:c r="C81" s="9" t="str">
        <x:v>AU-R-7-06</x:v>
      </x:c>
      <x:c r="D81" s="9" t="str">
        <x:v>MS-CT|C has three stage gates</x:v>
      </x:c>
      <x:c r="E81" s="9" t="str">
        <x:f>IF(COUNTIFS('Stage Releases'!$D$7:$D$66,'Disposition Pipeline'!C13)=3,"PASS","FAIL")</x:f>
        <x:v>PASS</x:v>
      </x:c>
      <x:c r="F81" s="9" t="str">
        <x:v>TERMINAL</x:v>
      </x:c>
      <x:c r="G81" s="47"/>
      <x:c r="H81" s="47"/>
      <x:c r="I81" s="47"/>
      <x:c r="J81" s="47"/>
      <x:c r="K81" s="47"/>
      <x:c r="L81" s="47"/>
      <x:c r="M81" s="47"/>
      <x:c r="N81" s="47"/>
      <x:c r="O81" s="47"/>
      <x:c r="P81" s="47"/>
      <x:c r="Q81" s="47"/>
      <x:c r="R81" s="47"/>
      <x:c r="S81" s="47"/>
      <x:c r="T81" s="47"/>
      <x:c r="U81" s="47"/>
      <x:c r="V81" s="47"/>
      <x:c r="W81" s="47"/>
      <x:c r="X81" s="47"/>
      <x:c r="Y81" s="47"/>
      <x:c r="Z81" s="47"/>
    </x:row>
    <x:row r="82">
      <x:c r="C82" s="9" t="str">
        <x:v>AU-R-8-01</x:v>
      </x:c>
      <x:c r="D82" s="9" t="str">
        <x:v>MS-CT|D appears once</x:v>
      </x:c>
      <x:c r="E82" s="9" t="str">
        <x:f>IF(COUNTIFS('Campaign Cohorts'!$C$7:$C$26,'Campaign Cohorts'!C14)=1,"PASS","FAIL")</x:f>
        <x:v>PASS</x:v>
      </x:c>
      <x:c r="F82" s="9" t="str">
        <x:v>TERMINAL</x:v>
      </x:c>
      <x:c r="G82" s="47"/>
      <x:c r="H82" s="47"/>
      <x:c r="I82" s="47"/>
      <x:c r="J82" s="47"/>
      <x:c r="K82" s="47"/>
      <x:c r="L82" s="47"/>
      <x:c r="M82" s="47"/>
      <x:c r="N82" s="47"/>
      <x:c r="O82" s="47"/>
      <x:c r="P82" s="47"/>
      <x:c r="Q82" s="47"/>
      <x:c r="R82" s="47"/>
      <x:c r="S82" s="47"/>
      <x:c r="T82" s="47"/>
      <x:c r="U82" s="47"/>
      <x:c r="V82" s="47"/>
      <x:c r="W82" s="47"/>
      <x:c r="X82" s="47"/>
      <x:c r="Y82" s="47"/>
      <x:c r="Z82" s="47"/>
    </x:row>
    <x:row r="83">
      <x:c r="C83" s="9" t="str">
        <x:v>AU-R-8-02</x:v>
      </x:c>
      <x:c r="D83" s="9" t="str">
        <x:v>MS-CT|D has three assignments</x:v>
      </x:c>
      <x:c r="E83" s="9" t="str">
        <x:f>IF(COUNTIFS('Lane Assignments'!$D$7:$D$66,'Campaign Cohorts'!C14)=3,"PASS","FAIL")</x:f>
        <x:v>PASS</x:v>
      </x:c>
      <x:c r="F83" s="9" t="str">
        <x:v>TERMINAL</x:v>
      </x:c>
      <x:c r="G83" s="47"/>
      <x:c r="H83" s="47"/>
      <x:c r="I83" s="47"/>
      <x:c r="J83" s="47"/>
      <x:c r="K83" s="47"/>
      <x:c r="L83" s="47"/>
      <x:c r="M83" s="47"/>
      <x:c r="N83" s="47"/>
      <x:c r="O83" s="47"/>
      <x:c r="P83" s="47"/>
      <x:c r="Q83" s="47"/>
      <x:c r="R83" s="47"/>
      <x:c r="S83" s="47"/>
      <x:c r="T83" s="47"/>
      <x:c r="U83" s="47"/>
      <x:c r="V83" s="47"/>
      <x:c r="W83" s="47"/>
      <x:c r="X83" s="47"/>
      <x:c r="Y83" s="47"/>
      <x:c r="Z83" s="47"/>
    </x:row>
    <x:row r="84">
      <x:c r="C84" s="9" t="str">
        <x:v>AU-R-8-03</x:v>
      </x:c>
      <x:c r="D84" s="9" t="str">
        <x:v>MS-CT|D has challenge</x:v>
      </x:c>
      <x:c r="E84" s="9" t="str">
        <x:f>IF(COUNTIFS('Lane Assignments'!$D$7:$D$66,'Campaign Cohorts'!C14,'Lane Assignments'!$F$7:$F$66,"Challenge")=1,"PASS","FAIL")</x:f>
        <x:v>PASS</x:v>
      </x:c>
      <x:c r="F84" s="9" t="str">
        <x:v>TERMINAL</x:v>
      </x:c>
      <x:c r="G84" s="47"/>
      <x:c r="H84" s="47"/>
      <x:c r="I84" s="47"/>
      <x:c r="J84" s="47"/>
      <x:c r="K84" s="47"/>
      <x:c r="L84" s="47"/>
      <x:c r="M84" s="47"/>
      <x:c r="N84" s="47"/>
      <x:c r="O84" s="47"/>
      <x:c r="P84" s="47"/>
      <x:c r="Q84" s="47"/>
      <x:c r="R84" s="47"/>
      <x:c r="S84" s="47"/>
      <x:c r="T84" s="47"/>
      <x:c r="U84" s="47"/>
      <x:c r="V84" s="47"/>
      <x:c r="W84" s="47"/>
      <x:c r="X84" s="47"/>
      <x:c r="Y84" s="47"/>
      <x:c r="Z84" s="47"/>
    </x:row>
    <x:row r="85">
      <x:c r="C85" s="9" t="str">
        <x:v>AU-R-8-04</x:v>
      </x:c>
      <x:c r="D85" s="9" t="str">
        <x:v>MS-CT|D has control</x:v>
      </x:c>
      <x:c r="E85" s="9" t="str">
        <x:f>IF(COUNTIFS('Lane Assignments'!$D$7:$D$66,'Campaign Cohorts'!C14,'Lane Assignments'!$F$7:$F$66,"Matched control")=1,"PASS","FAIL")</x:f>
        <x:v>PASS</x:v>
      </x:c>
      <x:c r="F85" s="9" t="str">
        <x:v>TERMINAL</x:v>
      </x:c>
      <x:c r="G85" s="47"/>
      <x:c r="H85" s="47"/>
      <x:c r="I85" s="47"/>
      <x:c r="J85" s="47"/>
      <x:c r="K85" s="47"/>
      <x:c r="L85" s="47"/>
      <x:c r="M85" s="47"/>
      <x:c r="N85" s="47"/>
      <x:c r="O85" s="47"/>
      <x:c r="P85" s="47"/>
      <x:c r="Q85" s="47"/>
      <x:c r="R85" s="47"/>
      <x:c r="S85" s="47"/>
      <x:c r="T85" s="47"/>
      <x:c r="U85" s="47"/>
      <x:c r="V85" s="47"/>
      <x:c r="W85" s="47"/>
      <x:c r="X85" s="47"/>
      <x:c r="Y85" s="47"/>
      <x:c r="Z85" s="47"/>
    </x:row>
    <x:row r="86">
      <x:c r="C86" s="9" t="str">
        <x:v>AU-R-8-05</x:v>
      </x:c>
      <x:c r="D86" s="9" t="str">
        <x:v>MS-CT|D has reproduction</x:v>
      </x:c>
      <x:c r="E86" s="9" t="str">
        <x:f>IF(COUNTIFS('Lane Assignments'!$D$7:$D$66,'Campaign Cohorts'!C14,'Lane Assignments'!$F$7:$F$66,"Cold reproduction")=1,"PASS","FAIL")</x:f>
        <x:v>PASS</x:v>
      </x:c>
      <x:c r="F86" s="9" t="str">
        <x:v>TERMINAL</x:v>
      </x:c>
      <x:c r="G86" s="47"/>
      <x:c r="H86" s="47"/>
      <x:c r="I86" s="47"/>
      <x:c r="J86" s="47"/>
      <x:c r="K86" s="47"/>
      <x:c r="L86" s="47"/>
      <x:c r="M86" s="47"/>
      <x:c r="N86" s="47"/>
      <x:c r="O86" s="47"/>
      <x:c r="P86" s="47"/>
      <x:c r="Q86" s="47"/>
      <x:c r="R86" s="47"/>
      <x:c r="S86" s="47"/>
      <x:c r="T86" s="47"/>
      <x:c r="U86" s="47"/>
      <x:c r="V86" s="47"/>
      <x:c r="W86" s="47"/>
      <x:c r="X86" s="47"/>
      <x:c r="Y86" s="47"/>
      <x:c r="Z86" s="47"/>
    </x:row>
    <x:row r="87">
      <x:c r="C87" s="9" t="str">
        <x:v>AU-R-8-06</x:v>
      </x:c>
      <x:c r="D87" s="9" t="str">
        <x:v>MS-CT|D has three stage gates</x:v>
      </x:c>
      <x:c r="E87" s="9" t="str">
        <x:f>IF(COUNTIFS('Stage Releases'!$D$7:$D$66,'Disposition Pipeline'!C14)=3,"PASS","FAIL")</x:f>
        <x:v>PASS</x:v>
      </x:c>
      <x:c r="F87" s="9" t="str">
        <x:v>TERMINAL</x:v>
      </x:c>
      <x:c r="G87" s="47"/>
      <x:c r="H87" s="47"/>
      <x:c r="I87" s="47"/>
      <x:c r="J87" s="47"/>
      <x:c r="K87" s="47"/>
      <x:c r="L87" s="47"/>
      <x:c r="M87" s="47"/>
      <x:c r="N87" s="47"/>
      <x:c r="O87" s="47"/>
      <x:c r="P87" s="47"/>
      <x:c r="Q87" s="47"/>
      <x:c r="R87" s="47"/>
      <x:c r="S87" s="47"/>
      <x:c r="T87" s="47"/>
      <x:c r="U87" s="47"/>
      <x:c r="V87" s="47"/>
      <x:c r="W87" s="47"/>
      <x:c r="X87" s="47"/>
      <x:c r="Y87" s="47"/>
      <x:c r="Z87" s="47"/>
    </x:row>
    <x:row r="88">
      <x:c r="C88" s="9" t="str">
        <x:v>AU-R-9-01</x:v>
      </x:c>
      <x:c r="D88" s="9" t="str">
        <x:v>MS-HC|A appears once</x:v>
      </x:c>
      <x:c r="E88" s="9" t="str">
        <x:f>IF(COUNTIFS('Campaign Cohorts'!$C$7:$C$26,'Campaign Cohorts'!C15)=1,"PASS","FAIL")</x:f>
        <x:v>PASS</x:v>
      </x:c>
      <x:c r="F88" s="9" t="str">
        <x:v>TERMINAL</x:v>
      </x:c>
      <x:c r="G88" s="47"/>
      <x:c r="H88" s="47"/>
      <x:c r="I88" s="47"/>
      <x:c r="J88" s="47"/>
      <x:c r="K88" s="47"/>
      <x:c r="L88" s="47"/>
      <x:c r="M88" s="47"/>
      <x:c r="N88" s="47"/>
      <x:c r="O88" s="47"/>
      <x:c r="P88" s="47"/>
      <x:c r="Q88" s="47"/>
      <x:c r="R88" s="47"/>
      <x:c r="S88" s="47"/>
      <x:c r="T88" s="47"/>
      <x:c r="U88" s="47"/>
      <x:c r="V88" s="47"/>
      <x:c r="W88" s="47"/>
      <x:c r="X88" s="47"/>
      <x:c r="Y88" s="47"/>
      <x:c r="Z88" s="47"/>
    </x:row>
    <x:row r="89">
      <x:c r="C89" s="9" t="str">
        <x:v>AU-R-9-02</x:v>
      </x:c>
      <x:c r="D89" s="9" t="str">
        <x:v>MS-HC|A has three assignments</x:v>
      </x:c>
      <x:c r="E89" s="9" t="str">
        <x:f>IF(COUNTIFS('Lane Assignments'!$D$7:$D$66,'Campaign Cohorts'!C15)=3,"PASS","FAIL")</x:f>
        <x:v>PASS</x:v>
      </x:c>
      <x:c r="F89" s="9" t="str">
        <x:v>TERMINAL</x:v>
      </x:c>
      <x:c r="G89" s="47"/>
      <x:c r="H89" s="47"/>
      <x:c r="I89" s="47"/>
      <x:c r="J89" s="47"/>
      <x:c r="K89" s="47"/>
      <x:c r="L89" s="47"/>
      <x:c r="M89" s="47"/>
      <x:c r="N89" s="47"/>
      <x:c r="O89" s="47"/>
      <x:c r="P89" s="47"/>
      <x:c r="Q89" s="47"/>
      <x:c r="R89" s="47"/>
      <x:c r="S89" s="47"/>
      <x:c r="T89" s="47"/>
      <x:c r="U89" s="47"/>
      <x:c r="V89" s="47"/>
      <x:c r="W89" s="47"/>
      <x:c r="X89" s="47"/>
      <x:c r="Y89" s="47"/>
      <x:c r="Z89" s="47"/>
    </x:row>
    <x:row r="90">
      <x:c r="C90" s="9" t="str">
        <x:v>AU-R-9-03</x:v>
      </x:c>
      <x:c r="D90" s="9" t="str">
        <x:v>MS-HC|A has challenge</x:v>
      </x:c>
      <x:c r="E90" s="9" t="str">
        <x:f>IF(COUNTIFS('Lane Assignments'!$D$7:$D$66,'Campaign Cohorts'!C15,'Lane Assignments'!$F$7:$F$66,"Challenge")=1,"PASS","FAIL")</x:f>
        <x:v>PASS</x:v>
      </x:c>
      <x:c r="F90" s="9" t="str">
        <x:v>TERMINAL</x:v>
      </x:c>
      <x:c r="G90" s="47"/>
      <x:c r="H90" s="47"/>
      <x:c r="I90" s="47"/>
      <x:c r="J90" s="47"/>
      <x:c r="K90" s="47"/>
      <x:c r="L90" s="47"/>
      <x:c r="M90" s="47"/>
      <x:c r="N90" s="47"/>
      <x:c r="O90" s="47"/>
      <x:c r="P90" s="47"/>
      <x:c r="Q90" s="47"/>
      <x:c r="R90" s="47"/>
      <x:c r="S90" s="47"/>
      <x:c r="T90" s="47"/>
      <x:c r="U90" s="47"/>
      <x:c r="V90" s="47"/>
      <x:c r="W90" s="47"/>
      <x:c r="X90" s="47"/>
      <x:c r="Y90" s="47"/>
      <x:c r="Z90" s="47"/>
    </x:row>
    <x:row r="91">
      <x:c r="C91" s="9" t="str">
        <x:v>AU-R-9-04</x:v>
      </x:c>
      <x:c r="D91" s="9" t="str">
        <x:v>MS-HC|A has control</x:v>
      </x:c>
      <x:c r="E91" s="9" t="str">
        <x:f>IF(COUNTIFS('Lane Assignments'!$D$7:$D$66,'Campaign Cohorts'!C15,'Lane Assignments'!$F$7:$F$66,"Matched control")=1,"PASS","FAIL")</x:f>
        <x:v>PASS</x:v>
      </x:c>
      <x:c r="F91" s="9" t="str">
        <x:v>TERMINAL</x:v>
      </x:c>
      <x:c r="G91" s="47"/>
      <x:c r="H91" s="47"/>
      <x:c r="I91" s="47"/>
      <x:c r="J91" s="47"/>
      <x:c r="K91" s="47"/>
      <x:c r="L91" s="47"/>
      <x:c r="M91" s="47"/>
      <x:c r="N91" s="47"/>
      <x:c r="O91" s="47"/>
      <x:c r="P91" s="47"/>
      <x:c r="Q91" s="47"/>
      <x:c r="R91" s="47"/>
      <x:c r="S91" s="47"/>
      <x:c r="T91" s="47"/>
      <x:c r="U91" s="47"/>
      <x:c r="V91" s="47"/>
      <x:c r="W91" s="47"/>
      <x:c r="X91" s="47"/>
      <x:c r="Y91" s="47"/>
      <x:c r="Z91" s="47"/>
    </x:row>
    <x:row r="92">
      <x:c r="C92" s="9" t="str">
        <x:v>AU-R-9-05</x:v>
      </x:c>
      <x:c r="D92" s="9" t="str">
        <x:v>MS-HC|A has reproduction</x:v>
      </x:c>
      <x:c r="E92" s="9" t="str">
        <x:f>IF(COUNTIFS('Lane Assignments'!$D$7:$D$66,'Campaign Cohorts'!C15,'Lane Assignments'!$F$7:$F$66,"Cold reproduction")=1,"PASS","FAIL")</x:f>
        <x:v>PASS</x:v>
      </x:c>
      <x:c r="F92" s="9" t="str">
        <x:v>TERMINAL</x:v>
      </x:c>
      <x:c r="G92" s="47"/>
      <x:c r="H92" s="47"/>
      <x:c r="I92" s="47"/>
      <x:c r="J92" s="47"/>
      <x:c r="K92" s="47"/>
      <x:c r="L92" s="47"/>
      <x:c r="M92" s="47"/>
      <x:c r="N92" s="47"/>
      <x:c r="O92" s="47"/>
      <x:c r="P92" s="47"/>
      <x:c r="Q92" s="47"/>
      <x:c r="R92" s="47"/>
      <x:c r="S92" s="47"/>
      <x:c r="T92" s="47"/>
      <x:c r="U92" s="47"/>
      <x:c r="V92" s="47"/>
      <x:c r="W92" s="47"/>
      <x:c r="X92" s="47"/>
      <x:c r="Y92" s="47"/>
      <x:c r="Z92" s="47"/>
    </x:row>
    <x:row r="93">
      <x:c r="C93" s="9" t="str">
        <x:v>AU-R-9-06</x:v>
      </x:c>
      <x:c r="D93" s="9" t="str">
        <x:v>MS-HC|A has three stage gates</x:v>
      </x:c>
      <x:c r="E93" s="9" t="str">
        <x:f>IF(COUNTIFS('Stage Releases'!$D$7:$D$66,'Disposition Pipeline'!C15)=3,"PASS","FAIL")</x:f>
        <x:v>PASS</x:v>
      </x:c>
      <x:c r="F93" s="9" t="str">
        <x:v>TERMINAL</x:v>
      </x:c>
      <x:c r="G93" s="47"/>
      <x:c r="H93" s="47"/>
      <x:c r="I93" s="47"/>
      <x:c r="J93" s="47"/>
      <x:c r="K93" s="47"/>
      <x:c r="L93" s="47"/>
      <x:c r="M93" s="47"/>
      <x:c r="N93" s="47"/>
      <x:c r="O93" s="47"/>
      <x:c r="P93" s="47"/>
      <x:c r="Q93" s="47"/>
      <x:c r="R93" s="47"/>
      <x:c r="S93" s="47"/>
      <x:c r="T93" s="47"/>
      <x:c r="U93" s="47"/>
      <x:c r="V93" s="47"/>
      <x:c r="W93" s="47"/>
      <x:c r="X93" s="47"/>
      <x:c r="Y93" s="47"/>
      <x:c r="Z93" s="47"/>
    </x:row>
    <x:row r="94">
      <x:c r="C94" s="9" t="str">
        <x:v>AU-R-10-01</x:v>
      </x:c>
      <x:c r="D94" s="9" t="str">
        <x:v>MS-HC|B appears once</x:v>
      </x:c>
      <x:c r="E94" s="9" t="str">
        <x:f>IF(COUNTIFS('Campaign Cohorts'!$C$7:$C$26,'Campaign Cohorts'!C16)=1,"PASS","FAIL")</x:f>
        <x:v>PASS</x:v>
      </x:c>
      <x:c r="F94" s="9" t="str">
        <x:v>TERMINAL</x:v>
      </x:c>
      <x:c r="G94" s="47"/>
      <x:c r="H94" s="47"/>
      <x:c r="I94" s="47"/>
      <x:c r="J94" s="47"/>
      <x:c r="K94" s="47"/>
      <x:c r="L94" s="47"/>
      <x:c r="M94" s="47"/>
      <x:c r="N94" s="47"/>
      <x:c r="O94" s="47"/>
      <x:c r="P94" s="47"/>
      <x:c r="Q94" s="47"/>
      <x:c r="R94" s="47"/>
      <x:c r="S94" s="47"/>
      <x:c r="T94" s="47"/>
      <x:c r="U94" s="47"/>
      <x:c r="V94" s="47"/>
      <x:c r="W94" s="47"/>
      <x:c r="X94" s="47"/>
      <x:c r="Y94" s="47"/>
      <x:c r="Z94" s="47"/>
    </x:row>
    <x:row r="95">
      <x:c r="C95" s="9" t="str">
        <x:v>AU-R-10-02</x:v>
      </x:c>
      <x:c r="D95" s="9" t="str">
        <x:v>MS-HC|B has three assignments</x:v>
      </x:c>
      <x:c r="E95" s="9" t="str">
        <x:f>IF(COUNTIFS('Lane Assignments'!$D$7:$D$66,'Campaign Cohorts'!C16)=3,"PASS","FAIL")</x:f>
        <x:v>PASS</x:v>
      </x:c>
      <x:c r="F95" s="9" t="str">
        <x:v>TERMINAL</x:v>
      </x:c>
      <x:c r="G95" s="47"/>
      <x:c r="H95" s="47"/>
      <x:c r="I95" s="47"/>
      <x:c r="J95" s="47"/>
      <x:c r="K95" s="47"/>
      <x:c r="L95" s="47"/>
      <x:c r="M95" s="47"/>
      <x:c r="N95" s="47"/>
      <x:c r="O95" s="47"/>
      <x:c r="P95" s="47"/>
      <x:c r="Q95" s="47"/>
      <x:c r="R95" s="47"/>
      <x:c r="S95" s="47"/>
      <x:c r="T95" s="47"/>
      <x:c r="U95" s="47"/>
      <x:c r="V95" s="47"/>
      <x:c r="W95" s="47"/>
      <x:c r="X95" s="47"/>
      <x:c r="Y95" s="47"/>
      <x:c r="Z95" s="47"/>
    </x:row>
    <x:row r="96">
      <x:c r="C96" s="9" t="str">
        <x:v>AU-R-10-03</x:v>
      </x:c>
      <x:c r="D96" s="9" t="str">
        <x:v>MS-HC|B has challenge</x:v>
      </x:c>
      <x:c r="E96" s="9" t="str">
        <x:f>IF(COUNTIFS('Lane Assignments'!$D$7:$D$66,'Campaign Cohorts'!C16,'Lane Assignments'!$F$7:$F$66,"Challenge")=1,"PASS","FAIL")</x:f>
        <x:v>PASS</x:v>
      </x:c>
      <x:c r="F96" s="9" t="str">
        <x:v>TERMINAL</x:v>
      </x:c>
      <x:c r="G96" s="47"/>
      <x:c r="H96" s="47"/>
      <x:c r="I96" s="47"/>
      <x:c r="J96" s="47"/>
      <x:c r="K96" s="47"/>
      <x:c r="L96" s="47"/>
      <x:c r="M96" s="47"/>
      <x:c r="N96" s="47"/>
      <x:c r="O96" s="47"/>
      <x:c r="P96" s="47"/>
      <x:c r="Q96" s="47"/>
      <x:c r="R96" s="47"/>
      <x:c r="S96" s="47"/>
      <x:c r="T96" s="47"/>
      <x:c r="U96" s="47"/>
      <x:c r="V96" s="47"/>
      <x:c r="W96" s="47"/>
      <x:c r="X96" s="47"/>
      <x:c r="Y96" s="47"/>
      <x:c r="Z96" s="47"/>
    </x:row>
    <x:row r="97">
      <x:c r="C97" s="9" t="str">
        <x:v>AU-R-10-04</x:v>
      </x:c>
      <x:c r="D97" s="9" t="str">
        <x:v>MS-HC|B has control</x:v>
      </x:c>
      <x:c r="E97" s="9" t="str">
        <x:f>IF(COUNTIFS('Lane Assignments'!$D$7:$D$66,'Campaign Cohorts'!C16,'Lane Assignments'!$F$7:$F$66,"Matched control")=1,"PASS","FAIL")</x:f>
        <x:v>PASS</x:v>
      </x:c>
      <x:c r="F97" s="9" t="str">
        <x:v>TERMINAL</x:v>
      </x:c>
      <x:c r="G97" s="47"/>
      <x:c r="H97" s="47"/>
      <x:c r="I97" s="47"/>
      <x:c r="J97" s="47"/>
      <x:c r="K97" s="47"/>
      <x:c r="L97" s="47"/>
      <x:c r="M97" s="47"/>
      <x:c r="N97" s="47"/>
      <x:c r="O97" s="47"/>
      <x:c r="P97" s="47"/>
      <x:c r="Q97" s="47"/>
      <x:c r="R97" s="47"/>
      <x:c r="S97" s="47"/>
      <x:c r="T97" s="47"/>
      <x:c r="U97" s="47"/>
      <x:c r="V97" s="47"/>
      <x:c r="W97" s="47"/>
      <x:c r="X97" s="47"/>
      <x:c r="Y97" s="47"/>
      <x:c r="Z97" s="47"/>
    </x:row>
    <x:row r="98">
      <x:c r="C98" s="9" t="str">
        <x:v>AU-R-10-05</x:v>
      </x:c>
      <x:c r="D98" s="9" t="str">
        <x:v>MS-HC|B has reproduction</x:v>
      </x:c>
      <x:c r="E98" s="9" t="str">
        <x:f>IF(COUNTIFS('Lane Assignments'!$D$7:$D$66,'Campaign Cohorts'!C16,'Lane Assignments'!$F$7:$F$66,"Cold reproduction")=1,"PASS","FAIL")</x:f>
        <x:v>PASS</x:v>
      </x:c>
      <x:c r="F98" s="9" t="str">
        <x:v>TERMINAL</x:v>
      </x:c>
      <x:c r="G98" s="47"/>
      <x:c r="H98" s="47"/>
      <x:c r="I98" s="47"/>
      <x:c r="J98" s="47"/>
      <x:c r="K98" s="47"/>
      <x:c r="L98" s="47"/>
      <x:c r="M98" s="47"/>
      <x:c r="N98" s="47"/>
      <x:c r="O98" s="47"/>
      <x:c r="P98" s="47"/>
      <x:c r="Q98" s="47"/>
      <x:c r="R98" s="47"/>
      <x:c r="S98" s="47"/>
      <x:c r="T98" s="47"/>
      <x:c r="U98" s="47"/>
      <x:c r="V98" s="47"/>
      <x:c r="W98" s="47"/>
      <x:c r="X98" s="47"/>
      <x:c r="Y98" s="47"/>
      <x:c r="Z98" s="47"/>
    </x:row>
    <x:row r="99">
      <x:c r="C99" s="9" t="str">
        <x:v>AU-R-10-06</x:v>
      </x:c>
      <x:c r="D99" s="9" t="str">
        <x:v>MS-HC|B has three stage gates</x:v>
      </x:c>
      <x:c r="E99" s="9" t="str">
        <x:f>IF(COUNTIFS('Stage Releases'!$D$7:$D$66,'Disposition Pipeline'!C16)=3,"PASS","FAIL")</x:f>
        <x:v>PASS</x:v>
      </x:c>
      <x:c r="F99" s="9" t="str">
        <x:v>TERMINAL</x:v>
      </x:c>
      <x:c r="G99" s="47"/>
      <x:c r="H99" s="47"/>
      <x:c r="I99" s="47"/>
      <x:c r="J99" s="47"/>
      <x:c r="K99" s="47"/>
      <x:c r="L99" s="47"/>
      <x:c r="M99" s="47"/>
      <x:c r="N99" s="47"/>
      <x:c r="O99" s="47"/>
      <x:c r="P99" s="47"/>
      <x:c r="Q99" s="47"/>
      <x:c r="R99" s="47"/>
      <x:c r="S99" s="47"/>
      <x:c r="T99" s="47"/>
      <x:c r="U99" s="47"/>
      <x:c r="V99" s="47"/>
      <x:c r="W99" s="47"/>
      <x:c r="X99" s="47"/>
      <x:c r="Y99" s="47"/>
      <x:c r="Z99" s="47"/>
    </x:row>
    <x:row r="100">
      <x:c r="C100" s="9" t="str">
        <x:v>AU-R-11-01</x:v>
      </x:c>
      <x:c r="D100" s="9" t="str">
        <x:v>MS-HC|C appears once</x:v>
      </x:c>
      <x:c r="E100" s="9" t="str">
        <x:f>IF(COUNTIFS('Campaign Cohorts'!$C$7:$C$26,'Campaign Cohorts'!C17)=1,"PASS","FAIL")</x:f>
        <x:v>PASS</x:v>
      </x:c>
      <x:c r="F100" s="9" t="str">
        <x:v>TERMINAL</x:v>
      </x:c>
      <x:c r="G100" s="47"/>
      <x:c r="H100" s="47"/>
      <x:c r="I100" s="47"/>
      <x:c r="J100" s="47"/>
      <x:c r="K100" s="47"/>
      <x:c r="L100" s="47"/>
      <x:c r="M100" s="47"/>
      <x:c r="N100" s="47"/>
      <x:c r="O100" s="47"/>
      <x:c r="P100" s="47"/>
      <x:c r="Q100" s="47"/>
      <x:c r="R100" s="47"/>
      <x:c r="S100" s="47"/>
      <x:c r="T100" s="47"/>
      <x:c r="U100" s="47"/>
      <x:c r="V100" s="47"/>
      <x:c r="W100" s="47"/>
      <x:c r="X100" s="47"/>
      <x:c r="Y100" s="47"/>
      <x:c r="Z100" s="47"/>
    </x:row>
    <x:row r="101">
      <x:c r="C101" s="9" t="str">
        <x:v>AU-R-11-02</x:v>
      </x:c>
      <x:c r="D101" s="9" t="str">
        <x:v>MS-HC|C has three assignments</x:v>
      </x:c>
      <x:c r="E101" s="9" t="str">
        <x:f>IF(COUNTIFS('Lane Assignments'!$D$7:$D$66,'Campaign Cohorts'!C17)=3,"PASS","FAIL")</x:f>
        <x:v>PASS</x:v>
      </x:c>
      <x:c r="F101" s="9" t="str">
        <x:v>TERMINAL</x:v>
      </x:c>
      <x:c r="G101" s="47"/>
      <x:c r="H101" s="47"/>
      <x:c r="I101" s="47"/>
      <x:c r="J101" s="47"/>
      <x:c r="K101" s="47"/>
      <x:c r="L101" s="47"/>
      <x:c r="M101" s="47"/>
      <x:c r="N101" s="47"/>
      <x:c r="O101" s="47"/>
      <x:c r="P101" s="47"/>
      <x:c r="Q101" s="47"/>
      <x:c r="R101" s="47"/>
      <x:c r="S101" s="47"/>
      <x:c r="T101" s="47"/>
      <x:c r="U101" s="47"/>
      <x:c r="V101" s="47"/>
      <x:c r="W101" s="47"/>
      <x:c r="X101" s="47"/>
      <x:c r="Y101" s="47"/>
      <x:c r="Z101" s="47"/>
    </x:row>
    <x:row r="102">
      <x:c r="C102" s="9" t="str">
        <x:v>AU-R-11-03</x:v>
      </x:c>
      <x:c r="D102" s="9" t="str">
        <x:v>MS-HC|C has challenge</x:v>
      </x:c>
      <x:c r="E102" s="9" t="str">
        <x:f>IF(COUNTIFS('Lane Assignments'!$D$7:$D$66,'Campaign Cohorts'!C17,'Lane Assignments'!$F$7:$F$66,"Challenge")=1,"PASS","FAIL")</x:f>
        <x:v>PASS</x:v>
      </x:c>
      <x:c r="F102" s="9" t="str">
        <x:v>TERMINAL</x:v>
      </x:c>
      <x:c r="G102" s="47"/>
      <x:c r="H102" s="47"/>
      <x:c r="I102" s="47"/>
      <x:c r="J102" s="47"/>
      <x:c r="K102" s="47"/>
      <x:c r="L102" s="47"/>
      <x:c r="M102" s="47"/>
      <x:c r="N102" s="47"/>
      <x:c r="O102" s="47"/>
      <x:c r="P102" s="47"/>
      <x:c r="Q102" s="47"/>
      <x:c r="R102" s="47"/>
      <x:c r="S102" s="47"/>
      <x:c r="T102" s="47"/>
      <x:c r="U102" s="47"/>
      <x:c r="V102" s="47"/>
      <x:c r="W102" s="47"/>
      <x:c r="X102" s="47"/>
      <x:c r="Y102" s="47"/>
      <x:c r="Z102" s="47"/>
    </x:row>
    <x:row r="103">
      <x:c r="C103" s="9" t="str">
        <x:v>AU-R-11-04</x:v>
      </x:c>
      <x:c r="D103" s="9" t="str">
        <x:v>MS-HC|C has control</x:v>
      </x:c>
      <x:c r="E103" s="9" t="str">
        <x:f>IF(COUNTIFS('Lane Assignments'!$D$7:$D$66,'Campaign Cohorts'!C17,'Lane Assignments'!$F$7:$F$66,"Matched control")=1,"PASS","FAIL")</x:f>
        <x:v>PASS</x:v>
      </x:c>
      <x:c r="F103" s="9" t="str">
        <x:v>TERMINAL</x:v>
      </x:c>
      <x:c r="G103" s="47"/>
      <x:c r="H103" s="47"/>
      <x:c r="I103" s="47"/>
      <x:c r="J103" s="47"/>
      <x:c r="K103" s="47"/>
      <x:c r="L103" s="47"/>
      <x:c r="M103" s="47"/>
      <x:c r="N103" s="47"/>
      <x:c r="O103" s="47"/>
      <x:c r="P103" s="47"/>
      <x:c r="Q103" s="47"/>
      <x:c r="R103" s="47"/>
      <x:c r="S103" s="47"/>
      <x:c r="T103" s="47"/>
      <x:c r="U103" s="47"/>
      <x:c r="V103" s="47"/>
      <x:c r="W103" s="47"/>
      <x:c r="X103" s="47"/>
      <x:c r="Y103" s="47"/>
      <x:c r="Z103" s="47"/>
    </x:row>
    <x:row r="104">
      <x:c r="C104" s="9" t="str">
        <x:v>AU-R-11-05</x:v>
      </x:c>
      <x:c r="D104" s="9" t="str">
        <x:v>MS-HC|C has reproduction</x:v>
      </x:c>
      <x:c r="E104" s="9" t="str">
        <x:f>IF(COUNTIFS('Lane Assignments'!$D$7:$D$66,'Campaign Cohorts'!C17,'Lane Assignments'!$F$7:$F$66,"Cold reproduction")=1,"PASS","FAIL")</x:f>
        <x:v>PASS</x:v>
      </x:c>
      <x:c r="F104" s="9" t="str">
        <x:v>TERMINAL</x:v>
      </x:c>
      <x:c r="G104" s="47"/>
      <x:c r="H104" s="47"/>
      <x:c r="I104" s="47"/>
      <x:c r="J104" s="47"/>
      <x:c r="K104" s="47"/>
      <x:c r="L104" s="47"/>
      <x:c r="M104" s="47"/>
      <x:c r="N104" s="47"/>
      <x:c r="O104" s="47"/>
      <x:c r="P104" s="47"/>
      <x:c r="Q104" s="47"/>
      <x:c r="R104" s="47"/>
      <x:c r="S104" s="47"/>
      <x:c r="T104" s="47"/>
      <x:c r="U104" s="47"/>
      <x:c r="V104" s="47"/>
      <x:c r="W104" s="47"/>
      <x:c r="X104" s="47"/>
      <x:c r="Y104" s="47"/>
      <x:c r="Z104" s="47"/>
    </x:row>
    <x:row r="105">
      <x:c r="C105" s="9" t="str">
        <x:v>AU-R-11-06</x:v>
      </x:c>
      <x:c r="D105" s="9" t="str">
        <x:v>MS-HC|C has three stage gates</x:v>
      </x:c>
      <x:c r="E105" s="9" t="str">
        <x:f>IF(COUNTIFS('Stage Releases'!$D$7:$D$66,'Disposition Pipeline'!C17)=3,"PASS","FAIL")</x:f>
        <x:v>PASS</x:v>
      </x:c>
      <x:c r="F105" s="9" t="str">
        <x:v>TERMINAL</x:v>
      </x:c>
      <x:c r="G105" s="47"/>
      <x:c r="H105" s="47"/>
      <x:c r="I105" s="47"/>
      <x:c r="J105" s="47"/>
      <x:c r="K105" s="47"/>
      <x:c r="L105" s="47"/>
      <x:c r="M105" s="47"/>
      <x:c r="N105" s="47"/>
      <x:c r="O105" s="47"/>
      <x:c r="P105" s="47"/>
      <x:c r="Q105" s="47"/>
      <x:c r="R105" s="47"/>
      <x:c r="S105" s="47"/>
      <x:c r="T105" s="47"/>
      <x:c r="U105" s="47"/>
      <x:c r="V105" s="47"/>
      <x:c r="W105" s="47"/>
      <x:c r="X105" s="47"/>
      <x:c r="Y105" s="47"/>
      <x:c r="Z105" s="47"/>
    </x:row>
    <x:row r="106">
      <x:c r="C106" s="9" t="str">
        <x:v>AU-R-12-01</x:v>
      </x:c>
      <x:c r="D106" s="9" t="str">
        <x:v>MS-HC|D appears once</x:v>
      </x:c>
      <x:c r="E106" s="9" t="str">
        <x:f>IF(COUNTIFS('Campaign Cohorts'!$C$7:$C$26,'Campaign Cohorts'!C18)=1,"PASS","FAIL")</x:f>
        <x:v>PASS</x:v>
      </x:c>
      <x:c r="F106" s="9" t="str">
        <x:v>TERMINAL</x:v>
      </x:c>
      <x:c r="G106" s="47"/>
      <x:c r="H106" s="47"/>
      <x:c r="I106" s="47"/>
      <x:c r="J106" s="47"/>
      <x:c r="K106" s="47"/>
      <x:c r="L106" s="47"/>
      <x:c r="M106" s="47"/>
      <x:c r="N106" s="47"/>
      <x:c r="O106" s="47"/>
      <x:c r="P106" s="47"/>
      <x:c r="Q106" s="47"/>
      <x:c r="R106" s="47"/>
      <x:c r="S106" s="47"/>
      <x:c r="T106" s="47"/>
      <x:c r="U106" s="47"/>
      <x:c r="V106" s="47"/>
      <x:c r="W106" s="47"/>
      <x:c r="X106" s="47"/>
      <x:c r="Y106" s="47"/>
      <x:c r="Z106" s="47"/>
    </x:row>
    <x:row r="107">
      <x:c r="C107" s="9" t="str">
        <x:v>AU-R-12-02</x:v>
      </x:c>
      <x:c r="D107" s="9" t="str">
        <x:v>MS-HC|D has three assignments</x:v>
      </x:c>
      <x:c r="E107" s="9" t="str">
        <x:f>IF(COUNTIFS('Lane Assignments'!$D$7:$D$66,'Campaign Cohorts'!C18)=3,"PASS","FAIL")</x:f>
        <x:v>PASS</x:v>
      </x:c>
      <x:c r="F107" s="9" t="str">
        <x:v>TERMINAL</x:v>
      </x:c>
      <x:c r="G107" s="47"/>
      <x:c r="H107" s="47"/>
      <x:c r="I107" s="47"/>
      <x:c r="J107" s="47"/>
      <x:c r="K107" s="47"/>
      <x:c r="L107" s="47"/>
      <x:c r="M107" s="47"/>
      <x:c r="N107" s="47"/>
      <x:c r="O107" s="47"/>
      <x:c r="P107" s="47"/>
      <x:c r="Q107" s="47"/>
      <x:c r="R107" s="47"/>
      <x:c r="S107" s="47"/>
      <x:c r="T107" s="47"/>
      <x:c r="U107" s="47"/>
      <x:c r="V107" s="47"/>
      <x:c r="W107" s="47"/>
      <x:c r="X107" s="47"/>
      <x:c r="Y107" s="47"/>
      <x:c r="Z107" s="47"/>
    </x:row>
    <x:row r="108">
      <x:c r="C108" s="9" t="str">
        <x:v>AU-R-12-03</x:v>
      </x:c>
      <x:c r="D108" s="9" t="str">
        <x:v>MS-HC|D has challenge</x:v>
      </x:c>
      <x:c r="E108" s="9" t="str">
        <x:f>IF(COUNTIFS('Lane Assignments'!$D$7:$D$66,'Campaign Cohorts'!C18,'Lane Assignments'!$F$7:$F$66,"Challenge")=1,"PASS","FAIL")</x:f>
        <x:v>PASS</x:v>
      </x:c>
      <x:c r="F108" s="9" t="str">
        <x:v>TERMINAL</x:v>
      </x:c>
      <x:c r="G108" s="47"/>
      <x:c r="H108" s="47"/>
      <x:c r="I108" s="47"/>
      <x:c r="J108" s="47"/>
      <x:c r="K108" s="47"/>
      <x:c r="L108" s="47"/>
      <x:c r="M108" s="47"/>
      <x:c r="N108" s="47"/>
      <x:c r="O108" s="47"/>
      <x:c r="P108" s="47"/>
      <x:c r="Q108" s="47"/>
      <x:c r="R108" s="47"/>
      <x:c r="S108" s="47"/>
      <x:c r="T108" s="47"/>
      <x:c r="U108" s="47"/>
      <x:c r="V108" s="47"/>
      <x:c r="W108" s="47"/>
      <x:c r="X108" s="47"/>
      <x:c r="Y108" s="47"/>
      <x:c r="Z108" s="47"/>
    </x:row>
    <x:row r="109">
      <x:c r="C109" s="9" t="str">
        <x:v>AU-R-12-04</x:v>
      </x:c>
      <x:c r="D109" s="9" t="str">
        <x:v>MS-HC|D has control</x:v>
      </x:c>
      <x:c r="E109" s="9" t="str">
        <x:f>IF(COUNTIFS('Lane Assignments'!$D$7:$D$66,'Campaign Cohorts'!C18,'Lane Assignments'!$F$7:$F$66,"Matched control")=1,"PASS","FAIL")</x:f>
        <x:v>PASS</x:v>
      </x:c>
      <x:c r="F109" s="9" t="str">
        <x:v>TERMINAL</x:v>
      </x:c>
      <x:c r="G109" s="47"/>
      <x:c r="H109" s="47"/>
      <x:c r="I109" s="47"/>
      <x:c r="J109" s="47"/>
      <x:c r="K109" s="47"/>
      <x:c r="L109" s="47"/>
      <x:c r="M109" s="47"/>
      <x:c r="N109" s="47"/>
      <x:c r="O109" s="47"/>
      <x:c r="P109" s="47"/>
      <x:c r="Q109" s="47"/>
      <x:c r="R109" s="47"/>
      <x:c r="S109" s="47"/>
      <x:c r="T109" s="47"/>
      <x:c r="U109" s="47"/>
      <x:c r="V109" s="47"/>
      <x:c r="W109" s="47"/>
      <x:c r="X109" s="47"/>
      <x:c r="Y109" s="47"/>
      <x:c r="Z109" s="47"/>
    </x:row>
    <x:row r="110">
      <x:c r="C110" s="9" t="str">
        <x:v>AU-R-12-05</x:v>
      </x:c>
      <x:c r="D110" s="9" t="str">
        <x:v>MS-HC|D has reproduction</x:v>
      </x:c>
      <x:c r="E110" s="9" t="str">
        <x:f>IF(COUNTIFS('Lane Assignments'!$D$7:$D$66,'Campaign Cohorts'!C18,'Lane Assignments'!$F$7:$F$66,"Cold reproduction")=1,"PASS","FAIL")</x:f>
        <x:v>PASS</x:v>
      </x:c>
      <x:c r="F110" s="9" t="str">
        <x:v>TERMINAL</x:v>
      </x:c>
      <x:c r="G110" s="47"/>
      <x:c r="H110" s="47"/>
      <x:c r="I110" s="47"/>
      <x:c r="J110" s="47"/>
      <x:c r="K110" s="47"/>
      <x:c r="L110" s="47"/>
      <x:c r="M110" s="47"/>
      <x:c r="N110" s="47"/>
      <x:c r="O110" s="47"/>
      <x:c r="P110" s="47"/>
      <x:c r="Q110" s="47"/>
      <x:c r="R110" s="47"/>
      <x:c r="S110" s="47"/>
      <x:c r="T110" s="47"/>
      <x:c r="U110" s="47"/>
      <x:c r="V110" s="47"/>
      <x:c r="W110" s="47"/>
      <x:c r="X110" s="47"/>
      <x:c r="Y110" s="47"/>
      <x:c r="Z110" s="47"/>
    </x:row>
    <x:row r="111">
      <x:c r="C111" s="9" t="str">
        <x:v>AU-R-12-06</x:v>
      </x:c>
      <x:c r="D111" s="9" t="str">
        <x:v>MS-HC|D has three stage gates</x:v>
      </x:c>
      <x:c r="E111" s="9" t="str">
        <x:f>IF(COUNTIFS('Stage Releases'!$D$7:$D$66,'Disposition Pipeline'!C18)=3,"PASS","FAIL")</x:f>
        <x:v>PASS</x:v>
      </x:c>
      <x:c r="F111" s="9" t="str">
        <x:v>TERMINAL</x:v>
      </x:c>
      <x:c r="G111" s="47"/>
      <x:c r="H111" s="47"/>
      <x:c r="I111" s="47"/>
      <x:c r="J111" s="47"/>
      <x:c r="K111" s="47"/>
      <x:c r="L111" s="47"/>
      <x:c r="M111" s="47"/>
      <x:c r="N111" s="47"/>
      <x:c r="O111" s="47"/>
      <x:c r="P111" s="47"/>
      <x:c r="Q111" s="47"/>
      <x:c r="R111" s="47"/>
      <x:c r="S111" s="47"/>
      <x:c r="T111" s="47"/>
      <x:c r="U111" s="47"/>
      <x:c r="V111" s="47"/>
      <x:c r="W111" s="47"/>
      <x:c r="X111" s="47"/>
      <x:c r="Y111" s="47"/>
      <x:c r="Z111" s="47"/>
    </x:row>
    <x:row r="112">
      <x:c r="C112" s="9" t="str">
        <x:v>AU-R-13-01</x:v>
      </x:c>
      <x:c r="D112" s="9" t="str">
        <x:v>MS-HU|A appears once</x:v>
      </x:c>
      <x:c r="E112" s="9" t="str">
        <x:f>IF(COUNTIFS('Campaign Cohorts'!$C$7:$C$26,'Campaign Cohorts'!C19)=1,"PASS","FAIL")</x:f>
        <x:v>PASS</x:v>
      </x:c>
      <x:c r="F112" s="9" t="str">
        <x:v>TERMINAL</x:v>
      </x:c>
      <x:c r="G112" s="47"/>
      <x:c r="H112" s="47"/>
      <x:c r="I112" s="47"/>
      <x:c r="J112" s="47"/>
      <x:c r="K112" s="47"/>
      <x:c r="L112" s="47"/>
      <x:c r="M112" s="47"/>
      <x:c r="N112" s="47"/>
      <x:c r="O112" s="47"/>
      <x:c r="P112" s="47"/>
      <x:c r="Q112" s="47"/>
      <x:c r="R112" s="47"/>
      <x:c r="S112" s="47"/>
      <x:c r="T112" s="47"/>
      <x:c r="U112" s="47"/>
      <x:c r="V112" s="47"/>
      <x:c r="W112" s="47"/>
      <x:c r="X112" s="47"/>
      <x:c r="Y112" s="47"/>
      <x:c r="Z112" s="47"/>
    </x:row>
    <x:row r="113">
      <x:c r="C113" s="9" t="str">
        <x:v>AU-R-13-02</x:v>
      </x:c>
      <x:c r="D113" s="9" t="str">
        <x:v>MS-HU|A has three assignments</x:v>
      </x:c>
      <x:c r="E113" s="9" t="str">
        <x:f>IF(COUNTIFS('Lane Assignments'!$D$7:$D$66,'Campaign Cohorts'!C19)=3,"PASS","FAIL")</x:f>
        <x:v>PASS</x:v>
      </x:c>
      <x:c r="F113" s="9" t="str">
        <x:v>TERMINAL</x:v>
      </x:c>
      <x:c r="G113" s="47"/>
      <x:c r="H113" s="47"/>
      <x:c r="I113" s="47"/>
      <x:c r="J113" s="47"/>
      <x:c r="K113" s="47"/>
      <x:c r="L113" s="47"/>
      <x:c r="M113" s="47"/>
      <x:c r="N113" s="47"/>
      <x:c r="O113" s="47"/>
      <x:c r="P113" s="47"/>
      <x:c r="Q113" s="47"/>
      <x:c r="R113" s="47"/>
      <x:c r="S113" s="47"/>
      <x:c r="T113" s="47"/>
      <x:c r="U113" s="47"/>
      <x:c r="V113" s="47"/>
      <x:c r="W113" s="47"/>
      <x:c r="X113" s="47"/>
      <x:c r="Y113" s="47"/>
      <x:c r="Z113" s="47"/>
    </x:row>
    <x:row r="114">
      <x:c r="C114" s="9" t="str">
        <x:v>AU-R-13-03</x:v>
      </x:c>
      <x:c r="D114" s="9" t="str">
        <x:v>MS-HU|A has challenge</x:v>
      </x:c>
      <x:c r="E114" s="9" t="str">
        <x:f>IF(COUNTIFS('Lane Assignments'!$D$7:$D$66,'Campaign Cohorts'!C19,'Lane Assignments'!$F$7:$F$66,"Challenge")=1,"PASS","FAIL")</x:f>
        <x:v>PASS</x:v>
      </x:c>
      <x:c r="F114" s="9" t="str">
        <x:v>TERMINAL</x:v>
      </x:c>
      <x:c r="G114" s="47"/>
      <x:c r="H114" s="47"/>
      <x:c r="I114" s="47"/>
      <x:c r="J114" s="47"/>
      <x:c r="K114" s="47"/>
      <x:c r="L114" s="47"/>
      <x:c r="M114" s="47"/>
      <x:c r="N114" s="47"/>
      <x:c r="O114" s="47"/>
      <x:c r="P114" s="47"/>
      <x:c r="Q114" s="47"/>
      <x:c r="R114" s="47"/>
      <x:c r="S114" s="47"/>
      <x:c r="T114" s="47"/>
      <x:c r="U114" s="47"/>
      <x:c r="V114" s="47"/>
      <x:c r="W114" s="47"/>
      <x:c r="X114" s="47"/>
      <x:c r="Y114" s="47"/>
      <x:c r="Z114" s="47"/>
    </x:row>
    <x:row r="115">
      <x:c r="C115" s="9" t="str">
        <x:v>AU-R-13-04</x:v>
      </x:c>
      <x:c r="D115" s="9" t="str">
        <x:v>MS-HU|A has control</x:v>
      </x:c>
      <x:c r="E115" s="9" t="str">
        <x:f>IF(COUNTIFS('Lane Assignments'!$D$7:$D$66,'Campaign Cohorts'!C19,'Lane Assignments'!$F$7:$F$66,"Matched control")=1,"PASS","FAIL")</x:f>
        <x:v>PASS</x:v>
      </x:c>
      <x:c r="F115" s="9" t="str">
        <x:v>TERMINAL</x:v>
      </x:c>
      <x:c r="G115" s="47"/>
      <x:c r="H115" s="47"/>
      <x:c r="I115" s="47"/>
      <x:c r="J115" s="47"/>
      <x:c r="K115" s="47"/>
      <x:c r="L115" s="47"/>
      <x:c r="M115" s="47"/>
      <x:c r="N115" s="47"/>
      <x:c r="O115" s="47"/>
      <x:c r="P115" s="47"/>
      <x:c r="Q115" s="47"/>
      <x:c r="R115" s="47"/>
      <x:c r="S115" s="47"/>
      <x:c r="T115" s="47"/>
      <x:c r="U115" s="47"/>
      <x:c r="V115" s="47"/>
      <x:c r="W115" s="47"/>
      <x:c r="X115" s="47"/>
      <x:c r="Y115" s="47"/>
      <x:c r="Z115" s="47"/>
    </x:row>
    <x:row r="116">
      <x:c r="C116" s="9" t="str">
        <x:v>AU-R-13-05</x:v>
      </x:c>
      <x:c r="D116" s="9" t="str">
        <x:v>MS-HU|A has reproduction</x:v>
      </x:c>
      <x:c r="E116" s="9" t="str">
        <x:f>IF(COUNTIFS('Lane Assignments'!$D$7:$D$66,'Campaign Cohorts'!C19,'Lane Assignments'!$F$7:$F$66,"Cold reproduction")=1,"PASS","FAIL")</x:f>
        <x:v>PASS</x:v>
      </x:c>
      <x:c r="F116" s="9" t="str">
        <x:v>TERMINAL</x:v>
      </x:c>
      <x:c r="G116" s="47"/>
      <x:c r="H116" s="47"/>
      <x:c r="I116" s="47"/>
      <x:c r="J116" s="47"/>
      <x:c r="K116" s="47"/>
      <x:c r="L116" s="47"/>
      <x:c r="M116" s="47"/>
      <x:c r="N116" s="47"/>
      <x:c r="O116" s="47"/>
      <x:c r="P116" s="47"/>
      <x:c r="Q116" s="47"/>
      <x:c r="R116" s="47"/>
      <x:c r="S116" s="47"/>
      <x:c r="T116" s="47"/>
      <x:c r="U116" s="47"/>
      <x:c r="V116" s="47"/>
      <x:c r="W116" s="47"/>
      <x:c r="X116" s="47"/>
      <x:c r="Y116" s="47"/>
      <x:c r="Z116" s="47"/>
    </x:row>
    <x:row r="117">
      <x:c r="C117" s="9" t="str">
        <x:v>AU-R-13-06</x:v>
      </x:c>
      <x:c r="D117" s="9" t="str">
        <x:v>MS-HU|A has three stage gates</x:v>
      </x:c>
      <x:c r="E117" s="9" t="str">
        <x:f>IF(COUNTIFS('Stage Releases'!$D$7:$D$66,'Disposition Pipeline'!C19)=3,"PASS","FAIL")</x:f>
        <x:v>PASS</x:v>
      </x:c>
      <x:c r="F117" s="9" t="str">
        <x:v>TERMINAL</x:v>
      </x:c>
      <x:c r="G117" s="47"/>
      <x:c r="H117" s="47"/>
      <x:c r="I117" s="47"/>
      <x:c r="J117" s="47"/>
      <x:c r="K117" s="47"/>
      <x:c r="L117" s="47"/>
      <x:c r="M117" s="47"/>
      <x:c r="N117" s="47"/>
      <x:c r="O117" s="47"/>
      <x:c r="P117" s="47"/>
      <x:c r="Q117" s="47"/>
      <x:c r="R117" s="47"/>
      <x:c r="S117" s="47"/>
      <x:c r="T117" s="47"/>
      <x:c r="U117" s="47"/>
      <x:c r="V117" s="47"/>
      <x:c r="W117" s="47"/>
      <x:c r="X117" s="47"/>
      <x:c r="Y117" s="47"/>
      <x:c r="Z117" s="47"/>
    </x:row>
    <x:row r="118">
      <x:c r="C118" s="9" t="str">
        <x:v>AU-R-14-01</x:v>
      </x:c>
      <x:c r="D118" s="9" t="str">
        <x:v>MS-HU|B appears once</x:v>
      </x:c>
      <x:c r="E118" s="9" t="str">
        <x:f>IF(COUNTIFS('Campaign Cohorts'!$C$7:$C$26,'Campaign Cohorts'!C20)=1,"PASS","FAIL")</x:f>
        <x:v>PASS</x:v>
      </x:c>
      <x:c r="F118" s="9" t="str">
        <x:v>TERMINAL</x:v>
      </x:c>
      <x:c r="G118" s="47"/>
      <x:c r="H118" s="47"/>
      <x:c r="I118" s="47"/>
      <x:c r="J118" s="47"/>
      <x:c r="K118" s="47"/>
      <x:c r="L118" s="47"/>
      <x:c r="M118" s="47"/>
      <x:c r="N118" s="47"/>
      <x:c r="O118" s="47"/>
      <x:c r="P118" s="47"/>
      <x:c r="Q118" s="47"/>
      <x:c r="R118" s="47"/>
      <x:c r="S118" s="47"/>
      <x:c r="T118" s="47"/>
      <x:c r="U118" s="47"/>
      <x:c r="V118" s="47"/>
      <x:c r="W118" s="47"/>
      <x:c r="X118" s="47"/>
      <x:c r="Y118" s="47"/>
      <x:c r="Z118" s="47"/>
    </x:row>
    <x:row r="119">
      <x:c r="C119" s="9" t="str">
        <x:v>AU-R-14-02</x:v>
      </x:c>
      <x:c r="D119" s="9" t="str">
        <x:v>MS-HU|B has three assignments</x:v>
      </x:c>
      <x:c r="E119" s="9" t="str">
        <x:f>IF(COUNTIFS('Lane Assignments'!$D$7:$D$66,'Campaign Cohorts'!C20)=3,"PASS","FAIL")</x:f>
        <x:v>PASS</x:v>
      </x:c>
      <x:c r="F119" s="9" t="str">
        <x:v>TERMINAL</x:v>
      </x:c>
      <x:c r="G119" s="47"/>
      <x:c r="H119" s="47"/>
      <x:c r="I119" s="47"/>
      <x:c r="J119" s="47"/>
      <x:c r="K119" s="47"/>
      <x:c r="L119" s="47"/>
      <x:c r="M119" s="47"/>
      <x:c r="N119" s="47"/>
      <x:c r="O119" s="47"/>
      <x:c r="P119" s="47"/>
      <x:c r="Q119" s="47"/>
      <x:c r="R119" s="47"/>
      <x:c r="S119" s="47"/>
      <x:c r="T119" s="47"/>
      <x:c r="U119" s="47"/>
      <x:c r="V119" s="47"/>
      <x:c r="W119" s="47"/>
      <x:c r="X119" s="47"/>
      <x:c r="Y119" s="47"/>
      <x:c r="Z119" s="47"/>
    </x:row>
    <x:row r="120">
      <x:c r="C120" s="9" t="str">
        <x:v>AU-R-14-03</x:v>
      </x:c>
      <x:c r="D120" s="9" t="str">
        <x:v>MS-HU|B has challenge</x:v>
      </x:c>
      <x:c r="E120" s="9" t="str">
        <x:f>IF(COUNTIFS('Lane Assignments'!$D$7:$D$66,'Campaign Cohorts'!C20,'Lane Assignments'!$F$7:$F$66,"Challenge")=1,"PASS","FAIL")</x:f>
        <x:v>PASS</x:v>
      </x:c>
      <x:c r="F120" s="9" t="str">
        <x:v>TERMINAL</x:v>
      </x:c>
      <x:c r="G120" s="47"/>
      <x:c r="H120" s="47"/>
      <x:c r="I120" s="47"/>
      <x:c r="J120" s="47"/>
      <x:c r="K120" s="47"/>
      <x:c r="L120" s="47"/>
      <x:c r="M120" s="47"/>
      <x:c r="N120" s="47"/>
      <x:c r="O120" s="47"/>
      <x:c r="P120" s="47"/>
      <x:c r="Q120" s="47"/>
      <x:c r="R120" s="47"/>
      <x:c r="S120" s="47"/>
      <x:c r="T120" s="47"/>
      <x:c r="U120" s="47"/>
      <x:c r="V120" s="47"/>
      <x:c r="W120" s="47"/>
      <x:c r="X120" s="47"/>
      <x:c r="Y120" s="47"/>
      <x:c r="Z120" s="47"/>
    </x:row>
    <x:row r="121">
      <x:c r="C121" s="9" t="str">
        <x:v>AU-R-14-04</x:v>
      </x:c>
      <x:c r="D121" s="9" t="str">
        <x:v>MS-HU|B has control</x:v>
      </x:c>
      <x:c r="E121" s="9" t="str">
        <x:f>IF(COUNTIFS('Lane Assignments'!$D$7:$D$66,'Campaign Cohorts'!C20,'Lane Assignments'!$F$7:$F$66,"Matched control")=1,"PASS","FAIL")</x:f>
        <x:v>PASS</x:v>
      </x:c>
      <x:c r="F121" s="9" t="str">
        <x:v>TERMINAL</x:v>
      </x:c>
      <x:c r="G121" s="47"/>
      <x:c r="H121" s="47"/>
      <x:c r="I121" s="47"/>
      <x:c r="J121" s="47"/>
      <x:c r="K121" s="47"/>
      <x:c r="L121" s="47"/>
      <x:c r="M121" s="47"/>
      <x:c r="N121" s="47"/>
      <x:c r="O121" s="47"/>
      <x:c r="P121" s="47"/>
      <x:c r="Q121" s="47"/>
      <x:c r="R121" s="47"/>
      <x:c r="S121" s="47"/>
      <x:c r="T121" s="47"/>
      <x:c r="U121" s="47"/>
      <x:c r="V121" s="47"/>
      <x:c r="W121" s="47"/>
      <x:c r="X121" s="47"/>
      <x:c r="Y121" s="47"/>
      <x:c r="Z121" s="47"/>
    </x:row>
    <x:row r="122">
      <x:c r="C122" s="9" t="str">
        <x:v>AU-R-14-05</x:v>
      </x:c>
      <x:c r="D122" s="9" t="str">
        <x:v>MS-HU|B has reproduction</x:v>
      </x:c>
      <x:c r="E122" s="9" t="str">
        <x:f>IF(COUNTIFS('Lane Assignments'!$D$7:$D$66,'Campaign Cohorts'!C20,'Lane Assignments'!$F$7:$F$66,"Cold reproduction")=1,"PASS","FAIL")</x:f>
        <x:v>PASS</x:v>
      </x:c>
      <x:c r="F122" s="9" t="str">
        <x:v>TERMINAL</x:v>
      </x:c>
      <x:c r="G122" s="47"/>
      <x:c r="H122" s="47"/>
      <x:c r="I122" s="47"/>
      <x:c r="J122" s="47"/>
      <x:c r="K122" s="47"/>
      <x:c r="L122" s="47"/>
      <x:c r="M122" s="47"/>
      <x:c r="N122" s="47"/>
      <x:c r="O122" s="47"/>
      <x:c r="P122" s="47"/>
      <x:c r="Q122" s="47"/>
      <x:c r="R122" s="47"/>
      <x:c r="S122" s="47"/>
      <x:c r="T122" s="47"/>
      <x:c r="U122" s="47"/>
      <x:c r="V122" s="47"/>
      <x:c r="W122" s="47"/>
      <x:c r="X122" s="47"/>
      <x:c r="Y122" s="47"/>
      <x:c r="Z122" s="47"/>
    </x:row>
    <x:row r="123">
      <x:c r="C123" s="9" t="str">
        <x:v>AU-R-14-06</x:v>
      </x:c>
      <x:c r="D123" s="9" t="str">
        <x:v>MS-HU|B has three stage gates</x:v>
      </x:c>
      <x:c r="E123" s="9" t="str">
        <x:f>IF(COUNTIFS('Stage Releases'!$D$7:$D$66,'Disposition Pipeline'!C20)=3,"PASS","FAIL")</x:f>
        <x:v>PASS</x:v>
      </x:c>
      <x:c r="F123" s="9" t="str">
        <x:v>TERMINAL</x:v>
      </x:c>
      <x:c r="G123" s="47"/>
      <x:c r="H123" s="47"/>
      <x:c r="I123" s="47"/>
      <x:c r="J123" s="47"/>
      <x:c r="K123" s="47"/>
      <x:c r="L123" s="47"/>
      <x:c r="M123" s="47"/>
      <x:c r="N123" s="47"/>
      <x:c r="O123" s="47"/>
      <x:c r="P123" s="47"/>
      <x:c r="Q123" s="47"/>
      <x:c r="R123" s="47"/>
      <x:c r="S123" s="47"/>
      <x:c r="T123" s="47"/>
      <x:c r="U123" s="47"/>
      <x:c r="V123" s="47"/>
      <x:c r="W123" s="47"/>
      <x:c r="X123" s="47"/>
      <x:c r="Y123" s="47"/>
      <x:c r="Z123" s="47"/>
    </x:row>
    <x:row r="124">
      <x:c r="C124" s="9" t="str">
        <x:v>AU-R-15-01</x:v>
      </x:c>
      <x:c r="D124" s="9" t="str">
        <x:v>MS-HU|C appears once</x:v>
      </x:c>
      <x:c r="E124" s="9" t="str">
        <x:f>IF(COUNTIFS('Campaign Cohorts'!$C$7:$C$26,'Campaign Cohorts'!C21)=1,"PASS","FAIL")</x:f>
        <x:v>PASS</x:v>
      </x:c>
      <x:c r="F124" s="9" t="str">
        <x:v>TERMINAL</x:v>
      </x:c>
      <x:c r="G124" s="47"/>
      <x:c r="H124" s="47"/>
      <x:c r="I124" s="47"/>
      <x:c r="J124" s="47"/>
      <x:c r="K124" s="47"/>
      <x:c r="L124" s="47"/>
      <x:c r="M124" s="47"/>
      <x:c r="N124" s="47"/>
      <x:c r="O124" s="47"/>
      <x:c r="P124" s="47"/>
      <x:c r="Q124" s="47"/>
      <x:c r="R124" s="47"/>
      <x:c r="S124" s="47"/>
      <x:c r="T124" s="47"/>
      <x:c r="U124" s="47"/>
      <x:c r="V124" s="47"/>
      <x:c r="W124" s="47"/>
      <x:c r="X124" s="47"/>
      <x:c r="Y124" s="47"/>
      <x:c r="Z124" s="47"/>
    </x:row>
    <x:row r="125">
      <x:c r="C125" s="9" t="str">
        <x:v>AU-R-15-02</x:v>
      </x:c>
      <x:c r="D125" s="9" t="str">
        <x:v>MS-HU|C has three assignments</x:v>
      </x:c>
      <x:c r="E125" s="9" t="str">
        <x:f>IF(COUNTIFS('Lane Assignments'!$D$7:$D$66,'Campaign Cohorts'!C21)=3,"PASS","FAIL")</x:f>
        <x:v>PASS</x:v>
      </x:c>
      <x:c r="F125" s="9" t="str">
        <x:v>TERMINAL</x:v>
      </x:c>
      <x:c r="G125" s="47"/>
      <x:c r="H125" s="47"/>
      <x:c r="I125" s="47"/>
      <x:c r="J125" s="47"/>
      <x:c r="K125" s="47"/>
      <x:c r="L125" s="47"/>
      <x:c r="M125" s="47"/>
      <x:c r="N125" s="47"/>
      <x:c r="O125" s="47"/>
      <x:c r="P125" s="47"/>
      <x:c r="Q125" s="47"/>
      <x:c r="R125" s="47"/>
      <x:c r="S125" s="47"/>
      <x:c r="T125" s="47"/>
      <x:c r="U125" s="47"/>
      <x:c r="V125" s="47"/>
      <x:c r="W125" s="47"/>
      <x:c r="X125" s="47"/>
      <x:c r="Y125" s="47"/>
      <x:c r="Z125" s="47"/>
    </x:row>
    <x:row r="126">
      <x:c r="C126" s="9" t="str">
        <x:v>AU-R-15-03</x:v>
      </x:c>
      <x:c r="D126" s="9" t="str">
        <x:v>MS-HU|C has challenge</x:v>
      </x:c>
      <x:c r="E126" s="9" t="str">
        <x:f>IF(COUNTIFS('Lane Assignments'!$D$7:$D$66,'Campaign Cohorts'!C21,'Lane Assignments'!$F$7:$F$66,"Challenge")=1,"PASS","FAIL")</x:f>
        <x:v>PASS</x:v>
      </x:c>
      <x:c r="F126" s="9" t="str">
        <x:v>TERMINAL</x:v>
      </x:c>
      <x:c r="G126" s="47"/>
      <x:c r="H126" s="47"/>
      <x:c r="I126" s="47"/>
      <x:c r="J126" s="47"/>
      <x:c r="K126" s="47"/>
      <x:c r="L126" s="47"/>
      <x:c r="M126" s="47"/>
      <x:c r="N126" s="47"/>
      <x:c r="O126" s="47"/>
      <x:c r="P126" s="47"/>
      <x:c r="Q126" s="47"/>
      <x:c r="R126" s="47"/>
      <x:c r="S126" s="47"/>
      <x:c r="T126" s="47"/>
      <x:c r="U126" s="47"/>
      <x:c r="V126" s="47"/>
      <x:c r="W126" s="47"/>
      <x:c r="X126" s="47"/>
      <x:c r="Y126" s="47"/>
      <x:c r="Z126" s="47"/>
    </x:row>
    <x:row r="127">
      <x:c r="C127" s="9" t="str">
        <x:v>AU-R-15-04</x:v>
      </x:c>
      <x:c r="D127" s="9" t="str">
        <x:v>MS-HU|C has control</x:v>
      </x:c>
      <x:c r="E127" s="9" t="str">
        <x:f>IF(COUNTIFS('Lane Assignments'!$D$7:$D$66,'Campaign Cohorts'!C21,'Lane Assignments'!$F$7:$F$66,"Matched control")=1,"PASS","FAIL")</x:f>
        <x:v>PASS</x:v>
      </x:c>
      <x:c r="F127" s="9" t="str">
        <x:v>TERMINAL</x:v>
      </x:c>
      <x:c r="G127" s="47"/>
      <x:c r="H127" s="47"/>
      <x:c r="I127" s="47"/>
      <x:c r="J127" s="47"/>
      <x:c r="K127" s="47"/>
      <x:c r="L127" s="47"/>
      <x:c r="M127" s="47"/>
      <x:c r="N127" s="47"/>
      <x:c r="O127" s="47"/>
      <x:c r="P127" s="47"/>
      <x:c r="Q127" s="47"/>
      <x:c r="R127" s="47"/>
      <x:c r="S127" s="47"/>
      <x:c r="T127" s="47"/>
      <x:c r="U127" s="47"/>
      <x:c r="V127" s="47"/>
      <x:c r="W127" s="47"/>
      <x:c r="X127" s="47"/>
      <x:c r="Y127" s="47"/>
      <x:c r="Z127" s="47"/>
    </x:row>
    <x:row r="128">
      <x:c r="C128" s="9" t="str">
        <x:v>AU-R-15-05</x:v>
      </x:c>
      <x:c r="D128" s="9" t="str">
        <x:v>MS-HU|C has reproduction</x:v>
      </x:c>
      <x:c r="E128" s="9" t="str">
        <x:f>IF(COUNTIFS('Lane Assignments'!$D$7:$D$66,'Campaign Cohorts'!C21,'Lane Assignments'!$F$7:$F$66,"Cold reproduction")=1,"PASS","FAIL")</x:f>
        <x:v>PASS</x:v>
      </x:c>
      <x:c r="F128" s="9" t="str">
        <x:v>TERMINAL</x:v>
      </x:c>
      <x:c r="G128" s="47"/>
      <x:c r="H128" s="47"/>
      <x:c r="I128" s="47"/>
      <x:c r="J128" s="47"/>
      <x:c r="K128" s="47"/>
      <x:c r="L128" s="47"/>
      <x:c r="M128" s="47"/>
      <x:c r="N128" s="47"/>
      <x:c r="O128" s="47"/>
      <x:c r="P128" s="47"/>
      <x:c r="Q128" s="47"/>
      <x:c r="R128" s="47"/>
      <x:c r="S128" s="47"/>
      <x:c r="T128" s="47"/>
      <x:c r="U128" s="47"/>
      <x:c r="V128" s="47"/>
      <x:c r="W128" s="47"/>
      <x:c r="X128" s="47"/>
      <x:c r="Y128" s="47"/>
      <x:c r="Z128" s="47"/>
    </x:row>
    <x:row r="129">
      <x:c r="C129" s="9" t="str">
        <x:v>AU-R-15-06</x:v>
      </x:c>
      <x:c r="D129" s="9" t="str">
        <x:v>MS-HU|C has three stage gates</x:v>
      </x:c>
      <x:c r="E129" s="9" t="str">
        <x:f>IF(COUNTIFS('Stage Releases'!$D$7:$D$66,'Disposition Pipeline'!C21)=3,"PASS","FAIL")</x:f>
        <x:v>PASS</x:v>
      </x:c>
      <x:c r="F129" s="9" t="str">
        <x:v>TERMINAL</x:v>
      </x:c>
      <x:c r="G129" s="47"/>
      <x:c r="H129" s="47"/>
      <x:c r="I129" s="47"/>
      <x:c r="J129" s="47"/>
      <x:c r="K129" s="47"/>
      <x:c r="L129" s="47"/>
      <x:c r="M129" s="47"/>
      <x:c r="N129" s="47"/>
      <x:c r="O129" s="47"/>
      <x:c r="P129" s="47"/>
      <x:c r="Q129" s="47"/>
      <x:c r="R129" s="47"/>
      <x:c r="S129" s="47"/>
      <x:c r="T129" s="47"/>
      <x:c r="U129" s="47"/>
      <x:c r="V129" s="47"/>
      <x:c r="W129" s="47"/>
      <x:c r="X129" s="47"/>
      <x:c r="Y129" s="47"/>
      <x:c r="Z129" s="47"/>
    </x:row>
    <x:row r="130">
      <x:c r="C130" s="9" t="str">
        <x:v>AU-R-16-01</x:v>
      </x:c>
      <x:c r="D130" s="9" t="str">
        <x:v>MS-HU|D appears once</x:v>
      </x:c>
      <x:c r="E130" s="9" t="str">
        <x:f>IF(COUNTIFS('Campaign Cohorts'!$C$7:$C$26,'Campaign Cohorts'!C22)=1,"PASS","FAIL")</x:f>
        <x:v>PASS</x:v>
      </x:c>
      <x:c r="F130" s="9" t="str">
        <x:v>TERMINAL</x:v>
      </x:c>
      <x:c r="G130" s="47"/>
      <x:c r="H130" s="47"/>
      <x:c r="I130" s="47"/>
      <x:c r="J130" s="47"/>
      <x:c r="K130" s="47"/>
      <x:c r="L130" s="47"/>
      <x:c r="M130" s="47"/>
      <x:c r="N130" s="47"/>
      <x:c r="O130" s="47"/>
      <x:c r="P130" s="47"/>
      <x:c r="Q130" s="47"/>
      <x:c r="R130" s="47"/>
      <x:c r="S130" s="47"/>
      <x:c r="T130" s="47"/>
      <x:c r="U130" s="47"/>
      <x:c r="V130" s="47"/>
      <x:c r="W130" s="47"/>
      <x:c r="X130" s="47"/>
      <x:c r="Y130" s="47"/>
      <x:c r="Z130" s="47"/>
    </x:row>
    <x:row r="131">
      <x:c r="C131" s="9" t="str">
        <x:v>AU-R-16-02</x:v>
      </x:c>
      <x:c r="D131" s="9" t="str">
        <x:v>MS-HU|D has three assignments</x:v>
      </x:c>
      <x:c r="E131" s="9" t="str">
        <x:f>IF(COUNTIFS('Lane Assignments'!$D$7:$D$66,'Campaign Cohorts'!C22)=3,"PASS","FAIL")</x:f>
        <x:v>PASS</x:v>
      </x:c>
      <x:c r="F131" s="9" t="str">
        <x:v>TERMINAL</x:v>
      </x:c>
      <x:c r="G131" s="47"/>
      <x:c r="H131" s="47"/>
      <x:c r="I131" s="47"/>
      <x:c r="J131" s="47"/>
      <x:c r="K131" s="47"/>
      <x:c r="L131" s="47"/>
      <x:c r="M131" s="47"/>
      <x:c r="N131" s="47"/>
      <x:c r="O131" s="47"/>
      <x:c r="P131" s="47"/>
      <x:c r="Q131" s="47"/>
      <x:c r="R131" s="47"/>
      <x:c r="S131" s="47"/>
      <x:c r="T131" s="47"/>
      <x:c r="U131" s="47"/>
      <x:c r="V131" s="47"/>
      <x:c r="W131" s="47"/>
      <x:c r="X131" s="47"/>
      <x:c r="Y131" s="47"/>
      <x:c r="Z131" s="47"/>
    </x:row>
    <x:row r="132">
      <x:c r="C132" s="9" t="str">
        <x:v>AU-R-16-03</x:v>
      </x:c>
      <x:c r="D132" s="9" t="str">
        <x:v>MS-HU|D has challenge</x:v>
      </x:c>
      <x:c r="E132" s="9" t="str">
        <x:f>IF(COUNTIFS('Lane Assignments'!$D$7:$D$66,'Campaign Cohorts'!C22,'Lane Assignments'!$F$7:$F$66,"Challenge")=1,"PASS","FAIL")</x:f>
        <x:v>PASS</x:v>
      </x:c>
      <x:c r="F132" s="9" t="str">
        <x:v>TERMINAL</x:v>
      </x:c>
      <x:c r="G132" s="47"/>
      <x:c r="H132" s="47"/>
      <x:c r="I132" s="47"/>
      <x:c r="J132" s="47"/>
      <x:c r="K132" s="47"/>
      <x:c r="L132" s="47"/>
      <x:c r="M132" s="47"/>
      <x:c r="N132" s="47"/>
      <x:c r="O132" s="47"/>
      <x:c r="P132" s="47"/>
      <x:c r="Q132" s="47"/>
      <x:c r="R132" s="47"/>
      <x:c r="S132" s="47"/>
      <x:c r="T132" s="47"/>
      <x:c r="U132" s="47"/>
      <x:c r="V132" s="47"/>
      <x:c r="W132" s="47"/>
      <x:c r="X132" s="47"/>
      <x:c r="Y132" s="47"/>
      <x:c r="Z132" s="47"/>
    </x:row>
    <x:row r="133">
      <x:c r="C133" s="9" t="str">
        <x:v>AU-R-16-04</x:v>
      </x:c>
      <x:c r="D133" s="9" t="str">
        <x:v>MS-HU|D has control</x:v>
      </x:c>
      <x:c r="E133" s="9" t="str">
        <x:f>IF(COUNTIFS('Lane Assignments'!$D$7:$D$66,'Campaign Cohorts'!C22,'Lane Assignments'!$F$7:$F$66,"Matched control")=1,"PASS","FAIL")</x:f>
        <x:v>PASS</x:v>
      </x:c>
      <x:c r="F133" s="9" t="str">
        <x:v>TERMINAL</x:v>
      </x:c>
      <x:c r="G133" s="47"/>
      <x:c r="H133" s="47"/>
      <x:c r="I133" s="47"/>
      <x:c r="J133" s="47"/>
      <x:c r="K133" s="47"/>
      <x:c r="L133" s="47"/>
      <x:c r="M133" s="47"/>
      <x:c r="N133" s="47"/>
      <x:c r="O133" s="47"/>
      <x:c r="P133" s="47"/>
      <x:c r="Q133" s="47"/>
      <x:c r="R133" s="47"/>
      <x:c r="S133" s="47"/>
      <x:c r="T133" s="47"/>
      <x:c r="U133" s="47"/>
      <x:c r="V133" s="47"/>
      <x:c r="W133" s="47"/>
      <x:c r="X133" s="47"/>
      <x:c r="Y133" s="47"/>
      <x:c r="Z133" s="47"/>
    </x:row>
    <x:row r="134">
      <x:c r="C134" s="9" t="str">
        <x:v>AU-R-16-05</x:v>
      </x:c>
      <x:c r="D134" s="9" t="str">
        <x:v>MS-HU|D has reproduction</x:v>
      </x:c>
      <x:c r="E134" s="9" t="str">
        <x:f>IF(COUNTIFS('Lane Assignments'!$D$7:$D$66,'Campaign Cohorts'!C22,'Lane Assignments'!$F$7:$F$66,"Cold reproduction")=1,"PASS","FAIL")</x:f>
        <x:v>PASS</x:v>
      </x:c>
      <x:c r="F134" s="9" t="str">
        <x:v>TERMINAL</x:v>
      </x:c>
      <x:c r="G134" s="47"/>
      <x:c r="H134" s="47"/>
      <x:c r="I134" s="47"/>
      <x:c r="J134" s="47"/>
      <x:c r="K134" s="47"/>
      <x:c r="L134" s="47"/>
      <x:c r="M134" s="47"/>
      <x:c r="N134" s="47"/>
      <x:c r="O134" s="47"/>
      <x:c r="P134" s="47"/>
      <x:c r="Q134" s="47"/>
      <x:c r="R134" s="47"/>
      <x:c r="S134" s="47"/>
      <x:c r="T134" s="47"/>
      <x:c r="U134" s="47"/>
      <x:c r="V134" s="47"/>
      <x:c r="W134" s="47"/>
      <x:c r="X134" s="47"/>
      <x:c r="Y134" s="47"/>
      <x:c r="Z134" s="47"/>
    </x:row>
    <x:row r="135">
      <x:c r="C135" s="9" t="str">
        <x:v>AU-R-16-06</x:v>
      </x:c>
      <x:c r="D135" s="9" t="str">
        <x:v>MS-HU|D has three stage gates</x:v>
      </x:c>
      <x:c r="E135" s="9" t="str">
        <x:f>IF(COUNTIFS('Stage Releases'!$D$7:$D$66,'Disposition Pipeline'!C22)=3,"PASS","FAIL")</x:f>
        <x:v>PASS</x:v>
      </x:c>
      <x:c r="F135" s="9" t="str">
        <x:v>TERMINAL</x:v>
      </x:c>
      <x:c r="G135" s="47"/>
      <x:c r="H135" s="47"/>
      <x:c r="I135" s="47"/>
      <x:c r="J135" s="47"/>
      <x:c r="K135" s="47"/>
      <x:c r="L135" s="47"/>
      <x:c r="M135" s="47"/>
      <x:c r="N135" s="47"/>
      <x:c r="O135" s="47"/>
      <x:c r="P135" s="47"/>
      <x:c r="Q135" s="47"/>
      <x:c r="R135" s="47"/>
      <x:c r="S135" s="47"/>
      <x:c r="T135" s="47"/>
      <x:c r="U135" s="47"/>
      <x:c r="V135" s="47"/>
      <x:c r="W135" s="47"/>
      <x:c r="X135" s="47"/>
      <x:c r="Y135" s="47"/>
      <x:c r="Z135" s="47"/>
    </x:row>
    <x:row r="136">
      <x:c r="C136" s="9" t="str">
        <x:v>AU-R-17-01</x:v>
      </x:c>
      <x:c r="D136" s="9" t="str">
        <x:v>MS-RT|A appears once</x:v>
      </x:c>
      <x:c r="E136" s="9" t="str">
        <x:f>IF(COUNTIFS('Campaign Cohorts'!$C$7:$C$26,'Campaign Cohorts'!C23)=1,"PASS","FAIL")</x:f>
        <x:v>PASS</x:v>
      </x:c>
      <x:c r="F136" s="9" t="str">
        <x:v>TERMINAL</x:v>
      </x:c>
      <x:c r="G136" s="47"/>
      <x:c r="H136" s="47"/>
      <x:c r="I136" s="47"/>
      <x:c r="J136" s="47"/>
      <x:c r="K136" s="47"/>
      <x:c r="L136" s="47"/>
      <x:c r="M136" s="47"/>
      <x:c r="N136" s="47"/>
      <x:c r="O136" s="47"/>
      <x:c r="P136" s="47"/>
      <x:c r="Q136" s="47"/>
      <x:c r="R136" s="47"/>
      <x:c r="S136" s="47"/>
      <x:c r="T136" s="47"/>
      <x:c r="U136" s="47"/>
      <x:c r="V136" s="47"/>
      <x:c r="W136" s="47"/>
      <x:c r="X136" s="47"/>
      <x:c r="Y136" s="47"/>
      <x:c r="Z136" s="47"/>
    </x:row>
    <x:row r="137">
      <x:c r="C137" s="9" t="str">
        <x:v>AU-R-17-02</x:v>
      </x:c>
      <x:c r="D137" s="9" t="str">
        <x:v>MS-RT|A has three assignments</x:v>
      </x:c>
      <x:c r="E137" s="9" t="str">
        <x:f>IF(COUNTIFS('Lane Assignments'!$D$7:$D$66,'Campaign Cohorts'!C23)=3,"PASS","FAIL")</x:f>
        <x:v>PASS</x:v>
      </x:c>
      <x:c r="F137" s="9" t="str">
        <x:v>TERMINAL</x:v>
      </x:c>
      <x:c r="G137" s="47"/>
      <x:c r="H137" s="47"/>
      <x:c r="I137" s="47"/>
      <x:c r="J137" s="47"/>
      <x:c r="K137" s="47"/>
      <x:c r="L137" s="47"/>
      <x:c r="M137" s="47"/>
      <x:c r="N137" s="47"/>
      <x:c r="O137" s="47"/>
      <x:c r="P137" s="47"/>
      <x:c r="Q137" s="47"/>
      <x:c r="R137" s="47"/>
      <x:c r="S137" s="47"/>
      <x:c r="T137" s="47"/>
      <x:c r="U137" s="47"/>
      <x:c r="V137" s="47"/>
      <x:c r="W137" s="47"/>
      <x:c r="X137" s="47"/>
      <x:c r="Y137" s="47"/>
      <x:c r="Z137" s="47"/>
    </x:row>
    <x:row r="138">
      <x:c r="C138" s="9" t="str">
        <x:v>AU-R-17-03</x:v>
      </x:c>
      <x:c r="D138" s="9" t="str">
        <x:v>MS-RT|A has challenge</x:v>
      </x:c>
      <x:c r="E138" s="9" t="str">
        <x:f>IF(COUNTIFS('Lane Assignments'!$D$7:$D$66,'Campaign Cohorts'!C23,'Lane Assignments'!$F$7:$F$66,"Challenge")=1,"PASS","FAIL")</x:f>
        <x:v>PASS</x:v>
      </x:c>
      <x:c r="F138" s="9" t="str">
        <x:v>TERMINAL</x:v>
      </x:c>
      <x:c r="G138" s="47"/>
      <x:c r="H138" s="47"/>
      <x:c r="I138" s="47"/>
      <x:c r="J138" s="47"/>
      <x:c r="K138" s="47"/>
      <x:c r="L138" s="47"/>
      <x:c r="M138" s="47"/>
      <x:c r="N138" s="47"/>
      <x:c r="O138" s="47"/>
      <x:c r="P138" s="47"/>
      <x:c r="Q138" s="47"/>
      <x:c r="R138" s="47"/>
      <x:c r="S138" s="47"/>
      <x:c r="T138" s="47"/>
      <x:c r="U138" s="47"/>
      <x:c r="V138" s="47"/>
      <x:c r="W138" s="47"/>
      <x:c r="X138" s="47"/>
      <x:c r="Y138" s="47"/>
      <x:c r="Z138" s="47"/>
    </x:row>
    <x:row r="139">
      <x:c r="C139" s="9" t="str">
        <x:v>AU-R-17-04</x:v>
      </x:c>
      <x:c r="D139" s="9" t="str">
        <x:v>MS-RT|A has control</x:v>
      </x:c>
      <x:c r="E139" s="9" t="str">
        <x:f>IF(COUNTIFS('Lane Assignments'!$D$7:$D$66,'Campaign Cohorts'!C23,'Lane Assignments'!$F$7:$F$66,"Matched control")=1,"PASS","FAIL")</x:f>
        <x:v>PASS</x:v>
      </x:c>
      <x:c r="F139" s="9" t="str">
        <x:v>TERMINAL</x:v>
      </x:c>
      <x:c r="G139" s="47"/>
      <x:c r="H139" s="47"/>
      <x:c r="I139" s="47"/>
      <x:c r="J139" s="47"/>
      <x:c r="K139" s="47"/>
      <x:c r="L139" s="47"/>
      <x:c r="M139" s="47"/>
      <x:c r="N139" s="47"/>
      <x:c r="O139" s="47"/>
      <x:c r="P139" s="47"/>
      <x:c r="Q139" s="47"/>
      <x:c r="R139" s="47"/>
      <x:c r="S139" s="47"/>
      <x:c r="T139" s="47"/>
      <x:c r="U139" s="47"/>
      <x:c r="V139" s="47"/>
      <x:c r="W139" s="47"/>
      <x:c r="X139" s="47"/>
      <x:c r="Y139" s="47"/>
      <x:c r="Z139" s="47"/>
    </x:row>
    <x:row r="140">
      <x:c r="C140" s="9" t="str">
        <x:v>AU-R-17-05</x:v>
      </x:c>
      <x:c r="D140" s="9" t="str">
        <x:v>MS-RT|A has reproduction</x:v>
      </x:c>
      <x:c r="E140" s="9" t="str">
        <x:f>IF(COUNTIFS('Lane Assignments'!$D$7:$D$66,'Campaign Cohorts'!C23,'Lane Assignments'!$F$7:$F$66,"Cold reproduction")=1,"PASS","FAIL")</x:f>
        <x:v>PASS</x:v>
      </x:c>
      <x:c r="F140" s="9" t="str">
        <x:v>TERMINAL</x:v>
      </x:c>
      <x:c r="G140" s="47"/>
      <x:c r="H140" s="47"/>
      <x:c r="I140" s="47"/>
      <x:c r="J140" s="47"/>
      <x:c r="K140" s="47"/>
      <x:c r="L140" s="47"/>
      <x:c r="M140" s="47"/>
      <x:c r="N140" s="47"/>
      <x:c r="O140" s="47"/>
      <x:c r="P140" s="47"/>
      <x:c r="Q140" s="47"/>
      <x:c r="R140" s="47"/>
      <x:c r="S140" s="47"/>
      <x:c r="T140" s="47"/>
      <x:c r="U140" s="47"/>
      <x:c r="V140" s="47"/>
      <x:c r="W140" s="47"/>
      <x:c r="X140" s="47"/>
      <x:c r="Y140" s="47"/>
      <x:c r="Z140" s="47"/>
    </x:row>
    <x:row r="141">
      <x:c r="C141" s="9" t="str">
        <x:v>AU-R-17-06</x:v>
      </x:c>
      <x:c r="D141" s="9" t="str">
        <x:v>MS-RT|A has three stage gates</x:v>
      </x:c>
      <x:c r="E141" s="9" t="str">
        <x:f>IF(COUNTIFS('Stage Releases'!$D$7:$D$66,'Disposition Pipeline'!C23)=3,"PASS","FAIL")</x:f>
        <x:v>PASS</x:v>
      </x:c>
      <x:c r="F141" s="9" t="str">
        <x:v>TERMINAL</x:v>
      </x:c>
      <x:c r="G141" s="47"/>
      <x:c r="H141" s="47"/>
      <x:c r="I141" s="47"/>
      <x:c r="J141" s="47"/>
      <x:c r="K141" s="47"/>
      <x:c r="L141" s="47"/>
      <x:c r="M141" s="47"/>
      <x:c r="N141" s="47"/>
      <x:c r="O141" s="47"/>
      <x:c r="P141" s="47"/>
      <x:c r="Q141" s="47"/>
      <x:c r="R141" s="47"/>
      <x:c r="S141" s="47"/>
      <x:c r="T141" s="47"/>
      <x:c r="U141" s="47"/>
      <x:c r="V141" s="47"/>
      <x:c r="W141" s="47"/>
      <x:c r="X141" s="47"/>
      <x:c r="Y141" s="47"/>
      <x:c r="Z141" s="47"/>
    </x:row>
    <x:row r="142">
      <x:c r="C142" s="9" t="str">
        <x:v>AU-R-18-01</x:v>
      </x:c>
      <x:c r="D142" s="9" t="str">
        <x:v>MS-RT|B appears once</x:v>
      </x:c>
      <x:c r="E142" s="9" t="str">
        <x:f>IF(COUNTIFS('Campaign Cohorts'!$C$7:$C$26,'Campaign Cohorts'!C24)=1,"PASS","FAIL")</x:f>
        <x:v>PASS</x:v>
      </x:c>
      <x:c r="F142" s="9" t="str">
        <x:v>TERMINAL</x:v>
      </x:c>
      <x:c r="G142" s="47"/>
      <x:c r="H142" s="47"/>
      <x:c r="I142" s="47"/>
      <x:c r="J142" s="47"/>
      <x:c r="K142" s="47"/>
      <x:c r="L142" s="47"/>
      <x:c r="M142" s="47"/>
      <x:c r="N142" s="47"/>
      <x:c r="O142" s="47"/>
      <x:c r="P142" s="47"/>
      <x:c r="Q142" s="47"/>
      <x:c r="R142" s="47"/>
      <x:c r="S142" s="47"/>
      <x:c r="T142" s="47"/>
      <x:c r="U142" s="47"/>
      <x:c r="V142" s="47"/>
      <x:c r="W142" s="47"/>
      <x:c r="X142" s="47"/>
      <x:c r="Y142" s="47"/>
      <x:c r="Z142" s="47"/>
    </x:row>
    <x:row r="143">
      <x:c r="C143" s="9" t="str">
        <x:v>AU-R-18-02</x:v>
      </x:c>
      <x:c r="D143" s="9" t="str">
        <x:v>MS-RT|B has three assignments</x:v>
      </x:c>
      <x:c r="E143" s="9" t="str">
        <x:f>IF(COUNTIFS('Lane Assignments'!$D$7:$D$66,'Campaign Cohorts'!C24)=3,"PASS","FAIL")</x:f>
        <x:v>PASS</x:v>
      </x:c>
      <x:c r="F143" s="9" t="str">
        <x:v>TERMINAL</x:v>
      </x:c>
      <x:c r="G143" s="47"/>
      <x:c r="H143" s="47"/>
      <x:c r="I143" s="47"/>
      <x:c r="J143" s="47"/>
      <x:c r="K143" s="47"/>
      <x:c r="L143" s="47"/>
      <x:c r="M143" s="47"/>
      <x:c r="N143" s="47"/>
      <x:c r="O143" s="47"/>
      <x:c r="P143" s="47"/>
      <x:c r="Q143" s="47"/>
      <x:c r="R143" s="47"/>
      <x:c r="S143" s="47"/>
      <x:c r="T143" s="47"/>
      <x:c r="U143" s="47"/>
      <x:c r="V143" s="47"/>
      <x:c r="W143" s="47"/>
      <x:c r="X143" s="47"/>
      <x:c r="Y143" s="47"/>
      <x:c r="Z143" s="47"/>
    </x:row>
    <x:row r="144">
      <x:c r="C144" s="9" t="str">
        <x:v>AU-R-18-03</x:v>
      </x:c>
      <x:c r="D144" s="9" t="str">
        <x:v>MS-RT|B has challenge</x:v>
      </x:c>
      <x:c r="E144" s="9" t="str">
        <x:f>IF(COUNTIFS('Lane Assignments'!$D$7:$D$66,'Campaign Cohorts'!C24,'Lane Assignments'!$F$7:$F$66,"Challenge")=1,"PASS","FAIL")</x:f>
        <x:v>PASS</x:v>
      </x:c>
      <x:c r="F144" s="9" t="str">
        <x:v>TERMINAL</x:v>
      </x:c>
      <x:c r="G144" s="47"/>
      <x:c r="H144" s="47"/>
      <x:c r="I144" s="47"/>
      <x:c r="J144" s="47"/>
      <x:c r="K144" s="47"/>
      <x:c r="L144" s="47"/>
      <x:c r="M144" s="47"/>
      <x:c r="N144" s="47"/>
      <x:c r="O144" s="47"/>
      <x:c r="P144" s="47"/>
      <x:c r="Q144" s="47"/>
      <x:c r="R144" s="47"/>
      <x:c r="S144" s="47"/>
      <x:c r="T144" s="47"/>
      <x:c r="U144" s="47"/>
      <x:c r="V144" s="47"/>
      <x:c r="W144" s="47"/>
      <x:c r="X144" s="47"/>
      <x:c r="Y144" s="47"/>
      <x:c r="Z144" s="47"/>
    </x:row>
    <x:row r="145">
      <x:c r="C145" s="9" t="str">
        <x:v>AU-R-18-04</x:v>
      </x:c>
      <x:c r="D145" s="9" t="str">
        <x:v>MS-RT|B has control</x:v>
      </x:c>
      <x:c r="E145" s="9" t="str">
        <x:f>IF(COUNTIFS('Lane Assignments'!$D$7:$D$66,'Campaign Cohorts'!C24,'Lane Assignments'!$F$7:$F$66,"Matched control")=1,"PASS","FAIL")</x:f>
        <x:v>PASS</x:v>
      </x:c>
      <x:c r="F145" s="9" t="str">
        <x:v>TERMINAL</x:v>
      </x:c>
      <x:c r="G145" s="47"/>
      <x:c r="H145" s="47"/>
      <x:c r="I145" s="47"/>
      <x:c r="J145" s="47"/>
      <x:c r="K145" s="47"/>
      <x:c r="L145" s="47"/>
      <x:c r="M145" s="47"/>
      <x:c r="N145" s="47"/>
      <x:c r="O145" s="47"/>
      <x:c r="P145" s="47"/>
      <x:c r="Q145" s="47"/>
      <x:c r="R145" s="47"/>
      <x:c r="S145" s="47"/>
      <x:c r="T145" s="47"/>
      <x:c r="U145" s="47"/>
      <x:c r="V145" s="47"/>
      <x:c r="W145" s="47"/>
      <x:c r="X145" s="47"/>
      <x:c r="Y145" s="47"/>
      <x:c r="Z145" s="47"/>
    </x:row>
    <x:row r="146">
      <x:c r="C146" s="9" t="str">
        <x:v>AU-R-18-05</x:v>
      </x:c>
      <x:c r="D146" s="9" t="str">
        <x:v>MS-RT|B has reproduction</x:v>
      </x:c>
      <x:c r="E146" s="9" t="str">
        <x:f>IF(COUNTIFS('Lane Assignments'!$D$7:$D$66,'Campaign Cohorts'!C24,'Lane Assignments'!$F$7:$F$66,"Cold reproduction")=1,"PASS","FAIL")</x:f>
        <x:v>PASS</x:v>
      </x:c>
      <x:c r="F146" s="9" t="str">
        <x:v>TERMINAL</x:v>
      </x:c>
      <x:c r="G146" s="47"/>
      <x:c r="H146" s="47"/>
      <x:c r="I146" s="47"/>
      <x:c r="J146" s="47"/>
      <x:c r="K146" s="47"/>
      <x:c r="L146" s="47"/>
      <x:c r="M146" s="47"/>
      <x:c r="N146" s="47"/>
      <x:c r="O146" s="47"/>
      <x:c r="P146" s="47"/>
      <x:c r="Q146" s="47"/>
      <x:c r="R146" s="47"/>
      <x:c r="S146" s="47"/>
      <x:c r="T146" s="47"/>
      <x:c r="U146" s="47"/>
      <x:c r="V146" s="47"/>
      <x:c r="W146" s="47"/>
      <x:c r="X146" s="47"/>
      <x:c r="Y146" s="47"/>
      <x:c r="Z146" s="47"/>
    </x:row>
    <x:row r="147">
      <x:c r="C147" s="9" t="str">
        <x:v>AU-R-18-06</x:v>
      </x:c>
      <x:c r="D147" s="9" t="str">
        <x:v>MS-RT|B has three stage gates</x:v>
      </x:c>
      <x:c r="E147" s="9" t="str">
        <x:f>IF(COUNTIFS('Stage Releases'!$D$7:$D$66,'Disposition Pipeline'!C24)=3,"PASS","FAIL")</x:f>
        <x:v>PASS</x:v>
      </x:c>
      <x:c r="F147" s="9" t="str">
        <x:v>TERMINAL</x:v>
      </x:c>
      <x:c r="G147" s="47"/>
      <x:c r="H147" s="47"/>
      <x:c r="I147" s="47"/>
      <x:c r="J147" s="47"/>
      <x:c r="K147" s="47"/>
      <x:c r="L147" s="47"/>
      <x:c r="M147" s="47"/>
      <x:c r="N147" s="47"/>
      <x:c r="O147" s="47"/>
      <x:c r="P147" s="47"/>
      <x:c r="Q147" s="47"/>
      <x:c r="R147" s="47"/>
      <x:c r="S147" s="47"/>
      <x:c r="T147" s="47"/>
      <x:c r="U147" s="47"/>
      <x:c r="V147" s="47"/>
      <x:c r="W147" s="47"/>
      <x:c r="X147" s="47"/>
      <x:c r="Y147" s="47"/>
      <x:c r="Z147" s="47"/>
    </x:row>
    <x:row r="148">
      <x:c r="C148" s="9" t="str">
        <x:v>AU-R-19-01</x:v>
      </x:c>
      <x:c r="D148" s="9" t="str">
        <x:v>MS-RT|C appears once</x:v>
      </x:c>
      <x:c r="E148" s="9" t="str">
        <x:f>IF(COUNTIFS('Campaign Cohorts'!$C$7:$C$26,'Campaign Cohorts'!C25)=1,"PASS","FAIL")</x:f>
        <x:v>PASS</x:v>
      </x:c>
      <x:c r="F148" s="9" t="str">
        <x:v>TERMINAL</x:v>
      </x:c>
      <x:c r="G148" s="47"/>
      <x:c r="H148" s="47"/>
      <x:c r="I148" s="47"/>
      <x:c r="J148" s="47"/>
      <x:c r="K148" s="47"/>
      <x:c r="L148" s="47"/>
      <x:c r="M148" s="47"/>
      <x:c r="N148" s="47"/>
      <x:c r="O148" s="47"/>
      <x:c r="P148" s="47"/>
      <x:c r="Q148" s="47"/>
      <x:c r="R148" s="47"/>
      <x:c r="S148" s="47"/>
      <x:c r="T148" s="47"/>
      <x:c r="U148" s="47"/>
      <x:c r="V148" s="47"/>
      <x:c r="W148" s="47"/>
      <x:c r="X148" s="47"/>
      <x:c r="Y148" s="47"/>
      <x:c r="Z148" s="47"/>
    </x:row>
    <x:row r="149">
      <x:c r="C149" s="9" t="str">
        <x:v>AU-R-19-02</x:v>
      </x:c>
      <x:c r="D149" s="9" t="str">
        <x:v>MS-RT|C has three assignments</x:v>
      </x:c>
      <x:c r="E149" s="9" t="str">
        <x:f>IF(COUNTIFS('Lane Assignments'!$D$7:$D$66,'Campaign Cohorts'!C25)=3,"PASS","FAIL")</x:f>
        <x:v>PASS</x:v>
      </x:c>
      <x:c r="F149" s="9" t="str">
        <x:v>TERMINAL</x:v>
      </x:c>
      <x:c r="G149" s="47"/>
      <x:c r="H149" s="47"/>
      <x:c r="I149" s="47"/>
      <x:c r="J149" s="47"/>
      <x:c r="K149" s="47"/>
      <x:c r="L149" s="47"/>
      <x:c r="M149" s="47"/>
      <x:c r="N149" s="47"/>
      <x:c r="O149" s="47"/>
      <x:c r="P149" s="47"/>
      <x:c r="Q149" s="47"/>
      <x:c r="R149" s="47"/>
      <x:c r="S149" s="47"/>
      <x:c r="T149" s="47"/>
      <x:c r="U149" s="47"/>
      <x:c r="V149" s="47"/>
      <x:c r="W149" s="47"/>
      <x:c r="X149" s="47"/>
      <x:c r="Y149" s="47"/>
      <x:c r="Z149" s="47"/>
    </x:row>
    <x:row r="150">
      <x:c r="C150" s="9" t="str">
        <x:v>AU-R-19-03</x:v>
      </x:c>
      <x:c r="D150" s="9" t="str">
        <x:v>MS-RT|C has challenge</x:v>
      </x:c>
      <x:c r="E150" s="9" t="str">
        <x:f>IF(COUNTIFS('Lane Assignments'!$D$7:$D$66,'Campaign Cohorts'!C25,'Lane Assignments'!$F$7:$F$66,"Challenge")=1,"PASS","FAIL")</x:f>
        <x:v>PASS</x:v>
      </x:c>
      <x:c r="F150" s="9" t="str">
        <x:v>TERMINAL</x:v>
      </x:c>
      <x:c r="G150" s="47"/>
      <x:c r="H150" s="47"/>
      <x:c r="I150" s="47"/>
      <x:c r="J150" s="47"/>
      <x:c r="K150" s="47"/>
      <x:c r="L150" s="47"/>
      <x:c r="M150" s="47"/>
      <x:c r="N150" s="47"/>
      <x:c r="O150" s="47"/>
      <x:c r="P150" s="47"/>
      <x:c r="Q150" s="47"/>
      <x:c r="R150" s="47"/>
      <x:c r="S150" s="47"/>
      <x:c r="T150" s="47"/>
      <x:c r="U150" s="47"/>
      <x:c r="V150" s="47"/>
      <x:c r="W150" s="47"/>
      <x:c r="X150" s="47"/>
      <x:c r="Y150" s="47"/>
      <x:c r="Z150" s="47"/>
    </x:row>
    <x:row r="151">
      <x:c r="C151" s="9" t="str">
        <x:v>AU-R-19-04</x:v>
      </x:c>
      <x:c r="D151" s="9" t="str">
        <x:v>MS-RT|C has control</x:v>
      </x:c>
      <x:c r="E151" s="9" t="str">
        <x:f>IF(COUNTIFS('Lane Assignments'!$D$7:$D$66,'Campaign Cohorts'!C25,'Lane Assignments'!$F$7:$F$66,"Matched control")=1,"PASS","FAIL")</x:f>
        <x:v>PASS</x:v>
      </x:c>
      <x:c r="F151" s="9" t="str">
        <x:v>TERMINAL</x:v>
      </x:c>
      <x:c r="G151" s="47"/>
      <x:c r="H151" s="47"/>
      <x:c r="I151" s="47"/>
      <x:c r="J151" s="47"/>
      <x:c r="K151" s="47"/>
      <x:c r="L151" s="47"/>
      <x:c r="M151" s="47"/>
      <x:c r="N151" s="47"/>
      <x:c r="O151" s="47"/>
      <x:c r="P151" s="47"/>
      <x:c r="Q151" s="47"/>
      <x:c r="R151" s="47"/>
      <x:c r="S151" s="47"/>
      <x:c r="T151" s="47"/>
      <x:c r="U151" s="47"/>
      <x:c r="V151" s="47"/>
      <x:c r="W151" s="47"/>
      <x:c r="X151" s="47"/>
      <x:c r="Y151" s="47"/>
      <x:c r="Z151" s="47"/>
    </x:row>
    <x:row r="152">
      <x:c r="C152" s="9" t="str">
        <x:v>AU-R-19-05</x:v>
      </x:c>
      <x:c r="D152" s="9" t="str">
        <x:v>MS-RT|C has reproduction</x:v>
      </x:c>
      <x:c r="E152" s="9" t="str">
        <x:f>IF(COUNTIFS('Lane Assignments'!$D$7:$D$66,'Campaign Cohorts'!C25,'Lane Assignments'!$F$7:$F$66,"Cold reproduction")=1,"PASS","FAIL")</x:f>
        <x:v>PASS</x:v>
      </x:c>
      <x:c r="F152" s="9" t="str">
        <x:v>TERMINAL</x:v>
      </x:c>
      <x:c r="G152" s="47"/>
      <x:c r="H152" s="47"/>
      <x:c r="I152" s="47"/>
      <x:c r="J152" s="47"/>
      <x:c r="K152" s="47"/>
      <x:c r="L152" s="47"/>
      <x:c r="M152" s="47"/>
      <x:c r="N152" s="47"/>
      <x:c r="O152" s="47"/>
      <x:c r="P152" s="47"/>
      <x:c r="Q152" s="47"/>
      <x:c r="R152" s="47"/>
      <x:c r="S152" s="47"/>
      <x:c r="T152" s="47"/>
      <x:c r="U152" s="47"/>
      <x:c r="V152" s="47"/>
      <x:c r="W152" s="47"/>
      <x:c r="X152" s="47"/>
      <x:c r="Y152" s="47"/>
      <x:c r="Z152" s="47"/>
    </x:row>
    <x:row r="153">
      <x:c r="C153" s="9" t="str">
        <x:v>AU-R-19-06</x:v>
      </x:c>
      <x:c r="D153" s="9" t="str">
        <x:v>MS-RT|C has three stage gates</x:v>
      </x:c>
      <x:c r="E153" s="9" t="str">
        <x:f>IF(COUNTIFS('Stage Releases'!$D$7:$D$66,'Disposition Pipeline'!C25)=3,"PASS","FAIL")</x:f>
        <x:v>PASS</x:v>
      </x:c>
      <x:c r="F153" s="9" t="str">
        <x:v>TERMINAL</x:v>
      </x:c>
      <x:c r="G153" s="47"/>
      <x:c r="H153" s="47"/>
      <x:c r="I153" s="47"/>
      <x:c r="J153" s="47"/>
      <x:c r="K153" s="47"/>
      <x:c r="L153" s="47"/>
      <x:c r="M153" s="47"/>
      <x:c r="N153" s="47"/>
      <x:c r="O153" s="47"/>
      <x:c r="P153" s="47"/>
      <x:c r="Q153" s="47"/>
      <x:c r="R153" s="47"/>
      <x:c r="S153" s="47"/>
      <x:c r="T153" s="47"/>
      <x:c r="U153" s="47"/>
      <x:c r="V153" s="47"/>
      <x:c r="W153" s="47"/>
      <x:c r="X153" s="47"/>
      <x:c r="Y153" s="47"/>
      <x:c r="Z153" s="47"/>
    </x:row>
    <x:row r="154">
      <x:c r="C154" s="9" t="str">
        <x:v>AU-R-20-01</x:v>
      </x:c>
      <x:c r="D154" s="9" t="str">
        <x:v>MS-RT|D appears once</x:v>
      </x:c>
      <x:c r="E154" s="9" t="str">
        <x:f>IF(COUNTIFS('Campaign Cohorts'!$C$7:$C$26,'Campaign Cohorts'!C26)=1,"PASS","FAIL")</x:f>
        <x:v>PASS</x:v>
      </x:c>
      <x:c r="F154" s="9" t="str">
        <x:v>TERMINAL</x:v>
      </x:c>
      <x:c r="G154" s="47"/>
      <x:c r="H154" s="47"/>
      <x:c r="I154" s="47"/>
      <x:c r="J154" s="47"/>
      <x:c r="K154" s="47"/>
      <x:c r="L154" s="47"/>
      <x:c r="M154" s="47"/>
      <x:c r="N154" s="47"/>
      <x:c r="O154" s="47"/>
      <x:c r="P154" s="47"/>
      <x:c r="Q154" s="47"/>
      <x:c r="R154" s="47"/>
      <x:c r="S154" s="47"/>
      <x:c r="T154" s="47"/>
      <x:c r="U154" s="47"/>
      <x:c r="V154" s="47"/>
      <x:c r="W154" s="47"/>
      <x:c r="X154" s="47"/>
      <x:c r="Y154" s="47"/>
      <x:c r="Z154" s="47"/>
    </x:row>
    <x:row r="155">
      <x:c r="C155" s="9" t="str">
        <x:v>AU-R-20-02</x:v>
      </x:c>
      <x:c r="D155" s="9" t="str">
        <x:v>MS-RT|D has three assignments</x:v>
      </x:c>
      <x:c r="E155" s="9" t="str">
        <x:f>IF(COUNTIFS('Lane Assignments'!$D$7:$D$66,'Campaign Cohorts'!C26)=3,"PASS","FAIL")</x:f>
        <x:v>PASS</x:v>
      </x:c>
      <x:c r="F155" s="9" t="str">
        <x:v>TERMINAL</x:v>
      </x:c>
      <x:c r="G155" s="47"/>
      <x:c r="H155" s="47"/>
      <x:c r="I155" s="47"/>
      <x:c r="J155" s="47"/>
      <x:c r="K155" s="47"/>
      <x:c r="L155" s="47"/>
      <x:c r="M155" s="47"/>
      <x:c r="N155" s="47"/>
      <x:c r="O155" s="47"/>
      <x:c r="P155" s="47"/>
      <x:c r="Q155" s="47"/>
      <x:c r="R155" s="47"/>
      <x:c r="S155" s="47"/>
      <x:c r="T155" s="47"/>
      <x:c r="U155" s="47"/>
      <x:c r="V155" s="47"/>
      <x:c r="W155" s="47"/>
      <x:c r="X155" s="47"/>
      <x:c r="Y155" s="47"/>
      <x:c r="Z155" s="47"/>
    </x:row>
    <x:row r="156">
      <x:c r="C156" s="9" t="str">
        <x:v>AU-R-20-03</x:v>
      </x:c>
      <x:c r="D156" s="9" t="str">
        <x:v>MS-RT|D has challenge</x:v>
      </x:c>
      <x:c r="E156" s="9" t="str">
        <x:f>IF(COUNTIFS('Lane Assignments'!$D$7:$D$66,'Campaign Cohorts'!C26,'Lane Assignments'!$F$7:$F$66,"Challenge")=1,"PASS","FAIL")</x:f>
        <x:v>PASS</x:v>
      </x:c>
      <x:c r="F156" s="9" t="str">
        <x:v>TERMINAL</x:v>
      </x:c>
      <x:c r="G156" s="47"/>
      <x:c r="H156" s="47"/>
      <x:c r="I156" s="47"/>
      <x:c r="J156" s="47"/>
      <x:c r="K156" s="47"/>
      <x:c r="L156" s="47"/>
      <x:c r="M156" s="47"/>
      <x:c r="N156" s="47"/>
      <x:c r="O156" s="47"/>
      <x:c r="P156" s="47"/>
      <x:c r="Q156" s="47"/>
      <x:c r="R156" s="47"/>
      <x:c r="S156" s="47"/>
      <x:c r="T156" s="47"/>
      <x:c r="U156" s="47"/>
      <x:c r="V156" s="47"/>
      <x:c r="W156" s="47"/>
      <x:c r="X156" s="47"/>
      <x:c r="Y156" s="47"/>
      <x:c r="Z156" s="47"/>
    </x:row>
    <x:row r="157">
      <x:c r="C157" s="9" t="str">
        <x:v>AU-R-20-04</x:v>
      </x:c>
      <x:c r="D157" s="9" t="str">
        <x:v>MS-RT|D has control</x:v>
      </x:c>
      <x:c r="E157" s="9" t="str">
        <x:f>IF(COUNTIFS('Lane Assignments'!$D$7:$D$66,'Campaign Cohorts'!C26,'Lane Assignments'!$F$7:$F$66,"Matched control")=1,"PASS","FAIL")</x:f>
        <x:v>PASS</x:v>
      </x:c>
      <x:c r="F157" s="9" t="str">
        <x:v>TERMINAL</x:v>
      </x:c>
      <x:c r="G157" s="47"/>
      <x:c r="H157" s="47"/>
      <x:c r="I157" s="47"/>
      <x:c r="J157" s="47"/>
      <x:c r="K157" s="47"/>
      <x:c r="L157" s="47"/>
      <x:c r="M157" s="47"/>
      <x:c r="N157" s="47"/>
      <x:c r="O157" s="47"/>
      <x:c r="P157" s="47"/>
      <x:c r="Q157" s="47"/>
      <x:c r="R157" s="47"/>
      <x:c r="S157" s="47"/>
      <x:c r="T157" s="47"/>
      <x:c r="U157" s="47"/>
      <x:c r="V157" s="47"/>
      <x:c r="W157" s="47"/>
      <x:c r="X157" s="47"/>
      <x:c r="Y157" s="47"/>
      <x:c r="Z157" s="47"/>
    </x:row>
    <x:row r="158">
      <x:c r="C158" s="9" t="str">
        <x:v>AU-R-20-05</x:v>
      </x:c>
      <x:c r="D158" s="9" t="str">
        <x:v>MS-RT|D has reproduction</x:v>
      </x:c>
      <x:c r="E158" s="9" t="str">
        <x:f>IF(COUNTIFS('Lane Assignments'!$D$7:$D$66,'Campaign Cohorts'!C26,'Lane Assignments'!$F$7:$F$66,"Cold reproduction")=1,"PASS","FAIL")</x:f>
        <x:v>PASS</x:v>
      </x:c>
      <x:c r="F158" s="9" t="str">
        <x:v>TERMINAL</x:v>
      </x:c>
      <x:c r="G158" s="47"/>
      <x:c r="H158" s="47"/>
      <x:c r="I158" s="47"/>
      <x:c r="J158" s="47"/>
      <x:c r="K158" s="47"/>
      <x:c r="L158" s="47"/>
      <x:c r="M158" s="47"/>
      <x:c r="N158" s="47"/>
      <x:c r="O158" s="47"/>
      <x:c r="P158" s="47"/>
      <x:c r="Q158" s="47"/>
      <x:c r="R158" s="47"/>
      <x:c r="S158" s="47"/>
      <x:c r="T158" s="47"/>
      <x:c r="U158" s="47"/>
      <x:c r="V158" s="47"/>
      <x:c r="W158" s="47"/>
      <x:c r="X158" s="47"/>
      <x:c r="Y158" s="47"/>
      <x:c r="Z158" s="47"/>
    </x:row>
    <x:row r="159">
      <x:c r="C159" s="9" t="str">
        <x:v>AU-R-20-06</x:v>
      </x:c>
      <x:c r="D159" s="9" t="str">
        <x:v>MS-RT|D has three stage gates</x:v>
      </x:c>
      <x:c r="E159" s="9" t="str">
        <x:f>IF(COUNTIFS('Stage Releases'!$D$7:$D$66,'Disposition Pipeline'!C26)=3,"PASS","FAIL")</x:f>
        <x:v>PASS</x:v>
      </x:c>
      <x:c r="F159" s="9" t="str">
        <x:v>TERMINAL</x:v>
      </x:c>
      <x:c r="G159" s="47"/>
      <x:c r="H159" s="47"/>
      <x:c r="I159" s="47"/>
      <x:c r="J159" s="47"/>
      <x:c r="K159" s="47"/>
      <x:c r="L159" s="47"/>
      <x:c r="M159" s="47"/>
      <x:c r="N159" s="47"/>
      <x:c r="O159" s="47"/>
      <x:c r="P159" s="47"/>
      <x:c r="Q159" s="47"/>
      <x:c r="R159" s="47"/>
      <x:c r="S159" s="47"/>
      <x:c r="T159" s="47"/>
      <x:c r="U159" s="47"/>
      <x:c r="V159" s="47"/>
      <x:c r="W159" s="47"/>
      <x:c r="X159" s="47"/>
      <x:c r="Y159" s="47"/>
      <x:c r="Z159" s="47"/>
    </x:row>
    <x:row r="160">
      <x:c r="C160" s="9" t="str">
        <x:v>AU-S-1-01</x:v>
      </x:c>
      <x:c r="D160" s="9" t="str">
        <x:v>ST-ET-CHL five lanes</x:v>
      </x:c>
      <x:c r="E160" s="9" t="str">
        <x:f>IF('Station Topology'!H7=5,"PASS","FAIL")</x:f>
        <x:v>PASS</x:v>
      </x:c>
      <x:c r="F160" s="9" t="str">
        <x:v>TERMINAL</x:v>
      </x:c>
      <x:c r="G160" s="47"/>
      <x:c r="H160" s="47"/>
      <x:c r="I160" s="47"/>
      <x:c r="J160" s="47"/>
      <x:c r="K160" s="47"/>
      <x:c r="L160" s="47"/>
      <x:c r="M160" s="47"/>
      <x:c r="N160" s="47"/>
      <x:c r="O160" s="47"/>
      <x:c r="P160" s="47"/>
      <x:c r="Q160" s="47"/>
      <x:c r="R160" s="47"/>
      <x:c r="S160" s="47"/>
      <x:c r="T160" s="47"/>
      <x:c r="U160" s="47"/>
      <x:c r="V160" s="47"/>
      <x:c r="W160" s="47"/>
      <x:c r="X160" s="47"/>
      <x:c r="Y160" s="47"/>
      <x:c r="Z160" s="47"/>
    </x:row>
    <x:row r="161">
      <x:c r="C161" s="9" t="str">
        <x:v>AU-S-1-02</x:v>
      </x:c>
      <x:c r="D161" s="9" t="str">
        <x:v>ST-ET-CHL four campaign lanes</x:v>
      </x:c>
      <x:c r="E161" s="9" t="str">
        <x:f>IF('Station Topology'!I7=4,"PASS","FAIL")</x:f>
        <x:v>PASS</x:v>
      </x:c>
      <x:c r="F161" s="9" t="str">
        <x:v>TERMINAL</x:v>
      </x:c>
      <x:c r="G161" s="47"/>
      <x:c r="H161" s="47"/>
      <x:c r="I161" s="47"/>
      <x:c r="J161" s="47"/>
      <x:c r="K161" s="47"/>
      <x:c r="L161" s="47"/>
      <x:c r="M161" s="47"/>
      <x:c r="N161" s="47"/>
      <x:c r="O161" s="47"/>
      <x:c r="P161" s="47"/>
      <x:c r="Q161" s="47"/>
      <x:c r="R161" s="47"/>
      <x:c r="S161" s="47"/>
      <x:c r="T161" s="47"/>
      <x:c r="U161" s="47"/>
      <x:c r="V161" s="47"/>
      <x:c r="W161" s="47"/>
      <x:c r="X161" s="47"/>
      <x:c r="Y161" s="47"/>
      <x:c r="Z161" s="47"/>
    </x:row>
    <x:row r="162">
      <x:c r="C162" s="9" t="str">
        <x:v>AU-S-1-03</x:v>
      </x:c>
      <x:c r="D162" s="9" t="str">
        <x:v>ST-ET-CHL one reserve lane</x:v>
      </x:c>
      <x:c r="E162" s="9" t="str">
        <x:f>IF('Station Topology'!J7=1,"PASS","FAIL")</x:f>
        <x:v>PASS</x:v>
      </x:c>
      <x:c r="F162" s="9" t="str">
        <x:v>TERMINAL</x:v>
      </x:c>
      <x:c r="G162" s="47"/>
      <x:c r="H162" s="47"/>
      <x:c r="I162" s="47"/>
      <x:c r="J162" s="47"/>
      <x:c r="K162" s="47"/>
      <x:c r="L162" s="47"/>
      <x:c r="M162" s="47"/>
      <x:c r="N162" s="47"/>
      <x:c r="O162" s="47"/>
      <x:c r="P162" s="47"/>
      <x:c r="Q162" s="47"/>
      <x:c r="R162" s="47"/>
      <x:c r="S162" s="47"/>
      <x:c r="T162" s="47"/>
      <x:c r="U162" s="47"/>
      <x:c r="V162" s="47"/>
      <x:c r="W162" s="47"/>
      <x:c r="X162" s="47"/>
      <x:c r="Y162" s="47"/>
      <x:c r="Z162" s="47"/>
    </x:row>
    <x:row r="163">
      <x:c r="C163" s="9" t="str">
        <x:v>AU-S-1-04</x:v>
      </x:c>
      <x:c r="D163" s="9" t="str">
        <x:v>ST-ET-CHL lane balance</x:v>
      </x:c>
      <x:c r="E163" s="9" t="str">
        <x:f>IF('Station Topology'!H7='Station Topology'!I7+'Station Topology'!J7,"PASS","FAIL")</x:f>
        <x:v>PASS</x:v>
      </x:c>
      <x:c r="F163" s="9" t="str">
        <x:v>TERMINAL</x:v>
      </x:c>
      <x:c r="G163" s="47"/>
      <x:c r="H163" s="47"/>
      <x:c r="I163" s="47"/>
      <x:c r="J163" s="47"/>
      <x:c r="K163" s="47"/>
      <x:c r="L163" s="47"/>
      <x:c r="M163" s="47"/>
      <x:c r="N163" s="47"/>
      <x:c r="O163" s="47"/>
      <x:c r="P163" s="47"/>
      <x:c r="Q163" s="47"/>
      <x:c r="R163" s="47"/>
      <x:c r="S163" s="47"/>
      <x:c r="T163" s="47"/>
      <x:c r="U163" s="47"/>
      <x:c r="V163" s="47"/>
      <x:c r="W163" s="47"/>
      <x:c r="X163" s="47"/>
      <x:c r="Y163" s="47"/>
      <x:c r="Z163" s="47"/>
    </x:row>
    <x:row r="164">
      <x:c r="C164" s="9" t="str">
        <x:v>AU-S-1-05</x:v>
      </x:c>
      <x:c r="D164" s="9" t="str">
        <x:v>ST-ET-CHL event capacity</x:v>
      </x:c>
      <x:c r="E164" s="9" t="str">
        <x:f>IF('Event Capacity'!J7=16,"PASS","FAIL")</x:f>
        <x:v>PASS</x:v>
      </x:c>
      <x:c r="F164" s="9" t="str">
        <x:v>TERMINAL</x:v>
      </x:c>
      <x:c r="G164" s="47"/>
      <x:c r="H164" s="47"/>
      <x:c r="I164" s="47"/>
      <x:c r="J164" s="47"/>
      <x:c r="K164" s="47"/>
      <x:c r="L164" s="47"/>
      <x:c r="M164" s="47"/>
      <x:c r="N164" s="47"/>
      <x:c r="O164" s="47"/>
      <x:c r="P164" s="47"/>
      <x:c r="Q164" s="47"/>
      <x:c r="R164" s="47"/>
      <x:c r="S164" s="47"/>
      <x:c r="T164" s="47"/>
      <x:c r="U164" s="47"/>
      <x:c r="V164" s="47"/>
      <x:c r="W164" s="47"/>
      <x:c r="X164" s="47"/>
      <x:c r="Y164" s="47"/>
      <x:c r="Z164" s="47"/>
    </x:row>
    <x:row r="165">
      <x:c r="C165" s="9" t="str">
        <x:v>AU-S-2-01</x:v>
      </x:c>
      <x:c r="D165" s="9" t="str">
        <x:v>ST-ET-CTL five lanes</x:v>
      </x:c>
      <x:c r="E165" s="9" t="str">
        <x:f>IF('Station Topology'!H8=5,"PASS","FAIL")</x:f>
        <x:v>PASS</x:v>
      </x:c>
      <x:c r="F165" s="9" t="str">
        <x:v>TERMINAL</x:v>
      </x:c>
      <x:c r="G165" s="47"/>
      <x:c r="H165" s="47"/>
      <x:c r="I165" s="47"/>
      <x:c r="J165" s="47"/>
      <x:c r="K165" s="47"/>
      <x:c r="L165" s="47"/>
      <x:c r="M165" s="47"/>
      <x:c r="N165" s="47"/>
      <x:c r="O165" s="47"/>
      <x:c r="P165" s="47"/>
      <x:c r="Q165" s="47"/>
      <x:c r="R165" s="47"/>
      <x:c r="S165" s="47"/>
      <x:c r="T165" s="47"/>
      <x:c r="U165" s="47"/>
      <x:c r="V165" s="47"/>
      <x:c r="W165" s="47"/>
      <x:c r="X165" s="47"/>
      <x:c r="Y165" s="47"/>
      <x:c r="Z165" s="47"/>
    </x:row>
    <x:row r="166">
      <x:c r="C166" s="9" t="str">
        <x:v>AU-S-2-02</x:v>
      </x:c>
      <x:c r="D166" s="9" t="str">
        <x:v>ST-ET-CTL four campaign lanes</x:v>
      </x:c>
      <x:c r="E166" s="9" t="str">
        <x:f>IF('Station Topology'!I8=4,"PASS","FAIL")</x:f>
        <x:v>PASS</x:v>
      </x:c>
      <x:c r="F166" s="9" t="str">
        <x:v>TERMINAL</x:v>
      </x:c>
      <x:c r="G166" s="47"/>
      <x:c r="H166" s="47"/>
      <x:c r="I166" s="47"/>
      <x:c r="J166" s="47"/>
      <x:c r="K166" s="47"/>
      <x:c r="L166" s="47"/>
      <x:c r="M166" s="47"/>
      <x:c r="N166" s="47"/>
      <x:c r="O166" s="47"/>
      <x:c r="P166" s="47"/>
      <x:c r="Q166" s="47"/>
      <x:c r="R166" s="47"/>
      <x:c r="S166" s="47"/>
      <x:c r="T166" s="47"/>
      <x:c r="U166" s="47"/>
      <x:c r="V166" s="47"/>
      <x:c r="W166" s="47"/>
      <x:c r="X166" s="47"/>
      <x:c r="Y166" s="47"/>
      <x:c r="Z166" s="47"/>
    </x:row>
    <x:row r="167">
      <x:c r="C167" s="9" t="str">
        <x:v>AU-S-2-03</x:v>
      </x:c>
      <x:c r="D167" s="9" t="str">
        <x:v>ST-ET-CTL one reserve lane</x:v>
      </x:c>
      <x:c r="E167" s="9" t="str">
        <x:f>IF('Station Topology'!J8=1,"PASS","FAIL")</x:f>
        <x:v>PASS</x:v>
      </x:c>
      <x:c r="F167" s="9" t="str">
        <x:v>TERMINAL</x:v>
      </x:c>
      <x:c r="G167" s="47"/>
      <x:c r="H167" s="47"/>
      <x:c r="I167" s="47"/>
      <x:c r="J167" s="47"/>
      <x:c r="K167" s="47"/>
      <x:c r="L167" s="47"/>
      <x:c r="M167" s="47"/>
      <x:c r="N167" s="47"/>
      <x:c r="O167" s="47"/>
      <x:c r="P167" s="47"/>
      <x:c r="Q167" s="47"/>
      <x:c r="R167" s="47"/>
      <x:c r="S167" s="47"/>
      <x:c r="T167" s="47"/>
      <x:c r="U167" s="47"/>
      <x:c r="V167" s="47"/>
      <x:c r="W167" s="47"/>
      <x:c r="X167" s="47"/>
      <x:c r="Y167" s="47"/>
      <x:c r="Z167" s="47"/>
    </x:row>
    <x:row r="168">
      <x:c r="C168" s="9" t="str">
        <x:v>AU-S-2-04</x:v>
      </x:c>
      <x:c r="D168" s="9" t="str">
        <x:v>ST-ET-CTL lane balance</x:v>
      </x:c>
      <x:c r="E168" s="9" t="str">
        <x:f>IF('Station Topology'!H8='Station Topology'!I8+'Station Topology'!J8,"PASS","FAIL")</x:f>
        <x:v>PASS</x:v>
      </x:c>
      <x:c r="F168" s="9" t="str">
        <x:v>TERMINAL</x:v>
      </x:c>
      <x:c r="G168" s="47"/>
      <x:c r="H168" s="47"/>
      <x:c r="I168" s="47"/>
      <x:c r="J168" s="47"/>
      <x:c r="K168" s="47"/>
      <x:c r="L168" s="47"/>
      <x:c r="M168" s="47"/>
      <x:c r="N168" s="47"/>
      <x:c r="O168" s="47"/>
      <x:c r="P168" s="47"/>
      <x:c r="Q168" s="47"/>
      <x:c r="R168" s="47"/>
      <x:c r="S168" s="47"/>
      <x:c r="T168" s="47"/>
      <x:c r="U168" s="47"/>
      <x:c r="V168" s="47"/>
      <x:c r="W168" s="47"/>
      <x:c r="X168" s="47"/>
      <x:c r="Y168" s="47"/>
      <x:c r="Z168" s="47"/>
    </x:row>
    <x:row r="169">
      <x:c r="C169" s="9" t="str">
        <x:v>AU-S-2-05</x:v>
      </x:c>
      <x:c r="D169" s="9" t="str">
        <x:v>ST-ET-CTL event capacity</x:v>
      </x:c>
      <x:c r="E169" s="9" t="str">
        <x:f>IF('Event Capacity'!J8=16,"PASS","FAIL")</x:f>
        <x:v>PASS</x:v>
      </x:c>
      <x:c r="F169" s="9" t="str">
        <x:v>TERMINAL</x:v>
      </x:c>
      <x:c r="G169" s="47"/>
      <x:c r="H169" s="47"/>
      <x:c r="I169" s="47"/>
      <x:c r="J169" s="47"/>
      <x:c r="K169" s="47"/>
      <x:c r="L169" s="47"/>
      <x:c r="M169" s="47"/>
      <x:c r="N169" s="47"/>
      <x:c r="O169" s="47"/>
      <x:c r="P169" s="47"/>
      <x:c r="Q169" s="47"/>
      <x:c r="R169" s="47"/>
      <x:c r="S169" s="47"/>
      <x:c r="T169" s="47"/>
      <x:c r="U169" s="47"/>
      <x:c r="V169" s="47"/>
      <x:c r="W169" s="47"/>
      <x:c r="X169" s="47"/>
      <x:c r="Y169" s="47"/>
      <x:c r="Z169" s="47"/>
    </x:row>
    <x:row r="170">
      <x:c r="C170" s="9" t="str">
        <x:v>AU-S-3-01</x:v>
      </x:c>
      <x:c r="D170" s="9" t="str">
        <x:v>ST-ET-REP five lanes</x:v>
      </x:c>
      <x:c r="E170" s="9" t="str">
        <x:f>IF('Station Topology'!H9=5,"PASS","FAIL")</x:f>
        <x:v>PASS</x:v>
      </x:c>
      <x:c r="F170" s="9" t="str">
        <x:v>TERMINAL</x:v>
      </x:c>
      <x:c r="G170" s="47"/>
      <x:c r="H170" s="47"/>
      <x:c r="I170" s="47"/>
      <x:c r="J170" s="47"/>
      <x:c r="K170" s="47"/>
      <x:c r="L170" s="47"/>
      <x:c r="M170" s="47"/>
      <x:c r="N170" s="47"/>
      <x:c r="O170" s="47"/>
      <x:c r="P170" s="47"/>
      <x:c r="Q170" s="47"/>
      <x:c r="R170" s="47"/>
      <x:c r="S170" s="47"/>
      <x:c r="T170" s="47"/>
      <x:c r="U170" s="47"/>
      <x:c r="V170" s="47"/>
      <x:c r="W170" s="47"/>
      <x:c r="X170" s="47"/>
      <x:c r="Y170" s="47"/>
      <x:c r="Z170" s="47"/>
    </x:row>
    <x:row r="171">
      <x:c r="C171" s="9" t="str">
        <x:v>AU-S-3-02</x:v>
      </x:c>
      <x:c r="D171" s="9" t="str">
        <x:v>ST-ET-REP four campaign lanes</x:v>
      </x:c>
      <x:c r="E171" s="9" t="str">
        <x:f>IF('Station Topology'!I9=4,"PASS","FAIL")</x:f>
        <x:v>PASS</x:v>
      </x:c>
      <x:c r="F171" s="9" t="str">
        <x:v>TERMINAL</x:v>
      </x:c>
      <x:c r="G171" s="47"/>
      <x:c r="H171" s="47"/>
      <x:c r="I171" s="47"/>
      <x:c r="J171" s="47"/>
      <x:c r="K171" s="47"/>
      <x:c r="L171" s="47"/>
      <x:c r="M171" s="47"/>
      <x:c r="N171" s="47"/>
      <x:c r="O171" s="47"/>
      <x:c r="P171" s="47"/>
      <x:c r="Q171" s="47"/>
      <x:c r="R171" s="47"/>
      <x:c r="S171" s="47"/>
      <x:c r="T171" s="47"/>
      <x:c r="U171" s="47"/>
      <x:c r="V171" s="47"/>
      <x:c r="W171" s="47"/>
      <x:c r="X171" s="47"/>
      <x:c r="Y171" s="47"/>
      <x:c r="Z171" s="47"/>
    </x:row>
    <x:row r="172">
      <x:c r="C172" s="9" t="str">
        <x:v>AU-S-3-03</x:v>
      </x:c>
      <x:c r="D172" s="9" t="str">
        <x:v>ST-ET-REP one reserve lane</x:v>
      </x:c>
      <x:c r="E172" s="9" t="str">
        <x:f>IF('Station Topology'!J9=1,"PASS","FAIL")</x:f>
        <x:v>PASS</x:v>
      </x:c>
      <x:c r="F172" s="9" t="str">
        <x:v>TERMINAL</x:v>
      </x:c>
      <x:c r="G172" s="47"/>
      <x:c r="H172" s="47"/>
      <x:c r="I172" s="47"/>
      <x:c r="J172" s="47"/>
      <x:c r="K172" s="47"/>
      <x:c r="L172" s="47"/>
      <x:c r="M172" s="47"/>
      <x:c r="N172" s="47"/>
      <x:c r="O172" s="47"/>
      <x:c r="P172" s="47"/>
      <x:c r="Q172" s="47"/>
      <x:c r="R172" s="47"/>
      <x:c r="S172" s="47"/>
      <x:c r="T172" s="47"/>
      <x:c r="U172" s="47"/>
      <x:c r="V172" s="47"/>
      <x:c r="W172" s="47"/>
      <x:c r="X172" s="47"/>
      <x:c r="Y172" s="47"/>
      <x:c r="Z172" s="47"/>
    </x:row>
    <x:row r="173">
      <x:c r="C173" s="9" t="str">
        <x:v>AU-S-3-04</x:v>
      </x:c>
      <x:c r="D173" s="9" t="str">
        <x:v>ST-ET-REP lane balance</x:v>
      </x:c>
      <x:c r="E173" s="9" t="str">
        <x:f>IF('Station Topology'!H9='Station Topology'!I9+'Station Topology'!J9,"PASS","FAIL")</x:f>
        <x:v>PASS</x:v>
      </x:c>
      <x:c r="F173" s="9" t="str">
        <x:v>TERMINAL</x:v>
      </x:c>
      <x:c r="G173" s="47"/>
      <x:c r="H173" s="47"/>
      <x:c r="I173" s="47"/>
      <x:c r="J173" s="47"/>
      <x:c r="K173" s="47"/>
      <x:c r="L173" s="47"/>
      <x:c r="M173" s="47"/>
      <x:c r="N173" s="47"/>
      <x:c r="O173" s="47"/>
      <x:c r="P173" s="47"/>
      <x:c r="Q173" s="47"/>
      <x:c r="R173" s="47"/>
      <x:c r="S173" s="47"/>
      <x:c r="T173" s="47"/>
      <x:c r="U173" s="47"/>
      <x:c r="V173" s="47"/>
      <x:c r="W173" s="47"/>
      <x:c r="X173" s="47"/>
      <x:c r="Y173" s="47"/>
      <x:c r="Z173" s="47"/>
    </x:row>
    <x:row r="174">
      <x:c r="C174" s="9" t="str">
        <x:v>AU-S-3-05</x:v>
      </x:c>
      <x:c r="D174" s="9" t="str">
        <x:v>ST-ET-REP event capacity</x:v>
      </x:c>
      <x:c r="E174" s="9" t="str">
        <x:f>IF('Event Capacity'!J9=16,"PASS","FAIL")</x:f>
        <x:v>PASS</x:v>
      </x:c>
      <x:c r="F174" s="9" t="str">
        <x:v>TERMINAL</x:v>
      </x:c>
      <x:c r="G174" s="47"/>
      <x:c r="H174" s="47"/>
      <x:c r="I174" s="47"/>
      <x:c r="J174" s="47"/>
      <x:c r="K174" s="47"/>
      <x:c r="L174" s="47"/>
      <x:c r="M174" s="47"/>
      <x:c r="N174" s="47"/>
      <x:c r="O174" s="47"/>
      <x:c r="P174" s="47"/>
      <x:c r="Q174" s="47"/>
      <x:c r="R174" s="47"/>
      <x:c r="S174" s="47"/>
      <x:c r="T174" s="47"/>
      <x:c r="U174" s="47"/>
      <x:c r="V174" s="47"/>
      <x:c r="W174" s="47"/>
      <x:c r="X174" s="47"/>
      <x:c r="Y174" s="47"/>
      <x:c r="Z174" s="47"/>
    </x:row>
    <x:row r="175">
      <x:c r="C175" s="9" t="str">
        <x:v>AU-S-4-01</x:v>
      </x:c>
      <x:c r="D175" s="9" t="str">
        <x:v>ST-CT-CHL five lanes</x:v>
      </x:c>
      <x:c r="E175" s="9" t="str">
        <x:f>IF('Station Topology'!H10=5,"PASS","FAIL")</x:f>
        <x:v>PASS</x:v>
      </x:c>
      <x:c r="F175" s="9" t="str">
        <x:v>TERMINAL</x:v>
      </x:c>
      <x:c r="G175" s="47"/>
      <x:c r="H175" s="47"/>
      <x:c r="I175" s="47"/>
      <x:c r="J175" s="47"/>
      <x:c r="K175" s="47"/>
      <x:c r="L175" s="47"/>
      <x:c r="M175" s="47"/>
      <x:c r="N175" s="47"/>
      <x:c r="O175" s="47"/>
      <x:c r="P175" s="47"/>
      <x:c r="Q175" s="47"/>
      <x:c r="R175" s="47"/>
      <x:c r="S175" s="47"/>
      <x:c r="T175" s="47"/>
      <x:c r="U175" s="47"/>
      <x:c r="V175" s="47"/>
      <x:c r="W175" s="47"/>
      <x:c r="X175" s="47"/>
      <x:c r="Y175" s="47"/>
      <x:c r="Z175" s="47"/>
    </x:row>
    <x:row r="176">
      <x:c r="C176" s="9" t="str">
        <x:v>AU-S-4-02</x:v>
      </x:c>
      <x:c r="D176" s="9" t="str">
        <x:v>ST-CT-CHL four campaign lanes</x:v>
      </x:c>
      <x:c r="E176" s="9" t="str">
        <x:f>IF('Station Topology'!I10=4,"PASS","FAIL")</x:f>
        <x:v>PASS</x:v>
      </x:c>
      <x:c r="F176" s="9" t="str">
        <x:v>TERMINAL</x:v>
      </x:c>
      <x:c r="G176" s="47"/>
      <x:c r="H176" s="47"/>
      <x:c r="I176" s="47"/>
      <x:c r="J176" s="47"/>
      <x:c r="K176" s="47"/>
      <x:c r="L176" s="47"/>
      <x:c r="M176" s="47"/>
      <x:c r="N176" s="47"/>
      <x:c r="O176" s="47"/>
      <x:c r="P176" s="47"/>
      <x:c r="Q176" s="47"/>
      <x:c r="R176" s="47"/>
      <x:c r="S176" s="47"/>
      <x:c r="T176" s="47"/>
      <x:c r="U176" s="47"/>
      <x:c r="V176" s="47"/>
      <x:c r="W176" s="47"/>
      <x:c r="X176" s="47"/>
      <x:c r="Y176" s="47"/>
      <x:c r="Z176" s="47"/>
    </x:row>
    <x:row r="177">
      <x:c r="C177" s="9" t="str">
        <x:v>AU-S-4-03</x:v>
      </x:c>
      <x:c r="D177" s="9" t="str">
        <x:v>ST-CT-CHL one reserve lane</x:v>
      </x:c>
      <x:c r="E177" s="9" t="str">
        <x:f>IF('Station Topology'!J10=1,"PASS","FAIL")</x:f>
        <x:v>PASS</x:v>
      </x:c>
      <x:c r="F177" s="9" t="str">
        <x:v>TERMINAL</x:v>
      </x:c>
      <x:c r="G177" s="47"/>
      <x:c r="H177" s="47"/>
      <x:c r="I177" s="47"/>
      <x:c r="J177" s="47"/>
      <x:c r="K177" s="47"/>
      <x:c r="L177" s="47"/>
      <x:c r="M177" s="47"/>
      <x:c r="N177" s="47"/>
      <x:c r="O177" s="47"/>
      <x:c r="P177" s="47"/>
      <x:c r="Q177" s="47"/>
      <x:c r="R177" s="47"/>
      <x:c r="S177" s="47"/>
      <x:c r="T177" s="47"/>
      <x:c r="U177" s="47"/>
      <x:c r="V177" s="47"/>
      <x:c r="W177" s="47"/>
      <x:c r="X177" s="47"/>
      <x:c r="Y177" s="47"/>
      <x:c r="Z177" s="47"/>
    </x:row>
    <x:row r="178">
      <x:c r="C178" s="9" t="str">
        <x:v>AU-S-4-04</x:v>
      </x:c>
      <x:c r="D178" s="9" t="str">
        <x:v>ST-CT-CHL lane balance</x:v>
      </x:c>
      <x:c r="E178" s="9" t="str">
        <x:f>IF('Station Topology'!H10='Station Topology'!I10+'Station Topology'!J10,"PASS","FAIL")</x:f>
        <x:v>PASS</x:v>
      </x:c>
      <x:c r="F178" s="9" t="str">
        <x:v>TERMINAL</x:v>
      </x:c>
      <x:c r="G178" s="47"/>
      <x:c r="H178" s="47"/>
      <x:c r="I178" s="47"/>
      <x:c r="J178" s="47"/>
      <x:c r="K178" s="47"/>
      <x:c r="L178" s="47"/>
      <x:c r="M178" s="47"/>
      <x:c r="N178" s="47"/>
      <x:c r="O178" s="47"/>
      <x:c r="P178" s="47"/>
      <x:c r="Q178" s="47"/>
      <x:c r="R178" s="47"/>
      <x:c r="S178" s="47"/>
      <x:c r="T178" s="47"/>
      <x:c r="U178" s="47"/>
      <x:c r="V178" s="47"/>
      <x:c r="W178" s="47"/>
      <x:c r="X178" s="47"/>
      <x:c r="Y178" s="47"/>
      <x:c r="Z178" s="47"/>
    </x:row>
    <x:row r="179">
      <x:c r="C179" s="9" t="str">
        <x:v>AU-S-4-05</x:v>
      </x:c>
      <x:c r="D179" s="9" t="str">
        <x:v>ST-CT-CHL event capacity</x:v>
      </x:c>
      <x:c r="E179" s="9" t="str">
        <x:f>IF('Event Capacity'!J10=16,"PASS","FAIL")</x:f>
        <x:v>PASS</x:v>
      </x:c>
      <x:c r="F179" s="9" t="str">
        <x:v>TERMINAL</x:v>
      </x:c>
      <x:c r="G179" s="47"/>
      <x:c r="H179" s="47"/>
      <x:c r="I179" s="47"/>
      <x:c r="J179" s="47"/>
      <x:c r="K179" s="47"/>
      <x:c r="L179" s="47"/>
      <x:c r="M179" s="47"/>
      <x:c r="N179" s="47"/>
      <x:c r="O179" s="47"/>
      <x:c r="P179" s="47"/>
      <x:c r="Q179" s="47"/>
      <x:c r="R179" s="47"/>
      <x:c r="S179" s="47"/>
      <x:c r="T179" s="47"/>
      <x:c r="U179" s="47"/>
      <x:c r="V179" s="47"/>
      <x:c r="W179" s="47"/>
      <x:c r="X179" s="47"/>
      <x:c r="Y179" s="47"/>
      <x:c r="Z179" s="47"/>
    </x:row>
    <x:row r="180">
      <x:c r="C180" s="9" t="str">
        <x:v>AU-S-5-01</x:v>
      </x:c>
      <x:c r="D180" s="9" t="str">
        <x:v>ST-CT-CTL five lanes</x:v>
      </x:c>
      <x:c r="E180" s="9" t="str">
        <x:f>IF('Station Topology'!H11=5,"PASS","FAIL")</x:f>
        <x:v>PASS</x:v>
      </x:c>
      <x:c r="F180" s="9" t="str">
        <x:v>TERMINAL</x:v>
      </x:c>
      <x:c r="G180" s="47"/>
      <x:c r="H180" s="47"/>
      <x:c r="I180" s="47"/>
      <x:c r="J180" s="47"/>
      <x:c r="K180" s="47"/>
      <x:c r="L180" s="47"/>
      <x:c r="M180" s="47"/>
      <x:c r="N180" s="47"/>
      <x:c r="O180" s="47"/>
      <x:c r="P180" s="47"/>
      <x:c r="Q180" s="47"/>
      <x:c r="R180" s="47"/>
      <x:c r="S180" s="47"/>
      <x:c r="T180" s="47"/>
      <x:c r="U180" s="47"/>
      <x:c r="V180" s="47"/>
      <x:c r="W180" s="47"/>
      <x:c r="X180" s="47"/>
      <x:c r="Y180" s="47"/>
      <x:c r="Z180" s="47"/>
    </x:row>
    <x:row r="181">
      <x:c r="C181" s="9" t="str">
        <x:v>AU-S-5-02</x:v>
      </x:c>
      <x:c r="D181" s="9" t="str">
        <x:v>ST-CT-CTL four campaign lanes</x:v>
      </x:c>
      <x:c r="E181" s="9" t="str">
        <x:f>IF('Station Topology'!I11=4,"PASS","FAIL")</x:f>
        <x:v>PASS</x:v>
      </x:c>
      <x:c r="F181" s="9" t="str">
        <x:v>TERMINAL</x:v>
      </x:c>
      <x:c r="G181" s="47"/>
      <x:c r="H181" s="47"/>
      <x:c r="I181" s="47"/>
      <x:c r="J181" s="47"/>
      <x:c r="K181" s="47"/>
      <x:c r="L181" s="47"/>
      <x:c r="M181" s="47"/>
      <x:c r="N181" s="47"/>
      <x:c r="O181" s="47"/>
      <x:c r="P181" s="47"/>
      <x:c r="Q181" s="47"/>
      <x:c r="R181" s="47"/>
      <x:c r="S181" s="47"/>
      <x:c r="T181" s="47"/>
      <x:c r="U181" s="47"/>
      <x:c r="V181" s="47"/>
      <x:c r="W181" s="47"/>
      <x:c r="X181" s="47"/>
      <x:c r="Y181" s="47"/>
      <x:c r="Z181" s="47"/>
    </x:row>
    <x:row r="182">
      <x:c r="C182" s="9" t="str">
        <x:v>AU-S-5-03</x:v>
      </x:c>
      <x:c r="D182" s="9" t="str">
        <x:v>ST-CT-CTL one reserve lane</x:v>
      </x:c>
      <x:c r="E182" s="9" t="str">
        <x:f>IF('Station Topology'!J11=1,"PASS","FAIL")</x:f>
        <x:v>PASS</x:v>
      </x:c>
      <x:c r="F182" s="9" t="str">
        <x:v>TERMINAL</x:v>
      </x:c>
      <x:c r="G182" s="47"/>
      <x:c r="H182" s="47"/>
      <x:c r="I182" s="47"/>
      <x:c r="J182" s="47"/>
      <x:c r="K182" s="47"/>
      <x:c r="L182" s="47"/>
      <x:c r="M182" s="47"/>
      <x:c r="N182" s="47"/>
      <x:c r="O182" s="47"/>
      <x:c r="P182" s="47"/>
      <x:c r="Q182" s="47"/>
      <x:c r="R182" s="47"/>
      <x:c r="S182" s="47"/>
      <x:c r="T182" s="47"/>
      <x:c r="U182" s="47"/>
      <x:c r="V182" s="47"/>
      <x:c r="W182" s="47"/>
      <x:c r="X182" s="47"/>
      <x:c r="Y182" s="47"/>
      <x:c r="Z182" s="47"/>
    </x:row>
    <x:row r="183">
      <x:c r="C183" s="9" t="str">
        <x:v>AU-S-5-04</x:v>
      </x:c>
      <x:c r="D183" s="9" t="str">
        <x:v>ST-CT-CTL lane balance</x:v>
      </x:c>
      <x:c r="E183" s="9" t="str">
        <x:f>IF('Station Topology'!H11='Station Topology'!I11+'Station Topology'!J11,"PASS","FAIL")</x:f>
        <x:v>PASS</x:v>
      </x:c>
      <x:c r="F183" s="9" t="str">
        <x:v>TERMINAL</x:v>
      </x:c>
      <x:c r="G183" s="47"/>
      <x:c r="H183" s="47"/>
      <x:c r="I183" s="47"/>
      <x:c r="J183" s="47"/>
      <x:c r="K183" s="47"/>
      <x:c r="L183" s="47"/>
      <x:c r="M183" s="47"/>
      <x:c r="N183" s="47"/>
      <x:c r="O183" s="47"/>
      <x:c r="P183" s="47"/>
      <x:c r="Q183" s="47"/>
      <x:c r="R183" s="47"/>
      <x:c r="S183" s="47"/>
      <x:c r="T183" s="47"/>
      <x:c r="U183" s="47"/>
      <x:c r="V183" s="47"/>
      <x:c r="W183" s="47"/>
      <x:c r="X183" s="47"/>
      <x:c r="Y183" s="47"/>
      <x:c r="Z183" s="47"/>
    </x:row>
    <x:row r="184">
      <x:c r="C184" s="9" t="str">
        <x:v>AU-S-5-05</x:v>
      </x:c>
      <x:c r="D184" s="9" t="str">
        <x:v>ST-CT-CTL event capacity</x:v>
      </x:c>
      <x:c r="E184" s="9" t="str">
        <x:f>IF('Event Capacity'!J11=16,"PASS","FAIL")</x:f>
        <x:v>PASS</x:v>
      </x:c>
      <x:c r="F184" s="9" t="str">
        <x:v>TERMINAL</x:v>
      </x:c>
      <x:c r="G184" s="47"/>
      <x:c r="H184" s="47"/>
      <x:c r="I184" s="47"/>
      <x:c r="J184" s="47"/>
      <x:c r="K184" s="47"/>
      <x:c r="L184" s="47"/>
      <x:c r="M184" s="47"/>
      <x:c r="N184" s="47"/>
      <x:c r="O184" s="47"/>
      <x:c r="P184" s="47"/>
      <x:c r="Q184" s="47"/>
      <x:c r="R184" s="47"/>
      <x:c r="S184" s="47"/>
      <x:c r="T184" s="47"/>
      <x:c r="U184" s="47"/>
      <x:c r="V184" s="47"/>
      <x:c r="W184" s="47"/>
      <x:c r="X184" s="47"/>
      <x:c r="Y184" s="47"/>
      <x:c r="Z184" s="47"/>
    </x:row>
    <x:row r="185">
      <x:c r="C185" s="9" t="str">
        <x:v>AU-S-6-01</x:v>
      </x:c>
      <x:c r="D185" s="9" t="str">
        <x:v>ST-CT-REP five lanes</x:v>
      </x:c>
      <x:c r="E185" s="9" t="str">
        <x:f>IF('Station Topology'!H12=5,"PASS","FAIL")</x:f>
        <x:v>PASS</x:v>
      </x:c>
      <x:c r="F185" s="9" t="str">
        <x:v>TERMINAL</x:v>
      </x:c>
      <x:c r="G185" s="47"/>
      <x:c r="H185" s="47"/>
      <x:c r="I185" s="47"/>
      <x:c r="J185" s="47"/>
      <x:c r="K185" s="47"/>
      <x:c r="L185" s="47"/>
      <x:c r="M185" s="47"/>
      <x:c r="N185" s="47"/>
      <x:c r="O185" s="47"/>
      <x:c r="P185" s="47"/>
      <x:c r="Q185" s="47"/>
      <x:c r="R185" s="47"/>
      <x:c r="S185" s="47"/>
      <x:c r="T185" s="47"/>
      <x:c r="U185" s="47"/>
      <x:c r="V185" s="47"/>
      <x:c r="W185" s="47"/>
      <x:c r="X185" s="47"/>
      <x:c r="Y185" s="47"/>
      <x:c r="Z185" s="47"/>
    </x:row>
    <x:row r="186">
      <x:c r="C186" s="9" t="str">
        <x:v>AU-S-6-02</x:v>
      </x:c>
      <x:c r="D186" s="9" t="str">
        <x:v>ST-CT-REP four campaign lanes</x:v>
      </x:c>
      <x:c r="E186" s="9" t="str">
        <x:f>IF('Station Topology'!I12=4,"PASS","FAIL")</x:f>
        <x:v>PASS</x:v>
      </x:c>
      <x:c r="F186" s="9" t="str">
        <x:v>TERMINAL</x:v>
      </x:c>
      <x:c r="G186" s="47"/>
      <x:c r="H186" s="47"/>
      <x:c r="I186" s="47"/>
      <x:c r="J186" s="47"/>
      <x:c r="K186" s="47"/>
      <x:c r="L186" s="47"/>
      <x:c r="M186" s="47"/>
      <x:c r="N186" s="47"/>
      <x:c r="O186" s="47"/>
      <x:c r="P186" s="47"/>
      <x:c r="Q186" s="47"/>
      <x:c r="R186" s="47"/>
      <x:c r="S186" s="47"/>
      <x:c r="T186" s="47"/>
      <x:c r="U186" s="47"/>
      <x:c r="V186" s="47"/>
      <x:c r="W186" s="47"/>
      <x:c r="X186" s="47"/>
      <x:c r="Y186" s="47"/>
      <x:c r="Z186" s="47"/>
    </x:row>
    <x:row r="187">
      <x:c r="C187" s="9" t="str">
        <x:v>AU-S-6-03</x:v>
      </x:c>
      <x:c r="D187" s="9" t="str">
        <x:v>ST-CT-REP one reserve lane</x:v>
      </x:c>
      <x:c r="E187" s="9" t="str">
        <x:f>IF('Station Topology'!J12=1,"PASS","FAIL")</x:f>
        <x:v>PASS</x:v>
      </x:c>
      <x:c r="F187" s="9" t="str">
        <x:v>TERMINAL</x:v>
      </x:c>
      <x:c r="G187" s="47"/>
      <x:c r="H187" s="47"/>
      <x:c r="I187" s="47"/>
      <x:c r="J187" s="47"/>
      <x:c r="K187" s="47"/>
      <x:c r="L187" s="47"/>
      <x:c r="M187" s="47"/>
      <x:c r="N187" s="47"/>
      <x:c r="O187" s="47"/>
      <x:c r="P187" s="47"/>
      <x:c r="Q187" s="47"/>
      <x:c r="R187" s="47"/>
      <x:c r="S187" s="47"/>
      <x:c r="T187" s="47"/>
      <x:c r="U187" s="47"/>
      <x:c r="V187" s="47"/>
      <x:c r="W187" s="47"/>
      <x:c r="X187" s="47"/>
      <x:c r="Y187" s="47"/>
      <x:c r="Z187" s="47"/>
    </x:row>
    <x:row r="188">
      <x:c r="C188" s="9" t="str">
        <x:v>AU-S-6-04</x:v>
      </x:c>
      <x:c r="D188" s="9" t="str">
        <x:v>ST-CT-REP lane balance</x:v>
      </x:c>
      <x:c r="E188" s="9" t="str">
        <x:f>IF('Station Topology'!H12='Station Topology'!I12+'Station Topology'!J12,"PASS","FAIL")</x:f>
        <x:v>PASS</x:v>
      </x:c>
      <x:c r="F188" s="9" t="str">
        <x:v>TERMINAL</x:v>
      </x:c>
      <x:c r="G188" s="47"/>
      <x:c r="H188" s="47"/>
      <x:c r="I188" s="47"/>
      <x:c r="J188" s="47"/>
      <x:c r="K188" s="47"/>
      <x:c r="L188" s="47"/>
      <x:c r="M188" s="47"/>
      <x:c r="N188" s="47"/>
      <x:c r="O188" s="47"/>
      <x:c r="P188" s="47"/>
      <x:c r="Q188" s="47"/>
      <x:c r="R188" s="47"/>
      <x:c r="S188" s="47"/>
      <x:c r="T188" s="47"/>
      <x:c r="U188" s="47"/>
      <x:c r="V188" s="47"/>
      <x:c r="W188" s="47"/>
      <x:c r="X188" s="47"/>
      <x:c r="Y188" s="47"/>
      <x:c r="Z188" s="47"/>
    </x:row>
    <x:row r="189">
      <x:c r="C189" s="9" t="str">
        <x:v>AU-S-6-05</x:v>
      </x:c>
      <x:c r="D189" s="9" t="str">
        <x:v>ST-CT-REP event capacity</x:v>
      </x:c>
      <x:c r="E189" s="9" t="str">
        <x:f>IF('Event Capacity'!J12=16,"PASS","FAIL")</x:f>
        <x:v>PASS</x:v>
      </x:c>
      <x:c r="F189" s="9" t="str">
        <x:v>TERMINAL</x:v>
      </x:c>
      <x:c r="G189" s="47"/>
      <x:c r="H189" s="47"/>
      <x:c r="I189" s="47"/>
      <x:c r="J189" s="47"/>
      <x:c r="K189" s="47"/>
      <x:c r="L189" s="47"/>
      <x:c r="M189" s="47"/>
      <x:c r="N189" s="47"/>
      <x:c r="O189" s="47"/>
      <x:c r="P189" s="47"/>
      <x:c r="Q189" s="47"/>
      <x:c r="R189" s="47"/>
      <x:c r="S189" s="47"/>
      <x:c r="T189" s="47"/>
      <x:c r="U189" s="47"/>
      <x:c r="V189" s="47"/>
      <x:c r="W189" s="47"/>
      <x:c r="X189" s="47"/>
      <x:c r="Y189" s="47"/>
      <x:c r="Z189" s="47"/>
    </x:row>
    <x:row r="190">
      <x:c r="C190" s="9" t="str">
        <x:v>AU-S-7-01</x:v>
      </x:c>
      <x:c r="D190" s="9" t="str">
        <x:v>ST-HC-CHL five lanes</x:v>
      </x:c>
      <x:c r="E190" s="9" t="str">
        <x:f>IF('Station Topology'!H13=5,"PASS","FAIL")</x:f>
        <x:v>PASS</x:v>
      </x:c>
      <x:c r="F190" s="9" t="str">
        <x:v>TERMINAL</x:v>
      </x:c>
      <x:c r="G190" s="47"/>
      <x:c r="H190" s="47"/>
      <x:c r="I190" s="47"/>
      <x:c r="J190" s="47"/>
      <x:c r="K190" s="47"/>
      <x:c r="L190" s="47"/>
      <x:c r="M190" s="47"/>
      <x:c r="N190" s="47"/>
      <x:c r="O190" s="47"/>
      <x:c r="P190" s="47"/>
      <x:c r="Q190" s="47"/>
      <x:c r="R190" s="47"/>
      <x:c r="S190" s="47"/>
      <x:c r="T190" s="47"/>
      <x:c r="U190" s="47"/>
      <x:c r="V190" s="47"/>
      <x:c r="W190" s="47"/>
      <x:c r="X190" s="47"/>
      <x:c r="Y190" s="47"/>
      <x:c r="Z190" s="47"/>
    </x:row>
    <x:row r="191">
      <x:c r="C191" s="9" t="str">
        <x:v>AU-S-7-02</x:v>
      </x:c>
      <x:c r="D191" s="9" t="str">
        <x:v>ST-HC-CHL four campaign lanes</x:v>
      </x:c>
      <x:c r="E191" s="9" t="str">
        <x:f>IF('Station Topology'!I13=4,"PASS","FAIL")</x:f>
        <x:v>PASS</x:v>
      </x:c>
      <x:c r="F191" s="9" t="str">
        <x:v>TERMINAL</x:v>
      </x:c>
      <x:c r="G191" s="47"/>
      <x:c r="H191" s="47"/>
      <x:c r="I191" s="47"/>
      <x:c r="J191" s="47"/>
      <x:c r="K191" s="47"/>
      <x:c r="L191" s="47"/>
      <x:c r="M191" s="47"/>
      <x:c r="N191" s="47"/>
      <x:c r="O191" s="47"/>
      <x:c r="P191" s="47"/>
      <x:c r="Q191" s="47"/>
      <x:c r="R191" s="47"/>
      <x:c r="S191" s="47"/>
      <x:c r="T191" s="47"/>
      <x:c r="U191" s="47"/>
      <x:c r="V191" s="47"/>
      <x:c r="W191" s="47"/>
      <x:c r="X191" s="47"/>
      <x:c r="Y191" s="47"/>
      <x:c r="Z191" s="47"/>
    </x:row>
    <x:row r="192">
      <x:c r="C192" s="9" t="str">
        <x:v>AU-S-7-03</x:v>
      </x:c>
      <x:c r="D192" s="9" t="str">
        <x:v>ST-HC-CHL one reserve lane</x:v>
      </x:c>
      <x:c r="E192" s="9" t="str">
        <x:f>IF('Station Topology'!J13=1,"PASS","FAIL")</x:f>
        <x:v>PASS</x:v>
      </x:c>
      <x:c r="F192" s="9" t="str">
        <x:v>TERMINAL</x:v>
      </x:c>
      <x:c r="G192" s="47"/>
      <x:c r="H192" s="47"/>
      <x:c r="I192" s="47"/>
      <x:c r="J192" s="47"/>
      <x:c r="K192" s="47"/>
      <x:c r="L192" s="47"/>
      <x:c r="M192" s="47"/>
      <x:c r="N192" s="47"/>
      <x:c r="O192" s="47"/>
      <x:c r="P192" s="47"/>
      <x:c r="Q192" s="47"/>
      <x:c r="R192" s="47"/>
      <x:c r="S192" s="47"/>
      <x:c r="T192" s="47"/>
      <x:c r="U192" s="47"/>
      <x:c r="V192" s="47"/>
      <x:c r="W192" s="47"/>
      <x:c r="X192" s="47"/>
      <x:c r="Y192" s="47"/>
      <x:c r="Z192" s="47"/>
    </x:row>
    <x:row r="193">
      <x:c r="C193" s="9" t="str">
        <x:v>AU-S-7-04</x:v>
      </x:c>
      <x:c r="D193" s="9" t="str">
        <x:v>ST-HC-CHL lane balance</x:v>
      </x:c>
      <x:c r="E193" s="9" t="str">
        <x:f>IF('Station Topology'!H13='Station Topology'!I13+'Station Topology'!J13,"PASS","FAIL")</x:f>
        <x:v>PASS</x:v>
      </x:c>
      <x:c r="F193" s="9" t="str">
        <x:v>TERMINAL</x:v>
      </x:c>
      <x:c r="G193" s="47"/>
      <x:c r="H193" s="47"/>
      <x:c r="I193" s="47"/>
      <x:c r="J193" s="47"/>
      <x:c r="K193" s="47"/>
      <x:c r="L193" s="47"/>
      <x:c r="M193" s="47"/>
      <x:c r="N193" s="47"/>
      <x:c r="O193" s="47"/>
      <x:c r="P193" s="47"/>
      <x:c r="Q193" s="47"/>
      <x:c r="R193" s="47"/>
      <x:c r="S193" s="47"/>
      <x:c r="T193" s="47"/>
      <x:c r="U193" s="47"/>
      <x:c r="V193" s="47"/>
      <x:c r="W193" s="47"/>
      <x:c r="X193" s="47"/>
      <x:c r="Y193" s="47"/>
      <x:c r="Z193" s="47"/>
    </x:row>
    <x:row r="194">
      <x:c r="C194" s="9" t="str">
        <x:v>AU-S-7-05</x:v>
      </x:c>
      <x:c r="D194" s="9" t="str">
        <x:v>ST-HC-CHL event capacity</x:v>
      </x:c>
      <x:c r="E194" s="9" t="str">
        <x:f>IF('Event Capacity'!J13=16,"PASS","FAIL")</x:f>
        <x:v>PASS</x:v>
      </x:c>
      <x:c r="F194" s="9" t="str">
        <x:v>TERMINAL</x:v>
      </x:c>
      <x:c r="G194" s="47"/>
      <x:c r="H194" s="47"/>
      <x:c r="I194" s="47"/>
      <x:c r="J194" s="47"/>
      <x:c r="K194" s="47"/>
      <x:c r="L194" s="47"/>
      <x:c r="M194" s="47"/>
      <x:c r="N194" s="47"/>
      <x:c r="O194" s="47"/>
      <x:c r="P194" s="47"/>
      <x:c r="Q194" s="47"/>
      <x:c r="R194" s="47"/>
      <x:c r="S194" s="47"/>
      <x:c r="T194" s="47"/>
      <x:c r="U194" s="47"/>
      <x:c r="V194" s="47"/>
      <x:c r="W194" s="47"/>
      <x:c r="X194" s="47"/>
      <x:c r="Y194" s="47"/>
      <x:c r="Z194" s="47"/>
    </x:row>
    <x:row r="195">
      <x:c r="C195" s="9" t="str">
        <x:v>AU-S-8-01</x:v>
      </x:c>
      <x:c r="D195" s="9" t="str">
        <x:v>ST-HC-CTL five lanes</x:v>
      </x:c>
      <x:c r="E195" s="9" t="str">
        <x:f>IF('Station Topology'!H14=5,"PASS","FAIL")</x:f>
        <x:v>PASS</x:v>
      </x:c>
      <x:c r="F195" s="9" t="str">
        <x:v>TERMINAL</x:v>
      </x:c>
      <x:c r="G195" s="47"/>
      <x:c r="H195" s="47"/>
      <x:c r="I195" s="47"/>
      <x:c r="J195" s="47"/>
      <x:c r="K195" s="47"/>
      <x:c r="L195" s="47"/>
      <x:c r="M195" s="47"/>
      <x:c r="N195" s="47"/>
      <x:c r="O195" s="47"/>
      <x:c r="P195" s="47"/>
      <x:c r="Q195" s="47"/>
      <x:c r="R195" s="47"/>
      <x:c r="S195" s="47"/>
      <x:c r="T195" s="47"/>
      <x:c r="U195" s="47"/>
      <x:c r="V195" s="47"/>
      <x:c r="W195" s="47"/>
      <x:c r="X195" s="47"/>
      <x:c r="Y195" s="47"/>
      <x:c r="Z195" s="47"/>
    </x:row>
    <x:row r="196">
      <x:c r="C196" s="9" t="str">
        <x:v>AU-S-8-02</x:v>
      </x:c>
      <x:c r="D196" s="9" t="str">
        <x:v>ST-HC-CTL four campaign lanes</x:v>
      </x:c>
      <x:c r="E196" s="9" t="str">
        <x:f>IF('Station Topology'!I14=4,"PASS","FAIL")</x:f>
        <x:v>PASS</x:v>
      </x:c>
      <x:c r="F196" s="9" t="str">
        <x:v>TERMINAL</x:v>
      </x:c>
      <x:c r="G196" s="47"/>
      <x:c r="H196" s="47"/>
      <x:c r="I196" s="47"/>
      <x:c r="J196" s="47"/>
      <x:c r="K196" s="47"/>
      <x:c r="L196" s="47"/>
      <x:c r="M196" s="47"/>
      <x:c r="N196" s="47"/>
      <x:c r="O196" s="47"/>
      <x:c r="P196" s="47"/>
      <x:c r="Q196" s="47"/>
      <x:c r="R196" s="47"/>
      <x:c r="S196" s="47"/>
      <x:c r="T196" s="47"/>
      <x:c r="U196" s="47"/>
      <x:c r="V196" s="47"/>
      <x:c r="W196" s="47"/>
      <x:c r="X196" s="47"/>
      <x:c r="Y196" s="47"/>
      <x:c r="Z196" s="47"/>
    </x:row>
    <x:row r="197">
      <x:c r="C197" s="9" t="str">
        <x:v>AU-S-8-03</x:v>
      </x:c>
      <x:c r="D197" s="9" t="str">
        <x:v>ST-HC-CTL one reserve lane</x:v>
      </x:c>
      <x:c r="E197" s="9" t="str">
        <x:f>IF('Station Topology'!J14=1,"PASS","FAIL")</x:f>
        <x:v>PASS</x:v>
      </x:c>
      <x:c r="F197" s="9" t="str">
        <x:v>TERMINAL</x:v>
      </x:c>
      <x:c r="G197" s="47"/>
      <x:c r="H197" s="47"/>
      <x:c r="I197" s="47"/>
      <x:c r="J197" s="47"/>
      <x:c r="K197" s="47"/>
      <x:c r="L197" s="47"/>
      <x:c r="M197" s="47"/>
      <x:c r="N197" s="47"/>
      <x:c r="O197" s="47"/>
      <x:c r="P197" s="47"/>
      <x:c r="Q197" s="47"/>
      <x:c r="R197" s="47"/>
      <x:c r="S197" s="47"/>
      <x:c r="T197" s="47"/>
      <x:c r="U197" s="47"/>
      <x:c r="V197" s="47"/>
      <x:c r="W197" s="47"/>
      <x:c r="X197" s="47"/>
      <x:c r="Y197" s="47"/>
      <x:c r="Z197" s="47"/>
    </x:row>
    <x:row r="198">
      <x:c r="C198" s="9" t="str">
        <x:v>AU-S-8-04</x:v>
      </x:c>
      <x:c r="D198" s="9" t="str">
        <x:v>ST-HC-CTL lane balance</x:v>
      </x:c>
      <x:c r="E198" s="9" t="str">
        <x:f>IF('Station Topology'!H14='Station Topology'!I14+'Station Topology'!J14,"PASS","FAIL")</x:f>
        <x:v>PASS</x:v>
      </x:c>
      <x:c r="F198" s="9" t="str">
        <x:v>TERMINAL</x:v>
      </x:c>
      <x:c r="G198" s="47"/>
      <x:c r="H198" s="47"/>
      <x:c r="I198" s="47"/>
      <x:c r="J198" s="47"/>
      <x:c r="K198" s="47"/>
      <x:c r="L198" s="47"/>
      <x:c r="M198" s="47"/>
      <x:c r="N198" s="47"/>
      <x:c r="O198" s="47"/>
      <x:c r="P198" s="47"/>
      <x:c r="Q198" s="47"/>
      <x:c r="R198" s="47"/>
      <x:c r="S198" s="47"/>
      <x:c r="T198" s="47"/>
      <x:c r="U198" s="47"/>
      <x:c r="V198" s="47"/>
      <x:c r="W198" s="47"/>
      <x:c r="X198" s="47"/>
      <x:c r="Y198" s="47"/>
      <x:c r="Z198" s="47"/>
    </x:row>
    <x:row r="199">
      <x:c r="C199" s="9" t="str">
        <x:v>AU-S-8-05</x:v>
      </x:c>
      <x:c r="D199" s="9" t="str">
        <x:v>ST-HC-CTL event capacity</x:v>
      </x:c>
      <x:c r="E199" s="9" t="str">
        <x:f>IF('Event Capacity'!J14=16,"PASS","FAIL")</x:f>
        <x:v>PASS</x:v>
      </x:c>
      <x:c r="F199" s="9" t="str">
        <x:v>TERMINAL</x:v>
      </x:c>
      <x:c r="G199" s="47"/>
      <x:c r="H199" s="47"/>
      <x:c r="I199" s="47"/>
      <x:c r="J199" s="47"/>
      <x:c r="K199" s="47"/>
      <x:c r="L199" s="47"/>
      <x:c r="M199" s="47"/>
      <x:c r="N199" s="47"/>
      <x:c r="O199" s="47"/>
      <x:c r="P199" s="47"/>
      <x:c r="Q199" s="47"/>
      <x:c r="R199" s="47"/>
      <x:c r="S199" s="47"/>
      <x:c r="T199" s="47"/>
      <x:c r="U199" s="47"/>
      <x:c r="V199" s="47"/>
      <x:c r="W199" s="47"/>
      <x:c r="X199" s="47"/>
      <x:c r="Y199" s="47"/>
      <x:c r="Z199" s="47"/>
    </x:row>
    <x:row r="200">
      <x:c r="C200" s="9" t="str">
        <x:v>AU-S-9-01</x:v>
      </x:c>
      <x:c r="D200" s="9" t="str">
        <x:v>ST-HC-REP five lanes</x:v>
      </x:c>
      <x:c r="E200" s="9" t="str">
        <x:f>IF('Station Topology'!H15=5,"PASS","FAIL")</x:f>
        <x:v>PASS</x:v>
      </x:c>
      <x:c r="F200" s="9" t="str">
        <x:v>TERMINAL</x:v>
      </x:c>
      <x:c r="G200" s="47"/>
      <x:c r="H200" s="47"/>
      <x:c r="I200" s="47"/>
      <x:c r="J200" s="47"/>
      <x:c r="K200" s="47"/>
      <x:c r="L200" s="47"/>
      <x:c r="M200" s="47"/>
      <x:c r="N200" s="47"/>
      <x:c r="O200" s="47"/>
      <x:c r="P200" s="47"/>
      <x:c r="Q200" s="47"/>
      <x:c r="R200" s="47"/>
      <x:c r="S200" s="47"/>
      <x:c r="T200" s="47"/>
      <x:c r="U200" s="47"/>
      <x:c r="V200" s="47"/>
      <x:c r="W200" s="47"/>
      <x:c r="X200" s="47"/>
      <x:c r="Y200" s="47"/>
      <x:c r="Z200" s="47"/>
    </x:row>
    <x:row r="201">
      <x:c r="C201" s="9" t="str">
        <x:v>AU-S-9-02</x:v>
      </x:c>
      <x:c r="D201" s="9" t="str">
        <x:v>ST-HC-REP four campaign lanes</x:v>
      </x:c>
      <x:c r="E201" s="9" t="str">
        <x:f>IF('Station Topology'!I15=4,"PASS","FAIL")</x:f>
        <x:v>PASS</x:v>
      </x:c>
      <x:c r="F201" s="9" t="str">
        <x:v>TERMINAL</x:v>
      </x:c>
      <x:c r="G201" s="47"/>
      <x:c r="H201" s="47"/>
      <x:c r="I201" s="47"/>
      <x:c r="J201" s="47"/>
      <x:c r="K201" s="47"/>
      <x:c r="L201" s="47"/>
      <x:c r="M201" s="47"/>
      <x:c r="N201" s="47"/>
      <x:c r="O201" s="47"/>
      <x:c r="P201" s="47"/>
      <x:c r="Q201" s="47"/>
      <x:c r="R201" s="47"/>
      <x:c r="S201" s="47"/>
      <x:c r="T201" s="47"/>
      <x:c r="U201" s="47"/>
      <x:c r="V201" s="47"/>
      <x:c r="W201" s="47"/>
      <x:c r="X201" s="47"/>
      <x:c r="Y201" s="47"/>
      <x:c r="Z201" s="47"/>
    </x:row>
    <x:row r="202">
      <x:c r="C202" s="9" t="str">
        <x:v>AU-S-9-03</x:v>
      </x:c>
      <x:c r="D202" s="9" t="str">
        <x:v>ST-HC-REP one reserve lane</x:v>
      </x:c>
      <x:c r="E202" s="9" t="str">
        <x:f>IF('Station Topology'!J15=1,"PASS","FAIL")</x:f>
        <x:v>PASS</x:v>
      </x:c>
      <x:c r="F202" s="9" t="str">
        <x:v>TERMINAL</x:v>
      </x:c>
      <x:c r="G202" s="47"/>
      <x:c r="H202" s="47"/>
      <x:c r="I202" s="47"/>
      <x:c r="J202" s="47"/>
      <x:c r="K202" s="47"/>
      <x:c r="L202" s="47"/>
      <x:c r="M202" s="47"/>
      <x:c r="N202" s="47"/>
      <x:c r="O202" s="47"/>
      <x:c r="P202" s="47"/>
      <x:c r="Q202" s="47"/>
      <x:c r="R202" s="47"/>
      <x:c r="S202" s="47"/>
      <x:c r="T202" s="47"/>
      <x:c r="U202" s="47"/>
      <x:c r="V202" s="47"/>
      <x:c r="W202" s="47"/>
      <x:c r="X202" s="47"/>
      <x:c r="Y202" s="47"/>
      <x:c r="Z202" s="47"/>
    </x:row>
    <x:row r="203">
      <x:c r="C203" s="9" t="str">
        <x:v>AU-S-9-04</x:v>
      </x:c>
      <x:c r="D203" s="9" t="str">
        <x:v>ST-HC-REP lane balance</x:v>
      </x:c>
      <x:c r="E203" s="9" t="str">
        <x:f>IF('Station Topology'!H15='Station Topology'!I15+'Station Topology'!J15,"PASS","FAIL")</x:f>
        <x:v>PASS</x:v>
      </x:c>
      <x:c r="F203" s="9" t="str">
        <x:v>TERMINAL</x:v>
      </x:c>
      <x:c r="G203" s="47"/>
      <x:c r="H203" s="47"/>
      <x:c r="I203" s="47"/>
      <x:c r="J203" s="47"/>
      <x:c r="K203" s="47"/>
      <x:c r="L203" s="47"/>
      <x:c r="M203" s="47"/>
      <x:c r="N203" s="47"/>
      <x:c r="O203" s="47"/>
      <x:c r="P203" s="47"/>
      <x:c r="Q203" s="47"/>
      <x:c r="R203" s="47"/>
      <x:c r="S203" s="47"/>
      <x:c r="T203" s="47"/>
      <x:c r="U203" s="47"/>
      <x:c r="V203" s="47"/>
      <x:c r="W203" s="47"/>
      <x:c r="X203" s="47"/>
      <x:c r="Y203" s="47"/>
      <x:c r="Z203" s="47"/>
    </x:row>
    <x:row r="204">
      <x:c r="C204" s="9" t="str">
        <x:v>AU-S-9-05</x:v>
      </x:c>
      <x:c r="D204" s="9" t="str">
        <x:v>ST-HC-REP event capacity</x:v>
      </x:c>
      <x:c r="E204" s="9" t="str">
        <x:f>IF('Event Capacity'!J15=16,"PASS","FAIL")</x:f>
        <x:v>PASS</x:v>
      </x:c>
      <x:c r="F204" s="9" t="str">
        <x:v>TERMINAL</x:v>
      </x:c>
      <x:c r="G204" s="47"/>
      <x:c r="H204" s="47"/>
      <x:c r="I204" s="47"/>
      <x:c r="J204" s="47"/>
      <x:c r="K204" s="47"/>
      <x:c r="L204" s="47"/>
      <x:c r="M204" s="47"/>
      <x:c r="N204" s="47"/>
      <x:c r="O204" s="47"/>
      <x:c r="P204" s="47"/>
      <x:c r="Q204" s="47"/>
      <x:c r="R204" s="47"/>
      <x:c r="S204" s="47"/>
      <x:c r="T204" s="47"/>
      <x:c r="U204" s="47"/>
      <x:c r="V204" s="47"/>
      <x:c r="W204" s="47"/>
      <x:c r="X204" s="47"/>
      <x:c r="Y204" s="47"/>
      <x:c r="Z204" s="47"/>
    </x:row>
    <x:row r="205">
      <x:c r="C205" s="9" t="str">
        <x:v>AU-S-10-01</x:v>
      </x:c>
      <x:c r="D205" s="9" t="str">
        <x:v>ST-HU-CHL five lanes</x:v>
      </x:c>
      <x:c r="E205" s="9" t="str">
        <x:f>IF('Station Topology'!H16=5,"PASS","FAIL")</x:f>
        <x:v>PASS</x:v>
      </x:c>
      <x:c r="F205" s="9" t="str">
        <x:v>TERMINAL</x:v>
      </x:c>
      <x:c r="G205" s="47"/>
      <x:c r="H205" s="47"/>
      <x:c r="I205" s="47"/>
      <x:c r="J205" s="47"/>
      <x:c r="K205" s="47"/>
      <x:c r="L205" s="47"/>
      <x:c r="M205" s="47"/>
      <x:c r="N205" s="47"/>
      <x:c r="O205" s="47"/>
      <x:c r="P205" s="47"/>
      <x:c r="Q205" s="47"/>
      <x:c r="R205" s="47"/>
      <x:c r="S205" s="47"/>
      <x:c r="T205" s="47"/>
      <x:c r="U205" s="47"/>
      <x:c r="V205" s="47"/>
      <x:c r="W205" s="47"/>
      <x:c r="X205" s="47"/>
      <x:c r="Y205" s="47"/>
      <x:c r="Z205" s="47"/>
    </x:row>
    <x:row r="206">
      <x:c r="C206" s="9" t="str">
        <x:v>AU-S-10-02</x:v>
      </x:c>
      <x:c r="D206" s="9" t="str">
        <x:v>ST-HU-CHL four campaign lanes</x:v>
      </x:c>
      <x:c r="E206" s="9" t="str">
        <x:f>IF('Station Topology'!I16=4,"PASS","FAIL")</x:f>
        <x:v>PASS</x:v>
      </x:c>
      <x:c r="F206" s="9" t="str">
        <x:v>TERMINAL</x:v>
      </x:c>
      <x:c r="G206" s="47"/>
      <x:c r="H206" s="47"/>
      <x:c r="I206" s="47"/>
      <x:c r="J206" s="47"/>
      <x:c r="K206" s="47"/>
      <x:c r="L206" s="47"/>
      <x:c r="M206" s="47"/>
      <x:c r="N206" s="47"/>
      <x:c r="O206" s="47"/>
      <x:c r="P206" s="47"/>
      <x:c r="Q206" s="47"/>
      <x:c r="R206" s="47"/>
      <x:c r="S206" s="47"/>
      <x:c r="T206" s="47"/>
      <x:c r="U206" s="47"/>
      <x:c r="V206" s="47"/>
      <x:c r="W206" s="47"/>
      <x:c r="X206" s="47"/>
      <x:c r="Y206" s="47"/>
      <x:c r="Z206" s="47"/>
    </x:row>
    <x:row r="207">
      <x:c r="C207" s="9" t="str">
        <x:v>AU-S-10-03</x:v>
      </x:c>
      <x:c r="D207" s="9" t="str">
        <x:v>ST-HU-CHL one reserve lane</x:v>
      </x:c>
      <x:c r="E207" s="9" t="str">
        <x:f>IF('Station Topology'!J16=1,"PASS","FAIL")</x:f>
        <x:v>PASS</x:v>
      </x:c>
      <x:c r="F207" s="9" t="str">
        <x:v>TERMINAL</x:v>
      </x:c>
      <x:c r="G207" s="47"/>
      <x:c r="H207" s="47"/>
      <x:c r="I207" s="47"/>
      <x:c r="J207" s="47"/>
      <x:c r="K207" s="47"/>
      <x:c r="L207" s="47"/>
      <x:c r="M207" s="47"/>
      <x:c r="N207" s="47"/>
      <x:c r="O207" s="47"/>
      <x:c r="P207" s="47"/>
      <x:c r="Q207" s="47"/>
      <x:c r="R207" s="47"/>
      <x:c r="S207" s="47"/>
      <x:c r="T207" s="47"/>
      <x:c r="U207" s="47"/>
      <x:c r="V207" s="47"/>
      <x:c r="W207" s="47"/>
      <x:c r="X207" s="47"/>
      <x:c r="Y207" s="47"/>
      <x:c r="Z207" s="47"/>
    </x:row>
    <x:row r="208">
      <x:c r="C208" s="9" t="str">
        <x:v>AU-S-10-04</x:v>
      </x:c>
      <x:c r="D208" s="9" t="str">
        <x:v>ST-HU-CHL lane balance</x:v>
      </x:c>
      <x:c r="E208" s="9" t="str">
        <x:f>IF('Station Topology'!H16='Station Topology'!I16+'Station Topology'!J16,"PASS","FAIL")</x:f>
        <x:v>PASS</x:v>
      </x:c>
      <x:c r="F208" s="9" t="str">
        <x:v>TERMINAL</x:v>
      </x:c>
      <x:c r="G208" s="47"/>
      <x:c r="H208" s="47"/>
      <x:c r="I208" s="47"/>
      <x:c r="J208" s="47"/>
      <x:c r="K208" s="47"/>
      <x:c r="L208" s="47"/>
      <x:c r="M208" s="47"/>
      <x:c r="N208" s="47"/>
      <x:c r="O208" s="47"/>
      <x:c r="P208" s="47"/>
      <x:c r="Q208" s="47"/>
      <x:c r="R208" s="47"/>
      <x:c r="S208" s="47"/>
      <x:c r="T208" s="47"/>
      <x:c r="U208" s="47"/>
      <x:c r="V208" s="47"/>
      <x:c r="W208" s="47"/>
      <x:c r="X208" s="47"/>
      <x:c r="Y208" s="47"/>
      <x:c r="Z208" s="47"/>
    </x:row>
    <x:row r="209">
      <x:c r="C209" s="9" t="str">
        <x:v>AU-S-10-05</x:v>
      </x:c>
      <x:c r="D209" s="9" t="str">
        <x:v>ST-HU-CHL event capacity</x:v>
      </x:c>
      <x:c r="E209" s="9" t="str">
        <x:f>IF('Event Capacity'!J16=16,"PASS","FAIL")</x:f>
        <x:v>PASS</x:v>
      </x:c>
      <x:c r="F209" s="9" t="str">
        <x:v>TERMINAL</x:v>
      </x:c>
      <x:c r="G209" s="47"/>
      <x:c r="H209" s="47"/>
      <x:c r="I209" s="47"/>
      <x:c r="J209" s="47"/>
      <x:c r="K209" s="47"/>
      <x:c r="L209" s="47"/>
      <x:c r="M209" s="47"/>
      <x:c r="N209" s="47"/>
      <x:c r="O209" s="47"/>
      <x:c r="P209" s="47"/>
      <x:c r="Q209" s="47"/>
      <x:c r="R209" s="47"/>
      <x:c r="S209" s="47"/>
      <x:c r="T209" s="47"/>
      <x:c r="U209" s="47"/>
      <x:c r="V209" s="47"/>
      <x:c r="W209" s="47"/>
      <x:c r="X209" s="47"/>
      <x:c r="Y209" s="47"/>
      <x:c r="Z209" s="47"/>
    </x:row>
    <x:row r="210">
      <x:c r="C210" s="9" t="str">
        <x:v>AU-S-11-01</x:v>
      </x:c>
      <x:c r="D210" s="9" t="str">
        <x:v>ST-HU-CTL five lanes</x:v>
      </x:c>
      <x:c r="E210" s="9" t="str">
        <x:f>IF('Station Topology'!H17=5,"PASS","FAIL")</x:f>
        <x:v>PASS</x:v>
      </x:c>
      <x:c r="F210" s="9" t="str">
        <x:v>TERMINAL</x:v>
      </x:c>
      <x:c r="G210" s="47"/>
      <x:c r="H210" s="47"/>
      <x:c r="I210" s="47"/>
      <x:c r="J210" s="47"/>
      <x:c r="K210" s="47"/>
      <x:c r="L210" s="47"/>
      <x:c r="M210" s="47"/>
      <x:c r="N210" s="47"/>
      <x:c r="O210" s="47"/>
      <x:c r="P210" s="47"/>
      <x:c r="Q210" s="47"/>
      <x:c r="R210" s="47"/>
      <x:c r="S210" s="47"/>
      <x:c r="T210" s="47"/>
      <x:c r="U210" s="47"/>
      <x:c r="V210" s="47"/>
      <x:c r="W210" s="47"/>
      <x:c r="X210" s="47"/>
      <x:c r="Y210" s="47"/>
      <x:c r="Z210" s="47"/>
    </x:row>
    <x:row r="211">
      <x:c r="C211" s="9" t="str">
        <x:v>AU-S-11-02</x:v>
      </x:c>
      <x:c r="D211" s="9" t="str">
        <x:v>ST-HU-CTL four campaign lanes</x:v>
      </x:c>
      <x:c r="E211" s="9" t="str">
        <x:f>IF('Station Topology'!I17=4,"PASS","FAIL")</x:f>
        <x:v>PASS</x:v>
      </x:c>
      <x:c r="F211" s="9" t="str">
        <x:v>TERMINAL</x:v>
      </x:c>
      <x:c r="G211" s="47"/>
      <x:c r="H211" s="47"/>
      <x:c r="I211" s="47"/>
      <x:c r="J211" s="47"/>
      <x:c r="K211" s="47"/>
      <x:c r="L211" s="47"/>
      <x:c r="M211" s="47"/>
      <x:c r="N211" s="47"/>
      <x:c r="O211" s="47"/>
      <x:c r="P211" s="47"/>
      <x:c r="Q211" s="47"/>
      <x:c r="R211" s="47"/>
      <x:c r="S211" s="47"/>
      <x:c r="T211" s="47"/>
      <x:c r="U211" s="47"/>
      <x:c r="V211" s="47"/>
      <x:c r="W211" s="47"/>
      <x:c r="X211" s="47"/>
      <x:c r="Y211" s="47"/>
      <x:c r="Z211" s="47"/>
    </x:row>
    <x:row r="212">
      <x:c r="C212" s="9" t="str">
        <x:v>AU-S-11-03</x:v>
      </x:c>
      <x:c r="D212" s="9" t="str">
        <x:v>ST-HU-CTL one reserve lane</x:v>
      </x:c>
      <x:c r="E212" s="9" t="str">
        <x:f>IF('Station Topology'!J17=1,"PASS","FAIL")</x:f>
        <x:v>PASS</x:v>
      </x:c>
      <x:c r="F212" s="9" t="str">
        <x:v>TERMINAL</x:v>
      </x:c>
      <x:c r="G212" s="47"/>
      <x:c r="H212" s="47"/>
      <x:c r="I212" s="47"/>
      <x:c r="J212" s="47"/>
      <x:c r="K212" s="47"/>
      <x:c r="L212" s="47"/>
      <x:c r="M212" s="47"/>
      <x:c r="N212" s="47"/>
      <x:c r="O212" s="47"/>
      <x:c r="P212" s="47"/>
      <x:c r="Q212" s="47"/>
      <x:c r="R212" s="47"/>
      <x:c r="S212" s="47"/>
      <x:c r="T212" s="47"/>
      <x:c r="U212" s="47"/>
      <x:c r="V212" s="47"/>
      <x:c r="W212" s="47"/>
      <x:c r="X212" s="47"/>
      <x:c r="Y212" s="47"/>
      <x:c r="Z212" s="47"/>
    </x:row>
    <x:row r="213">
      <x:c r="C213" s="9" t="str">
        <x:v>AU-S-11-04</x:v>
      </x:c>
      <x:c r="D213" s="9" t="str">
        <x:v>ST-HU-CTL lane balance</x:v>
      </x:c>
      <x:c r="E213" s="9" t="str">
        <x:f>IF('Station Topology'!H17='Station Topology'!I17+'Station Topology'!J17,"PASS","FAIL")</x:f>
        <x:v>PASS</x:v>
      </x:c>
      <x:c r="F213" s="9" t="str">
        <x:v>TERMINAL</x:v>
      </x:c>
      <x:c r="G213" s="47"/>
      <x:c r="H213" s="47"/>
      <x:c r="I213" s="47"/>
      <x:c r="J213" s="47"/>
      <x:c r="K213" s="47"/>
      <x:c r="L213" s="47"/>
      <x:c r="M213" s="47"/>
      <x:c r="N213" s="47"/>
      <x:c r="O213" s="47"/>
      <x:c r="P213" s="47"/>
      <x:c r="Q213" s="47"/>
      <x:c r="R213" s="47"/>
      <x:c r="S213" s="47"/>
      <x:c r="T213" s="47"/>
      <x:c r="U213" s="47"/>
      <x:c r="V213" s="47"/>
      <x:c r="W213" s="47"/>
      <x:c r="X213" s="47"/>
      <x:c r="Y213" s="47"/>
      <x:c r="Z213" s="47"/>
    </x:row>
    <x:row r="214">
      <x:c r="C214" s="9" t="str">
        <x:v>AU-S-11-05</x:v>
      </x:c>
      <x:c r="D214" s="9" t="str">
        <x:v>ST-HU-CTL event capacity</x:v>
      </x:c>
      <x:c r="E214" s="9" t="str">
        <x:f>IF('Event Capacity'!J17=16,"PASS","FAIL")</x:f>
        <x:v>PASS</x:v>
      </x:c>
      <x:c r="F214" s="9" t="str">
        <x:v>TERMINAL</x:v>
      </x:c>
      <x:c r="G214" s="47"/>
      <x:c r="H214" s="47"/>
      <x:c r="I214" s="47"/>
      <x:c r="J214" s="47"/>
      <x:c r="K214" s="47"/>
      <x:c r="L214" s="47"/>
      <x:c r="M214" s="47"/>
      <x:c r="N214" s="47"/>
      <x:c r="O214" s="47"/>
      <x:c r="P214" s="47"/>
      <x:c r="Q214" s="47"/>
      <x:c r="R214" s="47"/>
      <x:c r="S214" s="47"/>
      <x:c r="T214" s="47"/>
      <x:c r="U214" s="47"/>
      <x:c r="V214" s="47"/>
      <x:c r="W214" s="47"/>
      <x:c r="X214" s="47"/>
      <x:c r="Y214" s="47"/>
      <x:c r="Z214" s="47"/>
    </x:row>
    <x:row r="215">
      <x:c r="C215" s="9" t="str">
        <x:v>AU-S-12-01</x:v>
      </x:c>
      <x:c r="D215" s="9" t="str">
        <x:v>ST-HU-REP five lanes</x:v>
      </x:c>
      <x:c r="E215" s="9" t="str">
        <x:f>IF('Station Topology'!H18=5,"PASS","FAIL")</x:f>
        <x:v>PASS</x:v>
      </x:c>
      <x:c r="F215" s="9" t="str">
        <x:v>TERMINAL</x:v>
      </x:c>
      <x:c r="G215" s="47"/>
      <x:c r="H215" s="47"/>
      <x:c r="I215" s="47"/>
      <x:c r="J215" s="47"/>
      <x:c r="K215" s="47"/>
      <x:c r="L215" s="47"/>
      <x:c r="M215" s="47"/>
      <x:c r="N215" s="47"/>
      <x:c r="O215" s="47"/>
      <x:c r="P215" s="47"/>
      <x:c r="Q215" s="47"/>
      <x:c r="R215" s="47"/>
      <x:c r="S215" s="47"/>
      <x:c r="T215" s="47"/>
      <x:c r="U215" s="47"/>
      <x:c r="V215" s="47"/>
      <x:c r="W215" s="47"/>
      <x:c r="X215" s="47"/>
      <x:c r="Y215" s="47"/>
      <x:c r="Z215" s="47"/>
    </x:row>
    <x:row r="216">
      <x:c r="C216" s="9" t="str">
        <x:v>AU-S-12-02</x:v>
      </x:c>
      <x:c r="D216" s="9" t="str">
        <x:v>ST-HU-REP four campaign lanes</x:v>
      </x:c>
      <x:c r="E216" s="9" t="str">
        <x:f>IF('Station Topology'!I18=4,"PASS","FAIL")</x:f>
        <x:v>PASS</x:v>
      </x:c>
      <x:c r="F216" s="9" t="str">
        <x:v>TERMINAL</x:v>
      </x:c>
      <x:c r="G216" s="47"/>
      <x:c r="H216" s="47"/>
      <x:c r="I216" s="47"/>
      <x:c r="J216" s="47"/>
      <x:c r="K216" s="47"/>
      <x:c r="L216" s="47"/>
      <x:c r="M216" s="47"/>
      <x:c r="N216" s="47"/>
      <x:c r="O216" s="47"/>
      <x:c r="P216" s="47"/>
      <x:c r="Q216" s="47"/>
      <x:c r="R216" s="47"/>
      <x:c r="S216" s="47"/>
      <x:c r="T216" s="47"/>
      <x:c r="U216" s="47"/>
      <x:c r="V216" s="47"/>
      <x:c r="W216" s="47"/>
      <x:c r="X216" s="47"/>
      <x:c r="Y216" s="47"/>
      <x:c r="Z216" s="47"/>
    </x:row>
    <x:row r="217">
      <x:c r="C217" s="9" t="str">
        <x:v>AU-S-12-03</x:v>
      </x:c>
      <x:c r="D217" s="9" t="str">
        <x:v>ST-HU-REP one reserve lane</x:v>
      </x:c>
      <x:c r="E217" s="9" t="str">
        <x:f>IF('Station Topology'!J18=1,"PASS","FAIL")</x:f>
        <x:v>PASS</x:v>
      </x:c>
      <x:c r="F217" s="9" t="str">
        <x:v>TERMINAL</x:v>
      </x:c>
      <x:c r="G217" s="47"/>
      <x:c r="H217" s="47"/>
      <x:c r="I217" s="47"/>
      <x:c r="J217" s="47"/>
      <x:c r="K217" s="47"/>
      <x:c r="L217" s="47"/>
      <x:c r="M217" s="47"/>
      <x:c r="N217" s="47"/>
      <x:c r="O217" s="47"/>
      <x:c r="P217" s="47"/>
      <x:c r="Q217" s="47"/>
      <x:c r="R217" s="47"/>
      <x:c r="S217" s="47"/>
      <x:c r="T217" s="47"/>
      <x:c r="U217" s="47"/>
      <x:c r="V217" s="47"/>
      <x:c r="W217" s="47"/>
      <x:c r="X217" s="47"/>
      <x:c r="Y217" s="47"/>
      <x:c r="Z217" s="47"/>
    </x:row>
    <x:row r="218">
      <x:c r="C218" s="9" t="str">
        <x:v>AU-S-12-04</x:v>
      </x:c>
      <x:c r="D218" s="9" t="str">
        <x:v>ST-HU-REP lane balance</x:v>
      </x:c>
      <x:c r="E218" s="9" t="str">
        <x:f>IF('Station Topology'!H18='Station Topology'!I18+'Station Topology'!J18,"PASS","FAIL")</x:f>
        <x:v>PASS</x:v>
      </x:c>
      <x:c r="F218" s="9" t="str">
        <x:v>TERMINAL</x:v>
      </x:c>
      <x:c r="G218" s="47"/>
      <x:c r="H218" s="47"/>
      <x:c r="I218" s="47"/>
      <x:c r="J218" s="47"/>
      <x:c r="K218" s="47"/>
      <x:c r="L218" s="47"/>
      <x:c r="M218" s="47"/>
      <x:c r="N218" s="47"/>
      <x:c r="O218" s="47"/>
      <x:c r="P218" s="47"/>
      <x:c r="Q218" s="47"/>
      <x:c r="R218" s="47"/>
      <x:c r="S218" s="47"/>
      <x:c r="T218" s="47"/>
      <x:c r="U218" s="47"/>
      <x:c r="V218" s="47"/>
      <x:c r="W218" s="47"/>
      <x:c r="X218" s="47"/>
      <x:c r="Y218" s="47"/>
      <x:c r="Z218" s="47"/>
    </x:row>
    <x:row r="219">
      <x:c r="C219" s="9" t="str">
        <x:v>AU-S-12-05</x:v>
      </x:c>
      <x:c r="D219" s="9" t="str">
        <x:v>ST-HU-REP event capacity</x:v>
      </x:c>
      <x:c r="E219" s="9" t="str">
        <x:f>IF('Event Capacity'!J18=16,"PASS","FAIL")</x:f>
        <x:v>PASS</x:v>
      </x:c>
      <x:c r="F219" s="9" t="str">
        <x:v>TERMINAL</x:v>
      </x:c>
      <x:c r="G219" s="47"/>
      <x:c r="H219" s="47"/>
      <x:c r="I219" s="47"/>
      <x:c r="J219" s="47"/>
      <x:c r="K219" s="47"/>
      <x:c r="L219" s="47"/>
      <x:c r="M219" s="47"/>
      <x:c r="N219" s="47"/>
      <x:c r="O219" s="47"/>
      <x:c r="P219" s="47"/>
      <x:c r="Q219" s="47"/>
      <x:c r="R219" s="47"/>
      <x:c r="S219" s="47"/>
      <x:c r="T219" s="47"/>
      <x:c r="U219" s="47"/>
      <x:c r="V219" s="47"/>
      <x:c r="W219" s="47"/>
      <x:c r="X219" s="47"/>
      <x:c r="Y219" s="47"/>
      <x:c r="Z219" s="47"/>
    </x:row>
    <x:row r="220">
      <x:c r="C220" s="9" t="str">
        <x:v>AU-S-13-01</x:v>
      </x:c>
      <x:c r="D220" s="9" t="str">
        <x:v>ST-RT-CHL five lanes</x:v>
      </x:c>
      <x:c r="E220" s="9" t="str">
        <x:f>IF('Station Topology'!H19=5,"PASS","FAIL")</x:f>
        <x:v>PASS</x:v>
      </x:c>
      <x:c r="F220" s="9" t="str">
        <x:v>TERMINAL</x:v>
      </x:c>
      <x:c r="G220" s="47"/>
      <x:c r="H220" s="47"/>
      <x:c r="I220" s="47"/>
      <x:c r="J220" s="47"/>
      <x:c r="K220" s="47"/>
      <x:c r="L220" s="47"/>
      <x:c r="M220" s="47"/>
      <x:c r="N220" s="47"/>
      <x:c r="O220" s="47"/>
      <x:c r="P220" s="47"/>
      <x:c r="Q220" s="47"/>
      <x:c r="R220" s="47"/>
      <x:c r="S220" s="47"/>
      <x:c r="T220" s="47"/>
      <x:c r="U220" s="47"/>
      <x:c r="V220" s="47"/>
      <x:c r="W220" s="47"/>
      <x:c r="X220" s="47"/>
      <x:c r="Y220" s="47"/>
      <x:c r="Z220" s="47"/>
    </x:row>
    <x:row r="221">
      <x:c r="C221" s="9" t="str">
        <x:v>AU-S-13-02</x:v>
      </x:c>
      <x:c r="D221" s="9" t="str">
        <x:v>ST-RT-CHL four campaign lanes</x:v>
      </x:c>
      <x:c r="E221" s="9" t="str">
        <x:f>IF('Station Topology'!I19=4,"PASS","FAIL")</x:f>
        <x:v>PASS</x:v>
      </x:c>
      <x:c r="F221" s="9" t="str">
        <x:v>TERMINAL</x:v>
      </x:c>
      <x:c r="G221" s="47"/>
      <x:c r="H221" s="47"/>
      <x:c r="I221" s="47"/>
      <x:c r="J221" s="47"/>
      <x:c r="K221" s="47"/>
      <x:c r="L221" s="47"/>
      <x:c r="M221" s="47"/>
      <x:c r="N221" s="47"/>
      <x:c r="O221" s="47"/>
      <x:c r="P221" s="47"/>
      <x:c r="Q221" s="47"/>
      <x:c r="R221" s="47"/>
      <x:c r="S221" s="47"/>
      <x:c r="T221" s="47"/>
      <x:c r="U221" s="47"/>
      <x:c r="V221" s="47"/>
      <x:c r="W221" s="47"/>
      <x:c r="X221" s="47"/>
      <x:c r="Y221" s="47"/>
      <x:c r="Z221" s="47"/>
    </x:row>
    <x:row r="222">
      <x:c r="C222" s="9" t="str">
        <x:v>AU-S-13-03</x:v>
      </x:c>
      <x:c r="D222" s="9" t="str">
        <x:v>ST-RT-CHL one reserve lane</x:v>
      </x:c>
      <x:c r="E222" s="9" t="str">
        <x:f>IF('Station Topology'!J19=1,"PASS","FAIL")</x:f>
        <x:v>PASS</x:v>
      </x:c>
      <x:c r="F222" s="9" t="str">
        <x:v>TERMINAL</x:v>
      </x:c>
      <x:c r="G222" s="47"/>
      <x:c r="H222" s="47"/>
      <x:c r="I222" s="47"/>
      <x:c r="J222" s="47"/>
      <x:c r="K222" s="47"/>
      <x:c r="L222" s="47"/>
      <x:c r="M222" s="47"/>
      <x:c r="N222" s="47"/>
      <x:c r="O222" s="47"/>
      <x:c r="P222" s="47"/>
      <x:c r="Q222" s="47"/>
      <x:c r="R222" s="47"/>
      <x:c r="S222" s="47"/>
      <x:c r="T222" s="47"/>
      <x:c r="U222" s="47"/>
      <x:c r="V222" s="47"/>
      <x:c r="W222" s="47"/>
      <x:c r="X222" s="47"/>
      <x:c r="Y222" s="47"/>
      <x:c r="Z222" s="47"/>
    </x:row>
    <x:row r="223">
      <x:c r="C223" s="9" t="str">
        <x:v>AU-S-13-04</x:v>
      </x:c>
      <x:c r="D223" s="9" t="str">
        <x:v>ST-RT-CHL lane balance</x:v>
      </x:c>
      <x:c r="E223" s="9" t="str">
        <x:f>IF('Station Topology'!H19='Station Topology'!I19+'Station Topology'!J19,"PASS","FAIL")</x:f>
        <x:v>PASS</x:v>
      </x:c>
      <x:c r="F223" s="9" t="str">
        <x:v>TERMINAL</x:v>
      </x:c>
      <x:c r="G223" s="47"/>
      <x:c r="H223" s="47"/>
      <x:c r="I223" s="47"/>
      <x:c r="J223" s="47"/>
      <x:c r="K223" s="47"/>
      <x:c r="L223" s="47"/>
      <x:c r="M223" s="47"/>
      <x:c r="N223" s="47"/>
      <x:c r="O223" s="47"/>
      <x:c r="P223" s="47"/>
      <x:c r="Q223" s="47"/>
      <x:c r="R223" s="47"/>
      <x:c r="S223" s="47"/>
      <x:c r="T223" s="47"/>
      <x:c r="U223" s="47"/>
      <x:c r="V223" s="47"/>
      <x:c r="W223" s="47"/>
      <x:c r="X223" s="47"/>
      <x:c r="Y223" s="47"/>
      <x:c r="Z223" s="47"/>
    </x:row>
    <x:row r="224">
      <x:c r="C224" s="9" t="str">
        <x:v>AU-S-13-05</x:v>
      </x:c>
      <x:c r="D224" s="9" t="str">
        <x:v>ST-RT-CHL event capacity</x:v>
      </x:c>
      <x:c r="E224" s="9" t="str">
        <x:f>IF('Event Capacity'!J19=16,"PASS","FAIL")</x:f>
        <x:v>PASS</x:v>
      </x:c>
      <x:c r="F224" s="9" t="str">
        <x:v>TERMINAL</x:v>
      </x:c>
      <x:c r="G224" s="47"/>
      <x:c r="H224" s="47"/>
      <x:c r="I224" s="47"/>
      <x:c r="J224" s="47"/>
      <x:c r="K224" s="47"/>
      <x:c r="L224" s="47"/>
      <x:c r="M224" s="47"/>
      <x:c r="N224" s="47"/>
      <x:c r="O224" s="47"/>
      <x:c r="P224" s="47"/>
      <x:c r="Q224" s="47"/>
      <x:c r="R224" s="47"/>
      <x:c r="S224" s="47"/>
      <x:c r="T224" s="47"/>
      <x:c r="U224" s="47"/>
      <x:c r="V224" s="47"/>
      <x:c r="W224" s="47"/>
      <x:c r="X224" s="47"/>
      <x:c r="Y224" s="47"/>
      <x:c r="Z224" s="47"/>
    </x:row>
    <x:row r="225">
      <x:c r="C225" s="9" t="str">
        <x:v>AU-S-14-01</x:v>
      </x:c>
      <x:c r="D225" s="9" t="str">
        <x:v>ST-RT-CTL five lanes</x:v>
      </x:c>
      <x:c r="E225" s="9" t="str">
        <x:f>IF('Station Topology'!H20=5,"PASS","FAIL")</x:f>
        <x:v>PASS</x:v>
      </x:c>
      <x:c r="F225" s="9" t="str">
        <x:v>TERMINAL</x:v>
      </x:c>
      <x:c r="G225" s="47"/>
      <x:c r="H225" s="47"/>
      <x:c r="I225" s="47"/>
      <x:c r="J225" s="47"/>
      <x:c r="K225" s="47"/>
      <x:c r="L225" s="47"/>
      <x:c r="M225" s="47"/>
      <x:c r="N225" s="47"/>
      <x:c r="O225" s="47"/>
      <x:c r="P225" s="47"/>
      <x:c r="Q225" s="47"/>
      <x:c r="R225" s="47"/>
      <x:c r="S225" s="47"/>
      <x:c r="T225" s="47"/>
      <x:c r="U225" s="47"/>
      <x:c r="V225" s="47"/>
      <x:c r="W225" s="47"/>
      <x:c r="X225" s="47"/>
      <x:c r="Y225" s="47"/>
      <x:c r="Z225" s="47"/>
    </x:row>
    <x:row r="226">
      <x:c r="C226" s="9" t="str">
        <x:v>AU-S-14-02</x:v>
      </x:c>
      <x:c r="D226" s="9" t="str">
        <x:v>ST-RT-CTL four campaign lanes</x:v>
      </x:c>
      <x:c r="E226" s="9" t="str">
        <x:f>IF('Station Topology'!I20=4,"PASS","FAIL")</x:f>
        <x:v>PASS</x:v>
      </x:c>
      <x:c r="F226" s="9" t="str">
        <x:v>TERMINAL</x:v>
      </x:c>
      <x:c r="G226" s="47"/>
      <x:c r="H226" s="47"/>
      <x:c r="I226" s="47"/>
      <x:c r="J226" s="47"/>
      <x:c r="K226" s="47"/>
      <x:c r="L226" s="47"/>
      <x:c r="M226" s="47"/>
      <x:c r="N226" s="47"/>
      <x:c r="O226" s="47"/>
      <x:c r="P226" s="47"/>
      <x:c r="Q226" s="47"/>
      <x:c r="R226" s="47"/>
      <x:c r="S226" s="47"/>
      <x:c r="T226" s="47"/>
      <x:c r="U226" s="47"/>
      <x:c r="V226" s="47"/>
      <x:c r="W226" s="47"/>
      <x:c r="X226" s="47"/>
      <x:c r="Y226" s="47"/>
      <x:c r="Z226" s="47"/>
    </x:row>
    <x:row r="227">
      <x:c r="C227" s="9" t="str">
        <x:v>AU-S-14-03</x:v>
      </x:c>
      <x:c r="D227" s="9" t="str">
        <x:v>ST-RT-CTL one reserve lane</x:v>
      </x:c>
      <x:c r="E227" s="9" t="str">
        <x:f>IF('Station Topology'!J20=1,"PASS","FAIL")</x:f>
        <x:v>PASS</x:v>
      </x:c>
      <x:c r="F227" s="9" t="str">
        <x:v>TERMINAL</x:v>
      </x:c>
      <x:c r="G227" s="47"/>
      <x:c r="H227" s="47"/>
      <x:c r="I227" s="47"/>
      <x:c r="J227" s="47"/>
      <x:c r="K227" s="47"/>
      <x:c r="L227" s="47"/>
      <x:c r="M227" s="47"/>
      <x:c r="N227" s="47"/>
      <x:c r="O227" s="47"/>
      <x:c r="P227" s="47"/>
      <x:c r="Q227" s="47"/>
      <x:c r="R227" s="47"/>
      <x:c r="S227" s="47"/>
      <x:c r="T227" s="47"/>
      <x:c r="U227" s="47"/>
      <x:c r="V227" s="47"/>
      <x:c r="W227" s="47"/>
      <x:c r="X227" s="47"/>
      <x:c r="Y227" s="47"/>
      <x:c r="Z227" s="47"/>
    </x:row>
    <x:row r="228">
      <x:c r="C228" s="9" t="str">
        <x:v>AU-S-14-04</x:v>
      </x:c>
      <x:c r="D228" s="9" t="str">
        <x:v>ST-RT-CTL lane balance</x:v>
      </x:c>
      <x:c r="E228" s="9" t="str">
        <x:f>IF('Station Topology'!H20='Station Topology'!I20+'Station Topology'!J20,"PASS","FAIL")</x:f>
        <x:v>PASS</x:v>
      </x:c>
      <x:c r="F228" s="9" t="str">
        <x:v>TERMINAL</x:v>
      </x:c>
      <x:c r="G228" s="47"/>
      <x:c r="H228" s="47"/>
      <x:c r="I228" s="47"/>
      <x:c r="J228" s="47"/>
      <x:c r="K228" s="47"/>
      <x:c r="L228" s="47"/>
      <x:c r="M228" s="47"/>
      <x:c r="N228" s="47"/>
      <x:c r="O228" s="47"/>
      <x:c r="P228" s="47"/>
      <x:c r="Q228" s="47"/>
      <x:c r="R228" s="47"/>
      <x:c r="S228" s="47"/>
      <x:c r="T228" s="47"/>
      <x:c r="U228" s="47"/>
      <x:c r="V228" s="47"/>
      <x:c r="W228" s="47"/>
      <x:c r="X228" s="47"/>
      <x:c r="Y228" s="47"/>
      <x:c r="Z228" s="47"/>
    </x:row>
    <x:row r="229">
      <x:c r="C229" s="9" t="str">
        <x:v>AU-S-14-05</x:v>
      </x:c>
      <x:c r="D229" s="9" t="str">
        <x:v>ST-RT-CTL event capacity</x:v>
      </x:c>
      <x:c r="E229" s="9" t="str">
        <x:f>IF('Event Capacity'!J20=16,"PASS","FAIL")</x:f>
        <x:v>PASS</x:v>
      </x:c>
      <x:c r="F229" s="9" t="str">
        <x:v>TERMINAL</x:v>
      </x:c>
      <x:c r="G229" s="47"/>
      <x:c r="H229" s="47"/>
      <x:c r="I229" s="47"/>
      <x:c r="J229" s="47"/>
      <x:c r="K229" s="47"/>
      <x:c r="L229" s="47"/>
      <x:c r="M229" s="47"/>
      <x:c r="N229" s="47"/>
      <x:c r="O229" s="47"/>
      <x:c r="P229" s="47"/>
      <x:c r="Q229" s="47"/>
      <x:c r="R229" s="47"/>
      <x:c r="S229" s="47"/>
      <x:c r="T229" s="47"/>
      <x:c r="U229" s="47"/>
      <x:c r="V229" s="47"/>
      <x:c r="W229" s="47"/>
      <x:c r="X229" s="47"/>
      <x:c r="Y229" s="47"/>
      <x:c r="Z229" s="47"/>
    </x:row>
    <x:row r="230">
      <x:c r="C230" s="9" t="str">
        <x:v>AU-S-15-01</x:v>
      </x:c>
      <x:c r="D230" s="9" t="str">
        <x:v>ST-RT-REP five lanes</x:v>
      </x:c>
      <x:c r="E230" s="9" t="str">
        <x:f>IF('Station Topology'!H21=5,"PASS","FAIL")</x:f>
        <x:v>PASS</x:v>
      </x:c>
      <x:c r="F230" s="9" t="str">
        <x:v>TERMINAL</x:v>
      </x:c>
      <x:c r="G230" s="47"/>
      <x:c r="H230" s="47"/>
      <x:c r="I230" s="47"/>
      <x:c r="J230" s="47"/>
      <x:c r="K230" s="47"/>
      <x:c r="L230" s="47"/>
      <x:c r="M230" s="47"/>
      <x:c r="N230" s="47"/>
      <x:c r="O230" s="47"/>
      <x:c r="P230" s="47"/>
      <x:c r="Q230" s="47"/>
      <x:c r="R230" s="47"/>
      <x:c r="S230" s="47"/>
      <x:c r="T230" s="47"/>
      <x:c r="U230" s="47"/>
      <x:c r="V230" s="47"/>
      <x:c r="W230" s="47"/>
      <x:c r="X230" s="47"/>
      <x:c r="Y230" s="47"/>
      <x:c r="Z230" s="47"/>
    </x:row>
    <x:row r="231">
      <x:c r="C231" s="9" t="str">
        <x:v>AU-S-15-02</x:v>
      </x:c>
      <x:c r="D231" s="9" t="str">
        <x:v>ST-RT-REP four campaign lanes</x:v>
      </x:c>
      <x:c r="E231" s="9" t="str">
        <x:f>IF('Station Topology'!I21=4,"PASS","FAIL")</x:f>
        <x:v>PASS</x:v>
      </x:c>
      <x:c r="F231" s="9" t="str">
        <x:v>TERMINAL</x:v>
      </x:c>
      <x:c r="G231" s="47"/>
      <x:c r="H231" s="47"/>
      <x:c r="I231" s="47"/>
      <x:c r="J231" s="47"/>
      <x:c r="K231" s="47"/>
      <x:c r="L231" s="47"/>
      <x:c r="M231" s="47"/>
      <x:c r="N231" s="47"/>
      <x:c r="O231" s="47"/>
      <x:c r="P231" s="47"/>
      <x:c r="Q231" s="47"/>
      <x:c r="R231" s="47"/>
      <x:c r="S231" s="47"/>
      <x:c r="T231" s="47"/>
      <x:c r="U231" s="47"/>
      <x:c r="V231" s="47"/>
      <x:c r="W231" s="47"/>
      <x:c r="X231" s="47"/>
      <x:c r="Y231" s="47"/>
      <x:c r="Z231" s="47"/>
    </x:row>
    <x:row r="232">
      <x:c r="C232" s="9" t="str">
        <x:v>AU-S-15-03</x:v>
      </x:c>
      <x:c r="D232" s="9" t="str">
        <x:v>ST-RT-REP one reserve lane</x:v>
      </x:c>
      <x:c r="E232" s="9" t="str">
        <x:f>IF('Station Topology'!J21=1,"PASS","FAIL")</x:f>
        <x:v>PASS</x:v>
      </x:c>
      <x:c r="F232" s="9" t="str">
        <x:v>TERMINAL</x:v>
      </x:c>
      <x:c r="G232" s="47"/>
      <x:c r="H232" s="47"/>
      <x:c r="I232" s="47"/>
      <x:c r="J232" s="47"/>
      <x:c r="K232" s="47"/>
      <x:c r="L232" s="47"/>
      <x:c r="M232" s="47"/>
      <x:c r="N232" s="47"/>
      <x:c r="O232" s="47"/>
      <x:c r="P232" s="47"/>
      <x:c r="Q232" s="47"/>
      <x:c r="R232" s="47"/>
      <x:c r="S232" s="47"/>
      <x:c r="T232" s="47"/>
      <x:c r="U232" s="47"/>
      <x:c r="V232" s="47"/>
      <x:c r="W232" s="47"/>
      <x:c r="X232" s="47"/>
      <x:c r="Y232" s="47"/>
      <x:c r="Z232" s="47"/>
    </x:row>
    <x:row r="233">
      <x:c r="C233" s="9" t="str">
        <x:v>AU-S-15-04</x:v>
      </x:c>
      <x:c r="D233" s="9" t="str">
        <x:v>ST-RT-REP lane balance</x:v>
      </x:c>
      <x:c r="E233" s="9" t="str">
        <x:f>IF('Station Topology'!H21='Station Topology'!I21+'Station Topology'!J21,"PASS","FAIL")</x:f>
        <x:v>PASS</x:v>
      </x:c>
      <x:c r="F233" s="9" t="str">
        <x:v>TERMINAL</x:v>
      </x:c>
      <x:c r="G233" s="47"/>
      <x:c r="H233" s="47"/>
      <x:c r="I233" s="47"/>
      <x:c r="J233" s="47"/>
      <x:c r="K233" s="47"/>
      <x:c r="L233" s="47"/>
      <x:c r="M233" s="47"/>
      <x:c r="N233" s="47"/>
      <x:c r="O233" s="47"/>
      <x:c r="P233" s="47"/>
      <x:c r="Q233" s="47"/>
      <x:c r="R233" s="47"/>
      <x:c r="S233" s="47"/>
      <x:c r="T233" s="47"/>
      <x:c r="U233" s="47"/>
      <x:c r="V233" s="47"/>
      <x:c r="W233" s="47"/>
      <x:c r="X233" s="47"/>
      <x:c r="Y233" s="47"/>
      <x:c r="Z233" s="47"/>
    </x:row>
    <x:row r="234">
      <x:c r="C234" s="9" t="str">
        <x:v>AU-S-15-05</x:v>
      </x:c>
      <x:c r="D234" s="9" t="str">
        <x:v>ST-RT-REP event capacity</x:v>
      </x:c>
      <x:c r="E234" s="9" t="str">
        <x:f>IF('Event Capacity'!J21=16,"PASS","FAIL")</x:f>
        <x:v>PASS</x:v>
      </x:c>
      <x:c r="F234" s="9" t="str">
        <x:v>TERMINAL</x:v>
      </x:c>
      <x:c r="G234" s="47"/>
      <x:c r="H234" s="47"/>
      <x:c r="I234" s="47"/>
      <x:c r="J234" s="47"/>
      <x:c r="K234" s="47"/>
      <x:c r="L234" s="47"/>
      <x:c r="M234" s="47"/>
      <x:c r="N234" s="47"/>
      <x:c r="O234" s="47"/>
      <x:c r="P234" s="47"/>
      <x:c r="Q234" s="47"/>
      <x:c r="R234" s="47"/>
      <x:c r="S234" s="47"/>
      <x:c r="T234" s="47"/>
      <x:c r="U234" s="47"/>
      <x:c r="V234" s="47"/>
      <x:c r="W234" s="47"/>
      <x:c r="X234" s="47"/>
      <x:c r="Y234" s="47"/>
      <x:c r="Z234" s="47"/>
    </x:row>
    <x:row r="235">
      <x:c r="C235" s="9" t="str">
        <x:v>AU-A-01</x:v>
      </x:c>
      <x:c r="D235" s="9" t="str">
        <x:v>ASG-ET-A-CHL unique and source-empty</x:v>
      </x:c>
      <x:c r="E235" s="9" t="str">
        <x:f>IF(AND(COUNTIFS('Lane Assignments'!$C$7:$C$66,'Lane Assignments'!C7)=1,'Lane Assignments'!I7=0,'Lane Assignments'!J7=0,'Lane Assignments'!M7="NOT MOBILIZED"),"PASS","FAIL")</x:f>
        <x:v>PASS</x:v>
      </x:c>
      <x:c r="F235" s="9" t="str">
        <x:v>TERMINAL</x:v>
      </x:c>
      <x:c r="G235" s="47"/>
      <x:c r="H235" s="47"/>
      <x:c r="I235" s="47"/>
      <x:c r="J235" s="47"/>
      <x:c r="K235" s="47"/>
      <x:c r="L235" s="47"/>
      <x:c r="M235" s="47"/>
      <x:c r="N235" s="47"/>
      <x:c r="O235" s="47"/>
      <x:c r="P235" s="47"/>
      <x:c r="Q235" s="47"/>
      <x:c r="R235" s="47"/>
      <x:c r="S235" s="47"/>
      <x:c r="T235" s="47"/>
      <x:c r="U235" s="47"/>
      <x:c r="V235" s="47"/>
      <x:c r="W235" s="47"/>
      <x:c r="X235" s="47"/>
      <x:c r="Y235" s="47"/>
      <x:c r="Z235" s="47"/>
    </x:row>
    <x:row r="236">
      <x:c r="C236" s="9" t="str">
        <x:v>AU-A-02</x:v>
      </x:c>
      <x:c r="D236" s="9" t="str">
        <x:v>ASG-ET-A-CTL unique and source-empty</x:v>
      </x:c>
      <x:c r="E236" s="9" t="str">
        <x:f>IF(AND(COUNTIFS('Lane Assignments'!$C$7:$C$66,'Lane Assignments'!C8)=1,'Lane Assignments'!I8=0,'Lane Assignments'!J8=0,'Lane Assignments'!M8="NOT MOBILIZED"),"PASS","FAIL")</x:f>
        <x:v>PASS</x:v>
      </x:c>
      <x:c r="F236" s="9" t="str">
        <x:v>TERMINAL</x:v>
      </x:c>
      <x:c r="G236" s="47"/>
      <x:c r="H236" s="47"/>
      <x:c r="I236" s="47"/>
      <x:c r="J236" s="47"/>
      <x:c r="K236" s="47"/>
      <x:c r="L236" s="47"/>
      <x:c r="M236" s="47"/>
      <x:c r="N236" s="47"/>
      <x:c r="O236" s="47"/>
      <x:c r="P236" s="47"/>
      <x:c r="Q236" s="47"/>
      <x:c r="R236" s="47"/>
      <x:c r="S236" s="47"/>
      <x:c r="T236" s="47"/>
      <x:c r="U236" s="47"/>
      <x:c r="V236" s="47"/>
      <x:c r="W236" s="47"/>
      <x:c r="X236" s="47"/>
      <x:c r="Y236" s="47"/>
      <x:c r="Z236" s="47"/>
    </x:row>
    <x:row r="237">
      <x:c r="C237" s="9" t="str">
        <x:v>AU-A-03</x:v>
      </x:c>
      <x:c r="D237" s="9" t="str">
        <x:v>ASG-ET-A-REP unique and source-empty</x:v>
      </x:c>
      <x:c r="E237" s="9" t="str">
        <x:f>IF(AND(COUNTIFS('Lane Assignments'!$C$7:$C$66,'Lane Assignments'!C9)=1,'Lane Assignments'!I9=0,'Lane Assignments'!J9=0,'Lane Assignments'!M9="NOT MOBILIZED"),"PASS","FAIL")</x:f>
        <x:v>PASS</x:v>
      </x:c>
      <x:c r="F237" s="9" t="str">
        <x:v>TERMINAL</x:v>
      </x:c>
      <x:c r="G237" s="47"/>
      <x:c r="H237" s="47"/>
      <x:c r="I237" s="47"/>
      <x:c r="J237" s="47"/>
      <x:c r="K237" s="47"/>
      <x:c r="L237" s="47"/>
      <x:c r="M237" s="47"/>
      <x:c r="N237" s="47"/>
      <x:c r="O237" s="47"/>
      <x:c r="P237" s="47"/>
      <x:c r="Q237" s="47"/>
      <x:c r="R237" s="47"/>
      <x:c r="S237" s="47"/>
      <x:c r="T237" s="47"/>
      <x:c r="U237" s="47"/>
      <x:c r="V237" s="47"/>
      <x:c r="W237" s="47"/>
      <x:c r="X237" s="47"/>
      <x:c r="Y237" s="47"/>
      <x:c r="Z237" s="47"/>
    </x:row>
    <x:row r="238">
      <x:c r="C238" s="9" t="str">
        <x:v>AU-A-04</x:v>
      </x:c>
      <x:c r="D238" s="9" t="str">
        <x:v>ASG-ET-B-CHL unique and source-empty</x:v>
      </x:c>
      <x:c r="E238" s="9" t="str">
        <x:f>IF(AND(COUNTIFS('Lane Assignments'!$C$7:$C$66,'Lane Assignments'!C10)=1,'Lane Assignments'!I10=0,'Lane Assignments'!J10=0,'Lane Assignments'!M10="NOT MOBILIZED"),"PASS","FAIL")</x:f>
        <x:v>PASS</x:v>
      </x:c>
      <x:c r="F238" s="9" t="str">
        <x:v>TERMINAL</x:v>
      </x:c>
      <x:c r="G238" s="47"/>
      <x:c r="H238" s="47"/>
      <x:c r="I238" s="47"/>
      <x:c r="J238" s="47"/>
      <x:c r="K238" s="47"/>
      <x:c r="L238" s="47"/>
      <x:c r="M238" s="47"/>
      <x:c r="N238" s="47"/>
      <x:c r="O238" s="47"/>
      <x:c r="P238" s="47"/>
      <x:c r="Q238" s="47"/>
      <x:c r="R238" s="47"/>
      <x:c r="S238" s="47"/>
      <x:c r="T238" s="47"/>
      <x:c r="U238" s="47"/>
      <x:c r="V238" s="47"/>
      <x:c r="W238" s="47"/>
      <x:c r="X238" s="47"/>
      <x:c r="Y238" s="47"/>
      <x:c r="Z238" s="47"/>
    </x:row>
    <x:row r="239">
      <x:c r="C239" s="9" t="str">
        <x:v>AU-A-05</x:v>
      </x:c>
      <x:c r="D239" s="9" t="str">
        <x:v>ASG-ET-B-CTL unique and source-empty</x:v>
      </x:c>
      <x:c r="E239" s="9" t="str">
        <x:f>IF(AND(COUNTIFS('Lane Assignments'!$C$7:$C$66,'Lane Assignments'!C11)=1,'Lane Assignments'!I11=0,'Lane Assignments'!J11=0,'Lane Assignments'!M11="NOT MOBILIZED"),"PASS","FAIL")</x:f>
        <x:v>PASS</x:v>
      </x:c>
      <x:c r="F239" s="9" t="str">
        <x:v>TERMINAL</x:v>
      </x:c>
      <x:c r="G239" s="47"/>
      <x:c r="H239" s="47"/>
      <x:c r="I239" s="47"/>
      <x:c r="J239" s="47"/>
      <x:c r="K239" s="47"/>
      <x:c r="L239" s="47"/>
      <x:c r="M239" s="47"/>
      <x:c r="N239" s="47"/>
      <x:c r="O239" s="47"/>
      <x:c r="P239" s="47"/>
      <x:c r="Q239" s="47"/>
      <x:c r="R239" s="47"/>
      <x:c r="S239" s="47"/>
      <x:c r="T239" s="47"/>
      <x:c r="U239" s="47"/>
      <x:c r="V239" s="47"/>
      <x:c r="W239" s="47"/>
      <x:c r="X239" s="47"/>
      <x:c r="Y239" s="47"/>
      <x:c r="Z239" s="47"/>
    </x:row>
    <x:row r="240">
      <x:c r="C240" s="9" t="str">
        <x:v>AU-A-06</x:v>
      </x:c>
      <x:c r="D240" s="9" t="str">
        <x:v>ASG-ET-B-REP unique and source-empty</x:v>
      </x:c>
      <x:c r="E240" s="9" t="str">
        <x:f>IF(AND(COUNTIFS('Lane Assignments'!$C$7:$C$66,'Lane Assignments'!C12)=1,'Lane Assignments'!I12=0,'Lane Assignments'!J12=0,'Lane Assignments'!M12="NOT MOBILIZED"),"PASS","FAIL")</x:f>
        <x:v>PASS</x:v>
      </x:c>
      <x:c r="F240" s="9" t="str">
        <x:v>TERMINAL</x:v>
      </x:c>
      <x:c r="G240" s="47"/>
      <x:c r="H240" s="47"/>
      <x:c r="I240" s="47"/>
      <x:c r="J240" s="47"/>
      <x:c r="K240" s="47"/>
      <x:c r="L240" s="47"/>
      <x:c r="M240" s="47"/>
      <x:c r="N240" s="47"/>
      <x:c r="O240" s="47"/>
      <x:c r="P240" s="47"/>
      <x:c r="Q240" s="47"/>
      <x:c r="R240" s="47"/>
      <x:c r="S240" s="47"/>
      <x:c r="T240" s="47"/>
      <x:c r="U240" s="47"/>
      <x:c r="V240" s="47"/>
      <x:c r="W240" s="47"/>
      <x:c r="X240" s="47"/>
      <x:c r="Y240" s="47"/>
      <x:c r="Z240" s="47"/>
    </x:row>
    <x:row r="241">
      <x:c r="C241" s="9" t="str">
        <x:v>AU-A-07</x:v>
      </x:c>
      <x:c r="D241" s="9" t="str">
        <x:v>ASG-ET-C-CHL unique and source-empty</x:v>
      </x:c>
      <x:c r="E241" s="9" t="str">
        <x:f>IF(AND(COUNTIFS('Lane Assignments'!$C$7:$C$66,'Lane Assignments'!C13)=1,'Lane Assignments'!I13=0,'Lane Assignments'!J13=0,'Lane Assignments'!M13="NOT MOBILIZED"),"PASS","FAIL")</x:f>
        <x:v>PASS</x:v>
      </x:c>
      <x:c r="F241" s="9" t="str">
        <x:v>TERMINAL</x:v>
      </x:c>
      <x:c r="G241" s="47"/>
      <x:c r="H241" s="47"/>
      <x:c r="I241" s="47"/>
      <x:c r="J241" s="47"/>
      <x:c r="K241" s="47"/>
      <x:c r="L241" s="47"/>
      <x:c r="M241" s="47"/>
      <x:c r="N241" s="47"/>
      <x:c r="O241" s="47"/>
      <x:c r="P241" s="47"/>
      <x:c r="Q241" s="47"/>
      <x:c r="R241" s="47"/>
      <x:c r="S241" s="47"/>
      <x:c r="T241" s="47"/>
      <x:c r="U241" s="47"/>
      <x:c r="V241" s="47"/>
      <x:c r="W241" s="47"/>
      <x:c r="X241" s="47"/>
      <x:c r="Y241" s="47"/>
      <x:c r="Z241" s="47"/>
    </x:row>
    <x:row r="242">
      <x:c r="C242" s="9" t="str">
        <x:v>AU-A-08</x:v>
      </x:c>
      <x:c r="D242" s="9" t="str">
        <x:v>ASG-ET-C-CTL unique and source-empty</x:v>
      </x:c>
      <x:c r="E242" s="9" t="str">
        <x:f>IF(AND(COUNTIFS('Lane Assignments'!$C$7:$C$66,'Lane Assignments'!C14)=1,'Lane Assignments'!I14=0,'Lane Assignments'!J14=0,'Lane Assignments'!M14="NOT MOBILIZED"),"PASS","FAIL")</x:f>
        <x:v>PASS</x:v>
      </x:c>
      <x:c r="F242" s="9" t="str">
        <x:v>TERMINAL</x:v>
      </x:c>
      <x:c r="G242" s="47"/>
      <x:c r="H242" s="47"/>
      <x:c r="I242" s="47"/>
      <x:c r="J242" s="47"/>
      <x:c r="K242" s="47"/>
      <x:c r="L242" s="47"/>
      <x:c r="M242" s="47"/>
      <x:c r="N242" s="47"/>
      <x:c r="O242" s="47"/>
      <x:c r="P242" s="47"/>
      <x:c r="Q242" s="47"/>
      <x:c r="R242" s="47"/>
      <x:c r="S242" s="47"/>
      <x:c r="T242" s="47"/>
      <x:c r="U242" s="47"/>
      <x:c r="V242" s="47"/>
      <x:c r="W242" s="47"/>
      <x:c r="X242" s="47"/>
      <x:c r="Y242" s="47"/>
      <x:c r="Z242" s="47"/>
    </x:row>
    <x:row r="243">
      <x:c r="C243" s="9" t="str">
        <x:v>AU-A-09</x:v>
      </x:c>
      <x:c r="D243" s="9" t="str">
        <x:v>ASG-ET-C-REP unique and source-empty</x:v>
      </x:c>
      <x:c r="E243" s="9" t="str">
        <x:f>IF(AND(COUNTIFS('Lane Assignments'!$C$7:$C$66,'Lane Assignments'!C15)=1,'Lane Assignments'!I15=0,'Lane Assignments'!J15=0,'Lane Assignments'!M15="NOT MOBILIZED"),"PASS","FAIL")</x:f>
        <x:v>PASS</x:v>
      </x:c>
      <x:c r="F243" s="9" t="str">
        <x:v>TERMINAL</x:v>
      </x:c>
      <x:c r="G243" s="47"/>
      <x:c r="H243" s="47"/>
      <x:c r="I243" s="47"/>
      <x:c r="J243" s="47"/>
      <x:c r="K243" s="47"/>
      <x:c r="L243" s="47"/>
      <x:c r="M243" s="47"/>
      <x:c r="N243" s="47"/>
      <x:c r="O243" s="47"/>
      <x:c r="P243" s="47"/>
      <x:c r="Q243" s="47"/>
      <x:c r="R243" s="47"/>
      <x:c r="S243" s="47"/>
      <x:c r="T243" s="47"/>
      <x:c r="U243" s="47"/>
      <x:c r="V243" s="47"/>
      <x:c r="W243" s="47"/>
      <x:c r="X243" s="47"/>
      <x:c r="Y243" s="47"/>
      <x:c r="Z243" s="47"/>
    </x:row>
    <x:row r="244">
      <x:c r="C244" s="9" t="str">
        <x:v>AU-A-10</x:v>
      </x:c>
      <x:c r="D244" s="9" t="str">
        <x:v>ASG-ET-D-CHL unique and source-empty</x:v>
      </x:c>
      <x:c r="E244" s="9" t="str">
        <x:f>IF(AND(COUNTIFS('Lane Assignments'!$C$7:$C$66,'Lane Assignments'!C16)=1,'Lane Assignments'!I16=0,'Lane Assignments'!J16=0,'Lane Assignments'!M16="NOT MOBILIZED"),"PASS","FAIL")</x:f>
        <x:v>PASS</x:v>
      </x:c>
      <x:c r="F244" s="9" t="str">
        <x:v>TERMINAL</x:v>
      </x:c>
      <x:c r="G244" s="47"/>
      <x:c r="H244" s="47"/>
      <x:c r="I244" s="47"/>
      <x:c r="J244" s="47"/>
      <x:c r="K244" s="47"/>
      <x:c r="L244" s="47"/>
      <x:c r="M244" s="47"/>
      <x:c r="N244" s="47"/>
      <x:c r="O244" s="47"/>
      <x:c r="P244" s="47"/>
      <x:c r="Q244" s="47"/>
      <x:c r="R244" s="47"/>
      <x:c r="S244" s="47"/>
      <x:c r="T244" s="47"/>
      <x:c r="U244" s="47"/>
      <x:c r="V244" s="47"/>
      <x:c r="W244" s="47"/>
      <x:c r="X244" s="47"/>
      <x:c r="Y244" s="47"/>
      <x:c r="Z244" s="47"/>
    </x:row>
    <x:row r="245">
      <x:c r="C245" s="9" t="str">
        <x:v>AU-A-11</x:v>
      </x:c>
      <x:c r="D245" s="9" t="str">
        <x:v>ASG-ET-D-CTL unique and source-empty</x:v>
      </x:c>
      <x:c r="E245" s="9" t="str">
        <x:f>IF(AND(COUNTIFS('Lane Assignments'!$C$7:$C$66,'Lane Assignments'!C17)=1,'Lane Assignments'!I17=0,'Lane Assignments'!J17=0,'Lane Assignments'!M17="NOT MOBILIZED"),"PASS","FAIL")</x:f>
        <x:v>PASS</x:v>
      </x:c>
      <x:c r="F245" s="9" t="str">
        <x:v>TERMINAL</x:v>
      </x:c>
      <x:c r="G245" s="47"/>
      <x:c r="H245" s="47"/>
      <x:c r="I245" s="47"/>
      <x:c r="J245" s="47"/>
      <x:c r="K245" s="47"/>
      <x:c r="L245" s="47"/>
      <x:c r="M245" s="47"/>
      <x:c r="N245" s="47"/>
      <x:c r="O245" s="47"/>
      <x:c r="P245" s="47"/>
      <x:c r="Q245" s="47"/>
      <x:c r="R245" s="47"/>
      <x:c r="S245" s="47"/>
      <x:c r="T245" s="47"/>
      <x:c r="U245" s="47"/>
      <x:c r="V245" s="47"/>
      <x:c r="W245" s="47"/>
      <x:c r="X245" s="47"/>
      <x:c r="Y245" s="47"/>
      <x:c r="Z245" s="47"/>
    </x:row>
    <x:row r="246">
      <x:c r="C246" s="9" t="str">
        <x:v>AU-A-12</x:v>
      </x:c>
      <x:c r="D246" s="9" t="str">
        <x:v>ASG-ET-D-REP unique and source-empty</x:v>
      </x:c>
      <x:c r="E246" s="9" t="str">
        <x:f>IF(AND(COUNTIFS('Lane Assignments'!$C$7:$C$66,'Lane Assignments'!C18)=1,'Lane Assignments'!I18=0,'Lane Assignments'!J18=0,'Lane Assignments'!M18="NOT MOBILIZED"),"PASS","FAIL")</x:f>
        <x:v>PASS</x:v>
      </x:c>
      <x:c r="F246" s="9" t="str">
        <x:v>TERMINAL</x:v>
      </x:c>
      <x:c r="G246" s="47"/>
      <x:c r="H246" s="47"/>
      <x:c r="I246" s="47"/>
      <x:c r="J246" s="47"/>
      <x:c r="K246" s="47"/>
      <x:c r="L246" s="47"/>
      <x:c r="M246" s="47"/>
      <x:c r="N246" s="47"/>
      <x:c r="O246" s="47"/>
      <x:c r="P246" s="47"/>
      <x:c r="Q246" s="47"/>
      <x:c r="R246" s="47"/>
      <x:c r="S246" s="47"/>
      <x:c r="T246" s="47"/>
      <x:c r="U246" s="47"/>
      <x:c r="V246" s="47"/>
      <x:c r="W246" s="47"/>
      <x:c r="X246" s="47"/>
      <x:c r="Y246" s="47"/>
      <x:c r="Z246" s="47"/>
    </x:row>
    <x:row r="247">
      <x:c r="C247" s="9" t="str">
        <x:v>AU-A-13</x:v>
      </x:c>
      <x:c r="D247" s="9" t="str">
        <x:v>ASG-CT-A-CHL unique and source-empty</x:v>
      </x:c>
      <x:c r="E247" s="9" t="str">
        <x:f>IF(AND(COUNTIFS('Lane Assignments'!$C$7:$C$66,'Lane Assignments'!C19)=1,'Lane Assignments'!I19=0,'Lane Assignments'!J19=0,'Lane Assignments'!M19="NOT MOBILIZED"),"PASS","FAIL")</x:f>
        <x:v>PASS</x:v>
      </x:c>
      <x:c r="F247" s="9" t="str">
        <x:v>TERMINAL</x:v>
      </x:c>
      <x:c r="G247" s="47"/>
      <x:c r="H247" s="47"/>
      <x:c r="I247" s="47"/>
      <x:c r="J247" s="47"/>
      <x:c r="K247" s="47"/>
      <x:c r="L247" s="47"/>
      <x:c r="M247" s="47"/>
      <x:c r="N247" s="47"/>
      <x:c r="O247" s="47"/>
      <x:c r="P247" s="47"/>
      <x:c r="Q247" s="47"/>
      <x:c r="R247" s="47"/>
      <x:c r="S247" s="47"/>
      <x:c r="T247" s="47"/>
      <x:c r="U247" s="47"/>
      <x:c r="V247" s="47"/>
      <x:c r="W247" s="47"/>
      <x:c r="X247" s="47"/>
      <x:c r="Y247" s="47"/>
      <x:c r="Z247" s="47"/>
    </x:row>
    <x:row r="248">
      <x:c r="C248" s="9" t="str">
        <x:v>AU-A-14</x:v>
      </x:c>
      <x:c r="D248" s="9" t="str">
        <x:v>ASG-CT-A-CTL unique and source-empty</x:v>
      </x:c>
      <x:c r="E248" s="9" t="str">
        <x:f>IF(AND(COUNTIFS('Lane Assignments'!$C$7:$C$66,'Lane Assignments'!C20)=1,'Lane Assignments'!I20=0,'Lane Assignments'!J20=0,'Lane Assignments'!M20="NOT MOBILIZED"),"PASS","FAIL")</x:f>
        <x:v>PASS</x:v>
      </x:c>
      <x:c r="F248" s="9" t="str">
        <x:v>TERMINAL</x:v>
      </x:c>
      <x:c r="G248" s="47"/>
      <x:c r="H248" s="47"/>
      <x:c r="I248" s="47"/>
      <x:c r="J248" s="47"/>
      <x:c r="K248" s="47"/>
      <x:c r="L248" s="47"/>
      <x:c r="M248" s="47"/>
      <x:c r="N248" s="47"/>
      <x:c r="O248" s="47"/>
      <x:c r="P248" s="47"/>
      <x:c r="Q248" s="47"/>
      <x:c r="R248" s="47"/>
      <x:c r="S248" s="47"/>
      <x:c r="T248" s="47"/>
      <x:c r="U248" s="47"/>
      <x:c r="V248" s="47"/>
      <x:c r="W248" s="47"/>
      <x:c r="X248" s="47"/>
      <x:c r="Y248" s="47"/>
      <x:c r="Z248" s="47"/>
    </x:row>
    <x:row r="249">
      <x:c r="C249" s="9" t="str">
        <x:v>AU-A-15</x:v>
      </x:c>
      <x:c r="D249" s="9" t="str">
        <x:v>ASG-CT-A-REP unique and source-empty</x:v>
      </x:c>
      <x:c r="E249" s="9" t="str">
        <x:f>IF(AND(COUNTIFS('Lane Assignments'!$C$7:$C$66,'Lane Assignments'!C21)=1,'Lane Assignments'!I21=0,'Lane Assignments'!J21=0,'Lane Assignments'!M21="NOT MOBILIZED"),"PASS","FAIL")</x:f>
        <x:v>PASS</x:v>
      </x:c>
      <x:c r="F249" s="9" t="str">
        <x:v>TERMINAL</x:v>
      </x:c>
      <x:c r="G249" s="47"/>
      <x:c r="H249" s="47"/>
      <x:c r="I249" s="47"/>
      <x:c r="J249" s="47"/>
      <x:c r="K249" s="47"/>
      <x:c r="L249" s="47"/>
      <x:c r="M249" s="47"/>
      <x:c r="N249" s="47"/>
      <x:c r="O249" s="47"/>
      <x:c r="P249" s="47"/>
      <x:c r="Q249" s="47"/>
      <x:c r="R249" s="47"/>
      <x:c r="S249" s="47"/>
      <x:c r="T249" s="47"/>
      <x:c r="U249" s="47"/>
      <x:c r="V249" s="47"/>
      <x:c r="W249" s="47"/>
      <x:c r="X249" s="47"/>
      <x:c r="Y249" s="47"/>
      <x:c r="Z249" s="47"/>
    </x:row>
    <x:row r="250">
      <x:c r="C250" s="9" t="str">
        <x:v>AU-A-16</x:v>
      </x:c>
      <x:c r="D250" s="9" t="str">
        <x:v>ASG-CT-B-CHL unique and source-empty</x:v>
      </x:c>
      <x:c r="E250" s="9" t="str">
        <x:f>IF(AND(COUNTIFS('Lane Assignments'!$C$7:$C$66,'Lane Assignments'!C22)=1,'Lane Assignments'!I22=0,'Lane Assignments'!J22=0,'Lane Assignments'!M22="NOT MOBILIZED"),"PASS","FAIL")</x:f>
        <x:v>PASS</x:v>
      </x:c>
      <x:c r="F250" s="9" t="str">
        <x:v>TERMINAL</x:v>
      </x:c>
      <x:c r="G250" s="47"/>
      <x:c r="H250" s="47"/>
      <x:c r="I250" s="47"/>
      <x:c r="J250" s="47"/>
      <x:c r="K250" s="47"/>
      <x:c r="L250" s="47"/>
      <x:c r="M250" s="47"/>
      <x:c r="N250" s="47"/>
      <x:c r="O250" s="47"/>
      <x:c r="P250" s="47"/>
      <x:c r="Q250" s="47"/>
      <x:c r="R250" s="47"/>
      <x:c r="S250" s="47"/>
      <x:c r="T250" s="47"/>
      <x:c r="U250" s="47"/>
      <x:c r="V250" s="47"/>
      <x:c r="W250" s="47"/>
      <x:c r="X250" s="47"/>
      <x:c r="Y250" s="47"/>
      <x:c r="Z250" s="47"/>
    </x:row>
    <x:row r="251">
      <x:c r="C251" s="9" t="str">
        <x:v>AU-A-17</x:v>
      </x:c>
      <x:c r="D251" s="9" t="str">
        <x:v>ASG-CT-B-CTL unique and source-empty</x:v>
      </x:c>
      <x:c r="E251" s="9" t="str">
        <x:f>IF(AND(COUNTIFS('Lane Assignments'!$C$7:$C$66,'Lane Assignments'!C23)=1,'Lane Assignments'!I23=0,'Lane Assignments'!J23=0,'Lane Assignments'!M23="NOT MOBILIZED"),"PASS","FAIL")</x:f>
        <x:v>PASS</x:v>
      </x:c>
      <x:c r="F251" s="9" t="str">
        <x:v>TERMINAL</x:v>
      </x:c>
      <x:c r="G251" s="47"/>
      <x:c r="H251" s="47"/>
      <x:c r="I251" s="47"/>
      <x:c r="J251" s="47"/>
      <x:c r="K251" s="47"/>
      <x:c r="L251" s="47"/>
      <x:c r="M251" s="47"/>
      <x:c r="N251" s="47"/>
      <x:c r="O251" s="47"/>
      <x:c r="P251" s="47"/>
      <x:c r="Q251" s="47"/>
      <x:c r="R251" s="47"/>
      <x:c r="S251" s="47"/>
      <x:c r="T251" s="47"/>
      <x:c r="U251" s="47"/>
      <x:c r="V251" s="47"/>
      <x:c r="W251" s="47"/>
      <x:c r="X251" s="47"/>
      <x:c r="Y251" s="47"/>
      <x:c r="Z251" s="47"/>
    </x:row>
    <x:row r="252">
      <x:c r="C252" s="9" t="str">
        <x:v>AU-A-18</x:v>
      </x:c>
      <x:c r="D252" s="9" t="str">
        <x:v>ASG-CT-B-REP unique and source-empty</x:v>
      </x:c>
      <x:c r="E252" s="9" t="str">
        <x:f>IF(AND(COUNTIFS('Lane Assignments'!$C$7:$C$66,'Lane Assignments'!C24)=1,'Lane Assignments'!I24=0,'Lane Assignments'!J24=0,'Lane Assignments'!M24="NOT MOBILIZED"),"PASS","FAIL")</x:f>
        <x:v>PASS</x:v>
      </x:c>
      <x:c r="F252" s="9" t="str">
        <x:v>TERMINAL</x:v>
      </x:c>
      <x:c r="G252" s="47"/>
      <x:c r="H252" s="47"/>
      <x:c r="I252" s="47"/>
      <x:c r="J252" s="47"/>
      <x:c r="K252" s="47"/>
      <x:c r="L252" s="47"/>
      <x:c r="M252" s="47"/>
      <x:c r="N252" s="47"/>
      <x:c r="O252" s="47"/>
      <x:c r="P252" s="47"/>
      <x:c r="Q252" s="47"/>
      <x:c r="R252" s="47"/>
      <x:c r="S252" s="47"/>
      <x:c r="T252" s="47"/>
      <x:c r="U252" s="47"/>
      <x:c r="V252" s="47"/>
      <x:c r="W252" s="47"/>
      <x:c r="X252" s="47"/>
      <x:c r="Y252" s="47"/>
      <x:c r="Z252" s="47"/>
    </x:row>
    <x:row r="253">
      <x:c r="C253" s="9" t="str">
        <x:v>AU-A-19</x:v>
      </x:c>
      <x:c r="D253" s="9" t="str">
        <x:v>ASG-CT-C-CHL unique and source-empty</x:v>
      </x:c>
      <x:c r="E253" s="9" t="str">
        <x:f>IF(AND(COUNTIFS('Lane Assignments'!$C$7:$C$66,'Lane Assignments'!C25)=1,'Lane Assignments'!I25=0,'Lane Assignments'!J25=0,'Lane Assignments'!M25="NOT MOBILIZED"),"PASS","FAIL")</x:f>
        <x:v>PASS</x:v>
      </x:c>
      <x:c r="F253" s="9" t="str">
        <x:v>TERMINAL</x:v>
      </x:c>
      <x:c r="G253" s="47"/>
      <x:c r="H253" s="47"/>
      <x:c r="I253" s="47"/>
      <x:c r="J253" s="47"/>
      <x:c r="K253" s="47"/>
      <x:c r="L253" s="47"/>
      <x:c r="M253" s="47"/>
      <x:c r="N253" s="47"/>
      <x:c r="O253" s="47"/>
      <x:c r="P253" s="47"/>
      <x:c r="Q253" s="47"/>
      <x:c r="R253" s="47"/>
      <x:c r="S253" s="47"/>
      <x:c r="T253" s="47"/>
      <x:c r="U253" s="47"/>
      <x:c r="V253" s="47"/>
      <x:c r="W253" s="47"/>
      <x:c r="X253" s="47"/>
      <x:c r="Y253" s="47"/>
      <x:c r="Z253" s="47"/>
    </x:row>
    <x:row r="254">
      <x:c r="C254" s="9" t="str">
        <x:v>AU-A-20</x:v>
      </x:c>
      <x:c r="D254" s="9" t="str">
        <x:v>ASG-CT-C-CTL unique and source-empty</x:v>
      </x:c>
      <x:c r="E254" s="9" t="str">
        <x:f>IF(AND(COUNTIFS('Lane Assignments'!$C$7:$C$66,'Lane Assignments'!C26)=1,'Lane Assignments'!I26=0,'Lane Assignments'!J26=0,'Lane Assignments'!M26="NOT MOBILIZED"),"PASS","FAIL")</x:f>
        <x:v>PASS</x:v>
      </x:c>
      <x:c r="F254" s="9" t="str">
        <x:v>TERMINAL</x:v>
      </x:c>
      <x:c r="G254" s="47"/>
      <x:c r="H254" s="47"/>
      <x:c r="I254" s="47"/>
      <x:c r="J254" s="47"/>
      <x:c r="K254" s="47"/>
      <x:c r="L254" s="47"/>
      <x:c r="M254" s="47"/>
      <x:c r="N254" s="47"/>
      <x:c r="O254" s="47"/>
      <x:c r="P254" s="47"/>
      <x:c r="Q254" s="47"/>
      <x:c r="R254" s="47"/>
      <x:c r="S254" s="47"/>
      <x:c r="T254" s="47"/>
      <x:c r="U254" s="47"/>
      <x:c r="V254" s="47"/>
      <x:c r="W254" s="47"/>
      <x:c r="X254" s="47"/>
      <x:c r="Y254" s="47"/>
      <x:c r="Z254" s="47"/>
    </x:row>
    <x:row r="255">
      <x:c r="C255" s="9" t="str">
        <x:v>AU-A-21</x:v>
      </x:c>
      <x:c r="D255" s="9" t="str">
        <x:v>ASG-CT-C-REP unique and source-empty</x:v>
      </x:c>
      <x:c r="E255" s="9" t="str">
        <x:f>IF(AND(COUNTIFS('Lane Assignments'!$C$7:$C$66,'Lane Assignments'!C27)=1,'Lane Assignments'!I27=0,'Lane Assignments'!J27=0,'Lane Assignments'!M27="NOT MOBILIZED"),"PASS","FAIL")</x:f>
        <x:v>PASS</x:v>
      </x:c>
      <x:c r="F255" s="9" t="str">
        <x:v>TERMINAL</x:v>
      </x:c>
      <x:c r="G255" s="47"/>
      <x:c r="H255" s="47"/>
      <x:c r="I255" s="47"/>
      <x:c r="J255" s="47"/>
      <x:c r="K255" s="47"/>
      <x:c r="L255" s="47"/>
      <x:c r="M255" s="47"/>
      <x:c r="N255" s="47"/>
      <x:c r="O255" s="47"/>
      <x:c r="P255" s="47"/>
      <x:c r="Q255" s="47"/>
      <x:c r="R255" s="47"/>
      <x:c r="S255" s="47"/>
      <x:c r="T255" s="47"/>
      <x:c r="U255" s="47"/>
      <x:c r="V255" s="47"/>
      <x:c r="W255" s="47"/>
      <x:c r="X255" s="47"/>
      <x:c r="Y255" s="47"/>
      <x:c r="Z255" s="47"/>
    </x:row>
    <x:row r="256">
      <x:c r="C256" s="9" t="str">
        <x:v>AU-A-22</x:v>
      </x:c>
      <x:c r="D256" s="9" t="str">
        <x:v>ASG-CT-D-CHL unique and source-empty</x:v>
      </x:c>
      <x:c r="E256" s="9" t="str">
        <x:f>IF(AND(COUNTIFS('Lane Assignments'!$C$7:$C$66,'Lane Assignments'!C28)=1,'Lane Assignments'!I28=0,'Lane Assignments'!J28=0,'Lane Assignments'!M28="NOT MOBILIZED"),"PASS","FAIL")</x:f>
        <x:v>PASS</x:v>
      </x:c>
      <x:c r="F256" s="9" t="str">
        <x:v>TERMINAL</x:v>
      </x:c>
      <x:c r="G256" s="47"/>
      <x:c r="H256" s="47"/>
      <x:c r="I256" s="47"/>
      <x:c r="J256" s="47"/>
      <x:c r="K256" s="47"/>
      <x:c r="L256" s="47"/>
      <x:c r="M256" s="47"/>
      <x:c r="N256" s="47"/>
      <x:c r="O256" s="47"/>
      <x:c r="P256" s="47"/>
      <x:c r="Q256" s="47"/>
      <x:c r="R256" s="47"/>
      <x:c r="S256" s="47"/>
      <x:c r="T256" s="47"/>
      <x:c r="U256" s="47"/>
      <x:c r="V256" s="47"/>
      <x:c r="W256" s="47"/>
      <x:c r="X256" s="47"/>
      <x:c r="Y256" s="47"/>
      <x:c r="Z256" s="47"/>
    </x:row>
    <x:row r="257">
      <x:c r="C257" s="9" t="str">
        <x:v>AU-A-23</x:v>
      </x:c>
      <x:c r="D257" s="9" t="str">
        <x:v>ASG-CT-D-CTL unique and source-empty</x:v>
      </x:c>
      <x:c r="E257" s="9" t="str">
        <x:f>IF(AND(COUNTIFS('Lane Assignments'!$C$7:$C$66,'Lane Assignments'!C29)=1,'Lane Assignments'!I29=0,'Lane Assignments'!J29=0,'Lane Assignments'!M29="NOT MOBILIZED"),"PASS","FAIL")</x:f>
        <x:v>PASS</x:v>
      </x:c>
      <x:c r="F257" s="9" t="str">
        <x:v>TERMINAL</x:v>
      </x:c>
      <x:c r="G257" s="47"/>
      <x:c r="H257" s="47"/>
      <x:c r="I257" s="47"/>
      <x:c r="J257" s="47"/>
      <x:c r="K257" s="47"/>
      <x:c r="L257" s="47"/>
      <x:c r="M257" s="47"/>
      <x:c r="N257" s="47"/>
      <x:c r="O257" s="47"/>
      <x:c r="P257" s="47"/>
      <x:c r="Q257" s="47"/>
      <x:c r="R257" s="47"/>
      <x:c r="S257" s="47"/>
      <x:c r="T257" s="47"/>
      <x:c r="U257" s="47"/>
      <x:c r="V257" s="47"/>
      <x:c r="W257" s="47"/>
      <x:c r="X257" s="47"/>
      <x:c r="Y257" s="47"/>
      <x:c r="Z257" s="47"/>
    </x:row>
    <x:row r="258">
      <x:c r="C258" s="9" t="str">
        <x:v>AU-A-24</x:v>
      </x:c>
      <x:c r="D258" s="9" t="str">
        <x:v>ASG-CT-D-REP unique and source-empty</x:v>
      </x:c>
      <x:c r="E258" s="9" t="str">
        <x:f>IF(AND(COUNTIFS('Lane Assignments'!$C$7:$C$66,'Lane Assignments'!C30)=1,'Lane Assignments'!I30=0,'Lane Assignments'!J30=0,'Lane Assignments'!M30="NOT MOBILIZED"),"PASS","FAIL")</x:f>
        <x:v>PASS</x:v>
      </x:c>
      <x:c r="F258" s="9" t="str">
        <x:v>TERMINAL</x:v>
      </x:c>
      <x:c r="G258" s="47"/>
      <x:c r="H258" s="47"/>
      <x:c r="I258" s="47"/>
      <x:c r="J258" s="47"/>
      <x:c r="K258" s="47"/>
      <x:c r="L258" s="47"/>
      <x:c r="M258" s="47"/>
      <x:c r="N258" s="47"/>
      <x:c r="O258" s="47"/>
      <x:c r="P258" s="47"/>
      <x:c r="Q258" s="47"/>
      <x:c r="R258" s="47"/>
      <x:c r="S258" s="47"/>
      <x:c r="T258" s="47"/>
      <x:c r="U258" s="47"/>
      <x:c r="V258" s="47"/>
      <x:c r="W258" s="47"/>
      <x:c r="X258" s="47"/>
      <x:c r="Y258" s="47"/>
      <x:c r="Z258" s="47"/>
    </x:row>
    <x:row r="259">
      <x:c r="C259" s="9" t="str">
        <x:v>AU-A-25</x:v>
      </x:c>
      <x:c r="D259" s="9" t="str">
        <x:v>ASG-HC-A-CHL unique and source-empty</x:v>
      </x:c>
      <x:c r="E259" s="9" t="str">
        <x:f>IF(AND(COUNTIFS('Lane Assignments'!$C$7:$C$66,'Lane Assignments'!C31)=1,'Lane Assignments'!I31=0,'Lane Assignments'!J31=0,'Lane Assignments'!M31="NOT MOBILIZED"),"PASS","FAIL")</x:f>
        <x:v>PASS</x:v>
      </x:c>
      <x:c r="F259" s="9" t="str">
        <x:v>TERMINAL</x:v>
      </x:c>
      <x:c r="G259" s="47"/>
      <x:c r="H259" s="47"/>
      <x:c r="I259" s="47"/>
      <x:c r="J259" s="47"/>
      <x:c r="K259" s="47"/>
      <x:c r="L259" s="47"/>
      <x:c r="M259" s="47"/>
      <x:c r="N259" s="47"/>
      <x:c r="O259" s="47"/>
      <x:c r="P259" s="47"/>
      <x:c r="Q259" s="47"/>
      <x:c r="R259" s="47"/>
      <x:c r="S259" s="47"/>
      <x:c r="T259" s="47"/>
      <x:c r="U259" s="47"/>
      <x:c r="V259" s="47"/>
      <x:c r="W259" s="47"/>
      <x:c r="X259" s="47"/>
      <x:c r="Y259" s="47"/>
      <x:c r="Z259" s="47"/>
    </x:row>
    <x:row r="260">
      <x:c r="C260" s="9" t="str">
        <x:v>AU-A-26</x:v>
      </x:c>
      <x:c r="D260" s="9" t="str">
        <x:v>ASG-HC-A-CTL unique and source-empty</x:v>
      </x:c>
      <x:c r="E260" s="9" t="str">
        <x:f>IF(AND(COUNTIFS('Lane Assignments'!$C$7:$C$66,'Lane Assignments'!C32)=1,'Lane Assignments'!I32=0,'Lane Assignments'!J32=0,'Lane Assignments'!M32="NOT MOBILIZED"),"PASS","FAIL")</x:f>
        <x:v>PASS</x:v>
      </x:c>
      <x:c r="F260" s="9" t="str">
        <x:v>TERMINAL</x:v>
      </x:c>
      <x:c r="G260" s="47"/>
      <x:c r="H260" s="47"/>
      <x:c r="I260" s="47"/>
      <x:c r="J260" s="47"/>
      <x:c r="K260" s="47"/>
      <x:c r="L260" s="47"/>
      <x:c r="M260" s="47"/>
      <x:c r="N260" s="47"/>
      <x:c r="O260" s="47"/>
      <x:c r="P260" s="47"/>
      <x:c r="Q260" s="47"/>
      <x:c r="R260" s="47"/>
      <x:c r="S260" s="47"/>
      <x:c r="T260" s="47"/>
      <x:c r="U260" s="47"/>
      <x:c r="V260" s="47"/>
      <x:c r="W260" s="47"/>
      <x:c r="X260" s="47"/>
      <x:c r="Y260" s="47"/>
      <x:c r="Z260" s="47"/>
    </x:row>
    <x:row r="261">
      <x:c r="C261" s="9" t="str">
        <x:v>AU-A-27</x:v>
      </x:c>
      <x:c r="D261" s="9" t="str">
        <x:v>ASG-HC-A-REP unique and source-empty</x:v>
      </x:c>
      <x:c r="E261" s="9" t="str">
        <x:f>IF(AND(COUNTIFS('Lane Assignments'!$C$7:$C$66,'Lane Assignments'!C33)=1,'Lane Assignments'!I33=0,'Lane Assignments'!J33=0,'Lane Assignments'!M33="NOT MOBILIZED"),"PASS","FAIL")</x:f>
        <x:v>PASS</x:v>
      </x:c>
      <x:c r="F261" s="9" t="str">
        <x:v>TERMINAL</x:v>
      </x:c>
      <x:c r="G261" s="47"/>
      <x:c r="H261" s="47"/>
      <x:c r="I261" s="47"/>
      <x:c r="J261" s="47"/>
      <x:c r="K261" s="47"/>
      <x:c r="L261" s="47"/>
      <x:c r="M261" s="47"/>
      <x:c r="N261" s="47"/>
      <x:c r="O261" s="47"/>
      <x:c r="P261" s="47"/>
      <x:c r="Q261" s="47"/>
      <x:c r="R261" s="47"/>
      <x:c r="S261" s="47"/>
      <x:c r="T261" s="47"/>
      <x:c r="U261" s="47"/>
      <x:c r="V261" s="47"/>
      <x:c r="W261" s="47"/>
      <x:c r="X261" s="47"/>
      <x:c r="Y261" s="47"/>
      <x:c r="Z261" s="47"/>
    </x:row>
    <x:row r="262">
      <x:c r="C262" s="9" t="str">
        <x:v>AU-A-28</x:v>
      </x:c>
      <x:c r="D262" s="9" t="str">
        <x:v>ASG-HC-B-CHL unique and source-empty</x:v>
      </x:c>
      <x:c r="E262" s="9" t="str">
        <x:f>IF(AND(COUNTIFS('Lane Assignments'!$C$7:$C$66,'Lane Assignments'!C34)=1,'Lane Assignments'!I34=0,'Lane Assignments'!J34=0,'Lane Assignments'!M34="NOT MOBILIZED"),"PASS","FAIL")</x:f>
        <x:v>PASS</x:v>
      </x:c>
      <x:c r="F262" s="9" t="str">
        <x:v>TERMINAL</x:v>
      </x:c>
      <x:c r="G262" s="47"/>
      <x:c r="H262" s="47"/>
      <x:c r="I262" s="47"/>
      <x:c r="J262" s="47"/>
      <x:c r="K262" s="47"/>
      <x:c r="L262" s="47"/>
      <x:c r="M262" s="47"/>
      <x:c r="N262" s="47"/>
      <x:c r="O262" s="47"/>
      <x:c r="P262" s="47"/>
      <x:c r="Q262" s="47"/>
      <x:c r="R262" s="47"/>
      <x:c r="S262" s="47"/>
      <x:c r="T262" s="47"/>
      <x:c r="U262" s="47"/>
      <x:c r="V262" s="47"/>
      <x:c r="W262" s="47"/>
      <x:c r="X262" s="47"/>
      <x:c r="Y262" s="47"/>
      <x:c r="Z262" s="47"/>
    </x:row>
    <x:row r="263">
      <x:c r="C263" s="9" t="str">
        <x:v>AU-A-29</x:v>
      </x:c>
      <x:c r="D263" s="9" t="str">
        <x:v>ASG-HC-B-CTL unique and source-empty</x:v>
      </x:c>
      <x:c r="E263" s="9" t="str">
        <x:f>IF(AND(COUNTIFS('Lane Assignments'!$C$7:$C$66,'Lane Assignments'!C35)=1,'Lane Assignments'!I35=0,'Lane Assignments'!J35=0,'Lane Assignments'!M35="NOT MOBILIZED"),"PASS","FAIL")</x:f>
        <x:v>PASS</x:v>
      </x:c>
      <x:c r="F263" s="9" t="str">
        <x:v>TERMINAL</x:v>
      </x:c>
      <x:c r="G263" s="47"/>
      <x:c r="H263" s="47"/>
      <x:c r="I263" s="47"/>
      <x:c r="J263" s="47"/>
      <x:c r="K263" s="47"/>
      <x:c r="L263" s="47"/>
      <x:c r="M263" s="47"/>
      <x:c r="N263" s="47"/>
      <x:c r="O263" s="47"/>
      <x:c r="P263" s="47"/>
      <x:c r="Q263" s="47"/>
      <x:c r="R263" s="47"/>
      <x:c r="S263" s="47"/>
      <x:c r="T263" s="47"/>
      <x:c r="U263" s="47"/>
      <x:c r="V263" s="47"/>
      <x:c r="W263" s="47"/>
      <x:c r="X263" s="47"/>
      <x:c r="Y263" s="47"/>
      <x:c r="Z263" s="47"/>
    </x:row>
    <x:row r="264">
      <x:c r="C264" s="9" t="str">
        <x:v>AU-A-30</x:v>
      </x:c>
      <x:c r="D264" s="9" t="str">
        <x:v>ASG-HC-B-REP unique and source-empty</x:v>
      </x:c>
      <x:c r="E264" s="9" t="str">
        <x:f>IF(AND(COUNTIFS('Lane Assignments'!$C$7:$C$66,'Lane Assignments'!C36)=1,'Lane Assignments'!I36=0,'Lane Assignments'!J36=0,'Lane Assignments'!M36="NOT MOBILIZED"),"PASS","FAIL")</x:f>
        <x:v>PASS</x:v>
      </x:c>
      <x:c r="F264" s="9" t="str">
        <x:v>TERMINAL</x:v>
      </x:c>
      <x:c r="G264" s="47"/>
      <x:c r="H264" s="47"/>
      <x:c r="I264" s="47"/>
      <x:c r="J264" s="47"/>
      <x:c r="K264" s="47"/>
      <x:c r="L264" s="47"/>
      <x:c r="M264" s="47"/>
      <x:c r="N264" s="47"/>
      <x:c r="O264" s="47"/>
      <x:c r="P264" s="47"/>
      <x:c r="Q264" s="47"/>
      <x:c r="R264" s="47"/>
      <x:c r="S264" s="47"/>
      <x:c r="T264" s="47"/>
      <x:c r="U264" s="47"/>
      <x:c r="V264" s="47"/>
      <x:c r="W264" s="47"/>
      <x:c r="X264" s="47"/>
      <x:c r="Y264" s="47"/>
      <x:c r="Z264" s="47"/>
    </x:row>
    <x:row r="265">
      <x:c r="C265" s="9" t="str">
        <x:v>AU-A-31</x:v>
      </x:c>
      <x:c r="D265" s="9" t="str">
        <x:v>ASG-HC-C-CHL unique and source-empty</x:v>
      </x:c>
      <x:c r="E265" s="9" t="str">
        <x:f>IF(AND(COUNTIFS('Lane Assignments'!$C$7:$C$66,'Lane Assignments'!C37)=1,'Lane Assignments'!I37=0,'Lane Assignments'!J37=0,'Lane Assignments'!M37="NOT MOBILIZED"),"PASS","FAIL")</x:f>
        <x:v>PASS</x:v>
      </x:c>
      <x:c r="F265" s="9" t="str">
        <x:v>TERMINAL</x:v>
      </x:c>
      <x:c r="G265" s="47"/>
      <x:c r="H265" s="47"/>
      <x:c r="I265" s="47"/>
      <x:c r="J265" s="47"/>
      <x:c r="K265" s="47"/>
      <x:c r="L265" s="47"/>
      <x:c r="M265" s="47"/>
      <x:c r="N265" s="47"/>
      <x:c r="O265" s="47"/>
      <x:c r="P265" s="47"/>
      <x:c r="Q265" s="47"/>
      <x:c r="R265" s="47"/>
      <x:c r="S265" s="47"/>
      <x:c r="T265" s="47"/>
      <x:c r="U265" s="47"/>
      <x:c r="V265" s="47"/>
      <x:c r="W265" s="47"/>
      <x:c r="X265" s="47"/>
      <x:c r="Y265" s="47"/>
      <x:c r="Z265" s="47"/>
    </x:row>
    <x:row r="266">
      <x:c r="C266" s="9" t="str">
        <x:v>AU-A-32</x:v>
      </x:c>
      <x:c r="D266" s="9" t="str">
        <x:v>ASG-HC-C-CTL unique and source-empty</x:v>
      </x:c>
      <x:c r="E266" s="9" t="str">
        <x:f>IF(AND(COUNTIFS('Lane Assignments'!$C$7:$C$66,'Lane Assignments'!C38)=1,'Lane Assignments'!I38=0,'Lane Assignments'!J38=0,'Lane Assignments'!M38="NOT MOBILIZED"),"PASS","FAIL")</x:f>
        <x:v>PASS</x:v>
      </x:c>
      <x:c r="F266" s="9" t="str">
        <x:v>TERMINAL</x:v>
      </x:c>
      <x:c r="G266" s="47"/>
      <x:c r="H266" s="47"/>
      <x:c r="I266" s="47"/>
      <x:c r="J266" s="47"/>
      <x:c r="K266" s="47"/>
      <x:c r="L266" s="47"/>
      <x:c r="M266" s="47"/>
      <x:c r="N266" s="47"/>
      <x:c r="O266" s="47"/>
      <x:c r="P266" s="47"/>
      <x:c r="Q266" s="47"/>
      <x:c r="R266" s="47"/>
      <x:c r="S266" s="47"/>
      <x:c r="T266" s="47"/>
      <x:c r="U266" s="47"/>
      <x:c r="V266" s="47"/>
      <x:c r="W266" s="47"/>
      <x:c r="X266" s="47"/>
      <x:c r="Y266" s="47"/>
      <x:c r="Z266" s="47"/>
    </x:row>
    <x:row r="267">
      <x:c r="C267" s="9" t="str">
        <x:v>AU-A-33</x:v>
      </x:c>
      <x:c r="D267" s="9" t="str">
        <x:v>ASG-HC-C-REP unique and source-empty</x:v>
      </x:c>
      <x:c r="E267" s="9" t="str">
        <x:f>IF(AND(COUNTIFS('Lane Assignments'!$C$7:$C$66,'Lane Assignments'!C39)=1,'Lane Assignments'!I39=0,'Lane Assignments'!J39=0,'Lane Assignments'!M39="NOT MOBILIZED"),"PASS","FAIL")</x:f>
        <x:v>PASS</x:v>
      </x:c>
      <x:c r="F267" s="9" t="str">
        <x:v>TERMINAL</x:v>
      </x:c>
      <x:c r="G267" s="47"/>
      <x:c r="H267" s="47"/>
      <x:c r="I267" s="47"/>
      <x:c r="J267" s="47"/>
      <x:c r="K267" s="47"/>
      <x:c r="L267" s="47"/>
      <x:c r="M267" s="47"/>
      <x:c r="N267" s="47"/>
      <x:c r="O267" s="47"/>
      <x:c r="P267" s="47"/>
      <x:c r="Q267" s="47"/>
      <x:c r="R267" s="47"/>
      <x:c r="S267" s="47"/>
      <x:c r="T267" s="47"/>
      <x:c r="U267" s="47"/>
      <x:c r="V267" s="47"/>
      <x:c r="W267" s="47"/>
      <x:c r="X267" s="47"/>
      <x:c r="Y267" s="47"/>
      <x:c r="Z267" s="47"/>
    </x:row>
    <x:row r="268">
      <x:c r="C268" s="9" t="str">
        <x:v>AU-A-34</x:v>
      </x:c>
      <x:c r="D268" s="9" t="str">
        <x:v>ASG-HC-D-CHL unique and source-empty</x:v>
      </x:c>
      <x:c r="E268" s="9" t="str">
        <x:f>IF(AND(COUNTIFS('Lane Assignments'!$C$7:$C$66,'Lane Assignments'!C40)=1,'Lane Assignments'!I40=0,'Lane Assignments'!J40=0,'Lane Assignments'!M40="NOT MOBILIZED"),"PASS","FAIL")</x:f>
        <x:v>PASS</x:v>
      </x:c>
      <x:c r="F268" s="9" t="str">
        <x:v>TERMINAL</x:v>
      </x:c>
      <x:c r="G268" s="47"/>
      <x:c r="H268" s="47"/>
      <x:c r="I268" s="47"/>
      <x:c r="J268" s="47"/>
      <x:c r="K268" s="47"/>
      <x:c r="L268" s="47"/>
      <x:c r="M268" s="47"/>
      <x:c r="N268" s="47"/>
      <x:c r="O268" s="47"/>
      <x:c r="P268" s="47"/>
      <x:c r="Q268" s="47"/>
      <x:c r="R268" s="47"/>
      <x:c r="S268" s="47"/>
      <x:c r="T268" s="47"/>
      <x:c r="U268" s="47"/>
      <x:c r="V268" s="47"/>
      <x:c r="W268" s="47"/>
      <x:c r="X268" s="47"/>
      <x:c r="Y268" s="47"/>
      <x:c r="Z268" s="47"/>
    </x:row>
    <x:row r="269">
      <x:c r="C269" s="9" t="str">
        <x:v>AU-A-35</x:v>
      </x:c>
      <x:c r="D269" s="9" t="str">
        <x:v>ASG-HC-D-CTL unique and source-empty</x:v>
      </x:c>
      <x:c r="E269" s="9" t="str">
        <x:f>IF(AND(COUNTIFS('Lane Assignments'!$C$7:$C$66,'Lane Assignments'!C41)=1,'Lane Assignments'!I41=0,'Lane Assignments'!J41=0,'Lane Assignments'!M41="NOT MOBILIZED"),"PASS","FAIL")</x:f>
        <x:v>PASS</x:v>
      </x:c>
      <x:c r="F269" s="9" t="str">
        <x:v>TERMINAL</x:v>
      </x:c>
      <x:c r="G269" s="47"/>
      <x:c r="H269" s="47"/>
      <x:c r="I269" s="47"/>
      <x:c r="J269" s="47"/>
      <x:c r="K269" s="47"/>
      <x:c r="L269" s="47"/>
      <x:c r="M269" s="47"/>
      <x:c r="N269" s="47"/>
      <x:c r="O269" s="47"/>
      <x:c r="P269" s="47"/>
      <x:c r="Q269" s="47"/>
      <x:c r="R269" s="47"/>
      <x:c r="S269" s="47"/>
      <x:c r="T269" s="47"/>
      <x:c r="U269" s="47"/>
      <x:c r="V269" s="47"/>
      <x:c r="W269" s="47"/>
      <x:c r="X269" s="47"/>
      <x:c r="Y269" s="47"/>
      <x:c r="Z269" s="47"/>
    </x:row>
    <x:row r="270">
      <x:c r="C270" s="9" t="str">
        <x:v>AU-A-36</x:v>
      </x:c>
      <x:c r="D270" s="9" t="str">
        <x:v>ASG-HC-D-REP unique and source-empty</x:v>
      </x:c>
      <x:c r="E270" s="9" t="str">
        <x:f>IF(AND(COUNTIFS('Lane Assignments'!$C$7:$C$66,'Lane Assignments'!C42)=1,'Lane Assignments'!I42=0,'Lane Assignments'!J42=0,'Lane Assignments'!M42="NOT MOBILIZED"),"PASS","FAIL")</x:f>
        <x:v>PASS</x:v>
      </x:c>
      <x:c r="F270" s="9" t="str">
        <x:v>TERMINAL</x:v>
      </x:c>
      <x:c r="G270" s="47"/>
      <x:c r="H270" s="47"/>
      <x:c r="I270" s="47"/>
      <x:c r="J270" s="47"/>
      <x:c r="K270" s="47"/>
      <x:c r="L270" s="47"/>
      <x:c r="M270" s="47"/>
      <x:c r="N270" s="47"/>
      <x:c r="O270" s="47"/>
      <x:c r="P270" s="47"/>
      <x:c r="Q270" s="47"/>
      <x:c r="R270" s="47"/>
      <x:c r="S270" s="47"/>
      <x:c r="T270" s="47"/>
      <x:c r="U270" s="47"/>
      <x:c r="V270" s="47"/>
      <x:c r="W270" s="47"/>
      <x:c r="X270" s="47"/>
      <x:c r="Y270" s="47"/>
      <x:c r="Z270" s="47"/>
    </x:row>
    <x:row r="271">
      <x:c r="C271" s="9" t="str">
        <x:v>AU-A-37</x:v>
      </x:c>
      <x:c r="D271" s="9" t="str">
        <x:v>ASG-HU-A-CHL unique and source-empty</x:v>
      </x:c>
      <x:c r="E271" s="9" t="str">
        <x:f>IF(AND(COUNTIFS('Lane Assignments'!$C$7:$C$66,'Lane Assignments'!C43)=1,'Lane Assignments'!I43=0,'Lane Assignments'!J43=0,'Lane Assignments'!M43="NOT MOBILIZED"),"PASS","FAIL")</x:f>
        <x:v>PASS</x:v>
      </x:c>
      <x:c r="F271" s="9" t="str">
        <x:v>TERMINAL</x:v>
      </x:c>
      <x:c r="G271" s="47"/>
      <x:c r="H271" s="47"/>
      <x:c r="I271" s="47"/>
      <x:c r="J271" s="47"/>
      <x:c r="K271" s="47"/>
      <x:c r="L271" s="47"/>
      <x:c r="M271" s="47"/>
      <x:c r="N271" s="47"/>
      <x:c r="O271" s="47"/>
      <x:c r="P271" s="47"/>
      <x:c r="Q271" s="47"/>
      <x:c r="R271" s="47"/>
      <x:c r="S271" s="47"/>
      <x:c r="T271" s="47"/>
      <x:c r="U271" s="47"/>
      <x:c r="V271" s="47"/>
      <x:c r="W271" s="47"/>
      <x:c r="X271" s="47"/>
      <x:c r="Y271" s="47"/>
      <x:c r="Z271" s="47"/>
    </x:row>
    <x:row r="272">
      <x:c r="C272" s="9" t="str">
        <x:v>AU-A-38</x:v>
      </x:c>
      <x:c r="D272" s="9" t="str">
        <x:v>ASG-HU-A-CTL unique and source-empty</x:v>
      </x:c>
      <x:c r="E272" s="9" t="str">
        <x:f>IF(AND(COUNTIFS('Lane Assignments'!$C$7:$C$66,'Lane Assignments'!C44)=1,'Lane Assignments'!I44=0,'Lane Assignments'!J44=0,'Lane Assignments'!M44="NOT MOBILIZED"),"PASS","FAIL")</x:f>
        <x:v>PASS</x:v>
      </x:c>
      <x:c r="F272" s="9" t="str">
        <x:v>TERMINAL</x:v>
      </x:c>
      <x:c r="G272" s="47"/>
      <x:c r="H272" s="47"/>
      <x:c r="I272" s="47"/>
      <x:c r="J272" s="47"/>
      <x:c r="K272" s="47"/>
      <x:c r="L272" s="47"/>
      <x:c r="M272" s="47"/>
      <x:c r="N272" s="47"/>
      <x:c r="O272" s="47"/>
      <x:c r="P272" s="47"/>
      <x:c r="Q272" s="47"/>
      <x:c r="R272" s="47"/>
      <x:c r="S272" s="47"/>
      <x:c r="T272" s="47"/>
      <x:c r="U272" s="47"/>
      <x:c r="V272" s="47"/>
      <x:c r="W272" s="47"/>
      <x:c r="X272" s="47"/>
      <x:c r="Y272" s="47"/>
      <x:c r="Z272" s="47"/>
    </x:row>
    <x:row r="273">
      <x:c r="C273" s="9" t="str">
        <x:v>AU-A-39</x:v>
      </x:c>
      <x:c r="D273" s="9" t="str">
        <x:v>ASG-HU-A-REP unique and source-empty</x:v>
      </x:c>
      <x:c r="E273" s="9" t="str">
        <x:f>IF(AND(COUNTIFS('Lane Assignments'!$C$7:$C$66,'Lane Assignments'!C45)=1,'Lane Assignments'!I45=0,'Lane Assignments'!J45=0,'Lane Assignments'!M45="NOT MOBILIZED"),"PASS","FAIL")</x:f>
        <x:v>PASS</x:v>
      </x:c>
      <x:c r="F273" s="9" t="str">
        <x:v>TERMINAL</x:v>
      </x:c>
      <x:c r="G273" s="47"/>
      <x:c r="H273" s="47"/>
      <x:c r="I273" s="47"/>
      <x:c r="J273" s="47"/>
      <x:c r="K273" s="47"/>
      <x:c r="L273" s="47"/>
      <x:c r="M273" s="47"/>
      <x:c r="N273" s="47"/>
      <x:c r="O273" s="47"/>
      <x:c r="P273" s="47"/>
      <x:c r="Q273" s="47"/>
      <x:c r="R273" s="47"/>
      <x:c r="S273" s="47"/>
      <x:c r="T273" s="47"/>
      <x:c r="U273" s="47"/>
      <x:c r="V273" s="47"/>
      <x:c r="W273" s="47"/>
      <x:c r="X273" s="47"/>
      <x:c r="Y273" s="47"/>
      <x:c r="Z273" s="47"/>
    </x:row>
    <x:row r="274">
      <x:c r="C274" s="9" t="str">
        <x:v>AU-A-40</x:v>
      </x:c>
      <x:c r="D274" s="9" t="str">
        <x:v>ASG-HU-B-CHL unique and source-empty</x:v>
      </x:c>
      <x:c r="E274" s="9" t="str">
        <x:f>IF(AND(COUNTIFS('Lane Assignments'!$C$7:$C$66,'Lane Assignments'!C46)=1,'Lane Assignments'!I46=0,'Lane Assignments'!J46=0,'Lane Assignments'!M46="NOT MOBILIZED"),"PASS","FAIL")</x:f>
        <x:v>PASS</x:v>
      </x:c>
      <x:c r="F274" s="9" t="str">
        <x:v>TERMINAL</x:v>
      </x:c>
      <x:c r="G274" s="47"/>
      <x:c r="H274" s="47"/>
      <x:c r="I274" s="47"/>
      <x:c r="J274" s="47"/>
      <x:c r="K274" s="47"/>
      <x:c r="L274" s="47"/>
      <x:c r="M274" s="47"/>
      <x:c r="N274" s="47"/>
      <x:c r="O274" s="47"/>
      <x:c r="P274" s="47"/>
      <x:c r="Q274" s="47"/>
      <x:c r="R274" s="47"/>
      <x:c r="S274" s="47"/>
      <x:c r="T274" s="47"/>
      <x:c r="U274" s="47"/>
      <x:c r="V274" s="47"/>
      <x:c r="W274" s="47"/>
      <x:c r="X274" s="47"/>
      <x:c r="Y274" s="47"/>
      <x:c r="Z274" s="47"/>
    </x:row>
    <x:row r="275">
      <x:c r="C275" s="9" t="str">
        <x:v>AU-A-41</x:v>
      </x:c>
      <x:c r="D275" s="9" t="str">
        <x:v>ASG-HU-B-CTL unique and source-empty</x:v>
      </x:c>
      <x:c r="E275" s="9" t="str">
        <x:f>IF(AND(COUNTIFS('Lane Assignments'!$C$7:$C$66,'Lane Assignments'!C47)=1,'Lane Assignments'!I47=0,'Lane Assignments'!J47=0,'Lane Assignments'!M47="NOT MOBILIZED"),"PASS","FAIL")</x:f>
        <x:v>PASS</x:v>
      </x:c>
      <x:c r="F275" s="9" t="str">
        <x:v>TERMINAL</x:v>
      </x:c>
      <x:c r="G275" s="47"/>
      <x:c r="H275" s="47"/>
      <x:c r="I275" s="47"/>
      <x:c r="J275" s="47"/>
      <x:c r="K275" s="47"/>
      <x:c r="L275" s="47"/>
      <x:c r="M275" s="47"/>
      <x:c r="N275" s="47"/>
      <x:c r="O275" s="47"/>
      <x:c r="P275" s="47"/>
      <x:c r="Q275" s="47"/>
      <x:c r="R275" s="47"/>
      <x:c r="S275" s="47"/>
      <x:c r="T275" s="47"/>
      <x:c r="U275" s="47"/>
      <x:c r="V275" s="47"/>
      <x:c r="W275" s="47"/>
      <x:c r="X275" s="47"/>
      <x:c r="Y275" s="47"/>
      <x:c r="Z275" s="47"/>
    </x:row>
    <x:row r="276">
      <x:c r="C276" s="9" t="str">
        <x:v>AU-A-42</x:v>
      </x:c>
      <x:c r="D276" s="9" t="str">
        <x:v>ASG-HU-B-REP unique and source-empty</x:v>
      </x:c>
      <x:c r="E276" s="9" t="str">
        <x:f>IF(AND(COUNTIFS('Lane Assignments'!$C$7:$C$66,'Lane Assignments'!C48)=1,'Lane Assignments'!I48=0,'Lane Assignments'!J48=0,'Lane Assignments'!M48="NOT MOBILIZED"),"PASS","FAIL")</x:f>
        <x:v>PASS</x:v>
      </x:c>
      <x:c r="F276" s="9" t="str">
        <x:v>TERMINAL</x:v>
      </x:c>
      <x:c r="G276" s="47"/>
      <x:c r="H276" s="47"/>
      <x:c r="I276" s="47"/>
      <x:c r="J276" s="47"/>
      <x:c r="K276" s="47"/>
      <x:c r="L276" s="47"/>
      <x:c r="M276" s="47"/>
      <x:c r="N276" s="47"/>
      <x:c r="O276" s="47"/>
      <x:c r="P276" s="47"/>
      <x:c r="Q276" s="47"/>
      <x:c r="R276" s="47"/>
      <x:c r="S276" s="47"/>
      <x:c r="T276" s="47"/>
      <x:c r="U276" s="47"/>
      <x:c r="V276" s="47"/>
      <x:c r="W276" s="47"/>
      <x:c r="X276" s="47"/>
      <x:c r="Y276" s="47"/>
      <x:c r="Z276" s="47"/>
    </x:row>
    <x:row r="277">
      <x:c r="C277" s="9" t="str">
        <x:v>AU-A-43</x:v>
      </x:c>
      <x:c r="D277" s="9" t="str">
        <x:v>ASG-HU-C-CHL unique and source-empty</x:v>
      </x:c>
      <x:c r="E277" s="9" t="str">
        <x:f>IF(AND(COUNTIFS('Lane Assignments'!$C$7:$C$66,'Lane Assignments'!C49)=1,'Lane Assignments'!I49=0,'Lane Assignments'!J49=0,'Lane Assignments'!M49="NOT MOBILIZED"),"PASS","FAIL")</x:f>
        <x:v>PASS</x:v>
      </x:c>
      <x:c r="F277" s="9" t="str">
        <x:v>TERMINAL</x:v>
      </x:c>
      <x:c r="G277" s="47"/>
      <x:c r="H277" s="47"/>
      <x:c r="I277" s="47"/>
      <x:c r="J277" s="47"/>
      <x:c r="K277" s="47"/>
      <x:c r="L277" s="47"/>
      <x:c r="M277" s="47"/>
      <x:c r="N277" s="47"/>
      <x:c r="O277" s="47"/>
      <x:c r="P277" s="47"/>
      <x:c r="Q277" s="47"/>
      <x:c r="R277" s="47"/>
      <x:c r="S277" s="47"/>
      <x:c r="T277" s="47"/>
      <x:c r="U277" s="47"/>
      <x:c r="V277" s="47"/>
      <x:c r="W277" s="47"/>
      <x:c r="X277" s="47"/>
      <x:c r="Y277" s="47"/>
      <x:c r="Z277" s="47"/>
    </x:row>
    <x:row r="278">
      <x:c r="C278" s="9" t="str">
        <x:v>AU-A-44</x:v>
      </x:c>
      <x:c r="D278" s="9" t="str">
        <x:v>ASG-HU-C-CTL unique and source-empty</x:v>
      </x:c>
      <x:c r="E278" s="9" t="str">
        <x:f>IF(AND(COUNTIFS('Lane Assignments'!$C$7:$C$66,'Lane Assignments'!C50)=1,'Lane Assignments'!I50=0,'Lane Assignments'!J50=0,'Lane Assignments'!M50="NOT MOBILIZED"),"PASS","FAIL")</x:f>
        <x:v>PASS</x:v>
      </x:c>
      <x:c r="F278" s="9" t="str">
        <x:v>TERMINAL</x:v>
      </x:c>
      <x:c r="G278" s="47"/>
      <x:c r="H278" s="47"/>
      <x:c r="I278" s="47"/>
      <x:c r="J278" s="47"/>
      <x:c r="K278" s="47"/>
      <x:c r="L278" s="47"/>
      <x:c r="M278" s="47"/>
      <x:c r="N278" s="47"/>
      <x:c r="O278" s="47"/>
      <x:c r="P278" s="47"/>
      <x:c r="Q278" s="47"/>
      <x:c r="R278" s="47"/>
      <x:c r="S278" s="47"/>
      <x:c r="T278" s="47"/>
      <x:c r="U278" s="47"/>
      <x:c r="V278" s="47"/>
      <x:c r="W278" s="47"/>
      <x:c r="X278" s="47"/>
      <x:c r="Y278" s="47"/>
      <x:c r="Z278" s="47"/>
    </x:row>
    <x:row r="279">
      <x:c r="C279" s="9" t="str">
        <x:v>AU-A-45</x:v>
      </x:c>
      <x:c r="D279" s="9" t="str">
        <x:v>ASG-HU-C-REP unique and source-empty</x:v>
      </x:c>
      <x:c r="E279" s="9" t="str">
        <x:f>IF(AND(COUNTIFS('Lane Assignments'!$C$7:$C$66,'Lane Assignments'!C51)=1,'Lane Assignments'!I51=0,'Lane Assignments'!J51=0,'Lane Assignments'!M51="NOT MOBILIZED"),"PASS","FAIL")</x:f>
        <x:v>PASS</x:v>
      </x:c>
      <x:c r="F279" s="9" t="str">
        <x:v>TERMINAL</x:v>
      </x:c>
      <x:c r="G279" s="47"/>
      <x:c r="H279" s="47"/>
      <x:c r="I279" s="47"/>
      <x:c r="J279" s="47"/>
      <x:c r="K279" s="47"/>
      <x:c r="L279" s="47"/>
      <x:c r="M279" s="47"/>
      <x:c r="N279" s="47"/>
      <x:c r="O279" s="47"/>
      <x:c r="P279" s="47"/>
      <x:c r="Q279" s="47"/>
      <x:c r="R279" s="47"/>
      <x:c r="S279" s="47"/>
      <x:c r="T279" s="47"/>
      <x:c r="U279" s="47"/>
      <x:c r="V279" s="47"/>
      <x:c r="W279" s="47"/>
      <x:c r="X279" s="47"/>
      <x:c r="Y279" s="47"/>
      <x:c r="Z279" s="47"/>
    </x:row>
    <x:row r="280">
      <x:c r="C280" s="9" t="str">
        <x:v>AU-A-46</x:v>
      </x:c>
      <x:c r="D280" s="9" t="str">
        <x:v>ASG-HU-D-CHL unique and source-empty</x:v>
      </x:c>
      <x:c r="E280" s="9" t="str">
        <x:f>IF(AND(COUNTIFS('Lane Assignments'!$C$7:$C$66,'Lane Assignments'!C52)=1,'Lane Assignments'!I52=0,'Lane Assignments'!J52=0,'Lane Assignments'!M52="NOT MOBILIZED"),"PASS","FAIL")</x:f>
        <x:v>PASS</x:v>
      </x:c>
      <x:c r="F280" s="9" t="str">
        <x:v>TERMINAL</x:v>
      </x:c>
      <x:c r="G280" s="47"/>
      <x:c r="H280" s="47"/>
      <x:c r="I280" s="47"/>
      <x:c r="J280" s="47"/>
      <x:c r="K280" s="47"/>
      <x:c r="L280" s="47"/>
      <x:c r="M280" s="47"/>
      <x:c r="N280" s="47"/>
      <x:c r="O280" s="47"/>
      <x:c r="P280" s="47"/>
      <x:c r="Q280" s="47"/>
      <x:c r="R280" s="47"/>
      <x:c r="S280" s="47"/>
      <x:c r="T280" s="47"/>
      <x:c r="U280" s="47"/>
      <x:c r="V280" s="47"/>
      <x:c r="W280" s="47"/>
      <x:c r="X280" s="47"/>
      <x:c r="Y280" s="47"/>
      <x:c r="Z280" s="47"/>
    </x:row>
    <x:row r="281">
      <x:c r="C281" s="9" t="str">
        <x:v>AU-A-47</x:v>
      </x:c>
      <x:c r="D281" s="9" t="str">
        <x:v>ASG-HU-D-CTL unique and source-empty</x:v>
      </x:c>
      <x:c r="E281" s="9" t="str">
        <x:f>IF(AND(COUNTIFS('Lane Assignments'!$C$7:$C$66,'Lane Assignments'!C53)=1,'Lane Assignments'!I53=0,'Lane Assignments'!J53=0,'Lane Assignments'!M53="NOT MOBILIZED"),"PASS","FAIL")</x:f>
        <x:v>PASS</x:v>
      </x:c>
      <x:c r="F281" s="9" t="str">
        <x:v>TERMINAL</x:v>
      </x:c>
      <x:c r="G281" s="47"/>
      <x:c r="H281" s="47"/>
      <x:c r="I281" s="47"/>
      <x:c r="J281" s="47"/>
      <x:c r="K281" s="47"/>
      <x:c r="L281" s="47"/>
      <x:c r="M281" s="47"/>
      <x:c r="N281" s="47"/>
      <x:c r="O281" s="47"/>
      <x:c r="P281" s="47"/>
      <x:c r="Q281" s="47"/>
      <x:c r="R281" s="47"/>
      <x:c r="S281" s="47"/>
      <x:c r="T281" s="47"/>
      <x:c r="U281" s="47"/>
      <x:c r="V281" s="47"/>
      <x:c r="W281" s="47"/>
      <x:c r="X281" s="47"/>
      <x:c r="Y281" s="47"/>
      <x:c r="Z281" s="47"/>
    </x:row>
    <x:row r="282">
      <x:c r="C282" s="9" t="str">
        <x:v>AU-A-48</x:v>
      </x:c>
      <x:c r="D282" s="9" t="str">
        <x:v>ASG-HU-D-REP unique and source-empty</x:v>
      </x:c>
      <x:c r="E282" s="9" t="str">
        <x:f>IF(AND(COUNTIFS('Lane Assignments'!$C$7:$C$66,'Lane Assignments'!C54)=1,'Lane Assignments'!I54=0,'Lane Assignments'!J54=0,'Lane Assignments'!M54="NOT MOBILIZED"),"PASS","FAIL")</x:f>
        <x:v>PASS</x:v>
      </x:c>
      <x:c r="F282" s="9" t="str">
        <x:v>TERMINAL</x:v>
      </x:c>
      <x:c r="G282" s="47"/>
      <x:c r="H282" s="47"/>
      <x:c r="I282" s="47"/>
      <x:c r="J282" s="47"/>
      <x:c r="K282" s="47"/>
      <x:c r="L282" s="47"/>
      <x:c r="M282" s="47"/>
      <x:c r="N282" s="47"/>
      <x:c r="O282" s="47"/>
      <x:c r="P282" s="47"/>
      <x:c r="Q282" s="47"/>
      <x:c r="R282" s="47"/>
      <x:c r="S282" s="47"/>
      <x:c r="T282" s="47"/>
      <x:c r="U282" s="47"/>
      <x:c r="V282" s="47"/>
      <x:c r="W282" s="47"/>
      <x:c r="X282" s="47"/>
      <x:c r="Y282" s="47"/>
      <x:c r="Z282" s="47"/>
    </x:row>
    <x:row r="283">
      <x:c r="C283" s="9" t="str">
        <x:v>AU-A-49</x:v>
      </x:c>
      <x:c r="D283" s="9" t="str">
        <x:v>ASG-RT-A-CHL unique and source-empty</x:v>
      </x:c>
      <x:c r="E283" s="9" t="str">
        <x:f>IF(AND(COUNTIFS('Lane Assignments'!$C$7:$C$66,'Lane Assignments'!C55)=1,'Lane Assignments'!I55=0,'Lane Assignments'!J55=0,'Lane Assignments'!M55="NOT MOBILIZED"),"PASS","FAIL")</x:f>
        <x:v>PASS</x:v>
      </x:c>
      <x:c r="F283" s="9" t="str">
        <x:v>TERMINAL</x:v>
      </x:c>
      <x:c r="G283" s="47"/>
      <x:c r="H283" s="47"/>
      <x:c r="I283" s="47"/>
      <x:c r="J283" s="47"/>
      <x:c r="K283" s="47"/>
      <x:c r="L283" s="47"/>
      <x:c r="M283" s="47"/>
      <x:c r="N283" s="47"/>
      <x:c r="O283" s="47"/>
      <x:c r="P283" s="47"/>
      <x:c r="Q283" s="47"/>
      <x:c r="R283" s="47"/>
      <x:c r="S283" s="47"/>
      <x:c r="T283" s="47"/>
      <x:c r="U283" s="47"/>
      <x:c r="V283" s="47"/>
      <x:c r="W283" s="47"/>
      <x:c r="X283" s="47"/>
      <x:c r="Y283" s="47"/>
      <x:c r="Z283" s="47"/>
    </x:row>
    <x:row r="284">
      <x:c r="C284" s="9" t="str">
        <x:v>AU-A-50</x:v>
      </x:c>
      <x:c r="D284" s="9" t="str">
        <x:v>ASG-RT-A-CTL unique and source-empty</x:v>
      </x:c>
      <x:c r="E284" s="9" t="str">
        <x:f>IF(AND(COUNTIFS('Lane Assignments'!$C$7:$C$66,'Lane Assignments'!C56)=1,'Lane Assignments'!I56=0,'Lane Assignments'!J56=0,'Lane Assignments'!M56="NOT MOBILIZED"),"PASS","FAIL")</x:f>
        <x:v>PASS</x:v>
      </x:c>
      <x:c r="F284" s="9" t="str">
        <x:v>TERMINAL</x:v>
      </x:c>
      <x:c r="G284" s="47"/>
      <x:c r="H284" s="47"/>
      <x:c r="I284" s="47"/>
      <x:c r="J284" s="47"/>
      <x:c r="K284" s="47"/>
      <x:c r="L284" s="47"/>
      <x:c r="M284" s="47"/>
      <x:c r="N284" s="47"/>
      <x:c r="O284" s="47"/>
      <x:c r="P284" s="47"/>
      <x:c r="Q284" s="47"/>
      <x:c r="R284" s="47"/>
      <x:c r="S284" s="47"/>
      <x:c r="T284" s="47"/>
      <x:c r="U284" s="47"/>
      <x:c r="V284" s="47"/>
      <x:c r="W284" s="47"/>
      <x:c r="X284" s="47"/>
      <x:c r="Y284" s="47"/>
      <x:c r="Z284" s="47"/>
    </x:row>
    <x:row r="285">
      <x:c r="C285" s="9" t="str">
        <x:v>AU-A-51</x:v>
      </x:c>
      <x:c r="D285" s="9" t="str">
        <x:v>ASG-RT-A-REP unique and source-empty</x:v>
      </x:c>
      <x:c r="E285" s="9" t="str">
        <x:f>IF(AND(COUNTIFS('Lane Assignments'!$C$7:$C$66,'Lane Assignments'!C57)=1,'Lane Assignments'!I57=0,'Lane Assignments'!J57=0,'Lane Assignments'!M57="NOT MOBILIZED"),"PASS","FAIL")</x:f>
        <x:v>PASS</x:v>
      </x:c>
      <x:c r="F285" s="9" t="str">
        <x:v>TERMINAL</x:v>
      </x:c>
      <x:c r="G285" s="47"/>
      <x:c r="H285" s="47"/>
      <x:c r="I285" s="47"/>
      <x:c r="J285" s="47"/>
      <x:c r="K285" s="47"/>
      <x:c r="L285" s="47"/>
      <x:c r="M285" s="47"/>
      <x:c r="N285" s="47"/>
      <x:c r="O285" s="47"/>
      <x:c r="P285" s="47"/>
      <x:c r="Q285" s="47"/>
      <x:c r="R285" s="47"/>
      <x:c r="S285" s="47"/>
      <x:c r="T285" s="47"/>
      <x:c r="U285" s="47"/>
      <x:c r="V285" s="47"/>
      <x:c r="W285" s="47"/>
      <x:c r="X285" s="47"/>
      <x:c r="Y285" s="47"/>
      <x:c r="Z285" s="47"/>
    </x:row>
    <x:row r="286">
      <x:c r="C286" s="9" t="str">
        <x:v>AU-A-52</x:v>
      </x:c>
      <x:c r="D286" s="9" t="str">
        <x:v>ASG-RT-B-CHL unique and source-empty</x:v>
      </x:c>
      <x:c r="E286" s="9" t="str">
        <x:f>IF(AND(COUNTIFS('Lane Assignments'!$C$7:$C$66,'Lane Assignments'!C58)=1,'Lane Assignments'!I58=0,'Lane Assignments'!J58=0,'Lane Assignments'!M58="NOT MOBILIZED"),"PASS","FAIL")</x:f>
        <x:v>PASS</x:v>
      </x:c>
      <x:c r="F286" s="9" t="str">
        <x:v>TERMINAL</x:v>
      </x:c>
      <x:c r="G286" s="47"/>
      <x:c r="H286" s="47"/>
      <x:c r="I286" s="47"/>
      <x:c r="J286" s="47"/>
      <x:c r="K286" s="47"/>
      <x:c r="L286" s="47"/>
      <x:c r="M286" s="47"/>
      <x:c r="N286" s="47"/>
      <x:c r="O286" s="47"/>
      <x:c r="P286" s="47"/>
      <x:c r="Q286" s="47"/>
      <x:c r="R286" s="47"/>
      <x:c r="S286" s="47"/>
      <x:c r="T286" s="47"/>
      <x:c r="U286" s="47"/>
      <x:c r="V286" s="47"/>
      <x:c r="W286" s="47"/>
      <x:c r="X286" s="47"/>
      <x:c r="Y286" s="47"/>
      <x:c r="Z286" s="47"/>
    </x:row>
    <x:row r="287">
      <x:c r="C287" s="9" t="str">
        <x:v>AU-A-53</x:v>
      </x:c>
      <x:c r="D287" s="9" t="str">
        <x:v>ASG-RT-B-CTL unique and source-empty</x:v>
      </x:c>
      <x:c r="E287" s="9" t="str">
        <x:f>IF(AND(COUNTIFS('Lane Assignments'!$C$7:$C$66,'Lane Assignments'!C59)=1,'Lane Assignments'!I59=0,'Lane Assignments'!J59=0,'Lane Assignments'!M59="NOT MOBILIZED"),"PASS","FAIL")</x:f>
        <x:v>PASS</x:v>
      </x:c>
      <x:c r="F287" s="9" t="str">
        <x:v>TERMINAL</x:v>
      </x:c>
      <x:c r="G287" s="47"/>
      <x:c r="H287" s="47"/>
      <x:c r="I287" s="47"/>
      <x:c r="J287" s="47"/>
      <x:c r="K287" s="47"/>
      <x:c r="L287" s="47"/>
      <x:c r="M287" s="47"/>
      <x:c r="N287" s="47"/>
      <x:c r="O287" s="47"/>
      <x:c r="P287" s="47"/>
      <x:c r="Q287" s="47"/>
      <x:c r="R287" s="47"/>
      <x:c r="S287" s="47"/>
      <x:c r="T287" s="47"/>
      <x:c r="U287" s="47"/>
      <x:c r="V287" s="47"/>
      <x:c r="W287" s="47"/>
      <x:c r="X287" s="47"/>
      <x:c r="Y287" s="47"/>
      <x:c r="Z287" s="47"/>
    </x:row>
    <x:row r="288">
      <x:c r="C288" s="9" t="str">
        <x:v>AU-A-54</x:v>
      </x:c>
      <x:c r="D288" s="9" t="str">
        <x:v>ASG-RT-B-REP unique and source-empty</x:v>
      </x:c>
      <x:c r="E288" s="9" t="str">
        <x:f>IF(AND(COUNTIFS('Lane Assignments'!$C$7:$C$66,'Lane Assignments'!C60)=1,'Lane Assignments'!I60=0,'Lane Assignments'!J60=0,'Lane Assignments'!M60="NOT MOBILIZED"),"PASS","FAIL")</x:f>
        <x:v>PASS</x:v>
      </x:c>
      <x:c r="F288" s="9" t="str">
        <x:v>TERMINAL</x:v>
      </x:c>
      <x:c r="G288" s="47"/>
      <x:c r="H288" s="47"/>
      <x:c r="I288" s="47"/>
      <x:c r="J288" s="47"/>
      <x:c r="K288" s="47"/>
      <x:c r="L288" s="47"/>
      <x:c r="M288" s="47"/>
      <x:c r="N288" s="47"/>
      <x:c r="O288" s="47"/>
      <x:c r="P288" s="47"/>
      <x:c r="Q288" s="47"/>
      <x:c r="R288" s="47"/>
      <x:c r="S288" s="47"/>
      <x:c r="T288" s="47"/>
      <x:c r="U288" s="47"/>
      <x:c r="V288" s="47"/>
      <x:c r="W288" s="47"/>
      <x:c r="X288" s="47"/>
      <x:c r="Y288" s="47"/>
      <x:c r="Z288" s="47"/>
    </x:row>
    <x:row r="289">
      <x:c r="C289" s="9" t="str">
        <x:v>AU-A-55</x:v>
      </x:c>
      <x:c r="D289" s="9" t="str">
        <x:v>ASG-RT-C-CHL unique and source-empty</x:v>
      </x:c>
      <x:c r="E289" s="9" t="str">
        <x:f>IF(AND(COUNTIFS('Lane Assignments'!$C$7:$C$66,'Lane Assignments'!C61)=1,'Lane Assignments'!I61=0,'Lane Assignments'!J61=0,'Lane Assignments'!M61="NOT MOBILIZED"),"PASS","FAIL")</x:f>
        <x:v>PASS</x:v>
      </x:c>
      <x:c r="F289" s="9" t="str">
        <x:v>TERMINAL</x:v>
      </x:c>
      <x:c r="G289" s="47"/>
      <x:c r="H289" s="47"/>
      <x:c r="I289" s="47"/>
      <x:c r="J289" s="47"/>
      <x:c r="K289" s="47"/>
      <x:c r="L289" s="47"/>
      <x:c r="M289" s="47"/>
      <x:c r="N289" s="47"/>
      <x:c r="O289" s="47"/>
      <x:c r="P289" s="47"/>
      <x:c r="Q289" s="47"/>
      <x:c r="R289" s="47"/>
      <x:c r="S289" s="47"/>
      <x:c r="T289" s="47"/>
      <x:c r="U289" s="47"/>
      <x:c r="V289" s="47"/>
      <x:c r="W289" s="47"/>
      <x:c r="X289" s="47"/>
      <x:c r="Y289" s="47"/>
      <x:c r="Z289" s="47"/>
    </x:row>
    <x:row r="290">
      <x:c r="C290" s="9" t="str">
        <x:v>AU-A-56</x:v>
      </x:c>
      <x:c r="D290" s="9" t="str">
        <x:v>ASG-RT-C-CTL unique and source-empty</x:v>
      </x:c>
      <x:c r="E290" s="9" t="str">
        <x:f>IF(AND(COUNTIFS('Lane Assignments'!$C$7:$C$66,'Lane Assignments'!C62)=1,'Lane Assignments'!I62=0,'Lane Assignments'!J62=0,'Lane Assignments'!M62="NOT MOBILIZED"),"PASS","FAIL")</x:f>
        <x:v>PASS</x:v>
      </x:c>
      <x:c r="F290" s="9" t="str">
        <x:v>TERMINAL</x:v>
      </x:c>
      <x:c r="G290" s="47"/>
      <x:c r="H290" s="47"/>
      <x:c r="I290" s="47"/>
      <x:c r="J290" s="47"/>
      <x:c r="K290" s="47"/>
      <x:c r="L290" s="47"/>
      <x:c r="M290" s="47"/>
      <x:c r="N290" s="47"/>
      <x:c r="O290" s="47"/>
      <x:c r="P290" s="47"/>
      <x:c r="Q290" s="47"/>
      <x:c r="R290" s="47"/>
      <x:c r="S290" s="47"/>
      <x:c r="T290" s="47"/>
      <x:c r="U290" s="47"/>
      <x:c r="V290" s="47"/>
      <x:c r="W290" s="47"/>
      <x:c r="X290" s="47"/>
      <x:c r="Y290" s="47"/>
      <x:c r="Z290" s="47"/>
    </x:row>
    <x:row r="291">
      <x:c r="C291" s="9" t="str">
        <x:v>AU-A-57</x:v>
      </x:c>
      <x:c r="D291" s="9" t="str">
        <x:v>ASG-RT-C-REP unique and source-empty</x:v>
      </x:c>
      <x:c r="E291" s="9" t="str">
        <x:f>IF(AND(COUNTIFS('Lane Assignments'!$C$7:$C$66,'Lane Assignments'!C63)=1,'Lane Assignments'!I63=0,'Lane Assignments'!J63=0,'Lane Assignments'!M63="NOT MOBILIZED"),"PASS","FAIL")</x:f>
        <x:v>PASS</x:v>
      </x:c>
      <x:c r="F291" s="9" t="str">
        <x:v>TERMINAL</x:v>
      </x:c>
      <x:c r="G291" s="47"/>
      <x:c r="H291" s="47"/>
      <x:c r="I291" s="47"/>
      <x:c r="J291" s="47"/>
      <x:c r="K291" s="47"/>
      <x:c r="L291" s="47"/>
      <x:c r="M291" s="47"/>
      <x:c r="N291" s="47"/>
      <x:c r="O291" s="47"/>
      <x:c r="P291" s="47"/>
      <x:c r="Q291" s="47"/>
      <x:c r="R291" s="47"/>
      <x:c r="S291" s="47"/>
      <x:c r="T291" s="47"/>
      <x:c r="U291" s="47"/>
      <x:c r="V291" s="47"/>
      <x:c r="W291" s="47"/>
      <x:c r="X291" s="47"/>
      <x:c r="Y291" s="47"/>
      <x:c r="Z291" s="47"/>
    </x:row>
    <x:row r="292">
      <x:c r="C292" s="9" t="str">
        <x:v>AU-A-58</x:v>
      </x:c>
      <x:c r="D292" s="9" t="str">
        <x:v>ASG-RT-D-CHL unique and source-empty</x:v>
      </x:c>
      <x:c r="E292" s="9" t="str">
        <x:f>IF(AND(COUNTIFS('Lane Assignments'!$C$7:$C$66,'Lane Assignments'!C64)=1,'Lane Assignments'!I64=0,'Lane Assignments'!J64=0,'Lane Assignments'!M64="NOT MOBILIZED"),"PASS","FAIL")</x:f>
        <x:v>PASS</x:v>
      </x:c>
      <x:c r="F292" s="9" t="str">
        <x:v>TERMINAL</x:v>
      </x:c>
      <x:c r="G292" s="47"/>
      <x:c r="H292" s="47"/>
      <x:c r="I292" s="47"/>
      <x:c r="J292" s="47"/>
      <x:c r="K292" s="47"/>
      <x:c r="L292" s="47"/>
      <x:c r="M292" s="47"/>
      <x:c r="N292" s="47"/>
      <x:c r="O292" s="47"/>
      <x:c r="P292" s="47"/>
      <x:c r="Q292" s="47"/>
      <x:c r="R292" s="47"/>
      <x:c r="S292" s="47"/>
      <x:c r="T292" s="47"/>
      <x:c r="U292" s="47"/>
      <x:c r="V292" s="47"/>
      <x:c r="W292" s="47"/>
      <x:c r="X292" s="47"/>
      <x:c r="Y292" s="47"/>
      <x:c r="Z292" s="47"/>
    </x:row>
    <x:row r="293">
      <x:c r="C293" s="9" t="str">
        <x:v>AU-A-59</x:v>
      </x:c>
      <x:c r="D293" s="9" t="str">
        <x:v>ASG-RT-D-CTL unique and source-empty</x:v>
      </x:c>
      <x:c r="E293" s="9" t="str">
        <x:f>IF(AND(COUNTIFS('Lane Assignments'!$C$7:$C$66,'Lane Assignments'!C65)=1,'Lane Assignments'!I65=0,'Lane Assignments'!J65=0,'Lane Assignments'!M65="NOT MOBILIZED"),"PASS","FAIL")</x:f>
        <x:v>PASS</x:v>
      </x:c>
      <x:c r="F293" s="9" t="str">
        <x:v>TERMINAL</x:v>
      </x:c>
      <x:c r="G293" s="47"/>
      <x:c r="H293" s="47"/>
      <x:c r="I293" s="47"/>
      <x:c r="J293" s="47"/>
      <x:c r="K293" s="47"/>
      <x:c r="L293" s="47"/>
      <x:c r="M293" s="47"/>
      <x:c r="N293" s="47"/>
      <x:c r="O293" s="47"/>
      <x:c r="P293" s="47"/>
      <x:c r="Q293" s="47"/>
      <x:c r="R293" s="47"/>
      <x:c r="S293" s="47"/>
      <x:c r="T293" s="47"/>
      <x:c r="U293" s="47"/>
      <x:c r="V293" s="47"/>
      <x:c r="W293" s="47"/>
      <x:c r="X293" s="47"/>
      <x:c r="Y293" s="47"/>
      <x:c r="Z293" s="47"/>
    </x:row>
    <x:row r="294">
      <x:c r="C294" s="9" t="str">
        <x:v>AU-A-60</x:v>
      </x:c>
      <x:c r="D294" s="9" t="str">
        <x:v>ASG-RT-D-REP unique and source-empty</x:v>
      </x:c>
      <x:c r="E294" s="9" t="str">
        <x:f>IF(AND(COUNTIFS('Lane Assignments'!$C$7:$C$66,'Lane Assignments'!C66)=1,'Lane Assignments'!I66=0,'Lane Assignments'!J66=0,'Lane Assignments'!M66="NOT MOBILIZED"),"PASS","FAIL")</x:f>
        <x:v>PASS</x:v>
      </x:c>
      <x:c r="F294" s="9" t="str">
        <x:v>TERMINAL</x:v>
      </x:c>
      <x:c r="G294" s="47"/>
      <x:c r="H294" s="47"/>
      <x:c r="I294" s="47"/>
      <x:c r="J294" s="47"/>
      <x:c r="K294" s="47"/>
      <x:c r="L294" s="47"/>
      <x:c r="M294" s="47"/>
      <x:c r="N294" s="47"/>
      <x:c r="O294" s="47"/>
      <x:c r="P294" s="47"/>
      <x:c r="Q294" s="47"/>
      <x:c r="R294" s="47"/>
      <x:c r="S294" s="47"/>
      <x:c r="T294" s="47"/>
      <x:c r="U294" s="47"/>
      <x:c r="V294" s="47"/>
      <x:c r="W294" s="47"/>
      <x:c r="X294" s="47"/>
      <x:c r="Y294" s="47"/>
      <x:c r="Z294" s="47"/>
    </x:row>
    <x:row r="295">
      <x:c r="C295" s="9" t="str">
        <x:v>AU-B-1-01</x:v>
      </x:c>
      <x:c r="D295" s="9" t="str">
        <x:v>MS-ET root quorum</x:v>
      </x:c>
      <x:c r="E295" s="9" t="str">
        <x:f>IF('System Barriers'!E7=4,"PASS","FAIL")</x:f>
        <x:v>PASS</x:v>
      </x:c>
      <x:c r="F295" s="9" t="str">
        <x:v>TERMINAL</x:v>
      </x:c>
      <x:c r="G295" s="47"/>
      <x:c r="H295" s="47"/>
      <x:c r="I295" s="47"/>
      <x:c r="J295" s="47"/>
      <x:c r="K295" s="47"/>
      <x:c r="L295" s="47"/>
      <x:c r="M295" s="47"/>
      <x:c r="N295" s="47"/>
      <x:c r="O295" s="47"/>
      <x:c r="P295" s="47"/>
      <x:c r="Q295" s="47"/>
      <x:c r="R295" s="47"/>
      <x:c r="S295" s="47"/>
      <x:c r="T295" s="47"/>
      <x:c r="U295" s="47"/>
      <x:c r="V295" s="47"/>
      <x:c r="W295" s="47"/>
      <x:c r="X295" s="47"/>
      <x:c r="Y295" s="47"/>
      <x:c r="Z295" s="47"/>
    </x:row>
    <x:row r="296">
      <x:c r="C296" s="9" t="str">
        <x:v>AU-B-1-02</x:v>
      </x:c>
      <x:c r="D296" s="9" t="str">
        <x:v>MS-ET blocked</x:v>
      </x:c>
      <x:c r="E296" s="9" t="str">
        <x:f>IF(AND('System Barriers'!J7="BLOCKED",'System Barriers'!K7=0),"PASS","FAIL")</x:f>
        <x:v>PASS</x:v>
      </x:c>
      <x:c r="F296" s="9" t="str">
        <x:v>TERMINAL</x:v>
      </x:c>
      <x:c r="G296" s="47"/>
      <x:c r="H296" s="47"/>
      <x:c r="I296" s="47"/>
      <x:c r="J296" s="47"/>
      <x:c r="K296" s="47"/>
      <x:c r="L296" s="47"/>
      <x:c r="M296" s="47"/>
      <x:c r="N296" s="47"/>
      <x:c r="O296" s="47"/>
      <x:c r="P296" s="47"/>
      <x:c r="Q296" s="47"/>
      <x:c r="R296" s="47"/>
      <x:c r="S296" s="47"/>
      <x:c r="T296" s="47"/>
      <x:c r="U296" s="47"/>
      <x:c r="V296" s="47"/>
      <x:c r="W296" s="47"/>
      <x:c r="X296" s="47"/>
      <x:c r="Y296" s="47"/>
      <x:c r="Z296" s="47"/>
    </x:row>
    <x:row r="297">
      <x:c r="C297" s="9" t="str">
        <x:v>AU-B-2-01</x:v>
      </x:c>
      <x:c r="D297" s="9" t="str">
        <x:v>MS-CT root quorum</x:v>
      </x:c>
      <x:c r="E297" s="9" t="str">
        <x:f>IF('System Barriers'!E8=4,"PASS","FAIL")</x:f>
        <x:v>PASS</x:v>
      </x:c>
      <x:c r="F297" s="9" t="str">
        <x:v>TERMINAL</x:v>
      </x:c>
      <x:c r="G297" s="47"/>
      <x:c r="H297" s="47"/>
      <x:c r="I297" s="47"/>
      <x:c r="J297" s="47"/>
      <x:c r="K297" s="47"/>
      <x:c r="L297" s="47"/>
      <x:c r="M297" s="47"/>
      <x:c r="N297" s="47"/>
      <x:c r="O297" s="47"/>
      <x:c r="P297" s="47"/>
      <x:c r="Q297" s="47"/>
      <x:c r="R297" s="47"/>
      <x:c r="S297" s="47"/>
      <x:c r="T297" s="47"/>
      <x:c r="U297" s="47"/>
      <x:c r="V297" s="47"/>
      <x:c r="W297" s="47"/>
      <x:c r="X297" s="47"/>
      <x:c r="Y297" s="47"/>
      <x:c r="Z297" s="47"/>
    </x:row>
    <x:row r="298">
      <x:c r="C298" s="9" t="str">
        <x:v>AU-B-2-02</x:v>
      </x:c>
      <x:c r="D298" s="9" t="str">
        <x:v>MS-CT blocked</x:v>
      </x:c>
      <x:c r="E298" s="9" t="str">
        <x:f>IF(AND('System Barriers'!J8="BLOCKED",'System Barriers'!K8=0),"PASS","FAIL")</x:f>
        <x:v>PASS</x:v>
      </x:c>
      <x:c r="F298" s="9" t="str">
        <x:v>TERMINAL</x:v>
      </x:c>
      <x:c r="G298" s="47"/>
      <x:c r="H298" s="47"/>
      <x:c r="I298" s="47"/>
      <x:c r="J298" s="47"/>
      <x:c r="K298" s="47"/>
      <x:c r="L298" s="47"/>
      <x:c r="M298" s="47"/>
      <x:c r="N298" s="47"/>
      <x:c r="O298" s="47"/>
      <x:c r="P298" s="47"/>
      <x:c r="Q298" s="47"/>
      <x:c r="R298" s="47"/>
      <x:c r="S298" s="47"/>
      <x:c r="T298" s="47"/>
      <x:c r="U298" s="47"/>
      <x:c r="V298" s="47"/>
      <x:c r="W298" s="47"/>
      <x:c r="X298" s="47"/>
      <x:c r="Y298" s="47"/>
      <x:c r="Z298" s="47"/>
    </x:row>
    <x:row r="299">
      <x:c r="C299" s="9" t="str">
        <x:v>AU-B-3-01</x:v>
      </x:c>
      <x:c r="D299" s="9" t="str">
        <x:v>MS-HC root quorum</x:v>
      </x:c>
      <x:c r="E299" s="9" t="str">
        <x:f>IF('System Barriers'!E9=4,"PASS","FAIL")</x:f>
        <x:v>PASS</x:v>
      </x:c>
      <x:c r="F299" s="9" t="str">
        <x:v>TERMINAL</x:v>
      </x:c>
      <x:c r="G299" s="47"/>
      <x:c r="H299" s="47"/>
      <x:c r="I299" s="47"/>
      <x:c r="J299" s="47"/>
      <x:c r="K299" s="47"/>
      <x:c r="L299" s="47"/>
      <x:c r="M299" s="47"/>
      <x:c r="N299" s="47"/>
      <x:c r="O299" s="47"/>
      <x:c r="P299" s="47"/>
      <x:c r="Q299" s="47"/>
      <x:c r="R299" s="47"/>
      <x:c r="S299" s="47"/>
      <x:c r="T299" s="47"/>
      <x:c r="U299" s="47"/>
      <x:c r="V299" s="47"/>
      <x:c r="W299" s="47"/>
      <x:c r="X299" s="47"/>
      <x:c r="Y299" s="47"/>
      <x:c r="Z299" s="47"/>
    </x:row>
    <x:row r="300">
      <x:c r="C300" s="9" t="str">
        <x:v>AU-B-3-02</x:v>
      </x:c>
      <x:c r="D300" s="9" t="str">
        <x:v>MS-HC blocked</x:v>
      </x:c>
      <x:c r="E300" s="9" t="str">
        <x:f>IF(AND('System Barriers'!J9="BLOCKED",'System Barriers'!K9=0),"PASS","FAIL")</x:f>
        <x:v>PASS</x:v>
      </x:c>
      <x:c r="F300" s="9" t="str">
        <x:v>TERMINAL</x:v>
      </x:c>
      <x:c r="G300" s="47"/>
      <x:c r="H300" s="47"/>
      <x:c r="I300" s="47"/>
      <x:c r="J300" s="47"/>
      <x:c r="K300" s="47"/>
      <x:c r="L300" s="47"/>
      <x:c r="M300" s="47"/>
      <x:c r="N300" s="47"/>
      <x:c r="O300" s="47"/>
      <x:c r="P300" s="47"/>
      <x:c r="Q300" s="47"/>
      <x:c r="R300" s="47"/>
      <x:c r="S300" s="47"/>
      <x:c r="T300" s="47"/>
      <x:c r="U300" s="47"/>
      <x:c r="V300" s="47"/>
      <x:c r="W300" s="47"/>
      <x:c r="X300" s="47"/>
      <x:c r="Y300" s="47"/>
      <x:c r="Z300" s="47"/>
    </x:row>
    <x:row r="301">
      <x:c r="C301" s="9" t="str">
        <x:v>AU-B-4-01</x:v>
      </x:c>
      <x:c r="D301" s="9" t="str">
        <x:v>MS-HU root quorum</x:v>
      </x:c>
      <x:c r="E301" s="9" t="str">
        <x:f>IF('System Barriers'!E10=4,"PASS","FAIL")</x:f>
        <x:v>PASS</x:v>
      </x:c>
      <x:c r="F301" s="9" t="str">
        <x:v>TERMINAL</x:v>
      </x:c>
      <x:c r="G301" s="47"/>
      <x:c r="H301" s="47"/>
      <x:c r="I301" s="47"/>
      <x:c r="J301" s="47"/>
      <x:c r="K301" s="47"/>
      <x:c r="L301" s="47"/>
      <x:c r="M301" s="47"/>
      <x:c r="N301" s="47"/>
      <x:c r="O301" s="47"/>
      <x:c r="P301" s="47"/>
      <x:c r="Q301" s="47"/>
      <x:c r="R301" s="47"/>
      <x:c r="S301" s="47"/>
      <x:c r="T301" s="47"/>
      <x:c r="U301" s="47"/>
      <x:c r="V301" s="47"/>
      <x:c r="W301" s="47"/>
      <x:c r="X301" s="47"/>
      <x:c r="Y301" s="47"/>
      <x:c r="Z301" s="47"/>
    </x:row>
    <x:row r="302">
      <x:c r="C302" s="9" t="str">
        <x:v>AU-B-4-02</x:v>
      </x:c>
      <x:c r="D302" s="9" t="str">
        <x:v>MS-HU blocked</x:v>
      </x:c>
      <x:c r="E302" s="9" t="str">
        <x:f>IF(AND('System Barriers'!J10="BLOCKED",'System Barriers'!K10=0),"PASS","FAIL")</x:f>
        <x:v>PASS</x:v>
      </x:c>
      <x:c r="F302" s="9" t="str">
        <x:v>TERMINAL</x:v>
      </x:c>
      <x:c r="G302" s="47"/>
      <x:c r="H302" s="47"/>
      <x:c r="I302" s="47"/>
      <x:c r="J302" s="47"/>
      <x:c r="K302" s="47"/>
      <x:c r="L302" s="47"/>
      <x:c r="M302" s="47"/>
      <x:c r="N302" s="47"/>
      <x:c r="O302" s="47"/>
      <x:c r="P302" s="47"/>
      <x:c r="Q302" s="47"/>
      <x:c r="R302" s="47"/>
      <x:c r="S302" s="47"/>
      <x:c r="T302" s="47"/>
      <x:c r="U302" s="47"/>
      <x:c r="V302" s="47"/>
      <x:c r="W302" s="47"/>
      <x:c r="X302" s="47"/>
      <x:c r="Y302" s="47"/>
      <x:c r="Z302" s="47"/>
    </x:row>
    <x:row r="303">
      <x:c r="C303" s="9" t="str">
        <x:v>AU-B-5-01</x:v>
      </x:c>
      <x:c r="D303" s="9" t="str">
        <x:v>MS-RT root quorum</x:v>
      </x:c>
      <x:c r="E303" s="9" t="str">
        <x:f>IF('System Barriers'!E11=4,"PASS","FAIL")</x:f>
        <x:v>PASS</x:v>
      </x:c>
      <x:c r="F303" s="9" t="str">
        <x:v>TERMINAL</x:v>
      </x:c>
      <x:c r="G303" s="47"/>
      <x:c r="H303" s="47"/>
      <x:c r="I303" s="47"/>
      <x:c r="J303" s="47"/>
      <x:c r="K303" s="47"/>
      <x:c r="L303" s="47"/>
      <x:c r="M303" s="47"/>
      <x:c r="N303" s="47"/>
      <x:c r="O303" s="47"/>
      <x:c r="P303" s="47"/>
      <x:c r="Q303" s="47"/>
      <x:c r="R303" s="47"/>
      <x:c r="S303" s="47"/>
      <x:c r="T303" s="47"/>
      <x:c r="U303" s="47"/>
      <x:c r="V303" s="47"/>
      <x:c r="W303" s="47"/>
      <x:c r="X303" s="47"/>
      <x:c r="Y303" s="47"/>
      <x:c r="Z303" s="47"/>
    </x:row>
    <x:row r="304">
      <x:c r="C304" s="9" t="str">
        <x:v>AU-B-5-02</x:v>
      </x:c>
      <x:c r="D304" s="9" t="str">
        <x:v>MS-RT blocked</x:v>
      </x:c>
      <x:c r="E304" s="9" t="str">
        <x:f>IF(AND('System Barriers'!J11="BLOCKED",'System Barriers'!K11=0),"PASS","FAIL")</x:f>
        <x:v>PASS</x:v>
      </x:c>
      <x:c r="F304" s="9" t="str">
        <x:v>TERMINAL</x:v>
      </x:c>
      <x:c r="G304" s="47"/>
      <x:c r="H304" s="47"/>
      <x:c r="I304" s="47"/>
      <x:c r="J304" s="47"/>
      <x:c r="K304" s="47"/>
      <x:c r="L304" s="47"/>
      <x:c r="M304" s="47"/>
      <x:c r="N304" s="47"/>
      <x:c r="O304" s="47"/>
      <x:c r="P304" s="47"/>
      <x:c r="Q304" s="47"/>
      <x:c r="R304" s="47"/>
      <x:c r="S304" s="47"/>
      <x:c r="T304" s="47"/>
      <x:c r="U304" s="47"/>
      <x:c r="V304" s="47"/>
      <x:c r="W304" s="47"/>
      <x:c r="X304" s="47"/>
      <x:c r="Y304" s="47"/>
      <x:c r="Z304" s="47"/>
    </x:row>
    <x:row r="305">
      <x:c r="C305" s="9" t="str">
        <x:v>AU-B-6-01</x:v>
      </x:c>
      <x:c r="D305" s="9" t="str">
        <x:v>MS-LF root quorum</x:v>
      </x:c>
      <x:c r="E305" s="9" t="str">
        <x:f>IF('System Barriers'!E12=4,"PASS","FAIL")</x:f>
        <x:v>PASS</x:v>
      </x:c>
      <x:c r="F305" s="9" t="str">
        <x:v>TERMINAL</x:v>
      </x:c>
      <x:c r="G305" s="47"/>
      <x:c r="H305" s="47"/>
      <x:c r="I305" s="47"/>
      <x:c r="J305" s="47"/>
      <x:c r="K305" s="47"/>
      <x:c r="L305" s="47"/>
      <x:c r="M305" s="47"/>
      <x:c r="N305" s="47"/>
      <x:c r="O305" s="47"/>
      <x:c r="P305" s="47"/>
      <x:c r="Q305" s="47"/>
      <x:c r="R305" s="47"/>
      <x:c r="S305" s="47"/>
      <x:c r="T305" s="47"/>
      <x:c r="U305" s="47"/>
      <x:c r="V305" s="47"/>
      <x:c r="W305" s="47"/>
      <x:c r="X305" s="47"/>
      <x:c r="Y305" s="47"/>
      <x:c r="Z305" s="47"/>
    </x:row>
    <x:row r="306">
      <x:c r="C306" s="10" t="str">
        <x:v>AU-B-6-02</x:v>
      </x:c>
      <x:c r="D306" s="10" t="str">
        <x:v>MS-LF blocked</x:v>
      </x:c>
      <x:c r="E306" s="10" t="str">
        <x:f>IF(AND('System Barriers'!J12="BLOCKED",'System Barriers'!K12=0),"PASS","FAIL")</x:f>
        <x:v>PASS</x:v>
      </x:c>
      <x:c r="F306" s="10" t="str">
        <x:v>TERMINAL</x:v>
      </x:c>
      <x:c r="G306" s="47"/>
      <x:c r="H306" s="47"/>
      <x:c r="I306" s="47"/>
      <x:c r="J306" s="47"/>
      <x:c r="K306" s="47"/>
      <x:c r="L306" s="47"/>
      <x:c r="M306" s="47"/>
      <x:c r="N306" s="47"/>
      <x:c r="O306" s="47"/>
      <x:c r="P306" s="47"/>
      <x:c r="Q306" s="47"/>
      <x:c r="R306" s="47"/>
      <x:c r="S306" s="47"/>
      <x:c r="T306" s="47"/>
      <x:c r="U306" s="47"/>
      <x:c r="V306" s="47"/>
      <x:c r="W306" s="47"/>
      <x:c r="X306" s="47"/>
      <x:c r="Y306" s="47"/>
      <x:c r="Z306" s="47"/>
    </x:row>
    <x:row r="307">
      <x:c r="C307" s="9"/>
      <x:c r="D307" s="9"/>
      <x:c r="E307" s="9"/>
      <x:c r="F307" s="9"/>
      <x:c r="G307" s="47"/>
      <x:c r="H307" s="47"/>
      <x:c r="I307" s="47"/>
      <x:c r="J307" s="47"/>
      <x:c r="K307" s="47"/>
      <x:c r="L307" s="47"/>
      <x:c r="M307" s="47"/>
      <x:c r="N307" s="47"/>
      <x:c r="O307" s="47"/>
      <x:c r="P307" s="47"/>
      <x:c r="Q307" s="47"/>
      <x:c r="R307" s="47"/>
      <x:c r="S307" s="47"/>
      <x:c r="T307" s="47"/>
      <x:c r="U307" s="47"/>
      <x:c r="V307" s="47"/>
      <x:c r="W307" s="47"/>
      <x:c r="X307" s="47"/>
      <x:c r="Y307" s="47"/>
      <x:c r="Z307" s="47"/>
    </x:row>
    <x:row r="308">
      <x:c r="C308" s="9"/>
      <x:c r="D308" s="9"/>
      <x:c r="E308" s="9"/>
      <x:c r="F308" s="9"/>
      <x:c r="G308" s="47"/>
      <x:c r="H308" s="47"/>
      <x:c r="I308" s="47"/>
      <x:c r="J308" s="47"/>
      <x:c r="K308" s="47"/>
      <x:c r="L308" s="47"/>
      <x:c r="M308" s="47"/>
      <x:c r="N308" s="47"/>
      <x:c r="O308" s="47"/>
      <x:c r="P308" s="47"/>
      <x:c r="Q308" s="47"/>
      <x:c r="R308" s="47"/>
      <x:c r="S308" s="47"/>
      <x:c r="T308" s="47"/>
      <x:c r="U308" s="47"/>
      <x:c r="V308" s="47"/>
      <x:c r="W308" s="47"/>
      <x:c r="X308" s="47"/>
      <x:c r="Y308" s="47"/>
      <x:c r="Z308" s="47"/>
    </x:row>
    <x:row r="309">
      <x:c r="C309" s="9"/>
      <x:c r="D309" s="9"/>
      <x:c r="E309" s="9"/>
      <x:c r="F309" s="9"/>
      <x:c r="G309" s="47"/>
      <x:c r="H309" s="47"/>
      <x:c r="I309" s="47"/>
      <x:c r="J309" s="47"/>
      <x:c r="K309" s="47"/>
      <x:c r="L309" s="47"/>
      <x:c r="M309" s="47"/>
      <x:c r="N309" s="47"/>
      <x:c r="O309" s="47"/>
      <x:c r="P309" s="47"/>
      <x:c r="Q309" s="47"/>
      <x:c r="R309" s="47"/>
      <x:c r="S309" s="47"/>
      <x:c r="T309" s="47"/>
      <x:c r="U309" s="47"/>
      <x:c r="V309" s="47"/>
      <x:c r="W309" s="47"/>
      <x:c r="X309" s="47"/>
      <x:c r="Y309" s="47"/>
      <x:c r="Z309" s="47"/>
    </x:row>
    <x:row r="310">
      <x:c r="C310" s="9"/>
      <x:c r="D310" s="9"/>
      <x:c r="E310" s="9"/>
      <x:c r="F310" s="9"/>
      <x:c r="G310" s="47"/>
      <x:c r="H310" s="47"/>
      <x:c r="I310" s="47"/>
      <x:c r="J310" s="47"/>
      <x:c r="K310" s="47"/>
      <x:c r="L310" s="47"/>
      <x:c r="M310" s="47"/>
      <x:c r="N310" s="47"/>
      <x:c r="O310" s="47"/>
      <x:c r="P310" s="47"/>
      <x:c r="Q310" s="47"/>
      <x:c r="R310" s="47"/>
      <x:c r="S310" s="47"/>
      <x:c r="T310" s="47"/>
      <x:c r="U310" s="47"/>
      <x:c r="V310" s="47"/>
      <x:c r="W310" s="47"/>
      <x:c r="X310" s="47"/>
      <x:c r="Y310" s="47"/>
      <x:c r="Z310" s="47"/>
    </x:row>
  </x:sheetData>
  <x:conditionalFormatting sqref="E7:E306">
    <x:cfRule type="containsText" dxfId="40" priority="1" operator="containsText" text="BLOCKED"/>
    <x:cfRule type="containsText" dxfId="41" priority="2" operator="containsText" text="NOT MOBILIZED"/>
    <x:cfRule type="containsText" dxfId="42" priority="3" operator="containsText" text="READY"/>
    <x:cfRule type="containsText" dxfId="43" priority="4" operator="containsText" text="FAIL"/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3" max="3" width="14" hidden="0" customWidth="1"/>
    <x:col min="4" max="4" width="48" hidden="0" customWidth="1"/>
    <x:col min="5" max="5" width="12" hidden="0" customWidth="1"/>
    <x:col min="6" max="6" width="58" hidden="0" customWidth="1"/>
    <x:col min="7" max="7" width="58" hidden="0" customWidth="1"/>
    <x:col min="8" max="8" width="3" hidden="0" customWidth="1"/>
  </x:cols>
  <x:sheetData>
    <x:row r="1">
      <x:c r="C1" s="9"/>
      <x:c r="D1" s="9"/>
      <x:c r="E1" s="9"/>
      <x:c r="F1" s="9"/>
      <x:c r="G1" s="9"/>
      <x:c r="H1" s="9"/>
      <x:c r="I1" s="47"/>
      <x:c r="J1" s="47"/>
      <x:c r="K1" s="47"/>
      <x:c r="L1" s="47"/>
      <x:c r="M1" s="47"/>
      <x:c r="N1" s="47"/>
      <x:c r="O1" s="47"/>
      <x:c r="P1" s="47"/>
      <x:c r="Q1" s="47"/>
      <x:c r="R1" s="47"/>
      <x:c r="S1" s="47"/>
      <x:c r="T1" s="47"/>
      <x:c r="U1" s="47"/>
      <x:c r="V1" s="47"/>
      <x:c r="W1" s="47"/>
      <x:c r="X1" s="47"/>
      <x:c r="Y1" s="47"/>
      <x:c r="Z1" s="47"/>
    </x:row>
    <x:row r="2">
      <x:c r="C2" s="48" t="str">
        <x:v>Internal source register</x:v>
      </x:c>
      <x:c r="D2" s="9"/>
      <x:c r="E2" s="9"/>
      <x:c r="F2" s="9"/>
      <x:c r="G2" s="9"/>
      <x:c r="H2" s="9"/>
      <x:c r="I2" s="47"/>
      <x:c r="J2" s="47"/>
      <x:c r="K2" s="47"/>
      <x:c r="L2" s="47"/>
      <x:c r="M2" s="47"/>
      <x:c r="N2" s="47"/>
      <x:c r="O2" s="47"/>
      <x:c r="P2" s="47"/>
      <x:c r="Q2" s="47"/>
      <x:c r="R2" s="47"/>
      <x:c r="S2" s="47"/>
      <x:c r="T2" s="47"/>
      <x:c r="U2" s="47"/>
      <x:c r="V2" s="47"/>
      <x:c r="W2" s="47"/>
      <x:c r="X2" s="47"/>
      <x:c r="Y2" s="47"/>
      <x:c r="Z2" s="47"/>
    </x:row>
    <x:row r="3">
      <x:c r="C3" s="49" t="str">
        <x:v>No external-site research is introduced. Paths are repository-relative access notes.</x:v>
      </x:c>
      <x:c r="D3" s="9"/>
      <x:c r="E3" s="9"/>
      <x:c r="F3" s="9"/>
      <x:c r="G3" s="9"/>
      <x:c r="H3" s="9"/>
      <x:c r="I3" s="47"/>
      <x:c r="J3" s="47"/>
      <x:c r="K3" s="47"/>
      <x:c r="L3" s="47"/>
      <x:c r="M3" s="47"/>
      <x:c r="N3" s="47"/>
      <x:c r="O3" s="47"/>
      <x:c r="P3" s="47"/>
      <x:c r="Q3" s="47"/>
      <x:c r="R3" s="47"/>
      <x:c r="S3" s="47"/>
      <x:c r="T3" s="47"/>
      <x:c r="U3" s="47"/>
      <x:c r="V3" s="47"/>
      <x:c r="W3" s="47"/>
      <x:c r="X3" s="47"/>
      <x:c r="Y3" s="47"/>
      <x:c r="Z3" s="47"/>
    </x:row>
    <x:row r="4">
      <x:c r="C4" s="50"/>
      <x:c r="D4" s="50"/>
      <x:c r="E4" s="50"/>
      <x:c r="F4" s="50"/>
      <x:c r="G4" s="50"/>
      <x:c r="H4" s="50"/>
      <x:c r="I4" s="51"/>
      <x:c r="J4" s="51"/>
      <x:c r="K4" s="51"/>
      <x:c r="L4" s="51"/>
      <x:c r="M4" s="51"/>
      <x:c r="N4" s="51"/>
      <x:c r="O4" s="51"/>
      <x:c r="P4" s="51"/>
      <x:c r="Q4" s="51"/>
      <x:c r="R4" s="51"/>
      <x:c r="S4" s="51"/>
      <x:c r="T4" s="51"/>
      <x:c r="U4" s="51"/>
      <x:c r="V4" s="51"/>
      <x:c r="W4" s="51"/>
      <x:c r="X4" s="51"/>
      <x:c r="Y4" s="51"/>
      <x:c r="Z4" s="51"/>
    </x:row>
    <x:row r="5">
      <x:c r="C5" s="9"/>
      <x:c r="D5" s="9"/>
      <x:c r="E5" s="9"/>
      <x:c r="F5" s="9"/>
      <x:c r="G5" s="9"/>
      <x:c r="H5" s="9"/>
      <x:c r="I5" s="47"/>
      <x:c r="J5" s="47"/>
      <x:c r="K5" s="47"/>
      <x:c r="L5" s="47"/>
      <x:c r="M5" s="47"/>
      <x:c r="N5" s="47"/>
      <x:c r="O5" s="47"/>
      <x:c r="P5" s="47"/>
      <x:c r="Q5" s="47"/>
      <x:c r="R5" s="47"/>
      <x:c r="S5" s="47"/>
      <x:c r="T5" s="47"/>
      <x:c r="U5" s="47"/>
      <x:c r="V5" s="47"/>
      <x:c r="W5" s="47"/>
      <x:c r="X5" s="47"/>
      <x:c r="Y5" s="47"/>
      <x:c r="Z5" s="47"/>
    </x:row>
    <x:row r="6" ht="28" customHeight="1">
      <x:c r="C6" s="26" t="str">
        <x:v>Source</x:v>
      </x:c>
      <x:c r="D6" s="32" t="str">
        <x:v>Title</x:v>
      </x:c>
      <x:c r="E6" s="32" t="str">
        <x:v>Pass</x:v>
      </x:c>
      <x:c r="F6" s="32" t="str">
        <x:v>Access note</x:v>
      </x:c>
      <x:c r="G6" s="27" t="str">
        <x:v>Claims used</x:v>
      </x:c>
      <x:c r="H6" s="9"/>
      <x:c r="I6" s="47"/>
      <x:c r="J6" s="47"/>
      <x:c r="K6" s="47"/>
      <x:c r="L6" s="47"/>
      <x:c r="M6" s="47"/>
      <x:c r="N6" s="47"/>
      <x:c r="O6" s="47"/>
      <x:c r="P6" s="47"/>
      <x:c r="Q6" s="47"/>
      <x:c r="R6" s="47"/>
      <x:c r="S6" s="47"/>
      <x:c r="T6" s="47"/>
      <x:c r="U6" s="47"/>
      <x:c r="V6" s="47"/>
      <x:c r="W6" s="47"/>
      <x:c r="X6" s="47"/>
      <x:c r="Y6" s="47"/>
      <x:c r="Z6" s="47"/>
    </x:row>
    <x:row r="7" ht="46" customHeight="1">
      <x:c r="C7" s="9" t="str">
        <x:v>SRC-01</x:v>
      </x:c>
      <x:c r="D7" s="13" t="str">
        <x:v>Six-system G3 proof-unit and evidence-estate constitution</x:v>
      </x:c>
      <x:c r="E7" s="13" t="n">
        <x:v>180</x:v>
      </x:c>
      <x:c r="F7" s="13" t="str">
        <x:v>research/force/generation/department-of-resilience-six-system-g3-proof-unit-and-evidence-estate-constitution.md</x:v>
      </x:c>
      <x:c r="G7" s="13" t="str">
        <x:v>Six native proof units, 24-root coupling and 1,268-unit non-lifeline estate</x:v>
      </x:c>
      <x:c r="H7" s="9"/>
      <x:c r="I7" s="47"/>
      <x:c r="J7" s="47"/>
      <x:c r="K7" s="47"/>
      <x:c r="L7" s="47"/>
      <x:c r="M7" s="47"/>
      <x:c r="N7" s="47"/>
      <x:c r="O7" s="47"/>
      <x:c r="P7" s="47"/>
      <x:c r="Q7" s="47"/>
      <x:c r="R7" s="47"/>
      <x:c r="S7" s="47"/>
      <x:c r="T7" s="47"/>
      <x:c r="U7" s="47"/>
      <x:c r="V7" s="47"/>
      <x:c r="W7" s="47"/>
      <x:c r="X7" s="47"/>
      <x:c r="Y7" s="47"/>
      <x:c r="Z7" s="47"/>
    </x:row>
    <x:row r="8" ht="46" customHeight="1">
      <x:c r="C8" s="9" t="str">
        <x:v>SRC-02</x:v>
      </x:c>
      <x:c r="D8" s="13" t="str">
        <x:v>Twenty non-lifeline root controlled-configuration constitution</x:v>
      </x:c>
      <x:c r="E8" s="13" t="n">
        <x:v>181</x:v>
      </x:c>
      <x:c r="F8" s="13" t="str">
        <x:v>research/force/generation/department-of-resilience-twenty-non-lifeline-root-controlled-configuration-constitution.md</x:v>
      </x:c>
      <x:c r="G8" s="13" t="str">
        <x:v>Twenty controlled roots and four-root system cohorts</x:v>
      </x:c>
      <x:c r="H8" s="9"/>
      <x:c r="I8" s="47"/>
      <x:c r="J8" s="47"/>
      <x:c r="K8" s="47"/>
      <x:c r="L8" s="47"/>
      <x:c r="M8" s="47"/>
      <x:c r="N8" s="47"/>
      <x:c r="O8" s="47"/>
      <x:c r="P8" s="47"/>
      <x:c r="Q8" s="47"/>
      <x:c r="R8" s="47"/>
      <x:c r="S8" s="47"/>
      <x:c r="T8" s="47"/>
      <x:c r="U8" s="47"/>
      <x:c r="V8" s="47"/>
      <x:c r="W8" s="47"/>
      <x:c r="X8" s="47"/>
      <x:c r="Y8" s="47"/>
      <x:c r="Z8" s="47"/>
    </x:row>
    <x:row r="9" ht="46" customHeight="1">
      <x:c r="C9" s="9" t="str">
        <x:v>SRC-03</x:v>
      </x:c>
      <x:c r="D9" s="13" t="str">
        <x:v>Twenty-root first-principles physical-balance constitution</x:v>
      </x:c>
      <x:c r="E9" s="13" t="n">
        <x:v>182</x:v>
      </x:c>
      <x:c r="F9" s="13" t="str">
        <x:v>research/force/generation/department-of-resilience-twenty-non-lifeline-root-first-principles-physical-balance-constitution.md</x:v>
      </x:c>
      <x:c r="G9" s="13" t="str">
        <x:v>Seven accounts, limiting margins and USD 239B option authority</x:v>
      </x:c>
      <x:c r="H9" s="9"/>
      <x:c r="I9" s="47"/>
      <x:c r="J9" s="47"/>
      <x:c r="K9" s="47"/>
      <x:c r="L9" s="47"/>
      <x:c r="M9" s="47"/>
      <x:c r="N9" s="47"/>
      <x:c r="O9" s="47"/>
      <x:c r="P9" s="47"/>
      <x:c r="Q9" s="47"/>
      <x:c r="R9" s="47"/>
      <x:c r="S9" s="47"/>
      <x:c r="T9" s="47"/>
      <x:c r="U9" s="47"/>
      <x:c r="V9" s="47"/>
      <x:c r="W9" s="47"/>
      <x:c r="X9" s="47"/>
      <x:c r="Y9" s="47"/>
      <x:c r="Z9" s="47"/>
    </x:row>
    <x:row r="10" ht="46" customHeight="1">
      <x:c r="C10" s="9" t="str">
        <x:v>SRC-04</x:v>
      </x:c>
      <x:c r="D10" s="13" t="str">
        <x:v>Twenty-root pre-article falsification and scale-decision constitution</x:v>
      </x:c>
      <x:c r="E10" s="13" t="n">
        <x:v>183</x:v>
      </x:c>
      <x:c r="F10" s="13" t="str">
        <x:v>research/force/generation/department-of-resilience-twenty-root-pre-article-falsification-and-scale-decision-constitution.md</x:v>
      </x:c>
      <x:c r="G10" s="13" t="str">
        <x:v>Forty endpoints, 60 rig roles, 240 events, 1,200 packages and USD 43.0B ceiling</x:v>
      </x:c>
      <x:c r="H10" s="9"/>
      <x:c r="I10" s="47"/>
      <x:c r="J10" s="47"/>
      <x:c r="K10" s="47"/>
      <x:c r="L10" s="47"/>
      <x:c r="M10" s="47"/>
      <x:c r="N10" s="47"/>
      <x:c r="O10" s="47"/>
      <x:c r="P10" s="47"/>
      <x:c r="Q10" s="47"/>
      <x:c r="R10" s="47"/>
      <x:c r="S10" s="47"/>
      <x:c r="T10" s="47"/>
      <x:c r="U10" s="47"/>
      <x:c r="V10" s="47"/>
      <x:c r="W10" s="47"/>
      <x:c r="X10" s="47"/>
      <x:c r="Y10" s="47"/>
      <x:c r="Z10" s="47"/>
    </x:row>
    <x:row r="11" ht="46" customHeight="1">
      <x:c r="C11" s="9" t="str">
        <x:v>SRC-05</x:v>
      </x:c>
      <x:c r="D11" s="13" t="str">
        <x:v>Lifeline four-root evidence-adjudication constitution</x:v>
      </x:c>
      <x:c r="E11" s="13" t="n">
        <x:v>178</x:v>
      </x:c>
      <x:c r="F11" s="13" t="str">
        <x:v>research/force/generation/department-of-resilience-lifeline-four-root-g3-evidence-adjudication-and-root-disposition-constitution.md</x:v>
      </x:c>
      <x:c r="G11" s="13" t="str">
        <x:v>Permanent adverse evidence, invalidity and root action law</x:v>
      </x:c>
      <x:c r="H11" s="9"/>
      <x:c r="I11" s="47"/>
      <x:c r="J11" s="47"/>
      <x:c r="K11" s="47"/>
      <x:c r="L11" s="47"/>
      <x:c r="M11" s="47"/>
      <x:c r="N11" s="47"/>
      <x:c r="O11" s="47"/>
      <x:c r="P11" s="47"/>
      <x:c r="Q11" s="47"/>
      <x:c r="R11" s="47"/>
      <x:c r="S11" s="47"/>
      <x:c r="T11" s="47"/>
      <x:c r="U11" s="47"/>
      <x:c r="V11" s="47"/>
      <x:c r="W11" s="47"/>
      <x:c r="X11" s="47"/>
      <x:c r="Y11" s="47"/>
      <x:c r="Z11" s="47"/>
    </x:row>
    <x:row r="12" ht="46" customHeight="1">
      <x:c r="C12" s="10" t="str">
        <x:v>SRC-06</x:v>
      </x:c>
      <x:c r="D12" s="14" t="str">
        <x:v>Twenty-four-root diversity and G3 technical-freeze constitution</x:v>
      </x:c>
      <x:c r="E12" s="14" t="n">
        <x:v>175</x:v>
      </x:c>
      <x:c r="F12" s="14" t="str">
        <x:v>research/force/generation/department-of-resilience-twenty-four-root-diversity-and-g3-technical-freeze-constitution.md</x:v>
      </x:c>
      <x:c r="G12" s="14" t="str">
        <x:v>Independent root houses, ancestry separation and six-system barrier</x:v>
      </x:c>
      <x:c r="H12" s="9"/>
      <x:c r="I12" s="47"/>
      <x:c r="J12" s="47"/>
      <x:c r="K12" s="47"/>
      <x:c r="L12" s="47"/>
      <x:c r="M12" s="47"/>
      <x:c r="N12" s="47"/>
      <x:c r="O12" s="47"/>
      <x:c r="P12" s="47"/>
      <x:c r="Q12" s="47"/>
      <x:c r="R12" s="47"/>
      <x:c r="S12" s="47"/>
      <x:c r="T12" s="47"/>
      <x:c r="U12" s="47"/>
      <x:c r="V12" s="47"/>
      <x:c r="W12" s="47"/>
      <x:c r="X12" s="47"/>
      <x:c r="Y12" s="47"/>
      <x:c r="Z12" s="47"/>
    </x:row>
    <x:row r="13">
      <x:c r="C13" s="9"/>
      <x:c r="D13" s="9"/>
      <x:c r="E13" s="9"/>
      <x:c r="F13" s="9"/>
      <x:c r="G13" s="9"/>
      <x:c r="H13" s="9"/>
      <x:c r="I13" s="47"/>
      <x:c r="J13" s="47"/>
      <x:c r="K13" s="47"/>
      <x:c r="L13" s="47"/>
      <x:c r="M13" s="47"/>
      <x:c r="N13" s="47"/>
      <x:c r="O13" s="47"/>
      <x:c r="P13" s="47"/>
      <x:c r="Q13" s="47"/>
      <x:c r="R13" s="47"/>
      <x:c r="S13" s="47"/>
      <x:c r="T13" s="47"/>
      <x:c r="U13" s="47"/>
      <x:c r="V13" s="47"/>
      <x:c r="W13" s="47"/>
      <x:c r="X13" s="47"/>
      <x:c r="Y13" s="47"/>
      <x:c r="Z13" s="47"/>
    </x:row>
    <x:row r="14">
      <x:c r="C14" s="9"/>
      <x:c r="D14" s="9"/>
      <x:c r="E14" s="9"/>
      <x:c r="F14" s="9"/>
      <x:c r="G14" s="9"/>
      <x:c r="H14" s="9"/>
      <x:c r="I14" s="47"/>
      <x:c r="J14" s="47"/>
      <x:c r="K14" s="47"/>
      <x:c r="L14" s="47"/>
      <x:c r="M14" s="47"/>
      <x:c r="N14" s="47"/>
      <x:c r="O14" s="47"/>
      <x:c r="P14" s="47"/>
      <x:c r="Q14" s="47"/>
      <x:c r="R14" s="47"/>
      <x:c r="S14" s="47"/>
      <x:c r="T14" s="47"/>
      <x:c r="U14" s="47"/>
      <x:c r="V14" s="47"/>
      <x:c r="W14" s="47"/>
      <x:c r="X14" s="47"/>
      <x:c r="Y14" s="47"/>
      <x:c r="Z14" s="47"/>
    </x:row>
    <x:row r="15">
      <x:c r="C15" s="9"/>
      <x:c r="D15" s="9"/>
      <x:c r="E15" s="9"/>
      <x:c r="F15" s="9"/>
      <x:c r="G15" s="9"/>
      <x:c r="H15" s="9"/>
      <x:c r="I15" s="47"/>
      <x:c r="J15" s="47"/>
      <x:c r="K15" s="47"/>
      <x:c r="L15" s="47"/>
      <x:c r="M15" s="47"/>
      <x:c r="N15" s="47"/>
      <x:c r="O15" s="47"/>
      <x:c r="P15" s="47"/>
      <x:c r="Q15" s="47"/>
      <x:c r="R15" s="47"/>
      <x:c r="S15" s="47"/>
      <x:c r="T15" s="47"/>
      <x:c r="U15" s="47"/>
      <x:c r="V15" s="47"/>
      <x:c r="W15" s="47"/>
      <x:c r="X15" s="47"/>
      <x:c r="Y15" s="47"/>
      <x:c r="Z15" s="47"/>
    </x:row>
    <x:row r="16">
      <x:c r="C16" s="9"/>
      <x:c r="D16" s="9"/>
      <x:c r="E16" s="9"/>
      <x:c r="F16" s="9"/>
      <x:c r="G16" s="9"/>
      <x:c r="H16" s="9"/>
      <x:c r="I16" s="47"/>
      <x:c r="J16" s="47"/>
      <x:c r="K16" s="47"/>
      <x:c r="L16" s="47"/>
      <x:c r="M16" s="47"/>
      <x:c r="N16" s="47"/>
      <x:c r="O16" s="47"/>
      <x:c r="P16" s="47"/>
      <x:c r="Q16" s="47"/>
      <x:c r="R16" s="47"/>
      <x:c r="S16" s="47"/>
      <x:c r="T16" s="47"/>
      <x:c r="U16" s="47"/>
      <x:c r="V16" s="47"/>
      <x:c r="W16" s="47"/>
      <x:c r="X16" s="47"/>
      <x:c r="Y16" s="47"/>
      <x:c r="Z16" s="47"/>
    </x:row>
    <x:row r="17">
      <x:c r="C17" s="9"/>
      <x:c r="D17" s="9"/>
      <x:c r="E17" s="9"/>
      <x:c r="F17" s="9"/>
      <x:c r="G17" s="9"/>
      <x:c r="H17" s="9"/>
      <x:c r="I17" s="47"/>
      <x:c r="J17" s="47"/>
      <x:c r="K17" s="47"/>
      <x:c r="L17" s="47"/>
      <x:c r="M17" s="47"/>
      <x:c r="N17" s="47"/>
      <x:c r="O17" s="47"/>
      <x:c r="P17" s="47"/>
      <x:c r="Q17" s="47"/>
      <x:c r="R17" s="47"/>
      <x:c r="S17" s="47"/>
      <x:c r="T17" s="47"/>
      <x:c r="U17" s="47"/>
      <x:c r="V17" s="47"/>
      <x:c r="W17" s="47"/>
      <x:c r="X17" s="47"/>
      <x:c r="Y17" s="47"/>
      <x:c r="Z17" s="47"/>
    </x:row>
    <x:row r="18">
      <x:c r="C18" s="9"/>
      <x:c r="D18" s="9"/>
      <x:c r="E18" s="9"/>
      <x:c r="F18" s="9"/>
      <x:c r="G18" s="9"/>
      <x:c r="H18" s="9"/>
      <x:c r="I18" s="47"/>
      <x:c r="J18" s="47"/>
      <x:c r="K18" s="47"/>
      <x:c r="L18" s="47"/>
      <x:c r="M18" s="47"/>
      <x:c r="N18" s="47"/>
      <x:c r="O18" s="47"/>
      <x:c r="P18" s="47"/>
      <x:c r="Q18" s="47"/>
      <x:c r="R18" s="47"/>
      <x:c r="S18" s="47"/>
      <x:c r="T18" s="47"/>
      <x:c r="U18" s="47"/>
      <x:c r="V18" s="47"/>
      <x:c r="W18" s="47"/>
      <x:c r="X18" s="47"/>
      <x:c r="Y18" s="47"/>
      <x:c r="Z18" s="47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Pr>
    <x:tabColor rgb="FFA5A5A5"/>
  </x:sheetPr>
  <x:sheetViews>
    <x:sheetView showGridLines="0" workbookViewId="0"/>
  </x:sheetViews>
  <x:sheetFormatPr defaultRowHeight="15"/>
  <x:cols>
    <x:col min="3" max="3" width="28" hidden="0" customWidth="1"/>
    <x:col min="4" max="4" width="88" hidden="0" customWidth="1"/>
    <x:col min="5" max="5" width="3" hidden="0" customWidth="1"/>
    <x:col min="6" max="6" width="3" hidden="0" customWidth="1"/>
    <x:col min="7" max="7" width="3" hidden="0" customWidth="1"/>
    <x:col min="8" max="8" width="3" hidden="0" customWidth="1"/>
    <x:col min="9" max="9" width="3" hidden="0" customWidth="1"/>
    <x:col min="10" max="10" width="3" hidden="0" customWidth="1"/>
  </x:cols>
  <x:sheetData>
    <x:row r="1">
      <x:c r="C1" s="9"/>
      <x:c r="D1" s="9"/>
      <x:c r="E1" s="9"/>
      <x:c r="F1" s="9"/>
      <x:c r="G1" s="9"/>
      <x:c r="H1" s="9"/>
      <x:c r="I1" s="9"/>
      <x:c r="J1" s="9"/>
      <x:c r="K1" s="47"/>
      <x:c r="L1" s="47"/>
      <x:c r="M1" s="47"/>
      <x:c r="N1" s="47"/>
      <x:c r="O1" s="47"/>
      <x:c r="P1" s="47"/>
      <x:c r="Q1" s="47"/>
      <x:c r="R1" s="47"/>
      <x:c r="S1" s="47"/>
      <x:c r="T1" s="47"/>
      <x:c r="U1" s="47"/>
      <x:c r="V1" s="47"/>
      <x:c r="W1" s="47"/>
      <x:c r="X1" s="47"/>
      <x:c r="Y1" s="47"/>
      <x:c r="Z1" s="47"/>
    </x:row>
    <x:row r="2">
      <x:c r="C2" s="48" t="str">
        <x:v>Workbook use and limits</x:v>
      </x:c>
      <x:c r="D2" s="9"/>
      <x:c r="E2" s="9"/>
      <x:c r="F2" s="9"/>
      <x:c r="G2" s="9"/>
      <x:c r="H2" s="9"/>
      <x:c r="I2" s="9"/>
      <x:c r="J2" s="9"/>
      <x:c r="K2" s="47"/>
      <x:c r="L2" s="47"/>
      <x:c r="M2" s="47"/>
      <x:c r="N2" s="47"/>
      <x:c r="O2" s="47"/>
      <x:c r="P2" s="47"/>
      <x:c r="Q2" s="47"/>
      <x:c r="R2" s="47"/>
      <x:c r="S2" s="47"/>
      <x:c r="T2" s="47"/>
      <x:c r="U2" s="47"/>
      <x:c r="V2" s="47"/>
      <x:c r="W2" s="47"/>
      <x:c r="X2" s="47"/>
      <x:c r="Y2" s="47"/>
      <x:c r="Z2" s="47"/>
    </x:row>
    <x:row r="3">
      <x:c r="C3" s="49" t="str">
        <x:v>This model governs institutional mobilization. It contains no physical observation, supplier selection, site decision or force credit.</x:v>
      </x:c>
      <x:c r="D3" s="9"/>
      <x:c r="E3" s="9"/>
      <x:c r="F3" s="9"/>
      <x:c r="G3" s="9"/>
      <x:c r="H3" s="9"/>
      <x:c r="I3" s="9"/>
      <x:c r="J3" s="9"/>
      <x:c r="K3" s="47"/>
      <x:c r="L3" s="47"/>
      <x:c r="M3" s="47"/>
      <x:c r="N3" s="47"/>
      <x:c r="O3" s="47"/>
      <x:c r="P3" s="47"/>
      <x:c r="Q3" s="47"/>
      <x:c r="R3" s="47"/>
      <x:c r="S3" s="47"/>
      <x:c r="T3" s="47"/>
      <x:c r="U3" s="47"/>
      <x:c r="V3" s="47"/>
      <x:c r="W3" s="47"/>
      <x:c r="X3" s="47"/>
      <x:c r="Y3" s="47"/>
      <x:c r="Z3" s="47"/>
    </x:row>
    <x:row r="4">
      <x:c r="C4" s="50"/>
      <x:c r="D4" s="50"/>
      <x:c r="E4" s="50"/>
      <x:c r="F4" s="50"/>
      <x:c r="G4" s="50"/>
      <x:c r="H4" s="50"/>
      <x:c r="I4" s="50"/>
      <x:c r="J4" s="50"/>
      <x:c r="K4" s="51"/>
      <x:c r="L4" s="51"/>
      <x:c r="M4" s="51"/>
      <x:c r="N4" s="51"/>
      <x:c r="O4" s="51"/>
      <x:c r="P4" s="51"/>
      <x:c r="Q4" s="51"/>
      <x:c r="R4" s="51"/>
      <x:c r="S4" s="51"/>
      <x:c r="T4" s="51"/>
      <x:c r="U4" s="51"/>
      <x:c r="V4" s="51"/>
      <x:c r="W4" s="51"/>
      <x:c r="X4" s="51"/>
      <x:c r="Y4" s="51"/>
      <x:c r="Z4" s="51"/>
    </x:row>
    <x:row r="5">
      <x:c r="C5" s="9"/>
      <x:c r="D5" s="9"/>
      <x:c r="E5" s="9"/>
      <x:c r="F5" s="9"/>
      <x:c r="G5" s="9"/>
      <x:c r="H5" s="9"/>
      <x:c r="I5" s="9"/>
      <x:c r="J5" s="9"/>
      <x:c r="K5" s="47"/>
      <x:c r="L5" s="47"/>
      <x:c r="M5" s="47"/>
      <x:c r="N5" s="47"/>
      <x:c r="O5" s="47"/>
      <x:c r="P5" s="47"/>
      <x:c r="Q5" s="47"/>
      <x:c r="R5" s="47"/>
      <x:c r="S5" s="47"/>
      <x:c r="T5" s="47"/>
      <x:c r="U5" s="47"/>
      <x:c r="V5" s="47"/>
      <x:c r="W5" s="47"/>
      <x:c r="X5" s="47"/>
      <x:c r="Y5" s="47"/>
      <x:c r="Z5" s="47"/>
    </x:row>
    <x:row r="6" ht="28" customHeight="1">
      <x:c r="C6" s="26" t="str">
        <x:v>Topic</x:v>
      </x:c>
      <x:c r="D6" s="27" t="str">
        <x:v>Instruction</x:v>
      </x:c>
      <x:c r="E6" s="9"/>
      <x:c r="F6" s="9"/>
      <x:c r="G6" s="9"/>
      <x:c r="H6" s="9"/>
      <x:c r="I6" s="9"/>
      <x:c r="J6" s="9"/>
      <x:c r="K6" s="47"/>
      <x:c r="L6" s="47"/>
      <x:c r="M6" s="47"/>
      <x:c r="N6" s="47"/>
      <x:c r="O6" s="47"/>
      <x:c r="P6" s="47"/>
      <x:c r="Q6" s="47"/>
      <x:c r="R6" s="47"/>
      <x:c r="S6" s="47"/>
      <x:c r="T6" s="47"/>
      <x:c r="U6" s="47"/>
      <x:c r="V6" s="47"/>
      <x:c r="W6" s="47"/>
      <x:c r="X6" s="47"/>
      <x:c r="Y6" s="47"/>
      <x:c r="Z6" s="47"/>
    </x:row>
    <x:row r="7" ht="42" customHeight="1">
      <x:c r="C7" s="9" t="str">
        <x:v>Decision</x:v>
      </x:c>
      <x:c r="D7" s="13" t="str">
        <x:v>Use Decision first. It records the fifth-pass RETURN and the selected Resilience Proving Service architecture.</x:v>
      </x:c>
      <x:c r="E7" s="9"/>
      <x:c r="F7" s="9"/>
      <x:c r="G7" s="9"/>
      <x:c r="H7" s="9"/>
      <x:c r="I7" s="9"/>
      <x:c r="J7" s="9"/>
      <x:c r="K7" s="47"/>
      <x:c r="L7" s="47"/>
      <x:c r="M7" s="47"/>
      <x:c r="N7" s="47"/>
      <x:c r="O7" s="47"/>
      <x:c r="P7" s="47"/>
      <x:c r="Q7" s="47"/>
      <x:c r="R7" s="47"/>
      <x:c r="S7" s="47"/>
      <x:c r="T7" s="47"/>
      <x:c r="U7" s="47"/>
      <x:c r="V7" s="47"/>
      <x:c r="W7" s="47"/>
      <x:c r="X7" s="47"/>
      <x:c r="Y7" s="47"/>
      <x:c r="Z7" s="47"/>
    </x:row>
    <x:row r="8" ht="42" customHeight="1">
      <x:c r="C8" s="9" t="str">
        <x:v>Yellow cells</x:v>
      </x:c>
      <x:c r="D8" s="13" t="str">
        <x:v>Yellow cells are implementation acceptances only. Enter 1 only after the named public evidence exists; zero is source-empty.</x:v>
      </x:c>
      <x:c r="E8" s="9"/>
      <x:c r="F8" s="9"/>
      <x:c r="G8" s="9"/>
      <x:c r="H8" s="9"/>
      <x:c r="I8" s="9"/>
      <x:c r="J8" s="9"/>
      <x:c r="K8" s="47"/>
      <x:c r="L8" s="47"/>
      <x:c r="M8" s="47"/>
      <x:c r="N8" s="47"/>
      <x:c r="O8" s="47"/>
      <x:c r="P8" s="47"/>
      <x:c r="Q8" s="47"/>
      <x:c r="R8" s="47"/>
      <x:c r="S8" s="47"/>
      <x:c r="T8" s="47"/>
      <x:c r="U8" s="47"/>
      <x:c r="V8" s="47"/>
      <x:c r="W8" s="47"/>
      <x:c r="X8" s="47"/>
      <x:c r="Y8" s="47"/>
      <x:c r="Z8" s="47"/>
    </x:row>
    <x:row r="9" ht="42" customHeight="1">
      <x:c r="C9" s="9" t="str">
        <x:v>Institutional sequence</x:v>
      </x:c>
      <x:c r="D9" s="13" t="str">
        <x:v>Accept all nine warrants, commission each station, qualify five lanes, accept assignment identities and conflicts, then mobilize root triage.</x:v>
      </x:c>
      <x:c r="E9" s="9"/>
      <x:c r="F9" s="9"/>
      <x:c r="G9" s="9"/>
      <x:c r="H9" s="9"/>
      <x:c r="I9" s="9"/>
      <x:c r="J9" s="9"/>
      <x:c r="K9" s="47"/>
      <x:c r="L9" s="47"/>
      <x:c r="M9" s="47"/>
      <x:c r="N9" s="47"/>
      <x:c r="O9" s="47"/>
      <x:c r="P9" s="47"/>
      <x:c r="Q9" s="47"/>
      <x:c r="R9" s="47"/>
      <x:c r="S9" s="47"/>
      <x:c r="T9" s="47"/>
      <x:c r="U9" s="47"/>
      <x:c r="V9" s="47"/>
      <x:c r="W9" s="47"/>
      <x:c r="X9" s="47"/>
      <x:c r="Y9" s="47"/>
      <x:c r="Z9" s="47"/>
    </x:row>
    <x:row r="10" ht="42" customHeight="1">
      <x:c r="C10" s="9" t="str">
        <x:v>Money</x:v>
      </x:c>
      <x:c r="D10" s="13" t="str">
        <x:v>USD 43.0B is a ceiling inside prior USD 239B option authority. Authority Build cross-classifies it by jurisdiction and stage without adding money.</x:v>
      </x:c>
      <x:c r="E10" s="9"/>
      <x:c r="F10" s="9"/>
      <x:c r="G10" s="9"/>
      <x:c r="H10" s="9"/>
      <x:c r="I10" s="9"/>
      <x:c r="J10" s="9"/>
      <x:c r="K10" s="47"/>
      <x:c r="L10" s="47"/>
      <x:c r="M10" s="47"/>
      <x:c r="N10" s="47"/>
      <x:c r="O10" s="47"/>
      <x:c r="P10" s="47"/>
      <x:c r="Q10" s="47"/>
      <x:c r="R10" s="47"/>
      <x:c r="S10" s="47"/>
      <x:c r="T10" s="47"/>
      <x:c r="U10" s="47"/>
      <x:c r="V10" s="47"/>
      <x:c r="W10" s="47"/>
      <x:c r="X10" s="47"/>
      <x:c r="Y10" s="47"/>
      <x:c r="Z10" s="47"/>
    </x:row>
    <x:row r="11" ht="42" customHeight="1">
      <x:c r="C11" s="9" t="str">
        <x:v>Physical results</x:v>
      </x:c>
      <x:c r="D11" s="13" t="str">
        <x:v>This workbook cannot RESIZE, KILL or BUILD PROOF. Those actions remain in the Pass 183 observation law.</x:v>
      </x:c>
      <x:c r="E11" s="9"/>
      <x:c r="F11" s="9"/>
      <x:c r="G11" s="9"/>
      <x:c r="H11" s="9"/>
      <x:c r="I11" s="9"/>
      <x:c r="J11" s="9"/>
      <x:c r="K11" s="47"/>
      <x:c r="L11" s="47"/>
      <x:c r="M11" s="47"/>
      <x:c r="N11" s="47"/>
      <x:c r="O11" s="47"/>
      <x:c r="P11" s="47"/>
      <x:c r="Q11" s="47"/>
      <x:c r="R11" s="47"/>
      <x:c r="S11" s="47"/>
      <x:c r="T11" s="47"/>
      <x:c r="U11" s="47"/>
      <x:c r="V11" s="47"/>
      <x:c r="W11" s="47"/>
      <x:c r="X11" s="47"/>
      <x:c r="Y11" s="47"/>
      <x:c r="Z11" s="47"/>
    </x:row>
    <x:row r="12" ht="42" customHeight="1">
      <x:c r="C12" s="9" t="str">
        <x:v>Adverse evidence</x:v>
      </x:c>
      <x:c r="D12" s="13" t="str">
        <x:v>A valid adverse result remains in the denominator. The regeneration lane restores capability; it cannot create a replacement result.</x:v>
      </x:c>
      <x:c r="E12" s="9"/>
      <x:c r="F12" s="9"/>
      <x:c r="G12" s="9"/>
      <x:c r="H12" s="9"/>
      <x:c r="I12" s="9"/>
      <x:c r="J12" s="9"/>
      <x:c r="K12" s="47"/>
      <x:c r="L12" s="47"/>
      <x:c r="M12" s="47"/>
      <x:c r="N12" s="47"/>
      <x:c r="O12" s="47"/>
      <x:c r="P12" s="47"/>
      <x:c r="Q12" s="47"/>
      <x:c r="R12" s="47"/>
      <x:c r="S12" s="47"/>
      <x:c r="T12" s="47"/>
      <x:c r="U12" s="47"/>
      <x:c r="V12" s="47"/>
      <x:c r="W12" s="47"/>
      <x:c r="X12" s="47"/>
      <x:c r="Y12" s="47"/>
      <x:c r="Z12" s="47"/>
    </x:row>
    <x:row r="13" ht="42" customHeight="1">
      <x:c r="C13" s="9" t="str">
        <x:v>System barrier</x:v>
      </x:c>
      <x:c r="D13" s="13" t="str">
        <x:v>All four roots in a system need non-HOLD physical dispositions and cleared replacements before a proof contract. Lifeline remains separately binding.</x:v>
      </x:c>
      <x:c r="E13" s="9"/>
      <x:c r="F13" s="9"/>
      <x:c r="G13" s="9"/>
      <x:c r="H13" s="9"/>
      <x:c r="I13" s="9"/>
      <x:c r="J13" s="9"/>
      <x:c r="K13" s="47"/>
      <x:c r="L13" s="47"/>
      <x:c r="M13" s="47"/>
      <x:c r="N13" s="47"/>
      <x:c r="O13" s="47"/>
      <x:c r="P13" s="47"/>
      <x:c r="Q13" s="47"/>
      <x:c r="R13" s="47"/>
      <x:c r="S13" s="47"/>
      <x:c r="T13" s="47"/>
      <x:c r="U13" s="47"/>
      <x:c r="V13" s="47"/>
      <x:c r="W13" s="47"/>
      <x:c r="X13" s="47"/>
      <x:c r="Y13" s="47"/>
      <x:c r="Z13" s="47"/>
    </x:row>
    <x:row r="14" ht="42" customHeight="1">
      <x:c r="C14" s="9" t="str">
        <x:v>Update discipline</x:v>
      </x:c>
      <x:c r="D14" s="13" t="str">
        <x:v>Preserve root IDs and station IDs. Add evidence to the owning acceptance field; never overwrite formulas or use the Audits sheet as a dependency.</x:v>
      </x:c>
      <x:c r="E14" s="9"/>
      <x:c r="F14" s="9"/>
      <x:c r="G14" s="9"/>
      <x:c r="H14" s="9"/>
      <x:c r="I14" s="9"/>
      <x:c r="J14" s="9"/>
      <x:c r="K14" s="47"/>
      <x:c r="L14" s="47"/>
      <x:c r="M14" s="47"/>
      <x:c r="N14" s="47"/>
      <x:c r="O14" s="47"/>
      <x:c r="P14" s="47"/>
      <x:c r="Q14" s="47"/>
      <x:c r="R14" s="47"/>
      <x:c r="S14" s="47"/>
      <x:c r="T14" s="47"/>
      <x:c r="U14" s="47"/>
      <x:c r="V14" s="47"/>
      <x:c r="W14" s="47"/>
      <x:c r="X14" s="47"/>
      <x:c r="Y14" s="47"/>
      <x:c r="Z14" s="47"/>
    </x:row>
    <x:row r="15" ht="42" customHeight="1">
      <x:c r="C15" s="9" t="str">
        <x:v>Source boundary</x:v>
      </x:c>
      <x:c r="D15" s="13" t="str">
        <x:v>All claims derive from repository research listed in Sources. No external-site evidence or rendered vehicle form is included.</x:v>
      </x:c>
      <x:c r="E15" s="9"/>
      <x:c r="F15" s="9"/>
      <x:c r="G15" s="9"/>
      <x:c r="H15" s="9"/>
      <x:c r="I15" s="9"/>
      <x:c r="J15" s="9"/>
      <x:c r="K15" s="47"/>
      <x:c r="L15" s="47"/>
      <x:c r="M15" s="47"/>
      <x:c r="N15" s="47"/>
      <x:c r="O15" s="47"/>
      <x:c r="P15" s="47"/>
      <x:c r="Q15" s="47"/>
      <x:c r="R15" s="47"/>
      <x:c r="S15" s="47"/>
      <x:c r="T15" s="47"/>
      <x:c r="U15" s="47"/>
      <x:c r="V15" s="47"/>
      <x:c r="W15" s="47"/>
      <x:c r="X15" s="47"/>
      <x:c r="Y15" s="47"/>
      <x:c r="Z15" s="47"/>
    </x:row>
    <x:row r="16" ht="42" customHeight="1">
      <x:c r="C16" s="10" t="str">
        <x:v>Terminal branch</x:v>
      </x:c>
      <x:c r="D16" s="14" t="str">
        <x:v>C3-SPW ends after five passes. Further paper elaboration cannot change root HOLD states; the frontier returns to Department-level industrial execution.</x:v>
      </x:c>
      <x:c r="E16" s="9"/>
      <x:c r="F16" s="9"/>
      <x:c r="G16" s="9"/>
      <x:c r="H16" s="9"/>
      <x:c r="I16" s="9"/>
      <x:c r="J16" s="9"/>
      <x:c r="K16" s="47"/>
      <x:c r="L16" s="47"/>
      <x:c r="M16" s="47"/>
      <x:c r="N16" s="47"/>
      <x:c r="O16" s="47"/>
      <x:c r="P16" s="47"/>
      <x:c r="Q16" s="47"/>
      <x:c r="R16" s="47"/>
      <x:c r="S16" s="47"/>
      <x:c r="T16" s="47"/>
      <x:c r="U16" s="47"/>
      <x:c r="V16" s="47"/>
      <x:c r="W16" s="47"/>
      <x:c r="X16" s="47"/>
      <x:c r="Y16" s="47"/>
      <x:c r="Z16" s="47"/>
    </x:row>
    <x:row r="17">
      <x:c r="C17" s="9"/>
      <x:c r="D17" s="9"/>
      <x:c r="E17" s="9"/>
      <x:c r="F17" s="9"/>
      <x:c r="G17" s="9"/>
      <x:c r="H17" s="9"/>
      <x:c r="I17" s="9"/>
      <x:c r="J17" s="9"/>
      <x:c r="K17" s="47"/>
      <x:c r="L17" s="47"/>
      <x:c r="M17" s="47"/>
      <x:c r="N17" s="47"/>
      <x:c r="O17" s="47"/>
      <x:c r="P17" s="47"/>
      <x:c r="Q17" s="47"/>
      <x:c r="R17" s="47"/>
      <x:c r="S17" s="47"/>
      <x:c r="T17" s="47"/>
      <x:c r="U17" s="47"/>
      <x:c r="V17" s="47"/>
      <x:c r="W17" s="47"/>
      <x:c r="X17" s="47"/>
      <x:c r="Y17" s="47"/>
      <x:c r="Z17" s="47"/>
    </x:row>
    <x:row r="18">
      <x:c r="C18" s="9"/>
      <x:c r="D18" s="9"/>
      <x:c r="E18" s="9"/>
      <x:c r="F18" s="9"/>
      <x:c r="G18" s="9"/>
      <x:c r="H18" s="9"/>
      <x:c r="I18" s="9"/>
      <x:c r="J18" s="9"/>
      <x:c r="K18" s="47"/>
      <x:c r="L18" s="47"/>
      <x:c r="M18" s="47"/>
      <x:c r="N18" s="47"/>
      <x:c r="O18" s="47"/>
      <x:c r="P18" s="47"/>
      <x:c r="Q18" s="47"/>
      <x:c r="R18" s="47"/>
      <x:c r="S18" s="47"/>
      <x:c r="T18" s="47"/>
      <x:c r="U18" s="47"/>
      <x:c r="V18" s="47"/>
      <x:c r="W18" s="47"/>
      <x:c r="X18" s="47"/>
      <x:c r="Y18" s="47"/>
      <x:c r="Z18" s="47"/>
    </x:row>
    <x:row r="19">
      <x:c r="C19" s="9"/>
      <x:c r="D19" s="9"/>
      <x:c r="E19" s="9"/>
      <x:c r="F19" s="9"/>
      <x:c r="G19" s="9"/>
      <x:c r="H19" s="9"/>
      <x:c r="I19" s="9"/>
      <x:c r="J19" s="9"/>
      <x:c r="K19" s="47"/>
      <x:c r="L19" s="47"/>
      <x:c r="M19" s="47"/>
      <x:c r="N19" s="47"/>
      <x:c r="O19" s="47"/>
      <x:c r="P19" s="47"/>
      <x:c r="Q19" s="47"/>
      <x:c r="R19" s="47"/>
      <x:c r="S19" s="47"/>
      <x:c r="T19" s="47"/>
      <x:c r="U19" s="47"/>
      <x:c r="V19" s="47"/>
      <x:c r="W19" s="47"/>
      <x:c r="X19" s="47"/>
      <x:c r="Y19" s="47"/>
      <x:c r="Z19" s="47"/>
    </x:row>
    <x:row r="20">
      <x:c r="C20" s="9"/>
      <x:c r="D20" s="9"/>
      <x:c r="E20" s="9"/>
      <x:c r="F20" s="9"/>
      <x:c r="G20" s="9"/>
      <x:c r="H20" s="9"/>
      <x:c r="I20" s="9"/>
      <x:c r="J20" s="9"/>
      <x:c r="K20" s="47"/>
      <x:c r="L20" s="47"/>
      <x:c r="M20" s="47"/>
      <x:c r="N20" s="47"/>
      <x:c r="O20" s="47"/>
      <x:c r="P20" s="47"/>
      <x:c r="Q20" s="47"/>
      <x:c r="R20" s="47"/>
      <x:c r="S20" s="47"/>
      <x:c r="T20" s="47"/>
      <x:c r="U20" s="47"/>
      <x:c r="V20" s="47"/>
      <x:c r="W20" s="47"/>
      <x:c r="X20" s="47"/>
      <x:c r="Y20" s="47"/>
      <x:c r="Z20" s="47"/>
    </x:row>
    <x:row r="21">
      <x:c r="C21" s="9"/>
      <x:c r="D21" s="9"/>
      <x:c r="E21" s="9"/>
      <x:c r="F21" s="9"/>
      <x:c r="G21" s="9"/>
      <x:c r="H21" s="9"/>
      <x:c r="I21" s="9"/>
      <x:c r="J21" s="9"/>
      <x:c r="K21" s="47"/>
      <x:c r="L21" s="47"/>
      <x:c r="M21" s="47"/>
      <x:c r="N21" s="47"/>
      <x:c r="O21" s="47"/>
      <x:c r="P21" s="47"/>
      <x:c r="Q21" s="47"/>
      <x:c r="R21" s="47"/>
      <x:c r="S21" s="47"/>
      <x:c r="T21" s="47"/>
      <x:c r="U21" s="47"/>
      <x:c r="V21" s="47"/>
      <x:c r="W21" s="47"/>
      <x:c r="X21" s="47"/>
      <x:c r="Y21" s="47"/>
      <x:c r="Z21" s="47"/>
    </x:row>
    <x:row r="22">
      <x:c r="C22" s="9"/>
      <x:c r="D22" s="9"/>
      <x:c r="E22" s="9"/>
      <x:c r="F22" s="9"/>
      <x:c r="G22" s="9"/>
      <x:c r="H22" s="9"/>
      <x:c r="I22" s="9"/>
      <x:c r="J22" s="9"/>
      <x:c r="K22" s="47"/>
      <x:c r="L22" s="47"/>
      <x:c r="M22" s="47"/>
      <x:c r="N22" s="47"/>
      <x:c r="O22" s="47"/>
      <x:c r="P22" s="47"/>
      <x:c r="Q22" s="47"/>
      <x:c r="R22" s="47"/>
      <x:c r="S22" s="47"/>
      <x:c r="T22" s="47"/>
      <x:c r="U22" s="47"/>
      <x:c r="V22" s="47"/>
      <x:c r="W22" s="47"/>
      <x:c r="X22" s="47"/>
      <x:c r="Y22" s="47"/>
      <x:c r="Z22" s="47"/>
    </x:row>
    <x:row r="23">
      <x:c r="C23" s="9"/>
      <x:c r="D23" s="9"/>
      <x:c r="E23" s="9"/>
      <x:c r="F23" s="9"/>
      <x:c r="G23" s="9"/>
      <x:c r="H23" s="9"/>
      <x:c r="I23" s="9"/>
      <x:c r="J23" s="9"/>
      <x:c r="K23" s="47"/>
      <x:c r="L23" s="47"/>
      <x:c r="M23" s="47"/>
      <x:c r="N23" s="47"/>
      <x:c r="O23" s="47"/>
      <x:c r="P23" s="47"/>
      <x:c r="Q23" s="47"/>
      <x:c r="R23" s="47"/>
      <x:c r="S23" s="47"/>
      <x:c r="T23" s="47"/>
      <x:c r="U23" s="47"/>
      <x:c r="V23" s="47"/>
      <x:c r="W23" s="47"/>
      <x:c r="X23" s="47"/>
      <x:c r="Y23" s="47"/>
      <x:c r="Z23" s="47"/>
    </x:row>
    <x:row r="24">
      <x:c r="C24" s="9"/>
      <x:c r="D24" s="9"/>
      <x:c r="E24" s="9"/>
      <x:c r="F24" s="9"/>
      <x:c r="G24" s="9"/>
      <x:c r="H24" s="9"/>
      <x:c r="I24" s="9"/>
      <x:c r="J24" s="9"/>
      <x:c r="K24" s="47"/>
      <x:c r="L24" s="47"/>
      <x:c r="M24" s="47"/>
      <x:c r="N24" s="47"/>
      <x:c r="O24" s="47"/>
      <x:c r="P24" s="47"/>
      <x:c r="Q24" s="47"/>
      <x:c r="R24" s="47"/>
      <x:c r="S24" s="47"/>
      <x:c r="T24" s="47"/>
      <x:c r="U24" s="47"/>
      <x:c r="V24" s="47"/>
      <x:c r="W24" s="47"/>
      <x:c r="X24" s="47"/>
      <x:c r="Y24" s="47"/>
      <x:c r="Z24" s="47"/>
    </x:row>
    <x:row r="25">
      <x:c r="C25" s="9"/>
      <x:c r="D25" s="9"/>
      <x:c r="E25" s="9"/>
      <x:c r="F25" s="9"/>
      <x:c r="G25" s="9"/>
      <x:c r="H25" s="9"/>
      <x:c r="I25" s="9"/>
      <x:c r="J25" s="9"/>
      <x:c r="K25" s="47"/>
      <x:c r="L25" s="47"/>
      <x:c r="M25" s="47"/>
      <x:c r="N25" s="47"/>
      <x:c r="O25" s="47"/>
      <x:c r="P25" s="47"/>
      <x:c r="Q25" s="47"/>
      <x:c r="R25" s="47"/>
      <x:c r="S25" s="47"/>
      <x:c r="T25" s="47"/>
      <x:c r="U25" s="47"/>
      <x:c r="V25" s="47"/>
      <x:c r="W25" s="47"/>
      <x:c r="X25" s="47"/>
      <x:c r="Y25" s="47"/>
      <x:c r="Z25" s="47"/>
    </x:row>
    <x:row r="26">
      <x:c r="C26" s="9"/>
      <x:c r="D26" s="9"/>
      <x:c r="E26" s="9"/>
      <x:c r="F26" s="9"/>
      <x:c r="G26" s="9"/>
      <x:c r="H26" s="9"/>
      <x:c r="I26" s="9"/>
      <x:c r="J26" s="9"/>
      <x:c r="K26" s="47"/>
      <x:c r="L26" s="47"/>
      <x:c r="M26" s="47"/>
      <x:c r="N26" s="47"/>
      <x:c r="O26" s="47"/>
      <x:c r="P26" s="47"/>
      <x:c r="Q26" s="47"/>
      <x:c r="R26" s="47"/>
      <x:c r="S26" s="47"/>
      <x:c r="T26" s="47"/>
      <x:c r="U26" s="47"/>
      <x:c r="V26" s="47"/>
      <x:c r="W26" s="47"/>
      <x:c r="X26" s="47"/>
      <x:c r="Y26" s="47"/>
      <x:c r="Z26" s="47"/>
    </x:row>
  </x:sheetData>
  <x:pageMargins left="0.7" right="0.7" top="0.75" bottom="0.75" header="0.3" footer="0.3"/>
</x:worksheet>
</file>