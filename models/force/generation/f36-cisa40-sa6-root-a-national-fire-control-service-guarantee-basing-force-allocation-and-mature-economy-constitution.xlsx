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a70507f6ca49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5e848eb3848f45a4"/>
    <x:sheet xmlns:r="http://schemas.openxmlformats.org/officeDocument/2006/relationships" name="Assumptions" sheetId="2" r:id="R41f56a050ad9497e"/>
    <x:sheet xmlns:r="http://schemas.openxmlformats.org/officeDocument/2006/relationships" name="Service Cases" sheetId="3" r:id="R7ab196f627c9420b"/>
    <x:sheet xmlns:r="http://schemas.openxmlformats.org/officeDocument/2006/relationships" name="Allocation" sheetId="4" r:id="R421da9c56d104c24"/>
    <x:sheet xmlns:r="http://schemas.openxmlformats.org/officeDocument/2006/relationships" name="Fleet" sheetId="5" r:id="Rabb1cd7a8af7402b"/>
    <x:sheet xmlns:r="http://schemas.openxmlformats.org/officeDocument/2006/relationships" name="Basing" sheetId="6" r:id="R19dc904287614b61"/>
    <x:sheet xmlns:r="http://schemas.openxmlformats.org/officeDocument/2006/relationships" name="Bay Capacity" sheetId="7" r:id="R221d3a675f1b4fbc"/>
    <x:sheet xmlns:r="http://schemas.openxmlformats.org/officeDocument/2006/relationships" name="Production" sheetId="8" r:id="Re7708ce98ea24567"/>
    <x:sheet xmlns:r="http://schemas.openxmlformats.org/officeDocument/2006/relationships" name="Transport" sheetId="9" r:id="R48aab7d63fe2470f"/>
    <x:sheet xmlns:r="http://schemas.openxmlformats.org/officeDocument/2006/relationships" name="Workforce" sheetId="10" r:id="R46939a90c6cf465f"/>
    <x:sheet xmlns:r="http://schemas.openxmlformats.org/officeDocument/2006/relationships" name="Capital" sheetId="11" r:id="R54c53064c7844852"/>
    <x:sheet xmlns:r="http://schemas.openxmlformats.org/officeDocument/2006/relationships" name="Annual Support" sheetId="12" r:id="Rf551546ab8304176"/>
    <x:sheet xmlns:r="http://schemas.openxmlformats.org/officeDocument/2006/relationships" name="Lifecycle" sheetId="13" r:id="R56ba8eafaee54882"/>
    <x:sheet xmlns:r="http://schemas.openxmlformats.org/officeDocument/2006/relationships" name="Technology" sheetId="14" r:id="R1d9716ac884e443b"/>
    <x:sheet xmlns:r="http://schemas.openxmlformats.org/officeDocument/2006/relationships" name="Demand Worlds" sheetId="15" r:id="Rb41d3072ba0d4fde"/>
    <x:sheet xmlns:r="http://schemas.openxmlformats.org/officeDocument/2006/relationships" name="Fielding Schedule" sheetId="16" r:id="R2a34fd0b5118488c"/>
    <x:sheet xmlns:r="http://schemas.openxmlformats.org/officeDocument/2006/relationships" name="Internal &gt;&gt;" sheetId="17" r:id="Rdc2a341eab1a4037"/>
    <x:sheet xmlns:r="http://schemas.openxmlformats.org/officeDocument/2006/relationships" name="Gate Register" sheetId="18" r:id="R5754a32bb6534ad4"/>
    <x:sheet xmlns:r="http://schemas.openxmlformats.org/officeDocument/2006/relationships" name="Audit" sheetId="19" r:id="R6440f2b82ab147bc"/>
    <x:sheet xmlns:r="http://schemas.openxmlformats.org/officeDocument/2006/relationships" name="ReadMe" sheetId="20" r:id="R82c2cdc9da2541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#,##0.0"/>
    <x:numFmt numFmtId="202" formatCode="0.00"/>
    <x:numFmt numFmtId="203" formatCode="$#,##0.0000"/>
    <x:numFmt numFmtId="204" formatCode="$#,##0"/>
    <x:numFmt numFmtId="205" formatCode="$#,##0.000"/>
  </x:numFmts>
  <x:fonts count="11">
    <x:font>
      <x:sz val="11"/>
      <x:name val="Carlito"/>
    </x:font>
    <x:font>
      <x:b/>
      <x:sz val="15"/>
      <x:color rgb="FF16324F"/>
      <x:name val="Arial"/>
    </x:font>
    <x:font>
      <x:i/>
      <x:sz val="10"/>
      <x:color rgb="FF536272"/>
      <x:name val="Arial"/>
    </x:font>
    <x:font>
      <x:b/>
      <x:sz val="10"/>
      <x:color rgb="FFFFFFFF"/>
      <x:name val="Arial"/>
    </x:font>
    <x:font>
      <x:b/>
      <x:sz val="10"/>
      <x:color rgb="FF16324F"/>
      <x:name val="Arial"/>
    </x:font>
    <x:font>
      <x:sz val="10"/>
      <x:color rgb="FF1F4EAA"/>
      <x:name val="Arial"/>
    </x:font>
    <x:font>
      <x:b/>
      <x:sz val="11"/>
      <x:color rgb="FF22863A"/>
      <x:name val="Arial"/>
    </x:font>
    <x:font>
      <x:i/>
      <x:sz val="11"/>
      <x:color rgb="FF536272"/>
      <x:name val="Arial"/>
    </x:font>
    <x:font>
      <x:sz val="11"/>
      <x:color rgb="FF1F2937"/>
      <x:name val="Arial"/>
    </x:font>
    <x:font>
      <x:b/>
      <x:sz val="10"/>
      <x:color rgb="FF8A5A00"/>
      <x:name val="Arial"/>
    </x:font>
    <x:font>
      <x:b/>
      <x:sz val="10"/>
      <x:color rgb="FFB42318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1F5"/>
      </x:patternFill>
    </x:fill>
    <x:fill>
      <x:patternFill patternType="solid">
        <x:fgColor rgb="FFFFF4D6"/>
      </x:patternFill>
    </x:fill>
    <x:fill>
      <x:patternFill patternType="solid">
        <x:fgColor rgb="FFE8F4EC"/>
      </x:patternFill>
    </x:fill>
    <x:fill>
      <x:patternFill patternType="solid">
        <x:fgColor rgb="FFEAF2FA"/>
      </x:patternFill>
    </x:fill>
    <x:fill>
      <x:patternFill patternType="solid">
        <x:fgColor rgb="FFFCE8E6"/>
      </x:patternFill>
    </x:fill>
  </x:fills>
  <x:borders count="24">
    <x:border/>
    <x:border>
      <x:bottom style="thin">
        <x:color rgb="FFD1D9E0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D1D9E0"/>
      </x:left>
      <x:top style="thin">
        <x:color rgb="FFD1D9E0"/>
      </x:top>
      <x:bottom style="thin">
        <x:color rgb="FFD1D9E0"/>
      </x:bottom>
    </x:border>
    <x:border>
      <x:top style="thin">
        <x:color rgb="FFD1D9E0"/>
      </x:top>
      <x:bottom style="thin">
        <x:color rgb="FFD1D9E0"/>
      </x:bottom>
    </x:border>
    <x:border>
      <x:right style="thin">
        <x:color rgb="FFD1D9E0"/>
      </x:right>
      <x:top style="thin">
        <x:color rgb="FFD1D9E0"/>
      </x:top>
      <x:bottom style="thin">
        <x:color rgb="FFD1D9E0"/>
      </x:bottom>
    </x:border>
    <x:border>
      <x:left style="thin">
        <x:color rgb="FFD1D9E0"/>
      </x:left>
      <x:top style="thin">
        <x:color rgb="FFD1D9E0"/>
      </x:top>
      <x:bottom style="thin">
        <x:color rgb="FFE4E8EC"/>
      </x:bottom>
    </x:border>
    <x:border>
      <x:top style="thin">
        <x:color rgb="FFD1D9E0"/>
      </x:top>
      <x:bottom style="thin">
        <x:color rgb="FFE4E8EC"/>
      </x:bottom>
    </x:border>
    <x:border>
      <x:left style="thin">
        <x:color rgb="FFD1D9E0"/>
      </x:left>
      <x:top style="thin">
        <x:color rgb="FFE4E8EC"/>
      </x:top>
      <x:bottom style="thin">
        <x:color rgb="FFE4E8EC"/>
      </x:bottom>
    </x:border>
    <x:border>
      <x:top style="thin">
        <x:color rgb="FFE4E8EC"/>
      </x:top>
      <x:bottom style="thin">
        <x:color rgb="FFE4E8EC"/>
      </x:bottom>
    </x:border>
    <x:border>
      <x:left style="thin">
        <x:color rgb="FFD1D9E0"/>
      </x:left>
      <x:top style="thin">
        <x:color rgb="FFE4E8EC"/>
      </x:top>
      <x:bottom style="thin">
        <x:color rgb="FFD1D9E0"/>
      </x:bottom>
    </x:border>
    <x:border>
      <x:top style="thin">
        <x:color rgb="FFE4E8EC"/>
      </x:top>
      <x:bottom style="thin">
        <x:color rgb="FFD1D9E0"/>
      </x:bottom>
    </x:border>
    <x:border>
      <x:left style="dashed">
        <x:color rgb="FF2A7F86"/>
      </x:left>
      <x:right style="dashed">
        <x:color rgb="FF2A7F86"/>
      </x:right>
      <x:top style="dashed">
        <x:color rgb="FF2A7F86"/>
      </x:top>
      <x:bottom style="dashed">
        <x:color rgb="FF2A7F86"/>
      </x:bottom>
    </x:border>
    <x:border>
      <x:bottom style="thin">
        <x:color rgb="FFE4E8EC"/>
      </x:bottom>
    </x:border>
    <x:border>
      <x:top style="thin">
        <x:color rgb="FFE4E8EC"/>
      </x:top>
    </x:border>
    <x:border>
      <x:left style="thin">
        <x:color rgb="FFD1D9E0"/>
      </x:left>
      <x:top style="thin">
        <x:color rgb="FFD1D9E0"/>
      </x:top>
    </x:border>
    <x:border>
      <x:top style="thin">
        <x:color rgb="FFD1D9E0"/>
      </x:top>
    </x:border>
    <x:border>
      <x:right style="thin">
        <x:color rgb="FFD1D9E0"/>
      </x:right>
      <x:top style="thin">
        <x:color rgb="FFD1D9E0"/>
      </x:top>
    </x:border>
    <x:border>
      <x:left style="thin">
        <x:color rgb="FFD1D9E0"/>
      </x:left>
    </x:border>
    <x:border>
      <x:right style="thin">
        <x:color rgb="FFD1D9E0"/>
      </x:right>
    </x:border>
    <x:border>
      <x:left style="thin">
        <x:color rgb="FFD1D9E0"/>
      </x:left>
      <x:bottom style="thin">
        <x:color rgb="FFD1D9E0"/>
      </x:bottom>
    </x:border>
    <x:border>
      <x:right style="thin">
        <x:color rgb="FFD1D9E0"/>
      </x:right>
      <x:bottom style="thin">
        <x:color rgb="FFD1D9E0"/>
      </x:bottom>
    </x:border>
  </x:borders>
  <x:cellStyleXfs count="1">
    <x:xf numFmtId="0" fontId="0" fillId="0" borderId="0"/>
  </x:cellStyleXfs>
  <x:cellXfs count="1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5" fillId="0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5" fillId="4" borderId="11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200" fontId="5" fillId="4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5" fillId="4" borderId="13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4" fillId="3" borderId="8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5" fillId="4" borderId="11" xfId="0" applyNumberFormat="1" applyFont="1" applyFill="1" applyBorder="1" applyAlignment="1">
      <x:alignment vertical="center"/>
    </x:xf>
    <x:xf numFmtId="0" fontId="4" fillId="3" borderId="10" xfId="0" applyNumberFormat="1" applyFont="1" applyFill="1" applyBorder="1" applyAlignment="1">
      <x:alignment vertical="center"/>
    </x:xf>
    <x:xf numFmtId="0" fontId="4" fillId="3" borderId="11" xfId="0" applyNumberFormat="1" applyFont="1" applyFill="1" applyBorder="1" applyAlignment="1">
      <x:alignment vertical="center"/>
    </x:xf>
    <x:xf numFmtId="200" fontId="5" fillId="4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5" fillId="4" borderId="1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4" xfId="0" applyNumberFormat="1" applyFont="1" applyFill="1" applyBorder="1"/>
    <x:xf numFmtId="0" fontId="6" fillId="5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6" fillId="5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201" fontId="0" fillId="0" borderId="0" xfId="0" applyNumberFormat="1" applyFont="1" applyFill="1" applyBorder="1"/>
    <x:xf numFmtId="201" fontId="4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4" fillId="0" borderId="0" xfId="0" applyNumberFormat="1" applyFont="1" applyFill="1" applyBorder="1"/>
    <x:xf numFmtId="203" fontId="0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4" fontId="4" fillId="0" borderId="0" xfId="0" applyNumberFormat="1" applyFont="1" applyFill="1" applyBorder="1"/>
    <x:xf numFmtId="204" fontId="0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7" xfId="0" applyNumberFormat="1" applyFont="1" applyFill="1" applyBorder="1"/>
    <x:xf numFmtId="0" fontId="8" fillId="6" borderId="18" xfId="0" applyNumberFormat="1" applyFont="1" applyFill="1" applyBorder="1"/>
    <x:xf numFmtId="0" fontId="8" fillId="6" borderId="19" xfId="0" applyNumberFormat="1" applyFont="1" applyFill="1" applyBorder="1"/>
    <x:xf numFmtId="0" fontId="8" fillId="6" borderId="20" xfId="0" applyNumberFormat="1" applyFont="1" applyFill="1" applyBorder="1"/>
    <x:xf numFmtId="0" fontId="8" fillId="6" borderId="21" xfId="0" applyNumberFormat="1" applyFont="1" applyFill="1" applyBorder="1"/>
    <x:xf numFmtId="0" fontId="8" fillId="6" borderId="22" xfId="0" applyNumberFormat="1" applyFont="1" applyFill="1" applyBorder="1"/>
    <x:xf numFmtId="0" fontId="8" fillId="6" borderId="1" xfId="0" applyNumberFormat="1" applyFont="1" applyFill="1" applyBorder="1"/>
    <x:xf numFmtId="0" fontId="8" fillId="6" borderId="23" xfId="0" applyNumberFormat="1" applyFont="1" applyFill="1" applyBorder="1"/>
    <x:xf numFmtId="0" fontId="8" fillId="6" borderId="17" xfId="0" applyNumberFormat="1" applyFont="1" applyFill="1" applyBorder="1" applyAlignment="1">
      <x:alignment wrapText="1"/>
    </x:xf>
    <x:xf numFmtId="0" fontId="8" fillId="6" borderId="18" xfId="0" applyNumberFormat="1" applyFont="1" applyFill="1" applyBorder="1" applyAlignment="1">
      <x:alignment wrapText="1"/>
    </x:xf>
    <x:xf numFmtId="0" fontId="8" fillId="6" borderId="19" xfId="0" applyNumberFormat="1" applyFont="1" applyFill="1" applyBorder="1" applyAlignment="1">
      <x:alignment wrapText="1"/>
    </x:xf>
    <x:xf numFmtId="0" fontId="8" fillId="6" borderId="2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21" xfId="0" applyNumberFormat="1" applyFont="1" applyFill="1" applyBorder="1" applyAlignment="1">
      <x:alignment wrapText="1"/>
    </x:xf>
    <x:xf numFmtId="0" fontId="8" fillId="6" borderId="22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wrapText="1"/>
    </x:xf>
    <x:xf numFmtId="0" fontId="8" fillId="6" borderId="23" xfId="0" applyNumberFormat="1" applyFont="1" applyFill="1" applyBorder="1" applyAlignment="1">
      <x:alignment wrapText="1"/>
    </x:xf>
    <x:xf numFmtId="0" fontId="8" fillId="6" borderId="17" xfId="0" applyNumberFormat="1" applyFont="1" applyFill="1" applyBorder="1" applyAlignment="1">
      <x:alignment vertical="center" wrapText="1"/>
    </x:xf>
    <x:xf numFmtId="0" fontId="8" fillId="6" borderId="18" xfId="0" applyNumberFormat="1" applyFont="1" applyFill="1" applyBorder="1" applyAlignment="1">
      <x:alignment vertical="center" wrapText="1"/>
    </x:xf>
    <x:xf numFmtId="0" fontId="8" fillId="6" borderId="19" xfId="0" applyNumberFormat="1" applyFont="1" applyFill="1" applyBorder="1" applyAlignment="1">
      <x:alignment vertical="center" wrapText="1"/>
    </x:xf>
    <x:xf numFmtId="0" fontId="8" fillId="6" borderId="2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21" xfId="0" applyNumberFormat="1" applyFont="1" applyFill="1" applyBorder="1" applyAlignment="1">
      <x:alignment vertical="center" wrapText="1"/>
    </x:xf>
    <x:xf numFmtId="0" fontId="8" fillId="6" borderId="22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  <x:xf numFmtId="0" fontId="8" fillId="6" borderId="2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205" fontId="0" fillId="0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2">
    <x:dxf>
      <x:font>
        <x:b/>
        <x:color rgb="FFB42318"/>
      </x:font>
      <x:fill>
        <x:patternFill patternType="solid">
          <x:bgColor rgb="FFFCE8E6"/>
        </x:patternFill>
      </x:fill>
    </x:dxf>
    <x:dxf>
      <x:fill>
        <x:patternFill patternType="solid">
          <x:bgColor rgb="FFE8F4EC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ill>
        <x:patternFill patternType="solid">
          <x:bgColor rgb="FFE8F4EC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ill>
        <x:patternFill patternType="solid">
          <x:bgColor rgb="FFE8F4EC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ill>
        <x:patternFill patternType="solid">
          <x:bgColor rgb="FFE8F4EC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d271bf943d435b" /><Relationship Type="http://schemas.openxmlformats.org/officeDocument/2006/relationships/theme" Target="/xl/theme/theme1.xml" Id="R40c703f11ea94d58" /><Relationship Type="http://schemas.openxmlformats.org/officeDocument/2006/relationships/sharedStrings" Target="/xl/sharedStrings.xml" Id="R2f0180ddf1b64cc0" /><Relationship Type="http://schemas.openxmlformats.org/officeDocument/2006/relationships/worksheet" Target="/xl/worksheets/sheet1.xml" Id="R5e848eb3848f45a4" /><Relationship Type="http://schemas.openxmlformats.org/officeDocument/2006/relationships/worksheet" Target="/xl/worksheets/sheet2.xml" Id="R41f56a050ad9497e" /><Relationship Type="http://schemas.openxmlformats.org/officeDocument/2006/relationships/worksheet" Target="/xl/worksheets/sheet3.xml" Id="R7ab196f627c9420b" /><Relationship Type="http://schemas.openxmlformats.org/officeDocument/2006/relationships/worksheet" Target="/xl/worksheets/sheet4.xml" Id="R421da9c56d104c24" /><Relationship Type="http://schemas.openxmlformats.org/officeDocument/2006/relationships/worksheet" Target="/xl/worksheets/sheet5.xml" Id="Rabb1cd7a8af7402b" /><Relationship Type="http://schemas.openxmlformats.org/officeDocument/2006/relationships/worksheet" Target="/xl/worksheets/sheet6.xml" Id="R19dc904287614b61" /><Relationship Type="http://schemas.openxmlformats.org/officeDocument/2006/relationships/worksheet" Target="/xl/worksheets/sheet7.xml" Id="R221d3a675f1b4fbc" /><Relationship Type="http://schemas.openxmlformats.org/officeDocument/2006/relationships/worksheet" Target="/xl/worksheets/sheet8.xml" Id="Re7708ce98ea24567" /><Relationship Type="http://schemas.openxmlformats.org/officeDocument/2006/relationships/worksheet" Target="/xl/worksheets/sheet9.xml" Id="R48aab7d63fe2470f" /><Relationship Type="http://schemas.openxmlformats.org/officeDocument/2006/relationships/worksheet" Target="/xl/worksheets/sheet10.xml" Id="R46939a90c6cf465f" /><Relationship Type="http://schemas.openxmlformats.org/officeDocument/2006/relationships/worksheet" Target="/xl/worksheets/sheet11.xml" Id="R54c53064c7844852" /><Relationship Type="http://schemas.openxmlformats.org/officeDocument/2006/relationships/worksheet" Target="/xl/worksheets/sheet12.xml" Id="Rf551546ab8304176" /><Relationship Type="http://schemas.openxmlformats.org/officeDocument/2006/relationships/worksheet" Target="/xl/worksheets/sheet13.xml" Id="R56ba8eafaee54882" /><Relationship Type="http://schemas.openxmlformats.org/officeDocument/2006/relationships/worksheet" Target="/xl/worksheets/sheet14.xml" Id="R1d9716ac884e443b" /><Relationship Type="http://schemas.openxmlformats.org/officeDocument/2006/relationships/worksheet" Target="/xl/worksheets/sheet15.xml" Id="Rb41d3072ba0d4fde" /><Relationship Type="http://schemas.openxmlformats.org/officeDocument/2006/relationships/worksheet" Target="/xl/worksheets/sheet16.xml" Id="R2a34fd0b5118488c" /><Relationship Type="http://schemas.openxmlformats.org/officeDocument/2006/relationships/worksheet" Target="/xl/worksheets/sheet17.xml" Id="Rdc2a341eab1a4037" /><Relationship Type="http://schemas.openxmlformats.org/officeDocument/2006/relationships/worksheet" Target="/xl/worksheets/sheet18.xml" Id="R5754a32bb6534ad4" /><Relationship Type="http://schemas.openxmlformats.org/officeDocument/2006/relationships/worksheet" Target="/xl/worksheets/sheet19.xml" Id="R6440f2b82ab147bc" /><Relationship Type="http://schemas.openxmlformats.org/officeDocument/2006/relationships/worksheet" Target="/xl/worksheets/sheet20.xml" Id="R82c2cdc9da2541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/>
  </x:sheetViews>
  <x:sheetFormatPr defaultRowHeight="15"/>
  <x:cols>
    <x:col min="1" max="1" width="28" hidden="0" customWidth="1"/>
    <x:col min="2" max="2" width="19" hidden="0" customWidth="1"/>
    <x:col min="3" max="3" width="17" hidden="0" customWidth="1"/>
    <x:col min="4" max="4" width="52" hidden="0" customWidth="1"/>
    <x:col min="5" max="5" width="30" hidden="0" customWidth="1"/>
    <x:col min="6" max="6" width="22" hidden="0" customWidth="1"/>
    <x:col min="7" max="7" width="20" hidden="0" customWidth="1"/>
    <x:col min="8" max="8" width="48" hidden="0" customWidth="1"/>
  </x:cols>
  <x:sheetData>
    <x:row r="2">
      <x:c r="A2" s="38" t="str">
        <x:v>National fire-control service guarantee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40" t="str">
        <x:v>RBV-1 planning reference. C24 meets the selected four-part guarantee; all physical and release gates remain open or blocked.</x:v>
      </x:c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</x:row>
    <x:row r="6" ht="30" customHeight="1">
      <x:c r="A6" s="16" t="str">
        <x:v>Service result</x:v>
      </x:c>
      <x:c r="B6" s="17" t="str">
        <x:v>Value</x:v>
      </x:c>
      <x:c r="C6" s="17" t="str">
        <x:v>Unit</x:v>
      </x:c>
      <x:c r="D6" s="17" t="str">
        <x:v>Interpretation</x:v>
      </x:c>
      <x:c r="E6" s="17" t="str">
        <x:v>Economic result</x:v>
      </x:c>
      <x:c r="F6" s="17" t="str">
        <x:v>Value</x:v>
      </x:c>
      <x:c r="G6" s="17" t="str">
        <x:v>Unit</x:v>
      </x:c>
      <x:c r="H6" s="18" t="str">
        <x:v>Interpretation</x:v>
      </x:c>
      <x:c r="I6" s="39"/>
      <x:c r="J6" s="39"/>
    </x:row>
    <x:row r="7">
      <x:c r="A7" s="39" t="str">
        <x:v>Selected case</x:v>
      </x:c>
      <x:c r="B7" s="39" t="str">
        <x:f>'Assumptions'!$C$8</x:f>
        <x:v>C24</x:v>
      </x:c>
      <x:c r="C7" s="39" t="str">
        <x:v>case</x:v>
      </x:c>
      <x:c r="D7" s="39" t="str">
        <x:v>Least tested candidate meeting four entitlements</x:v>
      </x:c>
      <x:c r="E7" s="39" t="str">
        <x:v>Initial capital</x:v>
      </x:c>
      <x:c r="F7" s="121" t="n">
        <x:f>'Capital'!C18</x:f>
        <x:v>3641.201600006</x:v>
      </x:c>
      <x:c r="G7" s="39" t="str">
        <x:v>USD billions</x:v>
      </x:c>
      <x:c r="H7" s="39" t="str">
        <x:v>Dedicated upper bound</x:v>
      </x:c>
      <x:c r="I7" s="39"/>
      <x:c r="J7" s="39"/>
    </x:row>
    <x:row r="8">
      <x:c r="A8" s="39" t="str">
        <x:v>National groups</x:v>
      </x:c>
      <x:c r="B8" s="39" t="n">
        <x:f>'Allocation'!B11</x:f>
        <x:v>24</x:v>
      </x:c>
      <x:c r="C8" s="39" t="str">
        <x:v>groups</x:v>
      </x:c>
      <x:c r="D8" s="39" t="str">
        <x:v>Twelve sector, four compound, four global, four strategic</x:v>
      </x:c>
      <x:c r="E8" s="39" t="str">
        <x:v>Technology authority</x:v>
      </x:c>
      <x:c r="F8" s="121" t="n">
        <x:f>'Technology'!B15</x:f>
        <x:v>250</x:v>
      </x:c>
      <x:c r="G8" s="39" t="str">
        <x:v>USD billions</x:v>
      </x:c>
      <x:c r="H8" s="39" t="str">
        <x:v>Mission-led campaigns</x:v>
      </x:c>
      <x:c r="I8" s="39"/>
      <x:c r="J8" s="39"/>
    </x:row>
    <x:row r="9">
      <x:c r="A9" s="39" t="str">
        <x:v>Operational sets</x:v>
      </x:c>
      <x:c r="B9" s="39" t="n">
        <x:f>'Fleet'!C7</x:f>
        <x:v>192</x:v>
      </x:c>
      <x:c r="C9" s="39" t="str">
        <x:v>sets</x:v>
      </x:c>
      <x:c r="D9" s="39" t="str">
        <x:v>Seven rotation sets plus one reserve per group</x:v>
      </x:c>
      <x:c r="E9" s="39" t="str">
        <x:v>Mature annual support</x:v>
      </x:c>
      <x:c r="F9" s="121" t="n">
        <x:f>'Annual Support'!C15</x:f>
        <x:v>290.46564800018</x:v>
      </x:c>
      <x:c r="G9" s="39" t="str">
        <x:v>USD billions/year</x:v>
      </x:c>
      <x:c r="H9" s="39" t="str">
        <x:v>Public personnel and readiness</x:v>
      </x:c>
      <x:c r="I9" s="39"/>
      <x:c r="J9" s="39"/>
    </x:row>
    <x:row r="10">
      <x:c r="A10" s="39" t="str">
        <x:v>Total system bodies</x:v>
      </x:c>
      <x:c r="B10" s="39" t="n">
        <x:f>'Fleet'!C14</x:f>
        <x:v>256</x:v>
      </x:c>
      <x:c r="C10" s="39" t="str">
        <x:v>bodies</x:v>
      </x:c>
      <x:c r="D10" s="39" t="str">
        <x:v>Operational, specialist, float and replacement accounts</x:v>
      </x:c>
      <x:c r="E10" s="39" t="str">
        <x:v>Twenty-five-year public cost</x:v>
      </x:c>
      <x:c r="F10" s="121" t="n">
        <x:f>'Lifecycle'!C14</x:f>
        <x:v>12191.6411200114</x:v>
      </x:c>
      <x:c r="G10" s="39" t="str">
        <x:v>USD billions</x:v>
      </x:c>
      <x:c r="H10" s="39" t="str">
        <x:v>Undiscounted constant 2026 USD</x:v>
      </x:c>
      <x:c r="I10" s="39"/>
      <x:c r="J10" s="39"/>
    </x:row>
    <x:row r="11">
      <x:c r="A11" s="39" t="str">
        <x:v>Launch stations</x:v>
      </x:c>
      <x:c r="B11" s="39" t="n">
        <x:f>'Basing'!B18</x:f>
        <x:v>48</x:v>
      </x:c>
      <x:c r="C11" s="39" t="str">
        <x:v>stations</x:v>
      </x:c>
      <x:c r="D11" s="39" t="str">
        <x:v>Two root-balanced stations per group</x:v>
      </x:c>
      <x:c r="E11" s="39" t="str">
        <x:v>Force-capital share</x:v>
      </x:c>
      <x:c r="F11" s="72" t="n">
        <x:f>'Capital'!C20</x:f>
        <x:v>0.2398841557418802</x:v>
      </x:c>
      <x:c r="G11" s="39" t="str">
        <x:v>share</x:v>
      </x:c>
      <x:c r="H11" s="39" t="str">
        <x:v>Initial dedicated capital only</x:v>
      </x:c>
      <x:c r="I11" s="39"/>
      <x:c r="J11" s="39"/>
    </x:row>
    <x:row r="12">
      <x:c r="A12" s="39" t="str">
        <x:v>Arsenals</x:v>
      </x:c>
      <x:c r="B12" s="39" t="n">
        <x:f>'Basing'!B21</x:f>
        <x:v>18</x:v>
      </x:c>
      <x:c r="C12" s="39" t="str">
        <x:v>arsenals</x:v>
      </x:c>
      <x:c r="D12" s="39" t="str">
        <x:v>Three per four-group cell</x:v>
      </x:c>
      <x:c r="E12" s="39" t="str">
        <x:v>Public personnel</x:v>
      </x:c>
      <x:c r="F12" s="39" t="n">
        <x:f>'Workforce'!C19</x:f>
        <x:v>429440</x:v>
      </x:c>
      <x:c r="G12" s="39" t="str">
        <x:v>positions</x:v>
      </x:c>
      <x:c r="H12" s="39" t="str">
        <x:v>Operating, industrial and qualified reserve</x:v>
      </x:c>
      <x:c r="I12" s="39"/>
      <x:c r="J12" s="39"/>
    </x:row>
    <x:row r="13">
      <x:c r="A13" s="39" t="str">
        <x:v>Arsenal bays</x:v>
      </x:c>
      <x:c r="B13" s="39" t="n">
        <x:f>'Bay Capacity'!C14</x:f>
        <x:v>180</x:v>
      </x:c>
      <x:c r="C13" s="39" t="str">
        <x:v>bays</x:v>
      </x:c>
      <x:c r="D13" s="39" t="str">
        <x:v>Ten per arsenal</x:v>
      </x:c>
      <x:c r="E13" s="39" t="str">
        <x:v>System replacement</x:v>
      </x:c>
      <x:c r="F13" s="39" t="n">
        <x:f>'Production'!C8</x:f>
        <x:v>10</x:v>
      </x:c>
      <x:c r="G13" s="39" t="str">
        <x:v>bodies/year</x:v>
      </x:c>
      <x:c r="H13" s="39" t="str">
        <x:v>Either root must meet this rate</x:v>
      </x:c>
      <x:c r="I13" s="39"/>
      <x:c r="J13" s="39"/>
    </x:row>
    <x:row r="14">
      <x:c r="A14" s="39" t="str">
        <x:v>Residual bay margin</x:v>
      </x:c>
      <x:c r="B14" s="39" t="n">
        <x:f>'Bay Capacity'!C17</x:f>
        <x:v>8</x:v>
      </x:c>
      <x:c r="C14" s="39" t="str">
        <x:v>bays</x:v>
      </x:c>
      <x:c r="D14" s="39" t="str">
        <x:v>After one arsenal loss in every cell</x:v>
      </x:c>
      <x:c r="E14" s="39" t="str">
        <x:v>Mover replacement</x:v>
      </x:c>
      <x:c r="F14" s="39" t="n">
        <x:f>'Transport'!F7</x:f>
        <x:v>7040</x:v>
      </x:c>
      <x:c r="G14" s="39" t="str">
        <x:v>movers/year</x:v>
      </x:c>
      <x:c r="H14" s="39" t="str">
        <x:v>Either transport root must meet this rate</x:v>
      </x:c>
      <x:c r="I14" s="39"/>
      <x:c r="J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</x:row>
    <x:row r="17">
      <x:c r="A17" s="68" t="str">
        <x:v>Governing judgment</x:v>
      </x:c>
      <x:c r="B17" s="69"/>
      <x:c r="C17" s="69"/>
      <x:c r="D17" s="69"/>
      <x:c r="E17" s="69"/>
      <x:c r="F17" s="69"/>
      <x:c r="G17" s="69"/>
      <x:c r="H17" s="70"/>
      <x:c r="I17" s="39"/>
      <x:c r="J17" s="39"/>
    </x:row>
    <x:row r="18">
      <x:c r="A18" s="108" t="str">
        <x:v>C24 is a constitutional planning reference, not a demand forecast. Its dedicated initial capital equals about one quarter of the existing force-capital boundary, so RBW-1 must decide which transport, utility, command, maintenance and evidence assets become enforceable common-force capacity before geographic sites or exterior forms are frozen.</x:v>
      </x:c>
      <x:c r="B18" s="109"/>
      <x:c r="C18" s="109"/>
      <x:c r="D18" s="109"/>
      <x:c r="E18" s="109"/>
      <x:c r="F18" s="109"/>
      <x:c r="G18" s="109"/>
      <x:c r="H18" s="110"/>
      <x:c r="I18" s="39"/>
      <x:c r="J18" s="39"/>
    </x:row>
    <x:row r="19">
      <x:c r="A19" s="111"/>
      <x:c r="B19" s="112"/>
      <x:c r="C19" s="112"/>
      <x:c r="D19" s="112"/>
      <x:c r="E19" s="112"/>
      <x:c r="F19" s="112"/>
      <x:c r="G19" s="112"/>
      <x:c r="H19" s="113"/>
      <x:c r="I19" s="39"/>
      <x:c r="J19" s="39"/>
    </x:row>
    <x:row r="20">
      <x:c r="A20" s="114"/>
      <x:c r="B20" s="115"/>
      <x:c r="C20" s="115"/>
      <x:c r="D20" s="115"/>
      <x:c r="E20" s="115"/>
      <x:c r="F20" s="115"/>
      <x:c r="G20" s="115"/>
      <x:c r="H20" s="116"/>
      <x:c r="I20" s="39"/>
      <x:c r="J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</x:row>
    <x:row r="23" ht="30" customHeight="1">
      <x:c r="A23" s="16" t="str">
        <x:v>Status class</x:v>
      </x:c>
      <x:c r="B23" s="17" t="str">
        <x:v>Count</x:v>
      </x:c>
      <x:c r="C23" s="17" t="str">
        <x:v>Status</x:v>
      </x:c>
      <x:c r="D23" s="18" t="str">
        <x:v>Meaning</x:v>
      </x:c>
      <x:c r="E23" s="39"/>
      <x:c r="F23" s="39"/>
      <x:c r="G23" s="39"/>
      <x:c r="H23" s="39"/>
      <x:c r="I23" s="39"/>
      <x:c r="J23" s="39"/>
    </x:row>
    <x:row r="24">
      <x:c r="A24" s="39" t="str">
        <x:v>Planning propositions</x:v>
      </x:c>
      <x:c r="B24" s="39" t="n">
        <x:v>72</x:v>
      </x:c>
      <x:c r="C24" s="39" t="str">
        <x:v>PASS</x:v>
      </x:c>
      <x:c r="D24" s="39" t="str">
        <x:v>Internal reconciliation only</x:v>
      </x:c>
      <x:c r="E24" s="39"/>
      <x:c r="F24" s="39"/>
      <x:c r="G24" s="39"/>
      <x:c r="H24" s="39"/>
      <x:c r="I24" s="39"/>
      <x:c r="J24" s="39"/>
    </x:row>
    <x:row r="25">
      <x:c r="A25" s="39" t="str">
        <x:v>Physical gates</x:v>
      </x:c>
      <x:c r="B25" s="39" t="n">
        <x:v>56</x:v>
      </x:c>
      <x:c r="C25" s="122" t="str">
        <x:v>OPEN</x:v>
      </x:c>
      <x:c r="D25" s="39" t="str">
        <x:v>Observed work required</x:v>
      </x:c>
      <x:c r="E25" s="39"/>
      <x:c r="F25" s="39"/>
      <x:c r="G25" s="39"/>
      <x:c r="H25" s="39"/>
      <x:c r="I25" s="39"/>
      <x:c r="J25" s="39"/>
    </x:row>
    <x:row r="26">
      <x:c r="A26" s="39" t="str">
        <x:v>Release gates</x:v>
      </x:c>
      <x:c r="B26" s="39" t="n">
        <x:v>12</x:v>
      </x:c>
      <x:c r="C26" s="123" t="str">
        <x:v>BLOCKED</x:v>
      </x:c>
      <x:c r="D26" s="39" t="str">
        <x:v>No fielding or rendering authority</x:v>
      </x:c>
      <x:c r="E26" s="39"/>
      <x:c r="F26" s="39"/>
      <x:c r="G26" s="39"/>
      <x:c r="H26" s="39"/>
      <x:c r="I26" s="39"/>
      <x:c r="J26" s="39"/>
    </x:row>
  </x:sheetData>
  <x:mergeCells>
    <x:mergeCell ref="A2:J2"/>
    <x:mergeCell ref="A3:J3"/>
    <x:mergeCell ref="A17:H17"/>
    <x:mergeCell ref="A18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A7F8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4" hidden="0" customWidth="1"/>
    <x:col min="2" max="2" width="39" hidden="0" customWidth="1"/>
    <x:col min="3" max="3" width="18" hidden="0" customWidth="1"/>
    <x:col min="4" max="4" width="22" hidden="0" customWidth="1"/>
    <x:col min="5" max="5" width="62" hidden="0" customWidth="1"/>
  </x:cols>
  <x:sheetData>
    <x:row r="2">
      <x:c r="A2" s="38" t="str">
        <x:v>National fire-control allocation assumptions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40" t="str">
        <x:v>Blue values are editable planning inputs. The selected case is authoritative across the workbook.</x:v>
      </x:c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</x:row>
    <x:row r="5" ht="30" customHeight="1">
      <x:c r="A5" s="16" t="str">
        <x:v>Code</x:v>
      </x:c>
      <x:c r="B5" s="17" t="str">
        <x:v>Input</x:v>
      </x:c>
      <x:c r="C5" s="17" t="str">
        <x:v>Value</x:v>
      </x:c>
      <x:c r="D5" s="17" t="str">
        <x:v>Unit</x:v>
      </x:c>
      <x:c r="E5" s="18" t="str">
        <x:v>Definition</x:v>
      </x:c>
      <x:c r="F5" s="39"/>
      <x:c r="G5" s="39"/>
      <x:c r="H5" s="39"/>
      <x:c r="I5" s="39"/>
      <x:c r="J5" s="39"/>
    </x:row>
    <x:row r="6">
      <x:c r="A6" s="42" t="str">
        <x:v>Case selection and service candidates</x:v>
      </x:c>
      <x:c r="B6" s="43" t="str">
        <x:v>Case selection and service candidates</x:v>
      </x:c>
      <x:c r="C6" s="43" t="str">
        <x:v>Case selection and service candidates</x:v>
      </x:c>
      <x:c r="D6" s="43" t="str">
        <x:v>Case selection and service candidates</x:v>
      </x:c>
      <x:c r="E6" s="43" t="str">
        <x:v>Case selection and service candidates</x:v>
      </x:c>
      <x:c r="F6" s="39"/>
      <x:c r="G6" s="39"/>
      <x:c r="H6" s="39"/>
      <x:c r="I6" s="39"/>
      <x:c r="J6" s="39"/>
    </x:row>
    <x:row r="7">
      <x:c r="A7" s="44" t="str">
        <x:v>case_index</x:v>
      </x:c>
      <x:c r="B7" s="45" t="str">
        <x:v>Selected case index</x:v>
      </x:c>
      <x:c r="C7" s="46" t="n">
        <x:v>3</x:v>
      </x:c>
      <x:c r="D7" s="45" t="str">
        <x:v>1–4</x:v>
      </x:c>
      <x:c r="E7" s="45" t="str">
        <x:v>1=A12, 2=B18, 3=C24, 4=D30</x:v>
      </x:c>
      <x:c r="F7" s="39"/>
      <x:c r="G7" s="39"/>
      <x:c r="H7" s="39"/>
      <x:c r="I7" s="39"/>
      <x:c r="J7" s="39"/>
    </x:row>
    <x:row r="8">
      <x:c r="A8" s="44" t="str">
        <x:v>case_name</x:v>
      </x:c>
      <x:c r="B8" s="45" t="str">
        <x:v>Selected case</x:v>
      </x:c>
      <x:c r="C8" s="45" t="str">
        <x:f>CHOOSE(C7,"A12","B18","C24","D30")</x:f>
        <x:v>C24</x:v>
      </x:c>
      <x:c r="D8" s="45" t="str">
        <x:v>case</x:v>
      </x:c>
      <x:c r="E8" s="45" t="str">
        <x:v>Linked name</x:v>
      </x:c>
      <x:c r="F8" s="39"/>
      <x:c r="G8" s="39"/>
      <x:c r="H8" s="39"/>
      <x:c r="I8" s="39"/>
      <x:c r="J8" s="39"/>
    </x:row>
    <x:row r="9">
      <x:c r="A9" s="44" t="str">
        <x:v>req_sector</x:v>
      </x:c>
      <x:c r="B9" s="45" t="str">
        <x:v>Sector-line entitlement</x:v>
      </x:c>
      <x:c r="C9" s="46" t="n">
        <x:v>12</x:v>
      </x:c>
      <x:c r="D9" s="45" t="str">
        <x:v>groups</x:v>
      </x:c>
      <x:c r="E9" s="45" t="str">
        <x:v>Hard entitlement used in this pass</x:v>
      </x:c>
      <x:c r="F9" s="39"/>
      <x:c r="G9" s="39"/>
      <x:c r="H9" s="39"/>
      <x:c r="I9" s="39"/>
      <x:c r="J9" s="39"/>
    </x:row>
    <x:row r="10">
      <x:c r="A10" s="44" t="str">
        <x:v>req_compound</x:v>
      </x:c>
      <x:c r="B10" s="45" t="str">
        <x:v>Compound-event entitlement</x:v>
      </x:c>
      <x:c r="C10" s="46" t="n">
        <x:v>4</x:v>
      </x:c>
      <x:c r="D10" s="45" t="str">
        <x:v>groups</x:v>
      </x:c>
      <x:c r="E10" s="45" t="str">
        <x:v>Additional domestic lines</x:v>
      </x:c>
      <x:c r="F10" s="39"/>
      <x:c r="G10" s="39"/>
      <x:c r="H10" s="39"/>
      <x:c r="I10" s="39"/>
      <x:c r="J10" s="39"/>
    </x:row>
    <x:row r="11">
      <x:c r="A11" s="44" t="str">
        <x:v>req_global</x:v>
      </x:c>
      <x:c r="B11" s="45" t="str">
        <x:v>Invited global entitlement</x:v>
      </x:c>
      <x:c r="C11" s="46" t="n">
        <x:v>4</x:v>
      </x:c>
      <x:c r="D11" s="45" t="str">
        <x:v>groups</x:v>
      </x:c>
      <x:c r="E11" s="45" t="str">
        <x:v>Subordinate to domestic floor</x:v>
      </x:c>
      <x:c r="F11" s="39"/>
      <x:c r="G11" s="39"/>
      <x:c r="H11" s="39"/>
      <x:c r="I11" s="39"/>
      <x:c r="J11" s="39"/>
    </x:row>
    <x:row r="12">
      <x:c r="A12" s="44" t="str">
        <x:v>req_strategic</x:v>
      </x:c>
      <x:c r="B12" s="45" t="str">
        <x:v>Strategic-reserve entitlement</x:v>
      </x:c>
      <x:c r="C12" s="46" t="n">
        <x:v>4</x:v>
      </x:c>
      <x:c r="D12" s="45" t="str">
        <x:v>groups</x:v>
      </x:c>
      <x:c r="E12" s="45" t="str">
        <x:v>Protected from routine use</x:v>
      </x:c>
      <x:c r="F12" s="39"/>
      <x:c r="G12" s="39"/>
      <x:c r="H12" s="39"/>
      <x:c r="I12" s="39"/>
      <x:c r="J12" s="39"/>
    </x:row>
    <x:row r="13">
      <x:c r="A13" s="44" t="str">
        <x:v>a_sector</x:v>
      </x:c>
      <x:c r="B13" s="45" t="str">
        <x:v>A12 sector groups</x:v>
      </x:c>
      <x:c r="C13" s="46" t="n">
        <x:v>12</x:v>
      </x:c>
      <x:c r="D13" s="45" t="str">
        <x:v>groups</x:v>
      </x:c>
      <x:c r="E13" s="45" t="str">
        <x:v>Candidate A12</x:v>
      </x:c>
      <x:c r="F13" s="39"/>
      <x:c r="G13" s="39"/>
      <x:c r="H13" s="39"/>
      <x:c r="I13" s="39"/>
      <x:c r="J13" s="39"/>
    </x:row>
    <x:row r="14">
      <x:c r="A14" s="44" t="str">
        <x:v>a_compound</x:v>
      </x:c>
      <x:c r="B14" s="45" t="str">
        <x:v>A12 compound groups</x:v>
      </x:c>
      <x:c r="C14" s="46" t="n">
        <x:v>0</x:v>
      </x:c>
      <x:c r="D14" s="45" t="str">
        <x:v>groups</x:v>
      </x:c>
      <x:c r="E14" s="45" t="str">
        <x:v>Candidate A12</x:v>
      </x:c>
      <x:c r="F14" s="39"/>
      <x:c r="G14" s="39"/>
      <x:c r="H14" s="39"/>
      <x:c r="I14" s="39"/>
      <x:c r="J14" s="39"/>
    </x:row>
    <x:row r="15">
      <x:c r="A15" s="44" t="str">
        <x:v>a_global</x:v>
      </x:c>
      <x:c r="B15" s="45" t="str">
        <x:v>A12 global groups</x:v>
      </x:c>
      <x:c r="C15" s="46" t="n">
        <x:v>0</x:v>
      </x:c>
      <x:c r="D15" s="45" t="str">
        <x:v>groups</x:v>
      </x:c>
      <x:c r="E15" s="45" t="str">
        <x:v>Candidate A12</x:v>
      </x:c>
      <x:c r="F15" s="39"/>
      <x:c r="G15" s="39"/>
      <x:c r="H15" s="39"/>
      <x:c r="I15" s="39"/>
      <x:c r="J15" s="39"/>
    </x:row>
    <x:row r="16">
      <x:c r="A16" s="44" t="str">
        <x:v>a_strategic</x:v>
      </x:c>
      <x:c r="B16" s="45" t="str">
        <x:v>A12 strategic groups</x:v>
      </x:c>
      <x:c r="C16" s="46" t="n">
        <x:v>0</x:v>
      </x:c>
      <x:c r="D16" s="45" t="str">
        <x:v>groups</x:v>
      </x:c>
      <x:c r="E16" s="45" t="str">
        <x:v>Candidate A12</x:v>
      </x:c>
      <x:c r="F16" s="39"/>
      <x:c r="G16" s="39"/>
      <x:c r="H16" s="39"/>
      <x:c r="I16" s="39"/>
      <x:c r="J16" s="39"/>
    </x:row>
    <x:row r="17">
      <x:c r="A17" s="44" t="str">
        <x:v>b_sector</x:v>
      </x:c>
      <x:c r="B17" s="45" t="str">
        <x:v>B18 sector groups</x:v>
      </x:c>
      <x:c r="C17" s="46" t="n">
        <x:v>12</x:v>
      </x:c>
      <x:c r="D17" s="45" t="str">
        <x:v>groups</x:v>
      </x:c>
      <x:c r="E17" s="45" t="str">
        <x:v>Candidate B18</x:v>
      </x:c>
      <x:c r="F17" s="39"/>
      <x:c r="G17" s="39"/>
      <x:c r="H17" s="39"/>
      <x:c r="I17" s="39"/>
      <x:c r="J17" s="39"/>
    </x:row>
    <x:row r="18">
      <x:c r="A18" s="44" t="str">
        <x:v>b_compound</x:v>
      </x:c>
      <x:c r="B18" s="45" t="str">
        <x:v>B18 compound groups</x:v>
      </x:c>
      <x:c r="C18" s="46" t="n">
        <x:v>4</x:v>
      </x:c>
      <x:c r="D18" s="45" t="str">
        <x:v>groups</x:v>
      </x:c>
      <x:c r="E18" s="45" t="str">
        <x:v>Candidate B18</x:v>
      </x:c>
      <x:c r="F18" s="39"/>
      <x:c r="G18" s="39"/>
      <x:c r="H18" s="39"/>
      <x:c r="I18" s="39"/>
      <x:c r="J18" s="39"/>
    </x:row>
    <x:row r="19">
      <x:c r="A19" s="44" t="str">
        <x:v>b_global</x:v>
      </x:c>
      <x:c r="B19" s="45" t="str">
        <x:v>B18 global groups</x:v>
      </x:c>
      <x:c r="C19" s="46" t="n">
        <x:v>0</x:v>
      </x:c>
      <x:c r="D19" s="45" t="str">
        <x:v>groups</x:v>
      </x:c>
      <x:c r="E19" s="45" t="str">
        <x:v>Candidate B18</x:v>
      </x:c>
      <x:c r="F19" s="39"/>
      <x:c r="G19" s="39"/>
      <x:c r="H19" s="39"/>
      <x:c r="I19" s="39"/>
      <x:c r="J19" s="39"/>
    </x:row>
    <x:row r="20">
      <x:c r="A20" s="44" t="str">
        <x:v>b_strategic</x:v>
      </x:c>
      <x:c r="B20" s="45" t="str">
        <x:v>B18 strategic groups</x:v>
      </x:c>
      <x:c r="C20" s="46" t="n">
        <x:v>2</x:v>
      </x:c>
      <x:c r="D20" s="45" t="str">
        <x:v>groups</x:v>
      </x:c>
      <x:c r="E20" s="45" t="str">
        <x:v>Candidate B18</x:v>
      </x:c>
      <x:c r="F20" s="39"/>
      <x:c r="G20" s="39"/>
      <x:c r="H20" s="39"/>
      <x:c r="I20" s="39"/>
      <x:c r="J20" s="39"/>
    </x:row>
    <x:row r="21">
      <x:c r="A21" s="44" t="str">
        <x:v>c_sector</x:v>
      </x:c>
      <x:c r="B21" s="45" t="str">
        <x:v>C24 sector groups</x:v>
      </x:c>
      <x:c r="C21" s="46" t="n">
        <x:v>12</x:v>
      </x:c>
      <x:c r="D21" s="45" t="str">
        <x:v>groups</x:v>
      </x:c>
      <x:c r="E21" s="45" t="str">
        <x:v>Candidate C24</x:v>
      </x:c>
      <x:c r="F21" s="39"/>
      <x:c r="G21" s="39"/>
      <x:c r="H21" s="39"/>
      <x:c r="I21" s="39"/>
      <x:c r="J21" s="39"/>
    </x:row>
    <x:row r="22">
      <x:c r="A22" s="44" t="str">
        <x:v>c_compound</x:v>
      </x:c>
      <x:c r="B22" s="45" t="str">
        <x:v>C24 compound groups</x:v>
      </x:c>
      <x:c r="C22" s="46" t="n">
        <x:v>4</x:v>
      </x:c>
      <x:c r="D22" s="45" t="str">
        <x:v>groups</x:v>
      </x:c>
      <x:c r="E22" s="45" t="str">
        <x:v>Candidate C24</x:v>
      </x:c>
      <x:c r="F22" s="39"/>
      <x:c r="G22" s="39"/>
      <x:c r="H22" s="39"/>
      <x:c r="I22" s="39"/>
      <x:c r="J22" s="39"/>
    </x:row>
    <x:row r="23">
      <x:c r="A23" s="44" t="str">
        <x:v>c_global</x:v>
      </x:c>
      <x:c r="B23" s="45" t="str">
        <x:v>C24 global groups</x:v>
      </x:c>
      <x:c r="C23" s="46" t="n">
        <x:v>4</x:v>
      </x:c>
      <x:c r="D23" s="45" t="str">
        <x:v>groups</x:v>
      </x:c>
      <x:c r="E23" s="45" t="str">
        <x:v>Candidate C24</x:v>
      </x:c>
      <x:c r="F23" s="39"/>
      <x:c r="G23" s="39"/>
      <x:c r="H23" s="39"/>
      <x:c r="I23" s="39"/>
      <x:c r="J23" s="39"/>
    </x:row>
    <x:row r="24">
      <x:c r="A24" s="44" t="str">
        <x:v>c_strategic</x:v>
      </x:c>
      <x:c r="B24" s="45" t="str">
        <x:v>C24 strategic groups</x:v>
      </x:c>
      <x:c r="C24" s="46" t="n">
        <x:v>4</x:v>
      </x:c>
      <x:c r="D24" s="45" t="str">
        <x:v>groups</x:v>
      </x:c>
      <x:c r="E24" s="45" t="str">
        <x:v>Candidate C24</x:v>
      </x:c>
      <x:c r="F24" s="39"/>
      <x:c r="G24" s="39"/>
      <x:c r="H24" s="39"/>
      <x:c r="I24" s="39"/>
      <x:c r="J24" s="39"/>
    </x:row>
    <x:row r="25">
      <x:c r="A25" s="44" t="str">
        <x:v>d_sector</x:v>
      </x:c>
      <x:c r="B25" s="45" t="str">
        <x:v>D30 sector groups</x:v>
      </x:c>
      <x:c r="C25" s="46" t="n">
        <x:v>16</x:v>
      </x:c>
      <x:c r="D25" s="45" t="str">
        <x:v>groups</x:v>
      </x:c>
      <x:c r="E25" s="45" t="str">
        <x:v>Candidate D30</x:v>
      </x:c>
      <x:c r="F25" s="39"/>
      <x:c r="G25" s="39"/>
      <x:c r="H25" s="39"/>
      <x:c r="I25" s="39"/>
      <x:c r="J25" s="39"/>
    </x:row>
    <x:row r="26">
      <x:c r="A26" s="44" t="str">
        <x:v>d_compound</x:v>
      </x:c>
      <x:c r="B26" s="45" t="str">
        <x:v>D30 compound groups</x:v>
      </x:c>
      <x:c r="C26" s="46" t="n">
        <x:v>6</x:v>
      </x:c>
      <x:c r="D26" s="45" t="str">
        <x:v>groups</x:v>
      </x:c>
      <x:c r="E26" s="45" t="str">
        <x:v>Candidate D30</x:v>
      </x:c>
      <x:c r="F26" s="39"/>
      <x:c r="G26" s="39"/>
      <x:c r="H26" s="39"/>
      <x:c r="I26" s="39"/>
      <x:c r="J26" s="39"/>
    </x:row>
    <x:row r="27">
      <x:c r="A27" s="44" t="str">
        <x:v>d_global</x:v>
      </x:c>
      <x:c r="B27" s="45" t="str">
        <x:v>D30 global groups</x:v>
      </x:c>
      <x:c r="C27" s="46" t="n">
        <x:v>4</x:v>
      </x:c>
      <x:c r="D27" s="45" t="str">
        <x:v>groups</x:v>
      </x:c>
      <x:c r="E27" s="45" t="str">
        <x:v>Candidate D30</x:v>
      </x:c>
      <x:c r="F27" s="39"/>
      <x:c r="G27" s="39"/>
      <x:c r="H27" s="39"/>
      <x:c r="I27" s="39"/>
      <x:c r="J27" s="39"/>
    </x:row>
    <x:row r="28">
      <x:c r="A28" s="44" t="str">
        <x:v>d_strategic</x:v>
      </x:c>
      <x:c r="B28" s="45" t="str">
        <x:v>D30 strategic groups</x:v>
      </x:c>
      <x:c r="C28" s="46" t="n">
        <x:v>4</x:v>
      </x:c>
      <x:c r="D28" s="45" t="str">
        <x:v>groups</x:v>
      </x:c>
      <x:c r="E28" s="45" t="str">
        <x:v>Candidate D30</x:v>
      </x:c>
      <x:c r="F28" s="39"/>
      <x:c r="G28" s="39"/>
      <x:c r="H28" s="39"/>
      <x:c r="I28" s="39"/>
      <x:c r="J28" s="39"/>
    </x:row>
    <x:row r="29">
      <x:c r="A29" s="44" t="str">
        <x:v>active_sector</x:v>
      </x:c>
      <x:c r="B29" s="45" t="str">
        <x:v>Active sector groups</x:v>
      </x:c>
      <x:c r="C29" s="45" t="n">
        <x:f>CHOOSE(C7,C13,C17,C21,C25)</x:f>
        <x:v>12</x:v>
      </x:c>
      <x:c r="D29" s="45" t="str">
        <x:v>groups</x:v>
      </x:c>
      <x:c r="E29" s="45" t="str">
        <x:v>Selected case value</x:v>
      </x:c>
      <x:c r="F29" s="39"/>
      <x:c r="G29" s="39"/>
      <x:c r="H29" s="39"/>
      <x:c r="I29" s="39"/>
      <x:c r="J29" s="39"/>
    </x:row>
    <x:row r="30">
      <x:c r="A30" s="44" t="str">
        <x:v>active_compound</x:v>
      </x:c>
      <x:c r="B30" s="45" t="str">
        <x:v>Active compound groups</x:v>
      </x:c>
      <x:c r="C30" s="45" t="n">
        <x:f>CHOOSE(C7,C14,C18,C22,C26)</x:f>
        <x:v>4</x:v>
      </x:c>
      <x:c r="D30" s="45" t="str">
        <x:v>groups</x:v>
      </x:c>
      <x:c r="E30" s="45" t="str">
        <x:v>Selected case value</x:v>
      </x:c>
      <x:c r="F30" s="39"/>
      <x:c r="G30" s="39"/>
      <x:c r="H30" s="39"/>
      <x:c r="I30" s="39"/>
      <x:c r="J30" s="39"/>
    </x:row>
    <x:row r="31">
      <x:c r="A31" s="44" t="str">
        <x:v>active_global</x:v>
      </x:c>
      <x:c r="B31" s="45" t="str">
        <x:v>Active global groups</x:v>
      </x:c>
      <x:c r="C31" s="45" t="n">
        <x:f>CHOOSE(C7,C15,C19,C23,C27)</x:f>
        <x:v>4</x:v>
      </x:c>
      <x:c r="D31" s="45" t="str">
        <x:v>groups</x:v>
      </x:c>
      <x:c r="E31" s="45" t="str">
        <x:v>Selected case value</x:v>
      </x:c>
      <x:c r="F31" s="39"/>
      <x:c r="G31" s="39"/>
      <x:c r="H31" s="39"/>
      <x:c r="I31" s="39"/>
      <x:c r="J31" s="39"/>
    </x:row>
    <x:row r="32">
      <x:c r="A32" s="44" t="str">
        <x:v>active_strategic</x:v>
      </x:c>
      <x:c r="B32" s="45" t="str">
        <x:v>Active strategic groups</x:v>
      </x:c>
      <x:c r="C32" s="45" t="n">
        <x:f>CHOOSE(C7,C16,C20,C24,C28)</x:f>
        <x:v>4</x:v>
      </x:c>
      <x:c r="D32" s="45" t="str">
        <x:v>groups</x:v>
      </x:c>
      <x:c r="E32" s="45" t="str">
        <x:v>Selected case value</x:v>
      </x:c>
      <x:c r="F32" s="39"/>
      <x:c r="G32" s="39"/>
      <x:c r="H32" s="39"/>
      <x:c r="I32" s="39"/>
      <x:c r="J32" s="39"/>
    </x:row>
    <x:row r="33">
      <x:c r="A33" s="47" t="str">
        <x:v>Group, mission and fleet cycle</x:v>
      </x:c>
      <x:c r="B33" s="48" t="str">
        <x:v>Group, mission and fleet cycle</x:v>
      </x:c>
      <x:c r="C33" s="48" t="str">
        <x:v>Group, mission and fleet cycle</x:v>
      </x:c>
      <x:c r="D33" s="48" t="str">
        <x:v>Group, mission and fleet cycle</x:v>
      </x:c>
      <x:c r="E33" s="48" t="str">
        <x:v>Group, mission and fleet cycle</x:v>
      </x:c>
      <x:c r="F33" s="39"/>
      <x:c r="G33" s="39"/>
      <x:c r="H33" s="39"/>
      <x:c r="I33" s="39"/>
      <x:c r="J33" s="39"/>
    </x:row>
    <x:row r="34">
      <x:c r="A34" s="44" t="str">
        <x:v>occupied_hours</x:v>
      </x:c>
      <x:c r="B34" s="45" t="str">
        <x:v>Set occupied interval</x:v>
      </x:c>
      <x:c r="C34" s="46" t="n">
        <x:v>450</x:v>
      </x:c>
      <x:c r="D34" s="45" t="str">
        <x:v>hours</x:v>
      </x:c>
      <x:c r="E34" s="45" t="str">
        <x:v>Establish through full return</x:v>
      </x:c>
      <x:c r="F34" s="39"/>
      <x:c r="G34" s="39"/>
      <x:c r="H34" s="39"/>
      <x:c r="I34" s="39"/>
      <x:c r="J34" s="39"/>
    </x:row>
    <x:row r="35">
      <x:c r="A35" s="44" t="str">
        <x:v>line_interval</x:v>
      </x:c>
      <x:c r="B35" s="45" t="str">
        <x:v>Set issue interval</x:v>
      </x:c>
      <x:c r="C35" s="46" t="n">
        <x:v>72</x:v>
      </x:c>
      <x:c r="D35" s="45" t="str">
        <x:v>hours</x:v>
      </x:c>
      <x:c r="E35" s="45" t="str">
        <x:v>One DFC-72 mission interval</x:v>
      </x:c>
      <x:c r="F35" s="39"/>
      <x:c r="G35" s="39"/>
      <x:c r="H35" s="39"/>
      <x:c r="I35" s="39"/>
      <x:c r="J35" s="39"/>
    </x:row>
    <x:row r="36">
      <x:c r="A36" s="44" t="str">
        <x:v>protected_sets</x:v>
      </x:c>
      <x:c r="B36" s="45" t="str">
        <x:v>Protected onset reserve per group</x:v>
      </x:c>
      <x:c r="C36" s="46" t="n">
        <x:v>1</x:v>
      </x:c>
      <x:c r="D36" s="45" t="str">
        <x:v>sets</x:v>
      </x:c>
      <x:c r="E36" s="45" t="str">
        <x:v>Not routine rotation</x:v>
      </x:c>
      <x:c r="F36" s="39"/>
      <x:c r="G36" s="39"/>
      <x:c r="H36" s="39"/>
      <x:c r="I36" s="39"/>
      <x:c r="J36" s="39"/>
    </x:row>
    <x:row r="37">
      <x:c r="A37" s="44" t="str">
        <x:v>training_ratio</x:v>
      </x:c>
      <x:c r="B37" s="45" t="str">
        <x:v>Groups per training body</x:v>
      </x:c>
      <x:c r="C37" s="46" t="n">
        <x:v>2</x:v>
      </x:c>
      <x:c r="D37" s="45" t="str">
        <x:v>groups/body</x:v>
      </x:c>
      <x:c r="E37" s="45" t="str">
        <x:v>One training body per two groups</x:v>
      </x:c>
      <x:c r="F37" s="39"/>
      <x:c r="G37" s="39"/>
      <x:c r="H37" s="39"/>
      <x:c r="I37" s="39"/>
      <x:c r="J37" s="39"/>
    </x:row>
    <x:row r="38">
      <x:c r="A38" s="44" t="str">
        <x:v>eval_ratio</x:v>
      </x:c>
      <x:c r="B38" s="45" t="str">
        <x:v>Groups per evaluation body</x:v>
      </x:c>
      <x:c r="C38" s="46" t="n">
        <x:v>4</x:v>
      </x:c>
      <x:c r="D38" s="45" t="str">
        <x:v>groups/body</x:v>
      </x:c>
      <x:c r="E38" s="45" t="str">
        <x:v>One independent body per arsenal cell</x:v>
      </x:c>
      <x:c r="F38" s="39"/>
      <x:c r="G38" s="39"/>
      <x:c r="H38" s="39"/>
      <x:c r="I38" s="39"/>
      <x:c r="J38" s="39"/>
    </x:row>
    <x:row r="39">
      <x:c r="A39" s="44" t="str">
        <x:v>cold_bodies</x:v>
      </x:c>
      <x:c r="B39" s="45" t="str">
        <x:v>Cold-reference bodies</x:v>
      </x:c>
      <x:c r="C39" s="46" t="n">
        <x:v>4</x:v>
      </x:c>
      <x:c r="D39" s="45" t="str">
        <x:v>bodies</x:v>
      </x:c>
      <x:c r="E39" s="45" t="str">
        <x:v>Two roots by two environments</x:v>
      </x:c>
      <x:c r="F39" s="39"/>
      <x:c r="G39" s="39"/>
      <x:c r="H39" s="39"/>
      <x:c r="I39" s="39"/>
      <x:c r="J39" s="39"/>
    </x:row>
    <x:row r="40">
      <x:c r="A40" s="44" t="str">
        <x:v>destructive_ratio</x:v>
      </x:c>
      <x:c r="B40" s="45" t="str">
        <x:v>Groups per destructive body</x:v>
      </x:c>
      <x:c r="C40" s="46" t="n">
        <x:v>4</x:v>
      </x:c>
      <x:c r="D40" s="45" t="str">
        <x:v>groups/body</x:v>
      </x:c>
      <x:c r="E40" s="45" t="str">
        <x:v>One per arsenal cell</x:v>
      </x:c>
      <x:c r="F40" s="39"/>
      <x:c r="G40" s="39"/>
      <x:c r="H40" s="39"/>
      <x:c r="I40" s="39"/>
      <x:c r="J40" s="39"/>
    </x:row>
    <x:row r="41">
      <x:c r="A41" s="44" t="str">
        <x:v>overhaul_days</x:v>
      </x:c>
      <x:c r="B41" s="45" t="str">
        <x:v>Deep-overhaul occupancy</x:v>
      </x:c>
      <x:c r="C41" s="46" t="n">
        <x:v>90</x:v>
      </x:c>
      <x:c r="D41" s="45" t="str">
        <x:v>days</x:v>
      </x:c>
      <x:c r="E41" s="45" t="str">
        <x:v>Planning input</x:v>
      </x:c>
      <x:c r="F41" s="39"/>
      <x:c r="G41" s="39"/>
      <x:c r="H41" s="39"/>
      <x:c r="I41" s="39"/>
      <x:c r="J41" s="39"/>
    </x:row>
    <x:row r="42">
      <x:c r="A42" s="44" t="str">
        <x:v>overhaul_interval</x:v>
      </x:c>
      <x:c r="B42" s="45" t="str">
        <x:v>Deep-overhaul interval</x:v>
      </x:c>
      <x:c r="C42" s="46" t="n">
        <x:v>3</x:v>
      </x:c>
      <x:c r="D42" s="45" t="str">
        <x:v>years</x:v>
      </x:c>
      <x:c r="E42" s="45" t="str">
        <x:v>Planning input</x:v>
      </x:c>
      <x:c r="F42" s="39"/>
      <x:c r="G42" s="39"/>
      <x:c r="H42" s="39"/>
      <x:c r="I42" s="39"/>
      <x:c r="J42" s="39"/>
    </x:row>
    <x:row r="43">
      <x:c r="A43" s="44" t="str">
        <x:v>depot_contingency</x:v>
      </x:c>
      <x:c r="B43" s="45" t="str">
        <x:v>Depot-float capacity contingency</x:v>
      </x:c>
      <x:c r="C43" s="49" t="n">
        <x:v>0.5</x:v>
      </x:c>
      <x:c r="D43" s="45" t="str">
        <x:v>share</x:v>
      </x:c>
      <x:c r="E43" s="45" t="str">
        <x:v>Applied to expected occupancy</x:v>
      </x:c>
      <x:c r="F43" s="39"/>
      <x:c r="G43" s="39"/>
      <x:c r="H43" s="39"/>
      <x:c r="I43" s="39"/>
      <x:c r="J43" s="39"/>
    </x:row>
    <x:row r="44">
      <x:c r="A44" s="44" t="str">
        <x:v>casualty_per_group</x:v>
      </x:c>
      <x:c r="B44" s="45" t="str">
        <x:v>Casualty-replacement bodies</x:v>
      </x:c>
      <x:c r="C44" s="46" t="n">
        <x:v>0.5</x:v>
      </x:c>
      <x:c r="D44" s="45" t="str">
        <x:v>bodies/group</x:v>
      </x:c>
      <x:c r="E44" s="45" t="str">
        <x:v>Two bodies per four-group cell</x:v>
      </x:c>
      <x:c r="F44" s="39"/>
      <x:c r="G44" s="39"/>
      <x:c r="H44" s="39"/>
      <x:c r="I44" s="39"/>
      <x:c r="J44" s="39"/>
    </x:row>
    <x:row r="45">
      <x:c r="A45" s="44" t="str">
        <x:v>body_life</x:v>
      </x:c>
      <x:c r="B45" s="45" t="str">
        <x:v>Serviceable body life</x:v>
      </x:c>
      <x:c r="C45" s="46" t="n">
        <x:v>25</x:v>
      </x:c>
      <x:c r="D45" s="45" t="str">
        <x:v>years</x:v>
      </x:c>
      <x:c r="E45" s="45" t="str">
        <x:v>Normal replacement divisor</x:v>
      </x:c>
      <x:c r="F45" s="39"/>
      <x:c r="G45" s="39"/>
      <x:c r="H45" s="39"/>
      <x:c r="I45" s="39"/>
      <x:c r="J45" s="39"/>
    </x:row>
    <x:row r="46">
      <x:c r="A46" s="44" t="str">
        <x:v>serial_weeks</x:v>
      </x:c>
      <x:c r="B46" s="45" t="str">
        <x:v>System serial interval per line</x:v>
      </x:c>
      <x:c r="C46" s="46" t="n">
        <x:v>16</x:v>
      </x:c>
      <x:c r="D46" s="45" t="str">
        <x:v>weeks</x:v>
      </x:c>
      <x:c r="E46" s="45" t="str">
        <x:v>Inherited production interval</x:v>
      </x:c>
      <x:c r="F46" s="39"/>
      <x:c r="G46" s="39"/>
      <x:c r="H46" s="39"/>
      <x:c r="I46" s="39"/>
      <x:c r="J46" s="39"/>
    </x:row>
    <x:row r="47">
      <x:c r="A47" s="44" t="str">
        <x:v>fielding_years</x:v>
      </x:c>
      <x:c r="B47" s="45" t="str">
        <x:v>Initial fielding horizon</x:v>
      </x:c>
      <x:c r="C47" s="46" t="n">
        <x:v>12</x:v>
      </x:c>
      <x:c r="D47" s="45" t="str">
        <x:v>years</x:v>
      </x:c>
      <x:c r="E47" s="45" t="str">
        <x:v>Includes ramp and qualification</x:v>
      </x:c>
      <x:c r="F47" s="39"/>
      <x:c r="G47" s="39"/>
      <x:c r="H47" s="39"/>
      <x:c r="I47" s="39"/>
      <x:c r="J47" s="39"/>
    </x:row>
    <x:row r="48">
      <x:c r="A48" s="47" t="str">
        <x:v>Basing and regeneration</x:v>
      </x:c>
      <x:c r="B48" s="48" t="str">
        <x:v>Basing and regeneration</x:v>
      </x:c>
      <x:c r="C48" s="48" t="str">
        <x:v>Basing and regeneration</x:v>
      </x:c>
      <x:c r="D48" s="48" t="str">
        <x:v>Basing and regeneration</x:v>
      </x:c>
      <x:c r="E48" s="48" t="str">
        <x:v>Basing and regeneration</x:v>
      </x:c>
      <x:c r="F48" s="39"/>
      <x:c r="G48" s="39"/>
      <x:c r="H48" s="39"/>
      <x:c r="I48" s="39"/>
      <x:c r="J48" s="39"/>
    </x:row>
    <x:row r="49">
      <x:c r="A49" s="44" t="str">
        <x:v>stations_per_group</x:v>
      </x:c>
      <x:c r="B49" s="45" t="str">
        <x:v>Launch stations per group</x:v>
      </x:c>
      <x:c r="C49" s="46" t="n">
        <x:v>2</x:v>
      </x:c>
      <x:c r="D49" s="45" t="str">
        <x:v>stations</x:v>
      </x:c>
      <x:c r="E49" s="45" t="str">
        <x:v>Four operational sets per station</x:v>
      </x:c>
      <x:c r="F49" s="39"/>
      <x:c r="G49" s="39"/>
      <x:c r="H49" s="39"/>
      <x:c r="I49" s="39"/>
      <x:c r="J49" s="39"/>
    </x:row>
    <x:row r="50">
      <x:c r="A50" s="44" t="str">
        <x:v>groups_per_cell</x:v>
      </x:c>
      <x:c r="B50" s="45" t="str">
        <x:v>Groups per arsenal cell</x:v>
      </x:c>
      <x:c r="C50" s="46" t="n">
        <x:v>4</x:v>
      </x:c>
      <x:c r="D50" s="45" t="str">
        <x:v>groups</x:v>
      </x:c>
      <x:c r="E50" s="45" t="str">
        <x:v>Selected support geography</x:v>
      </x:c>
      <x:c r="F50" s="39"/>
      <x:c r="G50" s="39"/>
      <x:c r="H50" s="39"/>
      <x:c r="I50" s="39"/>
      <x:c r="J50" s="39"/>
    </x:row>
    <x:row r="51">
      <x:c r="A51" s="44" t="str">
        <x:v>arsenals_per_cell</x:v>
      </x:c>
      <x:c r="B51" s="45" t="str">
        <x:v>Arsenals per cell</x:v>
      </x:c>
      <x:c r="C51" s="46" t="n">
        <x:v>3</x:v>
      </x:c>
      <x:c r="D51" s="45" t="str">
        <x:v>arsenals</x:v>
      </x:c>
      <x:c r="E51" s="45" t="str">
        <x:v>One-site-loss topology</x:v>
      </x:c>
      <x:c r="F51" s="39"/>
      <x:c r="G51" s="39"/>
      <x:c r="H51" s="39"/>
      <x:c r="I51" s="39"/>
      <x:c r="J51" s="39"/>
    </x:row>
    <x:row r="52">
      <x:c r="A52" s="44" t="str">
        <x:v>arsenal_residence</x:v>
      </x:c>
      <x:c r="B52" s="45" t="str">
        <x:v>Arsenal residence</x:v>
      </x:c>
      <x:c r="C52" s="46" t="n">
        <x:v>336</x:v>
      </x:c>
      <x:c r="D52" s="45" t="str">
        <x:v>hours</x:v>
      </x:c>
      <x:c r="E52" s="45" t="str">
        <x:v>Inherited complete-return interval</x:v>
      </x:c>
      <x:c r="F52" s="39"/>
      <x:c r="G52" s="39"/>
      <x:c r="H52" s="39"/>
      <x:c r="I52" s="39"/>
      <x:c r="J52" s="39"/>
    </x:row>
    <x:row r="53">
      <x:c r="A53" s="44" t="str">
        <x:v>arsenal_losses</x:v>
      </x:c>
      <x:c r="B53" s="45" t="str">
        <x:v>Arsenals denied per cell</x:v>
      </x:c>
      <x:c r="C53" s="46" t="n">
        <x:v>1</x:v>
      </x:c>
      <x:c r="D53" s="45" t="str">
        <x:v>arsenal</x:v>
      </x:c>
      <x:c r="E53" s="45" t="str">
        <x:v>Conjunctive loss world</x:v>
      </x:c>
      <x:c r="F53" s="39"/>
      <x:c r="G53" s="39"/>
      <x:c r="H53" s="39"/>
      <x:c r="I53" s="39"/>
      <x:c r="J53" s="39"/>
    </x:row>
    <x:row r="54">
      <x:c r="A54" s="47" t="str">
        <x:v>Transport</x:v>
      </x:c>
      <x:c r="B54" s="48" t="str">
        <x:v>Transport</x:v>
      </x:c>
      <x:c r="C54" s="48" t="str">
        <x:v>Transport</x:v>
      </x:c>
      <x:c r="D54" s="48" t="str">
        <x:v>Transport</x:v>
      </x:c>
      <x:c r="E54" s="48" t="str">
        <x:v>Transport</x:v>
      </x:c>
      <x:c r="F54" s="39"/>
      <x:c r="G54" s="39"/>
      <x:c r="H54" s="39"/>
      <x:c r="I54" s="39"/>
      <x:c r="J54" s="39"/>
    </x:row>
    <x:row r="55">
      <x:c r="A55" s="44" t="str">
        <x:v>movers_per_group</x:v>
      </x:c>
      <x:c r="B55" s="45" t="str">
        <x:v>Service prime movers per group</x:v>
      </x:c>
      <x:c r="C55" s="46" t="n">
        <x:v>3200</x:v>
      </x:c>
      <x:c r="D55" s="45" t="str">
        <x:v>movers</x:v>
      </x:c>
      <x:c r="E55" s="45" t="str">
        <x:v>Accepted first-group pool</x:v>
      </x:c>
      <x:c r="F55" s="39"/>
      <x:c r="G55" s="39"/>
      <x:c r="H55" s="39"/>
      <x:c r="I55" s="39"/>
      <x:c r="J55" s="39"/>
    </x:row>
    <x:row r="56">
      <x:c r="A56" s="44" t="str">
        <x:v>frames_per_group</x:v>
      </x:c>
      <x:c r="B56" s="45" t="str">
        <x:v>Governed frames per group</x:v>
      </x:c>
      <x:c r="C56" s="46" t="n">
        <x:v>3000</x:v>
      </x:c>
      <x:c r="D56" s="45" t="str">
        <x:v>frames</x:v>
      </x:c>
      <x:c r="E56" s="45" t="str">
        <x:v>Accepted first-group pool</x:v>
      </x:c>
      <x:c r="F56" s="39"/>
      <x:c r="G56" s="39"/>
      <x:c r="H56" s="39"/>
      <x:c r="I56" s="39"/>
      <x:c r="J56" s="39"/>
    </x:row>
    <x:row r="57">
      <x:c r="A57" s="44" t="str">
        <x:v>transport_reserve</x:v>
      </x:c>
      <x:c r="B57" s="45" t="str">
        <x:v>Strategic transport reserve</x:v>
      </x:c>
      <x:c r="C57" s="49" t="n">
        <x:v>0.1</x:v>
      </x:c>
      <x:c r="D57" s="45" t="str">
        <x:v>share</x:v>
      </x:c>
      <x:c r="E57" s="45" t="str">
        <x:v>Above group pools</x:v>
      </x:c>
      <x:c r="F57" s="39"/>
      <x:c r="G57" s="39"/>
      <x:c r="H57" s="39"/>
      <x:c r="I57" s="39"/>
      <x:c r="J57" s="39"/>
    </x:row>
    <x:row r="58">
      <x:c r="A58" s="44" t="str">
        <x:v>mover_life</x:v>
      </x:c>
      <x:c r="B58" s="45" t="str">
        <x:v>Prime-mover life</x:v>
      </x:c>
      <x:c r="C58" s="46" t="n">
        <x:v>12</x:v>
      </x:c>
      <x:c r="D58" s="45" t="str">
        <x:v>years</x:v>
      </x:c>
      <x:c r="E58" s="45" t="str">
        <x:v>Planning input</x:v>
      </x:c>
      <x:c r="F58" s="39"/>
      <x:c r="G58" s="39"/>
      <x:c r="H58" s="39"/>
      <x:c r="I58" s="39"/>
      <x:c r="J58" s="39"/>
    </x:row>
    <x:row r="59">
      <x:c r="A59" s="44" t="str">
        <x:v>frame_life</x:v>
      </x:c>
      <x:c r="B59" s="45" t="str">
        <x:v>Frame life</x:v>
      </x:c>
      <x:c r="C59" s="46" t="n">
        <x:v>20</x:v>
      </x:c>
      <x:c r="D59" s="45" t="str">
        <x:v>years</x:v>
      </x:c>
      <x:c r="E59" s="45" t="str">
        <x:v>Planning input</x:v>
      </x:c>
      <x:c r="F59" s="39"/>
      <x:c r="G59" s="39"/>
      <x:c r="H59" s="39"/>
      <x:c r="I59" s="39"/>
      <x:c r="J59" s="39"/>
    </x:row>
    <x:row r="60">
      <x:c r="A60" s="44" t="str">
        <x:v>mover_root_capacity</x:v>
      </x:c>
      <x:c r="B60" s="45" t="str">
        <x:v>Mover capacity per root</x:v>
      </x:c>
      <x:c r="C60" s="46" t="n">
        <x:v>7500</x:v>
      </x:c>
      <x:c r="D60" s="45" t="str">
        <x:v>movers/year</x:v>
      </x:c>
      <x:c r="E60" s="45" t="str">
        <x:v>Root-loss replacement requirement</x:v>
      </x:c>
      <x:c r="F60" s="39"/>
      <x:c r="G60" s="39"/>
      <x:c r="H60" s="39"/>
      <x:c r="I60" s="39"/>
      <x:c r="J60" s="39"/>
    </x:row>
    <x:row r="61">
      <x:c r="A61" s="44" t="str">
        <x:v>frame_root_capacity</x:v>
      </x:c>
      <x:c r="B61" s="45" t="str">
        <x:v>Frame capacity per root</x:v>
      </x:c>
      <x:c r="C61" s="46" t="n">
        <x:v>4200</x:v>
      </x:c>
      <x:c r="D61" s="45" t="str">
        <x:v>frames/year</x:v>
      </x:c>
      <x:c r="E61" s="45" t="str">
        <x:v>Root-loss replacement requirement</x:v>
      </x:c>
      <x:c r="F61" s="39"/>
      <x:c r="G61" s="39"/>
      <x:c r="H61" s="39"/>
      <x:c r="I61" s="39"/>
      <x:c r="J61" s="39"/>
    </x:row>
    <x:row r="62">
      <x:c r="A62" s="47" t="str">
        <x:v>Personnel</x:v>
      </x:c>
      <x:c r="B62" s="48" t="str">
        <x:v>Personnel</x:v>
      </x:c>
      <x:c r="C62" s="48" t="str">
        <x:v>Personnel</x:v>
      </x:c>
      <x:c r="D62" s="48" t="str">
        <x:v>Personnel</x:v>
      </x:c>
      <x:c r="E62" s="48" t="str">
        <x:v>Personnel</x:v>
      </x:c>
      <x:c r="F62" s="39"/>
      <x:c r="G62" s="39"/>
      <x:c r="H62" s="39"/>
      <x:c r="I62" s="39"/>
      <x:c r="J62" s="39"/>
    </x:row>
    <x:row r="63">
      <x:c r="A63" s="44" t="str">
        <x:v>crew_per_set</x:v>
      </x:c>
      <x:c r="B63" s="45" t="str">
        <x:v>Qualified crew per operational set</x:v>
      </x:c>
      <x:c r="C63" s="46" t="n">
        <x:v>1440</x:v>
      </x:c>
      <x:c r="D63" s="45" t="str">
        <x:v>positions</x:v>
      </x:c>
      <x:c r="E63" s="45" t="str">
        <x:v>Inherited complete set crew</x:v>
      </x:c>
      <x:c r="F63" s="39"/>
      <x:c r="G63" s="39"/>
      <x:c r="H63" s="39"/>
      <x:c r="I63" s="39"/>
      <x:c r="J63" s="39"/>
    </x:row>
    <x:row r="64">
      <x:c r="A64" s="44" t="str">
        <x:v>group_command</x:v>
      </x:c>
      <x:c r="B64" s="45" t="str">
        <x:v>Group command positions</x:v>
      </x:c>
      <x:c r="C64" s="46" t="n">
        <x:v>280</x:v>
      </x:c>
      <x:c r="D64" s="45" t="str">
        <x:v>positions/group</x:v>
      </x:c>
      <x:c r="E64" s="45" t="str">
        <x:v>Planning input</x:v>
      </x:c>
      <x:c r="F64" s="39"/>
      <x:c r="G64" s="39"/>
      <x:c r="H64" s="39"/>
      <x:c r="I64" s="39"/>
      <x:c r="J64" s="39"/>
    </x:row>
    <x:row r="65">
      <x:c r="A65" s="44" t="str">
        <x:v>bay_staff</x:v>
      </x:c>
      <x:c r="B65" s="45" t="str">
        <x:v>Arsenal positions per bay</x:v>
      </x:c>
      <x:c r="C65" s="46" t="n">
        <x:v>140</x:v>
      </x:c>
      <x:c r="D65" s="45" t="str">
        <x:v>positions/bay</x:v>
      </x:c>
      <x:c r="E65" s="45" t="str">
        <x:v>Derived from first-group arsenal staffing</x:v>
      </x:c>
      <x:c r="F65" s="39"/>
      <x:c r="G65" s="39"/>
      <x:c r="H65" s="39"/>
      <x:c r="I65" s="39"/>
      <x:c r="J65" s="39"/>
    </x:row>
    <x:row r="66">
      <x:c r="A66" s="44" t="str">
        <x:v>training_school_ratio</x:v>
      </x:c>
      <x:c r="B66" s="45" t="str">
        <x:v>Groups per training school</x:v>
      </x:c>
      <x:c r="C66" s="46" t="n">
        <x:v>2</x:v>
      </x:c>
      <x:c r="D66" s="45" t="str">
        <x:v>groups/school</x:v>
      </x:c>
      <x:c r="E66" s="45" t="str">
        <x:v>Planning topology</x:v>
      </x:c>
      <x:c r="F66" s="39"/>
      <x:c r="G66" s="39"/>
      <x:c r="H66" s="39"/>
      <x:c r="I66" s="39"/>
      <x:c r="J66" s="39"/>
    </x:row>
    <x:row r="67">
      <x:c r="A67" s="44" t="str">
        <x:v>school_staff</x:v>
      </x:c>
      <x:c r="B67" s="45" t="str">
        <x:v>Training-school positions</x:v>
      </x:c>
      <x:c r="C67" s="46" t="n">
        <x:v>720</x:v>
      </x:c>
      <x:c r="D67" s="45" t="str">
        <x:v>positions/school</x:v>
      </x:c>
      <x:c r="E67" s="45" t="str">
        <x:v>Planning input</x:v>
      </x:c>
      <x:c r="F67" s="39"/>
      <x:c r="G67" s="39"/>
      <x:c r="H67" s="39"/>
      <x:c r="I67" s="39"/>
      <x:c r="J67" s="39"/>
    </x:row>
    <x:row r="68">
      <x:c r="A68" s="44" t="str">
        <x:v>eval_staff</x:v>
      </x:c>
      <x:c r="B68" s="45" t="str">
        <x:v>Evaluation-command positions</x:v>
      </x:c>
      <x:c r="C68" s="46" t="n">
        <x:v>600</x:v>
      </x:c>
      <x:c r="D68" s="45" t="str">
        <x:v>positions/cell</x:v>
      </x:c>
      <x:c r="E68" s="45" t="str">
        <x:v>Planning input</x:v>
      </x:c>
      <x:c r="F68" s="39"/>
      <x:c r="G68" s="39"/>
      <x:c r="H68" s="39"/>
      <x:c r="I68" s="39"/>
      <x:c r="J68" s="39"/>
    </x:row>
    <x:row r="69">
      <x:c r="A69" s="44" t="str">
        <x:v>liaison_staff</x:v>
      </x:c>
      <x:c r="B69" s="45" t="str">
        <x:v>Industrial-readiness liaison positions</x:v>
      </x:c>
      <x:c r="C69" s="46" t="n">
        <x:v>240</x:v>
      </x:c>
      <x:c r="D69" s="45" t="str">
        <x:v>positions/group</x:v>
      </x:c>
      <x:c r="E69" s="45" t="str">
        <x:v>Planning input</x:v>
      </x:c>
      <x:c r="F69" s="39"/>
      <x:c r="G69" s="39"/>
      <x:c r="H69" s="39"/>
      <x:c r="I69" s="39"/>
      <x:c r="J69" s="39"/>
    </x:row>
    <x:row r="70">
      <x:c r="A70" s="44" t="str">
        <x:v>config_rights_staff</x:v>
      </x:c>
      <x:c r="B70" s="45" t="str">
        <x:v>Public configuration and rights</x:v>
      </x:c>
      <x:c r="C70" s="46" t="n">
        <x:v>2400</x:v>
      </x:c>
      <x:c r="D70" s="45" t="str">
        <x:v>positions</x:v>
      </x:c>
      <x:c r="E70" s="45" t="str">
        <x:v>National establishment</x:v>
      </x:c>
      <x:c r="F70" s="39"/>
      <x:c r="G70" s="39"/>
      <x:c r="H70" s="39"/>
      <x:c r="I70" s="39"/>
      <x:c r="J70" s="39"/>
    </x:row>
    <x:row r="71">
      <x:c r="A71" s="44" t="str">
        <x:v>national_command_staff</x:v>
      </x:c>
      <x:c r="B71" s="45" t="str">
        <x:v>National and global command</x:v>
      </x:c>
      <x:c r="C71" s="46" t="n">
        <x:v>2400</x:v>
      </x:c>
      <x:c r="D71" s="45" t="str">
        <x:v>positions</x:v>
      </x:c>
      <x:c r="E71" s="45" t="str">
        <x:v>National establishment</x:v>
      </x:c>
      <x:c r="F71" s="39"/>
      <x:c r="G71" s="39"/>
      <x:c r="H71" s="39"/>
      <x:c r="I71" s="39"/>
      <x:c r="J71" s="39"/>
    </x:row>
    <x:row r="72">
      <x:c r="A72" s="44" t="str">
        <x:v>station_staff</x:v>
      </x:c>
      <x:c r="B72" s="45" t="str">
        <x:v>Launch-station support</x:v>
      </x:c>
      <x:c r="C72" s="46" t="n">
        <x:v>300</x:v>
      </x:c>
      <x:c r="D72" s="45" t="str">
        <x:v>positions/station</x:v>
      </x:c>
      <x:c r="E72" s="45" t="str">
        <x:v>Planning input</x:v>
      </x:c>
      <x:c r="F72" s="39"/>
      <x:c r="G72" s="39"/>
      <x:c r="H72" s="39"/>
      <x:c r="I72" s="39"/>
      <x:c r="J72" s="39"/>
    </x:row>
    <x:row r="73">
      <x:c r="A73" s="44" t="str">
        <x:v>public_industrial</x:v>
      </x:c>
      <x:c r="B73" s="45" t="str">
        <x:v>Public industrial workforce</x:v>
      </x:c>
      <x:c r="C73" s="46" t="n">
        <x:v>32000</x:v>
      </x:c>
      <x:c r="D73" s="45" t="str">
        <x:v>positions</x:v>
      </x:c>
      <x:c r="E73" s="45" t="str">
        <x:v>Module, transport, integration and standards sites</x:v>
      </x:c>
      <x:c r="F73" s="39"/>
      <x:c r="G73" s="39"/>
      <x:c r="H73" s="39"/>
      <x:c r="I73" s="39"/>
      <x:c r="J73" s="39"/>
    </x:row>
    <x:row r="74">
      <x:c r="A74" s="44" t="str">
        <x:v>personnel_reserve</x:v>
      </x:c>
      <x:c r="B74" s="45" t="str">
        <x:v>Qualified personnel reserve</x:v>
      </x:c>
      <x:c r="C74" s="49" t="n">
        <x:v>0.15</x:v>
      </x:c>
      <x:c r="D74" s="45" t="str">
        <x:v>share</x:v>
      </x:c>
      <x:c r="E74" s="45" t="str">
        <x:v>Applied to operating establishment</x:v>
      </x:c>
      <x:c r="F74" s="39"/>
      <x:c r="G74" s="39"/>
      <x:c r="H74" s="39"/>
      <x:c r="I74" s="39"/>
      <x:c r="J74" s="39"/>
    </x:row>
    <x:row r="75">
      <x:c r="A75" s="47" t="str">
        <x:v>Capital and annual support</x:v>
      </x:c>
      <x:c r="B75" s="48" t="str">
        <x:v>Capital and annual support</x:v>
      </x:c>
      <x:c r="C75" s="48" t="str">
        <x:v>Capital and annual support</x:v>
      </x:c>
      <x:c r="D75" s="48" t="str">
        <x:v>Capital and annual support</x:v>
      </x:c>
      <x:c r="E75" s="48" t="str">
        <x:v>Capital and annual support</x:v>
      </x:c>
      <x:c r="F75" s="39"/>
      <x:c r="G75" s="39"/>
      <x:c r="H75" s="39"/>
      <x:c r="I75" s="39"/>
      <x:c r="J75" s="39"/>
    </x:row>
    <x:row r="76">
      <x:c r="A76" s="44" t="str">
        <x:v>system_unit_cost</x:v>
      </x:c>
      <x:c r="B76" s="45" t="str">
        <x:v>System body and interfaces</x:v>
      </x:c>
      <x:c r="C76" s="46" t="n">
        <x:v>7.6111</x:v>
      </x:c>
      <x:c r="D76" s="45" t="str">
        <x:v>USD billions/body</x:v>
      </x:c>
      <x:c r="E76" s="45" t="str">
        <x:v>Inherited RBU-1 equipment basis</x:v>
      </x:c>
      <x:c r="F76" s="39"/>
      <x:c r="G76" s="39"/>
      <x:c r="H76" s="39"/>
      <x:c r="I76" s="39"/>
      <x:c r="J76" s="39"/>
    </x:row>
    <x:row r="77">
      <x:c r="A77" s="44" t="str">
        <x:v>mover_unit_cost</x:v>
      </x:c>
      <x:c r="B77" s="45" t="str">
        <x:v>Prime mover unit cost</x:v>
      </x:c>
      <x:c r="C77" s="46" t="n">
        <x:v>0.0025</x:v>
      </x:c>
      <x:c r="D77" s="45" t="str">
        <x:v>USD billions/mover</x:v>
      </x:c>
      <x:c r="E77" s="45" t="str">
        <x:v>Planning input</x:v>
      </x:c>
      <x:c r="F77" s="39"/>
      <x:c r="G77" s="39"/>
      <x:c r="H77" s="39"/>
      <x:c r="I77" s="39"/>
      <x:c r="J77" s="39"/>
    </x:row>
    <x:row r="78">
      <x:c r="A78" s="44" t="str">
        <x:v>frame_unit_cost</x:v>
      </x:c>
      <x:c r="B78" s="45" t="str">
        <x:v>Frame unit cost</x:v>
      </x:c>
      <x:c r="C78" s="46" t="n">
        <x:v>0.0008</x:v>
      </x:c>
      <x:c r="D78" s="45" t="str">
        <x:v>USD billions/frame</x:v>
      </x:c>
      <x:c r="E78" s="45" t="str">
        <x:v>Planning input</x:v>
      </x:c>
      <x:c r="F78" s="39"/>
      <x:c r="G78" s="39"/>
      <x:c r="H78" s="39"/>
      <x:c r="I78" s="39"/>
      <x:c r="J78" s="39"/>
    </x:row>
    <x:row r="79">
      <x:c r="A79" s="44" t="str">
        <x:v>destructive_transport</x:v>
      </x:c>
      <x:c r="B79" s="45" t="str">
        <x:v>Destructive transport lot</x:v>
      </x:c>
      <x:c r="C79" s="46" t="n">
        <x:v>0.256</x:v>
      </x:c>
      <x:c r="D79" s="45" t="str">
        <x:v>USD billions</x:v>
      </x:c>
      <x:c r="E79" s="45" t="str">
        <x:v>Independent qualification lot</x:v>
      </x:c>
      <x:c r="F79" s="39"/>
      <x:c r="G79" s="39"/>
      <x:c r="H79" s="39"/>
      <x:c r="I79" s="39"/>
      <x:c r="J79" s="39"/>
    </x:row>
    <x:row r="80">
      <x:c r="A80" s="44" t="str">
        <x:v>reserve_modules_group</x:v>
      </x:c>
      <x:c r="B80" s="45" t="str">
        <x:v>Group module reserve pool</x:v>
      </x:c>
      <x:c r="C80" s="46" t="n">
        <x:v>13.706</x:v>
      </x:c>
      <x:c r="D80" s="45" t="str">
        <x:v>USD billions/group</x:v>
      </x:c>
      <x:c r="E80" s="45" t="str">
        <x:v>Scaled first-group reserve pool</x:v>
      </x:c>
      <x:c r="F80" s="39"/>
      <x:c r="G80" s="39"/>
      <x:c r="H80" s="39"/>
      <x:c r="I80" s="39"/>
      <x:c r="J80" s="39"/>
    </x:row>
    <x:row r="81">
      <x:c r="A81" s="44" t="str">
        <x:v>bay_unit_cost</x:v>
      </x:c>
      <x:c r="B81" s="45" t="str">
        <x:v>Arsenal bay capital</x:v>
      </x:c>
      <x:c r="C81" s="46" t="n">
        <x:v>1.6666666667</x:v>
      </x:c>
      <x:c r="D81" s="45" t="str">
        <x:v>USD billions/bay</x:v>
      </x:c>
      <x:c r="E81" s="45" t="str">
        <x:v>Scaled RBT-1 arsenal estate</x:v>
      </x:c>
      <x:c r="F81" s="39"/>
      <x:c r="G81" s="39"/>
      <x:c r="H81" s="39"/>
      <x:c r="I81" s="39"/>
      <x:c r="J81" s="39"/>
    </x:row>
    <x:row r="82">
      <x:c r="A82" s="44" t="str">
        <x:v>station_unit_cost</x:v>
      </x:c>
      <x:c r="B82" s="45" t="str">
        <x:v>Launch and receiver station</x:v>
      </x:c>
      <x:c r="C82" s="46" t="n">
        <x:v>3</x:v>
      </x:c>
      <x:c r="D82" s="45" t="str">
        <x:v>USD billions/station</x:v>
      </x:c>
      <x:c r="E82" s="45" t="str">
        <x:v>Planning allowance</x:v>
      </x:c>
      <x:c r="F82" s="39"/>
      <x:c r="G82" s="39"/>
      <x:c r="H82" s="39"/>
      <x:c r="I82" s="39"/>
      <x:c r="J82" s="39"/>
    </x:row>
    <x:row r="83">
      <x:c r="A83" s="44" t="str">
        <x:v>production_enlargement</x:v>
      </x:c>
      <x:c r="B83" s="45" t="str">
        <x:v>Production enlargement</x:v>
      </x:c>
      <x:c r="C83" s="46" t="n">
        <x:v>300</x:v>
      </x:c>
      <x:c r="D83" s="45" t="str">
        <x:v>USD billions</x:v>
      </x:c>
      <x:c r="E83" s="45" t="str">
        <x:v>National integration, module, transport and standards estate</x:v>
      </x:c>
      <x:c r="F83" s="39"/>
      <x:c r="G83" s="39"/>
      <x:c r="H83" s="39"/>
      <x:c r="I83" s="39"/>
      <x:c r="J83" s="39"/>
    </x:row>
    <x:row r="84">
      <x:c r="A84" s="44" t="str">
        <x:v>strategic_interfaces</x:v>
      </x:c>
      <x:c r="B84" s="45" t="str">
        <x:v>Strategic transport interfaces</x:v>
      </x:c>
      <x:c r="C84" s="46" t="n">
        <x:v>180</x:v>
      </x:c>
      <x:c r="D84" s="45" t="str">
        <x:v>USD billions</x:v>
      </x:c>
      <x:c r="E84" s="45" t="str">
        <x:v>Rail, port and air interface allowance</x:v>
      </x:c>
      <x:c r="F84" s="39"/>
      <x:c r="G84" s="39"/>
      <x:c r="H84" s="39"/>
      <x:c r="I84" s="39"/>
      <x:c r="J84" s="39"/>
    </x:row>
    <x:row r="85">
      <x:c r="A85" s="44" t="str">
        <x:v>training_estate</x:v>
      </x:c>
      <x:c r="B85" s="45" t="str">
        <x:v>Training, evaluation and reference estate</x:v>
      </x:c>
      <x:c r="C85" s="46" t="n">
        <x:v>90</x:v>
      </x:c>
      <x:c r="D85" s="45" t="str">
        <x:v>USD billions</x:v>
      </x:c>
      <x:c r="E85" s="45" t="str">
        <x:v>Planning allowance</x:v>
      </x:c>
      <x:c r="F85" s="39"/>
      <x:c r="G85" s="39"/>
      <x:c r="H85" s="39"/>
      <x:c r="I85" s="39"/>
      <x:c r="J85" s="39"/>
    </x:row>
    <x:row r="86">
      <x:c r="A86" s="44" t="str">
        <x:v>command_estate</x:v>
      </x:c>
      <x:c r="B86" s="45" t="str">
        <x:v>Command, evidence and configuration estate</x:v>
      </x:c>
      <x:c r="C86" s="46" t="n">
        <x:v>75</x:v>
      </x:c>
      <x:c r="D86" s="45" t="str">
        <x:v>USD billions</x:v>
      </x:c>
      <x:c r="E86" s="45" t="str">
        <x:v>Planning allowance</x:v>
      </x:c>
      <x:c r="F86" s="39"/>
      <x:c r="G86" s="39"/>
      <x:c r="H86" s="39"/>
      <x:c r="I86" s="39"/>
      <x:c r="J86" s="39"/>
    </x:row>
    <x:row r="87">
      <x:c r="A87" s="44" t="str">
        <x:v>burdened_cost</x:v>
      </x:c>
      <x:c r="B87" s="45" t="str">
        <x:v>Fully burdened public personnel cost</x:v>
      </x:c>
      <x:c r="C87" s="46" t="n">
        <x:v>0.00025</x:v>
      </x:c>
      <x:c r="D87" s="45" t="str">
        <x:v>USD billions/person-year</x:v>
      </x:c>
      <x:c r="E87" s="45" t="str">
        <x:v>Constant 2026 dollars</x:v>
      </x:c>
      <x:c r="F87" s="39"/>
      <x:c r="G87" s="39"/>
      <x:c r="H87" s="39"/>
      <x:c r="I87" s="39"/>
      <x:c r="J87" s="39"/>
    </x:row>
    <x:row r="88">
      <x:c r="A88" s="44" t="str">
        <x:v>system_readiness_rate</x:v>
      </x:c>
      <x:c r="B88" s="45" t="str">
        <x:v>System-body readiness rate</x:v>
      </x:c>
      <x:c r="C88" s="49" t="n">
        <x:v>0.03</x:v>
      </x:c>
      <x:c r="D88" s="45" t="str">
        <x:v>share/year</x:v>
      </x:c>
      <x:c r="E88" s="45" t="str">
        <x:v>Screening input</x:v>
      </x:c>
      <x:c r="F88" s="39"/>
      <x:c r="G88" s="39"/>
      <x:c r="H88" s="39"/>
      <x:c r="I88" s="39"/>
      <x:c r="J88" s="39"/>
    </x:row>
    <x:row r="89">
      <x:c r="A89" s="44" t="str">
        <x:v>transport_readiness_rate</x:v>
      </x:c>
      <x:c r="B89" s="45" t="str">
        <x:v>Transport readiness rate</x:v>
      </x:c>
      <x:c r="C89" s="49" t="n">
        <x:v>0.04</x:v>
      </x:c>
      <x:c r="D89" s="45" t="str">
        <x:v>share/year</x:v>
      </x:c>
      <x:c r="E89" s="45" t="str">
        <x:v>Screening input</x:v>
      </x:c>
      <x:c r="F89" s="39"/>
      <x:c r="G89" s="39"/>
      <x:c r="H89" s="39"/>
      <x:c r="I89" s="39"/>
      <x:c r="J89" s="39"/>
    </x:row>
    <x:row r="90">
      <x:c r="A90" s="44" t="str">
        <x:v>estate_opex_rate</x:v>
      </x:c>
      <x:c r="B90" s="45" t="str">
        <x:v>Fixed-estate operating rate</x:v>
      </x:c>
      <x:c r="C90" s="49" t="n">
        <x:v>0.03</x:v>
      </x:c>
      <x:c r="D90" s="45" t="str">
        <x:v>share/year</x:v>
      </x:c>
      <x:c r="E90" s="45" t="str">
        <x:v>Screening input</x:v>
      </x:c>
      <x:c r="F90" s="39"/>
      <x:c r="G90" s="39"/>
      <x:c r="H90" s="39"/>
      <x:c r="I90" s="39"/>
      <x:c r="J90" s="39"/>
    </x:row>
    <x:row r="91">
      <x:c r="A91" s="44" t="str">
        <x:v>exercise_group_cost</x:v>
      </x:c>
      <x:c r="B91" s="45" t="str">
        <x:v>Exercises and mission consumables</x:v>
      </x:c>
      <x:c r="C91" s="46" t="n">
        <x:v>1.5</x:v>
      </x:c>
      <x:c r="D91" s="45" t="str">
        <x:v>USD billions/group-year</x:v>
      </x:c>
      <x:c r="E91" s="45" t="str">
        <x:v>Planning input</x:v>
      </x:c>
      <x:c r="F91" s="39"/>
      <x:c r="G91" s="39"/>
      <x:c r="H91" s="39"/>
      <x:c r="I91" s="39"/>
      <x:c r="J91" s="39"/>
    </x:row>
    <x:row r="92">
      <x:c r="A92" s="44" t="str">
        <x:v>industrial_retainers</x:v>
      </x:c>
      <x:c r="B92" s="45" t="str">
        <x:v>Two-root industrial retainers</x:v>
      </x:c>
      <x:c r="C92" s="46" t="n">
        <x:v>25</x:v>
      </x:c>
      <x:c r="D92" s="45" t="str">
        <x:v>USD billions/year</x:v>
      </x:c>
      <x:c r="E92" s="45" t="str">
        <x:v>National allowance</x:v>
      </x:c>
      <x:c r="F92" s="39"/>
      <x:c r="G92" s="39"/>
      <x:c r="H92" s="39"/>
      <x:c r="I92" s="39"/>
      <x:c r="J92" s="39"/>
    </x:row>
    <x:row r="93">
      <x:c r="A93" s="44" t="str">
        <x:v>evidence_research</x:v>
      </x:c>
      <x:c r="B93" s="45" t="str">
        <x:v>Standards and continuing research</x:v>
      </x:c>
      <x:c r="C93" s="46" t="n">
        <x:v>12</x:v>
      </x:c>
      <x:c r="D93" s="45" t="str">
        <x:v>USD billions/year</x:v>
      </x:c>
      <x:c r="E93" s="45" t="str">
        <x:v>National allowance</x:v>
      </x:c>
      <x:c r="F93" s="39"/>
      <x:c r="G93" s="39"/>
      <x:c r="H93" s="39"/>
      <x:c r="I93" s="39"/>
      <x:c r="J93" s="39"/>
    </x:row>
    <x:row r="94">
      <x:c r="A94" s="44" t="str">
        <x:v>global_support</x:v>
      </x:c>
      <x:c r="B94" s="45" t="str">
        <x:v>International interface support</x:v>
      </x:c>
      <x:c r="C94" s="46" t="n">
        <x:v>8</x:v>
      </x:c>
      <x:c r="D94" s="45" t="str">
        <x:v>USD billions/year</x:v>
      </x:c>
      <x:c r="E94" s="45" t="str">
        <x:v>National allowance</x:v>
      </x:c>
      <x:c r="F94" s="39"/>
      <x:c r="G94" s="39"/>
      <x:c r="H94" s="39"/>
      <x:c r="I94" s="39"/>
      <x:c r="J94" s="39"/>
    </x:row>
    <x:row r="95">
      <x:c r="A95" s="44" t="str">
        <x:v>tech_auto</x:v>
      </x:c>
      <x:c r="B95" s="45" t="str">
        <x:v>Autonomous logistics and load exchange</x:v>
      </x:c>
      <x:c r="C95" s="46" t="n">
        <x:v>55</x:v>
      </x:c>
      <x:c r="D95" s="45" t="str">
        <x:v>USD billions</x:v>
      </x:c>
      <x:c r="E95" s="45" t="str">
        <x:v>Technology campaign</x:v>
      </x:c>
      <x:c r="F95" s="39"/>
      <x:c r="G95" s="39"/>
      <x:c r="H95" s="39"/>
      <x:c r="I95" s="39"/>
      <x:c r="J95" s="39"/>
    </x:row>
    <x:row r="96">
      <x:c r="A96" s="44" t="str">
        <x:v>tech_arsenal</x:v>
      </x:c>
      <x:c r="B96" s="45" t="str">
        <x:v>Arsenal process intensification</x:v>
      </x:c>
      <x:c r="C96" s="46" t="n">
        <x:v>45</x:v>
      </x:c>
      <x:c r="D96" s="45" t="str">
        <x:v>USD billions</x:v>
      </x:c>
      <x:c r="E96" s="45" t="str">
        <x:v>Technology campaign</x:v>
      </x:c>
      <x:c r="F96" s="39"/>
      <x:c r="G96" s="39"/>
      <x:c r="H96" s="39"/>
      <x:c r="I96" s="39"/>
      <x:c r="J96" s="39"/>
    </x:row>
    <x:row r="97">
      <x:c r="A97" s="44" t="str">
        <x:v>tech_config</x:v>
      </x:c>
      <x:c r="B97" s="45" t="str">
        <x:v>Public configuration and hardware attestation</x:v>
      </x:c>
      <x:c r="C97" s="46" t="n">
        <x:v>40</x:v>
      </x:c>
      <x:c r="D97" s="45" t="str">
        <x:v>USD billions</x:v>
      </x:c>
      <x:c r="E97" s="45" t="str">
        <x:v>Technology campaign</x:v>
      </x:c>
      <x:c r="F97" s="39"/>
      <x:c r="G97" s="39"/>
      <x:c r="H97" s="39"/>
      <x:c r="I97" s="39"/>
      <x:c r="J97" s="39"/>
    </x:row>
    <x:row r="98">
      <x:c r="A98" s="44" t="str">
        <x:v>tech_utility</x:v>
      </x:c>
      <x:c r="B98" s="45" t="str">
        <x:v>Independent water, energy and thermal systems</x:v>
      </x:c>
      <x:c r="C98" s="46" t="n">
        <x:v>35</x:v>
      </x:c>
      <x:c r="D98" s="45" t="str">
        <x:v>USD billions</x:v>
      </x:c>
      <x:c r="E98" s="45" t="str">
        <x:v>Technology campaign</x:v>
      </x:c>
      <x:c r="F98" s="39"/>
      <x:c r="G98" s="39"/>
      <x:c r="H98" s="39"/>
      <x:c r="I98" s="39"/>
      <x:c r="J98" s="39"/>
    </x:row>
    <x:row r="99">
      <x:c r="A99" s="44" t="str">
        <x:v>tech_material</x:v>
      </x:c>
      <x:c r="B99" s="45" t="str">
        <x:v>Advanced materials, joining and repair</x:v>
      </x:c>
      <x:c r="C99" s="46" t="n">
        <x:v>30</x:v>
      </x:c>
      <x:c r="D99" s="45" t="str">
        <x:v>USD billions</x:v>
      </x:c>
      <x:c r="E99" s="45" t="str">
        <x:v>Technology campaign</x:v>
      </x:c>
      <x:c r="F99" s="39"/>
      <x:c r="G99" s="39"/>
      <x:c r="H99" s="39"/>
      <x:c r="I99" s="39"/>
      <x:c r="J99" s="39"/>
    </x:row>
    <x:row r="100">
      <x:c r="A100" s="44" t="str">
        <x:v>tech_receiver</x:v>
      </x:c>
      <x:c r="B100" s="45" t="str">
        <x:v>Receiver-interface systems</x:v>
      </x:c>
      <x:c r="C100" s="46" t="n">
        <x:v>20</x:v>
      </x:c>
      <x:c r="D100" s="45" t="str">
        <x:v>USD billions</x:v>
      </x:c>
      <x:c r="E100" s="45" t="str">
        <x:v>Technology campaign</x:v>
      </x:c>
      <x:c r="F100" s="39"/>
      <x:c r="G100" s="39"/>
      <x:c r="H100" s="39"/>
      <x:c r="I100" s="39"/>
      <x:c r="J100" s="39"/>
    </x:row>
    <x:row r="101">
      <x:c r="A101" s="44" t="str">
        <x:v>tech_training</x:v>
      </x:c>
      <x:c r="B101" s="45" t="str">
        <x:v>Synthetic training and simulation</x:v>
      </x:c>
      <x:c r="C101" s="46" t="n">
        <x:v>15</x:v>
      </x:c>
      <x:c r="D101" s="45" t="str">
        <x:v>USD billions</x:v>
      </x:c>
      <x:c r="E101" s="45" t="str">
        <x:v>Technology campaign</x:v>
      </x:c>
      <x:c r="F101" s="39"/>
      <x:c r="G101" s="39"/>
      <x:c r="H101" s="39"/>
      <x:c r="I101" s="39"/>
      <x:c r="J101" s="39"/>
    </x:row>
    <x:row r="102">
      <x:c r="A102" s="44" t="str">
        <x:v>tech_metrology</x:v>
      </x:c>
      <x:c r="B102" s="45" t="str">
        <x:v>Metrology, safety and forensic automation</x:v>
      </x:c>
      <x:c r="C102" s="46" t="n">
        <x:v>10</x:v>
      </x:c>
      <x:c r="D102" s="45" t="str">
        <x:v>USD billions</x:v>
      </x:c>
      <x:c r="E102" s="45" t="str">
        <x:v>Technology campaign</x:v>
      </x:c>
      <x:c r="F102" s="39"/>
      <x:c r="G102" s="39"/>
      <x:c r="H102" s="39"/>
      <x:c r="I102" s="39"/>
      <x:c r="J102" s="39"/>
    </x:row>
    <x:row r="103">
      <x:c r="A103" s="44" t="str">
        <x:v>technology_total</x:v>
      </x:c>
      <x:c r="B103" s="45" t="str">
        <x:v>Technology authority</x:v>
      </x:c>
      <x:c r="C103" s="45" t="n">
        <x:f>SUM(C95,C96,C97,C98,C99,C100,C101,C102)</x:f>
        <x:v>250</x:v>
      </x:c>
      <x:c r="D103" s="45" t="str">
        <x:v>USD billions</x:v>
      </x:c>
      <x:c r="E103" s="45" t="str">
        <x:v>Sum of mission-led campaigns</x:v>
      </x:c>
      <x:c r="F103" s="39"/>
      <x:c r="G103" s="39"/>
      <x:c r="H103" s="39"/>
      <x:c r="I103" s="39"/>
      <x:c r="J103" s="39"/>
    </x:row>
    <x:row r="104">
      <x:c r="A104" s="44" t="str">
        <x:v>midlife_rate</x:v>
      </x:c>
      <x:c r="B104" s="45" t="str">
        <x:v>System midlife modernization</x:v>
      </x:c>
      <x:c r="C104" s="49" t="n">
        <x:v>0.2</x:v>
      </x:c>
      <x:c r="D104" s="45" t="str">
        <x:v>share of body capital</x:v>
      </x:c>
      <x:c r="E104" s="45" t="str">
        <x:v>One event in horizon</x:v>
      </x:c>
      <x:c r="F104" s="39"/>
      <x:c r="G104" s="39"/>
      <x:c r="H104" s="39"/>
      <x:c r="I104" s="39"/>
      <x:c r="J104" s="39"/>
    </x:row>
    <x:row r="105">
      <x:c r="A105" s="44" t="str">
        <x:v>facility_recap_rate</x:v>
      </x:c>
      <x:c r="B105" s="45" t="str">
        <x:v>Facility recapitalization</x:v>
      </x:c>
      <x:c r="C105" s="49" t="n">
        <x:v>0.15</x:v>
      </x:c>
      <x:c r="D105" s="45" t="str">
        <x:v>share of fixed estate</x:v>
      </x:c>
      <x:c r="E105" s="45" t="str">
        <x:v>One event in horizon</x:v>
      </x:c>
      <x:c r="F105" s="39"/>
      <x:c r="G105" s="39"/>
      <x:c r="H105" s="39"/>
      <x:c r="I105" s="39"/>
      <x:c r="J105" s="39"/>
    </x:row>
    <x:row r="106">
      <x:c r="A106" s="50" t="str">
        <x:v>force_capital_boundary</x:v>
      </x:c>
      <x:c r="B106" s="51" t="str">
        <x:v>Existing force-capital boundary</x:v>
      </x:c>
      <x:c r="C106" s="52" t="n">
        <x:v>15179</x:v>
      </x:c>
      <x:c r="D106" s="51" t="str">
        <x:v>USD billions</x:v>
      </x:c>
      <x:c r="E106" s="51" t="str">
        <x:v>Project planning boundary</x:v>
      </x:c>
      <x:c r="F106" s="39"/>
      <x:c r="G106" s="39"/>
      <x:c r="H106" s="39"/>
      <x:c r="I106" s="39"/>
      <x:c r="J106" s="39"/>
    </x:row>
  </x:sheetData>
  <x:mergeCells>
    <x:mergeCell ref="A2:J2"/>
    <x:mergeCell ref="A3:J3"/>
    <x:mergeCell ref="A6:E6"/>
    <x:mergeCell ref="A33:E33"/>
    <x:mergeCell ref="A48:E48"/>
    <x:mergeCell ref="A54:E54"/>
    <x:mergeCell ref="A62:E62"/>
    <x:mergeCell ref="A75:E75"/>
  </x:mergeCells>
  <x:dataValidations count="1">
    <x:dataValidation type="whole" operator="between" sqref="C7">
      <x:formula1>1</x:formula1>
      <x:formula2>4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7" hidden="0" customWidth="1"/>
    <x:col min="13" max="13" width="17" hidden="0" customWidth="1"/>
  </x:cols>
  <x:sheetData>
    <x:row r="2">
      <x:c r="A2" s="38" t="str">
        <x:v>Rival national service constitutions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</x:row>
    <x:row r="3">
      <x:c r="A3" s="40" t="str">
        <x:v>Each candidate is tested against the same four hard entitlements. C24 is selected by the authoritative case control.</x:v>
      </x:c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  <x:c r="K4" s="39"/>
      <x:c r="L4" s="39"/>
      <x:c r="M4" s="39"/>
    </x:row>
    <x:row r="5">
      <x:c r="A5" s="39" t="str">
        <x:v>Case selected:</x:v>
      </x:c>
      <x:c r="B5" s="59" t="str">
        <x:f>'Assumptions'!$C$8</x:f>
        <x:v>C24</x:v>
      </x:c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</x:row>
    <x:row r="6" ht="30" customHeight="1">
      <x:c r="A6" s="16" t="str">
        <x:v>Candidate</x:v>
      </x:c>
      <x:c r="B6" s="17" t="str">
        <x:v>Sector</x:v>
      </x:c>
      <x:c r="C6" s="17" t="str">
        <x:v>Compound</x:v>
      </x:c>
      <x:c r="D6" s="17" t="str">
        <x:v>Global</x:v>
      </x:c>
      <x:c r="E6" s="17" t="str">
        <x:v>Strategic</x:v>
      </x:c>
      <x:c r="F6" s="17" t="str">
        <x:v>Total groups</x:v>
      </x:c>
      <x:c r="G6" s="17" t="str">
        <x:v>Sector test</x:v>
      </x:c>
      <x:c r="H6" s="17" t="str">
        <x:v>Compound test</x:v>
      </x:c>
      <x:c r="I6" s="17" t="str">
        <x:v>Global test</x:v>
      </x:c>
      <x:c r="J6" s="17" t="str">
        <x:v>Strategic test</x:v>
      </x:c>
      <x:c r="K6" s="17" t="str">
        <x:v>All tests</x:v>
      </x:c>
      <x:c r="L6" s="17" t="str">
        <x:v>Operational sets</x:v>
      </x:c>
      <x:c r="M6" s="18" t="str">
        <x:v>Total bodies</x:v>
      </x:c>
    </x:row>
    <x:row r="7">
      <x:c r="A7" s="60" t="str">
        <x:v>A12</x:v>
      </x:c>
      <x:c r="B7" s="60" t="n">
        <x:f>'Assumptions'!$C$13</x:f>
        <x:v>12</x:v>
      </x:c>
      <x:c r="C7" s="60" t="n">
        <x:f>'Assumptions'!$C$14</x:f>
        <x:v>0</x:v>
      </x:c>
      <x:c r="D7" s="60" t="n">
        <x:f>'Assumptions'!$C$15</x:f>
        <x:v>0</x:v>
      </x:c>
      <x:c r="E7" s="60" t="n">
        <x:f>'Assumptions'!$C$16</x:f>
        <x:v>0</x:v>
      </x:c>
      <x:c r="F7" s="60" t="n">
        <x:f>SUM(B7:E7)</x:f>
        <x:v>12</x:v>
      </x:c>
      <x:c r="G7" s="60" t="str">
        <x:f>IF(B7&gt;='Assumptions'!$C$9,"PASS","FAIL")</x:f>
        <x:v>PASS</x:v>
      </x:c>
      <x:c r="H7" s="60" t="str">
        <x:f>IF(C7&gt;='Assumptions'!$C$10,"PASS","FAIL")</x:f>
        <x:v>FAIL</x:v>
      </x:c>
      <x:c r="I7" s="60" t="str">
        <x:f>IF(D7&gt;='Assumptions'!$C$11,"PASS","FAIL")</x:f>
        <x:v>FAIL</x:v>
      </x:c>
      <x:c r="J7" s="60" t="str">
        <x:f>IF(E7&gt;='Assumptions'!$C$12,"PASS","FAIL")</x:f>
        <x:v>FAIL</x:v>
      </x:c>
      <x:c r="K7" s="60" t="str">
        <x:f>IF(COUNTIF(G7:J7,"PASS")=4,"PASS","FAIL")</x:f>
        <x:v>FAIL</x:v>
      </x:c>
      <x:c r="L7" s="60" t="n">
        <x:f>F7*ROUNDUP('Assumptions'!$C$34/'Assumptions'!$C$35,0)+F7*'Assumptions'!$C$36</x:f>
        <x:v>96</x:v>
      </x:c>
      <x:c r="M7" s="60" t="n">
        <x:f>L7+ROUNDUP(F7/'Assumptions'!$C$37,0)+ROUNDUP(F7/'Assumptions'!$C$38,0)+'Assumptions'!$C$39+ROUNDUP(F7/'Assumptions'!$C$40,0)+ROUNDUP(L7*'Assumptions'!$C$41/('Assumptions'!$C$42*365)*(1+'Assumptions'!$C$43),0)+F7*'Assumptions'!$C$44</x:f>
        <x:v>130</x:v>
      </x:c>
    </x:row>
    <x:row r="8">
      <x:c r="A8" s="45" t="str">
        <x:v>B18</x:v>
      </x:c>
      <x:c r="B8" s="45" t="n">
        <x:f>'Assumptions'!$C$17</x:f>
        <x:v>12</x:v>
      </x:c>
      <x:c r="C8" s="45" t="n">
        <x:f>'Assumptions'!$C$18</x:f>
        <x:v>4</x:v>
      </x:c>
      <x:c r="D8" s="45" t="n">
        <x:f>'Assumptions'!$C$19</x:f>
        <x:v>0</x:v>
      </x:c>
      <x:c r="E8" s="45" t="n">
        <x:f>'Assumptions'!$C$20</x:f>
        <x:v>2</x:v>
      </x:c>
      <x:c r="F8" s="45" t="n">
        <x:f>SUM(B8:E8)</x:f>
        <x:v>18</x:v>
      </x:c>
      <x:c r="G8" s="45" t="str">
        <x:f>IF(B8&gt;='Assumptions'!$C$9,"PASS","FAIL")</x:f>
        <x:v>PASS</x:v>
      </x:c>
      <x:c r="H8" s="45" t="str">
        <x:f>IF(C8&gt;='Assumptions'!$C$10,"PASS","FAIL")</x:f>
        <x:v>PASS</x:v>
      </x:c>
      <x:c r="I8" s="45" t="str">
        <x:f>IF(D8&gt;='Assumptions'!$C$11,"PASS","FAIL")</x:f>
        <x:v>FAIL</x:v>
      </x:c>
      <x:c r="J8" s="45" t="str">
        <x:f>IF(E8&gt;='Assumptions'!$C$12,"PASS","FAIL")</x:f>
        <x:v>FAIL</x:v>
      </x:c>
      <x:c r="K8" s="45" t="str">
        <x:f>IF(COUNTIF(G8:J8,"PASS")=4,"PASS","FAIL")</x:f>
        <x:v>FAIL</x:v>
      </x:c>
      <x:c r="L8" s="45" t="n">
        <x:f>F8*ROUNDUP('Assumptions'!$C$34/'Assumptions'!$C$35,0)+F8*'Assumptions'!$C$36</x:f>
        <x:v>144</x:v>
      </x:c>
      <x:c r="M8" s="45" t="n">
        <x:f>L8+ROUNDUP(F8/'Assumptions'!$C$37,0)+ROUNDUP(F8/'Assumptions'!$C$38,0)+'Assumptions'!$C$39+ROUNDUP(F8/'Assumptions'!$C$40,0)+ROUNDUP(L8*'Assumptions'!$C$41/('Assumptions'!$C$42*365)*(1+'Assumptions'!$C$43),0)+F8*'Assumptions'!$C$44</x:f>
        <x:v>194</x:v>
      </x:c>
    </x:row>
    <x:row r="9">
      <x:c r="A9" s="45" t="str">
        <x:v>C24</x:v>
      </x:c>
      <x:c r="B9" s="45" t="n">
        <x:f>'Assumptions'!$C$21</x:f>
        <x:v>12</x:v>
      </x:c>
      <x:c r="C9" s="45" t="n">
        <x:f>'Assumptions'!$C$22</x:f>
        <x:v>4</x:v>
      </x:c>
      <x:c r="D9" s="45" t="n">
        <x:f>'Assumptions'!$C$23</x:f>
        <x:v>4</x:v>
      </x:c>
      <x:c r="E9" s="45" t="n">
        <x:f>'Assumptions'!$C$24</x:f>
        <x:v>4</x:v>
      </x:c>
      <x:c r="F9" s="45" t="n">
        <x:f>SUM(B9:E9)</x:f>
        <x:v>24</x:v>
      </x:c>
      <x:c r="G9" s="45" t="str">
        <x:f>IF(B9&gt;='Assumptions'!$C$9,"PASS","FAIL")</x:f>
        <x:v>PASS</x:v>
      </x:c>
      <x:c r="H9" s="45" t="str">
        <x:f>IF(C9&gt;='Assumptions'!$C$10,"PASS","FAIL")</x:f>
        <x:v>PASS</x:v>
      </x:c>
      <x:c r="I9" s="45" t="str">
        <x:f>IF(D9&gt;='Assumptions'!$C$11,"PASS","FAIL")</x:f>
        <x:v>PASS</x:v>
      </x:c>
      <x:c r="J9" s="45" t="str">
        <x:f>IF(E9&gt;='Assumptions'!$C$12,"PASS","FAIL")</x:f>
        <x:v>PASS</x:v>
      </x:c>
      <x:c r="K9" s="45" t="str">
        <x:f>IF(COUNTIF(G9:J9,"PASS")=4,"PASS","FAIL")</x:f>
        <x:v>PASS</x:v>
      </x:c>
      <x:c r="L9" s="45" t="n">
        <x:f>F9*ROUNDUP('Assumptions'!$C$34/'Assumptions'!$C$35,0)+F9*'Assumptions'!$C$36</x:f>
        <x:v>192</x:v>
      </x:c>
      <x:c r="M9" s="45" t="n">
        <x:f>L9+ROUNDUP(F9/'Assumptions'!$C$37,0)+ROUNDUP(F9/'Assumptions'!$C$38,0)+'Assumptions'!$C$39+ROUNDUP(F9/'Assumptions'!$C$40,0)+ROUNDUP(L9*'Assumptions'!$C$41/('Assumptions'!$C$42*365)*(1+'Assumptions'!$C$43),0)+F9*'Assumptions'!$C$44</x:f>
        <x:v>256</x:v>
      </x:c>
    </x:row>
    <x:row r="10">
      <x:c r="A10" s="61" t="str">
        <x:v>D30</x:v>
      </x:c>
      <x:c r="B10" s="61" t="n">
        <x:f>'Assumptions'!$C$25</x:f>
        <x:v>16</x:v>
      </x:c>
      <x:c r="C10" s="61" t="n">
        <x:f>'Assumptions'!$C$26</x:f>
        <x:v>6</x:v>
      </x:c>
      <x:c r="D10" s="61" t="n">
        <x:f>'Assumptions'!$C$27</x:f>
        <x:v>4</x:v>
      </x:c>
      <x:c r="E10" s="61" t="n">
        <x:f>'Assumptions'!$C$28</x:f>
        <x:v>4</x:v>
      </x:c>
      <x:c r="F10" s="61" t="n">
        <x:f>SUM(B10:E10)</x:f>
        <x:v>30</x:v>
      </x:c>
      <x:c r="G10" s="61" t="str">
        <x:f>IF(B10&gt;='Assumptions'!$C$9,"PASS","FAIL")</x:f>
        <x:v>PASS</x:v>
      </x:c>
      <x:c r="H10" s="61" t="str">
        <x:f>IF(C10&gt;='Assumptions'!$C$10,"PASS","FAIL")</x:f>
        <x:v>PASS</x:v>
      </x:c>
      <x:c r="I10" s="61" t="str">
        <x:f>IF(D10&gt;='Assumptions'!$C$11,"PASS","FAIL")</x:f>
        <x:v>PASS</x:v>
      </x:c>
      <x:c r="J10" s="61" t="str">
        <x:f>IF(E10&gt;='Assumptions'!$C$12,"PASS","FAIL")</x:f>
        <x:v>PASS</x:v>
      </x:c>
      <x:c r="K10" s="61" t="str">
        <x:f>IF(COUNTIF(G10:J10,"PASS")=4,"PASS","FAIL")</x:f>
        <x:v>PASS</x:v>
      </x:c>
      <x:c r="L10" s="61" t="n">
        <x:f>F10*ROUNDUP('Assumptions'!$C$34/'Assumptions'!$C$35,0)+F10*'Assumptions'!$C$36</x:f>
        <x:v>240</x:v>
      </x:c>
      <x:c r="M10" s="61" t="n">
        <x:f>L10+ROUNDUP(F10/'Assumptions'!$C$37,0)+ROUNDUP(F10/'Assumptions'!$C$38,0)+'Assumptions'!$C$39+ROUNDUP(F10/'Assumptions'!$C$40,0)+ROUNDUP(L10*'Assumptions'!$C$41/('Assumptions'!$C$42*365)*(1+'Assumptions'!$C$43),0)+F10*'Assumptions'!$C$44</x:f>
        <x:v>320</x:v>
      </x:c>
    </x:row>
  </x:sheetData>
  <x:mergeCells>
    <x:mergeCell ref="A2:J2"/>
    <x:mergeCell ref="A3:J3"/>
  </x:mergeCells>
  <x:conditionalFormatting sqref="G7:K10">
    <x:cfRule type="containsText" dxfId="0" priority="1" operator="containsText" text="FAIL"/>
    <x:cfRule type="containsText" dxfId="1" priority="2" operator="containsText" text="PASS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70" hidden="0" customWidth="1"/>
  </x:cols>
  <x:sheetData>
    <x:row r="2">
      <x:c r="A2" s="38" t="str">
        <x:v>C24 force allocation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40" t="str">
        <x:v>Categories have different tasking rights but one technical readiness standard.</x:v>
      </x:c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</x:row>
    <x:row r="6" ht="30" customHeight="1">
      <x:c r="A6" s="16" t="str">
        <x:v>Category</x:v>
      </x:c>
      <x:c r="B6" s="17" t="str">
        <x:v>Groups</x:v>
      </x:c>
      <x:c r="C6" s="17" t="str">
        <x:v>Operational sets</x:v>
      </x:c>
      <x:c r="D6" s="17" t="str">
        <x:v>Protected reserves</x:v>
      </x:c>
      <x:c r="E6" s="17" t="str">
        <x:v>Orders/year at full line use</x:v>
      </x:c>
      <x:c r="F6" s="18" t="str">
        <x:v>Allocation rule</x:v>
      </x:c>
      <x:c r="G6" s="39"/>
      <x:c r="H6" s="39"/>
      <x:c r="I6" s="39"/>
      <x:c r="J6" s="39"/>
    </x:row>
    <x:row r="7">
      <x:c r="A7" s="39" t="str">
        <x:v>Sector</x:v>
      </x:c>
      <x:c r="B7" s="39" t="n">
        <x:f>'Assumptions'!$C$29</x:f>
        <x:v>12</x:v>
      </x:c>
      <x:c r="C7" s="39" t="n">
        <x:f>B7*(ROUNDUP('Assumptions'!$C$34/'Assumptions'!$C$35,0)+'Assumptions'!$C$36)</x:f>
        <x:v>96</x:v>
      </x:c>
      <x:c r="D7" s="39" t="n">
        <x:f>B7*'Assumptions'!$C$36</x:f>
        <x:v>12</x:v>
      </x:c>
      <x:c r="E7" s="65" t="n">
        <x:f>B7*365*24/'Assumptions'!$C$35</x:f>
        <x:v>1460</x:v>
      </x:c>
      <x:c r="F7" s="39" t="str">
        <x:v>Sector command; no transfer without restoring its line</x:v>
      </x:c>
      <x:c r="G7" s="39"/>
      <x:c r="H7" s="39"/>
      <x:c r="I7" s="39"/>
      <x:c r="J7" s="39"/>
    </x:row>
    <x:row r="8">
      <x:c r="A8" s="39" t="str">
        <x:v>National compound</x:v>
      </x:c>
      <x:c r="B8" s="39" t="n">
        <x:f>'Assumptions'!$C$30</x:f>
        <x:v>4</x:v>
      </x:c>
      <x:c r="C8" s="39" t="n">
        <x:f>B8*(ROUNDUP('Assumptions'!$C$34/'Assumptions'!$C$35,0)+'Assumptions'!$C$36)</x:f>
        <x:v>32</x:v>
      </x:c>
      <x:c r="D8" s="39" t="n">
        <x:f>B8*'Assumptions'!$C$36</x:f>
        <x:v>4</x:v>
      </x:c>
      <x:c r="E8" s="65" t="n">
        <x:f>B8*365*24/'Assumptions'!$C$35</x:f>
        <x:v>486.6666666666667</x:v>
      </x:c>
      <x:c r="F8" s="39" t="str">
        <x:v>National allocation; not routine local schedule</x:v>
      </x:c>
      <x:c r="G8" s="39"/>
      <x:c r="H8" s="39"/>
      <x:c r="I8" s="39"/>
      <x:c r="J8" s="39"/>
    </x:row>
    <x:row r="9">
      <x:c r="A9" s="39" t="str">
        <x:v>Invited global</x:v>
      </x:c>
      <x:c r="B9" s="39" t="n">
        <x:f>'Assumptions'!$C$31</x:f>
        <x:v>4</x:v>
      </x:c>
      <x:c r="C9" s="39" t="n">
        <x:f>B9*(ROUNDUP('Assumptions'!$C$34/'Assumptions'!$C$35,0)+'Assumptions'!$C$36)</x:f>
        <x:v>32</x:v>
      </x:c>
      <x:c r="D9" s="39" t="n">
        <x:f>B9*'Assumptions'!$C$36</x:f>
        <x:v>4</x:v>
      </x:c>
      <x:c r="E9" s="65" t="n">
        <x:f>B9*365*24/'Assumptions'!$C$35</x:f>
        <x:v>486.6666666666667</x:v>
      </x:c>
      <x:c r="F9" s="39" t="str">
        <x:v>Invitation and consent; withheld before domestic floor fails</x:v>
      </x:c>
      <x:c r="G9" s="39"/>
      <x:c r="H9" s="39"/>
      <x:c r="I9" s="39"/>
      <x:c r="J9" s="39"/>
    </x:row>
    <x:row r="10">
      <x:c r="A10" s="39" t="str">
        <x:v>Strategic</x:v>
      </x:c>
      <x:c r="B10" s="39" t="n">
        <x:f>'Assumptions'!$C$32</x:f>
        <x:v>4</x:v>
      </x:c>
      <x:c r="C10" s="39" t="n">
        <x:f>B10*(ROUNDUP('Assumptions'!$C$34/'Assumptions'!$C$35,0)+'Assumptions'!$C$36)</x:f>
        <x:v>32</x:v>
      </x:c>
      <x:c r="D10" s="39" t="n">
        <x:f>B10*'Assumptions'!$C$36</x:f>
        <x:v>4</x:v>
      </x:c>
      <x:c r="E10" s="65" t="n">
        <x:f>B10*365*24/'Assumptions'!$C$35</x:f>
        <x:v>486.6666666666667</x:v>
      </x:c>
      <x:c r="F10" s="39" t="str">
        <x:v>Secretary-level release; excluded from ordinary tempo</x:v>
      </x:c>
      <x:c r="G10" s="39"/>
      <x:c r="H10" s="39"/>
      <x:c r="I10" s="39"/>
      <x:c r="J10" s="39"/>
    </x:row>
    <x:row r="11">
      <x:c r="A11" s="66" t="str">
        <x:v>Total</x:v>
      </x:c>
      <x:c r="B11" s="66" t="n">
        <x:f>SUM(B7:B10)</x:f>
        <x:v>24</x:v>
      </x:c>
      <x:c r="C11" s="66" t="n">
        <x:f>SUM(C7:C10)</x:f>
        <x:v>192</x:v>
      </x:c>
      <x:c r="D11" s="66" t="n">
        <x:f>SUM(D7:D10)</x:f>
        <x:v>24</x:v>
      </x:c>
      <x:c r="E11" s="67" t="n">
        <x:f>SUM(E7:E10)</x:f>
        <x:v>2920</x:v>
      </x:c>
      <x:c r="F11" s="66" t="str">
        <x:v>Twenty-four one-line groups; theater wings pair intact groups</x:v>
      </x:c>
      <x:c r="G11" s="39"/>
      <x:c r="H11" s="39"/>
      <x:c r="I11" s="39"/>
      <x:c r="J11" s="39"/>
    </x:row>
  </x:sheetData>
  <x:mergeCells>
    <x:mergeCell ref="A2:J2"/>
    <x:mergeCell ref="A3:J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7" hidden="0" customWidth="1"/>
    <x:col min="2" max="2" width="44" hidden="0" customWidth="1"/>
    <x:col min="3" max="3" width="18" hidden="0" customWidth="1"/>
    <x:col min="4" max="4" width="18" hidden="0" customWidth="1"/>
    <x:col min="5" max="5" width="47" hidden="0" customWidth="1"/>
  </x:cols>
  <x:sheetData>
    <x:row r="2">
      <x:c r="A2" s="38" t="str">
        <x:v>National system-body fleet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40" t="str">
        <x:v>Only 192 operational bodies receive line readiness. Specialist, float and replacement bodies remain separate.</x:v>
      </x:c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</x:row>
    <x:row r="6" ht="30" customHeight="1">
      <x:c r="A6" s="16" t="str">
        <x:v>Account</x:v>
      </x:c>
      <x:c r="B6" s="17" t="str">
        <x:v>Formula basis</x:v>
      </x:c>
      <x:c r="C6" s="17" t="str">
        <x:v>Bodies</x:v>
      </x:c>
      <x:c r="D6" s="17" t="str">
        <x:v>Readiness credit</x:v>
      </x:c>
      <x:c r="E6" s="18" t="str">
        <x:v>Status law</x:v>
      </x:c>
      <x:c r="F6" s="39"/>
      <x:c r="G6" s="39"/>
      <x:c r="H6" s="39"/>
      <x:c r="I6" s="39"/>
      <x:c r="J6" s="39"/>
    </x:row>
    <x:row r="7">
      <x:c r="A7" s="39" t="str">
        <x:v>Operational</x:v>
      </x:c>
      <x:c r="B7" s="39" t="str">
        <x:v>groups × sets per group</x:v>
      </x:c>
      <x:c r="C7" s="39" t="n">
        <x:f>'Allocation'!B11*(ROUNDUP('Assumptions'!$C$34/'Assumptions'!$C$35,0)+'Assumptions'!$C$36)</x:f>
        <x:v>192</x:v>
      </x:c>
      <x:c r="D7" s="39" t="n">
        <x:f>C7</x:f>
        <x:v>192</x:v>
      </x:c>
      <x:c r="E7" s="39" t="str">
        <x:v>Assigned to twenty-four groups</x:v>
      </x:c>
      <x:c r="F7" s="39"/>
      <x:c r="G7" s="39"/>
      <x:c r="H7" s="39"/>
      <x:c r="I7" s="39"/>
      <x:c r="J7" s="39"/>
    </x:row>
    <x:row r="8">
      <x:c r="A8" s="39" t="str">
        <x:v>Training</x:v>
      </x:c>
      <x:c r="B8" s="39" t="str">
        <x:v>one per two groups</x:v>
      </x:c>
      <x:c r="C8" s="39" t="n">
        <x:f>ROUNDUP('Allocation'!B11/'Assumptions'!$C$37,0)</x:f>
        <x:v>12</x:v>
      </x:c>
      <x:c r="D8" s="39" t="n">
        <x:f>0</x:f>
        <x:v>0</x:v>
      </x:c>
      <x:c r="E8" s="39" t="str">
        <x:v>Never line-ready</x:v>
      </x:c>
      <x:c r="F8" s="39"/>
      <x:c r="G8" s="39"/>
      <x:c r="H8" s="39"/>
      <x:c r="I8" s="39"/>
      <x:c r="J8" s="39"/>
    </x:row>
    <x:row r="9">
      <x:c r="A9" s="39" t="str">
        <x:v>Independent evaluation</x:v>
      </x:c>
      <x:c r="B9" s="39" t="str">
        <x:v>one per arsenal cell</x:v>
      </x:c>
      <x:c r="C9" s="39" t="n">
        <x:f>ROUNDUP('Allocation'!B11/'Assumptions'!$C$38,0)</x:f>
        <x:v>6</x:v>
      </x:c>
      <x:c r="D9" s="39" t="n">
        <x:f>0</x:f>
        <x:v>0</x:v>
      </x:c>
      <x:c r="E9" s="39" t="str">
        <x:v>Outside service release chain</x:v>
      </x:c>
      <x:c r="F9" s="39"/>
      <x:c r="G9" s="39"/>
      <x:c r="H9" s="39"/>
      <x:c r="I9" s="39"/>
      <x:c r="J9" s="39"/>
    </x:row>
    <x:row r="10">
      <x:c r="A10" s="39" t="str">
        <x:v>Cold reference</x:v>
      </x:c>
      <x:c r="B10" s="39" t="str">
        <x:v>two roots × two environments</x:v>
      </x:c>
      <x:c r="C10" s="39" t="n">
        <x:f>'Assumptions'!$C$39</x:f>
        <x:v>4</x:v>
      </x:c>
      <x:c r="D10" s="39" t="n">
        <x:f>0</x:f>
        <x:v>0</x:v>
      </x:c>
      <x:c r="E10" s="39" t="str">
        <x:v>Protected reference state</x:v>
      </x:c>
      <x:c r="F10" s="39"/>
      <x:c r="G10" s="39"/>
      <x:c r="H10" s="39"/>
      <x:c r="I10" s="39"/>
      <x:c r="J10" s="39"/>
    </x:row>
    <x:row r="11">
      <x:c r="A11" s="39" t="str">
        <x:v>Destructive</x:v>
      </x:c>
      <x:c r="B11" s="39" t="str">
        <x:v>one per arsenal cell</x:v>
      </x:c>
      <x:c r="C11" s="39" t="n">
        <x:f>ROUNDUP('Allocation'!B11/'Assumptions'!$C$40,0)</x:f>
        <x:v>6</x:v>
      </x:c>
      <x:c r="D11" s="39" t="n">
        <x:f>0</x:f>
        <x:v>0</x:v>
      </x:c>
      <x:c r="E11" s="39" t="str">
        <x:v>Terminal article</x:v>
      </x:c>
      <x:c r="F11" s="39"/>
      <x:c r="G11" s="39"/>
      <x:c r="H11" s="39"/>
      <x:c r="I11" s="39"/>
      <x:c r="J11" s="39"/>
    </x:row>
    <x:row r="12">
      <x:c r="A12" s="39" t="str">
        <x:v>Depot float</x:v>
      </x:c>
      <x:c r="B12" s="39" t="str">
        <x:v>overhaul occupancy plus contingency</x:v>
      </x:c>
      <x:c r="C12" s="39" t="n">
        <x:f>ROUNDUP(C7*'Assumptions'!$C$41/('Assumptions'!$C$42*365)*(1+'Assumptions'!$C$43),0)</x:f>
        <x:v>24</x:v>
      </x:c>
      <x:c r="D12" s="39" t="n">
        <x:f>0</x:f>
        <x:v>0</x:v>
      </x:c>
      <x:c r="E12" s="39" t="str">
        <x:v>Overhaul replacement only</x:v>
      </x:c>
      <x:c r="F12" s="39"/>
      <x:c r="G12" s="39"/>
      <x:c r="H12" s="39"/>
      <x:c r="I12" s="39"/>
      <x:c r="J12" s="39"/>
    </x:row>
    <x:row r="13">
      <x:c r="A13" s="39" t="str">
        <x:v>Casualty replacement</x:v>
      </x:c>
      <x:c r="B13" s="39" t="str">
        <x:v>two root-balanced bodies per cell</x:v>
      </x:c>
      <x:c r="C13" s="39" t="n">
        <x:f>'Allocation'!B11*'Assumptions'!$C$44</x:f>
        <x:v>12</x:v>
      </x:c>
      <x:c r="D13" s="39" t="n">
        <x:f>0</x:f>
        <x:v>0</x:v>
      </x:c>
      <x:c r="E13" s="39" t="str">
        <x:v>Protected from routine substitution</x:v>
      </x:c>
      <x:c r="F13" s="39"/>
      <x:c r="G13" s="39"/>
      <x:c r="H13" s="39"/>
      <x:c r="I13" s="39"/>
      <x:c r="J13" s="39"/>
    </x:row>
    <x:row r="14">
      <x:c r="A14" s="66" t="str">
        <x:v>Total fleet</x:v>
      </x:c>
      <x:c r="B14" s="66" t="str">
        <x:v>sum of explicit accounts</x:v>
      </x:c>
      <x:c r="C14" s="66" t="n">
        <x:f>SUM(C7:C13)</x:f>
        <x:v>256</x:v>
      </x:c>
      <x:c r="D14" s="66" t="n">
        <x:f>SUM(D7:D13)</x:f>
        <x:v>192</x:v>
      </x:c>
      <x:c r="E14" s="66" t="str">
        <x:v>Six destructive bodies excluded from normal replacement</x:v>
      </x:c>
      <x:c r="F14" s="39"/>
      <x:c r="G14" s="39"/>
      <x:c r="H14" s="39"/>
      <x:c r="I14" s="39"/>
      <x:c r="J14" s="39"/>
    </x:row>
    <x:row r="15">
      <x:c r="A15" s="66" t="str">
        <x:v>Serviceable fleet</x:v>
      </x:c>
      <x:c r="B15" s="66" t="str">
        <x:v>total less destructive</x:v>
      </x:c>
      <x:c r="C15" s="66" t="n">
        <x:f>C14-C11</x:f>
        <x:v>250</x:v>
      </x:c>
      <x:c r="D15" s="66"/>
      <x:c r="E15" s="66"/>
      <x:c r="F15" s="39"/>
      <x:c r="G15" s="39"/>
      <x:c r="H15" s="39"/>
      <x:c r="I15" s="39"/>
      <x:c r="J15" s="39"/>
    </x:row>
  </x:sheetData>
  <x:mergeCells>
    <x:mergeCell ref="A2:J2"/>
    <x:mergeCell ref="A3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3" hidden="0" customWidth="1"/>
    <x:col min="2" max="2" width="15" hidden="0" customWidth="1"/>
    <x:col min="3" max="3" width="46" hidden="0" customWidth="1"/>
    <x:col min="4" max="4" width="15" hidden="0" customWidth="1"/>
    <x:col min="5" max="5" width="15" hidden="0" customWidth="1"/>
    <x:col min="6" max="6" width="15" hidden="0" customWidth="1"/>
  </x:cols>
  <x:sheetData>
    <x:row r="2">
      <x:c r="A2" s="38" t="str">
        <x:v>Launch-station and arsenal-cell topology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40" t="str">
        <x:v>The six cells are abstract allocation units. No city, region or travel-time claim is made.</x:v>
      </x:c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</x:row>
    <x:row r="6" ht="30" customHeight="1">
      <x:c r="A6" s="16" t="str">
        <x:v>Arsenal cell</x:v>
      </x:c>
      <x:c r="B6" s="17" t="str">
        <x:v>Sector</x:v>
      </x:c>
      <x:c r="C6" s="17" t="str">
        <x:v>Compound</x:v>
      </x:c>
      <x:c r="D6" s="17" t="str">
        <x:v>Global</x:v>
      </x:c>
      <x:c r="E6" s="17" t="str">
        <x:v>Strategic</x:v>
      </x:c>
      <x:c r="F6" s="18" t="str">
        <x:v>Total groups</x:v>
      </x:c>
      <x:c r="G6" s="39"/>
      <x:c r="H6" s="39"/>
      <x:c r="I6" s="39"/>
      <x:c r="J6" s="39"/>
    </x:row>
    <x:row r="7">
      <x:c r="A7" s="39" t="str">
        <x:v>AC-1</x:v>
      </x:c>
      <x:c r="B7" s="39" t="n">
        <x:v>2</x:v>
      </x:c>
      <x:c r="C7" s="39" t="n">
        <x:v>1</x:v>
      </x:c>
      <x:c r="D7" s="39" t="n">
        <x:v>1</x:v>
      </x:c>
      <x:c r="E7" s="39" t="n">
        <x:v>0</x:v>
      </x:c>
      <x:c r="F7" s="39" t="n">
        <x:f>SUM(B7:E7)</x:f>
        <x:v>4</x:v>
      </x:c>
      <x:c r="G7" s="39"/>
      <x:c r="H7" s="39"/>
      <x:c r="I7" s="39"/>
      <x:c r="J7" s="39"/>
    </x:row>
    <x:row r="8">
      <x:c r="A8" s="39" t="str">
        <x:v>AC-2</x:v>
      </x:c>
      <x:c r="B8" s="39" t="n">
        <x:v>2</x:v>
      </x:c>
      <x:c r="C8" s="39" t="n">
        <x:v>1</x:v>
      </x:c>
      <x:c r="D8" s="39" t="n">
        <x:v>0</x:v>
      </x:c>
      <x:c r="E8" s="39" t="n">
        <x:v>1</x:v>
      </x:c>
      <x:c r="F8" s="39" t="n">
        <x:f>SUM(B8:E8)</x:f>
        <x:v>4</x:v>
      </x:c>
      <x:c r="G8" s="39"/>
      <x:c r="H8" s="39"/>
      <x:c r="I8" s="39"/>
      <x:c r="J8" s="39"/>
    </x:row>
    <x:row r="9">
      <x:c r="A9" s="39" t="str">
        <x:v>AC-3</x:v>
      </x:c>
      <x:c r="B9" s="39" t="n">
        <x:v>2</x:v>
      </x:c>
      <x:c r="C9" s="39" t="n">
        <x:v>0</x:v>
      </x:c>
      <x:c r="D9" s="39" t="n">
        <x:v>1</x:v>
      </x:c>
      <x:c r="E9" s="39" t="n">
        <x:v>1</x:v>
      </x:c>
      <x:c r="F9" s="39" t="n">
        <x:f>SUM(B9:E9)</x:f>
        <x:v>4</x:v>
      </x:c>
      <x:c r="G9" s="39"/>
      <x:c r="H9" s="39"/>
      <x:c r="I9" s="39"/>
      <x:c r="J9" s="39"/>
    </x:row>
    <x:row r="10">
      <x:c r="A10" s="39" t="str">
        <x:v>AC-4</x:v>
      </x:c>
      <x:c r="B10" s="39" t="n">
        <x:v>2</x:v>
      </x:c>
      <x:c r="C10" s="39" t="n">
        <x:v>1</x:v>
      </x:c>
      <x:c r="D10" s="39" t="n">
        <x:v>1</x:v>
      </x:c>
      <x:c r="E10" s="39" t="n">
        <x:v>0</x:v>
      </x:c>
      <x:c r="F10" s="39" t="n">
        <x:f>SUM(B10:E10)</x:f>
        <x:v>4</x:v>
      </x:c>
      <x:c r="G10" s="39"/>
      <x:c r="H10" s="39"/>
      <x:c r="I10" s="39"/>
      <x:c r="J10" s="39"/>
    </x:row>
    <x:row r="11">
      <x:c r="A11" s="39" t="str">
        <x:v>AC-5</x:v>
      </x:c>
      <x:c r="B11" s="39" t="n">
        <x:v>2</x:v>
      </x:c>
      <x:c r="C11" s="39" t="n">
        <x:v>1</x:v>
      </x:c>
      <x:c r="D11" s="39" t="n">
        <x:v>0</x:v>
      </x:c>
      <x:c r="E11" s="39" t="n">
        <x:v>1</x:v>
      </x:c>
      <x:c r="F11" s="39" t="n">
        <x:f>SUM(B11:E11)</x:f>
        <x:v>4</x:v>
      </x:c>
      <x:c r="G11" s="39"/>
      <x:c r="H11" s="39"/>
      <x:c r="I11" s="39"/>
      <x:c r="J11" s="39"/>
    </x:row>
    <x:row r="12">
      <x:c r="A12" s="39" t="str">
        <x:v>AC-6</x:v>
      </x:c>
      <x:c r="B12" s="39" t="n">
        <x:v>2</x:v>
      </x:c>
      <x:c r="C12" s="39" t="n">
        <x:v>0</x:v>
      </x:c>
      <x:c r="D12" s="39" t="n">
        <x:v>1</x:v>
      </x:c>
      <x:c r="E12" s="39" t="n">
        <x:v>1</x:v>
      </x:c>
      <x:c r="F12" s="39" t="n">
        <x:f>SUM(B12:E12)</x:f>
        <x:v>4</x:v>
      </x:c>
      <x:c r="G12" s="39"/>
      <x:c r="H12" s="39"/>
      <x:c r="I12" s="39"/>
      <x:c r="J12" s="39"/>
    </x:row>
    <x:row r="13">
      <x:c r="A13" s="66" t="str">
        <x:v>Total</x:v>
      </x:c>
      <x:c r="B13" s="66" t="n">
        <x:f>SUM(B7:B12)</x:f>
        <x:v>12</x:v>
      </x:c>
      <x:c r="C13" s="66" t="n">
        <x:f>SUM(C7:C12)</x:f>
        <x:v>4</x:v>
      </x:c>
      <x:c r="D13" s="66" t="n">
        <x:f>SUM(D7:D12)</x:f>
        <x:v>4</x:v>
      </x:c>
      <x:c r="E13" s="66" t="n">
        <x:f>SUM(E7:E12)</x:f>
        <x:v>4</x:v>
      </x:c>
      <x:c r="F13" s="66" t="n">
        <x:f>SUM(F7:F12)</x:f>
        <x:v>24</x:v>
      </x:c>
      <x:c r="G13" s="39"/>
      <x:c r="H13" s="39"/>
      <x:c r="I13" s="39"/>
      <x:c r="J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</x:row>
    <x:row r="16">
      <x:c r="A16" s="68" t="str">
        <x:v>National basing totals</x:v>
      </x:c>
      <x:c r="B16" s="69" t="str">
        <x:v>National basing totals</x:v>
      </x:c>
      <x:c r="C16" s="69" t="str">
        <x:v>National basing totals</x:v>
      </x:c>
      <x:c r="D16" s="69" t="str">
        <x:v>National basing totals</x:v>
      </x:c>
      <x:c r="E16" s="69" t="str">
        <x:v>National basing totals</x:v>
      </x:c>
      <x:c r="F16" s="70" t="str">
        <x:v>National basing totals</x:v>
      </x:c>
      <x:c r="G16" s="39"/>
      <x:c r="H16" s="39"/>
      <x:c r="I16" s="39"/>
      <x:c r="J16" s="39"/>
    </x:row>
    <x:row r="17" ht="30" customHeight="1">
      <x:c r="A17" s="16" t="str">
        <x:v>Metric</x:v>
      </x:c>
      <x:c r="B17" s="17" t="str">
        <x:v>Value</x:v>
      </x:c>
      <x:c r="C17" s="18" t="str">
        <x:v>Definition</x:v>
      </x:c>
      <x:c r="D17" s="39"/>
      <x:c r="E17" s="39"/>
      <x:c r="F17" s="39"/>
      <x:c r="G17" s="39"/>
      <x:c r="H17" s="39"/>
      <x:c r="I17" s="39"/>
      <x:c r="J17" s="39"/>
    </x:row>
    <x:row r="18">
      <x:c r="A18" s="39" t="str">
        <x:v>Launch stations</x:v>
      </x:c>
      <x:c r="B18" s="39" t="n">
        <x:f>'Allocation'!B11*'Assumptions'!$C$49</x:f>
        <x:v>48</x:v>
      </x:c>
      <x:c r="C18" s="39" t="str">
        <x:v>Two per group</x:v>
      </x:c>
      <x:c r="D18" s="39"/>
      <x:c r="E18" s="39"/>
      <x:c r="F18" s="39"/>
      <x:c r="G18" s="39"/>
      <x:c r="H18" s="39"/>
      <x:c r="I18" s="39"/>
      <x:c r="J18" s="39"/>
    </x:row>
    <x:row r="19">
      <x:c r="A19" s="39" t="str">
        <x:v>Operational sets per station</x:v>
      </x:c>
      <x:c r="B19" s="39" t="n">
        <x:f>(ROUNDUP('Assumptions'!$C$34/'Assumptions'!$C$35,0)+'Assumptions'!$C$36)/'Assumptions'!$C$49</x:f>
        <x:v>4</x:v>
      </x:c>
      <x:c r="C19" s="39" t="str">
        <x:v>Two bodies from each root</x:v>
      </x:c>
      <x:c r="D19" s="39"/>
      <x:c r="E19" s="39"/>
      <x:c r="F19" s="39"/>
      <x:c r="G19" s="39"/>
      <x:c r="H19" s="39"/>
      <x:c r="I19" s="39"/>
      <x:c r="J19" s="39"/>
    </x:row>
    <x:row r="20">
      <x:c r="A20" s="39" t="str">
        <x:v>Arsenal cells</x:v>
      </x:c>
      <x:c r="B20" s="39" t="n">
        <x:f>ROUNDUP('Allocation'!B11/'Assumptions'!$C$50,0)</x:f>
        <x:v>6</x:v>
      </x:c>
      <x:c r="C20" s="39" t="str">
        <x:v>Four groups per cell</x:v>
      </x:c>
      <x:c r="D20" s="39"/>
      <x:c r="E20" s="39"/>
      <x:c r="F20" s="39"/>
      <x:c r="G20" s="39"/>
      <x:c r="H20" s="39"/>
      <x:c r="I20" s="39"/>
      <x:c r="J20" s="39"/>
    </x:row>
    <x:row r="21">
      <x:c r="A21" s="39" t="str">
        <x:v>Arsenals</x:v>
      </x:c>
      <x:c r="B21" s="39" t="n">
        <x:f>B20*'Assumptions'!$C$51</x:f>
        <x:v>18</x:v>
      </x:c>
      <x:c r="C21" s="39" t="str">
        <x:v>Three unlike sites per cell</x:v>
      </x:c>
      <x:c r="D21" s="39"/>
      <x:c r="E21" s="39"/>
      <x:c r="F21" s="39"/>
      <x:c r="G21" s="39"/>
      <x:c r="H21" s="39"/>
      <x:c r="I21" s="39"/>
      <x:c r="J21" s="39"/>
    </x:row>
  </x:sheetData>
  <x:mergeCells>
    <x:mergeCell ref="A2:J2"/>
    <x:mergeCell ref="A3:J3"/>
    <x:mergeCell ref="A16:F1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4" hidden="0" customWidth="1"/>
    <x:col min="2" max="2" width="46" hidden="0" customWidth="1"/>
    <x:col min="3" max="3" width="20" hidden="0" customWidth="1"/>
    <x:col min="4" max="4" width="20" hidden="0" customWidth="1"/>
  </x:cols>
  <x:sheetData>
    <x:row r="2">
      <x:c r="A2" s="38" t="str">
        <x:v>Arsenal-bay capacity after site loss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40" t="str">
        <x:v>Integer bay count is derived from four-group demand and loss of one arsenal in each cell.</x:v>
      </x:c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</x:row>
    <x:row r="6" ht="30" customHeight="1">
      <x:c r="A6" s="16" t="str">
        <x:v>Metric</x:v>
      </x:c>
      <x:c r="B6" s="17" t="str">
        <x:v>Formula basis</x:v>
      </x:c>
      <x:c r="C6" s="17" t="str">
        <x:v>Value</x:v>
      </x:c>
      <x:c r="D6" s="18" t="str">
        <x:v>Unit</x:v>
      </x:c>
      <x:c r="E6" s="39"/>
      <x:c r="F6" s="39"/>
      <x:c r="G6" s="39"/>
      <x:c r="H6" s="39"/>
      <x:c r="I6" s="39"/>
      <x:c r="J6" s="39"/>
    </x:row>
    <x:row r="7">
      <x:c r="A7" s="39" t="str">
        <x:v>Average bays per group</x:v>
      </x:c>
      <x:c r="B7" s="39" t="str">
        <x:v>arsenal residence ÷ issue interval</x:v>
      </x:c>
      <x:c r="C7" s="39" t="n">
        <x:f>'Assumptions'!$C$52/'Assumptions'!$C$35</x:f>
        <x:v>4.666666666666667</x:v>
      </x:c>
      <x:c r="D7" s="39" t="str">
        <x:v>bays</x:v>
      </x:c>
      <x:c r="E7" s="39"/>
      <x:c r="F7" s="39"/>
      <x:c r="G7" s="39"/>
      <x:c r="H7" s="39"/>
      <x:c r="I7" s="39"/>
      <x:c r="J7" s="39"/>
    </x:row>
    <x:row r="8">
      <x:c r="A8" s="39" t="str">
        <x:v>Average bays per cell</x:v>
      </x:c>
      <x:c r="B8" s="39" t="str">
        <x:v>groups per cell × group demand</x:v>
      </x:c>
      <x:c r="C8" s="39" t="n">
        <x:f>C7*'Assumptions'!$C$50</x:f>
        <x:v>18.666666666666668</x:v>
      </x:c>
      <x:c r="D8" s="39" t="str">
        <x:v>bays</x:v>
      </x:c>
      <x:c r="E8" s="39"/>
      <x:c r="F8" s="39"/>
      <x:c r="G8" s="39"/>
      <x:c r="H8" s="39"/>
      <x:c r="I8" s="39"/>
      <x:c r="J8" s="39"/>
    </x:row>
    <x:row r="9">
      <x:c r="A9" s="39" t="str">
        <x:v>Surviving arsenals per cell</x:v>
      </x:c>
      <x:c r="B9" s="39" t="str">
        <x:v>sites less denied sites</x:v>
      </x:c>
      <x:c r="C9" s="39" t="n">
        <x:f>'Assumptions'!$C$51-'Assumptions'!$C$53</x:f>
        <x:v>2</x:v>
      </x:c>
      <x:c r="D9" s="39" t="str">
        <x:v>arsenals</x:v>
      </x:c>
      <x:c r="E9" s="39"/>
      <x:c r="F9" s="39"/>
      <x:c r="G9" s="39"/>
      <x:c r="H9" s="39"/>
      <x:c r="I9" s="39"/>
      <x:c r="J9" s="39"/>
    </x:row>
    <x:row r="10">
      <x:c r="A10" s="39" t="str">
        <x:v>Minimum integer bays per arsenal</x:v>
      </x:c>
      <x:c r="B10" s="39" t="str">
        <x:v>cell demand ÷ surviving sites</x:v>
      </x:c>
      <x:c r="C10" s="39" t="n">
        <x:f>ROUNDUP(C8/C9,0)</x:f>
        <x:v>10</x:v>
      </x:c>
      <x:c r="D10" s="39" t="str">
        <x:v>bays/arsenal</x:v>
      </x:c>
      <x:c r="E10" s="39"/>
      <x:c r="F10" s="39"/>
      <x:c r="G10" s="39"/>
      <x:c r="H10" s="39"/>
      <x:c r="I10" s="39"/>
      <x:c r="J10" s="39"/>
    </x:row>
    <x:row r="11">
      <x:c r="A11" s="39" t="str">
        <x:v>Installed bays per cell</x:v>
      </x:c>
      <x:c r="B11" s="39" t="str">
        <x:v>arsenals × integer bays</x:v>
      </x:c>
      <x:c r="C11" s="39" t="n">
        <x:f>C10*'Assumptions'!$C$51</x:f>
        <x:v>30</x:v>
      </x:c>
      <x:c r="D11" s="39" t="str">
        <x:v>bays</x:v>
      </x:c>
      <x:c r="E11" s="39"/>
      <x:c r="F11" s="39"/>
      <x:c r="G11" s="39"/>
      <x:c r="H11" s="39"/>
      <x:c r="I11" s="39"/>
      <x:c r="J11" s="39"/>
    </x:row>
    <x:row r="12">
      <x:c r="A12" s="39" t="str">
        <x:v>Residual bays per cell</x:v>
      </x:c>
      <x:c r="B12" s="39" t="str">
        <x:v>surviving arsenals × integer bays</x:v>
      </x:c>
      <x:c r="C12" s="39" t="n">
        <x:f>C10*C9</x:f>
        <x:v>20</x:v>
      </x:c>
      <x:c r="D12" s="39" t="str">
        <x:v>bays</x:v>
      </x:c>
      <x:c r="E12" s="39"/>
      <x:c r="F12" s="39"/>
      <x:c r="G12" s="39"/>
      <x:c r="H12" s="39"/>
      <x:c r="I12" s="39"/>
      <x:c r="J12" s="39"/>
    </x:row>
    <x:row r="13">
      <x:c r="A13" s="39" t="str">
        <x:v>Residual utilization</x:v>
      </x:c>
      <x:c r="B13" s="39" t="str">
        <x:v>cell demand ÷ residual bays</x:v>
      </x:c>
      <x:c r="C13" s="72" t="n">
        <x:f>C8/C12</x:f>
        <x:v>0.9333333333333333</x:v>
      </x:c>
      <x:c r="D13" s="39" t="str">
        <x:v>share</x:v>
      </x:c>
      <x:c r="E13" s="39"/>
      <x:c r="F13" s="39"/>
      <x:c r="G13" s="39"/>
      <x:c r="H13" s="39"/>
      <x:c r="I13" s="39"/>
      <x:c r="J13" s="39"/>
    </x:row>
    <x:row r="14">
      <x:c r="A14" s="39" t="str">
        <x:v>National installed bays</x:v>
      </x:c>
      <x:c r="B14" s="39" t="str">
        <x:v>cells × installed bays</x:v>
      </x:c>
      <x:c r="C14" s="39" t="n">
        <x:f>'Basing'!B20*C11</x:f>
        <x:v>180</x:v>
      </x:c>
      <x:c r="D14" s="39" t="str">
        <x:v>bays</x:v>
      </x:c>
      <x:c r="E14" s="39"/>
      <x:c r="F14" s="39"/>
      <x:c r="G14" s="39"/>
      <x:c r="H14" s="39"/>
      <x:c r="I14" s="39"/>
      <x:c r="J14" s="39"/>
    </x:row>
    <x:row r="15">
      <x:c r="A15" s="39" t="str">
        <x:v>National average demand</x:v>
      </x:c>
      <x:c r="B15" s="39" t="str">
        <x:v>groups × average demand</x:v>
      </x:c>
      <x:c r="C15" s="39" t="n">
        <x:f>'Allocation'!B11*C7</x:f>
        <x:v>112</x:v>
      </x:c>
      <x:c r="D15" s="39" t="str">
        <x:v>bays</x:v>
      </x:c>
      <x:c r="E15" s="39"/>
      <x:c r="F15" s="39"/>
      <x:c r="G15" s="39"/>
      <x:c r="H15" s="39"/>
      <x:c r="I15" s="39"/>
      <x:c r="J15" s="39"/>
    </x:row>
    <x:row r="16">
      <x:c r="A16" s="39" t="str">
        <x:v>National residual bays</x:v>
      </x:c>
      <x:c r="B16" s="39" t="str">
        <x:v>cells × residual bays</x:v>
      </x:c>
      <x:c r="C16" s="39" t="n">
        <x:f>'Basing'!B20*C12</x:f>
        <x:v>120</x:v>
      </x:c>
      <x:c r="D16" s="39" t="str">
        <x:v>bays</x:v>
      </x:c>
      <x:c r="E16" s="39"/>
      <x:c r="F16" s="39"/>
      <x:c r="G16" s="39"/>
      <x:c r="H16" s="39"/>
      <x:c r="I16" s="39"/>
      <x:c r="J16" s="39"/>
    </x:row>
    <x:row r="17">
      <x:c r="A17" s="39" t="str">
        <x:v>National residual margin</x:v>
      </x:c>
      <x:c r="B17" s="39" t="str">
        <x:v>residual less demand</x:v>
      </x:c>
      <x:c r="C17" s="39" t="n">
        <x:f>C16-C15</x:f>
        <x:v>8</x:v>
      </x:c>
      <x:c r="D17" s="39" t="str">
        <x:v>bays</x:v>
      </x:c>
      <x:c r="E17" s="39"/>
      <x:c r="F17" s="39"/>
      <x:c r="G17" s="39"/>
      <x:c r="H17" s="39"/>
      <x:c r="I17" s="39"/>
      <x:c r="J17" s="39"/>
    </x:row>
  </x:sheetData>
  <x:mergeCells>
    <x:mergeCell ref="A2:J2"/>
    <x:mergeCell ref="A3:J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4" hidden="0" customWidth="1"/>
    <x:col min="2" max="2" width="48" hidden="0" customWidth="1"/>
    <x:col min="3" max="3" width="20" hidden="0" customWidth="1"/>
    <x:col min="4" max="4" width="20" hidden="0" customWidth="1"/>
  </x:cols>
  <x:sheetData>
    <x:row r="2">
      <x:c r="A2" s="38" t="str">
        <x:v>System-body production and replacement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40" t="str">
        <x:v>Either system root must meet normal fleet replacement without the other root.</x:v>
      </x:c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</x:row>
    <x:row r="6" ht="30" customHeight="1">
      <x:c r="A6" s="16" t="str">
        <x:v>Metric</x:v>
      </x:c>
      <x:c r="B6" s="17" t="str">
        <x:v>Formula basis</x:v>
      </x:c>
      <x:c r="C6" s="17" t="str">
        <x:v>Value</x:v>
      </x:c>
      <x:c r="D6" s="18" t="str">
        <x:v>Unit</x:v>
      </x:c>
      <x:c r="E6" s="39"/>
      <x:c r="F6" s="39"/>
      <x:c r="G6" s="39"/>
      <x:c r="H6" s="39"/>
      <x:c r="I6" s="39"/>
      <x:c r="J6" s="39"/>
    </x:row>
    <x:row r="7">
      <x:c r="A7" s="39" t="str">
        <x:v>Serviceable bodies</x:v>
      </x:c>
      <x:c r="B7" s="39" t="str">
        <x:v>fleet less destructive</x:v>
      </x:c>
      <x:c r="C7" s="39" t="n">
        <x:f>'Fleet'!C15</x:f>
        <x:v>250</x:v>
      </x:c>
      <x:c r="D7" s="39" t="str">
        <x:v>bodies</x:v>
      </x:c>
      <x:c r="E7" s="39"/>
      <x:c r="F7" s="39"/>
      <x:c r="G7" s="39"/>
      <x:c r="H7" s="39"/>
      <x:c r="I7" s="39"/>
      <x:c r="J7" s="39"/>
    </x:row>
    <x:row r="8">
      <x:c r="A8" s="39" t="str">
        <x:v>Normal annual replacement</x:v>
      </x:c>
      <x:c r="B8" s="39" t="str">
        <x:v>serviceable bodies ÷ life</x:v>
      </x:c>
      <x:c r="C8" s="74" t="n">
        <x:f>C7/'Assumptions'!$C$45</x:f>
        <x:v>10</x:v>
      </x:c>
      <x:c r="D8" s="39" t="str">
        <x:v>bodies/year</x:v>
      </x:c>
      <x:c r="E8" s="39"/>
      <x:c r="F8" s="39"/>
      <x:c r="G8" s="39"/>
      <x:c r="H8" s="39"/>
      <x:c r="I8" s="39"/>
      <x:c r="J8" s="39"/>
    </x:row>
    <x:row r="9">
      <x:c r="A9" s="39" t="str">
        <x:v>Output per line</x:v>
      </x:c>
      <x:c r="B9" s="39" t="str">
        <x:v>52 weeks ÷ serial interval</x:v>
      </x:c>
      <x:c r="C9" s="74" t="n">
        <x:f>52/'Assumptions'!$C$46</x:f>
        <x:v>3.25</x:v>
      </x:c>
      <x:c r="D9" s="39" t="str">
        <x:v>bodies/year</x:v>
      </x:c>
      <x:c r="E9" s="39"/>
      <x:c r="F9" s="39"/>
      <x:c r="G9" s="39"/>
      <x:c r="H9" s="39"/>
      <x:c r="I9" s="39"/>
      <x:c r="J9" s="39"/>
    </x:row>
    <x:row r="10">
      <x:c r="A10" s="39" t="str">
        <x:v>Lines required per root</x:v>
      </x:c>
      <x:c r="B10" s="39" t="str">
        <x:v>replacement ÷ line output</x:v>
      </x:c>
      <x:c r="C10" s="39" t="n">
        <x:f>ROUNDUP(C8/C9,0)</x:f>
        <x:v>4</x:v>
      </x:c>
      <x:c r="D10" s="39" t="str">
        <x:v>lines/root</x:v>
      </x:c>
      <x:c r="E10" s="39"/>
      <x:c r="F10" s="39"/>
      <x:c r="G10" s="39"/>
      <x:c r="H10" s="39"/>
      <x:c r="I10" s="39"/>
      <x:c r="J10" s="39"/>
    </x:row>
    <x:row r="11">
      <x:c r="A11" s="39" t="str">
        <x:v>Lines per campus</x:v>
      </x:c>
      <x:c r="B11" s="39" t="str">
        <x:v>selected campus topology</x:v>
      </x:c>
      <x:c r="C11" s="39" t="n">
        <x:f>2</x:f>
        <x:v>2</x:v>
      </x:c>
      <x:c r="D11" s="39" t="str">
        <x:v>lines/campus</x:v>
      </x:c>
      <x:c r="E11" s="39"/>
      <x:c r="F11" s="39"/>
      <x:c r="G11" s="39"/>
      <x:c r="H11" s="39"/>
      <x:c r="I11" s="39"/>
      <x:c r="J11" s="39"/>
    </x:row>
    <x:row r="12">
      <x:c r="A12" s="39" t="str">
        <x:v>Integration campuses</x:v>
      </x:c>
      <x:c r="B12" s="39" t="str">
        <x:v>two roots × campuses per root</x:v>
      </x:c>
      <x:c r="C12" s="39" t="n">
        <x:f>2*ROUNDUP(C10/C11,0)</x:f>
        <x:v>4</x:v>
      </x:c>
      <x:c r="D12" s="39" t="str">
        <x:v>campuses</x:v>
      </x:c>
      <x:c r="E12" s="39"/>
      <x:c r="F12" s="39"/>
      <x:c r="G12" s="39"/>
      <x:c r="H12" s="39"/>
      <x:c r="I12" s="39"/>
      <x:c r="J12" s="39"/>
    </x:row>
    <x:row r="13">
      <x:c r="A13" s="39" t="str">
        <x:v>Installed output</x:v>
      </x:c>
      <x:c r="B13" s="39" t="str">
        <x:v>two roots × lines × output</x:v>
      </x:c>
      <x:c r="C13" s="74" t="n">
        <x:f>2*C10*C9</x:f>
        <x:v>26</x:v>
      </x:c>
      <x:c r="D13" s="39" t="str">
        <x:v>bodies/year</x:v>
      </x:c>
      <x:c r="E13" s="39"/>
      <x:c r="F13" s="39"/>
      <x:c r="G13" s="39"/>
      <x:c r="H13" s="39"/>
      <x:c r="I13" s="39"/>
      <x:c r="J13" s="39"/>
    </x:row>
    <x:row r="14">
      <x:c r="A14" s="39" t="str">
        <x:v>One-root residual output</x:v>
      </x:c>
      <x:c r="B14" s="39" t="str">
        <x:v>one root × lines × output</x:v>
      </x:c>
      <x:c r="C14" s="74" t="n">
        <x:f>C10*C9</x:f>
        <x:v>13</x:v>
      </x:c>
      <x:c r="D14" s="39" t="str">
        <x:v>bodies/year</x:v>
      </x:c>
      <x:c r="E14" s="39"/>
      <x:c r="F14" s="39"/>
      <x:c r="G14" s="39"/>
      <x:c r="H14" s="39"/>
      <x:c r="I14" s="39"/>
      <x:c r="J14" s="39"/>
    </x:row>
    <x:row r="15">
      <x:c r="A15" s="39" t="str">
        <x:v>One-campus-loss output</x:v>
      </x:c>
      <x:c r="B15" s="39" t="str">
        <x:v>six surviving lines at selected topology</x:v>
      </x:c>
      <x:c r="C15" s="74" t="n">
        <x:f>(2*C10-C11)*C9</x:f>
        <x:v>19.5</x:v>
      </x:c>
      <x:c r="D15" s="39" t="str">
        <x:v>bodies/year</x:v>
      </x:c>
      <x:c r="E15" s="39"/>
      <x:c r="F15" s="39"/>
      <x:c r="G15" s="39"/>
      <x:c r="H15" s="39"/>
      <x:c r="I15" s="39"/>
      <x:c r="J15" s="39"/>
    </x:row>
    <x:row r="16">
      <x:c r="A16" s="39" t="str">
        <x:v>Full-rate years for 256 bodies</x:v>
      </x:c>
      <x:c r="B16" s="39" t="str">
        <x:v>fleet ÷ installed output</x:v>
      </x:c>
      <x:c r="C16" s="74" t="n">
        <x:f>'Fleet'!C14/C13</x:f>
        <x:v>9.846153846153847</x:v>
      </x:c>
      <x:c r="D16" s="39" t="str">
        <x:v>years</x:v>
      </x:c>
      <x:c r="E16" s="39"/>
      <x:c r="F16" s="39"/>
      <x:c r="G16" s="39"/>
      <x:c r="H16" s="39"/>
      <x:c r="I16" s="39"/>
      <x:c r="J16" s="39"/>
    </x:row>
    <x:row r="17">
      <x:c r="A17" s="39" t="str">
        <x:v>Fielding horizon</x:v>
      </x:c>
      <x:c r="B17" s="39" t="str">
        <x:v>planning input</x:v>
      </x:c>
      <x:c r="C17" s="39" t="n">
        <x:f>'Assumptions'!$C$47</x:f>
        <x:v>12</x:v>
      </x:c>
      <x:c r="D17" s="39" t="str">
        <x:v>years</x:v>
      </x:c>
      <x:c r="E17" s="39"/>
      <x:c r="F17" s="39"/>
      <x:c r="G17" s="39"/>
      <x:c r="H17" s="39"/>
      <x:c r="I17" s="39"/>
      <x:c r="J17" s="39"/>
    </x:row>
  </x:sheetData>
  <x:mergeCells>
    <x:mergeCell ref="A2:J2"/>
    <x:mergeCell ref="A3:J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8" hidden="0" customWidth="1"/>
  </x:cols>
  <x:sheetData>
    <x:row r="2">
      <x:c r="A2" s="38" t="str">
        <x:v>Transport inventory and root-loss replacement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40" t="str">
        <x:v>The ten-percent strategic inventory is separate from the twenty-four group pools.</x:v>
      </x:c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</x:row>
    <x:row r="6" ht="30" customHeight="1">
      <x:c r="A6" s="16" t="str">
        <x:v>Family</x:v>
      </x:c>
      <x:c r="B6" s="17" t="str">
        <x:v>Group pools</x:v>
      </x:c>
      <x:c r="C6" s="17" t="str">
        <x:v>Strategic reserve</x:v>
      </x:c>
      <x:c r="D6" s="17" t="str">
        <x:v>Total inventory</x:v>
      </x:c>
      <x:c r="E6" s="17" t="str">
        <x:v>Life</x:v>
      </x:c>
      <x:c r="F6" s="17" t="str">
        <x:v>Annual replacement</x:v>
      </x:c>
      <x:c r="G6" s="17" t="str">
        <x:v>Capacity per root</x:v>
      </x:c>
      <x:c r="H6" s="18" t="str">
        <x:v>Root-loss result</x:v>
      </x:c>
      <x:c r="I6" s="39"/>
      <x:c r="J6" s="39"/>
    </x:row>
    <x:row r="7">
      <x:c r="A7" s="39" t="str">
        <x:v>Prime movers</x:v>
      </x:c>
      <x:c r="B7" s="39" t="n">
        <x:f>'Allocation'!B11*'Assumptions'!$C$55</x:f>
        <x:v>76800</x:v>
      </x:c>
      <x:c r="C7" s="39" t="n">
        <x:f>B7*'Assumptions'!$C$57</x:f>
        <x:v>7680</x:v>
      </x:c>
      <x:c r="D7" s="39" t="n">
        <x:f>B7+C7</x:f>
        <x:v>84480</x:v>
      </x:c>
      <x:c r="E7" s="39" t="n">
        <x:f>'Assumptions'!$C$58</x:f>
        <x:v>12</x:v>
      </x:c>
      <x:c r="F7" s="39" t="n">
        <x:f>D7/E7</x:f>
        <x:v>7040</x:v>
      </x:c>
      <x:c r="G7" s="39" t="n">
        <x:f>'Assumptions'!$C$60</x:f>
        <x:v>7500</x:v>
      </x:c>
      <x:c r="H7" s="39" t="str">
        <x:f>IF(G7&gt;=F7,"PASS","FAIL")</x:f>
        <x:v>PASS</x:v>
      </x:c>
      <x:c r="I7" s="39"/>
      <x:c r="J7" s="39"/>
    </x:row>
    <x:row r="8">
      <x:c r="A8" s="39" t="str">
        <x:v>Governed frames</x:v>
      </x:c>
      <x:c r="B8" s="39" t="n">
        <x:f>'Allocation'!B11*'Assumptions'!$C$56</x:f>
        <x:v>72000</x:v>
      </x:c>
      <x:c r="C8" s="39" t="n">
        <x:f>B8*'Assumptions'!$C$57</x:f>
        <x:v>7200</x:v>
      </x:c>
      <x:c r="D8" s="39" t="n">
        <x:f>B8+C8</x:f>
        <x:v>79200</x:v>
      </x:c>
      <x:c r="E8" s="39" t="n">
        <x:f>'Assumptions'!$C$59</x:f>
        <x:v>20</x:v>
      </x:c>
      <x:c r="F8" s="39" t="n">
        <x:f>D8/E8</x:f>
        <x:v>3960</x:v>
      </x:c>
      <x:c r="G8" s="39" t="n">
        <x:f>'Assumptions'!$C$61</x:f>
        <x:v>4200</x:v>
      </x:c>
      <x:c r="H8" s="39" t="str">
        <x:f>IF(G8&gt;=F8,"PASS","FAIL")</x:f>
        <x:v>PASS</x:v>
      </x:c>
      <x:c r="I8" s="39"/>
      <x:c r="J8" s="39"/>
    </x:row>
  </x:sheetData>
  <x:mergeCells>
    <x:mergeCell ref="A2:J2"/>
    <x:mergeCell ref="A3:J3"/>
  </x:mergeCells>
  <x:conditionalFormatting sqref="H7:H8">
    <x:cfRule type="containsText" dxfId="2" priority="1" operator="containsText" text="FAIL"/>
    <x:cfRule type="containsText" dxfId="3" priority="2" operator="containsText" text="PASS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4" hidden="0" customWidth="1"/>
    <x:col min="2" max="2" width="48" hidden="0" customWidth="1"/>
    <x:col min="3" max="3" width="20" hidden="0" customWidth="1"/>
    <x:col min="4" max="4" width="17" hidden="0" customWidth="1"/>
  </x:cols>
  <x:sheetData>
    <x:row r="2">
      <x:c r="A2" s="38" t="str">
        <x:v>Mature public workforce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40" t="str">
        <x:v>The model reports public positions only. It makes no supplier-employment multiplier claim.</x:v>
      </x:c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</x:row>
    <x:row r="6" ht="30" customHeight="1">
      <x:c r="A6" s="16" t="str">
        <x:v>Function</x:v>
      </x:c>
      <x:c r="B6" s="17" t="str">
        <x:v>Formula basis</x:v>
      </x:c>
      <x:c r="C6" s="17" t="str">
        <x:v>Positions</x:v>
      </x:c>
      <x:c r="D6" s="18" t="str">
        <x:v>Account</x:v>
      </x:c>
      <x:c r="E6" s="39"/>
      <x:c r="F6" s="39"/>
      <x:c r="G6" s="39"/>
      <x:c r="H6" s="39"/>
      <x:c r="I6" s="39"/>
      <x:c r="J6" s="39"/>
    </x:row>
    <x:row r="7">
      <x:c r="A7" s="39" t="str">
        <x:v>Set crews</x:v>
      </x:c>
      <x:c r="B7" s="39" t="str">
        <x:v>operational sets × crew</x:v>
      </x:c>
      <x:c r="C7" s="39" t="n">
        <x:f>'Fleet'!C7*'Assumptions'!$C$63</x:f>
        <x:v>276480</x:v>
      </x:c>
      <x:c r="D7" s="39" t="str">
        <x:v>Operating</x:v>
      </x:c>
      <x:c r="E7" s="39"/>
      <x:c r="F7" s="39"/>
      <x:c r="G7" s="39"/>
      <x:c r="H7" s="39"/>
      <x:c r="I7" s="39"/>
      <x:c r="J7" s="39"/>
    </x:row>
    <x:row r="8">
      <x:c r="A8" s="39" t="str">
        <x:v>Group command</x:v>
      </x:c>
      <x:c r="B8" s="39" t="str">
        <x:v>groups × command positions</x:v>
      </x:c>
      <x:c r="C8" s="39" t="n">
        <x:f>'Allocation'!B11*'Assumptions'!$C$64</x:f>
        <x:v>6720</x:v>
      </x:c>
      <x:c r="D8" s="39" t="str">
        <x:v>Operating</x:v>
      </x:c>
      <x:c r="E8" s="39"/>
      <x:c r="F8" s="39"/>
      <x:c r="G8" s="39"/>
      <x:c r="H8" s="39"/>
      <x:c r="I8" s="39"/>
      <x:c r="J8" s="39"/>
    </x:row>
    <x:row r="9">
      <x:c r="A9" s="39" t="str">
        <x:v>Arsenal work</x:v>
      </x:c>
      <x:c r="B9" s="39" t="str">
        <x:v>installed bays × staff per bay</x:v>
      </x:c>
      <x:c r="C9" s="39" t="n">
        <x:f>'Bay Capacity'!C14*'Assumptions'!$C$65</x:f>
        <x:v>25200</x:v>
      </x:c>
      <x:c r="D9" s="39" t="str">
        <x:v>Operating</x:v>
      </x:c>
      <x:c r="E9" s="39"/>
      <x:c r="F9" s="39"/>
      <x:c r="G9" s="39"/>
      <x:c r="H9" s="39"/>
      <x:c r="I9" s="39"/>
      <x:c r="J9" s="39"/>
    </x:row>
    <x:row r="10">
      <x:c r="A10" s="39" t="str">
        <x:v>Training schools</x:v>
      </x:c>
      <x:c r="B10" s="39" t="str">
        <x:v>schools × positions</x:v>
      </x:c>
      <x:c r="C10" s="39" t="n">
        <x:f>ROUNDUP('Allocation'!B11/'Assumptions'!$C$66,0)*'Assumptions'!$C$67</x:f>
        <x:v>8640</x:v>
      </x:c>
      <x:c r="D10" s="39" t="str">
        <x:v>Operating</x:v>
      </x:c>
      <x:c r="E10" s="39"/>
      <x:c r="F10" s="39"/>
      <x:c r="G10" s="39"/>
      <x:c r="H10" s="39"/>
      <x:c r="I10" s="39"/>
      <x:c r="J10" s="39"/>
    </x:row>
    <x:row r="11">
      <x:c r="A11" s="39" t="str">
        <x:v>Independent evaluation</x:v>
      </x:c>
      <x:c r="B11" s="39" t="str">
        <x:v>arsenal cells × positions</x:v>
      </x:c>
      <x:c r="C11" s="39" t="n">
        <x:f>'Basing'!B20*'Assumptions'!$C$68</x:f>
        <x:v>3600</x:v>
      </x:c>
      <x:c r="D11" s="39" t="str">
        <x:v>Operating</x:v>
      </x:c>
      <x:c r="E11" s="39"/>
      <x:c r="F11" s="39"/>
      <x:c r="G11" s="39"/>
      <x:c r="H11" s="39"/>
      <x:c r="I11" s="39"/>
      <x:c r="J11" s="39"/>
    </x:row>
    <x:row r="12">
      <x:c r="A12" s="39" t="str">
        <x:v>Industrial-readiness liaison</x:v>
      </x:c>
      <x:c r="B12" s="39" t="str">
        <x:v>groups × positions</x:v>
      </x:c>
      <x:c r="C12" s="39" t="n">
        <x:f>'Allocation'!B11*'Assumptions'!$C$69</x:f>
        <x:v>5760</x:v>
      </x:c>
      <x:c r="D12" s="39" t="str">
        <x:v>Operating</x:v>
      </x:c>
      <x:c r="E12" s="39"/>
      <x:c r="F12" s="39"/>
      <x:c r="G12" s="39"/>
      <x:c r="H12" s="39"/>
      <x:c r="I12" s="39"/>
      <x:c r="J12" s="39"/>
    </x:row>
    <x:row r="13">
      <x:c r="A13" s="39" t="str">
        <x:v>Public configuration and rights</x:v>
      </x:c>
      <x:c r="B13" s="39" t="str">
        <x:v>national establishment</x:v>
      </x:c>
      <x:c r="C13" s="39" t="n">
        <x:f>'Assumptions'!$C$70</x:f>
        <x:v>2400</x:v>
      </x:c>
      <x:c r="D13" s="39" t="str">
        <x:v>Operating</x:v>
      </x:c>
      <x:c r="E13" s="39"/>
      <x:c r="F13" s="39"/>
      <x:c r="G13" s="39"/>
      <x:c r="H13" s="39"/>
      <x:c r="I13" s="39"/>
      <x:c r="J13" s="39"/>
    </x:row>
    <x:row r="14">
      <x:c r="A14" s="39" t="str">
        <x:v>National and global command</x:v>
      </x:c>
      <x:c r="B14" s="39" t="str">
        <x:v>national establishment</x:v>
      </x:c>
      <x:c r="C14" s="39" t="n">
        <x:f>'Assumptions'!$C$71</x:f>
        <x:v>2400</x:v>
      </x:c>
      <x:c r="D14" s="39" t="str">
        <x:v>Operating</x:v>
      </x:c>
      <x:c r="E14" s="39"/>
      <x:c r="F14" s="39"/>
      <x:c r="G14" s="39"/>
      <x:c r="H14" s="39"/>
      <x:c r="I14" s="39"/>
      <x:c r="J14" s="39"/>
    </x:row>
    <x:row r="15">
      <x:c r="A15" s="39" t="str">
        <x:v>Launch-station support</x:v>
      </x:c>
      <x:c r="B15" s="39" t="str">
        <x:v>stations × positions</x:v>
      </x:c>
      <x:c r="C15" s="39" t="n">
        <x:f>'Basing'!B18*'Assumptions'!$C$72</x:f>
        <x:v>14400</x:v>
      </x:c>
      <x:c r="D15" s="39" t="str">
        <x:v>Operating</x:v>
      </x:c>
      <x:c r="E15" s="39"/>
      <x:c r="F15" s="39"/>
      <x:c r="G15" s="39"/>
      <x:c r="H15" s="39"/>
      <x:c r="I15" s="39"/>
      <x:c r="J15" s="39"/>
    </x:row>
    <x:row r="16">
      <x:c r="A16" s="66" t="str">
        <x:v>Operating establishment</x:v>
      </x:c>
      <x:c r="B16" s="66" t="str">
        <x:v>sum of operating functions</x:v>
      </x:c>
      <x:c r="C16" s="66" t="n">
        <x:f>SUM(C7:C15)</x:f>
        <x:v>345600</x:v>
      </x:c>
      <x:c r="D16" s="66" t="str">
        <x:v>Operating</x:v>
      </x:c>
      <x:c r="E16" s="39"/>
      <x:c r="F16" s="39"/>
      <x:c r="G16" s="39"/>
      <x:c r="H16" s="39"/>
      <x:c r="I16" s="39"/>
      <x:c r="J16" s="39"/>
    </x:row>
    <x:row r="17">
      <x:c r="A17" s="66" t="str">
        <x:v>Public industrial workforce</x:v>
      </x:c>
      <x:c r="B17" s="66" t="str">
        <x:v>direct planning input</x:v>
      </x:c>
      <x:c r="C17" s="66" t="n">
        <x:f>'Assumptions'!$C$73</x:f>
        <x:v>32000</x:v>
      </x:c>
      <x:c r="D17" s="66" t="str">
        <x:v>Industrial</x:v>
      </x:c>
      <x:c r="E17" s="39"/>
      <x:c r="F17" s="39"/>
      <x:c r="G17" s="39"/>
      <x:c r="H17" s="39"/>
      <x:c r="I17" s="39"/>
      <x:c r="J17" s="39"/>
    </x:row>
    <x:row r="18">
      <x:c r="A18" s="66" t="str">
        <x:v>Qualified personnel reserve</x:v>
      </x:c>
      <x:c r="B18" s="66" t="str">
        <x:v>share of operating establishment</x:v>
      </x:c>
      <x:c r="C18" s="66" t="n">
        <x:f>C16*'Assumptions'!$C$74</x:f>
        <x:v>51840</x:v>
      </x:c>
      <x:c r="D18" s="66" t="str">
        <x:v>Reserve</x:v>
      </x:c>
      <x:c r="E18" s="39"/>
      <x:c r="F18" s="39"/>
      <x:c r="G18" s="39"/>
      <x:c r="H18" s="39"/>
      <x:c r="I18" s="39"/>
      <x:c r="J18" s="39"/>
    </x:row>
    <x:row r="19">
      <x:c r="A19" s="66" t="str">
        <x:v>Total public personnel</x:v>
      </x:c>
      <x:c r="B19" s="66" t="str">
        <x:v>operating + industrial + reserve</x:v>
      </x:c>
      <x:c r="C19" s="66" t="n">
        <x:f>SUM(C16:C18)</x:f>
        <x:v>429440</x:v>
      </x:c>
      <x:c r="D19" s="66" t="str">
        <x:v>Total</x:v>
      </x:c>
      <x:c r="E19" s="39"/>
      <x:c r="F19" s="39"/>
      <x:c r="G19" s="39"/>
      <x:c r="H19" s="39"/>
      <x:c r="I19" s="39"/>
      <x:c r="J19" s="39"/>
    </x:row>
  </x:sheetData>
  <x:mergeCells>
    <x:mergeCell ref="A2:J2"/>
    <x:mergeCell ref="A3:J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0" hidden="0" customWidth="1"/>
    <x:col min="2" max="2" width="44" hidden="0" customWidth="1"/>
    <x:col min="3" max="3" width="22" hidden="0" customWidth="1"/>
    <x:col min="4" max="4" width="28" hidden="0" customWidth="1"/>
  </x:cols>
  <x:sheetData>
    <x:row r="2">
      <x:c r="A2" s="38" t="str">
        <x:v>Initial capital account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40" t="str">
        <x:v>Constant 2026 USD billions. Dedicated ownership is retained as an upper bound until common-force decomposition.</x:v>
      </x:c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</x:row>
    <x:row r="6" ht="30" customHeight="1">
      <x:c r="A6" s="16" t="str">
        <x:v>Capital element</x:v>
      </x:c>
      <x:c r="B6" s="17" t="str">
        <x:v>Formula basis</x:v>
      </x:c>
      <x:c r="C6" s="17" t="str">
        <x:v>USD billions</x:v>
      </x:c>
      <x:c r="D6" s="18" t="str">
        <x:v>Cost status</x:v>
      </x:c>
      <x:c r="E6" s="39"/>
      <x:c r="F6" s="39"/>
      <x:c r="G6" s="39"/>
      <x:c r="H6" s="39"/>
      <x:c r="I6" s="39"/>
      <x:c r="J6" s="39"/>
    </x:row>
    <x:row r="7">
      <x:c r="A7" s="39" t="str">
        <x:v>System bodies and interfaces</x:v>
      </x:c>
      <x:c r="B7" s="39" t="str">
        <x:v>fleet bodies × unit cost</x:v>
      </x:c>
      <x:c r="C7" s="77" t="n">
        <x:f>'Fleet'!C14*'Assumptions'!$C$76</x:f>
        <x:v>1948.4416</x:v>
      </x:c>
      <x:c r="D7" s="39" t="str">
        <x:v>Inherited unit basis</x:v>
      </x:c>
      <x:c r="E7" s="39"/>
      <x:c r="F7" s="39"/>
      <x:c r="G7" s="39"/>
      <x:c r="H7" s="39"/>
      <x:c r="I7" s="39"/>
      <x:c r="J7" s="39"/>
    </x:row>
    <x:row r="8">
      <x:c r="A8" s="39" t="str">
        <x:v>Service prime movers</x:v>
      </x:c>
      <x:c r="B8" s="39" t="str">
        <x:v>inventory × unit cost</x:v>
      </x:c>
      <x:c r="C8" s="77" t="n">
        <x:f>'Transport'!D7*'Assumptions'!$C$77</x:f>
        <x:v>211.20000000000002</x:v>
      </x:c>
      <x:c r="D8" s="39" t="str">
        <x:v>Planning input</x:v>
      </x:c>
      <x:c r="E8" s="39"/>
      <x:c r="F8" s="39"/>
      <x:c r="G8" s="39"/>
      <x:c r="H8" s="39"/>
      <x:c r="I8" s="39"/>
      <x:c r="J8" s="39"/>
    </x:row>
    <x:row r="9">
      <x:c r="A9" s="39" t="str">
        <x:v>Governed load frames</x:v>
      </x:c>
      <x:c r="B9" s="39" t="str">
        <x:v>inventory × unit cost</x:v>
      </x:c>
      <x:c r="C9" s="77" t="n">
        <x:f>'Transport'!D8*'Assumptions'!$C$78</x:f>
        <x:v>63.36000000000001</x:v>
      </x:c>
      <x:c r="D9" s="39" t="str">
        <x:v>Planning input</x:v>
      </x:c>
      <x:c r="E9" s="39"/>
      <x:c r="F9" s="39"/>
      <x:c r="G9" s="39"/>
      <x:c r="H9" s="39"/>
      <x:c r="I9" s="39"/>
      <x:c r="J9" s="39"/>
    </x:row>
    <x:row r="10">
      <x:c r="A10" s="39" t="str">
        <x:v>Destructive transport articles</x:v>
      </x:c>
      <x:c r="B10" s="39" t="str">
        <x:v>independent lot</x:v>
      </x:c>
      <x:c r="C10" s="77" t="n">
        <x:f>'Assumptions'!$C$79</x:f>
        <x:v>0.256</x:v>
      </x:c>
      <x:c r="D10" s="39" t="str">
        <x:v>Planning input</x:v>
      </x:c>
      <x:c r="E10" s="39"/>
      <x:c r="F10" s="39"/>
      <x:c r="G10" s="39"/>
      <x:c r="H10" s="39"/>
      <x:c r="I10" s="39"/>
      <x:c r="J10" s="39"/>
    </x:row>
    <x:row r="11">
      <x:c r="A11" s="39" t="str">
        <x:v>Group module reserve pools</x:v>
      </x:c>
      <x:c r="B11" s="39" t="str">
        <x:v>groups × reserve pool</x:v>
      </x:c>
      <x:c r="C11" s="77" t="n">
        <x:f>'Allocation'!B11*'Assumptions'!$C$80</x:f>
        <x:v>328.94399999999996</x:v>
      </x:c>
      <x:c r="D11" s="39" t="str">
        <x:v>Scaled first-group basis</x:v>
      </x:c>
      <x:c r="E11" s="39"/>
      <x:c r="F11" s="39"/>
      <x:c r="G11" s="39"/>
      <x:c r="H11" s="39"/>
      <x:c r="I11" s="39"/>
      <x:c r="J11" s="39"/>
    </x:row>
    <x:row r="12">
      <x:c r="A12" s="39" t="str">
        <x:v>Arsenal bays</x:v>
      </x:c>
      <x:c r="B12" s="39" t="str">
        <x:v>installed bays × unit cost</x:v>
      </x:c>
      <x:c r="C12" s="77" t="n">
        <x:f>'Bay Capacity'!C14*'Assumptions'!$C$81</x:f>
        <x:v>300.000000006</x:v>
      </x:c>
      <x:c r="D12" s="39" t="str">
        <x:v>Scaled arsenal basis</x:v>
      </x:c>
      <x:c r="E12" s="39"/>
      <x:c r="F12" s="39"/>
      <x:c r="G12" s="39"/>
      <x:c r="H12" s="39"/>
      <x:c r="I12" s="39"/>
      <x:c r="J12" s="39"/>
    </x:row>
    <x:row r="13">
      <x:c r="A13" s="39" t="str">
        <x:v>Launch and receiver stations</x:v>
      </x:c>
      <x:c r="B13" s="39" t="str">
        <x:v>stations × unit cost</x:v>
      </x:c>
      <x:c r="C13" s="77" t="n">
        <x:f>'Basing'!B18*'Assumptions'!$C$82</x:f>
        <x:v>144</x:v>
      </x:c>
      <x:c r="D13" s="39" t="str">
        <x:v>Planning allowance</x:v>
      </x:c>
      <x:c r="E13" s="39"/>
      <x:c r="F13" s="39"/>
      <x:c r="G13" s="39"/>
      <x:c r="H13" s="39"/>
      <x:c r="I13" s="39"/>
      <x:c r="J13" s="39"/>
    </x:row>
    <x:row r="14">
      <x:c r="A14" s="39" t="str">
        <x:v>Production enlargement</x:v>
      </x:c>
      <x:c r="B14" s="39" t="str">
        <x:v>national estate</x:v>
      </x:c>
      <x:c r="C14" s="77" t="n">
        <x:f>'Assumptions'!$C$83</x:f>
        <x:v>300</x:v>
      </x:c>
      <x:c r="D14" s="39" t="str">
        <x:v>Planning allowance</x:v>
      </x:c>
      <x:c r="E14" s="39"/>
      <x:c r="F14" s="39"/>
      <x:c r="G14" s="39"/>
      <x:c r="H14" s="39"/>
      <x:c r="I14" s="39"/>
      <x:c r="J14" s="39"/>
    </x:row>
    <x:row r="15">
      <x:c r="A15" s="39" t="str">
        <x:v>Strategic transport interfaces</x:v>
      </x:c>
      <x:c r="B15" s="39" t="str">
        <x:v>rail, port and air</x:v>
      </x:c>
      <x:c r="C15" s="77" t="n">
        <x:f>'Assumptions'!$C$84</x:f>
        <x:v>180</x:v>
      </x:c>
      <x:c r="D15" s="39" t="str">
        <x:v>Planning allowance</x:v>
      </x:c>
      <x:c r="E15" s="39"/>
      <x:c r="F15" s="39"/>
      <x:c r="G15" s="39"/>
      <x:c r="H15" s="39"/>
      <x:c r="I15" s="39"/>
      <x:c r="J15" s="39"/>
    </x:row>
    <x:row r="16">
      <x:c r="A16" s="39" t="str">
        <x:v>Training, evaluation and reference estate</x:v>
      </x:c>
      <x:c r="B16" s="39" t="str">
        <x:v>national estate</x:v>
      </x:c>
      <x:c r="C16" s="77" t="n">
        <x:f>'Assumptions'!$C$85</x:f>
        <x:v>90</x:v>
      </x:c>
      <x:c r="D16" s="39" t="str">
        <x:v>Planning allowance</x:v>
      </x:c>
      <x:c r="E16" s="39"/>
      <x:c r="F16" s="39"/>
      <x:c r="G16" s="39"/>
      <x:c r="H16" s="39"/>
      <x:c r="I16" s="39"/>
      <x:c r="J16" s="39"/>
    </x:row>
    <x:row r="17">
      <x:c r="A17" s="39" t="str">
        <x:v>Command, evidence and configuration estate</x:v>
      </x:c>
      <x:c r="B17" s="39" t="str">
        <x:v>national estate</x:v>
      </x:c>
      <x:c r="C17" s="77" t="n">
        <x:f>'Assumptions'!$C$86</x:f>
        <x:v>75</x:v>
      </x:c>
      <x:c r="D17" s="39" t="str">
        <x:v>Planning allowance</x:v>
      </x:c>
      <x:c r="E17" s="39"/>
      <x:c r="F17" s="39"/>
      <x:c r="G17" s="39"/>
      <x:c r="H17" s="39"/>
      <x:c r="I17" s="39"/>
      <x:c r="J17" s="39"/>
    </x:row>
    <x:row r="18">
      <x:c r="A18" s="66" t="str">
        <x:v>Initial capital</x:v>
      </x:c>
      <x:c r="B18" s="66" t="str">
        <x:v>sum of explicit elements</x:v>
      </x:c>
      <x:c r="C18" s="78" t="n">
        <x:f>SUM(C7:C17)</x:f>
        <x:v>3641.201600006</x:v>
      </x:c>
      <x:c r="D18" s="66" t="str">
        <x:v>NFCA-1 planning envelope</x:v>
      </x:c>
      <x:c r="E18" s="39"/>
      <x:c r="F18" s="39"/>
      <x:c r="G18" s="39"/>
      <x:c r="H18" s="39"/>
      <x:c r="I18" s="39"/>
      <x:c r="J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</x:row>
    <x:row r="20">
      <x:c r="A20" s="39" t="str">
        <x:v>Existing force-capital share</x:v>
      </x:c>
      <x:c r="B20" s="39" t="str">
        <x:v>initial capital ÷ force boundary</x:v>
      </x:c>
      <x:c r="C20" s="72" t="n">
        <x:f>C18/'Assumptions'!$C$106</x:f>
        <x:v>0.2398841557418802</x:v>
      </x:c>
      <x:c r="D20" s="39" t="str">
        <x:v>Portfolio collision indicator</x:v>
      </x:c>
      <x:c r="E20" s="39"/>
      <x:c r="F20" s="39"/>
      <x:c r="G20" s="39"/>
      <x:c r="H20" s="39"/>
      <x:c r="I20" s="39"/>
      <x:c r="J20" s="39"/>
    </x:row>
  </x:sheetData>
  <x:mergeCells>
    <x:mergeCell ref="A2:J2"/>
    <x:mergeCell ref="A3:J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2" hidden="0" customWidth="1"/>
    <x:col min="2" max="2" width="46" hidden="0" customWidth="1"/>
    <x:col min="3" max="3" width="24" hidden="0" customWidth="1"/>
    <x:col min="4" max="4" width="23" hidden="0" customWidth="1"/>
  </x:cols>
  <x:sheetData>
    <x:row r="2">
      <x:c r="A2" s="38" t="str">
        <x:v>Mature annual support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40" t="str">
        <x:v>Screening model in constant 2026 USD billions per year. Percentage rates remain editable assumptions.</x:v>
      </x:c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</x:row>
    <x:row r="6" ht="30" customHeight="1">
      <x:c r="A6" s="16" t="str">
        <x:v>Annual element</x:v>
      </x:c>
      <x:c r="B6" s="17" t="str">
        <x:v>Formula basis</x:v>
      </x:c>
      <x:c r="C6" s="17" t="str">
        <x:v>USD billions/year</x:v>
      </x:c>
      <x:c r="D6" s="18" t="str">
        <x:v>Basis type</x:v>
      </x:c>
      <x:c r="E6" s="39"/>
      <x:c r="F6" s="39"/>
      <x:c r="G6" s="39"/>
      <x:c r="H6" s="39"/>
      <x:c r="I6" s="39"/>
      <x:c r="J6" s="39"/>
    </x:row>
    <x:row r="7">
      <x:c r="A7" s="39" t="str">
        <x:v>Public personnel</x:v>
      </x:c>
      <x:c r="B7" s="39" t="str">
        <x:v>public inventory × burdened cost</x:v>
      </x:c>
      <x:c r="C7" s="77" t="n">
        <x:f>'Workforce'!C19*'Assumptions'!$C$87</x:f>
        <x:v>107.36</x:v>
      </x:c>
      <x:c r="D7" s="39" t="str">
        <x:v>Unit rate</x:v>
      </x:c>
      <x:c r="E7" s="39"/>
      <x:c r="F7" s="39"/>
      <x:c r="G7" s="39"/>
      <x:c r="H7" s="39"/>
      <x:c r="I7" s="39"/>
      <x:c r="J7" s="39"/>
    </x:row>
    <x:row r="8">
      <x:c r="A8" s="39" t="str">
        <x:v>System-body readiness</x:v>
      </x:c>
      <x:c r="B8" s="39" t="str">
        <x:v>system-body capital × rate</x:v>
      </x:c>
      <x:c r="C8" s="77" t="n">
        <x:f>'Capital'!C7*'Assumptions'!$C$88</x:f>
        <x:v>58.453248</x:v>
      </x:c>
      <x:c r="D8" s="39" t="str">
        <x:v>Screening rate</x:v>
      </x:c>
      <x:c r="E8" s="39"/>
      <x:c r="F8" s="39"/>
      <x:c r="G8" s="39"/>
      <x:c r="H8" s="39"/>
      <x:c r="I8" s="39"/>
      <x:c r="J8" s="39"/>
    </x:row>
    <x:row r="9">
      <x:c r="A9" s="39" t="str">
        <x:v>Transport readiness</x:v>
      </x:c>
      <x:c r="B9" s="39" t="str">
        <x:v>mover + frame capital × rate</x:v>
      </x:c>
      <x:c r="C9" s="77" t="n">
        <x:f>SUM('Capital'!C8:C9)*'Assumptions'!$C$89</x:f>
        <x:v>10.9824</x:v>
      </x:c>
      <x:c r="D9" s="39" t="str">
        <x:v>Screening rate</x:v>
      </x:c>
      <x:c r="E9" s="39"/>
      <x:c r="F9" s="39"/>
      <x:c r="G9" s="39"/>
      <x:c r="H9" s="39"/>
      <x:c r="I9" s="39"/>
      <x:c r="J9" s="39"/>
    </x:row>
    <x:row r="10">
      <x:c r="A10" s="39" t="str">
        <x:v>Fixed-estate operations</x:v>
      </x:c>
      <x:c r="B10" s="39" t="str">
        <x:v>fixed estate × rate</x:v>
      </x:c>
      <x:c r="C10" s="77" t="n">
        <x:f>SUM('Capital'!C12:C17)*'Assumptions'!$C$90</x:f>
        <x:v>32.670000000179996</x:v>
      </x:c>
      <x:c r="D10" s="39" t="str">
        <x:v>Screening rate</x:v>
      </x:c>
      <x:c r="E10" s="39"/>
      <x:c r="F10" s="39"/>
      <x:c r="G10" s="39"/>
      <x:c r="H10" s="39"/>
      <x:c r="I10" s="39"/>
      <x:c r="J10" s="39"/>
    </x:row>
    <x:row r="11">
      <x:c r="A11" s="39" t="str">
        <x:v>Exercises and mission consumables</x:v>
      </x:c>
      <x:c r="B11" s="39" t="str">
        <x:v>groups × annual allowance</x:v>
      </x:c>
      <x:c r="C11" s="77" t="n">
        <x:f>'Allocation'!B11*'Assumptions'!$C$91</x:f>
        <x:v>36</x:v>
      </x:c>
      <x:c r="D11" s="39" t="str">
        <x:v>Unit rate</x:v>
      </x:c>
      <x:c r="E11" s="39"/>
      <x:c r="F11" s="39"/>
      <x:c r="G11" s="39"/>
      <x:c r="H11" s="39"/>
      <x:c r="I11" s="39"/>
      <x:c r="J11" s="39"/>
    </x:row>
    <x:row r="12">
      <x:c r="A12" s="39" t="str">
        <x:v>Two-root industrial retainers</x:v>
      </x:c>
      <x:c r="B12" s="39" t="str">
        <x:v>national allowance</x:v>
      </x:c>
      <x:c r="C12" s="77" t="n">
        <x:f>'Assumptions'!$C$92</x:f>
        <x:v>25</x:v>
      </x:c>
      <x:c r="D12" s="39" t="str">
        <x:v>Planning allowance</x:v>
      </x:c>
      <x:c r="E12" s="39"/>
      <x:c r="F12" s="39"/>
      <x:c r="G12" s="39"/>
      <x:c r="H12" s="39"/>
      <x:c r="I12" s="39"/>
      <x:c r="J12" s="39"/>
    </x:row>
    <x:row r="13">
      <x:c r="A13" s="39" t="str">
        <x:v>Standards and continuing research</x:v>
      </x:c>
      <x:c r="B13" s="39" t="str">
        <x:v>national allowance</x:v>
      </x:c>
      <x:c r="C13" s="77" t="n">
        <x:f>'Assumptions'!$C$93</x:f>
        <x:v>12</x:v>
      </x:c>
      <x:c r="D13" s="39" t="str">
        <x:v>Planning allowance</x:v>
      </x:c>
      <x:c r="E13" s="39"/>
      <x:c r="F13" s="39"/>
      <x:c r="G13" s="39"/>
      <x:c r="H13" s="39"/>
      <x:c r="I13" s="39"/>
      <x:c r="J13" s="39"/>
    </x:row>
    <x:row r="14">
      <x:c r="A14" s="39" t="str">
        <x:v>International interface support</x:v>
      </x:c>
      <x:c r="B14" s="39" t="str">
        <x:v>national allowance</x:v>
      </x:c>
      <x:c r="C14" s="77" t="n">
        <x:f>'Assumptions'!$C$94</x:f>
        <x:v>8</x:v>
      </x:c>
      <x:c r="D14" s="39" t="str">
        <x:v>Planning allowance</x:v>
      </x:c>
      <x:c r="E14" s="39"/>
      <x:c r="F14" s="39"/>
      <x:c r="G14" s="39"/>
      <x:c r="H14" s="39"/>
      <x:c r="I14" s="39"/>
      <x:c r="J14" s="39"/>
    </x:row>
    <x:row r="15">
      <x:c r="A15" s="66" t="str">
        <x:v>Mature annual support</x:v>
      </x:c>
      <x:c r="B15" s="66" t="str">
        <x:v>sum of explicit elements</x:v>
      </x:c>
      <x:c r="C15" s="78" t="n">
        <x:f>SUM(C7:C14)</x:f>
        <x:v>290.46564800018</x:v>
      </x:c>
      <x:c r="D15" s="66" t="str">
        <x:v>NFCA-1 annual boundary</x:v>
      </x:c>
      <x:c r="E15" s="39"/>
      <x:c r="F15" s="39"/>
      <x:c r="G15" s="39"/>
      <x:c r="H15" s="39"/>
      <x:c r="I15" s="39"/>
      <x:c r="J15" s="39"/>
    </x:row>
  </x:sheetData>
  <x:mergeCells>
    <x:mergeCell ref="A2:J2"/>
    <x:mergeCell ref="A3:J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0" hidden="0" customWidth="1"/>
    <x:col min="2" max="2" width="46" hidden="0" customWidth="1"/>
    <x:col min="3" max="3" width="24" hidden="0" customWidth="1"/>
    <x:col min="4" max="4" width="24" hidden="0" customWidth="1"/>
  </x:cols>
  <x:sheetData>
    <x:row r="2">
      <x:c r="A2" s="38" t="str">
        <x:v>Twenty-five-year public cost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40" t="str">
        <x:v>Undiscounted constant 2026 USD. No benefits, inflation, financing or economic multipliers are included.</x:v>
      </x:c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</x:row>
    <x:row r="6" ht="30" customHeight="1">
      <x:c r="A6" s="16" t="str">
        <x:v>Element</x:v>
      </x:c>
      <x:c r="B6" s="17" t="str">
        <x:v>Formula basis</x:v>
      </x:c>
      <x:c r="C6" s="17" t="str">
        <x:v>USD billions</x:v>
      </x:c>
      <x:c r="D6" s="18" t="str">
        <x:v>Timing</x:v>
      </x:c>
      <x:c r="E6" s="39"/>
      <x:c r="F6" s="39"/>
      <x:c r="G6" s="39"/>
      <x:c r="H6" s="39"/>
      <x:c r="I6" s="39"/>
      <x:c r="J6" s="39"/>
    </x:row>
    <x:row r="7">
      <x:c r="A7" s="39" t="str">
        <x:v>Initial capital</x:v>
      </x:c>
      <x:c r="B7" s="39" t="str">
        <x:v>capital account</x:v>
      </x:c>
      <x:c r="C7" s="77" t="n">
        <x:f>'Capital'!C18</x:f>
        <x:v>3641.201600006</x:v>
      </x:c>
      <x:c r="D7" s="39" t="str">
        <x:v>Initial fielding</x:v>
      </x:c>
      <x:c r="E7" s="39"/>
      <x:c r="F7" s="39"/>
      <x:c r="G7" s="39"/>
      <x:c r="H7" s="39"/>
      <x:c r="I7" s="39"/>
      <x:c r="J7" s="39"/>
    </x:row>
    <x:row r="8">
      <x:c r="A8" s="39" t="str">
        <x:v>Technology authority</x:v>
      </x:c>
      <x:c r="B8" s="39" t="str">
        <x:v>mission-led portfolio</x:v>
      </x:c>
      <x:c r="C8" s="77" t="n">
        <x:f>'Assumptions'!$C$103</x:f>
        <x:v>250</x:v>
      </x:c>
      <x:c r="D8" s="39" t="str">
        <x:v>Across fielding horizon</x:v>
      </x:c>
      <x:c r="E8" s="39"/>
      <x:c r="F8" s="39"/>
      <x:c r="G8" s="39"/>
      <x:c r="H8" s="39"/>
      <x:c r="I8" s="39"/>
      <x:c r="J8" s="39"/>
    </x:row>
    <x:row r="9">
      <x:c r="A9" s="39" t="str">
        <x:v>Mature support</x:v>
      </x:c>
      <x:c r="B9" s="39" t="str">
        <x:v>annual support × 25</x:v>
      </x:c>
      <x:c r="C9" s="77" t="n">
        <x:f>'Annual Support'!C15*25</x:f>
        <x:v>7261.6412000045</x:v>
      </x:c>
      <x:c r="D9" s="39" t="str">
        <x:v>Twenty-five years</x:v>
      </x:c>
      <x:c r="E9" s="39"/>
      <x:c r="F9" s="39"/>
      <x:c r="G9" s="39"/>
      <x:c r="H9" s="39"/>
      <x:c r="I9" s="39"/>
      <x:c r="J9" s="39"/>
    </x:row>
    <x:row r="10">
      <x:c r="A10" s="39" t="str">
        <x:v>Mover recapitalization</x:v>
      </x:c>
      <x:c r="B10" s="39" t="str">
        <x:v>two replacement cycles</x:v>
      </x:c>
      <x:c r="C10" s="77" t="n">
        <x:f>'Capital'!C8*2</x:f>
        <x:v>422.40000000000003</x:v>
      </x:c>
      <x:c r="D10" s="39" t="str">
        <x:v>Years 12 and 24 screen</x:v>
      </x:c>
      <x:c r="E10" s="39"/>
      <x:c r="F10" s="39"/>
      <x:c r="G10" s="39"/>
      <x:c r="H10" s="39"/>
      <x:c r="I10" s="39"/>
      <x:c r="J10" s="39"/>
    </x:row>
    <x:row r="11">
      <x:c r="A11" s="39" t="str">
        <x:v>Frame recapitalization</x:v>
      </x:c>
      <x:c r="B11" s="39" t="str">
        <x:v>one replacement cycle</x:v>
      </x:c>
      <x:c r="C11" s="77" t="n">
        <x:f>'Capital'!C9</x:f>
        <x:v>63.36000000000001</x:v>
      </x:c>
      <x:c r="D11" s="39" t="str">
        <x:v>Year 20 screen</x:v>
      </x:c>
      <x:c r="E11" s="39"/>
      <x:c r="F11" s="39"/>
      <x:c r="G11" s="39"/>
      <x:c r="H11" s="39"/>
      <x:c r="I11" s="39"/>
      <x:c r="J11" s="39"/>
    </x:row>
    <x:row r="12">
      <x:c r="A12" s="39" t="str">
        <x:v>System midlife modernization</x:v>
      </x:c>
      <x:c r="B12" s="39" t="str">
        <x:v>share of body capital</x:v>
      </x:c>
      <x:c r="C12" s="77" t="n">
        <x:f>'Capital'!C7*'Assumptions'!$C$104</x:f>
        <x:v>389.68832000000003</x:v>
      </x:c>
      <x:c r="D12" s="39" t="str">
        <x:v>One event</x:v>
      </x:c>
      <x:c r="E12" s="39"/>
      <x:c r="F12" s="39"/>
      <x:c r="G12" s="39"/>
      <x:c r="H12" s="39"/>
      <x:c r="I12" s="39"/>
      <x:c r="J12" s="39"/>
    </x:row>
    <x:row r="13">
      <x:c r="A13" s="39" t="str">
        <x:v>Facility recapitalization</x:v>
      </x:c>
      <x:c r="B13" s="39" t="str">
        <x:v>share of fixed-estate capital</x:v>
      </x:c>
      <x:c r="C13" s="77" t="n">
        <x:f>SUM('Capital'!C12:C17)*'Assumptions'!$C$105</x:f>
        <x:v>163.3500000009</x:v>
      </x:c>
      <x:c r="D13" s="39" t="str">
        <x:v>One event</x:v>
      </x:c>
      <x:c r="E13" s="39"/>
      <x:c r="F13" s="39"/>
      <x:c r="G13" s="39"/>
      <x:c r="H13" s="39"/>
      <x:c r="I13" s="39"/>
      <x:c r="J13" s="39"/>
    </x:row>
    <x:row r="14">
      <x:c r="A14" s="66" t="str">
        <x:v>Twenty-five-year public cost</x:v>
      </x:c>
      <x:c r="B14" s="66" t="str">
        <x:v>sum of explicit elements</x:v>
      </x:c>
      <x:c r="C14" s="78" t="n">
        <x:f>SUM(C7:C13)</x:f>
        <x:v>12191.6411200114</x:v>
      </x:c>
      <x:c r="D14" s="66" t="str">
        <x:v>Undiscounted</x:v>
      </x:c>
      <x:c r="E14" s="39"/>
      <x:c r="F14" s="39"/>
      <x:c r="G14" s="39"/>
      <x:c r="H14" s="39"/>
      <x:c r="I14" s="39"/>
      <x:c r="J14" s="39"/>
    </x:row>
  </x:sheetData>
  <x:mergeCells>
    <x:mergeCell ref="A2:J2"/>
    <x:mergeCell ref="A3:J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6" hidden="0" customWidth="1"/>
    <x:col min="2" max="2" width="18" hidden="0" customWidth="1"/>
    <x:col min="3" max="3" width="60" hidden="0" customWidth="1"/>
    <x:col min="4" max="4" width="56" hidden="0" customWidth="1"/>
  </x:cols>
  <x:sheetData>
    <x:row r="2">
      <x:c r="A2" s="38" t="str">
        <x:v>Mission-led technology portfolio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40" t="str">
        <x:v>Technology may change capability, but it cannot waive service, safety, evidence or public authority.</x:v>
      </x:c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</x:row>
    <x:row r="6" ht="30" customHeight="1">
      <x:c r="A6" s="16" t="str">
        <x:v>Campaign</x:v>
      </x:c>
      <x:c r="B6" s="17" t="str">
        <x:v>USD billions</x:v>
      </x:c>
      <x:c r="C6" s="17" t="str">
        <x:v>Required advance</x:v>
      </x:c>
      <x:c r="D6" s="18" t="str">
        <x:v>Governing limit</x:v>
      </x:c>
      <x:c r="E6" s="39"/>
      <x:c r="F6" s="39"/>
      <x:c r="G6" s="39"/>
      <x:c r="H6" s="39"/>
      <x:c r="I6" s="39"/>
      <x:c r="J6" s="39"/>
    </x:row>
    <x:row r="7">
      <x:c r="A7" s="39" t="str">
        <x:v>Autonomous logistics and load exchange</x:v>
      </x:c>
      <x:c r="B7" s="81" t="n">
        <x:f>'Assumptions'!$C$95</x:f>
        <x:v>55</x:v>
      </x:c>
      <x:c r="C7" s="39" t="str">
        <x:v>Large packet fleets with fewer exposed driving hours</x:v>
      </x:c>
      <x:c r="D7" s="39" t="str">
        <x:v>Recoverable command and safe degraded mode</x:v>
      </x:c>
      <x:c r="E7" s="39"/>
      <x:c r="F7" s="39"/>
      <x:c r="G7" s="39"/>
      <x:c r="H7" s="39"/>
      <x:c r="I7" s="39"/>
      <x:c r="J7" s="39"/>
    </x:row>
    <x:row r="8">
      <x:c r="A8" s="39" t="str">
        <x:v>Arsenal process intensification</x:v>
      </x:c>
      <x:c r="B8" s="81" t="n">
        <x:f>'Assumptions'!$C$96</x:f>
        <x:v>45</x:v>
      </x:c>
      <x:c r="C8" s="39" t="str">
        <x:v>Robotic handling, cleaning, inspection and return</x:v>
      </x:c>
      <x:c r="D8" s="39" t="str">
        <x:v>Clean and contaminated paths remain separate</x:v>
      </x:c>
      <x:c r="E8" s="39"/>
      <x:c r="F8" s="39"/>
      <x:c r="G8" s="39"/>
      <x:c r="H8" s="39"/>
      <x:c r="I8" s="39"/>
      <x:c r="J8" s="39"/>
    </x:row>
    <x:row r="9">
      <x:c r="A9" s="39" t="str">
        <x:v>Public configuration and hardware attestation</x:v>
      </x:c>
      <x:c r="B9" s="81" t="n">
        <x:f>'Assumptions'!$C$97</x:f>
        <x:v>40</x:v>
      </x:c>
      <x:c r="C9" s="39" t="str">
        <x:v>Machine-verifiable identity across roots and decades</x:v>
      </x:c>
      <x:c r="D9" s="39" t="str">
        <x:v>Independent public release authority</x:v>
      </x:c>
      <x:c r="E9" s="39"/>
      <x:c r="F9" s="39"/>
      <x:c r="G9" s="39"/>
      <x:c r="H9" s="39"/>
      <x:c r="I9" s="39"/>
      <x:c r="J9" s="39"/>
    </x:row>
    <x:row r="10">
      <x:c r="A10" s="39" t="str">
        <x:v>Independent water, energy and thermal systems</x:v>
      </x:c>
      <x:c r="B10" s="81" t="n">
        <x:f>'Assumptions'!$C$98</x:f>
        <x:v>35</x:v>
      </x:c>
      <x:c r="C10" s="39" t="str">
        <x:v>Reduced reliance on damaged regional utilities</x:v>
      </x:c>
      <x:c r="D10" s="39" t="str">
        <x:v>Complete service chain remains measured</x:v>
      </x:c>
      <x:c r="E10" s="39"/>
      <x:c r="F10" s="39"/>
      <x:c r="G10" s="39"/>
      <x:c r="H10" s="39"/>
      <x:c r="I10" s="39"/>
      <x:c r="J10" s="39"/>
    </x:row>
    <x:row r="11">
      <x:c r="A11" s="39" t="str">
        <x:v>Advanced materials, joining and repair</x:v>
      </x:c>
      <x:c r="B11" s="81" t="n">
        <x:f>'Assumptions'!$C$99</x:f>
        <x:v>30</x:v>
      </x:c>
      <x:c r="C11" s="39" t="str">
        <x:v>Longer life and certified local restoration</x:v>
      </x:c>
      <x:c r="D11" s="39" t="str">
        <x:v>Replacement equivalence must be earned</x:v>
      </x:c>
      <x:c r="E11" s="39"/>
      <x:c r="F11" s="39"/>
      <x:c r="G11" s="39"/>
      <x:c r="H11" s="39"/>
      <x:c r="I11" s="39"/>
      <x:c r="J11" s="39"/>
    </x:row>
    <x:row r="12">
      <x:c r="A12" s="39" t="str">
        <x:v>Receiver-interface systems</x:v>
      </x:c>
      <x:c r="B12" s="81" t="n">
        <x:f>'Assumptions'!$C$100</x:f>
        <x:v>20</x:v>
      </x:c>
      <x:c r="C12" s="39" t="str">
        <x:v>Faster connection to prepared civilian service nodes</x:v>
      </x:c>
      <x:c r="D12" s="39" t="str">
        <x:v>Receiver consent and rights remain external</x:v>
      </x:c>
      <x:c r="E12" s="39"/>
      <x:c r="F12" s="39"/>
      <x:c r="G12" s="39"/>
      <x:c r="H12" s="39"/>
      <x:c r="I12" s="39"/>
      <x:c r="J12" s="39"/>
    </x:row>
    <x:row r="13">
      <x:c r="A13" s="39" t="str">
        <x:v>Synthetic training and simulation</x:v>
      </x:c>
      <x:c r="B13" s="81" t="n">
        <x:f>'Assumptions'!$C$101</x:f>
        <x:v>15</x:v>
      </x:c>
      <x:c r="C13" s="39" t="str">
        <x:v>Qualification for rare high-consequence tasks</x:v>
      </x:c>
      <x:c r="D13" s="39" t="str">
        <x:v>Physical gates cannot be simulated away</x:v>
      </x:c>
      <x:c r="E13" s="39"/>
      <x:c r="F13" s="39"/>
      <x:c r="G13" s="39"/>
      <x:c r="H13" s="39"/>
      <x:c r="I13" s="39"/>
      <x:c r="J13" s="39"/>
    </x:row>
    <x:row r="14">
      <x:c r="A14" s="39" t="str">
        <x:v>Metrology, safety and forensic automation</x:v>
      </x:c>
      <x:c r="B14" s="81" t="n">
        <x:f>'Assumptions'!$C$102</x:f>
        <x:v>10</x:v>
      </x:c>
      <x:c r="C14" s="39" t="str">
        <x:v>More independent observation and failure localization</x:v>
      </x:c>
      <x:c r="D14" s="39" t="str">
        <x:v>Evaluator remains independent of operator</x:v>
      </x:c>
      <x:c r="E14" s="39"/>
      <x:c r="F14" s="39"/>
      <x:c r="G14" s="39"/>
      <x:c r="H14" s="39"/>
      <x:c r="I14" s="39"/>
      <x:c r="J14" s="39"/>
    </x:row>
    <x:row r="15">
      <x:c r="A15" s="66" t="str">
        <x:v>Technology authority</x:v>
      </x:c>
      <x:c r="B15" s="82" t="n">
        <x:f>SUM(B7:B14)</x:f>
        <x:v>250</x:v>
      </x:c>
      <x:c r="C15" s="66" t="str">
        <x:v>Bounded portfolio</x:v>
      </x:c>
      <x:c r="D15" s="66" t="str">
        <x:v>No automatic readiness credit</x:v>
      </x:c>
      <x:c r="E15" s="39"/>
      <x:c r="F15" s="39"/>
      <x:c r="G15" s="39"/>
      <x:c r="H15" s="39"/>
      <x:c r="I15" s="39"/>
      <x:c r="J15" s="39"/>
    </x:row>
  </x:sheetData>
  <x:mergeCells>
    <x:mergeCell ref="A2:J2"/>
    <x:mergeCell ref="A3:J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62" hidden="0" customWidth="1"/>
  </x:cols>
  <x:sheetData>
    <x:row r="2">
      <x:c r="A2" s="38" t="str">
        <x:v>Deterministic service-demand worlds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40" t="str">
        <x:v>No probabilities are assigned. Each row is a declared conjunctive demand state.</x:v>
      </x:c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</x:row>
    <x:row r="6" ht="30" customHeight="1">
      <x:c r="A6" s="16" t="str">
        <x:v>World</x:v>
      </x:c>
      <x:c r="B6" s="17" t="str">
        <x:v>Sector</x:v>
      </x:c>
      <x:c r="C6" s="17" t="str">
        <x:v>Compound</x:v>
      </x:c>
      <x:c r="D6" s="17" t="str">
        <x:v>Global</x:v>
      </x:c>
      <x:c r="E6" s="17" t="str">
        <x:v>Strategic</x:v>
      </x:c>
      <x:c r="F6" s="17" t="str">
        <x:v>Total demand</x:v>
      </x:c>
      <x:c r="G6" s="17" t="str">
        <x:v>Status</x:v>
      </x:c>
      <x:c r="H6" s="18" t="str">
        <x:v>Interpretation</x:v>
      </x:c>
      <x:c r="I6" s="39"/>
      <x:c r="J6" s="39"/>
    </x:row>
    <x:row r="7">
      <x:c r="A7" s="39" t="str">
        <x:v>W0 distributed domestic</x:v>
      </x:c>
      <x:c r="B7" s="39" t="n">
        <x:v>12</x:v>
      </x:c>
      <x:c r="C7" s="39" t="n">
        <x:v>0</x:v>
      </x:c>
      <x:c r="D7" s="39" t="n">
        <x:v>0</x:v>
      </x:c>
      <x:c r="E7" s="39" t="n">
        <x:v>0</x:v>
      </x:c>
      <x:c r="F7" s="39" t="n">
        <x:f>SUM(B7:E7)</x:f>
        <x:v>12</x:v>
      </x:c>
      <x:c r="G7" s="39" t="str">
        <x:f>IF(AND(B7&lt;='Assumptions'!$C$29,C7&lt;='Assumptions'!$C$30,D7&lt;='Assumptions'!$C$31,E7&lt;='Assumptions'!$C$32),IF(F7='Allocation'!B11,"BOUNDARY","PASS"),"FAIL")</x:f>
        <x:v>PASS</x:v>
      </x:c>
      <x:c r="H7" s="39" t="str">
        <x:v>Sector floor; twelve category lines remain</x:v>
      </x:c>
      <x:c r="I7" s="39"/>
      <x:c r="J7" s="39"/>
    </x:row>
    <x:row r="8">
      <x:c r="A8" s="39" t="str">
        <x:v>W1 domestic compound</x:v>
      </x:c>
      <x:c r="B8" s="39" t="n">
        <x:v>12</x:v>
      </x:c>
      <x:c r="C8" s="39" t="n">
        <x:v>4</x:v>
      </x:c>
      <x:c r="D8" s="39" t="n">
        <x:v>0</x:v>
      </x:c>
      <x:c r="E8" s="39" t="n">
        <x:v>0</x:v>
      </x:c>
      <x:c r="F8" s="39" t="n">
        <x:f>SUM(B8:E8)</x:f>
        <x:v>16</x:v>
      </x:c>
      <x:c r="G8" s="39" t="str">
        <x:f>IF(AND(B8&lt;='Assumptions'!$C$29,C8&lt;='Assumptions'!$C$30,D8&lt;='Assumptions'!$C$31,E8&lt;='Assumptions'!$C$32),IF(F8='Allocation'!B11,"BOUNDARY","PASS"),"FAIL")</x:f>
        <x:v>PASS</x:v>
      </x:c>
      <x:c r="H8" s="39" t="str">
        <x:v>Domestic compound floor; global and strategic remain</x:v>
      </x:c>
      <x:c r="I8" s="39"/>
      <x:c r="J8" s="39"/>
    </x:row>
    <x:row r="9">
      <x:c r="A9" s="39" t="str">
        <x:v>W2 compound plus invited global</x:v>
      </x:c>
      <x:c r="B9" s="39" t="n">
        <x:v>12</x:v>
      </x:c>
      <x:c r="C9" s="39" t="n">
        <x:v>4</x:v>
      </x:c>
      <x:c r="D9" s="39" t="n">
        <x:v>4</x:v>
      </x:c>
      <x:c r="E9" s="39" t="n">
        <x:v>0</x:v>
      </x:c>
      <x:c r="F9" s="39" t="n">
        <x:f>SUM(B9:E9)</x:f>
        <x:v>20</x:v>
      </x:c>
      <x:c r="G9" s="39" t="str">
        <x:f>IF(AND(B9&lt;='Assumptions'!$C$29,C9&lt;='Assumptions'!$C$30,D9&lt;='Assumptions'!$C$31,E9&lt;='Assumptions'!$C$32),IF(F9='Allocation'!B11,"BOUNDARY","PASS"),"FAIL")</x:f>
        <x:v>PASS</x:v>
      </x:c>
      <x:c r="H9" s="39" t="str">
        <x:v>Twenty lines committed; strategic remains</x:v>
      </x:c>
      <x:c r="I9" s="39"/>
      <x:c r="J9" s="39"/>
    </x:row>
    <x:row r="10">
      <x:c r="A10" s="39" t="str">
        <x:v>W3 global recall</x:v>
      </x:c>
      <x:c r="B10" s="39" t="n">
        <x:v>12</x:v>
      </x:c>
      <x:c r="C10" s="39" t="n">
        <x:v>4</x:v>
      </x:c>
      <x:c r="D10" s="39" t="n">
        <x:v>0</x:v>
      </x:c>
      <x:c r="E10" s="39" t="n">
        <x:v>0</x:v>
      </x:c>
      <x:c r="F10" s="39" t="n">
        <x:f>SUM(B10:E10)</x:f>
        <x:v>16</x:v>
      </x:c>
      <x:c r="G10" s="39" t="str">
        <x:f>IF(AND(B10&lt;='Assumptions'!$C$29,C10&lt;='Assumptions'!$C$30,D10&lt;='Assumptions'!$C$31,E10&lt;='Assumptions'!$C$32),IF(F10='Allocation'!B11,"BOUNDARY","PASS"),"FAIL")</x:f>
        <x:v>PASS</x:v>
      </x:c>
      <x:c r="H10" s="39" t="str">
        <x:v>Global groups withheld or returned</x:v>
      </x:c>
      <x:c r="I10" s="39"/>
      <x:c r="J10" s="39"/>
    </x:row>
    <x:row r="11">
      <x:c r="A11" s="39" t="str">
        <x:v>W4 strategic system casualty</x:v>
      </x:c>
      <x:c r="B11" s="39" t="n">
        <x:v>12</x:v>
      </x:c>
      <x:c r="C11" s="39" t="n">
        <x:v>4</x:v>
      </x:c>
      <x:c r="D11" s="39" t="n">
        <x:v>0</x:v>
      </x:c>
      <x:c r="E11" s="39" t="n">
        <x:v>2</x:v>
      </x:c>
      <x:c r="F11" s="39" t="n">
        <x:f>SUM(B11:E11)</x:f>
        <x:v>18</x:v>
      </x:c>
      <x:c r="G11" s="39" t="str">
        <x:f>IF(AND(B11&lt;='Assumptions'!$C$29,C11&lt;='Assumptions'!$C$30,D11&lt;='Assumptions'!$C$31,E11&lt;='Assumptions'!$C$32),IF(F11='Allocation'!B11,"BOUNDARY","PASS"),"FAIL")</x:f>
        <x:v>PASS</x:v>
      </x:c>
      <x:c r="H11" s="39" t="str">
        <x:v>Two strategic groups released; two remain</x:v>
      </x:c>
      <x:c r="I11" s="39"/>
      <x:c r="J11" s="39"/>
    </x:row>
    <x:row r="12">
      <x:c r="A12" s="39" t="str">
        <x:v>W5 all categories demanded</x:v>
      </x:c>
      <x:c r="B12" s="39" t="n">
        <x:v>12</x:v>
      </x:c>
      <x:c r="C12" s="39" t="n">
        <x:v>4</x:v>
      </x:c>
      <x:c r="D12" s="39" t="n">
        <x:v>4</x:v>
      </x:c>
      <x:c r="E12" s="39" t="n">
        <x:v>4</x:v>
      </x:c>
      <x:c r="F12" s="39" t="n">
        <x:f>SUM(B12:E12)</x:f>
        <x:v>24</x:v>
      </x:c>
      <x:c r="G12" s="39" t="str">
        <x:f>IF(AND(B12&lt;='Assumptions'!$C$29,C12&lt;='Assumptions'!$C$30,D12&lt;='Assumptions'!$C$31,E12&lt;='Assumptions'!$C$32),IF(F12='Allocation'!B11,"BOUNDARY","PASS"),"FAIL")</x:f>
        <x:v>BOUNDARY</x:v>
      </x:c>
      <x:c r="H12" s="39" t="str">
        <x:v>Every category consumed; no national line remains</x:v>
      </x:c>
      <x:c r="I12" s="39"/>
      <x:c r="J12" s="39"/>
    </x:row>
  </x:sheetData>
  <x:mergeCells>
    <x:mergeCell ref="A2:J2"/>
    <x:mergeCell ref="A3:J3"/>
  </x:mergeCells>
  <x:conditionalFormatting sqref="G7:G12">
    <x:cfRule type="containsText" dxfId="4" priority="1" operator="containsText" text="FAIL"/>
    <x:cfRule type="containsText" dxfId="5" priority="2" operator="containsText" text="BOUNDARY"/>
    <x:cfRule type="containsText" dxfId="6" priority="3" operator="containsText" text="PASS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2">
      <x:c r="A2" s="38" t="str">
        <x:v>Twelve-year system-body fielding screen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40" t="str">
        <x:v>Annual bodies remain at or below installed two-root capacity. This is not a procurement authorization.</x:v>
      </x:c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</x:row>
    <x:row r="6" ht="30" customHeight="1">
      <x:c r="A6" s="16" t="str">
        <x:v>Year</x:v>
      </x:c>
      <x:c r="B6" s="17" t="str">
        <x:v>Bodies completed</x:v>
      </x:c>
      <x:c r="C6" s="17" t="str">
        <x:v>Cumulative bodies</x:v>
      </x:c>
      <x:c r="D6" s="17" t="str">
        <x:v>Remaining bodies</x:v>
      </x:c>
      <x:c r="E6" s="17" t="str">
        <x:v>Installed capacity</x:v>
      </x:c>
      <x:c r="F6" s="18" t="str">
        <x:v>Capacity status</x:v>
      </x:c>
      <x:c r="G6" s="39"/>
      <x:c r="H6" s="39"/>
      <x:c r="I6" s="39"/>
      <x:c r="J6" s="39"/>
    </x:row>
    <x:row r="7">
      <x:c r="A7" s="39" t="n">
        <x:v>1</x:v>
      </x:c>
      <x:c r="B7" s="39" t="n">
        <x:v>4</x:v>
      </x:c>
      <x:c r="C7" s="39" t="n">
        <x:f>B7</x:f>
        <x:v>4</x:v>
      </x:c>
      <x:c r="D7" s="39" t="n">
        <x:f>MAX(0,'Fleet'!C14-C7)</x:f>
        <x:v>252</x:v>
      </x:c>
      <x:c r="E7" s="39" t="n">
        <x:f>'Production'!C13</x:f>
        <x:v>26</x:v>
      </x:c>
      <x:c r="F7" s="39" t="str">
        <x:f>IF(B7&lt;=E7,"PASS","FAIL")</x:f>
        <x:v>PASS</x:v>
      </x:c>
      <x:c r="G7" s="39"/>
      <x:c r="H7" s="39"/>
      <x:c r="I7" s="39"/>
      <x:c r="J7" s="39"/>
    </x:row>
    <x:row r="8">
      <x:c r="A8" s="39" t="n">
        <x:v>2</x:v>
      </x:c>
      <x:c r="B8" s="39" t="n">
        <x:v>12</x:v>
      </x:c>
      <x:c r="C8" s="39" t="n">
        <x:f>C7+B8</x:f>
        <x:v>16</x:v>
      </x:c>
      <x:c r="D8" s="39" t="n">
        <x:f>MAX(0,'Fleet'!C14-C8)</x:f>
        <x:v>240</x:v>
      </x:c>
      <x:c r="E8" s="39" t="n">
        <x:f>'Production'!C13</x:f>
        <x:v>26</x:v>
      </x:c>
      <x:c r="F8" s="39" t="str">
        <x:f>IF(B8&lt;=E8,"PASS","FAIL")</x:f>
        <x:v>PASS</x:v>
      </x:c>
      <x:c r="G8" s="39"/>
      <x:c r="H8" s="39"/>
      <x:c r="I8" s="39"/>
      <x:c r="J8" s="39"/>
    </x:row>
    <x:row r="9">
      <x:c r="A9" s="39" t="n">
        <x:v>3</x:v>
      </x:c>
      <x:c r="B9" s="39" t="n">
        <x:v>18</x:v>
      </x:c>
      <x:c r="C9" s="39" t="n">
        <x:f>C8+B9</x:f>
        <x:v>34</x:v>
      </x:c>
      <x:c r="D9" s="39" t="n">
        <x:f>MAX(0,'Fleet'!C14-C9)</x:f>
        <x:v>222</x:v>
      </x:c>
      <x:c r="E9" s="39" t="n">
        <x:f>'Production'!C13</x:f>
        <x:v>26</x:v>
      </x:c>
      <x:c r="F9" s="39" t="str">
        <x:f>IF(B9&lt;=E9,"PASS","FAIL")</x:f>
        <x:v>PASS</x:v>
      </x:c>
      <x:c r="G9" s="39"/>
      <x:c r="H9" s="39"/>
      <x:c r="I9" s="39"/>
      <x:c r="J9" s="39"/>
    </x:row>
    <x:row r="10">
      <x:c r="A10" s="39" t="n">
        <x:v>4</x:v>
      </x:c>
      <x:c r="B10" s="39" t="n">
        <x:v>24</x:v>
      </x:c>
      <x:c r="C10" s="39" t="n">
        <x:f>C9+B10</x:f>
        <x:v>58</x:v>
      </x:c>
      <x:c r="D10" s="39" t="n">
        <x:f>MAX(0,'Fleet'!C14-C10)</x:f>
        <x:v>198</x:v>
      </x:c>
      <x:c r="E10" s="39" t="n">
        <x:f>'Production'!C13</x:f>
        <x:v>26</x:v>
      </x:c>
      <x:c r="F10" s="39" t="str">
        <x:f>IF(B10&lt;=E10,"PASS","FAIL")</x:f>
        <x:v>PASS</x:v>
      </x:c>
      <x:c r="G10" s="39"/>
      <x:c r="H10" s="39"/>
      <x:c r="I10" s="39"/>
      <x:c r="J10" s="39"/>
    </x:row>
    <x:row r="11">
      <x:c r="A11" s="39" t="n">
        <x:v>5</x:v>
      </x:c>
      <x:c r="B11" s="39" t="n">
        <x:v>26</x:v>
      </x:c>
      <x:c r="C11" s="39" t="n">
        <x:f>C10+B11</x:f>
        <x:v>84</x:v>
      </x:c>
      <x:c r="D11" s="39" t="n">
        <x:f>MAX(0,'Fleet'!C14-C11)</x:f>
        <x:v>172</x:v>
      </x:c>
      <x:c r="E11" s="39" t="n">
        <x:f>'Production'!C13</x:f>
        <x:v>26</x:v>
      </x:c>
      <x:c r="F11" s="39" t="str">
        <x:f>IF(B11&lt;=E11,"PASS","FAIL")</x:f>
        <x:v>PASS</x:v>
      </x:c>
      <x:c r="G11" s="39"/>
      <x:c r="H11" s="39"/>
      <x:c r="I11" s="39"/>
      <x:c r="J11" s="39"/>
    </x:row>
    <x:row r="12">
      <x:c r="A12" s="39" t="n">
        <x:v>6</x:v>
      </x:c>
      <x:c r="B12" s="39" t="n">
        <x:v>26</x:v>
      </x:c>
      <x:c r="C12" s="39" t="n">
        <x:f>C11+B12</x:f>
        <x:v>110</x:v>
      </x:c>
      <x:c r="D12" s="39" t="n">
        <x:f>MAX(0,'Fleet'!C14-C12)</x:f>
        <x:v>146</x:v>
      </x:c>
      <x:c r="E12" s="39" t="n">
        <x:f>'Production'!C13</x:f>
        <x:v>26</x:v>
      </x:c>
      <x:c r="F12" s="39" t="str">
        <x:f>IF(B12&lt;=E12,"PASS","FAIL")</x:f>
        <x:v>PASS</x:v>
      </x:c>
      <x:c r="G12" s="39"/>
      <x:c r="H12" s="39"/>
      <x:c r="I12" s="39"/>
      <x:c r="J12" s="39"/>
    </x:row>
    <x:row r="13">
      <x:c r="A13" s="39" t="n">
        <x:v>7</x:v>
      </x:c>
      <x:c r="B13" s="39" t="n">
        <x:v>26</x:v>
      </x:c>
      <x:c r="C13" s="39" t="n">
        <x:f>C12+B13</x:f>
        <x:v>136</x:v>
      </x:c>
      <x:c r="D13" s="39" t="n">
        <x:f>MAX(0,'Fleet'!C14-C13)</x:f>
        <x:v>120</x:v>
      </x:c>
      <x:c r="E13" s="39" t="n">
        <x:f>'Production'!C13</x:f>
        <x:v>26</x:v>
      </x:c>
      <x:c r="F13" s="39" t="str">
        <x:f>IF(B13&lt;=E13,"PASS","FAIL")</x:f>
        <x:v>PASS</x:v>
      </x:c>
      <x:c r="G13" s="39"/>
      <x:c r="H13" s="39"/>
      <x:c r="I13" s="39"/>
      <x:c r="J13" s="39"/>
    </x:row>
    <x:row r="14">
      <x:c r="A14" s="39" t="n">
        <x:v>8</x:v>
      </x:c>
      <x:c r="B14" s="39" t="n">
        <x:v>26</x:v>
      </x:c>
      <x:c r="C14" s="39" t="n">
        <x:f>C13+B14</x:f>
        <x:v>162</x:v>
      </x:c>
      <x:c r="D14" s="39" t="n">
        <x:f>MAX(0,'Fleet'!C14-C14)</x:f>
        <x:v>94</x:v>
      </x:c>
      <x:c r="E14" s="39" t="n">
        <x:f>'Production'!C13</x:f>
        <x:v>26</x:v>
      </x:c>
      <x:c r="F14" s="39" t="str">
        <x:f>IF(B14&lt;=E14,"PASS","FAIL")</x:f>
        <x:v>PASS</x:v>
      </x:c>
      <x:c r="G14" s="39"/>
      <x:c r="H14" s="39"/>
      <x:c r="I14" s="39"/>
      <x:c r="J14" s="39"/>
    </x:row>
    <x:row r="15">
      <x:c r="A15" s="39" t="n">
        <x:v>9</x:v>
      </x:c>
      <x:c r="B15" s="39" t="n">
        <x:v>26</x:v>
      </x:c>
      <x:c r="C15" s="39" t="n">
        <x:f>C14+B15</x:f>
        <x:v>188</x:v>
      </x:c>
      <x:c r="D15" s="39" t="n">
        <x:f>MAX(0,'Fleet'!C14-C15)</x:f>
        <x:v>68</x:v>
      </x:c>
      <x:c r="E15" s="39" t="n">
        <x:f>'Production'!C13</x:f>
        <x:v>26</x:v>
      </x:c>
      <x:c r="F15" s="39" t="str">
        <x:f>IF(B15&lt;=E15,"PASS","FAIL")</x:f>
        <x:v>PASS</x:v>
      </x:c>
      <x:c r="G15" s="39"/>
      <x:c r="H15" s="39"/>
      <x:c r="I15" s="39"/>
      <x:c r="J15" s="39"/>
    </x:row>
    <x:row r="16">
      <x:c r="A16" s="39" t="n">
        <x:v>10</x:v>
      </x:c>
      <x:c r="B16" s="39" t="n">
        <x:v>26</x:v>
      </x:c>
      <x:c r="C16" s="39" t="n">
        <x:f>C15+B16</x:f>
        <x:v>214</x:v>
      </x:c>
      <x:c r="D16" s="39" t="n">
        <x:f>MAX(0,'Fleet'!C14-C16)</x:f>
        <x:v>42</x:v>
      </x:c>
      <x:c r="E16" s="39" t="n">
        <x:f>'Production'!C13</x:f>
        <x:v>26</x:v>
      </x:c>
      <x:c r="F16" s="39" t="str">
        <x:f>IF(B16&lt;=E16,"PASS","FAIL")</x:f>
        <x:v>PASS</x:v>
      </x:c>
      <x:c r="G16" s="39"/>
      <x:c r="H16" s="39"/>
      <x:c r="I16" s="39"/>
      <x:c r="J16" s="39"/>
    </x:row>
    <x:row r="17">
      <x:c r="A17" s="39" t="n">
        <x:v>11</x:v>
      </x:c>
      <x:c r="B17" s="39" t="n">
        <x:v>26</x:v>
      </x:c>
      <x:c r="C17" s="39" t="n">
        <x:f>C16+B17</x:f>
        <x:v>240</x:v>
      </x:c>
      <x:c r="D17" s="39" t="n">
        <x:f>MAX(0,'Fleet'!C14-C17)</x:f>
        <x:v>16</x:v>
      </x:c>
      <x:c r="E17" s="39" t="n">
        <x:f>'Production'!C13</x:f>
        <x:v>26</x:v>
      </x:c>
      <x:c r="F17" s="39" t="str">
        <x:f>IF(B17&lt;=E17,"PASS","FAIL")</x:f>
        <x:v>PASS</x:v>
      </x:c>
      <x:c r="G17" s="39"/>
      <x:c r="H17" s="39"/>
      <x:c r="I17" s="39"/>
      <x:c r="J17" s="39"/>
    </x:row>
    <x:row r="18">
      <x:c r="A18" s="39" t="n">
        <x:v>12</x:v>
      </x:c>
      <x:c r="B18" s="39" t="n">
        <x:v>16</x:v>
      </x:c>
      <x:c r="C18" s="39" t="n">
        <x:f>C17+B18</x:f>
        <x:v>256</x:v>
      </x:c>
      <x:c r="D18" s="39" t="n">
        <x:f>MAX(0,'Fleet'!C14-C18)</x:f>
        <x:v>0</x:v>
      </x:c>
      <x:c r="E18" s="39" t="n">
        <x:f>'Production'!C13</x:f>
        <x:v>26</x:v>
      </x:c>
      <x:c r="F18" s="39" t="str">
        <x:f>IF(B18&lt;=E18,"PASS","FAIL")</x:f>
        <x:v>PASS</x:v>
      </x:c>
      <x:c r="G18" s="39"/>
      <x:c r="H18" s="39"/>
      <x:c r="I18" s="39"/>
      <x:c r="J18" s="39"/>
    </x:row>
  </x:sheetData>
  <x:mergeCells>
    <x:mergeCell ref="A2:J2"/>
    <x:mergeCell ref="A3:J3"/>
  </x:mergeCells>
  <x:conditionalFormatting sqref="F7:F18">
    <x:cfRule type="containsText" dxfId="7" priority="1" operator="containsText" text="FAIL"/>
    <x:cfRule type="containsText" dxfId="8" priority="2" operator="containsText" text="PASS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7B8794"/>
  </x:sheetPr>
  <x:sheetViews>
    <x:sheetView showGridLines="0" workbookViewId="0"/>
  </x:sheetViews>
  <x:sheetFormatPr defaultRowHeight="15"/>
  <x:cols>
    <x:col min="1" max="1" width="90" hidden="0" customWidth="1"/>
  </x:cols>
  <x:sheetData>
    <x:row r="2">
      <x:c r="A2" s="38" t="str">
        <x:v>Internal review and documentation</x:v>
      </x:c>
      <x:c r="B2" s="39"/>
      <x:c r="C2" s="39"/>
      <x:c r="D2" s="39"/>
      <x:c r="E2" s="39"/>
      <x:c r="F2" s="39"/>
      <x:c r="G2" s="39"/>
      <x:c r="H2" s="39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85" t="str">
        <x:v>The tabs to the right contain planning gates, independent terminal checks and model-use notes. They do not feed business calculations.</x:v>
      </x:c>
      <x:c r="B4" s="39"/>
      <x:c r="C4" s="39"/>
      <x:c r="D4" s="39"/>
      <x:c r="E4" s="39"/>
      <x:c r="F4" s="39"/>
      <x:c r="G4" s="39"/>
      <x:c r="H4" s="39"/>
    </x:row>
  </x:sheetData>
  <x:mergeCells>
    <x:mergeCell ref="A2:H2"/>
    <x:mergeCell ref="A4:H4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16" hidden="0" customWidth="1"/>
    <x:col min="3" max="3" width="34" hidden="0" customWidth="1"/>
    <x:col min="4" max="4" width="16" hidden="0" customWidth="1"/>
    <x:col min="5" max="5" width="56" hidden="0" customWidth="1"/>
  </x:cols>
  <x:sheetData>
    <x:row r="2">
      <x:c r="A2" s="38" t="str">
        <x:v>Planning, physical and release gate register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40" t="str">
        <x:v>Planning reconciliation does not close any physical or downstream release gate.</x:v>
      </x:c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</x:row>
    <x:row r="6" ht="30" customHeight="1">
      <x:c r="A6" s="16" t="str">
        <x:v>Gate ID</x:v>
      </x:c>
      <x:c r="B6" s="17" t="str">
        <x:v>Class</x:v>
      </x:c>
      <x:c r="C6" s="17" t="str">
        <x:v>Family</x:v>
      </x:c>
      <x:c r="D6" s="17" t="str">
        <x:v>Status</x:v>
      </x:c>
      <x:c r="E6" s="18" t="str">
        <x:v>Meaning</x:v>
      </x:c>
      <x:c r="F6" s="39"/>
      <x:c r="G6" s="39"/>
      <x:c r="H6" s="39"/>
      <x:c r="I6" s="39"/>
      <x:c r="J6" s="39"/>
    </x:row>
    <x:row r="7">
      <x:c r="A7" s="39" t="str">
        <x:v>P-001</x:v>
      </x:c>
      <x:c r="B7" s="39" t="str">
        <x:v>Planning</x:v>
      </x:c>
      <x:c r="C7" s="39" t="str">
        <x:v>Service guarantee</x:v>
      </x:c>
      <x:c r="D7" s="39" t="str">
        <x:v>PASS</x:v>
      </x:c>
      <x:c r="E7" s="39" t="str">
        <x:v>Internal arithmetic or constitutional reconciliation</x:v>
      </x:c>
      <x:c r="F7" s="39"/>
      <x:c r="G7" s="39"/>
      <x:c r="H7" s="39"/>
      <x:c r="I7" s="39"/>
      <x:c r="J7" s="39"/>
    </x:row>
    <x:row r="8">
      <x:c r="A8" s="39" t="str">
        <x:v>P-002</x:v>
      </x:c>
      <x:c r="B8" s="39" t="str">
        <x:v>Planning</x:v>
      </x:c>
      <x:c r="C8" s="39" t="str">
        <x:v>Service guarantee</x:v>
      </x:c>
      <x:c r="D8" s="39" t="str">
        <x:v>PASS</x:v>
      </x:c>
      <x:c r="E8" s="39" t="str">
        <x:v>Internal arithmetic or constitutional reconciliation</x:v>
      </x:c>
      <x:c r="F8" s="39"/>
      <x:c r="G8" s="39"/>
      <x:c r="H8" s="39"/>
      <x:c r="I8" s="39"/>
      <x:c r="J8" s="39"/>
    </x:row>
    <x:row r="9">
      <x:c r="A9" s="39" t="str">
        <x:v>P-003</x:v>
      </x:c>
      <x:c r="B9" s="39" t="str">
        <x:v>Planning</x:v>
      </x:c>
      <x:c r="C9" s="39" t="str">
        <x:v>Service guarantee</x:v>
      </x:c>
      <x:c r="D9" s="39" t="str">
        <x:v>PASS</x:v>
      </x:c>
      <x:c r="E9" s="39" t="str">
        <x:v>Internal arithmetic or constitutional reconciliation</x:v>
      </x:c>
      <x:c r="F9" s="39"/>
      <x:c r="G9" s="39"/>
      <x:c r="H9" s="39"/>
      <x:c r="I9" s="39"/>
      <x:c r="J9" s="39"/>
    </x:row>
    <x:row r="10">
      <x:c r="A10" s="39" t="str">
        <x:v>P-004</x:v>
      </x:c>
      <x:c r="B10" s="39" t="str">
        <x:v>Planning</x:v>
      </x:c>
      <x:c r="C10" s="39" t="str">
        <x:v>Service guarantee</x:v>
      </x:c>
      <x:c r="D10" s="39" t="str">
        <x:v>PASS</x:v>
      </x:c>
      <x:c r="E10" s="39" t="str">
        <x:v>Internal arithmetic or constitutional reconciliation</x:v>
      </x:c>
      <x:c r="F10" s="39"/>
      <x:c r="G10" s="39"/>
      <x:c r="H10" s="39"/>
      <x:c r="I10" s="39"/>
      <x:c r="J10" s="39"/>
    </x:row>
    <x:row r="11">
      <x:c r="A11" s="39" t="str">
        <x:v>P-005</x:v>
      </x:c>
      <x:c r="B11" s="39" t="str">
        <x:v>Planning</x:v>
      </x:c>
      <x:c r="C11" s="39" t="str">
        <x:v>Service guarantee</x:v>
      </x:c>
      <x:c r="D11" s="39" t="str">
        <x:v>PASS</x:v>
      </x:c>
      <x:c r="E11" s="39" t="str">
        <x:v>Internal arithmetic or constitutional reconciliation</x:v>
      </x:c>
      <x:c r="F11" s="39"/>
      <x:c r="G11" s="39"/>
      <x:c r="H11" s="39"/>
      <x:c r="I11" s="39"/>
      <x:c r="J11" s="39"/>
    </x:row>
    <x:row r="12">
      <x:c r="A12" s="39" t="str">
        <x:v>P-006</x:v>
      </x:c>
      <x:c r="B12" s="39" t="str">
        <x:v>Planning</x:v>
      </x:c>
      <x:c r="C12" s="39" t="str">
        <x:v>Service guarantee</x:v>
      </x:c>
      <x:c r="D12" s="39" t="str">
        <x:v>PASS</x:v>
      </x:c>
      <x:c r="E12" s="39" t="str">
        <x:v>Internal arithmetic or constitutional reconciliation</x:v>
      </x:c>
      <x:c r="F12" s="39"/>
      <x:c r="G12" s="39"/>
      <x:c r="H12" s="39"/>
      <x:c r="I12" s="39"/>
      <x:c r="J12" s="39"/>
    </x:row>
    <x:row r="13">
      <x:c r="A13" s="39" t="str">
        <x:v>P-007</x:v>
      </x:c>
      <x:c r="B13" s="39" t="str">
        <x:v>Planning</x:v>
      </x:c>
      <x:c r="C13" s="39" t="str">
        <x:v>Service guarantee</x:v>
      </x:c>
      <x:c r="D13" s="39" t="str">
        <x:v>PASS</x:v>
      </x:c>
      <x:c r="E13" s="39" t="str">
        <x:v>Internal arithmetic or constitutional reconciliation</x:v>
      </x:c>
      <x:c r="F13" s="39"/>
      <x:c r="G13" s="39"/>
      <x:c r="H13" s="39"/>
      <x:c r="I13" s="39"/>
      <x:c r="J13" s="39"/>
    </x:row>
    <x:row r="14">
      <x:c r="A14" s="39" t="str">
        <x:v>P-008</x:v>
      </x:c>
      <x:c r="B14" s="39" t="str">
        <x:v>Planning</x:v>
      </x:c>
      <x:c r="C14" s="39" t="str">
        <x:v>Service guarantee</x:v>
      </x:c>
      <x:c r="D14" s="39" t="str">
        <x:v>PASS</x:v>
      </x:c>
      <x:c r="E14" s="39" t="str">
        <x:v>Internal arithmetic or constitutional reconciliation</x:v>
      </x:c>
      <x:c r="F14" s="39"/>
      <x:c r="G14" s="39"/>
      <x:c r="H14" s="39"/>
      <x:c r="I14" s="39"/>
      <x:c r="J14" s="39"/>
    </x:row>
    <x:row r="15">
      <x:c r="A15" s="39" t="str">
        <x:v>P-009</x:v>
      </x:c>
      <x:c r="B15" s="39" t="str">
        <x:v>Planning</x:v>
      </x:c>
      <x:c r="C15" s="39" t="str">
        <x:v>Service guarantee</x:v>
      </x:c>
      <x:c r="D15" s="39" t="str">
        <x:v>PASS</x:v>
      </x:c>
      <x:c r="E15" s="39" t="str">
        <x:v>Internal arithmetic or constitutional reconciliation</x:v>
      </x:c>
      <x:c r="F15" s="39"/>
      <x:c r="G15" s="39"/>
      <x:c r="H15" s="39"/>
      <x:c r="I15" s="39"/>
      <x:c r="J15" s="39"/>
    </x:row>
    <x:row r="16">
      <x:c r="A16" s="39" t="str">
        <x:v>P-010</x:v>
      </x:c>
      <x:c r="B16" s="39" t="str">
        <x:v>Planning</x:v>
      </x:c>
      <x:c r="C16" s="39" t="str">
        <x:v>Service guarantee</x:v>
      </x:c>
      <x:c r="D16" s="39" t="str">
        <x:v>PASS</x:v>
      </x:c>
      <x:c r="E16" s="39" t="str">
        <x:v>Internal arithmetic or constitutional reconciliation</x:v>
      </x:c>
      <x:c r="F16" s="39"/>
      <x:c r="G16" s="39"/>
      <x:c r="H16" s="39"/>
      <x:c r="I16" s="39"/>
      <x:c r="J16" s="39"/>
    </x:row>
    <x:row r="17">
      <x:c r="A17" s="39" t="str">
        <x:v>P-011</x:v>
      </x:c>
      <x:c r="B17" s="39" t="str">
        <x:v>Planning</x:v>
      </x:c>
      <x:c r="C17" s="39" t="str">
        <x:v>Service guarantee</x:v>
      </x:c>
      <x:c r="D17" s="39" t="str">
        <x:v>PASS</x:v>
      </x:c>
      <x:c r="E17" s="39" t="str">
        <x:v>Internal arithmetic or constitutional reconciliation</x:v>
      </x:c>
      <x:c r="F17" s="39"/>
      <x:c r="G17" s="39"/>
      <x:c r="H17" s="39"/>
      <x:c r="I17" s="39"/>
      <x:c r="J17" s="39"/>
    </x:row>
    <x:row r="18">
      <x:c r="A18" s="39" t="str">
        <x:v>P-012</x:v>
      </x:c>
      <x:c r="B18" s="39" t="str">
        <x:v>Planning</x:v>
      </x:c>
      <x:c r="C18" s="39" t="str">
        <x:v>Service guarantee</x:v>
      </x:c>
      <x:c r="D18" s="39" t="str">
        <x:v>PASS</x:v>
      </x:c>
      <x:c r="E18" s="39" t="str">
        <x:v>Internal arithmetic or constitutional reconciliation</x:v>
      </x:c>
      <x:c r="F18" s="39"/>
      <x:c r="G18" s="39"/>
      <x:c r="H18" s="39"/>
      <x:c r="I18" s="39"/>
      <x:c r="J18" s="39"/>
    </x:row>
    <x:row r="19">
      <x:c r="A19" s="39" t="str">
        <x:v>P-013</x:v>
      </x:c>
      <x:c r="B19" s="39" t="str">
        <x:v>Planning</x:v>
      </x:c>
      <x:c r="C19" s="39" t="str">
        <x:v>Fleet quantity</x:v>
      </x:c>
      <x:c r="D19" s="39" t="str">
        <x:v>PASS</x:v>
      </x:c>
      <x:c r="E19" s="39" t="str">
        <x:v>Internal arithmetic or constitutional reconciliation</x:v>
      </x:c>
      <x:c r="F19" s="39"/>
      <x:c r="G19" s="39"/>
      <x:c r="H19" s="39"/>
      <x:c r="I19" s="39"/>
      <x:c r="J19" s="39"/>
    </x:row>
    <x:row r="20">
      <x:c r="A20" s="39" t="str">
        <x:v>P-014</x:v>
      </x:c>
      <x:c r="B20" s="39" t="str">
        <x:v>Planning</x:v>
      </x:c>
      <x:c r="C20" s="39" t="str">
        <x:v>Fleet quantity</x:v>
      </x:c>
      <x:c r="D20" s="39" t="str">
        <x:v>PASS</x:v>
      </x:c>
      <x:c r="E20" s="39" t="str">
        <x:v>Internal arithmetic or constitutional reconciliation</x:v>
      </x:c>
      <x:c r="F20" s="39"/>
      <x:c r="G20" s="39"/>
      <x:c r="H20" s="39"/>
      <x:c r="I20" s="39"/>
      <x:c r="J20" s="39"/>
    </x:row>
    <x:row r="21">
      <x:c r="A21" s="39" t="str">
        <x:v>P-015</x:v>
      </x:c>
      <x:c r="B21" s="39" t="str">
        <x:v>Planning</x:v>
      </x:c>
      <x:c r="C21" s="39" t="str">
        <x:v>Fleet quantity</x:v>
      </x:c>
      <x:c r="D21" s="39" t="str">
        <x:v>PASS</x:v>
      </x:c>
      <x:c r="E21" s="39" t="str">
        <x:v>Internal arithmetic or constitutional reconciliation</x:v>
      </x:c>
      <x:c r="F21" s="39"/>
      <x:c r="G21" s="39"/>
      <x:c r="H21" s="39"/>
      <x:c r="I21" s="39"/>
      <x:c r="J21" s="39"/>
    </x:row>
    <x:row r="22">
      <x:c r="A22" s="39" t="str">
        <x:v>P-016</x:v>
      </x:c>
      <x:c r="B22" s="39" t="str">
        <x:v>Planning</x:v>
      </x:c>
      <x:c r="C22" s="39" t="str">
        <x:v>Fleet quantity</x:v>
      </x:c>
      <x:c r="D22" s="39" t="str">
        <x:v>PASS</x:v>
      </x:c>
      <x:c r="E22" s="39" t="str">
        <x:v>Internal arithmetic or constitutional reconciliation</x:v>
      </x:c>
      <x:c r="F22" s="39"/>
      <x:c r="G22" s="39"/>
      <x:c r="H22" s="39"/>
      <x:c r="I22" s="39"/>
      <x:c r="J22" s="39"/>
    </x:row>
    <x:row r="23">
      <x:c r="A23" s="39" t="str">
        <x:v>P-017</x:v>
      </x:c>
      <x:c r="B23" s="39" t="str">
        <x:v>Planning</x:v>
      </x:c>
      <x:c r="C23" s="39" t="str">
        <x:v>Fleet quantity</x:v>
      </x:c>
      <x:c r="D23" s="39" t="str">
        <x:v>PASS</x:v>
      </x:c>
      <x:c r="E23" s="39" t="str">
        <x:v>Internal arithmetic or constitutional reconciliation</x:v>
      </x:c>
      <x:c r="F23" s="39"/>
      <x:c r="G23" s="39"/>
      <x:c r="H23" s="39"/>
      <x:c r="I23" s="39"/>
      <x:c r="J23" s="39"/>
    </x:row>
    <x:row r="24">
      <x:c r="A24" s="39" t="str">
        <x:v>P-018</x:v>
      </x:c>
      <x:c r="B24" s="39" t="str">
        <x:v>Planning</x:v>
      </x:c>
      <x:c r="C24" s="39" t="str">
        <x:v>Fleet quantity</x:v>
      </x:c>
      <x:c r="D24" s="39" t="str">
        <x:v>PASS</x:v>
      </x:c>
      <x:c r="E24" s="39" t="str">
        <x:v>Internal arithmetic or constitutional reconciliation</x:v>
      </x:c>
      <x:c r="F24" s="39"/>
      <x:c r="G24" s="39"/>
      <x:c r="H24" s="39"/>
      <x:c r="I24" s="39"/>
      <x:c r="J24" s="39"/>
    </x:row>
    <x:row r="25">
      <x:c r="A25" s="39" t="str">
        <x:v>P-019</x:v>
      </x:c>
      <x:c r="B25" s="39" t="str">
        <x:v>Planning</x:v>
      </x:c>
      <x:c r="C25" s="39" t="str">
        <x:v>Fleet quantity</x:v>
      </x:c>
      <x:c r="D25" s="39" t="str">
        <x:v>PASS</x:v>
      </x:c>
      <x:c r="E25" s="39" t="str">
        <x:v>Internal arithmetic or constitutional reconciliation</x:v>
      </x:c>
      <x:c r="F25" s="39"/>
      <x:c r="G25" s="39"/>
      <x:c r="H25" s="39"/>
      <x:c r="I25" s="39"/>
      <x:c r="J25" s="39"/>
    </x:row>
    <x:row r="26">
      <x:c r="A26" s="39" t="str">
        <x:v>P-020</x:v>
      </x:c>
      <x:c r="B26" s="39" t="str">
        <x:v>Planning</x:v>
      </x:c>
      <x:c r="C26" s="39" t="str">
        <x:v>Fleet quantity</x:v>
      </x:c>
      <x:c r="D26" s="39" t="str">
        <x:v>PASS</x:v>
      </x:c>
      <x:c r="E26" s="39" t="str">
        <x:v>Internal arithmetic or constitutional reconciliation</x:v>
      </x:c>
      <x:c r="F26" s="39"/>
      <x:c r="G26" s="39"/>
      <x:c r="H26" s="39"/>
      <x:c r="I26" s="39"/>
      <x:c r="J26" s="39"/>
    </x:row>
    <x:row r="27">
      <x:c r="A27" s="39" t="str">
        <x:v>P-021</x:v>
      </x:c>
      <x:c r="B27" s="39" t="str">
        <x:v>Planning</x:v>
      </x:c>
      <x:c r="C27" s="39" t="str">
        <x:v>Fleet quantity</x:v>
      </x:c>
      <x:c r="D27" s="39" t="str">
        <x:v>PASS</x:v>
      </x:c>
      <x:c r="E27" s="39" t="str">
        <x:v>Internal arithmetic or constitutional reconciliation</x:v>
      </x:c>
      <x:c r="F27" s="39"/>
      <x:c r="G27" s="39"/>
      <x:c r="H27" s="39"/>
      <x:c r="I27" s="39"/>
      <x:c r="J27" s="39"/>
    </x:row>
    <x:row r="28">
      <x:c r="A28" s="39" t="str">
        <x:v>P-022</x:v>
      </x:c>
      <x:c r="B28" s="39" t="str">
        <x:v>Planning</x:v>
      </x:c>
      <x:c r="C28" s="39" t="str">
        <x:v>Fleet quantity</x:v>
      </x:c>
      <x:c r="D28" s="39" t="str">
        <x:v>PASS</x:v>
      </x:c>
      <x:c r="E28" s="39" t="str">
        <x:v>Internal arithmetic or constitutional reconciliation</x:v>
      </x:c>
      <x:c r="F28" s="39"/>
      <x:c r="G28" s="39"/>
      <x:c r="H28" s="39"/>
      <x:c r="I28" s="39"/>
      <x:c r="J28" s="39"/>
    </x:row>
    <x:row r="29">
      <x:c r="A29" s="39" t="str">
        <x:v>P-023</x:v>
      </x:c>
      <x:c r="B29" s="39" t="str">
        <x:v>Planning</x:v>
      </x:c>
      <x:c r="C29" s="39" t="str">
        <x:v>Fleet quantity</x:v>
      </x:c>
      <x:c r="D29" s="39" t="str">
        <x:v>PASS</x:v>
      </x:c>
      <x:c r="E29" s="39" t="str">
        <x:v>Internal arithmetic or constitutional reconciliation</x:v>
      </x:c>
      <x:c r="F29" s="39"/>
      <x:c r="G29" s="39"/>
      <x:c r="H29" s="39"/>
      <x:c r="I29" s="39"/>
      <x:c r="J29" s="39"/>
    </x:row>
    <x:row r="30">
      <x:c r="A30" s="39" t="str">
        <x:v>P-024</x:v>
      </x:c>
      <x:c r="B30" s="39" t="str">
        <x:v>Planning</x:v>
      </x:c>
      <x:c r="C30" s="39" t="str">
        <x:v>Fleet quantity</x:v>
      </x:c>
      <x:c r="D30" s="39" t="str">
        <x:v>PASS</x:v>
      </x:c>
      <x:c r="E30" s="39" t="str">
        <x:v>Internal arithmetic or constitutional reconciliation</x:v>
      </x:c>
      <x:c r="F30" s="39"/>
      <x:c r="G30" s="39"/>
      <x:c r="H30" s="39"/>
      <x:c r="I30" s="39"/>
      <x:c r="J30" s="39"/>
    </x:row>
    <x:row r="31">
      <x:c r="A31" s="39" t="str">
        <x:v>P-025</x:v>
      </x:c>
      <x:c r="B31" s="39" t="str">
        <x:v>Planning</x:v>
      </x:c>
      <x:c r="C31" s="39" t="str">
        <x:v>Basing and arsenal capacity</x:v>
      </x:c>
      <x:c r="D31" s="39" t="str">
        <x:v>PASS</x:v>
      </x:c>
      <x:c r="E31" s="39" t="str">
        <x:v>Internal arithmetic or constitutional reconciliation</x:v>
      </x:c>
      <x:c r="F31" s="39"/>
      <x:c r="G31" s="39"/>
      <x:c r="H31" s="39"/>
      <x:c r="I31" s="39"/>
      <x:c r="J31" s="39"/>
    </x:row>
    <x:row r="32">
      <x:c r="A32" s="39" t="str">
        <x:v>P-026</x:v>
      </x:c>
      <x:c r="B32" s="39" t="str">
        <x:v>Planning</x:v>
      </x:c>
      <x:c r="C32" s="39" t="str">
        <x:v>Basing and arsenal capacity</x:v>
      </x:c>
      <x:c r="D32" s="39" t="str">
        <x:v>PASS</x:v>
      </x:c>
      <x:c r="E32" s="39" t="str">
        <x:v>Internal arithmetic or constitutional reconciliation</x:v>
      </x:c>
      <x:c r="F32" s="39"/>
      <x:c r="G32" s="39"/>
      <x:c r="H32" s="39"/>
      <x:c r="I32" s="39"/>
      <x:c r="J32" s="39"/>
    </x:row>
    <x:row r="33">
      <x:c r="A33" s="39" t="str">
        <x:v>P-027</x:v>
      </x:c>
      <x:c r="B33" s="39" t="str">
        <x:v>Planning</x:v>
      </x:c>
      <x:c r="C33" s="39" t="str">
        <x:v>Basing and arsenal capacity</x:v>
      </x:c>
      <x:c r="D33" s="39" t="str">
        <x:v>PASS</x:v>
      </x:c>
      <x:c r="E33" s="39" t="str">
        <x:v>Internal arithmetic or constitutional reconciliation</x:v>
      </x:c>
      <x:c r="F33" s="39"/>
      <x:c r="G33" s="39"/>
      <x:c r="H33" s="39"/>
      <x:c r="I33" s="39"/>
      <x:c r="J33" s="39"/>
    </x:row>
    <x:row r="34">
      <x:c r="A34" s="39" t="str">
        <x:v>P-028</x:v>
      </x:c>
      <x:c r="B34" s="39" t="str">
        <x:v>Planning</x:v>
      </x:c>
      <x:c r="C34" s="39" t="str">
        <x:v>Basing and arsenal capacity</x:v>
      </x:c>
      <x:c r="D34" s="39" t="str">
        <x:v>PASS</x:v>
      </x:c>
      <x:c r="E34" s="39" t="str">
        <x:v>Internal arithmetic or constitutional reconciliation</x:v>
      </x:c>
      <x:c r="F34" s="39"/>
      <x:c r="G34" s="39"/>
      <x:c r="H34" s="39"/>
      <x:c r="I34" s="39"/>
      <x:c r="J34" s="39"/>
    </x:row>
    <x:row r="35">
      <x:c r="A35" s="39" t="str">
        <x:v>P-029</x:v>
      </x:c>
      <x:c r="B35" s="39" t="str">
        <x:v>Planning</x:v>
      </x:c>
      <x:c r="C35" s="39" t="str">
        <x:v>Basing and arsenal capacity</x:v>
      </x:c>
      <x:c r="D35" s="39" t="str">
        <x:v>PASS</x:v>
      </x:c>
      <x:c r="E35" s="39" t="str">
        <x:v>Internal arithmetic or constitutional reconciliation</x:v>
      </x:c>
      <x:c r="F35" s="39"/>
      <x:c r="G35" s="39"/>
      <x:c r="H35" s="39"/>
      <x:c r="I35" s="39"/>
      <x:c r="J35" s="39"/>
    </x:row>
    <x:row r="36">
      <x:c r="A36" s="39" t="str">
        <x:v>P-030</x:v>
      </x:c>
      <x:c r="B36" s="39" t="str">
        <x:v>Planning</x:v>
      </x:c>
      <x:c r="C36" s="39" t="str">
        <x:v>Basing and arsenal capacity</x:v>
      </x:c>
      <x:c r="D36" s="39" t="str">
        <x:v>PASS</x:v>
      </x:c>
      <x:c r="E36" s="39" t="str">
        <x:v>Internal arithmetic or constitutional reconciliation</x:v>
      </x:c>
      <x:c r="F36" s="39"/>
      <x:c r="G36" s="39"/>
      <x:c r="H36" s="39"/>
      <x:c r="I36" s="39"/>
      <x:c r="J36" s="39"/>
    </x:row>
    <x:row r="37">
      <x:c r="A37" s="39" t="str">
        <x:v>P-031</x:v>
      </x:c>
      <x:c r="B37" s="39" t="str">
        <x:v>Planning</x:v>
      </x:c>
      <x:c r="C37" s="39" t="str">
        <x:v>Basing and arsenal capacity</x:v>
      </x:c>
      <x:c r="D37" s="39" t="str">
        <x:v>PASS</x:v>
      </x:c>
      <x:c r="E37" s="39" t="str">
        <x:v>Internal arithmetic or constitutional reconciliation</x:v>
      </x:c>
      <x:c r="F37" s="39"/>
      <x:c r="G37" s="39"/>
      <x:c r="H37" s="39"/>
      <x:c r="I37" s="39"/>
      <x:c r="J37" s="39"/>
    </x:row>
    <x:row r="38">
      <x:c r="A38" s="39" t="str">
        <x:v>P-032</x:v>
      </x:c>
      <x:c r="B38" s="39" t="str">
        <x:v>Planning</x:v>
      </x:c>
      <x:c r="C38" s="39" t="str">
        <x:v>Basing and arsenal capacity</x:v>
      </x:c>
      <x:c r="D38" s="39" t="str">
        <x:v>PASS</x:v>
      </x:c>
      <x:c r="E38" s="39" t="str">
        <x:v>Internal arithmetic or constitutional reconciliation</x:v>
      </x:c>
      <x:c r="F38" s="39"/>
      <x:c r="G38" s="39"/>
      <x:c r="H38" s="39"/>
      <x:c r="I38" s="39"/>
      <x:c r="J38" s="39"/>
    </x:row>
    <x:row r="39">
      <x:c r="A39" s="39" t="str">
        <x:v>P-033</x:v>
      </x:c>
      <x:c r="B39" s="39" t="str">
        <x:v>Planning</x:v>
      </x:c>
      <x:c r="C39" s="39" t="str">
        <x:v>Basing and arsenal capacity</x:v>
      </x:c>
      <x:c r="D39" s="39" t="str">
        <x:v>PASS</x:v>
      </x:c>
      <x:c r="E39" s="39" t="str">
        <x:v>Internal arithmetic or constitutional reconciliation</x:v>
      </x:c>
      <x:c r="F39" s="39"/>
      <x:c r="G39" s="39"/>
      <x:c r="H39" s="39"/>
      <x:c r="I39" s="39"/>
      <x:c r="J39" s="39"/>
    </x:row>
    <x:row r="40">
      <x:c r="A40" s="39" t="str">
        <x:v>P-034</x:v>
      </x:c>
      <x:c r="B40" s="39" t="str">
        <x:v>Planning</x:v>
      </x:c>
      <x:c r="C40" s="39" t="str">
        <x:v>Basing and arsenal capacity</x:v>
      </x:c>
      <x:c r="D40" s="39" t="str">
        <x:v>PASS</x:v>
      </x:c>
      <x:c r="E40" s="39" t="str">
        <x:v>Internal arithmetic or constitutional reconciliation</x:v>
      </x:c>
      <x:c r="F40" s="39"/>
      <x:c r="G40" s="39"/>
      <x:c r="H40" s="39"/>
      <x:c r="I40" s="39"/>
      <x:c r="J40" s="39"/>
    </x:row>
    <x:row r="41">
      <x:c r="A41" s="39" t="str">
        <x:v>P-035</x:v>
      </x:c>
      <x:c r="B41" s="39" t="str">
        <x:v>Planning</x:v>
      </x:c>
      <x:c r="C41" s="39" t="str">
        <x:v>Basing and arsenal capacity</x:v>
      </x:c>
      <x:c r="D41" s="39" t="str">
        <x:v>PASS</x:v>
      </x:c>
      <x:c r="E41" s="39" t="str">
        <x:v>Internal arithmetic or constitutional reconciliation</x:v>
      </x:c>
      <x:c r="F41" s="39"/>
      <x:c r="G41" s="39"/>
      <x:c r="H41" s="39"/>
      <x:c r="I41" s="39"/>
      <x:c r="J41" s="39"/>
    </x:row>
    <x:row r="42">
      <x:c r="A42" s="39" t="str">
        <x:v>P-036</x:v>
      </x:c>
      <x:c r="B42" s="39" t="str">
        <x:v>Planning</x:v>
      </x:c>
      <x:c r="C42" s="39" t="str">
        <x:v>Basing and arsenal capacity</x:v>
      </x:c>
      <x:c r="D42" s="39" t="str">
        <x:v>PASS</x:v>
      </x:c>
      <x:c r="E42" s="39" t="str">
        <x:v>Internal arithmetic or constitutional reconciliation</x:v>
      </x:c>
      <x:c r="F42" s="39"/>
      <x:c r="G42" s="39"/>
      <x:c r="H42" s="39"/>
      <x:c r="I42" s="39"/>
      <x:c r="J42" s="39"/>
    </x:row>
    <x:row r="43">
      <x:c r="A43" s="39" t="str">
        <x:v>P-037</x:v>
      </x:c>
      <x:c r="B43" s="39" t="str">
        <x:v>Planning</x:v>
      </x:c>
      <x:c r="C43" s="39" t="str">
        <x:v>Production and replacement</x:v>
      </x:c>
      <x:c r="D43" s="39" t="str">
        <x:v>PASS</x:v>
      </x:c>
      <x:c r="E43" s="39" t="str">
        <x:v>Internal arithmetic or constitutional reconciliation</x:v>
      </x:c>
      <x:c r="F43" s="39"/>
      <x:c r="G43" s="39"/>
      <x:c r="H43" s="39"/>
      <x:c r="I43" s="39"/>
      <x:c r="J43" s="39"/>
    </x:row>
    <x:row r="44">
      <x:c r="A44" s="39" t="str">
        <x:v>P-038</x:v>
      </x:c>
      <x:c r="B44" s="39" t="str">
        <x:v>Planning</x:v>
      </x:c>
      <x:c r="C44" s="39" t="str">
        <x:v>Production and replacement</x:v>
      </x:c>
      <x:c r="D44" s="39" t="str">
        <x:v>PASS</x:v>
      </x:c>
      <x:c r="E44" s="39" t="str">
        <x:v>Internal arithmetic or constitutional reconciliation</x:v>
      </x:c>
      <x:c r="F44" s="39"/>
      <x:c r="G44" s="39"/>
      <x:c r="H44" s="39"/>
      <x:c r="I44" s="39"/>
      <x:c r="J44" s="39"/>
    </x:row>
    <x:row r="45">
      <x:c r="A45" s="39" t="str">
        <x:v>P-039</x:v>
      </x:c>
      <x:c r="B45" s="39" t="str">
        <x:v>Planning</x:v>
      </x:c>
      <x:c r="C45" s="39" t="str">
        <x:v>Production and replacement</x:v>
      </x:c>
      <x:c r="D45" s="39" t="str">
        <x:v>PASS</x:v>
      </x:c>
      <x:c r="E45" s="39" t="str">
        <x:v>Internal arithmetic or constitutional reconciliation</x:v>
      </x:c>
      <x:c r="F45" s="39"/>
      <x:c r="G45" s="39"/>
      <x:c r="H45" s="39"/>
      <x:c r="I45" s="39"/>
      <x:c r="J45" s="39"/>
    </x:row>
    <x:row r="46">
      <x:c r="A46" s="39" t="str">
        <x:v>P-040</x:v>
      </x:c>
      <x:c r="B46" s="39" t="str">
        <x:v>Planning</x:v>
      </x:c>
      <x:c r="C46" s="39" t="str">
        <x:v>Production and replacement</x:v>
      </x:c>
      <x:c r="D46" s="39" t="str">
        <x:v>PASS</x:v>
      </x:c>
      <x:c r="E46" s="39" t="str">
        <x:v>Internal arithmetic or constitutional reconciliation</x:v>
      </x:c>
      <x:c r="F46" s="39"/>
      <x:c r="G46" s="39"/>
      <x:c r="H46" s="39"/>
      <x:c r="I46" s="39"/>
      <x:c r="J46" s="39"/>
    </x:row>
    <x:row r="47">
      <x:c r="A47" s="39" t="str">
        <x:v>P-041</x:v>
      </x:c>
      <x:c r="B47" s="39" t="str">
        <x:v>Planning</x:v>
      </x:c>
      <x:c r="C47" s="39" t="str">
        <x:v>Production and replacement</x:v>
      </x:c>
      <x:c r="D47" s="39" t="str">
        <x:v>PASS</x:v>
      </x:c>
      <x:c r="E47" s="39" t="str">
        <x:v>Internal arithmetic or constitutional reconciliation</x:v>
      </x:c>
      <x:c r="F47" s="39"/>
      <x:c r="G47" s="39"/>
      <x:c r="H47" s="39"/>
      <x:c r="I47" s="39"/>
      <x:c r="J47" s="39"/>
    </x:row>
    <x:row r="48">
      <x:c r="A48" s="39" t="str">
        <x:v>P-042</x:v>
      </x:c>
      <x:c r="B48" s="39" t="str">
        <x:v>Planning</x:v>
      </x:c>
      <x:c r="C48" s="39" t="str">
        <x:v>Production and replacement</x:v>
      </x:c>
      <x:c r="D48" s="39" t="str">
        <x:v>PASS</x:v>
      </x:c>
      <x:c r="E48" s="39" t="str">
        <x:v>Internal arithmetic or constitutional reconciliation</x:v>
      </x:c>
      <x:c r="F48" s="39"/>
      <x:c r="G48" s="39"/>
      <x:c r="H48" s="39"/>
      <x:c r="I48" s="39"/>
      <x:c r="J48" s="39"/>
    </x:row>
    <x:row r="49">
      <x:c r="A49" s="39" t="str">
        <x:v>P-043</x:v>
      </x:c>
      <x:c r="B49" s="39" t="str">
        <x:v>Planning</x:v>
      </x:c>
      <x:c r="C49" s="39" t="str">
        <x:v>Production and replacement</x:v>
      </x:c>
      <x:c r="D49" s="39" t="str">
        <x:v>PASS</x:v>
      </x:c>
      <x:c r="E49" s="39" t="str">
        <x:v>Internal arithmetic or constitutional reconciliation</x:v>
      </x:c>
      <x:c r="F49" s="39"/>
      <x:c r="G49" s="39"/>
      <x:c r="H49" s="39"/>
      <x:c r="I49" s="39"/>
      <x:c r="J49" s="39"/>
    </x:row>
    <x:row r="50">
      <x:c r="A50" s="39" t="str">
        <x:v>P-044</x:v>
      </x:c>
      <x:c r="B50" s="39" t="str">
        <x:v>Planning</x:v>
      </x:c>
      <x:c r="C50" s="39" t="str">
        <x:v>Production and replacement</x:v>
      </x:c>
      <x:c r="D50" s="39" t="str">
        <x:v>PASS</x:v>
      </x:c>
      <x:c r="E50" s="39" t="str">
        <x:v>Internal arithmetic or constitutional reconciliation</x:v>
      </x:c>
      <x:c r="F50" s="39"/>
      <x:c r="G50" s="39"/>
      <x:c r="H50" s="39"/>
      <x:c r="I50" s="39"/>
      <x:c r="J50" s="39"/>
    </x:row>
    <x:row r="51">
      <x:c r="A51" s="39" t="str">
        <x:v>P-045</x:v>
      </x:c>
      <x:c r="B51" s="39" t="str">
        <x:v>Planning</x:v>
      </x:c>
      <x:c r="C51" s="39" t="str">
        <x:v>Production and replacement</x:v>
      </x:c>
      <x:c r="D51" s="39" t="str">
        <x:v>PASS</x:v>
      </x:c>
      <x:c r="E51" s="39" t="str">
        <x:v>Internal arithmetic or constitutional reconciliation</x:v>
      </x:c>
      <x:c r="F51" s="39"/>
      <x:c r="G51" s="39"/>
      <x:c r="H51" s="39"/>
      <x:c r="I51" s="39"/>
      <x:c r="J51" s="39"/>
    </x:row>
    <x:row r="52">
      <x:c r="A52" s="39" t="str">
        <x:v>P-046</x:v>
      </x:c>
      <x:c r="B52" s="39" t="str">
        <x:v>Planning</x:v>
      </x:c>
      <x:c r="C52" s="39" t="str">
        <x:v>Production and replacement</x:v>
      </x:c>
      <x:c r="D52" s="39" t="str">
        <x:v>PASS</x:v>
      </x:c>
      <x:c r="E52" s="39" t="str">
        <x:v>Internal arithmetic or constitutional reconciliation</x:v>
      </x:c>
      <x:c r="F52" s="39"/>
      <x:c r="G52" s="39"/>
      <x:c r="H52" s="39"/>
      <x:c r="I52" s="39"/>
      <x:c r="J52" s="39"/>
    </x:row>
    <x:row r="53">
      <x:c r="A53" s="39" t="str">
        <x:v>P-047</x:v>
      </x:c>
      <x:c r="B53" s="39" t="str">
        <x:v>Planning</x:v>
      </x:c>
      <x:c r="C53" s="39" t="str">
        <x:v>Production and replacement</x:v>
      </x:c>
      <x:c r="D53" s="39" t="str">
        <x:v>PASS</x:v>
      </x:c>
      <x:c r="E53" s="39" t="str">
        <x:v>Internal arithmetic or constitutional reconciliation</x:v>
      </x:c>
      <x:c r="F53" s="39"/>
      <x:c r="G53" s="39"/>
      <x:c r="H53" s="39"/>
      <x:c r="I53" s="39"/>
      <x:c r="J53" s="39"/>
    </x:row>
    <x:row r="54">
      <x:c r="A54" s="39" t="str">
        <x:v>P-048</x:v>
      </x:c>
      <x:c r="B54" s="39" t="str">
        <x:v>Planning</x:v>
      </x:c>
      <x:c r="C54" s="39" t="str">
        <x:v>Production and replacement</x:v>
      </x:c>
      <x:c r="D54" s="39" t="str">
        <x:v>PASS</x:v>
      </x:c>
      <x:c r="E54" s="39" t="str">
        <x:v>Internal arithmetic or constitutional reconciliation</x:v>
      </x:c>
      <x:c r="F54" s="39"/>
      <x:c r="G54" s="39"/>
      <x:c r="H54" s="39"/>
      <x:c r="I54" s="39"/>
      <x:c r="J54" s="39"/>
    </x:row>
    <x:row r="55">
      <x:c r="A55" s="39" t="str">
        <x:v>P-049</x:v>
      </x:c>
      <x:c r="B55" s="39" t="str">
        <x:v>Planning</x:v>
      </x:c>
      <x:c r="C55" s="39" t="str">
        <x:v>Personnel and training</x:v>
      </x:c>
      <x:c r="D55" s="39" t="str">
        <x:v>PASS</x:v>
      </x:c>
      <x:c r="E55" s="39" t="str">
        <x:v>Internal arithmetic or constitutional reconciliation</x:v>
      </x:c>
      <x:c r="F55" s="39"/>
      <x:c r="G55" s="39"/>
      <x:c r="H55" s="39"/>
      <x:c r="I55" s="39"/>
      <x:c r="J55" s="39"/>
    </x:row>
    <x:row r="56">
      <x:c r="A56" s="39" t="str">
        <x:v>P-050</x:v>
      </x:c>
      <x:c r="B56" s="39" t="str">
        <x:v>Planning</x:v>
      </x:c>
      <x:c r="C56" s="39" t="str">
        <x:v>Personnel and training</x:v>
      </x:c>
      <x:c r="D56" s="39" t="str">
        <x:v>PASS</x:v>
      </x:c>
      <x:c r="E56" s="39" t="str">
        <x:v>Internal arithmetic or constitutional reconciliation</x:v>
      </x:c>
      <x:c r="F56" s="39"/>
      <x:c r="G56" s="39"/>
      <x:c r="H56" s="39"/>
      <x:c r="I56" s="39"/>
      <x:c r="J56" s="39"/>
    </x:row>
    <x:row r="57">
      <x:c r="A57" s="39" t="str">
        <x:v>P-051</x:v>
      </x:c>
      <x:c r="B57" s="39" t="str">
        <x:v>Planning</x:v>
      </x:c>
      <x:c r="C57" s="39" t="str">
        <x:v>Personnel and training</x:v>
      </x:c>
      <x:c r="D57" s="39" t="str">
        <x:v>PASS</x:v>
      </x:c>
      <x:c r="E57" s="39" t="str">
        <x:v>Internal arithmetic or constitutional reconciliation</x:v>
      </x:c>
      <x:c r="F57" s="39"/>
      <x:c r="G57" s="39"/>
      <x:c r="H57" s="39"/>
      <x:c r="I57" s="39"/>
      <x:c r="J57" s="39"/>
    </x:row>
    <x:row r="58">
      <x:c r="A58" s="39" t="str">
        <x:v>P-052</x:v>
      </x:c>
      <x:c r="B58" s="39" t="str">
        <x:v>Planning</x:v>
      </x:c>
      <x:c r="C58" s="39" t="str">
        <x:v>Personnel and training</x:v>
      </x:c>
      <x:c r="D58" s="39" t="str">
        <x:v>PASS</x:v>
      </x:c>
      <x:c r="E58" s="39" t="str">
        <x:v>Internal arithmetic or constitutional reconciliation</x:v>
      </x:c>
      <x:c r="F58" s="39"/>
      <x:c r="G58" s="39"/>
      <x:c r="H58" s="39"/>
      <x:c r="I58" s="39"/>
      <x:c r="J58" s="39"/>
    </x:row>
    <x:row r="59">
      <x:c r="A59" s="39" t="str">
        <x:v>P-053</x:v>
      </x:c>
      <x:c r="B59" s="39" t="str">
        <x:v>Planning</x:v>
      </x:c>
      <x:c r="C59" s="39" t="str">
        <x:v>Personnel and training</x:v>
      </x:c>
      <x:c r="D59" s="39" t="str">
        <x:v>PASS</x:v>
      </x:c>
      <x:c r="E59" s="39" t="str">
        <x:v>Internal arithmetic or constitutional reconciliation</x:v>
      </x:c>
      <x:c r="F59" s="39"/>
      <x:c r="G59" s="39"/>
      <x:c r="H59" s="39"/>
      <x:c r="I59" s="39"/>
      <x:c r="J59" s="39"/>
    </x:row>
    <x:row r="60">
      <x:c r="A60" s="39" t="str">
        <x:v>P-054</x:v>
      </x:c>
      <x:c r="B60" s="39" t="str">
        <x:v>Planning</x:v>
      </x:c>
      <x:c r="C60" s="39" t="str">
        <x:v>Personnel and training</x:v>
      </x:c>
      <x:c r="D60" s="39" t="str">
        <x:v>PASS</x:v>
      </x:c>
      <x:c r="E60" s="39" t="str">
        <x:v>Internal arithmetic or constitutional reconciliation</x:v>
      </x:c>
      <x:c r="F60" s="39"/>
      <x:c r="G60" s="39"/>
      <x:c r="H60" s="39"/>
      <x:c r="I60" s="39"/>
      <x:c r="J60" s="39"/>
    </x:row>
    <x:row r="61">
      <x:c r="A61" s="39" t="str">
        <x:v>P-055</x:v>
      </x:c>
      <x:c r="B61" s="39" t="str">
        <x:v>Planning</x:v>
      </x:c>
      <x:c r="C61" s="39" t="str">
        <x:v>Personnel and training</x:v>
      </x:c>
      <x:c r="D61" s="39" t="str">
        <x:v>PASS</x:v>
      </x:c>
      <x:c r="E61" s="39" t="str">
        <x:v>Internal arithmetic or constitutional reconciliation</x:v>
      </x:c>
      <x:c r="F61" s="39"/>
      <x:c r="G61" s="39"/>
      <x:c r="H61" s="39"/>
      <x:c r="I61" s="39"/>
      <x:c r="J61" s="39"/>
    </x:row>
    <x:row r="62">
      <x:c r="A62" s="39" t="str">
        <x:v>P-056</x:v>
      </x:c>
      <x:c r="B62" s="39" t="str">
        <x:v>Planning</x:v>
      </x:c>
      <x:c r="C62" s="39" t="str">
        <x:v>Personnel and training</x:v>
      </x:c>
      <x:c r="D62" s="39" t="str">
        <x:v>PASS</x:v>
      </x:c>
      <x:c r="E62" s="39" t="str">
        <x:v>Internal arithmetic or constitutional reconciliation</x:v>
      </x:c>
      <x:c r="F62" s="39"/>
      <x:c r="G62" s="39"/>
      <x:c r="H62" s="39"/>
      <x:c r="I62" s="39"/>
      <x:c r="J62" s="39"/>
    </x:row>
    <x:row r="63">
      <x:c r="A63" s="39" t="str">
        <x:v>P-057</x:v>
      </x:c>
      <x:c r="B63" s="39" t="str">
        <x:v>Planning</x:v>
      </x:c>
      <x:c r="C63" s="39" t="str">
        <x:v>Finance and lifecycle</x:v>
      </x:c>
      <x:c r="D63" s="39" t="str">
        <x:v>PASS</x:v>
      </x:c>
      <x:c r="E63" s="39" t="str">
        <x:v>Internal arithmetic or constitutional reconciliation</x:v>
      </x:c>
      <x:c r="F63" s="39"/>
      <x:c r="G63" s="39"/>
      <x:c r="H63" s="39"/>
      <x:c r="I63" s="39"/>
      <x:c r="J63" s="39"/>
    </x:row>
    <x:row r="64">
      <x:c r="A64" s="39" t="str">
        <x:v>P-058</x:v>
      </x:c>
      <x:c r="B64" s="39" t="str">
        <x:v>Planning</x:v>
      </x:c>
      <x:c r="C64" s="39" t="str">
        <x:v>Finance and lifecycle</x:v>
      </x:c>
      <x:c r="D64" s="39" t="str">
        <x:v>PASS</x:v>
      </x:c>
      <x:c r="E64" s="39" t="str">
        <x:v>Internal arithmetic or constitutional reconciliation</x:v>
      </x:c>
      <x:c r="F64" s="39"/>
      <x:c r="G64" s="39"/>
      <x:c r="H64" s="39"/>
      <x:c r="I64" s="39"/>
      <x:c r="J64" s="39"/>
    </x:row>
    <x:row r="65">
      <x:c r="A65" s="39" t="str">
        <x:v>P-059</x:v>
      </x:c>
      <x:c r="B65" s="39" t="str">
        <x:v>Planning</x:v>
      </x:c>
      <x:c r="C65" s="39" t="str">
        <x:v>Finance and lifecycle</x:v>
      </x:c>
      <x:c r="D65" s="39" t="str">
        <x:v>PASS</x:v>
      </x:c>
      <x:c r="E65" s="39" t="str">
        <x:v>Internal arithmetic or constitutional reconciliation</x:v>
      </x:c>
      <x:c r="F65" s="39"/>
      <x:c r="G65" s="39"/>
      <x:c r="H65" s="39"/>
      <x:c r="I65" s="39"/>
      <x:c r="J65" s="39"/>
    </x:row>
    <x:row r="66">
      <x:c r="A66" s="39" t="str">
        <x:v>P-060</x:v>
      </x:c>
      <x:c r="B66" s="39" t="str">
        <x:v>Planning</x:v>
      </x:c>
      <x:c r="C66" s="39" t="str">
        <x:v>Finance and lifecycle</x:v>
      </x:c>
      <x:c r="D66" s="39" t="str">
        <x:v>PASS</x:v>
      </x:c>
      <x:c r="E66" s="39" t="str">
        <x:v>Internal arithmetic or constitutional reconciliation</x:v>
      </x:c>
      <x:c r="F66" s="39"/>
      <x:c r="G66" s="39"/>
      <x:c r="H66" s="39"/>
      <x:c r="I66" s="39"/>
      <x:c r="J66" s="39"/>
    </x:row>
    <x:row r="67">
      <x:c r="A67" s="39" t="str">
        <x:v>P-061</x:v>
      </x:c>
      <x:c r="B67" s="39" t="str">
        <x:v>Planning</x:v>
      </x:c>
      <x:c r="C67" s="39" t="str">
        <x:v>Finance and lifecycle</x:v>
      </x:c>
      <x:c r="D67" s="39" t="str">
        <x:v>PASS</x:v>
      </x:c>
      <x:c r="E67" s="39" t="str">
        <x:v>Internal arithmetic or constitutional reconciliation</x:v>
      </x:c>
      <x:c r="F67" s="39"/>
      <x:c r="G67" s="39"/>
      <x:c r="H67" s="39"/>
      <x:c r="I67" s="39"/>
      <x:c r="J67" s="39"/>
    </x:row>
    <x:row r="68">
      <x:c r="A68" s="39" t="str">
        <x:v>P-062</x:v>
      </x:c>
      <x:c r="B68" s="39" t="str">
        <x:v>Planning</x:v>
      </x:c>
      <x:c r="C68" s="39" t="str">
        <x:v>Finance and lifecycle</x:v>
      </x:c>
      <x:c r="D68" s="39" t="str">
        <x:v>PASS</x:v>
      </x:c>
      <x:c r="E68" s="39" t="str">
        <x:v>Internal arithmetic or constitutional reconciliation</x:v>
      </x:c>
      <x:c r="F68" s="39"/>
      <x:c r="G68" s="39"/>
      <x:c r="H68" s="39"/>
      <x:c r="I68" s="39"/>
      <x:c r="J68" s="39"/>
    </x:row>
    <x:row r="69">
      <x:c r="A69" s="39" t="str">
        <x:v>P-063</x:v>
      </x:c>
      <x:c r="B69" s="39" t="str">
        <x:v>Planning</x:v>
      </x:c>
      <x:c r="C69" s="39" t="str">
        <x:v>Finance and lifecycle</x:v>
      </x:c>
      <x:c r="D69" s="39" t="str">
        <x:v>PASS</x:v>
      </x:c>
      <x:c r="E69" s="39" t="str">
        <x:v>Internal arithmetic or constitutional reconciliation</x:v>
      </x:c>
      <x:c r="F69" s="39"/>
      <x:c r="G69" s="39"/>
      <x:c r="H69" s="39"/>
      <x:c r="I69" s="39"/>
      <x:c r="J69" s="39"/>
    </x:row>
    <x:row r="70">
      <x:c r="A70" s="39" t="str">
        <x:v>P-064</x:v>
      </x:c>
      <x:c r="B70" s="39" t="str">
        <x:v>Planning</x:v>
      </x:c>
      <x:c r="C70" s="39" t="str">
        <x:v>Finance and lifecycle</x:v>
      </x:c>
      <x:c r="D70" s="39" t="str">
        <x:v>PASS</x:v>
      </x:c>
      <x:c r="E70" s="39" t="str">
        <x:v>Internal arithmetic or constitutional reconciliation</x:v>
      </x:c>
      <x:c r="F70" s="39"/>
      <x:c r="G70" s="39"/>
      <x:c r="H70" s="39"/>
      <x:c r="I70" s="39"/>
      <x:c r="J70" s="39"/>
    </x:row>
    <x:row r="71">
      <x:c r="A71" s="39" t="str">
        <x:v>P-065</x:v>
      </x:c>
      <x:c r="B71" s="39" t="str">
        <x:v>Planning</x:v>
      </x:c>
      <x:c r="C71" s="39" t="str">
        <x:v>Finance and lifecycle</x:v>
      </x:c>
      <x:c r="D71" s="39" t="str">
        <x:v>PASS</x:v>
      </x:c>
      <x:c r="E71" s="39" t="str">
        <x:v>Internal arithmetic or constitutional reconciliation</x:v>
      </x:c>
      <x:c r="F71" s="39"/>
      <x:c r="G71" s="39"/>
      <x:c r="H71" s="39"/>
      <x:c r="I71" s="39"/>
      <x:c r="J71" s="39"/>
    </x:row>
    <x:row r="72">
      <x:c r="A72" s="39" t="str">
        <x:v>P-066</x:v>
      </x:c>
      <x:c r="B72" s="39" t="str">
        <x:v>Planning</x:v>
      </x:c>
      <x:c r="C72" s="39" t="str">
        <x:v>Finance and lifecycle</x:v>
      </x:c>
      <x:c r="D72" s="39" t="str">
        <x:v>PASS</x:v>
      </x:c>
      <x:c r="E72" s="39" t="str">
        <x:v>Internal arithmetic or constitutional reconciliation</x:v>
      </x:c>
      <x:c r="F72" s="39"/>
      <x:c r="G72" s="39"/>
      <x:c r="H72" s="39"/>
      <x:c r="I72" s="39"/>
      <x:c r="J72" s="39"/>
    </x:row>
    <x:row r="73">
      <x:c r="A73" s="39" t="str">
        <x:v>P-067</x:v>
      </x:c>
      <x:c r="B73" s="39" t="str">
        <x:v>Planning</x:v>
      </x:c>
      <x:c r="C73" s="39" t="str">
        <x:v>Authority and release</x:v>
      </x:c>
      <x:c r="D73" s="39" t="str">
        <x:v>PASS</x:v>
      </x:c>
      <x:c r="E73" s="39" t="str">
        <x:v>Internal arithmetic or constitutional reconciliation</x:v>
      </x:c>
      <x:c r="F73" s="39"/>
      <x:c r="G73" s="39"/>
      <x:c r="H73" s="39"/>
      <x:c r="I73" s="39"/>
      <x:c r="J73" s="39"/>
    </x:row>
    <x:row r="74">
      <x:c r="A74" s="39" t="str">
        <x:v>P-068</x:v>
      </x:c>
      <x:c r="B74" s="39" t="str">
        <x:v>Planning</x:v>
      </x:c>
      <x:c r="C74" s="39" t="str">
        <x:v>Authority and release</x:v>
      </x:c>
      <x:c r="D74" s="39" t="str">
        <x:v>PASS</x:v>
      </x:c>
      <x:c r="E74" s="39" t="str">
        <x:v>Internal arithmetic or constitutional reconciliation</x:v>
      </x:c>
      <x:c r="F74" s="39"/>
      <x:c r="G74" s="39"/>
      <x:c r="H74" s="39"/>
      <x:c r="I74" s="39"/>
      <x:c r="J74" s="39"/>
    </x:row>
    <x:row r="75">
      <x:c r="A75" s="39" t="str">
        <x:v>P-069</x:v>
      </x:c>
      <x:c r="B75" s="39" t="str">
        <x:v>Planning</x:v>
      </x:c>
      <x:c r="C75" s="39" t="str">
        <x:v>Authority and release</x:v>
      </x:c>
      <x:c r="D75" s="39" t="str">
        <x:v>PASS</x:v>
      </x:c>
      <x:c r="E75" s="39" t="str">
        <x:v>Internal arithmetic or constitutional reconciliation</x:v>
      </x:c>
      <x:c r="F75" s="39"/>
      <x:c r="G75" s="39"/>
      <x:c r="H75" s="39"/>
      <x:c r="I75" s="39"/>
      <x:c r="J75" s="39"/>
    </x:row>
    <x:row r="76">
      <x:c r="A76" s="39" t="str">
        <x:v>P-070</x:v>
      </x:c>
      <x:c r="B76" s="39" t="str">
        <x:v>Planning</x:v>
      </x:c>
      <x:c r="C76" s="39" t="str">
        <x:v>Authority and release</x:v>
      </x:c>
      <x:c r="D76" s="39" t="str">
        <x:v>PASS</x:v>
      </x:c>
      <x:c r="E76" s="39" t="str">
        <x:v>Internal arithmetic or constitutional reconciliation</x:v>
      </x:c>
      <x:c r="F76" s="39"/>
      <x:c r="G76" s="39"/>
      <x:c r="H76" s="39"/>
      <x:c r="I76" s="39"/>
      <x:c r="J76" s="39"/>
    </x:row>
    <x:row r="77">
      <x:c r="A77" s="39" t="str">
        <x:v>P-071</x:v>
      </x:c>
      <x:c r="B77" s="39" t="str">
        <x:v>Planning</x:v>
      </x:c>
      <x:c r="C77" s="39" t="str">
        <x:v>Authority and release</x:v>
      </x:c>
      <x:c r="D77" s="39" t="str">
        <x:v>PASS</x:v>
      </x:c>
      <x:c r="E77" s="39" t="str">
        <x:v>Internal arithmetic or constitutional reconciliation</x:v>
      </x:c>
      <x:c r="F77" s="39"/>
      <x:c r="G77" s="39"/>
      <x:c r="H77" s="39"/>
      <x:c r="I77" s="39"/>
      <x:c r="J77" s="39"/>
    </x:row>
    <x:row r="78">
      <x:c r="A78" s="39" t="str">
        <x:v>P-072</x:v>
      </x:c>
      <x:c r="B78" s="39" t="str">
        <x:v>Planning</x:v>
      </x:c>
      <x:c r="C78" s="39" t="str">
        <x:v>Authority and release</x:v>
      </x:c>
      <x:c r="D78" s="39" t="str">
        <x:v>PASS</x:v>
      </x:c>
      <x:c r="E78" s="39" t="str">
        <x:v>Internal arithmetic or constitutional reconciliation</x:v>
      </x:c>
      <x:c r="F78" s="39"/>
      <x:c r="G78" s="39"/>
      <x:c r="H78" s="39"/>
      <x:c r="I78" s="39"/>
      <x:c r="J78" s="39"/>
    </x:row>
    <x:row r="79">
      <x:c r="A79" s="39" t="str">
        <x:v>PH-001</x:v>
      </x:c>
      <x:c r="B79" s="39" t="str">
        <x:v>Physical</x:v>
      </x:c>
      <x:c r="C79" s="39" t="str">
        <x:v>Predecessor campaign</x:v>
      </x:c>
      <x:c r="D79" s="39" t="str">
        <x:v>OPEN</x:v>
      </x:c>
      <x:c r="E79" s="39" t="str">
        <x:v>Requires observed work or accepted physical evidence</x:v>
      </x:c>
      <x:c r="F79" s="39"/>
      <x:c r="G79" s="39"/>
      <x:c r="H79" s="39"/>
      <x:c r="I79" s="39"/>
      <x:c r="J79" s="39"/>
    </x:row>
    <x:row r="80">
      <x:c r="A80" s="39" t="str">
        <x:v>PH-002</x:v>
      </x:c>
      <x:c r="B80" s="39" t="str">
        <x:v>Physical</x:v>
      </x:c>
      <x:c r="C80" s="39" t="str">
        <x:v>Root independence</x:v>
      </x:c>
      <x:c r="D80" s="39" t="str">
        <x:v>OPEN</x:v>
      </x:c>
      <x:c r="E80" s="39" t="str">
        <x:v>Requires observed work or accepted physical evidence</x:v>
      </x:c>
      <x:c r="F80" s="39"/>
      <x:c r="G80" s="39"/>
      <x:c r="H80" s="39"/>
      <x:c r="I80" s="39"/>
      <x:c r="J80" s="39"/>
    </x:row>
    <x:row r="81">
      <x:c r="A81" s="39" t="str">
        <x:v>PH-003</x:v>
      </x:c>
      <x:c r="B81" s="39" t="str">
        <x:v>Physical</x:v>
      </x:c>
      <x:c r="C81" s="39" t="str">
        <x:v>Serial production</x:v>
      </x:c>
      <x:c r="D81" s="39" t="str">
        <x:v>OPEN</x:v>
      </x:c>
      <x:c r="E81" s="39" t="str">
        <x:v>Requires observed work or accepted physical evidence</x:v>
      </x:c>
      <x:c r="F81" s="39"/>
      <x:c r="G81" s="39"/>
      <x:c r="H81" s="39"/>
      <x:c r="I81" s="39"/>
      <x:c r="J81" s="39"/>
    </x:row>
    <x:row r="82">
      <x:c r="A82" s="39" t="str">
        <x:v>PH-004</x:v>
      </x:c>
      <x:c r="B82" s="39" t="str">
        <x:v>Physical</x:v>
      </x:c>
      <x:c r="C82" s="39" t="str">
        <x:v>Maintenance</x:v>
      </x:c>
      <x:c r="D82" s="39" t="str">
        <x:v>OPEN</x:v>
      </x:c>
      <x:c r="E82" s="39" t="str">
        <x:v>Requires observed work or accepted physical evidence</x:v>
      </x:c>
      <x:c r="F82" s="39"/>
      <x:c r="G82" s="39"/>
      <x:c r="H82" s="39"/>
      <x:c r="I82" s="39"/>
      <x:c r="J82" s="39"/>
    </x:row>
    <x:row r="83">
      <x:c r="A83" s="39" t="str">
        <x:v>PH-005</x:v>
      </x:c>
      <x:c r="B83" s="39" t="str">
        <x:v>Physical</x:v>
      </x:c>
      <x:c r="C83" s="39" t="str">
        <x:v>Transport</x:v>
      </x:c>
      <x:c r="D83" s="39" t="str">
        <x:v>OPEN</x:v>
      </x:c>
      <x:c r="E83" s="39" t="str">
        <x:v>Requires observed work or accepted physical evidence</x:v>
      </x:c>
      <x:c r="F83" s="39"/>
      <x:c r="G83" s="39"/>
      <x:c r="H83" s="39"/>
      <x:c r="I83" s="39"/>
      <x:c r="J83" s="39"/>
    </x:row>
    <x:row r="84">
      <x:c r="A84" s="39" t="str">
        <x:v>PH-006</x:v>
      </x:c>
      <x:c r="B84" s="39" t="str">
        <x:v>Physical</x:v>
      </x:c>
      <x:c r="C84" s="39" t="str">
        <x:v>Arsenal cycle</x:v>
      </x:c>
      <x:c r="D84" s="39" t="str">
        <x:v>OPEN</x:v>
      </x:c>
      <x:c r="E84" s="39" t="str">
        <x:v>Requires observed work or accepted physical evidence</x:v>
      </x:c>
      <x:c r="F84" s="39"/>
      <x:c r="G84" s="39"/>
      <x:c r="H84" s="39"/>
      <x:c r="I84" s="39"/>
      <x:c r="J84" s="39"/>
    </x:row>
    <x:row r="85">
      <x:c r="A85" s="39" t="str">
        <x:v>PH-007</x:v>
      </x:c>
      <x:c r="B85" s="39" t="str">
        <x:v>Physical</x:v>
      </x:c>
      <x:c r="C85" s="39" t="str">
        <x:v>Geographic access</x:v>
      </x:c>
      <x:c r="D85" s="39" t="str">
        <x:v>OPEN</x:v>
      </x:c>
      <x:c r="E85" s="39" t="str">
        <x:v>Requires observed work or accepted physical evidence</x:v>
      </x:c>
      <x:c r="F85" s="39"/>
      <x:c r="G85" s="39"/>
      <x:c r="H85" s="39"/>
      <x:c r="I85" s="39"/>
      <x:c r="J85" s="39"/>
    </x:row>
    <x:row r="86">
      <x:c r="A86" s="39" t="str">
        <x:v>PH-008</x:v>
      </x:c>
      <x:c r="B86" s="39" t="str">
        <x:v>Physical</x:v>
      </x:c>
      <x:c r="C86" s="39" t="str">
        <x:v>Predecessor campaign</x:v>
      </x:c>
      <x:c r="D86" s="39" t="str">
        <x:v>OPEN</x:v>
      </x:c>
      <x:c r="E86" s="39" t="str">
        <x:v>Requires observed work or accepted physical evidence</x:v>
      </x:c>
      <x:c r="F86" s="39"/>
      <x:c r="G86" s="39"/>
      <x:c r="H86" s="39"/>
      <x:c r="I86" s="39"/>
      <x:c r="J86" s="39"/>
    </x:row>
    <x:row r="87">
      <x:c r="A87" s="39" t="str">
        <x:v>PH-009</x:v>
      </x:c>
      <x:c r="B87" s="39" t="str">
        <x:v>Physical</x:v>
      </x:c>
      <x:c r="C87" s="39" t="str">
        <x:v>Root independence</x:v>
      </x:c>
      <x:c r="D87" s="39" t="str">
        <x:v>OPEN</x:v>
      </x:c>
      <x:c r="E87" s="39" t="str">
        <x:v>Requires observed work or accepted physical evidence</x:v>
      </x:c>
      <x:c r="F87" s="39"/>
      <x:c r="G87" s="39"/>
      <x:c r="H87" s="39"/>
      <x:c r="I87" s="39"/>
      <x:c r="J87" s="39"/>
    </x:row>
    <x:row r="88">
      <x:c r="A88" s="39" t="str">
        <x:v>PH-010</x:v>
      </x:c>
      <x:c r="B88" s="39" t="str">
        <x:v>Physical</x:v>
      </x:c>
      <x:c r="C88" s="39" t="str">
        <x:v>Serial production</x:v>
      </x:c>
      <x:c r="D88" s="39" t="str">
        <x:v>OPEN</x:v>
      </x:c>
      <x:c r="E88" s="39" t="str">
        <x:v>Requires observed work or accepted physical evidence</x:v>
      </x:c>
      <x:c r="F88" s="39"/>
      <x:c r="G88" s="39"/>
      <x:c r="H88" s="39"/>
      <x:c r="I88" s="39"/>
      <x:c r="J88" s="39"/>
    </x:row>
    <x:row r="89">
      <x:c r="A89" s="39" t="str">
        <x:v>PH-011</x:v>
      </x:c>
      <x:c r="B89" s="39" t="str">
        <x:v>Physical</x:v>
      </x:c>
      <x:c r="C89" s="39" t="str">
        <x:v>Maintenance</x:v>
      </x:c>
      <x:c r="D89" s="39" t="str">
        <x:v>OPEN</x:v>
      </x:c>
      <x:c r="E89" s="39" t="str">
        <x:v>Requires observed work or accepted physical evidence</x:v>
      </x:c>
      <x:c r="F89" s="39"/>
      <x:c r="G89" s="39"/>
      <x:c r="H89" s="39"/>
      <x:c r="I89" s="39"/>
      <x:c r="J89" s="39"/>
    </x:row>
    <x:row r="90">
      <x:c r="A90" s="39" t="str">
        <x:v>PH-012</x:v>
      </x:c>
      <x:c r="B90" s="39" t="str">
        <x:v>Physical</x:v>
      </x:c>
      <x:c r="C90" s="39" t="str">
        <x:v>Transport</x:v>
      </x:c>
      <x:c r="D90" s="39" t="str">
        <x:v>OPEN</x:v>
      </x:c>
      <x:c r="E90" s="39" t="str">
        <x:v>Requires observed work or accepted physical evidence</x:v>
      </x:c>
      <x:c r="F90" s="39"/>
      <x:c r="G90" s="39"/>
      <x:c r="H90" s="39"/>
      <x:c r="I90" s="39"/>
      <x:c r="J90" s="39"/>
    </x:row>
    <x:row r="91">
      <x:c r="A91" s="39" t="str">
        <x:v>PH-013</x:v>
      </x:c>
      <x:c r="B91" s="39" t="str">
        <x:v>Physical</x:v>
      </x:c>
      <x:c r="C91" s="39" t="str">
        <x:v>Arsenal cycle</x:v>
      </x:c>
      <x:c r="D91" s="39" t="str">
        <x:v>OPEN</x:v>
      </x:c>
      <x:c r="E91" s="39" t="str">
        <x:v>Requires observed work or accepted physical evidence</x:v>
      </x:c>
      <x:c r="F91" s="39"/>
      <x:c r="G91" s="39"/>
      <x:c r="H91" s="39"/>
      <x:c r="I91" s="39"/>
      <x:c r="J91" s="39"/>
    </x:row>
    <x:row r="92">
      <x:c r="A92" s="39" t="str">
        <x:v>PH-014</x:v>
      </x:c>
      <x:c r="B92" s="39" t="str">
        <x:v>Physical</x:v>
      </x:c>
      <x:c r="C92" s="39" t="str">
        <x:v>Geographic access</x:v>
      </x:c>
      <x:c r="D92" s="39" t="str">
        <x:v>OPEN</x:v>
      </x:c>
      <x:c r="E92" s="39" t="str">
        <x:v>Requires observed work or accepted physical evidence</x:v>
      </x:c>
      <x:c r="F92" s="39"/>
      <x:c r="G92" s="39"/>
      <x:c r="H92" s="39"/>
      <x:c r="I92" s="39"/>
      <x:c r="J92" s="39"/>
    </x:row>
    <x:row r="93">
      <x:c r="A93" s="39" t="str">
        <x:v>PH-015</x:v>
      </x:c>
      <x:c r="B93" s="39" t="str">
        <x:v>Physical</x:v>
      </x:c>
      <x:c r="C93" s="39" t="str">
        <x:v>Predecessor campaign</x:v>
      </x:c>
      <x:c r="D93" s="39" t="str">
        <x:v>OPEN</x:v>
      </x:c>
      <x:c r="E93" s="39" t="str">
        <x:v>Requires observed work or accepted physical evidence</x:v>
      </x:c>
      <x:c r="F93" s="39"/>
      <x:c r="G93" s="39"/>
      <x:c r="H93" s="39"/>
      <x:c r="I93" s="39"/>
      <x:c r="J93" s="39"/>
    </x:row>
    <x:row r="94">
      <x:c r="A94" s="39" t="str">
        <x:v>PH-016</x:v>
      </x:c>
      <x:c r="B94" s="39" t="str">
        <x:v>Physical</x:v>
      </x:c>
      <x:c r="C94" s="39" t="str">
        <x:v>Root independence</x:v>
      </x:c>
      <x:c r="D94" s="39" t="str">
        <x:v>OPEN</x:v>
      </x:c>
      <x:c r="E94" s="39" t="str">
        <x:v>Requires observed work or accepted physical evidence</x:v>
      </x:c>
      <x:c r="F94" s="39"/>
      <x:c r="G94" s="39"/>
      <x:c r="H94" s="39"/>
      <x:c r="I94" s="39"/>
      <x:c r="J94" s="39"/>
    </x:row>
    <x:row r="95">
      <x:c r="A95" s="39" t="str">
        <x:v>PH-017</x:v>
      </x:c>
      <x:c r="B95" s="39" t="str">
        <x:v>Physical</x:v>
      </x:c>
      <x:c r="C95" s="39" t="str">
        <x:v>Serial production</x:v>
      </x:c>
      <x:c r="D95" s="39" t="str">
        <x:v>OPEN</x:v>
      </x:c>
      <x:c r="E95" s="39" t="str">
        <x:v>Requires observed work or accepted physical evidence</x:v>
      </x:c>
      <x:c r="F95" s="39"/>
      <x:c r="G95" s="39"/>
      <x:c r="H95" s="39"/>
      <x:c r="I95" s="39"/>
      <x:c r="J95" s="39"/>
    </x:row>
    <x:row r="96">
      <x:c r="A96" s="39" t="str">
        <x:v>PH-018</x:v>
      </x:c>
      <x:c r="B96" s="39" t="str">
        <x:v>Physical</x:v>
      </x:c>
      <x:c r="C96" s="39" t="str">
        <x:v>Maintenance</x:v>
      </x:c>
      <x:c r="D96" s="39" t="str">
        <x:v>OPEN</x:v>
      </x:c>
      <x:c r="E96" s="39" t="str">
        <x:v>Requires observed work or accepted physical evidence</x:v>
      </x:c>
      <x:c r="F96" s="39"/>
      <x:c r="G96" s="39"/>
      <x:c r="H96" s="39"/>
      <x:c r="I96" s="39"/>
      <x:c r="J96" s="39"/>
    </x:row>
    <x:row r="97">
      <x:c r="A97" s="39" t="str">
        <x:v>PH-019</x:v>
      </x:c>
      <x:c r="B97" s="39" t="str">
        <x:v>Physical</x:v>
      </x:c>
      <x:c r="C97" s="39" t="str">
        <x:v>Transport</x:v>
      </x:c>
      <x:c r="D97" s="39" t="str">
        <x:v>OPEN</x:v>
      </x:c>
      <x:c r="E97" s="39" t="str">
        <x:v>Requires observed work or accepted physical evidence</x:v>
      </x:c>
      <x:c r="F97" s="39"/>
      <x:c r="G97" s="39"/>
      <x:c r="H97" s="39"/>
      <x:c r="I97" s="39"/>
      <x:c r="J97" s="39"/>
    </x:row>
    <x:row r="98">
      <x:c r="A98" s="39" t="str">
        <x:v>PH-020</x:v>
      </x:c>
      <x:c r="B98" s="39" t="str">
        <x:v>Physical</x:v>
      </x:c>
      <x:c r="C98" s="39" t="str">
        <x:v>Arsenal cycle</x:v>
      </x:c>
      <x:c r="D98" s="39" t="str">
        <x:v>OPEN</x:v>
      </x:c>
      <x:c r="E98" s="39" t="str">
        <x:v>Requires observed work or accepted physical evidence</x:v>
      </x:c>
      <x:c r="F98" s="39"/>
      <x:c r="G98" s="39"/>
      <x:c r="H98" s="39"/>
      <x:c r="I98" s="39"/>
      <x:c r="J98" s="39"/>
    </x:row>
    <x:row r="99">
      <x:c r="A99" s="39" t="str">
        <x:v>PH-021</x:v>
      </x:c>
      <x:c r="B99" s="39" t="str">
        <x:v>Physical</x:v>
      </x:c>
      <x:c r="C99" s="39" t="str">
        <x:v>Geographic access</x:v>
      </x:c>
      <x:c r="D99" s="39" t="str">
        <x:v>OPEN</x:v>
      </x:c>
      <x:c r="E99" s="39" t="str">
        <x:v>Requires observed work or accepted physical evidence</x:v>
      </x:c>
      <x:c r="F99" s="39"/>
      <x:c r="G99" s="39"/>
      <x:c r="H99" s="39"/>
      <x:c r="I99" s="39"/>
      <x:c r="J99" s="39"/>
    </x:row>
    <x:row r="100">
      <x:c r="A100" s="39" t="str">
        <x:v>PH-022</x:v>
      </x:c>
      <x:c r="B100" s="39" t="str">
        <x:v>Physical</x:v>
      </x:c>
      <x:c r="C100" s="39" t="str">
        <x:v>Predecessor campaign</x:v>
      </x:c>
      <x:c r="D100" s="39" t="str">
        <x:v>OPEN</x:v>
      </x:c>
      <x:c r="E100" s="39" t="str">
        <x:v>Requires observed work or accepted physical evidence</x:v>
      </x:c>
      <x:c r="F100" s="39"/>
      <x:c r="G100" s="39"/>
      <x:c r="H100" s="39"/>
      <x:c r="I100" s="39"/>
      <x:c r="J100" s="39"/>
    </x:row>
    <x:row r="101">
      <x:c r="A101" s="39" t="str">
        <x:v>PH-023</x:v>
      </x:c>
      <x:c r="B101" s="39" t="str">
        <x:v>Physical</x:v>
      </x:c>
      <x:c r="C101" s="39" t="str">
        <x:v>Root independence</x:v>
      </x:c>
      <x:c r="D101" s="39" t="str">
        <x:v>OPEN</x:v>
      </x:c>
      <x:c r="E101" s="39" t="str">
        <x:v>Requires observed work or accepted physical evidence</x:v>
      </x:c>
      <x:c r="F101" s="39"/>
      <x:c r="G101" s="39"/>
      <x:c r="H101" s="39"/>
      <x:c r="I101" s="39"/>
      <x:c r="J101" s="39"/>
    </x:row>
    <x:row r="102">
      <x:c r="A102" s="39" t="str">
        <x:v>PH-024</x:v>
      </x:c>
      <x:c r="B102" s="39" t="str">
        <x:v>Physical</x:v>
      </x:c>
      <x:c r="C102" s="39" t="str">
        <x:v>Serial production</x:v>
      </x:c>
      <x:c r="D102" s="39" t="str">
        <x:v>OPEN</x:v>
      </x:c>
      <x:c r="E102" s="39" t="str">
        <x:v>Requires observed work or accepted physical evidence</x:v>
      </x:c>
      <x:c r="F102" s="39"/>
      <x:c r="G102" s="39"/>
      <x:c r="H102" s="39"/>
      <x:c r="I102" s="39"/>
      <x:c r="J102" s="39"/>
    </x:row>
    <x:row r="103">
      <x:c r="A103" s="39" t="str">
        <x:v>PH-025</x:v>
      </x:c>
      <x:c r="B103" s="39" t="str">
        <x:v>Physical</x:v>
      </x:c>
      <x:c r="C103" s="39" t="str">
        <x:v>Maintenance</x:v>
      </x:c>
      <x:c r="D103" s="39" t="str">
        <x:v>OPEN</x:v>
      </x:c>
      <x:c r="E103" s="39" t="str">
        <x:v>Requires observed work or accepted physical evidence</x:v>
      </x:c>
      <x:c r="F103" s="39"/>
      <x:c r="G103" s="39"/>
      <x:c r="H103" s="39"/>
      <x:c r="I103" s="39"/>
      <x:c r="J103" s="39"/>
    </x:row>
    <x:row r="104">
      <x:c r="A104" s="39" t="str">
        <x:v>PH-026</x:v>
      </x:c>
      <x:c r="B104" s="39" t="str">
        <x:v>Physical</x:v>
      </x:c>
      <x:c r="C104" s="39" t="str">
        <x:v>Transport</x:v>
      </x:c>
      <x:c r="D104" s="39" t="str">
        <x:v>OPEN</x:v>
      </x:c>
      <x:c r="E104" s="39" t="str">
        <x:v>Requires observed work or accepted physical evidence</x:v>
      </x:c>
      <x:c r="F104" s="39"/>
      <x:c r="G104" s="39"/>
      <x:c r="H104" s="39"/>
      <x:c r="I104" s="39"/>
      <x:c r="J104" s="39"/>
    </x:row>
    <x:row r="105">
      <x:c r="A105" s="39" t="str">
        <x:v>PH-027</x:v>
      </x:c>
      <x:c r="B105" s="39" t="str">
        <x:v>Physical</x:v>
      </x:c>
      <x:c r="C105" s="39" t="str">
        <x:v>Arsenal cycle</x:v>
      </x:c>
      <x:c r="D105" s="39" t="str">
        <x:v>OPEN</x:v>
      </x:c>
      <x:c r="E105" s="39" t="str">
        <x:v>Requires observed work or accepted physical evidence</x:v>
      </x:c>
      <x:c r="F105" s="39"/>
      <x:c r="G105" s="39"/>
      <x:c r="H105" s="39"/>
      <x:c r="I105" s="39"/>
      <x:c r="J105" s="39"/>
    </x:row>
    <x:row r="106">
      <x:c r="A106" s="39" t="str">
        <x:v>PH-028</x:v>
      </x:c>
      <x:c r="B106" s="39" t="str">
        <x:v>Physical</x:v>
      </x:c>
      <x:c r="C106" s="39" t="str">
        <x:v>Geographic access</x:v>
      </x:c>
      <x:c r="D106" s="39" t="str">
        <x:v>OPEN</x:v>
      </x:c>
      <x:c r="E106" s="39" t="str">
        <x:v>Requires observed work or accepted physical evidence</x:v>
      </x:c>
      <x:c r="F106" s="39"/>
      <x:c r="G106" s="39"/>
      <x:c r="H106" s="39"/>
      <x:c r="I106" s="39"/>
      <x:c r="J106" s="39"/>
    </x:row>
    <x:row r="107">
      <x:c r="A107" s="39" t="str">
        <x:v>PH-029</x:v>
      </x:c>
      <x:c r="B107" s="39" t="str">
        <x:v>Physical</x:v>
      </x:c>
      <x:c r="C107" s="39" t="str">
        <x:v>Predecessor campaign</x:v>
      </x:c>
      <x:c r="D107" s="39" t="str">
        <x:v>OPEN</x:v>
      </x:c>
      <x:c r="E107" s="39" t="str">
        <x:v>Requires observed work or accepted physical evidence</x:v>
      </x:c>
      <x:c r="F107" s="39"/>
      <x:c r="G107" s="39"/>
      <x:c r="H107" s="39"/>
      <x:c r="I107" s="39"/>
      <x:c r="J107" s="39"/>
    </x:row>
    <x:row r="108">
      <x:c r="A108" s="39" t="str">
        <x:v>PH-030</x:v>
      </x:c>
      <x:c r="B108" s="39" t="str">
        <x:v>Physical</x:v>
      </x:c>
      <x:c r="C108" s="39" t="str">
        <x:v>Root independence</x:v>
      </x:c>
      <x:c r="D108" s="39" t="str">
        <x:v>OPEN</x:v>
      </x:c>
      <x:c r="E108" s="39" t="str">
        <x:v>Requires observed work or accepted physical evidence</x:v>
      </x:c>
      <x:c r="F108" s="39"/>
      <x:c r="G108" s="39"/>
      <x:c r="H108" s="39"/>
      <x:c r="I108" s="39"/>
      <x:c r="J108" s="39"/>
    </x:row>
    <x:row r="109">
      <x:c r="A109" s="39" t="str">
        <x:v>PH-031</x:v>
      </x:c>
      <x:c r="B109" s="39" t="str">
        <x:v>Physical</x:v>
      </x:c>
      <x:c r="C109" s="39" t="str">
        <x:v>Serial production</x:v>
      </x:c>
      <x:c r="D109" s="39" t="str">
        <x:v>OPEN</x:v>
      </x:c>
      <x:c r="E109" s="39" t="str">
        <x:v>Requires observed work or accepted physical evidence</x:v>
      </x:c>
      <x:c r="F109" s="39"/>
      <x:c r="G109" s="39"/>
      <x:c r="H109" s="39"/>
      <x:c r="I109" s="39"/>
      <x:c r="J109" s="39"/>
    </x:row>
    <x:row r="110">
      <x:c r="A110" s="39" t="str">
        <x:v>PH-032</x:v>
      </x:c>
      <x:c r="B110" s="39" t="str">
        <x:v>Physical</x:v>
      </x:c>
      <x:c r="C110" s="39" t="str">
        <x:v>Maintenance</x:v>
      </x:c>
      <x:c r="D110" s="39" t="str">
        <x:v>OPEN</x:v>
      </x:c>
      <x:c r="E110" s="39" t="str">
        <x:v>Requires observed work or accepted physical evidence</x:v>
      </x:c>
      <x:c r="F110" s="39"/>
      <x:c r="G110" s="39"/>
      <x:c r="H110" s="39"/>
      <x:c r="I110" s="39"/>
      <x:c r="J110" s="39"/>
    </x:row>
    <x:row r="111">
      <x:c r="A111" s="39" t="str">
        <x:v>PH-033</x:v>
      </x:c>
      <x:c r="B111" s="39" t="str">
        <x:v>Physical</x:v>
      </x:c>
      <x:c r="C111" s="39" t="str">
        <x:v>Transport</x:v>
      </x:c>
      <x:c r="D111" s="39" t="str">
        <x:v>OPEN</x:v>
      </x:c>
      <x:c r="E111" s="39" t="str">
        <x:v>Requires observed work or accepted physical evidence</x:v>
      </x:c>
      <x:c r="F111" s="39"/>
      <x:c r="G111" s="39"/>
      <x:c r="H111" s="39"/>
      <x:c r="I111" s="39"/>
      <x:c r="J111" s="39"/>
    </x:row>
    <x:row r="112">
      <x:c r="A112" s="39" t="str">
        <x:v>PH-034</x:v>
      </x:c>
      <x:c r="B112" s="39" t="str">
        <x:v>Physical</x:v>
      </x:c>
      <x:c r="C112" s="39" t="str">
        <x:v>Arsenal cycle</x:v>
      </x:c>
      <x:c r="D112" s="39" t="str">
        <x:v>OPEN</x:v>
      </x:c>
      <x:c r="E112" s="39" t="str">
        <x:v>Requires observed work or accepted physical evidence</x:v>
      </x:c>
      <x:c r="F112" s="39"/>
      <x:c r="G112" s="39"/>
      <x:c r="H112" s="39"/>
      <x:c r="I112" s="39"/>
      <x:c r="J112" s="39"/>
    </x:row>
    <x:row r="113">
      <x:c r="A113" s="39" t="str">
        <x:v>PH-035</x:v>
      </x:c>
      <x:c r="B113" s="39" t="str">
        <x:v>Physical</x:v>
      </x:c>
      <x:c r="C113" s="39" t="str">
        <x:v>Geographic access</x:v>
      </x:c>
      <x:c r="D113" s="39" t="str">
        <x:v>OPEN</x:v>
      </x:c>
      <x:c r="E113" s="39" t="str">
        <x:v>Requires observed work or accepted physical evidence</x:v>
      </x:c>
      <x:c r="F113" s="39"/>
      <x:c r="G113" s="39"/>
      <x:c r="H113" s="39"/>
      <x:c r="I113" s="39"/>
      <x:c r="J113" s="39"/>
    </x:row>
    <x:row r="114">
      <x:c r="A114" s="39" t="str">
        <x:v>PH-036</x:v>
      </x:c>
      <x:c r="B114" s="39" t="str">
        <x:v>Physical</x:v>
      </x:c>
      <x:c r="C114" s="39" t="str">
        <x:v>Predecessor campaign</x:v>
      </x:c>
      <x:c r="D114" s="39" t="str">
        <x:v>OPEN</x:v>
      </x:c>
      <x:c r="E114" s="39" t="str">
        <x:v>Requires observed work or accepted physical evidence</x:v>
      </x:c>
      <x:c r="F114" s="39"/>
      <x:c r="G114" s="39"/>
      <x:c r="H114" s="39"/>
      <x:c r="I114" s="39"/>
      <x:c r="J114" s="39"/>
    </x:row>
    <x:row r="115">
      <x:c r="A115" s="39" t="str">
        <x:v>PH-037</x:v>
      </x:c>
      <x:c r="B115" s="39" t="str">
        <x:v>Physical</x:v>
      </x:c>
      <x:c r="C115" s="39" t="str">
        <x:v>Root independence</x:v>
      </x:c>
      <x:c r="D115" s="39" t="str">
        <x:v>OPEN</x:v>
      </x:c>
      <x:c r="E115" s="39" t="str">
        <x:v>Requires observed work or accepted physical evidence</x:v>
      </x:c>
      <x:c r="F115" s="39"/>
      <x:c r="G115" s="39"/>
      <x:c r="H115" s="39"/>
      <x:c r="I115" s="39"/>
      <x:c r="J115" s="39"/>
    </x:row>
    <x:row r="116">
      <x:c r="A116" s="39" t="str">
        <x:v>PH-038</x:v>
      </x:c>
      <x:c r="B116" s="39" t="str">
        <x:v>Physical</x:v>
      </x:c>
      <x:c r="C116" s="39" t="str">
        <x:v>Serial production</x:v>
      </x:c>
      <x:c r="D116" s="39" t="str">
        <x:v>OPEN</x:v>
      </x:c>
      <x:c r="E116" s="39" t="str">
        <x:v>Requires observed work or accepted physical evidence</x:v>
      </x:c>
      <x:c r="F116" s="39"/>
      <x:c r="G116" s="39"/>
      <x:c r="H116" s="39"/>
      <x:c r="I116" s="39"/>
      <x:c r="J116" s="39"/>
    </x:row>
    <x:row r="117">
      <x:c r="A117" s="39" t="str">
        <x:v>PH-039</x:v>
      </x:c>
      <x:c r="B117" s="39" t="str">
        <x:v>Physical</x:v>
      </x:c>
      <x:c r="C117" s="39" t="str">
        <x:v>Maintenance</x:v>
      </x:c>
      <x:c r="D117" s="39" t="str">
        <x:v>OPEN</x:v>
      </x:c>
      <x:c r="E117" s="39" t="str">
        <x:v>Requires observed work or accepted physical evidence</x:v>
      </x:c>
      <x:c r="F117" s="39"/>
      <x:c r="G117" s="39"/>
      <x:c r="H117" s="39"/>
      <x:c r="I117" s="39"/>
      <x:c r="J117" s="39"/>
    </x:row>
    <x:row r="118">
      <x:c r="A118" s="39" t="str">
        <x:v>PH-040</x:v>
      </x:c>
      <x:c r="B118" s="39" t="str">
        <x:v>Physical</x:v>
      </x:c>
      <x:c r="C118" s="39" t="str">
        <x:v>Transport</x:v>
      </x:c>
      <x:c r="D118" s="39" t="str">
        <x:v>OPEN</x:v>
      </x:c>
      <x:c r="E118" s="39" t="str">
        <x:v>Requires observed work or accepted physical evidence</x:v>
      </x:c>
      <x:c r="F118" s="39"/>
      <x:c r="G118" s="39"/>
      <x:c r="H118" s="39"/>
      <x:c r="I118" s="39"/>
      <x:c r="J118" s="39"/>
    </x:row>
    <x:row r="119">
      <x:c r="A119" s="39" t="str">
        <x:v>PH-041</x:v>
      </x:c>
      <x:c r="B119" s="39" t="str">
        <x:v>Physical</x:v>
      </x:c>
      <x:c r="C119" s="39" t="str">
        <x:v>Arsenal cycle</x:v>
      </x:c>
      <x:c r="D119" s="39" t="str">
        <x:v>OPEN</x:v>
      </x:c>
      <x:c r="E119" s="39" t="str">
        <x:v>Requires observed work or accepted physical evidence</x:v>
      </x:c>
      <x:c r="F119" s="39"/>
      <x:c r="G119" s="39"/>
      <x:c r="H119" s="39"/>
      <x:c r="I119" s="39"/>
      <x:c r="J119" s="39"/>
    </x:row>
    <x:row r="120">
      <x:c r="A120" s="39" t="str">
        <x:v>PH-042</x:v>
      </x:c>
      <x:c r="B120" s="39" t="str">
        <x:v>Physical</x:v>
      </x:c>
      <x:c r="C120" s="39" t="str">
        <x:v>Geographic access</x:v>
      </x:c>
      <x:c r="D120" s="39" t="str">
        <x:v>OPEN</x:v>
      </x:c>
      <x:c r="E120" s="39" t="str">
        <x:v>Requires observed work or accepted physical evidence</x:v>
      </x:c>
      <x:c r="F120" s="39"/>
      <x:c r="G120" s="39"/>
      <x:c r="H120" s="39"/>
      <x:c r="I120" s="39"/>
      <x:c r="J120" s="39"/>
    </x:row>
    <x:row r="121">
      <x:c r="A121" s="39" t="str">
        <x:v>PH-043</x:v>
      </x:c>
      <x:c r="B121" s="39" t="str">
        <x:v>Physical</x:v>
      </x:c>
      <x:c r="C121" s="39" t="str">
        <x:v>Predecessor campaign</x:v>
      </x:c>
      <x:c r="D121" s="39" t="str">
        <x:v>OPEN</x:v>
      </x:c>
      <x:c r="E121" s="39" t="str">
        <x:v>Requires observed work or accepted physical evidence</x:v>
      </x:c>
      <x:c r="F121" s="39"/>
      <x:c r="G121" s="39"/>
      <x:c r="H121" s="39"/>
      <x:c r="I121" s="39"/>
      <x:c r="J121" s="39"/>
    </x:row>
    <x:row r="122">
      <x:c r="A122" s="39" t="str">
        <x:v>PH-044</x:v>
      </x:c>
      <x:c r="B122" s="39" t="str">
        <x:v>Physical</x:v>
      </x:c>
      <x:c r="C122" s="39" t="str">
        <x:v>Root independence</x:v>
      </x:c>
      <x:c r="D122" s="39" t="str">
        <x:v>OPEN</x:v>
      </x:c>
      <x:c r="E122" s="39" t="str">
        <x:v>Requires observed work or accepted physical evidence</x:v>
      </x:c>
      <x:c r="F122" s="39"/>
      <x:c r="G122" s="39"/>
      <x:c r="H122" s="39"/>
      <x:c r="I122" s="39"/>
      <x:c r="J122" s="39"/>
    </x:row>
    <x:row r="123">
      <x:c r="A123" s="39" t="str">
        <x:v>PH-045</x:v>
      </x:c>
      <x:c r="B123" s="39" t="str">
        <x:v>Physical</x:v>
      </x:c>
      <x:c r="C123" s="39" t="str">
        <x:v>Serial production</x:v>
      </x:c>
      <x:c r="D123" s="39" t="str">
        <x:v>OPEN</x:v>
      </x:c>
      <x:c r="E123" s="39" t="str">
        <x:v>Requires observed work or accepted physical evidence</x:v>
      </x:c>
      <x:c r="F123" s="39"/>
      <x:c r="G123" s="39"/>
      <x:c r="H123" s="39"/>
      <x:c r="I123" s="39"/>
      <x:c r="J123" s="39"/>
    </x:row>
    <x:row r="124">
      <x:c r="A124" s="39" t="str">
        <x:v>PH-046</x:v>
      </x:c>
      <x:c r="B124" s="39" t="str">
        <x:v>Physical</x:v>
      </x:c>
      <x:c r="C124" s="39" t="str">
        <x:v>Maintenance</x:v>
      </x:c>
      <x:c r="D124" s="39" t="str">
        <x:v>OPEN</x:v>
      </x:c>
      <x:c r="E124" s="39" t="str">
        <x:v>Requires observed work or accepted physical evidence</x:v>
      </x:c>
      <x:c r="F124" s="39"/>
      <x:c r="G124" s="39"/>
      <x:c r="H124" s="39"/>
      <x:c r="I124" s="39"/>
      <x:c r="J124" s="39"/>
    </x:row>
    <x:row r="125">
      <x:c r="A125" s="39" t="str">
        <x:v>PH-047</x:v>
      </x:c>
      <x:c r="B125" s="39" t="str">
        <x:v>Physical</x:v>
      </x:c>
      <x:c r="C125" s="39" t="str">
        <x:v>Transport</x:v>
      </x:c>
      <x:c r="D125" s="39" t="str">
        <x:v>OPEN</x:v>
      </x:c>
      <x:c r="E125" s="39" t="str">
        <x:v>Requires observed work or accepted physical evidence</x:v>
      </x:c>
      <x:c r="F125" s="39"/>
      <x:c r="G125" s="39"/>
      <x:c r="H125" s="39"/>
      <x:c r="I125" s="39"/>
      <x:c r="J125" s="39"/>
    </x:row>
    <x:row r="126">
      <x:c r="A126" s="39" t="str">
        <x:v>PH-048</x:v>
      </x:c>
      <x:c r="B126" s="39" t="str">
        <x:v>Physical</x:v>
      </x:c>
      <x:c r="C126" s="39" t="str">
        <x:v>Arsenal cycle</x:v>
      </x:c>
      <x:c r="D126" s="39" t="str">
        <x:v>OPEN</x:v>
      </x:c>
      <x:c r="E126" s="39" t="str">
        <x:v>Requires observed work or accepted physical evidence</x:v>
      </x:c>
      <x:c r="F126" s="39"/>
      <x:c r="G126" s="39"/>
      <x:c r="H126" s="39"/>
      <x:c r="I126" s="39"/>
      <x:c r="J126" s="39"/>
    </x:row>
    <x:row r="127">
      <x:c r="A127" s="39" t="str">
        <x:v>PH-049</x:v>
      </x:c>
      <x:c r="B127" s="39" t="str">
        <x:v>Physical</x:v>
      </x:c>
      <x:c r="C127" s="39" t="str">
        <x:v>Geographic access</x:v>
      </x:c>
      <x:c r="D127" s="39" t="str">
        <x:v>OPEN</x:v>
      </x:c>
      <x:c r="E127" s="39" t="str">
        <x:v>Requires observed work or accepted physical evidence</x:v>
      </x:c>
      <x:c r="F127" s="39"/>
      <x:c r="G127" s="39"/>
      <x:c r="H127" s="39"/>
      <x:c r="I127" s="39"/>
      <x:c r="J127" s="39"/>
    </x:row>
    <x:row r="128">
      <x:c r="A128" s="39" t="str">
        <x:v>PH-050</x:v>
      </x:c>
      <x:c r="B128" s="39" t="str">
        <x:v>Physical</x:v>
      </x:c>
      <x:c r="C128" s="39" t="str">
        <x:v>Predecessor campaign</x:v>
      </x:c>
      <x:c r="D128" s="39" t="str">
        <x:v>OPEN</x:v>
      </x:c>
      <x:c r="E128" s="39" t="str">
        <x:v>Requires observed work or accepted physical evidence</x:v>
      </x:c>
      <x:c r="F128" s="39"/>
      <x:c r="G128" s="39"/>
      <x:c r="H128" s="39"/>
      <x:c r="I128" s="39"/>
      <x:c r="J128" s="39"/>
    </x:row>
    <x:row r="129">
      <x:c r="A129" s="39" t="str">
        <x:v>PH-051</x:v>
      </x:c>
      <x:c r="B129" s="39" t="str">
        <x:v>Physical</x:v>
      </x:c>
      <x:c r="C129" s="39" t="str">
        <x:v>Root independence</x:v>
      </x:c>
      <x:c r="D129" s="39" t="str">
        <x:v>OPEN</x:v>
      </x:c>
      <x:c r="E129" s="39" t="str">
        <x:v>Requires observed work or accepted physical evidence</x:v>
      </x:c>
      <x:c r="F129" s="39"/>
      <x:c r="G129" s="39"/>
      <x:c r="H129" s="39"/>
      <x:c r="I129" s="39"/>
      <x:c r="J129" s="39"/>
    </x:row>
    <x:row r="130">
      <x:c r="A130" s="39" t="str">
        <x:v>PH-052</x:v>
      </x:c>
      <x:c r="B130" s="39" t="str">
        <x:v>Physical</x:v>
      </x:c>
      <x:c r="C130" s="39" t="str">
        <x:v>Serial production</x:v>
      </x:c>
      <x:c r="D130" s="39" t="str">
        <x:v>OPEN</x:v>
      </x:c>
      <x:c r="E130" s="39" t="str">
        <x:v>Requires observed work or accepted physical evidence</x:v>
      </x:c>
      <x:c r="F130" s="39"/>
      <x:c r="G130" s="39"/>
      <x:c r="H130" s="39"/>
      <x:c r="I130" s="39"/>
      <x:c r="J130" s="39"/>
    </x:row>
    <x:row r="131">
      <x:c r="A131" s="39" t="str">
        <x:v>PH-053</x:v>
      </x:c>
      <x:c r="B131" s="39" t="str">
        <x:v>Physical</x:v>
      </x:c>
      <x:c r="C131" s="39" t="str">
        <x:v>Maintenance</x:v>
      </x:c>
      <x:c r="D131" s="39" t="str">
        <x:v>OPEN</x:v>
      </x:c>
      <x:c r="E131" s="39" t="str">
        <x:v>Requires observed work or accepted physical evidence</x:v>
      </x:c>
      <x:c r="F131" s="39"/>
      <x:c r="G131" s="39"/>
      <x:c r="H131" s="39"/>
      <x:c r="I131" s="39"/>
      <x:c r="J131" s="39"/>
    </x:row>
    <x:row r="132">
      <x:c r="A132" s="39" t="str">
        <x:v>PH-054</x:v>
      </x:c>
      <x:c r="B132" s="39" t="str">
        <x:v>Physical</x:v>
      </x:c>
      <x:c r="C132" s="39" t="str">
        <x:v>Transport</x:v>
      </x:c>
      <x:c r="D132" s="39" t="str">
        <x:v>OPEN</x:v>
      </x:c>
      <x:c r="E132" s="39" t="str">
        <x:v>Requires observed work or accepted physical evidence</x:v>
      </x:c>
      <x:c r="F132" s="39"/>
      <x:c r="G132" s="39"/>
      <x:c r="H132" s="39"/>
      <x:c r="I132" s="39"/>
      <x:c r="J132" s="39"/>
    </x:row>
    <x:row r="133">
      <x:c r="A133" s="39" t="str">
        <x:v>PH-055</x:v>
      </x:c>
      <x:c r="B133" s="39" t="str">
        <x:v>Physical</x:v>
      </x:c>
      <x:c r="C133" s="39" t="str">
        <x:v>Arsenal cycle</x:v>
      </x:c>
      <x:c r="D133" s="39" t="str">
        <x:v>OPEN</x:v>
      </x:c>
      <x:c r="E133" s="39" t="str">
        <x:v>Requires observed work or accepted physical evidence</x:v>
      </x:c>
      <x:c r="F133" s="39"/>
      <x:c r="G133" s="39"/>
      <x:c r="H133" s="39"/>
      <x:c r="I133" s="39"/>
      <x:c r="J133" s="39"/>
    </x:row>
    <x:row r="134">
      <x:c r="A134" s="39" t="str">
        <x:v>PH-056</x:v>
      </x:c>
      <x:c r="B134" s="39" t="str">
        <x:v>Physical</x:v>
      </x:c>
      <x:c r="C134" s="39" t="str">
        <x:v>Geographic access</x:v>
      </x:c>
      <x:c r="D134" s="39" t="str">
        <x:v>OPEN</x:v>
      </x:c>
      <x:c r="E134" s="39" t="str">
        <x:v>Requires observed work or accepted physical evidence</x:v>
      </x:c>
      <x:c r="F134" s="39"/>
      <x:c r="G134" s="39"/>
      <x:c r="H134" s="39"/>
      <x:c r="I134" s="39"/>
      <x:c r="J134" s="39"/>
    </x:row>
    <x:row r="135">
      <x:c r="A135" s="39" t="str">
        <x:v>R-001</x:v>
      </x:c>
      <x:c r="B135" s="39" t="str">
        <x:v>Release</x:v>
      </x:c>
      <x:c r="C135" s="39" t="str">
        <x:v>Operational procurement</x:v>
      </x:c>
      <x:c r="D135" s="39" t="str">
        <x:v>BLOCKED</x:v>
      </x:c>
      <x:c r="E135" s="39" t="str">
        <x:v>Requires predecessor and downstream authority</x:v>
      </x:c>
      <x:c r="F135" s="39"/>
      <x:c r="G135" s="39"/>
      <x:c r="H135" s="39"/>
      <x:c r="I135" s="39"/>
      <x:c r="J135" s="39"/>
    </x:row>
    <x:row r="136">
      <x:c r="A136" s="39" t="str">
        <x:v>R-002</x:v>
      </x:c>
      <x:c r="B136" s="39" t="str">
        <x:v>Release</x:v>
      </x:c>
      <x:c r="C136" s="39" t="str">
        <x:v>National fielding</x:v>
      </x:c>
      <x:c r="D136" s="39" t="str">
        <x:v>BLOCKED</x:v>
      </x:c>
      <x:c r="E136" s="39" t="str">
        <x:v>Requires predecessor and downstream authority</x:v>
      </x:c>
      <x:c r="F136" s="39"/>
      <x:c r="G136" s="39"/>
      <x:c r="H136" s="39"/>
      <x:c r="I136" s="39"/>
      <x:c r="J136" s="39"/>
    </x:row>
    <x:row r="137">
      <x:c r="A137" s="39" t="str">
        <x:v>R-003</x:v>
      </x:c>
      <x:c r="B137" s="39" t="str">
        <x:v>Release</x:v>
      </x:c>
      <x:c r="C137" s="39" t="str">
        <x:v>Site selection</x:v>
      </x:c>
      <x:c r="D137" s="39" t="str">
        <x:v>BLOCKED</x:v>
      </x:c>
      <x:c r="E137" s="39" t="str">
        <x:v>Requires predecessor and downstream authority</x:v>
      </x:c>
      <x:c r="F137" s="39"/>
      <x:c r="G137" s="39"/>
      <x:c r="H137" s="39"/>
      <x:c r="I137" s="39"/>
      <x:c r="J137" s="39"/>
    </x:row>
    <x:row r="138">
      <x:c r="A138" s="39" t="str">
        <x:v>R-004</x:v>
      </x:c>
      <x:c r="B138" s="39" t="str">
        <x:v>Release</x:v>
      </x:c>
      <x:c r="C138" s="39" t="str">
        <x:v>Regional assignment</x:v>
      </x:c>
      <x:c r="D138" s="39" t="str">
        <x:v>BLOCKED</x:v>
      </x:c>
      <x:c r="E138" s="39" t="str">
        <x:v>Requires predecessor and downstream authority</x:v>
      </x:c>
      <x:c r="F138" s="39"/>
      <x:c r="G138" s="39"/>
      <x:c r="H138" s="39"/>
      <x:c r="I138" s="39"/>
      <x:c r="J138" s="39"/>
    </x:row>
    <x:row r="139">
      <x:c r="A139" s="39" t="str">
        <x:v>R-005</x:v>
      </x:c>
      <x:c r="B139" s="39" t="str">
        <x:v>Release</x:v>
      </x:c>
      <x:c r="C139" s="39" t="str">
        <x:v>International commitment</x:v>
      </x:c>
      <x:c r="D139" s="39" t="str">
        <x:v>BLOCKED</x:v>
      </x:c>
      <x:c r="E139" s="39" t="str">
        <x:v>Requires predecessor and downstream authority</x:v>
      </x:c>
      <x:c r="F139" s="39"/>
      <x:c r="G139" s="39"/>
      <x:c r="H139" s="39"/>
      <x:c r="I139" s="39"/>
      <x:c r="J139" s="39"/>
    </x:row>
    <x:row r="140">
      <x:c r="A140" s="39" t="str">
        <x:v>R-006</x:v>
      </x:c>
      <x:c r="B140" s="39" t="str">
        <x:v>Release</x:v>
      </x:c>
      <x:c r="C140" s="39" t="str">
        <x:v>Strategic release</x:v>
      </x:c>
      <x:c r="D140" s="39" t="str">
        <x:v>BLOCKED</x:v>
      </x:c>
      <x:c r="E140" s="39" t="str">
        <x:v>Requires predecessor and downstream authority</x:v>
      </x:c>
      <x:c r="F140" s="39"/>
      <x:c r="G140" s="39"/>
      <x:c r="H140" s="39"/>
      <x:c r="I140" s="39"/>
      <x:c r="J140" s="39"/>
    </x:row>
    <x:row r="141">
      <x:c r="A141" s="39" t="str">
        <x:v>R-007</x:v>
      </x:c>
      <x:c r="B141" s="39" t="str">
        <x:v>Release</x:v>
      </x:c>
      <x:c r="C141" s="39" t="str">
        <x:v>Export</x:v>
      </x:c>
      <x:c r="D141" s="39" t="str">
        <x:v>BLOCKED</x:v>
      </x:c>
      <x:c r="E141" s="39" t="str">
        <x:v>Requires predecessor and downstream authority</x:v>
      </x:c>
      <x:c r="F141" s="39"/>
      <x:c r="G141" s="39"/>
      <x:c r="H141" s="39"/>
      <x:c r="I141" s="39"/>
      <x:c r="J141" s="39"/>
    </x:row>
    <x:row r="142">
      <x:c r="A142" s="39" t="str">
        <x:v>R-008</x:v>
      </x:c>
      <x:c r="B142" s="39" t="str">
        <x:v>Release</x:v>
      </x:c>
      <x:c r="C142" s="39" t="str">
        <x:v>Private licensing</x:v>
      </x:c>
      <x:c r="D142" s="39" t="str">
        <x:v>BLOCKED</x:v>
      </x:c>
      <x:c r="E142" s="39" t="str">
        <x:v>Requires predecessor and downstream authority</x:v>
      </x:c>
      <x:c r="F142" s="39"/>
      <x:c r="G142" s="39"/>
      <x:c r="H142" s="39"/>
      <x:c r="I142" s="39"/>
      <x:c r="J142" s="39"/>
    </x:row>
    <x:row r="143">
      <x:c r="A143" s="39" t="str">
        <x:v>R-009</x:v>
      </x:c>
      <x:c r="B143" s="39" t="str">
        <x:v>Release</x:v>
      </x:c>
      <x:c r="C143" s="39" t="str">
        <x:v>Production-rate declaration</x:v>
      </x:c>
      <x:c r="D143" s="39" t="str">
        <x:v>BLOCKED</x:v>
      </x:c>
      <x:c r="E143" s="39" t="str">
        <x:v>Requires predecessor and downstream authority</x:v>
      </x:c>
      <x:c r="F143" s="39"/>
      <x:c r="G143" s="39"/>
      <x:c r="H143" s="39"/>
      <x:c r="I143" s="39"/>
      <x:c r="J143" s="39"/>
    </x:row>
    <x:row r="144">
      <x:c r="A144" s="39" t="str">
        <x:v>R-010</x:v>
      </x:c>
      <x:c r="B144" s="39" t="str">
        <x:v>Release</x:v>
      </x:c>
      <x:c r="C144" s="39" t="str">
        <x:v>Public service declaration</x:v>
      </x:c>
      <x:c r="D144" s="39" t="str">
        <x:v>BLOCKED</x:v>
      </x:c>
      <x:c r="E144" s="39" t="str">
        <x:v>Requires predecessor and downstream authority</x:v>
      </x:c>
      <x:c r="F144" s="39"/>
      <x:c r="G144" s="39"/>
      <x:c r="H144" s="39"/>
      <x:c r="I144" s="39"/>
      <x:c r="J144" s="39"/>
    </x:row>
    <x:row r="145">
      <x:c r="A145" s="39" t="str">
        <x:v>R-011</x:v>
      </x:c>
      <x:c r="B145" s="39" t="str">
        <x:v>Release</x:v>
      </x:c>
      <x:c r="C145" s="39" t="str">
        <x:v>Fleet quantity freeze</x:v>
      </x:c>
      <x:c r="D145" s="39" t="str">
        <x:v>BLOCKED</x:v>
      </x:c>
      <x:c r="E145" s="39" t="str">
        <x:v>Requires predecessor and downstream authority</x:v>
      </x:c>
      <x:c r="F145" s="39"/>
      <x:c r="G145" s="39"/>
      <x:c r="H145" s="39"/>
      <x:c r="I145" s="39"/>
      <x:c r="J145" s="39"/>
    </x:row>
    <x:row r="146">
      <x:c r="A146" s="39" t="str">
        <x:v>R-012</x:v>
      </x:c>
      <x:c r="B146" s="39" t="str">
        <x:v>Release</x:v>
      </x:c>
      <x:c r="C146" s="39" t="str">
        <x:v>Exterior rendering</x:v>
      </x:c>
      <x:c r="D146" s="39" t="str">
        <x:v>BLOCKED</x:v>
      </x:c>
      <x:c r="E146" s="39" t="str">
        <x:v>Requires predecessor and downstream authority</x:v>
      </x:c>
      <x:c r="F146" s="39"/>
      <x:c r="G146" s="39"/>
      <x:c r="H146" s="39"/>
      <x:c r="I146" s="39"/>
      <x:c r="J146" s="39"/>
    </x:row>
  </x:sheetData>
  <x:mergeCells>
    <x:mergeCell ref="A2:J2"/>
    <x:mergeCell ref="A3:J3"/>
  </x:mergeCells>
  <x:conditionalFormatting sqref="D7:D146">
    <x:cfRule type="containsText" dxfId="9" priority="1" operator="containsText" text="OPEN"/>
    <x:cfRule type="containsText" dxfId="10" priority="2" operator="containsText" text="BLOCKED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38" hidden="0" customWidth="1"/>
    <x:col min="3" max="3" width="15" hidden="0" customWidth="1"/>
    <x:col min="4" max="4" width="58" hidden="0" customWidth="1"/>
  </x:cols>
  <x:sheetData>
    <x:row r="2">
      <x:c r="A2" s="38" t="str">
        <x:v>Terminal model audit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40" t="str">
        <x:v>Checks are independent review formulas. No output or build reads this sheet.</x:v>
      </x:c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</x:row>
    <x:row r="6" ht="30" customHeight="1">
      <x:c r="A6" s="16" t="str">
        <x:v>Check ID</x:v>
      </x:c>
      <x:c r="B6" s="17" t="str">
        <x:v>Check</x:v>
      </x:c>
      <x:c r="C6" s="17" t="str">
        <x:v>Result</x:v>
      </x:c>
      <x:c r="D6" s="18" t="str">
        <x:v>Expected relationship</x:v>
      </x:c>
      <x:c r="E6" s="39"/>
      <x:c r="F6" s="39"/>
      <x:c r="G6" s="39"/>
      <x:c r="H6" s="39"/>
      <x:c r="I6" s="39"/>
      <x:c r="J6" s="39"/>
    </x:row>
    <x:row r="7">
      <x:c r="A7" s="39" t="str">
        <x:v>A-001</x:v>
      </x:c>
      <x:c r="B7" s="39" t="str">
        <x:v>Selected groups reconcile</x:v>
      </x:c>
      <x:c r="C7" s="39" t="str">
        <x:f>IF('Allocation'!B11=SUM('Allocation'!B7:B10),"PASS","FAIL")</x:f>
        <x:v>PASS</x:v>
      </x:c>
      <x:c r="D7" s="39" t="str">
        <x:v>category sum equals total</x:v>
      </x:c>
      <x:c r="E7" s="39"/>
      <x:c r="F7" s="39"/>
      <x:c r="G7" s="39"/>
      <x:c r="H7" s="39"/>
      <x:c r="I7" s="39"/>
      <x:c r="J7" s="39"/>
    </x:row>
    <x:row r="8">
      <x:c r="A8" s="39" t="str">
        <x:v>A-002</x:v>
      </x:c>
      <x:c r="B8" s="39" t="str">
        <x:v>C24 selected</x:v>
      </x:c>
      <x:c r="C8" s="39" t="str">
        <x:f>IF('Assumptions'!$C$8="C24","PASS","FAIL")</x:f>
        <x:v>PASS</x:v>
      </x:c>
      <x:c r="D8" s="39" t="str">
        <x:v>baseline selected case</x:v>
      </x:c>
      <x:c r="E8" s="39"/>
      <x:c r="F8" s="39"/>
      <x:c r="G8" s="39"/>
      <x:c r="H8" s="39"/>
      <x:c r="I8" s="39"/>
      <x:c r="J8" s="39"/>
    </x:row>
    <x:row r="9">
      <x:c r="A9" s="39" t="str">
        <x:v>A-003</x:v>
      </x:c>
      <x:c r="B9" s="39" t="str">
        <x:v>Sector entitlement</x:v>
      </x:c>
      <x:c r="C9" s="39" t="str">
        <x:f>IF('Assumptions'!$C$29&gt;='Assumptions'!$C$9,"PASS","FAIL")</x:f>
        <x:v>PASS</x:v>
      </x:c>
      <x:c r="D9" s="39" t="str">
        <x:v>active sector groups meet entitlement</x:v>
      </x:c>
      <x:c r="E9" s="39"/>
      <x:c r="F9" s="39"/>
      <x:c r="G9" s="39"/>
      <x:c r="H9" s="39"/>
      <x:c r="I9" s="39"/>
      <x:c r="J9" s="39"/>
    </x:row>
    <x:row r="10">
      <x:c r="A10" s="39" t="str">
        <x:v>A-004</x:v>
      </x:c>
      <x:c r="B10" s="39" t="str">
        <x:v>Compound entitlement</x:v>
      </x:c>
      <x:c r="C10" s="39" t="str">
        <x:f>IF('Assumptions'!$C$30&gt;='Assumptions'!$C$10,"PASS","FAIL")</x:f>
        <x:v>PASS</x:v>
      </x:c>
      <x:c r="D10" s="39" t="str">
        <x:v>active compound groups meet entitlement</x:v>
      </x:c>
      <x:c r="E10" s="39"/>
      <x:c r="F10" s="39"/>
      <x:c r="G10" s="39"/>
      <x:c r="H10" s="39"/>
      <x:c r="I10" s="39"/>
      <x:c r="J10" s="39"/>
    </x:row>
    <x:row r="11">
      <x:c r="A11" s="39" t="str">
        <x:v>A-005</x:v>
      </x:c>
      <x:c r="B11" s="39" t="str">
        <x:v>Global entitlement</x:v>
      </x:c>
      <x:c r="C11" s="39" t="str">
        <x:f>IF('Assumptions'!$C$31&gt;='Assumptions'!$C$11,"PASS","FAIL")</x:f>
        <x:v>PASS</x:v>
      </x:c>
      <x:c r="D11" s="39" t="str">
        <x:v>active global groups meet entitlement</x:v>
      </x:c>
      <x:c r="E11" s="39"/>
      <x:c r="F11" s="39"/>
      <x:c r="G11" s="39"/>
      <x:c r="H11" s="39"/>
      <x:c r="I11" s="39"/>
      <x:c r="J11" s="39"/>
    </x:row>
    <x:row r="12">
      <x:c r="A12" s="39" t="str">
        <x:v>A-006</x:v>
      </x:c>
      <x:c r="B12" s="39" t="str">
        <x:v>Strategic entitlement</x:v>
      </x:c>
      <x:c r="C12" s="39" t="str">
        <x:f>IF('Assumptions'!$C$32&gt;='Assumptions'!$C$12,"PASS","FAIL")</x:f>
        <x:v>PASS</x:v>
      </x:c>
      <x:c r="D12" s="39" t="str">
        <x:v>active strategic groups meet entitlement</x:v>
      </x:c>
      <x:c r="E12" s="39"/>
      <x:c r="F12" s="39"/>
      <x:c r="G12" s="39"/>
      <x:c r="H12" s="39"/>
      <x:c r="I12" s="39"/>
      <x:c r="J12" s="39"/>
    </x:row>
    <x:row r="13">
      <x:c r="A13" s="39" t="str">
        <x:v>A-007</x:v>
      </x:c>
      <x:c r="B13" s="39" t="str">
        <x:v>Service case total</x:v>
      </x:c>
      <x:c r="C13" s="39" t="str">
        <x:f>IF('Service Cases'!F9=24,"PASS","FAIL")</x:f>
        <x:v>PASS</x:v>
      </x:c>
      <x:c r="D13" s="39" t="str">
        <x:v>C24 has twenty-four groups</x:v>
      </x:c>
      <x:c r="E13" s="39"/>
      <x:c r="F13" s="39"/>
      <x:c r="G13" s="39"/>
      <x:c r="H13" s="39"/>
      <x:c r="I13" s="39"/>
      <x:c r="J13" s="39"/>
    </x:row>
    <x:row r="14">
      <x:c r="A14" s="39" t="str">
        <x:v>A-008</x:v>
      </x:c>
      <x:c r="B14" s="39" t="str">
        <x:v>A12 fails</x:v>
      </x:c>
      <x:c r="C14" s="39" t="str">
        <x:f>IF('Service Cases'!K7="FAIL","PASS","FAIL")</x:f>
        <x:v>PASS</x:v>
      </x:c>
      <x:c r="D14" s="39" t="str">
        <x:v>A12 does not meet all entitlements</x:v>
      </x:c>
      <x:c r="E14" s="39"/>
      <x:c r="F14" s="39"/>
      <x:c r="G14" s="39"/>
      <x:c r="H14" s="39"/>
      <x:c r="I14" s="39"/>
      <x:c r="J14" s="39"/>
    </x:row>
    <x:row r="15">
      <x:c r="A15" s="39" t="str">
        <x:v>A-009</x:v>
      </x:c>
      <x:c r="B15" s="39" t="str">
        <x:v>B18 fails</x:v>
      </x:c>
      <x:c r="C15" s="39" t="str">
        <x:f>IF('Service Cases'!K8="FAIL","PASS","FAIL")</x:f>
        <x:v>PASS</x:v>
      </x:c>
      <x:c r="D15" s="39" t="str">
        <x:v>B18 does not meet all entitlements</x:v>
      </x:c>
      <x:c r="E15" s="39"/>
      <x:c r="F15" s="39"/>
      <x:c r="G15" s="39"/>
      <x:c r="H15" s="39"/>
      <x:c r="I15" s="39"/>
      <x:c r="J15" s="39"/>
    </x:row>
    <x:row r="16">
      <x:c r="A16" s="39" t="str">
        <x:v>A-010</x:v>
      </x:c>
      <x:c r="B16" s="39" t="str">
        <x:v>C24 passes</x:v>
      </x:c>
      <x:c r="C16" s="39" t="str">
        <x:f>IF('Service Cases'!K9="PASS","PASS","FAIL")</x:f>
        <x:v>PASS</x:v>
      </x:c>
      <x:c r="D16" s="39" t="str">
        <x:v>C24 meets all entitlements</x:v>
      </x:c>
      <x:c r="E16" s="39"/>
      <x:c r="F16" s="39"/>
      <x:c r="G16" s="39"/>
      <x:c r="H16" s="39"/>
      <x:c r="I16" s="39"/>
      <x:c r="J16" s="39"/>
    </x:row>
    <x:row r="17">
      <x:c r="A17" s="39" t="str">
        <x:v>A-011</x:v>
      </x:c>
      <x:c r="B17" s="39" t="str">
        <x:v>D30 passes</x:v>
      </x:c>
      <x:c r="C17" s="39" t="str">
        <x:f>IF('Service Cases'!K10="PASS","PASS","FAIL")</x:f>
        <x:v>PASS</x:v>
      </x:c>
      <x:c r="D17" s="39" t="str">
        <x:v>D30 meets all entitlements</x:v>
      </x:c>
      <x:c r="E17" s="39"/>
      <x:c r="F17" s="39"/>
      <x:c r="G17" s="39"/>
      <x:c r="H17" s="39"/>
      <x:c r="I17" s="39"/>
      <x:c r="J17" s="39"/>
    </x:row>
    <x:row r="18">
      <x:c r="A18" s="39" t="str">
        <x:v>A-012</x:v>
      </x:c>
      <x:c r="B18" s="39" t="str">
        <x:v>Sets per group</x:v>
      </x:c>
      <x:c r="C18" s="39" t="str">
        <x:f>IF('Fleet'!C7/'Allocation'!B11=8,"PASS","FAIL")</x:f>
        <x:v>PASS</x:v>
      </x:c>
      <x:c r="D18" s="39" t="str">
        <x:v>eight operational sets per group</x:v>
      </x:c>
      <x:c r="E18" s="39"/>
      <x:c r="F18" s="39"/>
      <x:c r="G18" s="39"/>
      <x:c r="H18" s="39"/>
      <x:c r="I18" s="39"/>
      <x:c r="J18" s="39"/>
    </x:row>
    <x:row r="19">
      <x:c r="A19" s="39" t="str">
        <x:v>A-013</x:v>
      </x:c>
      <x:c r="B19" s="39" t="str">
        <x:v>Operational fleet</x:v>
      </x:c>
      <x:c r="C19" s="39" t="str">
        <x:f>IF('Fleet'!C7=192,"PASS","FAIL")</x:f>
        <x:v>PASS</x:v>
      </x:c>
      <x:c r="D19" s="39" t="str">
        <x:v>192 operational bodies</x:v>
      </x:c>
      <x:c r="E19" s="39"/>
      <x:c r="F19" s="39"/>
      <x:c r="G19" s="39"/>
      <x:c r="H19" s="39"/>
      <x:c r="I19" s="39"/>
      <x:c r="J19" s="39"/>
    </x:row>
    <x:row r="20">
      <x:c r="A20" s="39" t="str">
        <x:v>A-014</x:v>
      </x:c>
      <x:c r="B20" s="39" t="str">
        <x:v>Training fleet</x:v>
      </x:c>
      <x:c r="C20" s="39" t="str">
        <x:f>IF('Fleet'!C8=12,"PASS","FAIL")</x:f>
        <x:v>PASS</x:v>
      </x:c>
      <x:c r="D20" s="39" t="str">
        <x:v>twelve training bodies</x:v>
      </x:c>
      <x:c r="E20" s="39"/>
      <x:c r="F20" s="39"/>
      <x:c r="G20" s="39"/>
      <x:c r="H20" s="39"/>
      <x:c r="I20" s="39"/>
      <x:c r="J20" s="39"/>
    </x:row>
    <x:row r="21">
      <x:c r="A21" s="39" t="str">
        <x:v>A-015</x:v>
      </x:c>
      <x:c r="B21" s="39" t="str">
        <x:v>Evaluation fleet</x:v>
      </x:c>
      <x:c r="C21" s="39" t="str">
        <x:f>IF('Fleet'!C9=6,"PASS","FAIL")</x:f>
        <x:v>PASS</x:v>
      </x:c>
      <x:c r="D21" s="39" t="str">
        <x:v>six evaluation bodies</x:v>
      </x:c>
      <x:c r="E21" s="39"/>
      <x:c r="F21" s="39"/>
      <x:c r="G21" s="39"/>
      <x:c r="H21" s="39"/>
      <x:c r="I21" s="39"/>
      <x:c r="J21" s="39"/>
    </x:row>
    <x:row r="22">
      <x:c r="A22" s="39" t="str">
        <x:v>A-016</x:v>
      </x:c>
      <x:c r="B22" s="39" t="str">
        <x:v>Cold-reference fleet</x:v>
      </x:c>
      <x:c r="C22" s="39" t="str">
        <x:f>IF('Fleet'!C10=4,"PASS","FAIL")</x:f>
        <x:v>PASS</x:v>
      </x:c>
      <x:c r="D22" s="39" t="str">
        <x:v>four cold-reference bodies</x:v>
      </x:c>
      <x:c r="E22" s="39"/>
      <x:c r="F22" s="39"/>
      <x:c r="G22" s="39"/>
      <x:c r="H22" s="39"/>
      <x:c r="I22" s="39"/>
      <x:c r="J22" s="39"/>
    </x:row>
    <x:row r="23">
      <x:c r="A23" s="39" t="str">
        <x:v>A-017</x:v>
      </x:c>
      <x:c r="B23" s="39" t="str">
        <x:v>Destructive fleet</x:v>
      </x:c>
      <x:c r="C23" s="39" t="str">
        <x:f>IF('Fleet'!C11=6,"PASS","FAIL")</x:f>
        <x:v>PASS</x:v>
      </x:c>
      <x:c r="D23" s="39" t="str">
        <x:v>six destructive bodies</x:v>
      </x:c>
      <x:c r="E23" s="39"/>
      <x:c r="F23" s="39"/>
      <x:c r="G23" s="39"/>
      <x:c r="H23" s="39"/>
      <x:c r="I23" s="39"/>
      <x:c r="J23" s="39"/>
    </x:row>
    <x:row r="24">
      <x:c r="A24" s="39" t="str">
        <x:v>A-018</x:v>
      </x:c>
      <x:c r="B24" s="39" t="str">
        <x:v>Depot float</x:v>
      </x:c>
      <x:c r="C24" s="39" t="str">
        <x:f>IF('Fleet'!C12=24,"PASS","FAIL")</x:f>
        <x:v>PASS</x:v>
      </x:c>
      <x:c r="D24" s="39" t="str">
        <x:v>twenty-four depot bodies</x:v>
      </x:c>
      <x:c r="E24" s="39"/>
      <x:c r="F24" s="39"/>
      <x:c r="G24" s="39"/>
      <x:c r="H24" s="39"/>
      <x:c r="I24" s="39"/>
      <x:c r="J24" s="39"/>
    </x:row>
    <x:row r="25">
      <x:c r="A25" s="39" t="str">
        <x:v>A-019</x:v>
      </x:c>
      <x:c r="B25" s="39" t="str">
        <x:v>Casualty fleet</x:v>
      </x:c>
      <x:c r="C25" s="39" t="str">
        <x:f>IF('Fleet'!C13=12,"PASS","FAIL")</x:f>
        <x:v>PASS</x:v>
      </x:c>
      <x:c r="D25" s="39" t="str">
        <x:v>twelve casualty bodies</x:v>
      </x:c>
      <x:c r="E25" s="39"/>
      <x:c r="F25" s="39"/>
      <x:c r="G25" s="39"/>
      <x:c r="H25" s="39"/>
      <x:c r="I25" s="39"/>
      <x:c r="J25" s="39"/>
    </x:row>
    <x:row r="26">
      <x:c r="A26" s="39" t="str">
        <x:v>A-020</x:v>
      </x:c>
      <x:c r="B26" s="39" t="str">
        <x:v>Total fleet</x:v>
      </x:c>
      <x:c r="C26" s="39" t="str">
        <x:f>IF('Fleet'!C14=256,"PASS","FAIL")</x:f>
        <x:v>PASS</x:v>
      </x:c>
      <x:c r="D26" s="39" t="str">
        <x:v>256 bodies</x:v>
      </x:c>
      <x:c r="E26" s="39"/>
      <x:c r="F26" s="39"/>
      <x:c r="G26" s="39"/>
      <x:c r="H26" s="39"/>
      <x:c r="I26" s="39"/>
      <x:c r="J26" s="39"/>
    </x:row>
    <x:row r="27">
      <x:c r="A27" s="39" t="str">
        <x:v>A-021</x:v>
      </x:c>
      <x:c r="B27" s="39" t="str">
        <x:v>Serviceable fleet</x:v>
      </x:c>
      <x:c r="C27" s="39" t="str">
        <x:f>IF('Fleet'!C15=250,"PASS","FAIL")</x:f>
        <x:v>PASS</x:v>
      </x:c>
      <x:c r="D27" s="39" t="str">
        <x:v>250 serviceable bodies</x:v>
      </x:c>
      <x:c r="E27" s="39"/>
      <x:c r="F27" s="39"/>
      <x:c r="G27" s="39"/>
      <x:c r="H27" s="39"/>
      <x:c r="I27" s="39"/>
      <x:c r="J27" s="39"/>
    </x:row>
    <x:row r="28">
      <x:c r="A28" s="39" t="str">
        <x:v>A-022</x:v>
      </x:c>
      <x:c r="B28" s="39" t="str">
        <x:v>Readiness credit</x:v>
      </x:c>
      <x:c r="C28" s="39" t="str">
        <x:f>IF('Fleet'!D14=192,"PASS","FAIL")</x:f>
        <x:v>PASS</x:v>
      </x:c>
      <x:c r="D28" s="39" t="str">
        <x:v>specialist bodies have zero readiness</x:v>
      </x:c>
      <x:c r="E28" s="39"/>
      <x:c r="F28" s="39"/>
      <x:c r="G28" s="39"/>
      <x:c r="H28" s="39"/>
      <x:c r="I28" s="39"/>
      <x:c r="J28" s="39"/>
    </x:row>
    <x:row r="29">
      <x:c r="A29" s="39" t="str">
        <x:v>A-023</x:v>
      </x:c>
      <x:c r="B29" s="39" t="str">
        <x:v>Cell category totals</x:v>
      </x:c>
      <x:c r="C29" s="39" t="str">
        <x:f>IF(SUM('Basing'!F7:F12)=24,"PASS","FAIL")</x:f>
        <x:v>PASS</x:v>
      </x:c>
      <x:c r="D29" s="39" t="str">
        <x:v>six cells contain twenty-four groups</x:v>
      </x:c>
      <x:c r="E29" s="39"/>
      <x:c r="F29" s="39"/>
      <x:c r="G29" s="39"/>
      <x:c r="H29" s="39"/>
      <x:c r="I29" s="39"/>
      <x:c r="J29" s="39"/>
    </x:row>
    <x:row r="30">
      <x:c r="A30" s="39" t="str">
        <x:v>A-024</x:v>
      </x:c>
      <x:c r="B30" s="39" t="str">
        <x:v>Cell sector total</x:v>
      </x:c>
      <x:c r="C30" s="39" t="str">
        <x:f>IF('Basing'!B13=12,"PASS","FAIL")</x:f>
        <x:v>PASS</x:v>
      </x:c>
      <x:c r="D30" s="39" t="str">
        <x:v>twelve sector groups</x:v>
      </x:c>
      <x:c r="E30" s="39"/>
      <x:c r="F30" s="39"/>
      <x:c r="G30" s="39"/>
      <x:c r="H30" s="39"/>
      <x:c r="I30" s="39"/>
      <x:c r="J30" s="39"/>
    </x:row>
    <x:row r="31">
      <x:c r="A31" s="39" t="str">
        <x:v>A-025</x:v>
      </x:c>
      <x:c r="B31" s="39" t="str">
        <x:v>Cell compound total</x:v>
      </x:c>
      <x:c r="C31" s="39" t="str">
        <x:f>IF('Basing'!C13=4,"PASS","FAIL")</x:f>
        <x:v>PASS</x:v>
      </x:c>
      <x:c r="D31" s="39" t="str">
        <x:v>four compound groups</x:v>
      </x:c>
      <x:c r="E31" s="39"/>
      <x:c r="F31" s="39"/>
      <x:c r="G31" s="39"/>
      <x:c r="H31" s="39"/>
      <x:c r="I31" s="39"/>
      <x:c r="J31" s="39"/>
    </x:row>
    <x:row r="32">
      <x:c r="A32" s="39" t="str">
        <x:v>A-026</x:v>
      </x:c>
      <x:c r="B32" s="39" t="str">
        <x:v>Cell global total</x:v>
      </x:c>
      <x:c r="C32" s="39" t="str">
        <x:f>IF('Basing'!D13=4,"PASS","FAIL")</x:f>
        <x:v>PASS</x:v>
      </x:c>
      <x:c r="D32" s="39" t="str">
        <x:v>four global groups</x:v>
      </x:c>
      <x:c r="E32" s="39"/>
      <x:c r="F32" s="39"/>
      <x:c r="G32" s="39"/>
      <x:c r="H32" s="39"/>
      <x:c r="I32" s="39"/>
      <x:c r="J32" s="39"/>
    </x:row>
    <x:row r="33">
      <x:c r="A33" s="39" t="str">
        <x:v>A-027</x:v>
      </x:c>
      <x:c r="B33" s="39" t="str">
        <x:v>Cell strategic total</x:v>
      </x:c>
      <x:c r="C33" s="39" t="str">
        <x:f>IF('Basing'!E13=4,"PASS","FAIL")</x:f>
        <x:v>PASS</x:v>
      </x:c>
      <x:c r="D33" s="39" t="str">
        <x:v>four strategic groups</x:v>
      </x:c>
      <x:c r="E33" s="39"/>
      <x:c r="F33" s="39"/>
      <x:c r="G33" s="39"/>
      <x:c r="H33" s="39"/>
      <x:c r="I33" s="39"/>
      <x:c r="J33" s="39"/>
    </x:row>
    <x:row r="34">
      <x:c r="A34" s="39" t="str">
        <x:v>A-028</x:v>
      </x:c>
      <x:c r="B34" s="39" t="str">
        <x:v>Launch stations</x:v>
      </x:c>
      <x:c r="C34" s="39" t="str">
        <x:f>IF('Basing'!B18=48,"PASS","FAIL")</x:f>
        <x:v>PASS</x:v>
      </x:c>
      <x:c r="D34" s="39" t="str">
        <x:v>forty-eight launch stations</x:v>
      </x:c>
      <x:c r="E34" s="39"/>
      <x:c r="F34" s="39"/>
      <x:c r="G34" s="39"/>
      <x:c r="H34" s="39"/>
      <x:c r="I34" s="39"/>
      <x:c r="J34" s="39"/>
    </x:row>
    <x:row r="35">
      <x:c r="A35" s="39" t="str">
        <x:v>A-029</x:v>
      </x:c>
      <x:c r="B35" s="39" t="str">
        <x:v>Sets per station</x:v>
      </x:c>
      <x:c r="C35" s="39" t="str">
        <x:f>IF('Basing'!B19=4,"PASS","FAIL")</x:f>
        <x:v>PASS</x:v>
      </x:c>
      <x:c r="D35" s="39" t="str">
        <x:v>four operational sets per station</x:v>
      </x:c>
      <x:c r="E35" s="39"/>
      <x:c r="F35" s="39"/>
      <x:c r="G35" s="39"/>
      <x:c r="H35" s="39"/>
      <x:c r="I35" s="39"/>
      <x:c r="J35" s="39"/>
    </x:row>
    <x:row r="36">
      <x:c r="A36" s="39" t="str">
        <x:v>A-030</x:v>
      </x:c>
      <x:c r="B36" s="39" t="str">
        <x:v>Arsenal cells</x:v>
      </x:c>
      <x:c r="C36" s="39" t="str">
        <x:f>IF('Basing'!B20=6,"PASS","FAIL")</x:f>
        <x:v>PASS</x:v>
      </x:c>
      <x:c r="D36" s="39" t="str">
        <x:v>six arsenal cells</x:v>
      </x:c>
      <x:c r="E36" s="39"/>
      <x:c r="F36" s="39"/>
      <x:c r="G36" s="39"/>
      <x:c r="H36" s="39"/>
      <x:c r="I36" s="39"/>
      <x:c r="J36" s="39"/>
    </x:row>
    <x:row r="37">
      <x:c r="A37" s="39" t="str">
        <x:v>A-031</x:v>
      </x:c>
      <x:c r="B37" s="39" t="str">
        <x:v>Arsenals</x:v>
      </x:c>
      <x:c r="C37" s="39" t="str">
        <x:f>IF('Basing'!B21=18,"PASS","FAIL")</x:f>
        <x:v>PASS</x:v>
      </x:c>
      <x:c r="D37" s="39" t="str">
        <x:v>eighteen arsenals</x:v>
      </x:c>
      <x:c r="E37" s="39"/>
      <x:c r="F37" s="39"/>
      <x:c r="G37" s="39"/>
      <x:c r="H37" s="39"/>
      <x:c r="I37" s="39"/>
      <x:c r="J37" s="39"/>
    </x:row>
    <x:row r="38">
      <x:c r="A38" s="39" t="str">
        <x:v>A-032</x:v>
      </x:c>
      <x:c r="B38" s="39" t="str">
        <x:v>Bays per group</x:v>
      </x:c>
      <x:c r="C38" s="39" t="str">
        <x:f>IF(ABS('Bay Capacity'!C7-4.666666667)&lt;0.0001,"PASS","FAIL")</x:f>
        <x:v>PASS</x:v>
      </x:c>
      <x:c r="D38" s="39" t="str">
        <x:v>336 hours divided by 72 hours</x:v>
      </x:c>
      <x:c r="E38" s="39"/>
      <x:c r="F38" s="39"/>
      <x:c r="G38" s="39"/>
      <x:c r="H38" s="39"/>
      <x:c r="I38" s="39"/>
      <x:c r="J38" s="39"/>
    </x:row>
    <x:row r="39">
      <x:c r="A39" s="39" t="str">
        <x:v>A-033</x:v>
      </x:c>
      <x:c r="B39" s="39" t="str">
        <x:v>Bays per cell</x:v>
      </x:c>
      <x:c r="C39" s="39" t="str">
        <x:f>IF(ABS('Bay Capacity'!C8-18.666666667)&lt;0.0001,"PASS","FAIL")</x:f>
        <x:v>PASS</x:v>
      </x:c>
      <x:c r="D39" s="39" t="str">
        <x:v>four-group average demand</x:v>
      </x:c>
      <x:c r="E39" s="39"/>
      <x:c r="F39" s="39"/>
      <x:c r="G39" s="39"/>
      <x:c r="H39" s="39"/>
      <x:c r="I39" s="39"/>
      <x:c r="J39" s="39"/>
    </x:row>
    <x:row r="40">
      <x:c r="A40" s="39" t="str">
        <x:v>A-034</x:v>
      </x:c>
      <x:c r="B40" s="39" t="str">
        <x:v>Surviving arsenals</x:v>
      </x:c>
      <x:c r="C40" s="39" t="str">
        <x:f>IF('Bay Capacity'!C9=2,"PASS","FAIL")</x:f>
        <x:v>PASS</x:v>
      </x:c>
      <x:c r="D40" s="39" t="str">
        <x:v>two remain after one loss</x:v>
      </x:c>
      <x:c r="E40" s="39"/>
      <x:c r="F40" s="39"/>
      <x:c r="G40" s="39"/>
      <x:c r="H40" s="39"/>
      <x:c r="I40" s="39"/>
      <x:c r="J40" s="39"/>
    </x:row>
    <x:row r="41">
      <x:c r="A41" s="39" t="str">
        <x:v>A-035</x:v>
      </x:c>
      <x:c r="B41" s="39" t="str">
        <x:v>Bays per arsenal</x:v>
      </x:c>
      <x:c r="C41" s="39" t="str">
        <x:f>IF('Bay Capacity'!C10=10,"PASS","FAIL")</x:f>
        <x:v>PASS</x:v>
      </x:c>
      <x:c r="D41" s="39" t="str">
        <x:v>minimum integer count</x:v>
      </x:c>
      <x:c r="E41" s="39"/>
      <x:c r="F41" s="39"/>
      <x:c r="G41" s="39"/>
      <x:c r="H41" s="39"/>
      <x:c r="I41" s="39"/>
      <x:c r="J41" s="39"/>
    </x:row>
    <x:row r="42">
      <x:c r="A42" s="39" t="str">
        <x:v>A-036</x:v>
      </x:c>
      <x:c r="B42" s="39" t="str">
        <x:v>Bays per cell installed</x:v>
      </x:c>
      <x:c r="C42" s="39" t="str">
        <x:f>IF('Bay Capacity'!C11=30,"PASS","FAIL")</x:f>
        <x:v>PASS</x:v>
      </x:c>
      <x:c r="D42" s="39" t="str">
        <x:v>three arsenals by ten bays</x:v>
      </x:c>
      <x:c r="E42" s="39"/>
      <x:c r="F42" s="39"/>
      <x:c r="G42" s="39"/>
      <x:c r="H42" s="39"/>
      <x:c r="I42" s="39"/>
      <x:c r="J42" s="39"/>
    </x:row>
    <x:row r="43">
      <x:c r="A43" s="39" t="str">
        <x:v>A-037</x:v>
      </x:c>
      <x:c r="B43" s="39" t="str">
        <x:v>Bays per cell residual</x:v>
      </x:c>
      <x:c r="C43" s="39" t="str">
        <x:f>IF('Bay Capacity'!C12=20,"PASS","FAIL")</x:f>
        <x:v>PASS</x:v>
      </x:c>
      <x:c r="D43" s="39" t="str">
        <x:v>two surviving arsenals</x:v>
      </x:c>
      <x:c r="E43" s="39"/>
      <x:c r="F43" s="39"/>
      <x:c r="G43" s="39"/>
      <x:c r="H43" s="39"/>
      <x:c r="I43" s="39"/>
      <x:c r="J43" s="39"/>
    </x:row>
    <x:row r="44">
      <x:c r="A44" s="39" t="str">
        <x:v>A-038</x:v>
      </x:c>
      <x:c r="B44" s="39" t="str">
        <x:v>Residual utilization</x:v>
      </x:c>
      <x:c r="C44" s="39" t="str">
        <x:f>IF(ABS('Bay Capacity'!C13-0.933333333)&lt;0.0001,"PASS","FAIL")</x:f>
        <x:v>PASS</x:v>
      </x:c>
      <x:c r="D44" s="39" t="str">
        <x:v>cell demand divided by residual bays</x:v>
      </x:c>
      <x:c r="E44" s="39"/>
      <x:c r="F44" s="39"/>
      <x:c r="G44" s="39"/>
      <x:c r="H44" s="39"/>
      <x:c r="I44" s="39"/>
      <x:c r="J44" s="39"/>
    </x:row>
    <x:row r="45">
      <x:c r="A45" s="39" t="str">
        <x:v>A-039</x:v>
      </x:c>
      <x:c r="B45" s="39" t="str">
        <x:v>National bays</x:v>
      </x:c>
      <x:c r="C45" s="39" t="str">
        <x:f>IF('Bay Capacity'!C14=180,"PASS","FAIL")</x:f>
        <x:v>PASS</x:v>
      </x:c>
      <x:c r="D45" s="39" t="str">
        <x:v>180 installed bays</x:v>
      </x:c>
      <x:c r="E45" s="39"/>
      <x:c r="F45" s="39"/>
      <x:c r="G45" s="39"/>
      <x:c r="H45" s="39"/>
      <x:c r="I45" s="39"/>
      <x:c r="J45" s="39"/>
    </x:row>
    <x:row r="46">
      <x:c r="A46" s="39" t="str">
        <x:v>A-040</x:v>
      </x:c>
      <x:c r="B46" s="39" t="str">
        <x:v>National bay demand</x:v>
      </x:c>
      <x:c r="C46" s="39" t="str">
        <x:f>IF('Bay Capacity'!C15=112,"PASS","FAIL")</x:f>
        <x:v>PASS</x:v>
      </x:c>
      <x:c r="D46" s="39" t="str">
        <x:v>112 average bays</x:v>
      </x:c>
      <x:c r="E46" s="39"/>
      <x:c r="F46" s="39"/>
      <x:c r="G46" s="39"/>
      <x:c r="H46" s="39"/>
      <x:c r="I46" s="39"/>
      <x:c r="J46" s="39"/>
    </x:row>
    <x:row r="47">
      <x:c r="A47" s="39" t="str">
        <x:v>A-041</x:v>
      </x:c>
      <x:c r="B47" s="39" t="str">
        <x:v>National residual bays</x:v>
      </x:c>
      <x:c r="C47" s="39" t="str">
        <x:f>IF('Bay Capacity'!C16=120,"PASS","FAIL")</x:f>
        <x:v>PASS</x:v>
      </x:c>
      <x:c r="D47" s="39" t="str">
        <x:v>120 after six simultaneous site losses</x:v>
      </x:c>
      <x:c r="E47" s="39"/>
      <x:c r="F47" s="39"/>
      <x:c r="G47" s="39"/>
      <x:c r="H47" s="39"/>
      <x:c r="I47" s="39"/>
      <x:c r="J47" s="39"/>
    </x:row>
    <x:row r="48">
      <x:c r="A48" s="39" t="str">
        <x:v>A-042</x:v>
      </x:c>
      <x:c r="B48" s="39" t="str">
        <x:v>National bay margin</x:v>
      </x:c>
      <x:c r="C48" s="39" t="str">
        <x:f>IF('Bay Capacity'!C17=8,"PASS","FAIL")</x:f>
        <x:v>PASS</x:v>
      </x:c>
      <x:c r="D48" s="39" t="str">
        <x:v>eight-bay residual margin</x:v>
      </x:c>
      <x:c r="E48" s="39"/>
      <x:c r="F48" s="39"/>
      <x:c r="G48" s="39"/>
      <x:c r="H48" s="39"/>
      <x:c r="I48" s="39"/>
      <x:c r="J48" s="39"/>
    </x:row>
    <x:row r="49">
      <x:c r="A49" s="39" t="str">
        <x:v>A-043</x:v>
      </x:c>
      <x:c r="B49" s="39" t="str">
        <x:v>Annual body replacement</x:v>
      </x:c>
      <x:c r="C49" s="39" t="str">
        <x:f>IF('Production'!C8=10,"PASS","FAIL")</x:f>
        <x:v>PASS</x:v>
      </x:c>
      <x:c r="D49" s="39" t="str">
        <x:v>250 bodies divided by 25 years</x:v>
      </x:c>
      <x:c r="E49" s="39"/>
      <x:c r="F49" s="39"/>
      <x:c r="G49" s="39"/>
      <x:c r="H49" s="39"/>
      <x:c r="I49" s="39"/>
      <x:c r="J49" s="39"/>
    </x:row>
    <x:row r="50">
      <x:c r="A50" s="39" t="str">
        <x:v>A-044</x:v>
      </x:c>
      <x:c r="B50" s="39" t="str">
        <x:v>Output per line</x:v>
      </x:c>
      <x:c r="C50" s="39" t="str">
        <x:f>IF('Production'!C9=3.25,"PASS","FAIL")</x:f>
        <x:v>PASS</x:v>
      </x:c>
      <x:c r="D50" s="39" t="str">
        <x:v>52 weeks divided by sixteen</x:v>
      </x:c>
      <x:c r="E50" s="39"/>
      <x:c r="F50" s="39"/>
      <x:c r="G50" s="39"/>
      <x:c r="H50" s="39"/>
      <x:c r="I50" s="39"/>
      <x:c r="J50" s="39"/>
    </x:row>
    <x:row r="51">
      <x:c r="A51" s="39" t="str">
        <x:v>A-045</x:v>
      </x:c>
      <x:c r="B51" s="39" t="str">
        <x:v>Lines per root</x:v>
      </x:c>
      <x:c r="C51" s="39" t="str">
        <x:f>IF('Production'!C10=4,"PASS","FAIL")</x:f>
        <x:v>PASS</x:v>
      </x:c>
      <x:c r="D51" s="39" t="str">
        <x:v>four lines meet replacement</x:v>
      </x:c>
      <x:c r="E51" s="39"/>
      <x:c r="F51" s="39"/>
      <x:c r="G51" s="39"/>
      <x:c r="H51" s="39"/>
      <x:c r="I51" s="39"/>
      <x:c r="J51" s="39"/>
    </x:row>
    <x:row r="52">
      <x:c r="A52" s="39" t="str">
        <x:v>A-046</x:v>
      </x:c>
      <x:c r="B52" s="39" t="str">
        <x:v>Integration campuses</x:v>
      </x:c>
      <x:c r="C52" s="39" t="str">
        <x:f>IF('Production'!C12=4,"PASS","FAIL")</x:f>
        <x:v>PASS</x:v>
      </x:c>
      <x:c r="D52" s="39" t="str">
        <x:v>four campuses</x:v>
      </x:c>
      <x:c r="E52" s="39"/>
      <x:c r="F52" s="39"/>
      <x:c r="G52" s="39"/>
      <x:c r="H52" s="39"/>
      <x:c r="I52" s="39"/>
      <x:c r="J52" s="39"/>
    </x:row>
    <x:row r="53">
      <x:c r="A53" s="39" t="str">
        <x:v>A-047</x:v>
      </x:c>
      <x:c r="B53" s="39" t="str">
        <x:v>Installed body output</x:v>
      </x:c>
      <x:c r="C53" s="39" t="str">
        <x:f>IF('Production'!C13=26,"PASS","FAIL")</x:f>
        <x:v>PASS</x:v>
      </x:c>
      <x:c r="D53" s="39" t="str">
        <x:v>twenty-six bodies per year</x:v>
      </x:c>
      <x:c r="E53" s="39"/>
      <x:c r="F53" s="39"/>
      <x:c r="G53" s="39"/>
      <x:c r="H53" s="39"/>
      <x:c r="I53" s="39"/>
      <x:c r="J53" s="39"/>
    </x:row>
    <x:row r="54">
      <x:c r="A54" s="39" t="str">
        <x:v>A-048</x:v>
      </x:c>
      <x:c r="B54" s="39" t="str">
        <x:v>Root-loss body output</x:v>
      </x:c>
      <x:c r="C54" s="39" t="str">
        <x:f>IF('Production'!C14&gt;= 'Production'!C8,"PASS","FAIL")</x:f>
        <x:v>PASS</x:v>
      </x:c>
      <x:c r="D54" s="39" t="str">
        <x:v>one root meets replacement</x:v>
      </x:c>
      <x:c r="E54" s="39"/>
      <x:c r="F54" s="39"/>
      <x:c r="G54" s="39"/>
      <x:c r="H54" s="39"/>
      <x:c r="I54" s="39"/>
      <x:c r="J54" s="39"/>
    </x:row>
    <x:row r="55">
      <x:c r="A55" s="39" t="str">
        <x:v>A-049</x:v>
      </x:c>
      <x:c r="B55" s="39" t="str">
        <x:v>Campus-loss body output</x:v>
      </x:c>
      <x:c r="C55" s="39" t="str">
        <x:f>IF('Production'!C15&gt;= 'Production'!C8,"PASS","FAIL")</x:f>
        <x:v>PASS</x:v>
      </x:c>
      <x:c r="D55" s="39" t="str">
        <x:v>one campus loss meets replacement</x:v>
      </x:c>
      <x:c r="E55" s="39"/>
      <x:c r="F55" s="39"/>
      <x:c r="G55" s="39"/>
      <x:c r="H55" s="39"/>
      <x:c r="I55" s="39"/>
      <x:c r="J55" s="39"/>
    </x:row>
    <x:row r="56">
      <x:c r="A56" s="39" t="str">
        <x:v>A-050</x:v>
      </x:c>
      <x:c r="B56" s="39" t="str">
        <x:v>Fielding capacity</x:v>
      </x:c>
      <x:c r="C56" s="39" t="str">
        <x:f>IF('Production'!C16&lt;= 'Production'!C17,"PASS","FAIL")</x:f>
        <x:v>PASS</x:v>
      </x:c>
      <x:c r="D56" s="39" t="str">
        <x:v>full-rate equivalent within horizon</x:v>
      </x:c>
      <x:c r="E56" s="39"/>
      <x:c r="F56" s="39"/>
      <x:c r="G56" s="39"/>
      <x:c r="H56" s="39"/>
      <x:c r="I56" s="39"/>
      <x:c r="J56" s="39"/>
    </x:row>
    <x:row r="57">
      <x:c r="A57" s="39" t="str">
        <x:v>A-051</x:v>
      </x:c>
      <x:c r="B57" s="39" t="str">
        <x:v>Mover inventory</x:v>
      </x:c>
      <x:c r="C57" s="39" t="str">
        <x:f>IF('Transport'!D7=84480,"PASS","FAIL")</x:f>
        <x:v>PASS</x:v>
      </x:c>
      <x:c r="D57" s="39" t="str">
        <x:v>group pools plus ten percent</x:v>
      </x:c>
      <x:c r="E57" s="39"/>
      <x:c r="F57" s="39"/>
      <x:c r="G57" s="39"/>
      <x:c r="H57" s="39"/>
      <x:c r="I57" s="39"/>
      <x:c r="J57" s="39"/>
    </x:row>
    <x:row r="58">
      <x:c r="A58" s="39" t="str">
        <x:v>A-052</x:v>
      </x:c>
      <x:c r="B58" s="39" t="str">
        <x:v>Frame inventory</x:v>
      </x:c>
      <x:c r="C58" s="39" t="str">
        <x:f>IF('Transport'!D8=79200,"PASS","FAIL")</x:f>
        <x:v>PASS</x:v>
      </x:c>
      <x:c r="D58" s="39" t="str">
        <x:v>group pools plus ten percent</x:v>
      </x:c>
      <x:c r="E58" s="39"/>
      <x:c r="F58" s="39"/>
      <x:c r="G58" s="39"/>
      <x:c r="H58" s="39"/>
      <x:c r="I58" s="39"/>
      <x:c r="J58" s="39"/>
    </x:row>
    <x:row r="59">
      <x:c r="A59" s="39" t="str">
        <x:v>A-053</x:v>
      </x:c>
      <x:c r="B59" s="39" t="str">
        <x:v>Mover replacement</x:v>
      </x:c>
      <x:c r="C59" s="39" t="str">
        <x:f>IF('Transport'!F7=7040,"PASS","FAIL")</x:f>
        <x:v>PASS</x:v>
      </x:c>
      <x:c r="D59" s="39" t="str">
        <x:v>inventory divided by life</x:v>
      </x:c>
      <x:c r="E59" s="39"/>
      <x:c r="F59" s="39"/>
      <x:c r="G59" s="39"/>
      <x:c r="H59" s="39"/>
      <x:c r="I59" s="39"/>
      <x:c r="J59" s="39"/>
    </x:row>
    <x:row r="60">
      <x:c r="A60" s="39" t="str">
        <x:v>A-054</x:v>
      </x:c>
      <x:c r="B60" s="39" t="str">
        <x:v>Frame replacement</x:v>
      </x:c>
      <x:c r="C60" s="39" t="str">
        <x:f>IF('Transport'!F8=3960,"PASS","FAIL")</x:f>
        <x:v>PASS</x:v>
      </x:c>
      <x:c r="D60" s="39" t="str">
        <x:v>inventory divided by life</x:v>
      </x:c>
      <x:c r="E60" s="39"/>
      <x:c r="F60" s="39"/>
      <x:c r="G60" s="39"/>
      <x:c r="H60" s="39"/>
      <x:c r="I60" s="39"/>
      <x:c r="J60" s="39"/>
    </x:row>
    <x:row r="61">
      <x:c r="A61" s="39" t="str">
        <x:v>A-055</x:v>
      </x:c>
      <x:c r="B61" s="39" t="str">
        <x:v>Mover root capacity</x:v>
      </x:c>
      <x:c r="C61" s="39" t="str">
        <x:f>IF('Transport'!H7="PASS","PASS","FAIL")</x:f>
        <x:v>PASS</x:v>
      </x:c>
      <x:c r="D61" s="39" t="str">
        <x:v>one root meets normal replacement</x:v>
      </x:c>
      <x:c r="E61" s="39"/>
      <x:c r="F61" s="39"/>
      <x:c r="G61" s="39"/>
      <x:c r="H61" s="39"/>
      <x:c r="I61" s="39"/>
      <x:c r="J61" s="39"/>
    </x:row>
    <x:row r="62">
      <x:c r="A62" s="39" t="str">
        <x:v>A-056</x:v>
      </x:c>
      <x:c r="B62" s="39" t="str">
        <x:v>Frame root capacity</x:v>
      </x:c>
      <x:c r="C62" s="39" t="str">
        <x:f>IF('Transport'!H8="PASS","PASS","FAIL")</x:f>
        <x:v>PASS</x:v>
      </x:c>
      <x:c r="D62" s="39" t="str">
        <x:v>one root meets normal replacement</x:v>
      </x:c>
      <x:c r="E62" s="39"/>
      <x:c r="F62" s="39"/>
      <x:c r="G62" s="39"/>
      <x:c r="H62" s="39"/>
      <x:c r="I62" s="39"/>
      <x:c r="J62" s="39"/>
    </x:row>
    <x:row r="63">
      <x:c r="A63" s="39" t="str">
        <x:v>A-057</x:v>
      </x:c>
      <x:c r="B63" s="39" t="str">
        <x:v>Operating workforce</x:v>
      </x:c>
      <x:c r="C63" s="39" t="str">
        <x:f>IF('Workforce'!C16=345600,"PASS","FAIL")</x:f>
        <x:v>PASS</x:v>
      </x:c>
      <x:c r="D63" s="39" t="str">
        <x:v>operating functions reconcile</x:v>
      </x:c>
      <x:c r="E63" s="39"/>
      <x:c r="F63" s="39"/>
      <x:c r="G63" s="39"/>
      <x:c r="H63" s="39"/>
      <x:c r="I63" s="39"/>
      <x:c r="J63" s="39"/>
    </x:row>
    <x:row r="64">
      <x:c r="A64" s="39" t="str">
        <x:v>A-058</x:v>
      </x:c>
      <x:c r="B64" s="39" t="str">
        <x:v>Industrial workforce</x:v>
      </x:c>
      <x:c r="C64" s="39" t="str">
        <x:f>IF('Workforce'!C17=32000,"PASS","FAIL")</x:f>
        <x:v>PASS</x:v>
      </x:c>
      <x:c r="D64" s="39" t="str">
        <x:v>public industrial positions</x:v>
      </x:c>
      <x:c r="E64" s="39"/>
      <x:c r="F64" s="39"/>
      <x:c r="G64" s="39"/>
      <x:c r="H64" s="39"/>
      <x:c r="I64" s="39"/>
      <x:c r="J64" s="39"/>
    </x:row>
    <x:row r="65">
      <x:c r="A65" s="39" t="str">
        <x:v>A-059</x:v>
      </x:c>
      <x:c r="B65" s="39" t="str">
        <x:v>Personnel reserve</x:v>
      </x:c>
      <x:c r="C65" s="39" t="str">
        <x:f>IF('Workforce'!C18=51840,"PASS","FAIL")</x:f>
        <x:v>PASS</x:v>
      </x:c>
      <x:c r="D65" s="39" t="str">
        <x:v>fifteen percent of operating establishment</x:v>
      </x:c>
      <x:c r="E65" s="39"/>
      <x:c r="F65" s="39"/>
      <x:c r="G65" s="39"/>
      <x:c r="H65" s="39"/>
      <x:c r="I65" s="39"/>
      <x:c r="J65" s="39"/>
    </x:row>
    <x:row r="66">
      <x:c r="A66" s="39" t="str">
        <x:v>A-060</x:v>
      </x:c>
      <x:c r="B66" s="39" t="str">
        <x:v>Total public personnel</x:v>
      </x:c>
      <x:c r="C66" s="39" t="str">
        <x:f>IF('Workforce'!C19=429440,"PASS","FAIL")</x:f>
        <x:v>PASS</x:v>
      </x:c>
      <x:c r="D66" s="39" t="str">
        <x:v>all public accounts reconcile</x:v>
      </x:c>
      <x:c r="E66" s="39"/>
      <x:c r="F66" s="39"/>
      <x:c r="G66" s="39"/>
      <x:c r="H66" s="39"/>
      <x:c r="I66" s="39"/>
      <x:c r="J66" s="39"/>
    </x:row>
    <x:row r="67">
      <x:c r="A67" s="39" t="str">
        <x:v>A-061</x:v>
      </x:c>
      <x:c r="B67" s="39" t="str">
        <x:v>System capital</x:v>
      </x:c>
      <x:c r="C67" s="39" t="str">
        <x:f>IF(ABS('Capital'!C7-1948.4416)&lt;0.0001,"PASS","FAIL")</x:f>
        <x:v>PASS</x:v>
      </x:c>
      <x:c r="D67" s="39" t="str">
        <x:v>256 bodies at unit basis</x:v>
      </x:c>
      <x:c r="E67" s="39"/>
      <x:c r="F67" s="39"/>
      <x:c r="G67" s="39"/>
      <x:c r="H67" s="39"/>
      <x:c r="I67" s="39"/>
      <x:c r="J67" s="39"/>
    </x:row>
    <x:row r="68">
      <x:c r="A68" s="39" t="str">
        <x:v>A-062</x:v>
      </x:c>
      <x:c r="B68" s="39" t="str">
        <x:v>Initial capital</x:v>
      </x:c>
      <x:c r="C68" s="39" t="str">
        <x:f>IF(ABS('Capital'!C18-3641.2016)&lt;0.0001,"PASS","FAIL")</x:f>
        <x:v>PASS</x:v>
      </x:c>
      <x:c r="D68" s="39" t="str">
        <x:v>capital elements reconcile</x:v>
      </x:c>
      <x:c r="E68" s="39"/>
      <x:c r="F68" s="39"/>
      <x:c r="G68" s="39"/>
      <x:c r="H68" s="39"/>
      <x:c r="I68" s="39"/>
      <x:c r="J68" s="39"/>
    </x:row>
    <x:row r="69">
      <x:c r="A69" s="39" t="str">
        <x:v>A-063</x:v>
      </x:c>
      <x:c r="B69" s="39" t="str">
        <x:v>Capital share</x:v>
      </x:c>
      <x:c r="C69" s="39" t="str">
        <x:f>IF(ABS('Capital'!C20-3641.2016/15179)&lt;0.0001,"PASS","FAIL")</x:f>
        <x:v>PASS</x:v>
      </x:c>
      <x:c r="D69" s="39" t="str">
        <x:v>dedicated upper bound share</x:v>
      </x:c>
      <x:c r="E69" s="39"/>
      <x:c r="F69" s="39"/>
      <x:c r="G69" s="39"/>
      <x:c r="H69" s="39"/>
      <x:c r="I69" s="39"/>
      <x:c r="J69" s="39"/>
    </x:row>
    <x:row r="70">
      <x:c r="A70" s="39" t="str">
        <x:v>A-064</x:v>
      </x:c>
      <x:c r="B70" s="39" t="str">
        <x:v>Annual support</x:v>
      </x:c>
      <x:c r="C70" s="39" t="str">
        <x:f>IF(ABS('Annual Support'!C15-290.465648)&lt;0.0001,"PASS","FAIL")</x:f>
        <x:v>PASS</x:v>
      </x:c>
      <x:c r="D70" s="39" t="str">
        <x:v>annual elements reconcile</x:v>
      </x:c>
      <x:c r="E70" s="39"/>
      <x:c r="F70" s="39"/>
      <x:c r="G70" s="39"/>
      <x:c r="H70" s="39"/>
      <x:c r="I70" s="39"/>
      <x:c r="J70" s="39"/>
    </x:row>
    <x:row r="71">
      <x:c r="A71" s="39" t="str">
        <x:v>A-065</x:v>
      </x:c>
      <x:c r="B71" s="39" t="str">
        <x:v>Technology total</x:v>
      </x:c>
      <x:c r="C71" s="39" t="str">
        <x:f>IF('Technology'!B15=250,"PASS","FAIL")</x:f>
        <x:v>PASS</x:v>
      </x:c>
      <x:c r="D71" s="39" t="str">
        <x:v>technology campaigns reconcile</x:v>
      </x:c>
      <x:c r="E71" s="39"/>
      <x:c r="F71" s="39"/>
      <x:c r="G71" s="39"/>
      <x:c r="H71" s="39"/>
      <x:c r="I71" s="39"/>
      <x:c r="J71" s="39"/>
    </x:row>
    <x:row r="72">
      <x:c r="A72" s="39" t="str">
        <x:v>A-066</x:v>
      </x:c>
      <x:c r="B72" s="39" t="str">
        <x:v>Lifecycle support</x:v>
      </x:c>
      <x:c r="C72" s="39" t="str">
        <x:f>IF(ABS('Lifecycle'!C9-'Annual Support'!C15*25)&lt;0.0001,"PASS","FAIL")</x:f>
        <x:v>PASS</x:v>
      </x:c>
      <x:c r="D72" s="39" t="str">
        <x:v>twenty-five annual periods</x:v>
      </x:c>
      <x:c r="E72" s="39"/>
      <x:c r="F72" s="39"/>
      <x:c r="G72" s="39"/>
      <x:c r="H72" s="39"/>
      <x:c r="I72" s="39"/>
      <x:c r="J72" s="39"/>
    </x:row>
    <x:row r="73">
      <x:c r="A73" s="39" t="str">
        <x:v>A-067</x:v>
      </x:c>
      <x:c r="B73" s="39" t="str">
        <x:v>Lifecycle total</x:v>
      </x:c>
      <x:c r="C73" s="39" t="str">
        <x:f>IF(ABS('Lifecycle'!C14-12191.64112)&lt;0.0001,"PASS","FAIL")</x:f>
        <x:v>PASS</x:v>
      </x:c>
      <x:c r="D73" s="39" t="str">
        <x:v>lifecycle elements reconcile</x:v>
      </x:c>
      <x:c r="E73" s="39"/>
      <x:c r="F73" s="39"/>
      <x:c r="G73" s="39"/>
      <x:c r="H73" s="39"/>
      <x:c r="I73" s="39"/>
      <x:c r="J73" s="39"/>
    </x:row>
    <x:row r="74">
      <x:c r="A74" s="39" t="str">
        <x:v>A-068</x:v>
      </x:c>
      <x:c r="B74" s="39" t="str">
        <x:v>Demand W0</x:v>
      </x:c>
      <x:c r="C74" s="39" t="str">
        <x:f>IF('Demand Worlds'!G7="PASS","PASS","FAIL")</x:f>
        <x:v>PASS</x:v>
      </x:c>
      <x:c r="D74" s="39" t="str">
        <x:v>sector floor passes</x:v>
      </x:c>
      <x:c r="E74" s="39"/>
      <x:c r="F74" s="39"/>
      <x:c r="G74" s="39"/>
      <x:c r="H74" s="39"/>
      <x:c r="I74" s="39"/>
      <x:c r="J74" s="39"/>
    </x:row>
    <x:row r="75">
      <x:c r="A75" s="39" t="str">
        <x:v>A-069</x:v>
      </x:c>
      <x:c r="B75" s="39" t="str">
        <x:v>Demand W2</x:v>
      </x:c>
      <x:c r="C75" s="39" t="str">
        <x:f>IF('Demand Worlds'!G9="PASS","PASS","FAIL")</x:f>
        <x:v>PASS</x:v>
      </x:c>
      <x:c r="D75" s="39" t="str">
        <x:v>compound plus global passes</x:v>
      </x:c>
      <x:c r="E75" s="39"/>
      <x:c r="F75" s="39"/>
      <x:c r="G75" s="39"/>
      <x:c r="H75" s="39"/>
      <x:c r="I75" s="39"/>
      <x:c r="J75" s="39"/>
    </x:row>
    <x:row r="76">
      <x:c r="A76" s="39" t="str">
        <x:v>A-070</x:v>
      </x:c>
      <x:c r="B76" s="39" t="str">
        <x:v>Demand W5 boundary</x:v>
      </x:c>
      <x:c r="C76" s="39" t="str">
        <x:f>IF('Demand Worlds'!G12="BOUNDARY","PASS","FAIL")</x:f>
        <x:v>PASS</x:v>
      </x:c>
      <x:c r="D76" s="39" t="str">
        <x:v>all categories consume total force</x:v>
      </x:c>
      <x:c r="E76" s="39"/>
      <x:c r="F76" s="39"/>
      <x:c r="G76" s="39"/>
      <x:c r="H76" s="39"/>
      <x:c r="I76" s="39"/>
      <x:c r="J76" s="39"/>
    </x:row>
    <x:row r="77">
      <x:c r="A77" s="39" t="str">
        <x:v>A-071</x:v>
      </x:c>
      <x:c r="B77" s="39" t="str">
        <x:v>Fielding total</x:v>
      </x:c>
      <x:c r="C77" s="39" t="str">
        <x:f>IF('Fielding Schedule'!C18='Fleet'!C14,"PASS","FAIL")</x:f>
        <x:v>PASS</x:v>
      </x:c>
      <x:c r="D77" s="39" t="str">
        <x:v>twelve years complete 256 bodies</x:v>
      </x:c>
      <x:c r="E77" s="39"/>
      <x:c r="F77" s="39"/>
      <x:c r="G77" s="39"/>
      <x:c r="H77" s="39"/>
      <x:c r="I77" s="39"/>
      <x:c r="J77" s="39"/>
    </x:row>
    <x:row r="78">
      <x:c r="A78" s="39" t="str">
        <x:v>A-072</x:v>
      </x:c>
      <x:c r="B78" s="39" t="str">
        <x:v>Fielding annual cap</x:v>
      </x:c>
      <x:c r="C78" s="39" t="str">
        <x:f>IF(COUNTIF('Fielding Schedule'!F7:F18,"FAIL")=0,"PASS","FAIL")</x:f>
        <x:v>PASS</x:v>
      </x:c>
      <x:c r="D78" s="39" t="str">
        <x:v>no year exceeds installed output</x:v>
      </x:c>
      <x:c r="E78" s="39"/>
      <x:c r="F78" s="39"/>
      <x:c r="G78" s="39"/>
      <x:c r="H78" s="39"/>
      <x:c r="I78" s="39"/>
      <x:c r="J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</x:row>
    <x:row r="80">
      <x:c r="A80" s="66" t="str">
        <x:v>Audit summary</x:v>
      </x:c>
      <x:c r="B80" s="66" t="str">
        <x:v>Passing checks</x:v>
      </x:c>
      <x:c r="C80" s="66" t="n">
        <x:f>COUNTIF(C7:C78,"PASS")</x:f>
        <x:v>72</x:v>
      </x:c>
      <x:c r="D80" s="66" t="str">
        <x:v>All 72 required</x:v>
      </x:c>
      <x:c r="E80" s="39"/>
      <x:c r="F80" s="39"/>
      <x:c r="G80" s="39"/>
      <x:c r="H80" s="39"/>
      <x:c r="I80" s="39"/>
      <x:c r="J80" s="39"/>
    </x:row>
  </x:sheetData>
  <x:mergeCells>
    <x:mergeCell ref="A2:J2"/>
    <x:mergeCell ref="A3:J3"/>
  </x:mergeCells>
  <x:conditionalFormatting sqref="C7:C78">
    <x:cfRule type="containsText" dxfId="11" priority="1" operator="containsText" text="FAIL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8C7A6B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8" hidden="0" customWidth="1"/>
    <x:col min="2" max="2" width="110" hidden="0" customWidth="1"/>
  </x:cols>
  <x:sheetData>
    <x:row r="2">
      <x:c r="A2" s="38" t="str">
        <x:v>Model use and interpretation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40" t="str">
        <x:v>RBV-1 national fire-control service guarantee, basing, allocation and mature-economy planning model.</x:v>
      </x:c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</x:row>
    <x:row r="6" ht="30" customHeight="1">
      <x:c r="A6" s="16" t="str">
        <x:v>Topic</x:v>
      </x:c>
      <x:c r="B6" s="18" t="str">
        <x:v>Guidance</x:v>
      </x:c>
      <x:c r="C6" s="39"/>
      <x:c r="D6" s="39"/>
      <x:c r="E6" s="39"/>
      <x:c r="F6" s="39"/>
      <x:c r="G6" s="39"/>
      <x:c r="H6" s="39"/>
      <x:c r="I6" s="39"/>
      <x:c r="J6" s="39"/>
    </x:row>
    <x:row r="7" ht="34" customHeight="1">
      <x:c r="A7" s="39" t="str">
        <x:v>Purpose</x:v>
      </x:c>
      <x:c r="B7" s="87" t="str">
        <x:v>Translate one accepted eight-set group into a national service constitution, fleet, basing topology, replacement system, workforce and twenty-five-year public account.</x:v>
      </x:c>
      <x:c r="C7" s="39"/>
      <x:c r="D7" s="39"/>
      <x:c r="E7" s="39"/>
      <x:c r="F7" s="39"/>
      <x:c r="G7" s="39"/>
      <x:c r="H7" s="39"/>
      <x:c r="I7" s="39"/>
      <x:c r="J7" s="39"/>
    </x:row>
    <x:row r="8" ht="34" customHeight="1">
      <x:c r="A8" s="39" t="str">
        <x:v>Decision status</x:v>
      </x:c>
      <x:c r="B8" s="87" t="str">
        <x:v>Planning only. No physical gate, procurement, site, deployment, export or exterior rendering is authorized.</x:v>
      </x:c>
      <x:c r="C8" s="39"/>
      <x:c r="D8" s="39"/>
      <x:c r="E8" s="39"/>
      <x:c r="F8" s="39"/>
      <x:c r="G8" s="39"/>
      <x:c r="H8" s="39"/>
      <x:c r="I8" s="39"/>
      <x:c r="J8" s="39"/>
    </x:row>
    <x:row r="9" ht="34" customHeight="1">
      <x:c r="A9" s="39" t="str">
        <x:v>Sources</x:v>
      </x:c>
      <x:c r="B9" s="87" t="str">
        <x:v>Internal project constitutions RBS-1, RBT-1, RBU-1, AIMC and the Department of Resilience. No external sites or datasets are used.</x:v>
      </x:c>
      <x:c r="C9" s="39"/>
      <x:c r="D9" s="39"/>
      <x:c r="E9" s="39"/>
      <x:c r="F9" s="39"/>
      <x:c r="G9" s="39"/>
      <x:c r="H9" s="39"/>
      <x:c r="I9" s="39"/>
      <x:c r="J9" s="39"/>
    </x:row>
    <x:row r="10" ht="34" customHeight="1">
      <x:c r="A10" s="39" t="str">
        <x:v>Case control</x:v>
      </x:c>
      <x:c r="B10" s="87" t="str">
        <x:v>Change Selected case index on Assumptions. Active category counts, fleet, basing, production, workforce and finance recalculate.</x:v>
      </x:c>
      <x:c r="C10" s="39"/>
      <x:c r="D10" s="39"/>
      <x:c r="E10" s="39"/>
      <x:c r="F10" s="39"/>
      <x:c r="G10" s="39"/>
      <x:c r="H10" s="39"/>
      <x:c r="I10" s="39"/>
      <x:c r="J10" s="39"/>
    </x:row>
    <x:row r="11" ht="34" customHeight="1">
      <x:c r="A11" s="39" t="str">
        <x:v>Candidate meaning</x:v>
      </x:c>
      <x:c r="B11" s="87" t="str">
        <x:v>A12, B18, C24 and D30 are deterministic service constitutions. They are not probability forecasts.</x:v>
      </x:c>
      <x:c r="C11" s="39"/>
      <x:c r="D11" s="39"/>
      <x:c r="E11" s="39"/>
      <x:c r="F11" s="39"/>
      <x:c r="G11" s="39"/>
      <x:c r="H11" s="39"/>
      <x:c r="I11" s="39"/>
      <x:c r="J11" s="39"/>
    </x:row>
    <x:row r="12" ht="34" customHeight="1">
      <x:c r="A12" s="39" t="str">
        <x:v>Selected case</x:v>
      </x:c>
      <x:c r="B12" s="87" t="str">
        <x:v>C24 is the least tested candidate that meets twelve sector, four compound, four invited global and four strategic entitlements.</x:v>
      </x:c>
      <x:c r="C12" s="39"/>
      <x:c r="D12" s="39"/>
      <x:c r="E12" s="39"/>
      <x:c r="F12" s="39"/>
      <x:c r="G12" s="39"/>
      <x:c r="H12" s="39"/>
      <x:c r="I12" s="39"/>
      <x:c r="J12" s="39"/>
    </x:row>
    <x:row r="13" ht="34" customHeight="1">
      <x:c r="A13" s="39" t="str">
        <x:v>Group rule</x:v>
      </x:c>
      <x:c r="B13" s="87" t="str">
        <x:v>One line requires seven rotation sets and one protected onset reserve. Two lines require two intact groups and sixteen sets.</x:v>
      </x:c>
      <x:c r="C13" s="39"/>
      <x:c r="D13" s="39"/>
      <x:c r="E13" s="39"/>
      <x:c r="F13" s="39"/>
      <x:c r="G13" s="39"/>
      <x:c r="H13" s="39"/>
      <x:c r="I13" s="39"/>
      <x:c r="J13" s="39"/>
    </x:row>
    <x:row r="14" ht="34" customHeight="1">
      <x:c r="A14" s="39" t="str">
        <x:v>Geography</x:v>
      </x:c>
      <x:c r="B14" s="87" t="str">
        <x:v>Six arsenal cells and forty-eight launch stations are abstract topology. No location or travel-time claim is made.</x:v>
      </x:c>
      <x:c r="C14" s="39"/>
      <x:c r="D14" s="39"/>
      <x:c r="E14" s="39"/>
      <x:c r="F14" s="39"/>
      <x:c r="G14" s="39"/>
      <x:c r="H14" s="39"/>
      <x:c r="I14" s="39"/>
      <x:c r="J14" s="39"/>
    </x:row>
    <x:row r="15" ht="34" customHeight="1">
      <x:c r="A15" s="39" t="str">
        <x:v>Finance</x:v>
      </x:c>
      <x:c r="B15" s="87" t="str">
        <x:v>Constant 2026 USD. The lifecycle view is undiscounted and excludes inflation, financing, benefits, avoided losses and macroeconomic multipliers.</x:v>
      </x:c>
      <x:c r="C15" s="39"/>
      <x:c r="D15" s="39"/>
      <x:c r="E15" s="39"/>
      <x:c r="F15" s="39"/>
      <x:c r="G15" s="39"/>
      <x:c r="H15" s="39"/>
      <x:c r="I15" s="39"/>
      <x:c r="J15" s="39"/>
    </x:row>
    <x:row r="16" ht="34" customHeight="1">
      <x:c r="A16" s="39" t="str">
        <x:v>Dedicated upper bound</x:v>
      </x:c>
      <x:c r="B16" s="87" t="str">
        <x:v>The cost model assumes dedicated ownership until RBW-1 establishes common-force availability and removes double counting.</x:v>
      </x:c>
      <x:c r="C16" s="39"/>
      <x:c r="D16" s="39"/>
      <x:c r="E16" s="39"/>
      <x:c r="F16" s="39"/>
      <x:c r="G16" s="39"/>
      <x:c r="H16" s="39"/>
      <x:c r="I16" s="39"/>
      <x:c r="J16" s="39"/>
    </x:row>
    <x:row r="17" ht="34" customHeight="1">
      <x:c r="A17" s="39" t="str">
        <x:v>Formula flow</x:v>
      </x:c>
      <x:c r="B17" s="87" t="str">
        <x:v>Assumptions feed builds. Executive links completed results. Gate Register and Audit are terminal and feed nothing.</x:v>
      </x:c>
      <x:c r="C17" s="39"/>
      <x:c r="D17" s="39"/>
      <x:c r="E17" s="39"/>
      <x:c r="F17" s="39"/>
      <x:c r="G17" s="39"/>
      <x:c r="H17" s="39"/>
      <x:c r="I17" s="39"/>
      <x:c r="J17" s="39"/>
    </x:row>
    <x:row r="18" ht="34" customHeight="1">
      <x:c r="A18" s="39" t="str">
        <x:v>Input color</x:v>
      </x:c>
      <x:c r="B18" s="87" t="str">
        <x:v>Blue values with pale amber fill are editable assumptions. Linked calculations remain formula-driven.</x:v>
      </x:c>
      <x:c r="C18" s="39"/>
      <x:c r="D18" s="39"/>
      <x:c r="E18" s="39"/>
      <x:c r="F18" s="39"/>
      <x:c r="G18" s="39"/>
      <x:c r="H18" s="39"/>
      <x:c r="I18" s="39"/>
      <x:c r="J18" s="39"/>
    </x:row>
    <x:row r="19" ht="34" customHeight="1">
      <x:c r="A19" s="39" t="str">
        <x:v>Verification</x:v>
      </x:c>
      <x:c r="B19" s="87" t="str">
        <x:v>All sheets are rendered, formula errors are scanned, 72 terminal checks are required, and selected inputs are changed and restored before release.</x:v>
      </x:c>
      <x:c r="C19" s="39"/>
      <x:c r="D19" s="39"/>
      <x:c r="E19" s="39"/>
      <x:c r="F19" s="39"/>
      <x:c r="G19" s="39"/>
      <x:c r="H19" s="39"/>
      <x:c r="I19" s="39"/>
      <x:c r="J19" s="39"/>
    </x:row>
  </x:sheetData>
  <x:mergeCells>
    <x:mergeCell ref="A2:J2"/>
    <x:mergeCell ref="A3:J3"/>
  </x:mergeCells>
  <x:pageMargins left="0.7" right="0.7" top="0.75" bottom="0.75" header="0.3" footer="0.3"/>
</x:worksheet>
</file>