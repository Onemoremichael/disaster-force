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8a869a643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8334c0b2f147e5"/>
    <x:sheet xmlns:r="http://schemas.openxmlformats.org/officeDocument/2006/relationships" name="Assumptions" sheetId="2" r:id="R08fcd1e587024d28"/>
    <x:sheet xmlns:r="http://schemas.openxmlformats.org/officeDocument/2006/relationships" name="Mission Contract" sheetId="3" r:id="Rb62e4cea98a84723"/>
    <x:sheet xmlns:r="http://schemas.openxmlformats.org/officeDocument/2006/relationships" name="Water Screen" sheetId="4" r:id="Rf474f06bf4ee47c9"/>
    <x:sheet xmlns:r="http://schemas.openxmlformats.org/officeDocument/2006/relationships" name="Energy Screen" sheetId="5" r:id="Rd7702b36dccc44f9"/>
    <x:sheet xmlns:r="http://schemas.openxmlformats.org/officeDocument/2006/relationships" name="Trunkline Screen" sheetId="6" r:id="R3bee24b52ddc418b"/>
    <x:sheet xmlns:r="http://schemas.openxmlformats.org/officeDocument/2006/relationships" name="Recovery Screen" sheetId="7" r:id="Rc8c7957afc0644dc"/>
    <x:sheet xmlns:r="http://schemas.openxmlformats.org/officeDocument/2006/relationships" name="Architectures" sheetId="8" r:id="Rfdd502bb75594bf1"/>
    <x:sheet xmlns:r="http://schemas.openxmlformats.org/officeDocument/2006/relationships" name="OCE Dossier" sheetId="9" r:id="R23eaefd79381457a"/>
    <x:sheet xmlns:r="http://schemas.openxmlformats.org/officeDocument/2006/relationships" name="Quarter Articles" sheetId="10" r:id="R5c231214505b4896"/>
    <x:sheet xmlns:r="http://schemas.openxmlformats.org/officeDocument/2006/relationships" name="Quarter Trials" sheetId="11" r:id="Rb999e425aa2a461f"/>
    <x:sheet xmlns:r="http://schemas.openxmlformats.org/officeDocument/2006/relationships" name="Matched Comparisons" sheetId="12" r:id="R2debc35cdc0c4214"/>
    <x:sheet xmlns:r="http://schemas.openxmlformats.org/officeDocument/2006/relationships" name="Full Systems" sheetId="13" r:id="R2d8b1a71943e4cf7"/>
    <x:sheet xmlns:r="http://schemas.openxmlformats.org/officeDocument/2006/relationships" name="Trial Types" sheetId="14" r:id="Rccab1f94a3ce4964"/>
    <x:sheet xmlns:r="http://schemas.openxmlformats.org/officeDocument/2006/relationships" name="Mission Trials" sheetId="15" r:id="R99ead908818543a4"/>
    <x:sheet xmlns:r="http://schemas.openxmlformats.org/officeDocument/2006/relationships" name="Water Throughput" sheetId="16" r:id="R48d24601c1854d7d"/>
    <x:sheet xmlns:r="http://schemas.openxmlformats.org/officeDocument/2006/relationships" name="Hard Gates" sheetId="17" r:id="Rca33c39d4fe44f77"/>
    <x:sheet xmlns:r="http://schemas.openxmlformats.org/officeDocument/2006/relationships" name="Service Loss" sheetId="18" r:id="Rf2afdc0479d6485b"/>
    <x:sheet xmlns:r="http://schemas.openxmlformats.org/officeDocument/2006/relationships" name="Intervention Cells" sheetId="19" r:id="R1334c289c6ff4a72"/>
    <x:sheet xmlns:r="http://schemas.openxmlformats.org/officeDocument/2006/relationships" name="Raw Water Modes" sheetId="20" r:id="R229e714f3e434c7c"/>
    <x:sheet xmlns:r="http://schemas.openxmlformats.org/officeDocument/2006/relationships" name="Command Authorities" sheetId="21" r:id="Ra980922f7c9d493c"/>
    <x:sheet xmlns:r="http://schemas.openxmlformats.org/officeDocument/2006/relationships" name="Evidence" sheetId="22" r:id="R1f0768d81f2542e3"/>
    <x:sheet xmlns:r="http://schemas.openxmlformats.org/officeDocument/2006/relationships" name="Rotation" sheetId="23" r:id="Rf9532dca6c084d45"/>
    <x:sheet xmlns:r="http://schemas.openxmlformats.org/officeDocument/2006/relationships" name="Logistics" sheetId="24" r:id="R842f46bc35aa4884"/>
    <x:sheet xmlns:r="http://schemas.openxmlformats.org/officeDocument/2006/relationships" name="Schedule" sheetId="25" r:id="R4965c2df085443c8"/>
    <x:sheet xmlns:r="http://schemas.openxmlformats.org/officeDocument/2006/relationships" name="Workforce" sheetId="26" r:id="Ra0b2e2045e0f4d82"/>
    <x:sheet xmlns:r="http://schemas.openxmlformats.org/officeDocument/2006/relationships" name="Capital" sheetId="27" r:id="R2d41b8bfd32e4840"/>
    <x:sheet xmlns:r="http://schemas.openxmlformats.org/officeDocument/2006/relationships" name="Annual Support" sheetId="28" r:id="Rb5889b1f09b94505"/>
    <x:sheet xmlns:r="http://schemas.openxmlformats.org/officeDocument/2006/relationships" name="Technology" sheetId="29" r:id="R575a5a2493204005"/>
    <x:sheet xmlns:r="http://schemas.openxmlformats.org/officeDocument/2006/relationships" name="Parent Amendment" sheetId="30" r:id="Rf58c60978db94293"/>
    <x:sheet xmlns:r="http://schemas.openxmlformats.org/officeDocument/2006/relationships" name="Sensitivity" sheetId="31" r:id="R66bfecad401847c4"/>
    <x:sheet xmlns:r="http://schemas.openxmlformats.org/officeDocument/2006/relationships" name="Release Gates" sheetId="32" r:id="R4195f19907174216"/>
    <x:sheet xmlns:r="http://schemas.openxmlformats.org/officeDocument/2006/relationships" name="Audit" sheetId="33" r:id="Ra844710eb6cb4925"/>
    <x:sheet xmlns:r="http://schemas.openxmlformats.org/officeDocument/2006/relationships" name="Sources" sheetId="34" r:id="R5cfde1d8a5a94efd"/>
    <x:sheet xmlns:r="http://schemas.openxmlformats.org/officeDocument/2006/relationships" name="Read Me" sheetId="35" r:id="R07784d9b6c55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#,##0"/>
    <x:numFmt numFmtId="202" formatCode="$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7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c170c63da47c0" /><Relationship Type="http://schemas.openxmlformats.org/officeDocument/2006/relationships/theme" Target="/xl/theme/theme1.xml" Id="R15441a1c2d0a4e1e" /><Relationship Type="http://schemas.openxmlformats.org/officeDocument/2006/relationships/sharedStrings" Target="/xl/sharedStrings.xml" Id="R69121b3ee2a3411a" /><Relationship Type="http://schemas.openxmlformats.org/officeDocument/2006/relationships/worksheet" Target="/xl/worksheets/sheet1.xml" Id="R768334c0b2f147e5" /><Relationship Type="http://schemas.openxmlformats.org/officeDocument/2006/relationships/worksheet" Target="/xl/worksheets/sheet2.xml" Id="R08fcd1e587024d28" /><Relationship Type="http://schemas.openxmlformats.org/officeDocument/2006/relationships/worksheet" Target="/xl/worksheets/sheet3.xml" Id="Rb62e4cea98a84723" /><Relationship Type="http://schemas.openxmlformats.org/officeDocument/2006/relationships/worksheet" Target="/xl/worksheets/sheet4.xml" Id="Rf474f06bf4ee47c9" /><Relationship Type="http://schemas.openxmlformats.org/officeDocument/2006/relationships/worksheet" Target="/xl/worksheets/sheet5.xml" Id="Rd7702b36dccc44f9" /><Relationship Type="http://schemas.openxmlformats.org/officeDocument/2006/relationships/worksheet" Target="/xl/worksheets/sheet6.xml" Id="R3bee24b52ddc418b" /><Relationship Type="http://schemas.openxmlformats.org/officeDocument/2006/relationships/worksheet" Target="/xl/worksheets/sheet7.xml" Id="Rc8c7957afc0644dc" /><Relationship Type="http://schemas.openxmlformats.org/officeDocument/2006/relationships/worksheet" Target="/xl/worksheets/sheet8.xml" Id="Rfdd502bb75594bf1" /><Relationship Type="http://schemas.openxmlformats.org/officeDocument/2006/relationships/worksheet" Target="/xl/worksheets/sheet9.xml" Id="R23eaefd79381457a" /><Relationship Type="http://schemas.openxmlformats.org/officeDocument/2006/relationships/worksheet" Target="/xl/worksheets/sheet10.xml" Id="R5c231214505b4896" /><Relationship Type="http://schemas.openxmlformats.org/officeDocument/2006/relationships/worksheet" Target="/xl/worksheets/sheet11.xml" Id="Rb999e425aa2a461f" /><Relationship Type="http://schemas.openxmlformats.org/officeDocument/2006/relationships/worksheet" Target="/xl/worksheets/sheet12.xml" Id="R2debc35cdc0c4214" /><Relationship Type="http://schemas.openxmlformats.org/officeDocument/2006/relationships/worksheet" Target="/xl/worksheets/sheet13.xml" Id="R2d8b1a71943e4cf7" /><Relationship Type="http://schemas.openxmlformats.org/officeDocument/2006/relationships/worksheet" Target="/xl/worksheets/sheet14.xml" Id="Rccab1f94a3ce4964" /><Relationship Type="http://schemas.openxmlformats.org/officeDocument/2006/relationships/worksheet" Target="/xl/worksheets/sheet15.xml" Id="R99ead908818543a4" /><Relationship Type="http://schemas.openxmlformats.org/officeDocument/2006/relationships/worksheet" Target="/xl/worksheets/sheet16.xml" Id="R48d24601c1854d7d" /><Relationship Type="http://schemas.openxmlformats.org/officeDocument/2006/relationships/worksheet" Target="/xl/worksheets/sheet17.xml" Id="Rca33c39d4fe44f77" /><Relationship Type="http://schemas.openxmlformats.org/officeDocument/2006/relationships/worksheet" Target="/xl/worksheets/sheet18.xml" Id="Rf2afdc0479d6485b" /><Relationship Type="http://schemas.openxmlformats.org/officeDocument/2006/relationships/worksheet" Target="/xl/worksheets/sheet19.xml" Id="R1334c289c6ff4a72" /><Relationship Type="http://schemas.openxmlformats.org/officeDocument/2006/relationships/worksheet" Target="/xl/worksheets/sheet20.xml" Id="R229e714f3e434c7c" /><Relationship Type="http://schemas.openxmlformats.org/officeDocument/2006/relationships/worksheet" Target="/xl/worksheets/sheet21.xml" Id="Ra980922f7c9d493c" /><Relationship Type="http://schemas.openxmlformats.org/officeDocument/2006/relationships/worksheet" Target="/xl/worksheets/sheet22.xml" Id="R1f0768d81f2542e3" /><Relationship Type="http://schemas.openxmlformats.org/officeDocument/2006/relationships/worksheet" Target="/xl/worksheets/sheet23.xml" Id="Rf9532dca6c084d45" /><Relationship Type="http://schemas.openxmlformats.org/officeDocument/2006/relationships/worksheet" Target="/xl/worksheets/sheet24.xml" Id="R842f46bc35aa4884" /><Relationship Type="http://schemas.openxmlformats.org/officeDocument/2006/relationships/worksheet" Target="/xl/worksheets/sheet25.xml" Id="R4965c2df085443c8" /><Relationship Type="http://schemas.openxmlformats.org/officeDocument/2006/relationships/worksheet" Target="/xl/worksheets/sheet26.xml" Id="Ra0b2e2045e0f4d82" /><Relationship Type="http://schemas.openxmlformats.org/officeDocument/2006/relationships/worksheet" Target="/xl/worksheets/sheet27.xml" Id="R2d41b8bfd32e4840" /><Relationship Type="http://schemas.openxmlformats.org/officeDocument/2006/relationships/worksheet" Target="/xl/worksheets/sheet28.xml" Id="Rb5889b1f09b94505" /><Relationship Type="http://schemas.openxmlformats.org/officeDocument/2006/relationships/worksheet" Target="/xl/worksheets/sheet29.xml" Id="R575a5a2493204005" /><Relationship Type="http://schemas.openxmlformats.org/officeDocument/2006/relationships/worksheet" Target="/xl/worksheets/sheet30.xml" Id="Rf58c60978db94293" /><Relationship Type="http://schemas.openxmlformats.org/officeDocument/2006/relationships/worksheet" Target="/xl/worksheets/sheet31.xml" Id="R66bfecad401847c4" /><Relationship Type="http://schemas.openxmlformats.org/officeDocument/2006/relationships/worksheet" Target="/xl/worksheets/sheet32.xml" Id="R4195f19907174216" /><Relationship Type="http://schemas.openxmlformats.org/officeDocument/2006/relationships/worksheet" Target="/xl/worksheets/sheet33.xml" Id="Ra844710eb6cb4925" /><Relationship Type="http://schemas.openxmlformats.org/officeDocument/2006/relationships/worksheet" Target="/xl/worksheets/sheet34.xml" Id="R5cfde1d8a5a94efd" /><Relationship Type="http://schemas.openxmlformats.org/officeDocument/2006/relationships/worksheet" Target="/xl/worksheets/sheet35.xml" Id="R07784d9b6c5547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4" max="4" width="28" hidden="0" customWidth="1"/>
    <x:col min="7" max="7" width="28" hidden="0" customWidth="1"/>
    <x:col min="2" max="2" width="18" hidden="0" customWidth="1"/>
    <x:col min="5" max="5" width="18" hidden="0" customWidth="1"/>
    <x:col min="8" max="8" width="18" hidden="0" customWidth="1"/>
    <x:col min="3" max="3" width="4" hidden="0" customWidth="1"/>
    <x:col min="6" max="6" width="4" hidden="0" customWidth="1"/>
  </x:cols>
  <x:sheetData>
    <x:row r="1" ht="28" customHeight="1">
      <x:c r="A1" s="3" t="str">
        <x:v>RBS-1 denied-infrastructure fire-control mission model</x:v>
      </x:c>
    </x:row>
    <x:row r="2" ht="28" customHeight="1">
      <x:c r="A2" s="32" t="str">
        <x:v>A force architecture begins with effect, water, energy, recovery, logistics and regeneration rather than a vehicle drawing.</x:v>
      </x:c>
    </x:row>
    <x:row r="4">
      <x:c r="A4" s="9" t="str">
        <x:v>Mission</x:v>
      </x:c>
      <x:c r="B4" s="9" t="str">
        <x:v>Result</x:v>
      </x:c>
      <x:c r="D4" s="9" t="str">
        <x:v>Competition</x:v>
      </x:c>
      <x:c r="E4" s="9" t="str">
        <x:v>Result</x:v>
      </x:c>
      <x:c r="G4" s="9" t="str">
        <x:v>Program</x:v>
      </x:c>
      <x:c r="H4" s="9" t="str">
        <x:v>Result</x:v>
      </x:c>
    </x:row>
    <x:row r="5">
      <x:c r="A5" s="34" t="str">
        <x:v>Protected edge m</x:v>
      </x:c>
      <x:c r="B5" s="40" t="n">
        <x:f>Assumptions!B7</x:f>
        <x:v>1000</x:v>
      </x:c>
      <x:c r="D5" s="34" t="str">
        <x:v>Architectures</x:v>
      </x:c>
      <x:c r="E5" s="40" t="n">
        <x:f>COUNTA(Architectures!A5:A20)</x:f>
        <x:v>4</x:v>
      </x:c>
      <x:c r="G5" s="34" t="str">
        <x:v>Primary weeks</x:v>
      </x:c>
      <x:c r="H5" s="40" t="n">
        <x:f>Audit!B23</x:f>
        <x:v>280</x:v>
      </x:c>
    </x:row>
    <x:row r="6">
      <x:c r="A6" s="34" t="str">
        <x:v>Cells</x:v>
      </x:c>
      <x:c r="B6" s="40" t="n">
        <x:f>Assumptions!B8</x:f>
        <x:v>12</x:v>
      </x:c>
      <x:c r="D6" s="34" t="str">
        <x:v>Quarter articles</x:v>
      </x:c>
      <x:c r="E6" s="40" t="n">
        <x:f>Audit!B5</x:f>
        <x:v>24</x:v>
      </x:c>
      <x:c r="G6" s="34" t="str">
        <x:v>Maximum weeks</x:v>
      </x:c>
      <x:c r="H6" s="40" t="n">
        <x:f>Audit!B24</x:f>
        <x:v>300</x:v>
      </x:c>
    </x:row>
    <x:row r="7">
      <x:c r="A7" s="34" t="str">
        <x:v>Salvo m3</x:v>
      </x:c>
      <x:c r="B7" s="40" t="n">
        <x:f>'Water Screen'!B6</x:f>
        <x:v>576</x:v>
      </x:c>
      <x:c r="D7" s="34" t="str">
        <x:v>Quarter trials</x:v>
      </x:c>
      <x:c r="E7" s="40" t="n">
        <x:f>Audit!B6</x:f>
        <x:v>288</x:v>
      </x:c>
      <x:c r="G7" s="34" t="str">
        <x:v>Execution positions</x:v>
      </x:c>
      <x:c r="H7" s="40" t="n">
        <x:f>Audit!B25</x:f>
        <x:v>12000</x:v>
      </x:c>
    </x:row>
    <x:row r="8">
      <x:c r="A8" s="34" t="str">
        <x:v>Peak m3/s</x:v>
      </x:c>
      <x:c r="B8" s="40" t="n">
        <x:f>'Water Screen'!B7</x:f>
        <x:v>4.800000000000001</x:v>
      </x:c>
      <x:c r="D8" s="34" t="str">
        <x:v>Comparisons</x:v>
      </x:c>
      <x:c r="E8" s="40" t="n">
        <x:f>Audit!B7</x:f>
        <x:v>192</x:v>
      </x:c>
      <x:c r="G8" s="34" t="str">
        <x:v>Capital USD M</x:v>
      </x:c>
      <x:c r="H8" s="40" t="n">
        <x:f>Audit!B26</x:f>
        <x:v>38000</x:v>
      </x:c>
    </x:row>
    <x:row r="9">
      <x:c r="A9" s="34" t="str">
        <x:v>72-hour water m3</x:v>
      </x:c>
      <x:c r="B9" s="40" t="n">
        <x:f>'Water Screen'!B9</x:f>
        <x:v>124416</x:v>
      </x:c>
      <x:c r="D9" s="34" t="str">
        <x:v>Full systems</x:v>
      </x:c>
      <x:c r="E9" s="40" t="n">
        <x:f>Audit!B8</x:f>
        <x:v>8</x:v>
      </x:c>
      <x:c r="G9" s="34" t="str">
        <x:v>Annual USD M</x:v>
      </x:c>
      <x:c r="H9" s="40" t="n">
        <x:f>Audit!B27</x:f>
        <x:v>4200</x:v>
      </x:c>
    </x:row>
    <x:row r="10">
      <x:c r="A10" s="34" t="str">
        <x:v>Continuous power MW</x:v>
      </x:c>
      <x:c r="B10" s="40" t="n">
        <x:f>'Energy Screen'!B12</x:f>
        <x:v>20</x:v>
      </x:c>
      <x:c r="D10" s="34" t="str">
        <x:v>Mission trials</x:v>
      </x:c>
      <x:c r="E10" s="40" t="n">
        <x:f>Audit!B9</x:f>
        <x:v>144</x:v>
      </x:c>
      <x:c r="G10" s="34" t="str">
        <x:v>Technology USD M</x:v>
      </x:c>
      <x:c r="H10" s="40" t="n">
        <x:f>Audit!B28</x:f>
        <x:v>15000</x:v>
      </x:c>
    </x:row>
    <x:row r="11">
      <x:c r="A11" s="34" t="str">
        <x:v>Surge storage m3</x:v>
      </x:c>
      <x:c r="B11" s="40" t="n">
        <x:f>Assumptions!B21</x:f>
        <x:v>3000</x:v>
      </x:c>
      <x:c r="D11" s="34" t="str">
        <x:v>Operating hours</x:v>
      </x:c>
      <x:c r="E11" s="40" t="n">
        <x:f>Audit!B10</x:f>
        <x:v>2592</x:v>
      </x:c>
      <x:c r="G11" s="34" t="str">
        <x:v>Next object</x:v>
      </x:c>
      <x:c r="H11" s="34" t="str">
        <x:f>"RBT-1"</x:f>
        <x:v>RBT-1</x:v>
      </x:c>
    </x:row>
    <x:row r="13">
      <x:c r="A13" s="35" t="str">
        <x:v>Finding</x:v>
      </x:c>
    </x:row>
    <x:row r="14" ht="76" customHeight="1">
      <x:c r="A14" s="39" t="str">
        <x:v>Twelve reference-capable cells create a 576 m3 salvo and 124,416 m3 continuous-use screen over 72 hours. The operational system must therefore include raw-water production, dual rapid trunklines, independent 20/35 MW power, mixed-effluent recovery, logistics and six-set regeneration. It cannot be reduced to one firefighting vehicle.</x:v>
      </x:c>
    </x:row>
  </x:sheetData>
  <x:mergeCells>
    <x:mergeCell ref="A1:H1"/>
    <x:mergeCell ref="A2:H2"/>
    <x:mergeCell ref="A13:H1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60" hidden="0" customWidth="1"/>
  </x:cols>
  <x:sheetData>
    <x:row r="1" ht="27" customHeight="1">
      <x:c r="A1" s="3" t="str">
        <x:v>DFC-72 registered assumptions</x:v>
      </x:c>
    </x:row>
    <x:row r="2" ht="32" customHeight="1">
      <x:c r="A2" s="7" t="str">
        <x:v>Gold cells are inputs. Physical results and candidate scores remain open.</x:v>
      </x:c>
    </x:row>
    <x:row r="4" ht="28" customHeight="1">
      <x:c r="A4" s="11" t="str">
        <x:v>Input</x:v>
      </x:c>
      <x:c r="B4" s="11" t="str">
        <x:v>Value</x:v>
      </x:c>
      <x:c r="C4" s="11" t="str">
        <x:v>Unit</x:v>
      </x:c>
      <x:c r="D4" s="11" t="str">
        <x:v>Authority</x:v>
      </x:c>
    </x:row>
    <x:row r="5">
      <x:c r="A5" s="14" t="str">
        <x:v>Casualty-box length</x:v>
      </x:c>
      <x:c r="B5" s="17" t="n">
        <x:v>500</x:v>
      </x:c>
      <x:c r="C5" s="14" t="str">
        <x:v>m</x:v>
      </x:c>
      <x:c r="D5" s="14" t="str">
        <x:v>Registered stress geometry</x:v>
      </x:c>
    </x:row>
    <x:row r="6">
      <x:c r="A6" s="15" t="str">
        <x:v>Casualty-box width</x:v>
      </x:c>
      <x:c r="B6" s="17" t="n">
        <x:v>500</x:v>
      </x:c>
      <x:c r="C6" s="15" t="str">
        <x:v>m</x:v>
      </x:c>
      <x:c r="D6" s="15" t="str">
        <x:v>Registered stress geometry</x:v>
      </x:c>
    </x:row>
    <x:row r="7">
      <x:c r="A7" s="14" t="str">
        <x:v>Protected edge</x:v>
      </x:c>
      <x:c r="B7" s="17" t="n">
        <x:v>1000</x:v>
      </x:c>
      <x:c r="C7" s="14" t="str">
        <x:v>m</x:v>
      </x:c>
      <x:c r="D7" s="14" t="str">
        <x:v>Mission effect boundary</x:v>
      </x:c>
    </x:row>
    <x:row r="8">
      <x:c r="A8" s="15" t="str">
        <x:v>Intervention cells</x:v>
      </x:c>
      <x:c r="B8" s="17" t="n">
        <x:v>12</x:v>
      </x:c>
      <x:c r="C8" s="15" t="str">
        <x:v>count</x:v>
      </x:c>
      <x:c r="D8" s="15" t="str">
        <x:v>Independent cells</x:v>
      </x:c>
    </x:row>
    <x:row r="9">
      <x:c r="A9" s="14" t="str">
        <x:v>Cell area</x:v>
      </x:c>
      <x:c r="B9" s="17" t="n">
        <x:v>25</x:v>
      </x:c>
      <x:c r="C9" s="14" t="str">
        <x:v>m2</x:v>
      </x:c>
      <x:c r="D9" s="14" t="str">
        <x:v>Reference local state</x:v>
      </x:c>
    </x:row>
    <x:row r="10">
      <x:c r="A10" s="15" t="str">
        <x:v>Water per cell salvo</x:v>
      </x:c>
      <x:c r="B10" s="17" t="n">
        <x:v>48</x:v>
      </x:c>
      <x:c r="C10" s="15" t="str">
        <x:v>m3</x:v>
      </x:c>
      <x:c r="D10" s="15" t="str">
        <x:v>Reference capability</x:v>
      </x:c>
    </x:row>
    <x:row r="11">
      <x:c r="A11" s="14" t="str">
        <x:v>Salvo duration</x:v>
      </x:c>
      <x:c r="B11" s="17" t="n">
        <x:v>120</x:v>
      </x:c>
      <x:c r="C11" s="14" t="str">
        <x:v>s</x:v>
      </x:c>
      <x:c r="D11" s="14" t="str">
        <x:v>Reference interval</x:v>
      </x:c>
    </x:row>
    <x:row r="12">
      <x:c r="A12" s="15" t="str">
        <x:v>Salvos per hour</x:v>
      </x:c>
      <x:c r="B12" s="17" t="n">
        <x:v>3</x:v>
      </x:c>
      <x:c r="C12" s="15" t="str">
        <x:v>count/h</x:v>
      </x:c>
      <x:c r="D12" s="15" t="str">
        <x:v>Continuous-use screen</x:v>
      </x:c>
    </x:row>
    <x:row r="13">
      <x:c r="A13" s="14" t="str">
        <x:v>Mission endurance</x:v>
      </x:c>
      <x:c r="B13" s="17" t="n">
        <x:v>72</x:v>
      </x:c>
      <x:c r="C13" s="14" t="str">
        <x:v>h</x:v>
      </x:c>
      <x:c r="D13" s="14" t="str">
        <x:v>No host services</x:v>
      </x:c>
    </x:row>
    <x:row r="14">
      <x:c r="A14" s="15" t="str">
        <x:v>Water density</x:v>
      </x:c>
      <x:c r="B14" s="17" t="n">
        <x:v>998</x:v>
      </x:c>
      <x:c r="C14" s="15" t="str">
        <x:v>kg/m3</x:v>
      </x:c>
      <x:c r="D14" s="15" t="str">
        <x:v>Planning density</x:v>
      </x:c>
    </x:row>
    <x:row r="15">
      <x:c r="A15" s="14" t="str">
        <x:v>Water production</x:v>
      </x:c>
      <x:c r="B15" s="17" t="n">
        <x:v>2000</x:v>
      </x:c>
      <x:c r="C15" s="14" t="str">
        <x:v>m3/h</x:v>
      </x:c>
      <x:c r="D15" s="14" t="str">
        <x:v>Fire-control-grade output</x:v>
      </x:c>
    </x:row>
    <x:row r="16">
      <x:c r="A16" s="15" t="str">
        <x:v>Ready buffer</x:v>
      </x:c>
      <x:c r="B16" s="17" t="n">
        <x:v>1200</x:v>
      </x:c>
      <x:c r="C16" s="15" t="str">
        <x:v>m3</x:v>
      </x:c>
      <x:c r="D16" s="15" t="str">
        <x:v>WET-READY state</x:v>
      </x:c>
    </x:row>
    <x:row r="17">
      <x:c r="A17" s="14" t="str">
        <x:v>Trunklines</x:v>
      </x:c>
      <x:c r="B17" s="17" t="n">
        <x:v>2</x:v>
      </x:c>
      <x:c r="C17" s="14" t="str">
        <x:v>count</x:v>
      </x:c>
      <x:c r="D17" s="14" t="str">
        <x:v>Independent</x:v>
      </x:c>
    </x:row>
    <x:row r="18">
      <x:c r="A18" s="15" t="str">
        <x:v>Trunk length each</x:v>
      </x:c>
      <x:c r="B18" s="17" t="n">
        <x:v>5000</x:v>
      </x:c>
      <x:c r="C18" s="15" t="str">
        <x:v>m</x:v>
      </x:c>
      <x:c r="D18" s="15" t="str">
        <x:v>Raw source to box</x:v>
      </x:c>
    </x:row>
    <x:row r="19">
      <x:c r="A19" s="14" t="str">
        <x:v>Trunk internal diameter</x:v>
      </x:c>
      <x:c r="B19" s="17" t="n">
        <x:v>0.45</x:v>
      </x:c>
      <x:c r="C19" s="14" t="str">
        <x:v>m</x:v>
      </x:c>
      <x:c r="D19" s="14" t="str">
        <x:v>Geometric screen</x:v>
      </x:c>
    </x:row>
    <x:row r="20">
      <x:c r="A20" s="15" t="str">
        <x:v>Recovery inlet</x:v>
      </x:c>
      <x:c r="B20" s="17" t="n">
        <x:v>5.5</x:v>
      </x:c>
      <x:c r="C20" s="15" t="str">
        <x:v>m3/s</x:v>
      </x:c>
      <x:c r="D20" s="15" t="str">
        <x:v>Mixed-arrival capacity</x:v>
      </x:c>
    </x:row>
    <x:row r="21">
      <x:c r="A21" s="14" t="str">
        <x:v>Surge storage</x:v>
      </x:c>
      <x:c r="B21" s="17" t="n">
        <x:v>3000</x:v>
      </x:c>
      <x:c r="C21" s="14" t="str">
        <x:v>m3</x:v>
      </x:c>
      <x:c r="D21" s="14" t="str">
        <x:v>Zoned custody</x:v>
      </x:c>
    </x:row>
    <x:row r="22">
      <x:c r="A22" s="15" t="str">
        <x:v>Reuse goal</x:v>
      </x:c>
      <x:c r="B22" s="17" t="n">
        <x:v>0.6</x:v>
      </x:c>
      <x:c r="C22" s="15" t="str">
        <x:v>fraction</x:v>
      </x:c>
      <x:c r="D22" s="15" t="str">
        <x:v>Chemically eligible captured water only</x:v>
      </x:c>
    </x:row>
    <x:row r="23">
      <x:c r="A23" s="14" t="str">
        <x:v>Continuous power</x:v>
      </x:c>
      <x:c r="B23" s="17" t="n">
        <x:v>20</x:v>
      </x:c>
      <x:c r="C23" s="14" t="str">
        <x:v>MW</x:v>
      </x:c>
      <x:c r="D23" s="14" t="str">
        <x:v>Independent system</x:v>
      </x:c>
    </x:row>
    <x:row r="24">
      <x:c r="A24" s="15" t="str">
        <x:v>Peak power</x:v>
      </x:c>
      <x:c r="B24" s="17" t="n">
        <x:v>35</x:v>
      </x:c>
      <x:c r="C24" s="15" t="str">
        <x:v>MW</x:v>
      </x:c>
      <x:c r="D24" s="15" t="str">
        <x:v>Independent system</x:v>
      </x:c>
    </x:row>
    <x:row r="25">
      <x:c r="A25" s="14" t="str">
        <x:v>Regional distance</x:v>
      </x:c>
      <x:c r="B25" s="17" t="n">
        <x:v>500</x:v>
      </x:c>
      <x:c r="C25" s="14" t="str">
        <x:v>km</x:v>
      </x:c>
      <x:c r="D25" s="14" t="str">
        <x:v>Order-to-effect case</x:v>
      </x:c>
    </x:row>
    <x:row r="26">
      <x:c r="A26" s="15" t="str">
        <x:v>Regional order-to-effect</x:v>
      </x:c>
      <x:c r="B26" s="17" t="n">
        <x:v>18</x:v>
      </x:c>
      <x:c r="C26" s="15" t="str">
        <x:v>h</x:v>
      </x:c>
      <x:c r="D26" s="15" t="str">
        <x:v>Includes strategic transfer</x:v>
      </x:c>
    </x:row>
    <x:row r="27">
      <x:c r="A27" s="14" t="str">
        <x:v>National distance</x:v>
      </x:c>
      <x:c r="B27" s="17" t="n">
        <x:v>1500</x:v>
      </x:c>
      <x:c r="C27" s="14" t="str">
        <x:v>km</x:v>
      </x:c>
      <x:c r="D27" s="14" t="str">
        <x:v>Reinforcement case</x:v>
      </x:c>
    </x:row>
    <x:row r="28">
      <x:c r="A28" s="15" t="str">
        <x:v>National order-to-effect</x:v>
      </x:c>
      <x:c r="B28" s="17" t="n">
        <x:v>36</x:v>
      </x:c>
      <x:c r="C28" s="15" t="str">
        <x:v>h</x:v>
      </x:c>
      <x:c r="D28" s="15" t="str">
        <x:v>Includes strategic transfer</x:v>
      </x:c>
    </x:row>
    <x:row r="29">
      <x:c r="A29" s="14" t="str">
        <x:v>First effect after access</x:v>
      </x:c>
      <x:c r="B29" s="17" t="n">
        <x:v>6</x:v>
      </x:c>
      <x:c r="C29" s="14" t="str">
        <x:v>h</x:v>
      </x:c>
      <x:c r="D29" s="14" t="str">
        <x:v>Physical action</x:v>
      </x:c>
    </x:row>
    <x:row r="30">
      <x:c r="A30" s="15" t="str">
        <x:v>Full edge after access</x:v>
      </x:c>
      <x:c r="B30" s="17" t="n">
        <x:v>18</x:v>
      </x:c>
      <x:c r="C30" s="15" t="str">
        <x:v>h</x:v>
      </x:c>
      <x:c r="D30" s="15" t="str">
        <x:v>All services accepted</x:v>
      </x:c>
    </x:row>
    <x:row r="31">
      <x:c r="A31" s="14" t="str">
        <x:v>Quarter articles</x:v>
      </x:c>
      <x:c r="B31" s="17" t="n">
        <x:v>24</x:v>
      </x:c>
      <x:c r="C31" s="14" t="str">
        <x:v>count</x:v>
      </x:c>
      <x:c r="D31" s="14" t="str">
        <x:v>Four architectures x two builders x three campuses</x:v>
      </x:c>
    </x:row>
    <x:row r="32">
      <x:c r="A32" s="15" t="str">
        <x:v>Trials per quarter article</x:v>
      </x:c>
      <x:c r="B32" s="17" t="n">
        <x:v>12</x:v>
      </x:c>
      <x:c r="C32" s="15" t="str">
        <x:v>count</x:v>
      </x:c>
      <x:c r="D32" s="15" t="str">
        <x:v>Architecture campaign</x:v>
      </x:c>
    </x:row>
    <x:row r="33">
      <x:c r="A33" s="14" t="str">
        <x:v>Matched comparisons</x:v>
      </x:c>
      <x:c r="B33" s="17" t="n">
        <x:v>192</x:v>
      </x:c>
      <x:c r="C33" s="14" t="str">
        <x:v>count</x:v>
      </x:c>
      <x:c r="D33" s="14" t="str">
        <x:v>Six pairs x modes and repetitions</x:v>
      </x:c>
    </x:row>
    <x:row r="34">
      <x:c r="A34" s="15" t="str">
        <x:v>Full systems</x:v>
      </x:c>
      <x:c r="B34" s="17" t="n">
        <x:v>8</x:v>
      </x:c>
      <x:c r="C34" s="15" t="str">
        <x:v>count</x:v>
      </x:c>
      <x:c r="D34" s="15" t="str">
        <x:v>Two candidates x two builders x two regions</x:v>
      </x:c>
    </x:row>
    <x:row r="35">
      <x:c r="A35" s="14" t="str">
        <x:v>Average issue factor</x:v>
      </x:c>
      <x:c r="B35" s="17" t="n">
        <x:v>0.3</x:v>
      </x:c>
      <x:c r="C35" s="14" t="str">
        <x:v>fraction</x:v>
      </x:c>
      <x:c r="D35" s="14" t="str">
        <x:v>Development-water screen</x:v>
      </x:c>
    </x:row>
    <x:row r="36">
      <x:c r="A36" s="15" t="str">
        <x:v>Primary program weeks</x:v>
      </x:c>
      <x:c r="B36" s="17" t="n">
        <x:v>280</x:v>
      </x:c>
      <x:c r="C36" s="15" t="str">
        <x:v>weeks</x:v>
      </x:c>
      <x:c r="D36" s="15" t="str">
        <x:v>Release-aware</x:v>
      </x:c>
    </x:row>
    <x:row r="37">
      <x:c r="A37" s="14" t="str">
        <x:v>Maximum program weeks</x:v>
      </x:c>
      <x:c r="B37" s="17" t="n">
        <x:v>300</x:v>
      </x:c>
      <x:c r="C37" s="14" t="str">
        <x:v>weeks</x:v>
      </x:c>
      <x:c r="D37" s="14" t="str">
        <x:v>Release-aware</x:v>
      </x:c>
    </x:row>
    <x:row r="38">
      <x:c r="A38" s="15" t="str">
        <x:v>Execution positions</x:v>
      </x:c>
      <x:c r="B38" s="17" t="n">
        <x:v>12000</x:v>
      </x:c>
      <x:c r="C38" s="15" t="str">
        <x:v>positions</x:v>
      </x:c>
      <x:c r="D38" s="15" t="str">
        <x:v>Research formation</x:v>
      </x:c>
    </x:row>
    <x:row r="39">
      <x:c r="A39" s="14" t="str">
        <x:v>Retained positions</x:v>
      </x:c>
      <x:c r="B39" s="17" t="n">
        <x:v>7350</x:v>
      </x:c>
      <x:c r="C39" s="14" t="str">
        <x:v>positions</x:v>
      </x:c>
      <x:c r="D39" s="14" t="str">
        <x:v>Reference and closure estate</x:v>
      </x:c>
    </x:row>
    <x:row r="40">
      <x:c r="A40" s="15" t="str">
        <x:v>Capital</x:v>
      </x:c>
      <x:c r="B40" s="17" t="n">
        <x:v>38000</x:v>
      </x:c>
      <x:c r="C40" s="15" t="str">
        <x:v>USD M</x:v>
      </x:c>
      <x:c r="D40" s="15" t="str">
        <x:v>Program</x:v>
      </x:c>
    </x:row>
    <x:row r="41">
      <x:c r="A41" s="14" t="str">
        <x:v>Annual support</x:v>
      </x:c>
      <x:c r="B41" s="17" t="n">
        <x:v>4200</x:v>
      </x:c>
      <x:c r="C41" s="14" t="str">
        <x:v>USD M/year</x:v>
      </x:c>
      <x:c r="D41" s="14" t="str">
        <x:v>Execution</x:v>
      </x:c>
    </x:row>
    <x:row r="42">
      <x:c r="A42" s="15" t="str">
        <x:v>Retained annual support</x:v>
      </x:c>
      <x:c r="B42" s="17" t="n">
        <x:v>1470</x:v>
      </x:c>
      <x:c r="C42" s="15" t="str">
        <x:v>USD M/year</x:v>
      </x:c>
      <x:c r="D42" s="15" t="str">
        <x:v>Reference and closure estate</x:v>
      </x:c>
    </x:row>
    <x:row r="43">
      <x:c r="A43" s="14" t="str">
        <x:v>Technology</x:v>
      </x:c>
      <x:c r="B43" s="17" t="n">
        <x:v>15000</x:v>
      </x:c>
      <x:c r="C43" s="14" t="str">
        <x:v>USD M</x:v>
      </x:c>
      <x:c r="D43" s="14" t="str">
        <x:v>Mission-led portfolio</x:v>
      </x:c>
    </x:row>
    <x:row r="44">
      <x:c r="A44" s="15" t="str">
        <x:v>Prior primary weeks</x:v>
      </x:c>
      <x:c r="B44" s="17" t="n">
        <x:v>1034</x:v>
      </x:c>
      <x:c r="C44" s="15" t="str">
        <x:v>weeks</x:v>
      </x:c>
      <x:c r="D44" s="15" t="str">
        <x:v>Through RBR-1</x:v>
      </x:c>
    </x:row>
    <x:row r="45">
      <x:c r="A45" s="14" t="str">
        <x:v>Prior maximum weeks</x:v>
      </x:c>
      <x:c r="B45" s="17" t="n">
        <x:v>1074</x:v>
      </x:c>
      <x:c r="C45" s="14" t="str">
        <x:v>weeks</x:v>
      </x:c>
      <x:c r="D45" s="14" t="str">
        <x:v>Through RBR-1</x:v>
      </x:c>
    </x:row>
    <x:row r="46">
      <x:c r="A46" s="15" t="str">
        <x:v>Prior capital</x:v>
      </x:c>
      <x:c r="B46" s="17" t="n">
        <x:v>20680</x:v>
      </x:c>
      <x:c r="C46" s="15" t="str">
        <x:v>USD M</x:v>
      </x:c>
      <x:c r="D46" s="15" t="str">
        <x:v>Through RBR-1</x:v>
      </x:c>
    </x:row>
    <x:row r="47">
      <x:c r="A47" s="14" t="str">
        <x:v>Prior technology</x:v>
      </x:c>
      <x:c r="B47" s="17" t="n">
        <x:v>8235</x:v>
      </x:c>
      <x:c r="C47" s="14" t="str">
        <x:v>USD M</x:v>
      </x:c>
      <x:c r="D47" s="14" t="str">
        <x:v>Through RBR-1</x:v>
      </x:c>
    </x:row>
    <x:row r="48">
      <x:c r="A48" s="15" t="str">
        <x:v>Parent calendar</x:v>
      </x:c>
      <x:c r="B48" s="17" t="n">
        <x:v>1600</x:v>
      </x:c>
      <x:c r="C48" s="15" t="str">
        <x:v>weeks</x:v>
      </x:c>
      <x:c r="D48" s="15" t="str">
        <x:v>RAS-3R9</x:v>
      </x:c>
    </x:row>
    <x:row r="49">
      <x:c r="A49" s="14" t="str">
        <x:v>Parent positions</x:v>
      </x:c>
      <x:c r="B49" s="17" t="n">
        <x:v>21000</x:v>
      </x:c>
      <x:c r="C49" s="14" t="str">
        <x:v>positions</x:v>
      </x:c>
      <x:c r="D49" s="14" t="str">
        <x:v>RAS-3R9</x:v>
      </x:c>
    </x:row>
    <x:row r="50">
      <x:c r="A50" s="15" t="str">
        <x:v>Parent capital</x:v>
      </x:c>
      <x:c r="B50" s="17" t="n">
        <x:v>75000</x:v>
      </x:c>
      <x:c r="C50" s="15" t="str">
        <x:v>USD M</x:v>
      </x:c>
      <x:c r="D50" s="15" t="str">
        <x:v>RAS-3R9</x:v>
      </x:c>
    </x:row>
    <x:row r="51">
      <x:c r="A51" s="14" t="str">
        <x:v>Parent annual support</x:v>
      </x:c>
      <x:c r="B51" s="17" t="n">
        <x:v>6000</x:v>
      </x:c>
      <x:c r="C51" s="14" t="str">
        <x:v>USD M/year</x:v>
      </x:c>
      <x:c r="D51" s="14" t="str">
        <x:v>RAS-3R9</x:v>
      </x:c>
    </x:row>
    <x:row r="52">
      <x:c r="A52" s="15" t="str">
        <x:v>Parent technology</x:v>
      </x:c>
      <x:c r="B52" s="17" t="n">
        <x:v>35000</x:v>
      </x:c>
      <x:c r="C52" s="15" t="str">
        <x:v>USD M</x:v>
      </x:c>
      <x:c r="D52" s="15" t="str">
        <x:v>RAS-3R9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58" hidden="0" customWidth="1"/>
  </x:cols>
  <x:sheetData>
    <x:row r="1" ht="27" customHeight="1">
      <x:c r="A1" s="3" t="str">
        <x:v>Denied-infrastructure fire-control mission contract</x:v>
      </x:c>
    </x:row>
    <x:row r="2" ht="32" customHeight="1">
      <x:c r="A2" s="7" t="str">
        <x:v>The mission is registered before candidate design.</x:v>
      </x:c>
    </x:row>
    <x:row r="4" ht="28" customHeight="1">
      <x:c r="A4" s="11" t="str">
        <x:v>Dimension</x:v>
      </x:c>
      <x:c r="B4" s="11" t="str">
        <x:v>Requirement</x:v>
      </x:c>
      <x:c r="C4" s="11" t="str">
        <x:v>Observation</x:v>
      </x:c>
    </x:row>
    <x:row r="5">
      <x:c r="A5" s="14" t="str">
        <x:v>Casualty box</x:v>
      </x:c>
      <x:c r="B5" s="14" t="str">
        <x:v>500 m x 500 m</x:v>
      </x:c>
      <x:c r="C5" s="14" t="str">
        <x:v>Surveyed geometry and access</x:v>
      </x:c>
    </x:row>
    <x:row r="6">
      <x:c r="A6" s="15" t="str">
        <x:v>Protected edge</x:v>
      </x:c>
      <x:c r="B6" s="15" t="str">
        <x:v>1,000 m</x:v>
      </x:c>
      <x:c r="C6" s="15" t="str">
        <x:v>Observed crossing boundary</x:v>
      </x:c>
    </x:row>
    <x:row r="7">
      <x:c r="A7" s="14" t="str">
        <x:v>Cells</x:v>
      </x:c>
      <x:c r="B7" s="14" t="str">
        <x:v>12 x 25 m2</x:v>
      </x:c>
      <x:c r="C7" s="14" t="str">
        <x:v>Independent state, effect and safeing</x:v>
      </x:c>
    </x:row>
    <x:row r="8">
      <x:c r="A8" s="15" t="str">
        <x:v>First effect</x:v>
      </x:c>
      <x:c r="B8" s="15" t="str">
        <x:v>6 h after receiver access</x:v>
      </x:c>
      <x:c r="C8" s="15" t="str">
        <x:v>First physical action</x:v>
      </x:c>
    </x:row>
    <x:row r="9">
      <x:c r="A9" s="14" t="str">
        <x:v>Full edge</x:v>
      </x:c>
      <x:c r="B9" s="14" t="str">
        <x:v>18 h after receiver access</x:v>
      </x:c>
      <x:c r="C9" s="14" t="str">
        <x:v>Cells, trunks, power, capture and command</x:v>
      </x:c>
    </x:row>
    <x:row r="10">
      <x:c r="A10" s="15" t="str">
        <x:v>Regional effect</x:v>
      </x:c>
      <x:c r="B10" s="15" t="str">
        <x:v>18 h from national order at 500 km</x:v>
      </x:c>
      <x:c r="C10" s="15" t="str">
        <x:v>Complete origin-to-effect clock</x:v>
      </x:c>
    </x:row>
    <x:row r="11">
      <x:c r="A11" s="14" t="str">
        <x:v>National reinforcement</x:v>
      </x:c>
      <x:c r="B11" s="14" t="str">
        <x:v>36 h from order at 1,500 km</x:v>
      </x:c>
      <x:c r="C11" s="14" t="str">
        <x:v>Complete origin-to-effect clock</x:v>
      </x:c>
    </x:row>
    <x:row r="12">
      <x:c r="A12" s="15" t="str">
        <x:v>Endurance</x:v>
      </x:c>
      <x:c r="B12" s="15" t="str">
        <x:v>72 h</x:v>
      </x:c>
      <x:c r="C12" s="15" t="str">
        <x:v>No host grid, water, network, time or drainage</x:v>
      </x:c>
    </x:row>
    <x:row r="13">
      <x:c r="A13" s="14" t="str">
        <x:v>Public rescue</x:v>
      </x:c>
      <x:c r="B13" s="14" t="str">
        <x:v>Independent and unconditional</x:v>
      </x:c>
      <x:c r="C13" s="14" t="str">
        <x:v>Separate authority and causal record</x:v>
      </x:c>
    </x:row>
    <x:row r="14">
      <x:c r="A14" s="15" t="str">
        <x:v>Reconstruction</x:v>
      </x:c>
      <x:c r="B14" s="15" t="str">
        <x:v>Three outside decisions</x:v>
      </x:c>
      <x:c r="C14" s="15" t="str">
        <x:v>No origin service or conclusion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16" hidden="0" customWidth="1"/>
    <x:col min="4" max="4" width="60" hidden="0" customWidth="1"/>
  </x:cols>
  <x:sheetData>
    <x:row r="1" ht="27" customHeight="1">
      <x:c r="A1" s="3" t="str">
        <x:v>First-principles water screen</x:v>
      </x:c>
    </x:row>
    <x:row r="2" ht="32" customHeight="1">
      <x:c r="A2" s="7" t="str">
        <x:v>Water production and logistics are part of the mission system.</x:v>
      </x:c>
    </x:row>
    <x:row r="4" ht="28" customHeight="1">
      <x:c r="A4" s="11" t="str">
        <x:v>Metric</x:v>
      </x:c>
      <x:c r="B4" s="11" t="str">
        <x:v>Calculated</x:v>
      </x:c>
      <x:c r="C4" s="11" t="str">
        <x:v>Unit</x:v>
      </x:c>
      <x:c r="D4" s="11" t="str">
        <x:v>Interpretation</x:v>
      </x:c>
    </x:row>
    <x:row r="5">
      <x:c r="A5" s="14" t="str">
        <x:v>Cell issue rate</x:v>
      </x:c>
      <x:c r="B5" s="18" t="n">
        <x:f>Assumptions!B10/Assumptions!B11</x:f>
        <x:v>0.4</x:v>
      </x:c>
      <x:c r="C5" s="14" t="str">
        <x:v>m3/s</x:v>
      </x:c>
      <x:c r="D5" s="14" t="str">
        <x:v>48 m3 in 120 s</x:v>
      </x:c>
    </x:row>
    <x:row r="6">
      <x:c r="A6" s="15" t="str">
        <x:v>Twelve-cell salvo</x:v>
      </x:c>
      <x:c r="B6" s="19" t="n">
        <x:f>Assumptions!B8*Assumptions!B10</x:f>
        <x:v>576</x:v>
      </x:c>
      <x:c r="C6" s="15" t="str">
        <x:v>m3</x:v>
      </x:c>
      <x:c r="D6" s="15" t="str">
        <x:v>Twelve simultaneous cells</x:v>
      </x:c>
    </x:row>
    <x:row r="7">
      <x:c r="A7" s="14" t="str">
        <x:v>Twelve-cell peak rate</x:v>
      </x:c>
      <x:c r="B7" s="18" t="n">
        <x:f>B5*Assumptions!B8</x:f>
        <x:v>4.800000000000001</x:v>
      </x:c>
      <x:c r="C7" s="14" t="str">
        <x:v>m3/s</x:v>
      </x:c>
      <x:c r="D7" s="14" t="str">
        <x:v>Twelve simultaneous issue paths</x:v>
      </x:c>
    </x:row>
    <x:row r="8">
      <x:c r="A8" s="15" t="str">
        <x:v>Hourly issue screen</x:v>
      </x:c>
      <x:c r="B8" s="19" t="n">
        <x:f>B6*Assumptions!B12</x:f>
        <x:v>1728</x:v>
      </x:c>
      <x:c r="C8" s="15" t="str">
        <x:v>m3/h</x:v>
      </x:c>
      <x:c r="D8" s="15" t="str">
        <x:v>Three full salvos per hour</x:v>
      </x:c>
    </x:row>
    <x:row r="9">
      <x:c r="A9" s="14" t="str">
        <x:v>72-hour use screen</x:v>
      </x:c>
      <x:c r="B9" s="18" t="n">
        <x:f>B8*Assumptions!B13</x:f>
        <x:v>124416</x:v>
      </x:c>
      <x:c r="C9" s="14" t="str">
        <x:v>m3</x:v>
      </x:c>
      <x:c r="D9" s="14" t="str">
        <x:v>No-reuse governing demand</x:v>
      </x:c>
    </x:row>
    <x:row r="10">
      <x:c r="A10" s="15" t="str">
        <x:v>72-hour production</x:v>
      </x:c>
      <x:c r="B10" s="19" t="n">
        <x:f>Assumptions!B15*Assumptions!B13</x:f>
        <x:v>144000</x:v>
      </x:c>
      <x:c r="C10" s="15" t="str">
        <x:v>m3</x:v>
      </x:c>
      <x:c r="D10" s="15" t="str">
        <x:v>2,000 m3/h for 72 h</x:v>
      </x:c>
    </x:row>
    <x:row r="11">
      <x:c r="A11" s="14" t="str">
        <x:v>Production difference</x:v>
      </x:c>
      <x:c r="B11" s="18" t="n">
        <x:f>B10-B9</x:f>
        <x:v>19584</x:v>
      </x:c>
      <x:c r="C11" s="14" t="str">
        <x:v>m3</x:v>
      </x:c>
      <x:c r="D11" s="14" t="str">
        <x:v>Before downtime, reject or unusable raw water</x:v>
      </x:c>
    </x:row>
    <x:row r="12">
      <x:c r="A12" s="15" t="str">
        <x:v>Dry-entry water mass</x:v>
      </x:c>
      <x:c r="B12" s="19" t="n">
        <x:f>B6*Assumptions!B14/1000</x:f>
        <x:v>574.848</x:v>
      </x:c>
      <x:c r="C12" s="15" t="str">
        <x:v>tonnes</x:v>
      </x:c>
      <x:c r="D12" s="15" t="str">
        <x:v>One complete salvo</x:v>
      </x:c>
    </x:row>
    <x:row r="13">
      <x:c r="A13" s="14" t="str">
        <x:v>Ready-buffer mass</x:v>
      </x:c>
      <x:c r="B13" s="18" t="n">
        <x:f>Assumptions!B16*Assumptions!B14/1000</x:f>
        <x:v>1197.6</x:v>
      </x:c>
      <x:c r="C13" s="14" t="str">
        <x:v>tonnes</x:v>
      </x:c>
      <x:c r="D13" s="14" t="str">
        <x:v>1,200 m3 ready storage</x:v>
      </x:c>
    </x:row>
    <x:row r="14">
      <x:c r="A14" s="15" t="str">
        <x:v>Production utilization</x:v>
      </x:c>
      <x:c r="B14" s="19" t="n">
        <x:f>B9/B10</x:f>
        <x:v>0.864</x:v>
      </x:c>
      <x:c r="C14" s="15" t="str">
        <x:v>fraction</x:v>
      </x:c>
      <x:c r="D14" s="15" t="str">
        <x:v>Use divided by production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2" hidden="0" customWidth="1"/>
  </x:cols>
  <x:sheetData>
    <x:row r="1" ht="27" customHeight="1">
      <x:c r="A1" s="3" t="str">
        <x:v>Independent energy estate</x:v>
      </x:c>
    </x:row>
    <x:row r="2" ht="32" customHeight="1">
      <x:c r="A2" s="7" t="str">
        <x:v>Candidate technology remains open. The load budget is fixed for comparison.</x:v>
      </x:c>
    </x:row>
    <x:row r="4" ht="28" customHeight="1">
      <x:c r="A4" s="11" t="str">
        <x:v>Load</x:v>
      </x:c>
      <x:c r="B4" s="11" t="str">
        <x:v>Continuous MW</x:v>
      </x:c>
      <x:c r="C4" s="11" t="str">
        <x:v>Peak MW</x:v>
      </x:c>
    </x:row>
    <x:row r="5">
      <x:c r="A5" s="14" t="str">
        <x:v>Intervention hydraulics</x:v>
      </x:c>
      <x:c r="B5" s="18" t="n">
        <x:v>8</x:v>
      </x:c>
      <x:c r="C5" s="18" t="n">
        <x:v>12</x:v>
      </x:c>
    </x:row>
    <x:row r="6">
      <x:c r="A6" s="15" t="str">
        <x:v>Intake and treatment</x:v>
      </x:c>
      <x:c r="B6" s="19" t="n">
        <x:v>4</x:v>
      </x:c>
      <x:c r="C6" s="19" t="n">
        <x:v>6</x:v>
      </x:c>
    </x:row>
    <x:row r="7">
      <x:c r="A7" s="14" t="str">
        <x:v>Recovery and separation</x:v>
      </x:c>
      <x:c r="B7" s="18" t="n">
        <x:v>3</x:v>
      </x:c>
      <x:c r="C7" s="18" t="n">
        <x:v>5</x:v>
      </x:c>
    </x:row>
    <x:row r="8">
      <x:c r="A8" s="15" t="str">
        <x:v>Robotics and handling</x:v>
      </x:c>
      <x:c r="B8" s="19" t="n">
        <x:v>1.5</x:v>
      </x:c>
      <x:c r="C8" s="19" t="n">
        <x:v>4</x:v>
      </x:c>
    </x:row>
    <x:row r="9">
      <x:c r="A9" s="14" t="str">
        <x:v>Command, communications and evidence</x:v>
      </x:c>
      <x:c r="B9" s="18" t="n">
        <x:v>1</x:v>
      </x:c>
      <x:c r="C9" s="18" t="n">
        <x:v>2</x:v>
      </x:c>
    </x:row>
    <x:row r="10">
      <x:c r="A10" s="15" t="str">
        <x:v>Cooling, atmosphere and auxiliaries</x:v>
      </x:c>
      <x:c r="B10" s="19" t="n">
        <x:v>1.5</x:v>
      </x:c>
      <x:c r="C10" s="19" t="n">
        <x:v>3</x:v>
      </x:c>
    </x:row>
    <x:row r="11">
      <x:c r="A11" s="14" t="str">
        <x:v>Protected reserve</x:v>
      </x:c>
      <x:c r="B11" s="18" t="n">
        <x:v>1</x:v>
      </x:c>
      <x:c r="C11" s="18" t="n">
        <x:v>3</x:v>
      </x:c>
    </x:row>
    <x:row r="12">
      <x:c r="A12" s="20" t="str">
        <x:v>Registered system</x:v>
      </x:c>
      <x:c r="B12" s="21" t="n">
        <x:f>SUM(B5:B11)</x:f>
        <x:v>20</x:v>
      </x:c>
      <x:c r="C12" s="21" t="n">
        <x:f>SUM(C5:C11)</x:f>
        <x:v>35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16" hidden="0" customWidth="1"/>
    <x:col min="4" max="4" width="58" hidden="0" customWidth="1"/>
  </x:cols>
  <x:sheetData>
    <x:row r="1" ht="27" customHeight="1">
      <x:c r="A1" s="3" t="str">
        <x:v>Dual rapid-trunkline geometry</x:v>
      </x:c>
    </x:row>
    <x:row r="2" ht="32" customHeight="1">
      <x:c r="A2" s="7" t="str">
        <x:v>Velocity is a geometric screen. Losses and transients remain candidate-specific.</x:v>
      </x:c>
    </x:row>
    <x:row r="4" ht="28" customHeight="1">
      <x:c r="A4" s="11" t="str">
        <x:v>Metric</x:v>
      </x:c>
      <x:c r="B4" s="11" t="str">
        <x:v>Calculated</x:v>
      </x:c>
      <x:c r="C4" s="11" t="str">
        <x:v>Unit</x:v>
      </x:c>
      <x:c r="D4" s="11" t="str">
        <x:v>Requirement</x:v>
      </x:c>
    </x:row>
    <x:row r="5">
      <x:c r="A5" s="14" t="str">
        <x:v>Flow per trunk</x:v>
      </x:c>
      <x:c r="B5" s="18" t="n">
        <x:f>Assumptions!B15/Assumptions!B17/3600</x:f>
        <x:v>0.2777777777777778</x:v>
      </x:c>
      <x:c r="C5" s="14" t="str">
        <x:v>m3/s</x:v>
      </x:c>
      <x:c r="D5" s="14" t="str">
        <x:v>Half of fire-control-grade production</x:v>
      </x:c>
    </x:row>
    <x:row r="6">
      <x:c r="A6" s="15" t="str">
        <x:v>Cross-section area</x:v>
      </x:c>
      <x:c r="B6" s="19" t="n">
        <x:f>PI()*Assumptions!B19^2/4</x:f>
        <x:v>0.1590431280879833</x:v>
      </x:c>
      <x:c r="C6" s="15" t="str">
        <x:v>m2</x:v>
      </x:c>
      <x:c r="D6" s="15" t="str">
        <x:v>0.45 m internal diameter</x:v>
      </x:c>
    </x:row>
    <x:row r="7">
      <x:c r="A7" s="14" t="str">
        <x:v>Mean velocity</x:v>
      </x:c>
      <x:c r="B7" s="18" t="n">
        <x:f>B5/B6</x:f>
        <x:v>1.7465563027917184</x:v>
      </x:c>
      <x:c r="C7" s="14" t="str">
        <x:v>m/s</x:v>
      </x:c>
      <x:c r="D7" s="14" t="str">
        <x:v>Before friction and fittings</x:v>
      </x:c>
    </x:row>
    <x:row r="8">
      <x:c r="A8" s="15" t="str">
        <x:v>Total deployed length</x:v>
      </x:c>
      <x:c r="B8" s="19" t="n">
        <x:f>Assumptions!B17*Assumptions!B18/1000</x:f>
        <x:v>10</x:v>
      </x:c>
      <x:c r="C8" s="15" t="str">
        <x:v>km</x:v>
      </x:c>
      <x:c r="D8" s="15" t="str">
        <x:v>Two independent five-kilometre paths</x:v>
      </x:c>
    </x:row>
    <x:row r="9">
      <x:c r="A9" s="14" t="str">
        <x:v>Deployment time</x:v>
      </x:c>
      <x:c r="B9" s="18" t="n">
        <x:f>6</x:f>
        <x:v>6</x:v>
      </x:c>
      <x:c r="C9" s="14" t="str">
        <x:v>h</x:v>
      </x:c>
      <x:c r="D9" s="14" t="str">
        <x:v>After route release</x:v>
      </x:c>
    </x:row>
    <x:row r="10">
      <x:c r="A10" s="15" t="str">
        <x:v>Average deployment rate</x:v>
      </x:c>
      <x:c r="B10" s="19" t="n">
        <x:f>B8*1000/B9/60</x:f>
        <x:v>27.77777777777778</x:v>
      </x:c>
      <x:c r="C10" s="15" t="str">
        <x:v>m/min</x:v>
      </x:c>
      <x:c r="D10" s="15" t="str">
        <x:v>Both paths combined</x:v>
      </x:c>
    </x:row>
    <x:row r="11">
      <x:c r="A11" s="14" t="str">
        <x:v>Isolation section</x:v>
      </x:c>
      <x:c r="B11" s="18" t="n">
        <x:f>250</x:f>
        <x:v>250</x:v>
      </x:c>
      <x:c r="C11" s="14" t="str">
        <x:v>m</x:v>
      </x:c>
      <x:c r="D11" s="14" t="str">
        <x:v>Any section can isolate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16" hidden="0" customWidth="1"/>
    <x:col min="4" max="4" width="58" hidden="0" customWidth="1"/>
  </x:cols>
  <x:sheetData>
    <x:row r="1" ht="27" customHeight="1">
      <x:c r="A1" s="3" t="str">
        <x:v>Mixed-effluent recovery screen</x:v>
      </x:c>
    </x:row>
    <x:row r="2" ht="32" customHeight="1">
      <x:c r="A2" s="7" t="str">
        <x:v>Supply credit remains zero until chemical eligibility closes.</x:v>
      </x:c>
    </x:row>
    <x:row r="4" ht="28" customHeight="1">
      <x:c r="A4" s="11" t="str">
        <x:v>Metric</x:v>
      </x:c>
      <x:c r="B4" s="11" t="str">
        <x:v>Calculated</x:v>
      </x:c>
      <x:c r="C4" s="11" t="str">
        <x:v>Unit</x:v>
      </x:c>
      <x:c r="D4" s="11" t="str">
        <x:v>Interpretation</x:v>
      </x:c>
    </x:row>
    <x:row r="5">
      <x:c r="A5" s="14" t="str">
        <x:v>Peak issue</x:v>
      </x:c>
      <x:c r="B5" s="18" t="n">
        <x:f>'Water Screen'!B7</x:f>
        <x:v>4.800000000000001</x:v>
      </x:c>
      <x:c r="C5" s="14" t="str">
        <x:v>m3/s</x:v>
      </x:c>
      <x:c r="D5" s="14" t="str">
        <x:v>Twelve simultaneous cells</x:v>
      </x:c>
    </x:row>
    <x:row r="6">
      <x:c r="A6" s="15" t="str">
        <x:v>Recovery inlet</x:v>
      </x:c>
      <x:c r="B6" s="19" t="n">
        <x:f>Assumptions!B20</x:f>
        <x:v>5.5</x:v>
      </x:c>
      <x:c r="C6" s="15" t="str">
        <x:v>m3/s</x:v>
      </x:c>
      <x:c r="D6" s="15" t="str">
        <x:v>Mixed-arrival requirement</x:v>
      </x:c>
    </x:row>
    <x:row r="7">
      <x:c r="A7" s="14" t="str">
        <x:v>Inlet ratio</x:v>
      </x:c>
      <x:c r="B7" s="18" t="n">
        <x:f>B6/B5</x:f>
        <x:v>1.1458333333333333</x:v>
      </x:c>
      <x:c r="C7" s="14" t="str">
        <x:v>ratio</x:v>
      </x:c>
      <x:c r="D7" s="14" t="str">
        <x:v>14.6% above peak issue</x:v>
      </x:c>
    </x:row>
    <x:row r="8">
      <x:c r="A8" s="15" t="str">
        <x:v>Surge storage</x:v>
      </x:c>
      <x:c r="B8" s="19" t="n">
        <x:f>Assumptions!B21</x:f>
        <x:v>3000</x:v>
      </x:c>
      <x:c r="C8" s="15" t="str">
        <x:v>m3</x:v>
      </x:c>
      <x:c r="D8" s="15" t="str">
        <x:v>Zoned isolated custody</x:v>
      </x:c>
    </x:row>
    <x:row r="9">
      <x:c r="A9" s="14" t="str">
        <x:v>Full-salvo equivalents</x:v>
      </x:c>
      <x:c r="B9" s="18" t="n">
        <x:f>B8/'Water Screen'!B6</x:f>
        <x:v>5.208333333333333</x:v>
      </x:c>
      <x:c r="C9" s="14" t="str">
        <x:v>salvos</x:v>
      </x:c>
      <x:c r="D9" s="14" t="str">
        <x:v>Before continuous treatment</x:v>
      </x:c>
    </x:row>
    <x:row r="10">
      <x:c r="A10" s="15" t="str">
        <x:v>Reuse goal</x:v>
      </x:c>
      <x:c r="B10" s="19" t="n">
        <x:f>Assumptions!B22</x:f>
        <x:v>0.6</x:v>
      </x:c>
      <x:c r="C10" s="15" t="str">
        <x:v>fraction</x:v>
      </x:c>
      <x:c r="D10" s="15" t="str">
        <x:v>Chemically eligible captured water</x:v>
      </x:c>
    </x:row>
    <x:row r="11">
      <x:c r="A11" s="14" t="str">
        <x:v>Governing reuse credit</x:v>
      </x:c>
      <x:c r="B11" s="18" t="n">
        <x:f>0</x:f>
        <x:v>0</x:v>
      </x:c>
      <x:c r="C11" s="14" t="str">
        <x:v>m3</x:v>
      </x:c>
      <x:c r="D11" s="14" t="str">
        <x:v>Zero in supply floor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54" hidden="0" customWidth="1"/>
  </x:cols>
  <x:sheetData>
    <x:row r="1" ht="27" customHeight="1">
      <x:c r="A1" s="3" t="str">
        <x:v>Four DFC-72 operational architectures</x:v>
      </x:c>
    </x:row>
    <x:row r="2" ht="32" customHeight="1">
      <x:c r="A2" s="7" t="str">
        <x:v>No architecture receives performance credit from its reference analogue.</x:v>
      </x:c>
    </x:row>
    <x:row r="4" ht="28" customHeight="1">
      <x:c r="A4" s="11" t="str">
        <x:v>ID</x:v>
      </x:c>
      <x:c r="B4" s="11" t="str">
        <x:v>Native principle</x:v>
      </x:c>
      <x:c r="C4" s="11" t="str">
        <x:v>Primary value</x:v>
      </x:c>
      <x:c r="D4" s="11" t="str">
        <x:v>Principal unknown</x:v>
      </x:c>
    </x:row>
    <x:row r="5">
      <x:c r="A5" s="14" t="str">
        <x:v>LATTICE-12</x:v>
      </x:c>
      <x:c r="B5" s="14" t="str">
        <x:v>Rapid cellular grid</x:v>
      </x:c>
      <x:c r="C5" s="14" t="str">
        <x:v>Local isolation and reconfiguration</x:v>
      </x:c>
      <x:c r="D5" s="14" t="str">
        <x:v>Installation time, joints and damaged-ground fit</x:v>
      </x:c>
    </x:row>
    <x:row r="6">
      <x:c r="A6" s="15" t="str">
        <x:v>RING-12</x:v>
      </x:c>
      <x:c r="B6" s="15" t="str">
        <x:v>Dual perimeter main and passive sector diversion</x:v>
      </x:c>
      <x:c r="C6" s="15" t="str">
        <x:v>Clear edge and hydraulic hierarchy</x:v>
      </x:c>
      <x:c r="D6" s="15" t="str">
        <x:v>Terrain, obstruction and long-path transients</x:v>
      </x:c>
    </x:row>
    <x:row r="7">
      <x:c r="A7" s="14" t="str">
        <x:v>SPAN-12</x:v>
      </x:c>
      <x:c r="B7" s="14" t="str">
        <x:v>Elevated delivery with independent recovery plane</x:v>
      </x:c>
      <x:c r="C7" s="14" t="str">
        <x:v>Access above blocked ground</x:v>
      </x:c>
      <x:c r="D7" s="14" t="str">
        <x:v>Wind, stability and coordinate dependence</x:v>
      </x:c>
    </x:row>
    <x:row r="8">
      <x:c r="A8" s="15" t="str">
        <x:v>SWARM-12</x:v>
      </x:c>
      <x:c r="B8" s="15" t="str">
        <x:v>Autonomous mobile water-power-sensor-collector cells</x:v>
      </x:c>
      <x:c r="C8" s="15" t="str">
        <x:v>Reconfiguration and local independence</x:v>
      </x:c>
      <x:c r="D8" s="15" t="str">
        <x:v>Navigation, congestion and cyber-physical common cause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58" hidden="0" customWidth="1"/>
    <x:col min="4" max="4" width="16" hidden="0" customWidth="1"/>
  </x:cols>
  <x:sheetData>
    <x:row r="1" ht="27" customHeight="1">
      <x:c r="A1" s="3" t="str">
        <x:v>OCE-1 candidate-entry register</x:v>
      </x:c>
    </x:row>
    <x:row r="2" ht="32" customHeight="1">
      <x:c r="A2" s="7" t="str">
        <x:v>Every candidate must submit all twelve objects before article design.</x:v>
      </x:c>
    </x:row>
    <x:row r="4" ht="28" customHeight="1">
      <x:c r="A4" s="11" t="str">
        <x:v>Architecture</x:v>
      </x:c>
      <x:c r="B4" s="11" t="str">
        <x:v>Object</x:v>
      </x:c>
      <x:c r="C4" s="11" t="str">
        <x:v>Required content</x:v>
      </x:c>
      <x:c r="D4" s="11" t="str">
        <x:v>State</x:v>
      </x:c>
    </x:row>
    <x:row r="5">
      <x:c r="A5" s="14" t="str">
        <x:v>LATTICE-12</x:v>
      </x:c>
      <x:c r="B5" s="14" t="str">
        <x:v>Mission effect</x:v>
      </x:c>
      <x:c r="C5" s="14" t="str">
        <x:v>Registered and independently reviewable</x:v>
      </x:c>
      <x:c r="D5" s="14" t="str">
        <x:v>OPEN</x:v>
      </x:c>
    </x:row>
    <x:row r="6">
      <x:c r="A6" s="15" t="str">
        <x:v>LATTICE-12</x:v>
      </x:c>
      <x:c r="B6" s="15" t="str">
        <x:v>Bounded environment</x:v>
      </x:c>
      <x:c r="C6" s="15" t="str">
        <x:v>Registered and independently reviewable</x:v>
      </x:c>
      <x:c r="D6" s="15" t="str">
        <x:v>OPEN</x:v>
      </x:c>
    </x:row>
    <x:row r="7">
      <x:c r="A7" s="14" t="str">
        <x:v>LATTICE-12</x:v>
      </x:c>
      <x:c r="B7" s="14" t="str">
        <x:v>Service contract</x:v>
      </x:c>
      <x:c r="C7" s="14" t="str">
        <x:v>Registered and independently reviewable</x:v>
      </x:c>
      <x:c r="D7" s="14" t="str">
        <x:v>OPEN</x:v>
      </x:c>
    </x:row>
    <x:row r="8">
      <x:c r="A8" s="15" t="str">
        <x:v>LATTICE-12</x:v>
      </x:c>
      <x:c r="B8" s="15" t="str">
        <x:v>Nine-root mechanism</x:v>
      </x:c>
      <x:c r="C8" s="15" t="str">
        <x:v>Registered and independently reviewable</x:v>
      </x:c>
      <x:c r="D8" s="15" t="str">
        <x:v>OPEN</x:v>
      </x:c>
    </x:row>
    <x:row r="9">
      <x:c r="A9" s="14" t="str">
        <x:v>LATTICE-12</x:v>
      </x:c>
      <x:c r="B9" s="14" t="str">
        <x:v>Public rescue</x:v>
      </x:c>
      <x:c r="C9" s="14" t="str">
        <x:v>Registered and independently reviewable</x:v>
      </x:c>
      <x:c r="D9" s="14" t="str">
        <x:v>OPEN</x:v>
      </x:c>
    </x:row>
    <x:row r="10">
      <x:c r="A10" s="15" t="str">
        <x:v>LATTICE-12</x:v>
      </x:c>
      <x:c r="B10" s="15" t="str">
        <x:v>Service islands</x:v>
      </x:c>
      <x:c r="C10" s="15" t="str">
        <x:v>Registered and independently reviewable</x:v>
      </x:c>
      <x:c r="D10" s="15" t="str">
        <x:v>OPEN</x:v>
      </x:c>
    </x:row>
    <x:row r="11">
      <x:c r="A11" s="14" t="str">
        <x:v>LATTICE-12</x:v>
      </x:c>
      <x:c r="B11" s="14" t="str">
        <x:v>Safeing and human access</x:v>
      </x:c>
      <x:c r="C11" s="14" t="str">
        <x:v>Registered and independently reviewable</x:v>
      </x:c>
      <x:c r="D11" s="14" t="str">
        <x:v>OPEN</x:v>
      </x:c>
    </x:row>
    <x:row r="12">
      <x:c r="A12" s="15" t="str">
        <x:v>LATTICE-12</x:v>
      </x:c>
      <x:c r="B12" s="15" t="str">
        <x:v>Logistics and regeneration</x:v>
      </x:c>
      <x:c r="C12" s="15" t="str">
        <x:v>Registered and independently reviewable</x:v>
      </x:c>
      <x:c r="D12" s="15" t="str">
        <x:v>OPEN</x:v>
      </x:c>
    </x:row>
    <x:row r="13">
      <x:c r="A13" s="14" t="str">
        <x:v>LATTICE-12</x:v>
      </x:c>
      <x:c r="B13" s="14" t="str">
        <x:v>Native evidence</x:v>
      </x:c>
      <x:c r="C13" s="14" t="str">
        <x:v>Registered and independently reviewable</x:v>
      </x:c>
      <x:c r="D13" s="14" t="str">
        <x:v>OPEN</x:v>
      </x:c>
    </x:row>
    <x:row r="14">
      <x:c r="A14" s="15" t="str">
        <x:v>LATTICE-12</x:v>
      </x:c>
      <x:c r="B14" s="15" t="str">
        <x:v>Industrial rights</x:v>
      </x:c>
      <x:c r="C14" s="15" t="str">
        <x:v>Registered and independently reviewable</x:v>
      </x:c>
      <x:c r="D14" s="15" t="str">
        <x:v>OPEN</x:v>
      </x:c>
    </x:row>
    <x:row r="15">
      <x:c r="A15" s="14" t="str">
        <x:v>LATTICE-12</x:v>
      </x:c>
      <x:c r="B15" s="14" t="str">
        <x:v>Cost and production</x:v>
      </x:c>
      <x:c r="C15" s="14" t="str">
        <x:v>Registered and independently reviewable</x:v>
      </x:c>
      <x:c r="D15" s="14" t="str">
        <x:v>OPEN</x:v>
      </x:c>
    </x:row>
    <x:row r="16">
      <x:c r="A16" s="15" t="str">
        <x:v>LATTICE-12</x:v>
      </x:c>
      <x:c r="B16" s="15" t="str">
        <x:v>Falsification campaign</x:v>
      </x:c>
      <x:c r="C16" s="15" t="str">
        <x:v>Registered and independently reviewable</x:v>
      </x:c>
      <x:c r="D16" s="15" t="str">
        <x:v>OPEN</x:v>
      </x:c>
    </x:row>
    <x:row r="17">
      <x:c r="A17" s="14" t="str">
        <x:v>RING-12</x:v>
      </x:c>
      <x:c r="B17" s="14" t="str">
        <x:v>Mission effect</x:v>
      </x:c>
      <x:c r="C17" s="14" t="str">
        <x:v>Registered and independently reviewable</x:v>
      </x:c>
      <x:c r="D17" s="14" t="str">
        <x:v>OPEN</x:v>
      </x:c>
    </x:row>
    <x:row r="18">
      <x:c r="A18" s="15" t="str">
        <x:v>RING-12</x:v>
      </x:c>
      <x:c r="B18" s="15" t="str">
        <x:v>Bounded environment</x:v>
      </x:c>
      <x:c r="C18" s="15" t="str">
        <x:v>Registered and independently reviewable</x:v>
      </x:c>
      <x:c r="D18" s="15" t="str">
        <x:v>OPEN</x:v>
      </x:c>
    </x:row>
    <x:row r="19">
      <x:c r="A19" s="14" t="str">
        <x:v>RING-12</x:v>
      </x:c>
      <x:c r="B19" s="14" t="str">
        <x:v>Service contract</x:v>
      </x:c>
      <x:c r="C19" s="14" t="str">
        <x:v>Registered and independently reviewable</x:v>
      </x:c>
      <x:c r="D19" s="14" t="str">
        <x:v>OPEN</x:v>
      </x:c>
    </x:row>
    <x:row r="20">
      <x:c r="A20" s="15" t="str">
        <x:v>RING-12</x:v>
      </x:c>
      <x:c r="B20" s="15" t="str">
        <x:v>Nine-root mechanism</x:v>
      </x:c>
      <x:c r="C20" s="15" t="str">
        <x:v>Registered and independently reviewable</x:v>
      </x:c>
      <x:c r="D20" s="15" t="str">
        <x:v>OPEN</x:v>
      </x:c>
    </x:row>
    <x:row r="21">
      <x:c r="A21" s="14" t="str">
        <x:v>RING-12</x:v>
      </x:c>
      <x:c r="B21" s="14" t="str">
        <x:v>Public rescue</x:v>
      </x:c>
      <x:c r="C21" s="14" t="str">
        <x:v>Registered and independently reviewable</x:v>
      </x:c>
      <x:c r="D21" s="14" t="str">
        <x:v>OPEN</x:v>
      </x:c>
    </x:row>
    <x:row r="22">
      <x:c r="A22" s="15" t="str">
        <x:v>RING-12</x:v>
      </x:c>
      <x:c r="B22" s="15" t="str">
        <x:v>Service islands</x:v>
      </x:c>
      <x:c r="C22" s="15" t="str">
        <x:v>Registered and independently reviewable</x:v>
      </x:c>
      <x:c r="D22" s="15" t="str">
        <x:v>OPEN</x:v>
      </x:c>
    </x:row>
    <x:row r="23">
      <x:c r="A23" s="14" t="str">
        <x:v>RING-12</x:v>
      </x:c>
      <x:c r="B23" s="14" t="str">
        <x:v>Safeing and human access</x:v>
      </x:c>
      <x:c r="C23" s="14" t="str">
        <x:v>Registered and independently reviewable</x:v>
      </x:c>
      <x:c r="D23" s="14" t="str">
        <x:v>OPEN</x:v>
      </x:c>
    </x:row>
    <x:row r="24">
      <x:c r="A24" s="15" t="str">
        <x:v>RING-12</x:v>
      </x:c>
      <x:c r="B24" s="15" t="str">
        <x:v>Logistics and regeneration</x:v>
      </x:c>
      <x:c r="C24" s="15" t="str">
        <x:v>Registered and independently reviewable</x:v>
      </x:c>
      <x:c r="D24" s="15" t="str">
        <x:v>OPEN</x:v>
      </x:c>
    </x:row>
    <x:row r="25">
      <x:c r="A25" s="14" t="str">
        <x:v>RING-12</x:v>
      </x:c>
      <x:c r="B25" s="14" t="str">
        <x:v>Native evidence</x:v>
      </x:c>
      <x:c r="C25" s="14" t="str">
        <x:v>Registered and independently reviewable</x:v>
      </x:c>
      <x:c r="D25" s="14" t="str">
        <x:v>OPEN</x:v>
      </x:c>
    </x:row>
    <x:row r="26">
      <x:c r="A26" s="15" t="str">
        <x:v>RING-12</x:v>
      </x:c>
      <x:c r="B26" s="15" t="str">
        <x:v>Industrial rights</x:v>
      </x:c>
      <x:c r="C26" s="15" t="str">
        <x:v>Registered and independently reviewable</x:v>
      </x:c>
      <x:c r="D26" s="15" t="str">
        <x:v>OPEN</x:v>
      </x:c>
    </x:row>
    <x:row r="27">
      <x:c r="A27" s="14" t="str">
        <x:v>RING-12</x:v>
      </x:c>
      <x:c r="B27" s="14" t="str">
        <x:v>Cost and production</x:v>
      </x:c>
      <x:c r="C27" s="14" t="str">
        <x:v>Registered and independently reviewable</x:v>
      </x:c>
      <x:c r="D27" s="14" t="str">
        <x:v>OPEN</x:v>
      </x:c>
    </x:row>
    <x:row r="28">
      <x:c r="A28" s="15" t="str">
        <x:v>RING-12</x:v>
      </x:c>
      <x:c r="B28" s="15" t="str">
        <x:v>Falsification campaign</x:v>
      </x:c>
      <x:c r="C28" s="15" t="str">
        <x:v>Registered and independently reviewable</x:v>
      </x:c>
      <x:c r="D28" s="15" t="str">
        <x:v>OPEN</x:v>
      </x:c>
    </x:row>
    <x:row r="29">
      <x:c r="A29" s="14" t="str">
        <x:v>SPAN-12</x:v>
      </x:c>
      <x:c r="B29" s="14" t="str">
        <x:v>Mission effect</x:v>
      </x:c>
      <x:c r="C29" s="14" t="str">
        <x:v>Registered and independently reviewable</x:v>
      </x:c>
      <x:c r="D29" s="14" t="str">
        <x:v>OPEN</x:v>
      </x:c>
    </x:row>
    <x:row r="30">
      <x:c r="A30" s="15" t="str">
        <x:v>SPAN-12</x:v>
      </x:c>
      <x:c r="B30" s="15" t="str">
        <x:v>Bounded environment</x:v>
      </x:c>
      <x:c r="C30" s="15" t="str">
        <x:v>Registered and independently reviewable</x:v>
      </x:c>
      <x:c r="D30" s="15" t="str">
        <x:v>OPEN</x:v>
      </x:c>
    </x:row>
    <x:row r="31">
      <x:c r="A31" s="14" t="str">
        <x:v>SPAN-12</x:v>
      </x:c>
      <x:c r="B31" s="14" t="str">
        <x:v>Service contract</x:v>
      </x:c>
      <x:c r="C31" s="14" t="str">
        <x:v>Registered and independently reviewable</x:v>
      </x:c>
      <x:c r="D31" s="14" t="str">
        <x:v>OPEN</x:v>
      </x:c>
    </x:row>
    <x:row r="32">
      <x:c r="A32" s="15" t="str">
        <x:v>SPAN-12</x:v>
      </x:c>
      <x:c r="B32" s="15" t="str">
        <x:v>Nine-root mechanism</x:v>
      </x:c>
      <x:c r="C32" s="15" t="str">
        <x:v>Registered and independently reviewable</x:v>
      </x:c>
      <x:c r="D32" s="15" t="str">
        <x:v>OPEN</x:v>
      </x:c>
    </x:row>
    <x:row r="33">
      <x:c r="A33" s="14" t="str">
        <x:v>SPAN-12</x:v>
      </x:c>
      <x:c r="B33" s="14" t="str">
        <x:v>Public rescue</x:v>
      </x:c>
      <x:c r="C33" s="14" t="str">
        <x:v>Registered and independently reviewable</x:v>
      </x:c>
      <x:c r="D33" s="14" t="str">
        <x:v>OPEN</x:v>
      </x:c>
    </x:row>
    <x:row r="34">
      <x:c r="A34" s="15" t="str">
        <x:v>SPAN-12</x:v>
      </x:c>
      <x:c r="B34" s="15" t="str">
        <x:v>Service islands</x:v>
      </x:c>
      <x:c r="C34" s="15" t="str">
        <x:v>Registered and independently reviewable</x:v>
      </x:c>
      <x:c r="D34" s="15" t="str">
        <x:v>OPEN</x:v>
      </x:c>
    </x:row>
    <x:row r="35">
      <x:c r="A35" s="14" t="str">
        <x:v>SPAN-12</x:v>
      </x:c>
      <x:c r="B35" s="14" t="str">
        <x:v>Safeing and human access</x:v>
      </x:c>
      <x:c r="C35" s="14" t="str">
        <x:v>Registered and independently reviewable</x:v>
      </x:c>
      <x:c r="D35" s="14" t="str">
        <x:v>OPEN</x:v>
      </x:c>
    </x:row>
    <x:row r="36">
      <x:c r="A36" s="15" t="str">
        <x:v>SPAN-12</x:v>
      </x:c>
      <x:c r="B36" s="15" t="str">
        <x:v>Logistics and regeneration</x:v>
      </x:c>
      <x:c r="C36" s="15" t="str">
        <x:v>Registered and independently reviewable</x:v>
      </x:c>
      <x:c r="D36" s="15" t="str">
        <x:v>OPEN</x:v>
      </x:c>
    </x:row>
    <x:row r="37">
      <x:c r="A37" s="14" t="str">
        <x:v>SPAN-12</x:v>
      </x:c>
      <x:c r="B37" s="14" t="str">
        <x:v>Native evidence</x:v>
      </x:c>
      <x:c r="C37" s="14" t="str">
        <x:v>Registered and independently reviewable</x:v>
      </x:c>
      <x:c r="D37" s="14" t="str">
        <x:v>OPEN</x:v>
      </x:c>
    </x:row>
    <x:row r="38">
      <x:c r="A38" s="15" t="str">
        <x:v>SPAN-12</x:v>
      </x:c>
      <x:c r="B38" s="15" t="str">
        <x:v>Industrial rights</x:v>
      </x:c>
      <x:c r="C38" s="15" t="str">
        <x:v>Registered and independently reviewable</x:v>
      </x:c>
      <x:c r="D38" s="15" t="str">
        <x:v>OPEN</x:v>
      </x:c>
    </x:row>
    <x:row r="39">
      <x:c r="A39" s="14" t="str">
        <x:v>SPAN-12</x:v>
      </x:c>
      <x:c r="B39" s="14" t="str">
        <x:v>Cost and production</x:v>
      </x:c>
      <x:c r="C39" s="14" t="str">
        <x:v>Registered and independently reviewable</x:v>
      </x:c>
      <x:c r="D39" s="14" t="str">
        <x:v>OPEN</x:v>
      </x:c>
    </x:row>
    <x:row r="40">
      <x:c r="A40" s="15" t="str">
        <x:v>SPAN-12</x:v>
      </x:c>
      <x:c r="B40" s="15" t="str">
        <x:v>Falsification campaign</x:v>
      </x:c>
      <x:c r="C40" s="15" t="str">
        <x:v>Registered and independently reviewable</x:v>
      </x:c>
      <x:c r="D40" s="15" t="str">
        <x:v>OPEN</x:v>
      </x:c>
    </x:row>
    <x:row r="41">
      <x:c r="A41" s="14" t="str">
        <x:v>SWARM-12</x:v>
      </x:c>
      <x:c r="B41" s="14" t="str">
        <x:v>Mission effect</x:v>
      </x:c>
      <x:c r="C41" s="14" t="str">
        <x:v>Registered and independently reviewable</x:v>
      </x:c>
      <x:c r="D41" s="14" t="str">
        <x:v>OPEN</x:v>
      </x:c>
    </x:row>
    <x:row r="42">
      <x:c r="A42" s="15" t="str">
        <x:v>SWARM-12</x:v>
      </x:c>
      <x:c r="B42" s="15" t="str">
        <x:v>Bounded environment</x:v>
      </x:c>
      <x:c r="C42" s="15" t="str">
        <x:v>Registered and independently reviewable</x:v>
      </x:c>
      <x:c r="D42" s="15" t="str">
        <x:v>OPEN</x:v>
      </x:c>
    </x:row>
    <x:row r="43">
      <x:c r="A43" s="14" t="str">
        <x:v>SWARM-12</x:v>
      </x:c>
      <x:c r="B43" s="14" t="str">
        <x:v>Service contract</x:v>
      </x:c>
      <x:c r="C43" s="14" t="str">
        <x:v>Registered and independently reviewable</x:v>
      </x:c>
      <x:c r="D43" s="14" t="str">
        <x:v>OPEN</x:v>
      </x:c>
    </x:row>
    <x:row r="44">
      <x:c r="A44" s="15" t="str">
        <x:v>SWARM-12</x:v>
      </x:c>
      <x:c r="B44" s="15" t="str">
        <x:v>Nine-root mechanism</x:v>
      </x:c>
      <x:c r="C44" s="15" t="str">
        <x:v>Registered and independently reviewable</x:v>
      </x:c>
      <x:c r="D44" s="15" t="str">
        <x:v>OPEN</x:v>
      </x:c>
    </x:row>
    <x:row r="45">
      <x:c r="A45" s="14" t="str">
        <x:v>SWARM-12</x:v>
      </x:c>
      <x:c r="B45" s="14" t="str">
        <x:v>Public rescue</x:v>
      </x:c>
      <x:c r="C45" s="14" t="str">
        <x:v>Registered and independently reviewable</x:v>
      </x:c>
      <x:c r="D45" s="14" t="str">
        <x:v>OPEN</x:v>
      </x:c>
    </x:row>
    <x:row r="46">
      <x:c r="A46" s="15" t="str">
        <x:v>SWARM-12</x:v>
      </x:c>
      <x:c r="B46" s="15" t="str">
        <x:v>Service islands</x:v>
      </x:c>
      <x:c r="C46" s="15" t="str">
        <x:v>Registered and independently reviewable</x:v>
      </x:c>
      <x:c r="D46" s="15" t="str">
        <x:v>OPEN</x:v>
      </x:c>
    </x:row>
    <x:row r="47">
      <x:c r="A47" s="14" t="str">
        <x:v>SWARM-12</x:v>
      </x:c>
      <x:c r="B47" s="14" t="str">
        <x:v>Safeing and human access</x:v>
      </x:c>
      <x:c r="C47" s="14" t="str">
        <x:v>Registered and independently reviewable</x:v>
      </x:c>
      <x:c r="D47" s="14" t="str">
        <x:v>OPEN</x:v>
      </x:c>
    </x:row>
    <x:row r="48">
      <x:c r="A48" s="15" t="str">
        <x:v>SWARM-12</x:v>
      </x:c>
      <x:c r="B48" s="15" t="str">
        <x:v>Logistics and regeneration</x:v>
      </x:c>
      <x:c r="C48" s="15" t="str">
        <x:v>Registered and independently reviewable</x:v>
      </x:c>
      <x:c r="D48" s="15" t="str">
        <x:v>OPEN</x:v>
      </x:c>
    </x:row>
    <x:row r="49">
      <x:c r="A49" s="14" t="str">
        <x:v>SWARM-12</x:v>
      </x:c>
      <x:c r="B49" s="14" t="str">
        <x:v>Native evidence</x:v>
      </x:c>
      <x:c r="C49" s="14" t="str">
        <x:v>Registered and independently reviewable</x:v>
      </x:c>
      <x:c r="D49" s="14" t="str">
        <x:v>OPEN</x:v>
      </x:c>
    </x:row>
    <x:row r="50">
      <x:c r="A50" s="15" t="str">
        <x:v>SWARM-12</x:v>
      </x:c>
      <x:c r="B50" s="15" t="str">
        <x:v>Industrial rights</x:v>
      </x:c>
      <x:c r="C50" s="15" t="str">
        <x:v>Registered and independently reviewable</x:v>
      </x:c>
      <x:c r="D50" s="15" t="str">
        <x:v>OPEN</x:v>
      </x:c>
    </x:row>
    <x:row r="51">
      <x:c r="A51" s="14" t="str">
        <x:v>SWARM-12</x:v>
      </x:c>
      <x:c r="B51" s="14" t="str">
        <x:v>Cost and production</x:v>
      </x:c>
      <x:c r="C51" s="14" t="str">
        <x:v>Registered and independently reviewable</x:v>
      </x:c>
      <x:c r="D51" s="14" t="str">
        <x:v>OPEN</x:v>
      </x:c>
    </x:row>
    <x:row r="52">
      <x:c r="A52" s="15" t="str">
        <x:v>SWARM-12</x:v>
      </x:c>
      <x:c r="B52" s="15" t="str">
        <x:v>Falsification campaign</x:v>
      </x:c>
      <x:c r="C52" s="15" t="str">
        <x:v>Registered and independently reviewable</x:v>
      </x:c>
      <x:c r="D52" s="15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27" customHeight="1">
      <x:c r="A1" s="3" t="str">
        <x:v>Twenty-four quarter-edge articles</x:v>
      </x:c>
    </x:row>
    <x:row r="2" ht="32" customHeight="1">
      <x:c r="A2" s="7" t="str">
        <x:v>Each carries three cells, 250 m of edge and quarter-scale service estates.</x:v>
      </x:c>
    </x:row>
    <x:row r="4" ht="28" customHeight="1">
      <x:c r="A4" s="11" t="str">
        <x:v>Article</x:v>
      </x:c>
      <x:c r="B4" s="11" t="str">
        <x:v>Architecture</x:v>
      </x:c>
      <x:c r="C4" s="11" t="str">
        <x:v>Builder</x:v>
      </x:c>
      <x:c r="D4" s="11" t="str">
        <x:v>Campus</x:v>
      </x:c>
      <x:c r="E4" s="11" t="str">
        <x:v>Cells</x:v>
      </x:c>
      <x:c r="F4" s="11" t="str">
        <x:v>Edge m</x:v>
      </x:c>
      <x:c r="G4" s="11" t="str">
        <x:v>Ready m3</x:v>
      </x:c>
      <x:c r="H4" s="11" t="str">
        <x:v>Surge m3</x:v>
      </x:c>
      <x:c r="I4" s="11" t="str">
        <x:v>State</x:v>
      </x:c>
      <x:c r="J4" s="11" t="str">
        <x:v>Acceptance</x:v>
      </x:c>
    </x:row>
    <x:row r="5">
      <x:c r="A5" s="14" t="str">
        <x:v>QA-01</x:v>
      </x:c>
      <x:c r="B5" s="14" t="str">
        <x:v>LATTICE-12</x:v>
      </x:c>
      <x:c r="C5" s="14" t="str">
        <x:v>BL-A</x:v>
      </x:c>
      <x:c r="D5" s="14" t="str">
        <x:v>NRC-A</x:v>
      </x:c>
      <x:c r="E5" s="14" t="n">
        <x:v>3</x:v>
      </x:c>
      <x:c r="F5" s="14" t="n">
        <x:v>250</x:v>
      </x:c>
      <x:c r="G5" s="14" t="n">
        <x:v>300</x:v>
      </x:c>
      <x:c r="H5" s="14" t="n">
        <x:v>750</x:v>
      </x:c>
      <x:c r="I5" s="14" t="str">
        <x:v>PLANNED</x:v>
      </x:c>
      <x:c r="J5" s="14" t="str">
        <x:v>OPEN</x:v>
      </x:c>
    </x:row>
    <x:row r="6">
      <x:c r="A6" s="15" t="str">
        <x:v>QA-02</x:v>
      </x:c>
      <x:c r="B6" s="15" t="str">
        <x:v>LATTICE-12</x:v>
      </x:c>
      <x:c r="C6" s="15" t="str">
        <x:v>BL-A</x:v>
      </x:c>
      <x:c r="D6" s="15" t="str">
        <x:v>NRC-B</x:v>
      </x:c>
      <x:c r="E6" s="15" t="n">
        <x:v>3</x:v>
      </x:c>
      <x:c r="F6" s="15" t="n">
        <x:v>250</x:v>
      </x:c>
      <x:c r="G6" s="15" t="n">
        <x:v>300</x:v>
      </x:c>
      <x:c r="H6" s="15" t="n">
        <x:v>750</x:v>
      </x:c>
      <x:c r="I6" s="15" t="str">
        <x:v>PLANNED</x:v>
      </x:c>
      <x:c r="J6" s="15" t="str">
        <x:v>OPEN</x:v>
      </x:c>
    </x:row>
    <x:row r="7">
      <x:c r="A7" s="14" t="str">
        <x:v>QA-03</x:v>
      </x:c>
      <x:c r="B7" s="14" t="str">
        <x:v>LATTICE-12</x:v>
      </x:c>
      <x:c r="C7" s="14" t="str">
        <x:v>BL-A</x:v>
      </x:c>
      <x:c r="D7" s="14" t="str">
        <x:v>NRC-C</x:v>
      </x:c>
      <x:c r="E7" s="14" t="n">
        <x:v>3</x:v>
      </x:c>
      <x:c r="F7" s="14" t="n">
        <x:v>250</x:v>
      </x:c>
      <x:c r="G7" s="14" t="n">
        <x:v>300</x:v>
      </x:c>
      <x:c r="H7" s="14" t="n">
        <x:v>750</x:v>
      </x:c>
      <x:c r="I7" s="14" t="str">
        <x:v>PLANNED</x:v>
      </x:c>
      <x:c r="J7" s="14" t="str">
        <x:v>OPEN</x:v>
      </x:c>
    </x:row>
    <x:row r="8">
      <x:c r="A8" s="15" t="str">
        <x:v>QA-04</x:v>
      </x:c>
      <x:c r="B8" s="15" t="str">
        <x:v>LATTICE-12</x:v>
      </x:c>
      <x:c r="C8" s="15" t="str">
        <x:v>BL-B</x:v>
      </x:c>
      <x:c r="D8" s="15" t="str">
        <x:v>NRC-A</x:v>
      </x:c>
      <x:c r="E8" s="15" t="n">
        <x:v>3</x:v>
      </x:c>
      <x:c r="F8" s="15" t="n">
        <x:v>250</x:v>
      </x:c>
      <x:c r="G8" s="15" t="n">
        <x:v>300</x:v>
      </x:c>
      <x:c r="H8" s="15" t="n">
        <x:v>750</x:v>
      </x:c>
      <x:c r="I8" s="15" t="str">
        <x:v>PLANNED</x:v>
      </x:c>
      <x:c r="J8" s="15" t="str">
        <x:v>OPEN</x:v>
      </x:c>
    </x:row>
    <x:row r="9">
      <x:c r="A9" s="14" t="str">
        <x:v>QA-05</x:v>
      </x:c>
      <x:c r="B9" s="14" t="str">
        <x:v>LATTICE-12</x:v>
      </x:c>
      <x:c r="C9" s="14" t="str">
        <x:v>BL-B</x:v>
      </x:c>
      <x:c r="D9" s="14" t="str">
        <x:v>NRC-B</x:v>
      </x:c>
      <x:c r="E9" s="14" t="n">
        <x:v>3</x:v>
      </x:c>
      <x:c r="F9" s="14" t="n">
        <x:v>250</x:v>
      </x:c>
      <x:c r="G9" s="14" t="n">
        <x:v>300</x:v>
      </x:c>
      <x:c r="H9" s="14" t="n">
        <x:v>750</x:v>
      </x:c>
      <x:c r="I9" s="14" t="str">
        <x:v>PLANNED</x:v>
      </x:c>
      <x:c r="J9" s="14" t="str">
        <x:v>OPEN</x:v>
      </x:c>
    </x:row>
    <x:row r="10">
      <x:c r="A10" s="15" t="str">
        <x:v>QA-06</x:v>
      </x:c>
      <x:c r="B10" s="15" t="str">
        <x:v>LATTICE-12</x:v>
      </x:c>
      <x:c r="C10" s="15" t="str">
        <x:v>BL-B</x:v>
      </x:c>
      <x:c r="D10" s="15" t="str">
        <x:v>NRC-C</x:v>
      </x:c>
      <x:c r="E10" s="15" t="n">
        <x:v>3</x:v>
      </x:c>
      <x:c r="F10" s="15" t="n">
        <x:v>250</x:v>
      </x:c>
      <x:c r="G10" s="15" t="n">
        <x:v>300</x:v>
      </x:c>
      <x:c r="H10" s="15" t="n">
        <x:v>750</x:v>
      </x:c>
      <x:c r="I10" s="15" t="str">
        <x:v>PLANNED</x:v>
      </x:c>
      <x:c r="J10" s="15" t="str">
        <x:v>OPEN</x:v>
      </x:c>
    </x:row>
    <x:row r="11">
      <x:c r="A11" s="14" t="str">
        <x:v>QA-07</x:v>
      </x:c>
      <x:c r="B11" s="14" t="str">
        <x:v>RING-12</x:v>
      </x:c>
      <x:c r="C11" s="14" t="str">
        <x:v>BL-A</x:v>
      </x:c>
      <x:c r="D11" s="14" t="str">
        <x:v>NRC-A</x:v>
      </x:c>
      <x:c r="E11" s="14" t="n">
        <x:v>3</x:v>
      </x:c>
      <x:c r="F11" s="14" t="n">
        <x:v>250</x:v>
      </x:c>
      <x:c r="G11" s="14" t="n">
        <x:v>300</x:v>
      </x:c>
      <x:c r="H11" s="14" t="n">
        <x:v>750</x:v>
      </x:c>
      <x:c r="I11" s="14" t="str">
        <x:v>PLANNED</x:v>
      </x:c>
      <x:c r="J11" s="14" t="str">
        <x:v>OPEN</x:v>
      </x:c>
    </x:row>
    <x:row r="12">
      <x:c r="A12" s="15" t="str">
        <x:v>QA-08</x:v>
      </x:c>
      <x:c r="B12" s="15" t="str">
        <x:v>RING-12</x:v>
      </x:c>
      <x:c r="C12" s="15" t="str">
        <x:v>BL-A</x:v>
      </x:c>
      <x:c r="D12" s="15" t="str">
        <x:v>NRC-B</x:v>
      </x:c>
      <x:c r="E12" s="15" t="n">
        <x:v>3</x:v>
      </x:c>
      <x:c r="F12" s="15" t="n">
        <x:v>250</x:v>
      </x:c>
      <x:c r="G12" s="15" t="n">
        <x:v>300</x:v>
      </x:c>
      <x:c r="H12" s="15" t="n">
        <x:v>750</x:v>
      </x:c>
      <x:c r="I12" s="15" t="str">
        <x:v>PLANNED</x:v>
      </x:c>
      <x:c r="J12" s="15" t="str">
        <x:v>OPEN</x:v>
      </x:c>
    </x:row>
    <x:row r="13">
      <x:c r="A13" s="14" t="str">
        <x:v>QA-09</x:v>
      </x:c>
      <x:c r="B13" s="14" t="str">
        <x:v>RING-12</x:v>
      </x:c>
      <x:c r="C13" s="14" t="str">
        <x:v>BL-A</x:v>
      </x:c>
      <x:c r="D13" s="14" t="str">
        <x:v>NRC-C</x:v>
      </x:c>
      <x:c r="E13" s="14" t="n">
        <x:v>3</x:v>
      </x:c>
      <x:c r="F13" s="14" t="n">
        <x:v>250</x:v>
      </x:c>
      <x:c r="G13" s="14" t="n">
        <x:v>300</x:v>
      </x:c>
      <x:c r="H13" s="14" t="n">
        <x:v>750</x:v>
      </x:c>
      <x:c r="I13" s="14" t="str">
        <x:v>PLANNED</x:v>
      </x:c>
      <x:c r="J13" s="14" t="str">
        <x:v>OPEN</x:v>
      </x:c>
    </x:row>
    <x:row r="14">
      <x:c r="A14" s="15" t="str">
        <x:v>QA-10</x:v>
      </x:c>
      <x:c r="B14" s="15" t="str">
        <x:v>RING-12</x:v>
      </x:c>
      <x:c r="C14" s="15" t="str">
        <x:v>BL-B</x:v>
      </x:c>
      <x:c r="D14" s="15" t="str">
        <x:v>NRC-A</x:v>
      </x:c>
      <x:c r="E14" s="15" t="n">
        <x:v>3</x:v>
      </x:c>
      <x:c r="F14" s="15" t="n">
        <x:v>250</x:v>
      </x:c>
      <x:c r="G14" s="15" t="n">
        <x:v>300</x:v>
      </x:c>
      <x:c r="H14" s="15" t="n">
        <x:v>750</x:v>
      </x:c>
      <x:c r="I14" s="15" t="str">
        <x:v>PLANNED</x:v>
      </x:c>
      <x:c r="J14" s="15" t="str">
        <x:v>OPEN</x:v>
      </x:c>
    </x:row>
    <x:row r="15">
      <x:c r="A15" s="14" t="str">
        <x:v>QA-11</x:v>
      </x:c>
      <x:c r="B15" s="14" t="str">
        <x:v>RING-12</x:v>
      </x:c>
      <x:c r="C15" s="14" t="str">
        <x:v>BL-B</x:v>
      </x:c>
      <x:c r="D15" s="14" t="str">
        <x:v>NRC-B</x:v>
      </x:c>
      <x:c r="E15" s="14" t="n">
        <x:v>3</x:v>
      </x:c>
      <x:c r="F15" s="14" t="n">
        <x:v>250</x:v>
      </x:c>
      <x:c r="G15" s="14" t="n">
        <x:v>300</x:v>
      </x:c>
      <x:c r="H15" s="14" t="n">
        <x:v>750</x:v>
      </x:c>
      <x:c r="I15" s="14" t="str">
        <x:v>PLANNED</x:v>
      </x:c>
      <x:c r="J15" s="14" t="str">
        <x:v>OPEN</x:v>
      </x:c>
    </x:row>
    <x:row r="16">
      <x:c r="A16" s="15" t="str">
        <x:v>QA-12</x:v>
      </x:c>
      <x:c r="B16" s="15" t="str">
        <x:v>RING-12</x:v>
      </x:c>
      <x:c r="C16" s="15" t="str">
        <x:v>BL-B</x:v>
      </x:c>
      <x:c r="D16" s="15" t="str">
        <x:v>NRC-C</x:v>
      </x:c>
      <x:c r="E16" s="15" t="n">
        <x:v>3</x:v>
      </x:c>
      <x:c r="F16" s="15" t="n">
        <x:v>250</x:v>
      </x:c>
      <x:c r="G16" s="15" t="n">
        <x:v>300</x:v>
      </x:c>
      <x:c r="H16" s="15" t="n">
        <x:v>750</x:v>
      </x:c>
      <x:c r="I16" s="15" t="str">
        <x:v>PLANNED</x:v>
      </x:c>
      <x:c r="J16" s="15" t="str">
        <x:v>OPEN</x:v>
      </x:c>
    </x:row>
    <x:row r="17">
      <x:c r="A17" s="14" t="str">
        <x:v>QA-13</x:v>
      </x:c>
      <x:c r="B17" s="14" t="str">
        <x:v>SPAN-12</x:v>
      </x:c>
      <x:c r="C17" s="14" t="str">
        <x:v>BL-A</x:v>
      </x:c>
      <x:c r="D17" s="14" t="str">
        <x:v>NRC-A</x:v>
      </x:c>
      <x:c r="E17" s="14" t="n">
        <x:v>3</x:v>
      </x:c>
      <x:c r="F17" s="14" t="n">
        <x:v>250</x:v>
      </x:c>
      <x:c r="G17" s="14" t="n">
        <x:v>300</x:v>
      </x:c>
      <x:c r="H17" s="14" t="n">
        <x:v>750</x:v>
      </x:c>
      <x:c r="I17" s="14" t="str">
        <x:v>PLANNED</x:v>
      </x:c>
      <x:c r="J17" s="14" t="str">
        <x:v>OPEN</x:v>
      </x:c>
    </x:row>
    <x:row r="18">
      <x:c r="A18" s="15" t="str">
        <x:v>QA-14</x:v>
      </x:c>
      <x:c r="B18" s="15" t="str">
        <x:v>SPAN-12</x:v>
      </x:c>
      <x:c r="C18" s="15" t="str">
        <x:v>BL-A</x:v>
      </x:c>
      <x:c r="D18" s="15" t="str">
        <x:v>NRC-B</x:v>
      </x:c>
      <x:c r="E18" s="15" t="n">
        <x:v>3</x:v>
      </x:c>
      <x:c r="F18" s="15" t="n">
        <x:v>250</x:v>
      </x:c>
      <x:c r="G18" s="15" t="n">
        <x:v>300</x:v>
      </x:c>
      <x:c r="H18" s="15" t="n">
        <x:v>750</x:v>
      </x:c>
      <x:c r="I18" s="15" t="str">
        <x:v>PLANNED</x:v>
      </x:c>
      <x:c r="J18" s="15" t="str">
        <x:v>OPEN</x:v>
      </x:c>
    </x:row>
    <x:row r="19">
      <x:c r="A19" s="14" t="str">
        <x:v>QA-15</x:v>
      </x:c>
      <x:c r="B19" s="14" t="str">
        <x:v>SPAN-12</x:v>
      </x:c>
      <x:c r="C19" s="14" t="str">
        <x:v>BL-A</x:v>
      </x:c>
      <x:c r="D19" s="14" t="str">
        <x:v>NRC-C</x:v>
      </x:c>
      <x:c r="E19" s="14" t="n">
        <x:v>3</x:v>
      </x:c>
      <x:c r="F19" s="14" t="n">
        <x:v>250</x:v>
      </x:c>
      <x:c r="G19" s="14" t="n">
        <x:v>300</x:v>
      </x:c>
      <x:c r="H19" s="14" t="n">
        <x:v>750</x:v>
      </x:c>
      <x:c r="I19" s="14" t="str">
        <x:v>PLANNED</x:v>
      </x:c>
      <x:c r="J19" s="14" t="str">
        <x:v>OPEN</x:v>
      </x:c>
    </x:row>
    <x:row r="20">
      <x:c r="A20" s="15" t="str">
        <x:v>QA-16</x:v>
      </x:c>
      <x:c r="B20" s="15" t="str">
        <x:v>SPAN-12</x:v>
      </x:c>
      <x:c r="C20" s="15" t="str">
        <x:v>BL-B</x:v>
      </x:c>
      <x:c r="D20" s="15" t="str">
        <x:v>NRC-A</x:v>
      </x:c>
      <x:c r="E20" s="15" t="n">
        <x:v>3</x:v>
      </x:c>
      <x:c r="F20" s="15" t="n">
        <x:v>250</x:v>
      </x:c>
      <x:c r="G20" s="15" t="n">
        <x:v>300</x:v>
      </x:c>
      <x:c r="H20" s="15" t="n">
        <x:v>750</x:v>
      </x:c>
      <x:c r="I20" s="15" t="str">
        <x:v>PLANNED</x:v>
      </x:c>
      <x:c r="J20" s="15" t="str">
        <x:v>OPEN</x:v>
      </x:c>
    </x:row>
    <x:row r="21">
      <x:c r="A21" s="14" t="str">
        <x:v>QA-17</x:v>
      </x:c>
      <x:c r="B21" s="14" t="str">
        <x:v>SPAN-12</x:v>
      </x:c>
      <x:c r="C21" s="14" t="str">
        <x:v>BL-B</x:v>
      </x:c>
      <x:c r="D21" s="14" t="str">
        <x:v>NRC-B</x:v>
      </x:c>
      <x:c r="E21" s="14" t="n">
        <x:v>3</x:v>
      </x:c>
      <x:c r="F21" s="14" t="n">
        <x:v>250</x:v>
      </x:c>
      <x:c r="G21" s="14" t="n">
        <x:v>300</x:v>
      </x:c>
      <x:c r="H21" s="14" t="n">
        <x:v>750</x:v>
      </x:c>
      <x:c r="I21" s="14" t="str">
        <x:v>PLANNED</x:v>
      </x:c>
      <x:c r="J21" s="14" t="str">
        <x:v>OPEN</x:v>
      </x:c>
    </x:row>
    <x:row r="22">
      <x:c r="A22" s="15" t="str">
        <x:v>QA-18</x:v>
      </x:c>
      <x:c r="B22" s="15" t="str">
        <x:v>SPAN-12</x:v>
      </x:c>
      <x:c r="C22" s="15" t="str">
        <x:v>BL-B</x:v>
      </x:c>
      <x:c r="D22" s="15" t="str">
        <x:v>NRC-C</x:v>
      </x:c>
      <x:c r="E22" s="15" t="n">
        <x:v>3</x:v>
      </x:c>
      <x:c r="F22" s="15" t="n">
        <x:v>250</x:v>
      </x:c>
      <x:c r="G22" s="15" t="n">
        <x:v>300</x:v>
      </x:c>
      <x:c r="H22" s="15" t="n">
        <x:v>750</x:v>
      </x:c>
      <x:c r="I22" s="15" t="str">
        <x:v>PLANNED</x:v>
      </x:c>
      <x:c r="J22" s="15" t="str">
        <x:v>OPEN</x:v>
      </x:c>
    </x:row>
    <x:row r="23">
      <x:c r="A23" s="14" t="str">
        <x:v>QA-19</x:v>
      </x:c>
      <x:c r="B23" s="14" t="str">
        <x:v>SWARM-12</x:v>
      </x:c>
      <x:c r="C23" s="14" t="str">
        <x:v>BL-A</x:v>
      </x:c>
      <x:c r="D23" s="14" t="str">
        <x:v>NRC-A</x:v>
      </x:c>
      <x:c r="E23" s="14" t="n">
        <x:v>3</x:v>
      </x:c>
      <x:c r="F23" s="14" t="n">
        <x:v>250</x:v>
      </x:c>
      <x:c r="G23" s="14" t="n">
        <x:v>300</x:v>
      </x:c>
      <x:c r="H23" s="14" t="n">
        <x:v>750</x:v>
      </x:c>
      <x:c r="I23" s="14" t="str">
        <x:v>PLANNED</x:v>
      </x:c>
      <x:c r="J23" s="14" t="str">
        <x:v>OPEN</x:v>
      </x:c>
    </x:row>
    <x:row r="24">
      <x:c r="A24" s="15" t="str">
        <x:v>QA-20</x:v>
      </x:c>
      <x:c r="B24" s="15" t="str">
        <x:v>SWARM-12</x:v>
      </x:c>
      <x:c r="C24" s="15" t="str">
        <x:v>BL-A</x:v>
      </x:c>
      <x:c r="D24" s="15" t="str">
        <x:v>NRC-B</x:v>
      </x:c>
      <x:c r="E24" s="15" t="n">
        <x:v>3</x:v>
      </x:c>
      <x:c r="F24" s="15" t="n">
        <x:v>250</x:v>
      </x:c>
      <x:c r="G24" s="15" t="n">
        <x:v>300</x:v>
      </x:c>
      <x:c r="H24" s="15" t="n">
        <x:v>750</x:v>
      </x:c>
      <x:c r="I24" s="15" t="str">
        <x:v>PLANNED</x:v>
      </x:c>
      <x:c r="J24" s="15" t="str">
        <x:v>OPEN</x:v>
      </x:c>
    </x:row>
    <x:row r="25">
      <x:c r="A25" s="14" t="str">
        <x:v>QA-21</x:v>
      </x:c>
      <x:c r="B25" s="14" t="str">
        <x:v>SWARM-12</x:v>
      </x:c>
      <x:c r="C25" s="14" t="str">
        <x:v>BL-A</x:v>
      </x:c>
      <x:c r="D25" s="14" t="str">
        <x:v>NRC-C</x:v>
      </x:c>
      <x:c r="E25" s="14" t="n">
        <x:v>3</x:v>
      </x:c>
      <x:c r="F25" s="14" t="n">
        <x:v>250</x:v>
      </x:c>
      <x:c r="G25" s="14" t="n">
        <x:v>300</x:v>
      </x:c>
      <x:c r="H25" s="14" t="n">
        <x:v>750</x:v>
      </x:c>
      <x:c r="I25" s="14" t="str">
        <x:v>PLANNED</x:v>
      </x:c>
      <x:c r="J25" s="14" t="str">
        <x:v>OPEN</x:v>
      </x:c>
    </x:row>
    <x:row r="26">
      <x:c r="A26" s="15" t="str">
        <x:v>QA-22</x:v>
      </x:c>
      <x:c r="B26" s="15" t="str">
        <x:v>SWARM-12</x:v>
      </x:c>
      <x:c r="C26" s="15" t="str">
        <x:v>BL-B</x:v>
      </x:c>
      <x:c r="D26" s="15" t="str">
        <x:v>NRC-A</x:v>
      </x:c>
      <x:c r="E26" s="15" t="n">
        <x:v>3</x:v>
      </x:c>
      <x:c r="F26" s="15" t="n">
        <x:v>250</x:v>
      </x:c>
      <x:c r="G26" s="15" t="n">
        <x:v>300</x:v>
      </x:c>
      <x:c r="H26" s="15" t="n">
        <x:v>750</x:v>
      </x:c>
      <x:c r="I26" s="15" t="str">
        <x:v>PLANNED</x:v>
      </x:c>
      <x:c r="J26" s="15" t="str">
        <x:v>OPEN</x:v>
      </x:c>
    </x:row>
    <x:row r="27">
      <x:c r="A27" s="14" t="str">
        <x:v>QA-23</x:v>
      </x:c>
      <x:c r="B27" s="14" t="str">
        <x:v>SWARM-12</x:v>
      </x:c>
      <x:c r="C27" s="14" t="str">
        <x:v>BL-B</x:v>
      </x:c>
      <x:c r="D27" s="14" t="str">
        <x:v>NRC-B</x:v>
      </x:c>
      <x:c r="E27" s="14" t="n">
        <x:v>3</x:v>
      </x:c>
      <x:c r="F27" s="14" t="n">
        <x:v>250</x:v>
      </x:c>
      <x:c r="G27" s="14" t="n">
        <x:v>300</x:v>
      </x:c>
      <x:c r="H27" s="14" t="n">
        <x:v>750</x:v>
      </x:c>
      <x:c r="I27" s="14" t="str">
        <x:v>PLANNED</x:v>
      </x:c>
      <x:c r="J27" s="14" t="str">
        <x:v>OPEN</x:v>
      </x:c>
    </x:row>
    <x:row r="28">
      <x:c r="A28" s="15" t="str">
        <x:v>QA-24</x:v>
      </x:c>
      <x:c r="B28" s="15" t="str">
        <x:v>SWARM-12</x:v>
      </x:c>
      <x:c r="C28" s="15" t="str">
        <x:v>BL-B</x:v>
      </x:c>
      <x:c r="D28" s="15" t="str">
        <x:v>NRC-C</x:v>
      </x:c>
      <x:c r="E28" s="15" t="n">
        <x:v>3</x:v>
      </x:c>
      <x:c r="F28" s="15" t="n">
        <x:v>250</x:v>
      </x:c>
      <x:c r="G28" s="15" t="n">
        <x:v>300</x:v>
      </x:c>
      <x:c r="H28" s="15" t="n">
        <x:v>750</x:v>
      </x:c>
      <x:c r="I28" s="15" t="str">
        <x:v>PLANNED</x:v>
      </x:c>
      <x:c r="J28" s="15" t="str">
        <x:v>OPEN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42" hidden="0" customWidth="1"/>
    <x:col min="5" max="5" width="22" hidden="0" customWidth="1"/>
    <x:col min="6" max="6" width="14" hidden="0" customWidth="1"/>
    <x:col min="7" max="7" width="16" hidden="0" customWidth="1"/>
  </x:cols>
  <x:sheetData>
    <x:row r="1" ht="27" customHeight="1">
      <x:c r="A1" s="3" t="str">
        <x:v>Quarter-edge architecture trials</x:v>
      </x:c>
    </x:row>
    <x:row r="2" ht="32" customHeight="1">
      <x:c r="A2" s="7" t="str">
        <x:v>Each trial provisions one 144 m3 quarter-edge screen; actual issue may be lower in dry evolutions.</x:v>
      </x:c>
    </x:row>
    <x:row r="4" ht="28" customHeight="1">
      <x:c r="A4" s="11" t="str">
        <x:v>Trial</x:v>
      </x:c>
      <x:c r="B4" s="11" t="str">
        <x:v>Article</x:v>
      </x:c>
      <x:c r="C4" s="11" t="str">
        <x:v>Architecture</x:v>
      </x:c>
      <x:c r="D4" s="11" t="str">
        <x:v>Challenge</x:v>
      </x:c>
      <x:c r="E4" s="11" t="str">
        <x:v>Provisioned water m3</x:v>
      </x:c>
      <x:c r="F4" s="11" t="str">
        <x:v>Validity</x:v>
      </x:c>
      <x:c r="G4" s="11" t="str">
        <x:v>Disposition</x:v>
      </x:c>
    </x:row>
    <x:row r="5">
      <x:c r="A5" s="14" t="str">
        <x:v>QT-001</x:v>
      </x:c>
      <x:c r="B5" s="14" t="str">
        <x:v>QA-01</x:v>
      </x:c>
      <x:c r="C5" s="14" t="str">
        <x:v>LATTICE-12</x:v>
      </x:c>
      <x:c r="D5" s="14" t="str">
        <x:v>Dry deployment</x:v>
      </x:c>
      <x:c r="E5" s="14" t="n">
        <x:v>144</x:v>
      </x:c>
      <x:c r="F5" s="14" t="str">
        <x:v>OPEN</x:v>
      </x:c>
      <x:c r="G5" s="14" t="str">
        <x:v>OPEN</x:v>
      </x:c>
    </x:row>
    <x:row r="6">
      <x:c r="A6" s="15" t="str">
        <x:v>QT-002</x:v>
      </x:c>
      <x:c r="B6" s="15" t="str">
        <x:v>QA-01</x:v>
      </x:c>
      <x:c r="C6" s="15" t="str">
        <x:v>LATTICE-12</x:v>
      </x:c>
      <x:c r="D6" s="15" t="str">
        <x:v>Freshwater acquisition</x:v>
      </x:c>
      <x:c r="E6" s="15" t="n">
        <x:v>144</x:v>
      </x:c>
      <x:c r="F6" s="15" t="str">
        <x:v>OPEN</x:v>
      </x:c>
      <x:c r="G6" s="15" t="str">
        <x:v>OPEN</x:v>
      </x:c>
    </x:row>
    <x:row r="7">
      <x:c r="A7" s="14" t="str">
        <x:v>QT-003</x:v>
      </x:c>
      <x:c r="B7" s="14" t="str">
        <x:v>QA-01</x:v>
      </x:c>
      <x:c r="C7" s="14" t="str">
        <x:v>LATTICE-12</x:v>
      </x:c>
      <x:c r="D7" s="14" t="str">
        <x:v>Saline-water mode</x:v>
      </x:c>
      <x:c r="E7" s="14" t="n">
        <x:v>144</x:v>
      </x:c>
      <x:c r="F7" s="14" t="str">
        <x:v>OPEN</x:v>
      </x:c>
      <x:c r="G7" s="14" t="str">
        <x:v>OPEN</x:v>
      </x:c>
    </x:row>
    <x:row r="8">
      <x:c r="A8" s="15" t="str">
        <x:v>QT-004</x:v>
      </x:c>
      <x:c r="B8" s="15" t="str">
        <x:v>QA-01</x:v>
      </x:c>
      <x:c r="C8" s="15" t="str">
        <x:v>LATTICE-12</x:v>
      </x:c>
      <x:c r="D8" s="15" t="str">
        <x:v>Sediment-laden mode</x:v>
      </x:c>
      <x:c r="E8" s="15" t="n">
        <x:v>144</x:v>
      </x:c>
      <x:c r="F8" s="15" t="str">
        <x:v>OPEN</x:v>
      </x:c>
      <x:c r="G8" s="15" t="str">
        <x:v>OPEN</x:v>
      </x:c>
    </x:row>
    <x:row r="9">
      <x:c r="A9" s="14" t="str">
        <x:v>QT-005</x:v>
      </x:c>
      <x:c r="B9" s="14" t="str">
        <x:v>QA-01</x:v>
      </x:c>
      <x:c r="C9" s="14" t="str">
        <x:v>LATTICE-12</x:v>
      </x:c>
      <x:c r="D9" s="14" t="str">
        <x:v>Three-cell salvo</x:v>
      </x:c>
      <x:c r="E9" s="14" t="n">
        <x:v>144</x:v>
      </x:c>
      <x:c r="F9" s="14" t="str">
        <x:v>OPEN</x:v>
      </x:c>
      <x:c r="G9" s="14" t="str">
        <x:v>OPEN</x:v>
      </x:c>
    </x:row>
    <x:row r="10">
      <x:c r="A10" s="15" t="str">
        <x:v>QT-006</x:v>
      </x:c>
      <x:c r="B10" s="15" t="str">
        <x:v>QA-01</x:v>
      </x:c>
      <x:c r="C10" s="15" t="str">
        <x:v>LATTICE-12</x:v>
      </x:c>
      <x:c r="D10" s="15" t="str">
        <x:v>One trunk lost</x:v>
      </x:c>
      <x:c r="E10" s="15" t="n">
        <x:v>144</x:v>
      </x:c>
      <x:c r="F10" s="15" t="str">
        <x:v>OPEN</x:v>
      </x:c>
      <x:c r="G10" s="15" t="str">
        <x:v>OPEN</x:v>
      </x:c>
    </x:row>
    <x:row r="11">
      <x:c r="A11" s="14" t="str">
        <x:v>QT-007</x:v>
      </x:c>
      <x:c r="B11" s="14" t="str">
        <x:v>QA-01</x:v>
      </x:c>
      <x:c r="C11" s="14" t="str">
        <x:v>LATTICE-12</x:v>
      </x:c>
      <x:c r="D11" s="14" t="str">
        <x:v>Grid, network and time denied</x:v>
      </x:c>
      <x:c r="E11" s="14" t="n">
        <x:v>144</x:v>
      </x:c>
      <x:c r="F11" s="14" t="str">
        <x:v>OPEN</x:v>
      </x:c>
      <x:c r="G11" s="14" t="str">
        <x:v>OPEN</x:v>
      </x:c>
    </x:row>
    <x:row r="12">
      <x:c r="A12" s="15" t="str">
        <x:v>QT-008</x:v>
      </x:c>
      <x:c r="B12" s="15" t="str">
        <x:v>QA-01</x:v>
      </x:c>
      <x:c r="C12" s="15" t="str">
        <x:v>LATTICE-12</x:v>
      </x:c>
      <x:c r="D12" s="15" t="str">
        <x:v>Recovery restricted</x:v>
      </x:c>
      <x:c r="E12" s="15" t="n">
        <x:v>144</x:v>
      </x:c>
      <x:c r="F12" s="15" t="str">
        <x:v>OPEN</x:v>
      </x:c>
      <x:c r="G12" s="15" t="str">
        <x:v>OPEN</x:v>
      </x:c>
    </x:row>
    <x:row r="13">
      <x:c r="A13" s="14" t="str">
        <x:v>QT-009</x:v>
      </x:c>
      <x:c r="B13" s="14" t="str">
        <x:v>QA-01</x:v>
      </x:c>
      <x:c r="C13" s="14" t="str">
        <x:v>LATTICE-12</x:v>
      </x:c>
      <x:c r="D13" s="14" t="str">
        <x:v>Public intervention</x:v>
      </x:c>
      <x:c r="E13" s="14" t="n">
        <x:v>144</x:v>
      </x:c>
      <x:c r="F13" s="14" t="str">
        <x:v>OPEN</x:v>
      </x:c>
      <x:c r="G13" s="14" t="str">
        <x:v>OPEN</x:v>
      </x:c>
    </x:row>
    <x:row r="14">
      <x:c r="A14" s="15" t="str">
        <x:v>QT-010</x:v>
      </x:c>
      <x:c r="B14" s="15" t="str">
        <x:v>QA-01</x:v>
      </x:c>
      <x:c r="C14" s="15" t="str">
        <x:v>LATTICE-12</x:v>
      </x:c>
      <x:c r="D14" s="15" t="str">
        <x:v>Cell reposition and gap</x:v>
      </x:c>
      <x:c r="E14" s="15" t="n">
        <x:v>144</x:v>
      </x:c>
      <x:c r="F14" s="15" t="str">
        <x:v>OPEN</x:v>
      </x:c>
      <x:c r="G14" s="15" t="str">
        <x:v>OPEN</x:v>
      </x:c>
    </x:row>
    <x:row r="15">
      <x:c r="A15" s="14" t="str">
        <x:v>QT-011</x:v>
      </x:c>
      <x:c r="B15" s="14" t="str">
        <x:v>QA-01</x:v>
      </x:c>
      <x:c r="C15" s="14" t="str">
        <x:v>LATTICE-12</x:v>
      </x:c>
      <x:c r="D15" s="14" t="str">
        <x:v>Interrupted safeing</x:v>
      </x:c>
      <x:c r="E15" s="14" t="n">
        <x:v>144</x:v>
      </x:c>
      <x:c r="F15" s="14" t="str">
        <x:v>OPEN</x:v>
      </x:c>
      <x:c r="G15" s="14" t="str">
        <x:v>OPEN</x:v>
      </x:c>
    </x:row>
    <x:row r="16">
      <x:c r="A16" s="15" t="str">
        <x:v>QT-012</x:v>
      </x:c>
      <x:c r="B16" s="15" t="str">
        <x:v>QA-01</x:v>
      </x:c>
      <x:c r="C16" s="15" t="str">
        <x:v>LATTICE-12</x:v>
      </x:c>
      <x:c r="D16" s="15" t="str">
        <x:v>Contaminated return</x:v>
      </x:c>
      <x:c r="E16" s="15" t="n">
        <x:v>144</x:v>
      </x:c>
      <x:c r="F16" s="15" t="str">
        <x:v>OPEN</x:v>
      </x:c>
      <x:c r="G16" s="15" t="str">
        <x:v>OPEN</x:v>
      </x:c>
    </x:row>
    <x:row r="17">
      <x:c r="A17" s="14" t="str">
        <x:v>QT-013</x:v>
      </x:c>
      <x:c r="B17" s="14" t="str">
        <x:v>QA-02</x:v>
      </x:c>
      <x:c r="C17" s="14" t="str">
        <x:v>LATTICE-12</x:v>
      </x:c>
      <x:c r="D17" s="14" t="str">
        <x:v>Dry deployment</x:v>
      </x:c>
      <x:c r="E17" s="14" t="n">
        <x:v>144</x:v>
      </x:c>
      <x:c r="F17" s="14" t="str">
        <x:v>OPEN</x:v>
      </x:c>
      <x:c r="G17" s="14" t="str">
        <x:v>OPEN</x:v>
      </x:c>
    </x:row>
    <x:row r="18">
      <x:c r="A18" s="15" t="str">
        <x:v>QT-014</x:v>
      </x:c>
      <x:c r="B18" s="15" t="str">
        <x:v>QA-02</x:v>
      </x:c>
      <x:c r="C18" s="15" t="str">
        <x:v>LATTICE-12</x:v>
      </x:c>
      <x:c r="D18" s="15" t="str">
        <x:v>Freshwater acquisition</x:v>
      </x:c>
      <x:c r="E18" s="15" t="n">
        <x:v>144</x:v>
      </x:c>
      <x:c r="F18" s="15" t="str">
        <x:v>OPEN</x:v>
      </x:c>
      <x:c r="G18" s="15" t="str">
        <x:v>OPEN</x:v>
      </x:c>
    </x:row>
    <x:row r="19">
      <x:c r="A19" s="14" t="str">
        <x:v>QT-015</x:v>
      </x:c>
      <x:c r="B19" s="14" t="str">
        <x:v>QA-02</x:v>
      </x:c>
      <x:c r="C19" s="14" t="str">
        <x:v>LATTICE-12</x:v>
      </x:c>
      <x:c r="D19" s="14" t="str">
        <x:v>Saline-water mode</x:v>
      </x:c>
      <x:c r="E19" s="14" t="n">
        <x:v>144</x:v>
      </x:c>
      <x:c r="F19" s="14" t="str">
        <x:v>OPEN</x:v>
      </x:c>
      <x:c r="G19" s="14" t="str">
        <x:v>OPEN</x:v>
      </x:c>
    </x:row>
    <x:row r="20">
      <x:c r="A20" s="15" t="str">
        <x:v>QT-016</x:v>
      </x:c>
      <x:c r="B20" s="15" t="str">
        <x:v>QA-02</x:v>
      </x:c>
      <x:c r="C20" s="15" t="str">
        <x:v>LATTICE-12</x:v>
      </x:c>
      <x:c r="D20" s="15" t="str">
        <x:v>Sediment-laden mode</x:v>
      </x:c>
      <x:c r="E20" s="15" t="n">
        <x:v>144</x:v>
      </x:c>
      <x:c r="F20" s="15" t="str">
        <x:v>OPEN</x:v>
      </x:c>
      <x:c r="G20" s="15" t="str">
        <x:v>OPEN</x:v>
      </x:c>
    </x:row>
    <x:row r="21">
      <x:c r="A21" s="14" t="str">
        <x:v>QT-017</x:v>
      </x:c>
      <x:c r="B21" s="14" t="str">
        <x:v>QA-02</x:v>
      </x:c>
      <x:c r="C21" s="14" t="str">
        <x:v>LATTICE-12</x:v>
      </x:c>
      <x:c r="D21" s="14" t="str">
        <x:v>Three-cell salvo</x:v>
      </x:c>
      <x:c r="E21" s="14" t="n">
        <x:v>144</x:v>
      </x:c>
      <x:c r="F21" s="14" t="str">
        <x:v>OPEN</x:v>
      </x:c>
      <x:c r="G21" s="14" t="str">
        <x:v>OPEN</x:v>
      </x:c>
    </x:row>
    <x:row r="22">
      <x:c r="A22" s="15" t="str">
        <x:v>QT-018</x:v>
      </x:c>
      <x:c r="B22" s="15" t="str">
        <x:v>QA-02</x:v>
      </x:c>
      <x:c r="C22" s="15" t="str">
        <x:v>LATTICE-12</x:v>
      </x:c>
      <x:c r="D22" s="15" t="str">
        <x:v>One trunk lost</x:v>
      </x:c>
      <x:c r="E22" s="15" t="n">
        <x:v>144</x:v>
      </x:c>
      <x:c r="F22" s="15" t="str">
        <x:v>OPEN</x:v>
      </x:c>
      <x:c r="G22" s="15" t="str">
        <x:v>OPEN</x:v>
      </x:c>
    </x:row>
    <x:row r="23">
      <x:c r="A23" s="14" t="str">
        <x:v>QT-019</x:v>
      </x:c>
      <x:c r="B23" s="14" t="str">
        <x:v>QA-02</x:v>
      </x:c>
      <x:c r="C23" s="14" t="str">
        <x:v>LATTICE-12</x:v>
      </x:c>
      <x:c r="D23" s="14" t="str">
        <x:v>Grid, network and time denied</x:v>
      </x:c>
      <x:c r="E23" s="14" t="n">
        <x:v>144</x:v>
      </x:c>
      <x:c r="F23" s="14" t="str">
        <x:v>OPEN</x:v>
      </x:c>
      <x:c r="G23" s="14" t="str">
        <x:v>OPEN</x:v>
      </x:c>
    </x:row>
    <x:row r="24">
      <x:c r="A24" s="15" t="str">
        <x:v>QT-020</x:v>
      </x:c>
      <x:c r="B24" s="15" t="str">
        <x:v>QA-02</x:v>
      </x:c>
      <x:c r="C24" s="15" t="str">
        <x:v>LATTICE-12</x:v>
      </x:c>
      <x:c r="D24" s="15" t="str">
        <x:v>Recovery restricted</x:v>
      </x:c>
      <x:c r="E24" s="15" t="n">
        <x:v>144</x:v>
      </x:c>
      <x:c r="F24" s="15" t="str">
        <x:v>OPEN</x:v>
      </x:c>
      <x:c r="G24" s="15" t="str">
        <x:v>OPEN</x:v>
      </x:c>
    </x:row>
    <x:row r="25">
      <x:c r="A25" s="14" t="str">
        <x:v>QT-021</x:v>
      </x:c>
      <x:c r="B25" s="14" t="str">
        <x:v>QA-02</x:v>
      </x:c>
      <x:c r="C25" s="14" t="str">
        <x:v>LATTICE-12</x:v>
      </x:c>
      <x:c r="D25" s="14" t="str">
        <x:v>Public intervention</x:v>
      </x:c>
      <x:c r="E25" s="14" t="n">
        <x:v>144</x:v>
      </x:c>
      <x:c r="F25" s="14" t="str">
        <x:v>OPEN</x:v>
      </x:c>
      <x:c r="G25" s="14" t="str">
        <x:v>OPEN</x:v>
      </x:c>
    </x:row>
    <x:row r="26">
      <x:c r="A26" s="15" t="str">
        <x:v>QT-022</x:v>
      </x:c>
      <x:c r="B26" s="15" t="str">
        <x:v>QA-02</x:v>
      </x:c>
      <x:c r="C26" s="15" t="str">
        <x:v>LATTICE-12</x:v>
      </x:c>
      <x:c r="D26" s="15" t="str">
        <x:v>Cell reposition and gap</x:v>
      </x:c>
      <x:c r="E26" s="15" t="n">
        <x:v>144</x:v>
      </x:c>
      <x:c r="F26" s="15" t="str">
        <x:v>OPEN</x:v>
      </x:c>
      <x:c r="G26" s="15" t="str">
        <x:v>OPEN</x:v>
      </x:c>
    </x:row>
    <x:row r="27">
      <x:c r="A27" s="14" t="str">
        <x:v>QT-023</x:v>
      </x:c>
      <x:c r="B27" s="14" t="str">
        <x:v>QA-02</x:v>
      </x:c>
      <x:c r="C27" s="14" t="str">
        <x:v>LATTICE-12</x:v>
      </x:c>
      <x:c r="D27" s="14" t="str">
        <x:v>Interrupted safeing</x:v>
      </x:c>
      <x:c r="E27" s="14" t="n">
        <x:v>144</x:v>
      </x:c>
      <x:c r="F27" s="14" t="str">
        <x:v>OPEN</x:v>
      </x:c>
      <x:c r="G27" s="14" t="str">
        <x:v>OPEN</x:v>
      </x:c>
    </x:row>
    <x:row r="28">
      <x:c r="A28" s="15" t="str">
        <x:v>QT-024</x:v>
      </x:c>
      <x:c r="B28" s="15" t="str">
        <x:v>QA-02</x:v>
      </x:c>
      <x:c r="C28" s="15" t="str">
        <x:v>LATTICE-12</x:v>
      </x:c>
      <x:c r="D28" s="15" t="str">
        <x:v>Contaminated return</x:v>
      </x:c>
      <x:c r="E28" s="15" t="n">
        <x:v>144</x:v>
      </x:c>
      <x:c r="F28" s="15" t="str">
        <x:v>OPEN</x:v>
      </x:c>
      <x:c r="G28" s="15" t="str">
        <x:v>OPEN</x:v>
      </x:c>
    </x:row>
    <x:row r="29">
      <x:c r="A29" s="14" t="str">
        <x:v>QT-025</x:v>
      </x:c>
      <x:c r="B29" s="14" t="str">
        <x:v>QA-03</x:v>
      </x:c>
      <x:c r="C29" s="14" t="str">
        <x:v>LATTICE-12</x:v>
      </x:c>
      <x:c r="D29" s="14" t="str">
        <x:v>Dry deployment</x:v>
      </x:c>
      <x:c r="E29" s="14" t="n">
        <x:v>144</x:v>
      </x:c>
      <x:c r="F29" s="14" t="str">
        <x:v>OPEN</x:v>
      </x:c>
      <x:c r="G29" s="14" t="str">
        <x:v>OPEN</x:v>
      </x:c>
    </x:row>
    <x:row r="30">
      <x:c r="A30" s="15" t="str">
        <x:v>QT-026</x:v>
      </x:c>
      <x:c r="B30" s="15" t="str">
        <x:v>QA-03</x:v>
      </x:c>
      <x:c r="C30" s="15" t="str">
        <x:v>LATTICE-12</x:v>
      </x:c>
      <x:c r="D30" s="15" t="str">
        <x:v>Freshwater acquisition</x:v>
      </x:c>
      <x:c r="E30" s="15" t="n">
        <x:v>144</x:v>
      </x:c>
      <x:c r="F30" s="15" t="str">
        <x:v>OPEN</x:v>
      </x:c>
      <x:c r="G30" s="15" t="str">
        <x:v>OPEN</x:v>
      </x:c>
    </x:row>
    <x:row r="31">
      <x:c r="A31" s="14" t="str">
        <x:v>QT-027</x:v>
      </x:c>
      <x:c r="B31" s="14" t="str">
        <x:v>QA-03</x:v>
      </x:c>
      <x:c r="C31" s="14" t="str">
        <x:v>LATTICE-12</x:v>
      </x:c>
      <x:c r="D31" s="14" t="str">
        <x:v>Saline-water mode</x:v>
      </x:c>
      <x:c r="E31" s="14" t="n">
        <x:v>144</x:v>
      </x:c>
      <x:c r="F31" s="14" t="str">
        <x:v>OPEN</x:v>
      </x:c>
      <x:c r="G31" s="14" t="str">
        <x:v>OPEN</x:v>
      </x:c>
    </x:row>
    <x:row r="32">
      <x:c r="A32" s="15" t="str">
        <x:v>QT-028</x:v>
      </x:c>
      <x:c r="B32" s="15" t="str">
        <x:v>QA-03</x:v>
      </x:c>
      <x:c r="C32" s="15" t="str">
        <x:v>LATTICE-12</x:v>
      </x:c>
      <x:c r="D32" s="15" t="str">
        <x:v>Sediment-laden mode</x:v>
      </x:c>
      <x:c r="E32" s="15" t="n">
        <x:v>144</x:v>
      </x:c>
      <x:c r="F32" s="15" t="str">
        <x:v>OPEN</x:v>
      </x:c>
      <x:c r="G32" s="15" t="str">
        <x:v>OPEN</x:v>
      </x:c>
    </x:row>
    <x:row r="33">
      <x:c r="A33" s="14" t="str">
        <x:v>QT-029</x:v>
      </x:c>
      <x:c r="B33" s="14" t="str">
        <x:v>QA-03</x:v>
      </x:c>
      <x:c r="C33" s="14" t="str">
        <x:v>LATTICE-12</x:v>
      </x:c>
      <x:c r="D33" s="14" t="str">
        <x:v>Three-cell salvo</x:v>
      </x:c>
      <x:c r="E33" s="14" t="n">
        <x:v>144</x:v>
      </x:c>
      <x:c r="F33" s="14" t="str">
        <x:v>OPEN</x:v>
      </x:c>
      <x:c r="G33" s="14" t="str">
        <x:v>OPEN</x:v>
      </x:c>
    </x:row>
    <x:row r="34">
      <x:c r="A34" s="15" t="str">
        <x:v>QT-030</x:v>
      </x:c>
      <x:c r="B34" s="15" t="str">
        <x:v>QA-03</x:v>
      </x:c>
      <x:c r="C34" s="15" t="str">
        <x:v>LATTICE-12</x:v>
      </x:c>
      <x:c r="D34" s="15" t="str">
        <x:v>One trunk lost</x:v>
      </x:c>
      <x:c r="E34" s="15" t="n">
        <x:v>144</x:v>
      </x:c>
      <x:c r="F34" s="15" t="str">
        <x:v>OPEN</x:v>
      </x:c>
      <x:c r="G34" s="15" t="str">
        <x:v>OPEN</x:v>
      </x:c>
    </x:row>
    <x:row r="35">
      <x:c r="A35" s="14" t="str">
        <x:v>QT-031</x:v>
      </x:c>
      <x:c r="B35" s="14" t="str">
        <x:v>QA-03</x:v>
      </x:c>
      <x:c r="C35" s="14" t="str">
        <x:v>LATTICE-12</x:v>
      </x:c>
      <x:c r="D35" s="14" t="str">
        <x:v>Grid, network and time denied</x:v>
      </x:c>
      <x:c r="E35" s="14" t="n">
        <x:v>144</x:v>
      </x:c>
      <x:c r="F35" s="14" t="str">
        <x:v>OPEN</x:v>
      </x:c>
      <x:c r="G35" s="14" t="str">
        <x:v>OPEN</x:v>
      </x:c>
    </x:row>
    <x:row r="36">
      <x:c r="A36" s="15" t="str">
        <x:v>QT-032</x:v>
      </x:c>
      <x:c r="B36" s="15" t="str">
        <x:v>QA-03</x:v>
      </x:c>
      <x:c r="C36" s="15" t="str">
        <x:v>LATTICE-12</x:v>
      </x:c>
      <x:c r="D36" s="15" t="str">
        <x:v>Recovery restricted</x:v>
      </x:c>
      <x:c r="E36" s="15" t="n">
        <x:v>144</x:v>
      </x:c>
      <x:c r="F36" s="15" t="str">
        <x:v>OPEN</x:v>
      </x:c>
      <x:c r="G36" s="15" t="str">
        <x:v>OPEN</x:v>
      </x:c>
    </x:row>
    <x:row r="37">
      <x:c r="A37" s="14" t="str">
        <x:v>QT-033</x:v>
      </x:c>
      <x:c r="B37" s="14" t="str">
        <x:v>QA-03</x:v>
      </x:c>
      <x:c r="C37" s="14" t="str">
        <x:v>LATTICE-12</x:v>
      </x:c>
      <x:c r="D37" s="14" t="str">
        <x:v>Public intervention</x:v>
      </x:c>
      <x:c r="E37" s="14" t="n">
        <x:v>144</x:v>
      </x:c>
      <x:c r="F37" s="14" t="str">
        <x:v>OPEN</x:v>
      </x:c>
      <x:c r="G37" s="14" t="str">
        <x:v>OPEN</x:v>
      </x:c>
    </x:row>
    <x:row r="38">
      <x:c r="A38" s="15" t="str">
        <x:v>QT-034</x:v>
      </x:c>
      <x:c r="B38" s="15" t="str">
        <x:v>QA-03</x:v>
      </x:c>
      <x:c r="C38" s="15" t="str">
        <x:v>LATTICE-12</x:v>
      </x:c>
      <x:c r="D38" s="15" t="str">
        <x:v>Cell reposition and gap</x:v>
      </x:c>
      <x:c r="E38" s="15" t="n">
        <x:v>144</x:v>
      </x:c>
      <x:c r="F38" s="15" t="str">
        <x:v>OPEN</x:v>
      </x:c>
      <x:c r="G38" s="15" t="str">
        <x:v>OPEN</x:v>
      </x:c>
    </x:row>
    <x:row r="39">
      <x:c r="A39" s="14" t="str">
        <x:v>QT-035</x:v>
      </x:c>
      <x:c r="B39" s="14" t="str">
        <x:v>QA-03</x:v>
      </x:c>
      <x:c r="C39" s="14" t="str">
        <x:v>LATTICE-12</x:v>
      </x:c>
      <x:c r="D39" s="14" t="str">
        <x:v>Interrupted safeing</x:v>
      </x:c>
      <x:c r="E39" s="14" t="n">
        <x:v>144</x:v>
      </x:c>
      <x:c r="F39" s="14" t="str">
        <x:v>OPEN</x:v>
      </x:c>
      <x:c r="G39" s="14" t="str">
        <x:v>OPEN</x:v>
      </x:c>
    </x:row>
    <x:row r="40">
      <x:c r="A40" s="15" t="str">
        <x:v>QT-036</x:v>
      </x:c>
      <x:c r="B40" s="15" t="str">
        <x:v>QA-03</x:v>
      </x:c>
      <x:c r="C40" s="15" t="str">
        <x:v>LATTICE-12</x:v>
      </x:c>
      <x:c r="D40" s="15" t="str">
        <x:v>Contaminated return</x:v>
      </x:c>
      <x:c r="E40" s="15" t="n">
        <x:v>144</x:v>
      </x:c>
      <x:c r="F40" s="15" t="str">
        <x:v>OPEN</x:v>
      </x:c>
      <x:c r="G40" s="15" t="str">
        <x:v>OPEN</x:v>
      </x:c>
    </x:row>
    <x:row r="41">
      <x:c r="A41" s="14" t="str">
        <x:v>QT-037</x:v>
      </x:c>
      <x:c r="B41" s="14" t="str">
        <x:v>QA-04</x:v>
      </x:c>
      <x:c r="C41" s="14" t="str">
        <x:v>LATTICE-12</x:v>
      </x:c>
      <x:c r="D41" s="14" t="str">
        <x:v>Dry deployment</x:v>
      </x:c>
      <x:c r="E41" s="14" t="n">
        <x:v>144</x:v>
      </x:c>
      <x:c r="F41" s="14" t="str">
        <x:v>OPEN</x:v>
      </x:c>
      <x:c r="G41" s="14" t="str">
        <x:v>OPEN</x:v>
      </x:c>
    </x:row>
    <x:row r="42">
      <x:c r="A42" s="15" t="str">
        <x:v>QT-038</x:v>
      </x:c>
      <x:c r="B42" s="15" t="str">
        <x:v>QA-04</x:v>
      </x:c>
      <x:c r="C42" s="15" t="str">
        <x:v>LATTICE-12</x:v>
      </x:c>
      <x:c r="D42" s="15" t="str">
        <x:v>Freshwater acquisition</x:v>
      </x:c>
      <x:c r="E42" s="15" t="n">
        <x:v>144</x:v>
      </x:c>
      <x:c r="F42" s="15" t="str">
        <x:v>OPEN</x:v>
      </x:c>
      <x:c r="G42" s="15" t="str">
        <x:v>OPEN</x:v>
      </x:c>
    </x:row>
    <x:row r="43">
      <x:c r="A43" s="14" t="str">
        <x:v>QT-039</x:v>
      </x:c>
      <x:c r="B43" s="14" t="str">
        <x:v>QA-04</x:v>
      </x:c>
      <x:c r="C43" s="14" t="str">
        <x:v>LATTICE-12</x:v>
      </x:c>
      <x:c r="D43" s="14" t="str">
        <x:v>Saline-water mode</x:v>
      </x:c>
      <x:c r="E43" s="14" t="n">
        <x:v>144</x:v>
      </x:c>
      <x:c r="F43" s="14" t="str">
        <x:v>OPEN</x:v>
      </x:c>
      <x:c r="G43" s="14" t="str">
        <x:v>OPEN</x:v>
      </x:c>
    </x:row>
    <x:row r="44">
      <x:c r="A44" s="15" t="str">
        <x:v>QT-040</x:v>
      </x:c>
      <x:c r="B44" s="15" t="str">
        <x:v>QA-04</x:v>
      </x:c>
      <x:c r="C44" s="15" t="str">
        <x:v>LATTICE-12</x:v>
      </x:c>
      <x:c r="D44" s="15" t="str">
        <x:v>Sediment-laden mode</x:v>
      </x:c>
      <x:c r="E44" s="15" t="n">
        <x:v>144</x:v>
      </x:c>
      <x:c r="F44" s="15" t="str">
        <x:v>OPEN</x:v>
      </x:c>
      <x:c r="G44" s="15" t="str">
        <x:v>OPEN</x:v>
      </x:c>
    </x:row>
    <x:row r="45">
      <x:c r="A45" s="14" t="str">
        <x:v>QT-041</x:v>
      </x:c>
      <x:c r="B45" s="14" t="str">
        <x:v>QA-04</x:v>
      </x:c>
      <x:c r="C45" s="14" t="str">
        <x:v>LATTICE-12</x:v>
      </x:c>
      <x:c r="D45" s="14" t="str">
        <x:v>Three-cell salvo</x:v>
      </x:c>
      <x:c r="E45" s="14" t="n">
        <x:v>144</x:v>
      </x:c>
      <x:c r="F45" s="14" t="str">
        <x:v>OPEN</x:v>
      </x:c>
      <x:c r="G45" s="14" t="str">
        <x:v>OPEN</x:v>
      </x:c>
    </x:row>
    <x:row r="46">
      <x:c r="A46" s="15" t="str">
        <x:v>QT-042</x:v>
      </x:c>
      <x:c r="B46" s="15" t="str">
        <x:v>QA-04</x:v>
      </x:c>
      <x:c r="C46" s="15" t="str">
        <x:v>LATTICE-12</x:v>
      </x:c>
      <x:c r="D46" s="15" t="str">
        <x:v>One trunk lost</x:v>
      </x:c>
      <x:c r="E46" s="15" t="n">
        <x:v>144</x:v>
      </x:c>
      <x:c r="F46" s="15" t="str">
        <x:v>OPEN</x:v>
      </x:c>
      <x:c r="G46" s="15" t="str">
        <x:v>OPEN</x:v>
      </x:c>
    </x:row>
    <x:row r="47">
      <x:c r="A47" s="14" t="str">
        <x:v>QT-043</x:v>
      </x:c>
      <x:c r="B47" s="14" t="str">
        <x:v>QA-04</x:v>
      </x:c>
      <x:c r="C47" s="14" t="str">
        <x:v>LATTICE-12</x:v>
      </x:c>
      <x:c r="D47" s="14" t="str">
        <x:v>Grid, network and time denied</x:v>
      </x:c>
      <x:c r="E47" s="14" t="n">
        <x:v>144</x:v>
      </x:c>
      <x:c r="F47" s="14" t="str">
        <x:v>OPEN</x:v>
      </x:c>
      <x:c r="G47" s="14" t="str">
        <x:v>OPEN</x:v>
      </x:c>
    </x:row>
    <x:row r="48">
      <x:c r="A48" s="15" t="str">
        <x:v>QT-044</x:v>
      </x:c>
      <x:c r="B48" s="15" t="str">
        <x:v>QA-04</x:v>
      </x:c>
      <x:c r="C48" s="15" t="str">
        <x:v>LATTICE-12</x:v>
      </x:c>
      <x:c r="D48" s="15" t="str">
        <x:v>Recovery restricted</x:v>
      </x:c>
      <x:c r="E48" s="15" t="n">
        <x:v>144</x:v>
      </x:c>
      <x:c r="F48" s="15" t="str">
        <x:v>OPEN</x:v>
      </x:c>
      <x:c r="G48" s="15" t="str">
        <x:v>OPEN</x:v>
      </x:c>
    </x:row>
    <x:row r="49">
      <x:c r="A49" s="14" t="str">
        <x:v>QT-045</x:v>
      </x:c>
      <x:c r="B49" s="14" t="str">
        <x:v>QA-04</x:v>
      </x:c>
      <x:c r="C49" s="14" t="str">
        <x:v>LATTICE-12</x:v>
      </x:c>
      <x:c r="D49" s="14" t="str">
        <x:v>Public intervention</x:v>
      </x:c>
      <x:c r="E49" s="14" t="n">
        <x:v>144</x:v>
      </x:c>
      <x:c r="F49" s="14" t="str">
        <x:v>OPEN</x:v>
      </x:c>
      <x:c r="G49" s="14" t="str">
        <x:v>OPEN</x:v>
      </x:c>
    </x:row>
    <x:row r="50">
      <x:c r="A50" s="15" t="str">
        <x:v>QT-046</x:v>
      </x:c>
      <x:c r="B50" s="15" t="str">
        <x:v>QA-04</x:v>
      </x:c>
      <x:c r="C50" s="15" t="str">
        <x:v>LATTICE-12</x:v>
      </x:c>
      <x:c r="D50" s="15" t="str">
        <x:v>Cell reposition and gap</x:v>
      </x:c>
      <x:c r="E50" s="15" t="n">
        <x:v>144</x:v>
      </x:c>
      <x:c r="F50" s="15" t="str">
        <x:v>OPEN</x:v>
      </x:c>
      <x:c r="G50" s="15" t="str">
        <x:v>OPEN</x:v>
      </x:c>
    </x:row>
    <x:row r="51">
      <x:c r="A51" s="14" t="str">
        <x:v>QT-047</x:v>
      </x:c>
      <x:c r="B51" s="14" t="str">
        <x:v>QA-04</x:v>
      </x:c>
      <x:c r="C51" s="14" t="str">
        <x:v>LATTICE-12</x:v>
      </x:c>
      <x:c r="D51" s="14" t="str">
        <x:v>Interrupted safeing</x:v>
      </x:c>
      <x:c r="E51" s="14" t="n">
        <x:v>144</x:v>
      </x:c>
      <x:c r="F51" s="14" t="str">
        <x:v>OPEN</x:v>
      </x:c>
      <x:c r="G51" s="14" t="str">
        <x:v>OPEN</x:v>
      </x:c>
    </x:row>
    <x:row r="52">
      <x:c r="A52" s="15" t="str">
        <x:v>QT-048</x:v>
      </x:c>
      <x:c r="B52" s="15" t="str">
        <x:v>QA-04</x:v>
      </x:c>
      <x:c r="C52" s="15" t="str">
        <x:v>LATTICE-12</x:v>
      </x:c>
      <x:c r="D52" s="15" t="str">
        <x:v>Contaminated return</x:v>
      </x:c>
      <x:c r="E52" s="15" t="n">
        <x:v>144</x:v>
      </x:c>
      <x:c r="F52" s="15" t="str">
        <x:v>OPEN</x:v>
      </x:c>
      <x:c r="G52" s="15" t="str">
        <x:v>OPEN</x:v>
      </x:c>
    </x:row>
    <x:row r="53">
      <x:c r="A53" s="14" t="str">
        <x:v>QT-049</x:v>
      </x:c>
      <x:c r="B53" s="14" t="str">
        <x:v>QA-05</x:v>
      </x:c>
      <x:c r="C53" s="14" t="str">
        <x:v>LATTICE-12</x:v>
      </x:c>
      <x:c r="D53" s="14" t="str">
        <x:v>Dry deployment</x:v>
      </x:c>
      <x:c r="E53" s="14" t="n">
        <x:v>144</x:v>
      </x:c>
      <x:c r="F53" s="14" t="str">
        <x:v>OPEN</x:v>
      </x:c>
      <x:c r="G53" s="14" t="str">
        <x:v>OPEN</x:v>
      </x:c>
    </x:row>
    <x:row r="54">
      <x:c r="A54" s="15" t="str">
        <x:v>QT-050</x:v>
      </x:c>
      <x:c r="B54" s="15" t="str">
        <x:v>QA-05</x:v>
      </x:c>
      <x:c r="C54" s="15" t="str">
        <x:v>LATTICE-12</x:v>
      </x:c>
      <x:c r="D54" s="15" t="str">
        <x:v>Freshwater acquisition</x:v>
      </x:c>
      <x:c r="E54" s="15" t="n">
        <x:v>144</x:v>
      </x:c>
      <x:c r="F54" s="15" t="str">
        <x:v>OPEN</x:v>
      </x:c>
      <x:c r="G54" s="15" t="str">
        <x:v>OPEN</x:v>
      </x:c>
    </x:row>
    <x:row r="55">
      <x:c r="A55" s="14" t="str">
        <x:v>QT-051</x:v>
      </x:c>
      <x:c r="B55" s="14" t="str">
        <x:v>QA-05</x:v>
      </x:c>
      <x:c r="C55" s="14" t="str">
        <x:v>LATTICE-12</x:v>
      </x:c>
      <x:c r="D55" s="14" t="str">
        <x:v>Saline-water mode</x:v>
      </x:c>
      <x:c r="E55" s="14" t="n">
        <x:v>144</x:v>
      </x:c>
      <x:c r="F55" s="14" t="str">
        <x:v>OPEN</x:v>
      </x:c>
      <x:c r="G55" s="14" t="str">
        <x:v>OPEN</x:v>
      </x:c>
    </x:row>
    <x:row r="56">
      <x:c r="A56" s="15" t="str">
        <x:v>QT-052</x:v>
      </x:c>
      <x:c r="B56" s="15" t="str">
        <x:v>QA-05</x:v>
      </x:c>
      <x:c r="C56" s="15" t="str">
        <x:v>LATTICE-12</x:v>
      </x:c>
      <x:c r="D56" s="15" t="str">
        <x:v>Sediment-laden mode</x:v>
      </x:c>
      <x:c r="E56" s="15" t="n">
        <x:v>144</x:v>
      </x:c>
      <x:c r="F56" s="15" t="str">
        <x:v>OPEN</x:v>
      </x:c>
      <x:c r="G56" s="15" t="str">
        <x:v>OPEN</x:v>
      </x:c>
    </x:row>
    <x:row r="57">
      <x:c r="A57" s="14" t="str">
        <x:v>QT-053</x:v>
      </x:c>
      <x:c r="B57" s="14" t="str">
        <x:v>QA-05</x:v>
      </x:c>
      <x:c r="C57" s="14" t="str">
        <x:v>LATTICE-12</x:v>
      </x:c>
      <x:c r="D57" s="14" t="str">
        <x:v>Three-cell salvo</x:v>
      </x:c>
      <x:c r="E57" s="14" t="n">
        <x:v>144</x:v>
      </x:c>
      <x:c r="F57" s="14" t="str">
        <x:v>OPEN</x:v>
      </x:c>
      <x:c r="G57" s="14" t="str">
        <x:v>OPEN</x:v>
      </x:c>
    </x:row>
    <x:row r="58">
      <x:c r="A58" s="15" t="str">
        <x:v>QT-054</x:v>
      </x:c>
      <x:c r="B58" s="15" t="str">
        <x:v>QA-05</x:v>
      </x:c>
      <x:c r="C58" s="15" t="str">
        <x:v>LATTICE-12</x:v>
      </x:c>
      <x:c r="D58" s="15" t="str">
        <x:v>One trunk lost</x:v>
      </x:c>
      <x:c r="E58" s="15" t="n">
        <x:v>144</x:v>
      </x:c>
      <x:c r="F58" s="15" t="str">
        <x:v>OPEN</x:v>
      </x:c>
      <x:c r="G58" s="15" t="str">
        <x:v>OPEN</x:v>
      </x:c>
    </x:row>
    <x:row r="59">
      <x:c r="A59" s="14" t="str">
        <x:v>QT-055</x:v>
      </x:c>
      <x:c r="B59" s="14" t="str">
        <x:v>QA-05</x:v>
      </x:c>
      <x:c r="C59" s="14" t="str">
        <x:v>LATTICE-12</x:v>
      </x:c>
      <x:c r="D59" s="14" t="str">
        <x:v>Grid, network and time denied</x:v>
      </x:c>
      <x:c r="E59" s="14" t="n">
        <x:v>144</x:v>
      </x:c>
      <x:c r="F59" s="14" t="str">
        <x:v>OPEN</x:v>
      </x:c>
      <x:c r="G59" s="14" t="str">
        <x:v>OPEN</x:v>
      </x:c>
    </x:row>
    <x:row r="60">
      <x:c r="A60" s="15" t="str">
        <x:v>QT-056</x:v>
      </x:c>
      <x:c r="B60" s="15" t="str">
        <x:v>QA-05</x:v>
      </x:c>
      <x:c r="C60" s="15" t="str">
        <x:v>LATTICE-12</x:v>
      </x:c>
      <x:c r="D60" s="15" t="str">
        <x:v>Recovery restricted</x:v>
      </x:c>
      <x:c r="E60" s="15" t="n">
        <x:v>144</x:v>
      </x:c>
      <x:c r="F60" s="15" t="str">
        <x:v>OPEN</x:v>
      </x:c>
      <x:c r="G60" s="15" t="str">
        <x:v>OPEN</x:v>
      </x:c>
    </x:row>
    <x:row r="61">
      <x:c r="A61" s="14" t="str">
        <x:v>QT-057</x:v>
      </x:c>
      <x:c r="B61" s="14" t="str">
        <x:v>QA-05</x:v>
      </x:c>
      <x:c r="C61" s="14" t="str">
        <x:v>LATTICE-12</x:v>
      </x:c>
      <x:c r="D61" s="14" t="str">
        <x:v>Public intervention</x:v>
      </x:c>
      <x:c r="E61" s="14" t="n">
        <x:v>144</x:v>
      </x:c>
      <x:c r="F61" s="14" t="str">
        <x:v>OPEN</x:v>
      </x:c>
      <x:c r="G61" s="14" t="str">
        <x:v>OPEN</x:v>
      </x:c>
    </x:row>
    <x:row r="62">
      <x:c r="A62" s="15" t="str">
        <x:v>QT-058</x:v>
      </x:c>
      <x:c r="B62" s="15" t="str">
        <x:v>QA-05</x:v>
      </x:c>
      <x:c r="C62" s="15" t="str">
        <x:v>LATTICE-12</x:v>
      </x:c>
      <x:c r="D62" s="15" t="str">
        <x:v>Cell reposition and gap</x:v>
      </x:c>
      <x:c r="E62" s="15" t="n">
        <x:v>144</x:v>
      </x:c>
      <x:c r="F62" s="15" t="str">
        <x:v>OPEN</x:v>
      </x:c>
      <x:c r="G62" s="15" t="str">
        <x:v>OPEN</x:v>
      </x:c>
    </x:row>
    <x:row r="63">
      <x:c r="A63" s="14" t="str">
        <x:v>QT-059</x:v>
      </x:c>
      <x:c r="B63" s="14" t="str">
        <x:v>QA-05</x:v>
      </x:c>
      <x:c r="C63" s="14" t="str">
        <x:v>LATTICE-12</x:v>
      </x:c>
      <x:c r="D63" s="14" t="str">
        <x:v>Interrupted safeing</x:v>
      </x:c>
      <x:c r="E63" s="14" t="n">
        <x:v>144</x:v>
      </x:c>
      <x:c r="F63" s="14" t="str">
        <x:v>OPEN</x:v>
      </x:c>
      <x:c r="G63" s="14" t="str">
        <x:v>OPEN</x:v>
      </x:c>
    </x:row>
    <x:row r="64">
      <x:c r="A64" s="15" t="str">
        <x:v>QT-060</x:v>
      </x:c>
      <x:c r="B64" s="15" t="str">
        <x:v>QA-05</x:v>
      </x:c>
      <x:c r="C64" s="15" t="str">
        <x:v>LATTICE-12</x:v>
      </x:c>
      <x:c r="D64" s="15" t="str">
        <x:v>Contaminated return</x:v>
      </x:c>
      <x:c r="E64" s="15" t="n">
        <x:v>144</x:v>
      </x:c>
      <x:c r="F64" s="15" t="str">
        <x:v>OPEN</x:v>
      </x:c>
      <x:c r="G64" s="15" t="str">
        <x:v>OPEN</x:v>
      </x:c>
    </x:row>
    <x:row r="65">
      <x:c r="A65" s="14" t="str">
        <x:v>QT-061</x:v>
      </x:c>
      <x:c r="B65" s="14" t="str">
        <x:v>QA-06</x:v>
      </x:c>
      <x:c r="C65" s="14" t="str">
        <x:v>LATTICE-12</x:v>
      </x:c>
      <x:c r="D65" s="14" t="str">
        <x:v>Dry deployment</x:v>
      </x:c>
      <x:c r="E65" s="14" t="n">
        <x:v>144</x:v>
      </x:c>
      <x:c r="F65" s="14" t="str">
        <x:v>OPEN</x:v>
      </x:c>
      <x:c r="G65" s="14" t="str">
        <x:v>OPEN</x:v>
      </x:c>
    </x:row>
    <x:row r="66">
      <x:c r="A66" s="15" t="str">
        <x:v>QT-062</x:v>
      </x:c>
      <x:c r="B66" s="15" t="str">
        <x:v>QA-06</x:v>
      </x:c>
      <x:c r="C66" s="15" t="str">
        <x:v>LATTICE-12</x:v>
      </x:c>
      <x:c r="D66" s="15" t="str">
        <x:v>Freshwater acquisition</x:v>
      </x:c>
      <x:c r="E66" s="15" t="n">
        <x:v>144</x:v>
      </x:c>
      <x:c r="F66" s="15" t="str">
        <x:v>OPEN</x:v>
      </x:c>
      <x:c r="G66" s="15" t="str">
        <x:v>OPEN</x:v>
      </x:c>
    </x:row>
    <x:row r="67">
      <x:c r="A67" s="14" t="str">
        <x:v>QT-063</x:v>
      </x:c>
      <x:c r="B67" s="14" t="str">
        <x:v>QA-06</x:v>
      </x:c>
      <x:c r="C67" s="14" t="str">
        <x:v>LATTICE-12</x:v>
      </x:c>
      <x:c r="D67" s="14" t="str">
        <x:v>Saline-water mode</x:v>
      </x:c>
      <x:c r="E67" s="14" t="n">
        <x:v>144</x:v>
      </x:c>
      <x:c r="F67" s="14" t="str">
        <x:v>OPEN</x:v>
      </x:c>
      <x:c r="G67" s="14" t="str">
        <x:v>OPEN</x:v>
      </x:c>
    </x:row>
    <x:row r="68">
      <x:c r="A68" s="15" t="str">
        <x:v>QT-064</x:v>
      </x:c>
      <x:c r="B68" s="15" t="str">
        <x:v>QA-06</x:v>
      </x:c>
      <x:c r="C68" s="15" t="str">
        <x:v>LATTICE-12</x:v>
      </x:c>
      <x:c r="D68" s="15" t="str">
        <x:v>Sediment-laden mode</x:v>
      </x:c>
      <x:c r="E68" s="15" t="n">
        <x:v>144</x:v>
      </x:c>
      <x:c r="F68" s="15" t="str">
        <x:v>OPEN</x:v>
      </x:c>
      <x:c r="G68" s="15" t="str">
        <x:v>OPEN</x:v>
      </x:c>
    </x:row>
    <x:row r="69">
      <x:c r="A69" s="14" t="str">
        <x:v>QT-065</x:v>
      </x:c>
      <x:c r="B69" s="14" t="str">
        <x:v>QA-06</x:v>
      </x:c>
      <x:c r="C69" s="14" t="str">
        <x:v>LATTICE-12</x:v>
      </x:c>
      <x:c r="D69" s="14" t="str">
        <x:v>Three-cell salvo</x:v>
      </x:c>
      <x:c r="E69" s="14" t="n">
        <x:v>144</x:v>
      </x:c>
      <x:c r="F69" s="14" t="str">
        <x:v>OPEN</x:v>
      </x:c>
      <x:c r="G69" s="14" t="str">
        <x:v>OPEN</x:v>
      </x:c>
    </x:row>
    <x:row r="70">
      <x:c r="A70" s="15" t="str">
        <x:v>QT-066</x:v>
      </x:c>
      <x:c r="B70" s="15" t="str">
        <x:v>QA-06</x:v>
      </x:c>
      <x:c r="C70" s="15" t="str">
        <x:v>LATTICE-12</x:v>
      </x:c>
      <x:c r="D70" s="15" t="str">
        <x:v>One trunk lost</x:v>
      </x:c>
      <x:c r="E70" s="15" t="n">
        <x:v>144</x:v>
      </x:c>
      <x:c r="F70" s="15" t="str">
        <x:v>OPEN</x:v>
      </x:c>
      <x:c r="G70" s="15" t="str">
        <x:v>OPEN</x:v>
      </x:c>
    </x:row>
    <x:row r="71">
      <x:c r="A71" s="14" t="str">
        <x:v>QT-067</x:v>
      </x:c>
      <x:c r="B71" s="14" t="str">
        <x:v>QA-06</x:v>
      </x:c>
      <x:c r="C71" s="14" t="str">
        <x:v>LATTICE-12</x:v>
      </x:c>
      <x:c r="D71" s="14" t="str">
        <x:v>Grid, network and time denied</x:v>
      </x:c>
      <x:c r="E71" s="14" t="n">
        <x:v>144</x:v>
      </x:c>
      <x:c r="F71" s="14" t="str">
        <x:v>OPEN</x:v>
      </x:c>
      <x:c r="G71" s="14" t="str">
        <x:v>OPEN</x:v>
      </x:c>
    </x:row>
    <x:row r="72">
      <x:c r="A72" s="15" t="str">
        <x:v>QT-068</x:v>
      </x:c>
      <x:c r="B72" s="15" t="str">
        <x:v>QA-06</x:v>
      </x:c>
      <x:c r="C72" s="15" t="str">
        <x:v>LATTICE-12</x:v>
      </x:c>
      <x:c r="D72" s="15" t="str">
        <x:v>Recovery restricted</x:v>
      </x:c>
      <x:c r="E72" s="15" t="n">
        <x:v>144</x:v>
      </x:c>
      <x:c r="F72" s="15" t="str">
        <x:v>OPEN</x:v>
      </x:c>
      <x:c r="G72" s="15" t="str">
        <x:v>OPEN</x:v>
      </x:c>
    </x:row>
    <x:row r="73">
      <x:c r="A73" s="14" t="str">
        <x:v>QT-069</x:v>
      </x:c>
      <x:c r="B73" s="14" t="str">
        <x:v>QA-06</x:v>
      </x:c>
      <x:c r="C73" s="14" t="str">
        <x:v>LATTICE-12</x:v>
      </x:c>
      <x:c r="D73" s="14" t="str">
        <x:v>Public intervention</x:v>
      </x:c>
      <x:c r="E73" s="14" t="n">
        <x:v>144</x:v>
      </x:c>
      <x:c r="F73" s="14" t="str">
        <x:v>OPEN</x:v>
      </x:c>
      <x:c r="G73" s="14" t="str">
        <x:v>OPEN</x:v>
      </x:c>
    </x:row>
    <x:row r="74">
      <x:c r="A74" s="15" t="str">
        <x:v>QT-070</x:v>
      </x:c>
      <x:c r="B74" s="15" t="str">
        <x:v>QA-06</x:v>
      </x:c>
      <x:c r="C74" s="15" t="str">
        <x:v>LATTICE-12</x:v>
      </x:c>
      <x:c r="D74" s="15" t="str">
        <x:v>Cell reposition and gap</x:v>
      </x:c>
      <x:c r="E74" s="15" t="n">
        <x:v>144</x:v>
      </x:c>
      <x:c r="F74" s="15" t="str">
        <x:v>OPEN</x:v>
      </x:c>
      <x:c r="G74" s="15" t="str">
        <x:v>OPEN</x:v>
      </x:c>
    </x:row>
    <x:row r="75">
      <x:c r="A75" s="14" t="str">
        <x:v>QT-071</x:v>
      </x:c>
      <x:c r="B75" s="14" t="str">
        <x:v>QA-06</x:v>
      </x:c>
      <x:c r="C75" s="14" t="str">
        <x:v>LATTICE-12</x:v>
      </x:c>
      <x:c r="D75" s="14" t="str">
        <x:v>Interrupted safeing</x:v>
      </x:c>
      <x:c r="E75" s="14" t="n">
        <x:v>144</x:v>
      </x:c>
      <x:c r="F75" s="14" t="str">
        <x:v>OPEN</x:v>
      </x:c>
      <x:c r="G75" s="14" t="str">
        <x:v>OPEN</x:v>
      </x:c>
    </x:row>
    <x:row r="76">
      <x:c r="A76" s="15" t="str">
        <x:v>QT-072</x:v>
      </x:c>
      <x:c r="B76" s="15" t="str">
        <x:v>QA-06</x:v>
      </x:c>
      <x:c r="C76" s="15" t="str">
        <x:v>LATTICE-12</x:v>
      </x:c>
      <x:c r="D76" s="15" t="str">
        <x:v>Contaminated return</x:v>
      </x:c>
      <x:c r="E76" s="15" t="n">
        <x:v>144</x:v>
      </x:c>
      <x:c r="F76" s="15" t="str">
        <x:v>OPEN</x:v>
      </x:c>
      <x:c r="G76" s="15" t="str">
        <x:v>OPEN</x:v>
      </x:c>
    </x:row>
    <x:row r="77">
      <x:c r="A77" s="14" t="str">
        <x:v>QT-073</x:v>
      </x:c>
      <x:c r="B77" s="14" t="str">
        <x:v>QA-07</x:v>
      </x:c>
      <x:c r="C77" s="14" t="str">
        <x:v>RING-12</x:v>
      </x:c>
      <x:c r="D77" s="14" t="str">
        <x:v>Dry deployment</x:v>
      </x:c>
      <x:c r="E77" s="14" t="n">
        <x:v>144</x:v>
      </x:c>
      <x:c r="F77" s="14" t="str">
        <x:v>OPEN</x:v>
      </x:c>
      <x:c r="G77" s="14" t="str">
        <x:v>OPEN</x:v>
      </x:c>
    </x:row>
    <x:row r="78">
      <x:c r="A78" s="15" t="str">
        <x:v>QT-074</x:v>
      </x:c>
      <x:c r="B78" s="15" t="str">
        <x:v>QA-07</x:v>
      </x:c>
      <x:c r="C78" s="15" t="str">
        <x:v>RING-12</x:v>
      </x:c>
      <x:c r="D78" s="15" t="str">
        <x:v>Freshwater acquisition</x:v>
      </x:c>
      <x:c r="E78" s="15" t="n">
        <x:v>144</x:v>
      </x:c>
      <x:c r="F78" s="15" t="str">
        <x:v>OPEN</x:v>
      </x:c>
      <x:c r="G78" s="15" t="str">
        <x:v>OPEN</x:v>
      </x:c>
    </x:row>
    <x:row r="79">
      <x:c r="A79" s="14" t="str">
        <x:v>QT-075</x:v>
      </x:c>
      <x:c r="B79" s="14" t="str">
        <x:v>QA-07</x:v>
      </x:c>
      <x:c r="C79" s="14" t="str">
        <x:v>RING-12</x:v>
      </x:c>
      <x:c r="D79" s="14" t="str">
        <x:v>Saline-water mode</x:v>
      </x:c>
      <x:c r="E79" s="14" t="n">
        <x:v>144</x:v>
      </x:c>
      <x:c r="F79" s="14" t="str">
        <x:v>OPEN</x:v>
      </x:c>
      <x:c r="G79" s="14" t="str">
        <x:v>OPEN</x:v>
      </x:c>
    </x:row>
    <x:row r="80">
      <x:c r="A80" s="15" t="str">
        <x:v>QT-076</x:v>
      </x:c>
      <x:c r="B80" s="15" t="str">
        <x:v>QA-07</x:v>
      </x:c>
      <x:c r="C80" s="15" t="str">
        <x:v>RING-12</x:v>
      </x:c>
      <x:c r="D80" s="15" t="str">
        <x:v>Sediment-laden mode</x:v>
      </x:c>
      <x:c r="E80" s="15" t="n">
        <x:v>144</x:v>
      </x:c>
      <x:c r="F80" s="15" t="str">
        <x:v>OPEN</x:v>
      </x:c>
      <x:c r="G80" s="15" t="str">
        <x:v>OPEN</x:v>
      </x:c>
    </x:row>
    <x:row r="81">
      <x:c r="A81" s="14" t="str">
        <x:v>QT-077</x:v>
      </x:c>
      <x:c r="B81" s="14" t="str">
        <x:v>QA-07</x:v>
      </x:c>
      <x:c r="C81" s="14" t="str">
        <x:v>RING-12</x:v>
      </x:c>
      <x:c r="D81" s="14" t="str">
        <x:v>Three-cell salvo</x:v>
      </x:c>
      <x:c r="E81" s="14" t="n">
        <x:v>144</x:v>
      </x:c>
      <x:c r="F81" s="14" t="str">
        <x:v>OPEN</x:v>
      </x:c>
      <x:c r="G81" s="14" t="str">
        <x:v>OPEN</x:v>
      </x:c>
    </x:row>
    <x:row r="82">
      <x:c r="A82" s="15" t="str">
        <x:v>QT-078</x:v>
      </x:c>
      <x:c r="B82" s="15" t="str">
        <x:v>QA-07</x:v>
      </x:c>
      <x:c r="C82" s="15" t="str">
        <x:v>RING-12</x:v>
      </x:c>
      <x:c r="D82" s="15" t="str">
        <x:v>One trunk lost</x:v>
      </x:c>
      <x:c r="E82" s="15" t="n">
        <x:v>144</x:v>
      </x:c>
      <x:c r="F82" s="15" t="str">
        <x:v>OPEN</x:v>
      </x:c>
      <x:c r="G82" s="15" t="str">
        <x:v>OPEN</x:v>
      </x:c>
    </x:row>
    <x:row r="83">
      <x:c r="A83" s="14" t="str">
        <x:v>QT-079</x:v>
      </x:c>
      <x:c r="B83" s="14" t="str">
        <x:v>QA-07</x:v>
      </x:c>
      <x:c r="C83" s="14" t="str">
        <x:v>RING-12</x:v>
      </x:c>
      <x:c r="D83" s="14" t="str">
        <x:v>Grid, network and time denied</x:v>
      </x:c>
      <x:c r="E83" s="14" t="n">
        <x:v>144</x:v>
      </x:c>
      <x:c r="F83" s="14" t="str">
        <x:v>OPEN</x:v>
      </x:c>
      <x:c r="G83" s="14" t="str">
        <x:v>OPEN</x:v>
      </x:c>
    </x:row>
    <x:row r="84">
      <x:c r="A84" s="15" t="str">
        <x:v>QT-080</x:v>
      </x:c>
      <x:c r="B84" s="15" t="str">
        <x:v>QA-07</x:v>
      </x:c>
      <x:c r="C84" s="15" t="str">
        <x:v>RING-12</x:v>
      </x:c>
      <x:c r="D84" s="15" t="str">
        <x:v>Recovery restricted</x:v>
      </x:c>
      <x:c r="E84" s="15" t="n">
        <x:v>144</x:v>
      </x:c>
      <x:c r="F84" s="15" t="str">
        <x:v>OPEN</x:v>
      </x:c>
      <x:c r="G84" s="15" t="str">
        <x:v>OPEN</x:v>
      </x:c>
    </x:row>
    <x:row r="85">
      <x:c r="A85" s="14" t="str">
        <x:v>QT-081</x:v>
      </x:c>
      <x:c r="B85" s="14" t="str">
        <x:v>QA-07</x:v>
      </x:c>
      <x:c r="C85" s="14" t="str">
        <x:v>RING-12</x:v>
      </x:c>
      <x:c r="D85" s="14" t="str">
        <x:v>Public intervention</x:v>
      </x:c>
      <x:c r="E85" s="14" t="n">
        <x:v>144</x:v>
      </x:c>
      <x:c r="F85" s="14" t="str">
        <x:v>OPEN</x:v>
      </x:c>
      <x:c r="G85" s="14" t="str">
        <x:v>OPEN</x:v>
      </x:c>
    </x:row>
    <x:row r="86">
      <x:c r="A86" s="15" t="str">
        <x:v>QT-082</x:v>
      </x:c>
      <x:c r="B86" s="15" t="str">
        <x:v>QA-07</x:v>
      </x:c>
      <x:c r="C86" s="15" t="str">
        <x:v>RING-12</x:v>
      </x:c>
      <x:c r="D86" s="15" t="str">
        <x:v>Cell reposition and gap</x:v>
      </x:c>
      <x:c r="E86" s="15" t="n">
        <x:v>144</x:v>
      </x:c>
      <x:c r="F86" s="15" t="str">
        <x:v>OPEN</x:v>
      </x:c>
      <x:c r="G86" s="15" t="str">
        <x:v>OPEN</x:v>
      </x:c>
    </x:row>
    <x:row r="87">
      <x:c r="A87" s="14" t="str">
        <x:v>QT-083</x:v>
      </x:c>
      <x:c r="B87" s="14" t="str">
        <x:v>QA-07</x:v>
      </x:c>
      <x:c r="C87" s="14" t="str">
        <x:v>RING-12</x:v>
      </x:c>
      <x:c r="D87" s="14" t="str">
        <x:v>Interrupted safeing</x:v>
      </x:c>
      <x:c r="E87" s="14" t="n">
        <x:v>144</x:v>
      </x:c>
      <x:c r="F87" s="14" t="str">
        <x:v>OPEN</x:v>
      </x:c>
      <x:c r="G87" s="14" t="str">
        <x:v>OPEN</x:v>
      </x:c>
    </x:row>
    <x:row r="88">
      <x:c r="A88" s="15" t="str">
        <x:v>QT-084</x:v>
      </x:c>
      <x:c r="B88" s="15" t="str">
        <x:v>QA-07</x:v>
      </x:c>
      <x:c r="C88" s="15" t="str">
        <x:v>RING-12</x:v>
      </x:c>
      <x:c r="D88" s="15" t="str">
        <x:v>Contaminated return</x:v>
      </x:c>
      <x:c r="E88" s="15" t="n">
        <x:v>144</x:v>
      </x:c>
      <x:c r="F88" s="15" t="str">
        <x:v>OPEN</x:v>
      </x:c>
      <x:c r="G88" s="15" t="str">
        <x:v>OPEN</x:v>
      </x:c>
    </x:row>
    <x:row r="89">
      <x:c r="A89" s="14" t="str">
        <x:v>QT-085</x:v>
      </x:c>
      <x:c r="B89" s="14" t="str">
        <x:v>QA-08</x:v>
      </x:c>
      <x:c r="C89" s="14" t="str">
        <x:v>RING-12</x:v>
      </x:c>
      <x:c r="D89" s="14" t="str">
        <x:v>Dry deployment</x:v>
      </x:c>
      <x:c r="E89" s="14" t="n">
        <x:v>144</x:v>
      </x:c>
      <x:c r="F89" s="14" t="str">
        <x:v>OPEN</x:v>
      </x:c>
      <x:c r="G89" s="14" t="str">
        <x:v>OPEN</x:v>
      </x:c>
    </x:row>
    <x:row r="90">
      <x:c r="A90" s="15" t="str">
        <x:v>QT-086</x:v>
      </x:c>
      <x:c r="B90" s="15" t="str">
        <x:v>QA-08</x:v>
      </x:c>
      <x:c r="C90" s="15" t="str">
        <x:v>RING-12</x:v>
      </x:c>
      <x:c r="D90" s="15" t="str">
        <x:v>Freshwater acquisition</x:v>
      </x:c>
      <x:c r="E90" s="15" t="n">
        <x:v>144</x:v>
      </x:c>
      <x:c r="F90" s="15" t="str">
        <x:v>OPEN</x:v>
      </x:c>
      <x:c r="G90" s="15" t="str">
        <x:v>OPEN</x:v>
      </x:c>
    </x:row>
    <x:row r="91">
      <x:c r="A91" s="14" t="str">
        <x:v>QT-087</x:v>
      </x:c>
      <x:c r="B91" s="14" t="str">
        <x:v>QA-08</x:v>
      </x:c>
      <x:c r="C91" s="14" t="str">
        <x:v>RING-12</x:v>
      </x:c>
      <x:c r="D91" s="14" t="str">
        <x:v>Saline-water mode</x:v>
      </x:c>
      <x:c r="E91" s="14" t="n">
        <x:v>144</x:v>
      </x:c>
      <x:c r="F91" s="14" t="str">
        <x:v>OPEN</x:v>
      </x:c>
      <x:c r="G91" s="14" t="str">
        <x:v>OPEN</x:v>
      </x:c>
    </x:row>
    <x:row r="92">
      <x:c r="A92" s="15" t="str">
        <x:v>QT-088</x:v>
      </x:c>
      <x:c r="B92" s="15" t="str">
        <x:v>QA-08</x:v>
      </x:c>
      <x:c r="C92" s="15" t="str">
        <x:v>RING-12</x:v>
      </x:c>
      <x:c r="D92" s="15" t="str">
        <x:v>Sediment-laden mode</x:v>
      </x:c>
      <x:c r="E92" s="15" t="n">
        <x:v>144</x:v>
      </x:c>
      <x:c r="F92" s="15" t="str">
        <x:v>OPEN</x:v>
      </x:c>
      <x:c r="G92" s="15" t="str">
        <x:v>OPEN</x:v>
      </x:c>
    </x:row>
    <x:row r="93">
      <x:c r="A93" s="14" t="str">
        <x:v>QT-089</x:v>
      </x:c>
      <x:c r="B93" s="14" t="str">
        <x:v>QA-08</x:v>
      </x:c>
      <x:c r="C93" s="14" t="str">
        <x:v>RING-12</x:v>
      </x:c>
      <x:c r="D93" s="14" t="str">
        <x:v>Three-cell salvo</x:v>
      </x:c>
      <x:c r="E93" s="14" t="n">
        <x:v>144</x:v>
      </x:c>
      <x:c r="F93" s="14" t="str">
        <x:v>OPEN</x:v>
      </x:c>
      <x:c r="G93" s="14" t="str">
        <x:v>OPEN</x:v>
      </x:c>
    </x:row>
    <x:row r="94">
      <x:c r="A94" s="15" t="str">
        <x:v>QT-090</x:v>
      </x:c>
      <x:c r="B94" s="15" t="str">
        <x:v>QA-08</x:v>
      </x:c>
      <x:c r="C94" s="15" t="str">
        <x:v>RING-12</x:v>
      </x:c>
      <x:c r="D94" s="15" t="str">
        <x:v>One trunk lost</x:v>
      </x:c>
      <x:c r="E94" s="15" t="n">
        <x:v>144</x:v>
      </x:c>
      <x:c r="F94" s="15" t="str">
        <x:v>OPEN</x:v>
      </x:c>
      <x:c r="G94" s="15" t="str">
        <x:v>OPEN</x:v>
      </x:c>
    </x:row>
    <x:row r="95">
      <x:c r="A95" s="14" t="str">
        <x:v>QT-091</x:v>
      </x:c>
      <x:c r="B95" s="14" t="str">
        <x:v>QA-08</x:v>
      </x:c>
      <x:c r="C95" s="14" t="str">
        <x:v>RING-12</x:v>
      </x:c>
      <x:c r="D95" s="14" t="str">
        <x:v>Grid, network and time denied</x:v>
      </x:c>
      <x:c r="E95" s="14" t="n">
        <x:v>144</x:v>
      </x:c>
      <x:c r="F95" s="14" t="str">
        <x:v>OPEN</x:v>
      </x:c>
      <x:c r="G95" s="14" t="str">
        <x:v>OPEN</x:v>
      </x:c>
    </x:row>
    <x:row r="96">
      <x:c r="A96" s="15" t="str">
        <x:v>QT-092</x:v>
      </x:c>
      <x:c r="B96" s="15" t="str">
        <x:v>QA-08</x:v>
      </x:c>
      <x:c r="C96" s="15" t="str">
        <x:v>RING-12</x:v>
      </x:c>
      <x:c r="D96" s="15" t="str">
        <x:v>Recovery restricted</x:v>
      </x:c>
      <x:c r="E96" s="15" t="n">
        <x:v>144</x:v>
      </x:c>
      <x:c r="F96" s="15" t="str">
        <x:v>OPEN</x:v>
      </x:c>
      <x:c r="G96" s="15" t="str">
        <x:v>OPEN</x:v>
      </x:c>
    </x:row>
    <x:row r="97">
      <x:c r="A97" s="14" t="str">
        <x:v>QT-093</x:v>
      </x:c>
      <x:c r="B97" s="14" t="str">
        <x:v>QA-08</x:v>
      </x:c>
      <x:c r="C97" s="14" t="str">
        <x:v>RING-12</x:v>
      </x:c>
      <x:c r="D97" s="14" t="str">
        <x:v>Public intervention</x:v>
      </x:c>
      <x:c r="E97" s="14" t="n">
        <x:v>144</x:v>
      </x:c>
      <x:c r="F97" s="14" t="str">
        <x:v>OPEN</x:v>
      </x:c>
      <x:c r="G97" s="14" t="str">
        <x:v>OPEN</x:v>
      </x:c>
    </x:row>
    <x:row r="98">
      <x:c r="A98" s="15" t="str">
        <x:v>QT-094</x:v>
      </x:c>
      <x:c r="B98" s="15" t="str">
        <x:v>QA-08</x:v>
      </x:c>
      <x:c r="C98" s="15" t="str">
        <x:v>RING-12</x:v>
      </x:c>
      <x:c r="D98" s="15" t="str">
        <x:v>Cell reposition and gap</x:v>
      </x:c>
      <x:c r="E98" s="15" t="n">
        <x:v>144</x:v>
      </x:c>
      <x:c r="F98" s="15" t="str">
        <x:v>OPEN</x:v>
      </x:c>
      <x:c r="G98" s="15" t="str">
        <x:v>OPEN</x:v>
      </x:c>
    </x:row>
    <x:row r="99">
      <x:c r="A99" s="14" t="str">
        <x:v>QT-095</x:v>
      </x:c>
      <x:c r="B99" s="14" t="str">
        <x:v>QA-08</x:v>
      </x:c>
      <x:c r="C99" s="14" t="str">
        <x:v>RING-12</x:v>
      </x:c>
      <x:c r="D99" s="14" t="str">
        <x:v>Interrupted safeing</x:v>
      </x:c>
      <x:c r="E99" s="14" t="n">
        <x:v>144</x:v>
      </x:c>
      <x:c r="F99" s="14" t="str">
        <x:v>OPEN</x:v>
      </x:c>
      <x:c r="G99" s="14" t="str">
        <x:v>OPEN</x:v>
      </x:c>
    </x:row>
    <x:row r="100">
      <x:c r="A100" s="15" t="str">
        <x:v>QT-096</x:v>
      </x:c>
      <x:c r="B100" s="15" t="str">
        <x:v>QA-08</x:v>
      </x:c>
      <x:c r="C100" s="15" t="str">
        <x:v>RING-12</x:v>
      </x:c>
      <x:c r="D100" s="15" t="str">
        <x:v>Contaminated return</x:v>
      </x:c>
      <x:c r="E100" s="15" t="n">
        <x:v>144</x:v>
      </x:c>
      <x:c r="F100" s="15" t="str">
        <x:v>OPEN</x:v>
      </x:c>
      <x:c r="G100" s="15" t="str">
        <x:v>OPEN</x:v>
      </x:c>
    </x:row>
    <x:row r="101">
      <x:c r="A101" s="14" t="str">
        <x:v>QT-097</x:v>
      </x:c>
      <x:c r="B101" s="14" t="str">
        <x:v>QA-09</x:v>
      </x:c>
      <x:c r="C101" s="14" t="str">
        <x:v>RING-12</x:v>
      </x:c>
      <x:c r="D101" s="14" t="str">
        <x:v>Dry deployment</x:v>
      </x:c>
      <x:c r="E101" s="14" t="n">
        <x:v>144</x:v>
      </x:c>
      <x:c r="F101" s="14" t="str">
        <x:v>OPEN</x:v>
      </x:c>
      <x:c r="G101" s="14" t="str">
        <x:v>OPEN</x:v>
      </x:c>
    </x:row>
    <x:row r="102">
      <x:c r="A102" s="15" t="str">
        <x:v>QT-098</x:v>
      </x:c>
      <x:c r="B102" s="15" t="str">
        <x:v>QA-09</x:v>
      </x:c>
      <x:c r="C102" s="15" t="str">
        <x:v>RING-12</x:v>
      </x:c>
      <x:c r="D102" s="15" t="str">
        <x:v>Freshwater acquisition</x:v>
      </x:c>
      <x:c r="E102" s="15" t="n">
        <x:v>144</x:v>
      </x:c>
      <x:c r="F102" s="15" t="str">
        <x:v>OPEN</x:v>
      </x:c>
      <x:c r="G102" s="15" t="str">
        <x:v>OPEN</x:v>
      </x:c>
    </x:row>
    <x:row r="103">
      <x:c r="A103" s="14" t="str">
        <x:v>QT-099</x:v>
      </x:c>
      <x:c r="B103" s="14" t="str">
        <x:v>QA-09</x:v>
      </x:c>
      <x:c r="C103" s="14" t="str">
        <x:v>RING-12</x:v>
      </x:c>
      <x:c r="D103" s="14" t="str">
        <x:v>Saline-water mode</x:v>
      </x:c>
      <x:c r="E103" s="14" t="n">
        <x:v>144</x:v>
      </x:c>
      <x:c r="F103" s="14" t="str">
        <x:v>OPEN</x:v>
      </x:c>
      <x:c r="G103" s="14" t="str">
        <x:v>OPEN</x:v>
      </x:c>
    </x:row>
    <x:row r="104">
      <x:c r="A104" s="15" t="str">
        <x:v>QT-100</x:v>
      </x:c>
      <x:c r="B104" s="15" t="str">
        <x:v>QA-09</x:v>
      </x:c>
      <x:c r="C104" s="15" t="str">
        <x:v>RING-12</x:v>
      </x:c>
      <x:c r="D104" s="15" t="str">
        <x:v>Sediment-laden mode</x:v>
      </x:c>
      <x:c r="E104" s="15" t="n">
        <x:v>144</x:v>
      </x:c>
      <x:c r="F104" s="15" t="str">
        <x:v>OPEN</x:v>
      </x:c>
      <x:c r="G104" s="15" t="str">
        <x:v>OPEN</x:v>
      </x:c>
    </x:row>
    <x:row r="105">
      <x:c r="A105" s="14" t="str">
        <x:v>QT-101</x:v>
      </x:c>
      <x:c r="B105" s="14" t="str">
        <x:v>QA-09</x:v>
      </x:c>
      <x:c r="C105" s="14" t="str">
        <x:v>RING-12</x:v>
      </x:c>
      <x:c r="D105" s="14" t="str">
        <x:v>Three-cell salvo</x:v>
      </x:c>
      <x:c r="E105" s="14" t="n">
        <x:v>144</x:v>
      </x:c>
      <x:c r="F105" s="14" t="str">
        <x:v>OPEN</x:v>
      </x:c>
      <x:c r="G105" s="14" t="str">
        <x:v>OPEN</x:v>
      </x:c>
    </x:row>
    <x:row r="106">
      <x:c r="A106" s="15" t="str">
        <x:v>QT-102</x:v>
      </x:c>
      <x:c r="B106" s="15" t="str">
        <x:v>QA-09</x:v>
      </x:c>
      <x:c r="C106" s="15" t="str">
        <x:v>RING-12</x:v>
      </x:c>
      <x:c r="D106" s="15" t="str">
        <x:v>One trunk lost</x:v>
      </x:c>
      <x:c r="E106" s="15" t="n">
        <x:v>144</x:v>
      </x:c>
      <x:c r="F106" s="15" t="str">
        <x:v>OPEN</x:v>
      </x:c>
      <x:c r="G106" s="15" t="str">
        <x:v>OPEN</x:v>
      </x:c>
    </x:row>
    <x:row r="107">
      <x:c r="A107" s="14" t="str">
        <x:v>QT-103</x:v>
      </x:c>
      <x:c r="B107" s="14" t="str">
        <x:v>QA-09</x:v>
      </x:c>
      <x:c r="C107" s="14" t="str">
        <x:v>RING-12</x:v>
      </x:c>
      <x:c r="D107" s="14" t="str">
        <x:v>Grid, network and time denied</x:v>
      </x:c>
      <x:c r="E107" s="14" t="n">
        <x:v>144</x:v>
      </x:c>
      <x:c r="F107" s="14" t="str">
        <x:v>OPEN</x:v>
      </x:c>
      <x:c r="G107" s="14" t="str">
        <x:v>OPEN</x:v>
      </x:c>
    </x:row>
    <x:row r="108">
      <x:c r="A108" s="15" t="str">
        <x:v>QT-104</x:v>
      </x:c>
      <x:c r="B108" s="15" t="str">
        <x:v>QA-09</x:v>
      </x:c>
      <x:c r="C108" s="15" t="str">
        <x:v>RING-12</x:v>
      </x:c>
      <x:c r="D108" s="15" t="str">
        <x:v>Recovery restricted</x:v>
      </x:c>
      <x:c r="E108" s="15" t="n">
        <x:v>144</x:v>
      </x:c>
      <x:c r="F108" s="15" t="str">
        <x:v>OPEN</x:v>
      </x:c>
      <x:c r="G108" s="15" t="str">
        <x:v>OPEN</x:v>
      </x:c>
    </x:row>
    <x:row r="109">
      <x:c r="A109" s="14" t="str">
        <x:v>QT-105</x:v>
      </x:c>
      <x:c r="B109" s="14" t="str">
        <x:v>QA-09</x:v>
      </x:c>
      <x:c r="C109" s="14" t="str">
        <x:v>RING-12</x:v>
      </x:c>
      <x:c r="D109" s="14" t="str">
        <x:v>Public intervention</x:v>
      </x:c>
      <x:c r="E109" s="14" t="n">
        <x:v>144</x:v>
      </x:c>
      <x:c r="F109" s="14" t="str">
        <x:v>OPEN</x:v>
      </x:c>
      <x:c r="G109" s="14" t="str">
        <x:v>OPEN</x:v>
      </x:c>
    </x:row>
    <x:row r="110">
      <x:c r="A110" s="15" t="str">
        <x:v>QT-106</x:v>
      </x:c>
      <x:c r="B110" s="15" t="str">
        <x:v>QA-09</x:v>
      </x:c>
      <x:c r="C110" s="15" t="str">
        <x:v>RING-12</x:v>
      </x:c>
      <x:c r="D110" s="15" t="str">
        <x:v>Cell reposition and gap</x:v>
      </x:c>
      <x:c r="E110" s="15" t="n">
        <x:v>144</x:v>
      </x:c>
      <x:c r="F110" s="15" t="str">
        <x:v>OPEN</x:v>
      </x:c>
      <x:c r="G110" s="15" t="str">
        <x:v>OPEN</x:v>
      </x:c>
    </x:row>
    <x:row r="111">
      <x:c r="A111" s="14" t="str">
        <x:v>QT-107</x:v>
      </x:c>
      <x:c r="B111" s="14" t="str">
        <x:v>QA-09</x:v>
      </x:c>
      <x:c r="C111" s="14" t="str">
        <x:v>RING-12</x:v>
      </x:c>
      <x:c r="D111" s="14" t="str">
        <x:v>Interrupted safeing</x:v>
      </x:c>
      <x:c r="E111" s="14" t="n">
        <x:v>144</x:v>
      </x:c>
      <x:c r="F111" s="14" t="str">
        <x:v>OPEN</x:v>
      </x:c>
      <x:c r="G111" s="14" t="str">
        <x:v>OPEN</x:v>
      </x:c>
    </x:row>
    <x:row r="112">
      <x:c r="A112" s="15" t="str">
        <x:v>QT-108</x:v>
      </x:c>
      <x:c r="B112" s="15" t="str">
        <x:v>QA-09</x:v>
      </x:c>
      <x:c r="C112" s="15" t="str">
        <x:v>RING-12</x:v>
      </x:c>
      <x:c r="D112" s="15" t="str">
        <x:v>Contaminated return</x:v>
      </x:c>
      <x:c r="E112" s="15" t="n">
        <x:v>144</x:v>
      </x:c>
      <x:c r="F112" s="15" t="str">
        <x:v>OPEN</x:v>
      </x:c>
      <x:c r="G112" s="15" t="str">
        <x:v>OPEN</x:v>
      </x:c>
    </x:row>
    <x:row r="113">
      <x:c r="A113" s="14" t="str">
        <x:v>QT-109</x:v>
      </x:c>
      <x:c r="B113" s="14" t="str">
        <x:v>QA-10</x:v>
      </x:c>
      <x:c r="C113" s="14" t="str">
        <x:v>RING-12</x:v>
      </x:c>
      <x:c r="D113" s="14" t="str">
        <x:v>Dry deployment</x:v>
      </x:c>
      <x:c r="E113" s="14" t="n">
        <x:v>144</x:v>
      </x:c>
      <x:c r="F113" s="14" t="str">
        <x:v>OPEN</x:v>
      </x:c>
      <x:c r="G113" s="14" t="str">
        <x:v>OPEN</x:v>
      </x:c>
    </x:row>
    <x:row r="114">
      <x:c r="A114" s="15" t="str">
        <x:v>QT-110</x:v>
      </x:c>
      <x:c r="B114" s="15" t="str">
        <x:v>QA-10</x:v>
      </x:c>
      <x:c r="C114" s="15" t="str">
        <x:v>RING-12</x:v>
      </x:c>
      <x:c r="D114" s="15" t="str">
        <x:v>Freshwater acquisition</x:v>
      </x:c>
      <x:c r="E114" s="15" t="n">
        <x:v>144</x:v>
      </x:c>
      <x:c r="F114" s="15" t="str">
        <x:v>OPEN</x:v>
      </x:c>
      <x:c r="G114" s="15" t="str">
        <x:v>OPEN</x:v>
      </x:c>
    </x:row>
    <x:row r="115">
      <x:c r="A115" s="14" t="str">
        <x:v>QT-111</x:v>
      </x:c>
      <x:c r="B115" s="14" t="str">
        <x:v>QA-10</x:v>
      </x:c>
      <x:c r="C115" s="14" t="str">
        <x:v>RING-12</x:v>
      </x:c>
      <x:c r="D115" s="14" t="str">
        <x:v>Saline-water mode</x:v>
      </x:c>
      <x:c r="E115" s="14" t="n">
        <x:v>144</x:v>
      </x:c>
      <x:c r="F115" s="14" t="str">
        <x:v>OPEN</x:v>
      </x:c>
      <x:c r="G115" s="14" t="str">
        <x:v>OPEN</x:v>
      </x:c>
    </x:row>
    <x:row r="116">
      <x:c r="A116" s="15" t="str">
        <x:v>QT-112</x:v>
      </x:c>
      <x:c r="B116" s="15" t="str">
        <x:v>QA-10</x:v>
      </x:c>
      <x:c r="C116" s="15" t="str">
        <x:v>RING-12</x:v>
      </x:c>
      <x:c r="D116" s="15" t="str">
        <x:v>Sediment-laden mode</x:v>
      </x:c>
      <x:c r="E116" s="15" t="n">
        <x:v>144</x:v>
      </x:c>
      <x:c r="F116" s="15" t="str">
        <x:v>OPEN</x:v>
      </x:c>
      <x:c r="G116" s="15" t="str">
        <x:v>OPEN</x:v>
      </x:c>
    </x:row>
    <x:row r="117">
      <x:c r="A117" s="14" t="str">
        <x:v>QT-113</x:v>
      </x:c>
      <x:c r="B117" s="14" t="str">
        <x:v>QA-10</x:v>
      </x:c>
      <x:c r="C117" s="14" t="str">
        <x:v>RING-12</x:v>
      </x:c>
      <x:c r="D117" s="14" t="str">
        <x:v>Three-cell salvo</x:v>
      </x:c>
      <x:c r="E117" s="14" t="n">
        <x:v>144</x:v>
      </x:c>
      <x:c r="F117" s="14" t="str">
        <x:v>OPEN</x:v>
      </x:c>
      <x:c r="G117" s="14" t="str">
        <x:v>OPEN</x:v>
      </x:c>
    </x:row>
    <x:row r="118">
      <x:c r="A118" s="15" t="str">
        <x:v>QT-114</x:v>
      </x:c>
      <x:c r="B118" s="15" t="str">
        <x:v>QA-10</x:v>
      </x:c>
      <x:c r="C118" s="15" t="str">
        <x:v>RING-12</x:v>
      </x:c>
      <x:c r="D118" s="15" t="str">
        <x:v>One trunk lost</x:v>
      </x:c>
      <x:c r="E118" s="15" t="n">
        <x:v>144</x:v>
      </x:c>
      <x:c r="F118" s="15" t="str">
        <x:v>OPEN</x:v>
      </x:c>
      <x:c r="G118" s="15" t="str">
        <x:v>OPEN</x:v>
      </x:c>
    </x:row>
    <x:row r="119">
      <x:c r="A119" s="14" t="str">
        <x:v>QT-115</x:v>
      </x:c>
      <x:c r="B119" s="14" t="str">
        <x:v>QA-10</x:v>
      </x:c>
      <x:c r="C119" s="14" t="str">
        <x:v>RING-12</x:v>
      </x:c>
      <x:c r="D119" s="14" t="str">
        <x:v>Grid, network and time denied</x:v>
      </x:c>
      <x:c r="E119" s="14" t="n">
        <x:v>144</x:v>
      </x:c>
      <x:c r="F119" s="14" t="str">
        <x:v>OPEN</x:v>
      </x:c>
      <x:c r="G119" s="14" t="str">
        <x:v>OPEN</x:v>
      </x:c>
    </x:row>
    <x:row r="120">
      <x:c r="A120" s="15" t="str">
        <x:v>QT-116</x:v>
      </x:c>
      <x:c r="B120" s="15" t="str">
        <x:v>QA-10</x:v>
      </x:c>
      <x:c r="C120" s="15" t="str">
        <x:v>RING-12</x:v>
      </x:c>
      <x:c r="D120" s="15" t="str">
        <x:v>Recovery restricted</x:v>
      </x:c>
      <x:c r="E120" s="15" t="n">
        <x:v>144</x:v>
      </x:c>
      <x:c r="F120" s="15" t="str">
        <x:v>OPEN</x:v>
      </x:c>
      <x:c r="G120" s="15" t="str">
        <x:v>OPEN</x:v>
      </x:c>
    </x:row>
    <x:row r="121">
      <x:c r="A121" s="14" t="str">
        <x:v>QT-117</x:v>
      </x:c>
      <x:c r="B121" s="14" t="str">
        <x:v>QA-10</x:v>
      </x:c>
      <x:c r="C121" s="14" t="str">
        <x:v>RING-12</x:v>
      </x:c>
      <x:c r="D121" s="14" t="str">
        <x:v>Public intervention</x:v>
      </x:c>
      <x:c r="E121" s="14" t="n">
        <x:v>144</x:v>
      </x:c>
      <x:c r="F121" s="14" t="str">
        <x:v>OPEN</x:v>
      </x:c>
      <x:c r="G121" s="14" t="str">
        <x:v>OPEN</x:v>
      </x:c>
    </x:row>
    <x:row r="122">
      <x:c r="A122" s="15" t="str">
        <x:v>QT-118</x:v>
      </x:c>
      <x:c r="B122" s="15" t="str">
        <x:v>QA-10</x:v>
      </x:c>
      <x:c r="C122" s="15" t="str">
        <x:v>RING-12</x:v>
      </x:c>
      <x:c r="D122" s="15" t="str">
        <x:v>Cell reposition and gap</x:v>
      </x:c>
      <x:c r="E122" s="15" t="n">
        <x:v>144</x:v>
      </x:c>
      <x:c r="F122" s="15" t="str">
        <x:v>OPEN</x:v>
      </x:c>
      <x:c r="G122" s="15" t="str">
        <x:v>OPEN</x:v>
      </x:c>
    </x:row>
    <x:row r="123">
      <x:c r="A123" s="14" t="str">
        <x:v>QT-119</x:v>
      </x:c>
      <x:c r="B123" s="14" t="str">
        <x:v>QA-10</x:v>
      </x:c>
      <x:c r="C123" s="14" t="str">
        <x:v>RING-12</x:v>
      </x:c>
      <x:c r="D123" s="14" t="str">
        <x:v>Interrupted safeing</x:v>
      </x:c>
      <x:c r="E123" s="14" t="n">
        <x:v>144</x:v>
      </x:c>
      <x:c r="F123" s="14" t="str">
        <x:v>OPEN</x:v>
      </x:c>
      <x:c r="G123" s="14" t="str">
        <x:v>OPEN</x:v>
      </x:c>
    </x:row>
    <x:row r="124">
      <x:c r="A124" s="15" t="str">
        <x:v>QT-120</x:v>
      </x:c>
      <x:c r="B124" s="15" t="str">
        <x:v>QA-10</x:v>
      </x:c>
      <x:c r="C124" s="15" t="str">
        <x:v>RING-12</x:v>
      </x:c>
      <x:c r="D124" s="15" t="str">
        <x:v>Contaminated return</x:v>
      </x:c>
      <x:c r="E124" s="15" t="n">
        <x:v>144</x:v>
      </x:c>
      <x:c r="F124" s="15" t="str">
        <x:v>OPEN</x:v>
      </x:c>
      <x:c r="G124" s="15" t="str">
        <x:v>OPEN</x:v>
      </x:c>
    </x:row>
    <x:row r="125">
      <x:c r="A125" s="14" t="str">
        <x:v>QT-121</x:v>
      </x:c>
      <x:c r="B125" s="14" t="str">
        <x:v>QA-11</x:v>
      </x:c>
      <x:c r="C125" s="14" t="str">
        <x:v>RING-12</x:v>
      </x:c>
      <x:c r="D125" s="14" t="str">
        <x:v>Dry deployment</x:v>
      </x:c>
      <x:c r="E125" s="14" t="n">
        <x:v>144</x:v>
      </x:c>
      <x:c r="F125" s="14" t="str">
        <x:v>OPEN</x:v>
      </x:c>
      <x:c r="G125" s="14" t="str">
        <x:v>OPEN</x:v>
      </x:c>
    </x:row>
    <x:row r="126">
      <x:c r="A126" s="15" t="str">
        <x:v>QT-122</x:v>
      </x:c>
      <x:c r="B126" s="15" t="str">
        <x:v>QA-11</x:v>
      </x:c>
      <x:c r="C126" s="15" t="str">
        <x:v>RING-12</x:v>
      </x:c>
      <x:c r="D126" s="15" t="str">
        <x:v>Freshwater acquisition</x:v>
      </x:c>
      <x:c r="E126" s="15" t="n">
        <x:v>144</x:v>
      </x:c>
      <x:c r="F126" s="15" t="str">
        <x:v>OPEN</x:v>
      </x:c>
      <x:c r="G126" s="15" t="str">
        <x:v>OPEN</x:v>
      </x:c>
    </x:row>
    <x:row r="127">
      <x:c r="A127" s="14" t="str">
        <x:v>QT-123</x:v>
      </x:c>
      <x:c r="B127" s="14" t="str">
        <x:v>QA-11</x:v>
      </x:c>
      <x:c r="C127" s="14" t="str">
        <x:v>RING-12</x:v>
      </x:c>
      <x:c r="D127" s="14" t="str">
        <x:v>Saline-water mode</x:v>
      </x:c>
      <x:c r="E127" s="14" t="n">
        <x:v>144</x:v>
      </x:c>
      <x:c r="F127" s="14" t="str">
        <x:v>OPEN</x:v>
      </x:c>
      <x:c r="G127" s="14" t="str">
        <x:v>OPEN</x:v>
      </x:c>
    </x:row>
    <x:row r="128">
      <x:c r="A128" s="15" t="str">
        <x:v>QT-124</x:v>
      </x:c>
      <x:c r="B128" s="15" t="str">
        <x:v>QA-11</x:v>
      </x:c>
      <x:c r="C128" s="15" t="str">
        <x:v>RING-12</x:v>
      </x:c>
      <x:c r="D128" s="15" t="str">
        <x:v>Sediment-laden mode</x:v>
      </x:c>
      <x:c r="E128" s="15" t="n">
        <x:v>144</x:v>
      </x:c>
      <x:c r="F128" s="15" t="str">
        <x:v>OPEN</x:v>
      </x:c>
      <x:c r="G128" s="15" t="str">
        <x:v>OPEN</x:v>
      </x:c>
    </x:row>
    <x:row r="129">
      <x:c r="A129" s="14" t="str">
        <x:v>QT-125</x:v>
      </x:c>
      <x:c r="B129" s="14" t="str">
        <x:v>QA-11</x:v>
      </x:c>
      <x:c r="C129" s="14" t="str">
        <x:v>RING-12</x:v>
      </x:c>
      <x:c r="D129" s="14" t="str">
        <x:v>Three-cell salvo</x:v>
      </x:c>
      <x:c r="E129" s="14" t="n">
        <x:v>144</x:v>
      </x:c>
      <x:c r="F129" s="14" t="str">
        <x:v>OPEN</x:v>
      </x:c>
      <x:c r="G129" s="14" t="str">
        <x:v>OPEN</x:v>
      </x:c>
    </x:row>
    <x:row r="130">
      <x:c r="A130" s="15" t="str">
        <x:v>QT-126</x:v>
      </x:c>
      <x:c r="B130" s="15" t="str">
        <x:v>QA-11</x:v>
      </x:c>
      <x:c r="C130" s="15" t="str">
        <x:v>RING-12</x:v>
      </x:c>
      <x:c r="D130" s="15" t="str">
        <x:v>One trunk lost</x:v>
      </x:c>
      <x:c r="E130" s="15" t="n">
        <x:v>144</x:v>
      </x:c>
      <x:c r="F130" s="15" t="str">
        <x:v>OPEN</x:v>
      </x:c>
      <x:c r="G130" s="15" t="str">
        <x:v>OPEN</x:v>
      </x:c>
    </x:row>
    <x:row r="131">
      <x:c r="A131" s="14" t="str">
        <x:v>QT-127</x:v>
      </x:c>
      <x:c r="B131" s="14" t="str">
        <x:v>QA-11</x:v>
      </x:c>
      <x:c r="C131" s="14" t="str">
        <x:v>RING-12</x:v>
      </x:c>
      <x:c r="D131" s="14" t="str">
        <x:v>Grid, network and time denied</x:v>
      </x:c>
      <x:c r="E131" s="14" t="n">
        <x:v>144</x:v>
      </x:c>
      <x:c r="F131" s="14" t="str">
        <x:v>OPEN</x:v>
      </x:c>
      <x:c r="G131" s="14" t="str">
        <x:v>OPEN</x:v>
      </x:c>
    </x:row>
    <x:row r="132">
      <x:c r="A132" s="15" t="str">
        <x:v>QT-128</x:v>
      </x:c>
      <x:c r="B132" s="15" t="str">
        <x:v>QA-11</x:v>
      </x:c>
      <x:c r="C132" s="15" t="str">
        <x:v>RING-12</x:v>
      </x:c>
      <x:c r="D132" s="15" t="str">
        <x:v>Recovery restricted</x:v>
      </x:c>
      <x:c r="E132" s="15" t="n">
        <x:v>144</x:v>
      </x:c>
      <x:c r="F132" s="15" t="str">
        <x:v>OPEN</x:v>
      </x:c>
      <x:c r="G132" s="15" t="str">
        <x:v>OPEN</x:v>
      </x:c>
    </x:row>
    <x:row r="133">
      <x:c r="A133" s="14" t="str">
        <x:v>QT-129</x:v>
      </x:c>
      <x:c r="B133" s="14" t="str">
        <x:v>QA-11</x:v>
      </x:c>
      <x:c r="C133" s="14" t="str">
        <x:v>RING-12</x:v>
      </x:c>
      <x:c r="D133" s="14" t="str">
        <x:v>Public intervention</x:v>
      </x:c>
      <x:c r="E133" s="14" t="n">
        <x:v>144</x:v>
      </x:c>
      <x:c r="F133" s="14" t="str">
        <x:v>OPEN</x:v>
      </x:c>
      <x:c r="G133" s="14" t="str">
        <x:v>OPEN</x:v>
      </x:c>
    </x:row>
    <x:row r="134">
      <x:c r="A134" s="15" t="str">
        <x:v>QT-130</x:v>
      </x:c>
      <x:c r="B134" s="15" t="str">
        <x:v>QA-11</x:v>
      </x:c>
      <x:c r="C134" s="15" t="str">
        <x:v>RING-12</x:v>
      </x:c>
      <x:c r="D134" s="15" t="str">
        <x:v>Cell reposition and gap</x:v>
      </x:c>
      <x:c r="E134" s="15" t="n">
        <x:v>144</x:v>
      </x:c>
      <x:c r="F134" s="15" t="str">
        <x:v>OPEN</x:v>
      </x:c>
      <x:c r="G134" s="15" t="str">
        <x:v>OPEN</x:v>
      </x:c>
    </x:row>
    <x:row r="135">
      <x:c r="A135" s="14" t="str">
        <x:v>QT-131</x:v>
      </x:c>
      <x:c r="B135" s="14" t="str">
        <x:v>QA-11</x:v>
      </x:c>
      <x:c r="C135" s="14" t="str">
        <x:v>RING-12</x:v>
      </x:c>
      <x:c r="D135" s="14" t="str">
        <x:v>Interrupted safeing</x:v>
      </x:c>
      <x:c r="E135" s="14" t="n">
        <x:v>144</x:v>
      </x:c>
      <x:c r="F135" s="14" t="str">
        <x:v>OPEN</x:v>
      </x:c>
      <x:c r="G135" s="14" t="str">
        <x:v>OPEN</x:v>
      </x:c>
    </x:row>
    <x:row r="136">
      <x:c r="A136" s="15" t="str">
        <x:v>QT-132</x:v>
      </x:c>
      <x:c r="B136" s="15" t="str">
        <x:v>QA-11</x:v>
      </x:c>
      <x:c r="C136" s="15" t="str">
        <x:v>RING-12</x:v>
      </x:c>
      <x:c r="D136" s="15" t="str">
        <x:v>Contaminated return</x:v>
      </x:c>
      <x:c r="E136" s="15" t="n">
        <x:v>144</x:v>
      </x:c>
      <x:c r="F136" s="15" t="str">
        <x:v>OPEN</x:v>
      </x:c>
      <x:c r="G136" s="15" t="str">
        <x:v>OPEN</x:v>
      </x:c>
    </x:row>
    <x:row r="137">
      <x:c r="A137" s="14" t="str">
        <x:v>QT-133</x:v>
      </x:c>
      <x:c r="B137" s="14" t="str">
        <x:v>QA-12</x:v>
      </x:c>
      <x:c r="C137" s="14" t="str">
        <x:v>RING-12</x:v>
      </x:c>
      <x:c r="D137" s="14" t="str">
        <x:v>Dry deployment</x:v>
      </x:c>
      <x:c r="E137" s="14" t="n">
        <x:v>144</x:v>
      </x:c>
      <x:c r="F137" s="14" t="str">
        <x:v>OPEN</x:v>
      </x:c>
      <x:c r="G137" s="14" t="str">
        <x:v>OPEN</x:v>
      </x:c>
    </x:row>
    <x:row r="138">
      <x:c r="A138" s="15" t="str">
        <x:v>QT-134</x:v>
      </x:c>
      <x:c r="B138" s="15" t="str">
        <x:v>QA-12</x:v>
      </x:c>
      <x:c r="C138" s="15" t="str">
        <x:v>RING-12</x:v>
      </x:c>
      <x:c r="D138" s="15" t="str">
        <x:v>Freshwater acquisition</x:v>
      </x:c>
      <x:c r="E138" s="15" t="n">
        <x:v>144</x:v>
      </x:c>
      <x:c r="F138" s="15" t="str">
        <x:v>OPEN</x:v>
      </x:c>
      <x:c r="G138" s="15" t="str">
        <x:v>OPEN</x:v>
      </x:c>
    </x:row>
    <x:row r="139">
      <x:c r="A139" s="14" t="str">
        <x:v>QT-135</x:v>
      </x:c>
      <x:c r="B139" s="14" t="str">
        <x:v>QA-12</x:v>
      </x:c>
      <x:c r="C139" s="14" t="str">
        <x:v>RING-12</x:v>
      </x:c>
      <x:c r="D139" s="14" t="str">
        <x:v>Saline-water mode</x:v>
      </x:c>
      <x:c r="E139" s="14" t="n">
        <x:v>144</x:v>
      </x:c>
      <x:c r="F139" s="14" t="str">
        <x:v>OPEN</x:v>
      </x:c>
      <x:c r="G139" s="14" t="str">
        <x:v>OPEN</x:v>
      </x:c>
    </x:row>
    <x:row r="140">
      <x:c r="A140" s="15" t="str">
        <x:v>QT-136</x:v>
      </x:c>
      <x:c r="B140" s="15" t="str">
        <x:v>QA-12</x:v>
      </x:c>
      <x:c r="C140" s="15" t="str">
        <x:v>RING-12</x:v>
      </x:c>
      <x:c r="D140" s="15" t="str">
        <x:v>Sediment-laden mode</x:v>
      </x:c>
      <x:c r="E140" s="15" t="n">
        <x:v>144</x:v>
      </x:c>
      <x:c r="F140" s="15" t="str">
        <x:v>OPEN</x:v>
      </x:c>
      <x:c r="G140" s="15" t="str">
        <x:v>OPEN</x:v>
      </x:c>
    </x:row>
    <x:row r="141">
      <x:c r="A141" s="14" t="str">
        <x:v>QT-137</x:v>
      </x:c>
      <x:c r="B141" s="14" t="str">
        <x:v>QA-12</x:v>
      </x:c>
      <x:c r="C141" s="14" t="str">
        <x:v>RING-12</x:v>
      </x:c>
      <x:c r="D141" s="14" t="str">
        <x:v>Three-cell salvo</x:v>
      </x:c>
      <x:c r="E141" s="14" t="n">
        <x:v>144</x:v>
      </x:c>
      <x:c r="F141" s="14" t="str">
        <x:v>OPEN</x:v>
      </x:c>
      <x:c r="G141" s="14" t="str">
        <x:v>OPEN</x:v>
      </x:c>
    </x:row>
    <x:row r="142">
      <x:c r="A142" s="15" t="str">
        <x:v>QT-138</x:v>
      </x:c>
      <x:c r="B142" s="15" t="str">
        <x:v>QA-12</x:v>
      </x:c>
      <x:c r="C142" s="15" t="str">
        <x:v>RING-12</x:v>
      </x:c>
      <x:c r="D142" s="15" t="str">
        <x:v>One trunk lost</x:v>
      </x:c>
      <x:c r="E142" s="15" t="n">
        <x:v>144</x:v>
      </x:c>
      <x:c r="F142" s="15" t="str">
        <x:v>OPEN</x:v>
      </x:c>
      <x:c r="G142" s="15" t="str">
        <x:v>OPEN</x:v>
      </x:c>
    </x:row>
    <x:row r="143">
      <x:c r="A143" s="14" t="str">
        <x:v>QT-139</x:v>
      </x:c>
      <x:c r="B143" s="14" t="str">
        <x:v>QA-12</x:v>
      </x:c>
      <x:c r="C143" s="14" t="str">
        <x:v>RING-12</x:v>
      </x:c>
      <x:c r="D143" s="14" t="str">
        <x:v>Grid, network and time denied</x:v>
      </x:c>
      <x:c r="E143" s="14" t="n">
        <x:v>144</x:v>
      </x:c>
      <x:c r="F143" s="14" t="str">
        <x:v>OPEN</x:v>
      </x:c>
      <x:c r="G143" s="14" t="str">
        <x:v>OPEN</x:v>
      </x:c>
    </x:row>
    <x:row r="144">
      <x:c r="A144" s="15" t="str">
        <x:v>QT-140</x:v>
      </x:c>
      <x:c r="B144" s="15" t="str">
        <x:v>QA-12</x:v>
      </x:c>
      <x:c r="C144" s="15" t="str">
        <x:v>RING-12</x:v>
      </x:c>
      <x:c r="D144" s="15" t="str">
        <x:v>Recovery restricted</x:v>
      </x:c>
      <x:c r="E144" s="15" t="n">
        <x:v>144</x:v>
      </x:c>
      <x:c r="F144" s="15" t="str">
        <x:v>OPEN</x:v>
      </x:c>
      <x:c r="G144" s="15" t="str">
        <x:v>OPEN</x:v>
      </x:c>
    </x:row>
    <x:row r="145">
      <x:c r="A145" s="14" t="str">
        <x:v>QT-141</x:v>
      </x:c>
      <x:c r="B145" s="14" t="str">
        <x:v>QA-12</x:v>
      </x:c>
      <x:c r="C145" s="14" t="str">
        <x:v>RING-12</x:v>
      </x:c>
      <x:c r="D145" s="14" t="str">
        <x:v>Public intervention</x:v>
      </x:c>
      <x:c r="E145" s="14" t="n">
        <x:v>144</x:v>
      </x:c>
      <x:c r="F145" s="14" t="str">
        <x:v>OPEN</x:v>
      </x:c>
      <x:c r="G145" s="14" t="str">
        <x:v>OPEN</x:v>
      </x:c>
    </x:row>
    <x:row r="146">
      <x:c r="A146" s="15" t="str">
        <x:v>QT-142</x:v>
      </x:c>
      <x:c r="B146" s="15" t="str">
        <x:v>QA-12</x:v>
      </x:c>
      <x:c r="C146" s="15" t="str">
        <x:v>RING-12</x:v>
      </x:c>
      <x:c r="D146" s="15" t="str">
        <x:v>Cell reposition and gap</x:v>
      </x:c>
      <x:c r="E146" s="15" t="n">
        <x:v>144</x:v>
      </x:c>
      <x:c r="F146" s="15" t="str">
        <x:v>OPEN</x:v>
      </x:c>
      <x:c r="G146" s="15" t="str">
        <x:v>OPEN</x:v>
      </x:c>
    </x:row>
    <x:row r="147">
      <x:c r="A147" s="14" t="str">
        <x:v>QT-143</x:v>
      </x:c>
      <x:c r="B147" s="14" t="str">
        <x:v>QA-12</x:v>
      </x:c>
      <x:c r="C147" s="14" t="str">
        <x:v>RING-12</x:v>
      </x:c>
      <x:c r="D147" s="14" t="str">
        <x:v>Interrupted safeing</x:v>
      </x:c>
      <x:c r="E147" s="14" t="n">
        <x:v>144</x:v>
      </x:c>
      <x:c r="F147" s="14" t="str">
        <x:v>OPEN</x:v>
      </x:c>
      <x:c r="G147" s="14" t="str">
        <x:v>OPEN</x:v>
      </x:c>
    </x:row>
    <x:row r="148">
      <x:c r="A148" s="15" t="str">
        <x:v>QT-144</x:v>
      </x:c>
      <x:c r="B148" s="15" t="str">
        <x:v>QA-12</x:v>
      </x:c>
      <x:c r="C148" s="15" t="str">
        <x:v>RING-12</x:v>
      </x:c>
      <x:c r="D148" s="15" t="str">
        <x:v>Contaminated return</x:v>
      </x:c>
      <x:c r="E148" s="15" t="n">
        <x:v>144</x:v>
      </x:c>
      <x:c r="F148" s="15" t="str">
        <x:v>OPEN</x:v>
      </x:c>
      <x:c r="G148" s="15" t="str">
        <x:v>OPEN</x:v>
      </x:c>
    </x:row>
    <x:row r="149">
      <x:c r="A149" s="14" t="str">
        <x:v>QT-145</x:v>
      </x:c>
      <x:c r="B149" s="14" t="str">
        <x:v>QA-13</x:v>
      </x:c>
      <x:c r="C149" s="14" t="str">
        <x:v>SPAN-12</x:v>
      </x:c>
      <x:c r="D149" s="14" t="str">
        <x:v>Dry deployment</x:v>
      </x:c>
      <x:c r="E149" s="14" t="n">
        <x:v>144</x:v>
      </x:c>
      <x:c r="F149" s="14" t="str">
        <x:v>OPEN</x:v>
      </x:c>
      <x:c r="G149" s="14" t="str">
        <x:v>OPEN</x:v>
      </x:c>
    </x:row>
    <x:row r="150">
      <x:c r="A150" s="15" t="str">
        <x:v>QT-146</x:v>
      </x:c>
      <x:c r="B150" s="15" t="str">
        <x:v>QA-13</x:v>
      </x:c>
      <x:c r="C150" s="15" t="str">
        <x:v>SPAN-12</x:v>
      </x:c>
      <x:c r="D150" s="15" t="str">
        <x:v>Freshwater acquisition</x:v>
      </x:c>
      <x:c r="E150" s="15" t="n">
        <x:v>144</x:v>
      </x:c>
      <x:c r="F150" s="15" t="str">
        <x:v>OPEN</x:v>
      </x:c>
      <x:c r="G150" s="15" t="str">
        <x:v>OPEN</x:v>
      </x:c>
    </x:row>
    <x:row r="151">
      <x:c r="A151" s="14" t="str">
        <x:v>QT-147</x:v>
      </x:c>
      <x:c r="B151" s="14" t="str">
        <x:v>QA-13</x:v>
      </x:c>
      <x:c r="C151" s="14" t="str">
        <x:v>SPAN-12</x:v>
      </x:c>
      <x:c r="D151" s="14" t="str">
        <x:v>Saline-water mode</x:v>
      </x:c>
      <x:c r="E151" s="14" t="n">
        <x:v>144</x:v>
      </x:c>
      <x:c r="F151" s="14" t="str">
        <x:v>OPEN</x:v>
      </x:c>
      <x:c r="G151" s="14" t="str">
        <x:v>OPEN</x:v>
      </x:c>
    </x:row>
    <x:row r="152">
      <x:c r="A152" s="15" t="str">
        <x:v>QT-148</x:v>
      </x:c>
      <x:c r="B152" s="15" t="str">
        <x:v>QA-13</x:v>
      </x:c>
      <x:c r="C152" s="15" t="str">
        <x:v>SPAN-12</x:v>
      </x:c>
      <x:c r="D152" s="15" t="str">
        <x:v>Sediment-laden mode</x:v>
      </x:c>
      <x:c r="E152" s="15" t="n">
        <x:v>144</x:v>
      </x:c>
      <x:c r="F152" s="15" t="str">
        <x:v>OPEN</x:v>
      </x:c>
      <x:c r="G152" s="15" t="str">
        <x:v>OPEN</x:v>
      </x:c>
    </x:row>
    <x:row r="153">
      <x:c r="A153" s="14" t="str">
        <x:v>QT-149</x:v>
      </x:c>
      <x:c r="B153" s="14" t="str">
        <x:v>QA-13</x:v>
      </x:c>
      <x:c r="C153" s="14" t="str">
        <x:v>SPAN-12</x:v>
      </x:c>
      <x:c r="D153" s="14" t="str">
        <x:v>Three-cell salvo</x:v>
      </x:c>
      <x:c r="E153" s="14" t="n">
        <x:v>144</x:v>
      </x:c>
      <x:c r="F153" s="14" t="str">
        <x:v>OPEN</x:v>
      </x:c>
      <x:c r="G153" s="14" t="str">
        <x:v>OPEN</x:v>
      </x:c>
    </x:row>
    <x:row r="154">
      <x:c r="A154" s="15" t="str">
        <x:v>QT-150</x:v>
      </x:c>
      <x:c r="B154" s="15" t="str">
        <x:v>QA-13</x:v>
      </x:c>
      <x:c r="C154" s="15" t="str">
        <x:v>SPAN-12</x:v>
      </x:c>
      <x:c r="D154" s="15" t="str">
        <x:v>One trunk lost</x:v>
      </x:c>
      <x:c r="E154" s="15" t="n">
        <x:v>144</x:v>
      </x:c>
      <x:c r="F154" s="15" t="str">
        <x:v>OPEN</x:v>
      </x:c>
      <x:c r="G154" s="15" t="str">
        <x:v>OPEN</x:v>
      </x:c>
    </x:row>
    <x:row r="155">
      <x:c r="A155" s="14" t="str">
        <x:v>QT-151</x:v>
      </x:c>
      <x:c r="B155" s="14" t="str">
        <x:v>QA-13</x:v>
      </x:c>
      <x:c r="C155" s="14" t="str">
        <x:v>SPAN-12</x:v>
      </x:c>
      <x:c r="D155" s="14" t="str">
        <x:v>Grid, network and time denied</x:v>
      </x:c>
      <x:c r="E155" s="14" t="n">
        <x:v>144</x:v>
      </x:c>
      <x:c r="F155" s="14" t="str">
        <x:v>OPEN</x:v>
      </x:c>
      <x:c r="G155" s="14" t="str">
        <x:v>OPEN</x:v>
      </x:c>
    </x:row>
    <x:row r="156">
      <x:c r="A156" s="15" t="str">
        <x:v>QT-152</x:v>
      </x:c>
      <x:c r="B156" s="15" t="str">
        <x:v>QA-13</x:v>
      </x:c>
      <x:c r="C156" s="15" t="str">
        <x:v>SPAN-12</x:v>
      </x:c>
      <x:c r="D156" s="15" t="str">
        <x:v>Recovery restricted</x:v>
      </x:c>
      <x:c r="E156" s="15" t="n">
        <x:v>144</x:v>
      </x:c>
      <x:c r="F156" s="15" t="str">
        <x:v>OPEN</x:v>
      </x:c>
      <x:c r="G156" s="15" t="str">
        <x:v>OPEN</x:v>
      </x:c>
    </x:row>
    <x:row r="157">
      <x:c r="A157" s="14" t="str">
        <x:v>QT-153</x:v>
      </x:c>
      <x:c r="B157" s="14" t="str">
        <x:v>QA-13</x:v>
      </x:c>
      <x:c r="C157" s="14" t="str">
        <x:v>SPAN-12</x:v>
      </x:c>
      <x:c r="D157" s="14" t="str">
        <x:v>Public intervention</x:v>
      </x:c>
      <x:c r="E157" s="14" t="n">
        <x:v>144</x:v>
      </x:c>
      <x:c r="F157" s="14" t="str">
        <x:v>OPEN</x:v>
      </x:c>
      <x:c r="G157" s="14" t="str">
        <x:v>OPEN</x:v>
      </x:c>
    </x:row>
    <x:row r="158">
      <x:c r="A158" s="15" t="str">
        <x:v>QT-154</x:v>
      </x:c>
      <x:c r="B158" s="15" t="str">
        <x:v>QA-13</x:v>
      </x:c>
      <x:c r="C158" s="15" t="str">
        <x:v>SPAN-12</x:v>
      </x:c>
      <x:c r="D158" s="15" t="str">
        <x:v>Cell reposition and gap</x:v>
      </x:c>
      <x:c r="E158" s="15" t="n">
        <x:v>144</x:v>
      </x:c>
      <x:c r="F158" s="15" t="str">
        <x:v>OPEN</x:v>
      </x:c>
      <x:c r="G158" s="15" t="str">
        <x:v>OPEN</x:v>
      </x:c>
    </x:row>
    <x:row r="159">
      <x:c r="A159" s="14" t="str">
        <x:v>QT-155</x:v>
      </x:c>
      <x:c r="B159" s="14" t="str">
        <x:v>QA-13</x:v>
      </x:c>
      <x:c r="C159" s="14" t="str">
        <x:v>SPAN-12</x:v>
      </x:c>
      <x:c r="D159" s="14" t="str">
        <x:v>Interrupted safeing</x:v>
      </x:c>
      <x:c r="E159" s="14" t="n">
        <x:v>144</x:v>
      </x:c>
      <x:c r="F159" s="14" t="str">
        <x:v>OPEN</x:v>
      </x:c>
      <x:c r="G159" s="14" t="str">
        <x:v>OPEN</x:v>
      </x:c>
    </x:row>
    <x:row r="160">
      <x:c r="A160" s="15" t="str">
        <x:v>QT-156</x:v>
      </x:c>
      <x:c r="B160" s="15" t="str">
        <x:v>QA-13</x:v>
      </x:c>
      <x:c r="C160" s="15" t="str">
        <x:v>SPAN-12</x:v>
      </x:c>
      <x:c r="D160" s="15" t="str">
        <x:v>Contaminated return</x:v>
      </x:c>
      <x:c r="E160" s="15" t="n">
        <x:v>144</x:v>
      </x:c>
      <x:c r="F160" s="15" t="str">
        <x:v>OPEN</x:v>
      </x:c>
      <x:c r="G160" s="15" t="str">
        <x:v>OPEN</x:v>
      </x:c>
    </x:row>
    <x:row r="161">
      <x:c r="A161" s="14" t="str">
        <x:v>QT-157</x:v>
      </x:c>
      <x:c r="B161" s="14" t="str">
        <x:v>QA-14</x:v>
      </x:c>
      <x:c r="C161" s="14" t="str">
        <x:v>SPAN-12</x:v>
      </x:c>
      <x:c r="D161" s="14" t="str">
        <x:v>Dry deployment</x:v>
      </x:c>
      <x:c r="E161" s="14" t="n">
        <x:v>144</x:v>
      </x:c>
      <x:c r="F161" s="14" t="str">
        <x:v>OPEN</x:v>
      </x:c>
      <x:c r="G161" s="14" t="str">
        <x:v>OPEN</x:v>
      </x:c>
    </x:row>
    <x:row r="162">
      <x:c r="A162" s="15" t="str">
        <x:v>QT-158</x:v>
      </x:c>
      <x:c r="B162" s="15" t="str">
        <x:v>QA-14</x:v>
      </x:c>
      <x:c r="C162" s="15" t="str">
        <x:v>SPAN-12</x:v>
      </x:c>
      <x:c r="D162" s="15" t="str">
        <x:v>Freshwater acquisition</x:v>
      </x:c>
      <x:c r="E162" s="15" t="n">
        <x:v>144</x:v>
      </x:c>
      <x:c r="F162" s="15" t="str">
        <x:v>OPEN</x:v>
      </x:c>
      <x:c r="G162" s="15" t="str">
        <x:v>OPEN</x:v>
      </x:c>
    </x:row>
    <x:row r="163">
      <x:c r="A163" s="14" t="str">
        <x:v>QT-159</x:v>
      </x:c>
      <x:c r="B163" s="14" t="str">
        <x:v>QA-14</x:v>
      </x:c>
      <x:c r="C163" s="14" t="str">
        <x:v>SPAN-12</x:v>
      </x:c>
      <x:c r="D163" s="14" t="str">
        <x:v>Saline-water mode</x:v>
      </x:c>
      <x:c r="E163" s="14" t="n">
        <x:v>144</x:v>
      </x:c>
      <x:c r="F163" s="14" t="str">
        <x:v>OPEN</x:v>
      </x:c>
      <x:c r="G163" s="14" t="str">
        <x:v>OPEN</x:v>
      </x:c>
    </x:row>
    <x:row r="164">
      <x:c r="A164" s="15" t="str">
        <x:v>QT-160</x:v>
      </x:c>
      <x:c r="B164" s="15" t="str">
        <x:v>QA-14</x:v>
      </x:c>
      <x:c r="C164" s="15" t="str">
        <x:v>SPAN-12</x:v>
      </x:c>
      <x:c r="D164" s="15" t="str">
        <x:v>Sediment-laden mode</x:v>
      </x:c>
      <x:c r="E164" s="15" t="n">
        <x:v>144</x:v>
      </x:c>
      <x:c r="F164" s="15" t="str">
        <x:v>OPEN</x:v>
      </x:c>
      <x:c r="G164" s="15" t="str">
        <x:v>OPEN</x:v>
      </x:c>
    </x:row>
    <x:row r="165">
      <x:c r="A165" s="14" t="str">
        <x:v>QT-161</x:v>
      </x:c>
      <x:c r="B165" s="14" t="str">
        <x:v>QA-14</x:v>
      </x:c>
      <x:c r="C165" s="14" t="str">
        <x:v>SPAN-12</x:v>
      </x:c>
      <x:c r="D165" s="14" t="str">
        <x:v>Three-cell salvo</x:v>
      </x:c>
      <x:c r="E165" s="14" t="n">
        <x:v>144</x:v>
      </x:c>
      <x:c r="F165" s="14" t="str">
        <x:v>OPEN</x:v>
      </x:c>
      <x:c r="G165" s="14" t="str">
        <x:v>OPEN</x:v>
      </x:c>
    </x:row>
    <x:row r="166">
      <x:c r="A166" s="15" t="str">
        <x:v>QT-162</x:v>
      </x:c>
      <x:c r="B166" s="15" t="str">
        <x:v>QA-14</x:v>
      </x:c>
      <x:c r="C166" s="15" t="str">
        <x:v>SPAN-12</x:v>
      </x:c>
      <x:c r="D166" s="15" t="str">
        <x:v>One trunk lost</x:v>
      </x:c>
      <x:c r="E166" s="15" t="n">
        <x:v>144</x:v>
      </x:c>
      <x:c r="F166" s="15" t="str">
        <x:v>OPEN</x:v>
      </x:c>
      <x:c r="G166" s="15" t="str">
        <x:v>OPEN</x:v>
      </x:c>
    </x:row>
    <x:row r="167">
      <x:c r="A167" s="14" t="str">
        <x:v>QT-163</x:v>
      </x:c>
      <x:c r="B167" s="14" t="str">
        <x:v>QA-14</x:v>
      </x:c>
      <x:c r="C167" s="14" t="str">
        <x:v>SPAN-12</x:v>
      </x:c>
      <x:c r="D167" s="14" t="str">
        <x:v>Grid, network and time denied</x:v>
      </x:c>
      <x:c r="E167" s="14" t="n">
        <x:v>144</x:v>
      </x:c>
      <x:c r="F167" s="14" t="str">
        <x:v>OPEN</x:v>
      </x:c>
      <x:c r="G167" s="14" t="str">
        <x:v>OPEN</x:v>
      </x:c>
    </x:row>
    <x:row r="168">
      <x:c r="A168" s="15" t="str">
        <x:v>QT-164</x:v>
      </x:c>
      <x:c r="B168" s="15" t="str">
        <x:v>QA-14</x:v>
      </x:c>
      <x:c r="C168" s="15" t="str">
        <x:v>SPAN-12</x:v>
      </x:c>
      <x:c r="D168" s="15" t="str">
        <x:v>Recovery restricted</x:v>
      </x:c>
      <x:c r="E168" s="15" t="n">
        <x:v>144</x:v>
      </x:c>
      <x:c r="F168" s="15" t="str">
        <x:v>OPEN</x:v>
      </x:c>
      <x:c r="G168" s="15" t="str">
        <x:v>OPEN</x:v>
      </x:c>
    </x:row>
    <x:row r="169">
      <x:c r="A169" s="14" t="str">
        <x:v>QT-165</x:v>
      </x:c>
      <x:c r="B169" s="14" t="str">
        <x:v>QA-14</x:v>
      </x:c>
      <x:c r="C169" s="14" t="str">
        <x:v>SPAN-12</x:v>
      </x:c>
      <x:c r="D169" s="14" t="str">
        <x:v>Public intervention</x:v>
      </x:c>
      <x:c r="E169" s="14" t="n">
        <x:v>144</x:v>
      </x:c>
      <x:c r="F169" s="14" t="str">
        <x:v>OPEN</x:v>
      </x:c>
      <x:c r="G169" s="14" t="str">
        <x:v>OPEN</x:v>
      </x:c>
    </x:row>
    <x:row r="170">
      <x:c r="A170" s="15" t="str">
        <x:v>QT-166</x:v>
      </x:c>
      <x:c r="B170" s="15" t="str">
        <x:v>QA-14</x:v>
      </x:c>
      <x:c r="C170" s="15" t="str">
        <x:v>SPAN-12</x:v>
      </x:c>
      <x:c r="D170" s="15" t="str">
        <x:v>Cell reposition and gap</x:v>
      </x:c>
      <x:c r="E170" s="15" t="n">
        <x:v>144</x:v>
      </x:c>
      <x:c r="F170" s="15" t="str">
        <x:v>OPEN</x:v>
      </x:c>
      <x:c r="G170" s="15" t="str">
        <x:v>OPEN</x:v>
      </x:c>
    </x:row>
    <x:row r="171">
      <x:c r="A171" s="14" t="str">
        <x:v>QT-167</x:v>
      </x:c>
      <x:c r="B171" s="14" t="str">
        <x:v>QA-14</x:v>
      </x:c>
      <x:c r="C171" s="14" t="str">
        <x:v>SPAN-12</x:v>
      </x:c>
      <x:c r="D171" s="14" t="str">
        <x:v>Interrupted safeing</x:v>
      </x:c>
      <x:c r="E171" s="14" t="n">
        <x:v>144</x:v>
      </x:c>
      <x:c r="F171" s="14" t="str">
        <x:v>OPEN</x:v>
      </x:c>
      <x:c r="G171" s="14" t="str">
        <x:v>OPEN</x:v>
      </x:c>
    </x:row>
    <x:row r="172">
      <x:c r="A172" s="15" t="str">
        <x:v>QT-168</x:v>
      </x:c>
      <x:c r="B172" s="15" t="str">
        <x:v>QA-14</x:v>
      </x:c>
      <x:c r="C172" s="15" t="str">
        <x:v>SPAN-12</x:v>
      </x:c>
      <x:c r="D172" s="15" t="str">
        <x:v>Contaminated return</x:v>
      </x:c>
      <x:c r="E172" s="15" t="n">
        <x:v>144</x:v>
      </x:c>
      <x:c r="F172" s="15" t="str">
        <x:v>OPEN</x:v>
      </x:c>
      <x:c r="G172" s="15" t="str">
        <x:v>OPEN</x:v>
      </x:c>
    </x:row>
    <x:row r="173">
      <x:c r="A173" s="14" t="str">
        <x:v>QT-169</x:v>
      </x:c>
      <x:c r="B173" s="14" t="str">
        <x:v>QA-15</x:v>
      </x:c>
      <x:c r="C173" s="14" t="str">
        <x:v>SPAN-12</x:v>
      </x:c>
      <x:c r="D173" s="14" t="str">
        <x:v>Dry deployment</x:v>
      </x:c>
      <x:c r="E173" s="14" t="n">
        <x:v>144</x:v>
      </x:c>
      <x:c r="F173" s="14" t="str">
        <x:v>OPEN</x:v>
      </x:c>
      <x:c r="G173" s="14" t="str">
        <x:v>OPEN</x:v>
      </x:c>
    </x:row>
    <x:row r="174">
      <x:c r="A174" s="15" t="str">
        <x:v>QT-170</x:v>
      </x:c>
      <x:c r="B174" s="15" t="str">
        <x:v>QA-15</x:v>
      </x:c>
      <x:c r="C174" s="15" t="str">
        <x:v>SPAN-12</x:v>
      </x:c>
      <x:c r="D174" s="15" t="str">
        <x:v>Freshwater acquisition</x:v>
      </x:c>
      <x:c r="E174" s="15" t="n">
        <x:v>144</x:v>
      </x:c>
      <x:c r="F174" s="15" t="str">
        <x:v>OPEN</x:v>
      </x:c>
      <x:c r="G174" s="15" t="str">
        <x:v>OPEN</x:v>
      </x:c>
    </x:row>
    <x:row r="175">
      <x:c r="A175" s="14" t="str">
        <x:v>QT-171</x:v>
      </x:c>
      <x:c r="B175" s="14" t="str">
        <x:v>QA-15</x:v>
      </x:c>
      <x:c r="C175" s="14" t="str">
        <x:v>SPAN-12</x:v>
      </x:c>
      <x:c r="D175" s="14" t="str">
        <x:v>Saline-water mode</x:v>
      </x:c>
      <x:c r="E175" s="14" t="n">
        <x:v>144</x:v>
      </x:c>
      <x:c r="F175" s="14" t="str">
        <x:v>OPEN</x:v>
      </x:c>
      <x:c r="G175" s="14" t="str">
        <x:v>OPEN</x:v>
      </x:c>
    </x:row>
    <x:row r="176">
      <x:c r="A176" s="15" t="str">
        <x:v>QT-172</x:v>
      </x:c>
      <x:c r="B176" s="15" t="str">
        <x:v>QA-15</x:v>
      </x:c>
      <x:c r="C176" s="15" t="str">
        <x:v>SPAN-12</x:v>
      </x:c>
      <x:c r="D176" s="15" t="str">
        <x:v>Sediment-laden mode</x:v>
      </x:c>
      <x:c r="E176" s="15" t="n">
        <x:v>144</x:v>
      </x:c>
      <x:c r="F176" s="15" t="str">
        <x:v>OPEN</x:v>
      </x:c>
      <x:c r="G176" s="15" t="str">
        <x:v>OPEN</x:v>
      </x:c>
    </x:row>
    <x:row r="177">
      <x:c r="A177" s="14" t="str">
        <x:v>QT-173</x:v>
      </x:c>
      <x:c r="B177" s="14" t="str">
        <x:v>QA-15</x:v>
      </x:c>
      <x:c r="C177" s="14" t="str">
        <x:v>SPAN-12</x:v>
      </x:c>
      <x:c r="D177" s="14" t="str">
        <x:v>Three-cell salvo</x:v>
      </x:c>
      <x:c r="E177" s="14" t="n">
        <x:v>144</x:v>
      </x:c>
      <x:c r="F177" s="14" t="str">
        <x:v>OPEN</x:v>
      </x:c>
      <x:c r="G177" s="14" t="str">
        <x:v>OPEN</x:v>
      </x:c>
    </x:row>
    <x:row r="178">
      <x:c r="A178" s="15" t="str">
        <x:v>QT-174</x:v>
      </x:c>
      <x:c r="B178" s="15" t="str">
        <x:v>QA-15</x:v>
      </x:c>
      <x:c r="C178" s="15" t="str">
        <x:v>SPAN-12</x:v>
      </x:c>
      <x:c r="D178" s="15" t="str">
        <x:v>One trunk lost</x:v>
      </x:c>
      <x:c r="E178" s="15" t="n">
        <x:v>144</x:v>
      </x:c>
      <x:c r="F178" s="15" t="str">
        <x:v>OPEN</x:v>
      </x:c>
      <x:c r="G178" s="15" t="str">
        <x:v>OPEN</x:v>
      </x:c>
    </x:row>
    <x:row r="179">
      <x:c r="A179" s="14" t="str">
        <x:v>QT-175</x:v>
      </x:c>
      <x:c r="B179" s="14" t="str">
        <x:v>QA-15</x:v>
      </x:c>
      <x:c r="C179" s="14" t="str">
        <x:v>SPAN-12</x:v>
      </x:c>
      <x:c r="D179" s="14" t="str">
        <x:v>Grid, network and time denied</x:v>
      </x:c>
      <x:c r="E179" s="14" t="n">
        <x:v>144</x:v>
      </x:c>
      <x:c r="F179" s="14" t="str">
        <x:v>OPEN</x:v>
      </x:c>
      <x:c r="G179" s="14" t="str">
        <x:v>OPEN</x:v>
      </x:c>
    </x:row>
    <x:row r="180">
      <x:c r="A180" s="15" t="str">
        <x:v>QT-176</x:v>
      </x:c>
      <x:c r="B180" s="15" t="str">
        <x:v>QA-15</x:v>
      </x:c>
      <x:c r="C180" s="15" t="str">
        <x:v>SPAN-12</x:v>
      </x:c>
      <x:c r="D180" s="15" t="str">
        <x:v>Recovery restricted</x:v>
      </x:c>
      <x:c r="E180" s="15" t="n">
        <x:v>144</x:v>
      </x:c>
      <x:c r="F180" s="15" t="str">
        <x:v>OPEN</x:v>
      </x:c>
      <x:c r="G180" s="15" t="str">
        <x:v>OPEN</x:v>
      </x:c>
    </x:row>
    <x:row r="181">
      <x:c r="A181" s="14" t="str">
        <x:v>QT-177</x:v>
      </x:c>
      <x:c r="B181" s="14" t="str">
        <x:v>QA-15</x:v>
      </x:c>
      <x:c r="C181" s="14" t="str">
        <x:v>SPAN-12</x:v>
      </x:c>
      <x:c r="D181" s="14" t="str">
        <x:v>Public intervention</x:v>
      </x:c>
      <x:c r="E181" s="14" t="n">
        <x:v>144</x:v>
      </x:c>
      <x:c r="F181" s="14" t="str">
        <x:v>OPEN</x:v>
      </x:c>
      <x:c r="G181" s="14" t="str">
        <x:v>OPEN</x:v>
      </x:c>
    </x:row>
    <x:row r="182">
      <x:c r="A182" s="15" t="str">
        <x:v>QT-178</x:v>
      </x:c>
      <x:c r="B182" s="15" t="str">
        <x:v>QA-15</x:v>
      </x:c>
      <x:c r="C182" s="15" t="str">
        <x:v>SPAN-12</x:v>
      </x:c>
      <x:c r="D182" s="15" t="str">
        <x:v>Cell reposition and gap</x:v>
      </x:c>
      <x:c r="E182" s="15" t="n">
        <x:v>144</x:v>
      </x:c>
      <x:c r="F182" s="15" t="str">
        <x:v>OPEN</x:v>
      </x:c>
      <x:c r="G182" s="15" t="str">
        <x:v>OPEN</x:v>
      </x:c>
    </x:row>
    <x:row r="183">
      <x:c r="A183" s="14" t="str">
        <x:v>QT-179</x:v>
      </x:c>
      <x:c r="B183" s="14" t="str">
        <x:v>QA-15</x:v>
      </x:c>
      <x:c r="C183" s="14" t="str">
        <x:v>SPAN-12</x:v>
      </x:c>
      <x:c r="D183" s="14" t="str">
        <x:v>Interrupted safeing</x:v>
      </x:c>
      <x:c r="E183" s="14" t="n">
        <x:v>144</x:v>
      </x:c>
      <x:c r="F183" s="14" t="str">
        <x:v>OPEN</x:v>
      </x:c>
      <x:c r="G183" s="14" t="str">
        <x:v>OPEN</x:v>
      </x:c>
    </x:row>
    <x:row r="184">
      <x:c r="A184" s="15" t="str">
        <x:v>QT-180</x:v>
      </x:c>
      <x:c r="B184" s="15" t="str">
        <x:v>QA-15</x:v>
      </x:c>
      <x:c r="C184" s="15" t="str">
        <x:v>SPAN-12</x:v>
      </x:c>
      <x:c r="D184" s="15" t="str">
        <x:v>Contaminated return</x:v>
      </x:c>
      <x:c r="E184" s="15" t="n">
        <x:v>144</x:v>
      </x:c>
      <x:c r="F184" s="15" t="str">
        <x:v>OPEN</x:v>
      </x:c>
      <x:c r="G184" s="15" t="str">
        <x:v>OPEN</x:v>
      </x:c>
    </x:row>
    <x:row r="185">
      <x:c r="A185" s="14" t="str">
        <x:v>QT-181</x:v>
      </x:c>
      <x:c r="B185" s="14" t="str">
        <x:v>QA-16</x:v>
      </x:c>
      <x:c r="C185" s="14" t="str">
        <x:v>SPAN-12</x:v>
      </x:c>
      <x:c r="D185" s="14" t="str">
        <x:v>Dry deployment</x:v>
      </x:c>
      <x:c r="E185" s="14" t="n">
        <x:v>144</x:v>
      </x:c>
      <x:c r="F185" s="14" t="str">
        <x:v>OPEN</x:v>
      </x:c>
      <x:c r="G185" s="14" t="str">
        <x:v>OPEN</x:v>
      </x:c>
    </x:row>
    <x:row r="186">
      <x:c r="A186" s="15" t="str">
        <x:v>QT-182</x:v>
      </x:c>
      <x:c r="B186" s="15" t="str">
        <x:v>QA-16</x:v>
      </x:c>
      <x:c r="C186" s="15" t="str">
        <x:v>SPAN-12</x:v>
      </x:c>
      <x:c r="D186" s="15" t="str">
        <x:v>Freshwater acquisition</x:v>
      </x:c>
      <x:c r="E186" s="15" t="n">
        <x:v>144</x:v>
      </x:c>
      <x:c r="F186" s="15" t="str">
        <x:v>OPEN</x:v>
      </x:c>
      <x:c r="G186" s="15" t="str">
        <x:v>OPEN</x:v>
      </x:c>
    </x:row>
    <x:row r="187">
      <x:c r="A187" s="14" t="str">
        <x:v>QT-183</x:v>
      </x:c>
      <x:c r="B187" s="14" t="str">
        <x:v>QA-16</x:v>
      </x:c>
      <x:c r="C187" s="14" t="str">
        <x:v>SPAN-12</x:v>
      </x:c>
      <x:c r="D187" s="14" t="str">
        <x:v>Saline-water mode</x:v>
      </x:c>
      <x:c r="E187" s="14" t="n">
        <x:v>144</x:v>
      </x:c>
      <x:c r="F187" s="14" t="str">
        <x:v>OPEN</x:v>
      </x:c>
      <x:c r="G187" s="14" t="str">
        <x:v>OPEN</x:v>
      </x:c>
    </x:row>
    <x:row r="188">
      <x:c r="A188" s="15" t="str">
        <x:v>QT-184</x:v>
      </x:c>
      <x:c r="B188" s="15" t="str">
        <x:v>QA-16</x:v>
      </x:c>
      <x:c r="C188" s="15" t="str">
        <x:v>SPAN-12</x:v>
      </x:c>
      <x:c r="D188" s="15" t="str">
        <x:v>Sediment-laden mode</x:v>
      </x:c>
      <x:c r="E188" s="15" t="n">
        <x:v>144</x:v>
      </x:c>
      <x:c r="F188" s="15" t="str">
        <x:v>OPEN</x:v>
      </x:c>
      <x:c r="G188" s="15" t="str">
        <x:v>OPEN</x:v>
      </x:c>
    </x:row>
    <x:row r="189">
      <x:c r="A189" s="14" t="str">
        <x:v>QT-185</x:v>
      </x:c>
      <x:c r="B189" s="14" t="str">
        <x:v>QA-16</x:v>
      </x:c>
      <x:c r="C189" s="14" t="str">
        <x:v>SPAN-12</x:v>
      </x:c>
      <x:c r="D189" s="14" t="str">
        <x:v>Three-cell salvo</x:v>
      </x:c>
      <x:c r="E189" s="14" t="n">
        <x:v>144</x:v>
      </x:c>
      <x:c r="F189" s="14" t="str">
        <x:v>OPEN</x:v>
      </x:c>
      <x:c r="G189" s="14" t="str">
        <x:v>OPEN</x:v>
      </x:c>
    </x:row>
    <x:row r="190">
      <x:c r="A190" s="15" t="str">
        <x:v>QT-186</x:v>
      </x:c>
      <x:c r="B190" s="15" t="str">
        <x:v>QA-16</x:v>
      </x:c>
      <x:c r="C190" s="15" t="str">
        <x:v>SPAN-12</x:v>
      </x:c>
      <x:c r="D190" s="15" t="str">
        <x:v>One trunk lost</x:v>
      </x:c>
      <x:c r="E190" s="15" t="n">
        <x:v>144</x:v>
      </x:c>
      <x:c r="F190" s="15" t="str">
        <x:v>OPEN</x:v>
      </x:c>
      <x:c r="G190" s="15" t="str">
        <x:v>OPEN</x:v>
      </x:c>
    </x:row>
    <x:row r="191">
      <x:c r="A191" s="14" t="str">
        <x:v>QT-187</x:v>
      </x:c>
      <x:c r="B191" s="14" t="str">
        <x:v>QA-16</x:v>
      </x:c>
      <x:c r="C191" s="14" t="str">
        <x:v>SPAN-12</x:v>
      </x:c>
      <x:c r="D191" s="14" t="str">
        <x:v>Grid, network and time denied</x:v>
      </x:c>
      <x:c r="E191" s="14" t="n">
        <x:v>144</x:v>
      </x:c>
      <x:c r="F191" s="14" t="str">
        <x:v>OPEN</x:v>
      </x:c>
      <x:c r="G191" s="14" t="str">
        <x:v>OPEN</x:v>
      </x:c>
    </x:row>
    <x:row r="192">
      <x:c r="A192" s="15" t="str">
        <x:v>QT-188</x:v>
      </x:c>
      <x:c r="B192" s="15" t="str">
        <x:v>QA-16</x:v>
      </x:c>
      <x:c r="C192" s="15" t="str">
        <x:v>SPAN-12</x:v>
      </x:c>
      <x:c r="D192" s="15" t="str">
        <x:v>Recovery restricted</x:v>
      </x:c>
      <x:c r="E192" s="15" t="n">
        <x:v>144</x:v>
      </x:c>
      <x:c r="F192" s="15" t="str">
        <x:v>OPEN</x:v>
      </x:c>
      <x:c r="G192" s="15" t="str">
        <x:v>OPEN</x:v>
      </x:c>
    </x:row>
    <x:row r="193">
      <x:c r="A193" s="14" t="str">
        <x:v>QT-189</x:v>
      </x:c>
      <x:c r="B193" s="14" t="str">
        <x:v>QA-16</x:v>
      </x:c>
      <x:c r="C193" s="14" t="str">
        <x:v>SPAN-12</x:v>
      </x:c>
      <x:c r="D193" s="14" t="str">
        <x:v>Public intervention</x:v>
      </x:c>
      <x:c r="E193" s="14" t="n">
        <x:v>144</x:v>
      </x:c>
      <x:c r="F193" s="14" t="str">
        <x:v>OPEN</x:v>
      </x:c>
      <x:c r="G193" s="14" t="str">
        <x:v>OPEN</x:v>
      </x:c>
    </x:row>
    <x:row r="194">
      <x:c r="A194" s="15" t="str">
        <x:v>QT-190</x:v>
      </x:c>
      <x:c r="B194" s="15" t="str">
        <x:v>QA-16</x:v>
      </x:c>
      <x:c r="C194" s="15" t="str">
        <x:v>SPAN-12</x:v>
      </x:c>
      <x:c r="D194" s="15" t="str">
        <x:v>Cell reposition and gap</x:v>
      </x:c>
      <x:c r="E194" s="15" t="n">
        <x:v>144</x:v>
      </x:c>
      <x:c r="F194" s="15" t="str">
        <x:v>OPEN</x:v>
      </x:c>
      <x:c r="G194" s="15" t="str">
        <x:v>OPEN</x:v>
      </x:c>
    </x:row>
    <x:row r="195">
      <x:c r="A195" s="14" t="str">
        <x:v>QT-191</x:v>
      </x:c>
      <x:c r="B195" s="14" t="str">
        <x:v>QA-16</x:v>
      </x:c>
      <x:c r="C195" s="14" t="str">
        <x:v>SPAN-12</x:v>
      </x:c>
      <x:c r="D195" s="14" t="str">
        <x:v>Interrupted safeing</x:v>
      </x:c>
      <x:c r="E195" s="14" t="n">
        <x:v>144</x:v>
      </x:c>
      <x:c r="F195" s="14" t="str">
        <x:v>OPEN</x:v>
      </x:c>
      <x:c r="G195" s="14" t="str">
        <x:v>OPEN</x:v>
      </x:c>
    </x:row>
    <x:row r="196">
      <x:c r="A196" s="15" t="str">
        <x:v>QT-192</x:v>
      </x:c>
      <x:c r="B196" s="15" t="str">
        <x:v>QA-16</x:v>
      </x:c>
      <x:c r="C196" s="15" t="str">
        <x:v>SPAN-12</x:v>
      </x:c>
      <x:c r="D196" s="15" t="str">
        <x:v>Contaminated return</x:v>
      </x:c>
      <x:c r="E196" s="15" t="n">
        <x:v>144</x:v>
      </x:c>
      <x:c r="F196" s="15" t="str">
        <x:v>OPEN</x:v>
      </x:c>
      <x:c r="G196" s="15" t="str">
        <x:v>OPEN</x:v>
      </x:c>
    </x:row>
    <x:row r="197">
      <x:c r="A197" s="14" t="str">
        <x:v>QT-193</x:v>
      </x:c>
      <x:c r="B197" s="14" t="str">
        <x:v>QA-17</x:v>
      </x:c>
      <x:c r="C197" s="14" t="str">
        <x:v>SPAN-12</x:v>
      </x:c>
      <x:c r="D197" s="14" t="str">
        <x:v>Dry deployment</x:v>
      </x:c>
      <x:c r="E197" s="14" t="n">
        <x:v>144</x:v>
      </x:c>
      <x:c r="F197" s="14" t="str">
        <x:v>OPEN</x:v>
      </x:c>
      <x:c r="G197" s="14" t="str">
        <x:v>OPEN</x:v>
      </x:c>
    </x:row>
    <x:row r="198">
      <x:c r="A198" s="15" t="str">
        <x:v>QT-194</x:v>
      </x:c>
      <x:c r="B198" s="15" t="str">
        <x:v>QA-17</x:v>
      </x:c>
      <x:c r="C198" s="15" t="str">
        <x:v>SPAN-12</x:v>
      </x:c>
      <x:c r="D198" s="15" t="str">
        <x:v>Freshwater acquisition</x:v>
      </x:c>
      <x:c r="E198" s="15" t="n">
        <x:v>144</x:v>
      </x:c>
      <x:c r="F198" s="15" t="str">
        <x:v>OPEN</x:v>
      </x:c>
      <x:c r="G198" s="15" t="str">
        <x:v>OPEN</x:v>
      </x:c>
    </x:row>
    <x:row r="199">
      <x:c r="A199" s="14" t="str">
        <x:v>QT-195</x:v>
      </x:c>
      <x:c r="B199" s="14" t="str">
        <x:v>QA-17</x:v>
      </x:c>
      <x:c r="C199" s="14" t="str">
        <x:v>SPAN-12</x:v>
      </x:c>
      <x:c r="D199" s="14" t="str">
        <x:v>Saline-water mode</x:v>
      </x:c>
      <x:c r="E199" s="14" t="n">
        <x:v>144</x:v>
      </x:c>
      <x:c r="F199" s="14" t="str">
        <x:v>OPEN</x:v>
      </x:c>
      <x:c r="G199" s="14" t="str">
        <x:v>OPEN</x:v>
      </x:c>
    </x:row>
    <x:row r="200">
      <x:c r="A200" s="15" t="str">
        <x:v>QT-196</x:v>
      </x:c>
      <x:c r="B200" s="15" t="str">
        <x:v>QA-17</x:v>
      </x:c>
      <x:c r="C200" s="15" t="str">
        <x:v>SPAN-12</x:v>
      </x:c>
      <x:c r="D200" s="15" t="str">
        <x:v>Sediment-laden mode</x:v>
      </x:c>
      <x:c r="E200" s="15" t="n">
        <x:v>144</x:v>
      </x:c>
      <x:c r="F200" s="15" t="str">
        <x:v>OPEN</x:v>
      </x:c>
      <x:c r="G200" s="15" t="str">
        <x:v>OPEN</x:v>
      </x:c>
    </x:row>
    <x:row r="201">
      <x:c r="A201" s="14" t="str">
        <x:v>QT-197</x:v>
      </x:c>
      <x:c r="B201" s="14" t="str">
        <x:v>QA-17</x:v>
      </x:c>
      <x:c r="C201" s="14" t="str">
        <x:v>SPAN-12</x:v>
      </x:c>
      <x:c r="D201" s="14" t="str">
        <x:v>Three-cell salvo</x:v>
      </x:c>
      <x:c r="E201" s="14" t="n">
        <x:v>144</x:v>
      </x:c>
      <x:c r="F201" s="14" t="str">
        <x:v>OPEN</x:v>
      </x:c>
      <x:c r="G201" s="14" t="str">
        <x:v>OPEN</x:v>
      </x:c>
    </x:row>
    <x:row r="202">
      <x:c r="A202" s="15" t="str">
        <x:v>QT-198</x:v>
      </x:c>
      <x:c r="B202" s="15" t="str">
        <x:v>QA-17</x:v>
      </x:c>
      <x:c r="C202" s="15" t="str">
        <x:v>SPAN-12</x:v>
      </x:c>
      <x:c r="D202" s="15" t="str">
        <x:v>One trunk lost</x:v>
      </x:c>
      <x:c r="E202" s="15" t="n">
        <x:v>144</x:v>
      </x:c>
      <x:c r="F202" s="15" t="str">
        <x:v>OPEN</x:v>
      </x:c>
      <x:c r="G202" s="15" t="str">
        <x:v>OPEN</x:v>
      </x:c>
    </x:row>
    <x:row r="203">
      <x:c r="A203" s="14" t="str">
        <x:v>QT-199</x:v>
      </x:c>
      <x:c r="B203" s="14" t="str">
        <x:v>QA-17</x:v>
      </x:c>
      <x:c r="C203" s="14" t="str">
        <x:v>SPAN-12</x:v>
      </x:c>
      <x:c r="D203" s="14" t="str">
        <x:v>Grid, network and time denied</x:v>
      </x:c>
      <x:c r="E203" s="14" t="n">
        <x:v>144</x:v>
      </x:c>
      <x:c r="F203" s="14" t="str">
        <x:v>OPEN</x:v>
      </x:c>
      <x:c r="G203" s="14" t="str">
        <x:v>OPEN</x:v>
      </x:c>
    </x:row>
    <x:row r="204">
      <x:c r="A204" s="15" t="str">
        <x:v>QT-200</x:v>
      </x:c>
      <x:c r="B204" s="15" t="str">
        <x:v>QA-17</x:v>
      </x:c>
      <x:c r="C204" s="15" t="str">
        <x:v>SPAN-12</x:v>
      </x:c>
      <x:c r="D204" s="15" t="str">
        <x:v>Recovery restricted</x:v>
      </x:c>
      <x:c r="E204" s="15" t="n">
        <x:v>144</x:v>
      </x:c>
      <x:c r="F204" s="15" t="str">
        <x:v>OPEN</x:v>
      </x:c>
      <x:c r="G204" s="15" t="str">
        <x:v>OPEN</x:v>
      </x:c>
    </x:row>
    <x:row r="205">
      <x:c r="A205" s="14" t="str">
        <x:v>QT-201</x:v>
      </x:c>
      <x:c r="B205" s="14" t="str">
        <x:v>QA-17</x:v>
      </x:c>
      <x:c r="C205" s="14" t="str">
        <x:v>SPAN-12</x:v>
      </x:c>
      <x:c r="D205" s="14" t="str">
        <x:v>Public intervention</x:v>
      </x:c>
      <x:c r="E205" s="14" t="n">
        <x:v>144</x:v>
      </x:c>
      <x:c r="F205" s="14" t="str">
        <x:v>OPEN</x:v>
      </x:c>
      <x:c r="G205" s="14" t="str">
        <x:v>OPEN</x:v>
      </x:c>
    </x:row>
    <x:row r="206">
      <x:c r="A206" s="15" t="str">
        <x:v>QT-202</x:v>
      </x:c>
      <x:c r="B206" s="15" t="str">
        <x:v>QA-17</x:v>
      </x:c>
      <x:c r="C206" s="15" t="str">
        <x:v>SPAN-12</x:v>
      </x:c>
      <x:c r="D206" s="15" t="str">
        <x:v>Cell reposition and gap</x:v>
      </x:c>
      <x:c r="E206" s="15" t="n">
        <x:v>144</x:v>
      </x:c>
      <x:c r="F206" s="15" t="str">
        <x:v>OPEN</x:v>
      </x:c>
      <x:c r="G206" s="15" t="str">
        <x:v>OPEN</x:v>
      </x:c>
    </x:row>
    <x:row r="207">
      <x:c r="A207" s="14" t="str">
        <x:v>QT-203</x:v>
      </x:c>
      <x:c r="B207" s="14" t="str">
        <x:v>QA-17</x:v>
      </x:c>
      <x:c r="C207" s="14" t="str">
        <x:v>SPAN-12</x:v>
      </x:c>
      <x:c r="D207" s="14" t="str">
        <x:v>Interrupted safeing</x:v>
      </x:c>
      <x:c r="E207" s="14" t="n">
        <x:v>144</x:v>
      </x:c>
      <x:c r="F207" s="14" t="str">
        <x:v>OPEN</x:v>
      </x:c>
      <x:c r="G207" s="14" t="str">
        <x:v>OPEN</x:v>
      </x:c>
    </x:row>
    <x:row r="208">
      <x:c r="A208" s="15" t="str">
        <x:v>QT-204</x:v>
      </x:c>
      <x:c r="B208" s="15" t="str">
        <x:v>QA-17</x:v>
      </x:c>
      <x:c r="C208" s="15" t="str">
        <x:v>SPAN-12</x:v>
      </x:c>
      <x:c r="D208" s="15" t="str">
        <x:v>Contaminated return</x:v>
      </x:c>
      <x:c r="E208" s="15" t="n">
        <x:v>144</x:v>
      </x:c>
      <x:c r="F208" s="15" t="str">
        <x:v>OPEN</x:v>
      </x:c>
      <x:c r="G208" s="15" t="str">
        <x:v>OPEN</x:v>
      </x:c>
    </x:row>
    <x:row r="209">
      <x:c r="A209" s="14" t="str">
        <x:v>QT-205</x:v>
      </x:c>
      <x:c r="B209" s="14" t="str">
        <x:v>QA-18</x:v>
      </x:c>
      <x:c r="C209" s="14" t="str">
        <x:v>SPAN-12</x:v>
      </x:c>
      <x:c r="D209" s="14" t="str">
        <x:v>Dry deployment</x:v>
      </x:c>
      <x:c r="E209" s="14" t="n">
        <x:v>144</x:v>
      </x:c>
      <x:c r="F209" s="14" t="str">
        <x:v>OPEN</x:v>
      </x:c>
      <x:c r="G209" s="14" t="str">
        <x:v>OPEN</x:v>
      </x:c>
    </x:row>
    <x:row r="210">
      <x:c r="A210" s="15" t="str">
        <x:v>QT-206</x:v>
      </x:c>
      <x:c r="B210" s="15" t="str">
        <x:v>QA-18</x:v>
      </x:c>
      <x:c r="C210" s="15" t="str">
        <x:v>SPAN-12</x:v>
      </x:c>
      <x:c r="D210" s="15" t="str">
        <x:v>Freshwater acquisition</x:v>
      </x:c>
      <x:c r="E210" s="15" t="n">
        <x:v>144</x:v>
      </x:c>
      <x:c r="F210" s="15" t="str">
        <x:v>OPEN</x:v>
      </x:c>
      <x:c r="G210" s="15" t="str">
        <x:v>OPEN</x:v>
      </x:c>
    </x:row>
    <x:row r="211">
      <x:c r="A211" s="14" t="str">
        <x:v>QT-207</x:v>
      </x:c>
      <x:c r="B211" s="14" t="str">
        <x:v>QA-18</x:v>
      </x:c>
      <x:c r="C211" s="14" t="str">
        <x:v>SPAN-12</x:v>
      </x:c>
      <x:c r="D211" s="14" t="str">
        <x:v>Saline-water mode</x:v>
      </x:c>
      <x:c r="E211" s="14" t="n">
        <x:v>144</x:v>
      </x:c>
      <x:c r="F211" s="14" t="str">
        <x:v>OPEN</x:v>
      </x:c>
      <x:c r="G211" s="14" t="str">
        <x:v>OPEN</x:v>
      </x:c>
    </x:row>
    <x:row r="212">
      <x:c r="A212" s="15" t="str">
        <x:v>QT-208</x:v>
      </x:c>
      <x:c r="B212" s="15" t="str">
        <x:v>QA-18</x:v>
      </x:c>
      <x:c r="C212" s="15" t="str">
        <x:v>SPAN-12</x:v>
      </x:c>
      <x:c r="D212" s="15" t="str">
        <x:v>Sediment-laden mode</x:v>
      </x:c>
      <x:c r="E212" s="15" t="n">
        <x:v>144</x:v>
      </x:c>
      <x:c r="F212" s="15" t="str">
        <x:v>OPEN</x:v>
      </x:c>
      <x:c r="G212" s="15" t="str">
        <x:v>OPEN</x:v>
      </x:c>
    </x:row>
    <x:row r="213">
      <x:c r="A213" s="14" t="str">
        <x:v>QT-209</x:v>
      </x:c>
      <x:c r="B213" s="14" t="str">
        <x:v>QA-18</x:v>
      </x:c>
      <x:c r="C213" s="14" t="str">
        <x:v>SPAN-12</x:v>
      </x:c>
      <x:c r="D213" s="14" t="str">
        <x:v>Three-cell salvo</x:v>
      </x:c>
      <x:c r="E213" s="14" t="n">
        <x:v>144</x:v>
      </x:c>
      <x:c r="F213" s="14" t="str">
        <x:v>OPEN</x:v>
      </x:c>
      <x:c r="G213" s="14" t="str">
        <x:v>OPEN</x:v>
      </x:c>
    </x:row>
    <x:row r="214">
      <x:c r="A214" s="15" t="str">
        <x:v>QT-210</x:v>
      </x:c>
      <x:c r="B214" s="15" t="str">
        <x:v>QA-18</x:v>
      </x:c>
      <x:c r="C214" s="15" t="str">
        <x:v>SPAN-12</x:v>
      </x:c>
      <x:c r="D214" s="15" t="str">
        <x:v>One trunk lost</x:v>
      </x:c>
      <x:c r="E214" s="15" t="n">
        <x:v>144</x:v>
      </x:c>
      <x:c r="F214" s="15" t="str">
        <x:v>OPEN</x:v>
      </x:c>
      <x:c r="G214" s="15" t="str">
        <x:v>OPEN</x:v>
      </x:c>
    </x:row>
    <x:row r="215">
      <x:c r="A215" s="14" t="str">
        <x:v>QT-211</x:v>
      </x:c>
      <x:c r="B215" s="14" t="str">
        <x:v>QA-18</x:v>
      </x:c>
      <x:c r="C215" s="14" t="str">
        <x:v>SPAN-12</x:v>
      </x:c>
      <x:c r="D215" s="14" t="str">
        <x:v>Grid, network and time denied</x:v>
      </x:c>
      <x:c r="E215" s="14" t="n">
        <x:v>144</x:v>
      </x:c>
      <x:c r="F215" s="14" t="str">
        <x:v>OPEN</x:v>
      </x:c>
      <x:c r="G215" s="14" t="str">
        <x:v>OPEN</x:v>
      </x:c>
    </x:row>
    <x:row r="216">
      <x:c r="A216" s="15" t="str">
        <x:v>QT-212</x:v>
      </x:c>
      <x:c r="B216" s="15" t="str">
        <x:v>QA-18</x:v>
      </x:c>
      <x:c r="C216" s="15" t="str">
        <x:v>SPAN-12</x:v>
      </x:c>
      <x:c r="D216" s="15" t="str">
        <x:v>Recovery restricted</x:v>
      </x:c>
      <x:c r="E216" s="15" t="n">
        <x:v>144</x:v>
      </x:c>
      <x:c r="F216" s="15" t="str">
        <x:v>OPEN</x:v>
      </x:c>
      <x:c r="G216" s="15" t="str">
        <x:v>OPEN</x:v>
      </x:c>
    </x:row>
    <x:row r="217">
      <x:c r="A217" s="14" t="str">
        <x:v>QT-213</x:v>
      </x:c>
      <x:c r="B217" s="14" t="str">
        <x:v>QA-18</x:v>
      </x:c>
      <x:c r="C217" s="14" t="str">
        <x:v>SPAN-12</x:v>
      </x:c>
      <x:c r="D217" s="14" t="str">
        <x:v>Public intervention</x:v>
      </x:c>
      <x:c r="E217" s="14" t="n">
        <x:v>144</x:v>
      </x:c>
      <x:c r="F217" s="14" t="str">
        <x:v>OPEN</x:v>
      </x:c>
      <x:c r="G217" s="14" t="str">
        <x:v>OPEN</x:v>
      </x:c>
    </x:row>
    <x:row r="218">
      <x:c r="A218" s="15" t="str">
        <x:v>QT-214</x:v>
      </x:c>
      <x:c r="B218" s="15" t="str">
        <x:v>QA-18</x:v>
      </x:c>
      <x:c r="C218" s="15" t="str">
        <x:v>SPAN-12</x:v>
      </x:c>
      <x:c r="D218" s="15" t="str">
        <x:v>Cell reposition and gap</x:v>
      </x:c>
      <x:c r="E218" s="15" t="n">
        <x:v>144</x:v>
      </x:c>
      <x:c r="F218" s="15" t="str">
        <x:v>OPEN</x:v>
      </x:c>
      <x:c r="G218" s="15" t="str">
        <x:v>OPEN</x:v>
      </x:c>
    </x:row>
    <x:row r="219">
      <x:c r="A219" s="14" t="str">
        <x:v>QT-215</x:v>
      </x:c>
      <x:c r="B219" s="14" t="str">
        <x:v>QA-18</x:v>
      </x:c>
      <x:c r="C219" s="14" t="str">
        <x:v>SPAN-12</x:v>
      </x:c>
      <x:c r="D219" s="14" t="str">
        <x:v>Interrupted safeing</x:v>
      </x:c>
      <x:c r="E219" s="14" t="n">
        <x:v>144</x:v>
      </x:c>
      <x:c r="F219" s="14" t="str">
        <x:v>OPEN</x:v>
      </x:c>
      <x:c r="G219" s="14" t="str">
        <x:v>OPEN</x:v>
      </x:c>
    </x:row>
    <x:row r="220">
      <x:c r="A220" s="15" t="str">
        <x:v>QT-216</x:v>
      </x:c>
      <x:c r="B220" s="15" t="str">
        <x:v>QA-18</x:v>
      </x:c>
      <x:c r="C220" s="15" t="str">
        <x:v>SPAN-12</x:v>
      </x:c>
      <x:c r="D220" s="15" t="str">
        <x:v>Contaminated return</x:v>
      </x:c>
      <x:c r="E220" s="15" t="n">
        <x:v>144</x:v>
      </x:c>
      <x:c r="F220" s="15" t="str">
        <x:v>OPEN</x:v>
      </x:c>
      <x:c r="G220" s="15" t="str">
        <x:v>OPEN</x:v>
      </x:c>
    </x:row>
    <x:row r="221">
      <x:c r="A221" s="14" t="str">
        <x:v>QT-217</x:v>
      </x:c>
      <x:c r="B221" s="14" t="str">
        <x:v>QA-19</x:v>
      </x:c>
      <x:c r="C221" s="14" t="str">
        <x:v>SWARM-12</x:v>
      </x:c>
      <x:c r="D221" s="14" t="str">
        <x:v>Dry deployment</x:v>
      </x:c>
      <x:c r="E221" s="14" t="n">
        <x:v>144</x:v>
      </x:c>
      <x:c r="F221" s="14" t="str">
        <x:v>OPEN</x:v>
      </x:c>
      <x:c r="G221" s="14" t="str">
        <x:v>OPEN</x:v>
      </x:c>
    </x:row>
    <x:row r="222">
      <x:c r="A222" s="15" t="str">
        <x:v>QT-218</x:v>
      </x:c>
      <x:c r="B222" s="15" t="str">
        <x:v>QA-19</x:v>
      </x:c>
      <x:c r="C222" s="15" t="str">
        <x:v>SWARM-12</x:v>
      </x:c>
      <x:c r="D222" s="15" t="str">
        <x:v>Freshwater acquisition</x:v>
      </x:c>
      <x:c r="E222" s="15" t="n">
        <x:v>144</x:v>
      </x:c>
      <x:c r="F222" s="15" t="str">
        <x:v>OPEN</x:v>
      </x:c>
      <x:c r="G222" s="15" t="str">
        <x:v>OPEN</x:v>
      </x:c>
    </x:row>
    <x:row r="223">
      <x:c r="A223" s="14" t="str">
        <x:v>QT-219</x:v>
      </x:c>
      <x:c r="B223" s="14" t="str">
        <x:v>QA-19</x:v>
      </x:c>
      <x:c r="C223" s="14" t="str">
        <x:v>SWARM-12</x:v>
      </x:c>
      <x:c r="D223" s="14" t="str">
        <x:v>Saline-water mode</x:v>
      </x:c>
      <x:c r="E223" s="14" t="n">
        <x:v>144</x:v>
      </x:c>
      <x:c r="F223" s="14" t="str">
        <x:v>OPEN</x:v>
      </x:c>
      <x:c r="G223" s="14" t="str">
        <x:v>OPEN</x:v>
      </x:c>
    </x:row>
    <x:row r="224">
      <x:c r="A224" s="15" t="str">
        <x:v>QT-220</x:v>
      </x:c>
      <x:c r="B224" s="15" t="str">
        <x:v>QA-19</x:v>
      </x:c>
      <x:c r="C224" s="15" t="str">
        <x:v>SWARM-12</x:v>
      </x:c>
      <x:c r="D224" s="15" t="str">
        <x:v>Sediment-laden mode</x:v>
      </x:c>
      <x:c r="E224" s="15" t="n">
        <x:v>144</x:v>
      </x:c>
      <x:c r="F224" s="15" t="str">
        <x:v>OPEN</x:v>
      </x:c>
      <x:c r="G224" s="15" t="str">
        <x:v>OPEN</x:v>
      </x:c>
    </x:row>
    <x:row r="225">
      <x:c r="A225" s="14" t="str">
        <x:v>QT-221</x:v>
      </x:c>
      <x:c r="B225" s="14" t="str">
        <x:v>QA-19</x:v>
      </x:c>
      <x:c r="C225" s="14" t="str">
        <x:v>SWARM-12</x:v>
      </x:c>
      <x:c r="D225" s="14" t="str">
        <x:v>Three-cell salvo</x:v>
      </x:c>
      <x:c r="E225" s="14" t="n">
        <x:v>144</x:v>
      </x:c>
      <x:c r="F225" s="14" t="str">
        <x:v>OPEN</x:v>
      </x:c>
      <x:c r="G225" s="14" t="str">
        <x:v>OPEN</x:v>
      </x:c>
    </x:row>
    <x:row r="226">
      <x:c r="A226" s="15" t="str">
        <x:v>QT-222</x:v>
      </x:c>
      <x:c r="B226" s="15" t="str">
        <x:v>QA-19</x:v>
      </x:c>
      <x:c r="C226" s="15" t="str">
        <x:v>SWARM-12</x:v>
      </x:c>
      <x:c r="D226" s="15" t="str">
        <x:v>One trunk lost</x:v>
      </x:c>
      <x:c r="E226" s="15" t="n">
        <x:v>144</x:v>
      </x:c>
      <x:c r="F226" s="15" t="str">
        <x:v>OPEN</x:v>
      </x:c>
      <x:c r="G226" s="15" t="str">
        <x:v>OPEN</x:v>
      </x:c>
    </x:row>
    <x:row r="227">
      <x:c r="A227" s="14" t="str">
        <x:v>QT-223</x:v>
      </x:c>
      <x:c r="B227" s="14" t="str">
        <x:v>QA-19</x:v>
      </x:c>
      <x:c r="C227" s="14" t="str">
        <x:v>SWARM-12</x:v>
      </x:c>
      <x:c r="D227" s="14" t="str">
        <x:v>Grid, network and time denied</x:v>
      </x:c>
      <x:c r="E227" s="14" t="n">
        <x:v>144</x:v>
      </x:c>
      <x:c r="F227" s="14" t="str">
        <x:v>OPEN</x:v>
      </x:c>
      <x:c r="G227" s="14" t="str">
        <x:v>OPEN</x:v>
      </x:c>
    </x:row>
    <x:row r="228">
      <x:c r="A228" s="15" t="str">
        <x:v>QT-224</x:v>
      </x:c>
      <x:c r="B228" s="15" t="str">
        <x:v>QA-19</x:v>
      </x:c>
      <x:c r="C228" s="15" t="str">
        <x:v>SWARM-12</x:v>
      </x:c>
      <x:c r="D228" s="15" t="str">
        <x:v>Recovery restricted</x:v>
      </x:c>
      <x:c r="E228" s="15" t="n">
        <x:v>144</x:v>
      </x:c>
      <x:c r="F228" s="15" t="str">
        <x:v>OPEN</x:v>
      </x:c>
      <x:c r="G228" s="15" t="str">
        <x:v>OPEN</x:v>
      </x:c>
    </x:row>
    <x:row r="229">
      <x:c r="A229" s="14" t="str">
        <x:v>QT-225</x:v>
      </x:c>
      <x:c r="B229" s="14" t="str">
        <x:v>QA-19</x:v>
      </x:c>
      <x:c r="C229" s="14" t="str">
        <x:v>SWARM-12</x:v>
      </x:c>
      <x:c r="D229" s="14" t="str">
        <x:v>Public intervention</x:v>
      </x:c>
      <x:c r="E229" s="14" t="n">
        <x:v>144</x:v>
      </x:c>
      <x:c r="F229" s="14" t="str">
        <x:v>OPEN</x:v>
      </x:c>
      <x:c r="G229" s="14" t="str">
        <x:v>OPEN</x:v>
      </x:c>
    </x:row>
    <x:row r="230">
      <x:c r="A230" s="15" t="str">
        <x:v>QT-226</x:v>
      </x:c>
      <x:c r="B230" s="15" t="str">
        <x:v>QA-19</x:v>
      </x:c>
      <x:c r="C230" s="15" t="str">
        <x:v>SWARM-12</x:v>
      </x:c>
      <x:c r="D230" s="15" t="str">
        <x:v>Cell reposition and gap</x:v>
      </x:c>
      <x:c r="E230" s="15" t="n">
        <x:v>144</x:v>
      </x:c>
      <x:c r="F230" s="15" t="str">
        <x:v>OPEN</x:v>
      </x:c>
      <x:c r="G230" s="15" t="str">
        <x:v>OPEN</x:v>
      </x:c>
    </x:row>
    <x:row r="231">
      <x:c r="A231" s="14" t="str">
        <x:v>QT-227</x:v>
      </x:c>
      <x:c r="B231" s="14" t="str">
        <x:v>QA-19</x:v>
      </x:c>
      <x:c r="C231" s="14" t="str">
        <x:v>SWARM-12</x:v>
      </x:c>
      <x:c r="D231" s="14" t="str">
        <x:v>Interrupted safeing</x:v>
      </x:c>
      <x:c r="E231" s="14" t="n">
        <x:v>144</x:v>
      </x:c>
      <x:c r="F231" s="14" t="str">
        <x:v>OPEN</x:v>
      </x:c>
      <x:c r="G231" s="14" t="str">
        <x:v>OPEN</x:v>
      </x:c>
    </x:row>
    <x:row r="232">
      <x:c r="A232" s="15" t="str">
        <x:v>QT-228</x:v>
      </x:c>
      <x:c r="B232" s="15" t="str">
        <x:v>QA-19</x:v>
      </x:c>
      <x:c r="C232" s="15" t="str">
        <x:v>SWARM-12</x:v>
      </x:c>
      <x:c r="D232" s="15" t="str">
        <x:v>Contaminated return</x:v>
      </x:c>
      <x:c r="E232" s="15" t="n">
        <x:v>144</x:v>
      </x:c>
      <x:c r="F232" s="15" t="str">
        <x:v>OPEN</x:v>
      </x:c>
      <x:c r="G232" s="15" t="str">
        <x:v>OPEN</x:v>
      </x:c>
    </x:row>
    <x:row r="233">
      <x:c r="A233" s="14" t="str">
        <x:v>QT-229</x:v>
      </x:c>
      <x:c r="B233" s="14" t="str">
        <x:v>QA-20</x:v>
      </x:c>
      <x:c r="C233" s="14" t="str">
        <x:v>SWARM-12</x:v>
      </x:c>
      <x:c r="D233" s="14" t="str">
        <x:v>Dry deployment</x:v>
      </x:c>
      <x:c r="E233" s="14" t="n">
        <x:v>144</x:v>
      </x:c>
      <x:c r="F233" s="14" t="str">
        <x:v>OPEN</x:v>
      </x:c>
      <x:c r="G233" s="14" t="str">
        <x:v>OPEN</x:v>
      </x:c>
    </x:row>
    <x:row r="234">
      <x:c r="A234" s="15" t="str">
        <x:v>QT-230</x:v>
      </x:c>
      <x:c r="B234" s="15" t="str">
        <x:v>QA-20</x:v>
      </x:c>
      <x:c r="C234" s="15" t="str">
        <x:v>SWARM-12</x:v>
      </x:c>
      <x:c r="D234" s="15" t="str">
        <x:v>Freshwater acquisition</x:v>
      </x:c>
      <x:c r="E234" s="15" t="n">
        <x:v>144</x:v>
      </x:c>
      <x:c r="F234" s="15" t="str">
        <x:v>OPEN</x:v>
      </x:c>
      <x:c r="G234" s="15" t="str">
        <x:v>OPEN</x:v>
      </x:c>
    </x:row>
    <x:row r="235">
      <x:c r="A235" s="14" t="str">
        <x:v>QT-231</x:v>
      </x:c>
      <x:c r="B235" s="14" t="str">
        <x:v>QA-20</x:v>
      </x:c>
      <x:c r="C235" s="14" t="str">
        <x:v>SWARM-12</x:v>
      </x:c>
      <x:c r="D235" s="14" t="str">
        <x:v>Saline-water mode</x:v>
      </x:c>
      <x:c r="E235" s="14" t="n">
        <x:v>144</x:v>
      </x:c>
      <x:c r="F235" s="14" t="str">
        <x:v>OPEN</x:v>
      </x:c>
      <x:c r="G235" s="14" t="str">
        <x:v>OPEN</x:v>
      </x:c>
    </x:row>
    <x:row r="236">
      <x:c r="A236" s="15" t="str">
        <x:v>QT-232</x:v>
      </x:c>
      <x:c r="B236" s="15" t="str">
        <x:v>QA-20</x:v>
      </x:c>
      <x:c r="C236" s="15" t="str">
        <x:v>SWARM-12</x:v>
      </x:c>
      <x:c r="D236" s="15" t="str">
        <x:v>Sediment-laden mode</x:v>
      </x:c>
      <x:c r="E236" s="15" t="n">
        <x:v>144</x:v>
      </x:c>
      <x:c r="F236" s="15" t="str">
        <x:v>OPEN</x:v>
      </x:c>
      <x:c r="G236" s="15" t="str">
        <x:v>OPEN</x:v>
      </x:c>
    </x:row>
    <x:row r="237">
      <x:c r="A237" s="14" t="str">
        <x:v>QT-233</x:v>
      </x:c>
      <x:c r="B237" s="14" t="str">
        <x:v>QA-20</x:v>
      </x:c>
      <x:c r="C237" s="14" t="str">
        <x:v>SWARM-12</x:v>
      </x:c>
      <x:c r="D237" s="14" t="str">
        <x:v>Three-cell salvo</x:v>
      </x:c>
      <x:c r="E237" s="14" t="n">
        <x:v>144</x:v>
      </x:c>
      <x:c r="F237" s="14" t="str">
        <x:v>OPEN</x:v>
      </x:c>
      <x:c r="G237" s="14" t="str">
        <x:v>OPEN</x:v>
      </x:c>
    </x:row>
    <x:row r="238">
      <x:c r="A238" s="15" t="str">
        <x:v>QT-234</x:v>
      </x:c>
      <x:c r="B238" s="15" t="str">
        <x:v>QA-20</x:v>
      </x:c>
      <x:c r="C238" s="15" t="str">
        <x:v>SWARM-12</x:v>
      </x:c>
      <x:c r="D238" s="15" t="str">
        <x:v>One trunk lost</x:v>
      </x:c>
      <x:c r="E238" s="15" t="n">
        <x:v>144</x:v>
      </x:c>
      <x:c r="F238" s="15" t="str">
        <x:v>OPEN</x:v>
      </x:c>
      <x:c r="G238" s="15" t="str">
        <x:v>OPEN</x:v>
      </x:c>
    </x:row>
    <x:row r="239">
      <x:c r="A239" s="14" t="str">
        <x:v>QT-235</x:v>
      </x:c>
      <x:c r="B239" s="14" t="str">
        <x:v>QA-20</x:v>
      </x:c>
      <x:c r="C239" s="14" t="str">
        <x:v>SWARM-12</x:v>
      </x:c>
      <x:c r="D239" s="14" t="str">
        <x:v>Grid, network and time denied</x:v>
      </x:c>
      <x:c r="E239" s="14" t="n">
        <x:v>144</x:v>
      </x:c>
      <x:c r="F239" s="14" t="str">
        <x:v>OPEN</x:v>
      </x:c>
      <x:c r="G239" s="14" t="str">
        <x:v>OPEN</x:v>
      </x:c>
    </x:row>
    <x:row r="240">
      <x:c r="A240" s="15" t="str">
        <x:v>QT-236</x:v>
      </x:c>
      <x:c r="B240" s="15" t="str">
        <x:v>QA-20</x:v>
      </x:c>
      <x:c r="C240" s="15" t="str">
        <x:v>SWARM-12</x:v>
      </x:c>
      <x:c r="D240" s="15" t="str">
        <x:v>Recovery restricted</x:v>
      </x:c>
      <x:c r="E240" s="15" t="n">
        <x:v>144</x:v>
      </x:c>
      <x:c r="F240" s="15" t="str">
        <x:v>OPEN</x:v>
      </x:c>
      <x:c r="G240" s="15" t="str">
        <x:v>OPEN</x:v>
      </x:c>
    </x:row>
    <x:row r="241">
      <x:c r="A241" s="14" t="str">
        <x:v>QT-237</x:v>
      </x:c>
      <x:c r="B241" s="14" t="str">
        <x:v>QA-20</x:v>
      </x:c>
      <x:c r="C241" s="14" t="str">
        <x:v>SWARM-12</x:v>
      </x:c>
      <x:c r="D241" s="14" t="str">
        <x:v>Public intervention</x:v>
      </x:c>
      <x:c r="E241" s="14" t="n">
        <x:v>144</x:v>
      </x:c>
      <x:c r="F241" s="14" t="str">
        <x:v>OPEN</x:v>
      </x:c>
      <x:c r="G241" s="14" t="str">
        <x:v>OPEN</x:v>
      </x:c>
    </x:row>
    <x:row r="242">
      <x:c r="A242" s="15" t="str">
        <x:v>QT-238</x:v>
      </x:c>
      <x:c r="B242" s="15" t="str">
        <x:v>QA-20</x:v>
      </x:c>
      <x:c r="C242" s="15" t="str">
        <x:v>SWARM-12</x:v>
      </x:c>
      <x:c r="D242" s="15" t="str">
        <x:v>Cell reposition and gap</x:v>
      </x:c>
      <x:c r="E242" s="15" t="n">
        <x:v>144</x:v>
      </x:c>
      <x:c r="F242" s="15" t="str">
        <x:v>OPEN</x:v>
      </x:c>
      <x:c r="G242" s="15" t="str">
        <x:v>OPEN</x:v>
      </x:c>
    </x:row>
    <x:row r="243">
      <x:c r="A243" s="14" t="str">
        <x:v>QT-239</x:v>
      </x:c>
      <x:c r="B243" s="14" t="str">
        <x:v>QA-20</x:v>
      </x:c>
      <x:c r="C243" s="14" t="str">
        <x:v>SWARM-12</x:v>
      </x:c>
      <x:c r="D243" s="14" t="str">
        <x:v>Interrupted safeing</x:v>
      </x:c>
      <x:c r="E243" s="14" t="n">
        <x:v>144</x:v>
      </x:c>
      <x:c r="F243" s="14" t="str">
        <x:v>OPEN</x:v>
      </x:c>
      <x:c r="G243" s="14" t="str">
        <x:v>OPEN</x:v>
      </x:c>
    </x:row>
    <x:row r="244">
      <x:c r="A244" s="15" t="str">
        <x:v>QT-240</x:v>
      </x:c>
      <x:c r="B244" s="15" t="str">
        <x:v>QA-20</x:v>
      </x:c>
      <x:c r="C244" s="15" t="str">
        <x:v>SWARM-12</x:v>
      </x:c>
      <x:c r="D244" s="15" t="str">
        <x:v>Contaminated return</x:v>
      </x:c>
      <x:c r="E244" s="15" t="n">
        <x:v>144</x:v>
      </x:c>
      <x:c r="F244" s="15" t="str">
        <x:v>OPEN</x:v>
      </x:c>
      <x:c r="G244" s="15" t="str">
        <x:v>OPEN</x:v>
      </x:c>
    </x:row>
    <x:row r="245">
      <x:c r="A245" s="14" t="str">
        <x:v>QT-241</x:v>
      </x:c>
      <x:c r="B245" s="14" t="str">
        <x:v>QA-21</x:v>
      </x:c>
      <x:c r="C245" s="14" t="str">
        <x:v>SWARM-12</x:v>
      </x:c>
      <x:c r="D245" s="14" t="str">
        <x:v>Dry deployment</x:v>
      </x:c>
      <x:c r="E245" s="14" t="n">
        <x:v>144</x:v>
      </x:c>
      <x:c r="F245" s="14" t="str">
        <x:v>OPEN</x:v>
      </x:c>
      <x:c r="G245" s="14" t="str">
        <x:v>OPEN</x:v>
      </x:c>
    </x:row>
    <x:row r="246">
      <x:c r="A246" s="15" t="str">
        <x:v>QT-242</x:v>
      </x:c>
      <x:c r="B246" s="15" t="str">
        <x:v>QA-21</x:v>
      </x:c>
      <x:c r="C246" s="15" t="str">
        <x:v>SWARM-12</x:v>
      </x:c>
      <x:c r="D246" s="15" t="str">
        <x:v>Freshwater acquisition</x:v>
      </x:c>
      <x:c r="E246" s="15" t="n">
        <x:v>144</x:v>
      </x:c>
      <x:c r="F246" s="15" t="str">
        <x:v>OPEN</x:v>
      </x:c>
      <x:c r="G246" s="15" t="str">
        <x:v>OPEN</x:v>
      </x:c>
    </x:row>
    <x:row r="247">
      <x:c r="A247" s="14" t="str">
        <x:v>QT-243</x:v>
      </x:c>
      <x:c r="B247" s="14" t="str">
        <x:v>QA-21</x:v>
      </x:c>
      <x:c r="C247" s="14" t="str">
        <x:v>SWARM-12</x:v>
      </x:c>
      <x:c r="D247" s="14" t="str">
        <x:v>Saline-water mode</x:v>
      </x:c>
      <x:c r="E247" s="14" t="n">
        <x:v>144</x:v>
      </x:c>
      <x:c r="F247" s="14" t="str">
        <x:v>OPEN</x:v>
      </x:c>
      <x:c r="G247" s="14" t="str">
        <x:v>OPEN</x:v>
      </x:c>
    </x:row>
    <x:row r="248">
      <x:c r="A248" s="15" t="str">
        <x:v>QT-244</x:v>
      </x:c>
      <x:c r="B248" s="15" t="str">
        <x:v>QA-21</x:v>
      </x:c>
      <x:c r="C248" s="15" t="str">
        <x:v>SWARM-12</x:v>
      </x:c>
      <x:c r="D248" s="15" t="str">
        <x:v>Sediment-laden mode</x:v>
      </x:c>
      <x:c r="E248" s="15" t="n">
        <x:v>144</x:v>
      </x:c>
      <x:c r="F248" s="15" t="str">
        <x:v>OPEN</x:v>
      </x:c>
      <x:c r="G248" s="15" t="str">
        <x:v>OPEN</x:v>
      </x:c>
    </x:row>
    <x:row r="249">
      <x:c r="A249" s="14" t="str">
        <x:v>QT-245</x:v>
      </x:c>
      <x:c r="B249" s="14" t="str">
        <x:v>QA-21</x:v>
      </x:c>
      <x:c r="C249" s="14" t="str">
        <x:v>SWARM-12</x:v>
      </x:c>
      <x:c r="D249" s="14" t="str">
        <x:v>Three-cell salvo</x:v>
      </x:c>
      <x:c r="E249" s="14" t="n">
        <x:v>144</x:v>
      </x:c>
      <x:c r="F249" s="14" t="str">
        <x:v>OPEN</x:v>
      </x:c>
      <x:c r="G249" s="14" t="str">
        <x:v>OPEN</x:v>
      </x:c>
    </x:row>
    <x:row r="250">
      <x:c r="A250" s="15" t="str">
        <x:v>QT-246</x:v>
      </x:c>
      <x:c r="B250" s="15" t="str">
        <x:v>QA-21</x:v>
      </x:c>
      <x:c r="C250" s="15" t="str">
        <x:v>SWARM-12</x:v>
      </x:c>
      <x:c r="D250" s="15" t="str">
        <x:v>One trunk lost</x:v>
      </x:c>
      <x:c r="E250" s="15" t="n">
        <x:v>144</x:v>
      </x:c>
      <x:c r="F250" s="15" t="str">
        <x:v>OPEN</x:v>
      </x:c>
      <x:c r="G250" s="15" t="str">
        <x:v>OPEN</x:v>
      </x:c>
    </x:row>
    <x:row r="251">
      <x:c r="A251" s="14" t="str">
        <x:v>QT-247</x:v>
      </x:c>
      <x:c r="B251" s="14" t="str">
        <x:v>QA-21</x:v>
      </x:c>
      <x:c r="C251" s="14" t="str">
        <x:v>SWARM-12</x:v>
      </x:c>
      <x:c r="D251" s="14" t="str">
        <x:v>Grid, network and time denied</x:v>
      </x:c>
      <x:c r="E251" s="14" t="n">
        <x:v>144</x:v>
      </x:c>
      <x:c r="F251" s="14" t="str">
        <x:v>OPEN</x:v>
      </x:c>
      <x:c r="G251" s="14" t="str">
        <x:v>OPEN</x:v>
      </x:c>
    </x:row>
    <x:row r="252">
      <x:c r="A252" s="15" t="str">
        <x:v>QT-248</x:v>
      </x:c>
      <x:c r="B252" s="15" t="str">
        <x:v>QA-21</x:v>
      </x:c>
      <x:c r="C252" s="15" t="str">
        <x:v>SWARM-12</x:v>
      </x:c>
      <x:c r="D252" s="15" t="str">
        <x:v>Recovery restricted</x:v>
      </x:c>
      <x:c r="E252" s="15" t="n">
        <x:v>144</x:v>
      </x:c>
      <x:c r="F252" s="15" t="str">
        <x:v>OPEN</x:v>
      </x:c>
      <x:c r="G252" s="15" t="str">
        <x:v>OPEN</x:v>
      </x:c>
    </x:row>
    <x:row r="253">
      <x:c r="A253" s="14" t="str">
        <x:v>QT-249</x:v>
      </x:c>
      <x:c r="B253" s="14" t="str">
        <x:v>QA-21</x:v>
      </x:c>
      <x:c r="C253" s="14" t="str">
        <x:v>SWARM-12</x:v>
      </x:c>
      <x:c r="D253" s="14" t="str">
        <x:v>Public intervention</x:v>
      </x:c>
      <x:c r="E253" s="14" t="n">
        <x:v>144</x:v>
      </x:c>
      <x:c r="F253" s="14" t="str">
        <x:v>OPEN</x:v>
      </x:c>
      <x:c r="G253" s="14" t="str">
        <x:v>OPEN</x:v>
      </x:c>
    </x:row>
    <x:row r="254">
      <x:c r="A254" s="15" t="str">
        <x:v>QT-250</x:v>
      </x:c>
      <x:c r="B254" s="15" t="str">
        <x:v>QA-21</x:v>
      </x:c>
      <x:c r="C254" s="15" t="str">
        <x:v>SWARM-12</x:v>
      </x:c>
      <x:c r="D254" s="15" t="str">
        <x:v>Cell reposition and gap</x:v>
      </x:c>
      <x:c r="E254" s="15" t="n">
        <x:v>144</x:v>
      </x:c>
      <x:c r="F254" s="15" t="str">
        <x:v>OPEN</x:v>
      </x:c>
      <x:c r="G254" s="15" t="str">
        <x:v>OPEN</x:v>
      </x:c>
    </x:row>
    <x:row r="255">
      <x:c r="A255" s="14" t="str">
        <x:v>QT-251</x:v>
      </x:c>
      <x:c r="B255" s="14" t="str">
        <x:v>QA-21</x:v>
      </x:c>
      <x:c r="C255" s="14" t="str">
        <x:v>SWARM-12</x:v>
      </x:c>
      <x:c r="D255" s="14" t="str">
        <x:v>Interrupted safeing</x:v>
      </x:c>
      <x:c r="E255" s="14" t="n">
        <x:v>144</x:v>
      </x:c>
      <x:c r="F255" s="14" t="str">
        <x:v>OPEN</x:v>
      </x:c>
      <x:c r="G255" s="14" t="str">
        <x:v>OPEN</x:v>
      </x:c>
    </x:row>
    <x:row r="256">
      <x:c r="A256" s="15" t="str">
        <x:v>QT-252</x:v>
      </x:c>
      <x:c r="B256" s="15" t="str">
        <x:v>QA-21</x:v>
      </x:c>
      <x:c r="C256" s="15" t="str">
        <x:v>SWARM-12</x:v>
      </x:c>
      <x:c r="D256" s="15" t="str">
        <x:v>Contaminated return</x:v>
      </x:c>
      <x:c r="E256" s="15" t="n">
        <x:v>144</x:v>
      </x:c>
      <x:c r="F256" s="15" t="str">
        <x:v>OPEN</x:v>
      </x:c>
      <x:c r="G256" s="15" t="str">
        <x:v>OPEN</x:v>
      </x:c>
    </x:row>
    <x:row r="257">
      <x:c r="A257" s="14" t="str">
        <x:v>QT-253</x:v>
      </x:c>
      <x:c r="B257" s="14" t="str">
        <x:v>QA-22</x:v>
      </x:c>
      <x:c r="C257" s="14" t="str">
        <x:v>SWARM-12</x:v>
      </x:c>
      <x:c r="D257" s="14" t="str">
        <x:v>Dry deployment</x:v>
      </x:c>
      <x:c r="E257" s="14" t="n">
        <x:v>144</x:v>
      </x:c>
      <x:c r="F257" s="14" t="str">
        <x:v>OPEN</x:v>
      </x:c>
      <x:c r="G257" s="14" t="str">
        <x:v>OPEN</x:v>
      </x:c>
    </x:row>
    <x:row r="258">
      <x:c r="A258" s="15" t="str">
        <x:v>QT-254</x:v>
      </x:c>
      <x:c r="B258" s="15" t="str">
        <x:v>QA-22</x:v>
      </x:c>
      <x:c r="C258" s="15" t="str">
        <x:v>SWARM-12</x:v>
      </x:c>
      <x:c r="D258" s="15" t="str">
        <x:v>Freshwater acquisition</x:v>
      </x:c>
      <x:c r="E258" s="15" t="n">
        <x:v>144</x:v>
      </x:c>
      <x:c r="F258" s="15" t="str">
        <x:v>OPEN</x:v>
      </x:c>
      <x:c r="G258" s="15" t="str">
        <x:v>OPEN</x:v>
      </x:c>
    </x:row>
    <x:row r="259">
      <x:c r="A259" s="14" t="str">
        <x:v>QT-255</x:v>
      </x:c>
      <x:c r="B259" s="14" t="str">
        <x:v>QA-22</x:v>
      </x:c>
      <x:c r="C259" s="14" t="str">
        <x:v>SWARM-12</x:v>
      </x:c>
      <x:c r="D259" s="14" t="str">
        <x:v>Saline-water mode</x:v>
      </x:c>
      <x:c r="E259" s="14" t="n">
        <x:v>144</x:v>
      </x:c>
      <x:c r="F259" s="14" t="str">
        <x:v>OPEN</x:v>
      </x:c>
      <x:c r="G259" s="14" t="str">
        <x:v>OPEN</x:v>
      </x:c>
    </x:row>
    <x:row r="260">
      <x:c r="A260" s="15" t="str">
        <x:v>QT-256</x:v>
      </x:c>
      <x:c r="B260" s="15" t="str">
        <x:v>QA-22</x:v>
      </x:c>
      <x:c r="C260" s="15" t="str">
        <x:v>SWARM-12</x:v>
      </x:c>
      <x:c r="D260" s="15" t="str">
        <x:v>Sediment-laden mode</x:v>
      </x:c>
      <x:c r="E260" s="15" t="n">
        <x:v>144</x:v>
      </x:c>
      <x:c r="F260" s="15" t="str">
        <x:v>OPEN</x:v>
      </x:c>
      <x:c r="G260" s="15" t="str">
        <x:v>OPEN</x:v>
      </x:c>
    </x:row>
    <x:row r="261">
      <x:c r="A261" s="14" t="str">
        <x:v>QT-257</x:v>
      </x:c>
      <x:c r="B261" s="14" t="str">
        <x:v>QA-22</x:v>
      </x:c>
      <x:c r="C261" s="14" t="str">
        <x:v>SWARM-12</x:v>
      </x:c>
      <x:c r="D261" s="14" t="str">
        <x:v>Three-cell salvo</x:v>
      </x:c>
      <x:c r="E261" s="14" t="n">
        <x:v>144</x:v>
      </x:c>
      <x:c r="F261" s="14" t="str">
        <x:v>OPEN</x:v>
      </x:c>
      <x:c r="G261" s="14" t="str">
        <x:v>OPEN</x:v>
      </x:c>
    </x:row>
    <x:row r="262">
      <x:c r="A262" s="15" t="str">
        <x:v>QT-258</x:v>
      </x:c>
      <x:c r="B262" s="15" t="str">
        <x:v>QA-22</x:v>
      </x:c>
      <x:c r="C262" s="15" t="str">
        <x:v>SWARM-12</x:v>
      </x:c>
      <x:c r="D262" s="15" t="str">
        <x:v>One trunk lost</x:v>
      </x:c>
      <x:c r="E262" s="15" t="n">
        <x:v>144</x:v>
      </x:c>
      <x:c r="F262" s="15" t="str">
        <x:v>OPEN</x:v>
      </x:c>
      <x:c r="G262" s="15" t="str">
        <x:v>OPEN</x:v>
      </x:c>
    </x:row>
    <x:row r="263">
      <x:c r="A263" s="14" t="str">
        <x:v>QT-259</x:v>
      </x:c>
      <x:c r="B263" s="14" t="str">
        <x:v>QA-22</x:v>
      </x:c>
      <x:c r="C263" s="14" t="str">
        <x:v>SWARM-12</x:v>
      </x:c>
      <x:c r="D263" s="14" t="str">
        <x:v>Grid, network and time denied</x:v>
      </x:c>
      <x:c r="E263" s="14" t="n">
        <x:v>144</x:v>
      </x:c>
      <x:c r="F263" s="14" t="str">
        <x:v>OPEN</x:v>
      </x:c>
      <x:c r="G263" s="14" t="str">
        <x:v>OPEN</x:v>
      </x:c>
    </x:row>
    <x:row r="264">
      <x:c r="A264" s="15" t="str">
        <x:v>QT-260</x:v>
      </x:c>
      <x:c r="B264" s="15" t="str">
        <x:v>QA-22</x:v>
      </x:c>
      <x:c r="C264" s="15" t="str">
        <x:v>SWARM-12</x:v>
      </x:c>
      <x:c r="D264" s="15" t="str">
        <x:v>Recovery restricted</x:v>
      </x:c>
      <x:c r="E264" s="15" t="n">
        <x:v>144</x:v>
      </x:c>
      <x:c r="F264" s="15" t="str">
        <x:v>OPEN</x:v>
      </x:c>
      <x:c r="G264" s="15" t="str">
        <x:v>OPEN</x:v>
      </x:c>
    </x:row>
    <x:row r="265">
      <x:c r="A265" s="14" t="str">
        <x:v>QT-261</x:v>
      </x:c>
      <x:c r="B265" s="14" t="str">
        <x:v>QA-22</x:v>
      </x:c>
      <x:c r="C265" s="14" t="str">
        <x:v>SWARM-12</x:v>
      </x:c>
      <x:c r="D265" s="14" t="str">
        <x:v>Public intervention</x:v>
      </x:c>
      <x:c r="E265" s="14" t="n">
        <x:v>144</x:v>
      </x:c>
      <x:c r="F265" s="14" t="str">
        <x:v>OPEN</x:v>
      </x:c>
      <x:c r="G265" s="14" t="str">
        <x:v>OPEN</x:v>
      </x:c>
    </x:row>
    <x:row r="266">
      <x:c r="A266" s="15" t="str">
        <x:v>QT-262</x:v>
      </x:c>
      <x:c r="B266" s="15" t="str">
        <x:v>QA-22</x:v>
      </x:c>
      <x:c r="C266" s="15" t="str">
        <x:v>SWARM-12</x:v>
      </x:c>
      <x:c r="D266" s="15" t="str">
        <x:v>Cell reposition and gap</x:v>
      </x:c>
      <x:c r="E266" s="15" t="n">
        <x:v>144</x:v>
      </x:c>
      <x:c r="F266" s="15" t="str">
        <x:v>OPEN</x:v>
      </x:c>
      <x:c r="G266" s="15" t="str">
        <x:v>OPEN</x:v>
      </x:c>
    </x:row>
    <x:row r="267">
      <x:c r="A267" s="14" t="str">
        <x:v>QT-263</x:v>
      </x:c>
      <x:c r="B267" s="14" t="str">
        <x:v>QA-22</x:v>
      </x:c>
      <x:c r="C267" s="14" t="str">
        <x:v>SWARM-12</x:v>
      </x:c>
      <x:c r="D267" s="14" t="str">
        <x:v>Interrupted safeing</x:v>
      </x:c>
      <x:c r="E267" s="14" t="n">
        <x:v>144</x:v>
      </x:c>
      <x:c r="F267" s="14" t="str">
        <x:v>OPEN</x:v>
      </x:c>
      <x:c r="G267" s="14" t="str">
        <x:v>OPEN</x:v>
      </x:c>
    </x:row>
    <x:row r="268">
      <x:c r="A268" s="15" t="str">
        <x:v>QT-264</x:v>
      </x:c>
      <x:c r="B268" s="15" t="str">
        <x:v>QA-22</x:v>
      </x:c>
      <x:c r="C268" s="15" t="str">
        <x:v>SWARM-12</x:v>
      </x:c>
      <x:c r="D268" s="15" t="str">
        <x:v>Contaminated return</x:v>
      </x:c>
      <x:c r="E268" s="15" t="n">
        <x:v>144</x:v>
      </x:c>
      <x:c r="F268" s="15" t="str">
        <x:v>OPEN</x:v>
      </x:c>
      <x:c r="G268" s="15" t="str">
        <x:v>OPEN</x:v>
      </x:c>
    </x:row>
    <x:row r="269">
      <x:c r="A269" s="14" t="str">
        <x:v>QT-265</x:v>
      </x:c>
      <x:c r="B269" s="14" t="str">
        <x:v>QA-23</x:v>
      </x:c>
      <x:c r="C269" s="14" t="str">
        <x:v>SWARM-12</x:v>
      </x:c>
      <x:c r="D269" s="14" t="str">
        <x:v>Dry deployment</x:v>
      </x:c>
      <x:c r="E269" s="14" t="n">
        <x:v>144</x:v>
      </x:c>
      <x:c r="F269" s="14" t="str">
        <x:v>OPEN</x:v>
      </x:c>
      <x:c r="G269" s="14" t="str">
        <x:v>OPEN</x:v>
      </x:c>
    </x:row>
    <x:row r="270">
      <x:c r="A270" s="15" t="str">
        <x:v>QT-266</x:v>
      </x:c>
      <x:c r="B270" s="15" t="str">
        <x:v>QA-23</x:v>
      </x:c>
      <x:c r="C270" s="15" t="str">
        <x:v>SWARM-12</x:v>
      </x:c>
      <x:c r="D270" s="15" t="str">
        <x:v>Freshwater acquisition</x:v>
      </x:c>
      <x:c r="E270" s="15" t="n">
        <x:v>144</x:v>
      </x:c>
      <x:c r="F270" s="15" t="str">
        <x:v>OPEN</x:v>
      </x:c>
      <x:c r="G270" s="15" t="str">
        <x:v>OPEN</x:v>
      </x:c>
    </x:row>
    <x:row r="271">
      <x:c r="A271" s="14" t="str">
        <x:v>QT-267</x:v>
      </x:c>
      <x:c r="B271" s="14" t="str">
        <x:v>QA-23</x:v>
      </x:c>
      <x:c r="C271" s="14" t="str">
        <x:v>SWARM-12</x:v>
      </x:c>
      <x:c r="D271" s="14" t="str">
        <x:v>Saline-water mode</x:v>
      </x:c>
      <x:c r="E271" s="14" t="n">
        <x:v>144</x:v>
      </x:c>
      <x:c r="F271" s="14" t="str">
        <x:v>OPEN</x:v>
      </x:c>
      <x:c r="G271" s="14" t="str">
        <x:v>OPEN</x:v>
      </x:c>
    </x:row>
    <x:row r="272">
      <x:c r="A272" s="15" t="str">
        <x:v>QT-268</x:v>
      </x:c>
      <x:c r="B272" s="15" t="str">
        <x:v>QA-23</x:v>
      </x:c>
      <x:c r="C272" s="15" t="str">
        <x:v>SWARM-12</x:v>
      </x:c>
      <x:c r="D272" s="15" t="str">
        <x:v>Sediment-laden mode</x:v>
      </x:c>
      <x:c r="E272" s="15" t="n">
        <x:v>144</x:v>
      </x:c>
      <x:c r="F272" s="15" t="str">
        <x:v>OPEN</x:v>
      </x:c>
      <x:c r="G272" s="15" t="str">
        <x:v>OPEN</x:v>
      </x:c>
    </x:row>
    <x:row r="273">
      <x:c r="A273" s="14" t="str">
        <x:v>QT-269</x:v>
      </x:c>
      <x:c r="B273" s="14" t="str">
        <x:v>QA-23</x:v>
      </x:c>
      <x:c r="C273" s="14" t="str">
        <x:v>SWARM-12</x:v>
      </x:c>
      <x:c r="D273" s="14" t="str">
        <x:v>Three-cell salvo</x:v>
      </x:c>
      <x:c r="E273" s="14" t="n">
        <x:v>144</x:v>
      </x:c>
      <x:c r="F273" s="14" t="str">
        <x:v>OPEN</x:v>
      </x:c>
      <x:c r="G273" s="14" t="str">
        <x:v>OPEN</x:v>
      </x:c>
    </x:row>
    <x:row r="274">
      <x:c r="A274" s="15" t="str">
        <x:v>QT-270</x:v>
      </x:c>
      <x:c r="B274" s="15" t="str">
        <x:v>QA-23</x:v>
      </x:c>
      <x:c r="C274" s="15" t="str">
        <x:v>SWARM-12</x:v>
      </x:c>
      <x:c r="D274" s="15" t="str">
        <x:v>One trunk lost</x:v>
      </x:c>
      <x:c r="E274" s="15" t="n">
        <x:v>144</x:v>
      </x:c>
      <x:c r="F274" s="15" t="str">
        <x:v>OPEN</x:v>
      </x:c>
      <x:c r="G274" s="15" t="str">
        <x:v>OPEN</x:v>
      </x:c>
    </x:row>
    <x:row r="275">
      <x:c r="A275" s="14" t="str">
        <x:v>QT-271</x:v>
      </x:c>
      <x:c r="B275" s="14" t="str">
        <x:v>QA-23</x:v>
      </x:c>
      <x:c r="C275" s="14" t="str">
        <x:v>SWARM-12</x:v>
      </x:c>
      <x:c r="D275" s="14" t="str">
        <x:v>Grid, network and time denied</x:v>
      </x:c>
      <x:c r="E275" s="14" t="n">
        <x:v>144</x:v>
      </x:c>
      <x:c r="F275" s="14" t="str">
        <x:v>OPEN</x:v>
      </x:c>
      <x:c r="G275" s="14" t="str">
        <x:v>OPEN</x:v>
      </x:c>
    </x:row>
    <x:row r="276">
      <x:c r="A276" s="15" t="str">
        <x:v>QT-272</x:v>
      </x:c>
      <x:c r="B276" s="15" t="str">
        <x:v>QA-23</x:v>
      </x:c>
      <x:c r="C276" s="15" t="str">
        <x:v>SWARM-12</x:v>
      </x:c>
      <x:c r="D276" s="15" t="str">
        <x:v>Recovery restricted</x:v>
      </x:c>
      <x:c r="E276" s="15" t="n">
        <x:v>144</x:v>
      </x:c>
      <x:c r="F276" s="15" t="str">
        <x:v>OPEN</x:v>
      </x:c>
      <x:c r="G276" s="15" t="str">
        <x:v>OPEN</x:v>
      </x:c>
    </x:row>
    <x:row r="277">
      <x:c r="A277" s="14" t="str">
        <x:v>QT-273</x:v>
      </x:c>
      <x:c r="B277" s="14" t="str">
        <x:v>QA-23</x:v>
      </x:c>
      <x:c r="C277" s="14" t="str">
        <x:v>SWARM-12</x:v>
      </x:c>
      <x:c r="D277" s="14" t="str">
        <x:v>Public intervention</x:v>
      </x:c>
      <x:c r="E277" s="14" t="n">
        <x:v>144</x:v>
      </x:c>
      <x:c r="F277" s="14" t="str">
        <x:v>OPEN</x:v>
      </x:c>
      <x:c r="G277" s="14" t="str">
        <x:v>OPEN</x:v>
      </x:c>
    </x:row>
    <x:row r="278">
      <x:c r="A278" s="15" t="str">
        <x:v>QT-274</x:v>
      </x:c>
      <x:c r="B278" s="15" t="str">
        <x:v>QA-23</x:v>
      </x:c>
      <x:c r="C278" s="15" t="str">
        <x:v>SWARM-12</x:v>
      </x:c>
      <x:c r="D278" s="15" t="str">
        <x:v>Cell reposition and gap</x:v>
      </x:c>
      <x:c r="E278" s="15" t="n">
        <x:v>144</x:v>
      </x:c>
      <x:c r="F278" s="15" t="str">
        <x:v>OPEN</x:v>
      </x:c>
      <x:c r="G278" s="15" t="str">
        <x:v>OPEN</x:v>
      </x:c>
    </x:row>
    <x:row r="279">
      <x:c r="A279" s="14" t="str">
        <x:v>QT-275</x:v>
      </x:c>
      <x:c r="B279" s="14" t="str">
        <x:v>QA-23</x:v>
      </x:c>
      <x:c r="C279" s="14" t="str">
        <x:v>SWARM-12</x:v>
      </x:c>
      <x:c r="D279" s="14" t="str">
        <x:v>Interrupted safeing</x:v>
      </x:c>
      <x:c r="E279" s="14" t="n">
        <x:v>144</x:v>
      </x:c>
      <x:c r="F279" s="14" t="str">
        <x:v>OPEN</x:v>
      </x:c>
      <x:c r="G279" s="14" t="str">
        <x:v>OPEN</x:v>
      </x:c>
    </x:row>
    <x:row r="280">
      <x:c r="A280" s="15" t="str">
        <x:v>QT-276</x:v>
      </x:c>
      <x:c r="B280" s="15" t="str">
        <x:v>QA-23</x:v>
      </x:c>
      <x:c r="C280" s="15" t="str">
        <x:v>SWARM-12</x:v>
      </x:c>
      <x:c r="D280" s="15" t="str">
        <x:v>Contaminated return</x:v>
      </x:c>
      <x:c r="E280" s="15" t="n">
        <x:v>144</x:v>
      </x:c>
      <x:c r="F280" s="15" t="str">
        <x:v>OPEN</x:v>
      </x:c>
      <x:c r="G280" s="15" t="str">
        <x:v>OPEN</x:v>
      </x:c>
    </x:row>
    <x:row r="281">
      <x:c r="A281" s="14" t="str">
        <x:v>QT-277</x:v>
      </x:c>
      <x:c r="B281" s="14" t="str">
        <x:v>QA-24</x:v>
      </x:c>
      <x:c r="C281" s="14" t="str">
        <x:v>SWARM-12</x:v>
      </x:c>
      <x:c r="D281" s="14" t="str">
        <x:v>Dry deployment</x:v>
      </x:c>
      <x:c r="E281" s="14" t="n">
        <x:v>144</x:v>
      </x:c>
      <x:c r="F281" s="14" t="str">
        <x:v>OPEN</x:v>
      </x:c>
      <x:c r="G281" s="14" t="str">
        <x:v>OPEN</x:v>
      </x:c>
    </x:row>
    <x:row r="282">
      <x:c r="A282" s="15" t="str">
        <x:v>QT-278</x:v>
      </x:c>
      <x:c r="B282" s="15" t="str">
        <x:v>QA-24</x:v>
      </x:c>
      <x:c r="C282" s="15" t="str">
        <x:v>SWARM-12</x:v>
      </x:c>
      <x:c r="D282" s="15" t="str">
        <x:v>Freshwater acquisition</x:v>
      </x:c>
      <x:c r="E282" s="15" t="n">
        <x:v>144</x:v>
      </x:c>
      <x:c r="F282" s="15" t="str">
        <x:v>OPEN</x:v>
      </x:c>
      <x:c r="G282" s="15" t="str">
        <x:v>OPEN</x:v>
      </x:c>
    </x:row>
    <x:row r="283">
      <x:c r="A283" s="14" t="str">
        <x:v>QT-279</x:v>
      </x:c>
      <x:c r="B283" s="14" t="str">
        <x:v>QA-24</x:v>
      </x:c>
      <x:c r="C283" s="14" t="str">
        <x:v>SWARM-12</x:v>
      </x:c>
      <x:c r="D283" s="14" t="str">
        <x:v>Saline-water mode</x:v>
      </x:c>
      <x:c r="E283" s="14" t="n">
        <x:v>144</x:v>
      </x:c>
      <x:c r="F283" s="14" t="str">
        <x:v>OPEN</x:v>
      </x:c>
      <x:c r="G283" s="14" t="str">
        <x:v>OPEN</x:v>
      </x:c>
    </x:row>
    <x:row r="284">
      <x:c r="A284" s="15" t="str">
        <x:v>QT-280</x:v>
      </x:c>
      <x:c r="B284" s="15" t="str">
        <x:v>QA-24</x:v>
      </x:c>
      <x:c r="C284" s="15" t="str">
        <x:v>SWARM-12</x:v>
      </x:c>
      <x:c r="D284" s="15" t="str">
        <x:v>Sediment-laden mode</x:v>
      </x:c>
      <x:c r="E284" s="15" t="n">
        <x:v>144</x:v>
      </x:c>
      <x:c r="F284" s="15" t="str">
        <x:v>OPEN</x:v>
      </x:c>
      <x:c r="G284" s="15" t="str">
        <x:v>OPEN</x:v>
      </x:c>
    </x:row>
    <x:row r="285">
      <x:c r="A285" s="14" t="str">
        <x:v>QT-281</x:v>
      </x:c>
      <x:c r="B285" s="14" t="str">
        <x:v>QA-24</x:v>
      </x:c>
      <x:c r="C285" s="14" t="str">
        <x:v>SWARM-12</x:v>
      </x:c>
      <x:c r="D285" s="14" t="str">
        <x:v>Three-cell salvo</x:v>
      </x:c>
      <x:c r="E285" s="14" t="n">
        <x:v>144</x:v>
      </x:c>
      <x:c r="F285" s="14" t="str">
        <x:v>OPEN</x:v>
      </x:c>
      <x:c r="G285" s="14" t="str">
        <x:v>OPEN</x:v>
      </x:c>
    </x:row>
    <x:row r="286">
      <x:c r="A286" s="15" t="str">
        <x:v>QT-282</x:v>
      </x:c>
      <x:c r="B286" s="15" t="str">
        <x:v>QA-24</x:v>
      </x:c>
      <x:c r="C286" s="15" t="str">
        <x:v>SWARM-12</x:v>
      </x:c>
      <x:c r="D286" s="15" t="str">
        <x:v>One trunk lost</x:v>
      </x:c>
      <x:c r="E286" s="15" t="n">
        <x:v>144</x:v>
      </x:c>
      <x:c r="F286" s="15" t="str">
        <x:v>OPEN</x:v>
      </x:c>
      <x:c r="G286" s="15" t="str">
        <x:v>OPEN</x:v>
      </x:c>
    </x:row>
    <x:row r="287">
      <x:c r="A287" s="14" t="str">
        <x:v>QT-283</x:v>
      </x:c>
      <x:c r="B287" s="14" t="str">
        <x:v>QA-24</x:v>
      </x:c>
      <x:c r="C287" s="14" t="str">
        <x:v>SWARM-12</x:v>
      </x:c>
      <x:c r="D287" s="14" t="str">
        <x:v>Grid, network and time denied</x:v>
      </x:c>
      <x:c r="E287" s="14" t="n">
        <x:v>144</x:v>
      </x:c>
      <x:c r="F287" s="14" t="str">
        <x:v>OPEN</x:v>
      </x:c>
      <x:c r="G287" s="14" t="str">
        <x:v>OPEN</x:v>
      </x:c>
    </x:row>
    <x:row r="288">
      <x:c r="A288" s="15" t="str">
        <x:v>QT-284</x:v>
      </x:c>
      <x:c r="B288" s="15" t="str">
        <x:v>QA-24</x:v>
      </x:c>
      <x:c r="C288" s="15" t="str">
        <x:v>SWARM-12</x:v>
      </x:c>
      <x:c r="D288" s="15" t="str">
        <x:v>Recovery restricted</x:v>
      </x:c>
      <x:c r="E288" s="15" t="n">
        <x:v>144</x:v>
      </x:c>
      <x:c r="F288" s="15" t="str">
        <x:v>OPEN</x:v>
      </x:c>
      <x:c r="G288" s="15" t="str">
        <x:v>OPEN</x:v>
      </x:c>
    </x:row>
    <x:row r="289">
      <x:c r="A289" s="14" t="str">
        <x:v>QT-285</x:v>
      </x:c>
      <x:c r="B289" s="14" t="str">
        <x:v>QA-24</x:v>
      </x:c>
      <x:c r="C289" s="14" t="str">
        <x:v>SWARM-12</x:v>
      </x:c>
      <x:c r="D289" s="14" t="str">
        <x:v>Public intervention</x:v>
      </x:c>
      <x:c r="E289" s="14" t="n">
        <x:v>144</x:v>
      </x:c>
      <x:c r="F289" s="14" t="str">
        <x:v>OPEN</x:v>
      </x:c>
      <x:c r="G289" s="14" t="str">
        <x:v>OPEN</x:v>
      </x:c>
    </x:row>
    <x:row r="290">
      <x:c r="A290" s="15" t="str">
        <x:v>QT-286</x:v>
      </x:c>
      <x:c r="B290" s="15" t="str">
        <x:v>QA-24</x:v>
      </x:c>
      <x:c r="C290" s="15" t="str">
        <x:v>SWARM-12</x:v>
      </x:c>
      <x:c r="D290" s="15" t="str">
        <x:v>Cell reposition and gap</x:v>
      </x:c>
      <x:c r="E290" s="15" t="n">
        <x:v>144</x:v>
      </x:c>
      <x:c r="F290" s="15" t="str">
        <x:v>OPEN</x:v>
      </x:c>
      <x:c r="G290" s="15" t="str">
        <x:v>OPEN</x:v>
      </x:c>
    </x:row>
    <x:row r="291">
      <x:c r="A291" s="14" t="str">
        <x:v>QT-287</x:v>
      </x:c>
      <x:c r="B291" s="14" t="str">
        <x:v>QA-24</x:v>
      </x:c>
      <x:c r="C291" s="14" t="str">
        <x:v>SWARM-12</x:v>
      </x:c>
      <x:c r="D291" s="14" t="str">
        <x:v>Interrupted safeing</x:v>
      </x:c>
      <x:c r="E291" s="14" t="n">
        <x:v>144</x:v>
      </x:c>
      <x:c r="F291" s="14" t="str">
        <x:v>OPEN</x:v>
      </x:c>
      <x:c r="G291" s="14" t="str">
        <x:v>OPEN</x:v>
      </x:c>
    </x:row>
    <x:row r="292">
      <x:c r="A292" s="15" t="str">
        <x:v>QT-288</x:v>
      </x:c>
      <x:c r="B292" s="15" t="str">
        <x:v>QA-24</x:v>
      </x:c>
      <x:c r="C292" s="15" t="str">
        <x:v>SWARM-12</x:v>
      </x:c>
      <x:c r="D292" s="15" t="str">
        <x:v>Contaminated return</x:v>
      </x:c>
      <x:c r="E292" s="15" t="n">
        <x:v>144</x:v>
      </x:c>
      <x:c r="F292" s="15" t="str">
        <x:v>OPEN</x:v>
      </x:c>
      <x:c r="G292" s="15" t="str">
        <x:v>OPEN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0" hidden="0" customWidth="1"/>
    <x:col min="5" max="5" width="10" hidden="0" customWidth="1"/>
    <x:col min="6" max="6" width="14" hidden="0" customWidth="1"/>
    <x:col min="7" max="7" width="16" hidden="0" customWidth="1"/>
    <x:col min="8" max="8" width="16" hidden="0" customWidth="1"/>
  </x:cols>
  <x:sheetData>
    <x:row r="1" ht="27" customHeight="1">
      <x:c r="A1" s="3" t="str">
        <x:v>Matched architecture comparisons</x:v>
      </x:c>
    </x:row>
    <x:row r="2" ht="32" customHeight="1">
      <x:c r="A2" s="7" t="str">
        <x:v>192 common-truth comparisons cross six pairs, four mode-service states and eight repetitions.</x:v>
      </x:c>
    </x:row>
    <x:row r="4" ht="28" customHeight="1">
      <x:c r="A4" s="11" t="str">
        <x:v>Comparison</x:v>
      </x:c>
      <x:c r="B4" s="11" t="str">
        <x:v>Candidate A</x:v>
      </x:c>
      <x:c r="C4" s="11" t="str">
        <x:v>Candidate B</x:v>
      </x:c>
      <x:c r="D4" s="11" t="str">
        <x:v>Mode</x:v>
      </x:c>
      <x:c r="E4" s="11" t="str">
        <x:v>Rep</x:v>
      </x:c>
      <x:c r="F4" s="11" t="str">
        <x:v>Water m3</x:v>
      </x:c>
      <x:c r="G4" s="11" t="str">
        <x:v>Assignment</x:v>
      </x:c>
      <x:c r="H4" s="11" t="str">
        <x:v>Disposition</x:v>
      </x:c>
    </x:row>
    <x:row r="5">
      <x:c r="A5" s="14" t="str">
        <x:v>MC-001</x:v>
      </x:c>
      <x:c r="B5" s="14" t="str">
        <x:v>LATTICE-12</x:v>
      </x:c>
      <x:c r="C5" s="14" t="str">
        <x:v>RING-12</x:v>
      </x:c>
      <x:c r="D5" s="14" t="str">
        <x:v>FRESH/NORMAL</x:v>
      </x:c>
      <x:c r="E5" s="14" t="n">
        <x:v>1</x:v>
      </x:c>
      <x:c r="F5" s="14" t="n">
        <x:v>144</x:v>
      </x:c>
      <x:c r="G5" s="14" t="str">
        <x:v>SEALED</x:v>
      </x:c>
      <x:c r="H5" s="14" t="str">
        <x:v>OPEN</x:v>
      </x:c>
    </x:row>
    <x:row r="6">
      <x:c r="A6" s="15" t="str">
        <x:v>MC-002</x:v>
      </x:c>
      <x:c r="B6" s="15" t="str">
        <x:v>LATTICE-12</x:v>
      </x:c>
      <x:c r="C6" s="15" t="str">
        <x:v>RING-12</x:v>
      </x:c>
      <x:c r="D6" s="15" t="str">
        <x:v>FRESH/NORMAL</x:v>
      </x:c>
      <x:c r="E6" s="15" t="n">
        <x:v>2</x:v>
      </x:c>
      <x:c r="F6" s="15" t="n">
        <x:v>144</x:v>
      </x:c>
      <x:c r="G6" s="15" t="str">
        <x:v>SEALED</x:v>
      </x:c>
      <x:c r="H6" s="15" t="str">
        <x:v>OPEN</x:v>
      </x:c>
    </x:row>
    <x:row r="7">
      <x:c r="A7" s="14" t="str">
        <x:v>MC-003</x:v>
      </x:c>
      <x:c r="B7" s="14" t="str">
        <x:v>LATTICE-12</x:v>
      </x:c>
      <x:c r="C7" s="14" t="str">
        <x:v>RING-12</x:v>
      </x:c>
      <x:c r="D7" s="14" t="str">
        <x:v>FRESH/NORMAL</x:v>
      </x:c>
      <x:c r="E7" s="14" t="n">
        <x:v>3</x:v>
      </x:c>
      <x:c r="F7" s="14" t="n">
        <x:v>144</x:v>
      </x:c>
      <x:c r="G7" s="14" t="str">
        <x:v>SEALED</x:v>
      </x:c>
      <x:c r="H7" s="14" t="str">
        <x:v>OPEN</x:v>
      </x:c>
    </x:row>
    <x:row r="8">
      <x:c r="A8" s="15" t="str">
        <x:v>MC-004</x:v>
      </x:c>
      <x:c r="B8" s="15" t="str">
        <x:v>LATTICE-12</x:v>
      </x:c>
      <x:c r="C8" s="15" t="str">
        <x:v>RING-12</x:v>
      </x:c>
      <x:c r="D8" s="15" t="str">
        <x:v>FRESH/NORMAL</x:v>
      </x:c>
      <x:c r="E8" s="15" t="n">
        <x:v>4</x:v>
      </x:c>
      <x:c r="F8" s="15" t="n">
        <x:v>144</x:v>
      </x:c>
      <x:c r="G8" s="15" t="str">
        <x:v>SEALED</x:v>
      </x:c>
      <x:c r="H8" s="15" t="str">
        <x:v>OPEN</x:v>
      </x:c>
    </x:row>
    <x:row r="9">
      <x:c r="A9" s="14" t="str">
        <x:v>MC-005</x:v>
      </x:c>
      <x:c r="B9" s="14" t="str">
        <x:v>LATTICE-12</x:v>
      </x:c>
      <x:c r="C9" s="14" t="str">
        <x:v>RING-12</x:v>
      </x:c>
      <x:c r="D9" s="14" t="str">
        <x:v>FRESH/NORMAL</x:v>
      </x:c>
      <x:c r="E9" s="14" t="n">
        <x:v>5</x:v>
      </x:c>
      <x:c r="F9" s="14" t="n">
        <x:v>144</x:v>
      </x:c>
      <x:c r="G9" s="14" t="str">
        <x:v>SEALED</x:v>
      </x:c>
      <x:c r="H9" s="14" t="str">
        <x:v>OPEN</x:v>
      </x:c>
    </x:row>
    <x:row r="10">
      <x:c r="A10" s="15" t="str">
        <x:v>MC-006</x:v>
      </x:c>
      <x:c r="B10" s="15" t="str">
        <x:v>LATTICE-12</x:v>
      </x:c>
      <x:c r="C10" s="15" t="str">
        <x:v>RING-12</x:v>
      </x:c>
      <x:c r="D10" s="15" t="str">
        <x:v>FRESH/NORMAL</x:v>
      </x:c>
      <x:c r="E10" s="15" t="n">
        <x:v>6</x:v>
      </x:c>
      <x:c r="F10" s="15" t="n">
        <x:v>144</x:v>
      </x:c>
      <x:c r="G10" s="15" t="str">
        <x:v>SEALED</x:v>
      </x:c>
      <x:c r="H10" s="15" t="str">
        <x:v>OPEN</x:v>
      </x:c>
    </x:row>
    <x:row r="11">
      <x:c r="A11" s="14" t="str">
        <x:v>MC-007</x:v>
      </x:c>
      <x:c r="B11" s="14" t="str">
        <x:v>LATTICE-12</x:v>
      </x:c>
      <x:c r="C11" s="14" t="str">
        <x:v>RING-12</x:v>
      </x:c>
      <x:c r="D11" s="14" t="str">
        <x:v>FRESH/NORMAL</x:v>
      </x:c>
      <x:c r="E11" s="14" t="n">
        <x:v>7</x:v>
      </x:c>
      <x:c r="F11" s="14" t="n">
        <x:v>144</x:v>
      </x:c>
      <x:c r="G11" s="14" t="str">
        <x:v>SEALED</x:v>
      </x:c>
      <x:c r="H11" s="14" t="str">
        <x:v>OPEN</x:v>
      </x:c>
    </x:row>
    <x:row r="12">
      <x:c r="A12" s="15" t="str">
        <x:v>MC-008</x:v>
      </x:c>
      <x:c r="B12" s="15" t="str">
        <x:v>LATTICE-12</x:v>
      </x:c>
      <x:c r="C12" s="15" t="str">
        <x:v>RING-12</x:v>
      </x:c>
      <x:c r="D12" s="15" t="str">
        <x:v>FRESH/NORMAL</x:v>
      </x:c>
      <x:c r="E12" s="15" t="n">
        <x:v>8</x:v>
      </x:c>
      <x:c r="F12" s="15" t="n">
        <x:v>144</x:v>
      </x:c>
      <x:c r="G12" s="15" t="str">
        <x:v>SEALED</x:v>
      </x:c>
      <x:c r="H12" s="15" t="str">
        <x:v>OPEN</x:v>
      </x:c>
    </x:row>
    <x:row r="13">
      <x:c r="A13" s="14" t="str">
        <x:v>MC-009</x:v>
      </x:c>
      <x:c r="B13" s="14" t="str">
        <x:v>LATTICE-12</x:v>
      </x:c>
      <x:c r="C13" s="14" t="str">
        <x:v>RING-12</x:v>
      </x:c>
      <x:c r="D13" s="14" t="str">
        <x:v>FRESH/DENIED</x:v>
      </x:c>
      <x:c r="E13" s="14" t="n">
        <x:v>1</x:v>
      </x:c>
      <x:c r="F13" s="14" t="n">
        <x:v>144</x:v>
      </x:c>
      <x:c r="G13" s="14" t="str">
        <x:v>SEALED</x:v>
      </x:c>
      <x:c r="H13" s="14" t="str">
        <x:v>OPEN</x:v>
      </x:c>
    </x:row>
    <x:row r="14">
      <x:c r="A14" s="15" t="str">
        <x:v>MC-010</x:v>
      </x:c>
      <x:c r="B14" s="15" t="str">
        <x:v>LATTICE-12</x:v>
      </x:c>
      <x:c r="C14" s="15" t="str">
        <x:v>RING-12</x:v>
      </x:c>
      <x:c r="D14" s="15" t="str">
        <x:v>FRESH/DENIED</x:v>
      </x:c>
      <x:c r="E14" s="15" t="n">
        <x:v>2</x:v>
      </x:c>
      <x:c r="F14" s="15" t="n">
        <x:v>144</x:v>
      </x:c>
      <x:c r="G14" s="15" t="str">
        <x:v>SEALED</x:v>
      </x:c>
      <x:c r="H14" s="15" t="str">
        <x:v>OPEN</x:v>
      </x:c>
    </x:row>
    <x:row r="15">
      <x:c r="A15" s="14" t="str">
        <x:v>MC-011</x:v>
      </x:c>
      <x:c r="B15" s="14" t="str">
        <x:v>LATTICE-12</x:v>
      </x:c>
      <x:c r="C15" s="14" t="str">
        <x:v>RING-12</x:v>
      </x:c>
      <x:c r="D15" s="14" t="str">
        <x:v>FRESH/DENIED</x:v>
      </x:c>
      <x:c r="E15" s="14" t="n">
        <x:v>3</x:v>
      </x:c>
      <x:c r="F15" s="14" t="n">
        <x:v>144</x:v>
      </x:c>
      <x:c r="G15" s="14" t="str">
        <x:v>SEALED</x:v>
      </x:c>
      <x:c r="H15" s="14" t="str">
        <x:v>OPEN</x:v>
      </x:c>
    </x:row>
    <x:row r="16">
      <x:c r="A16" s="15" t="str">
        <x:v>MC-012</x:v>
      </x:c>
      <x:c r="B16" s="15" t="str">
        <x:v>LATTICE-12</x:v>
      </x:c>
      <x:c r="C16" s="15" t="str">
        <x:v>RING-12</x:v>
      </x:c>
      <x:c r="D16" s="15" t="str">
        <x:v>FRESH/DENIED</x:v>
      </x:c>
      <x:c r="E16" s="15" t="n">
        <x:v>4</x:v>
      </x:c>
      <x:c r="F16" s="15" t="n">
        <x:v>144</x:v>
      </x:c>
      <x:c r="G16" s="15" t="str">
        <x:v>SEALED</x:v>
      </x:c>
      <x:c r="H16" s="15" t="str">
        <x:v>OPEN</x:v>
      </x:c>
    </x:row>
    <x:row r="17">
      <x:c r="A17" s="14" t="str">
        <x:v>MC-013</x:v>
      </x:c>
      <x:c r="B17" s="14" t="str">
        <x:v>LATTICE-12</x:v>
      </x:c>
      <x:c r="C17" s="14" t="str">
        <x:v>RING-12</x:v>
      </x:c>
      <x:c r="D17" s="14" t="str">
        <x:v>FRESH/DENIED</x:v>
      </x:c>
      <x:c r="E17" s="14" t="n">
        <x:v>5</x:v>
      </x:c>
      <x:c r="F17" s="14" t="n">
        <x:v>144</x:v>
      </x:c>
      <x:c r="G17" s="14" t="str">
        <x:v>SEALED</x:v>
      </x:c>
      <x:c r="H17" s="14" t="str">
        <x:v>OPEN</x:v>
      </x:c>
    </x:row>
    <x:row r="18">
      <x:c r="A18" s="15" t="str">
        <x:v>MC-014</x:v>
      </x:c>
      <x:c r="B18" s="15" t="str">
        <x:v>LATTICE-12</x:v>
      </x:c>
      <x:c r="C18" s="15" t="str">
        <x:v>RING-12</x:v>
      </x:c>
      <x:c r="D18" s="15" t="str">
        <x:v>FRESH/DENIED</x:v>
      </x:c>
      <x:c r="E18" s="15" t="n">
        <x:v>6</x:v>
      </x:c>
      <x:c r="F18" s="15" t="n">
        <x:v>144</x:v>
      </x:c>
      <x:c r="G18" s="15" t="str">
        <x:v>SEALED</x:v>
      </x:c>
      <x:c r="H18" s="15" t="str">
        <x:v>OPEN</x:v>
      </x:c>
    </x:row>
    <x:row r="19">
      <x:c r="A19" s="14" t="str">
        <x:v>MC-015</x:v>
      </x:c>
      <x:c r="B19" s="14" t="str">
        <x:v>LATTICE-12</x:v>
      </x:c>
      <x:c r="C19" s="14" t="str">
        <x:v>RING-12</x:v>
      </x:c>
      <x:c r="D19" s="14" t="str">
        <x:v>FRESH/DENIED</x:v>
      </x:c>
      <x:c r="E19" s="14" t="n">
        <x:v>7</x:v>
      </x:c>
      <x:c r="F19" s="14" t="n">
        <x:v>144</x:v>
      </x:c>
      <x:c r="G19" s="14" t="str">
        <x:v>SEALED</x:v>
      </x:c>
      <x:c r="H19" s="14" t="str">
        <x:v>OPEN</x:v>
      </x:c>
    </x:row>
    <x:row r="20">
      <x:c r="A20" s="15" t="str">
        <x:v>MC-016</x:v>
      </x:c>
      <x:c r="B20" s="15" t="str">
        <x:v>LATTICE-12</x:v>
      </x:c>
      <x:c r="C20" s="15" t="str">
        <x:v>RING-12</x:v>
      </x:c>
      <x:c r="D20" s="15" t="str">
        <x:v>FRESH/DENIED</x:v>
      </x:c>
      <x:c r="E20" s="15" t="n">
        <x:v>8</x:v>
      </x:c>
      <x:c r="F20" s="15" t="n">
        <x:v>144</x:v>
      </x:c>
      <x:c r="G20" s="15" t="str">
        <x:v>SEALED</x:v>
      </x:c>
      <x:c r="H20" s="15" t="str">
        <x:v>OPEN</x:v>
      </x:c>
    </x:row>
    <x:row r="21">
      <x:c r="A21" s="14" t="str">
        <x:v>MC-017</x:v>
      </x:c>
      <x:c r="B21" s="14" t="str">
        <x:v>LATTICE-12</x:v>
      </x:c>
      <x:c r="C21" s="14" t="str">
        <x:v>RING-12</x:v>
      </x:c>
      <x:c r="D21" s="14" t="str">
        <x:v>SALINE/NORMAL</x:v>
      </x:c>
      <x:c r="E21" s="14" t="n">
        <x:v>1</x:v>
      </x:c>
      <x:c r="F21" s="14" t="n">
        <x:v>144</x:v>
      </x:c>
      <x:c r="G21" s="14" t="str">
        <x:v>SEALED</x:v>
      </x:c>
      <x:c r="H21" s="14" t="str">
        <x:v>OPEN</x:v>
      </x:c>
    </x:row>
    <x:row r="22">
      <x:c r="A22" s="15" t="str">
        <x:v>MC-018</x:v>
      </x:c>
      <x:c r="B22" s="15" t="str">
        <x:v>LATTICE-12</x:v>
      </x:c>
      <x:c r="C22" s="15" t="str">
        <x:v>RING-12</x:v>
      </x:c>
      <x:c r="D22" s="15" t="str">
        <x:v>SALINE/NORMAL</x:v>
      </x:c>
      <x:c r="E22" s="15" t="n">
        <x:v>2</x:v>
      </x:c>
      <x:c r="F22" s="15" t="n">
        <x:v>144</x:v>
      </x:c>
      <x:c r="G22" s="15" t="str">
        <x:v>SEALED</x:v>
      </x:c>
      <x:c r="H22" s="15" t="str">
        <x:v>OPEN</x:v>
      </x:c>
    </x:row>
    <x:row r="23">
      <x:c r="A23" s="14" t="str">
        <x:v>MC-019</x:v>
      </x:c>
      <x:c r="B23" s="14" t="str">
        <x:v>LATTICE-12</x:v>
      </x:c>
      <x:c r="C23" s="14" t="str">
        <x:v>RING-12</x:v>
      </x:c>
      <x:c r="D23" s="14" t="str">
        <x:v>SALINE/NORMAL</x:v>
      </x:c>
      <x:c r="E23" s="14" t="n">
        <x:v>3</x:v>
      </x:c>
      <x:c r="F23" s="14" t="n">
        <x:v>144</x:v>
      </x:c>
      <x:c r="G23" s="14" t="str">
        <x:v>SEALED</x:v>
      </x:c>
      <x:c r="H23" s="14" t="str">
        <x:v>OPEN</x:v>
      </x:c>
    </x:row>
    <x:row r="24">
      <x:c r="A24" s="15" t="str">
        <x:v>MC-020</x:v>
      </x:c>
      <x:c r="B24" s="15" t="str">
        <x:v>LATTICE-12</x:v>
      </x:c>
      <x:c r="C24" s="15" t="str">
        <x:v>RING-12</x:v>
      </x:c>
      <x:c r="D24" s="15" t="str">
        <x:v>SALINE/NORMAL</x:v>
      </x:c>
      <x:c r="E24" s="15" t="n">
        <x:v>4</x:v>
      </x:c>
      <x:c r="F24" s="15" t="n">
        <x:v>144</x:v>
      </x:c>
      <x:c r="G24" s="15" t="str">
        <x:v>SEALED</x:v>
      </x:c>
      <x:c r="H24" s="15" t="str">
        <x:v>OPEN</x:v>
      </x:c>
    </x:row>
    <x:row r="25">
      <x:c r="A25" s="14" t="str">
        <x:v>MC-021</x:v>
      </x:c>
      <x:c r="B25" s="14" t="str">
        <x:v>LATTICE-12</x:v>
      </x:c>
      <x:c r="C25" s="14" t="str">
        <x:v>RING-12</x:v>
      </x:c>
      <x:c r="D25" s="14" t="str">
        <x:v>SALINE/NORMAL</x:v>
      </x:c>
      <x:c r="E25" s="14" t="n">
        <x:v>5</x:v>
      </x:c>
      <x:c r="F25" s="14" t="n">
        <x:v>144</x:v>
      </x:c>
      <x:c r="G25" s="14" t="str">
        <x:v>SEALED</x:v>
      </x:c>
      <x:c r="H25" s="14" t="str">
        <x:v>OPEN</x:v>
      </x:c>
    </x:row>
    <x:row r="26">
      <x:c r="A26" s="15" t="str">
        <x:v>MC-022</x:v>
      </x:c>
      <x:c r="B26" s="15" t="str">
        <x:v>LATTICE-12</x:v>
      </x:c>
      <x:c r="C26" s="15" t="str">
        <x:v>RING-12</x:v>
      </x:c>
      <x:c r="D26" s="15" t="str">
        <x:v>SALINE/NORMAL</x:v>
      </x:c>
      <x:c r="E26" s="15" t="n">
        <x:v>6</x:v>
      </x:c>
      <x:c r="F26" s="15" t="n">
        <x:v>144</x:v>
      </x:c>
      <x:c r="G26" s="15" t="str">
        <x:v>SEALED</x:v>
      </x:c>
      <x:c r="H26" s="15" t="str">
        <x:v>OPEN</x:v>
      </x:c>
    </x:row>
    <x:row r="27">
      <x:c r="A27" s="14" t="str">
        <x:v>MC-023</x:v>
      </x:c>
      <x:c r="B27" s="14" t="str">
        <x:v>LATTICE-12</x:v>
      </x:c>
      <x:c r="C27" s="14" t="str">
        <x:v>RING-12</x:v>
      </x:c>
      <x:c r="D27" s="14" t="str">
        <x:v>SALINE/NORMAL</x:v>
      </x:c>
      <x:c r="E27" s="14" t="n">
        <x:v>7</x:v>
      </x:c>
      <x:c r="F27" s="14" t="n">
        <x:v>144</x:v>
      </x:c>
      <x:c r="G27" s="14" t="str">
        <x:v>SEALED</x:v>
      </x:c>
      <x:c r="H27" s="14" t="str">
        <x:v>OPEN</x:v>
      </x:c>
    </x:row>
    <x:row r="28">
      <x:c r="A28" s="15" t="str">
        <x:v>MC-024</x:v>
      </x:c>
      <x:c r="B28" s="15" t="str">
        <x:v>LATTICE-12</x:v>
      </x:c>
      <x:c r="C28" s="15" t="str">
        <x:v>RING-12</x:v>
      </x:c>
      <x:c r="D28" s="15" t="str">
        <x:v>SALINE/NORMAL</x:v>
      </x:c>
      <x:c r="E28" s="15" t="n">
        <x:v>8</x:v>
      </x:c>
      <x:c r="F28" s="15" t="n">
        <x:v>144</x:v>
      </x:c>
      <x:c r="G28" s="15" t="str">
        <x:v>SEALED</x:v>
      </x:c>
      <x:c r="H28" s="15" t="str">
        <x:v>OPEN</x:v>
      </x:c>
    </x:row>
    <x:row r="29">
      <x:c r="A29" s="14" t="str">
        <x:v>MC-025</x:v>
      </x:c>
      <x:c r="B29" s="14" t="str">
        <x:v>LATTICE-12</x:v>
      </x:c>
      <x:c r="C29" s="14" t="str">
        <x:v>RING-12</x:v>
      </x:c>
      <x:c r="D29" s="14" t="str">
        <x:v>SALINE/DENIED</x:v>
      </x:c>
      <x:c r="E29" s="14" t="n">
        <x:v>1</x:v>
      </x:c>
      <x:c r="F29" s="14" t="n">
        <x:v>144</x:v>
      </x:c>
      <x:c r="G29" s="14" t="str">
        <x:v>SEALED</x:v>
      </x:c>
      <x:c r="H29" s="14" t="str">
        <x:v>OPEN</x:v>
      </x:c>
    </x:row>
    <x:row r="30">
      <x:c r="A30" s="15" t="str">
        <x:v>MC-026</x:v>
      </x:c>
      <x:c r="B30" s="15" t="str">
        <x:v>LATTICE-12</x:v>
      </x:c>
      <x:c r="C30" s="15" t="str">
        <x:v>RING-12</x:v>
      </x:c>
      <x:c r="D30" s="15" t="str">
        <x:v>SALINE/DENIED</x:v>
      </x:c>
      <x:c r="E30" s="15" t="n">
        <x:v>2</x:v>
      </x:c>
      <x:c r="F30" s="15" t="n">
        <x:v>144</x:v>
      </x:c>
      <x:c r="G30" s="15" t="str">
        <x:v>SEALED</x:v>
      </x:c>
      <x:c r="H30" s="15" t="str">
        <x:v>OPEN</x:v>
      </x:c>
    </x:row>
    <x:row r="31">
      <x:c r="A31" s="14" t="str">
        <x:v>MC-027</x:v>
      </x:c>
      <x:c r="B31" s="14" t="str">
        <x:v>LATTICE-12</x:v>
      </x:c>
      <x:c r="C31" s="14" t="str">
        <x:v>RING-12</x:v>
      </x:c>
      <x:c r="D31" s="14" t="str">
        <x:v>SALINE/DENIED</x:v>
      </x:c>
      <x:c r="E31" s="14" t="n">
        <x:v>3</x:v>
      </x:c>
      <x:c r="F31" s="14" t="n">
        <x:v>144</x:v>
      </x:c>
      <x:c r="G31" s="14" t="str">
        <x:v>SEALED</x:v>
      </x:c>
      <x:c r="H31" s="14" t="str">
        <x:v>OPEN</x:v>
      </x:c>
    </x:row>
    <x:row r="32">
      <x:c r="A32" s="15" t="str">
        <x:v>MC-028</x:v>
      </x:c>
      <x:c r="B32" s="15" t="str">
        <x:v>LATTICE-12</x:v>
      </x:c>
      <x:c r="C32" s="15" t="str">
        <x:v>RING-12</x:v>
      </x:c>
      <x:c r="D32" s="15" t="str">
        <x:v>SALINE/DENIED</x:v>
      </x:c>
      <x:c r="E32" s="15" t="n">
        <x:v>4</x:v>
      </x:c>
      <x:c r="F32" s="15" t="n">
        <x:v>144</x:v>
      </x:c>
      <x:c r="G32" s="15" t="str">
        <x:v>SEALED</x:v>
      </x:c>
      <x:c r="H32" s="15" t="str">
        <x:v>OPEN</x:v>
      </x:c>
    </x:row>
    <x:row r="33">
      <x:c r="A33" s="14" t="str">
        <x:v>MC-029</x:v>
      </x:c>
      <x:c r="B33" s="14" t="str">
        <x:v>LATTICE-12</x:v>
      </x:c>
      <x:c r="C33" s="14" t="str">
        <x:v>RING-12</x:v>
      </x:c>
      <x:c r="D33" s="14" t="str">
        <x:v>SALINE/DENIED</x:v>
      </x:c>
      <x:c r="E33" s="14" t="n">
        <x:v>5</x:v>
      </x:c>
      <x:c r="F33" s="14" t="n">
        <x:v>144</x:v>
      </x:c>
      <x:c r="G33" s="14" t="str">
        <x:v>SEALED</x:v>
      </x:c>
      <x:c r="H33" s="14" t="str">
        <x:v>OPEN</x:v>
      </x:c>
    </x:row>
    <x:row r="34">
      <x:c r="A34" s="15" t="str">
        <x:v>MC-030</x:v>
      </x:c>
      <x:c r="B34" s="15" t="str">
        <x:v>LATTICE-12</x:v>
      </x:c>
      <x:c r="C34" s="15" t="str">
        <x:v>RING-12</x:v>
      </x:c>
      <x:c r="D34" s="15" t="str">
        <x:v>SALINE/DENIED</x:v>
      </x:c>
      <x:c r="E34" s="15" t="n">
        <x:v>6</x:v>
      </x:c>
      <x:c r="F34" s="15" t="n">
        <x:v>144</x:v>
      </x:c>
      <x:c r="G34" s="15" t="str">
        <x:v>SEALED</x:v>
      </x:c>
      <x:c r="H34" s="15" t="str">
        <x:v>OPEN</x:v>
      </x:c>
    </x:row>
    <x:row r="35">
      <x:c r="A35" s="14" t="str">
        <x:v>MC-031</x:v>
      </x:c>
      <x:c r="B35" s="14" t="str">
        <x:v>LATTICE-12</x:v>
      </x:c>
      <x:c r="C35" s="14" t="str">
        <x:v>RING-12</x:v>
      </x:c>
      <x:c r="D35" s="14" t="str">
        <x:v>SALINE/DENIED</x:v>
      </x:c>
      <x:c r="E35" s="14" t="n">
        <x:v>7</x:v>
      </x:c>
      <x:c r="F35" s="14" t="n">
        <x:v>144</x:v>
      </x:c>
      <x:c r="G35" s="14" t="str">
        <x:v>SEALED</x:v>
      </x:c>
      <x:c r="H35" s="14" t="str">
        <x:v>OPEN</x:v>
      </x:c>
    </x:row>
    <x:row r="36">
      <x:c r="A36" s="15" t="str">
        <x:v>MC-032</x:v>
      </x:c>
      <x:c r="B36" s="15" t="str">
        <x:v>LATTICE-12</x:v>
      </x:c>
      <x:c r="C36" s="15" t="str">
        <x:v>RING-12</x:v>
      </x:c>
      <x:c r="D36" s="15" t="str">
        <x:v>SALINE/DENIED</x:v>
      </x:c>
      <x:c r="E36" s="15" t="n">
        <x:v>8</x:v>
      </x:c>
      <x:c r="F36" s="15" t="n">
        <x:v>144</x:v>
      </x:c>
      <x:c r="G36" s="15" t="str">
        <x:v>SEALED</x:v>
      </x:c>
      <x:c r="H36" s="15" t="str">
        <x:v>OPEN</x:v>
      </x:c>
    </x:row>
    <x:row r="37">
      <x:c r="A37" s="14" t="str">
        <x:v>MC-033</x:v>
      </x:c>
      <x:c r="B37" s="14" t="str">
        <x:v>LATTICE-12</x:v>
      </x:c>
      <x:c r="C37" s="14" t="str">
        <x:v>SPAN-12</x:v>
      </x:c>
      <x:c r="D37" s="14" t="str">
        <x:v>FRESH/NORMAL</x:v>
      </x:c>
      <x:c r="E37" s="14" t="n">
        <x:v>1</x:v>
      </x:c>
      <x:c r="F37" s="14" t="n">
        <x:v>144</x:v>
      </x:c>
      <x:c r="G37" s="14" t="str">
        <x:v>SEALED</x:v>
      </x:c>
      <x:c r="H37" s="14" t="str">
        <x:v>OPEN</x:v>
      </x:c>
    </x:row>
    <x:row r="38">
      <x:c r="A38" s="15" t="str">
        <x:v>MC-034</x:v>
      </x:c>
      <x:c r="B38" s="15" t="str">
        <x:v>LATTICE-12</x:v>
      </x:c>
      <x:c r="C38" s="15" t="str">
        <x:v>SPAN-12</x:v>
      </x:c>
      <x:c r="D38" s="15" t="str">
        <x:v>FRESH/NORMAL</x:v>
      </x:c>
      <x:c r="E38" s="15" t="n">
        <x:v>2</x:v>
      </x:c>
      <x:c r="F38" s="15" t="n">
        <x:v>144</x:v>
      </x:c>
      <x:c r="G38" s="15" t="str">
        <x:v>SEALED</x:v>
      </x:c>
      <x:c r="H38" s="15" t="str">
        <x:v>OPEN</x:v>
      </x:c>
    </x:row>
    <x:row r="39">
      <x:c r="A39" s="14" t="str">
        <x:v>MC-035</x:v>
      </x:c>
      <x:c r="B39" s="14" t="str">
        <x:v>LATTICE-12</x:v>
      </x:c>
      <x:c r="C39" s="14" t="str">
        <x:v>SPAN-12</x:v>
      </x:c>
      <x:c r="D39" s="14" t="str">
        <x:v>FRESH/NORMAL</x:v>
      </x:c>
      <x:c r="E39" s="14" t="n">
        <x:v>3</x:v>
      </x:c>
      <x:c r="F39" s="14" t="n">
        <x:v>144</x:v>
      </x:c>
      <x:c r="G39" s="14" t="str">
        <x:v>SEALED</x:v>
      </x:c>
      <x:c r="H39" s="14" t="str">
        <x:v>OPEN</x:v>
      </x:c>
    </x:row>
    <x:row r="40">
      <x:c r="A40" s="15" t="str">
        <x:v>MC-036</x:v>
      </x:c>
      <x:c r="B40" s="15" t="str">
        <x:v>LATTICE-12</x:v>
      </x:c>
      <x:c r="C40" s="15" t="str">
        <x:v>SPAN-12</x:v>
      </x:c>
      <x:c r="D40" s="15" t="str">
        <x:v>FRESH/NORMAL</x:v>
      </x:c>
      <x:c r="E40" s="15" t="n">
        <x:v>4</x:v>
      </x:c>
      <x:c r="F40" s="15" t="n">
        <x:v>144</x:v>
      </x:c>
      <x:c r="G40" s="15" t="str">
        <x:v>SEALED</x:v>
      </x:c>
      <x:c r="H40" s="15" t="str">
        <x:v>OPEN</x:v>
      </x:c>
    </x:row>
    <x:row r="41">
      <x:c r="A41" s="14" t="str">
        <x:v>MC-037</x:v>
      </x:c>
      <x:c r="B41" s="14" t="str">
        <x:v>LATTICE-12</x:v>
      </x:c>
      <x:c r="C41" s="14" t="str">
        <x:v>SPAN-12</x:v>
      </x:c>
      <x:c r="D41" s="14" t="str">
        <x:v>FRESH/NORMAL</x:v>
      </x:c>
      <x:c r="E41" s="14" t="n">
        <x:v>5</x:v>
      </x:c>
      <x:c r="F41" s="14" t="n">
        <x:v>144</x:v>
      </x:c>
      <x:c r="G41" s="14" t="str">
        <x:v>SEALED</x:v>
      </x:c>
      <x:c r="H41" s="14" t="str">
        <x:v>OPEN</x:v>
      </x:c>
    </x:row>
    <x:row r="42">
      <x:c r="A42" s="15" t="str">
        <x:v>MC-038</x:v>
      </x:c>
      <x:c r="B42" s="15" t="str">
        <x:v>LATTICE-12</x:v>
      </x:c>
      <x:c r="C42" s="15" t="str">
        <x:v>SPAN-12</x:v>
      </x:c>
      <x:c r="D42" s="15" t="str">
        <x:v>FRESH/NORMAL</x:v>
      </x:c>
      <x:c r="E42" s="15" t="n">
        <x:v>6</x:v>
      </x:c>
      <x:c r="F42" s="15" t="n">
        <x:v>144</x:v>
      </x:c>
      <x:c r="G42" s="15" t="str">
        <x:v>SEALED</x:v>
      </x:c>
      <x:c r="H42" s="15" t="str">
        <x:v>OPEN</x:v>
      </x:c>
    </x:row>
    <x:row r="43">
      <x:c r="A43" s="14" t="str">
        <x:v>MC-039</x:v>
      </x:c>
      <x:c r="B43" s="14" t="str">
        <x:v>LATTICE-12</x:v>
      </x:c>
      <x:c r="C43" s="14" t="str">
        <x:v>SPAN-12</x:v>
      </x:c>
      <x:c r="D43" s="14" t="str">
        <x:v>FRESH/NORMAL</x:v>
      </x:c>
      <x:c r="E43" s="14" t="n">
        <x:v>7</x:v>
      </x:c>
      <x:c r="F43" s="14" t="n">
        <x:v>144</x:v>
      </x:c>
      <x:c r="G43" s="14" t="str">
        <x:v>SEALED</x:v>
      </x:c>
      <x:c r="H43" s="14" t="str">
        <x:v>OPEN</x:v>
      </x:c>
    </x:row>
    <x:row r="44">
      <x:c r="A44" s="15" t="str">
        <x:v>MC-040</x:v>
      </x:c>
      <x:c r="B44" s="15" t="str">
        <x:v>LATTICE-12</x:v>
      </x:c>
      <x:c r="C44" s="15" t="str">
        <x:v>SPAN-12</x:v>
      </x:c>
      <x:c r="D44" s="15" t="str">
        <x:v>FRESH/NORMAL</x:v>
      </x:c>
      <x:c r="E44" s="15" t="n">
        <x:v>8</x:v>
      </x:c>
      <x:c r="F44" s="15" t="n">
        <x:v>144</x:v>
      </x:c>
      <x:c r="G44" s="15" t="str">
        <x:v>SEALED</x:v>
      </x:c>
      <x:c r="H44" s="15" t="str">
        <x:v>OPEN</x:v>
      </x:c>
    </x:row>
    <x:row r="45">
      <x:c r="A45" s="14" t="str">
        <x:v>MC-041</x:v>
      </x:c>
      <x:c r="B45" s="14" t="str">
        <x:v>LATTICE-12</x:v>
      </x:c>
      <x:c r="C45" s="14" t="str">
        <x:v>SPAN-12</x:v>
      </x:c>
      <x:c r="D45" s="14" t="str">
        <x:v>FRESH/DENIED</x:v>
      </x:c>
      <x:c r="E45" s="14" t="n">
        <x:v>1</x:v>
      </x:c>
      <x:c r="F45" s="14" t="n">
        <x:v>144</x:v>
      </x:c>
      <x:c r="G45" s="14" t="str">
        <x:v>SEALED</x:v>
      </x:c>
      <x:c r="H45" s="14" t="str">
        <x:v>OPEN</x:v>
      </x:c>
    </x:row>
    <x:row r="46">
      <x:c r="A46" s="15" t="str">
        <x:v>MC-042</x:v>
      </x:c>
      <x:c r="B46" s="15" t="str">
        <x:v>LATTICE-12</x:v>
      </x:c>
      <x:c r="C46" s="15" t="str">
        <x:v>SPAN-12</x:v>
      </x:c>
      <x:c r="D46" s="15" t="str">
        <x:v>FRESH/DENIED</x:v>
      </x:c>
      <x:c r="E46" s="15" t="n">
        <x:v>2</x:v>
      </x:c>
      <x:c r="F46" s="15" t="n">
        <x:v>144</x:v>
      </x:c>
      <x:c r="G46" s="15" t="str">
        <x:v>SEALED</x:v>
      </x:c>
      <x:c r="H46" s="15" t="str">
        <x:v>OPEN</x:v>
      </x:c>
    </x:row>
    <x:row r="47">
      <x:c r="A47" s="14" t="str">
        <x:v>MC-043</x:v>
      </x:c>
      <x:c r="B47" s="14" t="str">
        <x:v>LATTICE-12</x:v>
      </x:c>
      <x:c r="C47" s="14" t="str">
        <x:v>SPAN-12</x:v>
      </x:c>
      <x:c r="D47" s="14" t="str">
        <x:v>FRESH/DENIED</x:v>
      </x:c>
      <x:c r="E47" s="14" t="n">
        <x:v>3</x:v>
      </x:c>
      <x:c r="F47" s="14" t="n">
        <x:v>144</x:v>
      </x:c>
      <x:c r="G47" s="14" t="str">
        <x:v>SEALED</x:v>
      </x:c>
      <x:c r="H47" s="14" t="str">
        <x:v>OPEN</x:v>
      </x:c>
    </x:row>
    <x:row r="48">
      <x:c r="A48" s="15" t="str">
        <x:v>MC-044</x:v>
      </x:c>
      <x:c r="B48" s="15" t="str">
        <x:v>LATTICE-12</x:v>
      </x:c>
      <x:c r="C48" s="15" t="str">
        <x:v>SPAN-12</x:v>
      </x:c>
      <x:c r="D48" s="15" t="str">
        <x:v>FRESH/DENIED</x:v>
      </x:c>
      <x:c r="E48" s="15" t="n">
        <x:v>4</x:v>
      </x:c>
      <x:c r="F48" s="15" t="n">
        <x:v>144</x:v>
      </x:c>
      <x:c r="G48" s="15" t="str">
        <x:v>SEALED</x:v>
      </x:c>
      <x:c r="H48" s="15" t="str">
        <x:v>OPEN</x:v>
      </x:c>
    </x:row>
    <x:row r="49">
      <x:c r="A49" s="14" t="str">
        <x:v>MC-045</x:v>
      </x:c>
      <x:c r="B49" s="14" t="str">
        <x:v>LATTICE-12</x:v>
      </x:c>
      <x:c r="C49" s="14" t="str">
        <x:v>SPAN-12</x:v>
      </x:c>
      <x:c r="D49" s="14" t="str">
        <x:v>FRESH/DENIED</x:v>
      </x:c>
      <x:c r="E49" s="14" t="n">
        <x:v>5</x:v>
      </x:c>
      <x:c r="F49" s="14" t="n">
        <x:v>144</x:v>
      </x:c>
      <x:c r="G49" s="14" t="str">
        <x:v>SEALED</x:v>
      </x:c>
      <x:c r="H49" s="14" t="str">
        <x:v>OPEN</x:v>
      </x:c>
    </x:row>
    <x:row r="50">
      <x:c r="A50" s="15" t="str">
        <x:v>MC-046</x:v>
      </x:c>
      <x:c r="B50" s="15" t="str">
        <x:v>LATTICE-12</x:v>
      </x:c>
      <x:c r="C50" s="15" t="str">
        <x:v>SPAN-12</x:v>
      </x:c>
      <x:c r="D50" s="15" t="str">
        <x:v>FRESH/DENIED</x:v>
      </x:c>
      <x:c r="E50" s="15" t="n">
        <x:v>6</x:v>
      </x:c>
      <x:c r="F50" s="15" t="n">
        <x:v>144</x:v>
      </x:c>
      <x:c r="G50" s="15" t="str">
        <x:v>SEALED</x:v>
      </x:c>
      <x:c r="H50" s="15" t="str">
        <x:v>OPEN</x:v>
      </x:c>
    </x:row>
    <x:row r="51">
      <x:c r="A51" s="14" t="str">
        <x:v>MC-047</x:v>
      </x:c>
      <x:c r="B51" s="14" t="str">
        <x:v>LATTICE-12</x:v>
      </x:c>
      <x:c r="C51" s="14" t="str">
        <x:v>SPAN-12</x:v>
      </x:c>
      <x:c r="D51" s="14" t="str">
        <x:v>FRESH/DENIED</x:v>
      </x:c>
      <x:c r="E51" s="14" t="n">
        <x:v>7</x:v>
      </x:c>
      <x:c r="F51" s="14" t="n">
        <x:v>144</x:v>
      </x:c>
      <x:c r="G51" s="14" t="str">
        <x:v>SEALED</x:v>
      </x:c>
      <x:c r="H51" s="14" t="str">
        <x:v>OPEN</x:v>
      </x:c>
    </x:row>
    <x:row r="52">
      <x:c r="A52" s="15" t="str">
        <x:v>MC-048</x:v>
      </x:c>
      <x:c r="B52" s="15" t="str">
        <x:v>LATTICE-12</x:v>
      </x:c>
      <x:c r="C52" s="15" t="str">
        <x:v>SPAN-12</x:v>
      </x:c>
      <x:c r="D52" s="15" t="str">
        <x:v>FRESH/DENIED</x:v>
      </x:c>
      <x:c r="E52" s="15" t="n">
        <x:v>8</x:v>
      </x:c>
      <x:c r="F52" s="15" t="n">
        <x:v>144</x:v>
      </x:c>
      <x:c r="G52" s="15" t="str">
        <x:v>SEALED</x:v>
      </x:c>
      <x:c r="H52" s="15" t="str">
        <x:v>OPEN</x:v>
      </x:c>
    </x:row>
    <x:row r="53">
      <x:c r="A53" s="14" t="str">
        <x:v>MC-049</x:v>
      </x:c>
      <x:c r="B53" s="14" t="str">
        <x:v>LATTICE-12</x:v>
      </x:c>
      <x:c r="C53" s="14" t="str">
        <x:v>SPAN-12</x:v>
      </x:c>
      <x:c r="D53" s="14" t="str">
        <x:v>SALINE/NORMAL</x:v>
      </x:c>
      <x:c r="E53" s="14" t="n">
        <x:v>1</x:v>
      </x:c>
      <x:c r="F53" s="14" t="n">
        <x:v>144</x:v>
      </x:c>
      <x:c r="G53" s="14" t="str">
        <x:v>SEALED</x:v>
      </x:c>
      <x:c r="H53" s="14" t="str">
        <x:v>OPEN</x:v>
      </x:c>
    </x:row>
    <x:row r="54">
      <x:c r="A54" s="15" t="str">
        <x:v>MC-050</x:v>
      </x:c>
      <x:c r="B54" s="15" t="str">
        <x:v>LATTICE-12</x:v>
      </x:c>
      <x:c r="C54" s="15" t="str">
        <x:v>SPAN-12</x:v>
      </x:c>
      <x:c r="D54" s="15" t="str">
        <x:v>SALINE/NORMAL</x:v>
      </x:c>
      <x:c r="E54" s="15" t="n">
        <x:v>2</x:v>
      </x:c>
      <x:c r="F54" s="15" t="n">
        <x:v>144</x:v>
      </x:c>
      <x:c r="G54" s="15" t="str">
        <x:v>SEALED</x:v>
      </x:c>
      <x:c r="H54" s="15" t="str">
        <x:v>OPEN</x:v>
      </x:c>
    </x:row>
    <x:row r="55">
      <x:c r="A55" s="14" t="str">
        <x:v>MC-051</x:v>
      </x:c>
      <x:c r="B55" s="14" t="str">
        <x:v>LATTICE-12</x:v>
      </x:c>
      <x:c r="C55" s="14" t="str">
        <x:v>SPAN-12</x:v>
      </x:c>
      <x:c r="D55" s="14" t="str">
        <x:v>SALINE/NORMAL</x:v>
      </x:c>
      <x:c r="E55" s="14" t="n">
        <x:v>3</x:v>
      </x:c>
      <x:c r="F55" s="14" t="n">
        <x:v>144</x:v>
      </x:c>
      <x:c r="G55" s="14" t="str">
        <x:v>SEALED</x:v>
      </x:c>
      <x:c r="H55" s="14" t="str">
        <x:v>OPEN</x:v>
      </x:c>
    </x:row>
    <x:row r="56">
      <x:c r="A56" s="15" t="str">
        <x:v>MC-052</x:v>
      </x:c>
      <x:c r="B56" s="15" t="str">
        <x:v>LATTICE-12</x:v>
      </x:c>
      <x:c r="C56" s="15" t="str">
        <x:v>SPAN-12</x:v>
      </x:c>
      <x:c r="D56" s="15" t="str">
        <x:v>SALINE/NORMAL</x:v>
      </x:c>
      <x:c r="E56" s="15" t="n">
        <x:v>4</x:v>
      </x:c>
      <x:c r="F56" s="15" t="n">
        <x:v>144</x:v>
      </x:c>
      <x:c r="G56" s="15" t="str">
        <x:v>SEALED</x:v>
      </x:c>
      <x:c r="H56" s="15" t="str">
        <x:v>OPEN</x:v>
      </x:c>
    </x:row>
    <x:row r="57">
      <x:c r="A57" s="14" t="str">
        <x:v>MC-053</x:v>
      </x:c>
      <x:c r="B57" s="14" t="str">
        <x:v>LATTICE-12</x:v>
      </x:c>
      <x:c r="C57" s="14" t="str">
        <x:v>SPAN-12</x:v>
      </x:c>
      <x:c r="D57" s="14" t="str">
        <x:v>SALINE/NORMAL</x:v>
      </x:c>
      <x:c r="E57" s="14" t="n">
        <x:v>5</x:v>
      </x:c>
      <x:c r="F57" s="14" t="n">
        <x:v>144</x:v>
      </x:c>
      <x:c r="G57" s="14" t="str">
        <x:v>SEALED</x:v>
      </x:c>
      <x:c r="H57" s="14" t="str">
        <x:v>OPEN</x:v>
      </x:c>
    </x:row>
    <x:row r="58">
      <x:c r="A58" s="15" t="str">
        <x:v>MC-054</x:v>
      </x:c>
      <x:c r="B58" s="15" t="str">
        <x:v>LATTICE-12</x:v>
      </x:c>
      <x:c r="C58" s="15" t="str">
        <x:v>SPAN-12</x:v>
      </x:c>
      <x:c r="D58" s="15" t="str">
        <x:v>SALINE/NORMAL</x:v>
      </x:c>
      <x:c r="E58" s="15" t="n">
        <x:v>6</x:v>
      </x:c>
      <x:c r="F58" s="15" t="n">
        <x:v>144</x:v>
      </x:c>
      <x:c r="G58" s="15" t="str">
        <x:v>SEALED</x:v>
      </x:c>
      <x:c r="H58" s="15" t="str">
        <x:v>OPEN</x:v>
      </x:c>
    </x:row>
    <x:row r="59">
      <x:c r="A59" s="14" t="str">
        <x:v>MC-055</x:v>
      </x:c>
      <x:c r="B59" s="14" t="str">
        <x:v>LATTICE-12</x:v>
      </x:c>
      <x:c r="C59" s="14" t="str">
        <x:v>SPAN-12</x:v>
      </x:c>
      <x:c r="D59" s="14" t="str">
        <x:v>SALINE/NORMAL</x:v>
      </x:c>
      <x:c r="E59" s="14" t="n">
        <x:v>7</x:v>
      </x:c>
      <x:c r="F59" s="14" t="n">
        <x:v>144</x:v>
      </x:c>
      <x:c r="G59" s="14" t="str">
        <x:v>SEALED</x:v>
      </x:c>
      <x:c r="H59" s="14" t="str">
        <x:v>OPEN</x:v>
      </x:c>
    </x:row>
    <x:row r="60">
      <x:c r="A60" s="15" t="str">
        <x:v>MC-056</x:v>
      </x:c>
      <x:c r="B60" s="15" t="str">
        <x:v>LATTICE-12</x:v>
      </x:c>
      <x:c r="C60" s="15" t="str">
        <x:v>SPAN-12</x:v>
      </x:c>
      <x:c r="D60" s="15" t="str">
        <x:v>SALINE/NORMAL</x:v>
      </x:c>
      <x:c r="E60" s="15" t="n">
        <x:v>8</x:v>
      </x:c>
      <x:c r="F60" s="15" t="n">
        <x:v>144</x:v>
      </x:c>
      <x:c r="G60" s="15" t="str">
        <x:v>SEALED</x:v>
      </x:c>
      <x:c r="H60" s="15" t="str">
        <x:v>OPEN</x:v>
      </x:c>
    </x:row>
    <x:row r="61">
      <x:c r="A61" s="14" t="str">
        <x:v>MC-057</x:v>
      </x:c>
      <x:c r="B61" s="14" t="str">
        <x:v>LATTICE-12</x:v>
      </x:c>
      <x:c r="C61" s="14" t="str">
        <x:v>SPAN-12</x:v>
      </x:c>
      <x:c r="D61" s="14" t="str">
        <x:v>SALINE/DENIED</x:v>
      </x:c>
      <x:c r="E61" s="14" t="n">
        <x:v>1</x:v>
      </x:c>
      <x:c r="F61" s="14" t="n">
        <x:v>144</x:v>
      </x:c>
      <x:c r="G61" s="14" t="str">
        <x:v>SEALED</x:v>
      </x:c>
      <x:c r="H61" s="14" t="str">
        <x:v>OPEN</x:v>
      </x:c>
    </x:row>
    <x:row r="62">
      <x:c r="A62" s="15" t="str">
        <x:v>MC-058</x:v>
      </x:c>
      <x:c r="B62" s="15" t="str">
        <x:v>LATTICE-12</x:v>
      </x:c>
      <x:c r="C62" s="15" t="str">
        <x:v>SPAN-12</x:v>
      </x:c>
      <x:c r="D62" s="15" t="str">
        <x:v>SALINE/DENIED</x:v>
      </x:c>
      <x:c r="E62" s="15" t="n">
        <x:v>2</x:v>
      </x:c>
      <x:c r="F62" s="15" t="n">
        <x:v>144</x:v>
      </x:c>
      <x:c r="G62" s="15" t="str">
        <x:v>SEALED</x:v>
      </x:c>
      <x:c r="H62" s="15" t="str">
        <x:v>OPEN</x:v>
      </x:c>
    </x:row>
    <x:row r="63">
      <x:c r="A63" s="14" t="str">
        <x:v>MC-059</x:v>
      </x:c>
      <x:c r="B63" s="14" t="str">
        <x:v>LATTICE-12</x:v>
      </x:c>
      <x:c r="C63" s="14" t="str">
        <x:v>SPAN-12</x:v>
      </x:c>
      <x:c r="D63" s="14" t="str">
        <x:v>SALINE/DENIED</x:v>
      </x:c>
      <x:c r="E63" s="14" t="n">
        <x:v>3</x:v>
      </x:c>
      <x:c r="F63" s="14" t="n">
        <x:v>144</x:v>
      </x:c>
      <x:c r="G63" s="14" t="str">
        <x:v>SEALED</x:v>
      </x:c>
      <x:c r="H63" s="14" t="str">
        <x:v>OPEN</x:v>
      </x:c>
    </x:row>
    <x:row r="64">
      <x:c r="A64" s="15" t="str">
        <x:v>MC-060</x:v>
      </x:c>
      <x:c r="B64" s="15" t="str">
        <x:v>LATTICE-12</x:v>
      </x:c>
      <x:c r="C64" s="15" t="str">
        <x:v>SPAN-12</x:v>
      </x:c>
      <x:c r="D64" s="15" t="str">
        <x:v>SALINE/DENIED</x:v>
      </x:c>
      <x:c r="E64" s="15" t="n">
        <x:v>4</x:v>
      </x:c>
      <x:c r="F64" s="15" t="n">
        <x:v>144</x:v>
      </x:c>
      <x:c r="G64" s="15" t="str">
        <x:v>SEALED</x:v>
      </x:c>
      <x:c r="H64" s="15" t="str">
        <x:v>OPEN</x:v>
      </x:c>
    </x:row>
    <x:row r="65">
      <x:c r="A65" s="14" t="str">
        <x:v>MC-061</x:v>
      </x:c>
      <x:c r="B65" s="14" t="str">
        <x:v>LATTICE-12</x:v>
      </x:c>
      <x:c r="C65" s="14" t="str">
        <x:v>SPAN-12</x:v>
      </x:c>
      <x:c r="D65" s="14" t="str">
        <x:v>SALINE/DENIED</x:v>
      </x:c>
      <x:c r="E65" s="14" t="n">
        <x:v>5</x:v>
      </x:c>
      <x:c r="F65" s="14" t="n">
        <x:v>144</x:v>
      </x:c>
      <x:c r="G65" s="14" t="str">
        <x:v>SEALED</x:v>
      </x:c>
      <x:c r="H65" s="14" t="str">
        <x:v>OPEN</x:v>
      </x:c>
    </x:row>
    <x:row r="66">
      <x:c r="A66" s="15" t="str">
        <x:v>MC-062</x:v>
      </x:c>
      <x:c r="B66" s="15" t="str">
        <x:v>LATTICE-12</x:v>
      </x:c>
      <x:c r="C66" s="15" t="str">
        <x:v>SPAN-12</x:v>
      </x:c>
      <x:c r="D66" s="15" t="str">
        <x:v>SALINE/DENIED</x:v>
      </x:c>
      <x:c r="E66" s="15" t="n">
        <x:v>6</x:v>
      </x:c>
      <x:c r="F66" s="15" t="n">
        <x:v>144</x:v>
      </x:c>
      <x:c r="G66" s="15" t="str">
        <x:v>SEALED</x:v>
      </x:c>
      <x:c r="H66" s="15" t="str">
        <x:v>OPEN</x:v>
      </x:c>
    </x:row>
    <x:row r="67">
      <x:c r="A67" s="14" t="str">
        <x:v>MC-063</x:v>
      </x:c>
      <x:c r="B67" s="14" t="str">
        <x:v>LATTICE-12</x:v>
      </x:c>
      <x:c r="C67" s="14" t="str">
        <x:v>SPAN-12</x:v>
      </x:c>
      <x:c r="D67" s="14" t="str">
        <x:v>SALINE/DENIED</x:v>
      </x:c>
      <x:c r="E67" s="14" t="n">
        <x:v>7</x:v>
      </x:c>
      <x:c r="F67" s="14" t="n">
        <x:v>144</x:v>
      </x:c>
      <x:c r="G67" s="14" t="str">
        <x:v>SEALED</x:v>
      </x:c>
      <x:c r="H67" s="14" t="str">
        <x:v>OPEN</x:v>
      </x:c>
    </x:row>
    <x:row r="68">
      <x:c r="A68" s="15" t="str">
        <x:v>MC-064</x:v>
      </x:c>
      <x:c r="B68" s="15" t="str">
        <x:v>LATTICE-12</x:v>
      </x:c>
      <x:c r="C68" s="15" t="str">
        <x:v>SPAN-12</x:v>
      </x:c>
      <x:c r="D68" s="15" t="str">
        <x:v>SALINE/DENIED</x:v>
      </x:c>
      <x:c r="E68" s="15" t="n">
        <x:v>8</x:v>
      </x:c>
      <x:c r="F68" s="15" t="n">
        <x:v>144</x:v>
      </x:c>
      <x:c r="G68" s="15" t="str">
        <x:v>SEALED</x:v>
      </x:c>
      <x:c r="H68" s="15" t="str">
        <x:v>OPEN</x:v>
      </x:c>
    </x:row>
    <x:row r="69">
      <x:c r="A69" s="14" t="str">
        <x:v>MC-065</x:v>
      </x:c>
      <x:c r="B69" s="14" t="str">
        <x:v>LATTICE-12</x:v>
      </x:c>
      <x:c r="C69" s="14" t="str">
        <x:v>SWARM-12</x:v>
      </x:c>
      <x:c r="D69" s="14" t="str">
        <x:v>FRESH/NORMAL</x:v>
      </x:c>
      <x:c r="E69" s="14" t="n">
        <x:v>1</x:v>
      </x:c>
      <x:c r="F69" s="14" t="n">
        <x:v>144</x:v>
      </x:c>
      <x:c r="G69" s="14" t="str">
        <x:v>SEALED</x:v>
      </x:c>
      <x:c r="H69" s="14" t="str">
        <x:v>OPEN</x:v>
      </x:c>
    </x:row>
    <x:row r="70">
      <x:c r="A70" s="15" t="str">
        <x:v>MC-066</x:v>
      </x:c>
      <x:c r="B70" s="15" t="str">
        <x:v>LATTICE-12</x:v>
      </x:c>
      <x:c r="C70" s="15" t="str">
        <x:v>SWARM-12</x:v>
      </x:c>
      <x:c r="D70" s="15" t="str">
        <x:v>FRESH/NORMAL</x:v>
      </x:c>
      <x:c r="E70" s="15" t="n">
        <x:v>2</x:v>
      </x:c>
      <x:c r="F70" s="15" t="n">
        <x:v>144</x:v>
      </x:c>
      <x:c r="G70" s="15" t="str">
        <x:v>SEALED</x:v>
      </x:c>
      <x:c r="H70" s="15" t="str">
        <x:v>OPEN</x:v>
      </x:c>
    </x:row>
    <x:row r="71">
      <x:c r="A71" s="14" t="str">
        <x:v>MC-067</x:v>
      </x:c>
      <x:c r="B71" s="14" t="str">
        <x:v>LATTICE-12</x:v>
      </x:c>
      <x:c r="C71" s="14" t="str">
        <x:v>SWARM-12</x:v>
      </x:c>
      <x:c r="D71" s="14" t="str">
        <x:v>FRESH/NORMAL</x:v>
      </x:c>
      <x:c r="E71" s="14" t="n">
        <x:v>3</x:v>
      </x:c>
      <x:c r="F71" s="14" t="n">
        <x:v>144</x:v>
      </x:c>
      <x:c r="G71" s="14" t="str">
        <x:v>SEALED</x:v>
      </x:c>
      <x:c r="H71" s="14" t="str">
        <x:v>OPEN</x:v>
      </x:c>
    </x:row>
    <x:row r="72">
      <x:c r="A72" s="15" t="str">
        <x:v>MC-068</x:v>
      </x:c>
      <x:c r="B72" s="15" t="str">
        <x:v>LATTICE-12</x:v>
      </x:c>
      <x:c r="C72" s="15" t="str">
        <x:v>SWARM-12</x:v>
      </x:c>
      <x:c r="D72" s="15" t="str">
        <x:v>FRESH/NORMAL</x:v>
      </x:c>
      <x:c r="E72" s="15" t="n">
        <x:v>4</x:v>
      </x:c>
      <x:c r="F72" s="15" t="n">
        <x:v>144</x:v>
      </x:c>
      <x:c r="G72" s="15" t="str">
        <x:v>SEALED</x:v>
      </x:c>
      <x:c r="H72" s="15" t="str">
        <x:v>OPEN</x:v>
      </x:c>
    </x:row>
    <x:row r="73">
      <x:c r="A73" s="14" t="str">
        <x:v>MC-069</x:v>
      </x:c>
      <x:c r="B73" s="14" t="str">
        <x:v>LATTICE-12</x:v>
      </x:c>
      <x:c r="C73" s="14" t="str">
        <x:v>SWARM-12</x:v>
      </x:c>
      <x:c r="D73" s="14" t="str">
        <x:v>FRESH/NORMAL</x:v>
      </x:c>
      <x:c r="E73" s="14" t="n">
        <x:v>5</x:v>
      </x:c>
      <x:c r="F73" s="14" t="n">
        <x:v>144</x:v>
      </x:c>
      <x:c r="G73" s="14" t="str">
        <x:v>SEALED</x:v>
      </x:c>
      <x:c r="H73" s="14" t="str">
        <x:v>OPEN</x:v>
      </x:c>
    </x:row>
    <x:row r="74">
      <x:c r="A74" s="15" t="str">
        <x:v>MC-070</x:v>
      </x:c>
      <x:c r="B74" s="15" t="str">
        <x:v>LATTICE-12</x:v>
      </x:c>
      <x:c r="C74" s="15" t="str">
        <x:v>SWARM-12</x:v>
      </x:c>
      <x:c r="D74" s="15" t="str">
        <x:v>FRESH/NORMAL</x:v>
      </x:c>
      <x:c r="E74" s="15" t="n">
        <x:v>6</x:v>
      </x:c>
      <x:c r="F74" s="15" t="n">
        <x:v>144</x:v>
      </x:c>
      <x:c r="G74" s="15" t="str">
        <x:v>SEALED</x:v>
      </x:c>
      <x:c r="H74" s="15" t="str">
        <x:v>OPEN</x:v>
      </x:c>
    </x:row>
    <x:row r="75">
      <x:c r="A75" s="14" t="str">
        <x:v>MC-071</x:v>
      </x:c>
      <x:c r="B75" s="14" t="str">
        <x:v>LATTICE-12</x:v>
      </x:c>
      <x:c r="C75" s="14" t="str">
        <x:v>SWARM-12</x:v>
      </x:c>
      <x:c r="D75" s="14" t="str">
        <x:v>FRESH/NORMAL</x:v>
      </x:c>
      <x:c r="E75" s="14" t="n">
        <x:v>7</x:v>
      </x:c>
      <x:c r="F75" s="14" t="n">
        <x:v>144</x:v>
      </x:c>
      <x:c r="G75" s="14" t="str">
        <x:v>SEALED</x:v>
      </x:c>
      <x:c r="H75" s="14" t="str">
        <x:v>OPEN</x:v>
      </x:c>
    </x:row>
    <x:row r="76">
      <x:c r="A76" s="15" t="str">
        <x:v>MC-072</x:v>
      </x:c>
      <x:c r="B76" s="15" t="str">
        <x:v>LATTICE-12</x:v>
      </x:c>
      <x:c r="C76" s="15" t="str">
        <x:v>SWARM-12</x:v>
      </x:c>
      <x:c r="D76" s="15" t="str">
        <x:v>FRESH/NORMAL</x:v>
      </x:c>
      <x:c r="E76" s="15" t="n">
        <x:v>8</x:v>
      </x:c>
      <x:c r="F76" s="15" t="n">
        <x:v>144</x:v>
      </x:c>
      <x:c r="G76" s="15" t="str">
        <x:v>SEALED</x:v>
      </x:c>
      <x:c r="H76" s="15" t="str">
        <x:v>OPEN</x:v>
      </x:c>
    </x:row>
    <x:row r="77">
      <x:c r="A77" s="14" t="str">
        <x:v>MC-073</x:v>
      </x:c>
      <x:c r="B77" s="14" t="str">
        <x:v>LATTICE-12</x:v>
      </x:c>
      <x:c r="C77" s="14" t="str">
        <x:v>SWARM-12</x:v>
      </x:c>
      <x:c r="D77" s="14" t="str">
        <x:v>FRESH/DENIED</x:v>
      </x:c>
      <x:c r="E77" s="14" t="n">
        <x:v>1</x:v>
      </x:c>
      <x:c r="F77" s="14" t="n">
        <x:v>144</x:v>
      </x:c>
      <x:c r="G77" s="14" t="str">
        <x:v>SEALED</x:v>
      </x:c>
      <x:c r="H77" s="14" t="str">
        <x:v>OPEN</x:v>
      </x:c>
    </x:row>
    <x:row r="78">
      <x:c r="A78" s="15" t="str">
        <x:v>MC-074</x:v>
      </x:c>
      <x:c r="B78" s="15" t="str">
        <x:v>LATTICE-12</x:v>
      </x:c>
      <x:c r="C78" s="15" t="str">
        <x:v>SWARM-12</x:v>
      </x:c>
      <x:c r="D78" s="15" t="str">
        <x:v>FRESH/DENIED</x:v>
      </x:c>
      <x:c r="E78" s="15" t="n">
        <x:v>2</x:v>
      </x:c>
      <x:c r="F78" s="15" t="n">
        <x:v>144</x:v>
      </x:c>
      <x:c r="G78" s="15" t="str">
        <x:v>SEALED</x:v>
      </x:c>
      <x:c r="H78" s="15" t="str">
        <x:v>OPEN</x:v>
      </x:c>
    </x:row>
    <x:row r="79">
      <x:c r="A79" s="14" t="str">
        <x:v>MC-075</x:v>
      </x:c>
      <x:c r="B79" s="14" t="str">
        <x:v>LATTICE-12</x:v>
      </x:c>
      <x:c r="C79" s="14" t="str">
        <x:v>SWARM-12</x:v>
      </x:c>
      <x:c r="D79" s="14" t="str">
        <x:v>FRESH/DENIED</x:v>
      </x:c>
      <x:c r="E79" s="14" t="n">
        <x:v>3</x:v>
      </x:c>
      <x:c r="F79" s="14" t="n">
        <x:v>144</x:v>
      </x:c>
      <x:c r="G79" s="14" t="str">
        <x:v>SEALED</x:v>
      </x:c>
      <x:c r="H79" s="14" t="str">
        <x:v>OPEN</x:v>
      </x:c>
    </x:row>
    <x:row r="80">
      <x:c r="A80" s="15" t="str">
        <x:v>MC-076</x:v>
      </x:c>
      <x:c r="B80" s="15" t="str">
        <x:v>LATTICE-12</x:v>
      </x:c>
      <x:c r="C80" s="15" t="str">
        <x:v>SWARM-12</x:v>
      </x:c>
      <x:c r="D80" s="15" t="str">
        <x:v>FRESH/DENIED</x:v>
      </x:c>
      <x:c r="E80" s="15" t="n">
        <x:v>4</x:v>
      </x:c>
      <x:c r="F80" s="15" t="n">
        <x:v>144</x:v>
      </x:c>
      <x:c r="G80" s="15" t="str">
        <x:v>SEALED</x:v>
      </x:c>
      <x:c r="H80" s="15" t="str">
        <x:v>OPEN</x:v>
      </x:c>
    </x:row>
    <x:row r="81">
      <x:c r="A81" s="14" t="str">
        <x:v>MC-077</x:v>
      </x:c>
      <x:c r="B81" s="14" t="str">
        <x:v>LATTICE-12</x:v>
      </x:c>
      <x:c r="C81" s="14" t="str">
        <x:v>SWARM-12</x:v>
      </x:c>
      <x:c r="D81" s="14" t="str">
        <x:v>FRESH/DENIED</x:v>
      </x:c>
      <x:c r="E81" s="14" t="n">
        <x:v>5</x:v>
      </x:c>
      <x:c r="F81" s="14" t="n">
        <x:v>144</x:v>
      </x:c>
      <x:c r="G81" s="14" t="str">
        <x:v>SEALED</x:v>
      </x:c>
      <x:c r="H81" s="14" t="str">
        <x:v>OPEN</x:v>
      </x:c>
    </x:row>
    <x:row r="82">
      <x:c r="A82" s="15" t="str">
        <x:v>MC-078</x:v>
      </x:c>
      <x:c r="B82" s="15" t="str">
        <x:v>LATTICE-12</x:v>
      </x:c>
      <x:c r="C82" s="15" t="str">
        <x:v>SWARM-12</x:v>
      </x:c>
      <x:c r="D82" s="15" t="str">
        <x:v>FRESH/DENIED</x:v>
      </x:c>
      <x:c r="E82" s="15" t="n">
        <x:v>6</x:v>
      </x:c>
      <x:c r="F82" s="15" t="n">
        <x:v>144</x:v>
      </x:c>
      <x:c r="G82" s="15" t="str">
        <x:v>SEALED</x:v>
      </x:c>
      <x:c r="H82" s="15" t="str">
        <x:v>OPEN</x:v>
      </x:c>
    </x:row>
    <x:row r="83">
      <x:c r="A83" s="14" t="str">
        <x:v>MC-079</x:v>
      </x:c>
      <x:c r="B83" s="14" t="str">
        <x:v>LATTICE-12</x:v>
      </x:c>
      <x:c r="C83" s="14" t="str">
        <x:v>SWARM-12</x:v>
      </x:c>
      <x:c r="D83" s="14" t="str">
        <x:v>FRESH/DENIED</x:v>
      </x:c>
      <x:c r="E83" s="14" t="n">
        <x:v>7</x:v>
      </x:c>
      <x:c r="F83" s="14" t="n">
        <x:v>144</x:v>
      </x:c>
      <x:c r="G83" s="14" t="str">
        <x:v>SEALED</x:v>
      </x:c>
      <x:c r="H83" s="14" t="str">
        <x:v>OPEN</x:v>
      </x:c>
    </x:row>
    <x:row r="84">
      <x:c r="A84" s="15" t="str">
        <x:v>MC-080</x:v>
      </x:c>
      <x:c r="B84" s="15" t="str">
        <x:v>LATTICE-12</x:v>
      </x:c>
      <x:c r="C84" s="15" t="str">
        <x:v>SWARM-12</x:v>
      </x:c>
      <x:c r="D84" s="15" t="str">
        <x:v>FRESH/DENIED</x:v>
      </x:c>
      <x:c r="E84" s="15" t="n">
        <x:v>8</x:v>
      </x:c>
      <x:c r="F84" s="15" t="n">
        <x:v>144</x:v>
      </x:c>
      <x:c r="G84" s="15" t="str">
        <x:v>SEALED</x:v>
      </x:c>
      <x:c r="H84" s="15" t="str">
        <x:v>OPEN</x:v>
      </x:c>
    </x:row>
    <x:row r="85">
      <x:c r="A85" s="14" t="str">
        <x:v>MC-081</x:v>
      </x:c>
      <x:c r="B85" s="14" t="str">
        <x:v>LATTICE-12</x:v>
      </x:c>
      <x:c r="C85" s="14" t="str">
        <x:v>SWARM-12</x:v>
      </x:c>
      <x:c r="D85" s="14" t="str">
        <x:v>SALINE/NORMAL</x:v>
      </x:c>
      <x:c r="E85" s="14" t="n">
        <x:v>1</x:v>
      </x:c>
      <x:c r="F85" s="14" t="n">
        <x:v>144</x:v>
      </x:c>
      <x:c r="G85" s="14" t="str">
        <x:v>SEALED</x:v>
      </x:c>
      <x:c r="H85" s="14" t="str">
        <x:v>OPEN</x:v>
      </x:c>
    </x:row>
    <x:row r="86">
      <x:c r="A86" s="15" t="str">
        <x:v>MC-082</x:v>
      </x:c>
      <x:c r="B86" s="15" t="str">
        <x:v>LATTICE-12</x:v>
      </x:c>
      <x:c r="C86" s="15" t="str">
        <x:v>SWARM-12</x:v>
      </x:c>
      <x:c r="D86" s="15" t="str">
        <x:v>SALINE/NORMAL</x:v>
      </x:c>
      <x:c r="E86" s="15" t="n">
        <x:v>2</x:v>
      </x:c>
      <x:c r="F86" s="15" t="n">
        <x:v>144</x:v>
      </x:c>
      <x:c r="G86" s="15" t="str">
        <x:v>SEALED</x:v>
      </x:c>
      <x:c r="H86" s="15" t="str">
        <x:v>OPEN</x:v>
      </x:c>
    </x:row>
    <x:row r="87">
      <x:c r="A87" s="14" t="str">
        <x:v>MC-083</x:v>
      </x:c>
      <x:c r="B87" s="14" t="str">
        <x:v>LATTICE-12</x:v>
      </x:c>
      <x:c r="C87" s="14" t="str">
        <x:v>SWARM-12</x:v>
      </x:c>
      <x:c r="D87" s="14" t="str">
        <x:v>SALINE/NORMAL</x:v>
      </x:c>
      <x:c r="E87" s="14" t="n">
        <x:v>3</x:v>
      </x:c>
      <x:c r="F87" s="14" t="n">
        <x:v>144</x:v>
      </x:c>
      <x:c r="G87" s="14" t="str">
        <x:v>SEALED</x:v>
      </x:c>
      <x:c r="H87" s="14" t="str">
        <x:v>OPEN</x:v>
      </x:c>
    </x:row>
    <x:row r="88">
      <x:c r="A88" s="15" t="str">
        <x:v>MC-084</x:v>
      </x:c>
      <x:c r="B88" s="15" t="str">
        <x:v>LATTICE-12</x:v>
      </x:c>
      <x:c r="C88" s="15" t="str">
        <x:v>SWARM-12</x:v>
      </x:c>
      <x:c r="D88" s="15" t="str">
        <x:v>SALINE/NORMAL</x:v>
      </x:c>
      <x:c r="E88" s="15" t="n">
        <x:v>4</x:v>
      </x:c>
      <x:c r="F88" s="15" t="n">
        <x:v>144</x:v>
      </x:c>
      <x:c r="G88" s="15" t="str">
        <x:v>SEALED</x:v>
      </x:c>
      <x:c r="H88" s="15" t="str">
        <x:v>OPEN</x:v>
      </x:c>
    </x:row>
    <x:row r="89">
      <x:c r="A89" s="14" t="str">
        <x:v>MC-085</x:v>
      </x:c>
      <x:c r="B89" s="14" t="str">
        <x:v>LATTICE-12</x:v>
      </x:c>
      <x:c r="C89" s="14" t="str">
        <x:v>SWARM-12</x:v>
      </x:c>
      <x:c r="D89" s="14" t="str">
        <x:v>SALINE/NORMAL</x:v>
      </x:c>
      <x:c r="E89" s="14" t="n">
        <x:v>5</x:v>
      </x:c>
      <x:c r="F89" s="14" t="n">
        <x:v>144</x:v>
      </x:c>
      <x:c r="G89" s="14" t="str">
        <x:v>SEALED</x:v>
      </x:c>
      <x:c r="H89" s="14" t="str">
        <x:v>OPEN</x:v>
      </x:c>
    </x:row>
    <x:row r="90">
      <x:c r="A90" s="15" t="str">
        <x:v>MC-086</x:v>
      </x:c>
      <x:c r="B90" s="15" t="str">
        <x:v>LATTICE-12</x:v>
      </x:c>
      <x:c r="C90" s="15" t="str">
        <x:v>SWARM-12</x:v>
      </x:c>
      <x:c r="D90" s="15" t="str">
        <x:v>SALINE/NORMAL</x:v>
      </x:c>
      <x:c r="E90" s="15" t="n">
        <x:v>6</x:v>
      </x:c>
      <x:c r="F90" s="15" t="n">
        <x:v>144</x:v>
      </x:c>
      <x:c r="G90" s="15" t="str">
        <x:v>SEALED</x:v>
      </x:c>
      <x:c r="H90" s="15" t="str">
        <x:v>OPEN</x:v>
      </x:c>
    </x:row>
    <x:row r="91">
      <x:c r="A91" s="14" t="str">
        <x:v>MC-087</x:v>
      </x:c>
      <x:c r="B91" s="14" t="str">
        <x:v>LATTICE-12</x:v>
      </x:c>
      <x:c r="C91" s="14" t="str">
        <x:v>SWARM-12</x:v>
      </x:c>
      <x:c r="D91" s="14" t="str">
        <x:v>SALINE/NORMAL</x:v>
      </x:c>
      <x:c r="E91" s="14" t="n">
        <x:v>7</x:v>
      </x:c>
      <x:c r="F91" s="14" t="n">
        <x:v>144</x:v>
      </x:c>
      <x:c r="G91" s="14" t="str">
        <x:v>SEALED</x:v>
      </x:c>
      <x:c r="H91" s="14" t="str">
        <x:v>OPEN</x:v>
      </x:c>
    </x:row>
    <x:row r="92">
      <x:c r="A92" s="15" t="str">
        <x:v>MC-088</x:v>
      </x:c>
      <x:c r="B92" s="15" t="str">
        <x:v>LATTICE-12</x:v>
      </x:c>
      <x:c r="C92" s="15" t="str">
        <x:v>SWARM-12</x:v>
      </x:c>
      <x:c r="D92" s="15" t="str">
        <x:v>SALINE/NORMAL</x:v>
      </x:c>
      <x:c r="E92" s="15" t="n">
        <x:v>8</x:v>
      </x:c>
      <x:c r="F92" s="15" t="n">
        <x:v>144</x:v>
      </x:c>
      <x:c r="G92" s="15" t="str">
        <x:v>SEALED</x:v>
      </x:c>
      <x:c r="H92" s="15" t="str">
        <x:v>OPEN</x:v>
      </x:c>
    </x:row>
    <x:row r="93">
      <x:c r="A93" s="14" t="str">
        <x:v>MC-089</x:v>
      </x:c>
      <x:c r="B93" s="14" t="str">
        <x:v>LATTICE-12</x:v>
      </x:c>
      <x:c r="C93" s="14" t="str">
        <x:v>SWARM-12</x:v>
      </x:c>
      <x:c r="D93" s="14" t="str">
        <x:v>SALINE/DENIED</x:v>
      </x:c>
      <x:c r="E93" s="14" t="n">
        <x:v>1</x:v>
      </x:c>
      <x:c r="F93" s="14" t="n">
        <x:v>144</x:v>
      </x:c>
      <x:c r="G93" s="14" t="str">
        <x:v>SEALED</x:v>
      </x:c>
      <x:c r="H93" s="14" t="str">
        <x:v>OPEN</x:v>
      </x:c>
    </x:row>
    <x:row r="94">
      <x:c r="A94" s="15" t="str">
        <x:v>MC-090</x:v>
      </x:c>
      <x:c r="B94" s="15" t="str">
        <x:v>LATTICE-12</x:v>
      </x:c>
      <x:c r="C94" s="15" t="str">
        <x:v>SWARM-12</x:v>
      </x:c>
      <x:c r="D94" s="15" t="str">
        <x:v>SALINE/DENIED</x:v>
      </x:c>
      <x:c r="E94" s="15" t="n">
        <x:v>2</x:v>
      </x:c>
      <x:c r="F94" s="15" t="n">
        <x:v>144</x:v>
      </x:c>
      <x:c r="G94" s="15" t="str">
        <x:v>SEALED</x:v>
      </x:c>
      <x:c r="H94" s="15" t="str">
        <x:v>OPEN</x:v>
      </x:c>
    </x:row>
    <x:row r="95">
      <x:c r="A95" s="14" t="str">
        <x:v>MC-091</x:v>
      </x:c>
      <x:c r="B95" s="14" t="str">
        <x:v>LATTICE-12</x:v>
      </x:c>
      <x:c r="C95" s="14" t="str">
        <x:v>SWARM-12</x:v>
      </x:c>
      <x:c r="D95" s="14" t="str">
        <x:v>SALINE/DENIED</x:v>
      </x:c>
      <x:c r="E95" s="14" t="n">
        <x:v>3</x:v>
      </x:c>
      <x:c r="F95" s="14" t="n">
        <x:v>144</x:v>
      </x:c>
      <x:c r="G95" s="14" t="str">
        <x:v>SEALED</x:v>
      </x:c>
      <x:c r="H95" s="14" t="str">
        <x:v>OPEN</x:v>
      </x:c>
    </x:row>
    <x:row r="96">
      <x:c r="A96" s="15" t="str">
        <x:v>MC-092</x:v>
      </x:c>
      <x:c r="B96" s="15" t="str">
        <x:v>LATTICE-12</x:v>
      </x:c>
      <x:c r="C96" s="15" t="str">
        <x:v>SWARM-12</x:v>
      </x:c>
      <x:c r="D96" s="15" t="str">
        <x:v>SALINE/DENIED</x:v>
      </x:c>
      <x:c r="E96" s="15" t="n">
        <x:v>4</x:v>
      </x:c>
      <x:c r="F96" s="15" t="n">
        <x:v>144</x:v>
      </x:c>
      <x:c r="G96" s="15" t="str">
        <x:v>SEALED</x:v>
      </x:c>
      <x:c r="H96" s="15" t="str">
        <x:v>OPEN</x:v>
      </x:c>
    </x:row>
    <x:row r="97">
      <x:c r="A97" s="14" t="str">
        <x:v>MC-093</x:v>
      </x:c>
      <x:c r="B97" s="14" t="str">
        <x:v>LATTICE-12</x:v>
      </x:c>
      <x:c r="C97" s="14" t="str">
        <x:v>SWARM-12</x:v>
      </x:c>
      <x:c r="D97" s="14" t="str">
        <x:v>SALINE/DENIED</x:v>
      </x:c>
      <x:c r="E97" s="14" t="n">
        <x:v>5</x:v>
      </x:c>
      <x:c r="F97" s="14" t="n">
        <x:v>144</x:v>
      </x:c>
      <x:c r="G97" s="14" t="str">
        <x:v>SEALED</x:v>
      </x:c>
      <x:c r="H97" s="14" t="str">
        <x:v>OPEN</x:v>
      </x:c>
    </x:row>
    <x:row r="98">
      <x:c r="A98" s="15" t="str">
        <x:v>MC-094</x:v>
      </x:c>
      <x:c r="B98" s="15" t="str">
        <x:v>LATTICE-12</x:v>
      </x:c>
      <x:c r="C98" s="15" t="str">
        <x:v>SWARM-12</x:v>
      </x:c>
      <x:c r="D98" s="15" t="str">
        <x:v>SALINE/DENIED</x:v>
      </x:c>
      <x:c r="E98" s="15" t="n">
        <x:v>6</x:v>
      </x:c>
      <x:c r="F98" s="15" t="n">
        <x:v>144</x:v>
      </x:c>
      <x:c r="G98" s="15" t="str">
        <x:v>SEALED</x:v>
      </x:c>
      <x:c r="H98" s="15" t="str">
        <x:v>OPEN</x:v>
      </x:c>
    </x:row>
    <x:row r="99">
      <x:c r="A99" s="14" t="str">
        <x:v>MC-095</x:v>
      </x:c>
      <x:c r="B99" s="14" t="str">
        <x:v>LATTICE-12</x:v>
      </x:c>
      <x:c r="C99" s="14" t="str">
        <x:v>SWARM-12</x:v>
      </x:c>
      <x:c r="D99" s="14" t="str">
        <x:v>SALINE/DENIED</x:v>
      </x:c>
      <x:c r="E99" s="14" t="n">
        <x:v>7</x:v>
      </x:c>
      <x:c r="F99" s="14" t="n">
        <x:v>144</x:v>
      </x:c>
      <x:c r="G99" s="14" t="str">
        <x:v>SEALED</x:v>
      </x:c>
      <x:c r="H99" s="14" t="str">
        <x:v>OPEN</x:v>
      </x:c>
    </x:row>
    <x:row r="100">
      <x:c r="A100" s="15" t="str">
        <x:v>MC-096</x:v>
      </x:c>
      <x:c r="B100" s="15" t="str">
        <x:v>LATTICE-12</x:v>
      </x:c>
      <x:c r="C100" s="15" t="str">
        <x:v>SWARM-12</x:v>
      </x:c>
      <x:c r="D100" s="15" t="str">
        <x:v>SALINE/DENIED</x:v>
      </x:c>
      <x:c r="E100" s="15" t="n">
        <x:v>8</x:v>
      </x:c>
      <x:c r="F100" s="15" t="n">
        <x:v>144</x:v>
      </x:c>
      <x:c r="G100" s="15" t="str">
        <x:v>SEALED</x:v>
      </x:c>
      <x:c r="H100" s="15" t="str">
        <x:v>OPEN</x:v>
      </x:c>
    </x:row>
    <x:row r="101">
      <x:c r="A101" s="14" t="str">
        <x:v>MC-097</x:v>
      </x:c>
      <x:c r="B101" s="14" t="str">
        <x:v>RING-12</x:v>
      </x:c>
      <x:c r="C101" s="14" t="str">
        <x:v>SPAN-12</x:v>
      </x:c>
      <x:c r="D101" s="14" t="str">
        <x:v>FRESH/NORMAL</x:v>
      </x:c>
      <x:c r="E101" s="14" t="n">
        <x:v>1</x:v>
      </x:c>
      <x:c r="F101" s="14" t="n">
        <x:v>144</x:v>
      </x:c>
      <x:c r="G101" s="14" t="str">
        <x:v>SEALED</x:v>
      </x:c>
      <x:c r="H101" s="14" t="str">
        <x:v>OPEN</x:v>
      </x:c>
    </x:row>
    <x:row r="102">
      <x:c r="A102" s="15" t="str">
        <x:v>MC-098</x:v>
      </x:c>
      <x:c r="B102" s="15" t="str">
        <x:v>RING-12</x:v>
      </x:c>
      <x:c r="C102" s="15" t="str">
        <x:v>SPAN-12</x:v>
      </x:c>
      <x:c r="D102" s="15" t="str">
        <x:v>FRESH/NORMAL</x:v>
      </x:c>
      <x:c r="E102" s="15" t="n">
        <x:v>2</x:v>
      </x:c>
      <x:c r="F102" s="15" t="n">
        <x:v>144</x:v>
      </x:c>
      <x:c r="G102" s="15" t="str">
        <x:v>SEALED</x:v>
      </x:c>
      <x:c r="H102" s="15" t="str">
        <x:v>OPEN</x:v>
      </x:c>
    </x:row>
    <x:row r="103">
      <x:c r="A103" s="14" t="str">
        <x:v>MC-099</x:v>
      </x:c>
      <x:c r="B103" s="14" t="str">
        <x:v>RING-12</x:v>
      </x:c>
      <x:c r="C103" s="14" t="str">
        <x:v>SPAN-12</x:v>
      </x:c>
      <x:c r="D103" s="14" t="str">
        <x:v>FRESH/NORMAL</x:v>
      </x:c>
      <x:c r="E103" s="14" t="n">
        <x:v>3</x:v>
      </x:c>
      <x:c r="F103" s="14" t="n">
        <x:v>144</x:v>
      </x:c>
      <x:c r="G103" s="14" t="str">
        <x:v>SEALED</x:v>
      </x:c>
      <x:c r="H103" s="14" t="str">
        <x:v>OPEN</x:v>
      </x:c>
    </x:row>
    <x:row r="104">
      <x:c r="A104" s="15" t="str">
        <x:v>MC-100</x:v>
      </x:c>
      <x:c r="B104" s="15" t="str">
        <x:v>RING-12</x:v>
      </x:c>
      <x:c r="C104" s="15" t="str">
        <x:v>SPAN-12</x:v>
      </x:c>
      <x:c r="D104" s="15" t="str">
        <x:v>FRESH/NORMAL</x:v>
      </x:c>
      <x:c r="E104" s="15" t="n">
        <x:v>4</x:v>
      </x:c>
      <x:c r="F104" s="15" t="n">
        <x:v>144</x:v>
      </x:c>
      <x:c r="G104" s="15" t="str">
        <x:v>SEALED</x:v>
      </x:c>
      <x:c r="H104" s="15" t="str">
        <x:v>OPEN</x:v>
      </x:c>
    </x:row>
    <x:row r="105">
      <x:c r="A105" s="14" t="str">
        <x:v>MC-101</x:v>
      </x:c>
      <x:c r="B105" s="14" t="str">
        <x:v>RING-12</x:v>
      </x:c>
      <x:c r="C105" s="14" t="str">
        <x:v>SPAN-12</x:v>
      </x:c>
      <x:c r="D105" s="14" t="str">
        <x:v>FRESH/NORMAL</x:v>
      </x:c>
      <x:c r="E105" s="14" t="n">
        <x:v>5</x:v>
      </x:c>
      <x:c r="F105" s="14" t="n">
        <x:v>144</x:v>
      </x:c>
      <x:c r="G105" s="14" t="str">
        <x:v>SEALED</x:v>
      </x:c>
      <x:c r="H105" s="14" t="str">
        <x:v>OPEN</x:v>
      </x:c>
    </x:row>
    <x:row r="106">
      <x:c r="A106" s="15" t="str">
        <x:v>MC-102</x:v>
      </x:c>
      <x:c r="B106" s="15" t="str">
        <x:v>RING-12</x:v>
      </x:c>
      <x:c r="C106" s="15" t="str">
        <x:v>SPAN-12</x:v>
      </x:c>
      <x:c r="D106" s="15" t="str">
        <x:v>FRESH/NORMAL</x:v>
      </x:c>
      <x:c r="E106" s="15" t="n">
        <x:v>6</x:v>
      </x:c>
      <x:c r="F106" s="15" t="n">
        <x:v>144</x:v>
      </x:c>
      <x:c r="G106" s="15" t="str">
        <x:v>SEALED</x:v>
      </x:c>
      <x:c r="H106" s="15" t="str">
        <x:v>OPEN</x:v>
      </x:c>
    </x:row>
    <x:row r="107">
      <x:c r="A107" s="14" t="str">
        <x:v>MC-103</x:v>
      </x:c>
      <x:c r="B107" s="14" t="str">
        <x:v>RING-12</x:v>
      </x:c>
      <x:c r="C107" s="14" t="str">
        <x:v>SPAN-12</x:v>
      </x:c>
      <x:c r="D107" s="14" t="str">
        <x:v>FRESH/NORMAL</x:v>
      </x:c>
      <x:c r="E107" s="14" t="n">
        <x:v>7</x:v>
      </x:c>
      <x:c r="F107" s="14" t="n">
        <x:v>144</x:v>
      </x:c>
      <x:c r="G107" s="14" t="str">
        <x:v>SEALED</x:v>
      </x:c>
      <x:c r="H107" s="14" t="str">
        <x:v>OPEN</x:v>
      </x:c>
    </x:row>
    <x:row r="108">
      <x:c r="A108" s="15" t="str">
        <x:v>MC-104</x:v>
      </x:c>
      <x:c r="B108" s="15" t="str">
        <x:v>RING-12</x:v>
      </x:c>
      <x:c r="C108" s="15" t="str">
        <x:v>SPAN-12</x:v>
      </x:c>
      <x:c r="D108" s="15" t="str">
        <x:v>FRESH/NORMAL</x:v>
      </x:c>
      <x:c r="E108" s="15" t="n">
        <x:v>8</x:v>
      </x:c>
      <x:c r="F108" s="15" t="n">
        <x:v>144</x:v>
      </x:c>
      <x:c r="G108" s="15" t="str">
        <x:v>SEALED</x:v>
      </x:c>
      <x:c r="H108" s="15" t="str">
        <x:v>OPEN</x:v>
      </x:c>
    </x:row>
    <x:row r="109">
      <x:c r="A109" s="14" t="str">
        <x:v>MC-105</x:v>
      </x:c>
      <x:c r="B109" s="14" t="str">
        <x:v>RING-12</x:v>
      </x:c>
      <x:c r="C109" s="14" t="str">
        <x:v>SPAN-12</x:v>
      </x:c>
      <x:c r="D109" s="14" t="str">
        <x:v>FRESH/DENIED</x:v>
      </x:c>
      <x:c r="E109" s="14" t="n">
        <x:v>1</x:v>
      </x:c>
      <x:c r="F109" s="14" t="n">
        <x:v>144</x:v>
      </x:c>
      <x:c r="G109" s="14" t="str">
        <x:v>SEALED</x:v>
      </x:c>
      <x:c r="H109" s="14" t="str">
        <x:v>OPEN</x:v>
      </x:c>
    </x:row>
    <x:row r="110">
      <x:c r="A110" s="15" t="str">
        <x:v>MC-106</x:v>
      </x:c>
      <x:c r="B110" s="15" t="str">
        <x:v>RING-12</x:v>
      </x:c>
      <x:c r="C110" s="15" t="str">
        <x:v>SPAN-12</x:v>
      </x:c>
      <x:c r="D110" s="15" t="str">
        <x:v>FRESH/DENIED</x:v>
      </x:c>
      <x:c r="E110" s="15" t="n">
        <x:v>2</x:v>
      </x:c>
      <x:c r="F110" s="15" t="n">
        <x:v>144</x:v>
      </x:c>
      <x:c r="G110" s="15" t="str">
        <x:v>SEALED</x:v>
      </x:c>
      <x:c r="H110" s="15" t="str">
        <x:v>OPEN</x:v>
      </x:c>
    </x:row>
    <x:row r="111">
      <x:c r="A111" s="14" t="str">
        <x:v>MC-107</x:v>
      </x:c>
      <x:c r="B111" s="14" t="str">
        <x:v>RING-12</x:v>
      </x:c>
      <x:c r="C111" s="14" t="str">
        <x:v>SPAN-12</x:v>
      </x:c>
      <x:c r="D111" s="14" t="str">
        <x:v>FRESH/DENIED</x:v>
      </x:c>
      <x:c r="E111" s="14" t="n">
        <x:v>3</x:v>
      </x:c>
      <x:c r="F111" s="14" t="n">
        <x:v>144</x:v>
      </x:c>
      <x:c r="G111" s="14" t="str">
        <x:v>SEALED</x:v>
      </x:c>
      <x:c r="H111" s="14" t="str">
        <x:v>OPEN</x:v>
      </x:c>
    </x:row>
    <x:row r="112">
      <x:c r="A112" s="15" t="str">
        <x:v>MC-108</x:v>
      </x:c>
      <x:c r="B112" s="15" t="str">
        <x:v>RING-12</x:v>
      </x:c>
      <x:c r="C112" s="15" t="str">
        <x:v>SPAN-12</x:v>
      </x:c>
      <x:c r="D112" s="15" t="str">
        <x:v>FRESH/DENIED</x:v>
      </x:c>
      <x:c r="E112" s="15" t="n">
        <x:v>4</x:v>
      </x:c>
      <x:c r="F112" s="15" t="n">
        <x:v>144</x:v>
      </x:c>
      <x:c r="G112" s="15" t="str">
        <x:v>SEALED</x:v>
      </x:c>
      <x:c r="H112" s="15" t="str">
        <x:v>OPEN</x:v>
      </x:c>
    </x:row>
    <x:row r="113">
      <x:c r="A113" s="14" t="str">
        <x:v>MC-109</x:v>
      </x:c>
      <x:c r="B113" s="14" t="str">
        <x:v>RING-12</x:v>
      </x:c>
      <x:c r="C113" s="14" t="str">
        <x:v>SPAN-12</x:v>
      </x:c>
      <x:c r="D113" s="14" t="str">
        <x:v>FRESH/DENIED</x:v>
      </x:c>
      <x:c r="E113" s="14" t="n">
        <x:v>5</x:v>
      </x:c>
      <x:c r="F113" s="14" t="n">
        <x:v>144</x:v>
      </x:c>
      <x:c r="G113" s="14" t="str">
        <x:v>SEALED</x:v>
      </x:c>
      <x:c r="H113" s="14" t="str">
        <x:v>OPEN</x:v>
      </x:c>
    </x:row>
    <x:row r="114">
      <x:c r="A114" s="15" t="str">
        <x:v>MC-110</x:v>
      </x:c>
      <x:c r="B114" s="15" t="str">
        <x:v>RING-12</x:v>
      </x:c>
      <x:c r="C114" s="15" t="str">
        <x:v>SPAN-12</x:v>
      </x:c>
      <x:c r="D114" s="15" t="str">
        <x:v>FRESH/DENIED</x:v>
      </x:c>
      <x:c r="E114" s="15" t="n">
        <x:v>6</x:v>
      </x:c>
      <x:c r="F114" s="15" t="n">
        <x:v>144</x:v>
      </x:c>
      <x:c r="G114" s="15" t="str">
        <x:v>SEALED</x:v>
      </x:c>
      <x:c r="H114" s="15" t="str">
        <x:v>OPEN</x:v>
      </x:c>
    </x:row>
    <x:row r="115">
      <x:c r="A115" s="14" t="str">
        <x:v>MC-111</x:v>
      </x:c>
      <x:c r="B115" s="14" t="str">
        <x:v>RING-12</x:v>
      </x:c>
      <x:c r="C115" s="14" t="str">
        <x:v>SPAN-12</x:v>
      </x:c>
      <x:c r="D115" s="14" t="str">
        <x:v>FRESH/DENIED</x:v>
      </x:c>
      <x:c r="E115" s="14" t="n">
        <x:v>7</x:v>
      </x:c>
      <x:c r="F115" s="14" t="n">
        <x:v>144</x:v>
      </x:c>
      <x:c r="G115" s="14" t="str">
        <x:v>SEALED</x:v>
      </x:c>
      <x:c r="H115" s="14" t="str">
        <x:v>OPEN</x:v>
      </x:c>
    </x:row>
    <x:row r="116">
      <x:c r="A116" s="15" t="str">
        <x:v>MC-112</x:v>
      </x:c>
      <x:c r="B116" s="15" t="str">
        <x:v>RING-12</x:v>
      </x:c>
      <x:c r="C116" s="15" t="str">
        <x:v>SPAN-12</x:v>
      </x:c>
      <x:c r="D116" s="15" t="str">
        <x:v>FRESH/DENIED</x:v>
      </x:c>
      <x:c r="E116" s="15" t="n">
        <x:v>8</x:v>
      </x:c>
      <x:c r="F116" s="15" t="n">
        <x:v>144</x:v>
      </x:c>
      <x:c r="G116" s="15" t="str">
        <x:v>SEALED</x:v>
      </x:c>
      <x:c r="H116" s="15" t="str">
        <x:v>OPEN</x:v>
      </x:c>
    </x:row>
    <x:row r="117">
      <x:c r="A117" s="14" t="str">
        <x:v>MC-113</x:v>
      </x:c>
      <x:c r="B117" s="14" t="str">
        <x:v>RING-12</x:v>
      </x:c>
      <x:c r="C117" s="14" t="str">
        <x:v>SPAN-12</x:v>
      </x:c>
      <x:c r="D117" s="14" t="str">
        <x:v>SALINE/NORMAL</x:v>
      </x:c>
      <x:c r="E117" s="14" t="n">
        <x:v>1</x:v>
      </x:c>
      <x:c r="F117" s="14" t="n">
        <x:v>144</x:v>
      </x:c>
      <x:c r="G117" s="14" t="str">
        <x:v>SEALED</x:v>
      </x:c>
      <x:c r="H117" s="14" t="str">
        <x:v>OPEN</x:v>
      </x:c>
    </x:row>
    <x:row r="118">
      <x:c r="A118" s="15" t="str">
        <x:v>MC-114</x:v>
      </x:c>
      <x:c r="B118" s="15" t="str">
        <x:v>RING-12</x:v>
      </x:c>
      <x:c r="C118" s="15" t="str">
        <x:v>SPAN-12</x:v>
      </x:c>
      <x:c r="D118" s="15" t="str">
        <x:v>SALINE/NORMAL</x:v>
      </x:c>
      <x:c r="E118" s="15" t="n">
        <x:v>2</x:v>
      </x:c>
      <x:c r="F118" s="15" t="n">
        <x:v>144</x:v>
      </x:c>
      <x:c r="G118" s="15" t="str">
        <x:v>SEALED</x:v>
      </x:c>
      <x:c r="H118" s="15" t="str">
        <x:v>OPEN</x:v>
      </x:c>
    </x:row>
    <x:row r="119">
      <x:c r="A119" s="14" t="str">
        <x:v>MC-115</x:v>
      </x:c>
      <x:c r="B119" s="14" t="str">
        <x:v>RING-12</x:v>
      </x:c>
      <x:c r="C119" s="14" t="str">
        <x:v>SPAN-12</x:v>
      </x:c>
      <x:c r="D119" s="14" t="str">
        <x:v>SALINE/NORMAL</x:v>
      </x:c>
      <x:c r="E119" s="14" t="n">
        <x:v>3</x:v>
      </x:c>
      <x:c r="F119" s="14" t="n">
        <x:v>144</x:v>
      </x:c>
      <x:c r="G119" s="14" t="str">
        <x:v>SEALED</x:v>
      </x:c>
      <x:c r="H119" s="14" t="str">
        <x:v>OPEN</x:v>
      </x:c>
    </x:row>
    <x:row r="120">
      <x:c r="A120" s="15" t="str">
        <x:v>MC-116</x:v>
      </x:c>
      <x:c r="B120" s="15" t="str">
        <x:v>RING-12</x:v>
      </x:c>
      <x:c r="C120" s="15" t="str">
        <x:v>SPAN-12</x:v>
      </x:c>
      <x:c r="D120" s="15" t="str">
        <x:v>SALINE/NORMAL</x:v>
      </x:c>
      <x:c r="E120" s="15" t="n">
        <x:v>4</x:v>
      </x:c>
      <x:c r="F120" s="15" t="n">
        <x:v>144</x:v>
      </x:c>
      <x:c r="G120" s="15" t="str">
        <x:v>SEALED</x:v>
      </x:c>
      <x:c r="H120" s="15" t="str">
        <x:v>OPEN</x:v>
      </x:c>
    </x:row>
    <x:row r="121">
      <x:c r="A121" s="14" t="str">
        <x:v>MC-117</x:v>
      </x:c>
      <x:c r="B121" s="14" t="str">
        <x:v>RING-12</x:v>
      </x:c>
      <x:c r="C121" s="14" t="str">
        <x:v>SPAN-12</x:v>
      </x:c>
      <x:c r="D121" s="14" t="str">
        <x:v>SALINE/NORMAL</x:v>
      </x:c>
      <x:c r="E121" s="14" t="n">
        <x:v>5</x:v>
      </x:c>
      <x:c r="F121" s="14" t="n">
        <x:v>144</x:v>
      </x:c>
      <x:c r="G121" s="14" t="str">
        <x:v>SEALED</x:v>
      </x:c>
      <x:c r="H121" s="14" t="str">
        <x:v>OPEN</x:v>
      </x:c>
    </x:row>
    <x:row r="122">
      <x:c r="A122" s="15" t="str">
        <x:v>MC-118</x:v>
      </x:c>
      <x:c r="B122" s="15" t="str">
        <x:v>RING-12</x:v>
      </x:c>
      <x:c r="C122" s="15" t="str">
        <x:v>SPAN-12</x:v>
      </x:c>
      <x:c r="D122" s="15" t="str">
        <x:v>SALINE/NORMAL</x:v>
      </x:c>
      <x:c r="E122" s="15" t="n">
        <x:v>6</x:v>
      </x:c>
      <x:c r="F122" s="15" t="n">
        <x:v>144</x:v>
      </x:c>
      <x:c r="G122" s="15" t="str">
        <x:v>SEALED</x:v>
      </x:c>
      <x:c r="H122" s="15" t="str">
        <x:v>OPEN</x:v>
      </x:c>
    </x:row>
    <x:row r="123">
      <x:c r="A123" s="14" t="str">
        <x:v>MC-119</x:v>
      </x:c>
      <x:c r="B123" s="14" t="str">
        <x:v>RING-12</x:v>
      </x:c>
      <x:c r="C123" s="14" t="str">
        <x:v>SPAN-12</x:v>
      </x:c>
      <x:c r="D123" s="14" t="str">
        <x:v>SALINE/NORMAL</x:v>
      </x:c>
      <x:c r="E123" s="14" t="n">
        <x:v>7</x:v>
      </x:c>
      <x:c r="F123" s="14" t="n">
        <x:v>144</x:v>
      </x:c>
      <x:c r="G123" s="14" t="str">
        <x:v>SEALED</x:v>
      </x:c>
      <x:c r="H123" s="14" t="str">
        <x:v>OPEN</x:v>
      </x:c>
    </x:row>
    <x:row r="124">
      <x:c r="A124" s="15" t="str">
        <x:v>MC-120</x:v>
      </x:c>
      <x:c r="B124" s="15" t="str">
        <x:v>RING-12</x:v>
      </x:c>
      <x:c r="C124" s="15" t="str">
        <x:v>SPAN-12</x:v>
      </x:c>
      <x:c r="D124" s="15" t="str">
        <x:v>SALINE/NORMAL</x:v>
      </x:c>
      <x:c r="E124" s="15" t="n">
        <x:v>8</x:v>
      </x:c>
      <x:c r="F124" s="15" t="n">
        <x:v>144</x:v>
      </x:c>
      <x:c r="G124" s="15" t="str">
        <x:v>SEALED</x:v>
      </x:c>
      <x:c r="H124" s="15" t="str">
        <x:v>OPEN</x:v>
      </x:c>
    </x:row>
    <x:row r="125">
      <x:c r="A125" s="14" t="str">
        <x:v>MC-121</x:v>
      </x:c>
      <x:c r="B125" s="14" t="str">
        <x:v>RING-12</x:v>
      </x:c>
      <x:c r="C125" s="14" t="str">
        <x:v>SPAN-12</x:v>
      </x:c>
      <x:c r="D125" s="14" t="str">
        <x:v>SALINE/DENIED</x:v>
      </x:c>
      <x:c r="E125" s="14" t="n">
        <x:v>1</x:v>
      </x:c>
      <x:c r="F125" s="14" t="n">
        <x:v>144</x:v>
      </x:c>
      <x:c r="G125" s="14" t="str">
        <x:v>SEALED</x:v>
      </x:c>
      <x:c r="H125" s="14" t="str">
        <x:v>OPEN</x:v>
      </x:c>
    </x:row>
    <x:row r="126">
      <x:c r="A126" s="15" t="str">
        <x:v>MC-122</x:v>
      </x:c>
      <x:c r="B126" s="15" t="str">
        <x:v>RING-12</x:v>
      </x:c>
      <x:c r="C126" s="15" t="str">
        <x:v>SPAN-12</x:v>
      </x:c>
      <x:c r="D126" s="15" t="str">
        <x:v>SALINE/DENIED</x:v>
      </x:c>
      <x:c r="E126" s="15" t="n">
        <x:v>2</x:v>
      </x:c>
      <x:c r="F126" s="15" t="n">
        <x:v>144</x:v>
      </x:c>
      <x:c r="G126" s="15" t="str">
        <x:v>SEALED</x:v>
      </x:c>
      <x:c r="H126" s="15" t="str">
        <x:v>OPEN</x:v>
      </x:c>
    </x:row>
    <x:row r="127">
      <x:c r="A127" s="14" t="str">
        <x:v>MC-123</x:v>
      </x:c>
      <x:c r="B127" s="14" t="str">
        <x:v>RING-12</x:v>
      </x:c>
      <x:c r="C127" s="14" t="str">
        <x:v>SPAN-12</x:v>
      </x:c>
      <x:c r="D127" s="14" t="str">
        <x:v>SALINE/DENIED</x:v>
      </x:c>
      <x:c r="E127" s="14" t="n">
        <x:v>3</x:v>
      </x:c>
      <x:c r="F127" s="14" t="n">
        <x:v>144</x:v>
      </x:c>
      <x:c r="G127" s="14" t="str">
        <x:v>SEALED</x:v>
      </x:c>
      <x:c r="H127" s="14" t="str">
        <x:v>OPEN</x:v>
      </x:c>
    </x:row>
    <x:row r="128">
      <x:c r="A128" s="15" t="str">
        <x:v>MC-124</x:v>
      </x:c>
      <x:c r="B128" s="15" t="str">
        <x:v>RING-12</x:v>
      </x:c>
      <x:c r="C128" s="15" t="str">
        <x:v>SPAN-12</x:v>
      </x:c>
      <x:c r="D128" s="15" t="str">
        <x:v>SALINE/DENIED</x:v>
      </x:c>
      <x:c r="E128" s="15" t="n">
        <x:v>4</x:v>
      </x:c>
      <x:c r="F128" s="15" t="n">
        <x:v>144</x:v>
      </x:c>
      <x:c r="G128" s="15" t="str">
        <x:v>SEALED</x:v>
      </x:c>
      <x:c r="H128" s="15" t="str">
        <x:v>OPEN</x:v>
      </x:c>
    </x:row>
    <x:row r="129">
      <x:c r="A129" s="14" t="str">
        <x:v>MC-125</x:v>
      </x:c>
      <x:c r="B129" s="14" t="str">
        <x:v>RING-12</x:v>
      </x:c>
      <x:c r="C129" s="14" t="str">
        <x:v>SPAN-12</x:v>
      </x:c>
      <x:c r="D129" s="14" t="str">
        <x:v>SALINE/DENIED</x:v>
      </x:c>
      <x:c r="E129" s="14" t="n">
        <x:v>5</x:v>
      </x:c>
      <x:c r="F129" s="14" t="n">
        <x:v>144</x:v>
      </x:c>
      <x:c r="G129" s="14" t="str">
        <x:v>SEALED</x:v>
      </x:c>
      <x:c r="H129" s="14" t="str">
        <x:v>OPEN</x:v>
      </x:c>
    </x:row>
    <x:row r="130">
      <x:c r="A130" s="15" t="str">
        <x:v>MC-126</x:v>
      </x:c>
      <x:c r="B130" s="15" t="str">
        <x:v>RING-12</x:v>
      </x:c>
      <x:c r="C130" s="15" t="str">
        <x:v>SPAN-12</x:v>
      </x:c>
      <x:c r="D130" s="15" t="str">
        <x:v>SALINE/DENIED</x:v>
      </x:c>
      <x:c r="E130" s="15" t="n">
        <x:v>6</x:v>
      </x:c>
      <x:c r="F130" s="15" t="n">
        <x:v>144</x:v>
      </x:c>
      <x:c r="G130" s="15" t="str">
        <x:v>SEALED</x:v>
      </x:c>
      <x:c r="H130" s="15" t="str">
        <x:v>OPEN</x:v>
      </x:c>
    </x:row>
    <x:row r="131">
      <x:c r="A131" s="14" t="str">
        <x:v>MC-127</x:v>
      </x:c>
      <x:c r="B131" s="14" t="str">
        <x:v>RING-12</x:v>
      </x:c>
      <x:c r="C131" s="14" t="str">
        <x:v>SPAN-12</x:v>
      </x:c>
      <x:c r="D131" s="14" t="str">
        <x:v>SALINE/DENIED</x:v>
      </x:c>
      <x:c r="E131" s="14" t="n">
        <x:v>7</x:v>
      </x:c>
      <x:c r="F131" s="14" t="n">
        <x:v>144</x:v>
      </x:c>
      <x:c r="G131" s="14" t="str">
        <x:v>SEALED</x:v>
      </x:c>
      <x:c r="H131" s="14" t="str">
        <x:v>OPEN</x:v>
      </x:c>
    </x:row>
    <x:row r="132">
      <x:c r="A132" s="15" t="str">
        <x:v>MC-128</x:v>
      </x:c>
      <x:c r="B132" s="15" t="str">
        <x:v>RING-12</x:v>
      </x:c>
      <x:c r="C132" s="15" t="str">
        <x:v>SPAN-12</x:v>
      </x:c>
      <x:c r="D132" s="15" t="str">
        <x:v>SALINE/DENIED</x:v>
      </x:c>
      <x:c r="E132" s="15" t="n">
        <x:v>8</x:v>
      </x:c>
      <x:c r="F132" s="15" t="n">
        <x:v>144</x:v>
      </x:c>
      <x:c r="G132" s="15" t="str">
        <x:v>SEALED</x:v>
      </x:c>
      <x:c r="H132" s="15" t="str">
        <x:v>OPEN</x:v>
      </x:c>
    </x:row>
    <x:row r="133">
      <x:c r="A133" s="14" t="str">
        <x:v>MC-129</x:v>
      </x:c>
      <x:c r="B133" s="14" t="str">
        <x:v>RING-12</x:v>
      </x:c>
      <x:c r="C133" s="14" t="str">
        <x:v>SWARM-12</x:v>
      </x:c>
      <x:c r="D133" s="14" t="str">
        <x:v>FRESH/NORMAL</x:v>
      </x:c>
      <x:c r="E133" s="14" t="n">
        <x:v>1</x:v>
      </x:c>
      <x:c r="F133" s="14" t="n">
        <x:v>144</x:v>
      </x:c>
      <x:c r="G133" s="14" t="str">
        <x:v>SEALED</x:v>
      </x:c>
      <x:c r="H133" s="14" t="str">
        <x:v>OPEN</x:v>
      </x:c>
    </x:row>
    <x:row r="134">
      <x:c r="A134" s="15" t="str">
        <x:v>MC-130</x:v>
      </x:c>
      <x:c r="B134" s="15" t="str">
        <x:v>RING-12</x:v>
      </x:c>
      <x:c r="C134" s="15" t="str">
        <x:v>SWARM-12</x:v>
      </x:c>
      <x:c r="D134" s="15" t="str">
        <x:v>FRESH/NORMAL</x:v>
      </x:c>
      <x:c r="E134" s="15" t="n">
        <x:v>2</x:v>
      </x:c>
      <x:c r="F134" s="15" t="n">
        <x:v>144</x:v>
      </x:c>
      <x:c r="G134" s="15" t="str">
        <x:v>SEALED</x:v>
      </x:c>
      <x:c r="H134" s="15" t="str">
        <x:v>OPEN</x:v>
      </x:c>
    </x:row>
    <x:row r="135">
      <x:c r="A135" s="14" t="str">
        <x:v>MC-131</x:v>
      </x:c>
      <x:c r="B135" s="14" t="str">
        <x:v>RING-12</x:v>
      </x:c>
      <x:c r="C135" s="14" t="str">
        <x:v>SWARM-12</x:v>
      </x:c>
      <x:c r="D135" s="14" t="str">
        <x:v>FRESH/NORMAL</x:v>
      </x:c>
      <x:c r="E135" s="14" t="n">
        <x:v>3</x:v>
      </x:c>
      <x:c r="F135" s="14" t="n">
        <x:v>144</x:v>
      </x:c>
      <x:c r="G135" s="14" t="str">
        <x:v>SEALED</x:v>
      </x:c>
      <x:c r="H135" s="14" t="str">
        <x:v>OPEN</x:v>
      </x:c>
    </x:row>
    <x:row r="136">
      <x:c r="A136" s="15" t="str">
        <x:v>MC-132</x:v>
      </x:c>
      <x:c r="B136" s="15" t="str">
        <x:v>RING-12</x:v>
      </x:c>
      <x:c r="C136" s="15" t="str">
        <x:v>SWARM-12</x:v>
      </x:c>
      <x:c r="D136" s="15" t="str">
        <x:v>FRESH/NORMAL</x:v>
      </x:c>
      <x:c r="E136" s="15" t="n">
        <x:v>4</x:v>
      </x:c>
      <x:c r="F136" s="15" t="n">
        <x:v>144</x:v>
      </x:c>
      <x:c r="G136" s="15" t="str">
        <x:v>SEALED</x:v>
      </x:c>
      <x:c r="H136" s="15" t="str">
        <x:v>OPEN</x:v>
      </x:c>
    </x:row>
    <x:row r="137">
      <x:c r="A137" s="14" t="str">
        <x:v>MC-133</x:v>
      </x:c>
      <x:c r="B137" s="14" t="str">
        <x:v>RING-12</x:v>
      </x:c>
      <x:c r="C137" s="14" t="str">
        <x:v>SWARM-12</x:v>
      </x:c>
      <x:c r="D137" s="14" t="str">
        <x:v>FRESH/NORMAL</x:v>
      </x:c>
      <x:c r="E137" s="14" t="n">
        <x:v>5</x:v>
      </x:c>
      <x:c r="F137" s="14" t="n">
        <x:v>144</x:v>
      </x:c>
      <x:c r="G137" s="14" t="str">
        <x:v>SEALED</x:v>
      </x:c>
      <x:c r="H137" s="14" t="str">
        <x:v>OPEN</x:v>
      </x:c>
    </x:row>
    <x:row r="138">
      <x:c r="A138" s="15" t="str">
        <x:v>MC-134</x:v>
      </x:c>
      <x:c r="B138" s="15" t="str">
        <x:v>RING-12</x:v>
      </x:c>
      <x:c r="C138" s="15" t="str">
        <x:v>SWARM-12</x:v>
      </x:c>
      <x:c r="D138" s="15" t="str">
        <x:v>FRESH/NORMAL</x:v>
      </x:c>
      <x:c r="E138" s="15" t="n">
        <x:v>6</x:v>
      </x:c>
      <x:c r="F138" s="15" t="n">
        <x:v>144</x:v>
      </x:c>
      <x:c r="G138" s="15" t="str">
        <x:v>SEALED</x:v>
      </x:c>
      <x:c r="H138" s="15" t="str">
        <x:v>OPEN</x:v>
      </x:c>
    </x:row>
    <x:row r="139">
      <x:c r="A139" s="14" t="str">
        <x:v>MC-135</x:v>
      </x:c>
      <x:c r="B139" s="14" t="str">
        <x:v>RING-12</x:v>
      </x:c>
      <x:c r="C139" s="14" t="str">
        <x:v>SWARM-12</x:v>
      </x:c>
      <x:c r="D139" s="14" t="str">
        <x:v>FRESH/NORMAL</x:v>
      </x:c>
      <x:c r="E139" s="14" t="n">
        <x:v>7</x:v>
      </x:c>
      <x:c r="F139" s="14" t="n">
        <x:v>144</x:v>
      </x:c>
      <x:c r="G139" s="14" t="str">
        <x:v>SEALED</x:v>
      </x:c>
      <x:c r="H139" s="14" t="str">
        <x:v>OPEN</x:v>
      </x:c>
    </x:row>
    <x:row r="140">
      <x:c r="A140" s="15" t="str">
        <x:v>MC-136</x:v>
      </x:c>
      <x:c r="B140" s="15" t="str">
        <x:v>RING-12</x:v>
      </x:c>
      <x:c r="C140" s="15" t="str">
        <x:v>SWARM-12</x:v>
      </x:c>
      <x:c r="D140" s="15" t="str">
        <x:v>FRESH/NORMAL</x:v>
      </x:c>
      <x:c r="E140" s="15" t="n">
        <x:v>8</x:v>
      </x:c>
      <x:c r="F140" s="15" t="n">
        <x:v>144</x:v>
      </x:c>
      <x:c r="G140" s="15" t="str">
        <x:v>SEALED</x:v>
      </x:c>
      <x:c r="H140" s="15" t="str">
        <x:v>OPEN</x:v>
      </x:c>
    </x:row>
    <x:row r="141">
      <x:c r="A141" s="14" t="str">
        <x:v>MC-137</x:v>
      </x:c>
      <x:c r="B141" s="14" t="str">
        <x:v>RING-12</x:v>
      </x:c>
      <x:c r="C141" s="14" t="str">
        <x:v>SWARM-12</x:v>
      </x:c>
      <x:c r="D141" s="14" t="str">
        <x:v>FRESH/DENIED</x:v>
      </x:c>
      <x:c r="E141" s="14" t="n">
        <x:v>1</x:v>
      </x:c>
      <x:c r="F141" s="14" t="n">
        <x:v>144</x:v>
      </x:c>
      <x:c r="G141" s="14" t="str">
        <x:v>SEALED</x:v>
      </x:c>
      <x:c r="H141" s="14" t="str">
        <x:v>OPEN</x:v>
      </x:c>
    </x:row>
    <x:row r="142">
      <x:c r="A142" s="15" t="str">
        <x:v>MC-138</x:v>
      </x:c>
      <x:c r="B142" s="15" t="str">
        <x:v>RING-12</x:v>
      </x:c>
      <x:c r="C142" s="15" t="str">
        <x:v>SWARM-12</x:v>
      </x:c>
      <x:c r="D142" s="15" t="str">
        <x:v>FRESH/DENIED</x:v>
      </x:c>
      <x:c r="E142" s="15" t="n">
        <x:v>2</x:v>
      </x:c>
      <x:c r="F142" s="15" t="n">
        <x:v>144</x:v>
      </x:c>
      <x:c r="G142" s="15" t="str">
        <x:v>SEALED</x:v>
      </x:c>
      <x:c r="H142" s="15" t="str">
        <x:v>OPEN</x:v>
      </x:c>
    </x:row>
    <x:row r="143">
      <x:c r="A143" s="14" t="str">
        <x:v>MC-139</x:v>
      </x:c>
      <x:c r="B143" s="14" t="str">
        <x:v>RING-12</x:v>
      </x:c>
      <x:c r="C143" s="14" t="str">
        <x:v>SWARM-12</x:v>
      </x:c>
      <x:c r="D143" s="14" t="str">
        <x:v>FRESH/DENIED</x:v>
      </x:c>
      <x:c r="E143" s="14" t="n">
        <x:v>3</x:v>
      </x:c>
      <x:c r="F143" s="14" t="n">
        <x:v>144</x:v>
      </x:c>
      <x:c r="G143" s="14" t="str">
        <x:v>SEALED</x:v>
      </x:c>
      <x:c r="H143" s="14" t="str">
        <x:v>OPEN</x:v>
      </x:c>
    </x:row>
    <x:row r="144">
      <x:c r="A144" s="15" t="str">
        <x:v>MC-140</x:v>
      </x:c>
      <x:c r="B144" s="15" t="str">
        <x:v>RING-12</x:v>
      </x:c>
      <x:c r="C144" s="15" t="str">
        <x:v>SWARM-12</x:v>
      </x:c>
      <x:c r="D144" s="15" t="str">
        <x:v>FRESH/DENIED</x:v>
      </x:c>
      <x:c r="E144" s="15" t="n">
        <x:v>4</x:v>
      </x:c>
      <x:c r="F144" s="15" t="n">
        <x:v>144</x:v>
      </x:c>
      <x:c r="G144" s="15" t="str">
        <x:v>SEALED</x:v>
      </x:c>
      <x:c r="H144" s="15" t="str">
        <x:v>OPEN</x:v>
      </x:c>
    </x:row>
    <x:row r="145">
      <x:c r="A145" s="14" t="str">
        <x:v>MC-141</x:v>
      </x:c>
      <x:c r="B145" s="14" t="str">
        <x:v>RING-12</x:v>
      </x:c>
      <x:c r="C145" s="14" t="str">
        <x:v>SWARM-12</x:v>
      </x:c>
      <x:c r="D145" s="14" t="str">
        <x:v>FRESH/DENIED</x:v>
      </x:c>
      <x:c r="E145" s="14" t="n">
        <x:v>5</x:v>
      </x:c>
      <x:c r="F145" s="14" t="n">
        <x:v>144</x:v>
      </x:c>
      <x:c r="G145" s="14" t="str">
        <x:v>SEALED</x:v>
      </x:c>
      <x:c r="H145" s="14" t="str">
        <x:v>OPEN</x:v>
      </x:c>
    </x:row>
    <x:row r="146">
      <x:c r="A146" s="15" t="str">
        <x:v>MC-142</x:v>
      </x:c>
      <x:c r="B146" s="15" t="str">
        <x:v>RING-12</x:v>
      </x:c>
      <x:c r="C146" s="15" t="str">
        <x:v>SWARM-12</x:v>
      </x:c>
      <x:c r="D146" s="15" t="str">
        <x:v>FRESH/DENIED</x:v>
      </x:c>
      <x:c r="E146" s="15" t="n">
        <x:v>6</x:v>
      </x:c>
      <x:c r="F146" s="15" t="n">
        <x:v>144</x:v>
      </x:c>
      <x:c r="G146" s="15" t="str">
        <x:v>SEALED</x:v>
      </x:c>
      <x:c r="H146" s="15" t="str">
        <x:v>OPEN</x:v>
      </x:c>
    </x:row>
    <x:row r="147">
      <x:c r="A147" s="14" t="str">
        <x:v>MC-143</x:v>
      </x:c>
      <x:c r="B147" s="14" t="str">
        <x:v>RING-12</x:v>
      </x:c>
      <x:c r="C147" s="14" t="str">
        <x:v>SWARM-12</x:v>
      </x:c>
      <x:c r="D147" s="14" t="str">
        <x:v>FRESH/DENIED</x:v>
      </x:c>
      <x:c r="E147" s="14" t="n">
        <x:v>7</x:v>
      </x:c>
      <x:c r="F147" s="14" t="n">
        <x:v>144</x:v>
      </x:c>
      <x:c r="G147" s="14" t="str">
        <x:v>SEALED</x:v>
      </x:c>
      <x:c r="H147" s="14" t="str">
        <x:v>OPEN</x:v>
      </x:c>
    </x:row>
    <x:row r="148">
      <x:c r="A148" s="15" t="str">
        <x:v>MC-144</x:v>
      </x:c>
      <x:c r="B148" s="15" t="str">
        <x:v>RING-12</x:v>
      </x:c>
      <x:c r="C148" s="15" t="str">
        <x:v>SWARM-12</x:v>
      </x:c>
      <x:c r="D148" s="15" t="str">
        <x:v>FRESH/DENIED</x:v>
      </x:c>
      <x:c r="E148" s="15" t="n">
        <x:v>8</x:v>
      </x:c>
      <x:c r="F148" s="15" t="n">
        <x:v>144</x:v>
      </x:c>
      <x:c r="G148" s="15" t="str">
        <x:v>SEALED</x:v>
      </x:c>
      <x:c r="H148" s="15" t="str">
        <x:v>OPEN</x:v>
      </x:c>
    </x:row>
    <x:row r="149">
      <x:c r="A149" s="14" t="str">
        <x:v>MC-145</x:v>
      </x:c>
      <x:c r="B149" s="14" t="str">
        <x:v>RING-12</x:v>
      </x:c>
      <x:c r="C149" s="14" t="str">
        <x:v>SWARM-12</x:v>
      </x:c>
      <x:c r="D149" s="14" t="str">
        <x:v>SALINE/NORMAL</x:v>
      </x:c>
      <x:c r="E149" s="14" t="n">
        <x:v>1</x:v>
      </x:c>
      <x:c r="F149" s="14" t="n">
        <x:v>144</x:v>
      </x:c>
      <x:c r="G149" s="14" t="str">
        <x:v>SEALED</x:v>
      </x:c>
      <x:c r="H149" s="14" t="str">
        <x:v>OPEN</x:v>
      </x:c>
    </x:row>
    <x:row r="150">
      <x:c r="A150" s="15" t="str">
        <x:v>MC-146</x:v>
      </x:c>
      <x:c r="B150" s="15" t="str">
        <x:v>RING-12</x:v>
      </x:c>
      <x:c r="C150" s="15" t="str">
        <x:v>SWARM-12</x:v>
      </x:c>
      <x:c r="D150" s="15" t="str">
        <x:v>SALINE/NORMAL</x:v>
      </x:c>
      <x:c r="E150" s="15" t="n">
        <x:v>2</x:v>
      </x:c>
      <x:c r="F150" s="15" t="n">
        <x:v>144</x:v>
      </x:c>
      <x:c r="G150" s="15" t="str">
        <x:v>SEALED</x:v>
      </x:c>
      <x:c r="H150" s="15" t="str">
        <x:v>OPEN</x:v>
      </x:c>
    </x:row>
    <x:row r="151">
      <x:c r="A151" s="14" t="str">
        <x:v>MC-147</x:v>
      </x:c>
      <x:c r="B151" s="14" t="str">
        <x:v>RING-12</x:v>
      </x:c>
      <x:c r="C151" s="14" t="str">
        <x:v>SWARM-12</x:v>
      </x:c>
      <x:c r="D151" s="14" t="str">
        <x:v>SALINE/NORMAL</x:v>
      </x:c>
      <x:c r="E151" s="14" t="n">
        <x:v>3</x:v>
      </x:c>
      <x:c r="F151" s="14" t="n">
        <x:v>144</x:v>
      </x:c>
      <x:c r="G151" s="14" t="str">
        <x:v>SEALED</x:v>
      </x:c>
      <x:c r="H151" s="14" t="str">
        <x:v>OPEN</x:v>
      </x:c>
    </x:row>
    <x:row r="152">
      <x:c r="A152" s="15" t="str">
        <x:v>MC-148</x:v>
      </x:c>
      <x:c r="B152" s="15" t="str">
        <x:v>RING-12</x:v>
      </x:c>
      <x:c r="C152" s="15" t="str">
        <x:v>SWARM-12</x:v>
      </x:c>
      <x:c r="D152" s="15" t="str">
        <x:v>SALINE/NORMAL</x:v>
      </x:c>
      <x:c r="E152" s="15" t="n">
        <x:v>4</x:v>
      </x:c>
      <x:c r="F152" s="15" t="n">
        <x:v>144</x:v>
      </x:c>
      <x:c r="G152" s="15" t="str">
        <x:v>SEALED</x:v>
      </x:c>
      <x:c r="H152" s="15" t="str">
        <x:v>OPEN</x:v>
      </x:c>
    </x:row>
    <x:row r="153">
      <x:c r="A153" s="14" t="str">
        <x:v>MC-149</x:v>
      </x:c>
      <x:c r="B153" s="14" t="str">
        <x:v>RING-12</x:v>
      </x:c>
      <x:c r="C153" s="14" t="str">
        <x:v>SWARM-12</x:v>
      </x:c>
      <x:c r="D153" s="14" t="str">
        <x:v>SALINE/NORMAL</x:v>
      </x:c>
      <x:c r="E153" s="14" t="n">
        <x:v>5</x:v>
      </x:c>
      <x:c r="F153" s="14" t="n">
        <x:v>144</x:v>
      </x:c>
      <x:c r="G153" s="14" t="str">
        <x:v>SEALED</x:v>
      </x:c>
      <x:c r="H153" s="14" t="str">
        <x:v>OPEN</x:v>
      </x:c>
    </x:row>
    <x:row r="154">
      <x:c r="A154" s="15" t="str">
        <x:v>MC-150</x:v>
      </x:c>
      <x:c r="B154" s="15" t="str">
        <x:v>RING-12</x:v>
      </x:c>
      <x:c r="C154" s="15" t="str">
        <x:v>SWARM-12</x:v>
      </x:c>
      <x:c r="D154" s="15" t="str">
        <x:v>SALINE/NORMAL</x:v>
      </x:c>
      <x:c r="E154" s="15" t="n">
        <x:v>6</x:v>
      </x:c>
      <x:c r="F154" s="15" t="n">
        <x:v>144</x:v>
      </x:c>
      <x:c r="G154" s="15" t="str">
        <x:v>SEALED</x:v>
      </x:c>
      <x:c r="H154" s="15" t="str">
        <x:v>OPEN</x:v>
      </x:c>
    </x:row>
    <x:row r="155">
      <x:c r="A155" s="14" t="str">
        <x:v>MC-151</x:v>
      </x:c>
      <x:c r="B155" s="14" t="str">
        <x:v>RING-12</x:v>
      </x:c>
      <x:c r="C155" s="14" t="str">
        <x:v>SWARM-12</x:v>
      </x:c>
      <x:c r="D155" s="14" t="str">
        <x:v>SALINE/NORMAL</x:v>
      </x:c>
      <x:c r="E155" s="14" t="n">
        <x:v>7</x:v>
      </x:c>
      <x:c r="F155" s="14" t="n">
        <x:v>144</x:v>
      </x:c>
      <x:c r="G155" s="14" t="str">
        <x:v>SEALED</x:v>
      </x:c>
      <x:c r="H155" s="14" t="str">
        <x:v>OPEN</x:v>
      </x:c>
    </x:row>
    <x:row r="156">
      <x:c r="A156" s="15" t="str">
        <x:v>MC-152</x:v>
      </x:c>
      <x:c r="B156" s="15" t="str">
        <x:v>RING-12</x:v>
      </x:c>
      <x:c r="C156" s="15" t="str">
        <x:v>SWARM-12</x:v>
      </x:c>
      <x:c r="D156" s="15" t="str">
        <x:v>SALINE/NORMAL</x:v>
      </x:c>
      <x:c r="E156" s="15" t="n">
        <x:v>8</x:v>
      </x:c>
      <x:c r="F156" s="15" t="n">
        <x:v>144</x:v>
      </x:c>
      <x:c r="G156" s="15" t="str">
        <x:v>SEALED</x:v>
      </x:c>
      <x:c r="H156" s="15" t="str">
        <x:v>OPEN</x:v>
      </x:c>
    </x:row>
    <x:row r="157">
      <x:c r="A157" s="14" t="str">
        <x:v>MC-153</x:v>
      </x:c>
      <x:c r="B157" s="14" t="str">
        <x:v>RING-12</x:v>
      </x:c>
      <x:c r="C157" s="14" t="str">
        <x:v>SWARM-12</x:v>
      </x:c>
      <x:c r="D157" s="14" t="str">
        <x:v>SALINE/DENIED</x:v>
      </x:c>
      <x:c r="E157" s="14" t="n">
        <x:v>1</x:v>
      </x:c>
      <x:c r="F157" s="14" t="n">
        <x:v>144</x:v>
      </x:c>
      <x:c r="G157" s="14" t="str">
        <x:v>SEALED</x:v>
      </x:c>
      <x:c r="H157" s="14" t="str">
        <x:v>OPEN</x:v>
      </x:c>
    </x:row>
    <x:row r="158">
      <x:c r="A158" s="15" t="str">
        <x:v>MC-154</x:v>
      </x:c>
      <x:c r="B158" s="15" t="str">
        <x:v>RING-12</x:v>
      </x:c>
      <x:c r="C158" s="15" t="str">
        <x:v>SWARM-12</x:v>
      </x:c>
      <x:c r="D158" s="15" t="str">
        <x:v>SALINE/DENIED</x:v>
      </x:c>
      <x:c r="E158" s="15" t="n">
        <x:v>2</x:v>
      </x:c>
      <x:c r="F158" s="15" t="n">
        <x:v>144</x:v>
      </x:c>
      <x:c r="G158" s="15" t="str">
        <x:v>SEALED</x:v>
      </x:c>
      <x:c r="H158" s="15" t="str">
        <x:v>OPEN</x:v>
      </x:c>
    </x:row>
    <x:row r="159">
      <x:c r="A159" s="14" t="str">
        <x:v>MC-155</x:v>
      </x:c>
      <x:c r="B159" s="14" t="str">
        <x:v>RING-12</x:v>
      </x:c>
      <x:c r="C159" s="14" t="str">
        <x:v>SWARM-12</x:v>
      </x:c>
      <x:c r="D159" s="14" t="str">
        <x:v>SALINE/DENIED</x:v>
      </x:c>
      <x:c r="E159" s="14" t="n">
        <x:v>3</x:v>
      </x:c>
      <x:c r="F159" s="14" t="n">
        <x:v>144</x:v>
      </x:c>
      <x:c r="G159" s="14" t="str">
        <x:v>SEALED</x:v>
      </x:c>
      <x:c r="H159" s="14" t="str">
        <x:v>OPEN</x:v>
      </x:c>
    </x:row>
    <x:row r="160">
      <x:c r="A160" s="15" t="str">
        <x:v>MC-156</x:v>
      </x:c>
      <x:c r="B160" s="15" t="str">
        <x:v>RING-12</x:v>
      </x:c>
      <x:c r="C160" s="15" t="str">
        <x:v>SWARM-12</x:v>
      </x:c>
      <x:c r="D160" s="15" t="str">
        <x:v>SALINE/DENIED</x:v>
      </x:c>
      <x:c r="E160" s="15" t="n">
        <x:v>4</x:v>
      </x:c>
      <x:c r="F160" s="15" t="n">
        <x:v>144</x:v>
      </x:c>
      <x:c r="G160" s="15" t="str">
        <x:v>SEALED</x:v>
      </x:c>
      <x:c r="H160" s="15" t="str">
        <x:v>OPEN</x:v>
      </x:c>
    </x:row>
    <x:row r="161">
      <x:c r="A161" s="14" t="str">
        <x:v>MC-157</x:v>
      </x:c>
      <x:c r="B161" s="14" t="str">
        <x:v>RING-12</x:v>
      </x:c>
      <x:c r="C161" s="14" t="str">
        <x:v>SWARM-12</x:v>
      </x:c>
      <x:c r="D161" s="14" t="str">
        <x:v>SALINE/DENIED</x:v>
      </x:c>
      <x:c r="E161" s="14" t="n">
        <x:v>5</x:v>
      </x:c>
      <x:c r="F161" s="14" t="n">
        <x:v>144</x:v>
      </x:c>
      <x:c r="G161" s="14" t="str">
        <x:v>SEALED</x:v>
      </x:c>
      <x:c r="H161" s="14" t="str">
        <x:v>OPEN</x:v>
      </x:c>
    </x:row>
    <x:row r="162">
      <x:c r="A162" s="15" t="str">
        <x:v>MC-158</x:v>
      </x:c>
      <x:c r="B162" s="15" t="str">
        <x:v>RING-12</x:v>
      </x:c>
      <x:c r="C162" s="15" t="str">
        <x:v>SWARM-12</x:v>
      </x:c>
      <x:c r="D162" s="15" t="str">
        <x:v>SALINE/DENIED</x:v>
      </x:c>
      <x:c r="E162" s="15" t="n">
        <x:v>6</x:v>
      </x:c>
      <x:c r="F162" s="15" t="n">
        <x:v>144</x:v>
      </x:c>
      <x:c r="G162" s="15" t="str">
        <x:v>SEALED</x:v>
      </x:c>
      <x:c r="H162" s="15" t="str">
        <x:v>OPEN</x:v>
      </x:c>
    </x:row>
    <x:row r="163">
      <x:c r="A163" s="14" t="str">
        <x:v>MC-159</x:v>
      </x:c>
      <x:c r="B163" s="14" t="str">
        <x:v>RING-12</x:v>
      </x:c>
      <x:c r="C163" s="14" t="str">
        <x:v>SWARM-12</x:v>
      </x:c>
      <x:c r="D163" s="14" t="str">
        <x:v>SALINE/DENIED</x:v>
      </x:c>
      <x:c r="E163" s="14" t="n">
        <x:v>7</x:v>
      </x:c>
      <x:c r="F163" s="14" t="n">
        <x:v>144</x:v>
      </x:c>
      <x:c r="G163" s="14" t="str">
        <x:v>SEALED</x:v>
      </x:c>
      <x:c r="H163" s="14" t="str">
        <x:v>OPEN</x:v>
      </x:c>
    </x:row>
    <x:row r="164">
      <x:c r="A164" s="15" t="str">
        <x:v>MC-160</x:v>
      </x:c>
      <x:c r="B164" s="15" t="str">
        <x:v>RING-12</x:v>
      </x:c>
      <x:c r="C164" s="15" t="str">
        <x:v>SWARM-12</x:v>
      </x:c>
      <x:c r="D164" s="15" t="str">
        <x:v>SALINE/DENIED</x:v>
      </x:c>
      <x:c r="E164" s="15" t="n">
        <x:v>8</x:v>
      </x:c>
      <x:c r="F164" s="15" t="n">
        <x:v>144</x:v>
      </x:c>
      <x:c r="G164" s="15" t="str">
        <x:v>SEALED</x:v>
      </x:c>
      <x:c r="H164" s="15" t="str">
        <x:v>OPEN</x:v>
      </x:c>
    </x:row>
    <x:row r="165">
      <x:c r="A165" s="14" t="str">
        <x:v>MC-161</x:v>
      </x:c>
      <x:c r="B165" s="14" t="str">
        <x:v>SPAN-12</x:v>
      </x:c>
      <x:c r="C165" s="14" t="str">
        <x:v>SWARM-12</x:v>
      </x:c>
      <x:c r="D165" s="14" t="str">
        <x:v>FRESH/NORMAL</x:v>
      </x:c>
      <x:c r="E165" s="14" t="n">
        <x:v>1</x:v>
      </x:c>
      <x:c r="F165" s="14" t="n">
        <x:v>144</x:v>
      </x:c>
      <x:c r="G165" s="14" t="str">
        <x:v>SEALED</x:v>
      </x:c>
      <x:c r="H165" s="14" t="str">
        <x:v>OPEN</x:v>
      </x:c>
    </x:row>
    <x:row r="166">
      <x:c r="A166" s="15" t="str">
        <x:v>MC-162</x:v>
      </x:c>
      <x:c r="B166" s="15" t="str">
        <x:v>SPAN-12</x:v>
      </x:c>
      <x:c r="C166" s="15" t="str">
        <x:v>SWARM-12</x:v>
      </x:c>
      <x:c r="D166" s="15" t="str">
        <x:v>FRESH/NORMAL</x:v>
      </x:c>
      <x:c r="E166" s="15" t="n">
        <x:v>2</x:v>
      </x:c>
      <x:c r="F166" s="15" t="n">
        <x:v>144</x:v>
      </x:c>
      <x:c r="G166" s="15" t="str">
        <x:v>SEALED</x:v>
      </x:c>
      <x:c r="H166" s="15" t="str">
        <x:v>OPEN</x:v>
      </x:c>
    </x:row>
    <x:row r="167">
      <x:c r="A167" s="14" t="str">
        <x:v>MC-163</x:v>
      </x:c>
      <x:c r="B167" s="14" t="str">
        <x:v>SPAN-12</x:v>
      </x:c>
      <x:c r="C167" s="14" t="str">
        <x:v>SWARM-12</x:v>
      </x:c>
      <x:c r="D167" s="14" t="str">
        <x:v>FRESH/NORMAL</x:v>
      </x:c>
      <x:c r="E167" s="14" t="n">
        <x:v>3</x:v>
      </x:c>
      <x:c r="F167" s="14" t="n">
        <x:v>144</x:v>
      </x:c>
      <x:c r="G167" s="14" t="str">
        <x:v>SEALED</x:v>
      </x:c>
      <x:c r="H167" s="14" t="str">
        <x:v>OPEN</x:v>
      </x:c>
    </x:row>
    <x:row r="168">
      <x:c r="A168" s="15" t="str">
        <x:v>MC-164</x:v>
      </x:c>
      <x:c r="B168" s="15" t="str">
        <x:v>SPAN-12</x:v>
      </x:c>
      <x:c r="C168" s="15" t="str">
        <x:v>SWARM-12</x:v>
      </x:c>
      <x:c r="D168" s="15" t="str">
        <x:v>FRESH/NORMAL</x:v>
      </x:c>
      <x:c r="E168" s="15" t="n">
        <x:v>4</x:v>
      </x:c>
      <x:c r="F168" s="15" t="n">
        <x:v>144</x:v>
      </x:c>
      <x:c r="G168" s="15" t="str">
        <x:v>SEALED</x:v>
      </x:c>
      <x:c r="H168" s="15" t="str">
        <x:v>OPEN</x:v>
      </x:c>
    </x:row>
    <x:row r="169">
      <x:c r="A169" s="14" t="str">
        <x:v>MC-165</x:v>
      </x:c>
      <x:c r="B169" s="14" t="str">
        <x:v>SPAN-12</x:v>
      </x:c>
      <x:c r="C169" s="14" t="str">
        <x:v>SWARM-12</x:v>
      </x:c>
      <x:c r="D169" s="14" t="str">
        <x:v>FRESH/NORMAL</x:v>
      </x:c>
      <x:c r="E169" s="14" t="n">
        <x:v>5</x:v>
      </x:c>
      <x:c r="F169" s="14" t="n">
        <x:v>144</x:v>
      </x:c>
      <x:c r="G169" s="14" t="str">
        <x:v>SEALED</x:v>
      </x:c>
      <x:c r="H169" s="14" t="str">
        <x:v>OPEN</x:v>
      </x:c>
    </x:row>
    <x:row r="170">
      <x:c r="A170" s="15" t="str">
        <x:v>MC-166</x:v>
      </x:c>
      <x:c r="B170" s="15" t="str">
        <x:v>SPAN-12</x:v>
      </x:c>
      <x:c r="C170" s="15" t="str">
        <x:v>SWARM-12</x:v>
      </x:c>
      <x:c r="D170" s="15" t="str">
        <x:v>FRESH/NORMAL</x:v>
      </x:c>
      <x:c r="E170" s="15" t="n">
        <x:v>6</x:v>
      </x:c>
      <x:c r="F170" s="15" t="n">
        <x:v>144</x:v>
      </x:c>
      <x:c r="G170" s="15" t="str">
        <x:v>SEALED</x:v>
      </x:c>
      <x:c r="H170" s="15" t="str">
        <x:v>OPEN</x:v>
      </x:c>
    </x:row>
    <x:row r="171">
      <x:c r="A171" s="14" t="str">
        <x:v>MC-167</x:v>
      </x:c>
      <x:c r="B171" s="14" t="str">
        <x:v>SPAN-12</x:v>
      </x:c>
      <x:c r="C171" s="14" t="str">
        <x:v>SWARM-12</x:v>
      </x:c>
      <x:c r="D171" s="14" t="str">
        <x:v>FRESH/NORMAL</x:v>
      </x:c>
      <x:c r="E171" s="14" t="n">
        <x:v>7</x:v>
      </x:c>
      <x:c r="F171" s="14" t="n">
        <x:v>144</x:v>
      </x:c>
      <x:c r="G171" s="14" t="str">
        <x:v>SEALED</x:v>
      </x:c>
      <x:c r="H171" s="14" t="str">
        <x:v>OPEN</x:v>
      </x:c>
    </x:row>
    <x:row r="172">
      <x:c r="A172" s="15" t="str">
        <x:v>MC-168</x:v>
      </x:c>
      <x:c r="B172" s="15" t="str">
        <x:v>SPAN-12</x:v>
      </x:c>
      <x:c r="C172" s="15" t="str">
        <x:v>SWARM-12</x:v>
      </x:c>
      <x:c r="D172" s="15" t="str">
        <x:v>FRESH/NORMAL</x:v>
      </x:c>
      <x:c r="E172" s="15" t="n">
        <x:v>8</x:v>
      </x:c>
      <x:c r="F172" s="15" t="n">
        <x:v>144</x:v>
      </x:c>
      <x:c r="G172" s="15" t="str">
        <x:v>SEALED</x:v>
      </x:c>
      <x:c r="H172" s="15" t="str">
        <x:v>OPEN</x:v>
      </x:c>
    </x:row>
    <x:row r="173">
      <x:c r="A173" s="14" t="str">
        <x:v>MC-169</x:v>
      </x:c>
      <x:c r="B173" s="14" t="str">
        <x:v>SPAN-12</x:v>
      </x:c>
      <x:c r="C173" s="14" t="str">
        <x:v>SWARM-12</x:v>
      </x:c>
      <x:c r="D173" s="14" t="str">
        <x:v>FRESH/DENIED</x:v>
      </x:c>
      <x:c r="E173" s="14" t="n">
        <x:v>1</x:v>
      </x:c>
      <x:c r="F173" s="14" t="n">
        <x:v>144</x:v>
      </x:c>
      <x:c r="G173" s="14" t="str">
        <x:v>SEALED</x:v>
      </x:c>
      <x:c r="H173" s="14" t="str">
        <x:v>OPEN</x:v>
      </x:c>
    </x:row>
    <x:row r="174">
      <x:c r="A174" s="15" t="str">
        <x:v>MC-170</x:v>
      </x:c>
      <x:c r="B174" s="15" t="str">
        <x:v>SPAN-12</x:v>
      </x:c>
      <x:c r="C174" s="15" t="str">
        <x:v>SWARM-12</x:v>
      </x:c>
      <x:c r="D174" s="15" t="str">
        <x:v>FRESH/DENIED</x:v>
      </x:c>
      <x:c r="E174" s="15" t="n">
        <x:v>2</x:v>
      </x:c>
      <x:c r="F174" s="15" t="n">
        <x:v>144</x:v>
      </x:c>
      <x:c r="G174" s="15" t="str">
        <x:v>SEALED</x:v>
      </x:c>
      <x:c r="H174" s="15" t="str">
        <x:v>OPEN</x:v>
      </x:c>
    </x:row>
    <x:row r="175">
      <x:c r="A175" s="14" t="str">
        <x:v>MC-171</x:v>
      </x:c>
      <x:c r="B175" s="14" t="str">
        <x:v>SPAN-12</x:v>
      </x:c>
      <x:c r="C175" s="14" t="str">
        <x:v>SWARM-12</x:v>
      </x:c>
      <x:c r="D175" s="14" t="str">
        <x:v>FRESH/DENIED</x:v>
      </x:c>
      <x:c r="E175" s="14" t="n">
        <x:v>3</x:v>
      </x:c>
      <x:c r="F175" s="14" t="n">
        <x:v>144</x:v>
      </x:c>
      <x:c r="G175" s="14" t="str">
        <x:v>SEALED</x:v>
      </x:c>
      <x:c r="H175" s="14" t="str">
        <x:v>OPEN</x:v>
      </x:c>
    </x:row>
    <x:row r="176">
      <x:c r="A176" s="15" t="str">
        <x:v>MC-172</x:v>
      </x:c>
      <x:c r="B176" s="15" t="str">
        <x:v>SPAN-12</x:v>
      </x:c>
      <x:c r="C176" s="15" t="str">
        <x:v>SWARM-12</x:v>
      </x:c>
      <x:c r="D176" s="15" t="str">
        <x:v>FRESH/DENIED</x:v>
      </x:c>
      <x:c r="E176" s="15" t="n">
        <x:v>4</x:v>
      </x:c>
      <x:c r="F176" s="15" t="n">
        <x:v>144</x:v>
      </x:c>
      <x:c r="G176" s="15" t="str">
        <x:v>SEALED</x:v>
      </x:c>
      <x:c r="H176" s="15" t="str">
        <x:v>OPEN</x:v>
      </x:c>
    </x:row>
    <x:row r="177">
      <x:c r="A177" s="14" t="str">
        <x:v>MC-173</x:v>
      </x:c>
      <x:c r="B177" s="14" t="str">
        <x:v>SPAN-12</x:v>
      </x:c>
      <x:c r="C177" s="14" t="str">
        <x:v>SWARM-12</x:v>
      </x:c>
      <x:c r="D177" s="14" t="str">
        <x:v>FRESH/DENIED</x:v>
      </x:c>
      <x:c r="E177" s="14" t="n">
        <x:v>5</x:v>
      </x:c>
      <x:c r="F177" s="14" t="n">
        <x:v>144</x:v>
      </x:c>
      <x:c r="G177" s="14" t="str">
        <x:v>SEALED</x:v>
      </x:c>
      <x:c r="H177" s="14" t="str">
        <x:v>OPEN</x:v>
      </x:c>
    </x:row>
    <x:row r="178">
      <x:c r="A178" s="15" t="str">
        <x:v>MC-174</x:v>
      </x:c>
      <x:c r="B178" s="15" t="str">
        <x:v>SPAN-12</x:v>
      </x:c>
      <x:c r="C178" s="15" t="str">
        <x:v>SWARM-12</x:v>
      </x:c>
      <x:c r="D178" s="15" t="str">
        <x:v>FRESH/DENIED</x:v>
      </x:c>
      <x:c r="E178" s="15" t="n">
        <x:v>6</x:v>
      </x:c>
      <x:c r="F178" s="15" t="n">
        <x:v>144</x:v>
      </x:c>
      <x:c r="G178" s="15" t="str">
        <x:v>SEALED</x:v>
      </x:c>
      <x:c r="H178" s="15" t="str">
        <x:v>OPEN</x:v>
      </x:c>
    </x:row>
    <x:row r="179">
      <x:c r="A179" s="14" t="str">
        <x:v>MC-175</x:v>
      </x:c>
      <x:c r="B179" s="14" t="str">
        <x:v>SPAN-12</x:v>
      </x:c>
      <x:c r="C179" s="14" t="str">
        <x:v>SWARM-12</x:v>
      </x:c>
      <x:c r="D179" s="14" t="str">
        <x:v>FRESH/DENIED</x:v>
      </x:c>
      <x:c r="E179" s="14" t="n">
        <x:v>7</x:v>
      </x:c>
      <x:c r="F179" s="14" t="n">
        <x:v>144</x:v>
      </x:c>
      <x:c r="G179" s="14" t="str">
        <x:v>SEALED</x:v>
      </x:c>
      <x:c r="H179" s="14" t="str">
        <x:v>OPEN</x:v>
      </x:c>
    </x:row>
    <x:row r="180">
      <x:c r="A180" s="15" t="str">
        <x:v>MC-176</x:v>
      </x:c>
      <x:c r="B180" s="15" t="str">
        <x:v>SPAN-12</x:v>
      </x:c>
      <x:c r="C180" s="15" t="str">
        <x:v>SWARM-12</x:v>
      </x:c>
      <x:c r="D180" s="15" t="str">
        <x:v>FRESH/DENIED</x:v>
      </x:c>
      <x:c r="E180" s="15" t="n">
        <x:v>8</x:v>
      </x:c>
      <x:c r="F180" s="15" t="n">
        <x:v>144</x:v>
      </x:c>
      <x:c r="G180" s="15" t="str">
        <x:v>SEALED</x:v>
      </x:c>
      <x:c r="H180" s="15" t="str">
        <x:v>OPEN</x:v>
      </x:c>
    </x:row>
    <x:row r="181">
      <x:c r="A181" s="14" t="str">
        <x:v>MC-177</x:v>
      </x:c>
      <x:c r="B181" s="14" t="str">
        <x:v>SPAN-12</x:v>
      </x:c>
      <x:c r="C181" s="14" t="str">
        <x:v>SWARM-12</x:v>
      </x:c>
      <x:c r="D181" s="14" t="str">
        <x:v>SALINE/NORMAL</x:v>
      </x:c>
      <x:c r="E181" s="14" t="n">
        <x:v>1</x:v>
      </x:c>
      <x:c r="F181" s="14" t="n">
        <x:v>144</x:v>
      </x:c>
      <x:c r="G181" s="14" t="str">
        <x:v>SEALED</x:v>
      </x:c>
      <x:c r="H181" s="14" t="str">
        <x:v>OPEN</x:v>
      </x:c>
    </x:row>
    <x:row r="182">
      <x:c r="A182" s="15" t="str">
        <x:v>MC-178</x:v>
      </x:c>
      <x:c r="B182" s="15" t="str">
        <x:v>SPAN-12</x:v>
      </x:c>
      <x:c r="C182" s="15" t="str">
        <x:v>SWARM-12</x:v>
      </x:c>
      <x:c r="D182" s="15" t="str">
        <x:v>SALINE/NORMAL</x:v>
      </x:c>
      <x:c r="E182" s="15" t="n">
        <x:v>2</x:v>
      </x:c>
      <x:c r="F182" s="15" t="n">
        <x:v>144</x:v>
      </x:c>
      <x:c r="G182" s="15" t="str">
        <x:v>SEALED</x:v>
      </x:c>
      <x:c r="H182" s="15" t="str">
        <x:v>OPEN</x:v>
      </x:c>
    </x:row>
    <x:row r="183">
      <x:c r="A183" s="14" t="str">
        <x:v>MC-179</x:v>
      </x:c>
      <x:c r="B183" s="14" t="str">
        <x:v>SPAN-12</x:v>
      </x:c>
      <x:c r="C183" s="14" t="str">
        <x:v>SWARM-12</x:v>
      </x:c>
      <x:c r="D183" s="14" t="str">
        <x:v>SALINE/NORMAL</x:v>
      </x:c>
      <x:c r="E183" s="14" t="n">
        <x:v>3</x:v>
      </x:c>
      <x:c r="F183" s="14" t="n">
        <x:v>144</x:v>
      </x:c>
      <x:c r="G183" s="14" t="str">
        <x:v>SEALED</x:v>
      </x:c>
      <x:c r="H183" s="14" t="str">
        <x:v>OPEN</x:v>
      </x:c>
    </x:row>
    <x:row r="184">
      <x:c r="A184" s="15" t="str">
        <x:v>MC-180</x:v>
      </x:c>
      <x:c r="B184" s="15" t="str">
        <x:v>SPAN-12</x:v>
      </x:c>
      <x:c r="C184" s="15" t="str">
        <x:v>SWARM-12</x:v>
      </x:c>
      <x:c r="D184" s="15" t="str">
        <x:v>SALINE/NORMAL</x:v>
      </x:c>
      <x:c r="E184" s="15" t="n">
        <x:v>4</x:v>
      </x:c>
      <x:c r="F184" s="15" t="n">
        <x:v>144</x:v>
      </x:c>
      <x:c r="G184" s="15" t="str">
        <x:v>SEALED</x:v>
      </x:c>
      <x:c r="H184" s="15" t="str">
        <x:v>OPEN</x:v>
      </x:c>
    </x:row>
    <x:row r="185">
      <x:c r="A185" s="14" t="str">
        <x:v>MC-181</x:v>
      </x:c>
      <x:c r="B185" s="14" t="str">
        <x:v>SPAN-12</x:v>
      </x:c>
      <x:c r="C185" s="14" t="str">
        <x:v>SWARM-12</x:v>
      </x:c>
      <x:c r="D185" s="14" t="str">
        <x:v>SALINE/NORMAL</x:v>
      </x:c>
      <x:c r="E185" s="14" t="n">
        <x:v>5</x:v>
      </x:c>
      <x:c r="F185" s="14" t="n">
        <x:v>144</x:v>
      </x:c>
      <x:c r="G185" s="14" t="str">
        <x:v>SEALED</x:v>
      </x:c>
      <x:c r="H185" s="14" t="str">
        <x:v>OPEN</x:v>
      </x:c>
    </x:row>
    <x:row r="186">
      <x:c r="A186" s="15" t="str">
        <x:v>MC-182</x:v>
      </x:c>
      <x:c r="B186" s="15" t="str">
        <x:v>SPAN-12</x:v>
      </x:c>
      <x:c r="C186" s="15" t="str">
        <x:v>SWARM-12</x:v>
      </x:c>
      <x:c r="D186" s="15" t="str">
        <x:v>SALINE/NORMAL</x:v>
      </x:c>
      <x:c r="E186" s="15" t="n">
        <x:v>6</x:v>
      </x:c>
      <x:c r="F186" s="15" t="n">
        <x:v>144</x:v>
      </x:c>
      <x:c r="G186" s="15" t="str">
        <x:v>SEALED</x:v>
      </x:c>
      <x:c r="H186" s="15" t="str">
        <x:v>OPEN</x:v>
      </x:c>
    </x:row>
    <x:row r="187">
      <x:c r="A187" s="14" t="str">
        <x:v>MC-183</x:v>
      </x:c>
      <x:c r="B187" s="14" t="str">
        <x:v>SPAN-12</x:v>
      </x:c>
      <x:c r="C187" s="14" t="str">
        <x:v>SWARM-12</x:v>
      </x:c>
      <x:c r="D187" s="14" t="str">
        <x:v>SALINE/NORMAL</x:v>
      </x:c>
      <x:c r="E187" s="14" t="n">
        <x:v>7</x:v>
      </x:c>
      <x:c r="F187" s="14" t="n">
        <x:v>144</x:v>
      </x:c>
      <x:c r="G187" s="14" t="str">
        <x:v>SEALED</x:v>
      </x:c>
      <x:c r="H187" s="14" t="str">
        <x:v>OPEN</x:v>
      </x:c>
    </x:row>
    <x:row r="188">
      <x:c r="A188" s="15" t="str">
        <x:v>MC-184</x:v>
      </x:c>
      <x:c r="B188" s="15" t="str">
        <x:v>SPAN-12</x:v>
      </x:c>
      <x:c r="C188" s="15" t="str">
        <x:v>SWARM-12</x:v>
      </x:c>
      <x:c r="D188" s="15" t="str">
        <x:v>SALINE/NORMAL</x:v>
      </x:c>
      <x:c r="E188" s="15" t="n">
        <x:v>8</x:v>
      </x:c>
      <x:c r="F188" s="15" t="n">
        <x:v>144</x:v>
      </x:c>
      <x:c r="G188" s="15" t="str">
        <x:v>SEALED</x:v>
      </x:c>
      <x:c r="H188" s="15" t="str">
        <x:v>OPEN</x:v>
      </x:c>
    </x:row>
    <x:row r="189">
      <x:c r="A189" s="14" t="str">
        <x:v>MC-185</x:v>
      </x:c>
      <x:c r="B189" s="14" t="str">
        <x:v>SPAN-12</x:v>
      </x:c>
      <x:c r="C189" s="14" t="str">
        <x:v>SWARM-12</x:v>
      </x:c>
      <x:c r="D189" s="14" t="str">
        <x:v>SALINE/DENIED</x:v>
      </x:c>
      <x:c r="E189" s="14" t="n">
        <x:v>1</x:v>
      </x:c>
      <x:c r="F189" s="14" t="n">
        <x:v>144</x:v>
      </x:c>
      <x:c r="G189" s="14" t="str">
        <x:v>SEALED</x:v>
      </x:c>
      <x:c r="H189" s="14" t="str">
        <x:v>OPEN</x:v>
      </x:c>
    </x:row>
    <x:row r="190">
      <x:c r="A190" s="15" t="str">
        <x:v>MC-186</x:v>
      </x:c>
      <x:c r="B190" s="15" t="str">
        <x:v>SPAN-12</x:v>
      </x:c>
      <x:c r="C190" s="15" t="str">
        <x:v>SWARM-12</x:v>
      </x:c>
      <x:c r="D190" s="15" t="str">
        <x:v>SALINE/DENIED</x:v>
      </x:c>
      <x:c r="E190" s="15" t="n">
        <x:v>2</x:v>
      </x:c>
      <x:c r="F190" s="15" t="n">
        <x:v>144</x:v>
      </x:c>
      <x:c r="G190" s="15" t="str">
        <x:v>SEALED</x:v>
      </x:c>
      <x:c r="H190" s="15" t="str">
        <x:v>OPEN</x:v>
      </x:c>
    </x:row>
    <x:row r="191">
      <x:c r="A191" s="14" t="str">
        <x:v>MC-187</x:v>
      </x:c>
      <x:c r="B191" s="14" t="str">
        <x:v>SPAN-12</x:v>
      </x:c>
      <x:c r="C191" s="14" t="str">
        <x:v>SWARM-12</x:v>
      </x:c>
      <x:c r="D191" s="14" t="str">
        <x:v>SALINE/DENIED</x:v>
      </x:c>
      <x:c r="E191" s="14" t="n">
        <x:v>3</x:v>
      </x:c>
      <x:c r="F191" s="14" t="n">
        <x:v>144</x:v>
      </x:c>
      <x:c r="G191" s="14" t="str">
        <x:v>SEALED</x:v>
      </x:c>
      <x:c r="H191" s="14" t="str">
        <x:v>OPEN</x:v>
      </x:c>
    </x:row>
    <x:row r="192">
      <x:c r="A192" s="15" t="str">
        <x:v>MC-188</x:v>
      </x:c>
      <x:c r="B192" s="15" t="str">
        <x:v>SPAN-12</x:v>
      </x:c>
      <x:c r="C192" s="15" t="str">
        <x:v>SWARM-12</x:v>
      </x:c>
      <x:c r="D192" s="15" t="str">
        <x:v>SALINE/DENIED</x:v>
      </x:c>
      <x:c r="E192" s="15" t="n">
        <x:v>4</x:v>
      </x:c>
      <x:c r="F192" s="15" t="n">
        <x:v>144</x:v>
      </x:c>
      <x:c r="G192" s="15" t="str">
        <x:v>SEALED</x:v>
      </x:c>
      <x:c r="H192" s="15" t="str">
        <x:v>OPEN</x:v>
      </x:c>
    </x:row>
    <x:row r="193">
      <x:c r="A193" s="14" t="str">
        <x:v>MC-189</x:v>
      </x:c>
      <x:c r="B193" s="14" t="str">
        <x:v>SPAN-12</x:v>
      </x:c>
      <x:c r="C193" s="14" t="str">
        <x:v>SWARM-12</x:v>
      </x:c>
      <x:c r="D193" s="14" t="str">
        <x:v>SALINE/DENIED</x:v>
      </x:c>
      <x:c r="E193" s="14" t="n">
        <x:v>5</x:v>
      </x:c>
      <x:c r="F193" s="14" t="n">
        <x:v>144</x:v>
      </x:c>
      <x:c r="G193" s="14" t="str">
        <x:v>SEALED</x:v>
      </x:c>
      <x:c r="H193" s="14" t="str">
        <x:v>OPEN</x:v>
      </x:c>
    </x:row>
    <x:row r="194">
      <x:c r="A194" s="15" t="str">
        <x:v>MC-190</x:v>
      </x:c>
      <x:c r="B194" s="15" t="str">
        <x:v>SPAN-12</x:v>
      </x:c>
      <x:c r="C194" s="15" t="str">
        <x:v>SWARM-12</x:v>
      </x:c>
      <x:c r="D194" s="15" t="str">
        <x:v>SALINE/DENIED</x:v>
      </x:c>
      <x:c r="E194" s="15" t="n">
        <x:v>6</x:v>
      </x:c>
      <x:c r="F194" s="15" t="n">
        <x:v>144</x:v>
      </x:c>
      <x:c r="G194" s="15" t="str">
        <x:v>SEALED</x:v>
      </x:c>
      <x:c r="H194" s="15" t="str">
        <x:v>OPEN</x:v>
      </x:c>
    </x:row>
    <x:row r="195">
      <x:c r="A195" s="14" t="str">
        <x:v>MC-191</x:v>
      </x:c>
      <x:c r="B195" s="14" t="str">
        <x:v>SPAN-12</x:v>
      </x:c>
      <x:c r="C195" s="14" t="str">
        <x:v>SWARM-12</x:v>
      </x:c>
      <x:c r="D195" s="14" t="str">
        <x:v>SALINE/DENIED</x:v>
      </x:c>
      <x:c r="E195" s="14" t="n">
        <x:v>7</x:v>
      </x:c>
      <x:c r="F195" s="14" t="n">
        <x:v>144</x:v>
      </x:c>
      <x:c r="G195" s="14" t="str">
        <x:v>SEALED</x:v>
      </x:c>
      <x:c r="H195" s="14" t="str">
        <x:v>OPEN</x:v>
      </x:c>
    </x:row>
    <x:row r="196">
      <x:c r="A196" s="15" t="str">
        <x:v>MC-192</x:v>
      </x:c>
      <x:c r="B196" s="15" t="str">
        <x:v>SPAN-12</x:v>
      </x:c>
      <x:c r="C196" s="15" t="str">
        <x:v>SWARM-12</x:v>
      </x:c>
      <x:c r="D196" s="15" t="str">
        <x:v>SALINE/DENIED</x:v>
      </x:c>
      <x:c r="E196" s="15" t="n">
        <x:v>8</x:v>
      </x:c>
      <x:c r="F196" s="15" t="n">
        <x:v>144</x:v>
      </x:c>
      <x:c r="G196" s="15" t="str">
        <x:v>SEALED</x:v>
      </x:c>
      <x:c r="H196" s="15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6" hidden="0" customWidth="1"/>
    <x:col min="5" max="5" width="10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27" customHeight="1">
      <x:c r="A1" s="3" t="str">
        <x:v>Eight full mission systems</x:v>
      </x:c>
    </x:row>
    <x:row r="2" ht="32" customHeight="1">
      <x:c r="A2" s="7" t="str">
        <x:v>Two selected architectures cross two builders and two proving regions.</x:v>
      </x:c>
    </x:row>
    <x:row r="4" ht="28" customHeight="1">
      <x:c r="A4" s="11" t="str">
        <x:v>System</x:v>
      </x:c>
      <x:c r="B4" s="11" t="str">
        <x:v>Candidate</x:v>
      </x:c>
      <x:c r="C4" s="11" t="str">
        <x:v>Builder</x:v>
      </x:c>
      <x:c r="D4" s="11" t="str">
        <x:v>Region</x:v>
      </x:c>
      <x:c r="E4" s="11" t="str">
        <x:v>Cells</x:v>
      </x:c>
      <x:c r="F4" s="11" t="str">
        <x:v>Edge m</x:v>
      </x:c>
      <x:c r="G4" s="11" t="str">
        <x:v>Ready m3</x:v>
      </x:c>
      <x:c r="H4" s="11" t="str">
        <x:v>Surge m3</x:v>
      </x:c>
      <x:c r="I4" s="11" t="str">
        <x:v>State</x:v>
      </x:c>
      <x:c r="J4" s="11" t="str">
        <x:v>Acceptance</x:v>
      </x:c>
    </x:row>
    <x:row r="5">
      <x:c r="A5" s="14" t="str">
        <x:v>FS-01</x:v>
      </x:c>
      <x:c r="B5" s="14" t="str">
        <x:v>SELECTED-A</x:v>
      </x:c>
      <x:c r="C5" s="14" t="str">
        <x:v>BL-A</x:v>
      </x:c>
      <x:c r="D5" s="14" t="str">
        <x:v>REGION-1</x:v>
      </x:c>
      <x:c r="E5" s="14" t="n">
        <x:v>12</x:v>
      </x:c>
      <x:c r="F5" s="14" t="n">
        <x:v>1000</x:v>
      </x:c>
      <x:c r="G5" s="14" t="n">
        <x:v>1200</x:v>
      </x:c>
      <x:c r="H5" s="14" t="n">
        <x:v>3000</x:v>
      </x:c>
      <x:c r="I5" s="14" t="str">
        <x:v>PLANNED</x:v>
      </x:c>
      <x:c r="J5" s="14" t="str">
        <x:v>OPEN</x:v>
      </x:c>
    </x:row>
    <x:row r="6">
      <x:c r="A6" s="15" t="str">
        <x:v>FS-02</x:v>
      </x:c>
      <x:c r="B6" s="15" t="str">
        <x:v>SELECTED-A</x:v>
      </x:c>
      <x:c r="C6" s="15" t="str">
        <x:v>BL-A</x:v>
      </x:c>
      <x:c r="D6" s="15" t="str">
        <x:v>REGION-2</x:v>
      </x:c>
      <x:c r="E6" s="15" t="n">
        <x:v>12</x:v>
      </x:c>
      <x:c r="F6" s="15" t="n">
        <x:v>1000</x:v>
      </x:c>
      <x:c r="G6" s="15" t="n">
        <x:v>1200</x:v>
      </x:c>
      <x:c r="H6" s="15" t="n">
        <x:v>3000</x:v>
      </x:c>
      <x:c r="I6" s="15" t="str">
        <x:v>PLANNED</x:v>
      </x:c>
      <x:c r="J6" s="15" t="str">
        <x:v>OPEN</x:v>
      </x:c>
    </x:row>
    <x:row r="7">
      <x:c r="A7" s="14" t="str">
        <x:v>FS-03</x:v>
      </x:c>
      <x:c r="B7" s="14" t="str">
        <x:v>SELECTED-A</x:v>
      </x:c>
      <x:c r="C7" s="14" t="str">
        <x:v>BL-B</x:v>
      </x:c>
      <x:c r="D7" s="14" t="str">
        <x:v>REGION-1</x:v>
      </x:c>
      <x:c r="E7" s="14" t="n">
        <x:v>12</x:v>
      </x:c>
      <x:c r="F7" s="14" t="n">
        <x:v>1000</x:v>
      </x:c>
      <x:c r="G7" s="14" t="n">
        <x:v>1200</x:v>
      </x:c>
      <x:c r="H7" s="14" t="n">
        <x:v>3000</x:v>
      </x:c>
      <x:c r="I7" s="14" t="str">
        <x:v>PLANNED</x:v>
      </x:c>
      <x:c r="J7" s="14" t="str">
        <x:v>OPEN</x:v>
      </x:c>
    </x:row>
    <x:row r="8">
      <x:c r="A8" s="15" t="str">
        <x:v>FS-04</x:v>
      </x:c>
      <x:c r="B8" s="15" t="str">
        <x:v>SELECTED-A</x:v>
      </x:c>
      <x:c r="C8" s="15" t="str">
        <x:v>BL-B</x:v>
      </x:c>
      <x:c r="D8" s="15" t="str">
        <x:v>REGION-2</x:v>
      </x:c>
      <x:c r="E8" s="15" t="n">
        <x:v>12</x:v>
      </x:c>
      <x:c r="F8" s="15" t="n">
        <x:v>1000</x:v>
      </x:c>
      <x:c r="G8" s="15" t="n">
        <x:v>1200</x:v>
      </x:c>
      <x:c r="H8" s="15" t="n">
        <x:v>3000</x:v>
      </x:c>
      <x:c r="I8" s="15" t="str">
        <x:v>PLANNED</x:v>
      </x:c>
      <x:c r="J8" s="15" t="str">
        <x:v>OPEN</x:v>
      </x:c>
    </x:row>
    <x:row r="9">
      <x:c r="A9" s="14" t="str">
        <x:v>FS-05</x:v>
      </x:c>
      <x:c r="B9" s="14" t="str">
        <x:v>SELECTED-B</x:v>
      </x:c>
      <x:c r="C9" s="14" t="str">
        <x:v>BL-A</x:v>
      </x:c>
      <x:c r="D9" s="14" t="str">
        <x:v>REGION-1</x:v>
      </x:c>
      <x:c r="E9" s="14" t="n">
        <x:v>12</x:v>
      </x:c>
      <x:c r="F9" s="14" t="n">
        <x:v>1000</x:v>
      </x:c>
      <x:c r="G9" s="14" t="n">
        <x:v>1200</x:v>
      </x:c>
      <x:c r="H9" s="14" t="n">
        <x:v>3000</x:v>
      </x:c>
      <x:c r="I9" s="14" t="str">
        <x:v>PLANNED</x:v>
      </x:c>
      <x:c r="J9" s="14" t="str">
        <x:v>OPEN</x:v>
      </x:c>
    </x:row>
    <x:row r="10">
      <x:c r="A10" s="15" t="str">
        <x:v>FS-06</x:v>
      </x:c>
      <x:c r="B10" s="15" t="str">
        <x:v>SELECTED-B</x:v>
      </x:c>
      <x:c r="C10" s="15" t="str">
        <x:v>BL-A</x:v>
      </x:c>
      <x:c r="D10" s="15" t="str">
        <x:v>REGION-2</x:v>
      </x:c>
      <x:c r="E10" s="15" t="n">
        <x:v>12</x:v>
      </x:c>
      <x:c r="F10" s="15" t="n">
        <x:v>1000</x:v>
      </x:c>
      <x:c r="G10" s="15" t="n">
        <x:v>1200</x:v>
      </x:c>
      <x:c r="H10" s="15" t="n">
        <x:v>3000</x:v>
      </x:c>
      <x:c r="I10" s="15" t="str">
        <x:v>PLANNED</x:v>
      </x:c>
      <x:c r="J10" s="15" t="str">
        <x:v>OPEN</x:v>
      </x:c>
    </x:row>
    <x:row r="11">
      <x:c r="A11" s="14" t="str">
        <x:v>FS-07</x:v>
      </x:c>
      <x:c r="B11" s="14" t="str">
        <x:v>SELECTED-B</x:v>
      </x:c>
      <x:c r="C11" s="14" t="str">
        <x:v>BL-B</x:v>
      </x:c>
      <x:c r="D11" s="14" t="str">
        <x:v>REGION-1</x:v>
      </x:c>
      <x:c r="E11" s="14" t="n">
        <x:v>12</x:v>
      </x:c>
      <x:c r="F11" s="14" t="n">
        <x:v>1000</x:v>
      </x:c>
      <x:c r="G11" s="14" t="n">
        <x:v>1200</x:v>
      </x:c>
      <x:c r="H11" s="14" t="n">
        <x:v>3000</x:v>
      </x:c>
      <x:c r="I11" s="14" t="str">
        <x:v>PLANNED</x:v>
      </x:c>
      <x:c r="J11" s="14" t="str">
        <x:v>OPEN</x:v>
      </x:c>
    </x:row>
    <x:row r="12">
      <x:c r="A12" s="15" t="str">
        <x:v>FS-08</x:v>
      </x:c>
      <x:c r="B12" s="15" t="str">
        <x:v>SELECTED-B</x:v>
      </x:c>
      <x:c r="C12" s="15" t="str">
        <x:v>BL-B</x:v>
      </x:c>
      <x:c r="D12" s="15" t="str">
        <x:v>REGION-2</x:v>
      </x:c>
      <x:c r="E12" s="15" t="n">
        <x:v>12</x:v>
      </x:c>
      <x:c r="F12" s="15" t="n">
        <x:v>1000</x:v>
      </x:c>
      <x:c r="G12" s="15" t="n">
        <x:v>1200</x:v>
      </x:c>
      <x:c r="H12" s="15" t="n">
        <x:v>3000</x:v>
      </x:c>
      <x:c r="I12" s="15" t="str">
        <x:v>PLANNED</x:v>
      </x:c>
      <x:c r="J12" s="15" t="str">
        <x:v>OPEN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20" hidden="0" customWidth="1"/>
    <x:col min="5" max="5" width="58" hidden="0" customWidth="1"/>
  </x:cols>
  <x:sheetData>
    <x:row r="1" ht="27" customHeight="1">
      <x:c r="A1" s="3" t="str">
        <x:v>Full-system trial types</x:v>
      </x:c>
    </x:row>
    <x:row r="2" ht="32" customHeight="1">
      <x:c r="A2" s="7" t="str">
        <x:v>Every full mission system executes the complete 324-hour program.</x:v>
      </x:c>
    </x:row>
    <x:row r="4" ht="28" customHeight="1">
      <x:c r="A4" s="11" t="str">
        <x:v>Type</x:v>
      </x:c>
      <x:c r="B4" s="11" t="str">
        <x:v>Count per system</x:v>
      </x:c>
      <x:c r="C4" s="11" t="str">
        <x:v>Hours each</x:v>
      </x:c>
      <x:c r="D4" s="11" t="str">
        <x:v>Hours per system</x:v>
      </x:c>
      <x:c r="E4" s="11" t="str">
        <x:v>Purpose</x:v>
      </x:c>
    </x:row>
    <x:row r="5">
      <x:c r="A5" s="14" t="str">
        <x:v>SEGMENT</x:v>
      </x:c>
      <x:c r="B5" s="14" t="n">
        <x:v>6</x:v>
      </x:c>
      <x:c r="C5" s="14" t="n">
        <x:v>2</x:v>
      </x:c>
      <x:c r="D5" s="14" t="n">
        <x:v>12</x:v>
      </x:c>
      <x:c r="E5" s="14" t="str">
        <x:v>Isolated mechanisms and denial changes</x:v>
      </x:c>
    </x:row>
    <x:row r="6">
      <x:c r="A6" s="15" t="str">
        <x:v>INTERMEDIATE</x:v>
      </x:c>
      <x:c r="B6" s="15" t="n">
        <x:v>6</x:v>
      </x:c>
      <x:c r="C6" s="15" t="n">
        <x:v>12</x:v>
      </x:c>
      <x:c r="D6" s="15" t="n">
        <x:v>72</x:v>
      </x:c>
      <x:c r="E6" s="15" t="str">
        <x:v>Shift, treatment, capture and repair</x:v>
      </x:c>
    </x:row>
    <x:row r="7">
      <x:c r="A7" s="14" t="str">
        <x:v>FULL-DAY</x:v>
      </x:c>
      <x:c r="B7" s="14" t="n">
        <x:v>4</x:v>
      </x:c>
      <x:c r="C7" s="14" t="n">
        <x:v>24</x:v>
      </x:c>
      <x:c r="D7" s="14" t="n">
        <x:v>96</x:v>
      </x:c>
      <x:c r="E7" s="14" t="str">
        <x:v>Endurance, public interface and evidence</x:v>
      </x:c>
    </x:row>
    <x:row r="8">
      <x:c r="A8" s="15" t="str">
        <x:v>FULL-MISSION</x:v>
      </x:c>
      <x:c r="B8" s="15" t="n">
        <x:v>2</x:v>
      </x:c>
      <x:c r="C8" s="15" t="n">
        <x:v>72</x:v>
      </x:c>
      <x:c r="D8" s="15" t="n">
        <x:v>144</x:v>
      </x:c>
      <x:c r="E8" s="15" t="str">
        <x:v>Complete loss, relief and regeneration entry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0" hidden="0" customWidth="1"/>
    <x:col min="6" max="6" width="12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6" hidden="0" customWidth="1"/>
  </x:cols>
  <x:sheetData>
    <x:row r="1" ht="27" customHeight="1">
      <x:c r="A1" s="3" t="str">
        <x:v>Full-system mission trial registry</x:v>
      </x:c>
    </x:row>
    <x:row r="2" ht="32" customHeight="1">
      <x:c r="A2" s="7" t="str">
        <x:v>144 trials total 2,592 operating hours. Water uses the registered average issue factor.</x:v>
      </x:c>
    </x:row>
    <x:row r="4" ht="28" customHeight="1">
      <x:c r="A4" s="11" t="str">
        <x:v>Trial</x:v>
      </x:c>
      <x:c r="B4" s="11" t="str">
        <x:v>System</x:v>
      </x:c>
      <x:c r="C4" s="11" t="str">
        <x:v>Candidate</x:v>
      </x:c>
      <x:c r="D4" s="11" t="str">
        <x:v>Type</x:v>
      </x:c>
      <x:c r="E4" s="11" t="str">
        <x:v>Index</x:v>
      </x:c>
      <x:c r="F4" s="11" t="str">
        <x:v>Hours</x:v>
      </x:c>
      <x:c r="G4" s="11" t="str">
        <x:v>Full issue m3/h</x:v>
      </x:c>
      <x:c r="H4" s="11" t="str">
        <x:v>Issue factor</x:v>
      </x:c>
      <x:c r="I4" s="11" t="str">
        <x:v>Water m3</x:v>
      </x:c>
      <x:c r="J4" s="11" t="str">
        <x:v>Validity</x:v>
      </x:c>
      <x:c r="K4" s="11" t="str">
        <x:v>Disposition</x:v>
      </x:c>
    </x:row>
    <x:row r="5">
      <x:c r="A5" s="14" t="str">
        <x:v>MT-001</x:v>
      </x:c>
      <x:c r="B5" s="14" t="str">
        <x:v>FS-01</x:v>
      </x:c>
      <x:c r="C5" s="14" t="str">
        <x:v>SELECTED-A</x:v>
      </x:c>
      <x:c r="D5" s="14" t="str">
        <x:v>SEGMENT</x:v>
      </x:c>
      <x:c r="E5" s="14" t="n">
        <x:v>1</x:v>
      </x:c>
      <x:c r="F5" s="18" t="n">
        <x:v>2</x:v>
      </x:c>
      <x:c r="G5" s="18" t="n">
        <x:v>1728</x:v>
      </x:c>
      <x:c r="H5" s="18" t="n">
        <x:v>0.3</x:v>
      </x:c>
      <x:c r="I5" s="18" t="n">
        <x:f>F5*G5*H5</x:f>
        <x:v>1036.8</x:v>
      </x:c>
      <x:c r="J5" s="14" t="str">
        <x:v>OPEN</x:v>
      </x:c>
      <x:c r="K5" s="14" t="str">
        <x:v>OPEN</x:v>
      </x:c>
    </x:row>
    <x:row r="6">
      <x:c r="A6" s="15" t="str">
        <x:v>MT-002</x:v>
      </x:c>
      <x:c r="B6" s="15" t="str">
        <x:v>FS-01</x:v>
      </x:c>
      <x:c r="C6" s="15" t="str">
        <x:v>SELECTED-A</x:v>
      </x:c>
      <x:c r="D6" s="15" t="str">
        <x:v>SEGMENT</x:v>
      </x:c>
      <x:c r="E6" s="15" t="n">
        <x:v>2</x:v>
      </x:c>
      <x:c r="F6" s="19" t="n">
        <x:v>2</x:v>
      </x:c>
      <x:c r="G6" s="19" t="n">
        <x:v>1728</x:v>
      </x:c>
      <x:c r="H6" s="19" t="n">
        <x:v>0.3</x:v>
      </x:c>
      <x:c r="I6" s="19" t="n">
        <x:f>F6*G6*H6</x:f>
        <x:v>1036.8</x:v>
      </x:c>
      <x:c r="J6" s="15" t="str">
        <x:v>OPEN</x:v>
      </x:c>
      <x:c r="K6" s="15" t="str">
        <x:v>OPEN</x:v>
      </x:c>
    </x:row>
    <x:row r="7">
      <x:c r="A7" s="14" t="str">
        <x:v>MT-003</x:v>
      </x:c>
      <x:c r="B7" s="14" t="str">
        <x:v>FS-01</x:v>
      </x:c>
      <x:c r="C7" s="14" t="str">
        <x:v>SELECTED-A</x:v>
      </x:c>
      <x:c r="D7" s="14" t="str">
        <x:v>SEGMENT</x:v>
      </x:c>
      <x:c r="E7" s="14" t="n">
        <x:v>3</x:v>
      </x:c>
      <x:c r="F7" s="18" t="n">
        <x:v>2</x:v>
      </x:c>
      <x:c r="G7" s="18" t="n">
        <x:v>1728</x:v>
      </x:c>
      <x:c r="H7" s="18" t="n">
        <x:v>0.3</x:v>
      </x:c>
      <x:c r="I7" s="18" t="n">
        <x:f>F7*G7*H7</x:f>
        <x:v>1036.8</x:v>
      </x:c>
      <x:c r="J7" s="14" t="str">
        <x:v>OPEN</x:v>
      </x:c>
      <x:c r="K7" s="14" t="str">
        <x:v>OPEN</x:v>
      </x:c>
    </x:row>
    <x:row r="8">
      <x:c r="A8" s="15" t="str">
        <x:v>MT-004</x:v>
      </x:c>
      <x:c r="B8" s="15" t="str">
        <x:v>FS-01</x:v>
      </x:c>
      <x:c r="C8" s="15" t="str">
        <x:v>SELECTED-A</x:v>
      </x:c>
      <x:c r="D8" s="15" t="str">
        <x:v>SEGMENT</x:v>
      </x:c>
      <x:c r="E8" s="15" t="n">
        <x:v>4</x:v>
      </x:c>
      <x:c r="F8" s="19" t="n">
        <x:v>2</x:v>
      </x:c>
      <x:c r="G8" s="19" t="n">
        <x:v>1728</x:v>
      </x:c>
      <x:c r="H8" s="19" t="n">
        <x:v>0.3</x:v>
      </x:c>
      <x:c r="I8" s="19" t="n">
        <x:f>F8*G8*H8</x:f>
        <x:v>1036.8</x:v>
      </x:c>
      <x:c r="J8" s="15" t="str">
        <x:v>OPEN</x:v>
      </x:c>
      <x:c r="K8" s="15" t="str">
        <x:v>OPEN</x:v>
      </x:c>
    </x:row>
    <x:row r="9">
      <x:c r="A9" s="14" t="str">
        <x:v>MT-005</x:v>
      </x:c>
      <x:c r="B9" s="14" t="str">
        <x:v>FS-01</x:v>
      </x:c>
      <x:c r="C9" s="14" t="str">
        <x:v>SELECTED-A</x:v>
      </x:c>
      <x:c r="D9" s="14" t="str">
        <x:v>SEGMENT</x:v>
      </x:c>
      <x:c r="E9" s="14" t="n">
        <x:v>5</x:v>
      </x:c>
      <x:c r="F9" s="18" t="n">
        <x:v>2</x:v>
      </x:c>
      <x:c r="G9" s="18" t="n">
        <x:v>1728</x:v>
      </x:c>
      <x:c r="H9" s="18" t="n">
        <x:v>0.3</x:v>
      </x:c>
      <x:c r="I9" s="18" t="n">
        <x:f>F9*G9*H9</x:f>
        <x:v>1036.8</x:v>
      </x:c>
      <x:c r="J9" s="14" t="str">
        <x:v>OPEN</x:v>
      </x:c>
      <x:c r="K9" s="14" t="str">
        <x:v>OPEN</x:v>
      </x:c>
    </x:row>
    <x:row r="10">
      <x:c r="A10" s="15" t="str">
        <x:v>MT-006</x:v>
      </x:c>
      <x:c r="B10" s="15" t="str">
        <x:v>FS-01</x:v>
      </x:c>
      <x:c r="C10" s="15" t="str">
        <x:v>SELECTED-A</x:v>
      </x:c>
      <x:c r="D10" s="15" t="str">
        <x:v>SEGMENT</x:v>
      </x:c>
      <x:c r="E10" s="15" t="n">
        <x:v>6</x:v>
      </x:c>
      <x:c r="F10" s="19" t="n">
        <x:v>2</x:v>
      </x:c>
      <x:c r="G10" s="19" t="n">
        <x:v>1728</x:v>
      </x:c>
      <x:c r="H10" s="19" t="n">
        <x:v>0.3</x:v>
      </x:c>
      <x:c r="I10" s="19" t="n">
        <x:f>F10*G10*H10</x:f>
        <x:v>1036.8</x:v>
      </x:c>
      <x:c r="J10" s="15" t="str">
        <x:v>OPEN</x:v>
      </x:c>
      <x:c r="K10" s="15" t="str">
        <x:v>OPEN</x:v>
      </x:c>
    </x:row>
    <x:row r="11">
      <x:c r="A11" s="14" t="str">
        <x:v>MT-007</x:v>
      </x:c>
      <x:c r="B11" s="14" t="str">
        <x:v>FS-01</x:v>
      </x:c>
      <x:c r="C11" s="14" t="str">
        <x:v>SELECTED-A</x:v>
      </x:c>
      <x:c r="D11" s="14" t="str">
        <x:v>INTERMEDIATE</x:v>
      </x:c>
      <x:c r="E11" s="14" t="n">
        <x:v>1</x:v>
      </x:c>
      <x:c r="F11" s="18" t="n">
        <x:v>12</x:v>
      </x:c>
      <x:c r="G11" s="18" t="n">
        <x:v>1728</x:v>
      </x:c>
      <x:c r="H11" s="18" t="n">
        <x:v>0.3</x:v>
      </x:c>
      <x:c r="I11" s="18" t="n">
        <x:f>F11*G11*H11</x:f>
        <x:v>6220.8</x:v>
      </x:c>
      <x:c r="J11" s="14" t="str">
        <x:v>OPEN</x:v>
      </x:c>
      <x:c r="K11" s="14" t="str">
        <x:v>OPEN</x:v>
      </x:c>
    </x:row>
    <x:row r="12">
      <x:c r="A12" s="15" t="str">
        <x:v>MT-008</x:v>
      </x:c>
      <x:c r="B12" s="15" t="str">
        <x:v>FS-01</x:v>
      </x:c>
      <x:c r="C12" s="15" t="str">
        <x:v>SELECTED-A</x:v>
      </x:c>
      <x:c r="D12" s="15" t="str">
        <x:v>INTERMEDIATE</x:v>
      </x:c>
      <x:c r="E12" s="15" t="n">
        <x:v>2</x:v>
      </x:c>
      <x:c r="F12" s="19" t="n">
        <x:v>12</x:v>
      </x:c>
      <x:c r="G12" s="19" t="n">
        <x:v>1728</x:v>
      </x:c>
      <x:c r="H12" s="19" t="n">
        <x:v>0.3</x:v>
      </x:c>
      <x:c r="I12" s="19" t="n">
        <x:f>F12*G12*H12</x:f>
        <x:v>6220.8</x:v>
      </x:c>
      <x:c r="J12" s="15" t="str">
        <x:v>OPEN</x:v>
      </x:c>
      <x:c r="K12" s="15" t="str">
        <x:v>OPEN</x:v>
      </x:c>
    </x:row>
    <x:row r="13">
      <x:c r="A13" s="14" t="str">
        <x:v>MT-009</x:v>
      </x:c>
      <x:c r="B13" s="14" t="str">
        <x:v>FS-01</x:v>
      </x:c>
      <x:c r="C13" s="14" t="str">
        <x:v>SELECTED-A</x:v>
      </x:c>
      <x:c r="D13" s="14" t="str">
        <x:v>INTERMEDIATE</x:v>
      </x:c>
      <x:c r="E13" s="14" t="n">
        <x:v>3</x:v>
      </x:c>
      <x:c r="F13" s="18" t="n">
        <x:v>12</x:v>
      </x:c>
      <x:c r="G13" s="18" t="n">
        <x:v>1728</x:v>
      </x:c>
      <x:c r="H13" s="18" t="n">
        <x:v>0.3</x:v>
      </x:c>
      <x:c r="I13" s="18" t="n">
        <x:f>F13*G13*H13</x:f>
        <x:v>6220.8</x:v>
      </x:c>
      <x:c r="J13" s="14" t="str">
        <x:v>OPEN</x:v>
      </x:c>
      <x:c r="K13" s="14" t="str">
        <x:v>OPEN</x:v>
      </x:c>
    </x:row>
    <x:row r="14">
      <x:c r="A14" s="15" t="str">
        <x:v>MT-010</x:v>
      </x:c>
      <x:c r="B14" s="15" t="str">
        <x:v>FS-01</x:v>
      </x:c>
      <x:c r="C14" s="15" t="str">
        <x:v>SELECTED-A</x:v>
      </x:c>
      <x:c r="D14" s="15" t="str">
        <x:v>INTERMEDIATE</x:v>
      </x:c>
      <x:c r="E14" s="15" t="n">
        <x:v>4</x:v>
      </x:c>
      <x:c r="F14" s="19" t="n">
        <x:v>12</x:v>
      </x:c>
      <x:c r="G14" s="19" t="n">
        <x:v>1728</x:v>
      </x:c>
      <x:c r="H14" s="19" t="n">
        <x:v>0.3</x:v>
      </x:c>
      <x:c r="I14" s="19" t="n">
        <x:f>F14*G14*H14</x:f>
        <x:v>6220.8</x:v>
      </x:c>
      <x:c r="J14" s="15" t="str">
        <x:v>OPEN</x:v>
      </x:c>
      <x:c r="K14" s="15" t="str">
        <x:v>OPEN</x:v>
      </x:c>
    </x:row>
    <x:row r="15">
      <x:c r="A15" s="14" t="str">
        <x:v>MT-011</x:v>
      </x:c>
      <x:c r="B15" s="14" t="str">
        <x:v>FS-01</x:v>
      </x:c>
      <x:c r="C15" s="14" t="str">
        <x:v>SELECTED-A</x:v>
      </x:c>
      <x:c r="D15" s="14" t="str">
        <x:v>INTERMEDIATE</x:v>
      </x:c>
      <x:c r="E15" s="14" t="n">
        <x:v>5</x:v>
      </x:c>
      <x:c r="F15" s="18" t="n">
        <x:v>12</x:v>
      </x:c>
      <x:c r="G15" s="18" t="n">
        <x:v>1728</x:v>
      </x:c>
      <x:c r="H15" s="18" t="n">
        <x:v>0.3</x:v>
      </x:c>
      <x:c r="I15" s="18" t="n">
        <x:f>F15*G15*H15</x:f>
        <x:v>6220.8</x:v>
      </x:c>
      <x:c r="J15" s="14" t="str">
        <x:v>OPEN</x:v>
      </x:c>
      <x:c r="K15" s="14" t="str">
        <x:v>OPEN</x:v>
      </x:c>
    </x:row>
    <x:row r="16">
      <x:c r="A16" s="15" t="str">
        <x:v>MT-012</x:v>
      </x:c>
      <x:c r="B16" s="15" t="str">
        <x:v>FS-01</x:v>
      </x:c>
      <x:c r="C16" s="15" t="str">
        <x:v>SELECTED-A</x:v>
      </x:c>
      <x:c r="D16" s="15" t="str">
        <x:v>INTERMEDIATE</x:v>
      </x:c>
      <x:c r="E16" s="15" t="n">
        <x:v>6</x:v>
      </x:c>
      <x:c r="F16" s="19" t="n">
        <x:v>12</x:v>
      </x:c>
      <x:c r="G16" s="19" t="n">
        <x:v>1728</x:v>
      </x:c>
      <x:c r="H16" s="19" t="n">
        <x:v>0.3</x:v>
      </x:c>
      <x:c r="I16" s="19" t="n">
        <x:f>F16*G16*H16</x:f>
        <x:v>6220.8</x:v>
      </x:c>
      <x:c r="J16" s="15" t="str">
        <x:v>OPEN</x:v>
      </x:c>
      <x:c r="K16" s="15" t="str">
        <x:v>OPEN</x:v>
      </x:c>
    </x:row>
    <x:row r="17">
      <x:c r="A17" s="14" t="str">
        <x:v>MT-013</x:v>
      </x:c>
      <x:c r="B17" s="14" t="str">
        <x:v>FS-01</x:v>
      </x:c>
      <x:c r="C17" s="14" t="str">
        <x:v>SELECTED-A</x:v>
      </x:c>
      <x:c r="D17" s="14" t="str">
        <x:v>FULL-DAY</x:v>
      </x:c>
      <x:c r="E17" s="14" t="n">
        <x:v>1</x:v>
      </x:c>
      <x:c r="F17" s="18" t="n">
        <x:v>24</x:v>
      </x:c>
      <x:c r="G17" s="18" t="n">
        <x:v>1728</x:v>
      </x:c>
      <x:c r="H17" s="18" t="n">
        <x:v>0.3</x:v>
      </x:c>
      <x:c r="I17" s="18" t="n">
        <x:f>F17*G17*H17</x:f>
        <x:v>12441.6</x:v>
      </x:c>
      <x:c r="J17" s="14" t="str">
        <x:v>OPEN</x:v>
      </x:c>
      <x:c r="K17" s="14" t="str">
        <x:v>OPEN</x:v>
      </x:c>
    </x:row>
    <x:row r="18">
      <x:c r="A18" s="15" t="str">
        <x:v>MT-014</x:v>
      </x:c>
      <x:c r="B18" s="15" t="str">
        <x:v>FS-01</x:v>
      </x:c>
      <x:c r="C18" s="15" t="str">
        <x:v>SELECTED-A</x:v>
      </x:c>
      <x:c r="D18" s="15" t="str">
        <x:v>FULL-DAY</x:v>
      </x:c>
      <x:c r="E18" s="15" t="n">
        <x:v>2</x:v>
      </x:c>
      <x:c r="F18" s="19" t="n">
        <x:v>24</x:v>
      </x:c>
      <x:c r="G18" s="19" t="n">
        <x:v>1728</x:v>
      </x:c>
      <x:c r="H18" s="19" t="n">
        <x:v>0.3</x:v>
      </x:c>
      <x:c r="I18" s="19" t="n">
        <x:f>F18*G18*H18</x:f>
        <x:v>12441.6</x:v>
      </x:c>
      <x:c r="J18" s="15" t="str">
        <x:v>OPEN</x:v>
      </x:c>
      <x:c r="K18" s="15" t="str">
        <x:v>OPEN</x:v>
      </x:c>
    </x:row>
    <x:row r="19">
      <x:c r="A19" s="14" t="str">
        <x:v>MT-015</x:v>
      </x:c>
      <x:c r="B19" s="14" t="str">
        <x:v>FS-01</x:v>
      </x:c>
      <x:c r="C19" s="14" t="str">
        <x:v>SELECTED-A</x:v>
      </x:c>
      <x:c r="D19" s="14" t="str">
        <x:v>FULL-DAY</x:v>
      </x:c>
      <x:c r="E19" s="14" t="n">
        <x:v>3</x:v>
      </x:c>
      <x:c r="F19" s="18" t="n">
        <x:v>24</x:v>
      </x:c>
      <x:c r="G19" s="18" t="n">
        <x:v>1728</x:v>
      </x:c>
      <x:c r="H19" s="18" t="n">
        <x:v>0.3</x:v>
      </x:c>
      <x:c r="I19" s="18" t="n">
        <x:f>F19*G19*H19</x:f>
        <x:v>12441.6</x:v>
      </x:c>
      <x:c r="J19" s="14" t="str">
        <x:v>OPEN</x:v>
      </x:c>
      <x:c r="K19" s="14" t="str">
        <x:v>OPEN</x:v>
      </x:c>
    </x:row>
    <x:row r="20">
      <x:c r="A20" s="15" t="str">
        <x:v>MT-016</x:v>
      </x:c>
      <x:c r="B20" s="15" t="str">
        <x:v>FS-01</x:v>
      </x:c>
      <x:c r="C20" s="15" t="str">
        <x:v>SELECTED-A</x:v>
      </x:c>
      <x:c r="D20" s="15" t="str">
        <x:v>FULL-DAY</x:v>
      </x:c>
      <x:c r="E20" s="15" t="n">
        <x:v>4</x:v>
      </x:c>
      <x:c r="F20" s="19" t="n">
        <x:v>24</x:v>
      </x:c>
      <x:c r="G20" s="19" t="n">
        <x:v>1728</x:v>
      </x:c>
      <x:c r="H20" s="19" t="n">
        <x:v>0.3</x:v>
      </x:c>
      <x:c r="I20" s="19" t="n">
        <x:f>F20*G20*H20</x:f>
        <x:v>12441.6</x:v>
      </x:c>
      <x:c r="J20" s="15" t="str">
        <x:v>OPEN</x:v>
      </x:c>
      <x:c r="K20" s="15" t="str">
        <x:v>OPEN</x:v>
      </x:c>
    </x:row>
    <x:row r="21">
      <x:c r="A21" s="14" t="str">
        <x:v>MT-017</x:v>
      </x:c>
      <x:c r="B21" s="14" t="str">
        <x:v>FS-01</x:v>
      </x:c>
      <x:c r="C21" s="14" t="str">
        <x:v>SELECTED-A</x:v>
      </x:c>
      <x:c r="D21" s="14" t="str">
        <x:v>FULL-MISSION</x:v>
      </x:c>
      <x:c r="E21" s="14" t="n">
        <x:v>1</x:v>
      </x:c>
      <x:c r="F21" s="18" t="n">
        <x:v>72</x:v>
      </x:c>
      <x:c r="G21" s="18" t="n">
        <x:v>1728</x:v>
      </x:c>
      <x:c r="H21" s="18" t="n">
        <x:v>0.3</x:v>
      </x:c>
      <x:c r="I21" s="18" t="n">
        <x:f>F21*G21*H21</x:f>
        <x:v>37324.799999999996</x:v>
      </x:c>
      <x:c r="J21" s="14" t="str">
        <x:v>OPEN</x:v>
      </x:c>
      <x:c r="K21" s="14" t="str">
        <x:v>OPEN</x:v>
      </x:c>
    </x:row>
    <x:row r="22">
      <x:c r="A22" s="15" t="str">
        <x:v>MT-018</x:v>
      </x:c>
      <x:c r="B22" s="15" t="str">
        <x:v>FS-01</x:v>
      </x:c>
      <x:c r="C22" s="15" t="str">
        <x:v>SELECTED-A</x:v>
      </x:c>
      <x:c r="D22" s="15" t="str">
        <x:v>FULL-MISSION</x:v>
      </x:c>
      <x:c r="E22" s="15" t="n">
        <x:v>2</x:v>
      </x:c>
      <x:c r="F22" s="19" t="n">
        <x:v>72</x:v>
      </x:c>
      <x:c r="G22" s="19" t="n">
        <x:v>1728</x:v>
      </x:c>
      <x:c r="H22" s="19" t="n">
        <x:v>0.3</x:v>
      </x:c>
      <x:c r="I22" s="19" t="n">
        <x:f>F22*G22*H22</x:f>
        <x:v>37324.799999999996</x:v>
      </x:c>
      <x:c r="J22" s="15" t="str">
        <x:v>OPEN</x:v>
      </x:c>
      <x:c r="K22" s="15" t="str">
        <x:v>OPEN</x:v>
      </x:c>
    </x:row>
    <x:row r="23">
      <x:c r="A23" s="14" t="str">
        <x:v>MT-019</x:v>
      </x:c>
      <x:c r="B23" s="14" t="str">
        <x:v>FS-02</x:v>
      </x:c>
      <x:c r="C23" s="14" t="str">
        <x:v>SELECTED-A</x:v>
      </x:c>
      <x:c r="D23" s="14" t="str">
        <x:v>SEGMENT</x:v>
      </x:c>
      <x:c r="E23" s="14" t="n">
        <x:v>1</x:v>
      </x:c>
      <x:c r="F23" s="18" t="n">
        <x:v>2</x:v>
      </x:c>
      <x:c r="G23" s="18" t="n">
        <x:v>1728</x:v>
      </x:c>
      <x:c r="H23" s="18" t="n">
        <x:v>0.3</x:v>
      </x:c>
      <x:c r="I23" s="18" t="n">
        <x:f>F23*G23*H23</x:f>
        <x:v>1036.8</x:v>
      </x:c>
      <x:c r="J23" s="14" t="str">
        <x:v>OPEN</x:v>
      </x:c>
      <x:c r="K23" s="14" t="str">
        <x:v>OPEN</x:v>
      </x:c>
    </x:row>
    <x:row r="24">
      <x:c r="A24" s="15" t="str">
        <x:v>MT-020</x:v>
      </x:c>
      <x:c r="B24" s="15" t="str">
        <x:v>FS-02</x:v>
      </x:c>
      <x:c r="C24" s="15" t="str">
        <x:v>SELECTED-A</x:v>
      </x:c>
      <x:c r="D24" s="15" t="str">
        <x:v>SEGMENT</x:v>
      </x:c>
      <x:c r="E24" s="15" t="n">
        <x:v>2</x:v>
      </x:c>
      <x:c r="F24" s="19" t="n">
        <x:v>2</x:v>
      </x:c>
      <x:c r="G24" s="19" t="n">
        <x:v>1728</x:v>
      </x:c>
      <x:c r="H24" s="19" t="n">
        <x:v>0.3</x:v>
      </x:c>
      <x:c r="I24" s="19" t="n">
        <x:f>F24*G24*H24</x:f>
        <x:v>1036.8</x:v>
      </x:c>
      <x:c r="J24" s="15" t="str">
        <x:v>OPEN</x:v>
      </x:c>
      <x:c r="K24" s="15" t="str">
        <x:v>OPEN</x:v>
      </x:c>
    </x:row>
    <x:row r="25">
      <x:c r="A25" s="14" t="str">
        <x:v>MT-021</x:v>
      </x:c>
      <x:c r="B25" s="14" t="str">
        <x:v>FS-02</x:v>
      </x:c>
      <x:c r="C25" s="14" t="str">
        <x:v>SELECTED-A</x:v>
      </x:c>
      <x:c r="D25" s="14" t="str">
        <x:v>SEGMENT</x:v>
      </x:c>
      <x:c r="E25" s="14" t="n">
        <x:v>3</x:v>
      </x:c>
      <x:c r="F25" s="18" t="n">
        <x:v>2</x:v>
      </x:c>
      <x:c r="G25" s="18" t="n">
        <x:v>1728</x:v>
      </x:c>
      <x:c r="H25" s="18" t="n">
        <x:v>0.3</x:v>
      </x:c>
      <x:c r="I25" s="18" t="n">
        <x:f>F25*G25*H25</x:f>
        <x:v>1036.8</x:v>
      </x:c>
      <x:c r="J25" s="14" t="str">
        <x:v>OPEN</x:v>
      </x:c>
      <x:c r="K25" s="14" t="str">
        <x:v>OPEN</x:v>
      </x:c>
    </x:row>
    <x:row r="26">
      <x:c r="A26" s="15" t="str">
        <x:v>MT-022</x:v>
      </x:c>
      <x:c r="B26" s="15" t="str">
        <x:v>FS-02</x:v>
      </x:c>
      <x:c r="C26" s="15" t="str">
        <x:v>SELECTED-A</x:v>
      </x:c>
      <x:c r="D26" s="15" t="str">
        <x:v>SEGMENT</x:v>
      </x:c>
      <x:c r="E26" s="15" t="n">
        <x:v>4</x:v>
      </x:c>
      <x:c r="F26" s="19" t="n">
        <x:v>2</x:v>
      </x:c>
      <x:c r="G26" s="19" t="n">
        <x:v>1728</x:v>
      </x:c>
      <x:c r="H26" s="19" t="n">
        <x:v>0.3</x:v>
      </x:c>
      <x:c r="I26" s="19" t="n">
        <x:f>F26*G26*H26</x:f>
        <x:v>1036.8</x:v>
      </x:c>
      <x:c r="J26" s="15" t="str">
        <x:v>OPEN</x:v>
      </x:c>
      <x:c r="K26" s="15" t="str">
        <x:v>OPEN</x:v>
      </x:c>
    </x:row>
    <x:row r="27">
      <x:c r="A27" s="14" t="str">
        <x:v>MT-023</x:v>
      </x:c>
      <x:c r="B27" s="14" t="str">
        <x:v>FS-02</x:v>
      </x:c>
      <x:c r="C27" s="14" t="str">
        <x:v>SELECTED-A</x:v>
      </x:c>
      <x:c r="D27" s="14" t="str">
        <x:v>SEGMENT</x:v>
      </x:c>
      <x:c r="E27" s="14" t="n">
        <x:v>5</x:v>
      </x:c>
      <x:c r="F27" s="18" t="n">
        <x:v>2</x:v>
      </x:c>
      <x:c r="G27" s="18" t="n">
        <x:v>1728</x:v>
      </x:c>
      <x:c r="H27" s="18" t="n">
        <x:v>0.3</x:v>
      </x:c>
      <x:c r="I27" s="18" t="n">
        <x:f>F27*G27*H27</x:f>
        <x:v>1036.8</x:v>
      </x:c>
      <x:c r="J27" s="14" t="str">
        <x:v>OPEN</x:v>
      </x:c>
      <x:c r="K27" s="14" t="str">
        <x:v>OPEN</x:v>
      </x:c>
    </x:row>
    <x:row r="28">
      <x:c r="A28" s="15" t="str">
        <x:v>MT-024</x:v>
      </x:c>
      <x:c r="B28" s="15" t="str">
        <x:v>FS-02</x:v>
      </x:c>
      <x:c r="C28" s="15" t="str">
        <x:v>SELECTED-A</x:v>
      </x:c>
      <x:c r="D28" s="15" t="str">
        <x:v>SEGMENT</x:v>
      </x:c>
      <x:c r="E28" s="15" t="n">
        <x:v>6</x:v>
      </x:c>
      <x:c r="F28" s="19" t="n">
        <x:v>2</x:v>
      </x:c>
      <x:c r="G28" s="19" t="n">
        <x:v>1728</x:v>
      </x:c>
      <x:c r="H28" s="19" t="n">
        <x:v>0.3</x:v>
      </x:c>
      <x:c r="I28" s="19" t="n">
        <x:f>F28*G28*H28</x:f>
        <x:v>1036.8</x:v>
      </x:c>
      <x:c r="J28" s="15" t="str">
        <x:v>OPEN</x:v>
      </x:c>
      <x:c r="K28" s="15" t="str">
        <x:v>OPEN</x:v>
      </x:c>
    </x:row>
    <x:row r="29">
      <x:c r="A29" s="14" t="str">
        <x:v>MT-025</x:v>
      </x:c>
      <x:c r="B29" s="14" t="str">
        <x:v>FS-02</x:v>
      </x:c>
      <x:c r="C29" s="14" t="str">
        <x:v>SELECTED-A</x:v>
      </x:c>
      <x:c r="D29" s="14" t="str">
        <x:v>INTERMEDIATE</x:v>
      </x:c>
      <x:c r="E29" s="14" t="n">
        <x:v>1</x:v>
      </x:c>
      <x:c r="F29" s="18" t="n">
        <x:v>12</x:v>
      </x:c>
      <x:c r="G29" s="18" t="n">
        <x:v>1728</x:v>
      </x:c>
      <x:c r="H29" s="18" t="n">
        <x:v>0.3</x:v>
      </x:c>
      <x:c r="I29" s="18" t="n">
        <x:f>F29*G29*H29</x:f>
        <x:v>6220.8</x:v>
      </x:c>
      <x:c r="J29" s="14" t="str">
        <x:v>OPEN</x:v>
      </x:c>
      <x:c r="K29" s="14" t="str">
        <x:v>OPEN</x:v>
      </x:c>
    </x:row>
    <x:row r="30">
      <x:c r="A30" s="15" t="str">
        <x:v>MT-026</x:v>
      </x:c>
      <x:c r="B30" s="15" t="str">
        <x:v>FS-02</x:v>
      </x:c>
      <x:c r="C30" s="15" t="str">
        <x:v>SELECTED-A</x:v>
      </x:c>
      <x:c r="D30" s="15" t="str">
        <x:v>INTERMEDIATE</x:v>
      </x:c>
      <x:c r="E30" s="15" t="n">
        <x:v>2</x:v>
      </x:c>
      <x:c r="F30" s="19" t="n">
        <x:v>12</x:v>
      </x:c>
      <x:c r="G30" s="19" t="n">
        <x:v>1728</x:v>
      </x:c>
      <x:c r="H30" s="19" t="n">
        <x:v>0.3</x:v>
      </x:c>
      <x:c r="I30" s="19" t="n">
        <x:f>F30*G30*H30</x:f>
        <x:v>6220.8</x:v>
      </x:c>
      <x:c r="J30" s="15" t="str">
        <x:v>OPEN</x:v>
      </x:c>
      <x:c r="K30" s="15" t="str">
        <x:v>OPEN</x:v>
      </x:c>
    </x:row>
    <x:row r="31">
      <x:c r="A31" s="14" t="str">
        <x:v>MT-027</x:v>
      </x:c>
      <x:c r="B31" s="14" t="str">
        <x:v>FS-02</x:v>
      </x:c>
      <x:c r="C31" s="14" t="str">
        <x:v>SELECTED-A</x:v>
      </x:c>
      <x:c r="D31" s="14" t="str">
        <x:v>INTERMEDIATE</x:v>
      </x:c>
      <x:c r="E31" s="14" t="n">
        <x:v>3</x:v>
      </x:c>
      <x:c r="F31" s="18" t="n">
        <x:v>12</x:v>
      </x:c>
      <x:c r="G31" s="18" t="n">
        <x:v>1728</x:v>
      </x:c>
      <x:c r="H31" s="18" t="n">
        <x:v>0.3</x:v>
      </x:c>
      <x:c r="I31" s="18" t="n">
        <x:f>F31*G31*H31</x:f>
        <x:v>6220.8</x:v>
      </x:c>
      <x:c r="J31" s="14" t="str">
        <x:v>OPEN</x:v>
      </x:c>
      <x:c r="K31" s="14" t="str">
        <x:v>OPEN</x:v>
      </x:c>
    </x:row>
    <x:row r="32">
      <x:c r="A32" s="15" t="str">
        <x:v>MT-028</x:v>
      </x:c>
      <x:c r="B32" s="15" t="str">
        <x:v>FS-02</x:v>
      </x:c>
      <x:c r="C32" s="15" t="str">
        <x:v>SELECTED-A</x:v>
      </x:c>
      <x:c r="D32" s="15" t="str">
        <x:v>INTERMEDIATE</x:v>
      </x:c>
      <x:c r="E32" s="15" t="n">
        <x:v>4</x:v>
      </x:c>
      <x:c r="F32" s="19" t="n">
        <x:v>12</x:v>
      </x:c>
      <x:c r="G32" s="19" t="n">
        <x:v>1728</x:v>
      </x:c>
      <x:c r="H32" s="19" t="n">
        <x:v>0.3</x:v>
      </x:c>
      <x:c r="I32" s="19" t="n">
        <x:f>F32*G32*H32</x:f>
        <x:v>6220.8</x:v>
      </x:c>
      <x:c r="J32" s="15" t="str">
        <x:v>OPEN</x:v>
      </x:c>
      <x:c r="K32" s="15" t="str">
        <x:v>OPEN</x:v>
      </x:c>
    </x:row>
    <x:row r="33">
      <x:c r="A33" s="14" t="str">
        <x:v>MT-029</x:v>
      </x:c>
      <x:c r="B33" s="14" t="str">
        <x:v>FS-02</x:v>
      </x:c>
      <x:c r="C33" s="14" t="str">
        <x:v>SELECTED-A</x:v>
      </x:c>
      <x:c r="D33" s="14" t="str">
        <x:v>INTERMEDIATE</x:v>
      </x:c>
      <x:c r="E33" s="14" t="n">
        <x:v>5</x:v>
      </x:c>
      <x:c r="F33" s="18" t="n">
        <x:v>12</x:v>
      </x:c>
      <x:c r="G33" s="18" t="n">
        <x:v>1728</x:v>
      </x:c>
      <x:c r="H33" s="18" t="n">
        <x:v>0.3</x:v>
      </x:c>
      <x:c r="I33" s="18" t="n">
        <x:f>F33*G33*H33</x:f>
        <x:v>6220.8</x:v>
      </x:c>
      <x:c r="J33" s="14" t="str">
        <x:v>OPEN</x:v>
      </x:c>
      <x:c r="K33" s="14" t="str">
        <x:v>OPEN</x:v>
      </x:c>
    </x:row>
    <x:row r="34">
      <x:c r="A34" s="15" t="str">
        <x:v>MT-030</x:v>
      </x:c>
      <x:c r="B34" s="15" t="str">
        <x:v>FS-02</x:v>
      </x:c>
      <x:c r="C34" s="15" t="str">
        <x:v>SELECTED-A</x:v>
      </x:c>
      <x:c r="D34" s="15" t="str">
        <x:v>INTERMEDIATE</x:v>
      </x:c>
      <x:c r="E34" s="15" t="n">
        <x:v>6</x:v>
      </x:c>
      <x:c r="F34" s="19" t="n">
        <x:v>12</x:v>
      </x:c>
      <x:c r="G34" s="19" t="n">
        <x:v>1728</x:v>
      </x:c>
      <x:c r="H34" s="19" t="n">
        <x:v>0.3</x:v>
      </x:c>
      <x:c r="I34" s="19" t="n">
        <x:f>F34*G34*H34</x:f>
        <x:v>6220.8</x:v>
      </x:c>
      <x:c r="J34" s="15" t="str">
        <x:v>OPEN</x:v>
      </x:c>
      <x:c r="K34" s="15" t="str">
        <x:v>OPEN</x:v>
      </x:c>
    </x:row>
    <x:row r="35">
      <x:c r="A35" s="14" t="str">
        <x:v>MT-031</x:v>
      </x:c>
      <x:c r="B35" s="14" t="str">
        <x:v>FS-02</x:v>
      </x:c>
      <x:c r="C35" s="14" t="str">
        <x:v>SELECTED-A</x:v>
      </x:c>
      <x:c r="D35" s="14" t="str">
        <x:v>FULL-DAY</x:v>
      </x:c>
      <x:c r="E35" s="14" t="n">
        <x:v>1</x:v>
      </x:c>
      <x:c r="F35" s="18" t="n">
        <x:v>24</x:v>
      </x:c>
      <x:c r="G35" s="18" t="n">
        <x:v>1728</x:v>
      </x:c>
      <x:c r="H35" s="18" t="n">
        <x:v>0.3</x:v>
      </x:c>
      <x:c r="I35" s="18" t="n">
        <x:f>F35*G35*H35</x:f>
        <x:v>12441.6</x:v>
      </x:c>
      <x:c r="J35" s="14" t="str">
        <x:v>OPEN</x:v>
      </x:c>
      <x:c r="K35" s="14" t="str">
        <x:v>OPEN</x:v>
      </x:c>
    </x:row>
    <x:row r="36">
      <x:c r="A36" s="15" t="str">
        <x:v>MT-032</x:v>
      </x:c>
      <x:c r="B36" s="15" t="str">
        <x:v>FS-02</x:v>
      </x:c>
      <x:c r="C36" s="15" t="str">
        <x:v>SELECTED-A</x:v>
      </x:c>
      <x:c r="D36" s="15" t="str">
        <x:v>FULL-DAY</x:v>
      </x:c>
      <x:c r="E36" s="15" t="n">
        <x:v>2</x:v>
      </x:c>
      <x:c r="F36" s="19" t="n">
        <x:v>24</x:v>
      </x:c>
      <x:c r="G36" s="19" t="n">
        <x:v>1728</x:v>
      </x:c>
      <x:c r="H36" s="19" t="n">
        <x:v>0.3</x:v>
      </x:c>
      <x:c r="I36" s="19" t="n">
        <x:f>F36*G36*H36</x:f>
        <x:v>12441.6</x:v>
      </x:c>
      <x:c r="J36" s="15" t="str">
        <x:v>OPEN</x:v>
      </x:c>
      <x:c r="K36" s="15" t="str">
        <x:v>OPEN</x:v>
      </x:c>
    </x:row>
    <x:row r="37">
      <x:c r="A37" s="14" t="str">
        <x:v>MT-033</x:v>
      </x:c>
      <x:c r="B37" s="14" t="str">
        <x:v>FS-02</x:v>
      </x:c>
      <x:c r="C37" s="14" t="str">
        <x:v>SELECTED-A</x:v>
      </x:c>
      <x:c r="D37" s="14" t="str">
        <x:v>FULL-DAY</x:v>
      </x:c>
      <x:c r="E37" s="14" t="n">
        <x:v>3</x:v>
      </x:c>
      <x:c r="F37" s="18" t="n">
        <x:v>24</x:v>
      </x:c>
      <x:c r="G37" s="18" t="n">
        <x:v>1728</x:v>
      </x:c>
      <x:c r="H37" s="18" t="n">
        <x:v>0.3</x:v>
      </x:c>
      <x:c r="I37" s="18" t="n">
        <x:f>F37*G37*H37</x:f>
        <x:v>12441.6</x:v>
      </x:c>
      <x:c r="J37" s="14" t="str">
        <x:v>OPEN</x:v>
      </x:c>
      <x:c r="K37" s="14" t="str">
        <x:v>OPEN</x:v>
      </x:c>
    </x:row>
    <x:row r="38">
      <x:c r="A38" s="15" t="str">
        <x:v>MT-034</x:v>
      </x:c>
      <x:c r="B38" s="15" t="str">
        <x:v>FS-02</x:v>
      </x:c>
      <x:c r="C38" s="15" t="str">
        <x:v>SELECTED-A</x:v>
      </x:c>
      <x:c r="D38" s="15" t="str">
        <x:v>FULL-DAY</x:v>
      </x:c>
      <x:c r="E38" s="15" t="n">
        <x:v>4</x:v>
      </x:c>
      <x:c r="F38" s="19" t="n">
        <x:v>24</x:v>
      </x:c>
      <x:c r="G38" s="19" t="n">
        <x:v>1728</x:v>
      </x:c>
      <x:c r="H38" s="19" t="n">
        <x:v>0.3</x:v>
      </x:c>
      <x:c r="I38" s="19" t="n">
        <x:f>F38*G38*H38</x:f>
        <x:v>12441.6</x:v>
      </x:c>
      <x:c r="J38" s="15" t="str">
        <x:v>OPEN</x:v>
      </x:c>
      <x:c r="K38" s="15" t="str">
        <x:v>OPEN</x:v>
      </x:c>
    </x:row>
    <x:row r="39">
      <x:c r="A39" s="14" t="str">
        <x:v>MT-035</x:v>
      </x:c>
      <x:c r="B39" s="14" t="str">
        <x:v>FS-02</x:v>
      </x:c>
      <x:c r="C39" s="14" t="str">
        <x:v>SELECTED-A</x:v>
      </x:c>
      <x:c r="D39" s="14" t="str">
        <x:v>FULL-MISSION</x:v>
      </x:c>
      <x:c r="E39" s="14" t="n">
        <x:v>1</x:v>
      </x:c>
      <x:c r="F39" s="18" t="n">
        <x:v>72</x:v>
      </x:c>
      <x:c r="G39" s="18" t="n">
        <x:v>1728</x:v>
      </x:c>
      <x:c r="H39" s="18" t="n">
        <x:v>0.3</x:v>
      </x:c>
      <x:c r="I39" s="18" t="n">
        <x:f>F39*G39*H39</x:f>
        <x:v>37324.799999999996</x:v>
      </x:c>
      <x:c r="J39" s="14" t="str">
        <x:v>OPEN</x:v>
      </x:c>
      <x:c r="K39" s="14" t="str">
        <x:v>OPEN</x:v>
      </x:c>
    </x:row>
    <x:row r="40">
      <x:c r="A40" s="15" t="str">
        <x:v>MT-036</x:v>
      </x:c>
      <x:c r="B40" s="15" t="str">
        <x:v>FS-02</x:v>
      </x:c>
      <x:c r="C40" s="15" t="str">
        <x:v>SELECTED-A</x:v>
      </x:c>
      <x:c r="D40" s="15" t="str">
        <x:v>FULL-MISSION</x:v>
      </x:c>
      <x:c r="E40" s="15" t="n">
        <x:v>2</x:v>
      </x:c>
      <x:c r="F40" s="19" t="n">
        <x:v>72</x:v>
      </x:c>
      <x:c r="G40" s="19" t="n">
        <x:v>1728</x:v>
      </x:c>
      <x:c r="H40" s="19" t="n">
        <x:v>0.3</x:v>
      </x:c>
      <x:c r="I40" s="19" t="n">
        <x:f>F40*G40*H40</x:f>
        <x:v>37324.799999999996</x:v>
      </x:c>
      <x:c r="J40" s="15" t="str">
        <x:v>OPEN</x:v>
      </x:c>
      <x:c r="K40" s="15" t="str">
        <x:v>OPEN</x:v>
      </x:c>
    </x:row>
    <x:row r="41">
      <x:c r="A41" s="14" t="str">
        <x:v>MT-037</x:v>
      </x:c>
      <x:c r="B41" s="14" t="str">
        <x:v>FS-03</x:v>
      </x:c>
      <x:c r="C41" s="14" t="str">
        <x:v>SELECTED-A</x:v>
      </x:c>
      <x:c r="D41" s="14" t="str">
        <x:v>SEGMENT</x:v>
      </x:c>
      <x:c r="E41" s="14" t="n">
        <x:v>1</x:v>
      </x:c>
      <x:c r="F41" s="18" t="n">
        <x:v>2</x:v>
      </x:c>
      <x:c r="G41" s="18" t="n">
        <x:v>1728</x:v>
      </x:c>
      <x:c r="H41" s="18" t="n">
        <x:v>0.3</x:v>
      </x:c>
      <x:c r="I41" s="18" t="n">
        <x:f>F41*G41*H41</x:f>
        <x:v>1036.8</x:v>
      </x:c>
      <x:c r="J41" s="14" t="str">
        <x:v>OPEN</x:v>
      </x:c>
      <x:c r="K41" s="14" t="str">
        <x:v>OPEN</x:v>
      </x:c>
    </x:row>
    <x:row r="42">
      <x:c r="A42" s="15" t="str">
        <x:v>MT-038</x:v>
      </x:c>
      <x:c r="B42" s="15" t="str">
        <x:v>FS-03</x:v>
      </x:c>
      <x:c r="C42" s="15" t="str">
        <x:v>SELECTED-A</x:v>
      </x:c>
      <x:c r="D42" s="15" t="str">
        <x:v>SEGMENT</x:v>
      </x:c>
      <x:c r="E42" s="15" t="n">
        <x:v>2</x:v>
      </x:c>
      <x:c r="F42" s="19" t="n">
        <x:v>2</x:v>
      </x:c>
      <x:c r="G42" s="19" t="n">
        <x:v>1728</x:v>
      </x:c>
      <x:c r="H42" s="19" t="n">
        <x:v>0.3</x:v>
      </x:c>
      <x:c r="I42" s="19" t="n">
        <x:f>F42*G42*H42</x:f>
        <x:v>1036.8</x:v>
      </x:c>
      <x:c r="J42" s="15" t="str">
        <x:v>OPEN</x:v>
      </x:c>
      <x:c r="K42" s="15" t="str">
        <x:v>OPEN</x:v>
      </x:c>
    </x:row>
    <x:row r="43">
      <x:c r="A43" s="14" t="str">
        <x:v>MT-039</x:v>
      </x:c>
      <x:c r="B43" s="14" t="str">
        <x:v>FS-03</x:v>
      </x:c>
      <x:c r="C43" s="14" t="str">
        <x:v>SELECTED-A</x:v>
      </x:c>
      <x:c r="D43" s="14" t="str">
        <x:v>SEGMENT</x:v>
      </x:c>
      <x:c r="E43" s="14" t="n">
        <x:v>3</x:v>
      </x:c>
      <x:c r="F43" s="18" t="n">
        <x:v>2</x:v>
      </x:c>
      <x:c r="G43" s="18" t="n">
        <x:v>1728</x:v>
      </x:c>
      <x:c r="H43" s="18" t="n">
        <x:v>0.3</x:v>
      </x:c>
      <x:c r="I43" s="18" t="n">
        <x:f>F43*G43*H43</x:f>
        <x:v>1036.8</x:v>
      </x:c>
      <x:c r="J43" s="14" t="str">
        <x:v>OPEN</x:v>
      </x:c>
      <x:c r="K43" s="14" t="str">
        <x:v>OPEN</x:v>
      </x:c>
    </x:row>
    <x:row r="44">
      <x:c r="A44" s="15" t="str">
        <x:v>MT-040</x:v>
      </x:c>
      <x:c r="B44" s="15" t="str">
        <x:v>FS-03</x:v>
      </x:c>
      <x:c r="C44" s="15" t="str">
        <x:v>SELECTED-A</x:v>
      </x:c>
      <x:c r="D44" s="15" t="str">
        <x:v>SEGMENT</x:v>
      </x:c>
      <x:c r="E44" s="15" t="n">
        <x:v>4</x:v>
      </x:c>
      <x:c r="F44" s="19" t="n">
        <x:v>2</x:v>
      </x:c>
      <x:c r="G44" s="19" t="n">
        <x:v>1728</x:v>
      </x:c>
      <x:c r="H44" s="19" t="n">
        <x:v>0.3</x:v>
      </x:c>
      <x:c r="I44" s="19" t="n">
        <x:f>F44*G44*H44</x:f>
        <x:v>1036.8</x:v>
      </x:c>
      <x:c r="J44" s="15" t="str">
        <x:v>OPEN</x:v>
      </x:c>
      <x:c r="K44" s="15" t="str">
        <x:v>OPEN</x:v>
      </x:c>
    </x:row>
    <x:row r="45">
      <x:c r="A45" s="14" t="str">
        <x:v>MT-041</x:v>
      </x:c>
      <x:c r="B45" s="14" t="str">
        <x:v>FS-03</x:v>
      </x:c>
      <x:c r="C45" s="14" t="str">
        <x:v>SELECTED-A</x:v>
      </x:c>
      <x:c r="D45" s="14" t="str">
        <x:v>SEGMENT</x:v>
      </x:c>
      <x:c r="E45" s="14" t="n">
        <x:v>5</x:v>
      </x:c>
      <x:c r="F45" s="18" t="n">
        <x:v>2</x:v>
      </x:c>
      <x:c r="G45" s="18" t="n">
        <x:v>1728</x:v>
      </x:c>
      <x:c r="H45" s="18" t="n">
        <x:v>0.3</x:v>
      </x:c>
      <x:c r="I45" s="18" t="n">
        <x:f>F45*G45*H45</x:f>
        <x:v>1036.8</x:v>
      </x:c>
      <x:c r="J45" s="14" t="str">
        <x:v>OPEN</x:v>
      </x:c>
      <x:c r="K45" s="14" t="str">
        <x:v>OPEN</x:v>
      </x:c>
    </x:row>
    <x:row r="46">
      <x:c r="A46" s="15" t="str">
        <x:v>MT-042</x:v>
      </x:c>
      <x:c r="B46" s="15" t="str">
        <x:v>FS-03</x:v>
      </x:c>
      <x:c r="C46" s="15" t="str">
        <x:v>SELECTED-A</x:v>
      </x:c>
      <x:c r="D46" s="15" t="str">
        <x:v>SEGMENT</x:v>
      </x:c>
      <x:c r="E46" s="15" t="n">
        <x:v>6</x:v>
      </x:c>
      <x:c r="F46" s="19" t="n">
        <x:v>2</x:v>
      </x:c>
      <x:c r="G46" s="19" t="n">
        <x:v>1728</x:v>
      </x:c>
      <x:c r="H46" s="19" t="n">
        <x:v>0.3</x:v>
      </x:c>
      <x:c r="I46" s="19" t="n">
        <x:f>F46*G46*H46</x:f>
        <x:v>1036.8</x:v>
      </x:c>
      <x:c r="J46" s="15" t="str">
        <x:v>OPEN</x:v>
      </x:c>
      <x:c r="K46" s="15" t="str">
        <x:v>OPEN</x:v>
      </x:c>
    </x:row>
    <x:row r="47">
      <x:c r="A47" s="14" t="str">
        <x:v>MT-043</x:v>
      </x:c>
      <x:c r="B47" s="14" t="str">
        <x:v>FS-03</x:v>
      </x:c>
      <x:c r="C47" s="14" t="str">
        <x:v>SELECTED-A</x:v>
      </x:c>
      <x:c r="D47" s="14" t="str">
        <x:v>INTERMEDIATE</x:v>
      </x:c>
      <x:c r="E47" s="14" t="n">
        <x:v>1</x:v>
      </x:c>
      <x:c r="F47" s="18" t="n">
        <x:v>12</x:v>
      </x:c>
      <x:c r="G47" s="18" t="n">
        <x:v>1728</x:v>
      </x:c>
      <x:c r="H47" s="18" t="n">
        <x:v>0.3</x:v>
      </x:c>
      <x:c r="I47" s="18" t="n">
        <x:f>F47*G47*H47</x:f>
        <x:v>6220.8</x:v>
      </x:c>
      <x:c r="J47" s="14" t="str">
        <x:v>OPEN</x:v>
      </x:c>
      <x:c r="K47" s="14" t="str">
        <x:v>OPEN</x:v>
      </x:c>
    </x:row>
    <x:row r="48">
      <x:c r="A48" s="15" t="str">
        <x:v>MT-044</x:v>
      </x:c>
      <x:c r="B48" s="15" t="str">
        <x:v>FS-03</x:v>
      </x:c>
      <x:c r="C48" s="15" t="str">
        <x:v>SELECTED-A</x:v>
      </x:c>
      <x:c r="D48" s="15" t="str">
        <x:v>INTERMEDIATE</x:v>
      </x:c>
      <x:c r="E48" s="15" t="n">
        <x:v>2</x:v>
      </x:c>
      <x:c r="F48" s="19" t="n">
        <x:v>12</x:v>
      </x:c>
      <x:c r="G48" s="19" t="n">
        <x:v>1728</x:v>
      </x:c>
      <x:c r="H48" s="19" t="n">
        <x:v>0.3</x:v>
      </x:c>
      <x:c r="I48" s="19" t="n">
        <x:f>F48*G48*H48</x:f>
        <x:v>6220.8</x:v>
      </x:c>
      <x:c r="J48" s="15" t="str">
        <x:v>OPEN</x:v>
      </x:c>
      <x:c r="K48" s="15" t="str">
        <x:v>OPEN</x:v>
      </x:c>
    </x:row>
    <x:row r="49">
      <x:c r="A49" s="14" t="str">
        <x:v>MT-045</x:v>
      </x:c>
      <x:c r="B49" s="14" t="str">
        <x:v>FS-03</x:v>
      </x:c>
      <x:c r="C49" s="14" t="str">
        <x:v>SELECTED-A</x:v>
      </x:c>
      <x:c r="D49" s="14" t="str">
        <x:v>INTERMEDIATE</x:v>
      </x:c>
      <x:c r="E49" s="14" t="n">
        <x:v>3</x:v>
      </x:c>
      <x:c r="F49" s="18" t="n">
        <x:v>12</x:v>
      </x:c>
      <x:c r="G49" s="18" t="n">
        <x:v>1728</x:v>
      </x:c>
      <x:c r="H49" s="18" t="n">
        <x:v>0.3</x:v>
      </x:c>
      <x:c r="I49" s="18" t="n">
        <x:f>F49*G49*H49</x:f>
        <x:v>6220.8</x:v>
      </x:c>
      <x:c r="J49" s="14" t="str">
        <x:v>OPEN</x:v>
      </x:c>
      <x:c r="K49" s="14" t="str">
        <x:v>OPEN</x:v>
      </x:c>
    </x:row>
    <x:row r="50">
      <x:c r="A50" s="15" t="str">
        <x:v>MT-046</x:v>
      </x:c>
      <x:c r="B50" s="15" t="str">
        <x:v>FS-03</x:v>
      </x:c>
      <x:c r="C50" s="15" t="str">
        <x:v>SELECTED-A</x:v>
      </x:c>
      <x:c r="D50" s="15" t="str">
        <x:v>INTERMEDIATE</x:v>
      </x:c>
      <x:c r="E50" s="15" t="n">
        <x:v>4</x:v>
      </x:c>
      <x:c r="F50" s="19" t="n">
        <x:v>12</x:v>
      </x:c>
      <x:c r="G50" s="19" t="n">
        <x:v>1728</x:v>
      </x:c>
      <x:c r="H50" s="19" t="n">
        <x:v>0.3</x:v>
      </x:c>
      <x:c r="I50" s="19" t="n">
        <x:f>F50*G50*H50</x:f>
        <x:v>6220.8</x:v>
      </x:c>
      <x:c r="J50" s="15" t="str">
        <x:v>OPEN</x:v>
      </x:c>
      <x:c r="K50" s="15" t="str">
        <x:v>OPEN</x:v>
      </x:c>
    </x:row>
    <x:row r="51">
      <x:c r="A51" s="14" t="str">
        <x:v>MT-047</x:v>
      </x:c>
      <x:c r="B51" s="14" t="str">
        <x:v>FS-03</x:v>
      </x:c>
      <x:c r="C51" s="14" t="str">
        <x:v>SELECTED-A</x:v>
      </x:c>
      <x:c r="D51" s="14" t="str">
        <x:v>INTERMEDIATE</x:v>
      </x:c>
      <x:c r="E51" s="14" t="n">
        <x:v>5</x:v>
      </x:c>
      <x:c r="F51" s="18" t="n">
        <x:v>12</x:v>
      </x:c>
      <x:c r="G51" s="18" t="n">
        <x:v>1728</x:v>
      </x:c>
      <x:c r="H51" s="18" t="n">
        <x:v>0.3</x:v>
      </x:c>
      <x:c r="I51" s="18" t="n">
        <x:f>F51*G51*H51</x:f>
        <x:v>6220.8</x:v>
      </x:c>
      <x:c r="J51" s="14" t="str">
        <x:v>OPEN</x:v>
      </x:c>
      <x:c r="K51" s="14" t="str">
        <x:v>OPEN</x:v>
      </x:c>
    </x:row>
    <x:row r="52">
      <x:c r="A52" s="15" t="str">
        <x:v>MT-048</x:v>
      </x:c>
      <x:c r="B52" s="15" t="str">
        <x:v>FS-03</x:v>
      </x:c>
      <x:c r="C52" s="15" t="str">
        <x:v>SELECTED-A</x:v>
      </x:c>
      <x:c r="D52" s="15" t="str">
        <x:v>INTERMEDIATE</x:v>
      </x:c>
      <x:c r="E52" s="15" t="n">
        <x:v>6</x:v>
      </x:c>
      <x:c r="F52" s="19" t="n">
        <x:v>12</x:v>
      </x:c>
      <x:c r="G52" s="19" t="n">
        <x:v>1728</x:v>
      </x:c>
      <x:c r="H52" s="19" t="n">
        <x:v>0.3</x:v>
      </x:c>
      <x:c r="I52" s="19" t="n">
        <x:f>F52*G52*H52</x:f>
        <x:v>6220.8</x:v>
      </x:c>
      <x:c r="J52" s="15" t="str">
        <x:v>OPEN</x:v>
      </x:c>
      <x:c r="K52" s="15" t="str">
        <x:v>OPEN</x:v>
      </x:c>
    </x:row>
    <x:row r="53">
      <x:c r="A53" s="14" t="str">
        <x:v>MT-049</x:v>
      </x:c>
      <x:c r="B53" s="14" t="str">
        <x:v>FS-03</x:v>
      </x:c>
      <x:c r="C53" s="14" t="str">
        <x:v>SELECTED-A</x:v>
      </x:c>
      <x:c r="D53" s="14" t="str">
        <x:v>FULL-DAY</x:v>
      </x:c>
      <x:c r="E53" s="14" t="n">
        <x:v>1</x:v>
      </x:c>
      <x:c r="F53" s="18" t="n">
        <x:v>24</x:v>
      </x:c>
      <x:c r="G53" s="18" t="n">
        <x:v>1728</x:v>
      </x:c>
      <x:c r="H53" s="18" t="n">
        <x:v>0.3</x:v>
      </x:c>
      <x:c r="I53" s="18" t="n">
        <x:f>F53*G53*H53</x:f>
        <x:v>12441.6</x:v>
      </x:c>
      <x:c r="J53" s="14" t="str">
        <x:v>OPEN</x:v>
      </x:c>
      <x:c r="K53" s="14" t="str">
        <x:v>OPEN</x:v>
      </x:c>
    </x:row>
    <x:row r="54">
      <x:c r="A54" s="15" t="str">
        <x:v>MT-050</x:v>
      </x:c>
      <x:c r="B54" s="15" t="str">
        <x:v>FS-03</x:v>
      </x:c>
      <x:c r="C54" s="15" t="str">
        <x:v>SELECTED-A</x:v>
      </x:c>
      <x:c r="D54" s="15" t="str">
        <x:v>FULL-DAY</x:v>
      </x:c>
      <x:c r="E54" s="15" t="n">
        <x:v>2</x:v>
      </x:c>
      <x:c r="F54" s="19" t="n">
        <x:v>24</x:v>
      </x:c>
      <x:c r="G54" s="19" t="n">
        <x:v>1728</x:v>
      </x:c>
      <x:c r="H54" s="19" t="n">
        <x:v>0.3</x:v>
      </x:c>
      <x:c r="I54" s="19" t="n">
        <x:f>F54*G54*H54</x:f>
        <x:v>12441.6</x:v>
      </x:c>
      <x:c r="J54" s="15" t="str">
        <x:v>OPEN</x:v>
      </x:c>
      <x:c r="K54" s="15" t="str">
        <x:v>OPEN</x:v>
      </x:c>
    </x:row>
    <x:row r="55">
      <x:c r="A55" s="14" t="str">
        <x:v>MT-051</x:v>
      </x:c>
      <x:c r="B55" s="14" t="str">
        <x:v>FS-03</x:v>
      </x:c>
      <x:c r="C55" s="14" t="str">
        <x:v>SELECTED-A</x:v>
      </x:c>
      <x:c r="D55" s="14" t="str">
        <x:v>FULL-DAY</x:v>
      </x:c>
      <x:c r="E55" s="14" t="n">
        <x:v>3</x:v>
      </x:c>
      <x:c r="F55" s="18" t="n">
        <x:v>24</x:v>
      </x:c>
      <x:c r="G55" s="18" t="n">
        <x:v>1728</x:v>
      </x:c>
      <x:c r="H55" s="18" t="n">
        <x:v>0.3</x:v>
      </x:c>
      <x:c r="I55" s="18" t="n">
        <x:f>F55*G55*H55</x:f>
        <x:v>12441.6</x:v>
      </x:c>
      <x:c r="J55" s="14" t="str">
        <x:v>OPEN</x:v>
      </x:c>
      <x:c r="K55" s="14" t="str">
        <x:v>OPEN</x:v>
      </x:c>
    </x:row>
    <x:row r="56">
      <x:c r="A56" s="15" t="str">
        <x:v>MT-052</x:v>
      </x:c>
      <x:c r="B56" s="15" t="str">
        <x:v>FS-03</x:v>
      </x:c>
      <x:c r="C56" s="15" t="str">
        <x:v>SELECTED-A</x:v>
      </x:c>
      <x:c r="D56" s="15" t="str">
        <x:v>FULL-DAY</x:v>
      </x:c>
      <x:c r="E56" s="15" t="n">
        <x:v>4</x:v>
      </x:c>
      <x:c r="F56" s="19" t="n">
        <x:v>24</x:v>
      </x:c>
      <x:c r="G56" s="19" t="n">
        <x:v>1728</x:v>
      </x:c>
      <x:c r="H56" s="19" t="n">
        <x:v>0.3</x:v>
      </x:c>
      <x:c r="I56" s="19" t="n">
        <x:f>F56*G56*H56</x:f>
        <x:v>12441.6</x:v>
      </x:c>
      <x:c r="J56" s="15" t="str">
        <x:v>OPEN</x:v>
      </x:c>
      <x:c r="K56" s="15" t="str">
        <x:v>OPEN</x:v>
      </x:c>
    </x:row>
    <x:row r="57">
      <x:c r="A57" s="14" t="str">
        <x:v>MT-053</x:v>
      </x:c>
      <x:c r="B57" s="14" t="str">
        <x:v>FS-03</x:v>
      </x:c>
      <x:c r="C57" s="14" t="str">
        <x:v>SELECTED-A</x:v>
      </x:c>
      <x:c r="D57" s="14" t="str">
        <x:v>FULL-MISSION</x:v>
      </x:c>
      <x:c r="E57" s="14" t="n">
        <x:v>1</x:v>
      </x:c>
      <x:c r="F57" s="18" t="n">
        <x:v>72</x:v>
      </x:c>
      <x:c r="G57" s="18" t="n">
        <x:v>1728</x:v>
      </x:c>
      <x:c r="H57" s="18" t="n">
        <x:v>0.3</x:v>
      </x:c>
      <x:c r="I57" s="18" t="n">
        <x:f>F57*G57*H57</x:f>
        <x:v>37324.799999999996</x:v>
      </x:c>
      <x:c r="J57" s="14" t="str">
        <x:v>OPEN</x:v>
      </x:c>
      <x:c r="K57" s="14" t="str">
        <x:v>OPEN</x:v>
      </x:c>
    </x:row>
    <x:row r="58">
      <x:c r="A58" s="15" t="str">
        <x:v>MT-054</x:v>
      </x:c>
      <x:c r="B58" s="15" t="str">
        <x:v>FS-03</x:v>
      </x:c>
      <x:c r="C58" s="15" t="str">
        <x:v>SELECTED-A</x:v>
      </x:c>
      <x:c r="D58" s="15" t="str">
        <x:v>FULL-MISSION</x:v>
      </x:c>
      <x:c r="E58" s="15" t="n">
        <x:v>2</x:v>
      </x:c>
      <x:c r="F58" s="19" t="n">
        <x:v>72</x:v>
      </x:c>
      <x:c r="G58" s="19" t="n">
        <x:v>1728</x:v>
      </x:c>
      <x:c r="H58" s="19" t="n">
        <x:v>0.3</x:v>
      </x:c>
      <x:c r="I58" s="19" t="n">
        <x:f>F58*G58*H58</x:f>
        <x:v>37324.799999999996</x:v>
      </x:c>
      <x:c r="J58" s="15" t="str">
        <x:v>OPEN</x:v>
      </x:c>
      <x:c r="K58" s="15" t="str">
        <x:v>OPEN</x:v>
      </x:c>
    </x:row>
    <x:row r="59">
      <x:c r="A59" s="14" t="str">
        <x:v>MT-055</x:v>
      </x:c>
      <x:c r="B59" s="14" t="str">
        <x:v>FS-04</x:v>
      </x:c>
      <x:c r="C59" s="14" t="str">
        <x:v>SELECTED-A</x:v>
      </x:c>
      <x:c r="D59" s="14" t="str">
        <x:v>SEGMENT</x:v>
      </x:c>
      <x:c r="E59" s="14" t="n">
        <x:v>1</x:v>
      </x:c>
      <x:c r="F59" s="18" t="n">
        <x:v>2</x:v>
      </x:c>
      <x:c r="G59" s="18" t="n">
        <x:v>1728</x:v>
      </x:c>
      <x:c r="H59" s="18" t="n">
        <x:v>0.3</x:v>
      </x:c>
      <x:c r="I59" s="18" t="n">
        <x:f>F59*G59*H59</x:f>
        <x:v>1036.8</x:v>
      </x:c>
      <x:c r="J59" s="14" t="str">
        <x:v>OPEN</x:v>
      </x:c>
      <x:c r="K59" s="14" t="str">
        <x:v>OPEN</x:v>
      </x:c>
    </x:row>
    <x:row r="60">
      <x:c r="A60" s="15" t="str">
        <x:v>MT-056</x:v>
      </x:c>
      <x:c r="B60" s="15" t="str">
        <x:v>FS-04</x:v>
      </x:c>
      <x:c r="C60" s="15" t="str">
        <x:v>SELECTED-A</x:v>
      </x:c>
      <x:c r="D60" s="15" t="str">
        <x:v>SEGMENT</x:v>
      </x:c>
      <x:c r="E60" s="15" t="n">
        <x:v>2</x:v>
      </x:c>
      <x:c r="F60" s="19" t="n">
        <x:v>2</x:v>
      </x:c>
      <x:c r="G60" s="19" t="n">
        <x:v>1728</x:v>
      </x:c>
      <x:c r="H60" s="19" t="n">
        <x:v>0.3</x:v>
      </x:c>
      <x:c r="I60" s="19" t="n">
        <x:f>F60*G60*H60</x:f>
        <x:v>1036.8</x:v>
      </x:c>
      <x:c r="J60" s="15" t="str">
        <x:v>OPEN</x:v>
      </x:c>
      <x:c r="K60" s="15" t="str">
        <x:v>OPEN</x:v>
      </x:c>
    </x:row>
    <x:row r="61">
      <x:c r="A61" s="14" t="str">
        <x:v>MT-057</x:v>
      </x:c>
      <x:c r="B61" s="14" t="str">
        <x:v>FS-04</x:v>
      </x:c>
      <x:c r="C61" s="14" t="str">
        <x:v>SELECTED-A</x:v>
      </x:c>
      <x:c r="D61" s="14" t="str">
        <x:v>SEGMENT</x:v>
      </x:c>
      <x:c r="E61" s="14" t="n">
        <x:v>3</x:v>
      </x:c>
      <x:c r="F61" s="18" t="n">
        <x:v>2</x:v>
      </x:c>
      <x:c r="G61" s="18" t="n">
        <x:v>1728</x:v>
      </x:c>
      <x:c r="H61" s="18" t="n">
        <x:v>0.3</x:v>
      </x:c>
      <x:c r="I61" s="18" t="n">
        <x:f>F61*G61*H61</x:f>
        <x:v>1036.8</x:v>
      </x:c>
      <x:c r="J61" s="14" t="str">
        <x:v>OPEN</x:v>
      </x:c>
      <x:c r="K61" s="14" t="str">
        <x:v>OPEN</x:v>
      </x:c>
    </x:row>
    <x:row r="62">
      <x:c r="A62" s="15" t="str">
        <x:v>MT-058</x:v>
      </x:c>
      <x:c r="B62" s="15" t="str">
        <x:v>FS-04</x:v>
      </x:c>
      <x:c r="C62" s="15" t="str">
        <x:v>SELECTED-A</x:v>
      </x:c>
      <x:c r="D62" s="15" t="str">
        <x:v>SEGMENT</x:v>
      </x:c>
      <x:c r="E62" s="15" t="n">
        <x:v>4</x:v>
      </x:c>
      <x:c r="F62" s="19" t="n">
        <x:v>2</x:v>
      </x:c>
      <x:c r="G62" s="19" t="n">
        <x:v>1728</x:v>
      </x:c>
      <x:c r="H62" s="19" t="n">
        <x:v>0.3</x:v>
      </x:c>
      <x:c r="I62" s="19" t="n">
        <x:f>F62*G62*H62</x:f>
        <x:v>1036.8</x:v>
      </x:c>
      <x:c r="J62" s="15" t="str">
        <x:v>OPEN</x:v>
      </x:c>
      <x:c r="K62" s="15" t="str">
        <x:v>OPEN</x:v>
      </x:c>
    </x:row>
    <x:row r="63">
      <x:c r="A63" s="14" t="str">
        <x:v>MT-059</x:v>
      </x:c>
      <x:c r="B63" s="14" t="str">
        <x:v>FS-04</x:v>
      </x:c>
      <x:c r="C63" s="14" t="str">
        <x:v>SELECTED-A</x:v>
      </x:c>
      <x:c r="D63" s="14" t="str">
        <x:v>SEGMENT</x:v>
      </x:c>
      <x:c r="E63" s="14" t="n">
        <x:v>5</x:v>
      </x:c>
      <x:c r="F63" s="18" t="n">
        <x:v>2</x:v>
      </x:c>
      <x:c r="G63" s="18" t="n">
        <x:v>1728</x:v>
      </x:c>
      <x:c r="H63" s="18" t="n">
        <x:v>0.3</x:v>
      </x:c>
      <x:c r="I63" s="18" t="n">
        <x:f>F63*G63*H63</x:f>
        <x:v>1036.8</x:v>
      </x:c>
      <x:c r="J63" s="14" t="str">
        <x:v>OPEN</x:v>
      </x:c>
      <x:c r="K63" s="14" t="str">
        <x:v>OPEN</x:v>
      </x:c>
    </x:row>
    <x:row r="64">
      <x:c r="A64" s="15" t="str">
        <x:v>MT-060</x:v>
      </x:c>
      <x:c r="B64" s="15" t="str">
        <x:v>FS-04</x:v>
      </x:c>
      <x:c r="C64" s="15" t="str">
        <x:v>SELECTED-A</x:v>
      </x:c>
      <x:c r="D64" s="15" t="str">
        <x:v>SEGMENT</x:v>
      </x:c>
      <x:c r="E64" s="15" t="n">
        <x:v>6</x:v>
      </x:c>
      <x:c r="F64" s="19" t="n">
        <x:v>2</x:v>
      </x:c>
      <x:c r="G64" s="19" t="n">
        <x:v>1728</x:v>
      </x:c>
      <x:c r="H64" s="19" t="n">
        <x:v>0.3</x:v>
      </x:c>
      <x:c r="I64" s="19" t="n">
        <x:f>F64*G64*H64</x:f>
        <x:v>1036.8</x:v>
      </x:c>
      <x:c r="J64" s="15" t="str">
        <x:v>OPEN</x:v>
      </x:c>
      <x:c r="K64" s="15" t="str">
        <x:v>OPEN</x:v>
      </x:c>
    </x:row>
    <x:row r="65">
      <x:c r="A65" s="14" t="str">
        <x:v>MT-061</x:v>
      </x:c>
      <x:c r="B65" s="14" t="str">
        <x:v>FS-04</x:v>
      </x:c>
      <x:c r="C65" s="14" t="str">
        <x:v>SELECTED-A</x:v>
      </x:c>
      <x:c r="D65" s="14" t="str">
        <x:v>INTERMEDIATE</x:v>
      </x:c>
      <x:c r="E65" s="14" t="n">
        <x:v>1</x:v>
      </x:c>
      <x:c r="F65" s="18" t="n">
        <x:v>12</x:v>
      </x:c>
      <x:c r="G65" s="18" t="n">
        <x:v>1728</x:v>
      </x:c>
      <x:c r="H65" s="18" t="n">
        <x:v>0.3</x:v>
      </x:c>
      <x:c r="I65" s="18" t="n">
        <x:f>F65*G65*H65</x:f>
        <x:v>6220.8</x:v>
      </x:c>
      <x:c r="J65" s="14" t="str">
        <x:v>OPEN</x:v>
      </x:c>
      <x:c r="K65" s="14" t="str">
        <x:v>OPEN</x:v>
      </x:c>
    </x:row>
    <x:row r="66">
      <x:c r="A66" s="15" t="str">
        <x:v>MT-062</x:v>
      </x:c>
      <x:c r="B66" s="15" t="str">
        <x:v>FS-04</x:v>
      </x:c>
      <x:c r="C66" s="15" t="str">
        <x:v>SELECTED-A</x:v>
      </x:c>
      <x:c r="D66" s="15" t="str">
        <x:v>INTERMEDIATE</x:v>
      </x:c>
      <x:c r="E66" s="15" t="n">
        <x:v>2</x:v>
      </x:c>
      <x:c r="F66" s="19" t="n">
        <x:v>12</x:v>
      </x:c>
      <x:c r="G66" s="19" t="n">
        <x:v>1728</x:v>
      </x:c>
      <x:c r="H66" s="19" t="n">
        <x:v>0.3</x:v>
      </x:c>
      <x:c r="I66" s="19" t="n">
        <x:f>F66*G66*H66</x:f>
        <x:v>6220.8</x:v>
      </x:c>
      <x:c r="J66" s="15" t="str">
        <x:v>OPEN</x:v>
      </x:c>
      <x:c r="K66" s="15" t="str">
        <x:v>OPEN</x:v>
      </x:c>
    </x:row>
    <x:row r="67">
      <x:c r="A67" s="14" t="str">
        <x:v>MT-063</x:v>
      </x:c>
      <x:c r="B67" s="14" t="str">
        <x:v>FS-04</x:v>
      </x:c>
      <x:c r="C67" s="14" t="str">
        <x:v>SELECTED-A</x:v>
      </x:c>
      <x:c r="D67" s="14" t="str">
        <x:v>INTERMEDIATE</x:v>
      </x:c>
      <x:c r="E67" s="14" t="n">
        <x:v>3</x:v>
      </x:c>
      <x:c r="F67" s="18" t="n">
        <x:v>12</x:v>
      </x:c>
      <x:c r="G67" s="18" t="n">
        <x:v>1728</x:v>
      </x:c>
      <x:c r="H67" s="18" t="n">
        <x:v>0.3</x:v>
      </x:c>
      <x:c r="I67" s="18" t="n">
        <x:f>F67*G67*H67</x:f>
        <x:v>6220.8</x:v>
      </x:c>
      <x:c r="J67" s="14" t="str">
        <x:v>OPEN</x:v>
      </x:c>
      <x:c r="K67" s="14" t="str">
        <x:v>OPEN</x:v>
      </x:c>
    </x:row>
    <x:row r="68">
      <x:c r="A68" s="15" t="str">
        <x:v>MT-064</x:v>
      </x:c>
      <x:c r="B68" s="15" t="str">
        <x:v>FS-04</x:v>
      </x:c>
      <x:c r="C68" s="15" t="str">
        <x:v>SELECTED-A</x:v>
      </x:c>
      <x:c r="D68" s="15" t="str">
        <x:v>INTERMEDIATE</x:v>
      </x:c>
      <x:c r="E68" s="15" t="n">
        <x:v>4</x:v>
      </x:c>
      <x:c r="F68" s="19" t="n">
        <x:v>12</x:v>
      </x:c>
      <x:c r="G68" s="19" t="n">
        <x:v>1728</x:v>
      </x:c>
      <x:c r="H68" s="19" t="n">
        <x:v>0.3</x:v>
      </x:c>
      <x:c r="I68" s="19" t="n">
        <x:f>F68*G68*H68</x:f>
        <x:v>6220.8</x:v>
      </x:c>
      <x:c r="J68" s="15" t="str">
        <x:v>OPEN</x:v>
      </x:c>
      <x:c r="K68" s="15" t="str">
        <x:v>OPEN</x:v>
      </x:c>
    </x:row>
    <x:row r="69">
      <x:c r="A69" s="14" t="str">
        <x:v>MT-065</x:v>
      </x:c>
      <x:c r="B69" s="14" t="str">
        <x:v>FS-04</x:v>
      </x:c>
      <x:c r="C69" s="14" t="str">
        <x:v>SELECTED-A</x:v>
      </x:c>
      <x:c r="D69" s="14" t="str">
        <x:v>INTERMEDIATE</x:v>
      </x:c>
      <x:c r="E69" s="14" t="n">
        <x:v>5</x:v>
      </x:c>
      <x:c r="F69" s="18" t="n">
        <x:v>12</x:v>
      </x:c>
      <x:c r="G69" s="18" t="n">
        <x:v>1728</x:v>
      </x:c>
      <x:c r="H69" s="18" t="n">
        <x:v>0.3</x:v>
      </x:c>
      <x:c r="I69" s="18" t="n">
        <x:f>F69*G69*H69</x:f>
        <x:v>6220.8</x:v>
      </x:c>
      <x:c r="J69" s="14" t="str">
        <x:v>OPEN</x:v>
      </x:c>
      <x:c r="K69" s="14" t="str">
        <x:v>OPEN</x:v>
      </x:c>
    </x:row>
    <x:row r="70">
      <x:c r="A70" s="15" t="str">
        <x:v>MT-066</x:v>
      </x:c>
      <x:c r="B70" s="15" t="str">
        <x:v>FS-04</x:v>
      </x:c>
      <x:c r="C70" s="15" t="str">
        <x:v>SELECTED-A</x:v>
      </x:c>
      <x:c r="D70" s="15" t="str">
        <x:v>INTERMEDIATE</x:v>
      </x:c>
      <x:c r="E70" s="15" t="n">
        <x:v>6</x:v>
      </x:c>
      <x:c r="F70" s="19" t="n">
        <x:v>12</x:v>
      </x:c>
      <x:c r="G70" s="19" t="n">
        <x:v>1728</x:v>
      </x:c>
      <x:c r="H70" s="19" t="n">
        <x:v>0.3</x:v>
      </x:c>
      <x:c r="I70" s="19" t="n">
        <x:f>F70*G70*H70</x:f>
        <x:v>6220.8</x:v>
      </x:c>
      <x:c r="J70" s="15" t="str">
        <x:v>OPEN</x:v>
      </x:c>
      <x:c r="K70" s="15" t="str">
        <x:v>OPEN</x:v>
      </x:c>
    </x:row>
    <x:row r="71">
      <x:c r="A71" s="14" t="str">
        <x:v>MT-067</x:v>
      </x:c>
      <x:c r="B71" s="14" t="str">
        <x:v>FS-04</x:v>
      </x:c>
      <x:c r="C71" s="14" t="str">
        <x:v>SELECTED-A</x:v>
      </x:c>
      <x:c r="D71" s="14" t="str">
        <x:v>FULL-DAY</x:v>
      </x:c>
      <x:c r="E71" s="14" t="n">
        <x:v>1</x:v>
      </x:c>
      <x:c r="F71" s="18" t="n">
        <x:v>24</x:v>
      </x:c>
      <x:c r="G71" s="18" t="n">
        <x:v>1728</x:v>
      </x:c>
      <x:c r="H71" s="18" t="n">
        <x:v>0.3</x:v>
      </x:c>
      <x:c r="I71" s="18" t="n">
        <x:f>F71*G71*H71</x:f>
        <x:v>12441.6</x:v>
      </x:c>
      <x:c r="J71" s="14" t="str">
        <x:v>OPEN</x:v>
      </x:c>
      <x:c r="K71" s="14" t="str">
        <x:v>OPEN</x:v>
      </x:c>
    </x:row>
    <x:row r="72">
      <x:c r="A72" s="15" t="str">
        <x:v>MT-068</x:v>
      </x:c>
      <x:c r="B72" s="15" t="str">
        <x:v>FS-04</x:v>
      </x:c>
      <x:c r="C72" s="15" t="str">
        <x:v>SELECTED-A</x:v>
      </x:c>
      <x:c r="D72" s="15" t="str">
        <x:v>FULL-DAY</x:v>
      </x:c>
      <x:c r="E72" s="15" t="n">
        <x:v>2</x:v>
      </x:c>
      <x:c r="F72" s="19" t="n">
        <x:v>24</x:v>
      </x:c>
      <x:c r="G72" s="19" t="n">
        <x:v>1728</x:v>
      </x:c>
      <x:c r="H72" s="19" t="n">
        <x:v>0.3</x:v>
      </x:c>
      <x:c r="I72" s="19" t="n">
        <x:f>F72*G72*H72</x:f>
        <x:v>12441.6</x:v>
      </x:c>
      <x:c r="J72" s="15" t="str">
        <x:v>OPEN</x:v>
      </x:c>
      <x:c r="K72" s="15" t="str">
        <x:v>OPEN</x:v>
      </x:c>
    </x:row>
    <x:row r="73">
      <x:c r="A73" s="14" t="str">
        <x:v>MT-069</x:v>
      </x:c>
      <x:c r="B73" s="14" t="str">
        <x:v>FS-04</x:v>
      </x:c>
      <x:c r="C73" s="14" t="str">
        <x:v>SELECTED-A</x:v>
      </x:c>
      <x:c r="D73" s="14" t="str">
        <x:v>FULL-DAY</x:v>
      </x:c>
      <x:c r="E73" s="14" t="n">
        <x:v>3</x:v>
      </x:c>
      <x:c r="F73" s="18" t="n">
        <x:v>24</x:v>
      </x:c>
      <x:c r="G73" s="18" t="n">
        <x:v>1728</x:v>
      </x:c>
      <x:c r="H73" s="18" t="n">
        <x:v>0.3</x:v>
      </x:c>
      <x:c r="I73" s="18" t="n">
        <x:f>F73*G73*H73</x:f>
        <x:v>12441.6</x:v>
      </x:c>
      <x:c r="J73" s="14" t="str">
        <x:v>OPEN</x:v>
      </x:c>
      <x:c r="K73" s="14" t="str">
        <x:v>OPEN</x:v>
      </x:c>
    </x:row>
    <x:row r="74">
      <x:c r="A74" s="15" t="str">
        <x:v>MT-070</x:v>
      </x:c>
      <x:c r="B74" s="15" t="str">
        <x:v>FS-04</x:v>
      </x:c>
      <x:c r="C74" s="15" t="str">
        <x:v>SELECTED-A</x:v>
      </x:c>
      <x:c r="D74" s="15" t="str">
        <x:v>FULL-DAY</x:v>
      </x:c>
      <x:c r="E74" s="15" t="n">
        <x:v>4</x:v>
      </x:c>
      <x:c r="F74" s="19" t="n">
        <x:v>24</x:v>
      </x:c>
      <x:c r="G74" s="19" t="n">
        <x:v>1728</x:v>
      </x:c>
      <x:c r="H74" s="19" t="n">
        <x:v>0.3</x:v>
      </x:c>
      <x:c r="I74" s="19" t="n">
        <x:f>F74*G74*H74</x:f>
        <x:v>12441.6</x:v>
      </x:c>
      <x:c r="J74" s="15" t="str">
        <x:v>OPEN</x:v>
      </x:c>
      <x:c r="K74" s="15" t="str">
        <x:v>OPEN</x:v>
      </x:c>
    </x:row>
    <x:row r="75">
      <x:c r="A75" s="14" t="str">
        <x:v>MT-071</x:v>
      </x:c>
      <x:c r="B75" s="14" t="str">
        <x:v>FS-04</x:v>
      </x:c>
      <x:c r="C75" s="14" t="str">
        <x:v>SELECTED-A</x:v>
      </x:c>
      <x:c r="D75" s="14" t="str">
        <x:v>FULL-MISSION</x:v>
      </x:c>
      <x:c r="E75" s="14" t="n">
        <x:v>1</x:v>
      </x:c>
      <x:c r="F75" s="18" t="n">
        <x:v>72</x:v>
      </x:c>
      <x:c r="G75" s="18" t="n">
        <x:v>1728</x:v>
      </x:c>
      <x:c r="H75" s="18" t="n">
        <x:v>0.3</x:v>
      </x:c>
      <x:c r="I75" s="18" t="n">
        <x:f>F75*G75*H75</x:f>
        <x:v>37324.799999999996</x:v>
      </x:c>
      <x:c r="J75" s="14" t="str">
        <x:v>OPEN</x:v>
      </x:c>
      <x:c r="K75" s="14" t="str">
        <x:v>OPEN</x:v>
      </x:c>
    </x:row>
    <x:row r="76">
      <x:c r="A76" s="15" t="str">
        <x:v>MT-072</x:v>
      </x:c>
      <x:c r="B76" s="15" t="str">
        <x:v>FS-04</x:v>
      </x:c>
      <x:c r="C76" s="15" t="str">
        <x:v>SELECTED-A</x:v>
      </x:c>
      <x:c r="D76" s="15" t="str">
        <x:v>FULL-MISSION</x:v>
      </x:c>
      <x:c r="E76" s="15" t="n">
        <x:v>2</x:v>
      </x:c>
      <x:c r="F76" s="19" t="n">
        <x:v>72</x:v>
      </x:c>
      <x:c r="G76" s="19" t="n">
        <x:v>1728</x:v>
      </x:c>
      <x:c r="H76" s="19" t="n">
        <x:v>0.3</x:v>
      </x:c>
      <x:c r="I76" s="19" t="n">
        <x:f>F76*G76*H76</x:f>
        <x:v>37324.799999999996</x:v>
      </x:c>
      <x:c r="J76" s="15" t="str">
        <x:v>OPEN</x:v>
      </x:c>
      <x:c r="K76" s="15" t="str">
        <x:v>OPEN</x:v>
      </x:c>
    </x:row>
    <x:row r="77">
      <x:c r="A77" s="14" t="str">
        <x:v>MT-073</x:v>
      </x:c>
      <x:c r="B77" s="14" t="str">
        <x:v>FS-05</x:v>
      </x:c>
      <x:c r="C77" s="14" t="str">
        <x:v>SELECTED-B</x:v>
      </x:c>
      <x:c r="D77" s="14" t="str">
        <x:v>SEGMENT</x:v>
      </x:c>
      <x:c r="E77" s="14" t="n">
        <x:v>1</x:v>
      </x:c>
      <x:c r="F77" s="18" t="n">
        <x:v>2</x:v>
      </x:c>
      <x:c r="G77" s="18" t="n">
        <x:v>1728</x:v>
      </x:c>
      <x:c r="H77" s="18" t="n">
        <x:v>0.3</x:v>
      </x:c>
      <x:c r="I77" s="18" t="n">
        <x:f>F77*G77*H77</x:f>
        <x:v>1036.8</x:v>
      </x:c>
      <x:c r="J77" s="14" t="str">
        <x:v>OPEN</x:v>
      </x:c>
      <x:c r="K77" s="14" t="str">
        <x:v>OPEN</x:v>
      </x:c>
    </x:row>
    <x:row r="78">
      <x:c r="A78" s="15" t="str">
        <x:v>MT-074</x:v>
      </x:c>
      <x:c r="B78" s="15" t="str">
        <x:v>FS-05</x:v>
      </x:c>
      <x:c r="C78" s="15" t="str">
        <x:v>SELECTED-B</x:v>
      </x:c>
      <x:c r="D78" s="15" t="str">
        <x:v>SEGMENT</x:v>
      </x:c>
      <x:c r="E78" s="15" t="n">
        <x:v>2</x:v>
      </x:c>
      <x:c r="F78" s="19" t="n">
        <x:v>2</x:v>
      </x:c>
      <x:c r="G78" s="19" t="n">
        <x:v>1728</x:v>
      </x:c>
      <x:c r="H78" s="19" t="n">
        <x:v>0.3</x:v>
      </x:c>
      <x:c r="I78" s="19" t="n">
        <x:f>F78*G78*H78</x:f>
        <x:v>1036.8</x:v>
      </x:c>
      <x:c r="J78" s="15" t="str">
        <x:v>OPEN</x:v>
      </x:c>
      <x:c r="K78" s="15" t="str">
        <x:v>OPEN</x:v>
      </x:c>
    </x:row>
    <x:row r="79">
      <x:c r="A79" s="14" t="str">
        <x:v>MT-075</x:v>
      </x:c>
      <x:c r="B79" s="14" t="str">
        <x:v>FS-05</x:v>
      </x:c>
      <x:c r="C79" s="14" t="str">
        <x:v>SELECTED-B</x:v>
      </x:c>
      <x:c r="D79" s="14" t="str">
        <x:v>SEGMENT</x:v>
      </x:c>
      <x:c r="E79" s="14" t="n">
        <x:v>3</x:v>
      </x:c>
      <x:c r="F79" s="18" t="n">
        <x:v>2</x:v>
      </x:c>
      <x:c r="G79" s="18" t="n">
        <x:v>1728</x:v>
      </x:c>
      <x:c r="H79" s="18" t="n">
        <x:v>0.3</x:v>
      </x:c>
      <x:c r="I79" s="18" t="n">
        <x:f>F79*G79*H79</x:f>
        <x:v>1036.8</x:v>
      </x:c>
      <x:c r="J79" s="14" t="str">
        <x:v>OPEN</x:v>
      </x:c>
      <x:c r="K79" s="14" t="str">
        <x:v>OPEN</x:v>
      </x:c>
    </x:row>
    <x:row r="80">
      <x:c r="A80" s="15" t="str">
        <x:v>MT-076</x:v>
      </x:c>
      <x:c r="B80" s="15" t="str">
        <x:v>FS-05</x:v>
      </x:c>
      <x:c r="C80" s="15" t="str">
        <x:v>SELECTED-B</x:v>
      </x:c>
      <x:c r="D80" s="15" t="str">
        <x:v>SEGMENT</x:v>
      </x:c>
      <x:c r="E80" s="15" t="n">
        <x:v>4</x:v>
      </x:c>
      <x:c r="F80" s="19" t="n">
        <x:v>2</x:v>
      </x:c>
      <x:c r="G80" s="19" t="n">
        <x:v>1728</x:v>
      </x:c>
      <x:c r="H80" s="19" t="n">
        <x:v>0.3</x:v>
      </x:c>
      <x:c r="I80" s="19" t="n">
        <x:f>F80*G80*H80</x:f>
        <x:v>1036.8</x:v>
      </x:c>
      <x:c r="J80" s="15" t="str">
        <x:v>OPEN</x:v>
      </x:c>
      <x:c r="K80" s="15" t="str">
        <x:v>OPEN</x:v>
      </x:c>
    </x:row>
    <x:row r="81">
      <x:c r="A81" s="14" t="str">
        <x:v>MT-077</x:v>
      </x:c>
      <x:c r="B81" s="14" t="str">
        <x:v>FS-05</x:v>
      </x:c>
      <x:c r="C81" s="14" t="str">
        <x:v>SELECTED-B</x:v>
      </x:c>
      <x:c r="D81" s="14" t="str">
        <x:v>SEGMENT</x:v>
      </x:c>
      <x:c r="E81" s="14" t="n">
        <x:v>5</x:v>
      </x:c>
      <x:c r="F81" s="18" t="n">
        <x:v>2</x:v>
      </x:c>
      <x:c r="G81" s="18" t="n">
        <x:v>1728</x:v>
      </x:c>
      <x:c r="H81" s="18" t="n">
        <x:v>0.3</x:v>
      </x:c>
      <x:c r="I81" s="18" t="n">
        <x:f>F81*G81*H81</x:f>
        <x:v>1036.8</x:v>
      </x:c>
      <x:c r="J81" s="14" t="str">
        <x:v>OPEN</x:v>
      </x:c>
      <x:c r="K81" s="14" t="str">
        <x:v>OPEN</x:v>
      </x:c>
    </x:row>
    <x:row r="82">
      <x:c r="A82" s="15" t="str">
        <x:v>MT-078</x:v>
      </x:c>
      <x:c r="B82" s="15" t="str">
        <x:v>FS-05</x:v>
      </x:c>
      <x:c r="C82" s="15" t="str">
        <x:v>SELECTED-B</x:v>
      </x:c>
      <x:c r="D82" s="15" t="str">
        <x:v>SEGMENT</x:v>
      </x:c>
      <x:c r="E82" s="15" t="n">
        <x:v>6</x:v>
      </x:c>
      <x:c r="F82" s="19" t="n">
        <x:v>2</x:v>
      </x:c>
      <x:c r="G82" s="19" t="n">
        <x:v>1728</x:v>
      </x:c>
      <x:c r="H82" s="19" t="n">
        <x:v>0.3</x:v>
      </x:c>
      <x:c r="I82" s="19" t="n">
        <x:f>F82*G82*H82</x:f>
        <x:v>1036.8</x:v>
      </x:c>
      <x:c r="J82" s="15" t="str">
        <x:v>OPEN</x:v>
      </x:c>
      <x:c r="K82" s="15" t="str">
        <x:v>OPEN</x:v>
      </x:c>
    </x:row>
    <x:row r="83">
      <x:c r="A83" s="14" t="str">
        <x:v>MT-079</x:v>
      </x:c>
      <x:c r="B83" s="14" t="str">
        <x:v>FS-05</x:v>
      </x:c>
      <x:c r="C83" s="14" t="str">
        <x:v>SELECTED-B</x:v>
      </x:c>
      <x:c r="D83" s="14" t="str">
        <x:v>INTERMEDIATE</x:v>
      </x:c>
      <x:c r="E83" s="14" t="n">
        <x:v>1</x:v>
      </x:c>
      <x:c r="F83" s="18" t="n">
        <x:v>12</x:v>
      </x:c>
      <x:c r="G83" s="18" t="n">
        <x:v>1728</x:v>
      </x:c>
      <x:c r="H83" s="18" t="n">
        <x:v>0.3</x:v>
      </x:c>
      <x:c r="I83" s="18" t="n">
        <x:f>F83*G83*H83</x:f>
        <x:v>6220.8</x:v>
      </x:c>
      <x:c r="J83" s="14" t="str">
        <x:v>OPEN</x:v>
      </x:c>
      <x:c r="K83" s="14" t="str">
        <x:v>OPEN</x:v>
      </x:c>
    </x:row>
    <x:row r="84">
      <x:c r="A84" s="15" t="str">
        <x:v>MT-080</x:v>
      </x:c>
      <x:c r="B84" s="15" t="str">
        <x:v>FS-05</x:v>
      </x:c>
      <x:c r="C84" s="15" t="str">
        <x:v>SELECTED-B</x:v>
      </x:c>
      <x:c r="D84" s="15" t="str">
        <x:v>INTERMEDIATE</x:v>
      </x:c>
      <x:c r="E84" s="15" t="n">
        <x:v>2</x:v>
      </x:c>
      <x:c r="F84" s="19" t="n">
        <x:v>12</x:v>
      </x:c>
      <x:c r="G84" s="19" t="n">
        <x:v>1728</x:v>
      </x:c>
      <x:c r="H84" s="19" t="n">
        <x:v>0.3</x:v>
      </x:c>
      <x:c r="I84" s="19" t="n">
        <x:f>F84*G84*H84</x:f>
        <x:v>6220.8</x:v>
      </x:c>
      <x:c r="J84" s="15" t="str">
        <x:v>OPEN</x:v>
      </x:c>
      <x:c r="K84" s="15" t="str">
        <x:v>OPEN</x:v>
      </x:c>
    </x:row>
    <x:row r="85">
      <x:c r="A85" s="14" t="str">
        <x:v>MT-081</x:v>
      </x:c>
      <x:c r="B85" s="14" t="str">
        <x:v>FS-05</x:v>
      </x:c>
      <x:c r="C85" s="14" t="str">
        <x:v>SELECTED-B</x:v>
      </x:c>
      <x:c r="D85" s="14" t="str">
        <x:v>INTERMEDIATE</x:v>
      </x:c>
      <x:c r="E85" s="14" t="n">
        <x:v>3</x:v>
      </x:c>
      <x:c r="F85" s="18" t="n">
        <x:v>12</x:v>
      </x:c>
      <x:c r="G85" s="18" t="n">
        <x:v>1728</x:v>
      </x:c>
      <x:c r="H85" s="18" t="n">
        <x:v>0.3</x:v>
      </x:c>
      <x:c r="I85" s="18" t="n">
        <x:f>F85*G85*H85</x:f>
        <x:v>6220.8</x:v>
      </x:c>
      <x:c r="J85" s="14" t="str">
        <x:v>OPEN</x:v>
      </x:c>
      <x:c r="K85" s="14" t="str">
        <x:v>OPEN</x:v>
      </x:c>
    </x:row>
    <x:row r="86">
      <x:c r="A86" s="15" t="str">
        <x:v>MT-082</x:v>
      </x:c>
      <x:c r="B86" s="15" t="str">
        <x:v>FS-05</x:v>
      </x:c>
      <x:c r="C86" s="15" t="str">
        <x:v>SELECTED-B</x:v>
      </x:c>
      <x:c r="D86" s="15" t="str">
        <x:v>INTERMEDIATE</x:v>
      </x:c>
      <x:c r="E86" s="15" t="n">
        <x:v>4</x:v>
      </x:c>
      <x:c r="F86" s="19" t="n">
        <x:v>12</x:v>
      </x:c>
      <x:c r="G86" s="19" t="n">
        <x:v>1728</x:v>
      </x:c>
      <x:c r="H86" s="19" t="n">
        <x:v>0.3</x:v>
      </x:c>
      <x:c r="I86" s="19" t="n">
        <x:f>F86*G86*H86</x:f>
        <x:v>6220.8</x:v>
      </x:c>
      <x:c r="J86" s="15" t="str">
        <x:v>OPEN</x:v>
      </x:c>
      <x:c r="K86" s="15" t="str">
        <x:v>OPEN</x:v>
      </x:c>
    </x:row>
    <x:row r="87">
      <x:c r="A87" s="14" t="str">
        <x:v>MT-083</x:v>
      </x:c>
      <x:c r="B87" s="14" t="str">
        <x:v>FS-05</x:v>
      </x:c>
      <x:c r="C87" s="14" t="str">
        <x:v>SELECTED-B</x:v>
      </x:c>
      <x:c r="D87" s="14" t="str">
        <x:v>INTERMEDIATE</x:v>
      </x:c>
      <x:c r="E87" s="14" t="n">
        <x:v>5</x:v>
      </x:c>
      <x:c r="F87" s="18" t="n">
        <x:v>12</x:v>
      </x:c>
      <x:c r="G87" s="18" t="n">
        <x:v>1728</x:v>
      </x:c>
      <x:c r="H87" s="18" t="n">
        <x:v>0.3</x:v>
      </x:c>
      <x:c r="I87" s="18" t="n">
        <x:f>F87*G87*H87</x:f>
        <x:v>6220.8</x:v>
      </x:c>
      <x:c r="J87" s="14" t="str">
        <x:v>OPEN</x:v>
      </x:c>
      <x:c r="K87" s="14" t="str">
        <x:v>OPEN</x:v>
      </x:c>
    </x:row>
    <x:row r="88">
      <x:c r="A88" s="15" t="str">
        <x:v>MT-084</x:v>
      </x:c>
      <x:c r="B88" s="15" t="str">
        <x:v>FS-05</x:v>
      </x:c>
      <x:c r="C88" s="15" t="str">
        <x:v>SELECTED-B</x:v>
      </x:c>
      <x:c r="D88" s="15" t="str">
        <x:v>INTERMEDIATE</x:v>
      </x:c>
      <x:c r="E88" s="15" t="n">
        <x:v>6</x:v>
      </x:c>
      <x:c r="F88" s="19" t="n">
        <x:v>12</x:v>
      </x:c>
      <x:c r="G88" s="19" t="n">
        <x:v>1728</x:v>
      </x:c>
      <x:c r="H88" s="19" t="n">
        <x:v>0.3</x:v>
      </x:c>
      <x:c r="I88" s="19" t="n">
        <x:f>F88*G88*H88</x:f>
        <x:v>6220.8</x:v>
      </x:c>
      <x:c r="J88" s="15" t="str">
        <x:v>OPEN</x:v>
      </x:c>
      <x:c r="K88" s="15" t="str">
        <x:v>OPEN</x:v>
      </x:c>
    </x:row>
    <x:row r="89">
      <x:c r="A89" s="14" t="str">
        <x:v>MT-085</x:v>
      </x:c>
      <x:c r="B89" s="14" t="str">
        <x:v>FS-05</x:v>
      </x:c>
      <x:c r="C89" s="14" t="str">
        <x:v>SELECTED-B</x:v>
      </x:c>
      <x:c r="D89" s="14" t="str">
        <x:v>FULL-DAY</x:v>
      </x:c>
      <x:c r="E89" s="14" t="n">
        <x:v>1</x:v>
      </x:c>
      <x:c r="F89" s="18" t="n">
        <x:v>24</x:v>
      </x:c>
      <x:c r="G89" s="18" t="n">
        <x:v>1728</x:v>
      </x:c>
      <x:c r="H89" s="18" t="n">
        <x:v>0.3</x:v>
      </x:c>
      <x:c r="I89" s="18" t="n">
        <x:f>F89*G89*H89</x:f>
        <x:v>12441.6</x:v>
      </x:c>
      <x:c r="J89" s="14" t="str">
        <x:v>OPEN</x:v>
      </x:c>
      <x:c r="K89" s="14" t="str">
        <x:v>OPEN</x:v>
      </x:c>
    </x:row>
    <x:row r="90">
      <x:c r="A90" s="15" t="str">
        <x:v>MT-086</x:v>
      </x:c>
      <x:c r="B90" s="15" t="str">
        <x:v>FS-05</x:v>
      </x:c>
      <x:c r="C90" s="15" t="str">
        <x:v>SELECTED-B</x:v>
      </x:c>
      <x:c r="D90" s="15" t="str">
        <x:v>FULL-DAY</x:v>
      </x:c>
      <x:c r="E90" s="15" t="n">
        <x:v>2</x:v>
      </x:c>
      <x:c r="F90" s="19" t="n">
        <x:v>24</x:v>
      </x:c>
      <x:c r="G90" s="19" t="n">
        <x:v>1728</x:v>
      </x:c>
      <x:c r="H90" s="19" t="n">
        <x:v>0.3</x:v>
      </x:c>
      <x:c r="I90" s="19" t="n">
        <x:f>F90*G90*H90</x:f>
        <x:v>12441.6</x:v>
      </x:c>
      <x:c r="J90" s="15" t="str">
        <x:v>OPEN</x:v>
      </x:c>
      <x:c r="K90" s="15" t="str">
        <x:v>OPEN</x:v>
      </x:c>
    </x:row>
    <x:row r="91">
      <x:c r="A91" s="14" t="str">
        <x:v>MT-087</x:v>
      </x:c>
      <x:c r="B91" s="14" t="str">
        <x:v>FS-05</x:v>
      </x:c>
      <x:c r="C91" s="14" t="str">
        <x:v>SELECTED-B</x:v>
      </x:c>
      <x:c r="D91" s="14" t="str">
        <x:v>FULL-DAY</x:v>
      </x:c>
      <x:c r="E91" s="14" t="n">
        <x:v>3</x:v>
      </x:c>
      <x:c r="F91" s="18" t="n">
        <x:v>24</x:v>
      </x:c>
      <x:c r="G91" s="18" t="n">
        <x:v>1728</x:v>
      </x:c>
      <x:c r="H91" s="18" t="n">
        <x:v>0.3</x:v>
      </x:c>
      <x:c r="I91" s="18" t="n">
        <x:f>F91*G91*H91</x:f>
        <x:v>12441.6</x:v>
      </x:c>
      <x:c r="J91" s="14" t="str">
        <x:v>OPEN</x:v>
      </x:c>
      <x:c r="K91" s="14" t="str">
        <x:v>OPEN</x:v>
      </x:c>
    </x:row>
    <x:row r="92">
      <x:c r="A92" s="15" t="str">
        <x:v>MT-088</x:v>
      </x:c>
      <x:c r="B92" s="15" t="str">
        <x:v>FS-05</x:v>
      </x:c>
      <x:c r="C92" s="15" t="str">
        <x:v>SELECTED-B</x:v>
      </x:c>
      <x:c r="D92" s="15" t="str">
        <x:v>FULL-DAY</x:v>
      </x:c>
      <x:c r="E92" s="15" t="n">
        <x:v>4</x:v>
      </x:c>
      <x:c r="F92" s="19" t="n">
        <x:v>24</x:v>
      </x:c>
      <x:c r="G92" s="19" t="n">
        <x:v>1728</x:v>
      </x:c>
      <x:c r="H92" s="19" t="n">
        <x:v>0.3</x:v>
      </x:c>
      <x:c r="I92" s="19" t="n">
        <x:f>F92*G92*H92</x:f>
        <x:v>12441.6</x:v>
      </x:c>
      <x:c r="J92" s="15" t="str">
        <x:v>OPEN</x:v>
      </x:c>
      <x:c r="K92" s="15" t="str">
        <x:v>OPEN</x:v>
      </x:c>
    </x:row>
    <x:row r="93">
      <x:c r="A93" s="14" t="str">
        <x:v>MT-089</x:v>
      </x:c>
      <x:c r="B93" s="14" t="str">
        <x:v>FS-05</x:v>
      </x:c>
      <x:c r="C93" s="14" t="str">
        <x:v>SELECTED-B</x:v>
      </x:c>
      <x:c r="D93" s="14" t="str">
        <x:v>FULL-MISSION</x:v>
      </x:c>
      <x:c r="E93" s="14" t="n">
        <x:v>1</x:v>
      </x:c>
      <x:c r="F93" s="18" t="n">
        <x:v>72</x:v>
      </x:c>
      <x:c r="G93" s="18" t="n">
        <x:v>1728</x:v>
      </x:c>
      <x:c r="H93" s="18" t="n">
        <x:v>0.3</x:v>
      </x:c>
      <x:c r="I93" s="18" t="n">
        <x:f>F93*G93*H93</x:f>
        <x:v>37324.799999999996</x:v>
      </x:c>
      <x:c r="J93" s="14" t="str">
        <x:v>OPEN</x:v>
      </x:c>
      <x:c r="K93" s="14" t="str">
        <x:v>OPEN</x:v>
      </x:c>
    </x:row>
    <x:row r="94">
      <x:c r="A94" s="15" t="str">
        <x:v>MT-090</x:v>
      </x:c>
      <x:c r="B94" s="15" t="str">
        <x:v>FS-05</x:v>
      </x:c>
      <x:c r="C94" s="15" t="str">
        <x:v>SELECTED-B</x:v>
      </x:c>
      <x:c r="D94" s="15" t="str">
        <x:v>FULL-MISSION</x:v>
      </x:c>
      <x:c r="E94" s="15" t="n">
        <x:v>2</x:v>
      </x:c>
      <x:c r="F94" s="19" t="n">
        <x:v>72</x:v>
      </x:c>
      <x:c r="G94" s="19" t="n">
        <x:v>1728</x:v>
      </x:c>
      <x:c r="H94" s="19" t="n">
        <x:v>0.3</x:v>
      </x:c>
      <x:c r="I94" s="19" t="n">
        <x:f>F94*G94*H94</x:f>
        <x:v>37324.799999999996</x:v>
      </x:c>
      <x:c r="J94" s="15" t="str">
        <x:v>OPEN</x:v>
      </x:c>
      <x:c r="K94" s="15" t="str">
        <x:v>OPEN</x:v>
      </x:c>
    </x:row>
    <x:row r="95">
      <x:c r="A95" s="14" t="str">
        <x:v>MT-091</x:v>
      </x:c>
      <x:c r="B95" s="14" t="str">
        <x:v>FS-06</x:v>
      </x:c>
      <x:c r="C95" s="14" t="str">
        <x:v>SELECTED-B</x:v>
      </x:c>
      <x:c r="D95" s="14" t="str">
        <x:v>SEGMENT</x:v>
      </x:c>
      <x:c r="E95" s="14" t="n">
        <x:v>1</x:v>
      </x:c>
      <x:c r="F95" s="18" t="n">
        <x:v>2</x:v>
      </x:c>
      <x:c r="G95" s="18" t="n">
        <x:v>1728</x:v>
      </x:c>
      <x:c r="H95" s="18" t="n">
        <x:v>0.3</x:v>
      </x:c>
      <x:c r="I95" s="18" t="n">
        <x:f>F95*G95*H95</x:f>
        <x:v>1036.8</x:v>
      </x:c>
      <x:c r="J95" s="14" t="str">
        <x:v>OPEN</x:v>
      </x:c>
      <x:c r="K95" s="14" t="str">
        <x:v>OPEN</x:v>
      </x:c>
    </x:row>
    <x:row r="96">
      <x:c r="A96" s="15" t="str">
        <x:v>MT-092</x:v>
      </x:c>
      <x:c r="B96" s="15" t="str">
        <x:v>FS-06</x:v>
      </x:c>
      <x:c r="C96" s="15" t="str">
        <x:v>SELECTED-B</x:v>
      </x:c>
      <x:c r="D96" s="15" t="str">
        <x:v>SEGMENT</x:v>
      </x:c>
      <x:c r="E96" s="15" t="n">
        <x:v>2</x:v>
      </x:c>
      <x:c r="F96" s="19" t="n">
        <x:v>2</x:v>
      </x:c>
      <x:c r="G96" s="19" t="n">
        <x:v>1728</x:v>
      </x:c>
      <x:c r="H96" s="19" t="n">
        <x:v>0.3</x:v>
      </x:c>
      <x:c r="I96" s="19" t="n">
        <x:f>F96*G96*H96</x:f>
        <x:v>1036.8</x:v>
      </x:c>
      <x:c r="J96" s="15" t="str">
        <x:v>OPEN</x:v>
      </x:c>
      <x:c r="K96" s="15" t="str">
        <x:v>OPEN</x:v>
      </x:c>
    </x:row>
    <x:row r="97">
      <x:c r="A97" s="14" t="str">
        <x:v>MT-093</x:v>
      </x:c>
      <x:c r="B97" s="14" t="str">
        <x:v>FS-06</x:v>
      </x:c>
      <x:c r="C97" s="14" t="str">
        <x:v>SELECTED-B</x:v>
      </x:c>
      <x:c r="D97" s="14" t="str">
        <x:v>SEGMENT</x:v>
      </x:c>
      <x:c r="E97" s="14" t="n">
        <x:v>3</x:v>
      </x:c>
      <x:c r="F97" s="18" t="n">
        <x:v>2</x:v>
      </x:c>
      <x:c r="G97" s="18" t="n">
        <x:v>1728</x:v>
      </x:c>
      <x:c r="H97" s="18" t="n">
        <x:v>0.3</x:v>
      </x:c>
      <x:c r="I97" s="18" t="n">
        <x:f>F97*G97*H97</x:f>
        <x:v>1036.8</x:v>
      </x:c>
      <x:c r="J97" s="14" t="str">
        <x:v>OPEN</x:v>
      </x:c>
      <x:c r="K97" s="14" t="str">
        <x:v>OPEN</x:v>
      </x:c>
    </x:row>
    <x:row r="98">
      <x:c r="A98" s="15" t="str">
        <x:v>MT-094</x:v>
      </x:c>
      <x:c r="B98" s="15" t="str">
        <x:v>FS-06</x:v>
      </x:c>
      <x:c r="C98" s="15" t="str">
        <x:v>SELECTED-B</x:v>
      </x:c>
      <x:c r="D98" s="15" t="str">
        <x:v>SEGMENT</x:v>
      </x:c>
      <x:c r="E98" s="15" t="n">
        <x:v>4</x:v>
      </x:c>
      <x:c r="F98" s="19" t="n">
        <x:v>2</x:v>
      </x:c>
      <x:c r="G98" s="19" t="n">
        <x:v>1728</x:v>
      </x:c>
      <x:c r="H98" s="19" t="n">
        <x:v>0.3</x:v>
      </x:c>
      <x:c r="I98" s="19" t="n">
        <x:f>F98*G98*H98</x:f>
        <x:v>1036.8</x:v>
      </x:c>
      <x:c r="J98" s="15" t="str">
        <x:v>OPEN</x:v>
      </x:c>
      <x:c r="K98" s="15" t="str">
        <x:v>OPEN</x:v>
      </x:c>
    </x:row>
    <x:row r="99">
      <x:c r="A99" s="14" t="str">
        <x:v>MT-095</x:v>
      </x:c>
      <x:c r="B99" s="14" t="str">
        <x:v>FS-06</x:v>
      </x:c>
      <x:c r="C99" s="14" t="str">
        <x:v>SELECTED-B</x:v>
      </x:c>
      <x:c r="D99" s="14" t="str">
        <x:v>SEGMENT</x:v>
      </x:c>
      <x:c r="E99" s="14" t="n">
        <x:v>5</x:v>
      </x:c>
      <x:c r="F99" s="18" t="n">
        <x:v>2</x:v>
      </x:c>
      <x:c r="G99" s="18" t="n">
        <x:v>1728</x:v>
      </x:c>
      <x:c r="H99" s="18" t="n">
        <x:v>0.3</x:v>
      </x:c>
      <x:c r="I99" s="18" t="n">
        <x:f>F99*G99*H99</x:f>
        <x:v>1036.8</x:v>
      </x:c>
      <x:c r="J99" s="14" t="str">
        <x:v>OPEN</x:v>
      </x:c>
      <x:c r="K99" s="14" t="str">
        <x:v>OPEN</x:v>
      </x:c>
    </x:row>
    <x:row r="100">
      <x:c r="A100" s="15" t="str">
        <x:v>MT-096</x:v>
      </x:c>
      <x:c r="B100" s="15" t="str">
        <x:v>FS-06</x:v>
      </x:c>
      <x:c r="C100" s="15" t="str">
        <x:v>SELECTED-B</x:v>
      </x:c>
      <x:c r="D100" s="15" t="str">
        <x:v>SEGMENT</x:v>
      </x:c>
      <x:c r="E100" s="15" t="n">
        <x:v>6</x:v>
      </x:c>
      <x:c r="F100" s="19" t="n">
        <x:v>2</x:v>
      </x:c>
      <x:c r="G100" s="19" t="n">
        <x:v>1728</x:v>
      </x:c>
      <x:c r="H100" s="19" t="n">
        <x:v>0.3</x:v>
      </x:c>
      <x:c r="I100" s="19" t="n">
        <x:f>F100*G100*H100</x:f>
        <x:v>1036.8</x:v>
      </x:c>
      <x:c r="J100" s="15" t="str">
        <x:v>OPEN</x:v>
      </x:c>
      <x:c r="K100" s="15" t="str">
        <x:v>OPEN</x:v>
      </x:c>
    </x:row>
    <x:row r="101">
      <x:c r="A101" s="14" t="str">
        <x:v>MT-097</x:v>
      </x:c>
      <x:c r="B101" s="14" t="str">
        <x:v>FS-06</x:v>
      </x:c>
      <x:c r="C101" s="14" t="str">
        <x:v>SELECTED-B</x:v>
      </x:c>
      <x:c r="D101" s="14" t="str">
        <x:v>INTERMEDIATE</x:v>
      </x:c>
      <x:c r="E101" s="14" t="n">
        <x:v>1</x:v>
      </x:c>
      <x:c r="F101" s="18" t="n">
        <x:v>12</x:v>
      </x:c>
      <x:c r="G101" s="18" t="n">
        <x:v>1728</x:v>
      </x:c>
      <x:c r="H101" s="18" t="n">
        <x:v>0.3</x:v>
      </x:c>
      <x:c r="I101" s="18" t="n">
        <x:f>F101*G101*H101</x:f>
        <x:v>6220.8</x:v>
      </x:c>
      <x:c r="J101" s="14" t="str">
        <x:v>OPEN</x:v>
      </x:c>
      <x:c r="K101" s="14" t="str">
        <x:v>OPEN</x:v>
      </x:c>
    </x:row>
    <x:row r="102">
      <x:c r="A102" s="15" t="str">
        <x:v>MT-098</x:v>
      </x:c>
      <x:c r="B102" s="15" t="str">
        <x:v>FS-06</x:v>
      </x:c>
      <x:c r="C102" s="15" t="str">
        <x:v>SELECTED-B</x:v>
      </x:c>
      <x:c r="D102" s="15" t="str">
        <x:v>INTERMEDIATE</x:v>
      </x:c>
      <x:c r="E102" s="15" t="n">
        <x:v>2</x:v>
      </x:c>
      <x:c r="F102" s="19" t="n">
        <x:v>12</x:v>
      </x:c>
      <x:c r="G102" s="19" t="n">
        <x:v>1728</x:v>
      </x:c>
      <x:c r="H102" s="19" t="n">
        <x:v>0.3</x:v>
      </x:c>
      <x:c r="I102" s="19" t="n">
        <x:f>F102*G102*H102</x:f>
        <x:v>6220.8</x:v>
      </x:c>
      <x:c r="J102" s="15" t="str">
        <x:v>OPEN</x:v>
      </x:c>
      <x:c r="K102" s="15" t="str">
        <x:v>OPEN</x:v>
      </x:c>
    </x:row>
    <x:row r="103">
      <x:c r="A103" s="14" t="str">
        <x:v>MT-099</x:v>
      </x:c>
      <x:c r="B103" s="14" t="str">
        <x:v>FS-06</x:v>
      </x:c>
      <x:c r="C103" s="14" t="str">
        <x:v>SELECTED-B</x:v>
      </x:c>
      <x:c r="D103" s="14" t="str">
        <x:v>INTERMEDIATE</x:v>
      </x:c>
      <x:c r="E103" s="14" t="n">
        <x:v>3</x:v>
      </x:c>
      <x:c r="F103" s="18" t="n">
        <x:v>12</x:v>
      </x:c>
      <x:c r="G103" s="18" t="n">
        <x:v>1728</x:v>
      </x:c>
      <x:c r="H103" s="18" t="n">
        <x:v>0.3</x:v>
      </x:c>
      <x:c r="I103" s="18" t="n">
        <x:f>F103*G103*H103</x:f>
        <x:v>6220.8</x:v>
      </x:c>
      <x:c r="J103" s="14" t="str">
        <x:v>OPEN</x:v>
      </x:c>
      <x:c r="K103" s="14" t="str">
        <x:v>OPEN</x:v>
      </x:c>
    </x:row>
    <x:row r="104">
      <x:c r="A104" s="15" t="str">
        <x:v>MT-100</x:v>
      </x:c>
      <x:c r="B104" s="15" t="str">
        <x:v>FS-06</x:v>
      </x:c>
      <x:c r="C104" s="15" t="str">
        <x:v>SELECTED-B</x:v>
      </x:c>
      <x:c r="D104" s="15" t="str">
        <x:v>INTERMEDIATE</x:v>
      </x:c>
      <x:c r="E104" s="15" t="n">
        <x:v>4</x:v>
      </x:c>
      <x:c r="F104" s="19" t="n">
        <x:v>12</x:v>
      </x:c>
      <x:c r="G104" s="19" t="n">
        <x:v>1728</x:v>
      </x:c>
      <x:c r="H104" s="19" t="n">
        <x:v>0.3</x:v>
      </x:c>
      <x:c r="I104" s="19" t="n">
        <x:f>F104*G104*H104</x:f>
        <x:v>6220.8</x:v>
      </x:c>
      <x:c r="J104" s="15" t="str">
        <x:v>OPEN</x:v>
      </x:c>
      <x:c r="K104" s="15" t="str">
        <x:v>OPEN</x:v>
      </x:c>
    </x:row>
    <x:row r="105">
      <x:c r="A105" s="14" t="str">
        <x:v>MT-101</x:v>
      </x:c>
      <x:c r="B105" s="14" t="str">
        <x:v>FS-06</x:v>
      </x:c>
      <x:c r="C105" s="14" t="str">
        <x:v>SELECTED-B</x:v>
      </x:c>
      <x:c r="D105" s="14" t="str">
        <x:v>INTERMEDIATE</x:v>
      </x:c>
      <x:c r="E105" s="14" t="n">
        <x:v>5</x:v>
      </x:c>
      <x:c r="F105" s="18" t="n">
        <x:v>12</x:v>
      </x:c>
      <x:c r="G105" s="18" t="n">
        <x:v>1728</x:v>
      </x:c>
      <x:c r="H105" s="18" t="n">
        <x:v>0.3</x:v>
      </x:c>
      <x:c r="I105" s="18" t="n">
        <x:f>F105*G105*H105</x:f>
        <x:v>6220.8</x:v>
      </x:c>
      <x:c r="J105" s="14" t="str">
        <x:v>OPEN</x:v>
      </x:c>
      <x:c r="K105" s="14" t="str">
        <x:v>OPEN</x:v>
      </x:c>
    </x:row>
    <x:row r="106">
      <x:c r="A106" s="15" t="str">
        <x:v>MT-102</x:v>
      </x:c>
      <x:c r="B106" s="15" t="str">
        <x:v>FS-06</x:v>
      </x:c>
      <x:c r="C106" s="15" t="str">
        <x:v>SELECTED-B</x:v>
      </x:c>
      <x:c r="D106" s="15" t="str">
        <x:v>INTERMEDIATE</x:v>
      </x:c>
      <x:c r="E106" s="15" t="n">
        <x:v>6</x:v>
      </x:c>
      <x:c r="F106" s="19" t="n">
        <x:v>12</x:v>
      </x:c>
      <x:c r="G106" s="19" t="n">
        <x:v>1728</x:v>
      </x:c>
      <x:c r="H106" s="19" t="n">
        <x:v>0.3</x:v>
      </x:c>
      <x:c r="I106" s="19" t="n">
        <x:f>F106*G106*H106</x:f>
        <x:v>6220.8</x:v>
      </x:c>
      <x:c r="J106" s="15" t="str">
        <x:v>OPEN</x:v>
      </x:c>
      <x:c r="K106" s="15" t="str">
        <x:v>OPEN</x:v>
      </x:c>
    </x:row>
    <x:row r="107">
      <x:c r="A107" s="14" t="str">
        <x:v>MT-103</x:v>
      </x:c>
      <x:c r="B107" s="14" t="str">
        <x:v>FS-06</x:v>
      </x:c>
      <x:c r="C107" s="14" t="str">
        <x:v>SELECTED-B</x:v>
      </x:c>
      <x:c r="D107" s="14" t="str">
        <x:v>FULL-DAY</x:v>
      </x:c>
      <x:c r="E107" s="14" t="n">
        <x:v>1</x:v>
      </x:c>
      <x:c r="F107" s="18" t="n">
        <x:v>24</x:v>
      </x:c>
      <x:c r="G107" s="18" t="n">
        <x:v>1728</x:v>
      </x:c>
      <x:c r="H107" s="18" t="n">
        <x:v>0.3</x:v>
      </x:c>
      <x:c r="I107" s="18" t="n">
        <x:f>F107*G107*H107</x:f>
        <x:v>12441.6</x:v>
      </x:c>
      <x:c r="J107" s="14" t="str">
        <x:v>OPEN</x:v>
      </x:c>
      <x:c r="K107" s="14" t="str">
        <x:v>OPEN</x:v>
      </x:c>
    </x:row>
    <x:row r="108">
      <x:c r="A108" s="15" t="str">
        <x:v>MT-104</x:v>
      </x:c>
      <x:c r="B108" s="15" t="str">
        <x:v>FS-06</x:v>
      </x:c>
      <x:c r="C108" s="15" t="str">
        <x:v>SELECTED-B</x:v>
      </x:c>
      <x:c r="D108" s="15" t="str">
        <x:v>FULL-DAY</x:v>
      </x:c>
      <x:c r="E108" s="15" t="n">
        <x:v>2</x:v>
      </x:c>
      <x:c r="F108" s="19" t="n">
        <x:v>24</x:v>
      </x:c>
      <x:c r="G108" s="19" t="n">
        <x:v>1728</x:v>
      </x:c>
      <x:c r="H108" s="19" t="n">
        <x:v>0.3</x:v>
      </x:c>
      <x:c r="I108" s="19" t="n">
        <x:f>F108*G108*H108</x:f>
        <x:v>12441.6</x:v>
      </x:c>
      <x:c r="J108" s="15" t="str">
        <x:v>OPEN</x:v>
      </x:c>
      <x:c r="K108" s="15" t="str">
        <x:v>OPEN</x:v>
      </x:c>
    </x:row>
    <x:row r="109">
      <x:c r="A109" s="14" t="str">
        <x:v>MT-105</x:v>
      </x:c>
      <x:c r="B109" s="14" t="str">
        <x:v>FS-06</x:v>
      </x:c>
      <x:c r="C109" s="14" t="str">
        <x:v>SELECTED-B</x:v>
      </x:c>
      <x:c r="D109" s="14" t="str">
        <x:v>FULL-DAY</x:v>
      </x:c>
      <x:c r="E109" s="14" t="n">
        <x:v>3</x:v>
      </x:c>
      <x:c r="F109" s="18" t="n">
        <x:v>24</x:v>
      </x:c>
      <x:c r="G109" s="18" t="n">
        <x:v>1728</x:v>
      </x:c>
      <x:c r="H109" s="18" t="n">
        <x:v>0.3</x:v>
      </x:c>
      <x:c r="I109" s="18" t="n">
        <x:f>F109*G109*H109</x:f>
        <x:v>12441.6</x:v>
      </x:c>
      <x:c r="J109" s="14" t="str">
        <x:v>OPEN</x:v>
      </x:c>
      <x:c r="K109" s="14" t="str">
        <x:v>OPEN</x:v>
      </x:c>
    </x:row>
    <x:row r="110">
      <x:c r="A110" s="15" t="str">
        <x:v>MT-106</x:v>
      </x:c>
      <x:c r="B110" s="15" t="str">
        <x:v>FS-06</x:v>
      </x:c>
      <x:c r="C110" s="15" t="str">
        <x:v>SELECTED-B</x:v>
      </x:c>
      <x:c r="D110" s="15" t="str">
        <x:v>FULL-DAY</x:v>
      </x:c>
      <x:c r="E110" s="15" t="n">
        <x:v>4</x:v>
      </x:c>
      <x:c r="F110" s="19" t="n">
        <x:v>24</x:v>
      </x:c>
      <x:c r="G110" s="19" t="n">
        <x:v>1728</x:v>
      </x:c>
      <x:c r="H110" s="19" t="n">
        <x:v>0.3</x:v>
      </x:c>
      <x:c r="I110" s="19" t="n">
        <x:f>F110*G110*H110</x:f>
        <x:v>12441.6</x:v>
      </x:c>
      <x:c r="J110" s="15" t="str">
        <x:v>OPEN</x:v>
      </x:c>
      <x:c r="K110" s="15" t="str">
        <x:v>OPEN</x:v>
      </x:c>
    </x:row>
    <x:row r="111">
      <x:c r="A111" s="14" t="str">
        <x:v>MT-107</x:v>
      </x:c>
      <x:c r="B111" s="14" t="str">
        <x:v>FS-06</x:v>
      </x:c>
      <x:c r="C111" s="14" t="str">
        <x:v>SELECTED-B</x:v>
      </x:c>
      <x:c r="D111" s="14" t="str">
        <x:v>FULL-MISSION</x:v>
      </x:c>
      <x:c r="E111" s="14" t="n">
        <x:v>1</x:v>
      </x:c>
      <x:c r="F111" s="18" t="n">
        <x:v>72</x:v>
      </x:c>
      <x:c r="G111" s="18" t="n">
        <x:v>1728</x:v>
      </x:c>
      <x:c r="H111" s="18" t="n">
        <x:v>0.3</x:v>
      </x:c>
      <x:c r="I111" s="18" t="n">
        <x:f>F111*G111*H111</x:f>
        <x:v>37324.799999999996</x:v>
      </x:c>
      <x:c r="J111" s="14" t="str">
        <x:v>OPEN</x:v>
      </x:c>
      <x:c r="K111" s="14" t="str">
        <x:v>OPEN</x:v>
      </x:c>
    </x:row>
    <x:row r="112">
      <x:c r="A112" s="15" t="str">
        <x:v>MT-108</x:v>
      </x:c>
      <x:c r="B112" s="15" t="str">
        <x:v>FS-06</x:v>
      </x:c>
      <x:c r="C112" s="15" t="str">
        <x:v>SELECTED-B</x:v>
      </x:c>
      <x:c r="D112" s="15" t="str">
        <x:v>FULL-MISSION</x:v>
      </x:c>
      <x:c r="E112" s="15" t="n">
        <x:v>2</x:v>
      </x:c>
      <x:c r="F112" s="19" t="n">
        <x:v>72</x:v>
      </x:c>
      <x:c r="G112" s="19" t="n">
        <x:v>1728</x:v>
      </x:c>
      <x:c r="H112" s="19" t="n">
        <x:v>0.3</x:v>
      </x:c>
      <x:c r="I112" s="19" t="n">
        <x:f>F112*G112*H112</x:f>
        <x:v>37324.799999999996</x:v>
      </x:c>
      <x:c r="J112" s="15" t="str">
        <x:v>OPEN</x:v>
      </x:c>
      <x:c r="K112" s="15" t="str">
        <x:v>OPEN</x:v>
      </x:c>
    </x:row>
    <x:row r="113">
      <x:c r="A113" s="14" t="str">
        <x:v>MT-109</x:v>
      </x:c>
      <x:c r="B113" s="14" t="str">
        <x:v>FS-07</x:v>
      </x:c>
      <x:c r="C113" s="14" t="str">
        <x:v>SELECTED-B</x:v>
      </x:c>
      <x:c r="D113" s="14" t="str">
        <x:v>SEGMENT</x:v>
      </x:c>
      <x:c r="E113" s="14" t="n">
        <x:v>1</x:v>
      </x:c>
      <x:c r="F113" s="18" t="n">
        <x:v>2</x:v>
      </x:c>
      <x:c r="G113" s="18" t="n">
        <x:v>1728</x:v>
      </x:c>
      <x:c r="H113" s="18" t="n">
        <x:v>0.3</x:v>
      </x:c>
      <x:c r="I113" s="18" t="n">
        <x:f>F113*G113*H113</x:f>
        <x:v>1036.8</x:v>
      </x:c>
      <x:c r="J113" s="14" t="str">
        <x:v>OPEN</x:v>
      </x:c>
      <x:c r="K113" s="14" t="str">
        <x:v>OPEN</x:v>
      </x:c>
    </x:row>
    <x:row r="114">
      <x:c r="A114" s="15" t="str">
        <x:v>MT-110</x:v>
      </x:c>
      <x:c r="B114" s="15" t="str">
        <x:v>FS-07</x:v>
      </x:c>
      <x:c r="C114" s="15" t="str">
        <x:v>SELECTED-B</x:v>
      </x:c>
      <x:c r="D114" s="15" t="str">
        <x:v>SEGMENT</x:v>
      </x:c>
      <x:c r="E114" s="15" t="n">
        <x:v>2</x:v>
      </x:c>
      <x:c r="F114" s="19" t="n">
        <x:v>2</x:v>
      </x:c>
      <x:c r="G114" s="19" t="n">
        <x:v>1728</x:v>
      </x:c>
      <x:c r="H114" s="19" t="n">
        <x:v>0.3</x:v>
      </x:c>
      <x:c r="I114" s="19" t="n">
        <x:f>F114*G114*H114</x:f>
        <x:v>1036.8</x:v>
      </x:c>
      <x:c r="J114" s="15" t="str">
        <x:v>OPEN</x:v>
      </x:c>
      <x:c r="K114" s="15" t="str">
        <x:v>OPEN</x:v>
      </x:c>
    </x:row>
    <x:row r="115">
      <x:c r="A115" s="14" t="str">
        <x:v>MT-111</x:v>
      </x:c>
      <x:c r="B115" s="14" t="str">
        <x:v>FS-07</x:v>
      </x:c>
      <x:c r="C115" s="14" t="str">
        <x:v>SELECTED-B</x:v>
      </x:c>
      <x:c r="D115" s="14" t="str">
        <x:v>SEGMENT</x:v>
      </x:c>
      <x:c r="E115" s="14" t="n">
        <x:v>3</x:v>
      </x:c>
      <x:c r="F115" s="18" t="n">
        <x:v>2</x:v>
      </x:c>
      <x:c r="G115" s="18" t="n">
        <x:v>1728</x:v>
      </x:c>
      <x:c r="H115" s="18" t="n">
        <x:v>0.3</x:v>
      </x:c>
      <x:c r="I115" s="18" t="n">
        <x:f>F115*G115*H115</x:f>
        <x:v>1036.8</x:v>
      </x:c>
      <x:c r="J115" s="14" t="str">
        <x:v>OPEN</x:v>
      </x:c>
      <x:c r="K115" s="14" t="str">
        <x:v>OPEN</x:v>
      </x:c>
    </x:row>
    <x:row r="116">
      <x:c r="A116" s="15" t="str">
        <x:v>MT-112</x:v>
      </x:c>
      <x:c r="B116" s="15" t="str">
        <x:v>FS-07</x:v>
      </x:c>
      <x:c r="C116" s="15" t="str">
        <x:v>SELECTED-B</x:v>
      </x:c>
      <x:c r="D116" s="15" t="str">
        <x:v>SEGMENT</x:v>
      </x:c>
      <x:c r="E116" s="15" t="n">
        <x:v>4</x:v>
      </x:c>
      <x:c r="F116" s="19" t="n">
        <x:v>2</x:v>
      </x:c>
      <x:c r="G116" s="19" t="n">
        <x:v>1728</x:v>
      </x:c>
      <x:c r="H116" s="19" t="n">
        <x:v>0.3</x:v>
      </x:c>
      <x:c r="I116" s="19" t="n">
        <x:f>F116*G116*H116</x:f>
        <x:v>1036.8</x:v>
      </x:c>
      <x:c r="J116" s="15" t="str">
        <x:v>OPEN</x:v>
      </x:c>
      <x:c r="K116" s="15" t="str">
        <x:v>OPEN</x:v>
      </x:c>
    </x:row>
    <x:row r="117">
      <x:c r="A117" s="14" t="str">
        <x:v>MT-113</x:v>
      </x:c>
      <x:c r="B117" s="14" t="str">
        <x:v>FS-07</x:v>
      </x:c>
      <x:c r="C117" s="14" t="str">
        <x:v>SELECTED-B</x:v>
      </x:c>
      <x:c r="D117" s="14" t="str">
        <x:v>SEGMENT</x:v>
      </x:c>
      <x:c r="E117" s="14" t="n">
        <x:v>5</x:v>
      </x:c>
      <x:c r="F117" s="18" t="n">
        <x:v>2</x:v>
      </x:c>
      <x:c r="G117" s="18" t="n">
        <x:v>1728</x:v>
      </x:c>
      <x:c r="H117" s="18" t="n">
        <x:v>0.3</x:v>
      </x:c>
      <x:c r="I117" s="18" t="n">
        <x:f>F117*G117*H117</x:f>
        <x:v>1036.8</x:v>
      </x:c>
      <x:c r="J117" s="14" t="str">
        <x:v>OPEN</x:v>
      </x:c>
      <x:c r="K117" s="14" t="str">
        <x:v>OPEN</x:v>
      </x:c>
    </x:row>
    <x:row r="118">
      <x:c r="A118" s="15" t="str">
        <x:v>MT-114</x:v>
      </x:c>
      <x:c r="B118" s="15" t="str">
        <x:v>FS-07</x:v>
      </x:c>
      <x:c r="C118" s="15" t="str">
        <x:v>SELECTED-B</x:v>
      </x:c>
      <x:c r="D118" s="15" t="str">
        <x:v>SEGMENT</x:v>
      </x:c>
      <x:c r="E118" s="15" t="n">
        <x:v>6</x:v>
      </x:c>
      <x:c r="F118" s="19" t="n">
        <x:v>2</x:v>
      </x:c>
      <x:c r="G118" s="19" t="n">
        <x:v>1728</x:v>
      </x:c>
      <x:c r="H118" s="19" t="n">
        <x:v>0.3</x:v>
      </x:c>
      <x:c r="I118" s="19" t="n">
        <x:f>F118*G118*H118</x:f>
        <x:v>1036.8</x:v>
      </x:c>
      <x:c r="J118" s="15" t="str">
        <x:v>OPEN</x:v>
      </x:c>
      <x:c r="K118" s="15" t="str">
        <x:v>OPEN</x:v>
      </x:c>
    </x:row>
    <x:row r="119">
      <x:c r="A119" s="14" t="str">
        <x:v>MT-115</x:v>
      </x:c>
      <x:c r="B119" s="14" t="str">
        <x:v>FS-07</x:v>
      </x:c>
      <x:c r="C119" s="14" t="str">
        <x:v>SELECTED-B</x:v>
      </x:c>
      <x:c r="D119" s="14" t="str">
        <x:v>INTERMEDIATE</x:v>
      </x:c>
      <x:c r="E119" s="14" t="n">
        <x:v>1</x:v>
      </x:c>
      <x:c r="F119" s="18" t="n">
        <x:v>12</x:v>
      </x:c>
      <x:c r="G119" s="18" t="n">
        <x:v>1728</x:v>
      </x:c>
      <x:c r="H119" s="18" t="n">
        <x:v>0.3</x:v>
      </x:c>
      <x:c r="I119" s="18" t="n">
        <x:f>F119*G119*H119</x:f>
        <x:v>6220.8</x:v>
      </x:c>
      <x:c r="J119" s="14" t="str">
        <x:v>OPEN</x:v>
      </x:c>
      <x:c r="K119" s="14" t="str">
        <x:v>OPEN</x:v>
      </x:c>
    </x:row>
    <x:row r="120">
      <x:c r="A120" s="15" t="str">
        <x:v>MT-116</x:v>
      </x:c>
      <x:c r="B120" s="15" t="str">
        <x:v>FS-07</x:v>
      </x:c>
      <x:c r="C120" s="15" t="str">
        <x:v>SELECTED-B</x:v>
      </x:c>
      <x:c r="D120" s="15" t="str">
        <x:v>INTERMEDIATE</x:v>
      </x:c>
      <x:c r="E120" s="15" t="n">
        <x:v>2</x:v>
      </x:c>
      <x:c r="F120" s="19" t="n">
        <x:v>12</x:v>
      </x:c>
      <x:c r="G120" s="19" t="n">
        <x:v>1728</x:v>
      </x:c>
      <x:c r="H120" s="19" t="n">
        <x:v>0.3</x:v>
      </x:c>
      <x:c r="I120" s="19" t="n">
        <x:f>F120*G120*H120</x:f>
        <x:v>6220.8</x:v>
      </x:c>
      <x:c r="J120" s="15" t="str">
        <x:v>OPEN</x:v>
      </x:c>
      <x:c r="K120" s="15" t="str">
        <x:v>OPEN</x:v>
      </x:c>
    </x:row>
    <x:row r="121">
      <x:c r="A121" s="14" t="str">
        <x:v>MT-117</x:v>
      </x:c>
      <x:c r="B121" s="14" t="str">
        <x:v>FS-07</x:v>
      </x:c>
      <x:c r="C121" s="14" t="str">
        <x:v>SELECTED-B</x:v>
      </x:c>
      <x:c r="D121" s="14" t="str">
        <x:v>INTERMEDIATE</x:v>
      </x:c>
      <x:c r="E121" s="14" t="n">
        <x:v>3</x:v>
      </x:c>
      <x:c r="F121" s="18" t="n">
        <x:v>12</x:v>
      </x:c>
      <x:c r="G121" s="18" t="n">
        <x:v>1728</x:v>
      </x:c>
      <x:c r="H121" s="18" t="n">
        <x:v>0.3</x:v>
      </x:c>
      <x:c r="I121" s="18" t="n">
        <x:f>F121*G121*H121</x:f>
        <x:v>6220.8</x:v>
      </x:c>
      <x:c r="J121" s="14" t="str">
        <x:v>OPEN</x:v>
      </x:c>
      <x:c r="K121" s="14" t="str">
        <x:v>OPEN</x:v>
      </x:c>
    </x:row>
    <x:row r="122">
      <x:c r="A122" s="15" t="str">
        <x:v>MT-118</x:v>
      </x:c>
      <x:c r="B122" s="15" t="str">
        <x:v>FS-07</x:v>
      </x:c>
      <x:c r="C122" s="15" t="str">
        <x:v>SELECTED-B</x:v>
      </x:c>
      <x:c r="D122" s="15" t="str">
        <x:v>INTERMEDIATE</x:v>
      </x:c>
      <x:c r="E122" s="15" t="n">
        <x:v>4</x:v>
      </x:c>
      <x:c r="F122" s="19" t="n">
        <x:v>12</x:v>
      </x:c>
      <x:c r="G122" s="19" t="n">
        <x:v>1728</x:v>
      </x:c>
      <x:c r="H122" s="19" t="n">
        <x:v>0.3</x:v>
      </x:c>
      <x:c r="I122" s="19" t="n">
        <x:f>F122*G122*H122</x:f>
        <x:v>6220.8</x:v>
      </x:c>
      <x:c r="J122" s="15" t="str">
        <x:v>OPEN</x:v>
      </x:c>
      <x:c r="K122" s="15" t="str">
        <x:v>OPEN</x:v>
      </x:c>
    </x:row>
    <x:row r="123">
      <x:c r="A123" s="14" t="str">
        <x:v>MT-119</x:v>
      </x:c>
      <x:c r="B123" s="14" t="str">
        <x:v>FS-07</x:v>
      </x:c>
      <x:c r="C123" s="14" t="str">
        <x:v>SELECTED-B</x:v>
      </x:c>
      <x:c r="D123" s="14" t="str">
        <x:v>INTERMEDIATE</x:v>
      </x:c>
      <x:c r="E123" s="14" t="n">
        <x:v>5</x:v>
      </x:c>
      <x:c r="F123" s="18" t="n">
        <x:v>12</x:v>
      </x:c>
      <x:c r="G123" s="18" t="n">
        <x:v>1728</x:v>
      </x:c>
      <x:c r="H123" s="18" t="n">
        <x:v>0.3</x:v>
      </x:c>
      <x:c r="I123" s="18" t="n">
        <x:f>F123*G123*H123</x:f>
        <x:v>6220.8</x:v>
      </x:c>
      <x:c r="J123" s="14" t="str">
        <x:v>OPEN</x:v>
      </x:c>
      <x:c r="K123" s="14" t="str">
        <x:v>OPEN</x:v>
      </x:c>
    </x:row>
    <x:row r="124">
      <x:c r="A124" s="15" t="str">
        <x:v>MT-120</x:v>
      </x:c>
      <x:c r="B124" s="15" t="str">
        <x:v>FS-07</x:v>
      </x:c>
      <x:c r="C124" s="15" t="str">
        <x:v>SELECTED-B</x:v>
      </x:c>
      <x:c r="D124" s="15" t="str">
        <x:v>INTERMEDIATE</x:v>
      </x:c>
      <x:c r="E124" s="15" t="n">
        <x:v>6</x:v>
      </x:c>
      <x:c r="F124" s="19" t="n">
        <x:v>12</x:v>
      </x:c>
      <x:c r="G124" s="19" t="n">
        <x:v>1728</x:v>
      </x:c>
      <x:c r="H124" s="19" t="n">
        <x:v>0.3</x:v>
      </x:c>
      <x:c r="I124" s="19" t="n">
        <x:f>F124*G124*H124</x:f>
        <x:v>6220.8</x:v>
      </x:c>
      <x:c r="J124" s="15" t="str">
        <x:v>OPEN</x:v>
      </x:c>
      <x:c r="K124" s="15" t="str">
        <x:v>OPEN</x:v>
      </x:c>
    </x:row>
    <x:row r="125">
      <x:c r="A125" s="14" t="str">
        <x:v>MT-121</x:v>
      </x:c>
      <x:c r="B125" s="14" t="str">
        <x:v>FS-07</x:v>
      </x:c>
      <x:c r="C125" s="14" t="str">
        <x:v>SELECTED-B</x:v>
      </x:c>
      <x:c r="D125" s="14" t="str">
        <x:v>FULL-DAY</x:v>
      </x:c>
      <x:c r="E125" s="14" t="n">
        <x:v>1</x:v>
      </x:c>
      <x:c r="F125" s="18" t="n">
        <x:v>24</x:v>
      </x:c>
      <x:c r="G125" s="18" t="n">
        <x:v>1728</x:v>
      </x:c>
      <x:c r="H125" s="18" t="n">
        <x:v>0.3</x:v>
      </x:c>
      <x:c r="I125" s="18" t="n">
        <x:f>F125*G125*H125</x:f>
        <x:v>12441.6</x:v>
      </x:c>
      <x:c r="J125" s="14" t="str">
        <x:v>OPEN</x:v>
      </x:c>
      <x:c r="K125" s="14" t="str">
        <x:v>OPEN</x:v>
      </x:c>
    </x:row>
    <x:row r="126">
      <x:c r="A126" s="15" t="str">
        <x:v>MT-122</x:v>
      </x:c>
      <x:c r="B126" s="15" t="str">
        <x:v>FS-07</x:v>
      </x:c>
      <x:c r="C126" s="15" t="str">
        <x:v>SELECTED-B</x:v>
      </x:c>
      <x:c r="D126" s="15" t="str">
        <x:v>FULL-DAY</x:v>
      </x:c>
      <x:c r="E126" s="15" t="n">
        <x:v>2</x:v>
      </x:c>
      <x:c r="F126" s="19" t="n">
        <x:v>24</x:v>
      </x:c>
      <x:c r="G126" s="19" t="n">
        <x:v>1728</x:v>
      </x:c>
      <x:c r="H126" s="19" t="n">
        <x:v>0.3</x:v>
      </x:c>
      <x:c r="I126" s="19" t="n">
        <x:f>F126*G126*H126</x:f>
        <x:v>12441.6</x:v>
      </x:c>
      <x:c r="J126" s="15" t="str">
        <x:v>OPEN</x:v>
      </x:c>
      <x:c r="K126" s="15" t="str">
        <x:v>OPEN</x:v>
      </x:c>
    </x:row>
    <x:row r="127">
      <x:c r="A127" s="14" t="str">
        <x:v>MT-123</x:v>
      </x:c>
      <x:c r="B127" s="14" t="str">
        <x:v>FS-07</x:v>
      </x:c>
      <x:c r="C127" s="14" t="str">
        <x:v>SELECTED-B</x:v>
      </x:c>
      <x:c r="D127" s="14" t="str">
        <x:v>FULL-DAY</x:v>
      </x:c>
      <x:c r="E127" s="14" t="n">
        <x:v>3</x:v>
      </x:c>
      <x:c r="F127" s="18" t="n">
        <x:v>24</x:v>
      </x:c>
      <x:c r="G127" s="18" t="n">
        <x:v>1728</x:v>
      </x:c>
      <x:c r="H127" s="18" t="n">
        <x:v>0.3</x:v>
      </x:c>
      <x:c r="I127" s="18" t="n">
        <x:f>F127*G127*H127</x:f>
        <x:v>12441.6</x:v>
      </x:c>
      <x:c r="J127" s="14" t="str">
        <x:v>OPEN</x:v>
      </x:c>
      <x:c r="K127" s="14" t="str">
        <x:v>OPEN</x:v>
      </x:c>
    </x:row>
    <x:row r="128">
      <x:c r="A128" s="15" t="str">
        <x:v>MT-124</x:v>
      </x:c>
      <x:c r="B128" s="15" t="str">
        <x:v>FS-07</x:v>
      </x:c>
      <x:c r="C128" s="15" t="str">
        <x:v>SELECTED-B</x:v>
      </x:c>
      <x:c r="D128" s="15" t="str">
        <x:v>FULL-DAY</x:v>
      </x:c>
      <x:c r="E128" s="15" t="n">
        <x:v>4</x:v>
      </x:c>
      <x:c r="F128" s="19" t="n">
        <x:v>24</x:v>
      </x:c>
      <x:c r="G128" s="19" t="n">
        <x:v>1728</x:v>
      </x:c>
      <x:c r="H128" s="19" t="n">
        <x:v>0.3</x:v>
      </x:c>
      <x:c r="I128" s="19" t="n">
        <x:f>F128*G128*H128</x:f>
        <x:v>12441.6</x:v>
      </x:c>
      <x:c r="J128" s="15" t="str">
        <x:v>OPEN</x:v>
      </x:c>
      <x:c r="K128" s="15" t="str">
        <x:v>OPEN</x:v>
      </x:c>
    </x:row>
    <x:row r="129">
      <x:c r="A129" s="14" t="str">
        <x:v>MT-125</x:v>
      </x:c>
      <x:c r="B129" s="14" t="str">
        <x:v>FS-07</x:v>
      </x:c>
      <x:c r="C129" s="14" t="str">
        <x:v>SELECTED-B</x:v>
      </x:c>
      <x:c r="D129" s="14" t="str">
        <x:v>FULL-MISSION</x:v>
      </x:c>
      <x:c r="E129" s="14" t="n">
        <x:v>1</x:v>
      </x:c>
      <x:c r="F129" s="18" t="n">
        <x:v>72</x:v>
      </x:c>
      <x:c r="G129" s="18" t="n">
        <x:v>1728</x:v>
      </x:c>
      <x:c r="H129" s="18" t="n">
        <x:v>0.3</x:v>
      </x:c>
      <x:c r="I129" s="18" t="n">
        <x:f>F129*G129*H129</x:f>
        <x:v>37324.799999999996</x:v>
      </x:c>
      <x:c r="J129" s="14" t="str">
        <x:v>OPEN</x:v>
      </x:c>
      <x:c r="K129" s="14" t="str">
        <x:v>OPEN</x:v>
      </x:c>
    </x:row>
    <x:row r="130">
      <x:c r="A130" s="15" t="str">
        <x:v>MT-126</x:v>
      </x:c>
      <x:c r="B130" s="15" t="str">
        <x:v>FS-07</x:v>
      </x:c>
      <x:c r="C130" s="15" t="str">
        <x:v>SELECTED-B</x:v>
      </x:c>
      <x:c r="D130" s="15" t="str">
        <x:v>FULL-MISSION</x:v>
      </x:c>
      <x:c r="E130" s="15" t="n">
        <x:v>2</x:v>
      </x:c>
      <x:c r="F130" s="19" t="n">
        <x:v>72</x:v>
      </x:c>
      <x:c r="G130" s="19" t="n">
        <x:v>1728</x:v>
      </x:c>
      <x:c r="H130" s="19" t="n">
        <x:v>0.3</x:v>
      </x:c>
      <x:c r="I130" s="19" t="n">
        <x:f>F130*G130*H130</x:f>
        <x:v>37324.799999999996</x:v>
      </x:c>
      <x:c r="J130" s="15" t="str">
        <x:v>OPEN</x:v>
      </x:c>
      <x:c r="K130" s="15" t="str">
        <x:v>OPEN</x:v>
      </x:c>
    </x:row>
    <x:row r="131">
      <x:c r="A131" s="14" t="str">
        <x:v>MT-127</x:v>
      </x:c>
      <x:c r="B131" s="14" t="str">
        <x:v>FS-08</x:v>
      </x:c>
      <x:c r="C131" s="14" t="str">
        <x:v>SELECTED-B</x:v>
      </x:c>
      <x:c r="D131" s="14" t="str">
        <x:v>SEGMENT</x:v>
      </x:c>
      <x:c r="E131" s="14" t="n">
        <x:v>1</x:v>
      </x:c>
      <x:c r="F131" s="18" t="n">
        <x:v>2</x:v>
      </x:c>
      <x:c r="G131" s="18" t="n">
        <x:v>1728</x:v>
      </x:c>
      <x:c r="H131" s="18" t="n">
        <x:v>0.3</x:v>
      </x:c>
      <x:c r="I131" s="18" t="n">
        <x:f>F131*G131*H131</x:f>
        <x:v>1036.8</x:v>
      </x:c>
      <x:c r="J131" s="14" t="str">
        <x:v>OPEN</x:v>
      </x:c>
      <x:c r="K131" s="14" t="str">
        <x:v>OPEN</x:v>
      </x:c>
    </x:row>
    <x:row r="132">
      <x:c r="A132" s="15" t="str">
        <x:v>MT-128</x:v>
      </x:c>
      <x:c r="B132" s="15" t="str">
        <x:v>FS-08</x:v>
      </x:c>
      <x:c r="C132" s="15" t="str">
        <x:v>SELECTED-B</x:v>
      </x:c>
      <x:c r="D132" s="15" t="str">
        <x:v>SEGMENT</x:v>
      </x:c>
      <x:c r="E132" s="15" t="n">
        <x:v>2</x:v>
      </x:c>
      <x:c r="F132" s="19" t="n">
        <x:v>2</x:v>
      </x:c>
      <x:c r="G132" s="19" t="n">
        <x:v>1728</x:v>
      </x:c>
      <x:c r="H132" s="19" t="n">
        <x:v>0.3</x:v>
      </x:c>
      <x:c r="I132" s="19" t="n">
        <x:f>F132*G132*H132</x:f>
        <x:v>1036.8</x:v>
      </x:c>
      <x:c r="J132" s="15" t="str">
        <x:v>OPEN</x:v>
      </x:c>
      <x:c r="K132" s="15" t="str">
        <x:v>OPEN</x:v>
      </x:c>
    </x:row>
    <x:row r="133">
      <x:c r="A133" s="14" t="str">
        <x:v>MT-129</x:v>
      </x:c>
      <x:c r="B133" s="14" t="str">
        <x:v>FS-08</x:v>
      </x:c>
      <x:c r="C133" s="14" t="str">
        <x:v>SELECTED-B</x:v>
      </x:c>
      <x:c r="D133" s="14" t="str">
        <x:v>SEGMENT</x:v>
      </x:c>
      <x:c r="E133" s="14" t="n">
        <x:v>3</x:v>
      </x:c>
      <x:c r="F133" s="18" t="n">
        <x:v>2</x:v>
      </x:c>
      <x:c r="G133" s="18" t="n">
        <x:v>1728</x:v>
      </x:c>
      <x:c r="H133" s="18" t="n">
        <x:v>0.3</x:v>
      </x:c>
      <x:c r="I133" s="18" t="n">
        <x:f>F133*G133*H133</x:f>
        <x:v>1036.8</x:v>
      </x:c>
      <x:c r="J133" s="14" t="str">
        <x:v>OPEN</x:v>
      </x:c>
      <x:c r="K133" s="14" t="str">
        <x:v>OPEN</x:v>
      </x:c>
    </x:row>
    <x:row r="134">
      <x:c r="A134" s="15" t="str">
        <x:v>MT-130</x:v>
      </x:c>
      <x:c r="B134" s="15" t="str">
        <x:v>FS-08</x:v>
      </x:c>
      <x:c r="C134" s="15" t="str">
        <x:v>SELECTED-B</x:v>
      </x:c>
      <x:c r="D134" s="15" t="str">
        <x:v>SEGMENT</x:v>
      </x:c>
      <x:c r="E134" s="15" t="n">
        <x:v>4</x:v>
      </x:c>
      <x:c r="F134" s="19" t="n">
        <x:v>2</x:v>
      </x:c>
      <x:c r="G134" s="19" t="n">
        <x:v>1728</x:v>
      </x:c>
      <x:c r="H134" s="19" t="n">
        <x:v>0.3</x:v>
      </x:c>
      <x:c r="I134" s="19" t="n">
        <x:f>F134*G134*H134</x:f>
        <x:v>1036.8</x:v>
      </x:c>
      <x:c r="J134" s="15" t="str">
        <x:v>OPEN</x:v>
      </x:c>
      <x:c r="K134" s="15" t="str">
        <x:v>OPEN</x:v>
      </x:c>
    </x:row>
    <x:row r="135">
      <x:c r="A135" s="14" t="str">
        <x:v>MT-131</x:v>
      </x:c>
      <x:c r="B135" s="14" t="str">
        <x:v>FS-08</x:v>
      </x:c>
      <x:c r="C135" s="14" t="str">
        <x:v>SELECTED-B</x:v>
      </x:c>
      <x:c r="D135" s="14" t="str">
        <x:v>SEGMENT</x:v>
      </x:c>
      <x:c r="E135" s="14" t="n">
        <x:v>5</x:v>
      </x:c>
      <x:c r="F135" s="18" t="n">
        <x:v>2</x:v>
      </x:c>
      <x:c r="G135" s="18" t="n">
        <x:v>1728</x:v>
      </x:c>
      <x:c r="H135" s="18" t="n">
        <x:v>0.3</x:v>
      </x:c>
      <x:c r="I135" s="18" t="n">
        <x:f>F135*G135*H135</x:f>
        <x:v>1036.8</x:v>
      </x:c>
      <x:c r="J135" s="14" t="str">
        <x:v>OPEN</x:v>
      </x:c>
      <x:c r="K135" s="14" t="str">
        <x:v>OPEN</x:v>
      </x:c>
    </x:row>
    <x:row r="136">
      <x:c r="A136" s="15" t="str">
        <x:v>MT-132</x:v>
      </x:c>
      <x:c r="B136" s="15" t="str">
        <x:v>FS-08</x:v>
      </x:c>
      <x:c r="C136" s="15" t="str">
        <x:v>SELECTED-B</x:v>
      </x:c>
      <x:c r="D136" s="15" t="str">
        <x:v>SEGMENT</x:v>
      </x:c>
      <x:c r="E136" s="15" t="n">
        <x:v>6</x:v>
      </x:c>
      <x:c r="F136" s="19" t="n">
        <x:v>2</x:v>
      </x:c>
      <x:c r="G136" s="19" t="n">
        <x:v>1728</x:v>
      </x:c>
      <x:c r="H136" s="19" t="n">
        <x:v>0.3</x:v>
      </x:c>
      <x:c r="I136" s="19" t="n">
        <x:f>F136*G136*H136</x:f>
        <x:v>1036.8</x:v>
      </x:c>
      <x:c r="J136" s="15" t="str">
        <x:v>OPEN</x:v>
      </x:c>
      <x:c r="K136" s="15" t="str">
        <x:v>OPEN</x:v>
      </x:c>
    </x:row>
    <x:row r="137">
      <x:c r="A137" s="14" t="str">
        <x:v>MT-133</x:v>
      </x:c>
      <x:c r="B137" s="14" t="str">
        <x:v>FS-08</x:v>
      </x:c>
      <x:c r="C137" s="14" t="str">
        <x:v>SELECTED-B</x:v>
      </x:c>
      <x:c r="D137" s="14" t="str">
        <x:v>INTERMEDIATE</x:v>
      </x:c>
      <x:c r="E137" s="14" t="n">
        <x:v>1</x:v>
      </x:c>
      <x:c r="F137" s="18" t="n">
        <x:v>12</x:v>
      </x:c>
      <x:c r="G137" s="18" t="n">
        <x:v>1728</x:v>
      </x:c>
      <x:c r="H137" s="18" t="n">
        <x:v>0.3</x:v>
      </x:c>
      <x:c r="I137" s="18" t="n">
        <x:f>F137*G137*H137</x:f>
        <x:v>6220.8</x:v>
      </x:c>
      <x:c r="J137" s="14" t="str">
        <x:v>OPEN</x:v>
      </x:c>
      <x:c r="K137" s="14" t="str">
        <x:v>OPEN</x:v>
      </x:c>
    </x:row>
    <x:row r="138">
      <x:c r="A138" s="15" t="str">
        <x:v>MT-134</x:v>
      </x:c>
      <x:c r="B138" s="15" t="str">
        <x:v>FS-08</x:v>
      </x:c>
      <x:c r="C138" s="15" t="str">
        <x:v>SELECTED-B</x:v>
      </x:c>
      <x:c r="D138" s="15" t="str">
        <x:v>INTERMEDIATE</x:v>
      </x:c>
      <x:c r="E138" s="15" t="n">
        <x:v>2</x:v>
      </x:c>
      <x:c r="F138" s="19" t="n">
        <x:v>12</x:v>
      </x:c>
      <x:c r="G138" s="19" t="n">
        <x:v>1728</x:v>
      </x:c>
      <x:c r="H138" s="19" t="n">
        <x:v>0.3</x:v>
      </x:c>
      <x:c r="I138" s="19" t="n">
        <x:f>F138*G138*H138</x:f>
        <x:v>6220.8</x:v>
      </x:c>
      <x:c r="J138" s="15" t="str">
        <x:v>OPEN</x:v>
      </x:c>
      <x:c r="K138" s="15" t="str">
        <x:v>OPEN</x:v>
      </x:c>
    </x:row>
    <x:row r="139">
      <x:c r="A139" s="14" t="str">
        <x:v>MT-135</x:v>
      </x:c>
      <x:c r="B139" s="14" t="str">
        <x:v>FS-08</x:v>
      </x:c>
      <x:c r="C139" s="14" t="str">
        <x:v>SELECTED-B</x:v>
      </x:c>
      <x:c r="D139" s="14" t="str">
        <x:v>INTERMEDIATE</x:v>
      </x:c>
      <x:c r="E139" s="14" t="n">
        <x:v>3</x:v>
      </x:c>
      <x:c r="F139" s="18" t="n">
        <x:v>12</x:v>
      </x:c>
      <x:c r="G139" s="18" t="n">
        <x:v>1728</x:v>
      </x:c>
      <x:c r="H139" s="18" t="n">
        <x:v>0.3</x:v>
      </x:c>
      <x:c r="I139" s="18" t="n">
        <x:f>F139*G139*H139</x:f>
        <x:v>6220.8</x:v>
      </x:c>
      <x:c r="J139" s="14" t="str">
        <x:v>OPEN</x:v>
      </x:c>
      <x:c r="K139" s="14" t="str">
        <x:v>OPEN</x:v>
      </x:c>
    </x:row>
    <x:row r="140">
      <x:c r="A140" s="15" t="str">
        <x:v>MT-136</x:v>
      </x:c>
      <x:c r="B140" s="15" t="str">
        <x:v>FS-08</x:v>
      </x:c>
      <x:c r="C140" s="15" t="str">
        <x:v>SELECTED-B</x:v>
      </x:c>
      <x:c r="D140" s="15" t="str">
        <x:v>INTERMEDIATE</x:v>
      </x:c>
      <x:c r="E140" s="15" t="n">
        <x:v>4</x:v>
      </x:c>
      <x:c r="F140" s="19" t="n">
        <x:v>12</x:v>
      </x:c>
      <x:c r="G140" s="19" t="n">
        <x:v>1728</x:v>
      </x:c>
      <x:c r="H140" s="19" t="n">
        <x:v>0.3</x:v>
      </x:c>
      <x:c r="I140" s="19" t="n">
        <x:f>F140*G140*H140</x:f>
        <x:v>6220.8</x:v>
      </x:c>
      <x:c r="J140" s="15" t="str">
        <x:v>OPEN</x:v>
      </x:c>
      <x:c r="K140" s="15" t="str">
        <x:v>OPEN</x:v>
      </x:c>
    </x:row>
    <x:row r="141">
      <x:c r="A141" s="14" t="str">
        <x:v>MT-137</x:v>
      </x:c>
      <x:c r="B141" s="14" t="str">
        <x:v>FS-08</x:v>
      </x:c>
      <x:c r="C141" s="14" t="str">
        <x:v>SELECTED-B</x:v>
      </x:c>
      <x:c r="D141" s="14" t="str">
        <x:v>INTERMEDIATE</x:v>
      </x:c>
      <x:c r="E141" s="14" t="n">
        <x:v>5</x:v>
      </x:c>
      <x:c r="F141" s="18" t="n">
        <x:v>12</x:v>
      </x:c>
      <x:c r="G141" s="18" t="n">
        <x:v>1728</x:v>
      </x:c>
      <x:c r="H141" s="18" t="n">
        <x:v>0.3</x:v>
      </x:c>
      <x:c r="I141" s="18" t="n">
        <x:f>F141*G141*H141</x:f>
        <x:v>6220.8</x:v>
      </x:c>
      <x:c r="J141" s="14" t="str">
        <x:v>OPEN</x:v>
      </x:c>
      <x:c r="K141" s="14" t="str">
        <x:v>OPEN</x:v>
      </x:c>
    </x:row>
    <x:row r="142">
      <x:c r="A142" s="15" t="str">
        <x:v>MT-138</x:v>
      </x:c>
      <x:c r="B142" s="15" t="str">
        <x:v>FS-08</x:v>
      </x:c>
      <x:c r="C142" s="15" t="str">
        <x:v>SELECTED-B</x:v>
      </x:c>
      <x:c r="D142" s="15" t="str">
        <x:v>INTERMEDIATE</x:v>
      </x:c>
      <x:c r="E142" s="15" t="n">
        <x:v>6</x:v>
      </x:c>
      <x:c r="F142" s="19" t="n">
        <x:v>12</x:v>
      </x:c>
      <x:c r="G142" s="19" t="n">
        <x:v>1728</x:v>
      </x:c>
      <x:c r="H142" s="19" t="n">
        <x:v>0.3</x:v>
      </x:c>
      <x:c r="I142" s="19" t="n">
        <x:f>F142*G142*H142</x:f>
        <x:v>6220.8</x:v>
      </x:c>
      <x:c r="J142" s="15" t="str">
        <x:v>OPEN</x:v>
      </x:c>
      <x:c r="K142" s="15" t="str">
        <x:v>OPEN</x:v>
      </x:c>
    </x:row>
    <x:row r="143">
      <x:c r="A143" s="14" t="str">
        <x:v>MT-139</x:v>
      </x:c>
      <x:c r="B143" s="14" t="str">
        <x:v>FS-08</x:v>
      </x:c>
      <x:c r="C143" s="14" t="str">
        <x:v>SELECTED-B</x:v>
      </x:c>
      <x:c r="D143" s="14" t="str">
        <x:v>FULL-DAY</x:v>
      </x:c>
      <x:c r="E143" s="14" t="n">
        <x:v>1</x:v>
      </x:c>
      <x:c r="F143" s="18" t="n">
        <x:v>24</x:v>
      </x:c>
      <x:c r="G143" s="18" t="n">
        <x:v>1728</x:v>
      </x:c>
      <x:c r="H143" s="18" t="n">
        <x:v>0.3</x:v>
      </x:c>
      <x:c r="I143" s="18" t="n">
        <x:f>F143*G143*H143</x:f>
        <x:v>12441.6</x:v>
      </x:c>
      <x:c r="J143" s="14" t="str">
        <x:v>OPEN</x:v>
      </x:c>
      <x:c r="K143" s="14" t="str">
        <x:v>OPEN</x:v>
      </x:c>
    </x:row>
    <x:row r="144">
      <x:c r="A144" s="15" t="str">
        <x:v>MT-140</x:v>
      </x:c>
      <x:c r="B144" s="15" t="str">
        <x:v>FS-08</x:v>
      </x:c>
      <x:c r="C144" s="15" t="str">
        <x:v>SELECTED-B</x:v>
      </x:c>
      <x:c r="D144" s="15" t="str">
        <x:v>FULL-DAY</x:v>
      </x:c>
      <x:c r="E144" s="15" t="n">
        <x:v>2</x:v>
      </x:c>
      <x:c r="F144" s="19" t="n">
        <x:v>24</x:v>
      </x:c>
      <x:c r="G144" s="19" t="n">
        <x:v>1728</x:v>
      </x:c>
      <x:c r="H144" s="19" t="n">
        <x:v>0.3</x:v>
      </x:c>
      <x:c r="I144" s="19" t="n">
        <x:f>F144*G144*H144</x:f>
        <x:v>12441.6</x:v>
      </x:c>
      <x:c r="J144" s="15" t="str">
        <x:v>OPEN</x:v>
      </x:c>
      <x:c r="K144" s="15" t="str">
        <x:v>OPEN</x:v>
      </x:c>
    </x:row>
    <x:row r="145">
      <x:c r="A145" s="14" t="str">
        <x:v>MT-141</x:v>
      </x:c>
      <x:c r="B145" s="14" t="str">
        <x:v>FS-08</x:v>
      </x:c>
      <x:c r="C145" s="14" t="str">
        <x:v>SELECTED-B</x:v>
      </x:c>
      <x:c r="D145" s="14" t="str">
        <x:v>FULL-DAY</x:v>
      </x:c>
      <x:c r="E145" s="14" t="n">
        <x:v>3</x:v>
      </x:c>
      <x:c r="F145" s="18" t="n">
        <x:v>24</x:v>
      </x:c>
      <x:c r="G145" s="18" t="n">
        <x:v>1728</x:v>
      </x:c>
      <x:c r="H145" s="18" t="n">
        <x:v>0.3</x:v>
      </x:c>
      <x:c r="I145" s="18" t="n">
        <x:f>F145*G145*H145</x:f>
        <x:v>12441.6</x:v>
      </x:c>
      <x:c r="J145" s="14" t="str">
        <x:v>OPEN</x:v>
      </x:c>
      <x:c r="K145" s="14" t="str">
        <x:v>OPEN</x:v>
      </x:c>
    </x:row>
    <x:row r="146">
      <x:c r="A146" s="15" t="str">
        <x:v>MT-142</x:v>
      </x:c>
      <x:c r="B146" s="15" t="str">
        <x:v>FS-08</x:v>
      </x:c>
      <x:c r="C146" s="15" t="str">
        <x:v>SELECTED-B</x:v>
      </x:c>
      <x:c r="D146" s="15" t="str">
        <x:v>FULL-DAY</x:v>
      </x:c>
      <x:c r="E146" s="15" t="n">
        <x:v>4</x:v>
      </x:c>
      <x:c r="F146" s="19" t="n">
        <x:v>24</x:v>
      </x:c>
      <x:c r="G146" s="19" t="n">
        <x:v>1728</x:v>
      </x:c>
      <x:c r="H146" s="19" t="n">
        <x:v>0.3</x:v>
      </x:c>
      <x:c r="I146" s="19" t="n">
        <x:f>F146*G146*H146</x:f>
        <x:v>12441.6</x:v>
      </x:c>
      <x:c r="J146" s="15" t="str">
        <x:v>OPEN</x:v>
      </x:c>
      <x:c r="K146" s="15" t="str">
        <x:v>OPEN</x:v>
      </x:c>
    </x:row>
    <x:row r="147">
      <x:c r="A147" s="14" t="str">
        <x:v>MT-143</x:v>
      </x:c>
      <x:c r="B147" s="14" t="str">
        <x:v>FS-08</x:v>
      </x:c>
      <x:c r="C147" s="14" t="str">
        <x:v>SELECTED-B</x:v>
      </x:c>
      <x:c r="D147" s="14" t="str">
        <x:v>FULL-MISSION</x:v>
      </x:c>
      <x:c r="E147" s="14" t="n">
        <x:v>1</x:v>
      </x:c>
      <x:c r="F147" s="18" t="n">
        <x:v>72</x:v>
      </x:c>
      <x:c r="G147" s="18" t="n">
        <x:v>1728</x:v>
      </x:c>
      <x:c r="H147" s="18" t="n">
        <x:v>0.3</x:v>
      </x:c>
      <x:c r="I147" s="18" t="n">
        <x:f>F147*G147*H147</x:f>
        <x:v>37324.799999999996</x:v>
      </x:c>
      <x:c r="J147" s="14" t="str">
        <x:v>OPEN</x:v>
      </x:c>
      <x:c r="K147" s="14" t="str">
        <x:v>OPEN</x:v>
      </x:c>
    </x:row>
    <x:row r="148">
      <x:c r="A148" s="15" t="str">
        <x:v>MT-144</x:v>
      </x:c>
      <x:c r="B148" s="15" t="str">
        <x:v>FS-08</x:v>
      </x:c>
      <x:c r="C148" s="15" t="str">
        <x:v>SELECTED-B</x:v>
      </x:c>
      <x:c r="D148" s="15" t="str">
        <x:v>FULL-MISSION</x:v>
      </x:c>
      <x:c r="E148" s="15" t="n">
        <x:v>2</x:v>
      </x:c>
      <x:c r="F148" s="19" t="n">
        <x:v>72</x:v>
      </x:c>
      <x:c r="G148" s="19" t="n">
        <x:v>1728</x:v>
      </x:c>
      <x:c r="H148" s="19" t="n">
        <x:v>0.3</x:v>
      </x:c>
      <x:c r="I148" s="19" t="n">
        <x:f>F148*G148*H148</x:f>
        <x:v>37324.799999999996</x:v>
      </x:c>
      <x:c r="J148" s="15" t="str">
        <x:v>OPEN</x:v>
      </x:c>
      <x:c r="K148" s="15" t="str">
        <x:v>OPEN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6" hidden="0" customWidth="1"/>
    <x:col min="4" max="4" width="22" hidden="0" customWidth="1"/>
    <x:col min="5" max="5" width="48" hidden="0" customWidth="1"/>
  </x:cols>
  <x:sheetData>
    <x:row r="1" ht="27" customHeight="1">
      <x:c r="A1" s="3" t="str">
        <x:v>Development-water throughput</x:v>
      </x:c>
    </x:row>
    <x:row r="2" ht="32" customHeight="1">
      <x:c r="A2" s="7" t="str">
        <x:v>Gross governed throughput remains visible even when water is reconditioned.</x:v>
      </x:c>
    </x:row>
    <x:row r="4" ht="28" customHeight="1">
      <x:c r="A4" s="11" t="str">
        <x:v>Population</x:v>
      </x:c>
      <x:c r="B4" s="11" t="str">
        <x:v>Count</x:v>
      </x:c>
      <x:c r="C4" s="11" t="str">
        <x:v>Water each or calculated</x:v>
      </x:c>
      <x:c r="D4" s="11" t="str">
        <x:v>Total m3</x:v>
      </x:c>
      <x:c r="E4" s="11" t="str">
        <x:v>Authority</x:v>
      </x:c>
    </x:row>
    <x:row r="5">
      <x:c r="A5" s="14" t="str">
        <x:v>Quarter trials</x:v>
      </x:c>
      <x:c r="B5" s="18" t="n">
        <x:v>288</x:v>
      </x:c>
      <x:c r="C5" s="18" t="n">
        <x:v>144</x:v>
      </x:c>
      <x:c r="D5" s="18" t="n">
        <x:f>B5*C5</x:f>
        <x:v>41472</x:v>
      </x:c>
      <x:c r="E5" s="14" t="str">
        <x:v>One salvo screen per trial</x:v>
      </x:c>
    </x:row>
    <x:row r="6">
      <x:c r="A6" s="15" t="str">
        <x:v>Matched comparisons</x:v>
      </x:c>
      <x:c r="B6" s="19" t="n">
        <x:v>192</x:v>
      </x:c>
      <x:c r="C6" s="19" t="n">
        <x:v>144</x:v>
      </x:c>
      <x:c r="D6" s="19" t="n">
        <x:f>B6*C6</x:f>
        <x:v>27648</x:v>
      </x:c>
      <x:c r="E6" s="15" t="str">
        <x:v>One salvo screen per comparison</x:v>
      </x:c>
    </x:row>
    <x:row r="7">
      <x:c r="A7" s="14" t="str">
        <x:v>Full mission trials</x:v>
      </x:c>
      <x:c r="B7" s="18" t="n">
        <x:v>144</x:v>
      </x:c>
      <x:c r="C7" s="18" t="n">
        <x:v>0</x:v>
      </x:c>
      <x:c r="D7" s="18" t="n">
        <x:f>SUM('Mission Trials'!I5:I200)</x:f>
        <x:v>1343692.8000000028</x:v>
      </x:c>
      <x:c r="E7" s="14" t="str">
        <x:v>Sum of trial registry</x:v>
      </x:c>
    </x:row>
    <x:row r="8">
      <x:c r="A8" s="15" t="str">
        <x:v>Total development</x:v>
      </x:c>
      <x:c r="B8" s="19" t="n">
        <x:v>0</x:v>
      </x:c>
      <x:c r="C8" s="19" t="n">
        <x:v>0</x:v>
      </x:c>
      <x:c r="D8" s="19" t="n">
        <x:f>SUM(D5:D7)</x:f>
        <x:v>1412812.8000000028</x:v>
      </x:c>
      <x:c r="E8" s="15" t="str">
        <x:v>Gross throughput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3" t="str">
        <x:v>Conjunctive architecture gates</x:v>
      </x:c>
    </x:row>
    <x:row r="2" ht="32" customHeight="1">
      <x:c r="A2" s="7" t="str">
        <x:v>No weighted score compensates for a failed mission, rescue, custody, safeing or rights gate.</x:v>
      </x:c>
    </x:row>
    <x:row r="4" ht="28" customHeight="1">
      <x:c r="A4" s="11" t="str">
        <x:v>Gate</x:v>
      </x:c>
      <x:c r="B4" s="11" t="str">
        <x:v>LATTICE-12</x:v>
      </x:c>
      <x:c r="C4" s="11" t="str">
        <x:v>RING-12</x:v>
      </x:c>
      <x:c r="D4" s="11" t="str">
        <x:v>SPAN-12</x:v>
      </x:c>
      <x:c r="E4" s="11" t="str">
        <x:v>SWARM-12</x:v>
      </x:c>
      <x:c r="F4" s="11" t="str">
        <x:v>State</x:v>
      </x:c>
    </x:row>
    <x:row r="5">
      <x:c r="A5" s="14" t="str">
        <x:v>First effect by clock</x:v>
      </x:c>
      <x:c r="B5" s="14" t="str">
        <x:v>OPEN</x:v>
      </x:c>
      <x:c r="C5" s="14" t="str">
        <x:v>OPEN</x:v>
      </x:c>
      <x:c r="D5" s="14" t="str">
        <x:v>OPEN</x:v>
      </x:c>
      <x:c r="E5" s="14" t="str">
        <x:v>OPEN</x:v>
      </x:c>
      <x:c r="F5" s="14" t="str">
        <x:v>BLOCKED</x:v>
      </x:c>
    </x:row>
    <x:row r="6">
      <x:c r="A6" s="15" t="str">
        <x:v>Full edge by clock</x:v>
      </x:c>
      <x:c r="B6" s="15" t="str">
        <x:v>OPEN</x:v>
      </x:c>
      <x:c r="C6" s="15" t="str">
        <x:v>OPEN</x:v>
      </x:c>
      <x:c r="D6" s="15" t="str">
        <x:v>OPEN</x:v>
      </x:c>
      <x:c r="E6" s="15" t="str">
        <x:v>OPEN</x:v>
      </x:c>
      <x:c r="F6" s="15" t="str">
        <x:v>BLOCKED</x:v>
      </x:c>
    </x:row>
    <x:row r="7">
      <x:c r="A7" s="14" t="str">
        <x:v>Crossing observed and controlled</x:v>
      </x:c>
      <x:c r="B7" s="14" t="str">
        <x:v>OPEN</x:v>
      </x:c>
      <x:c r="C7" s="14" t="str">
        <x:v>OPEN</x:v>
      </x:c>
      <x:c r="D7" s="14" t="str">
        <x:v>OPEN</x:v>
      </x:c>
      <x:c r="E7" s="14" t="str">
        <x:v>OPEN</x:v>
      </x:c>
      <x:c r="F7" s="14" t="str">
        <x:v>BLOCKED</x:v>
      </x:c>
    </x:row>
    <x:row r="8">
      <x:c r="A8" s="15" t="str">
        <x:v>One trunk loss contained</x:v>
      </x:c>
      <x:c r="B8" s="15" t="str">
        <x:v>OPEN</x:v>
      </x:c>
      <x:c r="C8" s="15" t="str">
        <x:v>OPEN</x:v>
      </x:c>
      <x:c r="D8" s="15" t="str">
        <x:v>OPEN</x:v>
      </x:c>
      <x:c r="E8" s="15" t="str">
        <x:v>OPEN</x:v>
      </x:c>
      <x:c r="F8" s="15" t="str">
        <x:v>BLOCKED</x:v>
      </x:c>
    </x:row>
    <x:row r="9">
      <x:c r="A9" s="14" t="str">
        <x:v>One energy-island loss contained</x:v>
      </x:c>
      <x:c r="B9" s="14" t="str">
        <x:v>OPEN</x:v>
      </x:c>
      <x:c r="C9" s="14" t="str">
        <x:v>OPEN</x:v>
      </x:c>
      <x:c r="D9" s="14" t="str">
        <x:v>OPEN</x:v>
      </x:c>
      <x:c r="E9" s="14" t="str">
        <x:v>OPEN</x:v>
      </x:c>
      <x:c r="F9" s="14" t="str">
        <x:v>BLOCKED</x:v>
      </x:c>
    </x:row>
    <x:row r="10">
      <x:c r="A10" s="15" t="str">
        <x:v>Raw-water modes qualified</x:v>
      </x:c>
      <x:c r="B10" s="15" t="str">
        <x:v>OPEN</x:v>
      </x:c>
      <x:c r="C10" s="15" t="str">
        <x:v>OPEN</x:v>
      </x:c>
      <x:c r="D10" s="15" t="str">
        <x:v>OPEN</x:v>
      </x:c>
      <x:c r="E10" s="15" t="str">
        <x:v>OPEN</x:v>
      </x:c>
      <x:c r="F10" s="15" t="str">
        <x:v>BLOCKED</x:v>
      </x:c>
    </x:row>
    <x:row r="11">
      <x:c r="A11" s="14" t="str">
        <x:v>Public rescue independent</x:v>
      </x:c>
      <x:c r="B11" s="14" t="str">
        <x:v>OPEN</x:v>
      </x:c>
      <x:c r="C11" s="14" t="str">
        <x:v>OPEN</x:v>
      </x:c>
      <x:c r="D11" s="14" t="str">
        <x:v>OPEN</x:v>
      </x:c>
      <x:c r="E11" s="14" t="str">
        <x:v>OPEN</x:v>
      </x:c>
      <x:c r="F11" s="14" t="str">
        <x:v>BLOCKED</x:v>
      </x:c>
    </x:row>
    <x:row r="12">
      <x:c r="A12" s="15" t="str">
        <x:v>Seven liquid classes close</x:v>
      </x:c>
      <x:c r="B12" s="15" t="str">
        <x:v>OPEN</x:v>
      </x:c>
      <x:c r="C12" s="15" t="str">
        <x:v>OPEN</x:v>
      </x:c>
      <x:c r="D12" s="15" t="str">
        <x:v>OPEN</x:v>
      </x:c>
      <x:c r="E12" s="15" t="str">
        <x:v>OPEN</x:v>
      </x:c>
      <x:c r="F12" s="15" t="str">
        <x:v>BLOCKED</x:v>
      </x:c>
    </x:row>
    <x:row r="13">
      <x:c r="A13" s="14" t="str">
        <x:v>Safeing has unlike and passive paths</x:v>
      </x:c>
      <x:c r="B13" s="14" t="str">
        <x:v>OPEN</x:v>
      </x:c>
      <x:c r="C13" s="14" t="str">
        <x:v>OPEN</x:v>
      </x:c>
      <x:c r="D13" s="14" t="str">
        <x:v>OPEN</x:v>
      </x:c>
      <x:c r="E13" s="14" t="str">
        <x:v>OPEN</x:v>
      </x:c>
      <x:c r="F13" s="14" t="str">
        <x:v>BLOCKED</x:v>
      </x:c>
    </x:row>
    <x:row r="14">
      <x:c r="A14" s="15" t="str">
        <x:v>Native evidence survives coordinator loss</x:v>
      </x:c>
      <x:c r="B14" s="15" t="str">
        <x:v>OPEN</x:v>
      </x:c>
      <x:c r="C14" s="15" t="str">
        <x:v>OPEN</x:v>
      </x:c>
      <x:c r="D14" s="15" t="str">
        <x:v>OPEN</x:v>
      </x:c>
      <x:c r="E14" s="15" t="str">
        <x:v>OPEN</x:v>
      </x:c>
      <x:c r="F14" s="15" t="str">
        <x:v>BLOCKED</x:v>
      </x:c>
    </x:row>
    <x:row r="15">
      <x:c r="A15" s="14" t="str">
        <x:v>Three outside reconstructions</x:v>
      </x:c>
      <x:c r="B15" s="14" t="str">
        <x:v>OPEN</x:v>
      </x:c>
      <x:c r="C15" s="14" t="str">
        <x:v>OPEN</x:v>
      </x:c>
      <x:c r="D15" s="14" t="str">
        <x:v>OPEN</x:v>
      </x:c>
      <x:c r="E15" s="14" t="str">
        <x:v>OPEN</x:v>
      </x:c>
      <x:c r="F15" s="14" t="str">
        <x:v>BLOCKED</x:v>
      </x:c>
    </x:row>
    <x:row r="16">
      <x:c r="A16" s="15" t="str">
        <x:v>Return preserves alert set</x:v>
      </x:c>
      <x:c r="B16" s="15" t="str">
        <x:v>OPEN</x:v>
      </x:c>
      <x:c r="C16" s="15" t="str">
        <x:v>OPEN</x:v>
      </x:c>
      <x:c r="D16" s="15" t="str">
        <x:v>OPEN</x:v>
      </x:c>
      <x:c r="E16" s="15" t="str">
        <x:v>OPEN</x:v>
      </x:c>
      <x:c r="F16" s="15" t="str">
        <x:v>BLOCKED</x:v>
      </x:c>
    </x:row>
    <x:row r="17">
      <x:c r="A17" s="14" t="str">
        <x:v>Public repair and interface rights</x:v>
      </x:c>
      <x:c r="B17" s="14" t="str">
        <x:v>OPEN</x:v>
      </x:c>
      <x:c r="C17" s="14" t="str">
        <x:v>OPEN</x:v>
      </x:c>
      <x:c r="D17" s="14" t="str">
        <x:v>OPEN</x:v>
      </x:c>
      <x:c r="E17" s="14" t="str">
        <x:v>OPEN</x:v>
      </x:c>
      <x:c r="F17" s="14" t="str">
        <x:v>BLOCKED</x:v>
      </x:c>
    </x:row>
    <x:row r="18">
      <x:c r="A18" s="15" t="str">
        <x:v>Parent authority available</x:v>
      </x:c>
      <x:c r="B18" s="15" t="str">
        <x:v>OPEN</x:v>
      </x:c>
      <x:c r="C18" s="15" t="str">
        <x:v>OPEN</x:v>
      </x:c>
      <x:c r="D18" s="15" t="str">
        <x:v>OPEN</x:v>
      </x:c>
      <x:c r="E18" s="15" t="str">
        <x:v>OPEN</x:v>
      </x:c>
      <x:c r="F18" s="15" t="str">
        <x:v>BLOCKED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52" hidden="0" customWidth="1"/>
    <x:col min="4" max="4" width="16" hidden="0" customWidth="1"/>
  </x:cols>
  <x:sheetData>
    <x:row r="1" ht="27" customHeight="1">
      <x:c r="A1" s="3" t="str">
        <x:v>Registered host-service loss</x:v>
      </x:c>
    </x:row>
    <x:row r="2" ht="32" customHeight="1">
      <x:c r="A2" s="7" t="str">
        <x:v>Loss exists before first effect and persists through the seventy-two-hour mission.</x:v>
      </x:c>
    </x:row>
    <x:row r="4" ht="28" customHeight="1">
      <x:c r="A4" s="11" t="str">
        <x:v>Service</x:v>
      </x:c>
      <x:c r="B4" s="11" t="str">
        <x:v>Registered state</x:v>
      </x:c>
      <x:c r="C4" s="11" t="str">
        <x:v>Candidate replacement</x:v>
      </x:c>
      <x:c r="D4" s="11" t="str">
        <x:v>Evidence</x:v>
      </x:c>
    </x:row>
    <x:row r="5">
      <x:c r="A5" s="14" t="str">
        <x:v>Grid</x:v>
      </x:c>
      <x:c r="B5" s="14" t="str">
        <x:v>UNAVAILABLE</x:v>
      </x:c>
      <x:c r="C5" s="14" t="str">
        <x:v>20/35 MW independent energy</x:v>
      </x:c>
      <x:c r="D5" s="14" t="str">
        <x:v>OPEN</x:v>
      </x:c>
    </x:row>
    <x:row r="6">
      <x:c r="A6" s="15" t="str">
        <x:v>Water</x:v>
      </x:c>
      <x:c r="B6" s="15" t="str">
        <x:v>UNAVAILABLE</x:v>
      </x:c>
      <x:c r="C6" s="15" t="str">
        <x:v>Raw-water acquisition and treatment</x:v>
      </x:c>
      <x:c r="D6" s="15" t="str">
        <x:v>OPEN</x:v>
      </x:c>
    </x:row>
    <x:row r="7">
      <x:c r="A7" s="14" t="str">
        <x:v>Network</x:v>
      </x:c>
      <x:c r="B7" s="14" t="str">
        <x:v>UNAVAILABLE</x:v>
      </x:c>
      <x:c r="C7" s="14" t="str">
        <x:v>Local command and mesh</x:v>
      </x:c>
      <x:c r="D7" s="14" t="str">
        <x:v>OPEN</x:v>
      </x:c>
    </x:row>
    <x:row r="8">
      <x:c r="A8" s="15" t="str">
        <x:v>Primary time</x:v>
      </x:c>
      <x:c r="B8" s="15" t="str">
        <x:v>UNAVAILABLE</x:v>
      </x:c>
      <x:c r="C8" s="15" t="str">
        <x:v>Local causal clocks</x:v>
      </x:c>
      <x:c r="D8" s="15" t="str">
        <x:v>OPEN</x:v>
      </x:c>
    </x:row>
    <x:row r="9">
      <x:c r="A9" s="14" t="str">
        <x:v>Normal drainage</x:v>
      </x:c>
      <x:c r="B9" s="14" t="str">
        <x:v>UNAVAILABLE</x:v>
      </x:c>
      <x:c r="C9" s="14" t="str">
        <x:v>5.5 m3/s recovery and 3,000 m3 surge</x:v>
      </x:c>
      <x:c r="D9" s="14" t="str">
        <x:v>OPEN</x:v>
      </x:c>
    </x:row>
    <x:row r="10">
      <x:c r="A10" s="15" t="str">
        <x:v>Normal receiver</x:v>
      </x:c>
      <x:c r="B10" s="15" t="str">
        <x:v>UNAVAILABLE</x:v>
      </x:c>
      <x:c r="C10" s="15" t="str">
        <x:v>Candidate liquid custody</x:v>
      </x:c>
      <x:c r="D10" s="15" t="str">
        <x:v>OPEN</x:v>
      </x:c>
    </x:row>
    <x:row r="11">
      <x:c r="A11" s="14" t="str">
        <x:v>Origin analysis</x:v>
      </x:c>
      <x:c r="B11" s="14" t="str">
        <x:v>UNAVAILABLE</x:v>
      </x:c>
      <x:c r="C11" s="14" t="str">
        <x:v>Three outside decisions</x:v>
      </x:c>
      <x:c r="D11" s="14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20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</x:cols>
  <x:sheetData>
    <x:row r="1" ht="27" customHeight="1">
      <x:c r="A1" s="3" t="str">
        <x:v>Twelve independently safeable intervention cells</x:v>
      </x:c>
    </x:row>
    <x:row r="2" ht="32" customHeight="1">
      <x:c r="A2" s="7" t="str">
        <x:v>Cell reach cannot be added to claim a continuous edge without gap observation.</x:v>
      </x:c>
    </x:row>
    <x:row r="4" ht="28" customHeight="1">
      <x:c r="A4" s="11" t="str">
        <x:v>Cell</x:v>
      </x:c>
      <x:c r="B4" s="11" t="str">
        <x:v>Index</x:v>
      </x:c>
      <x:c r="C4" s="11" t="str">
        <x:v>Edge start m</x:v>
      </x:c>
      <x:c r="D4" s="11" t="str">
        <x:v>Edge end m</x:v>
      </x:c>
      <x:c r="E4" s="11" t="str">
        <x:v>Reference area m2</x:v>
      </x:c>
      <x:c r="F4" s="11" t="str">
        <x:v>Salvo m3</x:v>
      </x:c>
      <x:c r="G4" s="11" t="str">
        <x:v>Peak m3/s</x:v>
      </x:c>
      <x:c r="H4" s="11" t="str">
        <x:v>Gap truth</x:v>
      </x:c>
      <x:c r="I4" s="11" t="str">
        <x:v>State</x:v>
      </x:c>
    </x:row>
    <x:row r="5">
      <x:c r="A5" s="14" t="str">
        <x:v>CELL-01</x:v>
      </x:c>
      <x:c r="B5" s="14" t="n">
        <x:v>1</x:v>
      </x:c>
      <x:c r="C5" s="14" t="n">
        <x:v>0</x:v>
      </x:c>
      <x:c r="D5" s="14" t="n">
        <x:v>83.333</x:v>
      </x:c>
      <x:c r="E5" s="14" t="n">
        <x:v>25</x:v>
      </x:c>
      <x:c r="F5" s="14" t="n">
        <x:v>48</x:v>
      </x:c>
      <x:c r="G5" s="14" t="n">
        <x:v>0.4</x:v>
      </x:c>
      <x:c r="H5" s="14" t="str">
        <x:v>OPEN</x:v>
      </x:c>
      <x:c r="I5" s="14" t="str">
        <x:v>OPEN</x:v>
      </x:c>
    </x:row>
    <x:row r="6">
      <x:c r="A6" s="15" t="str">
        <x:v>CELL-02</x:v>
      </x:c>
      <x:c r="B6" s="15" t="n">
        <x:v>2</x:v>
      </x:c>
      <x:c r="C6" s="15" t="n">
        <x:v>83.333</x:v>
      </x:c>
      <x:c r="D6" s="15" t="n">
        <x:v>166.666</x:v>
      </x:c>
      <x:c r="E6" s="15" t="n">
        <x:v>25</x:v>
      </x:c>
      <x:c r="F6" s="15" t="n">
        <x:v>48</x:v>
      </x:c>
      <x:c r="G6" s="15" t="n">
        <x:v>0.4</x:v>
      </x:c>
      <x:c r="H6" s="15" t="str">
        <x:v>OPEN</x:v>
      </x:c>
      <x:c r="I6" s="15" t="str">
        <x:v>OPEN</x:v>
      </x:c>
    </x:row>
    <x:row r="7">
      <x:c r="A7" s="14" t="str">
        <x:v>CELL-03</x:v>
      </x:c>
      <x:c r="B7" s="14" t="n">
        <x:v>3</x:v>
      </x:c>
      <x:c r="C7" s="14" t="n">
        <x:v>166.666</x:v>
      </x:c>
      <x:c r="D7" s="14" t="n">
        <x:v>249.999</x:v>
      </x:c>
      <x:c r="E7" s="14" t="n">
        <x:v>25</x:v>
      </x:c>
      <x:c r="F7" s="14" t="n">
        <x:v>48</x:v>
      </x:c>
      <x:c r="G7" s="14" t="n">
        <x:v>0.4</x:v>
      </x:c>
      <x:c r="H7" s="14" t="str">
        <x:v>OPEN</x:v>
      </x:c>
      <x:c r="I7" s="14" t="str">
        <x:v>OPEN</x:v>
      </x:c>
    </x:row>
    <x:row r="8">
      <x:c r="A8" s="15" t="str">
        <x:v>CELL-04</x:v>
      </x:c>
      <x:c r="B8" s="15" t="n">
        <x:v>4</x:v>
      </x:c>
      <x:c r="C8" s="15" t="n">
        <x:v>249.999</x:v>
      </x:c>
      <x:c r="D8" s="15" t="n">
        <x:v>333.332</x:v>
      </x:c>
      <x:c r="E8" s="15" t="n">
        <x:v>25</x:v>
      </x:c>
      <x:c r="F8" s="15" t="n">
        <x:v>48</x:v>
      </x:c>
      <x:c r="G8" s="15" t="n">
        <x:v>0.4</x:v>
      </x:c>
      <x:c r="H8" s="15" t="str">
        <x:v>OPEN</x:v>
      </x:c>
      <x:c r="I8" s="15" t="str">
        <x:v>OPEN</x:v>
      </x:c>
    </x:row>
    <x:row r="9">
      <x:c r="A9" s="14" t="str">
        <x:v>CELL-05</x:v>
      </x:c>
      <x:c r="B9" s="14" t="n">
        <x:v>5</x:v>
      </x:c>
      <x:c r="C9" s="14" t="n">
        <x:v>333.332</x:v>
      </x:c>
      <x:c r="D9" s="14" t="n">
        <x:v>416.66499999999996</x:v>
      </x:c>
      <x:c r="E9" s="14" t="n">
        <x:v>25</x:v>
      </x:c>
      <x:c r="F9" s="14" t="n">
        <x:v>48</x:v>
      </x:c>
      <x:c r="G9" s="14" t="n">
        <x:v>0.4</x:v>
      </x:c>
      <x:c r="H9" s="14" t="str">
        <x:v>OPEN</x:v>
      </x:c>
      <x:c r="I9" s="14" t="str">
        <x:v>OPEN</x:v>
      </x:c>
    </x:row>
    <x:row r="10">
      <x:c r="A10" s="15" t="str">
        <x:v>CELL-06</x:v>
      </x:c>
      <x:c r="B10" s="15" t="n">
        <x:v>6</x:v>
      </x:c>
      <x:c r="C10" s="15" t="n">
        <x:v>416.66499999999996</x:v>
      </x:c>
      <x:c r="D10" s="15" t="n">
        <x:v>499.998</x:v>
      </x:c>
      <x:c r="E10" s="15" t="n">
        <x:v>25</x:v>
      </x:c>
      <x:c r="F10" s="15" t="n">
        <x:v>48</x:v>
      </x:c>
      <x:c r="G10" s="15" t="n">
        <x:v>0.4</x:v>
      </x:c>
      <x:c r="H10" s="15" t="str">
        <x:v>OPEN</x:v>
      </x:c>
      <x:c r="I10" s="15" t="str">
        <x:v>OPEN</x:v>
      </x:c>
    </x:row>
    <x:row r="11">
      <x:c r="A11" s="14" t="str">
        <x:v>CELL-07</x:v>
      </x:c>
      <x:c r="B11" s="14" t="n">
        <x:v>7</x:v>
      </x:c>
      <x:c r="C11" s="14" t="n">
        <x:v>499.998</x:v>
      </x:c>
      <x:c r="D11" s="14" t="n">
        <x:v>583.331</x:v>
      </x:c>
      <x:c r="E11" s="14" t="n">
        <x:v>25</x:v>
      </x:c>
      <x:c r="F11" s="14" t="n">
        <x:v>48</x:v>
      </x:c>
      <x:c r="G11" s="14" t="n">
        <x:v>0.4</x:v>
      </x:c>
      <x:c r="H11" s="14" t="str">
        <x:v>OPEN</x:v>
      </x:c>
      <x:c r="I11" s="14" t="str">
        <x:v>OPEN</x:v>
      </x:c>
    </x:row>
    <x:row r="12">
      <x:c r="A12" s="15" t="str">
        <x:v>CELL-08</x:v>
      </x:c>
      <x:c r="B12" s="15" t="n">
        <x:v>8</x:v>
      </x:c>
      <x:c r="C12" s="15" t="n">
        <x:v>583.331</x:v>
      </x:c>
      <x:c r="D12" s="15" t="n">
        <x:v>666.664</x:v>
      </x:c>
      <x:c r="E12" s="15" t="n">
        <x:v>25</x:v>
      </x:c>
      <x:c r="F12" s="15" t="n">
        <x:v>48</x:v>
      </x:c>
      <x:c r="G12" s="15" t="n">
        <x:v>0.4</x:v>
      </x:c>
      <x:c r="H12" s="15" t="str">
        <x:v>OPEN</x:v>
      </x:c>
      <x:c r="I12" s="15" t="str">
        <x:v>OPEN</x:v>
      </x:c>
    </x:row>
    <x:row r="13">
      <x:c r="A13" s="14" t="str">
        <x:v>CELL-09</x:v>
      </x:c>
      <x:c r="B13" s="14" t="n">
        <x:v>9</x:v>
      </x:c>
      <x:c r="C13" s="14" t="n">
        <x:v>666.664</x:v>
      </x:c>
      <x:c r="D13" s="14" t="n">
        <x:v>749.997</x:v>
      </x:c>
      <x:c r="E13" s="14" t="n">
        <x:v>25</x:v>
      </x:c>
      <x:c r="F13" s="14" t="n">
        <x:v>48</x:v>
      </x:c>
      <x:c r="G13" s="14" t="n">
        <x:v>0.4</x:v>
      </x:c>
      <x:c r="H13" s="14" t="str">
        <x:v>OPEN</x:v>
      </x:c>
      <x:c r="I13" s="14" t="str">
        <x:v>OPEN</x:v>
      </x:c>
    </x:row>
    <x:row r="14">
      <x:c r="A14" s="15" t="str">
        <x:v>CELL-10</x:v>
      </x:c>
      <x:c r="B14" s="15" t="n">
        <x:v>10</x:v>
      </x:c>
      <x:c r="C14" s="15" t="n">
        <x:v>749.997</x:v>
      </x:c>
      <x:c r="D14" s="15" t="n">
        <x:v>833.3299999999999</x:v>
      </x:c>
      <x:c r="E14" s="15" t="n">
        <x:v>25</x:v>
      </x:c>
      <x:c r="F14" s="15" t="n">
        <x:v>48</x:v>
      </x:c>
      <x:c r="G14" s="15" t="n">
        <x:v>0.4</x:v>
      </x:c>
      <x:c r="H14" s="15" t="str">
        <x:v>OPEN</x:v>
      </x:c>
      <x:c r="I14" s="15" t="str">
        <x:v>OPEN</x:v>
      </x:c>
    </x:row>
    <x:row r="15">
      <x:c r="A15" s="14" t="str">
        <x:v>CELL-11</x:v>
      </x:c>
      <x:c r="B15" s="14" t="n">
        <x:v>11</x:v>
      </x:c>
      <x:c r="C15" s="14" t="n">
        <x:v>833.3299999999999</x:v>
      </x:c>
      <x:c r="D15" s="14" t="n">
        <x:v>916.663</x:v>
      </x:c>
      <x:c r="E15" s="14" t="n">
        <x:v>25</x:v>
      </x:c>
      <x:c r="F15" s="14" t="n">
        <x:v>48</x:v>
      </x:c>
      <x:c r="G15" s="14" t="n">
        <x:v>0.4</x:v>
      </x:c>
      <x:c r="H15" s="14" t="str">
        <x:v>OPEN</x:v>
      </x:c>
      <x:c r="I15" s="14" t="str">
        <x:v>OPEN</x:v>
      </x:c>
    </x:row>
    <x:row r="16">
      <x:c r="A16" s="15" t="str">
        <x:v>CELL-12</x:v>
      </x:c>
      <x:c r="B16" s="15" t="n">
        <x:v>12</x:v>
      </x:c>
      <x:c r="C16" s="15" t="n">
        <x:v>916.663</x:v>
      </x:c>
      <x:c r="D16" s="15" t="n">
        <x:v>999.996</x:v>
      </x:c>
      <x:c r="E16" s="15" t="n">
        <x:v>25</x:v>
      </x:c>
      <x:c r="F16" s="15" t="n">
        <x:v>48</x:v>
      </x:c>
      <x:c r="G16" s="15" t="n">
        <x:v>0.4</x:v>
      </x:c>
      <x:c r="H16" s="15" t="str">
        <x:v>OPEN</x:v>
      </x:c>
      <x:c r="I16" s="15" t="str">
        <x:v>OPEN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58" hidden="0" customWidth="1"/>
    <x:col min="4" max="4" width="16" hidden="0" customWidth="1"/>
  </x:cols>
  <x:sheetData>
    <x:row r="1" ht="27" customHeight="1">
      <x:c r="A1" s="3" t="str">
        <x:v>Six separately qualified raw-water modes</x:v>
      </x:c>
    </x:row>
    <x:row r="2" ht="32" customHeight="1">
      <x:c r="A2" s="7" t="str">
        <x:v>One treatment setting cannot claim all sources.</x:v>
      </x:c>
    </x:row>
    <x:row r="4" ht="28" customHeight="1">
      <x:c r="A4" s="11" t="str">
        <x:v>Mode</x:v>
      </x:c>
      <x:c r="B4" s="11" t="str">
        <x:v>Source class</x:v>
      </x:c>
      <x:c r="C4" s="11" t="str">
        <x:v>Required closure</x:v>
      </x:c>
      <x:c r="D4" s="11" t="str">
        <x:v>State</x:v>
      </x:c>
    </x:row>
    <x:row r="5">
      <x:c r="A5" s="14" t="str">
        <x:v>FRESH</x:v>
      </x:c>
      <x:c r="B5" s="14" t="str">
        <x:v>Low-solids freshwater</x:v>
      </x:c>
      <x:c r="C5" s="14" t="str">
        <x:v>Pretreatment and biology</x:v>
      </x:c>
      <x:c r="D5" s="14" t="str">
        <x:v>OPEN</x:v>
      </x:c>
    </x:row>
    <x:row r="6">
      <x:c r="A6" s="15" t="str">
        <x:v>SALINE</x:v>
      </x:c>
      <x:c r="B6" s="15" t="str">
        <x:v>Brackish or salt water</x:v>
      </x:c>
      <x:c r="C6" s="15" t="str">
        <x:v>Corrosion, aerosol and concentrate</x:v>
      </x:c>
      <x:c r="D6" s="15" t="str">
        <x:v>OPEN</x:v>
      </x:c>
    </x:row>
    <x:row r="7">
      <x:c r="A7" s="14" t="str">
        <x:v>SEDIMENT</x:v>
      </x:c>
      <x:c r="B7" s="14" t="str">
        <x:v>Floodwater with suspended solids</x:v>
      </x:c>
      <x:c r="C7" s="14" t="str">
        <x:v>Separation, erosion and plugging</x:v>
      </x:c>
      <x:c r="D7" s="14" t="str">
        <x:v>OPEN</x:v>
      </x:c>
    </x:row>
    <x:row r="8">
      <x:c r="A8" s="15" t="str">
        <x:v>CHEMICAL</x:v>
      </x:c>
      <x:c r="B8" s="15" t="str">
        <x:v>Chemically contaminated source</x:v>
      </x:c>
      <x:c r="C8" s="15" t="str">
        <x:v>Exposure, incompatibility and reject</x:v>
      </x:c>
      <x:c r="D8" s="15" t="str">
        <x:v>OPEN</x:v>
      </x:c>
    </x:row>
    <x:row r="9">
      <x:c r="A9" s="14" t="str">
        <x:v>BIOLOGICAL</x:v>
      </x:c>
      <x:c r="B9" s="14" t="str">
        <x:v>Biologically suspect source</x:v>
      </x:c>
      <x:c r="C9" s="14" t="str">
        <x:v>Worker and environmental control</x:v>
      </x:c>
      <x:c r="D9" s="14" t="str">
        <x:v>OPEN</x:v>
      </x:c>
    </x:row>
    <x:row r="10">
      <x:c r="A10" s="15" t="str">
        <x:v>RECOVERED</x:v>
      </x:c>
      <x:c r="B10" s="15" t="str">
        <x:v>Source-bearing captured water</x:v>
      </x:c>
      <x:c r="C10" s="15" t="str">
        <x:v>Ancestry, chemistry and equipment protection</x:v>
      </x:c>
      <x:c r="D10" s="15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</x:cols>
  <x:sheetData>
    <x:row r="1" ht="27" customHeight="1">
      <x:c r="A1" s="3" t="str">
        <x:v>Five separate deployed authorities</x:v>
      </x:c>
    </x:row>
    <x:row r="2" ht="32" customHeight="1">
      <x:c r="A2" s="7" t="str">
        <x:v>Operations cannot delay rescue or classify its own performance.</x:v>
      </x:c>
    </x:row>
    <x:row r="4" ht="28" customHeight="1">
      <x:c r="A4" s="11" t="str">
        <x:v>Authority</x:v>
      </x:c>
      <x:c r="B4" s="11" t="str">
        <x:v>May decide</x:v>
      </x:c>
      <x:c r="C4" s="11" t="str">
        <x:v>May not decide</x:v>
      </x:c>
    </x:row>
    <x:row r="5">
      <x:c r="A5" s="14" t="str">
        <x:v>Mission command</x:v>
      </x:c>
      <x:c r="B5" s="14" t="str">
        <x:v>Edge, priorities and lawful handover</x:v>
      </x:c>
      <x:c r="C5" s="14" t="str">
        <x:v>Candidate performance</x:v>
      </x:c>
    </x:row>
    <x:row r="6">
      <x:c r="A6" s="15" t="str">
        <x:v>Candidate operations</x:v>
      </x:c>
      <x:c r="B6" s="15" t="str">
        <x:v>Water, power, cells and recovery</x:v>
      </x:c>
      <x:c r="C6" s="15" t="str">
        <x:v>Public rescue or mission credit</x:v>
      </x:c>
    </x:row>
    <x:row r="7">
      <x:c r="A7" s="14" t="str">
        <x:v>Public rescue</x:v>
      </x:c>
      <x:c r="B7" s="14" t="str">
        <x:v>Immediate life-protection action</x:v>
      </x:c>
      <x:c r="C7" s="14" t="str">
        <x:v>Candidate credit</x:v>
      </x:c>
    </x:row>
    <x:row r="8">
      <x:c r="A8" s="15" t="str">
        <x:v>Safety</x:v>
      </x:c>
      <x:c r="B8" s="15" t="str">
        <x:v>Stop exposure and order terminal state</x:v>
      </x:c>
      <x:c r="C8" s="15" t="str">
        <x:v>Mission pass</x:v>
      </x:c>
    </x:row>
    <x:row r="9">
      <x:c r="A9" s="14" t="str">
        <x:v>Evidence and reconstruction</x:v>
      </x:c>
      <x:c r="B9" s="14" t="str">
        <x:v>Native custody and independent decisions</x:v>
      </x:c>
      <x:c r="C9" s="14" t="str">
        <x:v>Operational command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64" hidden="0" customWidth="1"/>
    <x:col min="4" max="4" width="16" hidden="0" customWidth="1"/>
  </x:cols>
  <x:sheetData>
    <x:row r="1" ht="27" customHeight="1">
      <x:c r="A1" s="3" t="str">
        <x:v>Operational evidence constitution</x:v>
      </x:c>
    </x:row>
    <x:row r="2" ht="32" customHeight="1">
      <x:c r="A2" s="7" t="str">
        <x:v>Two native originals survive coordinator, network and one-store loss.</x:v>
      </x:c>
    </x:row>
    <x:row r="4" ht="28" customHeight="1">
      <x:c r="A4" s="11" t="str">
        <x:v>Layer</x:v>
      </x:c>
      <x:c r="B4" s="11" t="str">
        <x:v>Duration</x:v>
      </x:c>
      <x:c r="C4" s="11" t="str">
        <x:v>Required content</x:v>
      </x:c>
      <x:c r="D4" s="11" t="str">
        <x:v>State</x:v>
      </x:c>
    </x:row>
    <x:row r="5">
      <x:c r="A5" s="14" t="str">
        <x:v>High-rate transition</x:v>
      </x:c>
      <x:c r="B5" s="14" t="str">
        <x:v>Active issue and crossing</x:v>
      </x:c>
      <x:c r="C5" s="14" t="str">
        <x:v>Cell and nine-root native observations</x:v>
      </x:c>
      <x:c r="D5" s="14" t="str">
        <x:v>OPEN</x:v>
      </x:c>
    </x:row>
    <x:row r="6">
      <x:c r="A6" s="15" t="str">
        <x:v>Mission state</x:v>
      </x:c>
      <x:c r="B6" s="15" t="str">
        <x:v>72 h</x:v>
      </x:c>
      <x:c r="C6" s="15" t="str">
        <x:v>Service, command, liquid and public-action ledgers</x:v>
      </x:c>
      <x:c r="D6" s="15" t="str">
        <x:v>OPEN</x:v>
      </x:c>
    </x:row>
    <x:row r="7">
      <x:c r="A7" s="14" t="str">
        <x:v>Regeneration</x:v>
      </x:c>
      <x:c r="B7" s="14" t="str">
        <x:v>Through return</x:v>
      </x:c>
      <x:c r="C7" s="14" t="str">
        <x:v>Damage, contamination, repair and calibration</x:v>
      </x:c>
      <x:c r="D7" s="14" t="str">
        <x:v>OPEN</x:v>
      </x:c>
    </x:row>
    <x:row r="8">
      <x:c r="A8" s="15" t="str">
        <x:v>Original A</x:v>
      </x:c>
      <x:c r="B8" s="15" t="str">
        <x:v>Complete</x:v>
      </x:c>
      <x:c r="C8" s="15" t="str">
        <x:v>Independent physical-interface recording</x:v>
      </x:c>
      <x:c r="D8" s="15" t="str">
        <x:v>OPEN</x:v>
      </x:c>
    </x:row>
    <x:row r="9">
      <x:c r="A9" s="14" t="str">
        <x:v>Original B</x:v>
      </x:c>
      <x:c r="B9" s="14" t="str">
        <x:v>Complete</x:v>
      </x:c>
      <x:c r="C9" s="14" t="str">
        <x:v>Separate time, signing and custody</x:v>
      </x:c>
      <x:c r="D9" s="14" t="str">
        <x:v>OPEN</x:v>
      </x:c>
    </x:row>
    <x:row r="10">
      <x:c r="A10" s="15" t="str">
        <x:v>Outside decisions</x:v>
      </x:c>
      <x:c r="B10" s="15" t="str">
        <x:v>Three per mission</x:v>
      </x:c>
      <x:c r="C10" s="15" t="str">
        <x:v>No origin code, analyst or conclusion</x:v>
      </x:c>
      <x:c r="D10" s="15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22" hidden="0" customWidth="1"/>
  </x:cols>
  <x:sheetData>
    <x:row r="1" ht="27" customHeight="1">
      <x:c r="A1" s="3" t="str">
        <x:v>Six-set readiness hypothesis</x:v>
      </x:c>
    </x:row>
    <x:row r="2" ht="32" customHeight="1">
      <x:c r="A2" s="7" t="str">
        <x:v>One set occupies one state. Training cannot disappear to manufacture readiness.</x:v>
      </x:c>
    </x:row>
    <x:row r="4" ht="28" customHeight="1">
      <x:c r="A4" s="11" t="str">
        <x:v>Set</x:v>
      </x:c>
      <x:c r="B4" s="11" t="str">
        <x:v>State</x:v>
      </x:c>
      <x:c r="C4" s="11" t="str">
        <x:v>Mission authority</x:v>
      </x:c>
      <x:c r="D4" s="11" t="str">
        <x:v>Ready for immediate use</x:v>
      </x:c>
    </x:row>
    <x:row r="5">
      <x:c r="A5" s="14" t="str">
        <x:v>SET-1</x:v>
      </x:c>
      <x:c r="B5" s="14" t="str">
        <x:v>ALERT</x:v>
      </x:c>
      <x:c r="C5" s="14" t="str">
        <x:v>NATIONAL ALERT</x:v>
      </x:c>
      <x:c r="D5" s="14" t="str">
        <x:v>YES</x:v>
      </x:c>
    </x:row>
    <x:row r="6">
      <x:c r="A6" s="15" t="str">
        <x:v>SET-2</x:v>
      </x:c>
      <x:c r="B6" s="15" t="str">
        <x:v>MOBILIZING</x:v>
      </x:c>
      <x:c r="C6" s="15" t="str">
        <x:v>REGISTERED ROTATION</x:v>
      </x:c>
      <x:c r="D6" s="15" t="str">
        <x:v>NO</x:v>
      </x:c>
    </x:row>
    <x:row r="7">
      <x:c r="A7" s="14" t="str">
        <x:v>SET-3</x:v>
      </x:c>
      <x:c r="B7" s="14" t="str">
        <x:v>OPERATING</x:v>
      </x:c>
      <x:c r="C7" s="14" t="str">
        <x:v>REGISTERED ROTATION</x:v>
      </x:c>
      <x:c r="D7" s="14" t="str">
        <x:v>NO</x:v>
      </x:c>
    </x:row>
    <x:row r="8">
      <x:c r="A8" s="15" t="str">
        <x:v>SET-4</x:v>
      </x:c>
      <x:c r="B8" s="15" t="str">
        <x:v>RELIEF</x:v>
      </x:c>
      <x:c r="C8" s="15" t="str">
        <x:v>REGISTERED ROTATION</x:v>
      </x:c>
      <x:c r="D8" s="15" t="str">
        <x:v>NO</x:v>
      </x:c>
    </x:row>
    <x:row r="9">
      <x:c r="A9" s="14" t="str">
        <x:v>SET-5</x:v>
      </x:c>
      <x:c r="B9" s="14" t="str">
        <x:v>REGENERATING</x:v>
      </x:c>
      <x:c r="C9" s="14" t="str">
        <x:v>REGISTERED ROTATION</x:v>
      </x:c>
      <x:c r="D9" s="14" t="str">
        <x:v>NO</x:v>
      </x:c>
    </x:row>
    <x:row r="10">
      <x:c r="A10" s="15" t="str">
        <x:v>SET-6</x:v>
      </x:c>
      <x:c r="B10" s="15" t="str">
        <x:v>MAINTENANCE/TRAINING</x:v>
      </x:c>
      <x:c r="C10" s="15" t="str">
        <x:v>REGISTERED ROTATION</x:v>
      </x:c>
      <x:c r="D10" s="15" t="str">
        <x:v>NO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54" hidden="0" customWidth="1"/>
    <x:col min="5" max="5" width="16" hidden="0" customWidth="1"/>
  </x:cols>
  <x:sheetData>
    <x:row r="1" ht="27" customHeight="1">
      <x:c r="A1" s="3" t="str">
        <x:v>Mission logistics boundary</x:v>
      </x:c>
    </x:row>
    <x:row r="2" ht="32" customHeight="1">
      <x:c r="A2" s="7" t="str">
        <x:v>Candidate cost and transport must include every service estate.</x:v>
      </x:c>
    </x:row>
    <x:row r="4" ht="28" customHeight="1">
      <x:c r="A4" s="11" t="str">
        <x:v>Object</x:v>
      </x:c>
      <x:c r="B4" s="11" t="str">
        <x:v>Quantity</x:v>
      </x:c>
      <x:c r="C4" s="11" t="str">
        <x:v>Unit</x:v>
      </x:c>
      <x:c r="D4" s="11" t="str">
        <x:v>Basis</x:v>
      </x:c>
      <x:c r="E4" s="11" t="str">
        <x:v>State</x:v>
      </x:c>
    </x:row>
    <x:row r="5">
      <x:c r="A5" s="14" t="str">
        <x:v>Dry-entry water</x:v>
      </x:c>
      <x:c r="B5" s="14" t="n">
        <x:v>574.848</x:v>
      </x:c>
      <x:c r="C5" s="14" t="str">
        <x:v>tonnes</x:v>
      </x:c>
      <x:c r="D5" s="14" t="str">
        <x:v>Distributed train</x:v>
      </x:c>
      <x:c r="E5" s="14" t="str">
        <x:v>OPEN</x:v>
      </x:c>
    </x:row>
    <x:row r="6">
      <x:c r="A6" s="15" t="str">
        <x:v>Ready storage</x:v>
      </x:c>
      <x:c r="B6" s="15" t="n">
        <x:v>1200</x:v>
      </x:c>
      <x:c r="C6" s="15" t="str">
        <x:v>m3</x:v>
      </x:c>
      <x:c r="D6" s="15" t="str">
        <x:v>Measured usable water</x:v>
      </x:c>
      <x:c r="E6" s="15" t="str">
        <x:v>OPEN</x:v>
      </x:c>
    </x:row>
    <x:row r="7">
      <x:c r="A7" s="14" t="str">
        <x:v>Primary trunkline</x:v>
      </x:c>
      <x:c r="B7" s="14" t="n">
        <x:v>10</x:v>
      </x:c>
      <x:c r="C7" s="14" t="str">
        <x:v>km</x:v>
      </x:c>
      <x:c r="D7" s="14" t="str">
        <x:v>Two independent paths</x:v>
      </x:c>
      <x:c r="E7" s="14" t="str">
        <x:v>OPEN</x:v>
      </x:c>
    </x:row>
    <x:row r="8">
      <x:c r="A8" s="15" t="str">
        <x:v>Protected-edge systems</x:v>
      </x:c>
      <x:c r="B8" s="15" t="n">
        <x:v>1</x:v>
      </x:c>
      <x:c r="C8" s="15" t="str">
        <x:v>km</x:v>
      </x:c>
      <x:c r="D8" s="15" t="str">
        <x:v>Distribution and recovery</x:v>
      </x:c>
      <x:c r="E8" s="15" t="str">
        <x:v>OPEN</x:v>
      </x:c>
    </x:row>
    <x:row r="9">
      <x:c r="A9" s="14" t="str">
        <x:v>Continuous power</x:v>
      </x:c>
      <x:c r="B9" s="14" t="n">
        <x:v>20</x:v>
      </x:c>
      <x:c r="C9" s="14" t="str">
        <x:v>MW</x:v>
      </x:c>
      <x:c r="D9" s="14" t="str">
        <x:v>Independent</x:v>
      </x:c>
      <x:c r="E9" s="14" t="str">
        <x:v>OPEN</x:v>
      </x:c>
    </x:row>
    <x:row r="10">
      <x:c r="A10" s="15" t="str">
        <x:v>Peak power</x:v>
      </x:c>
      <x:c r="B10" s="15" t="n">
        <x:v>35</x:v>
      </x:c>
      <x:c r="C10" s="15" t="str">
        <x:v>MW</x:v>
      </x:c>
      <x:c r="D10" s="15" t="str">
        <x:v>Independent</x:v>
      </x:c>
      <x:c r="E10" s="15" t="str">
        <x:v>OPEN</x:v>
      </x:c>
    </x:row>
    <x:row r="11">
      <x:c r="A11" s="14" t="str">
        <x:v>Surge receivers</x:v>
      </x:c>
      <x:c r="B11" s="14" t="n">
        <x:v>3000</x:v>
      </x:c>
      <x:c r="C11" s="14" t="str">
        <x:v>m3</x:v>
      </x:c>
      <x:c r="D11" s="14" t="str">
        <x:v>Seven liquid classes</x:v>
      </x:c>
      <x:c r="E11" s="14" t="str">
        <x:v>OPEN</x:v>
      </x:c>
    </x:row>
    <x:row r="12">
      <x:c r="A12" s="15" t="str">
        <x:v>Intervention cells</x:v>
      </x:c>
      <x:c r="B12" s="15" t="n">
        <x:v>12</x:v>
      </x:c>
      <x:c r="C12" s="15" t="str">
        <x:v>count</x:v>
      </x:c>
      <x:c r="D12" s="15" t="str">
        <x:v>Plus replacements</x:v>
      </x:c>
      <x:c r="E12" s="15" t="str">
        <x:v>OPEN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7" customHeight="1">
      <x:c r="A1" s="3" t="str">
        <x:v>DFC-72 competition schedule</x:v>
      </x:c>
    </x:row>
    <x:row r="2" ht="32" customHeight="1">
      <x:c r="A2" s="7" t="str">
        <x:v>Overlap is allowed only across frozen interfaces and different serialized systems.</x:v>
      </x:c>
    </x:row>
    <x:row r="4" ht="28" customHeight="1">
      <x:c r="A4" s="11" t="str">
        <x:v>Work package</x:v>
      </x:c>
      <x:c r="B4" s="11" t="str">
        <x:v>Gross weeks</x:v>
      </x:c>
      <x:c r="C4" s="11" t="str">
        <x:v>Primary overlap</x:v>
      </x:c>
      <x:c r="D4" s="11" t="str">
        <x:v>Maximum overlap</x:v>
      </x:c>
    </x:row>
    <x:row r="5">
      <x:c r="A5" s="14" t="str">
        <x:v>Mission registration</x:v>
      </x:c>
      <x:c r="B5" s="22" t="n">
        <x:v>12</x:v>
      </x:c>
      <x:c r="C5" s="22" t="n">
        <x:v>0</x:v>
      </x:c>
      <x:c r="D5" s="22" t="n">
        <x:v>0</x:v>
      </x:c>
    </x:row>
    <x:row r="6">
      <x:c r="A6" s="15" t="str">
        <x:v>Technology demonstrations</x:v>
      </x:c>
      <x:c r="B6" s="23" t="n">
        <x:v>48</x:v>
      </x:c>
      <x:c r="C6" s="23" t="n">
        <x:v>24</x:v>
      </x:c>
      <x:c r="D6" s="23" t="n">
        <x:v>16</x:v>
      </x:c>
    </x:row>
    <x:row r="7">
      <x:c r="A7" s="14" t="str">
        <x:v>Quarter-edge design and build</x:v>
      </x:c>
      <x:c r="B7" s="22" t="n">
        <x:v>52</x:v>
      </x:c>
      <x:c r="C7" s="22" t="n">
        <x:v>28</x:v>
      </x:c>
      <x:c r="D7" s="22" t="n">
        <x:v>20</x:v>
      </x:c>
    </x:row>
    <x:row r="8">
      <x:c r="A8" s="15" t="str">
        <x:v>Quarter trials</x:v>
      </x:c>
      <x:c r="B8" s="23" t="n">
        <x:v>36</x:v>
      </x:c>
      <x:c r="C8" s="23" t="n">
        <x:v>0</x:v>
      </x:c>
      <x:c r="D8" s="23" t="n">
        <x:v>0</x:v>
      </x:c>
    </x:row>
    <x:row r="9">
      <x:c r="A9" s="14" t="str">
        <x:v>Comparisons and downselection</x:v>
      </x:c>
      <x:c r="B9" s="22" t="n">
        <x:v>12</x:v>
      </x:c>
      <x:c r="C9" s="22" t="n">
        <x:v>0</x:v>
      </x:c>
      <x:c r="D9" s="22" t="n">
        <x:v>0</x:v>
      </x:c>
    </x:row>
    <x:row r="10">
      <x:c r="A10" s="15" t="str">
        <x:v>Eight full systems</x:v>
      </x:c>
      <x:c r="B10" s="23" t="n">
        <x:v>72</x:v>
      </x:c>
      <x:c r="C10" s="23" t="n">
        <x:v>0</x:v>
      </x:c>
      <x:c r="D10" s="23" t="n">
        <x:v>0</x:v>
      </x:c>
    </x:row>
    <x:row r="11">
      <x:c r="A11" s="14" t="str">
        <x:v>Mission trials</x:v>
      </x:c>
      <x:c r="B11" s="22" t="n">
        <x:v>72</x:v>
      </x:c>
      <x:c r="C11" s="22" t="n">
        <x:v>20</x:v>
      </x:c>
      <x:c r="D11" s="22" t="n">
        <x:v>18</x:v>
      </x:c>
    </x:row>
    <x:row r="12">
      <x:c r="A12" s="15" t="str">
        <x:v>Repeated-mission regeneration</x:v>
      </x:c>
      <x:c r="B12" s="23" t="n">
        <x:v>36</x:v>
      </x:c>
      <x:c r="C12" s="23" t="n">
        <x:v>20</x:v>
      </x:c>
      <x:c r="D12" s="23" t="n">
        <x:v>18</x:v>
      </x:c>
    </x:row>
    <x:row r="13">
      <x:c r="A13" s="14" t="str">
        <x:v>Outside reconstruction</x:v>
      </x:c>
      <x:c r="B13" s="22" t="n">
        <x:v>20</x:v>
      </x:c>
      <x:c r="C13" s="22" t="n">
        <x:v>0</x:v>
      </x:c>
      <x:c r="D13" s="22" t="n">
        <x:v>0</x:v>
      </x:c>
    </x:row>
    <x:row r="14">
      <x:c r="A14" s="15" t="str">
        <x:v>Mission board</x:v>
      </x:c>
      <x:c r="B14" s="23" t="n">
        <x:v>12</x:v>
      </x:c>
      <x:c r="C14" s="23" t="n">
        <x:v>0</x:v>
      </x:c>
      <x:c r="D14" s="23" t="n">
        <x:v>0</x:v>
      </x:c>
    </x:row>
    <x:row r="15">
      <x:c r="A15" s="14" t="str">
        <x:v>Gross work</x:v>
      </x:c>
      <x:c r="B15" s="22" t="n">
        <x:f>SUM(B5:B14)</x:f>
        <x:v>372</x:v>
      </x:c>
      <x:c r="C15" s="22" t="n">
        <x:v>0</x:v>
      </x:c>
      <x:c r="D15" s="22" t="n">
        <x:v>0</x:v>
      </x:c>
    </x:row>
    <x:row r="16">
      <x:c r="A16" s="20" t="str">
        <x:v>Release-aware total</x:v>
      </x:c>
      <x:c r="B16" s="24" t="n">
        <x:f>B15-SUM(C5:C14)</x:f>
        <x:v>280</x:v>
      </x:c>
      <x:c r="C16" s="24" t="n">
        <x:v>0</x:v>
      </x:c>
      <x:c r="D16" s="24" t="n">
        <x:f>B15-SUM(D5:D14)</x:f>
        <x:v>300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22" hidden="0" customWidth="1"/>
  </x:cols>
  <x:sheetData>
    <x:row r="1" ht="27" customHeight="1">
      <x:c r="A1" s="3" t="str">
        <x:v>DFC-72 research formation</x:v>
      </x:c>
    </x:row>
    <x:row r="2" ht="32" customHeight="1">
      <x:c r="A2" s="7" t="str">
        <x:v>Execution adds to the retained AM-06 reference and closure estate.</x:v>
      </x:c>
    </x:row>
    <x:row r="4" ht="28" customHeight="1">
      <x:c r="A4" s="11" t="str">
        <x:v>Function</x:v>
      </x:c>
      <x:c r="B4" s="11" t="str">
        <x:v>Positions</x:v>
      </x:c>
    </x:row>
    <x:row r="5">
      <x:c r="A5" s="14" t="str">
        <x:v>Mission operations and proving regions</x:v>
      </x:c>
      <x:c r="B5" s="22" t="n">
        <x:v>2000</x:v>
      </x:c>
    </x:row>
    <x:row r="6">
      <x:c r="A6" s="15" t="str">
        <x:v>Hydraulics, trunklines and distribution</x:v>
      </x:c>
      <x:c r="B6" s="23" t="n">
        <x:v>1500</x:v>
      </x:c>
    </x:row>
    <x:row r="7">
      <x:c r="A7" s="14" t="str">
        <x:v>Raw-water treatment and chemistry</x:v>
      </x:c>
      <x:c r="B7" s="22" t="n">
        <x:v>1100</x:v>
      </x:c>
    </x:row>
    <x:row r="8">
      <x:c r="A8" s="15" t="str">
        <x:v>Power generation and thermal</x:v>
      </x:c>
      <x:c r="B8" s="23" t="n">
        <x:v>900</x:v>
      </x:c>
    </x:row>
    <x:row r="9">
      <x:c r="A9" s="14" t="str">
        <x:v>Intervention robotics and autonomy</x:v>
      </x:c>
      <x:c r="B9" s="22" t="n">
        <x:v>1200</x:v>
      </x:c>
    </x:row>
    <x:row r="10">
      <x:c r="A10" s="15" t="str">
        <x:v>Recovery, separation and environment</x:v>
      </x:c>
      <x:c r="B10" s="23" t="n">
        <x:v>1000</x:v>
      </x:c>
    </x:row>
    <x:row r="11">
      <x:c r="A11" s="14" t="str">
        <x:v>Nine-root sensing and uncertainty</x:v>
      </x:c>
      <x:c r="B11" s="22" t="n">
        <x:v>900</x:v>
      </x:c>
    </x:row>
    <x:row r="12">
      <x:c r="A12" s="15" t="str">
        <x:v>Logistics, maintenance and regeneration</x:v>
      </x:c>
      <x:c r="B12" s="23" t="n">
        <x:v>1100</x:v>
      </x:c>
    </x:row>
    <x:row r="13">
      <x:c r="A13" s="14" t="str">
        <x:v>Safety, rescue and medical interface</x:v>
      </x:c>
      <x:c r="B13" s="22" t="n">
        <x:v>700</x:v>
      </x:c>
    </x:row>
    <x:row r="14">
      <x:c r="A14" s="15" t="str">
        <x:v>Evidence and outside reconstruction</x:v>
      </x:c>
      <x:c r="B14" s="23" t="n">
        <x:v>600</x:v>
      </x:c>
    </x:row>
    <x:row r="15">
      <x:c r="A15" s="14" t="str">
        <x:v>Acquisition, rights and production research</x:v>
      </x:c>
      <x:c r="B15" s="22" t="n">
        <x:v>600</x:v>
      </x:c>
    </x:row>
    <x:row r="16">
      <x:c r="A16" s="15" t="str">
        <x:v>Program, configuration and boards</x:v>
      </x:c>
      <x:c r="B16" s="23" t="n">
        <x:v>400</x:v>
      </x:c>
    </x:row>
    <x:row r="17">
      <x:c r="A17" s="20" t="str">
        <x:v>Execution total</x:v>
      </x:c>
      <x:c r="B17" s="24" t="n">
        <x:f>SUM(B5:B16)</x:f>
        <x:v>12000</x:v>
      </x:c>
    </x:row>
    <x:row r="18">
      <x:c r="A18" s="15" t="str">
        <x:v>Retained reference estate</x:v>
      </x:c>
      <x:c r="B18" s="23" t="n">
        <x:v>7350</x:v>
      </x:c>
    </x:row>
    <x:row r="19">
      <x:c r="A19" s="25" t="str">
        <x:v>Concurrent positions</x:v>
      </x:c>
      <x:c r="B19" s="26" t="n">
        <x:f>B17+B18</x:f>
        <x:v>19350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22" hidden="0" customWidth="1"/>
  </x:cols>
  <x:sheetData>
    <x:row r="1" ht="27" customHeight="1">
      <x:c r="A1" s="3" t="str">
        <x:v>DFC-72 research capital</x:v>
      </x:c>
    </x:row>
    <x:row r="2" ht="32" customHeight="1">
      <x:c r="A2" s="7" t="str">
        <x:v>Full mission systems and proving infrastructure dominate the program.</x:v>
      </x:c>
    </x:row>
    <x:row r="4" ht="28" customHeight="1">
      <x:c r="A4" s="11" t="str">
        <x:v>Capital object</x:v>
      </x:c>
      <x:c r="B4" s="11" t="str">
        <x:v>USD M</x:v>
      </x:c>
    </x:row>
    <x:row r="5">
      <x:c r="A5" s="14" t="str">
        <x:v>Quarter-edge articles</x:v>
      </x:c>
      <x:c r="B5" s="27" t="n">
        <x:v>4800</x:v>
      </x:c>
    </x:row>
    <x:row r="6">
      <x:c r="A6" s="15" t="str">
        <x:v>Full mission systems</x:v>
      </x:c>
      <x:c r="B6" s="28" t="n">
        <x:v>12000</x:v>
      </x:c>
    </x:row>
    <x:row r="7">
      <x:c r="A7" s="14" t="str">
        <x:v>Three proving regions</x:v>
      </x:c>
      <x:c r="B7" s="27" t="n">
        <x:v>5000</x:v>
      </x:c>
    </x:row>
    <x:row r="8">
      <x:c r="A8" s="15" t="str">
        <x:v>Intake, treatment and trunklines</x:v>
      </x:c>
      <x:c r="B8" s="28" t="n">
        <x:v>6000</x:v>
      </x:c>
    </x:row>
    <x:row r="9">
      <x:c r="A9" s="14" t="str">
        <x:v>Independent power</x:v>
      </x:c>
      <x:c r="B9" s="27" t="n">
        <x:v>3500</x:v>
      </x:c>
    </x:row>
    <x:row r="10">
      <x:c r="A10" s="15" t="str">
        <x:v>Capture, receiver and separation</x:v>
      </x:c>
      <x:c r="B10" s="28" t="n">
        <x:v>3000</x:v>
      </x:c>
    </x:row>
    <x:row r="11">
      <x:c r="A11" s="14" t="str">
        <x:v>Robotics and autonomous cells</x:v>
      </x:c>
      <x:c r="B11" s="27" t="n">
        <x:v>1800</x:v>
      </x:c>
    </x:row>
    <x:row r="12">
      <x:c r="A12" s="15" t="str">
        <x:v>Evidence and reconstruction</x:v>
      </x:c>
      <x:c r="B12" s="28" t="n">
        <x:v>800</x:v>
      </x:c>
    </x:row>
    <x:row r="13">
      <x:c r="A13" s="14" t="str">
        <x:v>Safety, rescue and environment</x:v>
      </x:c>
      <x:c r="B13" s="27" t="n">
        <x:v>600</x:v>
      </x:c>
    </x:row>
    <x:row r="14">
      <x:c r="A14" s="15" t="str">
        <x:v>Calibration and reference estate</x:v>
      </x:c>
      <x:c r="B14" s="28" t="n">
        <x:v>400</x:v>
      </x:c>
    </x:row>
    <x:row r="15">
      <x:c r="A15" s="14" t="str">
        <x:v>Controlled capital uncertainty</x:v>
      </x:c>
      <x:c r="B15" s="27" t="n">
        <x:v>100</x:v>
      </x:c>
    </x:row>
    <x:row r="16">
      <x:c r="A16" s="20" t="str">
        <x:v>Total</x:v>
      </x:c>
      <x:c r="B16" s="29" t="n">
        <x:f>SUM(B5:B15)</x:f>
        <x:v>38000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24" hidden="0" customWidth="1"/>
  </x:cols>
  <x:sheetData>
    <x:row r="1" ht="27" customHeight="1">
      <x:c r="A1" s="3" t="str">
        <x:v>DFC-72 annual support</x:v>
      </x:c>
    </x:row>
    <x:row r="2" ht="32" customHeight="1">
      <x:c r="A2" s="7" t="str">
        <x:v>Execution and retained support remain separately visible.</x:v>
      </x:c>
    </x:row>
    <x:row r="4" ht="28" customHeight="1">
      <x:c r="A4" s="11" t="str">
        <x:v>Annual object</x:v>
      </x:c>
      <x:c r="B4" s="11" t="str">
        <x:v>USD M/year</x:v>
      </x:c>
    </x:row>
    <x:row r="5">
      <x:c r="A5" s="14" t="str">
        <x:v>Personnel and benefits</x:v>
      </x:c>
      <x:c r="B5" s="27" t="n">
        <x:v>1800</x:v>
      </x:c>
    </x:row>
    <x:row r="6">
      <x:c r="A6" s="15" t="str">
        <x:v>System operations</x:v>
      </x:c>
      <x:c r="B6" s="28" t="n">
        <x:v>700</x:v>
      </x:c>
    </x:row>
    <x:row r="7">
      <x:c r="A7" s="14" t="str">
        <x:v>Proving-region operations</x:v>
      </x:c>
      <x:c r="B7" s="27" t="n">
        <x:v>450</x:v>
      </x:c>
    </x:row>
    <x:row r="8">
      <x:c r="A8" s="15" t="str">
        <x:v>Development water and energy</x:v>
      </x:c>
      <x:c r="B8" s="28" t="n">
        <x:v>350</x:v>
      </x:c>
    </x:row>
    <x:row r="9">
      <x:c r="A9" s="14" t="str">
        <x:v>Maintenance and regeneration</x:v>
      </x:c>
      <x:c r="B9" s="27" t="n">
        <x:v>300</x:v>
      </x:c>
    </x:row>
    <x:row r="10">
      <x:c r="A10" s="15" t="str">
        <x:v>Evidence and reconstruction</x:v>
      </x:c>
      <x:c r="B10" s="28" t="n">
        <x:v>180</x:v>
      </x:c>
    </x:row>
    <x:row r="11">
      <x:c r="A11" s="14" t="str">
        <x:v>Safety, environment and rescue</x:v>
      </x:c>
      <x:c r="B11" s="27" t="n">
        <x:v>150</x:v>
      </x:c>
    </x:row>
    <x:row r="12">
      <x:c r="A12" s="15" t="str">
        <x:v>Industrial readiness</x:v>
      </x:c>
      <x:c r="B12" s="28" t="n">
        <x:v>170</x:v>
      </x:c>
    </x:row>
    <x:row r="13">
      <x:c r="A13" s="14" t="str">
        <x:v>Independent evaluation</x:v>
      </x:c>
      <x:c r="B13" s="27" t="n">
        <x:v>100</x:v>
      </x:c>
    </x:row>
    <x:row r="14">
      <x:c r="A14" s="20" t="str">
        <x:v>Execution total</x:v>
      </x:c>
      <x:c r="B14" s="29" t="n">
        <x:f>SUM(B5:B13)</x:f>
        <x:v>4200</x:v>
      </x:c>
    </x:row>
    <x:row r="15">
      <x:c r="A15" s="14" t="str">
        <x:v>Retained reference support</x:v>
      </x:c>
      <x:c r="B15" s="27" t="n">
        <x:v>1470</x:v>
      </x:c>
    </x:row>
    <x:row r="16">
      <x:c r="A16" s="25" t="str">
        <x:v>Concurrent annual support</x:v>
      </x:c>
      <x:c r="B16" s="30" t="n">
        <x:f>B14+B15</x:f>
        <x:v>5670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2" hidden="0" customWidth="1"/>
    <x:col min="2" max="2" width="22" hidden="0" customWidth="1"/>
  </x:cols>
  <x:sheetData>
    <x:row r="1" ht="27" customHeight="1">
      <x:c r="A1" s="3" t="str">
        <x:v>DFC-72 mission-led technology</x:v>
      </x:c>
    </x:row>
    <x:row r="2" ht="32" customHeight="1">
      <x:c r="A2" s="7" t="str">
        <x:v>The portfolio funds multiple principles and public test rights.</x:v>
      </x:c>
    </x:row>
    <x:row r="4" ht="28" customHeight="1">
      <x:c r="A4" s="11" t="str">
        <x:v>Program</x:v>
      </x:c>
      <x:c r="B4" s="11" t="str">
        <x:v>USD M</x:v>
      </x:c>
    </x:row>
    <x:row r="5">
      <x:c r="A5" s="14" t="str">
        <x:v>Raw-water tolerance and treatment</x:v>
      </x:c>
      <x:c r="B5" s="27" t="n">
        <x:v>1500</x:v>
      </x:c>
    </x:row>
    <x:row r="6">
      <x:c r="A6" s="15" t="str">
        <x:v>Robotic five-kilometre trunkline</x:v>
      </x:c>
      <x:c r="B6" s="28" t="n">
        <x:v>1400</x:v>
      </x:c>
    </x:row>
    <x:row r="7">
      <x:c r="A7" s="14" t="str">
        <x:v>Twelve-cell high-rate delivery</x:v>
      </x:c>
      <x:c r="B7" s="27" t="n">
        <x:v>1300</x:v>
      </x:c>
    </x:row>
    <x:row r="8">
      <x:c r="A8" s="15" t="str">
        <x:v>Mixed-effluent capture and separation</x:v>
      </x:c>
      <x:c r="B8" s="28" t="n">
        <x:v>1400</x:v>
      </x:c>
    </x:row>
    <x:row r="9">
      <x:c r="A9" s="14" t="str">
        <x:v>Independent energy islands</x:v>
      </x:c>
      <x:c r="B9" s="27" t="n">
        <x:v>1500</x:v>
      </x:c>
    </x:row>
    <x:row r="10">
      <x:c r="A10" s="15" t="str">
        <x:v>Autonomous intervention cells</x:v>
      </x:c>
      <x:c r="B10" s="28" t="n">
        <x:v>1200</x:v>
      </x:c>
    </x:row>
    <x:row r="11">
      <x:c r="A11" s="14" t="str">
        <x:v>Field-scale root sensing</x:v>
      </x:c>
      <x:c r="B11" s="27" t="n">
        <x:v>1300</x:v>
      </x:c>
    </x:row>
    <x:row r="12">
      <x:c r="A12" s="15" t="str">
        <x:v>Public rescue separation</x:v>
      </x:c>
      <x:c r="B12" s="28" t="n">
        <x:v>1000</x:v>
      </x:c>
    </x:row>
    <x:row r="13">
      <x:c r="A13" s="14" t="str">
        <x:v>Denied-service communications and time</x:v>
      </x:c>
      <x:c r="B13" s="27" t="n">
        <x:v>800</x:v>
      </x:c>
    </x:row>
    <x:row r="14">
      <x:c r="A14" s="15" t="str">
        <x:v>Logistics and regeneration automation</x:v>
      </x:c>
      <x:c r="B14" s="28" t="n">
        <x:v>1000</x:v>
      </x:c>
    </x:row>
    <x:row r="15">
      <x:c r="A15" s="14" t="str">
        <x:v>High-temperature chemical materials</x:v>
      </x:c>
      <x:c r="B15" s="27" t="n">
        <x:v>900</x:v>
      </x:c>
    </x:row>
    <x:row r="16">
      <x:c r="A16" s="15" t="str">
        <x:v>Public manufacturing interfaces</x:v>
      </x:c>
      <x:c r="B16" s="28" t="n">
        <x:v>700</x:v>
      </x:c>
    </x:row>
    <x:row r="17">
      <x:c r="A17" s="14" t="str">
        <x:v>Operational causal evidence</x:v>
      </x:c>
      <x:c r="B17" s="27" t="n">
        <x:v>1000</x:v>
      </x:c>
    </x:row>
    <x:row r="18">
      <x:c r="A18" s="20" t="str">
        <x:v>Total</x:v>
      </x:c>
      <x:c r="B18" s="29" t="n">
        <x:f>SUM(B5:B17)</x:f>
        <x:v>15000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18" hidden="0" customWidth="1"/>
  </x:cols>
  <x:sheetData>
    <x:row r="1" ht="27" customHeight="1">
      <x:c r="A1" s="3" t="str">
        <x:v>RAS-3R9 parent amendment and use</x:v>
      </x:c>
    </x:row>
    <x:row r="2" ht="32" customHeight="1">
      <x:c r="A2" s="7" t="str">
        <x:v>The operational candidate program requires a new institutional scale.</x:v>
      </x:c>
    </x:row>
    <x:row r="4" ht="28" customHeight="1">
      <x:c r="A4" s="11" t="str">
        <x:v>Capacity</x:v>
      </x:c>
      <x:c r="B4" s="11" t="str">
        <x:v>RAS-3R8</x:v>
      </x:c>
      <x:c r="C4" s="11" t="str">
        <x:v>RAS-3R9</x:v>
      </x:c>
      <x:c r="D4" s="11" t="str">
        <x:v>Amendment</x:v>
      </x:c>
      <x:c r="E4" s="11" t="str">
        <x:v>Use after RBS-1</x:v>
      </x:c>
      <x:c r="F4" s="11" t="str">
        <x:v>Remainder</x:v>
      </x:c>
      <x:c r="G4" s="11" t="str">
        <x:v>Unit</x:v>
      </x:c>
    </x:row>
    <x:row r="5">
      <x:c r="A5" s="14" t="str">
        <x:v>Calendar primary / maximum</x:v>
      </x:c>
      <x:c r="B5" s="18" t="n">
        <x:v>1144</x:v>
      </x:c>
      <x:c r="C5" s="18" t="n">
        <x:f>Assumptions!B48</x:f>
        <x:v>1600</x:v>
      </x:c>
      <x:c r="D5" s="18" t="n">
        <x:f>C5-B5</x:f>
        <x:v>456</x:v>
      </x:c>
      <x:c r="E5" s="18" t="n">
        <x:f>Assumptions!B44+Assumptions!B36</x:f>
        <x:v>1314</x:v>
      </x:c>
      <x:c r="F5" s="18" t="n">
        <x:f>C5-E5</x:f>
        <x:v>286</x:v>
      </x:c>
      <x:c r="G5" s="14" t="str">
        <x:v>weeks</x:v>
      </x:c>
    </x:row>
    <x:row r="6">
      <x:c r="A6" s="15" t="str">
        <x:v>Concurrent positions</x:v>
      </x:c>
      <x:c r="B6" s="19" t="n">
        <x:v>7600</x:v>
      </x:c>
      <x:c r="C6" s="19" t="n">
        <x:f>Assumptions!B49</x:f>
        <x:v>21000</x:v>
      </x:c>
      <x:c r="D6" s="19" t="n">
        <x:f>C6-B6</x:f>
        <x:v>13400</x:v>
      </x:c>
      <x:c r="E6" s="19" t="n">
        <x:f>Workforce!B19</x:f>
        <x:v>19350</x:v>
      </x:c>
      <x:c r="F6" s="19" t="n">
        <x:f>C6-E6</x:f>
        <x:v>1650</x:v>
      </x:c>
      <x:c r="G6" s="15" t="str">
        <x:v>positions</x:v>
      </x:c>
    </x:row>
    <x:row r="7">
      <x:c r="A7" s="14" t="str">
        <x:v>Capital</x:v>
      </x:c>
      <x:c r="B7" s="18" t="n">
        <x:v>30000</x:v>
      </x:c>
      <x:c r="C7" s="18" t="n">
        <x:f>Assumptions!B50</x:f>
        <x:v>75000</x:v>
      </x:c>
      <x:c r="D7" s="18" t="n">
        <x:f>C7-B7</x:f>
        <x:v>45000</x:v>
      </x:c>
      <x:c r="E7" s="18" t="n">
        <x:f>Assumptions!B46+Capital!B16</x:f>
        <x:v>58680</x:v>
      </x:c>
      <x:c r="F7" s="18" t="n">
        <x:f>C7-E7</x:f>
        <x:v>16320</x:v>
      </x:c>
      <x:c r="G7" s="14" t="str">
        <x:v>USD M</x:v>
      </x:c>
    </x:row>
    <x:row r="8">
      <x:c r="A8" s="15" t="str">
        <x:v>Annual support</x:v>
      </x:c>
      <x:c r="B8" s="19" t="n">
        <x:v>1750</x:v>
      </x:c>
      <x:c r="C8" s="19" t="n">
        <x:f>Assumptions!B51</x:f>
        <x:v>6000</x:v>
      </x:c>
      <x:c r="D8" s="19" t="n">
        <x:f>C8-B8</x:f>
        <x:v>4250</x:v>
      </x:c>
      <x:c r="E8" s="19" t="n">
        <x:f>'Annual Support'!B16</x:f>
        <x:v>5670</x:v>
      </x:c>
      <x:c r="F8" s="19" t="n">
        <x:f>C8-E8</x:f>
        <x:v>330</x:v>
      </x:c>
      <x:c r="G8" s="15" t="str">
        <x:v>USD M/year</x:v>
      </x:c>
    </x:row>
    <x:row r="9">
      <x:c r="A9" s="14" t="str">
        <x:v>Technology</x:v>
      </x:c>
      <x:c r="B9" s="18" t="n">
        <x:v>14000</x:v>
      </x:c>
      <x:c r="C9" s="18" t="n">
        <x:f>Assumptions!B52</x:f>
        <x:v>35000</x:v>
      </x:c>
      <x:c r="D9" s="18" t="n">
        <x:f>C9-B9</x:f>
        <x:v>21000</x:v>
      </x:c>
      <x:c r="E9" s="18" t="n">
        <x:f>Assumptions!B47+Technology!B18</x:f>
        <x:v>23235</x:v>
      </x:c>
      <x:c r="F9" s="18" t="n">
        <x:f>C9-E9</x:f>
        <x:v>11765</x:v>
      </x:c>
      <x:c r="G9" s="14" t="str">
        <x:v>USD 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</x:cols>
  <x:sheetData>
    <x:row r="1" ht="27" customHeight="1">
      <x:c r="A1" s="3" t="str">
        <x:v>Cell and salvo sensitivity</x:v>
      </x:c>
    </x:row>
    <x:row r="2" ht="32" customHeight="1">
      <x:c r="A2" s="7" t="str">
        <x:v>Formula cases expose water, rate, power and storage scale.</x:v>
      </x:c>
    </x:row>
    <x:row r="4" ht="28" customHeight="1">
      <x:c r="A4" s="11" t="str">
        <x:v>Cells</x:v>
      </x:c>
      <x:c r="B4" s="11" t="str">
        <x:v>Salvos per hour</x:v>
      </x:c>
      <x:c r="C4" s="11" t="str">
        <x:v>Peak m3/s</x:v>
      </x:c>
      <x:c r="D4" s="11" t="str">
        <x:v>Hourly m3</x:v>
      </x:c>
      <x:c r="E4" s="11" t="str">
        <x:v>72-hour m3</x:v>
      </x:c>
      <x:c r="F4" s="11" t="str">
        <x:v>Pump MW at 120 m</x:v>
      </x:c>
    </x:row>
    <x:row r="5">
      <x:c r="A5" s="18" t="n">
        <x:v>6</x:v>
      </x:c>
      <x:c r="B5" s="18" t="n">
        <x:v>1</x:v>
      </x:c>
      <x:c r="C5" s="18" t="n">
        <x:f>A5*Assumptions!B10/Assumptions!B11</x:f>
        <x:v>2.4</x:v>
      </x:c>
      <x:c r="D5" s="18" t="n">
        <x:f>A5*Assumptions!B10*B5</x:f>
        <x:v>288</x:v>
      </x:c>
      <x:c r="E5" s="18" t="n">
        <x:f>D5*Assumptions!B13</x:f>
        <x:v>20736</x:v>
      </x:c>
      <x:c r="F5" s="18" t="n">
        <x:f>A5*671.340342857143/1000</x:f>
        <x:v>4.028042057142858</x:v>
      </x:c>
    </x:row>
    <x:row r="6">
      <x:c r="A6" s="19" t="n">
        <x:v>6</x:v>
      </x:c>
      <x:c r="B6" s="19" t="n">
        <x:v>2</x:v>
      </x:c>
      <x:c r="C6" s="19" t="n">
        <x:f>A6*Assumptions!B10/Assumptions!B11</x:f>
        <x:v>2.4</x:v>
      </x:c>
      <x:c r="D6" s="19" t="n">
        <x:f>A6*Assumptions!B10*B6</x:f>
        <x:v>576</x:v>
      </x:c>
      <x:c r="E6" s="19" t="n">
        <x:f>D6*Assumptions!B13</x:f>
        <x:v>41472</x:v>
      </x:c>
      <x:c r="F6" s="19" t="n">
        <x:f>A6*671.340342857143/1000</x:f>
        <x:v>4.028042057142858</x:v>
      </x:c>
    </x:row>
    <x:row r="7">
      <x:c r="A7" s="18" t="n">
        <x:v>6</x:v>
      </x:c>
      <x:c r="B7" s="18" t="n">
        <x:v>3</x:v>
      </x:c>
      <x:c r="C7" s="18" t="n">
        <x:f>A7*Assumptions!B10/Assumptions!B11</x:f>
        <x:v>2.4</x:v>
      </x:c>
      <x:c r="D7" s="18" t="n">
        <x:f>A7*Assumptions!B10*B7</x:f>
        <x:v>864</x:v>
      </x:c>
      <x:c r="E7" s="18" t="n">
        <x:f>D7*Assumptions!B13</x:f>
        <x:v>62208</x:v>
      </x:c>
      <x:c r="F7" s="18" t="n">
        <x:f>A7*671.340342857143/1000</x:f>
        <x:v>4.028042057142858</x:v>
      </x:c>
    </x:row>
    <x:row r="8">
      <x:c r="A8" s="19" t="n">
        <x:v>6</x:v>
      </x:c>
      <x:c r="B8" s="19" t="n">
        <x:v>4</x:v>
      </x:c>
      <x:c r="C8" s="19" t="n">
        <x:f>A8*Assumptions!B10/Assumptions!B11</x:f>
        <x:v>2.4</x:v>
      </x:c>
      <x:c r="D8" s="19" t="n">
        <x:f>A8*Assumptions!B10*B8</x:f>
        <x:v>1152</x:v>
      </x:c>
      <x:c r="E8" s="19" t="n">
        <x:f>D8*Assumptions!B13</x:f>
        <x:v>82944</x:v>
      </x:c>
      <x:c r="F8" s="19" t="n">
        <x:f>A8*671.340342857143/1000</x:f>
        <x:v>4.028042057142858</x:v>
      </x:c>
    </x:row>
    <x:row r="9">
      <x:c r="A9" s="18" t="n">
        <x:v>12</x:v>
      </x:c>
      <x:c r="B9" s="18" t="n">
        <x:v>1</x:v>
      </x:c>
      <x:c r="C9" s="18" t="n">
        <x:f>A9*Assumptions!B10/Assumptions!B11</x:f>
        <x:v>4.8</x:v>
      </x:c>
      <x:c r="D9" s="18" t="n">
        <x:f>A9*Assumptions!B10*B9</x:f>
        <x:v>576</x:v>
      </x:c>
      <x:c r="E9" s="18" t="n">
        <x:f>D9*Assumptions!B13</x:f>
        <x:v>41472</x:v>
      </x:c>
      <x:c r="F9" s="18" t="n">
        <x:f>A9*671.340342857143/1000</x:f>
        <x:v>8.056084114285715</x:v>
      </x:c>
    </x:row>
    <x:row r="10">
      <x:c r="A10" s="19" t="n">
        <x:v>12</x:v>
      </x:c>
      <x:c r="B10" s="19" t="n">
        <x:v>2</x:v>
      </x:c>
      <x:c r="C10" s="19" t="n">
        <x:f>A10*Assumptions!B10/Assumptions!B11</x:f>
        <x:v>4.8</x:v>
      </x:c>
      <x:c r="D10" s="19" t="n">
        <x:f>A10*Assumptions!B10*B10</x:f>
        <x:v>1152</x:v>
      </x:c>
      <x:c r="E10" s="19" t="n">
        <x:f>D10*Assumptions!B13</x:f>
        <x:v>82944</x:v>
      </x:c>
      <x:c r="F10" s="19" t="n">
        <x:f>A10*671.340342857143/1000</x:f>
        <x:v>8.056084114285715</x:v>
      </x:c>
    </x:row>
    <x:row r="11">
      <x:c r="A11" s="18" t="n">
        <x:v>12</x:v>
      </x:c>
      <x:c r="B11" s="18" t="n">
        <x:v>3</x:v>
      </x:c>
      <x:c r="C11" s="18" t="n">
        <x:f>A11*Assumptions!B10/Assumptions!B11</x:f>
        <x:v>4.8</x:v>
      </x:c>
      <x:c r="D11" s="18" t="n">
        <x:f>A11*Assumptions!B10*B11</x:f>
        <x:v>1728</x:v>
      </x:c>
      <x:c r="E11" s="18" t="n">
        <x:f>D11*Assumptions!B13</x:f>
        <x:v>124416</x:v>
      </x:c>
      <x:c r="F11" s="18" t="n">
        <x:f>A11*671.340342857143/1000</x:f>
        <x:v>8.056084114285715</x:v>
      </x:c>
    </x:row>
    <x:row r="12">
      <x:c r="A12" s="19" t="n">
        <x:v>12</x:v>
      </x:c>
      <x:c r="B12" s="19" t="n">
        <x:v>4</x:v>
      </x:c>
      <x:c r="C12" s="19" t="n">
        <x:f>A12*Assumptions!B10/Assumptions!B11</x:f>
        <x:v>4.8</x:v>
      </x:c>
      <x:c r="D12" s="19" t="n">
        <x:f>A12*Assumptions!B10*B12</x:f>
        <x:v>2304</x:v>
      </x:c>
      <x:c r="E12" s="19" t="n">
        <x:f>D12*Assumptions!B13</x:f>
        <x:v>165888</x:v>
      </x:c>
      <x:c r="F12" s="19" t="n">
        <x:f>A12*671.340342857143/1000</x:f>
        <x:v>8.056084114285715</x:v>
      </x:c>
    </x:row>
    <x:row r="13">
      <x:c r="A13" s="18" t="n">
        <x:v>18</x:v>
      </x:c>
      <x:c r="B13" s="18" t="n">
        <x:v>1</x:v>
      </x:c>
      <x:c r="C13" s="18" t="n">
        <x:f>A13*Assumptions!B10/Assumptions!B11</x:f>
        <x:v>7.2</x:v>
      </x:c>
      <x:c r="D13" s="18" t="n">
        <x:f>A13*Assumptions!B10*B13</x:f>
        <x:v>864</x:v>
      </x:c>
      <x:c r="E13" s="18" t="n">
        <x:f>D13*Assumptions!B13</x:f>
        <x:v>62208</x:v>
      </x:c>
      <x:c r="F13" s="18" t="n">
        <x:f>A13*671.340342857143/1000</x:f>
        <x:v>12.084126171428574</x:v>
      </x:c>
    </x:row>
    <x:row r="14">
      <x:c r="A14" s="19" t="n">
        <x:v>18</x:v>
      </x:c>
      <x:c r="B14" s="19" t="n">
        <x:v>2</x:v>
      </x:c>
      <x:c r="C14" s="19" t="n">
        <x:f>A14*Assumptions!B10/Assumptions!B11</x:f>
        <x:v>7.2</x:v>
      </x:c>
      <x:c r="D14" s="19" t="n">
        <x:f>A14*Assumptions!B10*B14</x:f>
        <x:v>1728</x:v>
      </x:c>
      <x:c r="E14" s="19" t="n">
        <x:f>D14*Assumptions!B13</x:f>
        <x:v>124416</x:v>
      </x:c>
      <x:c r="F14" s="19" t="n">
        <x:f>A14*671.340342857143/1000</x:f>
        <x:v>12.084126171428574</x:v>
      </x:c>
    </x:row>
    <x:row r="15">
      <x:c r="A15" s="18" t="n">
        <x:v>18</x:v>
      </x:c>
      <x:c r="B15" s="18" t="n">
        <x:v>3</x:v>
      </x:c>
      <x:c r="C15" s="18" t="n">
        <x:f>A15*Assumptions!B10/Assumptions!B11</x:f>
        <x:v>7.2</x:v>
      </x:c>
      <x:c r="D15" s="18" t="n">
        <x:f>A15*Assumptions!B10*B15</x:f>
        <x:v>2592</x:v>
      </x:c>
      <x:c r="E15" s="18" t="n">
        <x:f>D15*Assumptions!B13</x:f>
        <x:v>186624</x:v>
      </x:c>
      <x:c r="F15" s="18" t="n">
        <x:f>A15*671.340342857143/1000</x:f>
        <x:v>12.084126171428574</x:v>
      </x:c>
    </x:row>
    <x:row r="16">
      <x:c r="A16" s="19" t="n">
        <x:v>18</x:v>
      </x:c>
      <x:c r="B16" s="19" t="n">
        <x:v>4</x:v>
      </x:c>
      <x:c r="C16" s="19" t="n">
        <x:f>A16*Assumptions!B10/Assumptions!B11</x:f>
        <x:v>7.2</x:v>
      </x:c>
      <x:c r="D16" s="19" t="n">
        <x:f>A16*Assumptions!B10*B16</x:f>
        <x:v>3456</x:v>
      </x:c>
      <x:c r="E16" s="19" t="n">
        <x:f>D16*Assumptions!B13</x:f>
        <x:v>248832</x:v>
      </x:c>
      <x:c r="F16" s="19" t="n">
        <x:f>A16*671.340342857143/1000</x:f>
        <x:v>12.084126171428574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8" hidden="0" customWidth="1"/>
    <x:col min="3" max="3" width="18" hidden="0" customWidth="1"/>
  </x:cols>
  <x:sheetData>
    <x:row r="1" ht="27" customHeight="1">
      <x:c r="A1" s="3" t="str">
        <x:v>Sequential program release</x:v>
      </x:c>
    </x:row>
    <x:row r="2" ht="32" customHeight="1">
      <x:c r="A2" s="7" t="str">
        <x:v>No stage authorizes fleet production or exterior form.</x:v>
      </x:c>
    </x:row>
    <x:row r="4" ht="28" customHeight="1">
      <x:c r="A4" s="11" t="str">
        <x:v>Gate</x:v>
      </x:c>
      <x:c r="B4" s="11" t="str">
        <x:v>Requirement</x:v>
      </x:c>
      <x:c r="C4" s="11" t="str">
        <x:v>State</x:v>
      </x:c>
    </x:row>
    <x:row r="5">
      <x:c r="A5" s="14" t="str">
        <x:v>RG-01</x:v>
      </x:c>
      <x:c r="B5" s="14" t="str">
        <x:v>Mission and environment frozen</x:v>
      </x:c>
      <x:c r="C5" s="14" t="str">
        <x:v>BLOCKED</x:v>
      </x:c>
    </x:row>
    <x:row r="6">
      <x:c r="A6" s="15" t="str">
        <x:v>RG-02</x:v>
      </x:c>
      <x:c r="B6" s="15" t="str">
        <x:v>Four OCE-1 dossiers accepted</x:v>
      </x:c>
      <x:c r="C6" s="15" t="str">
        <x:v>BLOCKED</x:v>
      </x:c>
    </x:row>
    <x:row r="7">
      <x:c r="A7" s="14" t="str">
        <x:v>RG-03</x:v>
      </x:c>
      <x:c r="B7" s="14" t="str">
        <x:v>Twenty-four quarter articles released</x:v>
      </x:c>
      <x:c r="C7" s="14" t="str">
        <x:v>BLOCKED</x:v>
      </x:c>
    </x:row>
    <x:row r="8">
      <x:c r="A8" s="15" t="str">
        <x:v>RG-04</x:v>
      </x:c>
      <x:c r="B8" s="15" t="str">
        <x:v>288 quarter trials complete</x:v>
      </x:c>
      <x:c r="C8" s="15" t="str">
        <x:v>BLOCKED</x:v>
      </x:c>
    </x:row>
    <x:row r="9">
      <x:c r="A9" s="14" t="str">
        <x:v>RG-05</x:v>
      </x:c>
      <x:c r="B9" s="14" t="str">
        <x:v>192 comparisons complete</x:v>
      </x:c>
      <x:c r="C9" s="14" t="str">
        <x:v>BLOCKED</x:v>
      </x:c>
    </x:row>
    <x:row r="10">
      <x:c r="A10" s="15" t="str">
        <x:v>RG-06</x:v>
      </x:c>
      <x:c r="B10" s="15" t="str">
        <x:v>No more than two candidates selected</x:v>
      </x:c>
      <x:c r="C10" s="15" t="str">
        <x:v>BLOCKED</x:v>
      </x:c>
    </x:row>
    <x:row r="11">
      <x:c r="A11" s="14" t="str">
        <x:v>RG-07</x:v>
      </x:c>
      <x:c r="B11" s="14" t="str">
        <x:v>Eight full systems accepted</x:v>
      </x:c>
      <x:c r="C11" s="14" t="str">
        <x:v>BLOCKED</x:v>
      </x:c>
    </x:row>
    <x:row r="12">
      <x:c r="A12" s="15" t="str">
        <x:v>RG-08</x:v>
      </x:c>
      <x:c r="B12" s="15" t="str">
        <x:v>144 mission trials complete</x:v>
      </x:c>
      <x:c r="C12" s="15" t="str">
        <x:v>BLOCKED</x:v>
      </x:c>
    </x:row>
    <x:row r="13">
      <x:c r="A13" s="14" t="str">
        <x:v>RG-09</x:v>
      </x:c>
      <x:c r="B13" s="14" t="str">
        <x:v>Repeated mission and regeneration accepted</x:v>
      </x:c>
      <x:c r="C13" s="14" t="str">
        <x:v>BLOCKED</x:v>
      </x:c>
    </x:row>
    <x:row r="14">
      <x:c r="A14" s="15" t="str">
        <x:v>RG-10</x:v>
      </x:c>
      <x:c r="B14" s="15" t="str">
        <x:v>Outside reconstruction complete</x:v>
      </x:c>
      <x:c r="C14" s="15" t="str">
        <x:v>BLOCKED</x:v>
      </x:c>
    </x:row>
    <x:row r="15">
      <x:c r="A15" s="14" t="str">
        <x:v>RG-11</x:v>
      </x:c>
      <x:c r="B15" s="14" t="str">
        <x:v>Mission board closes</x:v>
      </x:c>
      <x:c r="C15" s="14" t="str">
        <x:v>BLOCKED</x:v>
      </x:c>
    </x:row>
    <x:row r="16">
      <x:c r="A16" s="15" t="str">
        <x:v>RG-12</x:v>
      </x:c>
      <x:c r="B16" s="15" t="str">
        <x:v>RBT-1 authorized</x:v>
      </x:c>
      <x:c r="C16" s="15" t="str">
        <x:v>BLOCKED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16" hidden="0" customWidth="1"/>
  </x:cols>
  <x:sheetData>
    <x:row r="1" ht="27" customHeight="1">
      <x:c r="A1" s="3" t="str">
        <x:v>Workbook audit</x:v>
      </x:c>
    </x:row>
    <x:row r="2" ht="32" customHeight="1">
      <x:c r="A2" s="7" t="str">
        <x:v>Checks read the model. They do not drive calculations.</x:v>
      </x:c>
    </x:row>
    <x:row r="4" ht="28" customHeight="1">
      <x:c r="A4" s="11" t="str">
        <x:v>Check</x:v>
      </x:c>
      <x:c r="B4" s="11" t="str">
        <x:v>Calculated</x:v>
      </x:c>
      <x:c r="C4" s="11" t="str">
        <x:v>Expected</x:v>
      </x:c>
      <x:c r="D4" s="11" t="str">
        <x:v>Status</x:v>
      </x:c>
    </x:row>
    <x:row r="5">
      <x:c r="A5" s="14" t="str">
        <x:v>Quarter articles</x:v>
      </x:c>
      <x:c r="B5" s="18" t="n">
        <x:f>COUNTA('Quarter Articles'!A5:A40)</x:f>
        <x:v>24</x:v>
      </x:c>
      <x:c r="C5" s="18" t="n">
        <x:v>24</x:v>
      </x:c>
      <x:c r="D5" s="20" t="str">
        <x:f>IF(ABS(B5-C5)&lt;0.001,"PASS","CHECK")</x:f>
        <x:v>PASS</x:v>
      </x:c>
    </x:row>
    <x:row r="6">
      <x:c r="A6" s="15" t="str">
        <x:v>Quarter trials</x:v>
      </x:c>
      <x:c r="B6" s="19" t="n">
        <x:f>COUNTA('Quarter Trials'!A5:A320)</x:f>
        <x:v>288</x:v>
      </x:c>
      <x:c r="C6" s="19" t="n">
        <x:v>288</x:v>
      </x:c>
      <x:c r="D6" s="20" t="str">
        <x:f>IF(ABS(B6-C6)&lt;0.001,"PASS","CHECK")</x:f>
        <x:v>PASS</x:v>
      </x:c>
    </x:row>
    <x:row r="7">
      <x:c r="A7" s="14" t="str">
        <x:v>Matched comparisons</x:v>
      </x:c>
      <x:c r="B7" s="18" t="n">
        <x:f>COUNTA('Matched Comparisons'!A5:A220)</x:f>
        <x:v>192</x:v>
      </x:c>
      <x:c r="C7" s="18" t="n">
        <x:v>192</x:v>
      </x:c>
      <x:c r="D7" s="20" t="str">
        <x:f>IF(ABS(B7-C7)&lt;0.001,"PASS","CHECK")</x:f>
        <x:v>PASS</x:v>
      </x:c>
    </x:row>
    <x:row r="8">
      <x:c r="A8" s="15" t="str">
        <x:v>Full systems</x:v>
      </x:c>
      <x:c r="B8" s="19" t="n">
        <x:f>COUNTA('Full Systems'!A5:A20)</x:f>
        <x:v>8</x:v>
      </x:c>
      <x:c r="C8" s="19" t="n">
        <x:v>8</x:v>
      </x:c>
      <x:c r="D8" s="20" t="str">
        <x:f>IF(ABS(B8-C8)&lt;0.001,"PASS","CHECK")</x:f>
        <x:v>PASS</x:v>
      </x:c>
    </x:row>
    <x:row r="9">
      <x:c r="A9" s="14" t="str">
        <x:v>Mission trials</x:v>
      </x:c>
      <x:c r="B9" s="18" t="n">
        <x:f>COUNTA('Mission Trials'!A5:A180)</x:f>
        <x:v>144</x:v>
      </x:c>
      <x:c r="C9" s="18" t="n">
        <x:v>144</x:v>
      </x:c>
      <x:c r="D9" s="20" t="str">
        <x:f>IF(ABS(B9-C9)&lt;0.001,"PASS","CHECK")</x:f>
        <x:v>PASS</x:v>
      </x:c>
    </x:row>
    <x:row r="10">
      <x:c r="A10" s="15" t="str">
        <x:v>Mission hours</x:v>
      </x:c>
      <x:c r="B10" s="19" t="n">
        <x:f>SUM('Mission Trials'!F5:F180)</x:f>
        <x:v>2592</x:v>
      </x:c>
      <x:c r="C10" s="19" t="n">
        <x:v>2592</x:v>
      </x:c>
      <x:c r="D10" s="20" t="str">
        <x:f>IF(ABS(B10-C10)&lt;0.001,"PASS","CHECK")</x:f>
        <x:v>PASS</x:v>
      </x:c>
    </x:row>
    <x:row r="11">
      <x:c r="A11" s="14" t="str">
        <x:v>Full-system water</x:v>
      </x:c>
      <x:c r="B11" s="18" t="n">
        <x:f>'Water Throughput'!D7</x:f>
        <x:v>1343692.8000000028</x:v>
      </x:c>
      <x:c r="C11" s="18" t="n">
        <x:v>1343692.8</x:v>
      </x:c>
      <x:c r="D11" s="20" t="str">
        <x:f>IF(ABS(B11-C11)&lt;0.001,"PASS","CHECK")</x:f>
        <x:v>PASS</x:v>
      </x:c>
    </x:row>
    <x:row r="12">
      <x:c r="A12" s="15" t="str">
        <x:v>Total development water</x:v>
      </x:c>
      <x:c r="B12" s="19" t="n">
        <x:f>'Water Throughput'!D8</x:f>
        <x:v>1412812.8000000028</x:v>
      </x:c>
      <x:c r="C12" s="19" t="n">
        <x:v>1412812.8</x:v>
      </x:c>
      <x:c r="D12" s="20" t="str">
        <x:f>IF(ABS(B12-C12)&lt;0.001,"PASS","CHECK")</x:f>
        <x:v>PASS</x:v>
      </x:c>
    </x:row>
    <x:row r="13">
      <x:c r="A13" s="14" t="str">
        <x:v>Twelve-cell salvo</x:v>
      </x:c>
      <x:c r="B13" s="18" t="n">
        <x:f>'Water Screen'!B6</x:f>
        <x:v>576</x:v>
      </x:c>
      <x:c r="C13" s="18" t="n">
        <x:v>576</x:v>
      </x:c>
      <x:c r="D13" s="20" t="str">
        <x:f>IF(ABS(B13-C13)&lt;0.001,"PASS","CHECK")</x:f>
        <x:v>PASS</x:v>
      </x:c>
    </x:row>
    <x:row r="14">
      <x:c r="A14" s="15" t="str">
        <x:v>Peak issue</x:v>
      </x:c>
      <x:c r="B14" s="19" t="n">
        <x:f>'Water Screen'!B7</x:f>
        <x:v>4.800000000000001</x:v>
      </x:c>
      <x:c r="C14" s="19" t="n">
        <x:v>4.8</x:v>
      </x:c>
      <x:c r="D14" s="20" t="str">
        <x:f>IF(ABS(B14-C14)&lt;0.001,"PASS","CHECK")</x:f>
        <x:v>PASS</x:v>
      </x:c>
    </x:row>
    <x:row r="15">
      <x:c r="A15" s="14" t="str">
        <x:v>Hourly issue</x:v>
      </x:c>
      <x:c r="B15" s="18" t="n">
        <x:f>'Water Screen'!B8</x:f>
        <x:v>1728</x:v>
      </x:c>
      <x:c r="C15" s="18" t="n">
        <x:v>1728</x:v>
      </x:c>
      <x:c r="D15" s="20" t="str">
        <x:f>IF(ABS(B15-C15)&lt;0.001,"PASS","CHECK")</x:f>
        <x:v>PASS</x:v>
      </x:c>
    </x:row>
    <x:row r="16">
      <x:c r="A16" s="15" t="str">
        <x:v>72-hour use</x:v>
      </x:c>
      <x:c r="B16" s="19" t="n">
        <x:f>'Water Screen'!B9</x:f>
        <x:v>124416</x:v>
      </x:c>
      <x:c r="C16" s="19" t="n">
        <x:v>124416</x:v>
      </x:c>
      <x:c r="D16" s="20" t="str">
        <x:f>IF(ABS(B16-C16)&lt;0.001,"PASS","CHECK")</x:f>
        <x:v>PASS</x:v>
      </x:c>
    </x:row>
    <x:row r="17">
      <x:c r="A17" s="14" t="str">
        <x:v>Production</x:v>
      </x:c>
      <x:c r="B17" s="18" t="n">
        <x:f>'Water Screen'!B10</x:f>
        <x:v>144000</x:v>
      </x:c>
      <x:c r="C17" s="18" t="n">
        <x:v>144000</x:v>
      </x:c>
      <x:c r="D17" s="20" t="str">
        <x:f>IF(ABS(B17-C17)&lt;0.001,"PASS","CHECK")</x:f>
        <x:v>PASS</x:v>
      </x:c>
    </x:row>
    <x:row r="18">
      <x:c r="A18" s="15" t="str">
        <x:v>Dry-entry mass</x:v>
      </x:c>
      <x:c r="B18" s="19" t="n">
        <x:f>'Water Screen'!B12</x:f>
        <x:v>574.848</x:v>
      </x:c>
      <x:c r="C18" s="19" t="n">
        <x:v>574.848</x:v>
      </x:c>
      <x:c r="D18" s="20" t="str">
        <x:f>IF(ABS(B18-C18)&lt;0.001,"PASS","CHECK")</x:f>
        <x:v>PASS</x:v>
      </x:c>
    </x:row>
    <x:row r="19">
      <x:c r="A19" s="14" t="str">
        <x:v>Trunk velocity</x:v>
      </x:c>
      <x:c r="B19" s="18" t="n">
        <x:f>'Trunkline Screen'!B7</x:f>
        <x:v>1.7465563027917184</x:v>
      </x:c>
      <x:c r="C19" s="18" t="n">
        <x:v>1.746802</x:v>
      </x:c>
      <x:c r="D19" s="20" t="str">
        <x:f>IF(ABS(B19-C19)&lt;0.001,"PASS","CHECK")</x:f>
        <x:v>PASS</x:v>
      </x:c>
    </x:row>
    <x:row r="20">
      <x:c r="A20" s="15" t="str">
        <x:v>Recovery ratio</x:v>
      </x:c>
      <x:c r="B20" s="19" t="n">
        <x:f>'Recovery Screen'!B7</x:f>
        <x:v>1.1458333333333333</x:v>
      </x:c>
      <x:c r="C20" s="19" t="n">
        <x:v>1.145833333</x:v>
      </x:c>
      <x:c r="D20" s="20" t="str">
        <x:f>IF(ABS(B20-C20)&lt;0.001,"PASS","CHECK")</x:f>
        <x:v>PASS</x:v>
      </x:c>
    </x:row>
    <x:row r="21">
      <x:c r="A21" s="14" t="str">
        <x:v>Continuous power</x:v>
      </x:c>
      <x:c r="B21" s="18" t="n">
        <x:f>'Energy Screen'!B12</x:f>
        <x:v>20</x:v>
      </x:c>
      <x:c r="C21" s="18" t="n">
        <x:v>20</x:v>
      </x:c>
      <x:c r="D21" s="20" t="str">
        <x:f>IF(ABS(B21-C21)&lt;0.001,"PASS","CHECK")</x:f>
        <x:v>PASS</x:v>
      </x:c>
    </x:row>
    <x:row r="22">
      <x:c r="A22" s="15" t="str">
        <x:v>Peak power</x:v>
      </x:c>
      <x:c r="B22" s="19" t="n">
        <x:f>'Energy Screen'!C12</x:f>
        <x:v>35</x:v>
      </x:c>
      <x:c r="C22" s="19" t="n">
        <x:v>35</x:v>
      </x:c>
      <x:c r="D22" s="20" t="str">
        <x:f>IF(ABS(B22-C22)&lt;0.001,"PASS","CHECK")</x:f>
        <x:v>PASS</x:v>
      </x:c>
    </x:row>
    <x:row r="23">
      <x:c r="A23" s="14" t="str">
        <x:v>Primary weeks</x:v>
      </x:c>
      <x:c r="B23" s="18" t="n">
        <x:f>Schedule!B16</x:f>
        <x:v>280</x:v>
      </x:c>
      <x:c r="C23" s="18" t="n">
        <x:v>280</x:v>
      </x:c>
      <x:c r="D23" s="20" t="str">
        <x:f>IF(ABS(B23-C23)&lt;0.001,"PASS","CHECK")</x:f>
        <x:v>PASS</x:v>
      </x:c>
    </x:row>
    <x:row r="24">
      <x:c r="A24" s="15" t="str">
        <x:v>Maximum weeks</x:v>
      </x:c>
      <x:c r="B24" s="19" t="n">
        <x:f>Schedule!D16</x:f>
        <x:v>300</x:v>
      </x:c>
      <x:c r="C24" s="19" t="n">
        <x:v>300</x:v>
      </x:c>
      <x:c r="D24" s="20" t="str">
        <x:f>IF(ABS(B24-C24)&lt;0.001,"PASS","CHECK")</x:f>
        <x:v>PASS</x:v>
      </x:c>
    </x:row>
    <x:row r="25">
      <x:c r="A25" s="14" t="str">
        <x:v>Execution positions</x:v>
      </x:c>
      <x:c r="B25" s="18" t="n">
        <x:f>Workforce!B17</x:f>
        <x:v>12000</x:v>
      </x:c>
      <x:c r="C25" s="18" t="n">
        <x:v>12000</x:v>
      </x:c>
      <x:c r="D25" s="20" t="str">
        <x:f>IF(ABS(B25-C25)&lt;0.001,"PASS","CHECK")</x:f>
        <x:v>PASS</x:v>
      </x:c>
    </x:row>
    <x:row r="26">
      <x:c r="A26" s="15" t="str">
        <x:v>Capital</x:v>
      </x:c>
      <x:c r="B26" s="19" t="n">
        <x:f>Capital!B16</x:f>
        <x:v>38000</x:v>
      </x:c>
      <x:c r="C26" s="19" t="n">
        <x:v>38000</x:v>
      </x:c>
      <x:c r="D26" s="20" t="str">
        <x:f>IF(ABS(B26-C26)&lt;0.001,"PASS","CHECK")</x:f>
        <x:v>PASS</x:v>
      </x:c>
    </x:row>
    <x:row r="27">
      <x:c r="A27" s="14" t="str">
        <x:v>Annual support</x:v>
      </x:c>
      <x:c r="B27" s="18" t="n">
        <x:f>'Annual Support'!B14</x:f>
        <x:v>4200</x:v>
      </x:c>
      <x:c r="C27" s="18" t="n">
        <x:v>4200</x:v>
      </x:c>
      <x:c r="D27" s="20" t="str">
        <x:f>IF(ABS(B27-C27)&lt;0.001,"PASS","CHECK")</x:f>
        <x:v>PASS</x:v>
      </x:c>
    </x:row>
    <x:row r="28">
      <x:c r="A28" s="15" t="str">
        <x:v>Technology</x:v>
      </x:c>
      <x:c r="B28" s="19" t="n">
        <x:f>Technology!B18</x:f>
        <x:v>15000</x:v>
      </x:c>
      <x:c r="C28" s="19" t="n">
        <x:v>15000</x:v>
      </x:c>
      <x:c r="D28" s="20" t="str">
        <x:f>IF(ABS(B28-C28)&lt;0.001,"PASS","CHECK")</x:f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70" hidden="0" customWidth="1"/>
    <x:col min="3" max="3" width="24" hidden="0" customWidth="1"/>
  </x:cols>
  <x:sheetData>
    <x:row r="1" ht="27" customHeight="1">
      <x:c r="A1" s="3" t="str">
        <x:v>Internal source register</x:v>
      </x:c>
    </x:row>
    <x:row r="2" ht="32" customHeight="1">
      <x:c r="A2" s="7" t="str">
        <x:v>No external site is used in this pass.</x:v>
      </x:c>
    </x:row>
    <x:row r="4" ht="28" customHeight="1">
      <x:c r="A4" s="11" t="str">
        <x:v>Source</x:v>
      </x:c>
      <x:c r="B4" s="11" t="str">
        <x:v>Use</x:v>
      </x:c>
      <x:c r="C4" s="11" t="str">
        <x:v>Class</x:v>
      </x:c>
    </x:row>
    <x:row r="5">
      <x:c r="A5" s="14" t="str">
        <x:v>RBR-1</x:v>
      </x:c>
      <x:c r="B5" s="14" t="str">
        <x:v>Whole-ladder transfer ceiling and OCE-1</x:v>
      </x:c>
      <x:c r="C5" s="14" t="str">
        <x:v>Internal Markdown</x:v>
      </x:c>
    </x:row>
    <x:row r="6">
      <x:c r="A6" s="15" t="str">
        <x:v>RBQ-1</x:v>
      </x:c>
      <x:c r="B6" s="15" t="str">
        <x:v>ER-10 casualty reference and service-loss truth</x:v>
      </x:c>
      <x:c r="C6" s="15" t="str">
        <x:v>Internal Markdown</x:v>
      </x:c>
    </x:row>
    <x:row r="7">
      <x:c r="A7" s="14" t="str">
        <x:v>RFP-1</x:v>
      </x:c>
      <x:c r="B7" s="14" t="str">
        <x:v>Full-scale rig and hydraulic interfaces</x:v>
      </x:c>
      <x:c r="C7" s="14" t="str">
        <x:v>Internal Markdown</x:v>
      </x:c>
    </x:row>
    <x:row r="8">
      <x:c r="A8" s="15" t="str">
        <x:v>RAS-1</x:v>
      </x:c>
      <x:c r="B8" s="15" t="str">
        <x:v>Quarter-source safety case</x:v>
      </x:c>
      <x:c r="C8" s="15" t="str">
        <x:v>Internal Markdown</x:v>
      </x:c>
    </x:row>
    <x:row r="9">
      <x:c r="A9" s="14" t="str">
        <x:v>Cold reconstruction constitution</x:v>
      </x:c>
      <x:c r="B9" s="14" t="str">
        <x:v>Rotational and outside-reconstruction authority</x:v>
      </x:c>
      <x:c r="C9" s="14" t="str">
        <x:v>Internal Markdown</x:v>
      </x:c>
    </x:row>
    <x:row r="10">
      <x:c r="A10" s="15" t="str">
        <x:v>RBS-1 workbook</x:v>
      </x:c>
      <x:c r="B10" s="15" t="str">
        <x:v>Mission, campaign and resource calculations</x:v>
      </x:c>
      <x:c r="C10" s="15" t="str">
        <x:v>This workbook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6" hidden="0" customWidth="1"/>
    <x:col min="3" max="3" width="74" hidden="0" customWidth="1"/>
  </x:cols>
  <x:sheetData>
    <x:row r="1" ht="27" customHeight="1">
      <x:c r="A1" s="3" t="str">
        <x:v>Workbook guide</x:v>
      </x:c>
    </x:row>
    <x:row r="2" ht="32" customHeight="1">
      <x:c r="A2" s="7" t="str">
        <x:v>Use the tabs as one linked operational mission model. Gold cells are inputs. Green rows are calculated totals.</x:v>
      </x:c>
    </x:row>
    <x:row r="4" ht="28" customHeight="1">
      <x:c r="A4" s="11" t="str">
        <x:v>Section</x:v>
      </x:c>
      <x:c r="B4" s="11" t="str">
        <x:v>Purpose</x:v>
      </x:c>
      <x:c r="C4" s="11" t="str">
        <x:v>Sheets</x:v>
      </x:c>
    </x:row>
    <x:row r="5">
      <x:c r="A5" s="14" t="str">
        <x:v>Mission</x:v>
      </x:c>
      <x:c r="B5" s="14" t="str">
        <x:v>Understand effect, time and service loss</x:v>
      </x:c>
      <x:c r="C5" s="14" t="str">
        <x:v>Mission Contract; Service Loss; Command Authorities</x:v>
      </x:c>
    </x:row>
    <x:row r="6">
      <x:c r="A6" s="15" t="str">
        <x:v>Physics</x:v>
      </x:c>
      <x:c r="B6" s="15" t="str">
        <x:v>Trace water, energy, trunk and recovery demands</x:v>
      </x:c>
      <x:c r="C6" s="15" t="str">
        <x:v>Water Screen; Energy Screen; Trunkline Screen; Recovery Screen</x:v>
      </x:c>
    </x:row>
    <x:row r="7">
      <x:c r="A7" s="14" t="str">
        <x:v>Competition</x:v>
      </x:c>
      <x:c r="B7" s="14" t="str">
        <x:v>Review candidates and OCE-1 entry</x:v>
      </x:c>
      <x:c r="C7" s="14" t="str">
        <x:v>Architectures; OCE Dossier; Hard Gates</x:v>
      </x:c>
    </x:row>
    <x:row r="8">
      <x:c r="A8" s="15" t="str">
        <x:v>Articles</x:v>
      </x:c>
      <x:c r="B8" s="15" t="str">
        <x:v>Inspect quarter and full-system populations</x:v>
      </x:c>
      <x:c r="C8" s="15" t="str">
        <x:v>Quarter Articles through Mission Trials</x:v>
      </x:c>
    </x:row>
    <x:row r="9">
      <x:c r="A9" s="14" t="str">
        <x:v>Force</x:v>
      </x:c>
      <x:c r="B9" s="14" t="str">
        <x:v>Inspect cells, water modes, rotation and logistics</x:v>
      </x:c>
      <x:c r="C9" s="14" t="str">
        <x:v>Intervention Cells through Logistics</x:v>
      </x:c>
    </x:row>
    <x:row r="10">
      <x:c r="A10" s="15" t="str">
        <x:v>Resources</x:v>
      </x:c>
      <x:c r="B10" s="15" t="str">
        <x:v>Trace schedule, staffing and finance</x:v>
      </x:c>
      <x:c r="C10" s="15" t="str">
        <x:v>Schedule through Parent Amendment</x:v>
      </x:c>
    </x:row>
    <x:row r="11">
      <x:c r="A11" s="14" t="str">
        <x:v>Verification</x:v>
      </x:c>
      <x:c r="B11" s="14" t="str">
        <x:v>Review cases, audits and sources</x:v>
      </x:c>
      <x:c r="C11" s="14" t="str">
        <x:v>Sensitivity; Audit; Sources</x:v>
      </x:c>
    </x:row>
  </x:sheetData>
  <x:mergeCells>
    <x:mergeCell ref="A1:C1"/>
    <x:mergeCell ref="A2:C2"/>
  </x:mergeCells>
  <x:pageMargins left="0.7" right="0.7" top="0.75" bottom="0.75" header="0.3" footer="0.3"/>
</x:worksheet>
</file>