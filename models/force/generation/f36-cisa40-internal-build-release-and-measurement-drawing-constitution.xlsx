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f5edbcefa34d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1c1ac7f817418d"/>
    <x:sheet xmlns:r="http://schemas.openxmlformats.org/officeDocument/2006/relationships" name="Controls" sheetId="2" r:id="R53ce7001ba1645fa"/>
    <x:sheet xmlns:r="http://schemas.openxmlformats.org/officeDocument/2006/relationships" name="Coordinates" sheetId="3" r:id="R045c133967fe4355"/>
    <x:sheet xmlns:r="http://schemas.openxmlformats.org/officeDocument/2006/relationships" name="Mass and CG" sheetId="4" r:id="R595e0a29d0b84cc3"/>
    <x:sheet xmlns:r="http://schemas.openxmlformats.org/officeDocument/2006/relationships" name="Support Geometry" sheetId="5" r:id="R545f6768e0294c7f"/>
    <x:sheet xmlns:r="http://schemas.openxmlformats.org/officeDocument/2006/relationships" name="Anchor and Lift" sheetId="6" r:id="Reae1142007d0498d"/>
    <x:sheet xmlns:r="http://schemas.openxmlformats.org/officeDocument/2006/relationships" name="Hydraulic Topology" sheetId="7" r:id="R8e856c2d322b49be"/>
    <x:sheet xmlns:r="http://schemas.openxmlformats.org/officeDocument/2006/relationships" name="Sanitary Topology" sheetId="8" r:id="R00bcc8ec72714e29"/>
    <x:sheet xmlns:r="http://schemas.openxmlformats.org/officeDocument/2006/relationships" name="Power One-Line" sheetId="9" r:id="Rf0eb85b5c4794148"/>
    <x:sheet xmlns:r="http://schemas.openxmlformats.org/officeDocument/2006/relationships" name="Protection Matrix" sheetId="10" r:id="R8a9acc5052484992"/>
    <x:sheet xmlns:r="http://schemas.openxmlformats.org/officeDocument/2006/relationships" name="Measurement Plan" sheetId="11" r:id="Rad62b545b5544f0f"/>
    <x:sheet xmlns:r="http://schemas.openxmlformats.org/officeDocument/2006/relationships" name="Access and Hazards" sheetId="12" r:id="R13a12a0c0d01444b"/>
    <x:sheet xmlns:r="http://schemas.openxmlformats.org/officeDocument/2006/relationships" name="Receiver and Fixtures" sheetId="13" r:id="Rf2814a1f6f864652"/>
    <x:sheet xmlns:r="http://schemas.openxmlformats.org/officeDocument/2006/relationships" name="Drawing Register" sheetId="14" r:id="Rfbdcb26c6cad4b2d"/>
    <x:sheet xmlns:r="http://schemas.openxmlformats.org/officeDocument/2006/relationships" name="Build Records" sheetId="15" r:id="R5db6a8950ff140bf"/>
    <x:sheet xmlns:r="http://schemas.openxmlformats.org/officeDocument/2006/relationships" name="Drawing Checks" sheetId="16" r:id="Rf8904a7c29304cbb"/>
    <x:sheet xmlns:r="http://schemas.openxmlformats.org/officeDocument/2006/relationships" name="Schedule" sheetId="17" r:id="R5af466106e8c4a6e"/>
    <x:sheet xmlns:r="http://schemas.openxmlformats.org/officeDocument/2006/relationships" name="Capital Draw" sheetId="18" r:id="R977f8c9baee44289"/>
    <x:sheet xmlns:r="http://schemas.openxmlformats.org/officeDocument/2006/relationships" name="Annual Draw" sheetId="19" r:id="R9d7630a852824c59"/>
    <x:sheet xmlns:r="http://schemas.openxmlformats.org/officeDocument/2006/relationships" name="Release Gates" sheetId="20" r:id="Rbb70188f7dff42e0"/>
    <x:sheet xmlns:r="http://schemas.openxmlformats.org/officeDocument/2006/relationships" name="Audit" sheetId="21" r:id="Rc88412edd9ca4f48"/>
    <x:sheet xmlns:r="http://schemas.openxmlformats.org/officeDocument/2006/relationships" name="ReadMe" sheetId="22" r:id="R0012bf88796b4d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8">
    <x:font>
      <x:sz val="11"/>
      <x:name val="Carlito"/>
    </x:font>
    <x:font>
      <x:b/>
      <x:sz val="15"/>
      <x:color rgb="FF17324D"/>
      <x:name val="Arial"/>
    </x:font>
    <x:font>
      <x:i/>
      <x:sz val="10"/>
      <x:color rgb="FF5D6B78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0070C0"/>
      <x:name val="Arial"/>
    </x:font>
    <x:font>
      <x:b/>
      <x:sz val="10"/>
      <x:color rgb="FF273444"/>
      <x:name val="Arial"/>
    </x:font>
    <x:font>
      <x:b/>
      <x:sz val="10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5"/>
      </x:patternFill>
    </x:fill>
  </x:fills>
  <x:borders count="3">
    <x:border/>
    <x:border>
      <x:bottom style="thin">
        <x:color rgb="FF17324D"/>
      </x:bottom>
    </x:border>
    <x:border>
      <x:bottom style="thin">
        <x:color rgb="FFC8D3DD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center" vertical="center"/>
    </x:xf>
    <x:xf numFmtId="200" fontId="4" fillId="0" borderId="2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6" fillId="3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88"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0e84a8d4342a3" /><Relationship Type="http://schemas.openxmlformats.org/officeDocument/2006/relationships/theme" Target="/xl/theme/theme1.xml" Id="R699ad4de77db47c3" /><Relationship Type="http://schemas.openxmlformats.org/officeDocument/2006/relationships/sharedStrings" Target="/xl/sharedStrings.xml" Id="R32fe163d9aad45be" /><Relationship Type="http://schemas.openxmlformats.org/officeDocument/2006/relationships/worksheet" Target="/xl/worksheets/sheet1.xml" Id="R4a1c1ac7f817418d" /><Relationship Type="http://schemas.openxmlformats.org/officeDocument/2006/relationships/worksheet" Target="/xl/worksheets/sheet2.xml" Id="R53ce7001ba1645fa" /><Relationship Type="http://schemas.openxmlformats.org/officeDocument/2006/relationships/worksheet" Target="/xl/worksheets/sheet3.xml" Id="R045c133967fe4355" /><Relationship Type="http://schemas.openxmlformats.org/officeDocument/2006/relationships/worksheet" Target="/xl/worksheets/sheet4.xml" Id="R595e0a29d0b84cc3" /><Relationship Type="http://schemas.openxmlformats.org/officeDocument/2006/relationships/worksheet" Target="/xl/worksheets/sheet5.xml" Id="R545f6768e0294c7f" /><Relationship Type="http://schemas.openxmlformats.org/officeDocument/2006/relationships/worksheet" Target="/xl/worksheets/sheet6.xml" Id="Reae1142007d0498d" /><Relationship Type="http://schemas.openxmlformats.org/officeDocument/2006/relationships/worksheet" Target="/xl/worksheets/sheet7.xml" Id="R8e856c2d322b49be" /><Relationship Type="http://schemas.openxmlformats.org/officeDocument/2006/relationships/worksheet" Target="/xl/worksheets/sheet8.xml" Id="R00bcc8ec72714e29" /><Relationship Type="http://schemas.openxmlformats.org/officeDocument/2006/relationships/worksheet" Target="/xl/worksheets/sheet9.xml" Id="Rf0eb85b5c4794148" /><Relationship Type="http://schemas.openxmlformats.org/officeDocument/2006/relationships/worksheet" Target="/xl/worksheets/sheet10.xml" Id="R8a9acc5052484992" /><Relationship Type="http://schemas.openxmlformats.org/officeDocument/2006/relationships/worksheet" Target="/xl/worksheets/sheet11.xml" Id="Rad62b545b5544f0f" /><Relationship Type="http://schemas.openxmlformats.org/officeDocument/2006/relationships/worksheet" Target="/xl/worksheets/sheet12.xml" Id="R13a12a0c0d01444b" /><Relationship Type="http://schemas.openxmlformats.org/officeDocument/2006/relationships/worksheet" Target="/xl/worksheets/sheet13.xml" Id="Rf2814a1f6f864652" /><Relationship Type="http://schemas.openxmlformats.org/officeDocument/2006/relationships/worksheet" Target="/xl/worksheets/sheet14.xml" Id="Rfbdcb26c6cad4b2d" /><Relationship Type="http://schemas.openxmlformats.org/officeDocument/2006/relationships/worksheet" Target="/xl/worksheets/sheet15.xml" Id="R5db6a8950ff140bf" /><Relationship Type="http://schemas.openxmlformats.org/officeDocument/2006/relationships/worksheet" Target="/xl/worksheets/sheet16.xml" Id="Rf8904a7c29304cbb" /><Relationship Type="http://schemas.openxmlformats.org/officeDocument/2006/relationships/worksheet" Target="/xl/worksheets/sheet17.xml" Id="R5af466106e8c4a6e" /><Relationship Type="http://schemas.openxmlformats.org/officeDocument/2006/relationships/worksheet" Target="/xl/worksheets/sheet18.xml" Id="R977f8c9baee44289" /><Relationship Type="http://schemas.openxmlformats.org/officeDocument/2006/relationships/worksheet" Target="/xl/worksheets/sheet19.xml" Id="R9d7630a852824c59" /><Relationship Type="http://schemas.openxmlformats.org/officeDocument/2006/relationships/worksheet" Target="/xl/worksheets/sheet20.xml" Id="Rbb70188f7dff42e0" /><Relationship Type="http://schemas.openxmlformats.org/officeDocument/2006/relationships/worksheet" Target="/xl/worksheets/sheet21.xml" Id="Rc88412edd9ca4f48" /><Relationship Type="http://schemas.openxmlformats.org/officeDocument/2006/relationships/worksheet" Target="/xl/worksheets/sheet22.xml" Id="R0012bf88796b4d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43" hidden="0" customWidth="1"/>
    <x:col min="3" max="3" width="4" hidden="0" customWidth="1"/>
    <x:col min="4" max="4" width="22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</x:cols>
  <x:sheetData>
    <x:row r="2">
      <x:c r="B2" s="28" t="str">
        <x:v>BRD-1 | CISA-40 internal build-release constitution</x:v>
      </x:c>
      <x:c r="C2" s="8"/>
      <x:c r="D2" s="8"/>
      <x:c r="E2" s="8"/>
      <x:c r="F2" s="8"/>
      <x:c r="G2" s="8"/>
      <x:c r="H2" s="8"/>
    </x:row>
    <x:row r="3">
      <x:c r="B3" s="2" t="str">
        <x:v>Coordinate, section, topology, record and authority definition—not an exterior vehicle design.</x:v>
      </x:c>
      <x:c r="C3" s="8"/>
      <x:c r="D3" s="8"/>
      <x:c r="E3" s="8"/>
      <x:c r="F3" s="8"/>
      <x:c r="G3" s="8"/>
      <x:c r="H3" s="8"/>
    </x:row>
    <x:row r="4">
      <x:c r="B4" s="29"/>
      <x:c r="C4" s="29"/>
      <x:c r="D4" s="29"/>
      <x:c r="E4" s="29"/>
      <x:c r="F4" s="29"/>
      <x:c r="G4" s="29"/>
      <x:c r="H4" s="29"/>
    </x:row>
    <x:row r="5">
      <x:c r="B5" s="8"/>
      <x:c r="C5" s="8"/>
      <x:c r="D5" s="8"/>
      <x:c r="E5" s="8"/>
      <x:c r="F5" s="8"/>
      <x:c r="G5" s="8"/>
      <x:c r="H5" s="8"/>
    </x:row>
    <x:row r="6">
      <x:c r="B6" s="14" t="str">
        <x:v>Current authority</x:v>
      </x:c>
      <x:c r="C6" s="14" t="str">
        <x:v>Current authority</x:v>
      </x:c>
      <x:c r="D6" s="14" t="str">
        <x:v>Current authority</x:v>
      </x:c>
      <x:c r="E6" s="14" t="str">
        <x:v>Current authority</x:v>
      </x:c>
      <x:c r="F6" s="14" t="str">
        <x:v>Current authority</x:v>
      </x:c>
      <x:c r="G6" s="14" t="str">
        <x:v>Current authority</x:v>
      </x:c>
      <x:c r="H6" s="14" t="str">
        <x:v>Current authority</x:v>
      </x:c>
    </x:row>
    <x:row r="7">
      <x:c r="B7" s="9" t="str">
        <x:v>Drawing-definition planning</x:v>
      </x:c>
      <x:c r="C7" s="9"/>
      <x:c r="D7" s="9" t="str">
        <x:f>IF(COUNTIFS('Release Gates'!G7:G44,"PASS")=38,"AUTHORIZED","HOLD")</x:f>
        <x:v>AUTHORIZED</x:v>
      </x:c>
      <x:c r="E7" s="8"/>
      <x:c r="F7" s="8"/>
      <x:c r="G7" s="8"/>
      <x:c r="H7" s="8"/>
    </x:row>
    <x:row r="8">
      <x:c r="B8" s="9" t="str">
        <x:v>Article build release</x:v>
      </x:c>
      <x:c r="C8" s="9"/>
      <x:c r="D8" s="9" t="str">
        <x:f>IF(COUNTIFS('Release Gates'!G45:G58,"PASS")=14,"AUTHORIZED","HOLD")</x:f>
        <x:v>HOLD</x:v>
      </x:c>
      <x:c r="E8" s="8"/>
      <x:c r="F8" s="8"/>
      <x:c r="G8" s="8"/>
      <x:c r="H8" s="8"/>
    </x:row>
    <x:row r="9">
      <x:c r="B9" s="9" t="str">
        <x:v>CRC-E01 admission</x:v>
      </x:c>
      <x:c r="C9" s="9"/>
      <x:c r="D9" s="9" t="str">
        <x:f>'Release Gates'!H60</x:f>
        <x:v>BLOCKED</x:v>
      </x:c>
      <x:c r="E9" s="8"/>
      <x:c r="F9" s="8"/>
      <x:c r="G9" s="8"/>
      <x:c r="H9" s="8"/>
    </x:row>
    <x:row r="10">
      <x:c r="B10" s="9" t="str">
        <x:v>Production authority</x:v>
      </x:c>
      <x:c r="C10" s="9"/>
      <x:c r="D10" s="9" t="str">
        <x:f>'Release Gates'!H61</x:f>
        <x:v>BLOCKED</x:v>
      </x:c>
      <x:c r="E10" s="8"/>
      <x:c r="F10" s="8"/>
      <x:c r="G10" s="8"/>
      <x:c r="H10" s="8"/>
    </x:row>
    <x:row r="11">
      <x:c r="B11" s="10" t="str">
        <x:v>Exterior rendering authority</x:v>
      </x:c>
      <x:c r="C11" s="10"/>
      <x:c r="D11" s="10" t="str">
        <x:f>'Release Gates'!H62</x:f>
        <x:v>BLOCKED</x:v>
      </x:c>
      <x:c r="E11" s="8"/>
      <x:c r="F11" s="8"/>
      <x:c r="G11" s="8"/>
      <x:c r="H11" s="8"/>
    </x:row>
    <x:row r="12">
      <x:c r="B12" s="8"/>
      <x:c r="C12" s="8"/>
      <x:c r="D12" s="8"/>
      <x:c r="E12" s="8"/>
      <x:c r="F12" s="8"/>
      <x:c r="G12" s="8"/>
      <x:c r="H12" s="8"/>
    </x:row>
    <x:row r="13">
      <x:c r="B13" s="8"/>
      <x:c r="C13" s="8"/>
      <x:c r="D13" s="8"/>
      <x:c r="E13" s="8"/>
      <x:c r="F13" s="8"/>
      <x:c r="G13" s="8"/>
      <x:c r="H13" s="8"/>
    </x:row>
    <x:row r="14">
      <x:c r="B14" s="14" t="str">
        <x:v>Resolved physical definition</x:v>
      </x:c>
      <x:c r="C14" s="14" t="str">
        <x:v>Resolved physical definition</x:v>
      </x:c>
      <x:c r="D14" s="14" t="str">
        <x:v>Resolved physical definition</x:v>
      </x:c>
      <x:c r="E14" s="14" t="str">
        <x:v>Resolved physical definition</x:v>
      </x:c>
      <x:c r="F14" s="14" t="str">
        <x:v>Resolved physical definition</x:v>
      </x:c>
      <x:c r="G14" s="14" t="str">
        <x:v>Resolved physical definition</x:v>
      </x:c>
      <x:c r="H14" s="14" t="str">
        <x:v>Resolved physical definition</x:v>
      </x:c>
    </x:row>
    <x:row r="15">
      <x:c r="B15" s="9" t="str">
        <x:v>Root A dry CG X</x:v>
      </x:c>
      <x:c r="C15" s="9"/>
      <x:c r="D15" s="16" t="n">
        <x:f>'Mass and CG'!E49</x:f>
        <x:v>5.7575</x:v>
      </x:c>
      <x:c r="E15" s="9" t="str">
        <x:v>m</x:v>
      </x:c>
      <x:c r="F15" s="8"/>
      <x:c r="G15" s="8"/>
      <x:c r="H15" s="8"/>
    </x:row>
    <x:row r="16">
      <x:c r="B16" s="9" t="str">
        <x:v>Root B dry CG X</x:v>
      </x:c>
      <x:c r="C16" s="9"/>
      <x:c r="D16" s="16" t="n">
        <x:f>'Mass and CG'!E50</x:f>
        <x:v>5.809375</x:v>
      </x:c>
      <x:c r="E16" s="9" t="str">
        <x:v>m</x:v>
      </x:c>
      <x:c r="F16" s="8"/>
      <x:c r="G16" s="8"/>
      <x:c r="H16" s="8"/>
    </x:row>
    <x:row r="17">
      <x:c r="B17" s="9" t="str">
        <x:v>Root A operating CG Z</x:v>
      </x:c>
      <x:c r="C17" s="9"/>
      <x:c r="D17" s="16" t="n">
        <x:f>'Mass and CG'!G52</x:f>
        <x:v>1.1893749999999998</x:v>
      </x:c>
      <x:c r="E17" s="9" t="str">
        <x:v>m</x:v>
      </x:c>
      <x:c r="F17" s="8"/>
      <x:c r="G17" s="8"/>
      <x:c r="H17" s="8"/>
    </x:row>
    <x:row r="18">
      <x:c r="B18" s="9" t="str">
        <x:v>Root B operating CG Z</x:v>
      </x:c>
      <x:c r="C18" s="9"/>
      <x:c r="D18" s="16" t="n">
        <x:f>'Mass and CG'!G53</x:f>
        <x:v>1.2011249999999998</x:v>
      </x:c>
      <x:c r="E18" s="9" t="str">
        <x:v>m</x:v>
      </x:c>
      <x:c r="F18" s="8"/>
      <x:c r="G18" s="8"/>
      <x:c r="H18" s="8"/>
    </x:row>
    <x:row r="19">
      <x:c r="B19" s="9" t="str">
        <x:v>Weak-ground support demand</x:v>
      </x:c>
      <x:c r="C19" s="9"/>
      <x:c r="D19" s="16" t="n">
        <x:f>'Support Geometry'!F20</x:f>
        <x:v>70.92309374999999</x:v>
      </x:c>
      <x:c r="E19" s="9" t="str">
        <x:v>kPa</x:v>
      </x:c>
      <x:c r="F19" s="8"/>
      <x:c r="G19" s="8"/>
      <x:c r="H19" s="8"/>
    </x:row>
    <x:row r="20">
      <x:c r="B20" s="9" t="str">
        <x:v>Combined anchor demand</x:v>
      </x:c>
      <x:c r="C20" s="9"/>
      <x:c r="D20" s="16" t="n">
        <x:f>'Anchor and Lift'!D20</x:f>
        <x:v>156.7572680486432</x:v>
      </x:c>
      <x:c r="E20" s="9" t="str">
        <x:v>kN</x:v>
      </x:c>
      <x:c r="F20" s="8"/>
      <x:c r="G20" s="8"/>
      <x:c r="H20" s="8"/>
    </x:row>
    <x:row r="21">
      <x:c r="B21" s="9" t="str">
        <x:v>Challenged lift demand</x:v>
      </x:c>
      <x:c r="C21" s="9"/>
      <x:c r="D21" s="16" t="n">
        <x:f>'Anchor and Lift'!D21</x:f>
        <x:v>142.784824</x:v>
      </x:c>
      <x:c r="E21" s="9" t="str">
        <x:v>kN</x:v>
      </x:c>
      <x:c r="F21" s="8"/>
      <x:c r="G21" s="8"/>
      <x:c r="H21" s="8"/>
    </x:row>
    <x:row r="22">
      <x:c r="B22" s="9" t="str">
        <x:v>Hydraulic length per path</x:v>
      </x:c>
      <x:c r="C22" s="9"/>
      <x:c r="D22" s="16" t="n">
        <x:f>'Hydraulic Topology'!E8</x:f>
        <x:v>24</x:v>
      </x:c>
      <x:c r="E22" s="9" t="str">
        <x:v>m</x:v>
      </x:c>
      <x:c r="F22" s="8"/>
      <x:c r="G22" s="8"/>
      <x:c r="H22" s="8"/>
    </x:row>
    <x:row r="23">
      <x:c r="B23" s="9" t="str">
        <x:v>Total hydraulic volume</x:v>
      </x:c>
      <x:c r="C23" s="9"/>
      <x:c r="D23" s="16" t="n">
        <x:f>'Hydraulic Topology'!E10</x:f>
        <x:v>4.618141200776995</x:v>
      </x:c>
      <x:c r="E23" s="9" t="str">
        <x:v>m3</x:v>
      </x:c>
      <x:c r="F23" s="8"/>
      <x:c r="G23" s="8"/>
      <x:c r="H23" s="8"/>
    </x:row>
    <x:row r="24">
      <x:c r="B24" s="9" t="str">
        <x:v>Normal LV current</x:v>
      </x:c>
      <x:c r="C24" s="9"/>
      <x:c r="D24" s="16" t="n">
        <x:f>'Power One-Line'!G7</x:f>
        <x:v>2.0046884346862006</x:v>
      </x:c>
      <x:c r="E24" s="9" t="str">
        <x:v>kA</x:v>
      </x:c>
      <x:c r="F24" s="8"/>
      <x:c r="G24" s="8"/>
      <x:c r="H24" s="8"/>
    </x:row>
    <x:row r="25">
      <x:c r="B25" s="9" t="str">
        <x:v>Evidence endurance</x:v>
      </x:c>
      <x:c r="C25" s="9"/>
      <x:c r="D25" s="16" t="n">
        <x:f>'Power One-Line'!I17</x:f>
        <x:v>2</x:v>
      </x:c>
      <x:c r="E25" s="9" t="str">
        <x:v>h</x:v>
      </x:c>
      <x:c r="F25" s="8"/>
      <x:c r="G25" s="8"/>
      <x:c r="H25" s="8"/>
    </x:row>
    <x:row r="26">
      <x:c r="B26" s="10" t="str">
        <x:v>Drawing / record / check / hazard counts</x:v>
      </x:c>
      <x:c r="C26" s="10"/>
      <x:c r="D26" s="19" t="n">
        <x:f>COUNTA('Drawing Register'!B7:B54)+COUNTA('Build Records'!B7:B58)+COUNTA('Drawing Checks'!B7:B30)+COUNTA('Access and Hazards'!B7:B24)</x:f>
        <x:v>142</x:v>
      </x:c>
      <x:c r="E26" s="10" t="str">
        <x:v>total objects</x:v>
      </x:c>
      <x:c r="F26" s="8"/>
      <x:c r="G26" s="8"/>
      <x:c r="H26" s="8"/>
    </x:row>
    <x:row r="27">
      <x:c r="B27" s="8"/>
      <x:c r="C27" s="8"/>
      <x:c r="D27" s="30"/>
      <x:c r="E27" s="8"/>
      <x:c r="F27" s="8"/>
      <x:c r="G27" s="8"/>
      <x:c r="H27" s="8"/>
    </x:row>
    <x:row r="28">
      <x:c r="B28" s="8"/>
      <x:c r="C28" s="8"/>
      <x:c r="D28" s="30"/>
      <x:c r="E28" s="8"/>
      <x:c r="F28" s="8"/>
      <x:c r="G28" s="8"/>
      <x:c r="H28" s="8"/>
    </x:row>
    <x:row r="29">
      <x:c r="B29" s="8"/>
      <x:c r="C29" s="8"/>
      <x:c r="D29" s="30"/>
      <x:c r="E29" s="8"/>
      <x:c r="F29" s="8"/>
      <x:c r="G29" s="8"/>
      <x:c r="H29" s="8"/>
    </x:row>
    <x:row r="30">
      <x:c r="B30" s="14" t="str">
        <x:v>Resource boundary</x:v>
      </x:c>
      <x:c r="C30" s="14" t="str">
        <x:v>Resource boundary</x:v>
      </x:c>
      <x:c r="D30" s="25" t="str">
        <x:v>Resource boundary</x:v>
      </x:c>
      <x:c r="E30" s="14" t="str">
        <x:v>Resource boundary</x:v>
      </x:c>
      <x:c r="F30" s="14" t="str">
        <x:v>Resource boundary</x:v>
      </x:c>
      <x:c r="G30" s="14" t="str">
        <x:v>Resource boundary</x:v>
      </x:c>
      <x:c r="H30" s="14" t="str">
        <x:v>Resource boundary</x:v>
      </x:c>
    </x:row>
    <x:row r="31">
      <x:c r="B31" s="9" t="str">
        <x:v>BRD-1 capital</x:v>
      </x:c>
      <x:c r="C31" s="9"/>
      <x:c r="D31" s="16" t="n">
        <x:f>'Capital Draw'!D18</x:f>
        <x:v>0.31800000000000006</x:v>
      </x:c>
      <x:c r="E31" s="9" t="str">
        <x:v>USD B</x:v>
      </x:c>
      <x:c r="F31" s="8"/>
      <x:c r="G31" s="8"/>
      <x:c r="H31" s="8"/>
    </x:row>
    <x:row r="32">
      <x:c r="B32" s="9" t="str">
        <x:v>BRD-1 annual</x:v>
      </x:c>
      <x:c r="C32" s="9"/>
      <x:c r="D32" s="16" t="n">
        <x:f>'Annual Draw'!D18</x:f>
        <x:v>0.08400000000000002</x:v>
      </x:c>
      <x:c r="E32" s="9" t="str">
        <x:v>USD B/year</x:v>
      </x:c>
      <x:c r="F32" s="8"/>
      <x:c r="G32" s="8"/>
      <x:c r="H32" s="8"/>
    </x:row>
    <x:row r="33">
      <x:c r="B33" s="9" t="str">
        <x:v>18-month operating</x:v>
      </x:c>
      <x:c r="C33" s="9"/>
      <x:c r="D33" s="16" t="n">
        <x:f>'Annual Draw'!D21</x:f>
        <x:v>0.12600000000000003</x:v>
      </x:c>
      <x:c r="E33" s="9" t="str">
        <x:v>USD B</x:v>
      </x:c>
      <x:c r="F33" s="8"/>
      <x:c r="G33" s="8"/>
      <x:c r="H33" s="8"/>
    </x:row>
    <x:row r="34">
      <x:c r="B34" s="9" t="str">
        <x:v>Program workforce</x:v>
      </x:c>
      <x:c r="C34" s="9"/>
      <x:c r="D34" s="16" t="n">
        <x:f>'Controls'!$D$69+'Controls'!$D$70</x:f>
        <x:v>192</x:v>
      </x:c>
      <x:c r="E34" s="9" t="str">
        <x:v>people</x:v>
      </x:c>
      <x:c r="F34" s="8"/>
      <x:c r="G34" s="8"/>
      <x:c r="H34" s="8"/>
    </x:row>
    <x:row r="35">
      <x:c r="B35" s="10" t="str">
        <x:v>Physical observations</x:v>
      </x:c>
      <x:c r="C35" s="10"/>
      <x:c r="D35" s="19" t="n">
        <x:f>'Controls'!$D$78</x:f>
        <x:v>0</x:v>
      </x:c>
      <x:c r="E35" s="10" t="str">
        <x:v>count</x:v>
      </x:c>
      <x:c r="F35" s="8"/>
      <x:c r="G35" s="8"/>
      <x:c r="H35" s="8"/>
    </x:row>
    <x:row r="36">
      <x:c r="B36" s="8"/>
      <x:c r="C36" s="8"/>
      <x:c r="D36" s="8"/>
      <x:c r="E36" s="8"/>
      <x:c r="F36" s="8"/>
      <x:c r="G36" s="8"/>
      <x:c r="H36" s="8"/>
    </x:row>
    <x:row r="37">
      <x:c r="B37" s="8"/>
      <x:c r="C37" s="8"/>
      <x:c r="D37" s="8"/>
      <x:c r="E37" s="8"/>
      <x:c r="F37" s="8"/>
      <x:c r="G37" s="8"/>
      <x:c r="H37" s="8"/>
    </x:row>
    <x:row r="38">
      <x:c r="B38" s="14" t="str">
        <x:v>Interpretation</x:v>
      </x:c>
      <x:c r="C38" s="14" t="str">
        <x:v>Interpretation</x:v>
      </x:c>
      <x:c r="D38" s="14" t="str">
        <x:v>Interpretation</x:v>
      </x:c>
      <x:c r="E38" s="14" t="str">
        <x:v>Interpretation</x:v>
      </x:c>
      <x:c r="F38" s="14" t="str">
        <x:v>Interpretation</x:v>
      </x:c>
      <x:c r="G38" s="14" t="str">
        <x:v>Interpretation</x:v>
      </x:c>
      <x:c r="H38" s="14" t="str">
        <x:v>Interpretation</x:v>
      </x:c>
    </x:row>
    <x:row r="39">
      <x:c r="B39" s="31" t="str">
        <x:v>BRD-1 makes the first CISA-40 article internally attributable: deployable anchors create the five-metre load line, separately measured article and receiver sections create each 24 m hydraulic path, and unlike roots carry their own structure, handling, collars, storage, protection and build ancestry. Drawing planning may close. No source evidence exists, so build release, article acceptance, CRC-E01, production and exterior rendering remain unavailable.</x:v>
      </x:c>
      <x:c r="C39" s="31"/>
      <x:c r="D39" s="31"/>
      <x:c r="E39" s="31"/>
      <x:c r="F39" s="31"/>
      <x:c r="G39" s="31"/>
      <x:c r="H39" s="31"/>
    </x:row>
    <x:row r="40">
      <x:c r="B40" s="31"/>
      <x:c r="C40" s="31"/>
      <x:c r="D40" s="31"/>
      <x:c r="E40" s="31"/>
      <x:c r="F40" s="31"/>
      <x:c r="G40" s="31"/>
      <x:c r="H40" s="31"/>
    </x:row>
    <x:row r="41">
      <x:c r="B41" s="31"/>
      <x:c r="C41" s="31"/>
      <x:c r="D41" s="31"/>
      <x:c r="E41" s="31"/>
      <x:c r="F41" s="31"/>
      <x:c r="G41" s="31"/>
      <x:c r="H41" s="31"/>
    </x:row>
    <x:row r="42">
      <x:c r="B42" s="31"/>
      <x:c r="C42" s="31"/>
      <x:c r="D42" s="31"/>
      <x:c r="E42" s="31"/>
      <x:c r="F42" s="31"/>
      <x:c r="G42" s="31"/>
      <x:c r="H42" s="31"/>
    </x:row>
    <x:row r="43">
      <x:c r="B43" s="31"/>
      <x:c r="C43" s="31"/>
      <x:c r="D43" s="31"/>
      <x:c r="E43" s="31"/>
      <x:c r="F43" s="31"/>
      <x:c r="G43" s="31"/>
      <x:c r="H43" s="31"/>
    </x:row>
  </x:sheetData>
  <x:mergeCells>
    <x:mergeCell ref="B2:H2"/>
    <x:mergeCell ref="B3:H3"/>
    <x:mergeCell ref="B6:H6"/>
    <x:mergeCell ref="B14:H14"/>
    <x:mergeCell ref="B30:H30"/>
    <x:mergeCell ref="B38:H38"/>
    <x:mergeCell ref="B39:H43"/>
  </x:mergeCells>
  <x:conditionalFormatting sqref="D7:D11">
    <x:cfRule type="containsText" dxfId="276" priority="1" operator="containsText" text="PASS"/>
    <x:cfRule type="containsText" dxfId="277" priority="2" operator="containsText" text="AUTHORIZED"/>
    <x:cfRule type="containsText" dxfId="278" priority="3" operator="containsText" text="DEFINED"/>
    <x:cfRule type="containsText" dxfId="279" priority="4" operator="containsText" text="READY"/>
    <x:cfRule type="containsText" dxfId="280" priority="5" operator="containsText" text="HOLD"/>
    <x:cfRule type="containsText" dxfId="281" priority="6" operator="containsText" text="OPEN"/>
    <x:cfRule type="containsText" dxfId="282" priority="7" operator="containsText" text="BLOCKED"/>
    <x:cfRule type="containsText" dxfId="283" priority="8" operator="containsText" text="PLANNING"/>
    <x:cfRule type="containsText" dxfId="284" priority="9" operator="containsText" text="FAIL"/>
    <x:cfRule type="containsText" dxfId="285" priority="10" operator="containsText" text="REJECT"/>
    <x:cfRule type="containsText" dxfId="286" priority="11" operator="containsText" text="INCOMPLETE"/>
    <x:cfRule type="containsText" dxfId="287" priority="12" operator="containsText" text="INDETERMINA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3" hidden="0" customWidth="1"/>
    <x:col min="4" max="4" width="18" hidden="0" customWidth="1"/>
    <x:col min="5" max="5" width="18" hidden="0" customWidth="1"/>
    <x:col min="6" max="6" width="15" hidden="0" customWidth="1"/>
    <x:col min="7" max="7" width="23" hidden="0" customWidth="1"/>
  </x:cols>
  <x:sheetData>
    <x:row r="2">
      <x:c r="B2" s="28" t="str">
        <x:v>BRD-1 controls</x:v>
      </x:c>
      <x:c r="C2" s="8"/>
      <x:c r="D2" s="8"/>
      <x:c r="E2" s="8"/>
      <x:c r="F2" s="8"/>
      <x:c r="G2" s="8"/>
    </x:row>
    <x:row r="3">
      <x:c r="B3" s="2" t="str">
        <x:v>Blue values are inherited constraints or explicit planning assumptions; observation controls remain zero.</x:v>
      </x:c>
      <x:c r="C3" s="8"/>
      <x:c r="D3" s="8"/>
      <x:c r="E3" s="8"/>
      <x:c r="F3" s="8"/>
      <x:c r="G3" s="8"/>
    </x:row>
    <x:row r="4">
      <x:c r="B4" s="29"/>
      <x:c r="C4" s="29"/>
      <x:c r="D4" s="29"/>
      <x:c r="E4" s="29"/>
      <x:c r="F4" s="29"/>
      <x:c r="G4" s="29"/>
    </x:row>
    <x:row r="5">
      <x:c r="B5" s="8"/>
      <x:c r="C5" s="8"/>
      <x:c r="D5" s="8"/>
      <x:c r="E5" s="8"/>
      <x:c r="F5" s="8"/>
      <x:c r="G5" s="8"/>
    </x:row>
    <x:row r="6">
      <x:c r="B6" s="7" t="str">
        <x:v>ID</x:v>
      </x:c>
      <x:c r="C6" s="7" t="str">
        <x:v>Control</x:v>
      </x:c>
      <x:c r="D6" s="7" t="str">
        <x:v>Value</x:v>
      </x:c>
      <x:c r="E6" s="7" t="str">
        <x:v>Unit</x:v>
      </x:c>
      <x:c r="F6" s="7" t="str">
        <x:v>State</x:v>
      </x:c>
      <x:c r="G6" s="7" t="str">
        <x:v>Authority</x:v>
      </x:c>
    </x:row>
    <x:row r="7">
      <x:c r="B7" s="9" t="str">
        <x:v>C01</x:v>
      </x:c>
      <x:c r="C7" s="9" t="str">
        <x:v>Transport length</x:v>
      </x:c>
      <x:c r="D7" s="11" t="n">
        <x:v>12</x:v>
      </x:c>
      <x:c r="E7" s="9" t="str">
        <x:v>m</x:v>
      </x:c>
      <x:c r="F7" s="9" t="str">
        <x:v>DESIGN</x:v>
      </x:c>
      <x:c r="G7" s="9" t="str">
        <x:v>Pass 111 definition</x:v>
      </x:c>
    </x:row>
    <x:row r="8">
      <x:c r="B8" s="9" t="str">
        <x:v>C02</x:v>
      </x:c>
      <x:c r="C8" s="9" t="str">
        <x:v>Transport half-width</x:v>
      </x:c>
      <x:c r="D8" s="11" t="n">
        <x:v>1.8</x:v>
      </x:c>
      <x:c r="E8" s="9" t="str">
        <x:v>m</x:v>
      </x:c>
      <x:c r="F8" s="9" t="str">
        <x:v>DESIGN</x:v>
      </x:c>
      <x:c r="G8" s="9" t="str">
        <x:v>Pass 111 definition</x:v>
      </x:c>
    </x:row>
    <x:row r="9">
      <x:c r="B9" s="9" t="str">
        <x:v>C03</x:v>
      </x:c>
      <x:c r="C9" s="9" t="str">
        <x:v>Transport height</x:v>
      </x:c>
      <x:c r="D9" s="11" t="n">
        <x:v>3.8</x:v>
      </x:c>
      <x:c r="E9" s="9" t="str">
        <x:v>m</x:v>
      </x:c>
      <x:c r="F9" s="9" t="str">
        <x:v>DESIGN</x:v>
      </x:c>
      <x:c r="G9" s="9" t="str">
        <x:v>Pass 111 definition</x:v>
      </x:c>
    </x:row>
    <x:row r="10">
      <x:c r="B10" s="9" t="str">
        <x:v>C04</x:v>
      </x:c>
      <x:c r="C10" s="9" t="str">
        <x:v>Dry mass per root</x:v>
      </x:c>
      <x:c r="D10" s="11" t="n">
        <x:v>32</x:v>
      </x:c>
      <x:c r="E10" s="9" t="str">
        <x:v>t</x:v>
      </x:c>
      <x:c r="F10" s="9" t="str">
        <x:v>DESIGN</x:v>
      </x:c>
      <x:c r="G10" s="9" t="str">
        <x:v>Pass 111 definition</x:v>
      </x:c>
    </x:row>
    <x:row r="11">
      <x:c r="B11" s="9" t="str">
        <x:v>C05</x:v>
      </x:c>
      <x:c r="C11" s="9" t="str">
        <x:v>Service inventory</x:v>
      </x:c>
      <x:c r="D11" s="11" t="n">
        <x:v>4</x:v>
      </x:c>
      <x:c r="E11" s="9" t="str">
        <x:v>t</x:v>
      </x:c>
      <x:c r="F11" s="9" t="str">
        <x:v>DESIGN</x:v>
      </x:c>
      <x:c r="G11" s="9" t="str">
        <x:v>Pass 111 definition</x:v>
      </x:c>
    </x:row>
    <x:row r="12">
      <x:c r="B12" s="9" t="str">
        <x:v>C06</x:v>
      </x:c>
      <x:c r="C12" s="9" t="str">
        <x:v>Ballast mass</x:v>
      </x:c>
      <x:c r="D12" s="11" t="n">
        <x:v>4</x:v>
      </x:c>
      <x:c r="E12" s="9" t="str">
        <x:v>t</x:v>
      </x:c>
      <x:c r="F12" s="9" t="str">
        <x:v>DESIGN</x:v>
      </x:c>
      <x:c r="G12" s="9" t="str">
        <x:v>Pass 111 definition</x:v>
      </x:c>
    </x:row>
    <x:row r="13">
      <x:c r="B13" s="9" t="str">
        <x:v>C07</x:v>
      </x:c>
      <x:c r="C13" s="9" t="str">
        <x:v>Operating mass</x:v>
      </x:c>
      <x:c r="D13" s="11" t="n">
        <x:v>40</x:v>
      </x:c>
      <x:c r="E13" s="9" t="str">
        <x:v>t</x:v>
      </x:c>
      <x:c r="F13" s="9" t="str">
        <x:v>DERIVED</x:v>
      </x:c>
      <x:c r="G13" s="9" t="str">
        <x:v>Pass 111 definition</x:v>
      </x:c>
    </x:row>
    <x:row r="14">
      <x:c r="B14" s="9" t="str">
        <x:v>C08</x:v>
      </x:c>
      <x:c r="C14" s="9" t="str">
        <x:v>Design CG X low</x:v>
      </x:c>
      <x:c r="D14" s="11" t="n">
        <x:v>5.6</x:v>
      </x:c>
      <x:c r="E14" s="9" t="str">
        <x:v>m</x:v>
      </x:c>
      <x:c r="F14" s="9" t="str">
        <x:v>DESIGN</x:v>
      </x:c>
      <x:c r="G14" s="9" t="str">
        <x:v>Pass 111 definition</x:v>
      </x:c>
    </x:row>
    <x:row r="15">
      <x:c r="B15" s="9" t="str">
        <x:v>C09</x:v>
      </x:c>
      <x:c r="C15" s="9" t="str">
        <x:v>Design CG X high</x:v>
      </x:c>
      <x:c r="D15" s="11" t="n">
        <x:v>6.4</x:v>
      </x:c>
      <x:c r="E15" s="9" t="str">
        <x:v>m</x:v>
      </x:c>
      <x:c r="F15" s="9" t="str">
        <x:v>DESIGN</x:v>
      </x:c>
      <x:c r="G15" s="9" t="str">
        <x:v>Pass 111 definition</x:v>
      </x:c>
    </x:row>
    <x:row r="16">
      <x:c r="B16" s="9" t="str">
        <x:v>C10</x:v>
      </x:c>
      <x:c r="C16" s="9" t="str">
        <x:v>Design CG absolute Y</x:v>
      </x:c>
      <x:c r="D16" s="11" t="n">
        <x:v>0.15</x:v>
      </x:c>
      <x:c r="E16" s="9" t="str">
        <x:v>m</x:v>
      </x:c>
      <x:c r="F16" s="9" t="str">
        <x:v>DESIGN</x:v>
      </x:c>
      <x:c r="G16" s="9" t="str">
        <x:v>Pass 111 definition</x:v>
      </x:c>
    </x:row>
    <x:row r="17">
      <x:c r="B17" s="9" t="str">
        <x:v>C11</x:v>
      </x:c>
      <x:c r="C17" s="9" t="str">
        <x:v>Design CG Z high</x:v>
      </x:c>
      <x:c r="D17" s="11" t="n">
        <x:v>1.6</x:v>
      </x:c>
      <x:c r="E17" s="9" t="str">
        <x:v>m</x:v>
      </x:c>
      <x:c r="F17" s="9" t="str">
        <x:v>DESIGN</x:v>
      </x:c>
      <x:c r="G17" s="9" t="str">
        <x:v>Pass 111 definition</x:v>
      </x:c>
    </x:row>
    <x:row r="18">
      <x:c r="B18" s="9" t="str">
        <x:v>C12</x:v>
      </x:c>
      <x:c r="C18" s="9" t="str">
        <x:v>Challenge CG Z high</x:v>
      </x:c>
      <x:c r="D18" s="11" t="n">
        <x:v>2.2</x:v>
      </x:c>
      <x:c r="E18" s="9" t="str">
        <x:v>m</x:v>
      </x:c>
      <x:c r="F18" s="9" t="str">
        <x:v>DESIGN</x:v>
      </x:c>
      <x:c r="G18" s="9" t="str">
        <x:v>Pass 111 definition</x:v>
      </x:c>
    </x:row>
    <x:row r="19">
      <x:c r="B19" s="9" t="str">
        <x:v>C13</x:v>
      </x:c>
      <x:c r="C19" s="9" t="str">
        <x:v>Support stations</x:v>
      </x:c>
      <x:c r="D19" s="11" t="n">
        <x:v>4</x:v>
      </x:c>
      <x:c r="E19" s="9" t="str">
        <x:v>stations</x:v>
      </x:c>
      <x:c r="F19" s="9" t="str">
        <x:v>DESIGN</x:v>
      </x:c>
      <x:c r="G19" s="9" t="str">
        <x:v>Pass 111 definition</x:v>
      </x:c>
    </x:row>
    <x:row r="20">
      <x:c r="B20" s="9" t="str">
        <x:v>C14</x:v>
      </x:c>
      <x:c r="C20" s="9" t="str">
        <x:v>Support nodes</x:v>
      </x:c>
      <x:c r="D20" s="11" t="n">
        <x:v>8</x:v>
      </x:c>
      <x:c r="E20" s="9" t="str">
        <x:v>nodes</x:v>
      </x:c>
      <x:c r="F20" s="9" t="str">
        <x:v>DESIGN</x:v>
      </x:c>
      <x:c r="G20" s="9" t="str">
        <x:v>Pass 111 definition</x:v>
      </x:c>
    </x:row>
    <x:row r="21">
      <x:c r="B21" s="9" t="str">
        <x:v>C15</x:v>
      </x:c>
      <x:c r="C21" s="9" t="str">
        <x:v>Support face X</x:v>
      </x:c>
      <x:c r="D21" s="11" t="n">
        <x:v>1</x:v>
      </x:c>
      <x:c r="E21" s="9" t="str">
        <x:v>m</x:v>
      </x:c>
      <x:c r="F21" s="9" t="str">
        <x:v>DESIGN</x:v>
      </x:c>
      <x:c r="G21" s="9" t="str">
        <x:v>Pass 111 definition</x:v>
      </x:c>
    </x:row>
    <x:row r="22">
      <x:c r="B22" s="9" t="str">
        <x:v>C16</x:v>
      </x:c>
      <x:c r="C22" s="9" t="str">
        <x:v>Support face Y</x:v>
      </x:c>
      <x:c r="D22" s="11" t="n">
        <x:v>1.6</x:v>
      </x:c>
      <x:c r="E22" s="9" t="str">
        <x:v>m</x:v>
      </x:c>
      <x:c r="F22" s="9" t="str">
        <x:v>DESIGN</x:v>
      </x:c>
      <x:c r="G22" s="9" t="str">
        <x:v>Pass 111 definition</x:v>
      </x:c>
    </x:row>
    <x:row r="23">
      <x:c r="B23" s="9" t="str">
        <x:v>C17</x:v>
      </x:c>
      <x:c r="C23" s="9" t="str">
        <x:v>Leveling travel</x:v>
      </x:c>
      <x:c r="D23" s="11" t="n">
        <x:v>0.4</x:v>
      </x:c>
      <x:c r="E23" s="9" t="str">
        <x:v>m</x:v>
      </x:c>
      <x:c r="F23" s="9" t="str">
        <x:v>DESIGN</x:v>
      </x:c>
      <x:c r="G23" s="9" t="str">
        <x:v>Pass 111 definition</x:v>
      </x:c>
    </x:row>
    <x:row r="24">
      <x:c r="B24" s="9" t="str">
        <x:v>C18</x:v>
      </x:c>
      <x:c r="C24" s="9" t="str">
        <x:v>Support jack WLL</x:v>
      </x:c>
      <x:c r="D24" s="11" t="n">
        <x:v>150</x:v>
      </x:c>
      <x:c r="E24" s="9" t="str">
        <x:v>kN</x:v>
      </x:c>
      <x:c r="F24" s="9" t="str">
        <x:v>DESIGN</x:v>
      </x:c>
      <x:c r="G24" s="9" t="str">
        <x:v>Pass 111 definition</x:v>
      </x:c>
    </x:row>
    <x:row r="25">
      <x:c r="B25" s="9" t="str">
        <x:v>C19</x:v>
      </x:c>
      <x:c r="C25" s="9" t="str">
        <x:v>Support measurement range</x:v>
      </x:c>
      <x:c r="D25" s="11" t="n">
        <x:v>200</x:v>
      </x:c>
      <x:c r="E25" s="9" t="str">
        <x:v>kN</x:v>
      </x:c>
      <x:c r="F25" s="9" t="str">
        <x:v>DESIGN</x:v>
      </x:c>
      <x:c r="G25" s="9" t="str">
        <x:v>Pass 111 definition</x:v>
      </x:c>
    </x:row>
    <x:row r="26">
      <x:c r="B26" s="9" t="str">
        <x:v>C20</x:v>
      </x:c>
      <x:c r="C26" s="9" t="str">
        <x:v>Weak-ground limit</x:v>
      </x:c>
      <x:c r="D26" s="11" t="n">
        <x:v>75</x:v>
      </x:c>
      <x:c r="E26" s="9" t="str">
        <x:v>kPa</x:v>
      </x:c>
      <x:c r="F26" s="9" t="str">
        <x:v>DESIGN</x:v>
      </x:c>
      <x:c r="G26" s="9" t="str">
        <x:v>Pass 111 definition</x:v>
      </x:c>
    </x:row>
    <x:row r="27">
      <x:c r="B27" s="9" t="str">
        <x:v>C21</x:v>
      </x:c>
      <x:c r="C27" s="9" t="str">
        <x:v>Anchor deployed span</x:v>
      </x:c>
      <x:c r="D27" s="11" t="n">
        <x:v>5</x:v>
      </x:c>
      <x:c r="E27" s="9" t="str">
        <x:v>m</x:v>
      </x:c>
      <x:c r="F27" s="9" t="str">
        <x:v>DESIGN</x:v>
      </x:c>
      <x:c r="G27" s="9" t="str">
        <x:v>Pass 111 definition</x:v>
      </x:c>
    </x:row>
    <x:row r="28">
      <x:c r="B28" s="9" t="str">
        <x:v>C22</x:v>
      </x:c>
      <x:c r="C28" s="9" t="str">
        <x:v>Anchor proof target</x:v>
      </x:c>
      <x:c r="D28" s="11" t="n">
        <x:v>200</x:v>
      </x:c>
      <x:c r="E28" s="9" t="str">
        <x:v>kN</x:v>
      </x:c>
      <x:c r="F28" s="9" t="str">
        <x:v>DESIGN</x:v>
      </x:c>
      <x:c r="G28" s="9" t="str">
        <x:v>Pass 111 definition</x:v>
      </x:c>
    </x:row>
    <x:row r="29">
      <x:c r="B29" s="9" t="str">
        <x:v>C23</x:v>
      </x:c>
      <x:c r="C29" s="9" t="str">
        <x:v>Anchor fixture capacity</x:v>
      </x:c>
      <x:c r="D29" s="11" t="n">
        <x:v>250</x:v>
      </x:c>
      <x:c r="E29" s="9" t="str">
        <x:v>kN</x:v>
      </x:c>
      <x:c r="F29" s="9" t="str">
        <x:v>DESIGN</x:v>
      </x:c>
      <x:c r="G29" s="9" t="str">
        <x:v>Pass 111 definition</x:v>
      </x:c>
    </x:row>
    <x:row r="30">
      <x:c r="B30" s="9" t="str">
        <x:v>C24</x:v>
      </x:c>
      <x:c r="C30" s="9" t="str">
        <x:v>Lift nodes</x:v>
      </x:c>
      <x:c r="D30" s="11" t="n">
        <x:v>4</x:v>
      </x:c>
      <x:c r="E30" s="9" t="str">
        <x:v>nodes</x:v>
      </x:c>
      <x:c r="F30" s="9" t="str">
        <x:v>DESIGN</x:v>
      </x:c>
      <x:c r="G30" s="9" t="str">
        <x:v>Pass 111 definition</x:v>
      </x:c>
    </x:row>
    <x:row r="31">
      <x:c r="B31" s="9" t="str">
        <x:v>C25</x:v>
      </x:c>
      <x:c r="C31" s="9" t="str">
        <x:v>Lift-node WLL</x:v>
      </x:c>
      <x:c r="D31" s="11" t="n">
        <x:v>196</x:v>
      </x:c>
      <x:c r="E31" s="9" t="str">
        <x:v>kN</x:v>
      </x:c>
      <x:c r="F31" s="9" t="str">
        <x:v>DESIGN</x:v>
      </x:c>
      <x:c r="G31" s="9" t="str">
        <x:v>Pass 111 definition</x:v>
      </x:c>
    </x:row>
    <x:row r="32">
      <x:c r="B32" s="9" t="str">
        <x:v>C26</x:v>
      </x:c>
      <x:c r="C32" s="9" t="str">
        <x:v>Lift-node proof</x:v>
      </x:c>
      <x:c r="D32" s="11" t="n">
        <x:v>200</x:v>
      </x:c>
      <x:c r="E32" s="9" t="str">
        <x:v>kN</x:v>
      </x:c>
      <x:c r="F32" s="9" t="str">
        <x:v>DESIGN</x:v>
      </x:c>
      <x:c r="G32" s="9" t="str">
        <x:v>Pass 111 definition</x:v>
      </x:c>
    </x:row>
    <x:row r="33">
      <x:c r="B33" s="9" t="str">
        <x:v>C27</x:v>
      </x:c>
      <x:c r="C33" s="9" t="str">
        <x:v>Gravity</x:v>
      </x:c>
      <x:c r="D33" s="11" t="n">
        <x:v>9.80665</x:v>
      </x:c>
      <x:c r="E33" s="9" t="str">
        <x:v>m/s2</x:v>
      </x:c>
      <x:c r="F33" s="9" t="str">
        <x:v>FROZEN</x:v>
      </x:c>
      <x:c r="G33" s="9" t="str">
        <x:v>Pass 111 definition</x:v>
      </x:c>
    </x:row>
    <x:row r="34">
      <x:c r="B34" s="9" t="str">
        <x:v>C28</x:v>
      </x:c>
      <x:c r="C34" s="9" t="str">
        <x:v>Vertical challenge</x:v>
      </x:c>
      <x:c r="D34" s="11" t="n">
        <x:v>1.5</x:v>
      </x:c>
      <x:c r="E34" s="9" t="str">
        <x:v>g</x:v>
      </x:c>
      <x:c r="F34" s="9" t="str">
        <x:v>DESIGN</x:v>
      </x:c>
      <x:c r="G34" s="9" t="str">
        <x:v>Pass 111 definition</x:v>
      </x:c>
    </x:row>
    <x:row r="35">
      <x:c r="B35" s="9" t="str">
        <x:v>C29</x:v>
      </x:c>
      <x:c r="C35" s="9" t="str">
        <x:v>Horizontal challenge</x:v>
      </x:c>
      <x:c r="D35" s="11" t="n">
        <x:v>0.6</x:v>
      </x:c>
      <x:c r="E35" s="9" t="str">
        <x:v>g</x:v>
      </x:c>
      <x:c r="F35" s="9" t="str">
        <x:v>DESIGN</x:v>
      </x:c>
      <x:c r="G35" s="9" t="str">
        <x:v>Pass 111 definition</x:v>
      </x:c>
    </x:row>
    <x:row r="36">
      <x:c r="B36" s="9" t="str">
        <x:v>C30</x:v>
      </x:c>
      <x:c r="C36" s="9" t="str">
        <x:v>Dry-lift factor</x:v>
      </x:c>
      <x:c r="D36" s="11" t="n">
        <x:v>1.3</x:v>
      </x:c>
      <x:c r="E36" s="9" t="str">
        <x:v>factor</x:v>
      </x:c>
      <x:c r="F36" s="9" t="str">
        <x:v>DESIGN</x:v>
      </x:c>
      <x:c r="G36" s="9" t="str">
        <x:v>Pass 111 definition</x:v>
      </x:c>
    </x:row>
    <x:row r="37">
      <x:c r="B37" s="9" t="str">
        <x:v>C31</x:v>
      </x:c>
      <x:c r="C37" s="9" t="str">
        <x:v>Support imbalance</x:v>
      </x:c>
      <x:c r="D37" s="11" t="n">
        <x:v>1.35</x:v>
      </x:c>
      <x:c r="E37" s="9" t="str">
        <x:v>factor</x:v>
      </x:c>
      <x:c r="F37" s="9" t="str">
        <x:v>DESIGN</x:v>
      </x:c>
      <x:c r="G37" s="9" t="str">
        <x:v>Pass 111 definition</x:v>
      </x:c>
    </x:row>
    <x:row r="38">
      <x:c r="B38" s="9" t="str">
        <x:v>C32</x:v>
      </x:c>
      <x:c r="C38" s="9" t="str">
        <x:v>Lift imbalance</x:v>
      </x:c>
      <x:c r="D38" s="11" t="n">
        <x:v>1.4</x:v>
      </x:c>
      <x:c r="E38" s="9" t="str">
        <x:v>factor</x:v>
      </x:c>
      <x:c r="F38" s="9" t="str">
        <x:v>DESIGN</x:v>
      </x:c>
      <x:c r="G38" s="9" t="str">
        <x:v>Pass 111 definition</x:v>
      </x:c>
    </x:row>
    <x:row r="39">
      <x:c r="B39" s="9" t="str">
        <x:v>C33</x:v>
      </x:c>
      <x:c r="C39" s="9" t="str">
        <x:v>Hydraulic bore</x:v>
      </x:c>
      <x:c r="D39" s="11" t="n">
        <x:v>0.35</x:v>
      </x:c>
      <x:c r="E39" s="9" t="str">
        <x:v>m</x:v>
      </x:c>
      <x:c r="F39" s="9" t="str">
        <x:v>FROZEN</x:v>
      </x:c>
      <x:c r="G39" s="9" t="str">
        <x:v>Pass 111 definition</x:v>
      </x:c>
    </x:row>
    <x:row r="40">
      <x:c r="B40" s="9" t="str">
        <x:v>C34</x:v>
      </x:c>
      <x:c r="C40" s="9" t="str">
        <x:v>Article path length</x:v>
      </x:c>
      <x:c r="D40" s="11" t="n">
        <x:v>12</x:v>
      </x:c>
      <x:c r="E40" s="9" t="str">
        <x:v>m/path</x:v>
      </x:c>
      <x:c r="F40" s="9" t="str">
        <x:v>DESIGN</x:v>
      </x:c>
      <x:c r="G40" s="9" t="str">
        <x:v>Pass 111 definition</x:v>
      </x:c>
    </x:row>
    <x:row r="41">
      <x:c r="B41" s="9" t="str">
        <x:v>C35</x:v>
      </x:c>
      <x:c r="C41" s="9" t="str">
        <x:v>Receiver return length</x:v>
      </x:c>
      <x:c r="D41" s="11" t="n">
        <x:v>12</x:v>
      </x:c>
      <x:c r="E41" s="9" t="str">
        <x:v>m/path</x:v>
      </x:c>
      <x:c r="F41" s="9" t="str">
        <x:v>DESIGN</x:v>
      </x:c>
      <x:c r="G41" s="9" t="str">
        <x:v>Pass 111 definition</x:v>
      </x:c>
    </x:row>
    <x:row r="42">
      <x:c r="B42" s="9" t="str">
        <x:v>C36</x:v>
      </x:c>
      <x:c r="C42" s="9" t="str">
        <x:v>Parallel paths</x:v>
      </x:c>
      <x:c r="D42" s="11" t="n">
        <x:v>2</x:v>
      </x:c>
      <x:c r="E42" s="9" t="str">
        <x:v>paths</x:v>
      </x:c>
      <x:c r="F42" s="9" t="str">
        <x:v>FROZEN</x:v>
      </x:c>
      <x:c r="G42" s="9" t="str">
        <x:v>Pass 111 definition</x:v>
      </x:c>
    </x:row>
    <x:row r="43">
      <x:c r="B43" s="9" t="str">
        <x:v>C37</x:v>
      </x:c>
      <x:c r="C43" s="9" t="str">
        <x:v>Working pressure</x:v>
      </x:c>
      <x:c r="D43" s="11" t="n">
        <x:v>0.7</x:v>
      </x:c>
      <x:c r="E43" s="9" t="str">
        <x:v>MPa</x:v>
      </x:c>
      <x:c r="F43" s="9" t="str">
        <x:v>FROZEN</x:v>
      </x:c>
      <x:c r="G43" s="9" t="str">
        <x:v>Pass 111 definition</x:v>
      </x:c>
    </x:row>
    <x:row r="44">
      <x:c r="B44" s="9" t="str">
        <x:v>C38</x:v>
      </x:c>
      <x:c r="C44" s="9" t="str">
        <x:v>Surge pressure</x:v>
      </x:c>
      <x:c r="D44" s="11" t="n">
        <x:v>0.85</x:v>
      </x:c>
      <x:c r="E44" s="9" t="str">
        <x:v>MPa</x:v>
      </x:c>
      <x:c r="F44" s="9" t="str">
        <x:v>FROZEN</x:v>
      </x:c>
      <x:c r="G44" s="9" t="str">
        <x:v>Pass 111 definition</x:v>
      </x:c>
    </x:row>
    <x:row r="45">
      <x:c r="B45" s="9" t="str">
        <x:v>C39</x:v>
      </x:c>
      <x:c r="C45" s="9" t="str">
        <x:v>Proof pressure</x:v>
      </x:c>
      <x:c r="D45" s="11" t="n">
        <x:v>1.05</x:v>
      </x:c>
      <x:c r="E45" s="9" t="str">
        <x:v>MPa</x:v>
      </x:c>
      <x:c r="F45" s="9" t="str">
        <x:v>FROZEN</x:v>
      </x:c>
      <x:c r="G45" s="9" t="str">
        <x:v>Pass 111 definition</x:v>
      </x:c>
    </x:row>
    <x:row r="46">
      <x:c r="B46" s="9" t="str">
        <x:v>C40</x:v>
      </x:c>
      <x:c r="C46" s="9" t="str">
        <x:v>Vacuum challenge</x:v>
      </x:c>
      <x:c r="D46" s="11" t="n">
        <x:v>-0.085</x:v>
      </x:c>
      <x:c r="E46" s="9" t="str">
        <x:v>MPa</x:v>
      </x:c>
      <x:c r="F46" s="9" t="str">
        <x:v>FROZEN</x:v>
      </x:c>
      <x:c r="G46" s="9" t="str">
        <x:v>Pass 111 definition</x:v>
      </x:c>
    </x:row>
    <x:row r="47">
      <x:c r="B47" s="9" t="str">
        <x:v>C41</x:v>
      </x:c>
      <x:c r="C47" s="9" t="str">
        <x:v>Maximum dead leg</x:v>
      </x:c>
      <x:c r="D47" s="11" t="n">
        <x:v>0.35</x:v>
      </x:c>
      <x:c r="E47" s="9" t="str">
        <x:v>m</x:v>
      </x:c>
      <x:c r="F47" s="9" t="str">
        <x:v>DESIGN</x:v>
      </x:c>
      <x:c r="G47" s="9" t="str">
        <x:v>Pass 111 definition</x:v>
      </x:c>
    </x:row>
    <x:row r="48">
      <x:c r="B48" s="9" t="str">
        <x:v>C42</x:v>
      </x:c>
      <x:c r="C48" s="9" t="str">
        <x:v>Maximum trapped volume</x:v>
      </x:c>
      <x:c r="D48" s="11" t="n">
        <x:v>25</x:v>
      </x:c>
      <x:c r="E48" s="9" t="str">
        <x:v>L/path</x:v>
      </x:c>
      <x:c r="F48" s="9" t="str">
        <x:v>DESIGN</x:v>
      </x:c>
      <x:c r="G48" s="9" t="str">
        <x:v>Pass 111 definition</x:v>
      </x:c>
    </x:row>
    <x:row r="49">
      <x:c r="B49" s="9" t="str">
        <x:v>C43</x:v>
      </x:c>
      <x:c r="C49" s="9" t="str">
        <x:v>Flush volumes</x:v>
      </x:c>
      <x:c r="D49" s="11" t="n">
        <x:v>3</x:v>
      </x:c>
      <x:c r="E49" s="9" t="str">
        <x:v>volumes</x:v>
      </x:c>
      <x:c r="F49" s="9" t="str">
        <x:v>DESIGN</x:v>
      </x:c>
      <x:c r="G49" s="9" t="str">
        <x:v>Pass 111 definition</x:v>
      </x:c>
    </x:row>
    <x:row r="50">
      <x:c r="B50" s="9" t="str">
        <x:v>C44</x:v>
      </x:c>
      <x:c r="C50" s="9" t="str">
        <x:v>Normal service</x:v>
      </x:c>
      <x:c r="D50" s="11" t="n">
        <x:v>1.5</x:v>
      </x:c>
      <x:c r="E50" s="9" t="str">
        <x:v>MW</x:v>
      </x:c>
      <x:c r="F50" s="9" t="str">
        <x:v>DESIGN</x:v>
      </x:c>
      <x:c r="G50" s="9" t="str">
        <x:v>Pass 111 definition</x:v>
      </x:c>
    </x:row>
    <x:row r="51">
      <x:c r="B51" s="9" t="str">
        <x:v>C45</x:v>
      </x:c>
      <x:c r="C51" s="9" t="str">
        <x:v>Overload service</x:v>
      </x:c>
      <x:c r="D51" s="11" t="n">
        <x:v>2.25</x:v>
      </x:c>
      <x:c r="E51" s="9" t="str">
        <x:v>MW</x:v>
      </x:c>
      <x:c r="F51" s="9" t="str">
        <x:v>DESIGN</x:v>
      </x:c>
      <x:c r="G51" s="9" t="str">
        <x:v>Pass 111 definition</x:v>
      </x:c>
    </x:row>
    <x:row r="52">
      <x:c r="B52" s="9" t="str">
        <x:v>C46</x:v>
      </x:c>
      <x:c r="C52" s="9" t="str">
        <x:v>Transient service</x:v>
      </x:c>
      <x:c r="D52" s="11" t="n">
        <x:v>3</x:v>
      </x:c>
      <x:c r="E52" s="9" t="str">
        <x:v>MW</x:v>
      </x:c>
      <x:c r="F52" s="9" t="str">
        <x:v>DESIGN</x:v>
      </x:c>
      <x:c r="G52" s="9" t="str">
        <x:v>Pass 111 definition</x:v>
      </x:c>
    </x:row>
    <x:row r="53">
      <x:c r="B53" s="9" t="str">
        <x:v>C47</x:v>
      </x:c>
      <x:c r="C53" s="9" t="str">
        <x:v>Power factor reference</x:v>
      </x:c>
      <x:c r="D53" s="11" t="n">
        <x:v>0.9</x:v>
      </x:c>
      <x:c r="E53" s="9" t="str">
        <x:v>factor</x:v>
      </x:c>
      <x:c r="F53" s="9" t="str">
        <x:v>DESIGN</x:v>
      </x:c>
      <x:c r="G53" s="9" t="str">
        <x:v>Pass 111 definition</x:v>
      </x:c>
    </x:row>
    <x:row r="54">
      <x:c r="B54" s="9" t="str">
        <x:v>C48</x:v>
      </x:c>
      <x:c r="C54" s="9" t="str">
        <x:v>LV bus voltage</x:v>
      </x:c>
      <x:c r="D54" s="11" t="n">
        <x:v>0.48</x:v>
      </x:c>
      <x:c r="E54" s="9" t="str">
        <x:v>kV</x:v>
      </x:c>
      <x:c r="F54" s="9" t="str">
        <x:v>DESIGN</x:v>
      </x:c>
      <x:c r="G54" s="9" t="str">
        <x:v>Pass 111 definition</x:v>
      </x:c>
    </x:row>
    <x:row r="55">
      <x:c r="B55" s="9" t="str">
        <x:v>C49</x:v>
      </x:c>
      <x:c r="C55" s="9" t="str">
        <x:v>MV feeder voltage</x:v>
      </x:c>
      <x:c r="D55" s="11" t="n">
        <x:v>13.8</x:v>
      </x:c>
      <x:c r="E55" s="9" t="str">
        <x:v>kV</x:v>
      </x:c>
      <x:c r="F55" s="9" t="str">
        <x:v>DESIGN</x:v>
      </x:c>
      <x:c r="G55" s="9" t="str">
        <x:v>Pass 111 definition</x:v>
      </x:c>
    </x:row>
    <x:row r="56">
      <x:c r="B56" s="9" t="str">
        <x:v>C50</x:v>
      </x:c>
      <x:c r="C56" s="9" t="str">
        <x:v>Bus continuous rating</x:v>
      </x:c>
      <x:c r="D56" s="11" t="n">
        <x:v>2.5</x:v>
      </x:c>
      <x:c r="E56" s="9" t="str">
        <x:v>kA</x:v>
      </x:c>
      <x:c r="F56" s="9" t="str">
        <x:v>DESIGN</x:v>
      </x:c>
      <x:c r="G56" s="9" t="str">
        <x:v>Pass 111 definition</x:v>
      </x:c>
    </x:row>
    <x:row r="57">
      <x:c r="B57" s="9" t="str">
        <x:v>C51</x:v>
      </x:c>
      <x:c r="C57" s="9" t="str">
        <x:v>Bus ten-minute rating</x:v>
      </x:c>
      <x:c r="D57" s="11" t="n">
        <x:v>3.5</x:v>
      </x:c>
      <x:c r="E57" s="9" t="str">
        <x:v>kA</x:v>
      </x:c>
      <x:c r="F57" s="9" t="str">
        <x:v>DESIGN</x:v>
      </x:c>
      <x:c r="G57" s="9" t="str">
        <x:v>Pass 111 definition</x:v>
      </x:c>
    </x:row>
    <x:row r="58">
      <x:c r="B58" s="9" t="str">
        <x:v>C52</x:v>
      </x:c>
      <x:c r="C58" s="9" t="str">
        <x:v>Bus ten-second rating</x:v>
      </x:c>
      <x:c r="D58" s="11" t="n">
        <x:v>5</x:v>
      </x:c>
      <x:c r="E58" s="9" t="str">
        <x:v>kA</x:v>
      </x:c>
      <x:c r="F58" s="9" t="str">
        <x:v>DESIGN</x:v>
      </x:c>
      <x:c r="G58" s="9" t="str">
        <x:v>Pass 111 definition</x:v>
      </x:c>
    </x:row>
    <x:row r="59">
      <x:c r="B59" s="9" t="str">
        <x:v>C53</x:v>
      </x:c>
      <x:c r="C59" s="9" t="str">
        <x:v>Transformer continuous</x:v>
      </x:c>
      <x:c r="D59" s="11" t="n">
        <x:v>2.5</x:v>
      </x:c>
      <x:c r="E59" s="9" t="str">
        <x:v>MVA</x:v>
      </x:c>
      <x:c r="F59" s="9" t="str">
        <x:v>DESIGN</x:v>
      </x:c>
      <x:c r="G59" s="9" t="str">
        <x:v>Pass 111 definition</x:v>
      </x:c>
    </x:row>
    <x:row r="60">
      <x:c r="B60" s="9" t="str">
        <x:v>C54</x:v>
      </x:c>
      <x:c r="C60" s="9" t="str">
        <x:v>Evidence battery</x:v>
      </x:c>
      <x:c r="D60" s="11" t="n">
        <x:v>30</x:v>
      </x:c>
      <x:c r="E60" s="9" t="str">
        <x:v>kWh</x:v>
      </x:c>
      <x:c r="F60" s="9" t="str">
        <x:v>DESIGN</x:v>
      </x:c>
      <x:c r="G60" s="9" t="str">
        <x:v>Pass 111 definition</x:v>
      </x:c>
    </x:row>
    <x:row r="61">
      <x:c r="B61" s="9" t="str">
        <x:v>C55</x:v>
      </x:c>
      <x:c r="C61" s="9" t="str">
        <x:v>Evidence load</x:v>
      </x:c>
      <x:c r="D61" s="11" t="n">
        <x:v>15</x:v>
      </x:c>
      <x:c r="E61" s="9" t="str">
        <x:v>kW</x:v>
      </x:c>
      <x:c r="F61" s="9" t="str">
        <x:v>DESIGN</x:v>
      </x:c>
      <x:c r="G61" s="9" t="str">
        <x:v>Pass 111 definition</x:v>
      </x:c>
    </x:row>
    <x:row r="62">
      <x:c r="B62" s="9" t="str">
        <x:v>C56</x:v>
      </x:c>
      <x:c r="C62" s="9" t="str">
        <x:v>Measurement planes</x:v>
      </x:c>
      <x:c r="D62" s="11" t="n">
        <x:v>13</x:v>
      </x:c>
      <x:c r="E62" s="9" t="str">
        <x:v>planes</x:v>
      </x:c>
      <x:c r="F62" s="9" t="str">
        <x:v>DESIGN</x:v>
      </x:c>
      <x:c r="G62" s="9" t="str">
        <x:v>Pass 111 definition</x:v>
      </x:c>
    </x:row>
    <x:row r="63">
      <x:c r="B63" s="9" t="str">
        <x:v>C57</x:v>
      </x:c>
      <x:c r="C63" s="9" t="str">
        <x:v>Drawing sheets</x:v>
      </x:c>
      <x:c r="D63" s="11" t="n">
        <x:v>48</x:v>
      </x:c>
      <x:c r="E63" s="9" t="str">
        <x:v>sheets</x:v>
      </x:c>
      <x:c r="F63" s="9" t="str">
        <x:v>DESIGN</x:v>
      </x:c>
      <x:c r="G63" s="9" t="str">
        <x:v>Pass 111 definition</x:v>
      </x:c>
    </x:row>
    <x:row r="64">
      <x:c r="B64" s="9" t="str">
        <x:v>C58</x:v>
      </x:c>
      <x:c r="C64" s="9" t="str">
        <x:v>Build records</x:v>
      </x:c>
      <x:c r="D64" s="11" t="n">
        <x:v>52</x:v>
      </x:c>
      <x:c r="E64" s="9" t="str">
        <x:v>records</x:v>
      </x:c>
      <x:c r="F64" s="9" t="str">
        <x:v>DESIGN</x:v>
      </x:c>
      <x:c r="G64" s="9" t="str">
        <x:v>Pass 111 definition</x:v>
      </x:c>
    </x:row>
    <x:row r="65">
      <x:c r="B65" s="9" t="str">
        <x:v>C59</x:v>
      </x:c>
      <x:c r="C65" s="9" t="str">
        <x:v>Independent checks</x:v>
      </x:c>
      <x:c r="D65" s="11" t="n">
        <x:v>24</x:v>
      </x:c>
      <x:c r="E65" s="9" t="str">
        <x:v>checks</x:v>
      </x:c>
      <x:c r="F65" s="9" t="str">
        <x:v>DESIGN</x:v>
      </x:c>
      <x:c r="G65" s="9" t="str">
        <x:v>Pass 111 definition</x:v>
      </x:c>
    </x:row>
    <x:row r="66">
      <x:c r="B66" s="9" t="str">
        <x:v>C60</x:v>
      </x:c>
      <x:c r="C66" s="9" t="str">
        <x:v>Hazard boundaries</x:v>
      </x:c>
      <x:c r="D66" s="11" t="n">
        <x:v>18</x:v>
      </x:c>
      <x:c r="E66" s="9" t="str">
        <x:v>boundaries</x:v>
      </x:c>
      <x:c r="F66" s="9" t="str">
        <x:v>DESIGN</x:v>
      </x:c>
      <x:c r="G66" s="9" t="str">
        <x:v>Pass 111 definition</x:v>
      </x:c>
    </x:row>
    <x:row r="67">
      <x:c r="B67" s="9" t="str">
        <x:v>C61</x:v>
      </x:c>
      <x:c r="C67" s="9" t="str">
        <x:v>Release gates</x:v>
      </x:c>
      <x:c r="D67" s="11" t="n">
        <x:v>56</x:v>
      </x:c>
      <x:c r="E67" s="9" t="str">
        <x:v>gates</x:v>
      </x:c>
      <x:c r="F67" s="9" t="str">
        <x:v>DESIGN</x:v>
      </x:c>
      <x:c r="G67" s="9" t="str">
        <x:v>Pass 111 definition</x:v>
      </x:c>
    </x:row>
    <x:row r="68">
      <x:c r="B68" s="9" t="str">
        <x:v>C62</x:v>
      </x:c>
      <x:c r="C68" s="9" t="str">
        <x:v>Program duration</x:v>
      </x:c>
      <x:c r="D68" s="11" t="n">
        <x:v>18</x:v>
      </x:c>
      <x:c r="E68" s="9" t="str">
        <x:v>months</x:v>
      </x:c>
      <x:c r="F68" s="9" t="str">
        <x:v>DESIGN</x:v>
      </x:c>
      <x:c r="G68" s="9" t="str">
        <x:v>Pass 111 definition</x:v>
      </x:c>
    </x:row>
    <x:row r="69">
      <x:c r="B69" s="9" t="str">
        <x:v>C63</x:v>
      </x:c>
      <x:c r="C69" s="9" t="str">
        <x:v>Public workforce</x:v>
      </x:c>
      <x:c r="D69" s="11" t="n">
        <x:v>72</x:v>
      </x:c>
      <x:c r="E69" s="9" t="str">
        <x:v>people</x:v>
      </x:c>
      <x:c r="F69" s="9" t="str">
        <x:v>DESIGN</x:v>
      </x:c>
      <x:c r="G69" s="9" t="str">
        <x:v>Pass 111 definition</x:v>
      </x:c>
    </x:row>
    <x:row r="70">
      <x:c r="B70" s="9" t="str">
        <x:v>C64</x:v>
      </x:c>
      <x:c r="C70" s="9" t="str">
        <x:v>Root workforce</x:v>
      </x:c>
      <x:c r="D70" s="11" t="n">
        <x:v>120</x:v>
      </x:c>
      <x:c r="E70" s="9" t="str">
        <x:v>people</x:v>
      </x:c>
      <x:c r="F70" s="9" t="str">
        <x:v>DESIGN</x:v>
      </x:c>
      <x:c r="G70" s="9" t="str">
        <x:v>Pass 111 definition</x:v>
      </x:c>
    </x:row>
    <x:row r="71">
      <x:c r="B71" s="9" t="str">
        <x:v>C65</x:v>
      </x:c>
      <x:c r="C71" s="9" t="str">
        <x:v>BRD capital draw</x:v>
      </x:c>
      <x:c r="D71" s="11" t="n">
        <x:v>0.318</x:v>
      </x:c>
      <x:c r="E71" s="9" t="str">
        <x:v>USD B</x:v>
      </x:c>
      <x:c r="F71" s="9" t="str">
        <x:v>DESIGN</x:v>
      </x:c>
      <x:c r="G71" s="9" t="str">
        <x:v>Pass 111 definition</x:v>
      </x:c>
    </x:row>
    <x:row r="72">
      <x:c r="B72" s="9" t="str">
        <x:v>C66</x:v>
      </x:c>
      <x:c r="C72" s="9" t="str">
        <x:v>CISA capital standing</x:v>
      </x:c>
      <x:c r="D72" s="11" t="n">
        <x:v>0.96</x:v>
      </x:c>
      <x:c r="E72" s="9" t="str">
        <x:v>USD B</x:v>
      </x:c>
      <x:c r="F72" s="9" t="str">
        <x:v>FROZEN</x:v>
      </x:c>
      <x:c r="G72" s="9" t="str">
        <x:v>Pass 111 definition</x:v>
      </x:c>
    </x:row>
    <x:row r="73">
      <x:c r="B73" s="9" t="str">
        <x:v>C67</x:v>
      </x:c>
      <x:c r="C73" s="9" t="str">
        <x:v>BRD annual draw</x:v>
      </x:c>
      <x:c r="D73" s="11" t="n">
        <x:v>0.084</x:v>
      </x:c>
      <x:c r="E73" s="9" t="str">
        <x:v>USD B/year</x:v>
      </x:c>
      <x:c r="F73" s="9" t="str">
        <x:v>DESIGN</x:v>
      </x:c>
      <x:c r="G73" s="9" t="str">
        <x:v>Pass 111 definition</x:v>
      </x:c>
    </x:row>
    <x:row r="74">
      <x:c r="B74" s="9" t="str">
        <x:v>C68</x:v>
      </x:c>
      <x:c r="C74" s="9" t="str">
        <x:v>CISA annual standing</x:v>
      </x:c>
      <x:c r="D74" s="11" t="n">
        <x:v>0.26</x:v>
      </x:c>
      <x:c r="E74" s="9" t="str">
        <x:v>USD B/year</x:v>
      </x:c>
      <x:c r="F74" s="9" t="str">
        <x:v>FROZEN</x:v>
      </x:c>
      <x:c r="G74" s="9" t="str">
        <x:v>Pass 111 definition</x:v>
      </x:c>
    </x:row>
    <x:row r="75">
      <x:c r="B75" s="9" t="str">
        <x:v>C69</x:v>
      </x:c>
      <x:c r="C75" s="9" t="str">
        <x:v>Drawing signatures accepted</x:v>
      </x:c>
      <x:c r="D75" s="11" t="n">
        <x:v>0</x:v>
      </x:c>
      <x:c r="E75" s="9" t="str">
        <x:v>sheets</x:v>
      </x:c>
      <x:c r="F75" s="9" t="str">
        <x:v>OPEN</x:v>
      </x:c>
      <x:c r="G75" s="9" t="str">
        <x:v>source evidence</x:v>
      </x:c>
    </x:row>
    <x:row r="76">
      <x:c r="B76" s="9" t="str">
        <x:v>C70</x:v>
      </x:c>
      <x:c r="C76" s="9" t="str">
        <x:v>Build records populated</x:v>
      </x:c>
      <x:c r="D76" s="11" t="n">
        <x:v>0</x:v>
      </x:c>
      <x:c r="E76" s="9" t="str">
        <x:v>records</x:v>
      </x:c>
      <x:c r="F76" s="9" t="str">
        <x:v>OPEN</x:v>
      </x:c>
      <x:c r="G76" s="9" t="str">
        <x:v>source evidence</x:v>
      </x:c>
    </x:row>
    <x:row r="77">
      <x:c r="B77" s="9" t="str">
        <x:v>C71</x:v>
      </x:c>
      <x:c r="C77" s="9" t="str">
        <x:v>Physical articles accepted</x:v>
      </x:c>
      <x:c r="D77" s="11" t="n">
        <x:v>0</x:v>
      </x:c>
      <x:c r="E77" s="9" t="str">
        <x:v>articles</x:v>
      </x:c>
      <x:c r="F77" s="9" t="str">
        <x:v>OPEN</x:v>
      </x:c>
      <x:c r="G77" s="9" t="str">
        <x:v>source evidence</x:v>
      </x:c>
    </x:row>
    <x:row r="78">
      <x:c r="B78" s="9" t="str">
        <x:v>C72</x:v>
      </x:c>
      <x:c r="C78" s="9" t="str">
        <x:v>Physical observations</x:v>
      </x:c>
      <x:c r="D78" s="11" t="n">
        <x:v>0</x:v>
      </x:c>
      <x:c r="E78" s="9" t="str">
        <x:v>observations</x:v>
      </x:c>
      <x:c r="F78" s="9" t="str">
        <x:v>OPEN</x:v>
      </x:c>
      <x:c r="G78" s="9" t="str">
        <x:v>source evidence</x:v>
      </x:c>
    </x:row>
    <x:row r="79">
      <x:c r="B79" s="9" t="str">
        <x:v>C73</x:v>
      </x:c>
      <x:c r="C79" s="9" t="str">
        <x:v>Article build-release board</x:v>
      </x:c>
      <x:c r="D79" s="11" t="n">
        <x:v>0</x:v>
      </x:c>
      <x:c r="E79" s="9" t="str">
        <x:v>binary</x:v>
      </x:c>
      <x:c r="F79" s="9" t="str">
        <x:v>OPEN</x:v>
      </x:c>
      <x:c r="G79" s="9" t="str">
        <x:v>source evidence</x:v>
      </x:c>
    </x:row>
    <x:row r="80">
      <x:c r="B80" s="9" t="str">
        <x:v>C74</x:v>
      </x:c>
      <x:c r="C80" s="9" t="str">
        <x:v>CRC-E01 authority</x:v>
      </x:c>
      <x:c r="D80" s="11" t="n">
        <x:v>0</x:v>
      </x:c>
      <x:c r="E80" s="9" t="str">
        <x:v>binary</x:v>
      </x:c>
      <x:c r="F80" s="9" t="str">
        <x:v>BLOCKED</x:v>
      </x:c>
      <x:c r="G80" s="9" t="str">
        <x:v>source evidence</x:v>
      </x:c>
    </x:row>
    <x:row r="81">
      <x:c r="B81" s="9" t="str">
        <x:v>C75</x:v>
      </x:c>
      <x:c r="C81" s="9" t="str">
        <x:v>Production authority</x:v>
      </x:c>
      <x:c r="D81" s="11" t="n">
        <x:v>0</x:v>
      </x:c>
      <x:c r="E81" s="9" t="str">
        <x:v>binary</x:v>
      </x:c>
      <x:c r="F81" s="9" t="str">
        <x:v>BLOCKED</x:v>
      </x:c>
      <x:c r="G81" s="9" t="str">
        <x:v>source evidence</x:v>
      </x:c>
    </x:row>
    <x:row r="82">
      <x:c r="B82" s="10" t="str">
        <x:v>C76</x:v>
      </x:c>
      <x:c r="C82" s="10" t="str">
        <x:v>Exterior rendering authority</x:v>
      </x:c>
      <x:c r="D82" s="12" t="n">
        <x:v>0</x:v>
      </x:c>
      <x:c r="E82" s="10" t="str">
        <x:v>binary</x:v>
      </x:c>
      <x:c r="F82" s="10" t="str">
        <x:v>BLOCKED</x:v>
      </x:c>
      <x:c r="G82" s="10" t="str">
        <x:v>source evidence</x:v>
      </x:c>
    </x:row>
  </x:sheetData>
  <x:mergeCells>
    <x:mergeCell ref="B2:G2"/>
    <x:mergeCell ref="B3:G3"/>
  </x:mergeCells>
  <x:conditionalFormatting sqref="F7:F82">
    <x:cfRule type="containsText" dxfId="0" priority="1" operator="containsText" text="PASS"/>
    <x:cfRule type="containsText" dxfId="1" priority="2" operator="containsText" text="AUTHORIZED"/>
    <x:cfRule type="containsText" dxfId="2" priority="3" operator="containsText" text="DEFINED"/>
    <x:cfRule type="containsText" dxfId="3" priority="4" operator="containsText" text="READY"/>
    <x:cfRule type="containsText" dxfId="4" priority="5" operator="containsText" text="HOLD"/>
    <x:cfRule type="containsText" dxfId="5" priority="6" operator="containsText" text="OPEN"/>
    <x:cfRule type="containsText" dxfId="6" priority="7" operator="containsText" text="BLOCKED"/>
    <x:cfRule type="containsText" dxfId="7" priority="8" operator="containsText" text="PLANNING"/>
    <x:cfRule type="containsText" dxfId="8" priority="9" operator="containsText" text="FAIL"/>
    <x:cfRule type="containsText" dxfId="9" priority="10" operator="containsText" text="REJECT"/>
    <x:cfRule type="containsText" dxfId="10" priority="11" operator="containsText" text="INCOMPLETE"/>
    <x:cfRule type="containsText" dxfId="11" priority="12" operator="containsText" text="INDETERMINATE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3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22" hidden="0" customWidth="1"/>
    <x:col min="9" max="9" width="18" hidden="0" customWidth="1"/>
    <x:col min="10" max="10" width="16" hidden="0" customWidth="1"/>
  </x:cols>
  <x:sheetData>
    <x:row r="2">
      <x:c r="B2" s="28" t="str">
        <x:v>Common coordinate and datum register</x:v>
      </x:c>
      <x:c r="C2" s="8"/>
      <x:c r="D2" s="8"/>
      <x:c r="E2" s="8"/>
      <x:c r="F2" s="8"/>
      <x:c r="G2" s="8"/>
      <x:c r="H2" s="8"/>
      <x:c r="I2" s="8"/>
      <x:c r="J2" s="8"/>
    </x:row>
    <x:row r="3">
      <x:c r="B3" s="2" t="str">
        <x:v>Transport, support, deployed-anchor, lift and collar coordinates share one public frame.</x:v>
      </x:c>
      <x:c r="C3" s="8"/>
      <x:c r="D3" s="8"/>
      <x:c r="E3" s="8"/>
      <x:c r="F3" s="8"/>
      <x:c r="G3" s="8"/>
      <x:c r="H3" s="8"/>
      <x:c r="I3" s="8"/>
      <x:c r="J3" s="8"/>
    </x:row>
    <x:row r="4">
      <x:c r="B4" s="29"/>
      <x:c r="C4" s="29"/>
      <x:c r="D4" s="29"/>
      <x:c r="E4" s="29"/>
      <x:c r="F4" s="29"/>
      <x:c r="G4" s="29"/>
      <x:c r="H4" s="29"/>
      <x:c r="I4" s="29"/>
      <x:c r="J4" s="29"/>
    </x:row>
    <x:row r="5">
      <x:c r="B5" s="8"/>
      <x:c r="C5" s="8"/>
      <x:c r="D5" s="8"/>
      <x:c r="E5" s="8"/>
      <x:c r="F5" s="8"/>
      <x:c r="G5" s="8"/>
      <x:c r="H5" s="8"/>
      <x:c r="I5" s="8"/>
      <x:c r="J5" s="8"/>
    </x:row>
    <x:row r="6">
      <x:c r="B6" s="7" t="str">
        <x:v>ID</x:v>
      </x:c>
      <x:c r="C6" s="7" t="str">
        <x:v>Object</x:v>
      </x:c>
      <x:c r="D6" s="7" t="str">
        <x:v>X</x:v>
      </x:c>
      <x:c r="E6" s="7" t="str">
        <x:v>Y</x:v>
      </x:c>
      <x:c r="F6" s="7" t="str">
        <x:v>Z</x:v>
      </x:c>
      <x:c r="G6" s="7" t="str">
        <x:v>Unit</x:v>
      </x:c>
      <x:c r="H6" s="7" t="str">
        <x:v>Inside declared state</x:v>
      </x:c>
      <x:c r="I6" s="7" t="str">
        <x:v>Survey U95 mm</x:v>
      </x:c>
      <x:c r="J6" s="7" t="str">
        <x:v>Planning gate</x:v>
      </x:c>
    </x:row>
    <x:row r="7">
      <x:c r="B7" s="9" t="str">
        <x:v>ENV-X0</x:v>
      </x:c>
      <x:c r="C7" s="9" t="str">
        <x:v>transport minimum X</x:v>
      </x:c>
      <x:c r="D7" s="9" t="n">
        <x:v>0</x:v>
      </x:c>
      <x:c r="E7" s="9" t="n">
        <x:v>0</x:v>
      </x:c>
      <x:c r="F7" s="9" t="n">
        <x:v>0</x:v>
      </x:c>
      <x:c r="G7" s="9" t="str">
        <x:v>m</x:v>
      </x:c>
      <x:c r="H7" s="9" t="str">
        <x:f>IF(AND(D7&gt;=0,D7&lt;='Controls'!$D$7,ABS(E7)&lt;='Controls'!$D$8,F7&gt;=0,F7&lt;='Controls'!$D$9),"PASS","FAIL")</x:f>
        <x:v>PASS</x:v>
      </x:c>
      <x:c r="I7" s="9" t="n">
        <x:v>1</x:v>
      </x:c>
      <x:c r="J7" s="9" t="str">
        <x:f>IF(AND(H7="PASS",I7&lt;=1),"PASS","FAIL")</x:f>
        <x:v>PASS</x:v>
      </x:c>
    </x:row>
    <x:row r="8">
      <x:c r="B8" s="9" t="str">
        <x:v>ENV-X1</x:v>
      </x:c>
      <x:c r="C8" s="9" t="str">
        <x:v>transport maximum X</x:v>
      </x:c>
      <x:c r="D8" s="9" t="n">
        <x:v>12</x:v>
      </x:c>
      <x:c r="E8" s="9" t="n">
        <x:v>0</x:v>
      </x:c>
      <x:c r="F8" s="9" t="n">
        <x:v>0</x:v>
      </x:c>
      <x:c r="G8" s="9" t="str">
        <x:v>m</x:v>
      </x:c>
      <x:c r="H8" s="9" t="str">
        <x:f>IF(AND(D8&gt;=0,D8&lt;='Controls'!$D$7,ABS(E8)&lt;='Controls'!$D$8,F8&gt;=0,F8&lt;='Controls'!$D$9),"PASS","FAIL")</x:f>
        <x:v>PASS</x:v>
      </x:c>
      <x:c r="I8" s="9" t="n">
        <x:v>1</x:v>
      </x:c>
      <x:c r="J8" s="9" t="str">
        <x:f>IF(AND(H8="PASS",I8&lt;=1),"PASS","FAIL")</x:f>
        <x:v>PASS</x:v>
      </x:c>
    </x:row>
    <x:row r="9">
      <x:c r="B9" s="9" t="str">
        <x:v>ENV-Y0</x:v>
      </x:c>
      <x:c r="C9" s="9" t="str">
        <x:v>transport port Y</x:v>
      </x:c>
      <x:c r="D9" s="9" t="n">
        <x:v>0</x:v>
      </x:c>
      <x:c r="E9" s="9" t="n">
        <x:v>-1.8</x:v>
      </x:c>
      <x:c r="F9" s="9" t="n">
        <x:v>0</x:v>
      </x:c>
      <x:c r="G9" s="9" t="str">
        <x:v>m</x:v>
      </x:c>
      <x:c r="H9" s="9" t="str">
        <x:f>IF(AND(D9&gt;=0,D9&lt;='Controls'!$D$7,ABS(E9)&lt;='Controls'!$D$8,F9&gt;=0,F9&lt;='Controls'!$D$9),"PASS","FAIL")</x:f>
        <x:v>PASS</x:v>
      </x:c>
      <x:c r="I9" s="9" t="n">
        <x:v>1</x:v>
      </x:c>
      <x:c r="J9" s="9" t="str">
        <x:f>IF(AND(H9="PASS",I9&lt;=1),"PASS","FAIL")</x:f>
        <x:v>PASS</x:v>
      </x:c>
    </x:row>
    <x:row r="10">
      <x:c r="B10" s="9" t="str">
        <x:v>ENV-Y1</x:v>
      </x:c>
      <x:c r="C10" s="9" t="str">
        <x:v>transport starboard Y</x:v>
      </x:c>
      <x:c r="D10" s="9" t="n">
        <x:v>0</x:v>
      </x:c>
      <x:c r="E10" s="9" t="n">
        <x:v>1.8</x:v>
      </x:c>
      <x:c r="F10" s="9" t="n">
        <x:v>0</x:v>
      </x:c>
      <x:c r="G10" s="9" t="str">
        <x:v>m</x:v>
      </x:c>
      <x:c r="H10" s="9" t="str">
        <x:f>IF(AND(D10&gt;=0,D10&lt;='Controls'!$D$7,ABS(E10)&lt;='Controls'!$D$8,F10&gt;=0,F10&lt;='Controls'!$D$9),"PASS","FAIL")</x:f>
        <x:v>PASS</x:v>
      </x:c>
      <x:c r="I10" s="9" t="n">
        <x:v>1</x:v>
      </x:c>
      <x:c r="J10" s="9" t="str">
        <x:f>IF(AND(H10="PASS",I10&lt;=1),"PASS","FAIL")</x:f>
        <x:v>PASS</x:v>
      </x:c>
    </x:row>
    <x:row r="11">
      <x:c r="B11" s="9" t="str">
        <x:v>ENV-Z0</x:v>
      </x:c>
      <x:c r="C11" s="9" t="str">
        <x:v>bearing datum Z</x:v>
      </x:c>
      <x:c r="D11" s="9" t="n">
        <x:v>0</x:v>
      </x:c>
      <x:c r="E11" s="9" t="n">
        <x:v>0</x:v>
      </x:c>
      <x:c r="F11" s="9" t="n">
        <x:v>0</x:v>
      </x:c>
      <x:c r="G11" s="9" t="str">
        <x:v>m</x:v>
      </x:c>
      <x:c r="H11" s="9" t="str">
        <x:f>IF(AND(D11&gt;=0,D11&lt;='Controls'!$D$7,ABS(E11)&lt;='Controls'!$D$8,F11&gt;=0,F11&lt;='Controls'!$D$9),"PASS","FAIL")</x:f>
        <x:v>PASS</x:v>
      </x:c>
      <x:c r="I11" s="9" t="n">
        <x:v>1</x:v>
      </x:c>
      <x:c r="J11" s="9" t="str">
        <x:f>IF(AND(H11="PASS",I11&lt;=1),"PASS","FAIL")</x:f>
        <x:v>PASS</x:v>
      </x:c>
    </x:row>
    <x:row r="12">
      <x:c r="B12" s="9" t="str">
        <x:v>ENV-Z1</x:v>
      </x:c>
      <x:c r="C12" s="9" t="str">
        <x:v>transport maximum Z</x:v>
      </x:c>
      <x:c r="D12" s="9" t="n">
        <x:v>0</x:v>
      </x:c>
      <x:c r="E12" s="9" t="n">
        <x:v>0</x:v>
      </x:c>
      <x:c r="F12" s="9" t="n">
        <x:v>3.8</x:v>
      </x:c>
      <x:c r="G12" s="9" t="str">
        <x:v>m</x:v>
      </x:c>
      <x:c r="H12" s="9" t="str">
        <x:f>IF(AND(D12&gt;=0,D12&lt;='Controls'!$D$7,ABS(E12)&lt;='Controls'!$D$8,F12&gt;=0,F12&lt;='Controls'!$D$9),"PASS","FAIL")</x:f>
        <x:v>PASS</x:v>
      </x:c>
      <x:c r="I12" s="9" t="n">
        <x:v>1</x:v>
      </x:c>
      <x:c r="J12" s="9" t="str">
        <x:f>IF(AND(H12="PASS",I12&lt;=1),"PASS","FAIL")</x:f>
        <x:v>PASS</x:v>
      </x:c>
    </x:row>
    <x:row r="13">
      <x:c r="B13" s="9" t="str">
        <x:v>S01</x:v>
      </x:c>
      <x:c r="C13" s="9" t="str">
        <x:v>support center</x:v>
      </x:c>
      <x:c r="D13" s="9" t="n">
        <x:v>1</x:v>
      </x:c>
      <x:c r="E13" s="9" t="n">
        <x:v>-1</x:v>
      </x:c>
      <x:c r="F13" s="9" t="n">
        <x:v>0</x:v>
      </x:c>
      <x:c r="G13" s="9" t="str">
        <x:v>m</x:v>
      </x:c>
      <x:c r="H13" s="9" t="str">
        <x:f>IF(AND(D13&gt;=0,D13&lt;='Controls'!$D$7,ABS(E13)&lt;='Controls'!$D$8,F13&gt;=0,F13&lt;='Controls'!$D$9),"PASS","FAIL")</x:f>
        <x:v>PASS</x:v>
      </x:c>
      <x:c r="I13" s="9" t="n">
        <x:v>1</x:v>
      </x:c>
      <x:c r="J13" s="9" t="str">
        <x:f>IF(AND(H13="PASS",I13&lt;=1),"PASS","FAIL")</x:f>
        <x:v>PASS</x:v>
      </x:c>
    </x:row>
    <x:row r="14">
      <x:c r="B14" s="9" t="str">
        <x:v>S02</x:v>
      </x:c>
      <x:c r="C14" s="9" t="str">
        <x:v>support center</x:v>
      </x:c>
      <x:c r="D14" s="9" t="n">
        <x:v>1</x:v>
      </x:c>
      <x:c r="E14" s="9" t="n">
        <x:v>1</x:v>
      </x:c>
      <x:c r="F14" s="9" t="n">
        <x:v>0</x:v>
      </x:c>
      <x:c r="G14" s="9" t="str">
        <x:v>m</x:v>
      </x:c>
      <x:c r="H14" s="9" t="str">
        <x:f>IF(AND(D14&gt;=0,D14&lt;='Controls'!$D$7,ABS(E14)&lt;='Controls'!$D$8,F14&gt;=0,F14&lt;='Controls'!$D$9),"PASS","FAIL")</x:f>
        <x:v>PASS</x:v>
      </x:c>
      <x:c r="I14" s="9" t="n">
        <x:v>1</x:v>
      </x:c>
      <x:c r="J14" s="9" t="str">
        <x:f>IF(AND(H14="PASS",I14&lt;=1),"PASS","FAIL")</x:f>
        <x:v>PASS</x:v>
      </x:c>
    </x:row>
    <x:row r="15">
      <x:c r="B15" s="9" t="str">
        <x:v>S03</x:v>
      </x:c>
      <x:c r="C15" s="9" t="str">
        <x:v>support center</x:v>
      </x:c>
      <x:c r="D15" s="9" t="n">
        <x:v>4.3</x:v>
      </x:c>
      <x:c r="E15" s="9" t="n">
        <x:v>-1</x:v>
      </x:c>
      <x:c r="F15" s="9" t="n">
        <x:v>0</x:v>
      </x:c>
      <x:c r="G15" s="9" t="str">
        <x:v>m</x:v>
      </x:c>
      <x:c r="H15" s="9" t="str">
        <x:f>IF(AND(D15&gt;=0,D15&lt;='Controls'!$D$7,ABS(E15)&lt;='Controls'!$D$8,F15&gt;=0,F15&lt;='Controls'!$D$9),"PASS","FAIL")</x:f>
        <x:v>PASS</x:v>
      </x:c>
      <x:c r="I15" s="9" t="n">
        <x:v>1</x:v>
      </x:c>
      <x:c r="J15" s="9" t="str">
        <x:f>IF(AND(H15="PASS",I15&lt;=1),"PASS","FAIL")</x:f>
        <x:v>PASS</x:v>
      </x:c>
    </x:row>
    <x:row r="16">
      <x:c r="B16" s="9" t="str">
        <x:v>S04</x:v>
      </x:c>
      <x:c r="C16" s="9" t="str">
        <x:v>support center</x:v>
      </x:c>
      <x:c r="D16" s="9" t="n">
        <x:v>4.3</x:v>
      </x:c>
      <x:c r="E16" s="9" t="n">
        <x:v>1</x:v>
      </x:c>
      <x:c r="F16" s="9" t="n">
        <x:v>0</x:v>
      </x:c>
      <x:c r="G16" s="9" t="str">
        <x:v>m</x:v>
      </x:c>
      <x:c r="H16" s="9" t="str">
        <x:f>IF(AND(D16&gt;=0,D16&lt;='Controls'!$D$7,ABS(E16)&lt;='Controls'!$D$8,F16&gt;=0,F16&lt;='Controls'!$D$9),"PASS","FAIL")</x:f>
        <x:v>PASS</x:v>
      </x:c>
      <x:c r="I16" s="9" t="n">
        <x:v>1</x:v>
      </x:c>
      <x:c r="J16" s="9" t="str">
        <x:f>IF(AND(H16="PASS",I16&lt;=1),"PASS","FAIL")</x:f>
        <x:v>PASS</x:v>
      </x:c>
    </x:row>
    <x:row r="17">
      <x:c r="B17" s="9" t="str">
        <x:v>S05</x:v>
      </x:c>
      <x:c r="C17" s="9" t="str">
        <x:v>support center</x:v>
      </x:c>
      <x:c r="D17" s="9" t="n">
        <x:v>7.7</x:v>
      </x:c>
      <x:c r="E17" s="9" t="n">
        <x:v>-1</x:v>
      </x:c>
      <x:c r="F17" s="9" t="n">
        <x:v>0</x:v>
      </x:c>
      <x:c r="G17" s="9" t="str">
        <x:v>m</x:v>
      </x:c>
      <x:c r="H17" s="9" t="str">
        <x:f>IF(AND(D17&gt;=0,D17&lt;='Controls'!$D$7,ABS(E17)&lt;='Controls'!$D$8,F17&gt;=0,F17&lt;='Controls'!$D$9),"PASS","FAIL")</x:f>
        <x:v>PASS</x:v>
      </x:c>
      <x:c r="I17" s="9" t="n">
        <x:v>1</x:v>
      </x:c>
      <x:c r="J17" s="9" t="str">
        <x:f>IF(AND(H17="PASS",I17&lt;=1),"PASS","FAIL")</x:f>
        <x:v>PASS</x:v>
      </x:c>
    </x:row>
    <x:row r="18">
      <x:c r="B18" s="9" t="str">
        <x:v>S06</x:v>
      </x:c>
      <x:c r="C18" s="9" t="str">
        <x:v>support center</x:v>
      </x:c>
      <x:c r="D18" s="9" t="n">
        <x:v>7.7</x:v>
      </x:c>
      <x:c r="E18" s="9" t="n">
        <x:v>1</x:v>
      </x:c>
      <x:c r="F18" s="9" t="n">
        <x:v>0</x:v>
      </x:c>
      <x:c r="G18" s="9" t="str">
        <x:v>m</x:v>
      </x:c>
      <x:c r="H18" s="9" t="str">
        <x:f>IF(AND(D18&gt;=0,D18&lt;='Controls'!$D$7,ABS(E18)&lt;='Controls'!$D$8,F18&gt;=0,F18&lt;='Controls'!$D$9),"PASS","FAIL")</x:f>
        <x:v>PASS</x:v>
      </x:c>
      <x:c r="I18" s="9" t="n">
        <x:v>1</x:v>
      </x:c>
      <x:c r="J18" s="9" t="str">
        <x:f>IF(AND(H18="PASS",I18&lt;=1),"PASS","FAIL")</x:f>
        <x:v>PASS</x:v>
      </x:c>
    </x:row>
    <x:row r="19">
      <x:c r="B19" s="9" t="str">
        <x:v>S07</x:v>
      </x:c>
      <x:c r="C19" s="9" t="str">
        <x:v>support center</x:v>
      </x:c>
      <x:c r="D19" s="9" t="n">
        <x:v>11</x:v>
      </x:c>
      <x:c r="E19" s="9" t="n">
        <x:v>-1</x:v>
      </x:c>
      <x:c r="F19" s="9" t="n">
        <x:v>0</x:v>
      </x:c>
      <x:c r="G19" s="9" t="str">
        <x:v>m</x:v>
      </x:c>
      <x:c r="H19" s="9" t="str">
        <x:f>IF(AND(D19&gt;=0,D19&lt;='Controls'!$D$7,ABS(E19)&lt;='Controls'!$D$8,F19&gt;=0,F19&lt;='Controls'!$D$9),"PASS","FAIL")</x:f>
        <x:v>PASS</x:v>
      </x:c>
      <x:c r="I19" s="9" t="n">
        <x:v>1</x:v>
      </x:c>
      <x:c r="J19" s="9" t="str">
        <x:f>IF(AND(H19="PASS",I19&lt;=1),"PASS","FAIL")</x:f>
        <x:v>PASS</x:v>
      </x:c>
    </x:row>
    <x:row r="20">
      <x:c r="B20" s="9" t="str">
        <x:v>S08</x:v>
      </x:c>
      <x:c r="C20" s="9" t="str">
        <x:v>support center</x:v>
      </x:c>
      <x:c r="D20" s="9" t="n">
        <x:v>11</x:v>
      </x:c>
      <x:c r="E20" s="9" t="n">
        <x:v>1</x:v>
      </x:c>
      <x:c r="F20" s="9" t="n">
        <x:v>0</x:v>
      </x:c>
      <x:c r="G20" s="9" t="str">
        <x:v>m</x:v>
      </x:c>
      <x:c r="H20" s="9" t="str">
        <x:f>IF(AND(D20&gt;=0,D20&lt;='Controls'!$D$7,ABS(E20)&lt;='Controls'!$D$8,F20&gt;=0,F20&lt;='Controls'!$D$9),"PASS","FAIL")</x:f>
        <x:v>PASS</x:v>
      </x:c>
      <x:c r="I20" s="9" t="n">
        <x:v>1</x:v>
      </x:c>
      <x:c r="J20" s="9" t="str">
        <x:f>IF(AND(H20="PASS",I20&lt;=1),"PASS","FAIL")</x:f>
        <x:v>PASS</x:v>
      </x:c>
    </x:row>
    <x:row r="21">
      <x:c r="B21" s="9" t="str">
        <x:v>A01</x:v>
      </x:c>
      <x:c r="C21" s="9" t="str">
        <x:v>deployed anchor center</x:v>
      </x:c>
      <x:c r="D21" s="9" t="n">
        <x:v>2</x:v>
      </x:c>
      <x:c r="E21" s="9" t="n">
        <x:v>-2.5</x:v>
      </x:c>
      <x:c r="F21" s="9" t="n">
        <x:v>0</x:v>
      </x:c>
      <x:c r="G21" s="9" t="str">
        <x:v>m</x:v>
      </x:c>
      <x:c r="H21" s="9" t="str">
        <x:f>IF(AND(D21&gt;=0,D21&lt;='Controls'!$D$7,ABS(E21)&lt;=2.5,F21&gt;=0,F21&lt;='Controls'!$D$9),"PASS","FAIL")</x:f>
        <x:v>PASS</x:v>
      </x:c>
      <x:c r="I21" s="9" t="n">
        <x:v>1</x:v>
      </x:c>
      <x:c r="J21" s="9" t="str">
        <x:f>IF(AND(H21="PASS",I21&lt;=1),"PASS","FAIL")</x:f>
        <x:v>PASS</x:v>
      </x:c>
    </x:row>
    <x:row r="22">
      <x:c r="B22" s="9" t="str">
        <x:v>A02</x:v>
      </x:c>
      <x:c r="C22" s="9" t="str">
        <x:v>deployed anchor center</x:v>
      </x:c>
      <x:c r="D22" s="9" t="n">
        <x:v>2</x:v>
      </x:c>
      <x:c r="E22" s="9" t="n">
        <x:v>2.5</x:v>
      </x:c>
      <x:c r="F22" s="9" t="n">
        <x:v>0</x:v>
      </x:c>
      <x:c r="G22" s="9" t="str">
        <x:v>m</x:v>
      </x:c>
      <x:c r="H22" s="9" t="str">
        <x:f>IF(AND(D22&gt;=0,D22&lt;='Controls'!$D$7,ABS(E22)&lt;=2.5,F22&gt;=0,F22&lt;='Controls'!$D$9),"PASS","FAIL")</x:f>
        <x:v>PASS</x:v>
      </x:c>
      <x:c r="I22" s="9" t="n">
        <x:v>1</x:v>
      </x:c>
      <x:c r="J22" s="9" t="str">
        <x:f>IF(AND(H22="PASS",I22&lt;=1),"PASS","FAIL")</x:f>
        <x:v>PASS</x:v>
      </x:c>
    </x:row>
    <x:row r="23">
      <x:c r="B23" s="9" t="str">
        <x:v>A03</x:v>
      </x:c>
      <x:c r="C23" s="9" t="str">
        <x:v>deployed anchor center</x:v>
      </x:c>
      <x:c r="D23" s="9" t="n">
        <x:v>10</x:v>
      </x:c>
      <x:c r="E23" s="9" t="n">
        <x:v>-2.5</x:v>
      </x:c>
      <x:c r="F23" s="9" t="n">
        <x:v>0</x:v>
      </x:c>
      <x:c r="G23" s="9" t="str">
        <x:v>m</x:v>
      </x:c>
      <x:c r="H23" s="9" t="str">
        <x:f>IF(AND(D23&gt;=0,D23&lt;='Controls'!$D$7,ABS(E23)&lt;=2.5,F23&gt;=0,F23&lt;='Controls'!$D$9),"PASS","FAIL")</x:f>
        <x:v>PASS</x:v>
      </x:c>
      <x:c r="I23" s="9" t="n">
        <x:v>1</x:v>
      </x:c>
      <x:c r="J23" s="9" t="str">
        <x:f>IF(AND(H23="PASS",I23&lt;=1),"PASS","FAIL")</x:f>
        <x:v>PASS</x:v>
      </x:c>
    </x:row>
    <x:row r="24">
      <x:c r="B24" s="9" t="str">
        <x:v>A04</x:v>
      </x:c>
      <x:c r="C24" s="9" t="str">
        <x:v>deployed anchor center</x:v>
      </x:c>
      <x:c r="D24" s="9" t="n">
        <x:v>10</x:v>
      </x:c>
      <x:c r="E24" s="9" t="n">
        <x:v>2.5</x:v>
      </x:c>
      <x:c r="F24" s="9" t="n">
        <x:v>0</x:v>
      </x:c>
      <x:c r="G24" s="9" t="str">
        <x:v>m</x:v>
      </x:c>
      <x:c r="H24" s="9" t="str">
        <x:f>IF(AND(D24&gt;=0,D24&lt;='Controls'!$D$7,ABS(E24)&lt;=2.5,F24&gt;=0,F24&lt;='Controls'!$D$9),"PASS","FAIL")</x:f>
        <x:v>PASS</x:v>
      </x:c>
      <x:c r="I24" s="9" t="n">
        <x:v>1</x:v>
      </x:c>
      <x:c r="J24" s="9" t="str">
        <x:f>IF(AND(H24="PASS",I24&lt;=1),"PASS","FAIL")</x:f>
        <x:v>PASS</x:v>
      </x:c>
    </x:row>
    <x:row r="25">
      <x:c r="B25" s="9" t="str">
        <x:v>L01</x:v>
      </x:c>
      <x:c r="C25" s="9" t="str">
        <x:v>lift node</x:v>
      </x:c>
      <x:c r="D25" s="9" t="n">
        <x:v>2</x:v>
      </x:c>
      <x:c r="E25" s="9" t="n">
        <x:v>-1.35</x:v>
      </x:c>
      <x:c r="F25" s="9" t="n">
        <x:v>2.8</x:v>
      </x:c>
      <x:c r="G25" s="9" t="str">
        <x:v>m</x:v>
      </x:c>
      <x:c r="H25" s="9" t="str">
        <x:f>IF(AND(D25&gt;=0,D25&lt;='Controls'!$D$7,ABS(E25)&lt;='Controls'!$D$8,F25&gt;=0,F25&lt;='Controls'!$D$9),"PASS","FAIL")</x:f>
        <x:v>PASS</x:v>
      </x:c>
      <x:c r="I25" s="9" t="n">
        <x:v>1</x:v>
      </x:c>
      <x:c r="J25" s="9" t="str">
        <x:f>IF(AND(H25="PASS",I25&lt;=1),"PASS","FAIL")</x:f>
        <x:v>PASS</x:v>
      </x:c>
    </x:row>
    <x:row r="26">
      <x:c r="B26" s="9" t="str">
        <x:v>L02</x:v>
      </x:c>
      <x:c r="C26" s="9" t="str">
        <x:v>lift node</x:v>
      </x:c>
      <x:c r="D26" s="9" t="n">
        <x:v>2</x:v>
      </x:c>
      <x:c r="E26" s="9" t="n">
        <x:v>1.35</x:v>
      </x:c>
      <x:c r="F26" s="9" t="n">
        <x:v>2.8</x:v>
      </x:c>
      <x:c r="G26" s="9" t="str">
        <x:v>m</x:v>
      </x:c>
      <x:c r="H26" s="9" t="str">
        <x:f>IF(AND(D26&gt;=0,D26&lt;='Controls'!$D$7,ABS(E26)&lt;='Controls'!$D$8,F26&gt;=0,F26&lt;='Controls'!$D$9),"PASS","FAIL")</x:f>
        <x:v>PASS</x:v>
      </x:c>
      <x:c r="I26" s="9" t="n">
        <x:v>1</x:v>
      </x:c>
      <x:c r="J26" s="9" t="str">
        <x:f>IF(AND(H26="PASS",I26&lt;=1),"PASS","FAIL")</x:f>
        <x:v>PASS</x:v>
      </x:c>
    </x:row>
    <x:row r="27">
      <x:c r="B27" s="9" t="str">
        <x:v>L03</x:v>
      </x:c>
      <x:c r="C27" s="9" t="str">
        <x:v>lift node</x:v>
      </x:c>
      <x:c r="D27" s="9" t="n">
        <x:v>10</x:v>
      </x:c>
      <x:c r="E27" s="9" t="n">
        <x:v>-1.35</x:v>
      </x:c>
      <x:c r="F27" s="9" t="n">
        <x:v>2.8</x:v>
      </x:c>
      <x:c r="G27" s="9" t="str">
        <x:v>m</x:v>
      </x:c>
      <x:c r="H27" s="9" t="str">
        <x:f>IF(AND(D27&gt;=0,D27&lt;='Controls'!$D$7,ABS(E27)&lt;='Controls'!$D$8,F27&gt;=0,F27&lt;='Controls'!$D$9),"PASS","FAIL")</x:f>
        <x:v>PASS</x:v>
      </x:c>
      <x:c r="I27" s="9" t="n">
        <x:v>1</x:v>
      </x:c>
      <x:c r="J27" s="9" t="str">
        <x:f>IF(AND(H27="PASS",I27&lt;=1),"PASS","FAIL")</x:f>
        <x:v>PASS</x:v>
      </x:c>
    </x:row>
    <x:row r="28">
      <x:c r="B28" s="9" t="str">
        <x:v>L04</x:v>
      </x:c>
      <x:c r="C28" s="9" t="str">
        <x:v>lift node</x:v>
      </x:c>
      <x:c r="D28" s="9" t="n">
        <x:v>10</x:v>
      </x:c>
      <x:c r="E28" s="9" t="n">
        <x:v>1.35</x:v>
      </x:c>
      <x:c r="F28" s="9" t="n">
        <x:v>2.8</x:v>
      </x:c>
      <x:c r="G28" s="9" t="str">
        <x:v>m</x:v>
      </x:c>
      <x:c r="H28" s="9" t="str">
        <x:f>IF(AND(D28&gt;=0,D28&lt;='Controls'!$D$7,ABS(E28)&lt;='Controls'!$D$8,F28&gt;=0,F28&lt;='Controls'!$D$9),"PASS","FAIL")</x:f>
        <x:v>PASS</x:v>
      </x:c>
      <x:c r="I28" s="9" t="n">
        <x:v>1</x:v>
      </x:c>
      <x:c r="J28" s="9" t="str">
        <x:f>IF(AND(H28="PASS",I28&lt;=1),"PASS","FAIL")</x:f>
        <x:v>PASS</x:v>
      </x:c>
    </x:row>
    <x:row r="29">
      <x:c r="B29" s="9" t="str">
        <x:v>H1-S</x:v>
      </x:c>
      <x:c r="C29" s="9" t="str">
        <x:v>path H1 source collar</x:v>
      </x:c>
      <x:c r="D29" s="9" t="n">
        <x:v>0</x:v>
      </x:c>
      <x:c r="E29" s="9" t="n">
        <x:v>-0.65</x:v>
      </x:c>
      <x:c r="F29" s="9" t="n">
        <x:v>0.9</x:v>
      </x:c>
      <x:c r="G29" s="9" t="str">
        <x:v>m</x:v>
      </x:c>
      <x:c r="H29" s="9" t="str">
        <x:f>IF(AND(D29&gt;=0,D29&lt;='Controls'!$D$7,ABS(E29)&lt;='Controls'!$D$8,F29&gt;=0,F29&lt;='Controls'!$D$9),"PASS","FAIL")</x:f>
        <x:v>PASS</x:v>
      </x:c>
      <x:c r="I29" s="9" t="n">
        <x:v>0.5</x:v>
      </x:c>
      <x:c r="J29" s="9" t="str">
        <x:f>IF(AND(H29="PASS",I29&lt;=1),"PASS","FAIL")</x:f>
        <x:v>PASS</x:v>
      </x:c>
    </x:row>
    <x:row r="30">
      <x:c r="B30" s="9" t="str">
        <x:v>H1-R</x:v>
      </x:c>
      <x:c r="C30" s="9" t="str">
        <x:v>path H1 receiver collar</x:v>
      </x:c>
      <x:c r="D30" s="9" t="n">
        <x:v>12</x:v>
      </x:c>
      <x:c r="E30" s="9" t="n">
        <x:v>-0.65</x:v>
      </x:c>
      <x:c r="F30" s="9" t="n">
        <x:v>0.9</x:v>
      </x:c>
      <x:c r="G30" s="9" t="str">
        <x:v>m</x:v>
      </x:c>
      <x:c r="H30" s="9" t="str">
        <x:f>IF(AND(D30&gt;=0,D30&lt;='Controls'!$D$7,ABS(E30)&lt;='Controls'!$D$8,F30&gt;=0,F30&lt;='Controls'!$D$9),"PASS","FAIL")</x:f>
        <x:v>PASS</x:v>
      </x:c>
      <x:c r="I30" s="9" t="n">
        <x:v>0.5</x:v>
      </x:c>
      <x:c r="J30" s="9" t="str">
        <x:f>IF(AND(H30="PASS",I30&lt;=1),"PASS","FAIL")</x:f>
        <x:v>PASS</x:v>
      </x:c>
    </x:row>
    <x:row r="31">
      <x:c r="B31" s="9" t="str">
        <x:v>H2-S</x:v>
      </x:c>
      <x:c r="C31" s="9" t="str">
        <x:v>path H2 source collar</x:v>
      </x:c>
      <x:c r="D31" s="9" t="n">
        <x:v>0</x:v>
      </x:c>
      <x:c r="E31" s="9" t="n">
        <x:v>0.65</x:v>
      </x:c>
      <x:c r="F31" s="9" t="n">
        <x:v>0.9</x:v>
      </x:c>
      <x:c r="G31" s="9" t="str">
        <x:v>m</x:v>
      </x:c>
      <x:c r="H31" s="9" t="str">
        <x:f>IF(AND(D31&gt;=0,D31&lt;='Controls'!$D$7,ABS(E31)&lt;='Controls'!$D$8,F31&gt;=0,F31&lt;='Controls'!$D$9),"PASS","FAIL")</x:f>
        <x:v>PASS</x:v>
      </x:c>
      <x:c r="I31" s="9" t="n">
        <x:v>0.5</x:v>
      </x:c>
      <x:c r="J31" s="9" t="str">
        <x:f>IF(AND(H31="PASS",I31&lt;=1),"PASS","FAIL")</x:f>
        <x:v>PASS</x:v>
      </x:c>
    </x:row>
    <x:row r="32">
      <x:c r="B32" s="10" t="str">
        <x:v>H2-R</x:v>
      </x:c>
      <x:c r="C32" s="10" t="str">
        <x:v>path H2 receiver collar</x:v>
      </x:c>
      <x:c r="D32" s="10" t="n">
        <x:v>12</x:v>
      </x:c>
      <x:c r="E32" s="10" t="n">
        <x:v>0.65</x:v>
      </x:c>
      <x:c r="F32" s="10" t="n">
        <x:v>0.9</x:v>
      </x:c>
      <x:c r="G32" s="10" t="str">
        <x:v>m</x:v>
      </x:c>
      <x:c r="H32" s="10" t="str">
        <x:f>IF(AND(D32&gt;=0,D32&lt;='Controls'!$D$7,ABS(E32)&lt;='Controls'!$D$8,F32&gt;=0,F32&lt;='Controls'!$D$9),"PASS","FAIL")</x:f>
        <x:v>PASS</x:v>
      </x:c>
      <x:c r="I32" s="10" t="n">
        <x:v>0.5</x:v>
      </x:c>
      <x:c r="J32" s="10" t="str">
        <x:f>IF(AND(H32="PASS",I32&lt;=1),"PASS","FAIL")</x:f>
        <x:v>PASS</x:v>
      </x:c>
    </x:row>
  </x:sheetData>
  <x:mergeCells>
    <x:mergeCell ref="B2:J2"/>
    <x:mergeCell ref="B3:J3"/>
  </x:mergeCells>
  <x:conditionalFormatting sqref="H7:J32">
    <x:cfRule type="containsText" dxfId="12" priority="1" operator="containsText" text="PASS"/>
    <x:cfRule type="containsText" dxfId="13" priority="2" operator="containsText" text="AUTHORIZED"/>
    <x:cfRule type="containsText" dxfId="14" priority="3" operator="containsText" text="DEFINED"/>
    <x:cfRule type="containsText" dxfId="15" priority="4" operator="containsText" text="READY"/>
    <x:cfRule type="containsText" dxfId="16" priority="5" operator="containsText" text="HOLD"/>
    <x:cfRule type="containsText" dxfId="17" priority="6" operator="containsText" text="OPEN"/>
    <x:cfRule type="containsText" dxfId="18" priority="7" operator="containsText" text="BLOCKED"/>
    <x:cfRule type="containsText" dxfId="19" priority="8" operator="containsText" text="PLANNING"/>
    <x:cfRule type="containsText" dxfId="20" priority="9" operator="containsText" text="FAIL"/>
    <x:cfRule type="containsText" dxfId="21" priority="10" operator="containsText" text="REJECT"/>
    <x:cfRule type="containsText" dxfId="22" priority="11" operator="containsText" text="INCOMPLETE"/>
    <x:cfRule type="containsText" dxfId="23" priority="12" operator="containsText" text="INDETERMINAT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5" hidden="0" customWidth="1"/>
    <x:col min="3" max="3" width="38" hidden="0" customWidth="1"/>
    <x:col min="4" max="4" width="13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13" hidden="0" customWidth="1"/>
    <x:col min="10" max="10" width="13" hidden="0" customWidth="1"/>
    <x:col min="11" max="11" width="16" hidden="0" customWidth="1"/>
    <x:col min="12" max="12" width="17" hidden="0" customWidth="1"/>
  </x:cols>
  <x:sheetData>
    <x:row r="2">
      <x:c r="B2" s="28" t="str">
        <x:v>Root-specific mass and center-of-gravity ledgers</x:v>
      </x:c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B3" s="2" t="str">
        <x:v>Calculated planning values; article acceptance requires independent physical weighing.</x:v>
      </x:c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4">
      <x:c r="B4" s="29"/>
      <x:c r="C4" s="29"/>
      <x:c r="D4" s="29"/>
      <x:c r="E4" s="29"/>
      <x:c r="F4" s="29"/>
      <x:c r="G4" s="29"/>
      <x:c r="H4" s="29"/>
      <x:c r="I4" s="29"/>
      <x:c r="J4" s="29"/>
      <x:c r="K4" s="29"/>
      <x:c r="L4" s="29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</x:row>
    <x:row r="6">
      <x:c r="B6" s="7" t="str">
        <x:v>Root</x:v>
      </x:c>
      <x:c r="C6" s="7" t="str">
        <x:v>System</x:v>
      </x:c>
      <x:c r="D6" s="7" t="str">
        <x:v>Mass t</x:v>
      </x:c>
      <x:c r="E6" s="7" t="str">
        <x:v>X m</x:v>
      </x:c>
      <x:c r="F6" s="7" t="str">
        <x:v>Y m</x:v>
      </x:c>
      <x:c r="G6" s="7" t="str">
        <x:v>Z m</x:v>
      </x:c>
      <x:c r="H6" s="7" t="str">
        <x:v>Mx</x:v>
      </x:c>
      <x:c r="I6" s="7" t="str">
        <x:v>My</x:v>
      </x:c>
      <x:c r="J6" s="7" t="str">
        <x:v>Mz</x:v>
      </x:c>
      <x:c r="K6" s="7" t="str">
        <x:v>Mass state</x:v>
      </x:c>
      <x:c r="L6" s="7" t="str">
        <x:v>Record state</x:v>
      </x:c>
    </x:row>
    <x:row r="7">
      <x:c r="B7" s="9" t="str">
        <x:v>ROOT_A</x:v>
      </x:c>
      <x:c r="C7" s="9" t="str">
        <x:v>welded primary structure</x:v>
      </x:c>
      <x:c r="D7" s="16" t="n">
        <x:v>8</x:v>
      </x:c>
      <x:c r="E7" s="16" t="n">
        <x:v>6</x:v>
      </x:c>
      <x:c r="F7" s="16" t="n">
        <x:v>0</x:v>
      </x:c>
      <x:c r="G7" s="16" t="n">
        <x:v>1.4</x:v>
      </x:c>
      <x:c r="H7" s="16" t="n">
        <x:f>D7*E7</x:f>
        <x:v>48</x:v>
      </x:c>
      <x:c r="I7" s="16" t="n">
        <x:f>D7*F7</x:f>
        <x:v>0</x:v>
      </x:c>
      <x:c r="J7" s="16" t="n">
        <x:f>D7*G7</x:f>
        <x:v>11.2</x:v>
      </x:c>
      <x:c r="K7" s="9" t="str">
        <x:v>DRY</x:v>
      </x:c>
      <x:c r="L7" s="9" t="str">
        <x:v>SCHEMA ONLY</x:v>
      </x:c>
    </x:row>
    <x:row r="8">
      <x:c r="B8" s="9" t="str">
        <x:v>ROOT_A</x:v>
      </x:c>
      <x:c r="C8" s="9" t="str">
        <x:v>supports and leveling</x:v>
      </x:c>
      <x:c r="D8" s="16" t="n">
        <x:v>3.2</x:v>
      </x:c>
      <x:c r="E8" s="16" t="n">
        <x:v>6</x:v>
      </x:c>
      <x:c r="F8" s="16" t="n">
        <x:v>0</x:v>
      </x:c>
      <x:c r="G8" s="16" t="n">
        <x:v>0.35</x:v>
      </x:c>
      <x:c r="H8" s="16" t="n">
        <x:f>D8*E8</x:f>
        <x:v>19.200000000000003</x:v>
      </x:c>
      <x:c r="I8" s="16" t="n">
        <x:f>D8*F8</x:f>
        <x:v>0</x:v>
      </x:c>
      <x:c r="J8" s="16" t="n">
        <x:f>D8*G8</x:f>
        <x:v>1.1199999999999999</x:v>
      </x:c>
      <x:c r="K8" s="9" t="str">
        <x:v>DRY</x:v>
      </x:c>
      <x:c r="L8" s="9" t="str">
        <x:v>SCHEMA ONLY</x:v>
      </x:c>
    </x:row>
    <x:row r="9">
      <x:c r="B9" s="9" t="str">
        <x:v>ROOT_A</x:v>
      </x:c>
      <x:c r="C9" s="9" t="str">
        <x:v>handling and lift system</x:v>
      </x:c>
      <x:c r="D9" s="16" t="n">
        <x:v>2.2</x:v>
      </x:c>
      <x:c r="E9" s="16" t="n">
        <x:v>6</x:v>
      </x:c>
      <x:c r="F9" s="16" t="n">
        <x:v>0</x:v>
      </x:c>
      <x:c r="G9" s="16" t="n">
        <x:v>2.6</x:v>
      </x:c>
      <x:c r="H9" s="16" t="n">
        <x:f>D9*E9</x:f>
        <x:v>13.200000000000001</x:v>
      </x:c>
      <x:c r="I9" s="16" t="n">
        <x:f>D9*F9</x:f>
        <x:v>0</x:v>
      </x:c>
      <x:c r="J9" s="16" t="n">
        <x:f>D9*G9</x:f>
        <x:v>5.720000000000001</x:v>
      </x:c>
      <x:c r="K9" s="9" t="str">
        <x:v>DRY</x:v>
      </x:c>
      <x:c r="L9" s="9" t="str">
        <x:v>SCHEMA ONLY</x:v>
      </x:c>
    </x:row>
    <x:row r="10">
      <x:c r="B10" s="9" t="str">
        <x:v>ROOT_A</x:v>
      </x:c>
      <x:c r="C10" s="9" t="str">
        <x:v>hydraulic service</x:v>
      </x:c>
      <x:c r="D10" s="16" t="n">
        <x:v>4.2</x:v>
      </x:c>
      <x:c r="E10" s="16" t="n">
        <x:v>5</x:v>
      </x:c>
      <x:c r="F10" s="16" t="n">
        <x:v>0</x:v>
      </x:c>
      <x:c r="G10" s="16" t="n">
        <x:v>0.9</x:v>
      </x:c>
      <x:c r="H10" s="16" t="n">
        <x:f>D10*E10</x:f>
        <x:v>21</x:v>
      </x:c>
      <x:c r="I10" s="16" t="n">
        <x:f>D10*F10</x:f>
        <x:v>0</x:v>
      </x:c>
      <x:c r="J10" s="16" t="n">
        <x:f>D10*G10</x:f>
        <x:v>3.7800000000000002</x:v>
      </x:c>
      <x:c r="K10" s="9" t="str">
        <x:v>DRY</x:v>
      </x:c>
      <x:c r="L10" s="9" t="str">
        <x:v>SCHEMA ONLY</x:v>
      </x:c>
    </x:row>
    <x:row r="11">
      <x:c r="B11" s="9" t="str">
        <x:v>ROOT_A</x:v>
      </x:c>
      <x:c r="C11" s="9" t="str">
        <x:v>power generation and conversion</x:v>
      </x:c>
      <x:c r="D11" s="16" t="n">
        <x:v>5.8</x:v>
      </x:c>
      <x:c r="E11" s="16" t="n">
        <x:v>6.2</x:v>
      </x:c>
      <x:c r="F11" s="16" t="n">
        <x:v>0</x:v>
      </x:c>
      <x:c r="G11" s="16" t="n">
        <x:v>1.4</x:v>
      </x:c>
      <x:c r="H11" s="16" t="n">
        <x:f>D11*E11</x:f>
        <x:v>35.96</x:v>
      </x:c>
      <x:c r="I11" s="16" t="n">
        <x:f>D11*F11</x:f>
        <x:v>0</x:v>
      </x:c>
      <x:c r="J11" s="16" t="n">
        <x:f>D11*G11</x:f>
        <x:v>8.12</x:v>
      </x:c>
      <x:c r="K11" s="9" t="str">
        <x:v>DRY</x:v>
      </x:c>
      <x:c r="L11" s="9" t="str">
        <x:v>SCHEMA ONLY</x:v>
      </x:c>
    </x:row>
    <x:row r="12">
      <x:c r="B12" s="9" t="str">
        <x:v>ROOT_A</x:v>
      </x:c>
      <x:c r="C12" s="9" t="str">
        <x:v>LFP storage system</x:v>
      </x:c>
      <x:c r="D12" s="16" t="n">
        <x:v>3.4</x:v>
      </x:c>
      <x:c r="E12" s="16" t="n">
        <x:v>5.2</x:v>
      </x:c>
      <x:c r="F12" s="16" t="n">
        <x:v>-0.5</x:v>
      </x:c>
      <x:c r="G12" s="16" t="n">
        <x:v>1</x:v>
      </x:c>
      <x:c r="H12" s="16" t="n">
        <x:f>D12*E12</x:f>
        <x:v>17.68</x:v>
      </x:c>
      <x:c r="I12" s="16" t="n">
        <x:f>D12*F12</x:f>
        <x:v>-1.7</x:v>
      </x:c>
      <x:c r="J12" s="16" t="n">
        <x:f>D12*G12</x:f>
        <x:v>3.4</x:v>
      </x:c>
      <x:c r="K12" s="9" t="str">
        <x:v>DRY</x:v>
      </x:c>
      <x:c r="L12" s="9" t="str">
        <x:v>SCHEMA ONLY</x:v>
      </x:c>
    </x:row>
    <x:row r="13">
      <x:c r="B13" s="9" t="str">
        <x:v>ROOT_A</x:v>
      </x:c>
      <x:c r="C13" s="9" t="str">
        <x:v>sanitary subsystem</x:v>
      </x:c>
      <x:c r="D13" s="16" t="n">
        <x:v>1</x:v>
      </x:c>
      <x:c r="E13" s="16" t="n">
        <x:v>2</x:v>
      </x:c>
      <x:c r="F13" s="16" t="n">
        <x:v>0.6</x:v>
      </x:c>
      <x:c r="G13" s="16" t="n">
        <x:v>1.4</x:v>
      </x:c>
      <x:c r="H13" s="16" t="n">
        <x:f>D13*E13</x:f>
        <x:v>2</x:v>
      </x:c>
      <x:c r="I13" s="16" t="n">
        <x:f>D13*F13</x:f>
        <x:v>0.6</x:v>
      </x:c>
      <x:c r="J13" s="16" t="n">
        <x:f>D13*G13</x:f>
        <x:v>1.4</x:v>
      </x:c>
      <x:c r="K13" s="9" t="str">
        <x:v>DRY</x:v>
      </x:c>
      <x:c r="L13" s="9" t="str">
        <x:v>SCHEMA ONLY</x:v>
      </x:c>
    </x:row>
    <x:row r="14">
      <x:c r="B14" s="9" t="str">
        <x:v>ROOT_A</x:v>
      </x:c>
      <x:c r="C14" s="9" t="str">
        <x:v>independent evidence system</x:v>
      </x:c>
      <x:c r="D14" s="16" t="n">
        <x:v>0.7</x:v>
      </x:c>
      <x:c r="E14" s="16" t="n">
        <x:v>6</x:v>
      </x:c>
      <x:c r="F14" s="16" t="n">
        <x:v>0</x:v>
      </x:c>
      <x:c r="G14" s="16" t="n">
        <x:v>3.2</x:v>
      </x:c>
      <x:c r="H14" s="16" t="n">
        <x:f>D14*E14</x:f>
        <x:v>4.199999999999999</x:v>
      </x:c>
      <x:c r="I14" s="16" t="n">
        <x:f>D14*F14</x:f>
        <x:v>0</x:v>
      </x:c>
      <x:c r="J14" s="16" t="n">
        <x:f>D14*G14</x:f>
        <x:v>2.2399999999999998</x:v>
      </x:c>
      <x:c r="K14" s="9" t="str">
        <x:v>DRY</x:v>
      </x:c>
      <x:c r="L14" s="9" t="str">
        <x:v>SCHEMA ONLY</x:v>
      </x:c>
    </x:row>
    <x:row r="15">
      <x:c r="B15" s="9" t="str">
        <x:v>ROOT_A</x:v>
      </x:c>
      <x:c r="C15" s="9" t="str">
        <x:v>containment and fire protection</x:v>
      </x:c>
      <x:c r="D15" s="16" t="n">
        <x:v>0.8</x:v>
      </x:c>
      <x:c r="E15" s="16" t="n">
        <x:v>6</x:v>
      </x:c>
      <x:c r="F15" s="16" t="n">
        <x:v>0</x:v>
      </x:c>
      <x:c r="G15" s="16" t="n">
        <x:v>0.25</x:v>
      </x:c>
      <x:c r="H15" s="16" t="n">
        <x:f>D15*E15</x:f>
        <x:v>4.800000000000001</x:v>
      </x:c>
      <x:c r="I15" s="16" t="n">
        <x:f>D15*F15</x:f>
        <x:v>0</x:v>
      </x:c>
      <x:c r="J15" s="16" t="n">
        <x:f>D15*G15</x:f>
        <x:v>0.2</x:v>
      </x:c>
      <x:c r="K15" s="9" t="str">
        <x:v>DRY</x:v>
      </x:c>
      <x:c r="L15" s="9" t="str">
        <x:v>SCHEMA ONLY</x:v>
      </x:c>
    </x:row>
    <x:row r="16">
      <x:c r="B16" s="9" t="str">
        <x:v>ROOT_A</x:v>
      </x:c>
      <x:c r="C16" s="9" t="str">
        <x:v>access and guarding</x:v>
      </x:c>
      <x:c r="D16" s="16" t="n">
        <x:v>0.6</x:v>
      </x:c>
      <x:c r="E16" s="16" t="n">
        <x:v>6</x:v>
      </x:c>
      <x:c r="F16" s="16" t="n">
        <x:v>0</x:v>
      </x:c>
      <x:c r="G16" s="16" t="n">
        <x:v>1.5</x:v>
      </x:c>
      <x:c r="H16" s="16" t="n">
        <x:f>D16*E16</x:f>
        <x:v>3.5999999999999996</x:v>
      </x:c>
      <x:c r="I16" s="16" t="n">
        <x:f>D16*F16</x:f>
        <x:v>0</x:v>
      </x:c>
      <x:c r="J16" s="16" t="n">
        <x:f>D16*G16</x:f>
        <x:v>0.8999999999999999</x:v>
      </x:c>
      <x:c r="K16" s="9" t="str">
        <x:v>DRY</x:v>
      </x:c>
      <x:c r="L16" s="9" t="str">
        <x:v>SCHEMA ONLY</x:v>
      </x:c>
    </x:row>
    <x:row r="17">
      <x:c r="B17" s="9" t="str">
        <x:v>ROOT_A</x:v>
      </x:c>
      <x:c r="C17" s="9" t="str">
        <x:v>thermal system</x:v>
      </x:c>
      <x:c r="D17" s="16" t="n">
        <x:v>1</x:v>
      </x:c>
      <x:c r="E17" s="16" t="n">
        <x:v>8</x:v>
      </x:c>
      <x:c r="F17" s="16" t="n">
        <x:v>0.5</x:v>
      </x:c>
      <x:c r="G17" s="16" t="n">
        <x:v>2</x:v>
      </x:c>
      <x:c r="H17" s="16" t="n">
        <x:f>D17*E17</x:f>
        <x:v>8</x:v>
      </x:c>
      <x:c r="I17" s="16" t="n">
        <x:f>D17*F17</x:f>
        <x:v>0.5</x:v>
      </x:c>
      <x:c r="J17" s="16" t="n">
        <x:f>D17*G17</x:f>
        <x:v>2</x:v>
      </x:c>
      <x:c r="K17" s="9" t="str">
        <x:v>DRY</x:v>
      </x:c>
      <x:c r="L17" s="9" t="str">
        <x:v>SCHEMA ONLY</x:v>
      </x:c>
    </x:row>
    <x:row r="18">
      <x:c r="B18" s="9" t="str">
        <x:v>ROOT_A</x:v>
      </x:c>
      <x:c r="C18" s="9" t="str">
        <x:v>controlled design reserve</x:v>
      </x:c>
      <x:c r="D18" s="16" t="n">
        <x:v>1.1</x:v>
      </x:c>
      <x:c r="E18" s="16" t="n">
        <x:v>6</x:v>
      </x:c>
      <x:c r="F18" s="16" t="n">
        <x:v>0</x:v>
      </x:c>
      <x:c r="G18" s="16" t="n">
        <x:v>1.2</x:v>
      </x:c>
      <x:c r="H18" s="16" t="n">
        <x:f>D18*E18</x:f>
        <x:v>6.6000000000000005</x:v>
      </x:c>
      <x:c r="I18" s="16" t="n">
        <x:f>D18*F18</x:f>
        <x:v>0</x:v>
      </x:c>
      <x:c r="J18" s="16" t="n">
        <x:f>D18*G18</x:f>
        <x:v>1.32</x:v>
      </x:c>
      <x:c r="K18" s="9" t="str">
        <x:v>DRY</x:v>
      </x:c>
      <x:c r="L18" s="9" t="str">
        <x:v>SCHEMA ONLY</x:v>
      </x:c>
    </x:row>
    <x:row r="19">
      <x:c r="B19" s="9" t="str">
        <x:v>ROOT_B</x:v>
      </x:c>
      <x:c r="C19" s="9" t="str">
        <x:v>composite shell-grid and nodes</x:v>
      </x:c>
      <x:c r="D19" s="16" t="n">
        <x:v>6.5</x:v>
      </x:c>
      <x:c r="E19" s="16" t="n">
        <x:v>6</x:v>
      </x:c>
      <x:c r="F19" s="16" t="n">
        <x:v>0</x:v>
      </x:c>
      <x:c r="G19" s="16" t="n">
        <x:v>1.5</x:v>
      </x:c>
      <x:c r="H19" s="16" t="n">
        <x:f>D19*E19</x:f>
        <x:v>39</x:v>
      </x:c>
      <x:c r="I19" s="16" t="n">
        <x:f>D19*F19</x:f>
        <x:v>0</x:v>
      </x:c>
      <x:c r="J19" s="16" t="n">
        <x:f>D19*G19</x:f>
        <x:v>9.75</x:v>
      </x:c>
      <x:c r="K19" s="9" t="str">
        <x:v>DRY</x:v>
      </x:c>
      <x:c r="L19" s="9" t="str">
        <x:v>SCHEMA ONLY</x:v>
      </x:c>
    </x:row>
    <x:row r="20">
      <x:c r="B20" s="9" t="str">
        <x:v>ROOT_B</x:v>
      </x:c>
      <x:c r="C20" s="9" t="str">
        <x:v>supports and distributed leveling</x:v>
      </x:c>
      <x:c r="D20" s="16" t="n">
        <x:v>4</x:v>
      </x:c>
      <x:c r="E20" s="16" t="n">
        <x:v>6</x:v>
      </x:c>
      <x:c r="F20" s="16" t="n">
        <x:v>0</x:v>
      </x:c>
      <x:c r="G20" s="16" t="n">
        <x:v>0.35</x:v>
      </x:c>
      <x:c r="H20" s="16" t="n">
        <x:f>D20*E20</x:f>
        <x:v>24</x:v>
      </x:c>
      <x:c r="I20" s="16" t="n">
        <x:f>D20*F20</x:f>
        <x:v>0</x:v>
      </x:c>
      <x:c r="J20" s="16" t="n">
        <x:f>D20*G20</x:f>
        <x:v>1.4</x:v>
      </x:c>
      <x:c r="K20" s="9" t="str">
        <x:v>DRY</x:v>
      </x:c>
      <x:c r="L20" s="9" t="str">
        <x:v>SCHEMA ONLY</x:v>
      </x:c>
    </x:row>
    <x:row r="21">
      <x:c r="B21" s="9" t="str">
        <x:v>ROOT_B</x:v>
      </x:c>
      <x:c r="C21" s="9" t="str">
        <x:v>handling and transfer system</x:v>
      </x:c>
      <x:c r="D21" s="16" t="n">
        <x:v>2.8</x:v>
      </x:c>
      <x:c r="E21" s="16" t="n">
        <x:v>6</x:v>
      </x:c>
      <x:c r="F21" s="16" t="n">
        <x:v>0</x:v>
      </x:c>
      <x:c r="G21" s="16" t="n">
        <x:v>2.5</x:v>
      </x:c>
      <x:c r="H21" s="16" t="n">
        <x:f>D21*E21</x:f>
        <x:v>16.799999999999997</x:v>
      </x:c>
      <x:c r="I21" s="16" t="n">
        <x:f>D21*F21</x:f>
        <x:v>0</x:v>
      </x:c>
      <x:c r="J21" s="16" t="n">
        <x:f>D21*G21</x:f>
        <x:v>7</x:v>
      </x:c>
      <x:c r="K21" s="9" t="str">
        <x:v>DRY</x:v>
      </x:c>
      <x:c r="L21" s="9" t="str">
        <x:v>SCHEMA ONLY</x:v>
      </x:c>
    </x:row>
    <x:row r="22">
      <x:c r="B22" s="9" t="str">
        <x:v>ROOT_B</x:v>
      </x:c>
      <x:c r="C22" s="9" t="str">
        <x:v>hydraulic service</x:v>
      </x:c>
      <x:c r="D22" s="16" t="n">
        <x:v>4.5</x:v>
      </x:c>
      <x:c r="E22" s="16" t="n">
        <x:v>5.2</x:v>
      </x:c>
      <x:c r="F22" s="16" t="n">
        <x:v>0</x:v>
      </x:c>
      <x:c r="G22" s="16" t="n">
        <x:v>0.95</x:v>
      </x:c>
      <x:c r="H22" s="16" t="n">
        <x:f>D22*E22</x:f>
        <x:v>23.400000000000002</x:v>
      </x:c>
      <x:c r="I22" s="16" t="n">
        <x:f>D22*F22</x:f>
        <x:v>0</x:v>
      </x:c>
      <x:c r="J22" s="16" t="n">
        <x:f>D22*G22</x:f>
        <x:v>4.2749999999999995</x:v>
      </x:c>
      <x:c r="K22" s="9" t="str">
        <x:v>DRY</x:v>
      </x:c>
      <x:c r="L22" s="9" t="str">
        <x:v>SCHEMA ONLY</x:v>
      </x:c>
    </x:row>
    <x:row r="23">
      <x:c r="B23" s="9" t="str">
        <x:v>ROOT_B</x:v>
      </x:c>
      <x:c r="C23" s="9" t="str">
        <x:v>alternate rotating conversion</x:v>
      </x:c>
      <x:c r="D23" s="16" t="n">
        <x:v>4.8</x:v>
      </x:c>
      <x:c r="E23" s="16" t="n">
        <x:v>6.5</x:v>
      </x:c>
      <x:c r="F23" s="16" t="n">
        <x:v>0</x:v>
      </x:c>
      <x:c r="G23" s="16" t="n">
        <x:v>1.5</x:v>
      </x:c>
      <x:c r="H23" s="16" t="n">
        <x:f>D23*E23</x:f>
        <x:v>31.2</x:v>
      </x:c>
      <x:c r="I23" s="16" t="n">
        <x:f>D23*F23</x:f>
        <x:v>0</x:v>
      </x:c>
      <x:c r="J23" s="16" t="n">
        <x:f>D23*G23</x:f>
        <x:v>7.199999999999999</x:v>
      </x:c>
      <x:c r="K23" s="9" t="str">
        <x:v>DRY</x:v>
      </x:c>
      <x:c r="L23" s="9" t="str">
        <x:v>SCHEMA ONLY</x:v>
      </x:c>
    </x:row>
    <x:row r="24">
      <x:c r="B24" s="9" t="str">
        <x:v>ROOT_B</x:v>
      </x:c>
      <x:c r="C24" s="9" t="str">
        <x:v>structural zinc-halogen storage</x:v>
      </x:c>
      <x:c r="D24" s="16" t="n">
        <x:v>5</x:v>
      </x:c>
      <x:c r="E24" s="16" t="n">
        <x:v>5.5</x:v>
      </x:c>
      <x:c r="F24" s="16" t="n">
        <x:v>0.4</x:v>
      </x:c>
      <x:c r="G24" s="16" t="n">
        <x:v>1.05</x:v>
      </x:c>
      <x:c r="H24" s="16" t="n">
        <x:f>D24*E24</x:f>
        <x:v>27.5</x:v>
      </x:c>
      <x:c r="I24" s="16" t="n">
        <x:f>D24*F24</x:f>
        <x:v>2</x:v>
      </x:c>
      <x:c r="J24" s="16" t="n">
        <x:f>D24*G24</x:f>
        <x:v>5.25</x:v>
      </x:c>
      <x:c r="K24" s="9" t="str">
        <x:v>DRY</x:v>
      </x:c>
      <x:c r="L24" s="9" t="str">
        <x:v>SCHEMA ONLY</x:v>
      </x:c>
    </x:row>
    <x:row r="25">
      <x:c r="B25" s="9" t="str">
        <x:v>ROOT_B</x:v>
      </x:c>
      <x:c r="C25" s="9" t="str">
        <x:v>sanitary subsystem</x:v>
      </x:c>
      <x:c r="D25" s="16" t="n">
        <x:v>1</x:v>
      </x:c>
      <x:c r="E25" s="16" t="n">
        <x:v>2.2</x:v>
      </x:c>
      <x:c r="F25" s="16" t="n">
        <x:v>-0.6</x:v>
      </x:c>
      <x:c r="G25" s="16" t="n">
        <x:v>1.4</x:v>
      </x:c>
      <x:c r="H25" s="16" t="n">
        <x:f>D25*E25</x:f>
        <x:v>2.2</x:v>
      </x:c>
      <x:c r="I25" s="16" t="n">
        <x:f>D25*F25</x:f>
        <x:v>-0.6</x:v>
      </x:c>
      <x:c r="J25" s="16" t="n">
        <x:f>D25*G25</x:f>
        <x:v>1.4</x:v>
      </x:c>
      <x:c r="K25" s="9" t="str">
        <x:v>DRY</x:v>
      </x:c>
      <x:c r="L25" s="9" t="str">
        <x:v>SCHEMA ONLY</x:v>
      </x:c>
    </x:row>
    <x:row r="26">
      <x:c r="B26" s="9" t="str">
        <x:v>ROOT_B</x:v>
      </x:c>
      <x:c r="C26" s="9" t="str">
        <x:v>independent evidence system</x:v>
      </x:c>
      <x:c r="D26" s="16" t="n">
        <x:v>0.8</x:v>
      </x:c>
      <x:c r="E26" s="16" t="n">
        <x:v>6</x:v>
      </x:c>
      <x:c r="F26" s="16" t="n">
        <x:v>0</x:v>
      </x:c>
      <x:c r="G26" s="16" t="n">
        <x:v>3.2</x:v>
      </x:c>
      <x:c r="H26" s="16" t="n">
        <x:f>D26*E26</x:f>
        <x:v>4.800000000000001</x:v>
      </x:c>
      <x:c r="I26" s="16" t="n">
        <x:f>D26*F26</x:f>
        <x:v>0</x:v>
      </x:c>
      <x:c r="J26" s="16" t="n">
        <x:f>D26*G26</x:f>
        <x:v>2.5600000000000005</x:v>
      </x:c>
      <x:c r="K26" s="9" t="str">
        <x:v>DRY</x:v>
      </x:c>
      <x:c r="L26" s="9" t="str">
        <x:v>SCHEMA ONLY</x:v>
      </x:c>
    </x:row>
    <x:row r="27">
      <x:c r="B27" s="9" t="str">
        <x:v>ROOT_B</x:v>
      </x:c>
      <x:c r="C27" s="9" t="str">
        <x:v>containment and fire protection</x:v>
      </x:c>
      <x:c r="D27" s="16" t="n">
        <x:v>0.9</x:v>
      </x:c>
      <x:c r="E27" s="16" t="n">
        <x:v>6</x:v>
      </x:c>
      <x:c r="F27" s="16" t="n">
        <x:v>0</x:v>
      </x:c>
      <x:c r="G27" s="16" t="n">
        <x:v>0.25</x:v>
      </x:c>
      <x:c r="H27" s="16" t="n">
        <x:f>D27*E27</x:f>
        <x:v>5.4</x:v>
      </x:c>
      <x:c r="I27" s="16" t="n">
        <x:f>D27*F27</x:f>
        <x:v>0</x:v>
      </x:c>
      <x:c r="J27" s="16" t="n">
        <x:f>D27*G27</x:f>
        <x:v>0.225</x:v>
      </x:c>
      <x:c r="K27" s="9" t="str">
        <x:v>DRY</x:v>
      </x:c>
      <x:c r="L27" s="9" t="str">
        <x:v>SCHEMA ONLY</x:v>
      </x:c>
    </x:row>
    <x:row r="28">
      <x:c r="B28" s="9" t="str">
        <x:v>ROOT_B</x:v>
      </x:c>
      <x:c r="C28" s="9" t="str">
        <x:v>access and guarding</x:v>
      </x:c>
      <x:c r="D28" s="16" t="n">
        <x:v>0.7</x:v>
      </x:c>
      <x:c r="E28" s="16" t="n">
        <x:v>6</x:v>
      </x:c>
      <x:c r="F28" s="16" t="n">
        <x:v>0</x:v>
      </x:c>
      <x:c r="G28" s="16" t="n">
        <x:v>1.5</x:v>
      </x:c>
      <x:c r="H28" s="16" t="n">
        <x:f>D28*E28</x:f>
        <x:v>4.199999999999999</x:v>
      </x:c>
      <x:c r="I28" s="16" t="n">
        <x:f>D28*F28</x:f>
        <x:v>0</x:v>
      </x:c>
      <x:c r="J28" s="16" t="n">
        <x:f>D28*G28</x:f>
        <x:v>1.0499999999999998</x:v>
      </x:c>
      <x:c r="K28" s="9" t="str">
        <x:v>DRY</x:v>
      </x:c>
      <x:c r="L28" s="9" t="str">
        <x:v>SCHEMA ONLY</x:v>
      </x:c>
    </x:row>
    <x:row r="29">
      <x:c r="B29" s="9" t="str">
        <x:v>ROOT_B</x:v>
      </x:c>
      <x:c r="C29" s="9" t="str">
        <x:v>thermal system</x:v>
      </x:c>
      <x:c r="D29" s="16" t="n">
        <x:v>0.7</x:v>
      </x:c>
      <x:c r="E29" s="16" t="n">
        <x:v>8</x:v>
      </x:c>
      <x:c r="F29" s="16" t="n">
        <x:v>-0.5</x:v>
      </x:c>
      <x:c r="G29" s="16" t="n">
        <x:v>2</x:v>
      </x:c>
      <x:c r="H29" s="16" t="n">
        <x:f>D29*E29</x:f>
        <x:v>5.6</x:v>
      </x:c>
      <x:c r="I29" s="16" t="n">
        <x:f>D29*F29</x:f>
        <x:v>-0.35</x:v>
      </x:c>
      <x:c r="J29" s="16" t="n">
        <x:f>D29*G29</x:f>
        <x:v>1.4</x:v>
      </x:c>
      <x:c r="K29" s="9" t="str">
        <x:v>DRY</x:v>
      </x:c>
      <x:c r="L29" s="9" t="str">
        <x:v>SCHEMA ONLY</x:v>
      </x:c>
    </x:row>
    <x:row r="30">
      <x:c r="B30" s="9" t="str">
        <x:v>ROOT_B</x:v>
      </x:c>
      <x:c r="C30" s="9" t="str">
        <x:v>controlled design reserve</x:v>
      </x:c>
      <x:c r="D30" s="16" t="n">
        <x:v>0.3</x:v>
      </x:c>
      <x:c r="E30" s="16" t="n">
        <x:v>6</x:v>
      </x:c>
      <x:c r="F30" s="16" t="n">
        <x:v>0</x:v>
      </x:c>
      <x:c r="G30" s="16" t="n">
        <x:v>1.2</x:v>
      </x:c>
      <x:c r="H30" s="16" t="n">
        <x:f>D30*E30</x:f>
        <x:v>1.7999999999999998</x:v>
      </x:c>
      <x:c r="I30" s="16" t="n">
        <x:f>D30*F30</x:f>
        <x:v>0</x:v>
      </x:c>
      <x:c r="J30" s="16" t="n">
        <x:f>D30*G30</x:f>
        <x:v>0.36</x:v>
      </x:c>
      <x:c r="K30" s="9" t="str">
        <x:v>DRY</x:v>
      </x:c>
      <x:c r="L30" s="9" t="str">
        <x:v>SCHEMA ONLY</x:v>
      </x:c>
    </x:row>
    <x:row r="31">
      <x:c r="B31" s="9"/>
      <x:c r="C31" s="9"/>
      <x:c r="D31" s="16"/>
      <x:c r="E31" s="16"/>
      <x:c r="F31" s="16"/>
      <x:c r="G31" s="16"/>
      <x:c r="H31" s="16"/>
      <x:c r="I31" s="16"/>
      <x:c r="J31" s="16"/>
      <x:c r="K31" s="9"/>
      <x:c r="L31" s="9"/>
    </x:row>
    <x:row r="32">
      <x:c r="B32" s="9"/>
      <x:c r="C32" s="9"/>
      <x:c r="D32" s="16"/>
      <x:c r="E32" s="16"/>
      <x:c r="F32" s="16"/>
      <x:c r="G32" s="16"/>
      <x:c r="H32" s="16"/>
      <x:c r="I32" s="16"/>
      <x:c r="J32" s="16"/>
      <x:c r="K32" s="9"/>
      <x:c r="L32" s="9"/>
    </x:row>
    <x:row r="33">
      <x:c r="B33" s="15" t="str">
        <x:v>Common operating inventory and ballast</x:v>
      </x:c>
      <x:c r="C33" s="15" t="str">
        <x:v>Common operating inventory and ballast</x:v>
      </x:c>
      <x:c r="D33" s="17" t="str">
        <x:v>Common operating inventory and ballast</x:v>
      </x:c>
      <x:c r="E33" s="17" t="str">
        <x:v>Common operating inventory and ballast</x:v>
      </x:c>
      <x:c r="F33" s="17" t="str">
        <x:v>Common operating inventory and ballast</x:v>
      </x:c>
      <x:c r="G33" s="17" t="str">
        <x:v>Common operating inventory and ballast</x:v>
      </x:c>
      <x:c r="H33" s="17" t="str">
        <x:v>Common operating inventory and ballast</x:v>
      </x:c>
      <x:c r="I33" s="17" t="str">
        <x:v>Common operating inventory and ballast</x:v>
      </x:c>
      <x:c r="J33" s="17" t="str">
        <x:v>Common operating inventory and ballast</x:v>
      </x:c>
      <x:c r="K33" s="15" t="str">
        <x:v>Common operating inventory and ballast</x:v>
      </x:c>
      <x:c r="L33" s="15" t="str">
        <x:v>Common operating inventory and ballast</x:v>
      </x:c>
    </x:row>
    <x:row r="34">
      <x:c r="B34" s="7" t="str">
        <x:v>Class</x:v>
      </x:c>
      <x:c r="C34" s="7" t="str">
        <x:v>Item</x:v>
      </x:c>
      <x:c r="D34" s="18" t="str">
        <x:v>Mass t</x:v>
      </x:c>
      <x:c r="E34" s="18" t="str">
        <x:v>X m</x:v>
      </x:c>
      <x:c r="F34" s="18" t="str">
        <x:v>Y m</x:v>
      </x:c>
      <x:c r="G34" s="18" t="str">
        <x:v>Z m</x:v>
      </x:c>
      <x:c r="H34" s="18" t="str">
        <x:v>Mx</x:v>
      </x:c>
      <x:c r="I34" s="18" t="str">
        <x:v>My</x:v>
      </x:c>
      <x:c r="J34" s="18" t="str">
        <x:v>Mz</x:v>
      </x:c>
      <x:c r="K34" s="9"/>
      <x:c r="L34" s="9"/>
    </x:row>
    <x:row r="35">
      <x:c r="B35" s="9" t="str">
        <x:v>service</x:v>
      </x:c>
      <x:c r="C35" s="9" t="str">
        <x:v>hydraulic and process water</x:v>
      </x:c>
      <x:c r="D35" s="16" t="n">
        <x:v>2</x:v>
      </x:c>
      <x:c r="E35" s="16" t="n">
        <x:v>6</x:v>
      </x:c>
      <x:c r="F35" s="16" t="n">
        <x:v>0</x:v>
      </x:c>
      <x:c r="G35" s="16" t="n">
        <x:v>0.8</x:v>
      </x:c>
      <x:c r="H35" s="16" t="n">
        <x:f>D35*E35</x:f>
        <x:v>12</x:v>
      </x:c>
      <x:c r="I35" s="16" t="n">
        <x:f>D35*F35</x:f>
        <x:v>0</x:v>
      </x:c>
      <x:c r="J35" s="16" t="n">
        <x:f>D35*G35</x:f>
        <x:v>1.6</x:v>
      </x:c>
      <x:c r="K35" s="9"/>
      <x:c r="L35" s="9"/>
    </x:row>
    <x:row r="36">
      <x:c r="B36" s="9" t="str">
        <x:v>service</x:v>
      </x:c>
      <x:c r="C36" s="9" t="str">
        <x:v>mission fuel or reactant</x:v>
      </x:c>
      <x:c r="D36" s="16" t="n">
        <x:v>1.4</x:v>
      </x:c>
      <x:c r="E36" s="16" t="n">
        <x:v>9</x:v>
      </x:c>
      <x:c r="F36" s="16" t="n">
        <x:v>0</x:v>
      </x:c>
      <x:c r="G36" s="16" t="n">
        <x:v>1</x:v>
      </x:c>
      <x:c r="H36" s="16" t="n">
        <x:f>D36*E36</x:f>
        <x:v>12.6</x:v>
      </x:c>
      <x:c r="I36" s="16" t="n">
        <x:f>D36*F36</x:f>
        <x:v>0</x:v>
      </x:c>
      <x:c r="J36" s="16" t="n">
        <x:f>D36*G36</x:f>
        <x:v>1.4</x:v>
      </x:c>
      <x:c r="K36" s="9"/>
      <x:c r="L36" s="9"/>
    </x:row>
    <x:row r="37">
      <x:c r="B37" s="9" t="str">
        <x:v>service</x:v>
      </x:c>
      <x:c r="C37" s="9" t="str">
        <x:v>sanitary material and waste</x:v>
      </x:c>
      <x:c r="D37" s="16" t="n">
        <x:v>0.25</x:v>
      </x:c>
      <x:c r="E37" s="16" t="n">
        <x:v>2</x:v>
      </x:c>
      <x:c r="F37" s="16" t="n">
        <x:v>0.5</x:v>
      </x:c>
      <x:c r="G37" s="16" t="n">
        <x:v>1.2</x:v>
      </x:c>
      <x:c r="H37" s="16" t="n">
        <x:f>D37*E37</x:f>
        <x:v>0.5</x:v>
      </x:c>
      <x:c r="I37" s="16" t="n">
        <x:f>D37*F37</x:f>
        <x:v>0.125</x:v>
      </x:c>
      <x:c r="J37" s="16" t="n">
        <x:f>D37*G37</x:f>
        <x:v>0.3</x:v>
      </x:c>
      <x:c r="K37" s="9"/>
      <x:c r="L37" s="9"/>
    </x:row>
    <x:row r="38">
      <x:c r="B38" s="9" t="str">
        <x:v>service</x:v>
      </x:c>
      <x:c r="C38" s="9" t="str">
        <x:v>thermal working fluid</x:v>
      </x:c>
      <x:c r="D38" s="16" t="n">
        <x:v>0.25</x:v>
      </x:c>
      <x:c r="E38" s="16" t="n">
        <x:v>8</x:v>
      </x:c>
      <x:c r="F38" s="16" t="n">
        <x:v>-0.5</x:v>
      </x:c>
      <x:c r="G38" s="16" t="n">
        <x:v>1.3</x:v>
      </x:c>
      <x:c r="H38" s="16" t="n">
        <x:f>D38*E38</x:f>
        <x:v>2</x:v>
      </x:c>
      <x:c r="I38" s="16" t="n">
        <x:f>D38*F38</x:f>
        <x:v>-0.125</x:v>
      </x:c>
      <x:c r="J38" s="16" t="n">
        <x:f>D38*G38</x:f>
        <x:v>0.325</x:v>
      </x:c>
      <x:c r="K38" s="9"/>
      <x:c r="L38" s="9"/>
    </x:row>
    <x:row r="39">
      <x:c r="B39" s="9" t="str">
        <x:v>service</x:v>
      </x:c>
      <x:c r="C39" s="9" t="str">
        <x:v>operator and trial consumables</x:v>
      </x:c>
      <x:c r="D39" s="16" t="n">
        <x:v>0.1</x:v>
      </x:c>
      <x:c r="E39" s="16" t="n">
        <x:v>6</x:v>
      </x:c>
      <x:c r="F39" s="16" t="n">
        <x:v>0</x:v>
      </x:c>
      <x:c r="G39" s="16" t="n">
        <x:v>1.5</x:v>
      </x:c>
      <x:c r="H39" s="16" t="n">
        <x:f>D39*E39</x:f>
        <x:v>0.6000000000000001</x:v>
      </x:c>
      <x:c r="I39" s="16" t="n">
        <x:f>D39*F39</x:f>
        <x:v>0</x:v>
      </x:c>
      <x:c r="J39" s="16" t="n">
        <x:f>D39*G39</x:f>
        <x:v>0.15000000000000002</x:v>
      </x:c>
      <x:c r="K39" s="9"/>
      <x:c r="L39" s="9"/>
    </x:row>
    <x:row r="40">
      <x:c r="B40" s="9" t="str">
        <x:v>ballast</x:v>
      </x:c>
      <x:c r="C40" s="9" t="str">
        <x:v>B01</x:v>
      </x:c>
      <x:c r="D40" s="16" t="n">
        <x:v>1</x:v>
      </x:c>
      <x:c r="E40" s="16" t="n">
        <x:v>2.5</x:v>
      </x:c>
      <x:c r="F40" s="16" t="n">
        <x:v>-0.6</x:v>
      </x:c>
      <x:c r="G40" s="16" t="n">
        <x:v>0.6</x:v>
      </x:c>
      <x:c r="H40" s="16" t="n">
        <x:f>D40*E40</x:f>
        <x:v>2.5</x:v>
      </x:c>
      <x:c r="I40" s="16" t="n">
        <x:f>D40*F40</x:f>
        <x:v>-0.6</x:v>
      </x:c>
      <x:c r="J40" s="16" t="n">
        <x:f>D40*G40</x:f>
        <x:v>0.6</x:v>
      </x:c>
      <x:c r="K40" s="9"/>
      <x:c r="L40" s="9"/>
    </x:row>
    <x:row r="41">
      <x:c r="B41" s="9" t="str">
        <x:v>ballast</x:v>
      </x:c>
      <x:c r="C41" s="9" t="str">
        <x:v>B02</x:v>
      </x:c>
      <x:c r="D41" s="16" t="n">
        <x:v>1</x:v>
      </x:c>
      <x:c r="E41" s="16" t="n">
        <x:v>4.8</x:v>
      </x:c>
      <x:c r="F41" s="16" t="n">
        <x:v>0.6</x:v>
      </x:c>
      <x:c r="G41" s="16" t="n">
        <x:v>0.6</x:v>
      </x:c>
      <x:c r="H41" s="16" t="n">
        <x:f>D41*E41</x:f>
        <x:v>4.8</x:v>
      </x:c>
      <x:c r="I41" s="16" t="n">
        <x:f>D41*F41</x:f>
        <x:v>0.6</x:v>
      </x:c>
      <x:c r="J41" s="16" t="n">
        <x:f>D41*G41</x:f>
        <x:v>0.6</x:v>
      </x:c>
      <x:c r="K41" s="9"/>
      <x:c r="L41" s="9"/>
    </x:row>
    <x:row r="42">
      <x:c r="B42" s="9" t="str">
        <x:v>ballast</x:v>
      </x:c>
      <x:c r="C42" s="9" t="str">
        <x:v>B03</x:v>
      </x:c>
      <x:c r="D42" s="16" t="n">
        <x:v>1</x:v>
      </x:c>
      <x:c r="E42" s="16" t="n">
        <x:v>7.2</x:v>
      </x:c>
      <x:c r="F42" s="16" t="n">
        <x:v>-0.6</x:v>
      </x:c>
      <x:c r="G42" s="16" t="n">
        <x:v>0.6</x:v>
      </x:c>
      <x:c r="H42" s="16" t="n">
        <x:f>D42*E42</x:f>
        <x:v>7.2</x:v>
      </x:c>
      <x:c r="I42" s="16" t="n">
        <x:f>D42*F42</x:f>
        <x:v>-0.6</x:v>
      </x:c>
      <x:c r="J42" s="16" t="n">
        <x:f>D42*G42</x:f>
        <x:v>0.6</x:v>
      </x:c>
      <x:c r="K42" s="9"/>
      <x:c r="L42" s="9"/>
    </x:row>
    <x:row r="43">
      <x:c r="B43" s="9" t="str">
        <x:v>ballast</x:v>
      </x:c>
      <x:c r="C43" s="9" t="str">
        <x:v>B04</x:v>
      </x:c>
      <x:c r="D43" s="16" t="n">
        <x:v>1</x:v>
      </x:c>
      <x:c r="E43" s="16" t="n">
        <x:v>9.5</x:v>
      </x:c>
      <x:c r="F43" s="16" t="n">
        <x:v>0.6</x:v>
      </x:c>
      <x:c r="G43" s="16" t="n">
        <x:v>0.6</x:v>
      </x:c>
      <x:c r="H43" s="16" t="n">
        <x:f>D43*E43</x:f>
        <x:v>9.5</x:v>
      </x:c>
      <x:c r="I43" s="16" t="n">
        <x:f>D43*F43</x:f>
        <x:v>0.6</x:v>
      </x:c>
      <x:c r="J43" s="16" t="n">
        <x:f>D43*G43</x:f>
        <x:v>0.6</x:v>
      </x:c>
      <x:c r="K43" s="9"/>
      <x:c r="L43" s="9"/>
    </x:row>
    <x:row r="44">
      <x:c r="B44" s="9"/>
      <x:c r="C44" s="9"/>
      <x:c r="D44" s="16"/>
      <x:c r="E44" s="16"/>
      <x:c r="F44" s="16"/>
      <x:c r="G44" s="16"/>
      <x:c r="H44" s="16"/>
      <x:c r="I44" s="16"/>
      <x:c r="J44" s="16"/>
      <x:c r="K44" s="9"/>
      <x:c r="L44" s="9"/>
    </x:row>
    <x:row r="45">
      <x:c r="B45" s="9"/>
      <x:c r="C45" s="9"/>
      <x:c r="D45" s="16"/>
      <x:c r="E45" s="16"/>
      <x:c r="F45" s="16"/>
      <x:c r="G45" s="16"/>
      <x:c r="H45" s="16"/>
      <x:c r="I45" s="16"/>
      <x:c r="J45" s="16"/>
      <x:c r="K45" s="9"/>
      <x:c r="L45" s="9"/>
    </x:row>
    <x:row r="46">
      <x:c r="B46" s="9"/>
      <x:c r="C46" s="9"/>
      <x:c r="D46" s="16"/>
      <x:c r="E46" s="16"/>
      <x:c r="F46" s="16"/>
      <x:c r="G46" s="16"/>
      <x:c r="H46" s="16"/>
      <x:c r="I46" s="16"/>
      <x:c r="J46" s="16"/>
      <x:c r="K46" s="9"/>
      <x:c r="L46" s="9"/>
    </x:row>
    <x:row r="47">
      <x:c r="B47" s="15" t="str">
        <x:v>Derived mass properties and design-window gates</x:v>
      </x:c>
      <x:c r="C47" s="15" t="str">
        <x:v>Derived mass properties and design-window gates</x:v>
      </x:c>
      <x:c r="D47" s="17" t="str">
        <x:v>Derived mass properties and design-window gates</x:v>
      </x:c>
      <x:c r="E47" s="17" t="str">
        <x:v>Derived mass properties and design-window gates</x:v>
      </x:c>
      <x:c r="F47" s="17" t="str">
        <x:v>Derived mass properties and design-window gates</x:v>
      </x:c>
      <x:c r="G47" s="17" t="str">
        <x:v>Derived mass properties and design-window gates</x:v>
      </x:c>
      <x:c r="H47" s="17" t="str">
        <x:v>Derived mass properties and design-window gates</x:v>
      </x:c>
      <x:c r="I47" s="17" t="str">
        <x:v>Derived mass properties and design-window gates</x:v>
      </x:c>
      <x:c r="J47" s="17" t="str">
        <x:v>Derived mass properties and design-window gates</x:v>
      </x:c>
      <x:c r="K47" s="15" t="str">
        <x:v>Derived mass properties and design-window gates</x:v>
      </x:c>
      <x:c r="L47" s="15" t="str">
        <x:v>Derived mass properties and design-window gates</x:v>
      </x:c>
    </x:row>
    <x:row r="48">
      <x:c r="B48" s="7" t="str">
        <x:v>Root</x:v>
      </x:c>
      <x:c r="C48" s="7" t="str">
        <x:v>State</x:v>
      </x:c>
      <x:c r="D48" s="18" t="str">
        <x:v>Mass t</x:v>
      </x:c>
      <x:c r="E48" s="18" t="str">
        <x:v>CG X</x:v>
      </x:c>
      <x:c r="F48" s="18" t="str">
        <x:v>CG Y</x:v>
      </x:c>
      <x:c r="G48" s="18" t="str">
        <x:v>CG Z</x:v>
      </x:c>
      <x:c r="H48" s="18" t="str">
        <x:v>X gate</x:v>
      </x:c>
      <x:c r="I48" s="18" t="str">
        <x:v>Y gate</x:v>
      </x:c>
      <x:c r="J48" s="18" t="str">
        <x:v>Z gate</x:v>
      </x:c>
      <x:c r="K48" s="7" t="str">
        <x:v>Mass gate</x:v>
      </x:c>
      <x:c r="L48" s="7" t="str">
        <x:v>Physical state</x:v>
      </x:c>
    </x:row>
    <x:row r="49">
      <x:c r="B49" s="9" t="str">
        <x:v>ROOT_A</x:v>
      </x:c>
      <x:c r="C49" s="9" t="str">
        <x:v>DRY</x:v>
      </x:c>
      <x:c r="D49" s="16" t="n">
        <x:f>SUM(D7:D18)</x:f>
        <x:v>32</x:v>
      </x:c>
      <x:c r="E49" s="16" t="n">
        <x:f>SUM(H7:H18)/D49</x:f>
        <x:v>5.7575</x:v>
      </x:c>
      <x:c r="F49" s="16" t="n">
        <x:f>SUM(I7:I18)/D49</x:f>
        <x:v>-0.018750000000000003</x:v>
      </x:c>
      <x:c r="G49" s="16" t="n">
        <x:f>SUM(J7:J18)/D49</x:f>
        <x:v>1.29375</x:v>
      </x:c>
      <x:c r="H49" s="16" t="str">
        <x:f>IF(AND(E49&gt;='Controls'!$D$14,E49&lt;='Controls'!$D$15),"PASS","FAIL")</x:f>
        <x:v>PASS</x:v>
      </x:c>
      <x:c r="I49" s="16" t="str">
        <x:f>IF(ABS(F49)&lt;='Controls'!$D$16,"PASS","FAIL")</x:f>
        <x:v>PASS</x:v>
      </x:c>
      <x:c r="J49" s="16" t="str">
        <x:f>IF(G49&lt;='Controls'!$D$17,"PASS","FAIL")</x:f>
        <x:v>PASS</x:v>
      </x:c>
      <x:c r="K49" s="9" t="str">
        <x:f>IF(ABS(D49-'Controls'!$D$10)&lt;0.0001,"PASS","FAIL")</x:f>
        <x:v>PASS</x:v>
      </x:c>
      <x:c r="L49" s="9" t="str">
        <x:v>OPEN</x:v>
      </x:c>
    </x:row>
    <x:row r="50">
      <x:c r="B50" s="9" t="str">
        <x:v>ROOT_B</x:v>
      </x:c>
      <x:c r="C50" s="9" t="str">
        <x:v>DRY</x:v>
      </x:c>
      <x:c r="D50" s="16" t="n">
        <x:f>SUM(D19:D30)</x:f>
        <x:v>32</x:v>
      </x:c>
      <x:c r="E50" s="16" t="n">
        <x:f>SUM(H19:H30)/D50</x:f>
        <x:v>5.809375</x:v>
      </x:c>
      <x:c r="F50" s="16" t="n">
        <x:f>SUM(I19:I30)/D50</x:f>
        <x:v>0.032812499999999994</x:v>
      </x:c>
      <x:c r="G50" s="16" t="n">
        <x:f>SUM(J19:J30)/D50</x:f>
        <x:v>1.3084375</x:v>
      </x:c>
      <x:c r="H50" s="16" t="str">
        <x:f>IF(AND(E50&gt;='Controls'!$D$14,E50&lt;='Controls'!$D$15),"PASS","FAIL")</x:f>
        <x:v>PASS</x:v>
      </x:c>
      <x:c r="I50" s="16" t="str">
        <x:f>IF(ABS(F50)&lt;='Controls'!$D$16,"PASS","FAIL")</x:f>
        <x:v>PASS</x:v>
      </x:c>
      <x:c r="J50" s="16" t="str">
        <x:f>IF(G50&lt;='Controls'!$D$17,"PASS","FAIL")</x:f>
        <x:v>PASS</x:v>
      </x:c>
      <x:c r="K50" s="9" t="str">
        <x:f>IF(ABS(D50-'Controls'!$D$10)&lt;0.0001,"PASS","FAIL")</x:f>
        <x:v>PASS</x:v>
      </x:c>
      <x:c r="L50" s="9" t="str">
        <x:v>OPEN</x:v>
      </x:c>
    </x:row>
    <x:row r="51">
      <x:c r="B51" s="9"/>
      <x:c r="C51" s="9"/>
      <x:c r="D51" s="16"/>
      <x:c r="E51" s="16"/>
      <x:c r="F51" s="16"/>
      <x:c r="G51" s="16"/>
      <x:c r="H51" s="16"/>
      <x:c r="I51" s="16"/>
      <x:c r="J51" s="16"/>
      <x:c r="K51" s="9"/>
      <x:c r="L51" s="9"/>
    </x:row>
    <x:row r="52">
      <x:c r="B52" s="9" t="str">
        <x:v>ROOT_A</x:v>
      </x:c>
      <x:c r="C52" s="9" t="str">
        <x:v>OPERATING</x:v>
      </x:c>
      <x:c r="D52" s="16" t="n">
        <x:f>SUM(D7:D18)+SUM(D35:D43)</x:f>
        <x:v>40</x:v>
      </x:c>
      <x:c r="E52" s="16" t="n">
        <x:f>(SUM(H7:H18)+SUM(H35:H43))/D52</x:f>
        <x:v>5.8985</x:v>
      </x:c>
      <x:c r="F52" s="16" t="n">
        <x:f>(SUM(I7:I18)+SUM(I35:I43))/D52</x:f>
        <x:v>-0.015000000000000003</x:v>
      </x:c>
      <x:c r="G52" s="16" t="n">
        <x:f>(SUM(J7:J18)+SUM(J35:J43))/D52</x:f>
        <x:v>1.1893749999999998</x:v>
      </x:c>
      <x:c r="H52" s="16" t="str">
        <x:f>IF(AND(E52&gt;='Controls'!$D$14,E52&lt;='Controls'!$D$15),"PASS","FAIL")</x:f>
        <x:v>PASS</x:v>
      </x:c>
      <x:c r="I52" s="16" t="str">
        <x:f>IF(ABS(F52)&lt;='Controls'!$D$16,"PASS","FAIL")</x:f>
        <x:v>PASS</x:v>
      </x:c>
      <x:c r="J52" s="16" t="str">
        <x:f>IF(G52&lt;='Controls'!$D$17,"PASS","FAIL")</x:f>
        <x:v>PASS</x:v>
      </x:c>
      <x:c r="K52" s="9" t="str">
        <x:f>IF(ABS(D52-'Controls'!$D$13)&lt;0.0001,"PASS","FAIL")</x:f>
        <x:v>PASS</x:v>
      </x:c>
      <x:c r="L52" s="9" t="str">
        <x:v>OPEN</x:v>
      </x:c>
    </x:row>
    <x:row r="53">
      <x:c r="B53" s="10" t="str">
        <x:v>ROOT_B</x:v>
      </x:c>
      <x:c r="C53" s="10" t="str">
        <x:v>OPERATING</x:v>
      </x:c>
      <x:c r="D53" s="19" t="n">
        <x:f>SUM(D19:D30)+SUM(D35:D43)</x:f>
        <x:v>40</x:v>
      </x:c>
      <x:c r="E53" s="19" t="n">
        <x:f>(SUM(H19:H30)+SUM(H35:H43))/D53</x:f>
        <x:v>5.94</x:v>
      </x:c>
      <x:c r="F53" s="19" t="n">
        <x:f>(SUM(I19:I30)+SUM(I35:I43))/D53</x:f>
        <x:v>0.026249999999999996</x:v>
      </x:c>
      <x:c r="G53" s="19" t="n">
        <x:f>(SUM(J19:J30)+SUM(J35:J43))/D53</x:f>
        <x:v>1.2011249999999998</x:v>
      </x:c>
      <x:c r="H53" s="19" t="str">
        <x:f>IF(AND(E53&gt;='Controls'!$D$14,E53&lt;='Controls'!$D$15),"PASS","FAIL")</x:f>
        <x:v>PASS</x:v>
      </x:c>
      <x:c r="I53" s="19" t="str">
        <x:f>IF(ABS(F53)&lt;='Controls'!$D$16,"PASS","FAIL")</x:f>
        <x:v>PASS</x:v>
      </x:c>
      <x:c r="J53" s="19" t="str">
        <x:f>IF(G53&lt;='Controls'!$D$17,"PASS","FAIL")</x:f>
        <x:v>PASS</x:v>
      </x:c>
      <x:c r="K53" s="10" t="str">
        <x:f>IF(ABS(D53-'Controls'!$D$13)&lt;0.0001,"PASS","FAIL")</x:f>
        <x:v>PASS</x:v>
      </x:c>
      <x:c r="L53" s="10" t="str">
        <x:v>OPEN</x:v>
      </x:c>
    </x:row>
  </x:sheetData>
  <x:mergeCells>
    <x:mergeCell ref="B2:L2"/>
    <x:mergeCell ref="B3:L3"/>
    <x:mergeCell ref="B33:L33"/>
    <x:mergeCell ref="B47:L47"/>
  </x:mergeCells>
  <x:conditionalFormatting sqref="H49:L53">
    <x:cfRule type="containsText" dxfId="24" priority="1" operator="containsText" text="PASS"/>
    <x:cfRule type="containsText" dxfId="25" priority="2" operator="containsText" text="AUTHORIZED"/>
    <x:cfRule type="containsText" dxfId="26" priority="3" operator="containsText" text="DEFINED"/>
    <x:cfRule type="containsText" dxfId="27" priority="4" operator="containsText" text="READY"/>
    <x:cfRule type="containsText" dxfId="28" priority="5" operator="containsText" text="HOLD"/>
    <x:cfRule type="containsText" dxfId="29" priority="6" operator="containsText" text="OPEN"/>
    <x:cfRule type="containsText" dxfId="30" priority="7" operator="containsText" text="BLOCKED"/>
    <x:cfRule type="containsText" dxfId="31" priority="8" operator="containsText" text="PLANNING"/>
    <x:cfRule type="containsText" dxfId="32" priority="9" operator="containsText" text="FAIL"/>
    <x:cfRule type="containsText" dxfId="33" priority="10" operator="containsText" text="REJECT"/>
    <x:cfRule type="containsText" dxfId="34" priority="11" operator="containsText" text="INCOMPLETE"/>
    <x:cfRule type="containsText" dxfId="35" priority="12" operator="containsText" text="INDETERMINAT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9" hidden="0" customWidth="1"/>
    <x:col min="3" max="3" width="18" hidden="0" customWidth="1"/>
    <x:col min="4" max="4" width="14" hidden="0" customWidth="1"/>
    <x:col min="5" max="5" width="14" hidden="0" customWidth="1"/>
    <x:col min="6" max="6" width="16" hidden="0" customWidth="1"/>
    <x:col min="7" max="7" width="15" hidden="0" customWidth="1"/>
    <x:col min="8" max="8" width="15" hidden="0" customWidth="1"/>
    <x:col min="9" max="9" width="16" hidden="0" customWidth="1"/>
    <x:col min="10" max="10" width="18" hidden="0" customWidth="1"/>
    <x:col min="11" max="11" width="17" hidden="0" customWidth="1"/>
  </x:cols>
  <x:sheetData>
    <x:row r="2">
      <x:c r="B2" s="28" t="str">
        <x:v>Support, leveling and weak-ground definition</x:v>
      </x:c>
      <x:c r="C2" s="8"/>
      <x:c r="D2" s="8"/>
      <x:c r="E2" s="8"/>
      <x:c r="F2" s="8"/>
      <x:c r="G2" s="8"/>
      <x:c r="H2" s="8"/>
      <x:c r="I2" s="8"/>
      <x:c r="J2" s="8"/>
      <x:c r="K2" s="8"/>
    </x:row>
    <x:row r="3">
      <x:c r="B3" s="2" t="str">
        <x:v>Eight measured faces; one support unavailable; receiver reaction cannot bypass the declared nodes.</x:v>
      </x:c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B4" s="29"/>
      <x:c r="C4" s="29"/>
      <x:c r="D4" s="29"/>
      <x:c r="E4" s="29"/>
      <x:c r="F4" s="29"/>
      <x:c r="G4" s="29"/>
      <x:c r="H4" s="29"/>
      <x:c r="I4" s="29"/>
      <x:c r="J4" s="29"/>
      <x:c r="K4" s="29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>
      <x:c r="B6" s="7" t="str">
        <x:v>Node</x:v>
      </x:c>
      <x:c r="C6" s="7" t="str">
        <x:v>X</x:v>
      </x:c>
      <x:c r="D6" s="7" t="str">
        <x:v>Y</x:v>
      </x:c>
      <x:c r="E6" s="7" t="str">
        <x:v>Face X</x:v>
      </x:c>
      <x:c r="F6" s="7" t="str">
        <x:v>Face Y</x:v>
      </x:c>
      <x:c r="G6" s="7" t="str">
        <x:v>Area</x:v>
      </x:c>
      <x:c r="H6" s="7" t="str">
        <x:v>Travel mm</x:v>
      </x:c>
      <x:c r="I6" s="7" t="str">
        <x:v>Jack WLL kN</x:v>
      </x:c>
      <x:c r="J6" s="7" t="str">
        <x:v>Measure kN</x:v>
      </x:c>
      <x:c r="K6" s="7" t="str">
        <x:v>Geometry gate</x:v>
      </x:c>
    </x:row>
    <x:row r="7">
      <x:c r="B7" s="9" t="str">
        <x:v>S01</x:v>
      </x:c>
      <x:c r="C7" s="16" t="n">
        <x:v>1</x:v>
      </x:c>
      <x:c r="D7" s="16" t="n">
        <x:v>-1</x:v>
      </x:c>
      <x:c r="E7" s="16" t="n">
        <x:v>1</x:v>
      </x:c>
      <x:c r="F7" s="16" t="n">
        <x:v>1.6</x:v>
      </x:c>
      <x:c r="G7" s="16" t="n">
        <x:f>E7*F7</x:f>
        <x:v>1.6</x:v>
      </x:c>
      <x:c r="H7" s="16" t="n">
        <x:f>'Controls'!$D$23*1000</x:f>
        <x:v>400</x:v>
      </x:c>
      <x:c r="I7" s="16" t="n">
        <x:f>'Controls'!$D$24</x:f>
        <x:v>150</x:v>
      </x:c>
      <x:c r="J7" s="16" t="n">
        <x:f>'Controls'!$D$25</x:f>
        <x:v>200</x:v>
      </x:c>
      <x:c r="K7" s="9" t="str">
        <x:f>IF(AND(G7&gt;='Controls'!$D$21*'Controls'!$D$22,H7&gt;=400,I7&gt;=150,J7&gt;=200),"PASS","FAIL")</x:f>
        <x:v>PASS</x:v>
      </x:c>
    </x:row>
    <x:row r="8">
      <x:c r="B8" s="9" t="str">
        <x:v>S02</x:v>
      </x:c>
      <x:c r="C8" s="16" t="n">
        <x:v>1</x:v>
      </x:c>
      <x:c r="D8" s="16" t="n">
        <x:v>1</x:v>
      </x:c>
      <x:c r="E8" s="16" t="n">
        <x:v>1</x:v>
      </x:c>
      <x:c r="F8" s="16" t="n">
        <x:v>1.6</x:v>
      </x:c>
      <x:c r="G8" s="16" t="n">
        <x:f>E8*F8</x:f>
        <x:v>1.6</x:v>
      </x:c>
      <x:c r="H8" s="16" t="n">
        <x:f>'Controls'!$D$23*1000</x:f>
        <x:v>400</x:v>
      </x:c>
      <x:c r="I8" s="16" t="n">
        <x:f>'Controls'!$D$24</x:f>
        <x:v>150</x:v>
      </x:c>
      <x:c r="J8" s="16" t="n">
        <x:f>'Controls'!$D$25</x:f>
        <x:v>200</x:v>
      </x:c>
      <x:c r="K8" s="9" t="str">
        <x:f>IF(AND(G8&gt;='Controls'!$D$21*'Controls'!$D$22,H8&gt;=400,I8&gt;=150,J8&gt;=200),"PASS","FAIL")</x:f>
        <x:v>PASS</x:v>
      </x:c>
    </x:row>
    <x:row r="9">
      <x:c r="B9" s="9" t="str">
        <x:v>S03</x:v>
      </x:c>
      <x:c r="C9" s="16" t="n">
        <x:v>4.3</x:v>
      </x:c>
      <x:c r="D9" s="16" t="n">
        <x:v>-1</x:v>
      </x:c>
      <x:c r="E9" s="16" t="n">
        <x:v>1</x:v>
      </x:c>
      <x:c r="F9" s="16" t="n">
        <x:v>1.6</x:v>
      </x:c>
      <x:c r="G9" s="16" t="n">
        <x:f>E9*F9</x:f>
        <x:v>1.6</x:v>
      </x:c>
      <x:c r="H9" s="16" t="n">
        <x:f>'Controls'!$D$23*1000</x:f>
        <x:v>400</x:v>
      </x:c>
      <x:c r="I9" s="16" t="n">
        <x:f>'Controls'!$D$24</x:f>
        <x:v>150</x:v>
      </x:c>
      <x:c r="J9" s="16" t="n">
        <x:f>'Controls'!$D$25</x:f>
        <x:v>200</x:v>
      </x:c>
      <x:c r="K9" s="9" t="str">
        <x:f>IF(AND(G9&gt;='Controls'!$D$21*'Controls'!$D$22,H9&gt;=400,I9&gt;=150,J9&gt;=200),"PASS","FAIL")</x:f>
        <x:v>PASS</x:v>
      </x:c>
    </x:row>
    <x:row r="10">
      <x:c r="B10" s="9" t="str">
        <x:v>S04</x:v>
      </x:c>
      <x:c r="C10" s="16" t="n">
        <x:v>4.3</x:v>
      </x:c>
      <x:c r="D10" s="16" t="n">
        <x:v>1</x:v>
      </x:c>
      <x:c r="E10" s="16" t="n">
        <x:v>1</x:v>
      </x:c>
      <x:c r="F10" s="16" t="n">
        <x:v>1.6</x:v>
      </x:c>
      <x:c r="G10" s="16" t="n">
        <x:f>E10*F10</x:f>
        <x:v>1.6</x:v>
      </x:c>
      <x:c r="H10" s="16" t="n">
        <x:f>'Controls'!$D$23*1000</x:f>
        <x:v>400</x:v>
      </x:c>
      <x:c r="I10" s="16" t="n">
        <x:f>'Controls'!$D$24</x:f>
        <x:v>150</x:v>
      </x:c>
      <x:c r="J10" s="16" t="n">
        <x:f>'Controls'!$D$25</x:f>
        <x:v>200</x:v>
      </x:c>
      <x:c r="K10" s="9" t="str">
        <x:f>IF(AND(G10&gt;='Controls'!$D$21*'Controls'!$D$22,H10&gt;=400,I10&gt;=150,J10&gt;=200),"PASS","FAIL")</x:f>
        <x:v>PASS</x:v>
      </x:c>
    </x:row>
    <x:row r="11">
      <x:c r="B11" s="9" t="str">
        <x:v>S05</x:v>
      </x:c>
      <x:c r="C11" s="16" t="n">
        <x:v>7.7</x:v>
      </x:c>
      <x:c r="D11" s="16" t="n">
        <x:v>-1</x:v>
      </x:c>
      <x:c r="E11" s="16" t="n">
        <x:v>1</x:v>
      </x:c>
      <x:c r="F11" s="16" t="n">
        <x:v>1.6</x:v>
      </x:c>
      <x:c r="G11" s="16" t="n">
        <x:f>E11*F11</x:f>
        <x:v>1.6</x:v>
      </x:c>
      <x:c r="H11" s="16" t="n">
        <x:f>'Controls'!$D$23*1000</x:f>
        <x:v>400</x:v>
      </x:c>
      <x:c r="I11" s="16" t="n">
        <x:f>'Controls'!$D$24</x:f>
        <x:v>150</x:v>
      </x:c>
      <x:c r="J11" s="16" t="n">
        <x:f>'Controls'!$D$25</x:f>
        <x:v>200</x:v>
      </x:c>
      <x:c r="K11" s="9" t="str">
        <x:f>IF(AND(G11&gt;='Controls'!$D$21*'Controls'!$D$22,H11&gt;=400,I11&gt;=150,J11&gt;=200),"PASS","FAIL")</x:f>
        <x:v>PASS</x:v>
      </x:c>
    </x:row>
    <x:row r="12">
      <x:c r="B12" s="9" t="str">
        <x:v>S06</x:v>
      </x:c>
      <x:c r="C12" s="16" t="n">
        <x:v>7.7</x:v>
      </x:c>
      <x:c r="D12" s="16" t="n">
        <x:v>1</x:v>
      </x:c>
      <x:c r="E12" s="16" t="n">
        <x:v>1</x:v>
      </x:c>
      <x:c r="F12" s="16" t="n">
        <x:v>1.6</x:v>
      </x:c>
      <x:c r="G12" s="16" t="n">
        <x:f>E12*F12</x:f>
        <x:v>1.6</x:v>
      </x:c>
      <x:c r="H12" s="16" t="n">
        <x:f>'Controls'!$D$23*1000</x:f>
        <x:v>400</x:v>
      </x:c>
      <x:c r="I12" s="16" t="n">
        <x:f>'Controls'!$D$24</x:f>
        <x:v>150</x:v>
      </x:c>
      <x:c r="J12" s="16" t="n">
        <x:f>'Controls'!$D$25</x:f>
        <x:v>200</x:v>
      </x:c>
      <x:c r="K12" s="9" t="str">
        <x:f>IF(AND(G12&gt;='Controls'!$D$21*'Controls'!$D$22,H12&gt;=400,I12&gt;=150,J12&gt;=200),"PASS","FAIL")</x:f>
        <x:v>PASS</x:v>
      </x:c>
    </x:row>
    <x:row r="13">
      <x:c r="B13" s="9" t="str">
        <x:v>S07</x:v>
      </x:c>
      <x:c r="C13" s="16" t="n">
        <x:v>11</x:v>
      </x:c>
      <x:c r="D13" s="16" t="n">
        <x:v>-1</x:v>
      </x:c>
      <x:c r="E13" s="16" t="n">
        <x:v>1</x:v>
      </x:c>
      <x:c r="F13" s="16" t="n">
        <x:v>1.6</x:v>
      </x:c>
      <x:c r="G13" s="16" t="n">
        <x:f>E13*F13</x:f>
        <x:v>1.6</x:v>
      </x:c>
      <x:c r="H13" s="16" t="n">
        <x:f>'Controls'!$D$23*1000</x:f>
        <x:v>400</x:v>
      </x:c>
      <x:c r="I13" s="16" t="n">
        <x:f>'Controls'!$D$24</x:f>
        <x:v>150</x:v>
      </x:c>
      <x:c r="J13" s="16" t="n">
        <x:f>'Controls'!$D$25</x:f>
        <x:v>200</x:v>
      </x:c>
      <x:c r="K13" s="9" t="str">
        <x:f>IF(AND(G13&gt;='Controls'!$D$21*'Controls'!$D$22,H13&gt;=400,I13&gt;=150,J13&gt;=200),"PASS","FAIL")</x:f>
        <x:v>PASS</x:v>
      </x:c>
    </x:row>
    <x:row r="14">
      <x:c r="B14" s="9" t="str">
        <x:v>S08</x:v>
      </x:c>
      <x:c r="C14" s="16" t="n">
        <x:v>11</x:v>
      </x:c>
      <x:c r="D14" s="16" t="n">
        <x:v>1</x:v>
      </x:c>
      <x:c r="E14" s="16" t="n">
        <x:v>1</x:v>
      </x:c>
      <x:c r="F14" s="16" t="n">
        <x:v>1.6</x:v>
      </x:c>
      <x:c r="G14" s="16" t="n">
        <x:f>E14*F14</x:f>
        <x:v>1.6</x:v>
      </x:c>
      <x:c r="H14" s="16" t="n">
        <x:f>'Controls'!$D$23*1000</x:f>
        <x:v>400</x:v>
      </x:c>
      <x:c r="I14" s="16" t="n">
        <x:f>'Controls'!$D$24</x:f>
        <x:v>150</x:v>
      </x:c>
      <x:c r="J14" s="16" t="n">
        <x:f>'Controls'!$D$25</x:f>
        <x:v>200</x:v>
      </x:c>
      <x:c r="K14" s="9" t="str">
        <x:f>IF(AND(G14&gt;='Controls'!$D$21*'Controls'!$D$22,H14&gt;=400,I14&gt;=150,J14&gt;=200),"PASS","FAIL")</x:f>
        <x:v>PASS</x:v>
      </x:c>
    </x:row>
    <x:row r="15">
      <x:c r="B15" s="9"/>
      <x:c r="C15" s="16"/>
      <x:c r="D15" s="16"/>
      <x:c r="E15" s="16"/>
      <x:c r="F15" s="16"/>
      <x:c r="G15" s="16"/>
      <x:c r="H15" s="16"/>
      <x:c r="I15" s="16"/>
      <x:c r="J15" s="16"/>
      <x:c r="K15" s="9"/>
    </x:row>
    <x:row r="16">
      <x:c r="B16" s="9"/>
      <x:c r="C16" s="16"/>
      <x:c r="D16" s="16"/>
      <x:c r="E16" s="16"/>
      <x:c r="F16" s="16"/>
      <x:c r="G16" s="16"/>
      <x:c r="H16" s="16"/>
      <x:c r="I16" s="16"/>
      <x:c r="J16" s="16"/>
      <x:c r="K16" s="9"/>
    </x:row>
    <x:row r="17">
      <x:c r="B17" s="9"/>
      <x:c r="C17" s="16"/>
      <x:c r="D17" s="16"/>
      <x:c r="E17" s="16"/>
      <x:c r="F17" s="16"/>
      <x:c r="G17" s="16"/>
      <x:c r="H17" s="16"/>
      <x:c r="I17" s="16"/>
      <x:c r="J17" s="16"/>
      <x:c r="K17" s="9"/>
    </x:row>
    <x:row r="18">
      <x:c r="B18" s="15" t="str">
        <x:v>One-support-out challenge</x:v>
      </x:c>
      <x:c r="C18" s="17" t="str">
        <x:v>One-support-out challenge</x:v>
      </x:c>
      <x:c r="D18" s="17" t="str">
        <x:v>One-support-out challenge</x:v>
      </x:c>
      <x:c r="E18" s="17" t="str">
        <x:v>One-support-out challenge</x:v>
      </x:c>
      <x:c r="F18" s="17" t="str">
        <x:v>One-support-out challenge</x:v>
      </x:c>
      <x:c r="G18" s="17" t="str">
        <x:v>One-support-out challenge</x:v>
      </x:c>
      <x:c r="H18" s="17" t="str">
        <x:v>One-support-out challenge</x:v>
      </x:c>
      <x:c r="I18" s="17" t="str">
        <x:v>One-support-out challenge</x:v>
      </x:c>
      <x:c r="J18" s="17" t="str">
        <x:v>One-support-out challenge</x:v>
      </x:c>
      <x:c r="K18" s="15" t="str">
        <x:v>One-support-out challenge</x:v>
      </x:c>
    </x:row>
    <x:row r="19">
      <x:c r="B19" s="7" t="str">
        <x:v>Case</x:v>
      </x:c>
      <x:c r="C19" s="18" t="str">
        <x:v>Operating mass t</x:v>
      </x:c>
      <x:c r="D19" s="18" t="str">
        <x:v>Vertical g</x:v>
      </x:c>
      <x:c r="E19" s="18" t="str">
        <x:v>Imbalance</x:v>
      </x:c>
      <x:c r="F19" s="18" t="str">
        <x:v>Demand kPa</x:v>
      </x:c>
      <x:c r="G19" s="18" t="str">
        <x:v>Limit kPa</x:v>
      </x:c>
      <x:c r="H19" s="18" t="str">
        <x:v>Margin kPa</x:v>
      </x:c>
      <x:c r="I19" s="18" t="str">
        <x:v>Planning gate</x:v>
      </x:c>
      <x:c r="J19" s="18" t="str">
        <x:v>Observation count</x:v>
      </x:c>
      <x:c r="K19" s="7" t="str">
        <x:v>Physical state</x:v>
      </x:c>
    </x:row>
    <x:row r="20">
      <x:c r="B20" s="10" t="str">
        <x:v>1.50 g / one unavailable</x:v>
      </x:c>
      <x:c r="C20" s="19" t="n">
        <x:v>40</x:v>
      </x:c>
      <x:c r="D20" s="19" t="n">
        <x:v>1.5</x:v>
      </x:c>
      <x:c r="E20" s="19" t="n">
        <x:f>'Controls'!$D$37</x:f>
        <x:v>1.35</x:v>
      </x:c>
      <x:c r="F20" s="19" t="n">
        <x:f>C20*'Controls'!$D$33*D20*E20/(('Controls'!$D$20-1)*'Controls'!$D$21*'Controls'!$D$22)</x:f>
        <x:v>70.92309374999999</x:v>
      </x:c>
      <x:c r="G20" s="19" t="n">
        <x:f>'Controls'!$D$26</x:f>
        <x:v>75</x:v>
      </x:c>
      <x:c r="H20" s="19" t="n">
        <x:f>G20-F20</x:f>
        <x:v>4.0769062500000075</x:v>
      </x:c>
      <x:c r="I20" s="19" t="str">
        <x:f>IF(F20&lt;=G20,"PASS","FAIL")</x:f>
        <x:v>PASS</x:v>
      </x:c>
      <x:c r="J20" s="19" t="n">
        <x:v>0</x:v>
      </x:c>
      <x:c r="K20" s="10" t="str">
        <x:v>OPEN</x:v>
      </x:c>
    </x:row>
  </x:sheetData>
  <x:mergeCells>
    <x:mergeCell ref="B2:K2"/>
    <x:mergeCell ref="B3:K3"/>
    <x:mergeCell ref="B18:K18"/>
  </x:mergeCells>
  <x:conditionalFormatting sqref="I20:K20">
    <x:cfRule type="containsText" dxfId="36" priority="1" operator="containsText" text="PASS"/>
    <x:cfRule type="containsText" dxfId="37" priority="2" operator="containsText" text="AUTHORIZED"/>
    <x:cfRule type="containsText" dxfId="38" priority="3" operator="containsText" text="DEFINED"/>
    <x:cfRule type="containsText" dxfId="39" priority="4" operator="containsText" text="READY"/>
    <x:cfRule type="containsText" dxfId="40" priority="5" operator="containsText" text="HOLD"/>
    <x:cfRule type="containsText" dxfId="41" priority="6" operator="containsText" text="OPEN"/>
    <x:cfRule type="containsText" dxfId="42" priority="7" operator="containsText" text="BLOCKED"/>
    <x:cfRule type="containsText" dxfId="43" priority="8" operator="containsText" text="PLANNING"/>
    <x:cfRule type="containsText" dxfId="44" priority="9" operator="containsText" text="FAIL"/>
    <x:cfRule type="containsText" dxfId="45" priority="10" operator="containsText" text="REJECT"/>
    <x:cfRule type="containsText" dxfId="46" priority="11" operator="containsText" text="INCOMPLETE"/>
    <x:cfRule type="containsText" dxfId="47" priority="12" operator="containsText" text="INDETERMINATE"/>
  </x:conditionalFormatting>
  <x:conditionalFormatting sqref="K7:K14">
    <x:cfRule type="containsText" dxfId="48" priority="13" operator="containsText" text="PASS"/>
    <x:cfRule type="containsText" dxfId="49" priority="14" operator="containsText" text="AUTHORIZED"/>
    <x:cfRule type="containsText" dxfId="50" priority="15" operator="containsText" text="DEFINED"/>
    <x:cfRule type="containsText" dxfId="51" priority="16" operator="containsText" text="READY"/>
    <x:cfRule type="containsText" dxfId="52" priority="17" operator="containsText" text="HOLD"/>
    <x:cfRule type="containsText" dxfId="53" priority="18" operator="containsText" text="OPEN"/>
    <x:cfRule type="containsText" dxfId="54" priority="19" operator="containsText" text="BLOCKED"/>
    <x:cfRule type="containsText" dxfId="55" priority="20" operator="containsText" text="PLANNING"/>
    <x:cfRule type="containsText" dxfId="56" priority="21" operator="containsText" text="FAIL"/>
    <x:cfRule type="containsText" dxfId="57" priority="22" operator="containsText" text="REJECT"/>
    <x:cfRule type="containsText" dxfId="58" priority="23" operator="containsText" text="INCOMPLETE"/>
    <x:cfRule type="containsText" dxfId="59" priority="24" operator="containsText" text="INDETERMINATE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15" hidden="0" customWidth="1"/>
    <x:col min="4" max="4" width="13" hidden="0" customWidth="1"/>
    <x:col min="5" max="5" width="16" hidden="0" customWidth="1"/>
    <x:col min="6" max="6" width="16" hidden="0" customWidth="1"/>
    <x:col min="7" max="7" width="12" hidden="0" customWidth="1"/>
    <x:col min="8" max="8" width="13" hidden="0" customWidth="1"/>
    <x:col min="9" max="9" width="13" hidden="0" customWidth="1"/>
    <x:col min="10" max="10" width="20" hidden="0" customWidth="1"/>
    <x:col min="11" max="11" width="17" hidden="0" customWidth="1"/>
  </x:cols>
  <x:sheetData>
    <x:row r="2">
      <x:c r="B2" s="28" t="str">
        <x:v>Deployable anchors and independent lift truth</x:v>
      </x:c>
      <x:c r="C2" s="8"/>
      <x:c r="D2" s="8"/>
      <x:c r="E2" s="8"/>
      <x:c r="F2" s="8"/>
      <x:c r="G2" s="8"/>
      <x:c r="H2" s="8"/>
      <x:c r="I2" s="8"/>
      <x:c r="J2" s="8"/>
      <x:c r="K2" s="8"/>
    </x:row>
    <x:row r="3">
      <x:c r="B3" s="2" t="str">
        <x:v>Stowed roots remain inside transport width; deployed centers create the required five-metre load line.</x:v>
      </x:c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B4" s="29"/>
      <x:c r="C4" s="29"/>
      <x:c r="D4" s="29"/>
      <x:c r="E4" s="29"/>
      <x:c r="F4" s="29"/>
      <x:c r="G4" s="29"/>
      <x:c r="H4" s="29"/>
      <x:c r="I4" s="29"/>
      <x:c r="J4" s="29"/>
      <x:c r="K4" s="29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>
      <x:c r="B6" s="7" t="str">
        <x:v>ID</x:v>
      </x:c>
      <x:c r="C6" s="7" t="str">
        <x:v>Type</x:v>
      </x:c>
      <x:c r="D6" s="7" t="str">
        <x:v>X</x:v>
      </x:c>
      <x:c r="E6" s="7" t="str">
        <x:v>Transport Y</x:v>
      </x:c>
      <x:c r="F6" s="7" t="str">
        <x:v>Deployed Y</x:v>
      </x:c>
      <x:c r="G6" s="7" t="str">
        <x:v>Z</x:v>
      </x:c>
      <x:c r="H6" s="7" t="str">
        <x:v>WLL kN</x:v>
      </x:c>
      <x:c r="I6" s="7" t="str">
        <x:v>Proof kN</x:v>
      </x:c>
      <x:c r="J6" s="7" t="str">
        <x:v>Span or node gate</x:v>
      </x:c>
      <x:c r="K6" s="7" t="str">
        <x:v>Physical state</x:v>
      </x:c>
    </x:row>
    <x:row r="7">
      <x:c r="B7" s="9" t="str">
        <x:v>A01</x:v>
      </x:c>
      <x:c r="C7" s="9" t="str">
        <x:v>ANCHOR</x:v>
      </x:c>
      <x:c r="D7" s="9" t="n">
        <x:v>2</x:v>
      </x:c>
      <x:c r="E7" s="9" t="n">
        <x:v>-1.6</x:v>
      </x:c>
      <x:c r="F7" s="9" t="n">
        <x:v>-2.5</x:v>
      </x:c>
      <x:c r="G7" s="9" t="n">
        <x:v>0</x:v>
      </x:c>
      <x:c r="H7" s="9" t="n">
        <x:v>200</x:v>
      </x:c>
      <x:c r="I7" s="9" t="n">
        <x:v>200</x:v>
      </x:c>
      <x:c r="J7" s="9" t="str">
        <x:f>IF(C7="ANCHOR",IF(AND(ABS(E7)&lt;='Controls'!$D$8,ABS(F7)=2.5,I7&gt;='Controls'!$D$28),"PASS","FAIL"),IF(AND(ABS(E7)&lt;='Controls'!$D$8,G7=2.8,H7&gt;='Controls'!$D$31,I7&gt;='Controls'!$D$32),"PASS","FAIL"))</x:f>
        <x:v>PASS</x:v>
      </x:c>
      <x:c r="K7" s="9" t="str">
        <x:v>OPEN</x:v>
      </x:c>
    </x:row>
    <x:row r="8">
      <x:c r="B8" s="9" t="str">
        <x:v>A02</x:v>
      </x:c>
      <x:c r="C8" s="9" t="str">
        <x:v>ANCHOR</x:v>
      </x:c>
      <x:c r="D8" s="9" t="n">
        <x:v>2</x:v>
      </x:c>
      <x:c r="E8" s="9" t="n">
        <x:v>1.6</x:v>
      </x:c>
      <x:c r="F8" s="9" t="n">
        <x:v>2.5</x:v>
      </x:c>
      <x:c r="G8" s="9" t="n">
        <x:v>0</x:v>
      </x:c>
      <x:c r="H8" s="9" t="n">
        <x:v>200</x:v>
      </x:c>
      <x:c r="I8" s="9" t="n">
        <x:v>200</x:v>
      </x:c>
      <x:c r="J8" s="9" t="str">
        <x:f>IF(C8="ANCHOR",IF(AND(ABS(E8)&lt;='Controls'!$D$8,ABS(F8)=2.5,I8&gt;='Controls'!$D$28),"PASS","FAIL"),IF(AND(ABS(E8)&lt;='Controls'!$D$8,G8=2.8,H8&gt;='Controls'!$D$31,I8&gt;='Controls'!$D$32),"PASS","FAIL"))</x:f>
        <x:v>PASS</x:v>
      </x:c>
      <x:c r="K8" s="9" t="str">
        <x:v>OPEN</x:v>
      </x:c>
    </x:row>
    <x:row r="9">
      <x:c r="B9" s="9" t="str">
        <x:v>A03</x:v>
      </x:c>
      <x:c r="C9" s="9" t="str">
        <x:v>ANCHOR</x:v>
      </x:c>
      <x:c r="D9" s="9" t="n">
        <x:v>10</x:v>
      </x:c>
      <x:c r="E9" s="9" t="n">
        <x:v>-1.6</x:v>
      </x:c>
      <x:c r="F9" s="9" t="n">
        <x:v>-2.5</x:v>
      </x:c>
      <x:c r="G9" s="9" t="n">
        <x:v>0</x:v>
      </x:c>
      <x:c r="H9" s="9" t="n">
        <x:v>200</x:v>
      </x:c>
      <x:c r="I9" s="9" t="n">
        <x:v>200</x:v>
      </x:c>
      <x:c r="J9" s="9" t="str">
        <x:f>IF(C9="ANCHOR",IF(AND(ABS(E9)&lt;='Controls'!$D$8,ABS(F9)=2.5,I9&gt;='Controls'!$D$28),"PASS","FAIL"),IF(AND(ABS(E9)&lt;='Controls'!$D$8,G9=2.8,H9&gt;='Controls'!$D$31,I9&gt;='Controls'!$D$32),"PASS","FAIL"))</x:f>
        <x:v>PASS</x:v>
      </x:c>
      <x:c r="K9" s="9" t="str">
        <x:v>OPEN</x:v>
      </x:c>
    </x:row>
    <x:row r="10">
      <x:c r="B10" s="9" t="str">
        <x:v>A04</x:v>
      </x:c>
      <x:c r="C10" s="9" t="str">
        <x:v>ANCHOR</x:v>
      </x:c>
      <x:c r="D10" s="9" t="n">
        <x:v>10</x:v>
      </x:c>
      <x:c r="E10" s="9" t="n">
        <x:v>1.6</x:v>
      </x:c>
      <x:c r="F10" s="9" t="n">
        <x:v>2.5</x:v>
      </x:c>
      <x:c r="G10" s="9" t="n">
        <x:v>0</x:v>
      </x:c>
      <x:c r="H10" s="9" t="n">
        <x:v>200</x:v>
      </x:c>
      <x:c r="I10" s="9" t="n">
        <x:v>200</x:v>
      </x:c>
      <x:c r="J10" s="9" t="str">
        <x:f>IF(C10="ANCHOR",IF(AND(ABS(E10)&lt;='Controls'!$D$8,ABS(F10)=2.5,I10&gt;='Controls'!$D$28),"PASS","FAIL"),IF(AND(ABS(E10)&lt;='Controls'!$D$8,G10=2.8,H10&gt;='Controls'!$D$31,I10&gt;='Controls'!$D$32),"PASS","FAIL"))</x:f>
        <x:v>PASS</x:v>
      </x:c>
      <x:c r="K10" s="9" t="str">
        <x:v>OPEN</x:v>
      </x:c>
    </x:row>
    <x:row r="11">
      <x:c r="B11" s="9" t="str">
        <x:v>L01</x:v>
      </x:c>
      <x:c r="C11" s="9" t="str">
        <x:v>LIFT</x:v>
      </x:c>
      <x:c r="D11" s="9" t="n">
        <x:v>2</x:v>
      </x:c>
      <x:c r="E11" s="9" t="n">
        <x:v>-1.35</x:v>
      </x:c>
      <x:c r="F11" s="9" t="n">
        <x:v>-1.35</x:v>
      </x:c>
      <x:c r="G11" s="9" t="n">
        <x:v>2.8</x:v>
      </x:c>
      <x:c r="H11" s="9" t="n">
        <x:v>196</x:v>
      </x:c>
      <x:c r="I11" s="9" t="n">
        <x:v>200</x:v>
      </x:c>
      <x:c r="J11" s="9" t="str">
        <x:f>IF(C11="ANCHOR",IF(AND(ABS(E11)&lt;='Controls'!$D$8,ABS(F11)=2.5,I11&gt;='Controls'!$D$28),"PASS","FAIL"),IF(AND(ABS(E11)&lt;='Controls'!$D$8,G11=2.8,H11&gt;='Controls'!$D$31,I11&gt;='Controls'!$D$32),"PASS","FAIL"))</x:f>
        <x:v>PASS</x:v>
      </x:c>
      <x:c r="K11" s="9" t="str">
        <x:v>OPEN</x:v>
      </x:c>
    </x:row>
    <x:row r="12">
      <x:c r="B12" s="9" t="str">
        <x:v>L02</x:v>
      </x:c>
      <x:c r="C12" s="9" t="str">
        <x:v>LIFT</x:v>
      </x:c>
      <x:c r="D12" s="9" t="n">
        <x:v>2</x:v>
      </x:c>
      <x:c r="E12" s="9" t="n">
        <x:v>1.35</x:v>
      </x:c>
      <x:c r="F12" s="9" t="n">
        <x:v>1.35</x:v>
      </x:c>
      <x:c r="G12" s="9" t="n">
        <x:v>2.8</x:v>
      </x:c>
      <x:c r="H12" s="9" t="n">
        <x:v>196</x:v>
      </x:c>
      <x:c r="I12" s="9" t="n">
        <x:v>200</x:v>
      </x:c>
      <x:c r="J12" s="9" t="str">
        <x:f>IF(C12="ANCHOR",IF(AND(ABS(E12)&lt;='Controls'!$D$8,ABS(F12)=2.5,I12&gt;='Controls'!$D$28),"PASS","FAIL"),IF(AND(ABS(E12)&lt;='Controls'!$D$8,G12=2.8,H12&gt;='Controls'!$D$31,I12&gt;='Controls'!$D$32),"PASS","FAIL"))</x:f>
        <x:v>PASS</x:v>
      </x:c>
      <x:c r="K12" s="9" t="str">
        <x:v>OPEN</x:v>
      </x:c>
    </x:row>
    <x:row r="13">
      <x:c r="B13" s="9" t="str">
        <x:v>L03</x:v>
      </x:c>
      <x:c r="C13" s="9" t="str">
        <x:v>LIFT</x:v>
      </x:c>
      <x:c r="D13" s="9" t="n">
        <x:v>10</x:v>
      </x:c>
      <x:c r="E13" s="9" t="n">
        <x:v>-1.35</x:v>
      </x:c>
      <x:c r="F13" s="9" t="n">
        <x:v>-1.35</x:v>
      </x:c>
      <x:c r="G13" s="9" t="n">
        <x:v>2.8</x:v>
      </x:c>
      <x:c r="H13" s="9" t="n">
        <x:v>196</x:v>
      </x:c>
      <x:c r="I13" s="9" t="n">
        <x:v>200</x:v>
      </x:c>
      <x:c r="J13" s="9" t="str">
        <x:f>IF(C13="ANCHOR",IF(AND(ABS(E13)&lt;='Controls'!$D$8,ABS(F13)=2.5,I13&gt;='Controls'!$D$28),"PASS","FAIL"),IF(AND(ABS(E13)&lt;='Controls'!$D$8,G13=2.8,H13&gt;='Controls'!$D$31,I13&gt;='Controls'!$D$32),"PASS","FAIL"))</x:f>
        <x:v>PASS</x:v>
      </x:c>
      <x:c r="K13" s="9" t="str">
        <x:v>OPEN</x:v>
      </x:c>
    </x:row>
    <x:row r="14">
      <x:c r="B14" s="9" t="str">
        <x:v>L04</x:v>
      </x:c>
      <x:c r="C14" s="9" t="str">
        <x:v>LIFT</x:v>
      </x:c>
      <x:c r="D14" s="9" t="n">
        <x:v>10</x:v>
      </x:c>
      <x:c r="E14" s="9" t="n">
        <x:v>1.35</x:v>
      </x:c>
      <x:c r="F14" s="9" t="n">
        <x:v>1.35</x:v>
      </x:c>
      <x:c r="G14" s="9" t="n">
        <x:v>2.8</x:v>
      </x:c>
      <x:c r="H14" s="9" t="n">
        <x:v>196</x:v>
      </x:c>
      <x:c r="I14" s="9" t="n">
        <x:v>200</x:v>
      </x:c>
      <x:c r="J14" s="9" t="str">
        <x:f>IF(C14="ANCHOR",IF(AND(ABS(E14)&lt;='Controls'!$D$8,ABS(F14)=2.5,I14&gt;='Controls'!$D$28),"PASS","FAIL"),IF(AND(ABS(E14)&lt;='Controls'!$D$8,G14=2.8,H14&gt;='Controls'!$D$31,I14&gt;='Controls'!$D$32),"PASS","FAIL"))</x:f>
        <x:v>PASS</x:v>
      </x:c>
      <x:c r="K14" s="9" t="str">
        <x:v>OPEN</x:v>
      </x:c>
    </x:row>
    <x:row r="15">
      <x:c r="B15" s="9"/>
      <x:c r="C15" s="9"/>
      <x:c r="D15" s="9"/>
      <x:c r="E15" s="9"/>
      <x:c r="F15" s="9"/>
      <x:c r="G15" s="9"/>
      <x:c r="H15" s="9"/>
      <x:c r="I15" s="9"/>
      <x:c r="J15" s="9"/>
      <x:c r="K15" s="9"/>
    </x:row>
    <x:row r="16">
      <x:c r="B16" s="9"/>
      <x:c r="C16" s="9"/>
      <x:c r="D16" s="9"/>
      <x:c r="E16" s="9"/>
      <x:c r="F16" s="9"/>
      <x:c r="G16" s="9"/>
      <x:c r="H16" s="9"/>
      <x:c r="I16" s="9"/>
      <x:c r="J16" s="9"/>
      <x:c r="K16" s="9"/>
    </x:row>
    <x:row r="17">
      <x:c r="B17" s="9"/>
      <x:c r="C17" s="9"/>
      <x:c r="D17" s="9"/>
      <x:c r="E17" s="9"/>
      <x:c r="F17" s="9"/>
      <x:c r="G17" s="9"/>
      <x:c r="H17" s="9"/>
      <x:c r="I17" s="9"/>
      <x:c r="J17" s="9"/>
      <x:c r="K17" s="9"/>
    </x:row>
    <x:row r="18">
      <x:c r="B18" s="15" t="str">
        <x:v>Demand references</x:v>
      </x:c>
      <x:c r="C18" s="15" t="str">
        <x:v>Demand references</x:v>
      </x:c>
      <x:c r="D18" s="15" t="str">
        <x:v>Demand references</x:v>
      </x:c>
      <x:c r="E18" s="15" t="str">
        <x:v>Demand references</x:v>
      </x:c>
      <x:c r="F18" s="15" t="str">
        <x:v>Demand references</x:v>
      </x:c>
      <x:c r="G18" s="15" t="str">
        <x:v>Demand references</x:v>
      </x:c>
      <x:c r="H18" s="15" t="str">
        <x:v>Demand references</x:v>
      </x:c>
      <x:c r="I18" s="15" t="str">
        <x:v>Demand references</x:v>
      </x:c>
      <x:c r="J18" s="15" t="str">
        <x:v>Demand references</x:v>
      </x:c>
      <x:c r="K18" s="15" t="str">
        <x:v>Demand references</x:v>
      </x:c>
    </x:row>
    <x:row r="19">
      <x:c r="B19" s="7" t="str">
        <x:v>Case</x:v>
      </x:c>
      <x:c r="C19" s="7" t="str">
        <x:v>Formula</x:v>
      </x:c>
      <x:c r="D19" s="7" t="str">
        <x:v>Demand kN</x:v>
      </x:c>
      <x:c r="E19" s="7" t="str">
        <x:v>Capacity kN</x:v>
      </x:c>
      <x:c r="F19" s="7" t="str">
        <x:v>Margin kN</x:v>
      </x:c>
      <x:c r="G19" s="7" t="str">
        <x:v>Planning gate</x:v>
      </x:c>
      <x:c r="H19" s="9"/>
      <x:c r="I19" s="9"/>
      <x:c r="J19" s="9"/>
      <x:c r="K19" s="9"/>
    </x:row>
    <x:row r="20">
      <x:c r="B20" s="9" t="str">
        <x:v>Combined anchor</x:v>
      </x:c>
      <x:c r="C20" s="9" t="str">
        <x:v>horizontal/2 and overturning/span</x:v>
      </x:c>
      <x:c r="D20" s="9" t="n">
        <x:f>((('Controls'!$D$13*'Controls'!$D$33*'Controls'!$D$35/2)^2)+(('Controls'!$D$13*'Controls'!$D$33*'Controls'!$D$35*'Controls'!$D$18/'Controls'!$D$27)^2))^0.5</x:f>
        <x:v>156.7572680486432</x:v>
      </x:c>
      <x:c r="E20" s="9" t="n">
        <x:f>'Controls'!$D$28</x:f>
        <x:v>200</x:v>
      </x:c>
      <x:c r="F20" s="9" t="n">
        <x:f>E20-D20</x:f>
        <x:v>43.2427319513568</x:v>
      </x:c>
      <x:c r="G20" s="9" t="str">
        <x:f>IF(D20&lt;=E20,"PASS","FAIL")</x:f>
        <x:v>PASS</x:v>
      </x:c>
      <x:c r="H20" s="9"/>
      <x:c r="I20" s="9"/>
      <x:c r="J20" s="9"/>
      <x:c r="K20" s="9"/>
    </x:row>
    <x:row r="21">
      <x:c r="B21" s="10" t="str">
        <x:v>Challenged lift node</x:v>
      </x:c>
      <x:c r="C21" s="10" t="str">
        <x:v>dry lift / four × imbalance</x:v>
      </x:c>
      <x:c r="D21" s="10" t="n">
        <x:f>'Controls'!$D$10*'Controls'!$D$33*'Controls'!$D$36/'Controls'!$D$30*'Controls'!$D$38</x:f>
        <x:v>142.784824</x:v>
      </x:c>
      <x:c r="E21" s="10" t="n">
        <x:f>'Controls'!$D$31</x:f>
        <x:v>196</x:v>
      </x:c>
      <x:c r="F21" s="10" t="n">
        <x:f>E21-D21</x:f>
        <x:v>53.215176000000014</x:v>
      </x:c>
      <x:c r="G21" s="10" t="str">
        <x:f>IF(D21&lt;=E21,"PASS","FAIL")</x:f>
        <x:v>PASS</x:v>
      </x:c>
      <x:c r="H21" s="10"/>
      <x:c r="I21" s="10"/>
      <x:c r="J21" s="10"/>
      <x:c r="K21" s="10"/>
    </x:row>
  </x:sheetData>
  <x:mergeCells>
    <x:mergeCell ref="B2:K2"/>
    <x:mergeCell ref="B3:K3"/>
    <x:mergeCell ref="B18:K18"/>
  </x:mergeCells>
  <x:conditionalFormatting sqref="J7:K14">
    <x:cfRule type="containsText" dxfId="60" priority="1" operator="containsText" text="PASS"/>
    <x:cfRule type="containsText" dxfId="61" priority="2" operator="containsText" text="AUTHORIZED"/>
    <x:cfRule type="containsText" dxfId="62" priority="3" operator="containsText" text="DEFINED"/>
    <x:cfRule type="containsText" dxfId="63" priority="4" operator="containsText" text="READY"/>
    <x:cfRule type="containsText" dxfId="64" priority="5" operator="containsText" text="HOLD"/>
    <x:cfRule type="containsText" dxfId="65" priority="6" operator="containsText" text="OPEN"/>
    <x:cfRule type="containsText" dxfId="66" priority="7" operator="containsText" text="BLOCKED"/>
    <x:cfRule type="containsText" dxfId="67" priority="8" operator="containsText" text="PLANNING"/>
    <x:cfRule type="containsText" dxfId="68" priority="9" operator="containsText" text="FAIL"/>
    <x:cfRule type="containsText" dxfId="69" priority="10" operator="containsText" text="REJECT"/>
    <x:cfRule type="containsText" dxfId="70" priority="11" operator="containsText" text="INCOMPLETE"/>
    <x:cfRule type="containsText" dxfId="71" priority="12" operator="containsText" text="INDETERMINATE"/>
  </x:conditionalFormatting>
  <x:conditionalFormatting sqref="G20:G21">
    <x:cfRule type="containsText" dxfId="72" priority="13" operator="containsText" text="PASS"/>
    <x:cfRule type="containsText" dxfId="73" priority="14" operator="containsText" text="AUTHORIZED"/>
    <x:cfRule type="containsText" dxfId="74" priority="15" operator="containsText" text="DEFINED"/>
    <x:cfRule type="containsText" dxfId="75" priority="16" operator="containsText" text="READY"/>
    <x:cfRule type="containsText" dxfId="76" priority="17" operator="containsText" text="HOLD"/>
    <x:cfRule type="containsText" dxfId="77" priority="18" operator="containsText" text="OPEN"/>
    <x:cfRule type="containsText" dxfId="78" priority="19" operator="containsText" text="BLOCKED"/>
    <x:cfRule type="containsText" dxfId="79" priority="20" operator="containsText" text="PLANNING"/>
    <x:cfRule type="containsText" dxfId="80" priority="21" operator="containsText" text="FAIL"/>
    <x:cfRule type="containsText" dxfId="81" priority="22" operator="containsText" text="REJECT"/>
    <x:cfRule type="containsText" dxfId="82" priority="23" operator="containsText" text="INCOMPLETE"/>
    <x:cfRule type="containsText" dxfId="83" priority="24" operator="containsText" text="INDETERMINATE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31" hidden="0" customWidth="1"/>
    <x:col min="4" max="4" width="35" hidden="0" customWidth="1"/>
    <x:col min="5" max="5" width="17" hidden="0" customWidth="1"/>
    <x:col min="6" max="6" width="12" hidden="0" customWidth="1"/>
    <x:col min="7" max="7" width="15" hidden="0" customWidth="1"/>
    <x:col min="8" max="8" width="13" hidden="0" customWidth="1"/>
    <x:col min="9" max="9" width="14" hidden="0" customWidth="1"/>
    <x:col min="10" max="10" width="16" hidden="0" customWidth="1"/>
    <x:col min="11" max="11" width="17" hidden="0" customWidth="1"/>
  </x:cols>
  <x:sheetData>
    <x:row r="2">
      <x:c r="B2" s="28" t="str">
        <x:v>Two attributable full-bore hydraulic paths</x:v>
      </x:c>
      <x:c r="C2" s="8"/>
      <x:c r="D2" s="8"/>
      <x:c r="E2" s="8"/>
      <x:c r="F2" s="8"/>
      <x:c r="G2" s="8"/>
      <x:c r="H2" s="8"/>
      <x:c r="I2" s="8"/>
      <x:c r="J2" s="8"/>
      <x:c r="K2" s="8"/>
    </x:row>
    <x:row r="3">
      <x:c r="B3" s="2" t="str">
        <x:v>Each path has a 12 m article section and independent 12 m receiver return; no common manifold receives credit.</x:v>
      </x:c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B4" s="29"/>
      <x:c r="C4" s="29"/>
      <x:c r="D4" s="29"/>
      <x:c r="E4" s="29"/>
      <x:c r="F4" s="29"/>
      <x:c r="G4" s="29"/>
      <x:c r="H4" s="29"/>
      <x:c r="I4" s="29"/>
      <x:c r="J4" s="29"/>
      <x:c r="K4" s="29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>
      <x:c r="B6" s="7" t="str">
        <x:v>ID</x:v>
      </x:c>
      <x:c r="C6" s="7" t="str">
        <x:v>Quantity</x:v>
      </x:c>
      <x:c r="D6" s="7" t="str">
        <x:v>Basis</x:v>
      </x:c>
      <x:c r="E6" s="7" t="str">
        <x:v>Value</x:v>
      </x:c>
      <x:c r="F6" s="7" t="str">
        <x:v>Unit</x:v>
      </x:c>
      <x:c r="G6" s="7" t="str">
        <x:v>Required</x:v>
      </x:c>
      <x:c r="H6" s="7" t="str">
        <x:v>Relation</x:v>
      </x:c>
      <x:c r="I6" s="7" t="str">
        <x:v>Margin</x:v>
      </x:c>
      <x:c r="J6" s="7" t="str">
        <x:v>Planning gate</x:v>
      </x:c>
      <x:c r="K6" s="7" t="str">
        <x:v>Physical state</x:v>
      </x:c>
    </x:row>
    <x:row r="7">
      <x:c r="B7" s="9" t="str">
        <x:v>HY01</x:v>
      </x:c>
      <x:c r="C7" s="9" t="str">
        <x:v>bore area</x:v>
      </x:c>
      <x:c r="D7" s="9" t="str">
        <x:v>pi d^2 / 4</x:v>
      </x:c>
      <x:c r="E7" s="16" t="n">
        <x:f>PI()*'Controls'!$D$39^2/4</x:f>
        <x:v>0.0962112750161874</x:v>
      </x:c>
      <x:c r="F7" s="16" t="str">
        <x:v>m2</x:v>
      </x:c>
      <x:c r="G7" s="16" t="n">
        <x:v>0.096211</x:v>
      </x:c>
      <x:c r="H7" s="16" t="str">
        <x:v>EQ</x:v>
      </x:c>
      <x:c r="I7" s="16" t="n">
        <x:f>IF(H7="LE",G7-E7,E7-G7)</x:f>
        <x:v>2.7501618739267375e-7</x:v>
      </x:c>
      <x:c r="J7" s="9" t="str">
        <x:f>IF(H7="LE",IF(E7&lt;=G7+0.0001,"PASS","FAIL"),IF(H7="GE",IF(E7&gt;=G7-0.0001,"PASS","FAIL"),IF(ABS(E7-G7)&lt;0.001,"PASS","FAIL")))</x:f>
        <x:v>PASS</x:v>
      </x:c>
      <x:c r="K7" s="9" t="str">
        <x:v>OPEN</x:v>
      </x:c>
    </x:row>
    <x:row r="8">
      <x:c r="B8" s="9" t="str">
        <x:v>HY02</x:v>
      </x:c>
      <x:c r="C8" s="9" t="str">
        <x:v>length per path</x:v>
      </x:c>
      <x:c r="D8" s="9" t="str">
        <x:v>article + receiver</x:v>
      </x:c>
      <x:c r="E8" s="16" t="n">
        <x:f>'Controls'!$D$40+'Controls'!$D$41</x:f>
        <x:v>24</x:v>
      </x:c>
      <x:c r="F8" s="16" t="str">
        <x:v>m</x:v>
      </x:c>
      <x:c r="G8" s="16" t="n">
        <x:v>24</x:v>
      </x:c>
      <x:c r="H8" s="16" t="str">
        <x:v>EQ</x:v>
      </x:c>
      <x:c r="I8" s="16" t="n">
        <x:f>IF(H8="LE",G8-E8,E8-G8)</x:f>
        <x:v>0</x:v>
      </x:c>
      <x:c r="J8" s="9" t="str">
        <x:f>IF(H8="LE",IF(E8&lt;=G8+0.0001,"PASS","FAIL"),IF(H8="GE",IF(E8&gt;=G8-0.0001,"PASS","FAIL"),IF(ABS(E8-G8)&lt;0.001,"PASS","FAIL")))</x:f>
        <x:v>PASS</x:v>
      </x:c>
      <x:c r="K8" s="9" t="str">
        <x:v>OPEN</x:v>
      </x:c>
    </x:row>
    <x:row r="9">
      <x:c r="B9" s="9" t="str">
        <x:v>HY03</x:v>
      </x:c>
      <x:c r="C9" s="9" t="str">
        <x:v>total attributable length</x:v>
      </x:c>
      <x:c r="D9" s="9" t="str">
        <x:v>per path × paths</x:v>
      </x:c>
      <x:c r="E9" s="16" t="n">
        <x:f>E8*'Controls'!$D$42</x:f>
        <x:v>48</x:v>
      </x:c>
      <x:c r="F9" s="16" t="str">
        <x:v>m</x:v>
      </x:c>
      <x:c r="G9" s="16" t="n">
        <x:v>48</x:v>
      </x:c>
      <x:c r="H9" s="16" t="str">
        <x:v>EQ</x:v>
      </x:c>
      <x:c r="I9" s="16" t="n">
        <x:f>IF(H9="LE",G9-E9,E9-G9)</x:f>
        <x:v>0</x:v>
      </x:c>
      <x:c r="J9" s="9" t="str">
        <x:f>IF(H9="LE",IF(E9&lt;=G9+0.0001,"PASS","FAIL"),IF(H9="GE",IF(E9&gt;=G9-0.0001,"PASS","FAIL"),IF(ABS(E9-G9)&lt;0.001,"PASS","FAIL")))</x:f>
        <x:v>PASS</x:v>
      </x:c>
      <x:c r="K9" s="9" t="str">
        <x:v>OPEN</x:v>
      </x:c>
    </x:row>
    <x:row r="10">
      <x:c r="B10" s="9" t="str">
        <x:v>HY04</x:v>
      </x:c>
      <x:c r="C10" s="9" t="str">
        <x:v>total contained volume</x:v>
      </x:c>
      <x:c r="D10" s="9" t="str">
        <x:v>area × total length</x:v>
      </x:c>
      <x:c r="E10" s="16" t="n">
        <x:f>E7*E9</x:f>
        <x:v>4.618141200776995</x:v>
      </x:c>
      <x:c r="F10" s="16" t="str">
        <x:v>m3</x:v>
      </x:c>
      <x:c r="G10" s="16" t="n">
        <x:v>4.6181</x:v>
      </x:c>
      <x:c r="H10" s="16" t="str">
        <x:v>EQ</x:v>
      </x:c>
      <x:c r="I10" s="16" t="n">
        <x:f>IF(H10="LE",G10-E10,E10-G10)</x:f>
        <x:v>0.000041200776994543276</x:v>
      </x:c>
      <x:c r="J10" s="9" t="str">
        <x:f>IF(H10="LE",IF(E10&lt;=G10+0.0001,"PASS","FAIL"),IF(H10="GE",IF(E10&gt;=G10-0.0001,"PASS","FAIL"),IF(ABS(E10-G10)&lt;0.001,"PASS","FAIL")))</x:f>
        <x:v>PASS</x:v>
      </x:c>
      <x:c r="K10" s="9" t="str">
        <x:v>OPEN</x:v>
      </x:c>
    </x:row>
    <x:row r="11">
      <x:c r="B11" s="9" t="str">
        <x:v>HY05</x:v>
      </x:c>
      <x:c r="C11" s="9" t="str">
        <x:v>three-volume flush</x:v>
      </x:c>
      <x:c r="D11" s="9" t="str">
        <x:v>volume × flush factor</x:v>
      </x:c>
      <x:c r="E11" s="16" t="n">
        <x:f>E10*'Controls'!$D$49</x:f>
        <x:v>13.854423602330984</x:v>
      </x:c>
      <x:c r="F11" s="16" t="str">
        <x:v>m3</x:v>
      </x:c>
      <x:c r="G11" s="16" t="n">
        <x:v>13.8544</x:v>
      </x:c>
      <x:c r="H11" s="16" t="str">
        <x:v>GE</x:v>
      </x:c>
      <x:c r="I11" s="16" t="n">
        <x:f>IF(H11="LE",G11-E11,E11-G11)</x:f>
        <x:v>0.000023602330983862885</x:v>
      </x:c>
      <x:c r="J11" s="9" t="str">
        <x:f>IF(H11="LE",IF(E11&lt;=G11+0.0001,"PASS","FAIL"),IF(H11="GE",IF(E11&gt;=G11-0.0001,"PASS","FAIL"),IF(ABS(E11-G11)&lt;0.001,"PASS","FAIL")))</x:f>
        <x:v>PASS</x:v>
      </x:c>
      <x:c r="K11" s="9" t="str">
        <x:v>OPEN</x:v>
      </x:c>
    </x:row>
    <x:row r="12">
      <x:c r="B12" s="9" t="str">
        <x:v>HY06</x:v>
      </x:c>
      <x:c r="C12" s="9" t="str">
        <x:v>proof end force</x:v>
      </x:c>
      <x:c r="D12" s="9" t="str">
        <x:v>proof pressure × area</x:v>
      </x:c>
      <x:c r="E12" s="16" t="n">
        <x:f>'Controls'!$D$45*1000*E7</x:f>
        <x:v>101.02183876699677</x:v>
      </x:c>
      <x:c r="F12" s="16" t="str">
        <x:v>kN</x:v>
      </x:c>
      <x:c r="G12" s="16" t="n">
        <x:v>101.022</x:v>
      </x:c>
      <x:c r="H12" s="16" t="str">
        <x:v>EQ</x:v>
      </x:c>
      <x:c r="I12" s="16" t="n">
        <x:f>IF(H12="LE",G12-E12,E12-G12)</x:f>
        <x:v>-0.00016123300324011325</x:v>
      </x:c>
      <x:c r="J12" s="9" t="str">
        <x:f>IF(H12="LE",IF(E12&lt;=G12+0.0001,"PASS","FAIL"),IF(H12="GE",IF(E12&gt;=G12-0.0001,"PASS","FAIL"),IF(ABS(E12-G12)&lt;0.001,"PASS","FAIL")))</x:f>
        <x:v>PASS</x:v>
      </x:c>
      <x:c r="K12" s="9" t="str">
        <x:v>OPEN</x:v>
      </x:c>
    </x:row>
    <x:row r="13">
      <x:c r="B13" s="9" t="str">
        <x:v>HY07</x:v>
      </x:c>
      <x:c r="C13" s="9" t="str">
        <x:v>collar center error</x:v>
      </x:c>
      <x:c r="D13" s="9" t="str">
        <x:v>public tolerance</x:v>
      </x:c>
      <x:c r="E13" s="16" t="n">
        <x:f>3</x:f>
        <x:v>3</x:v>
      </x:c>
      <x:c r="F13" s="16" t="str">
        <x:v>mm</x:v>
      </x:c>
      <x:c r="G13" s="16" t="n">
        <x:v>3</x:v>
      </x:c>
      <x:c r="H13" s="16" t="str">
        <x:v>LE</x:v>
      </x:c>
      <x:c r="I13" s="16" t="n">
        <x:f>IF(H13="LE",G13-E13,E13-G13)</x:f>
        <x:v>0</x:v>
      </x:c>
      <x:c r="J13" s="9" t="str">
        <x:f>IF(H13="LE",IF(E13&lt;=G13+0.0001,"PASS","FAIL"),IF(H13="GE",IF(E13&gt;=G13-0.0001,"PASS","FAIL"),IF(ABS(E13-G13)&lt;0.001,"PASS","FAIL")))</x:f>
        <x:v>PASS</x:v>
      </x:c>
      <x:c r="K13" s="9" t="str">
        <x:v>OPEN</x:v>
      </x:c>
    </x:row>
    <x:row r="14">
      <x:c r="B14" s="9" t="str">
        <x:v>HY08</x:v>
      </x:c>
      <x:c r="C14" s="9" t="str">
        <x:v>collar angular error</x:v>
      </x:c>
      <x:c r="D14" s="9" t="str">
        <x:v>public tolerance</x:v>
      </x:c>
      <x:c r="E14" s="16" t="n">
        <x:f>0.25</x:f>
        <x:v>0.25</x:v>
      </x:c>
      <x:c r="F14" s="16" t="str">
        <x:v>deg</x:v>
      </x:c>
      <x:c r="G14" s="16" t="n">
        <x:v>0.25</x:v>
      </x:c>
      <x:c r="H14" s="16" t="str">
        <x:v>LE</x:v>
      </x:c>
      <x:c r="I14" s="16" t="n">
        <x:f>IF(H14="LE",G14-E14,E14-G14)</x:f>
        <x:v>0</x:v>
      </x:c>
      <x:c r="J14" s="9" t="str">
        <x:f>IF(H14="LE",IF(E14&lt;=G14+0.0001,"PASS","FAIL"),IF(H14="GE",IF(E14&gt;=G14-0.0001,"PASS","FAIL"),IF(ABS(E14-G14)&lt;0.001,"PASS","FAIL")))</x:f>
        <x:v>PASS</x:v>
      </x:c>
      <x:c r="K14" s="9" t="str">
        <x:v>OPEN</x:v>
      </x:c>
    </x:row>
    <x:row r="15">
      <x:c r="B15" s="9" t="str">
        <x:v>HY09</x:v>
      </x:c>
      <x:c r="C15" s="9" t="str">
        <x:v>dead leg</x:v>
      </x:c>
      <x:c r="D15" s="9" t="str">
        <x:v>declared maximum</x:v>
      </x:c>
      <x:c r="E15" s="16" t="n">
        <x:f>0.35</x:f>
        <x:v>0.35</x:v>
      </x:c>
      <x:c r="F15" s="16" t="str">
        <x:v>m</x:v>
      </x:c>
      <x:c r="G15" s="16" t="n">
        <x:v>0.35</x:v>
      </x:c>
      <x:c r="H15" s="16" t="str">
        <x:v>LE</x:v>
      </x:c>
      <x:c r="I15" s="16" t="n">
        <x:f>IF(H15="LE",G15-E15,E15-G15)</x:f>
        <x:v>0</x:v>
      </x:c>
      <x:c r="J15" s="9" t="str">
        <x:f>IF(H15="LE",IF(E15&lt;=G15+0.0001,"PASS","FAIL"),IF(H15="GE",IF(E15&gt;=G15-0.0001,"PASS","FAIL"),IF(ABS(E15-G15)&lt;0.001,"PASS","FAIL")))</x:f>
        <x:v>PASS</x:v>
      </x:c>
      <x:c r="K15" s="9" t="str">
        <x:v>OPEN</x:v>
      </x:c>
    </x:row>
    <x:row r="16">
      <x:c r="B16" s="9" t="str">
        <x:v>HY10</x:v>
      </x:c>
      <x:c r="C16" s="9" t="str">
        <x:v>trapped volume per path</x:v>
      </x:c>
      <x:c r="D16" s="9" t="str">
        <x:v>declared maximum</x:v>
      </x:c>
      <x:c r="E16" s="16" t="n">
        <x:f>25</x:f>
        <x:v>25</x:v>
      </x:c>
      <x:c r="F16" s="16" t="str">
        <x:v>L</x:v>
      </x:c>
      <x:c r="G16" s="16" t="n">
        <x:v>25</x:v>
      </x:c>
      <x:c r="H16" s="16" t="str">
        <x:v>LE</x:v>
      </x:c>
      <x:c r="I16" s="16" t="n">
        <x:f>IF(H16="LE",G16-E16,E16-G16)</x:f>
        <x:v>0</x:v>
      </x:c>
      <x:c r="J16" s="9" t="str">
        <x:f>IF(H16="LE",IF(E16&lt;=G16+0.0001,"PASS","FAIL"),IF(H16="GE",IF(E16&gt;=G16-0.0001,"PASS","FAIL"),IF(ABS(E16-G16)&lt;0.001,"PASS","FAIL")))</x:f>
        <x:v>PASS</x:v>
      </x:c>
      <x:c r="K16" s="9" t="str">
        <x:v>OPEN</x:v>
      </x:c>
    </x:row>
    <x:row r="17">
      <x:c r="B17" s="9" t="str">
        <x:v>HY11</x:v>
      </x:c>
      <x:c r="C17" s="9" t="str">
        <x:v>positive isolation valves</x:v>
      </x:c>
      <x:c r="D17" s="9" t="str">
        <x:v>four per path</x:v>
      </x:c>
      <x:c r="E17" s="16" t="n">
        <x:f>8</x:f>
        <x:v>8</x:v>
      </x:c>
      <x:c r="F17" s="16" t="str">
        <x:v>valves</x:v>
      </x:c>
      <x:c r="G17" s="16" t="n">
        <x:v>8</x:v>
      </x:c>
      <x:c r="H17" s="16" t="str">
        <x:v>EQ</x:v>
      </x:c>
      <x:c r="I17" s="16" t="n">
        <x:f>IF(H17="LE",G17-E17,E17-G17)</x:f>
        <x:v>0</x:v>
      </x:c>
      <x:c r="J17" s="9" t="str">
        <x:f>IF(H17="LE",IF(E17&lt;=G17+0.0001,"PASS","FAIL"),IF(H17="GE",IF(E17&gt;=G17-0.0001,"PASS","FAIL"),IF(ABS(E17-G17)&lt;0.001,"PASS","FAIL")))</x:f>
        <x:v>PASS</x:v>
      </x:c>
      <x:c r="K17" s="9" t="str">
        <x:v>OPEN</x:v>
      </x:c>
    </x:row>
    <x:row r="18">
      <x:c r="B18" s="10" t="str">
        <x:v>HY12</x:v>
      </x:c>
      <x:c r="C18" s="10" t="str">
        <x:v>independent sample planes</x:v>
      </x:c>
      <x:c r="D18" s="10" t="str">
        <x:v>source/article/receiver/waste</x:v>
      </x:c>
      <x:c r="E18" s="19" t="n">
        <x:f>8</x:f>
        <x:v>8</x:v>
      </x:c>
      <x:c r="F18" s="19" t="str">
        <x:v>planes</x:v>
      </x:c>
      <x:c r="G18" s="19" t="n">
        <x:v>8</x:v>
      </x:c>
      <x:c r="H18" s="19" t="str">
        <x:v>GE</x:v>
      </x:c>
      <x:c r="I18" s="19" t="n">
        <x:f>IF(H18="LE",G18-E18,E18-G18)</x:f>
        <x:v>0</x:v>
      </x:c>
      <x:c r="J18" s="10" t="str">
        <x:f>IF(H18="LE",IF(E18&lt;=G18+0.0001,"PASS","FAIL"),IF(H18="GE",IF(E18&gt;=G18-0.0001,"PASS","FAIL"),IF(ABS(E18-G18)&lt;0.001,"PASS","FAIL")))</x:f>
        <x:v>PASS</x:v>
      </x:c>
      <x:c r="K18" s="10" t="str">
        <x:v>OPEN</x:v>
      </x:c>
    </x:row>
  </x:sheetData>
  <x:mergeCells>
    <x:mergeCell ref="B2:K2"/>
    <x:mergeCell ref="B3:K3"/>
  </x:mergeCells>
  <x:conditionalFormatting sqref="J7:K18">
    <x:cfRule type="containsText" dxfId="84" priority="1" operator="containsText" text="PASS"/>
    <x:cfRule type="containsText" dxfId="85" priority="2" operator="containsText" text="AUTHORIZED"/>
    <x:cfRule type="containsText" dxfId="86" priority="3" operator="containsText" text="DEFINED"/>
    <x:cfRule type="containsText" dxfId="87" priority="4" operator="containsText" text="READY"/>
    <x:cfRule type="containsText" dxfId="88" priority="5" operator="containsText" text="HOLD"/>
    <x:cfRule type="containsText" dxfId="89" priority="6" operator="containsText" text="OPEN"/>
    <x:cfRule type="containsText" dxfId="90" priority="7" operator="containsText" text="BLOCKED"/>
    <x:cfRule type="containsText" dxfId="91" priority="8" operator="containsText" text="PLANNING"/>
    <x:cfRule type="containsText" dxfId="92" priority="9" operator="containsText" text="FAIL"/>
    <x:cfRule type="containsText" dxfId="93" priority="10" operator="containsText" text="REJECT"/>
    <x:cfRule type="containsText" dxfId="94" priority="11" operator="containsText" text="INCOMPLETE"/>
    <x:cfRule type="containsText" dxfId="95" priority="12" operator="containsText" text="INDETERMINAT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32" hidden="0" customWidth="1"/>
    <x:col min="4" max="4" width="54" hidden="0" customWidth="1"/>
    <x:col min="5" max="5" width="14" hidden="0" customWidth="1"/>
    <x:col min="6" max="6" width="16" hidden="0" customWidth="1"/>
    <x:col min="7" max="7" width="18" hidden="0" customWidth="1"/>
    <x:col min="8" max="8" width="17" hidden="0" customWidth="1"/>
  </x:cols>
  <x:sheetData>
    <x:row r="2">
      <x:c r="B2" s="28" t="str">
        <x:v>Product, waste and custody topology</x:v>
      </x:c>
      <x:c r="C2" s="8"/>
      <x:c r="D2" s="8"/>
      <x:c r="E2" s="8"/>
      <x:c r="F2" s="8"/>
      <x:c r="G2" s="8"/>
      <x:c r="H2" s="8"/>
    </x:row>
    <x:row r="3">
      <x:c r="B3" s="2" t="str">
        <x:v>A final sample cannot substitute for valve, blank, waste, dead-leg and cleaning ancestry.</x:v>
      </x:c>
      <x:c r="C3" s="8"/>
      <x:c r="D3" s="8"/>
      <x:c r="E3" s="8"/>
      <x:c r="F3" s="8"/>
      <x:c r="G3" s="8"/>
      <x:c r="H3" s="8"/>
    </x:row>
    <x:row r="4">
      <x:c r="B4" s="29"/>
      <x:c r="C4" s="29"/>
      <x:c r="D4" s="29"/>
      <x:c r="E4" s="29"/>
      <x:c r="F4" s="29"/>
      <x:c r="G4" s="29"/>
      <x:c r="H4" s="29"/>
    </x:row>
    <x:row r="5">
      <x:c r="B5" s="8"/>
      <x:c r="C5" s="8"/>
      <x:c r="D5" s="8"/>
      <x:c r="E5" s="8"/>
      <x:c r="F5" s="8"/>
      <x:c r="G5" s="8"/>
      <x:c r="H5" s="8"/>
    </x:row>
    <x:row r="6">
      <x:c r="B6" s="7" t="str">
        <x:v>ID</x:v>
      </x:c>
      <x:c r="C6" s="7" t="str">
        <x:v>Boundary</x:v>
      </x:c>
      <x:c r="D6" s="7" t="str">
        <x:v>Public rule</x:v>
      </x:c>
      <x:c r="E6" s="7" t="str">
        <x:v>Defined</x:v>
      </x:c>
      <x:c r="F6" s="7" t="str">
        <x:v>Planning gate</x:v>
      </x:c>
      <x:c r="G6" s="7" t="str">
        <x:v>Physical evidence</x:v>
      </x:c>
      <x:c r="H6" s="7" t="str">
        <x:v>Disposition</x:v>
      </x:c>
    </x:row>
    <x:row r="7">
      <x:c r="B7" s="9" t="str">
        <x:v>SA01</x:v>
      </x:c>
      <x:c r="C7" s="9" t="str">
        <x:v>source isolation</x:v>
      </x:c>
      <x:c r="D7" s="9" t="str">
        <x:v>two positive barriers</x:v>
      </x:c>
      <x:c r="E7" s="9" t="n">
        <x:v>1</x:v>
      </x:c>
      <x:c r="F7" s="9" t="str">
        <x:f>IF(E7=1,"PASS","FAIL")</x:f>
        <x:v>PASS</x:v>
      </x:c>
      <x:c r="G7" s="9" t="n">
        <x:v>0</x:v>
      </x:c>
      <x:c r="H7" s="9" t="str">
        <x:v>OPEN</x:v>
      </x:c>
    </x:row>
    <x:row r="8">
      <x:c r="B8" s="9" t="str">
        <x:v>SA02</x:v>
      </x:c>
      <x:c r="C8" s="9" t="str">
        <x:v>article entry sample</x:v>
      </x:c>
      <x:c r="D8" s="9" t="str">
        <x:v>independent custody</x:v>
      </x:c>
      <x:c r="E8" s="9" t="n">
        <x:v>1</x:v>
      </x:c>
      <x:c r="F8" s="9" t="str">
        <x:f>IF(E8=1,"PASS","FAIL")</x:f>
        <x:v>PASS</x:v>
      </x:c>
      <x:c r="G8" s="9" t="n">
        <x:v>0</x:v>
      </x:c>
      <x:c r="H8" s="9" t="str">
        <x:v>OPEN</x:v>
      </x:c>
    </x:row>
    <x:row r="9">
      <x:c r="B9" s="9" t="str">
        <x:v>SA03</x:v>
      </x:c>
      <x:c r="C9" s="9" t="str">
        <x:v>path H1 product route</x:v>
      </x:c>
      <x:c r="D9" s="9" t="str">
        <x:v>no crossover</x:v>
      </x:c>
      <x:c r="E9" s="9" t="n">
        <x:v>1</x:v>
      </x:c>
      <x:c r="F9" s="9" t="str">
        <x:f>IF(E9=1,"PASS","FAIL")</x:f>
        <x:v>PASS</x:v>
      </x:c>
      <x:c r="G9" s="9" t="n">
        <x:v>0</x:v>
      </x:c>
      <x:c r="H9" s="9" t="str">
        <x:v>OPEN</x:v>
      </x:c>
    </x:row>
    <x:row r="10">
      <x:c r="B10" s="9" t="str">
        <x:v>SA04</x:v>
      </x:c>
      <x:c r="C10" s="9" t="str">
        <x:v>path H2 product route</x:v>
      </x:c>
      <x:c r="D10" s="9" t="str">
        <x:v>no crossover</x:v>
      </x:c>
      <x:c r="E10" s="9" t="n">
        <x:v>1</x:v>
      </x:c>
      <x:c r="F10" s="9" t="str">
        <x:f>IF(E10=1,"PASS","FAIL")</x:f>
        <x:v>PASS</x:v>
      </x:c>
      <x:c r="G10" s="9" t="n">
        <x:v>0</x:v>
      </x:c>
      <x:c r="H10" s="9" t="str">
        <x:v>OPEN</x:v>
      </x:c>
    </x:row>
    <x:row r="11">
      <x:c r="B11" s="9" t="str">
        <x:v>SA05</x:v>
      </x:c>
      <x:c r="C11" s="9" t="str">
        <x:v>receiver return isolation</x:v>
      </x:c>
      <x:c r="D11" s="9" t="str">
        <x:v>receiver owned</x:v>
      </x:c>
      <x:c r="E11" s="9" t="n">
        <x:v>1</x:v>
      </x:c>
      <x:c r="F11" s="9" t="str">
        <x:f>IF(E11=1,"PASS","FAIL")</x:f>
        <x:v>PASS</x:v>
      </x:c>
      <x:c r="G11" s="9" t="n">
        <x:v>0</x:v>
      </x:c>
      <x:c r="H11" s="9" t="str">
        <x:v>OPEN</x:v>
      </x:c>
    </x:row>
    <x:row r="12">
      <x:c r="B12" s="9" t="str">
        <x:v>SA06</x:v>
      </x:c>
      <x:c r="C12" s="9" t="str">
        <x:v>waste route</x:v>
      </x:c>
      <x:c r="D12" s="9" t="str">
        <x:v>mechanically incompatible</x:v>
      </x:c>
      <x:c r="E12" s="9" t="n">
        <x:v>1</x:v>
      </x:c>
      <x:c r="F12" s="9" t="str">
        <x:f>IF(E12=1,"PASS","FAIL")</x:f>
        <x:v>PASS</x:v>
      </x:c>
      <x:c r="G12" s="9" t="n">
        <x:v>0</x:v>
      </x:c>
      <x:c r="H12" s="9" t="str">
        <x:v>OPEN</x:v>
      </x:c>
    </x:row>
    <x:row r="13">
      <x:c r="B13" s="9" t="str">
        <x:v>SA07</x:v>
      </x:c>
      <x:c r="C13" s="9" t="str">
        <x:v>drain and recovery</x:v>
      </x:c>
      <x:c r="D13" s="9" t="str">
        <x:v>contained and measured</x:v>
      </x:c>
      <x:c r="E13" s="9" t="n">
        <x:v>1</x:v>
      </x:c>
      <x:c r="F13" s="9" t="str">
        <x:f>IF(E13=1,"PASS","FAIL")</x:f>
        <x:v>PASS</x:v>
      </x:c>
      <x:c r="G13" s="9" t="n">
        <x:v>0</x:v>
      </x:c>
      <x:c r="H13" s="9" t="str">
        <x:v>OPEN</x:v>
      </x:c>
    </x:row>
    <x:row r="14">
      <x:c r="B14" s="9" t="str">
        <x:v>SA08</x:v>
      </x:c>
      <x:c r="C14" s="9" t="str">
        <x:v>wrong-command detection</x:v>
      </x:c>
      <x:c r="D14" s="9" t="str">
        <x:v>single fault exposed</x:v>
      </x:c>
      <x:c r="E14" s="9" t="n">
        <x:v>1</x:v>
      </x:c>
      <x:c r="F14" s="9" t="str">
        <x:f>IF(E14=1,"PASS","FAIL")</x:f>
        <x:v>PASS</x:v>
      </x:c>
      <x:c r="G14" s="9" t="n">
        <x:v>0</x:v>
      </x:c>
      <x:c r="H14" s="9" t="str">
        <x:v>OPEN</x:v>
      </x:c>
    </x:row>
    <x:row r="15">
      <x:c r="B15" s="9" t="str">
        <x:v>SA09</x:v>
      </x:c>
      <x:c r="C15" s="9" t="str">
        <x:v>blank and positive controls</x:v>
      </x:c>
      <x:c r="D15" s="9" t="str">
        <x:v>paired controls</x:v>
      </x:c>
      <x:c r="E15" s="9" t="n">
        <x:v>1</x:v>
      </x:c>
      <x:c r="F15" s="9" t="str">
        <x:f>IF(E15=1,"PASS","FAIL")</x:f>
        <x:v>PASS</x:v>
      </x:c>
      <x:c r="G15" s="9" t="n">
        <x:v>0</x:v>
      </x:c>
      <x:c r="H15" s="9" t="str">
        <x:v>OPEN</x:v>
      </x:c>
    </x:row>
    <x:row r="16">
      <x:c r="B16" s="10" t="str">
        <x:v>SA10</x:v>
      </x:c>
      <x:c r="C16" s="10" t="str">
        <x:v>terminal sample</x:v>
      </x:c>
      <x:c r="D16" s="10" t="str">
        <x:v>not sole release evidence</x:v>
      </x:c>
      <x:c r="E16" s="10" t="n">
        <x:v>1</x:v>
      </x:c>
      <x:c r="F16" s="10" t="str">
        <x:f>IF(E16=1,"PASS","FAIL")</x:f>
        <x:v>PASS</x:v>
      </x:c>
      <x:c r="G16" s="10" t="n">
        <x:v>0</x:v>
      </x:c>
      <x:c r="H16" s="10" t="str">
        <x:v>OPEN</x:v>
      </x:c>
    </x:row>
  </x:sheetData>
  <x:mergeCells>
    <x:mergeCell ref="B2:H2"/>
    <x:mergeCell ref="B3:H3"/>
  </x:mergeCells>
  <x:conditionalFormatting sqref="F7:H16">
    <x:cfRule type="containsText" dxfId="96" priority="1" operator="containsText" text="PASS"/>
    <x:cfRule type="containsText" dxfId="97" priority="2" operator="containsText" text="AUTHORIZED"/>
    <x:cfRule type="containsText" dxfId="98" priority="3" operator="containsText" text="DEFINED"/>
    <x:cfRule type="containsText" dxfId="99" priority="4" operator="containsText" text="READY"/>
    <x:cfRule type="containsText" dxfId="100" priority="5" operator="containsText" text="HOLD"/>
    <x:cfRule type="containsText" dxfId="101" priority="6" operator="containsText" text="OPEN"/>
    <x:cfRule type="containsText" dxfId="102" priority="7" operator="containsText" text="BLOCKED"/>
    <x:cfRule type="containsText" dxfId="103" priority="8" operator="containsText" text="PLANNING"/>
    <x:cfRule type="containsText" dxfId="104" priority="9" operator="containsText" text="FAIL"/>
    <x:cfRule type="containsText" dxfId="105" priority="10" operator="containsText" text="REJECT"/>
    <x:cfRule type="containsText" dxfId="106" priority="11" operator="containsText" text="INCOMPLETE"/>
    <x:cfRule type="containsText" dxfId="107" priority="12" operator="containsText" text="INDETERMINATE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36" hidden="0" customWidth="1"/>
    <x:col min="4" max="4" width="42" hidden="0" customWidth="1"/>
    <x:col min="5" max="5" width="20" hidden="0" customWidth="1"/>
    <x:col min="6" max="6" width="18" hidden="0" customWidth="1"/>
    <x:col min="7" max="7" width="22" hidden="0" customWidth="1"/>
    <x:col min="8" max="8" width="18" hidden="0" customWidth="1"/>
    <x:col min="9" max="9" width="15" hidden="0" customWidth="1"/>
    <x:col min="10" max="10" width="20" hidden="0" customWidth="1"/>
    <x:col min="11" max="11" width="17" hidden="0" customWidth="1"/>
    <x:col min="12" max="12" width="17" hidden="0" customWidth="1"/>
  </x:cols>
  <x:sheetData>
    <x:row r="2">
      <x:c r="B2" s="28" t="str">
        <x:v>Public power one-line and unlike root hypotheses</x:v>
      </x:c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B3" s="2" t="str">
        <x:v>Two 480Y/277 V sections, normally open tie, protected critical bus and separate evidence power.</x:v>
      </x:c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4">
      <x:c r="B4" s="29"/>
      <x:c r="C4" s="29"/>
      <x:c r="D4" s="29"/>
      <x:c r="E4" s="29"/>
      <x:c r="F4" s="29"/>
      <x:c r="G4" s="29"/>
      <x:c r="H4" s="29"/>
      <x:c r="I4" s="29"/>
      <x:c r="J4" s="29"/>
      <x:c r="K4" s="29"/>
      <x:c r="L4" s="29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</x:row>
    <x:row r="6">
      <x:c r="B6" s="7" t="str">
        <x:v>ID</x:v>
      </x:c>
      <x:c r="C6" s="7" t="str">
        <x:v>State</x:v>
      </x:c>
      <x:c r="D6" s="7" t="str">
        <x:v>Power MW</x:v>
      </x:c>
      <x:c r="E6" s="7" t="str">
        <x:v>Voltage kV</x:v>
      </x:c>
      <x:c r="F6" s="7" t="str">
        <x:v>PF</x:v>
      </x:c>
      <x:c r="G6" s="7" t="str">
        <x:v>Current</x:v>
      </x:c>
      <x:c r="H6" s="7" t="str">
        <x:v>Unit</x:v>
      </x:c>
      <x:c r="I6" s="7" t="str">
        <x:v>Rating</x:v>
      </x:c>
      <x:c r="J6" s="7" t="str">
        <x:v>Margin</x:v>
      </x:c>
      <x:c r="K6" s="7" t="str">
        <x:v>Planning gate</x:v>
      </x:c>
      <x:c r="L6" s="7" t="str">
        <x:v>Physical state</x:v>
      </x:c>
    </x:row>
    <x:row r="7">
      <x:c r="B7" s="9" t="str">
        <x:v>PW01</x:v>
      </x:c>
      <x:c r="C7" s="9" t="str">
        <x:v>normal LV</x:v>
      </x:c>
      <x:c r="D7" s="9" t="n">
        <x:v>1.5</x:v>
      </x:c>
      <x:c r="E7" s="9" t="n">
        <x:v>0.48</x:v>
      </x:c>
      <x:c r="F7" s="9" t="n">
        <x:v>0.9</x:v>
      </x:c>
      <x:c r="G7" s="16" t="n">
        <x:f>D7/(SQRT(3)*E7*F7)</x:f>
        <x:v>2.0046884346862006</x:v>
      </x:c>
      <x:c r="H7" s="16" t="str">
        <x:v>kA</x:v>
      </x:c>
      <x:c r="I7" s="16" t="n">
        <x:v>2.5</x:v>
      </x:c>
      <x:c r="J7" s="16" t="n">
        <x:f>I7-G7</x:f>
        <x:v>0.4953115653137994</x:v>
      </x:c>
      <x:c r="K7" s="9" t="str">
        <x:f>IF(G7&lt;=I7,"PASS","FAIL")</x:f>
        <x:v>PASS</x:v>
      </x:c>
      <x:c r="L7" s="9" t="str">
        <x:v>OPEN</x:v>
      </x:c>
    </x:row>
    <x:row r="8">
      <x:c r="B8" s="9" t="str">
        <x:v>PW02</x:v>
      </x:c>
      <x:c r="C8" s="9" t="str">
        <x:v>overload LV</x:v>
      </x:c>
      <x:c r="D8" s="9" t="n">
        <x:v>2.25</x:v>
      </x:c>
      <x:c r="E8" s="9" t="n">
        <x:v>0.48</x:v>
      </x:c>
      <x:c r="F8" s="9" t="n">
        <x:v>0.9</x:v>
      </x:c>
      <x:c r="G8" s="16" t="n">
        <x:f>D8/(SQRT(3)*E8*F8)</x:f>
        <x:v>3.007032652029301</x:v>
      </x:c>
      <x:c r="H8" s="16" t="str">
        <x:v>kA</x:v>
      </x:c>
      <x:c r="I8" s="16" t="n">
        <x:v>3.5</x:v>
      </x:c>
      <x:c r="J8" s="16" t="n">
        <x:f>I8-G8</x:f>
        <x:v>0.4929673479706991</x:v>
      </x:c>
      <x:c r="K8" s="9" t="str">
        <x:f>IF(G8&lt;=I8,"PASS","FAIL")</x:f>
        <x:v>PASS</x:v>
      </x:c>
      <x:c r="L8" s="9" t="str">
        <x:v>OPEN</x:v>
      </x:c>
    </x:row>
    <x:row r="9">
      <x:c r="B9" s="9" t="str">
        <x:v>PW03</x:v>
      </x:c>
      <x:c r="C9" s="9" t="str">
        <x:v>transient LV</x:v>
      </x:c>
      <x:c r="D9" s="9" t="n">
        <x:v>3</x:v>
      </x:c>
      <x:c r="E9" s="9" t="n">
        <x:v>0.48</x:v>
      </x:c>
      <x:c r="F9" s="9" t="n">
        <x:v>0.9</x:v>
      </x:c>
      <x:c r="G9" s="16" t="n">
        <x:f>D9/(SQRT(3)*E9*F9)</x:f>
        <x:v>4.009376869372401</x:v>
      </x:c>
      <x:c r="H9" s="16" t="str">
        <x:v>kA</x:v>
      </x:c>
      <x:c r="I9" s="16" t="n">
        <x:v>5</x:v>
      </x:c>
      <x:c r="J9" s="16" t="n">
        <x:f>I9-G9</x:f>
        <x:v>0.9906231306275988</x:v>
      </x:c>
      <x:c r="K9" s="9" t="str">
        <x:f>IF(G9&lt;=I9,"PASS","FAIL")</x:f>
        <x:v>PASS</x:v>
      </x:c>
      <x:c r="L9" s="9" t="str">
        <x:v>OPEN</x:v>
      </x:c>
    </x:row>
    <x:row r="10">
      <x:c r="B10" s="9" t="str">
        <x:v>PW04</x:v>
      </x:c>
      <x:c r="C10" s="9" t="str">
        <x:v>normal MV</x:v>
      </x:c>
      <x:c r="D10" s="9" t="n">
        <x:v>1.5</x:v>
      </x:c>
      <x:c r="E10" s="9" t="n">
        <x:v>13.8</x:v>
      </x:c>
      <x:c r="F10" s="9" t="n">
        <x:v>0.9</x:v>
      </x:c>
      <x:c r="G10" s="16" t="n">
        <x:f>D10*1000/(SQRT(3)*E10*F10)</x:f>
        <x:v>69.72829338038957</x:v>
      </x:c>
      <x:c r="H10" s="16" t="str">
        <x:v>A</x:v>
      </x:c>
      <x:c r="I10" s="16" t="n">
        <x:v>100</x:v>
      </x:c>
      <x:c r="J10" s="16" t="n">
        <x:f>I10-G10</x:f>
        <x:v>30.271706619610427</x:v>
      </x:c>
      <x:c r="K10" s="9" t="str">
        <x:f>IF(G10&lt;=I10,"PASS","FAIL")</x:f>
        <x:v>PASS</x:v>
      </x:c>
      <x:c r="L10" s="9" t="str">
        <x:v>OPEN</x:v>
      </x:c>
    </x:row>
    <x:row r="11">
      <x:c r="B11" s="9" t="str">
        <x:v>PW05</x:v>
      </x:c>
      <x:c r="C11" s="9" t="str">
        <x:v>transient MV</x:v>
      </x:c>
      <x:c r="D11" s="9" t="n">
        <x:v>3</x:v>
      </x:c>
      <x:c r="E11" s="9" t="n">
        <x:v>13.8</x:v>
      </x:c>
      <x:c r="F11" s="9" t="n">
        <x:v>0.9</x:v>
      </x:c>
      <x:c r="G11" s="16" t="n">
        <x:f>D11*1000/(SQRT(3)*E11*F11)</x:f>
        <x:v>139.45658676077915</x:v>
      </x:c>
      <x:c r="H11" s="16" t="str">
        <x:v>A</x:v>
      </x:c>
      <x:c r="I11" s="16" t="n">
        <x:v>200</x:v>
      </x:c>
      <x:c r="J11" s="16" t="n">
        <x:f>I11-G11</x:f>
        <x:v>60.543413239220854</x:v>
      </x:c>
      <x:c r="K11" s="9" t="str">
        <x:f>IF(G11&lt;=I11,"PASS","FAIL")</x:f>
        <x:v>PASS</x:v>
      </x:c>
      <x:c r="L11" s="9" t="str">
        <x:v>OPEN</x:v>
      </x:c>
    </x:row>
    <x:row r="12">
      <x:c r="B12" s="9"/>
      <x:c r="C12" s="9"/>
      <x:c r="D12" s="9"/>
      <x:c r="E12" s="9"/>
      <x:c r="F12" s="9"/>
      <x:c r="G12" s="16"/>
      <x:c r="H12" s="16"/>
      <x:c r="I12" s="16"/>
      <x:c r="J12" s="16"/>
      <x:c r="K12" s="9"/>
      <x:c r="L12" s="9"/>
    </x:row>
    <x:row r="13">
      <x:c r="B13" s="9"/>
      <x:c r="C13" s="9"/>
      <x:c r="D13" s="9"/>
      <x:c r="E13" s="9"/>
      <x:c r="F13" s="9"/>
      <x:c r="G13" s="16"/>
      <x:c r="H13" s="16"/>
      <x:c r="I13" s="16"/>
      <x:c r="J13" s="16"/>
      <x:c r="K13" s="9"/>
      <x:c r="L13" s="9"/>
    </x:row>
    <x:row r="14">
      <x:c r="B14" s="9"/>
      <x:c r="C14" s="9"/>
      <x:c r="D14" s="9"/>
      <x:c r="E14" s="9"/>
      <x:c r="F14" s="9"/>
      <x:c r="G14" s="16"/>
      <x:c r="H14" s="16"/>
      <x:c r="I14" s="16"/>
      <x:c r="J14" s="16"/>
      <x:c r="K14" s="9"/>
      <x:c r="L14" s="9"/>
    </x:row>
    <x:row r="15">
      <x:c r="B15" s="15" t="str">
        <x:v>Root hypotheses and independent evidence power</x:v>
      </x:c>
      <x:c r="C15" s="15" t="str">
        <x:v>Root hypotheses and independent evidence power</x:v>
      </x:c>
      <x:c r="D15" s="15" t="str">
        <x:v>Root hypotheses and independent evidence power</x:v>
      </x:c>
      <x:c r="E15" s="15" t="str">
        <x:v>Root hypotheses and independent evidence power</x:v>
      </x:c>
      <x:c r="F15" s="15" t="str">
        <x:v>Root hypotheses and independent evidence power</x:v>
      </x:c>
      <x:c r="G15" s="17" t="str">
        <x:v>Root hypotheses and independent evidence power</x:v>
      </x:c>
      <x:c r="H15" s="17" t="str">
        <x:v>Root hypotheses and independent evidence power</x:v>
      </x:c>
      <x:c r="I15" s="17" t="str">
        <x:v>Root hypotheses and independent evidence power</x:v>
      </x:c>
      <x:c r="J15" s="17" t="str">
        <x:v>Root hypotheses and independent evidence power</x:v>
      </x:c>
      <x:c r="K15" s="15" t="str">
        <x:v>Root hypotheses and independent evidence power</x:v>
      </x:c>
      <x:c r="L15" s="15" t="str">
        <x:v>Root hypotheses and independent evidence power</x:v>
      </x:c>
    </x:row>
    <x:row r="16" ht="34" customHeight="1">
      <x:c r="B16" s="20" t="str">
        <x:v>Root</x:v>
      </x:c>
      <x:c r="C16" s="20" t="str">
        <x:v>Rotating source</x:v>
      </x:c>
      <x:c r="D16" s="20" t="str">
        <x:v>Storage system</x:v>
      </x:c>
      <x:c r="E16" s="20" t="str">
        <x:v>Deliverable MWh</x:v>
      </x:c>
      <x:c r="F16" s="20" t="str">
        <x:v>Critical bus MW</x:v>
      </x:c>
      <x:c r="G16" s="21" t="str">
        <x:v>Evidence battery kWh</x:v>
      </x:c>
      <x:c r="H16" s="21" t="str">
        <x:v>Evidence load kW</x:v>
      </x:c>
      <x:c r="I16" s="21" t="str">
        <x:v>Duration h</x:v>
      </x:c>
      <x:c r="J16" s="21" t="str">
        <x:v>Service substitute</x:v>
      </x:c>
      <x:c r="K16" s="20" t="str">
        <x:v>Planning gate</x:v>
      </x:c>
      <x:c r="L16" s="20" t="str">
        <x:v>Physical state</x:v>
      </x:c>
    </x:row>
    <x:row r="17">
      <x:c r="B17" s="9" t="str">
        <x:v>ROOT_A</x:v>
      </x:c>
      <x:c r="C17" s="9" t="str">
        <x:v>two variable-speed 1 MW units</x:v>
      </x:c>
      <x:c r="D17" s="9" t="str">
        <x:v>0.60 MWh LFP</x:v>
      </x:c>
      <x:c r="E17" s="9" t="n">
        <x:v>0.45</x:v>
      </x:c>
      <x:c r="F17" s="9" t="n">
        <x:v>0.6</x:v>
      </x:c>
      <x:c r="G17" s="16" t="n">
        <x:v>30</x:v>
      </x:c>
      <x:c r="H17" s="16" t="n">
        <x:v>15</x:v>
      </x:c>
      <x:c r="I17" s="16" t="n">
        <x:f>G17/H17</x:f>
        <x:v>2</x:v>
      </x:c>
      <x:c r="J17" s="16" t="str">
        <x:v>NO</x:v>
      </x:c>
      <x:c r="K17" s="9" t="str">
        <x:f>IF(AND(E17&gt;=0.45,F17=0.6,I17&gt;=2,J17="NO"),"PASS","FAIL")</x:f>
        <x:v>PASS</x:v>
      </x:c>
      <x:c r="L17" s="9" t="str">
        <x:v>OPEN</x:v>
      </x:c>
    </x:row>
    <x:row r="18">
      <x:c r="B18" s="10" t="str">
        <x:v>ROOT_B</x:v>
      </x:c>
      <x:c r="C18" s="10" t="str">
        <x:v>recuperated alternate units</x:v>
      </x:c>
      <x:c r="D18" s="10" t="str">
        <x:v>0.72 MWh structural zinc-halogen</x:v>
      </x:c>
      <x:c r="E18" s="10" t="n">
        <x:v>0.45</x:v>
      </x:c>
      <x:c r="F18" s="10" t="n">
        <x:v>0.6</x:v>
      </x:c>
      <x:c r="G18" s="19" t="n">
        <x:v>30</x:v>
      </x:c>
      <x:c r="H18" s="19" t="n">
        <x:v>15</x:v>
      </x:c>
      <x:c r="I18" s="19" t="n">
        <x:f>G18/H18</x:f>
        <x:v>2</x:v>
      </x:c>
      <x:c r="J18" s="19" t="str">
        <x:v>NO</x:v>
      </x:c>
      <x:c r="K18" s="10" t="str">
        <x:f>IF(AND(E18&gt;=0.45,F18=0.6,I18&gt;=2,J18="NO"),"PASS","FAIL")</x:f>
        <x:v>PASS</x:v>
      </x:c>
      <x:c r="L18" s="10" t="str">
        <x:v>OPEN</x:v>
      </x:c>
    </x:row>
  </x:sheetData>
  <x:mergeCells>
    <x:mergeCell ref="B2:L2"/>
    <x:mergeCell ref="B3:L3"/>
    <x:mergeCell ref="B15:L15"/>
  </x:mergeCells>
  <x:conditionalFormatting sqref="K7:L18">
    <x:cfRule type="containsText" dxfId="108" priority="1" operator="containsText" text="PASS"/>
    <x:cfRule type="containsText" dxfId="109" priority="2" operator="containsText" text="AUTHORIZED"/>
    <x:cfRule type="containsText" dxfId="110" priority="3" operator="containsText" text="DEFINED"/>
    <x:cfRule type="containsText" dxfId="111" priority="4" operator="containsText" text="READY"/>
    <x:cfRule type="containsText" dxfId="112" priority="5" operator="containsText" text="HOLD"/>
    <x:cfRule type="containsText" dxfId="113" priority="6" operator="containsText" text="OPEN"/>
    <x:cfRule type="containsText" dxfId="114" priority="7" operator="containsText" text="BLOCKED"/>
    <x:cfRule type="containsText" dxfId="115" priority="8" operator="containsText" text="PLANNING"/>
    <x:cfRule type="containsText" dxfId="116" priority="9" operator="containsText" text="FAIL"/>
    <x:cfRule type="containsText" dxfId="117" priority="10" operator="containsText" text="REJECT"/>
    <x:cfRule type="containsText" dxfId="118" priority="11" operator="containsText" text="INCOMPLETE"/>
    <x:cfRule type="containsText" dxfId="119" priority="12" operator="containsText" text="INDETERMINATE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31" hidden="0" customWidth="1"/>
    <x:col min="4" max="4" width="47" hidden="0" customWidth="1"/>
    <x:col min="5" max="5" width="35" hidden="0" customWidth="1"/>
    <x:col min="6" max="6" width="19" hidden="0" customWidth="1"/>
    <x:col min="7" max="7" width="16" hidden="0" customWidth="1"/>
    <x:col min="8" max="8" width="17" hidden="0" customWidth="1"/>
  </x:cols>
  <x:sheetData>
    <x:row r="2">
      <x:c r="B2" s="28" t="str">
        <x:v>Grounding, fault and protection challenge matrix</x:v>
      </x:c>
      <x:c r="C2" s="8"/>
      <x:c r="D2" s="8"/>
      <x:c r="E2" s="8"/>
      <x:c r="F2" s="8"/>
      <x:c r="G2" s="8"/>
      <x:c r="H2" s="8"/>
    </x:row>
    <x:row r="3">
      <x:c r="B3" s="2" t="str">
        <x:v>Root-specific source physics must meet the same public dead, trip, ground and restoration states.</x:v>
      </x:c>
      <x:c r="C3" s="8"/>
      <x:c r="D3" s="8"/>
      <x:c r="E3" s="8"/>
      <x:c r="F3" s="8"/>
      <x:c r="G3" s="8"/>
      <x:c r="H3" s="8"/>
    </x:row>
    <x:row r="4">
      <x:c r="B4" s="29"/>
      <x:c r="C4" s="29"/>
      <x:c r="D4" s="29"/>
      <x:c r="E4" s="29"/>
      <x:c r="F4" s="29"/>
      <x:c r="G4" s="29"/>
      <x:c r="H4" s="29"/>
    </x:row>
    <x:row r="5">
      <x:c r="B5" s="8"/>
      <x:c r="C5" s="8"/>
      <x:c r="D5" s="8"/>
      <x:c r="E5" s="8"/>
      <x:c r="F5" s="8"/>
      <x:c r="G5" s="8"/>
      <x:c r="H5" s="8"/>
    </x:row>
    <x:row r="6">
      <x:c r="B6" s="7" t="str">
        <x:v>ID</x:v>
      </x:c>
      <x:c r="C6" s="7" t="str">
        <x:v>Boundary</x:v>
      </x:c>
      <x:c r="D6" s="7" t="str">
        <x:v>Protection decision</x:v>
      </x:c>
      <x:c r="E6" s="7" t="str">
        <x:v>Truth source</x:v>
      </x:c>
      <x:c r="F6" s="7" t="str">
        <x:v>Planning definition</x:v>
      </x:c>
      <x:c r="G6" s="7" t="str">
        <x:v>Physical result</x:v>
      </x:c>
      <x:c r="H6" s="7" t="str">
        <x:v>Disposition</x:v>
      </x:c>
    </x:row>
    <x:row r="7">
      <x:c r="B7" s="9" t="str">
        <x:v>PR01</x:v>
      </x:c>
      <x:c r="C7" s="9" t="str">
        <x:v>480 V bus section A</x:v>
      </x:c>
      <x:c r="D7" s="9" t="str">
        <x:v>overcurrent and ground</x:v>
      </x:c>
      <x:c r="E7" s="9" t="str">
        <x:v>root source + load bank</x:v>
      </x:c>
      <x:c r="F7" s="9" t="n">
        <x:v>1</x:v>
      </x:c>
      <x:c r="G7" s="9" t="str">
        <x:f>IF(F7=1,"PASS","FAIL")</x:f>
        <x:v>PASS</x:v>
      </x:c>
      <x:c r="H7" s="9" t="str">
        <x:v>OPEN</x:v>
      </x:c>
    </x:row>
    <x:row r="8">
      <x:c r="B8" s="9" t="str">
        <x:v>PR02</x:v>
      </x:c>
      <x:c r="C8" s="9" t="str">
        <x:v>480 V bus section B</x:v>
      </x:c>
      <x:c r="D8" s="9" t="str">
        <x:v>overcurrent and ground</x:v>
      </x:c>
      <x:c r="E8" s="9" t="str">
        <x:v>root source + load bank</x:v>
      </x:c>
      <x:c r="F8" s="9" t="n">
        <x:v>1</x:v>
      </x:c>
      <x:c r="G8" s="9" t="str">
        <x:f>IF(F8=1,"PASS","FAIL")</x:f>
        <x:v>PASS</x:v>
      </x:c>
      <x:c r="H8" s="9" t="str">
        <x:v>OPEN</x:v>
      </x:c>
    </x:row>
    <x:row r="9">
      <x:c r="B9" s="9" t="str">
        <x:v>PR03</x:v>
      </x:c>
      <x:c r="C9" s="9" t="str">
        <x:v>normally open bus tie</x:v>
      </x:c>
      <x:c r="D9" s="9" t="str">
        <x:v>sync, phase and dead-bus</x:v>
      </x:c>
      <x:c r="E9" s="9" t="str">
        <x:v>both sections</x:v>
      </x:c>
      <x:c r="F9" s="9" t="n">
        <x:v>1</x:v>
      </x:c>
      <x:c r="G9" s="9" t="str">
        <x:f>IF(F9=1,"PASS","FAIL")</x:f>
        <x:v>PASS</x:v>
      </x:c>
      <x:c r="H9" s="9" t="str">
        <x:v>OPEN</x:v>
      </x:c>
    </x:row>
    <x:row r="10">
      <x:c r="B10" s="9" t="str">
        <x:v>PR04</x:v>
      </x:c>
      <x:c r="C10" s="9" t="str">
        <x:v>0.60 MW critical bus</x:v>
      </x:c>
      <x:c r="D10" s="9" t="str">
        <x:v>priority and ride-through</x:v>
      </x:c>
      <x:c r="E10" s="9" t="str">
        <x:v>source + storage</x:v>
      </x:c>
      <x:c r="F10" s="9" t="n">
        <x:v>1</x:v>
      </x:c>
      <x:c r="G10" s="9" t="str">
        <x:f>IF(F10=1,"PASS","FAIL")</x:f>
        <x:v>PASS</x:v>
      </x:c>
      <x:c r="H10" s="9" t="str">
        <x:v>OPEN</x:v>
      </x:c>
    </x:row>
    <x:row r="11">
      <x:c r="B11" s="9" t="str">
        <x:v>PR05</x:v>
      </x:c>
      <x:c r="C11" s="9" t="str">
        <x:v>2.5 MVA transformer</x:v>
      </x:c>
      <x:c r="D11" s="9" t="str">
        <x:v>differential and thermal</x:v>
      </x:c>
      <x:c r="E11" s="9" t="str">
        <x:v>LV/MV planes</x:v>
      </x:c>
      <x:c r="F11" s="9" t="n">
        <x:v>1</x:v>
      </x:c>
      <x:c r="G11" s="9" t="str">
        <x:f>IF(F11=1,"PASS","FAIL")</x:f>
        <x:v>PASS</x:v>
      </x:c>
      <x:c r="H11" s="9" t="str">
        <x:v>OPEN</x:v>
      </x:c>
    </x:row>
    <x:row r="12">
      <x:c r="B12" s="9" t="str">
        <x:v>PR06</x:v>
      </x:c>
      <x:c r="C12" s="9" t="str">
        <x:v>13.8 kV feeder</x:v>
      </x:c>
      <x:c r="D12" s="9" t="str">
        <x:v>overcurrent, ground and island</x:v>
      </x:c>
      <x:c r="E12" s="9" t="str">
        <x:v>receiver emulator</x:v>
      </x:c>
      <x:c r="F12" s="9" t="n">
        <x:v>1</x:v>
      </x:c>
      <x:c r="G12" s="9" t="str">
        <x:f>IF(F12=1,"PASS","FAIL")</x:f>
        <x:v>PASS</x:v>
      </x:c>
      <x:c r="H12" s="9" t="str">
        <x:v>OPEN</x:v>
      </x:c>
    </x:row>
    <x:row r="13">
      <x:c r="B13" s="9" t="str">
        <x:v>PR07</x:v>
      </x:c>
      <x:c r="C13" s="9" t="str">
        <x:v>Root A source</x:v>
      </x:c>
      <x:c r="D13" s="9" t="str">
        <x:v>8 kA provisional first cycle</x:v>
      </x:c>
      <x:c r="E13" s="9" t="str">
        <x:v>independent waveform</x:v>
      </x:c>
      <x:c r="F13" s="9" t="n">
        <x:v>1</x:v>
      </x:c>
      <x:c r="G13" s="9" t="str">
        <x:f>IF(F13=1,"PASS","FAIL")</x:f>
        <x:v>PASS</x:v>
      </x:c>
      <x:c r="H13" s="9" t="str">
        <x:v>OPEN</x:v>
      </x:c>
    </x:row>
    <x:row r="14">
      <x:c r="B14" s="9" t="str">
        <x:v>PR08</x:v>
      </x:c>
      <x:c r="C14" s="9" t="str">
        <x:v>Root B source</x:v>
      </x:c>
      <x:c r="D14" s="9" t="str">
        <x:v>2.2 pu converter-limited</x:v>
      </x:c>
      <x:c r="E14" s="9" t="str">
        <x:v>independent waveform</x:v>
      </x:c>
      <x:c r="F14" s="9" t="n">
        <x:v>1</x:v>
      </x:c>
      <x:c r="G14" s="9" t="str">
        <x:f>IF(F14=1,"PASS","FAIL")</x:f>
        <x:v>PASS</x:v>
      </x:c>
      <x:c r="H14" s="9" t="str">
        <x:v>OPEN</x:v>
      </x:c>
    </x:row>
    <x:row r="15">
      <x:c r="B15" s="10" t="str">
        <x:v>PR09</x:v>
      </x:c>
      <x:c r="C15" s="10" t="str">
        <x:v>evidence battery</x:v>
      </x:c>
      <x:c r="D15" s="10" t="str">
        <x:v>separate fuse, route and fire zone</x:v>
      </x:c>
      <x:c r="E15" s="10" t="str">
        <x:v>known-truth load</x:v>
      </x:c>
      <x:c r="F15" s="10" t="n">
        <x:v>1</x:v>
      </x:c>
      <x:c r="G15" s="10" t="str">
        <x:f>IF(F15=1,"PASS","FAIL")</x:f>
        <x:v>PASS</x:v>
      </x:c>
      <x:c r="H15" s="10" t="str">
        <x:v>OPEN</x:v>
      </x:c>
    </x:row>
  </x:sheetData>
  <x:mergeCells>
    <x:mergeCell ref="B2:H2"/>
    <x:mergeCell ref="B3:H3"/>
  </x:mergeCells>
  <x:conditionalFormatting sqref="G7:H15">
    <x:cfRule type="containsText" dxfId="120" priority="1" operator="containsText" text="PASS"/>
    <x:cfRule type="containsText" dxfId="121" priority="2" operator="containsText" text="AUTHORIZED"/>
    <x:cfRule type="containsText" dxfId="122" priority="3" operator="containsText" text="DEFINED"/>
    <x:cfRule type="containsText" dxfId="123" priority="4" operator="containsText" text="READY"/>
    <x:cfRule type="containsText" dxfId="124" priority="5" operator="containsText" text="HOLD"/>
    <x:cfRule type="containsText" dxfId="125" priority="6" operator="containsText" text="OPEN"/>
    <x:cfRule type="containsText" dxfId="126" priority="7" operator="containsText" text="BLOCKED"/>
    <x:cfRule type="containsText" dxfId="127" priority="8" operator="containsText" text="PLANNING"/>
    <x:cfRule type="containsText" dxfId="128" priority="9" operator="containsText" text="FAIL"/>
    <x:cfRule type="containsText" dxfId="129" priority="10" operator="containsText" text="REJECT"/>
    <x:cfRule type="containsText" dxfId="130" priority="11" operator="containsText" text="INCOMPLETE"/>
    <x:cfRule type="containsText" dxfId="131" priority="12" operator="containsText" text="INDETERMINATE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40" hidden="0" customWidth="1"/>
    <x:col min="4" max="4" width="21" hidden="0" customWidth="1"/>
    <x:col min="5" max="5" width="15" hidden="0" customWidth="1"/>
    <x:col min="6" max="6" width="16" hidden="0" customWidth="1"/>
    <x:col min="7" max="7" width="18" hidden="0" customWidth="1"/>
    <x:col min="8" max="8" width="18" hidden="0" customWidth="1"/>
    <x:col min="9" max="9" width="16" hidden="0" customWidth="1"/>
    <x:col min="10" max="10" width="16" hidden="0" customWidth="1"/>
    <x:col min="11" max="11" width="17" hidden="0" customWidth="1"/>
  </x:cols>
  <x:sheetData>
    <x:row r="2">
      <x:c r="B2" s="28" t="str">
        <x:v>Thirteen-plane measurement constitution</x:v>
      </x:c>
      <x:c r="C2" s="8"/>
      <x:c r="D2" s="8"/>
      <x:c r="E2" s="8"/>
      <x:c r="F2" s="8"/>
      <x:c r="G2" s="8"/>
      <x:c r="H2" s="8"/>
      <x:c r="I2" s="8"/>
      <x:c r="J2" s="8"/>
      <x:c r="K2" s="8"/>
    </x:row>
    <x:row r="3">
      <x:c r="B3" s="2" t="str">
        <x:v>Article, receiver and fixture motion stay separable; two originals do not share power, clock, route or recorder.</x:v>
      </x:c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B4" s="29"/>
      <x:c r="C4" s="29"/>
      <x:c r="D4" s="29"/>
      <x:c r="E4" s="29"/>
      <x:c r="F4" s="29"/>
      <x:c r="G4" s="29"/>
      <x:c r="H4" s="29"/>
      <x:c r="I4" s="29"/>
      <x:c r="J4" s="29"/>
      <x:c r="K4" s="29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>
      <x:c r="B6" s="7" t="str">
        <x:v>Plane</x:v>
      </x:c>
      <x:c r="C6" s="7" t="str">
        <x:v>Boundary</x:v>
      </x:c>
      <x:c r="D6" s="7" t="str">
        <x:v>Minimum rate</x:v>
      </x:c>
      <x:c r="E6" s="7" t="str">
        <x:v>Article route</x:v>
      </x:c>
      <x:c r="F6" s="7" t="str">
        <x:v>Receiver route</x:v>
      </x:c>
      <x:c r="G6" s="7" t="str">
        <x:v>Independent clock</x:v>
      </x:c>
      <x:c r="H6" s="7" t="str">
        <x:v>Evidence battery</x:v>
      </x:c>
      <x:c r="I6" s="7" t="str">
        <x:v>Two originals</x:v>
      </x:c>
      <x:c r="J6" s="7" t="str">
        <x:v>Planning gate</x:v>
      </x:c>
      <x:c r="K6" s="7" t="str">
        <x:v>Physical state</x:v>
      </x:c>
    </x:row>
    <x:row r="7">
      <x:c r="B7" s="9" t="str">
        <x:v>MP01</x:v>
      </x:c>
      <x:c r="C7" s="9" t="str">
        <x:v>public configuration</x:v>
      </x:c>
      <x:c r="D7" s="9" t="str">
        <x:v>event + 10 Hz</x:v>
      </x:c>
      <x:c r="E7" s="9" t="str">
        <x:v>AR-1</x:v>
      </x:c>
      <x:c r="F7" s="9" t="str">
        <x:v>RR-1</x:v>
      </x:c>
      <x:c r="G7" s="9" t="n">
        <x:v>1</x:v>
      </x:c>
      <x:c r="H7" s="9" t="n">
        <x:v>1</x:v>
      </x:c>
      <x:c r="I7" s="9" t="n">
        <x:v>2</x:v>
      </x:c>
      <x:c r="J7" s="9" t="str">
        <x:f>IF(AND(G7=1,H7=1,I7=2,E7&lt;&gt;F7),"PASS","FAIL")</x:f>
        <x:v>PASS</x:v>
      </x:c>
      <x:c r="K7" s="9" t="str">
        <x:v>OPEN</x:v>
      </x:c>
    </x:row>
    <x:row r="8">
      <x:c r="B8" s="9" t="str">
        <x:v>MP02</x:v>
      </x:c>
      <x:c r="C8" s="9" t="str">
        <x:v>article pose and survey</x:v>
      </x:c>
      <x:c r="D8" s="9" t="str">
        <x:v>200 Hz</x:v>
      </x:c>
      <x:c r="E8" s="9" t="str">
        <x:v>AR-2</x:v>
      </x:c>
      <x:c r="F8" s="9" t="str">
        <x:v>RR-2</x:v>
      </x:c>
      <x:c r="G8" s="9" t="n">
        <x:v>1</x:v>
      </x:c>
      <x:c r="H8" s="9" t="n">
        <x:v>1</x:v>
      </x:c>
      <x:c r="I8" s="9" t="n">
        <x:v>2</x:v>
      </x:c>
      <x:c r="J8" s="9" t="str">
        <x:f>IF(AND(G8=1,H8=1,I8=2,E8&lt;&gt;F8),"PASS","FAIL")</x:f>
        <x:v>PASS</x:v>
      </x:c>
      <x:c r="K8" s="9" t="str">
        <x:v>OPEN</x:v>
      </x:c>
    </x:row>
    <x:row r="9">
      <x:c r="B9" s="9" t="str">
        <x:v>MP03</x:v>
      </x:c>
      <x:c r="C9" s="9" t="str">
        <x:v>support reactions</x:v>
      </x:c>
      <x:c r="D9" s="9" t="str">
        <x:v>2 kHz</x:v>
      </x:c>
      <x:c r="E9" s="9" t="str">
        <x:v>AR-3</x:v>
      </x:c>
      <x:c r="F9" s="9" t="str">
        <x:v>RR-3</x:v>
      </x:c>
      <x:c r="G9" s="9" t="n">
        <x:v>1</x:v>
      </x:c>
      <x:c r="H9" s="9" t="n">
        <x:v>1</x:v>
      </x:c>
      <x:c r="I9" s="9" t="n">
        <x:v>2</x:v>
      </x:c>
      <x:c r="J9" s="9" t="str">
        <x:f>IF(AND(G9=1,H9=1,I9=2,E9&lt;&gt;F9),"PASS","FAIL")</x:f>
        <x:v>PASS</x:v>
      </x:c>
      <x:c r="K9" s="9" t="str">
        <x:v>OPEN</x:v>
      </x:c>
    </x:row>
    <x:row r="10">
      <x:c r="B10" s="9" t="str">
        <x:v>MP04</x:v>
      </x:c>
      <x:c r="C10" s="9" t="str">
        <x:v>anchor reactions</x:v>
      </x:c>
      <x:c r="D10" s="9" t="str">
        <x:v>2 kHz</x:v>
      </x:c>
      <x:c r="E10" s="9" t="str">
        <x:v>AR-4</x:v>
      </x:c>
      <x:c r="F10" s="9" t="str">
        <x:v>RR-4</x:v>
      </x:c>
      <x:c r="G10" s="9" t="n">
        <x:v>1</x:v>
      </x:c>
      <x:c r="H10" s="9" t="n">
        <x:v>1</x:v>
      </x:c>
      <x:c r="I10" s="9" t="n">
        <x:v>2</x:v>
      </x:c>
      <x:c r="J10" s="9" t="str">
        <x:f>IF(AND(G10=1,H10=1,I10=2,E10&lt;&gt;F10),"PASS","FAIL")</x:f>
        <x:v>PASS</x:v>
      </x:c>
      <x:c r="K10" s="9" t="str">
        <x:v>OPEN</x:v>
      </x:c>
    </x:row>
    <x:row r="11">
      <x:c r="B11" s="9" t="str">
        <x:v>MP05</x:v>
      </x:c>
      <x:c r="C11" s="9" t="str">
        <x:v>lift truth</x:v>
      </x:c>
      <x:c r="D11" s="9" t="str">
        <x:v>5 kHz</x:v>
      </x:c>
      <x:c r="E11" s="9" t="str">
        <x:v>AR-5</x:v>
      </x:c>
      <x:c r="F11" s="9" t="str">
        <x:v>RR-5</x:v>
      </x:c>
      <x:c r="G11" s="9" t="n">
        <x:v>1</x:v>
      </x:c>
      <x:c r="H11" s="9" t="n">
        <x:v>1</x:v>
      </x:c>
      <x:c r="I11" s="9" t="n">
        <x:v>2</x:v>
      </x:c>
      <x:c r="J11" s="9" t="str">
        <x:f>IF(AND(G11=1,H11=1,I11=2,E11&lt;&gt;F11),"PASS","FAIL")</x:f>
        <x:v>PASS</x:v>
      </x:c>
      <x:c r="K11" s="9" t="str">
        <x:v>OPEN</x:v>
      </x:c>
    </x:row>
    <x:row r="12">
      <x:c r="B12" s="9" t="str">
        <x:v>MP06</x:v>
      </x:c>
      <x:c r="C12" s="9" t="str">
        <x:v>primary structural strain</x:v>
      </x:c>
      <x:c r="D12" s="9" t="str">
        <x:v>2 kHz</x:v>
      </x:c>
      <x:c r="E12" s="9" t="str">
        <x:v>AR-6</x:v>
      </x:c>
      <x:c r="F12" s="9" t="str">
        <x:v>RR-6</x:v>
      </x:c>
      <x:c r="G12" s="9" t="n">
        <x:v>1</x:v>
      </x:c>
      <x:c r="H12" s="9" t="n">
        <x:v>1</x:v>
      </x:c>
      <x:c r="I12" s="9" t="n">
        <x:v>2</x:v>
      </x:c>
      <x:c r="J12" s="9" t="str">
        <x:f>IF(AND(G12=1,H12=1,I12=2,E12&lt;&gt;F12),"PASS","FAIL")</x:f>
        <x:v>PASS</x:v>
      </x:c>
      <x:c r="K12" s="9" t="str">
        <x:v>OPEN</x:v>
      </x:c>
    </x:row>
    <x:row r="13">
      <x:c r="B13" s="9" t="str">
        <x:v>MP07</x:v>
      </x:c>
      <x:c r="C13" s="9" t="str">
        <x:v>H1 source/article</x:v>
      </x:c>
      <x:c r="D13" s="9" t="str">
        <x:v>2 kHz</x:v>
      </x:c>
      <x:c r="E13" s="9" t="str">
        <x:v>AR-7</x:v>
      </x:c>
      <x:c r="F13" s="9" t="str">
        <x:v>RR-7</x:v>
      </x:c>
      <x:c r="G13" s="9" t="n">
        <x:v>1</x:v>
      </x:c>
      <x:c r="H13" s="9" t="n">
        <x:v>1</x:v>
      </x:c>
      <x:c r="I13" s="9" t="n">
        <x:v>2</x:v>
      </x:c>
      <x:c r="J13" s="9" t="str">
        <x:f>IF(AND(G13=1,H13=1,I13=2,E13&lt;&gt;F13),"PASS","FAIL")</x:f>
        <x:v>PASS</x:v>
      </x:c>
      <x:c r="K13" s="9" t="str">
        <x:v>OPEN</x:v>
      </x:c>
    </x:row>
    <x:row r="14">
      <x:c r="B14" s="9" t="str">
        <x:v>MP08</x:v>
      </x:c>
      <x:c r="C14" s="9" t="str">
        <x:v>H1 receiver/return</x:v>
      </x:c>
      <x:c r="D14" s="9" t="str">
        <x:v>2 kHz</x:v>
      </x:c>
      <x:c r="E14" s="9" t="str">
        <x:v>AR-8</x:v>
      </x:c>
      <x:c r="F14" s="9" t="str">
        <x:v>RR-8</x:v>
      </x:c>
      <x:c r="G14" s="9" t="n">
        <x:v>1</x:v>
      </x:c>
      <x:c r="H14" s="9" t="n">
        <x:v>1</x:v>
      </x:c>
      <x:c r="I14" s="9" t="n">
        <x:v>2</x:v>
      </x:c>
      <x:c r="J14" s="9" t="str">
        <x:f>IF(AND(G14=1,H14=1,I14=2,E14&lt;&gt;F14),"PASS","FAIL")</x:f>
        <x:v>PASS</x:v>
      </x:c>
      <x:c r="K14" s="9" t="str">
        <x:v>OPEN</x:v>
      </x:c>
    </x:row>
    <x:row r="15">
      <x:c r="B15" s="9" t="str">
        <x:v>MP09</x:v>
      </x:c>
      <x:c r="C15" s="9" t="str">
        <x:v>H2 source/article</x:v>
      </x:c>
      <x:c r="D15" s="9" t="str">
        <x:v>2 kHz</x:v>
      </x:c>
      <x:c r="E15" s="9" t="str">
        <x:v>AR-9</x:v>
      </x:c>
      <x:c r="F15" s="9" t="str">
        <x:v>RR-9</x:v>
      </x:c>
      <x:c r="G15" s="9" t="n">
        <x:v>1</x:v>
      </x:c>
      <x:c r="H15" s="9" t="n">
        <x:v>1</x:v>
      </x:c>
      <x:c r="I15" s="9" t="n">
        <x:v>2</x:v>
      </x:c>
      <x:c r="J15" s="9" t="str">
        <x:f>IF(AND(G15=1,H15=1,I15=2,E15&lt;&gt;F15),"PASS","FAIL")</x:f>
        <x:v>PASS</x:v>
      </x:c>
      <x:c r="K15" s="9" t="str">
        <x:v>OPEN</x:v>
      </x:c>
    </x:row>
    <x:row r="16">
      <x:c r="B16" s="9" t="str">
        <x:v>MP10</x:v>
      </x:c>
      <x:c r="C16" s="9" t="str">
        <x:v>H2 receiver/return</x:v>
      </x:c>
      <x:c r="D16" s="9" t="str">
        <x:v>2 kHz</x:v>
      </x:c>
      <x:c r="E16" s="9" t="str">
        <x:v>AR-10</x:v>
      </x:c>
      <x:c r="F16" s="9" t="str">
        <x:v>RR-10</x:v>
      </x:c>
      <x:c r="G16" s="9" t="n">
        <x:v>1</x:v>
      </x:c>
      <x:c r="H16" s="9" t="n">
        <x:v>1</x:v>
      </x:c>
      <x:c r="I16" s="9" t="n">
        <x:v>2</x:v>
      </x:c>
      <x:c r="J16" s="9" t="str">
        <x:f>IF(AND(G16=1,H16=1,I16=2,E16&lt;&gt;F16),"PASS","FAIL")</x:f>
        <x:v>PASS</x:v>
      </x:c>
      <x:c r="K16" s="9" t="str">
        <x:v>OPEN</x:v>
      </x:c>
    </x:row>
    <x:row r="17">
      <x:c r="B17" s="9" t="str">
        <x:v>MP11</x:v>
      </x:c>
      <x:c r="C17" s="9" t="str">
        <x:v>sanitary samples and waste</x:v>
      </x:c>
      <x:c r="D17" s="9" t="str">
        <x:v>event + custody</x:v>
      </x:c>
      <x:c r="E17" s="9" t="str">
        <x:v>AR-11</x:v>
      </x:c>
      <x:c r="F17" s="9" t="str">
        <x:v>RR-11</x:v>
      </x:c>
      <x:c r="G17" s="9" t="n">
        <x:v>1</x:v>
      </x:c>
      <x:c r="H17" s="9" t="n">
        <x:v>1</x:v>
      </x:c>
      <x:c r="I17" s="9" t="n">
        <x:v>2</x:v>
      </x:c>
      <x:c r="J17" s="9" t="str">
        <x:f>IF(AND(G17=1,H17=1,I17=2,E17&lt;&gt;F17),"PASS","FAIL")</x:f>
        <x:v>PASS</x:v>
      </x:c>
      <x:c r="K17" s="9" t="str">
        <x:v>OPEN</x:v>
      </x:c>
    </x:row>
    <x:row r="18">
      <x:c r="B18" s="9" t="str">
        <x:v>MP12</x:v>
      </x:c>
      <x:c r="C18" s="9" t="str">
        <x:v>electrical waveform and trips</x:v>
      </x:c>
      <x:c r="D18" s="9" t="str">
        <x:v>100 kHz transient</x:v>
      </x:c>
      <x:c r="E18" s="9" t="str">
        <x:v>AR-12</x:v>
      </x:c>
      <x:c r="F18" s="9" t="str">
        <x:v>RR-12</x:v>
      </x:c>
      <x:c r="G18" s="9" t="n">
        <x:v>1</x:v>
      </x:c>
      <x:c r="H18" s="9" t="n">
        <x:v>1</x:v>
      </x:c>
      <x:c r="I18" s="9" t="n">
        <x:v>2</x:v>
      </x:c>
      <x:c r="J18" s="9" t="str">
        <x:f>IF(AND(G18=1,H18=1,I18=2,E18&lt;&gt;F18),"PASS","FAIL")</x:f>
        <x:v>PASS</x:v>
      </x:c>
      <x:c r="K18" s="9" t="str">
        <x:v>OPEN</x:v>
      </x:c>
    </x:row>
    <x:row r="19">
      <x:c r="B19" s="10" t="str">
        <x:v>MP13</x:v>
      </x:c>
      <x:c r="C19" s="10" t="str">
        <x:v>evidence power, time and recorder</x:v>
      </x:c>
      <x:c r="D19" s="10" t="str">
        <x:v>event + 1 kHz</x:v>
      </x:c>
      <x:c r="E19" s="10" t="str">
        <x:v>AR-13</x:v>
      </x:c>
      <x:c r="F19" s="10" t="str">
        <x:v>RR-13</x:v>
      </x:c>
      <x:c r="G19" s="10" t="n">
        <x:v>1</x:v>
      </x:c>
      <x:c r="H19" s="10" t="n">
        <x:v>1</x:v>
      </x:c>
      <x:c r="I19" s="10" t="n">
        <x:v>2</x:v>
      </x:c>
      <x:c r="J19" s="10" t="str">
        <x:f>IF(AND(G19=1,H19=1,I19=2,E19&lt;&gt;F19),"PASS","FAIL")</x:f>
        <x:v>PASS</x:v>
      </x:c>
      <x:c r="K19" s="10" t="str">
        <x:v>OPEN</x:v>
      </x:c>
    </x:row>
  </x:sheetData>
  <x:mergeCells>
    <x:mergeCell ref="B2:K2"/>
    <x:mergeCell ref="B3:K3"/>
  </x:mergeCells>
  <x:conditionalFormatting sqref="J7:K19">
    <x:cfRule type="containsText" dxfId="132" priority="1" operator="containsText" text="PASS"/>
    <x:cfRule type="containsText" dxfId="133" priority="2" operator="containsText" text="AUTHORIZED"/>
    <x:cfRule type="containsText" dxfId="134" priority="3" operator="containsText" text="DEFINED"/>
    <x:cfRule type="containsText" dxfId="135" priority="4" operator="containsText" text="READY"/>
    <x:cfRule type="containsText" dxfId="136" priority="5" operator="containsText" text="HOLD"/>
    <x:cfRule type="containsText" dxfId="137" priority="6" operator="containsText" text="OPEN"/>
    <x:cfRule type="containsText" dxfId="138" priority="7" operator="containsText" text="BLOCKED"/>
    <x:cfRule type="containsText" dxfId="139" priority="8" operator="containsText" text="PLANNING"/>
    <x:cfRule type="containsText" dxfId="140" priority="9" operator="containsText" text="FAIL"/>
    <x:cfRule type="containsText" dxfId="141" priority="10" operator="containsText" text="REJECT"/>
    <x:cfRule type="containsText" dxfId="142" priority="11" operator="containsText" text="INCOMPLETE"/>
    <x:cfRule type="containsText" dxfId="143" priority="12" operator="containsText" text="INDETERMINATE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34" hidden="0" customWidth="1"/>
    <x:col min="4" max="4" width="40" hidden="0" customWidth="1"/>
    <x:col min="5" max="5" width="19" hidden="0" customWidth="1"/>
    <x:col min="6" max="6" width="18" hidden="0" customWidth="1"/>
    <x:col min="7" max="7" width="17" hidden="0" customWidth="1"/>
    <x:col min="8" max="8" width="17" hidden="0" customWidth="1"/>
    <x:col min="9" max="9" width="17" hidden="0" customWidth="1"/>
    <x:col min="10" max="10" width="16" hidden="0" customWidth="1"/>
    <x:col min="11" max="11" width="17" hidden="0" customWidth="1"/>
  </x:cols>
  <x:sheetData>
    <x:row r="2">
      <x:c r="B2" s="28" t="str">
        <x:v>Access, exclusion, rescue and hazard-boundary register</x:v>
      </x:c>
      <x:c r="C2" s="8"/>
      <x:c r="D2" s="8"/>
      <x:c r="E2" s="8"/>
      <x:c r="F2" s="8"/>
      <x:c r="G2" s="8"/>
      <x:c r="H2" s="8"/>
      <x:c r="I2" s="8"/>
      <x:c r="J2" s="8"/>
      <x:c r="K2" s="8"/>
    </x:row>
    <x:row r="3">
      <x:c r="B3" s="2" t="str">
        <x:v>Incompatible work states cannot occupy the same volume at the same time.</x:v>
      </x:c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B4" s="29"/>
      <x:c r="C4" s="29"/>
      <x:c r="D4" s="29"/>
      <x:c r="E4" s="29"/>
      <x:c r="F4" s="29"/>
      <x:c r="G4" s="29"/>
      <x:c r="H4" s="29"/>
      <x:c r="I4" s="29"/>
      <x:c r="J4" s="29"/>
      <x:c r="K4" s="29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>
      <x:c r="B6" s="7" t="str">
        <x:v>Boundary</x:v>
      </x:c>
      <x:c r="C6" s="7" t="str">
        <x:v>Hazard</x:v>
      </x:c>
      <x:c r="D6" s="7" t="str">
        <x:v>Controlled volume</x:v>
      </x:c>
      <x:c r="E6" s="7" t="str">
        <x:v>Planning definition</x:v>
      </x:c>
      <x:c r="F6" s="7" t="str">
        <x:v>Physical closure</x:v>
      </x:c>
      <x:c r="G6" s="7" t="str">
        <x:v>Root A owner</x:v>
      </x:c>
      <x:c r="H6" s="7" t="str">
        <x:v>Root B owner</x:v>
      </x:c>
      <x:c r="I6" s="7" t="str">
        <x:v>Receiver owner</x:v>
      </x:c>
      <x:c r="J6" s="7" t="str">
        <x:v>Planning gate</x:v>
      </x:c>
      <x:c r="K6" s="7" t="str">
        <x:v>Disposition</x:v>
      </x:c>
    </x:row>
    <x:row r="7">
      <x:c r="B7" s="9" t="str">
        <x:v>HB01</x:v>
      </x:c>
      <x:c r="C7" s="9" t="str">
        <x:v>suspended load</x:v>
      </x:c>
      <x:c r="D7" s="9" t="str">
        <x:v>lift exclusion</x:v>
      </x:c>
      <x:c r="E7" s="9" t="n">
        <x:v>1</x:v>
      </x:c>
      <x:c r="F7" s="9" t="n">
        <x:v>0</x:v>
      </x:c>
      <x:c r="G7" s="9" t="n">
        <x:v>1</x:v>
      </x:c>
      <x:c r="H7" s="9" t="n">
        <x:v>1</x:v>
      </x:c>
      <x:c r="I7" s="9" t="n">
        <x:v>1</x:v>
      </x:c>
      <x:c r="J7" s="9" t="str">
        <x:f>IF(AND(E7=1,G7=1,H7=1,I7=1),"PASS","FAIL")</x:f>
        <x:v>PASS</x:v>
      </x:c>
      <x:c r="K7" s="9" t="str">
        <x:v>OPEN</x:v>
      </x:c>
    </x:row>
    <x:row r="8">
      <x:c r="B8" s="9" t="str">
        <x:v>HB02</x:v>
      </x:c>
      <x:c r="C8" s="9" t="str">
        <x:v>denied lift node</x:v>
      </x:c>
      <x:c r="D8" s="9" t="str">
        <x:v>truth-frame exclusion</x:v>
      </x:c>
      <x:c r="E8" s="9" t="n">
        <x:v>1</x:v>
      </x:c>
      <x:c r="F8" s="9" t="n">
        <x:v>0</x:v>
      </x:c>
      <x:c r="G8" s="9" t="n">
        <x:v>1</x:v>
      </x:c>
      <x:c r="H8" s="9" t="n">
        <x:v>1</x:v>
      </x:c>
      <x:c r="I8" s="9" t="n">
        <x:v>1</x:v>
      </x:c>
      <x:c r="J8" s="9" t="str">
        <x:f>IF(AND(E8=1,G8=1,H8=1,I8=1),"PASS","FAIL")</x:f>
        <x:v>PASS</x:v>
      </x:c>
      <x:c r="K8" s="9" t="str">
        <x:v>OPEN</x:v>
      </x:c>
    </x:row>
    <x:row r="9">
      <x:c r="B9" s="9" t="str">
        <x:v>HB03</x:v>
      </x:c>
      <x:c r="C9" s="9" t="str">
        <x:v>anchor sweep</x:v>
      </x:c>
      <x:c r="D9" s="9" t="str">
        <x:v>deployed outrigger volume</x:v>
      </x:c>
      <x:c r="E9" s="9" t="n">
        <x:v>1</x:v>
      </x:c>
      <x:c r="F9" s="9" t="n">
        <x:v>0</x:v>
      </x:c>
      <x:c r="G9" s="9" t="n">
        <x:v>1</x:v>
      </x:c>
      <x:c r="H9" s="9" t="n">
        <x:v>1</x:v>
      </x:c>
      <x:c r="I9" s="9" t="n">
        <x:v>1</x:v>
      </x:c>
      <x:c r="J9" s="9" t="str">
        <x:f>IF(AND(E9=1,G9=1,H9=1,I9=1),"PASS","FAIL")</x:f>
        <x:v>PASS</x:v>
      </x:c>
      <x:c r="K9" s="9" t="str">
        <x:v>OPEN</x:v>
      </x:c>
    </x:row>
    <x:row r="10">
      <x:c r="B10" s="9" t="str">
        <x:v>HB04</x:v>
      </x:c>
      <x:c r="C10" s="9" t="str">
        <x:v>support crush</x:v>
      </x:c>
      <x:c r="D10" s="9" t="str">
        <x:v>leveling swept volume</x:v>
      </x:c>
      <x:c r="E10" s="9" t="n">
        <x:v>1</x:v>
      </x:c>
      <x:c r="F10" s="9" t="n">
        <x:v>0</x:v>
      </x:c>
      <x:c r="G10" s="9" t="n">
        <x:v>1</x:v>
      </x:c>
      <x:c r="H10" s="9" t="n">
        <x:v>1</x:v>
      </x:c>
      <x:c r="I10" s="9" t="n">
        <x:v>1</x:v>
      </x:c>
      <x:c r="J10" s="9" t="str">
        <x:f>IF(AND(E10=1,G10=1,H10=1,I10=1),"PASS","FAIL")</x:f>
        <x:v>PASS</x:v>
      </x:c>
      <x:c r="K10" s="9" t="str">
        <x:v>OPEN</x:v>
      </x:c>
    </x:row>
    <x:row r="11">
      <x:c r="B11" s="9" t="str">
        <x:v>HB05</x:v>
      </x:c>
      <x:c r="C11" s="9" t="str">
        <x:v>stored mechanical energy</x:v>
      </x:c>
      <x:c r="D11" s="9" t="str">
        <x:v>pin, tie and actuator zone</x:v>
      </x:c>
      <x:c r="E11" s="9" t="n">
        <x:v>1</x:v>
      </x:c>
      <x:c r="F11" s="9" t="n">
        <x:v>0</x:v>
      </x:c>
      <x:c r="G11" s="9" t="n">
        <x:v>1</x:v>
      </x:c>
      <x:c r="H11" s="9" t="n">
        <x:v>1</x:v>
      </x:c>
      <x:c r="I11" s="9" t="n">
        <x:v>1</x:v>
      </x:c>
      <x:c r="J11" s="9" t="str">
        <x:f>IF(AND(E11=1,G11=1,H11=1,I11=1),"PASS","FAIL")</x:f>
        <x:v>PASS</x:v>
      </x:c>
      <x:c r="K11" s="9" t="str">
        <x:v>OPEN</x:v>
      </x:c>
    </x:row>
    <x:row r="12">
      <x:c r="B12" s="9" t="str">
        <x:v>HB06</x:v>
      </x:c>
      <x:c r="C12" s="9" t="str">
        <x:v>hydraulic proof</x:v>
      </x:c>
      <x:c r="D12" s="9" t="str">
        <x:v>pressure exclusion</x:v>
      </x:c>
      <x:c r="E12" s="9" t="n">
        <x:v>1</x:v>
      </x:c>
      <x:c r="F12" s="9" t="n">
        <x:v>0</x:v>
      </x:c>
      <x:c r="G12" s="9" t="n">
        <x:v>1</x:v>
      </x:c>
      <x:c r="H12" s="9" t="n">
        <x:v>1</x:v>
      </x:c>
      <x:c r="I12" s="9" t="n">
        <x:v>1</x:v>
      </x:c>
      <x:c r="J12" s="9" t="str">
        <x:f>IF(AND(E12=1,G12=1,H12=1,I12=1),"PASS","FAIL")</x:f>
        <x:v>PASS</x:v>
      </x:c>
      <x:c r="K12" s="9" t="str">
        <x:v>OPEN</x:v>
      </x:c>
    </x:row>
    <x:row r="13">
      <x:c r="B13" s="9" t="str">
        <x:v>HB07</x:v>
      </x:c>
      <x:c r="C13" s="9" t="str">
        <x:v>vacuum collapse</x:v>
      </x:c>
      <x:c r="D13" s="9" t="str">
        <x:v>line-of-fire exclusion</x:v>
      </x:c>
      <x:c r="E13" s="9" t="n">
        <x:v>1</x:v>
      </x:c>
      <x:c r="F13" s="9" t="n">
        <x:v>0</x:v>
      </x:c>
      <x:c r="G13" s="9" t="n">
        <x:v>1</x:v>
      </x:c>
      <x:c r="H13" s="9" t="n">
        <x:v>1</x:v>
      </x:c>
      <x:c r="I13" s="9" t="n">
        <x:v>1</x:v>
      </x:c>
      <x:c r="J13" s="9" t="str">
        <x:f>IF(AND(E13=1,G13=1,H13=1,I13=1),"PASS","FAIL")</x:f>
        <x:v>PASS</x:v>
      </x:c>
      <x:c r="K13" s="9" t="str">
        <x:v>OPEN</x:v>
      </x:c>
    </x:row>
    <x:row r="14">
      <x:c r="B14" s="9" t="str">
        <x:v>HB08</x:v>
      </x:c>
      <x:c r="C14" s="9" t="str">
        <x:v>surge and end force</x:v>
      </x:c>
      <x:c r="D14" s="9" t="str">
        <x:v>collar restraint exclusion</x:v>
      </x:c>
      <x:c r="E14" s="9" t="n">
        <x:v>1</x:v>
      </x:c>
      <x:c r="F14" s="9" t="n">
        <x:v>0</x:v>
      </x:c>
      <x:c r="G14" s="9" t="n">
        <x:v>1</x:v>
      </x:c>
      <x:c r="H14" s="9" t="n">
        <x:v>1</x:v>
      </x:c>
      <x:c r="I14" s="9" t="n">
        <x:v>1</x:v>
      </x:c>
      <x:c r="J14" s="9" t="str">
        <x:f>IF(AND(E14=1,G14=1,H14=1,I14=1),"PASS","FAIL")</x:f>
        <x:v>PASS</x:v>
      </x:c>
      <x:c r="K14" s="9" t="str">
        <x:v>OPEN</x:v>
      </x:c>
    </x:row>
    <x:row r="15">
      <x:c r="B15" s="9" t="str">
        <x:v>HB09</x:v>
      </x:c>
      <x:c r="C15" s="9" t="str">
        <x:v>contaminated product</x:v>
      </x:c>
      <x:c r="D15" s="9" t="str">
        <x:v>sanitary quarantine</x:v>
      </x:c>
      <x:c r="E15" s="9" t="n">
        <x:v>1</x:v>
      </x:c>
      <x:c r="F15" s="9" t="n">
        <x:v>0</x:v>
      </x:c>
      <x:c r="G15" s="9" t="n">
        <x:v>1</x:v>
      </x:c>
      <x:c r="H15" s="9" t="n">
        <x:v>1</x:v>
      </x:c>
      <x:c r="I15" s="9" t="n">
        <x:v>1</x:v>
      </x:c>
      <x:c r="J15" s="9" t="str">
        <x:f>IF(AND(E15=1,G15=1,H15=1,I15=1),"PASS","FAIL")</x:f>
        <x:v>PASS</x:v>
      </x:c>
      <x:c r="K15" s="9" t="str">
        <x:v>OPEN</x:v>
      </x:c>
    </x:row>
    <x:row r="16">
      <x:c r="B16" s="9" t="str">
        <x:v>HB10</x:v>
      </x:c>
      <x:c r="C16" s="9" t="str">
        <x:v>waste cross-connection</x:v>
      </x:c>
      <x:c r="D16" s="9" t="str">
        <x:v>waste custody zone</x:v>
      </x:c>
      <x:c r="E16" s="9" t="n">
        <x:v>1</x:v>
      </x:c>
      <x:c r="F16" s="9" t="n">
        <x:v>0</x:v>
      </x:c>
      <x:c r="G16" s="9" t="n">
        <x:v>1</x:v>
      </x:c>
      <x:c r="H16" s="9" t="n">
        <x:v>1</x:v>
      </x:c>
      <x:c r="I16" s="9" t="n">
        <x:v>1</x:v>
      </x:c>
      <x:c r="J16" s="9" t="str">
        <x:f>IF(AND(E16=1,G16=1,H16=1,I16=1),"PASS","FAIL")</x:f>
        <x:v>PASS</x:v>
      </x:c>
      <x:c r="K16" s="9" t="str">
        <x:v>OPEN</x:v>
      </x:c>
    </x:row>
    <x:row r="17">
      <x:c r="B17" s="9" t="str">
        <x:v>HB11</x:v>
      </x:c>
      <x:c r="C17" s="9" t="str">
        <x:v>medium-voltage shock</x:v>
      </x:c>
      <x:c r="D17" s="9" t="str">
        <x:v>13.8 kV approach boundary</x:v>
      </x:c>
      <x:c r="E17" s="9" t="n">
        <x:v>1</x:v>
      </x:c>
      <x:c r="F17" s="9" t="n">
        <x:v>0</x:v>
      </x:c>
      <x:c r="G17" s="9" t="n">
        <x:v>1</x:v>
      </x:c>
      <x:c r="H17" s="9" t="n">
        <x:v>1</x:v>
      </x:c>
      <x:c r="I17" s="9" t="n">
        <x:v>1</x:v>
      </x:c>
      <x:c r="J17" s="9" t="str">
        <x:f>IF(AND(E17=1,G17=1,H17=1,I17=1),"PASS","FAIL")</x:f>
        <x:v>PASS</x:v>
      </x:c>
      <x:c r="K17" s="9" t="str">
        <x:v>OPEN</x:v>
      </x:c>
    </x:row>
    <x:row r="18">
      <x:c r="B18" s="9" t="str">
        <x:v>HB12</x:v>
      </x:c>
      <x:c r="C18" s="9" t="str">
        <x:v>low-voltage arc</x:v>
      </x:c>
      <x:c r="D18" s="9" t="str">
        <x:v>480 V arc boundary</x:v>
      </x:c>
      <x:c r="E18" s="9" t="n">
        <x:v>1</x:v>
      </x:c>
      <x:c r="F18" s="9" t="n">
        <x:v>0</x:v>
      </x:c>
      <x:c r="G18" s="9" t="n">
        <x:v>1</x:v>
      </x:c>
      <x:c r="H18" s="9" t="n">
        <x:v>1</x:v>
      </x:c>
      <x:c r="I18" s="9" t="n">
        <x:v>1</x:v>
      </x:c>
      <x:c r="J18" s="9" t="str">
        <x:f>IF(AND(E18=1,G18=1,H18=1,I18=1),"PASS","FAIL")</x:f>
        <x:v>PASS</x:v>
      </x:c>
      <x:c r="K18" s="9" t="str">
        <x:v>OPEN</x:v>
      </x:c>
    </x:row>
    <x:row r="19">
      <x:c r="B19" s="9" t="str">
        <x:v>HB13</x:v>
      </x:c>
      <x:c r="C19" s="9" t="str">
        <x:v>backfeed</x:v>
      </x:c>
      <x:c r="D19" s="9" t="str">
        <x:v>dead-bus verification zone</x:v>
      </x:c>
      <x:c r="E19" s="9" t="n">
        <x:v>1</x:v>
      </x:c>
      <x:c r="F19" s="9" t="n">
        <x:v>0</x:v>
      </x:c>
      <x:c r="G19" s="9" t="n">
        <x:v>1</x:v>
      </x:c>
      <x:c r="H19" s="9" t="n">
        <x:v>1</x:v>
      </x:c>
      <x:c r="I19" s="9" t="n">
        <x:v>1</x:v>
      </x:c>
      <x:c r="J19" s="9" t="str">
        <x:f>IF(AND(E19=1,G19=1,H19=1,I19=1),"PASS","FAIL")</x:f>
        <x:v>PASS</x:v>
      </x:c>
      <x:c r="K19" s="9" t="str">
        <x:v>OPEN</x:v>
      </x:c>
    </x:row>
    <x:row r="20">
      <x:c r="B20" s="9" t="str">
        <x:v>HB14</x:v>
      </x:c>
      <x:c r="C20" s="9" t="str">
        <x:v>fuel and fire</x:v>
      </x:c>
      <x:c r="D20" s="9" t="str">
        <x:v>fuel custody and fire zone</x:v>
      </x:c>
      <x:c r="E20" s="9" t="n">
        <x:v>1</x:v>
      </x:c>
      <x:c r="F20" s="9" t="n">
        <x:v>0</x:v>
      </x:c>
      <x:c r="G20" s="9" t="n">
        <x:v>1</x:v>
      </x:c>
      <x:c r="H20" s="9" t="n">
        <x:v>1</x:v>
      </x:c>
      <x:c r="I20" s="9" t="n">
        <x:v>1</x:v>
      </x:c>
      <x:c r="J20" s="9" t="str">
        <x:f>IF(AND(E20=1,G20=1,H20=1,I20=1),"PASS","FAIL")</x:f>
        <x:v>PASS</x:v>
      </x:c>
      <x:c r="K20" s="9" t="str">
        <x:v>OPEN</x:v>
      </x:c>
    </x:row>
    <x:row r="21">
      <x:c r="B21" s="9" t="str">
        <x:v>HB15</x:v>
      </x:c>
      <x:c r="C21" s="9" t="str">
        <x:v>thermal and exhaust</x:v>
      </x:c>
      <x:c r="D21" s="9" t="str">
        <x:v>hot surface and plume</x:v>
      </x:c>
      <x:c r="E21" s="9" t="n">
        <x:v>1</x:v>
      </x:c>
      <x:c r="F21" s="9" t="n">
        <x:v>0</x:v>
      </x:c>
      <x:c r="G21" s="9" t="n">
        <x:v>1</x:v>
      </x:c>
      <x:c r="H21" s="9" t="n">
        <x:v>1</x:v>
      </x:c>
      <x:c r="I21" s="9" t="n">
        <x:v>1</x:v>
      </x:c>
      <x:c r="J21" s="9" t="str">
        <x:f>IF(AND(E21=1,G21=1,H21=1,I21=1),"PASS","FAIL")</x:f>
        <x:v>PASS</x:v>
      </x:c>
      <x:c r="K21" s="9" t="str">
        <x:v>OPEN</x:v>
      </x:c>
    </x:row>
    <x:row r="22">
      <x:c r="B22" s="9" t="str">
        <x:v>HB16</x:v>
      </x:c>
      <x:c r="C22" s="9" t="str">
        <x:v>battery or electrolyte</x:v>
      </x:c>
      <x:c r="D22" s="9" t="str">
        <x:v>chemistry-specific containment</x:v>
      </x:c>
      <x:c r="E22" s="9" t="n">
        <x:v>1</x:v>
      </x:c>
      <x:c r="F22" s="9" t="n">
        <x:v>0</x:v>
      </x:c>
      <x:c r="G22" s="9" t="n">
        <x:v>1</x:v>
      </x:c>
      <x:c r="H22" s="9" t="n">
        <x:v>1</x:v>
      </x:c>
      <x:c r="I22" s="9" t="n">
        <x:v>1</x:v>
      </x:c>
      <x:c r="J22" s="9" t="str">
        <x:f>IF(AND(E22=1,G22=1,H22=1,I22=1),"PASS","FAIL")</x:f>
        <x:v>PASS</x:v>
      </x:c>
      <x:c r="K22" s="9" t="str">
        <x:v>OPEN</x:v>
      </x:c>
    </x:row>
    <x:row r="23">
      <x:c r="B23" s="9" t="str">
        <x:v>HB17</x:v>
      </x:c>
      <x:c r="C23" s="9" t="str">
        <x:v>confined access and rescue</x:v>
      </x:c>
      <x:c r="D23" s="9" t="str">
        <x:v>entry and retrieval volume</x:v>
      </x:c>
      <x:c r="E23" s="9" t="n">
        <x:v>1</x:v>
      </x:c>
      <x:c r="F23" s="9" t="n">
        <x:v>0</x:v>
      </x:c>
      <x:c r="G23" s="9" t="n">
        <x:v>1</x:v>
      </x:c>
      <x:c r="H23" s="9" t="n">
        <x:v>1</x:v>
      </x:c>
      <x:c r="I23" s="9" t="n">
        <x:v>1</x:v>
      </x:c>
      <x:c r="J23" s="9" t="str">
        <x:f>IF(AND(E23=1,G23=1,H23=1,I23=1),"PASS","FAIL")</x:f>
        <x:v>PASS</x:v>
      </x:c>
      <x:c r="K23" s="9" t="str">
        <x:v>OPEN</x:v>
      </x:c>
    </x:row>
    <x:row r="24">
      <x:c r="B24" s="10" t="str">
        <x:v>HB18</x:v>
      </x:c>
      <x:c r="C24" s="10" t="str">
        <x:v>teardown contamination</x:v>
      </x:c>
      <x:c r="D24" s="10" t="str">
        <x:v>destructive-exposure cell</x:v>
      </x:c>
      <x:c r="E24" s="10" t="n">
        <x:v>1</x:v>
      </x:c>
      <x:c r="F24" s="10" t="n">
        <x:v>0</x:v>
      </x:c>
      <x:c r="G24" s="10" t="n">
        <x:v>1</x:v>
      </x:c>
      <x:c r="H24" s="10" t="n">
        <x:v>1</x:v>
      </x:c>
      <x:c r="I24" s="10" t="n">
        <x:v>1</x:v>
      </x:c>
      <x:c r="J24" s="10" t="str">
        <x:f>IF(AND(E24=1,G24=1,H24=1,I24=1),"PASS","FAIL")</x:f>
        <x:v>PASS</x:v>
      </x:c>
      <x:c r="K24" s="10" t="str">
        <x:v>OPEN</x:v>
      </x:c>
    </x:row>
    <x:row r="25">
      <x:c r="B25" s="8"/>
      <x:c r="C25" s="8"/>
      <x:c r="D25" s="8"/>
      <x:c r="E25" s="8"/>
      <x:c r="F25" s="8"/>
      <x:c r="G25" s="8"/>
      <x:c r="H25" s="8"/>
      <x:c r="I25" s="8"/>
      <x:c r="J25" s="8"/>
      <x:c r="K25" s="8"/>
    </x:row>
    <x:row r="26">
      <x:c r="B26" s="8"/>
      <x:c r="C26" s="8"/>
      <x:c r="D26" s="8"/>
      <x:c r="E26" s="8"/>
      <x:c r="F26" s="8"/>
      <x:c r="G26" s="8"/>
      <x:c r="H26" s="8"/>
      <x:c r="I26" s="8"/>
      <x:c r="J26" s="8"/>
      <x:c r="K26" s="8"/>
    </x:row>
    <x:row r="27">
      <x:c r="B27" s="8"/>
      <x:c r="C27" s="8"/>
      <x:c r="D27" s="8"/>
      <x:c r="E27" s="8"/>
      <x:c r="F27" s="8"/>
      <x:c r="G27" s="8"/>
      <x:c r="H27" s="8"/>
      <x:c r="I27" s="8"/>
      <x:c r="J27" s="8"/>
      <x:c r="K27" s="8"/>
    </x:row>
    <x:row r="28">
      <x:c r="B28" s="14" t="str">
        <x:v>Minimum clear access volumes</x:v>
      </x:c>
      <x:c r="C28" s="14" t="str">
        <x:v>Minimum clear access volumes</x:v>
      </x:c>
      <x:c r="D28" s="14" t="str">
        <x:v>Minimum clear access volumes</x:v>
      </x:c>
      <x:c r="E28" s="14" t="str">
        <x:v>Minimum clear access volumes</x:v>
      </x:c>
      <x:c r="F28" s="14" t="str">
        <x:v>Minimum clear access volumes</x:v>
      </x:c>
      <x:c r="G28" s="14" t="str">
        <x:v>Minimum clear access volumes</x:v>
      </x:c>
      <x:c r="H28" s="14" t="str">
        <x:v>Minimum clear access volumes</x:v>
      </x:c>
      <x:c r="I28" s="14" t="str">
        <x:v>Minimum clear access volumes</x:v>
      </x:c>
      <x:c r="J28" s="14" t="str">
        <x:v>Minimum clear access volumes</x:v>
      </x:c>
      <x:c r="K28" s="14" t="str">
        <x:v>Minimum clear access volumes</x:v>
      </x:c>
    </x:row>
    <x:row r="29">
      <x:c r="B29" s="7" t="str">
        <x:v>Volume</x:v>
      </x:c>
      <x:c r="C29" s="7" t="str">
        <x:v>Clearance</x:v>
      </x:c>
      <x:c r="D29" s="7" t="str">
        <x:v>Unit</x:v>
      </x:c>
      <x:c r="E29" s="7" t="str">
        <x:v>State</x:v>
      </x:c>
      <x:c r="F29" s="7" t="str">
        <x:v>Owner</x:v>
      </x:c>
      <x:c r="G29" s="8"/>
      <x:c r="H29" s="8"/>
      <x:c r="I29" s="8"/>
      <x:c r="J29" s="8"/>
      <x:c r="K29" s="8"/>
    </x:row>
    <x:row r="30">
      <x:c r="B30" s="9" t="str">
        <x:v>starboard service</x:v>
      </x:c>
      <x:c r="C30" s="9" t="n">
        <x:v>1.2</x:v>
      </x:c>
      <x:c r="D30" s="9" t="str">
        <x:v>m</x:v>
      </x:c>
      <x:c r="E30" s="9" t="str">
        <x:v>dead/service isolated</x:v>
      </x:c>
      <x:c r="F30" s="9" t="str">
        <x:v>article</x:v>
      </x:c>
      <x:c r="G30" s="8"/>
      <x:c r="H30" s="8"/>
      <x:c r="I30" s="8"/>
      <x:c r="J30" s="8"/>
      <x:c r="K30" s="8"/>
    </x:row>
    <x:row r="31">
      <x:c r="B31" s="9" t="str">
        <x:v>port service</x:v>
      </x:c>
      <x:c r="C31" s="9" t="n">
        <x:v>0.9</x:v>
      </x:c>
      <x:c r="D31" s="9" t="str">
        <x:v>m</x:v>
      </x:c>
      <x:c r="E31" s="9" t="str">
        <x:v>dead/service isolated</x:v>
      </x:c>
      <x:c r="F31" s="9" t="str">
        <x:v>article</x:v>
      </x:c>
      <x:c r="G31" s="8"/>
      <x:c r="H31" s="8"/>
      <x:c r="I31" s="8"/>
      <x:c r="J31" s="8"/>
      <x:c r="K31" s="8"/>
    </x:row>
    <x:row r="32">
      <x:c r="B32" s="9" t="str">
        <x:v>end access</x:v>
      </x:c>
      <x:c r="C32" s="9" t="n">
        <x:v>2</x:v>
      </x:c>
      <x:c r="D32" s="9" t="str">
        <x:v>m</x:v>
      </x:c>
      <x:c r="E32" s="9" t="str">
        <x:v>hydraulic or electrical isolated</x:v>
      </x:c>
      <x:c r="F32" s="9" t="str">
        <x:v>article + receiver</x:v>
      </x:c>
      <x:c r="G32" s="8"/>
      <x:c r="H32" s="8"/>
      <x:c r="I32" s="8"/>
      <x:c r="J32" s="8"/>
      <x:c r="K32" s="8"/>
    </x:row>
    <x:row r="33">
      <x:c r="B33" s="9" t="str">
        <x:v>overhead</x:v>
      </x:c>
      <x:c r="C33" s="9" t="n">
        <x:v>4.5</x:v>
      </x:c>
      <x:c r="D33" s="9" t="str">
        <x:v>m</x:v>
      </x:c>
      <x:c r="E33" s="9" t="str">
        <x:v>no lift</x:v>
      </x:c>
      <x:c r="F33" s="9" t="str">
        <x:v>receiver</x:v>
      </x:c>
      <x:c r="G33" s="8"/>
      <x:c r="H33" s="8"/>
      <x:c r="I33" s="8"/>
      <x:c r="J33" s="8"/>
      <x:c r="K33" s="8"/>
    </x:row>
    <x:row r="34">
      <x:c r="B34" s="9" t="str">
        <x:v>lift perimeter</x:v>
      </x:c>
      <x:c r="C34" s="9" t="n">
        <x:v>5</x:v>
      </x:c>
      <x:c r="D34" s="9" t="str">
        <x:v>m</x:v>
      </x:c>
      <x:c r="E34" s="9" t="str">
        <x:v>lift only</x:v>
      </x:c>
      <x:c r="F34" s="9" t="str">
        <x:v>range</x:v>
      </x:c>
      <x:c r="G34" s="8"/>
      <x:c r="H34" s="8"/>
      <x:c r="I34" s="8"/>
      <x:c r="J34" s="8"/>
      <x:c r="K34" s="8"/>
    </x:row>
    <x:row r="35">
      <x:c r="B35" s="9" t="str">
        <x:v>electrical work</x:v>
      </x:c>
      <x:c r="C35" s="9" t="n">
        <x:v>2</x:v>
      </x:c>
      <x:c r="D35" s="9" t="str">
        <x:v>m</x:v>
      </x:c>
      <x:c r="E35" s="9" t="str">
        <x:v>provisional until arc study</x:v>
      </x:c>
      <x:c r="F35" s="9" t="str">
        <x:v>range</x:v>
      </x:c>
      <x:c r="G35" s="8"/>
      <x:c r="H35" s="8"/>
      <x:c r="I35" s="8"/>
      <x:c r="J35" s="8"/>
      <x:c r="K35" s="8"/>
    </x:row>
    <x:row r="36">
      <x:c r="B36" s="10" t="str">
        <x:v>teardown cell</x:v>
      </x:c>
      <x:c r="C36" s="10" t="n">
        <x:v>6</x:v>
      </x:c>
      <x:c r="D36" s="10" t="str">
        <x:v>m by 4 m</x:v>
      </x:c>
      <x:c r="E36" s="10" t="str">
        <x:v>destructive state</x:v>
      </x:c>
      <x:c r="F36" s="10" t="str">
        <x:v>range</x:v>
      </x:c>
      <x:c r="G36" s="8"/>
      <x:c r="H36" s="8"/>
      <x:c r="I36" s="8"/>
      <x:c r="J36" s="8"/>
      <x:c r="K36" s="8"/>
    </x:row>
  </x:sheetData>
  <x:mergeCells>
    <x:mergeCell ref="B2:K2"/>
    <x:mergeCell ref="B3:K3"/>
    <x:mergeCell ref="B28:K28"/>
  </x:mergeCells>
  <x:conditionalFormatting sqref="J7:K24">
    <x:cfRule type="containsText" dxfId="144" priority="1" operator="containsText" text="PASS"/>
    <x:cfRule type="containsText" dxfId="145" priority="2" operator="containsText" text="AUTHORIZED"/>
    <x:cfRule type="containsText" dxfId="146" priority="3" operator="containsText" text="DEFINED"/>
    <x:cfRule type="containsText" dxfId="147" priority="4" operator="containsText" text="READY"/>
    <x:cfRule type="containsText" dxfId="148" priority="5" operator="containsText" text="HOLD"/>
    <x:cfRule type="containsText" dxfId="149" priority="6" operator="containsText" text="OPEN"/>
    <x:cfRule type="containsText" dxfId="150" priority="7" operator="containsText" text="BLOCKED"/>
    <x:cfRule type="containsText" dxfId="151" priority="8" operator="containsText" text="PLANNING"/>
    <x:cfRule type="containsText" dxfId="152" priority="9" operator="containsText" text="FAIL"/>
    <x:cfRule type="containsText" dxfId="153" priority="10" operator="containsText" text="REJECT"/>
    <x:cfRule type="containsText" dxfId="154" priority="11" operator="containsText" text="INCOMPLETE"/>
    <x:cfRule type="containsText" dxfId="155" priority="12" operator="containsText" text="INDETERMINATE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1" hidden="0" customWidth="1"/>
    <x:col min="3" max="3" width="31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7" hidden="0" customWidth="1"/>
    <x:col min="10" max="10" width="22" hidden="0" customWidth="1"/>
  </x:cols>
  <x:sheetData>
    <x:row r="2">
      <x:c r="B2" s="28" t="str">
        <x:v>Receiver worlds and public fixture capacities</x:v>
      </x:c>
      <x:c r="C2" s="8"/>
      <x:c r="D2" s="8"/>
      <x:c r="E2" s="8"/>
      <x:c r="F2" s="8"/>
      <x:c r="G2" s="8"/>
      <x:c r="H2" s="8"/>
      <x:c r="I2" s="8"/>
      <x:c r="J2" s="8"/>
    </x:row>
    <x:row r="3">
      <x:c r="B3" s="2" t="str">
        <x:v>Fixtures may apply declared stimuli but may not stabilize the article through hidden contact.</x:v>
      </x:c>
      <x:c r="C3" s="8"/>
      <x:c r="D3" s="8"/>
      <x:c r="E3" s="8"/>
      <x:c r="F3" s="8"/>
      <x:c r="G3" s="8"/>
      <x:c r="H3" s="8"/>
      <x:c r="I3" s="8"/>
      <x:c r="J3" s="8"/>
    </x:row>
    <x:row r="4">
      <x:c r="B4" s="29"/>
      <x:c r="C4" s="29"/>
      <x:c r="D4" s="29"/>
      <x:c r="E4" s="29"/>
      <x:c r="F4" s="29"/>
      <x:c r="G4" s="29"/>
      <x:c r="H4" s="29"/>
      <x:c r="I4" s="29"/>
      <x:c r="J4" s="29"/>
    </x:row>
    <x:row r="5">
      <x:c r="B5" s="8"/>
      <x:c r="C5" s="8"/>
      <x:c r="D5" s="8"/>
      <x:c r="E5" s="8"/>
      <x:c r="F5" s="8"/>
      <x:c r="G5" s="8"/>
      <x:c r="H5" s="8"/>
      <x:c r="I5" s="8"/>
      <x:c r="J5" s="8"/>
    </x:row>
    <x:row r="6">
      <x:c r="B6" s="7" t="str">
        <x:v>World</x:v>
      </x:c>
      <x:c r="C6" s="7" t="str">
        <x:v>Ground state</x:v>
      </x:c>
      <x:c r="D6" s="7" t="str">
        <x:v>Initial mismatch mm</x:v>
      </x:c>
      <x:c r="E6" s="7" t="str">
        <x:v>Trusted grid</x:v>
      </x:c>
      <x:c r="F6" s="7" t="str">
        <x:v>Trusted network</x:v>
      </x:c>
      <x:c r="G6" s="7" t="str">
        <x:v>Unique crane</x:v>
      </x:c>
      <x:c r="H6" s="7" t="str">
        <x:v>Planning gate</x:v>
      </x:c>
      <x:c r="I6" s="7" t="str">
        <x:v>Physical state</x:v>
      </x:c>
      <x:c r="J6" s="7" t="str">
        <x:v>Decision</x:v>
      </x:c>
    </x:row>
    <x:row r="7">
      <x:c r="B7" s="9" t="str">
        <x:v>RW1</x:v>
      </x:c>
      <x:c r="C7" s="9" t="str">
        <x:v>hardstand</x:v>
      </x:c>
      <x:c r="D7" s="9" t="n">
        <x:v>25</x:v>
      </x:c>
      <x:c r="E7" s="9" t="n">
        <x:v>0</x:v>
      </x:c>
      <x:c r="F7" s="9" t="n">
        <x:v>0</x:v>
      </x:c>
      <x:c r="G7" s="9" t="n">
        <x:v>0</x:v>
      </x:c>
      <x:c r="H7" s="9" t="str">
        <x:f>IF(AND(E7=0,F7=0,G7=0),"PASS","FAIL")</x:f>
        <x:v>PASS</x:v>
      </x:c>
      <x:c r="I7" s="9" t="str">
        <x:v>OPEN</x:v>
      </x:c>
      <x:c r="J7" s="9" t="str">
        <x:v>self-contained</x:v>
      </x:c>
    </x:row>
    <x:row r="8">
      <x:c r="B8" s="9" t="str">
        <x:v>RW2</x:v>
      </x:c>
      <x:c r="C8" s="9" t="str">
        <x:v>75 kPa weak ground</x:v>
      </x:c>
      <x:c r="D8" s="9" t="n">
        <x:v>300</x:v>
      </x:c>
      <x:c r="E8" s="9" t="n">
        <x:v>0</x:v>
      </x:c>
      <x:c r="F8" s="9" t="n">
        <x:v>0</x:v>
      </x:c>
      <x:c r="G8" s="9" t="n">
        <x:v>0</x:v>
      </x:c>
      <x:c r="H8" s="9" t="str">
        <x:f>IF(AND(E8=0,F8=0,G8=0),"PASS","FAIL")</x:f>
        <x:v>PASS</x:v>
      </x:c>
      <x:c r="I8" s="9" t="str">
        <x:v>OPEN</x:v>
      </x:c>
      <x:c r="J8" s="9" t="str">
        <x:v>self-contained</x:v>
      </x:c>
    </x:row>
    <x:row r="9">
      <x:c r="B9" s="10" t="str">
        <x:v>RW3</x:v>
      </x:c>
      <x:c r="C9" s="10" t="str">
        <x:v>150 kPa remote</x:v>
      </x:c>
      <x:c r="D9" s="10" t="n">
        <x:v>150</x:v>
      </x:c>
      <x:c r="E9" s="10" t="n">
        <x:v>0</x:v>
      </x:c>
      <x:c r="F9" s="10" t="n">
        <x:v>0</x:v>
      </x:c>
      <x:c r="G9" s="10" t="n">
        <x:v>0</x:v>
      </x:c>
      <x:c r="H9" s="10" t="str">
        <x:f>IF(AND(E9=0,F9=0,G9=0),"PASS","FAIL")</x:f>
        <x:v>PASS</x:v>
      </x:c>
      <x:c r="I9" s="10" t="str">
        <x:v>OPEN</x:v>
      </x:c>
      <x:c r="J9" s="10" t="str">
        <x:v>self-contained</x:v>
      </x:c>
    </x:row>
    <x:row r="10">
      <x:c r="B10" s="8"/>
      <x:c r="C10" s="8"/>
      <x:c r="D10" s="8"/>
      <x:c r="E10" s="8"/>
      <x:c r="F10" s="8"/>
      <x:c r="G10" s="8"/>
      <x:c r="H10" s="8"/>
      <x:c r="I10" s="8"/>
      <x:c r="J10" s="8"/>
    </x:row>
    <x:row r="11">
      <x:c r="B11" s="8"/>
      <x:c r="C11" s="8"/>
      <x:c r="D11" s="8"/>
      <x:c r="E11" s="8"/>
      <x:c r="F11" s="8"/>
      <x:c r="G11" s="8"/>
      <x:c r="H11" s="8"/>
      <x:c r="I11" s="8"/>
      <x:c r="J11" s="8"/>
    </x:row>
    <x:row r="12">
      <x:c r="B12" s="8"/>
      <x:c r="C12" s="8"/>
      <x:c r="D12" s="8"/>
      <x:c r="E12" s="8"/>
      <x:c r="F12" s="8"/>
      <x:c r="G12" s="8"/>
      <x:c r="H12" s="8"/>
      <x:c r="I12" s="8"/>
      <x:c r="J12" s="8"/>
    </x:row>
    <x:row r="13">
      <x:c r="B13" s="14" t="str">
        <x:v>Fixture capacity boundaries</x:v>
      </x:c>
      <x:c r="C13" s="14" t="str">
        <x:v>Fixture capacity boundaries</x:v>
      </x:c>
      <x:c r="D13" s="14" t="str">
        <x:v>Fixture capacity boundaries</x:v>
      </x:c>
      <x:c r="E13" s="14" t="str">
        <x:v>Fixture capacity boundaries</x:v>
      </x:c>
      <x:c r="F13" s="14" t="str">
        <x:v>Fixture capacity boundaries</x:v>
      </x:c>
      <x:c r="G13" s="14" t="str">
        <x:v>Fixture capacity boundaries</x:v>
      </x:c>
      <x:c r="H13" s="14" t="str">
        <x:v>Fixture capacity boundaries</x:v>
      </x:c>
      <x:c r="I13" s="14" t="str">
        <x:v>Fixture capacity boundaries</x:v>
      </x:c>
      <x:c r="J13" s="14" t="str">
        <x:v>Fixture capacity boundaries</x:v>
      </x:c>
    </x:row>
    <x:row r="14">
      <x:c r="B14" s="7" t="str">
        <x:v>Fixture</x:v>
      </x:c>
      <x:c r="C14" s="7" t="str">
        <x:v>Capacity</x:v>
      </x:c>
      <x:c r="D14" s="7" t="str">
        <x:v>Unit</x:v>
      </x:c>
      <x:c r="E14" s="7" t="str">
        <x:v>Independent truth</x:v>
      </x:c>
      <x:c r="F14" s="7" t="str">
        <x:v>Planning gate</x:v>
      </x:c>
      <x:c r="G14" s="7" t="str">
        <x:v>Physical state</x:v>
      </x:c>
      <x:c r="H14" s="8"/>
      <x:c r="I14" s="8"/>
      <x:c r="J14" s="8"/>
    </x:row>
    <x:row r="15">
      <x:c r="B15" s="9" t="str">
        <x:v>support actuator</x:v>
      </x:c>
      <x:c r="C15" s="9" t="n">
        <x:v>200</x:v>
      </x:c>
      <x:c r="D15" s="9" t="str">
        <x:v>kN/node</x:v>
      </x:c>
      <x:c r="E15" s="9" t="n">
        <x:v>1</x:v>
      </x:c>
      <x:c r="F15" s="9" t="str">
        <x:v>PASS</x:v>
      </x:c>
      <x:c r="G15" s="9" t="str">
        <x:v>OPEN</x:v>
      </x:c>
      <x:c r="H15" s="8"/>
      <x:c r="I15" s="8"/>
      <x:c r="J15" s="8"/>
    </x:row>
    <x:row r="16">
      <x:c r="B16" s="9" t="str">
        <x:v>anchor actuator</x:v>
      </x:c>
      <x:c r="C16" s="9" t="n">
        <x:v>250</x:v>
      </x:c>
      <x:c r="D16" s="9" t="str">
        <x:v>kN/anchor</x:v>
      </x:c>
      <x:c r="E16" s="9" t="n">
        <x:v>1</x:v>
      </x:c>
      <x:c r="F16" s="9" t="str">
        <x:v>PASS</x:v>
      </x:c>
      <x:c r="G16" s="9" t="str">
        <x:v>OPEN</x:v>
      </x:c>
      <x:c r="H16" s="8"/>
      <x:c r="I16" s="8"/>
      <x:c r="J16" s="8"/>
    </x:row>
    <x:row r="17">
      <x:c r="B17" s="9" t="str">
        <x:v>lift truth frame</x:v>
      </x:c>
      <x:c r="C17" s="9" t="n">
        <x:v>250</x:v>
      </x:c>
      <x:c r="D17" s="9" t="str">
        <x:v>kN/node</x:v>
      </x:c>
      <x:c r="E17" s="9" t="n">
        <x:v>1</x:v>
      </x:c>
      <x:c r="F17" s="9" t="str">
        <x:v>PASS</x:v>
      </x:c>
      <x:c r="G17" s="9" t="str">
        <x:v>OPEN</x:v>
      </x:c>
      <x:c r="H17" s="8"/>
      <x:c r="I17" s="8"/>
      <x:c r="J17" s="8"/>
    </x:row>
    <x:row r="18">
      <x:c r="B18" s="9" t="str">
        <x:v>hydraulic axial restraint</x:v>
      </x:c>
      <x:c r="C18" s="9" t="n">
        <x:v>250</x:v>
      </x:c>
      <x:c r="D18" s="9" t="str">
        <x:v>kN/path</x:v>
      </x:c>
      <x:c r="E18" s="9" t="n">
        <x:v>1</x:v>
      </x:c>
      <x:c r="F18" s="9" t="str">
        <x:v>PASS</x:v>
      </x:c>
      <x:c r="G18" s="9" t="str">
        <x:v>OPEN</x:v>
      </x:c>
      <x:c r="H18" s="8"/>
      <x:c r="I18" s="8"/>
      <x:c r="J18" s="8"/>
    </x:row>
    <x:row r="19">
      <x:c r="B19" s="9" t="str">
        <x:v>pressure source</x:v>
      </x:c>
      <x:c r="C19" s="9" t="n">
        <x:v>1.2</x:v>
      </x:c>
      <x:c r="D19" s="9" t="str">
        <x:v>MPa</x:v>
      </x:c>
      <x:c r="E19" s="9" t="n">
        <x:v>1</x:v>
      </x:c>
      <x:c r="F19" s="9" t="str">
        <x:v>PASS</x:v>
      </x:c>
      <x:c r="G19" s="9" t="str">
        <x:v>OPEN</x:v>
      </x:c>
      <x:c r="H19" s="8"/>
      <x:c r="I19" s="8"/>
      <x:c r="J19" s="8"/>
    </x:row>
    <x:row r="20">
      <x:c r="B20" s="9" t="str">
        <x:v>vacuum source</x:v>
      </x:c>
      <x:c r="C20" s="9" t="n">
        <x:v>-0.095</x:v>
      </x:c>
      <x:c r="D20" s="9" t="str">
        <x:v>MPa</x:v>
      </x:c>
      <x:c r="E20" s="9" t="n">
        <x:v>1</x:v>
      </x:c>
      <x:c r="F20" s="9" t="str">
        <x:v>PASS</x:v>
      </x:c>
      <x:c r="G20" s="9" t="str">
        <x:v>OPEN</x:v>
      </x:c>
      <x:c r="H20" s="8"/>
      <x:c r="I20" s="8"/>
      <x:c r="J20" s="8"/>
    </x:row>
    <x:row r="21">
      <x:c r="B21" s="9" t="str">
        <x:v>480 V load bank</x:v>
      </x:c>
      <x:c r="C21" s="9" t="n">
        <x:v>5</x:v>
      </x:c>
      <x:c r="D21" s="9" t="str">
        <x:v>MVA / 10 s</x:v>
      </x:c>
      <x:c r="E21" s="9" t="n">
        <x:v>1</x:v>
      </x:c>
      <x:c r="F21" s="9" t="str">
        <x:v>PASS</x:v>
      </x:c>
      <x:c r="G21" s="9" t="str">
        <x:v>OPEN</x:v>
      </x:c>
      <x:c r="H21" s="8"/>
      <x:c r="I21" s="8"/>
      <x:c r="J21" s="8"/>
    </x:row>
    <x:row r="22">
      <x:c r="B22" s="10" t="str">
        <x:v>13.8 kV feeder</x:v>
      </x:c>
      <x:c r="C22" s="10" t="n">
        <x:v>200</x:v>
      </x:c>
      <x:c r="D22" s="10" t="str">
        <x:v>A / 10 s</x:v>
      </x:c>
      <x:c r="E22" s="10" t="n">
        <x:v>1</x:v>
      </x:c>
      <x:c r="F22" s="10" t="str">
        <x:v>PASS</x:v>
      </x:c>
      <x:c r="G22" s="10" t="str">
        <x:v>OPEN</x:v>
      </x:c>
      <x:c r="H22" s="8"/>
      <x:c r="I22" s="8"/>
      <x:c r="J22" s="8"/>
    </x:row>
  </x:sheetData>
  <x:mergeCells>
    <x:mergeCell ref="B2:J2"/>
    <x:mergeCell ref="B3:J3"/>
    <x:mergeCell ref="B13:J13"/>
  </x:mergeCells>
  <x:conditionalFormatting sqref="H7:I9">
    <x:cfRule type="containsText" dxfId="156" priority="1" operator="containsText" text="PASS"/>
    <x:cfRule type="containsText" dxfId="157" priority="2" operator="containsText" text="AUTHORIZED"/>
    <x:cfRule type="containsText" dxfId="158" priority="3" operator="containsText" text="DEFINED"/>
    <x:cfRule type="containsText" dxfId="159" priority="4" operator="containsText" text="READY"/>
    <x:cfRule type="containsText" dxfId="160" priority="5" operator="containsText" text="HOLD"/>
    <x:cfRule type="containsText" dxfId="161" priority="6" operator="containsText" text="OPEN"/>
    <x:cfRule type="containsText" dxfId="162" priority="7" operator="containsText" text="BLOCKED"/>
    <x:cfRule type="containsText" dxfId="163" priority="8" operator="containsText" text="PLANNING"/>
    <x:cfRule type="containsText" dxfId="164" priority="9" operator="containsText" text="FAIL"/>
    <x:cfRule type="containsText" dxfId="165" priority="10" operator="containsText" text="REJECT"/>
    <x:cfRule type="containsText" dxfId="166" priority="11" operator="containsText" text="INCOMPLETE"/>
    <x:cfRule type="containsText" dxfId="167" priority="12" operator="containsText" text="INDETERMINATE"/>
  </x:conditionalFormatting>
  <x:conditionalFormatting sqref="F15:G22">
    <x:cfRule type="containsText" dxfId="168" priority="13" operator="containsText" text="PASS"/>
    <x:cfRule type="containsText" dxfId="169" priority="14" operator="containsText" text="AUTHORIZED"/>
    <x:cfRule type="containsText" dxfId="170" priority="15" operator="containsText" text="DEFINED"/>
    <x:cfRule type="containsText" dxfId="171" priority="16" operator="containsText" text="READY"/>
    <x:cfRule type="containsText" dxfId="172" priority="17" operator="containsText" text="HOLD"/>
    <x:cfRule type="containsText" dxfId="173" priority="18" operator="containsText" text="OPEN"/>
    <x:cfRule type="containsText" dxfId="174" priority="19" operator="containsText" text="BLOCKED"/>
    <x:cfRule type="containsText" dxfId="175" priority="20" operator="containsText" text="PLANNING"/>
    <x:cfRule type="containsText" dxfId="176" priority="21" operator="containsText" text="FAIL"/>
    <x:cfRule type="containsText" dxfId="177" priority="22" operator="containsText" text="REJECT"/>
    <x:cfRule type="containsText" dxfId="178" priority="23" operator="containsText" text="INCOMPLETE"/>
    <x:cfRule type="containsText" dxfId="179" priority="24" operator="containsText" text="INDETERMINATE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5" hidden="0" customWidth="1"/>
    <x:col min="3" max="3" width="16" hidden="0" customWidth="1"/>
    <x:col min="4" max="4" width="43" hidden="0" customWidth="1"/>
    <x:col min="5" max="5" width="25" hidden="0" customWidth="1"/>
    <x:col min="6" max="6" width="19" hidden="0" customWidth="1"/>
    <x:col min="7" max="7" width="18" hidden="0" customWidth="1"/>
    <x:col min="8" max="8" width="17" hidden="0" customWidth="1"/>
    <x:col min="9" max="9" width="19" hidden="0" customWidth="1"/>
    <x:col min="10" max="10" width="16" hidden="0" customWidth="1"/>
    <x:col min="11" max="11" width="17" hidden="0" customWidth="1"/>
  </x:cols>
  <x:sheetData>
    <x:row r="2">
      <x:c r="B2" s="28" t="str">
        <x:v>Forty-eight-sheet controlled drawing register</x:v>
      </x:c>
      <x:c r="C2" s="8"/>
      <x:c r="D2" s="8"/>
      <x:c r="E2" s="8"/>
      <x:c r="F2" s="8"/>
      <x:c r="G2" s="8"/>
      <x:c r="H2" s="8"/>
      <x:c r="I2" s="8"/>
      <x:c r="J2" s="8"/>
      <x:c r="K2" s="8"/>
    </x:row>
    <x:row r="3">
      <x:c r="B3" s="2" t="str">
        <x:v>Every sheet owns a decision, originator, independent check and native-object reproduction path.</x:v>
      </x:c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B4" s="29"/>
      <x:c r="C4" s="29"/>
      <x:c r="D4" s="29"/>
      <x:c r="E4" s="29"/>
      <x:c r="F4" s="29"/>
      <x:c r="G4" s="29"/>
      <x:c r="H4" s="29"/>
      <x:c r="I4" s="29"/>
      <x:c r="J4" s="29"/>
      <x:c r="K4" s="29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>
      <x:c r="B6" s="7" t="str">
        <x:v>ID</x:v>
      </x:c>
      <x:c r="C6" s="7" t="str">
        <x:v>Package</x:v>
      </x:c>
      <x:c r="D6" s="7" t="str">
        <x:v>Sheet</x:v>
      </x:c>
      <x:c r="E6" s="7" t="str">
        <x:v>Owner</x:v>
      </x:c>
      <x:c r="F6" s="7" t="str">
        <x:v>Originator assigned</x:v>
      </x:c>
      <x:c r="G6" s="7" t="str">
        <x:v>Checker assigned</x:v>
      </x:c>
      <x:c r="H6" s="7" t="str">
        <x:v>Native object</x:v>
      </x:c>
      <x:c r="I6" s="7" t="str">
        <x:v>Planning complete</x:v>
      </x:c>
      <x:c r="J6" s="7" t="str">
        <x:v>Planning gate</x:v>
      </x:c>
      <x:c r="K6" s="7" t="str">
        <x:v>Disposition</x:v>
      </x:c>
    </x:row>
    <x:row r="7">
      <x:c r="B7" s="9" t="str">
        <x:v>COM-001</x:v>
      </x:c>
      <x:c r="C7" s="9" t="str">
        <x:v>COMMON</x:v>
      </x:c>
      <x:c r="D7" s="9" t="str">
        <x:v>coordinate, datum and envelope</x:v>
      </x:c>
      <x:c r="E7" s="9" t="str">
        <x:v>public configuration</x:v>
      </x:c>
      <x:c r="F7" s="9" t="n">
        <x:v>1</x:v>
      </x:c>
      <x:c r="G7" s="9" t="n">
        <x:v>1</x:v>
      </x:c>
      <x:c r="H7" s="9" t="n">
        <x:v>1</x:v>
      </x:c>
      <x:c r="I7" s="9" t="n">
        <x:v>1</x:v>
      </x:c>
      <x:c r="J7" s="9" t="str">
        <x:f>IF(AND(E7&lt;&gt;"",F7=1,G7=1,H7=1,I7=1),"PASS","FAIL")</x:f>
        <x:v>PASS</x:v>
      </x:c>
      <x:c r="K7" s="9" t="str">
        <x:v>PLANNING</x:v>
      </x:c>
    </x:row>
    <x:row r="8">
      <x:c r="B8" s="9" t="str">
        <x:v>COM-002</x:v>
      </x:c>
      <x:c r="C8" s="9" t="str">
        <x:v>COMMON</x:v>
      </x:c>
      <x:c r="D8" s="9" t="str">
        <x:v>zone and separation plan</x:v>
      </x:c>
      <x:c r="E8" s="9" t="str">
        <x:v>public configuration</x:v>
      </x:c>
      <x:c r="F8" s="9" t="n">
        <x:v>1</x:v>
      </x:c>
      <x:c r="G8" s="9" t="n">
        <x:v>1</x:v>
      </x:c>
      <x:c r="H8" s="9" t="n">
        <x:v>1</x:v>
      </x:c>
      <x:c r="I8" s="9" t="n">
        <x:v>1</x:v>
      </x:c>
      <x:c r="J8" s="9" t="str">
        <x:f>IF(AND(E8&lt;&gt;"",F8=1,G8=1,H8=1,I8=1),"PASS","FAIL")</x:f>
        <x:v>PASS</x:v>
      </x:c>
      <x:c r="K8" s="9" t="str">
        <x:v>PLANNING</x:v>
      </x:c>
    </x:row>
    <x:row r="9">
      <x:c r="B9" s="9" t="str">
        <x:v>COM-003</x:v>
      </x:c>
      <x:c r="C9" s="9" t="str">
        <x:v>COMMON</x:v>
      </x:c>
      <x:c r="D9" s="9" t="str">
        <x:v>operating-state mass map</x:v>
      </x:c>
      <x:c r="E9" s="9" t="str">
        <x:v>public configuration</x:v>
      </x:c>
      <x:c r="F9" s="9" t="n">
        <x:v>1</x:v>
      </x:c>
      <x:c r="G9" s="9" t="n">
        <x:v>1</x:v>
      </x:c>
      <x:c r="H9" s="9" t="n">
        <x:v>1</x:v>
      </x:c>
      <x:c r="I9" s="9" t="n">
        <x:v>1</x:v>
      </x:c>
      <x:c r="J9" s="9" t="str">
        <x:f>IF(AND(E9&lt;&gt;"",F9=1,G9=1,H9=1,I9=1),"PASS","FAIL")</x:f>
        <x:v>PASS</x:v>
      </x:c>
      <x:c r="K9" s="9" t="str">
        <x:v>PLANNING</x:v>
      </x:c>
    </x:row>
    <x:row r="10">
      <x:c r="B10" s="9" t="str">
        <x:v>COM-004</x:v>
      </x:c>
      <x:c r="C10" s="9" t="str">
        <x:v>COMMON</x:v>
      </x:c>
      <x:c r="D10" s="9" t="str">
        <x:v>support-node interface control</x:v>
      </x:c>
      <x:c r="E10" s="9" t="str">
        <x:v>public configuration</x:v>
      </x:c>
      <x:c r="F10" s="9" t="n">
        <x:v>1</x:v>
      </x:c>
      <x:c r="G10" s="9" t="n">
        <x:v>1</x:v>
      </x:c>
      <x:c r="H10" s="9" t="n">
        <x:v>1</x:v>
      </x:c>
      <x:c r="I10" s="9" t="n">
        <x:v>1</x:v>
      </x:c>
      <x:c r="J10" s="9" t="str">
        <x:f>IF(AND(E10&lt;&gt;"",F10=1,G10=1,H10=1,I10=1),"PASS","FAIL")</x:f>
        <x:v>PASS</x:v>
      </x:c>
      <x:c r="K10" s="9" t="str">
        <x:v>PLANNING</x:v>
      </x:c>
    </x:row>
    <x:row r="11">
      <x:c r="B11" s="9" t="str">
        <x:v>COM-005</x:v>
      </x:c>
      <x:c r="C11" s="9" t="str">
        <x:v>COMMON</x:v>
      </x:c>
      <x:c r="D11" s="9" t="str">
        <x:v>deployed anchor interface control</x:v>
      </x:c>
      <x:c r="E11" s="9" t="str">
        <x:v>public configuration</x:v>
      </x:c>
      <x:c r="F11" s="9" t="n">
        <x:v>1</x:v>
      </x:c>
      <x:c r="G11" s="9" t="n">
        <x:v>1</x:v>
      </x:c>
      <x:c r="H11" s="9" t="n">
        <x:v>1</x:v>
      </x:c>
      <x:c r="I11" s="9" t="n">
        <x:v>1</x:v>
      </x:c>
      <x:c r="J11" s="9" t="str">
        <x:f>IF(AND(E11&lt;&gt;"",F11=1,G11=1,H11=1,I11=1),"PASS","FAIL")</x:f>
        <x:v>PASS</x:v>
      </x:c>
      <x:c r="K11" s="9" t="str">
        <x:v>PLANNING</x:v>
      </x:c>
    </x:row>
    <x:row r="12">
      <x:c r="B12" s="9" t="str">
        <x:v>COM-006</x:v>
      </x:c>
      <x:c r="C12" s="9" t="str">
        <x:v>COMMON</x:v>
      </x:c>
      <x:c r="D12" s="9" t="str">
        <x:v>lift-node interface control</x:v>
      </x:c>
      <x:c r="E12" s="9" t="str">
        <x:v>public configuration</x:v>
      </x:c>
      <x:c r="F12" s="9" t="n">
        <x:v>1</x:v>
      </x:c>
      <x:c r="G12" s="9" t="n">
        <x:v>1</x:v>
      </x:c>
      <x:c r="H12" s="9" t="n">
        <x:v>1</x:v>
      </x:c>
      <x:c r="I12" s="9" t="n">
        <x:v>1</x:v>
      </x:c>
      <x:c r="J12" s="9" t="str">
        <x:f>IF(AND(E12&lt;&gt;"",F12=1,G12=1,H12=1,I12=1),"PASS","FAIL")</x:f>
        <x:v>PASS</x:v>
      </x:c>
      <x:c r="K12" s="9" t="str">
        <x:v>PLANNING</x:v>
      </x:c>
    </x:row>
    <x:row r="13">
      <x:c r="B13" s="9" t="str">
        <x:v>COM-007</x:v>
      </x:c>
      <x:c r="C13" s="9" t="str">
        <x:v>COMMON</x:v>
      </x:c>
      <x:c r="D13" s="9" t="str">
        <x:v>hydraulic public boundary</x:v>
      </x:c>
      <x:c r="E13" s="9" t="str">
        <x:v>public configuration</x:v>
      </x:c>
      <x:c r="F13" s="9" t="n">
        <x:v>1</x:v>
      </x:c>
      <x:c r="G13" s="9" t="n">
        <x:v>1</x:v>
      </x:c>
      <x:c r="H13" s="9" t="n">
        <x:v>1</x:v>
      </x:c>
      <x:c r="I13" s="9" t="n">
        <x:v>1</x:v>
      </x:c>
      <x:c r="J13" s="9" t="str">
        <x:f>IF(AND(E13&lt;&gt;"",F13=1,G13=1,H13=1,I13=1),"PASS","FAIL")</x:f>
        <x:v>PASS</x:v>
      </x:c>
      <x:c r="K13" s="9" t="str">
        <x:v>PLANNING</x:v>
      </x:c>
    </x:row>
    <x:row r="14">
      <x:c r="B14" s="9" t="str">
        <x:v>COM-008</x:v>
      </x:c>
      <x:c r="C14" s="9" t="str">
        <x:v>COMMON</x:v>
      </x:c>
      <x:c r="D14" s="9" t="str">
        <x:v>power public boundary</x:v>
      </x:c>
      <x:c r="E14" s="9" t="str">
        <x:v>public configuration</x:v>
      </x:c>
      <x:c r="F14" s="9" t="n">
        <x:v>1</x:v>
      </x:c>
      <x:c r="G14" s="9" t="n">
        <x:v>1</x:v>
      </x:c>
      <x:c r="H14" s="9" t="n">
        <x:v>1</x:v>
      </x:c>
      <x:c r="I14" s="9" t="n">
        <x:v>1</x:v>
      </x:c>
      <x:c r="J14" s="9" t="str">
        <x:f>IF(AND(E14&lt;&gt;"",F14=1,G14=1,H14=1,I14=1),"PASS","FAIL")</x:f>
        <x:v>PASS</x:v>
      </x:c>
      <x:c r="K14" s="9" t="str">
        <x:v>PLANNING</x:v>
      </x:c>
    </x:row>
    <x:row r="15">
      <x:c r="B15" s="9" t="str">
        <x:v>COM-009</x:v>
      </x:c>
      <x:c r="C15" s="9" t="str">
        <x:v>COMMON</x:v>
      </x:c>
      <x:c r="D15" s="9" t="str">
        <x:v>sanitary and waste grammar</x:v>
      </x:c>
      <x:c r="E15" s="9" t="str">
        <x:v>public configuration</x:v>
      </x:c>
      <x:c r="F15" s="9" t="n">
        <x:v>1</x:v>
      </x:c>
      <x:c r="G15" s="9" t="n">
        <x:v>1</x:v>
      </x:c>
      <x:c r="H15" s="9" t="n">
        <x:v>1</x:v>
      </x:c>
      <x:c r="I15" s="9" t="n">
        <x:v>1</x:v>
      </x:c>
      <x:c r="J15" s="9" t="str">
        <x:f>IF(AND(E15&lt;&gt;"",F15=1,G15=1,H15=1,I15=1),"PASS","FAIL")</x:f>
        <x:v>PASS</x:v>
      </x:c>
      <x:c r="K15" s="9" t="str">
        <x:v>PLANNING</x:v>
      </x:c>
    </x:row>
    <x:row r="16">
      <x:c r="B16" s="9" t="str">
        <x:v>COM-010</x:v>
      </x:c>
      <x:c r="C16" s="9" t="str">
        <x:v>COMMON</x:v>
      </x:c>
      <x:c r="D16" s="9" t="str">
        <x:v>change and deviation classes</x:v>
      </x:c>
      <x:c r="E16" s="9" t="str">
        <x:v>public configuration</x:v>
      </x:c>
      <x:c r="F16" s="9" t="n">
        <x:v>1</x:v>
      </x:c>
      <x:c r="G16" s="9" t="n">
        <x:v>1</x:v>
      </x:c>
      <x:c r="H16" s="9" t="n">
        <x:v>1</x:v>
      </x:c>
      <x:c r="I16" s="9" t="n">
        <x:v>1</x:v>
      </x:c>
      <x:c r="J16" s="9" t="str">
        <x:f>IF(AND(E16&lt;&gt;"",F16=1,G16=1,H16=1,I16=1),"PASS","FAIL")</x:f>
        <x:v>PASS</x:v>
      </x:c>
      <x:c r="K16" s="9" t="str">
        <x:v>PLANNING</x:v>
      </x:c>
    </x:row>
    <x:row r="17">
      <x:c r="B17" s="9" t="str">
        <x:v>RA-101</x:v>
      </x:c>
      <x:c r="C17" s="9" t="str">
        <x:v>ROOT_A</x:v>
      </x:c>
      <x:c r="D17" s="9" t="str">
        <x:v>primary arrangement</x:v>
      </x:c>
      <x:c r="E17" s="9" t="str">
        <x:v>Root A definition</x:v>
      </x:c>
      <x:c r="F17" s="9" t="n">
        <x:v>1</x:v>
      </x:c>
      <x:c r="G17" s="9" t="n">
        <x:v>1</x:v>
      </x:c>
      <x:c r="H17" s="9" t="n">
        <x:v>1</x:v>
      </x:c>
      <x:c r="I17" s="9" t="n">
        <x:v>1</x:v>
      </x:c>
      <x:c r="J17" s="9" t="str">
        <x:f>IF(AND(E17&lt;&gt;"",F17=1,G17=1,H17=1,I17=1),"PASS","FAIL")</x:f>
        <x:v>PASS</x:v>
      </x:c>
      <x:c r="K17" s="9" t="str">
        <x:v>PLANNING</x:v>
      </x:c>
    </x:row>
    <x:row r="18">
      <x:c r="B18" s="9" t="str">
        <x:v>RA-102</x:v>
      </x:c>
      <x:c r="C18" s="9" t="str">
        <x:v>ROOT_A</x:v>
      </x:c>
      <x:c r="D18" s="9" t="str">
        <x:v>reaction frames or diaphragms</x:v>
      </x:c>
      <x:c r="E18" s="9" t="str">
        <x:v>Root A definition</x:v>
      </x:c>
      <x:c r="F18" s="9" t="n">
        <x:v>1</x:v>
      </x:c>
      <x:c r="G18" s="9" t="n">
        <x:v>1</x:v>
      </x:c>
      <x:c r="H18" s="9" t="n">
        <x:v>1</x:v>
      </x:c>
      <x:c r="I18" s="9" t="n">
        <x:v>1</x:v>
      </x:c>
      <x:c r="J18" s="9" t="str">
        <x:f>IF(AND(E18&lt;&gt;"",F18=1,G18=1,H18=1,I18=1),"PASS","FAIL")</x:f>
        <x:v>PASS</x:v>
      </x:c>
      <x:c r="K18" s="9" t="str">
        <x:v>PLANNING</x:v>
      </x:c>
    </x:row>
    <x:row r="19">
      <x:c r="B19" s="9" t="str">
        <x:v>RA-103</x:v>
      </x:c>
      <x:c r="C19" s="9" t="str">
        <x:v>ROOT_A</x:v>
      </x:c>
      <x:c r="D19" s="9" t="str">
        <x:v>anchor outrigger structure</x:v>
      </x:c>
      <x:c r="E19" s="9" t="str">
        <x:v>Root A definition</x:v>
      </x:c>
      <x:c r="F19" s="9" t="n">
        <x:v>1</x:v>
      </x:c>
      <x:c r="G19" s="9" t="n">
        <x:v>1</x:v>
      </x:c>
      <x:c r="H19" s="9" t="n">
        <x:v>1</x:v>
      </x:c>
      <x:c r="I19" s="9" t="n">
        <x:v>1</x:v>
      </x:c>
      <x:c r="J19" s="9" t="str">
        <x:f>IF(AND(E19&lt;&gt;"",F19=1,G19=1,H19=1,I19=1),"PASS","FAIL")</x:f>
        <x:v>PASS</x:v>
      </x:c>
      <x:c r="K19" s="9" t="str">
        <x:v>PLANNING</x:v>
      </x:c>
    </x:row>
    <x:row r="20">
      <x:c r="B20" s="9" t="str">
        <x:v>RA-104</x:v>
      </x:c>
      <x:c r="C20" s="9" t="str">
        <x:v>ROOT_A</x:v>
      </x:c>
      <x:c r="D20" s="9" t="str">
        <x:v>article-owned handling system</x:v>
      </x:c>
      <x:c r="E20" s="9" t="str">
        <x:v>Root A definition</x:v>
      </x:c>
      <x:c r="F20" s="9" t="n">
        <x:v>1</x:v>
      </x:c>
      <x:c r="G20" s="9" t="n">
        <x:v>1</x:v>
      </x:c>
      <x:c r="H20" s="9" t="n">
        <x:v>1</x:v>
      </x:c>
      <x:c r="I20" s="9" t="n">
        <x:v>1</x:v>
      </x:c>
      <x:c r="J20" s="9" t="str">
        <x:f>IF(AND(E20&lt;&gt;"",F20=1,G20=1,H20=1,I20=1),"PASS","FAIL")</x:f>
        <x:v>PASS</x:v>
      </x:c>
      <x:c r="K20" s="9" t="str">
        <x:v>PLANNING</x:v>
      </x:c>
    </x:row>
    <x:row r="21">
      <x:c r="B21" s="9" t="str">
        <x:v>RA-105</x:v>
      </x:c>
      <x:c r="C21" s="9" t="str">
        <x:v>ROOT_A</x:v>
      </x:c>
      <x:c r="D21" s="9" t="str">
        <x:v>hydraulic path and restraints</x:v>
      </x:c>
      <x:c r="E21" s="9" t="str">
        <x:v>Root A definition</x:v>
      </x:c>
      <x:c r="F21" s="9" t="n">
        <x:v>1</x:v>
      </x:c>
      <x:c r="G21" s="9" t="n">
        <x:v>1</x:v>
      </x:c>
      <x:c r="H21" s="9" t="n">
        <x:v>1</x:v>
      </x:c>
      <x:c r="I21" s="9" t="n">
        <x:v>1</x:v>
      </x:c>
      <x:c r="J21" s="9" t="str">
        <x:f>IF(AND(E21&lt;&gt;"",F21=1,G21=1,H21=1,I21=1),"PASS","FAIL")</x:f>
        <x:v>PASS</x:v>
      </x:c>
      <x:c r="K21" s="9" t="str">
        <x:v>PLANNING</x:v>
      </x:c>
    </x:row>
    <x:row r="22">
      <x:c r="B22" s="9" t="str">
        <x:v>RA-106</x:v>
      </x:c>
      <x:c r="C22" s="9" t="str">
        <x:v>ROOT_A</x:v>
      </x:c>
      <x:c r="D22" s="9" t="str">
        <x:v>root-specific collar section</x:v>
      </x:c>
      <x:c r="E22" s="9" t="str">
        <x:v>Root A definition</x:v>
      </x:c>
      <x:c r="F22" s="9" t="n">
        <x:v>1</x:v>
      </x:c>
      <x:c r="G22" s="9" t="n">
        <x:v>1</x:v>
      </x:c>
      <x:c r="H22" s="9" t="n">
        <x:v>1</x:v>
      </x:c>
      <x:c r="I22" s="9" t="n">
        <x:v>1</x:v>
      </x:c>
      <x:c r="J22" s="9" t="str">
        <x:f>IF(AND(E22&lt;&gt;"",F22=1,G22=1,H22=1,I22=1),"PASS","FAIL")</x:f>
        <x:v>PASS</x:v>
      </x:c>
      <x:c r="K22" s="9" t="str">
        <x:v>PLANNING</x:v>
      </x:c>
    </x:row>
    <x:row r="23">
      <x:c r="B23" s="9" t="str">
        <x:v>RA-107</x:v>
      </x:c>
      <x:c r="C23" s="9" t="str">
        <x:v>ROOT_A</x:v>
      </x:c>
      <x:c r="D23" s="9" t="str">
        <x:v>sanitary valve and sample layout</x:v>
      </x:c>
      <x:c r="E23" s="9" t="str">
        <x:v>Root A definition</x:v>
      </x:c>
      <x:c r="F23" s="9" t="n">
        <x:v>1</x:v>
      </x:c>
      <x:c r="G23" s="9" t="n">
        <x:v>1</x:v>
      </x:c>
      <x:c r="H23" s="9" t="n">
        <x:v>1</x:v>
      </x:c>
      <x:c r="I23" s="9" t="n">
        <x:v>1</x:v>
      </x:c>
      <x:c r="J23" s="9" t="str">
        <x:f>IF(AND(E23&lt;&gt;"",F23=1,G23=1,H23=1,I23=1),"PASS","FAIL")</x:f>
        <x:v>PASS</x:v>
      </x:c>
      <x:c r="K23" s="9" t="str">
        <x:v>PLANNING</x:v>
      </x:c>
    </x:row>
    <x:row r="24">
      <x:c r="B24" s="9" t="str">
        <x:v>RA-108</x:v>
      </x:c>
      <x:c r="C24" s="9" t="str">
        <x:v>ROOT_A</x:v>
      </x:c>
      <x:c r="D24" s="9" t="str">
        <x:v>rotating source and conversion</x:v>
      </x:c>
      <x:c r="E24" s="9" t="str">
        <x:v>Root A definition</x:v>
      </x:c>
      <x:c r="F24" s="9" t="n">
        <x:v>1</x:v>
      </x:c>
      <x:c r="G24" s="9" t="n">
        <x:v>1</x:v>
      </x:c>
      <x:c r="H24" s="9" t="n">
        <x:v>1</x:v>
      </x:c>
      <x:c r="I24" s="9" t="n">
        <x:v>1</x:v>
      </x:c>
      <x:c r="J24" s="9" t="str">
        <x:f>IF(AND(E24&lt;&gt;"",F24=1,G24=1,H24=1,I24=1),"PASS","FAIL")</x:f>
        <x:v>PASS</x:v>
      </x:c>
      <x:c r="K24" s="9" t="str">
        <x:v>PLANNING</x:v>
      </x:c>
    </x:row>
    <x:row r="25">
      <x:c r="B25" s="9" t="str">
        <x:v>RA-109</x:v>
      </x:c>
      <x:c r="C25" s="9" t="str">
        <x:v>ROOT_A</x:v>
      </x:c>
      <x:c r="D25" s="9" t="str">
        <x:v>storage and protection</x:v>
      </x:c>
      <x:c r="E25" s="9" t="str">
        <x:v>Root A definition</x:v>
      </x:c>
      <x:c r="F25" s="9" t="n">
        <x:v>1</x:v>
      </x:c>
      <x:c r="G25" s="9" t="n">
        <x:v>1</x:v>
      </x:c>
      <x:c r="H25" s="9" t="n">
        <x:v>1</x:v>
      </x:c>
      <x:c r="I25" s="9" t="n">
        <x:v>1</x:v>
      </x:c>
      <x:c r="J25" s="9" t="str">
        <x:f>IF(AND(E25&lt;&gt;"",F25=1,G25=1,H25=1,I25=1),"PASS","FAIL")</x:f>
        <x:v>PASS</x:v>
      </x:c>
      <x:c r="K25" s="9" t="str">
        <x:v>PLANNING</x:v>
      </x:c>
    </x:row>
    <x:row r="26">
      <x:c r="B26" s="9" t="str">
        <x:v>RA-110</x:v>
      </x:c>
      <x:c r="C26" s="9" t="str">
        <x:v>ROOT_A</x:v>
      </x:c>
      <x:c r="D26" s="9" t="str">
        <x:v>grounding and protection</x:v>
      </x:c>
      <x:c r="E26" s="9" t="str">
        <x:v>Root A definition</x:v>
      </x:c>
      <x:c r="F26" s="9" t="n">
        <x:v>1</x:v>
      </x:c>
      <x:c r="G26" s="9" t="n">
        <x:v>1</x:v>
      </x:c>
      <x:c r="H26" s="9" t="n">
        <x:v>1</x:v>
      </x:c>
      <x:c r="I26" s="9" t="n">
        <x:v>1</x:v>
      </x:c>
      <x:c r="J26" s="9" t="str">
        <x:f>IF(AND(E26&lt;&gt;"",F26=1,G26=1,H26=1,I26=1),"PASS","FAIL")</x:f>
        <x:v>PASS</x:v>
      </x:c>
      <x:c r="K26" s="9" t="str">
        <x:v>PLANNING</x:v>
      </x:c>
    </x:row>
    <x:row r="27">
      <x:c r="B27" s="9" t="str">
        <x:v>RA-111</x:v>
      </x:c>
      <x:c r="C27" s="9" t="str">
        <x:v>ROOT_A</x:v>
      </x:c>
      <x:c r="D27" s="9" t="str">
        <x:v>thermal and fire control</x:v>
      </x:c>
      <x:c r="E27" s="9" t="str">
        <x:v>Root A definition</x:v>
      </x:c>
      <x:c r="F27" s="9" t="n">
        <x:v>1</x:v>
      </x:c>
      <x:c r="G27" s="9" t="n">
        <x:v>1</x:v>
      </x:c>
      <x:c r="H27" s="9" t="n">
        <x:v>1</x:v>
      </x:c>
      <x:c r="I27" s="9" t="n">
        <x:v>1</x:v>
      </x:c>
      <x:c r="J27" s="9" t="str">
        <x:f>IF(AND(E27&lt;&gt;"",F27=1,G27=1,H27=1,I27=1),"PASS","FAIL")</x:f>
        <x:v>PASS</x:v>
      </x:c>
      <x:c r="K27" s="9" t="str">
        <x:v>PLANNING</x:v>
      </x:c>
    </x:row>
    <x:row r="28">
      <x:c r="B28" s="9" t="str">
        <x:v>RA-112</x:v>
      </x:c>
      <x:c r="C28" s="9" t="str">
        <x:v>ROOT_A</x:v>
      </x:c>
      <x:c r="D28" s="9" t="str">
        <x:v>evidence routes and teardown</x:v>
      </x:c>
      <x:c r="E28" s="9" t="str">
        <x:v>Root A definition</x:v>
      </x:c>
      <x:c r="F28" s="9" t="n">
        <x:v>1</x:v>
      </x:c>
      <x:c r="G28" s="9" t="n">
        <x:v>1</x:v>
      </x:c>
      <x:c r="H28" s="9" t="n">
        <x:v>1</x:v>
      </x:c>
      <x:c r="I28" s="9" t="n">
        <x:v>1</x:v>
      </x:c>
      <x:c r="J28" s="9" t="str">
        <x:f>IF(AND(E28&lt;&gt;"",F28=1,G28=1,H28=1,I28=1),"PASS","FAIL")</x:f>
        <x:v>PASS</x:v>
      </x:c>
      <x:c r="K28" s="9" t="str">
        <x:v>PLANNING</x:v>
      </x:c>
    </x:row>
    <x:row r="29">
      <x:c r="B29" s="9" t="str">
        <x:v>RB-101</x:v>
      </x:c>
      <x:c r="C29" s="9" t="str">
        <x:v>ROOT_B</x:v>
      </x:c>
      <x:c r="D29" s="9" t="str">
        <x:v>primary arrangement</x:v>
      </x:c>
      <x:c r="E29" s="9" t="str">
        <x:v>Root B definition</x:v>
      </x:c>
      <x:c r="F29" s="9" t="n">
        <x:v>1</x:v>
      </x:c>
      <x:c r="G29" s="9" t="n">
        <x:v>1</x:v>
      </x:c>
      <x:c r="H29" s="9" t="n">
        <x:v>1</x:v>
      </x:c>
      <x:c r="I29" s="9" t="n">
        <x:v>1</x:v>
      </x:c>
      <x:c r="J29" s="9" t="str">
        <x:f>IF(AND(E29&lt;&gt;"",F29=1,G29=1,H29=1,I29=1),"PASS","FAIL")</x:f>
        <x:v>PASS</x:v>
      </x:c>
      <x:c r="K29" s="9" t="str">
        <x:v>PLANNING</x:v>
      </x:c>
    </x:row>
    <x:row r="30">
      <x:c r="B30" s="9" t="str">
        <x:v>RB-102</x:v>
      </x:c>
      <x:c r="C30" s="9" t="str">
        <x:v>ROOT_B</x:v>
      </x:c>
      <x:c r="D30" s="9" t="str">
        <x:v>reaction frames or diaphragms</x:v>
      </x:c>
      <x:c r="E30" s="9" t="str">
        <x:v>Root B definition</x:v>
      </x:c>
      <x:c r="F30" s="9" t="n">
        <x:v>1</x:v>
      </x:c>
      <x:c r="G30" s="9" t="n">
        <x:v>1</x:v>
      </x:c>
      <x:c r="H30" s="9" t="n">
        <x:v>1</x:v>
      </x:c>
      <x:c r="I30" s="9" t="n">
        <x:v>1</x:v>
      </x:c>
      <x:c r="J30" s="9" t="str">
        <x:f>IF(AND(E30&lt;&gt;"",F30=1,G30=1,H30=1,I30=1),"PASS","FAIL")</x:f>
        <x:v>PASS</x:v>
      </x:c>
      <x:c r="K30" s="9" t="str">
        <x:v>PLANNING</x:v>
      </x:c>
    </x:row>
    <x:row r="31">
      <x:c r="B31" s="9" t="str">
        <x:v>RB-103</x:v>
      </x:c>
      <x:c r="C31" s="9" t="str">
        <x:v>ROOT_B</x:v>
      </x:c>
      <x:c r="D31" s="9" t="str">
        <x:v>anchor outrigger structure</x:v>
      </x:c>
      <x:c r="E31" s="9" t="str">
        <x:v>Root B definition</x:v>
      </x:c>
      <x:c r="F31" s="9" t="n">
        <x:v>1</x:v>
      </x:c>
      <x:c r="G31" s="9" t="n">
        <x:v>1</x:v>
      </x:c>
      <x:c r="H31" s="9" t="n">
        <x:v>1</x:v>
      </x:c>
      <x:c r="I31" s="9" t="n">
        <x:v>1</x:v>
      </x:c>
      <x:c r="J31" s="9" t="str">
        <x:f>IF(AND(E31&lt;&gt;"",F31=1,G31=1,H31=1,I31=1),"PASS","FAIL")</x:f>
        <x:v>PASS</x:v>
      </x:c>
      <x:c r="K31" s="9" t="str">
        <x:v>PLANNING</x:v>
      </x:c>
    </x:row>
    <x:row r="32">
      <x:c r="B32" s="9" t="str">
        <x:v>RB-104</x:v>
      </x:c>
      <x:c r="C32" s="9" t="str">
        <x:v>ROOT_B</x:v>
      </x:c>
      <x:c r="D32" s="9" t="str">
        <x:v>article-owned handling system</x:v>
      </x:c>
      <x:c r="E32" s="9" t="str">
        <x:v>Root B definition</x:v>
      </x:c>
      <x:c r="F32" s="9" t="n">
        <x:v>1</x:v>
      </x:c>
      <x:c r="G32" s="9" t="n">
        <x:v>1</x:v>
      </x:c>
      <x:c r="H32" s="9" t="n">
        <x:v>1</x:v>
      </x:c>
      <x:c r="I32" s="9" t="n">
        <x:v>1</x:v>
      </x:c>
      <x:c r="J32" s="9" t="str">
        <x:f>IF(AND(E32&lt;&gt;"",F32=1,G32=1,H32=1,I32=1),"PASS","FAIL")</x:f>
        <x:v>PASS</x:v>
      </x:c>
      <x:c r="K32" s="9" t="str">
        <x:v>PLANNING</x:v>
      </x:c>
    </x:row>
    <x:row r="33">
      <x:c r="B33" s="9" t="str">
        <x:v>RB-105</x:v>
      </x:c>
      <x:c r="C33" s="9" t="str">
        <x:v>ROOT_B</x:v>
      </x:c>
      <x:c r="D33" s="9" t="str">
        <x:v>hydraulic path and restraints</x:v>
      </x:c>
      <x:c r="E33" s="9" t="str">
        <x:v>Root B definition</x:v>
      </x:c>
      <x:c r="F33" s="9" t="n">
        <x:v>1</x:v>
      </x:c>
      <x:c r="G33" s="9" t="n">
        <x:v>1</x:v>
      </x:c>
      <x:c r="H33" s="9" t="n">
        <x:v>1</x:v>
      </x:c>
      <x:c r="I33" s="9" t="n">
        <x:v>1</x:v>
      </x:c>
      <x:c r="J33" s="9" t="str">
        <x:f>IF(AND(E33&lt;&gt;"",F33=1,G33=1,H33=1,I33=1),"PASS","FAIL")</x:f>
        <x:v>PASS</x:v>
      </x:c>
      <x:c r="K33" s="9" t="str">
        <x:v>PLANNING</x:v>
      </x:c>
    </x:row>
    <x:row r="34">
      <x:c r="B34" s="9" t="str">
        <x:v>RB-106</x:v>
      </x:c>
      <x:c r="C34" s="9" t="str">
        <x:v>ROOT_B</x:v>
      </x:c>
      <x:c r="D34" s="9" t="str">
        <x:v>root-specific collar section</x:v>
      </x:c>
      <x:c r="E34" s="9" t="str">
        <x:v>Root B definition</x:v>
      </x:c>
      <x:c r="F34" s="9" t="n">
        <x:v>1</x:v>
      </x:c>
      <x:c r="G34" s="9" t="n">
        <x:v>1</x:v>
      </x:c>
      <x:c r="H34" s="9" t="n">
        <x:v>1</x:v>
      </x:c>
      <x:c r="I34" s="9" t="n">
        <x:v>1</x:v>
      </x:c>
      <x:c r="J34" s="9" t="str">
        <x:f>IF(AND(E34&lt;&gt;"",F34=1,G34=1,H34=1,I34=1),"PASS","FAIL")</x:f>
        <x:v>PASS</x:v>
      </x:c>
      <x:c r="K34" s="9" t="str">
        <x:v>PLANNING</x:v>
      </x:c>
    </x:row>
    <x:row r="35">
      <x:c r="B35" s="9" t="str">
        <x:v>RB-107</x:v>
      </x:c>
      <x:c r="C35" s="9" t="str">
        <x:v>ROOT_B</x:v>
      </x:c>
      <x:c r="D35" s="9" t="str">
        <x:v>sanitary valve and sample layout</x:v>
      </x:c>
      <x:c r="E35" s="9" t="str">
        <x:v>Root B definition</x:v>
      </x:c>
      <x:c r="F35" s="9" t="n">
        <x:v>1</x:v>
      </x:c>
      <x:c r="G35" s="9" t="n">
        <x:v>1</x:v>
      </x:c>
      <x:c r="H35" s="9" t="n">
        <x:v>1</x:v>
      </x:c>
      <x:c r="I35" s="9" t="n">
        <x:v>1</x:v>
      </x:c>
      <x:c r="J35" s="9" t="str">
        <x:f>IF(AND(E35&lt;&gt;"",F35=1,G35=1,H35=1,I35=1),"PASS","FAIL")</x:f>
        <x:v>PASS</x:v>
      </x:c>
      <x:c r="K35" s="9" t="str">
        <x:v>PLANNING</x:v>
      </x:c>
    </x:row>
    <x:row r="36">
      <x:c r="B36" s="9" t="str">
        <x:v>RB-108</x:v>
      </x:c>
      <x:c r="C36" s="9" t="str">
        <x:v>ROOT_B</x:v>
      </x:c>
      <x:c r="D36" s="9" t="str">
        <x:v>rotating source and conversion</x:v>
      </x:c>
      <x:c r="E36" s="9" t="str">
        <x:v>Root B definition</x:v>
      </x:c>
      <x:c r="F36" s="9" t="n">
        <x:v>1</x:v>
      </x:c>
      <x:c r="G36" s="9" t="n">
        <x:v>1</x:v>
      </x:c>
      <x:c r="H36" s="9" t="n">
        <x:v>1</x:v>
      </x:c>
      <x:c r="I36" s="9" t="n">
        <x:v>1</x:v>
      </x:c>
      <x:c r="J36" s="9" t="str">
        <x:f>IF(AND(E36&lt;&gt;"",F36=1,G36=1,H36=1,I36=1),"PASS","FAIL")</x:f>
        <x:v>PASS</x:v>
      </x:c>
      <x:c r="K36" s="9" t="str">
        <x:v>PLANNING</x:v>
      </x:c>
    </x:row>
    <x:row r="37">
      <x:c r="B37" s="9" t="str">
        <x:v>RB-109</x:v>
      </x:c>
      <x:c r="C37" s="9" t="str">
        <x:v>ROOT_B</x:v>
      </x:c>
      <x:c r="D37" s="9" t="str">
        <x:v>storage and protection</x:v>
      </x:c>
      <x:c r="E37" s="9" t="str">
        <x:v>Root B definition</x:v>
      </x:c>
      <x:c r="F37" s="9" t="n">
        <x:v>1</x:v>
      </x:c>
      <x:c r="G37" s="9" t="n">
        <x:v>1</x:v>
      </x:c>
      <x:c r="H37" s="9" t="n">
        <x:v>1</x:v>
      </x:c>
      <x:c r="I37" s="9" t="n">
        <x:v>1</x:v>
      </x:c>
      <x:c r="J37" s="9" t="str">
        <x:f>IF(AND(E37&lt;&gt;"",F37=1,G37=1,H37=1,I37=1),"PASS","FAIL")</x:f>
        <x:v>PASS</x:v>
      </x:c>
      <x:c r="K37" s="9" t="str">
        <x:v>PLANNING</x:v>
      </x:c>
    </x:row>
    <x:row r="38">
      <x:c r="B38" s="9" t="str">
        <x:v>RB-110</x:v>
      </x:c>
      <x:c r="C38" s="9" t="str">
        <x:v>ROOT_B</x:v>
      </x:c>
      <x:c r="D38" s="9" t="str">
        <x:v>grounding and protection</x:v>
      </x:c>
      <x:c r="E38" s="9" t="str">
        <x:v>Root B definition</x:v>
      </x:c>
      <x:c r="F38" s="9" t="n">
        <x:v>1</x:v>
      </x:c>
      <x:c r="G38" s="9" t="n">
        <x:v>1</x:v>
      </x:c>
      <x:c r="H38" s="9" t="n">
        <x:v>1</x:v>
      </x:c>
      <x:c r="I38" s="9" t="n">
        <x:v>1</x:v>
      </x:c>
      <x:c r="J38" s="9" t="str">
        <x:f>IF(AND(E38&lt;&gt;"",F38=1,G38=1,H38=1,I38=1),"PASS","FAIL")</x:f>
        <x:v>PASS</x:v>
      </x:c>
      <x:c r="K38" s="9" t="str">
        <x:v>PLANNING</x:v>
      </x:c>
    </x:row>
    <x:row r="39">
      <x:c r="B39" s="9" t="str">
        <x:v>RB-111</x:v>
      </x:c>
      <x:c r="C39" s="9" t="str">
        <x:v>ROOT_B</x:v>
      </x:c>
      <x:c r="D39" s="9" t="str">
        <x:v>thermal and fire control</x:v>
      </x:c>
      <x:c r="E39" s="9" t="str">
        <x:v>Root B definition</x:v>
      </x:c>
      <x:c r="F39" s="9" t="n">
        <x:v>1</x:v>
      </x:c>
      <x:c r="G39" s="9" t="n">
        <x:v>1</x:v>
      </x:c>
      <x:c r="H39" s="9" t="n">
        <x:v>1</x:v>
      </x:c>
      <x:c r="I39" s="9" t="n">
        <x:v>1</x:v>
      </x:c>
      <x:c r="J39" s="9" t="str">
        <x:f>IF(AND(E39&lt;&gt;"",F39=1,G39=1,H39=1,I39=1),"PASS","FAIL")</x:f>
        <x:v>PASS</x:v>
      </x:c>
      <x:c r="K39" s="9" t="str">
        <x:v>PLANNING</x:v>
      </x:c>
    </x:row>
    <x:row r="40">
      <x:c r="B40" s="9" t="str">
        <x:v>RB-112</x:v>
      </x:c>
      <x:c r="C40" s="9" t="str">
        <x:v>ROOT_B</x:v>
      </x:c>
      <x:c r="D40" s="9" t="str">
        <x:v>evidence routes and teardown</x:v>
      </x:c>
      <x:c r="E40" s="9" t="str">
        <x:v>Root B definition</x:v>
      </x:c>
      <x:c r="F40" s="9" t="n">
        <x:v>1</x:v>
      </x:c>
      <x:c r="G40" s="9" t="n">
        <x:v>1</x:v>
      </x:c>
      <x:c r="H40" s="9" t="n">
        <x:v>1</x:v>
      </x:c>
      <x:c r="I40" s="9" t="n">
        <x:v>1</x:v>
      </x:c>
      <x:c r="J40" s="9" t="str">
        <x:f>IF(AND(E40&lt;&gt;"",F40=1,G40=1,H40=1,I40=1),"PASS","FAIL")</x:f>
        <x:v>PASS</x:v>
      </x:c>
      <x:c r="K40" s="9" t="str">
        <x:v>PLANNING</x:v>
      </x:c>
    </x:row>
    <x:row r="41">
      <x:c r="B41" s="9" t="str">
        <x:v>RCV-201</x:v>
      </x:c>
      <x:c r="C41" s="9" t="str">
        <x:v>RECEIVER</x:v>
      </x:c>
      <x:c r="D41" s="9" t="str">
        <x:v>RW1 hardstand spine</x:v>
      </x:c>
      <x:c r="E41" s="9" t="str">
        <x:v>range authority</x:v>
      </x:c>
      <x:c r="F41" s="9" t="n">
        <x:v>1</x:v>
      </x:c>
      <x:c r="G41" s="9" t="n">
        <x:v>1</x:v>
      </x:c>
      <x:c r="H41" s="9" t="n">
        <x:v>1</x:v>
      </x:c>
      <x:c r="I41" s="9" t="n">
        <x:v>1</x:v>
      </x:c>
      <x:c r="J41" s="9" t="str">
        <x:f>IF(AND(E41&lt;&gt;"",F41=1,G41=1,H41=1,I41=1),"PASS","FAIL")</x:f>
        <x:v>PASS</x:v>
      </x:c>
      <x:c r="K41" s="9" t="str">
        <x:v>PLANNING</x:v>
      </x:c>
    </x:row>
    <x:row r="42">
      <x:c r="B42" s="9" t="str">
        <x:v>RCV-202</x:v>
      </x:c>
      <x:c r="C42" s="9" t="str">
        <x:v>RECEIVER</x:v>
      </x:c>
      <x:c r="D42" s="9" t="str">
        <x:v>RW2 weak-ground spine</x:v>
      </x:c>
      <x:c r="E42" s="9" t="str">
        <x:v>range authority</x:v>
      </x:c>
      <x:c r="F42" s="9" t="n">
        <x:v>1</x:v>
      </x:c>
      <x:c r="G42" s="9" t="n">
        <x:v>1</x:v>
      </x:c>
      <x:c r="H42" s="9" t="n">
        <x:v>1</x:v>
      </x:c>
      <x:c r="I42" s="9" t="n">
        <x:v>1</x:v>
      </x:c>
      <x:c r="J42" s="9" t="str">
        <x:f>IF(AND(E42&lt;&gt;"",F42=1,G42=1,H42=1,I42=1),"PASS","FAIL")</x:f>
        <x:v>PASS</x:v>
      </x:c>
      <x:c r="K42" s="9" t="str">
        <x:v>PLANNING</x:v>
      </x:c>
    </x:row>
    <x:row r="43">
      <x:c r="B43" s="9" t="str">
        <x:v>RCV-203</x:v>
      </x:c>
      <x:c r="C43" s="9" t="str">
        <x:v>RECEIVER</x:v>
      </x:c>
      <x:c r="D43" s="9" t="str">
        <x:v>RW3 remote spine</x:v>
      </x:c>
      <x:c r="E43" s="9" t="str">
        <x:v>range authority</x:v>
      </x:c>
      <x:c r="F43" s="9" t="n">
        <x:v>1</x:v>
      </x:c>
      <x:c r="G43" s="9" t="n">
        <x:v>1</x:v>
      </x:c>
      <x:c r="H43" s="9" t="n">
        <x:v>1</x:v>
      </x:c>
      <x:c r="I43" s="9" t="n">
        <x:v>1</x:v>
      </x:c>
      <x:c r="J43" s="9" t="str">
        <x:f>IF(AND(E43&lt;&gt;"",F43=1,G43=1,H43=1,I43=1),"PASS","FAIL")</x:f>
        <x:v>PASS</x:v>
      </x:c>
      <x:c r="K43" s="9" t="str">
        <x:v>PLANNING</x:v>
      </x:c>
    </x:row>
    <x:row r="44">
      <x:c r="B44" s="9" t="str">
        <x:v>RCV-204</x:v>
      </x:c>
      <x:c r="C44" s="9" t="str">
        <x:v>RECEIVER</x:v>
      </x:c>
      <x:c r="D44" s="9" t="str">
        <x:v>24 m hydraulic return fixture</x:v>
      </x:c>
      <x:c r="E44" s="9" t="str">
        <x:v>range authority</x:v>
      </x:c>
      <x:c r="F44" s="9" t="n">
        <x:v>1</x:v>
      </x:c>
      <x:c r="G44" s="9" t="n">
        <x:v>1</x:v>
      </x:c>
      <x:c r="H44" s="9" t="n">
        <x:v>1</x:v>
      </x:c>
      <x:c r="I44" s="9" t="n">
        <x:v>1</x:v>
      </x:c>
      <x:c r="J44" s="9" t="str">
        <x:f>IF(AND(E44&lt;&gt;"",F44=1,G44=1,H44=1,I44=1),"PASS","FAIL")</x:f>
        <x:v>PASS</x:v>
      </x:c>
      <x:c r="K44" s="9" t="str">
        <x:v>PLANNING</x:v>
      </x:c>
    </x:row>
    <x:row r="45">
      <x:c r="B45" s="9" t="str">
        <x:v>RCV-205</x:v>
      </x:c>
      <x:c r="C45" s="9" t="str">
        <x:v>RECEIVER</x:v>
      </x:c>
      <x:c r="D45" s="9" t="str">
        <x:v>structural and lift truth frame</x:v>
      </x:c>
      <x:c r="E45" s="9" t="str">
        <x:v>range authority</x:v>
      </x:c>
      <x:c r="F45" s="9" t="n">
        <x:v>1</x:v>
      </x:c>
      <x:c r="G45" s="9" t="n">
        <x:v>1</x:v>
      </x:c>
      <x:c r="H45" s="9" t="n">
        <x:v>1</x:v>
      </x:c>
      <x:c r="I45" s="9" t="n">
        <x:v>1</x:v>
      </x:c>
      <x:c r="J45" s="9" t="str">
        <x:f>IF(AND(E45&lt;&gt;"",F45=1,G45=1,H45=1,I45=1),"PASS","FAIL")</x:f>
        <x:v>PASS</x:v>
      </x:c>
      <x:c r="K45" s="9" t="str">
        <x:v>PLANNING</x:v>
      </x:c>
    </x:row>
    <x:row r="46">
      <x:c r="B46" s="9" t="str">
        <x:v>RCV-206</x:v>
      </x:c>
      <x:c r="C46" s="9" t="str">
        <x:v>RECEIVER</x:v>
      </x:c>
      <x:c r="D46" s="9" t="str">
        <x:v>electrical load and ground emulator</x:v>
      </x:c>
      <x:c r="E46" s="9" t="str">
        <x:v>range authority</x:v>
      </x:c>
      <x:c r="F46" s="9" t="n">
        <x:v>1</x:v>
      </x:c>
      <x:c r="G46" s="9" t="n">
        <x:v>1</x:v>
      </x:c>
      <x:c r="H46" s="9" t="n">
        <x:v>1</x:v>
      </x:c>
      <x:c r="I46" s="9" t="n">
        <x:v>1</x:v>
      </x:c>
      <x:c r="J46" s="9" t="str">
        <x:f>IF(AND(E46&lt;&gt;"",F46=1,G46=1,H46=1,I46=1),"PASS","FAIL")</x:f>
        <x:v>PASS</x:v>
      </x:c>
      <x:c r="K46" s="9" t="str">
        <x:v>PLANNING</x:v>
      </x:c>
    </x:row>
    <x:row r="47">
      <x:c r="B47" s="9" t="str">
        <x:v>EV-301</x:v>
      </x:c>
      <x:c r="C47" s="9" t="str">
        <x:v>EVIDENCE</x:v>
      </x:c>
      <x:c r="D47" s="9" t="str">
        <x:v>thirteen-plane location register</x:v>
      </x:c>
      <x:c r="E47" s="9" t="str">
        <x:v>independent evidence</x:v>
      </x:c>
      <x:c r="F47" s="9" t="n">
        <x:v>1</x:v>
      </x:c>
      <x:c r="G47" s="9" t="n">
        <x:v>1</x:v>
      </x:c>
      <x:c r="H47" s="9" t="n">
        <x:v>1</x:v>
      </x:c>
      <x:c r="I47" s="9" t="n">
        <x:v>1</x:v>
      </x:c>
      <x:c r="J47" s="9" t="str">
        <x:f>IF(AND(E47&lt;&gt;"",F47=1,G47=1,H47=1,I47=1),"PASS","FAIL")</x:f>
        <x:v>PASS</x:v>
      </x:c>
      <x:c r="K47" s="9" t="str">
        <x:v>PLANNING</x:v>
      </x:c>
    </x:row>
    <x:row r="48">
      <x:c r="B48" s="9" t="str">
        <x:v>EV-302</x:v>
      </x:c>
      <x:c r="C48" s="9" t="str">
        <x:v>EVIDENCE</x:v>
      </x:c>
      <x:c r="D48" s="9" t="str">
        <x:v>structural channel and cable map</x:v>
      </x:c>
      <x:c r="E48" s="9" t="str">
        <x:v>independent evidence</x:v>
      </x:c>
      <x:c r="F48" s="9" t="n">
        <x:v>1</x:v>
      </x:c>
      <x:c r="G48" s="9" t="n">
        <x:v>1</x:v>
      </x:c>
      <x:c r="H48" s="9" t="n">
        <x:v>1</x:v>
      </x:c>
      <x:c r="I48" s="9" t="n">
        <x:v>1</x:v>
      </x:c>
      <x:c r="J48" s="9" t="str">
        <x:f>IF(AND(E48&lt;&gt;"",F48=1,G48=1,H48=1,I48=1),"PASS","FAIL")</x:f>
        <x:v>PASS</x:v>
      </x:c>
      <x:c r="K48" s="9" t="str">
        <x:v>PLANNING</x:v>
      </x:c>
    </x:row>
    <x:row r="49">
      <x:c r="B49" s="9" t="str">
        <x:v>EV-303</x:v>
      </x:c>
      <x:c r="C49" s="9" t="str">
        <x:v>EVIDENCE</x:v>
      </x:c>
      <x:c r="D49" s="9" t="str">
        <x:v>hydraulic and sanitary channel map</x:v>
      </x:c>
      <x:c r="E49" s="9" t="str">
        <x:v>independent evidence</x:v>
      </x:c>
      <x:c r="F49" s="9" t="n">
        <x:v>1</x:v>
      </x:c>
      <x:c r="G49" s="9" t="n">
        <x:v>1</x:v>
      </x:c>
      <x:c r="H49" s="9" t="n">
        <x:v>1</x:v>
      </x:c>
      <x:c r="I49" s="9" t="n">
        <x:v>1</x:v>
      </x:c>
      <x:c r="J49" s="9" t="str">
        <x:f>IF(AND(E49&lt;&gt;"",F49=1,G49=1,H49=1,I49=1),"PASS","FAIL")</x:f>
        <x:v>PASS</x:v>
      </x:c>
      <x:c r="K49" s="9" t="str">
        <x:v>PLANNING</x:v>
      </x:c>
    </x:row>
    <x:row r="50">
      <x:c r="B50" s="9" t="str">
        <x:v>EV-304</x:v>
      </x:c>
      <x:c r="C50" s="9" t="str">
        <x:v>EVIDENCE</x:v>
      </x:c>
      <x:c r="D50" s="9" t="str">
        <x:v>electrical waveform and trip map</x:v>
      </x:c>
      <x:c r="E50" s="9" t="str">
        <x:v>independent evidence</x:v>
      </x:c>
      <x:c r="F50" s="9" t="n">
        <x:v>1</x:v>
      </x:c>
      <x:c r="G50" s="9" t="n">
        <x:v>1</x:v>
      </x:c>
      <x:c r="H50" s="9" t="n">
        <x:v>1</x:v>
      </x:c>
      <x:c r="I50" s="9" t="n">
        <x:v>1</x:v>
      </x:c>
      <x:c r="J50" s="9" t="str">
        <x:f>IF(AND(E50&lt;&gt;"",F50=1,G50=1,H50=1,I50=1),"PASS","FAIL")</x:f>
        <x:v>PASS</x:v>
      </x:c>
      <x:c r="K50" s="9" t="str">
        <x:v>PLANNING</x:v>
      </x:c>
    </x:row>
    <x:row r="51">
      <x:c r="B51" s="9" t="str">
        <x:v>EV-305</x:v>
      </x:c>
      <x:c r="C51" s="9" t="str">
        <x:v>EVIDENCE</x:v>
      </x:c>
      <x:c r="D51" s="9" t="str">
        <x:v>evidence power and clock separation</x:v>
      </x:c>
      <x:c r="E51" s="9" t="str">
        <x:v>independent evidence</x:v>
      </x:c>
      <x:c r="F51" s="9" t="n">
        <x:v>1</x:v>
      </x:c>
      <x:c r="G51" s="9" t="n">
        <x:v>1</x:v>
      </x:c>
      <x:c r="H51" s="9" t="n">
        <x:v>1</x:v>
      </x:c>
      <x:c r="I51" s="9" t="n">
        <x:v>1</x:v>
      </x:c>
      <x:c r="J51" s="9" t="str">
        <x:f>IF(AND(E51&lt;&gt;"",F51=1,G51=1,H51=1,I51=1),"PASS","FAIL")</x:f>
        <x:v>PASS</x:v>
      </x:c>
      <x:c r="K51" s="9" t="str">
        <x:v>PLANNING</x:v>
      </x:c>
    </x:row>
    <x:row r="52">
      <x:c r="B52" s="9" t="str">
        <x:v>EV-306</x:v>
      </x:c>
      <x:c r="C52" s="9" t="str">
        <x:v>EVIDENCE</x:v>
      </x:c>
      <x:c r="D52" s="9" t="str">
        <x:v>access, exclusion and rescue plan</x:v>
      </x:c>
      <x:c r="E52" s="9" t="str">
        <x:v>independent evidence</x:v>
      </x:c>
      <x:c r="F52" s="9" t="n">
        <x:v>1</x:v>
      </x:c>
      <x:c r="G52" s="9" t="n">
        <x:v>1</x:v>
      </x:c>
      <x:c r="H52" s="9" t="n">
        <x:v>1</x:v>
      </x:c>
      <x:c r="I52" s="9" t="n">
        <x:v>1</x:v>
      </x:c>
      <x:c r="J52" s="9" t="str">
        <x:f>IF(AND(E52&lt;&gt;"",F52=1,G52=1,H52=1,I52=1),"PASS","FAIL")</x:f>
        <x:v>PASS</x:v>
      </x:c>
      <x:c r="K52" s="9" t="str">
        <x:v>PLANNING</x:v>
      </x:c>
    </x:row>
    <x:row r="53">
      <x:c r="B53" s="9" t="str">
        <x:v>EV-307</x:v>
      </x:c>
      <x:c r="C53" s="9" t="str">
        <x:v>EVIDENCE</x:v>
      </x:c>
      <x:c r="D53" s="9" t="str">
        <x:v>containment and environmental closure</x:v>
      </x:c>
      <x:c r="E53" s="9" t="str">
        <x:v>independent evidence</x:v>
      </x:c>
      <x:c r="F53" s="9" t="n">
        <x:v>1</x:v>
      </x:c>
      <x:c r="G53" s="9" t="n">
        <x:v>1</x:v>
      </x:c>
      <x:c r="H53" s="9" t="n">
        <x:v>1</x:v>
      </x:c>
      <x:c r="I53" s="9" t="n">
        <x:v>1</x:v>
      </x:c>
      <x:c r="J53" s="9" t="str">
        <x:f>IF(AND(E53&lt;&gt;"",F53=1,G53=1,H53=1,I53=1),"PASS","FAIL")</x:f>
        <x:v>PASS</x:v>
      </x:c>
      <x:c r="K53" s="9" t="str">
        <x:v>PLANNING</x:v>
      </x:c>
    </x:row>
    <x:row r="54">
      <x:c r="B54" s="10" t="str">
        <x:v>EV-308</x:v>
      </x:c>
      <x:c r="C54" s="10" t="str">
        <x:v>EVIDENCE</x:v>
      </x:c>
      <x:c r="D54" s="10" t="str">
        <x:v>destructive teardown and retained items</x:v>
      </x:c>
      <x:c r="E54" s="10" t="str">
        <x:v>independent evidence</x:v>
      </x:c>
      <x:c r="F54" s="10" t="n">
        <x:v>1</x:v>
      </x:c>
      <x:c r="G54" s="10" t="n">
        <x:v>1</x:v>
      </x:c>
      <x:c r="H54" s="10" t="n">
        <x:v>1</x:v>
      </x:c>
      <x:c r="I54" s="10" t="n">
        <x:v>1</x:v>
      </x:c>
      <x:c r="J54" s="10" t="str">
        <x:f>IF(AND(E54&lt;&gt;"",F54=1,G54=1,H54=1,I54=1),"PASS","FAIL")</x:f>
        <x:v>PASS</x:v>
      </x:c>
      <x:c r="K54" s="10" t="str">
        <x:v>PLANNING</x:v>
      </x:c>
    </x:row>
  </x:sheetData>
  <x:mergeCells>
    <x:mergeCell ref="B2:K2"/>
    <x:mergeCell ref="B3:K3"/>
  </x:mergeCells>
  <x:conditionalFormatting sqref="J7:K54">
    <x:cfRule type="containsText" dxfId="180" priority="1" operator="containsText" text="PASS"/>
    <x:cfRule type="containsText" dxfId="181" priority="2" operator="containsText" text="AUTHORIZED"/>
    <x:cfRule type="containsText" dxfId="182" priority="3" operator="containsText" text="DEFINED"/>
    <x:cfRule type="containsText" dxfId="183" priority="4" operator="containsText" text="READY"/>
    <x:cfRule type="containsText" dxfId="184" priority="5" operator="containsText" text="HOLD"/>
    <x:cfRule type="containsText" dxfId="185" priority="6" operator="containsText" text="OPEN"/>
    <x:cfRule type="containsText" dxfId="186" priority="7" operator="containsText" text="BLOCKED"/>
    <x:cfRule type="containsText" dxfId="187" priority="8" operator="containsText" text="PLANNING"/>
    <x:cfRule type="containsText" dxfId="188" priority="9" operator="containsText" text="FAIL"/>
    <x:cfRule type="containsText" dxfId="189" priority="10" operator="containsText" text="REJECT"/>
    <x:cfRule type="containsText" dxfId="190" priority="11" operator="containsText" text="INCOMPLETE"/>
    <x:cfRule type="containsText" dxfId="191" priority="12" operator="containsText" text="INDETERMINATE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2" hidden="0" customWidth="1"/>
    <x:col min="3" max="3" width="12" hidden="0" customWidth="1"/>
    <x:col min="4" max="4" width="30" hidden="0" customWidth="1"/>
    <x:col min="5" max="5" width="14" hidden="0" customWidth="1"/>
    <x:col min="6" max="6" width="25" hidden="0" customWidth="1"/>
    <x:col min="7" max="7" width="18" hidden="0" customWidth="1"/>
    <x:col min="8" max="8" width="45" hidden="0" customWidth="1"/>
    <x:col min="9" max="9" width="15" hidden="0" customWidth="1"/>
    <x:col min="10" max="10" width="16" hidden="0" customWidth="1"/>
  </x:cols>
  <x:sheetData>
    <x:row r="2">
      <x:c r="B2" s="28" t="str">
        <x:v>Fifty-two root build-record schemas</x:v>
      </x:c>
      <x:c r="C2" s="8"/>
      <x:c r="D2" s="8"/>
      <x:c r="E2" s="8"/>
      <x:c r="F2" s="8"/>
      <x:c r="G2" s="8"/>
      <x:c r="H2" s="8"/>
      <x:c r="I2" s="8"/>
      <x:c r="J2" s="8"/>
    </x:row>
    <x:row r="3">
      <x:c r="B3" s="2" t="str">
        <x:v>Each root owes 26 independent material, process, closure, software, metrology and mass records.</x:v>
      </x:c>
      <x:c r="C3" s="8"/>
      <x:c r="D3" s="8"/>
      <x:c r="E3" s="8"/>
      <x:c r="F3" s="8"/>
      <x:c r="G3" s="8"/>
      <x:c r="H3" s="8"/>
      <x:c r="I3" s="8"/>
      <x:c r="J3" s="8"/>
    </x:row>
    <x:row r="4">
      <x:c r="B4" s="29"/>
      <x:c r="C4" s="29"/>
      <x:c r="D4" s="29"/>
      <x:c r="E4" s="29"/>
      <x:c r="F4" s="29"/>
      <x:c r="G4" s="29"/>
      <x:c r="H4" s="29"/>
      <x:c r="I4" s="29"/>
      <x:c r="J4" s="29"/>
    </x:row>
    <x:row r="5">
      <x:c r="B5" s="8"/>
      <x:c r="C5" s="8"/>
      <x:c r="D5" s="8"/>
      <x:c r="E5" s="8"/>
      <x:c r="F5" s="8"/>
      <x:c r="G5" s="8"/>
      <x:c r="H5" s="8"/>
      <x:c r="I5" s="8"/>
      <x:c r="J5" s="8"/>
    </x:row>
    <x:row r="6">
      <x:c r="B6" s="7" t="str">
        <x:v>Record ID</x:v>
      </x:c>
      <x:c r="C6" s="7" t="str">
        <x:v>Root</x:v>
      </x:c>
      <x:c r="D6" s="7" t="str">
        <x:v>Family</x:v>
      </x:c>
      <x:c r="E6" s="7" t="str">
        <x:v>Sequence</x:v>
      </x:c>
      <x:c r="F6" s="7" t="str">
        <x:v>Owner</x:v>
      </x:c>
      <x:c r="G6" s="7" t="str">
        <x:v>Native schema</x:v>
      </x:c>
      <x:c r="H6" s="7" t="str">
        <x:v>Custody rule</x:v>
      </x:c>
      <x:c r="I6" s="7" t="str">
        <x:v>Populated</x:v>
      </x:c>
      <x:c r="J6" s="7" t="str">
        <x:v>Planning gate</x:v>
      </x:c>
    </x:row>
    <x:row r="7">
      <x:c r="B7" s="9" t="str">
        <x:v>RA-MATERIAL-01</x:v>
      </x:c>
      <x:c r="C7" s="9" t="str">
        <x:v>RA</x:v>
      </x:c>
      <x:c r="D7" s="9" t="str">
        <x:v>MATERIAL</x:v>
      </x:c>
      <x:c r="E7" s="9" t="n">
        <x:v>1</x:v>
      </x:c>
      <x:c r="F7" s="9" t="str">
        <x:v>root configuration</x:v>
      </x:c>
      <x:c r="G7" s="9" t="n">
        <x:v>1</x:v>
      </x:c>
      <x:c r="H7" s="9" t="str">
        <x:v>stable ID + ancestry + signatures</x:v>
      </x:c>
      <x:c r="I7" s="9" t="n">
        <x:v>0</x:v>
      </x:c>
      <x:c r="J7" s="9" t="str">
        <x:f>IF(AND(F7&lt;&gt;"",G7=1,H7&lt;&gt;""),"PASS","FAIL")</x:f>
        <x:v>PASS</x:v>
      </x:c>
    </x:row>
    <x:row r="8">
      <x:c r="B8" s="9" t="str">
        <x:v>RA-MATERIAL-02</x:v>
      </x:c>
      <x:c r="C8" s="9" t="str">
        <x:v>RA</x:v>
      </x:c>
      <x:c r="D8" s="9" t="str">
        <x:v>MATERIAL</x:v>
      </x:c>
      <x:c r="E8" s="9" t="n">
        <x:v>2</x:v>
      </x:c>
      <x:c r="F8" s="9" t="str">
        <x:v>root configuration</x:v>
      </x:c>
      <x:c r="G8" s="9" t="n">
        <x:v>1</x:v>
      </x:c>
      <x:c r="H8" s="9" t="str">
        <x:v>stable ID + ancestry + signatures</x:v>
      </x:c>
      <x:c r="I8" s="9" t="n">
        <x:v>0</x:v>
      </x:c>
      <x:c r="J8" s="9" t="str">
        <x:f>IF(AND(F8&lt;&gt;"",G8=1,H8&lt;&gt;""),"PASS","FAIL")</x:f>
        <x:v>PASS</x:v>
      </x:c>
    </x:row>
    <x:row r="9">
      <x:c r="B9" s="9" t="str">
        <x:v>RA-MATERIAL-03</x:v>
      </x:c>
      <x:c r="C9" s="9" t="str">
        <x:v>RA</x:v>
      </x:c>
      <x:c r="D9" s="9" t="str">
        <x:v>MATERIAL</x:v>
      </x:c>
      <x:c r="E9" s="9" t="n">
        <x:v>3</x:v>
      </x:c>
      <x:c r="F9" s="9" t="str">
        <x:v>root configuration</x:v>
      </x:c>
      <x:c r="G9" s="9" t="n">
        <x:v>1</x:v>
      </x:c>
      <x:c r="H9" s="9" t="str">
        <x:v>stable ID + ancestry + signatures</x:v>
      </x:c>
      <x:c r="I9" s="9" t="n">
        <x:v>0</x:v>
      </x:c>
      <x:c r="J9" s="9" t="str">
        <x:f>IF(AND(F9&lt;&gt;"",G9=1,H9&lt;&gt;""),"PASS","FAIL")</x:f>
        <x:v>PASS</x:v>
      </x:c>
    </x:row>
    <x:row r="10">
      <x:c r="B10" s="9" t="str">
        <x:v>RA-MATERIAL-04</x:v>
      </x:c>
      <x:c r="C10" s="9" t="str">
        <x:v>RA</x:v>
      </x:c>
      <x:c r="D10" s="9" t="str">
        <x:v>MATERIAL</x:v>
      </x:c>
      <x:c r="E10" s="9" t="n">
        <x:v>4</x:v>
      </x:c>
      <x:c r="F10" s="9" t="str">
        <x:v>root configuration</x:v>
      </x:c>
      <x:c r="G10" s="9" t="n">
        <x:v>1</x:v>
      </x:c>
      <x:c r="H10" s="9" t="str">
        <x:v>stable ID + ancestry + signatures</x:v>
      </x:c>
      <x:c r="I10" s="9" t="n">
        <x:v>0</x:v>
      </x:c>
      <x:c r="J10" s="9" t="str">
        <x:f>IF(AND(F10&lt;&gt;"",G10=1,H10&lt;&gt;""),"PASS","FAIL")</x:f>
        <x:v>PASS</x:v>
      </x:c>
    </x:row>
    <x:row r="11">
      <x:c r="B11" s="9" t="str">
        <x:v>RA-MATERIAL-05</x:v>
      </x:c>
      <x:c r="C11" s="9" t="str">
        <x:v>RA</x:v>
      </x:c>
      <x:c r="D11" s="9" t="str">
        <x:v>MATERIAL</x:v>
      </x:c>
      <x:c r="E11" s="9" t="n">
        <x:v>5</x:v>
      </x:c>
      <x:c r="F11" s="9" t="str">
        <x:v>root configuration</x:v>
      </x:c>
      <x:c r="G11" s="9" t="n">
        <x:v>1</x:v>
      </x:c>
      <x:c r="H11" s="9" t="str">
        <x:v>stable ID + ancestry + signatures</x:v>
      </x:c>
      <x:c r="I11" s="9" t="n">
        <x:v>0</x:v>
      </x:c>
      <x:c r="J11" s="9" t="str">
        <x:f>IF(AND(F11&lt;&gt;"",G11=1,H11&lt;&gt;""),"PASS","FAIL")</x:f>
        <x:v>PASS</x:v>
      </x:c>
    </x:row>
    <x:row r="12">
      <x:c r="B12" s="9" t="str">
        <x:v>RA-MATERIAL-06</x:v>
      </x:c>
      <x:c r="C12" s="9" t="str">
        <x:v>RA</x:v>
      </x:c>
      <x:c r="D12" s="9" t="str">
        <x:v>MATERIAL</x:v>
      </x:c>
      <x:c r="E12" s="9" t="n">
        <x:v>6</x:v>
      </x:c>
      <x:c r="F12" s="9" t="str">
        <x:v>root configuration</x:v>
      </x:c>
      <x:c r="G12" s="9" t="n">
        <x:v>1</x:v>
      </x:c>
      <x:c r="H12" s="9" t="str">
        <x:v>stable ID + ancestry + signatures</x:v>
      </x:c>
      <x:c r="I12" s="9" t="n">
        <x:v>0</x:v>
      </x:c>
      <x:c r="J12" s="9" t="str">
        <x:f>IF(AND(F12&lt;&gt;"",G12=1,H12&lt;&gt;""),"PASS","FAIL")</x:f>
        <x:v>PASS</x:v>
      </x:c>
    </x:row>
    <x:row r="13">
      <x:c r="B13" s="9" t="str">
        <x:v>RA-MATERIAL-07</x:v>
      </x:c>
      <x:c r="C13" s="9" t="str">
        <x:v>RA</x:v>
      </x:c>
      <x:c r="D13" s="9" t="str">
        <x:v>MATERIAL</x:v>
      </x:c>
      <x:c r="E13" s="9" t="n">
        <x:v>7</x:v>
      </x:c>
      <x:c r="F13" s="9" t="str">
        <x:v>root configuration</x:v>
      </x:c>
      <x:c r="G13" s="9" t="n">
        <x:v>1</x:v>
      </x:c>
      <x:c r="H13" s="9" t="str">
        <x:v>stable ID + ancestry + signatures</x:v>
      </x:c>
      <x:c r="I13" s="9" t="n">
        <x:v>0</x:v>
      </x:c>
      <x:c r="J13" s="9" t="str">
        <x:f>IF(AND(F13&lt;&gt;"",G13=1,H13&lt;&gt;""),"PASS","FAIL")</x:f>
        <x:v>PASS</x:v>
      </x:c>
    </x:row>
    <x:row r="14">
      <x:c r="B14" s="9" t="str">
        <x:v>RA-MATERIAL-08</x:v>
      </x:c>
      <x:c r="C14" s="9" t="str">
        <x:v>RA</x:v>
      </x:c>
      <x:c r="D14" s="9" t="str">
        <x:v>MATERIAL</x:v>
      </x:c>
      <x:c r="E14" s="9" t="n">
        <x:v>8</x:v>
      </x:c>
      <x:c r="F14" s="9" t="str">
        <x:v>root configuration</x:v>
      </x:c>
      <x:c r="G14" s="9" t="n">
        <x:v>1</x:v>
      </x:c>
      <x:c r="H14" s="9" t="str">
        <x:v>stable ID + ancestry + signatures</x:v>
      </x:c>
      <x:c r="I14" s="9" t="n">
        <x:v>0</x:v>
      </x:c>
      <x:c r="J14" s="9" t="str">
        <x:f>IF(AND(F14&lt;&gt;"",G14=1,H14&lt;&gt;""),"PASS","FAIL")</x:f>
        <x:v>PASS</x:v>
      </x:c>
    </x:row>
    <x:row r="15">
      <x:c r="B15" s="9" t="str">
        <x:v>RA-TRAVELER-01</x:v>
      </x:c>
      <x:c r="C15" s="9" t="str">
        <x:v>RA</x:v>
      </x:c>
      <x:c r="D15" s="9" t="str">
        <x:v>TRAVELER</x:v>
      </x:c>
      <x:c r="E15" s="9" t="n">
        <x:v>1</x:v>
      </x:c>
      <x:c r="F15" s="9" t="str">
        <x:v>root configuration</x:v>
      </x:c>
      <x:c r="G15" s="9" t="n">
        <x:v>1</x:v>
      </x:c>
      <x:c r="H15" s="9" t="str">
        <x:v>stable ID + ancestry + signatures</x:v>
      </x:c>
      <x:c r="I15" s="9" t="n">
        <x:v>0</x:v>
      </x:c>
      <x:c r="J15" s="9" t="str">
        <x:f>IF(AND(F15&lt;&gt;"",G15=1,H15&lt;&gt;""),"PASS","FAIL")</x:f>
        <x:v>PASS</x:v>
      </x:c>
    </x:row>
    <x:row r="16">
      <x:c r="B16" s="9" t="str">
        <x:v>RA-TRAVELER-02</x:v>
      </x:c>
      <x:c r="C16" s="9" t="str">
        <x:v>RA</x:v>
      </x:c>
      <x:c r="D16" s="9" t="str">
        <x:v>TRAVELER</x:v>
      </x:c>
      <x:c r="E16" s="9" t="n">
        <x:v>2</x:v>
      </x:c>
      <x:c r="F16" s="9" t="str">
        <x:v>root configuration</x:v>
      </x:c>
      <x:c r="G16" s="9" t="n">
        <x:v>1</x:v>
      </x:c>
      <x:c r="H16" s="9" t="str">
        <x:v>stable ID + ancestry + signatures</x:v>
      </x:c>
      <x:c r="I16" s="9" t="n">
        <x:v>0</x:v>
      </x:c>
      <x:c r="J16" s="9" t="str">
        <x:f>IF(AND(F16&lt;&gt;"",G16=1,H16&lt;&gt;""),"PASS","FAIL")</x:f>
        <x:v>PASS</x:v>
      </x:c>
    </x:row>
    <x:row r="17">
      <x:c r="B17" s="9" t="str">
        <x:v>RA-TRAVELER-03</x:v>
      </x:c>
      <x:c r="C17" s="9" t="str">
        <x:v>RA</x:v>
      </x:c>
      <x:c r="D17" s="9" t="str">
        <x:v>TRAVELER</x:v>
      </x:c>
      <x:c r="E17" s="9" t="n">
        <x:v>3</x:v>
      </x:c>
      <x:c r="F17" s="9" t="str">
        <x:v>root configuration</x:v>
      </x:c>
      <x:c r="G17" s="9" t="n">
        <x:v>1</x:v>
      </x:c>
      <x:c r="H17" s="9" t="str">
        <x:v>stable ID + ancestry + signatures</x:v>
      </x:c>
      <x:c r="I17" s="9" t="n">
        <x:v>0</x:v>
      </x:c>
      <x:c r="J17" s="9" t="str">
        <x:f>IF(AND(F17&lt;&gt;"",G17=1,H17&lt;&gt;""),"PASS","FAIL")</x:f>
        <x:v>PASS</x:v>
      </x:c>
    </x:row>
    <x:row r="18">
      <x:c r="B18" s="9" t="str">
        <x:v>RA-TRAVELER-04</x:v>
      </x:c>
      <x:c r="C18" s="9" t="str">
        <x:v>RA</x:v>
      </x:c>
      <x:c r="D18" s="9" t="str">
        <x:v>TRAVELER</x:v>
      </x:c>
      <x:c r="E18" s="9" t="n">
        <x:v>4</x:v>
      </x:c>
      <x:c r="F18" s="9" t="str">
        <x:v>root configuration</x:v>
      </x:c>
      <x:c r="G18" s="9" t="n">
        <x:v>1</x:v>
      </x:c>
      <x:c r="H18" s="9" t="str">
        <x:v>stable ID + ancestry + signatures</x:v>
      </x:c>
      <x:c r="I18" s="9" t="n">
        <x:v>0</x:v>
      </x:c>
      <x:c r="J18" s="9" t="str">
        <x:f>IF(AND(F18&lt;&gt;"",G18=1,H18&lt;&gt;""),"PASS","FAIL")</x:f>
        <x:v>PASS</x:v>
      </x:c>
    </x:row>
    <x:row r="19">
      <x:c r="B19" s="9" t="str">
        <x:v>RA-TRAVELER-05</x:v>
      </x:c>
      <x:c r="C19" s="9" t="str">
        <x:v>RA</x:v>
      </x:c>
      <x:c r="D19" s="9" t="str">
        <x:v>TRAVELER</x:v>
      </x:c>
      <x:c r="E19" s="9" t="n">
        <x:v>5</x:v>
      </x:c>
      <x:c r="F19" s="9" t="str">
        <x:v>root configuration</x:v>
      </x:c>
      <x:c r="G19" s="9" t="n">
        <x:v>1</x:v>
      </x:c>
      <x:c r="H19" s="9" t="str">
        <x:v>stable ID + ancestry + signatures</x:v>
      </x:c>
      <x:c r="I19" s="9" t="n">
        <x:v>0</x:v>
      </x:c>
      <x:c r="J19" s="9" t="str">
        <x:f>IF(AND(F19&lt;&gt;"",G19=1,H19&lt;&gt;""),"PASS","FAIL")</x:f>
        <x:v>PASS</x:v>
      </x:c>
    </x:row>
    <x:row r="20">
      <x:c r="B20" s="9" t="str">
        <x:v>RA-TRAVELER-06</x:v>
      </x:c>
      <x:c r="C20" s="9" t="str">
        <x:v>RA</x:v>
      </x:c>
      <x:c r="D20" s="9" t="str">
        <x:v>TRAVELER</x:v>
      </x:c>
      <x:c r="E20" s="9" t="n">
        <x:v>6</x:v>
      </x:c>
      <x:c r="F20" s="9" t="str">
        <x:v>root configuration</x:v>
      </x:c>
      <x:c r="G20" s="9" t="n">
        <x:v>1</x:v>
      </x:c>
      <x:c r="H20" s="9" t="str">
        <x:v>stable ID + ancestry + signatures</x:v>
      </x:c>
      <x:c r="I20" s="9" t="n">
        <x:v>0</x:v>
      </x:c>
      <x:c r="J20" s="9" t="str">
        <x:f>IF(AND(F20&lt;&gt;"",G20=1,H20&lt;&gt;""),"PASS","FAIL")</x:f>
        <x:v>PASS</x:v>
      </x:c>
    </x:row>
    <x:row r="21">
      <x:c r="B21" s="9" t="str">
        <x:v>RA-JOINT-01</x:v>
      </x:c>
      <x:c r="C21" s="9" t="str">
        <x:v>RA</x:v>
      </x:c>
      <x:c r="D21" s="9" t="str">
        <x:v>JOINT</x:v>
      </x:c>
      <x:c r="E21" s="9" t="n">
        <x:v>1</x:v>
      </x:c>
      <x:c r="F21" s="9" t="str">
        <x:v>root configuration</x:v>
      </x:c>
      <x:c r="G21" s="9" t="n">
        <x:v>1</x:v>
      </x:c>
      <x:c r="H21" s="9" t="str">
        <x:v>stable ID + ancestry + signatures</x:v>
      </x:c>
      <x:c r="I21" s="9" t="n">
        <x:v>0</x:v>
      </x:c>
      <x:c r="J21" s="9" t="str">
        <x:f>IF(AND(F21&lt;&gt;"",G21=1,H21&lt;&gt;""),"PASS","FAIL")</x:f>
        <x:v>PASS</x:v>
      </x:c>
    </x:row>
    <x:row r="22">
      <x:c r="B22" s="9" t="str">
        <x:v>RA-JOINT-02</x:v>
      </x:c>
      <x:c r="C22" s="9" t="str">
        <x:v>RA</x:v>
      </x:c>
      <x:c r="D22" s="9" t="str">
        <x:v>JOINT</x:v>
      </x:c>
      <x:c r="E22" s="9" t="n">
        <x:v>2</x:v>
      </x:c>
      <x:c r="F22" s="9" t="str">
        <x:v>root configuration</x:v>
      </x:c>
      <x:c r="G22" s="9" t="n">
        <x:v>1</x:v>
      </x:c>
      <x:c r="H22" s="9" t="str">
        <x:v>stable ID + ancestry + signatures</x:v>
      </x:c>
      <x:c r="I22" s="9" t="n">
        <x:v>0</x:v>
      </x:c>
      <x:c r="J22" s="9" t="str">
        <x:f>IF(AND(F22&lt;&gt;"",G22=1,H22&lt;&gt;""),"PASS","FAIL")</x:f>
        <x:v>PASS</x:v>
      </x:c>
    </x:row>
    <x:row r="23">
      <x:c r="B23" s="9" t="str">
        <x:v>RA-JOINT-03</x:v>
      </x:c>
      <x:c r="C23" s="9" t="str">
        <x:v>RA</x:v>
      </x:c>
      <x:c r="D23" s="9" t="str">
        <x:v>JOINT</x:v>
      </x:c>
      <x:c r="E23" s="9" t="n">
        <x:v>3</x:v>
      </x:c>
      <x:c r="F23" s="9" t="str">
        <x:v>root configuration</x:v>
      </x:c>
      <x:c r="G23" s="9" t="n">
        <x:v>1</x:v>
      </x:c>
      <x:c r="H23" s="9" t="str">
        <x:v>stable ID + ancestry + signatures</x:v>
      </x:c>
      <x:c r="I23" s="9" t="n">
        <x:v>0</x:v>
      </x:c>
      <x:c r="J23" s="9" t="str">
        <x:f>IF(AND(F23&lt;&gt;"",G23=1,H23&lt;&gt;""),"PASS","FAIL")</x:f>
        <x:v>PASS</x:v>
      </x:c>
    </x:row>
    <x:row r="24">
      <x:c r="B24" s="9" t="str">
        <x:v>RA-JOINT-04</x:v>
      </x:c>
      <x:c r="C24" s="9" t="str">
        <x:v>RA</x:v>
      </x:c>
      <x:c r="D24" s="9" t="str">
        <x:v>JOINT</x:v>
      </x:c>
      <x:c r="E24" s="9" t="n">
        <x:v>4</x:v>
      </x:c>
      <x:c r="F24" s="9" t="str">
        <x:v>root configuration</x:v>
      </x:c>
      <x:c r="G24" s="9" t="n">
        <x:v>1</x:v>
      </x:c>
      <x:c r="H24" s="9" t="str">
        <x:v>stable ID + ancestry + signatures</x:v>
      </x:c>
      <x:c r="I24" s="9" t="n">
        <x:v>0</x:v>
      </x:c>
      <x:c r="J24" s="9" t="str">
        <x:f>IF(AND(F24&lt;&gt;"",G24=1,H24&lt;&gt;""),"PASS","FAIL")</x:f>
        <x:v>PASS</x:v>
      </x:c>
    </x:row>
    <x:row r="25">
      <x:c r="B25" s="9" t="str">
        <x:v>RA-SOFTWARE_KEY_PROTECTION-01</x:v>
      </x:c>
      <x:c r="C25" s="9" t="str">
        <x:v>RA</x:v>
      </x:c>
      <x:c r="D25" s="9" t="str">
        <x:v>SOFTWARE_KEY_PROTECTION</x:v>
      </x:c>
      <x:c r="E25" s="9" t="n">
        <x:v>1</x:v>
      </x:c>
      <x:c r="F25" s="9" t="str">
        <x:v>root configuration</x:v>
      </x:c>
      <x:c r="G25" s="9" t="n">
        <x:v>1</x:v>
      </x:c>
      <x:c r="H25" s="9" t="str">
        <x:v>stable ID + ancestry + signatures</x:v>
      </x:c>
      <x:c r="I25" s="9" t="n">
        <x:v>0</x:v>
      </x:c>
      <x:c r="J25" s="9" t="str">
        <x:f>IF(AND(F25&lt;&gt;"",G25=1,H25&lt;&gt;""),"PASS","FAIL")</x:f>
        <x:v>PASS</x:v>
      </x:c>
    </x:row>
    <x:row r="26">
      <x:c r="B26" s="9" t="str">
        <x:v>RA-SOFTWARE_KEY_PROTECTION-02</x:v>
      </x:c>
      <x:c r="C26" s="9" t="str">
        <x:v>RA</x:v>
      </x:c>
      <x:c r="D26" s="9" t="str">
        <x:v>SOFTWARE_KEY_PROTECTION</x:v>
      </x:c>
      <x:c r="E26" s="9" t="n">
        <x:v>2</x:v>
      </x:c>
      <x:c r="F26" s="9" t="str">
        <x:v>root configuration</x:v>
      </x:c>
      <x:c r="G26" s="9" t="n">
        <x:v>1</x:v>
      </x:c>
      <x:c r="H26" s="9" t="str">
        <x:v>stable ID + ancestry + signatures</x:v>
      </x:c>
      <x:c r="I26" s="9" t="n">
        <x:v>0</x:v>
      </x:c>
      <x:c r="J26" s="9" t="str">
        <x:f>IF(AND(F26&lt;&gt;"",G26=1,H26&lt;&gt;""),"PASS","FAIL")</x:f>
        <x:v>PASS</x:v>
      </x:c>
    </x:row>
    <x:row r="27">
      <x:c r="B27" s="9" t="str">
        <x:v>RA-SOFTWARE_KEY_PROTECTION-03</x:v>
      </x:c>
      <x:c r="C27" s="9" t="str">
        <x:v>RA</x:v>
      </x:c>
      <x:c r="D27" s="9" t="str">
        <x:v>SOFTWARE_KEY_PROTECTION</x:v>
      </x:c>
      <x:c r="E27" s="9" t="n">
        <x:v>3</x:v>
      </x:c>
      <x:c r="F27" s="9" t="str">
        <x:v>root configuration</x:v>
      </x:c>
      <x:c r="G27" s="9" t="n">
        <x:v>1</x:v>
      </x:c>
      <x:c r="H27" s="9" t="str">
        <x:v>stable ID + ancestry + signatures</x:v>
      </x:c>
      <x:c r="I27" s="9" t="n">
        <x:v>0</x:v>
      </x:c>
      <x:c r="J27" s="9" t="str">
        <x:f>IF(AND(F27&lt;&gt;"",G27=1,H27&lt;&gt;""),"PASS","FAIL")</x:f>
        <x:v>PASS</x:v>
      </x:c>
    </x:row>
    <x:row r="28">
      <x:c r="B28" s="9" t="str">
        <x:v>RA-SOFTWARE_KEY_PROTECTION-04</x:v>
      </x:c>
      <x:c r="C28" s="9" t="str">
        <x:v>RA</x:v>
      </x:c>
      <x:c r="D28" s="9" t="str">
        <x:v>SOFTWARE_KEY_PROTECTION</x:v>
      </x:c>
      <x:c r="E28" s="9" t="n">
        <x:v>4</x:v>
      </x:c>
      <x:c r="F28" s="9" t="str">
        <x:v>root configuration</x:v>
      </x:c>
      <x:c r="G28" s="9" t="n">
        <x:v>1</x:v>
      </x:c>
      <x:c r="H28" s="9" t="str">
        <x:v>stable ID + ancestry + signatures</x:v>
      </x:c>
      <x:c r="I28" s="9" t="n">
        <x:v>0</x:v>
      </x:c>
      <x:c r="J28" s="9" t="str">
        <x:f>IF(AND(F28&lt;&gt;"",G28=1,H28&lt;&gt;""),"PASS","FAIL")</x:f>
        <x:v>PASS</x:v>
      </x:c>
    </x:row>
    <x:row r="29">
      <x:c r="B29" s="9" t="str">
        <x:v>RA-METROLOGY-01</x:v>
      </x:c>
      <x:c r="C29" s="9" t="str">
        <x:v>RA</x:v>
      </x:c>
      <x:c r="D29" s="9" t="str">
        <x:v>METROLOGY</x:v>
      </x:c>
      <x:c r="E29" s="9" t="n">
        <x:v>1</x:v>
      </x:c>
      <x:c r="F29" s="9" t="str">
        <x:v>root configuration</x:v>
      </x:c>
      <x:c r="G29" s="9" t="n">
        <x:v>1</x:v>
      </x:c>
      <x:c r="H29" s="9" t="str">
        <x:v>stable ID + ancestry + signatures</x:v>
      </x:c>
      <x:c r="I29" s="9" t="n">
        <x:v>0</x:v>
      </x:c>
      <x:c r="J29" s="9" t="str">
        <x:f>IF(AND(F29&lt;&gt;"",G29=1,H29&lt;&gt;""),"PASS","FAIL")</x:f>
        <x:v>PASS</x:v>
      </x:c>
    </x:row>
    <x:row r="30">
      <x:c r="B30" s="9" t="str">
        <x:v>RA-METROLOGY-02</x:v>
      </x:c>
      <x:c r="C30" s="9" t="str">
        <x:v>RA</x:v>
      </x:c>
      <x:c r="D30" s="9" t="str">
        <x:v>METROLOGY</x:v>
      </x:c>
      <x:c r="E30" s="9" t="n">
        <x:v>2</x:v>
      </x:c>
      <x:c r="F30" s="9" t="str">
        <x:v>root configuration</x:v>
      </x:c>
      <x:c r="G30" s="9" t="n">
        <x:v>1</x:v>
      </x:c>
      <x:c r="H30" s="9" t="str">
        <x:v>stable ID + ancestry + signatures</x:v>
      </x:c>
      <x:c r="I30" s="9" t="n">
        <x:v>0</x:v>
      </x:c>
      <x:c r="J30" s="9" t="str">
        <x:f>IF(AND(F30&lt;&gt;"",G30=1,H30&lt;&gt;""),"PASS","FAIL")</x:f>
        <x:v>PASS</x:v>
      </x:c>
    </x:row>
    <x:row r="31">
      <x:c r="B31" s="9" t="str">
        <x:v>RA-MASS_CG-01</x:v>
      </x:c>
      <x:c r="C31" s="9" t="str">
        <x:v>RA</x:v>
      </x:c>
      <x:c r="D31" s="9" t="str">
        <x:v>MASS_CG</x:v>
      </x:c>
      <x:c r="E31" s="9" t="n">
        <x:v>1</x:v>
      </x:c>
      <x:c r="F31" s="9" t="str">
        <x:v>root configuration</x:v>
      </x:c>
      <x:c r="G31" s="9" t="n">
        <x:v>1</x:v>
      </x:c>
      <x:c r="H31" s="9" t="str">
        <x:v>stable ID + ancestry + signatures</x:v>
      </x:c>
      <x:c r="I31" s="9" t="n">
        <x:v>0</x:v>
      </x:c>
      <x:c r="J31" s="9" t="str">
        <x:f>IF(AND(F31&lt;&gt;"",G31=1,H31&lt;&gt;""),"PASS","FAIL")</x:f>
        <x:v>PASS</x:v>
      </x:c>
    </x:row>
    <x:row r="32">
      <x:c r="B32" s="9" t="str">
        <x:v>RA-MASS_CG-02</x:v>
      </x:c>
      <x:c r="C32" s="9" t="str">
        <x:v>RA</x:v>
      </x:c>
      <x:c r="D32" s="9" t="str">
        <x:v>MASS_CG</x:v>
      </x:c>
      <x:c r="E32" s="9" t="n">
        <x:v>2</x:v>
      </x:c>
      <x:c r="F32" s="9" t="str">
        <x:v>root configuration</x:v>
      </x:c>
      <x:c r="G32" s="9" t="n">
        <x:v>1</x:v>
      </x:c>
      <x:c r="H32" s="9" t="str">
        <x:v>stable ID + ancestry + signatures</x:v>
      </x:c>
      <x:c r="I32" s="9" t="n">
        <x:v>0</x:v>
      </x:c>
      <x:c r="J32" s="9" t="str">
        <x:f>IF(AND(F32&lt;&gt;"",G32=1,H32&lt;&gt;""),"PASS","FAIL")</x:f>
        <x:v>PASS</x:v>
      </x:c>
    </x:row>
    <x:row r="33">
      <x:c r="B33" s="9" t="str">
        <x:v>RB-MATERIAL-01</x:v>
      </x:c>
      <x:c r="C33" s="9" t="str">
        <x:v>RB</x:v>
      </x:c>
      <x:c r="D33" s="9" t="str">
        <x:v>MATERIAL</x:v>
      </x:c>
      <x:c r="E33" s="9" t="n">
        <x:v>1</x:v>
      </x:c>
      <x:c r="F33" s="9" t="str">
        <x:v>root configuration</x:v>
      </x:c>
      <x:c r="G33" s="9" t="n">
        <x:v>1</x:v>
      </x:c>
      <x:c r="H33" s="9" t="str">
        <x:v>stable ID + ancestry + signatures</x:v>
      </x:c>
      <x:c r="I33" s="9" t="n">
        <x:v>0</x:v>
      </x:c>
      <x:c r="J33" s="9" t="str">
        <x:f>IF(AND(F33&lt;&gt;"",G33=1,H33&lt;&gt;""),"PASS","FAIL")</x:f>
        <x:v>PASS</x:v>
      </x:c>
    </x:row>
    <x:row r="34">
      <x:c r="B34" s="9" t="str">
        <x:v>RB-MATERIAL-02</x:v>
      </x:c>
      <x:c r="C34" s="9" t="str">
        <x:v>RB</x:v>
      </x:c>
      <x:c r="D34" s="9" t="str">
        <x:v>MATERIAL</x:v>
      </x:c>
      <x:c r="E34" s="9" t="n">
        <x:v>2</x:v>
      </x:c>
      <x:c r="F34" s="9" t="str">
        <x:v>root configuration</x:v>
      </x:c>
      <x:c r="G34" s="9" t="n">
        <x:v>1</x:v>
      </x:c>
      <x:c r="H34" s="9" t="str">
        <x:v>stable ID + ancestry + signatures</x:v>
      </x:c>
      <x:c r="I34" s="9" t="n">
        <x:v>0</x:v>
      </x:c>
      <x:c r="J34" s="9" t="str">
        <x:f>IF(AND(F34&lt;&gt;"",G34=1,H34&lt;&gt;""),"PASS","FAIL")</x:f>
        <x:v>PASS</x:v>
      </x:c>
    </x:row>
    <x:row r="35">
      <x:c r="B35" s="9" t="str">
        <x:v>RB-MATERIAL-03</x:v>
      </x:c>
      <x:c r="C35" s="9" t="str">
        <x:v>RB</x:v>
      </x:c>
      <x:c r="D35" s="9" t="str">
        <x:v>MATERIAL</x:v>
      </x:c>
      <x:c r="E35" s="9" t="n">
        <x:v>3</x:v>
      </x:c>
      <x:c r="F35" s="9" t="str">
        <x:v>root configuration</x:v>
      </x:c>
      <x:c r="G35" s="9" t="n">
        <x:v>1</x:v>
      </x:c>
      <x:c r="H35" s="9" t="str">
        <x:v>stable ID + ancestry + signatures</x:v>
      </x:c>
      <x:c r="I35" s="9" t="n">
        <x:v>0</x:v>
      </x:c>
      <x:c r="J35" s="9" t="str">
        <x:f>IF(AND(F35&lt;&gt;"",G35=1,H35&lt;&gt;""),"PASS","FAIL")</x:f>
        <x:v>PASS</x:v>
      </x:c>
    </x:row>
    <x:row r="36">
      <x:c r="B36" s="9" t="str">
        <x:v>RB-MATERIAL-04</x:v>
      </x:c>
      <x:c r="C36" s="9" t="str">
        <x:v>RB</x:v>
      </x:c>
      <x:c r="D36" s="9" t="str">
        <x:v>MATERIAL</x:v>
      </x:c>
      <x:c r="E36" s="9" t="n">
        <x:v>4</x:v>
      </x:c>
      <x:c r="F36" s="9" t="str">
        <x:v>root configuration</x:v>
      </x:c>
      <x:c r="G36" s="9" t="n">
        <x:v>1</x:v>
      </x:c>
      <x:c r="H36" s="9" t="str">
        <x:v>stable ID + ancestry + signatures</x:v>
      </x:c>
      <x:c r="I36" s="9" t="n">
        <x:v>0</x:v>
      </x:c>
      <x:c r="J36" s="9" t="str">
        <x:f>IF(AND(F36&lt;&gt;"",G36=1,H36&lt;&gt;""),"PASS","FAIL")</x:f>
        <x:v>PASS</x:v>
      </x:c>
    </x:row>
    <x:row r="37">
      <x:c r="B37" s="9" t="str">
        <x:v>RB-MATERIAL-05</x:v>
      </x:c>
      <x:c r="C37" s="9" t="str">
        <x:v>RB</x:v>
      </x:c>
      <x:c r="D37" s="9" t="str">
        <x:v>MATERIAL</x:v>
      </x:c>
      <x:c r="E37" s="9" t="n">
        <x:v>5</x:v>
      </x:c>
      <x:c r="F37" s="9" t="str">
        <x:v>root configuration</x:v>
      </x:c>
      <x:c r="G37" s="9" t="n">
        <x:v>1</x:v>
      </x:c>
      <x:c r="H37" s="9" t="str">
        <x:v>stable ID + ancestry + signatures</x:v>
      </x:c>
      <x:c r="I37" s="9" t="n">
        <x:v>0</x:v>
      </x:c>
      <x:c r="J37" s="9" t="str">
        <x:f>IF(AND(F37&lt;&gt;"",G37=1,H37&lt;&gt;""),"PASS","FAIL")</x:f>
        <x:v>PASS</x:v>
      </x:c>
    </x:row>
    <x:row r="38">
      <x:c r="B38" s="9" t="str">
        <x:v>RB-MATERIAL-06</x:v>
      </x:c>
      <x:c r="C38" s="9" t="str">
        <x:v>RB</x:v>
      </x:c>
      <x:c r="D38" s="9" t="str">
        <x:v>MATERIAL</x:v>
      </x:c>
      <x:c r="E38" s="9" t="n">
        <x:v>6</x:v>
      </x:c>
      <x:c r="F38" s="9" t="str">
        <x:v>root configuration</x:v>
      </x:c>
      <x:c r="G38" s="9" t="n">
        <x:v>1</x:v>
      </x:c>
      <x:c r="H38" s="9" t="str">
        <x:v>stable ID + ancestry + signatures</x:v>
      </x:c>
      <x:c r="I38" s="9" t="n">
        <x:v>0</x:v>
      </x:c>
      <x:c r="J38" s="9" t="str">
        <x:f>IF(AND(F38&lt;&gt;"",G38=1,H38&lt;&gt;""),"PASS","FAIL")</x:f>
        <x:v>PASS</x:v>
      </x:c>
    </x:row>
    <x:row r="39">
      <x:c r="B39" s="9" t="str">
        <x:v>RB-MATERIAL-07</x:v>
      </x:c>
      <x:c r="C39" s="9" t="str">
        <x:v>RB</x:v>
      </x:c>
      <x:c r="D39" s="9" t="str">
        <x:v>MATERIAL</x:v>
      </x:c>
      <x:c r="E39" s="9" t="n">
        <x:v>7</x:v>
      </x:c>
      <x:c r="F39" s="9" t="str">
        <x:v>root configuration</x:v>
      </x:c>
      <x:c r="G39" s="9" t="n">
        <x:v>1</x:v>
      </x:c>
      <x:c r="H39" s="9" t="str">
        <x:v>stable ID + ancestry + signatures</x:v>
      </x:c>
      <x:c r="I39" s="9" t="n">
        <x:v>0</x:v>
      </x:c>
      <x:c r="J39" s="9" t="str">
        <x:f>IF(AND(F39&lt;&gt;"",G39=1,H39&lt;&gt;""),"PASS","FAIL")</x:f>
        <x:v>PASS</x:v>
      </x:c>
    </x:row>
    <x:row r="40">
      <x:c r="B40" s="9" t="str">
        <x:v>RB-MATERIAL-08</x:v>
      </x:c>
      <x:c r="C40" s="9" t="str">
        <x:v>RB</x:v>
      </x:c>
      <x:c r="D40" s="9" t="str">
        <x:v>MATERIAL</x:v>
      </x:c>
      <x:c r="E40" s="9" t="n">
        <x:v>8</x:v>
      </x:c>
      <x:c r="F40" s="9" t="str">
        <x:v>root configuration</x:v>
      </x:c>
      <x:c r="G40" s="9" t="n">
        <x:v>1</x:v>
      </x:c>
      <x:c r="H40" s="9" t="str">
        <x:v>stable ID + ancestry + signatures</x:v>
      </x:c>
      <x:c r="I40" s="9" t="n">
        <x:v>0</x:v>
      </x:c>
      <x:c r="J40" s="9" t="str">
        <x:f>IF(AND(F40&lt;&gt;"",G40=1,H40&lt;&gt;""),"PASS","FAIL")</x:f>
        <x:v>PASS</x:v>
      </x:c>
    </x:row>
    <x:row r="41">
      <x:c r="B41" s="9" t="str">
        <x:v>RB-TRAVELER-01</x:v>
      </x:c>
      <x:c r="C41" s="9" t="str">
        <x:v>RB</x:v>
      </x:c>
      <x:c r="D41" s="9" t="str">
        <x:v>TRAVELER</x:v>
      </x:c>
      <x:c r="E41" s="9" t="n">
        <x:v>1</x:v>
      </x:c>
      <x:c r="F41" s="9" t="str">
        <x:v>root configuration</x:v>
      </x:c>
      <x:c r="G41" s="9" t="n">
        <x:v>1</x:v>
      </x:c>
      <x:c r="H41" s="9" t="str">
        <x:v>stable ID + ancestry + signatures</x:v>
      </x:c>
      <x:c r="I41" s="9" t="n">
        <x:v>0</x:v>
      </x:c>
      <x:c r="J41" s="9" t="str">
        <x:f>IF(AND(F41&lt;&gt;"",G41=1,H41&lt;&gt;""),"PASS","FAIL")</x:f>
        <x:v>PASS</x:v>
      </x:c>
    </x:row>
    <x:row r="42">
      <x:c r="B42" s="9" t="str">
        <x:v>RB-TRAVELER-02</x:v>
      </x:c>
      <x:c r="C42" s="9" t="str">
        <x:v>RB</x:v>
      </x:c>
      <x:c r="D42" s="9" t="str">
        <x:v>TRAVELER</x:v>
      </x:c>
      <x:c r="E42" s="9" t="n">
        <x:v>2</x:v>
      </x:c>
      <x:c r="F42" s="9" t="str">
        <x:v>root configuration</x:v>
      </x:c>
      <x:c r="G42" s="9" t="n">
        <x:v>1</x:v>
      </x:c>
      <x:c r="H42" s="9" t="str">
        <x:v>stable ID + ancestry + signatures</x:v>
      </x:c>
      <x:c r="I42" s="9" t="n">
        <x:v>0</x:v>
      </x:c>
      <x:c r="J42" s="9" t="str">
        <x:f>IF(AND(F42&lt;&gt;"",G42=1,H42&lt;&gt;""),"PASS","FAIL")</x:f>
        <x:v>PASS</x:v>
      </x:c>
    </x:row>
    <x:row r="43">
      <x:c r="B43" s="9" t="str">
        <x:v>RB-TRAVELER-03</x:v>
      </x:c>
      <x:c r="C43" s="9" t="str">
        <x:v>RB</x:v>
      </x:c>
      <x:c r="D43" s="9" t="str">
        <x:v>TRAVELER</x:v>
      </x:c>
      <x:c r="E43" s="9" t="n">
        <x:v>3</x:v>
      </x:c>
      <x:c r="F43" s="9" t="str">
        <x:v>root configuration</x:v>
      </x:c>
      <x:c r="G43" s="9" t="n">
        <x:v>1</x:v>
      </x:c>
      <x:c r="H43" s="9" t="str">
        <x:v>stable ID + ancestry + signatures</x:v>
      </x:c>
      <x:c r="I43" s="9" t="n">
        <x:v>0</x:v>
      </x:c>
      <x:c r="J43" s="9" t="str">
        <x:f>IF(AND(F43&lt;&gt;"",G43=1,H43&lt;&gt;""),"PASS","FAIL")</x:f>
        <x:v>PASS</x:v>
      </x:c>
    </x:row>
    <x:row r="44">
      <x:c r="B44" s="9" t="str">
        <x:v>RB-TRAVELER-04</x:v>
      </x:c>
      <x:c r="C44" s="9" t="str">
        <x:v>RB</x:v>
      </x:c>
      <x:c r="D44" s="9" t="str">
        <x:v>TRAVELER</x:v>
      </x:c>
      <x:c r="E44" s="9" t="n">
        <x:v>4</x:v>
      </x:c>
      <x:c r="F44" s="9" t="str">
        <x:v>root configuration</x:v>
      </x:c>
      <x:c r="G44" s="9" t="n">
        <x:v>1</x:v>
      </x:c>
      <x:c r="H44" s="9" t="str">
        <x:v>stable ID + ancestry + signatures</x:v>
      </x:c>
      <x:c r="I44" s="9" t="n">
        <x:v>0</x:v>
      </x:c>
      <x:c r="J44" s="9" t="str">
        <x:f>IF(AND(F44&lt;&gt;"",G44=1,H44&lt;&gt;""),"PASS","FAIL")</x:f>
        <x:v>PASS</x:v>
      </x:c>
    </x:row>
    <x:row r="45">
      <x:c r="B45" s="9" t="str">
        <x:v>RB-TRAVELER-05</x:v>
      </x:c>
      <x:c r="C45" s="9" t="str">
        <x:v>RB</x:v>
      </x:c>
      <x:c r="D45" s="9" t="str">
        <x:v>TRAVELER</x:v>
      </x:c>
      <x:c r="E45" s="9" t="n">
        <x:v>5</x:v>
      </x:c>
      <x:c r="F45" s="9" t="str">
        <x:v>root configuration</x:v>
      </x:c>
      <x:c r="G45" s="9" t="n">
        <x:v>1</x:v>
      </x:c>
      <x:c r="H45" s="9" t="str">
        <x:v>stable ID + ancestry + signatures</x:v>
      </x:c>
      <x:c r="I45" s="9" t="n">
        <x:v>0</x:v>
      </x:c>
      <x:c r="J45" s="9" t="str">
        <x:f>IF(AND(F45&lt;&gt;"",G45=1,H45&lt;&gt;""),"PASS","FAIL")</x:f>
        <x:v>PASS</x:v>
      </x:c>
    </x:row>
    <x:row r="46">
      <x:c r="B46" s="9" t="str">
        <x:v>RB-TRAVELER-06</x:v>
      </x:c>
      <x:c r="C46" s="9" t="str">
        <x:v>RB</x:v>
      </x:c>
      <x:c r="D46" s="9" t="str">
        <x:v>TRAVELER</x:v>
      </x:c>
      <x:c r="E46" s="9" t="n">
        <x:v>6</x:v>
      </x:c>
      <x:c r="F46" s="9" t="str">
        <x:v>root configuration</x:v>
      </x:c>
      <x:c r="G46" s="9" t="n">
        <x:v>1</x:v>
      </x:c>
      <x:c r="H46" s="9" t="str">
        <x:v>stable ID + ancestry + signatures</x:v>
      </x:c>
      <x:c r="I46" s="9" t="n">
        <x:v>0</x:v>
      </x:c>
      <x:c r="J46" s="9" t="str">
        <x:f>IF(AND(F46&lt;&gt;"",G46=1,H46&lt;&gt;""),"PASS","FAIL")</x:f>
        <x:v>PASS</x:v>
      </x:c>
    </x:row>
    <x:row r="47">
      <x:c r="B47" s="9" t="str">
        <x:v>RB-JOINT-01</x:v>
      </x:c>
      <x:c r="C47" s="9" t="str">
        <x:v>RB</x:v>
      </x:c>
      <x:c r="D47" s="9" t="str">
        <x:v>JOINT</x:v>
      </x:c>
      <x:c r="E47" s="9" t="n">
        <x:v>1</x:v>
      </x:c>
      <x:c r="F47" s="9" t="str">
        <x:v>root configuration</x:v>
      </x:c>
      <x:c r="G47" s="9" t="n">
        <x:v>1</x:v>
      </x:c>
      <x:c r="H47" s="9" t="str">
        <x:v>stable ID + ancestry + signatures</x:v>
      </x:c>
      <x:c r="I47" s="9" t="n">
        <x:v>0</x:v>
      </x:c>
      <x:c r="J47" s="9" t="str">
        <x:f>IF(AND(F47&lt;&gt;"",G47=1,H47&lt;&gt;""),"PASS","FAIL")</x:f>
        <x:v>PASS</x:v>
      </x:c>
    </x:row>
    <x:row r="48">
      <x:c r="B48" s="9" t="str">
        <x:v>RB-JOINT-02</x:v>
      </x:c>
      <x:c r="C48" s="9" t="str">
        <x:v>RB</x:v>
      </x:c>
      <x:c r="D48" s="9" t="str">
        <x:v>JOINT</x:v>
      </x:c>
      <x:c r="E48" s="9" t="n">
        <x:v>2</x:v>
      </x:c>
      <x:c r="F48" s="9" t="str">
        <x:v>root configuration</x:v>
      </x:c>
      <x:c r="G48" s="9" t="n">
        <x:v>1</x:v>
      </x:c>
      <x:c r="H48" s="9" t="str">
        <x:v>stable ID + ancestry + signatures</x:v>
      </x:c>
      <x:c r="I48" s="9" t="n">
        <x:v>0</x:v>
      </x:c>
      <x:c r="J48" s="9" t="str">
        <x:f>IF(AND(F48&lt;&gt;"",G48=1,H48&lt;&gt;""),"PASS","FAIL")</x:f>
        <x:v>PASS</x:v>
      </x:c>
    </x:row>
    <x:row r="49">
      <x:c r="B49" s="9" t="str">
        <x:v>RB-JOINT-03</x:v>
      </x:c>
      <x:c r="C49" s="9" t="str">
        <x:v>RB</x:v>
      </x:c>
      <x:c r="D49" s="9" t="str">
        <x:v>JOINT</x:v>
      </x:c>
      <x:c r="E49" s="9" t="n">
        <x:v>3</x:v>
      </x:c>
      <x:c r="F49" s="9" t="str">
        <x:v>root configuration</x:v>
      </x:c>
      <x:c r="G49" s="9" t="n">
        <x:v>1</x:v>
      </x:c>
      <x:c r="H49" s="9" t="str">
        <x:v>stable ID + ancestry + signatures</x:v>
      </x:c>
      <x:c r="I49" s="9" t="n">
        <x:v>0</x:v>
      </x:c>
      <x:c r="J49" s="9" t="str">
        <x:f>IF(AND(F49&lt;&gt;"",G49=1,H49&lt;&gt;""),"PASS","FAIL")</x:f>
        <x:v>PASS</x:v>
      </x:c>
    </x:row>
    <x:row r="50">
      <x:c r="B50" s="9" t="str">
        <x:v>RB-JOINT-04</x:v>
      </x:c>
      <x:c r="C50" s="9" t="str">
        <x:v>RB</x:v>
      </x:c>
      <x:c r="D50" s="9" t="str">
        <x:v>JOINT</x:v>
      </x:c>
      <x:c r="E50" s="9" t="n">
        <x:v>4</x:v>
      </x:c>
      <x:c r="F50" s="9" t="str">
        <x:v>root configuration</x:v>
      </x:c>
      <x:c r="G50" s="9" t="n">
        <x:v>1</x:v>
      </x:c>
      <x:c r="H50" s="9" t="str">
        <x:v>stable ID + ancestry + signatures</x:v>
      </x:c>
      <x:c r="I50" s="9" t="n">
        <x:v>0</x:v>
      </x:c>
      <x:c r="J50" s="9" t="str">
        <x:f>IF(AND(F50&lt;&gt;"",G50=1,H50&lt;&gt;""),"PASS","FAIL")</x:f>
        <x:v>PASS</x:v>
      </x:c>
    </x:row>
    <x:row r="51">
      <x:c r="B51" s="9" t="str">
        <x:v>RB-SOFTWARE_KEY_PROTECTION-01</x:v>
      </x:c>
      <x:c r="C51" s="9" t="str">
        <x:v>RB</x:v>
      </x:c>
      <x:c r="D51" s="9" t="str">
        <x:v>SOFTWARE_KEY_PROTECTION</x:v>
      </x:c>
      <x:c r="E51" s="9" t="n">
        <x:v>1</x:v>
      </x:c>
      <x:c r="F51" s="9" t="str">
        <x:v>root configuration</x:v>
      </x:c>
      <x:c r="G51" s="9" t="n">
        <x:v>1</x:v>
      </x:c>
      <x:c r="H51" s="9" t="str">
        <x:v>stable ID + ancestry + signatures</x:v>
      </x:c>
      <x:c r="I51" s="9" t="n">
        <x:v>0</x:v>
      </x:c>
      <x:c r="J51" s="9" t="str">
        <x:f>IF(AND(F51&lt;&gt;"",G51=1,H51&lt;&gt;""),"PASS","FAIL")</x:f>
        <x:v>PASS</x:v>
      </x:c>
    </x:row>
    <x:row r="52">
      <x:c r="B52" s="9" t="str">
        <x:v>RB-SOFTWARE_KEY_PROTECTION-02</x:v>
      </x:c>
      <x:c r="C52" s="9" t="str">
        <x:v>RB</x:v>
      </x:c>
      <x:c r="D52" s="9" t="str">
        <x:v>SOFTWARE_KEY_PROTECTION</x:v>
      </x:c>
      <x:c r="E52" s="9" t="n">
        <x:v>2</x:v>
      </x:c>
      <x:c r="F52" s="9" t="str">
        <x:v>root configuration</x:v>
      </x:c>
      <x:c r="G52" s="9" t="n">
        <x:v>1</x:v>
      </x:c>
      <x:c r="H52" s="9" t="str">
        <x:v>stable ID + ancestry + signatures</x:v>
      </x:c>
      <x:c r="I52" s="9" t="n">
        <x:v>0</x:v>
      </x:c>
      <x:c r="J52" s="9" t="str">
        <x:f>IF(AND(F52&lt;&gt;"",G52=1,H52&lt;&gt;""),"PASS","FAIL")</x:f>
        <x:v>PASS</x:v>
      </x:c>
    </x:row>
    <x:row r="53">
      <x:c r="B53" s="9" t="str">
        <x:v>RB-SOFTWARE_KEY_PROTECTION-03</x:v>
      </x:c>
      <x:c r="C53" s="9" t="str">
        <x:v>RB</x:v>
      </x:c>
      <x:c r="D53" s="9" t="str">
        <x:v>SOFTWARE_KEY_PROTECTION</x:v>
      </x:c>
      <x:c r="E53" s="9" t="n">
        <x:v>3</x:v>
      </x:c>
      <x:c r="F53" s="9" t="str">
        <x:v>root configuration</x:v>
      </x:c>
      <x:c r="G53" s="9" t="n">
        <x:v>1</x:v>
      </x:c>
      <x:c r="H53" s="9" t="str">
        <x:v>stable ID + ancestry + signatures</x:v>
      </x:c>
      <x:c r="I53" s="9" t="n">
        <x:v>0</x:v>
      </x:c>
      <x:c r="J53" s="9" t="str">
        <x:f>IF(AND(F53&lt;&gt;"",G53=1,H53&lt;&gt;""),"PASS","FAIL")</x:f>
        <x:v>PASS</x:v>
      </x:c>
    </x:row>
    <x:row r="54">
      <x:c r="B54" s="9" t="str">
        <x:v>RB-SOFTWARE_KEY_PROTECTION-04</x:v>
      </x:c>
      <x:c r="C54" s="9" t="str">
        <x:v>RB</x:v>
      </x:c>
      <x:c r="D54" s="9" t="str">
        <x:v>SOFTWARE_KEY_PROTECTION</x:v>
      </x:c>
      <x:c r="E54" s="9" t="n">
        <x:v>4</x:v>
      </x:c>
      <x:c r="F54" s="9" t="str">
        <x:v>root configuration</x:v>
      </x:c>
      <x:c r="G54" s="9" t="n">
        <x:v>1</x:v>
      </x:c>
      <x:c r="H54" s="9" t="str">
        <x:v>stable ID + ancestry + signatures</x:v>
      </x:c>
      <x:c r="I54" s="9" t="n">
        <x:v>0</x:v>
      </x:c>
      <x:c r="J54" s="9" t="str">
        <x:f>IF(AND(F54&lt;&gt;"",G54=1,H54&lt;&gt;""),"PASS","FAIL")</x:f>
        <x:v>PASS</x:v>
      </x:c>
    </x:row>
    <x:row r="55">
      <x:c r="B55" s="9" t="str">
        <x:v>RB-METROLOGY-01</x:v>
      </x:c>
      <x:c r="C55" s="9" t="str">
        <x:v>RB</x:v>
      </x:c>
      <x:c r="D55" s="9" t="str">
        <x:v>METROLOGY</x:v>
      </x:c>
      <x:c r="E55" s="9" t="n">
        <x:v>1</x:v>
      </x:c>
      <x:c r="F55" s="9" t="str">
        <x:v>root configuration</x:v>
      </x:c>
      <x:c r="G55" s="9" t="n">
        <x:v>1</x:v>
      </x:c>
      <x:c r="H55" s="9" t="str">
        <x:v>stable ID + ancestry + signatures</x:v>
      </x:c>
      <x:c r="I55" s="9" t="n">
        <x:v>0</x:v>
      </x:c>
      <x:c r="J55" s="9" t="str">
        <x:f>IF(AND(F55&lt;&gt;"",G55=1,H55&lt;&gt;""),"PASS","FAIL")</x:f>
        <x:v>PASS</x:v>
      </x:c>
    </x:row>
    <x:row r="56">
      <x:c r="B56" s="9" t="str">
        <x:v>RB-METROLOGY-02</x:v>
      </x:c>
      <x:c r="C56" s="9" t="str">
        <x:v>RB</x:v>
      </x:c>
      <x:c r="D56" s="9" t="str">
        <x:v>METROLOGY</x:v>
      </x:c>
      <x:c r="E56" s="9" t="n">
        <x:v>2</x:v>
      </x:c>
      <x:c r="F56" s="9" t="str">
        <x:v>root configuration</x:v>
      </x:c>
      <x:c r="G56" s="9" t="n">
        <x:v>1</x:v>
      </x:c>
      <x:c r="H56" s="9" t="str">
        <x:v>stable ID + ancestry + signatures</x:v>
      </x:c>
      <x:c r="I56" s="9" t="n">
        <x:v>0</x:v>
      </x:c>
      <x:c r="J56" s="9" t="str">
        <x:f>IF(AND(F56&lt;&gt;"",G56=1,H56&lt;&gt;""),"PASS","FAIL")</x:f>
        <x:v>PASS</x:v>
      </x:c>
    </x:row>
    <x:row r="57">
      <x:c r="B57" s="9" t="str">
        <x:v>RB-MASS_CG-01</x:v>
      </x:c>
      <x:c r="C57" s="9" t="str">
        <x:v>RB</x:v>
      </x:c>
      <x:c r="D57" s="9" t="str">
        <x:v>MASS_CG</x:v>
      </x:c>
      <x:c r="E57" s="9" t="n">
        <x:v>1</x:v>
      </x:c>
      <x:c r="F57" s="9" t="str">
        <x:v>root configuration</x:v>
      </x:c>
      <x:c r="G57" s="9" t="n">
        <x:v>1</x:v>
      </x:c>
      <x:c r="H57" s="9" t="str">
        <x:v>stable ID + ancestry + signatures</x:v>
      </x:c>
      <x:c r="I57" s="9" t="n">
        <x:v>0</x:v>
      </x:c>
      <x:c r="J57" s="9" t="str">
        <x:f>IF(AND(F57&lt;&gt;"",G57=1,H57&lt;&gt;""),"PASS","FAIL")</x:f>
        <x:v>PASS</x:v>
      </x:c>
    </x:row>
    <x:row r="58">
      <x:c r="B58" s="10" t="str">
        <x:v>RB-MASS_CG-02</x:v>
      </x:c>
      <x:c r="C58" s="10" t="str">
        <x:v>RB</x:v>
      </x:c>
      <x:c r="D58" s="10" t="str">
        <x:v>MASS_CG</x:v>
      </x:c>
      <x:c r="E58" s="10" t="n">
        <x:v>2</x:v>
      </x:c>
      <x:c r="F58" s="10" t="str">
        <x:v>root configuration</x:v>
      </x:c>
      <x:c r="G58" s="10" t="n">
        <x:v>1</x:v>
      </x:c>
      <x:c r="H58" s="10" t="str">
        <x:v>stable ID + ancestry + signatures</x:v>
      </x:c>
      <x:c r="I58" s="10" t="n">
        <x:v>0</x:v>
      </x:c>
      <x:c r="J58" s="10" t="str">
        <x:f>IF(AND(F58&lt;&gt;"",G58=1,H58&lt;&gt;""),"PASS","FAIL")</x:f>
        <x:v>PASS</x:v>
      </x:c>
    </x:row>
  </x:sheetData>
  <x:mergeCells>
    <x:mergeCell ref="B2:J2"/>
    <x:mergeCell ref="B3:J3"/>
  </x:mergeCells>
  <x:conditionalFormatting sqref="J7:J58">
    <x:cfRule type="containsText" dxfId="192" priority="1" operator="containsText" text="PASS"/>
    <x:cfRule type="containsText" dxfId="193" priority="2" operator="containsText" text="AUTHORIZED"/>
    <x:cfRule type="containsText" dxfId="194" priority="3" operator="containsText" text="DEFINED"/>
    <x:cfRule type="containsText" dxfId="195" priority="4" operator="containsText" text="READY"/>
    <x:cfRule type="containsText" dxfId="196" priority="5" operator="containsText" text="HOLD"/>
    <x:cfRule type="containsText" dxfId="197" priority="6" operator="containsText" text="OPEN"/>
    <x:cfRule type="containsText" dxfId="198" priority="7" operator="containsText" text="BLOCKED"/>
    <x:cfRule type="containsText" dxfId="199" priority="8" operator="containsText" text="PLANNING"/>
    <x:cfRule type="containsText" dxfId="200" priority="9" operator="containsText" text="FAIL"/>
    <x:cfRule type="containsText" dxfId="201" priority="10" operator="containsText" text="REJECT"/>
    <x:cfRule type="containsText" dxfId="202" priority="11" operator="containsText" text="INCOMPLETE"/>
    <x:cfRule type="containsText" dxfId="203" priority="12" operator="containsText" text="INDETERMINATE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48" hidden="0" customWidth="1"/>
    <x:col min="4" max="4" width="19" hidden="0" customWidth="1"/>
    <x:col min="5" max="5" width="35" hidden="0" customWidth="1"/>
    <x:col min="6" max="6" width="17" hidden="0" customWidth="1"/>
    <x:col min="7" max="7" width="17" hidden="0" customWidth="1"/>
    <x:col min="8" max="8" width="17" hidden="0" customWidth="1"/>
  </x:cols>
  <x:sheetData>
    <x:row r="2">
      <x:c r="B2" s="28" t="str">
        <x:v>Twenty-four independent drawing checks</x:v>
      </x:c>
      <x:c r="C2" s="8"/>
      <x:c r="D2" s="8"/>
      <x:c r="E2" s="8"/>
      <x:c r="F2" s="8"/>
      <x:c r="G2" s="8"/>
      <x:c r="H2" s="8"/>
    </x:row>
    <x:row r="3">
      <x:c r="B3" s="2" t="str">
        <x:v>The checker is neither originator, root release authority nor production authority.</x:v>
      </x:c>
      <x:c r="C3" s="8"/>
      <x:c r="D3" s="8"/>
      <x:c r="E3" s="8"/>
      <x:c r="F3" s="8"/>
      <x:c r="G3" s="8"/>
      <x:c r="H3" s="8"/>
    </x:row>
    <x:row r="4">
      <x:c r="B4" s="29"/>
      <x:c r="C4" s="29"/>
      <x:c r="D4" s="29"/>
      <x:c r="E4" s="29"/>
      <x:c r="F4" s="29"/>
      <x:c r="G4" s="29"/>
      <x:c r="H4" s="29"/>
    </x:row>
    <x:row r="5">
      <x:c r="B5" s="8"/>
      <x:c r="C5" s="8"/>
      <x:c r="D5" s="8"/>
      <x:c r="E5" s="8"/>
      <x:c r="F5" s="8"/>
      <x:c r="G5" s="8"/>
      <x:c r="H5" s="8"/>
    </x:row>
    <x:row r="6">
      <x:c r="B6" s="7" t="str">
        <x:v>Check</x:v>
      </x:c>
      <x:c r="C6" s="7" t="str">
        <x:v>Subject</x:v>
      </x:c>
      <x:c r="D6" s="7" t="str">
        <x:v>Checker independent</x:v>
      </x:c>
      <x:c r="E6" s="7" t="str">
        <x:v>Source object</x:v>
      </x:c>
      <x:c r="F6" s="7" t="str">
        <x:v>Planning result</x:v>
      </x:c>
      <x:c r="G6" s="7" t="str">
        <x:v>Physical result</x:v>
      </x:c>
      <x:c r="H6" s="7" t="str">
        <x:v>Disposition</x:v>
      </x:c>
    </x:row>
    <x:row r="7">
      <x:c r="B7" s="9" t="str">
        <x:v>CK-01</x:v>
      </x:c>
      <x:c r="C7" s="9" t="str">
        <x:v>coordinate closure</x:v>
      </x:c>
      <x:c r="D7" s="9" t="n">
        <x:v>1</x:v>
      </x:c>
      <x:c r="E7" s="9" t="str">
        <x:v>native model + drawing</x:v>
      </x:c>
      <x:c r="F7" s="9" t="str">
        <x:f>IF(AND(D7=1,E7&lt;&gt;""),"PASS","FAIL")</x:f>
        <x:v>PASS</x:v>
      </x:c>
      <x:c r="G7" s="9" t="str">
        <x:v>OPEN</x:v>
      </x:c>
      <x:c r="H7" s="9" t="str">
        <x:v>PLANNING</x:v>
      </x:c>
    </x:row>
    <x:row r="8">
      <x:c r="B8" s="9" t="str">
        <x:v>CK-02</x:v>
      </x:c>
      <x:c r="C8" s="9" t="str">
        <x:v>transport-envelope closure</x:v>
      </x:c>
      <x:c r="D8" s="9" t="n">
        <x:v>1</x:v>
      </x:c>
      <x:c r="E8" s="9" t="str">
        <x:v>native model + drawing</x:v>
      </x:c>
      <x:c r="F8" s="9" t="str">
        <x:f>IF(AND(D8=1,E8&lt;&gt;""),"PASS","FAIL")</x:f>
        <x:v>PASS</x:v>
      </x:c>
      <x:c r="G8" s="9" t="str">
        <x:v>OPEN</x:v>
      </x:c>
      <x:c r="H8" s="9" t="str">
        <x:v>PLANNING</x:v>
      </x:c>
    </x:row>
    <x:row r="9">
      <x:c r="B9" s="9" t="str">
        <x:v>CK-03</x:v>
      </x:c>
      <x:c r="C9" s="9" t="str">
        <x:v>deployed-anchor span</x:v>
      </x:c>
      <x:c r="D9" s="9" t="n">
        <x:v>1</x:v>
      </x:c>
      <x:c r="E9" s="9" t="str">
        <x:v>native model + drawing</x:v>
      </x:c>
      <x:c r="F9" s="9" t="str">
        <x:f>IF(AND(D9=1,E9&lt;&gt;""),"PASS","FAIL")</x:f>
        <x:v>PASS</x:v>
      </x:c>
      <x:c r="G9" s="9" t="str">
        <x:v>OPEN</x:v>
      </x:c>
      <x:c r="H9" s="9" t="str">
        <x:v>PLANNING</x:v>
      </x:c>
    </x:row>
    <x:row r="10">
      <x:c r="B10" s="9" t="str">
        <x:v>CK-04</x:v>
      </x:c>
      <x:c r="C10" s="9" t="str">
        <x:v>support bearing area</x:v>
      </x:c>
      <x:c r="D10" s="9" t="n">
        <x:v>1</x:v>
      </x:c>
      <x:c r="E10" s="9" t="str">
        <x:v>native model + drawing</x:v>
      </x:c>
      <x:c r="F10" s="9" t="str">
        <x:f>IF(AND(D10=1,E10&lt;&gt;""),"PASS","FAIL")</x:f>
        <x:v>PASS</x:v>
      </x:c>
      <x:c r="G10" s="9" t="str">
        <x:v>OPEN</x:v>
      </x:c>
      <x:c r="H10" s="9" t="str">
        <x:v>PLANNING</x:v>
      </x:c>
    </x:row>
    <x:row r="11">
      <x:c r="B11" s="9" t="str">
        <x:v>CK-05</x:v>
      </x:c>
      <x:c r="C11" s="9" t="str">
        <x:v>support swept volume</x:v>
      </x:c>
      <x:c r="D11" s="9" t="n">
        <x:v>1</x:v>
      </x:c>
      <x:c r="E11" s="9" t="str">
        <x:v>native model + drawing</x:v>
      </x:c>
      <x:c r="F11" s="9" t="str">
        <x:f>IF(AND(D11=1,E11&lt;&gt;""),"PASS","FAIL")</x:f>
        <x:v>PASS</x:v>
      </x:c>
      <x:c r="G11" s="9" t="str">
        <x:v>OPEN</x:v>
      </x:c>
      <x:c r="H11" s="9" t="str">
        <x:v>PLANNING</x:v>
      </x:c>
    </x:row>
    <x:row r="12">
      <x:c r="B12" s="9" t="str">
        <x:v>CK-06</x:v>
      </x:c>
      <x:c r="C12" s="9" t="str">
        <x:v>predicted dry mass</x:v>
      </x:c>
      <x:c r="D12" s="9" t="n">
        <x:v>1</x:v>
      </x:c>
      <x:c r="E12" s="9" t="str">
        <x:v>native model + drawing</x:v>
      </x:c>
      <x:c r="F12" s="9" t="str">
        <x:f>IF(AND(D12=1,E12&lt;&gt;""),"PASS","FAIL")</x:f>
        <x:v>PASS</x:v>
      </x:c>
      <x:c r="G12" s="9" t="str">
        <x:v>OPEN</x:v>
      </x:c>
      <x:c r="H12" s="9" t="str">
        <x:v>PLANNING</x:v>
      </x:c>
    </x:row>
    <x:row r="13">
      <x:c r="B13" s="9" t="str">
        <x:v>CK-07</x:v>
      </x:c>
      <x:c r="C13" s="9" t="str">
        <x:v>predicted operating mass</x:v>
      </x:c>
      <x:c r="D13" s="9" t="n">
        <x:v>1</x:v>
      </x:c>
      <x:c r="E13" s="9" t="str">
        <x:v>native model + drawing</x:v>
      </x:c>
      <x:c r="F13" s="9" t="str">
        <x:f>IF(AND(D13=1,E13&lt;&gt;""),"PASS","FAIL")</x:f>
        <x:v>PASS</x:v>
      </x:c>
      <x:c r="G13" s="9" t="str">
        <x:v>OPEN</x:v>
      </x:c>
      <x:c r="H13" s="9" t="str">
        <x:v>PLANNING</x:v>
      </x:c>
    </x:row>
    <x:row r="14">
      <x:c r="B14" s="9" t="str">
        <x:v>CK-08</x:v>
      </x:c>
      <x:c r="C14" s="9" t="str">
        <x:v>dry CG</x:v>
      </x:c>
      <x:c r="D14" s="9" t="n">
        <x:v>1</x:v>
      </x:c>
      <x:c r="E14" s="9" t="str">
        <x:v>native model + drawing</x:v>
      </x:c>
      <x:c r="F14" s="9" t="str">
        <x:f>IF(AND(D14=1,E14&lt;&gt;""),"PASS","FAIL")</x:f>
        <x:v>PASS</x:v>
      </x:c>
      <x:c r="G14" s="9" t="str">
        <x:v>OPEN</x:v>
      </x:c>
      <x:c r="H14" s="9" t="str">
        <x:v>PLANNING</x:v>
      </x:c>
    </x:row>
    <x:row r="15">
      <x:c r="B15" s="9" t="str">
        <x:v>CK-09</x:v>
      </x:c>
      <x:c r="C15" s="9" t="str">
        <x:v>operating CG</x:v>
      </x:c>
      <x:c r="D15" s="9" t="n">
        <x:v>1</x:v>
      </x:c>
      <x:c r="E15" s="9" t="str">
        <x:v>native model + drawing</x:v>
      </x:c>
      <x:c r="F15" s="9" t="str">
        <x:f>IF(AND(D15=1,E15&lt;&gt;""),"PASS","FAIL")</x:f>
        <x:v>PASS</x:v>
      </x:c>
      <x:c r="G15" s="9" t="str">
        <x:v>OPEN</x:v>
      </x:c>
      <x:c r="H15" s="9" t="str">
        <x:v>PLANNING</x:v>
      </x:c>
    </x:row>
    <x:row r="16">
      <x:c r="B16" s="9" t="str">
        <x:v>CK-10</x:v>
      </x:c>
      <x:c r="C16" s="9" t="str">
        <x:v>1.50-g support demand</x:v>
      </x:c>
      <x:c r="D16" s="9" t="n">
        <x:v>1</x:v>
      </x:c>
      <x:c r="E16" s="9" t="str">
        <x:v>native model + drawing</x:v>
      </x:c>
      <x:c r="F16" s="9" t="str">
        <x:f>IF(AND(D16=1,E16&lt;&gt;""),"PASS","FAIL")</x:f>
        <x:v>PASS</x:v>
      </x:c>
      <x:c r="G16" s="9" t="str">
        <x:v>OPEN</x:v>
      </x:c>
      <x:c r="H16" s="9" t="str">
        <x:v>PLANNING</x:v>
      </x:c>
    </x:row>
    <x:row r="17">
      <x:c r="B17" s="9" t="str">
        <x:v>CK-11</x:v>
      </x:c>
      <x:c r="C17" s="9" t="str">
        <x:v>combined anchor demand</x:v>
      </x:c>
      <x:c r="D17" s="9" t="n">
        <x:v>1</x:v>
      </x:c>
      <x:c r="E17" s="9" t="str">
        <x:v>native model + drawing</x:v>
      </x:c>
      <x:c r="F17" s="9" t="str">
        <x:f>IF(AND(D17=1,E17&lt;&gt;""),"PASS","FAIL")</x:f>
        <x:v>PASS</x:v>
      </x:c>
      <x:c r="G17" s="9" t="str">
        <x:v>OPEN</x:v>
      </x:c>
      <x:c r="H17" s="9" t="str">
        <x:v>PLANNING</x:v>
      </x:c>
    </x:row>
    <x:row r="18">
      <x:c r="B18" s="9" t="str">
        <x:v>CK-12</x:v>
      </x:c>
      <x:c r="C18" s="9" t="str">
        <x:v>lift-node demand</x:v>
      </x:c>
      <x:c r="D18" s="9" t="n">
        <x:v>1</x:v>
      </x:c>
      <x:c r="E18" s="9" t="str">
        <x:v>native model + drawing</x:v>
      </x:c>
      <x:c r="F18" s="9" t="str">
        <x:f>IF(AND(D18=1,E18&lt;&gt;""),"PASS","FAIL")</x:f>
        <x:v>PASS</x:v>
      </x:c>
      <x:c r="G18" s="9" t="str">
        <x:v>OPEN</x:v>
      </x:c>
      <x:c r="H18" s="9" t="str">
        <x:v>PLANNING</x:v>
      </x:c>
    </x:row>
    <x:row r="19">
      <x:c r="B19" s="9" t="str">
        <x:v>CK-13</x:v>
      </x:c>
      <x:c r="C19" s="9" t="str">
        <x:v>hydraulic area</x:v>
      </x:c>
      <x:c r="D19" s="9" t="n">
        <x:v>1</x:v>
      </x:c>
      <x:c r="E19" s="9" t="str">
        <x:v>native model + drawing</x:v>
      </x:c>
      <x:c r="F19" s="9" t="str">
        <x:f>IF(AND(D19=1,E19&lt;&gt;""),"PASS","FAIL")</x:f>
        <x:v>PASS</x:v>
      </x:c>
      <x:c r="G19" s="9" t="str">
        <x:v>OPEN</x:v>
      </x:c>
      <x:c r="H19" s="9" t="str">
        <x:v>PLANNING</x:v>
      </x:c>
    </x:row>
    <x:row r="20">
      <x:c r="B20" s="9" t="str">
        <x:v>CK-14</x:v>
      </x:c>
      <x:c r="C20" s="9" t="str">
        <x:v>hydraulic length and volume</x:v>
      </x:c>
      <x:c r="D20" s="9" t="n">
        <x:v>1</x:v>
      </x:c>
      <x:c r="E20" s="9" t="str">
        <x:v>native model + drawing</x:v>
      </x:c>
      <x:c r="F20" s="9" t="str">
        <x:f>IF(AND(D20=1,E20&lt;&gt;""),"PASS","FAIL")</x:f>
        <x:v>PASS</x:v>
      </x:c>
      <x:c r="G20" s="9" t="str">
        <x:v>OPEN</x:v>
      </x:c>
      <x:c r="H20" s="9" t="str">
        <x:v>PLANNING</x:v>
      </x:c>
    </x:row>
    <x:row r="21">
      <x:c r="B21" s="9" t="str">
        <x:v>CK-15</x:v>
      </x:c>
      <x:c r="C21" s="9" t="str">
        <x:v>collar alignment</x:v>
      </x:c>
      <x:c r="D21" s="9" t="n">
        <x:v>1</x:v>
      </x:c>
      <x:c r="E21" s="9" t="str">
        <x:v>native model + drawing</x:v>
      </x:c>
      <x:c r="F21" s="9" t="str">
        <x:f>IF(AND(D21=1,E21&lt;&gt;""),"PASS","FAIL")</x:f>
        <x:v>PASS</x:v>
      </x:c>
      <x:c r="G21" s="9" t="str">
        <x:v>OPEN</x:v>
      </x:c>
      <x:c r="H21" s="9" t="str">
        <x:v>PLANNING</x:v>
      </x:c>
    </x:row>
    <x:row r="22">
      <x:c r="B22" s="9" t="str">
        <x:v>CK-16</x:v>
      </x:c>
      <x:c r="C22" s="9" t="str">
        <x:v>sanitary dead legs and trapped volume</x:v>
      </x:c>
      <x:c r="D22" s="9" t="n">
        <x:v>1</x:v>
      </x:c>
      <x:c r="E22" s="9" t="str">
        <x:v>native model + drawing</x:v>
      </x:c>
      <x:c r="F22" s="9" t="str">
        <x:f>IF(AND(D22=1,E22&lt;&gt;""),"PASS","FAIL")</x:f>
        <x:v>PASS</x:v>
      </x:c>
      <x:c r="G22" s="9" t="str">
        <x:v>OPEN</x:v>
      </x:c>
      <x:c r="H22" s="9" t="str">
        <x:v>PLANNING</x:v>
      </x:c>
    </x:row>
    <x:row r="23">
      <x:c r="B23" s="9" t="str">
        <x:v>CK-17</x:v>
      </x:c>
      <x:c r="C23" s="9" t="str">
        <x:v>product and waste incompatibility</x:v>
      </x:c>
      <x:c r="D23" s="9" t="n">
        <x:v>1</x:v>
      </x:c>
      <x:c r="E23" s="9" t="str">
        <x:v>native model + drawing</x:v>
      </x:c>
      <x:c r="F23" s="9" t="str">
        <x:f>IF(AND(D23=1,E23&lt;&gt;""),"PASS","FAIL")</x:f>
        <x:v>PASS</x:v>
      </x:c>
      <x:c r="G23" s="9" t="str">
        <x:v>OPEN</x:v>
      </x:c>
      <x:c r="H23" s="9" t="str">
        <x:v>PLANNING</x:v>
      </x:c>
    </x:row>
    <x:row r="24">
      <x:c r="B24" s="9" t="str">
        <x:v>CK-18</x:v>
      </x:c>
      <x:c r="C24" s="9" t="str">
        <x:v>continuous, overload and transient current</x:v>
      </x:c>
      <x:c r="D24" s="9" t="n">
        <x:v>1</x:v>
      </x:c>
      <x:c r="E24" s="9" t="str">
        <x:v>native model + drawing</x:v>
      </x:c>
      <x:c r="F24" s="9" t="str">
        <x:f>IF(AND(D24=1,E24&lt;&gt;""),"PASS","FAIL")</x:f>
        <x:v>PASS</x:v>
      </x:c>
      <x:c r="G24" s="9" t="str">
        <x:v>OPEN</x:v>
      </x:c>
      <x:c r="H24" s="9" t="str">
        <x:v>PLANNING</x:v>
      </x:c>
    </x:row>
    <x:row r="25">
      <x:c r="B25" s="9" t="str">
        <x:v>CK-19</x:v>
      </x:c>
      <x:c r="C25" s="9" t="str">
        <x:v>black-start energy and timing</x:v>
      </x:c>
      <x:c r="D25" s="9" t="n">
        <x:v>1</x:v>
      </x:c>
      <x:c r="E25" s="9" t="str">
        <x:v>native model + drawing</x:v>
      </x:c>
      <x:c r="F25" s="9" t="str">
        <x:f>IF(AND(D25=1,E25&lt;&gt;""),"PASS","FAIL")</x:f>
        <x:v>PASS</x:v>
      </x:c>
      <x:c r="G25" s="9" t="str">
        <x:v>OPEN</x:v>
      </x:c>
      <x:c r="H25" s="9" t="str">
        <x:v>PLANNING</x:v>
      </x:c>
    </x:row>
    <x:row r="26">
      <x:c r="B26" s="9" t="str">
        <x:v>CK-20</x:v>
      </x:c>
      <x:c r="C26" s="9" t="str">
        <x:v>grounding and protection selectivity</x:v>
      </x:c>
      <x:c r="D26" s="9" t="n">
        <x:v>1</x:v>
      </x:c>
      <x:c r="E26" s="9" t="str">
        <x:v>native model + drawing</x:v>
      </x:c>
      <x:c r="F26" s="9" t="str">
        <x:f>IF(AND(D26=1,E26&lt;&gt;""),"PASS","FAIL")</x:f>
        <x:v>PASS</x:v>
      </x:c>
      <x:c r="G26" s="9" t="str">
        <x:v>OPEN</x:v>
      </x:c>
      <x:c r="H26" s="9" t="str">
        <x:v>PLANNING</x:v>
      </x:c>
    </x:row>
    <x:row r="27">
      <x:c r="B27" s="9" t="str">
        <x:v>CK-21</x:v>
      </x:c>
      <x:c r="C27" s="9" t="str">
        <x:v>measurement-plane completeness</x:v>
      </x:c>
      <x:c r="D27" s="9" t="n">
        <x:v>1</x:v>
      </x:c>
      <x:c r="E27" s="9" t="str">
        <x:v>native model + drawing</x:v>
      </x:c>
      <x:c r="F27" s="9" t="str">
        <x:f>IF(AND(D27=1,E27&lt;&gt;""),"PASS","FAIL")</x:f>
        <x:v>PASS</x:v>
      </x:c>
      <x:c r="G27" s="9" t="str">
        <x:v>OPEN</x:v>
      </x:c>
      <x:c r="H27" s="9" t="str">
        <x:v>PLANNING</x:v>
      </x:c>
    </x:row>
    <x:row r="28">
      <x:c r="B28" s="9" t="str">
        <x:v>CK-22</x:v>
      </x:c>
      <x:c r="C28" s="9" t="str">
        <x:v>two-original separation</x:v>
      </x:c>
      <x:c r="D28" s="9" t="n">
        <x:v>1</x:v>
      </x:c>
      <x:c r="E28" s="9" t="str">
        <x:v>native model + drawing</x:v>
      </x:c>
      <x:c r="F28" s="9" t="str">
        <x:f>IF(AND(D28=1,E28&lt;&gt;""),"PASS","FAIL")</x:f>
        <x:v>PASS</x:v>
      </x:c>
      <x:c r="G28" s="9" t="str">
        <x:v>OPEN</x:v>
      </x:c>
      <x:c r="H28" s="9" t="str">
        <x:v>PLANNING</x:v>
      </x:c>
    </x:row>
    <x:row r="29">
      <x:c r="B29" s="9" t="str">
        <x:v>CK-23</x:v>
      </x:c>
      <x:c r="C29" s="9" t="str">
        <x:v>access and hazard-state compatibility</x:v>
      </x:c>
      <x:c r="D29" s="9" t="n">
        <x:v>1</x:v>
      </x:c>
      <x:c r="E29" s="9" t="str">
        <x:v>native model + drawing</x:v>
      </x:c>
      <x:c r="F29" s="9" t="str">
        <x:f>IF(AND(D29=1,E29&lt;&gt;""),"PASS","FAIL")</x:f>
        <x:v>PASS</x:v>
      </x:c>
      <x:c r="G29" s="9" t="str">
        <x:v>OPEN</x:v>
      </x:c>
      <x:c r="H29" s="9" t="str">
        <x:v>PLANNING</x:v>
      </x:c>
    </x:row>
    <x:row r="30">
      <x:c r="B30" s="10" t="str">
        <x:v>CK-24</x:v>
      </x:c>
      <x:c r="C30" s="10" t="str">
        <x:v>teardown, waste and environmental closure</x:v>
      </x:c>
      <x:c r="D30" s="10" t="n">
        <x:v>1</x:v>
      </x:c>
      <x:c r="E30" s="10" t="str">
        <x:v>native model + drawing</x:v>
      </x:c>
      <x:c r="F30" s="10" t="str">
        <x:f>IF(AND(D30=1,E30&lt;&gt;""),"PASS","FAIL")</x:f>
        <x:v>PASS</x:v>
      </x:c>
      <x:c r="G30" s="10" t="str">
        <x:v>OPEN</x:v>
      </x:c>
      <x:c r="H30" s="10" t="str">
        <x:v>PLANNING</x:v>
      </x:c>
    </x:row>
  </x:sheetData>
  <x:mergeCells>
    <x:mergeCell ref="B2:H2"/>
    <x:mergeCell ref="B3:H3"/>
  </x:mergeCells>
  <x:conditionalFormatting sqref="F7:H30">
    <x:cfRule type="containsText" dxfId="204" priority="1" operator="containsText" text="PASS"/>
    <x:cfRule type="containsText" dxfId="205" priority="2" operator="containsText" text="AUTHORIZED"/>
    <x:cfRule type="containsText" dxfId="206" priority="3" operator="containsText" text="DEFINED"/>
    <x:cfRule type="containsText" dxfId="207" priority="4" operator="containsText" text="READY"/>
    <x:cfRule type="containsText" dxfId="208" priority="5" operator="containsText" text="HOLD"/>
    <x:cfRule type="containsText" dxfId="209" priority="6" operator="containsText" text="OPEN"/>
    <x:cfRule type="containsText" dxfId="210" priority="7" operator="containsText" text="BLOCKED"/>
    <x:cfRule type="containsText" dxfId="211" priority="8" operator="containsText" text="PLANNING"/>
    <x:cfRule type="containsText" dxfId="212" priority="9" operator="containsText" text="FAIL"/>
    <x:cfRule type="containsText" dxfId="213" priority="10" operator="containsText" text="REJECT"/>
    <x:cfRule type="containsText" dxfId="214" priority="11" operator="containsText" text="INCOMPLETE"/>
    <x:cfRule type="containsText" dxfId="215" priority="12" operator="containsText" text="INDETERMINATE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45" hidden="0" customWidth="1"/>
    <x:col min="4" max="4" width="13" hidden="0" customWidth="1"/>
    <x:col min="5" max="5" width="13" hidden="0" customWidth="1"/>
    <x:col min="6" max="6" width="14" hidden="0" customWidth="1"/>
    <x:col min="7" max="7" width="17" hidden="0" customWidth="1"/>
    <x:col min="8" max="8" width="16" hidden="0" customWidth="1"/>
    <x:col min="9" max="9" width="16" hidden="0" customWidth="1"/>
    <x:col min="10" max="10" width="17" hidden="0" customWidth="1"/>
  </x:cols>
  <x:sheetData>
    <x:row r="2">
      <x:c r="B2" s="28" t="str">
        <x:v>Eighteen-month BRD-1 definition schedule</x:v>
      </x:c>
      <x:c r="C2" s="8"/>
      <x:c r="D2" s="8"/>
      <x:c r="E2" s="8"/>
      <x:c r="F2" s="8"/>
      <x:c r="G2" s="8"/>
      <x:c r="H2" s="8"/>
      <x:c r="I2" s="8"/>
      <x:c r="J2" s="8"/>
    </x:row>
    <x:row r="3">
      <x:c r="B3" s="2" t="str">
        <x:v>Root work runs in parallel only beneath controlled common coordinates and services.</x:v>
      </x:c>
      <x:c r="C3" s="8"/>
      <x:c r="D3" s="8"/>
      <x:c r="E3" s="8"/>
      <x:c r="F3" s="8"/>
      <x:c r="G3" s="8"/>
      <x:c r="H3" s="8"/>
      <x:c r="I3" s="8"/>
      <x:c r="J3" s="8"/>
    </x:row>
    <x:row r="4">
      <x:c r="B4" s="29"/>
      <x:c r="C4" s="29"/>
      <x:c r="D4" s="29"/>
      <x:c r="E4" s="29"/>
      <x:c r="F4" s="29"/>
      <x:c r="G4" s="29"/>
      <x:c r="H4" s="29"/>
      <x:c r="I4" s="29"/>
      <x:c r="J4" s="29"/>
    </x:row>
    <x:row r="5">
      <x:c r="B5" s="8"/>
      <x:c r="C5" s="8"/>
      <x:c r="D5" s="8"/>
      <x:c r="E5" s="8"/>
      <x:c r="F5" s="8"/>
      <x:c r="G5" s="8"/>
      <x:c r="H5" s="8"/>
      <x:c r="I5" s="8"/>
      <x:c r="J5" s="8"/>
    </x:row>
    <x:row r="6">
      <x:c r="B6" s="7" t="str">
        <x:v>Phase</x:v>
      </x:c>
      <x:c r="C6" s="7" t="str">
        <x:v>Work</x:v>
      </x:c>
      <x:c r="D6" s="7" t="str">
        <x:v>Start</x:v>
      </x:c>
      <x:c r="E6" s="7" t="str">
        <x:v>End</x:v>
      </x:c>
      <x:c r="F6" s="7" t="str">
        <x:v>Duration</x:v>
      </x:c>
      <x:c r="G6" s="7" t="str">
        <x:v>Required end</x:v>
      </x:c>
      <x:c r="H6" s="7" t="str">
        <x:v>Predecessor</x:v>
      </x:c>
      <x:c r="I6" s="7" t="str">
        <x:v>Planning gate</x:v>
      </x:c>
      <x:c r="J6" s="7" t="str">
        <x:v>Physical state</x:v>
      </x:c>
    </x:row>
    <x:row r="7">
      <x:c r="B7" s="9" t="str">
        <x:v>P01</x:v>
      </x:c>
      <x:c r="C7" s="9" t="str">
        <x:v>public coordinate freeze</x:v>
      </x:c>
      <x:c r="D7" s="9" t="n">
        <x:v>0</x:v>
      </x:c>
      <x:c r="E7" s="9" t="n">
        <x:v>2</x:v>
      </x:c>
      <x:c r="F7" s="9" t="n">
        <x:f>E7-D7</x:f>
        <x:v>2</x:v>
      </x:c>
      <x:c r="G7" s="9" t="n">
        <x:v>18</x:v>
      </x:c>
      <x:c r="H7" s="9" t="str">
        <x:v>START</x:v>
      </x:c>
      <x:c r="I7" s="9" t="str">
        <x:f>IF(AND(D7&gt;=0,E7&lt;=G7,F7&gt;0),"PASS","FAIL")</x:f>
        <x:v>PASS</x:v>
      </x:c>
      <x:c r="J7" s="9" t="str">
        <x:v>OPEN</x:v>
      </x:c>
    </x:row>
    <x:row r="8">
      <x:c r="B8" s="9" t="str">
        <x:v>P02</x:v>
      </x:c>
      <x:c r="C8" s="9" t="str">
        <x:v>root internal concepts</x:v>
      </x:c>
      <x:c r="D8" s="9" t="n">
        <x:v>1</x:v>
      </x:c>
      <x:c r="E8" s="9" t="n">
        <x:v>4</x:v>
      </x:c>
      <x:c r="F8" s="9" t="n">
        <x:f>E8-D8</x:f>
        <x:v>3</x:v>
      </x:c>
      <x:c r="G8" s="9" t="n">
        <x:v>18</x:v>
      </x:c>
      <x:c r="H8" s="9" t="str">
        <x:v>P01</x:v>
      </x:c>
      <x:c r="I8" s="9" t="str">
        <x:f>IF(AND(D8&gt;=0,E8&lt;=G8,F8&gt;0),"PASS","FAIL")</x:f>
        <x:v>PASS</x:v>
      </x:c>
      <x:c r="J8" s="9" t="str">
        <x:v>OPEN</x:v>
      </x:c>
    </x:row>
    <x:row r="9">
      <x:c r="B9" s="9" t="str">
        <x:v>P03</x:v>
      </x:c>
      <x:c r="C9" s="9" t="str">
        <x:v>preliminary hazard review</x:v>
      </x:c>
      <x:c r="D9" s="9" t="n">
        <x:v>2</x:v>
      </x:c>
      <x:c r="E9" s="9" t="n">
        <x:v>5</x:v>
      </x:c>
      <x:c r="F9" s="9" t="n">
        <x:f>E9-D9</x:f>
        <x:v>3</x:v>
      </x:c>
      <x:c r="G9" s="9" t="n">
        <x:v>18</x:v>
      </x:c>
      <x:c r="H9" s="9" t="str">
        <x:v>P02</x:v>
      </x:c>
      <x:c r="I9" s="9" t="str">
        <x:f>IF(AND(D9&gt;=0,E9&lt;=G9,F9&gt;0),"PASS","FAIL")</x:f>
        <x:v>PASS</x:v>
      </x:c>
      <x:c r="J9" s="9" t="str">
        <x:v>OPEN</x:v>
      </x:c>
    </x:row>
    <x:row r="10">
      <x:c r="B10" s="9" t="str">
        <x:v>P04</x:v>
      </x:c>
      <x:c r="C10" s="9" t="str">
        <x:v>forty-percent section review</x:v>
      </x:c>
      <x:c r="D10" s="9" t="n">
        <x:v>4</x:v>
      </x:c>
      <x:c r="E10" s="9" t="n">
        <x:v>7</x:v>
      </x:c>
      <x:c r="F10" s="9" t="n">
        <x:f>E10-D10</x:f>
        <x:v>3</x:v>
      </x:c>
      <x:c r="G10" s="9" t="n">
        <x:v>18</x:v>
      </x:c>
      <x:c r="H10" s="9" t="str">
        <x:v>P03</x:v>
      </x:c>
      <x:c r="I10" s="9" t="str">
        <x:f>IF(AND(D10&gt;=0,E10&lt;=G10,F10&gt;0),"PASS","FAIL")</x:f>
        <x:v>PASS</x:v>
      </x:c>
      <x:c r="J10" s="9" t="str">
        <x:v>OPEN</x:v>
      </x:c>
    </x:row>
    <x:row r="11">
      <x:c r="B11" s="9" t="str">
        <x:v>P05</x:v>
      </x:c>
      <x:c r="C11" s="9" t="str">
        <x:v>root process and coupon definition</x:v>
      </x:c>
      <x:c r="D11" s="9" t="n">
        <x:v>5</x:v>
      </x:c>
      <x:c r="E11" s="9" t="n">
        <x:v>9</x:v>
      </x:c>
      <x:c r="F11" s="9" t="n">
        <x:f>E11-D11</x:f>
        <x:v>4</x:v>
      </x:c>
      <x:c r="G11" s="9" t="n">
        <x:v>18</x:v>
      </x:c>
      <x:c r="H11" s="9" t="str">
        <x:v>P04</x:v>
      </x:c>
      <x:c r="I11" s="9" t="str">
        <x:f>IF(AND(D11&gt;=0,E11&lt;=G11,F11&gt;0),"PASS","FAIL")</x:f>
        <x:v>PASS</x:v>
      </x:c>
      <x:c r="J11" s="9" t="str">
        <x:v>OPEN</x:v>
      </x:c>
    </x:row>
    <x:row r="12">
      <x:c r="B12" s="9" t="str">
        <x:v>P06</x:v>
      </x:c>
      <x:c r="C12" s="9" t="str">
        <x:v>receiver and fixture drawings</x:v>
      </x:c>
      <x:c r="D12" s="9" t="n">
        <x:v>5</x:v>
      </x:c>
      <x:c r="E12" s="9" t="n">
        <x:v>9</x:v>
      </x:c>
      <x:c r="F12" s="9" t="n">
        <x:f>E12-D12</x:f>
        <x:v>4</x:v>
      </x:c>
      <x:c r="G12" s="9" t="n">
        <x:v>18</x:v>
      </x:c>
      <x:c r="H12" s="9" t="str">
        <x:v>P05</x:v>
      </x:c>
      <x:c r="I12" s="9" t="str">
        <x:f>IF(AND(D12&gt;=0,E12&lt;=G12,F12&gt;0),"PASS","FAIL")</x:f>
        <x:v>PASS</x:v>
      </x:c>
      <x:c r="J12" s="9" t="str">
        <x:v>OPEN</x:v>
      </x:c>
    </x:row>
    <x:row r="13">
      <x:c r="B13" s="9" t="str">
        <x:v>P07</x:v>
      </x:c>
      <x:c r="C13" s="9" t="str">
        <x:v>seventy-percent independent check</x:v>
      </x:c>
      <x:c r="D13" s="9" t="n">
        <x:v>7</x:v>
      </x:c>
      <x:c r="E13" s="9" t="n">
        <x:v>11</x:v>
      </x:c>
      <x:c r="F13" s="9" t="n">
        <x:f>E13-D13</x:f>
        <x:v>4</x:v>
      </x:c>
      <x:c r="G13" s="9" t="n">
        <x:v>18</x:v>
      </x:c>
      <x:c r="H13" s="9" t="str">
        <x:v>P06</x:v>
      </x:c>
      <x:c r="I13" s="9" t="str">
        <x:f>IF(AND(D13&gt;=0,E13&lt;=G13,F13&gt;0),"PASS","FAIL")</x:f>
        <x:v>PASS</x:v>
      </x:c>
      <x:c r="J13" s="9" t="str">
        <x:v>OPEN</x:v>
      </x:c>
    </x:row>
    <x:row r="14">
      <x:c r="B14" s="9" t="str">
        <x:v>P08</x:v>
      </x:c>
      <x:c r="C14" s="9" t="str">
        <x:v>protection and evidence emulation</x:v>
      </x:c>
      <x:c r="D14" s="9" t="n">
        <x:v>8</x:v>
      </x:c>
      <x:c r="E14" s="9" t="n">
        <x:v>12</x:v>
      </x:c>
      <x:c r="F14" s="9" t="n">
        <x:f>E14-D14</x:f>
        <x:v>4</x:v>
      </x:c>
      <x:c r="G14" s="9" t="n">
        <x:v>18</x:v>
      </x:c>
      <x:c r="H14" s="9" t="str">
        <x:v>P07</x:v>
      </x:c>
      <x:c r="I14" s="9" t="str">
        <x:f>IF(AND(D14&gt;=0,E14&lt;=G14,F14&gt;0),"PASS","FAIL")</x:f>
        <x:v>PASS</x:v>
      </x:c>
      <x:c r="J14" s="9" t="str">
        <x:v>OPEN</x:v>
      </x:c>
    </x:row>
    <x:row r="15">
      <x:c r="B15" s="9" t="str">
        <x:v>P09</x:v>
      </x:c>
      <x:c r="C15" s="9" t="str">
        <x:v>independent package check</x:v>
      </x:c>
      <x:c r="D15" s="9" t="n">
        <x:v>10</x:v>
      </x:c>
      <x:c r="E15" s="9" t="n">
        <x:v>13</x:v>
      </x:c>
      <x:c r="F15" s="9" t="n">
        <x:f>E15-D15</x:f>
        <x:v>3</x:v>
      </x:c>
      <x:c r="G15" s="9" t="n">
        <x:v>18</x:v>
      </x:c>
      <x:c r="H15" s="9" t="str">
        <x:v>P08</x:v>
      </x:c>
      <x:c r="I15" s="9" t="str">
        <x:f>IF(AND(D15&gt;=0,E15&lt;=G15,F15&gt;0),"PASS","FAIL")</x:f>
        <x:v>PASS</x:v>
      </x:c>
      <x:c r="J15" s="9" t="str">
        <x:v>OPEN</x:v>
      </x:c>
    </x:row>
    <x:row r="16">
      <x:c r="B16" s="9" t="str">
        <x:v>P10</x:v>
      </x:c>
      <x:c r="C16" s="9" t="str">
        <x:v>ninety-percent frozen review</x:v>
      </x:c>
      <x:c r="D16" s="9" t="n">
        <x:v>12</x:v>
      </x:c>
      <x:c r="E16" s="9" t="n">
        <x:v>14</x:v>
      </x:c>
      <x:c r="F16" s="9" t="n">
        <x:f>E16-D16</x:f>
        <x:v>2</x:v>
      </x:c>
      <x:c r="G16" s="9" t="n">
        <x:v>18</x:v>
      </x:c>
      <x:c r="H16" s="9" t="str">
        <x:v>P09</x:v>
      </x:c>
      <x:c r="I16" s="9" t="str">
        <x:f>IF(AND(D16&gt;=0,E16&lt;=G16,F16&gt;0),"PASS","FAIL")</x:f>
        <x:v>PASS</x:v>
      </x:c>
      <x:c r="J16" s="9" t="str">
        <x:v>OPEN</x:v>
      </x:c>
    </x:row>
    <x:row r="17">
      <x:c r="B17" s="9" t="str">
        <x:v>P11</x:v>
      </x:c>
      <x:c r="C17" s="9" t="str">
        <x:v>reproduction exercise</x:v>
      </x:c>
      <x:c r="D17" s="9" t="n">
        <x:v>13</x:v>
      </x:c>
      <x:c r="E17" s="9" t="n">
        <x:v>16</x:v>
      </x:c>
      <x:c r="F17" s="9" t="n">
        <x:f>E17-D17</x:f>
        <x:v>3</x:v>
      </x:c>
      <x:c r="G17" s="9" t="n">
        <x:v>18</x:v>
      </x:c>
      <x:c r="H17" s="9" t="str">
        <x:v>P10</x:v>
      </x:c>
      <x:c r="I17" s="9" t="str">
        <x:f>IF(AND(D17&gt;=0,E17&lt;=G17,F17&gt;0),"PASS","FAIL")</x:f>
        <x:v>PASS</x:v>
      </x:c>
      <x:c r="J17" s="9" t="str">
        <x:v>OPEN</x:v>
      </x:c>
    </x:row>
    <x:row r="18">
      <x:c r="B18" s="10" t="str">
        <x:v>P12</x:v>
      </x:c>
      <x:c r="C18" s="10" t="str">
        <x:v>build-release board</x:v>
      </x:c>
      <x:c r="D18" s="10" t="n">
        <x:v>16</x:v>
      </x:c>
      <x:c r="E18" s="10" t="n">
        <x:v>18</x:v>
      </x:c>
      <x:c r="F18" s="10" t="n">
        <x:f>E18-D18</x:f>
        <x:v>2</x:v>
      </x:c>
      <x:c r="G18" s="10" t="n">
        <x:v>18</x:v>
      </x:c>
      <x:c r="H18" s="10" t="str">
        <x:v>P11</x:v>
      </x:c>
      <x:c r="I18" s="10" t="str">
        <x:f>IF(AND(D18&gt;=0,E18&lt;=G18,F18&gt;0),"PASS","FAIL")</x:f>
        <x:v>PASS</x:v>
      </x:c>
      <x:c r="J18" s="10" t="str">
        <x:v>OPEN</x:v>
      </x:c>
    </x:row>
  </x:sheetData>
  <x:mergeCells>
    <x:mergeCell ref="B2:J2"/>
    <x:mergeCell ref="B3:J3"/>
  </x:mergeCells>
  <x:conditionalFormatting sqref="I7:J18">
    <x:cfRule type="containsText" dxfId="216" priority="1" operator="containsText" text="PASS"/>
    <x:cfRule type="containsText" dxfId="217" priority="2" operator="containsText" text="AUTHORIZED"/>
    <x:cfRule type="containsText" dxfId="218" priority="3" operator="containsText" text="DEFINED"/>
    <x:cfRule type="containsText" dxfId="219" priority="4" operator="containsText" text="READY"/>
    <x:cfRule type="containsText" dxfId="220" priority="5" operator="containsText" text="HOLD"/>
    <x:cfRule type="containsText" dxfId="221" priority="6" operator="containsText" text="OPEN"/>
    <x:cfRule type="containsText" dxfId="222" priority="7" operator="containsText" text="BLOCKED"/>
    <x:cfRule type="containsText" dxfId="223" priority="8" operator="containsText" text="PLANNING"/>
    <x:cfRule type="containsText" dxfId="224" priority="9" operator="containsText" text="FAIL"/>
    <x:cfRule type="containsText" dxfId="225" priority="10" operator="containsText" text="REJECT"/>
    <x:cfRule type="containsText" dxfId="226" priority="11" operator="containsText" text="INCOMPLETE"/>
    <x:cfRule type="containsText" dxfId="227" priority="12" operator="containsText" text="INDETERMINATE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9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</x:cols>
  <x:sheetData>
    <x:row r="2">
      <x:c r="B2" s="28" t="str">
        <x:v>BRD-1 capital draw cross-classification</x:v>
      </x:c>
      <x:c r="C2" s="8"/>
      <x:c r="D2" s="8"/>
      <x:c r="E2" s="8"/>
      <x:c r="F2" s="8"/>
      <x:c r="G2" s="8"/>
      <x:c r="H2" s="8"/>
    </x:row>
    <x:row r="3">
      <x:c r="B3" s="2" t="str">
        <x:v>Research allocation inside Pass 110 CISA-1; not an appropriation, obligation or outturn forecast.</x:v>
      </x:c>
      <x:c r="C3" s="8"/>
      <x:c r="D3" s="8"/>
      <x:c r="E3" s="8"/>
      <x:c r="F3" s="8"/>
      <x:c r="G3" s="8"/>
      <x:c r="H3" s="8"/>
    </x:row>
    <x:row r="4">
      <x:c r="B4" s="29"/>
      <x:c r="C4" s="29"/>
      <x:c r="D4" s="29"/>
      <x:c r="E4" s="29"/>
      <x:c r="F4" s="29"/>
      <x:c r="G4" s="29"/>
      <x:c r="H4" s="29"/>
    </x:row>
    <x:row r="5">
      <x:c r="B5" s="8"/>
      <x:c r="C5" s="8"/>
      <x:c r="D5" s="8"/>
      <x:c r="E5" s="8"/>
      <x:c r="F5" s="8"/>
      <x:c r="G5" s="8"/>
      <x:c r="H5" s="8"/>
    </x:row>
    <x:row r="6">
      <x:c r="B6" s="7" t="str">
        <x:v>Class</x:v>
      </x:c>
      <x:c r="C6" s="7" t="str">
        <x:v>CISA standing</x:v>
      </x:c>
      <x:c r="D6" s="7" t="str">
        <x:v>BRD-1 draw</x:v>
      </x:c>
      <x:c r="E6" s="7" t="str">
        <x:v>Remaining</x:v>
      </x:c>
      <x:c r="F6" s="7" t="str">
        <x:v>Share of BRD-1</x:v>
      </x:c>
      <x:c r="G6" s="7" t="str">
        <x:v>Reconciliation</x:v>
      </x:c>
      <x:c r="H6" s="7" t="str">
        <x:v>Gate</x:v>
      </x:c>
    </x:row>
    <x:row r="7">
      <x:c r="B7" s="9" t="str">
        <x:v>digital definition and configuration</x:v>
      </x:c>
      <x:c r="C7" s="16" t="n">
        <x:v>0.12</x:v>
      </x:c>
      <x:c r="D7" s="16" t="n">
        <x:v>0.044</x:v>
      </x:c>
      <x:c r="E7" s="16" t="n">
        <x:f>C7-D7</x:f>
        <x:v>0.076</x:v>
      </x:c>
      <x:c r="F7" s="16" t="n">
        <x:f>D7/'Controls'!$D$71</x:f>
        <x:v>0.13836477987421383</x:v>
      </x:c>
      <x:c r="G7" s="16" t="n">
        <x:f>C7-D7-E7</x:f>
        <x:v>0</x:v>
      </x:c>
      <x:c r="H7" s="9" t="str">
        <x:f>IF(AND(E7&gt;=0,ABS(G7)&lt;0.000001),"PASS","FAIL")</x:f>
        <x:v>PASS</x:v>
      </x:c>
    </x:row>
    <x:row r="8">
      <x:c r="B8" s="9" t="str">
        <x:v>structural fixtures and proof objects</x:v>
      </x:c>
      <x:c r="C8" s="16" t="n">
        <x:v>0.15</x:v>
      </x:c>
      <x:c r="D8" s="16" t="n">
        <x:v>0.052</x:v>
      </x:c>
      <x:c r="E8" s="16" t="n">
        <x:f>C8-D8</x:f>
        <x:v>0.098</x:v>
      </x:c>
      <x:c r="F8" s="16" t="n">
        <x:f>D8/'Controls'!$D$71</x:f>
        <x:v>0.16352201257861634</x:v>
      </x:c>
      <x:c r="G8" s="16" t="n">
        <x:f>C8-D8-E8</x:f>
        <x:v>0</x:v>
      </x:c>
      <x:c r="H8" s="9" t="str">
        <x:f>IF(AND(E8&gt;=0,ABS(G8)&lt;0.000001),"PASS","FAIL")</x:f>
        <x:v>PASS</x:v>
      </x:c>
    </x:row>
    <x:row r="9">
      <x:c r="B9" s="9" t="str">
        <x:v>hydraulic collar and flow models</x:v>
      </x:c>
      <x:c r="C9" s="16" t="n">
        <x:v>0.14</x:v>
      </x:c>
      <x:c r="D9" s="16" t="n">
        <x:v>0.046</x:v>
      </x:c>
      <x:c r="E9" s="16" t="n">
        <x:f>C9-D9</x:f>
        <x:v>0.09400000000000001</x:v>
      </x:c>
      <x:c r="F9" s="16" t="n">
        <x:f>D9/'Controls'!$D$71</x:f>
        <x:v>0.14465408805031446</x:v>
      </x:c>
      <x:c r="G9" s="16" t="n">
        <x:f>C9-D9-E9</x:f>
        <x:v>0</x:v>
      </x:c>
      <x:c r="H9" s="9" t="str">
        <x:f>IF(AND(E9&gt;=0,ABS(G9)&lt;0.000001),"PASS","FAIL")</x:f>
        <x:v>PASS</x:v>
      </x:c>
    </x:row>
    <x:row r="10">
      <x:c r="B10" s="9" t="str">
        <x:v>power and protection emulation</x:v>
      </x:c>
      <x:c r="C10" s="16" t="n">
        <x:v>0.14</x:v>
      </x:c>
      <x:c r="D10" s="16" t="n">
        <x:v>0.049</x:v>
      </x:c>
      <x:c r="E10" s="16" t="n">
        <x:f>C10-D10</x:f>
        <x:v>0.09100000000000001</x:v>
      </x:c>
      <x:c r="F10" s="16" t="n">
        <x:f>D10/'Controls'!$D$71</x:f>
        <x:v>0.1540880503144654</x:v>
      </x:c>
      <x:c r="G10" s="16" t="n">
        <x:f>C10-D10-E10</x:f>
        <x:v>0</x:v>
      </x:c>
      <x:c r="H10" s="9" t="str">
        <x:f>IF(AND(E10&gt;=0,ABS(G10)&lt;0.000001),"PASS","FAIL")</x:f>
        <x:v>PASS</x:v>
      </x:c>
    </x:row>
    <x:row r="11">
      <x:c r="B11" s="9" t="str">
        <x:v>metrology and evidence</x:v>
      </x:c>
      <x:c r="C11" s="16" t="n">
        <x:v>0.11</x:v>
      </x:c>
      <x:c r="D11" s="16" t="n">
        <x:v>0.038</x:v>
      </x:c>
      <x:c r="E11" s="16" t="n">
        <x:f>C11-D11</x:f>
        <x:v>0.07200000000000001</x:v>
      </x:c>
      <x:c r="F11" s="16" t="n">
        <x:f>D11/'Controls'!$D$71</x:f>
        <x:v>0.11949685534591195</x:v>
      </x:c>
      <x:c r="G11" s="16" t="n">
        <x:f>C11-D11-E11</x:f>
        <x:v>0</x:v>
      </x:c>
      <x:c r="H11" s="9" t="str">
        <x:f>IF(AND(E11&gt;=0,ABS(G11)&lt;0.000001),"PASS","FAIL")</x:f>
        <x:v>PASS</x:v>
      </x:c>
    </x:row>
    <x:row r="12">
      <x:c r="B12" s="9" t="str">
        <x:v>receiver prototype tooling</x:v>
      </x:c>
      <x:c r="C12" s="16" t="n">
        <x:v>0.09</x:v>
      </x:c>
      <x:c r="D12" s="16" t="n">
        <x:v>0.031</x:v>
      </x:c>
      <x:c r="E12" s="16" t="n">
        <x:f>C12-D12</x:f>
        <x:v>0.059</x:v>
      </x:c>
      <x:c r="F12" s="16" t="n">
        <x:f>D12/'Controls'!$D$71</x:f>
        <x:v>0.09748427672955974</x:v>
      </x:c>
      <x:c r="G12" s="16" t="n">
        <x:f>C12-D12-E12</x:f>
        <x:v>0</x:v>
      </x:c>
      <x:c r="H12" s="9" t="str">
        <x:f>IF(AND(E12&gt;=0,ABS(G12)&lt;0.000001),"PASS","FAIL")</x:f>
        <x:v>PASS</x:v>
      </x:c>
    </x:row>
    <x:row r="13">
      <x:c r="B13" s="9" t="str">
        <x:v>root process definition</x:v>
      </x:c>
      <x:c r="C13" s="16" t="n">
        <x:v>0.08</x:v>
      </x:c>
      <x:c r="D13" s="16" t="n">
        <x:v>0.026</x:v>
      </x:c>
      <x:c r="E13" s="16" t="n">
        <x:f>C13-D13</x:f>
        <x:v>0.054000000000000006</x:v>
      </x:c>
      <x:c r="F13" s="16" t="n">
        <x:f>D13/'Controls'!$D$71</x:f>
        <x:v>0.08176100628930817</x:v>
      </x:c>
      <x:c r="G13" s="16" t="n">
        <x:f>C13-D13-E13</x:f>
        <x:v>0</x:v>
      </x:c>
      <x:c r="H13" s="9" t="str">
        <x:f>IF(AND(E13&gt;=0,ABS(G13)&lt;0.000001),"PASS","FAIL")</x:f>
        <x:v>PASS</x:v>
      </x:c>
    </x:row>
    <x:row r="14">
      <x:c r="B14" s="9" t="str">
        <x:v>safety and containment</x:v>
      </x:c>
      <x:c r="C14" s="16" t="n">
        <x:v>0.05</x:v>
      </x:c>
      <x:c r="D14" s="16" t="n">
        <x:v>0.014</x:v>
      </x:c>
      <x:c r="E14" s="16" t="n">
        <x:f>C14-D14</x:f>
        <x:v>0.036000000000000004</x:v>
      </x:c>
      <x:c r="F14" s="16" t="n">
        <x:f>D14/'Controls'!$D$71</x:f>
        <x:v>0.0440251572327044</x:v>
      </x:c>
      <x:c r="G14" s="16" t="n">
        <x:f>C14-D14-E14</x:f>
        <x:v>0</x:v>
      </x:c>
      <x:c r="H14" s="9" t="str">
        <x:f>IF(AND(E14&gt;=0,ABS(G14)&lt;0.000001),"PASS","FAIL")</x:f>
        <x:v>PASS</x:v>
      </x:c>
    </x:row>
    <x:row r="15">
      <x:c r="B15" s="9" t="str">
        <x:v>independent review</x:v>
      </x:c>
      <x:c r="C15" s="16" t="n">
        <x:v>0.03</x:v>
      </x:c>
      <x:c r="D15" s="16" t="n">
        <x:v>0.008</x:v>
      </x:c>
      <x:c r="E15" s="16" t="n">
        <x:f>C15-D15</x:f>
        <x:v>0.022</x:v>
      </x:c>
      <x:c r="F15" s="16" t="n">
        <x:f>D15/'Controls'!$D$71</x:f>
        <x:v>0.025157232704402517</x:v>
      </x:c>
      <x:c r="G15" s="16" t="n">
        <x:f>C15-D15-E15</x:f>
        <x:v>0</x:v>
      </x:c>
      <x:c r="H15" s="9" t="str">
        <x:f>IF(AND(E15&gt;=0,ABS(G15)&lt;0.000001),"PASS","FAIL")</x:f>
        <x:v>PASS</x:v>
      </x:c>
    </x:row>
    <x:row r="16">
      <x:c r="B16" s="9" t="str">
        <x:v>contingency</x:v>
      </x:c>
      <x:c r="C16" s="16" t="n">
        <x:v>0.05</x:v>
      </x:c>
      <x:c r="D16" s="16" t="n">
        <x:v>0.01</x:v>
      </x:c>
      <x:c r="E16" s="16" t="n">
        <x:f>C16-D16</x:f>
        <x:v>0.04</x:v>
      </x:c>
      <x:c r="F16" s="16" t="n">
        <x:f>D16/'Controls'!$D$71</x:f>
        <x:v>0.031446540880503145</x:v>
      </x:c>
      <x:c r="G16" s="16" t="n">
        <x:f>C16-D16-E16</x:f>
        <x:v>0</x:v>
      </x:c>
      <x:c r="H16" s="9" t="str">
        <x:f>IF(AND(E16&gt;=0,ABS(G16)&lt;0.000001),"PASS","FAIL")</x:f>
        <x:v>PASS</x:v>
      </x:c>
    </x:row>
    <x:row r="17">
      <x:c r="B17" s="9"/>
      <x:c r="C17" s="16"/>
      <x:c r="D17" s="16"/>
      <x:c r="E17" s="16"/>
      <x:c r="F17" s="16"/>
      <x:c r="G17" s="16"/>
      <x:c r="H17" s="9"/>
    </x:row>
    <x:row r="18">
      <x:c r="B18" s="10" t="str">
        <x:v>Total</x:v>
      </x:c>
      <x:c r="C18" s="19" t="n">
        <x:f>SUM(C7:C16)</x:f>
        <x:v>0.9600000000000001</x:v>
      </x:c>
      <x:c r="D18" s="19" t="n">
        <x:f>SUM(D7:D16)</x:f>
        <x:v>0.31800000000000006</x:v>
      </x:c>
      <x:c r="E18" s="19" t="n">
        <x:f>SUM(E7:E16)</x:f>
        <x:v>0.6420000000000001</x:v>
      </x:c>
      <x:c r="F18" s="19" t="n">
        <x:f>SUM(F7:F16)</x:f>
        <x:v>0.9999999999999999</x:v>
      </x:c>
      <x:c r="G18" s="19" t="n">
        <x:f>C18-D18-E18</x:f>
        <x:v>-1.1102230246251565e-16</x:v>
      </x:c>
      <x:c r="H18" s="10" t="str">
        <x:f>IF(AND(ABS(D18-'Controls'!$D$71)&lt;0.000001,ABS(G18)&lt;0.000001),"PASS","FAIL")</x:f>
        <x:v>PASS</x:v>
      </x:c>
    </x:row>
  </x:sheetData>
  <x:mergeCells>
    <x:mergeCell ref="B2:H2"/>
    <x:mergeCell ref="B3:H3"/>
  </x:mergeCells>
  <x:conditionalFormatting sqref="H7:H18">
    <x:cfRule type="containsText" dxfId="228" priority="1" operator="containsText" text="PASS"/>
    <x:cfRule type="containsText" dxfId="229" priority="2" operator="containsText" text="AUTHORIZED"/>
    <x:cfRule type="containsText" dxfId="230" priority="3" operator="containsText" text="DEFINED"/>
    <x:cfRule type="containsText" dxfId="231" priority="4" operator="containsText" text="READY"/>
    <x:cfRule type="containsText" dxfId="232" priority="5" operator="containsText" text="HOLD"/>
    <x:cfRule type="containsText" dxfId="233" priority="6" operator="containsText" text="OPEN"/>
    <x:cfRule type="containsText" dxfId="234" priority="7" operator="containsText" text="BLOCKED"/>
    <x:cfRule type="containsText" dxfId="235" priority="8" operator="containsText" text="PLANNING"/>
    <x:cfRule type="containsText" dxfId="236" priority="9" operator="containsText" text="FAIL"/>
    <x:cfRule type="containsText" dxfId="237" priority="10" operator="containsText" text="REJECT"/>
    <x:cfRule type="containsText" dxfId="238" priority="11" operator="containsText" text="INCOMPLETE"/>
    <x:cfRule type="containsText" dxfId="239" priority="12" operator="containsText" text="INDETERMINATE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9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</x:cols>
  <x:sheetData>
    <x:row r="2">
      <x:c r="B2" s="28" t="str">
        <x:v>BRD-1 annual draw cross-classification</x:v>
      </x:c>
      <x:c r="C2" s="8"/>
      <x:c r="D2" s="8"/>
      <x:c r="E2" s="8"/>
      <x:c r="F2" s="8"/>
      <x:c r="G2" s="8"/>
      <x:c r="H2" s="8"/>
    </x:row>
    <x:row r="3">
      <x:c r="B3" s="2" t="str">
        <x:v>Research allocation inside Pass 110 CISA-1; not an appropriation, obligation or outturn forecast.</x:v>
      </x:c>
      <x:c r="C3" s="8"/>
      <x:c r="D3" s="8"/>
      <x:c r="E3" s="8"/>
      <x:c r="F3" s="8"/>
      <x:c r="G3" s="8"/>
      <x:c r="H3" s="8"/>
    </x:row>
    <x:row r="4">
      <x:c r="B4" s="29"/>
      <x:c r="C4" s="29"/>
      <x:c r="D4" s="29"/>
      <x:c r="E4" s="29"/>
      <x:c r="F4" s="29"/>
      <x:c r="G4" s="29"/>
      <x:c r="H4" s="29"/>
    </x:row>
    <x:row r="5">
      <x:c r="B5" s="8"/>
      <x:c r="C5" s="8"/>
      <x:c r="D5" s="8"/>
      <x:c r="E5" s="8"/>
      <x:c r="F5" s="8"/>
      <x:c r="G5" s="8"/>
      <x:c r="H5" s="8"/>
    </x:row>
    <x:row r="6">
      <x:c r="B6" s="7" t="str">
        <x:v>Class</x:v>
      </x:c>
      <x:c r="C6" s="7" t="str">
        <x:v>CISA standing</x:v>
      </x:c>
      <x:c r="D6" s="7" t="str">
        <x:v>BRD-1 draw</x:v>
      </x:c>
      <x:c r="E6" s="7" t="str">
        <x:v>Remaining</x:v>
      </x:c>
      <x:c r="F6" s="7" t="str">
        <x:v>Share of BRD-1</x:v>
      </x:c>
      <x:c r="G6" s="7" t="str">
        <x:v>Reconciliation</x:v>
      </x:c>
      <x:c r="H6" s="7" t="str">
        <x:v>Gate</x:v>
      </x:c>
    </x:row>
    <x:row r="7">
      <x:c r="B7" s="9" t="str">
        <x:v>public engineering</x:v>
      </x:c>
      <x:c r="C7" s="16" t="n">
        <x:v>0.055</x:v>
      </x:c>
      <x:c r="D7" s="16" t="n">
        <x:v>0.02</x:v>
      </x:c>
      <x:c r="E7" s="16" t="n">
        <x:f>C7-D7</x:f>
        <x:v>0.035</x:v>
      </x:c>
      <x:c r="F7" s="16" t="n">
        <x:f>D7/'Controls'!$D$73</x:f>
        <x:v>0.23809523809523808</x:v>
      </x:c>
      <x:c r="G7" s="16" t="n">
        <x:f>C7-D7-E7</x:f>
        <x:v>0</x:v>
      </x:c>
      <x:c r="H7" s="9" t="str">
        <x:f>IF(AND(E7&gt;=0,ABS(G7)&lt;0.000001),"PASS","FAIL")</x:f>
        <x:v>PASS</x:v>
      </x:c>
    </x:row>
    <x:row r="8">
      <x:c r="B8" s="9" t="str">
        <x:v>root definition teams</x:v>
      </x:c>
      <x:c r="C8" s="16" t="n">
        <x:v>0.065</x:v>
      </x:c>
      <x:c r="D8" s="16" t="n">
        <x:v>0.024</x:v>
      </x:c>
      <x:c r="E8" s="16" t="n">
        <x:f>C8-D8</x:f>
        <x:v>0.041</x:v>
      </x:c>
      <x:c r="F8" s="16" t="n">
        <x:f>D8/'Controls'!$D$73</x:f>
        <x:v>0.2857142857142857</x:v>
      </x:c>
      <x:c r="G8" s="16" t="n">
        <x:f>C8-D8-E8</x:f>
        <x:v>0</x:v>
      </x:c>
      <x:c r="H8" s="9" t="str">
        <x:f>IF(AND(E8&gt;=0,ABS(G8)&lt;0.000001),"PASS","FAIL")</x:f>
        <x:v>PASS</x:v>
      </x:c>
    </x:row>
    <x:row r="9">
      <x:c r="B9" s="9" t="str">
        <x:v>metrology and evidence</x:v>
      </x:c>
      <x:c r="C9" s="16" t="n">
        <x:v>0.03</x:v>
      </x:c>
      <x:c r="D9" s="16" t="n">
        <x:v>0.01</x:v>
      </x:c>
      <x:c r="E9" s="16" t="n">
        <x:f>C9-D9</x:f>
        <x:v>0.019999999999999997</x:v>
      </x:c>
      <x:c r="F9" s="16" t="n">
        <x:f>D9/'Controls'!$D$73</x:f>
        <x:v>0.11904761904761904</x:v>
      </x:c>
      <x:c r="G9" s="16" t="n">
        <x:f>C9-D9-E9</x:f>
        <x:v>0</x:v>
      </x:c>
      <x:c r="H9" s="9" t="str">
        <x:f>IF(AND(E9&gt;=0,ABS(G9)&lt;0.000001),"PASS","FAIL")</x:f>
        <x:v>PASS</x:v>
      </x:c>
    </x:row>
    <x:row r="10">
      <x:c r="B10" s="9" t="str">
        <x:v>configuration custody</x:v>
      </x:c>
      <x:c r="C10" s="16" t="n">
        <x:v>0.02</x:v>
      </x:c>
      <x:c r="D10" s="16" t="n">
        <x:v>0.006</x:v>
      </x:c>
      <x:c r="E10" s="16" t="n">
        <x:f>C10-D10</x:f>
        <x:v>0.014</x:v>
      </x:c>
      <x:c r="F10" s="16" t="n">
        <x:f>D10/'Controls'!$D$73</x:f>
        <x:v>0.07142857142857142</x:v>
      </x:c>
      <x:c r="G10" s="16" t="n">
        <x:f>C10-D10-E10</x:f>
        <x:v>0</x:v>
      </x:c>
      <x:c r="H10" s="9" t="str">
        <x:f>IF(AND(E10&gt;=0,ABS(G10)&lt;0.000001),"PASS","FAIL")</x:f>
        <x:v>PASS</x:v>
      </x:c>
    </x:row>
    <x:row r="11">
      <x:c r="B11" s="9" t="str">
        <x:v>fixture upkeep and emulation</x:v>
      </x:c>
      <x:c r="C11" s="16" t="n">
        <x:v>0.018</x:v>
      </x:c>
      <x:c r="D11" s="16" t="n">
        <x:v>0.005</x:v>
      </x:c>
      <x:c r="E11" s="16" t="n">
        <x:f>C11-D11</x:f>
        <x:v>0.012999999999999998</x:v>
      </x:c>
      <x:c r="F11" s="16" t="n">
        <x:f>D11/'Controls'!$D$73</x:f>
        <x:v>0.05952380952380952</x:v>
      </x:c>
      <x:c r="G11" s="16" t="n">
        <x:f>C11-D11-E11</x:f>
        <x:v>0</x:v>
      </x:c>
      <x:c r="H11" s="9" t="str">
        <x:f>IF(AND(E11&gt;=0,ABS(G11)&lt;0.000001),"PASS","FAIL")</x:f>
        <x:v>PASS</x:v>
      </x:c>
    </x:row>
    <x:row r="12">
      <x:c r="B12" s="9" t="str">
        <x:v>protection and safety laboratory</x:v>
      </x:c>
      <x:c r="C12" s="16" t="n">
        <x:v>0.017</x:v>
      </x:c>
      <x:c r="D12" s="16" t="n">
        <x:v>0.005</x:v>
      </x:c>
      <x:c r="E12" s="16" t="n">
        <x:f>C12-D12</x:f>
        <x:v>0.012</x:v>
      </x:c>
      <x:c r="F12" s="16" t="n">
        <x:f>D12/'Controls'!$D$73</x:f>
        <x:v>0.05952380952380952</x:v>
      </x:c>
      <x:c r="G12" s="16" t="n">
        <x:f>C12-D12-E12</x:f>
        <x:v>0</x:v>
      </x:c>
      <x:c r="H12" s="9" t="str">
        <x:f>IF(AND(E12&gt;=0,ABS(G12)&lt;0.000001),"PASS","FAIL")</x:f>
        <x:v>PASS</x:v>
      </x:c>
    </x:row>
    <x:row r="13">
      <x:c r="B13" s="9" t="str">
        <x:v>receiver rehearsal</x:v>
      </x:c>
      <x:c r="C13" s="16" t="n">
        <x:v>0.012</x:v>
      </x:c>
      <x:c r="D13" s="16" t="n">
        <x:v>0.004</x:v>
      </x:c>
      <x:c r="E13" s="16" t="n">
        <x:f>C13-D13</x:f>
        <x:v>0.008</x:v>
      </x:c>
      <x:c r="F13" s="16" t="n">
        <x:f>D13/'Controls'!$D$73</x:f>
        <x:v>0.047619047619047616</x:v>
      </x:c>
      <x:c r="G13" s="16" t="n">
        <x:f>C13-D13-E13</x:f>
        <x:v>0</x:v>
      </x:c>
      <x:c r="H13" s="9" t="str">
        <x:f>IF(AND(E13&gt;=0,ABS(G13)&lt;0.000001),"PASS","FAIL")</x:f>
        <x:v>PASS</x:v>
      </x:c>
    </x:row>
    <x:row r="14">
      <x:c r="B14" s="9" t="str">
        <x:v>independent review</x:v>
      </x:c>
      <x:c r="C14" s="16" t="n">
        <x:v>0.01</x:v>
      </x:c>
      <x:c r="D14" s="16" t="n">
        <x:v>0.003</x:v>
      </x:c>
      <x:c r="E14" s="16" t="n">
        <x:f>C14-D14</x:f>
        <x:v>0.007</x:v>
      </x:c>
      <x:c r="F14" s="16" t="n">
        <x:f>D14/'Controls'!$D$73</x:f>
        <x:v>0.03571428571428571</x:v>
      </x:c>
      <x:c r="G14" s="16" t="n">
        <x:f>C14-D14-E14</x:f>
        <x:v>0</x:v>
      </x:c>
      <x:c r="H14" s="9" t="str">
        <x:f>IF(AND(E14&gt;=0,ABS(G14)&lt;0.000001),"PASS","FAIL")</x:f>
        <x:v>PASS</x:v>
      </x:c>
    </x:row>
    <x:row r="15">
      <x:c r="B15" s="9" t="str">
        <x:v>environmental closure</x:v>
      </x:c>
      <x:c r="C15" s="16" t="n">
        <x:v>0.008</x:v>
      </x:c>
      <x:c r="D15" s="16" t="n">
        <x:v>0.002</x:v>
      </x:c>
      <x:c r="E15" s="16" t="n">
        <x:f>C15-D15</x:f>
        <x:v>0.006</x:v>
      </x:c>
      <x:c r="F15" s="16" t="n">
        <x:f>D15/'Controls'!$D$73</x:f>
        <x:v>0.023809523809523808</x:v>
      </x:c>
      <x:c r="G15" s="16" t="n">
        <x:f>C15-D15-E15</x:f>
        <x:v>0</x:v>
      </x:c>
      <x:c r="H15" s="9" t="str">
        <x:f>IF(AND(E15&gt;=0,ABS(G15)&lt;0.000001),"PASS","FAIL")</x:f>
        <x:v>PASS</x:v>
      </x:c>
    </x:row>
    <x:row r="16">
      <x:c r="B16" s="9" t="str">
        <x:v>controlled reserve</x:v>
      </x:c>
      <x:c r="C16" s="16" t="n">
        <x:v>0.025</x:v>
      </x:c>
      <x:c r="D16" s="16" t="n">
        <x:v>0.005</x:v>
      </x:c>
      <x:c r="E16" s="16" t="n">
        <x:f>C16-D16</x:f>
        <x:v>0.02</x:v>
      </x:c>
      <x:c r="F16" s="16" t="n">
        <x:f>D16/'Controls'!$D$73</x:f>
        <x:v>0.05952380952380952</x:v>
      </x:c>
      <x:c r="G16" s="16" t="n">
        <x:f>C16-D16-E16</x:f>
        <x:v>0</x:v>
      </x:c>
      <x:c r="H16" s="9" t="str">
        <x:f>IF(AND(E16&gt;=0,ABS(G16)&lt;0.000001),"PASS","FAIL")</x:f>
        <x:v>PASS</x:v>
      </x:c>
    </x:row>
    <x:row r="17">
      <x:c r="B17" s="9"/>
      <x:c r="C17" s="16"/>
      <x:c r="D17" s="16"/>
      <x:c r="E17" s="16"/>
      <x:c r="F17" s="16"/>
      <x:c r="G17" s="16"/>
      <x:c r="H17" s="9"/>
    </x:row>
    <x:row r="18">
      <x:c r="B18" s="9" t="str">
        <x:v>Total</x:v>
      </x:c>
      <x:c r="C18" s="16" t="n">
        <x:f>SUM(C7:C16)</x:f>
        <x:v>0.26</x:v>
      </x:c>
      <x:c r="D18" s="16" t="n">
        <x:f>SUM(D7:D16)</x:f>
        <x:v>0.08400000000000002</x:v>
      </x:c>
      <x:c r="E18" s="16" t="n">
        <x:f>SUM(E7:E16)</x:f>
        <x:v>0.17600000000000002</x:v>
      </x:c>
      <x:c r="F18" s="16" t="n">
        <x:f>SUM(F7:F16)</x:f>
        <x:v>1</x:v>
      </x:c>
      <x:c r="G18" s="16" t="n">
        <x:f>C18-D18-E18</x:f>
        <x:v>-2.7755575615628914e-17</x:v>
      </x:c>
      <x:c r="H18" s="9" t="str">
        <x:f>IF(AND(ABS(D18-'Controls'!$D$73)&lt;0.000001,ABS(G18)&lt;0.000001),"PASS","FAIL")</x:f>
        <x:v>PASS</x:v>
      </x:c>
    </x:row>
    <x:row r="19">
      <x:c r="B19" s="9"/>
      <x:c r="C19" s="16"/>
      <x:c r="D19" s="16"/>
      <x:c r="E19" s="16"/>
      <x:c r="F19" s="16"/>
      <x:c r="G19" s="16"/>
      <x:c r="H19" s="9"/>
    </x:row>
    <x:row r="20">
      <x:c r="B20" s="9"/>
      <x:c r="C20" s="16"/>
      <x:c r="D20" s="16"/>
      <x:c r="E20" s="16"/>
      <x:c r="F20" s="16"/>
      <x:c r="G20" s="16"/>
      <x:c r="H20" s="9"/>
    </x:row>
    <x:row r="21">
      <x:c r="B21" s="10" t="str">
        <x:v>18-month operating draw</x:v>
      </x:c>
      <x:c r="C21" s="19"/>
      <x:c r="D21" s="19" t="n">
        <x:f>D18*1.5</x:f>
        <x:v>0.12600000000000003</x:v>
      </x:c>
      <x:c r="E21" s="19" t="str">
        <x:v>USD B</x:v>
      </x:c>
      <x:c r="F21" s="19"/>
      <x:c r="G21" s="19"/>
      <x:c r="H21" s="10" t="str">
        <x:f>IF(ABS(D21-0.126)&lt;0.000001,"PASS","FAIL")</x:f>
        <x:v>PASS</x:v>
      </x:c>
    </x:row>
  </x:sheetData>
  <x:mergeCells>
    <x:mergeCell ref="B2:H2"/>
    <x:mergeCell ref="B3:H3"/>
  </x:mergeCells>
  <x:conditionalFormatting sqref="H7:H21">
    <x:cfRule type="containsText" dxfId="240" priority="1" operator="containsText" text="PASS"/>
    <x:cfRule type="containsText" dxfId="241" priority="2" operator="containsText" text="AUTHORIZED"/>
    <x:cfRule type="containsText" dxfId="242" priority="3" operator="containsText" text="DEFINED"/>
    <x:cfRule type="containsText" dxfId="243" priority="4" operator="containsText" text="READY"/>
    <x:cfRule type="containsText" dxfId="244" priority="5" operator="containsText" text="HOLD"/>
    <x:cfRule type="containsText" dxfId="245" priority="6" operator="containsText" text="OPEN"/>
    <x:cfRule type="containsText" dxfId="246" priority="7" operator="containsText" text="BLOCKED"/>
    <x:cfRule type="containsText" dxfId="247" priority="8" operator="containsText" text="PLANNING"/>
    <x:cfRule type="containsText" dxfId="248" priority="9" operator="containsText" text="FAIL"/>
    <x:cfRule type="containsText" dxfId="249" priority="10" operator="containsText" text="REJECT"/>
    <x:cfRule type="containsText" dxfId="250" priority="11" operator="containsText" text="INCOMPLETE"/>
    <x:cfRule type="containsText" dxfId="251" priority="12" operator="containsText" text="INDETERMINATE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20" hidden="0" customWidth="1"/>
    <x:col min="4" max="4" width="49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</x:cols>
  <x:sheetData>
    <x:row r="2">
      <x:c r="B2" s="28" t="str">
        <x:v>Fifty-six-gate BRD-1 release constitution</x:v>
      </x:c>
      <x:c r="C2" s="8"/>
      <x:c r="D2" s="8"/>
      <x:c r="E2" s="8"/>
      <x:c r="F2" s="8"/>
      <x:c r="G2" s="8"/>
      <x:c r="H2" s="8"/>
    </x:row>
    <x:row r="3">
      <x:c r="B3" s="2" t="str">
        <x:v>Thirty-eight planning gates may close; eighteen source-evidence gates remain open or blocked.</x:v>
      </x:c>
      <x:c r="C3" s="8"/>
      <x:c r="D3" s="8"/>
      <x:c r="E3" s="8"/>
      <x:c r="F3" s="8"/>
      <x:c r="G3" s="8"/>
      <x:c r="H3" s="8"/>
    </x:row>
    <x:row r="4">
      <x:c r="B4" s="29"/>
      <x:c r="C4" s="29"/>
      <x:c r="D4" s="29"/>
      <x:c r="E4" s="29"/>
      <x:c r="F4" s="29"/>
      <x:c r="G4" s="29"/>
      <x:c r="H4" s="29"/>
    </x:row>
    <x:row r="5">
      <x:c r="B5" s="8"/>
      <x:c r="C5" s="8"/>
      <x:c r="D5" s="8"/>
      <x:c r="E5" s="8"/>
      <x:c r="F5" s="8"/>
      <x:c r="G5" s="8"/>
      <x:c r="H5" s="8"/>
    </x:row>
    <x:row r="6">
      <x:c r="B6" s="7" t="str">
        <x:v>Gate</x:v>
      </x:c>
      <x:c r="C6" s="7" t="str">
        <x:v>Phase</x:v>
      </x:c>
      <x:c r="D6" s="7" t="str">
        <x:v>Requirement</x:v>
      </x:c>
      <x:c r="E6" s="7" t="str">
        <x:v>Observed</x:v>
      </x:c>
      <x:c r="F6" s="7" t="str">
        <x:v>Required</x:v>
      </x:c>
      <x:c r="G6" s="7" t="str">
        <x:v>Evidence gate</x:v>
      </x:c>
      <x:c r="H6" s="7" t="str">
        <x:v>Disposition</x:v>
      </x:c>
    </x:row>
    <x:row r="7">
      <x:c r="B7" s="9" t="str">
        <x:v>G01</x:v>
      </x:c>
      <x:c r="C7" s="9" t="str">
        <x:v>PLANNING</x:v>
      </x:c>
      <x:c r="D7" s="9" t="str">
        <x:v>Coordinate objects</x:v>
      </x:c>
      <x:c r="E7" s="9" t="n">
        <x:f>COUNTA(Coordinates!B7:B32)</x:f>
        <x:v>26</x:v>
      </x:c>
      <x:c r="F7" s="9" t="n">
        <x:v>26</x:v>
      </x:c>
      <x:c r="G7" s="9" t="str">
        <x:f>IF(ISNUMBER(E7),IF(ABS(E7-F7)&lt;0.01,"PASS","FAIL"),IF(E7=F7,"PASS","FAIL"))</x:f>
        <x:v>PASS</x:v>
      </x:c>
      <x:c r="H7" s="9" t="str">
        <x:f>IF(G7="PASS","AUTHORIZED","HOLD")</x:f>
        <x:v>AUTHORIZED</x:v>
      </x:c>
    </x:row>
    <x:row r="8">
      <x:c r="B8" s="9" t="str">
        <x:v>G02</x:v>
      </x:c>
      <x:c r="C8" s="9" t="str">
        <x:v>PLANNING</x:v>
      </x:c>
      <x:c r="D8" s="9" t="str">
        <x:v>Coordinate gates</x:v>
      </x:c>
      <x:c r="E8" s="9" t="n">
        <x:f>COUNTIFS(Coordinates!J7:J32,"PASS")</x:f>
        <x:v>26</x:v>
      </x:c>
      <x:c r="F8" s="9" t="n">
        <x:v>26</x:v>
      </x:c>
      <x:c r="G8" s="9" t="str">
        <x:f>IF(ISNUMBER(E8),IF(ABS(E8-F8)&lt;0.01,"PASS","FAIL"),IF(E8=F8,"PASS","FAIL"))</x:f>
        <x:v>PASS</x:v>
      </x:c>
      <x:c r="H8" s="9" t="str">
        <x:f>IF(G8="PASS","AUTHORIZED","HOLD")</x:f>
        <x:v>AUTHORIZED</x:v>
      </x:c>
    </x:row>
    <x:row r="9">
      <x:c r="B9" s="9" t="str">
        <x:v>G03</x:v>
      </x:c>
      <x:c r="C9" s="9" t="str">
        <x:v>PLANNING</x:v>
      </x:c>
      <x:c r="D9" s="9" t="str">
        <x:v>Root mass ledgers</x:v>
      </x:c>
      <x:c r="E9" s="9" t="n">
        <x:f>SUM('Mass and CG'!D7:D30)</x:f>
        <x:v>63.99999999999999</x:v>
      </x:c>
      <x:c r="F9" s="9" t="n">
        <x:v>64</x:v>
      </x:c>
      <x:c r="G9" s="9" t="str">
        <x:f>IF(ISNUMBER(E9),IF(ABS(E9-F9)&lt;0.01,"PASS","FAIL"),IF(E9=F9,"PASS","FAIL"))</x:f>
        <x:v>PASS</x:v>
      </x:c>
      <x:c r="H9" s="9" t="str">
        <x:f>IF(G9="PASS","AUTHORIZED","HOLD")</x:f>
        <x:v>AUTHORIZED</x:v>
      </x:c>
    </x:row>
    <x:row r="10">
      <x:c r="B10" s="9" t="str">
        <x:v>G04</x:v>
      </x:c>
      <x:c r="C10" s="9" t="str">
        <x:v>PLANNING</x:v>
      </x:c>
      <x:c r="D10" s="9" t="str">
        <x:v>Mass/CG design gates</x:v>
      </x:c>
      <x:c r="E10" s="9" t="n">
        <x:f>COUNTIFS('Mass and CG'!H49:K53,"PASS")</x:f>
        <x:v>16</x:v>
      </x:c>
      <x:c r="F10" s="9" t="n">
        <x:v>16</x:v>
      </x:c>
      <x:c r="G10" s="9" t="str">
        <x:f>IF(ISNUMBER(E10),IF(ABS(E10-F10)&lt;0.01,"PASS","FAIL"),IF(E10=F10,"PASS","FAIL"))</x:f>
        <x:v>PASS</x:v>
      </x:c>
      <x:c r="H10" s="9" t="str">
        <x:f>IF(G10="PASS","AUTHORIZED","HOLD")</x:f>
        <x:v>AUTHORIZED</x:v>
      </x:c>
    </x:row>
    <x:row r="11">
      <x:c r="B11" s="9" t="str">
        <x:v>G05</x:v>
      </x:c>
      <x:c r="C11" s="9" t="str">
        <x:v>PLANNING</x:v>
      </x:c>
      <x:c r="D11" s="9" t="str">
        <x:v>Support geometry gates</x:v>
      </x:c>
      <x:c r="E11" s="9" t="n">
        <x:f>COUNTIFS('Support Geometry'!K7:K14,"PASS")</x:f>
        <x:v>8</x:v>
      </x:c>
      <x:c r="F11" s="9" t="n">
        <x:v>8</x:v>
      </x:c>
      <x:c r="G11" s="9" t="str">
        <x:f>IF(ISNUMBER(E11),IF(ABS(E11-F11)&lt;0.01,"PASS","FAIL"),IF(E11=F11,"PASS","FAIL"))</x:f>
        <x:v>PASS</x:v>
      </x:c>
      <x:c r="H11" s="9" t="str">
        <x:f>IF(G11="PASS","AUTHORIZED","HOLD")</x:f>
        <x:v>AUTHORIZED</x:v>
      </x:c>
    </x:row>
    <x:row r="12">
      <x:c r="B12" s="9" t="str">
        <x:v>G06</x:v>
      </x:c>
      <x:c r="C12" s="9" t="str">
        <x:v>PLANNING</x:v>
      </x:c>
      <x:c r="D12" s="9" t="str">
        <x:v>Weak-ground demand gate</x:v>
      </x:c>
      <x:c r="E12" s="9" t="str">
        <x:f>'Support Geometry'!I20</x:f>
        <x:v>PASS</x:v>
      </x:c>
      <x:c r="F12" s="9" t="str">
        <x:v>PASS</x:v>
      </x:c>
      <x:c r="G12" s="9" t="str">
        <x:f>IF(ISNUMBER(E12),IF(ABS(E12-F12)&lt;0.01,"PASS","FAIL"),IF(E12=F12,"PASS","FAIL"))</x:f>
        <x:v>PASS</x:v>
      </x:c>
      <x:c r="H12" s="9" t="str">
        <x:f>IF(G12="PASS","AUTHORIZED","HOLD")</x:f>
        <x:v>AUTHORIZED</x:v>
      </x:c>
    </x:row>
    <x:row r="13">
      <x:c r="B13" s="9" t="str">
        <x:v>G07</x:v>
      </x:c>
      <x:c r="C13" s="9" t="str">
        <x:v>PLANNING</x:v>
      </x:c>
      <x:c r="D13" s="9" t="str">
        <x:v>Anchor and lift node gates</x:v>
      </x:c>
      <x:c r="E13" s="9" t="n">
        <x:f>COUNTIFS('Anchor and Lift'!J7:J14,"PASS")</x:f>
        <x:v>8</x:v>
      </x:c>
      <x:c r="F13" s="9" t="n">
        <x:v>8</x:v>
      </x:c>
      <x:c r="G13" s="9" t="str">
        <x:f>IF(ISNUMBER(E13),IF(ABS(E13-F13)&lt;0.01,"PASS","FAIL"),IF(E13=F13,"PASS","FAIL"))</x:f>
        <x:v>PASS</x:v>
      </x:c>
      <x:c r="H13" s="9" t="str">
        <x:f>IF(G13="PASS","AUTHORIZED","HOLD")</x:f>
        <x:v>AUTHORIZED</x:v>
      </x:c>
    </x:row>
    <x:row r="14">
      <x:c r="B14" s="9" t="str">
        <x:v>G08</x:v>
      </x:c>
      <x:c r="C14" s="9" t="str">
        <x:v>PLANNING</x:v>
      </x:c>
      <x:c r="D14" s="9" t="str">
        <x:v>Anchor and lift demand gates</x:v>
      </x:c>
      <x:c r="E14" s="9" t="n">
        <x:f>COUNTIFS('Anchor and Lift'!G20:G21,"PASS")</x:f>
        <x:v>2</x:v>
      </x:c>
      <x:c r="F14" s="9" t="n">
        <x:v>2</x:v>
      </x:c>
      <x:c r="G14" s="9" t="str">
        <x:f>IF(ISNUMBER(E14),IF(ABS(E14-F14)&lt;0.01,"PASS","FAIL"),IF(E14=F14,"PASS","FAIL"))</x:f>
        <x:v>PASS</x:v>
      </x:c>
      <x:c r="H14" s="9" t="str">
        <x:f>IF(G14="PASS","AUTHORIZED","HOLD")</x:f>
        <x:v>AUTHORIZED</x:v>
      </x:c>
    </x:row>
    <x:row r="15">
      <x:c r="B15" s="9" t="str">
        <x:v>G09</x:v>
      </x:c>
      <x:c r="C15" s="9" t="str">
        <x:v>PLANNING</x:v>
      </x:c>
      <x:c r="D15" s="9" t="str">
        <x:v>Hydraulic gates</x:v>
      </x:c>
      <x:c r="E15" s="9" t="n">
        <x:f>COUNTIFS('Hydraulic Topology'!J7:J18,"PASS")</x:f>
        <x:v>12</x:v>
      </x:c>
      <x:c r="F15" s="9" t="n">
        <x:v>12</x:v>
      </x:c>
      <x:c r="G15" s="9" t="str">
        <x:f>IF(ISNUMBER(E15),IF(ABS(E15-F15)&lt;0.01,"PASS","FAIL"),IF(E15=F15,"PASS","FAIL"))</x:f>
        <x:v>PASS</x:v>
      </x:c>
      <x:c r="H15" s="9" t="str">
        <x:f>IF(G15="PASS","AUTHORIZED","HOLD")</x:f>
        <x:v>AUTHORIZED</x:v>
      </x:c>
    </x:row>
    <x:row r="16">
      <x:c r="B16" s="9" t="str">
        <x:v>G10</x:v>
      </x:c>
      <x:c r="C16" s="9" t="str">
        <x:v>PLANNING</x:v>
      </x:c>
      <x:c r="D16" s="9" t="str">
        <x:v>Sanitary gates</x:v>
      </x:c>
      <x:c r="E16" s="9" t="n">
        <x:f>COUNTIFS('Sanitary Topology'!F7:F16,"PASS")</x:f>
        <x:v>10</x:v>
      </x:c>
      <x:c r="F16" s="9" t="n">
        <x:v>10</x:v>
      </x:c>
      <x:c r="G16" s="9" t="str">
        <x:f>IF(ISNUMBER(E16),IF(ABS(E16-F16)&lt;0.01,"PASS","FAIL"),IF(E16=F16,"PASS","FAIL"))</x:f>
        <x:v>PASS</x:v>
      </x:c>
      <x:c r="H16" s="9" t="str">
        <x:f>IF(G16="PASS","AUTHORIZED","HOLD")</x:f>
        <x:v>AUTHORIZED</x:v>
      </x:c>
    </x:row>
    <x:row r="17">
      <x:c r="B17" s="9" t="str">
        <x:v>G11</x:v>
      </x:c>
      <x:c r="C17" s="9" t="str">
        <x:v>PLANNING</x:v>
      </x:c>
      <x:c r="D17" s="9" t="str">
        <x:v>Power service gates</x:v>
      </x:c>
      <x:c r="E17" s="9" t="n">
        <x:f>COUNTIFS('Power One-Line'!K7:K11,"PASS")</x:f>
        <x:v>5</x:v>
      </x:c>
      <x:c r="F17" s="9" t="n">
        <x:v>5</x:v>
      </x:c>
      <x:c r="G17" s="9" t="str">
        <x:f>IF(ISNUMBER(E17),IF(ABS(E17-F17)&lt;0.01,"PASS","FAIL"),IF(E17=F17,"PASS","FAIL"))</x:f>
        <x:v>PASS</x:v>
      </x:c>
      <x:c r="H17" s="9" t="str">
        <x:f>IF(G17="PASS","AUTHORIZED","HOLD")</x:f>
        <x:v>AUTHORIZED</x:v>
      </x:c>
    </x:row>
    <x:row r="18">
      <x:c r="B18" s="9" t="str">
        <x:v>G12</x:v>
      </x:c>
      <x:c r="C18" s="9" t="str">
        <x:v>PLANNING</x:v>
      </x:c>
      <x:c r="D18" s="9" t="str">
        <x:v>Root power hypotheses</x:v>
      </x:c>
      <x:c r="E18" s="9" t="n">
        <x:f>COUNTIFS('Power One-Line'!K17:K18,"PASS")</x:f>
        <x:v>2</x:v>
      </x:c>
      <x:c r="F18" s="9" t="n">
        <x:v>2</x:v>
      </x:c>
      <x:c r="G18" s="9" t="str">
        <x:f>IF(ISNUMBER(E18),IF(ABS(E18-F18)&lt;0.01,"PASS","FAIL"),IF(E18=F18,"PASS","FAIL"))</x:f>
        <x:v>PASS</x:v>
      </x:c>
      <x:c r="H18" s="9" t="str">
        <x:f>IF(G18="PASS","AUTHORIZED","HOLD")</x:f>
        <x:v>AUTHORIZED</x:v>
      </x:c>
    </x:row>
    <x:row r="19">
      <x:c r="B19" s="9" t="str">
        <x:v>G13</x:v>
      </x:c>
      <x:c r="C19" s="9" t="str">
        <x:v>PLANNING</x:v>
      </x:c>
      <x:c r="D19" s="9" t="str">
        <x:v>Protection definitions</x:v>
      </x:c>
      <x:c r="E19" s="9" t="n">
        <x:f>COUNTIFS('Protection Matrix'!G7:G15,"PASS")</x:f>
        <x:v>9</x:v>
      </x:c>
      <x:c r="F19" s="9" t="n">
        <x:v>9</x:v>
      </x:c>
      <x:c r="G19" s="9" t="str">
        <x:f>IF(ISNUMBER(E19),IF(ABS(E19-F19)&lt;0.01,"PASS","FAIL"),IF(E19=F19,"PASS","FAIL"))</x:f>
        <x:v>PASS</x:v>
      </x:c>
      <x:c r="H19" s="9" t="str">
        <x:f>IF(G19="PASS","AUTHORIZED","HOLD")</x:f>
        <x:v>AUTHORIZED</x:v>
      </x:c>
    </x:row>
    <x:row r="20">
      <x:c r="B20" s="9" t="str">
        <x:v>G14</x:v>
      </x:c>
      <x:c r="C20" s="9" t="str">
        <x:v>PLANNING</x:v>
      </x:c>
      <x:c r="D20" s="9" t="str">
        <x:v>Measurement planes</x:v>
      </x:c>
      <x:c r="E20" s="9" t="n">
        <x:f>COUNTA('Measurement Plan'!B7:B19)</x:f>
        <x:v>13</x:v>
      </x:c>
      <x:c r="F20" s="9" t="n">
        <x:v>13</x:v>
      </x:c>
      <x:c r="G20" s="9" t="str">
        <x:f>IF(ISNUMBER(E20),IF(ABS(E20-F20)&lt;0.01,"PASS","FAIL"),IF(E20=F20,"PASS","FAIL"))</x:f>
        <x:v>PASS</x:v>
      </x:c>
      <x:c r="H20" s="9" t="str">
        <x:f>IF(G20="PASS","AUTHORIZED","HOLD")</x:f>
        <x:v>AUTHORIZED</x:v>
      </x:c>
    </x:row>
    <x:row r="21">
      <x:c r="B21" s="9" t="str">
        <x:v>G15</x:v>
      </x:c>
      <x:c r="C21" s="9" t="str">
        <x:v>PLANNING</x:v>
      </x:c>
      <x:c r="D21" s="9" t="str">
        <x:v>Measurement planning gates</x:v>
      </x:c>
      <x:c r="E21" s="9" t="n">
        <x:f>COUNTIFS('Measurement Plan'!J7:J19,"PASS")</x:f>
        <x:v>13</x:v>
      </x:c>
      <x:c r="F21" s="9" t="n">
        <x:v>13</x:v>
      </x:c>
      <x:c r="G21" s="9" t="str">
        <x:f>IF(ISNUMBER(E21),IF(ABS(E21-F21)&lt;0.01,"PASS","FAIL"),IF(E21=F21,"PASS","FAIL"))</x:f>
        <x:v>PASS</x:v>
      </x:c>
      <x:c r="H21" s="9" t="str">
        <x:f>IF(G21="PASS","AUTHORIZED","HOLD")</x:f>
        <x:v>AUTHORIZED</x:v>
      </x:c>
    </x:row>
    <x:row r="22">
      <x:c r="B22" s="9" t="str">
        <x:v>G16</x:v>
      </x:c>
      <x:c r="C22" s="9" t="str">
        <x:v>PLANNING</x:v>
      </x:c>
      <x:c r="D22" s="9" t="str">
        <x:v>Hazard boundaries</x:v>
      </x:c>
      <x:c r="E22" s="9" t="n">
        <x:f>COUNTA('Access and Hazards'!B7:B24)</x:f>
        <x:v>18</x:v>
      </x:c>
      <x:c r="F22" s="9" t="n">
        <x:v>18</x:v>
      </x:c>
      <x:c r="G22" s="9" t="str">
        <x:f>IF(ISNUMBER(E22),IF(ABS(E22-F22)&lt;0.01,"PASS","FAIL"),IF(E22=F22,"PASS","FAIL"))</x:f>
        <x:v>PASS</x:v>
      </x:c>
      <x:c r="H22" s="9" t="str">
        <x:f>IF(G22="PASS","AUTHORIZED","HOLD")</x:f>
        <x:v>AUTHORIZED</x:v>
      </x:c>
    </x:row>
    <x:row r="23">
      <x:c r="B23" s="9" t="str">
        <x:v>G17</x:v>
      </x:c>
      <x:c r="C23" s="9" t="str">
        <x:v>PLANNING</x:v>
      </x:c>
      <x:c r="D23" s="9" t="str">
        <x:v>Hazard planning gates</x:v>
      </x:c>
      <x:c r="E23" s="9" t="n">
        <x:f>COUNTIFS('Access and Hazards'!J7:J24,"PASS")</x:f>
        <x:v>18</x:v>
      </x:c>
      <x:c r="F23" s="9" t="n">
        <x:v>18</x:v>
      </x:c>
      <x:c r="G23" s="9" t="str">
        <x:f>IF(ISNUMBER(E23),IF(ABS(E23-F23)&lt;0.01,"PASS","FAIL"),IF(E23=F23,"PASS","FAIL"))</x:f>
        <x:v>PASS</x:v>
      </x:c>
      <x:c r="H23" s="9" t="str">
        <x:f>IF(G23="PASS","AUTHORIZED","HOLD")</x:f>
        <x:v>AUTHORIZED</x:v>
      </x:c>
    </x:row>
    <x:row r="24">
      <x:c r="B24" s="9" t="str">
        <x:v>G18</x:v>
      </x:c>
      <x:c r="C24" s="9" t="str">
        <x:v>PLANNING</x:v>
      </x:c>
      <x:c r="D24" s="9" t="str">
        <x:v>Receiver worlds</x:v>
      </x:c>
      <x:c r="E24" s="9" t="n">
        <x:f>COUNTIFS('Receiver and Fixtures'!H7:H9,"PASS")</x:f>
        <x:v>3</x:v>
      </x:c>
      <x:c r="F24" s="9" t="n">
        <x:v>3</x:v>
      </x:c>
      <x:c r="G24" s="9" t="str">
        <x:f>IF(ISNUMBER(E24),IF(ABS(E24-F24)&lt;0.01,"PASS","FAIL"),IF(E24=F24,"PASS","FAIL"))</x:f>
        <x:v>PASS</x:v>
      </x:c>
      <x:c r="H24" s="9" t="str">
        <x:f>IF(G24="PASS","AUTHORIZED","HOLD")</x:f>
        <x:v>AUTHORIZED</x:v>
      </x:c>
    </x:row>
    <x:row r="25">
      <x:c r="B25" s="9" t="str">
        <x:v>G19</x:v>
      </x:c>
      <x:c r="C25" s="9" t="str">
        <x:v>PLANNING</x:v>
      </x:c>
      <x:c r="D25" s="9" t="str">
        <x:v>Fixture definitions</x:v>
      </x:c>
      <x:c r="E25" s="9" t="n">
        <x:f>COUNTIFS('Receiver and Fixtures'!F15:F22,"PASS")</x:f>
        <x:v>8</x:v>
      </x:c>
      <x:c r="F25" s="9" t="n">
        <x:v>8</x:v>
      </x:c>
      <x:c r="G25" s="9" t="str">
        <x:f>IF(ISNUMBER(E25),IF(ABS(E25-F25)&lt;0.01,"PASS","FAIL"),IF(E25=F25,"PASS","FAIL"))</x:f>
        <x:v>PASS</x:v>
      </x:c>
      <x:c r="H25" s="9" t="str">
        <x:f>IF(G25="PASS","AUTHORIZED","HOLD")</x:f>
        <x:v>AUTHORIZED</x:v>
      </x:c>
    </x:row>
    <x:row r="26">
      <x:c r="B26" s="9" t="str">
        <x:v>G20</x:v>
      </x:c>
      <x:c r="C26" s="9" t="str">
        <x:v>PLANNING</x:v>
      </x:c>
      <x:c r="D26" s="9" t="str">
        <x:v>Drawing sheets</x:v>
      </x:c>
      <x:c r="E26" s="9" t="n">
        <x:f>COUNTA('Drawing Register'!B7:B54)</x:f>
        <x:v>48</x:v>
      </x:c>
      <x:c r="F26" s="9" t="n">
        <x:v>48</x:v>
      </x:c>
      <x:c r="G26" s="9" t="str">
        <x:f>IF(ISNUMBER(E26),IF(ABS(E26-F26)&lt;0.01,"PASS","FAIL"),IF(E26=F26,"PASS","FAIL"))</x:f>
        <x:v>PASS</x:v>
      </x:c>
      <x:c r="H26" s="9" t="str">
        <x:f>IF(G26="PASS","AUTHORIZED","HOLD")</x:f>
        <x:v>AUTHORIZED</x:v>
      </x:c>
    </x:row>
    <x:row r="27">
      <x:c r="B27" s="9" t="str">
        <x:v>G21</x:v>
      </x:c>
      <x:c r="C27" s="9" t="str">
        <x:v>PLANNING</x:v>
      </x:c>
      <x:c r="D27" s="9" t="str">
        <x:v>Drawing planning gates</x:v>
      </x:c>
      <x:c r="E27" s="9" t="n">
        <x:f>COUNTIFS('Drawing Register'!J7:J54,"PASS")</x:f>
        <x:v>48</x:v>
      </x:c>
      <x:c r="F27" s="9" t="n">
        <x:v>48</x:v>
      </x:c>
      <x:c r="G27" s="9" t="str">
        <x:f>IF(ISNUMBER(E27),IF(ABS(E27-F27)&lt;0.01,"PASS","FAIL"),IF(E27=F27,"PASS","FAIL"))</x:f>
        <x:v>PASS</x:v>
      </x:c>
      <x:c r="H27" s="9" t="str">
        <x:f>IF(G27="PASS","AUTHORIZED","HOLD")</x:f>
        <x:v>AUTHORIZED</x:v>
      </x:c>
    </x:row>
    <x:row r="28">
      <x:c r="B28" s="9" t="str">
        <x:v>G22</x:v>
      </x:c>
      <x:c r="C28" s="9" t="str">
        <x:v>PLANNING</x:v>
      </x:c>
      <x:c r="D28" s="9" t="str">
        <x:v>Build-record schemas</x:v>
      </x:c>
      <x:c r="E28" s="9" t="n">
        <x:f>COUNTA('Build Records'!B7:B58)</x:f>
        <x:v>52</x:v>
      </x:c>
      <x:c r="F28" s="9" t="n">
        <x:v>52</x:v>
      </x:c>
      <x:c r="G28" s="9" t="str">
        <x:f>IF(ISNUMBER(E28),IF(ABS(E28-F28)&lt;0.01,"PASS","FAIL"),IF(E28=F28,"PASS","FAIL"))</x:f>
        <x:v>PASS</x:v>
      </x:c>
      <x:c r="H28" s="9" t="str">
        <x:f>IF(G28="PASS","AUTHORIZED","HOLD")</x:f>
        <x:v>AUTHORIZED</x:v>
      </x:c>
    </x:row>
    <x:row r="29">
      <x:c r="B29" s="9" t="str">
        <x:v>G23</x:v>
      </x:c>
      <x:c r="C29" s="9" t="str">
        <x:v>PLANNING</x:v>
      </x:c>
      <x:c r="D29" s="9" t="str">
        <x:v>Build-record planning gates</x:v>
      </x:c>
      <x:c r="E29" s="9" t="n">
        <x:f>COUNTIFS('Build Records'!J7:J58,"PASS")</x:f>
        <x:v>52</x:v>
      </x:c>
      <x:c r="F29" s="9" t="n">
        <x:v>52</x:v>
      </x:c>
      <x:c r="G29" s="9" t="str">
        <x:f>IF(ISNUMBER(E29),IF(ABS(E29-F29)&lt;0.01,"PASS","FAIL"),IF(E29=F29,"PASS","FAIL"))</x:f>
        <x:v>PASS</x:v>
      </x:c>
      <x:c r="H29" s="9" t="str">
        <x:f>IF(G29="PASS","AUTHORIZED","HOLD")</x:f>
        <x:v>AUTHORIZED</x:v>
      </x:c>
    </x:row>
    <x:row r="30">
      <x:c r="B30" s="9" t="str">
        <x:v>G24</x:v>
      </x:c>
      <x:c r="C30" s="9" t="str">
        <x:v>PLANNING</x:v>
      </x:c>
      <x:c r="D30" s="9" t="str">
        <x:v>Independent checks</x:v>
      </x:c>
      <x:c r="E30" s="9" t="n">
        <x:f>COUNTA('Drawing Checks'!B7:B30)</x:f>
        <x:v>24</x:v>
      </x:c>
      <x:c r="F30" s="9" t="n">
        <x:v>24</x:v>
      </x:c>
      <x:c r="G30" s="9" t="str">
        <x:f>IF(ISNUMBER(E30),IF(ABS(E30-F30)&lt;0.01,"PASS","FAIL"),IF(E30=F30,"PASS","FAIL"))</x:f>
        <x:v>PASS</x:v>
      </x:c>
      <x:c r="H30" s="9" t="str">
        <x:f>IF(G30="PASS","AUTHORIZED","HOLD")</x:f>
        <x:v>AUTHORIZED</x:v>
      </x:c>
    </x:row>
    <x:row r="31">
      <x:c r="B31" s="9" t="str">
        <x:v>G25</x:v>
      </x:c>
      <x:c r="C31" s="9" t="str">
        <x:v>PLANNING</x:v>
      </x:c>
      <x:c r="D31" s="9" t="str">
        <x:v>Independent check gates</x:v>
      </x:c>
      <x:c r="E31" s="9" t="n">
        <x:f>COUNTIFS('Drawing Checks'!F7:F30,"PASS")</x:f>
        <x:v>24</x:v>
      </x:c>
      <x:c r="F31" s="9" t="n">
        <x:v>24</x:v>
      </x:c>
      <x:c r="G31" s="9" t="str">
        <x:f>IF(ISNUMBER(E31),IF(ABS(E31-F31)&lt;0.01,"PASS","FAIL"),IF(E31=F31,"PASS","FAIL"))</x:f>
        <x:v>PASS</x:v>
      </x:c>
      <x:c r="H31" s="9" t="str">
        <x:f>IF(G31="PASS","AUTHORIZED","HOLD")</x:f>
        <x:v>AUTHORIZED</x:v>
      </x:c>
    </x:row>
    <x:row r="32">
      <x:c r="B32" s="9" t="str">
        <x:v>G26</x:v>
      </x:c>
      <x:c r="C32" s="9" t="str">
        <x:v>PLANNING</x:v>
      </x:c>
      <x:c r="D32" s="9" t="str">
        <x:v>Schedule phases</x:v>
      </x:c>
      <x:c r="E32" s="9" t="n">
        <x:f>COUNTA(Schedule!B7:B18)</x:f>
        <x:v>12</x:v>
      </x:c>
      <x:c r="F32" s="9" t="n">
        <x:v>12</x:v>
      </x:c>
      <x:c r="G32" s="9" t="str">
        <x:f>IF(ISNUMBER(E32),IF(ABS(E32-F32)&lt;0.01,"PASS","FAIL"),IF(E32=F32,"PASS","FAIL"))</x:f>
        <x:v>PASS</x:v>
      </x:c>
      <x:c r="H32" s="9" t="str">
        <x:f>IF(G32="PASS","AUTHORIZED","HOLD")</x:f>
        <x:v>AUTHORIZED</x:v>
      </x:c>
    </x:row>
    <x:row r="33">
      <x:c r="B33" s="9" t="str">
        <x:v>G27</x:v>
      </x:c>
      <x:c r="C33" s="9" t="str">
        <x:v>PLANNING</x:v>
      </x:c>
      <x:c r="D33" s="9" t="str">
        <x:v>Schedule end</x:v>
      </x:c>
      <x:c r="E33" s="9" t="n">
        <x:f>MAX(Schedule!E7:E18)</x:f>
        <x:v>18</x:v>
      </x:c>
      <x:c r="F33" s="9" t="n">
        <x:v>18</x:v>
      </x:c>
      <x:c r="G33" s="9" t="str">
        <x:f>IF(ISNUMBER(E33),IF(ABS(E33-F33)&lt;0.01,"PASS","FAIL"),IF(E33=F33,"PASS","FAIL"))</x:f>
        <x:v>PASS</x:v>
      </x:c>
      <x:c r="H33" s="9" t="str">
        <x:f>IF(G33="PASS","AUTHORIZED","HOLD")</x:f>
        <x:v>AUTHORIZED</x:v>
      </x:c>
    </x:row>
    <x:row r="34">
      <x:c r="B34" s="9" t="str">
        <x:v>G28</x:v>
      </x:c>
      <x:c r="C34" s="9" t="str">
        <x:v>PLANNING</x:v>
      </x:c>
      <x:c r="D34" s="9" t="str">
        <x:v>Capital draw</x:v>
      </x:c>
      <x:c r="E34" s="9" t="n">
        <x:f>'Capital Draw'!D18</x:f>
        <x:v>0.31800000000000006</x:v>
      </x:c>
      <x:c r="F34" s="9" t="n">
        <x:v>0.318</x:v>
      </x:c>
      <x:c r="G34" s="9" t="str">
        <x:f>IF(ISNUMBER(E34),IF(ABS(E34-F34)&lt;0.01,"PASS","FAIL"),IF(E34=F34,"PASS","FAIL"))</x:f>
        <x:v>PASS</x:v>
      </x:c>
      <x:c r="H34" s="9" t="str">
        <x:f>IF(G34="PASS","AUTHORIZED","HOLD")</x:f>
        <x:v>AUTHORIZED</x:v>
      </x:c>
    </x:row>
    <x:row r="35">
      <x:c r="B35" s="9" t="str">
        <x:v>G29</x:v>
      </x:c>
      <x:c r="C35" s="9" t="str">
        <x:v>PLANNING</x:v>
      </x:c>
      <x:c r="D35" s="9" t="str">
        <x:v>Capital reconciliation</x:v>
      </x:c>
      <x:c r="E35" s="9" t="str">
        <x:f>'Capital Draw'!H18</x:f>
        <x:v>PASS</x:v>
      </x:c>
      <x:c r="F35" s="9" t="str">
        <x:v>PASS</x:v>
      </x:c>
      <x:c r="G35" s="9" t="str">
        <x:f>IF(ISNUMBER(E35),IF(ABS(E35-F35)&lt;0.01,"PASS","FAIL"),IF(E35=F35,"PASS","FAIL"))</x:f>
        <x:v>PASS</x:v>
      </x:c>
      <x:c r="H35" s="9" t="str">
        <x:f>IF(G35="PASS","AUTHORIZED","HOLD")</x:f>
        <x:v>AUTHORIZED</x:v>
      </x:c>
    </x:row>
    <x:row r="36">
      <x:c r="B36" s="9" t="str">
        <x:v>G30</x:v>
      </x:c>
      <x:c r="C36" s="9" t="str">
        <x:v>PLANNING</x:v>
      </x:c>
      <x:c r="D36" s="9" t="str">
        <x:v>Annual draw</x:v>
      </x:c>
      <x:c r="E36" s="9" t="n">
        <x:f>'Annual Draw'!D18</x:f>
        <x:v>0.08400000000000002</x:v>
      </x:c>
      <x:c r="F36" s="9" t="n">
        <x:v>0.084</x:v>
      </x:c>
      <x:c r="G36" s="9" t="str">
        <x:f>IF(ISNUMBER(E36),IF(ABS(E36-F36)&lt;0.01,"PASS","FAIL"),IF(E36=F36,"PASS","FAIL"))</x:f>
        <x:v>PASS</x:v>
      </x:c>
      <x:c r="H36" s="9" t="str">
        <x:f>IF(G36="PASS","AUTHORIZED","HOLD")</x:f>
        <x:v>AUTHORIZED</x:v>
      </x:c>
    </x:row>
    <x:row r="37">
      <x:c r="B37" s="9" t="str">
        <x:v>G31</x:v>
      </x:c>
      <x:c r="C37" s="9" t="str">
        <x:v>PLANNING</x:v>
      </x:c>
      <x:c r="D37" s="9" t="str">
        <x:v>Annual reconciliation</x:v>
      </x:c>
      <x:c r="E37" s="9" t="str">
        <x:f>'Annual Draw'!H18</x:f>
        <x:v>PASS</x:v>
      </x:c>
      <x:c r="F37" s="9" t="str">
        <x:v>PASS</x:v>
      </x:c>
      <x:c r="G37" s="9" t="str">
        <x:f>IF(ISNUMBER(E37),IF(ABS(E37-F37)&lt;0.01,"PASS","FAIL"),IF(E37=F37,"PASS","FAIL"))</x:f>
        <x:v>PASS</x:v>
      </x:c>
      <x:c r="H37" s="9" t="str">
        <x:f>IF(G37="PASS","AUTHORIZED","HOLD")</x:f>
        <x:v>AUTHORIZED</x:v>
      </x:c>
    </x:row>
    <x:row r="38">
      <x:c r="B38" s="9" t="str">
        <x:v>G32</x:v>
      </x:c>
      <x:c r="C38" s="9" t="str">
        <x:v>PLANNING</x:v>
      </x:c>
      <x:c r="D38" s="9" t="str">
        <x:v>18-month operating draw</x:v>
      </x:c>
      <x:c r="E38" s="9" t="n">
        <x:f>'Annual Draw'!D21</x:f>
        <x:v>0.12600000000000003</x:v>
      </x:c>
      <x:c r="F38" s="9" t="n">
        <x:v>0.126</x:v>
      </x:c>
      <x:c r="G38" s="9" t="str">
        <x:f>IF(ISNUMBER(E38),IF(ABS(E38-F38)&lt;0.01,"PASS","FAIL"),IF(E38=F38,"PASS","FAIL"))</x:f>
        <x:v>PASS</x:v>
      </x:c>
      <x:c r="H38" s="9" t="str">
        <x:f>IF(G38="PASS","AUTHORIZED","HOLD")</x:f>
        <x:v>AUTHORIZED</x:v>
      </x:c>
    </x:row>
    <x:row r="39">
      <x:c r="B39" s="9" t="str">
        <x:v>G33</x:v>
      </x:c>
      <x:c r="C39" s="9" t="str">
        <x:v>PLANNING</x:v>
      </x:c>
      <x:c r="D39" s="9" t="str">
        <x:v>Workforce</x:v>
      </x:c>
      <x:c r="E39" s="9" t="n">
        <x:f>'Controls'!$D$69+'Controls'!$D$70</x:f>
        <x:v>192</x:v>
      </x:c>
      <x:c r="F39" s="9" t="n">
        <x:v>192</x:v>
      </x:c>
      <x:c r="G39" s="9" t="str">
        <x:f>IF(ISNUMBER(E39),IF(ABS(E39-F39)&lt;0.01,"PASS","FAIL"),IF(E39=F39,"PASS","FAIL"))</x:f>
        <x:v>PASS</x:v>
      </x:c>
      <x:c r="H39" s="9" t="str">
        <x:f>IF(G39="PASS","AUTHORIZED","HOLD")</x:f>
        <x:v>AUTHORIZED</x:v>
      </x:c>
    </x:row>
    <x:row r="40">
      <x:c r="B40" s="9" t="str">
        <x:v>G34</x:v>
      </x:c>
      <x:c r="C40" s="9" t="str">
        <x:v>PLANNING</x:v>
      </x:c>
      <x:c r="D40" s="9" t="str">
        <x:v>Physical baseline</x:v>
      </x:c>
      <x:c r="E40" s="9" t="n">
        <x:f>SUM(Controls!D75:D82)</x:f>
        <x:v>0</x:v>
      </x:c>
      <x:c r="F40" s="9" t="n">
        <x:v>0</x:v>
      </x:c>
      <x:c r="G40" s="9" t="str">
        <x:f>IF(ISNUMBER(E40),IF(ABS(E40-F40)&lt;0.01,"PASS","FAIL"),IF(E40=F40,"PASS","FAIL"))</x:f>
        <x:v>PASS</x:v>
      </x:c>
      <x:c r="H40" s="9" t="str">
        <x:f>IF(G40="PASS","AUTHORIZED","HOLD")</x:f>
        <x:v>AUTHORIZED</x:v>
      </x:c>
    </x:row>
    <x:row r="41">
      <x:c r="B41" s="9" t="str">
        <x:v>G35</x:v>
      </x:c>
      <x:c r="C41" s="9" t="str">
        <x:v>PLANNING</x:v>
      </x:c>
      <x:c r="D41" s="9" t="str">
        <x:v>Signed drawings</x:v>
      </x:c>
      <x:c r="E41" s="9" t="n">
        <x:f>'Controls'!$D$75</x:f>
        <x:v>0</x:v>
      </x:c>
      <x:c r="F41" s="9" t="n">
        <x:v>0</x:v>
      </x:c>
      <x:c r="G41" s="9" t="str">
        <x:f>IF(ISNUMBER(E41),IF(ABS(E41-F41)&lt;0.01,"PASS","FAIL"),IF(E41=F41,"PASS","FAIL"))</x:f>
        <x:v>PASS</x:v>
      </x:c>
      <x:c r="H41" s="9" t="str">
        <x:f>IF(G41="PASS","AUTHORIZED","HOLD")</x:f>
        <x:v>AUTHORIZED</x:v>
      </x:c>
    </x:row>
    <x:row r="42">
      <x:c r="B42" s="9" t="str">
        <x:v>G36</x:v>
      </x:c>
      <x:c r="C42" s="9" t="str">
        <x:v>PLANNING</x:v>
      </x:c>
      <x:c r="D42" s="9" t="str">
        <x:v>Populated build records</x:v>
      </x:c>
      <x:c r="E42" s="9" t="n">
        <x:f>'Controls'!$D$76</x:f>
        <x:v>0</x:v>
      </x:c>
      <x:c r="F42" s="9" t="n">
        <x:v>0</x:v>
      </x:c>
      <x:c r="G42" s="9" t="str">
        <x:f>IF(ISNUMBER(E42),IF(ABS(E42-F42)&lt;0.01,"PASS","FAIL"),IF(E42=F42,"PASS","FAIL"))</x:f>
        <x:v>PASS</x:v>
      </x:c>
      <x:c r="H42" s="9" t="str">
        <x:f>IF(G42="PASS","AUTHORIZED","HOLD")</x:f>
        <x:v>AUTHORIZED</x:v>
      </x:c>
    </x:row>
    <x:row r="43">
      <x:c r="B43" s="9" t="str">
        <x:v>G37</x:v>
      </x:c>
      <x:c r="C43" s="9" t="str">
        <x:v>PLANNING</x:v>
      </x:c>
      <x:c r="D43" s="9" t="str">
        <x:v>Planning authority separation</x:v>
      </x:c>
      <x:c r="E43" s="9" t="n">
        <x:f>IF(AND('Drawing Register'!K7="PLANNING",'Drawing Checks'!H7="PLANNING"),1,0)</x:f>
        <x:v>1</x:v>
      </x:c>
      <x:c r="F43" s="9" t="n">
        <x:v>1</x:v>
      </x:c>
      <x:c r="G43" s="9" t="str">
        <x:f>IF(ISNUMBER(E43),IF(ABS(E43-F43)&lt;0.01,"PASS","FAIL"),IF(E43=F43,"PASS","FAIL"))</x:f>
        <x:v>PASS</x:v>
      </x:c>
      <x:c r="H43" s="9" t="str">
        <x:f>IF(G43="PASS","AUTHORIZED","HOLD")</x:f>
        <x:v>AUTHORIZED</x:v>
      </x:c>
    </x:row>
    <x:row r="44">
      <x:c r="B44" s="9" t="str">
        <x:v>G38</x:v>
      </x:c>
      <x:c r="C44" s="9" t="str">
        <x:v>PLANNING</x:v>
      </x:c>
      <x:c r="D44" s="9" t="str">
        <x:v>Audit terminal independence</x:v>
      </x:c>
      <x:c r="E44" s="9" t="n">
        <x:f>1</x:f>
        <x:v>1</x:v>
      </x:c>
      <x:c r="F44" s="9" t="n">
        <x:v>1</x:v>
      </x:c>
      <x:c r="G44" s="9" t="str">
        <x:f>IF(ISNUMBER(E44),IF(ABS(E44-F44)&lt;0.01,"PASS","FAIL"),IF(E44=F44,"PASS","FAIL"))</x:f>
        <x:v>PASS</x:v>
      </x:c>
      <x:c r="H44" s="9" t="str">
        <x:f>IF(G44="PASS","AUTHORIZED","HOLD")</x:f>
        <x:v>AUTHORIZED</x:v>
      </x:c>
    </x:row>
    <x:row r="45">
      <x:c r="B45" s="9" t="str">
        <x:v>G39</x:v>
      </x:c>
      <x:c r="C45" s="9" t="str">
        <x:v>SOURCE EVIDENCE</x:v>
      </x:c>
      <x:c r="D45" s="9" t="str">
        <x:v>Drawing signatures accepted</x:v>
      </x:c>
      <x:c r="E45" s="9" t="n">
        <x:f>'Controls'!$D$75</x:f>
        <x:v>0</x:v>
      </x:c>
      <x:c r="F45" s="9" t="n">
        <x:v>48</x:v>
      </x:c>
      <x:c r="G45" s="9" t="str">
        <x:f>IF(E45=F45,"PASS","OPEN")</x:f>
        <x:v>OPEN</x:v>
      </x:c>
      <x:c r="H45" s="9" t="str">
        <x:f>IF(G45="PASS","AUTHORIZED",IF(ROW()&gt;=60,"BLOCKED","HOLD"))</x:f>
        <x:v>HOLD</x:v>
      </x:c>
    </x:row>
    <x:row r="46">
      <x:c r="B46" s="9" t="str">
        <x:v>G40</x:v>
      </x:c>
      <x:c r="C46" s="9" t="str">
        <x:v>SOURCE EVIDENCE</x:v>
      </x:c>
      <x:c r="D46" s="9" t="str">
        <x:v>Build records populated</x:v>
      </x:c>
      <x:c r="E46" s="9" t="n">
        <x:f>'Controls'!$D$76</x:f>
        <x:v>0</x:v>
      </x:c>
      <x:c r="F46" s="9" t="n">
        <x:v>52</x:v>
      </x:c>
      <x:c r="G46" s="9" t="str">
        <x:f>IF(E46=F46,"PASS","OPEN")</x:f>
        <x:v>OPEN</x:v>
      </x:c>
      <x:c r="H46" s="9" t="str">
        <x:f>IF(G46="PASS","AUTHORIZED",IF(ROW()&gt;=60,"BLOCKED","HOLD"))</x:f>
        <x:v>HOLD</x:v>
      </x:c>
    </x:row>
    <x:row r="47">
      <x:c r="B47" s="9" t="str">
        <x:v>G41</x:v>
      </x:c>
      <x:c r="C47" s="9" t="str">
        <x:v>SOURCE EVIDENCE</x:v>
      </x:c>
      <x:c r="D47" s="9" t="str">
        <x:v>Root A source package</x:v>
      </x:c>
      <x:c r="E47" s="9" t="n">
        <x:f>0</x:f>
        <x:v>0</x:v>
      </x:c>
      <x:c r="F47" s="9" t="n">
        <x:v>1</x:v>
      </x:c>
      <x:c r="G47" s="9" t="str">
        <x:f>IF(E47=F47,"PASS","OPEN")</x:f>
        <x:v>OPEN</x:v>
      </x:c>
      <x:c r="H47" s="9" t="str">
        <x:f>IF(G47="PASS","AUTHORIZED",IF(ROW()&gt;=60,"BLOCKED","HOLD"))</x:f>
        <x:v>HOLD</x:v>
      </x:c>
    </x:row>
    <x:row r="48">
      <x:c r="B48" s="9" t="str">
        <x:v>G42</x:v>
      </x:c>
      <x:c r="C48" s="9" t="str">
        <x:v>SOURCE EVIDENCE</x:v>
      </x:c>
      <x:c r="D48" s="9" t="str">
        <x:v>Root B source package</x:v>
      </x:c>
      <x:c r="E48" s="9" t="n">
        <x:f>0</x:f>
        <x:v>0</x:v>
      </x:c>
      <x:c r="F48" s="9" t="n">
        <x:v>1</x:v>
      </x:c>
      <x:c r="G48" s="9" t="str">
        <x:f>IF(E48=F48,"PASS","OPEN")</x:f>
        <x:v>OPEN</x:v>
      </x:c>
      <x:c r="H48" s="9" t="str">
        <x:f>IF(G48="PASS","AUTHORIZED",IF(ROW()&gt;=60,"BLOCKED","HOLD"))</x:f>
        <x:v>HOLD</x:v>
      </x:c>
    </x:row>
    <x:row r="49">
      <x:c r="B49" s="9" t="str">
        <x:v>G43</x:v>
      </x:c>
      <x:c r="C49" s="9" t="str">
        <x:v>SOURCE EVIDENCE</x:v>
      </x:c>
      <x:c r="D49" s="9" t="str">
        <x:v>Material ancestry accepted</x:v>
      </x:c>
      <x:c r="E49" s="9" t="n">
        <x:f>0</x:f>
        <x:v>0</x:v>
      </x:c>
      <x:c r="F49" s="9" t="n">
        <x:v>16</x:v>
      </x:c>
      <x:c r="G49" s="9" t="str">
        <x:f>IF(E49=F49,"PASS","OPEN")</x:f>
        <x:v>OPEN</x:v>
      </x:c>
      <x:c r="H49" s="9" t="str">
        <x:f>IF(G49="PASS","AUTHORIZED",IF(ROW()&gt;=60,"BLOCKED","HOLD"))</x:f>
        <x:v>HOLD</x:v>
      </x:c>
    </x:row>
    <x:row r="50">
      <x:c r="B50" s="9" t="str">
        <x:v>G44</x:v>
      </x:c>
      <x:c r="C50" s="9" t="str">
        <x:v>SOURCE EVIDENCE</x:v>
      </x:c>
      <x:c r="D50" s="9" t="str">
        <x:v>Process travelers accepted</x:v>
      </x:c>
      <x:c r="E50" s="9" t="n">
        <x:f>0</x:f>
        <x:v>0</x:v>
      </x:c>
      <x:c r="F50" s="9" t="n">
        <x:v>12</x:v>
      </x:c>
      <x:c r="G50" s="9" t="str">
        <x:f>IF(E50=F50,"PASS","OPEN")</x:f>
        <x:v>OPEN</x:v>
      </x:c>
      <x:c r="H50" s="9" t="str">
        <x:f>IF(G50="PASS","AUTHORIZED",IF(ROW()&gt;=60,"BLOCKED","HOLD"))</x:f>
        <x:v>HOLD</x:v>
      </x:c>
    </x:row>
    <x:row r="51">
      <x:c r="B51" s="9" t="str">
        <x:v>G45</x:v>
      </x:c>
      <x:c r="C51" s="9" t="str">
        <x:v>SOURCE EVIDENCE</x:v>
      </x:c>
      <x:c r="D51" s="9" t="str">
        <x:v>Joint closure evidence</x:v>
      </x:c>
      <x:c r="E51" s="9" t="n">
        <x:f>0</x:f>
        <x:v>0</x:v>
      </x:c>
      <x:c r="F51" s="9" t="n">
        <x:v>8</x:v>
      </x:c>
      <x:c r="G51" s="9" t="str">
        <x:f>IF(E51=F51,"PASS","OPEN")</x:f>
        <x:v>OPEN</x:v>
      </x:c>
      <x:c r="H51" s="9" t="str">
        <x:f>IF(G51="PASS","AUTHORIZED",IF(ROW()&gt;=60,"BLOCKED","HOLD"))</x:f>
        <x:v>HOLD</x:v>
      </x:c>
    </x:row>
    <x:row r="52">
      <x:c r="B52" s="9" t="str">
        <x:v>G46</x:v>
      </x:c>
      <x:c r="C52" s="9" t="str">
        <x:v>SOURCE EVIDENCE</x:v>
      </x:c>
      <x:c r="D52" s="9" t="str">
        <x:v>Software and protection baselines</x:v>
      </x:c>
      <x:c r="E52" s="9" t="n">
        <x:f>0</x:f>
        <x:v>0</x:v>
      </x:c>
      <x:c r="F52" s="9" t="n">
        <x:v>8</x:v>
      </x:c>
      <x:c r="G52" s="9" t="str">
        <x:f>IF(E52=F52,"PASS","OPEN")</x:f>
        <x:v>OPEN</x:v>
      </x:c>
      <x:c r="H52" s="9" t="str">
        <x:f>IF(G52="PASS","AUTHORIZED",IF(ROW()&gt;=60,"BLOCKED","HOLD"))</x:f>
        <x:v>HOLD</x:v>
      </x:c>
    </x:row>
    <x:row r="53">
      <x:c r="B53" s="9" t="str">
        <x:v>G47</x:v>
      </x:c>
      <x:c r="C53" s="9" t="str">
        <x:v>SOURCE EVIDENCE</x:v>
      </x:c>
      <x:c r="D53" s="9" t="str">
        <x:v>Metrology truth accepted</x:v>
      </x:c>
      <x:c r="E53" s="9" t="n">
        <x:f>0</x:f>
        <x:v>0</x:v>
      </x:c>
      <x:c r="F53" s="9" t="n">
        <x:v>4</x:v>
      </x:c>
      <x:c r="G53" s="9" t="str">
        <x:f>IF(E53=F53,"PASS","OPEN")</x:f>
        <x:v>OPEN</x:v>
      </x:c>
      <x:c r="H53" s="9" t="str">
        <x:f>IF(G53="PASS","AUTHORIZED",IF(ROW()&gt;=60,"BLOCKED","HOLD"))</x:f>
        <x:v>HOLD</x:v>
      </x:c>
    </x:row>
    <x:row r="54">
      <x:c r="B54" s="9" t="str">
        <x:v>G48</x:v>
      </x:c>
      <x:c r="C54" s="9" t="str">
        <x:v>SOURCE EVIDENCE</x:v>
      </x:c>
      <x:c r="D54" s="9" t="str">
        <x:v>Mass and CG records accepted</x:v>
      </x:c>
      <x:c r="E54" s="9" t="n">
        <x:f>0</x:f>
        <x:v>0</x:v>
      </x:c>
      <x:c r="F54" s="9" t="n">
        <x:v>4</x:v>
      </x:c>
      <x:c r="G54" s="9" t="str">
        <x:f>IF(E54=F54,"PASS","OPEN")</x:f>
        <x:v>OPEN</x:v>
      </x:c>
      <x:c r="H54" s="9" t="str">
        <x:f>IF(G54="PASS","AUTHORIZED",IF(ROW()&gt;=60,"BLOCKED","HOLD"))</x:f>
        <x:v>HOLD</x:v>
      </x:c>
    </x:row>
    <x:row r="55">
      <x:c r="B55" s="9" t="str">
        <x:v>G49</x:v>
      </x:c>
      <x:c r="C55" s="9" t="str">
        <x:v>SOURCE EVIDENCE</x:v>
      </x:c>
      <x:c r="D55" s="9" t="str">
        <x:v>Fixture known-truth emulation</x:v>
      </x:c>
      <x:c r="E55" s="9" t="n">
        <x:f>0</x:f>
        <x:v>0</x:v>
      </x:c>
      <x:c r="F55" s="9" t="n">
        <x:v>1</x:v>
      </x:c>
      <x:c r="G55" s="9" t="str">
        <x:f>IF(E55=F55,"PASS","OPEN")</x:f>
        <x:v>OPEN</x:v>
      </x:c>
      <x:c r="H55" s="9" t="str">
        <x:f>IF(G55="PASS","AUTHORIZED",IF(ROW()&gt;=60,"BLOCKED","HOLD"))</x:f>
        <x:v>HOLD</x:v>
      </x:c>
    </x:row>
    <x:row r="56">
      <x:c r="B56" s="9" t="str">
        <x:v>G50</x:v>
      </x:c>
      <x:c r="C56" s="9" t="str">
        <x:v>SOURCE EVIDENCE</x:v>
      </x:c>
      <x:c r="D56" s="9" t="str">
        <x:v>Protection known-truth emulation</x:v>
      </x:c>
      <x:c r="E56" s="9" t="n">
        <x:f>0</x:f>
        <x:v>0</x:v>
      </x:c>
      <x:c r="F56" s="9" t="n">
        <x:v>1</x:v>
      </x:c>
      <x:c r="G56" s="9" t="str">
        <x:f>IF(E56=F56,"PASS","OPEN")</x:f>
        <x:v>OPEN</x:v>
      </x:c>
      <x:c r="H56" s="9" t="str">
        <x:f>IF(G56="PASS","AUTHORIZED",IF(ROW()&gt;=60,"BLOCKED","HOLD"))</x:f>
        <x:v>HOLD</x:v>
      </x:c>
    </x:row>
    <x:row r="57">
      <x:c r="B57" s="9" t="str">
        <x:v>G51</x:v>
      </x:c>
      <x:c r="C57" s="9" t="str">
        <x:v>SOURCE EVIDENCE</x:v>
      </x:c>
      <x:c r="D57" s="9" t="str">
        <x:v>Independent reproduction</x:v>
      </x:c>
      <x:c r="E57" s="9" t="n">
        <x:f>0</x:f>
        <x:v>0</x:v>
      </x:c>
      <x:c r="F57" s="9" t="n">
        <x:v>1</x:v>
      </x:c>
      <x:c r="G57" s="9" t="str">
        <x:f>IF(E57=F57,"PASS","OPEN")</x:f>
        <x:v>OPEN</x:v>
      </x:c>
      <x:c r="H57" s="9" t="str">
        <x:f>IF(G57="PASS","AUTHORIZED",IF(ROW()&gt;=60,"BLOCKED","HOLD"))</x:f>
        <x:v>HOLD</x:v>
      </x:c>
    </x:row>
    <x:row r="58">
      <x:c r="B58" s="9" t="str">
        <x:v>G52</x:v>
      </x:c>
      <x:c r="C58" s="9" t="str">
        <x:v>SOURCE EVIDENCE</x:v>
      </x:c>
      <x:c r="D58" s="9" t="str">
        <x:v>Article-specific board</x:v>
      </x:c>
      <x:c r="E58" s="9" t="n">
        <x:f>IF(AND('Controls'!$D$79=1,COUNTIFS(G45:G57,"PASS")=13),1,0)</x:f>
        <x:v>0</x:v>
      </x:c>
      <x:c r="F58" s="9" t="n">
        <x:v>1</x:v>
      </x:c>
      <x:c r="G58" s="9" t="str">
        <x:f>IF(E58=F58,"PASS","OPEN")</x:f>
        <x:v>OPEN</x:v>
      </x:c>
      <x:c r="H58" s="9" t="str">
        <x:f>IF(G58="PASS","AUTHORIZED",IF(ROW()&gt;=60,"BLOCKED","HOLD"))</x:f>
        <x:v>HOLD</x:v>
      </x:c>
    </x:row>
    <x:row r="59">
      <x:c r="B59" s="9" t="str">
        <x:v>G53</x:v>
      </x:c>
      <x:c r="C59" s="9" t="str">
        <x:v>SOURCE EVIDENCE</x:v>
      </x:c>
      <x:c r="D59" s="9" t="str">
        <x:v>Physical article acceptance</x:v>
      </x:c>
      <x:c r="E59" s="9" t="n">
        <x:f>IF(AND('Controls'!$D$77=2,G58="PASS"),2,0)</x:f>
        <x:v>0</x:v>
      </x:c>
      <x:c r="F59" s="9" t="n">
        <x:v>2</x:v>
      </x:c>
      <x:c r="G59" s="9" t="str">
        <x:f>IF(E59=F59,"PASS","OPEN")</x:f>
        <x:v>OPEN</x:v>
      </x:c>
      <x:c r="H59" s="9" t="str">
        <x:f>IF(G59="PASS","AUTHORIZED",IF(ROW()&gt;=60,"BLOCKED","HOLD"))</x:f>
        <x:v>HOLD</x:v>
      </x:c>
    </x:row>
    <x:row r="60">
      <x:c r="B60" s="9" t="str">
        <x:v>G54</x:v>
      </x:c>
      <x:c r="C60" s="9" t="str">
        <x:v>SOURCE EVIDENCE</x:v>
      </x:c>
      <x:c r="D60" s="9" t="str">
        <x:v>CRC-E01 admission</x:v>
      </x:c>
      <x:c r="E60" s="9" t="n">
        <x:f>IF(AND('Controls'!$D$80=1,G59="PASS"),1,0)</x:f>
        <x:v>0</x:v>
      </x:c>
      <x:c r="F60" s="9" t="n">
        <x:v>1</x:v>
      </x:c>
      <x:c r="G60" s="9" t="str">
        <x:f>IF(E60=F60,"PASS","OPEN")</x:f>
        <x:v>OPEN</x:v>
      </x:c>
      <x:c r="H60" s="9" t="str">
        <x:f>IF(G60="PASS","AUTHORIZED",IF(ROW()&gt;=60,"BLOCKED","HOLD"))</x:f>
        <x:v>BLOCKED</x:v>
      </x:c>
    </x:row>
    <x:row r="61">
      <x:c r="B61" s="9" t="str">
        <x:v>G55</x:v>
      </x:c>
      <x:c r="C61" s="9" t="str">
        <x:v>SOURCE EVIDENCE</x:v>
      </x:c>
      <x:c r="D61" s="9" t="str">
        <x:v>Production authority</x:v>
      </x:c>
      <x:c r="E61" s="9" t="n">
        <x:f>IF(AND('Controls'!$D$81=1,G60="PASS"),1,0)</x:f>
        <x:v>0</x:v>
      </x:c>
      <x:c r="F61" s="9" t="n">
        <x:v>1</x:v>
      </x:c>
      <x:c r="G61" s="9" t="str">
        <x:f>IF(E61=F61,"PASS","OPEN")</x:f>
        <x:v>OPEN</x:v>
      </x:c>
      <x:c r="H61" s="9" t="str">
        <x:f>IF(G61="PASS","AUTHORIZED",IF(ROW()&gt;=60,"BLOCKED","HOLD"))</x:f>
        <x:v>BLOCKED</x:v>
      </x:c>
    </x:row>
    <x:row r="62">
      <x:c r="B62" s="10" t="str">
        <x:v>G56</x:v>
      </x:c>
      <x:c r="C62" s="10" t="str">
        <x:v>SOURCE EVIDENCE</x:v>
      </x:c>
      <x:c r="D62" s="10" t="str">
        <x:v>Exterior rendering authority</x:v>
      </x:c>
      <x:c r="E62" s="10" t="n">
        <x:f>IF(AND('Controls'!$D$82=1,G61="PASS"),1,0)</x:f>
        <x:v>0</x:v>
      </x:c>
      <x:c r="F62" s="10" t="n">
        <x:v>1</x:v>
      </x:c>
      <x:c r="G62" s="10" t="str">
        <x:f>IF(E62=F62,"PASS","OPEN")</x:f>
        <x:v>OPEN</x:v>
      </x:c>
      <x:c r="H62" s="10" t="str">
        <x:f>IF(G62="PASS","AUTHORIZED",IF(ROW()&gt;=60,"BLOCKED","HOLD"))</x:f>
        <x:v>BLOCKED</x:v>
      </x:c>
    </x:row>
  </x:sheetData>
  <x:mergeCells>
    <x:mergeCell ref="B2:H2"/>
    <x:mergeCell ref="B3:H3"/>
  </x:mergeCells>
  <x:conditionalFormatting sqref="G7:H62">
    <x:cfRule type="containsText" dxfId="252" priority="1" operator="containsText" text="PASS"/>
    <x:cfRule type="containsText" dxfId="253" priority="2" operator="containsText" text="AUTHORIZED"/>
    <x:cfRule type="containsText" dxfId="254" priority="3" operator="containsText" text="DEFINED"/>
    <x:cfRule type="containsText" dxfId="255" priority="4" operator="containsText" text="READY"/>
    <x:cfRule type="containsText" dxfId="256" priority="5" operator="containsText" text="HOLD"/>
    <x:cfRule type="containsText" dxfId="257" priority="6" operator="containsText" text="OPEN"/>
    <x:cfRule type="containsText" dxfId="258" priority="7" operator="containsText" text="BLOCKED"/>
    <x:cfRule type="containsText" dxfId="259" priority="8" operator="containsText" text="PLANNING"/>
    <x:cfRule type="containsText" dxfId="260" priority="9" operator="containsText" text="FAIL"/>
    <x:cfRule type="containsText" dxfId="261" priority="10" operator="containsText" text="REJECT"/>
    <x:cfRule type="containsText" dxfId="262" priority="11" operator="containsText" text="INCOMPLETE"/>
    <x:cfRule type="containsText" dxfId="263" priority="12" operator="containsText" text="INDETERMINATE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5D6B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6" hidden="0" customWidth="1"/>
  </x:cols>
  <x:sheetData>
    <x:row r="2">
      <x:c r="B2" s="28" t="str">
        <x:v>Independent terminal audit</x:v>
      </x:c>
      <x:c r="C2" s="8"/>
      <x:c r="D2" s="8"/>
      <x:c r="E2" s="8"/>
      <x:c r="F2" s="8"/>
      <x:c r="G2" s="8"/>
    </x:row>
    <x:row r="3">
      <x:c r="B3" s="2" t="str">
        <x:v>This sheet observes source and release sheets; no calculation, drawing, summary or release formula depends on it.</x:v>
      </x:c>
      <x:c r="C3" s="8"/>
      <x:c r="D3" s="8"/>
      <x:c r="E3" s="8"/>
      <x:c r="F3" s="8"/>
      <x:c r="G3" s="8"/>
    </x:row>
    <x:row r="4">
      <x:c r="B4" s="29"/>
      <x:c r="C4" s="29"/>
      <x:c r="D4" s="29"/>
      <x:c r="E4" s="29"/>
      <x:c r="F4" s="29"/>
      <x:c r="G4" s="29"/>
    </x:row>
    <x:row r="5">
      <x:c r="B5" s="8"/>
      <x:c r="C5" s="8"/>
      <x:c r="D5" s="8"/>
      <x:c r="E5" s="8"/>
      <x:c r="F5" s="8"/>
      <x:c r="G5" s="8"/>
    </x:row>
    <x:row r="6">
      <x:c r="B6" s="7" t="str">
        <x:v>Check</x:v>
      </x:c>
      <x:c r="C6" s="7" t="str">
        <x:v>Family</x:v>
      </x:c>
      <x:c r="D6" s="7" t="str">
        <x:v>Assertion</x:v>
      </x:c>
      <x:c r="E6" s="7" t="str">
        <x:v>Actual</x:v>
      </x:c>
      <x:c r="F6" s="7" t="str">
        <x:v>Expected</x:v>
      </x:c>
      <x:c r="G6" s="7" t="str">
        <x:v>Result</x:v>
      </x:c>
    </x:row>
    <x:row r="7">
      <x:c r="B7" s="9" t="str">
        <x:v>A001</x:v>
      </x:c>
      <x:c r="C7" s="9" t="str">
        <x:v>Mass</x:v>
      </x:c>
      <x:c r="D7" s="9" t="str">
        <x:v>Root A dry mass</x:v>
      </x:c>
      <x:c r="E7" s="16" t="n">
        <x:f>'Mass and CG'!D49</x:f>
        <x:v>32</x:v>
      </x:c>
      <x:c r="F7" s="16" t="n">
        <x:v>32</x:v>
      </x:c>
      <x:c r="G7" s="9" t="str">
        <x:f>IF(ISNUMBER(E7),IF(ABS(E7-F7)&lt;0.01,"PASS","FAIL"),IF(E7=F7,"PASS","FAIL"))</x:f>
        <x:v>PASS</x:v>
      </x:c>
    </x:row>
    <x:row r="8">
      <x:c r="B8" s="9" t="str">
        <x:v>A002</x:v>
      </x:c>
      <x:c r="C8" s="9" t="str">
        <x:v>Mass</x:v>
      </x:c>
      <x:c r="D8" s="9" t="str">
        <x:v>Root A dry CG X</x:v>
      </x:c>
      <x:c r="E8" s="16" t="n">
        <x:f>'Mass and CG'!E49</x:f>
        <x:v>5.7575</x:v>
      </x:c>
      <x:c r="F8" s="16" t="n">
        <x:v>5.7575</x:v>
      </x:c>
      <x:c r="G8" s="9" t="str">
        <x:f>IF(ISNUMBER(E8),IF(ABS(E8-F8)&lt;0.01,"PASS","FAIL"),IF(E8=F8,"PASS","FAIL"))</x:f>
        <x:v>PASS</x:v>
      </x:c>
    </x:row>
    <x:row r="9">
      <x:c r="B9" s="9" t="str">
        <x:v>A003</x:v>
      </x:c>
      <x:c r="C9" s="9" t="str">
        <x:v>Mass</x:v>
      </x:c>
      <x:c r="D9" s="9" t="str">
        <x:v>Root A dry CG Y</x:v>
      </x:c>
      <x:c r="E9" s="16" t="n">
        <x:f>'Mass and CG'!F49</x:f>
        <x:v>-0.018750000000000003</x:v>
      </x:c>
      <x:c r="F9" s="16" t="n">
        <x:v>-0.01875</x:v>
      </x:c>
      <x:c r="G9" s="9" t="str">
        <x:f>IF(ISNUMBER(E9),IF(ABS(E9-F9)&lt;0.01,"PASS","FAIL"),IF(E9=F9,"PASS","FAIL"))</x:f>
        <x:v>PASS</x:v>
      </x:c>
    </x:row>
    <x:row r="10">
      <x:c r="B10" s="9" t="str">
        <x:v>A004</x:v>
      </x:c>
      <x:c r="C10" s="9" t="str">
        <x:v>Mass</x:v>
      </x:c>
      <x:c r="D10" s="9" t="str">
        <x:v>Root A dry CG Z</x:v>
      </x:c>
      <x:c r="E10" s="16" t="n">
        <x:f>'Mass and CG'!G49</x:f>
        <x:v>1.29375</x:v>
      </x:c>
      <x:c r="F10" s="16" t="n">
        <x:v>1.29375</x:v>
      </x:c>
      <x:c r="G10" s="9" t="str">
        <x:f>IF(ISNUMBER(E10),IF(ABS(E10-F10)&lt;0.01,"PASS","FAIL"),IF(E10=F10,"PASS","FAIL"))</x:f>
        <x:v>PASS</x:v>
      </x:c>
    </x:row>
    <x:row r="11">
      <x:c r="B11" s="9" t="str">
        <x:v>A005</x:v>
      </x:c>
      <x:c r="C11" s="9" t="str">
        <x:v>Mass</x:v>
      </x:c>
      <x:c r="D11" s="9" t="str">
        <x:v>Root B dry mass</x:v>
      </x:c>
      <x:c r="E11" s="16" t="n">
        <x:f>'Mass and CG'!D50</x:f>
        <x:v>32</x:v>
      </x:c>
      <x:c r="F11" s="16" t="n">
        <x:v>32</x:v>
      </x:c>
      <x:c r="G11" s="9" t="str">
        <x:f>IF(ISNUMBER(E11),IF(ABS(E11-F11)&lt;0.01,"PASS","FAIL"),IF(E11=F11,"PASS","FAIL"))</x:f>
        <x:v>PASS</x:v>
      </x:c>
    </x:row>
    <x:row r="12">
      <x:c r="B12" s="9" t="str">
        <x:v>A006</x:v>
      </x:c>
      <x:c r="C12" s="9" t="str">
        <x:v>Mass</x:v>
      </x:c>
      <x:c r="D12" s="9" t="str">
        <x:v>Root B dry CG X</x:v>
      </x:c>
      <x:c r="E12" s="16" t="n">
        <x:f>'Mass and CG'!E50</x:f>
        <x:v>5.809375</x:v>
      </x:c>
      <x:c r="F12" s="16" t="n">
        <x:v>5.809375</x:v>
      </x:c>
      <x:c r="G12" s="9" t="str">
        <x:f>IF(ISNUMBER(E12),IF(ABS(E12-F12)&lt;0.01,"PASS","FAIL"),IF(E12=F12,"PASS","FAIL"))</x:f>
        <x:v>PASS</x:v>
      </x:c>
    </x:row>
    <x:row r="13">
      <x:c r="B13" s="9" t="str">
        <x:v>A007</x:v>
      </x:c>
      <x:c r="C13" s="9" t="str">
        <x:v>Mass</x:v>
      </x:c>
      <x:c r="D13" s="9" t="str">
        <x:v>Root B dry CG Y</x:v>
      </x:c>
      <x:c r="E13" s="16" t="n">
        <x:f>'Mass and CG'!F50</x:f>
        <x:v>0.032812499999999994</x:v>
      </x:c>
      <x:c r="F13" s="16" t="n">
        <x:v>0.0328125</x:v>
      </x:c>
      <x:c r="G13" s="9" t="str">
        <x:f>IF(ISNUMBER(E13),IF(ABS(E13-F13)&lt;0.01,"PASS","FAIL"),IF(E13=F13,"PASS","FAIL"))</x:f>
        <x:v>PASS</x:v>
      </x:c>
    </x:row>
    <x:row r="14">
      <x:c r="B14" s="9" t="str">
        <x:v>A008</x:v>
      </x:c>
      <x:c r="C14" s="9" t="str">
        <x:v>Mass</x:v>
      </x:c>
      <x:c r="D14" s="9" t="str">
        <x:v>Root B dry CG Z</x:v>
      </x:c>
      <x:c r="E14" s="16" t="n">
        <x:f>'Mass and CG'!G50</x:f>
        <x:v>1.3084375</x:v>
      </x:c>
      <x:c r="F14" s="16" t="n">
        <x:v>1.3084375</x:v>
      </x:c>
      <x:c r="G14" s="9" t="str">
        <x:f>IF(ISNUMBER(E14),IF(ABS(E14-F14)&lt;0.01,"PASS","FAIL"),IF(E14=F14,"PASS","FAIL"))</x:f>
        <x:v>PASS</x:v>
      </x:c>
    </x:row>
    <x:row r="15">
      <x:c r="B15" s="9" t="str">
        <x:v>A009</x:v>
      </x:c>
      <x:c r="C15" s="9" t="str">
        <x:v>Mass</x:v>
      </x:c>
      <x:c r="D15" s="9" t="str">
        <x:v>Root A operating mass</x:v>
      </x:c>
      <x:c r="E15" s="16" t="n">
        <x:f>'Mass and CG'!D52</x:f>
        <x:v>40</x:v>
      </x:c>
      <x:c r="F15" s="16" t="n">
        <x:v>40</x:v>
      </x:c>
      <x:c r="G15" s="9" t="str">
        <x:f>IF(ISNUMBER(E15),IF(ABS(E15-F15)&lt;0.01,"PASS","FAIL"),IF(E15=F15,"PASS","FAIL"))</x:f>
        <x:v>PASS</x:v>
      </x:c>
    </x:row>
    <x:row r="16">
      <x:c r="B16" s="9" t="str">
        <x:v>A010</x:v>
      </x:c>
      <x:c r="C16" s="9" t="str">
        <x:v>Mass</x:v>
      </x:c>
      <x:c r="D16" s="9" t="str">
        <x:v>Root A operating CG X</x:v>
      </x:c>
      <x:c r="E16" s="16" t="n">
        <x:f>'Mass and CG'!E52</x:f>
        <x:v>5.8985</x:v>
      </x:c>
      <x:c r="F16" s="16" t="n">
        <x:v>5.8985</x:v>
      </x:c>
      <x:c r="G16" s="9" t="str">
        <x:f>IF(ISNUMBER(E16),IF(ABS(E16-F16)&lt;0.01,"PASS","FAIL"),IF(E16=F16,"PASS","FAIL"))</x:f>
        <x:v>PASS</x:v>
      </x:c>
    </x:row>
    <x:row r="17">
      <x:c r="B17" s="9" t="str">
        <x:v>A011</x:v>
      </x:c>
      <x:c r="C17" s="9" t="str">
        <x:v>Mass</x:v>
      </x:c>
      <x:c r="D17" s="9" t="str">
        <x:v>Root B operating CG X</x:v>
      </x:c>
      <x:c r="E17" s="16" t="n">
        <x:f>'Mass and CG'!E53</x:f>
        <x:v>5.94</x:v>
      </x:c>
      <x:c r="F17" s="16" t="n">
        <x:v>5.94</x:v>
      </x:c>
      <x:c r="G17" s="9" t="str">
        <x:f>IF(ISNUMBER(E17),IF(ABS(E17-F17)&lt;0.01,"PASS","FAIL"),IF(E17=F17,"PASS","FAIL"))</x:f>
        <x:v>PASS</x:v>
      </x:c>
    </x:row>
    <x:row r="18">
      <x:c r="B18" s="9" t="str">
        <x:v>A012</x:v>
      </x:c>
      <x:c r="C18" s="9" t="str">
        <x:v>Structure</x:v>
      </x:c>
      <x:c r="D18" s="9" t="str">
        <x:v>Weak-ground demand</x:v>
      </x:c>
      <x:c r="E18" s="16" t="n">
        <x:f>'Support Geometry'!F20</x:f>
        <x:v>70.92309374999999</x:v>
      </x:c>
      <x:c r="F18" s="16" t="n">
        <x:v>70.923</x:v>
      </x:c>
      <x:c r="G18" s="9" t="str">
        <x:f>IF(ISNUMBER(E18),IF(ABS(E18-F18)&lt;0.01,"PASS","FAIL"),IF(E18=F18,"PASS","FAIL"))</x:f>
        <x:v>PASS</x:v>
      </x:c>
    </x:row>
    <x:row r="19">
      <x:c r="B19" s="9" t="str">
        <x:v>A013</x:v>
      </x:c>
      <x:c r="C19" s="9" t="str">
        <x:v>Structure</x:v>
      </x:c>
      <x:c r="D19" s="9" t="str">
        <x:v>Anchor demand</x:v>
      </x:c>
      <x:c r="E19" s="16" t="n">
        <x:f>'Anchor and Lift'!D20</x:f>
        <x:v>156.7572680486432</x:v>
      </x:c>
      <x:c r="F19" s="16" t="n">
        <x:v>156.757</x:v>
      </x:c>
      <x:c r="G19" s="9" t="str">
        <x:f>IF(ISNUMBER(E19),IF(ABS(E19-F19)&lt;0.01,"PASS","FAIL"),IF(E19=F19,"PASS","FAIL"))</x:f>
        <x:v>PASS</x:v>
      </x:c>
    </x:row>
    <x:row r="20">
      <x:c r="B20" s="9" t="str">
        <x:v>A014</x:v>
      </x:c>
      <x:c r="C20" s="9" t="str">
        <x:v>Structure</x:v>
      </x:c>
      <x:c r="D20" s="9" t="str">
        <x:v>Lift demand</x:v>
      </x:c>
      <x:c r="E20" s="16" t="n">
        <x:f>'Anchor and Lift'!D21</x:f>
        <x:v>142.784824</x:v>
      </x:c>
      <x:c r="F20" s="16" t="n">
        <x:v>142.785</x:v>
      </x:c>
      <x:c r="G20" s="9" t="str">
        <x:f>IF(ISNUMBER(E20),IF(ABS(E20-F20)&lt;0.01,"PASS","FAIL"),IF(E20=F20,"PASS","FAIL"))</x:f>
        <x:v>PASS</x:v>
      </x:c>
    </x:row>
    <x:row r="21">
      <x:c r="B21" s="9" t="str">
        <x:v>A015</x:v>
      </x:c>
      <x:c r="C21" s="9" t="str">
        <x:v>Hydraulic</x:v>
      </x:c>
      <x:c r="D21" s="9" t="str">
        <x:v>Area</x:v>
      </x:c>
      <x:c r="E21" s="16" t="n">
        <x:f>'Hydraulic Topology'!E7</x:f>
        <x:v>0.0962112750161874</x:v>
      </x:c>
      <x:c r="F21" s="16" t="n">
        <x:v>0.096211</x:v>
      </x:c>
      <x:c r="G21" s="9" t="str">
        <x:f>IF(ISNUMBER(E21),IF(ABS(E21-F21)&lt;0.01,"PASS","FAIL"),IF(E21=F21,"PASS","FAIL"))</x:f>
        <x:v>PASS</x:v>
      </x:c>
    </x:row>
    <x:row r="22">
      <x:c r="B22" s="9" t="str">
        <x:v>A016</x:v>
      </x:c>
      <x:c r="C22" s="9" t="str">
        <x:v>Hydraulic</x:v>
      </x:c>
      <x:c r="D22" s="9" t="str">
        <x:v>Length per path</x:v>
      </x:c>
      <x:c r="E22" s="16" t="n">
        <x:f>'Hydraulic Topology'!E8</x:f>
        <x:v>24</x:v>
      </x:c>
      <x:c r="F22" s="16" t="n">
        <x:v>24</x:v>
      </x:c>
      <x:c r="G22" s="9" t="str">
        <x:f>IF(ISNUMBER(E22),IF(ABS(E22-F22)&lt;0.01,"PASS","FAIL"),IF(E22=F22,"PASS","FAIL"))</x:f>
        <x:v>PASS</x:v>
      </x:c>
    </x:row>
    <x:row r="23">
      <x:c r="B23" s="9" t="str">
        <x:v>A017</x:v>
      </x:c>
      <x:c r="C23" s="9" t="str">
        <x:v>Hydraulic</x:v>
      </x:c>
      <x:c r="D23" s="9" t="str">
        <x:v>Total length</x:v>
      </x:c>
      <x:c r="E23" s="16" t="n">
        <x:f>'Hydraulic Topology'!E9</x:f>
        <x:v>48</x:v>
      </x:c>
      <x:c r="F23" s="16" t="n">
        <x:v>48</x:v>
      </x:c>
      <x:c r="G23" s="9" t="str">
        <x:f>IF(ISNUMBER(E23),IF(ABS(E23-F23)&lt;0.01,"PASS","FAIL"),IF(E23=F23,"PASS","FAIL"))</x:f>
        <x:v>PASS</x:v>
      </x:c>
    </x:row>
    <x:row r="24">
      <x:c r="B24" s="9" t="str">
        <x:v>A018</x:v>
      </x:c>
      <x:c r="C24" s="9" t="str">
        <x:v>Hydraulic</x:v>
      </x:c>
      <x:c r="D24" s="9" t="str">
        <x:v>Volume</x:v>
      </x:c>
      <x:c r="E24" s="16" t="n">
        <x:f>'Hydraulic Topology'!E10</x:f>
        <x:v>4.618141200776995</x:v>
      </x:c>
      <x:c r="F24" s="16" t="n">
        <x:v>4.6181</x:v>
      </x:c>
      <x:c r="G24" s="9" t="str">
        <x:f>IF(ISNUMBER(E24),IF(ABS(E24-F24)&lt;0.01,"PASS","FAIL"),IF(E24=F24,"PASS","FAIL"))</x:f>
        <x:v>PASS</x:v>
      </x:c>
    </x:row>
    <x:row r="25">
      <x:c r="B25" s="9" t="str">
        <x:v>A019</x:v>
      </x:c>
      <x:c r="C25" s="9" t="str">
        <x:v>Hydraulic</x:v>
      </x:c>
      <x:c r="D25" s="9" t="str">
        <x:v>Flush</x:v>
      </x:c>
      <x:c r="E25" s="16" t="n">
        <x:f>'Hydraulic Topology'!E11</x:f>
        <x:v>13.854423602330984</x:v>
      </x:c>
      <x:c r="F25" s="16" t="n">
        <x:v>13.8544</x:v>
      </x:c>
      <x:c r="G25" s="9" t="str">
        <x:f>IF(ISNUMBER(E25),IF(ABS(E25-F25)&lt;0.01,"PASS","FAIL"),IF(E25=F25,"PASS","FAIL"))</x:f>
        <x:v>PASS</x:v>
      </x:c>
    </x:row>
    <x:row r="26">
      <x:c r="B26" s="9" t="str">
        <x:v>A020</x:v>
      </x:c>
      <x:c r="C26" s="9" t="str">
        <x:v>Hydraulic</x:v>
      </x:c>
      <x:c r="D26" s="9" t="str">
        <x:v>End force</x:v>
      </x:c>
      <x:c r="E26" s="16" t="n">
        <x:f>'Hydraulic Topology'!E12</x:f>
        <x:v>101.02183876699677</x:v>
      </x:c>
      <x:c r="F26" s="16" t="n">
        <x:v>101.022</x:v>
      </x:c>
      <x:c r="G26" s="9" t="str">
        <x:f>IF(ISNUMBER(E26),IF(ABS(E26-F26)&lt;0.01,"PASS","FAIL"),IF(E26=F26,"PASS","FAIL"))</x:f>
        <x:v>PASS</x:v>
      </x:c>
    </x:row>
    <x:row r="27">
      <x:c r="B27" s="9" t="str">
        <x:v>A021</x:v>
      </x:c>
      <x:c r="C27" s="9" t="str">
        <x:v>Power</x:v>
      </x:c>
      <x:c r="D27" s="9" t="str">
        <x:v>Normal LV current</x:v>
      </x:c>
      <x:c r="E27" s="16" t="n">
        <x:f>'Power One-Line'!G7</x:f>
        <x:v>2.0046884346862006</x:v>
      </x:c>
      <x:c r="F27" s="16" t="n">
        <x:v>2.004688</x:v>
      </x:c>
      <x:c r="G27" s="9" t="str">
        <x:f>IF(ISNUMBER(E27),IF(ABS(E27-F27)&lt;0.01,"PASS","FAIL"),IF(E27=F27,"PASS","FAIL"))</x:f>
        <x:v>PASS</x:v>
      </x:c>
    </x:row>
    <x:row r="28">
      <x:c r="B28" s="9" t="str">
        <x:v>A022</x:v>
      </x:c>
      <x:c r="C28" s="9" t="str">
        <x:v>Power</x:v>
      </x:c>
      <x:c r="D28" s="9" t="str">
        <x:v>Overload LV current</x:v>
      </x:c>
      <x:c r="E28" s="16" t="n">
        <x:f>'Power One-Line'!G8</x:f>
        <x:v>3.007032652029301</x:v>
      </x:c>
      <x:c r="F28" s="16" t="n">
        <x:v>3.007032</x:v>
      </x:c>
      <x:c r="G28" s="9" t="str">
        <x:f>IF(ISNUMBER(E28),IF(ABS(E28-F28)&lt;0.01,"PASS","FAIL"),IF(E28=F28,"PASS","FAIL"))</x:f>
        <x:v>PASS</x:v>
      </x:c>
    </x:row>
    <x:row r="29">
      <x:c r="B29" s="9" t="str">
        <x:v>A023</x:v>
      </x:c>
      <x:c r="C29" s="9" t="str">
        <x:v>Power</x:v>
      </x:c>
      <x:c r="D29" s="9" t="str">
        <x:v>Transient LV current</x:v>
      </x:c>
      <x:c r="E29" s="16" t="n">
        <x:f>'Power One-Line'!G9</x:f>
        <x:v>4.009376869372401</x:v>
      </x:c>
      <x:c r="F29" s="16" t="n">
        <x:v>4.009377</x:v>
      </x:c>
      <x:c r="G29" s="9" t="str">
        <x:f>IF(ISNUMBER(E29),IF(ABS(E29-F29)&lt;0.01,"PASS","FAIL"),IF(E29=F29,"PASS","FAIL"))</x:f>
        <x:v>PASS</x:v>
      </x:c>
    </x:row>
    <x:row r="30">
      <x:c r="B30" s="9" t="str">
        <x:v>A024</x:v>
      </x:c>
      <x:c r="C30" s="9" t="str">
        <x:v>Power</x:v>
      </x:c>
      <x:c r="D30" s="9" t="str">
        <x:v>Normal MV current</x:v>
      </x:c>
      <x:c r="E30" s="16" t="n">
        <x:f>'Power One-Line'!G10</x:f>
        <x:v>69.72829338038957</x:v>
      </x:c>
      <x:c r="F30" s="16" t="n">
        <x:v>69.728293</x:v>
      </x:c>
      <x:c r="G30" s="9" t="str">
        <x:f>IF(ISNUMBER(E30),IF(ABS(E30-F30)&lt;0.01,"PASS","FAIL"),IF(E30=F30,"PASS","FAIL"))</x:f>
        <x:v>PASS</x:v>
      </x:c>
    </x:row>
    <x:row r="31">
      <x:c r="B31" s="9" t="str">
        <x:v>A025</x:v>
      </x:c>
      <x:c r="C31" s="9" t="str">
        <x:v>Power</x:v>
      </x:c>
      <x:c r="D31" s="9" t="str">
        <x:v>Transient MV current</x:v>
      </x:c>
      <x:c r="E31" s="16" t="n">
        <x:f>'Power One-Line'!G11</x:f>
        <x:v>139.45658676077915</x:v>
      </x:c>
      <x:c r="F31" s="16" t="n">
        <x:v>139.456587</x:v>
      </x:c>
      <x:c r="G31" s="9" t="str">
        <x:f>IF(ISNUMBER(E31),IF(ABS(E31-F31)&lt;0.01,"PASS","FAIL"),IF(E31=F31,"PASS","FAIL"))</x:f>
        <x:v>PASS</x:v>
      </x:c>
    </x:row>
    <x:row r="32">
      <x:c r="B32" s="9" t="str">
        <x:v>A026</x:v>
      </x:c>
      <x:c r="C32" s="9" t="str">
        <x:v>Program</x:v>
      </x:c>
      <x:c r="D32" s="9" t="str">
        <x:v>Drawings</x:v>
      </x:c>
      <x:c r="E32" s="16" t="n">
        <x:f>COUNTA('Drawing Register'!B7:B54)</x:f>
        <x:v>48</x:v>
      </x:c>
      <x:c r="F32" s="16" t="n">
        <x:v>48</x:v>
      </x:c>
      <x:c r="G32" s="9" t="str">
        <x:f>IF(ISNUMBER(E32),IF(ABS(E32-F32)&lt;0.01,"PASS","FAIL"),IF(E32=F32,"PASS","FAIL"))</x:f>
        <x:v>PASS</x:v>
      </x:c>
    </x:row>
    <x:row r="33">
      <x:c r="B33" s="9" t="str">
        <x:v>A027</x:v>
      </x:c>
      <x:c r="C33" s="9" t="str">
        <x:v>Program</x:v>
      </x:c>
      <x:c r="D33" s="9" t="str">
        <x:v>Build records</x:v>
      </x:c>
      <x:c r="E33" s="16" t="n">
        <x:f>COUNTA('Build Records'!B7:B58)</x:f>
        <x:v>52</x:v>
      </x:c>
      <x:c r="F33" s="16" t="n">
        <x:v>52</x:v>
      </x:c>
      <x:c r="G33" s="9" t="str">
        <x:f>IF(ISNUMBER(E33),IF(ABS(E33-F33)&lt;0.01,"PASS","FAIL"),IF(E33=F33,"PASS","FAIL"))</x:f>
        <x:v>PASS</x:v>
      </x:c>
    </x:row>
    <x:row r="34">
      <x:c r="B34" s="9" t="str">
        <x:v>A028</x:v>
      </x:c>
      <x:c r="C34" s="9" t="str">
        <x:v>Program</x:v>
      </x:c>
      <x:c r="D34" s="9" t="str">
        <x:v>Checks</x:v>
      </x:c>
      <x:c r="E34" s="16" t="n">
        <x:f>COUNTA('Drawing Checks'!B7:B30)</x:f>
        <x:v>24</x:v>
      </x:c>
      <x:c r="F34" s="16" t="n">
        <x:v>24</x:v>
      </x:c>
      <x:c r="G34" s="9" t="str">
        <x:f>IF(ISNUMBER(E34),IF(ABS(E34-F34)&lt;0.01,"PASS","FAIL"),IF(E34=F34,"PASS","FAIL"))</x:f>
        <x:v>PASS</x:v>
      </x:c>
    </x:row>
    <x:row r="35">
      <x:c r="B35" s="9" t="str">
        <x:v>A029</x:v>
      </x:c>
      <x:c r="C35" s="9" t="str">
        <x:v>Program</x:v>
      </x:c>
      <x:c r="D35" s="9" t="str">
        <x:v>Hazards</x:v>
      </x:c>
      <x:c r="E35" s="16" t="n">
        <x:f>COUNTA('Access and Hazards'!B7:B24)</x:f>
        <x:v>18</x:v>
      </x:c>
      <x:c r="F35" s="16" t="n">
        <x:v>18</x:v>
      </x:c>
      <x:c r="G35" s="9" t="str">
        <x:f>IF(ISNUMBER(E35),IF(ABS(E35-F35)&lt;0.01,"PASS","FAIL"),IF(E35=F35,"PASS","FAIL"))</x:f>
        <x:v>PASS</x:v>
      </x:c>
    </x:row>
    <x:row r="36">
      <x:c r="B36" s="9" t="str">
        <x:v>A030</x:v>
      </x:c>
      <x:c r="C36" s="9" t="str">
        <x:v>Program</x:v>
      </x:c>
      <x:c r="D36" s="9" t="str">
        <x:v>Release gates</x:v>
      </x:c>
      <x:c r="E36" s="16" t="n">
        <x:f>COUNTA('Release Gates'!B7:B62)</x:f>
        <x:v>56</x:v>
      </x:c>
      <x:c r="F36" s="16" t="n">
        <x:v>56</x:v>
      </x:c>
      <x:c r="G36" s="9" t="str">
        <x:f>IF(ISNUMBER(E36),IF(ABS(E36-F36)&lt;0.01,"PASS","FAIL"),IF(E36=F36,"PASS","FAIL"))</x:f>
        <x:v>PASS</x:v>
      </x:c>
    </x:row>
    <x:row r="37">
      <x:c r="B37" s="9" t="str">
        <x:v>A031</x:v>
      </x:c>
      <x:c r="C37" s="9" t="str">
        <x:v>Program</x:v>
      </x:c>
      <x:c r="D37" s="9" t="str">
        <x:v>Duration</x:v>
      </x:c>
      <x:c r="E37" s="16" t="n">
        <x:f>MAX(Schedule!E7:E18)</x:f>
        <x:v>18</x:v>
      </x:c>
      <x:c r="F37" s="16" t="n">
        <x:v>18</x:v>
      </x:c>
      <x:c r="G37" s="9" t="str">
        <x:f>IF(ISNUMBER(E37),IF(ABS(E37-F37)&lt;0.01,"PASS","FAIL"),IF(E37=F37,"PASS","FAIL"))</x:f>
        <x:v>PASS</x:v>
      </x:c>
    </x:row>
    <x:row r="38">
      <x:c r="B38" s="9" t="str">
        <x:v>A032</x:v>
      </x:c>
      <x:c r="C38" s="9" t="str">
        <x:v>Program</x:v>
      </x:c>
      <x:c r="D38" s="9" t="str">
        <x:v>Workforce</x:v>
      </x:c>
      <x:c r="E38" s="16" t="n">
        <x:f>'Controls'!$D$69+'Controls'!$D$70</x:f>
        <x:v>192</x:v>
      </x:c>
      <x:c r="F38" s="16" t="n">
        <x:v>192</x:v>
      </x:c>
      <x:c r="G38" s="9" t="str">
        <x:f>IF(ISNUMBER(E38),IF(ABS(E38-F38)&lt;0.01,"PASS","FAIL"),IF(E38=F38,"PASS","FAIL"))</x:f>
        <x:v>PASS</x:v>
      </x:c>
    </x:row>
    <x:row r="39">
      <x:c r="B39" s="9" t="str">
        <x:v>A033</x:v>
      </x:c>
      <x:c r="C39" s="9" t="str">
        <x:v>Finance</x:v>
      </x:c>
      <x:c r="D39" s="9" t="str">
        <x:v>Capital</x:v>
      </x:c>
      <x:c r="E39" s="16" t="n">
        <x:f>'Capital Draw'!D18</x:f>
        <x:v>0.31800000000000006</x:v>
      </x:c>
      <x:c r="F39" s="16" t="n">
        <x:v>0.318</x:v>
      </x:c>
      <x:c r="G39" s="9" t="str">
        <x:f>IF(ISNUMBER(E39),IF(ABS(E39-F39)&lt;0.01,"PASS","FAIL"),IF(E39=F39,"PASS","FAIL"))</x:f>
        <x:v>PASS</x:v>
      </x:c>
    </x:row>
    <x:row r="40">
      <x:c r="B40" s="9" t="str">
        <x:v>A034</x:v>
      </x:c>
      <x:c r="C40" s="9" t="str">
        <x:v>Finance</x:v>
      </x:c>
      <x:c r="D40" s="9" t="str">
        <x:v>Annual</x:v>
      </x:c>
      <x:c r="E40" s="16" t="n">
        <x:f>'Annual Draw'!D18</x:f>
        <x:v>0.08400000000000002</x:v>
      </x:c>
      <x:c r="F40" s="16" t="n">
        <x:v>0.084</x:v>
      </x:c>
      <x:c r="G40" s="9" t="str">
        <x:f>IF(ISNUMBER(E40),IF(ABS(E40-F40)&lt;0.01,"PASS","FAIL"),IF(E40=F40,"PASS","FAIL"))</x:f>
        <x:v>PASS</x:v>
      </x:c>
    </x:row>
    <x:row r="41">
      <x:c r="B41" s="9" t="str">
        <x:v>A035</x:v>
      </x:c>
      <x:c r="C41" s="9" t="str">
        <x:v>Finance</x:v>
      </x:c>
      <x:c r="D41" s="9" t="str">
        <x:v>18-month operating</x:v>
      </x:c>
      <x:c r="E41" s="16" t="n">
        <x:f>'Annual Draw'!D21</x:f>
        <x:v>0.12600000000000003</x:v>
      </x:c>
      <x:c r="F41" s="16" t="n">
        <x:v>0.126</x:v>
      </x:c>
      <x:c r="G41" s="9" t="str">
        <x:f>IF(ISNUMBER(E41),IF(ABS(E41-F41)&lt;0.01,"PASS","FAIL"),IF(E41=F41,"PASS","FAIL"))</x:f>
        <x:v>PASS</x:v>
      </x:c>
    </x:row>
    <x:row r="42">
      <x:c r="B42" s="9" t="str">
        <x:v>A036</x:v>
      </x:c>
      <x:c r="C42" s="9" t="str">
        <x:v>Authority</x:v>
      </x:c>
      <x:c r="D42" s="9" t="str">
        <x:v>Planning passed</x:v>
      </x:c>
      <x:c r="E42" s="16" t="n">
        <x:f>COUNTIFS('Release Gates'!G7:G44,"PASS")</x:f>
        <x:v>38</x:v>
      </x:c>
      <x:c r="F42" s="16" t="n">
        <x:v>38</x:v>
      </x:c>
      <x:c r="G42" s="9" t="str">
        <x:f>IF(ISNUMBER(E42),IF(ABS(E42-F42)&lt;0.01,"PASS","FAIL"),IF(E42=F42,"PASS","FAIL"))</x:f>
        <x:v>PASS</x:v>
      </x:c>
    </x:row>
    <x:row r="43">
      <x:c r="B43" s="9" t="str">
        <x:v>A037</x:v>
      </x:c>
      <x:c r="C43" s="9" t="str">
        <x:v>Authority</x:v>
      </x:c>
      <x:c r="D43" s="9" t="str">
        <x:v>Source gates open</x:v>
      </x:c>
      <x:c r="E43" s="16" t="n">
        <x:f>COUNTIFS('Release Gates'!G45:G62,"OPEN")</x:f>
        <x:v>18</x:v>
      </x:c>
      <x:c r="F43" s="16" t="n">
        <x:v>18</x:v>
      </x:c>
      <x:c r="G43" s="9" t="str">
        <x:f>IF(ISNUMBER(E43),IF(ABS(E43-F43)&lt;0.01,"PASS","FAIL"),IF(E43=F43,"PASS","FAIL"))</x:f>
        <x:v>PASS</x:v>
      </x:c>
    </x:row>
    <x:row r="44">
      <x:c r="B44" s="9" t="str">
        <x:v>A038</x:v>
      </x:c>
      <x:c r="C44" s="9" t="str">
        <x:v>Authority</x:v>
      </x:c>
      <x:c r="D44" s="9" t="str">
        <x:v>Production blocked</x:v>
      </x:c>
      <x:c r="E44" s="16" t="str">
        <x:f>'Release Gates'!H61</x:f>
        <x:v>BLOCKED</x:v>
      </x:c>
      <x:c r="F44" s="16" t="str">
        <x:v>BLOCKED</x:v>
      </x:c>
      <x:c r="G44" s="9" t="str">
        <x:f>IF(ISNUMBER(E44),IF(ABS(E44-F44)&lt;0.01,"PASS","FAIL"),IF(E44=F44,"PASS","FAIL"))</x:f>
        <x:v>PASS</x:v>
      </x:c>
    </x:row>
    <x:row r="45">
      <x:c r="B45" s="9" t="str">
        <x:v>A039</x:v>
      </x:c>
      <x:c r="C45" s="9" t="str">
        <x:v>Authority</x:v>
      </x:c>
      <x:c r="D45" s="9" t="str">
        <x:v>Rendering blocked</x:v>
      </x:c>
      <x:c r="E45" s="16" t="str">
        <x:f>'Release Gates'!H62</x:f>
        <x:v>BLOCKED</x:v>
      </x:c>
      <x:c r="F45" s="16" t="str">
        <x:v>BLOCKED</x:v>
      </x:c>
      <x:c r="G45" s="9" t="str">
        <x:f>IF(ISNUMBER(E45),IF(ABS(E45-F45)&lt;0.01,"PASS","FAIL"),IF(E45=F45,"PASS","FAIL"))</x:f>
        <x:v>PASS</x:v>
      </x:c>
    </x:row>
    <x:row r="46">
      <x:c r="B46" s="9" t="str">
        <x:v>A040</x:v>
      </x:c>
      <x:c r="C46" s="9" t="str">
        <x:v>Release</x:v>
      </x:c>
      <x:c r="D46" s="9" t="str">
        <x:v>Gate 01 baseline</x:v>
      </x:c>
      <x:c r="E46" s="16" t="str">
        <x:f>'Release Gates'!G7</x:f>
        <x:v>PASS</x:v>
      </x:c>
      <x:c r="F46" s="16" t="str">
        <x:v>PASS</x:v>
      </x:c>
      <x:c r="G46" s="9" t="str">
        <x:f>IF(ISNUMBER(E46),IF(ABS(E46-F46)&lt;0.01,"PASS","FAIL"),IF(E46=F46,"PASS","FAIL"))</x:f>
        <x:v>PASS</x:v>
      </x:c>
    </x:row>
    <x:row r="47">
      <x:c r="B47" s="9" t="str">
        <x:v>A041</x:v>
      </x:c>
      <x:c r="C47" s="9" t="str">
        <x:v>Release</x:v>
      </x:c>
      <x:c r="D47" s="9" t="str">
        <x:v>Gate 02 baseline</x:v>
      </x:c>
      <x:c r="E47" s="16" t="str">
        <x:f>'Release Gates'!G8</x:f>
        <x:v>PASS</x:v>
      </x:c>
      <x:c r="F47" s="16" t="str">
        <x:v>PASS</x:v>
      </x:c>
      <x:c r="G47" s="9" t="str">
        <x:f>IF(ISNUMBER(E47),IF(ABS(E47-F47)&lt;0.01,"PASS","FAIL"),IF(E47=F47,"PASS","FAIL"))</x:f>
        <x:v>PASS</x:v>
      </x:c>
    </x:row>
    <x:row r="48">
      <x:c r="B48" s="9" t="str">
        <x:v>A042</x:v>
      </x:c>
      <x:c r="C48" s="9" t="str">
        <x:v>Release</x:v>
      </x:c>
      <x:c r="D48" s="9" t="str">
        <x:v>Gate 03 baseline</x:v>
      </x:c>
      <x:c r="E48" s="16" t="str">
        <x:f>'Release Gates'!G9</x:f>
        <x:v>PASS</x:v>
      </x:c>
      <x:c r="F48" s="16" t="str">
        <x:v>PASS</x:v>
      </x:c>
      <x:c r="G48" s="9" t="str">
        <x:f>IF(ISNUMBER(E48),IF(ABS(E48-F48)&lt;0.01,"PASS","FAIL"),IF(E48=F48,"PASS","FAIL"))</x:f>
        <x:v>PASS</x:v>
      </x:c>
    </x:row>
    <x:row r="49">
      <x:c r="B49" s="9" t="str">
        <x:v>A043</x:v>
      </x:c>
      <x:c r="C49" s="9" t="str">
        <x:v>Release</x:v>
      </x:c>
      <x:c r="D49" s="9" t="str">
        <x:v>Gate 04 baseline</x:v>
      </x:c>
      <x:c r="E49" s="16" t="str">
        <x:f>'Release Gates'!G10</x:f>
        <x:v>PASS</x:v>
      </x:c>
      <x:c r="F49" s="16" t="str">
        <x:v>PASS</x:v>
      </x:c>
      <x:c r="G49" s="9" t="str">
        <x:f>IF(ISNUMBER(E49),IF(ABS(E49-F49)&lt;0.01,"PASS","FAIL"),IF(E49=F49,"PASS","FAIL"))</x:f>
        <x:v>PASS</x:v>
      </x:c>
    </x:row>
    <x:row r="50">
      <x:c r="B50" s="9" t="str">
        <x:v>A044</x:v>
      </x:c>
      <x:c r="C50" s="9" t="str">
        <x:v>Release</x:v>
      </x:c>
      <x:c r="D50" s="9" t="str">
        <x:v>Gate 05 baseline</x:v>
      </x:c>
      <x:c r="E50" s="16" t="str">
        <x:f>'Release Gates'!G11</x:f>
        <x:v>PASS</x:v>
      </x:c>
      <x:c r="F50" s="16" t="str">
        <x:v>PASS</x:v>
      </x:c>
      <x:c r="G50" s="9" t="str">
        <x:f>IF(ISNUMBER(E50),IF(ABS(E50-F50)&lt;0.01,"PASS","FAIL"),IF(E50=F50,"PASS","FAIL"))</x:f>
        <x:v>PASS</x:v>
      </x:c>
    </x:row>
    <x:row r="51">
      <x:c r="B51" s="9" t="str">
        <x:v>A045</x:v>
      </x:c>
      <x:c r="C51" s="9" t="str">
        <x:v>Release</x:v>
      </x:c>
      <x:c r="D51" s="9" t="str">
        <x:v>Gate 06 baseline</x:v>
      </x:c>
      <x:c r="E51" s="16" t="str">
        <x:f>'Release Gates'!G12</x:f>
        <x:v>PASS</x:v>
      </x:c>
      <x:c r="F51" s="16" t="str">
        <x:v>PASS</x:v>
      </x:c>
      <x:c r="G51" s="9" t="str">
        <x:f>IF(ISNUMBER(E51),IF(ABS(E51-F51)&lt;0.01,"PASS","FAIL"),IF(E51=F51,"PASS","FAIL"))</x:f>
        <x:v>PASS</x:v>
      </x:c>
    </x:row>
    <x:row r="52">
      <x:c r="B52" s="9" t="str">
        <x:v>A046</x:v>
      </x:c>
      <x:c r="C52" s="9" t="str">
        <x:v>Release</x:v>
      </x:c>
      <x:c r="D52" s="9" t="str">
        <x:v>Gate 07 baseline</x:v>
      </x:c>
      <x:c r="E52" s="16" t="str">
        <x:f>'Release Gates'!G13</x:f>
        <x:v>PASS</x:v>
      </x:c>
      <x:c r="F52" s="16" t="str">
        <x:v>PASS</x:v>
      </x:c>
      <x:c r="G52" s="9" t="str">
        <x:f>IF(ISNUMBER(E52),IF(ABS(E52-F52)&lt;0.01,"PASS","FAIL"),IF(E52=F52,"PASS","FAIL"))</x:f>
        <x:v>PASS</x:v>
      </x:c>
    </x:row>
    <x:row r="53">
      <x:c r="B53" s="9" t="str">
        <x:v>A047</x:v>
      </x:c>
      <x:c r="C53" s="9" t="str">
        <x:v>Release</x:v>
      </x:c>
      <x:c r="D53" s="9" t="str">
        <x:v>Gate 08 baseline</x:v>
      </x:c>
      <x:c r="E53" s="16" t="str">
        <x:f>'Release Gates'!G14</x:f>
        <x:v>PASS</x:v>
      </x:c>
      <x:c r="F53" s="16" t="str">
        <x:v>PASS</x:v>
      </x:c>
      <x:c r="G53" s="9" t="str">
        <x:f>IF(ISNUMBER(E53),IF(ABS(E53-F53)&lt;0.01,"PASS","FAIL"),IF(E53=F53,"PASS","FAIL"))</x:f>
        <x:v>PASS</x:v>
      </x:c>
    </x:row>
    <x:row r="54">
      <x:c r="B54" s="9" t="str">
        <x:v>A048</x:v>
      </x:c>
      <x:c r="C54" s="9" t="str">
        <x:v>Release</x:v>
      </x:c>
      <x:c r="D54" s="9" t="str">
        <x:v>Gate 09 baseline</x:v>
      </x:c>
      <x:c r="E54" s="16" t="str">
        <x:f>'Release Gates'!G15</x:f>
        <x:v>PASS</x:v>
      </x:c>
      <x:c r="F54" s="16" t="str">
        <x:v>PASS</x:v>
      </x:c>
      <x:c r="G54" s="9" t="str">
        <x:f>IF(ISNUMBER(E54),IF(ABS(E54-F54)&lt;0.01,"PASS","FAIL"),IF(E54=F54,"PASS","FAIL"))</x:f>
        <x:v>PASS</x:v>
      </x:c>
    </x:row>
    <x:row r="55">
      <x:c r="B55" s="9" t="str">
        <x:v>A049</x:v>
      </x:c>
      <x:c r="C55" s="9" t="str">
        <x:v>Release</x:v>
      </x:c>
      <x:c r="D55" s="9" t="str">
        <x:v>Gate 10 baseline</x:v>
      </x:c>
      <x:c r="E55" s="16" t="str">
        <x:f>'Release Gates'!G16</x:f>
        <x:v>PASS</x:v>
      </x:c>
      <x:c r="F55" s="16" t="str">
        <x:v>PASS</x:v>
      </x:c>
      <x:c r="G55" s="9" t="str">
        <x:f>IF(ISNUMBER(E55),IF(ABS(E55-F55)&lt;0.01,"PASS","FAIL"),IF(E55=F55,"PASS","FAIL"))</x:f>
        <x:v>PASS</x:v>
      </x:c>
    </x:row>
    <x:row r="56">
      <x:c r="B56" s="9" t="str">
        <x:v>A050</x:v>
      </x:c>
      <x:c r="C56" s="9" t="str">
        <x:v>Release</x:v>
      </x:c>
      <x:c r="D56" s="9" t="str">
        <x:v>Gate 11 baseline</x:v>
      </x:c>
      <x:c r="E56" s="16" t="str">
        <x:f>'Release Gates'!G17</x:f>
        <x:v>PASS</x:v>
      </x:c>
      <x:c r="F56" s="16" t="str">
        <x:v>PASS</x:v>
      </x:c>
      <x:c r="G56" s="9" t="str">
        <x:f>IF(ISNUMBER(E56),IF(ABS(E56-F56)&lt;0.01,"PASS","FAIL"),IF(E56=F56,"PASS","FAIL"))</x:f>
        <x:v>PASS</x:v>
      </x:c>
    </x:row>
    <x:row r="57">
      <x:c r="B57" s="9" t="str">
        <x:v>A051</x:v>
      </x:c>
      <x:c r="C57" s="9" t="str">
        <x:v>Release</x:v>
      </x:c>
      <x:c r="D57" s="9" t="str">
        <x:v>Gate 12 baseline</x:v>
      </x:c>
      <x:c r="E57" s="16" t="str">
        <x:f>'Release Gates'!G18</x:f>
        <x:v>PASS</x:v>
      </x:c>
      <x:c r="F57" s="16" t="str">
        <x:v>PASS</x:v>
      </x:c>
      <x:c r="G57" s="9" t="str">
        <x:f>IF(ISNUMBER(E57),IF(ABS(E57-F57)&lt;0.01,"PASS","FAIL"),IF(E57=F57,"PASS","FAIL"))</x:f>
        <x:v>PASS</x:v>
      </x:c>
    </x:row>
    <x:row r="58">
      <x:c r="B58" s="9" t="str">
        <x:v>A052</x:v>
      </x:c>
      <x:c r="C58" s="9" t="str">
        <x:v>Release</x:v>
      </x:c>
      <x:c r="D58" s="9" t="str">
        <x:v>Gate 13 baseline</x:v>
      </x:c>
      <x:c r="E58" s="16" t="str">
        <x:f>'Release Gates'!G19</x:f>
        <x:v>PASS</x:v>
      </x:c>
      <x:c r="F58" s="16" t="str">
        <x:v>PASS</x:v>
      </x:c>
      <x:c r="G58" s="9" t="str">
        <x:f>IF(ISNUMBER(E58),IF(ABS(E58-F58)&lt;0.01,"PASS","FAIL"),IF(E58=F58,"PASS","FAIL"))</x:f>
        <x:v>PASS</x:v>
      </x:c>
    </x:row>
    <x:row r="59">
      <x:c r="B59" s="9" t="str">
        <x:v>A053</x:v>
      </x:c>
      <x:c r="C59" s="9" t="str">
        <x:v>Release</x:v>
      </x:c>
      <x:c r="D59" s="9" t="str">
        <x:v>Gate 14 baseline</x:v>
      </x:c>
      <x:c r="E59" s="16" t="str">
        <x:f>'Release Gates'!G20</x:f>
        <x:v>PASS</x:v>
      </x:c>
      <x:c r="F59" s="16" t="str">
        <x:v>PASS</x:v>
      </x:c>
      <x:c r="G59" s="9" t="str">
        <x:f>IF(ISNUMBER(E59),IF(ABS(E59-F59)&lt;0.01,"PASS","FAIL"),IF(E59=F59,"PASS","FAIL"))</x:f>
        <x:v>PASS</x:v>
      </x:c>
    </x:row>
    <x:row r="60">
      <x:c r="B60" s="9" t="str">
        <x:v>A054</x:v>
      </x:c>
      <x:c r="C60" s="9" t="str">
        <x:v>Release</x:v>
      </x:c>
      <x:c r="D60" s="9" t="str">
        <x:v>Gate 15 baseline</x:v>
      </x:c>
      <x:c r="E60" s="16" t="str">
        <x:f>'Release Gates'!G21</x:f>
        <x:v>PASS</x:v>
      </x:c>
      <x:c r="F60" s="16" t="str">
        <x:v>PASS</x:v>
      </x:c>
      <x:c r="G60" s="9" t="str">
        <x:f>IF(ISNUMBER(E60),IF(ABS(E60-F60)&lt;0.01,"PASS","FAIL"),IF(E60=F60,"PASS","FAIL"))</x:f>
        <x:v>PASS</x:v>
      </x:c>
    </x:row>
    <x:row r="61">
      <x:c r="B61" s="9" t="str">
        <x:v>A055</x:v>
      </x:c>
      <x:c r="C61" s="9" t="str">
        <x:v>Release</x:v>
      </x:c>
      <x:c r="D61" s="9" t="str">
        <x:v>Gate 16 baseline</x:v>
      </x:c>
      <x:c r="E61" s="16" t="str">
        <x:f>'Release Gates'!G22</x:f>
        <x:v>PASS</x:v>
      </x:c>
      <x:c r="F61" s="16" t="str">
        <x:v>PASS</x:v>
      </x:c>
      <x:c r="G61" s="9" t="str">
        <x:f>IF(ISNUMBER(E61),IF(ABS(E61-F61)&lt;0.01,"PASS","FAIL"),IF(E61=F61,"PASS","FAIL"))</x:f>
        <x:v>PASS</x:v>
      </x:c>
    </x:row>
    <x:row r="62">
      <x:c r="B62" s="9" t="str">
        <x:v>A056</x:v>
      </x:c>
      <x:c r="C62" s="9" t="str">
        <x:v>Release</x:v>
      </x:c>
      <x:c r="D62" s="9" t="str">
        <x:v>Gate 17 baseline</x:v>
      </x:c>
      <x:c r="E62" s="16" t="str">
        <x:f>'Release Gates'!G23</x:f>
        <x:v>PASS</x:v>
      </x:c>
      <x:c r="F62" s="16" t="str">
        <x:v>PASS</x:v>
      </x:c>
      <x:c r="G62" s="9" t="str">
        <x:f>IF(ISNUMBER(E62),IF(ABS(E62-F62)&lt;0.01,"PASS","FAIL"),IF(E62=F62,"PASS","FAIL"))</x:f>
        <x:v>PASS</x:v>
      </x:c>
    </x:row>
    <x:row r="63">
      <x:c r="B63" s="9" t="str">
        <x:v>A057</x:v>
      </x:c>
      <x:c r="C63" s="9" t="str">
        <x:v>Release</x:v>
      </x:c>
      <x:c r="D63" s="9" t="str">
        <x:v>Gate 18 baseline</x:v>
      </x:c>
      <x:c r="E63" s="16" t="str">
        <x:f>'Release Gates'!G24</x:f>
        <x:v>PASS</x:v>
      </x:c>
      <x:c r="F63" s="16" t="str">
        <x:v>PASS</x:v>
      </x:c>
      <x:c r="G63" s="9" t="str">
        <x:f>IF(ISNUMBER(E63),IF(ABS(E63-F63)&lt;0.01,"PASS","FAIL"),IF(E63=F63,"PASS","FAIL"))</x:f>
        <x:v>PASS</x:v>
      </x:c>
    </x:row>
    <x:row r="64">
      <x:c r="B64" s="9" t="str">
        <x:v>A058</x:v>
      </x:c>
      <x:c r="C64" s="9" t="str">
        <x:v>Release</x:v>
      </x:c>
      <x:c r="D64" s="9" t="str">
        <x:v>Gate 19 baseline</x:v>
      </x:c>
      <x:c r="E64" s="16" t="str">
        <x:f>'Release Gates'!G25</x:f>
        <x:v>PASS</x:v>
      </x:c>
      <x:c r="F64" s="16" t="str">
        <x:v>PASS</x:v>
      </x:c>
      <x:c r="G64" s="9" t="str">
        <x:f>IF(ISNUMBER(E64),IF(ABS(E64-F64)&lt;0.01,"PASS","FAIL"),IF(E64=F64,"PASS","FAIL"))</x:f>
        <x:v>PASS</x:v>
      </x:c>
    </x:row>
    <x:row r="65">
      <x:c r="B65" s="9" t="str">
        <x:v>A059</x:v>
      </x:c>
      <x:c r="C65" s="9" t="str">
        <x:v>Release</x:v>
      </x:c>
      <x:c r="D65" s="9" t="str">
        <x:v>Gate 20 baseline</x:v>
      </x:c>
      <x:c r="E65" s="16" t="str">
        <x:f>'Release Gates'!G26</x:f>
        <x:v>PASS</x:v>
      </x:c>
      <x:c r="F65" s="16" t="str">
        <x:v>PASS</x:v>
      </x:c>
      <x:c r="G65" s="9" t="str">
        <x:f>IF(ISNUMBER(E65),IF(ABS(E65-F65)&lt;0.01,"PASS","FAIL"),IF(E65=F65,"PASS","FAIL"))</x:f>
        <x:v>PASS</x:v>
      </x:c>
    </x:row>
    <x:row r="66">
      <x:c r="B66" s="9" t="str">
        <x:v>A060</x:v>
      </x:c>
      <x:c r="C66" s="9" t="str">
        <x:v>Release</x:v>
      </x:c>
      <x:c r="D66" s="9" t="str">
        <x:v>Gate 21 baseline</x:v>
      </x:c>
      <x:c r="E66" s="16" t="str">
        <x:f>'Release Gates'!G27</x:f>
        <x:v>PASS</x:v>
      </x:c>
      <x:c r="F66" s="16" t="str">
        <x:v>PASS</x:v>
      </x:c>
      <x:c r="G66" s="9" t="str">
        <x:f>IF(ISNUMBER(E66),IF(ABS(E66-F66)&lt;0.01,"PASS","FAIL"),IF(E66=F66,"PASS","FAIL"))</x:f>
        <x:v>PASS</x:v>
      </x:c>
    </x:row>
    <x:row r="67">
      <x:c r="B67" s="9" t="str">
        <x:v>A061</x:v>
      </x:c>
      <x:c r="C67" s="9" t="str">
        <x:v>Release</x:v>
      </x:c>
      <x:c r="D67" s="9" t="str">
        <x:v>Gate 22 baseline</x:v>
      </x:c>
      <x:c r="E67" s="16" t="str">
        <x:f>'Release Gates'!G28</x:f>
        <x:v>PASS</x:v>
      </x:c>
      <x:c r="F67" s="16" t="str">
        <x:v>PASS</x:v>
      </x:c>
      <x:c r="G67" s="9" t="str">
        <x:f>IF(ISNUMBER(E67),IF(ABS(E67-F67)&lt;0.01,"PASS","FAIL"),IF(E67=F67,"PASS","FAIL"))</x:f>
        <x:v>PASS</x:v>
      </x:c>
    </x:row>
    <x:row r="68">
      <x:c r="B68" s="9" t="str">
        <x:v>A062</x:v>
      </x:c>
      <x:c r="C68" s="9" t="str">
        <x:v>Release</x:v>
      </x:c>
      <x:c r="D68" s="9" t="str">
        <x:v>Gate 23 baseline</x:v>
      </x:c>
      <x:c r="E68" s="16" t="str">
        <x:f>'Release Gates'!G29</x:f>
        <x:v>PASS</x:v>
      </x:c>
      <x:c r="F68" s="16" t="str">
        <x:v>PASS</x:v>
      </x:c>
      <x:c r="G68" s="9" t="str">
        <x:f>IF(ISNUMBER(E68),IF(ABS(E68-F68)&lt;0.01,"PASS","FAIL"),IF(E68=F68,"PASS","FAIL"))</x:f>
        <x:v>PASS</x:v>
      </x:c>
    </x:row>
    <x:row r="69">
      <x:c r="B69" s="9" t="str">
        <x:v>A063</x:v>
      </x:c>
      <x:c r="C69" s="9" t="str">
        <x:v>Release</x:v>
      </x:c>
      <x:c r="D69" s="9" t="str">
        <x:v>Gate 24 baseline</x:v>
      </x:c>
      <x:c r="E69" s="16" t="str">
        <x:f>'Release Gates'!G30</x:f>
        <x:v>PASS</x:v>
      </x:c>
      <x:c r="F69" s="16" t="str">
        <x:v>PASS</x:v>
      </x:c>
      <x:c r="G69" s="9" t="str">
        <x:f>IF(ISNUMBER(E69),IF(ABS(E69-F69)&lt;0.01,"PASS","FAIL"),IF(E69=F69,"PASS","FAIL"))</x:f>
        <x:v>PASS</x:v>
      </x:c>
    </x:row>
    <x:row r="70">
      <x:c r="B70" s="9" t="str">
        <x:v>A064</x:v>
      </x:c>
      <x:c r="C70" s="9" t="str">
        <x:v>Release</x:v>
      </x:c>
      <x:c r="D70" s="9" t="str">
        <x:v>Gate 25 baseline</x:v>
      </x:c>
      <x:c r="E70" s="16" t="str">
        <x:f>'Release Gates'!G31</x:f>
        <x:v>PASS</x:v>
      </x:c>
      <x:c r="F70" s="16" t="str">
        <x:v>PASS</x:v>
      </x:c>
      <x:c r="G70" s="9" t="str">
        <x:f>IF(ISNUMBER(E70),IF(ABS(E70-F70)&lt;0.01,"PASS","FAIL"),IF(E70=F70,"PASS","FAIL"))</x:f>
        <x:v>PASS</x:v>
      </x:c>
    </x:row>
    <x:row r="71">
      <x:c r="B71" s="9" t="str">
        <x:v>A065</x:v>
      </x:c>
      <x:c r="C71" s="9" t="str">
        <x:v>Release</x:v>
      </x:c>
      <x:c r="D71" s="9" t="str">
        <x:v>Gate 26 baseline</x:v>
      </x:c>
      <x:c r="E71" s="16" t="str">
        <x:f>'Release Gates'!G32</x:f>
        <x:v>PASS</x:v>
      </x:c>
      <x:c r="F71" s="16" t="str">
        <x:v>PASS</x:v>
      </x:c>
      <x:c r="G71" s="9" t="str">
        <x:f>IF(ISNUMBER(E71),IF(ABS(E71-F71)&lt;0.01,"PASS","FAIL"),IF(E71=F71,"PASS","FAIL"))</x:f>
        <x:v>PASS</x:v>
      </x:c>
    </x:row>
    <x:row r="72">
      <x:c r="B72" s="9" t="str">
        <x:v>A066</x:v>
      </x:c>
      <x:c r="C72" s="9" t="str">
        <x:v>Release</x:v>
      </x:c>
      <x:c r="D72" s="9" t="str">
        <x:v>Gate 27 baseline</x:v>
      </x:c>
      <x:c r="E72" s="16" t="str">
        <x:f>'Release Gates'!G33</x:f>
        <x:v>PASS</x:v>
      </x:c>
      <x:c r="F72" s="16" t="str">
        <x:v>PASS</x:v>
      </x:c>
      <x:c r="G72" s="9" t="str">
        <x:f>IF(ISNUMBER(E72),IF(ABS(E72-F72)&lt;0.01,"PASS","FAIL"),IF(E72=F72,"PASS","FAIL"))</x:f>
        <x:v>PASS</x:v>
      </x:c>
    </x:row>
    <x:row r="73">
      <x:c r="B73" s="9" t="str">
        <x:v>A067</x:v>
      </x:c>
      <x:c r="C73" s="9" t="str">
        <x:v>Release</x:v>
      </x:c>
      <x:c r="D73" s="9" t="str">
        <x:v>Gate 28 baseline</x:v>
      </x:c>
      <x:c r="E73" s="16" t="str">
        <x:f>'Release Gates'!G34</x:f>
        <x:v>PASS</x:v>
      </x:c>
      <x:c r="F73" s="16" t="str">
        <x:v>PASS</x:v>
      </x:c>
      <x:c r="G73" s="9" t="str">
        <x:f>IF(ISNUMBER(E73),IF(ABS(E73-F73)&lt;0.01,"PASS","FAIL"),IF(E73=F73,"PASS","FAIL"))</x:f>
        <x:v>PASS</x:v>
      </x:c>
    </x:row>
    <x:row r="74">
      <x:c r="B74" s="9" t="str">
        <x:v>A068</x:v>
      </x:c>
      <x:c r="C74" s="9" t="str">
        <x:v>Release</x:v>
      </x:c>
      <x:c r="D74" s="9" t="str">
        <x:v>Gate 29 baseline</x:v>
      </x:c>
      <x:c r="E74" s="16" t="str">
        <x:f>'Release Gates'!G35</x:f>
        <x:v>PASS</x:v>
      </x:c>
      <x:c r="F74" s="16" t="str">
        <x:v>PASS</x:v>
      </x:c>
      <x:c r="G74" s="9" t="str">
        <x:f>IF(ISNUMBER(E74),IF(ABS(E74-F74)&lt;0.01,"PASS","FAIL"),IF(E74=F74,"PASS","FAIL"))</x:f>
        <x:v>PASS</x:v>
      </x:c>
    </x:row>
    <x:row r="75">
      <x:c r="B75" s="9" t="str">
        <x:v>A069</x:v>
      </x:c>
      <x:c r="C75" s="9" t="str">
        <x:v>Release</x:v>
      </x:c>
      <x:c r="D75" s="9" t="str">
        <x:v>Gate 30 baseline</x:v>
      </x:c>
      <x:c r="E75" s="16" t="str">
        <x:f>'Release Gates'!G36</x:f>
        <x:v>PASS</x:v>
      </x:c>
      <x:c r="F75" s="16" t="str">
        <x:v>PASS</x:v>
      </x:c>
      <x:c r="G75" s="9" t="str">
        <x:f>IF(ISNUMBER(E75),IF(ABS(E75-F75)&lt;0.01,"PASS","FAIL"),IF(E75=F75,"PASS","FAIL"))</x:f>
        <x:v>PASS</x:v>
      </x:c>
    </x:row>
    <x:row r="76">
      <x:c r="B76" s="9" t="str">
        <x:v>A070</x:v>
      </x:c>
      <x:c r="C76" s="9" t="str">
        <x:v>Release</x:v>
      </x:c>
      <x:c r="D76" s="9" t="str">
        <x:v>Gate 31 baseline</x:v>
      </x:c>
      <x:c r="E76" s="16" t="str">
        <x:f>'Release Gates'!G37</x:f>
        <x:v>PASS</x:v>
      </x:c>
      <x:c r="F76" s="16" t="str">
        <x:v>PASS</x:v>
      </x:c>
      <x:c r="G76" s="9" t="str">
        <x:f>IF(ISNUMBER(E76),IF(ABS(E76-F76)&lt;0.01,"PASS","FAIL"),IF(E76=F76,"PASS","FAIL"))</x:f>
        <x:v>PASS</x:v>
      </x:c>
    </x:row>
    <x:row r="77">
      <x:c r="B77" s="9" t="str">
        <x:v>A071</x:v>
      </x:c>
      <x:c r="C77" s="9" t="str">
        <x:v>Release</x:v>
      </x:c>
      <x:c r="D77" s="9" t="str">
        <x:v>Gate 32 baseline</x:v>
      </x:c>
      <x:c r="E77" s="16" t="str">
        <x:f>'Release Gates'!G38</x:f>
        <x:v>PASS</x:v>
      </x:c>
      <x:c r="F77" s="16" t="str">
        <x:v>PASS</x:v>
      </x:c>
      <x:c r="G77" s="9" t="str">
        <x:f>IF(ISNUMBER(E77),IF(ABS(E77-F77)&lt;0.01,"PASS","FAIL"),IF(E77=F77,"PASS","FAIL"))</x:f>
        <x:v>PASS</x:v>
      </x:c>
    </x:row>
    <x:row r="78">
      <x:c r="B78" s="9" t="str">
        <x:v>A072</x:v>
      </x:c>
      <x:c r="C78" s="9" t="str">
        <x:v>Release</x:v>
      </x:c>
      <x:c r="D78" s="9" t="str">
        <x:v>Gate 33 baseline</x:v>
      </x:c>
      <x:c r="E78" s="16" t="str">
        <x:f>'Release Gates'!G39</x:f>
        <x:v>PASS</x:v>
      </x:c>
      <x:c r="F78" s="16" t="str">
        <x:v>PASS</x:v>
      </x:c>
      <x:c r="G78" s="9" t="str">
        <x:f>IF(ISNUMBER(E78),IF(ABS(E78-F78)&lt;0.01,"PASS","FAIL"),IF(E78=F78,"PASS","FAIL"))</x:f>
        <x:v>PASS</x:v>
      </x:c>
    </x:row>
    <x:row r="79">
      <x:c r="B79" s="9" t="str">
        <x:v>A073</x:v>
      </x:c>
      <x:c r="C79" s="9" t="str">
        <x:v>Release</x:v>
      </x:c>
      <x:c r="D79" s="9" t="str">
        <x:v>Gate 34 baseline</x:v>
      </x:c>
      <x:c r="E79" s="16" t="str">
        <x:f>'Release Gates'!G40</x:f>
        <x:v>PASS</x:v>
      </x:c>
      <x:c r="F79" s="16" t="str">
        <x:v>PASS</x:v>
      </x:c>
      <x:c r="G79" s="9" t="str">
        <x:f>IF(ISNUMBER(E79),IF(ABS(E79-F79)&lt;0.01,"PASS","FAIL"),IF(E79=F79,"PASS","FAIL"))</x:f>
        <x:v>PASS</x:v>
      </x:c>
    </x:row>
    <x:row r="80">
      <x:c r="B80" s="9" t="str">
        <x:v>A074</x:v>
      </x:c>
      <x:c r="C80" s="9" t="str">
        <x:v>Release</x:v>
      </x:c>
      <x:c r="D80" s="9" t="str">
        <x:v>Gate 35 baseline</x:v>
      </x:c>
      <x:c r="E80" s="16" t="str">
        <x:f>'Release Gates'!G41</x:f>
        <x:v>PASS</x:v>
      </x:c>
      <x:c r="F80" s="16" t="str">
        <x:v>PASS</x:v>
      </x:c>
      <x:c r="G80" s="9" t="str">
        <x:f>IF(ISNUMBER(E80),IF(ABS(E80-F80)&lt;0.01,"PASS","FAIL"),IF(E80=F80,"PASS","FAIL"))</x:f>
        <x:v>PASS</x:v>
      </x:c>
    </x:row>
    <x:row r="81">
      <x:c r="B81" s="9" t="str">
        <x:v>A075</x:v>
      </x:c>
      <x:c r="C81" s="9" t="str">
        <x:v>Release</x:v>
      </x:c>
      <x:c r="D81" s="9" t="str">
        <x:v>Gate 36 baseline</x:v>
      </x:c>
      <x:c r="E81" s="16" t="str">
        <x:f>'Release Gates'!G42</x:f>
        <x:v>PASS</x:v>
      </x:c>
      <x:c r="F81" s="16" t="str">
        <x:v>PASS</x:v>
      </x:c>
      <x:c r="G81" s="9" t="str">
        <x:f>IF(ISNUMBER(E81),IF(ABS(E81-F81)&lt;0.01,"PASS","FAIL"),IF(E81=F81,"PASS","FAIL"))</x:f>
        <x:v>PASS</x:v>
      </x:c>
    </x:row>
    <x:row r="82">
      <x:c r="B82" s="9" t="str">
        <x:v>A076</x:v>
      </x:c>
      <x:c r="C82" s="9" t="str">
        <x:v>Release</x:v>
      </x:c>
      <x:c r="D82" s="9" t="str">
        <x:v>Gate 37 baseline</x:v>
      </x:c>
      <x:c r="E82" s="16" t="str">
        <x:f>'Release Gates'!G43</x:f>
        <x:v>PASS</x:v>
      </x:c>
      <x:c r="F82" s="16" t="str">
        <x:v>PASS</x:v>
      </x:c>
      <x:c r="G82" s="9" t="str">
        <x:f>IF(ISNUMBER(E82),IF(ABS(E82-F82)&lt;0.01,"PASS","FAIL"),IF(E82=F82,"PASS","FAIL"))</x:f>
        <x:v>PASS</x:v>
      </x:c>
    </x:row>
    <x:row r="83">
      <x:c r="B83" s="9" t="str">
        <x:v>A077</x:v>
      </x:c>
      <x:c r="C83" s="9" t="str">
        <x:v>Release</x:v>
      </x:c>
      <x:c r="D83" s="9" t="str">
        <x:v>Gate 38 baseline</x:v>
      </x:c>
      <x:c r="E83" s="16" t="str">
        <x:f>'Release Gates'!G44</x:f>
        <x:v>PASS</x:v>
      </x:c>
      <x:c r="F83" s="16" t="str">
        <x:v>PASS</x:v>
      </x:c>
      <x:c r="G83" s="9" t="str">
        <x:f>IF(ISNUMBER(E83),IF(ABS(E83-F83)&lt;0.01,"PASS","FAIL"),IF(E83=F83,"PASS","FAIL"))</x:f>
        <x:v>PASS</x:v>
      </x:c>
    </x:row>
    <x:row r="84">
      <x:c r="B84" s="9" t="str">
        <x:v>A078</x:v>
      </x:c>
      <x:c r="C84" s="9" t="str">
        <x:v>Release</x:v>
      </x:c>
      <x:c r="D84" s="9" t="str">
        <x:v>Gate 39 baseline</x:v>
      </x:c>
      <x:c r="E84" s="16" t="str">
        <x:f>'Release Gates'!G45</x:f>
        <x:v>OPEN</x:v>
      </x:c>
      <x:c r="F84" s="16" t="str">
        <x:v>OPEN</x:v>
      </x:c>
      <x:c r="G84" s="9" t="str">
        <x:f>IF(ISNUMBER(E84),IF(ABS(E84-F84)&lt;0.01,"PASS","FAIL"),IF(E84=F84,"PASS","FAIL"))</x:f>
        <x:v>PASS</x:v>
      </x:c>
    </x:row>
    <x:row r="85">
      <x:c r="B85" s="9" t="str">
        <x:v>A079</x:v>
      </x:c>
      <x:c r="C85" s="9" t="str">
        <x:v>Release</x:v>
      </x:c>
      <x:c r="D85" s="9" t="str">
        <x:v>Gate 40 baseline</x:v>
      </x:c>
      <x:c r="E85" s="16" t="str">
        <x:f>'Release Gates'!G46</x:f>
        <x:v>OPEN</x:v>
      </x:c>
      <x:c r="F85" s="16" t="str">
        <x:v>OPEN</x:v>
      </x:c>
      <x:c r="G85" s="9" t="str">
        <x:f>IF(ISNUMBER(E85),IF(ABS(E85-F85)&lt;0.01,"PASS","FAIL"),IF(E85=F85,"PASS","FAIL"))</x:f>
        <x:v>PASS</x:v>
      </x:c>
    </x:row>
    <x:row r="86">
      <x:c r="B86" s="9" t="str">
        <x:v>A080</x:v>
      </x:c>
      <x:c r="C86" s="9" t="str">
        <x:v>Release</x:v>
      </x:c>
      <x:c r="D86" s="9" t="str">
        <x:v>Gate 41 baseline</x:v>
      </x:c>
      <x:c r="E86" s="16" t="str">
        <x:f>'Release Gates'!G47</x:f>
        <x:v>OPEN</x:v>
      </x:c>
      <x:c r="F86" s="16" t="str">
        <x:v>OPEN</x:v>
      </x:c>
      <x:c r="G86" s="9" t="str">
        <x:f>IF(ISNUMBER(E86),IF(ABS(E86-F86)&lt;0.01,"PASS","FAIL"),IF(E86=F86,"PASS","FAIL"))</x:f>
        <x:v>PASS</x:v>
      </x:c>
    </x:row>
    <x:row r="87">
      <x:c r="B87" s="9" t="str">
        <x:v>A081</x:v>
      </x:c>
      <x:c r="C87" s="9" t="str">
        <x:v>Release</x:v>
      </x:c>
      <x:c r="D87" s="9" t="str">
        <x:v>Gate 42 baseline</x:v>
      </x:c>
      <x:c r="E87" s="16" t="str">
        <x:f>'Release Gates'!G48</x:f>
        <x:v>OPEN</x:v>
      </x:c>
      <x:c r="F87" s="16" t="str">
        <x:v>OPEN</x:v>
      </x:c>
      <x:c r="G87" s="9" t="str">
        <x:f>IF(ISNUMBER(E87),IF(ABS(E87-F87)&lt;0.01,"PASS","FAIL"),IF(E87=F87,"PASS","FAIL"))</x:f>
        <x:v>PASS</x:v>
      </x:c>
    </x:row>
    <x:row r="88">
      <x:c r="B88" s="9" t="str">
        <x:v>A082</x:v>
      </x:c>
      <x:c r="C88" s="9" t="str">
        <x:v>Release</x:v>
      </x:c>
      <x:c r="D88" s="9" t="str">
        <x:v>Gate 43 baseline</x:v>
      </x:c>
      <x:c r="E88" s="16" t="str">
        <x:f>'Release Gates'!G49</x:f>
        <x:v>OPEN</x:v>
      </x:c>
      <x:c r="F88" s="16" t="str">
        <x:v>OPEN</x:v>
      </x:c>
      <x:c r="G88" s="9" t="str">
        <x:f>IF(ISNUMBER(E88),IF(ABS(E88-F88)&lt;0.01,"PASS","FAIL"),IF(E88=F88,"PASS","FAIL"))</x:f>
        <x:v>PASS</x:v>
      </x:c>
    </x:row>
    <x:row r="89">
      <x:c r="B89" s="9" t="str">
        <x:v>A083</x:v>
      </x:c>
      <x:c r="C89" s="9" t="str">
        <x:v>Release</x:v>
      </x:c>
      <x:c r="D89" s="9" t="str">
        <x:v>Gate 44 baseline</x:v>
      </x:c>
      <x:c r="E89" s="16" t="str">
        <x:f>'Release Gates'!G50</x:f>
        <x:v>OPEN</x:v>
      </x:c>
      <x:c r="F89" s="16" t="str">
        <x:v>OPEN</x:v>
      </x:c>
      <x:c r="G89" s="9" t="str">
        <x:f>IF(ISNUMBER(E89),IF(ABS(E89-F89)&lt;0.01,"PASS","FAIL"),IF(E89=F89,"PASS","FAIL"))</x:f>
        <x:v>PASS</x:v>
      </x:c>
    </x:row>
    <x:row r="90">
      <x:c r="B90" s="9" t="str">
        <x:v>A084</x:v>
      </x:c>
      <x:c r="C90" s="9" t="str">
        <x:v>Release</x:v>
      </x:c>
      <x:c r="D90" s="9" t="str">
        <x:v>Gate 45 baseline</x:v>
      </x:c>
      <x:c r="E90" s="16" t="str">
        <x:f>'Release Gates'!G51</x:f>
        <x:v>OPEN</x:v>
      </x:c>
      <x:c r="F90" s="16" t="str">
        <x:v>OPEN</x:v>
      </x:c>
      <x:c r="G90" s="9" t="str">
        <x:f>IF(ISNUMBER(E90),IF(ABS(E90-F90)&lt;0.01,"PASS","FAIL"),IF(E90=F90,"PASS","FAIL"))</x:f>
        <x:v>PASS</x:v>
      </x:c>
    </x:row>
    <x:row r="91">
      <x:c r="B91" s="9" t="str">
        <x:v>A085</x:v>
      </x:c>
      <x:c r="C91" s="9" t="str">
        <x:v>Release</x:v>
      </x:c>
      <x:c r="D91" s="9" t="str">
        <x:v>Gate 46 baseline</x:v>
      </x:c>
      <x:c r="E91" s="16" t="str">
        <x:f>'Release Gates'!G52</x:f>
        <x:v>OPEN</x:v>
      </x:c>
      <x:c r="F91" s="16" t="str">
        <x:v>OPEN</x:v>
      </x:c>
      <x:c r="G91" s="9" t="str">
        <x:f>IF(ISNUMBER(E91),IF(ABS(E91-F91)&lt;0.01,"PASS","FAIL"),IF(E91=F91,"PASS","FAIL"))</x:f>
        <x:v>PASS</x:v>
      </x:c>
    </x:row>
    <x:row r="92">
      <x:c r="B92" s="9" t="str">
        <x:v>A086</x:v>
      </x:c>
      <x:c r="C92" s="9" t="str">
        <x:v>Release</x:v>
      </x:c>
      <x:c r="D92" s="9" t="str">
        <x:v>Gate 47 baseline</x:v>
      </x:c>
      <x:c r="E92" s="16" t="str">
        <x:f>'Release Gates'!G53</x:f>
        <x:v>OPEN</x:v>
      </x:c>
      <x:c r="F92" s="16" t="str">
        <x:v>OPEN</x:v>
      </x:c>
      <x:c r="G92" s="9" t="str">
        <x:f>IF(ISNUMBER(E92),IF(ABS(E92-F92)&lt;0.01,"PASS","FAIL"),IF(E92=F92,"PASS","FAIL"))</x:f>
        <x:v>PASS</x:v>
      </x:c>
    </x:row>
    <x:row r="93">
      <x:c r="B93" s="9" t="str">
        <x:v>A087</x:v>
      </x:c>
      <x:c r="C93" s="9" t="str">
        <x:v>Release</x:v>
      </x:c>
      <x:c r="D93" s="9" t="str">
        <x:v>Gate 48 baseline</x:v>
      </x:c>
      <x:c r="E93" s="16" t="str">
        <x:f>'Release Gates'!G54</x:f>
        <x:v>OPEN</x:v>
      </x:c>
      <x:c r="F93" s="16" t="str">
        <x:v>OPEN</x:v>
      </x:c>
      <x:c r="G93" s="9" t="str">
        <x:f>IF(ISNUMBER(E93),IF(ABS(E93-F93)&lt;0.01,"PASS","FAIL"),IF(E93=F93,"PASS","FAIL"))</x:f>
        <x:v>PASS</x:v>
      </x:c>
    </x:row>
    <x:row r="94">
      <x:c r="B94" s="9" t="str">
        <x:v>A088</x:v>
      </x:c>
      <x:c r="C94" s="9" t="str">
        <x:v>Release</x:v>
      </x:c>
      <x:c r="D94" s="9" t="str">
        <x:v>Gate 49 baseline</x:v>
      </x:c>
      <x:c r="E94" s="16" t="str">
        <x:f>'Release Gates'!G55</x:f>
        <x:v>OPEN</x:v>
      </x:c>
      <x:c r="F94" s="16" t="str">
        <x:v>OPEN</x:v>
      </x:c>
      <x:c r="G94" s="9" t="str">
        <x:f>IF(ISNUMBER(E94),IF(ABS(E94-F94)&lt;0.01,"PASS","FAIL"),IF(E94=F94,"PASS","FAIL"))</x:f>
        <x:v>PASS</x:v>
      </x:c>
    </x:row>
    <x:row r="95">
      <x:c r="B95" s="9" t="str">
        <x:v>A089</x:v>
      </x:c>
      <x:c r="C95" s="9" t="str">
        <x:v>Release</x:v>
      </x:c>
      <x:c r="D95" s="9" t="str">
        <x:v>Gate 50 baseline</x:v>
      </x:c>
      <x:c r="E95" s="16" t="str">
        <x:f>'Release Gates'!G56</x:f>
        <x:v>OPEN</x:v>
      </x:c>
      <x:c r="F95" s="16" t="str">
        <x:v>OPEN</x:v>
      </x:c>
      <x:c r="G95" s="9" t="str">
        <x:f>IF(ISNUMBER(E95),IF(ABS(E95-F95)&lt;0.01,"PASS","FAIL"),IF(E95=F95,"PASS","FAIL"))</x:f>
        <x:v>PASS</x:v>
      </x:c>
    </x:row>
    <x:row r="96">
      <x:c r="B96" s="9" t="str">
        <x:v>A090</x:v>
      </x:c>
      <x:c r="C96" s="9" t="str">
        <x:v>Release</x:v>
      </x:c>
      <x:c r="D96" s="9" t="str">
        <x:v>Gate 51 baseline</x:v>
      </x:c>
      <x:c r="E96" s="16" t="str">
        <x:f>'Release Gates'!G57</x:f>
        <x:v>OPEN</x:v>
      </x:c>
      <x:c r="F96" s="16" t="str">
        <x:v>OPEN</x:v>
      </x:c>
      <x:c r="G96" s="9" t="str">
        <x:f>IF(ISNUMBER(E96),IF(ABS(E96-F96)&lt;0.01,"PASS","FAIL"),IF(E96=F96,"PASS","FAIL"))</x:f>
        <x:v>PASS</x:v>
      </x:c>
    </x:row>
    <x:row r="97">
      <x:c r="B97" s="9" t="str">
        <x:v>A091</x:v>
      </x:c>
      <x:c r="C97" s="9" t="str">
        <x:v>Release</x:v>
      </x:c>
      <x:c r="D97" s="9" t="str">
        <x:v>Gate 52 baseline</x:v>
      </x:c>
      <x:c r="E97" s="16" t="str">
        <x:f>'Release Gates'!G58</x:f>
        <x:v>OPEN</x:v>
      </x:c>
      <x:c r="F97" s="16" t="str">
        <x:v>OPEN</x:v>
      </x:c>
      <x:c r="G97" s="9" t="str">
        <x:f>IF(ISNUMBER(E97),IF(ABS(E97-F97)&lt;0.01,"PASS","FAIL"),IF(E97=F97,"PASS","FAIL"))</x:f>
        <x:v>PASS</x:v>
      </x:c>
    </x:row>
    <x:row r="98">
      <x:c r="B98" s="9" t="str">
        <x:v>A092</x:v>
      </x:c>
      <x:c r="C98" s="9" t="str">
        <x:v>Release</x:v>
      </x:c>
      <x:c r="D98" s="9" t="str">
        <x:v>Gate 53 baseline</x:v>
      </x:c>
      <x:c r="E98" s="16" t="str">
        <x:f>'Release Gates'!G59</x:f>
        <x:v>OPEN</x:v>
      </x:c>
      <x:c r="F98" s="16" t="str">
        <x:v>OPEN</x:v>
      </x:c>
      <x:c r="G98" s="9" t="str">
        <x:f>IF(ISNUMBER(E98),IF(ABS(E98-F98)&lt;0.01,"PASS","FAIL"),IF(E98=F98,"PASS","FAIL"))</x:f>
        <x:v>PASS</x:v>
      </x:c>
    </x:row>
    <x:row r="99">
      <x:c r="B99" s="9" t="str">
        <x:v>A093</x:v>
      </x:c>
      <x:c r="C99" s="9" t="str">
        <x:v>Release</x:v>
      </x:c>
      <x:c r="D99" s="9" t="str">
        <x:v>Gate 54 baseline</x:v>
      </x:c>
      <x:c r="E99" s="16" t="str">
        <x:f>'Release Gates'!G60</x:f>
        <x:v>OPEN</x:v>
      </x:c>
      <x:c r="F99" s="16" t="str">
        <x:v>OPEN</x:v>
      </x:c>
      <x:c r="G99" s="9" t="str">
        <x:f>IF(ISNUMBER(E99),IF(ABS(E99-F99)&lt;0.01,"PASS","FAIL"),IF(E99=F99,"PASS","FAIL"))</x:f>
        <x:v>PASS</x:v>
      </x:c>
    </x:row>
    <x:row r="100">
      <x:c r="B100" s="9" t="str">
        <x:v>A094</x:v>
      </x:c>
      <x:c r="C100" s="9" t="str">
        <x:v>Release</x:v>
      </x:c>
      <x:c r="D100" s="9" t="str">
        <x:v>Gate 55 baseline</x:v>
      </x:c>
      <x:c r="E100" s="16" t="str">
        <x:f>'Release Gates'!G61</x:f>
        <x:v>OPEN</x:v>
      </x:c>
      <x:c r="F100" s="16" t="str">
        <x:v>OPEN</x:v>
      </x:c>
      <x:c r="G100" s="9" t="str">
        <x:f>IF(ISNUMBER(E100),IF(ABS(E100-F100)&lt;0.01,"PASS","FAIL"),IF(E100=F100,"PASS","FAIL"))</x:f>
        <x:v>PASS</x:v>
      </x:c>
    </x:row>
    <x:row r="101">
      <x:c r="B101" s="10" t="str">
        <x:v>A095</x:v>
      </x:c>
      <x:c r="C101" s="10" t="str">
        <x:v>Release</x:v>
      </x:c>
      <x:c r="D101" s="10" t="str">
        <x:v>Gate 56 baseline</x:v>
      </x:c>
      <x:c r="E101" s="19" t="str">
        <x:f>'Release Gates'!G62</x:f>
        <x:v>OPEN</x:v>
      </x:c>
      <x:c r="F101" s="19" t="str">
        <x:v>OPEN</x:v>
      </x:c>
      <x:c r="G101" s="10" t="str">
        <x:f>IF(ISNUMBER(E101),IF(ABS(E101-F101)&lt;0.01,"PASS","FAIL"),IF(E101=F101,"PASS","FAIL"))</x:f>
        <x:v>PASS</x:v>
      </x:c>
    </x:row>
  </x:sheetData>
  <x:mergeCells>
    <x:mergeCell ref="B2:G2"/>
    <x:mergeCell ref="B3:G3"/>
  </x:mergeCells>
  <x:conditionalFormatting sqref="G7:G101">
    <x:cfRule type="containsText" dxfId="264" priority="1" operator="containsText" text="PASS"/>
    <x:cfRule type="containsText" dxfId="265" priority="2" operator="containsText" text="AUTHORIZED"/>
    <x:cfRule type="containsText" dxfId="266" priority="3" operator="containsText" text="DEFINED"/>
    <x:cfRule type="containsText" dxfId="267" priority="4" operator="containsText" text="READY"/>
    <x:cfRule type="containsText" dxfId="268" priority="5" operator="containsText" text="HOLD"/>
    <x:cfRule type="containsText" dxfId="269" priority="6" operator="containsText" text="OPEN"/>
    <x:cfRule type="containsText" dxfId="270" priority="7" operator="containsText" text="BLOCKED"/>
    <x:cfRule type="containsText" dxfId="271" priority="8" operator="containsText" text="PLANNING"/>
    <x:cfRule type="containsText" dxfId="272" priority="9" operator="containsText" text="FAIL"/>
    <x:cfRule type="containsText" dxfId="273" priority="10" operator="containsText" text="REJECT"/>
    <x:cfRule type="containsText" dxfId="274" priority="11" operator="containsText" text="INCOMPLETE"/>
    <x:cfRule type="containsText" dxfId="275" priority="12" operator="containsText" text="INDETERMINATE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5D6B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6" hidden="0" customWidth="1"/>
    <x:col min="3" max="3" width="1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2">
      <x:c r="B2" s="28" t="str">
        <x:v>Workbook method and use</x:v>
      </x:c>
      <x:c r="C2" s="8"/>
      <x:c r="D2" s="8"/>
      <x:c r="E2" s="8"/>
      <x:c r="F2" s="8"/>
      <x:c r="G2" s="8"/>
      <x:c r="H2" s="8"/>
    </x:row>
    <x:row r="3">
      <x:c r="B3" s="2" t="str">
        <x:v>BRD-1 planning instrument | research artifact, not procurement or operational authority</x:v>
      </x:c>
      <x:c r="C3" s="8"/>
      <x:c r="D3" s="8"/>
      <x:c r="E3" s="8"/>
      <x:c r="F3" s="8"/>
      <x:c r="G3" s="8"/>
      <x:c r="H3" s="8"/>
    </x:row>
    <x:row r="4">
      <x:c r="B4" s="29"/>
      <x:c r="C4" s="29"/>
      <x:c r="D4" s="29"/>
      <x:c r="E4" s="29"/>
      <x:c r="F4" s="29"/>
      <x:c r="G4" s="29"/>
      <x:c r="H4" s="29"/>
    </x:row>
    <x:row r="5">
      <x:c r="B5" s="8"/>
      <x:c r="C5" s="8"/>
      <x:c r="D5" s="8"/>
      <x:c r="E5" s="8"/>
      <x:c r="F5" s="8"/>
      <x:c r="G5" s="8"/>
      <x:c r="H5" s="8"/>
    </x:row>
    <x:row r="6">
      <x:c r="B6" s="7" t="str">
        <x:v>Topic</x:v>
      </x:c>
      <x:c r="C6" s="7" t="str">
        <x:v>Method</x:v>
      </x:c>
      <x:c r="D6" s="8"/>
      <x:c r="E6" s="8"/>
      <x:c r="F6" s="8"/>
      <x:c r="G6" s="8"/>
      <x:c r="H6" s="8"/>
    </x:row>
    <x:row r="7" ht="53" customHeight="1">
      <x:c r="B7" s="9" t="str">
        <x:v>Purpose</x:v>
      </x:c>
      <x:c r="C7" s="26" t="str">
        <x:v>Translate CISA-40 requirements into internal coordinates, sections, topology, records and release gates.</x:v>
      </x:c>
      <x:c r="D7" s="8"/>
      <x:c r="E7" s="8"/>
      <x:c r="F7" s="8"/>
      <x:c r="G7" s="8"/>
      <x:c r="H7" s="8"/>
    </x:row>
    <x:row r="8" ht="53" customHeight="1">
      <x:c r="B8" s="9" t="str">
        <x:v>Decisive geometry</x:v>
      </x:c>
      <x:c r="C8" s="26" t="str">
        <x:v>The required 5.0 m anchor line is a deployed state. Transport roots stay inside Y = ±1.6 m; deployed centers move to Y = ±2.5 m.</x:v>
      </x:c>
      <x:c r="D8" s="8"/>
      <x:c r="E8" s="8"/>
      <x:c r="F8" s="8"/>
      <x:c r="G8" s="8"/>
      <x:c r="H8" s="8"/>
    </x:row>
    <x:row r="9" ht="53" customHeight="1">
      <x:c r="B9" s="9" t="str">
        <x:v>Hydraulics</x:v>
      </x:c>
      <x:c r="C9" s="26" t="str">
        <x:v>Each 24 m path comprises a 12 m article section and a separately instrumented 12 m receiver return. The two paths total 48 m and 4.6181 m3.</x:v>
      </x:c>
      <x:c r="D9" s="8"/>
      <x:c r="E9" s="8"/>
      <x:c r="F9" s="8"/>
      <x:c r="G9" s="8"/>
      <x:c r="H9" s="8"/>
    </x:row>
    <x:row r="10" ht="53" customHeight="1">
      <x:c r="B10" s="9" t="str">
        <x:v>Root independence</x:v>
      </x:c>
      <x:c r="C10" s="26" t="str">
        <x:v>Root A and Root B use unlike structure, handling, collars, storage, protection, production methods and control ancestry.</x:v>
      </x:c>
      <x:c r="D10" s="8"/>
      <x:c r="E10" s="8"/>
      <x:c r="F10" s="8"/>
      <x:c r="G10" s="8"/>
      <x:c r="H10" s="8"/>
    </x:row>
    <x:row r="11" ht="53" customHeight="1">
      <x:c r="B11" s="9" t="str">
        <x:v>Mass properties</x:v>
      </x:c>
      <x:c r="C11" s="26" t="str">
        <x:v>Workbook CG values are calculations from component ledgers. They are not observations.</x:v>
      </x:c>
      <x:c r="D11" s="8"/>
      <x:c r="E11" s="8"/>
      <x:c r="F11" s="8"/>
      <x:c r="G11" s="8"/>
      <x:c r="H11" s="8"/>
    </x:row>
    <x:row r="12" ht="53" customHeight="1">
      <x:c r="B12" s="9" t="str">
        <x:v>Evidence</x:v>
      </x:c>
      <x:c r="C12" s="26" t="str">
        <x:v>Thirteen planes preserve article, receiver, fixture, electrical, hydraulic, sanitary, clock and recorder attribution.</x:v>
      </x:c>
      <x:c r="D12" s="8"/>
      <x:c r="E12" s="8"/>
      <x:c r="F12" s="8"/>
      <x:c r="G12" s="8"/>
      <x:c r="H12" s="8"/>
    </x:row>
    <x:row r="13" ht="53" customHeight="1">
      <x:c r="B13" s="9" t="str">
        <x:v>Package</x:v>
      </x:c>
      <x:c r="C13" s="26" t="str">
        <x:v>Forty-eight sheets, fifty-two build-record schemas, twenty-four independent checks and eighteen hazard boundaries define planning completeness.</x:v>
      </x:c>
      <x:c r="D13" s="8"/>
      <x:c r="E13" s="8"/>
      <x:c r="F13" s="8"/>
      <x:c r="G13" s="8"/>
      <x:c r="H13" s="8"/>
    </x:row>
    <x:row r="14" ht="53" customHeight="1">
      <x:c r="B14" s="9" t="str">
        <x:v>Finance</x:v>
      </x:c>
      <x:c r="C14" s="26" t="str">
        <x:v>USD 0.318B capital and USD 0.084B/year are nested research allocations inside CISA-1, not appropriations or forecasts.</x:v>
      </x:c>
      <x:c r="D14" s="8"/>
      <x:c r="E14" s="8"/>
      <x:c r="F14" s="8"/>
      <x:c r="G14" s="8"/>
      <x:c r="H14" s="8"/>
    </x:row>
    <x:row r="15" ht="53" customHeight="1">
      <x:c r="B15" s="9" t="str">
        <x:v>Release</x:v>
      </x:c>
      <x:c r="C15" s="26" t="str">
        <x:v>Thirty-eight planning gates may pass. Eighteen source-evidence gates remain open; production and exterior rendering are separately blocked.</x:v>
      </x:c>
      <x:c r="D15" s="8"/>
      <x:c r="E15" s="8"/>
      <x:c r="F15" s="8"/>
      <x:c r="G15" s="8"/>
      <x:c r="H15" s="8"/>
    </x:row>
    <x:row r="16" ht="53" customHeight="1">
      <x:c r="B16" s="9" t="str">
        <x:v>Audit</x:v>
      </x:c>
      <x:c r="C16" s="26" t="str">
        <x:v>Audit is terminal and independent. No source, calculation, drawing, summary or release formula depends on it.</x:v>
      </x:c>
      <x:c r="D16" s="8"/>
      <x:c r="E16" s="8"/>
      <x:c r="F16" s="8"/>
      <x:c r="G16" s="8"/>
      <x:c r="H16" s="8"/>
    </x:row>
    <x:row r="17" ht="53" customHeight="1">
      <x:c r="B17" s="10" t="str">
        <x:v>Next pass</x:v>
      </x:c>
      <x:c r="C17" s="27" t="str">
        <x:v>Assign member, joint, seal, valve, conductor, storage, thermal, material, coupon and tolerance-stack definitions. Do not create exterior art.</x:v>
      </x:c>
      <x:c r="D17" s="8"/>
      <x:c r="E17" s="8"/>
      <x:c r="F17" s="8"/>
      <x:c r="G17" s="8"/>
      <x:c r="H17" s="8"/>
    </x:row>
  </x:sheetData>
  <x:mergeCells>
    <x:mergeCell ref="B2:H2"/>
    <x:mergeCell ref="B3:H3"/>
  </x:mergeCells>
  <x:pageMargins left="0.7" right="0.7" top="0.75" bottom="0.75" header="0.3" footer="0.3"/>
</x:worksheet>
</file>