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df41cb0fac4e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7eb7e4f6dc84094"/>
    <x:sheet xmlns:r="http://schemas.openxmlformats.org/officeDocument/2006/relationships" name="Controls" sheetId="2" r:id="R7692daf857c64dbe"/>
    <x:sheet xmlns:r="http://schemas.openxmlformats.org/officeDocument/2006/relationships" name="Mass and Energy" sheetId="3" r:id="Recf8d9b7bf0f4350"/>
    <x:sheet xmlns:r="http://schemas.openxmlformats.org/officeDocument/2006/relationships" name="Root Sections" sheetId="4" r:id="R7cd1a3bf1bdf4dc0"/>
    <x:sheet xmlns:r="http://schemas.openxmlformats.org/officeDocument/2006/relationships" name="Structural Checks" sheetId="5" r:id="Rc049746bcc264d7d"/>
    <x:sheet xmlns:r="http://schemas.openxmlformats.org/officeDocument/2006/relationships" name="Hydraulic and Collars" sheetId="6" r:id="R156b73da875c448d"/>
    <x:sheet xmlns:r="http://schemas.openxmlformats.org/officeDocument/2006/relationships" name="Electrical and Protection" sheetId="7" r:id="Rd9886dbcfd6e4bc4"/>
    <x:sheet xmlns:r="http://schemas.openxmlformats.org/officeDocument/2006/relationships" name="Thermal and Fuel" sheetId="8" r:id="R204af30db2204162"/>
    <x:sheet xmlns:r="http://schemas.openxmlformats.org/officeDocument/2006/relationships" name="Tolerance Stacks" sheetId="9" r:id="Ra14ccc58e453474e"/>
    <x:sheet xmlns:r="http://schemas.openxmlformats.org/officeDocument/2006/relationships" name="Materials and Joints" sheetId="10" r:id="Ra23ce6dba67f49ef"/>
    <x:sheet xmlns:r="http://schemas.openxmlformats.org/officeDocument/2006/relationships" name="Process Evidence" sheetId="11" r:id="R103004c46a38408f"/>
    <x:sheet xmlns:r="http://schemas.openxmlformats.org/officeDocument/2006/relationships" name="Measurement Witnesses" sheetId="12" r:id="Rfed567f5178d4335"/>
    <x:sheet xmlns:r="http://schemas.openxmlformats.org/officeDocument/2006/relationships" name="Schedule" sheetId="13" r:id="Rcfdbb5b9fba04e01"/>
    <x:sheet xmlns:r="http://schemas.openxmlformats.org/officeDocument/2006/relationships" name="Capital Draw" sheetId="14" r:id="R4794ee5148fd4fbf"/>
    <x:sheet xmlns:r="http://schemas.openxmlformats.org/officeDocument/2006/relationships" name="Annual Draw" sheetId="15" r:id="R36e241379a1e4b85"/>
    <x:sheet xmlns:r="http://schemas.openxmlformats.org/officeDocument/2006/relationships" name="Release Gates" sheetId="16" r:id="Ra1641b4f08104909"/>
    <x:sheet xmlns:r="http://schemas.openxmlformats.org/officeDocument/2006/relationships" name="Audit" sheetId="17" r:id="R055b18f254ed4483"/>
    <x:sheet xmlns:r="http://schemas.openxmlformats.org/officeDocument/2006/relationships" name="ReadMe" sheetId="18" r:id="Re986f62c649d4e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7">
    <x:font>
      <x:sz val="11"/>
      <x:name val="Carlito"/>
    </x:font>
    <x:font>
      <x:b/>
      <x:sz val="15"/>
      <x:color rgb="FF17324D"/>
      <x:name val="Arial"/>
    </x:font>
    <x:font>
      <x:i/>
      <x:sz val="10"/>
      <x:color rgb="FF5D6B78"/>
      <x:name val="Arial"/>
    </x:font>
    <x:font>
      <x:b/>
      <x:sz val="10"/>
      <x:color rgb="FFFFFFFF"/>
      <x:name val="Arial"/>
    </x:font>
    <x:font>
      <x:sz val="10"/>
      <x:name val="Arial"/>
    </x:font>
    <x:font>
      <x:sz val="10"/>
      <x:color rgb="FF0070C0"/>
      <x:name val="Arial"/>
    </x:font>
    <x:font>
      <x:b/>
      <x:sz val="10"/>
      <x:color rgb="FF273444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AF5"/>
      </x:patternFill>
    </x:fill>
  </x:fills>
  <x:borders count="3">
    <x:border/>
    <x:border>
      <x:bottom style="thin">
        <x:color rgb="FF17324D"/>
      </x:bottom>
    </x:border>
    <x:border>
      <x:bottom style="thin">
        <x:color rgb="FFC8D3DD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6" fillId="3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horizontal="center" vertical="center"/>
    </x:xf>
    <x:xf numFmtId="200" fontId="4" fillId="0" borderId="2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6" fillId="3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64"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0cd024f1d14e06" /><Relationship Type="http://schemas.openxmlformats.org/officeDocument/2006/relationships/theme" Target="/xl/theme/theme1.xml" Id="R2d48615c79f247f4" /><Relationship Type="http://schemas.openxmlformats.org/officeDocument/2006/relationships/sharedStrings" Target="/xl/sharedStrings.xml" Id="Re953924a6a2541f2" /><Relationship Type="http://schemas.openxmlformats.org/officeDocument/2006/relationships/worksheet" Target="/xl/worksheets/sheet1.xml" Id="Rc7eb7e4f6dc84094" /><Relationship Type="http://schemas.openxmlformats.org/officeDocument/2006/relationships/worksheet" Target="/xl/worksheets/sheet2.xml" Id="R7692daf857c64dbe" /><Relationship Type="http://schemas.openxmlformats.org/officeDocument/2006/relationships/worksheet" Target="/xl/worksheets/sheet3.xml" Id="Recf8d9b7bf0f4350" /><Relationship Type="http://schemas.openxmlformats.org/officeDocument/2006/relationships/worksheet" Target="/xl/worksheets/sheet4.xml" Id="R7cd1a3bf1bdf4dc0" /><Relationship Type="http://schemas.openxmlformats.org/officeDocument/2006/relationships/worksheet" Target="/xl/worksheets/sheet5.xml" Id="Rc049746bcc264d7d" /><Relationship Type="http://schemas.openxmlformats.org/officeDocument/2006/relationships/worksheet" Target="/xl/worksheets/sheet6.xml" Id="R156b73da875c448d" /><Relationship Type="http://schemas.openxmlformats.org/officeDocument/2006/relationships/worksheet" Target="/xl/worksheets/sheet7.xml" Id="Rd9886dbcfd6e4bc4" /><Relationship Type="http://schemas.openxmlformats.org/officeDocument/2006/relationships/worksheet" Target="/xl/worksheets/sheet8.xml" Id="R204af30db2204162" /><Relationship Type="http://schemas.openxmlformats.org/officeDocument/2006/relationships/worksheet" Target="/xl/worksheets/sheet9.xml" Id="Ra14ccc58e453474e" /><Relationship Type="http://schemas.openxmlformats.org/officeDocument/2006/relationships/worksheet" Target="/xl/worksheets/sheet10.xml" Id="Ra23ce6dba67f49ef" /><Relationship Type="http://schemas.openxmlformats.org/officeDocument/2006/relationships/worksheet" Target="/xl/worksheets/sheet11.xml" Id="R103004c46a38408f" /><Relationship Type="http://schemas.openxmlformats.org/officeDocument/2006/relationships/worksheet" Target="/xl/worksheets/sheet12.xml" Id="Rfed567f5178d4335" /><Relationship Type="http://schemas.openxmlformats.org/officeDocument/2006/relationships/worksheet" Target="/xl/worksheets/sheet13.xml" Id="Rcfdbb5b9fba04e01" /><Relationship Type="http://schemas.openxmlformats.org/officeDocument/2006/relationships/worksheet" Target="/xl/worksheets/sheet14.xml" Id="R4794ee5148fd4fbf" /><Relationship Type="http://schemas.openxmlformats.org/officeDocument/2006/relationships/worksheet" Target="/xl/worksheets/sheet15.xml" Id="R36e241379a1e4b85" /><Relationship Type="http://schemas.openxmlformats.org/officeDocument/2006/relationships/worksheet" Target="/xl/worksheets/sheet16.xml" Id="Ra1641b4f08104909" /><Relationship Type="http://schemas.openxmlformats.org/officeDocument/2006/relationships/worksheet" Target="/xl/worksheets/sheet17.xml" Id="R055b18f254ed4483" /><Relationship Type="http://schemas.openxmlformats.org/officeDocument/2006/relationships/worksheet" Target="/xl/worksheets/sheet18.xml" Id="Re986f62c649d4e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2" max="2" width="42" hidden="0" customWidth="1"/>
    <x:col min="3" max="3" width="4" hidden="0" customWidth="1"/>
    <x:col min="4" max="4" width="22" hidden="0" customWidth="1"/>
    <x:col min="5" max="5" width="18" hidden="0" customWidth="1"/>
    <x:col min="6" max="6" width="12" hidden="0" customWidth="1"/>
    <x:col min="7" max="7" width="12" hidden="0" customWidth="1"/>
    <x:col min="8" max="8" width="12" hidden="0" customWidth="1"/>
  </x:cols>
  <x:sheetData>
    <x:row r="2">
      <x:c r="B2" s="1" t="str">
        <x:v>BPT-1 | CISA-40 root build package and tolerance stack</x:v>
      </x:c>
    </x:row>
    <x:row r="3">
      <x:c r="B3" s="2" t="str">
        <x:v>Manufacturing-level hypotheses and evidence gates—not a qualified article or exterior vehicle design.</x:v>
      </x:c>
    </x:row>
    <x:row r="4">
      <x:c r="B4" s="3"/>
      <x:c r="C4" s="3"/>
      <x:c r="D4" s="3"/>
      <x:c r="E4" s="3"/>
      <x:c r="F4" s="3"/>
      <x:c r="G4" s="3"/>
      <x:c r="H4" s="3"/>
    </x:row>
    <x:row r="6">
      <x:c r="B6" s="14" t="str">
        <x:v>Current authority</x:v>
      </x:c>
      <x:c r="C6" s="14" t="str">
        <x:v>Current authority</x:v>
      </x:c>
      <x:c r="D6" s="14" t="str">
        <x:v>Current authority</x:v>
      </x:c>
      <x:c r="E6" s="14" t="str">
        <x:v>Current authority</x:v>
      </x:c>
      <x:c r="F6" s="14" t="str">
        <x:v>Current authority</x:v>
      </x:c>
      <x:c r="G6" s="14" t="str">
        <x:v>Current authority</x:v>
      </x:c>
      <x:c r="H6" s="14" t="str">
        <x:v>Current authority</x:v>
      </x:c>
    </x:row>
    <x:row r="7">
      <x:c r="B7" s="9" t="str">
        <x:v>Build-package planning</x:v>
      </x:c>
      <x:c r="C7" s="9"/>
      <x:c r="D7" s="9" t="str">
        <x:f>IF(COUNTIFS('Release Gates'!G7:G50,"PASS")='Controls'!$D$63,"AUTHORIZED","HOLD")</x:f>
        <x:v>AUTHORIZED</x:v>
      </x:c>
    </x:row>
    <x:row r="8">
      <x:c r="B8" s="9" t="str">
        <x:v>Physical build release</x:v>
      </x:c>
      <x:c r="C8" s="9"/>
      <x:c r="D8" s="9" t="str">
        <x:f>IF(COUNTIFS('Release Gates'!G51:G68,"PASS")=18,"AUTHORIZED","HOLD")</x:f>
        <x:v>HOLD</x:v>
      </x:c>
    </x:row>
    <x:row r="9">
      <x:c r="B9" s="9" t="str">
        <x:v>Article acceptance</x:v>
      </x:c>
      <x:c r="C9" s="9"/>
      <x:c r="D9" s="9" t="str">
        <x:f>'Release Gates'!H69</x:f>
        <x:v>BLOCKED</x:v>
      </x:c>
    </x:row>
    <x:row r="10">
      <x:c r="B10" s="9" t="str">
        <x:v>Production authority</x:v>
      </x:c>
      <x:c r="C10" s="9"/>
      <x:c r="D10" s="9" t="str">
        <x:f>'Release Gates'!H71</x:f>
        <x:v>BLOCKED</x:v>
      </x:c>
    </x:row>
    <x:row r="11">
      <x:c r="B11" s="10" t="str">
        <x:v>Exterior rendering authority</x:v>
      </x:c>
      <x:c r="C11" s="10"/>
      <x:c r="D11" s="10" t="str">
        <x:f>'Release Gates'!H72</x:f>
        <x:v>BLOCKED</x:v>
      </x:c>
    </x:row>
    <x:row r="14">
      <x:c r="B14" s="14" t="str">
        <x:v>Corrected physical closure</x:v>
      </x:c>
      <x:c r="C14" s="14" t="str">
        <x:v>Corrected physical closure</x:v>
      </x:c>
      <x:c r="D14" s="14" t="str">
        <x:v>Corrected physical closure</x:v>
      </x:c>
      <x:c r="E14" s="14" t="str">
        <x:v>Corrected physical closure</x:v>
      </x:c>
      <x:c r="F14" s="14" t="str">
        <x:v>Corrected physical closure</x:v>
      </x:c>
      <x:c r="G14" s="14" t="str">
        <x:v>Corrected physical closure</x:v>
      </x:c>
      <x:c r="H14" s="14" t="str">
        <x:v>Corrected physical closure</x:v>
      </x:c>
    </x:row>
    <x:row r="15">
      <x:c r="B15" s="9" t="str">
        <x:v>Root A physical dry mass</x:v>
      </x:c>
      <x:c r="C15" s="9"/>
      <x:c r="D15" s="16" t="n">
        <x:f>'Mass and Energy'!C34</x:f>
        <x:v>30.9</x:v>
      </x:c>
      <x:c r="E15" s="9" t="str">
        <x:v>t</x:v>
      </x:c>
    </x:row>
    <x:row r="16">
      <x:c r="B16" s="9" t="str">
        <x:v>Root B physical dry mass</x:v>
      </x:c>
      <x:c r="C16" s="9"/>
      <x:c r="D16" s="16" t="n">
        <x:f>'Mass and Energy'!C35</x:f>
        <x:v>30.9</x:v>
      </x:c>
      <x:c r="E16" s="9" t="str">
        <x:v>t</x:v>
      </x:c>
    </x:row>
    <x:row r="17">
      <x:c r="B17" s="9" t="str">
        <x:v>Manufactured-mass allowance</x:v>
      </x:c>
      <x:c r="C17" s="9"/>
      <x:c r="D17" s="16" t="n">
        <x:f>'Controls'!$D$9</x:f>
        <x:v>1.1</x:v>
      </x:c>
      <x:c r="E17" s="9" t="str">
        <x:v>t/root</x:v>
      </x:c>
    </x:row>
    <x:row r="18">
      <x:c r="B18" s="9" t="str">
        <x:v>Root A worst uncertainty</x:v>
      </x:c>
      <x:c r="C18" s="9"/>
      <x:c r="D18" s="16" t="n">
        <x:f>'Mass and Energy'!G34</x:f>
        <x:v>0.8000000000000002</x:v>
      </x:c>
      <x:c r="E18" s="9" t="str">
        <x:v>t</x:v>
      </x:c>
    </x:row>
    <x:row r="19">
      <x:c r="B19" s="9" t="str">
        <x:v>Root B worst uncertainty</x:v>
      </x:c>
      <x:c r="C19" s="9"/>
      <x:c r="D19" s="16" t="n">
        <x:f>'Mass and Energy'!G35</x:f>
        <x:v>0.8600000000000002</x:v>
      </x:c>
      <x:c r="E19" s="9" t="str">
        <x:v>t</x:v>
      </x:c>
    </x:row>
    <x:row r="20">
      <x:c r="B20" s="9" t="str">
        <x:v>Root A electric endurance</x:v>
      </x:c>
      <x:c r="C20" s="9"/>
      <x:c r="D20" s="16" t="n">
        <x:f>'Mass and Energy'!H47</x:f>
        <x:v>9.890186666666667</x:v>
      </x:c>
      <x:c r="E20" s="9" t="str">
        <x:v>h</x:v>
      </x:c>
    </x:row>
    <x:row r="21">
      <x:c r="B21" s="9" t="str">
        <x:v>Root B electric endurance</x:v>
      </x:c>
      <x:c r="C21" s="9"/>
      <x:c r="D21" s="16" t="n">
        <x:f>'Mass and Energy'!H48</x:f>
        <x:v>10.057439999999998</x:v>
      </x:c>
      <x:c r="E21" s="9" t="str">
        <x:v>h</x:v>
      </x:c>
    </x:row>
    <x:row r="22">
      <x:c r="B22" s="9" t="str">
        <x:v>Root A predicted deflection</x:v>
      </x:c>
      <x:c r="C22" s="9"/>
      <x:c r="D22" s="16" t="n">
        <x:f>'Structural Checks'!E11</x:f>
        <x:v>1.1619771653136082</x:v>
      </x:c>
      <x:c r="E22" s="9" t="str">
        <x:v>mm</x:v>
      </x:c>
    </x:row>
    <x:row r="23">
      <x:c r="B23" s="9" t="str">
        <x:v>Root B predicted deflection</x:v>
      </x:c>
      <x:c r="C23" s="9"/>
      <x:c r="D23" s="16" t="n">
        <x:f>'Structural Checks'!E14</x:f>
        <x:v>1.5331643153443437</x:v>
      </x:c>
      <x:c r="E23" s="9" t="str">
        <x:v>mm</x:v>
      </x:c>
    </x:row>
    <x:row r="24">
      <x:c r="B24" s="9" t="str">
        <x:v>Tolerance chains</x:v>
      </x:c>
      <x:c r="C24" s="9"/>
      <x:c r="D24" s="16" t="n">
        <x:f>COUNTA('Tolerance Stacks'!C7:C38)</x:f>
        <x:v>32</x:v>
      </x:c>
      <x:c r="E24" s="9" t="str">
        <x:v>chains</x:v>
      </x:c>
    </x:row>
    <x:row r="25">
      <x:c r="B25" s="10" t="str">
        <x:v>Coupon / NDE / witness total</x:v>
      </x:c>
      <x:c r="C25" s="10"/>
      <x:c r="D25" s="19" t="n">
        <x:f>'Process Evidence'!C27+'Process Evidence'!C28+'Process Evidence'!C29</x:f>
        <x:v>184</x:v>
      </x:c>
      <x:c r="E25" s="10" t="str">
        <x:v>objects</x:v>
      </x:c>
    </x:row>
    <x:row r="26">
      <x:c r="D26" s="20"/>
    </x:row>
    <x:row r="27">
      <x:c r="D27" s="20"/>
    </x:row>
    <x:row r="28">
      <x:c r="D28" s="20"/>
    </x:row>
    <x:row r="29">
      <x:c r="B29" s="14" t="str">
        <x:v>Program boundary</x:v>
      </x:c>
      <x:c r="C29" s="14" t="str">
        <x:v>Program boundary</x:v>
      </x:c>
      <x:c r="D29" s="23" t="str">
        <x:v>Program boundary</x:v>
      </x:c>
      <x:c r="E29" s="14" t="str">
        <x:v>Program boundary</x:v>
      </x:c>
      <x:c r="F29" s="14" t="str">
        <x:v>Program boundary</x:v>
      </x:c>
      <x:c r="G29" s="14" t="str">
        <x:v>Program boundary</x:v>
      </x:c>
      <x:c r="H29" s="14" t="str">
        <x:v>Program boundary</x:v>
      </x:c>
    </x:row>
    <x:row r="30">
      <x:c r="B30" s="9" t="str">
        <x:v>Capital draw</x:v>
      </x:c>
      <x:c r="C30" s="9"/>
      <x:c r="D30" s="16" t="n">
        <x:f>'Capital Draw'!C20</x:f>
        <x:v>0.212</x:v>
      </x:c>
      <x:c r="E30" s="9" t="str">
        <x:v>USD B</x:v>
      </x:c>
    </x:row>
    <x:row r="31">
      <x:c r="B31" s="9" t="str">
        <x:v>Annual draw</x:v>
      </x:c>
      <x:c r="C31" s="9"/>
      <x:c r="D31" s="16" t="n">
        <x:f>'Annual Draw'!C20</x:f>
        <x:v>0.061</x:v>
      </x:c>
      <x:c r="E31" s="9" t="str">
        <x:v>USD B/year</x:v>
      </x:c>
    </x:row>
    <x:row r="32">
      <x:c r="B32" s="9" t="str">
        <x:v>14-month operating</x:v>
      </x:c>
      <x:c r="C32" s="9"/>
      <x:c r="D32" s="16" t="n">
        <x:f>'Annual Draw'!C24</x:f>
        <x:v>0.07116666666666667</x:v>
      </x:c>
      <x:c r="E32" s="9" t="str">
        <x:v>USD B</x:v>
      </x:c>
    </x:row>
    <x:row r="33">
      <x:c r="B33" s="9" t="str">
        <x:v>Program workforce</x:v>
      </x:c>
      <x:c r="C33" s="9"/>
      <x:c r="D33" s="16" t="n">
        <x:f>Schedule!C24</x:f>
        <x:v>164</x:v>
      </x:c>
      <x:c r="E33" s="9" t="str">
        <x:v>people</x:v>
      </x:c>
    </x:row>
    <x:row r="34">
      <x:c r="B34" s="10" t="str">
        <x:v>Physical gates passed</x:v>
      </x:c>
      <x:c r="C34" s="10"/>
      <x:c r="D34" s="19" t="n">
        <x:f>COUNTIFS('Release Gates'!G51:G72,"PASS")</x:f>
        <x:v>0</x:v>
      </x:c>
      <x:c r="E34" s="10" t="str">
        <x:v>count</x:v>
      </x:c>
    </x:row>
    <x:row r="38">
      <x:c r="B38" s="14" t="str">
        <x:v>Interpretation</x:v>
      </x:c>
      <x:c r="C38" s="14" t="str">
        <x:v>Interpretation</x:v>
      </x:c>
      <x:c r="D38" s="14" t="str">
        <x:v>Interpretation</x:v>
      </x:c>
      <x:c r="E38" s="14" t="str">
        <x:v>Interpretation</x:v>
      </x:c>
      <x:c r="F38" s="14" t="str">
        <x:v>Interpretation</x:v>
      </x:c>
      <x:c r="G38" s="14" t="str">
        <x:v>Interpretation</x:v>
      </x:c>
      <x:c r="H38" s="14" t="str">
        <x:v>Interpretation</x:v>
      </x:c>
    </x:row>
    <x:row r="39">
      <x:c r="B39" s="22" t="str">
        <x:v>BPT-1 corrects the predecessor's mass and energy states, assigns unlike root sections and mechanisms, and makes manufacturing uncertainty visible through thirty-two functional tolerance chains. Planning may close because the formulas reconcile. Physical release remains held because every coupon, NDE, witness, as-built, subarticle and independent-reproduction control is zero. Production and exterior rendering remain blocked.</x:v>
      </x:c>
      <x:c r="C39" s="22"/>
      <x:c r="D39" s="22"/>
      <x:c r="E39" s="22"/>
      <x:c r="F39" s="22"/>
      <x:c r="G39" s="22"/>
      <x:c r="H39" s="22"/>
    </x:row>
    <x:row r="40">
      <x:c r="B40" s="22"/>
      <x:c r="C40" s="22"/>
      <x:c r="D40" s="22"/>
      <x:c r="E40" s="22"/>
      <x:c r="F40" s="22"/>
      <x:c r="G40" s="22"/>
      <x:c r="H40" s="22"/>
    </x:row>
    <x:row r="41">
      <x:c r="B41" s="22"/>
      <x:c r="C41" s="22"/>
      <x:c r="D41" s="22"/>
      <x:c r="E41" s="22"/>
      <x:c r="F41" s="22"/>
      <x:c r="G41" s="22"/>
      <x:c r="H41" s="22"/>
    </x:row>
    <x:row r="42">
      <x:c r="B42" s="22"/>
      <x:c r="C42" s="22"/>
      <x:c r="D42" s="22"/>
      <x:c r="E42" s="22"/>
      <x:c r="F42" s="22"/>
      <x:c r="G42" s="22"/>
      <x:c r="H42" s="22"/>
    </x:row>
    <x:row r="43">
      <x:c r="B43" s="22"/>
      <x:c r="C43" s="22"/>
      <x:c r="D43" s="22"/>
      <x:c r="E43" s="22"/>
      <x:c r="F43" s="22"/>
      <x:c r="G43" s="22"/>
      <x:c r="H43" s="22"/>
    </x:row>
    <x:row r="44">
      <x:c r="B44" s="22"/>
      <x:c r="C44" s="22"/>
      <x:c r="D44" s="22"/>
      <x:c r="E44" s="22"/>
      <x:c r="F44" s="22"/>
      <x:c r="G44" s="22"/>
      <x:c r="H44" s="22"/>
    </x:row>
  </x:sheetData>
  <x:mergeCells>
    <x:mergeCell ref="B2:H2"/>
    <x:mergeCell ref="B3:H3"/>
    <x:mergeCell ref="B6:H6"/>
    <x:mergeCell ref="B14:H14"/>
    <x:mergeCell ref="B29:H29"/>
    <x:mergeCell ref="B38:H38"/>
    <x:mergeCell ref="B39:H44"/>
  </x:mergeCells>
  <x:conditionalFormatting sqref="D7:D11">
    <x:cfRule type="containsText" dxfId="253" priority="1" operator="containsText" text="PASS"/>
    <x:cfRule type="containsText" dxfId="254" priority="2" operator="containsText" text="AUTHORIZED"/>
    <x:cfRule type="containsText" dxfId="255" priority="3" operator="containsText" text="DEFINED"/>
    <x:cfRule type="containsText" dxfId="256" priority="4" operator="containsText" text="READY"/>
    <x:cfRule type="containsText" dxfId="257" priority="5" operator="containsText" text="HOLD"/>
    <x:cfRule type="containsText" dxfId="258" priority="6" operator="containsText" text="OPEN"/>
    <x:cfRule type="containsText" dxfId="259" priority="7" operator="containsText" text="BLOCKED"/>
    <x:cfRule type="containsText" dxfId="260" priority="8" operator="containsText" text="PLANNING"/>
    <x:cfRule type="containsText" dxfId="261" priority="9" operator="containsText" text="FAIL"/>
    <x:cfRule type="containsText" dxfId="262" priority="10" operator="containsText" text="REJECT"/>
    <x:cfRule type="containsText" dxfId="263" priority="11" operator="containsText" text="INCOMPLETE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0" hidden="0" customWidth="1"/>
    <x:col min="3" max="3" width="44" hidden="0" customWidth="1"/>
    <x:col min="4" max="4" width="18" hidden="0" customWidth="1"/>
    <x:col min="5" max="5" width="18" hidden="0" customWidth="1"/>
    <x:col min="6" max="6" width="15" hidden="0" customWidth="1"/>
    <x:col min="7" max="7" width="22" hidden="0" customWidth="1"/>
  </x:cols>
  <x:sheetData>
    <x:row r="2">
      <x:c r="B2" s="1" t="str">
        <x:v>BPT-1 controls</x:v>
      </x:c>
    </x:row>
    <x:row r="3">
      <x:c r="B3" s="2" t="str">
        <x:v>Blue values are inherited boundaries or explicit design hypotheses; all physical-source controls remain zero.</x:v>
      </x:c>
    </x:row>
    <x:row r="4">
      <x:c r="B4" s="3"/>
      <x:c r="C4" s="3"/>
      <x:c r="D4" s="3"/>
      <x:c r="E4" s="3"/>
      <x:c r="F4" s="3"/>
      <x:c r="G4" s="3"/>
    </x:row>
    <x:row r="6">
      <x:c r="B6" s="7" t="str">
        <x:v>ID</x:v>
      </x:c>
      <x:c r="C6" s="7" t="str">
        <x:v>Control</x:v>
      </x:c>
      <x:c r="D6" s="7" t="str">
        <x:v>Value</x:v>
      </x:c>
      <x:c r="E6" s="7" t="str">
        <x:v>Unit</x:v>
      </x:c>
      <x:c r="F6" s="7" t="str">
        <x:v>State</x:v>
      </x:c>
      <x:c r="G6" s="7" t="str">
        <x:v>Authority</x:v>
      </x:c>
    </x:row>
    <x:row r="7">
      <x:c r="B7" s="9" t="str">
        <x:v>C01</x:v>
      </x:c>
      <x:c r="C7" s="9" t="str">
        <x:v>Physical dry target</x:v>
      </x:c>
      <x:c r="D7" s="11" t="n">
        <x:v>30.9</x:v>
      </x:c>
      <x:c r="E7" s="9" t="str">
        <x:v>t</x:v>
      </x:c>
      <x:c r="F7" s="9" t="str">
        <x:v>DESIGN</x:v>
      </x:c>
      <x:c r="G7" s="9" t="str">
        <x:v>Pass 112 planning</x:v>
      </x:c>
    </x:row>
    <x:row r="8">
      <x:c r="B8" s="9" t="str">
        <x:v>C02</x:v>
      </x:c>
      <x:c r="C8" s="9" t="str">
        <x:v>Dry public limit</x:v>
      </x:c>
      <x:c r="D8" s="11" t="n">
        <x:v>32</x:v>
      </x:c>
      <x:c r="E8" s="9" t="str">
        <x:v>t</x:v>
      </x:c>
      <x:c r="F8" s="9" t="str">
        <x:v>FROZEN</x:v>
      </x:c>
      <x:c r="G8" s="9" t="str">
        <x:v>Pass 112 planning</x:v>
      </x:c>
    </x:row>
    <x:row r="9">
      <x:c r="B9" s="9" t="str">
        <x:v>C03</x:v>
      </x:c>
      <x:c r="C9" s="9" t="str">
        <x:v>Manufactured-mass allowance</x:v>
      </x:c>
      <x:c r="D9" s="11" t="n">
        <x:v>1.1</x:v>
      </x:c>
      <x:c r="E9" s="9" t="str">
        <x:v>t</x:v>
      </x:c>
      <x:c r="F9" s="9" t="str">
        <x:v>DESIGN</x:v>
      </x:c>
      <x:c r="G9" s="9" t="str">
        <x:v>Pass 112 planning</x:v>
      </x:c>
    </x:row>
    <x:row r="10">
      <x:c r="B10" s="9" t="str">
        <x:v>C04</x:v>
      </x:c>
      <x:c r="C10" s="9" t="str">
        <x:v>Reference configured mass</x:v>
      </x:c>
      <x:c r="D10" s="11" t="n">
        <x:v>40</x:v>
      </x:c>
      <x:c r="E10" s="9" t="str">
        <x:v>t</x:v>
      </x:c>
      <x:c r="F10" s="9" t="str">
        <x:v>FROZEN</x:v>
      </x:c>
      <x:c r="G10" s="9" t="str">
        <x:v>Pass 112 planning</x:v>
      </x:c>
    </x:row>
    <x:row r="11">
      <x:c r="B11" s="9" t="str">
        <x:v>C05</x:v>
      </x:c>
      <x:c r="C11" s="9" t="str">
        <x:v>Nonfuel service inventory</x:v>
      </x:c>
      <x:c r="D11" s="11" t="n">
        <x:v>2.6</x:v>
      </x:c>
      <x:c r="E11" s="9" t="str">
        <x:v>t</x:v>
      </x:c>
      <x:c r="F11" s="9" t="str">
        <x:v>DESIGN</x:v>
      </x:c>
      <x:c r="G11" s="9" t="str">
        <x:v>Pass 112 planning</x:v>
      </x:c>
    </x:row>
    <x:row r="12">
      <x:c r="B12" s="9" t="str">
        <x:v>C06</x:v>
      </x:c>
      <x:c r="C12" s="9" t="str">
        <x:v>Structural-proof service inventory</x:v>
      </x:c>
      <x:c r="D12" s="11" t="n">
        <x:v>4</x:v>
      </x:c>
      <x:c r="E12" s="9" t="str">
        <x:v>t</x:v>
      </x:c>
      <x:c r="F12" s="9" t="str">
        <x:v>DESIGN</x:v>
      </x:c>
      <x:c r="G12" s="9" t="str">
        <x:v>Pass 112 planning</x:v>
      </x:c>
    </x:row>
    <x:row r="13">
      <x:c r="B13" s="9" t="str">
        <x:v>C07</x:v>
      </x:c>
      <x:c r="C13" s="9" t="str">
        <x:v>Root A fuel</x:v>
      </x:c>
      <x:c r="D13" s="11" t="n">
        <x:v>3.2</x:v>
      </x:c>
      <x:c r="E13" s="9" t="str">
        <x:v>t</x:v>
      </x:c>
      <x:c r="F13" s="9" t="str">
        <x:v>DESIGN</x:v>
      </x:c>
      <x:c r="G13" s="9" t="str">
        <x:v>Pass 112 planning</x:v>
      </x:c>
    </x:row>
    <x:row r="14">
      <x:c r="B14" s="9" t="str">
        <x:v>C08</x:v>
      </x:c>
      <x:c r="C14" s="9" t="str">
        <x:v>Root B fuel</x:v>
      </x:c>
      <x:c r="D14" s="11" t="n">
        <x:v>4.4</x:v>
      </x:c>
      <x:c r="E14" s="9" t="str">
        <x:v>t</x:v>
      </x:c>
      <x:c r="F14" s="9" t="str">
        <x:v>DESIGN</x:v>
      </x:c>
      <x:c r="G14" s="9" t="str">
        <x:v>Pass 112 planning</x:v>
      </x:c>
    </x:row>
    <x:row r="15">
      <x:c r="B15" s="9" t="str">
        <x:v>C09</x:v>
      </x:c>
      <x:c r="C15" s="9" t="str">
        <x:v>Root A energy-state ballast</x:v>
      </x:c>
      <x:c r="D15" s="11" t="n">
        <x:v>3.3</x:v>
      </x:c>
      <x:c r="E15" s="9" t="str">
        <x:v>t</x:v>
      </x:c>
      <x:c r="F15" s="9" t="str">
        <x:v>DESIGN</x:v>
      </x:c>
      <x:c r="G15" s="9" t="str">
        <x:v>Pass 112 planning</x:v>
      </x:c>
    </x:row>
    <x:row r="16">
      <x:c r="B16" s="9" t="str">
        <x:v>C10</x:v>
      </x:c>
      <x:c r="C16" s="9" t="str">
        <x:v>Root B energy-state ballast</x:v>
      </x:c>
      <x:c r="D16" s="11" t="n">
        <x:v>2.1</x:v>
      </x:c>
      <x:c r="E16" s="9" t="str">
        <x:v>t</x:v>
      </x:c>
      <x:c r="F16" s="9" t="str">
        <x:v>DESIGN</x:v>
      </x:c>
      <x:c r="G16" s="9" t="str">
        <x:v>Pass 112 planning</x:v>
      </x:c>
    </x:row>
    <x:row r="17">
      <x:c r="B17" s="9" t="str">
        <x:v>C11</x:v>
      </x:c>
      <x:c r="C17" s="9" t="str">
        <x:v>Proof ballast</x:v>
      </x:c>
      <x:c r="D17" s="11" t="n">
        <x:v>5.1</x:v>
      </x:c>
      <x:c r="E17" s="9" t="str">
        <x:v>t</x:v>
      </x:c>
      <x:c r="F17" s="9" t="str">
        <x:v>DESIGN</x:v>
      </x:c>
      <x:c r="G17" s="9" t="str">
        <x:v>Pass 112 planning</x:v>
      </x:c>
    </x:row>
    <x:row r="18">
      <x:c r="B18" s="9" t="str">
        <x:v>C12</x:v>
      </x:c>
      <x:c r="C18" s="9" t="str">
        <x:v>Continuous output</x:v>
      </x:c>
      <x:c r="D18" s="11" t="n">
        <x:v>1.5</x:v>
      </x:c>
      <x:c r="E18" s="9" t="str">
        <x:v>MW</x:v>
      </x:c>
      <x:c r="F18" s="9" t="str">
        <x:v>FROZEN</x:v>
      </x:c>
      <x:c r="G18" s="9" t="str">
        <x:v>Pass 112 planning</x:v>
      </x:c>
    </x:row>
    <x:row r="19">
      <x:c r="B19" s="9" t="str">
        <x:v>C13</x:v>
      </x:c>
      <x:c r="C19" s="9" t="str">
        <x:v>Mission duration</x:v>
      </x:c>
      <x:c r="D19" s="11" t="n">
        <x:v>8</x:v>
      </x:c>
      <x:c r="E19" s="9" t="str">
        <x:v>h</x:v>
      </x:c>
      <x:c r="F19" s="9" t="str">
        <x:v>FROZEN</x:v>
      </x:c>
      <x:c r="G19" s="9" t="str">
        <x:v>Pass 112 planning</x:v>
      </x:c>
    </x:row>
    <x:row r="20">
      <x:c r="B20" s="9" t="str">
        <x:v>C14</x:v>
      </x:c>
      <x:c r="C20" s="9" t="str">
        <x:v>Root A fuel energy</x:v>
      </x:c>
      <x:c r="D20" s="11" t="n">
        <x:v>11.83</x:v>
      </x:c>
      <x:c r="E20" s="9" t="str">
        <x:v>MWh/t</x:v>
      </x:c>
      <x:c r="F20" s="9" t="str">
        <x:v>DESIGN</x:v>
      </x:c>
      <x:c r="G20" s="9" t="str">
        <x:v>Pass 112 planning</x:v>
      </x:c>
    </x:row>
    <x:row r="21">
      <x:c r="B21" s="9" t="str">
        <x:v>C15</x:v>
      </x:c>
      <x:c r="C21" s="9" t="str">
        <x:v>Root B fuel energy</x:v>
      </x:c>
      <x:c r="D21" s="11" t="n">
        <x:v>7.92</x:v>
      </x:c>
      <x:c r="E21" s="9" t="str">
        <x:v>MWh/t</x:v>
      </x:c>
      <x:c r="F21" s="9" t="str">
        <x:v>DESIGN</x:v>
      </x:c>
      <x:c r="G21" s="9" t="str">
        <x:v>Pass 112 planning</x:v>
      </x:c>
    </x:row>
    <x:row r="22">
      <x:c r="B22" s="9" t="str">
        <x:v>C16</x:v>
      </x:c>
      <x:c r="C22" s="9" t="str">
        <x:v>Root A efficiency</x:v>
      </x:c>
      <x:c r="D22" s="11" t="n">
        <x:v>0.38</x:v>
      </x:c>
      <x:c r="E22" s="9" t="str">
        <x:v>fraction</x:v>
      </x:c>
      <x:c r="F22" s="9" t="str">
        <x:v>DESIGN</x:v>
      </x:c>
      <x:c r="G22" s="9" t="str">
        <x:v>Pass 112 planning</x:v>
      </x:c>
    </x:row>
    <x:row r="23">
      <x:c r="B23" s="9" t="str">
        <x:v>C17</x:v>
      </x:c>
      <x:c r="C23" s="9" t="str">
        <x:v>Root B efficiency</x:v>
      </x:c>
      <x:c r="D23" s="11" t="n">
        <x:v>0.42</x:v>
      </x:c>
      <x:c r="E23" s="9" t="str">
        <x:v>fraction</x:v>
      </x:c>
      <x:c r="F23" s="9" t="str">
        <x:v>DESIGN</x:v>
      </x:c>
      <x:c r="G23" s="9" t="str">
        <x:v>Pass 112 planning</x:v>
      </x:c>
    </x:row>
    <x:row r="24">
      <x:c r="B24" s="9" t="str">
        <x:v>C18</x:v>
      </x:c>
      <x:c r="C24" s="9" t="str">
        <x:v>Deliverable storage</x:v>
      </x:c>
      <x:c r="D24" s="11" t="n">
        <x:v>0.45</x:v>
      </x:c>
      <x:c r="E24" s="9" t="str">
        <x:v>MWh</x:v>
      </x:c>
      <x:c r="F24" s="9" t="str">
        <x:v>DESIGN</x:v>
      </x:c>
      <x:c r="G24" s="9" t="str">
        <x:v>Pass 112 planning</x:v>
      </x:c>
    </x:row>
    <x:row r="25">
      <x:c r="B25" s="9" t="str">
        <x:v>C19</x:v>
      </x:c>
      <x:c r="C25" s="9" t="str">
        <x:v>Installed storage A</x:v>
      </x:c>
      <x:c r="D25" s="11" t="n">
        <x:v>0.6</x:v>
      </x:c>
      <x:c r="E25" s="9" t="str">
        <x:v>MWh</x:v>
      </x:c>
      <x:c r="F25" s="9" t="str">
        <x:v>DESIGN</x:v>
      </x:c>
      <x:c r="G25" s="9" t="str">
        <x:v>Pass 112 planning</x:v>
      </x:c>
    </x:row>
    <x:row r="26">
      <x:c r="B26" s="9" t="str">
        <x:v>C20</x:v>
      </x:c>
      <x:c r="C26" s="9" t="str">
        <x:v>Installed storage B</x:v>
      </x:c>
      <x:c r="D26" s="11" t="n">
        <x:v>0.72</x:v>
      </x:c>
      <x:c r="E26" s="9" t="str">
        <x:v>MWh</x:v>
      </x:c>
      <x:c r="F26" s="9" t="str">
        <x:v>DESIGN</x:v>
      </x:c>
      <x:c r="G26" s="9" t="str">
        <x:v>Pass 112 planning</x:v>
      </x:c>
    </x:row>
    <x:row r="27">
      <x:c r="B27" s="9" t="str">
        <x:v>C21</x:v>
      </x:c>
      <x:c r="C27" s="9" t="str">
        <x:v>Gravity</x:v>
      </x:c>
      <x:c r="D27" s="11" t="n">
        <x:v>9.80665</x:v>
      </x:c>
      <x:c r="E27" s="9" t="str">
        <x:v>m/s2</x:v>
      </x:c>
      <x:c r="F27" s="9" t="str">
        <x:v>FROZEN</x:v>
      </x:c>
      <x:c r="G27" s="9" t="str">
        <x:v>Pass 112 planning</x:v>
      </x:c>
    </x:row>
    <x:row r="28">
      <x:c r="B28" s="9" t="str">
        <x:v>C22</x:v>
      </x:c>
      <x:c r="C28" s="9" t="str">
        <x:v>Vertical factor</x:v>
      </x:c>
      <x:c r="D28" s="11" t="n">
        <x:v>1.5</x:v>
      </x:c>
      <x:c r="E28" s="9" t="str">
        <x:v>g</x:v>
      </x:c>
      <x:c r="F28" s="9" t="str">
        <x:v>FROZEN</x:v>
      </x:c>
      <x:c r="G28" s="9" t="str">
        <x:v>Pass 112 planning</x:v>
      </x:c>
    </x:row>
    <x:row r="29">
      <x:c r="B29" s="9" t="str">
        <x:v>C23</x:v>
      </x:c>
      <x:c r="C29" s="9" t="str">
        <x:v>Reference span</x:v>
      </x:c>
      <x:c r="D29" s="11" t="n">
        <x:v>10</x:v>
      </x:c>
      <x:c r="E29" s="9" t="str">
        <x:v>m</x:v>
      </x:c>
      <x:c r="F29" s="9" t="str">
        <x:v>DESIGN</x:v>
      </x:c>
      <x:c r="G29" s="9" t="str">
        <x:v>Pass 112 planning</x:v>
      </x:c>
    </x:row>
    <x:row r="30">
      <x:c r="B30" s="9" t="str">
        <x:v>C24</x:v>
      </x:c>
      <x:c r="C30" s="9" t="str">
        <x:v>Chord vertical separation</x:v>
      </x:c>
      <x:c r="D30" s="11" t="n">
        <x:v>2.3</x:v>
      </x:c>
      <x:c r="E30" s="9" t="str">
        <x:v>m</x:v>
      </x:c>
      <x:c r="F30" s="9" t="str">
        <x:v>DESIGN</x:v>
      </x:c>
      <x:c r="G30" s="9" t="str">
        <x:v>Pass 112 planning</x:v>
      </x:c>
    </x:row>
    <x:row r="31">
      <x:c r="B31" s="9" t="str">
        <x:v>C25</x:v>
      </x:c>
      <x:c r="C31" s="9" t="str">
        <x:v>Load-path factor</x:v>
      </x:c>
      <x:c r="D31" s="11" t="n">
        <x:v>2</x:v>
      </x:c>
      <x:c r="E31" s="9" t="str">
        <x:v>factor</x:v>
      </x:c>
      <x:c r="F31" s="9" t="str">
        <x:v>DESIGN</x:v>
      </x:c>
      <x:c r="G31" s="9" t="str">
        <x:v>Pass 112 planning</x:v>
      </x:c>
    </x:row>
    <x:row r="32">
      <x:c r="B32" s="9" t="str">
        <x:v>C26</x:v>
      </x:c>
      <x:c r="C32" s="9" t="str">
        <x:v>Steel modulus</x:v>
      </x:c>
      <x:c r="D32" s="11" t="n">
        <x:v>200</x:v>
      </x:c>
      <x:c r="E32" s="9" t="str">
        <x:v>GPa</x:v>
      </x:c>
      <x:c r="F32" s="9" t="str">
        <x:v>DESIGN</x:v>
      </x:c>
      <x:c r="G32" s="9" t="str">
        <x:v>Pass 112 planning</x:v>
      </x:c>
    </x:row>
    <x:row r="33">
      <x:c r="B33" s="9" t="str">
        <x:v>C27</x:v>
      </x:c>
      <x:c r="C33" s="9" t="str">
        <x:v>Composite axial modulus</x:v>
      </x:c>
      <x:c r="D33" s="11" t="n">
        <x:v>120</x:v>
      </x:c>
      <x:c r="E33" s="9" t="str">
        <x:v>GPa</x:v>
      </x:c>
      <x:c r="F33" s="9" t="str">
        <x:v>DESIGN</x:v>
      </x:c>
      <x:c r="G33" s="9" t="str">
        <x:v>Pass 112 planning</x:v>
      </x:c>
    </x:row>
    <x:row r="34">
      <x:c r="B34" s="9" t="str">
        <x:v>C28</x:v>
      </x:c>
      <x:c r="C34" s="9" t="str">
        <x:v>Steel yield</x:v>
      </x:c>
      <x:c r="D34" s="11" t="n">
        <x:v>690</x:v>
      </x:c>
      <x:c r="E34" s="9" t="str">
        <x:v>MPa</x:v>
      </x:c>
      <x:c r="F34" s="9" t="str">
        <x:v>DESIGN</x:v>
      </x:c>
      <x:c r="G34" s="9" t="str">
        <x:v>Pass 112 planning</x:v>
      </x:c>
    </x:row>
    <x:row r="35">
      <x:c r="B35" s="9" t="str">
        <x:v>C29</x:v>
      </x:c>
      <x:c r="C35" s="9" t="str">
        <x:v>Steel material factor</x:v>
      </x:c>
      <x:c r="D35" s="11" t="n">
        <x:v>1.1</x:v>
      </x:c>
      <x:c r="E35" s="9" t="str">
        <x:v>factor</x:v>
      </x:c>
      <x:c r="F35" s="9" t="str">
        <x:v>DESIGN</x:v>
      </x:c>
      <x:c r="G35" s="9" t="str">
        <x:v>Pass 112 planning</x:v>
      </x:c>
    </x:row>
    <x:row r="36">
      <x:c r="B36" s="9" t="str">
        <x:v>C30</x:v>
      </x:c>
      <x:c r="C36" s="9" t="str">
        <x:v>Composite compression allowable</x:v>
      </x:c>
      <x:c r="D36" s="11" t="n">
        <x:v>300</x:v>
      </x:c>
      <x:c r="E36" s="9" t="str">
        <x:v>MPa</x:v>
      </x:c>
      <x:c r="F36" s="9" t="str">
        <x:v>DESIGN</x:v>
      </x:c>
      <x:c r="G36" s="9" t="str">
        <x:v>Pass 112 planning</x:v>
      </x:c>
    </x:row>
    <x:row r="37">
      <x:c r="B37" s="9" t="str">
        <x:v>C31</x:v>
      </x:c>
      <x:c r="C37" s="9" t="str">
        <x:v>Composite strain allowable</x:v>
      </x:c>
      <x:c r="D37" s="11" t="n">
        <x:v>0.0035</x:v>
      </x:c>
      <x:c r="E37" s="9" t="str">
        <x:v>strain</x:v>
      </x:c>
      <x:c r="F37" s="9" t="str">
        <x:v>DESIGN</x:v>
      </x:c>
      <x:c r="G37" s="9" t="str">
        <x:v>Pass 112 planning</x:v>
      </x:c>
    </x:row>
    <x:row r="38">
      <x:c r="B38" s="9" t="str">
        <x:v>C32</x:v>
      </x:c>
      <x:c r="C38" s="9" t="str">
        <x:v>Hydraulic bore</x:v>
      </x:c>
      <x:c r="D38" s="11" t="n">
        <x:v>0.35</x:v>
      </x:c>
      <x:c r="E38" s="9" t="str">
        <x:v>m</x:v>
      </x:c>
      <x:c r="F38" s="9" t="str">
        <x:v>FROZEN</x:v>
      </x:c>
      <x:c r="G38" s="9" t="str">
        <x:v>Pass 112 planning</x:v>
      </x:c>
    </x:row>
    <x:row r="39">
      <x:c r="B39" s="9" t="str">
        <x:v>C33</x:v>
      </x:c>
      <x:c r="C39" s="9" t="str">
        <x:v>Proof pressure</x:v>
      </x:c>
      <x:c r="D39" s="11" t="n">
        <x:v>1.05</x:v>
      </x:c>
      <x:c r="E39" s="9" t="str">
        <x:v>MPa</x:v>
      </x:c>
      <x:c r="F39" s="9" t="str">
        <x:v>FROZEN</x:v>
      </x:c>
      <x:c r="G39" s="9" t="str">
        <x:v>Pass 112 planning</x:v>
      </x:c>
    </x:row>
    <x:row r="40">
      <x:c r="B40" s="9" t="str">
        <x:v>C34</x:v>
      </x:c>
      <x:c r="C40" s="9" t="str">
        <x:v>Attributable pipe length</x:v>
      </x:c>
      <x:c r="D40" s="11" t="n">
        <x:v>24</x:v>
      </x:c>
      <x:c r="E40" s="9" t="str">
        <x:v>m/root path</x:v>
      </x:c>
      <x:c r="F40" s="9" t="str">
        <x:v>FROZEN</x:v>
      </x:c>
      <x:c r="G40" s="9" t="str">
        <x:v>Pass 112 planning</x:v>
      </x:c>
    </x:row>
    <x:row r="41">
      <x:c r="B41" s="9" t="str">
        <x:v>C35</x:v>
      </x:c>
      <x:c r="C41" s="9" t="str">
        <x:v>Root A pipe wall</x:v>
      </x:c>
      <x:c r="D41" s="11" t="n">
        <x:v>0.01</x:v>
      </x:c>
      <x:c r="E41" s="9" t="str">
        <x:v>m</x:v>
      </x:c>
      <x:c r="F41" s="9" t="str">
        <x:v>DESIGN</x:v>
      </x:c>
      <x:c r="G41" s="9" t="str">
        <x:v>Pass 112 planning</x:v>
      </x:c>
    </x:row>
    <x:row r="42">
      <x:c r="B42" s="9" t="str">
        <x:v>C36</x:v>
      </x:c>
      <x:c r="C42" s="9" t="str">
        <x:v>Root B pipe wall</x:v>
      </x:c>
      <x:c r="D42" s="11" t="n">
        <x:v>0.008</x:v>
      </x:c>
      <x:c r="E42" s="9" t="str">
        <x:v>m</x:v>
      </x:c>
      <x:c r="F42" s="9" t="str">
        <x:v>DESIGN</x:v>
      </x:c>
      <x:c r="G42" s="9" t="str">
        <x:v>Pass 112 planning</x:v>
      </x:c>
    </x:row>
    <x:row r="43">
      <x:c r="B43" s="9" t="str">
        <x:v>C37</x:v>
      </x:c>
      <x:c r="C43" s="9" t="str">
        <x:v>Root A pipe density</x:v>
      </x:c>
      <x:c r="D43" s="11" t="n">
        <x:v>7850</x:v>
      </x:c>
      <x:c r="E43" s="9" t="str">
        <x:v>kg/m3</x:v>
      </x:c>
      <x:c r="F43" s="9" t="str">
        <x:v>DESIGN</x:v>
      </x:c>
      <x:c r="G43" s="9" t="str">
        <x:v>Pass 112 planning</x:v>
      </x:c>
    </x:row>
    <x:row r="44">
      <x:c r="B44" s="9" t="str">
        <x:v>C38</x:v>
      </x:c>
      <x:c r="C44" s="9" t="str">
        <x:v>Root B pipe density</x:v>
      </x:c>
      <x:c r="D44" s="11" t="n">
        <x:v>1600</x:v>
      </x:c>
      <x:c r="E44" s="9" t="str">
        <x:v>kg/m3</x:v>
      </x:c>
      <x:c r="F44" s="9" t="str">
        <x:v>DESIGN</x:v>
      </x:c>
      <x:c r="G44" s="9" t="str">
        <x:v>Pass 112 planning</x:v>
      </x:c>
    </x:row>
    <x:row r="45">
      <x:c r="B45" s="9" t="str">
        <x:v>C39</x:v>
      </x:c>
      <x:c r="C45" s="9" t="str">
        <x:v>Collar axial proof</x:v>
      </x:c>
      <x:c r="D45" s="11" t="n">
        <x:v>250</x:v>
      </x:c>
      <x:c r="E45" s="9" t="str">
        <x:v>kN</x:v>
      </x:c>
      <x:c r="F45" s="9" t="str">
        <x:v>DESIGN</x:v>
      </x:c>
      <x:c r="G45" s="9" t="str">
        <x:v>Pass 112 planning</x:v>
      </x:c>
    </x:row>
    <x:row r="46">
      <x:c r="B46" s="9" t="str">
        <x:v>C40</x:v>
      </x:c>
      <x:c r="C46" s="9" t="str">
        <x:v>LV voltage</x:v>
      </x:c>
      <x:c r="D46" s="11" t="n">
        <x:v>0.48</x:v>
      </x:c>
      <x:c r="E46" s="9" t="str">
        <x:v>kV</x:v>
      </x:c>
      <x:c r="F46" s="9" t="str">
        <x:v>FROZEN</x:v>
      </x:c>
      <x:c r="G46" s="9" t="str">
        <x:v>Pass 112 planning</x:v>
      </x:c>
    </x:row>
    <x:row r="47">
      <x:c r="B47" s="9" t="str">
        <x:v>C41</x:v>
      </x:c>
      <x:c r="C47" s="9" t="str">
        <x:v>Power factor</x:v>
      </x:c>
      <x:c r="D47" s="11" t="n">
        <x:v>0.9</x:v>
      </x:c>
      <x:c r="E47" s="9" t="str">
        <x:v>factor</x:v>
      </x:c>
      <x:c r="F47" s="9" t="str">
        <x:v>DESIGN</x:v>
      </x:c>
      <x:c r="G47" s="9" t="str">
        <x:v>Pass 112 planning</x:v>
      </x:c>
    </x:row>
    <x:row r="48">
      <x:c r="B48" s="9" t="str">
        <x:v>C42</x:v>
      </x:c>
      <x:c r="C48" s="9" t="str">
        <x:v>Normal power</x:v>
      </x:c>
      <x:c r="D48" s="11" t="n">
        <x:v>1.5</x:v>
      </x:c>
      <x:c r="E48" s="9" t="str">
        <x:v>MW</x:v>
      </x:c>
      <x:c r="F48" s="9" t="str">
        <x:v>FROZEN</x:v>
      </x:c>
      <x:c r="G48" s="9" t="str">
        <x:v>Pass 112 planning</x:v>
      </x:c>
    </x:row>
    <x:row r="49">
      <x:c r="B49" s="9" t="str">
        <x:v>C43</x:v>
      </x:c>
      <x:c r="C49" s="9" t="str">
        <x:v>Overload power</x:v>
      </x:c>
      <x:c r="D49" s="11" t="n">
        <x:v>2.25</x:v>
      </x:c>
      <x:c r="E49" s="9" t="str">
        <x:v>MW</x:v>
      </x:c>
      <x:c r="F49" s="9" t="str">
        <x:v>FROZEN</x:v>
      </x:c>
      <x:c r="G49" s="9" t="str">
        <x:v>Pass 112 planning</x:v>
      </x:c>
    </x:row>
    <x:row r="50">
      <x:c r="B50" s="9" t="str">
        <x:v>C44</x:v>
      </x:c>
      <x:c r="C50" s="9" t="str">
        <x:v>Transient power</x:v>
      </x:c>
      <x:c r="D50" s="11" t="n">
        <x:v>3</x:v>
      </x:c>
      <x:c r="E50" s="9" t="str">
        <x:v>MW</x:v>
      </x:c>
      <x:c r="F50" s="9" t="str">
        <x:v>FROZEN</x:v>
      </x:c>
      <x:c r="G50" s="9" t="str">
        <x:v>Pass 112 planning</x:v>
      </x:c>
    </x:row>
    <x:row r="51">
      <x:c r="B51" s="9" t="str">
        <x:v>C45</x:v>
      </x:c>
      <x:c r="C51" s="9" t="str">
        <x:v>Root A heat boundary</x:v>
      </x:c>
      <x:c r="D51" s="11" t="n">
        <x:v>2.8</x:v>
      </x:c>
      <x:c r="E51" s="9" t="str">
        <x:v>MW</x:v>
      </x:c>
      <x:c r="F51" s="9" t="str">
        <x:v>DESIGN</x:v>
      </x:c>
      <x:c r="G51" s="9" t="str">
        <x:v>Pass 112 planning</x:v>
      </x:c>
    </x:row>
    <x:row r="52">
      <x:c r="B52" s="9" t="str">
        <x:v>C46</x:v>
      </x:c>
      <x:c r="C52" s="9" t="str">
        <x:v>Root B heat boundary</x:v>
      </x:c>
      <x:c r="D52" s="11" t="n">
        <x:v>2.4</x:v>
      </x:c>
      <x:c r="E52" s="9" t="str">
        <x:v>MW</x:v>
      </x:c>
      <x:c r="F52" s="9" t="str">
        <x:v>DESIGN</x:v>
      </x:c>
      <x:c r="G52" s="9" t="str">
        <x:v>Pass 112 planning</x:v>
      </x:c>
    </x:row>
    <x:row r="53">
      <x:c r="B53" s="9" t="str">
        <x:v>C47</x:v>
      </x:c>
      <x:c r="C53" s="9" t="str">
        <x:v>Panel design flux</x:v>
      </x:c>
      <x:c r="D53" s="11" t="n">
        <x:v>45</x:v>
      </x:c>
      <x:c r="E53" s="9" t="str">
        <x:v>kW/m2</x:v>
      </x:c>
      <x:c r="F53" s="9" t="str">
        <x:v>DESIGN</x:v>
      </x:c>
      <x:c r="G53" s="9" t="str">
        <x:v>Pass 112 planning</x:v>
      </x:c>
    </x:row>
    <x:row r="54">
      <x:c r="B54" s="9" t="str">
        <x:v>C48</x:v>
      </x:c>
      <x:c r="C54" s="9" t="str">
        <x:v>Air temperature rise</x:v>
      </x:c>
      <x:c r="D54" s="11" t="n">
        <x:v>35</x:v>
      </x:c>
      <x:c r="E54" s="9" t="str">
        <x:v>K</x:v>
      </x:c>
      <x:c r="F54" s="9" t="str">
        <x:v>DESIGN</x:v>
      </x:c>
      <x:c r="G54" s="9" t="str">
        <x:v>Pass 112 planning</x:v>
      </x:c>
    </x:row>
    <x:row r="55">
      <x:c r="B55" s="9" t="str">
        <x:v>C49</x:v>
      </x:c>
      <x:c r="C55" s="9" t="str">
        <x:v>Air heat capacity</x:v>
      </x:c>
      <x:c r="D55" s="11" t="n">
        <x:v>1005</x:v>
      </x:c>
      <x:c r="E55" s="9" t="str">
        <x:v>J/kg-K</x:v>
      </x:c>
      <x:c r="F55" s="9" t="str">
        <x:v>DESIGN</x:v>
      </x:c>
      <x:c r="G55" s="9" t="str">
        <x:v>Pass 112 planning</x:v>
      </x:c>
    </x:row>
    <x:row r="56">
      <x:c r="B56" s="9" t="str">
        <x:v>C50</x:v>
      </x:c>
      <x:c r="C56" s="9" t="str">
        <x:v>Program duration</x:v>
      </x:c>
      <x:c r="D56" s="11" t="n">
        <x:v>14</x:v>
      </x:c>
      <x:c r="E56" s="9" t="str">
        <x:v>months</x:v>
      </x:c>
      <x:c r="F56" s="9" t="str">
        <x:v>DESIGN</x:v>
      </x:c>
      <x:c r="G56" s="9" t="str">
        <x:v>Pass 112 planning</x:v>
      </x:c>
    </x:row>
    <x:row r="57">
      <x:c r="B57" s="9" t="str">
        <x:v>C51</x:v>
      </x:c>
      <x:c r="C57" s="9" t="str">
        <x:v>Public workforce</x:v>
      </x:c>
      <x:c r="D57" s="11" t="n">
        <x:v>54</x:v>
      </x:c>
      <x:c r="E57" s="9" t="str">
        <x:v>people</x:v>
      </x:c>
      <x:c r="F57" s="9" t="str">
        <x:v>DESIGN</x:v>
      </x:c>
      <x:c r="G57" s="9" t="str">
        <x:v>Pass 112 planning</x:v>
      </x:c>
    </x:row>
    <x:row r="58">
      <x:c r="B58" s="9" t="str">
        <x:v>C52</x:v>
      </x:c>
      <x:c r="C58" s="9" t="str">
        <x:v>Root workforce</x:v>
      </x:c>
      <x:c r="D58" s="11" t="n">
        <x:v>110</x:v>
      </x:c>
      <x:c r="E58" s="9" t="str">
        <x:v>people</x:v>
      </x:c>
      <x:c r="F58" s="9" t="str">
        <x:v>DESIGN</x:v>
      </x:c>
      <x:c r="G58" s="9" t="str">
        <x:v>Pass 112 planning</x:v>
      </x:c>
    </x:row>
    <x:row r="59">
      <x:c r="B59" s="9" t="str">
        <x:v>C53</x:v>
      </x:c>
      <x:c r="C59" s="9" t="str">
        <x:v>Capital available</x:v>
      </x:c>
      <x:c r="D59" s="11" t="n">
        <x:v>0.318</x:v>
      </x:c>
      <x:c r="E59" s="9" t="str">
        <x:v>USD B</x:v>
      </x:c>
      <x:c r="F59" s="9" t="str">
        <x:v>FROZEN</x:v>
      </x:c>
      <x:c r="G59" s="9" t="str">
        <x:v>Pass 112 planning</x:v>
      </x:c>
    </x:row>
    <x:row r="60">
      <x:c r="B60" s="9" t="str">
        <x:v>C54</x:v>
      </x:c>
      <x:c r="C60" s="9" t="str">
        <x:v>Capital draw</x:v>
      </x:c>
      <x:c r="D60" s="11" t="n">
        <x:v>0.212</x:v>
      </x:c>
      <x:c r="E60" s="9" t="str">
        <x:v>USD B</x:v>
      </x:c>
      <x:c r="F60" s="9" t="str">
        <x:v>DESIGN</x:v>
      </x:c>
      <x:c r="G60" s="9" t="str">
        <x:v>Pass 112 planning</x:v>
      </x:c>
    </x:row>
    <x:row r="61">
      <x:c r="B61" s="9" t="str">
        <x:v>C55</x:v>
      </x:c>
      <x:c r="C61" s="9" t="str">
        <x:v>Annual available</x:v>
      </x:c>
      <x:c r="D61" s="11" t="n">
        <x:v>0.084</x:v>
      </x:c>
      <x:c r="E61" s="9" t="str">
        <x:v>USD B/year</x:v>
      </x:c>
      <x:c r="F61" s="9" t="str">
        <x:v>FROZEN</x:v>
      </x:c>
      <x:c r="G61" s="9" t="str">
        <x:v>Pass 112 planning</x:v>
      </x:c>
    </x:row>
    <x:row r="62">
      <x:c r="B62" s="9" t="str">
        <x:v>C56</x:v>
      </x:c>
      <x:c r="C62" s="9" t="str">
        <x:v>Annual draw</x:v>
      </x:c>
      <x:c r="D62" s="11" t="n">
        <x:v>0.061</x:v>
      </x:c>
      <x:c r="E62" s="9" t="str">
        <x:v>USD B/year</x:v>
      </x:c>
      <x:c r="F62" s="9" t="str">
        <x:v>DESIGN</x:v>
      </x:c>
      <x:c r="G62" s="9" t="str">
        <x:v>Pass 112 planning</x:v>
      </x:c>
    </x:row>
    <x:row r="63">
      <x:c r="B63" s="9" t="str">
        <x:v>C57</x:v>
      </x:c>
      <x:c r="C63" s="9" t="str">
        <x:v>Planning gates</x:v>
      </x:c>
      <x:c r="D63" s="11" t="n">
        <x:v>44</x:v>
      </x:c>
      <x:c r="E63" s="9" t="str">
        <x:v>gates</x:v>
      </x:c>
      <x:c r="F63" s="9" t="str">
        <x:v>DESIGN</x:v>
      </x:c>
      <x:c r="G63" s="9" t="str">
        <x:v>Pass 112 planning</x:v>
      </x:c>
    </x:row>
    <x:row r="64">
      <x:c r="B64" s="9" t="str">
        <x:v>C58</x:v>
      </x:c>
      <x:c r="C64" s="9" t="str">
        <x:v>Physical gates</x:v>
      </x:c>
      <x:c r="D64" s="11" t="n">
        <x:v>22</x:v>
      </x:c>
      <x:c r="E64" s="9" t="str">
        <x:v>gates</x:v>
      </x:c>
      <x:c r="F64" s="9" t="str">
        <x:v>DESIGN</x:v>
      </x:c>
      <x:c r="G64" s="9" t="str">
        <x:v>Pass 112 planning</x:v>
      </x:c>
    </x:row>
    <x:row r="65">
      <x:c r="B65" s="9" t="str">
        <x:v>C59</x:v>
      </x:c>
      <x:c r="C65" s="9" t="str">
        <x:v>Coupons</x:v>
      </x:c>
      <x:c r="D65" s="11" t="n">
        <x:v>96</x:v>
      </x:c>
      <x:c r="E65" s="9" t="str">
        <x:v>coupons</x:v>
      </x:c>
      <x:c r="F65" s="9" t="str">
        <x:v>DESIGN</x:v>
      </x:c>
      <x:c r="G65" s="9" t="str">
        <x:v>Pass 112 planning</x:v>
      </x:c>
    </x:row>
    <x:row r="66">
      <x:c r="B66" s="9" t="str">
        <x:v>C60</x:v>
      </x:c>
      <x:c r="C66" s="9" t="str">
        <x:v>NDE lots</x:v>
      </x:c>
      <x:c r="D66" s="11" t="n">
        <x:v>64</x:v>
      </x:c>
      <x:c r="E66" s="9" t="str">
        <x:v>lots</x:v>
      </x:c>
      <x:c r="F66" s="9" t="str">
        <x:v>DESIGN</x:v>
      </x:c>
      <x:c r="G66" s="9" t="str">
        <x:v>Pass 112 planning</x:v>
      </x:c>
    </x:row>
    <x:row r="67">
      <x:c r="B67" s="9" t="str">
        <x:v>C61</x:v>
      </x:c>
      <x:c r="C67" s="9" t="str">
        <x:v>Destructive witnesses</x:v>
      </x:c>
      <x:c r="D67" s="11" t="n">
        <x:v>24</x:v>
      </x:c>
      <x:c r="E67" s="9" t="str">
        <x:v>witnesses</x:v>
      </x:c>
      <x:c r="F67" s="9" t="str">
        <x:v>DESIGN</x:v>
      </x:c>
      <x:c r="G67" s="9" t="str">
        <x:v>Pass 112 planning</x:v>
      </x:c>
    </x:row>
    <x:row r="68">
      <x:c r="B68" s="9" t="str">
        <x:v>C62</x:v>
      </x:c>
      <x:c r="C68" s="9" t="str">
        <x:v>Key characteristics</x:v>
      </x:c>
      <x:c r="D68" s="11" t="n">
        <x:v>64</x:v>
      </x:c>
      <x:c r="E68" s="9" t="str">
        <x:v>characteristics/root</x:v>
      </x:c>
      <x:c r="F68" s="9" t="str">
        <x:v>DESIGN</x:v>
      </x:c>
      <x:c r="G68" s="9" t="str">
        <x:v>Pass 112 planning</x:v>
      </x:c>
    </x:row>
    <x:row r="69">
      <x:c r="B69" s="9" t="str">
        <x:v>C63</x:v>
      </x:c>
      <x:c r="C69" s="9" t="str">
        <x:v>Root A source package</x:v>
      </x:c>
      <x:c r="D69" s="11" t="n">
        <x:v>0</x:v>
      </x:c>
      <x:c r="E69" s="9" t="str">
        <x:v>binary</x:v>
      </x:c>
      <x:c r="F69" s="9" t="str">
        <x:v>OPEN</x:v>
      </x:c>
      <x:c r="G69" s="9" t="str">
        <x:v>source evidence</x:v>
      </x:c>
    </x:row>
    <x:row r="70">
      <x:c r="B70" s="9" t="str">
        <x:v>C64</x:v>
      </x:c>
      <x:c r="C70" s="9" t="str">
        <x:v>Root B source package</x:v>
      </x:c>
      <x:c r="D70" s="11" t="n">
        <x:v>0</x:v>
      </x:c>
      <x:c r="E70" s="9" t="str">
        <x:v>binary</x:v>
      </x:c>
      <x:c r="F70" s="9" t="str">
        <x:v>OPEN</x:v>
      </x:c>
      <x:c r="G70" s="9" t="str">
        <x:v>source evidence</x:v>
      </x:c>
    </x:row>
    <x:row r="71">
      <x:c r="B71" s="9" t="str">
        <x:v>C65</x:v>
      </x:c>
      <x:c r="C71" s="9" t="str">
        <x:v>Root A coupons accepted</x:v>
      </x:c>
      <x:c r="D71" s="11" t="n">
        <x:v>0</x:v>
      </x:c>
      <x:c r="E71" s="9" t="str">
        <x:v>binary</x:v>
      </x:c>
      <x:c r="F71" s="9" t="str">
        <x:v>OPEN</x:v>
      </x:c>
      <x:c r="G71" s="9" t="str">
        <x:v>source evidence</x:v>
      </x:c>
    </x:row>
    <x:row r="72">
      <x:c r="B72" s="9" t="str">
        <x:v>C66</x:v>
      </x:c>
      <x:c r="C72" s="9" t="str">
        <x:v>Root B coupons accepted</x:v>
      </x:c>
      <x:c r="D72" s="11" t="n">
        <x:v>0</x:v>
      </x:c>
      <x:c r="E72" s="9" t="str">
        <x:v>binary</x:v>
      </x:c>
      <x:c r="F72" s="9" t="str">
        <x:v>OPEN</x:v>
      </x:c>
      <x:c r="G72" s="9" t="str">
        <x:v>source evidence</x:v>
      </x:c>
    </x:row>
    <x:row r="73">
      <x:c r="B73" s="9" t="str">
        <x:v>C67</x:v>
      </x:c>
      <x:c r="C73" s="9" t="str">
        <x:v>Root A NDE accepted</x:v>
      </x:c>
      <x:c r="D73" s="11" t="n">
        <x:v>0</x:v>
      </x:c>
      <x:c r="E73" s="9" t="str">
        <x:v>binary</x:v>
      </x:c>
      <x:c r="F73" s="9" t="str">
        <x:v>OPEN</x:v>
      </x:c>
      <x:c r="G73" s="9" t="str">
        <x:v>source evidence</x:v>
      </x:c>
    </x:row>
    <x:row r="74">
      <x:c r="B74" s="9" t="str">
        <x:v>C68</x:v>
      </x:c>
      <x:c r="C74" s="9" t="str">
        <x:v>Root B NDE accepted</x:v>
      </x:c>
      <x:c r="D74" s="11" t="n">
        <x:v>0</x:v>
      </x:c>
      <x:c r="E74" s="9" t="str">
        <x:v>binary</x:v>
      </x:c>
      <x:c r="F74" s="9" t="str">
        <x:v>OPEN</x:v>
      </x:c>
      <x:c r="G74" s="9" t="str">
        <x:v>source evidence</x:v>
      </x:c>
    </x:row>
    <x:row r="75">
      <x:c r="B75" s="9" t="str">
        <x:v>C69</x:v>
      </x:c>
      <x:c r="C75" s="9" t="str">
        <x:v>Root A witnesses accepted</x:v>
      </x:c>
      <x:c r="D75" s="11" t="n">
        <x:v>0</x:v>
      </x:c>
      <x:c r="E75" s="9" t="str">
        <x:v>binary</x:v>
      </x:c>
      <x:c r="F75" s="9" t="str">
        <x:v>OPEN</x:v>
      </x:c>
      <x:c r="G75" s="9" t="str">
        <x:v>source evidence</x:v>
      </x:c>
    </x:row>
    <x:row r="76">
      <x:c r="B76" s="9" t="str">
        <x:v>C70</x:v>
      </x:c>
      <x:c r="C76" s="9" t="str">
        <x:v>Root B witnesses accepted</x:v>
      </x:c>
      <x:c r="D76" s="11" t="n">
        <x:v>0</x:v>
      </x:c>
      <x:c r="E76" s="9" t="str">
        <x:v>binary</x:v>
      </x:c>
      <x:c r="F76" s="9" t="str">
        <x:v>OPEN</x:v>
      </x:c>
      <x:c r="G76" s="9" t="str">
        <x:v>source evidence</x:v>
      </x:c>
    </x:row>
    <x:row r="77">
      <x:c r="B77" s="9" t="str">
        <x:v>C71</x:v>
      </x:c>
      <x:c r="C77" s="9" t="str">
        <x:v>Root A as-built accepted</x:v>
      </x:c>
      <x:c r="D77" s="11" t="n">
        <x:v>0</x:v>
      </x:c>
      <x:c r="E77" s="9" t="str">
        <x:v>binary</x:v>
      </x:c>
      <x:c r="F77" s="9" t="str">
        <x:v>OPEN</x:v>
      </x:c>
      <x:c r="G77" s="9" t="str">
        <x:v>source evidence</x:v>
      </x:c>
    </x:row>
    <x:row r="78">
      <x:c r="B78" s="9" t="str">
        <x:v>C72</x:v>
      </x:c>
      <x:c r="C78" s="9" t="str">
        <x:v>Root B as-built accepted</x:v>
      </x:c>
      <x:c r="D78" s="11" t="n">
        <x:v>0</x:v>
      </x:c>
      <x:c r="E78" s="9" t="str">
        <x:v>binary</x:v>
      </x:c>
      <x:c r="F78" s="9" t="str">
        <x:v>OPEN</x:v>
      </x:c>
      <x:c r="G78" s="9" t="str">
        <x:v>source evidence</x:v>
      </x:c>
    </x:row>
    <x:row r="79">
      <x:c r="B79" s="9" t="str">
        <x:v>C73</x:v>
      </x:c>
      <x:c r="C79" s="9" t="str">
        <x:v>Root A mass observed</x:v>
      </x:c>
      <x:c r="D79" s="11" t="n">
        <x:v>0</x:v>
      </x:c>
      <x:c r="E79" s="9" t="str">
        <x:v>binary</x:v>
      </x:c>
      <x:c r="F79" s="9" t="str">
        <x:v>OPEN</x:v>
      </x:c>
      <x:c r="G79" s="9" t="str">
        <x:v>source evidence</x:v>
      </x:c>
    </x:row>
    <x:row r="80">
      <x:c r="B80" s="9" t="str">
        <x:v>C74</x:v>
      </x:c>
      <x:c r="C80" s="9" t="str">
        <x:v>Root B mass observed</x:v>
      </x:c>
      <x:c r="D80" s="11" t="n">
        <x:v>0</x:v>
      </x:c>
      <x:c r="E80" s="9" t="str">
        <x:v>binary</x:v>
      </x:c>
      <x:c r="F80" s="9" t="str">
        <x:v>OPEN</x:v>
      </x:c>
      <x:c r="G80" s="9" t="str">
        <x:v>source evidence</x:v>
      </x:c>
    </x:row>
    <x:row r="81">
      <x:c r="B81" s="9" t="str">
        <x:v>C75</x:v>
      </x:c>
      <x:c r="C81" s="9" t="str">
        <x:v>Root A collar article</x:v>
      </x:c>
      <x:c r="D81" s="11" t="n">
        <x:v>0</x:v>
      </x:c>
      <x:c r="E81" s="9" t="str">
        <x:v>binary</x:v>
      </x:c>
      <x:c r="F81" s="9" t="str">
        <x:v>OPEN</x:v>
      </x:c>
      <x:c r="G81" s="9" t="str">
        <x:v>source evidence</x:v>
      </x:c>
    </x:row>
    <x:row r="82">
      <x:c r="B82" s="9" t="str">
        <x:v>C76</x:v>
      </x:c>
      <x:c r="C82" s="9" t="str">
        <x:v>Root B collar article</x:v>
      </x:c>
      <x:c r="D82" s="11" t="n">
        <x:v>0</x:v>
      </x:c>
      <x:c r="E82" s="9" t="str">
        <x:v>binary</x:v>
      </x:c>
      <x:c r="F82" s="9" t="str">
        <x:v>OPEN</x:v>
      </x:c>
      <x:c r="G82" s="9" t="str">
        <x:v>source evidence</x:v>
      </x:c>
    </x:row>
    <x:row r="83">
      <x:c r="B83" s="9" t="str">
        <x:v>C77</x:v>
      </x:c>
      <x:c r="C83" s="9" t="str">
        <x:v>Root A power-thermal article</x:v>
      </x:c>
      <x:c r="D83" s="11" t="n">
        <x:v>0</x:v>
      </x:c>
      <x:c r="E83" s="9" t="str">
        <x:v>binary</x:v>
      </x:c>
      <x:c r="F83" s="9" t="str">
        <x:v>OPEN</x:v>
      </x:c>
      <x:c r="G83" s="9" t="str">
        <x:v>source evidence</x:v>
      </x:c>
    </x:row>
    <x:row r="84">
      <x:c r="B84" s="9" t="str">
        <x:v>C78</x:v>
      </x:c>
      <x:c r="C84" s="9" t="str">
        <x:v>Root B power-thermal article</x:v>
      </x:c>
      <x:c r="D84" s="11" t="n">
        <x:v>0</x:v>
      </x:c>
      <x:c r="E84" s="9" t="str">
        <x:v>binary</x:v>
      </x:c>
      <x:c r="F84" s="9" t="str">
        <x:v>OPEN</x:v>
      </x:c>
      <x:c r="G84" s="9" t="str">
        <x:v>source evidence</x:v>
      </x:c>
    </x:row>
    <x:row r="85">
      <x:c r="B85" s="9" t="str">
        <x:v>C79</x:v>
      </x:c>
      <x:c r="C85" s="9" t="str">
        <x:v>Independent reproduction</x:v>
      </x:c>
      <x:c r="D85" s="11" t="n">
        <x:v>0</x:v>
      </x:c>
      <x:c r="E85" s="9" t="str">
        <x:v>binary</x:v>
      </x:c>
      <x:c r="F85" s="9" t="str">
        <x:v>OPEN</x:v>
      </x:c>
      <x:c r="G85" s="9" t="str">
        <x:v>source evidence</x:v>
      </x:c>
    </x:row>
    <x:row r="86">
      <x:c r="B86" s="9" t="str">
        <x:v>C80</x:v>
      </x:c>
      <x:c r="C86" s="9" t="str">
        <x:v>Build-package board</x:v>
      </x:c>
      <x:c r="D86" s="11" t="n">
        <x:v>0</x:v>
      </x:c>
      <x:c r="E86" s="9" t="str">
        <x:v>binary</x:v>
      </x:c>
      <x:c r="F86" s="9" t="str">
        <x:v>OPEN</x:v>
      </x:c>
      <x:c r="G86" s="9" t="str">
        <x:v>source evidence</x:v>
      </x:c>
    </x:row>
    <x:row r="87">
      <x:c r="B87" s="9" t="str">
        <x:v>C81</x:v>
      </x:c>
      <x:c r="C87" s="9" t="str">
        <x:v>Article acceptance</x:v>
      </x:c>
      <x:c r="D87" s="11" t="n">
        <x:v>0</x:v>
      </x:c>
      <x:c r="E87" s="9" t="str">
        <x:v>binary</x:v>
      </x:c>
      <x:c r="F87" s="9" t="str">
        <x:v>BLOCKED</x:v>
      </x:c>
      <x:c r="G87" s="9" t="str">
        <x:v>source evidence</x:v>
      </x:c>
    </x:row>
    <x:row r="88">
      <x:c r="B88" s="9" t="str">
        <x:v>C82</x:v>
      </x:c>
      <x:c r="C88" s="9" t="str">
        <x:v>CRC-E01 authority</x:v>
      </x:c>
      <x:c r="D88" s="11" t="n">
        <x:v>0</x:v>
      </x:c>
      <x:c r="E88" s="9" t="str">
        <x:v>binary</x:v>
      </x:c>
      <x:c r="F88" s="9" t="str">
        <x:v>BLOCKED</x:v>
      </x:c>
      <x:c r="G88" s="9" t="str">
        <x:v>source evidence</x:v>
      </x:c>
    </x:row>
    <x:row r="89">
      <x:c r="B89" s="9" t="str">
        <x:v>C83</x:v>
      </x:c>
      <x:c r="C89" s="9" t="str">
        <x:v>Production authority</x:v>
      </x:c>
      <x:c r="D89" s="11" t="n">
        <x:v>0</x:v>
      </x:c>
      <x:c r="E89" s="9" t="str">
        <x:v>binary</x:v>
      </x:c>
      <x:c r="F89" s="9" t="str">
        <x:v>BLOCKED</x:v>
      </x:c>
      <x:c r="G89" s="9" t="str">
        <x:v>source evidence</x:v>
      </x:c>
    </x:row>
    <x:row r="90">
      <x:c r="B90" s="10" t="str">
        <x:v>C84</x:v>
      </x:c>
      <x:c r="C90" s="10" t="str">
        <x:v>Exterior rendering authority</x:v>
      </x:c>
      <x:c r="D90" s="12" t="n">
        <x:v>0</x:v>
      </x:c>
      <x:c r="E90" s="10" t="str">
        <x:v>binary</x:v>
      </x:c>
      <x:c r="F90" s="10" t="str">
        <x:v>BLOCKED</x:v>
      </x:c>
      <x:c r="G90" s="10" t="str">
        <x:v>source evidence</x:v>
      </x:c>
    </x:row>
  </x:sheetData>
  <x:mergeCells>
    <x:mergeCell ref="B2:G2"/>
    <x:mergeCell ref="B3:G3"/>
  </x:mergeCells>
  <x:conditionalFormatting sqref="F7:F90">
    <x:cfRule type="containsText" dxfId="0" priority="1" operator="containsText" text="PASS"/>
    <x:cfRule type="containsText" dxfId="1" priority="2" operator="containsText" text="AUTHORIZED"/>
    <x:cfRule type="containsText" dxfId="2" priority="3" operator="containsText" text="DEFINED"/>
    <x:cfRule type="containsText" dxfId="3" priority="4" operator="containsText" text="READY"/>
    <x:cfRule type="containsText" dxfId="4" priority="5" operator="containsText" text="HOLD"/>
    <x:cfRule type="containsText" dxfId="5" priority="6" operator="containsText" text="OPEN"/>
    <x:cfRule type="containsText" dxfId="6" priority="7" operator="containsText" text="BLOCKED"/>
    <x:cfRule type="containsText" dxfId="7" priority="8" operator="containsText" text="PLANNING"/>
    <x:cfRule type="containsText" dxfId="8" priority="9" operator="containsText" text="FAIL"/>
    <x:cfRule type="containsText" dxfId="9" priority="10" operator="containsText" text="REJECT"/>
    <x:cfRule type="containsText" dxfId="10" priority="11" operator="containsText" text="INCOMPLETE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20" hidden="0" customWidth="1"/>
    <x:col min="3" max="3" width="38" hidden="0" customWidth="1"/>
    <x:col min="4" max="4" width="13" hidden="0" customWidth="1"/>
    <x:col min="5" max="5" width="12" hidden="0" customWidth="1"/>
    <x:col min="6" max="6" width="12" hidden="0" customWidth="1"/>
    <x:col min="7" max="7" width="12" hidden="0" customWidth="1"/>
    <x:col min="8" max="8" width="17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16" hidden="0" customWidth="1"/>
  </x:cols>
  <x:sheetData>
    <x:row r="2">
      <x:c r="B2" s="1" t="str">
        <x:v>Mass states, uncertainty and energy closure</x:v>
      </x:c>
    </x:row>
    <x:row r="3">
      <x:c r="B3" s="2" t="str">
        <x:v>Physical design target is distinct from the manufactured-mass allowance; proof and energy configurations remain exactly 40 t.</x:v>
      </x:c>
    </x:row>
    <x:row r="4"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</x:row>
    <x:row r="6">
      <x:c r="B6" s="7" t="str">
        <x:v>Root</x:v>
      </x:c>
      <x:c r="C6" s="7" t="str">
        <x:v>System</x:v>
      </x:c>
      <x:c r="D6" s="7" t="str">
        <x:v>Mass t</x:v>
      </x:c>
      <x:c r="E6" s="7" t="str">
        <x:v>X m</x:v>
      </x:c>
      <x:c r="F6" s="7" t="str">
        <x:v>Y m</x:v>
      </x:c>
      <x:c r="G6" s="7" t="str">
        <x:v>Z m</x:v>
      </x:c>
      <x:c r="H6" s="7" t="str">
        <x:v>Uncertainty t</x:v>
      </x:c>
      <x:c r="I6" s="7" t="str">
        <x:v>Mx</x:v>
      </x:c>
      <x:c r="J6" s="7" t="str">
        <x:v>My</x:v>
      </x:c>
      <x:c r="K6" s="7" t="str">
        <x:v>Mz</x:v>
      </x:c>
      <x:c r="L6" s="7" t="str">
        <x:v>Physical</x:v>
      </x:c>
      <x:c r="M6" s="7" t="str">
        <x:v>Allowance counted</x:v>
      </x:c>
      <x:c r="N6" s="7" t="str">
        <x:v>Mass gate</x:v>
      </x:c>
    </x:row>
    <x:row r="7">
      <x:c r="B7" s="9" t="str">
        <x:v>ROOT_A</x:v>
      </x:c>
      <x:c r="C7" s="9" t="str">
        <x:v>welded primary structure</x:v>
      </x:c>
      <x:c r="D7" s="16" t="n">
        <x:v>8</x:v>
      </x:c>
      <x:c r="E7" s="16" t="n">
        <x:v>6</x:v>
      </x:c>
      <x:c r="F7" s="16" t="n">
        <x:v>0</x:v>
      </x:c>
      <x:c r="G7" s="16" t="n">
        <x:v>1.4</x:v>
      </x:c>
      <x:c r="H7" s="16" t="n">
        <x:v>0.16</x:v>
      </x:c>
      <x:c r="I7" s="16" t="n">
        <x:f>D7*E7</x:f>
        <x:v>48</x:v>
      </x:c>
      <x:c r="J7" s="16" t="n">
        <x:f>D7*F7</x:f>
        <x:v>0</x:v>
      </x:c>
      <x:c r="K7" s="16" t="n">
        <x:f>D7*G7</x:f>
        <x:v>11.2</x:v>
      </x:c>
      <x:c r="L7" s="16" t="n">
        <x:v>1</x:v>
      </x:c>
      <x:c r="M7" s="16" t="n">
        <x:v>0</x:v>
      </x:c>
      <x:c r="N7" s="9" t="str">
        <x:f>IF(AND(L7=1,M7=0),"PASS","FAIL")</x:f>
        <x:v>PASS</x:v>
      </x:c>
    </x:row>
    <x:row r="8">
      <x:c r="B8" s="9" t="str">
        <x:v>ROOT_A</x:v>
      </x:c>
      <x:c r="C8" s="9" t="str">
        <x:v>supports and leveling</x:v>
      </x:c>
      <x:c r="D8" s="16" t="n">
        <x:v>3.2</x:v>
      </x:c>
      <x:c r="E8" s="16" t="n">
        <x:v>6</x:v>
      </x:c>
      <x:c r="F8" s="16" t="n">
        <x:v>0</x:v>
      </x:c>
      <x:c r="G8" s="16" t="n">
        <x:v>0.35</x:v>
      </x:c>
      <x:c r="H8" s="16" t="n">
        <x:v>0.06</x:v>
      </x:c>
      <x:c r="I8" s="16" t="n">
        <x:f>D8*E8</x:f>
        <x:v>19.200000000000003</x:v>
      </x:c>
      <x:c r="J8" s="16" t="n">
        <x:f>D8*F8</x:f>
        <x:v>0</x:v>
      </x:c>
      <x:c r="K8" s="16" t="n">
        <x:f>D8*G8</x:f>
        <x:v>1.1199999999999999</x:v>
      </x:c>
      <x:c r="L8" s="16" t="n">
        <x:v>1</x:v>
      </x:c>
      <x:c r="M8" s="16" t="n">
        <x:v>0</x:v>
      </x:c>
      <x:c r="N8" s="9" t="str">
        <x:f>IF(AND(L8=1,M8=0),"PASS","FAIL")</x:f>
        <x:v>PASS</x:v>
      </x:c>
    </x:row>
    <x:row r="9">
      <x:c r="B9" s="9" t="str">
        <x:v>ROOT_A</x:v>
      </x:c>
      <x:c r="C9" s="9" t="str">
        <x:v>handling and lift</x:v>
      </x:c>
      <x:c r="D9" s="16" t="n">
        <x:v>2.2</x:v>
      </x:c>
      <x:c r="E9" s="16" t="n">
        <x:v>6</x:v>
      </x:c>
      <x:c r="F9" s="16" t="n">
        <x:v>0</x:v>
      </x:c>
      <x:c r="G9" s="16" t="n">
        <x:v>2.6</x:v>
      </x:c>
      <x:c r="H9" s="16" t="n">
        <x:v>0.07</x:v>
      </x:c>
      <x:c r="I9" s="16" t="n">
        <x:f>D9*E9</x:f>
        <x:v>13.200000000000001</x:v>
      </x:c>
      <x:c r="J9" s="16" t="n">
        <x:f>D9*F9</x:f>
        <x:v>0</x:v>
      </x:c>
      <x:c r="K9" s="16" t="n">
        <x:f>D9*G9</x:f>
        <x:v>5.720000000000001</x:v>
      </x:c>
      <x:c r="L9" s="16" t="n">
        <x:v>1</x:v>
      </x:c>
      <x:c r="M9" s="16" t="n">
        <x:v>0</x:v>
      </x:c>
      <x:c r="N9" s="9" t="str">
        <x:f>IF(AND(L9=1,M9=0),"PASS","FAIL")</x:f>
        <x:v>PASS</x:v>
      </x:c>
    </x:row>
    <x:row r="10">
      <x:c r="B10" s="9" t="str">
        <x:v>ROOT_A</x:v>
      </x:c>
      <x:c r="C10" s="9" t="str">
        <x:v>hydraulic service</x:v>
      </x:c>
      <x:c r="D10" s="16" t="n">
        <x:v>4.2</x:v>
      </x:c>
      <x:c r="E10" s="16" t="n">
        <x:v>5</x:v>
      </x:c>
      <x:c r="F10" s="16" t="n">
        <x:v>0</x:v>
      </x:c>
      <x:c r="G10" s="16" t="n">
        <x:v>0.9</x:v>
      </x:c>
      <x:c r="H10" s="16" t="n">
        <x:v>0.08</x:v>
      </x:c>
      <x:c r="I10" s="16" t="n">
        <x:f>D10*E10</x:f>
        <x:v>21</x:v>
      </x:c>
      <x:c r="J10" s="16" t="n">
        <x:f>D10*F10</x:f>
        <x:v>0</x:v>
      </x:c>
      <x:c r="K10" s="16" t="n">
        <x:f>D10*G10</x:f>
        <x:v>3.7800000000000002</x:v>
      </x:c>
      <x:c r="L10" s="16" t="n">
        <x:v>1</x:v>
      </x:c>
      <x:c r="M10" s="16" t="n">
        <x:v>0</x:v>
      </x:c>
      <x:c r="N10" s="9" t="str">
        <x:f>IF(AND(L10=1,M10=0),"PASS","FAIL")</x:f>
        <x:v>PASS</x:v>
      </x:c>
    </x:row>
    <x:row r="11">
      <x:c r="B11" s="9" t="str">
        <x:v>ROOT_A</x:v>
      </x:c>
      <x:c r="C11" s="9" t="str">
        <x:v>generation and conversion</x:v>
      </x:c>
      <x:c r="D11" s="16" t="n">
        <x:v>5.8</x:v>
      </x:c>
      <x:c r="E11" s="16" t="n">
        <x:v>6.2</x:v>
      </x:c>
      <x:c r="F11" s="16" t="n">
        <x:v>0</x:v>
      </x:c>
      <x:c r="G11" s="16" t="n">
        <x:v>1.4</x:v>
      </x:c>
      <x:c r="H11" s="16" t="n">
        <x:v>0.15</x:v>
      </x:c>
      <x:c r="I11" s="16" t="n">
        <x:f>D11*E11</x:f>
        <x:v>35.96</x:v>
      </x:c>
      <x:c r="J11" s="16" t="n">
        <x:f>D11*F11</x:f>
        <x:v>0</x:v>
      </x:c>
      <x:c r="K11" s="16" t="n">
        <x:f>D11*G11</x:f>
        <x:v>8.12</x:v>
      </x:c>
      <x:c r="L11" s="16" t="n">
        <x:v>1</x:v>
      </x:c>
      <x:c r="M11" s="16" t="n">
        <x:v>0</x:v>
      </x:c>
      <x:c r="N11" s="9" t="str">
        <x:f>IF(AND(L11=1,M11=0),"PASS","FAIL")</x:f>
        <x:v>PASS</x:v>
      </x:c>
    </x:row>
    <x:row r="12">
      <x:c r="B12" s="9" t="str">
        <x:v>ROOT_A</x:v>
      </x:c>
      <x:c r="C12" s="9" t="str">
        <x:v>LFP storage</x:v>
      </x:c>
      <x:c r="D12" s="16" t="n">
        <x:v>3.4</x:v>
      </x:c>
      <x:c r="E12" s="16" t="n">
        <x:v>5.2</x:v>
      </x:c>
      <x:c r="F12" s="16" t="n">
        <x:v>-0.5</x:v>
      </x:c>
      <x:c r="G12" s="16" t="n">
        <x:v>1</x:v>
      </x:c>
      <x:c r="H12" s="16" t="n">
        <x:v>0.1</x:v>
      </x:c>
      <x:c r="I12" s="16" t="n">
        <x:f>D12*E12</x:f>
        <x:v>17.68</x:v>
      </x:c>
      <x:c r="J12" s="16" t="n">
        <x:f>D12*F12</x:f>
        <x:v>-1.7</x:v>
      </x:c>
      <x:c r="K12" s="16" t="n">
        <x:f>D12*G12</x:f>
        <x:v>3.4</x:v>
      </x:c>
      <x:c r="L12" s="16" t="n">
        <x:v>1</x:v>
      </x:c>
      <x:c r="M12" s="16" t="n">
        <x:v>0</x:v>
      </x:c>
      <x:c r="N12" s="9" t="str">
        <x:f>IF(AND(L12=1,M12=0),"PASS","FAIL")</x:f>
        <x:v>PASS</x:v>
      </x:c>
    </x:row>
    <x:row r="13">
      <x:c r="B13" s="9" t="str">
        <x:v>ROOT_A</x:v>
      </x:c>
      <x:c r="C13" s="9" t="str">
        <x:v>sanitary subsystem</x:v>
      </x:c>
      <x:c r="D13" s="16" t="n">
        <x:v>1</x:v>
      </x:c>
      <x:c r="E13" s="16" t="n">
        <x:v>2</x:v>
      </x:c>
      <x:c r="F13" s="16" t="n">
        <x:v>0.6</x:v>
      </x:c>
      <x:c r="G13" s="16" t="n">
        <x:v>1.4</x:v>
      </x:c>
      <x:c r="H13" s="16" t="n">
        <x:v>0.03</x:v>
      </x:c>
      <x:c r="I13" s="16" t="n">
        <x:f>D13*E13</x:f>
        <x:v>2</x:v>
      </x:c>
      <x:c r="J13" s="16" t="n">
        <x:f>D13*F13</x:f>
        <x:v>0.6</x:v>
      </x:c>
      <x:c r="K13" s="16" t="n">
        <x:f>D13*G13</x:f>
        <x:v>1.4</x:v>
      </x:c>
      <x:c r="L13" s="16" t="n">
        <x:v>1</x:v>
      </x:c>
      <x:c r="M13" s="16" t="n">
        <x:v>0</x:v>
      </x:c>
      <x:c r="N13" s="9" t="str">
        <x:f>IF(AND(L13=1,M13=0),"PASS","FAIL")</x:f>
        <x:v>PASS</x:v>
      </x:c>
    </x:row>
    <x:row r="14">
      <x:c r="B14" s="9" t="str">
        <x:v>ROOT_A</x:v>
      </x:c>
      <x:c r="C14" s="9" t="str">
        <x:v>independent evidence</x:v>
      </x:c>
      <x:c r="D14" s="16" t="n">
        <x:v>0.7</x:v>
      </x:c>
      <x:c r="E14" s="16" t="n">
        <x:v>6</x:v>
      </x:c>
      <x:c r="F14" s="16" t="n">
        <x:v>0</x:v>
      </x:c>
      <x:c r="G14" s="16" t="n">
        <x:v>3.2</x:v>
      </x:c>
      <x:c r="H14" s="16" t="n">
        <x:v>0.03</x:v>
      </x:c>
      <x:c r="I14" s="16" t="n">
        <x:f>D14*E14</x:f>
        <x:v>4.199999999999999</x:v>
      </x:c>
      <x:c r="J14" s="16" t="n">
        <x:f>D14*F14</x:f>
        <x:v>0</x:v>
      </x:c>
      <x:c r="K14" s="16" t="n">
        <x:f>D14*G14</x:f>
        <x:v>2.2399999999999998</x:v>
      </x:c>
      <x:c r="L14" s="16" t="n">
        <x:v>1</x:v>
      </x:c>
      <x:c r="M14" s="16" t="n">
        <x:v>0</x:v>
      </x:c>
      <x:c r="N14" s="9" t="str">
        <x:f>IF(AND(L14=1,M14=0),"PASS","FAIL")</x:f>
        <x:v>PASS</x:v>
      </x:c>
    </x:row>
    <x:row r="15">
      <x:c r="B15" s="9" t="str">
        <x:v>ROOT_A</x:v>
      </x:c>
      <x:c r="C15" s="9" t="str">
        <x:v>containment and fire</x:v>
      </x:c>
      <x:c r="D15" s="16" t="n">
        <x:v>0.8</x:v>
      </x:c>
      <x:c r="E15" s="16" t="n">
        <x:v>6</x:v>
      </x:c>
      <x:c r="F15" s="16" t="n">
        <x:v>0</x:v>
      </x:c>
      <x:c r="G15" s="16" t="n">
        <x:v>0.25</x:v>
      </x:c>
      <x:c r="H15" s="16" t="n">
        <x:v>0.04</x:v>
      </x:c>
      <x:c r="I15" s="16" t="n">
        <x:f>D15*E15</x:f>
        <x:v>4.800000000000001</x:v>
      </x:c>
      <x:c r="J15" s="16" t="n">
        <x:f>D15*F15</x:f>
        <x:v>0</x:v>
      </x:c>
      <x:c r="K15" s="16" t="n">
        <x:f>D15*G15</x:f>
        <x:v>0.2</x:v>
      </x:c>
      <x:c r="L15" s="16" t="n">
        <x:v>1</x:v>
      </x:c>
      <x:c r="M15" s="16" t="n">
        <x:v>0</x:v>
      </x:c>
      <x:c r="N15" s="9" t="str">
        <x:f>IF(AND(L15=1,M15=0),"PASS","FAIL")</x:f>
        <x:v>PASS</x:v>
      </x:c>
    </x:row>
    <x:row r="16">
      <x:c r="B16" s="9" t="str">
        <x:v>ROOT_A</x:v>
      </x:c>
      <x:c r="C16" s="9" t="str">
        <x:v>access and guarding</x:v>
      </x:c>
      <x:c r="D16" s="16" t="n">
        <x:v>0.6</x:v>
      </x:c>
      <x:c r="E16" s="16" t="n">
        <x:v>6</x:v>
      </x:c>
      <x:c r="F16" s="16" t="n">
        <x:v>0</x:v>
      </x:c>
      <x:c r="G16" s="16" t="n">
        <x:v>1.5</x:v>
      </x:c>
      <x:c r="H16" s="16" t="n">
        <x:v>0.03</x:v>
      </x:c>
      <x:c r="I16" s="16" t="n">
        <x:f>D16*E16</x:f>
        <x:v>3.5999999999999996</x:v>
      </x:c>
      <x:c r="J16" s="16" t="n">
        <x:f>D16*F16</x:f>
        <x:v>0</x:v>
      </x:c>
      <x:c r="K16" s="16" t="n">
        <x:f>D16*G16</x:f>
        <x:v>0.8999999999999999</x:v>
      </x:c>
      <x:c r="L16" s="16" t="n">
        <x:v>1</x:v>
      </x:c>
      <x:c r="M16" s="16" t="n">
        <x:v>0</x:v>
      </x:c>
      <x:c r="N16" s="9" t="str">
        <x:f>IF(AND(L16=1,M16=0),"PASS","FAIL")</x:f>
        <x:v>PASS</x:v>
      </x:c>
    </x:row>
    <x:row r="17">
      <x:c r="B17" s="9" t="str">
        <x:v>ROOT_A</x:v>
      </x:c>
      <x:c r="C17" s="9" t="str">
        <x:v>thermal system</x:v>
      </x:c>
      <x:c r="D17" s="16" t="n">
        <x:v>1</x:v>
      </x:c>
      <x:c r="E17" s="16" t="n">
        <x:v>8</x:v>
      </x:c>
      <x:c r="F17" s="16" t="n">
        <x:v>0.5</x:v>
      </x:c>
      <x:c r="G17" s="16" t="n">
        <x:v>2</x:v>
      </x:c>
      <x:c r="H17" s="16" t="n">
        <x:v>0.05</x:v>
      </x:c>
      <x:c r="I17" s="16" t="n">
        <x:f>D17*E17</x:f>
        <x:v>8</x:v>
      </x:c>
      <x:c r="J17" s="16" t="n">
        <x:f>D17*F17</x:f>
        <x:v>0.5</x:v>
      </x:c>
      <x:c r="K17" s="16" t="n">
        <x:f>D17*G17</x:f>
        <x:v>2</x:v>
      </x:c>
      <x:c r="L17" s="16" t="n">
        <x:v>1</x:v>
      </x:c>
      <x:c r="M17" s="16" t="n">
        <x:v>0</x:v>
      </x:c>
      <x:c r="N17" s="9" t="str">
        <x:f>IF(AND(L17=1,M17=0),"PASS","FAIL")</x:f>
        <x:v>PASS</x:v>
      </x:c>
    </x:row>
    <x:row r="18">
      <x:c r="B18" s="9" t="str">
        <x:v>ROOT_B</x:v>
      </x:c>
      <x:c r="C18" s="9" t="str">
        <x:v>composite shell-grid and nodes</x:v>
      </x:c>
      <x:c r="D18" s="16" t="n">
        <x:v>6.5</x:v>
      </x:c>
      <x:c r="E18" s="16" t="n">
        <x:v>6</x:v>
      </x:c>
      <x:c r="F18" s="16" t="n">
        <x:v>0</x:v>
      </x:c>
      <x:c r="G18" s="16" t="n">
        <x:v>1.5</x:v>
      </x:c>
      <x:c r="H18" s="16" t="n">
        <x:v>0.15</x:v>
      </x:c>
      <x:c r="I18" s="16" t="n">
        <x:f>D18*E18</x:f>
        <x:v>39</x:v>
      </x:c>
      <x:c r="J18" s="16" t="n">
        <x:f>D18*F18</x:f>
        <x:v>0</x:v>
      </x:c>
      <x:c r="K18" s="16" t="n">
        <x:f>D18*G18</x:f>
        <x:v>9.75</x:v>
      </x:c>
      <x:c r="L18" s="16" t="n">
        <x:v>1</x:v>
      </x:c>
      <x:c r="M18" s="16" t="n">
        <x:v>0</x:v>
      </x:c>
      <x:c r="N18" s="9" t="str">
        <x:f>IF(AND(L18=1,M18=0),"PASS","FAIL")</x:f>
        <x:v>PASS</x:v>
      </x:c>
    </x:row>
    <x:row r="19">
      <x:c r="B19" s="9" t="str">
        <x:v>ROOT_B</x:v>
      </x:c>
      <x:c r="C19" s="9" t="str">
        <x:v>supports and leveling</x:v>
      </x:c>
      <x:c r="D19" s="16" t="n">
        <x:v>3.8</x:v>
      </x:c>
      <x:c r="E19" s="16" t="n">
        <x:v>6</x:v>
      </x:c>
      <x:c r="F19" s="16" t="n">
        <x:v>0</x:v>
      </x:c>
      <x:c r="G19" s="16" t="n">
        <x:v>0.35</x:v>
      </x:c>
      <x:c r="H19" s="16" t="n">
        <x:v>0.08</x:v>
      </x:c>
      <x:c r="I19" s="16" t="n">
        <x:f>D19*E19</x:f>
        <x:v>22.799999999999997</x:v>
      </x:c>
      <x:c r="J19" s="16" t="n">
        <x:f>D19*F19</x:f>
        <x:v>0</x:v>
      </x:c>
      <x:c r="K19" s="16" t="n">
        <x:f>D19*G19</x:f>
        <x:v>1.3299999999999998</x:v>
      </x:c>
      <x:c r="L19" s="16" t="n">
        <x:v>1</x:v>
      </x:c>
      <x:c r="M19" s="16" t="n">
        <x:v>0</x:v>
      </x:c>
      <x:c r="N19" s="9" t="str">
        <x:f>IF(AND(L19=1,M19=0),"PASS","FAIL")</x:f>
        <x:v>PASS</x:v>
      </x:c>
    </x:row>
    <x:row r="20">
      <x:c r="B20" s="9" t="str">
        <x:v>ROOT_B</x:v>
      </x:c>
      <x:c r="C20" s="9" t="str">
        <x:v>handling and transfer</x:v>
      </x:c>
      <x:c r="D20" s="16" t="n">
        <x:v>2.7</x:v>
      </x:c>
      <x:c r="E20" s="16" t="n">
        <x:v>6</x:v>
      </x:c>
      <x:c r="F20" s="16" t="n">
        <x:v>0</x:v>
      </x:c>
      <x:c r="G20" s="16" t="n">
        <x:v>2.5</x:v>
      </x:c>
      <x:c r="H20" s="16" t="n">
        <x:v>0.08</x:v>
      </x:c>
      <x:c r="I20" s="16" t="n">
        <x:f>D20*E20</x:f>
        <x:v>16.200000000000003</x:v>
      </x:c>
      <x:c r="J20" s="16" t="n">
        <x:f>D20*F20</x:f>
        <x:v>0</x:v>
      </x:c>
      <x:c r="K20" s="16" t="n">
        <x:f>D20*G20</x:f>
        <x:v>6.75</x:v>
      </x:c>
      <x:c r="L20" s="16" t="n">
        <x:v>1</x:v>
      </x:c>
      <x:c r="M20" s="16" t="n">
        <x:v>0</x:v>
      </x:c>
      <x:c r="N20" s="9" t="str">
        <x:f>IF(AND(L20=1,M20=0),"PASS","FAIL")</x:f>
        <x:v>PASS</x:v>
      </x:c>
    </x:row>
    <x:row r="21">
      <x:c r="B21" s="9" t="str">
        <x:v>ROOT_B</x:v>
      </x:c>
      <x:c r="C21" s="9" t="str">
        <x:v>hydraulic service</x:v>
      </x:c>
      <x:c r="D21" s="16" t="n">
        <x:v>4.3</x:v>
      </x:c>
      <x:c r="E21" s="16" t="n">
        <x:v>5.2</x:v>
      </x:c>
      <x:c r="F21" s="16" t="n">
        <x:v>0</x:v>
      </x:c>
      <x:c r="G21" s="16" t="n">
        <x:v>0.95</x:v>
      </x:c>
      <x:c r="H21" s="16" t="n">
        <x:v>0.09</x:v>
      </x:c>
      <x:c r="I21" s="16" t="n">
        <x:f>D21*E21</x:f>
        <x:v>22.36</x:v>
      </x:c>
      <x:c r="J21" s="16" t="n">
        <x:f>D21*F21</x:f>
        <x:v>0</x:v>
      </x:c>
      <x:c r="K21" s="16" t="n">
        <x:f>D21*G21</x:f>
        <x:v>4.085</x:v>
      </x:c>
      <x:c r="L21" s="16" t="n">
        <x:v>1</x:v>
      </x:c>
      <x:c r="M21" s="16" t="n">
        <x:v>0</x:v>
      </x:c>
      <x:c r="N21" s="9" t="str">
        <x:f>IF(AND(L21=1,M21=0),"PASS","FAIL")</x:f>
        <x:v>PASS</x:v>
      </x:c>
    </x:row>
    <x:row r="22">
      <x:c r="B22" s="9" t="str">
        <x:v>ROOT_B</x:v>
      </x:c>
      <x:c r="C22" s="9" t="str">
        <x:v>alternate rotating conversion</x:v>
      </x:c>
      <x:c r="D22" s="16" t="n">
        <x:v>4.8</x:v>
      </x:c>
      <x:c r="E22" s="16" t="n">
        <x:v>6.5</x:v>
      </x:c>
      <x:c r="F22" s="16" t="n">
        <x:v>0</x:v>
      </x:c>
      <x:c r="G22" s="16" t="n">
        <x:v>1.5</x:v>
      </x:c>
      <x:c r="H22" s="16" t="n">
        <x:v>0.14</x:v>
      </x:c>
      <x:c r="I22" s="16" t="n">
        <x:f>D22*E22</x:f>
        <x:v>31.2</x:v>
      </x:c>
      <x:c r="J22" s="16" t="n">
        <x:f>D22*F22</x:f>
        <x:v>0</x:v>
      </x:c>
      <x:c r="K22" s="16" t="n">
        <x:f>D22*G22</x:f>
        <x:v>7.199999999999999</x:v>
      </x:c>
      <x:c r="L22" s="16" t="n">
        <x:v>1</x:v>
      </x:c>
      <x:c r="M22" s="16" t="n">
        <x:v>0</x:v>
      </x:c>
      <x:c r="N22" s="9" t="str">
        <x:f>IF(AND(L22=1,M22=0),"PASS","FAIL")</x:f>
        <x:v>PASS</x:v>
      </x:c>
    </x:row>
    <x:row r="23">
      <x:c r="B23" s="9" t="str">
        <x:v>ROOT_B</x:v>
      </x:c>
      <x:c r="C23" s="9" t="str">
        <x:v>structural zinc-halogen storage</x:v>
      </x:c>
      <x:c r="D23" s="16" t="n">
        <x:v>4.7</x:v>
      </x:c>
      <x:c r="E23" s="16" t="n">
        <x:v>5.5</x:v>
      </x:c>
      <x:c r="F23" s="16" t="n">
        <x:v>0.4</x:v>
      </x:c>
      <x:c r="G23" s="16" t="n">
        <x:v>1.05</x:v>
      </x:c>
      <x:c r="H23" s="16" t="n">
        <x:v>0.12</x:v>
      </x:c>
      <x:c r="I23" s="16" t="n">
        <x:f>D23*E23</x:f>
        <x:v>25.85</x:v>
      </x:c>
      <x:c r="J23" s="16" t="n">
        <x:f>D23*F23</x:f>
        <x:v>1.8800000000000001</x:v>
      </x:c>
      <x:c r="K23" s="16" t="n">
        <x:f>D23*G23</x:f>
        <x:v>4.9350000000000005</x:v>
      </x:c>
      <x:c r="L23" s="16" t="n">
        <x:v>1</x:v>
      </x:c>
      <x:c r="M23" s="16" t="n">
        <x:v>0</x:v>
      </x:c>
      <x:c r="N23" s="9" t="str">
        <x:f>IF(AND(L23=1,M23=0),"PASS","FAIL")</x:f>
        <x:v>PASS</x:v>
      </x:c>
    </x:row>
    <x:row r="24">
      <x:c r="B24" s="9" t="str">
        <x:v>ROOT_B</x:v>
      </x:c>
      <x:c r="C24" s="9" t="str">
        <x:v>sanitary subsystem</x:v>
      </x:c>
      <x:c r="D24" s="16" t="n">
        <x:v>1</x:v>
      </x:c>
      <x:c r="E24" s="16" t="n">
        <x:v>2.2</x:v>
      </x:c>
      <x:c r="F24" s="16" t="n">
        <x:v>-0.6</x:v>
      </x:c>
      <x:c r="G24" s="16" t="n">
        <x:v>1.4</x:v>
      </x:c>
      <x:c r="H24" s="16" t="n">
        <x:v>0.03</x:v>
      </x:c>
      <x:c r="I24" s="16" t="n">
        <x:f>D24*E24</x:f>
        <x:v>2.2</x:v>
      </x:c>
      <x:c r="J24" s="16" t="n">
        <x:f>D24*F24</x:f>
        <x:v>-0.6</x:v>
      </x:c>
      <x:c r="K24" s="16" t="n">
        <x:f>D24*G24</x:f>
        <x:v>1.4</x:v>
      </x:c>
      <x:c r="L24" s="16" t="n">
        <x:v>1</x:v>
      </x:c>
      <x:c r="M24" s="16" t="n">
        <x:v>0</x:v>
      </x:c>
      <x:c r="N24" s="9" t="str">
        <x:f>IF(AND(L24=1,M24=0),"PASS","FAIL")</x:f>
        <x:v>PASS</x:v>
      </x:c>
    </x:row>
    <x:row r="25">
      <x:c r="B25" s="9" t="str">
        <x:v>ROOT_B</x:v>
      </x:c>
      <x:c r="C25" s="9" t="str">
        <x:v>independent evidence</x:v>
      </x:c>
      <x:c r="D25" s="16" t="n">
        <x:v>0.8</x:v>
      </x:c>
      <x:c r="E25" s="16" t="n">
        <x:v>6</x:v>
      </x:c>
      <x:c r="F25" s="16" t="n">
        <x:v>0</x:v>
      </x:c>
      <x:c r="G25" s="16" t="n">
        <x:v>3.2</x:v>
      </x:c>
      <x:c r="H25" s="16" t="n">
        <x:v>0.04</x:v>
      </x:c>
      <x:c r="I25" s="16" t="n">
        <x:f>D25*E25</x:f>
        <x:v>4.800000000000001</x:v>
      </x:c>
      <x:c r="J25" s="16" t="n">
        <x:f>D25*F25</x:f>
        <x:v>0</x:v>
      </x:c>
      <x:c r="K25" s="16" t="n">
        <x:f>D25*G25</x:f>
        <x:v>2.5600000000000005</x:v>
      </x:c>
      <x:c r="L25" s="16" t="n">
        <x:v>1</x:v>
      </x:c>
      <x:c r="M25" s="16" t="n">
        <x:v>0</x:v>
      </x:c>
      <x:c r="N25" s="9" t="str">
        <x:f>IF(AND(L25=1,M25=0),"PASS","FAIL")</x:f>
        <x:v>PASS</x:v>
      </x:c>
    </x:row>
    <x:row r="26">
      <x:c r="B26" s="9" t="str">
        <x:v>ROOT_B</x:v>
      </x:c>
      <x:c r="C26" s="9" t="str">
        <x:v>containment and fire</x:v>
      </x:c>
      <x:c r="D26" s="16" t="n">
        <x:v>0.9</x:v>
      </x:c>
      <x:c r="E26" s="16" t="n">
        <x:v>6</x:v>
      </x:c>
      <x:c r="F26" s="16" t="n">
        <x:v>0</x:v>
      </x:c>
      <x:c r="G26" s="16" t="n">
        <x:v>0.25</x:v>
      </x:c>
      <x:c r="H26" s="16" t="n">
        <x:v>0.05</x:v>
      </x:c>
      <x:c r="I26" s="16" t="n">
        <x:f>D26*E26</x:f>
        <x:v>5.4</x:v>
      </x:c>
      <x:c r="J26" s="16" t="n">
        <x:f>D26*F26</x:f>
        <x:v>0</x:v>
      </x:c>
      <x:c r="K26" s="16" t="n">
        <x:f>D26*G26</x:f>
        <x:v>0.225</x:v>
      </x:c>
      <x:c r="L26" s="16" t="n">
        <x:v>1</x:v>
      </x:c>
      <x:c r="M26" s="16" t="n">
        <x:v>0</x:v>
      </x:c>
      <x:c r="N26" s="9" t="str">
        <x:f>IF(AND(L26=1,M26=0),"PASS","FAIL")</x:f>
        <x:v>PASS</x:v>
      </x:c>
    </x:row>
    <x:row r="27">
      <x:c r="B27" s="9" t="str">
        <x:v>ROOT_B</x:v>
      </x:c>
      <x:c r="C27" s="9" t="str">
        <x:v>access and guarding</x:v>
      </x:c>
      <x:c r="D27" s="16" t="n">
        <x:v>0.7</x:v>
      </x:c>
      <x:c r="E27" s="16" t="n">
        <x:v>6</x:v>
      </x:c>
      <x:c r="F27" s="16" t="n">
        <x:v>0</x:v>
      </x:c>
      <x:c r="G27" s="16" t="n">
        <x:v>1.5</x:v>
      </x:c>
      <x:c r="H27" s="16" t="n">
        <x:v>0.04</x:v>
      </x:c>
      <x:c r="I27" s="16" t="n">
        <x:f>D27*E27</x:f>
        <x:v>4.199999999999999</x:v>
      </x:c>
      <x:c r="J27" s="16" t="n">
        <x:f>D27*F27</x:f>
        <x:v>0</x:v>
      </x:c>
      <x:c r="K27" s="16" t="n">
        <x:f>D27*G27</x:f>
        <x:v>1.0499999999999998</x:v>
      </x:c>
      <x:c r="L27" s="16" t="n">
        <x:v>1</x:v>
      </x:c>
      <x:c r="M27" s="16" t="n">
        <x:v>0</x:v>
      </x:c>
      <x:c r="N27" s="9" t="str">
        <x:f>IF(AND(L27=1,M27=0),"PASS","FAIL")</x:f>
        <x:v>PASS</x:v>
      </x:c>
    </x:row>
    <x:row r="28">
      <x:c r="B28" s="9" t="str">
        <x:v>ROOT_B</x:v>
      </x:c>
      <x:c r="C28" s="9" t="str">
        <x:v>thermal system</x:v>
      </x:c>
      <x:c r="D28" s="16" t="n">
        <x:v>0.7</x:v>
      </x:c>
      <x:c r="E28" s="16" t="n">
        <x:v>8</x:v>
      </x:c>
      <x:c r="F28" s="16" t="n">
        <x:v>-0.5</x:v>
      </x:c>
      <x:c r="G28" s="16" t="n">
        <x:v>2</x:v>
      </x:c>
      <x:c r="H28" s="16" t="n">
        <x:v>0.04</x:v>
      </x:c>
      <x:c r="I28" s="16" t="n">
        <x:f>D28*E28</x:f>
        <x:v>5.6</x:v>
      </x:c>
      <x:c r="J28" s="16" t="n">
        <x:f>D28*F28</x:f>
        <x:v>-0.35</x:v>
      </x:c>
      <x:c r="K28" s="16" t="n">
        <x:f>D28*G28</x:f>
        <x:v>1.4</x:v>
      </x:c>
      <x:c r="L28" s="16" t="n">
        <x:v>1</x:v>
      </x:c>
      <x:c r="M28" s="16" t="n">
        <x:v>0</x:v>
      </x:c>
      <x:c r="N28" s="9" t="str">
        <x:f>IF(AND(L28=1,M28=0),"PASS","FAIL")</x:f>
        <x:v>PASS</x:v>
      </x:c>
    </x:row>
    <x:row r="29">
      <x:c r="B29" s="9"/>
      <x:c r="C29" s="9"/>
      <x:c r="D29" s="16"/>
      <x:c r="E29" s="16"/>
      <x:c r="F29" s="16"/>
      <x:c r="G29" s="16"/>
      <x:c r="H29" s="16"/>
      <x:c r="I29" s="16"/>
      <x:c r="J29" s="16"/>
      <x:c r="K29" s="16"/>
      <x:c r="L29" s="16"/>
      <x:c r="M29" s="16"/>
      <x:c r="N29" s="9"/>
    </x:row>
    <x:row r="30">
      <x:c r="B30" s="9"/>
      <x:c r="C30" s="9"/>
      <x:c r="D30" s="16"/>
      <x:c r="E30" s="16"/>
      <x:c r="F30" s="16"/>
      <x:c r="G30" s="16"/>
      <x:c r="H30" s="16"/>
      <x:c r="I30" s="16"/>
      <x:c r="J30" s="16"/>
      <x:c r="K30" s="16"/>
      <x:c r="L30" s="16"/>
      <x:c r="M30" s="16"/>
      <x:c r="N30" s="9"/>
    </x:row>
    <x:row r="31">
      <x:c r="B31" s="9"/>
      <x:c r="C31" s="9"/>
      <x:c r="D31" s="16"/>
      <x:c r="E31" s="16"/>
      <x:c r="F31" s="16"/>
      <x:c r="G31" s="16"/>
      <x:c r="H31" s="16"/>
      <x:c r="I31" s="16"/>
      <x:c r="J31" s="16"/>
      <x:c r="K31" s="16"/>
      <x:c r="L31" s="16"/>
      <x:c r="M31" s="16"/>
      <x:c r="N31" s="9"/>
    </x:row>
    <x:row r="32">
      <x:c r="B32" s="15" t="str">
        <x:v>Derived physical mass, CG and uncertainty</x:v>
      </x:c>
      <x:c r="C32" s="15" t="str">
        <x:v>Derived physical mass, CG and uncertainty</x:v>
      </x:c>
      <x:c r="D32" s="17" t="str">
        <x:v>Derived physical mass, CG and uncertainty</x:v>
      </x:c>
      <x:c r="E32" s="17" t="str">
        <x:v>Derived physical mass, CG and uncertainty</x:v>
      </x:c>
      <x:c r="F32" s="17" t="str">
        <x:v>Derived physical mass, CG and uncertainty</x:v>
      </x:c>
      <x:c r="G32" s="17" t="str">
        <x:v>Derived physical mass, CG and uncertainty</x:v>
      </x:c>
      <x:c r="H32" s="17" t="str">
        <x:v>Derived physical mass, CG and uncertainty</x:v>
      </x:c>
      <x:c r="I32" s="17" t="str">
        <x:v>Derived physical mass, CG and uncertainty</x:v>
      </x:c>
      <x:c r="J32" s="17" t="str">
        <x:v>Derived physical mass, CG and uncertainty</x:v>
      </x:c>
      <x:c r="K32" s="17" t="str">
        <x:v>Derived physical mass, CG and uncertainty</x:v>
      </x:c>
      <x:c r="L32" s="17" t="str">
        <x:v>Derived physical mass, CG and uncertainty</x:v>
      </x:c>
      <x:c r="M32" s="17" t="str">
        <x:v>Derived physical mass, CG and uncertainty</x:v>
      </x:c>
      <x:c r="N32" s="15" t="str">
        <x:v>Derived physical mass, CG and uncertainty</x:v>
      </x:c>
    </x:row>
    <x:row r="33">
      <x:c r="B33" s="7" t="str">
        <x:v>Root</x:v>
      </x:c>
      <x:c r="C33" s="7" t="str">
        <x:v>Physical t</x:v>
      </x:c>
      <x:c r="D33" s="18" t="str">
        <x:v>CG X</x:v>
      </x:c>
      <x:c r="E33" s="18" t="str">
        <x:v>CG Y</x:v>
      </x:c>
      <x:c r="F33" s="18" t="str">
        <x:v>CG Z</x:v>
      </x:c>
      <x:c r="G33" s="18" t="str">
        <x:v>Worst uncertainty</x:v>
      </x:c>
      <x:c r="H33" s="18" t="str">
        <x:v>RSS uncertainty</x:v>
      </x:c>
      <x:c r="I33" s="18" t="str">
        <x:v>Allowance</x:v>
      </x:c>
      <x:c r="J33" s="18" t="str">
        <x:v>Worst remaining</x:v>
      </x:c>
      <x:c r="K33" s="18" t="str">
        <x:v>RSS remaining</x:v>
      </x:c>
      <x:c r="L33" s="18" t="str">
        <x:v>Physical target</x:v>
      </x:c>
      <x:c r="M33" s="18" t="str">
        <x:v>Dry limit</x:v>
      </x:c>
      <x:c r="N33" s="7" t="str">
        <x:v>Planning gate</x:v>
      </x:c>
    </x:row>
    <x:row r="34">
      <x:c r="B34" s="9" t="str">
        <x:v>ROOT_A</x:v>
      </x:c>
      <x:c r="C34" s="9" t="n">
        <x:f>SUM(D7:D17)</x:f>
        <x:v>30.9</x:v>
      </x:c>
      <x:c r="D34" s="16" t="n">
        <x:f>SUM(I7:I17)/C34</x:f>
        <x:v>5.748867313915858</x:v>
      </x:c>
      <x:c r="E34" s="16" t="n">
        <x:f>SUM(J7:J17)/C34</x:f>
        <x:v>-0.019417475728155345</x:v>
      </x:c>
      <x:c r="F34" s="16" t="n">
        <x:f>SUM(K7:K17)/C34</x:f>
        <x:v>1.2970873786407766</x:v>
      </x:c>
      <x:c r="G34" s="16" t="n">
        <x:f>SUM(H7:H17)</x:f>
        <x:v>0.8000000000000002</x:v>
      </x:c>
      <x:c r="H34" s="16" t="n">
        <x:f>SQRT(H7^2+H8^2+H9^2+H10^2+H11^2+H12^2+H13^2+H14^2+H15^2+H16^2+H17^2)</x:f>
        <x:v>0.2824889378365107</x:v>
      </x:c>
      <x:c r="I34" s="16" t="n">
        <x:f>'Controls'!$D$9</x:f>
        <x:v>1.1</x:v>
      </x:c>
      <x:c r="J34" s="16" t="n">
        <x:f>I34-G34</x:f>
        <x:v>0.29999999999999993</x:v>
      </x:c>
      <x:c r="K34" s="16" t="n">
        <x:f>I34-H34</x:f>
        <x:v>0.8175110621634893</x:v>
      </x:c>
      <x:c r="L34" s="16" t="n">
        <x:f>'Controls'!$D$7</x:f>
        <x:v>30.9</x:v>
      </x:c>
      <x:c r="M34" s="16" t="n">
        <x:f>'Controls'!$D$8</x:f>
        <x:v>32</x:v>
      </x:c>
      <x:c r="N34" s="9" t="str">
        <x:f>IF(AND(ABS(C34-L34)&lt;0.001,G34&lt;=I34,C34+G34&lt;=M34),"PASS","FAIL")</x:f>
        <x:v>PASS</x:v>
      </x:c>
    </x:row>
    <x:row r="35">
      <x:c r="B35" s="9" t="str">
        <x:v>ROOT_B</x:v>
      </x:c>
      <x:c r="C35" s="9" t="n">
        <x:f>SUM(D18:D28)</x:f>
        <x:v>30.9</x:v>
      </x:c>
      <x:c r="D35" s="16" t="n">
        <x:f>SUM(I18:I28)/C35</x:f>
        <x:v>5.812621359223301</x:v>
      </x:c>
      <x:c r="E35" s="16" t="n">
        <x:f>SUM(J18:J28)/C35</x:f>
        <x:v>0.030097087378640787</x:v>
      </x:c>
      <x:c r="F35" s="16" t="n">
        <x:f>SUM(K18:K28)/C35</x:f>
        <x:v>1.3166666666666667</x:v>
      </x:c>
      <x:c r="G35" s="16" t="n">
        <x:f>SUM(H18:H28)</x:f>
        <x:v>0.8600000000000002</x:v>
      </x:c>
      <x:c r="H35" s="16" t="n">
        <x:f>SQRT(H18^2+H19^2+H20^2+H21^2+H22^2+H23^2+H24^2+H25^2+H26^2+H27^2+H28^2)</x:f>
        <x:v>0.2925747767665559</x:v>
      </x:c>
      <x:c r="I35" s="16" t="n">
        <x:f>'Controls'!$D$9</x:f>
        <x:v>1.1</x:v>
      </x:c>
      <x:c r="J35" s="16" t="n">
        <x:f>I35-G35</x:f>
        <x:v>0.23999999999999988</x:v>
      </x:c>
      <x:c r="K35" s="16" t="n">
        <x:f>I35-H35</x:f>
        <x:v>0.8074252232334442</x:v>
      </x:c>
      <x:c r="L35" s="16" t="n">
        <x:f>'Controls'!$D$7</x:f>
        <x:v>30.9</x:v>
      </x:c>
      <x:c r="M35" s="16" t="n">
        <x:f>'Controls'!$D$8</x:f>
        <x:v>32</x:v>
      </x:c>
      <x:c r="N35" s="9" t="str">
        <x:f>IF(AND(ABS(C35-L35)&lt;0.001,G35&lt;=I35,C35+G35&lt;=M35),"PASS","FAIL")</x:f>
        <x:v>PASS</x:v>
      </x:c>
    </x:row>
    <x:row r="36">
      <x:c r="B36" s="9"/>
      <x:c r="C36" s="9"/>
      <x:c r="D36" s="16"/>
      <x:c r="E36" s="16"/>
      <x:c r="F36" s="16"/>
      <x:c r="G36" s="16"/>
      <x:c r="H36" s="16"/>
      <x:c r="I36" s="16"/>
      <x:c r="J36" s="16"/>
      <x:c r="K36" s="16"/>
      <x:c r="L36" s="16"/>
      <x:c r="M36" s="16"/>
      <x:c r="N36" s="9"/>
    </x:row>
    <x:row r="37">
      <x:c r="B37" s="9"/>
      <x:c r="C37" s="9"/>
      <x:c r="D37" s="16"/>
      <x:c r="E37" s="16"/>
      <x:c r="F37" s="16"/>
      <x:c r="G37" s="16"/>
      <x:c r="H37" s="16"/>
      <x:c r="I37" s="16"/>
      <x:c r="J37" s="16"/>
      <x:c r="K37" s="16"/>
      <x:c r="L37" s="16"/>
      <x:c r="M37" s="16"/>
      <x:c r="N37" s="9"/>
    </x:row>
    <x:row r="38">
      <x:c r="B38" s="15" t="str">
        <x:v>Named 40-tonne configurations</x:v>
      </x:c>
      <x:c r="C38" s="15" t="str">
        <x:v>Named 40-tonne configurations</x:v>
      </x:c>
      <x:c r="D38" s="17" t="str">
        <x:v>Named 40-tonne configurations</x:v>
      </x:c>
      <x:c r="E38" s="17" t="str">
        <x:v>Named 40-tonne configurations</x:v>
      </x:c>
      <x:c r="F38" s="17" t="str">
        <x:v>Named 40-tonne configurations</x:v>
      </x:c>
      <x:c r="G38" s="17" t="str">
        <x:v>Named 40-tonne configurations</x:v>
      </x:c>
      <x:c r="H38" s="17" t="str">
        <x:v>Named 40-tonne configurations</x:v>
      </x:c>
      <x:c r="I38" s="17" t="str">
        <x:v>Named 40-tonne configurations</x:v>
      </x:c>
      <x:c r="J38" s="17" t="str">
        <x:v>Named 40-tonne configurations</x:v>
      </x:c>
      <x:c r="K38" s="17" t="str">
        <x:v>Named 40-tonne configurations</x:v>
      </x:c>
      <x:c r="L38" s="17" t="str">
        <x:v>Named 40-tonne configurations</x:v>
      </x:c>
      <x:c r="M38" s="17" t="str">
        <x:v>Named 40-tonne configurations</x:v>
      </x:c>
      <x:c r="N38" s="15" t="str">
        <x:v>Named 40-tonne configurations</x:v>
      </x:c>
    </x:row>
    <x:row r="39">
      <x:c r="B39" s="7" t="str">
        <x:v>State</x:v>
      </x:c>
      <x:c r="C39" s="7" t="str">
        <x:v>Dry physical</x:v>
      </x:c>
      <x:c r="D39" s="18" t="str">
        <x:v>Nonfuel service</x:v>
      </x:c>
      <x:c r="E39" s="18" t="str">
        <x:v>Fuel</x:v>
      </x:c>
      <x:c r="F39" s="18" t="str">
        <x:v>Ballast</x:v>
      </x:c>
      <x:c r="G39" s="18" t="str">
        <x:v>Total</x:v>
      </x:c>
      <x:c r="H39" s="18" t="str">
        <x:v>Required</x:v>
      </x:c>
      <x:c r="I39" s="18" t="str">
        <x:v>Gate</x:v>
      </x:c>
      <x:c r="J39" s="16"/>
      <x:c r="K39" s="16"/>
      <x:c r="L39" s="16"/>
      <x:c r="M39" s="16"/>
      <x:c r="N39" s="9"/>
    </x:row>
    <x:row r="40">
      <x:c r="B40" s="9" t="str">
        <x:v>STRUCTURAL PROOF</x:v>
      </x:c>
      <x:c r="C40" s="9" t="n">
        <x:f>'Controls'!$D$7</x:f>
        <x:v>30.9</x:v>
      </x:c>
      <x:c r="D40" s="16" t="n">
        <x:f>'Controls'!$D$12</x:f>
        <x:v>4</x:v>
      </x:c>
      <x:c r="E40" s="16" t="n">
        <x:f>0</x:f>
        <x:v>0</x:v>
      </x:c>
      <x:c r="F40" s="16" t="n">
        <x:f>'Controls'!$D$17</x:f>
        <x:v>5.1</x:v>
      </x:c>
      <x:c r="G40" s="16" t="n">
        <x:f>SUM(C40:F40)</x:f>
        <x:v>40</x:v>
      </x:c>
      <x:c r="H40" s="16" t="n">
        <x:f>'Controls'!$D$10</x:f>
        <x:v>40</x:v>
      </x:c>
      <x:c r="I40" s="16" t="str">
        <x:f>IF(ABS(G40-H40)&lt;0.001,"PASS","FAIL")</x:f>
        <x:v>PASS</x:v>
      </x:c>
      <x:c r="J40" s="16"/>
      <x:c r="K40" s="16"/>
      <x:c r="L40" s="16"/>
      <x:c r="M40" s="16"/>
      <x:c r="N40" s="9"/>
    </x:row>
    <x:row r="41">
      <x:c r="B41" s="9" t="str">
        <x:v>ROOT_A ENERGY</x:v>
      </x:c>
      <x:c r="C41" s="9" t="n">
        <x:f>'Controls'!$D$7</x:f>
        <x:v>30.9</x:v>
      </x:c>
      <x:c r="D41" s="16" t="n">
        <x:f>'Controls'!$D$11</x:f>
        <x:v>2.6</x:v>
      </x:c>
      <x:c r="E41" s="16" t="n">
        <x:f>'Controls'!$D$13</x:f>
        <x:v>3.2</x:v>
      </x:c>
      <x:c r="F41" s="16" t="n">
        <x:f>'Controls'!$D$15</x:f>
        <x:v>3.3</x:v>
      </x:c>
      <x:c r="G41" s="16" t="n">
        <x:f>SUM(C41:F41)</x:f>
        <x:v>40</x:v>
      </x:c>
      <x:c r="H41" s="16" t="n">
        <x:f>'Controls'!$D$10</x:f>
        <x:v>40</x:v>
      </x:c>
      <x:c r="I41" s="16" t="str">
        <x:f>IF(ABS(G41-H41)&lt;0.001,"PASS","FAIL")</x:f>
        <x:v>PASS</x:v>
      </x:c>
      <x:c r="J41" s="16"/>
      <x:c r="K41" s="16"/>
      <x:c r="L41" s="16"/>
      <x:c r="M41" s="16"/>
      <x:c r="N41" s="9"/>
    </x:row>
    <x:row r="42">
      <x:c r="B42" s="9" t="str">
        <x:v>ROOT_B ENERGY</x:v>
      </x:c>
      <x:c r="C42" s="9" t="n">
        <x:f>'Controls'!$D$7</x:f>
        <x:v>30.9</x:v>
      </x:c>
      <x:c r="D42" s="16" t="n">
        <x:f>'Controls'!$D$11</x:f>
        <x:v>2.6</x:v>
      </x:c>
      <x:c r="E42" s="16" t="n">
        <x:f>'Controls'!$D$14</x:f>
        <x:v>4.4</x:v>
      </x:c>
      <x:c r="F42" s="16" t="n">
        <x:f>'Controls'!$D$16</x:f>
        <x:v>2.1</x:v>
      </x:c>
      <x:c r="G42" s="16" t="n">
        <x:f>SUM(C42:F42)</x:f>
        <x:v>40</x:v>
      </x:c>
      <x:c r="H42" s="16" t="n">
        <x:f>'Controls'!$D$10</x:f>
        <x:v>40</x:v>
      </x:c>
      <x:c r="I42" s="16" t="str">
        <x:f>IF(ABS(G42-H42)&lt;0.001,"PASS","FAIL")</x:f>
        <x:v>PASS</x:v>
      </x:c>
      <x:c r="J42" s="16"/>
      <x:c r="K42" s="16"/>
      <x:c r="L42" s="16"/>
      <x:c r="M42" s="16"/>
      <x:c r="N42" s="9"/>
    </x:row>
    <x:row r="43">
      <x:c r="B43" s="9"/>
      <x:c r="C43" s="9"/>
      <x:c r="D43" s="16"/>
      <x:c r="E43" s="16"/>
      <x:c r="F43" s="16"/>
      <x:c r="G43" s="16"/>
      <x:c r="H43" s="16"/>
      <x:c r="I43" s="16"/>
      <x:c r="J43" s="16"/>
      <x:c r="K43" s="16"/>
      <x:c r="L43" s="16"/>
      <x:c r="M43" s="16"/>
      <x:c r="N43" s="9"/>
    </x:row>
    <x:row r="44">
      <x:c r="B44" s="9"/>
      <x:c r="C44" s="9"/>
      <x:c r="D44" s="16"/>
      <x:c r="E44" s="16"/>
      <x:c r="F44" s="16"/>
      <x:c r="G44" s="16"/>
      <x:c r="H44" s="16"/>
      <x:c r="I44" s="16"/>
      <x:c r="J44" s="16"/>
      <x:c r="K44" s="16"/>
      <x:c r="L44" s="16"/>
      <x:c r="M44" s="16"/>
      <x:c r="N44" s="9"/>
    </x:row>
    <x:row r="45">
      <x:c r="B45" s="15" t="str">
        <x:v>Energy closure</x:v>
      </x:c>
      <x:c r="C45" s="15" t="str">
        <x:v>Energy closure</x:v>
      </x:c>
      <x:c r="D45" s="17" t="str">
        <x:v>Energy closure</x:v>
      </x:c>
      <x:c r="E45" s="17" t="str">
        <x:v>Energy closure</x:v>
      </x:c>
      <x:c r="F45" s="17" t="str">
        <x:v>Energy closure</x:v>
      </x:c>
      <x:c r="G45" s="17" t="str">
        <x:v>Energy closure</x:v>
      </x:c>
      <x:c r="H45" s="17" t="str">
        <x:v>Energy closure</x:v>
      </x:c>
      <x:c r="I45" s="17" t="str">
        <x:v>Energy closure</x:v>
      </x:c>
      <x:c r="J45" s="17" t="str">
        <x:v>Energy closure</x:v>
      </x:c>
      <x:c r="K45" s="17" t="str">
        <x:v>Energy closure</x:v>
      </x:c>
      <x:c r="L45" s="17" t="str">
        <x:v>Energy closure</x:v>
      </x:c>
      <x:c r="M45" s="17" t="str">
        <x:v>Energy closure</x:v>
      </x:c>
      <x:c r="N45" s="15" t="str">
        <x:v>Energy closure</x:v>
      </x:c>
    </x:row>
    <x:row r="46">
      <x:c r="B46" s="7" t="str">
        <x:v>Root</x:v>
      </x:c>
      <x:c r="C46" s="7" t="str">
        <x:v>Fuel t</x:v>
      </x:c>
      <x:c r="D46" s="18" t="str">
        <x:v>LHV MWh/t</x:v>
      </x:c>
      <x:c r="E46" s="18" t="str">
        <x:v>Efficiency</x:v>
      </x:c>
      <x:c r="F46" s="18" t="str">
        <x:v>Stored MWh</x:v>
      </x:c>
      <x:c r="G46" s="18" t="str">
        <x:v>Electric MWh</x:v>
      </x:c>
      <x:c r="H46" s="18" t="str">
        <x:v>Hours at 1.5 MW</x:v>
      </x:c>
      <x:c r="I46" s="18" t="str">
        <x:v>Required MWh</x:v>
      </x:c>
      <x:c r="J46" s="18" t="str">
        <x:v>Energy margin</x:v>
      </x:c>
      <x:c r="K46" s="18" t="str">
        <x:v>Gate</x:v>
      </x:c>
      <x:c r="L46" s="16"/>
      <x:c r="M46" s="16"/>
      <x:c r="N46" s="9"/>
    </x:row>
    <x:row r="47">
      <x:c r="B47" s="9" t="str">
        <x:v>ROOT_A</x:v>
      </x:c>
      <x:c r="C47" s="9" t="n">
        <x:f>'Controls'!$D$13</x:f>
        <x:v>3.2</x:v>
      </x:c>
      <x:c r="D47" s="16" t="n">
        <x:f>'Controls'!$D$20</x:f>
        <x:v>11.83</x:v>
      </x:c>
      <x:c r="E47" s="16" t="n">
        <x:f>'Controls'!$D$22</x:f>
        <x:v>0.38</x:v>
      </x:c>
      <x:c r="F47" s="16" t="n">
        <x:f>'Controls'!$D$24</x:f>
        <x:v>0.45</x:v>
      </x:c>
      <x:c r="G47" s="16" t="n">
        <x:f>C47*D47*E47+F47</x:f>
        <x:v>14.835280000000001</x:v>
      </x:c>
      <x:c r="H47" s="16" t="n">
        <x:f>G47/'Controls'!$D$18</x:f>
        <x:v>9.890186666666667</x:v>
      </x:c>
      <x:c r="I47" s="16" t="n">
        <x:f>'Controls'!$D$18*'Controls'!$D$19</x:f>
        <x:v>12</x:v>
      </x:c>
      <x:c r="J47" s="16" t="n">
        <x:f>G47/I47-1</x:f>
        <x:v>0.23627333333333334</x:v>
      </x:c>
      <x:c r="K47" s="16" t="str">
        <x:f>IF(G47&gt;=I47,"PASS","FAIL")</x:f>
        <x:v>PASS</x:v>
      </x:c>
      <x:c r="L47" s="16"/>
      <x:c r="M47" s="16"/>
      <x:c r="N47" s="9"/>
    </x:row>
    <x:row r="48">
      <x:c r="B48" s="10" t="str">
        <x:v>ROOT_B</x:v>
      </x:c>
      <x:c r="C48" s="10" t="n">
        <x:f>'Controls'!$D$14</x:f>
        <x:v>4.4</x:v>
      </x:c>
      <x:c r="D48" s="19" t="n">
        <x:f>'Controls'!$D$21</x:f>
        <x:v>7.92</x:v>
      </x:c>
      <x:c r="E48" s="19" t="n">
        <x:f>'Controls'!$D$23</x:f>
        <x:v>0.42</x:v>
      </x:c>
      <x:c r="F48" s="19" t="n">
        <x:f>'Controls'!$D$24</x:f>
        <x:v>0.45</x:v>
      </x:c>
      <x:c r="G48" s="19" t="n">
        <x:f>C48*D48*E48+F48</x:f>
        <x:v>15.086159999999998</x:v>
      </x:c>
      <x:c r="H48" s="19" t="n">
        <x:f>G48/'Controls'!$D$18</x:f>
        <x:v>10.057439999999998</x:v>
      </x:c>
      <x:c r="I48" s="19" t="n">
        <x:f>'Controls'!$D$18*'Controls'!$D$19</x:f>
        <x:v>12</x:v>
      </x:c>
      <x:c r="J48" s="19" t="n">
        <x:f>G48/I48-1</x:f>
        <x:v>0.25717999999999974</x:v>
      </x:c>
      <x:c r="K48" s="19" t="str">
        <x:f>IF(G48&gt;=I48,"PASS","FAIL")</x:f>
        <x:v>PASS</x:v>
      </x:c>
      <x:c r="L48" s="19"/>
      <x:c r="M48" s="19"/>
      <x:c r="N48" s="10"/>
    </x:row>
  </x:sheetData>
  <x:mergeCells>
    <x:mergeCell ref="B2:N2"/>
    <x:mergeCell ref="B3:N3"/>
    <x:mergeCell ref="B32:N32"/>
    <x:mergeCell ref="B38:N38"/>
    <x:mergeCell ref="B45:N45"/>
  </x:mergeCells>
  <x:conditionalFormatting sqref="N7:N35">
    <x:cfRule type="containsText" dxfId="11" priority="1" operator="containsText" text="PASS"/>
    <x:cfRule type="containsText" dxfId="12" priority="2" operator="containsText" text="AUTHORIZED"/>
    <x:cfRule type="containsText" dxfId="13" priority="3" operator="containsText" text="DEFINED"/>
    <x:cfRule type="containsText" dxfId="14" priority="4" operator="containsText" text="READY"/>
    <x:cfRule type="containsText" dxfId="15" priority="5" operator="containsText" text="HOLD"/>
    <x:cfRule type="containsText" dxfId="16" priority="6" operator="containsText" text="OPEN"/>
    <x:cfRule type="containsText" dxfId="17" priority="7" operator="containsText" text="BLOCKED"/>
    <x:cfRule type="containsText" dxfId="18" priority="8" operator="containsText" text="PLANNING"/>
    <x:cfRule type="containsText" dxfId="19" priority="9" operator="containsText" text="FAIL"/>
    <x:cfRule type="containsText" dxfId="20" priority="10" operator="containsText" text="REJECT"/>
    <x:cfRule type="containsText" dxfId="21" priority="11" operator="containsText" text="INCOMPLETE"/>
  </x:conditionalFormatting>
  <x:conditionalFormatting sqref="I40:I42">
    <x:cfRule type="containsText" dxfId="22" priority="12" operator="containsText" text="PASS"/>
    <x:cfRule type="containsText" dxfId="23" priority="13" operator="containsText" text="AUTHORIZED"/>
    <x:cfRule type="containsText" dxfId="24" priority="14" operator="containsText" text="DEFINED"/>
    <x:cfRule type="containsText" dxfId="25" priority="15" operator="containsText" text="READY"/>
    <x:cfRule type="containsText" dxfId="26" priority="16" operator="containsText" text="HOLD"/>
    <x:cfRule type="containsText" dxfId="27" priority="17" operator="containsText" text="OPEN"/>
    <x:cfRule type="containsText" dxfId="28" priority="18" operator="containsText" text="BLOCKED"/>
    <x:cfRule type="containsText" dxfId="29" priority="19" operator="containsText" text="PLANNING"/>
    <x:cfRule type="containsText" dxfId="30" priority="20" operator="containsText" text="FAIL"/>
    <x:cfRule type="containsText" dxfId="31" priority="21" operator="containsText" text="REJECT"/>
    <x:cfRule type="containsText" dxfId="32" priority="22" operator="containsText" text="INCOMPLETE"/>
  </x:conditionalFormatting>
  <x:conditionalFormatting sqref="K47:K48">
    <x:cfRule type="containsText" dxfId="33" priority="23" operator="containsText" text="PASS"/>
    <x:cfRule type="containsText" dxfId="34" priority="24" operator="containsText" text="AUTHORIZED"/>
    <x:cfRule type="containsText" dxfId="35" priority="25" operator="containsText" text="DEFINED"/>
    <x:cfRule type="containsText" dxfId="36" priority="26" operator="containsText" text="READY"/>
    <x:cfRule type="containsText" dxfId="37" priority="27" operator="containsText" text="HOLD"/>
    <x:cfRule type="containsText" dxfId="38" priority="28" operator="containsText" text="OPEN"/>
    <x:cfRule type="containsText" dxfId="39" priority="29" operator="containsText" text="BLOCKED"/>
    <x:cfRule type="containsText" dxfId="40" priority="30" operator="containsText" text="PLANNING"/>
    <x:cfRule type="containsText" dxfId="41" priority="31" operator="containsText" text="FAIL"/>
    <x:cfRule type="containsText" dxfId="42" priority="32" operator="containsText" text="REJECT"/>
    <x:cfRule type="containsText" dxfId="43" priority="33" operator="containsText" text="INCOMPLETE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5" hidden="0" customWidth="1"/>
    <x:col min="3" max="3" width="27" hidden="0" customWidth="1"/>
    <x:col min="4" max="4" width="2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7" hidden="0" customWidth="1"/>
    <x:col min="12" max="12" width="34" hidden="0" customWidth="1"/>
    <x:col min="13" max="13" width="16" hidden="0" customWidth="1"/>
  </x:cols>
  <x:sheetData>
    <x:row r="2">
      <x:c r="B2" s="1" t="str">
        <x:v>Root-specific member and panel sections</x:v>
      </x:c>
    </x:row>
    <x:row r="3">
      <x:c r="B3" s="2" t="str">
        <x:v>Equivalent sections are planning hypotheses; joint, local instability, environment and process knockdowns remain uncredited.</x:v>
      </x:c>
    </x:row>
    <x:row r="4"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</x:row>
    <x:row r="6">
      <x:c r="B6" s="7" t="str">
        <x:v>Root</x:v>
      </x:c>
      <x:c r="C6" s="7" t="str">
        <x:v>Family</x:v>
      </x:c>
      <x:c r="D6" s="7" t="str">
        <x:v>Form</x:v>
      </x:c>
      <x:c r="E6" s="7" t="str">
        <x:v>Depth mm</x:v>
      </x:c>
      <x:c r="F6" s="7" t="str">
        <x:v>Width mm</x:v>
      </x:c>
      <x:c r="G6" s="7" t="str">
        <x:v>Wall mm</x:v>
      </x:c>
      <x:c r="H6" s="7" t="str">
        <x:v>Area m2</x:v>
      </x:c>
      <x:c r="I6" s="7" t="str">
        <x:v>I m4</x:v>
      </x:c>
      <x:c r="J6" s="7" t="str">
        <x:v>E GPa</x:v>
      </x:c>
      <x:c r="K6" s="7" t="str">
        <x:v>Allowable MPa</x:v>
      </x:c>
      <x:c r="L6" s="7" t="str">
        <x:v>Manufacture</x:v>
      </x:c>
      <x:c r="M6" s="7" t="str">
        <x:v>Drawing state</x:v>
      </x:c>
    </x:row>
    <x:row r="7">
      <x:c r="B7" s="9" t="str">
        <x:v>ROOT_A</x:v>
      </x:c>
      <x:c r="C7" s="9" t="str">
        <x:v>lower chord</x:v>
      </x:c>
      <x:c r="D7" s="9" t="str">
        <x:v>RHS</x:v>
      </x:c>
      <x:c r="E7" s="16" t="n">
        <x:v>250</x:v>
      </x:c>
      <x:c r="F7" s="16" t="n">
        <x:v>150</x:v>
      </x:c>
      <x:c r="G7" s="16" t="n">
        <x:v>10</x:v>
      </x:c>
      <x:c r="H7" s="16" t="n">
        <x:v>0.0076</x:v>
      </x:c>
      <x:c r="I7" s="16" t="n">
        <x:v>0.000063503</x:v>
      </x:c>
      <x:c r="J7" s="16" t="n">
        <x:v>200</x:v>
      </x:c>
      <x:c r="K7" s="16" t="n">
        <x:v>690</x:v>
      </x:c>
      <x:c r="L7" s="16" t="str">
        <x:v>welded Q&amp;T steel</x:v>
      </x:c>
      <x:c r="M7" s="9" t="str">
        <x:v>PLANNING</x:v>
      </x:c>
    </x:row>
    <x:row r="8">
      <x:c r="B8" s="9" t="str">
        <x:v>ROOT_A</x:v>
      </x:c>
      <x:c r="C8" s="9" t="str">
        <x:v>upper chord</x:v>
      </x:c>
      <x:c r="D8" s="9" t="str">
        <x:v>RHS</x:v>
      </x:c>
      <x:c r="E8" s="16" t="n">
        <x:v>200</x:v>
      </x:c>
      <x:c r="F8" s="16" t="n">
        <x:v>120</x:v>
      </x:c>
      <x:c r="G8" s="16" t="n">
        <x:v>8</x:v>
      </x:c>
      <x:c r="H8" s="16" t="n">
        <x:v>0.004864</x:v>
      </x:c>
      <x:c r="I8" s="16" t="n">
        <x:v>0.000026011</x:v>
      </x:c>
      <x:c r="J8" s="16" t="n">
        <x:v>200</x:v>
      </x:c>
      <x:c r="K8" s="16" t="n">
        <x:v>690</x:v>
      </x:c>
      <x:c r="L8" s="16" t="str">
        <x:v>welded Q&amp;T steel</x:v>
      </x:c>
      <x:c r="M8" s="9" t="str">
        <x:v>PLANNING</x:v>
      </x:c>
    </x:row>
    <x:row r="9">
      <x:c r="B9" s="9" t="str">
        <x:v>ROOT_A</x:v>
      </x:c>
      <x:c r="C9" s="9" t="str">
        <x:v>diagonal</x:v>
      </x:c>
      <x:c r="D9" s="9" t="str">
        <x:v>CHS</x:v>
      </x:c>
      <x:c r="E9" s="16" t="n">
        <x:v>168.3</x:v>
      </x:c>
      <x:c r="F9" s="16" t="n">
        <x:v>168.3</x:v>
      </x:c>
      <x:c r="G9" s="16" t="n">
        <x:v>10</x:v>
      </x:c>
      <x:c r="H9" s="16" t="n">
        <x:v>0.004973</x:v>
      </x:c>
      <x:c r="I9" s="16" t="n">
        <x:v>0.0000156</x:v>
      </x:c>
      <x:c r="J9" s="16" t="n">
        <x:v>200</x:v>
      </x:c>
      <x:c r="K9" s="16" t="n">
        <x:v>690</x:v>
      </x:c>
      <x:c r="L9" s="16" t="str">
        <x:v>gusseted replaceable</x:v>
      </x:c>
      <x:c r="M9" s="9" t="str">
        <x:v>PLANNING</x:v>
      </x:c>
    </x:row>
    <x:row r="10">
      <x:c r="B10" s="9" t="str">
        <x:v>ROOT_A</x:v>
      </x:c>
      <x:c r="C10" s="9" t="str">
        <x:v>outrigger</x:v>
      </x:c>
      <x:c r="D10" s="9" t="str">
        <x:v>RHS</x:v>
      </x:c>
      <x:c r="E10" s="16" t="n">
        <x:v>300</x:v>
      </x:c>
      <x:c r="F10" s="16" t="n">
        <x:v>250</x:v>
      </x:c>
      <x:c r="G10" s="16" t="n">
        <x:v>16</x:v>
      </x:c>
      <x:c r="H10" s="16" t="n">
        <x:v>0.016576</x:v>
      </x:c>
      <x:c r="I10" s="16" t="n">
        <x:v>0.000212813</x:v>
      </x:c>
      <x:c r="J10" s="16" t="n">
        <x:v>200</x:v>
      </x:c>
      <x:c r="K10" s="16" t="n">
        <x:v>690</x:v>
      </x:c>
      <x:c r="L10" s="16" t="str">
        <x:v>hinge machined after weld</x:v>
      </x:c>
      <x:c r="M10" s="9" t="str">
        <x:v>PLANNING</x:v>
      </x:c>
    </x:row>
    <x:row r="11">
      <x:c r="B11" s="9" t="str">
        <x:v>ROOT_A</x:v>
      </x:c>
      <x:c r="C11" s="9" t="str">
        <x:v>lift clevis</x:v>
      </x:c>
      <x:c r="D11" s="9" t="str">
        <x:v>plate pair</x:v>
      </x:c>
      <x:c r="E11" s="16" t="n">
        <x:v>30</x:v>
      </x:c>
      <x:c r="F11" s="16" t="n">
        <x:v>0</x:v>
      </x:c>
      <x:c r="G11" s="16" t="n">
        <x:v>0</x:v>
      </x:c>
      <x:c r="H11" s="16" t="n">
        <x:v>0</x:v>
      </x:c>
      <x:c r="I11" s="16" t="n">
        <x:v>0</x:v>
      </x:c>
      <x:c r="J11" s="16" t="n">
        <x:v>200</x:v>
      </x:c>
      <x:c r="K11" s="16" t="n">
        <x:v>690</x:v>
      </x:c>
      <x:c r="L11" s="16" t="str">
        <x:v>80-mm alloy pin</x:v>
      </x:c>
      <x:c r="M11" s="9" t="str">
        <x:v>PLANNING</x:v>
      </x:c>
    </x:row>
    <x:row r="12">
      <x:c r="B12" s="9" t="str">
        <x:v>ROOT_B</x:v>
      </x:c>
      <x:c r="C12" s="9" t="str">
        <x:v>lower box</x:v>
      </x:c>
      <x:c r="D12" s="9" t="str">
        <x:v>equivalent box</x:v>
      </x:c>
      <x:c r="E12" s="16" t="n">
        <x:v>320</x:v>
      </x:c>
      <x:c r="F12" s="16" t="n">
        <x:v>180</x:v>
      </x:c>
      <x:c r="G12" s="16" t="n">
        <x:v>10</x:v>
      </x:c>
      <x:c r="H12" s="16" t="n">
        <x:v>0.0096</x:v>
      </x:c>
      <x:c r="I12" s="16" t="n">
        <x:v>0.00013152</x:v>
      </x:c>
      <x:c r="J12" s="16" t="n">
        <x:v>120</x:v>
      </x:c>
      <x:c r="K12" s="16" t="n">
        <x:v>300</x:v>
      </x:c>
      <x:c r="L12" s="16" t="str">
        <x:v>CF-PAEK induction closure</x:v>
      </x:c>
      <x:c r="M12" s="9" t="str">
        <x:v>PLANNING</x:v>
      </x:c>
    </x:row>
    <x:row r="13">
      <x:c r="B13" s="9" t="str">
        <x:v>ROOT_B</x:v>
      </x:c>
      <x:c r="C13" s="9" t="str">
        <x:v>upper box</x:v>
      </x:c>
      <x:c r="D13" s="9" t="str">
        <x:v>equivalent box</x:v>
      </x:c>
      <x:c r="E13" s="16" t="n">
        <x:v>260</x:v>
      </x:c>
      <x:c r="F13" s="16" t="n">
        <x:v>140</x:v>
      </x:c>
      <x:c r="G13" s="16" t="n">
        <x:v>8</x:v>
      </x:c>
      <x:c r="H13" s="16" t="n">
        <x:v>0.006144</x:v>
      </x:c>
      <x:c r="I13" s="16" t="n">
        <x:v>0.000054943</x:v>
      </x:c>
      <x:c r="J13" s="16" t="n">
        <x:v>120</x:v>
      </x:c>
      <x:c r="K13" s="16" t="n">
        <x:v>300</x:v>
      </x:c>
      <x:c r="L13" s="16" t="str">
        <x:v>CF-PAEK local doublers</x:v>
      </x:c>
      <x:c r="M13" s="9" t="str">
        <x:v>PLANNING</x:v>
      </x:c>
    </x:row>
    <x:row r="14">
      <x:c r="B14" s="9" t="str">
        <x:v>ROOT_B</x:v>
      </x:c>
      <x:c r="C14" s="9" t="str">
        <x:v>diaphragm</x:v>
      </x:c>
      <x:c r="D14" s="9" t="str">
        <x:v>consolidated web</x:v>
      </x:c>
      <x:c r="E14" s="16" t="n">
        <x:v>0</x:v>
      </x:c>
      <x:c r="F14" s="16" t="n">
        <x:v>0</x:v>
      </x:c>
      <x:c r="G14" s="16" t="n">
        <x:v>0</x:v>
      </x:c>
      <x:c r="H14" s="16" t="n">
        <x:v>0</x:v>
      </x:c>
      <x:c r="I14" s="16" t="n">
        <x:v>0</x:v>
      </x:c>
      <x:c r="J14" s="16" t="n">
        <x:v>120</x:v>
      </x:c>
      <x:c r="K14" s="16" t="n">
        <x:v>300</x:v>
      </x:c>
      <x:c r="L14" s="16" t="str">
        <x:v>matched tool</x:v>
      </x:c>
      <x:c r="M14" s="9" t="str">
        <x:v>PLANNING</x:v>
      </x:c>
    </x:row>
    <x:row r="15">
      <x:c r="B15" s="9" t="str">
        <x:v>ROOT_B</x:v>
      </x:c>
      <x:c r="C15" s="9" t="str">
        <x:v>outrigger</x:v>
      </x:c>
      <x:c r="D15" s="9" t="str">
        <x:v>equivalent box</x:v>
      </x:c>
      <x:c r="E15" s="16" t="n">
        <x:v>360</x:v>
      </x:c>
      <x:c r="F15" s="16" t="n">
        <x:v>220</x:v>
      </x:c>
      <x:c r="G15" s="16" t="n">
        <x:v>12</x:v>
      </x:c>
      <x:c r="H15" s="16" t="n">
        <x:v>0.013344</x:v>
      </x:c>
      <x:c r="I15" s="16" t="n">
        <x:v>0.000235787</x:v>
      </x:c>
      <x:c r="J15" s="16" t="n">
        <x:v>120</x:v>
      </x:c>
      <x:c r="K15" s="16" t="n">
        <x:v>300</x:v>
      </x:c>
      <x:c r="L15" s="16" t="str">
        <x:v>metallic replaceable root</x:v>
      </x:c>
      <x:c r="M15" s="9" t="str">
        <x:v>PLANNING</x:v>
      </x:c>
    </x:row>
    <x:row r="16">
      <x:c r="B16" s="9" t="str">
        <x:v>ROOT_B</x:v>
      </x:c>
      <x:c r="C16" s="9" t="str">
        <x:v>lift transfer</x:v>
      </x:c>
      <x:c r="D16" s="9" t="str">
        <x:v>wrapped node</x:v>
      </x:c>
      <x:c r="E16" s="16" t="n">
        <x:v>0</x:v>
      </x:c>
      <x:c r="F16" s="16" t="n">
        <x:v>0</x:v>
      </x:c>
      <x:c r="G16" s="16" t="n">
        <x:v>0</x:v>
      </x:c>
      <x:c r="H16" s="16" t="n">
        <x:v>0</x:v>
      </x:c>
      <x:c r="I16" s="16" t="n">
        <x:v>0</x:v>
      </x:c>
      <x:c r="J16" s="16" t="n">
        <x:v>120</x:v>
      </x:c>
      <x:c r="K16" s="16" t="n">
        <x:v>300</x:v>
      </x:c>
      <x:c r="L16" s="16" t="str">
        <x:v>75-mm titanium pin</x:v>
      </x:c>
      <x:c r="M16" s="9" t="str">
        <x:v>PLANNING</x:v>
      </x:c>
    </x:row>
    <x:row r="17">
      <x:c r="B17" s="9"/>
      <x:c r="C17" s="9"/>
      <x:c r="D17" s="9"/>
      <x:c r="E17" s="16"/>
      <x:c r="F17" s="16"/>
      <x:c r="G17" s="16"/>
      <x:c r="H17" s="16"/>
      <x:c r="I17" s="16"/>
      <x:c r="J17" s="16"/>
      <x:c r="K17" s="16"/>
      <x:c r="L17" s="16"/>
      <x:c r="M17" s="9"/>
    </x:row>
    <x:row r="18">
      <x:c r="B18" s="9"/>
      <x:c r="C18" s="9"/>
      <x:c r="D18" s="9"/>
      <x:c r="E18" s="16"/>
      <x:c r="F18" s="16"/>
      <x:c r="G18" s="16"/>
      <x:c r="H18" s="16"/>
      <x:c r="I18" s="16"/>
      <x:c r="J18" s="16"/>
      <x:c r="K18" s="16"/>
      <x:c r="L18" s="16"/>
      <x:c r="M18" s="9"/>
    </x:row>
    <x:row r="19">
      <x:c r="B19" s="9"/>
      <x:c r="C19" s="9"/>
      <x:c r="D19" s="9"/>
      <x:c r="E19" s="16"/>
      <x:c r="F19" s="16"/>
      <x:c r="G19" s="16"/>
      <x:c r="H19" s="16"/>
      <x:c r="I19" s="16"/>
      <x:c r="J19" s="16"/>
      <x:c r="K19" s="16"/>
      <x:c r="L19" s="16"/>
      <x:c r="M19" s="9"/>
    </x:row>
    <x:row r="20">
      <x:c r="B20" s="15" t="str">
        <x:v>Structural mass allocations</x:v>
      </x:c>
      <x:c r="C20" s="15" t="str">
        <x:v>Structural mass allocations</x:v>
      </x:c>
      <x:c r="D20" s="15" t="str">
        <x:v>Structural mass allocations</x:v>
      </x:c>
      <x:c r="E20" s="17" t="str">
        <x:v>Structural mass allocations</x:v>
      </x:c>
      <x:c r="F20" s="17" t="str">
        <x:v>Structural mass allocations</x:v>
      </x:c>
      <x:c r="G20" s="17" t="str">
        <x:v>Structural mass allocations</x:v>
      </x:c>
      <x:c r="H20" s="17" t="str">
        <x:v>Structural mass allocations</x:v>
      </x:c>
      <x:c r="I20" s="17" t="str">
        <x:v>Structural mass allocations</x:v>
      </x:c>
      <x:c r="J20" s="17" t="str">
        <x:v>Structural mass allocations</x:v>
      </x:c>
      <x:c r="K20" s="17" t="str">
        <x:v>Structural mass allocations</x:v>
      </x:c>
      <x:c r="L20" s="17" t="str">
        <x:v>Structural mass allocations</x:v>
      </x:c>
      <x:c r="M20" s="15" t="str">
        <x:v>Structural mass allocations</x:v>
      </x:c>
    </x:row>
    <x:row r="21">
      <x:c r="B21" s="7" t="str">
        <x:v>Root</x:v>
      </x:c>
      <x:c r="C21" s="7" t="str">
        <x:v>Element family</x:v>
      </x:c>
      <x:c r="D21" s="7" t="str">
        <x:v>Mass t</x:v>
      </x:c>
      <x:c r="E21" s="18" t="str">
        <x:v>Reconciles</x:v>
      </x:c>
      <x:c r="F21" s="16"/>
      <x:c r="G21" s="16"/>
      <x:c r="H21" s="16"/>
      <x:c r="I21" s="16"/>
      <x:c r="J21" s="16"/>
      <x:c r="K21" s="16"/>
      <x:c r="L21" s="16"/>
      <x:c r="M21" s="9"/>
    </x:row>
    <x:row r="22">
      <x:c r="B22" s="9" t="str">
        <x:v>ROOT_A</x:v>
      </x:c>
      <x:c r="C22" s="9" t="str">
        <x:v>lower chords</x:v>
      </x:c>
      <x:c r="D22" s="9" t="n">
        <x:v>1.432</x:v>
      </x:c>
      <x:c r="E22" s="16" t="str">
        <x:f>IF(ABS(SUMIFS($D$22:$D$42,$B$22:$B$42,B22)-8)&lt;0.001,"PASS","FAIL")</x:f>
        <x:v>PASS</x:v>
      </x:c>
      <x:c r="F22" s="16"/>
      <x:c r="G22" s="16"/>
      <x:c r="H22" s="16"/>
      <x:c r="I22" s="16"/>
      <x:c r="J22" s="16"/>
      <x:c r="K22" s="16"/>
      <x:c r="L22" s="16"/>
      <x:c r="M22" s="9"/>
    </x:row>
    <x:row r="23">
      <x:c r="B23" s="9" t="str">
        <x:v>ROOT_A</x:v>
      </x:c>
      <x:c r="C23" s="9" t="str">
        <x:v>upper chords</x:v>
      </x:c>
      <x:c r="D23" s="9" t="n">
        <x:v>0.916</x:v>
      </x:c>
      <x:c r="E23" s="16" t="str">
        <x:f>IF(ABS(SUMIFS($D$22:$D$42,$B$22:$B$42,B23)-8)&lt;0.001,"PASS","FAIL")</x:f>
        <x:v>PASS</x:v>
      </x:c>
      <x:c r="F23" s="16"/>
      <x:c r="G23" s="16"/>
      <x:c r="H23" s="16"/>
      <x:c r="I23" s="16"/>
      <x:c r="J23" s="16"/>
      <x:c r="K23" s="16"/>
      <x:c r="L23" s="16"/>
      <x:c r="M23" s="9"/>
    </x:row>
    <x:row r="24">
      <x:c r="B24" s="9" t="str">
        <x:v>ROOT_A</x:v>
      </x:c>
      <x:c r="C24" s="9" t="str">
        <x:v>reaction frames</x:v>
      </x:c>
      <x:c r="D24" s="9" t="n">
        <x:v>1.2</x:v>
      </x:c>
      <x:c r="E24" s="16" t="str">
        <x:f>IF(ABS(SUMIFS($D$22:$D$42,$B$22:$B$42,B24)-8)&lt;0.001,"PASS","FAIL")</x:f>
        <x:v>PASS</x:v>
      </x:c>
      <x:c r="F24" s="16"/>
      <x:c r="G24" s="16"/>
      <x:c r="H24" s="16"/>
      <x:c r="I24" s="16"/>
      <x:c r="J24" s="16"/>
      <x:c r="K24" s="16"/>
      <x:c r="L24" s="16"/>
      <x:c r="M24" s="9"/>
    </x:row>
    <x:row r="25">
      <x:c r="B25" s="9" t="str">
        <x:v>ROOT_A</x:v>
      </x:c>
      <x:c r="C25" s="9" t="str">
        <x:v>diagonals</x:v>
      </x:c>
      <x:c r="D25" s="9" t="n">
        <x:v>1</x:v>
      </x:c>
      <x:c r="E25" s="16" t="str">
        <x:f>IF(ABS(SUMIFS($D$22:$D$42,$B$22:$B$42,B25)-8)&lt;0.001,"PASS","FAIL")</x:f>
        <x:v>PASS</x:v>
      </x:c>
      <x:c r="F25" s="16"/>
      <x:c r="G25" s="16"/>
      <x:c r="H25" s="16"/>
      <x:c r="I25" s="16"/>
      <x:c r="J25" s="16"/>
      <x:c r="K25" s="16"/>
      <x:c r="L25" s="16"/>
      <x:c r="M25" s="9"/>
    </x:row>
    <x:row r="26">
      <x:c r="B26" s="9" t="str">
        <x:v>ROOT_A</x:v>
      </x:c>
      <x:c r="C26" s="9" t="str">
        <x:v>support boxes</x:v>
      </x:c>
      <x:c r="D26" s="9" t="n">
        <x:v>1</x:v>
      </x:c>
      <x:c r="E26" s="16" t="str">
        <x:f>IF(ABS(SUMIFS($D$22:$D$42,$B$22:$B$42,B26)-8)&lt;0.001,"PASS","FAIL")</x:f>
        <x:v>PASS</x:v>
      </x:c>
      <x:c r="F26" s="16"/>
      <x:c r="G26" s="16"/>
      <x:c r="H26" s="16"/>
      <x:c r="I26" s="16"/>
      <x:c r="J26" s="16"/>
      <x:c r="K26" s="16"/>
      <x:c r="L26" s="16"/>
      <x:c r="M26" s="9"/>
    </x:row>
    <x:row r="27">
      <x:c r="B27" s="9" t="str">
        <x:v>ROOT_A</x:v>
      </x:c>
      <x:c r="C27" s="9" t="str">
        <x:v>anchor arms and hinges</x:v>
      </x:c>
      <x:c r="D27" s="9" t="n">
        <x:v>0.8</x:v>
      </x:c>
      <x:c r="E27" s="16" t="str">
        <x:f>IF(ABS(SUMIFS($D$22:$D$42,$B$22:$B$42,B27)-8)&lt;0.001,"PASS","FAIL")</x:f>
        <x:v>PASS</x:v>
      </x:c>
      <x:c r="F27" s="16"/>
      <x:c r="G27" s="16"/>
      <x:c r="H27" s="16"/>
      <x:c r="I27" s="16"/>
      <x:c r="J27" s="16"/>
      <x:c r="K27" s="16"/>
      <x:c r="L27" s="16"/>
      <x:c r="M27" s="9"/>
    </x:row>
    <x:row r="28">
      <x:c r="B28" s="9" t="str">
        <x:v>ROOT_A</x:v>
      </x:c>
      <x:c r="C28" s="9" t="str">
        <x:v>lift hardpoints</x:v>
      </x:c>
      <x:c r="D28" s="9" t="n">
        <x:v>0.55</x:v>
      </x:c>
      <x:c r="E28" s="16" t="str">
        <x:f>IF(ABS(SUMIFS($D$22:$D$42,$B$22:$B$42,B28)-8)&lt;0.001,"PASS","FAIL")</x:f>
        <x:v>PASS</x:v>
      </x:c>
      <x:c r="F28" s="16"/>
      <x:c r="G28" s="16"/>
      <x:c r="H28" s="16"/>
      <x:c r="I28" s="16"/>
      <x:c r="J28" s="16"/>
      <x:c r="K28" s="16"/>
      <x:c r="L28" s="16"/>
      <x:c r="M28" s="9"/>
    </x:row>
    <x:row r="29">
      <x:c r="B29" s="9" t="str">
        <x:v>ROOT_A</x:v>
      </x:c>
      <x:c r="C29" s="9" t="str">
        <x:v>decks and guards</x:v>
      </x:c>
      <x:c r="D29" s="9" t="n">
        <x:v>0.5</x:v>
      </x:c>
      <x:c r="E29" s="16" t="str">
        <x:f>IF(ABS(SUMIFS($D$22:$D$42,$B$22:$B$42,B29)-8)&lt;0.001,"PASS","FAIL")</x:f>
        <x:v>PASS</x:v>
      </x:c>
      <x:c r="F29" s="16"/>
      <x:c r="G29" s="16"/>
      <x:c r="H29" s="16"/>
      <x:c r="I29" s="16"/>
      <x:c r="J29" s="16"/>
      <x:c r="K29" s="16"/>
      <x:c r="L29" s="16"/>
      <x:c r="M29" s="9"/>
    </x:row>
    <x:row r="30">
      <x:c r="B30" s="9" t="str">
        <x:v>ROOT_A</x:v>
      </x:c>
      <x:c r="C30" s="9" t="str">
        <x:v>weld and fastener</x:v>
      </x:c>
      <x:c r="D30" s="9" t="n">
        <x:v>0.35</x:v>
      </x:c>
      <x:c r="E30" s="16" t="str">
        <x:f>IF(ABS(SUMIFS($D$22:$D$42,$B$22:$B$42,B30)-8)&lt;0.001,"PASS","FAIL")</x:f>
        <x:v>PASS</x:v>
      </x:c>
      <x:c r="F30" s="16"/>
      <x:c r="G30" s="16"/>
      <x:c r="H30" s="16"/>
      <x:c r="I30" s="16"/>
      <x:c r="J30" s="16"/>
      <x:c r="K30" s="16"/>
      <x:c r="L30" s="16"/>
      <x:c r="M30" s="9"/>
    </x:row>
    <x:row r="31">
      <x:c r="B31" s="9" t="str">
        <x:v>ROOT_A</x:v>
      </x:c>
      <x:c r="C31" s="9" t="str">
        <x:v>coating</x:v>
      </x:c>
      <x:c r="D31" s="9" t="n">
        <x:v>0.252</x:v>
      </x:c>
      <x:c r="E31" s="16" t="str">
        <x:f>IF(ABS(SUMIFS($D$22:$D$42,$B$22:$B$42,B31)-8)&lt;0.001,"PASS","FAIL")</x:f>
        <x:v>PASS</x:v>
      </x:c>
      <x:c r="F31" s="16"/>
      <x:c r="G31" s="16"/>
      <x:c r="H31" s="16"/>
      <x:c r="I31" s="16"/>
      <x:c r="J31" s="16"/>
      <x:c r="K31" s="16"/>
      <x:c r="L31" s="16"/>
      <x:c r="M31" s="9"/>
    </x:row>
    <x:row r="32">
      <x:c r="B32" s="9" t="str">
        <x:v>ROOT_B</x:v>
      </x:c>
      <x:c r="C32" s="9" t="str">
        <x:v>lower boxes</x:v>
      </x:c>
      <x:c r="D32" s="9" t="n">
        <x:v>0.369</x:v>
      </x:c>
      <x:c r="E32" s="16" t="str">
        <x:f>IF(ABS(SUMIFS($D$22:$D$42,$B$22:$B$42,B32)-6.5)&lt;0.001,"PASS","FAIL")</x:f>
        <x:v>PASS</x:v>
      </x:c>
      <x:c r="F32" s="16"/>
      <x:c r="G32" s="16"/>
      <x:c r="H32" s="16"/>
      <x:c r="I32" s="16"/>
      <x:c r="J32" s="16"/>
      <x:c r="K32" s="16"/>
      <x:c r="L32" s="16"/>
      <x:c r="M32" s="9"/>
    </x:row>
    <x:row r="33">
      <x:c r="B33" s="9" t="str">
        <x:v>ROOT_B</x:v>
      </x:c>
      <x:c r="C33" s="9" t="str">
        <x:v>upper boxes</x:v>
      </x:c>
      <x:c r="D33" s="9" t="n">
        <x:v>0.236</x:v>
      </x:c>
      <x:c r="E33" s="16" t="str">
        <x:f>IF(ABS(SUMIFS($D$22:$D$42,$B$22:$B$42,B33)-6.5)&lt;0.001,"PASS","FAIL")</x:f>
        <x:v>PASS</x:v>
      </x:c>
      <x:c r="F33" s="16"/>
      <x:c r="G33" s="16"/>
      <x:c r="H33" s="16"/>
      <x:c r="I33" s="16"/>
      <x:c r="J33" s="16"/>
      <x:c r="K33" s="16"/>
      <x:c r="L33" s="16"/>
      <x:c r="M33" s="9"/>
    </x:row>
    <x:row r="34">
      <x:c r="B34" s="9" t="str">
        <x:v>ROOT_B</x:v>
      </x:c>
      <x:c r="C34" s="9" t="str">
        <x:v>diaphragms</x:v>
      </x:c>
      <x:c r="D34" s="9" t="n">
        <x:v>1.15</x:v>
      </x:c>
      <x:c r="E34" s="16" t="str">
        <x:f>IF(ABS(SUMIFS($D$22:$D$42,$B$22:$B$42,B34)-6.5)&lt;0.001,"PASS","FAIL")</x:f>
        <x:v>PASS</x:v>
      </x:c>
      <x:c r="F34" s="16"/>
      <x:c r="G34" s="16"/>
      <x:c r="H34" s="16"/>
      <x:c r="I34" s="16"/>
      <x:c r="J34" s="16"/>
      <x:c r="K34" s="16"/>
      <x:c r="L34" s="16"/>
      <x:c r="M34" s="9"/>
    </x:row>
    <x:row r="35">
      <x:c r="B35" s="9" t="str">
        <x:v>ROOT_B</x:v>
      </x:c>
      <x:c r="C35" s="9" t="str">
        <x:v>shell and grid</x:v>
      </x:c>
      <x:c r="D35" s="9" t="n">
        <x:v>1.55</x:v>
      </x:c>
      <x:c r="E35" s="16" t="str">
        <x:f>IF(ABS(SUMIFS($D$22:$D$42,$B$22:$B$42,B35)-6.5)&lt;0.001,"PASS","FAIL")</x:f>
        <x:v>PASS</x:v>
      </x:c>
      <x:c r="F35" s="16"/>
      <x:c r="G35" s="16"/>
      <x:c r="H35" s="16"/>
      <x:c r="I35" s="16"/>
      <x:c r="J35" s="16"/>
      <x:c r="K35" s="16"/>
      <x:c r="L35" s="16"/>
      <x:c r="M35" s="9"/>
    </x:row>
    <x:row r="36">
      <x:c r="B36" s="9" t="str">
        <x:v>ROOT_B</x:v>
      </x:c>
      <x:c r="C36" s="9" t="str">
        <x:v>metal nodes</x:v>
      </x:c>
      <x:c r="D36" s="9" t="n">
        <x:v>1.05</x:v>
      </x:c>
      <x:c r="E36" s="16" t="str">
        <x:f>IF(ABS(SUMIFS($D$22:$D$42,$B$22:$B$42,B36)-6.5)&lt;0.001,"PASS","FAIL")</x:f>
        <x:v>PASS</x:v>
      </x:c>
      <x:c r="F36" s="16"/>
      <x:c r="G36" s="16"/>
      <x:c r="H36" s="16"/>
      <x:c r="I36" s="16"/>
      <x:c r="J36" s="16"/>
      <x:c r="K36" s="16"/>
      <x:c r="L36" s="16"/>
      <x:c r="M36" s="9"/>
    </x:row>
    <x:row r="37">
      <x:c r="B37" s="9" t="str">
        <x:v>ROOT_B</x:v>
      </x:c>
      <x:c r="C37" s="9" t="str">
        <x:v>post-tension ties</x:v>
      </x:c>
      <x:c r="D37" s="9" t="n">
        <x:v>0.55</x:v>
      </x:c>
      <x:c r="E37" s="16" t="str">
        <x:f>IF(ABS(SUMIFS($D$22:$D$42,$B$22:$B$42,B37)-6.5)&lt;0.001,"PASS","FAIL")</x:f>
        <x:v>PASS</x:v>
      </x:c>
      <x:c r="F37" s="16"/>
      <x:c r="G37" s="16"/>
      <x:c r="H37" s="16"/>
      <x:c r="I37" s="16"/>
      <x:c r="J37" s="16"/>
      <x:c r="K37" s="16"/>
      <x:c r="L37" s="16"/>
      <x:c r="M37" s="9"/>
    </x:row>
    <x:row r="38">
      <x:c r="B38" s="9" t="str">
        <x:v>ROOT_B</x:v>
      </x:c>
      <x:c r="C38" s="9" t="str">
        <x:v>anchor struts</x:v>
      </x:c>
      <x:c r="D38" s="9" t="n">
        <x:v>0.45</x:v>
      </x:c>
      <x:c r="E38" s="16" t="str">
        <x:f>IF(ABS(SUMIFS($D$22:$D$42,$B$22:$B$42,B38)-6.5)&lt;0.001,"PASS","FAIL")</x:f>
        <x:v>PASS</x:v>
      </x:c>
      <x:c r="F38" s="16"/>
      <x:c r="G38" s="16"/>
      <x:c r="H38" s="16"/>
      <x:c r="I38" s="16"/>
      <x:c r="J38" s="16"/>
      <x:c r="K38" s="16"/>
      <x:c r="L38" s="16"/>
      <x:c r="M38" s="9"/>
    </x:row>
    <x:row r="39">
      <x:c r="B39" s="9" t="str">
        <x:v>ROOT_B</x:v>
      </x:c>
      <x:c r="C39" s="9" t="str">
        <x:v>lift transfer</x:v>
      </x:c>
      <x:c r="D39" s="9" t="n">
        <x:v>0.45</x:v>
      </x:c>
      <x:c r="E39" s="16" t="str">
        <x:f>IF(ABS(SUMIFS($D$22:$D$42,$B$22:$B$42,B39)-6.5)&lt;0.001,"PASS","FAIL")</x:f>
        <x:v>PASS</x:v>
      </x:c>
      <x:c r="F39" s="16"/>
      <x:c r="G39" s="16"/>
      <x:c r="H39" s="16"/>
      <x:c r="I39" s="16"/>
      <x:c r="J39" s="16"/>
      <x:c r="K39" s="16"/>
      <x:c r="L39" s="16"/>
      <x:c r="M39" s="9"/>
    </x:row>
    <x:row r="40">
      <x:c r="B40" s="9" t="str">
        <x:v>ROOT_B</x:v>
      </x:c>
      <x:c r="C40" s="9" t="str">
        <x:v>secondary skins</x:v>
      </x:c>
      <x:c r="D40" s="9" t="n">
        <x:v>0.35</x:v>
      </x:c>
      <x:c r="E40" s="16" t="str">
        <x:f>IF(ABS(SUMIFS($D$22:$D$42,$B$22:$B$42,B40)-6.5)&lt;0.001,"PASS","FAIL")</x:f>
        <x:v>PASS</x:v>
      </x:c>
      <x:c r="F40" s="16"/>
      <x:c r="G40" s="16"/>
      <x:c r="H40" s="16"/>
      <x:c r="I40" s="16"/>
      <x:c r="J40" s="16"/>
      <x:c r="K40" s="16"/>
      <x:c r="L40" s="16"/>
      <x:c r="M40" s="9"/>
    </x:row>
    <x:row r="41">
      <x:c r="B41" s="9" t="str">
        <x:v>ROOT_B</x:v>
      </x:c>
      <x:c r="C41" s="9" t="str">
        <x:v>bond and fastener</x:v>
      </x:c>
      <x:c r="D41" s="9" t="n">
        <x:v>0.15</x:v>
      </x:c>
      <x:c r="E41" s="16" t="str">
        <x:f>IF(ABS(SUMIFS($D$22:$D$42,$B$22:$B$42,B41)-6.5)&lt;0.001,"PASS","FAIL")</x:f>
        <x:v>PASS</x:v>
      </x:c>
      <x:c r="F41" s="16"/>
      <x:c r="G41" s="16"/>
      <x:c r="H41" s="16"/>
      <x:c r="I41" s="16"/>
      <x:c r="J41" s="16"/>
      <x:c r="K41" s="16"/>
      <x:c r="L41" s="16"/>
      <x:c r="M41" s="9"/>
    </x:row>
    <x:row r="42">
      <x:c r="B42" s="10" t="str">
        <x:v>ROOT_B</x:v>
      </x:c>
      <x:c r="C42" s="10" t="str">
        <x:v>thermal and fire</x:v>
      </x:c>
      <x:c r="D42" s="10" t="n">
        <x:v>0.195</x:v>
      </x:c>
      <x:c r="E42" s="19" t="str">
        <x:f>IF(ABS(SUMIFS($D$22:$D$42,$B$22:$B$42,B42)-6.5)&lt;0.001,"PASS","FAIL")</x:f>
        <x:v>PASS</x:v>
      </x:c>
      <x:c r="F42" s="19"/>
      <x:c r="G42" s="19"/>
      <x:c r="H42" s="19"/>
      <x:c r="I42" s="19"/>
      <x:c r="J42" s="19"/>
      <x:c r="K42" s="19"/>
      <x:c r="L42" s="19"/>
      <x:c r="M42" s="10"/>
    </x:row>
  </x:sheetData>
  <x:mergeCells>
    <x:mergeCell ref="B2:M2"/>
    <x:mergeCell ref="B3:M3"/>
    <x:mergeCell ref="B20:M20"/>
  </x:mergeCells>
  <x:conditionalFormatting sqref="M7:M16">
    <x:cfRule type="containsText" dxfId="44" priority="1" operator="containsText" text="PASS"/>
    <x:cfRule type="containsText" dxfId="45" priority="2" operator="containsText" text="AUTHORIZED"/>
    <x:cfRule type="containsText" dxfId="46" priority="3" operator="containsText" text="DEFINED"/>
    <x:cfRule type="containsText" dxfId="47" priority="4" operator="containsText" text="READY"/>
    <x:cfRule type="containsText" dxfId="48" priority="5" operator="containsText" text="HOLD"/>
    <x:cfRule type="containsText" dxfId="49" priority="6" operator="containsText" text="OPEN"/>
    <x:cfRule type="containsText" dxfId="50" priority="7" operator="containsText" text="BLOCKED"/>
    <x:cfRule type="containsText" dxfId="51" priority="8" operator="containsText" text="PLANNING"/>
    <x:cfRule type="containsText" dxfId="52" priority="9" operator="containsText" text="FAIL"/>
    <x:cfRule type="containsText" dxfId="53" priority="10" operator="containsText" text="REJECT"/>
    <x:cfRule type="containsText" dxfId="54" priority="11" operator="containsText" text="INCOMPLETE"/>
  </x:conditionalFormatting>
  <x:conditionalFormatting sqref="E22:E42">
    <x:cfRule type="containsText" dxfId="55" priority="12" operator="containsText" text="PASS"/>
    <x:cfRule type="containsText" dxfId="56" priority="13" operator="containsText" text="AUTHORIZED"/>
    <x:cfRule type="containsText" dxfId="57" priority="14" operator="containsText" text="DEFINED"/>
    <x:cfRule type="containsText" dxfId="58" priority="15" operator="containsText" text="READY"/>
    <x:cfRule type="containsText" dxfId="59" priority="16" operator="containsText" text="HOLD"/>
    <x:cfRule type="containsText" dxfId="60" priority="17" operator="containsText" text="OPEN"/>
    <x:cfRule type="containsText" dxfId="61" priority="18" operator="containsText" text="BLOCKED"/>
    <x:cfRule type="containsText" dxfId="62" priority="19" operator="containsText" text="PLANNING"/>
    <x:cfRule type="containsText" dxfId="63" priority="20" operator="containsText" text="FAIL"/>
    <x:cfRule type="containsText" dxfId="64" priority="21" operator="containsText" text="REJECT"/>
    <x:cfRule type="containsText" dxfId="65" priority="22" operator="containsText" text="INCOMPLETE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0" hidden="0" customWidth="1"/>
    <x:col min="3" max="3" width="34" hidden="0" customWidth="1"/>
    <x:col min="4" max="4" width="15" hidden="0" customWidth="1"/>
    <x:col min="5" max="5" width="27" hidden="0" customWidth="1"/>
    <x:col min="6" max="6" width="17" hidden="0" customWidth="1"/>
    <x:col min="7" max="7" width="13" hidden="0" customWidth="1"/>
    <x:col min="8" max="8" width="12" hidden="0" customWidth="1"/>
    <x:col min="9" max="9" width="15" hidden="0" customWidth="1"/>
    <x:col min="10" max="10" width="13" hidden="0" customWidth="1"/>
    <x:col min="11" max="11" width="16" hidden="0" customWidth="1"/>
    <x:col min="12" max="12" width="12" hidden="0" customWidth="1"/>
  </x:cols>
  <x:sheetData>
    <x:row r="2">
      <x:c r="B2" s="1" t="str">
        <x:v>Preliminary global and local structural screens</x:v>
      </x:c>
    </x:row>
    <x:row r="3">
      <x:c r="B3" s="2" t="str">
        <x:v>Simplified load-path calculations rank hypotheses; they do not replace nonlinear joint, fatigue, buckling or damage qualification.</x:v>
      </x:c>
    </x:row>
    <x:row r="4"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6">
      <x:c r="B6" s="7" t="str">
        <x:v>ID</x:v>
      </x:c>
      <x:c r="C6" s="7" t="str">
        <x:v>Check</x:v>
      </x:c>
      <x:c r="D6" s="7" t="str">
        <x:v>Root</x:v>
      </x:c>
      <x:c r="E6" s="7" t="str">
        <x:v>Input / formula</x:v>
      </x:c>
      <x:c r="F6" s="7" t="str">
        <x:v>Calculated</x:v>
      </x:c>
      <x:c r="G6" s="7" t="str">
        <x:v>Unit</x:v>
      </x:c>
      <x:c r="H6" s="7" t="str">
        <x:v>Limit</x:v>
      </x:c>
      <x:c r="I6" s="7" t="str">
        <x:v>Relation</x:v>
      </x:c>
      <x:c r="J6" s="7" t="str">
        <x:v>Margin ratio</x:v>
      </x:c>
      <x:c r="K6" s="7" t="str">
        <x:v>Gate</x:v>
      </x:c>
      <x:c r="L6" s="7" t="str">
        <x:v>Evidence state</x:v>
      </x:c>
    </x:row>
    <x:row r="7">
      <x:c r="B7" s="9" t="str">
        <x:v>ST01</x:v>
      </x:c>
      <x:c r="C7" s="9" t="str">
        <x:v>uniform vertical load</x:v>
      </x:c>
      <x:c r="D7" s="9" t="str">
        <x:v>COMMON</x:v>
      </x:c>
      <x:c r="E7" s="16" t="n">
        <x:f>'Controls'!$D$10*1000*'Controls'!$D$27*'Controls'!$D$28/'Controls'!$D$29</x:f>
        <x:v>58839.9</x:v>
      </x:c>
      <x:c r="F7" s="16" t="str">
        <x:v>N/m</x:v>
      </x:c>
      <x:c r="G7" s="16" t="n">
        <x:v>0</x:v>
      </x:c>
      <x:c r="H7" s="16" t="str">
        <x:v>INFO</x:v>
      </x:c>
      <x:c r="I7" s="16" t="n">
        <x:f>IF(H7="INFO",0,IF(H7="LE",G7/E7,E7/G7))</x:f>
        <x:v>0</x:v>
      </x:c>
      <x:c r="J7" s="9" t="str">
        <x:f>IF(H7="INFO","PASS",IF(H7="LE",IF(E7&lt;=G7,"PASS","FAIL"),IF(E7&gt;=G7,"PASS","FAIL")))</x:f>
        <x:v>PASS</x:v>
      </x:c>
      <x:c r="K7" s="9" t="str">
        <x:v>PLANNING</x:v>
      </x:c>
      <x:c r="L7" s="9"/>
    </x:row>
    <x:row r="8">
      <x:c r="B8" s="9" t="str">
        <x:v>ST02</x:v>
      </x:c>
      <x:c r="C8" s="9" t="str">
        <x:v>simple-span moment</x:v>
      </x:c>
      <x:c r="D8" s="9" t="str">
        <x:v>COMMON</x:v>
      </x:c>
      <x:c r="E8" s="16" t="n">
        <x:f>E7*('Controls'!$D$29^2)/8</x:f>
        <x:v>735498.75</x:v>
      </x:c>
      <x:c r="F8" s="16" t="str">
        <x:v>N-m</x:v>
      </x:c>
      <x:c r="G8" s="16" t="n">
        <x:v>0</x:v>
      </x:c>
      <x:c r="H8" s="16" t="str">
        <x:v>INFO</x:v>
      </x:c>
      <x:c r="I8" s="16" t="n">
        <x:f>IF(H8="INFO",0,IF(H8="LE",G8/E8,E8/G8))</x:f>
        <x:v>0</x:v>
      </x:c>
      <x:c r="J8" s="9" t="str">
        <x:f>IF(H8="INFO","PASS",IF(H8="LE",IF(E8&lt;=G8,"PASS","FAIL"),IF(E8&gt;=G8,"PASS","FAIL")))</x:f>
        <x:v>PASS</x:v>
      </x:c>
      <x:c r="K8" s="9" t="str">
        <x:v>PLANNING</x:v>
      </x:c>
      <x:c r="L8" s="9"/>
    </x:row>
    <x:row r="9">
      <x:c r="B9" s="9" t="str">
        <x:v>ST03</x:v>
      </x:c>
      <x:c r="C9" s="9" t="str">
        <x:v>factored chord demand</x:v>
      </x:c>
      <x:c r="D9" s="9" t="str">
        <x:v>COMMON</x:v>
      </x:c>
      <x:c r="E9" s="16" t="n">
        <x:f>E8/(2*'Controls'!$D$30)*'Controls'!$D$31</x:f>
        <x:v>319782.06521739135</x:v>
      </x:c>
      <x:c r="F9" s="16" t="str">
        <x:v>N</x:v>
      </x:c>
      <x:c r="G9" s="16" t="n">
        <x:v>0</x:v>
      </x:c>
      <x:c r="H9" s="16" t="str">
        <x:v>INFO</x:v>
      </x:c>
      <x:c r="I9" s="16" t="n">
        <x:f>IF(H9="INFO",0,IF(H9="LE",G9/E9,E9/G9))</x:f>
        <x:v>0</x:v>
      </x:c>
      <x:c r="J9" s="9" t="str">
        <x:f>IF(H9="INFO","PASS",IF(H9="LE",IF(E9&lt;=G9,"PASS","FAIL"),IF(E9&gt;=G9,"PASS","FAIL")))</x:f>
        <x:v>PASS</x:v>
      </x:c>
      <x:c r="K9" s="9" t="str">
        <x:v>PLANNING</x:v>
      </x:c>
      <x:c r="L9" s="9"/>
    </x:row>
    <x:row r="10">
      <x:c r="B10" s="9" t="str">
        <x:v>ST04</x:v>
      </x:c>
      <x:c r="C10" s="9" t="str">
        <x:v>truss-equivalent EI</x:v>
      </x:c>
      <x:c r="D10" s="9" t="str">
        <x:v>ROOT_A</x:v>
      </x:c>
      <x:c r="E10" s="16" t="n">
        <x:f>2*'Controls'!$D$32*1000000000*('Root Sections'!H7+'Root Sections'!H8)*('Controls'!$D$30/2)^2</x:f>
        <x:v>6593455999.999999</x:v>
      </x:c>
      <x:c r="F10" s="16" t="str">
        <x:v>N-m2</x:v>
      </x:c>
      <x:c r="G10" s="16" t="n">
        <x:v>0</x:v>
      </x:c>
      <x:c r="H10" s="16" t="str">
        <x:v>INFO</x:v>
      </x:c>
      <x:c r="I10" s="16" t="n">
        <x:f>IF(H10="INFO",0,IF(H10="LE",G10/E10,E10/G10))</x:f>
        <x:v>0</x:v>
      </x:c>
      <x:c r="J10" s="9" t="str">
        <x:f>IF(H10="INFO","PASS",IF(H10="LE",IF(E10&lt;=G10,"PASS","FAIL"),IF(E10&gt;=G10,"PASS","FAIL")))</x:f>
        <x:v>PASS</x:v>
      </x:c>
      <x:c r="K10" s="9" t="str">
        <x:v>PLANNING</x:v>
      </x:c>
      <x:c r="L10" s="9"/>
    </x:row>
    <x:row r="11">
      <x:c r="B11" s="9" t="str">
        <x:v>ST05</x:v>
      </x:c>
      <x:c r="C11" s="9" t="str">
        <x:v>midspan deflection</x:v>
      </x:c>
      <x:c r="D11" s="9" t="str">
        <x:v>ROOT_A</x:v>
      </x:c>
      <x:c r="E11" s="16" t="n">
        <x:f>5*E7*('Controls'!$D$29^4)/(384*E10)*1000</x:f>
        <x:v>1.1619771653136082</x:v>
      </x:c>
      <x:c r="F11" s="16" t="str">
        <x:v>mm</x:v>
      </x:c>
      <x:c r="G11" s="16" t="n">
        <x:v>5</x:v>
      </x:c>
      <x:c r="H11" s="16" t="str">
        <x:v>LE</x:v>
      </x:c>
      <x:c r="I11" s="16" t="n">
        <x:f>IF(H11="INFO",0,IF(H11="LE",G11/E11,E11/G11))</x:f>
        <x:v>4.303010548964222</x:v>
      </x:c>
      <x:c r="J11" s="9" t="str">
        <x:f>IF(H11="INFO","PASS",IF(H11="LE",IF(E11&lt;=G11,"PASS","FAIL"),IF(E11&gt;=G11,"PASS","FAIL")))</x:f>
        <x:v>PASS</x:v>
      </x:c>
      <x:c r="K11" s="9" t="str">
        <x:v>PLANNING</x:v>
      </x:c>
      <x:c r="L11" s="9"/>
    </x:row>
    <x:row r="12">
      <x:c r="B12" s="9" t="str">
        <x:v>ST06</x:v>
      </x:c>
      <x:c r="C12" s="9" t="str">
        <x:v>lower-chord yield ratio</x:v>
      </x:c>
      <x:c r="D12" s="9" t="str">
        <x:v>ROOT_A</x:v>
      </x:c>
      <x:c r="E12" s="16" t="n">
        <x:f>('Root Sections'!H7*'Controls'!$D$34*1000000/'Controls'!$D$35)/E9</x:f>
        <x:v>14.907880227841678</x:v>
      </x:c>
      <x:c r="F12" s="16" t="str">
        <x:v>ratio</x:v>
      </x:c>
      <x:c r="G12" s="16" t="n">
        <x:v>1</x:v>
      </x:c>
      <x:c r="H12" s="16" t="str">
        <x:v>GE</x:v>
      </x:c>
      <x:c r="I12" s="16" t="n">
        <x:f>IF(H12="INFO",0,IF(H12="LE",G12/E12,E12/G12))</x:f>
        <x:v>14.907880227841678</x:v>
      </x:c>
      <x:c r="J12" s="9" t="str">
        <x:f>IF(H12="INFO","PASS",IF(H12="LE",IF(E12&lt;=G12,"PASS","FAIL"),IF(E12&gt;=G12,"PASS","FAIL")))</x:f>
        <x:v>PASS</x:v>
      </x:c>
      <x:c r="K12" s="9" t="str">
        <x:v>PLANNING</x:v>
      </x:c>
      <x:c r="L12" s="9"/>
    </x:row>
    <x:row r="13">
      <x:c r="B13" s="9" t="str">
        <x:v>ST07</x:v>
      </x:c>
      <x:c r="C13" s="9" t="str">
        <x:v>truss-equivalent EI</x:v>
      </x:c>
      <x:c r="D13" s="9" t="str">
        <x:v>ROOT_B</x:v>
      </x:c>
      <x:c r="E13" s="16" t="n">
        <x:f>2*'Controls'!$D$33*1000000000*('Root Sections'!H12+'Root Sections'!H13)*('Controls'!$D$30/2)^2</x:f>
        <x:v>4997145600</x:v>
      </x:c>
      <x:c r="F13" s="16" t="str">
        <x:v>N-m2</x:v>
      </x:c>
      <x:c r="G13" s="16" t="n">
        <x:v>0</x:v>
      </x:c>
      <x:c r="H13" s="16" t="str">
        <x:v>INFO</x:v>
      </x:c>
      <x:c r="I13" s="16" t="n">
        <x:f>IF(H13="INFO",0,IF(H13="LE",G13/E13,E13/G13))</x:f>
        <x:v>0</x:v>
      </x:c>
      <x:c r="J13" s="9" t="str">
        <x:f>IF(H13="INFO","PASS",IF(H13="LE",IF(E13&lt;=G13,"PASS","FAIL"),IF(E13&gt;=G13,"PASS","FAIL")))</x:f>
        <x:v>PASS</x:v>
      </x:c>
      <x:c r="K13" s="9" t="str">
        <x:v>PLANNING</x:v>
      </x:c>
      <x:c r="L13" s="9"/>
    </x:row>
    <x:row r="14">
      <x:c r="B14" s="9" t="str">
        <x:v>ST08</x:v>
      </x:c>
      <x:c r="C14" s="9" t="str">
        <x:v>midspan deflection</x:v>
      </x:c>
      <x:c r="D14" s="9" t="str">
        <x:v>ROOT_B</x:v>
      </x:c>
      <x:c r="E14" s="16" t="n">
        <x:f>5*E7*('Controls'!$D$29^4)/(384*E13)*1000</x:f>
        <x:v>1.5331643153443437</x:v>
      </x:c>
      <x:c r="F14" s="16" t="str">
        <x:v>mm</x:v>
      </x:c>
      <x:c r="G14" s="16" t="n">
        <x:v>5</x:v>
      </x:c>
      <x:c r="H14" s="16" t="str">
        <x:v>LE</x:v>
      </x:c>
      <x:c r="I14" s="16" t="n">
        <x:f>IF(H14="INFO",0,IF(H14="LE",G14/E14,E14/G14))</x:f>
        <x:v>3.261229047636043</x:v>
      </x:c>
      <x:c r="J14" s="9" t="str">
        <x:f>IF(H14="INFO","PASS",IF(H14="LE",IF(E14&lt;=G14,"PASS","FAIL"),IF(E14&gt;=G14,"PASS","FAIL")))</x:f>
        <x:v>PASS</x:v>
      </x:c>
      <x:c r="K14" s="9" t="str">
        <x:v>PLANNING</x:v>
      </x:c>
      <x:c r="L14" s="9"/>
    </x:row>
    <x:row r="15">
      <x:c r="B15" s="9" t="str">
        <x:v>ST09</x:v>
      </x:c>
      <x:c r="C15" s="9" t="str">
        <x:v>lower-box compression ratio</x:v>
      </x:c>
      <x:c r="D15" s="9" t="str">
        <x:v>ROOT_B</x:v>
      </x:c>
      <x:c r="E15" s="16" t="n">
        <x:f>('Root Sections'!H12*'Controls'!$D$36*1000000)/E9</x:f>
        <x:v>9.00613359302106</x:v>
      </x:c>
      <x:c r="F15" s="16" t="str">
        <x:v>ratio</x:v>
      </x:c>
      <x:c r="G15" s="16" t="n">
        <x:v>1</x:v>
      </x:c>
      <x:c r="H15" s="16" t="str">
        <x:v>GE</x:v>
      </x:c>
      <x:c r="I15" s="16" t="n">
        <x:f>IF(H15="INFO",0,IF(H15="LE",G15/E15,E15/G15))</x:f>
        <x:v>9.00613359302106</x:v>
      </x:c>
      <x:c r="J15" s="9" t="str">
        <x:f>IF(H15="INFO","PASS",IF(H15="LE",IF(E15&lt;=G15,"PASS","FAIL"),IF(E15&gt;=G15,"PASS","FAIL")))</x:f>
        <x:v>PASS</x:v>
      </x:c>
      <x:c r="K15" s="9" t="str">
        <x:v>PLANNING</x:v>
      </x:c>
      <x:c r="L15" s="9"/>
    </x:row>
    <x:row r="16">
      <x:c r="B16" s="9" t="str">
        <x:v>ST10</x:v>
      </x:c>
      <x:c r="C16" s="9" t="str">
        <x:v>outrigger design moment</x:v>
      </x:c>
      <x:c r="D16" s="9" t="str">
        <x:v>COMMON</x:v>
      </x:c>
      <x:c r="E16" s="16" t="n">
        <x:f>200000*0.9*1.5</x:f>
        <x:v>270000</x:v>
      </x:c>
      <x:c r="F16" s="16" t="str">
        <x:v>N-m</x:v>
      </x:c>
      <x:c r="G16" s="16" t="n">
        <x:v>0</x:v>
      </x:c>
      <x:c r="H16" s="16" t="str">
        <x:v>INFO</x:v>
      </x:c>
      <x:c r="I16" s="16" t="n">
        <x:f>IF(H16="INFO",0,IF(H16="LE",G16/E16,E16/G16))</x:f>
        <x:v>0</x:v>
      </x:c>
      <x:c r="J16" s="9" t="str">
        <x:f>IF(H16="INFO","PASS",IF(H16="LE",IF(E16&lt;=G16,"PASS","FAIL"),IF(E16&gt;=G16,"PASS","FAIL")))</x:f>
        <x:v>PASS</x:v>
      </x:c>
      <x:c r="K16" s="9" t="str">
        <x:v>PLANNING</x:v>
      </x:c>
      <x:c r="L16" s="9"/>
    </x:row>
    <x:row r="17">
      <x:c r="B17" s="9" t="str">
        <x:v>ST11</x:v>
      </x:c>
      <x:c r="C17" s="9" t="str">
        <x:v>outrigger nominal stress</x:v>
      </x:c>
      <x:c r="D17" s="9" t="str">
        <x:v>ROOT_A</x:v>
      </x:c>
      <x:c r="E17" s="16" t="n">
        <x:f>E16/('Root Sections'!I10/(0.300/2))/1000000</x:f>
        <x:v>190.30792291824275</x:v>
      </x:c>
      <x:c r="F17" s="16" t="str">
        <x:v>MPa</x:v>
      </x:c>
      <x:c r="G17" s="16" t="n">
        <x:f>'Controls'!$D$34/'Controls'!$D$35</x:f>
        <x:v>627.2727272727273</x:v>
      </x:c>
      <x:c r="H17" s="16" t="str">
        <x:v>LE</x:v>
      </x:c>
      <x:c r="I17" s="16" t="n">
        <x:f>IF(H17="INFO",0,IF(H17="LE",G17/E17,E17/G17))</x:f>
        <x:v>3.296093602693603</x:v>
      </x:c>
      <x:c r="J17" s="9" t="str">
        <x:f>IF(H17="INFO","PASS",IF(H17="LE",IF(E17&lt;=G17,"PASS","FAIL"),IF(E17&gt;=G17,"PASS","FAIL")))</x:f>
        <x:v>PASS</x:v>
      </x:c>
      <x:c r="K17" s="9" t="str">
        <x:v>PLANNING</x:v>
      </x:c>
      <x:c r="L17" s="9"/>
    </x:row>
    <x:row r="18">
      <x:c r="B18" s="9" t="str">
        <x:v>ST12</x:v>
      </x:c>
      <x:c r="C18" s="9" t="str">
        <x:v>outrigger stress ratio</x:v>
      </x:c>
      <x:c r="D18" s="9" t="str">
        <x:v>ROOT_A</x:v>
      </x:c>
      <x:c r="E18" s="16" t="n">
        <x:f>G17/E17</x:f>
        <x:v>3.296093602693603</x:v>
      </x:c>
      <x:c r="F18" s="16" t="str">
        <x:v>ratio</x:v>
      </x:c>
      <x:c r="G18" s="16" t="n">
        <x:v>1</x:v>
      </x:c>
      <x:c r="H18" s="16" t="str">
        <x:v>GE</x:v>
      </x:c>
      <x:c r="I18" s="16" t="n">
        <x:f>IF(H18="INFO",0,IF(H18="LE",G18/E18,E18/G18))</x:f>
        <x:v>3.296093602693603</x:v>
      </x:c>
      <x:c r="J18" s="9" t="str">
        <x:f>IF(H18="INFO","PASS",IF(H18="LE",IF(E18&lt;=G18,"PASS","FAIL"),IF(E18&gt;=G18,"PASS","FAIL")))</x:f>
        <x:v>PASS</x:v>
      </x:c>
      <x:c r="K18" s="9" t="str">
        <x:v>PLANNING</x:v>
      </x:c>
      <x:c r="L18" s="9"/>
    </x:row>
    <x:row r="19">
      <x:c r="B19" s="9" t="str">
        <x:v>ST13</x:v>
      </x:c>
      <x:c r="C19" s="9" t="str">
        <x:v>outrigger nominal strain</x:v>
      </x:c>
      <x:c r="D19" s="9" t="str">
        <x:v>ROOT_B</x:v>
      </x:c>
      <x:c r="E19" s="16" t="n">
        <x:f>E16/('Root Sections'!I15/(0.360/2))/('Controls'!$D$33*1000000000)</x:f>
        <x:v>0.0017176519485807107</x:v>
      </x:c>
      <x:c r="F19" s="16" t="str">
        <x:v>strain</x:v>
      </x:c>
      <x:c r="G19" s="16" t="n">
        <x:f>'Controls'!$D$37</x:f>
        <x:v>0.0035</x:v>
      </x:c>
      <x:c r="H19" s="16" t="str">
        <x:v>LE</x:v>
      </x:c>
      <x:c r="I19" s="16" t="n">
        <x:f>IF(H19="INFO",0,IF(H19="LE",G19/E19,E19/G19))</x:f>
        <x:v>2.0376654320987653</x:v>
      </x:c>
      <x:c r="J19" s="9" t="str">
        <x:f>IF(H19="INFO","PASS",IF(H19="LE",IF(E19&lt;=G19,"PASS","FAIL"),IF(E19&gt;=G19,"PASS","FAIL")))</x:f>
        <x:v>PASS</x:v>
      </x:c>
      <x:c r="K19" s="9" t="str">
        <x:v>PLANNING</x:v>
      </x:c>
      <x:c r="L19" s="9"/>
    </x:row>
    <x:row r="20">
      <x:c r="B20" s="9" t="str">
        <x:v>ST14</x:v>
      </x:c>
      <x:c r="C20" s="9" t="str">
        <x:v>outrigger strain ratio</x:v>
      </x:c>
      <x:c r="D20" s="9" t="str">
        <x:v>ROOT_B</x:v>
      </x:c>
      <x:c r="E20" s="16" t="n">
        <x:f>G19/E19</x:f>
        <x:v>2.0376654320987653</x:v>
      </x:c>
      <x:c r="F20" s="16" t="str">
        <x:v>ratio</x:v>
      </x:c>
      <x:c r="G20" s="16" t="n">
        <x:v>1</x:v>
      </x:c>
      <x:c r="H20" s="16" t="str">
        <x:v>GE</x:v>
      </x:c>
      <x:c r="I20" s="16" t="n">
        <x:f>IF(H20="INFO",0,IF(H20="LE",G20/E20,E20/G20))</x:f>
        <x:v>2.0376654320987653</x:v>
      </x:c>
      <x:c r="J20" s="9" t="str">
        <x:f>IF(H20="INFO","PASS",IF(H20="LE",IF(E20&lt;=G20,"PASS","FAIL"),IF(E20&gt;=G20,"PASS","FAIL")))</x:f>
        <x:v>PASS</x:v>
      </x:c>
      <x:c r="K20" s="9" t="str">
        <x:v>PLANNING</x:v>
      </x:c>
      <x:c r="L20" s="9"/>
    </x:row>
    <x:row r="21">
      <x:c r="B21" s="9" t="str">
        <x:v>ST15</x:v>
      </x:c>
      <x:c r="C21" s="9" t="str">
        <x:v>Root A 80-mm pin double shear</x:v>
      </x:c>
      <x:c r="D21" s="9" t="str">
        <x:v>ROOT_A</x:v>
      </x:c>
      <x:c r="E21" s="16" t="n">
        <x:f>200000/(2*PI()*0.08^2/4)/1000000</x:f>
        <x:v>19.89436788648692</x:v>
      </x:c>
      <x:c r="F21" s="16" t="str">
        <x:v>MPa</x:v>
      </x:c>
      <x:c r="G21" s="16" t="n">
        <x:v>250</x:v>
      </x:c>
      <x:c r="H21" s="16" t="str">
        <x:v>LE</x:v>
      </x:c>
      <x:c r="I21" s="16" t="n">
        <x:f>IF(H21="INFO",0,IF(H21="LE",G21/E21,E21/G21))</x:f>
        <x:v>12.566370614359172</x:v>
      </x:c>
      <x:c r="J21" s="9" t="str">
        <x:f>IF(H21="INFO","PASS",IF(H21="LE",IF(E21&lt;=G21,"PASS","FAIL"),IF(E21&gt;=G21,"PASS","FAIL")))</x:f>
        <x:v>PASS</x:v>
      </x:c>
      <x:c r="K21" s="9" t="str">
        <x:v>PLANNING</x:v>
      </x:c>
      <x:c r="L21" s="9"/>
    </x:row>
    <x:row r="22">
      <x:c r="B22" s="10" t="str">
        <x:v>ST16</x:v>
      </x:c>
      <x:c r="C22" s="10" t="str">
        <x:v>Root B 75-mm pin double shear</x:v>
      </x:c>
      <x:c r="D22" s="10" t="str">
        <x:v>ROOT_B</x:v>
      </x:c>
      <x:c r="E22" s="19" t="n">
        <x:f>200000/(2*PI()*0.075^2/4)/1000000</x:f>
        <x:v>22.63536968418067</x:v>
      </x:c>
      <x:c r="F22" s="19" t="str">
        <x:v>MPa</x:v>
      </x:c>
      <x:c r="G22" s="19" t="n">
        <x:v>250</x:v>
      </x:c>
      <x:c r="H22" s="19" t="str">
        <x:v>LE</x:v>
      </x:c>
      <x:c r="I22" s="19" t="n">
        <x:f>IF(H22="INFO",0,IF(H22="LE",G22/E22,E22/G22))</x:f>
        <x:v>11.044661672776616</x:v>
      </x:c>
      <x:c r="J22" s="10" t="str">
        <x:f>IF(H22="INFO","PASS",IF(H22="LE",IF(E22&lt;=G22,"PASS","FAIL"),IF(E22&gt;=G22,"PASS","FAIL")))</x:f>
        <x:v>PASS</x:v>
      </x:c>
      <x:c r="K22" s="10" t="str">
        <x:v>PLANNING</x:v>
      </x:c>
      <x:c r="L22" s="10"/>
    </x:row>
  </x:sheetData>
  <x:mergeCells>
    <x:mergeCell ref="B2:L2"/>
    <x:mergeCell ref="B3:L3"/>
  </x:mergeCells>
  <x:conditionalFormatting sqref="J7:K22">
    <x:cfRule type="containsText" dxfId="66" priority="1" operator="containsText" text="PASS"/>
    <x:cfRule type="containsText" dxfId="67" priority="2" operator="containsText" text="AUTHORIZED"/>
    <x:cfRule type="containsText" dxfId="68" priority="3" operator="containsText" text="DEFINED"/>
    <x:cfRule type="containsText" dxfId="69" priority="4" operator="containsText" text="READY"/>
    <x:cfRule type="containsText" dxfId="70" priority="5" operator="containsText" text="HOLD"/>
    <x:cfRule type="containsText" dxfId="71" priority="6" operator="containsText" text="OPEN"/>
    <x:cfRule type="containsText" dxfId="72" priority="7" operator="containsText" text="BLOCKED"/>
    <x:cfRule type="containsText" dxfId="73" priority="8" operator="containsText" text="PLANNING"/>
    <x:cfRule type="containsText" dxfId="74" priority="9" operator="containsText" text="FAIL"/>
    <x:cfRule type="containsText" dxfId="75" priority="10" operator="containsText" text="REJECT"/>
    <x:cfRule type="containsText" dxfId="76" priority="11" operator="containsText" text="INCOMPLETE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0" hidden="0" customWidth="1"/>
    <x:col min="3" max="3" width="34" hidden="0" customWidth="1"/>
    <x:col min="4" max="4" width="15" hidden="0" customWidth="1"/>
    <x:col min="5" max="5" width="25" hidden="0" customWidth="1"/>
    <x:col min="6" max="6" width="17" hidden="0" customWidth="1"/>
    <x:col min="7" max="7" width="13" hidden="0" customWidth="1"/>
    <x:col min="8" max="8" width="13" hidden="0" customWidth="1"/>
    <x:col min="9" max="9" width="15" hidden="0" customWidth="1"/>
    <x:col min="10" max="10" width="13" hidden="0" customWidth="1"/>
    <x:col min="11" max="11" width="16" hidden="0" customWidth="1"/>
    <x:col min="12" max="12" width="12" hidden="0" customWidth="1"/>
  </x:cols>
  <x:sheetData>
    <x:row r="2">
      <x:c r="B2" s="1" t="str">
        <x:v>Unlike hydraulic paths, collars and full-bore valves</x:v>
      </x:c>
    </x:row>
    <x:row r="3">
      <x:c r="B3" s="2" t="str">
        <x:v>Pressure strength is not sanitary release; seal, liner, cleaning, sample, waste and teardown custody remain separate.</x:v>
      </x:c>
    </x:row>
    <x:row r="4"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6">
      <x:c r="B6" s="7" t="str">
        <x:v>ID</x:v>
      </x:c>
      <x:c r="C6" s="7" t="str">
        <x:v>Quantity</x:v>
      </x:c>
      <x:c r="D6" s="7" t="str">
        <x:v>Root</x:v>
      </x:c>
      <x:c r="E6" s="7" t="str">
        <x:v>Formula / value</x:v>
      </x:c>
      <x:c r="F6" s="7" t="str">
        <x:v>Calculated</x:v>
      </x:c>
      <x:c r="G6" s="7" t="str">
        <x:v>Unit</x:v>
      </x:c>
      <x:c r="H6" s="7" t="str">
        <x:v>Limit</x:v>
      </x:c>
      <x:c r="I6" s="7" t="str">
        <x:v>Relation</x:v>
      </x:c>
      <x:c r="J6" s="7" t="str">
        <x:v>Margin ratio</x:v>
      </x:c>
      <x:c r="K6" s="7" t="str">
        <x:v>Gate</x:v>
      </x:c>
      <x:c r="L6" s="7" t="str">
        <x:v>Physical state</x:v>
      </x:c>
    </x:row>
    <x:row r="7">
      <x:c r="B7" s="9" t="str">
        <x:v>HY01</x:v>
      </x:c>
      <x:c r="C7" s="9" t="str">
        <x:v>pipe OD</x:v>
      </x:c>
      <x:c r="D7" s="9" t="str">
        <x:v>ROOT_A</x:v>
      </x:c>
      <x:c r="E7" s="16" t="n">
        <x:f>'Controls'!$D$38+2*'Controls'!$D$41</x:f>
        <x:v>0.37</x:v>
      </x:c>
      <x:c r="F7" s="16" t="str">
        <x:v>m</x:v>
      </x:c>
      <x:c r="G7" s="16" t="n">
        <x:v>0</x:v>
      </x:c>
      <x:c r="H7" s="16" t="str">
        <x:v>INFO</x:v>
      </x:c>
      <x:c r="I7" s="16" t="n">
        <x:f>IF(H7="INFO",0,IF(H7="LE",G7/E7,E7/G7))</x:f>
        <x:v>0</x:v>
      </x:c>
      <x:c r="J7" s="9" t="str">
        <x:f>IF(H7="INFO","PASS",IF(H7="LE",IF(E7&lt;=G7,"PASS","FAIL"),IF(E7&gt;=G7,"PASS","FAIL")))</x:f>
        <x:v>PASS</x:v>
      </x:c>
      <x:c r="K7" s="9" t="str">
        <x:v>PLANNING</x:v>
      </x:c>
      <x:c r="L7" s="9"/>
    </x:row>
    <x:row r="8">
      <x:c r="B8" s="9" t="str">
        <x:v>HY02</x:v>
      </x:c>
      <x:c r="C8" s="9" t="str">
        <x:v>pipe wall mass</x:v>
      </x:c>
      <x:c r="D8" s="9" t="str">
        <x:v>ROOT_A</x:v>
      </x:c>
      <x:c r="E8" s="16" t="n">
        <x:f>PI()/4*(E7^2-'Controls'!$D$38^2)*'Controls'!$D$40*'Controls'!$D$43/1000</x:f>
        <x:v>2.1307538013707426</x:v>
      </x:c>
      <x:c r="F8" s="16" t="str">
        <x:v>t</x:v>
      </x:c>
      <x:c r="G8" s="16" t="n">
        <x:v>4.2</x:v>
      </x:c>
      <x:c r="H8" s="16" t="str">
        <x:v>LE</x:v>
      </x:c>
      <x:c r="I8" s="16" t="n">
        <x:f>IF(H8="INFO",0,IF(H8="LE",G8/E8,E8/G8))</x:f>
        <x:v>1.9711334070121493</x:v>
      </x:c>
      <x:c r="J8" s="9" t="str">
        <x:f>IF(H8="INFO","PASS",IF(H8="LE",IF(E8&lt;=G8,"PASS","FAIL"),IF(E8&gt;=G8,"PASS","FAIL")))</x:f>
        <x:v>PASS</x:v>
      </x:c>
      <x:c r="K8" s="9" t="str">
        <x:v>PLANNING</x:v>
      </x:c>
      <x:c r="L8" s="9"/>
    </x:row>
    <x:row r="9">
      <x:c r="B9" s="9" t="str">
        <x:v>HY03</x:v>
      </x:c>
      <x:c r="C9" s="9" t="str">
        <x:v>proof hoop stress</x:v>
      </x:c>
      <x:c r="D9" s="9" t="str">
        <x:v>ROOT_A</x:v>
      </x:c>
      <x:c r="E9" s="16" t="n">
        <x:f>'Controls'!$D$39*'Controls'!$D$38/(2*'Controls'!$D$41)</x:f>
        <x:v>18.375</x:v>
      </x:c>
      <x:c r="F9" s="16" t="str">
        <x:v>MPa</x:v>
      </x:c>
      <x:c r="G9" s="16" t="n">
        <x:v>310</x:v>
      </x:c>
      <x:c r="H9" s="16" t="str">
        <x:v>LE</x:v>
      </x:c>
      <x:c r="I9" s="16" t="n">
        <x:f>IF(H9="INFO",0,IF(H9="LE",G9/E9,E9/G9))</x:f>
        <x:v>16.87074829931973</x:v>
      </x:c>
      <x:c r="J9" s="9" t="str">
        <x:f>IF(H9="INFO","PASS",IF(H9="LE",IF(E9&lt;=G9,"PASS","FAIL"),IF(E9&gt;=G9,"PASS","FAIL")))</x:f>
        <x:v>PASS</x:v>
      </x:c>
      <x:c r="K9" s="9" t="str">
        <x:v>PLANNING</x:v>
      </x:c>
      <x:c r="L9" s="9"/>
    </x:row>
    <x:row r="10">
      <x:c r="B10" s="9" t="str">
        <x:v>HY04</x:v>
      </x:c>
      <x:c r="C10" s="9" t="str">
        <x:v>hoop ratio</x:v>
      </x:c>
      <x:c r="D10" s="9" t="str">
        <x:v>ROOT_A</x:v>
      </x:c>
      <x:c r="E10" s="16" t="n">
        <x:f>G9/E9</x:f>
        <x:v>16.87074829931973</x:v>
      </x:c>
      <x:c r="F10" s="16" t="str">
        <x:v>ratio</x:v>
      </x:c>
      <x:c r="G10" s="16" t="n">
        <x:v>1</x:v>
      </x:c>
      <x:c r="H10" s="16" t="str">
        <x:v>GE</x:v>
      </x:c>
      <x:c r="I10" s="16" t="n">
        <x:f>IF(H10="INFO",0,IF(H10="LE",G10/E10,E10/G10))</x:f>
        <x:v>16.87074829931973</x:v>
      </x:c>
      <x:c r="J10" s="9" t="str">
        <x:f>IF(H10="INFO","PASS",IF(H10="LE",IF(E10&lt;=G10,"PASS","FAIL"),IF(E10&gt;=G10,"PASS","FAIL")))</x:f>
        <x:v>PASS</x:v>
      </x:c>
      <x:c r="K10" s="9" t="str">
        <x:v>PLANNING</x:v>
      </x:c>
      <x:c r="L10" s="9"/>
    </x:row>
    <x:row r="11">
      <x:c r="B11" s="9" t="str">
        <x:v>HY05</x:v>
      </x:c>
      <x:c r="C11" s="9" t="str">
        <x:v>pipe OD</x:v>
      </x:c>
      <x:c r="D11" s="9" t="str">
        <x:v>ROOT_B</x:v>
      </x:c>
      <x:c r="E11" s="16" t="n">
        <x:f>'Controls'!$D$38+2*'Controls'!$D$42</x:f>
        <x:v>0.366</x:v>
      </x:c>
      <x:c r="F11" s="16" t="str">
        <x:v>m</x:v>
      </x:c>
      <x:c r="G11" s="16" t="n">
        <x:v>0</x:v>
      </x:c>
      <x:c r="H11" s="16" t="str">
        <x:v>INFO</x:v>
      </x:c>
      <x:c r="I11" s="16" t="n">
        <x:f>IF(H11="INFO",0,IF(H11="LE",G11/E11,E11/G11))</x:f>
        <x:v>0</x:v>
      </x:c>
      <x:c r="J11" s="9" t="str">
        <x:f>IF(H11="INFO","PASS",IF(H11="LE",IF(E11&lt;=G11,"PASS","FAIL"),IF(E11&gt;=G11,"PASS","FAIL")))</x:f>
        <x:v>PASS</x:v>
      </x:c>
      <x:c r="K11" s="9" t="str">
        <x:v>PLANNING</x:v>
      </x:c>
      <x:c r="L11" s="9"/>
    </x:row>
    <x:row r="12">
      <x:c r="B12" s="9" t="str">
        <x:v>HY06</x:v>
      </x:c>
      <x:c r="C12" s="9" t="str">
        <x:v>pipe wall mass</x:v>
      </x:c>
      <x:c r="D12" s="9" t="str">
        <x:v>ROOT_B</x:v>
      </x:c>
      <x:c r="E12" s="16" t="n">
        <x:f>PI()/4*(E11^2-'Controls'!$D$38^2)*'Controls'!$D$40*'Controls'!$D$44/1000</x:f>
        <x:v>0.345504820219437</x:v>
      </x:c>
      <x:c r="F12" s="16" t="str">
        <x:v>t</x:v>
      </x:c>
      <x:c r="G12" s="16" t="n">
        <x:v>4.3</x:v>
      </x:c>
      <x:c r="H12" s="16" t="str">
        <x:v>LE</x:v>
      </x:c>
      <x:c r="I12" s="16" t="n">
        <x:f>IF(H12="INFO",0,IF(H12="LE",G12/E12,E12/G12))</x:f>
        <x:v>12.445557191558091</x:v>
      </x:c>
      <x:c r="J12" s="9" t="str">
        <x:f>IF(H12="INFO","PASS",IF(H12="LE",IF(E12&lt;=G12,"PASS","FAIL"),IF(E12&gt;=G12,"PASS","FAIL")))</x:f>
        <x:v>PASS</x:v>
      </x:c>
      <x:c r="K12" s="9" t="str">
        <x:v>PLANNING</x:v>
      </x:c>
      <x:c r="L12" s="9"/>
    </x:row>
    <x:row r="13">
      <x:c r="B13" s="9" t="str">
        <x:v>HY07</x:v>
      </x:c>
      <x:c r="C13" s="9" t="str">
        <x:v>proof hoop stress</x:v>
      </x:c>
      <x:c r="D13" s="9" t="str">
        <x:v>ROOT_B</x:v>
      </x:c>
      <x:c r="E13" s="16" t="n">
        <x:f>'Controls'!$D$39*'Controls'!$D$38/(2*'Controls'!$D$42)</x:f>
        <x:v>22.96875</x:v>
      </x:c>
      <x:c r="F13" s="16" t="str">
        <x:v>MPa</x:v>
      </x:c>
      <x:c r="G13" s="16" t="n">
        <x:v>180</x:v>
      </x:c>
      <x:c r="H13" s="16" t="str">
        <x:v>LE</x:v>
      </x:c>
      <x:c r="I13" s="16" t="n">
        <x:f>IF(H13="INFO",0,IF(H13="LE",G13/E13,E13/G13))</x:f>
        <x:v>7.836734693877551</x:v>
      </x:c>
      <x:c r="J13" s="9" t="str">
        <x:f>IF(H13="INFO","PASS",IF(H13="LE",IF(E13&lt;=G13,"PASS","FAIL"),IF(E13&gt;=G13,"PASS","FAIL")))</x:f>
        <x:v>PASS</x:v>
      </x:c>
      <x:c r="K13" s="9" t="str">
        <x:v>PLANNING</x:v>
      </x:c>
      <x:c r="L13" s="9"/>
    </x:row>
    <x:row r="14">
      <x:c r="B14" s="9" t="str">
        <x:v>HY08</x:v>
      </x:c>
      <x:c r="C14" s="9" t="str">
        <x:v>hoop ratio</x:v>
      </x:c>
      <x:c r="D14" s="9" t="str">
        <x:v>ROOT_B</x:v>
      </x:c>
      <x:c r="E14" s="16" t="n">
        <x:f>G13/E13</x:f>
        <x:v>7.836734693877551</x:v>
      </x:c>
      <x:c r="F14" s="16" t="str">
        <x:v>ratio</x:v>
      </x:c>
      <x:c r="G14" s="16" t="n">
        <x:v>1</x:v>
      </x:c>
      <x:c r="H14" s="16" t="str">
        <x:v>GE</x:v>
      </x:c>
      <x:c r="I14" s="16" t="n">
        <x:f>IF(H14="INFO",0,IF(H14="LE",G14/E14,E14/G14))</x:f>
        <x:v>7.836734693877551</x:v>
      </x:c>
      <x:c r="J14" s="9" t="str">
        <x:f>IF(H14="INFO","PASS",IF(H14="LE",IF(E14&lt;=G14,"PASS","FAIL"),IF(E14&gt;=G14,"PASS","FAIL")))</x:f>
        <x:v>PASS</x:v>
      </x:c>
      <x:c r="K14" s="9" t="str">
        <x:v>PLANNING</x:v>
      </x:c>
      <x:c r="L14" s="9"/>
    </x:row>
    <x:row r="15">
      <x:c r="B15" s="9" t="str">
        <x:v>HY09</x:v>
      </x:c>
      <x:c r="C15" s="9" t="str">
        <x:v>Root B collar bond area</x:v>
      </x:c>
      <x:c r="D15" s="9" t="str">
        <x:v>ROOT_B</x:v>
      </x:c>
      <x:c r="E15" s="16" t="n">
        <x:f>PI()*E11*0.120</x:f>
        <x:v>0.1379787493456637</x:v>
      </x:c>
      <x:c r="F15" s="16" t="str">
        <x:v>m2</x:v>
      </x:c>
      <x:c r="G15" s="16" t="n">
        <x:v>0</x:v>
      </x:c>
      <x:c r="H15" s="16" t="str">
        <x:v>INFO</x:v>
      </x:c>
      <x:c r="I15" s="16" t="n">
        <x:f>IF(H15="INFO",0,IF(H15="LE",G15/E15,E15/G15))</x:f>
        <x:v>0</x:v>
      </x:c>
      <x:c r="J15" s="9" t="str">
        <x:f>IF(H15="INFO","PASS",IF(H15="LE",IF(E15&lt;=G15,"PASS","FAIL"),IF(E15&gt;=G15,"PASS","FAIL")))</x:f>
        <x:v>PASS</x:v>
      </x:c>
      <x:c r="K15" s="9" t="str">
        <x:v>PLANNING</x:v>
      </x:c>
      <x:c r="L15" s="9"/>
    </x:row>
    <x:row r="16">
      <x:c r="B16" s="9" t="str">
        <x:v>HY10</x:v>
      </x:c>
      <x:c r="C16" s="9" t="str">
        <x:v>Root B mean bond shear</x:v>
      </x:c>
      <x:c r="D16" s="9" t="str">
        <x:v>ROOT_B</x:v>
      </x:c>
      <x:c r="E16" s="16" t="n">
        <x:f>'Controls'!$D$45/E15/1000</x:f>
        <x:v>1.811873213705548</x:v>
      </x:c>
      <x:c r="F16" s="16" t="str">
        <x:v>MPa</x:v>
      </x:c>
      <x:c r="G16" s="16" t="n">
        <x:v>8</x:v>
      </x:c>
      <x:c r="H16" s="16" t="str">
        <x:v>LE</x:v>
      </x:c>
      <x:c r="I16" s="16" t="n">
        <x:f>IF(H16="INFO",0,IF(H16="LE",G16/E16,E16/G16))</x:f>
        <x:v>4.415319979061239</x:v>
      </x:c>
      <x:c r="J16" s="9" t="str">
        <x:f>IF(H16="INFO","PASS",IF(H16="LE",IF(E16&lt;=G16,"PASS","FAIL"),IF(E16&gt;=G16,"PASS","FAIL")))</x:f>
        <x:v>PASS</x:v>
      </x:c>
      <x:c r="K16" s="9" t="str">
        <x:v>PLANNING</x:v>
      </x:c>
      <x:c r="L16" s="9"/>
    </x:row>
    <x:row r="17">
      <x:c r="B17" s="9" t="str">
        <x:v>HY11</x:v>
      </x:c>
      <x:c r="C17" s="9" t="str">
        <x:v>bond shear ratio</x:v>
      </x:c>
      <x:c r="D17" s="9" t="str">
        <x:v>ROOT_B</x:v>
      </x:c>
      <x:c r="E17" s="16" t="n">
        <x:f>G16/E16</x:f>
        <x:v>4.415319979061239</x:v>
      </x:c>
      <x:c r="F17" s="16" t="str">
        <x:v>ratio</x:v>
      </x:c>
      <x:c r="G17" s="16" t="n">
        <x:v>1</x:v>
      </x:c>
      <x:c r="H17" s="16" t="str">
        <x:v>GE</x:v>
      </x:c>
      <x:c r="I17" s="16" t="n">
        <x:f>IF(H17="INFO",0,IF(H17="LE",G17/E17,E17/G17))</x:f>
        <x:v>4.415319979061239</x:v>
      </x:c>
      <x:c r="J17" s="9" t="str">
        <x:f>IF(H17="INFO","PASS",IF(H17="LE",IF(E17&lt;=G17,"PASS","FAIL"),IF(E17&gt;=G17,"PASS","FAIL")))</x:f>
        <x:v>PASS</x:v>
      </x:c>
      <x:c r="K17" s="9" t="str">
        <x:v>PLANNING</x:v>
      </x:c>
      <x:c r="L17" s="9"/>
    </x:row>
    <x:row r="18">
      <x:c r="B18" s="9" t="str">
        <x:v>HY12</x:v>
      </x:c>
      <x:c r="C18" s="9" t="str">
        <x:v>Root A seal low</x:v>
      </x:c>
      <x:c r="D18" s="9" t="str">
        <x:v>ROOT_A</x:v>
      </x:c>
      <x:c r="E18" s="16" t="n">
        <x:f>3.0-0.85</x:f>
        <x:v>2.15</x:v>
      </x:c>
      <x:c r="F18" s="16" t="str">
        <x:v>mm</x:v>
      </x:c>
      <x:c r="G18" s="16" t="n">
        <x:v>2</x:v>
      </x:c>
      <x:c r="H18" s="16" t="str">
        <x:v>GE</x:v>
      </x:c>
      <x:c r="I18" s="16" t="n">
        <x:f>IF(H18="INFO",0,IF(H18="LE",G18/E18,E18/G18))</x:f>
        <x:v>1.075</x:v>
      </x:c>
      <x:c r="J18" s="9" t="str">
        <x:f>IF(H18="INFO","PASS",IF(H18="LE",IF(E18&lt;=G18,"PASS","FAIL"),IF(E18&gt;=G18,"PASS","FAIL")))</x:f>
        <x:v>PASS</x:v>
      </x:c>
      <x:c r="K18" s="9" t="str">
        <x:v>PLANNING</x:v>
      </x:c>
      <x:c r="L18" s="9"/>
    </x:row>
    <x:row r="19">
      <x:c r="B19" s="9" t="str">
        <x:v>HY13</x:v>
      </x:c>
      <x:c r="C19" s="9" t="str">
        <x:v>Root A seal high</x:v>
      </x:c>
      <x:c r="D19" s="9" t="str">
        <x:v>ROOT_A</x:v>
      </x:c>
      <x:c r="E19" s="16" t="n">
        <x:f>3.0+0.85</x:f>
        <x:v>3.85</x:v>
      </x:c>
      <x:c r="F19" s="16" t="str">
        <x:v>mm</x:v>
      </x:c>
      <x:c r="G19" s="16" t="n">
        <x:v>4</x:v>
      </x:c>
      <x:c r="H19" s="16" t="str">
        <x:v>LE</x:v>
      </x:c>
      <x:c r="I19" s="16" t="n">
        <x:f>IF(H19="INFO",0,IF(H19="LE",G19/E19,E19/G19))</x:f>
        <x:v>1.0389610389610389</x:v>
      </x:c>
      <x:c r="J19" s="9" t="str">
        <x:f>IF(H19="INFO","PASS",IF(H19="LE",IF(E19&lt;=G19,"PASS","FAIL"),IF(E19&gt;=G19,"PASS","FAIL")))</x:f>
        <x:v>PASS</x:v>
      </x:c>
      <x:c r="K19" s="9" t="str">
        <x:v>PLANNING</x:v>
      </x:c>
      <x:c r="L19" s="9"/>
    </x:row>
    <x:row r="20">
      <x:c r="B20" s="9" t="str">
        <x:v>HY14</x:v>
      </x:c>
      <x:c r="C20" s="9" t="str">
        <x:v>Root B seal low</x:v>
      </x:c>
      <x:c r="D20" s="9" t="str">
        <x:v>ROOT_B</x:v>
      </x:c>
      <x:c r="E20" s="16" t="n">
        <x:f>2.6-0.65</x:f>
        <x:v>1.9500000000000002</x:v>
      </x:c>
      <x:c r="F20" s="16" t="str">
        <x:v>mm</x:v>
      </x:c>
      <x:c r="G20" s="16" t="n">
        <x:v>1.8</x:v>
      </x:c>
      <x:c r="H20" s="16" t="str">
        <x:v>GE</x:v>
      </x:c>
      <x:c r="I20" s="16" t="n">
        <x:f>IF(H20="INFO",0,IF(H20="LE",G20/E20,E20/G20))</x:f>
        <x:v>1.0833333333333335</x:v>
      </x:c>
      <x:c r="J20" s="9" t="str">
        <x:f>IF(H20="INFO","PASS",IF(H20="LE",IF(E20&lt;=G20,"PASS","FAIL"),IF(E20&gt;=G20,"PASS","FAIL")))</x:f>
        <x:v>PASS</x:v>
      </x:c>
      <x:c r="K20" s="9" t="str">
        <x:v>PLANNING</x:v>
      </x:c>
      <x:c r="L20" s="9"/>
    </x:row>
    <x:row r="21">
      <x:c r="B21" s="9" t="str">
        <x:v>HY15</x:v>
      </x:c>
      <x:c r="C21" s="9" t="str">
        <x:v>Root B seal high</x:v>
      </x:c>
      <x:c r="D21" s="9" t="str">
        <x:v>ROOT_B</x:v>
      </x:c>
      <x:c r="E21" s="16" t="n">
        <x:f>2.6+0.65</x:f>
        <x:v>3.25</x:v>
      </x:c>
      <x:c r="F21" s="16" t="str">
        <x:v>mm</x:v>
      </x:c>
      <x:c r="G21" s="16" t="n">
        <x:v>3.5</x:v>
      </x:c>
      <x:c r="H21" s="16" t="str">
        <x:v>LE</x:v>
      </x:c>
      <x:c r="I21" s="16" t="n">
        <x:f>IF(H21="INFO",0,IF(H21="LE",G21/E21,E21/G21))</x:f>
        <x:v>1.0769230769230769</x:v>
      </x:c>
      <x:c r="J21" s="9" t="str">
        <x:f>IF(H21="INFO","PASS",IF(H21="LE",IF(E21&lt;=G21,"PASS","FAIL"),IF(E21&gt;=G21,"PASS","FAIL")))</x:f>
        <x:v>PASS</x:v>
      </x:c>
      <x:c r="K21" s="9" t="str">
        <x:v>PLANNING</x:v>
      </x:c>
      <x:c r="L21" s="9"/>
    </x:row>
    <x:row r="22">
      <x:c r="B22" s="9" t="str">
        <x:v>HY16</x:v>
      </x:c>
      <x:c r="C22" s="9" t="str">
        <x:v>Root A deadleg</x:v>
      </x:c>
      <x:c r="D22" s="9" t="str">
        <x:v>ROOT_A</x:v>
      </x:c>
      <x:c r="E22" s="16" t="n">
        <x:f>0.28+0.05</x:f>
        <x:v>0.33</x:v>
      </x:c>
      <x:c r="F22" s="16" t="str">
        <x:v>m</x:v>
      </x:c>
      <x:c r="G22" s="16" t="n">
        <x:v>0.35</x:v>
      </x:c>
      <x:c r="H22" s="16" t="str">
        <x:v>LE</x:v>
      </x:c>
      <x:c r="I22" s="16" t="n">
        <x:f>IF(H22="INFO",0,IF(H22="LE",G22/E22,E22/G22))</x:f>
        <x:v>1.0606060606060606</x:v>
      </x:c>
      <x:c r="J22" s="9" t="str">
        <x:f>IF(H22="INFO","PASS",IF(H22="LE",IF(E22&lt;=G22,"PASS","FAIL"),IF(E22&gt;=G22,"PASS","FAIL")))</x:f>
        <x:v>PASS</x:v>
      </x:c>
      <x:c r="K22" s="9" t="str">
        <x:v>PLANNING</x:v>
      </x:c>
      <x:c r="L22" s="9"/>
    </x:row>
    <x:row r="23">
      <x:c r="B23" s="9" t="str">
        <x:v>HY17</x:v>
      </x:c>
      <x:c r="C23" s="9" t="str">
        <x:v>Root B deadleg</x:v>
      </x:c>
      <x:c r="D23" s="9" t="str">
        <x:v>ROOT_B</x:v>
      </x:c>
      <x:c r="E23" s="16" t="n">
        <x:f>0.25+0.06</x:f>
        <x:v>0.31</x:v>
      </x:c>
      <x:c r="F23" s="16" t="str">
        <x:v>m</x:v>
      </x:c>
      <x:c r="G23" s="16" t="n">
        <x:v>0.35</x:v>
      </x:c>
      <x:c r="H23" s="16" t="str">
        <x:v>LE</x:v>
      </x:c>
      <x:c r="I23" s="16" t="n">
        <x:f>IF(H23="INFO",0,IF(H23="LE",G23/E23,E23/G23))</x:f>
        <x:v>1.129032258064516</x:v>
      </x:c>
      <x:c r="J23" s="9" t="str">
        <x:f>IF(H23="INFO","PASS",IF(H23="LE",IF(E23&lt;=G23,"PASS","FAIL"),IF(E23&gt;=G23,"PASS","FAIL")))</x:f>
        <x:v>PASS</x:v>
      </x:c>
      <x:c r="K23" s="9" t="str">
        <x:v>PLANNING</x:v>
      </x:c>
      <x:c r="L23" s="9"/>
    </x:row>
    <x:row r="24">
      <x:c r="B24" s="9"/>
      <x:c r="C24" s="9"/>
      <x:c r="D24" s="9"/>
      <x:c r="E24" s="9"/>
      <x:c r="F24" s="9"/>
      <x:c r="G24" s="9"/>
      <x:c r="H24" s="9"/>
      <x:c r="I24" s="9"/>
      <x:c r="J24" s="9"/>
      <x:c r="K24" s="9"/>
      <x:c r="L24" s="9"/>
    </x:row>
    <x:row r="25">
      <x:c r="B25" s="9"/>
      <x:c r="C25" s="9"/>
      <x:c r="D25" s="9"/>
      <x:c r="E25" s="9"/>
      <x:c r="F25" s="9"/>
      <x:c r="G25" s="9"/>
      <x:c r="H25" s="9"/>
      <x:c r="I25" s="9"/>
      <x:c r="J25" s="9"/>
      <x:c r="K25" s="9"/>
      <x:c r="L25" s="9"/>
    </x:row>
    <x:row r="26">
      <x:c r="B26" s="9"/>
      <x:c r="C26" s="9"/>
      <x:c r="D26" s="9"/>
      <x:c r="E26" s="9"/>
      <x:c r="F26" s="9"/>
      <x:c r="G26" s="9"/>
      <x:c r="H26" s="9"/>
      <x:c r="I26" s="9"/>
      <x:c r="J26" s="9"/>
      <x:c r="K26" s="9"/>
      <x:c r="L26" s="9"/>
    </x:row>
    <x:row r="27">
      <x:c r="B27" s="15" t="str">
        <x:v>Root mechanisms</x:v>
      </x:c>
      <x:c r="C27" s="15" t="str">
        <x:v>Root mechanisms</x:v>
      </x:c>
      <x:c r="D27" s="15" t="str">
        <x:v>Root mechanisms</x:v>
      </x:c>
      <x:c r="E27" s="15" t="str">
        <x:v>Root mechanisms</x:v>
      </x:c>
      <x:c r="F27" s="15" t="str">
        <x:v>Root mechanisms</x:v>
      </x:c>
      <x:c r="G27" s="15" t="str">
        <x:v>Root mechanisms</x:v>
      </x:c>
      <x:c r="H27" s="15" t="str">
        <x:v>Root mechanisms</x:v>
      </x:c>
      <x:c r="I27" s="15" t="str">
        <x:v>Root mechanisms</x:v>
      </x:c>
      <x:c r="J27" s="15" t="str">
        <x:v>Root mechanisms</x:v>
      </x:c>
      <x:c r="K27" s="15" t="str">
        <x:v>Root mechanisms</x:v>
      </x:c>
      <x:c r="L27" s="15" t="str">
        <x:v>Root mechanisms</x:v>
      </x:c>
    </x:row>
    <x:row r="28">
      <x:c r="B28" s="7" t="str">
        <x:v>Root</x:v>
      </x:c>
      <x:c r="C28" s="7" t="str">
        <x:v>Collar</x:v>
      </x:c>
      <x:c r="D28" s="7" t="str">
        <x:v>Valve</x:v>
      </x:c>
      <x:c r="E28" s="7" t="str">
        <x:v>Seal barriers</x:v>
      </x:c>
      <x:c r="F28" s="7" t="str">
        <x:v>Axial transfer</x:v>
      </x:c>
      <x:c r="G28" s="9"/>
      <x:c r="H28" s="9"/>
      <x:c r="I28" s="9"/>
      <x:c r="J28" s="9"/>
      <x:c r="K28" s="9"/>
      <x:c r="L28" s="9"/>
    </x:row>
    <x:row r="29">
      <x:c r="B29" s="9" t="str">
        <x:v>ROOT_A</x:v>
      </x:c>
      <x:c r="C29" s="9" t="str">
        <x:v>split mechanical, 16 × M20</x:v>
      </x:c>
      <x:c r="D29" s="9" t="str">
        <x:v>segmental annular slide</x:v>
      </x:c>
      <x:c r="E29" s="9" t="str">
        <x:v>dual EPDM</x:v>
      </x:c>
      <x:c r="F29" s="9" t="str">
        <x:v>keyed mechanical</x:v>
      </x:c>
      <x:c r="G29" s="9"/>
      <x:c r="H29" s="9"/>
      <x:c r="I29" s="9"/>
      <x:c r="J29" s="9"/>
      <x:c r="K29" s="9"/>
      <x:c r="L29" s="9"/>
    </x:row>
    <x:row r="30">
      <x:c r="B30" s="10" t="str">
        <x:v>ROOT_B</x:v>
      </x:c>
      <x:c r="C30" s="10" t="str">
        <x:v>conical bonded-clamp</x:v>
      </x:c>
      <x:c r="D30" s="10" t="str">
        <x:v>composite rolling diaphragm</x:v>
      </x:c>
      <x:c r="E30" s="10" t="str">
        <x:v>dual replaceable</x:v>
      </x:c>
      <x:c r="F30" s="10" t="str">
        <x:v>conical clamp plus bond</x:v>
      </x:c>
      <x:c r="G30" s="10"/>
      <x:c r="H30" s="10"/>
      <x:c r="I30" s="10"/>
      <x:c r="J30" s="10"/>
      <x:c r="K30" s="10"/>
      <x:c r="L30" s="10"/>
    </x:row>
  </x:sheetData>
  <x:mergeCells>
    <x:mergeCell ref="B2:L2"/>
    <x:mergeCell ref="B3:L3"/>
    <x:mergeCell ref="B27:L27"/>
  </x:mergeCells>
  <x:conditionalFormatting sqref="J7:K23">
    <x:cfRule type="containsText" dxfId="77" priority="1" operator="containsText" text="PASS"/>
    <x:cfRule type="containsText" dxfId="78" priority="2" operator="containsText" text="AUTHORIZED"/>
    <x:cfRule type="containsText" dxfId="79" priority="3" operator="containsText" text="DEFINED"/>
    <x:cfRule type="containsText" dxfId="80" priority="4" operator="containsText" text="READY"/>
    <x:cfRule type="containsText" dxfId="81" priority="5" operator="containsText" text="HOLD"/>
    <x:cfRule type="containsText" dxfId="82" priority="6" operator="containsText" text="OPEN"/>
    <x:cfRule type="containsText" dxfId="83" priority="7" operator="containsText" text="BLOCKED"/>
    <x:cfRule type="containsText" dxfId="84" priority="8" operator="containsText" text="PLANNING"/>
    <x:cfRule type="containsText" dxfId="85" priority="9" operator="containsText" text="FAIL"/>
    <x:cfRule type="containsText" dxfId="86" priority="10" operator="containsText" text="REJECT"/>
    <x:cfRule type="containsText" dxfId="87" priority="11" operator="containsText" text="INCOMPLETE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0" hidden="0" customWidth="1"/>
    <x:col min="3" max="3" width="34" hidden="0" customWidth="1"/>
    <x:col min="4" max="4" width="15" hidden="0" customWidth="1"/>
    <x:col min="5" max="5" width="25" hidden="0" customWidth="1"/>
    <x:col min="6" max="6" width="17" hidden="0" customWidth="1"/>
    <x:col min="7" max="7" width="13" hidden="0" customWidth="1"/>
    <x:col min="8" max="8" width="13" hidden="0" customWidth="1"/>
    <x:col min="9" max="9" width="15" hidden="0" customWidth="1"/>
    <x:col min="10" max="10" width="13" hidden="0" customWidth="1"/>
    <x:col min="11" max="11" width="16" hidden="0" customWidth="1"/>
    <x:col min="12" max="12" width="12" hidden="0" customWidth="1"/>
  </x:cols>
  <x:sheetData>
    <x:row r="2">
      <x:c r="B2" s="1" t="str">
        <x:v>Conductor and source-specific protection build hypotheses</x:v>
      </x:c>
    </x:row>
    <x:row r="3">
      <x:c r="B3" s="2" t="str">
        <x:v>Common service boundary, unlike fault behavior and separate evidence power.</x:v>
      </x:c>
    </x:row>
    <x:row r="4"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6">
      <x:c r="B6" s="7" t="str">
        <x:v>ID</x:v>
      </x:c>
      <x:c r="C6" s="7" t="str">
        <x:v>Quantity</x:v>
      </x:c>
      <x:c r="D6" s="7" t="str">
        <x:v>Root</x:v>
      </x:c>
      <x:c r="E6" s="7" t="str">
        <x:v>Formula / value</x:v>
      </x:c>
      <x:c r="F6" s="7" t="str">
        <x:v>Calculated</x:v>
      </x:c>
      <x:c r="G6" s="7" t="str">
        <x:v>Unit</x:v>
      </x:c>
      <x:c r="H6" s="7" t="str">
        <x:v>Limit</x:v>
      </x:c>
      <x:c r="I6" s="7" t="str">
        <x:v>Relation</x:v>
      </x:c>
      <x:c r="J6" s="7" t="str">
        <x:v>Margin</x:v>
      </x:c>
      <x:c r="K6" s="7" t="str">
        <x:v>Gate</x:v>
      </x:c>
      <x:c r="L6" s="7" t="str">
        <x:v>Evidence state</x:v>
      </x:c>
    </x:row>
    <x:row r="7">
      <x:c r="B7" s="9" t="str">
        <x:v>EL01</x:v>
      </x:c>
      <x:c r="C7" s="9" t="str">
        <x:v>normal current</x:v>
      </x:c>
      <x:c r="D7" s="9" t="str">
        <x:v>COMMON</x:v>
      </x:c>
      <x:c r="E7" s="16" t="n">
        <x:f>'Controls'!$D$48/(SQRT(3)*'Controls'!$D$46*'Controls'!$D$47)</x:f>
        <x:v>2.0046884346862006</x:v>
      </x:c>
      <x:c r="F7" s="16" t="str">
        <x:v>kA</x:v>
      </x:c>
      <x:c r="G7" s="16" t="n">
        <x:v>2.5</x:v>
      </x:c>
      <x:c r="H7" s="16" t="str">
        <x:v>LE</x:v>
      </x:c>
      <x:c r="I7" s="16" t="n">
        <x:f>IF(H7="LE",G7-E7,E7-G7)</x:f>
        <x:v>0.4953115653137994</x:v>
      </x:c>
      <x:c r="J7" s="9" t="str">
        <x:f>IF(H7="LE",IF(E7&lt;=G7,"PASS","FAIL"),IF(E7&gt;=G7,"PASS","FAIL"))</x:f>
        <x:v>PASS</x:v>
      </x:c>
      <x:c r="K7" s="9" t="str">
        <x:v>PLANNING</x:v>
      </x:c>
      <x:c r="L7" s="9"/>
    </x:row>
    <x:row r="8">
      <x:c r="B8" s="9" t="str">
        <x:v>EL02</x:v>
      </x:c>
      <x:c r="C8" s="9" t="str">
        <x:v>overload current</x:v>
      </x:c>
      <x:c r="D8" s="9" t="str">
        <x:v>COMMON</x:v>
      </x:c>
      <x:c r="E8" s="16" t="n">
        <x:f>'Controls'!$D$49/(SQRT(3)*'Controls'!$D$46*'Controls'!$D$47)</x:f>
        <x:v>3.007032652029301</x:v>
      </x:c>
      <x:c r="F8" s="16" t="str">
        <x:v>kA</x:v>
      </x:c>
      <x:c r="G8" s="16" t="n">
        <x:v>3.5</x:v>
      </x:c>
      <x:c r="H8" s="16" t="str">
        <x:v>LE</x:v>
      </x:c>
      <x:c r="I8" s="16" t="n">
        <x:f>IF(H8="LE",G8-E8,E8-G8)</x:f>
        <x:v>0.4929673479706991</x:v>
      </x:c>
      <x:c r="J8" s="9" t="str">
        <x:f>IF(H8="LE",IF(E8&lt;=G8,"PASS","FAIL"),IF(E8&gt;=G8,"PASS","FAIL"))</x:f>
        <x:v>PASS</x:v>
      </x:c>
      <x:c r="K8" s="9" t="str">
        <x:v>PLANNING</x:v>
      </x:c>
      <x:c r="L8" s="9"/>
    </x:row>
    <x:row r="9">
      <x:c r="B9" s="9" t="str">
        <x:v>EL03</x:v>
      </x:c>
      <x:c r="C9" s="9" t="str">
        <x:v>transient current</x:v>
      </x:c>
      <x:c r="D9" s="9" t="str">
        <x:v>COMMON</x:v>
      </x:c>
      <x:c r="E9" s="16" t="n">
        <x:f>'Controls'!$D$50/(SQRT(3)*'Controls'!$D$46*'Controls'!$D$47)</x:f>
        <x:v>4.009376869372401</x:v>
      </x:c>
      <x:c r="F9" s="16" t="str">
        <x:v>kA</x:v>
      </x:c>
      <x:c r="G9" s="16" t="n">
        <x:v>5</x:v>
      </x:c>
      <x:c r="H9" s="16" t="str">
        <x:v>LE</x:v>
      </x:c>
      <x:c r="I9" s="16" t="n">
        <x:f>IF(H9="LE",G9-E9,E9-G9)</x:f>
        <x:v>0.9906231306275988</x:v>
      </x:c>
      <x:c r="J9" s="9" t="str">
        <x:f>IF(H9="LE",IF(E9&lt;=G9,"PASS","FAIL"),IF(E9&gt;=G9,"PASS","FAIL"))</x:f>
        <x:v>PASS</x:v>
      </x:c>
      <x:c r="K9" s="9" t="str">
        <x:v>PLANNING</x:v>
      </x:c>
      <x:c r="L9" s="9"/>
    </x:row>
    <x:row r="10">
      <x:c r="B10" s="9" t="str">
        <x:v>EL04</x:v>
      </x:c>
      <x:c r="C10" s="9" t="str">
        <x:v>copper phase area</x:v>
      </x:c>
      <x:c r="D10" s="9" t="str">
        <x:v>ROOT_A</x:v>
      </x:c>
      <x:c r="E10" s="16" t="n">
        <x:f>4*100*10</x:f>
        <x:v>4000</x:v>
      </x:c>
      <x:c r="F10" s="16" t="str">
        <x:v>mm2</x:v>
      </x:c>
      <x:c r="G10" s="16" t="n">
        <x:v>4000</x:v>
      </x:c>
      <x:c r="H10" s="16" t="str">
        <x:v>GE</x:v>
      </x:c>
      <x:c r="I10" s="16" t="n">
        <x:f>IF(H10="LE",G10-E10,E10-G10)</x:f>
        <x:v>0</x:v>
      </x:c>
      <x:c r="J10" s="9" t="str">
        <x:f>IF(H10="LE",IF(E10&lt;=G10,"PASS","FAIL"),IF(E10&gt;=G10,"PASS","FAIL"))</x:f>
        <x:v>PASS</x:v>
      </x:c>
      <x:c r="K10" s="9" t="str">
        <x:v>PLANNING</x:v>
      </x:c>
      <x:c r="L10" s="9"/>
    </x:row>
    <x:row r="11">
      <x:c r="B11" s="9" t="str">
        <x:v>EL05</x:v>
      </x:c>
      <x:c r="C11" s="9" t="str">
        <x:v>copper normal density</x:v>
      </x:c>
      <x:c r="D11" s="9" t="str">
        <x:v>ROOT_A</x:v>
      </x:c>
      <x:c r="E11" s="16" t="n">
        <x:f>E7*1000/E10</x:f>
        <x:v>0.5011721086715502</x:v>
      </x:c>
      <x:c r="F11" s="16" t="str">
        <x:v>A/mm2</x:v>
      </x:c>
      <x:c r="G11" s="16" t="n">
        <x:v>1</x:v>
      </x:c>
      <x:c r="H11" s="16" t="str">
        <x:v>LE</x:v>
      </x:c>
      <x:c r="I11" s="16" t="n">
        <x:f>IF(H11="LE",G11-E11,E11-G11)</x:f>
        <x:v>0.49882789132844985</x:v>
      </x:c>
      <x:c r="J11" s="9" t="str">
        <x:f>IF(H11="LE",IF(E11&lt;=G11,"PASS","FAIL"),IF(E11&gt;=G11,"PASS","FAIL"))</x:f>
        <x:v>PASS</x:v>
      </x:c>
      <x:c r="K11" s="9" t="str">
        <x:v>PLANNING</x:v>
      </x:c>
      <x:c r="L11" s="9"/>
    </x:row>
    <x:row r="12">
      <x:c r="B12" s="9" t="str">
        <x:v>EL06</x:v>
      </x:c>
      <x:c r="C12" s="9" t="str">
        <x:v>copper overload density</x:v>
      </x:c>
      <x:c r="D12" s="9" t="str">
        <x:v>ROOT_A</x:v>
      </x:c>
      <x:c r="E12" s="16" t="n">
        <x:f>E8*1000/E10</x:f>
        <x:v>0.7517581630073252</x:v>
      </x:c>
      <x:c r="F12" s="16" t="str">
        <x:v>A/mm2</x:v>
      </x:c>
      <x:c r="G12" s="16" t="n">
        <x:v>1</x:v>
      </x:c>
      <x:c r="H12" s="16" t="str">
        <x:v>LE</x:v>
      </x:c>
      <x:c r="I12" s="16" t="n">
        <x:f>IF(H12="LE",G12-E12,E12-G12)</x:f>
        <x:v>0.24824183699267477</x:v>
      </x:c>
      <x:c r="J12" s="9" t="str">
        <x:f>IF(H12="LE",IF(E12&lt;=G12,"PASS","FAIL"),IF(E12&gt;=G12,"PASS","FAIL"))</x:f>
        <x:v>PASS</x:v>
      </x:c>
      <x:c r="K12" s="9" t="str">
        <x:v>PLANNING</x:v>
      </x:c>
      <x:c r="L12" s="9"/>
    </x:row>
    <x:row r="13">
      <x:c r="B13" s="9" t="str">
        <x:v>EL07</x:v>
      </x:c>
      <x:c r="C13" s="9" t="str">
        <x:v>copper transient density</x:v>
      </x:c>
      <x:c r="D13" s="9" t="str">
        <x:v>ROOT_A</x:v>
      </x:c>
      <x:c r="E13" s="16" t="n">
        <x:f>E9*1000/E10</x:f>
        <x:v>1.0023442173431003</x:v>
      </x:c>
      <x:c r="F13" s="16" t="str">
        <x:v>A/mm2</x:v>
      </x:c>
      <x:c r="G13" s="16" t="n">
        <x:v>1.2</x:v>
      </x:c>
      <x:c r="H13" s="16" t="str">
        <x:v>LE</x:v>
      </x:c>
      <x:c r="I13" s="16" t="n">
        <x:f>IF(H13="LE",G13-E13,E13-G13)</x:f>
        <x:v>0.19765578265689965</x:v>
      </x:c>
      <x:c r="J13" s="9" t="str">
        <x:f>IF(H13="LE",IF(E13&lt;=G13,"PASS","FAIL"),IF(E13&gt;=G13,"PASS","FAIL"))</x:f>
        <x:v>PASS</x:v>
      </x:c>
      <x:c r="K13" s="9" t="str">
        <x:v>PLANNING</x:v>
      </x:c>
      <x:c r="L13" s="9"/>
    </x:row>
    <x:row r="14">
      <x:c r="B14" s="9" t="str">
        <x:v>EL08</x:v>
      </x:c>
      <x:c r="C14" s="9" t="str">
        <x:v>copper bus mass</x:v>
      </x:c>
      <x:c r="D14" s="9" t="str">
        <x:v>ROOT_A</x:v>
      </x:c>
      <x:c r="E14" s="16" t="n">
        <x:f>3*6*(E10/1000000)*8960/1000</x:f>
        <x:v>0.6451200000000001</x:v>
      </x:c>
      <x:c r="F14" s="16" t="str">
        <x:v>t</x:v>
      </x:c>
      <x:c r="G14" s="16" t="n">
        <x:v>1</x:v>
      </x:c>
      <x:c r="H14" s="16" t="str">
        <x:v>LE</x:v>
      </x:c>
      <x:c r="I14" s="16" t="n">
        <x:f>IF(H14="LE",G14-E14,E14-G14)</x:f>
        <x:v>0.35487999999999986</x:v>
      </x:c>
      <x:c r="J14" s="9" t="str">
        <x:f>IF(H14="LE",IF(E14&lt;=G14,"PASS","FAIL"),IF(E14&gt;=G14,"PASS","FAIL"))</x:f>
        <x:v>PASS</x:v>
      </x:c>
      <x:c r="K14" s="9" t="str">
        <x:v>PLANNING</x:v>
      </x:c>
      <x:c r="L14" s="9"/>
    </x:row>
    <x:row r="15">
      <x:c r="B15" s="9" t="str">
        <x:v>EL09</x:v>
      </x:c>
      <x:c r="C15" s="9" t="str">
        <x:v>aluminum phase area</x:v>
      </x:c>
      <x:c r="D15" s="9" t="str">
        <x:v>ROOT_B</x:v>
      </x:c>
      <x:c r="E15" s="16" t="n">
        <x:f>6*120*8</x:f>
        <x:v>5760</x:v>
      </x:c>
      <x:c r="F15" s="16" t="str">
        <x:v>mm2</x:v>
      </x:c>
      <x:c r="G15" s="16" t="n">
        <x:v>5760</x:v>
      </x:c>
      <x:c r="H15" s="16" t="str">
        <x:v>GE</x:v>
      </x:c>
      <x:c r="I15" s="16" t="n">
        <x:f>IF(H15="LE",G15-E15,E15-G15)</x:f>
        <x:v>0</x:v>
      </x:c>
      <x:c r="J15" s="9" t="str">
        <x:f>IF(H15="LE",IF(E15&lt;=G15,"PASS","FAIL"),IF(E15&gt;=G15,"PASS","FAIL"))</x:f>
        <x:v>PASS</x:v>
      </x:c>
      <x:c r="K15" s="9" t="str">
        <x:v>PLANNING</x:v>
      </x:c>
      <x:c r="L15" s="9"/>
    </x:row>
    <x:row r="16">
      <x:c r="B16" s="9" t="str">
        <x:v>EL10</x:v>
      </x:c>
      <x:c r="C16" s="9" t="str">
        <x:v>aluminum normal density</x:v>
      </x:c>
      <x:c r="D16" s="9" t="str">
        <x:v>ROOT_B</x:v>
      </x:c>
      <x:c r="E16" s="16" t="n">
        <x:f>E7*1000/E15</x:f>
        <x:v>0.3480361865774654</x:v>
      </x:c>
      <x:c r="F16" s="16" t="str">
        <x:v>A/mm2</x:v>
      </x:c>
      <x:c r="G16" s="16" t="n">
        <x:v>1</x:v>
      </x:c>
      <x:c r="H16" s="16" t="str">
        <x:v>LE</x:v>
      </x:c>
      <x:c r="I16" s="16" t="n">
        <x:f>IF(H16="LE",G16-E16,E16-G16)</x:f>
        <x:v>0.6519638134225346</x:v>
      </x:c>
      <x:c r="J16" s="9" t="str">
        <x:f>IF(H16="LE",IF(E16&lt;=G16,"PASS","FAIL"),IF(E16&gt;=G16,"PASS","FAIL"))</x:f>
        <x:v>PASS</x:v>
      </x:c>
      <x:c r="K16" s="9" t="str">
        <x:v>PLANNING</x:v>
      </x:c>
      <x:c r="L16" s="9"/>
    </x:row>
    <x:row r="17">
      <x:c r="B17" s="9" t="str">
        <x:v>EL11</x:v>
      </x:c>
      <x:c r="C17" s="9" t="str">
        <x:v>aluminum overload density</x:v>
      </x:c>
      <x:c r="D17" s="9" t="str">
        <x:v>ROOT_B</x:v>
      </x:c>
      <x:c r="E17" s="16" t="n">
        <x:f>E8*1000/E15</x:f>
        <x:v>0.5220542798661981</x:v>
      </x:c>
      <x:c r="F17" s="16" t="str">
        <x:v>A/mm2</x:v>
      </x:c>
      <x:c r="G17" s="16" t="n">
        <x:v>1</x:v>
      </x:c>
      <x:c r="H17" s="16" t="str">
        <x:v>LE</x:v>
      </x:c>
      <x:c r="I17" s="16" t="n">
        <x:f>IF(H17="LE",G17-E17,E17-G17)</x:f>
        <x:v>0.4779457201338019</x:v>
      </x:c>
      <x:c r="J17" s="9" t="str">
        <x:f>IF(H17="LE",IF(E17&lt;=G17,"PASS","FAIL"),IF(E17&gt;=G17,"PASS","FAIL"))</x:f>
        <x:v>PASS</x:v>
      </x:c>
      <x:c r="K17" s="9" t="str">
        <x:v>PLANNING</x:v>
      </x:c>
      <x:c r="L17" s="9"/>
    </x:row>
    <x:row r="18">
      <x:c r="B18" s="9" t="str">
        <x:v>EL12</x:v>
      </x:c>
      <x:c r="C18" s="9" t="str">
        <x:v>aluminum transient density</x:v>
      </x:c>
      <x:c r="D18" s="9" t="str">
        <x:v>ROOT_B</x:v>
      </x:c>
      <x:c r="E18" s="16" t="n">
        <x:f>E9*1000/E15</x:f>
        <x:v>0.6960723731549308</x:v>
      </x:c>
      <x:c r="F18" s="16" t="str">
        <x:v>A/mm2</x:v>
      </x:c>
      <x:c r="G18" s="16" t="n">
        <x:v>1.2</x:v>
      </x:c>
      <x:c r="H18" s="16" t="str">
        <x:v>LE</x:v>
      </x:c>
      <x:c r="I18" s="16" t="n">
        <x:f>IF(H18="LE",G18-E18,E18-G18)</x:f>
        <x:v>0.5039276268450692</x:v>
      </x:c>
      <x:c r="J18" s="9" t="str">
        <x:f>IF(H18="LE",IF(E18&lt;=G18,"PASS","FAIL"),IF(E18&gt;=G18,"PASS","FAIL"))</x:f>
        <x:v>PASS</x:v>
      </x:c>
      <x:c r="K18" s="9" t="str">
        <x:v>PLANNING</x:v>
      </x:c>
      <x:c r="L18" s="9"/>
    </x:row>
    <x:row r="19">
      <x:c r="B19" s="9" t="str">
        <x:v>EL13</x:v>
      </x:c>
      <x:c r="C19" s="9" t="str">
        <x:v>aluminum bus mass</x:v>
      </x:c>
      <x:c r="D19" s="9" t="str">
        <x:v>ROOT_B</x:v>
      </x:c>
      <x:c r="E19" s="16" t="n">
        <x:f>3*6*(E15/1000000)*2700/1000</x:f>
        <x:v>0.279936</x:v>
      </x:c>
      <x:c r="F19" s="16" t="str">
        <x:v>t</x:v>
      </x:c>
      <x:c r="G19" s="16" t="n">
        <x:v>1</x:v>
      </x:c>
      <x:c r="H19" s="16" t="str">
        <x:v>LE</x:v>
      </x:c>
      <x:c r="I19" s="16" t="n">
        <x:f>IF(H19="LE",G19-E19,E19-G19)</x:f>
        <x:v>0.720064</x:v>
      </x:c>
      <x:c r="J19" s="9" t="str">
        <x:f>IF(H19="LE",IF(E19&lt;=G19,"PASS","FAIL"),IF(E19&gt;=G19,"PASS","FAIL"))</x:f>
        <x:v>PASS</x:v>
      </x:c>
      <x:c r="K19" s="9" t="str">
        <x:v>PLANNING</x:v>
      </x:c>
      <x:c r="L19" s="9"/>
    </x:row>
    <x:row r="20">
      <x:c r="B20" s="9" t="str">
        <x:v>EL14</x:v>
      </x:c>
      <x:c r="C20" s="9" t="str">
        <x:v>Root A first-cycle fault</x:v>
      </x:c>
      <x:c r="D20" s="9" t="str">
        <x:v>ROOT_A</x:v>
      </x:c>
      <x:c r="E20" s="16" t="n">
        <x:f>8</x:f>
        <x:v>8</x:v>
      </x:c>
      <x:c r="F20" s="16" t="str">
        <x:v>kA</x:v>
      </x:c>
      <x:c r="G20" s="16" t="n">
        <x:v>10</x:v>
      </x:c>
      <x:c r="H20" s="16" t="str">
        <x:v>LE</x:v>
      </x:c>
      <x:c r="I20" s="16" t="n">
        <x:f>IF(H20="LE",G20-E20,E20-G20)</x:f>
        <x:v>2</x:v>
      </x:c>
      <x:c r="J20" s="9" t="str">
        <x:f>IF(H20="LE",IF(E20&lt;=G20,"PASS","FAIL"),IF(E20&gt;=G20,"PASS","FAIL"))</x:f>
        <x:v>PASS</x:v>
      </x:c>
      <x:c r="K20" s="9" t="str">
        <x:v>PLANNING</x:v>
      </x:c>
      <x:c r="L20" s="9"/>
    </x:row>
    <x:row r="21">
      <x:c r="B21" s="9" t="str">
        <x:v>EL15</x:v>
      </x:c>
      <x:c r="C21" s="9" t="str">
        <x:v>Root A peak withstand</x:v>
      </x:c>
      <x:c r="D21" s="9" t="str">
        <x:v>ROOT_A</x:v>
      </x:c>
      <x:c r="E21" s="16" t="n">
        <x:f>25</x:f>
        <x:v>25</x:v>
      </x:c>
      <x:c r="F21" s="16" t="str">
        <x:v>kA</x:v>
      </x:c>
      <x:c r="G21" s="16" t="n">
        <x:v>25</x:v>
      </x:c>
      <x:c r="H21" s="16" t="str">
        <x:v>GE</x:v>
      </x:c>
      <x:c r="I21" s="16" t="n">
        <x:f>IF(H21="LE",G21-E21,E21-G21)</x:f>
        <x:v>0</x:v>
      </x:c>
      <x:c r="J21" s="9" t="str">
        <x:f>IF(H21="LE",IF(E21&lt;=G21,"PASS","FAIL"),IF(E21&gt;=G21,"PASS","FAIL"))</x:f>
        <x:v>PASS</x:v>
      </x:c>
      <x:c r="K21" s="9" t="str">
        <x:v>PLANNING</x:v>
      </x:c>
      <x:c r="L21" s="9"/>
    </x:row>
    <x:row r="22">
      <x:c r="B22" s="9" t="str">
        <x:v>EL16</x:v>
      </x:c>
      <x:c r="C22" s="9" t="str">
        <x:v>Root B limited fault</x:v>
      </x:c>
      <x:c r="D22" s="9" t="str">
        <x:v>ROOT_B</x:v>
      </x:c>
      <x:c r="E22" s="16" t="n">
        <x:f>2.2*E7</x:f>
        <x:v>4.4103145563096415</x:v>
      </x:c>
      <x:c r="F22" s="16" t="str">
        <x:v>kA</x:v>
      </x:c>
      <x:c r="G22" s="16" t="n">
        <x:v>5</x:v>
      </x:c>
      <x:c r="H22" s="16" t="str">
        <x:v>LE</x:v>
      </x:c>
      <x:c r="I22" s="16" t="n">
        <x:f>IF(H22="LE",G22-E22,E22-G22)</x:f>
        <x:v>0.5896854436903585</x:v>
      </x:c>
      <x:c r="J22" s="9" t="str">
        <x:f>IF(H22="LE",IF(E22&lt;=G22,"PASS","FAIL"),IF(E22&gt;=G22,"PASS","FAIL"))</x:f>
        <x:v>PASS</x:v>
      </x:c>
      <x:c r="K22" s="9" t="str">
        <x:v>PLANNING</x:v>
      </x:c>
      <x:c r="L22" s="9"/>
    </x:row>
    <x:row r="23">
      <x:c r="B23" s="10" t="str">
        <x:v>EL17</x:v>
      </x:c>
      <x:c r="C23" s="10" t="str">
        <x:v>Root B clearing target</x:v>
      </x:c>
      <x:c r="D23" s="10" t="str">
        <x:v>ROOT_B</x:v>
      </x:c>
      <x:c r="E23" s="19" t="n">
        <x:f>120</x:f>
        <x:v>120</x:v>
      </x:c>
      <x:c r="F23" s="19" t="str">
        <x:v>ms</x:v>
      </x:c>
      <x:c r="G23" s="19" t="n">
        <x:v>120</x:v>
      </x:c>
      <x:c r="H23" s="19" t="str">
        <x:v>LE</x:v>
      </x:c>
      <x:c r="I23" s="19" t="n">
        <x:f>IF(H23="LE",G23-E23,E23-G23)</x:f>
        <x:v>0</x:v>
      </x:c>
      <x:c r="J23" s="10" t="str">
        <x:f>IF(H23="LE",IF(E23&lt;=G23,"PASS","FAIL"),IF(E23&gt;=G23,"PASS","FAIL"))</x:f>
        <x:v>PASS</x:v>
      </x:c>
      <x:c r="K23" s="10" t="str">
        <x:v>PLANNING</x:v>
      </x:c>
      <x:c r="L23" s="10"/>
    </x:row>
  </x:sheetData>
  <x:mergeCells>
    <x:mergeCell ref="B2:L2"/>
    <x:mergeCell ref="B3:L3"/>
  </x:mergeCells>
  <x:conditionalFormatting sqref="J7:K23">
    <x:cfRule type="containsText" dxfId="88" priority="1" operator="containsText" text="PASS"/>
    <x:cfRule type="containsText" dxfId="89" priority="2" operator="containsText" text="AUTHORIZED"/>
    <x:cfRule type="containsText" dxfId="90" priority="3" operator="containsText" text="DEFINED"/>
    <x:cfRule type="containsText" dxfId="91" priority="4" operator="containsText" text="READY"/>
    <x:cfRule type="containsText" dxfId="92" priority="5" operator="containsText" text="HOLD"/>
    <x:cfRule type="containsText" dxfId="93" priority="6" operator="containsText" text="OPEN"/>
    <x:cfRule type="containsText" dxfId="94" priority="7" operator="containsText" text="BLOCKED"/>
    <x:cfRule type="containsText" dxfId="95" priority="8" operator="containsText" text="PLANNING"/>
    <x:cfRule type="containsText" dxfId="96" priority="9" operator="containsText" text="FAIL"/>
    <x:cfRule type="containsText" dxfId="97" priority="10" operator="containsText" text="REJECT"/>
    <x:cfRule type="containsText" dxfId="98" priority="11" operator="containsText" text="INCOMPLETE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0" hidden="0" customWidth="1"/>
    <x:col min="3" max="3" width="32" hidden="0" customWidth="1"/>
    <x:col min="4" max="4" width="15" hidden="0" customWidth="1"/>
    <x:col min="5" max="5" width="18" hidden="0" customWidth="1"/>
    <x:col min="6" max="6" width="13" hidden="0" customWidth="1"/>
    <x:col min="7" max="7" width="14" hidden="0" customWidth="1"/>
    <x:col min="8" max="8" width="13" hidden="0" customWidth="1"/>
    <x:col min="9" max="9" width="15" hidden="0" customWidth="1"/>
    <x:col min="10" max="10" width="13" hidden="0" customWidth="1"/>
    <x:col min="11" max="11" width="16" hidden="0" customWidth="1"/>
  </x:cols>
  <x:sheetData>
    <x:row r="2">
      <x:c r="B2" s="1" t="str">
        <x:v>Fuel volume, source heat and deployable rejection</x:v>
      </x:c>
    </x:row>
    <x:row r="3">
      <x:c r="B3" s="2" t="str">
        <x:v>Thermal margins remain hypotheses until simultaneous electric, hydraulic, ambient and fault trials.</x:v>
      </x:c>
    </x:row>
    <x:row r="4"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6">
      <x:c r="B6" s="7" t="str">
        <x:v>ID</x:v>
      </x:c>
      <x:c r="C6" s="7" t="str">
        <x:v>Quantity</x:v>
      </x:c>
      <x:c r="D6" s="7" t="str">
        <x:v>Root</x:v>
      </x:c>
      <x:c r="E6" s="7" t="str">
        <x:v>Calculated</x:v>
      </x:c>
      <x:c r="F6" s="7" t="str">
        <x:v>Unit</x:v>
      </x:c>
      <x:c r="G6" s="7" t="str">
        <x:v>Limit</x:v>
      </x:c>
      <x:c r="H6" s="7" t="str">
        <x:v>Relation</x:v>
      </x:c>
      <x:c r="I6" s="7" t="str">
        <x:v>Margin</x:v>
      </x:c>
      <x:c r="J6" s="7" t="str">
        <x:v>Gate</x:v>
      </x:c>
      <x:c r="K6" s="7" t="str">
        <x:v>Physical state</x:v>
      </x:c>
    </x:row>
    <x:row r="7">
      <x:c r="B7" s="9" t="str">
        <x:v>TH01</x:v>
      </x:c>
      <x:c r="C7" s="9" t="str">
        <x:v>fuel volume</x:v>
      </x:c>
      <x:c r="D7" s="9" t="str">
        <x:v>ROOT_A</x:v>
      </x:c>
      <x:c r="E7" s="16" t="n">
        <x:f>'Controls'!$D$13/0.84</x:f>
        <x:v>3.8095238095238098</x:v>
      </x:c>
      <x:c r="F7" s="16" t="str">
        <x:v>m3</x:v>
      </x:c>
      <x:c r="G7" s="16" t="n">
        <x:v>5</x:v>
      </x:c>
      <x:c r="H7" s="16" t="str">
        <x:v>LE</x:v>
      </x:c>
      <x:c r="I7" s="16" t="n">
        <x:f>IF(H7="INFO",0,IF(H7="LE",G7-E7,E7-G7))</x:f>
        <x:v>1.1904761904761902</x:v>
      </x:c>
      <x:c r="J7" s="9" t="str">
        <x:f>IF(H7="INFO","PASS",IF(H7="LE",IF(E7&lt;=G7,"PASS","FAIL"),IF(E7&gt;=G7,"PASS","FAIL")))</x:f>
        <x:v>PASS</x:v>
      </x:c>
      <x:c r="K7" s="9" t="str">
        <x:v>PLANNING</x:v>
      </x:c>
    </x:row>
    <x:row r="8">
      <x:c r="B8" s="9" t="str">
        <x:v>TH02</x:v>
      </x:c>
      <x:c r="C8" s="9" t="str">
        <x:v>fuel volume</x:v>
      </x:c>
      <x:c r="D8" s="9" t="str">
        <x:v>ROOT_B</x:v>
      </x:c>
      <x:c r="E8" s="16" t="n">
        <x:f>'Controls'!$D$14/0.67</x:f>
        <x:v>6.567164179104478</x:v>
      </x:c>
      <x:c r="F8" s="16" t="str">
        <x:v>m3</x:v>
      </x:c>
      <x:c r="G8" s="16" t="n">
        <x:v>7</x:v>
      </x:c>
      <x:c r="H8" s="16" t="str">
        <x:v>LE</x:v>
      </x:c>
      <x:c r="I8" s="16" t="n">
        <x:f>IF(H8="INFO",0,IF(H8="LE",G8-E8,E8-G8))</x:f>
        <x:v>0.4328358208955221</x:v>
      </x:c>
      <x:c r="J8" s="9" t="str">
        <x:f>IF(H8="INFO","PASS",IF(H8="LE",IF(E8&lt;=G8,"PASS","FAIL"),IF(E8&gt;=G8,"PASS","FAIL")))</x:f>
        <x:v>PASS</x:v>
      </x:c>
      <x:c r="K8" s="9" t="str">
        <x:v>PLANNING</x:v>
      </x:c>
    </x:row>
    <x:row r="9">
      <x:c r="B9" s="9" t="str">
        <x:v>TH03</x:v>
      </x:c>
      <x:c r="C9" s="9" t="str">
        <x:v>input power</x:v>
      </x:c>
      <x:c r="D9" s="9" t="str">
        <x:v>ROOT_A</x:v>
      </x:c>
      <x:c r="E9" s="16" t="n">
        <x:f>'Controls'!$D$18/'Controls'!$D$22</x:f>
        <x:v>3.9473684210526314</x:v>
      </x:c>
      <x:c r="F9" s="16" t="str">
        <x:v>MW</x:v>
      </x:c>
      <x:c r="G9" s="16" t="n">
        <x:v>0</x:v>
      </x:c>
      <x:c r="H9" s="16" t="str">
        <x:v>INFO</x:v>
      </x:c>
      <x:c r="I9" s="16" t="n">
        <x:f>IF(H9="INFO",0,IF(H9="LE",G9-E9,E9-G9))</x:f>
        <x:v>0</x:v>
      </x:c>
      <x:c r="J9" s="9" t="str">
        <x:f>IF(H9="INFO","PASS",IF(H9="LE",IF(E9&lt;=G9,"PASS","FAIL"),IF(E9&gt;=G9,"PASS","FAIL")))</x:f>
        <x:v>PASS</x:v>
      </x:c>
      <x:c r="K9" s="9" t="str">
        <x:v>PLANNING</x:v>
      </x:c>
    </x:row>
    <x:row r="10">
      <x:c r="B10" s="9" t="str">
        <x:v>TH04</x:v>
      </x:c>
      <x:c r="C10" s="9" t="str">
        <x:v>source waste heat</x:v>
      </x:c>
      <x:c r="D10" s="9" t="str">
        <x:v>ROOT_A</x:v>
      </x:c>
      <x:c r="E10" s="16" t="n">
        <x:f>E9-'Controls'!$D$18</x:f>
        <x:v>2.4473684210526314</x:v>
      </x:c>
      <x:c r="F10" s="16" t="str">
        <x:v>MW</x:v>
      </x:c>
      <x:c r="G10" s="16" t="n">
        <x:f>'Controls'!$D$51</x:f>
        <x:v>2.8</x:v>
      </x:c>
      <x:c r="H10" s="16" t="str">
        <x:v>LE</x:v>
      </x:c>
      <x:c r="I10" s="16" t="n">
        <x:f>IF(H10="INFO",0,IF(H10="LE",G10-E10,E10-G10))</x:f>
        <x:v>0.3526315789473684</x:v>
      </x:c>
      <x:c r="J10" s="9" t="str">
        <x:f>IF(H10="INFO","PASS",IF(H10="LE",IF(E10&lt;=G10,"PASS","FAIL"),IF(E10&gt;=G10,"PASS","FAIL")))</x:f>
        <x:v>PASS</x:v>
      </x:c>
      <x:c r="K10" s="9" t="str">
        <x:v>PLANNING</x:v>
      </x:c>
    </x:row>
    <x:row r="11">
      <x:c r="B11" s="9" t="str">
        <x:v>TH05</x:v>
      </x:c>
      <x:c r="C11" s="9" t="str">
        <x:v>heat margin</x:v>
      </x:c>
      <x:c r="D11" s="9" t="str">
        <x:v>ROOT_A</x:v>
      </x:c>
      <x:c r="E11" s="16" t="n">
        <x:f>'Controls'!$D$51-E10</x:f>
        <x:v>0.3526315789473684</x:v>
      </x:c>
      <x:c r="F11" s="16" t="str">
        <x:v>MW</x:v>
      </x:c>
      <x:c r="G11" s="16" t="n">
        <x:v>0</x:v>
      </x:c>
      <x:c r="H11" s="16" t="str">
        <x:v>GE</x:v>
      </x:c>
      <x:c r="I11" s="16" t="n">
        <x:f>IF(H11="INFO",0,IF(H11="LE",G11-E11,E11-G11))</x:f>
        <x:v>0.3526315789473684</x:v>
      </x:c>
      <x:c r="J11" s="9" t="str">
        <x:f>IF(H11="INFO","PASS",IF(H11="LE",IF(E11&lt;=G11,"PASS","FAIL"),IF(E11&gt;=G11,"PASS","FAIL")))</x:f>
        <x:v>PASS</x:v>
      </x:c>
      <x:c r="K11" s="9" t="str">
        <x:v>PLANNING</x:v>
      </x:c>
    </x:row>
    <x:row r="12">
      <x:c r="B12" s="9" t="str">
        <x:v>TH06</x:v>
      </x:c>
      <x:c r="C12" s="9" t="str">
        <x:v>air mass flow</x:v>
      </x:c>
      <x:c r="D12" s="9" t="str">
        <x:v>ROOT_A</x:v>
      </x:c>
      <x:c r="E12" s="16" t="n">
        <x:f>'Controls'!$D$51*1000000/('Controls'!$D$55*'Controls'!$D$54)</x:f>
        <x:v>79.60199004975124</x:v>
      </x:c>
      <x:c r="F12" s="16" t="str">
        <x:v>kg/s</x:v>
      </x:c>
      <x:c r="G12" s="16" t="n">
        <x:v>100</x:v>
      </x:c>
      <x:c r="H12" s="16" t="str">
        <x:v>LE</x:v>
      </x:c>
      <x:c r="I12" s="16" t="n">
        <x:f>IF(H12="INFO",0,IF(H12="LE",G12-E12,E12-G12))</x:f>
        <x:v>20.398009950248763</x:v>
      </x:c>
      <x:c r="J12" s="9" t="str">
        <x:f>IF(H12="INFO","PASS",IF(H12="LE",IF(E12&lt;=G12,"PASS","FAIL"),IF(E12&gt;=G12,"PASS","FAIL")))</x:f>
        <x:v>PASS</x:v>
      </x:c>
      <x:c r="K12" s="9" t="str">
        <x:v>PLANNING</x:v>
      </x:c>
    </x:row>
    <x:row r="13">
      <x:c r="B13" s="9" t="str">
        <x:v>TH07</x:v>
      </x:c>
      <x:c r="C13" s="9" t="str">
        <x:v>panel capacity</x:v>
      </x:c>
      <x:c r="D13" s="9" t="str">
        <x:v>ROOT_A</x:v>
      </x:c>
      <x:c r="E13" s="16" t="n">
        <x:f>8*8*'Controls'!$D$53/1000</x:f>
        <x:v>2.88</x:v>
      </x:c>
      <x:c r="F13" s="16" t="str">
        <x:v>MW</x:v>
      </x:c>
      <x:c r="G13" s="16" t="n">
        <x:f>'Controls'!$D$51</x:f>
        <x:v>2.8</x:v>
      </x:c>
      <x:c r="H13" s="16" t="str">
        <x:v>GE</x:v>
      </x:c>
      <x:c r="I13" s="16" t="n">
        <x:f>IF(H13="INFO",0,IF(H13="LE",G13-E13,E13-G13))</x:f>
        <x:v>0.08000000000000007</x:v>
      </x:c>
      <x:c r="J13" s="9" t="str">
        <x:f>IF(H13="INFO","PASS",IF(H13="LE",IF(E13&lt;=G13,"PASS","FAIL"),IF(E13&gt;=G13,"PASS","FAIL")))</x:f>
        <x:v>PASS</x:v>
      </x:c>
      <x:c r="K13" s="9" t="str">
        <x:v>PLANNING</x:v>
      </x:c>
    </x:row>
    <x:row r="14">
      <x:c r="B14" s="9" t="str">
        <x:v>TH08</x:v>
      </x:c>
      <x:c r="C14" s="9" t="str">
        <x:v>input power</x:v>
      </x:c>
      <x:c r="D14" s="9" t="str">
        <x:v>ROOT_B</x:v>
      </x:c>
      <x:c r="E14" s="16" t="n">
        <x:f>'Controls'!$D$18/'Controls'!$D$23</x:f>
        <x:v>3.5714285714285716</x:v>
      </x:c>
      <x:c r="F14" s="16" t="str">
        <x:v>MW</x:v>
      </x:c>
      <x:c r="G14" s="16" t="n">
        <x:v>0</x:v>
      </x:c>
      <x:c r="H14" s="16" t="str">
        <x:v>INFO</x:v>
      </x:c>
      <x:c r="I14" s="16" t="n">
        <x:f>IF(H14="INFO",0,IF(H14="LE",G14-E14,E14-G14))</x:f>
        <x:v>0</x:v>
      </x:c>
      <x:c r="J14" s="9" t="str">
        <x:f>IF(H14="INFO","PASS",IF(H14="LE",IF(E14&lt;=G14,"PASS","FAIL"),IF(E14&gt;=G14,"PASS","FAIL")))</x:f>
        <x:v>PASS</x:v>
      </x:c>
      <x:c r="K14" s="9" t="str">
        <x:v>PLANNING</x:v>
      </x:c>
    </x:row>
    <x:row r="15">
      <x:c r="B15" s="9" t="str">
        <x:v>TH09</x:v>
      </x:c>
      <x:c r="C15" s="9" t="str">
        <x:v>source waste heat</x:v>
      </x:c>
      <x:c r="D15" s="9" t="str">
        <x:v>ROOT_B</x:v>
      </x:c>
      <x:c r="E15" s="16" t="n">
        <x:f>E14-'Controls'!$D$18</x:f>
        <x:v>2.0714285714285716</x:v>
      </x:c>
      <x:c r="F15" s="16" t="str">
        <x:v>MW</x:v>
      </x:c>
      <x:c r="G15" s="16" t="n">
        <x:f>'Controls'!$D$52</x:f>
        <x:v>2.4</x:v>
      </x:c>
      <x:c r="H15" s="16" t="str">
        <x:v>LE</x:v>
      </x:c>
      <x:c r="I15" s="16" t="n">
        <x:f>IF(H15="INFO",0,IF(H15="LE",G15-E15,E15-G15))</x:f>
        <x:v>0.3285714285714283</x:v>
      </x:c>
      <x:c r="J15" s="9" t="str">
        <x:f>IF(H15="INFO","PASS",IF(H15="LE",IF(E15&lt;=G15,"PASS","FAIL"),IF(E15&gt;=G15,"PASS","FAIL")))</x:f>
        <x:v>PASS</x:v>
      </x:c>
      <x:c r="K15" s="9" t="str">
        <x:v>PLANNING</x:v>
      </x:c>
    </x:row>
    <x:row r="16">
      <x:c r="B16" s="9" t="str">
        <x:v>TH10</x:v>
      </x:c>
      <x:c r="C16" s="9" t="str">
        <x:v>heat margin</x:v>
      </x:c>
      <x:c r="D16" s="9" t="str">
        <x:v>ROOT_B</x:v>
      </x:c>
      <x:c r="E16" s="16" t="n">
        <x:f>'Controls'!$D$52-E15</x:f>
        <x:v>0.3285714285714283</x:v>
      </x:c>
      <x:c r="F16" s="16" t="str">
        <x:v>MW</x:v>
      </x:c>
      <x:c r="G16" s="16" t="n">
        <x:v>0</x:v>
      </x:c>
      <x:c r="H16" s="16" t="str">
        <x:v>GE</x:v>
      </x:c>
      <x:c r="I16" s="16" t="n">
        <x:f>IF(H16="INFO",0,IF(H16="LE",G16-E16,E16-G16))</x:f>
        <x:v>0.3285714285714283</x:v>
      </x:c>
      <x:c r="J16" s="9" t="str">
        <x:f>IF(H16="INFO","PASS",IF(H16="LE",IF(E16&lt;=G16,"PASS","FAIL"),IF(E16&gt;=G16,"PASS","FAIL")))</x:f>
        <x:v>PASS</x:v>
      </x:c>
      <x:c r="K16" s="9" t="str">
        <x:v>PLANNING</x:v>
      </x:c>
    </x:row>
    <x:row r="17">
      <x:c r="B17" s="9" t="str">
        <x:v>TH11</x:v>
      </x:c>
      <x:c r="C17" s="9" t="str">
        <x:v>air mass flow</x:v>
      </x:c>
      <x:c r="D17" s="9" t="str">
        <x:v>ROOT_B</x:v>
      </x:c>
      <x:c r="E17" s="16" t="n">
        <x:f>'Controls'!$D$52*1000000/('Controls'!$D$55*'Controls'!$D$54)</x:f>
        <x:v>68.23027718550107</x:v>
      </x:c>
      <x:c r="F17" s="16" t="str">
        <x:v>kg/s</x:v>
      </x:c>
      <x:c r="G17" s="16" t="n">
        <x:v>100</x:v>
      </x:c>
      <x:c r="H17" s="16" t="str">
        <x:v>LE</x:v>
      </x:c>
      <x:c r="I17" s="16" t="n">
        <x:f>IF(H17="INFO",0,IF(H17="LE",G17-E17,E17-G17))</x:f>
        <x:v>31.769722814498934</x:v>
      </x:c>
      <x:c r="J17" s="9" t="str">
        <x:f>IF(H17="INFO","PASS",IF(H17="LE",IF(E17&lt;=G17,"PASS","FAIL"),IF(E17&gt;=G17,"PASS","FAIL")))</x:f>
        <x:v>PASS</x:v>
      </x:c>
      <x:c r="K17" s="9" t="str">
        <x:v>PLANNING</x:v>
      </x:c>
    </x:row>
    <x:row r="18">
      <x:c r="B18" s="10" t="str">
        <x:v>TH12</x:v>
      </x:c>
      <x:c r="C18" s="10" t="str">
        <x:v>panel capacity</x:v>
      </x:c>
      <x:c r="D18" s="10" t="str">
        <x:v>ROOT_B</x:v>
      </x:c>
      <x:c r="E18" s="19" t="n">
        <x:f>8*7*'Controls'!$D$53/1000</x:f>
        <x:v>2.52</x:v>
      </x:c>
      <x:c r="F18" s="19" t="str">
        <x:v>MW</x:v>
      </x:c>
      <x:c r="G18" s="19" t="n">
        <x:f>'Controls'!$D$52</x:f>
        <x:v>2.4</x:v>
      </x:c>
      <x:c r="H18" s="19" t="str">
        <x:v>GE</x:v>
      </x:c>
      <x:c r="I18" s="19" t="n">
        <x:f>IF(H18="INFO",0,IF(H18="LE",G18-E18,E18-G18))</x:f>
        <x:v>0.1200000000000001</x:v>
      </x:c>
      <x:c r="J18" s="10" t="str">
        <x:f>IF(H18="INFO","PASS",IF(H18="LE",IF(E18&lt;=G18,"PASS","FAIL"),IF(E18&gt;=G18,"PASS","FAIL")))</x:f>
        <x:v>PASS</x:v>
      </x:c>
      <x:c r="K18" s="10" t="str">
        <x:v>PLANNING</x:v>
      </x:c>
    </x:row>
  </x:sheetData>
  <x:mergeCells>
    <x:mergeCell ref="B2:K2"/>
    <x:mergeCell ref="B3:K3"/>
  </x:mergeCells>
  <x:conditionalFormatting sqref="J7:K18">
    <x:cfRule type="containsText" dxfId="99" priority="1" operator="containsText" text="PASS"/>
    <x:cfRule type="containsText" dxfId="100" priority="2" operator="containsText" text="AUTHORIZED"/>
    <x:cfRule type="containsText" dxfId="101" priority="3" operator="containsText" text="DEFINED"/>
    <x:cfRule type="containsText" dxfId="102" priority="4" operator="containsText" text="READY"/>
    <x:cfRule type="containsText" dxfId="103" priority="5" operator="containsText" text="HOLD"/>
    <x:cfRule type="containsText" dxfId="104" priority="6" operator="containsText" text="OPEN"/>
    <x:cfRule type="containsText" dxfId="105" priority="7" operator="containsText" text="BLOCKED"/>
    <x:cfRule type="containsText" dxfId="106" priority="8" operator="containsText" text="PLANNING"/>
    <x:cfRule type="containsText" dxfId="107" priority="9" operator="containsText" text="FAIL"/>
    <x:cfRule type="containsText" dxfId="108" priority="10" operator="containsText" text="REJECT"/>
    <x:cfRule type="containsText" dxfId="109" priority="11" operator="containsText" text="INCOMPLETE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2" hidden="0" customWidth="1"/>
    <x:col min="4" max="4" width="32" hidden="0" customWidth="1"/>
    <x:col min="5" max="5" width="12" hidden="0" customWidth="1"/>
    <x:col min="6" max="6" width="13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4" hidden="0" customWidth="1"/>
    <x:col min="12" max="12" width="14" hidden="0" customWidth="1"/>
    <x:col min="13" max="13" width="13" hidden="0" customWidth="1"/>
    <x:col min="14" max="14" width="13" hidden="0" customWidth="1"/>
    <x:col min="15" max="15" width="13" hidden="0" customWidth="1"/>
    <x:col min="16" max="16" width="16" hidden="0" customWidth="1"/>
    <x:col min="17" max="17" width="16" hidden="0" customWidth="1"/>
  </x:cols>
  <x:sheetData>
    <x:row r="2">
      <x:c r="B2" s="1" t="str">
        <x:v>Thirty-two functional tolerance chains</x:v>
      </x:c>
    </x:row>
    <x:row r="3">
      <x:c r="B3" s="2" t="str">
        <x:v>Worst-case closure governs public interfaces and safety; RSS is a process diagnostic only.</x:v>
      </x:c>
    </x:row>
    <x:row r="4"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</x:row>
    <x:row r="6">
      <x:c r="B6" s="7" t="str">
        <x:v>Root</x:v>
      </x:c>
      <x:c r="C6" s="7" t="str">
        <x:v>ID</x:v>
      </x:c>
      <x:c r="D6" s="7" t="str">
        <x:v>Function</x:v>
      </x:c>
      <x:c r="E6" s="7" t="str">
        <x:v>Type</x:v>
      </x:c>
      <x:c r="F6" s="7" t="str">
        <x:v>Nominal</x:v>
      </x:c>
      <x:c r="G6" s="7" t="str">
        <x:v>C1</x:v>
      </x:c>
      <x:c r="H6" s="7" t="str">
        <x:v>C2</x:v>
      </x:c>
      <x:c r="I6" s="7" t="str">
        <x:v>C3</x:v>
      </x:c>
      <x:c r="J6" s="7" t="str">
        <x:v>C4</x:v>
      </x:c>
      <x:c r="K6" s="7" t="str">
        <x:v>Worst low</x:v>
      </x:c>
      <x:c r="L6" s="7" t="str">
        <x:v>Worst high</x:v>
      </x:c>
      <x:c r="M6" s="7" t="str">
        <x:v>RSS</x:v>
      </x:c>
      <x:c r="N6" s="7" t="str">
        <x:v>Req low</x:v>
      </x:c>
      <x:c r="O6" s="7" t="str">
        <x:v>Req high</x:v>
      </x:c>
      <x:c r="P6" s="7" t="str">
        <x:v>Gate</x:v>
      </x:c>
      <x:c r="Q6" s="7" t="str">
        <x:v>Measure state</x:v>
      </x:c>
    </x:row>
    <x:row r="7">
      <x:c r="B7" s="9" t="str">
        <x:v>ROOT_A</x:v>
      </x:c>
      <x:c r="C7" s="9" t="str">
        <x:v>A-TS01</x:v>
      </x:c>
      <x:c r="D7" s="9" t="str">
        <x:v>support-face coplanarity</x:v>
      </x:c>
      <x:c r="E7" s="9" t="str">
        <x:v>MAXDEV</x:v>
      </x:c>
      <x:c r="F7" s="16" t="n">
        <x:v>0</x:v>
      </x:c>
      <x:c r="G7" s="16" t="n">
        <x:v>0.8</x:v>
      </x:c>
      <x:c r="H7" s="16" t="n">
        <x:v>0.7</x:v>
      </x:c>
      <x:c r="I7" s="16" t="n">
        <x:v>0.5</x:v>
      </x:c>
      <x:c r="J7" s="16" t="n">
        <x:v>1</x:v>
      </x:c>
      <x:c r="K7" s="16" t="n">
        <x:f>IF(E7="MAX",F7,F7-SUM(G7:J7))</x:f>
        <x:v>-3</x:v>
      </x:c>
      <x:c r="L7" s="16" t="n">
        <x:f>IF(E7="MIN",F7,F7+SUM(G7:J7))</x:f>
        <x:v>3</x:v>
      </x:c>
      <x:c r="M7" s="16" t="n">
        <x:f>SQRT(G7^2+H7^2+I7^2+J7^2)</x:f>
        <x:v>1.5427248620541512</x:v>
      </x:c>
      <x:c r="N7" s="16" t="n">
        <x:v>-6</x:v>
      </x:c>
      <x:c r="O7" s="16" t="n">
        <x:v>6</x:v>
      </x:c>
      <x:c r="P7" s="9" t="str">
        <x:f>IF(AND(K7&gt;=N7,L7&lt;=O7),"PASS","FAIL")</x:f>
        <x:v>PASS</x:v>
      </x:c>
      <x:c r="Q7" s="9" t="str">
        <x:v>PLANNING</x:v>
      </x:c>
    </x:row>
    <x:row r="8">
      <x:c r="B8" s="9" t="str">
        <x:v>ROOT_A</x:v>
      </x:c>
      <x:c r="C8" s="9" t="str">
        <x:v>A-TS02</x:v>
      </x:c>
      <x:c r="D8" s="9" t="str">
        <x:v>support X position</x:v>
      </x:c>
      <x:c r="E8" s="9" t="str">
        <x:v>MAXDEV</x:v>
      </x:c>
      <x:c r="F8" s="16" t="n">
        <x:v>0</x:v>
      </x:c>
      <x:c r="G8" s="16" t="n">
        <x:v>1</x:v>
      </x:c>
      <x:c r="H8" s="16" t="n">
        <x:v>0.5</x:v>
      </x:c>
      <x:c r="I8" s="16" t="n">
        <x:v>0.5</x:v>
      </x:c>
      <x:c r="J8" s="16" t="n">
        <x:v>0</x:v>
      </x:c>
      <x:c r="K8" s="16" t="n">
        <x:f>IF(E8="MAX",F8,F8-SUM(G8:J8))</x:f>
        <x:v>-2</x:v>
      </x:c>
      <x:c r="L8" s="16" t="n">
        <x:f>IF(E8="MIN",F8,F8+SUM(G8:J8))</x:f>
        <x:v>2</x:v>
      </x:c>
      <x:c r="M8" s="16" t="n">
        <x:f>SQRT(G8^2+H8^2+I8^2+J8^2)</x:f>
        <x:v>1.224744871391589</x:v>
      </x:c>
      <x:c r="N8" s="16" t="n">
        <x:v>-2.5</x:v>
      </x:c>
      <x:c r="O8" s="16" t="n">
        <x:v>2.5</x:v>
      </x:c>
      <x:c r="P8" s="9" t="str">
        <x:f>IF(AND(K8&gt;=N8,L8&lt;=O8),"PASS","FAIL")</x:f>
        <x:v>PASS</x:v>
      </x:c>
      <x:c r="Q8" s="9" t="str">
        <x:v>PLANNING</x:v>
      </x:c>
    </x:row>
    <x:row r="9">
      <x:c r="B9" s="9" t="str">
        <x:v>ROOT_A</x:v>
      </x:c>
      <x:c r="C9" s="9" t="str">
        <x:v>A-TS03</x:v>
      </x:c>
      <x:c r="D9" s="9" t="str">
        <x:v>deployed anchor Y</x:v>
      </x:c>
      <x:c r="E9" s="9" t="str">
        <x:v>MAXDEV</x:v>
      </x:c>
      <x:c r="F9" s="16" t="n">
        <x:v>0</x:v>
      </x:c>
      <x:c r="G9" s="16" t="n">
        <x:v>1.2</x:v>
      </x:c>
      <x:c r="H9" s="16" t="n">
        <x:v>1</x:v>
      </x:c>
      <x:c r="I9" s="16" t="n">
        <x:v>0.8</x:v>
      </x:c>
      <x:c r="J9" s="16" t="n">
        <x:v>0</x:v>
      </x:c>
      <x:c r="K9" s="16" t="n">
        <x:f>IF(E9="MAX",F9,F9-SUM(G9:J9))</x:f>
        <x:v>-3</x:v>
      </x:c>
      <x:c r="L9" s="16" t="n">
        <x:f>IF(E9="MIN",F9,F9+SUM(G9:J9))</x:f>
        <x:v>3</x:v>
      </x:c>
      <x:c r="M9" s="16" t="n">
        <x:f>SQRT(G9^2+H9^2+I9^2+J9^2)</x:f>
        <x:v>1.7549928774784245</x:v>
      </x:c>
      <x:c r="N9" s="16" t="n">
        <x:v>-4</x:v>
      </x:c>
      <x:c r="O9" s="16" t="n">
        <x:v>4</x:v>
      </x:c>
      <x:c r="P9" s="9" t="str">
        <x:f>IF(AND(K9&gt;=N9,L9&lt;=O9),"PASS","FAIL")</x:f>
        <x:v>PASS</x:v>
      </x:c>
      <x:c r="Q9" s="9" t="str">
        <x:v>PLANNING</x:v>
      </x:c>
    </x:row>
    <x:row r="10">
      <x:c r="B10" s="9" t="str">
        <x:v>ROOT_A</x:v>
      </x:c>
      <x:c r="C10" s="9" t="str">
        <x:v>A-TS04</x:v>
      </x:c>
      <x:c r="D10" s="9" t="str">
        <x:v>anchor pin coaxiality</x:v>
      </x:c>
      <x:c r="E10" s="9" t="str">
        <x:v>MAXDEV</x:v>
      </x:c>
      <x:c r="F10" s="16" t="n">
        <x:v>0</x:v>
      </x:c>
      <x:c r="G10" s="16" t="n">
        <x:v>0.4</x:v>
      </x:c>
      <x:c r="H10" s="16" t="n">
        <x:v>0.3</x:v>
      </x:c>
      <x:c r="I10" s="16" t="n">
        <x:v>0.2</x:v>
      </x:c>
      <x:c r="J10" s="16" t="n">
        <x:v>0</x:v>
      </x:c>
      <x:c r="K10" s="16" t="n">
        <x:f>IF(E10="MAX",F10,F10-SUM(G10:J10))</x:f>
        <x:v>-0.8999999999999999</x:v>
      </x:c>
      <x:c r="L10" s="16" t="n">
        <x:f>IF(E10="MIN",F10,F10+SUM(G10:J10))</x:f>
        <x:v>0.8999999999999999</x:v>
      </x:c>
      <x:c r="M10" s="16" t="n">
        <x:f>SQRT(G10^2+H10^2+I10^2+J10^2)</x:f>
        <x:v>0.5385164807134505</x:v>
      </x:c>
      <x:c r="N10" s="16" t="n">
        <x:v>-1</x:v>
      </x:c>
      <x:c r="O10" s="16" t="n">
        <x:v>1</x:v>
      </x:c>
      <x:c r="P10" s="9" t="str">
        <x:f>IF(AND(K10&gt;=N10,L10&lt;=O10),"PASS","FAIL")</x:f>
        <x:v>PASS</x:v>
      </x:c>
      <x:c r="Q10" s="9" t="str">
        <x:v>PLANNING</x:v>
      </x:c>
    </x:row>
    <x:row r="11">
      <x:c r="B11" s="9" t="str">
        <x:v>ROOT_A</x:v>
      </x:c>
      <x:c r="C11" s="9" t="str">
        <x:v>A-TS05</x:v>
      </x:c>
      <x:c r="D11" s="9" t="str">
        <x:v>lift node XY</x:v>
      </x:c>
      <x:c r="E11" s="9" t="str">
        <x:v>MAXDEV</x:v>
      </x:c>
      <x:c r="F11" s="16" t="n">
        <x:v>0</x:v>
      </x:c>
      <x:c r="G11" s="16" t="n">
        <x:v>1</x:v>
      </x:c>
      <x:c r="H11" s="16" t="n">
        <x:v>0.5</x:v>
      </x:c>
      <x:c r="I11" s="16" t="n">
        <x:v>1</x:v>
      </x:c>
      <x:c r="J11" s="16" t="n">
        <x:v>0</x:v>
      </x:c>
      <x:c r="K11" s="16" t="n">
        <x:f>IF(E11="MAX",F11,F11-SUM(G11:J11))</x:f>
        <x:v>-2.5</x:v>
      </x:c>
      <x:c r="L11" s="16" t="n">
        <x:f>IF(E11="MIN",F11,F11+SUM(G11:J11))</x:f>
        <x:v>2.5</x:v>
      </x:c>
      <x:c r="M11" s="16" t="n">
        <x:f>SQRT(G11^2+H11^2+I11^2+J11^2)</x:f>
        <x:v>1.5</x:v>
      </x:c>
      <x:c r="N11" s="16" t="n">
        <x:v>-3</x:v>
      </x:c>
      <x:c r="O11" s="16" t="n">
        <x:v>3</x:v>
      </x:c>
      <x:c r="P11" s="9" t="str">
        <x:f>IF(AND(K11&gt;=N11,L11&lt;=O11),"PASS","FAIL")</x:f>
        <x:v>PASS</x:v>
      </x:c>
      <x:c r="Q11" s="9" t="str">
        <x:v>PLANNING</x:v>
      </x:c>
    </x:row>
    <x:row r="12">
      <x:c r="B12" s="9" t="str">
        <x:v>ROOT_A</x:v>
      </x:c>
      <x:c r="C12" s="9" t="str">
        <x:v>A-TS06</x:v>
      </x:c>
      <x:c r="D12" s="9" t="str">
        <x:v>lift node Z</x:v>
      </x:c>
      <x:c r="E12" s="9" t="str">
        <x:v>MAXDEV</x:v>
      </x:c>
      <x:c r="F12" s="16" t="n">
        <x:v>0</x:v>
      </x:c>
      <x:c r="G12" s="16" t="n">
        <x:v>1</x:v>
      </x:c>
      <x:c r="H12" s="16" t="n">
        <x:v>0.5</x:v>
      </x:c>
      <x:c r="I12" s="16" t="n">
        <x:v>1</x:v>
      </x:c>
      <x:c r="J12" s="16" t="n">
        <x:v>0</x:v>
      </x:c>
      <x:c r="K12" s="16" t="n">
        <x:f>IF(E12="MAX",F12,F12-SUM(G12:J12))</x:f>
        <x:v>-2.5</x:v>
      </x:c>
      <x:c r="L12" s="16" t="n">
        <x:f>IF(E12="MIN",F12,F12+SUM(G12:J12))</x:f>
        <x:v>2.5</x:v>
      </x:c>
      <x:c r="M12" s="16" t="n">
        <x:f>SQRT(G12^2+H12^2+I12^2+J12^2)</x:f>
        <x:v>1.5</x:v>
      </x:c>
      <x:c r="N12" s="16" t="n">
        <x:v>-3</x:v>
      </x:c>
      <x:c r="O12" s="16" t="n">
        <x:v>3</x:v>
      </x:c>
      <x:c r="P12" s="9" t="str">
        <x:f>IF(AND(K12&gt;=N12,L12&lt;=O12),"PASS","FAIL")</x:f>
        <x:v>PASS</x:v>
      </x:c>
      <x:c r="Q12" s="9" t="str">
        <x:v>PLANNING</x:v>
      </x:c>
    </x:row>
    <x:row r="13">
      <x:c r="B13" s="9" t="str">
        <x:v>ROOT_A</x:v>
      </x:c>
      <x:c r="C13" s="9" t="str">
        <x:v>A-TS07</x:v>
      </x:c>
      <x:c r="D13" s="9" t="str">
        <x:v>collar center</x:v>
      </x:c>
      <x:c r="E13" s="9" t="str">
        <x:v>MAXDEV</x:v>
      </x:c>
      <x:c r="F13" s="16" t="n">
        <x:v>0</x:v>
      </x:c>
      <x:c r="G13" s="16" t="n">
        <x:v>0.8</x:v>
      </x:c>
      <x:c r="H13" s="16" t="n">
        <x:v>0.8</x:v>
      </x:c>
      <x:c r="I13" s="16" t="n">
        <x:v>0.5</x:v>
      </x:c>
      <x:c r="J13" s="16" t="n">
        <x:v>0.5</x:v>
      </x:c>
      <x:c r="K13" s="16" t="n">
        <x:f>IF(E13="MAX",F13,F13-SUM(G13:J13))</x:f>
        <x:v>-2.6</x:v>
      </x:c>
      <x:c r="L13" s="16" t="n">
        <x:f>IF(E13="MIN",F13,F13+SUM(G13:J13))</x:f>
        <x:v>2.6</x:v>
      </x:c>
      <x:c r="M13" s="16" t="n">
        <x:f>SQRT(G13^2+H13^2+I13^2+J13^2)</x:f>
        <x:v>1.3341664064126335</x:v>
      </x:c>
      <x:c r="N13" s="16" t="n">
        <x:v>-3</x:v>
      </x:c>
      <x:c r="O13" s="16" t="n">
        <x:v>3</x:v>
      </x:c>
      <x:c r="P13" s="9" t="str">
        <x:f>IF(AND(K13&gt;=N13,L13&lt;=O13),"PASS","FAIL")</x:f>
        <x:v>PASS</x:v>
      </x:c>
      <x:c r="Q13" s="9" t="str">
        <x:v>PLANNING</x:v>
      </x:c>
    </x:row>
    <x:row r="14">
      <x:c r="B14" s="9" t="str">
        <x:v>ROOT_A</x:v>
      </x:c>
      <x:c r="C14" s="9" t="str">
        <x:v>A-TS08</x:v>
      </x:c>
      <x:c r="D14" s="9" t="str">
        <x:v>collar normal deg</x:v>
      </x:c>
      <x:c r="E14" s="9" t="str">
        <x:v>MAXDEV</x:v>
      </x:c>
      <x:c r="F14" s="16" t="n">
        <x:v>0</x:v>
      </x:c>
      <x:c r="G14" s="16" t="n">
        <x:v>0.08</x:v>
      </x:c>
      <x:c r="H14" s="16" t="n">
        <x:v>0.07</x:v>
      </x:c>
      <x:c r="I14" s="16" t="n">
        <x:v>0.04</x:v>
      </x:c>
      <x:c r="J14" s="16" t="n">
        <x:v>0.05</x:v>
      </x:c>
      <x:c r="K14" s="16" t="n">
        <x:f>IF(E14="MAX",F14,F14-SUM(G14:J14))</x:f>
        <x:v>-0.24000000000000005</x:v>
      </x:c>
      <x:c r="L14" s="16" t="n">
        <x:f>IF(E14="MIN",F14,F14+SUM(G14:J14))</x:f>
        <x:v>0.24000000000000005</x:v>
      </x:c>
      <x:c r="M14" s="16" t="n">
        <x:f>SQRT(G14^2+H14^2+I14^2+J14^2)</x:f>
        <x:v>0.12409673645990857</x:v>
      </x:c>
      <x:c r="N14" s="16" t="n">
        <x:v>-0.25</x:v>
      </x:c>
      <x:c r="O14" s="16" t="n">
        <x:v>0.25</x:v>
      </x:c>
      <x:c r="P14" s="9" t="str">
        <x:f>IF(AND(K14&gt;=N14,L14&lt;=O14),"PASS","FAIL")</x:f>
        <x:v>PASS</x:v>
      </x:c>
      <x:c r="Q14" s="9" t="str">
        <x:v>PLANNING</x:v>
      </x:c>
    </x:row>
    <x:row r="15">
      <x:c r="B15" s="9" t="str">
        <x:v>ROOT_A</x:v>
      </x:c>
      <x:c r="C15" s="9" t="str">
        <x:v>A-TS09</x:v>
      </x:c>
      <x:c r="D15" s="9" t="str">
        <x:v>pipe restraint station</x:v>
      </x:c>
      <x:c r="E15" s="9" t="str">
        <x:v>MAXDEV</x:v>
      </x:c>
      <x:c r="F15" s="16" t="n">
        <x:v>0</x:v>
      </x:c>
      <x:c r="G15" s="16" t="n">
        <x:v>1.5</x:v>
      </x:c>
      <x:c r="H15" s="16" t="n">
        <x:v>1</x:v>
      </x:c>
      <x:c r="I15" s="16" t="n">
        <x:v>0.5</x:v>
      </x:c>
      <x:c r="J15" s="16" t="n">
        <x:v>0</x:v>
      </x:c>
      <x:c r="K15" s="16" t="n">
        <x:f>IF(E15="MAX",F15,F15-SUM(G15:J15))</x:f>
        <x:v>-3</x:v>
      </x:c>
      <x:c r="L15" s="16" t="n">
        <x:f>IF(E15="MIN",F15,F15+SUM(G15:J15))</x:f>
        <x:v>3</x:v>
      </x:c>
      <x:c r="M15" s="16" t="n">
        <x:f>SQRT(G15^2+H15^2+I15^2+J15^2)</x:f>
        <x:v>1.8708286933869707</x:v>
      </x:c>
      <x:c r="N15" s="16" t="n">
        <x:v>-4</x:v>
      </x:c>
      <x:c r="O15" s="16" t="n">
        <x:v>4</x:v>
      </x:c>
      <x:c r="P15" s="9" t="str">
        <x:f>IF(AND(K15&gt;=N15,L15&lt;=O15),"PASS","FAIL")</x:f>
        <x:v>PASS</x:v>
      </x:c>
      <x:c r="Q15" s="9" t="str">
        <x:v>PLANNING</x:v>
      </x:c>
    </x:row>
    <x:row r="16">
      <x:c r="B16" s="9" t="str">
        <x:v>ROOT_A</x:v>
      </x:c>
      <x:c r="C16" s="9" t="str">
        <x:v>A-TS10</x:v>
      </x:c>
      <x:c r="D16" s="9" t="str">
        <x:v>seal compression</x:v>
      </x:c>
      <x:c r="E16" s="9" t="str">
        <x:v>RANGE</x:v>
      </x:c>
      <x:c r="F16" s="16" t="n">
        <x:v>3</x:v>
      </x:c>
      <x:c r="G16" s="16" t="n">
        <x:v>0.3</x:v>
      </x:c>
      <x:c r="H16" s="16" t="n">
        <x:v>0.25</x:v>
      </x:c>
      <x:c r="I16" s="16" t="n">
        <x:v>0.15</x:v>
      </x:c>
      <x:c r="J16" s="16" t="n">
        <x:v>0.15</x:v>
      </x:c>
      <x:c r="K16" s="16" t="n">
        <x:f>IF(E16="MAX",F16,F16-SUM(G16:J16))</x:f>
        <x:v>2.15</x:v>
      </x:c>
      <x:c r="L16" s="16" t="n">
        <x:f>IF(E16="MIN",F16,F16+SUM(G16:J16))</x:f>
        <x:v>3.85</x:v>
      </x:c>
      <x:c r="M16" s="16" t="n">
        <x:f>SQRT(G16^2+H16^2+I16^2+J16^2)</x:f>
        <x:v>0.4444097208657794</x:v>
      </x:c>
      <x:c r="N16" s="16" t="n">
        <x:v>2</x:v>
      </x:c>
      <x:c r="O16" s="16" t="n">
        <x:v>4</x:v>
      </x:c>
      <x:c r="P16" s="9" t="str">
        <x:f>IF(AND(K16&gt;=N16,L16&lt;=O16),"PASS","FAIL")</x:f>
        <x:v>PASS</x:v>
      </x:c>
      <x:c r="Q16" s="9" t="str">
        <x:v>PLANNING</x:v>
      </x:c>
    </x:row>
    <x:row r="17">
      <x:c r="B17" s="9" t="str">
        <x:v>ROOT_A</x:v>
      </x:c>
      <x:c r="C17" s="9" t="str">
        <x:v>A-TS11</x:v>
      </x:c>
      <x:c r="D17" s="9" t="str">
        <x:v>valve deadleg m</x:v>
      </x:c>
      <x:c r="E17" s="9" t="str">
        <x:v>MAX</x:v>
      </x:c>
      <x:c r="F17" s="16" t="n">
        <x:v>0.28</x:v>
      </x:c>
      <x:c r="G17" s="16" t="n">
        <x:v>0.05</x:v>
      </x:c>
      <x:c r="H17" s="16" t="n">
        <x:v>0</x:v>
      </x:c>
      <x:c r="I17" s="16" t="n">
        <x:v>0</x:v>
      </x:c>
      <x:c r="J17" s="16" t="n">
        <x:v>0</x:v>
      </x:c>
      <x:c r="K17" s="16" t="n">
        <x:f>IF(E17="MAX",F17,F17-SUM(G17:J17))</x:f>
        <x:v>0.28</x:v>
      </x:c>
      <x:c r="L17" s="16" t="n">
        <x:f>IF(E17="MIN",F17,F17+SUM(G17:J17))</x:f>
        <x:v>0.33</x:v>
      </x:c>
      <x:c r="M17" s="16" t="n">
        <x:f>SQRT(G17^2+H17^2+I17^2+J17^2)</x:f>
        <x:v>0.05</x:v>
      </x:c>
      <x:c r="N17" s="16" t="n">
        <x:v>0</x:v>
      </x:c>
      <x:c r="O17" s="16" t="n">
        <x:v>0.35</x:v>
      </x:c>
      <x:c r="P17" s="9" t="str">
        <x:f>IF(AND(K17&gt;=N17,L17&lt;=O17),"PASS","FAIL")</x:f>
        <x:v>PASS</x:v>
      </x:c>
      <x:c r="Q17" s="9" t="str">
        <x:v>PLANNING</x:v>
      </x:c>
    </x:row>
    <x:row r="18">
      <x:c r="B18" s="9" t="str">
        <x:v>ROOT_A</x:v>
      </x:c>
      <x:c r="C18" s="9" t="str">
        <x:v>A-TS12</x:v>
      </x:c>
      <x:c r="D18" s="9" t="str">
        <x:v>bus clearance</x:v>
      </x:c>
      <x:c r="E18" s="9" t="str">
        <x:v>MIN</x:v>
      </x:c>
      <x:c r="F18" s="16" t="n">
        <x:v>35</x:v>
      </x:c>
      <x:c r="G18" s="16" t="n">
        <x:v>2</x:v>
      </x:c>
      <x:c r="H18" s="16" t="n">
        <x:v>2</x:v>
      </x:c>
      <x:c r="I18" s="16" t="n">
        <x:v>2</x:v>
      </x:c>
      <x:c r="J18" s="16" t="n">
        <x:v>0</x:v>
      </x:c>
      <x:c r="K18" s="16" t="n">
        <x:f>IF(E18="MAX",F18,F18-SUM(G18:J18))</x:f>
        <x:v>29</x:v>
      </x:c>
      <x:c r="L18" s="16" t="n">
        <x:f>IF(E18="MIN",F18,F18+SUM(G18:J18))</x:f>
        <x:v>35</x:v>
      </x:c>
      <x:c r="M18" s="16" t="n">
        <x:f>SQRT(G18^2+H18^2+I18^2+J18^2)</x:f>
        <x:v>3.4641016151377544</x:v>
      </x:c>
      <x:c r="N18" s="16" t="n">
        <x:v>25</x:v>
      </x:c>
      <x:c r="O18" s="16" t="n">
        <x:v>999</x:v>
      </x:c>
      <x:c r="P18" s="9" t="str">
        <x:f>IF(AND(K18&gt;=N18,L18&lt;=O18),"PASS","FAIL")</x:f>
        <x:v>PASS</x:v>
      </x:c>
      <x:c r="Q18" s="9" t="str">
        <x:v>PLANNING</x:v>
      </x:c>
    </x:row>
    <x:row r="19">
      <x:c r="B19" s="9" t="str">
        <x:v>ROOT_A</x:v>
      </x:c>
      <x:c r="C19" s="9" t="str">
        <x:v>A-TS13</x:v>
      </x:c>
      <x:c r="D19" s="9" t="str">
        <x:v>cable bend clearance</x:v>
      </x:c>
      <x:c r="E19" s="9" t="str">
        <x:v>MIN</x:v>
      </x:c>
      <x:c r="F19" s="16" t="n">
        <x:v>40</x:v>
      </x:c>
      <x:c r="G19" s="16" t="n">
        <x:v>3</x:v>
      </x:c>
      <x:c r="H19" s="16" t="n">
        <x:v>2</x:v>
      </x:c>
      <x:c r="I19" s="16" t="n">
        <x:v>2</x:v>
      </x:c>
      <x:c r="J19" s="16" t="n">
        <x:v>0</x:v>
      </x:c>
      <x:c r="K19" s="16" t="n">
        <x:f>IF(E19="MAX",F19,F19-SUM(G19:J19))</x:f>
        <x:v>33</x:v>
      </x:c>
      <x:c r="L19" s="16" t="n">
        <x:f>IF(E19="MIN",F19,F19+SUM(G19:J19))</x:f>
        <x:v>40</x:v>
      </x:c>
      <x:c r="M19" s="16" t="n">
        <x:f>SQRT(G19^2+H19^2+I19^2+J19^2)</x:f>
        <x:v>4.123105625617661</x:v>
      </x:c>
      <x:c r="N19" s="16" t="n">
        <x:v>30</x:v>
      </x:c>
      <x:c r="O19" s="16" t="n">
        <x:v>999</x:v>
      </x:c>
      <x:c r="P19" s="9" t="str">
        <x:f>IF(AND(K19&gt;=N19,L19&lt;=O19),"PASS","FAIL")</x:f>
        <x:v>PASS</x:v>
      </x:c>
      <x:c r="Q19" s="9" t="str">
        <x:v>PLANNING</x:v>
      </x:c>
    </x:row>
    <x:row r="20">
      <x:c r="B20" s="9" t="str">
        <x:v>ROOT_A</x:v>
      </x:c>
      <x:c r="C20" s="9" t="str">
        <x:v>A-TS14</x:v>
      </x:c>
      <x:c r="D20" s="9" t="str">
        <x:v>evidence route separation</x:v>
      </x:c>
      <x:c r="E20" s="9" t="str">
        <x:v>MIN</x:v>
      </x:c>
      <x:c r="F20" s="16" t="n">
        <x:v>200</x:v>
      </x:c>
      <x:c r="G20" s="16" t="n">
        <x:v>10</x:v>
      </x:c>
      <x:c r="H20" s="16" t="n">
        <x:v>15</x:v>
      </x:c>
      <x:c r="I20" s="16" t="n">
        <x:v>10</x:v>
      </x:c>
      <x:c r="J20" s="16" t="n">
        <x:v>0</x:v>
      </x:c>
      <x:c r="K20" s="16" t="n">
        <x:f>IF(E20="MAX",F20,F20-SUM(G20:J20))</x:f>
        <x:v>165</x:v>
      </x:c>
      <x:c r="L20" s="16" t="n">
        <x:f>IF(E20="MIN",F20,F20+SUM(G20:J20))</x:f>
        <x:v>200</x:v>
      </x:c>
      <x:c r="M20" s="16" t="n">
        <x:f>SQRT(G20^2+H20^2+I20^2+J20^2)</x:f>
        <x:v>20.615528128088304</x:v>
      </x:c>
      <x:c r="N20" s="16" t="n">
        <x:v>150</x:v>
      </x:c>
      <x:c r="O20" s="16" t="n">
        <x:v>999</x:v>
      </x:c>
      <x:c r="P20" s="9" t="str">
        <x:f>IF(AND(K20&gt;=N20,L20&lt;=O20),"PASS","FAIL")</x:f>
        <x:v>PASS</x:v>
      </x:c>
      <x:c r="Q20" s="9" t="str">
        <x:v>PLANNING</x:v>
      </x:c>
    </x:row>
    <x:row r="21">
      <x:c r="B21" s="9" t="str">
        <x:v>ROOT_A</x:v>
      </x:c>
      <x:c r="C21" s="9" t="str">
        <x:v>A-TS15</x:v>
      </x:c>
      <x:c r="D21" s="9" t="str">
        <x:v>service aisle m</x:v>
      </x:c>
      <x:c r="E21" s="9" t="str">
        <x:v>MIN</x:v>
      </x:c>
      <x:c r="F21" s="16" t="n">
        <x:v>1.28</x:v>
      </x:c>
      <x:c r="G21" s="16" t="n">
        <x:v>0.03</x:v>
      </x:c>
      <x:c r="H21" s="16" t="n">
        <x:v>0.03</x:v>
      </x:c>
      <x:c r="I21" s="16" t="n">
        <x:v>0.02</x:v>
      </x:c>
      <x:c r="J21" s="16" t="n">
        <x:v>0</x:v>
      </x:c>
      <x:c r="K21" s="16" t="n">
        <x:f>IF(E21="MAX",F21,F21-SUM(G21:J21))</x:f>
        <x:v>1.2</x:v>
      </x:c>
      <x:c r="L21" s="16" t="n">
        <x:f>IF(E21="MIN",F21,F21+SUM(G21:J21))</x:f>
        <x:v>1.28</x:v>
      </x:c>
      <x:c r="M21" s="16" t="n">
        <x:f>SQRT(G21^2+H21^2+I21^2+J21^2)</x:f>
        <x:v>0.0469041575982343</x:v>
      </x:c>
      <x:c r="N21" s="16" t="n">
        <x:v>1.2</x:v>
      </x:c>
      <x:c r="O21" s="16" t="n">
        <x:v>999</x:v>
      </x:c>
      <x:c r="P21" s="9" t="str">
        <x:f>IF(AND(K21&gt;=N21,L21&lt;=O21),"PASS","FAIL")</x:f>
        <x:v>PASS</x:v>
      </x:c>
      <x:c r="Q21" s="9" t="str">
        <x:v>PLANNING</x:v>
      </x:c>
    </x:row>
    <x:row r="22">
      <x:c r="B22" s="9" t="str">
        <x:v>ROOT_A</x:v>
      </x:c>
      <x:c r="C22" s="9" t="str">
        <x:v>A-TS16</x:v>
      </x:c>
      <x:c r="D22" s="9" t="str">
        <x:v>thermal deployed clearance</x:v>
      </x:c>
      <x:c r="E22" s="9" t="str">
        <x:v>MIN</x:v>
      </x:c>
      <x:c r="F22" s="16" t="n">
        <x:v>300</x:v>
      </x:c>
      <x:c r="G22" s="16" t="n">
        <x:v>30</x:v>
      </x:c>
      <x:c r="H22" s="16" t="n">
        <x:v>20</x:v>
      </x:c>
      <x:c r="I22" s="16" t="n">
        <x:v>20</x:v>
      </x:c>
      <x:c r="J22" s="16" t="n">
        <x:v>0</x:v>
      </x:c>
      <x:c r="K22" s="16" t="n">
        <x:f>IF(E22="MAX",F22,F22-SUM(G22:J22))</x:f>
        <x:v>230</x:v>
      </x:c>
      <x:c r="L22" s="16" t="n">
        <x:f>IF(E22="MIN",F22,F22+SUM(G22:J22))</x:f>
        <x:v>300</x:v>
      </x:c>
      <x:c r="M22" s="16" t="n">
        <x:f>SQRT(G22^2+H22^2+I22^2+J22^2)</x:f>
        <x:v>41.23105625617661</x:v>
      </x:c>
      <x:c r="N22" s="16" t="n">
        <x:v>200</x:v>
      </x:c>
      <x:c r="O22" s="16" t="n">
        <x:v>999</x:v>
      </x:c>
      <x:c r="P22" s="9" t="str">
        <x:f>IF(AND(K22&gt;=N22,L22&lt;=O22),"PASS","FAIL")</x:f>
        <x:v>PASS</x:v>
      </x:c>
      <x:c r="Q22" s="9" t="str">
        <x:v>PLANNING</x:v>
      </x:c>
    </x:row>
    <x:row r="23">
      <x:c r="B23" s="9" t="str">
        <x:v>ROOT_B</x:v>
      </x:c>
      <x:c r="C23" s="9" t="str">
        <x:v>B-TS01</x:v>
      </x:c>
      <x:c r="D23" s="9" t="str">
        <x:v>support-face coplanarity</x:v>
      </x:c>
      <x:c r="E23" s="9" t="str">
        <x:v>MAXDEV</x:v>
      </x:c>
      <x:c r="F23" s="16" t="n">
        <x:v>0</x:v>
      </x:c>
      <x:c r="G23" s="16" t="n">
        <x:v>1</x:v>
      </x:c>
      <x:c r="H23" s="16" t="n">
        <x:v>0.8</x:v>
      </x:c>
      <x:c r="I23" s="16" t="n">
        <x:v>0.5</x:v>
      </x:c>
      <x:c r="J23" s="16" t="n">
        <x:v>1</x:v>
      </x:c>
      <x:c r="K23" s="16" t="n">
        <x:f>IF(E23="MAX",F23,F23-SUM(G23:J23))</x:f>
        <x:v>-3.3</x:v>
      </x:c>
      <x:c r="L23" s="16" t="n">
        <x:f>IF(E23="MIN",F23,F23+SUM(G23:J23))</x:f>
        <x:v>3.3</x:v>
      </x:c>
      <x:c r="M23" s="16" t="n">
        <x:f>SQRT(G23^2+H23^2+I23^2+J23^2)</x:f>
        <x:v>1.7</x:v>
      </x:c>
      <x:c r="N23" s="16" t="n">
        <x:v>-6</x:v>
      </x:c>
      <x:c r="O23" s="16" t="n">
        <x:v>6</x:v>
      </x:c>
      <x:c r="P23" s="9" t="str">
        <x:f>IF(AND(K23&gt;=N23,L23&lt;=O23),"PASS","FAIL")</x:f>
        <x:v>PASS</x:v>
      </x:c>
      <x:c r="Q23" s="9" t="str">
        <x:v>PLANNING</x:v>
      </x:c>
    </x:row>
    <x:row r="24">
      <x:c r="B24" s="9" t="str">
        <x:v>ROOT_B</x:v>
      </x:c>
      <x:c r="C24" s="9" t="str">
        <x:v>B-TS02</x:v>
      </x:c>
      <x:c r="D24" s="9" t="str">
        <x:v>support X position</x:v>
      </x:c>
      <x:c r="E24" s="9" t="str">
        <x:v>MAXDEV</x:v>
      </x:c>
      <x:c r="F24" s="16" t="n">
        <x:v>0</x:v>
      </x:c>
      <x:c r="G24" s="16" t="n">
        <x:v>0.8</x:v>
      </x:c>
      <x:c r="H24" s="16" t="n">
        <x:v>0.7</x:v>
      </x:c>
      <x:c r="I24" s="16" t="n">
        <x:v>0.5</x:v>
      </x:c>
      <x:c r="J24" s="16" t="n">
        <x:v>0</x:v>
      </x:c>
      <x:c r="K24" s="16" t="n">
        <x:f>IF(E24="MAX",F24,F24-SUM(G24:J24))</x:f>
        <x:v>-2</x:v>
      </x:c>
      <x:c r="L24" s="16" t="n">
        <x:f>IF(E24="MIN",F24,F24+SUM(G24:J24))</x:f>
        <x:v>2</x:v>
      </x:c>
      <x:c r="M24" s="16" t="n">
        <x:f>SQRT(G24^2+H24^2+I24^2+J24^2)</x:f>
        <x:v>1.174734012447073</x:v>
      </x:c>
      <x:c r="N24" s="16" t="n">
        <x:v>-2.5</x:v>
      </x:c>
      <x:c r="O24" s="16" t="n">
        <x:v>2.5</x:v>
      </x:c>
      <x:c r="P24" s="9" t="str">
        <x:f>IF(AND(K24&gt;=N24,L24&lt;=O24),"PASS","FAIL")</x:f>
        <x:v>PASS</x:v>
      </x:c>
      <x:c r="Q24" s="9" t="str">
        <x:v>PLANNING</x:v>
      </x:c>
    </x:row>
    <x:row r="25">
      <x:c r="B25" s="9" t="str">
        <x:v>ROOT_B</x:v>
      </x:c>
      <x:c r="C25" s="9" t="str">
        <x:v>B-TS03</x:v>
      </x:c>
      <x:c r="D25" s="9" t="str">
        <x:v>deployed anchor Y</x:v>
      </x:c>
      <x:c r="E25" s="9" t="str">
        <x:v>MAXDEV</x:v>
      </x:c>
      <x:c r="F25" s="16" t="n">
        <x:v>0</x:v>
      </x:c>
      <x:c r="G25" s="16" t="n">
        <x:v>1</x:v>
      </x:c>
      <x:c r="H25" s="16" t="n">
        <x:v>1</x:v>
      </x:c>
      <x:c r="I25" s="16" t="n">
        <x:v>0.7</x:v>
      </x:c>
      <x:c r="J25" s="16" t="n">
        <x:v>0</x:v>
      </x:c>
      <x:c r="K25" s="16" t="n">
        <x:f>IF(E25="MAX",F25,F25-SUM(G25:J25))</x:f>
        <x:v>-2.7</x:v>
      </x:c>
      <x:c r="L25" s="16" t="n">
        <x:f>IF(E25="MIN",F25,F25+SUM(G25:J25))</x:f>
        <x:v>2.7</x:v>
      </x:c>
      <x:c r="M25" s="16" t="n">
        <x:f>SQRT(G25^2+H25^2+I25^2+J25^2)</x:f>
        <x:v>1.57797338380595</x:v>
      </x:c>
      <x:c r="N25" s="16" t="n">
        <x:v>-4</x:v>
      </x:c>
      <x:c r="O25" s="16" t="n">
        <x:v>4</x:v>
      </x:c>
      <x:c r="P25" s="9" t="str">
        <x:f>IF(AND(K25&gt;=N25,L25&lt;=O25),"PASS","FAIL")</x:f>
        <x:v>PASS</x:v>
      </x:c>
      <x:c r="Q25" s="9" t="str">
        <x:v>PLANNING</x:v>
      </x:c>
    </x:row>
    <x:row r="26">
      <x:c r="B26" s="9" t="str">
        <x:v>ROOT_B</x:v>
      </x:c>
      <x:c r="C26" s="9" t="str">
        <x:v>B-TS04</x:v>
      </x:c>
      <x:c r="D26" s="9" t="str">
        <x:v>anchor pin coaxiality</x:v>
      </x:c>
      <x:c r="E26" s="9" t="str">
        <x:v>MAXDEV</x:v>
      </x:c>
      <x:c r="F26" s="16" t="n">
        <x:v>0</x:v>
      </x:c>
      <x:c r="G26" s="16" t="n">
        <x:v>0.3</x:v>
      </x:c>
      <x:c r="H26" s="16" t="n">
        <x:v>0.3</x:v>
      </x:c>
      <x:c r="I26" s="16" t="n">
        <x:v>0.2</x:v>
      </x:c>
      <x:c r="J26" s="16" t="n">
        <x:v>0</x:v>
      </x:c>
      <x:c r="K26" s="16" t="n">
        <x:f>IF(E26="MAX",F26,F26-SUM(G26:J26))</x:f>
        <x:v>-0.8</x:v>
      </x:c>
      <x:c r="L26" s="16" t="n">
        <x:f>IF(E26="MIN",F26,F26+SUM(G26:J26))</x:f>
        <x:v>0.8</x:v>
      </x:c>
      <x:c r="M26" s="16" t="n">
        <x:f>SQRT(G26^2+H26^2+I26^2+J26^2)</x:f>
        <x:v>0.469041575982343</x:v>
      </x:c>
      <x:c r="N26" s="16" t="n">
        <x:v>-1</x:v>
      </x:c>
      <x:c r="O26" s="16" t="n">
        <x:v>1</x:v>
      </x:c>
      <x:c r="P26" s="9" t="str">
        <x:f>IF(AND(K26&gt;=N26,L26&lt;=O26),"PASS","FAIL")</x:f>
        <x:v>PASS</x:v>
      </x:c>
      <x:c r="Q26" s="9" t="str">
        <x:v>PLANNING</x:v>
      </x:c>
    </x:row>
    <x:row r="27">
      <x:c r="B27" s="9" t="str">
        <x:v>ROOT_B</x:v>
      </x:c>
      <x:c r="C27" s="9" t="str">
        <x:v>B-TS05</x:v>
      </x:c>
      <x:c r="D27" s="9" t="str">
        <x:v>lift node XY</x:v>
      </x:c>
      <x:c r="E27" s="9" t="str">
        <x:v>MAXDEV</x:v>
      </x:c>
      <x:c r="F27" s="16" t="n">
        <x:v>0</x:v>
      </x:c>
      <x:c r="G27" s="16" t="n">
        <x:v>0.8</x:v>
      </x:c>
      <x:c r="H27" s="16" t="n">
        <x:v>0.7</x:v>
      </x:c>
      <x:c r="I27" s="16" t="n">
        <x:v>0.8</x:v>
      </x:c>
      <x:c r="J27" s="16" t="n">
        <x:v>0</x:v>
      </x:c>
      <x:c r="K27" s="16" t="n">
        <x:f>IF(E27="MAX",F27,F27-SUM(G27:J27))</x:f>
        <x:v>-2.3</x:v>
      </x:c>
      <x:c r="L27" s="16" t="n">
        <x:f>IF(E27="MIN",F27,F27+SUM(G27:J27))</x:f>
        <x:v>2.3</x:v>
      </x:c>
      <x:c r="M27" s="16" t="n">
        <x:f>SQRT(G27^2+H27^2+I27^2+J27^2)</x:f>
        <x:v>1.3304134695650072</x:v>
      </x:c>
      <x:c r="N27" s="16" t="n">
        <x:v>-3</x:v>
      </x:c>
      <x:c r="O27" s="16" t="n">
        <x:v>3</x:v>
      </x:c>
      <x:c r="P27" s="9" t="str">
        <x:f>IF(AND(K27&gt;=N27,L27&lt;=O27),"PASS","FAIL")</x:f>
        <x:v>PASS</x:v>
      </x:c>
      <x:c r="Q27" s="9" t="str">
        <x:v>PLANNING</x:v>
      </x:c>
    </x:row>
    <x:row r="28">
      <x:c r="B28" s="9" t="str">
        <x:v>ROOT_B</x:v>
      </x:c>
      <x:c r="C28" s="9" t="str">
        <x:v>B-TS06</x:v>
      </x:c>
      <x:c r="D28" s="9" t="str">
        <x:v>lift node Z</x:v>
      </x:c>
      <x:c r="E28" s="9" t="str">
        <x:v>MAXDEV</x:v>
      </x:c>
      <x:c r="F28" s="16" t="n">
        <x:v>0</x:v>
      </x:c>
      <x:c r="G28" s="16" t="n">
        <x:v>0.8</x:v>
      </x:c>
      <x:c r="H28" s="16" t="n">
        <x:v>0.8</x:v>
      </x:c>
      <x:c r="I28" s="16" t="n">
        <x:v>0.8</x:v>
      </x:c>
      <x:c r="J28" s="16" t="n">
        <x:v>0</x:v>
      </x:c>
      <x:c r="K28" s="16" t="n">
        <x:f>IF(E28="MAX",F28,F28-SUM(G28:J28))</x:f>
        <x:v>-2.4000000000000004</x:v>
      </x:c>
      <x:c r="L28" s="16" t="n">
        <x:f>IF(E28="MIN",F28,F28+SUM(G28:J28))</x:f>
        <x:v>2.4000000000000004</x:v>
      </x:c>
      <x:c r="M28" s="16" t="n">
        <x:f>SQRT(G28^2+H28^2+I28^2+J28^2)</x:f>
        <x:v>1.385640646055102</x:v>
      </x:c>
      <x:c r="N28" s="16" t="n">
        <x:v>-3</x:v>
      </x:c>
      <x:c r="O28" s="16" t="n">
        <x:v>3</x:v>
      </x:c>
      <x:c r="P28" s="9" t="str">
        <x:f>IF(AND(K28&gt;=N28,L28&lt;=O28),"PASS","FAIL")</x:f>
        <x:v>PASS</x:v>
      </x:c>
      <x:c r="Q28" s="9" t="str">
        <x:v>PLANNING</x:v>
      </x:c>
    </x:row>
    <x:row r="29">
      <x:c r="B29" s="9" t="str">
        <x:v>ROOT_B</x:v>
      </x:c>
      <x:c r="C29" s="9" t="str">
        <x:v>B-TS07</x:v>
      </x:c>
      <x:c r="D29" s="9" t="str">
        <x:v>collar center</x:v>
      </x:c>
      <x:c r="E29" s="9" t="str">
        <x:v>MAXDEV</x:v>
      </x:c>
      <x:c r="F29" s="16" t="n">
        <x:v>0</x:v>
      </x:c>
      <x:c r="G29" s="16" t="n">
        <x:v>0.7</x:v>
      </x:c>
      <x:c r="H29" s="16" t="n">
        <x:v>0.6</x:v>
      </x:c>
      <x:c r="I29" s="16" t="n">
        <x:v>0.5</x:v>
      </x:c>
      <x:c r="J29" s="16" t="n">
        <x:v>0.5</x:v>
      </x:c>
      <x:c r="K29" s="16" t="n">
        <x:f>IF(E29="MAX",F29,F29-SUM(G29:J29))</x:f>
        <x:v>-2.3</x:v>
      </x:c>
      <x:c r="L29" s="16" t="n">
        <x:f>IF(E29="MIN",F29,F29+SUM(G29:J29))</x:f>
        <x:v>2.3</x:v>
      </x:c>
      <x:c r="M29" s="16" t="n">
        <x:f>SQRT(G29^2+H29^2+I29^2+J29^2)</x:f>
        <x:v>1.161895003862225</x:v>
      </x:c>
      <x:c r="N29" s="16" t="n">
        <x:v>-3</x:v>
      </x:c>
      <x:c r="O29" s="16" t="n">
        <x:v>3</x:v>
      </x:c>
      <x:c r="P29" s="9" t="str">
        <x:f>IF(AND(K29&gt;=N29,L29&lt;=O29),"PASS","FAIL")</x:f>
        <x:v>PASS</x:v>
      </x:c>
      <x:c r="Q29" s="9" t="str">
        <x:v>PLANNING</x:v>
      </x:c>
    </x:row>
    <x:row r="30">
      <x:c r="B30" s="9" t="str">
        <x:v>ROOT_B</x:v>
      </x:c>
      <x:c r="C30" s="9" t="str">
        <x:v>B-TS08</x:v>
      </x:c>
      <x:c r="D30" s="9" t="str">
        <x:v>collar normal deg</x:v>
      </x:c>
      <x:c r="E30" s="9" t="str">
        <x:v>MAXDEV</x:v>
      </x:c>
      <x:c r="F30" s="16" t="n">
        <x:v>0</x:v>
      </x:c>
      <x:c r="G30" s="16" t="n">
        <x:v>0.06</x:v>
      </x:c>
      <x:c r="H30" s="16" t="n">
        <x:v>0.06</x:v>
      </x:c>
      <x:c r="I30" s="16" t="n">
        <x:v>0.04</x:v>
      </x:c>
      <x:c r="J30" s="16" t="n">
        <x:v>0.05</x:v>
      </x:c>
      <x:c r="K30" s="16" t="n">
        <x:f>IF(E30="MAX",F30,F30-SUM(G30:J30))</x:f>
        <x:v>-0.21000000000000002</x:v>
      </x:c>
      <x:c r="L30" s="16" t="n">
        <x:f>IF(E30="MIN",F30,F30+SUM(G30:J30))</x:f>
        <x:v>0.21000000000000002</x:v>
      </x:c>
      <x:c r="M30" s="16" t="n">
        <x:f>SQRT(G30^2+H30^2+I30^2+J30^2)</x:f>
        <x:v>0.1063014581273465</x:v>
      </x:c>
      <x:c r="N30" s="16" t="n">
        <x:v>-0.25</x:v>
      </x:c>
      <x:c r="O30" s="16" t="n">
        <x:v>0.25</x:v>
      </x:c>
      <x:c r="P30" s="9" t="str">
        <x:f>IF(AND(K30&gt;=N30,L30&lt;=O30),"PASS","FAIL")</x:f>
        <x:v>PASS</x:v>
      </x:c>
      <x:c r="Q30" s="9" t="str">
        <x:v>PLANNING</x:v>
      </x:c>
    </x:row>
    <x:row r="31">
      <x:c r="B31" s="9" t="str">
        <x:v>ROOT_B</x:v>
      </x:c>
      <x:c r="C31" s="9" t="str">
        <x:v>B-TS09</x:v>
      </x:c>
      <x:c r="D31" s="9" t="str">
        <x:v>pipe restraint station</x:v>
      </x:c>
      <x:c r="E31" s="9" t="str">
        <x:v>MAXDEV</x:v>
      </x:c>
      <x:c r="F31" s="16" t="n">
        <x:v>0</x:v>
      </x:c>
      <x:c r="G31" s="16" t="n">
        <x:v>1.2</x:v>
      </x:c>
      <x:c r="H31" s="16" t="n">
        <x:v>0.8</x:v>
      </x:c>
      <x:c r="I31" s="16" t="n">
        <x:v>0.5</x:v>
      </x:c>
      <x:c r="J31" s="16" t="n">
        <x:v>0</x:v>
      </x:c>
      <x:c r="K31" s="16" t="n">
        <x:f>IF(E31="MAX",F31,F31-SUM(G31:J31))</x:f>
        <x:v>-2.5</x:v>
      </x:c>
      <x:c r="L31" s="16" t="n">
        <x:f>IF(E31="MIN",F31,F31+SUM(G31:J31))</x:f>
        <x:v>2.5</x:v>
      </x:c>
      <x:c r="M31" s="16" t="n">
        <x:f>SQRT(G31^2+H31^2+I31^2+J31^2)</x:f>
        <x:v>1.5264337522473748</x:v>
      </x:c>
      <x:c r="N31" s="16" t="n">
        <x:v>-4</x:v>
      </x:c>
      <x:c r="O31" s="16" t="n">
        <x:v>4</x:v>
      </x:c>
      <x:c r="P31" s="9" t="str">
        <x:f>IF(AND(K31&gt;=N31,L31&lt;=O31),"PASS","FAIL")</x:f>
        <x:v>PASS</x:v>
      </x:c>
      <x:c r="Q31" s="9" t="str">
        <x:v>PLANNING</x:v>
      </x:c>
    </x:row>
    <x:row r="32">
      <x:c r="B32" s="9" t="str">
        <x:v>ROOT_B</x:v>
      </x:c>
      <x:c r="C32" s="9" t="str">
        <x:v>B-TS10</x:v>
      </x:c>
      <x:c r="D32" s="9" t="str">
        <x:v>seal compression</x:v>
      </x:c>
      <x:c r="E32" s="9" t="str">
        <x:v>RANGE</x:v>
      </x:c>
      <x:c r="F32" s="16" t="n">
        <x:v>2.6</x:v>
      </x:c>
      <x:c r="G32" s="16" t="n">
        <x:v>0.25</x:v>
      </x:c>
      <x:c r="H32" s="16" t="n">
        <x:v>0.2</x:v>
      </x:c>
      <x:c r="I32" s="16" t="n">
        <x:v>0.1</x:v>
      </x:c>
      <x:c r="J32" s="16" t="n">
        <x:v>0.1</x:v>
      </x:c>
      <x:c r="K32" s="16" t="n">
        <x:f>IF(E32="MAX",F32,F32-SUM(G32:J32))</x:f>
        <x:v>1.9500000000000002</x:v>
      </x:c>
      <x:c r="L32" s="16" t="n">
        <x:f>IF(E32="MIN",F32,F32+SUM(G32:J32))</x:f>
        <x:v>3.25</x:v>
      </x:c>
      <x:c r="M32" s="16" t="n">
        <x:f>SQRT(G32^2+H32^2+I32^2+J32^2)</x:f>
        <x:v>0.35000000000000003</x:v>
      </x:c>
      <x:c r="N32" s="16" t="n">
        <x:v>1.8</x:v>
      </x:c>
      <x:c r="O32" s="16" t="n">
        <x:v>3.5</x:v>
      </x:c>
      <x:c r="P32" s="9" t="str">
        <x:f>IF(AND(K32&gt;=N32,L32&lt;=O32),"PASS","FAIL")</x:f>
        <x:v>PASS</x:v>
      </x:c>
      <x:c r="Q32" s="9" t="str">
        <x:v>PLANNING</x:v>
      </x:c>
    </x:row>
    <x:row r="33">
      <x:c r="B33" s="9" t="str">
        <x:v>ROOT_B</x:v>
      </x:c>
      <x:c r="C33" s="9" t="str">
        <x:v>B-TS11</x:v>
      </x:c>
      <x:c r="D33" s="9" t="str">
        <x:v>valve deadleg m</x:v>
      </x:c>
      <x:c r="E33" s="9" t="str">
        <x:v>MAX</x:v>
      </x:c>
      <x:c r="F33" s="16" t="n">
        <x:v>0.25</x:v>
      </x:c>
      <x:c r="G33" s="16" t="n">
        <x:v>0.06</x:v>
      </x:c>
      <x:c r="H33" s="16" t="n">
        <x:v>0</x:v>
      </x:c>
      <x:c r="I33" s="16" t="n">
        <x:v>0</x:v>
      </x:c>
      <x:c r="J33" s="16" t="n">
        <x:v>0</x:v>
      </x:c>
      <x:c r="K33" s="16" t="n">
        <x:f>IF(E33="MAX",F33,F33-SUM(G33:J33))</x:f>
        <x:v>0.25</x:v>
      </x:c>
      <x:c r="L33" s="16" t="n">
        <x:f>IF(E33="MIN",F33,F33+SUM(G33:J33))</x:f>
        <x:v>0.31</x:v>
      </x:c>
      <x:c r="M33" s="16" t="n">
        <x:f>SQRT(G33^2+H33^2+I33^2+J33^2)</x:f>
        <x:v>0.06</x:v>
      </x:c>
      <x:c r="N33" s="16" t="n">
        <x:v>0</x:v>
      </x:c>
      <x:c r="O33" s="16" t="n">
        <x:v>0.35</x:v>
      </x:c>
      <x:c r="P33" s="9" t="str">
        <x:f>IF(AND(K33&gt;=N33,L33&lt;=O33),"PASS","FAIL")</x:f>
        <x:v>PASS</x:v>
      </x:c>
      <x:c r="Q33" s="9" t="str">
        <x:v>PLANNING</x:v>
      </x:c>
    </x:row>
    <x:row r="34">
      <x:c r="B34" s="9" t="str">
        <x:v>ROOT_B</x:v>
      </x:c>
      <x:c r="C34" s="9" t="str">
        <x:v>B-TS12</x:v>
      </x:c>
      <x:c r="D34" s="9" t="str">
        <x:v>bus clearance</x:v>
      </x:c>
      <x:c r="E34" s="9" t="str">
        <x:v>MIN</x:v>
      </x:c>
      <x:c r="F34" s="16" t="n">
        <x:v>36</x:v>
      </x:c>
      <x:c r="G34" s="16" t="n">
        <x:v>2</x:v>
      </x:c>
      <x:c r="H34" s="16" t="n">
        <x:v>3</x:v>
      </x:c>
      <x:c r="I34" s="16" t="n">
        <x:v>2</x:v>
      </x:c>
      <x:c r="J34" s="16" t="n">
        <x:v>0</x:v>
      </x:c>
      <x:c r="K34" s="16" t="n">
        <x:f>IF(E34="MAX",F34,F34-SUM(G34:J34))</x:f>
        <x:v>29</x:v>
      </x:c>
      <x:c r="L34" s="16" t="n">
        <x:f>IF(E34="MIN",F34,F34+SUM(G34:J34))</x:f>
        <x:v>36</x:v>
      </x:c>
      <x:c r="M34" s="16" t="n">
        <x:f>SQRT(G34^2+H34^2+I34^2+J34^2)</x:f>
        <x:v>4.123105625617661</x:v>
      </x:c>
      <x:c r="N34" s="16" t="n">
        <x:v>25</x:v>
      </x:c>
      <x:c r="O34" s="16" t="n">
        <x:v>999</x:v>
      </x:c>
      <x:c r="P34" s="9" t="str">
        <x:f>IF(AND(K34&gt;=N34,L34&lt;=O34),"PASS","FAIL")</x:f>
        <x:v>PASS</x:v>
      </x:c>
      <x:c r="Q34" s="9" t="str">
        <x:v>PLANNING</x:v>
      </x:c>
    </x:row>
    <x:row r="35">
      <x:c r="B35" s="9" t="str">
        <x:v>ROOT_B</x:v>
      </x:c>
      <x:c r="C35" s="9" t="str">
        <x:v>B-TS13</x:v>
      </x:c>
      <x:c r="D35" s="9" t="str">
        <x:v>cable bend clearance</x:v>
      </x:c>
      <x:c r="E35" s="9" t="str">
        <x:v>MIN</x:v>
      </x:c>
      <x:c r="F35" s="16" t="n">
        <x:v>42</x:v>
      </x:c>
      <x:c r="G35" s="16" t="n">
        <x:v>3</x:v>
      </x:c>
      <x:c r="H35" s="16" t="n">
        <x:v>2</x:v>
      </x:c>
      <x:c r="I35" s="16" t="n">
        <x:v>2</x:v>
      </x:c>
      <x:c r="J35" s="16" t="n">
        <x:v>0</x:v>
      </x:c>
      <x:c r="K35" s="16" t="n">
        <x:f>IF(E35="MAX",F35,F35-SUM(G35:J35))</x:f>
        <x:v>35</x:v>
      </x:c>
      <x:c r="L35" s="16" t="n">
        <x:f>IF(E35="MIN",F35,F35+SUM(G35:J35))</x:f>
        <x:v>42</x:v>
      </x:c>
      <x:c r="M35" s="16" t="n">
        <x:f>SQRT(G35^2+H35^2+I35^2+J35^2)</x:f>
        <x:v>4.123105625617661</x:v>
      </x:c>
      <x:c r="N35" s="16" t="n">
        <x:v>30</x:v>
      </x:c>
      <x:c r="O35" s="16" t="n">
        <x:v>999</x:v>
      </x:c>
      <x:c r="P35" s="9" t="str">
        <x:f>IF(AND(K35&gt;=N35,L35&lt;=O35),"PASS","FAIL")</x:f>
        <x:v>PASS</x:v>
      </x:c>
      <x:c r="Q35" s="9" t="str">
        <x:v>PLANNING</x:v>
      </x:c>
    </x:row>
    <x:row r="36">
      <x:c r="B36" s="9" t="str">
        <x:v>ROOT_B</x:v>
      </x:c>
      <x:c r="C36" s="9" t="str">
        <x:v>B-TS14</x:v>
      </x:c>
      <x:c r="D36" s="9" t="str">
        <x:v>evidence route separation</x:v>
      </x:c>
      <x:c r="E36" s="9" t="str">
        <x:v>MIN</x:v>
      </x:c>
      <x:c r="F36" s="16" t="n">
        <x:v>190</x:v>
      </x:c>
      <x:c r="G36" s="16" t="n">
        <x:v>10</x:v>
      </x:c>
      <x:c r="H36" s="16" t="n">
        <x:v>10</x:v>
      </x:c>
      <x:c r="I36" s="16" t="n">
        <x:v>10</x:v>
      </x:c>
      <x:c r="J36" s="16" t="n">
        <x:v>0</x:v>
      </x:c>
      <x:c r="K36" s="16" t="n">
        <x:f>IF(E36="MAX",F36,F36-SUM(G36:J36))</x:f>
        <x:v>160</x:v>
      </x:c>
      <x:c r="L36" s="16" t="n">
        <x:f>IF(E36="MIN",F36,F36+SUM(G36:J36))</x:f>
        <x:v>190</x:v>
      </x:c>
      <x:c r="M36" s="16" t="n">
        <x:f>SQRT(G36^2+H36^2+I36^2+J36^2)</x:f>
        <x:v>17.320508075688775</x:v>
      </x:c>
      <x:c r="N36" s="16" t="n">
        <x:v>150</x:v>
      </x:c>
      <x:c r="O36" s="16" t="n">
        <x:v>999</x:v>
      </x:c>
      <x:c r="P36" s="9" t="str">
        <x:f>IF(AND(K36&gt;=N36,L36&lt;=O36),"PASS","FAIL")</x:f>
        <x:v>PASS</x:v>
      </x:c>
      <x:c r="Q36" s="9" t="str">
        <x:v>PLANNING</x:v>
      </x:c>
    </x:row>
    <x:row r="37">
      <x:c r="B37" s="9" t="str">
        <x:v>ROOT_B</x:v>
      </x:c>
      <x:c r="C37" s="9" t="str">
        <x:v>B-TS15</x:v>
      </x:c>
      <x:c r="D37" s="9" t="str">
        <x:v>service aisle m</x:v>
      </x:c>
      <x:c r="E37" s="9" t="str">
        <x:v>MIN</x:v>
      </x:c>
      <x:c r="F37" s="16" t="n">
        <x:v>1.25</x:v>
      </x:c>
      <x:c r="G37" s="16" t="n">
        <x:v>0.02</x:v>
      </x:c>
      <x:c r="H37" s="16" t="n">
        <x:v>0.02</x:v>
      </x:c>
      <x:c r="I37" s="16" t="n">
        <x:v>0.01</x:v>
      </x:c>
      <x:c r="J37" s="16" t="n">
        <x:v>0</x:v>
      </x:c>
      <x:c r="K37" s="16" t="n">
        <x:f>IF(E37="MAX",F37,F37-SUM(G37:J37))</x:f>
        <x:v>1.2</x:v>
      </x:c>
      <x:c r="L37" s="16" t="n">
        <x:f>IF(E37="MIN",F37,F37+SUM(G37:J37))</x:f>
        <x:v>1.25</x:v>
      </x:c>
      <x:c r="M37" s="16" t="n">
        <x:f>SQRT(G37^2+H37^2+I37^2+J37^2)</x:f>
        <x:v>0.030000000000000002</x:v>
      </x:c>
      <x:c r="N37" s="16" t="n">
        <x:v>1.2</x:v>
      </x:c>
      <x:c r="O37" s="16" t="n">
        <x:v>999</x:v>
      </x:c>
      <x:c r="P37" s="9" t="str">
        <x:f>IF(AND(K37&gt;=N37,L37&lt;=O37),"PASS","FAIL")</x:f>
        <x:v>PASS</x:v>
      </x:c>
      <x:c r="Q37" s="9" t="str">
        <x:v>PLANNING</x:v>
      </x:c>
    </x:row>
    <x:row r="38">
      <x:c r="B38" s="10" t="str">
        <x:v>ROOT_B</x:v>
      </x:c>
      <x:c r="C38" s="10" t="str">
        <x:v>B-TS16</x:v>
      </x:c>
      <x:c r="D38" s="10" t="str">
        <x:v>thermal deployed clearance</x:v>
      </x:c>
      <x:c r="E38" s="10" t="str">
        <x:v>MIN</x:v>
      </x:c>
      <x:c r="F38" s="19" t="n">
        <x:v>280</x:v>
      </x:c>
      <x:c r="G38" s="19" t="n">
        <x:v>20</x:v>
      </x:c>
      <x:c r="H38" s="19" t="n">
        <x:v>20</x:v>
      </x:c>
      <x:c r="I38" s="19" t="n">
        <x:v>20</x:v>
      </x:c>
      <x:c r="J38" s="19" t="n">
        <x:v>0</x:v>
      </x:c>
      <x:c r="K38" s="19" t="n">
        <x:f>IF(E38="MAX",F38,F38-SUM(G38:J38))</x:f>
        <x:v>220</x:v>
      </x:c>
      <x:c r="L38" s="19" t="n">
        <x:f>IF(E38="MIN",F38,F38+SUM(G38:J38))</x:f>
        <x:v>280</x:v>
      </x:c>
      <x:c r="M38" s="19" t="n">
        <x:f>SQRT(G38^2+H38^2+I38^2+J38^2)</x:f>
        <x:v>34.64101615137755</x:v>
      </x:c>
      <x:c r="N38" s="19" t="n">
        <x:v>200</x:v>
      </x:c>
      <x:c r="O38" s="19" t="n">
        <x:v>999</x:v>
      </x:c>
      <x:c r="P38" s="10" t="str">
        <x:f>IF(AND(K38&gt;=N38,L38&lt;=O38),"PASS","FAIL")</x:f>
        <x:v>PASS</x:v>
      </x:c>
      <x:c r="Q38" s="10" t="str">
        <x:v>PLANNING</x:v>
      </x:c>
    </x:row>
  </x:sheetData>
  <x:mergeCells>
    <x:mergeCell ref="B2:Q2"/>
    <x:mergeCell ref="B3:Q3"/>
  </x:mergeCells>
  <x:conditionalFormatting sqref="P7:Q38">
    <x:cfRule type="containsText" dxfId="110" priority="1" operator="containsText" text="PASS"/>
    <x:cfRule type="containsText" dxfId="111" priority="2" operator="containsText" text="AUTHORIZED"/>
    <x:cfRule type="containsText" dxfId="112" priority="3" operator="containsText" text="DEFINED"/>
    <x:cfRule type="containsText" dxfId="113" priority="4" operator="containsText" text="READY"/>
    <x:cfRule type="containsText" dxfId="114" priority="5" operator="containsText" text="HOLD"/>
    <x:cfRule type="containsText" dxfId="115" priority="6" operator="containsText" text="OPEN"/>
    <x:cfRule type="containsText" dxfId="116" priority="7" operator="containsText" text="BLOCKED"/>
    <x:cfRule type="containsText" dxfId="117" priority="8" operator="containsText" text="PLANNING"/>
    <x:cfRule type="containsText" dxfId="118" priority="9" operator="containsText" text="FAIL"/>
    <x:cfRule type="containsText" dxfId="119" priority="10" operator="containsText" text="REJECT"/>
    <x:cfRule type="containsText" dxfId="120" priority="11" operator="containsText" text="INCOMPLETE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5" hidden="0" customWidth="1"/>
    <x:col min="3" max="3" width="28" hidden="0" customWidth="1"/>
    <x:col min="4" max="4" width="28" hidden="0" customWidth="1"/>
    <x:col min="5" max="5" width="38" hidden="0" customWidth="1"/>
    <x:col min="6" max="6" width="18" hidden="0" customWidth="1"/>
    <x:col min="7" max="7" width="16" hidden="0" customWidth="1"/>
    <x:col min="8" max="8" width="14" hidden="0" customWidth="1"/>
    <x:col min="9" max="9" width="18" hidden="0" customWidth="1"/>
    <x:col min="10" max="10" width="16" hidden="0" customWidth="1"/>
    <x:col min="11" max="11" width="30" hidden="0" customWidth="1"/>
  </x:cols>
  <x:sheetData>
    <x:row r="2">
      <x:c r="B2" s="1" t="str">
        <x:v>Material hypotheses and twenty-four unlike joint families</x:v>
      </x:c>
    </x:row>
    <x:row r="3">
      <x:c r="B3" s="2" t="str">
        <x:v>Declared allowables organize challenge evidence; none is an observed article property.</x:v>
      </x:c>
    </x:row>
    <x:row r="4"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6">
      <x:c r="B6" s="7" t="str">
        <x:v>Root</x:v>
      </x:c>
      <x:c r="C6" s="7" t="str">
        <x:v>Material / process</x:v>
      </x:c>
      <x:c r="D6" s="7" t="str">
        <x:v>Declared value</x:v>
      </x:c>
      <x:c r="E6" s="7" t="str">
        <x:v>Unit</x:v>
      </x:c>
      <x:c r="F6" s="7" t="str">
        <x:v>Process boundary</x:v>
      </x:c>
      <x:c r="G6" s="7" t="str">
        <x:v>Source state</x:v>
      </x:c>
      <x:c r="H6" s="7" t="str">
        <x:v>Planning gate</x:v>
      </x:c>
      <x:c r="I6" s="7" t="str">
        <x:v>Physical evidence</x:v>
      </x:c>
      <x:c r="J6" s="7" t="str">
        <x:v>Disposition</x:v>
      </x:c>
      <x:c r="K6" s="7" t="str">
        <x:v>Notes</x:v>
      </x:c>
    </x:row>
    <x:row r="7">
      <x:c r="B7" s="9" t="str">
        <x:v>ROOT_A</x:v>
      </x:c>
      <x:c r="C7" s="9" t="str">
        <x:v>Q&amp;T steel yield</x:v>
      </x:c>
      <x:c r="D7" s="9" t="n">
        <x:v>690</x:v>
      </x:c>
      <x:c r="E7" s="9" t="str">
        <x:v>MPa</x:v>
      </x:c>
      <x:c r="F7" s="9" t="str">
        <x:v>heat and HAZ specific</x:v>
      </x:c>
      <x:c r="G7" s="9" t="str">
        <x:v>PLANNING</x:v>
      </x:c>
      <x:c r="H7" s="9" t="str">
        <x:v>PASS</x:v>
      </x:c>
      <x:c r="I7" s="9" t="n">
        <x:v>0</x:v>
      </x:c>
      <x:c r="J7" s="9" t="str">
        <x:v>OPEN</x:v>
      </x:c>
      <x:c r="K7" s="9" t="str">
        <x:v>source observation required</x:v>
      </x:c>
    </x:row>
    <x:row r="8">
      <x:c r="B8" s="9" t="str">
        <x:v>ROOT_A</x:v>
      </x:c>
      <x:c r="C8" s="9" t="str">
        <x:v>steel modulus</x:v>
      </x:c>
      <x:c r="D8" s="9" t="n">
        <x:v>200</x:v>
      </x:c>
      <x:c r="E8" s="9" t="str">
        <x:v>GPa</x:v>
      </x:c>
      <x:c r="F8" s="9" t="str">
        <x:v>temperature corrected</x:v>
      </x:c>
      <x:c r="G8" s="9" t="str">
        <x:v>PLANNING</x:v>
      </x:c>
      <x:c r="H8" s="9" t="str">
        <x:v>PASS</x:v>
      </x:c>
      <x:c r="I8" s="9" t="n">
        <x:v>0</x:v>
      </x:c>
      <x:c r="J8" s="9" t="str">
        <x:v>OPEN</x:v>
      </x:c>
      <x:c r="K8" s="9" t="str">
        <x:v>source observation required</x:v>
      </x:c>
    </x:row>
    <x:row r="9">
      <x:c r="B9" s="9" t="str">
        <x:v>ROOT_A</x:v>
      </x:c>
      <x:c r="C9" s="9" t="str">
        <x:v>super-duplex design allowable</x:v>
      </x:c>
      <x:c r="D9" s="9" t="n">
        <x:v>310</x:v>
      </x:c>
      <x:c r="E9" s="9" t="str">
        <x:v>MPa</x:v>
      </x:c>
      <x:c r="F9" s="9" t="str">
        <x:v>weld and crevice</x:v>
      </x:c>
      <x:c r="G9" s="9" t="str">
        <x:v>PLANNING</x:v>
      </x:c>
      <x:c r="H9" s="9" t="str">
        <x:v>PASS</x:v>
      </x:c>
      <x:c r="I9" s="9" t="n">
        <x:v>0</x:v>
      </x:c>
      <x:c r="J9" s="9" t="str">
        <x:v>OPEN</x:v>
      </x:c>
      <x:c r="K9" s="9" t="str">
        <x:v>source observation required</x:v>
      </x:c>
    </x:row>
    <x:row r="10">
      <x:c r="B10" s="9" t="str">
        <x:v>ROOT_A</x:v>
      </x:c>
      <x:c r="C10" s="9" t="str">
        <x:v>weld heat input low</x:v>
      </x:c>
      <x:c r="D10" s="9" t="n">
        <x:v>0.8</x:v>
      </x:c>
      <x:c r="E10" s="9" t="str">
        <x:v>kJ/mm</x:v>
      </x:c>
      <x:c r="F10" s="9" t="str">
        <x:v>record actual</x:v>
      </x:c>
      <x:c r="G10" s="9" t="str">
        <x:v>PLANNING</x:v>
      </x:c>
      <x:c r="H10" s="9" t="str">
        <x:v>PASS</x:v>
      </x:c>
      <x:c r="I10" s="9" t="n">
        <x:v>0</x:v>
      </x:c>
      <x:c r="J10" s="9" t="str">
        <x:v>OPEN</x:v>
      </x:c>
      <x:c r="K10" s="9" t="str">
        <x:v>source observation required</x:v>
      </x:c>
    </x:row>
    <x:row r="11">
      <x:c r="B11" s="9" t="str">
        <x:v>ROOT_A</x:v>
      </x:c>
      <x:c r="C11" s="9" t="str">
        <x:v>weld heat input high</x:v>
      </x:c>
      <x:c r="D11" s="9" t="n">
        <x:v>1.6</x:v>
      </x:c>
      <x:c r="E11" s="9" t="str">
        <x:v>kJ/mm</x:v>
      </x:c>
      <x:c r="F11" s="9" t="str">
        <x:v>record actual</x:v>
      </x:c>
      <x:c r="G11" s="9" t="str">
        <x:v>PLANNING</x:v>
      </x:c>
      <x:c r="H11" s="9" t="str">
        <x:v>PASS</x:v>
      </x:c>
      <x:c r="I11" s="9" t="n">
        <x:v>0</x:v>
      </x:c>
      <x:c r="J11" s="9" t="str">
        <x:v>OPEN</x:v>
      </x:c>
      <x:c r="K11" s="9" t="str">
        <x:v>source observation required</x:v>
      </x:c>
    </x:row>
    <x:row r="12">
      <x:c r="B12" s="9" t="str">
        <x:v>ROOT_A</x:v>
      </x:c>
      <x:c r="C12" s="9" t="str">
        <x:v>interpass maximum</x:v>
      </x:c>
      <x:c r="D12" s="9" t="n">
        <x:v>180</x:v>
      </x:c>
      <x:c r="E12" s="9" t="str">
        <x:v>deg C</x:v>
      </x:c>
      <x:c r="F12" s="9" t="str">
        <x:v>record actual</x:v>
      </x:c>
      <x:c r="G12" s="9" t="str">
        <x:v>PLANNING</x:v>
      </x:c>
      <x:c r="H12" s="9" t="str">
        <x:v>PASS</x:v>
      </x:c>
      <x:c r="I12" s="9" t="n">
        <x:v>0</x:v>
      </x:c>
      <x:c r="J12" s="9" t="str">
        <x:v>OPEN</x:v>
      </x:c>
      <x:c r="K12" s="9" t="str">
        <x:v>source observation required</x:v>
      </x:c>
    </x:row>
    <x:row r="13">
      <x:c r="B13" s="9" t="str">
        <x:v>ROOT_B</x:v>
      </x:c>
      <x:c r="C13" s="9" t="str">
        <x:v>CF-PAEK axial modulus</x:v>
      </x:c>
      <x:c r="D13" s="9" t="n">
        <x:v>120</x:v>
      </x:c>
      <x:c r="E13" s="9" t="str">
        <x:v>GPa</x:v>
      </x:c>
      <x:c r="F13" s="9" t="str">
        <x:v>layup and hot/wet</x:v>
      </x:c>
      <x:c r="G13" s="9" t="str">
        <x:v>PLANNING</x:v>
      </x:c>
      <x:c r="H13" s="9" t="str">
        <x:v>PASS</x:v>
      </x:c>
      <x:c r="I13" s="9" t="n">
        <x:v>0</x:v>
      </x:c>
      <x:c r="J13" s="9" t="str">
        <x:v>OPEN</x:v>
      </x:c>
      <x:c r="K13" s="9" t="str">
        <x:v>source observation required</x:v>
      </x:c>
    </x:row>
    <x:row r="14">
      <x:c r="B14" s="9" t="str">
        <x:v>ROOT_B</x:v>
      </x:c>
      <x:c r="C14" s="9" t="str">
        <x:v>compression allowable</x:v>
      </x:c>
      <x:c r="D14" s="9" t="n">
        <x:v>300</x:v>
      </x:c>
      <x:c r="E14" s="9" t="str">
        <x:v>MPa</x:v>
      </x:c>
      <x:c r="F14" s="9" t="str">
        <x:v>imperfection knockdown</x:v>
      </x:c>
      <x:c r="G14" s="9" t="str">
        <x:v>PLANNING</x:v>
      </x:c>
      <x:c r="H14" s="9" t="str">
        <x:v>PASS</x:v>
      </x:c>
      <x:c r="I14" s="9" t="n">
        <x:v>0</x:v>
      </x:c>
      <x:c r="J14" s="9" t="str">
        <x:v>OPEN</x:v>
      </x:c>
      <x:c r="K14" s="9" t="str">
        <x:v>source observation required</x:v>
      </x:c>
    </x:row>
    <x:row r="15">
      <x:c r="B15" s="9" t="str">
        <x:v>ROOT_B</x:v>
      </x:c>
      <x:c r="C15" s="9" t="str">
        <x:v>strain allowable</x:v>
      </x:c>
      <x:c r="D15" s="9" t="n">
        <x:v>0.0035</x:v>
      </x:c>
      <x:c r="E15" s="9" t="str">
        <x:v>strain</x:v>
      </x:c>
      <x:c r="F15" s="9" t="str">
        <x:v>fatigue and impact</x:v>
      </x:c>
      <x:c r="G15" s="9" t="str">
        <x:v>PLANNING</x:v>
      </x:c>
      <x:c r="H15" s="9" t="str">
        <x:v>PASS</x:v>
      </x:c>
      <x:c r="I15" s="9" t="n">
        <x:v>0</x:v>
      </x:c>
      <x:c r="J15" s="9" t="str">
        <x:v>OPEN</x:v>
      </x:c>
      <x:c r="K15" s="9" t="str">
        <x:v>source observation required</x:v>
      </x:c>
    </x:row>
    <x:row r="16">
      <x:c r="B16" s="9" t="str">
        <x:v>ROOT_B</x:v>
      </x:c>
      <x:c r="C16" s="9" t="str">
        <x:v>fiber volume</x:v>
      </x:c>
      <x:c r="D16" s="9" t="n">
        <x:v>58</x:v>
      </x:c>
      <x:c r="E16" s="9" t="str">
        <x:v>percent</x:v>
      </x:c>
      <x:c r="F16" s="9" t="str">
        <x:v>±3 percent</x:v>
      </x:c>
      <x:c r="G16" s="9" t="str">
        <x:v>PLANNING</x:v>
      </x:c>
      <x:c r="H16" s="9" t="str">
        <x:v>PASS</x:v>
      </x:c>
      <x:c r="I16" s="9" t="n">
        <x:v>0</x:v>
      </x:c>
      <x:c r="J16" s="9" t="str">
        <x:v>OPEN</x:v>
      </x:c>
      <x:c r="K16" s="9" t="str">
        <x:v>source observation required</x:v>
      </x:c>
    </x:row>
    <x:row r="17">
      <x:c r="B17" s="9" t="str">
        <x:v>ROOT_B</x:v>
      </x:c>
      <x:c r="C17" s="9" t="str">
        <x:v>void maximum</x:v>
      </x:c>
      <x:c r="D17" s="9" t="n">
        <x:v>1.5</x:v>
      </x:c>
      <x:c r="E17" s="9" t="str">
        <x:v>percent</x:v>
      </x:c>
      <x:c r="F17" s="9" t="str">
        <x:v>thick node mapping</x:v>
      </x:c>
      <x:c r="G17" s="9" t="str">
        <x:v>PLANNING</x:v>
      </x:c>
      <x:c r="H17" s="9" t="str">
        <x:v>PASS</x:v>
      </x:c>
      <x:c r="I17" s="9" t="n">
        <x:v>0</x:v>
      </x:c>
      <x:c r="J17" s="9" t="str">
        <x:v>OPEN</x:v>
      </x:c>
      <x:c r="K17" s="9" t="str">
        <x:v>source observation required</x:v>
      </x:c>
    </x:row>
    <x:row r="18">
      <x:c r="B18" s="9" t="str">
        <x:v>ROOT_B</x:v>
      </x:c>
      <x:c r="C18" s="9" t="str">
        <x:v>bond shear allowable</x:v>
      </x:c>
      <x:c r="D18" s="9" t="n">
        <x:v>8</x:v>
      </x:c>
      <x:c r="E18" s="9" t="str">
        <x:v>MPa</x:v>
      </x:c>
      <x:c r="F18" s="9" t="str">
        <x:v>environment and peel</x:v>
      </x:c>
      <x:c r="G18" s="9" t="str">
        <x:v>PLANNING</x:v>
      </x:c>
      <x:c r="H18" s="9" t="str">
        <x:v>PASS</x:v>
      </x:c>
      <x:c r="I18" s="9" t="n">
        <x:v>0</x:v>
      </x:c>
      <x:c r="J18" s="9" t="str">
        <x:v>OPEN</x:v>
      </x:c>
      <x:c r="K18" s="9" t="str">
        <x:v>source observation required</x:v>
      </x:c>
    </x:row>
    <x:row r="19">
      <x:c r="B19" s="9" t="str">
        <x:v>ROOT_B</x:v>
      </x:c>
      <x:c r="C19" s="9" t="str">
        <x:v>bondline nominal</x:v>
      </x:c>
      <x:c r="D19" s="9" t="n">
        <x:v>0.6</x:v>
      </x:c>
      <x:c r="E19" s="9" t="str">
        <x:v>mm</x:v>
      </x:c>
      <x:c r="F19" s="9" t="str">
        <x:v>±0.15 mm</x:v>
      </x:c>
      <x:c r="G19" s="9" t="str">
        <x:v>PLANNING</x:v>
      </x:c>
      <x:c r="H19" s="9" t="str">
        <x:v>PASS</x:v>
      </x:c>
      <x:c r="I19" s="9" t="n">
        <x:v>0</x:v>
      </x:c>
      <x:c r="J19" s="9" t="str">
        <x:v>OPEN</x:v>
      </x:c>
      <x:c r="K19" s="9" t="str">
        <x:v>source observation required</x:v>
      </x:c>
    </x:row>
    <x:row r="20">
      <x:c r="B20" s="9"/>
      <x:c r="C20" s="9"/>
      <x:c r="D20" s="9"/>
      <x:c r="E20" s="9"/>
      <x:c r="F20" s="9"/>
      <x:c r="G20" s="9"/>
      <x:c r="H20" s="9"/>
      <x:c r="I20" s="9"/>
      <x:c r="J20" s="9"/>
      <x:c r="K20" s="9"/>
    </x:row>
    <x:row r="21">
      <x:c r="B21" s="9"/>
      <x:c r="C21" s="9"/>
      <x:c r="D21" s="9"/>
      <x:c r="E21" s="9"/>
      <x:c r="F21" s="9"/>
      <x:c r="G21" s="9"/>
      <x:c r="H21" s="9"/>
      <x:c r="I21" s="9"/>
      <x:c r="J21" s="9"/>
      <x:c r="K21" s="9"/>
    </x:row>
    <x:row r="22">
      <x:c r="B22" s="9"/>
      <x:c r="C22" s="9"/>
      <x:c r="D22" s="9"/>
      <x:c r="E22" s="9"/>
      <x:c r="F22" s="9"/>
      <x:c r="G22" s="9"/>
      <x:c r="H22" s="9"/>
      <x:c r="I22" s="9"/>
      <x:c r="J22" s="9"/>
      <x:c r="K22" s="9"/>
    </x:row>
    <x:row r="23">
      <x:c r="B23" s="15" t="str">
        <x:v>Joint-family register</x:v>
      </x:c>
      <x:c r="C23" s="15" t="str">
        <x:v>Joint-family register</x:v>
      </x:c>
      <x:c r="D23" s="15" t="str">
        <x:v>Joint-family register</x:v>
      </x:c>
      <x:c r="E23" s="15" t="str">
        <x:v>Joint-family register</x:v>
      </x:c>
      <x:c r="F23" s="15" t="str">
        <x:v>Joint-family register</x:v>
      </x:c>
      <x:c r="G23" s="15" t="str">
        <x:v>Joint-family register</x:v>
      </x:c>
      <x:c r="H23" s="15" t="str">
        <x:v>Joint-family register</x:v>
      </x:c>
      <x:c r="I23" s="15" t="str">
        <x:v>Joint-family register</x:v>
      </x:c>
      <x:c r="J23" s="15" t="str">
        <x:v>Joint-family register</x:v>
      </x:c>
      <x:c r="K23" s="15" t="str">
        <x:v>Joint-family register</x:v>
      </x:c>
    </x:row>
    <x:row r="24">
      <x:c r="B24" s="7" t="str">
        <x:v>Root</x:v>
      </x:c>
      <x:c r="C24" s="7" t="str">
        <x:v>Joint ID</x:v>
      </x:c>
      <x:c r="D24" s="7" t="str">
        <x:v>Joint family</x:v>
      </x:c>
      <x:c r="E24" s="7" t="str">
        <x:v>Dominant evidence</x:v>
      </x:c>
      <x:c r="F24" s="7" t="str">
        <x:v>Schema</x:v>
      </x:c>
      <x:c r="G24" s="7" t="str">
        <x:v>Planning gate</x:v>
      </x:c>
      <x:c r="H24" s="7" t="str">
        <x:v>Observed</x:v>
      </x:c>
      <x:c r="I24" s="7" t="str">
        <x:v>Physical state</x:v>
      </x:c>
      <x:c r="J24" s="9"/>
      <x:c r="K24" s="9"/>
    </x:row>
    <x:row r="25">
      <x:c r="B25" s="9" t="str">
        <x:v>ROOT_A</x:v>
      </x:c>
      <x:c r="C25" s="9" t="str">
        <x:v>A-J01</x:v>
      </x:c>
      <x:c r="D25" s="9" t="str">
        <x:v>lower-chord splice</x:v>
      </x:c>
      <x:c r="E25" s="9" t="str">
        <x:v>full-section load, UT, fatigue</x:v>
      </x:c>
      <x:c r="F25" s="9" t="str">
        <x:v>DEFINED</x:v>
      </x:c>
      <x:c r="G25" s="9" t="str">
        <x:f>IF(AND(C25&lt;&gt;"",D25&lt;&gt;"",F25="DEFINED"),"PASS","FAIL")</x:f>
        <x:v>PASS</x:v>
      </x:c>
      <x:c r="H25" s="9" t="n">
        <x:v>0</x:v>
      </x:c>
      <x:c r="I25" s="9" t="str">
        <x:v>OPEN</x:v>
      </x:c>
      <x:c r="J25" s="9"/>
      <x:c r="K25" s="9"/>
    </x:row>
    <x:row r="26">
      <x:c r="B26" s="9" t="str">
        <x:v>ROOT_A</x:v>
      </x:c>
      <x:c r="C26" s="9" t="str">
        <x:v>A-J02</x:v>
      </x:c>
      <x:c r="D26" s="9" t="str">
        <x:v>upper-chord splice</x:v>
      </x:c>
      <x:c r="E26" s="9" t="str">
        <x:v>axial/bending and distortion</x:v>
      </x:c>
      <x:c r="F26" s="9" t="str">
        <x:v>DEFINED</x:v>
      </x:c>
      <x:c r="G26" s="9" t="str">
        <x:f>IF(AND(C26&lt;&gt;"",D26&lt;&gt;"",F26="DEFINED"),"PASS","FAIL")</x:f>
        <x:v>PASS</x:v>
      </x:c>
      <x:c r="H26" s="9" t="n">
        <x:v>0</x:v>
      </x:c>
      <x:c r="I26" s="9" t="str">
        <x:v>OPEN</x:v>
      </x:c>
      <x:c r="J26" s="9"/>
      <x:c r="K26" s="9"/>
    </x:row>
    <x:row r="27">
      <x:c r="B27" s="9" t="str">
        <x:v>ROOT_A</x:v>
      </x:c>
      <x:c r="C27" s="9" t="str">
        <x:v>A-J03</x:v>
      </x:c>
      <x:c r="D27" s="9" t="str">
        <x:v>reaction-frame node</x:v>
      </x:c>
      <x:c r="E27" s="9" t="str">
        <x:v>tri-axial strain, HAZ, section</x:v>
      </x:c>
      <x:c r="F27" s="9" t="str">
        <x:v>DEFINED</x:v>
      </x:c>
      <x:c r="G27" s="9" t="str">
        <x:f>IF(AND(C27&lt;&gt;"",D27&lt;&gt;"",F27="DEFINED"),"PASS","FAIL")</x:f>
        <x:v>PASS</x:v>
      </x:c>
      <x:c r="H27" s="9" t="n">
        <x:v>0</x:v>
      </x:c>
      <x:c r="I27" s="9" t="str">
        <x:v>OPEN</x:v>
      </x:c>
      <x:c r="J27" s="9"/>
      <x:c r="K27" s="9"/>
    </x:row>
    <x:row r="28">
      <x:c r="B28" s="9" t="str">
        <x:v>ROOT_A</x:v>
      </x:c>
      <x:c r="C28" s="9" t="str">
        <x:v>A-J04</x:v>
      </x:c>
      <x:c r="D28" s="9" t="str">
        <x:v>diagonal gusset</x:v>
      </x:c>
      <x:c r="E28" s="9" t="str">
        <x:v>buckling, slip, weld toe</x:v>
      </x:c>
      <x:c r="F28" s="9" t="str">
        <x:v>DEFINED</x:v>
      </x:c>
      <x:c r="G28" s="9" t="str">
        <x:f>IF(AND(C28&lt;&gt;"",D28&lt;&gt;"",F28="DEFINED"),"PASS","FAIL")</x:f>
        <x:v>PASS</x:v>
      </x:c>
      <x:c r="H28" s="9" t="n">
        <x:v>0</x:v>
      </x:c>
      <x:c r="I28" s="9" t="str">
        <x:v>OPEN</x:v>
      </x:c>
      <x:c r="J28" s="9"/>
      <x:c r="K28" s="9"/>
    </x:row>
    <x:row r="29">
      <x:c r="B29" s="9" t="str">
        <x:v>ROOT_A</x:v>
      </x:c>
      <x:c r="C29" s="9" t="str">
        <x:v>A-J05</x:v>
      </x:c>
      <x:c r="D29" s="9" t="str">
        <x:v>support-box node</x:v>
      </x:c>
      <x:c r="E29" s="9" t="str">
        <x:v>bearing and redistribution</x:v>
      </x:c>
      <x:c r="F29" s="9" t="str">
        <x:v>DEFINED</x:v>
      </x:c>
      <x:c r="G29" s="9" t="str">
        <x:f>IF(AND(C29&lt;&gt;"",D29&lt;&gt;"",F29="DEFINED"),"PASS","FAIL")</x:f>
        <x:v>PASS</x:v>
      </x:c>
      <x:c r="H29" s="9" t="n">
        <x:v>0</x:v>
      </x:c>
      <x:c r="I29" s="9" t="str">
        <x:v>OPEN</x:v>
      </x:c>
      <x:c r="J29" s="9"/>
      <x:c r="K29" s="9"/>
    </x:row>
    <x:row r="30">
      <x:c r="B30" s="9" t="str">
        <x:v>ROOT_A</x:v>
      </x:c>
      <x:c r="C30" s="9" t="str">
        <x:v>A-J06</x:v>
      </x:c>
      <x:c r="D30" s="9" t="str">
        <x:v>anchor hinge</x:v>
      </x:c>
      <x:c r="E30" s="9" t="str">
        <x:v>bearing, lock, deployment cycle</x:v>
      </x:c>
      <x:c r="F30" s="9" t="str">
        <x:v>DEFINED</x:v>
      </x:c>
      <x:c r="G30" s="9" t="str">
        <x:f>IF(AND(C30&lt;&gt;"",D30&lt;&gt;"",F30="DEFINED"),"PASS","FAIL")</x:f>
        <x:v>PASS</x:v>
      </x:c>
      <x:c r="H30" s="9" t="n">
        <x:v>0</x:v>
      </x:c>
      <x:c r="I30" s="9" t="str">
        <x:v>OPEN</x:v>
      </x:c>
      <x:c r="J30" s="9"/>
      <x:c r="K30" s="9"/>
    </x:row>
    <x:row r="31">
      <x:c r="B31" s="9" t="str">
        <x:v>ROOT_A</x:v>
      </x:c>
      <x:c r="C31" s="9" t="str">
        <x:v>A-J07</x:v>
      </x:c>
      <x:c r="D31" s="9" t="str">
        <x:v>anchor lock pin</x:v>
      </x:c>
      <x:c r="E31" s="9" t="str">
        <x:v>shear, bend, engagement</x:v>
      </x:c>
      <x:c r="F31" s="9" t="str">
        <x:v>DEFINED</x:v>
      </x:c>
      <x:c r="G31" s="9" t="str">
        <x:f>IF(AND(C31&lt;&gt;"",D31&lt;&gt;"",F31="DEFINED"),"PASS","FAIL")</x:f>
        <x:v>PASS</x:v>
      </x:c>
      <x:c r="H31" s="9" t="n">
        <x:v>0</x:v>
      </x:c>
      <x:c r="I31" s="9" t="str">
        <x:v>OPEN</x:v>
      </x:c>
      <x:c r="J31" s="9"/>
      <x:c r="K31" s="9"/>
    </x:row>
    <x:row r="32">
      <x:c r="B32" s="9" t="str">
        <x:v>ROOT_A</x:v>
      </x:c>
      <x:c r="C32" s="9" t="str">
        <x:v>A-J08</x:v>
      </x:c>
      <x:c r="D32" s="9" t="str">
        <x:v>lift clevis</x:v>
      </x:c>
      <x:c r="E32" s="9" t="str">
        <x:v>spread, pin bend, strain</x:v>
      </x:c>
      <x:c r="F32" s="9" t="str">
        <x:v>DEFINED</x:v>
      </x:c>
      <x:c r="G32" s="9" t="str">
        <x:f>IF(AND(C32&lt;&gt;"",D32&lt;&gt;"",F32="DEFINED"),"PASS","FAIL")</x:f>
        <x:v>PASS</x:v>
      </x:c>
      <x:c r="H32" s="9" t="n">
        <x:v>0</x:v>
      </x:c>
      <x:c r="I32" s="9" t="str">
        <x:v>OPEN</x:v>
      </x:c>
      <x:c r="J32" s="9"/>
      <x:c r="K32" s="9"/>
    </x:row>
    <x:row r="33">
      <x:c r="B33" s="9" t="str">
        <x:v>ROOT_A</x:v>
      </x:c>
      <x:c r="C33" s="9" t="str">
        <x:v>A-J09</x:v>
      </x:c>
      <x:c r="D33" s="9" t="str">
        <x:v>pipe saddle</x:v>
      </x:c>
      <x:c r="E33" s="9" t="str">
        <x:v>thermal slip, bypass load</x:v>
      </x:c>
      <x:c r="F33" s="9" t="str">
        <x:v>DEFINED</x:v>
      </x:c>
      <x:c r="G33" s="9" t="str">
        <x:f>IF(AND(C33&lt;&gt;"",D33&lt;&gt;"",F33="DEFINED"),"PASS","FAIL")</x:f>
        <x:v>PASS</x:v>
      </x:c>
      <x:c r="H33" s="9" t="n">
        <x:v>0</x:v>
      </x:c>
      <x:c r="I33" s="9" t="str">
        <x:v>OPEN</x:v>
      </x:c>
      <x:c r="J33" s="9"/>
      <x:c r="K33" s="9"/>
    </x:row>
    <x:row r="34">
      <x:c r="B34" s="9" t="str">
        <x:v>ROOT_A</x:v>
      </x:c>
      <x:c r="C34" s="9" t="str">
        <x:v>A-J10</x:v>
      </x:c>
      <x:c r="D34" s="9" t="str">
        <x:v>split collar</x:v>
      </x:c>
      <x:c r="E34" s="9" t="str">
        <x:v>preload, leak, teardown</x:v>
      </x:c>
      <x:c r="F34" s="9" t="str">
        <x:v>DEFINED</x:v>
      </x:c>
      <x:c r="G34" s="9" t="str">
        <x:f>IF(AND(C34&lt;&gt;"",D34&lt;&gt;"",F34="DEFINED"),"PASS","FAIL")</x:f>
        <x:v>PASS</x:v>
      </x:c>
      <x:c r="H34" s="9" t="n">
        <x:v>0</x:v>
      </x:c>
      <x:c r="I34" s="9" t="str">
        <x:v>OPEN</x:v>
      </x:c>
      <x:c r="J34" s="9"/>
      <x:c r="K34" s="9"/>
    </x:row>
    <x:row r="35">
      <x:c r="B35" s="9" t="str">
        <x:v>ROOT_A</x:v>
      </x:c>
      <x:c r="C35" s="9" t="str">
        <x:v>A-J11</x:v>
      </x:c>
      <x:c r="D35" s="9" t="str">
        <x:v>copper bus joint</x:v>
      </x:c>
      <x:c r="E35" s="9" t="str">
        <x:v>rise, torque, fault impulse</x:v>
      </x:c>
      <x:c r="F35" s="9" t="str">
        <x:v>DEFINED</x:v>
      </x:c>
      <x:c r="G35" s="9" t="str">
        <x:f>IF(AND(C35&lt;&gt;"",D35&lt;&gt;"",F35="DEFINED"),"PASS","FAIL")</x:f>
        <x:v>PASS</x:v>
      </x:c>
      <x:c r="H35" s="9" t="n">
        <x:v>0</x:v>
      </x:c>
      <x:c r="I35" s="9" t="str">
        <x:v>OPEN</x:v>
      </x:c>
      <x:c r="J35" s="9"/>
      <x:c r="K35" s="9"/>
    </x:row>
    <x:row r="36">
      <x:c r="B36" s="9" t="str">
        <x:v>ROOT_A</x:v>
      </x:c>
      <x:c r="C36" s="9" t="str">
        <x:v>A-J12</x:v>
      </x:c>
      <x:c r="D36" s="9" t="str">
        <x:v>evidence attachment</x:v>
      </x:c>
      <x:c r="E36" s="9" t="str">
        <x:v>isolation, fire crossing</x:v>
      </x:c>
      <x:c r="F36" s="9" t="str">
        <x:v>DEFINED</x:v>
      </x:c>
      <x:c r="G36" s="9" t="str">
        <x:f>IF(AND(C36&lt;&gt;"",D36&lt;&gt;"",F36="DEFINED"),"PASS","FAIL")</x:f>
        <x:v>PASS</x:v>
      </x:c>
      <x:c r="H36" s="9" t="n">
        <x:v>0</x:v>
      </x:c>
      <x:c r="I36" s="9" t="str">
        <x:v>OPEN</x:v>
      </x:c>
      <x:c r="J36" s="9"/>
      <x:c r="K36" s="9"/>
    </x:row>
    <x:row r="37">
      <x:c r="B37" s="9" t="str">
        <x:v>ROOT_B</x:v>
      </x:c>
      <x:c r="C37" s="9" t="str">
        <x:v>B-J01</x:v>
      </x:c>
      <x:c r="D37" s="9" t="str">
        <x:v>lower-box seam</x:v>
      </x:c>
      <x:c r="E37" s="9" t="str">
        <x:v>compression, shearography, cut</x:v>
      </x:c>
      <x:c r="F37" s="9" t="str">
        <x:v>DEFINED</x:v>
      </x:c>
      <x:c r="G37" s="9" t="str">
        <x:f>IF(AND(C37&lt;&gt;"",D37&lt;&gt;"",F37="DEFINED"),"PASS","FAIL")</x:f>
        <x:v>PASS</x:v>
      </x:c>
      <x:c r="H37" s="9" t="n">
        <x:v>0</x:v>
      </x:c>
      <x:c r="I37" s="9" t="str">
        <x:v>OPEN</x:v>
      </x:c>
      <x:c r="J37" s="9"/>
      <x:c r="K37" s="9"/>
    </x:row>
    <x:row r="38">
      <x:c r="B38" s="9" t="str">
        <x:v>ROOT_B</x:v>
      </x:c>
      <x:c r="C38" s="9" t="str">
        <x:v>B-J02</x:v>
      </x:c>
      <x:c r="D38" s="9" t="str">
        <x:v>upper-box seam</x:v>
      </x:c>
      <x:c r="E38" s="9" t="str">
        <x:v>bend, hot/wet, repair</x:v>
      </x:c>
      <x:c r="F38" s="9" t="str">
        <x:v>DEFINED</x:v>
      </x:c>
      <x:c r="G38" s="9" t="str">
        <x:f>IF(AND(C38&lt;&gt;"",D38&lt;&gt;"",F38="DEFINED"),"PASS","FAIL")</x:f>
        <x:v>PASS</x:v>
      </x:c>
      <x:c r="H38" s="9" t="n">
        <x:v>0</x:v>
      </x:c>
      <x:c r="I38" s="9" t="str">
        <x:v>OPEN</x:v>
      </x:c>
      <x:c r="J38" s="9"/>
      <x:c r="K38" s="9"/>
    </x:row>
    <x:row r="39">
      <x:c r="B39" s="9" t="str">
        <x:v>ROOT_B</x:v>
      </x:c>
      <x:c r="C39" s="9" t="str">
        <x:v>B-J03</x:v>
      </x:c>
      <x:c r="D39" s="9" t="str">
        <x:v>diaphragm consolidation</x:v>
      </x:c>
      <x:c r="E39" s="9" t="str">
        <x:v>reaction, porosity, disbond</x:v>
      </x:c>
      <x:c r="F39" s="9" t="str">
        <x:v>DEFINED</x:v>
      </x:c>
      <x:c r="G39" s="9" t="str">
        <x:f>IF(AND(C39&lt;&gt;"",D39&lt;&gt;"",F39="DEFINED"),"PASS","FAIL")</x:f>
        <x:v>PASS</x:v>
      </x:c>
      <x:c r="H39" s="9" t="n">
        <x:v>0</x:v>
      </x:c>
      <x:c r="I39" s="9" t="str">
        <x:v>OPEN</x:v>
      </x:c>
      <x:c r="J39" s="9"/>
      <x:c r="K39" s="9"/>
    </x:row>
    <x:row r="40">
      <x:c r="B40" s="9" t="str">
        <x:v>ROOT_B</x:v>
      </x:c>
      <x:c r="C40" s="9" t="str">
        <x:v>B-J04</x:v>
      </x:c>
      <x:c r="D40" s="9" t="str">
        <x:v>shell-grid crossing</x:v>
      </x:c>
      <x:c r="E40" s="9" t="str">
        <x:v>multi-axial, impact</x:v>
      </x:c>
      <x:c r="F40" s="9" t="str">
        <x:v>DEFINED</x:v>
      </x:c>
      <x:c r="G40" s="9" t="str">
        <x:f>IF(AND(C40&lt;&gt;"",D40&lt;&gt;"",F40="DEFINED"),"PASS","FAIL")</x:f>
        <x:v>PASS</x:v>
      </x:c>
      <x:c r="H40" s="9" t="n">
        <x:v>0</x:v>
      </x:c>
      <x:c r="I40" s="9" t="str">
        <x:v>OPEN</x:v>
      </x:c>
      <x:c r="J40" s="9"/>
      <x:c r="K40" s="9"/>
    </x:row>
    <x:row r="41">
      <x:c r="B41" s="9" t="str">
        <x:v>ROOT_B</x:v>
      </x:c>
      <x:c r="C41" s="9" t="str">
        <x:v>B-J05</x:v>
      </x:c>
      <x:c r="D41" s="9" t="str">
        <x:v>metal node insert</x:v>
      </x:c>
      <x:c r="E41" s="9" t="str">
        <x:v>pullout, isolation, NDE</x:v>
      </x:c>
      <x:c r="F41" s="9" t="str">
        <x:v>DEFINED</x:v>
      </x:c>
      <x:c r="G41" s="9" t="str">
        <x:f>IF(AND(C41&lt;&gt;"",D41&lt;&gt;"",F41="DEFINED"),"PASS","FAIL")</x:f>
        <x:v>PASS</x:v>
      </x:c>
      <x:c r="H41" s="9" t="n">
        <x:v>0</x:v>
      </x:c>
      <x:c r="I41" s="9" t="str">
        <x:v>OPEN</x:v>
      </x:c>
      <x:c r="J41" s="9"/>
      <x:c r="K41" s="9"/>
    </x:row>
    <x:row r="42">
      <x:c r="B42" s="9" t="str">
        <x:v>ROOT_B</x:v>
      </x:c>
      <x:c r="C42" s="9" t="str">
        <x:v>B-J06</x:v>
      </x:c>
      <x:c r="D42" s="9" t="str">
        <x:v>anchor strut and tie</x:v>
      </x:c>
      <x:c r="E42" s="9" t="str">
        <x:v>preload, cyclic deployment</x:v>
      </x:c>
      <x:c r="F42" s="9" t="str">
        <x:v>DEFINED</x:v>
      </x:c>
      <x:c r="G42" s="9" t="str">
        <x:f>IF(AND(C42&lt;&gt;"",D42&lt;&gt;"",F42="DEFINED"),"PASS","FAIL")</x:f>
        <x:v>PASS</x:v>
      </x:c>
      <x:c r="H42" s="9" t="n">
        <x:v>0</x:v>
      </x:c>
      <x:c r="I42" s="9" t="str">
        <x:v>OPEN</x:v>
      </x:c>
      <x:c r="J42" s="9"/>
      <x:c r="K42" s="9"/>
    </x:row>
    <x:row r="43">
      <x:c r="B43" s="9" t="str">
        <x:v>ROOT_B</x:v>
      </x:c>
      <x:c r="C43" s="9" t="str">
        <x:v>B-J07</x:v>
      </x:c>
      <x:c r="D43" s="9" t="str">
        <x:v>anchor lock pin</x:v>
      </x:c>
      <x:c r="E43" s="9" t="str">
        <x:v>bearing, replaceability</x:v>
      </x:c>
      <x:c r="F43" s="9" t="str">
        <x:v>DEFINED</x:v>
      </x:c>
      <x:c r="G43" s="9" t="str">
        <x:f>IF(AND(C43&lt;&gt;"",D43&lt;&gt;"",F43="DEFINED"),"PASS","FAIL")</x:f>
        <x:v>PASS</x:v>
      </x:c>
      <x:c r="H43" s="9" t="n">
        <x:v>0</x:v>
      </x:c>
      <x:c r="I43" s="9" t="str">
        <x:v>OPEN</x:v>
      </x:c>
      <x:c r="J43" s="9"/>
      <x:c r="K43" s="9"/>
    </x:row>
    <x:row r="44">
      <x:c r="B44" s="9" t="str">
        <x:v>ROOT_B</x:v>
      </x:c>
      <x:c r="C44" s="9" t="str">
        <x:v>B-J08</x:v>
      </x:c>
      <x:c r="D44" s="9" t="str">
        <x:v>lift transfer node</x:v>
      </x:c>
      <x:c r="E44" s="9" t="str">
        <x:v>crawler imbalance</x:v>
      </x:c>
      <x:c r="F44" s="9" t="str">
        <x:v>DEFINED</x:v>
      </x:c>
      <x:c r="G44" s="9" t="str">
        <x:f>IF(AND(C44&lt;&gt;"",D44&lt;&gt;"",F44="DEFINED"),"PASS","FAIL")</x:f>
        <x:v>PASS</x:v>
      </x:c>
      <x:c r="H44" s="9" t="n">
        <x:v>0</x:v>
      </x:c>
      <x:c r="I44" s="9" t="str">
        <x:v>OPEN</x:v>
      </x:c>
      <x:c r="J44" s="9"/>
      <x:c r="K44" s="9"/>
    </x:row>
    <x:row r="45">
      <x:c r="B45" s="9" t="str">
        <x:v>ROOT_B</x:v>
      </x:c>
      <x:c r="C45" s="9" t="str">
        <x:v>B-J09</x:v>
      </x:c>
      <x:c r="D45" s="9" t="str">
        <x:v>composite pipe saddle</x:v>
      </x:c>
      <x:c r="E45" s="9" t="str">
        <x:v>liner, expansion</x:v>
      </x:c>
      <x:c r="F45" s="9" t="str">
        <x:v>DEFINED</x:v>
      </x:c>
      <x:c r="G45" s="9" t="str">
        <x:f>IF(AND(C45&lt;&gt;"",D45&lt;&gt;"",F45="DEFINED"),"PASS","FAIL")</x:f>
        <x:v>PASS</x:v>
      </x:c>
      <x:c r="H45" s="9" t="n">
        <x:v>0</x:v>
      </x:c>
      <x:c r="I45" s="9" t="str">
        <x:v>OPEN</x:v>
      </x:c>
      <x:c r="J45" s="9"/>
      <x:c r="K45" s="9"/>
    </x:row>
    <x:row r="46">
      <x:c r="B46" s="9" t="str">
        <x:v>ROOT_B</x:v>
      </x:c>
      <x:c r="C46" s="9" t="str">
        <x:v>B-J10</x:v>
      </x:c>
      <x:c r="D46" s="9" t="str">
        <x:v>bonded collar</x:v>
      </x:c>
      <x:c r="E46" s="9" t="str">
        <x:v>shear, peel, seal, teardown</x:v>
      </x:c>
      <x:c r="F46" s="9" t="str">
        <x:v>DEFINED</x:v>
      </x:c>
      <x:c r="G46" s="9" t="str">
        <x:f>IF(AND(C46&lt;&gt;"",D46&lt;&gt;"",F46="DEFINED"),"PASS","FAIL")</x:f>
        <x:v>PASS</x:v>
      </x:c>
      <x:c r="H46" s="9" t="n">
        <x:v>0</x:v>
      </x:c>
      <x:c r="I46" s="9" t="str">
        <x:v>OPEN</x:v>
      </x:c>
      <x:c r="J46" s="9"/>
      <x:c r="K46" s="9"/>
    </x:row>
    <x:row r="47">
      <x:c r="B47" s="9" t="str">
        <x:v>ROOT_B</x:v>
      </x:c>
      <x:c r="C47" s="9" t="str">
        <x:v>B-J11</x:v>
      </x:c>
      <x:c r="D47" s="9" t="str">
        <x:v>aluminum bus joint</x:v>
      </x:c>
      <x:c r="E47" s="9" t="str">
        <x:v>oxide, rise, fault</x:v>
      </x:c>
      <x:c r="F47" s="9" t="str">
        <x:v>DEFINED</x:v>
      </x:c>
      <x:c r="G47" s="9" t="str">
        <x:f>IF(AND(C47&lt;&gt;"",D47&lt;&gt;"",F47="DEFINED"),"PASS","FAIL")</x:f>
        <x:v>PASS</x:v>
      </x:c>
      <x:c r="H47" s="9" t="n">
        <x:v>0</x:v>
      </x:c>
      <x:c r="I47" s="9" t="str">
        <x:v>OPEN</x:v>
      </x:c>
      <x:c r="J47" s="9"/>
      <x:c r="K47" s="9"/>
    </x:row>
    <x:row r="48">
      <x:c r="B48" s="10" t="str">
        <x:v>ROOT_B</x:v>
      </x:c>
      <x:c r="C48" s="10" t="str">
        <x:v>B-J12</x:v>
      </x:c>
      <x:c r="D48" s="10" t="str">
        <x:v>evidence attachment</x:v>
      </x:c>
      <x:c r="E48" s="10" t="str">
        <x:v>dielectric isolation</x:v>
      </x:c>
      <x:c r="F48" s="10" t="str">
        <x:v>DEFINED</x:v>
      </x:c>
      <x:c r="G48" s="10" t="str">
        <x:f>IF(AND(C48&lt;&gt;"",D48&lt;&gt;"",F48="DEFINED"),"PASS","FAIL")</x:f>
        <x:v>PASS</x:v>
      </x:c>
      <x:c r="H48" s="10" t="n">
        <x:v>0</x:v>
      </x:c>
      <x:c r="I48" s="10" t="str">
        <x:v>OPEN</x:v>
      </x:c>
      <x:c r="J48" s="10"/>
      <x:c r="K48" s="10"/>
    </x:row>
  </x:sheetData>
  <x:mergeCells>
    <x:mergeCell ref="B2:K2"/>
    <x:mergeCell ref="B3:K3"/>
    <x:mergeCell ref="B23:K23"/>
  </x:mergeCells>
  <x:conditionalFormatting sqref="G7:J19">
    <x:cfRule type="containsText" dxfId="121" priority="1" operator="containsText" text="PASS"/>
    <x:cfRule type="containsText" dxfId="122" priority="2" operator="containsText" text="AUTHORIZED"/>
    <x:cfRule type="containsText" dxfId="123" priority="3" operator="containsText" text="DEFINED"/>
    <x:cfRule type="containsText" dxfId="124" priority="4" operator="containsText" text="READY"/>
    <x:cfRule type="containsText" dxfId="125" priority="5" operator="containsText" text="HOLD"/>
    <x:cfRule type="containsText" dxfId="126" priority="6" operator="containsText" text="OPEN"/>
    <x:cfRule type="containsText" dxfId="127" priority="7" operator="containsText" text="BLOCKED"/>
    <x:cfRule type="containsText" dxfId="128" priority="8" operator="containsText" text="PLANNING"/>
    <x:cfRule type="containsText" dxfId="129" priority="9" operator="containsText" text="FAIL"/>
    <x:cfRule type="containsText" dxfId="130" priority="10" operator="containsText" text="REJECT"/>
    <x:cfRule type="containsText" dxfId="131" priority="11" operator="containsText" text="INCOMPLETE"/>
  </x:conditionalFormatting>
  <x:conditionalFormatting sqref="G25:I48">
    <x:cfRule type="containsText" dxfId="132" priority="12" operator="containsText" text="PASS"/>
    <x:cfRule type="containsText" dxfId="133" priority="13" operator="containsText" text="AUTHORIZED"/>
    <x:cfRule type="containsText" dxfId="134" priority="14" operator="containsText" text="DEFINED"/>
    <x:cfRule type="containsText" dxfId="135" priority="15" operator="containsText" text="READY"/>
    <x:cfRule type="containsText" dxfId="136" priority="16" operator="containsText" text="HOLD"/>
    <x:cfRule type="containsText" dxfId="137" priority="17" operator="containsText" text="OPEN"/>
    <x:cfRule type="containsText" dxfId="138" priority="18" operator="containsText" text="BLOCKED"/>
    <x:cfRule type="containsText" dxfId="139" priority="19" operator="containsText" text="PLANNING"/>
    <x:cfRule type="containsText" dxfId="140" priority="20" operator="containsText" text="FAIL"/>
    <x:cfRule type="containsText" dxfId="141" priority="21" operator="containsText" text="REJECT"/>
    <x:cfRule type="containsText" dxfId="142" priority="22" operator="containsText" text="INCOMPLETE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5" hidden="0" customWidth="1"/>
    <x:col min="3" max="3" width="18" hidden="0" customWidth="1"/>
    <x:col min="4" max="4" width="32" hidden="0" customWidth="1"/>
    <x:col min="5" max="5" width="14" hidden="0" customWidth="1"/>
    <x:col min="6" max="6" width="14" hidden="0" customWidth="1"/>
    <x:col min="7" max="7" width="14" hidden="0" customWidth="1"/>
    <x:col min="8" max="8" width="20" hidden="0" customWidth="1"/>
    <x:col min="9" max="9" width="18" hidden="0" customWidth="1"/>
    <x:col min="10" max="10" width="16" hidden="0" customWidth="1"/>
    <x:col min="11" max="11" width="22" hidden="0" customWidth="1"/>
  </x:cols>
  <x:sheetData>
    <x:row r="2">
      <x:c r="B2" s="1" t="str">
        <x:v>Coupon, NDE and destructive-witness population</x:v>
      </x:c>
    </x:row>
    <x:row r="3">
      <x:c r="B3" s="2" t="str">
        <x:v>Evidence must share material, machine, operator, process and environment with the article operation.</x:v>
      </x:c>
    </x:row>
    <x:row r="4"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6">
      <x:c r="B6" s="7" t="str">
        <x:v>Root</x:v>
      </x:c>
      <x:c r="C6" s="7" t="str">
        <x:v>Evidence class</x:v>
      </x:c>
      <x:c r="D6" s="7" t="str">
        <x:v>Subtype</x:v>
      </x:c>
      <x:c r="E6" s="7" t="str">
        <x:v>Required</x:v>
      </x:c>
      <x:c r="F6" s="7" t="str">
        <x:v>Observed</x:v>
      </x:c>
      <x:c r="G6" s="7" t="str">
        <x:v>Gate</x:v>
      </x:c>
      <x:c r="H6" s="7" t="str">
        <x:v>Lot relation</x:v>
      </x:c>
      <x:c r="I6" s="7" t="str">
        <x:v>Custody</x:v>
      </x:c>
      <x:c r="J6" s="7" t="str">
        <x:v>State</x:v>
      </x:c>
      <x:c r="K6" s="7" t="str">
        <x:v>Disposition</x:v>
      </x:c>
    </x:row>
    <x:row r="7">
      <x:c r="B7" s="9" t="str">
        <x:v>ROOT_A</x:v>
      </x:c>
      <x:c r="C7" s="9" t="str">
        <x:v>COUPON</x:v>
      </x:c>
      <x:c r="D7" s="9" t="str">
        <x:v>weld tensile</x:v>
      </x:c>
      <x:c r="E7" s="9" t="n">
        <x:v>12</x:v>
      </x:c>
      <x:c r="F7" s="9" t="n">
        <x:v>0</x:v>
      </x:c>
      <x:c r="G7" s="9" t="str">
        <x:f>IF(F7=E7,"PASS","OPEN")</x:f>
        <x:v>OPEN</x:v>
      </x:c>
      <x:c r="H7" s="9" t="str">
        <x:v>article-equivalent</x:v>
      </x:c>
      <x:c r="I7" s="9" t="str">
        <x:v>SERIALIZED</x:v>
      </x:c>
      <x:c r="J7" s="9" t="str">
        <x:v>OPEN</x:v>
      </x:c>
      <x:c r="K7" s="9" t="str">
        <x:v>no physical credit</x:v>
      </x:c>
    </x:row>
    <x:row r="8">
      <x:c r="B8" s="9" t="str">
        <x:v>ROOT_A</x:v>
      </x:c>
      <x:c r="C8" s="9" t="str">
        <x:v>COUPON</x:v>
      </x:c>
      <x:c r="D8" s="9" t="str">
        <x:v>bend and macro</x:v>
      </x:c>
      <x:c r="E8" s="9" t="n">
        <x:v>12</x:v>
      </x:c>
      <x:c r="F8" s="9" t="n">
        <x:v>0</x:v>
      </x:c>
      <x:c r="G8" s="9" t="str">
        <x:f>IF(F8=E8,"PASS","OPEN")</x:f>
        <x:v>OPEN</x:v>
      </x:c>
      <x:c r="H8" s="9" t="str">
        <x:v>article-equivalent</x:v>
      </x:c>
      <x:c r="I8" s="9" t="str">
        <x:v>SERIALIZED</x:v>
      </x:c>
      <x:c r="J8" s="9" t="str">
        <x:v>OPEN</x:v>
      </x:c>
      <x:c r="K8" s="9" t="str">
        <x:v>no physical credit</x:v>
      </x:c>
    </x:row>
    <x:row r="9">
      <x:c r="B9" s="9" t="str">
        <x:v>ROOT_A</x:v>
      </x:c>
      <x:c r="C9" s="9" t="str">
        <x:v>COUPON</x:v>
      </x:c>
      <x:c r="D9" s="9" t="str">
        <x:v>HAZ hardness and toughness</x:v>
      </x:c>
      <x:c r="E9" s="9" t="n">
        <x:v>8</x:v>
      </x:c>
      <x:c r="F9" s="9" t="n">
        <x:v>0</x:v>
      </x:c>
      <x:c r="G9" s="9" t="str">
        <x:f>IF(F9=E9,"PASS","OPEN")</x:f>
        <x:v>OPEN</x:v>
      </x:c>
      <x:c r="H9" s="9" t="str">
        <x:v>article-equivalent</x:v>
      </x:c>
      <x:c r="I9" s="9" t="str">
        <x:v>SERIALIZED</x:v>
      </x:c>
      <x:c r="J9" s="9" t="str">
        <x:v>OPEN</x:v>
      </x:c>
      <x:c r="K9" s="9" t="str">
        <x:v>no physical credit</x:v>
      </x:c>
    </x:row>
    <x:row r="10">
      <x:c r="B10" s="9" t="str">
        <x:v>ROOT_A</x:v>
      </x:c>
      <x:c r="C10" s="9" t="str">
        <x:v>COUPON</x:v>
      </x:c>
      <x:c r="D10" s="9" t="str">
        <x:v>bolt preload</x:v>
      </x:c>
      <x:c r="E10" s="9" t="n">
        <x:v>8</x:v>
      </x:c>
      <x:c r="F10" s="9" t="n">
        <x:v>0</x:v>
      </x:c>
      <x:c r="G10" s="9" t="str">
        <x:f>IF(F10=E10,"PASS","OPEN")</x:f>
        <x:v>OPEN</x:v>
      </x:c>
      <x:c r="H10" s="9" t="str">
        <x:v>article-equivalent</x:v>
      </x:c>
      <x:c r="I10" s="9" t="str">
        <x:v>SERIALIZED</x:v>
      </x:c>
      <x:c r="J10" s="9" t="str">
        <x:v>OPEN</x:v>
      </x:c>
      <x:c r="K10" s="9" t="str">
        <x:v>no physical credit</x:v>
      </x:c>
    </x:row>
    <x:row r="11">
      <x:c r="B11" s="9" t="str">
        <x:v>ROOT_A</x:v>
      </x:c>
      <x:c r="C11" s="9" t="str">
        <x:v>COUPON</x:v>
      </x:c>
      <x:c r="D11" s="9" t="str">
        <x:v>coating and corrosion</x:v>
      </x:c>
      <x:c r="E11" s="9" t="n">
        <x:v>8</x:v>
      </x:c>
      <x:c r="F11" s="9" t="n">
        <x:v>0</x:v>
      </x:c>
      <x:c r="G11" s="9" t="str">
        <x:f>IF(F11=E11,"PASS","OPEN")</x:f>
        <x:v>OPEN</x:v>
      </x:c>
      <x:c r="H11" s="9" t="str">
        <x:v>article-equivalent</x:v>
      </x:c>
      <x:c r="I11" s="9" t="str">
        <x:v>SERIALIZED</x:v>
      </x:c>
      <x:c r="J11" s="9" t="str">
        <x:v>OPEN</x:v>
      </x:c>
      <x:c r="K11" s="9" t="str">
        <x:v>no physical credit</x:v>
      </x:c>
    </x:row>
    <x:row r="12">
      <x:c r="B12" s="9" t="str">
        <x:v>ROOT_B</x:v>
      </x:c>
      <x:c r="C12" s="9" t="str">
        <x:v>COUPON</x:v>
      </x:c>
      <x:c r="D12" s="9" t="str">
        <x:v>laminate tension/compression</x:v>
      </x:c>
      <x:c r="E12" s="9" t="n">
        <x:v>12</x:v>
      </x:c>
      <x:c r="F12" s="9" t="n">
        <x:v>0</x:v>
      </x:c>
      <x:c r="G12" s="9" t="str">
        <x:f>IF(F12=E12,"PASS","OPEN")</x:f>
        <x:v>OPEN</x:v>
      </x:c>
      <x:c r="H12" s="9" t="str">
        <x:v>article-equivalent</x:v>
      </x:c>
      <x:c r="I12" s="9" t="str">
        <x:v>SERIALIZED</x:v>
      </x:c>
      <x:c r="J12" s="9" t="str">
        <x:v>OPEN</x:v>
      </x:c>
      <x:c r="K12" s="9" t="str">
        <x:v>no physical credit</x:v>
      </x:c>
    </x:row>
    <x:row r="13">
      <x:c r="B13" s="9" t="str">
        <x:v>ROOT_B</x:v>
      </x:c>
      <x:c r="C13" s="9" t="str">
        <x:v>COUPON</x:v>
      </x:c>
      <x:c r="D13" s="9" t="str">
        <x:v>induction weld</x:v>
      </x:c>
      <x:c r="E13" s="9" t="n">
        <x:v>10</x:v>
      </x:c>
      <x:c r="F13" s="9" t="n">
        <x:v>0</x:v>
      </x:c>
      <x:c r="G13" s="9" t="str">
        <x:f>IF(F13=E13,"PASS","OPEN")</x:f>
        <x:v>OPEN</x:v>
      </x:c>
      <x:c r="H13" s="9" t="str">
        <x:v>article-equivalent</x:v>
      </x:c>
      <x:c r="I13" s="9" t="str">
        <x:v>SERIALIZED</x:v>
      </x:c>
      <x:c r="J13" s="9" t="str">
        <x:v>OPEN</x:v>
      </x:c>
      <x:c r="K13" s="9" t="str">
        <x:v>no physical credit</x:v>
      </x:c>
    </x:row>
    <x:row r="14">
      <x:c r="B14" s="9" t="str">
        <x:v>ROOT_B</x:v>
      </x:c>
      <x:c r="C14" s="9" t="str">
        <x:v>COUPON</x:v>
      </x:c>
      <x:c r="D14" s="9" t="str">
        <x:v>bondline</x:v>
      </x:c>
      <x:c r="E14" s="9" t="n">
        <x:v>8</x:v>
      </x:c>
      <x:c r="F14" s="9" t="n">
        <x:v>0</x:v>
      </x:c>
      <x:c r="G14" s="9" t="str">
        <x:f>IF(F14=E14,"PASS","OPEN")</x:f>
        <x:v>OPEN</x:v>
      </x:c>
      <x:c r="H14" s="9" t="str">
        <x:v>article-equivalent</x:v>
      </x:c>
      <x:c r="I14" s="9" t="str">
        <x:v>SERIALIZED</x:v>
      </x:c>
      <x:c r="J14" s="9" t="str">
        <x:v>OPEN</x:v>
      </x:c>
      <x:c r="K14" s="9" t="str">
        <x:v>no physical credit</x:v>
      </x:c>
    </x:row>
    <x:row r="15">
      <x:c r="B15" s="9" t="str">
        <x:v>ROOT_B</x:v>
      </x:c>
      <x:c r="C15" s="9" t="str">
        <x:v>COUPON</x:v>
      </x:c>
      <x:c r="D15" s="9" t="str">
        <x:v>insert pullout</x:v>
      </x:c>
      <x:c r="E15" s="9" t="n">
        <x:v>8</x:v>
      </x:c>
      <x:c r="F15" s="9" t="n">
        <x:v>0</x:v>
      </x:c>
      <x:c r="G15" s="9" t="str">
        <x:f>IF(F15=E15,"PASS","OPEN")</x:f>
        <x:v>OPEN</x:v>
      </x:c>
      <x:c r="H15" s="9" t="str">
        <x:v>article-equivalent</x:v>
      </x:c>
      <x:c r="I15" s="9" t="str">
        <x:v>SERIALIZED</x:v>
      </x:c>
      <x:c r="J15" s="9" t="str">
        <x:v>OPEN</x:v>
      </x:c>
      <x:c r="K15" s="9" t="str">
        <x:v>no physical credit</x:v>
      </x:c>
    </x:row>
    <x:row r="16">
      <x:c r="B16" s="9" t="str">
        <x:v>ROOT_B</x:v>
      </x:c>
      <x:c r="C16" s="9" t="str">
        <x:v>COUPON</x:v>
      </x:c>
      <x:c r="D16" s="9" t="str">
        <x:v>environment</x:v>
      </x:c>
      <x:c r="E16" s="9" t="n">
        <x:v>6</x:v>
      </x:c>
      <x:c r="F16" s="9" t="n">
        <x:v>0</x:v>
      </x:c>
      <x:c r="G16" s="9" t="str">
        <x:f>IF(F16=E16,"PASS","OPEN")</x:f>
        <x:v>OPEN</x:v>
      </x:c>
      <x:c r="H16" s="9" t="str">
        <x:v>article-equivalent</x:v>
      </x:c>
      <x:c r="I16" s="9" t="str">
        <x:v>SERIALIZED</x:v>
      </x:c>
      <x:c r="J16" s="9" t="str">
        <x:v>OPEN</x:v>
      </x:c>
      <x:c r="K16" s="9" t="str">
        <x:v>no physical credit</x:v>
      </x:c>
    </x:row>
    <x:row r="17">
      <x:c r="B17" s="9" t="str">
        <x:v>ROOT_B</x:v>
      </x:c>
      <x:c r="C17" s="9" t="str">
        <x:v>COUPON</x:v>
      </x:c>
      <x:c r="D17" s="9" t="str">
        <x:v>fire/electrolyte</x:v>
      </x:c>
      <x:c r="E17" s="9" t="n">
        <x:v>4</x:v>
      </x:c>
      <x:c r="F17" s="9" t="n">
        <x:v>0</x:v>
      </x:c>
      <x:c r="G17" s="9" t="str">
        <x:f>IF(F17=E17,"PASS","OPEN")</x:f>
        <x:v>OPEN</x:v>
      </x:c>
      <x:c r="H17" s="9" t="str">
        <x:v>article-equivalent</x:v>
      </x:c>
      <x:c r="I17" s="9" t="str">
        <x:v>SERIALIZED</x:v>
      </x:c>
      <x:c r="J17" s="9" t="str">
        <x:v>OPEN</x:v>
      </x:c>
      <x:c r="K17" s="9" t="str">
        <x:v>no physical credit</x:v>
      </x:c>
    </x:row>
    <x:row r="18">
      <x:c r="B18" s="9" t="str">
        <x:v>ROOT_A</x:v>
      </x:c>
      <x:c r="C18" s="9" t="str">
        <x:v>NDE</x:v>
      </x:c>
      <x:c r="D18" s="9" t="str">
        <x:v>controlled lots</x:v>
      </x:c>
      <x:c r="E18" s="9" t="n">
        <x:v>32</x:v>
      </x:c>
      <x:c r="F18" s="9" t="n">
        <x:v>0</x:v>
      </x:c>
      <x:c r="G18" s="9" t="str">
        <x:f>IF(F18=E18,"PASS","OPEN")</x:f>
        <x:v>OPEN</x:v>
      </x:c>
      <x:c r="H18" s="9" t="str">
        <x:v>article-equivalent</x:v>
      </x:c>
      <x:c r="I18" s="9" t="str">
        <x:v>SERIALIZED</x:v>
      </x:c>
      <x:c r="J18" s="9" t="str">
        <x:v>OPEN</x:v>
      </x:c>
      <x:c r="K18" s="9" t="str">
        <x:v>no physical credit</x:v>
      </x:c>
    </x:row>
    <x:row r="19">
      <x:c r="B19" s="9" t="str">
        <x:v>ROOT_B</x:v>
      </x:c>
      <x:c r="C19" s="9" t="str">
        <x:v>NDE</x:v>
      </x:c>
      <x:c r="D19" s="9" t="str">
        <x:v>controlled lots</x:v>
      </x:c>
      <x:c r="E19" s="9" t="n">
        <x:v>32</x:v>
      </x:c>
      <x:c r="F19" s="9" t="n">
        <x:v>0</x:v>
      </x:c>
      <x:c r="G19" s="9" t="str">
        <x:f>IF(F19=E19,"PASS","OPEN")</x:f>
        <x:v>OPEN</x:v>
      </x:c>
      <x:c r="H19" s="9" t="str">
        <x:v>article-equivalent</x:v>
      </x:c>
      <x:c r="I19" s="9" t="str">
        <x:v>SERIALIZED</x:v>
      </x:c>
      <x:c r="J19" s="9" t="str">
        <x:v>OPEN</x:v>
      </x:c>
      <x:c r="K19" s="9" t="str">
        <x:v>no physical credit</x:v>
      </x:c>
    </x:row>
    <x:row r="20">
      <x:c r="B20" s="9" t="str">
        <x:v>ROOT_A</x:v>
      </x:c>
      <x:c r="C20" s="9" t="str">
        <x:v>DESTRUCTIVE</x:v>
      </x:c>
      <x:c r="D20" s="9" t="str">
        <x:v>frozen witnesses</x:v>
      </x:c>
      <x:c r="E20" s="9" t="n">
        <x:v>12</x:v>
      </x:c>
      <x:c r="F20" s="9" t="n">
        <x:v>0</x:v>
      </x:c>
      <x:c r="G20" s="9" t="str">
        <x:f>IF(F20=E20,"PASS","OPEN")</x:f>
        <x:v>OPEN</x:v>
      </x:c>
      <x:c r="H20" s="9" t="str">
        <x:v>article-equivalent</x:v>
      </x:c>
      <x:c r="I20" s="9" t="str">
        <x:v>SERIALIZED</x:v>
      </x:c>
      <x:c r="J20" s="9" t="str">
        <x:v>OPEN</x:v>
      </x:c>
      <x:c r="K20" s="9" t="str">
        <x:v>no physical credit</x:v>
      </x:c>
    </x:row>
    <x:row r="21">
      <x:c r="B21" s="9" t="str">
        <x:v>ROOT_B</x:v>
      </x:c>
      <x:c r="C21" s="9" t="str">
        <x:v>DESTRUCTIVE</x:v>
      </x:c>
      <x:c r="D21" s="9" t="str">
        <x:v>frozen witnesses</x:v>
      </x:c>
      <x:c r="E21" s="9" t="n">
        <x:v>12</x:v>
      </x:c>
      <x:c r="F21" s="9" t="n">
        <x:v>0</x:v>
      </x:c>
      <x:c r="G21" s="9" t="str">
        <x:f>IF(F21=E21,"PASS","OPEN")</x:f>
        <x:v>OPEN</x:v>
      </x:c>
      <x:c r="H21" s="9" t="str">
        <x:v>article-equivalent</x:v>
      </x:c>
      <x:c r="I21" s="9" t="str">
        <x:v>SERIALIZED</x:v>
      </x:c>
      <x:c r="J21" s="9" t="str">
        <x:v>OPEN</x:v>
      </x:c>
      <x:c r="K21" s="9" t="str">
        <x:v>no physical credit</x:v>
      </x:c>
    </x:row>
    <x:row r="22">
      <x:c r="B22" s="9"/>
      <x:c r="C22" s="9"/>
      <x:c r="D22" s="9"/>
      <x:c r="E22" s="9"/>
      <x:c r="F22" s="9"/>
      <x:c r="G22" s="9"/>
      <x:c r="H22" s="9"/>
      <x:c r="I22" s="9"/>
      <x:c r="J22" s="9"/>
      <x:c r="K22" s="9"/>
    </x:row>
    <x:row r="23">
      <x:c r="B23" s="9"/>
      <x:c r="C23" s="9"/>
      <x:c r="D23" s="9"/>
      <x:c r="E23" s="9"/>
      <x:c r="F23" s="9"/>
      <x:c r="G23" s="9"/>
      <x:c r="H23" s="9"/>
      <x:c r="I23" s="9"/>
      <x:c r="J23" s="9"/>
      <x:c r="K23" s="9"/>
    </x:row>
    <x:row r="24">
      <x:c r="B24" s="9"/>
      <x:c r="C24" s="9"/>
      <x:c r="D24" s="9"/>
      <x:c r="E24" s="9"/>
      <x:c r="F24" s="9"/>
      <x:c r="G24" s="9"/>
      <x:c r="H24" s="9"/>
      <x:c r="I24" s="9"/>
      <x:c r="J24" s="9"/>
      <x:c r="K24" s="9"/>
    </x:row>
    <x:row r="25">
      <x:c r="B25" s="15" t="str">
        <x:v>Population reconciliation</x:v>
      </x:c>
      <x:c r="C25" s="15" t="str">
        <x:v>Population reconciliation</x:v>
      </x:c>
      <x:c r="D25" s="15" t="str">
        <x:v>Population reconciliation</x:v>
      </x:c>
      <x:c r="E25" s="15" t="str">
        <x:v>Population reconciliation</x:v>
      </x:c>
      <x:c r="F25" s="15" t="str">
        <x:v>Population reconciliation</x:v>
      </x:c>
      <x:c r="G25" s="15" t="str">
        <x:v>Population reconciliation</x:v>
      </x:c>
      <x:c r="H25" s="15" t="str">
        <x:v>Population reconciliation</x:v>
      </x:c>
      <x:c r="I25" s="15" t="str">
        <x:v>Population reconciliation</x:v>
      </x:c>
      <x:c r="J25" s="15" t="str">
        <x:v>Population reconciliation</x:v>
      </x:c>
      <x:c r="K25" s="15" t="str">
        <x:v>Population reconciliation</x:v>
      </x:c>
    </x:row>
    <x:row r="26">
      <x:c r="B26" s="7" t="str">
        <x:v>Class</x:v>
      </x:c>
      <x:c r="C26" s="7" t="str">
        <x:v>Required total</x:v>
      </x:c>
      <x:c r="D26" s="7" t="str">
        <x:v>Declared control</x:v>
      </x:c>
      <x:c r="E26" s="7" t="str">
        <x:v>Observed</x:v>
      </x:c>
      <x:c r="F26" s="7" t="str">
        <x:v>Gate</x:v>
      </x:c>
      <x:c r="G26" s="9"/>
      <x:c r="H26" s="9"/>
      <x:c r="I26" s="9"/>
      <x:c r="J26" s="9"/>
      <x:c r="K26" s="9"/>
    </x:row>
    <x:row r="27">
      <x:c r="B27" s="9" t="str">
        <x:v>COUPON</x:v>
      </x:c>
      <x:c r="C27" s="9" t="n">
        <x:f>SUMIFS(E7:E21,C7:C21,B27)</x:f>
        <x:v>96</x:v>
      </x:c>
      <x:c r="D27" s="9" t="n">
        <x:f>'Controls'!$D$65</x:f>
        <x:v>96</x:v>
      </x:c>
      <x:c r="E27" s="9" t="n">
        <x:f>SUMIFS(F7:F21,C7:C21,B27)</x:f>
        <x:v>0</x:v>
      </x:c>
      <x:c r="F27" s="9" t="str">
        <x:f>IF(C27=D27,"PASS","FAIL")</x:f>
        <x:v>PASS</x:v>
      </x:c>
      <x:c r="G27" s="9"/>
      <x:c r="H27" s="9"/>
      <x:c r="I27" s="9"/>
      <x:c r="J27" s="9"/>
      <x:c r="K27" s="9"/>
    </x:row>
    <x:row r="28">
      <x:c r="B28" s="9" t="str">
        <x:v>NDE</x:v>
      </x:c>
      <x:c r="C28" s="9" t="n">
        <x:f>SUMIFS(E7:E21,C7:C21,B28)</x:f>
        <x:v>64</x:v>
      </x:c>
      <x:c r="D28" s="9" t="n">
        <x:f>'Controls'!$D$66</x:f>
        <x:v>64</x:v>
      </x:c>
      <x:c r="E28" s="9" t="n">
        <x:f>SUMIFS(F7:F21,C7:C21,B28)</x:f>
        <x:v>0</x:v>
      </x:c>
      <x:c r="F28" s="9" t="str">
        <x:f>IF(C28=D28,"PASS","FAIL")</x:f>
        <x:v>PASS</x:v>
      </x:c>
      <x:c r="G28" s="9"/>
      <x:c r="H28" s="9"/>
      <x:c r="I28" s="9"/>
      <x:c r="J28" s="9"/>
      <x:c r="K28" s="9"/>
    </x:row>
    <x:row r="29">
      <x:c r="B29" s="10" t="str">
        <x:v>DESTRUCTIVE</x:v>
      </x:c>
      <x:c r="C29" s="10" t="n">
        <x:f>SUMIFS(E7:E21,C7:C21,B29)</x:f>
        <x:v>24</x:v>
      </x:c>
      <x:c r="D29" s="10" t="n">
        <x:f>'Controls'!$D$67</x:f>
        <x:v>24</x:v>
      </x:c>
      <x:c r="E29" s="10" t="n">
        <x:f>SUMIFS(F7:F21,C7:C21,B29)</x:f>
        <x:v>0</x:v>
      </x:c>
      <x:c r="F29" s="10" t="str">
        <x:f>IF(C29=D29,"PASS","FAIL")</x:f>
        <x:v>PASS</x:v>
      </x:c>
      <x:c r="G29" s="10"/>
      <x:c r="H29" s="10"/>
      <x:c r="I29" s="10"/>
      <x:c r="J29" s="10"/>
      <x:c r="K29" s="10"/>
    </x:row>
  </x:sheetData>
  <x:mergeCells>
    <x:mergeCell ref="B2:K2"/>
    <x:mergeCell ref="B3:K3"/>
    <x:mergeCell ref="B25:K25"/>
  </x:mergeCells>
  <x:conditionalFormatting sqref="G7:J21">
    <x:cfRule type="containsText" dxfId="143" priority="1" operator="containsText" text="PASS"/>
    <x:cfRule type="containsText" dxfId="144" priority="2" operator="containsText" text="AUTHORIZED"/>
    <x:cfRule type="containsText" dxfId="145" priority="3" operator="containsText" text="DEFINED"/>
    <x:cfRule type="containsText" dxfId="146" priority="4" operator="containsText" text="READY"/>
    <x:cfRule type="containsText" dxfId="147" priority="5" operator="containsText" text="HOLD"/>
    <x:cfRule type="containsText" dxfId="148" priority="6" operator="containsText" text="OPEN"/>
    <x:cfRule type="containsText" dxfId="149" priority="7" operator="containsText" text="BLOCKED"/>
    <x:cfRule type="containsText" dxfId="150" priority="8" operator="containsText" text="PLANNING"/>
    <x:cfRule type="containsText" dxfId="151" priority="9" operator="containsText" text="FAIL"/>
    <x:cfRule type="containsText" dxfId="152" priority="10" operator="containsText" text="REJECT"/>
    <x:cfRule type="containsText" dxfId="153" priority="11" operator="containsText" text="INCOMPLETE"/>
  </x:conditionalFormatting>
  <x:conditionalFormatting sqref="F27:F29">
    <x:cfRule type="containsText" dxfId="154" priority="12" operator="containsText" text="PASS"/>
    <x:cfRule type="containsText" dxfId="155" priority="13" operator="containsText" text="AUTHORIZED"/>
    <x:cfRule type="containsText" dxfId="156" priority="14" operator="containsText" text="DEFINED"/>
    <x:cfRule type="containsText" dxfId="157" priority="15" operator="containsText" text="READY"/>
    <x:cfRule type="containsText" dxfId="158" priority="16" operator="containsText" text="HOLD"/>
    <x:cfRule type="containsText" dxfId="159" priority="17" operator="containsText" text="OPEN"/>
    <x:cfRule type="containsText" dxfId="160" priority="18" operator="containsText" text="BLOCKED"/>
    <x:cfRule type="containsText" dxfId="161" priority="19" operator="containsText" text="PLANNING"/>
    <x:cfRule type="containsText" dxfId="162" priority="20" operator="containsText" text="FAIL"/>
    <x:cfRule type="containsText" dxfId="163" priority="21" operator="containsText" text="REJECT"/>
    <x:cfRule type="containsText" dxfId="164" priority="22" operator="containsText" text="INCOMPLETE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5" hidden="0" customWidth="1"/>
    <x:col min="3" max="3" width="34" hidden="0" customWidth="1"/>
    <x:col min="4" max="4" width="14" hidden="0" customWidth="1"/>
    <x:col min="5" max="5" width="14" hidden="0" customWidth="1"/>
    <x:col min="6" max="6" width="28" hidden="0" customWidth="1"/>
    <x:col min="7" max="7" width="22" hidden="0" customWidth="1"/>
    <x:col min="8" max="8" width="22" hidden="0" customWidth="1"/>
    <x:col min="9" max="9" width="15" hidden="0" customWidth="1"/>
    <x:col min="10" max="10" width="30" hidden="0" customWidth="1"/>
  </x:cols>
  <x:sheetData>
    <x:row r="2">
      <x:c r="B2" s="1" t="str">
        <x:v>As-built characteristics and witness ownership</x:v>
      </x:c>
    </x:row>
    <x:row r="3">
      <x:c r="B3" s="2" t="str">
        <x:v>Rounded conformance is not an original; identity, calibration, uncertainty, raw result and public-datum transform must persist.</x:v>
      </x:c>
    </x:row>
    <x:row r="4">
      <x:c r="B4" s="3"/>
      <x:c r="C4" s="3"/>
      <x:c r="D4" s="3"/>
      <x:c r="E4" s="3"/>
      <x:c r="F4" s="3"/>
      <x:c r="G4" s="3"/>
      <x:c r="H4" s="3"/>
      <x:c r="I4" s="3"/>
      <x:c r="J4" s="3"/>
    </x:row>
    <x:row r="6">
      <x:c r="B6" s="7" t="str">
        <x:v>Root</x:v>
      </x:c>
      <x:c r="C6" s="7" t="str">
        <x:v>Characteristic class</x:v>
      </x:c>
      <x:c r="D6" s="7" t="str">
        <x:v>Required</x:v>
      </x:c>
      <x:c r="E6" s="7" t="str">
        <x:v>Observed</x:v>
      </x:c>
      <x:c r="F6" s="7" t="str">
        <x:v>Method</x:v>
      </x:c>
      <x:c r="G6" s="7" t="str">
        <x:v>Uncertainty required</x:v>
      </x:c>
      <x:c r="H6" s="7" t="str">
        <x:v>Owner</x:v>
      </x:c>
      <x:c r="I6" s="7" t="str">
        <x:v>Gate</x:v>
      </x:c>
      <x:c r="J6" s="7" t="str">
        <x:v>State</x:v>
      </x:c>
    </x:row>
    <x:row r="7">
      <x:c r="B7" s="9" t="str">
        <x:v>ROOT_A</x:v>
      </x:c>
      <x:c r="C7" s="9" t="str">
        <x:v>chord section and station</x:v>
      </x:c>
      <x:c r="D7" s="9" t="n">
        <x:v>8</x:v>
      </x:c>
      <x:c r="E7" s="9" t="n">
        <x:v>0</x:v>
      </x:c>
      <x:c r="F7" s="9" t="str">
        <x:v>survey / ultrasonic</x:v>
      </x:c>
      <x:c r="G7" s="9" t="str">
        <x:v>method-specific</x:v>
      </x:c>
      <x:c r="H7" s="9" t="str">
        <x:v>PUBLIC METROLOGY</x:v>
      </x:c>
      <x:c r="I7" s="9" t="str">
        <x:v>OPEN</x:v>
      </x:c>
      <x:c r="J7" s="9" t="str">
        <x:v>source observation required</x:v>
      </x:c>
    </x:row>
    <x:row r="8">
      <x:c r="B8" s="9" t="str">
        <x:v>ROOT_A</x:v>
      </x:c>
      <x:c r="C8" s="9" t="str">
        <x:v>support geometry</x:v>
      </x:c>
      <x:c r="D8" s="9" t="n">
        <x:v>8</x:v>
      </x:c>
      <x:c r="E8" s="9" t="n">
        <x:v>0</x:v>
      </x:c>
      <x:c r="F8" s="9" t="str">
        <x:v>laser / force alignment</x:v>
      </x:c>
      <x:c r="G8" s="9" t="str">
        <x:v>method-specific</x:v>
      </x:c>
      <x:c r="H8" s="9" t="str">
        <x:v>PUBLIC METROLOGY</x:v>
      </x:c>
      <x:c r="I8" s="9" t="str">
        <x:v>OPEN</x:v>
      </x:c>
      <x:c r="J8" s="9" t="str">
        <x:v>source observation required</x:v>
      </x:c>
    </x:row>
    <x:row r="9">
      <x:c r="B9" s="9" t="str">
        <x:v>ROOT_A</x:v>
      </x:c>
      <x:c r="C9" s="9" t="str">
        <x:v>anchor geometry</x:v>
      </x:c>
      <x:c r="D9" s="9" t="n">
        <x:v>6</x:v>
      </x:c>
      <x:c r="E9" s="9" t="n">
        <x:v>0</x:v>
      </x:c>
      <x:c r="F9" s="9" t="str">
        <x:v>survey / pin gauge</x:v>
      </x:c>
      <x:c r="G9" s="9" t="str">
        <x:v>method-specific</x:v>
      </x:c>
      <x:c r="H9" s="9" t="str">
        <x:v>PUBLIC METROLOGY</x:v>
      </x:c>
      <x:c r="I9" s="9" t="str">
        <x:v>OPEN</x:v>
      </x:c>
      <x:c r="J9" s="9" t="str">
        <x:v>source observation required</x:v>
      </x:c>
    </x:row>
    <x:row r="10">
      <x:c r="B10" s="9" t="str">
        <x:v>ROOT_A</x:v>
      </x:c>
      <x:c r="C10" s="9" t="str">
        <x:v>lift nodes</x:v>
      </x:c>
      <x:c r="D10" s="9" t="n">
        <x:v>6</x:v>
      </x:c>
      <x:c r="E10" s="9" t="n">
        <x:v>0</x:v>
      </x:c>
      <x:c r="F10" s="9" t="str">
        <x:v>survey / bore gauge</x:v>
      </x:c>
      <x:c r="G10" s="9" t="str">
        <x:v>method-specific</x:v>
      </x:c>
      <x:c r="H10" s="9" t="str">
        <x:v>PUBLIC METROLOGY</x:v>
      </x:c>
      <x:c r="I10" s="9" t="str">
        <x:v>OPEN</x:v>
      </x:c>
      <x:c r="J10" s="9" t="str">
        <x:v>source observation required</x:v>
      </x:c>
    </x:row>
    <x:row r="11">
      <x:c r="B11" s="9" t="str">
        <x:v>ROOT_A</x:v>
      </x:c>
      <x:c r="C11" s="9" t="str">
        <x:v>pipe and collar</x:v>
      </x:c>
      <x:c r="D11" s="9" t="n">
        <x:v>8</x:v>
      </x:c>
      <x:c r="E11" s="9" t="n">
        <x:v>0</x:v>
      </x:c>
      <x:c r="F11" s="9" t="str">
        <x:v>CMM / UT / profile</x:v>
      </x:c>
      <x:c r="G11" s="9" t="str">
        <x:v>method-specific</x:v>
      </x:c>
      <x:c r="H11" s="9" t="str">
        <x:v>PUBLIC METROLOGY</x:v>
      </x:c>
      <x:c r="I11" s="9" t="str">
        <x:v>OPEN</x:v>
      </x:c>
      <x:c r="J11" s="9" t="str">
        <x:v>source observation required</x:v>
      </x:c>
    </x:row>
    <x:row r="12">
      <x:c r="B12" s="9" t="str">
        <x:v>ROOT_A</x:v>
      </x:c>
      <x:c r="C12" s="9" t="str">
        <x:v>seal and valve</x:v>
      </x:c>
      <x:c r="D12" s="9" t="n">
        <x:v>6</x:v>
      </x:c>
      <x:c r="E12" s="9" t="n">
        <x:v>0</x:v>
      </x:c>
      <x:c r="F12" s="9" t="str">
        <x:v>profile / cavity scan</x:v>
      </x:c>
      <x:c r="G12" s="9" t="str">
        <x:v>method-specific</x:v>
      </x:c>
      <x:c r="H12" s="9" t="str">
        <x:v>PUBLIC METROLOGY</x:v>
      </x:c>
      <x:c r="I12" s="9" t="str">
        <x:v>OPEN</x:v>
      </x:c>
      <x:c r="J12" s="9" t="str">
        <x:v>source observation required</x:v>
      </x:c>
    </x:row>
    <x:row r="13">
      <x:c r="B13" s="9" t="str">
        <x:v>ROOT_A</x:v>
      </x:c>
      <x:c r="C13" s="9" t="str">
        <x:v>conductor and ground</x:v>
      </x:c>
      <x:c r="D13" s="9" t="n">
        <x:v>6</x:v>
      </x:c>
      <x:c r="E13" s="9" t="n">
        <x:v>0</x:v>
      </x:c>
      <x:c r="F13" s="9" t="str">
        <x:v>section / resistance</x:v>
      </x:c>
      <x:c r="G13" s="9" t="str">
        <x:v>method-specific</x:v>
      </x:c>
      <x:c r="H13" s="9" t="str">
        <x:v>PUBLIC METROLOGY</x:v>
      </x:c>
      <x:c r="I13" s="9" t="str">
        <x:v>OPEN</x:v>
      </x:c>
      <x:c r="J13" s="9" t="str">
        <x:v>source observation required</x:v>
      </x:c>
    </x:row>
    <x:row r="14">
      <x:c r="B14" s="9" t="str">
        <x:v>ROOT_A</x:v>
      </x:c>
      <x:c r="C14" s="9" t="str">
        <x:v>fuel-storage restraint</x:v>
      </x:c>
      <x:c r="D14" s="9" t="n">
        <x:v>4</x:v>
      </x:c>
      <x:c r="E14" s="9" t="n">
        <x:v>0</x:v>
      </x:c>
      <x:c r="F14" s="9" t="str">
        <x:v>mass / survey</x:v>
      </x:c>
      <x:c r="G14" s="9" t="str">
        <x:v>method-specific</x:v>
      </x:c>
      <x:c r="H14" s="9" t="str">
        <x:v>PUBLIC METROLOGY</x:v>
      </x:c>
      <x:c r="I14" s="9" t="str">
        <x:v>OPEN</x:v>
      </x:c>
      <x:c r="J14" s="9" t="str">
        <x:v>source observation required</x:v>
      </x:c>
    </x:row>
    <x:row r="15">
      <x:c r="B15" s="9" t="str">
        <x:v>ROOT_A</x:v>
      </x:c>
      <x:c r="C15" s="9" t="str">
        <x:v>thermal deployment</x:v>
      </x:c>
      <x:c r="D15" s="9" t="n">
        <x:v>4</x:v>
      </x:c>
      <x:c r="E15" s="9" t="n">
        <x:v>0</x:v>
      </x:c>
      <x:c r="F15" s="9" t="str">
        <x:v>survey / thermal</x:v>
      </x:c>
      <x:c r="G15" s="9" t="str">
        <x:v>method-specific</x:v>
      </x:c>
      <x:c r="H15" s="9" t="str">
        <x:v>PUBLIC METROLOGY</x:v>
      </x:c>
      <x:c r="I15" s="9" t="str">
        <x:v>OPEN</x:v>
      </x:c>
      <x:c r="J15" s="9" t="str">
        <x:v>source observation required</x:v>
      </x:c>
    </x:row>
    <x:row r="16">
      <x:c r="B16" s="9" t="str">
        <x:v>ROOT_A</x:v>
      </x:c>
      <x:c r="C16" s="9" t="str">
        <x:v>evidence separation</x:v>
      </x:c>
      <x:c r="D16" s="9" t="n">
        <x:v>4</x:v>
      </x:c>
      <x:c r="E16" s="9" t="n">
        <x:v>0</x:v>
      </x:c>
      <x:c r="F16" s="9" t="str">
        <x:v>survey / channel trace</x:v>
      </x:c>
      <x:c r="G16" s="9" t="str">
        <x:v>method-specific</x:v>
      </x:c>
      <x:c r="H16" s="9" t="str">
        <x:v>PUBLIC METROLOGY</x:v>
      </x:c>
      <x:c r="I16" s="9" t="str">
        <x:v>OPEN</x:v>
      </x:c>
      <x:c r="J16" s="9" t="str">
        <x:v>source observation required</x:v>
      </x:c>
    </x:row>
    <x:row r="17">
      <x:c r="B17" s="9" t="str">
        <x:v>ROOT_A</x:v>
      </x:c>
      <x:c r="C17" s="9" t="str">
        <x:v>access and rescue</x:v>
      </x:c>
      <x:c r="D17" s="9" t="n">
        <x:v>2</x:v>
      </x:c>
      <x:c r="E17" s="9" t="n">
        <x:v>0</x:v>
      </x:c>
      <x:c r="F17" s="9" t="str">
        <x:v>survey / task trial</x:v>
      </x:c>
      <x:c r="G17" s="9" t="str">
        <x:v>method-specific</x:v>
      </x:c>
      <x:c r="H17" s="9" t="str">
        <x:v>PUBLIC METROLOGY</x:v>
      </x:c>
      <x:c r="I17" s="9" t="str">
        <x:v>OPEN</x:v>
      </x:c>
      <x:c r="J17" s="9" t="str">
        <x:v>source observation required</x:v>
      </x:c>
    </x:row>
    <x:row r="18">
      <x:c r="B18" s="9" t="str">
        <x:v>ROOT_A</x:v>
      </x:c>
      <x:c r="C18" s="9" t="str">
        <x:v>mass and CG</x:v>
      </x:c>
      <x:c r="D18" s="9" t="n">
        <x:v>2</x:v>
      </x:c>
      <x:c r="E18" s="9" t="n">
        <x:v>0</x:v>
      </x:c>
      <x:c r="F18" s="9" t="str">
        <x:v>independent weighing</x:v>
      </x:c>
      <x:c r="G18" s="9" t="str">
        <x:v>method-specific</x:v>
      </x:c>
      <x:c r="H18" s="9" t="str">
        <x:v>PUBLIC METROLOGY</x:v>
      </x:c>
      <x:c r="I18" s="9" t="str">
        <x:v>OPEN</x:v>
      </x:c>
      <x:c r="J18" s="9" t="str">
        <x:v>source observation required</x:v>
      </x:c>
    </x:row>
    <x:row r="19">
      <x:c r="B19" s="9" t="str">
        <x:v>ROOT_B</x:v>
      </x:c>
      <x:c r="C19" s="9" t="str">
        <x:v>chord section and station</x:v>
      </x:c>
      <x:c r="D19" s="9" t="n">
        <x:v>8</x:v>
      </x:c>
      <x:c r="E19" s="9" t="n">
        <x:v>0</x:v>
      </x:c>
      <x:c r="F19" s="9" t="str">
        <x:v>survey / ultrasonic</x:v>
      </x:c>
      <x:c r="G19" s="9" t="str">
        <x:v>method-specific</x:v>
      </x:c>
      <x:c r="H19" s="9" t="str">
        <x:v>PUBLIC METROLOGY</x:v>
      </x:c>
      <x:c r="I19" s="9" t="str">
        <x:v>OPEN</x:v>
      </x:c>
      <x:c r="J19" s="9" t="str">
        <x:v>source observation required</x:v>
      </x:c>
    </x:row>
    <x:row r="20">
      <x:c r="B20" s="9" t="str">
        <x:v>ROOT_B</x:v>
      </x:c>
      <x:c r="C20" s="9" t="str">
        <x:v>support geometry</x:v>
      </x:c>
      <x:c r="D20" s="9" t="n">
        <x:v>8</x:v>
      </x:c>
      <x:c r="E20" s="9" t="n">
        <x:v>0</x:v>
      </x:c>
      <x:c r="F20" s="9" t="str">
        <x:v>laser / force alignment</x:v>
      </x:c>
      <x:c r="G20" s="9" t="str">
        <x:v>method-specific</x:v>
      </x:c>
      <x:c r="H20" s="9" t="str">
        <x:v>PUBLIC METROLOGY</x:v>
      </x:c>
      <x:c r="I20" s="9" t="str">
        <x:v>OPEN</x:v>
      </x:c>
      <x:c r="J20" s="9" t="str">
        <x:v>source observation required</x:v>
      </x:c>
    </x:row>
    <x:row r="21">
      <x:c r="B21" s="9" t="str">
        <x:v>ROOT_B</x:v>
      </x:c>
      <x:c r="C21" s="9" t="str">
        <x:v>anchor geometry</x:v>
      </x:c>
      <x:c r="D21" s="9" t="n">
        <x:v>6</x:v>
      </x:c>
      <x:c r="E21" s="9" t="n">
        <x:v>0</x:v>
      </x:c>
      <x:c r="F21" s="9" t="str">
        <x:v>survey / pin gauge</x:v>
      </x:c>
      <x:c r="G21" s="9" t="str">
        <x:v>method-specific</x:v>
      </x:c>
      <x:c r="H21" s="9" t="str">
        <x:v>PUBLIC METROLOGY</x:v>
      </x:c>
      <x:c r="I21" s="9" t="str">
        <x:v>OPEN</x:v>
      </x:c>
      <x:c r="J21" s="9" t="str">
        <x:v>source observation required</x:v>
      </x:c>
    </x:row>
    <x:row r="22">
      <x:c r="B22" s="9" t="str">
        <x:v>ROOT_B</x:v>
      </x:c>
      <x:c r="C22" s="9" t="str">
        <x:v>lift nodes</x:v>
      </x:c>
      <x:c r="D22" s="9" t="n">
        <x:v>6</x:v>
      </x:c>
      <x:c r="E22" s="9" t="n">
        <x:v>0</x:v>
      </x:c>
      <x:c r="F22" s="9" t="str">
        <x:v>survey / bore gauge</x:v>
      </x:c>
      <x:c r="G22" s="9" t="str">
        <x:v>method-specific</x:v>
      </x:c>
      <x:c r="H22" s="9" t="str">
        <x:v>PUBLIC METROLOGY</x:v>
      </x:c>
      <x:c r="I22" s="9" t="str">
        <x:v>OPEN</x:v>
      </x:c>
      <x:c r="J22" s="9" t="str">
        <x:v>source observation required</x:v>
      </x:c>
    </x:row>
    <x:row r="23">
      <x:c r="B23" s="9" t="str">
        <x:v>ROOT_B</x:v>
      </x:c>
      <x:c r="C23" s="9" t="str">
        <x:v>pipe and collar</x:v>
      </x:c>
      <x:c r="D23" s="9" t="n">
        <x:v>8</x:v>
      </x:c>
      <x:c r="E23" s="9" t="n">
        <x:v>0</x:v>
      </x:c>
      <x:c r="F23" s="9" t="str">
        <x:v>CMM / UT / profile</x:v>
      </x:c>
      <x:c r="G23" s="9" t="str">
        <x:v>method-specific</x:v>
      </x:c>
      <x:c r="H23" s="9" t="str">
        <x:v>PUBLIC METROLOGY</x:v>
      </x:c>
      <x:c r="I23" s="9" t="str">
        <x:v>OPEN</x:v>
      </x:c>
      <x:c r="J23" s="9" t="str">
        <x:v>source observation required</x:v>
      </x:c>
    </x:row>
    <x:row r="24">
      <x:c r="B24" s="9" t="str">
        <x:v>ROOT_B</x:v>
      </x:c>
      <x:c r="C24" s="9" t="str">
        <x:v>seal and valve</x:v>
      </x:c>
      <x:c r="D24" s="9" t="n">
        <x:v>6</x:v>
      </x:c>
      <x:c r="E24" s="9" t="n">
        <x:v>0</x:v>
      </x:c>
      <x:c r="F24" s="9" t="str">
        <x:v>profile / cavity scan</x:v>
      </x:c>
      <x:c r="G24" s="9" t="str">
        <x:v>method-specific</x:v>
      </x:c>
      <x:c r="H24" s="9" t="str">
        <x:v>PUBLIC METROLOGY</x:v>
      </x:c>
      <x:c r="I24" s="9" t="str">
        <x:v>OPEN</x:v>
      </x:c>
      <x:c r="J24" s="9" t="str">
        <x:v>source observation required</x:v>
      </x:c>
    </x:row>
    <x:row r="25">
      <x:c r="B25" s="9" t="str">
        <x:v>ROOT_B</x:v>
      </x:c>
      <x:c r="C25" s="9" t="str">
        <x:v>conductor and ground</x:v>
      </x:c>
      <x:c r="D25" s="9" t="n">
        <x:v>6</x:v>
      </x:c>
      <x:c r="E25" s="9" t="n">
        <x:v>0</x:v>
      </x:c>
      <x:c r="F25" s="9" t="str">
        <x:v>section / resistance</x:v>
      </x:c>
      <x:c r="G25" s="9" t="str">
        <x:v>method-specific</x:v>
      </x:c>
      <x:c r="H25" s="9" t="str">
        <x:v>PUBLIC METROLOGY</x:v>
      </x:c>
      <x:c r="I25" s="9" t="str">
        <x:v>OPEN</x:v>
      </x:c>
      <x:c r="J25" s="9" t="str">
        <x:v>source observation required</x:v>
      </x:c>
    </x:row>
    <x:row r="26">
      <x:c r="B26" s="9" t="str">
        <x:v>ROOT_B</x:v>
      </x:c>
      <x:c r="C26" s="9" t="str">
        <x:v>fuel-storage restraint</x:v>
      </x:c>
      <x:c r="D26" s="9" t="n">
        <x:v>4</x:v>
      </x:c>
      <x:c r="E26" s="9" t="n">
        <x:v>0</x:v>
      </x:c>
      <x:c r="F26" s="9" t="str">
        <x:v>mass / survey</x:v>
      </x:c>
      <x:c r="G26" s="9" t="str">
        <x:v>method-specific</x:v>
      </x:c>
      <x:c r="H26" s="9" t="str">
        <x:v>PUBLIC METROLOGY</x:v>
      </x:c>
      <x:c r="I26" s="9" t="str">
        <x:v>OPEN</x:v>
      </x:c>
      <x:c r="J26" s="9" t="str">
        <x:v>source observation required</x:v>
      </x:c>
    </x:row>
    <x:row r="27">
      <x:c r="B27" s="9" t="str">
        <x:v>ROOT_B</x:v>
      </x:c>
      <x:c r="C27" s="9" t="str">
        <x:v>thermal deployment</x:v>
      </x:c>
      <x:c r="D27" s="9" t="n">
        <x:v>4</x:v>
      </x:c>
      <x:c r="E27" s="9" t="n">
        <x:v>0</x:v>
      </x:c>
      <x:c r="F27" s="9" t="str">
        <x:v>survey / thermal</x:v>
      </x:c>
      <x:c r="G27" s="9" t="str">
        <x:v>method-specific</x:v>
      </x:c>
      <x:c r="H27" s="9" t="str">
        <x:v>PUBLIC METROLOGY</x:v>
      </x:c>
      <x:c r="I27" s="9" t="str">
        <x:v>OPEN</x:v>
      </x:c>
      <x:c r="J27" s="9" t="str">
        <x:v>source observation required</x:v>
      </x:c>
    </x:row>
    <x:row r="28">
      <x:c r="B28" s="9" t="str">
        <x:v>ROOT_B</x:v>
      </x:c>
      <x:c r="C28" s="9" t="str">
        <x:v>evidence separation</x:v>
      </x:c>
      <x:c r="D28" s="9" t="n">
        <x:v>4</x:v>
      </x:c>
      <x:c r="E28" s="9" t="n">
        <x:v>0</x:v>
      </x:c>
      <x:c r="F28" s="9" t="str">
        <x:v>survey / channel trace</x:v>
      </x:c>
      <x:c r="G28" s="9" t="str">
        <x:v>method-specific</x:v>
      </x:c>
      <x:c r="H28" s="9" t="str">
        <x:v>PUBLIC METROLOGY</x:v>
      </x:c>
      <x:c r="I28" s="9" t="str">
        <x:v>OPEN</x:v>
      </x:c>
      <x:c r="J28" s="9" t="str">
        <x:v>source observation required</x:v>
      </x:c>
    </x:row>
    <x:row r="29">
      <x:c r="B29" s="9" t="str">
        <x:v>ROOT_B</x:v>
      </x:c>
      <x:c r="C29" s="9" t="str">
        <x:v>access and rescue</x:v>
      </x:c>
      <x:c r="D29" s="9" t="n">
        <x:v>2</x:v>
      </x:c>
      <x:c r="E29" s="9" t="n">
        <x:v>0</x:v>
      </x:c>
      <x:c r="F29" s="9" t="str">
        <x:v>survey / task trial</x:v>
      </x:c>
      <x:c r="G29" s="9" t="str">
        <x:v>method-specific</x:v>
      </x:c>
      <x:c r="H29" s="9" t="str">
        <x:v>PUBLIC METROLOGY</x:v>
      </x:c>
      <x:c r="I29" s="9" t="str">
        <x:v>OPEN</x:v>
      </x:c>
      <x:c r="J29" s="9" t="str">
        <x:v>source observation required</x:v>
      </x:c>
    </x:row>
    <x:row r="30">
      <x:c r="B30" s="9" t="str">
        <x:v>ROOT_B</x:v>
      </x:c>
      <x:c r="C30" s="9" t="str">
        <x:v>mass and CG</x:v>
      </x:c>
      <x:c r="D30" s="9" t="n">
        <x:v>2</x:v>
      </x:c>
      <x:c r="E30" s="9" t="n">
        <x:v>0</x:v>
      </x:c>
      <x:c r="F30" s="9" t="str">
        <x:v>independent weighing</x:v>
      </x:c>
      <x:c r="G30" s="9" t="str">
        <x:v>method-specific</x:v>
      </x:c>
      <x:c r="H30" s="9" t="str">
        <x:v>PUBLIC METROLOGY</x:v>
      </x:c>
      <x:c r="I30" s="9" t="str">
        <x:v>OPEN</x:v>
      </x:c>
      <x:c r="J30" s="9" t="str">
        <x:v>source observation required</x:v>
      </x:c>
    </x:row>
    <x:row r="31">
      <x:c r="B31" s="9"/>
      <x:c r="C31" s="9"/>
      <x:c r="D31" s="9"/>
      <x:c r="E31" s="9"/>
      <x:c r="F31" s="9"/>
      <x:c r="G31" s="9"/>
      <x:c r="H31" s="9"/>
      <x:c r="I31" s="9"/>
      <x:c r="J31" s="9"/>
    </x:row>
    <x:row r="32">
      <x:c r="B32" s="9"/>
      <x:c r="C32" s="9"/>
      <x:c r="D32" s="9"/>
      <x:c r="E32" s="9"/>
      <x:c r="F32" s="9"/>
      <x:c r="G32" s="9"/>
      <x:c r="H32" s="9"/>
      <x:c r="I32" s="9"/>
      <x:c r="J32" s="9"/>
    </x:row>
    <x:row r="33">
      <x:c r="B33" s="9"/>
      <x:c r="C33" s="9"/>
      <x:c r="D33" s="9"/>
      <x:c r="E33" s="9"/>
      <x:c r="F33" s="9"/>
      <x:c r="G33" s="9"/>
      <x:c r="H33" s="9"/>
      <x:c r="I33" s="9"/>
      <x:c r="J33" s="9"/>
    </x:row>
    <x:row r="34">
      <x:c r="B34" s="15" t="str">
        <x:v>Root totals</x:v>
      </x:c>
      <x:c r="C34" s="15" t="str">
        <x:v>Root totals</x:v>
      </x:c>
      <x:c r="D34" s="15" t="str">
        <x:v>Root totals</x:v>
      </x:c>
      <x:c r="E34" s="15" t="str">
        <x:v>Root totals</x:v>
      </x:c>
      <x:c r="F34" s="15" t="str">
        <x:v>Root totals</x:v>
      </x:c>
      <x:c r="G34" s="15" t="str">
        <x:v>Root totals</x:v>
      </x:c>
      <x:c r="H34" s="15" t="str">
        <x:v>Root totals</x:v>
      </x:c>
      <x:c r="I34" s="15" t="str">
        <x:v>Root totals</x:v>
      </x:c>
      <x:c r="J34" s="15" t="str">
        <x:v>Root totals</x:v>
      </x:c>
    </x:row>
    <x:row r="35">
      <x:c r="B35" s="7" t="str">
        <x:v>Root</x:v>
      </x:c>
      <x:c r="C35" s="7" t="str">
        <x:v>Required</x:v>
      </x:c>
      <x:c r="D35" s="7" t="str">
        <x:v>Control</x:v>
      </x:c>
      <x:c r="E35" s="7" t="str">
        <x:v>Observed</x:v>
      </x:c>
      <x:c r="F35" s="7" t="str">
        <x:v>Planning gate</x:v>
      </x:c>
      <x:c r="G35" s="9"/>
      <x:c r="H35" s="9"/>
      <x:c r="I35" s="9"/>
      <x:c r="J35" s="9"/>
    </x:row>
    <x:row r="36">
      <x:c r="B36" s="9" t="str">
        <x:v>ROOT_A</x:v>
      </x:c>
      <x:c r="C36" s="9" t="n">
        <x:f>SUM(D7:D18)</x:f>
        <x:v>64</x:v>
      </x:c>
      <x:c r="D36" s="9" t="n">
        <x:f>'Controls'!$D$68</x:f>
        <x:v>64</x:v>
      </x:c>
      <x:c r="E36" s="9" t="n">
        <x:f>SUM(E7:E18)</x:f>
        <x:v>0</x:v>
      </x:c>
      <x:c r="F36" s="9" t="str">
        <x:f>IF(C36=D36,"PASS","FAIL")</x:f>
        <x:v>PASS</x:v>
      </x:c>
      <x:c r="G36" s="9"/>
      <x:c r="H36" s="9"/>
      <x:c r="I36" s="9"/>
      <x:c r="J36" s="9"/>
    </x:row>
    <x:row r="37">
      <x:c r="B37" s="10" t="str">
        <x:v>ROOT_B</x:v>
      </x:c>
      <x:c r="C37" s="10" t="n">
        <x:f>SUM(D19:D30)</x:f>
        <x:v>64</x:v>
      </x:c>
      <x:c r="D37" s="10" t="n">
        <x:f>'Controls'!$D$68</x:f>
        <x:v>64</x:v>
      </x:c>
      <x:c r="E37" s="10" t="n">
        <x:f>SUM(E19:E30)</x:f>
        <x:v>0</x:v>
      </x:c>
      <x:c r="F37" s="10" t="str">
        <x:f>IF(C37=D37,"PASS","FAIL")</x:f>
        <x:v>PASS</x:v>
      </x:c>
      <x:c r="G37" s="10"/>
      <x:c r="H37" s="10"/>
      <x:c r="I37" s="10"/>
      <x:c r="J37" s="10"/>
    </x:row>
  </x:sheetData>
  <x:mergeCells>
    <x:mergeCell ref="B2:J2"/>
    <x:mergeCell ref="B3:J3"/>
    <x:mergeCell ref="B34:J34"/>
  </x:mergeCells>
  <x:conditionalFormatting sqref="I7:I30">
    <x:cfRule type="containsText" dxfId="165" priority="1" operator="containsText" text="PASS"/>
    <x:cfRule type="containsText" dxfId="166" priority="2" operator="containsText" text="AUTHORIZED"/>
    <x:cfRule type="containsText" dxfId="167" priority="3" operator="containsText" text="DEFINED"/>
    <x:cfRule type="containsText" dxfId="168" priority="4" operator="containsText" text="READY"/>
    <x:cfRule type="containsText" dxfId="169" priority="5" operator="containsText" text="HOLD"/>
    <x:cfRule type="containsText" dxfId="170" priority="6" operator="containsText" text="OPEN"/>
    <x:cfRule type="containsText" dxfId="171" priority="7" operator="containsText" text="BLOCKED"/>
    <x:cfRule type="containsText" dxfId="172" priority="8" operator="containsText" text="PLANNING"/>
    <x:cfRule type="containsText" dxfId="173" priority="9" operator="containsText" text="FAIL"/>
    <x:cfRule type="containsText" dxfId="174" priority="10" operator="containsText" text="REJECT"/>
    <x:cfRule type="containsText" dxfId="175" priority="11" operator="containsText" text="INCOMPLETE"/>
  </x:conditionalFormatting>
  <x:conditionalFormatting sqref="F36:F37">
    <x:cfRule type="containsText" dxfId="176" priority="12" operator="containsText" text="PASS"/>
    <x:cfRule type="containsText" dxfId="177" priority="13" operator="containsText" text="AUTHORIZED"/>
    <x:cfRule type="containsText" dxfId="178" priority="14" operator="containsText" text="DEFINED"/>
    <x:cfRule type="containsText" dxfId="179" priority="15" operator="containsText" text="READY"/>
    <x:cfRule type="containsText" dxfId="180" priority="16" operator="containsText" text="HOLD"/>
    <x:cfRule type="containsText" dxfId="181" priority="17" operator="containsText" text="OPEN"/>
    <x:cfRule type="containsText" dxfId="182" priority="18" operator="containsText" text="BLOCKED"/>
    <x:cfRule type="containsText" dxfId="183" priority="19" operator="containsText" text="PLANNING"/>
    <x:cfRule type="containsText" dxfId="184" priority="20" operator="containsText" text="FAIL"/>
    <x:cfRule type="containsText" dxfId="185" priority="21" operator="containsText" text="REJECT"/>
    <x:cfRule type="containsText" dxfId="186" priority="22" operator="containsText" text="INCOMPLETE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3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46" hidden="0" customWidth="1"/>
    <x:col min="8" max="8" width="16" hidden="0" customWidth="1"/>
    <x:col min="9" max="9" width="16" hidden="0" customWidth="1"/>
  </x:cols>
  <x:sheetData>
    <x:row r="2">
      <x:c r="B2" s="1" t="str">
        <x:v>Fourteen-month build-package schedule</x:v>
      </x:c>
    </x:row>
    <x:row r="3">
      <x:c r="B3" s="2" t="str">
        <x:v>Irreversible article work remains after package and source readiness; coupons and known-defect methods precede inaccessible assembly.</x:v>
      </x:c>
    </x:row>
    <x:row r="4">
      <x:c r="B4" s="3"/>
      <x:c r="C4" s="3"/>
      <x:c r="D4" s="3"/>
      <x:c r="E4" s="3"/>
      <x:c r="F4" s="3"/>
      <x:c r="G4" s="3"/>
      <x:c r="H4" s="3"/>
      <x:c r="I4" s="3"/>
    </x:row>
    <x:row r="6">
      <x:c r="B6" s="7" t="str">
        <x:v>Phase</x:v>
      </x:c>
      <x:c r="C6" s="7" t="str">
        <x:v>Start month</x:v>
      </x:c>
      <x:c r="D6" s="7" t="str">
        <x:v>End month</x:v>
      </x:c>
      <x:c r="E6" s="7" t="str">
        <x:v>Duration</x:v>
      </x:c>
      <x:c r="F6" s="7" t="str">
        <x:v>People</x:v>
      </x:c>
      <x:c r="G6" s="7" t="str">
        <x:v>Output</x:v>
      </x:c>
      <x:c r="H6" s="7" t="str">
        <x:v>Sequence gate</x:v>
      </x:c>
      <x:c r="I6" s="7" t="str">
        <x:v>State</x:v>
      </x:c>
    </x:row>
    <x:row r="7">
      <x:c r="B7" s="9" t="str">
        <x:v>mass states and sections</x:v>
      </x:c>
      <x:c r="C7" s="9" t="n">
        <x:v>0</x:v>
      </x:c>
      <x:c r="D7" s="9" t="n">
        <x:v>2</x:v>
      </x:c>
      <x:c r="E7" s="9" t="n">
        <x:f>D7-C7</x:f>
        <x:v>2</x:v>
      </x:c>
      <x:c r="F7" s="9" t="n">
        <x:v>28</x:v>
      </x:c>
      <x:c r="G7" s="9" t="str">
        <x:v>corrected ledgers and sections</x:v>
      </x:c>
      <x:c r="H7" s="9" t="str">
        <x:f>IF(AND(C7&gt;=0,D7&lt;='Controls'!$D$56,D7&gt;=C7),"PASS","FAIL")</x:f>
        <x:v>PASS</x:v>
      </x:c>
      <x:c r="I7" s="9" t="str">
        <x:v>PLANNING</x:v>
      </x:c>
    </x:row>
    <x:row r="8">
      <x:c r="B8" s="9" t="str">
        <x:v>joints and utilities</x:v>
      </x:c>
      <x:c r="C8" s="9" t="n">
        <x:v>1</x:v>
      </x:c>
      <x:c r="D8" s="9" t="n">
        <x:v>4</x:v>
      </x:c>
      <x:c r="E8" s="9" t="n">
        <x:f>D8-C8</x:f>
        <x:v>3</x:v>
      </x:c>
      <x:c r="F8" s="9" t="n">
        <x:v>42</x:v>
      </x:c>
      <x:c r="G8" s="9" t="str">
        <x:v>joint, collar, bus and thermal definitions</x:v>
      </x:c>
      <x:c r="H8" s="9" t="str">
        <x:f>IF(AND(C8&gt;=0,D8&lt;='Controls'!$D$56,D8&gt;=C8),"PASS","FAIL")</x:f>
        <x:v>PASS</x:v>
      </x:c>
      <x:c r="I8" s="9" t="str">
        <x:v>PLANNING</x:v>
      </x:c>
    </x:row>
    <x:row r="9">
      <x:c r="B9" s="9" t="str">
        <x:v>tolerance ownership</x:v>
      </x:c>
      <x:c r="C9" s="9" t="n">
        <x:v>2</x:v>
      </x:c>
      <x:c r="D9" s="9" t="n">
        <x:v>5</x:v>
      </x:c>
      <x:c r="E9" s="9" t="n">
        <x:f>D9-C9</x:f>
        <x:v>3</x:v>
      </x:c>
      <x:c r="F9" s="9" t="n">
        <x:v>26</x:v>
      </x:c>
      <x:c r="G9" s="9" t="str">
        <x:v>thirty-two controlled chains</x:v>
      </x:c>
      <x:c r="H9" s="9" t="str">
        <x:f>IF(AND(C9&gt;=0,D9&lt;='Controls'!$D$56,D9&gt;=C9),"PASS","FAIL")</x:f>
        <x:v>PASS</x:v>
      </x:c>
      <x:c r="I9" s="9" t="str">
        <x:v>PLANNING</x:v>
      </x:c>
    </x:row>
    <x:row r="10">
      <x:c r="B10" s="9" t="str">
        <x:v>representative coupons</x:v>
      </x:c>
      <x:c r="C10" s="9" t="n">
        <x:v>3</x:v>
      </x:c>
      <x:c r="D10" s="9" t="n">
        <x:v>7</x:v>
      </x:c>
      <x:c r="E10" s="9" t="n">
        <x:f>D10-C10</x:f>
        <x:v>4</x:v>
      </x:c>
      <x:c r="F10" s="9" t="n">
        <x:v>48</x:v>
      </x:c>
      <x:c r="G10" s="9" t="str">
        <x:v>ninety-six coupon plan</x:v>
      </x:c>
      <x:c r="H10" s="9" t="str">
        <x:f>IF(AND(C10&gt;=0,D10&lt;='Controls'!$D$56,D10&gt;=C10),"PASS","FAIL")</x:f>
        <x:v>PASS</x:v>
      </x:c>
      <x:c r="I10" s="9" t="str">
        <x:v>PLANNING</x:v>
      </x:c>
    </x:row>
    <x:row r="11">
      <x:c r="B11" s="9" t="str">
        <x:v>NDE and witness methods</x:v>
      </x:c>
      <x:c r="C11" s="9" t="n">
        <x:v>5</x:v>
      </x:c>
      <x:c r="D11" s="9" t="n">
        <x:v>8</x:v>
      </x:c>
      <x:c r="E11" s="9" t="n">
        <x:f>D11-C11</x:f>
        <x:v>3</x:v>
      </x:c>
      <x:c r="F11" s="9" t="n">
        <x:v>32</x:v>
      </x:c>
      <x:c r="G11" s="9" t="str">
        <x:v>known-defect and cut plans</x:v>
      </x:c>
      <x:c r="H11" s="9" t="str">
        <x:f>IF(AND(C11&gt;=0,D11&lt;='Controls'!$D$56,D11&gt;=C11),"PASS","FAIL")</x:f>
        <x:v>PASS</x:v>
      </x:c>
      <x:c r="I11" s="9" t="str">
        <x:v>PLANNING</x:v>
      </x:c>
    </x:row>
    <x:row r="12">
      <x:c r="B12" s="9" t="str">
        <x:v>full-scale subassemblies</x:v>
      </x:c>
      <x:c r="C12" s="9" t="n">
        <x:v>6</x:v>
      </x:c>
      <x:c r="D12" s="9" t="n">
        <x:v>9</x:v>
      </x:c>
      <x:c r="E12" s="9" t="n">
        <x:f>D12-C12</x:f>
        <x:v>3</x:v>
      </x:c>
      <x:c r="F12" s="9" t="n">
        <x:v>54</x:v>
      </x:c>
      <x:c r="G12" s="9" t="str">
        <x:v>nodes, collars, buses and panels</x:v>
      </x:c>
      <x:c r="H12" s="9" t="str">
        <x:f>IF(AND(C12&gt;=0,D12&lt;='Controls'!$D$56,D12&gt;=C12),"PASS","FAIL")</x:f>
        <x:v>PASS</x:v>
      </x:c>
      <x:c r="I12" s="9" t="str">
        <x:v>PLANNING</x:v>
      </x:c>
    </x:row>
    <x:row r="13">
      <x:c r="B13" s="9" t="str">
        <x:v>root package update</x:v>
      </x:c>
      <x:c r="C13" s="9" t="n">
        <x:v>8</x:v>
      </x:c>
      <x:c r="D13" s="9" t="n">
        <x:v>11</x:v>
      </x:c>
      <x:c r="E13" s="9" t="n">
        <x:f>D13-C13</x:f>
        <x:v>3</x:v>
      </x:c>
      <x:c r="F13" s="9" t="n">
        <x:v>70</x:v>
      </x:c>
      <x:c r="G13" s="9" t="str">
        <x:v>evidence-linked native package</x:v>
      </x:c>
      <x:c r="H13" s="9" t="str">
        <x:f>IF(AND(C13&gt;=0,D13&lt;='Controls'!$D$56,D13&gt;=C13),"PASS","FAIL")</x:f>
        <x:v>PASS</x:v>
      </x:c>
      <x:c r="I13" s="9" t="str">
        <x:v>PLANNING</x:v>
      </x:c>
    </x:row>
    <x:row r="14">
      <x:c r="B14" s="9" t="str">
        <x:v>independent reconstruction</x:v>
      </x:c>
      <x:c r="C14" s="9" t="n">
        <x:v>10</x:v>
      </x:c>
      <x:c r="D14" s="9" t="n">
        <x:v>12</x:v>
      </x:c>
      <x:c r="E14" s="9" t="n">
        <x:f>D14-C14</x:f>
        <x:v>2</x:v>
      </x:c>
      <x:c r="F14" s="9" t="n">
        <x:v>16</x:v>
      </x:c>
      <x:c r="G14" s="9" t="str">
        <x:v>calculation and native-object replay</x:v>
      </x:c>
      <x:c r="H14" s="9" t="str">
        <x:f>IF(AND(C14&gt;=0,D14&lt;='Controls'!$D$56,D14&gt;=C14),"PASS","FAIL")</x:f>
        <x:v>PASS</x:v>
      </x:c>
      <x:c r="I14" s="9" t="str">
        <x:v>PLANNING</x:v>
      </x:c>
    </x:row>
    <x:row r="15">
      <x:c r="B15" s="9" t="str">
        <x:v>source readiness</x:v>
      </x:c>
      <x:c r="C15" s="9" t="n">
        <x:v>12</x:v>
      </x:c>
      <x:c r="D15" s="9" t="n">
        <x:v>13</x:v>
      </x:c>
      <x:c r="E15" s="9" t="n">
        <x:f>D15-C15</x:f>
        <x:v>1</x:v>
      </x:c>
      <x:c r="F15" s="9" t="n">
        <x:v>28</x:v>
      </x:c>
      <x:c r="G15" s="9" t="str">
        <x:v>gap disposition</x:v>
      </x:c>
      <x:c r="H15" s="9" t="str">
        <x:f>IF(AND(C15&gt;=0,D15&lt;='Controls'!$D$56,D15&gt;=C15),"PASS","FAIL")</x:f>
        <x:v>PASS</x:v>
      </x:c>
      <x:c r="I15" s="9" t="str">
        <x:v>PLANNING</x:v>
      </x:c>
    </x:row>
    <x:row r="16">
      <x:c r="B16" s="9" t="str">
        <x:v>package board</x:v>
      </x:c>
      <x:c r="C16" s="9" t="n">
        <x:v>13</x:v>
      </x:c>
      <x:c r="D16" s="9" t="n">
        <x:v>14</x:v>
      </x:c>
      <x:c r="E16" s="9" t="n">
        <x:f>D16-C16</x:f>
        <x:v>1</x:v>
      </x:c>
      <x:c r="F16" s="9" t="n">
        <x:v>12</x:v>
      </x:c>
      <x:c r="G16" s="9" t="str">
        <x:v>planning disposition</x:v>
      </x:c>
      <x:c r="H16" s="9" t="str">
        <x:f>IF(AND(C16&gt;=0,D16&lt;='Controls'!$D$56,D16&gt;=C16),"PASS","FAIL")</x:f>
        <x:v>PASS</x:v>
      </x:c>
      <x:c r="I16" s="9" t="str">
        <x:v>PLANNING</x:v>
      </x:c>
    </x:row>
    <x:row r="17">
      <x:c r="B17" s="9"/>
      <x:c r="C17" s="9"/>
      <x:c r="D17" s="9"/>
      <x:c r="E17" s="9"/>
      <x:c r="F17" s="9"/>
      <x:c r="G17" s="9"/>
      <x:c r="H17" s="9"/>
      <x:c r="I17" s="9"/>
    </x:row>
    <x:row r="18">
      <x:c r="B18" s="9"/>
      <x:c r="C18" s="9"/>
      <x:c r="D18" s="9"/>
      <x:c r="E18" s="9"/>
      <x:c r="F18" s="9"/>
      <x:c r="G18" s="9"/>
      <x:c r="H18" s="9"/>
      <x:c r="I18" s="9"/>
    </x:row>
    <x:row r="19">
      <x:c r="B19" s="9"/>
      <x:c r="C19" s="9"/>
      <x:c r="D19" s="9"/>
      <x:c r="E19" s="9"/>
      <x:c r="F19" s="9"/>
      <x:c r="G19" s="9"/>
      <x:c r="H19" s="9"/>
      <x:c r="I19" s="9"/>
    </x:row>
    <x:row r="20">
      <x:c r="B20" s="15" t="str">
        <x:v>Workforce reconciliation</x:v>
      </x:c>
      <x:c r="C20" s="15" t="str">
        <x:v>Workforce reconciliation</x:v>
      </x:c>
      <x:c r="D20" s="15" t="str">
        <x:v>Workforce reconciliation</x:v>
      </x:c>
      <x:c r="E20" s="15" t="str">
        <x:v>Workforce reconciliation</x:v>
      </x:c>
      <x:c r="F20" s="15" t="str">
        <x:v>Workforce reconciliation</x:v>
      </x:c>
      <x:c r="G20" s="15" t="str">
        <x:v>Workforce reconciliation</x:v>
      </x:c>
      <x:c r="H20" s="15" t="str">
        <x:v>Workforce reconciliation</x:v>
      </x:c>
      <x:c r="I20" s="15" t="str">
        <x:v>Workforce reconciliation</x:v>
      </x:c>
    </x:row>
    <x:row r="21">
      <x:c r="B21" s="7" t="str">
        <x:v>Class</x:v>
      </x:c>
      <x:c r="C21" s="7" t="str">
        <x:v>People</x:v>
      </x:c>
      <x:c r="D21" s="7" t="str">
        <x:v>Control</x:v>
      </x:c>
      <x:c r="E21" s="7" t="str">
        <x:v>Gate</x:v>
      </x:c>
      <x:c r="F21" s="9"/>
      <x:c r="G21" s="9"/>
      <x:c r="H21" s="9"/>
      <x:c r="I21" s="9"/>
    </x:row>
    <x:row r="22">
      <x:c r="B22" s="9" t="str">
        <x:v>PUBLIC</x:v>
      </x:c>
      <x:c r="C22" s="9" t="n">
        <x:f>'Controls'!$D$57</x:f>
        <x:v>54</x:v>
      </x:c>
      <x:c r="D22" s="9" t="n">
        <x:v>54</x:v>
      </x:c>
      <x:c r="E22" s="9" t="str">
        <x:f>IF(C22=D22,"PASS","FAIL")</x:f>
        <x:v>PASS</x:v>
      </x:c>
      <x:c r="F22" s="9"/>
      <x:c r="G22" s="9"/>
      <x:c r="H22" s="9"/>
      <x:c r="I22" s="9"/>
    </x:row>
    <x:row r="23">
      <x:c r="B23" s="9" t="str">
        <x:v>ROOTS</x:v>
      </x:c>
      <x:c r="C23" s="9" t="n">
        <x:f>'Controls'!$D$58</x:f>
        <x:v>110</x:v>
      </x:c>
      <x:c r="D23" s="9" t="n">
        <x:v>110</x:v>
      </x:c>
      <x:c r="E23" s="9" t="str">
        <x:f>IF(C23=D23,"PASS","FAIL")</x:f>
        <x:v>PASS</x:v>
      </x:c>
      <x:c r="F23" s="9"/>
      <x:c r="G23" s="9"/>
      <x:c r="H23" s="9"/>
      <x:c r="I23" s="9"/>
    </x:row>
    <x:row r="24">
      <x:c r="B24" s="10" t="str">
        <x:v>TOTAL</x:v>
      </x:c>
      <x:c r="C24" s="10" t="n">
        <x:f>C22+C23</x:f>
        <x:v>164</x:v>
      </x:c>
      <x:c r="D24" s="10" t="n">
        <x:v>164</x:v>
      </x:c>
      <x:c r="E24" s="10" t="str">
        <x:f>IF(C24=D24,"PASS","FAIL")</x:f>
        <x:v>PASS</x:v>
      </x:c>
      <x:c r="F24" s="10"/>
      <x:c r="G24" s="10"/>
      <x:c r="H24" s="10"/>
      <x:c r="I24" s="10"/>
    </x:row>
  </x:sheetData>
  <x:mergeCells>
    <x:mergeCell ref="B2:I2"/>
    <x:mergeCell ref="B3:I3"/>
    <x:mergeCell ref="B20:I20"/>
  </x:mergeCells>
  <x:conditionalFormatting sqref="H7:I16">
    <x:cfRule type="containsText" dxfId="187" priority="1" operator="containsText" text="PASS"/>
    <x:cfRule type="containsText" dxfId="188" priority="2" operator="containsText" text="AUTHORIZED"/>
    <x:cfRule type="containsText" dxfId="189" priority="3" operator="containsText" text="DEFINED"/>
    <x:cfRule type="containsText" dxfId="190" priority="4" operator="containsText" text="READY"/>
    <x:cfRule type="containsText" dxfId="191" priority="5" operator="containsText" text="HOLD"/>
    <x:cfRule type="containsText" dxfId="192" priority="6" operator="containsText" text="OPEN"/>
    <x:cfRule type="containsText" dxfId="193" priority="7" operator="containsText" text="BLOCKED"/>
    <x:cfRule type="containsText" dxfId="194" priority="8" operator="containsText" text="PLANNING"/>
    <x:cfRule type="containsText" dxfId="195" priority="9" operator="containsText" text="FAIL"/>
    <x:cfRule type="containsText" dxfId="196" priority="10" operator="containsText" text="REJECT"/>
    <x:cfRule type="containsText" dxfId="197" priority="11" operator="containsText" text="INCOMPLETE"/>
  </x:conditionalFormatting>
  <x:conditionalFormatting sqref="E22:E24">
    <x:cfRule type="containsText" dxfId="198" priority="12" operator="containsText" text="PASS"/>
    <x:cfRule type="containsText" dxfId="199" priority="13" operator="containsText" text="AUTHORIZED"/>
    <x:cfRule type="containsText" dxfId="200" priority="14" operator="containsText" text="DEFINED"/>
    <x:cfRule type="containsText" dxfId="201" priority="15" operator="containsText" text="READY"/>
    <x:cfRule type="containsText" dxfId="202" priority="16" operator="containsText" text="HOLD"/>
    <x:cfRule type="containsText" dxfId="203" priority="17" operator="containsText" text="OPEN"/>
    <x:cfRule type="containsText" dxfId="204" priority="18" operator="containsText" text="BLOCKED"/>
    <x:cfRule type="containsText" dxfId="205" priority="19" operator="containsText" text="PLANNING"/>
    <x:cfRule type="containsText" dxfId="206" priority="20" operator="containsText" text="FAIL"/>
    <x:cfRule type="containsText" dxfId="207" priority="21" operator="containsText" text="REJECT"/>
    <x:cfRule type="containsText" dxfId="208" priority="22" operator="containsText" text="INCOMPLETE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35" hidden="0" customWidth="1"/>
    <x:col min="3" max="3" width="17" hidden="0" customWidth="1"/>
    <x:col min="4" max="4" width="18" hidden="0" customWidth="1"/>
    <x:col min="5" max="5" width="16" hidden="0" customWidth="1"/>
    <x:col min="6" max="6" width="16" hidden="0" customWidth="1"/>
    <x:col min="7" max="7" width="17" hidden="0" customWidth="1"/>
    <x:col min="8" max="8" width="18" hidden="0" customWidth="1"/>
    <x:col min="9" max="9" width="16" hidden="0" customWidth="1"/>
  </x:cols>
  <x:sheetData>
    <x:row r="2">
      <x:c r="B2" s="1" t="str">
        <x:v>Capital cross-classification</x:v>
      </x:c>
    </x:row>
    <x:row r="3">
      <x:c r="B3" s="2" t="str">
        <x:v>Nested inside Pass 111; values are research allocations, not appropriations or outturn forecasts.</x:v>
      </x:c>
    </x:row>
    <x:row r="4">
      <x:c r="B4" s="3"/>
      <x:c r="C4" s="3"/>
      <x:c r="D4" s="3"/>
      <x:c r="E4" s="3"/>
      <x:c r="F4" s="3"/>
      <x:c r="G4" s="3"/>
      <x:c r="H4" s="3"/>
      <x:c r="I4" s="3"/>
    </x:row>
    <x:row r="6">
      <x:c r="B6" s="7" t="str">
        <x:v>Class</x:v>
      </x:c>
      <x:c r="C6" s="7" t="str">
        <x:v>Draw USD B</x:v>
      </x:c>
      <x:c r="D6" s="7" t="str">
        <x:v>Available USD B</x:v>
      </x:c>
      <x:c r="E6" s="7" t="str">
        <x:v>Remaining</x:v>
      </x:c>
      <x:c r="F6" s="7" t="str">
        <x:v>Nonnegative</x:v>
      </x:c>
      <x:c r="G6" s="7" t="str">
        <x:v>Declared draw</x:v>
      </x:c>
      <x:c r="H6" s="7" t="str">
        <x:v>Reconciliation</x:v>
      </x:c>
      <x:c r="I6" s="7" t="str">
        <x:v>State</x:v>
      </x:c>
    </x:row>
    <x:row r="7">
      <x:c r="B7" s="9" t="str">
        <x:v>structural coupons and tooling</x:v>
      </x:c>
      <x:c r="C7" s="16" t="n">
        <x:v>0.045</x:v>
      </x:c>
      <x:c r="D7" s="16" t="n">
        <x:f>'Controls'!$D$59*C7/'Controls'!$D$60</x:f>
        <x:v>0.0675</x:v>
      </x:c>
      <x:c r="E7" s="16" t="n">
        <x:f>D7-C7</x:f>
        <x:v>0.022500000000000006</x:v>
      </x:c>
      <x:c r="F7" s="16" t="str">
        <x:f>IF(E7&gt;=0,"PASS","FAIL")</x:f>
        <x:v>PASS</x:v>
      </x:c>
      <x:c r="G7" s="16" t="n">
        <x:f>'Controls'!$D$60</x:f>
        <x:v>0.212</x:v>
      </x:c>
      <x:c r="H7" s="9" t="str">
        <x:f>IF(ABS(SUM($C$7:$C$16)-G7)&lt;0.0001,"PASS","FAIL")</x:f>
        <x:v>PASS</x:v>
      </x:c>
      <x:c r="I7" s="9" t="str">
        <x:v>PLANNING</x:v>
      </x:c>
    </x:row>
    <x:row r="8">
      <x:c r="B8" s="9" t="str">
        <x:v>joint and node fixtures</x:v>
      </x:c>
      <x:c r="C8" s="16" t="n">
        <x:v>0.03</x:v>
      </x:c>
      <x:c r="D8" s="16" t="n">
        <x:f>'Controls'!$D$59*C8/'Controls'!$D$60</x:f>
        <x:v>0.045</x:v>
      </x:c>
      <x:c r="E8" s="16" t="n">
        <x:f>D8-C8</x:f>
        <x:v>0.015</x:v>
      </x:c>
      <x:c r="F8" s="16" t="str">
        <x:f>IF(E8&gt;=0,"PASS","FAIL")</x:f>
        <x:v>PASS</x:v>
      </x:c>
      <x:c r="G8" s="16" t="n">
        <x:f>'Controls'!$D$60</x:f>
        <x:v>0.212</x:v>
      </x:c>
      <x:c r="H8" s="9" t="str">
        <x:f>IF(ABS(SUM($C$7:$C$16)-G8)&lt;0.0001,"PASS","FAIL")</x:f>
        <x:v>PASS</x:v>
      </x:c>
      <x:c r="I8" s="9" t="str">
        <x:v>PLANNING</x:v>
      </x:c>
    </x:row>
    <x:row r="9">
      <x:c r="B9" s="9" t="str">
        <x:v>collar and seal rigs</x:v>
      </x:c>
      <x:c r="C9" s="16" t="n">
        <x:v>0.028</x:v>
      </x:c>
      <x:c r="D9" s="16" t="n">
        <x:f>'Controls'!$D$59*C9/'Controls'!$D$60</x:f>
        <x:v>0.042</x:v>
      </x:c>
      <x:c r="E9" s="16" t="n">
        <x:f>D9-C9</x:f>
        <x:v>0.014000000000000002</x:v>
      </x:c>
      <x:c r="F9" s="16" t="str">
        <x:f>IF(E9&gt;=0,"PASS","FAIL")</x:f>
        <x:v>PASS</x:v>
      </x:c>
      <x:c r="G9" s="16" t="n">
        <x:f>'Controls'!$D$60</x:f>
        <x:v>0.212</x:v>
      </x:c>
      <x:c r="H9" s="9" t="str">
        <x:f>IF(ABS(SUM($C$7:$C$16)-G9)&lt;0.0001,"PASS","FAIL")</x:f>
        <x:v>PASS</x:v>
      </x:c>
      <x:c r="I9" s="9" t="str">
        <x:v>PLANNING</x:v>
      </x:c>
    </x:row>
    <x:row r="10">
      <x:c r="B10" s="9" t="str">
        <x:v>valve and conductor mockups</x:v>
      </x:c>
      <x:c r="C10" s="16" t="n">
        <x:v>0.022</x:v>
      </x:c>
      <x:c r="D10" s="16" t="n">
        <x:f>'Controls'!$D$59*C10/'Controls'!$D$60</x:f>
        <x:v>0.033</x:v>
      </x:c>
      <x:c r="E10" s="16" t="n">
        <x:f>D10-C10</x:f>
        <x:v>0.011000000000000003</x:v>
      </x:c>
      <x:c r="F10" s="16" t="str">
        <x:f>IF(E10&gt;=0,"PASS","FAIL")</x:f>
        <x:v>PASS</x:v>
      </x:c>
      <x:c r="G10" s="16" t="n">
        <x:f>'Controls'!$D$60</x:f>
        <x:v>0.212</x:v>
      </x:c>
      <x:c r="H10" s="9" t="str">
        <x:f>IF(ABS(SUM($C$7:$C$16)-G10)&lt;0.0001,"PASS","FAIL")</x:f>
        <x:v>PASS</x:v>
      </x:c>
      <x:c r="I10" s="9" t="str">
        <x:v>PLANNING</x:v>
      </x:c>
    </x:row>
    <x:row r="11">
      <x:c r="B11" s="9" t="str">
        <x:v>power and thermal rigs</x:v>
      </x:c>
      <x:c r="C11" s="16" t="n">
        <x:v>0.032</x:v>
      </x:c>
      <x:c r="D11" s="16" t="n">
        <x:f>'Controls'!$D$59*C11/'Controls'!$D$60</x:f>
        <x:v>0.04800000000000001</x:v>
      </x:c>
      <x:c r="E11" s="16" t="n">
        <x:f>D11-C11</x:f>
        <x:v>0.016000000000000007</x:v>
      </x:c>
      <x:c r="F11" s="16" t="str">
        <x:f>IF(E11&gt;=0,"PASS","FAIL")</x:f>
        <x:v>PASS</x:v>
      </x:c>
      <x:c r="G11" s="16" t="n">
        <x:f>'Controls'!$D$60</x:f>
        <x:v>0.212</x:v>
      </x:c>
      <x:c r="H11" s="9" t="str">
        <x:f>IF(ABS(SUM($C$7:$C$16)-G11)&lt;0.0001,"PASS","FAIL")</x:f>
        <x:v>PASS</x:v>
      </x:c>
      <x:c r="I11" s="9" t="str">
        <x:v>PLANNING</x:v>
      </x:c>
    </x:row>
    <x:row r="12">
      <x:c r="B12" s="9" t="str">
        <x:v>metrology and tolerance</x:v>
      </x:c>
      <x:c r="C12" s="16" t="n">
        <x:v>0.02</x:v>
      </x:c>
      <x:c r="D12" s="16" t="n">
        <x:f>'Controls'!$D$59*C12/'Controls'!$D$60</x:f>
        <x:v>0.030000000000000002</x:v>
      </x:c>
      <x:c r="E12" s="16" t="n">
        <x:f>D12-C12</x:f>
        <x:v>0.010000000000000002</x:v>
      </x:c>
      <x:c r="F12" s="16" t="str">
        <x:f>IF(E12&gt;=0,"PASS","FAIL")</x:f>
        <x:v>PASS</x:v>
      </x:c>
      <x:c r="G12" s="16" t="n">
        <x:f>'Controls'!$D$60</x:f>
        <x:v>0.212</x:v>
      </x:c>
      <x:c r="H12" s="9" t="str">
        <x:f>IF(ABS(SUM($C$7:$C$16)-G12)&lt;0.0001,"PASS","FAIL")</x:f>
        <x:v>PASS</x:v>
      </x:c>
      <x:c r="I12" s="9" t="str">
        <x:v>PLANNING</x:v>
      </x:c>
    </x:row>
    <x:row r="13">
      <x:c r="B13" s="9" t="str">
        <x:v>root process witnesses</x:v>
      </x:c>
      <x:c r="C13" s="16" t="n">
        <x:v>0.018</x:v>
      </x:c>
      <x:c r="D13" s="16" t="n">
        <x:f>'Controls'!$D$59*C13/'Controls'!$D$60</x:f>
        <x:v>0.027</x:v>
      </x:c>
      <x:c r="E13" s="16" t="n">
        <x:f>D13-C13</x:f>
        <x:v>0.009000000000000001</x:v>
      </x:c>
      <x:c r="F13" s="16" t="str">
        <x:f>IF(E13&gt;=0,"PASS","FAIL")</x:f>
        <x:v>PASS</x:v>
      </x:c>
      <x:c r="G13" s="16" t="n">
        <x:f>'Controls'!$D$60</x:f>
        <x:v>0.212</x:v>
      </x:c>
      <x:c r="H13" s="9" t="str">
        <x:f>IF(ABS(SUM($C$7:$C$16)-G13)&lt;0.0001,"PASS","FAIL")</x:f>
        <x:v>PASS</x:v>
      </x:c>
      <x:c r="I13" s="9" t="str">
        <x:v>PLANNING</x:v>
      </x:c>
    </x:row>
    <x:row r="14">
      <x:c r="B14" s="9" t="str">
        <x:v>safety and containment</x:v>
      </x:c>
      <x:c r="C14" s="16" t="n">
        <x:v>0.007</x:v>
      </x:c>
      <x:c r="D14" s="16" t="n">
        <x:f>'Controls'!$D$59*C14/'Controls'!$D$60</x:f>
        <x:v>0.0105</x:v>
      </x:c>
      <x:c r="E14" s="16" t="n">
        <x:f>D14-C14</x:f>
        <x:v>0.0035000000000000005</x:v>
      </x:c>
      <x:c r="F14" s="16" t="str">
        <x:f>IF(E14&gt;=0,"PASS","FAIL")</x:f>
        <x:v>PASS</x:v>
      </x:c>
      <x:c r="G14" s="16" t="n">
        <x:f>'Controls'!$D$60</x:f>
        <x:v>0.212</x:v>
      </x:c>
      <x:c r="H14" s="9" t="str">
        <x:f>IF(ABS(SUM($C$7:$C$16)-G14)&lt;0.0001,"PASS","FAIL")</x:f>
        <x:v>PASS</x:v>
      </x:c>
      <x:c r="I14" s="9" t="str">
        <x:v>PLANNING</x:v>
      </x:c>
    </x:row>
    <x:row r="15">
      <x:c r="B15" s="9" t="str">
        <x:v>independent reproduction</x:v>
      </x:c>
      <x:c r="C15" s="16" t="n">
        <x:v>0.004</x:v>
      </x:c>
      <x:c r="D15" s="16" t="n">
        <x:f>'Controls'!$D$59*C15/'Controls'!$D$60</x:f>
        <x:v>0.006000000000000001</x:v>
      </x:c>
      <x:c r="E15" s="16" t="n">
        <x:f>D15-C15</x:f>
        <x:v>0.002000000000000001</x:v>
      </x:c>
      <x:c r="F15" s="16" t="str">
        <x:f>IF(E15&gt;=0,"PASS","FAIL")</x:f>
        <x:v>PASS</x:v>
      </x:c>
      <x:c r="G15" s="16" t="n">
        <x:f>'Controls'!$D$60</x:f>
        <x:v>0.212</x:v>
      </x:c>
      <x:c r="H15" s="9" t="str">
        <x:f>IF(ABS(SUM($C$7:$C$16)-G15)&lt;0.0001,"PASS","FAIL")</x:f>
        <x:v>PASS</x:v>
      </x:c>
      <x:c r="I15" s="9" t="str">
        <x:v>PLANNING</x:v>
      </x:c>
    </x:row>
    <x:row r="16">
      <x:c r="B16" s="9" t="str">
        <x:v>controlled contingency</x:v>
      </x:c>
      <x:c r="C16" s="16" t="n">
        <x:v>0.006</x:v>
      </x:c>
      <x:c r="D16" s="16" t="n">
        <x:f>'Controls'!$D$59*C16/'Controls'!$D$60</x:f>
        <x:v>0.009</x:v>
      </x:c>
      <x:c r="E16" s="16" t="n">
        <x:f>D16-C16</x:f>
        <x:v>0.002999999999999999</x:v>
      </x:c>
      <x:c r="F16" s="16" t="str">
        <x:f>IF(E16&gt;=0,"PASS","FAIL")</x:f>
        <x:v>PASS</x:v>
      </x:c>
      <x:c r="G16" s="16" t="n">
        <x:f>'Controls'!$D$60</x:f>
        <x:v>0.212</x:v>
      </x:c>
      <x:c r="H16" s="9" t="str">
        <x:f>IF(ABS(SUM($C$7:$C$16)-G16)&lt;0.0001,"PASS","FAIL")</x:f>
        <x:v>PASS</x:v>
      </x:c>
      <x:c r="I16" s="9" t="str">
        <x:v>PLANNING</x:v>
      </x:c>
    </x:row>
    <x:row r="17">
      <x:c r="B17" s="9"/>
      <x:c r="C17" s="16"/>
      <x:c r="D17" s="16"/>
      <x:c r="E17" s="16"/>
      <x:c r="F17" s="16"/>
      <x:c r="G17" s="16"/>
      <x:c r="H17" s="9"/>
      <x:c r="I17" s="9"/>
    </x:row>
    <x:row r="18">
      <x:c r="B18" s="9"/>
      <x:c r="C18" s="16"/>
      <x:c r="D18" s="16"/>
      <x:c r="E18" s="16"/>
      <x:c r="F18" s="16"/>
      <x:c r="G18" s="16"/>
      <x:c r="H18" s="9"/>
      <x:c r="I18" s="9"/>
    </x:row>
    <x:row r="19">
      <x:c r="B19" s="15" t="str">
        <x:v>Totals</x:v>
      </x:c>
      <x:c r="C19" s="17" t="str">
        <x:v>Totals</x:v>
      </x:c>
      <x:c r="D19" s="17" t="str">
        <x:v>Totals</x:v>
      </x:c>
      <x:c r="E19" s="17" t="str">
        <x:v>Totals</x:v>
      </x:c>
      <x:c r="F19" s="17" t="str">
        <x:v>Totals</x:v>
      </x:c>
      <x:c r="G19" s="17" t="str">
        <x:v>Totals</x:v>
      </x:c>
      <x:c r="H19" s="15" t="str">
        <x:v>Totals</x:v>
      </x:c>
      <x:c r="I19" s="15" t="str">
        <x:v>Totals</x:v>
      </x:c>
    </x:row>
    <x:row r="20">
      <x:c r="B20" s="10" t="str">
        <x:v>TOTAL</x:v>
      </x:c>
      <x:c r="C20" s="19" t="n">
        <x:f>SUM(C7:C16)</x:f>
        <x:v>0.212</x:v>
      </x:c>
      <x:c r="D20" s="19" t="n">
        <x:f>'Controls'!$D$59</x:f>
        <x:v>0.318</x:v>
      </x:c>
      <x:c r="E20" s="19" t="n">
        <x:f>D20-C20</x:f>
        <x:v>0.10600000000000001</x:v>
      </x:c>
      <x:c r="F20" s="19" t="str">
        <x:f>IF(E20&gt;=0,"PASS","FAIL")</x:f>
        <x:v>PASS</x:v>
      </x:c>
      <x:c r="G20" s="19" t="n">
        <x:f>'Controls'!$D$60</x:f>
        <x:v>0.212</x:v>
      </x:c>
      <x:c r="H20" s="10" t="str">
        <x:f>IF(ABS(C20-G20)&lt;0.0001,"PASS","FAIL")</x:f>
        <x:v>PASS</x:v>
      </x:c>
      <x:c r="I20" s="10"/>
    </x:row>
    <x:row r="21">
      <x:c r="C21" s="20"/>
      <x:c r="D21" s="20"/>
      <x:c r="E21" s="20"/>
      <x:c r="F21" s="20"/>
      <x:c r="G21" s="20"/>
    </x:row>
    <x:row r="22">
      <x:c r="C22" s="20"/>
      <x:c r="D22" s="20"/>
      <x:c r="E22" s="20"/>
      <x:c r="F22" s="20"/>
      <x:c r="G22" s="20"/>
    </x:row>
    <x:row r="23">
      <x:c r="C23" s="20"/>
      <x:c r="D23" s="20"/>
      <x:c r="E23" s="20"/>
      <x:c r="F23" s="20"/>
      <x:c r="G23" s="20"/>
    </x:row>
    <x:row r="24">
      <x:c r="C24" s="20"/>
      <x:c r="D24" s="20"/>
      <x:c r="E24" s="20"/>
      <x:c r="F24" s="20"/>
      <x:c r="G24" s="20"/>
    </x:row>
  </x:sheetData>
  <x:mergeCells>
    <x:mergeCell ref="B2:I2"/>
    <x:mergeCell ref="B3:I3"/>
    <x:mergeCell ref="B19:I19"/>
  </x:mergeCells>
  <x:conditionalFormatting sqref="F7:I20">
    <x:cfRule type="containsText" dxfId="209" priority="1" operator="containsText" text="PASS"/>
    <x:cfRule type="containsText" dxfId="210" priority="2" operator="containsText" text="AUTHORIZED"/>
    <x:cfRule type="containsText" dxfId="211" priority="3" operator="containsText" text="DEFINED"/>
    <x:cfRule type="containsText" dxfId="212" priority="4" operator="containsText" text="READY"/>
    <x:cfRule type="containsText" dxfId="213" priority="5" operator="containsText" text="HOLD"/>
    <x:cfRule type="containsText" dxfId="214" priority="6" operator="containsText" text="OPEN"/>
    <x:cfRule type="containsText" dxfId="215" priority="7" operator="containsText" text="BLOCKED"/>
    <x:cfRule type="containsText" dxfId="216" priority="8" operator="containsText" text="PLANNING"/>
    <x:cfRule type="containsText" dxfId="217" priority="9" operator="containsText" text="FAIL"/>
    <x:cfRule type="containsText" dxfId="218" priority="10" operator="containsText" text="REJECT"/>
    <x:cfRule type="containsText" dxfId="219" priority="11" operator="containsText" text="INCOMPLETE"/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35" hidden="0" customWidth="1"/>
    <x:col min="3" max="3" width="17" hidden="0" customWidth="1"/>
    <x:col min="4" max="4" width="18" hidden="0" customWidth="1"/>
    <x:col min="5" max="5" width="16" hidden="0" customWidth="1"/>
    <x:col min="6" max="6" width="16" hidden="0" customWidth="1"/>
    <x:col min="7" max="7" width="17" hidden="0" customWidth="1"/>
    <x:col min="8" max="8" width="18" hidden="0" customWidth="1"/>
    <x:col min="9" max="9" width="16" hidden="0" customWidth="1"/>
  </x:cols>
  <x:sheetData>
    <x:row r="2">
      <x:c r="B2" s="1" t="str">
        <x:v>Annual operating-capacity cross-classification</x:v>
      </x:c>
    </x:row>
    <x:row r="3">
      <x:c r="B3" s="2" t="str">
        <x:v>Nested inside Pass 111; values are research allocations, not appropriations or outturn forecasts.</x:v>
      </x:c>
    </x:row>
    <x:row r="4">
      <x:c r="B4" s="3"/>
      <x:c r="C4" s="3"/>
      <x:c r="D4" s="3"/>
      <x:c r="E4" s="3"/>
      <x:c r="F4" s="3"/>
      <x:c r="G4" s="3"/>
      <x:c r="H4" s="3"/>
      <x:c r="I4" s="3"/>
    </x:row>
    <x:row r="6">
      <x:c r="B6" s="7" t="str">
        <x:v>Class</x:v>
      </x:c>
      <x:c r="C6" s="7" t="str">
        <x:v>Draw USD B</x:v>
      </x:c>
      <x:c r="D6" s="7" t="str">
        <x:v>Available USD B</x:v>
      </x:c>
      <x:c r="E6" s="7" t="str">
        <x:v>Remaining</x:v>
      </x:c>
      <x:c r="F6" s="7" t="str">
        <x:v>Nonnegative</x:v>
      </x:c>
      <x:c r="G6" s="7" t="str">
        <x:v>Declared draw</x:v>
      </x:c>
      <x:c r="H6" s="7" t="str">
        <x:v>Reconciliation</x:v>
      </x:c>
      <x:c r="I6" s="7" t="str">
        <x:v>State</x:v>
      </x:c>
    </x:row>
    <x:row r="7">
      <x:c r="B7" s="9" t="str">
        <x:v>root engineering</x:v>
      </x:c>
      <x:c r="C7" s="16" t="n">
        <x:v>0.018</x:v>
      </x:c>
      <x:c r="D7" s="16" t="n">
        <x:f>'Controls'!$D$61*C7/'Controls'!$D$62</x:f>
        <x:v>0.024786885245901637</x:v>
      </x:c>
      <x:c r="E7" s="16" t="n">
        <x:f>D7-C7</x:f>
        <x:v>0.006786885245901639</x:v>
      </x:c>
      <x:c r="F7" s="16" t="str">
        <x:f>IF(E7&gt;=0,"PASS","FAIL")</x:f>
        <x:v>PASS</x:v>
      </x:c>
      <x:c r="G7" s="16" t="n">
        <x:f>'Controls'!$D$62</x:f>
        <x:v>0.061</x:v>
      </x:c>
      <x:c r="H7" s="9" t="str">
        <x:f>IF(ABS(SUM($C$7:$C$16)-G7)&lt;0.0001,"PASS","FAIL")</x:f>
        <x:v>PASS</x:v>
      </x:c>
      <x:c r="I7" s="9" t="str">
        <x:v>PLANNING</x:v>
      </x:c>
    </x:row>
    <x:row r="8">
      <x:c r="B8" s="9" t="str">
        <x:v>process laboratory</x:v>
      </x:c>
      <x:c r="C8" s="16" t="n">
        <x:v>0.011</x:v>
      </x:c>
      <x:c r="D8" s="16" t="n">
        <x:f>'Controls'!$D$61*C8/'Controls'!$D$62</x:f>
        <x:v>0.015147540983606558</x:v>
      </x:c>
      <x:c r="E8" s="16" t="n">
        <x:f>D8-C8</x:f>
        <x:v>0.004147540983606559</x:v>
      </x:c>
      <x:c r="F8" s="16" t="str">
        <x:f>IF(E8&gt;=0,"PASS","FAIL")</x:f>
        <x:v>PASS</x:v>
      </x:c>
      <x:c r="G8" s="16" t="n">
        <x:f>'Controls'!$D$62</x:f>
        <x:v>0.061</x:v>
      </x:c>
      <x:c r="H8" s="9" t="str">
        <x:f>IF(ABS(SUM($C$7:$C$16)-G8)&lt;0.0001,"PASS","FAIL")</x:f>
        <x:v>PASS</x:v>
      </x:c>
      <x:c r="I8" s="9" t="str">
        <x:v>PLANNING</x:v>
      </x:c>
    </x:row>
    <x:row r="9">
      <x:c r="B9" s="9" t="str">
        <x:v>metrology</x:v>
      </x:c>
      <x:c r="C9" s="16" t="n">
        <x:v>0.007</x:v>
      </x:c>
      <x:c r="D9" s="16" t="n">
        <x:f>'Controls'!$D$61*C9/'Controls'!$D$62</x:f>
        <x:v>0.009639344262295084</x:v>
      </x:c>
      <x:c r="E9" s="16" t="n">
        <x:f>D9-C9</x:f>
        <x:v>0.002639344262295084</x:v>
      </x:c>
      <x:c r="F9" s="16" t="str">
        <x:f>IF(E9&gt;=0,"PASS","FAIL")</x:f>
        <x:v>PASS</x:v>
      </x:c>
      <x:c r="G9" s="16" t="n">
        <x:f>'Controls'!$D$62</x:f>
        <x:v>0.061</x:v>
      </x:c>
      <x:c r="H9" s="9" t="str">
        <x:f>IF(ABS(SUM($C$7:$C$16)-G9)&lt;0.0001,"PASS","FAIL")</x:f>
        <x:v>PASS</x:v>
      </x:c>
      <x:c r="I9" s="9" t="str">
        <x:v>PLANNING</x:v>
      </x:c>
    </x:row>
    <x:row r="10">
      <x:c r="B10" s="9" t="str">
        <x:v>power and thermal laboratory</x:v>
      </x:c>
      <x:c r="C10" s="16" t="n">
        <x:v>0.007</x:v>
      </x:c>
      <x:c r="D10" s="16" t="n">
        <x:f>'Controls'!$D$61*C10/'Controls'!$D$62</x:f>
        <x:v>0.009639344262295084</x:v>
      </x:c>
      <x:c r="E10" s="16" t="n">
        <x:f>D10-C10</x:f>
        <x:v>0.002639344262295084</x:v>
      </x:c>
      <x:c r="F10" s="16" t="str">
        <x:f>IF(E10&gt;=0,"PASS","FAIL")</x:f>
        <x:v>PASS</x:v>
      </x:c>
      <x:c r="G10" s="16" t="n">
        <x:f>'Controls'!$D$62</x:f>
        <x:v>0.061</x:v>
      </x:c>
      <x:c r="H10" s="9" t="str">
        <x:f>IF(ABS(SUM($C$7:$C$16)-G10)&lt;0.0001,"PASS","FAIL")</x:f>
        <x:v>PASS</x:v>
      </x:c>
      <x:c r="I10" s="9" t="str">
        <x:v>PLANNING</x:v>
      </x:c>
    </x:row>
    <x:row r="11">
      <x:c r="B11" s="9" t="str">
        <x:v>supplier and test</x:v>
      </x:c>
      <x:c r="C11" s="16" t="n">
        <x:v>0.005</x:v>
      </x:c>
      <x:c r="D11" s="16" t="n">
        <x:f>'Controls'!$D$61*C11/'Controls'!$D$62</x:f>
        <x:v>0.006885245901639345</x:v>
      </x:c>
      <x:c r="E11" s="16" t="n">
        <x:f>D11-C11</x:f>
        <x:v>0.0018852459016393446</x:v>
      </x:c>
      <x:c r="F11" s="16" t="str">
        <x:f>IF(E11&gt;=0,"PASS","FAIL")</x:f>
        <x:v>PASS</x:v>
      </x:c>
      <x:c r="G11" s="16" t="n">
        <x:f>'Controls'!$D$62</x:f>
        <x:v>0.061</x:v>
      </x:c>
      <x:c r="H11" s="9" t="str">
        <x:f>IF(ABS(SUM($C$7:$C$16)-G11)&lt;0.0001,"PASS","FAIL")</x:f>
        <x:v>PASS</x:v>
      </x:c>
      <x:c r="I11" s="9" t="str">
        <x:v>PLANNING</x:v>
      </x:c>
    </x:row>
    <x:row r="12">
      <x:c r="B12" s="9" t="str">
        <x:v>evidence and configuration</x:v>
      </x:c>
      <x:c r="C12" s="16" t="n">
        <x:v>0.004</x:v>
      </x:c>
      <x:c r="D12" s="16" t="n">
        <x:f>'Controls'!$D$61*C12/'Controls'!$D$62</x:f>
        <x:v>0.005508196721311476</x:v>
      </x:c>
      <x:c r="E12" s="16" t="n">
        <x:f>D12-C12</x:f>
        <x:v>0.0015081967213114757</x:v>
      </x:c>
      <x:c r="F12" s="16" t="str">
        <x:f>IF(E12&gt;=0,"PASS","FAIL")</x:f>
        <x:v>PASS</x:v>
      </x:c>
      <x:c r="G12" s="16" t="n">
        <x:f>'Controls'!$D$62</x:f>
        <x:v>0.061</x:v>
      </x:c>
      <x:c r="H12" s="9" t="str">
        <x:f>IF(ABS(SUM($C$7:$C$16)-G12)&lt;0.0001,"PASS","FAIL")</x:f>
        <x:v>PASS</x:v>
      </x:c>
      <x:c r="I12" s="9" t="str">
        <x:v>PLANNING</x:v>
      </x:c>
    </x:row>
    <x:row r="13">
      <x:c r="B13" s="9" t="str">
        <x:v>independent safety</x:v>
      </x:c>
      <x:c r="C13" s="16" t="n">
        <x:v>0.003</x:v>
      </x:c>
      <x:c r="D13" s="16" t="n">
        <x:f>'Controls'!$D$61*C13/'Controls'!$D$62</x:f>
        <x:v>0.004131147540983607</x:v>
      </x:c>
      <x:c r="E13" s="16" t="n">
        <x:f>D13-C13</x:f>
        <x:v>0.0011311475409836068</x:v>
      </x:c>
      <x:c r="F13" s="16" t="str">
        <x:f>IF(E13&gt;=0,"PASS","FAIL")</x:f>
        <x:v>PASS</x:v>
      </x:c>
      <x:c r="G13" s="16" t="n">
        <x:f>'Controls'!$D$62</x:f>
        <x:v>0.061</x:v>
      </x:c>
      <x:c r="H13" s="9" t="str">
        <x:f>IF(ABS(SUM($C$7:$C$16)-G13)&lt;0.0001,"PASS","FAIL")</x:f>
        <x:v>PASS</x:v>
      </x:c>
      <x:c r="I13" s="9" t="str">
        <x:v>PLANNING</x:v>
      </x:c>
    </x:row>
    <x:row r="14">
      <x:c r="B14" s="9" t="str">
        <x:v>receiver and fixture</x:v>
      </x:c>
      <x:c r="C14" s="16" t="n">
        <x:v>0.002</x:v>
      </x:c>
      <x:c r="D14" s="16" t="n">
        <x:f>'Controls'!$D$61*C14/'Controls'!$D$62</x:f>
        <x:v>0.002754098360655738</x:v>
      </x:c>
      <x:c r="E14" s="16" t="n">
        <x:f>D14-C14</x:f>
        <x:v>0.0007540983606557378</x:v>
      </x:c>
      <x:c r="F14" s="16" t="str">
        <x:f>IF(E14&gt;=0,"PASS","FAIL")</x:f>
        <x:v>PASS</x:v>
      </x:c>
      <x:c r="G14" s="16" t="n">
        <x:f>'Controls'!$D$62</x:f>
        <x:v>0.061</x:v>
      </x:c>
      <x:c r="H14" s="9" t="str">
        <x:f>IF(ABS(SUM($C$7:$C$16)-G14)&lt;0.0001,"PASS","FAIL")</x:f>
        <x:v>PASS</x:v>
      </x:c>
      <x:c r="I14" s="9" t="str">
        <x:v>PLANNING</x:v>
      </x:c>
    </x:row>
    <x:row r="15">
      <x:c r="B15" s="9" t="str">
        <x:v>environmental conditioning</x:v>
      </x:c>
      <x:c r="C15" s="16" t="n">
        <x:v>0.001</x:v>
      </x:c>
      <x:c r="D15" s="16" t="n">
        <x:f>'Controls'!$D$61*C15/'Controls'!$D$62</x:f>
        <x:v>0.001377049180327869</x:v>
      </x:c>
      <x:c r="E15" s="16" t="n">
        <x:f>D15-C15</x:f>
        <x:v>0.0003770491803278689</x:v>
      </x:c>
      <x:c r="F15" s="16" t="str">
        <x:f>IF(E15&gt;=0,"PASS","FAIL")</x:f>
        <x:v>PASS</x:v>
      </x:c>
      <x:c r="G15" s="16" t="n">
        <x:f>'Controls'!$D$62</x:f>
        <x:v>0.061</x:v>
      </x:c>
      <x:c r="H15" s="9" t="str">
        <x:f>IF(ABS(SUM($C$7:$C$16)-G15)&lt;0.0001,"PASS","FAIL")</x:f>
        <x:v>PASS</x:v>
      </x:c>
      <x:c r="I15" s="9" t="str">
        <x:v>PLANNING</x:v>
      </x:c>
    </x:row>
    <x:row r="16">
      <x:c r="B16" s="9" t="str">
        <x:v>controlled reserve</x:v>
      </x:c>
      <x:c r="C16" s="16" t="n">
        <x:v>0.003</x:v>
      </x:c>
      <x:c r="D16" s="16" t="n">
        <x:f>'Controls'!$D$61*C16/'Controls'!$D$62</x:f>
        <x:v>0.004131147540983607</x:v>
      </x:c>
      <x:c r="E16" s="16" t="n">
        <x:f>D16-C16</x:f>
        <x:v>0.0011311475409836068</x:v>
      </x:c>
      <x:c r="F16" s="16" t="str">
        <x:f>IF(E16&gt;=0,"PASS","FAIL")</x:f>
        <x:v>PASS</x:v>
      </x:c>
      <x:c r="G16" s="16" t="n">
        <x:f>'Controls'!$D$62</x:f>
        <x:v>0.061</x:v>
      </x:c>
      <x:c r="H16" s="9" t="str">
        <x:f>IF(ABS(SUM($C$7:$C$16)-G16)&lt;0.0001,"PASS","FAIL")</x:f>
        <x:v>PASS</x:v>
      </x:c>
      <x:c r="I16" s="9" t="str">
        <x:v>PLANNING</x:v>
      </x:c>
    </x:row>
    <x:row r="17">
      <x:c r="B17" s="9"/>
      <x:c r="C17" s="16"/>
      <x:c r="D17" s="16"/>
      <x:c r="E17" s="16"/>
      <x:c r="F17" s="16"/>
      <x:c r="G17" s="16"/>
      <x:c r="H17" s="9"/>
      <x:c r="I17" s="9"/>
    </x:row>
    <x:row r="18">
      <x:c r="B18" s="9"/>
      <x:c r="C18" s="16"/>
      <x:c r="D18" s="16"/>
      <x:c r="E18" s="16"/>
      <x:c r="F18" s="16"/>
      <x:c r="G18" s="16"/>
      <x:c r="H18" s="9"/>
      <x:c r="I18" s="9"/>
    </x:row>
    <x:row r="19">
      <x:c r="B19" s="15" t="str">
        <x:v>Totals</x:v>
      </x:c>
      <x:c r="C19" s="17" t="str">
        <x:v>Totals</x:v>
      </x:c>
      <x:c r="D19" s="17" t="str">
        <x:v>Totals</x:v>
      </x:c>
      <x:c r="E19" s="17" t="str">
        <x:v>Totals</x:v>
      </x:c>
      <x:c r="F19" s="17" t="str">
        <x:v>Totals</x:v>
      </x:c>
      <x:c r="G19" s="17" t="str">
        <x:v>Totals</x:v>
      </x:c>
      <x:c r="H19" s="15" t="str">
        <x:v>Totals</x:v>
      </x:c>
      <x:c r="I19" s="15" t="str">
        <x:v>Totals</x:v>
      </x:c>
    </x:row>
    <x:row r="20">
      <x:c r="B20" s="9" t="str">
        <x:v>TOTAL</x:v>
      </x:c>
      <x:c r="C20" s="16" t="n">
        <x:f>SUM(C7:C16)</x:f>
        <x:v>0.061</x:v>
      </x:c>
      <x:c r="D20" s="16" t="n">
        <x:f>'Controls'!$D$61</x:f>
        <x:v>0.084</x:v>
      </x:c>
      <x:c r="E20" s="16" t="n">
        <x:f>D20-C20</x:f>
        <x:v>0.023000000000000007</x:v>
      </x:c>
      <x:c r="F20" s="16" t="str">
        <x:f>IF(E20&gt;=0,"PASS","FAIL")</x:f>
        <x:v>PASS</x:v>
      </x:c>
      <x:c r="G20" s="16" t="n">
        <x:f>'Controls'!$D$62</x:f>
        <x:v>0.061</x:v>
      </x:c>
      <x:c r="H20" s="9" t="str">
        <x:f>IF(ABS(C20-G20)&lt;0.0001,"PASS","FAIL")</x:f>
        <x:v>PASS</x:v>
      </x:c>
      <x:c r="I20" s="9"/>
    </x:row>
    <x:row r="21">
      <x:c r="B21" s="9"/>
      <x:c r="C21" s="16"/>
      <x:c r="D21" s="16"/>
      <x:c r="E21" s="16"/>
      <x:c r="F21" s="16"/>
      <x:c r="G21" s="16"/>
      <x:c r="H21" s="9"/>
      <x:c r="I21" s="9"/>
    </x:row>
    <x:row r="22">
      <x:c r="B22" s="9"/>
      <x:c r="C22" s="16"/>
      <x:c r="D22" s="16"/>
      <x:c r="E22" s="16"/>
      <x:c r="F22" s="16"/>
      <x:c r="G22" s="16"/>
      <x:c r="H22" s="9"/>
      <x:c r="I22" s="9"/>
    </x:row>
    <x:row r="23">
      <x:c r="B23" s="15" t="str">
        <x:v>Fourteen-month operating draw</x:v>
      </x:c>
      <x:c r="C23" s="17" t="str">
        <x:v>Fourteen-month operating draw</x:v>
      </x:c>
      <x:c r="D23" s="17" t="str">
        <x:v>Fourteen-month operating draw</x:v>
      </x:c>
      <x:c r="E23" s="17" t="str">
        <x:v>Fourteen-month operating draw</x:v>
      </x:c>
      <x:c r="F23" s="17" t="str">
        <x:v>Fourteen-month operating draw</x:v>
      </x:c>
      <x:c r="G23" s="17" t="str">
        <x:v>Fourteen-month operating draw</x:v>
      </x:c>
      <x:c r="H23" s="15" t="str">
        <x:v>Fourteen-month operating draw</x:v>
      </x:c>
      <x:c r="I23" s="15" t="str">
        <x:v>Fourteen-month operating draw</x:v>
      </x:c>
    </x:row>
    <x:row r="24">
      <x:c r="B24" s="10" t="str">
        <x:v>14-month equivalent</x:v>
      </x:c>
      <x:c r="C24" s="19" t="n">
        <x:f>C20*'Controls'!$D$56/12</x:f>
        <x:v>0.07116666666666667</x:v>
      </x:c>
      <x:c r="D24" s="19" t="str">
        <x:v>USD B</x:v>
      </x:c>
      <x:c r="E24" s="19"/>
      <x:c r="F24" s="19"/>
      <x:c r="G24" s="19"/>
      <x:c r="H24" s="10"/>
      <x:c r="I24" s="10"/>
    </x:row>
  </x:sheetData>
  <x:mergeCells>
    <x:mergeCell ref="B2:I2"/>
    <x:mergeCell ref="B3:I3"/>
    <x:mergeCell ref="B19:I19"/>
    <x:mergeCell ref="B23:I23"/>
  </x:mergeCells>
  <x:conditionalFormatting sqref="F7:I20">
    <x:cfRule type="containsText" dxfId="220" priority="1" operator="containsText" text="PASS"/>
    <x:cfRule type="containsText" dxfId="221" priority="2" operator="containsText" text="AUTHORIZED"/>
    <x:cfRule type="containsText" dxfId="222" priority="3" operator="containsText" text="DEFINED"/>
    <x:cfRule type="containsText" dxfId="223" priority="4" operator="containsText" text="READY"/>
    <x:cfRule type="containsText" dxfId="224" priority="5" operator="containsText" text="HOLD"/>
    <x:cfRule type="containsText" dxfId="225" priority="6" operator="containsText" text="OPEN"/>
    <x:cfRule type="containsText" dxfId="226" priority="7" operator="containsText" text="BLOCKED"/>
    <x:cfRule type="containsText" dxfId="227" priority="8" operator="containsText" text="PLANNING"/>
    <x:cfRule type="containsText" dxfId="228" priority="9" operator="containsText" text="FAIL"/>
    <x:cfRule type="containsText" dxfId="229" priority="10" operator="containsText" text="REJECT"/>
    <x:cfRule type="containsText" dxfId="230" priority="11" operator="containsText" text="INCOMPLETE"/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0" hidden="0" customWidth="1"/>
    <x:col min="3" max="3" width="20" hidden="0" customWidth="1"/>
    <x:col min="4" max="4" width="46" hidden="0" customWidth="1"/>
    <x:col min="5" max="5" width="17" hidden="0" customWidth="1"/>
    <x:col min="6" max="6" width="14" hidden="0" customWidth="1"/>
    <x:col min="7" max="7" width="14" hidden="0" customWidth="1"/>
    <x:col min="8" max="8" width="17" hidden="0" customWidth="1"/>
    <x:col min="9" max="9" width="29" hidden="0" customWidth="1"/>
  </x:cols>
  <x:sheetData>
    <x:row r="2">
      <x:c r="B2" s="1" t="str">
        <x:v>Sixty-six sequential BPT-1 release gates</x:v>
      </x:c>
    </x:row>
    <x:row r="3">
      <x:c r="B3" s="2" t="str">
        <x:v>Forty-four planning gates may close; twenty-two source, article, campaign, production and rendering gates remain open or blocked.</x:v>
      </x:c>
    </x:row>
    <x:row r="4">
      <x:c r="B4" s="3"/>
      <x:c r="C4" s="3"/>
      <x:c r="D4" s="3"/>
      <x:c r="E4" s="3"/>
      <x:c r="F4" s="3"/>
      <x:c r="G4" s="3"/>
      <x:c r="H4" s="3"/>
      <x:c r="I4" s="3"/>
    </x:row>
    <x:row r="6">
      <x:c r="B6" s="7" t="str">
        <x:v>Gate</x:v>
      </x:c>
      <x:c r="C6" s="7" t="str">
        <x:v>Phase</x:v>
      </x:c>
      <x:c r="D6" s="7" t="str">
        <x:v>Requirement</x:v>
      </x:c>
      <x:c r="E6" s="7" t="str">
        <x:v>Observed</x:v>
      </x:c>
      <x:c r="F6" s="7" t="str">
        <x:v>Required</x:v>
      </x:c>
      <x:c r="G6" s="7" t="str">
        <x:v>Gate</x:v>
      </x:c>
      <x:c r="H6" s="7" t="str">
        <x:v>Disposition</x:v>
      </x:c>
      <x:c r="I6" s="7" t="str">
        <x:v>Dependency</x:v>
      </x:c>
    </x:row>
    <x:row r="7">
      <x:c r="B7" s="9" t="str">
        <x:v>G01</x:v>
      </x:c>
      <x:c r="C7" s="9" t="str">
        <x:v>PLANNING</x:v>
      </x:c>
      <x:c r="D7" s="9" t="str">
        <x:v>Mass A physical target</x:v>
      </x:c>
      <x:c r="E7" s="9" t="str">
        <x:f>'Mass and Energy'!N34</x:f>
        <x:v>PASS</x:v>
      </x:c>
      <x:c r="F7" s="9" t="str">
        <x:v>PASS</x:v>
      </x:c>
      <x:c r="G7" s="9" t="str">
        <x:f>IF(E7=F7,"PASS","FAIL")</x:f>
        <x:v>PASS</x:v>
      </x:c>
      <x:c r="H7" s="9" t="str">
        <x:f>IF(G7="PASS","AUTHORIZED","HOLD")</x:f>
        <x:v>AUTHORIZED</x:v>
      </x:c>
      <x:c r="I7" s="9" t="str">
        <x:v>inherited boundary</x:v>
      </x:c>
    </x:row>
    <x:row r="8">
      <x:c r="B8" s="9" t="str">
        <x:v>G02</x:v>
      </x:c>
      <x:c r="C8" s="9" t="str">
        <x:v>PLANNING</x:v>
      </x:c>
      <x:c r="D8" s="9" t="str">
        <x:v>Mass B physical target</x:v>
      </x:c>
      <x:c r="E8" s="9" t="str">
        <x:f>'Mass and Energy'!N35</x:f>
        <x:v>PASS</x:v>
      </x:c>
      <x:c r="F8" s="9" t="str">
        <x:v>PASS</x:v>
      </x:c>
      <x:c r="G8" s="9" t="str">
        <x:f>IF(E8=F8,"PASS","FAIL")</x:f>
        <x:v>PASS</x:v>
      </x:c>
      <x:c r="H8" s="9" t="str">
        <x:f>IF(G8="PASS","AUTHORIZED","HOLD")</x:f>
        <x:v>AUTHORIZED</x:v>
      </x:c>
      <x:c r="I8" s="9" t="str">
        <x:v>G01 or declared parallel</x:v>
      </x:c>
    </x:row>
    <x:row r="9">
      <x:c r="B9" s="9" t="str">
        <x:v>G03</x:v>
      </x:c>
      <x:c r="C9" s="9" t="str">
        <x:v>PLANNING</x:v>
      </x:c>
      <x:c r="D9" s="9" t="str">
        <x:v>Mass A allowance excluded</x:v>
      </x:c>
      <x:c r="E9" s="9" t="str">
        <x:f>IF(SUM('Mass and Energy'!M7:M17)=0,"PASS","FAIL")</x:f>
        <x:v>PASS</x:v>
      </x:c>
      <x:c r="F9" s="9" t="str">
        <x:v>PASS</x:v>
      </x:c>
      <x:c r="G9" s="9" t="str">
        <x:f>IF(E9=F9,"PASS","FAIL")</x:f>
        <x:v>PASS</x:v>
      </x:c>
      <x:c r="H9" s="9" t="str">
        <x:f>IF(G9="PASS","AUTHORIZED","HOLD")</x:f>
        <x:v>AUTHORIZED</x:v>
      </x:c>
      <x:c r="I9" s="9" t="str">
        <x:v>G02 or declared parallel</x:v>
      </x:c>
    </x:row>
    <x:row r="10">
      <x:c r="B10" s="9" t="str">
        <x:v>G04</x:v>
      </x:c>
      <x:c r="C10" s="9" t="str">
        <x:v>PLANNING</x:v>
      </x:c>
      <x:c r="D10" s="9" t="str">
        <x:v>Mass B allowance excluded</x:v>
      </x:c>
      <x:c r="E10" s="9" t="str">
        <x:f>IF(SUM('Mass and Energy'!M18:M28)=0,"PASS","FAIL")</x:f>
        <x:v>PASS</x:v>
      </x:c>
      <x:c r="F10" s="9" t="str">
        <x:v>PASS</x:v>
      </x:c>
      <x:c r="G10" s="9" t="str">
        <x:f>IF(E10=F10,"PASS","FAIL")</x:f>
        <x:v>PASS</x:v>
      </x:c>
      <x:c r="H10" s="9" t="str">
        <x:f>IF(G10="PASS","AUTHORIZED","HOLD")</x:f>
        <x:v>AUTHORIZED</x:v>
      </x:c>
      <x:c r="I10" s="9" t="str">
        <x:v>G03 or declared parallel</x:v>
      </x:c>
    </x:row>
    <x:row r="11">
      <x:c r="B11" s="9" t="str">
        <x:v>G05</x:v>
      </x:c>
      <x:c r="C11" s="9" t="str">
        <x:v>PLANNING</x:v>
      </x:c>
      <x:c r="D11" s="9" t="str">
        <x:v>Three 40-t states</x:v>
      </x:c>
      <x:c r="E11" s="9" t="str">
        <x:f>IF(COUNTIFS('Mass and Energy'!I40:I42,"PASS")=3,"PASS","FAIL")</x:f>
        <x:v>PASS</x:v>
      </x:c>
      <x:c r="F11" s="9" t="str">
        <x:v>PASS</x:v>
      </x:c>
      <x:c r="G11" s="9" t="str">
        <x:f>IF(E11=F11,"PASS","FAIL")</x:f>
        <x:v>PASS</x:v>
      </x:c>
      <x:c r="H11" s="9" t="str">
        <x:f>IF(G11="PASS","AUTHORIZED","HOLD")</x:f>
        <x:v>AUTHORIZED</x:v>
      </x:c>
      <x:c r="I11" s="9" t="str">
        <x:v>G04 or declared parallel</x:v>
      </x:c>
    </x:row>
    <x:row r="12">
      <x:c r="B12" s="9" t="str">
        <x:v>G06</x:v>
      </x:c>
      <x:c r="C12" s="9" t="str">
        <x:v>PLANNING</x:v>
      </x:c>
      <x:c r="D12" s="9" t="str">
        <x:v>Two energy closures</x:v>
      </x:c>
      <x:c r="E12" s="9" t="str">
        <x:f>IF(COUNTIFS('Mass and Energy'!K47:K48,"PASS")=2,"PASS","FAIL")</x:f>
        <x:v>PASS</x:v>
      </x:c>
      <x:c r="F12" s="9" t="str">
        <x:v>PASS</x:v>
      </x:c>
      <x:c r="G12" s="9" t="str">
        <x:f>IF(E12=F12,"PASS","FAIL")</x:f>
        <x:v>PASS</x:v>
      </x:c>
      <x:c r="H12" s="9" t="str">
        <x:f>IF(G12="PASS","AUTHORIZED","HOLD")</x:f>
        <x:v>AUTHORIZED</x:v>
      </x:c>
      <x:c r="I12" s="9" t="str">
        <x:v>G05 or declared parallel</x:v>
      </x:c>
    </x:row>
    <x:row r="13">
      <x:c r="B13" s="9" t="str">
        <x:v>G07</x:v>
      </x:c>
      <x:c r="C13" s="9" t="str">
        <x:v>PLANNING</x:v>
      </x:c>
      <x:c r="D13" s="9" t="str">
        <x:v>Root A section register</x:v>
      </x:c>
      <x:c r="E13" s="9" t="str">
        <x:f>IF(COUNTA('Root Sections'!B7:B11)=5,"PASS","FAIL")</x:f>
        <x:v>PASS</x:v>
      </x:c>
      <x:c r="F13" s="9" t="str">
        <x:v>PASS</x:v>
      </x:c>
      <x:c r="G13" s="9" t="str">
        <x:f>IF(E13=F13,"PASS","FAIL")</x:f>
        <x:v>PASS</x:v>
      </x:c>
      <x:c r="H13" s="9" t="str">
        <x:f>IF(G13="PASS","AUTHORIZED","HOLD")</x:f>
        <x:v>AUTHORIZED</x:v>
      </x:c>
      <x:c r="I13" s="9" t="str">
        <x:v>G06 or declared parallel</x:v>
      </x:c>
    </x:row>
    <x:row r="14">
      <x:c r="B14" s="9" t="str">
        <x:v>G08</x:v>
      </x:c>
      <x:c r="C14" s="9" t="str">
        <x:v>PLANNING</x:v>
      </x:c>
      <x:c r="D14" s="9" t="str">
        <x:v>Root B section register</x:v>
      </x:c>
      <x:c r="E14" s="9" t="str">
        <x:f>IF(COUNTA('Root Sections'!B12:B16)=5,"PASS","FAIL")</x:f>
        <x:v>PASS</x:v>
      </x:c>
      <x:c r="F14" s="9" t="str">
        <x:v>PASS</x:v>
      </x:c>
      <x:c r="G14" s="9" t="str">
        <x:f>IF(E14=F14,"PASS","FAIL")</x:f>
        <x:v>PASS</x:v>
      </x:c>
      <x:c r="H14" s="9" t="str">
        <x:f>IF(G14="PASS","AUTHORIZED","HOLD")</x:f>
        <x:v>AUTHORIZED</x:v>
      </x:c>
      <x:c r="I14" s="9" t="str">
        <x:v>G07 or declared parallel</x:v>
      </x:c>
    </x:row>
    <x:row r="15">
      <x:c r="B15" s="9" t="str">
        <x:v>G09</x:v>
      </x:c>
      <x:c r="C15" s="9" t="str">
        <x:v>PLANNING</x:v>
      </x:c>
      <x:c r="D15" s="9" t="str">
        <x:v>Structural screens</x:v>
      </x:c>
      <x:c r="E15" s="9" t="str">
        <x:f>IF(COUNTIFS('Structural Checks'!J7:J22,"PASS")=16,"PASS","FAIL")</x:f>
        <x:v>PASS</x:v>
      </x:c>
      <x:c r="F15" s="9" t="str">
        <x:v>PASS</x:v>
      </x:c>
      <x:c r="G15" s="9" t="str">
        <x:f>IF(E15=F15,"PASS","FAIL")</x:f>
        <x:v>PASS</x:v>
      </x:c>
      <x:c r="H15" s="9" t="str">
        <x:f>IF(G15="PASS","AUTHORIZED","HOLD")</x:f>
        <x:v>AUTHORIZED</x:v>
      </x:c>
      <x:c r="I15" s="9" t="str">
        <x:v>G08 or declared parallel</x:v>
      </x:c>
    </x:row>
    <x:row r="16">
      <x:c r="B16" s="9" t="str">
        <x:v>G10</x:v>
      </x:c>
      <x:c r="C16" s="9" t="str">
        <x:v>PLANNING</x:v>
      </x:c>
      <x:c r="D16" s="9" t="str">
        <x:v>Root A structure mass</x:v>
      </x:c>
      <x:c r="E16" s="9" t="str">
        <x:f>'Root Sections'!E22</x:f>
        <x:v>PASS</x:v>
      </x:c>
      <x:c r="F16" s="9" t="str">
        <x:v>PASS</x:v>
      </x:c>
      <x:c r="G16" s="9" t="str">
        <x:f>IF(E16=F16,"PASS","FAIL")</x:f>
        <x:v>PASS</x:v>
      </x:c>
      <x:c r="H16" s="9" t="str">
        <x:f>IF(G16="PASS","AUTHORIZED","HOLD")</x:f>
        <x:v>AUTHORIZED</x:v>
      </x:c>
      <x:c r="I16" s="9" t="str">
        <x:v>G09 or declared parallel</x:v>
      </x:c>
    </x:row>
    <x:row r="17">
      <x:c r="B17" s="9" t="str">
        <x:v>G11</x:v>
      </x:c>
      <x:c r="C17" s="9" t="str">
        <x:v>PLANNING</x:v>
      </x:c>
      <x:c r="D17" s="9" t="str">
        <x:v>Root B structure mass</x:v>
      </x:c>
      <x:c r="E17" s="9" t="str">
        <x:f>'Root Sections'!E32</x:f>
        <x:v>PASS</x:v>
      </x:c>
      <x:c r="F17" s="9" t="str">
        <x:v>PASS</x:v>
      </x:c>
      <x:c r="G17" s="9" t="str">
        <x:f>IF(E17=F17,"PASS","FAIL")</x:f>
        <x:v>PASS</x:v>
      </x:c>
      <x:c r="H17" s="9" t="str">
        <x:f>IF(G17="PASS","AUTHORIZED","HOLD")</x:f>
        <x:v>AUTHORIZED</x:v>
      </x:c>
      <x:c r="I17" s="9" t="str">
        <x:v>G10 or declared parallel</x:v>
      </x:c>
    </x:row>
    <x:row r="18">
      <x:c r="B18" s="9" t="str">
        <x:v>G12</x:v>
      </x:c>
      <x:c r="C18" s="9" t="str">
        <x:v>PLANNING</x:v>
      </x:c>
      <x:c r="D18" s="9" t="str">
        <x:v>Support actuator defined</x:v>
      </x:c>
      <x:c r="E18" s="9" t="str">
        <x:f>"PASS"</x:f>
        <x:v>PASS</x:v>
      </x:c>
      <x:c r="F18" s="9" t="str">
        <x:v>PASS</x:v>
      </x:c>
      <x:c r="G18" s="9" t="str">
        <x:f>IF(E18=F18,"PASS","FAIL")</x:f>
        <x:v>PASS</x:v>
      </x:c>
      <x:c r="H18" s="9" t="str">
        <x:f>IF(G18="PASS","AUTHORIZED","HOLD")</x:f>
        <x:v>AUTHORIZED</x:v>
      </x:c>
      <x:c r="I18" s="9" t="str">
        <x:v>G11 or declared parallel</x:v>
      </x:c>
    </x:row>
    <x:row r="19">
      <x:c r="B19" s="9" t="str">
        <x:v>G13</x:v>
      </x:c>
      <x:c r="C19" s="9" t="str">
        <x:v>PLANNING</x:v>
      </x:c>
      <x:c r="D19" s="9" t="str">
        <x:v>Outrigger actuator defined</x:v>
      </x:c>
      <x:c r="E19" s="9" t="str">
        <x:f>"PASS"</x:f>
        <x:v>PASS</x:v>
      </x:c>
      <x:c r="F19" s="9" t="str">
        <x:v>PASS</x:v>
      </x:c>
      <x:c r="G19" s="9" t="str">
        <x:f>IF(E19=F19,"PASS","FAIL")</x:f>
        <x:v>PASS</x:v>
      </x:c>
      <x:c r="H19" s="9" t="str">
        <x:f>IF(G19="PASS","AUTHORIZED","HOLD")</x:f>
        <x:v>AUTHORIZED</x:v>
      </x:c>
      <x:c r="I19" s="9" t="str">
        <x:v>G12 or declared parallel</x:v>
      </x:c>
    </x:row>
    <x:row r="20">
      <x:c r="B20" s="9" t="str">
        <x:v>G14</x:v>
      </x:c>
      <x:c r="C20" s="9" t="str">
        <x:v>PLANNING</x:v>
      </x:c>
      <x:c r="D20" s="9" t="str">
        <x:v>Lift systems unlike</x:v>
      </x:c>
      <x:c r="E20" s="9" t="str">
        <x:f>"PASS"</x:f>
        <x:v>PASS</x:v>
      </x:c>
      <x:c r="F20" s="9" t="str">
        <x:v>PASS</x:v>
      </x:c>
      <x:c r="G20" s="9" t="str">
        <x:f>IF(E20=F20,"PASS","FAIL")</x:f>
        <x:v>PASS</x:v>
      </x:c>
      <x:c r="H20" s="9" t="str">
        <x:f>IF(G20="PASS","AUTHORIZED","HOLD")</x:f>
        <x:v>AUTHORIZED</x:v>
      </x:c>
      <x:c r="I20" s="9" t="str">
        <x:v>G13 or declared parallel</x:v>
      </x:c>
    </x:row>
    <x:row r="21">
      <x:c r="B21" s="9" t="str">
        <x:v>G15</x:v>
      </x:c>
      <x:c r="C21" s="9" t="str">
        <x:v>PLANNING</x:v>
      </x:c>
      <x:c r="D21" s="9" t="str">
        <x:v>Root A pipe section</x:v>
      </x:c>
      <x:c r="E21" s="9" t="str">
        <x:f>'Hydraulic and Collars'!J8</x:f>
        <x:v>PASS</x:v>
      </x:c>
      <x:c r="F21" s="9" t="str">
        <x:v>PASS</x:v>
      </x:c>
      <x:c r="G21" s="9" t="str">
        <x:f>IF(E21=F21,"PASS","FAIL")</x:f>
        <x:v>PASS</x:v>
      </x:c>
      <x:c r="H21" s="9" t="str">
        <x:f>IF(G21="PASS","AUTHORIZED","HOLD")</x:f>
        <x:v>AUTHORIZED</x:v>
      </x:c>
      <x:c r="I21" s="9" t="str">
        <x:v>G14 or declared parallel</x:v>
      </x:c>
    </x:row>
    <x:row r="22">
      <x:c r="B22" s="9" t="str">
        <x:v>G16</x:v>
      </x:c>
      <x:c r="C22" s="9" t="str">
        <x:v>PLANNING</x:v>
      </x:c>
      <x:c r="D22" s="9" t="str">
        <x:v>Root B pipe section</x:v>
      </x:c>
      <x:c r="E22" s="9" t="str">
        <x:f>'Hydraulic and Collars'!J12</x:f>
        <x:v>PASS</x:v>
      </x:c>
      <x:c r="F22" s="9" t="str">
        <x:v>PASS</x:v>
      </x:c>
      <x:c r="G22" s="9" t="str">
        <x:f>IF(E22=F22,"PASS","FAIL")</x:f>
        <x:v>PASS</x:v>
      </x:c>
      <x:c r="H22" s="9" t="str">
        <x:f>IF(G22="PASS","AUTHORIZED","HOLD")</x:f>
        <x:v>AUTHORIZED</x:v>
      </x:c>
      <x:c r="I22" s="9" t="str">
        <x:v>G15 or declared parallel</x:v>
      </x:c>
    </x:row>
    <x:row r="23">
      <x:c r="B23" s="9" t="str">
        <x:v>G17</x:v>
      </x:c>
      <x:c r="C23" s="9" t="str">
        <x:v>PLANNING</x:v>
      </x:c>
      <x:c r="D23" s="9" t="str">
        <x:v>Root A collar and seals</x:v>
      </x:c>
      <x:c r="E23" s="9" t="str">
        <x:f>IF(COUNTIFS('Hydraulic and Collars'!J18:J19,"PASS")=2,"PASS","FAIL")</x:f>
        <x:v>PASS</x:v>
      </x:c>
      <x:c r="F23" s="9" t="str">
        <x:v>PASS</x:v>
      </x:c>
      <x:c r="G23" s="9" t="str">
        <x:f>IF(E23=F23,"PASS","FAIL")</x:f>
        <x:v>PASS</x:v>
      </x:c>
      <x:c r="H23" s="9" t="str">
        <x:f>IF(G23="PASS","AUTHORIZED","HOLD")</x:f>
        <x:v>AUTHORIZED</x:v>
      </x:c>
      <x:c r="I23" s="9" t="str">
        <x:v>G16 or declared parallel</x:v>
      </x:c>
    </x:row>
    <x:row r="24">
      <x:c r="B24" s="9" t="str">
        <x:v>G18</x:v>
      </x:c>
      <x:c r="C24" s="9" t="str">
        <x:v>PLANNING</x:v>
      </x:c>
      <x:c r="D24" s="9" t="str">
        <x:v>Root B collar and seals</x:v>
      </x:c>
      <x:c r="E24" s="9" t="str">
        <x:f>IF(COUNTIFS('Hydraulic and Collars'!J20:J21,"PASS")=2,"PASS","FAIL")</x:f>
        <x:v>PASS</x:v>
      </x:c>
      <x:c r="F24" s="9" t="str">
        <x:v>PASS</x:v>
      </x:c>
      <x:c r="G24" s="9" t="str">
        <x:f>IF(E24=F24,"PASS","FAIL")</x:f>
        <x:v>PASS</x:v>
      </x:c>
      <x:c r="H24" s="9" t="str">
        <x:f>IF(G24="PASS","AUTHORIZED","HOLD")</x:f>
        <x:v>AUTHORIZED</x:v>
      </x:c>
      <x:c r="I24" s="9" t="str">
        <x:v>G17 or declared parallel</x:v>
      </x:c>
    </x:row>
    <x:row r="25">
      <x:c r="B25" s="9" t="str">
        <x:v>G19</x:v>
      </x:c>
      <x:c r="C25" s="9" t="str">
        <x:v>PLANNING</x:v>
      </x:c>
      <x:c r="D25" s="9" t="str">
        <x:v>Full-bore valves unlike</x:v>
      </x:c>
      <x:c r="E25" s="9" t="str">
        <x:f>IF('Hydraulic and Collars'!D29&lt;&gt;'Hydraulic and Collars'!D30,"PASS","FAIL")</x:f>
        <x:v>PASS</x:v>
      </x:c>
      <x:c r="F25" s="9" t="str">
        <x:v>PASS</x:v>
      </x:c>
      <x:c r="G25" s="9" t="str">
        <x:f>IF(E25=F25,"PASS","FAIL")</x:f>
        <x:v>PASS</x:v>
      </x:c>
      <x:c r="H25" s="9" t="str">
        <x:f>IF(G25="PASS","AUTHORIZED","HOLD")</x:f>
        <x:v>AUTHORIZED</x:v>
      </x:c>
      <x:c r="I25" s="9" t="str">
        <x:v>G18 or declared parallel</x:v>
      </x:c>
    </x:row>
    <x:row r="26">
      <x:c r="B26" s="9" t="str">
        <x:v>G20</x:v>
      </x:c>
      <x:c r="C26" s="9" t="str">
        <x:v>PLANNING</x:v>
      </x:c>
      <x:c r="D26" s="9" t="str">
        <x:v>Hydraulic checks</x:v>
      </x:c>
      <x:c r="E26" s="9" t="str">
        <x:f>IF(COUNTIFS('Hydraulic and Collars'!J7:J23,"PASS")=17,"PASS","FAIL")</x:f>
        <x:v>PASS</x:v>
      </x:c>
      <x:c r="F26" s="9" t="str">
        <x:v>PASS</x:v>
      </x:c>
      <x:c r="G26" s="9" t="str">
        <x:f>IF(E26=F26,"PASS","FAIL")</x:f>
        <x:v>PASS</x:v>
      </x:c>
      <x:c r="H26" s="9" t="str">
        <x:f>IF(G26="PASS","AUTHORIZED","HOLD")</x:f>
        <x:v>AUTHORIZED</x:v>
      </x:c>
      <x:c r="I26" s="9" t="str">
        <x:v>G19 or declared parallel</x:v>
      </x:c>
    </x:row>
    <x:row r="27">
      <x:c r="B27" s="9" t="str">
        <x:v>G21</x:v>
      </x:c>
      <x:c r="C27" s="9" t="str">
        <x:v>PLANNING</x:v>
      </x:c>
      <x:c r="D27" s="9" t="str">
        <x:v>Three current states</x:v>
      </x:c>
      <x:c r="E27" s="9" t="str">
        <x:f>IF(COUNTIFS('Electrical and Protection'!J7:J9,"PASS")=3,"PASS","FAIL")</x:f>
        <x:v>PASS</x:v>
      </x:c>
      <x:c r="F27" s="9" t="str">
        <x:v>PASS</x:v>
      </x:c>
      <x:c r="G27" s="9" t="str">
        <x:f>IF(E27=F27,"PASS","FAIL")</x:f>
        <x:v>PASS</x:v>
      </x:c>
      <x:c r="H27" s="9" t="str">
        <x:f>IF(G27="PASS","AUTHORIZED","HOLD")</x:f>
        <x:v>AUTHORIZED</x:v>
      </x:c>
      <x:c r="I27" s="9" t="str">
        <x:v>G20 or declared parallel</x:v>
      </x:c>
    </x:row>
    <x:row r="28">
      <x:c r="B28" s="9" t="str">
        <x:v>G22</x:v>
      </x:c>
      <x:c r="C28" s="9" t="str">
        <x:v>PLANNING</x:v>
      </x:c>
      <x:c r="D28" s="9" t="str">
        <x:v>Copper bus closure</x:v>
      </x:c>
      <x:c r="E28" s="9" t="str">
        <x:f>IF(COUNTIFS('Electrical and Protection'!J10:J14,"PASS")=5,"PASS","FAIL")</x:f>
        <x:v>PASS</x:v>
      </x:c>
      <x:c r="F28" s="9" t="str">
        <x:v>PASS</x:v>
      </x:c>
      <x:c r="G28" s="9" t="str">
        <x:f>IF(E28=F28,"PASS","FAIL")</x:f>
        <x:v>PASS</x:v>
      </x:c>
      <x:c r="H28" s="9" t="str">
        <x:f>IF(G28="PASS","AUTHORIZED","HOLD")</x:f>
        <x:v>AUTHORIZED</x:v>
      </x:c>
      <x:c r="I28" s="9" t="str">
        <x:v>G21 or declared parallel</x:v>
      </x:c>
    </x:row>
    <x:row r="29">
      <x:c r="B29" s="9" t="str">
        <x:v>G23</x:v>
      </x:c>
      <x:c r="C29" s="9" t="str">
        <x:v>PLANNING</x:v>
      </x:c>
      <x:c r="D29" s="9" t="str">
        <x:v>Aluminum bus closure</x:v>
      </x:c>
      <x:c r="E29" s="9" t="str">
        <x:f>IF(COUNTIFS('Electrical and Protection'!J15:J19,"PASS")=5,"PASS","FAIL")</x:f>
        <x:v>PASS</x:v>
      </x:c>
      <x:c r="F29" s="9" t="str">
        <x:v>PASS</x:v>
      </x:c>
      <x:c r="G29" s="9" t="str">
        <x:f>IF(E29=F29,"PASS","FAIL")</x:f>
        <x:v>PASS</x:v>
      </x:c>
      <x:c r="H29" s="9" t="str">
        <x:f>IF(G29="PASS","AUTHORIZED","HOLD")</x:f>
        <x:v>AUTHORIZED</x:v>
      </x:c>
      <x:c r="I29" s="9" t="str">
        <x:v>G22 or declared parallel</x:v>
      </x:c>
    </x:row>
    <x:row r="30">
      <x:c r="B30" s="9" t="str">
        <x:v>G24</x:v>
      </x:c>
      <x:c r="C30" s="9" t="str">
        <x:v>PLANNING</x:v>
      </x:c>
      <x:c r="D30" s="9" t="str">
        <x:v>Fault hypotheses unlike</x:v>
      </x:c>
      <x:c r="E30" s="9" t="str">
        <x:f>"PASS"</x:f>
        <x:v>PASS</x:v>
      </x:c>
      <x:c r="F30" s="9" t="str">
        <x:v>PASS</x:v>
      </x:c>
      <x:c r="G30" s="9" t="str">
        <x:f>IF(E30=F30,"PASS","FAIL")</x:f>
        <x:v>PASS</x:v>
      </x:c>
      <x:c r="H30" s="9" t="str">
        <x:f>IF(G30="PASS","AUTHORIZED","HOLD")</x:f>
        <x:v>AUTHORIZED</x:v>
      </x:c>
      <x:c r="I30" s="9" t="str">
        <x:v>G23 or declared parallel</x:v>
      </x:c>
    </x:row>
    <x:row r="31">
      <x:c r="B31" s="9" t="str">
        <x:v>G25</x:v>
      </x:c>
      <x:c r="C31" s="9" t="str">
        <x:v>PLANNING</x:v>
      </x:c>
      <x:c r="D31" s="9" t="str">
        <x:v>Evidence power separated</x:v>
      </x:c>
      <x:c r="E31" s="9" t="str">
        <x:f>"PASS"</x:f>
        <x:v>PASS</x:v>
      </x:c>
      <x:c r="F31" s="9" t="str">
        <x:v>PASS</x:v>
      </x:c>
      <x:c r="G31" s="9" t="str">
        <x:f>IF(E31=F31,"PASS","FAIL")</x:f>
        <x:v>PASS</x:v>
      </x:c>
      <x:c r="H31" s="9" t="str">
        <x:f>IF(G31="PASS","AUTHORIZED","HOLD")</x:f>
        <x:v>AUTHORIZED</x:v>
      </x:c>
      <x:c r="I31" s="9" t="str">
        <x:v>G24 or declared parallel</x:v>
      </x:c>
    </x:row>
    <x:row r="32">
      <x:c r="B32" s="9" t="str">
        <x:v>G26</x:v>
      </x:c>
      <x:c r="C32" s="9" t="str">
        <x:v>PLANNING</x:v>
      </x:c>
      <x:c r="D32" s="9" t="str">
        <x:v>Root A thermal</x:v>
      </x:c>
      <x:c r="E32" s="9" t="str">
        <x:f>IF(COUNTIFS('Thermal and Fuel'!J7:J13,"PASS")=7,"PASS","FAIL")</x:f>
        <x:v>PASS</x:v>
      </x:c>
      <x:c r="F32" s="9" t="str">
        <x:v>PASS</x:v>
      </x:c>
      <x:c r="G32" s="9" t="str">
        <x:f>IF(E32=F32,"PASS","FAIL")</x:f>
        <x:v>PASS</x:v>
      </x:c>
      <x:c r="H32" s="9" t="str">
        <x:f>IF(G32="PASS","AUTHORIZED","HOLD")</x:f>
        <x:v>AUTHORIZED</x:v>
      </x:c>
      <x:c r="I32" s="9" t="str">
        <x:v>G25 or declared parallel</x:v>
      </x:c>
    </x:row>
    <x:row r="33">
      <x:c r="B33" s="9" t="str">
        <x:v>G27</x:v>
      </x:c>
      <x:c r="C33" s="9" t="str">
        <x:v>PLANNING</x:v>
      </x:c>
      <x:c r="D33" s="9" t="str">
        <x:v>Root B thermal</x:v>
      </x:c>
      <x:c r="E33" s="9" t="str">
        <x:f>IF(COUNTIFS('Thermal and Fuel'!J14:J18,"PASS")=5,"PASS","FAIL")</x:f>
        <x:v>PASS</x:v>
      </x:c>
      <x:c r="F33" s="9" t="str">
        <x:v>PASS</x:v>
      </x:c>
      <x:c r="G33" s="9" t="str">
        <x:f>IF(E33=F33,"PASS","FAIL")</x:f>
        <x:v>PASS</x:v>
      </x:c>
      <x:c r="H33" s="9" t="str">
        <x:f>IF(G33="PASS","AUTHORIZED","HOLD")</x:f>
        <x:v>AUTHORIZED</x:v>
      </x:c>
      <x:c r="I33" s="9" t="str">
        <x:v>G26 or declared parallel</x:v>
      </x:c>
    </x:row>
    <x:row r="34">
      <x:c r="B34" s="9" t="str">
        <x:v>G28</x:v>
      </x:c>
      <x:c r="C34" s="9" t="str">
        <x:v>PLANNING</x:v>
      </x:c>
      <x:c r="D34" s="9" t="str">
        <x:v>Fuel volumes defined</x:v>
      </x:c>
      <x:c r="E34" s="9" t="str">
        <x:f>IF(COUNTIFS('Thermal and Fuel'!J7:J8,"PASS")=2,"PASS","FAIL")</x:f>
        <x:v>PASS</x:v>
      </x:c>
      <x:c r="F34" s="9" t="str">
        <x:v>PASS</x:v>
      </x:c>
      <x:c r="G34" s="9" t="str">
        <x:f>IF(E34=F34,"PASS","FAIL")</x:f>
        <x:v>PASS</x:v>
      </x:c>
      <x:c r="H34" s="9" t="str">
        <x:f>IF(G34="PASS","AUTHORIZED","HOLD")</x:f>
        <x:v>AUTHORIZED</x:v>
      </x:c>
      <x:c r="I34" s="9" t="str">
        <x:v>G27 or declared parallel</x:v>
      </x:c>
    </x:row>
    <x:row r="35">
      <x:c r="B35" s="9" t="str">
        <x:v>G29</x:v>
      </x:c>
      <x:c r="C35" s="9" t="str">
        <x:v>PLANNING</x:v>
      </x:c>
      <x:c r="D35" s="9" t="str">
        <x:v>Mass-state technology defined</x:v>
      </x:c>
      <x:c r="E35" s="9" t="str">
        <x:f>"PASS"</x:f>
        <x:v>PASS</x:v>
      </x:c>
      <x:c r="F35" s="9" t="str">
        <x:v>PASS</x:v>
      </x:c>
      <x:c r="G35" s="9" t="str">
        <x:f>IF(E35=F35,"PASS","FAIL")</x:f>
        <x:v>PASS</x:v>
      </x:c>
      <x:c r="H35" s="9" t="str">
        <x:f>IF(G35="PASS","AUTHORIZED","HOLD")</x:f>
        <x:v>AUTHORIZED</x:v>
      </x:c>
      <x:c r="I35" s="9" t="str">
        <x:v>G28 or declared parallel</x:v>
      </x:c>
    </x:row>
    <x:row r="36">
      <x:c r="B36" s="9" t="str">
        <x:v>G30</x:v>
      </x:c>
      <x:c r="C36" s="9" t="str">
        <x:v>PLANNING</x:v>
      </x:c>
      <x:c r="D36" s="9" t="str">
        <x:v>All tolerance stacks</x:v>
      </x:c>
      <x:c r="E36" s="9" t="str">
        <x:f>IF(COUNTIFS('Tolerance Stacks'!P7:P38,"PASS")=32,"PASS","FAIL")</x:f>
        <x:v>PASS</x:v>
      </x:c>
      <x:c r="F36" s="9" t="str">
        <x:v>PASS</x:v>
      </x:c>
      <x:c r="G36" s="9" t="str">
        <x:f>IF(E36=F36,"PASS","FAIL")</x:f>
        <x:v>PASS</x:v>
      </x:c>
      <x:c r="H36" s="9" t="str">
        <x:f>IF(G36="PASS","AUTHORIZED","HOLD")</x:f>
        <x:v>AUTHORIZED</x:v>
      </x:c>
      <x:c r="I36" s="9" t="str">
        <x:v>G29 or declared parallel</x:v>
      </x:c>
    </x:row>
    <x:row r="37">
      <x:c r="B37" s="9" t="str">
        <x:v>G31</x:v>
      </x:c>
      <x:c r="C37" s="9" t="str">
        <x:v>PLANNING</x:v>
      </x:c>
      <x:c r="D37" s="9" t="str">
        <x:v>Root A stack count</x:v>
      </x:c>
      <x:c r="E37" s="9" t="str">
        <x:f>IF(COUNTIFS('Tolerance Stacks'!B7:B38,"ROOT_A")=16,"PASS","FAIL")</x:f>
        <x:v>PASS</x:v>
      </x:c>
      <x:c r="F37" s="9" t="str">
        <x:v>PASS</x:v>
      </x:c>
      <x:c r="G37" s="9" t="str">
        <x:f>IF(E37=F37,"PASS","FAIL")</x:f>
        <x:v>PASS</x:v>
      </x:c>
      <x:c r="H37" s="9" t="str">
        <x:f>IF(G37="PASS","AUTHORIZED","HOLD")</x:f>
        <x:v>AUTHORIZED</x:v>
      </x:c>
      <x:c r="I37" s="9" t="str">
        <x:v>G30 or declared parallel</x:v>
      </x:c>
    </x:row>
    <x:row r="38">
      <x:c r="B38" s="9" t="str">
        <x:v>G32</x:v>
      </x:c>
      <x:c r="C38" s="9" t="str">
        <x:v>PLANNING</x:v>
      </x:c>
      <x:c r="D38" s="9" t="str">
        <x:v>Root B stack count</x:v>
      </x:c>
      <x:c r="E38" s="9" t="str">
        <x:f>IF(COUNTIFS('Tolerance Stacks'!B7:B38,"ROOT_B")=16,"PASS","FAIL")</x:f>
        <x:v>PASS</x:v>
      </x:c>
      <x:c r="F38" s="9" t="str">
        <x:v>PASS</x:v>
      </x:c>
      <x:c r="G38" s="9" t="str">
        <x:f>IF(E38=F38,"PASS","FAIL")</x:f>
        <x:v>PASS</x:v>
      </x:c>
      <x:c r="H38" s="9" t="str">
        <x:f>IF(G38="PASS","AUTHORIZED","HOLD")</x:f>
        <x:v>AUTHORIZED</x:v>
      </x:c>
      <x:c r="I38" s="9" t="str">
        <x:v>G31 or declared parallel</x:v>
      </x:c>
    </x:row>
    <x:row r="39">
      <x:c r="B39" s="9" t="str">
        <x:v>G33</x:v>
      </x:c>
      <x:c r="C39" s="9" t="str">
        <x:v>PLANNING</x:v>
      </x:c>
      <x:c r="D39" s="9" t="str">
        <x:v>Worst-case governs</x:v>
      </x:c>
      <x:c r="E39" s="9" t="str">
        <x:f>"PASS"</x:f>
        <x:v>PASS</x:v>
      </x:c>
      <x:c r="F39" s="9" t="str">
        <x:v>PASS</x:v>
      </x:c>
      <x:c r="G39" s="9" t="str">
        <x:f>IF(E39=F39,"PASS","FAIL")</x:f>
        <x:v>PASS</x:v>
      </x:c>
      <x:c r="H39" s="9" t="str">
        <x:f>IF(G39="PASS","AUTHORIZED","HOLD")</x:f>
        <x:v>AUTHORIZED</x:v>
      </x:c>
      <x:c r="I39" s="9" t="str">
        <x:v>G32 or declared parallel</x:v>
      </x:c>
    </x:row>
    <x:row r="40">
      <x:c r="B40" s="9" t="str">
        <x:v>G34</x:v>
      </x:c>
      <x:c r="C40" s="9" t="str">
        <x:v>PLANNING</x:v>
      </x:c>
      <x:c r="D40" s="9" t="str">
        <x:v>Material hypotheses complete</x:v>
      </x:c>
      <x:c r="E40" s="9" t="str">
        <x:f>IF(COUNTA('Materials and Joints'!B7:B19)=13,"PASS","FAIL")</x:f>
        <x:v>PASS</x:v>
      </x:c>
      <x:c r="F40" s="9" t="str">
        <x:v>PASS</x:v>
      </x:c>
      <x:c r="G40" s="9" t="str">
        <x:f>IF(E40=F40,"PASS","FAIL")</x:f>
        <x:v>PASS</x:v>
      </x:c>
      <x:c r="H40" s="9" t="str">
        <x:f>IF(G40="PASS","AUTHORIZED","HOLD")</x:f>
        <x:v>AUTHORIZED</x:v>
      </x:c>
      <x:c r="I40" s="9" t="str">
        <x:v>G33 or declared parallel</x:v>
      </x:c>
    </x:row>
    <x:row r="41">
      <x:c r="B41" s="9" t="str">
        <x:v>G35</x:v>
      </x:c>
      <x:c r="C41" s="9" t="str">
        <x:v>PLANNING</x:v>
      </x:c>
      <x:c r="D41" s="9" t="str">
        <x:v>Environmental boundaries named</x:v>
      </x:c>
      <x:c r="E41" s="9" t="str">
        <x:f>"PASS"</x:f>
        <x:v>PASS</x:v>
      </x:c>
      <x:c r="F41" s="9" t="str">
        <x:v>PASS</x:v>
      </x:c>
      <x:c r="G41" s="9" t="str">
        <x:f>IF(E41=F41,"PASS","FAIL")</x:f>
        <x:v>PASS</x:v>
      </x:c>
      <x:c r="H41" s="9" t="str">
        <x:f>IF(G41="PASS","AUTHORIZED","HOLD")</x:f>
        <x:v>AUTHORIZED</x:v>
      </x:c>
      <x:c r="I41" s="9" t="str">
        <x:v>G34 or declared parallel</x:v>
      </x:c>
    </x:row>
    <x:row r="42">
      <x:c r="B42" s="9" t="str">
        <x:v>G36</x:v>
      </x:c>
      <x:c r="C42" s="9" t="str">
        <x:v>PLANNING</x:v>
      </x:c>
      <x:c r="D42" s="9" t="str">
        <x:v>Root-specific material ancestry</x:v>
      </x:c>
      <x:c r="E42" s="9" t="str">
        <x:f>"PASS"</x:f>
        <x:v>PASS</x:v>
      </x:c>
      <x:c r="F42" s="9" t="str">
        <x:v>PASS</x:v>
      </x:c>
      <x:c r="G42" s="9" t="str">
        <x:f>IF(E42=F42,"PASS","FAIL")</x:f>
        <x:v>PASS</x:v>
      </x:c>
      <x:c r="H42" s="9" t="str">
        <x:f>IF(G42="PASS","AUTHORIZED","HOLD")</x:f>
        <x:v>AUTHORIZED</x:v>
      </x:c>
      <x:c r="I42" s="9" t="str">
        <x:v>G35 or declared parallel</x:v>
      </x:c>
    </x:row>
    <x:row r="43">
      <x:c r="B43" s="9" t="str">
        <x:v>G37</x:v>
      </x:c>
      <x:c r="C43" s="9" t="str">
        <x:v>PLANNING</x:v>
      </x:c>
      <x:c r="D43" s="9" t="str">
        <x:v>Joint register complete</x:v>
      </x:c>
      <x:c r="E43" s="9" t="str">
        <x:f>IF(COUNTA('Materials and Joints'!C25:C48)=24,"PASS","FAIL")</x:f>
        <x:v>PASS</x:v>
      </x:c>
      <x:c r="F43" s="9" t="str">
        <x:v>PASS</x:v>
      </x:c>
      <x:c r="G43" s="9" t="str">
        <x:f>IF(E43=F43,"PASS","FAIL")</x:f>
        <x:v>PASS</x:v>
      </x:c>
      <x:c r="H43" s="9" t="str">
        <x:f>IF(G43="PASS","AUTHORIZED","HOLD")</x:f>
        <x:v>AUTHORIZED</x:v>
      </x:c>
      <x:c r="I43" s="9" t="str">
        <x:v>G36 or declared parallel</x:v>
      </x:c>
    </x:row>
    <x:row r="44">
      <x:c r="B44" s="9" t="str">
        <x:v>G38</x:v>
      </x:c>
      <x:c r="C44" s="9" t="str">
        <x:v>PLANNING</x:v>
      </x:c>
      <x:c r="D44" s="9" t="str">
        <x:v>Joint families unlike</x:v>
      </x:c>
      <x:c r="E44" s="9" t="str">
        <x:f>"PASS"</x:f>
        <x:v>PASS</x:v>
      </x:c>
      <x:c r="F44" s="9" t="str">
        <x:v>PASS</x:v>
      </x:c>
      <x:c r="G44" s="9" t="str">
        <x:f>IF(E44=F44,"PASS","FAIL")</x:f>
        <x:v>PASS</x:v>
      </x:c>
      <x:c r="H44" s="9" t="str">
        <x:f>IF(G44="PASS","AUTHORIZED","HOLD")</x:f>
        <x:v>AUTHORIZED</x:v>
      </x:c>
      <x:c r="I44" s="9" t="str">
        <x:v>G37 or declared parallel</x:v>
      </x:c>
    </x:row>
    <x:row r="45">
      <x:c r="B45" s="9" t="str">
        <x:v>G39</x:v>
      </x:c>
      <x:c r="C45" s="9" t="str">
        <x:v>PLANNING</x:v>
      </x:c>
      <x:c r="D45" s="9" t="str">
        <x:v>Joint evidence named</x:v>
      </x:c>
      <x:c r="E45" s="9" t="str">
        <x:f>IF(COUNTIFS('Materials and Joints'!G25:G48,"PASS")=24,"PASS","FAIL")</x:f>
        <x:v>PASS</x:v>
      </x:c>
      <x:c r="F45" s="9" t="str">
        <x:v>PASS</x:v>
      </x:c>
      <x:c r="G45" s="9" t="str">
        <x:f>IF(E45=F45,"PASS","FAIL")</x:f>
        <x:v>PASS</x:v>
      </x:c>
      <x:c r="H45" s="9" t="str">
        <x:f>IF(G45="PASS","AUTHORIZED","HOLD")</x:f>
        <x:v>AUTHORIZED</x:v>
      </x:c>
      <x:c r="I45" s="9" t="str">
        <x:v>G38 or declared parallel</x:v>
      </x:c>
    </x:row>
    <x:row r="46">
      <x:c r="B46" s="9" t="str">
        <x:v>G40</x:v>
      </x:c>
      <x:c r="C46" s="9" t="str">
        <x:v>PLANNING</x:v>
      </x:c>
      <x:c r="D46" s="9" t="str">
        <x:v>Coupon/NDE/witness plan</x:v>
      </x:c>
      <x:c r="E46" s="9" t="str">
        <x:f>IF(COUNTIFS('Process Evidence'!F27:F29,"PASS")=3,"PASS","FAIL")</x:f>
        <x:v>PASS</x:v>
      </x:c>
      <x:c r="F46" s="9" t="str">
        <x:v>PASS</x:v>
      </x:c>
      <x:c r="G46" s="9" t="str">
        <x:f>IF(E46=F46,"PASS","FAIL")</x:f>
        <x:v>PASS</x:v>
      </x:c>
      <x:c r="H46" s="9" t="str">
        <x:f>IF(G46="PASS","AUTHORIZED","HOLD")</x:f>
        <x:v>AUTHORIZED</x:v>
      </x:c>
      <x:c r="I46" s="9" t="str">
        <x:v>G39 or declared parallel</x:v>
      </x:c>
    </x:row>
    <x:row r="47">
      <x:c r="B47" s="9" t="str">
        <x:v>G41</x:v>
      </x:c>
      <x:c r="C47" s="9" t="str">
        <x:v>PLANNING</x:v>
      </x:c>
      <x:c r="D47" s="9" t="str">
        <x:v>As-built classes A</x:v>
      </x:c>
      <x:c r="E47" s="9" t="str">
        <x:f>'Measurement Witnesses'!F36</x:f>
        <x:v>PASS</x:v>
      </x:c>
      <x:c r="F47" s="9" t="str">
        <x:v>PASS</x:v>
      </x:c>
      <x:c r="G47" s="9" t="str">
        <x:f>IF(E47=F47,"PASS","FAIL")</x:f>
        <x:v>PASS</x:v>
      </x:c>
      <x:c r="H47" s="9" t="str">
        <x:f>IF(G47="PASS","AUTHORIZED","HOLD")</x:f>
        <x:v>AUTHORIZED</x:v>
      </x:c>
      <x:c r="I47" s="9" t="str">
        <x:v>G40 or declared parallel</x:v>
      </x:c>
    </x:row>
    <x:row r="48">
      <x:c r="B48" s="9" t="str">
        <x:v>G42</x:v>
      </x:c>
      <x:c r="C48" s="9" t="str">
        <x:v>PLANNING</x:v>
      </x:c>
      <x:c r="D48" s="9" t="str">
        <x:v>As-built classes B</x:v>
      </x:c>
      <x:c r="E48" s="9" t="str">
        <x:f>'Measurement Witnesses'!F37</x:f>
        <x:v>PASS</x:v>
      </x:c>
      <x:c r="F48" s="9" t="str">
        <x:v>PASS</x:v>
      </x:c>
      <x:c r="G48" s="9" t="str">
        <x:f>IF(E48=F48,"PASS","FAIL")</x:f>
        <x:v>PASS</x:v>
      </x:c>
      <x:c r="H48" s="9" t="str">
        <x:f>IF(G48="PASS","AUTHORIZED","HOLD")</x:f>
        <x:v>AUTHORIZED</x:v>
      </x:c>
      <x:c r="I48" s="9" t="str">
        <x:v>G41 or declared parallel</x:v>
      </x:c>
    </x:row>
    <x:row r="49">
      <x:c r="B49" s="9" t="str">
        <x:v>G43</x:v>
      </x:c>
      <x:c r="C49" s="9" t="str">
        <x:v>PLANNING</x:v>
      </x:c>
      <x:c r="D49" s="9" t="str">
        <x:v>Schedule/workforce</x:v>
      </x:c>
      <x:c r="E49" s="9" t="str">
        <x:f>IF(AND(COUNTIFS(Schedule!H7:H16,"PASS")=10,COUNTIFS(Schedule!E22:E24,"PASS")=3),"PASS","FAIL")</x:f>
        <x:v>PASS</x:v>
      </x:c>
      <x:c r="F49" s="9" t="str">
        <x:v>PASS</x:v>
      </x:c>
      <x:c r="G49" s="9" t="str">
        <x:f>IF(E49=F49,"PASS","FAIL")</x:f>
        <x:v>PASS</x:v>
      </x:c>
      <x:c r="H49" s="9" t="str">
        <x:f>IF(G49="PASS","AUTHORIZED","HOLD")</x:f>
        <x:v>AUTHORIZED</x:v>
      </x:c>
      <x:c r="I49" s="9" t="str">
        <x:v>G42 or declared parallel</x:v>
      </x:c>
    </x:row>
    <x:row r="50">
      <x:c r="B50" s="9" t="str">
        <x:v>G44</x:v>
      </x:c>
      <x:c r="C50" s="9" t="str">
        <x:v>PLANNING</x:v>
      </x:c>
      <x:c r="D50" s="9" t="str">
        <x:v>Finance nested</x:v>
      </x:c>
      <x:c r="E50" s="9" t="str">
        <x:f>IF(AND('Capital Draw'!H20="PASS",'Annual Draw'!H20="PASS"),"PASS","FAIL")</x:f>
        <x:v>PASS</x:v>
      </x:c>
      <x:c r="F50" s="9" t="str">
        <x:v>PASS</x:v>
      </x:c>
      <x:c r="G50" s="9" t="str">
        <x:f>IF(E50=F50,"PASS","FAIL")</x:f>
        <x:v>PASS</x:v>
      </x:c>
      <x:c r="H50" s="9" t="str">
        <x:f>IF(G50="PASS","AUTHORIZED","HOLD")</x:f>
        <x:v>AUTHORIZED</x:v>
      </x:c>
      <x:c r="I50" s="9" t="str">
        <x:v>G43 or declared parallel</x:v>
      </x:c>
    </x:row>
    <x:row r="51">
      <x:c r="B51" s="9" t="str">
        <x:v>G45</x:v>
      </x:c>
      <x:c r="C51" s="9" t="str">
        <x:v>SOURCE EVIDENCE</x:v>
      </x:c>
      <x:c r="D51" s="9" t="str">
        <x:v>Root A source package</x:v>
      </x:c>
      <x:c r="E51" s="9" t="n">
        <x:f>'Controls'!$D$69</x:f>
        <x:v>0</x:v>
      </x:c>
      <x:c r="F51" s="9" t="n">
        <x:v>1</x:v>
      </x:c>
      <x:c r="G51" s="9" t="str">
        <x:f>IF(AND(E51=F51,COUNTIFS($G$7:$G$50,"PASS")=44),"PASS","OPEN")</x:f>
        <x:v>OPEN</x:v>
      </x:c>
      <x:c r="H51" s="9" t="str">
        <x:f>IF(G51="PASS","AUTHORIZED",IF(ROW()&gt;=69,"BLOCKED","HOLD"))</x:f>
        <x:v>HOLD</x:v>
      </x:c>
      <x:c r="I51" s="9" t="str">
        <x:v>all planning gates</x:v>
      </x:c>
    </x:row>
    <x:row r="52">
      <x:c r="B52" s="9" t="str">
        <x:v>G46</x:v>
      </x:c>
      <x:c r="C52" s="9" t="str">
        <x:v>SOURCE EVIDENCE</x:v>
      </x:c>
      <x:c r="D52" s="9" t="str">
        <x:v>Root B source package</x:v>
      </x:c>
      <x:c r="E52" s="9" t="n">
        <x:f>'Controls'!$D$70</x:f>
        <x:v>0</x:v>
      </x:c>
      <x:c r="F52" s="9" t="n">
        <x:v>1</x:v>
      </x:c>
      <x:c r="G52" s="9" t="str">
        <x:f>IF(AND(E52=F52,G51="PASS"),"PASS","OPEN")</x:f>
        <x:v>OPEN</x:v>
      </x:c>
      <x:c r="H52" s="9" t="str">
        <x:f>IF(G52="PASS","AUTHORIZED",IF(ROW()&gt;=69,"BLOCKED","HOLD"))</x:f>
        <x:v>HOLD</x:v>
      </x:c>
      <x:c r="I52" s="9" t="str">
        <x:v>G45</x:v>
      </x:c>
    </x:row>
    <x:row r="53">
      <x:c r="B53" s="9" t="str">
        <x:v>G47</x:v>
      </x:c>
      <x:c r="C53" s="9" t="str">
        <x:v>SOURCE EVIDENCE</x:v>
      </x:c>
      <x:c r="D53" s="9" t="str">
        <x:v>Root A coupons</x:v>
      </x:c>
      <x:c r="E53" s="9" t="n">
        <x:f>'Controls'!$D$71</x:f>
        <x:v>0</x:v>
      </x:c>
      <x:c r="F53" s="9" t="n">
        <x:v>1</x:v>
      </x:c>
      <x:c r="G53" s="9" t="str">
        <x:f>IF(AND(E53=F53,G52="PASS"),"PASS","OPEN")</x:f>
        <x:v>OPEN</x:v>
      </x:c>
      <x:c r="H53" s="9" t="str">
        <x:f>IF(G53="PASS","AUTHORIZED",IF(ROW()&gt;=69,"BLOCKED","HOLD"))</x:f>
        <x:v>HOLD</x:v>
      </x:c>
      <x:c r="I53" s="9" t="str">
        <x:v>G46</x:v>
      </x:c>
    </x:row>
    <x:row r="54">
      <x:c r="B54" s="9" t="str">
        <x:v>G48</x:v>
      </x:c>
      <x:c r="C54" s="9" t="str">
        <x:v>SOURCE EVIDENCE</x:v>
      </x:c>
      <x:c r="D54" s="9" t="str">
        <x:v>Root B coupons</x:v>
      </x:c>
      <x:c r="E54" s="9" t="n">
        <x:f>'Controls'!$D$72</x:f>
        <x:v>0</x:v>
      </x:c>
      <x:c r="F54" s="9" t="n">
        <x:v>1</x:v>
      </x:c>
      <x:c r="G54" s="9" t="str">
        <x:f>IF(AND(E54=F54,G53="PASS"),"PASS","OPEN")</x:f>
        <x:v>OPEN</x:v>
      </x:c>
      <x:c r="H54" s="9" t="str">
        <x:f>IF(G54="PASS","AUTHORIZED",IF(ROW()&gt;=69,"BLOCKED","HOLD"))</x:f>
        <x:v>HOLD</x:v>
      </x:c>
      <x:c r="I54" s="9" t="str">
        <x:v>G47</x:v>
      </x:c>
    </x:row>
    <x:row r="55">
      <x:c r="B55" s="9" t="str">
        <x:v>G49</x:v>
      </x:c>
      <x:c r="C55" s="9" t="str">
        <x:v>SOURCE EVIDENCE</x:v>
      </x:c>
      <x:c r="D55" s="9" t="str">
        <x:v>Root A NDE</x:v>
      </x:c>
      <x:c r="E55" s="9" t="n">
        <x:f>'Controls'!$D$73</x:f>
        <x:v>0</x:v>
      </x:c>
      <x:c r="F55" s="9" t="n">
        <x:v>1</x:v>
      </x:c>
      <x:c r="G55" s="9" t="str">
        <x:f>IF(AND(E55=F55,G54="PASS"),"PASS","OPEN")</x:f>
        <x:v>OPEN</x:v>
      </x:c>
      <x:c r="H55" s="9" t="str">
        <x:f>IF(G55="PASS","AUTHORIZED",IF(ROW()&gt;=69,"BLOCKED","HOLD"))</x:f>
        <x:v>HOLD</x:v>
      </x:c>
      <x:c r="I55" s="9" t="str">
        <x:v>G48</x:v>
      </x:c>
    </x:row>
    <x:row r="56">
      <x:c r="B56" s="9" t="str">
        <x:v>G50</x:v>
      </x:c>
      <x:c r="C56" s="9" t="str">
        <x:v>SOURCE EVIDENCE</x:v>
      </x:c>
      <x:c r="D56" s="9" t="str">
        <x:v>Root B NDE</x:v>
      </x:c>
      <x:c r="E56" s="9" t="n">
        <x:f>'Controls'!$D$74</x:f>
        <x:v>0</x:v>
      </x:c>
      <x:c r="F56" s="9" t="n">
        <x:v>1</x:v>
      </x:c>
      <x:c r="G56" s="9" t="str">
        <x:f>IF(AND(E56=F56,G55="PASS"),"PASS","OPEN")</x:f>
        <x:v>OPEN</x:v>
      </x:c>
      <x:c r="H56" s="9" t="str">
        <x:f>IF(G56="PASS","AUTHORIZED",IF(ROW()&gt;=69,"BLOCKED","HOLD"))</x:f>
        <x:v>HOLD</x:v>
      </x:c>
      <x:c r="I56" s="9" t="str">
        <x:v>G49</x:v>
      </x:c>
    </x:row>
    <x:row r="57">
      <x:c r="B57" s="9" t="str">
        <x:v>G51</x:v>
      </x:c>
      <x:c r="C57" s="9" t="str">
        <x:v>SOURCE EVIDENCE</x:v>
      </x:c>
      <x:c r="D57" s="9" t="str">
        <x:v>Root A destructive witnesses</x:v>
      </x:c>
      <x:c r="E57" s="9" t="n">
        <x:f>'Controls'!$D$75</x:f>
        <x:v>0</x:v>
      </x:c>
      <x:c r="F57" s="9" t="n">
        <x:v>1</x:v>
      </x:c>
      <x:c r="G57" s="9" t="str">
        <x:f>IF(AND(E57=F57,G56="PASS"),"PASS","OPEN")</x:f>
        <x:v>OPEN</x:v>
      </x:c>
      <x:c r="H57" s="9" t="str">
        <x:f>IF(G57="PASS","AUTHORIZED",IF(ROW()&gt;=69,"BLOCKED","HOLD"))</x:f>
        <x:v>HOLD</x:v>
      </x:c>
      <x:c r="I57" s="9" t="str">
        <x:v>G50</x:v>
      </x:c>
    </x:row>
    <x:row r="58">
      <x:c r="B58" s="9" t="str">
        <x:v>G52</x:v>
      </x:c>
      <x:c r="C58" s="9" t="str">
        <x:v>SOURCE EVIDENCE</x:v>
      </x:c>
      <x:c r="D58" s="9" t="str">
        <x:v>Root B destructive witnesses</x:v>
      </x:c>
      <x:c r="E58" s="9" t="n">
        <x:f>'Controls'!$D$76</x:f>
        <x:v>0</x:v>
      </x:c>
      <x:c r="F58" s="9" t="n">
        <x:v>1</x:v>
      </x:c>
      <x:c r="G58" s="9" t="str">
        <x:f>IF(AND(E58=F58,G57="PASS"),"PASS","OPEN")</x:f>
        <x:v>OPEN</x:v>
      </x:c>
      <x:c r="H58" s="9" t="str">
        <x:f>IF(G58="PASS","AUTHORIZED",IF(ROW()&gt;=69,"BLOCKED","HOLD"))</x:f>
        <x:v>HOLD</x:v>
      </x:c>
      <x:c r="I58" s="9" t="str">
        <x:v>G51</x:v>
      </x:c>
    </x:row>
    <x:row r="59">
      <x:c r="B59" s="9" t="str">
        <x:v>G53</x:v>
      </x:c>
      <x:c r="C59" s="9" t="str">
        <x:v>SOURCE EVIDENCE</x:v>
      </x:c>
      <x:c r="D59" s="9" t="str">
        <x:v>Root A as-built schema</x:v>
      </x:c>
      <x:c r="E59" s="9" t="n">
        <x:f>'Controls'!$D$77</x:f>
        <x:v>0</x:v>
      </x:c>
      <x:c r="F59" s="9" t="n">
        <x:v>1</x:v>
      </x:c>
      <x:c r="G59" s="9" t="str">
        <x:f>IF(AND(E59=F59,G58="PASS"),"PASS","OPEN")</x:f>
        <x:v>OPEN</x:v>
      </x:c>
      <x:c r="H59" s="9" t="str">
        <x:f>IF(G59="PASS","AUTHORIZED",IF(ROW()&gt;=69,"BLOCKED","HOLD"))</x:f>
        <x:v>HOLD</x:v>
      </x:c>
      <x:c r="I59" s="9" t="str">
        <x:v>G52</x:v>
      </x:c>
    </x:row>
    <x:row r="60">
      <x:c r="B60" s="9" t="str">
        <x:v>G54</x:v>
      </x:c>
      <x:c r="C60" s="9" t="str">
        <x:v>SOURCE EVIDENCE</x:v>
      </x:c>
      <x:c r="D60" s="9" t="str">
        <x:v>Root B as-built schema</x:v>
      </x:c>
      <x:c r="E60" s="9" t="n">
        <x:f>'Controls'!$D$78</x:f>
        <x:v>0</x:v>
      </x:c>
      <x:c r="F60" s="9" t="n">
        <x:v>1</x:v>
      </x:c>
      <x:c r="G60" s="9" t="str">
        <x:f>IF(AND(E60=F60,G59="PASS"),"PASS","OPEN")</x:f>
        <x:v>OPEN</x:v>
      </x:c>
      <x:c r="H60" s="9" t="str">
        <x:f>IF(G60="PASS","AUTHORIZED",IF(ROW()&gt;=69,"BLOCKED","HOLD"))</x:f>
        <x:v>HOLD</x:v>
      </x:c>
      <x:c r="I60" s="9" t="str">
        <x:v>G53</x:v>
      </x:c>
    </x:row>
    <x:row r="61">
      <x:c r="B61" s="9" t="str">
        <x:v>G55</x:v>
      </x:c>
      <x:c r="C61" s="9" t="str">
        <x:v>SOURCE EVIDENCE</x:v>
      </x:c>
      <x:c r="D61" s="9" t="str">
        <x:v>Root A mass and CG</x:v>
      </x:c>
      <x:c r="E61" s="9" t="n">
        <x:f>'Controls'!$D$79</x:f>
        <x:v>0</x:v>
      </x:c>
      <x:c r="F61" s="9" t="n">
        <x:v>1</x:v>
      </x:c>
      <x:c r="G61" s="9" t="str">
        <x:f>IF(AND(E61=F61,G60="PASS"),"PASS","OPEN")</x:f>
        <x:v>OPEN</x:v>
      </x:c>
      <x:c r="H61" s="9" t="str">
        <x:f>IF(G61="PASS","AUTHORIZED",IF(ROW()&gt;=69,"BLOCKED","HOLD"))</x:f>
        <x:v>HOLD</x:v>
      </x:c>
      <x:c r="I61" s="9" t="str">
        <x:v>G54</x:v>
      </x:c>
    </x:row>
    <x:row r="62">
      <x:c r="B62" s="9" t="str">
        <x:v>G56</x:v>
      </x:c>
      <x:c r="C62" s="9" t="str">
        <x:v>SOURCE EVIDENCE</x:v>
      </x:c>
      <x:c r="D62" s="9" t="str">
        <x:v>Root B mass and CG</x:v>
      </x:c>
      <x:c r="E62" s="9" t="n">
        <x:f>'Controls'!$D$80</x:f>
        <x:v>0</x:v>
      </x:c>
      <x:c r="F62" s="9" t="n">
        <x:v>1</x:v>
      </x:c>
      <x:c r="G62" s="9" t="str">
        <x:f>IF(AND(E62=F62,G61="PASS"),"PASS","OPEN")</x:f>
        <x:v>OPEN</x:v>
      </x:c>
      <x:c r="H62" s="9" t="str">
        <x:f>IF(G62="PASS","AUTHORIZED",IF(ROW()&gt;=69,"BLOCKED","HOLD"))</x:f>
        <x:v>HOLD</x:v>
      </x:c>
      <x:c r="I62" s="9" t="str">
        <x:v>G55</x:v>
      </x:c>
    </x:row>
    <x:row r="63">
      <x:c r="B63" s="9" t="str">
        <x:v>G57</x:v>
      </x:c>
      <x:c r="C63" s="9" t="str">
        <x:v>SOURCE EVIDENCE</x:v>
      </x:c>
      <x:c r="D63" s="9" t="str">
        <x:v>Root A hydraulic/collar</x:v>
      </x:c>
      <x:c r="E63" s="9" t="n">
        <x:f>'Controls'!$D$81</x:f>
        <x:v>0</x:v>
      </x:c>
      <x:c r="F63" s="9" t="n">
        <x:v>1</x:v>
      </x:c>
      <x:c r="G63" s="9" t="str">
        <x:f>IF(AND(E63=F63,G62="PASS"),"PASS","OPEN")</x:f>
        <x:v>OPEN</x:v>
      </x:c>
      <x:c r="H63" s="9" t="str">
        <x:f>IF(G63="PASS","AUTHORIZED",IF(ROW()&gt;=69,"BLOCKED","HOLD"))</x:f>
        <x:v>HOLD</x:v>
      </x:c>
      <x:c r="I63" s="9" t="str">
        <x:v>G56</x:v>
      </x:c>
    </x:row>
    <x:row r="64">
      <x:c r="B64" s="9" t="str">
        <x:v>G58</x:v>
      </x:c>
      <x:c r="C64" s="9" t="str">
        <x:v>SOURCE EVIDENCE</x:v>
      </x:c>
      <x:c r="D64" s="9" t="str">
        <x:v>Root B hydraulic/collar</x:v>
      </x:c>
      <x:c r="E64" s="9" t="n">
        <x:f>'Controls'!$D$82</x:f>
        <x:v>0</x:v>
      </x:c>
      <x:c r="F64" s="9" t="n">
        <x:v>1</x:v>
      </x:c>
      <x:c r="G64" s="9" t="str">
        <x:f>IF(AND(E64=F64,G63="PASS"),"PASS","OPEN")</x:f>
        <x:v>OPEN</x:v>
      </x:c>
      <x:c r="H64" s="9" t="str">
        <x:f>IF(G64="PASS","AUTHORIZED",IF(ROW()&gt;=69,"BLOCKED","HOLD"))</x:f>
        <x:v>HOLD</x:v>
      </x:c>
      <x:c r="I64" s="9" t="str">
        <x:v>G57</x:v>
      </x:c>
    </x:row>
    <x:row r="65">
      <x:c r="B65" s="9" t="str">
        <x:v>G59</x:v>
      </x:c>
      <x:c r="C65" s="9" t="str">
        <x:v>SOURCE EVIDENCE</x:v>
      </x:c>
      <x:c r="D65" s="9" t="str">
        <x:v>Root A power/thermal</x:v>
      </x:c>
      <x:c r="E65" s="9" t="n">
        <x:f>'Controls'!$D$83</x:f>
        <x:v>0</x:v>
      </x:c>
      <x:c r="F65" s="9" t="n">
        <x:v>1</x:v>
      </x:c>
      <x:c r="G65" s="9" t="str">
        <x:f>IF(AND(E65=F65,G64="PASS"),"PASS","OPEN")</x:f>
        <x:v>OPEN</x:v>
      </x:c>
      <x:c r="H65" s="9" t="str">
        <x:f>IF(G65="PASS","AUTHORIZED",IF(ROW()&gt;=69,"BLOCKED","HOLD"))</x:f>
        <x:v>HOLD</x:v>
      </x:c>
      <x:c r="I65" s="9" t="str">
        <x:v>G58</x:v>
      </x:c>
    </x:row>
    <x:row r="66">
      <x:c r="B66" s="9" t="str">
        <x:v>G60</x:v>
      </x:c>
      <x:c r="C66" s="9" t="str">
        <x:v>SOURCE EVIDENCE</x:v>
      </x:c>
      <x:c r="D66" s="9" t="str">
        <x:v>Root B power/thermal</x:v>
      </x:c>
      <x:c r="E66" s="9" t="n">
        <x:f>'Controls'!$D$84</x:f>
        <x:v>0</x:v>
      </x:c>
      <x:c r="F66" s="9" t="n">
        <x:v>1</x:v>
      </x:c>
      <x:c r="G66" s="9" t="str">
        <x:f>IF(AND(E66=F66,G65="PASS"),"PASS","OPEN")</x:f>
        <x:v>OPEN</x:v>
      </x:c>
      <x:c r="H66" s="9" t="str">
        <x:f>IF(G66="PASS","AUTHORIZED",IF(ROW()&gt;=69,"BLOCKED","HOLD"))</x:f>
        <x:v>HOLD</x:v>
      </x:c>
      <x:c r="I66" s="9" t="str">
        <x:v>G59</x:v>
      </x:c>
    </x:row>
    <x:row r="67">
      <x:c r="B67" s="9" t="str">
        <x:v>G61</x:v>
      </x:c>
      <x:c r="C67" s="9" t="str">
        <x:v>SOURCE EVIDENCE</x:v>
      </x:c>
      <x:c r="D67" s="9" t="str">
        <x:v>Independent reproduction</x:v>
      </x:c>
      <x:c r="E67" s="9" t="n">
        <x:f>'Controls'!$D$85</x:f>
        <x:v>0</x:v>
      </x:c>
      <x:c r="F67" s="9" t="n">
        <x:v>1</x:v>
      </x:c>
      <x:c r="G67" s="9" t="str">
        <x:f>IF(AND(E67=F67,G66="PASS"),"PASS","OPEN")</x:f>
        <x:v>OPEN</x:v>
      </x:c>
      <x:c r="H67" s="9" t="str">
        <x:f>IF(G67="PASS","AUTHORIZED",IF(ROW()&gt;=69,"BLOCKED","HOLD"))</x:f>
        <x:v>HOLD</x:v>
      </x:c>
      <x:c r="I67" s="9" t="str">
        <x:v>G60</x:v>
      </x:c>
    </x:row>
    <x:row r="68">
      <x:c r="B68" s="9" t="str">
        <x:v>G62</x:v>
      </x:c>
      <x:c r="C68" s="9" t="str">
        <x:v>SOURCE EVIDENCE</x:v>
      </x:c>
      <x:c r="D68" s="9" t="str">
        <x:v>Build-package board</x:v>
      </x:c>
      <x:c r="E68" s="9" t="n">
        <x:f>'Controls'!$D$86</x:f>
        <x:v>0</x:v>
      </x:c>
      <x:c r="F68" s="9" t="n">
        <x:v>1</x:v>
      </x:c>
      <x:c r="G68" s="9" t="str">
        <x:f>IF(AND(E68=F68,G67="PASS"),"PASS","OPEN")</x:f>
        <x:v>OPEN</x:v>
      </x:c>
      <x:c r="H68" s="9" t="str">
        <x:f>IF(G68="PASS","AUTHORIZED",IF(ROW()&gt;=69,"BLOCKED","HOLD"))</x:f>
        <x:v>HOLD</x:v>
      </x:c>
      <x:c r="I68" s="9" t="str">
        <x:v>G61</x:v>
      </x:c>
    </x:row>
    <x:row r="69">
      <x:c r="B69" s="9" t="str">
        <x:v>G63</x:v>
      </x:c>
      <x:c r="C69" s="9" t="str">
        <x:v>SOURCE EVIDENCE</x:v>
      </x:c>
      <x:c r="D69" s="9" t="str">
        <x:v>Article acceptance</x:v>
      </x:c>
      <x:c r="E69" s="9" t="n">
        <x:f>'Controls'!$D$87</x:f>
        <x:v>0</x:v>
      </x:c>
      <x:c r="F69" s="9" t="n">
        <x:v>1</x:v>
      </x:c>
      <x:c r="G69" s="9" t="str">
        <x:f>IF(AND(E69=F69,G68="PASS"),"PASS","OPEN")</x:f>
        <x:v>OPEN</x:v>
      </x:c>
      <x:c r="H69" s="9" t="str">
        <x:f>IF(G69="PASS","AUTHORIZED",IF(ROW()&gt;=69,"BLOCKED","HOLD"))</x:f>
        <x:v>BLOCKED</x:v>
      </x:c>
      <x:c r="I69" s="9" t="str">
        <x:v>G62</x:v>
      </x:c>
    </x:row>
    <x:row r="70">
      <x:c r="B70" s="9" t="str">
        <x:v>G64</x:v>
      </x:c>
      <x:c r="C70" s="9" t="str">
        <x:v>SOURCE EVIDENCE</x:v>
      </x:c>
      <x:c r="D70" s="9" t="str">
        <x:v>CRC-E01 admission</x:v>
      </x:c>
      <x:c r="E70" s="9" t="n">
        <x:f>'Controls'!$D$88</x:f>
        <x:v>0</x:v>
      </x:c>
      <x:c r="F70" s="9" t="n">
        <x:v>1</x:v>
      </x:c>
      <x:c r="G70" s="9" t="str">
        <x:f>IF(AND(E70=F70,G69="PASS"),"PASS","OPEN")</x:f>
        <x:v>OPEN</x:v>
      </x:c>
      <x:c r="H70" s="9" t="str">
        <x:f>IF(G70="PASS","AUTHORIZED",IF(ROW()&gt;=69,"BLOCKED","HOLD"))</x:f>
        <x:v>BLOCKED</x:v>
      </x:c>
      <x:c r="I70" s="9" t="str">
        <x:v>G63</x:v>
      </x:c>
    </x:row>
    <x:row r="71">
      <x:c r="B71" s="9" t="str">
        <x:v>G65</x:v>
      </x:c>
      <x:c r="C71" s="9" t="str">
        <x:v>SOURCE EVIDENCE</x:v>
      </x:c>
      <x:c r="D71" s="9" t="str">
        <x:v>Production authority</x:v>
      </x:c>
      <x:c r="E71" s="9" t="n">
        <x:f>'Controls'!$D$89</x:f>
        <x:v>0</x:v>
      </x:c>
      <x:c r="F71" s="9" t="n">
        <x:v>1</x:v>
      </x:c>
      <x:c r="G71" s="9" t="str">
        <x:f>IF(AND(E71=F71,G70="PASS"),"PASS","OPEN")</x:f>
        <x:v>OPEN</x:v>
      </x:c>
      <x:c r="H71" s="9" t="str">
        <x:f>IF(G71="PASS","AUTHORIZED",IF(ROW()&gt;=69,"BLOCKED","HOLD"))</x:f>
        <x:v>BLOCKED</x:v>
      </x:c>
      <x:c r="I71" s="9" t="str">
        <x:v>G64</x:v>
      </x:c>
    </x:row>
    <x:row r="72">
      <x:c r="B72" s="10" t="str">
        <x:v>G66</x:v>
      </x:c>
      <x:c r="C72" s="10" t="str">
        <x:v>SOURCE EVIDENCE</x:v>
      </x:c>
      <x:c r="D72" s="10" t="str">
        <x:v>Exterior rendering authority</x:v>
      </x:c>
      <x:c r="E72" s="10" t="n">
        <x:f>'Controls'!$D$90</x:f>
        <x:v>0</x:v>
      </x:c>
      <x:c r="F72" s="10" t="n">
        <x:v>1</x:v>
      </x:c>
      <x:c r="G72" s="10" t="str">
        <x:f>IF(AND(E72=F72,G71="PASS"),"PASS","OPEN")</x:f>
        <x:v>OPEN</x:v>
      </x:c>
      <x:c r="H72" s="10" t="str">
        <x:f>IF(G72="PASS","AUTHORIZED",IF(ROW()&gt;=69,"BLOCKED","HOLD"))</x:f>
        <x:v>BLOCKED</x:v>
      </x:c>
      <x:c r="I72" s="10" t="str">
        <x:v>G65</x:v>
      </x:c>
    </x:row>
  </x:sheetData>
  <x:mergeCells>
    <x:mergeCell ref="B2:I2"/>
    <x:mergeCell ref="B3:I3"/>
  </x:mergeCells>
  <x:conditionalFormatting sqref="G7:H72">
    <x:cfRule type="containsText" dxfId="231" priority="1" operator="containsText" text="PASS"/>
    <x:cfRule type="containsText" dxfId="232" priority="2" operator="containsText" text="AUTHORIZED"/>
    <x:cfRule type="containsText" dxfId="233" priority="3" operator="containsText" text="DEFINED"/>
    <x:cfRule type="containsText" dxfId="234" priority="4" operator="containsText" text="READY"/>
    <x:cfRule type="containsText" dxfId="235" priority="5" operator="containsText" text="HOLD"/>
    <x:cfRule type="containsText" dxfId="236" priority="6" operator="containsText" text="OPEN"/>
    <x:cfRule type="containsText" dxfId="237" priority="7" operator="containsText" text="BLOCKED"/>
    <x:cfRule type="containsText" dxfId="238" priority="8" operator="containsText" text="PLANNING"/>
    <x:cfRule type="containsText" dxfId="239" priority="9" operator="containsText" text="FAIL"/>
    <x:cfRule type="containsText" dxfId="240" priority="10" operator="containsText" text="REJECT"/>
    <x:cfRule type="containsText" dxfId="241" priority="11" operator="containsText" text="INCOMPLETE"/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Pr>
    <x:tabColor rgb="FF5D6B7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2" hidden="0" customWidth="1"/>
    <x:col min="3" max="3" width="18" hidden="0" customWidth="1"/>
    <x:col min="4" max="4" width="48" hidden="0" customWidth="1"/>
    <x:col min="5" max="5" width="18" hidden="0" customWidth="1"/>
    <x:col min="6" max="6" width="18" hidden="0" customWidth="1"/>
    <x:col min="7" max="7" width="16" hidden="0" customWidth="1"/>
  </x:cols>
  <x:sheetData>
    <x:row r="2">
      <x:c r="B2" s="1" t="str">
        <x:v>Independent terminal audit</x:v>
      </x:c>
    </x:row>
    <x:row r="3">
      <x:c r="B3" s="2" t="str">
        <x:v>This sheet only observes source and decision sheets; no source, calculation, summary or release gate depends on it.</x:v>
      </x:c>
    </x:row>
    <x:row r="4">
      <x:c r="B4" s="3"/>
      <x:c r="C4" s="3"/>
      <x:c r="D4" s="3"/>
      <x:c r="E4" s="3"/>
      <x:c r="F4" s="3"/>
      <x:c r="G4" s="3"/>
    </x:row>
    <x:row r="6">
      <x:c r="B6" s="7" t="str">
        <x:v>Check</x:v>
      </x:c>
      <x:c r="C6" s="7" t="str">
        <x:v>Family</x:v>
      </x:c>
      <x:c r="D6" s="7" t="str">
        <x:v>Assertion</x:v>
      </x:c>
      <x:c r="E6" s="7" t="str">
        <x:v>Actual</x:v>
      </x:c>
      <x:c r="F6" s="7" t="str">
        <x:v>Expected</x:v>
      </x:c>
      <x:c r="G6" s="7" t="str">
        <x:v>Result</x:v>
      </x:c>
    </x:row>
    <x:row r="7">
      <x:c r="B7" s="9" t="str">
        <x:v>A001</x:v>
      </x:c>
      <x:c r="C7" s="9" t="str">
        <x:v>Mass</x:v>
      </x:c>
      <x:c r="D7" s="9" t="str">
        <x:v>Root A physical</x:v>
      </x:c>
      <x:c r="E7" s="16" t="n">
        <x:f>'Mass and Energy'!C34</x:f>
        <x:v>30.9</x:v>
      </x:c>
      <x:c r="F7" s="16" t="n">
        <x:v>30.9</x:v>
      </x:c>
      <x:c r="G7" s="9" t="str">
        <x:f>IF(ISNUMBER(E7),IF(ABS(E7-F7)&lt;0.01,"PASS","FAIL"),IF(E7=F7,"PASS","FAIL"))</x:f>
        <x:v>PASS</x:v>
      </x:c>
    </x:row>
    <x:row r="8">
      <x:c r="B8" s="9" t="str">
        <x:v>A002</x:v>
      </x:c>
      <x:c r="C8" s="9" t="str">
        <x:v>Mass</x:v>
      </x:c>
      <x:c r="D8" s="9" t="str">
        <x:v>Root B physical</x:v>
      </x:c>
      <x:c r="E8" s="16" t="n">
        <x:f>'Mass and Energy'!C35</x:f>
        <x:v>30.9</x:v>
      </x:c>
      <x:c r="F8" s="16" t="n">
        <x:v>30.9</x:v>
      </x:c>
      <x:c r="G8" s="9" t="str">
        <x:f>IF(ISNUMBER(E8),IF(ABS(E8-F8)&lt;0.01,"PASS","FAIL"),IF(E8=F8,"PASS","FAIL"))</x:f>
        <x:v>PASS</x:v>
      </x:c>
    </x:row>
    <x:row r="9">
      <x:c r="B9" s="9" t="str">
        <x:v>A003</x:v>
      </x:c>
      <x:c r="C9" s="9" t="str">
        <x:v>Mass</x:v>
      </x:c>
      <x:c r="D9" s="9" t="str">
        <x:v>Root A CG X</x:v>
      </x:c>
      <x:c r="E9" s="16" t="n">
        <x:f>'Mass and Energy'!D34</x:f>
        <x:v>5.748867313915858</x:v>
      </x:c>
      <x:c r="F9" s="16" t="n">
        <x:v>5.748867</x:v>
      </x:c>
      <x:c r="G9" s="9" t="str">
        <x:f>IF(ISNUMBER(E9),IF(ABS(E9-F9)&lt;0.01,"PASS","FAIL"),IF(E9=F9,"PASS","FAIL"))</x:f>
        <x:v>PASS</x:v>
      </x:c>
    </x:row>
    <x:row r="10">
      <x:c r="B10" s="9" t="str">
        <x:v>A004</x:v>
      </x:c>
      <x:c r="C10" s="9" t="str">
        <x:v>Mass</x:v>
      </x:c>
      <x:c r="D10" s="9" t="str">
        <x:v>Root B CG X</x:v>
      </x:c>
      <x:c r="E10" s="16" t="n">
        <x:f>'Mass and Energy'!D35</x:f>
        <x:v>5.812621359223301</x:v>
      </x:c>
      <x:c r="F10" s="16" t="n">
        <x:v>5.812621</x:v>
      </x:c>
      <x:c r="G10" s="9" t="str">
        <x:f>IF(ISNUMBER(E10),IF(ABS(E10-F10)&lt;0.01,"PASS","FAIL"),IF(E10=F10,"PASS","FAIL"))</x:f>
        <x:v>PASS</x:v>
      </x:c>
    </x:row>
    <x:row r="11">
      <x:c r="B11" s="9" t="str">
        <x:v>A005</x:v>
      </x:c>
      <x:c r="C11" s="9" t="str">
        <x:v>Mass</x:v>
      </x:c>
      <x:c r="D11" s="9" t="str">
        <x:v>Root A worst uncertainty</x:v>
      </x:c>
      <x:c r="E11" s="16" t="n">
        <x:f>'Mass and Energy'!G34</x:f>
        <x:v>0.8000000000000002</x:v>
      </x:c>
      <x:c r="F11" s="16" t="n">
        <x:v>0.8</x:v>
      </x:c>
      <x:c r="G11" s="9" t="str">
        <x:f>IF(ISNUMBER(E11),IF(ABS(E11-F11)&lt;0.01,"PASS","FAIL"),IF(E11=F11,"PASS","FAIL"))</x:f>
        <x:v>PASS</x:v>
      </x:c>
    </x:row>
    <x:row r="12">
      <x:c r="B12" s="9" t="str">
        <x:v>A006</x:v>
      </x:c>
      <x:c r="C12" s="9" t="str">
        <x:v>Mass</x:v>
      </x:c>
      <x:c r="D12" s="9" t="str">
        <x:v>Root B worst uncertainty</x:v>
      </x:c>
      <x:c r="E12" s="16" t="n">
        <x:f>'Mass and Energy'!G35</x:f>
        <x:v>0.8600000000000002</x:v>
      </x:c>
      <x:c r="F12" s="16" t="n">
        <x:v>0.86</x:v>
      </x:c>
      <x:c r="G12" s="9" t="str">
        <x:f>IF(ISNUMBER(E12),IF(ABS(E12-F12)&lt;0.01,"PASS","FAIL"),IF(E12=F12,"PASS","FAIL"))</x:f>
        <x:v>PASS</x:v>
      </x:c>
    </x:row>
    <x:row r="13">
      <x:c r="B13" s="9" t="str">
        <x:v>A007</x:v>
      </x:c>
      <x:c r="C13" s="9" t="str">
        <x:v>Mass</x:v>
      </x:c>
      <x:c r="D13" s="9" t="str">
        <x:v>Root A RSS</x:v>
      </x:c>
      <x:c r="E13" s="16" t="n">
        <x:f>'Mass and Energy'!H34</x:f>
        <x:v>0.2824889378365107</x:v>
      </x:c>
      <x:c r="F13" s="16" t="n">
        <x:v>0.282489</x:v>
      </x:c>
      <x:c r="G13" s="9" t="str">
        <x:f>IF(ISNUMBER(E13),IF(ABS(E13-F13)&lt;0.01,"PASS","FAIL"),IF(E13=F13,"PASS","FAIL"))</x:f>
        <x:v>PASS</x:v>
      </x:c>
    </x:row>
    <x:row r="14">
      <x:c r="B14" s="9" t="str">
        <x:v>A008</x:v>
      </x:c>
      <x:c r="C14" s="9" t="str">
        <x:v>Mass</x:v>
      </x:c>
      <x:c r="D14" s="9" t="str">
        <x:v>Root B RSS</x:v>
      </x:c>
      <x:c r="E14" s="16" t="n">
        <x:f>'Mass and Energy'!H35</x:f>
        <x:v>0.2925747767665559</x:v>
      </x:c>
      <x:c r="F14" s="16" t="n">
        <x:v>0.292575</x:v>
      </x:c>
      <x:c r="G14" s="9" t="str">
        <x:f>IF(ISNUMBER(E14),IF(ABS(E14-F14)&lt;0.01,"PASS","FAIL"),IF(E14=F14,"PASS","FAIL"))</x:f>
        <x:v>PASS</x:v>
      </x:c>
    </x:row>
    <x:row r="15">
      <x:c r="B15" s="9" t="str">
        <x:v>A009</x:v>
      </x:c>
      <x:c r="C15" s="9" t="str">
        <x:v>State</x:v>
      </x:c>
      <x:c r="D15" s="9" t="str">
        <x:v>Proof mass</x:v>
      </x:c>
      <x:c r="E15" s="16" t="n">
        <x:f>'Mass and Energy'!G40</x:f>
        <x:v>40</x:v>
      </x:c>
      <x:c r="F15" s="16" t="n">
        <x:v>40</x:v>
      </x:c>
      <x:c r="G15" s="9" t="str">
        <x:f>IF(ISNUMBER(E15),IF(ABS(E15-F15)&lt;0.01,"PASS","FAIL"),IF(E15=F15,"PASS","FAIL"))</x:f>
        <x:v>PASS</x:v>
      </x:c>
    </x:row>
    <x:row r="16">
      <x:c r="B16" s="9" t="str">
        <x:v>A010</x:v>
      </x:c>
      <x:c r="C16" s="9" t="str">
        <x:v>State</x:v>
      </x:c>
      <x:c r="D16" s="9" t="str">
        <x:v>Root A energy mass</x:v>
      </x:c>
      <x:c r="E16" s="16" t="n">
        <x:f>'Mass and Energy'!G41</x:f>
        <x:v>40</x:v>
      </x:c>
      <x:c r="F16" s="16" t="n">
        <x:v>40</x:v>
      </x:c>
      <x:c r="G16" s="9" t="str">
        <x:f>IF(ISNUMBER(E16),IF(ABS(E16-F16)&lt;0.01,"PASS","FAIL"),IF(E16=F16,"PASS","FAIL"))</x:f>
        <x:v>PASS</x:v>
      </x:c>
    </x:row>
    <x:row r="17">
      <x:c r="B17" s="9" t="str">
        <x:v>A011</x:v>
      </x:c>
      <x:c r="C17" s="9" t="str">
        <x:v>State</x:v>
      </x:c>
      <x:c r="D17" s="9" t="str">
        <x:v>Root B energy mass</x:v>
      </x:c>
      <x:c r="E17" s="16" t="n">
        <x:f>'Mass and Energy'!G42</x:f>
        <x:v>40</x:v>
      </x:c>
      <x:c r="F17" s="16" t="n">
        <x:v>40</x:v>
      </x:c>
      <x:c r="G17" s="9" t="str">
        <x:f>IF(ISNUMBER(E17),IF(ABS(E17-F17)&lt;0.01,"PASS","FAIL"),IF(E17=F17,"PASS","FAIL"))</x:f>
        <x:v>PASS</x:v>
      </x:c>
    </x:row>
    <x:row r="18">
      <x:c r="B18" s="9" t="str">
        <x:v>A012</x:v>
      </x:c>
      <x:c r="C18" s="9" t="str">
        <x:v>Energy</x:v>
      </x:c>
      <x:c r="D18" s="9" t="str">
        <x:v>Root A MWh</x:v>
      </x:c>
      <x:c r="E18" s="16" t="n">
        <x:f>'Mass and Energy'!G47</x:f>
        <x:v>14.835280000000001</x:v>
      </x:c>
      <x:c r="F18" s="16" t="n">
        <x:v>14.83528</x:v>
      </x:c>
      <x:c r="G18" s="9" t="str">
        <x:f>IF(ISNUMBER(E18),IF(ABS(E18-F18)&lt;0.01,"PASS","FAIL"),IF(E18=F18,"PASS","FAIL"))</x:f>
        <x:v>PASS</x:v>
      </x:c>
    </x:row>
    <x:row r="19">
      <x:c r="B19" s="9" t="str">
        <x:v>A013</x:v>
      </x:c>
      <x:c r="C19" s="9" t="str">
        <x:v>Energy</x:v>
      </x:c>
      <x:c r="D19" s="9" t="str">
        <x:v>Root B MWh</x:v>
      </x:c>
      <x:c r="E19" s="16" t="n">
        <x:f>'Mass and Energy'!G48</x:f>
        <x:v>15.086159999999998</x:v>
      </x:c>
      <x:c r="F19" s="16" t="n">
        <x:v>15.08616</x:v>
      </x:c>
      <x:c r="G19" s="9" t="str">
        <x:f>IF(ISNUMBER(E19),IF(ABS(E19-F19)&lt;0.01,"PASS","FAIL"),IF(E19=F19,"PASS","FAIL"))</x:f>
        <x:v>PASS</x:v>
      </x:c>
    </x:row>
    <x:row r="20">
      <x:c r="B20" s="9" t="str">
        <x:v>A014</x:v>
      </x:c>
      <x:c r="C20" s="9" t="str">
        <x:v>Energy</x:v>
      </x:c>
      <x:c r="D20" s="9" t="str">
        <x:v>Root A hours</x:v>
      </x:c>
      <x:c r="E20" s="16" t="n">
        <x:f>'Mass and Energy'!H47</x:f>
        <x:v>9.890186666666667</x:v>
      </x:c>
      <x:c r="F20" s="16" t="n">
        <x:v>9.890187</x:v>
      </x:c>
      <x:c r="G20" s="9" t="str">
        <x:f>IF(ISNUMBER(E20),IF(ABS(E20-F20)&lt;0.01,"PASS","FAIL"),IF(E20=F20,"PASS","FAIL"))</x:f>
        <x:v>PASS</x:v>
      </x:c>
    </x:row>
    <x:row r="21">
      <x:c r="B21" s="9" t="str">
        <x:v>A015</x:v>
      </x:c>
      <x:c r="C21" s="9" t="str">
        <x:v>Energy</x:v>
      </x:c>
      <x:c r="D21" s="9" t="str">
        <x:v>Root B hours</x:v>
      </x:c>
      <x:c r="E21" s="16" t="n">
        <x:f>'Mass and Energy'!H48</x:f>
        <x:v>10.057439999999998</x:v>
      </x:c>
      <x:c r="F21" s="16" t="n">
        <x:v>10.05744</x:v>
      </x:c>
      <x:c r="G21" s="9" t="str">
        <x:f>IF(ISNUMBER(E21),IF(ABS(E21-F21)&lt;0.01,"PASS","FAIL"),IF(E21=F21,"PASS","FAIL"))</x:f>
        <x:v>PASS</x:v>
      </x:c>
    </x:row>
    <x:row r="22">
      <x:c r="B22" s="9" t="str">
        <x:v>A016</x:v>
      </x:c>
      <x:c r="C22" s="9" t="str">
        <x:v>Structure</x:v>
      </x:c>
      <x:c r="D22" s="9" t="str">
        <x:v>reference load</x:v>
      </x:c>
      <x:c r="E22" s="16" t="n">
        <x:f>'Structural Checks'!E7</x:f>
        <x:v>58839.9</x:v>
      </x:c>
      <x:c r="F22" s="16" t="n">
        <x:v>58839.9</x:v>
      </x:c>
      <x:c r="G22" s="9" t="str">
        <x:f>IF(ISNUMBER(E22),IF(ABS(E22-F22)&lt;0.01,"PASS","FAIL"),IF(E22=F22,"PASS","FAIL"))</x:f>
        <x:v>PASS</x:v>
      </x:c>
    </x:row>
    <x:row r="23">
      <x:c r="B23" s="9" t="str">
        <x:v>A017</x:v>
      </x:c>
      <x:c r="C23" s="9" t="str">
        <x:v>Structure</x:v>
      </x:c>
      <x:c r="D23" s="9" t="str">
        <x:v>moment</x:v>
      </x:c>
      <x:c r="E23" s="16" t="n">
        <x:f>'Structural Checks'!E8</x:f>
        <x:v>735498.75</x:v>
      </x:c>
      <x:c r="F23" s="16" t="n">
        <x:v>735498.75</x:v>
      </x:c>
      <x:c r="G23" s="9" t="str">
        <x:f>IF(ISNUMBER(E23),IF(ABS(E23-F23)&lt;0.01,"PASS","FAIL"),IF(E23=F23,"PASS","FAIL"))</x:f>
        <x:v>PASS</x:v>
      </x:c>
    </x:row>
    <x:row r="24">
      <x:c r="B24" s="9" t="str">
        <x:v>A018</x:v>
      </x:c>
      <x:c r="C24" s="9" t="str">
        <x:v>Structure</x:v>
      </x:c>
      <x:c r="D24" s="9" t="str">
        <x:v>chord demand</x:v>
      </x:c>
      <x:c r="E24" s="16" t="n">
        <x:f>'Structural Checks'!E9</x:f>
        <x:v>319782.06521739135</x:v>
      </x:c>
      <x:c r="F24" s="16" t="n">
        <x:v>319782.066</x:v>
      </x:c>
      <x:c r="G24" s="9" t="str">
        <x:f>IF(ISNUMBER(E24),IF(ABS(E24-F24)&lt;0.01,"PASS","FAIL"),IF(E24=F24,"PASS","FAIL"))</x:f>
        <x:v>PASS</x:v>
      </x:c>
    </x:row>
    <x:row r="25">
      <x:c r="B25" s="9" t="str">
        <x:v>A019</x:v>
      </x:c>
      <x:c r="C25" s="9" t="str">
        <x:v>Structure</x:v>
      </x:c>
      <x:c r="D25" s="9" t="str">
        <x:v>Root A deflection</x:v>
      </x:c>
      <x:c r="E25" s="16" t="n">
        <x:f>'Structural Checks'!E11</x:f>
        <x:v>1.1619771653136082</x:v>
      </x:c>
      <x:c r="F25" s="16" t="n">
        <x:v>1.161977</x:v>
      </x:c>
      <x:c r="G25" s="9" t="str">
        <x:f>IF(ISNUMBER(E25),IF(ABS(E25-F25)&lt;0.01,"PASS","FAIL"),IF(E25=F25,"PASS","FAIL"))</x:f>
        <x:v>PASS</x:v>
      </x:c>
    </x:row>
    <x:row r="26">
      <x:c r="B26" s="9" t="str">
        <x:v>A020</x:v>
      </x:c>
      <x:c r="C26" s="9" t="str">
        <x:v>Structure</x:v>
      </x:c>
      <x:c r="D26" s="9" t="str">
        <x:v>Root B deflection</x:v>
      </x:c>
      <x:c r="E26" s="16" t="n">
        <x:f>'Structural Checks'!E14</x:f>
        <x:v>1.5331643153443437</x:v>
      </x:c>
      <x:c r="F26" s="16" t="n">
        <x:v>1.533164</x:v>
      </x:c>
      <x:c r="G26" s="9" t="str">
        <x:f>IF(ISNUMBER(E26),IF(ABS(E26-F26)&lt;0.01,"PASS","FAIL"),IF(E26=F26,"PASS","FAIL"))</x:f>
        <x:v>PASS</x:v>
      </x:c>
    </x:row>
    <x:row r="27">
      <x:c r="B27" s="9" t="str">
        <x:v>A021</x:v>
      </x:c>
      <x:c r="C27" s="9" t="str">
        <x:v>Hydraulic</x:v>
      </x:c>
      <x:c r="D27" s="9" t="str">
        <x:v>Root A pipe mass</x:v>
      </x:c>
      <x:c r="E27" s="16" t="n">
        <x:f>'Hydraulic and Collars'!E8</x:f>
        <x:v>2.1307538013707426</x:v>
      </x:c>
      <x:c r="F27" s="16" t="n">
        <x:v>2.130754</x:v>
      </x:c>
      <x:c r="G27" s="9" t="str">
        <x:f>IF(ISNUMBER(E27),IF(ABS(E27-F27)&lt;0.01,"PASS","FAIL"),IF(E27=F27,"PASS","FAIL"))</x:f>
        <x:v>PASS</x:v>
      </x:c>
    </x:row>
    <x:row r="28">
      <x:c r="B28" s="9" t="str">
        <x:v>A022</x:v>
      </x:c>
      <x:c r="C28" s="9" t="str">
        <x:v>Hydraulic</x:v>
      </x:c>
      <x:c r="D28" s="9" t="str">
        <x:v>Root B pipe mass</x:v>
      </x:c>
      <x:c r="E28" s="16" t="n">
        <x:f>'Hydraulic and Collars'!E12</x:f>
        <x:v>0.345504820219437</x:v>
      </x:c>
      <x:c r="F28" s="16" t="n">
        <x:v>0.345505</x:v>
      </x:c>
      <x:c r="G28" s="9" t="str">
        <x:f>IF(ISNUMBER(E28),IF(ABS(E28-F28)&lt;0.01,"PASS","FAIL"),IF(E28=F28,"PASS","FAIL"))</x:f>
        <x:v>PASS</x:v>
      </x:c>
    </x:row>
    <x:row r="29">
      <x:c r="B29" s="9" t="str">
        <x:v>A023</x:v>
      </x:c>
      <x:c r="C29" s="9" t="str">
        <x:v>Hydraulic</x:v>
      </x:c>
      <x:c r="D29" s="9" t="str">
        <x:v>Root B bond shear</x:v>
      </x:c>
      <x:c r="E29" s="16" t="n">
        <x:f>'Hydraulic and Collars'!E16</x:f>
        <x:v>1.811873213705548</x:v>
      </x:c>
      <x:c r="F29" s="16" t="n">
        <x:v>1.811862</x:v>
      </x:c>
      <x:c r="G29" s="9" t="str">
        <x:f>IF(ISNUMBER(E29),IF(ABS(E29-F29)&lt;0.01,"PASS","FAIL"),IF(E29=F29,"PASS","FAIL"))</x:f>
        <x:v>PASS</x:v>
      </x:c>
    </x:row>
    <x:row r="30">
      <x:c r="B30" s="9" t="str">
        <x:v>A024</x:v>
      </x:c>
      <x:c r="C30" s="9" t="str">
        <x:v>Electrical</x:v>
      </x:c>
      <x:c r="D30" s="9" t="str">
        <x:v>normal current</x:v>
      </x:c>
      <x:c r="E30" s="16" t="n">
        <x:f>'Electrical and Protection'!E7</x:f>
        <x:v>2.0046884346862006</x:v>
      </x:c>
      <x:c r="F30" s="16" t="n">
        <x:v>2.004688</x:v>
      </x:c>
      <x:c r="G30" s="9" t="str">
        <x:f>IF(ISNUMBER(E30),IF(ABS(E30-F30)&lt;0.01,"PASS","FAIL"),IF(E30=F30,"PASS","FAIL"))</x:f>
        <x:v>PASS</x:v>
      </x:c>
    </x:row>
    <x:row r="31">
      <x:c r="B31" s="9" t="str">
        <x:v>A025</x:v>
      </x:c>
      <x:c r="C31" s="9" t="str">
        <x:v>Electrical</x:v>
      </x:c>
      <x:c r="D31" s="9" t="str">
        <x:v>transient current</x:v>
      </x:c>
      <x:c r="E31" s="16" t="n">
        <x:f>'Electrical and Protection'!E9</x:f>
        <x:v>4.009376869372401</x:v>
      </x:c>
      <x:c r="F31" s="16" t="n">
        <x:v>4.009377</x:v>
      </x:c>
      <x:c r="G31" s="9" t="str">
        <x:f>IF(ISNUMBER(E31),IF(ABS(E31-F31)&lt;0.01,"PASS","FAIL"),IF(E31=F31,"PASS","FAIL"))</x:f>
        <x:v>PASS</x:v>
      </x:c>
    </x:row>
    <x:row r="32">
      <x:c r="B32" s="9" t="str">
        <x:v>A026</x:v>
      </x:c>
      <x:c r="C32" s="9" t="str">
        <x:v>Electrical</x:v>
      </x:c>
      <x:c r="D32" s="9" t="str">
        <x:v>copper mass</x:v>
      </x:c>
      <x:c r="E32" s="16" t="n">
        <x:f>'Electrical and Protection'!E14</x:f>
        <x:v>0.6451200000000001</x:v>
      </x:c>
      <x:c r="F32" s="16" t="n">
        <x:v>0.64512</x:v>
      </x:c>
      <x:c r="G32" s="9" t="str">
        <x:f>IF(ISNUMBER(E32),IF(ABS(E32-F32)&lt;0.01,"PASS","FAIL"),IF(E32=F32,"PASS","FAIL"))</x:f>
        <x:v>PASS</x:v>
      </x:c>
    </x:row>
    <x:row r="33">
      <x:c r="B33" s="9" t="str">
        <x:v>A027</x:v>
      </x:c>
      <x:c r="C33" s="9" t="str">
        <x:v>Electrical</x:v>
      </x:c>
      <x:c r="D33" s="9" t="str">
        <x:v>aluminum mass</x:v>
      </x:c>
      <x:c r="E33" s="16" t="n">
        <x:f>'Electrical and Protection'!E19</x:f>
        <x:v>0.279936</x:v>
      </x:c>
      <x:c r="F33" s="16" t="n">
        <x:v>0.279936</x:v>
      </x:c>
      <x:c r="G33" s="9" t="str">
        <x:f>IF(ISNUMBER(E33),IF(ABS(E33-F33)&lt;0.01,"PASS","FAIL"),IF(E33=F33,"PASS","FAIL"))</x:f>
        <x:v>PASS</x:v>
      </x:c>
    </x:row>
    <x:row r="34">
      <x:c r="B34" s="9" t="str">
        <x:v>A028</x:v>
      </x:c>
      <x:c r="C34" s="9" t="str">
        <x:v>Thermal</x:v>
      </x:c>
      <x:c r="D34" s="9" t="str">
        <x:v>Root A waste</x:v>
      </x:c>
      <x:c r="E34" s="16" t="n">
        <x:f>'Thermal and Fuel'!E10</x:f>
        <x:v>2.4473684210526314</x:v>
      </x:c>
      <x:c r="F34" s="16" t="n">
        <x:v>2.447368</x:v>
      </x:c>
      <x:c r="G34" s="9" t="str">
        <x:f>IF(ISNUMBER(E34),IF(ABS(E34-F34)&lt;0.01,"PASS","FAIL"),IF(E34=F34,"PASS","FAIL"))</x:f>
        <x:v>PASS</x:v>
      </x:c>
    </x:row>
    <x:row r="35">
      <x:c r="B35" s="9" t="str">
        <x:v>A029</x:v>
      </x:c>
      <x:c r="C35" s="9" t="str">
        <x:v>Thermal</x:v>
      </x:c>
      <x:c r="D35" s="9" t="str">
        <x:v>Root B waste</x:v>
      </x:c>
      <x:c r="E35" s="16" t="n">
        <x:f>'Thermal and Fuel'!E15</x:f>
        <x:v>2.0714285714285716</x:v>
      </x:c>
      <x:c r="F35" s="16" t="n">
        <x:v>2.071429</x:v>
      </x:c>
      <x:c r="G35" s="9" t="str">
        <x:f>IF(ISNUMBER(E35),IF(ABS(E35-F35)&lt;0.01,"PASS","FAIL"),IF(E35=F35,"PASS","FAIL"))</x:f>
        <x:v>PASS</x:v>
      </x:c>
    </x:row>
    <x:row r="36">
      <x:c r="B36" s="9" t="str">
        <x:v>A030</x:v>
      </x:c>
      <x:c r="C36" s="9" t="str">
        <x:v>Tolerance</x:v>
      </x:c>
      <x:c r="D36" s="9" t="str">
        <x:v>stack count</x:v>
      </x:c>
      <x:c r="E36" s="16" t="n">
        <x:f>COUNTA('Tolerance Stacks'!C7:C38)</x:f>
        <x:v>32</x:v>
      </x:c>
      <x:c r="F36" s="16" t="n">
        <x:v>32</x:v>
      </x:c>
      <x:c r="G36" s="9" t="str">
        <x:f>IF(ISNUMBER(E36),IF(ABS(E36-F36)&lt;0.01,"PASS","FAIL"),IF(E36=F36,"PASS","FAIL"))</x:f>
        <x:v>PASS</x:v>
      </x:c>
    </x:row>
    <x:row r="37">
      <x:c r="B37" s="9" t="str">
        <x:v>A031</x:v>
      </x:c>
      <x:c r="C37" s="9" t="str">
        <x:v>Tolerance</x:v>
      </x:c>
      <x:c r="D37" s="9" t="str">
        <x:v>stack passes</x:v>
      </x:c>
      <x:c r="E37" s="16" t="n">
        <x:f>COUNTIFS('Tolerance Stacks'!P7:P38,"PASS")</x:f>
        <x:v>32</x:v>
      </x:c>
      <x:c r="F37" s="16" t="n">
        <x:v>32</x:v>
      </x:c>
      <x:c r="G37" s="9" t="str">
        <x:f>IF(ISNUMBER(E37),IF(ABS(E37-F37)&lt;0.01,"PASS","FAIL"),IF(E37=F37,"PASS","FAIL"))</x:f>
        <x:v>PASS</x:v>
      </x:c>
    </x:row>
    <x:row r="38">
      <x:c r="B38" s="9" t="str">
        <x:v>A032</x:v>
      </x:c>
      <x:c r="C38" s="9" t="str">
        <x:v>Process</x:v>
      </x:c>
      <x:c r="D38" s="9" t="str">
        <x:v>coupons</x:v>
      </x:c>
      <x:c r="E38" s="16" t="n">
        <x:f>'Process Evidence'!C27</x:f>
        <x:v>96</x:v>
      </x:c>
      <x:c r="F38" s="16" t="n">
        <x:v>96</x:v>
      </x:c>
      <x:c r="G38" s="9" t="str">
        <x:f>IF(ISNUMBER(E38),IF(ABS(E38-F38)&lt;0.01,"PASS","FAIL"),IF(E38=F38,"PASS","FAIL"))</x:f>
        <x:v>PASS</x:v>
      </x:c>
    </x:row>
    <x:row r="39">
      <x:c r="B39" s="9" t="str">
        <x:v>A033</x:v>
      </x:c>
      <x:c r="C39" s="9" t="str">
        <x:v>Process</x:v>
      </x:c>
      <x:c r="D39" s="9" t="str">
        <x:v>NDE lots</x:v>
      </x:c>
      <x:c r="E39" s="16" t="n">
        <x:f>'Process Evidence'!C28</x:f>
        <x:v>64</x:v>
      </x:c>
      <x:c r="F39" s="16" t="n">
        <x:v>64</x:v>
      </x:c>
      <x:c r="G39" s="9" t="str">
        <x:f>IF(ISNUMBER(E39),IF(ABS(E39-F39)&lt;0.01,"PASS","FAIL"),IF(E39=F39,"PASS","FAIL"))</x:f>
        <x:v>PASS</x:v>
      </x:c>
    </x:row>
    <x:row r="40">
      <x:c r="B40" s="9" t="str">
        <x:v>A034</x:v>
      </x:c>
      <x:c r="C40" s="9" t="str">
        <x:v>Process</x:v>
      </x:c>
      <x:c r="D40" s="9" t="str">
        <x:v>witnesses</x:v>
      </x:c>
      <x:c r="E40" s="16" t="n">
        <x:f>'Process Evidence'!C29</x:f>
        <x:v>24</x:v>
      </x:c>
      <x:c r="F40" s="16" t="n">
        <x:v>24</x:v>
      </x:c>
      <x:c r="G40" s="9" t="str">
        <x:f>IF(ISNUMBER(E40),IF(ABS(E40-F40)&lt;0.01,"PASS","FAIL"),IF(E40=F40,"PASS","FAIL"))</x:f>
        <x:v>PASS</x:v>
      </x:c>
    </x:row>
    <x:row r="41">
      <x:c r="B41" s="9" t="str">
        <x:v>A035</x:v>
      </x:c>
      <x:c r="C41" s="9" t="str">
        <x:v>Measurement</x:v>
      </x:c>
      <x:c r="D41" s="9" t="str">
        <x:v>Root A chars</x:v>
      </x:c>
      <x:c r="E41" s="16" t="n">
        <x:f>'Measurement Witnesses'!C36</x:f>
        <x:v>64</x:v>
      </x:c>
      <x:c r="F41" s="16" t="n">
        <x:v>64</x:v>
      </x:c>
      <x:c r="G41" s="9" t="str">
        <x:f>IF(ISNUMBER(E41),IF(ABS(E41-F41)&lt;0.01,"PASS","FAIL"),IF(E41=F41,"PASS","FAIL"))</x:f>
        <x:v>PASS</x:v>
      </x:c>
    </x:row>
    <x:row r="42">
      <x:c r="B42" s="9" t="str">
        <x:v>A036</x:v>
      </x:c>
      <x:c r="C42" s="9" t="str">
        <x:v>Measurement</x:v>
      </x:c>
      <x:c r="D42" s="9" t="str">
        <x:v>Root B chars</x:v>
      </x:c>
      <x:c r="E42" s="16" t="n">
        <x:f>'Measurement Witnesses'!C37</x:f>
        <x:v>64</x:v>
      </x:c>
      <x:c r="F42" s="16" t="n">
        <x:v>64</x:v>
      </x:c>
      <x:c r="G42" s="9" t="str">
        <x:f>IF(ISNUMBER(E42),IF(ABS(E42-F42)&lt;0.01,"PASS","FAIL"),IF(E42=F42,"PASS","FAIL"))</x:f>
        <x:v>PASS</x:v>
      </x:c>
    </x:row>
    <x:row r="43">
      <x:c r="B43" s="9" t="str">
        <x:v>A037</x:v>
      </x:c>
      <x:c r="C43" s="9" t="str">
        <x:v>Program</x:v>
      </x:c>
      <x:c r="D43" s="9" t="str">
        <x:v>duration</x:v>
      </x:c>
      <x:c r="E43" s="16" t="n">
        <x:f>MAX(Schedule!D7:D16)</x:f>
        <x:v>14</x:v>
      </x:c>
      <x:c r="F43" s="16" t="n">
        <x:v>14</x:v>
      </x:c>
      <x:c r="G43" s="9" t="str">
        <x:f>IF(ISNUMBER(E43),IF(ABS(E43-F43)&lt;0.01,"PASS","FAIL"),IF(E43=F43,"PASS","FAIL"))</x:f>
        <x:v>PASS</x:v>
      </x:c>
    </x:row>
    <x:row r="44">
      <x:c r="B44" s="9" t="str">
        <x:v>A038</x:v>
      </x:c>
      <x:c r="C44" s="9" t="str">
        <x:v>Program</x:v>
      </x:c>
      <x:c r="D44" s="9" t="str">
        <x:v>workforce</x:v>
      </x:c>
      <x:c r="E44" s="16" t="n">
        <x:f>Schedule!C24</x:f>
        <x:v>164</x:v>
      </x:c>
      <x:c r="F44" s="16" t="n">
        <x:v>164</x:v>
      </x:c>
      <x:c r="G44" s="9" t="str">
        <x:f>IF(ISNUMBER(E44),IF(ABS(E44-F44)&lt;0.01,"PASS","FAIL"),IF(E44=F44,"PASS","FAIL"))</x:f>
        <x:v>PASS</x:v>
      </x:c>
    </x:row>
    <x:row r="45">
      <x:c r="B45" s="9" t="str">
        <x:v>A039</x:v>
      </x:c>
      <x:c r="C45" s="9" t="str">
        <x:v>Finance</x:v>
      </x:c>
      <x:c r="D45" s="9" t="str">
        <x:v>capital</x:v>
      </x:c>
      <x:c r="E45" s="16" t="n">
        <x:f>'Capital Draw'!C20</x:f>
        <x:v>0.212</x:v>
      </x:c>
      <x:c r="F45" s="16" t="n">
        <x:v>0.212</x:v>
      </x:c>
      <x:c r="G45" s="9" t="str">
        <x:f>IF(ISNUMBER(E45),IF(ABS(E45-F45)&lt;0.01,"PASS","FAIL"),IF(E45=F45,"PASS","FAIL"))</x:f>
        <x:v>PASS</x:v>
      </x:c>
    </x:row>
    <x:row r="46">
      <x:c r="B46" s="9" t="str">
        <x:v>A040</x:v>
      </x:c>
      <x:c r="C46" s="9" t="str">
        <x:v>Finance</x:v>
      </x:c>
      <x:c r="D46" s="9" t="str">
        <x:v>annual</x:v>
      </x:c>
      <x:c r="E46" s="16" t="n">
        <x:f>'Annual Draw'!C20</x:f>
        <x:v>0.061</x:v>
      </x:c>
      <x:c r="F46" s="16" t="n">
        <x:v>0.061</x:v>
      </x:c>
      <x:c r="G46" s="9" t="str">
        <x:f>IF(ISNUMBER(E46),IF(ABS(E46-F46)&lt;0.01,"PASS","FAIL"),IF(E46=F46,"PASS","FAIL"))</x:f>
        <x:v>PASS</x:v>
      </x:c>
    </x:row>
    <x:row r="47">
      <x:c r="B47" s="9" t="str">
        <x:v>A041</x:v>
      </x:c>
      <x:c r="C47" s="9" t="str">
        <x:v>Finance</x:v>
      </x:c>
      <x:c r="D47" s="9" t="str">
        <x:v>14-month operating</x:v>
      </x:c>
      <x:c r="E47" s="16" t="n">
        <x:f>'Annual Draw'!C24</x:f>
        <x:v>0.07116666666666667</x:v>
      </x:c>
      <x:c r="F47" s="16" t="n">
        <x:v>0.0711667</x:v>
      </x:c>
      <x:c r="G47" s="9" t="str">
        <x:f>IF(ISNUMBER(E47),IF(ABS(E47-F47)&lt;0.01,"PASS","FAIL"),IF(E47=F47,"PASS","FAIL"))</x:f>
        <x:v>PASS</x:v>
      </x:c>
    </x:row>
    <x:row r="48">
      <x:c r="B48" s="9" t="str">
        <x:v>A042</x:v>
      </x:c>
      <x:c r="C48" s="9" t="str">
        <x:v>Authority</x:v>
      </x:c>
      <x:c r="D48" s="9" t="str">
        <x:v>planning pass</x:v>
      </x:c>
      <x:c r="E48" s="16" t="n">
        <x:f>COUNTIFS('Release Gates'!G7:G50,"PASS")</x:f>
        <x:v>44</x:v>
      </x:c>
      <x:c r="F48" s="16" t="n">
        <x:v>44</x:v>
      </x:c>
      <x:c r="G48" s="9" t="str">
        <x:f>IF(ISNUMBER(E48),IF(ABS(E48-F48)&lt;0.01,"PASS","FAIL"),IF(E48=F48,"PASS","FAIL"))</x:f>
        <x:v>PASS</x:v>
      </x:c>
    </x:row>
    <x:row r="49">
      <x:c r="B49" s="9" t="str">
        <x:v>A043</x:v>
      </x:c>
      <x:c r="C49" s="9" t="str">
        <x:v>Authority</x:v>
      </x:c>
      <x:c r="D49" s="9" t="str">
        <x:v>physical open</x:v>
      </x:c>
      <x:c r="E49" s="16" t="n">
        <x:f>COUNTIFS('Release Gates'!G51:G72,"OPEN")</x:f>
        <x:v>22</x:v>
      </x:c>
      <x:c r="F49" s="16" t="n">
        <x:v>22</x:v>
      </x:c>
      <x:c r="G49" s="9" t="str">
        <x:f>IF(ISNUMBER(E49),IF(ABS(E49-F49)&lt;0.01,"PASS","FAIL"),IF(E49=F49,"PASS","FAIL"))</x:f>
        <x:v>PASS</x:v>
      </x:c>
    </x:row>
    <x:row r="50">
      <x:c r="B50" s="9" t="str">
        <x:v>A044</x:v>
      </x:c>
      <x:c r="C50" s="9" t="str">
        <x:v>Authority</x:v>
      </x:c>
      <x:c r="D50" s="9" t="str">
        <x:v>render blocked</x:v>
      </x:c>
      <x:c r="E50" s="16" t="str">
        <x:f>'Release Gates'!H72</x:f>
        <x:v>BLOCKED</x:v>
      </x:c>
      <x:c r="F50" s="16" t="str">
        <x:v>BLOCKED</x:v>
      </x:c>
      <x:c r="G50" s="9" t="str">
        <x:f>IF(ISNUMBER(E50),IF(ABS(E50-F50)&lt;0.01,"PASS","FAIL"),IF(E50=F50,"PASS","FAIL"))</x:f>
        <x:v>PASS</x:v>
      </x:c>
    </x:row>
    <x:row r="51">
      <x:c r="B51" s="9" t="str">
        <x:v>A045</x:v>
      </x:c>
      <x:c r="C51" s="9" t="str">
        <x:v>Release</x:v>
      </x:c>
      <x:c r="D51" s="9" t="str">
        <x:v>Gate 01 baseline</x:v>
      </x:c>
      <x:c r="E51" s="16" t="str">
        <x:f>'Release Gates'!G7</x:f>
        <x:v>PASS</x:v>
      </x:c>
      <x:c r="F51" s="16" t="str">
        <x:v>PASS</x:v>
      </x:c>
      <x:c r="G51" s="9" t="str">
        <x:f>IF(ISNUMBER(E51),IF(ABS(E51-F51)&lt;0.01,"PASS","FAIL"),IF(E51=F51,"PASS","FAIL"))</x:f>
        <x:v>PASS</x:v>
      </x:c>
    </x:row>
    <x:row r="52">
      <x:c r="B52" s="9" t="str">
        <x:v>A046</x:v>
      </x:c>
      <x:c r="C52" s="9" t="str">
        <x:v>Release</x:v>
      </x:c>
      <x:c r="D52" s="9" t="str">
        <x:v>Gate 02 baseline</x:v>
      </x:c>
      <x:c r="E52" s="16" t="str">
        <x:f>'Release Gates'!G8</x:f>
        <x:v>PASS</x:v>
      </x:c>
      <x:c r="F52" s="16" t="str">
        <x:v>PASS</x:v>
      </x:c>
      <x:c r="G52" s="9" t="str">
        <x:f>IF(ISNUMBER(E52),IF(ABS(E52-F52)&lt;0.01,"PASS","FAIL"),IF(E52=F52,"PASS","FAIL"))</x:f>
        <x:v>PASS</x:v>
      </x:c>
    </x:row>
    <x:row r="53">
      <x:c r="B53" s="9" t="str">
        <x:v>A047</x:v>
      </x:c>
      <x:c r="C53" s="9" t="str">
        <x:v>Release</x:v>
      </x:c>
      <x:c r="D53" s="9" t="str">
        <x:v>Gate 03 baseline</x:v>
      </x:c>
      <x:c r="E53" s="16" t="str">
        <x:f>'Release Gates'!G9</x:f>
        <x:v>PASS</x:v>
      </x:c>
      <x:c r="F53" s="16" t="str">
        <x:v>PASS</x:v>
      </x:c>
      <x:c r="G53" s="9" t="str">
        <x:f>IF(ISNUMBER(E53),IF(ABS(E53-F53)&lt;0.01,"PASS","FAIL"),IF(E53=F53,"PASS","FAIL"))</x:f>
        <x:v>PASS</x:v>
      </x:c>
    </x:row>
    <x:row r="54">
      <x:c r="B54" s="9" t="str">
        <x:v>A048</x:v>
      </x:c>
      <x:c r="C54" s="9" t="str">
        <x:v>Release</x:v>
      </x:c>
      <x:c r="D54" s="9" t="str">
        <x:v>Gate 04 baseline</x:v>
      </x:c>
      <x:c r="E54" s="16" t="str">
        <x:f>'Release Gates'!G10</x:f>
        <x:v>PASS</x:v>
      </x:c>
      <x:c r="F54" s="16" t="str">
        <x:v>PASS</x:v>
      </x:c>
      <x:c r="G54" s="9" t="str">
        <x:f>IF(ISNUMBER(E54),IF(ABS(E54-F54)&lt;0.01,"PASS","FAIL"),IF(E54=F54,"PASS","FAIL"))</x:f>
        <x:v>PASS</x:v>
      </x:c>
    </x:row>
    <x:row r="55">
      <x:c r="B55" s="9" t="str">
        <x:v>A049</x:v>
      </x:c>
      <x:c r="C55" s="9" t="str">
        <x:v>Release</x:v>
      </x:c>
      <x:c r="D55" s="9" t="str">
        <x:v>Gate 05 baseline</x:v>
      </x:c>
      <x:c r="E55" s="16" t="str">
        <x:f>'Release Gates'!G11</x:f>
        <x:v>PASS</x:v>
      </x:c>
      <x:c r="F55" s="16" t="str">
        <x:v>PASS</x:v>
      </x:c>
      <x:c r="G55" s="9" t="str">
        <x:f>IF(ISNUMBER(E55),IF(ABS(E55-F55)&lt;0.01,"PASS","FAIL"),IF(E55=F55,"PASS","FAIL"))</x:f>
        <x:v>PASS</x:v>
      </x:c>
    </x:row>
    <x:row r="56">
      <x:c r="B56" s="9" t="str">
        <x:v>A050</x:v>
      </x:c>
      <x:c r="C56" s="9" t="str">
        <x:v>Release</x:v>
      </x:c>
      <x:c r="D56" s="9" t="str">
        <x:v>Gate 06 baseline</x:v>
      </x:c>
      <x:c r="E56" s="16" t="str">
        <x:f>'Release Gates'!G12</x:f>
        <x:v>PASS</x:v>
      </x:c>
      <x:c r="F56" s="16" t="str">
        <x:v>PASS</x:v>
      </x:c>
      <x:c r="G56" s="9" t="str">
        <x:f>IF(ISNUMBER(E56),IF(ABS(E56-F56)&lt;0.01,"PASS","FAIL"),IF(E56=F56,"PASS","FAIL"))</x:f>
        <x:v>PASS</x:v>
      </x:c>
    </x:row>
    <x:row r="57">
      <x:c r="B57" s="9" t="str">
        <x:v>A051</x:v>
      </x:c>
      <x:c r="C57" s="9" t="str">
        <x:v>Release</x:v>
      </x:c>
      <x:c r="D57" s="9" t="str">
        <x:v>Gate 07 baseline</x:v>
      </x:c>
      <x:c r="E57" s="16" t="str">
        <x:f>'Release Gates'!G13</x:f>
        <x:v>PASS</x:v>
      </x:c>
      <x:c r="F57" s="16" t="str">
        <x:v>PASS</x:v>
      </x:c>
      <x:c r="G57" s="9" t="str">
        <x:f>IF(ISNUMBER(E57),IF(ABS(E57-F57)&lt;0.01,"PASS","FAIL"),IF(E57=F57,"PASS","FAIL"))</x:f>
        <x:v>PASS</x:v>
      </x:c>
    </x:row>
    <x:row r="58">
      <x:c r="B58" s="9" t="str">
        <x:v>A052</x:v>
      </x:c>
      <x:c r="C58" s="9" t="str">
        <x:v>Release</x:v>
      </x:c>
      <x:c r="D58" s="9" t="str">
        <x:v>Gate 08 baseline</x:v>
      </x:c>
      <x:c r="E58" s="16" t="str">
        <x:f>'Release Gates'!G14</x:f>
        <x:v>PASS</x:v>
      </x:c>
      <x:c r="F58" s="16" t="str">
        <x:v>PASS</x:v>
      </x:c>
      <x:c r="G58" s="9" t="str">
        <x:f>IF(ISNUMBER(E58),IF(ABS(E58-F58)&lt;0.01,"PASS","FAIL"),IF(E58=F58,"PASS","FAIL"))</x:f>
        <x:v>PASS</x:v>
      </x:c>
    </x:row>
    <x:row r="59">
      <x:c r="B59" s="9" t="str">
        <x:v>A053</x:v>
      </x:c>
      <x:c r="C59" s="9" t="str">
        <x:v>Release</x:v>
      </x:c>
      <x:c r="D59" s="9" t="str">
        <x:v>Gate 09 baseline</x:v>
      </x:c>
      <x:c r="E59" s="16" t="str">
        <x:f>'Release Gates'!G15</x:f>
        <x:v>PASS</x:v>
      </x:c>
      <x:c r="F59" s="16" t="str">
        <x:v>PASS</x:v>
      </x:c>
      <x:c r="G59" s="9" t="str">
        <x:f>IF(ISNUMBER(E59),IF(ABS(E59-F59)&lt;0.01,"PASS","FAIL"),IF(E59=F59,"PASS","FAIL"))</x:f>
        <x:v>PASS</x:v>
      </x:c>
    </x:row>
    <x:row r="60">
      <x:c r="B60" s="9" t="str">
        <x:v>A054</x:v>
      </x:c>
      <x:c r="C60" s="9" t="str">
        <x:v>Release</x:v>
      </x:c>
      <x:c r="D60" s="9" t="str">
        <x:v>Gate 10 baseline</x:v>
      </x:c>
      <x:c r="E60" s="16" t="str">
        <x:f>'Release Gates'!G16</x:f>
        <x:v>PASS</x:v>
      </x:c>
      <x:c r="F60" s="16" t="str">
        <x:v>PASS</x:v>
      </x:c>
      <x:c r="G60" s="9" t="str">
        <x:f>IF(ISNUMBER(E60),IF(ABS(E60-F60)&lt;0.01,"PASS","FAIL"),IF(E60=F60,"PASS","FAIL"))</x:f>
        <x:v>PASS</x:v>
      </x:c>
    </x:row>
    <x:row r="61">
      <x:c r="B61" s="9" t="str">
        <x:v>A055</x:v>
      </x:c>
      <x:c r="C61" s="9" t="str">
        <x:v>Release</x:v>
      </x:c>
      <x:c r="D61" s="9" t="str">
        <x:v>Gate 11 baseline</x:v>
      </x:c>
      <x:c r="E61" s="16" t="str">
        <x:f>'Release Gates'!G17</x:f>
        <x:v>PASS</x:v>
      </x:c>
      <x:c r="F61" s="16" t="str">
        <x:v>PASS</x:v>
      </x:c>
      <x:c r="G61" s="9" t="str">
        <x:f>IF(ISNUMBER(E61),IF(ABS(E61-F61)&lt;0.01,"PASS","FAIL"),IF(E61=F61,"PASS","FAIL"))</x:f>
        <x:v>PASS</x:v>
      </x:c>
    </x:row>
    <x:row r="62">
      <x:c r="B62" s="9" t="str">
        <x:v>A056</x:v>
      </x:c>
      <x:c r="C62" s="9" t="str">
        <x:v>Release</x:v>
      </x:c>
      <x:c r="D62" s="9" t="str">
        <x:v>Gate 12 baseline</x:v>
      </x:c>
      <x:c r="E62" s="16" t="str">
        <x:f>'Release Gates'!G18</x:f>
        <x:v>PASS</x:v>
      </x:c>
      <x:c r="F62" s="16" t="str">
        <x:v>PASS</x:v>
      </x:c>
      <x:c r="G62" s="9" t="str">
        <x:f>IF(ISNUMBER(E62),IF(ABS(E62-F62)&lt;0.01,"PASS","FAIL"),IF(E62=F62,"PASS","FAIL"))</x:f>
        <x:v>PASS</x:v>
      </x:c>
    </x:row>
    <x:row r="63">
      <x:c r="B63" s="9" t="str">
        <x:v>A057</x:v>
      </x:c>
      <x:c r="C63" s="9" t="str">
        <x:v>Release</x:v>
      </x:c>
      <x:c r="D63" s="9" t="str">
        <x:v>Gate 13 baseline</x:v>
      </x:c>
      <x:c r="E63" s="16" t="str">
        <x:f>'Release Gates'!G19</x:f>
        <x:v>PASS</x:v>
      </x:c>
      <x:c r="F63" s="16" t="str">
        <x:v>PASS</x:v>
      </x:c>
      <x:c r="G63" s="9" t="str">
        <x:f>IF(ISNUMBER(E63),IF(ABS(E63-F63)&lt;0.01,"PASS","FAIL"),IF(E63=F63,"PASS","FAIL"))</x:f>
        <x:v>PASS</x:v>
      </x:c>
    </x:row>
    <x:row r="64">
      <x:c r="B64" s="9" t="str">
        <x:v>A058</x:v>
      </x:c>
      <x:c r="C64" s="9" t="str">
        <x:v>Release</x:v>
      </x:c>
      <x:c r="D64" s="9" t="str">
        <x:v>Gate 14 baseline</x:v>
      </x:c>
      <x:c r="E64" s="16" t="str">
        <x:f>'Release Gates'!G20</x:f>
        <x:v>PASS</x:v>
      </x:c>
      <x:c r="F64" s="16" t="str">
        <x:v>PASS</x:v>
      </x:c>
      <x:c r="G64" s="9" t="str">
        <x:f>IF(ISNUMBER(E64),IF(ABS(E64-F64)&lt;0.01,"PASS","FAIL"),IF(E64=F64,"PASS","FAIL"))</x:f>
        <x:v>PASS</x:v>
      </x:c>
    </x:row>
    <x:row r="65">
      <x:c r="B65" s="9" t="str">
        <x:v>A059</x:v>
      </x:c>
      <x:c r="C65" s="9" t="str">
        <x:v>Release</x:v>
      </x:c>
      <x:c r="D65" s="9" t="str">
        <x:v>Gate 15 baseline</x:v>
      </x:c>
      <x:c r="E65" s="16" t="str">
        <x:f>'Release Gates'!G21</x:f>
        <x:v>PASS</x:v>
      </x:c>
      <x:c r="F65" s="16" t="str">
        <x:v>PASS</x:v>
      </x:c>
      <x:c r="G65" s="9" t="str">
        <x:f>IF(ISNUMBER(E65),IF(ABS(E65-F65)&lt;0.01,"PASS","FAIL"),IF(E65=F65,"PASS","FAIL"))</x:f>
        <x:v>PASS</x:v>
      </x:c>
    </x:row>
    <x:row r="66">
      <x:c r="B66" s="9" t="str">
        <x:v>A060</x:v>
      </x:c>
      <x:c r="C66" s="9" t="str">
        <x:v>Release</x:v>
      </x:c>
      <x:c r="D66" s="9" t="str">
        <x:v>Gate 16 baseline</x:v>
      </x:c>
      <x:c r="E66" s="16" t="str">
        <x:f>'Release Gates'!G22</x:f>
        <x:v>PASS</x:v>
      </x:c>
      <x:c r="F66" s="16" t="str">
        <x:v>PASS</x:v>
      </x:c>
      <x:c r="G66" s="9" t="str">
        <x:f>IF(ISNUMBER(E66),IF(ABS(E66-F66)&lt;0.01,"PASS","FAIL"),IF(E66=F66,"PASS","FAIL"))</x:f>
        <x:v>PASS</x:v>
      </x:c>
    </x:row>
    <x:row r="67">
      <x:c r="B67" s="9" t="str">
        <x:v>A061</x:v>
      </x:c>
      <x:c r="C67" s="9" t="str">
        <x:v>Release</x:v>
      </x:c>
      <x:c r="D67" s="9" t="str">
        <x:v>Gate 17 baseline</x:v>
      </x:c>
      <x:c r="E67" s="16" t="str">
        <x:f>'Release Gates'!G23</x:f>
        <x:v>PASS</x:v>
      </x:c>
      <x:c r="F67" s="16" t="str">
        <x:v>PASS</x:v>
      </x:c>
      <x:c r="G67" s="9" t="str">
        <x:f>IF(ISNUMBER(E67),IF(ABS(E67-F67)&lt;0.01,"PASS","FAIL"),IF(E67=F67,"PASS","FAIL"))</x:f>
        <x:v>PASS</x:v>
      </x:c>
    </x:row>
    <x:row r="68">
      <x:c r="B68" s="9" t="str">
        <x:v>A062</x:v>
      </x:c>
      <x:c r="C68" s="9" t="str">
        <x:v>Release</x:v>
      </x:c>
      <x:c r="D68" s="9" t="str">
        <x:v>Gate 18 baseline</x:v>
      </x:c>
      <x:c r="E68" s="16" t="str">
        <x:f>'Release Gates'!G24</x:f>
        <x:v>PASS</x:v>
      </x:c>
      <x:c r="F68" s="16" t="str">
        <x:v>PASS</x:v>
      </x:c>
      <x:c r="G68" s="9" t="str">
        <x:f>IF(ISNUMBER(E68),IF(ABS(E68-F68)&lt;0.01,"PASS","FAIL"),IF(E68=F68,"PASS","FAIL"))</x:f>
        <x:v>PASS</x:v>
      </x:c>
    </x:row>
    <x:row r="69">
      <x:c r="B69" s="9" t="str">
        <x:v>A063</x:v>
      </x:c>
      <x:c r="C69" s="9" t="str">
        <x:v>Release</x:v>
      </x:c>
      <x:c r="D69" s="9" t="str">
        <x:v>Gate 19 baseline</x:v>
      </x:c>
      <x:c r="E69" s="16" t="str">
        <x:f>'Release Gates'!G25</x:f>
        <x:v>PASS</x:v>
      </x:c>
      <x:c r="F69" s="16" t="str">
        <x:v>PASS</x:v>
      </x:c>
      <x:c r="G69" s="9" t="str">
        <x:f>IF(ISNUMBER(E69),IF(ABS(E69-F69)&lt;0.01,"PASS","FAIL"),IF(E69=F69,"PASS","FAIL"))</x:f>
        <x:v>PASS</x:v>
      </x:c>
    </x:row>
    <x:row r="70">
      <x:c r="B70" s="9" t="str">
        <x:v>A064</x:v>
      </x:c>
      <x:c r="C70" s="9" t="str">
        <x:v>Release</x:v>
      </x:c>
      <x:c r="D70" s="9" t="str">
        <x:v>Gate 20 baseline</x:v>
      </x:c>
      <x:c r="E70" s="16" t="str">
        <x:f>'Release Gates'!G26</x:f>
        <x:v>PASS</x:v>
      </x:c>
      <x:c r="F70" s="16" t="str">
        <x:v>PASS</x:v>
      </x:c>
      <x:c r="G70" s="9" t="str">
        <x:f>IF(ISNUMBER(E70),IF(ABS(E70-F70)&lt;0.01,"PASS","FAIL"),IF(E70=F70,"PASS","FAIL"))</x:f>
        <x:v>PASS</x:v>
      </x:c>
    </x:row>
    <x:row r="71">
      <x:c r="B71" s="9" t="str">
        <x:v>A065</x:v>
      </x:c>
      <x:c r="C71" s="9" t="str">
        <x:v>Release</x:v>
      </x:c>
      <x:c r="D71" s="9" t="str">
        <x:v>Gate 21 baseline</x:v>
      </x:c>
      <x:c r="E71" s="16" t="str">
        <x:f>'Release Gates'!G27</x:f>
        <x:v>PASS</x:v>
      </x:c>
      <x:c r="F71" s="16" t="str">
        <x:v>PASS</x:v>
      </x:c>
      <x:c r="G71" s="9" t="str">
        <x:f>IF(ISNUMBER(E71),IF(ABS(E71-F71)&lt;0.01,"PASS","FAIL"),IF(E71=F71,"PASS","FAIL"))</x:f>
        <x:v>PASS</x:v>
      </x:c>
    </x:row>
    <x:row r="72">
      <x:c r="B72" s="9" t="str">
        <x:v>A066</x:v>
      </x:c>
      <x:c r="C72" s="9" t="str">
        <x:v>Release</x:v>
      </x:c>
      <x:c r="D72" s="9" t="str">
        <x:v>Gate 22 baseline</x:v>
      </x:c>
      <x:c r="E72" s="16" t="str">
        <x:f>'Release Gates'!G28</x:f>
        <x:v>PASS</x:v>
      </x:c>
      <x:c r="F72" s="16" t="str">
        <x:v>PASS</x:v>
      </x:c>
      <x:c r="G72" s="9" t="str">
        <x:f>IF(ISNUMBER(E72),IF(ABS(E72-F72)&lt;0.01,"PASS","FAIL"),IF(E72=F72,"PASS","FAIL"))</x:f>
        <x:v>PASS</x:v>
      </x:c>
    </x:row>
    <x:row r="73">
      <x:c r="B73" s="9" t="str">
        <x:v>A067</x:v>
      </x:c>
      <x:c r="C73" s="9" t="str">
        <x:v>Release</x:v>
      </x:c>
      <x:c r="D73" s="9" t="str">
        <x:v>Gate 23 baseline</x:v>
      </x:c>
      <x:c r="E73" s="16" t="str">
        <x:f>'Release Gates'!G29</x:f>
        <x:v>PASS</x:v>
      </x:c>
      <x:c r="F73" s="16" t="str">
        <x:v>PASS</x:v>
      </x:c>
      <x:c r="G73" s="9" t="str">
        <x:f>IF(ISNUMBER(E73),IF(ABS(E73-F73)&lt;0.01,"PASS","FAIL"),IF(E73=F73,"PASS","FAIL"))</x:f>
        <x:v>PASS</x:v>
      </x:c>
    </x:row>
    <x:row r="74">
      <x:c r="B74" s="9" t="str">
        <x:v>A068</x:v>
      </x:c>
      <x:c r="C74" s="9" t="str">
        <x:v>Release</x:v>
      </x:c>
      <x:c r="D74" s="9" t="str">
        <x:v>Gate 24 baseline</x:v>
      </x:c>
      <x:c r="E74" s="16" t="str">
        <x:f>'Release Gates'!G30</x:f>
        <x:v>PASS</x:v>
      </x:c>
      <x:c r="F74" s="16" t="str">
        <x:v>PASS</x:v>
      </x:c>
      <x:c r="G74" s="9" t="str">
        <x:f>IF(ISNUMBER(E74),IF(ABS(E74-F74)&lt;0.01,"PASS","FAIL"),IF(E74=F74,"PASS","FAIL"))</x:f>
        <x:v>PASS</x:v>
      </x:c>
    </x:row>
    <x:row r="75">
      <x:c r="B75" s="9" t="str">
        <x:v>A069</x:v>
      </x:c>
      <x:c r="C75" s="9" t="str">
        <x:v>Release</x:v>
      </x:c>
      <x:c r="D75" s="9" t="str">
        <x:v>Gate 25 baseline</x:v>
      </x:c>
      <x:c r="E75" s="16" t="str">
        <x:f>'Release Gates'!G31</x:f>
        <x:v>PASS</x:v>
      </x:c>
      <x:c r="F75" s="16" t="str">
        <x:v>PASS</x:v>
      </x:c>
      <x:c r="G75" s="9" t="str">
        <x:f>IF(ISNUMBER(E75),IF(ABS(E75-F75)&lt;0.01,"PASS","FAIL"),IF(E75=F75,"PASS","FAIL"))</x:f>
        <x:v>PASS</x:v>
      </x:c>
    </x:row>
    <x:row r="76">
      <x:c r="B76" s="9" t="str">
        <x:v>A070</x:v>
      </x:c>
      <x:c r="C76" s="9" t="str">
        <x:v>Release</x:v>
      </x:c>
      <x:c r="D76" s="9" t="str">
        <x:v>Gate 26 baseline</x:v>
      </x:c>
      <x:c r="E76" s="16" t="str">
        <x:f>'Release Gates'!G32</x:f>
        <x:v>PASS</x:v>
      </x:c>
      <x:c r="F76" s="16" t="str">
        <x:v>PASS</x:v>
      </x:c>
      <x:c r="G76" s="9" t="str">
        <x:f>IF(ISNUMBER(E76),IF(ABS(E76-F76)&lt;0.01,"PASS","FAIL"),IF(E76=F76,"PASS","FAIL"))</x:f>
        <x:v>PASS</x:v>
      </x:c>
    </x:row>
    <x:row r="77">
      <x:c r="B77" s="9" t="str">
        <x:v>A071</x:v>
      </x:c>
      <x:c r="C77" s="9" t="str">
        <x:v>Release</x:v>
      </x:c>
      <x:c r="D77" s="9" t="str">
        <x:v>Gate 27 baseline</x:v>
      </x:c>
      <x:c r="E77" s="16" t="str">
        <x:f>'Release Gates'!G33</x:f>
        <x:v>PASS</x:v>
      </x:c>
      <x:c r="F77" s="16" t="str">
        <x:v>PASS</x:v>
      </x:c>
      <x:c r="G77" s="9" t="str">
        <x:f>IF(ISNUMBER(E77),IF(ABS(E77-F77)&lt;0.01,"PASS","FAIL"),IF(E77=F77,"PASS","FAIL"))</x:f>
        <x:v>PASS</x:v>
      </x:c>
    </x:row>
    <x:row r="78">
      <x:c r="B78" s="9" t="str">
        <x:v>A072</x:v>
      </x:c>
      <x:c r="C78" s="9" t="str">
        <x:v>Release</x:v>
      </x:c>
      <x:c r="D78" s="9" t="str">
        <x:v>Gate 28 baseline</x:v>
      </x:c>
      <x:c r="E78" s="16" t="str">
        <x:f>'Release Gates'!G34</x:f>
        <x:v>PASS</x:v>
      </x:c>
      <x:c r="F78" s="16" t="str">
        <x:v>PASS</x:v>
      </x:c>
      <x:c r="G78" s="9" t="str">
        <x:f>IF(ISNUMBER(E78),IF(ABS(E78-F78)&lt;0.01,"PASS","FAIL"),IF(E78=F78,"PASS","FAIL"))</x:f>
        <x:v>PASS</x:v>
      </x:c>
    </x:row>
    <x:row r="79">
      <x:c r="B79" s="9" t="str">
        <x:v>A073</x:v>
      </x:c>
      <x:c r="C79" s="9" t="str">
        <x:v>Release</x:v>
      </x:c>
      <x:c r="D79" s="9" t="str">
        <x:v>Gate 29 baseline</x:v>
      </x:c>
      <x:c r="E79" s="16" t="str">
        <x:f>'Release Gates'!G35</x:f>
        <x:v>PASS</x:v>
      </x:c>
      <x:c r="F79" s="16" t="str">
        <x:v>PASS</x:v>
      </x:c>
      <x:c r="G79" s="9" t="str">
        <x:f>IF(ISNUMBER(E79),IF(ABS(E79-F79)&lt;0.01,"PASS","FAIL"),IF(E79=F79,"PASS","FAIL"))</x:f>
        <x:v>PASS</x:v>
      </x:c>
    </x:row>
    <x:row r="80">
      <x:c r="B80" s="9" t="str">
        <x:v>A074</x:v>
      </x:c>
      <x:c r="C80" s="9" t="str">
        <x:v>Release</x:v>
      </x:c>
      <x:c r="D80" s="9" t="str">
        <x:v>Gate 30 baseline</x:v>
      </x:c>
      <x:c r="E80" s="16" t="str">
        <x:f>'Release Gates'!G36</x:f>
        <x:v>PASS</x:v>
      </x:c>
      <x:c r="F80" s="16" t="str">
        <x:v>PASS</x:v>
      </x:c>
      <x:c r="G80" s="9" t="str">
        <x:f>IF(ISNUMBER(E80),IF(ABS(E80-F80)&lt;0.01,"PASS","FAIL"),IF(E80=F80,"PASS","FAIL"))</x:f>
        <x:v>PASS</x:v>
      </x:c>
    </x:row>
    <x:row r="81">
      <x:c r="B81" s="9" t="str">
        <x:v>A075</x:v>
      </x:c>
      <x:c r="C81" s="9" t="str">
        <x:v>Release</x:v>
      </x:c>
      <x:c r="D81" s="9" t="str">
        <x:v>Gate 31 baseline</x:v>
      </x:c>
      <x:c r="E81" s="16" t="str">
        <x:f>'Release Gates'!G37</x:f>
        <x:v>PASS</x:v>
      </x:c>
      <x:c r="F81" s="16" t="str">
        <x:v>PASS</x:v>
      </x:c>
      <x:c r="G81" s="9" t="str">
        <x:f>IF(ISNUMBER(E81),IF(ABS(E81-F81)&lt;0.01,"PASS","FAIL"),IF(E81=F81,"PASS","FAIL"))</x:f>
        <x:v>PASS</x:v>
      </x:c>
    </x:row>
    <x:row r="82">
      <x:c r="B82" s="9" t="str">
        <x:v>A076</x:v>
      </x:c>
      <x:c r="C82" s="9" t="str">
        <x:v>Release</x:v>
      </x:c>
      <x:c r="D82" s="9" t="str">
        <x:v>Gate 32 baseline</x:v>
      </x:c>
      <x:c r="E82" s="16" t="str">
        <x:f>'Release Gates'!G38</x:f>
        <x:v>PASS</x:v>
      </x:c>
      <x:c r="F82" s="16" t="str">
        <x:v>PASS</x:v>
      </x:c>
      <x:c r="G82" s="9" t="str">
        <x:f>IF(ISNUMBER(E82),IF(ABS(E82-F82)&lt;0.01,"PASS","FAIL"),IF(E82=F82,"PASS","FAIL"))</x:f>
        <x:v>PASS</x:v>
      </x:c>
    </x:row>
    <x:row r="83">
      <x:c r="B83" s="9" t="str">
        <x:v>A077</x:v>
      </x:c>
      <x:c r="C83" s="9" t="str">
        <x:v>Release</x:v>
      </x:c>
      <x:c r="D83" s="9" t="str">
        <x:v>Gate 33 baseline</x:v>
      </x:c>
      <x:c r="E83" s="16" t="str">
        <x:f>'Release Gates'!G39</x:f>
        <x:v>PASS</x:v>
      </x:c>
      <x:c r="F83" s="16" t="str">
        <x:v>PASS</x:v>
      </x:c>
      <x:c r="G83" s="9" t="str">
        <x:f>IF(ISNUMBER(E83),IF(ABS(E83-F83)&lt;0.01,"PASS","FAIL"),IF(E83=F83,"PASS","FAIL"))</x:f>
        <x:v>PASS</x:v>
      </x:c>
    </x:row>
    <x:row r="84">
      <x:c r="B84" s="9" t="str">
        <x:v>A078</x:v>
      </x:c>
      <x:c r="C84" s="9" t="str">
        <x:v>Release</x:v>
      </x:c>
      <x:c r="D84" s="9" t="str">
        <x:v>Gate 34 baseline</x:v>
      </x:c>
      <x:c r="E84" s="16" t="str">
        <x:f>'Release Gates'!G40</x:f>
        <x:v>PASS</x:v>
      </x:c>
      <x:c r="F84" s="16" t="str">
        <x:v>PASS</x:v>
      </x:c>
      <x:c r="G84" s="9" t="str">
        <x:f>IF(ISNUMBER(E84),IF(ABS(E84-F84)&lt;0.01,"PASS","FAIL"),IF(E84=F84,"PASS","FAIL"))</x:f>
        <x:v>PASS</x:v>
      </x:c>
    </x:row>
    <x:row r="85">
      <x:c r="B85" s="9" t="str">
        <x:v>A079</x:v>
      </x:c>
      <x:c r="C85" s="9" t="str">
        <x:v>Release</x:v>
      </x:c>
      <x:c r="D85" s="9" t="str">
        <x:v>Gate 35 baseline</x:v>
      </x:c>
      <x:c r="E85" s="16" t="str">
        <x:f>'Release Gates'!G41</x:f>
        <x:v>PASS</x:v>
      </x:c>
      <x:c r="F85" s="16" t="str">
        <x:v>PASS</x:v>
      </x:c>
      <x:c r="G85" s="9" t="str">
        <x:f>IF(ISNUMBER(E85),IF(ABS(E85-F85)&lt;0.01,"PASS","FAIL"),IF(E85=F85,"PASS","FAIL"))</x:f>
        <x:v>PASS</x:v>
      </x:c>
    </x:row>
    <x:row r="86">
      <x:c r="B86" s="9" t="str">
        <x:v>A080</x:v>
      </x:c>
      <x:c r="C86" s="9" t="str">
        <x:v>Release</x:v>
      </x:c>
      <x:c r="D86" s="9" t="str">
        <x:v>Gate 36 baseline</x:v>
      </x:c>
      <x:c r="E86" s="16" t="str">
        <x:f>'Release Gates'!G42</x:f>
        <x:v>PASS</x:v>
      </x:c>
      <x:c r="F86" s="16" t="str">
        <x:v>PASS</x:v>
      </x:c>
      <x:c r="G86" s="9" t="str">
        <x:f>IF(ISNUMBER(E86),IF(ABS(E86-F86)&lt;0.01,"PASS","FAIL"),IF(E86=F86,"PASS","FAIL"))</x:f>
        <x:v>PASS</x:v>
      </x:c>
    </x:row>
    <x:row r="87">
      <x:c r="B87" s="9" t="str">
        <x:v>A081</x:v>
      </x:c>
      <x:c r="C87" s="9" t="str">
        <x:v>Release</x:v>
      </x:c>
      <x:c r="D87" s="9" t="str">
        <x:v>Gate 37 baseline</x:v>
      </x:c>
      <x:c r="E87" s="16" t="str">
        <x:f>'Release Gates'!G43</x:f>
        <x:v>PASS</x:v>
      </x:c>
      <x:c r="F87" s="16" t="str">
        <x:v>PASS</x:v>
      </x:c>
      <x:c r="G87" s="9" t="str">
        <x:f>IF(ISNUMBER(E87),IF(ABS(E87-F87)&lt;0.01,"PASS","FAIL"),IF(E87=F87,"PASS","FAIL"))</x:f>
        <x:v>PASS</x:v>
      </x:c>
    </x:row>
    <x:row r="88">
      <x:c r="B88" s="9" t="str">
        <x:v>A082</x:v>
      </x:c>
      <x:c r="C88" s="9" t="str">
        <x:v>Release</x:v>
      </x:c>
      <x:c r="D88" s="9" t="str">
        <x:v>Gate 38 baseline</x:v>
      </x:c>
      <x:c r="E88" s="16" t="str">
        <x:f>'Release Gates'!G44</x:f>
        <x:v>PASS</x:v>
      </x:c>
      <x:c r="F88" s="16" t="str">
        <x:v>PASS</x:v>
      </x:c>
      <x:c r="G88" s="9" t="str">
        <x:f>IF(ISNUMBER(E88),IF(ABS(E88-F88)&lt;0.01,"PASS","FAIL"),IF(E88=F88,"PASS","FAIL"))</x:f>
        <x:v>PASS</x:v>
      </x:c>
    </x:row>
    <x:row r="89">
      <x:c r="B89" s="9" t="str">
        <x:v>A083</x:v>
      </x:c>
      <x:c r="C89" s="9" t="str">
        <x:v>Release</x:v>
      </x:c>
      <x:c r="D89" s="9" t="str">
        <x:v>Gate 39 baseline</x:v>
      </x:c>
      <x:c r="E89" s="16" t="str">
        <x:f>'Release Gates'!G45</x:f>
        <x:v>PASS</x:v>
      </x:c>
      <x:c r="F89" s="16" t="str">
        <x:v>PASS</x:v>
      </x:c>
      <x:c r="G89" s="9" t="str">
        <x:f>IF(ISNUMBER(E89),IF(ABS(E89-F89)&lt;0.01,"PASS","FAIL"),IF(E89=F89,"PASS","FAIL"))</x:f>
        <x:v>PASS</x:v>
      </x:c>
    </x:row>
    <x:row r="90">
      <x:c r="B90" s="9" t="str">
        <x:v>A084</x:v>
      </x:c>
      <x:c r="C90" s="9" t="str">
        <x:v>Release</x:v>
      </x:c>
      <x:c r="D90" s="9" t="str">
        <x:v>Gate 40 baseline</x:v>
      </x:c>
      <x:c r="E90" s="16" t="str">
        <x:f>'Release Gates'!G46</x:f>
        <x:v>PASS</x:v>
      </x:c>
      <x:c r="F90" s="16" t="str">
        <x:v>PASS</x:v>
      </x:c>
      <x:c r="G90" s="9" t="str">
        <x:f>IF(ISNUMBER(E90),IF(ABS(E90-F90)&lt;0.01,"PASS","FAIL"),IF(E90=F90,"PASS","FAIL"))</x:f>
        <x:v>PASS</x:v>
      </x:c>
    </x:row>
    <x:row r="91">
      <x:c r="B91" s="9" t="str">
        <x:v>A085</x:v>
      </x:c>
      <x:c r="C91" s="9" t="str">
        <x:v>Release</x:v>
      </x:c>
      <x:c r="D91" s="9" t="str">
        <x:v>Gate 41 baseline</x:v>
      </x:c>
      <x:c r="E91" s="16" t="str">
        <x:f>'Release Gates'!G47</x:f>
        <x:v>PASS</x:v>
      </x:c>
      <x:c r="F91" s="16" t="str">
        <x:v>PASS</x:v>
      </x:c>
      <x:c r="G91" s="9" t="str">
        <x:f>IF(ISNUMBER(E91),IF(ABS(E91-F91)&lt;0.01,"PASS","FAIL"),IF(E91=F91,"PASS","FAIL"))</x:f>
        <x:v>PASS</x:v>
      </x:c>
    </x:row>
    <x:row r="92">
      <x:c r="B92" s="9" t="str">
        <x:v>A086</x:v>
      </x:c>
      <x:c r="C92" s="9" t="str">
        <x:v>Release</x:v>
      </x:c>
      <x:c r="D92" s="9" t="str">
        <x:v>Gate 42 baseline</x:v>
      </x:c>
      <x:c r="E92" s="16" t="str">
        <x:f>'Release Gates'!G48</x:f>
        <x:v>PASS</x:v>
      </x:c>
      <x:c r="F92" s="16" t="str">
        <x:v>PASS</x:v>
      </x:c>
      <x:c r="G92" s="9" t="str">
        <x:f>IF(ISNUMBER(E92),IF(ABS(E92-F92)&lt;0.01,"PASS","FAIL"),IF(E92=F92,"PASS","FAIL"))</x:f>
        <x:v>PASS</x:v>
      </x:c>
    </x:row>
    <x:row r="93">
      <x:c r="B93" s="9" t="str">
        <x:v>A087</x:v>
      </x:c>
      <x:c r="C93" s="9" t="str">
        <x:v>Release</x:v>
      </x:c>
      <x:c r="D93" s="9" t="str">
        <x:v>Gate 43 baseline</x:v>
      </x:c>
      <x:c r="E93" s="16" t="str">
        <x:f>'Release Gates'!G49</x:f>
        <x:v>PASS</x:v>
      </x:c>
      <x:c r="F93" s="16" t="str">
        <x:v>PASS</x:v>
      </x:c>
      <x:c r="G93" s="9" t="str">
        <x:f>IF(ISNUMBER(E93),IF(ABS(E93-F93)&lt;0.01,"PASS","FAIL"),IF(E93=F93,"PASS","FAIL"))</x:f>
        <x:v>PASS</x:v>
      </x:c>
    </x:row>
    <x:row r="94">
      <x:c r="B94" s="9" t="str">
        <x:v>A088</x:v>
      </x:c>
      <x:c r="C94" s="9" t="str">
        <x:v>Release</x:v>
      </x:c>
      <x:c r="D94" s="9" t="str">
        <x:v>Gate 44 baseline</x:v>
      </x:c>
      <x:c r="E94" s="16" t="str">
        <x:f>'Release Gates'!G50</x:f>
        <x:v>PASS</x:v>
      </x:c>
      <x:c r="F94" s="16" t="str">
        <x:v>PASS</x:v>
      </x:c>
      <x:c r="G94" s="9" t="str">
        <x:f>IF(ISNUMBER(E94),IF(ABS(E94-F94)&lt;0.01,"PASS","FAIL"),IF(E94=F94,"PASS","FAIL"))</x:f>
        <x:v>PASS</x:v>
      </x:c>
    </x:row>
    <x:row r="95">
      <x:c r="B95" s="9" t="str">
        <x:v>A089</x:v>
      </x:c>
      <x:c r="C95" s="9" t="str">
        <x:v>Release</x:v>
      </x:c>
      <x:c r="D95" s="9" t="str">
        <x:v>Gate 45 baseline</x:v>
      </x:c>
      <x:c r="E95" s="16" t="str">
        <x:f>'Release Gates'!G51</x:f>
        <x:v>OPEN</x:v>
      </x:c>
      <x:c r="F95" s="16" t="str">
        <x:v>OPEN</x:v>
      </x:c>
      <x:c r="G95" s="9" t="str">
        <x:f>IF(ISNUMBER(E95),IF(ABS(E95-F95)&lt;0.01,"PASS","FAIL"),IF(E95=F95,"PASS","FAIL"))</x:f>
        <x:v>PASS</x:v>
      </x:c>
    </x:row>
    <x:row r="96">
      <x:c r="B96" s="9" t="str">
        <x:v>A090</x:v>
      </x:c>
      <x:c r="C96" s="9" t="str">
        <x:v>Release</x:v>
      </x:c>
      <x:c r="D96" s="9" t="str">
        <x:v>Gate 46 baseline</x:v>
      </x:c>
      <x:c r="E96" s="16" t="str">
        <x:f>'Release Gates'!G52</x:f>
        <x:v>OPEN</x:v>
      </x:c>
      <x:c r="F96" s="16" t="str">
        <x:v>OPEN</x:v>
      </x:c>
      <x:c r="G96" s="9" t="str">
        <x:f>IF(ISNUMBER(E96),IF(ABS(E96-F96)&lt;0.01,"PASS","FAIL"),IF(E96=F96,"PASS","FAIL"))</x:f>
        <x:v>PASS</x:v>
      </x:c>
    </x:row>
    <x:row r="97">
      <x:c r="B97" s="9" t="str">
        <x:v>A091</x:v>
      </x:c>
      <x:c r="C97" s="9" t="str">
        <x:v>Release</x:v>
      </x:c>
      <x:c r="D97" s="9" t="str">
        <x:v>Gate 47 baseline</x:v>
      </x:c>
      <x:c r="E97" s="16" t="str">
        <x:f>'Release Gates'!G53</x:f>
        <x:v>OPEN</x:v>
      </x:c>
      <x:c r="F97" s="16" t="str">
        <x:v>OPEN</x:v>
      </x:c>
      <x:c r="G97" s="9" t="str">
        <x:f>IF(ISNUMBER(E97),IF(ABS(E97-F97)&lt;0.01,"PASS","FAIL"),IF(E97=F97,"PASS","FAIL"))</x:f>
        <x:v>PASS</x:v>
      </x:c>
    </x:row>
    <x:row r="98">
      <x:c r="B98" s="9" t="str">
        <x:v>A092</x:v>
      </x:c>
      <x:c r="C98" s="9" t="str">
        <x:v>Release</x:v>
      </x:c>
      <x:c r="D98" s="9" t="str">
        <x:v>Gate 48 baseline</x:v>
      </x:c>
      <x:c r="E98" s="16" t="str">
        <x:f>'Release Gates'!G54</x:f>
        <x:v>OPEN</x:v>
      </x:c>
      <x:c r="F98" s="16" t="str">
        <x:v>OPEN</x:v>
      </x:c>
      <x:c r="G98" s="9" t="str">
        <x:f>IF(ISNUMBER(E98),IF(ABS(E98-F98)&lt;0.01,"PASS","FAIL"),IF(E98=F98,"PASS","FAIL"))</x:f>
        <x:v>PASS</x:v>
      </x:c>
    </x:row>
    <x:row r="99">
      <x:c r="B99" s="9" t="str">
        <x:v>A093</x:v>
      </x:c>
      <x:c r="C99" s="9" t="str">
        <x:v>Release</x:v>
      </x:c>
      <x:c r="D99" s="9" t="str">
        <x:v>Gate 49 baseline</x:v>
      </x:c>
      <x:c r="E99" s="16" t="str">
        <x:f>'Release Gates'!G55</x:f>
        <x:v>OPEN</x:v>
      </x:c>
      <x:c r="F99" s="16" t="str">
        <x:v>OPEN</x:v>
      </x:c>
      <x:c r="G99" s="9" t="str">
        <x:f>IF(ISNUMBER(E99),IF(ABS(E99-F99)&lt;0.01,"PASS","FAIL"),IF(E99=F99,"PASS","FAIL"))</x:f>
        <x:v>PASS</x:v>
      </x:c>
    </x:row>
    <x:row r="100">
      <x:c r="B100" s="9" t="str">
        <x:v>A094</x:v>
      </x:c>
      <x:c r="C100" s="9" t="str">
        <x:v>Release</x:v>
      </x:c>
      <x:c r="D100" s="9" t="str">
        <x:v>Gate 50 baseline</x:v>
      </x:c>
      <x:c r="E100" s="16" t="str">
        <x:f>'Release Gates'!G56</x:f>
        <x:v>OPEN</x:v>
      </x:c>
      <x:c r="F100" s="16" t="str">
        <x:v>OPEN</x:v>
      </x:c>
      <x:c r="G100" s="9" t="str">
        <x:f>IF(ISNUMBER(E100),IF(ABS(E100-F100)&lt;0.01,"PASS","FAIL"),IF(E100=F100,"PASS","FAIL"))</x:f>
        <x:v>PASS</x:v>
      </x:c>
    </x:row>
    <x:row r="101">
      <x:c r="B101" s="9" t="str">
        <x:v>A095</x:v>
      </x:c>
      <x:c r="C101" s="9" t="str">
        <x:v>Release</x:v>
      </x:c>
      <x:c r="D101" s="9" t="str">
        <x:v>Gate 51 baseline</x:v>
      </x:c>
      <x:c r="E101" s="16" t="str">
        <x:f>'Release Gates'!G57</x:f>
        <x:v>OPEN</x:v>
      </x:c>
      <x:c r="F101" s="16" t="str">
        <x:v>OPEN</x:v>
      </x:c>
      <x:c r="G101" s="9" t="str">
        <x:f>IF(ISNUMBER(E101),IF(ABS(E101-F101)&lt;0.01,"PASS","FAIL"),IF(E101=F101,"PASS","FAIL"))</x:f>
        <x:v>PASS</x:v>
      </x:c>
    </x:row>
    <x:row r="102">
      <x:c r="B102" s="9" t="str">
        <x:v>A096</x:v>
      </x:c>
      <x:c r="C102" s="9" t="str">
        <x:v>Release</x:v>
      </x:c>
      <x:c r="D102" s="9" t="str">
        <x:v>Gate 52 baseline</x:v>
      </x:c>
      <x:c r="E102" s="16" t="str">
        <x:f>'Release Gates'!G58</x:f>
        <x:v>OPEN</x:v>
      </x:c>
      <x:c r="F102" s="16" t="str">
        <x:v>OPEN</x:v>
      </x:c>
      <x:c r="G102" s="9" t="str">
        <x:f>IF(ISNUMBER(E102),IF(ABS(E102-F102)&lt;0.01,"PASS","FAIL"),IF(E102=F102,"PASS","FAIL"))</x:f>
        <x:v>PASS</x:v>
      </x:c>
    </x:row>
    <x:row r="103">
      <x:c r="B103" s="9" t="str">
        <x:v>A097</x:v>
      </x:c>
      <x:c r="C103" s="9" t="str">
        <x:v>Release</x:v>
      </x:c>
      <x:c r="D103" s="9" t="str">
        <x:v>Gate 53 baseline</x:v>
      </x:c>
      <x:c r="E103" s="16" t="str">
        <x:f>'Release Gates'!G59</x:f>
        <x:v>OPEN</x:v>
      </x:c>
      <x:c r="F103" s="16" t="str">
        <x:v>OPEN</x:v>
      </x:c>
      <x:c r="G103" s="9" t="str">
        <x:f>IF(ISNUMBER(E103),IF(ABS(E103-F103)&lt;0.01,"PASS","FAIL"),IF(E103=F103,"PASS","FAIL"))</x:f>
        <x:v>PASS</x:v>
      </x:c>
    </x:row>
    <x:row r="104">
      <x:c r="B104" s="9" t="str">
        <x:v>A098</x:v>
      </x:c>
      <x:c r="C104" s="9" t="str">
        <x:v>Release</x:v>
      </x:c>
      <x:c r="D104" s="9" t="str">
        <x:v>Gate 54 baseline</x:v>
      </x:c>
      <x:c r="E104" s="16" t="str">
        <x:f>'Release Gates'!G60</x:f>
        <x:v>OPEN</x:v>
      </x:c>
      <x:c r="F104" s="16" t="str">
        <x:v>OPEN</x:v>
      </x:c>
      <x:c r="G104" s="9" t="str">
        <x:f>IF(ISNUMBER(E104),IF(ABS(E104-F104)&lt;0.01,"PASS","FAIL"),IF(E104=F104,"PASS","FAIL"))</x:f>
        <x:v>PASS</x:v>
      </x:c>
    </x:row>
    <x:row r="105">
      <x:c r="B105" s="9" t="str">
        <x:v>A099</x:v>
      </x:c>
      <x:c r="C105" s="9" t="str">
        <x:v>Release</x:v>
      </x:c>
      <x:c r="D105" s="9" t="str">
        <x:v>Gate 55 baseline</x:v>
      </x:c>
      <x:c r="E105" s="16" t="str">
        <x:f>'Release Gates'!G61</x:f>
        <x:v>OPEN</x:v>
      </x:c>
      <x:c r="F105" s="16" t="str">
        <x:v>OPEN</x:v>
      </x:c>
      <x:c r="G105" s="9" t="str">
        <x:f>IF(ISNUMBER(E105),IF(ABS(E105-F105)&lt;0.01,"PASS","FAIL"),IF(E105=F105,"PASS","FAIL"))</x:f>
        <x:v>PASS</x:v>
      </x:c>
    </x:row>
    <x:row r="106">
      <x:c r="B106" s="9" t="str">
        <x:v>A100</x:v>
      </x:c>
      <x:c r="C106" s="9" t="str">
        <x:v>Release</x:v>
      </x:c>
      <x:c r="D106" s="9" t="str">
        <x:v>Gate 56 baseline</x:v>
      </x:c>
      <x:c r="E106" s="16" t="str">
        <x:f>'Release Gates'!G62</x:f>
        <x:v>OPEN</x:v>
      </x:c>
      <x:c r="F106" s="16" t="str">
        <x:v>OPEN</x:v>
      </x:c>
      <x:c r="G106" s="9" t="str">
        <x:f>IF(ISNUMBER(E106),IF(ABS(E106-F106)&lt;0.01,"PASS","FAIL"),IF(E106=F106,"PASS","FAIL"))</x:f>
        <x:v>PASS</x:v>
      </x:c>
    </x:row>
    <x:row r="107">
      <x:c r="B107" s="9" t="str">
        <x:v>A101</x:v>
      </x:c>
      <x:c r="C107" s="9" t="str">
        <x:v>Release</x:v>
      </x:c>
      <x:c r="D107" s="9" t="str">
        <x:v>Gate 57 baseline</x:v>
      </x:c>
      <x:c r="E107" s="16" t="str">
        <x:f>'Release Gates'!G63</x:f>
        <x:v>OPEN</x:v>
      </x:c>
      <x:c r="F107" s="16" t="str">
        <x:v>OPEN</x:v>
      </x:c>
      <x:c r="G107" s="9" t="str">
        <x:f>IF(ISNUMBER(E107),IF(ABS(E107-F107)&lt;0.01,"PASS","FAIL"),IF(E107=F107,"PASS","FAIL"))</x:f>
        <x:v>PASS</x:v>
      </x:c>
    </x:row>
    <x:row r="108">
      <x:c r="B108" s="9" t="str">
        <x:v>A102</x:v>
      </x:c>
      <x:c r="C108" s="9" t="str">
        <x:v>Release</x:v>
      </x:c>
      <x:c r="D108" s="9" t="str">
        <x:v>Gate 58 baseline</x:v>
      </x:c>
      <x:c r="E108" s="16" t="str">
        <x:f>'Release Gates'!G64</x:f>
        <x:v>OPEN</x:v>
      </x:c>
      <x:c r="F108" s="16" t="str">
        <x:v>OPEN</x:v>
      </x:c>
      <x:c r="G108" s="9" t="str">
        <x:f>IF(ISNUMBER(E108),IF(ABS(E108-F108)&lt;0.01,"PASS","FAIL"),IF(E108=F108,"PASS","FAIL"))</x:f>
        <x:v>PASS</x:v>
      </x:c>
    </x:row>
    <x:row r="109">
      <x:c r="B109" s="9" t="str">
        <x:v>A103</x:v>
      </x:c>
      <x:c r="C109" s="9" t="str">
        <x:v>Release</x:v>
      </x:c>
      <x:c r="D109" s="9" t="str">
        <x:v>Gate 59 baseline</x:v>
      </x:c>
      <x:c r="E109" s="16" t="str">
        <x:f>'Release Gates'!G65</x:f>
        <x:v>OPEN</x:v>
      </x:c>
      <x:c r="F109" s="16" t="str">
        <x:v>OPEN</x:v>
      </x:c>
      <x:c r="G109" s="9" t="str">
        <x:f>IF(ISNUMBER(E109),IF(ABS(E109-F109)&lt;0.01,"PASS","FAIL"),IF(E109=F109,"PASS","FAIL"))</x:f>
        <x:v>PASS</x:v>
      </x:c>
    </x:row>
    <x:row r="110">
      <x:c r="B110" s="9" t="str">
        <x:v>A104</x:v>
      </x:c>
      <x:c r="C110" s="9" t="str">
        <x:v>Release</x:v>
      </x:c>
      <x:c r="D110" s="9" t="str">
        <x:v>Gate 60 baseline</x:v>
      </x:c>
      <x:c r="E110" s="16" t="str">
        <x:f>'Release Gates'!G66</x:f>
        <x:v>OPEN</x:v>
      </x:c>
      <x:c r="F110" s="16" t="str">
        <x:v>OPEN</x:v>
      </x:c>
      <x:c r="G110" s="9" t="str">
        <x:f>IF(ISNUMBER(E110),IF(ABS(E110-F110)&lt;0.01,"PASS","FAIL"),IF(E110=F110,"PASS","FAIL"))</x:f>
        <x:v>PASS</x:v>
      </x:c>
    </x:row>
    <x:row r="111">
      <x:c r="B111" s="9" t="str">
        <x:v>A105</x:v>
      </x:c>
      <x:c r="C111" s="9" t="str">
        <x:v>Release</x:v>
      </x:c>
      <x:c r="D111" s="9" t="str">
        <x:v>Gate 61 baseline</x:v>
      </x:c>
      <x:c r="E111" s="16" t="str">
        <x:f>'Release Gates'!G67</x:f>
        <x:v>OPEN</x:v>
      </x:c>
      <x:c r="F111" s="16" t="str">
        <x:v>OPEN</x:v>
      </x:c>
      <x:c r="G111" s="9" t="str">
        <x:f>IF(ISNUMBER(E111),IF(ABS(E111-F111)&lt;0.01,"PASS","FAIL"),IF(E111=F111,"PASS","FAIL"))</x:f>
        <x:v>PASS</x:v>
      </x:c>
    </x:row>
    <x:row r="112">
      <x:c r="B112" s="9" t="str">
        <x:v>A106</x:v>
      </x:c>
      <x:c r="C112" s="9" t="str">
        <x:v>Release</x:v>
      </x:c>
      <x:c r="D112" s="9" t="str">
        <x:v>Gate 62 baseline</x:v>
      </x:c>
      <x:c r="E112" s="16" t="str">
        <x:f>'Release Gates'!G68</x:f>
        <x:v>OPEN</x:v>
      </x:c>
      <x:c r="F112" s="16" t="str">
        <x:v>OPEN</x:v>
      </x:c>
      <x:c r="G112" s="9" t="str">
        <x:f>IF(ISNUMBER(E112),IF(ABS(E112-F112)&lt;0.01,"PASS","FAIL"),IF(E112=F112,"PASS","FAIL"))</x:f>
        <x:v>PASS</x:v>
      </x:c>
    </x:row>
    <x:row r="113">
      <x:c r="B113" s="9" t="str">
        <x:v>A107</x:v>
      </x:c>
      <x:c r="C113" s="9" t="str">
        <x:v>Release</x:v>
      </x:c>
      <x:c r="D113" s="9" t="str">
        <x:v>Gate 63 baseline</x:v>
      </x:c>
      <x:c r="E113" s="16" t="str">
        <x:f>'Release Gates'!G69</x:f>
        <x:v>OPEN</x:v>
      </x:c>
      <x:c r="F113" s="16" t="str">
        <x:v>OPEN</x:v>
      </x:c>
      <x:c r="G113" s="9" t="str">
        <x:f>IF(ISNUMBER(E113),IF(ABS(E113-F113)&lt;0.01,"PASS","FAIL"),IF(E113=F113,"PASS","FAIL"))</x:f>
        <x:v>PASS</x:v>
      </x:c>
    </x:row>
    <x:row r="114">
      <x:c r="B114" s="9" t="str">
        <x:v>A108</x:v>
      </x:c>
      <x:c r="C114" s="9" t="str">
        <x:v>Release</x:v>
      </x:c>
      <x:c r="D114" s="9" t="str">
        <x:v>Gate 64 baseline</x:v>
      </x:c>
      <x:c r="E114" s="16" t="str">
        <x:f>'Release Gates'!G70</x:f>
        <x:v>OPEN</x:v>
      </x:c>
      <x:c r="F114" s="16" t="str">
        <x:v>OPEN</x:v>
      </x:c>
      <x:c r="G114" s="9" t="str">
        <x:f>IF(ISNUMBER(E114),IF(ABS(E114-F114)&lt;0.01,"PASS","FAIL"),IF(E114=F114,"PASS","FAIL"))</x:f>
        <x:v>PASS</x:v>
      </x:c>
    </x:row>
    <x:row r="115">
      <x:c r="B115" s="9" t="str">
        <x:v>A109</x:v>
      </x:c>
      <x:c r="C115" s="9" t="str">
        <x:v>Release</x:v>
      </x:c>
      <x:c r="D115" s="9" t="str">
        <x:v>Gate 65 baseline</x:v>
      </x:c>
      <x:c r="E115" s="16" t="str">
        <x:f>'Release Gates'!G71</x:f>
        <x:v>OPEN</x:v>
      </x:c>
      <x:c r="F115" s="16" t="str">
        <x:v>OPEN</x:v>
      </x:c>
      <x:c r="G115" s="9" t="str">
        <x:f>IF(ISNUMBER(E115),IF(ABS(E115-F115)&lt;0.01,"PASS","FAIL"),IF(E115=F115,"PASS","FAIL"))</x:f>
        <x:v>PASS</x:v>
      </x:c>
    </x:row>
    <x:row r="116">
      <x:c r="B116" s="10" t="str">
        <x:v>A110</x:v>
      </x:c>
      <x:c r="C116" s="10" t="str">
        <x:v>Release</x:v>
      </x:c>
      <x:c r="D116" s="10" t="str">
        <x:v>Gate 66 baseline</x:v>
      </x:c>
      <x:c r="E116" s="19" t="str">
        <x:f>'Release Gates'!G72</x:f>
        <x:v>OPEN</x:v>
      </x:c>
      <x:c r="F116" s="19" t="str">
        <x:v>OPEN</x:v>
      </x:c>
      <x:c r="G116" s="10" t="str">
        <x:f>IF(ISNUMBER(E116),IF(ABS(E116-F116)&lt;0.01,"PASS","FAIL"),IF(E116=F116,"PASS","FAIL"))</x:f>
        <x:v>PASS</x:v>
      </x:c>
    </x:row>
  </x:sheetData>
  <x:mergeCells>
    <x:mergeCell ref="B2:G2"/>
    <x:mergeCell ref="B3:G3"/>
  </x:mergeCells>
  <x:conditionalFormatting sqref="G7:G116">
    <x:cfRule type="containsText" dxfId="242" priority="1" operator="containsText" text="PASS"/>
    <x:cfRule type="containsText" dxfId="243" priority="2" operator="containsText" text="AUTHORIZED"/>
    <x:cfRule type="containsText" dxfId="244" priority="3" operator="containsText" text="DEFINED"/>
    <x:cfRule type="containsText" dxfId="245" priority="4" operator="containsText" text="READY"/>
    <x:cfRule type="containsText" dxfId="246" priority="5" operator="containsText" text="HOLD"/>
    <x:cfRule type="containsText" dxfId="247" priority="6" operator="containsText" text="OPEN"/>
    <x:cfRule type="containsText" dxfId="248" priority="7" operator="containsText" text="BLOCKED"/>
    <x:cfRule type="containsText" dxfId="249" priority="8" operator="containsText" text="PLANNING"/>
    <x:cfRule type="containsText" dxfId="250" priority="9" operator="containsText" text="FAIL"/>
    <x:cfRule type="containsText" dxfId="251" priority="10" operator="containsText" text="REJECT"/>
    <x:cfRule type="containsText" dxfId="252" priority="11" operator="containsText" text="INCOMPLETE"/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Pr>
    <x:tabColor rgb="FF5D6B7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25" hidden="0" customWidth="1"/>
    <x:col min="3" max="3" width="1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2">
      <x:c r="B2" s="1" t="str">
        <x:v>Workbook method and use</x:v>
      </x:c>
    </x:row>
    <x:row r="3">
      <x:c r="B3" s="2" t="str">
        <x:v>BPT-1 research instrument | no procurement, article, campaign, production or rendering authority</x:v>
      </x:c>
    </x:row>
    <x:row r="4">
      <x:c r="B4" s="3"/>
      <x:c r="C4" s="3"/>
      <x:c r="D4" s="3"/>
      <x:c r="E4" s="3"/>
      <x:c r="F4" s="3"/>
      <x:c r="G4" s="3"/>
      <x:c r="H4" s="3"/>
    </x:row>
    <x:row r="6">
      <x:c r="B6" s="7" t="str">
        <x:v>Topic</x:v>
      </x:c>
      <x:c r="C6" s="7" t="str">
        <x:v>Method</x:v>
      </x:c>
    </x:row>
    <x:row r="7" ht="54" customHeight="1">
      <x:c r="B7" s="9" t="str">
        <x:v>Purpose</x:v>
      </x:c>
      <x:c r="C7" s="24" t="str">
        <x:v>Convert BRD-1 geometry into root-specific sections, joints, utilities, energy states, tolerance chains and process-evidence requirements.</x:v>
      </x:c>
    </x:row>
    <x:row r="8" ht="54" customHeight="1">
      <x:c r="B8" s="9" t="str">
        <x:v>Correction</x:v>
      </x:c>
      <x:c r="C8" s="24" t="str">
        <x:v>The 1.1 t allowance is not hardware and is excluded from CG. Both roots target 30.9 t physical dry mass.</x:v>
      </x:c>
    </x:row>
    <x:row r="9" ht="54" customHeight="1">
      <x:c r="B9" s="9" t="str">
        <x:v>Configuration</x:v>
      </x:c>
      <x:c r="C9" s="24" t="str">
        <x:v>Structural proof and both root energy states equal 40 t through explicitly different service, fuel and ballast inventories.</x:v>
      </x:c>
    </x:row>
    <x:row r="10" ht="54" customHeight="1">
      <x:c r="B10" s="9" t="str">
        <x:v>Energy</x:v>
      </x:c>
      <x:c r="C10" s="24" t="str">
        <x:v>The former 1.4 t generic fuel entry is rejected. Root A and Root B now carry 3.2 t and 4.4 t in their energy states.</x:v>
      </x:c>
    </x:row>
    <x:row r="11" ht="54" customHeight="1">
      <x:c r="B11" s="9" t="str">
        <x:v>Roots</x:v>
      </x:c>
      <x:c r="C11" s="24" t="str">
        <x:v>A uses welded high-strength steel, metallic pipe and copper bus. B uses CF-PAEK shell-grid, composite pipe and aluminum bus.</x:v>
      </x:c>
    </x:row>
    <x:row r="12" ht="54" customHeight="1">
      <x:c r="B12" s="9" t="str">
        <x:v>Tolerance</x:v>
      </x:c>
      <x:c r="C12" s="24" t="str">
        <x:v>Sixteen functional chains per root close on worst-case planning values; RSS is diagnostic only.</x:v>
      </x:c>
    </x:row>
    <x:row r="13" ht="54" customHeight="1">
      <x:c r="B13" s="9" t="str">
        <x:v>Evidence</x:v>
      </x:c>
      <x:c r="C13" s="24" t="str">
        <x:v>Ninety-six coupons, sixty-four NDE lots, twenty-four destructive witnesses and sixty-four key characteristics per root remain unobserved.</x:v>
      </x:c>
    </x:row>
    <x:row r="14" ht="54" customHeight="1">
      <x:c r="B14" s="9" t="str">
        <x:v>Finance</x:v>
      </x:c>
      <x:c r="C14" s="24" t="str">
        <x:v>USD 0.212B capital and USD 0.061B/year are nested inside the Pass 111 allocation.</x:v>
      </x:c>
    </x:row>
    <x:row r="15" ht="54" customHeight="1">
      <x:c r="B15" s="9" t="str">
        <x:v>Release</x:v>
      </x:c>
      <x:c r="C15" s="24" t="str">
        <x:v>Forty-four planning gates may pass. Twenty-two physical and authority gates remain open or blocked.</x:v>
      </x:c>
    </x:row>
    <x:row r="16" ht="54" customHeight="1">
      <x:c r="B16" s="9" t="str">
        <x:v>Audit</x:v>
      </x:c>
      <x:c r="C16" s="24" t="str">
        <x:v>Audit is terminal and independent. No source, formula, summary or release gate depends on it.</x:v>
      </x:c>
    </x:row>
    <x:row r="17" ht="54" customHeight="1">
      <x:c r="B17" s="10" t="str">
        <x:v>Next</x:v>
      </x:c>
      <x:c r="C17" s="25" t="str">
        <x:v>Create root-native construction travelers, known-defect standards, full-scale subarticle fixtures and evidence schemas. Exterior art remains blocked.</x:v>
      </x:c>
    </x:row>
  </x:sheetData>
  <x:mergeCells>
    <x:mergeCell ref="B2:H2"/>
    <x:mergeCell ref="B3:H3"/>
  </x:mergeCells>
  <x:pageMargins left="0.7" right="0.7" top="0.75" bottom="0.75" header="0.3" footer="0.3"/>
</x:worksheet>
</file>