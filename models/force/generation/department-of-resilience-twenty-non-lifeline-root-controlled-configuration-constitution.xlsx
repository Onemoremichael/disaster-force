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5214405ddb4b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ision" sheetId="1" r:id="R72c8cfde245b4826"/>
    <x:sheet xmlns:r="http://schemas.openxmlformats.org/officeDocument/2006/relationships" name="Controls" sheetId="2" r:id="Re116988869f04332"/>
    <x:sheet xmlns:r="http://schemas.openxmlformats.org/officeDocument/2006/relationships" name="Root Configurations" sheetId="3" r:id="Rfa26ee2e86d3416b"/>
    <x:sheet xmlns:r="http://schemas.openxmlformats.org/officeDocument/2006/relationships" name="Mechanism Vectors" sheetId="4" r:id="R504b83ec535c4e39"/>
    <x:sheet xmlns:r="http://schemas.openxmlformats.org/officeDocument/2006/relationships" name="Pairwise Distance" sheetId="5" r:id="Rff26250eac3248eb"/>
    <x:sheet xmlns:r="http://schemas.openxmlformats.org/officeDocument/2006/relationships" name="Route Carriage" sheetId="6" r:id="Rc3de74963f974eed"/>
    <x:sheet xmlns:r="http://schemas.openxmlformats.org/officeDocument/2006/relationships" name="Keystone Tests" sheetId="7" r:id="Rf37398e25b6e4dfe"/>
    <x:sheet xmlns:r="http://schemas.openxmlformats.org/officeDocument/2006/relationships" name="Technology Work" sheetId="8" r:id="Ra2d4c85701a44d7f"/>
    <x:sheet xmlns:r="http://schemas.openxmlformats.org/officeDocument/2006/relationships" name="Article Evidence" sheetId="9" r:id="Rca7539e4619a4059"/>
    <x:sheet xmlns:r="http://schemas.openxmlformats.org/officeDocument/2006/relationships" name="Ancestry" sheetId="10" r:id="R5be5a60cd8c0483c"/>
    <x:sheet xmlns:r="http://schemas.openxmlformats.org/officeDocument/2006/relationships" name="G3 Gates" sheetId="11" r:id="R2ae353f41bd244b9"/>
    <x:sheet xmlns:r="http://schemas.openxmlformats.org/officeDocument/2006/relationships" name="Cascadia Barrier" sheetId="12" r:id="R5853c88f4ecd42e8"/>
    <x:sheet xmlns:r="http://schemas.openxmlformats.org/officeDocument/2006/relationships" name="Finance" sheetId="13" r:id="R5e25a332a24f43a9"/>
    <x:sheet xmlns:r="http://schemas.openxmlformats.org/officeDocument/2006/relationships" name="Case Tests" sheetId="14" r:id="R6d55ee3b3db34d63"/>
    <x:sheet xmlns:r="http://schemas.openxmlformats.org/officeDocument/2006/relationships" name="Audits" sheetId="15" r:id="Rad80deec44a54085"/>
    <x:sheet xmlns:r="http://schemas.openxmlformats.org/officeDocument/2006/relationships" name="Sources" sheetId="16" r:id="R17b15054f57d4c56"/>
    <x:sheet xmlns:r="http://schemas.openxmlformats.org/officeDocument/2006/relationships" name="Read Me" sheetId="17" r:id="Rc1b6cd36124845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0%"/>
    <x:numFmt numFmtId="202" formatCode="$0.00"/>
    <x:numFmt numFmtId="203" formatCode="$0.0#"/>
    <x:numFmt numFmtId="204" formatCode="$0.0"/>
    <x:numFmt numFmtId="205" formatCode="$0"/>
  </x:numFmts>
  <x:fonts count="8">
    <x:font>
      <x:sz val="11"/>
      <x:name val="Carlito"/>
    </x:font>
    <x:font>
      <x:sz val="10"/>
      <x:color rgb="FF243447"/>
      <x:name val="Arial"/>
    </x:font>
    <x:font>
      <x:b/>
      <x:sz val="15"/>
      <x:color rgb="FF17324D"/>
      <x:name val="Arial"/>
    </x:font>
    <x:font>
      <x:i/>
      <x:sz val="10"/>
      <x:color rgb="FF64748B"/>
      <x:name val="Arial"/>
    </x:font>
    <x:font>
      <x:b/>
      <x:sz val="10"/>
      <x:color rgb="FFFFFFFF"/>
      <x:name val="Arial"/>
    </x:font>
    <x:font>
      <x:sz val="10"/>
      <x:color rgb="FF1F4E79"/>
      <x:name val="Arial"/>
    </x:font>
    <x:font>
      <x:b/>
      <x:sz val="10"/>
      <x:color rgb="FF17324D"/>
      <x:name val="Arial"/>
    </x:font>
    <x:font>
      <x:sz val="1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2CC"/>
      </x:patternFill>
    </x:fill>
    <x:fill>
      <x:patternFill patternType="solid">
        <x:fgColor rgb="FFD9E7F2"/>
      </x:patternFill>
    </x:fill>
  </x:fills>
  <x:borders count="11">
    <x:border/>
    <x:border>
      <x:bottom style="thin">
        <x:color rgb="FFA8BBCB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right style="thin">
        <x:color rgb="FFFFFFFF"/>
      </x:right>
      <x:bottom style="thin">
        <x:color rgb="FFD9E2E8"/>
      </x:bottom>
    </x:border>
    <x:border>
      <x:left style="thin">
        <x:color rgb="FFFFFFFF"/>
      </x:left>
      <x:right style="thin">
        <x:color rgb="FFFFFFFF"/>
      </x:right>
      <x:bottom style="thin">
        <x:color rgb="FFD9E2E8"/>
      </x:bottom>
    </x:border>
    <x:border>
      <x:top style="thin">
        <x:color rgb="FFD9E2E8"/>
      </x:top>
      <x:bottom style="thin">
        <x:color rgb="FFD9E2E8"/>
      </x:bottom>
    </x:border>
    <x:border>
      <x:right style="thin">
        <x:color rgb="FFFFFFFF"/>
      </x:right>
      <x:top style="thin">
        <x:color rgb="FFD9E2E8"/>
      </x:top>
      <x:bottom style="thin">
        <x:color rgb="FFD9E2E8"/>
      </x:bottom>
    </x:border>
    <x:border>
      <x:top style="thin">
        <x:color rgb="FFD9E2E8"/>
      </x:top>
      <x:bottom style="thin">
        <x:color rgb="FFA8BBCB"/>
      </x:bottom>
    </x:border>
    <x:border>
      <x:right style="thin">
        <x:color rgb="FFFFFFFF"/>
      </x:right>
      <x:top style="thin">
        <x:color rgb="FFD9E2E8"/>
      </x:top>
      <x:bottom style="thin">
        <x:color rgb="FFA8BBCB"/>
      </x:bottom>
    </x:border>
  </x:borders>
  <x:cellStyleXfs count="1">
    <x:xf numFmtId="0" fontId="0" fillId="0" borderId="0"/>
  </x:cellStyleXfs>
  <x:cellXfs count="5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4" fillId="2" borderId="4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4" fillId="2" borderId="5" xfId="0" applyNumberFormat="1" applyFont="1" applyFill="1" applyBorder="1" applyAlignment="1">
      <x:alignment horizontal="center" vertical="center"/>
    </x:xf>
    <x:xf numFmtId="0" fontId="4" fillId="2" borderId="6" xfId="0" applyNumberFormat="1" applyFont="1" applyFill="1" applyBorder="1" applyAlignment="1">
      <x:alignment horizontal="center" vertical="center"/>
    </x:xf>
    <x:xf numFmtId="0" fontId="1" fillId="0" borderId="7" xfId="0" applyNumberFormat="1" applyFont="1" applyFill="1" applyBorder="1" applyAlignment="1">
      <x:alignment vertical="center"/>
    </x:xf>
    <x:xf numFmtId="0" fontId="5" fillId="3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0" fontId="5" fillId="3" borderId="9" xfId="0" applyNumberFormat="1" applyFont="1" applyFill="1" applyBorder="1" applyAlignment="1">
      <x:alignment vertical="center"/>
    </x:xf>
    <x:xf numFmtId="0" fontId="1" fillId="0" borderId="10" xfId="0" applyNumberFormat="1" applyFont="1" applyFill="1" applyBorder="1" applyAlignment="1">
      <x:alignment vertical="center"/>
    </x:xf>
    <x:xf numFmtId="200" fontId="1" fillId="0" borderId="9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1" fontId="1" fillId="0" borderId="7" xfId="0" applyNumberFormat="1" applyFont="1" applyFill="1" applyBorder="1" applyAlignment="1">
      <x:alignment vertical="center"/>
    </x:xf>
    <x:xf numFmtId="202" fontId="1" fillId="0" borderId="7" xfId="0" applyNumberFormat="1" applyFont="1" applyFill="1" applyBorder="1" applyAlignment="1">
      <x:alignment vertical="center"/>
    </x:xf>
    <x:xf numFmtId="201" fontId="1" fillId="0" borderId="9" xfId="0" applyNumberFormat="1" applyFont="1" applyFill="1" applyBorder="1" applyAlignment="1">
      <x:alignment vertical="center"/>
    </x:xf>
    <x:xf numFmtId="202" fontId="1" fillId="0" borderId="9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3" fontId="1" fillId="0" borderId="8" xfId="0" applyNumberFormat="1" applyFont="1" applyFill="1" applyBorder="1" applyAlignment="1">
      <x:alignment vertical="center"/>
    </x:xf>
    <x:xf numFmtId="203" fontId="1" fillId="0" borderId="1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9" xfId="0" applyNumberFormat="1" applyFont="1" applyFill="1" applyBorder="1" applyAlignment="1">
      <x:alignment vertical="center"/>
    </x:xf>
    <x:xf numFmtId="0" fontId="6" fillId="4" borderId="1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5" fontId="6" fillId="4" borderId="0" xfId="0" applyNumberFormat="1" applyFont="1" applyFill="1" applyBorder="1" applyAlignment="1">
      <x:alignment vertical="center"/>
    </x:xf>
    <x:xf numFmtId="200" fontId="6" fillId="4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204" fontId="1" fillId="4" borderId="0" xfId="0" applyNumberFormat="1" applyFont="1" applyFill="1" applyBorder="1" applyAlignment="1">
      <x:alignment vertical="center"/>
    </x:xf>
    <x:xf numFmtId="204" fontId="1" fillId="0" borderId="7" xfId="0" applyNumberFormat="1" applyFont="1" applyFill="1" applyBorder="1" applyAlignment="1">
      <x:alignment vertical="center"/>
    </x:xf>
    <x:xf numFmtId="204" fontId="1" fillId="0" borderId="9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7" fillId="0" borderId="1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246B45"/>
      </x:font>
      <x:fill>
        <x:patternFill patternType="solid">
          <x:bgColor rgb="FFE8F3EC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71e0af787c401e" /><Relationship Type="http://schemas.openxmlformats.org/officeDocument/2006/relationships/theme" Target="/xl/theme/theme1.xml" Id="R4751b30638604dac" /><Relationship Type="http://schemas.openxmlformats.org/officeDocument/2006/relationships/sharedStrings" Target="/xl/sharedStrings.xml" Id="R9dbc7123927a4ea9" /><Relationship Type="http://schemas.openxmlformats.org/officeDocument/2006/relationships/worksheet" Target="/xl/worksheets/sheet1.xml" Id="R72c8cfde245b4826" /><Relationship Type="http://schemas.openxmlformats.org/officeDocument/2006/relationships/worksheet" Target="/xl/worksheets/sheet2.xml" Id="Re116988869f04332" /><Relationship Type="http://schemas.openxmlformats.org/officeDocument/2006/relationships/worksheet" Target="/xl/worksheets/sheet3.xml" Id="Rfa26ee2e86d3416b" /><Relationship Type="http://schemas.openxmlformats.org/officeDocument/2006/relationships/worksheet" Target="/xl/worksheets/sheet4.xml" Id="R504b83ec535c4e39" /><Relationship Type="http://schemas.openxmlformats.org/officeDocument/2006/relationships/worksheet" Target="/xl/worksheets/sheet5.xml" Id="Rff26250eac3248eb" /><Relationship Type="http://schemas.openxmlformats.org/officeDocument/2006/relationships/worksheet" Target="/xl/worksheets/sheet6.xml" Id="Rc3de74963f974eed" /><Relationship Type="http://schemas.openxmlformats.org/officeDocument/2006/relationships/worksheet" Target="/xl/worksheets/sheet7.xml" Id="Rf37398e25b6e4dfe" /><Relationship Type="http://schemas.openxmlformats.org/officeDocument/2006/relationships/worksheet" Target="/xl/worksheets/sheet8.xml" Id="Ra2d4c85701a44d7f" /><Relationship Type="http://schemas.openxmlformats.org/officeDocument/2006/relationships/worksheet" Target="/xl/worksheets/sheet9.xml" Id="Rca7539e4619a4059" /><Relationship Type="http://schemas.openxmlformats.org/officeDocument/2006/relationships/worksheet" Target="/xl/worksheets/sheet10.xml" Id="R5be5a60cd8c0483c" /><Relationship Type="http://schemas.openxmlformats.org/officeDocument/2006/relationships/worksheet" Target="/xl/worksheets/sheet11.xml" Id="R2ae353f41bd244b9" /><Relationship Type="http://schemas.openxmlformats.org/officeDocument/2006/relationships/worksheet" Target="/xl/worksheets/sheet12.xml" Id="R5853c88f4ecd42e8" /><Relationship Type="http://schemas.openxmlformats.org/officeDocument/2006/relationships/worksheet" Target="/xl/worksheets/sheet13.xml" Id="R5e25a332a24f43a9" /><Relationship Type="http://schemas.openxmlformats.org/officeDocument/2006/relationships/worksheet" Target="/xl/worksheets/sheet14.xml" Id="R6d55ee3b3db34d63" /><Relationship Type="http://schemas.openxmlformats.org/officeDocument/2006/relationships/worksheet" Target="/xl/worksheets/sheet15.xml" Id="Rad80deec44a54085" /><Relationship Type="http://schemas.openxmlformats.org/officeDocument/2006/relationships/worksheet" Target="/xl/worksheets/sheet16.xml" Id="R17b15054f57d4c56" /><Relationship Type="http://schemas.openxmlformats.org/officeDocument/2006/relationships/worksheet" Target="/xl/worksheets/sheet17.xml" Id="Rc1b6cd361248453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4c6a6b234b6499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Controlled article units by system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Valid events</c:v>
          </c:tx>
          <c:spPr>
            <a:solidFill xmlns:a="http://schemas.openxmlformats.org/drawingml/2006/main">
              <a:srgbClr val="1F6A8A"/>
            </a:solidFill>
          </c:spPr>
          <c:cat>
            <c:strRef>
              <c:f>'Decision'!$C$22:$C$26</c:f>
              <c:strCache>
                <c:ptCount val="0"/>
              </c:strCache>
            </c:strRef>
          </c:cat>
          <c:val>
            <c:numRef>
              <c:f>'Decision'!$G$22:$G$26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11</xdr:col>
      <xdr:colOff>0</xdr:colOff>
      <xdr:row>5</xdr:row>
      <xdr:rowOff>0</xdr:rowOff>
    </xdr:from>
    <xdr:to>
      <xdr:col>18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4c6a6b234b6499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d9ddb16e623486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3" max="3" width="29" hidden="0" customWidth="1"/>
    <x:col min="4" max="4" width="34" hidden="0" customWidth="1"/>
    <x:col min="5" max="5" width="16" hidden="0" customWidth="1"/>
    <x:col min="6" max="6" width="16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</x:cols>
  <x:sheetData>
    <x:row r="1"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48"/>
      <x:c r="S1" s="48"/>
      <x:c r="T1" s="48"/>
      <x:c r="U1" s="48"/>
      <x:c r="V1" s="48"/>
      <x:c r="W1" s="48"/>
    </x:row>
    <x:row r="2">
      <x:c r="C2" s="3" t="str">
        <x:v>Twenty-root configuration constitution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48"/>
      <x:c r="S2" s="48"/>
      <x:c r="T2" s="48"/>
      <x:c r="U2" s="48"/>
      <x:c r="V2" s="48"/>
      <x:c r="W2" s="48"/>
    </x:row>
    <x:row r="3">
      <x:c r="C3" s="5" t="str">
        <x:v>Pass 181 · CLOSE · paper configurations are frozen; physical evidence remains source-empty.</x:v>
      </x:c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49"/>
      <x:c r="S3" s="49"/>
      <x:c r="T3" s="49"/>
      <x:c r="U3" s="49"/>
      <x:c r="V3" s="49"/>
      <x:c r="W3" s="49"/>
    </x:row>
    <x:row r="4"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48"/>
      <x:c r="S4" s="48"/>
      <x:c r="T4" s="48"/>
      <x:c r="U4" s="48"/>
      <x:c r="V4" s="48"/>
      <x:c r="W4" s="48"/>
    </x:row>
    <x:row r="5"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48"/>
      <x:c r="S5" s="48"/>
      <x:c r="T5" s="48"/>
      <x:c r="U5" s="48"/>
      <x:c r="V5" s="48"/>
      <x:c r="W5" s="48"/>
    </x:row>
    <x:row r="6">
      <x:c r="C6" s="17" t="str">
        <x:v>Decision measure</x:v>
      </x:c>
      <x:c r="D6" s="18" t="str">
        <x:v>Result</x:v>
      </x:c>
      <x:c r="E6" s="18" t="str">
        <x:v>Value</x:v>
      </x:c>
      <x:c r="F6" s="18" t="str">
        <x:v>State</x:v>
      </x:c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48"/>
      <x:c r="S6" s="48"/>
      <x:c r="T6" s="48"/>
      <x:c r="U6" s="48"/>
      <x:c r="V6" s="48"/>
      <x:c r="W6" s="48"/>
    </x:row>
    <x:row r="7">
      <x:c r="C7" s="19" t="str">
        <x:v>Mechanism law</x:v>
      </x:c>
      <x:c r="D7" s="19" t="str">
        <x:v>Twelve domains; four anchor domains</x:v>
      </x:c>
      <x:c r="E7" s="19" t="n">
        <x:v>12</x:v>
      </x:c>
      <x:c r="F7" s="21" t="str">
        <x:v>SELECTED</x:v>
      </x:c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48"/>
      <x:c r="S7" s="48"/>
      <x:c r="T7" s="48"/>
      <x:c r="U7" s="48"/>
      <x:c r="V7" s="48"/>
      <x:c r="W7" s="48"/>
    </x:row>
    <x:row r="8">
      <x:c r="C8" s="19" t="str">
        <x:v>Non-lifeline roots</x:v>
      </x:c>
      <x:c r="D8" s="19" t="str">
        <x:v>Four per system</x:v>
      </x:c>
      <x:c r="E8" s="19" t="n">
        <x:v>20</x:v>
      </x:c>
      <x:c r="F8" s="21" t="str">
        <x:v>FROZEN</x:v>
      </x:c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48"/>
      <x:c r="S8" s="48"/>
      <x:c r="T8" s="48"/>
      <x:c r="U8" s="48"/>
      <x:c r="V8" s="48"/>
      <x:c r="W8" s="48"/>
    </x:row>
    <x:row r="9">
      <x:c r="C9" s="19" t="str">
        <x:v>Pairwise mechanism tests</x:v>
      </x:c>
      <x:c r="D9" s="19" t="str">
        <x:v>Eight-domain distance floor</x:v>
      </x:c>
      <x:c r="E9" s="19" t="n">
        <x:v>30</x:v>
      </x:c>
      <x:c r="F9" s="21" t="str">
        <x:v>PASS</x:v>
      </x:c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48"/>
      <x:c r="S9" s="48"/>
      <x:c r="T9" s="48"/>
      <x:c r="U9" s="48"/>
      <x:c r="V9" s="48"/>
      <x:c r="W9" s="48"/>
    </x:row>
    <x:row r="10">
      <x:c r="C10" s="19" t="str">
        <x:v>Root-route obligations</x:v>
      </x:c>
      <x:c r="D10" s="19" t="str">
        <x:v>Every route retained</x:v>
      </x:c>
      <x:c r="E10" s="19" t="n">
        <x:v>92</x:v>
      </x:c>
      <x:c r="F10" s="21" t="str">
        <x:v>FROZEN</x:v>
      </x:c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48"/>
      <x:c r="S10" s="48"/>
      <x:c r="T10" s="48"/>
      <x:c r="U10" s="48"/>
      <x:c r="V10" s="48"/>
      <x:c r="W10" s="48"/>
    </x:row>
    <x:row r="11">
      <x:c r="C11" s="19" t="str">
        <x:v>Keystone experiments</x:v>
      </x:c>
      <x:c r="D11" s="19" t="str">
        <x:v>One fatal test per root</x:v>
      </x:c>
      <x:c r="E11" s="19" t="n">
        <x:v>20</x:v>
      </x:c>
      <x:c r="F11" s="21" t="str">
        <x:v>UNTESTED</x:v>
      </x:c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48"/>
      <x:c r="S11" s="48"/>
      <x:c r="T11" s="48"/>
      <x:c r="U11" s="48"/>
      <x:c r="V11" s="48"/>
      <x:c r="W11" s="48"/>
    </x:row>
    <x:row r="12">
      <x:c r="C12" s="19" t="str">
        <x:v>Technology workstreams</x:v>
      </x:c>
      <x:c r="D12" s="19" t="str">
        <x:v>Four per root</x:v>
      </x:c>
      <x:c r="E12" s="19" t="n">
        <x:v>80</x:v>
      </x:c>
      <x:c r="F12" s="21" t="str">
        <x:v>OPEN</x:v>
      </x:c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48"/>
      <x:c r="S12" s="48"/>
      <x:c r="T12" s="48"/>
      <x:c r="U12" s="48"/>
      <x:c r="V12" s="48"/>
      <x:c r="W12" s="48"/>
    </x:row>
    <x:row r="13">
      <x:c r="C13" s="19" t="str">
        <x:v>Decisive ancestry records</x:v>
      </x:c>
      <x:c r="D13" s="19" t="str">
        <x:v>Twelve per root</x:v>
      </x:c>
      <x:c r="E13" s="19" t="n">
        <x:v>240</x:v>
      </x:c>
      <x:c r="F13" s="21" t="str">
        <x:v>UNDECLARED</x:v>
      </x:c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48"/>
      <x:c r="S13" s="48"/>
      <x:c r="T13" s="48"/>
      <x:c r="U13" s="48"/>
      <x:c r="V13" s="48"/>
      <x:c r="W13" s="48"/>
    </x:row>
    <x:row r="14">
      <x:c r="C14" s="19" t="str">
        <x:v>G3 gates</x:v>
      </x:c>
      <x:c r="D14" s="19" t="str">
        <x:v>Fourteen per root</x:v>
      </x:c>
      <x:c r="E14" s="19" t="n">
        <x:v>280</x:v>
      </x:c>
      <x:c r="F14" s="21" t="str">
        <x:v>OPEN</x:v>
      </x:c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48"/>
      <x:c r="S14" s="48"/>
      <x:c r="T14" s="48"/>
      <x:c r="U14" s="48"/>
      <x:c r="V14" s="48"/>
      <x:c r="W14" s="48"/>
    </x:row>
    <x:row r="15">
      <x:c r="C15" s="19" t="str">
        <x:v>Top-level article units</x:v>
      </x:c>
      <x:c r="D15" s="19" t="str">
        <x:v>Three proof units plus support</x:v>
      </x:c>
      <x:c r="E15" s="19" t="n">
        <x:v>1268</x:v>
      </x:c>
      <x:c r="F15" s="21" t="str">
        <x:v>UNBUILT</x:v>
      </x:c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48"/>
      <x:c r="S15" s="48"/>
      <x:c r="T15" s="48"/>
      <x:c r="U15" s="48"/>
      <x:c r="V15" s="48"/>
      <x:c r="W15" s="48"/>
    </x:row>
    <x:row r="16">
      <x:c r="C16" s="19" t="str">
        <x:v>Valid events</x:v>
      </x:c>
      <x:c r="D16" s="19" t="str">
        <x:v>Forty-two per root</x:v>
      </x:c>
      <x:c r="E16" s="19" t="n">
        <x:v>840</x:v>
      </x:c>
      <x:c r="F16" s="21" t="str">
        <x:v>UNTESTED</x:v>
      </x:c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48"/>
      <x:c r="S16" s="48"/>
      <x:c r="T16" s="48"/>
      <x:c r="U16" s="48"/>
      <x:c r="V16" s="48"/>
      <x:c r="W16" s="48"/>
    </x:row>
    <x:row r="17">
      <x:c r="C17" s="19" t="str">
        <x:v>Evidence packages</x:v>
      </x:c>
      <x:c r="D17" s="19" t="str">
        <x:v>Noncompensatory</x:v>
      </x:c>
      <x:c r="E17" s="19" t="n">
        <x:v>3640</x:v>
      </x:c>
      <x:c r="F17" s="21" t="str">
        <x:v>OPEN</x:v>
      </x:c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48"/>
      <x:c r="S17" s="48"/>
      <x:c r="T17" s="48"/>
      <x:c r="U17" s="48"/>
      <x:c r="V17" s="48"/>
      <x:c r="W17" s="48"/>
    </x:row>
    <x:row r="18">
      <x:c r="C18" s="22" t="str">
        <x:v>Cascadia G4 entry</x:v>
      </x:c>
      <x:c r="D18" s="22" t="str">
        <x:v>Twenty-four roots and four seams</x:v>
      </x:c>
      <x:c r="E18" s="22" t="str">
        <x:v>BLOCKED</x:v>
      </x:c>
      <x:c r="F18" s="24" t="str">
        <x:v>BLOCKED</x:v>
      </x:c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48"/>
      <x:c r="S18" s="48"/>
      <x:c r="T18" s="48"/>
      <x:c r="U18" s="48"/>
      <x:c r="V18" s="48"/>
      <x:c r="W18" s="48"/>
    </x:row>
    <x:row r="19"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48"/>
      <x:c r="S19" s="48"/>
      <x:c r="T19" s="48"/>
      <x:c r="U19" s="48"/>
      <x:c r="V19" s="48"/>
      <x:c r="W19" s="48"/>
    </x:row>
    <x:row r="20"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48"/>
      <x:c r="S20" s="48"/>
      <x:c r="T20" s="48"/>
      <x:c r="U20" s="48"/>
      <x:c r="V20" s="48"/>
      <x:c r="W20" s="48"/>
    </x:row>
    <x:row r="21">
      <x:c r="C21" s="17" t="str">
        <x:v>System</x:v>
      </x:c>
      <x:c r="D21" s="18" t="str">
        <x:v>Mechanism roots</x:v>
      </x:c>
      <x:c r="E21" s="18" t="str">
        <x:v>Unit positions</x:v>
      </x:c>
      <x:c r="F21" s="18" t="str">
        <x:v>Article units</x:v>
      </x:c>
      <x:c r="G21" s="18" t="str">
        <x:v>Valid events</x:v>
      </x:c>
      <x:c r="H21" s="18" t="str">
        <x:v>Packages</x:v>
      </x:c>
      <x:c r="I21" s="18" t="str">
        <x:v>Allocation USD B</x:v>
      </x:c>
      <x:c r="J21" s="18" t="str">
        <x:v>G3 releases</x:v>
      </x:c>
      <x:c r="K21" s="2"/>
      <x:c r="L21" s="2"/>
      <x:c r="M21" s="2"/>
      <x:c r="N21" s="2"/>
      <x:c r="O21" s="2"/>
      <x:c r="P21" s="2"/>
      <x:c r="Q21" s="2"/>
      <x:c r="R21" s="48"/>
      <x:c r="S21" s="48"/>
      <x:c r="T21" s="48"/>
      <x:c r="U21" s="48"/>
      <x:c r="V21" s="48"/>
      <x:c r="W21" s="48"/>
    </x:row>
    <x:row r="22">
      <x:c r="C22" s="19" t="str">
        <x:v>MS-ET</x:v>
      </x:c>
      <x:c r="D22" s="19" t="n">
        <x:v>4</x:v>
      </x:c>
      <x:c r="E22" s="19" t="n">
        <x:v>17</x:v>
      </x:c>
      <x:c r="F22" s="19" t="n">
        <x:v>244</x:v>
      </x:c>
      <x:c r="G22" s="19" t="n">
        <x:v>168</x:v>
      </x:c>
      <x:c r="H22" s="19" t="n">
        <x:v>720</x:v>
      </x:c>
      <x:c r="I22" s="44" t="n">
        <x:v>44.51169804004222</x:v>
      </x:c>
      <x:c r="J22" s="21" t="n">
        <x:f>COUNTIFS('Root Configurations'!$E$7:$E$26,C22,'Root Configurations'!$V$7:$V$26,"RELEASED")</x:f>
        <x:v>0</x:v>
      </x:c>
      <x:c r="K22" s="2"/>
      <x:c r="L22" s="2"/>
      <x:c r="M22" s="2"/>
      <x:c r="N22" s="2"/>
      <x:c r="O22" s="2"/>
      <x:c r="P22" s="2"/>
      <x:c r="Q22" s="2"/>
      <x:c r="R22" s="48"/>
      <x:c r="S22" s="48"/>
      <x:c r="T22" s="48"/>
      <x:c r="U22" s="48"/>
      <x:c r="V22" s="48"/>
      <x:c r="W22" s="48"/>
    </x:row>
    <x:row r="23">
      <x:c r="C23" s="19" t="str">
        <x:v>MS-CT</x:v>
      </x:c>
      <x:c r="D23" s="19" t="n">
        <x:v>4</x:v>
      </x:c>
      <x:c r="E23" s="19" t="n">
        <x:v>14</x:v>
      </x:c>
      <x:c r="F23" s="19" t="n">
        <x:v>208</x:v>
      </x:c>
      <x:c r="G23" s="19" t="n">
        <x:v>168</x:v>
      </x:c>
      <x:c r="H23" s="19" t="n">
        <x:v>684</x:v>
      </x:c>
      <x:c r="I23" s="44" t="n">
        <x:v>45.93639930929069</x:v>
      </x:c>
      <x:c r="J23" s="21" t="n">
        <x:f>COUNTIFS('Root Configurations'!$E$7:$E$26,C23,'Root Configurations'!$V$7:$V$26,"RELEASED")</x:f>
        <x:v>0</x:v>
      </x:c>
      <x:c r="K23" s="2"/>
      <x:c r="L23" s="2"/>
      <x:c r="M23" s="2"/>
      <x:c r="N23" s="2"/>
      <x:c r="O23" s="2"/>
      <x:c r="P23" s="2"/>
      <x:c r="Q23" s="2"/>
      <x:c r="R23" s="48"/>
      <x:c r="S23" s="48"/>
      <x:c r="T23" s="48"/>
      <x:c r="U23" s="48"/>
      <x:c r="V23" s="48"/>
      <x:c r="W23" s="48"/>
    </x:row>
    <x:row r="24">
      <x:c r="C24" s="19" t="str">
        <x:v>MS-HC</x:v>
      </x:c>
      <x:c r="D24" s="19" t="n">
        <x:v>4</x:v>
      </x:c>
      <x:c r="E24" s="19" t="n">
        <x:v>7</x:v>
      </x:c>
      <x:c r="F24" s="19" t="n">
        <x:v>124</x:v>
      </x:c>
      <x:c r="G24" s="19" t="n">
        <x:v>168</x:v>
      </x:c>
      <x:c r="H24" s="19" t="n">
        <x:v>592</x:v>
      </x:c>
      <x:c r="I24" s="44" t="n">
        <x:v>27.323978086261516</x:v>
      </x:c>
      <x:c r="J24" s="21" t="n">
        <x:f>COUNTIFS('Root Configurations'!$E$7:$E$26,C24,'Root Configurations'!$V$7:$V$26,"RELEASED")</x:f>
        <x:v>0</x:v>
      </x:c>
      <x:c r="K24" s="2"/>
      <x:c r="L24" s="2"/>
      <x:c r="M24" s="2"/>
      <x:c r="N24" s="2"/>
      <x:c r="O24" s="2"/>
      <x:c r="P24" s="2"/>
      <x:c r="Q24" s="2"/>
      <x:c r="R24" s="48"/>
      <x:c r="S24" s="48"/>
      <x:c r="T24" s="48"/>
      <x:c r="U24" s="48"/>
      <x:c r="V24" s="48"/>
      <x:c r="W24" s="48"/>
    </x:row>
    <x:row r="25">
      <x:c r="C25" s="19" t="str">
        <x:v>MS-HU</x:v>
      </x:c>
      <x:c r="D25" s="19" t="n">
        <x:v>4</x:v>
      </x:c>
      <x:c r="E25" s="19" t="n">
        <x:v>34</x:v>
      </x:c>
      <x:c r="F25" s="19" t="n">
        <x:v>448</x:v>
      </x:c>
      <x:c r="G25" s="19" t="n">
        <x:v>168</x:v>
      </x:c>
      <x:c r="H25" s="19" t="n">
        <x:v>924</x:v>
      </x:c>
      <x:c r="I25" s="44" t="n">
        <x:v>76.55088074487006</x:v>
      </x:c>
      <x:c r="J25" s="21" t="n">
        <x:f>COUNTIFS('Root Configurations'!$E$7:$E$26,C25,'Root Configurations'!$V$7:$V$26,"RELEASED")</x:f>
        <x:v>0</x:v>
      </x:c>
      <x:c r="K25" s="2"/>
      <x:c r="L25" s="2"/>
      <x:c r="M25" s="2"/>
      <x:c r="N25" s="2"/>
      <x:c r="O25" s="2"/>
      <x:c r="P25" s="2"/>
      <x:c r="Q25" s="2"/>
      <x:c r="R25" s="48"/>
      <x:c r="S25" s="48"/>
      <x:c r="T25" s="48"/>
      <x:c r="U25" s="48"/>
      <x:c r="V25" s="48"/>
      <x:c r="W25" s="48"/>
    </x:row>
    <x:row r="26">
      <x:c r="C26" s="22" t="str">
        <x:v>MS-RT</x:v>
      </x:c>
      <x:c r="D26" s="22" t="n">
        <x:v>4</x:v>
      </x:c>
      <x:c r="E26" s="22" t="n">
        <x:v>17</x:v>
      </x:c>
      <x:c r="F26" s="22" t="n">
        <x:v>244</x:v>
      </x:c>
      <x:c r="G26" s="22" t="n">
        <x:v>168</x:v>
      </x:c>
      <x:c r="H26" s="22" t="n">
        <x:v>720</x:v>
      </x:c>
      <x:c r="I26" s="45" t="n">
        <x:v>44.700531046712975</x:v>
      </x:c>
      <x:c r="J26" s="24" t="n">
        <x:f>COUNTIFS('Root Configurations'!$E$7:$E$26,C26,'Root Configurations'!$V$7:$V$26,"RELEASED")</x:f>
        <x:v>0</x:v>
      </x:c>
      <x:c r="K26" s="2"/>
      <x:c r="L26" s="2"/>
      <x:c r="M26" s="2"/>
      <x:c r="N26" s="2"/>
      <x:c r="O26" s="2"/>
      <x:c r="P26" s="2"/>
      <x:c r="Q26" s="2"/>
      <x:c r="R26" s="48"/>
      <x:c r="S26" s="48"/>
      <x:c r="T26" s="48"/>
      <x:c r="U26" s="48"/>
      <x:c r="V26" s="48"/>
      <x:c r="W26" s="48"/>
    </x:row>
    <x:row r="27"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48"/>
      <x:c r="S27" s="48"/>
      <x:c r="T27" s="48"/>
      <x:c r="U27" s="48"/>
      <x:c r="V27" s="48"/>
      <x:c r="W27" s="48"/>
    </x:row>
    <x:row r="28"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48"/>
      <x:c r="S28" s="48"/>
      <x:c r="T28" s="48"/>
      <x:c r="U28" s="48"/>
      <x:c r="V28" s="48"/>
      <x:c r="W28" s="48"/>
    </x:row>
    <x:row r="29"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48"/>
      <x:c r="S29" s="48"/>
      <x:c r="T29" s="48"/>
      <x:c r="U29" s="48"/>
      <x:c r="V29" s="48"/>
      <x:c r="W29" s="48"/>
    </x:row>
    <x:row r="30"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48"/>
      <x:c r="S30" s="48"/>
      <x:c r="T30" s="48"/>
      <x:c r="U30" s="48"/>
      <x:c r="V30" s="48"/>
      <x:c r="W30" s="48"/>
    </x:row>
  </x:sheetData>
  <x:pageMargins left="0.7" right="0.7" top="0.75" bottom="0.75" header="0.3" footer="0.3"/>
  <x:drawing xmlns:r="http://schemas.openxmlformats.org/officeDocument/2006/relationships" r:id="R1d9ddb16e6234864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3" max="3" width="34" hidden="0" customWidth="1"/>
    <x:col min="4" max="4" width="16" hidden="0" customWidth="1"/>
    <x:col min="5" max="5" width="18" hidden="0" customWidth="1"/>
    <x:col min="6" max="6" width="25" hidden="0" customWidth="1"/>
  </x:cols>
  <x:sheetData>
    <x:row r="1">
      <x:c r="C1" s="2"/>
      <x:c r="D1" s="2"/>
      <x:c r="E1" s="2"/>
      <x:c r="F1" s="2"/>
      <x:c r="G1" s="48"/>
      <x:c r="H1" s="48"/>
      <x:c r="I1" s="48"/>
      <x:c r="J1" s="48"/>
      <x:c r="K1" s="48"/>
      <x:c r="L1" s="48"/>
      <x:c r="M1" s="48"/>
      <x:c r="N1" s="48"/>
      <x:c r="O1" s="48"/>
      <x:c r="P1" s="48"/>
      <x:c r="Q1" s="48"/>
      <x:c r="R1" s="48"/>
      <x:c r="S1" s="48"/>
      <x:c r="T1" s="48"/>
      <x:c r="U1" s="48"/>
      <x:c r="V1" s="48"/>
      <x:c r="W1" s="48"/>
    </x:row>
    <x:row r="2">
      <x:c r="C2" s="3" t="str">
        <x:v>Configuration controls</x:v>
      </x:c>
      <x:c r="D2" s="2"/>
      <x:c r="E2" s="2"/>
      <x:c r="F2" s="2"/>
      <x:c r="G2" s="48"/>
      <x:c r="H2" s="48"/>
      <x:c r="I2" s="48"/>
      <x:c r="J2" s="48"/>
      <x:c r="K2" s="48"/>
      <x:c r="L2" s="48"/>
      <x:c r="M2" s="48"/>
      <x:c r="N2" s="48"/>
      <x:c r="O2" s="48"/>
      <x:c r="P2" s="48"/>
      <x:c r="Q2" s="48"/>
      <x:c r="R2" s="48"/>
      <x:c r="S2" s="48"/>
      <x:c r="T2" s="48"/>
      <x:c r="U2" s="48"/>
      <x:c r="V2" s="48"/>
      <x:c r="W2" s="48"/>
    </x:row>
    <x:row r="3">
      <x:c r="C3" s="5" t="str">
        <x:v>Yellow fields are controlled design inputs or source-empty observations.</x:v>
      </x:c>
      <x:c r="D3" s="6"/>
      <x:c r="E3" s="6"/>
      <x:c r="F3" s="6"/>
      <x:c r="G3" s="49"/>
      <x:c r="H3" s="49"/>
      <x:c r="I3" s="49"/>
      <x:c r="J3" s="49"/>
      <x:c r="K3" s="49"/>
      <x:c r="L3" s="49"/>
      <x:c r="M3" s="49"/>
      <x:c r="N3" s="49"/>
      <x:c r="O3" s="49"/>
      <x:c r="P3" s="49"/>
      <x:c r="Q3" s="49"/>
      <x:c r="R3" s="49"/>
      <x:c r="S3" s="49"/>
      <x:c r="T3" s="49"/>
      <x:c r="U3" s="49"/>
      <x:c r="V3" s="49"/>
      <x:c r="W3" s="49"/>
    </x:row>
    <x:row r="4">
      <x:c r="C4" s="2"/>
      <x:c r="D4" s="2"/>
      <x:c r="E4" s="2"/>
      <x:c r="F4" s="2"/>
      <x:c r="G4" s="48"/>
      <x:c r="H4" s="48"/>
      <x:c r="I4" s="48"/>
      <x:c r="J4" s="48"/>
      <x:c r="K4" s="48"/>
      <x:c r="L4" s="48"/>
      <x:c r="M4" s="48"/>
      <x:c r="N4" s="48"/>
      <x:c r="O4" s="48"/>
      <x:c r="P4" s="48"/>
      <x:c r="Q4" s="48"/>
      <x:c r="R4" s="48"/>
      <x:c r="S4" s="48"/>
      <x:c r="T4" s="48"/>
      <x:c r="U4" s="48"/>
      <x:c r="V4" s="48"/>
      <x:c r="W4" s="48"/>
    </x:row>
    <x:row r="5">
      <x:c r="C5" s="2"/>
      <x:c r="D5" s="2"/>
      <x:c r="E5" s="2"/>
      <x:c r="F5" s="2"/>
      <x:c r="G5" s="48"/>
      <x:c r="H5" s="48"/>
      <x:c r="I5" s="48"/>
      <x:c r="J5" s="48"/>
      <x:c r="K5" s="48"/>
      <x:c r="L5" s="48"/>
      <x:c r="M5" s="48"/>
      <x:c r="N5" s="48"/>
      <x:c r="O5" s="48"/>
      <x:c r="P5" s="48"/>
      <x:c r="Q5" s="48"/>
      <x:c r="R5" s="48"/>
      <x:c r="S5" s="48"/>
      <x:c r="T5" s="48"/>
      <x:c r="U5" s="48"/>
      <x:c r="V5" s="48"/>
      <x:c r="W5" s="48"/>
    </x:row>
    <x:row r="6">
      <x:c r="C6" s="17" t="str">
        <x:v>Control</x:v>
      </x:c>
      <x:c r="D6" s="18" t="str">
        <x:v>Value</x:v>
      </x:c>
      <x:c r="E6" s="18" t="str">
        <x:v>Unit</x:v>
      </x:c>
      <x:c r="F6" s="18" t="str">
        <x:v>Authority</x:v>
      </x:c>
      <x:c r="G6" s="48"/>
      <x:c r="H6" s="48"/>
      <x:c r="I6" s="48"/>
      <x:c r="J6" s="48"/>
      <x:c r="K6" s="48"/>
      <x:c r="L6" s="48"/>
      <x:c r="M6" s="48"/>
      <x:c r="N6" s="48"/>
      <x:c r="O6" s="48"/>
      <x:c r="P6" s="48"/>
      <x:c r="Q6" s="48"/>
      <x:c r="R6" s="48"/>
      <x:c r="S6" s="48"/>
      <x:c r="T6" s="48"/>
      <x:c r="U6" s="48"/>
      <x:c r="V6" s="48"/>
      <x:c r="W6" s="48"/>
    </x:row>
    <x:row r="7">
      <x:c r="C7" s="19" t="str">
        <x:v>Roots per system</x:v>
      </x:c>
      <x:c r="D7" s="20" t="n">
        <x:v>4</x:v>
      </x:c>
      <x:c r="E7" s="19" t="str">
        <x:v>roots</x:v>
      </x:c>
      <x:c r="F7" s="21" t="str">
        <x:v>Pass 175</x:v>
      </x:c>
      <x:c r="G7" s="48"/>
      <x:c r="H7" s="48"/>
      <x:c r="I7" s="48"/>
      <x:c r="J7" s="48"/>
      <x:c r="K7" s="48"/>
      <x:c r="L7" s="48"/>
      <x:c r="M7" s="48"/>
      <x:c r="N7" s="48"/>
      <x:c r="O7" s="48"/>
      <x:c r="P7" s="48"/>
      <x:c r="Q7" s="48"/>
      <x:c r="R7" s="48"/>
      <x:c r="S7" s="48"/>
      <x:c r="T7" s="48"/>
      <x:c r="U7" s="48"/>
      <x:c r="V7" s="48"/>
      <x:c r="W7" s="48"/>
    </x:row>
    <x:row r="8">
      <x:c r="C8" s="19" t="str">
        <x:v>Mechanism identity domains</x:v>
      </x:c>
      <x:c r="D8" s="20" t="n">
        <x:v>12</x:v>
      </x:c>
      <x:c r="E8" s="19" t="str">
        <x:v>domains</x:v>
      </x:c>
      <x:c r="F8" s="21" t="str">
        <x:v>Pass 181</x:v>
      </x:c>
      <x:c r="G8" s="48"/>
      <x:c r="H8" s="48"/>
      <x:c r="I8" s="48"/>
      <x:c r="J8" s="48"/>
      <x:c r="K8" s="48"/>
      <x:c r="L8" s="48"/>
      <x:c r="M8" s="48"/>
      <x:c r="N8" s="48"/>
      <x:c r="O8" s="48"/>
      <x:c r="P8" s="48"/>
      <x:c r="Q8" s="48"/>
      <x:c r="R8" s="48"/>
      <x:c r="S8" s="48"/>
      <x:c r="T8" s="48"/>
      <x:c r="U8" s="48"/>
      <x:c r="V8" s="48"/>
      <x:c r="W8" s="48"/>
    </x:row>
    <x:row r="9">
      <x:c r="C9" s="19" t="str">
        <x:v>Minimum pairwise distance</x:v>
      </x:c>
      <x:c r="D9" s="20" t="n">
        <x:v>8</x:v>
      </x:c>
      <x:c r="E9" s="19" t="str">
        <x:v>domains</x:v>
      </x:c>
      <x:c r="F9" s="21" t="str">
        <x:v>Pass 181</x:v>
      </x:c>
      <x:c r="G9" s="48"/>
      <x:c r="H9" s="48"/>
      <x:c r="I9" s="48"/>
      <x:c r="J9" s="48"/>
      <x:c r="K9" s="48"/>
      <x:c r="L9" s="48"/>
      <x:c r="M9" s="48"/>
      <x:c r="N9" s="48"/>
      <x:c r="O9" s="48"/>
      <x:c r="P9" s="48"/>
      <x:c r="Q9" s="48"/>
      <x:c r="R9" s="48"/>
      <x:c r="S9" s="48"/>
      <x:c r="T9" s="48"/>
      <x:c r="U9" s="48"/>
      <x:c r="V9" s="48"/>
      <x:c r="W9" s="48"/>
    </x:row>
    <x:row r="10">
      <x:c r="C10" s="19" t="str">
        <x:v>Required anchor differences</x:v>
      </x:c>
      <x:c r="D10" s="20" t="n">
        <x:v>4</x:v>
      </x:c>
      <x:c r="E10" s="19" t="str">
        <x:v>domains</x:v>
      </x:c>
      <x:c r="F10" s="21" t="str">
        <x:v>Pass 181</x:v>
      </x:c>
      <x:c r="G10" s="48"/>
      <x:c r="H10" s="48"/>
      <x:c r="I10" s="48"/>
      <x:c r="J10" s="48"/>
      <x:c r="K10" s="48"/>
      <x:c r="L10" s="48"/>
      <x:c r="M10" s="48"/>
      <x:c r="N10" s="48"/>
      <x:c r="O10" s="48"/>
      <x:c r="P10" s="48"/>
      <x:c r="Q10" s="48"/>
      <x:c r="R10" s="48"/>
      <x:c r="S10" s="48"/>
      <x:c r="T10" s="48"/>
      <x:c r="U10" s="48"/>
      <x:c r="V10" s="48"/>
      <x:c r="W10" s="48"/>
    </x:row>
    <x:row r="11">
      <x:c r="C11" s="19" t="str">
        <x:v>Complete proof units per root</x:v>
      </x:c>
      <x:c r="D11" s="20" t="n">
        <x:v>3</x:v>
      </x:c>
      <x:c r="E11" s="19" t="str">
        <x:v>units</x:v>
      </x:c>
      <x:c r="F11" s="21" t="str">
        <x:v>Pass 177</x:v>
      </x:c>
      <x:c r="G11" s="48"/>
      <x:c r="H11" s="48"/>
      <x:c r="I11" s="48"/>
      <x:c r="J11" s="48"/>
      <x:c r="K11" s="48"/>
      <x:c r="L11" s="48"/>
      <x:c r="M11" s="48"/>
      <x:c r="N11" s="48"/>
      <x:c r="O11" s="48"/>
      <x:c r="P11" s="48"/>
      <x:c r="Q11" s="48"/>
      <x:c r="R11" s="48"/>
      <x:c r="S11" s="48"/>
      <x:c r="T11" s="48"/>
      <x:c r="U11" s="48"/>
      <x:c r="V11" s="48"/>
      <x:c r="W11" s="48"/>
    </x:row>
    <x:row r="12">
      <x:c r="C12" s="19" t="str">
        <x:v>Root support units</x:v>
      </x:c>
      <x:c r="D12" s="20" t="n">
        <x:v>10</x:v>
      </x:c>
      <x:c r="E12" s="19" t="str">
        <x:v>units</x:v>
      </x:c>
      <x:c r="F12" s="21" t="str">
        <x:v>Pass 177</x:v>
      </x:c>
      <x:c r="G12" s="48"/>
      <x:c r="H12" s="48"/>
      <x:c r="I12" s="48"/>
      <x:c r="J12" s="48"/>
      <x:c r="K12" s="48"/>
      <x:c r="L12" s="48"/>
      <x:c r="M12" s="48"/>
      <x:c r="N12" s="48"/>
      <x:c r="O12" s="48"/>
      <x:c r="P12" s="48"/>
      <x:c r="Q12" s="48"/>
      <x:c r="R12" s="48"/>
      <x:c r="S12" s="48"/>
      <x:c r="T12" s="48"/>
      <x:c r="U12" s="48"/>
      <x:c r="V12" s="48"/>
      <x:c r="W12" s="48"/>
    </x:row>
    <x:row r="13">
      <x:c r="C13" s="19" t="str">
        <x:v>Valid events per root</x:v>
      </x:c>
      <x:c r="D13" s="20" t="n">
        <x:v>42</x:v>
      </x:c>
      <x:c r="E13" s="19" t="str">
        <x:v>events</x:v>
      </x:c>
      <x:c r="F13" s="21" t="str">
        <x:v>Pass 180</x:v>
      </x:c>
      <x:c r="G13" s="48"/>
      <x:c r="H13" s="48"/>
      <x:c r="I13" s="48"/>
      <x:c r="J13" s="48"/>
      <x:c r="K13" s="48"/>
      <x:c r="L13" s="48"/>
      <x:c r="M13" s="48"/>
      <x:c r="N13" s="48"/>
      <x:c r="O13" s="48"/>
      <x:c r="P13" s="48"/>
      <x:c r="Q13" s="48"/>
      <x:c r="R13" s="48"/>
      <x:c r="S13" s="48"/>
      <x:c r="T13" s="48"/>
      <x:c r="U13" s="48"/>
      <x:c r="V13" s="48"/>
      <x:c r="W13" s="48"/>
    </x:row>
    <x:row r="14">
      <x:c r="C14" s="19" t="str">
        <x:v>Maximum attempts per root</x:v>
      </x:c>
      <x:c r="D14" s="20" t="n">
        <x:v>51</x:v>
      </x:c>
      <x:c r="E14" s="19" t="str">
        <x:v>attempts</x:v>
      </x:c>
      <x:c r="F14" s="21" t="str">
        <x:v>Pass 180</x:v>
      </x:c>
      <x:c r="G14" s="48"/>
      <x:c r="H14" s="48"/>
      <x:c r="I14" s="48"/>
      <x:c r="J14" s="48"/>
      <x:c r="K14" s="48"/>
      <x:c r="L14" s="48"/>
      <x:c r="M14" s="48"/>
      <x:c r="N14" s="48"/>
      <x:c r="O14" s="48"/>
      <x:c r="P14" s="48"/>
      <x:c r="Q14" s="48"/>
      <x:c r="R14" s="48"/>
      <x:c r="S14" s="48"/>
      <x:c r="T14" s="48"/>
      <x:c r="U14" s="48"/>
      <x:c r="V14" s="48"/>
      <x:c r="W14" s="48"/>
    </x:row>
    <x:row r="15">
      <x:c r="C15" s="19" t="str">
        <x:v>Ancestry identities per root</x:v>
      </x:c>
      <x:c r="D15" s="20" t="n">
        <x:v>12</x:v>
      </x:c>
      <x:c r="E15" s="19" t="str">
        <x:v>identities</x:v>
      </x:c>
      <x:c r="F15" s="21" t="str">
        <x:v>Pass 175</x:v>
      </x:c>
      <x:c r="G15" s="48"/>
      <x:c r="H15" s="48"/>
      <x:c r="I15" s="48"/>
      <x:c r="J15" s="48"/>
      <x:c r="K15" s="48"/>
      <x:c r="L15" s="48"/>
      <x:c r="M15" s="48"/>
      <x:c r="N15" s="48"/>
      <x:c r="O15" s="48"/>
      <x:c r="P15" s="48"/>
      <x:c r="Q15" s="48"/>
      <x:c r="R15" s="48"/>
      <x:c r="S15" s="48"/>
      <x:c r="T15" s="48"/>
      <x:c r="U15" s="48"/>
      <x:c r="V15" s="48"/>
      <x:c r="W15" s="48"/>
    </x:row>
    <x:row r="16">
      <x:c r="C16" s="19" t="str">
        <x:v>G3 gates per root</x:v>
      </x:c>
      <x:c r="D16" s="20" t="n">
        <x:v>14</x:v>
      </x:c>
      <x:c r="E16" s="19" t="str">
        <x:v>gates</x:v>
      </x:c>
      <x:c r="F16" s="21" t="str">
        <x:v>Pass 175</x:v>
      </x:c>
      <x:c r="G16" s="48"/>
      <x:c r="H16" s="48"/>
      <x:c r="I16" s="48"/>
      <x:c r="J16" s="48"/>
      <x:c r="K16" s="48"/>
      <x:c r="L16" s="48"/>
      <x:c r="M16" s="48"/>
      <x:c r="N16" s="48"/>
      <x:c r="O16" s="48"/>
      <x:c r="P16" s="48"/>
      <x:c r="Q16" s="48"/>
      <x:c r="R16" s="48"/>
      <x:c r="S16" s="48"/>
      <x:c r="T16" s="48"/>
      <x:c r="U16" s="48"/>
      <x:c r="V16" s="48"/>
      <x:c r="W16" s="48"/>
    </x:row>
    <x:row r="17">
      <x:c r="C17" s="19" t="str">
        <x:v>Technology workstreams per root</x:v>
      </x:c>
      <x:c r="D17" s="20" t="n">
        <x:v>4</x:v>
      </x:c>
      <x:c r="E17" s="19" t="str">
        <x:v>workstreams</x:v>
      </x:c>
      <x:c r="F17" s="21" t="str">
        <x:v>Pass 181</x:v>
      </x:c>
      <x:c r="G17" s="48"/>
      <x:c r="H17" s="48"/>
      <x:c r="I17" s="48"/>
      <x:c r="J17" s="48"/>
      <x:c r="K17" s="48"/>
      <x:c r="L17" s="48"/>
      <x:c r="M17" s="48"/>
      <x:c r="N17" s="48"/>
      <x:c r="O17" s="48"/>
      <x:c r="P17" s="48"/>
      <x:c r="Q17" s="48"/>
      <x:c r="R17" s="48"/>
      <x:c r="S17" s="48"/>
      <x:c r="T17" s="48"/>
      <x:c r="U17" s="48"/>
      <x:c r="V17" s="48"/>
      <x:c r="W17" s="48"/>
    </x:row>
    <x:row r="18">
      <x:c r="C18" s="19" t="str">
        <x:v>Non-lifeline systems</x:v>
      </x:c>
      <x:c r="D18" s="20" t="n">
        <x:v>5</x:v>
      </x:c>
      <x:c r="E18" s="19" t="str">
        <x:v>systems</x:v>
      </x:c>
      <x:c r="F18" s="21" t="str">
        <x:v>Pass 181</x:v>
      </x:c>
      <x:c r="G18" s="48"/>
      <x:c r="H18" s="48"/>
      <x:c r="I18" s="48"/>
      <x:c r="J18" s="48"/>
      <x:c r="K18" s="48"/>
      <x:c r="L18" s="48"/>
      <x:c r="M18" s="48"/>
      <x:c r="N18" s="48"/>
      <x:c r="O18" s="48"/>
      <x:c r="P18" s="48"/>
      <x:c r="Q18" s="48"/>
      <x:c r="R18" s="48"/>
      <x:c r="S18" s="48"/>
      <x:c r="T18" s="48"/>
      <x:c r="U18" s="48"/>
      <x:c r="V18" s="48"/>
      <x:c r="W18" s="48"/>
    </x:row>
    <x:row r="19">
      <x:c r="C19" s="19" t="str">
        <x:v>Qualified seams observed</x:v>
      </x:c>
      <x:c r="D19" s="20" t="n">
        <x:v>0</x:v>
      </x:c>
      <x:c r="E19" s="19" t="str">
        <x:v>implementations</x:v>
      </x:c>
      <x:c r="F19" s="21" t="str">
        <x:v>Source-empty</x:v>
      </x:c>
      <x:c r="G19" s="48"/>
      <x:c r="H19" s="48"/>
      <x:c r="I19" s="48"/>
      <x:c r="J19" s="48"/>
      <x:c r="K19" s="48"/>
      <x:c r="L19" s="48"/>
      <x:c r="M19" s="48"/>
      <x:c r="N19" s="48"/>
      <x:c r="O19" s="48"/>
      <x:c r="P19" s="48"/>
      <x:c r="Q19" s="48"/>
      <x:c r="R19" s="48"/>
      <x:c r="S19" s="48"/>
      <x:c r="T19" s="48"/>
      <x:c r="U19" s="48"/>
      <x:c r="V19" s="48"/>
      <x:c r="W19" s="48"/>
    </x:row>
    <x:row r="20">
      <x:c r="C20" s="19" t="str">
        <x:v>Kernel exceptions observed</x:v>
      </x:c>
      <x:c r="D20" s="20" t="n">
        <x:v>0</x:v>
      </x:c>
      <x:c r="E20" s="19" t="str">
        <x:v>exceptions</x:v>
      </x:c>
      <x:c r="F20" s="21" t="str">
        <x:v>Source-empty</x:v>
      </x:c>
      <x:c r="G20" s="48"/>
      <x:c r="H20" s="48"/>
      <x:c r="I20" s="48"/>
      <x:c r="J20" s="48"/>
      <x:c r="K20" s="48"/>
      <x:c r="L20" s="48"/>
      <x:c r="M20" s="48"/>
      <x:c r="N20" s="48"/>
      <x:c r="O20" s="48"/>
      <x:c r="P20" s="48"/>
      <x:c r="Q20" s="48"/>
      <x:c r="R20" s="48"/>
      <x:c r="S20" s="48"/>
      <x:c r="T20" s="48"/>
      <x:c r="U20" s="48"/>
      <x:c r="V20" s="48"/>
      <x:c r="W20" s="48"/>
    </x:row>
    <x:row r="21">
      <x:c r="C21" s="22" t="str">
        <x:v>Ancestry collisions observed</x:v>
      </x:c>
      <x:c r="D21" s="23" t="n">
        <x:v>0</x:v>
      </x:c>
      <x:c r="E21" s="22" t="str">
        <x:v>collisions</x:v>
      </x:c>
      <x:c r="F21" s="24" t="str">
        <x:v>Source-empty</x:v>
      </x:c>
      <x:c r="G21" s="48"/>
      <x:c r="H21" s="48"/>
      <x:c r="I21" s="48"/>
      <x:c r="J21" s="48"/>
      <x:c r="K21" s="48"/>
      <x:c r="L21" s="48"/>
      <x:c r="M21" s="48"/>
      <x:c r="N21" s="48"/>
      <x:c r="O21" s="48"/>
      <x:c r="P21" s="48"/>
      <x:c r="Q21" s="48"/>
      <x:c r="R21" s="48"/>
      <x:c r="S21" s="48"/>
      <x:c r="T21" s="48"/>
      <x:c r="U21" s="48"/>
      <x:c r="V21" s="48"/>
      <x:c r="W21" s="48"/>
    </x:row>
    <x:row r="22">
      <x:c r="C22" s="2"/>
      <x:c r="D22" s="2"/>
      <x:c r="E22" s="2"/>
      <x:c r="F22" s="2"/>
      <x:c r="G22" s="48"/>
      <x:c r="H22" s="48"/>
      <x:c r="I22" s="48"/>
      <x:c r="J22" s="48"/>
      <x:c r="K22" s="48"/>
      <x:c r="L22" s="48"/>
      <x:c r="M22" s="48"/>
      <x:c r="N22" s="48"/>
      <x:c r="O22" s="48"/>
      <x:c r="P22" s="48"/>
      <x:c r="Q22" s="48"/>
      <x:c r="R22" s="48"/>
      <x:c r="S22" s="48"/>
      <x:c r="T22" s="48"/>
      <x:c r="U22" s="48"/>
      <x:c r="V22" s="48"/>
      <x:c r="W22" s="48"/>
    </x:row>
    <x:row r="23">
      <x:c r="C23" s="2"/>
      <x:c r="D23" s="2"/>
      <x:c r="E23" s="2"/>
      <x:c r="F23" s="2"/>
      <x:c r="G23" s="48"/>
      <x:c r="H23" s="48"/>
      <x:c r="I23" s="48"/>
      <x:c r="J23" s="48"/>
      <x:c r="K23" s="48"/>
      <x:c r="L23" s="48"/>
      <x:c r="M23" s="48"/>
      <x:c r="N23" s="48"/>
      <x:c r="O23" s="48"/>
      <x:c r="P23" s="48"/>
      <x:c r="Q23" s="48"/>
      <x:c r="R23" s="48"/>
      <x:c r="S23" s="48"/>
      <x:c r="T23" s="48"/>
      <x:c r="U23" s="48"/>
      <x:c r="V23" s="48"/>
      <x:c r="W23" s="48"/>
    </x:row>
    <x:row r="24">
      <x:c r="C24" s="17" t="str">
        <x:v>Inherited lifeline root</x:v>
      </x:c>
      <x:c r="D24" s="18" t="str">
        <x:v>State</x:v>
      </x:c>
      <x:c r="E24" s="18" t="str">
        <x:v>Observed release</x:v>
      </x:c>
      <x:c r="F24" s="18" t="str">
        <x:v>Authority</x:v>
      </x:c>
      <x:c r="G24" s="48"/>
      <x:c r="H24" s="48"/>
      <x:c r="I24" s="48"/>
      <x:c r="J24" s="48"/>
      <x:c r="K24" s="48"/>
      <x:c r="L24" s="48"/>
      <x:c r="M24" s="48"/>
      <x:c r="N24" s="48"/>
      <x:c r="O24" s="48"/>
      <x:c r="P24" s="48"/>
      <x:c r="Q24" s="48"/>
      <x:c r="R24" s="48"/>
      <x:c r="S24" s="48"/>
      <x:c r="T24" s="48"/>
      <x:c r="U24" s="48"/>
      <x:c r="V24" s="48"/>
      <x:c r="W24" s="48"/>
    </x:row>
    <x:row r="25">
      <x:c r="C25" s="19" t="str">
        <x:v>MS-LF|A</x:v>
      </x:c>
      <x:c r="D25" s="20" t="str">
        <x:v>HOLD</x:v>
      </x:c>
      <x:c r="E25" s="19" t="n">
        <x:v>0</x:v>
      </x:c>
      <x:c r="F25" s="21" t="str">
        <x:v>Pass 178 source-empty</x:v>
      </x:c>
      <x:c r="G25" s="48"/>
      <x:c r="H25" s="48"/>
      <x:c r="I25" s="48"/>
      <x:c r="J25" s="48"/>
      <x:c r="K25" s="48"/>
      <x:c r="L25" s="48"/>
      <x:c r="M25" s="48"/>
      <x:c r="N25" s="48"/>
      <x:c r="O25" s="48"/>
      <x:c r="P25" s="48"/>
      <x:c r="Q25" s="48"/>
      <x:c r="R25" s="48"/>
      <x:c r="S25" s="48"/>
      <x:c r="T25" s="48"/>
      <x:c r="U25" s="48"/>
      <x:c r="V25" s="48"/>
      <x:c r="W25" s="48"/>
    </x:row>
    <x:row r="26">
      <x:c r="C26" s="19" t="str">
        <x:v>MS-LF|B</x:v>
      </x:c>
      <x:c r="D26" s="20" t="str">
        <x:v>HOLD</x:v>
      </x:c>
      <x:c r="E26" s="19" t="n">
        <x:v>0</x:v>
      </x:c>
      <x:c r="F26" s="21" t="str">
        <x:v>Pass 178 source-empty</x:v>
      </x:c>
      <x:c r="G26" s="48"/>
      <x:c r="H26" s="48"/>
      <x:c r="I26" s="48"/>
      <x:c r="J26" s="48"/>
      <x:c r="K26" s="48"/>
      <x:c r="L26" s="48"/>
      <x:c r="M26" s="48"/>
      <x:c r="N26" s="48"/>
      <x:c r="O26" s="48"/>
      <x:c r="P26" s="48"/>
      <x:c r="Q26" s="48"/>
      <x:c r="R26" s="48"/>
      <x:c r="S26" s="48"/>
      <x:c r="T26" s="48"/>
      <x:c r="U26" s="48"/>
      <x:c r="V26" s="48"/>
      <x:c r="W26" s="48"/>
    </x:row>
    <x:row r="27">
      <x:c r="C27" s="19" t="str">
        <x:v>MS-LF|C</x:v>
      </x:c>
      <x:c r="D27" s="20" t="str">
        <x:v>HOLD</x:v>
      </x:c>
      <x:c r="E27" s="19" t="n">
        <x:v>0</x:v>
      </x:c>
      <x:c r="F27" s="21" t="str">
        <x:v>Pass 178 source-empty</x:v>
      </x:c>
      <x:c r="G27" s="48"/>
      <x:c r="H27" s="48"/>
      <x:c r="I27" s="48"/>
      <x:c r="J27" s="48"/>
      <x:c r="K27" s="48"/>
      <x:c r="L27" s="48"/>
      <x:c r="M27" s="48"/>
      <x:c r="N27" s="48"/>
      <x:c r="O27" s="48"/>
      <x:c r="P27" s="48"/>
      <x:c r="Q27" s="48"/>
      <x:c r="R27" s="48"/>
      <x:c r="S27" s="48"/>
      <x:c r="T27" s="48"/>
      <x:c r="U27" s="48"/>
      <x:c r="V27" s="48"/>
      <x:c r="W27" s="48"/>
    </x:row>
    <x:row r="28">
      <x:c r="C28" s="22" t="str">
        <x:v>MS-LF|D</x:v>
      </x:c>
      <x:c r="D28" s="23" t="str">
        <x:v>HOLD</x:v>
      </x:c>
      <x:c r="E28" s="22" t="n">
        <x:v>0</x:v>
      </x:c>
      <x:c r="F28" s="24" t="str">
        <x:v>Pass 178 source-empty</x:v>
      </x:c>
      <x:c r="G28" s="48"/>
      <x:c r="H28" s="48"/>
      <x:c r="I28" s="48"/>
      <x:c r="J28" s="48"/>
      <x:c r="K28" s="48"/>
      <x:c r="L28" s="48"/>
      <x:c r="M28" s="48"/>
      <x:c r="N28" s="48"/>
      <x:c r="O28" s="48"/>
      <x:c r="P28" s="48"/>
      <x:c r="Q28" s="48"/>
      <x:c r="R28" s="48"/>
      <x:c r="S28" s="48"/>
      <x:c r="T28" s="48"/>
      <x:c r="U28" s="48"/>
      <x:c r="V28" s="48"/>
      <x:c r="W28" s="48"/>
    </x:row>
    <x:row r="29">
      <x:c r="C29" s="2"/>
      <x:c r="D29" s="2"/>
      <x:c r="E29" s="2"/>
      <x:c r="F29" s="2"/>
      <x:c r="G29" s="48"/>
      <x:c r="H29" s="48"/>
      <x:c r="I29" s="48"/>
      <x:c r="J29" s="48"/>
      <x:c r="K29" s="48"/>
      <x:c r="L29" s="48"/>
      <x:c r="M29" s="48"/>
      <x:c r="N29" s="48"/>
      <x:c r="O29" s="48"/>
      <x:c r="P29" s="48"/>
      <x:c r="Q29" s="48"/>
      <x:c r="R29" s="48"/>
      <x:c r="S29" s="48"/>
      <x:c r="T29" s="48"/>
      <x:c r="U29" s="48"/>
      <x:c r="V29" s="48"/>
      <x:c r="W29" s="48"/>
    </x:row>
    <x:row r="30">
      <x:c r="C30" s="2"/>
      <x:c r="D30" s="2"/>
      <x:c r="E30" s="2"/>
      <x:c r="F30" s="2"/>
      <x:c r="G30" s="48"/>
      <x:c r="H30" s="48"/>
      <x:c r="I30" s="48"/>
      <x:c r="J30" s="48"/>
      <x:c r="K30" s="48"/>
      <x:c r="L30" s="48"/>
      <x:c r="M30" s="48"/>
      <x:c r="N30" s="48"/>
      <x:c r="O30" s="48"/>
      <x:c r="P30" s="48"/>
      <x:c r="Q30" s="48"/>
      <x:c r="R30" s="48"/>
      <x:c r="S30" s="48"/>
      <x:c r="T30" s="48"/>
      <x:c r="U30" s="48"/>
      <x:c r="V30" s="48"/>
      <x:c r="W30" s="48"/>
    </x:row>
    <x:row r="31">
      <x:c r="C31" s="17" t="str">
        <x:v>Derived campaign measure</x:v>
      </x:c>
      <x:c r="D31" s="18" t="str">
        <x:v>Value</x:v>
      </x:c>
      <x:c r="E31" s="18" t="str">
        <x:v>Unit</x:v>
      </x:c>
      <x:c r="F31" s="2"/>
      <x:c r="G31" s="48"/>
      <x:c r="H31" s="48"/>
      <x:c r="I31" s="48"/>
      <x:c r="J31" s="48"/>
      <x:c r="K31" s="48"/>
      <x:c r="L31" s="48"/>
      <x:c r="M31" s="48"/>
      <x:c r="N31" s="48"/>
      <x:c r="O31" s="48"/>
      <x:c r="P31" s="48"/>
      <x:c r="Q31" s="48"/>
      <x:c r="R31" s="48"/>
      <x:c r="S31" s="48"/>
      <x:c r="T31" s="48"/>
      <x:c r="U31" s="48"/>
      <x:c r="V31" s="48"/>
      <x:c r="W31" s="48"/>
    </x:row>
    <x:row r="32">
      <x:c r="C32" s="19" t="str">
        <x:v>Non-lifeline roots</x:v>
      </x:c>
      <x:c r="D32" s="19" t="n">
        <x:f>D7*D18</x:f>
        <x:v>20</x:v>
      </x:c>
      <x:c r="E32" s="21" t="str">
        <x:v>roots</x:v>
      </x:c>
      <x:c r="F32" s="2"/>
      <x:c r="G32" s="48"/>
      <x:c r="H32" s="48"/>
      <x:c r="I32" s="48"/>
      <x:c r="J32" s="48"/>
      <x:c r="K32" s="48"/>
      <x:c r="L32" s="48"/>
      <x:c r="M32" s="48"/>
      <x:c r="N32" s="48"/>
      <x:c r="O32" s="48"/>
      <x:c r="P32" s="48"/>
      <x:c r="Q32" s="48"/>
      <x:c r="R32" s="48"/>
      <x:c r="S32" s="48"/>
      <x:c r="T32" s="48"/>
      <x:c r="U32" s="48"/>
      <x:c r="V32" s="48"/>
      <x:c r="W32" s="48"/>
    </x:row>
    <x:row r="33">
      <x:c r="C33" s="19" t="str">
        <x:v>Root-route obligations</x:v>
      </x:c>
      <x:c r="D33" s="19" t="n">
        <x:f>SUMPRODUCT(D7*{5;5;3;5;5})</x:f>
        <x:v>92</x:v>
      </x:c>
      <x:c r="E33" s="21" t="str">
        <x:v>obligations</x:v>
      </x:c>
      <x:c r="F33" s="2"/>
      <x:c r="G33" s="48"/>
      <x:c r="H33" s="48"/>
      <x:c r="I33" s="48"/>
      <x:c r="J33" s="48"/>
      <x:c r="K33" s="48"/>
      <x:c r="L33" s="48"/>
      <x:c r="M33" s="48"/>
      <x:c r="N33" s="48"/>
      <x:c r="O33" s="48"/>
      <x:c r="P33" s="48"/>
      <x:c r="Q33" s="48"/>
      <x:c r="R33" s="48"/>
      <x:c r="S33" s="48"/>
      <x:c r="T33" s="48"/>
      <x:c r="U33" s="48"/>
      <x:c r="V33" s="48"/>
      <x:c r="W33" s="48"/>
    </x:row>
    <x:row r="34">
      <x:c r="C34" s="19" t="str">
        <x:v>Top-level article units</x:v>
      </x:c>
      <x:c r="D34" s="19" t="n">
        <x:f>SUM('Article Evidence'!I7:I26)</x:f>
        <x:v>1268</x:v>
      </x:c>
      <x:c r="E34" s="21" t="str">
        <x:v>units</x:v>
      </x:c>
      <x:c r="F34" s="2"/>
      <x:c r="G34" s="48"/>
      <x:c r="H34" s="48"/>
      <x:c r="I34" s="48"/>
      <x:c r="J34" s="48"/>
      <x:c r="K34" s="48"/>
      <x:c r="L34" s="48"/>
      <x:c r="M34" s="48"/>
      <x:c r="N34" s="48"/>
      <x:c r="O34" s="48"/>
      <x:c r="P34" s="48"/>
      <x:c r="Q34" s="48"/>
      <x:c r="R34" s="48"/>
      <x:c r="S34" s="48"/>
      <x:c r="T34" s="48"/>
      <x:c r="U34" s="48"/>
      <x:c r="V34" s="48"/>
      <x:c r="W34" s="48"/>
    </x:row>
    <x:row r="35">
      <x:c r="C35" s="19" t="str">
        <x:v>Valid events</x:v>
      </x:c>
      <x:c r="D35" s="19" t="n">
        <x:f>SUM('Article Evidence'!J7:J26)</x:f>
        <x:v>840</x:v>
      </x:c>
      <x:c r="E35" s="21" t="str">
        <x:v>events</x:v>
      </x:c>
      <x:c r="F35" s="2"/>
      <x:c r="G35" s="48"/>
      <x:c r="H35" s="48"/>
      <x:c r="I35" s="48"/>
      <x:c r="J35" s="48"/>
      <x:c r="K35" s="48"/>
      <x:c r="L35" s="48"/>
      <x:c r="M35" s="48"/>
      <x:c r="N35" s="48"/>
      <x:c r="O35" s="48"/>
      <x:c r="P35" s="48"/>
      <x:c r="Q35" s="48"/>
      <x:c r="R35" s="48"/>
      <x:c r="S35" s="48"/>
      <x:c r="T35" s="48"/>
      <x:c r="U35" s="48"/>
      <x:c r="V35" s="48"/>
      <x:c r="W35" s="48"/>
    </x:row>
    <x:row r="36">
      <x:c r="C36" s="19" t="str">
        <x:v>Maximum attempts</x:v>
      </x:c>
      <x:c r="D36" s="19" t="n">
        <x:f>SUM('Article Evidence'!K7:K26)</x:f>
        <x:v>1020</x:v>
      </x:c>
      <x:c r="E36" s="21" t="str">
        <x:v>attempts</x:v>
      </x:c>
      <x:c r="F36" s="2"/>
      <x:c r="G36" s="48"/>
      <x:c r="H36" s="48"/>
      <x:c r="I36" s="48"/>
      <x:c r="J36" s="48"/>
      <x:c r="K36" s="48"/>
      <x:c r="L36" s="48"/>
      <x:c r="M36" s="48"/>
      <x:c r="N36" s="48"/>
      <x:c r="O36" s="48"/>
      <x:c r="P36" s="48"/>
      <x:c r="Q36" s="48"/>
      <x:c r="R36" s="48"/>
      <x:c r="S36" s="48"/>
      <x:c r="T36" s="48"/>
      <x:c r="U36" s="48"/>
      <x:c r="V36" s="48"/>
      <x:c r="W36" s="48"/>
    </x:row>
    <x:row r="37">
      <x:c r="C37" s="19" t="str">
        <x:v>Evidence packages</x:v>
      </x:c>
      <x:c r="D37" s="19" t="n">
        <x:f>SUM('Article Evidence'!L7:L26)</x:f>
        <x:v>3640</x:v>
      </x:c>
      <x:c r="E37" s="21" t="str">
        <x:v>packages</x:v>
      </x:c>
      <x:c r="F37" s="2"/>
      <x:c r="G37" s="48"/>
      <x:c r="H37" s="48"/>
      <x:c r="I37" s="48"/>
      <x:c r="J37" s="48"/>
      <x:c r="K37" s="48"/>
      <x:c r="L37" s="48"/>
      <x:c r="M37" s="48"/>
      <x:c r="N37" s="48"/>
      <x:c r="O37" s="48"/>
      <x:c r="P37" s="48"/>
      <x:c r="Q37" s="48"/>
      <x:c r="R37" s="48"/>
      <x:c r="S37" s="48"/>
      <x:c r="T37" s="48"/>
      <x:c r="U37" s="48"/>
      <x:c r="V37" s="48"/>
      <x:c r="W37" s="48"/>
    </x:row>
    <x:row r="38">
      <x:c r="C38" s="19" t="str">
        <x:v>Proving functions</x:v>
      </x:c>
      <x:c r="D38" s="19" t="n">
        <x:f>SUM('Article Evidence'!M7:M26)</x:f>
        <x:v>180</x:v>
      </x:c>
      <x:c r="E38" s="21" t="str">
        <x:v>functions</x:v>
      </x:c>
      <x:c r="F38" s="2"/>
      <x:c r="G38" s="48"/>
      <x:c r="H38" s="48"/>
      <x:c r="I38" s="48"/>
      <x:c r="J38" s="48"/>
      <x:c r="K38" s="48"/>
      <x:c r="L38" s="48"/>
      <x:c r="M38" s="48"/>
      <x:c r="N38" s="48"/>
      <x:c r="O38" s="48"/>
      <x:c r="P38" s="48"/>
      <x:c r="Q38" s="48"/>
      <x:c r="R38" s="48"/>
      <x:c r="S38" s="48"/>
      <x:c r="T38" s="48"/>
      <x:c r="U38" s="48"/>
      <x:c r="V38" s="48"/>
      <x:c r="W38" s="48"/>
    </x:row>
    <x:row r="39">
      <x:c r="C39" s="22" t="str">
        <x:v>Non-lifeline authority</x:v>
      </x:c>
      <x:c r="D39" s="25" t="n">
        <x:f>Finance!D13</x:f>
        <x:v>239.02348722717744</x:v>
      </x:c>
      <x:c r="E39" s="24" t="str">
        <x:v>USD B</x:v>
      </x:c>
      <x:c r="F39" s="2"/>
      <x:c r="G39" s="48"/>
      <x:c r="H39" s="48"/>
      <x:c r="I39" s="48"/>
      <x:c r="J39" s="48"/>
      <x:c r="K39" s="48"/>
      <x:c r="L39" s="48"/>
      <x:c r="M39" s="48"/>
      <x:c r="N39" s="48"/>
      <x:c r="O39" s="48"/>
      <x:c r="P39" s="48"/>
      <x:c r="Q39" s="48"/>
      <x:c r="R39" s="48"/>
      <x:c r="S39" s="48"/>
      <x:c r="T39" s="48"/>
      <x:c r="U39" s="48"/>
      <x:c r="V39" s="48"/>
      <x:c r="W39" s="48"/>
    </x:row>
    <x:row r="40">
      <x:c r="C40" s="2"/>
      <x:c r="D40" s="2"/>
      <x:c r="E40" s="2"/>
      <x:c r="F40" s="2"/>
      <x:c r="G40" s="48"/>
      <x:c r="H40" s="48"/>
      <x:c r="I40" s="48"/>
      <x:c r="J40" s="48"/>
      <x:c r="K40" s="48"/>
      <x:c r="L40" s="48"/>
      <x:c r="M40" s="48"/>
      <x:c r="N40" s="48"/>
      <x:c r="O40" s="48"/>
      <x:c r="P40" s="48"/>
      <x:c r="Q40" s="48"/>
      <x:c r="R40" s="48"/>
      <x:c r="S40" s="48"/>
      <x:c r="T40" s="48"/>
      <x:c r="U40" s="48"/>
      <x:c r="V40" s="48"/>
      <x:c r="W40" s="48"/>
    </x:row>
    <x:row r="41">
      <x:c r="C41" s="2"/>
      <x:c r="D41" s="2"/>
      <x:c r="E41" s="2"/>
      <x:c r="F41" s="2"/>
      <x:c r="G41" s="48"/>
      <x:c r="H41" s="48"/>
      <x:c r="I41" s="48"/>
      <x:c r="J41" s="48"/>
      <x:c r="K41" s="48"/>
      <x:c r="L41" s="48"/>
      <x:c r="M41" s="48"/>
      <x:c r="N41" s="48"/>
      <x:c r="O41" s="48"/>
      <x:c r="P41" s="48"/>
      <x:c r="Q41" s="48"/>
      <x:c r="R41" s="48"/>
      <x:c r="S41" s="48"/>
      <x:c r="T41" s="48"/>
      <x:c r="U41" s="48"/>
      <x:c r="V41" s="48"/>
      <x:c r="W41" s="48"/>
    </x:row>
    <x:row r="42">
      <x:c r="C42" s="2"/>
      <x:c r="D42" s="2"/>
      <x:c r="E42" s="2"/>
      <x:c r="F42" s="2"/>
      <x:c r="G42" s="48"/>
      <x:c r="H42" s="48"/>
      <x:c r="I42" s="48"/>
      <x:c r="J42" s="48"/>
      <x:c r="K42" s="48"/>
      <x:c r="L42" s="48"/>
      <x:c r="M42" s="48"/>
      <x:c r="N42" s="48"/>
      <x:c r="O42" s="48"/>
      <x:c r="P42" s="48"/>
      <x:c r="Q42" s="48"/>
      <x:c r="R42" s="48"/>
      <x:c r="S42" s="48"/>
      <x:c r="T42" s="48"/>
      <x:c r="U42" s="48"/>
      <x:c r="V42" s="48"/>
      <x:c r="W42" s="48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32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</x:cols>
  <x:sheetData>
    <x:row r="1"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</x:row>
    <x:row r="2">
      <x:c r="C2" s="3" t="str">
        <x:v>Twenty non-lifeline controlled configurations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</x:row>
    <x:row r="3">
      <x:c r="C3" s="5" t="str">
        <x:v>FROZEN identifies a complete paper baseline; G3 release still requires physical evidence.</x:v>
      </x:c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6"/>
      <x:c r="U3" s="6"/>
      <x:c r="V3" s="6"/>
      <x:c r="W3" s="6"/>
    </x:row>
    <x:row r="4"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</x:row>
    <x:row r="5"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</x:row>
    <x:row r="6">
      <x:c r="C6" s="17" t="str">
        <x:v>Root</x:v>
      </x:c>
      <x:c r="D6" s="18" t="str">
        <x:v>Configuration</x:v>
      </x:c>
      <x:c r="E6" s="18" t="str">
        <x:v>System</x:v>
      </x:c>
      <x:c r="F6" s="18" t="str">
        <x:v>Letter</x:v>
      </x:c>
      <x:c r="G6" s="18" t="str">
        <x:v>Mechanism center</x:v>
      </x:c>
      <x:c r="H6" s="18" t="str">
        <x:v>Unit positions</x:v>
      </x:c>
      <x:c r="I6" s="18" t="str">
        <x:v>Article units</x:v>
      </x:c>
      <x:c r="J6" s="18" t="str">
        <x:v>Valid events</x:v>
      </x:c>
      <x:c r="K6" s="18" t="str">
        <x:v>Packages</x:v>
      </x:c>
      <x:c r="L6" s="18" t="str">
        <x:v>Mechanism fields</x:v>
      </x:c>
      <x:c r="M6" s="18" t="str">
        <x:v>Minimum distance</x:v>
      </x:c>
      <x:c r="N6" s="18" t="str">
        <x:v>Routes retained</x:v>
      </x:c>
      <x:c r="O6" s="18" t="str">
        <x:v>Routes required</x:v>
      </x:c>
      <x:c r="P6" s="18" t="str">
        <x:v>Workstreams</x:v>
      </x:c>
      <x:c r="Q6" s="18" t="str">
        <x:v>Keystone tests</x:v>
      </x:c>
      <x:c r="R6" s="18" t="str">
        <x:v>Configuration state</x:v>
      </x:c>
      <x:c r="S6" s="18" t="str">
        <x:v>Ancestry accepted</x:v>
      </x:c>
      <x:c r="T6" s="18" t="str">
        <x:v>G3 gates passed</x:v>
      </x:c>
      <x:c r="U6" s="18" t="str">
        <x:v>Terminal breaches</x:v>
      </x:c>
      <x:c r="V6" s="18" t="str">
        <x:v>G3 state</x:v>
      </x:c>
      <x:c r="W6" s="18" t="str">
        <x:v>Option USD B</x:v>
      </x:c>
    </x:row>
    <x:row r="7">
      <x:c r="C7" s="19" t="str">
        <x:v>MS-ET|A</x:v>
      </x:c>
      <x:c r="D7" s="19" t="str">
        <x:v>C3-ET-A-CF1</x:v>
      </x:c>
      <x:c r="E7" s="19" t="str">
        <x:v>MS-ET</x:v>
      </x:c>
      <x:c r="F7" s="19" t="str">
        <x:v>A</x:v>
      </x:c>
      <x:c r="G7" s="19" t="str">
        <x:v>Pelagic heavy bridge</x:v>
      </x:c>
      <x:c r="H7" s="19" t="n">
        <x:v>17</x:v>
      </x:c>
      <x:c r="I7" s="19" t="n">
        <x:v>61</x:v>
      </x:c>
      <x:c r="J7" s="19" t="n">
        <x:v>42</x:v>
      </x:c>
      <x:c r="K7" s="19" t="n">
        <x:v>180</x:v>
      </x:c>
      <x:c r="L7" s="19" t="n">
        <x:f>COUNTA('Mechanism Vectors'!E7:P7)</x:f>
        <x:v>12</x:v>
      </x:c>
      <x:c r="M7" s="19" t="n">
        <x:f>MIN('Pairwise Distance'!S7,'Pairwise Distance'!S8,'Pairwise Distance'!S9)</x:f>
        <x:v>12</x:v>
      </x:c>
      <x:c r="N7" s="19" t="n">
        <x:f>SUMIFS('Route Carriage'!$M$7:$M$98,'Route Carriage'!$C$7:$C$98,C7)</x:f>
        <x:v>5</x:v>
      </x:c>
      <x:c r="O7" s="19" t="n">
        <x:v>5</x:v>
      </x:c>
      <x:c r="P7" s="19" t="n">
        <x:f>COUNTIF('Technology Work'!$D$7:$D$86,C7)</x:f>
        <x:v>4</x:v>
      </x:c>
      <x:c r="Q7" s="19" t="n">
        <x:f>COUNTIF('Keystone Tests'!$D$7:$D$26,C7)</x:f>
        <x:v>1</x:v>
      </x:c>
      <x:c r="R7" s="19" t="str">
        <x:f>IF(AND(L7=Controls!$D$8,M7&gt;=Controls!$D$9,N7=O7,P7=Controls!$D$17,Q7=1),"FROZEN","DRAFT")</x:f>
        <x:v>FROZEN</x:v>
      </x:c>
      <x:c r="S7" s="19" t="n">
        <x:f>SUMIFS(Ancestry!$H$7:$H$246,Ancestry!$D$7:$D$246,C7)</x:f>
        <x:v>0</x:v>
      </x:c>
      <x:c r="T7" s="19" t="n">
        <x:f>SUMIFS('G3 Gates'!$G$7:$G$286,'G3 Gates'!$D$7:$D$286,C7)</x:f>
        <x:v>0</x:v>
      </x:c>
      <x:c r="U7" s="20" t="n">
        <x:v>0</x:v>
      </x:c>
      <x:c r="V7" s="19" t="str">
        <x:f>IF(AND(R7="FROZEN",S7=Controls!$D$15,T7=Controls!$D$16,U7=0),"RELEASED","HOLD")</x:f>
        <x:v>HOLD</x:v>
      </x:c>
      <x:c r="W7" s="33" t="n">
        <x:v>11.127924510010555</x:v>
      </x:c>
    </x:row>
    <x:row r="8">
      <x:c r="C8" s="19" t="str">
        <x:v>MS-ET|B</x:v>
      </x:c>
      <x:c r="D8" s="19" t="str">
        <x:v>C3-ET-B-CF1</x:v>
      </x:c>
      <x:c r="E8" s="19" t="str">
        <x:v>MS-ET</x:v>
      </x:c>
      <x:c r="F8" s="19" t="str">
        <x:v>B</x:v>
      </x:c>
      <x:c r="G8" s="19" t="str">
        <x:v>Aerostatic sky bridge</x:v>
      </x:c>
      <x:c r="H8" s="19" t="n">
        <x:v>17</x:v>
      </x:c>
      <x:c r="I8" s="19" t="n">
        <x:v>61</x:v>
      </x:c>
      <x:c r="J8" s="19" t="n">
        <x:v>42</x:v>
      </x:c>
      <x:c r="K8" s="19" t="n">
        <x:v>180</x:v>
      </x:c>
      <x:c r="L8" s="19" t="n">
        <x:f>COUNTA('Mechanism Vectors'!E8:P8)</x:f>
        <x:v>12</x:v>
      </x:c>
      <x:c r="M8" s="19" t="n">
        <x:f>MIN('Pairwise Distance'!S7,'Pairwise Distance'!S10,'Pairwise Distance'!S11)</x:f>
        <x:v>12</x:v>
      </x:c>
      <x:c r="N8" s="19" t="n">
        <x:f>SUMIFS('Route Carriage'!$M$7:$M$98,'Route Carriage'!$C$7:$C$98,C8)</x:f>
        <x:v>5</x:v>
      </x:c>
      <x:c r="O8" s="19" t="n">
        <x:v>5</x:v>
      </x:c>
      <x:c r="P8" s="19" t="n">
        <x:f>COUNTIF('Technology Work'!$D$7:$D$86,C8)</x:f>
        <x:v>4</x:v>
      </x:c>
      <x:c r="Q8" s="19" t="n">
        <x:f>COUNTIF('Keystone Tests'!$D$7:$D$26,C8)</x:f>
        <x:v>1</x:v>
      </x:c>
      <x:c r="R8" s="19" t="str">
        <x:f>IF(AND(L8=Controls!$D$8,M8&gt;=Controls!$D$9,N8=O8,P8=Controls!$D$17,Q8=1),"FROZEN","DRAFT")</x:f>
        <x:v>FROZEN</x:v>
      </x:c>
      <x:c r="S8" s="19" t="n">
        <x:f>SUMIFS(Ancestry!$H$7:$H$246,Ancestry!$D$7:$D$246,C8)</x:f>
        <x:v>0</x:v>
      </x:c>
      <x:c r="T8" s="19" t="n">
        <x:f>SUMIFS('G3 Gates'!$G$7:$G$286,'G3 Gates'!$D$7:$D$286,C8)</x:f>
        <x:v>0</x:v>
      </x:c>
      <x:c r="U8" s="20" t="n">
        <x:v>0</x:v>
      </x:c>
      <x:c r="V8" s="19" t="str">
        <x:f>IF(AND(R8="FROZEN",S8=Controls!$D$15,T8=Controls!$D$16,U8=0),"RELEASED","HOLD")</x:f>
        <x:v>HOLD</x:v>
      </x:c>
      <x:c r="W8" s="33" t="n">
        <x:v>11.127924510010555</x:v>
      </x:c>
    </x:row>
    <x:row r="9">
      <x:c r="C9" s="19" t="str">
        <x:v>MS-ET|C</x:v>
      </x:c>
      <x:c r="D9" s="19" t="str">
        <x:v>C3-ET-C-CF1</x:v>
      </x:c>
      <x:c r="E9" s="19" t="str">
        <x:v>MS-ET</x:v>
      </x:c>
      <x:c r="F9" s="19" t="str">
        <x:v>C</x:v>
      </x:c>
      <x:c r="G9" s="19" t="str">
        <x:v>Terrain corridor train</x:v>
      </x:c>
      <x:c r="H9" s="19" t="n">
        <x:v>17</x:v>
      </x:c>
      <x:c r="I9" s="19" t="n">
        <x:v>61</x:v>
      </x:c>
      <x:c r="J9" s="19" t="n">
        <x:v>42</x:v>
      </x:c>
      <x:c r="K9" s="19" t="n">
        <x:v>180</x:v>
      </x:c>
      <x:c r="L9" s="19" t="n">
        <x:f>COUNTA('Mechanism Vectors'!E9:P9)</x:f>
        <x:v>12</x:v>
      </x:c>
      <x:c r="M9" s="19" t="n">
        <x:f>MIN('Pairwise Distance'!S8,'Pairwise Distance'!S10,'Pairwise Distance'!S12)</x:f>
        <x:v>12</x:v>
      </x:c>
      <x:c r="N9" s="19" t="n">
        <x:f>SUMIFS('Route Carriage'!$M$7:$M$98,'Route Carriage'!$C$7:$C$98,C9)</x:f>
        <x:v>5</x:v>
      </x:c>
      <x:c r="O9" s="19" t="n">
        <x:v>5</x:v>
      </x:c>
      <x:c r="P9" s="19" t="n">
        <x:f>COUNTIF('Technology Work'!$D$7:$D$86,C9)</x:f>
        <x:v>4</x:v>
      </x:c>
      <x:c r="Q9" s="19" t="n">
        <x:f>COUNTIF('Keystone Tests'!$D$7:$D$26,C9)</x:f>
        <x:v>1</x:v>
      </x:c>
      <x:c r="R9" s="19" t="str">
        <x:f>IF(AND(L9=Controls!$D$8,M9&gt;=Controls!$D$9,N9=O9,P9=Controls!$D$17,Q9=1),"FROZEN","DRAFT")</x:f>
        <x:v>FROZEN</x:v>
      </x:c>
      <x:c r="S9" s="19" t="n">
        <x:f>SUMIFS(Ancestry!$H$7:$H$246,Ancestry!$D$7:$D$246,C9)</x:f>
        <x:v>0</x:v>
      </x:c>
      <x:c r="T9" s="19" t="n">
        <x:f>SUMIFS('G3 Gates'!$G$7:$G$286,'G3 Gates'!$D$7:$D$286,C9)</x:f>
        <x:v>0</x:v>
      </x:c>
      <x:c r="U9" s="20" t="n">
        <x:v>0</x:v>
      </x:c>
      <x:c r="V9" s="19" t="str">
        <x:f>IF(AND(R9="FROZEN",S9=Controls!$D$15,T9=Controls!$D$16,U9=0),"RELEASED","HOLD")</x:f>
        <x:v>HOLD</x:v>
      </x:c>
      <x:c r="W9" s="33" t="n">
        <x:v>11.127924510010555</x:v>
      </x:c>
    </x:row>
    <x:row r="10">
      <x:c r="C10" s="19" t="str">
        <x:v>MS-ET|D</x:v>
      </x:c>
      <x:c r="D10" s="19" t="str">
        <x:v>C3-ET-D-CF1</x:v>
      </x:c>
      <x:c r="E10" s="19" t="str">
        <x:v>MS-ET</x:v>
      </x:c>
      <x:c r="F10" s="19" t="str">
        <x:v>D</x:v>
      </x:c>
      <x:c r="G10" s="19" t="str">
        <x:v>Amphibious mesh</x:v>
      </x:c>
      <x:c r="H10" s="19" t="n">
        <x:v>17</x:v>
      </x:c>
      <x:c r="I10" s="19" t="n">
        <x:v>61</x:v>
      </x:c>
      <x:c r="J10" s="19" t="n">
        <x:v>42</x:v>
      </x:c>
      <x:c r="K10" s="19" t="n">
        <x:v>180</x:v>
      </x:c>
      <x:c r="L10" s="19" t="n">
        <x:f>COUNTA('Mechanism Vectors'!E10:P10)</x:f>
        <x:v>12</x:v>
      </x:c>
      <x:c r="M10" s="19" t="n">
        <x:f>MIN('Pairwise Distance'!S9,'Pairwise Distance'!S11,'Pairwise Distance'!S12)</x:f>
        <x:v>12</x:v>
      </x:c>
      <x:c r="N10" s="19" t="n">
        <x:f>SUMIFS('Route Carriage'!$M$7:$M$98,'Route Carriage'!$C$7:$C$98,C10)</x:f>
        <x:v>5</x:v>
      </x:c>
      <x:c r="O10" s="19" t="n">
        <x:v>5</x:v>
      </x:c>
      <x:c r="P10" s="19" t="n">
        <x:f>COUNTIF('Technology Work'!$D$7:$D$86,C10)</x:f>
        <x:v>4</x:v>
      </x:c>
      <x:c r="Q10" s="19" t="n">
        <x:f>COUNTIF('Keystone Tests'!$D$7:$D$26,C10)</x:f>
        <x:v>1</x:v>
      </x:c>
      <x:c r="R10" s="19" t="str">
        <x:f>IF(AND(L10=Controls!$D$8,M10&gt;=Controls!$D$9,N10=O10,P10=Controls!$D$17,Q10=1),"FROZEN","DRAFT")</x:f>
        <x:v>FROZEN</x:v>
      </x:c>
      <x:c r="S10" s="19" t="n">
        <x:f>SUMIFS(Ancestry!$H$7:$H$246,Ancestry!$D$7:$D$246,C10)</x:f>
        <x:v>0</x:v>
      </x:c>
      <x:c r="T10" s="19" t="n">
        <x:f>SUMIFS('G3 Gates'!$G$7:$G$286,'G3 Gates'!$D$7:$D$286,C10)</x:f>
        <x:v>0</x:v>
      </x:c>
      <x:c r="U10" s="20" t="n">
        <x:v>0</x:v>
      </x:c>
      <x:c r="V10" s="19" t="str">
        <x:f>IF(AND(R10="FROZEN",S10=Controls!$D$15,T10=Controls!$D$16,U10=0),"RELEASED","HOLD")</x:f>
        <x:v>HOLD</x:v>
      </x:c>
      <x:c r="W10" s="33" t="n">
        <x:v>11.127924510010555</x:v>
      </x:c>
    </x:row>
    <x:row r="11">
      <x:c r="C11" s="19" t="str">
        <x:v>MS-CT|A</x:v>
      </x:c>
      <x:c r="D11" s="19" t="str">
        <x:v>C3-CT-A-CF1</x:v>
      </x:c>
      <x:c r="E11" s="19" t="str">
        <x:v>MS-CT</x:v>
      </x:c>
      <x:c r="F11" s="19" t="str">
        <x:v>A</x:v>
      </x:c>
      <x:c r="G11" s="19" t="str">
        <x:v>Civic edge grid</x:v>
      </x:c>
      <x:c r="H11" s="19" t="n">
        <x:v>14</x:v>
      </x:c>
      <x:c r="I11" s="19" t="n">
        <x:v>52</x:v>
      </x:c>
      <x:c r="J11" s="19" t="n">
        <x:v>42</x:v>
      </x:c>
      <x:c r="K11" s="19" t="n">
        <x:v>171</x:v>
      </x:c>
      <x:c r="L11" s="19" t="n">
        <x:f>COUNTA('Mechanism Vectors'!E11:P11)</x:f>
        <x:v>12</x:v>
      </x:c>
      <x:c r="M11" s="19" t="n">
        <x:f>MIN('Pairwise Distance'!S13,'Pairwise Distance'!S14,'Pairwise Distance'!S15)</x:f>
        <x:v>12</x:v>
      </x:c>
      <x:c r="N11" s="19" t="n">
        <x:f>SUMIFS('Route Carriage'!$M$7:$M$98,'Route Carriage'!$C$7:$C$98,C11)</x:f>
        <x:v>5</x:v>
      </x:c>
      <x:c r="O11" s="19" t="n">
        <x:v>5</x:v>
      </x:c>
      <x:c r="P11" s="19" t="n">
        <x:f>COUNTIF('Technology Work'!$D$7:$D$86,C11)</x:f>
        <x:v>4</x:v>
      </x:c>
      <x:c r="Q11" s="19" t="n">
        <x:f>COUNTIF('Keystone Tests'!$D$7:$D$26,C11)</x:f>
        <x:v>1</x:v>
      </x:c>
      <x:c r="R11" s="19" t="str">
        <x:f>IF(AND(L11=Controls!$D$8,M11&gt;=Controls!$D$9,N11=O11,P11=Controls!$D$17,Q11=1),"FROZEN","DRAFT")</x:f>
        <x:v>FROZEN</x:v>
      </x:c>
      <x:c r="S11" s="19" t="n">
        <x:f>SUMIFS(Ancestry!$H$7:$H$246,Ancestry!$D$7:$D$246,C11)</x:f>
        <x:v>0</x:v>
      </x:c>
      <x:c r="T11" s="19" t="n">
        <x:f>SUMIFS('G3 Gates'!$G$7:$G$286,'G3 Gates'!$D$7:$D$286,C11)</x:f>
        <x:v>0</x:v>
      </x:c>
      <x:c r="U11" s="20" t="n">
        <x:v>0</x:v>
      </x:c>
      <x:c r="V11" s="19" t="str">
        <x:f>IF(AND(R11="FROZEN",S11=Controls!$D$15,T11=Controls!$D$16,U11=0),"RELEASED","HOLD")</x:f>
        <x:v>HOLD</x:v>
      </x:c>
      <x:c r="W11" s="33" t="n">
        <x:v>11.484099827322673</x:v>
      </x:c>
    </x:row>
    <x:row r="12">
      <x:c r="C12" s="19" t="str">
        <x:v>MS-CT|B</x:v>
      </x:c>
      <x:c r="D12" s="19" t="str">
        <x:v>C3-CT-B-CF1</x:v>
      </x:c>
      <x:c r="E12" s="19" t="str">
        <x:v>MS-CT</x:v>
      </x:c>
      <x:c r="F12" s="19" t="str">
        <x:v>B</x:v>
      </x:c>
      <x:c r="G12" s="19" t="str">
        <x:v>Air-and-skin reach</x:v>
      </x:c>
      <x:c r="H12" s="19" t="n">
        <x:v>14</x:v>
      </x:c>
      <x:c r="I12" s="19" t="n">
        <x:v>52</x:v>
      </x:c>
      <x:c r="J12" s="19" t="n">
        <x:v>42</x:v>
      </x:c>
      <x:c r="K12" s="19" t="n">
        <x:v>171</x:v>
      </x:c>
      <x:c r="L12" s="19" t="n">
        <x:f>COUNTA('Mechanism Vectors'!E12:P12)</x:f>
        <x:v>12</x:v>
      </x:c>
      <x:c r="M12" s="19" t="n">
        <x:f>MIN('Pairwise Distance'!S13,'Pairwise Distance'!S16,'Pairwise Distance'!S17)</x:f>
        <x:v>12</x:v>
      </x:c>
      <x:c r="N12" s="19" t="n">
        <x:f>SUMIFS('Route Carriage'!$M$7:$M$98,'Route Carriage'!$C$7:$C$98,C12)</x:f>
        <x:v>5</x:v>
      </x:c>
      <x:c r="O12" s="19" t="n">
        <x:v>5</x:v>
      </x:c>
      <x:c r="P12" s="19" t="n">
        <x:f>COUNTIF('Technology Work'!$D$7:$D$86,C12)</x:f>
        <x:v>4</x:v>
      </x:c>
      <x:c r="Q12" s="19" t="n">
        <x:f>COUNTIF('Keystone Tests'!$D$7:$D$26,C12)</x:f>
        <x:v>1</x:v>
      </x:c>
      <x:c r="R12" s="19" t="str">
        <x:f>IF(AND(L12=Controls!$D$8,M12&gt;=Controls!$D$9,N12=O12,P12=Controls!$D$17,Q12=1),"FROZEN","DRAFT")</x:f>
        <x:v>FROZEN</x:v>
      </x:c>
      <x:c r="S12" s="19" t="n">
        <x:f>SUMIFS(Ancestry!$H$7:$H$246,Ancestry!$D$7:$D$246,C12)</x:f>
        <x:v>0</x:v>
      </x:c>
      <x:c r="T12" s="19" t="n">
        <x:f>SUMIFS('G3 Gates'!$G$7:$G$286,'G3 Gates'!$D$7:$D$286,C12)</x:f>
        <x:v>0</x:v>
      </x:c>
      <x:c r="U12" s="20" t="n">
        <x:v>0</x:v>
      </x:c>
      <x:c r="V12" s="19" t="str">
        <x:f>IF(AND(R12="FROZEN",S12=Controls!$D$15,T12=Controls!$D$16,U12=0),"RELEASED","HOLD")</x:f>
        <x:v>HOLD</x:v>
      </x:c>
      <x:c r="W12" s="33" t="n">
        <x:v>11.484099827322673</x:v>
      </x:c>
    </x:row>
    <x:row r="13">
      <x:c r="C13" s="19" t="str">
        <x:v>MS-CT|C</x:v>
      </x:c>
      <x:c r="D13" s="19" t="str">
        <x:v>C3-CT-C-CF1</x:v>
      </x:c>
      <x:c r="E13" s="19" t="str">
        <x:v>MS-CT</x:v>
      </x:c>
      <x:c r="F13" s="19" t="str">
        <x:v>C</x:v>
      </x:c>
      <x:c r="G13" s="19" t="str">
        <x:v>Building utility spine</x:v>
      </x:c>
      <x:c r="H13" s="19" t="n">
        <x:v>14</x:v>
      </x:c>
      <x:c r="I13" s="19" t="n">
        <x:v>52</x:v>
      </x:c>
      <x:c r="J13" s="19" t="n">
        <x:v>42</x:v>
      </x:c>
      <x:c r="K13" s="19" t="n">
        <x:v>171</x:v>
      </x:c>
      <x:c r="L13" s="19" t="n">
        <x:f>COUNTA('Mechanism Vectors'!E13:P13)</x:f>
        <x:v>12</x:v>
      </x:c>
      <x:c r="M13" s="19" t="n">
        <x:f>MIN('Pairwise Distance'!S14,'Pairwise Distance'!S16,'Pairwise Distance'!S18)</x:f>
        <x:v>12</x:v>
      </x:c>
      <x:c r="N13" s="19" t="n">
        <x:f>SUMIFS('Route Carriage'!$M$7:$M$98,'Route Carriage'!$C$7:$C$98,C13)</x:f>
        <x:v>5</x:v>
      </x:c>
      <x:c r="O13" s="19" t="n">
        <x:v>5</x:v>
      </x:c>
      <x:c r="P13" s="19" t="n">
        <x:f>COUNTIF('Technology Work'!$D$7:$D$86,C13)</x:f>
        <x:v>4</x:v>
      </x:c>
      <x:c r="Q13" s="19" t="n">
        <x:f>COUNTIF('Keystone Tests'!$D$7:$D$26,C13)</x:f>
        <x:v>1</x:v>
      </x:c>
      <x:c r="R13" s="19" t="str">
        <x:f>IF(AND(L13=Controls!$D$8,M13&gt;=Controls!$D$9,N13=O13,P13=Controls!$D$17,Q13=1),"FROZEN","DRAFT")</x:f>
        <x:v>FROZEN</x:v>
      </x:c>
      <x:c r="S13" s="19" t="n">
        <x:f>SUMIFS(Ancestry!$H$7:$H$246,Ancestry!$D$7:$D$246,C13)</x:f>
        <x:v>0</x:v>
      </x:c>
      <x:c r="T13" s="19" t="n">
        <x:f>SUMIFS('G3 Gates'!$G$7:$G$286,'G3 Gates'!$D$7:$D$286,C13)</x:f>
        <x:v>0</x:v>
      </x:c>
      <x:c r="U13" s="20" t="n">
        <x:v>0</x:v>
      </x:c>
      <x:c r="V13" s="19" t="str">
        <x:f>IF(AND(R13="FROZEN",S13=Controls!$D$15,T13=Controls!$D$16,U13=0),"RELEASED","HOLD")</x:f>
        <x:v>HOLD</x:v>
      </x:c>
      <x:c r="W13" s="33" t="n">
        <x:v>11.484099827322673</x:v>
      </x:c>
    </x:row>
    <x:row r="14">
      <x:c r="C14" s="19" t="str">
        <x:v>MS-CT|D</x:v>
      </x:c>
      <x:c r="D14" s="19" t="str">
        <x:v>C3-CT-D-CF1</x:v>
      </x:c>
      <x:c r="E14" s="19" t="str">
        <x:v>MS-CT</x:v>
      </x:c>
      <x:c r="F14" s="19" t="str">
        <x:v>D</x:v>
      </x:c>
      <x:c r="G14" s="19" t="str">
        <x:v>Neighborhood machine swarm</x:v>
      </x:c>
      <x:c r="H14" s="19" t="n">
        <x:v>14</x:v>
      </x:c>
      <x:c r="I14" s="19" t="n">
        <x:v>52</x:v>
      </x:c>
      <x:c r="J14" s="19" t="n">
        <x:v>42</x:v>
      </x:c>
      <x:c r="K14" s="19" t="n">
        <x:v>171</x:v>
      </x:c>
      <x:c r="L14" s="19" t="n">
        <x:f>COUNTA('Mechanism Vectors'!E14:P14)</x:f>
        <x:v>12</x:v>
      </x:c>
      <x:c r="M14" s="19" t="n">
        <x:f>MIN('Pairwise Distance'!S15,'Pairwise Distance'!S17,'Pairwise Distance'!S18)</x:f>
        <x:v>12</x:v>
      </x:c>
      <x:c r="N14" s="19" t="n">
        <x:f>SUMIFS('Route Carriage'!$M$7:$M$98,'Route Carriage'!$C$7:$C$98,C14)</x:f>
        <x:v>5</x:v>
      </x:c>
      <x:c r="O14" s="19" t="n">
        <x:v>5</x:v>
      </x:c>
      <x:c r="P14" s="19" t="n">
        <x:f>COUNTIF('Technology Work'!$D$7:$D$86,C14)</x:f>
        <x:v>4</x:v>
      </x:c>
      <x:c r="Q14" s="19" t="n">
        <x:f>COUNTIF('Keystone Tests'!$D$7:$D$26,C14)</x:f>
        <x:v>1</x:v>
      </x:c>
      <x:c r="R14" s="19" t="str">
        <x:f>IF(AND(L14=Controls!$D$8,M14&gt;=Controls!$D$9,N14=O14,P14=Controls!$D$17,Q14=1),"FROZEN","DRAFT")</x:f>
        <x:v>FROZEN</x:v>
      </x:c>
      <x:c r="S14" s="19" t="n">
        <x:f>SUMIFS(Ancestry!$H$7:$H$246,Ancestry!$D$7:$D$246,C14)</x:f>
        <x:v>0</x:v>
      </x:c>
      <x:c r="T14" s="19" t="n">
        <x:f>SUMIFS('G3 Gates'!$G$7:$G$286,'G3 Gates'!$D$7:$D$286,C14)</x:f>
        <x:v>0</x:v>
      </x:c>
      <x:c r="U14" s="20" t="n">
        <x:v>0</x:v>
      </x:c>
      <x:c r="V14" s="19" t="str">
        <x:f>IF(AND(R14="FROZEN",S14=Controls!$D$15,T14=Controls!$D$16,U14=0),"RELEASED","HOLD")</x:f>
        <x:v>HOLD</x:v>
      </x:c>
      <x:c r="W14" s="33" t="n">
        <x:v>11.484099827322673</x:v>
      </x:c>
    </x:row>
    <x:row r="15">
      <x:c r="C15" s="19" t="str">
        <x:v>MS-HC|A</x:v>
      </x:c>
      <x:c r="D15" s="19" t="str">
        <x:v>C3-HC-A-CF1</x:v>
      </x:c>
      <x:c r="E15" s="19" t="str">
        <x:v>MS-HC</x:v>
      </x:c>
      <x:c r="F15" s="19" t="str">
        <x:v>A</x:v>
      </x:c>
      <x:c r="G15" s="19" t="str">
        <x:v>Atmospheric flux wing</x:v>
      </x:c>
      <x:c r="H15" s="19" t="n">
        <x:v>7</x:v>
      </x:c>
      <x:c r="I15" s="19" t="n">
        <x:v>31</x:v>
      </x:c>
      <x:c r="J15" s="19" t="n">
        <x:v>42</x:v>
      </x:c>
      <x:c r="K15" s="19" t="n">
        <x:v>148</x:v>
      </x:c>
      <x:c r="L15" s="19" t="n">
        <x:f>COUNTA('Mechanism Vectors'!E15:P15)</x:f>
        <x:v>12</x:v>
      </x:c>
      <x:c r="M15" s="19" t="n">
        <x:f>MIN('Pairwise Distance'!S19,'Pairwise Distance'!S20,'Pairwise Distance'!S21)</x:f>
        <x:v>12</x:v>
      </x:c>
      <x:c r="N15" s="19" t="n">
        <x:f>SUMIFS('Route Carriage'!$M$7:$M$98,'Route Carriage'!$C$7:$C$98,C15)</x:f>
        <x:v>3</x:v>
      </x:c>
      <x:c r="O15" s="19" t="n">
        <x:v>3</x:v>
      </x:c>
      <x:c r="P15" s="19" t="n">
        <x:f>COUNTIF('Technology Work'!$D$7:$D$86,C15)</x:f>
        <x:v>4</x:v>
      </x:c>
      <x:c r="Q15" s="19" t="n">
        <x:f>COUNTIF('Keystone Tests'!$D$7:$D$26,C15)</x:f>
        <x:v>1</x:v>
      </x:c>
      <x:c r="R15" s="19" t="str">
        <x:f>IF(AND(L15=Controls!$D$8,M15&gt;=Controls!$D$9,N15=O15,P15=Controls!$D$17,Q15=1),"FROZEN","DRAFT")</x:f>
        <x:v>FROZEN</x:v>
      </x:c>
      <x:c r="S15" s="19" t="n">
        <x:f>SUMIFS(Ancestry!$H$7:$H$246,Ancestry!$D$7:$D$246,C15)</x:f>
        <x:v>0</x:v>
      </x:c>
      <x:c r="T15" s="19" t="n">
        <x:f>SUMIFS('G3 Gates'!$G$7:$G$286,'G3 Gates'!$D$7:$D$286,C15)</x:f>
        <x:v>0</x:v>
      </x:c>
      <x:c r="U15" s="20" t="n">
        <x:v>0</x:v>
      </x:c>
      <x:c r="V15" s="19" t="str">
        <x:f>IF(AND(R15="FROZEN",S15=Controls!$D$15,T15=Controls!$D$16,U15=0),"RELEASED","HOLD")</x:f>
        <x:v>HOLD</x:v>
      </x:c>
      <x:c r="W15" s="33" t="n">
        <x:v>6.830994521565379</x:v>
      </x:c>
    </x:row>
    <x:row r="16">
      <x:c r="C16" s="19" t="str">
        <x:v>MS-HC|B</x:v>
      </x:c>
      <x:c r="D16" s="19" t="str">
        <x:v>C3-HC-B-CF1</x:v>
      </x:c>
      <x:c r="E16" s="19" t="str">
        <x:v>MS-HC</x:v>
      </x:c>
      <x:c r="F16" s="19" t="str">
        <x:v>B</x:v>
      </x:c>
      <x:c r="G16" s="19" t="str">
        <x:v>Hydraulic intervention lattice</x:v>
      </x:c>
      <x:c r="H16" s="19" t="n">
        <x:v>7</x:v>
      </x:c>
      <x:c r="I16" s="19" t="n">
        <x:v>31</x:v>
      </x:c>
      <x:c r="J16" s="19" t="n">
        <x:v>42</x:v>
      </x:c>
      <x:c r="K16" s="19" t="n">
        <x:v>148</x:v>
      </x:c>
      <x:c r="L16" s="19" t="n">
        <x:f>COUNTA('Mechanism Vectors'!E16:P16)</x:f>
        <x:v>12</x:v>
      </x:c>
      <x:c r="M16" s="19" t="n">
        <x:f>MIN('Pairwise Distance'!S19,'Pairwise Distance'!S22,'Pairwise Distance'!S23)</x:f>
        <x:v>12</x:v>
      </x:c>
      <x:c r="N16" s="19" t="n">
        <x:f>SUMIFS('Route Carriage'!$M$7:$M$98,'Route Carriage'!$C$7:$C$98,C16)</x:f>
        <x:v>3</x:v>
      </x:c>
      <x:c r="O16" s="19" t="n">
        <x:v>3</x:v>
      </x:c>
      <x:c r="P16" s="19" t="n">
        <x:f>COUNTIF('Technology Work'!$D$7:$D$86,C16)</x:f>
        <x:v>4</x:v>
      </x:c>
      <x:c r="Q16" s="19" t="n">
        <x:f>COUNTIF('Keystone Tests'!$D$7:$D$26,C16)</x:f>
        <x:v>1</x:v>
      </x:c>
      <x:c r="R16" s="19" t="str">
        <x:f>IF(AND(L16=Controls!$D$8,M16&gt;=Controls!$D$9,N16=O16,P16=Controls!$D$17,Q16=1),"FROZEN","DRAFT")</x:f>
        <x:v>FROZEN</x:v>
      </x:c>
      <x:c r="S16" s="19" t="n">
        <x:f>SUMIFS(Ancestry!$H$7:$H$246,Ancestry!$D$7:$D$246,C16)</x:f>
        <x:v>0</x:v>
      </x:c>
      <x:c r="T16" s="19" t="n">
        <x:f>SUMIFS('G3 Gates'!$G$7:$G$286,'G3 Gates'!$D$7:$D$286,C16)</x:f>
        <x:v>0</x:v>
      </x:c>
      <x:c r="U16" s="20" t="n">
        <x:v>0</x:v>
      </x:c>
      <x:c r="V16" s="19" t="str">
        <x:f>IF(AND(R16="FROZEN",S16=Controls!$D$15,T16=Controls!$D$16,U16=0),"RELEASED","HOLD")</x:f>
        <x:v>HOLD</x:v>
      </x:c>
      <x:c r="W16" s="33" t="n">
        <x:v>6.830994521565379</x:v>
      </x:c>
    </x:row>
    <x:row r="17">
      <x:c r="C17" s="19" t="str">
        <x:v>MS-HC|C</x:v>
      </x:c>
      <x:c r="D17" s="19" t="str">
        <x:v>C3-HC-C-CF1</x:v>
      </x:c>
      <x:c r="E17" s="19" t="str">
        <x:v>MS-HC</x:v>
      </x:c>
      <x:c r="F17" s="19" t="str">
        <x:v>C</x:v>
      </x:c>
      <x:c r="G17" s="19" t="str">
        <x:v>Autonomous terrain corps</x:v>
      </x:c>
      <x:c r="H17" s="19" t="n">
        <x:v>7</x:v>
      </x:c>
      <x:c r="I17" s="19" t="n">
        <x:v>31</x:v>
      </x:c>
      <x:c r="J17" s="19" t="n">
        <x:v>42</x:v>
      </x:c>
      <x:c r="K17" s="19" t="n">
        <x:v>148</x:v>
      </x:c>
      <x:c r="L17" s="19" t="n">
        <x:f>COUNTA('Mechanism Vectors'!E17:P17)</x:f>
        <x:v>12</x:v>
      </x:c>
      <x:c r="M17" s="19" t="n">
        <x:f>MIN('Pairwise Distance'!S20,'Pairwise Distance'!S22,'Pairwise Distance'!S24)</x:f>
        <x:v>12</x:v>
      </x:c>
      <x:c r="N17" s="19" t="n">
        <x:f>SUMIFS('Route Carriage'!$M$7:$M$98,'Route Carriage'!$C$7:$C$98,C17)</x:f>
        <x:v>3</x:v>
      </x:c>
      <x:c r="O17" s="19" t="n">
        <x:v>3</x:v>
      </x:c>
      <x:c r="P17" s="19" t="n">
        <x:f>COUNTIF('Technology Work'!$D$7:$D$86,C17)</x:f>
        <x:v>4</x:v>
      </x:c>
      <x:c r="Q17" s="19" t="n">
        <x:f>COUNTIF('Keystone Tests'!$D$7:$D$26,C17)</x:f>
        <x:v>1</x:v>
      </x:c>
      <x:c r="R17" s="19" t="str">
        <x:f>IF(AND(L17=Controls!$D$8,M17&gt;=Controls!$D$9,N17=O17,P17=Controls!$D$17,Q17=1),"FROZEN","DRAFT")</x:f>
        <x:v>FROZEN</x:v>
      </x:c>
      <x:c r="S17" s="19" t="n">
        <x:f>SUMIFS(Ancestry!$H$7:$H$246,Ancestry!$D$7:$D$246,C17)</x:f>
        <x:v>0</x:v>
      </x:c>
      <x:c r="T17" s="19" t="n">
        <x:f>SUMIFS('G3 Gates'!$G$7:$G$286,'G3 Gates'!$D$7:$D$286,C17)</x:f>
        <x:v>0</x:v>
      </x:c>
      <x:c r="U17" s="20" t="n">
        <x:v>0</x:v>
      </x:c>
      <x:c r="V17" s="19" t="str">
        <x:f>IF(AND(R17="FROZEN",S17=Controls!$D$15,T17=Controls!$D$16,U17=0),"RELEASED","HOLD")</x:f>
        <x:v>HOLD</x:v>
      </x:c>
      <x:c r="W17" s="33" t="n">
        <x:v>6.830994521565379</x:v>
      </x:c>
    </x:row>
    <x:row r="18">
      <x:c r="C18" s="19" t="str">
        <x:v>MS-HC|D</x:v>
      </x:c>
      <x:c r="D18" s="19" t="str">
        <x:v>C3-HC-D-CF1</x:v>
      </x:c>
      <x:c r="E18" s="19" t="str">
        <x:v>MS-HC</x:v>
      </x:c>
      <x:c r="F18" s="19" t="str">
        <x:v>D</x:v>
      </x:c>
      <x:c r="G18" s="19" t="str">
        <x:v>Boundary-control field</x:v>
      </x:c>
      <x:c r="H18" s="19" t="n">
        <x:v>7</x:v>
      </x:c>
      <x:c r="I18" s="19" t="n">
        <x:v>31</x:v>
      </x:c>
      <x:c r="J18" s="19" t="n">
        <x:v>42</x:v>
      </x:c>
      <x:c r="K18" s="19" t="n">
        <x:v>148</x:v>
      </x:c>
      <x:c r="L18" s="19" t="n">
        <x:f>COUNTA('Mechanism Vectors'!E18:P18)</x:f>
        <x:v>12</x:v>
      </x:c>
      <x:c r="M18" s="19" t="n">
        <x:f>MIN('Pairwise Distance'!S21,'Pairwise Distance'!S23,'Pairwise Distance'!S24)</x:f>
        <x:v>12</x:v>
      </x:c>
      <x:c r="N18" s="19" t="n">
        <x:f>SUMIFS('Route Carriage'!$M$7:$M$98,'Route Carriage'!$C$7:$C$98,C18)</x:f>
        <x:v>3</x:v>
      </x:c>
      <x:c r="O18" s="19" t="n">
        <x:v>3</x:v>
      </x:c>
      <x:c r="P18" s="19" t="n">
        <x:f>COUNTIF('Technology Work'!$D$7:$D$86,C18)</x:f>
        <x:v>4</x:v>
      </x:c>
      <x:c r="Q18" s="19" t="n">
        <x:f>COUNTIF('Keystone Tests'!$D$7:$D$26,C18)</x:f>
        <x:v>1</x:v>
      </x:c>
      <x:c r="R18" s="19" t="str">
        <x:f>IF(AND(L18=Controls!$D$8,M18&gt;=Controls!$D$9,N18=O18,P18=Controls!$D$17,Q18=1),"FROZEN","DRAFT")</x:f>
        <x:v>FROZEN</x:v>
      </x:c>
      <x:c r="S18" s="19" t="n">
        <x:f>SUMIFS(Ancestry!$H$7:$H$246,Ancestry!$D$7:$D$246,C18)</x:f>
        <x:v>0</x:v>
      </x:c>
      <x:c r="T18" s="19" t="n">
        <x:f>SUMIFS('G3 Gates'!$G$7:$G$286,'G3 Gates'!$D$7:$D$286,C18)</x:f>
        <x:v>0</x:v>
      </x:c>
      <x:c r="U18" s="20" t="n">
        <x:v>0</x:v>
      </x:c>
      <x:c r="V18" s="19" t="str">
        <x:f>IF(AND(R18="FROZEN",S18=Controls!$D$15,T18=Controls!$D$16,U18=0),"RELEASED","HOLD")</x:f>
        <x:v>HOLD</x:v>
      </x:c>
      <x:c r="W18" s="33" t="n">
        <x:v>6.830994521565379</x:v>
      </x:c>
    </x:row>
    <x:row r="19">
      <x:c r="C19" s="19" t="str">
        <x:v>MS-HU|A</x:v>
      </x:c>
      <x:c r="D19" s="19" t="str">
        <x:v>C3-HU-A-CF1</x:v>
      </x:c>
      <x:c r="E19" s="19" t="str">
        <x:v>MS-HU</x:v>
      </x:c>
      <x:c r="F19" s="19" t="str">
        <x:v>A</x:v>
      </x:c>
      <x:c r="G19" s="19" t="str">
        <x:v>Clinical continuity campus</x:v>
      </x:c>
      <x:c r="H19" s="19" t="n">
        <x:v>34</x:v>
      </x:c>
      <x:c r="I19" s="19" t="n">
        <x:v>112</x:v>
      </x:c>
      <x:c r="J19" s="19" t="n">
        <x:v>42</x:v>
      </x:c>
      <x:c r="K19" s="19" t="n">
        <x:v>231</x:v>
      </x:c>
      <x:c r="L19" s="19" t="n">
        <x:f>COUNTA('Mechanism Vectors'!E19:P19)</x:f>
        <x:v>12</x:v>
      </x:c>
      <x:c r="M19" s="19" t="n">
        <x:f>MIN('Pairwise Distance'!S25,'Pairwise Distance'!S26,'Pairwise Distance'!S27)</x:f>
        <x:v>12</x:v>
      </x:c>
      <x:c r="N19" s="19" t="n">
        <x:f>SUMIFS('Route Carriage'!$M$7:$M$98,'Route Carriage'!$C$7:$C$98,C19)</x:f>
        <x:v>5</x:v>
      </x:c>
      <x:c r="O19" s="19" t="n">
        <x:v>5</x:v>
      </x:c>
      <x:c r="P19" s="19" t="n">
        <x:f>COUNTIF('Technology Work'!$D$7:$D$86,C19)</x:f>
        <x:v>4</x:v>
      </x:c>
      <x:c r="Q19" s="19" t="n">
        <x:f>COUNTIF('Keystone Tests'!$D$7:$D$26,C19)</x:f>
        <x:v>1</x:v>
      </x:c>
      <x:c r="R19" s="19" t="str">
        <x:f>IF(AND(L19=Controls!$D$8,M19&gt;=Controls!$D$9,N19=O19,P19=Controls!$D$17,Q19=1),"FROZEN","DRAFT")</x:f>
        <x:v>FROZEN</x:v>
      </x:c>
      <x:c r="S19" s="19" t="n">
        <x:f>SUMIFS(Ancestry!$H$7:$H$246,Ancestry!$D$7:$D$246,C19)</x:f>
        <x:v>0</x:v>
      </x:c>
      <x:c r="T19" s="19" t="n">
        <x:f>SUMIFS('G3 Gates'!$G$7:$G$286,'G3 Gates'!$D$7:$D$286,C19)</x:f>
        <x:v>0</x:v>
      </x:c>
      <x:c r="U19" s="20" t="n">
        <x:v>0</x:v>
      </x:c>
      <x:c r="V19" s="19" t="str">
        <x:f>IF(AND(R19="FROZEN",S19=Controls!$D$15,T19=Controls!$D$16,U19=0),"RELEASED","HOLD")</x:f>
        <x:v>HOLD</x:v>
      </x:c>
      <x:c r="W19" s="33" t="n">
        <x:v>19.137720186217514</x:v>
      </x:c>
    </x:row>
    <x:row r="20">
      <x:c r="C20" s="19" t="str">
        <x:v>MS-HU|B</x:v>
      </x:c>
      <x:c r="D20" s="19" t="str">
        <x:v>C3-HU-B-CF1</x:v>
      </x:c>
      <x:c r="E20" s="19" t="str">
        <x:v>MS-HU</x:v>
      </x:c>
      <x:c r="F20" s="19" t="str">
        <x:v>B</x:v>
      </x:c>
      <x:c r="G20" s="19" t="str">
        <x:v>Neighborhood care fabric</x:v>
      </x:c>
      <x:c r="H20" s="19" t="n">
        <x:v>34</x:v>
      </x:c>
      <x:c r="I20" s="19" t="n">
        <x:v>112</x:v>
      </x:c>
      <x:c r="J20" s="19" t="n">
        <x:v>42</x:v>
      </x:c>
      <x:c r="K20" s="19" t="n">
        <x:v>231</x:v>
      </x:c>
      <x:c r="L20" s="19" t="n">
        <x:f>COUNTA('Mechanism Vectors'!E20:P20)</x:f>
        <x:v>12</x:v>
      </x:c>
      <x:c r="M20" s="19" t="n">
        <x:f>MIN('Pairwise Distance'!S25,'Pairwise Distance'!S28,'Pairwise Distance'!S29)</x:f>
        <x:v>12</x:v>
      </x:c>
      <x:c r="N20" s="19" t="n">
        <x:f>SUMIFS('Route Carriage'!$M$7:$M$98,'Route Carriage'!$C$7:$C$98,C20)</x:f>
        <x:v>5</x:v>
      </x:c>
      <x:c r="O20" s="19" t="n">
        <x:v>5</x:v>
      </x:c>
      <x:c r="P20" s="19" t="n">
        <x:f>COUNTIF('Technology Work'!$D$7:$D$86,C20)</x:f>
        <x:v>4</x:v>
      </x:c>
      <x:c r="Q20" s="19" t="n">
        <x:f>COUNTIF('Keystone Tests'!$D$7:$D$26,C20)</x:f>
        <x:v>1</x:v>
      </x:c>
      <x:c r="R20" s="19" t="str">
        <x:f>IF(AND(L20=Controls!$D$8,M20&gt;=Controls!$D$9,N20=O20,P20=Controls!$D$17,Q20=1),"FROZEN","DRAFT")</x:f>
        <x:v>FROZEN</x:v>
      </x:c>
      <x:c r="S20" s="19" t="n">
        <x:f>SUMIFS(Ancestry!$H$7:$H$246,Ancestry!$D$7:$D$246,C20)</x:f>
        <x:v>0</x:v>
      </x:c>
      <x:c r="T20" s="19" t="n">
        <x:f>SUMIFS('G3 Gates'!$G$7:$G$286,'G3 Gates'!$D$7:$D$286,C20)</x:f>
        <x:v>0</x:v>
      </x:c>
      <x:c r="U20" s="20" t="n">
        <x:v>0</x:v>
      </x:c>
      <x:c r="V20" s="19" t="str">
        <x:f>IF(AND(R20="FROZEN",S20=Controls!$D$15,T20=Controls!$D$16,U20=0),"RELEASED","HOLD")</x:f>
        <x:v>HOLD</x:v>
      </x:c>
      <x:c r="W20" s="33" t="n">
        <x:v>19.137720186217514</x:v>
      </x:c>
    </x:row>
    <x:row r="21">
      <x:c r="C21" s="19" t="str">
        <x:v>MS-HU|C</x:v>
      </x:c>
      <x:c r="D21" s="19" t="str">
        <x:v>C3-HU-C-CF1</x:v>
      </x:c>
      <x:c r="E21" s="19" t="str">
        <x:v>MS-HU</x:v>
      </x:c>
      <x:c r="F21" s="19" t="str">
        <x:v>C</x:v>
      </x:c>
      <x:c r="G21" s="19" t="str">
        <x:v>Mobile care network</x:v>
      </x:c>
      <x:c r="H21" s="19" t="n">
        <x:v>34</x:v>
      </x:c>
      <x:c r="I21" s="19" t="n">
        <x:v>112</x:v>
      </x:c>
      <x:c r="J21" s="19" t="n">
        <x:v>42</x:v>
      </x:c>
      <x:c r="K21" s="19" t="n">
        <x:v>231</x:v>
      </x:c>
      <x:c r="L21" s="19" t="n">
        <x:f>COUNTA('Mechanism Vectors'!E21:P21)</x:f>
        <x:v>12</x:v>
      </x:c>
      <x:c r="M21" s="19" t="n">
        <x:f>MIN('Pairwise Distance'!S26,'Pairwise Distance'!S28,'Pairwise Distance'!S30)</x:f>
        <x:v>12</x:v>
      </x:c>
      <x:c r="N21" s="19" t="n">
        <x:f>SUMIFS('Route Carriage'!$M$7:$M$98,'Route Carriage'!$C$7:$C$98,C21)</x:f>
        <x:v>5</x:v>
      </x:c>
      <x:c r="O21" s="19" t="n">
        <x:v>5</x:v>
      </x:c>
      <x:c r="P21" s="19" t="n">
        <x:f>COUNTIF('Technology Work'!$D$7:$D$86,C21)</x:f>
        <x:v>4</x:v>
      </x:c>
      <x:c r="Q21" s="19" t="n">
        <x:f>COUNTIF('Keystone Tests'!$D$7:$D$26,C21)</x:f>
        <x:v>1</x:v>
      </x:c>
      <x:c r="R21" s="19" t="str">
        <x:f>IF(AND(L21=Controls!$D$8,M21&gt;=Controls!$D$9,N21=O21,P21=Controls!$D$17,Q21=1),"FROZEN","DRAFT")</x:f>
        <x:v>FROZEN</x:v>
      </x:c>
      <x:c r="S21" s="19" t="n">
        <x:f>SUMIFS(Ancestry!$H$7:$H$246,Ancestry!$D$7:$D$246,C21)</x:f>
        <x:v>0</x:v>
      </x:c>
      <x:c r="T21" s="19" t="n">
        <x:f>SUMIFS('G3 Gates'!$G$7:$G$286,'G3 Gates'!$D$7:$D$286,C21)</x:f>
        <x:v>0</x:v>
      </x:c>
      <x:c r="U21" s="20" t="n">
        <x:v>0</x:v>
      </x:c>
      <x:c r="V21" s="19" t="str">
        <x:f>IF(AND(R21="FROZEN",S21=Controls!$D$15,T21=Controls!$D$16,U21=0),"RELEASED","HOLD")</x:f>
        <x:v>HOLD</x:v>
      </x:c>
      <x:c r="W21" s="33" t="n">
        <x:v>19.137720186217514</x:v>
      </x:c>
    </x:row>
    <x:row r="22">
      <x:c r="C22" s="19" t="str">
        <x:v>MS-HU|D</x:v>
      </x:c>
      <x:c r="D22" s="19" t="str">
        <x:v>C3-HU-D-CF1</x:v>
      </x:c>
      <x:c r="E22" s="19" t="str">
        <x:v>MS-HU</x:v>
      </x:c>
      <x:c r="F22" s="19" t="str">
        <x:v>D</x:v>
      </x:c>
      <x:c r="G22" s="19" t="str">
        <x:v>Host-building conversion</x:v>
      </x:c>
      <x:c r="H22" s="19" t="n">
        <x:v>34</x:v>
      </x:c>
      <x:c r="I22" s="19" t="n">
        <x:v>112</x:v>
      </x:c>
      <x:c r="J22" s="19" t="n">
        <x:v>42</x:v>
      </x:c>
      <x:c r="K22" s="19" t="n">
        <x:v>231</x:v>
      </x:c>
      <x:c r="L22" s="19" t="n">
        <x:f>COUNTA('Mechanism Vectors'!E22:P22)</x:f>
        <x:v>12</x:v>
      </x:c>
      <x:c r="M22" s="19" t="n">
        <x:f>MIN('Pairwise Distance'!S27,'Pairwise Distance'!S29,'Pairwise Distance'!S30)</x:f>
        <x:v>12</x:v>
      </x:c>
      <x:c r="N22" s="19" t="n">
        <x:f>SUMIFS('Route Carriage'!$M$7:$M$98,'Route Carriage'!$C$7:$C$98,C22)</x:f>
        <x:v>5</x:v>
      </x:c>
      <x:c r="O22" s="19" t="n">
        <x:v>5</x:v>
      </x:c>
      <x:c r="P22" s="19" t="n">
        <x:f>COUNTIF('Technology Work'!$D$7:$D$86,C22)</x:f>
        <x:v>4</x:v>
      </x:c>
      <x:c r="Q22" s="19" t="n">
        <x:f>COUNTIF('Keystone Tests'!$D$7:$D$26,C22)</x:f>
        <x:v>1</x:v>
      </x:c>
      <x:c r="R22" s="19" t="str">
        <x:f>IF(AND(L22=Controls!$D$8,M22&gt;=Controls!$D$9,N22=O22,P22=Controls!$D$17,Q22=1),"FROZEN","DRAFT")</x:f>
        <x:v>FROZEN</x:v>
      </x:c>
      <x:c r="S22" s="19" t="n">
        <x:f>SUMIFS(Ancestry!$H$7:$H$246,Ancestry!$D$7:$D$246,C22)</x:f>
        <x:v>0</x:v>
      </x:c>
      <x:c r="T22" s="19" t="n">
        <x:f>SUMIFS('G3 Gates'!$G$7:$G$286,'G3 Gates'!$D$7:$D$286,C22)</x:f>
        <x:v>0</x:v>
      </x:c>
      <x:c r="U22" s="20" t="n">
        <x:v>0</x:v>
      </x:c>
      <x:c r="V22" s="19" t="str">
        <x:f>IF(AND(R22="FROZEN",S22=Controls!$D$15,T22=Controls!$D$16,U22=0),"RELEASED","HOLD")</x:f>
        <x:v>HOLD</x:v>
      </x:c>
      <x:c r="W22" s="33" t="n">
        <x:v>19.137720186217514</x:v>
      </x:c>
    </x:row>
    <x:row r="23">
      <x:c r="C23" s="19" t="str">
        <x:v>MS-RT|A</x:v>
      </x:c>
      <x:c r="D23" s="19" t="str">
        <x:v>C3-RT-A-CF1</x:v>
      </x:c>
      <x:c r="E23" s="19" t="str">
        <x:v>MS-RT</x:v>
      </x:c>
      <x:c r="F23" s="19" t="str">
        <x:v>A</x:v>
      </x:c>
      <x:c r="G23" s="19" t="str">
        <x:v>Heavy arsenal base</x:v>
      </x:c>
      <x:c r="H23" s="19" t="n">
        <x:v>17</x:v>
      </x:c>
      <x:c r="I23" s="19" t="n">
        <x:v>61</x:v>
      </x:c>
      <x:c r="J23" s="19" t="n">
        <x:v>42</x:v>
      </x:c>
      <x:c r="K23" s="19" t="n">
        <x:v>180</x:v>
      </x:c>
      <x:c r="L23" s="19" t="n">
        <x:f>COUNTA('Mechanism Vectors'!E23:P23)</x:f>
        <x:v>12</x:v>
      </x:c>
      <x:c r="M23" s="19" t="n">
        <x:f>MIN('Pairwise Distance'!S31,'Pairwise Distance'!S32,'Pairwise Distance'!S33)</x:f>
        <x:v>12</x:v>
      </x:c>
      <x:c r="N23" s="19" t="n">
        <x:f>SUMIFS('Route Carriage'!$M$7:$M$98,'Route Carriage'!$C$7:$C$98,C23)</x:f>
        <x:v>5</x:v>
      </x:c>
      <x:c r="O23" s="19" t="n">
        <x:v>5</x:v>
      </x:c>
      <x:c r="P23" s="19" t="n">
        <x:f>COUNTIF('Technology Work'!$D$7:$D$86,C23)</x:f>
        <x:v>4</x:v>
      </x:c>
      <x:c r="Q23" s="19" t="n">
        <x:f>COUNTIF('Keystone Tests'!$D$7:$D$26,C23)</x:f>
        <x:v>1</x:v>
      </x:c>
      <x:c r="R23" s="19" t="str">
        <x:f>IF(AND(L23=Controls!$D$8,M23&gt;=Controls!$D$9,N23=O23,P23=Controls!$D$17,Q23=1),"FROZEN","DRAFT")</x:f>
        <x:v>FROZEN</x:v>
      </x:c>
      <x:c r="S23" s="19" t="n">
        <x:f>SUMIFS(Ancestry!$H$7:$H$246,Ancestry!$D$7:$D$246,C23)</x:f>
        <x:v>0</x:v>
      </x:c>
      <x:c r="T23" s="19" t="n">
        <x:f>SUMIFS('G3 Gates'!$G$7:$G$286,'G3 Gates'!$D$7:$D$286,C23)</x:f>
        <x:v>0</x:v>
      </x:c>
      <x:c r="U23" s="20" t="n">
        <x:v>0</x:v>
      </x:c>
      <x:c r="V23" s="19" t="str">
        <x:f>IF(AND(R23="FROZEN",S23=Controls!$D$15,T23=Controls!$D$16,U23=0),"RELEASED","HOLD")</x:f>
        <x:v>HOLD</x:v>
      </x:c>
      <x:c r="W23" s="33" t="n">
        <x:v>11.175132761678244</x:v>
      </x:c>
    </x:row>
    <x:row r="24">
      <x:c r="C24" s="19" t="str">
        <x:v>MS-RT|B</x:v>
      </x:c>
      <x:c r="D24" s="19" t="str">
        <x:v>C3-RT-B-CF1</x:v>
      </x:c>
      <x:c r="E24" s="19" t="str">
        <x:v>MS-RT</x:v>
      </x:c>
      <x:c r="F24" s="19" t="str">
        <x:v>B</x:v>
      </x:c>
      <x:c r="G24" s="19" t="str">
        <x:v>Microfactory mesh</x:v>
      </x:c>
      <x:c r="H24" s="19" t="n">
        <x:v>17</x:v>
      </x:c>
      <x:c r="I24" s="19" t="n">
        <x:v>61</x:v>
      </x:c>
      <x:c r="J24" s="19" t="n">
        <x:v>42</x:v>
      </x:c>
      <x:c r="K24" s="19" t="n">
        <x:v>180</x:v>
      </x:c>
      <x:c r="L24" s="19" t="n">
        <x:f>COUNTA('Mechanism Vectors'!E24:P24)</x:f>
        <x:v>12</x:v>
      </x:c>
      <x:c r="M24" s="19" t="n">
        <x:f>MIN('Pairwise Distance'!S31,'Pairwise Distance'!S34,'Pairwise Distance'!S35)</x:f>
        <x:v>12</x:v>
      </x:c>
      <x:c r="N24" s="19" t="n">
        <x:f>SUMIFS('Route Carriage'!$M$7:$M$98,'Route Carriage'!$C$7:$C$98,C24)</x:f>
        <x:v>5</x:v>
      </x:c>
      <x:c r="O24" s="19" t="n">
        <x:v>5</x:v>
      </x:c>
      <x:c r="P24" s="19" t="n">
        <x:f>COUNTIF('Technology Work'!$D$7:$D$86,C24)</x:f>
        <x:v>4</x:v>
      </x:c>
      <x:c r="Q24" s="19" t="n">
        <x:f>COUNTIF('Keystone Tests'!$D$7:$D$26,C24)</x:f>
        <x:v>1</x:v>
      </x:c>
      <x:c r="R24" s="19" t="str">
        <x:f>IF(AND(L24=Controls!$D$8,M24&gt;=Controls!$D$9,N24=O24,P24=Controls!$D$17,Q24=1),"FROZEN","DRAFT")</x:f>
        <x:v>FROZEN</x:v>
      </x:c>
      <x:c r="S24" s="19" t="n">
        <x:f>SUMIFS(Ancestry!$H$7:$H$246,Ancestry!$D$7:$D$246,C24)</x:f>
        <x:v>0</x:v>
      </x:c>
      <x:c r="T24" s="19" t="n">
        <x:f>SUMIFS('G3 Gates'!$G$7:$G$286,'G3 Gates'!$D$7:$D$286,C24)</x:f>
        <x:v>0</x:v>
      </x:c>
      <x:c r="U24" s="20" t="n">
        <x:v>0</x:v>
      </x:c>
      <x:c r="V24" s="19" t="str">
        <x:f>IF(AND(R24="FROZEN",S24=Controls!$D$15,T24=Controls!$D$16,U24=0),"RELEASED","HOLD")</x:f>
        <x:v>HOLD</x:v>
      </x:c>
      <x:c r="W24" s="33" t="n">
        <x:v>11.175132761678244</x:v>
      </x:c>
    </x:row>
    <x:row r="25">
      <x:c r="C25" s="19" t="str">
        <x:v>MS-RT|C</x:v>
      </x:c>
      <x:c r="D25" s="19" t="str">
        <x:v>C3-RT-C-CF1</x:v>
      </x:c>
      <x:c r="E25" s="19" t="str">
        <x:v>MS-RT</x:v>
      </x:c>
      <x:c r="F25" s="19" t="str">
        <x:v>C</x:v>
      </x:c>
      <x:c r="G25" s="19" t="str">
        <x:v>Exchange-remanufacture network</x:v>
      </x:c>
      <x:c r="H25" s="19" t="n">
        <x:v>17</x:v>
      </x:c>
      <x:c r="I25" s="19" t="n">
        <x:v>61</x:v>
      </x:c>
      <x:c r="J25" s="19" t="n">
        <x:v>42</x:v>
      </x:c>
      <x:c r="K25" s="19" t="n">
        <x:v>180</x:v>
      </x:c>
      <x:c r="L25" s="19" t="n">
        <x:f>COUNTA('Mechanism Vectors'!E25:P25)</x:f>
        <x:v>12</x:v>
      </x:c>
      <x:c r="M25" s="19" t="n">
        <x:f>MIN('Pairwise Distance'!S32,'Pairwise Distance'!S34,'Pairwise Distance'!S36)</x:f>
        <x:v>12</x:v>
      </x:c>
      <x:c r="N25" s="19" t="n">
        <x:f>SUMIFS('Route Carriage'!$M$7:$M$98,'Route Carriage'!$C$7:$C$98,C25)</x:f>
        <x:v>5</x:v>
      </x:c>
      <x:c r="O25" s="19" t="n">
        <x:v>5</x:v>
      </x:c>
      <x:c r="P25" s="19" t="n">
        <x:f>COUNTIF('Technology Work'!$D$7:$D$86,C25)</x:f>
        <x:v>4</x:v>
      </x:c>
      <x:c r="Q25" s="19" t="n">
        <x:f>COUNTIF('Keystone Tests'!$D$7:$D$26,C25)</x:f>
        <x:v>1</x:v>
      </x:c>
      <x:c r="R25" s="19" t="str">
        <x:f>IF(AND(L25=Controls!$D$8,M25&gt;=Controls!$D$9,N25=O25,P25=Controls!$D$17,Q25=1),"FROZEN","DRAFT")</x:f>
        <x:v>FROZEN</x:v>
      </x:c>
      <x:c r="S25" s="19" t="n">
        <x:f>SUMIFS(Ancestry!$H$7:$H$246,Ancestry!$D$7:$D$246,C25)</x:f>
        <x:v>0</x:v>
      </x:c>
      <x:c r="T25" s="19" t="n">
        <x:f>SUMIFS('G3 Gates'!$G$7:$G$286,'G3 Gates'!$D$7:$D$286,C25)</x:f>
        <x:v>0</x:v>
      </x:c>
      <x:c r="U25" s="20" t="n">
        <x:v>0</x:v>
      </x:c>
      <x:c r="V25" s="19" t="str">
        <x:f>IF(AND(R25="FROZEN",S25=Controls!$D$15,T25=Controls!$D$16,U25=0),"RELEASED","HOLD")</x:f>
        <x:v>HOLD</x:v>
      </x:c>
      <x:c r="W25" s="33" t="n">
        <x:v>11.175132761678244</x:v>
      </x:c>
    </x:row>
    <x:row r="26">
      <x:c r="C26" s="22" t="str">
        <x:v>MS-RT|D</x:v>
      </x:c>
      <x:c r="D26" s="22" t="str">
        <x:v>C3-RT-D-CF1</x:v>
      </x:c>
      <x:c r="E26" s="22" t="str">
        <x:v>MS-RT</x:v>
      </x:c>
      <x:c r="F26" s="22" t="str">
        <x:v>D</x:v>
      </x:c>
      <x:c r="G26" s="22" t="str">
        <x:v>Closed-loop sustainment fleet</x:v>
      </x:c>
      <x:c r="H26" s="22" t="n">
        <x:v>17</x:v>
      </x:c>
      <x:c r="I26" s="22" t="n">
        <x:v>61</x:v>
      </x:c>
      <x:c r="J26" s="22" t="n">
        <x:v>42</x:v>
      </x:c>
      <x:c r="K26" s="22" t="n">
        <x:v>180</x:v>
      </x:c>
      <x:c r="L26" s="22" t="n">
        <x:f>COUNTA('Mechanism Vectors'!E26:P26)</x:f>
        <x:v>12</x:v>
      </x:c>
      <x:c r="M26" s="22" t="n">
        <x:f>MIN('Pairwise Distance'!S33,'Pairwise Distance'!S35,'Pairwise Distance'!S36)</x:f>
        <x:v>12</x:v>
      </x:c>
      <x:c r="N26" s="22" t="n">
        <x:f>SUMIFS('Route Carriage'!$M$7:$M$98,'Route Carriage'!$C$7:$C$98,C26)</x:f>
        <x:v>5</x:v>
      </x:c>
      <x:c r="O26" s="22" t="n">
        <x:v>5</x:v>
      </x:c>
      <x:c r="P26" s="22" t="n">
        <x:f>COUNTIF('Technology Work'!$D$7:$D$86,C26)</x:f>
        <x:v>4</x:v>
      </x:c>
      <x:c r="Q26" s="22" t="n">
        <x:f>COUNTIF('Keystone Tests'!$D$7:$D$26,C26)</x:f>
        <x:v>1</x:v>
      </x:c>
      <x:c r="R26" s="22" t="str">
        <x:f>IF(AND(L26=Controls!$D$8,M26&gt;=Controls!$D$9,N26=O26,P26=Controls!$D$17,Q26=1),"FROZEN","DRAFT")</x:f>
        <x:v>FROZEN</x:v>
      </x:c>
      <x:c r="S26" s="22" t="n">
        <x:f>SUMIFS(Ancestry!$H$7:$H$246,Ancestry!$D$7:$D$246,C26)</x:f>
        <x:v>0</x:v>
      </x:c>
      <x:c r="T26" s="22" t="n">
        <x:f>SUMIFS('G3 Gates'!$G$7:$G$286,'G3 Gates'!$D$7:$D$286,C26)</x:f>
        <x:v>0</x:v>
      </x:c>
      <x:c r="U26" s="23" t="n">
        <x:v>0</x:v>
      </x:c>
      <x:c r="V26" s="22" t="str">
        <x:f>IF(AND(R26="FROZEN",S26=Controls!$D$15,T26=Controls!$D$16,U26=0),"RELEASED","HOLD")</x:f>
        <x:v>HOLD</x:v>
      </x:c>
      <x:c r="W26" s="34" t="n">
        <x:v>11.175132761678244</x:v>
      </x:c>
    </x:row>
    <x:row r="27"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</x:row>
    <x:row r="28"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</x:row>
    <x:row r="29"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</x:row>
    <x:row r="30"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</x:row>
    <x:row r="31"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</x:row>
    <x:row r="32"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</x:row>
    <x:row r="33"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</x:row>
    <x:row r="34"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</x:row>
  </x:sheetData>
  <x:conditionalFormatting sqref="R7:R26">
    <x:cfRule type="containsText" dxfId="0" priority="1" operator="containsText" text="DRAFT"/>
  </x:conditionalFormatting>
  <x:conditionalFormatting sqref="V7:V26">
    <x:cfRule type="containsText" dxfId="1" priority="2" operator="containsText" text="RELEASED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3" max="3" width="13" hidden="0" customWidth="1"/>
    <x:col min="4" max="4" width="13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  <x:col min="12" max="12" width="30" hidden="0" customWidth="1"/>
    <x:col min="13" max="13" width="30" hidden="0" customWidth="1"/>
    <x:col min="14" max="14" width="30" hidden="0" customWidth="1"/>
    <x:col min="15" max="15" width="30" hidden="0" customWidth="1"/>
    <x:col min="16" max="16" width="30" hidden="0" customWidth="1"/>
  </x:cols>
  <x:sheetData>
    <x:row r="1"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48"/>
      <x:c r="R1" s="48"/>
      <x:c r="S1" s="48"/>
      <x:c r="T1" s="48"/>
      <x:c r="U1" s="48"/>
      <x:c r="V1" s="48"/>
      <x:c r="W1" s="48"/>
    </x:row>
    <x:row r="2">
      <x:c r="C2" s="3" t="str">
        <x:v>Twenty controlled mechanism vectors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48"/>
      <x:c r="R2" s="48"/>
      <x:c r="S2" s="48"/>
      <x:c r="T2" s="48"/>
      <x:c r="U2" s="48"/>
      <x:c r="V2" s="48"/>
      <x:c r="W2" s="48"/>
    </x:row>
    <x:row r="3">
      <x:c r="C3" s="5" t="str">
        <x:v>Twelve physical and industrial domains distinguish each complete root.</x:v>
      </x:c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49"/>
      <x:c r="R3" s="49"/>
      <x:c r="S3" s="49"/>
      <x:c r="T3" s="49"/>
      <x:c r="U3" s="49"/>
      <x:c r="V3" s="49"/>
      <x:c r="W3" s="49"/>
    </x:row>
    <x:row r="4"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48"/>
      <x:c r="R4" s="48"/>
      <x:c r="S4" s="48"/>
      <x:c r="T4" s="48"/>
      <x:c r="U4" s="48"/>
      <x:c r="V4" s="48"/>
      <x:c r="W4" s="48"/>
    </x:row>
    <x:row r="5"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48"/>
      <x:c r="R5" s="48"/>
      <x:c r="S5" s="48"/>
      <x:c r="T5" s="48"/>
      <x:c r="U5" s="48"/>
      <x:c r="V5" s="48"/>
      <x:c r="W5" s="48"/>
    </x:row>
    <x:row r="6">
      <x:c r="C6" s="17" t="str">
        <x:v>Root</x:v>
      </x:c>
      <x:c r="D6" s="18" t="str">
        <x:v>System</x:v>
      </x:c>
      <x:c r="E6" s="18" t="str">
        <x:v>Force path</x:v>
      </x:c>
      <x:c r="F6" s="18" t="str">
        <x:v>Access field</x:v>
      </x:c>
      <x:c r="G6" s="18" t="str">
        <x:v>Energy path</x:v>
      </x:c>
      <x:c r="H6" s="18" t="str">
        <x:v>Working medium</x:v>
      </x:c>
      <x:c r="I6" s="18" t="str">
        <x:v>Process locus</x:v>
      </x:c>
      <x:c r="J6" s="18" t="str">
        <x:v>Spatial topology</x:v>
      </x:c>
      <x:c r="K6" s="18" t="str">
        <x:v>Control distribution</x:v>
      </x:c>
      <x:c r="L6" s="18" t="str">
        <x:v>Perception and time</x:v>
      </x:c>
      <x:c r="M6" s="18" t="str">
        <x:v>Public-service seam</x:v>
      </x:c>
      <x:c r="N6" s="18" t="str">
        <x:v>Production process</x:v>
      </x:c>
      <x:c r="O6" s="18" t="str">
        <x:v>Repair path</x:v>
      </x:c>
      <x:c r="P6" s="18" t="str">
        <x:v>Residual path</x:v>
      </x:c>
      <x:c r="Q6" s="48"/>
      <x:c r="R6" s="48"/>
      <x:c r="S6" s="48"/>
      <x:c r="T6" s="48"/>
      <x:c r="U6" s="48"/>
      <x:c r="V6" s="48"/>
      <x:c r="W6" s="48"/>
    </x:row>
    <x:row r="7">
      <x:c r="C7" s="19" t="str">
        <x:v>MS-ET|A</x:v>
      </x:c>
      <x:c r="D7" s="19" t="str">
        <x:v>MS-ET</x:v>
      </x:c>
      <x:c r="E7" s="19" t="str">
        <x:v>hydrostatic displacement</x:v>
      </x:c>
      <x:c r="F7" s="19" t="str">
        <x:v>ocean, littoral and waterway</x:v>
      </x:c>
      <x:c r="G7" s="19" t="str">
        <x:v>fission-electric ship plant</x:v>
      </x:c>
      <x:c r="H7" s="19" t="str">
        <x:v>cargo, ballast and seawater</x:v>
      </x:c>
      <x:c r="I7" s="19" t="str">
        <x:v>afloat port and production base</x:v>
      </x:c>
      <x:c r="J7" s="19" t="str">
        <x:v>few heavy carriers with connector webs</x:v>
      </x:c>
      <x:c r="K7" s="19" t="str">
        <x:v>federated vessel command</x:v>
      </x:c>
      <x:c r="L7" s="19" t="str">
        <x:v>local hydrographic and structural mesh</x:v>
      </x:c>
      <x:c r="M7" s="19" t="str">
        <x:v>port or causeway custody gate</x:v>
      </x:c>
      <x:c r="N7" s="19" t="str">
        <x:v>modular shipyard steel-cell line</x:v>
      </x:c>
      <x:c r="O7" s="19" t="str">
        <x:v>wet-dock exchange and shipyard depot</x:v>
      </x:c>
      <x:c r="P7" s="21" t="str">
        <x:v>seaward backhaul and restored-port handoff</x:v>
      </x:c>
      <x:c r="Q7" s="48"/>
      <x:c r="R7" s="48"/>
      <x:c r="S7" s="48"/>
      <x:c r="T7" s="48"/>
      <x:c r="U7" s="48"/>
      <x:c r="V7" s="48"/>
      <x:c r="W7" s="48"/>
    </x:row>
    <x:row r="8">
      <x:c r="C8" s="19" t="str">
        <x:v>MS-ET|B</x:v>
      </x:c>
      <x:c r="D8" s="19" t="str">
        <x:v>MS-ET</x:v>
      </x:c>
      <x:c r="E8" s="19" t="str">
        <x:v>aerostatic buoyancy and ground reaction</x:v>
      </x:c>
      <x:c r="F8" s="19" t="str">
        <x:v>air to unprepared footprint</x:v>
      </x:c>
      <x:c r="G8" s="19" t="str">
        <x:v>hydrogen-electric regenerative plant</x:v>
      </x:c>
      <x:c r="H8" s="19" t="str">
        <x:v>lift gas, water ballast and cargo</x:v>
      </x:c>
      <x:c r="I8" s="19" t="str">
        <x:v>airborne carrier with distributed feet</x:v>
      </x:c>
      <x:c r="J8" s="19" t="str">
        <x:v>aerial cranes with a sky-depot cell</x:v>
      </x:c>
      <x:c r="K8" s="19" t="str">
        <x:v>formation-local flight cells</x:v>
      </x:c>
      <x:c r="L8" s="19" t="str">
        <x:v>atmospheric lidar and landing mesh</x:v>
      </x:c>
      <x:c r="M8" s="19" t="str">
        <x:v>distributed dry-ground custody pad</x:v>
      </x:c>
      <x:c r="N8" s="19" t="str">
        <x:v>composite pressure-cell aerostructures</x:v>
      </x:c>
      <x:c r="O8" s="19" t="str">
        <x:v>pod-swap flight-line arsenal</x:v>
      </x:c>
      <x:c r="P8" s="21" t="str">
        <x:v>reverse airlift and lift-medium recovery</x:v>
      </x:c>
      <x:c r="Q8" s="48"/>
      <x:c r="R8" s="48"/>
      <x:c r="S8" s="48"/>
      <x:c r="T8" s="48"/>
      <x:c r="U8" s="48"/>
      <x:c r="V8" s="48"/>
      <x:c r="W8" s="48"/>
    </x:row>
    <x:row r="9">
      <x:c r="C9" s="19" t="str">
        <x:v>MS-ET|C</x:v>
      </x:c>
      <x:c r="D9" s="19" t="str">
        <x:v>MS-ET</x:v>
      </x:c>
      <x:c r="E9" s="19" t="str">
        <x:v>distributed track contact and bridging</x:v>
      </x:c>
      <x:c r="F9" s="19" t="str">
        <x:v>road, rail and overland corridor</x:v>
      </x:c>
      <x:c r="G9" s="19" t="str">
        <x:v>multi-fuel electric traction</x:v>
      </x:c>
      <x:c r="H9" s="19" t="str">
        <x:v>cargo, bridge and bearing material</x:v>
      </x:c>
      <x:c r="I9" s="19" t="str">
        <x:v>moving surface train and workfront</x:v>
      </x:c>
      <x:c r="J9" s="19" t="str">
        <x:v>coupled heavy crawlers with route cells</x:v>
      </x:c>
      <x:c r="K9" s="19" t="str">
        <x:v>crewed command with supervised autonomy</x:v>
      </x:c>
      <x:c r="L9" s="19" t="str">
        <x:v>edge geotechnical route model</x:v>
      </x:c>
      <x:c r="M9" s="19" t="str">
        <x:v>released dry corridor and node</x:v>
      </x:c>
      <x:c r="N9" s="19" t="str">
        <x:v>heavy-machine and bridge-module lines</x:v>
      </x:c>
      <x:c r="O9" s="19" t="str">
        <x:v>field exchange with mobile depot</x:v>
      </x:c>
      <x:c r="P9" s="21" t="str">
        <x:v>route salvage, material reuse and handback</x:v>
      </x:c>
      <x:c r="Q9" s="48"/>
      <x:c r="R9" s="48"/>
      <x:c r="S9" s="48"/>
      <x:c r="T9" s="48"/>
      <x:c r="U9" s="48"/>
      <x:c r="V9" s="48"/>
      <x:c r="W9" s="48"/>
    </x:row>
    <x:row r="10">
      <x:c r="C10" s="19" t="str">
        <x:v>MS-ET|D</x:v>
      </x:c>
      <x:c r="D10" s="19" t="str">
        <x:v>MS-ET</x:v>
      </x:c>
      <x:c r="E10" s="19" t="str">
        <x:v>distributed buoyancy, wheel and leg contact</x:v>
      </x:c>
      <x:c r="F10" s="19" t="str">
        <x:v>surf, river, floodwater and street</x:v>
      </x:c>
      <x:c r="G10" s="19" t="str">
        <x:v>battery and synthetic-fuel hybrid</x:v>
      </x:c>
      <x:c r="H10" s="19" t="str">
        <x:v>sealed custody capsules</x:v>
      </x:c>
      <x:c r="I10" s="19" t="str">
        <x:v>distributed moving service nodes</x:v>
      </x:c>
      <x:c r="J10" s="19" t="str">
        <x:v>large autonomous amphibious mesh</x:v>
      </x:c>
      <x:c r="K10" s="19" t="str">
        <x:v>peer local autonomy with human release</x:v>
      </x:c>
      <x:c r="L10" s="19" t="str">
        <x:v>cooperative land-water perception</x:v>
      </x:c>
      <x:c r="M10" s="19" t="str">
        <x:v>many staffed civic micro-receivers</x:v>
      </x:c>
      <x:c r="N10" s="19" t="str">
        <x:v>high-rate robotic composite cells</x:v>
      </x:c>
      <x:c r="O10" s="19" t="str">
        <x:v>swarm cannibalization and local remanufacture</x:v>
      </x:c>
      <x:c r="P10" s="21" t="str">
        <x:v>capsule return and vehicle self-recovery</x:v>
      </x:c>
      <x:c r="Q10" s="48"/>
      <x:c r="R10" s="48"/>
      <x:c r="S10" s="48"/>
      <x:c r="T10" s="48"/>
      <x:c r="U10" s="48"/>
      <x:c r="V10" s="48"/>
      <x:c r="W10" s="48"/>
    </x:row>
    <x:row r="11">
      <x:c r="C11" s="19" t="str">
        <x:v>MS-CT|A</x:v>
      </x:c>
      <x:c r="D11" s="19" t="str">
        <x:v>MS-CT</x:v>
      </x:c>
      <x:c r="E11" s="19" t="str">
        <x:v>prepared socket and microgrid support</x:v>
      </x:c>
      <x:c r="F11" s="19" t="str">
        <x:v>curb, entrance and public counter</x:v>
      </x:c>
      <x:c r="G11" s="19" t="str">
        <x:v>grid-forming battery and fuel cell</x:v>
      </x:c>
      <x:c r="H11" s="19" t="str">
        <x:v>authority, records and service packets</x:v>
      </x:c>
      <x:c r="I11" s="19" t="str">
        <x:v>staffed neighborhood edge hubs</x:v>
      </x:c>
      <x:c r="J11" s="19" t="str">
        <x:v>dense federated civic nodes</x:v>
      </x:c>
      <x:c r="K11" s="19" t="str">
        <x:v>local civil node councils</x:v>
      </x:c>
      <x:c r="L11" s="19" t="str">
        <x:v>offline resident and incident ledgers</x:v>
      </x:c>
      <x:c r="M11" s="19" t="str">
        <x:v>accessible staffed public transaction</x:v>
      </x:c>
      <x:c r="N11" s="19" t="str">
        <x:v>standard civic utility-node line</x:v>
      </x:c>
      <x:c r="O11" s="19" t="str">
        <x:v>exchangeable node cores</x:v>
      </x:c>
      <x:c r="P11" s="21" t="str">
        <x:v>case closure and node transfer or removal</x:v>
      </x:c>
      <x:c r="Q11" s="48"/>
      <x:c r="R11" s="48"/>
      <x:c r="S11" s="48"/>
      <x:c r="T11" s="48"/>
      <x:c r="U11" s="48"/>
      <x:c r="V11" s="48"/>
      <x:c r="W11" s="48"/>
    </x:row>
    <x:row r="12">
      <x:c r="C12" s="19" t="str">
        <x:v>MS-CT|B</x:v>
      </x:c>
      <x:c r="D12" s="19" t="str">
        <x:v>MS-CT</x:v>
      </x:c>
      <x:c r="E12" s="19" t="str">
        <x:v>aerodynamic lift and facade adhesion</x:v>
      </x:c>
      <x:c r="F12" s="19" t="str">
        <x:v>roof, window, facade and vertical void</x:v>
      </x:c>
      <x:c r="G12" s="19" t="str">
        <x:v>electric flight and tether microgrid</x:v>
      </x:c>
      <x:c r="H12" s="19" t="str">
        <x:v>people, packets, sensors and priority goods</x:v>
      </x:c>
      <x:c r="I12" s="19" t="str">
        <x:v>mobile aerial and facade work cells</x:v>
      </x:c>
      <x:c r="J12" s="19" t="str">
        <x:v>flight cells paired with climbing robots</x:v>
      </x:c>
      <x:c r="K12" s="19" t="str">
        <x:v>airspace cells with human access authority</x:v>
      </x:c>
      <x:c r="L12" s="19" t="str">
        <x:v>volumetric building map</x:v>
      </x:c>
      <x:c r="M12" s="19" t="str">
        <x:v>verified doorstep or window handoff</x:v>
      </x:c>
      <x:c r="N12" s="19" t="str">
        <x:v>aerospace and compliant-robotics lines</x:v>
      </x:c>
      <x:c r="O12" s="19" t="str">
        <x:v>pod exchange and tether recovery</x:v>
      </x:c>
      <x:c r="P12" s="21" t="str">
        <x:v>reverse lift and decontamination</x:v>
      </x:c>
      <x:c r="Q12" s="48"/>
      <x:c r="R12" s="48"/>
      <x:c r="S12" s="48"/>
      <x:c r="T12" s="48"/>
      <x:c r="U12" s="48"/>
      <x:c r="V12" s="48"/>
      <x:c r="W12" s="48"/>
    </x:row>
    <x:row r="13">
      <x:c r="C13" s="19" t="str">
        <x:v>MS-CT|C</x:v>
      </x:c>
      <x:c r="D13" s="19" t="str">
        <x:v>MS-CT</x:v>
      </x:c>
      <x:c r="E13" s="19" t="str">
        <x:v>structure-borne anchoring and tension</x:v>
      </x:c>
      <x:c r="F13" s="19" t="str">
        <x:v>robotic bore, shaft and facade trunk</x:v>
      </x:c>
      <x:c r="G13" s="19" t="str">
        <x:v>building-coupled HVDC and thermal bus</x:v>
      </x:c>
      <x:c r="H13" s="19" t="str">
        <x:v>water, power, data and wastewater</x:v>
      </x:c>
      <x:c r="I13" s="19" t="str">
        <x:v>building-integrated service spine</x:v>
      </x:c>
      <x:c r="J13" s="19" t="str">
        <x:v>few high-capacity trunks with branches</x:v>
      </x:c>
      <x:c r="K13" s="19" t="str">
        <x:v>building-local physical interlocks</x:v>
      </x:c>
      <x:c r="L13" s="19" t="str">
        <x:v>structural and utility fiber</x:v>
      </x:c>
      <x:c r="M13" s="19" t="str">
        <x:v>occupied-room and clinic branch point</x:v>
      </x:c>
      <x:c r="N13" s="19" t="str">
        <x:v>continuous flexible conduit and spine line</x:v>
      </x:c>
      <x:c r="O13" s="19" t="str">
        <x:v>bypass rings and hot-swappable branches</x:v>
      </x:c>
      <x:c r="P13" s="21" t="str">
        <x:v>wastewater and cut-material custody</x:v>
      </x:c>
      <x:c r="Q13" s="48"/>
      <x:c r="R13" s="48"/>
      <x:c r="S13" s="48"/>
      <x:c r="T13" s="48"/>
      <x:c r="U13" s="48"/>
      <x:c r="V13" s="48"/>
      <x:c r="W13" s="48"/>
    </x:row>
    <x:row r="14">
      <x:c r="C14" s="19" t="str">
        <x:v>MS-CT|D</x:v>
      </x:c>
      <x:c r="D14" s="19" t="str">
        <x:v>MS-CT</x:v>
      </x:c>
      <x:c r="E14" s="19" t="str">
        <x:v>micro-wheel, leg and rotor contact</x:v>
      </x:c>
      <x:c r="F14" s="19" t="str">
        <x:v>stairs, alleys, voids and curbs</x:v>
      </x:c>
      <x:c r="G14" s="19" t="str">
        <x:v>distributed battery with local recharge</x:v>
      </x:c>
      <x:c r="H14" s="19" t="str">
        <x:v>small goods, tools, sensors and receipts</x:v>
      </x:c>
      <x:c r="I14" s="19" t="str">
        <x:v>endpoint work by heterogeneous machines</x:v>
      </x:c>
      <x:c r="J14" s="19" t="str">
        <x:v>many small machines with staffed cells</x:v>
      </x:c>
      <x:c r="K14" s="19" t="str">
        <x:v>task market with local human veto</x:v>
      </x:c>
      <x:c r="L14" s="19" t="str">
        <x:v>cooperative local mapping</x:v>
      </x:c>
      <x:c r="M14" s="19" t="str">
        <x:v>person-confirmed delivery and case receipt</x:v>
      </x:c>
      <x:c r="N14" s="19" t="str">
        <x:v>regional high-rate small-machine lines</x:v>
      </x:c>
      <x:c r="O14" s="19" t="str">
        <x:v>field cannibalization and local printing</x:v>
      </x:c>
      <x:c r="P14" s="21" t="str">
        <x:v>machine return and waste pickup</x:v>
      </x:c>
      <x:c r="Q14" s="48"/>
      <x:c r="R14" s="48"/>
      <x:c r="S14" s="48"/>
      <x:c r="T14" s="48"/>
      <x:c r="U14" s="48"/>
      <x:c r="V14" s="48"/>
      <x:c r="W14" s="48"/>
    </x:row>
    <x:row r="15">
      <x:c r="C15" s="19" t="str">
        <x:v>MS-HC|A</x:v>
      </x:c>
      <x:c r="D15" s="19" t="str">
        <x:v>MS-HC</x:v>
      </x:c>
      <x:c r="E15" s="19" t="str">
        <x:v>aerodynamic momentum and precision deposition</x:v>
      </x:c>
      <x:c r="F15" s="19" t="str">
        <x:v>atmosphere, plume and fire edge</x:v>
      </x:c>
      <x:c r="G15" s="19" t="str">
        <x:v>synthetic-fuel hybrid turbine</x:v>
      </x:c>
      <x:c r="H15" s="19" t="str">
        <x:v>water, low-burden agent and charged aerosol</x:v>
      </x:c>
      <x:c r="I15" s="19" t="str">
        <x:v>airborne and near-plume delivery</x:v>
      </x:c>
      <x:c r="J15" s="19" t="str">
        <x:v>persistent sensing with heavy suppression cells</x:v>
      </x:c>
      <x:c r="K15" s="19" t="str">
        <x:v>sectorized airspace and local mission cells</x:v>
      </x:c>
      <x:c r="L15" s="19" t="str">
        <x:v>plume-resolving lidar, radar and weather mesh</x:v>
      </x:c>
      <x:c r="M15" s="19" t="str">
        <x:v>protected-envelope release</x:v>
      </x:c>
      <x:c r="N15" s="19" t="str">
        <x:v>heat-resistant aircraft and agent plants</x:v>
      </x:c>
      <x:c r="O15" s="19" t="str">
        <x:v>distributed airbases with engine and pod swap</x:v>
      </x:c>
      <x:c r="P15" s="21" t="str">
        <x:v>agent fate and air-quality custody</x:v>
      </x:c>
      <x:c r="Q15" s="48"/>
      <x:c r="R15" s="48"/>
      <x:c r="S15" s="48"/>
      <x:c r="T15" s="48"/>
      <x:c r="U15" s="48"/>
      <x:c r="V15" s="48"/>
      <x:c r="W15" s="48"/>
    </x:row>
    <x:row r="16">
      <x:c r="C16" s="19" t="str">
        <x:v>MS-HC|B</x:v>
      </x:c>
      <x:c r="D16" s="19" t="str">
        <x:v>MS-HC</x:v>
      </x:c>
      <x:c r="E16" s="19" t="str">
        <x:v>hydraulic head, pressure and barrier reaction</x:v>
      </x:c>
      <x:c r="F16" s="19" t="str">
        <x:v>river, basin, sewer and industrial channel</x:v>
      </x:c>
      <x:c r="G16" s="19" t="str">
        <x:v>grid-forming electric drive and turbines</x:v>
      </x:c>
      <x:c r="H16" s="19" t="str">
        <x:v>water, slurry, foam and contaminated flow</x:v>
      </x:c>
      <x:c r="I16" s="19" t="str">
        <x:v>distributed pumps, manifolds and barriers</x:v>
      </x:c>
      <x:c r="J16" s="19" t="str">
        <x:v>reconfigurable megaflow lattice</x:v>
      </x:c>
      <x:c r="K16" s="19" t="str">
        <x:v>local hydraulic-state controllers</x:v>
      </x:c>
      <x:c r="L16" s="19" t="str">
        <x:v>pressure, stage and contaminant mesh</x:v>
      </x:c>
      <x:c r="M16" s="19" t="str">
        <x:v>basin and receiving-water release</x:v>
      </x:c>
      <x:c r="N16" s="19" t="str">
        <x:v>pump, pipe, valve and membrane works</x:v>
      </x:c>
      <x:c r="O16" s="19" t="str">
        <x:v>wet-end exchange with bypass paths</x:v>
      </x:c>
      <x:c r="P16" s="21" t="str">
        <x:v>treatment and receiving-water custody</x:v>
      </x:c>
      <x:c r="Q16" s="48"/>
      <x:c r="R16" s="48"/>
      <x:c r="S16" s="48"/>
      <x:c r="T16" s="48"/>
      <x:c r="U16" s="48"/>
      <x:c r="V16" s="48"/>
      <x:c r="W16" s="48"/>
    </x:row>
    <x:row r="17">
      <x:c r="C17" s="19" t="str">
        <x:v>MS-HC|C</x:v>
      </x:c>
      <x:c r="D17" s="19" t="str">
        <x:v>MS-HC</x:v>
      </x:c>
      <x:c r="E17" s="19" t="str">
        <x:v>ground reaction, cutting and compaction</x:v>
      </x:c>
      <x:c r="F17" s="19" t="str">
        <x:v>rubble, soil, vegetation and fireline</x:v>
      </x:c>
      <x:c r="G17" s="19" t="str">
        <x:v>synthetic-fuel electric work machines</x:v>
      </x:c>
      <x:c r="H17" s="19" t="str">
        <x:v>soil, debris and vegetation</x:v>
      </x:c>
      <x:c r="I17" s="19" t="str">
        <x:v>distributed hazardous workfronts</x:v>
      </x:c>
      <x:c r="J17" s="19" t="str">
        <x:v>heavy optionally crewed machine battalions</x:v>
      </x:c>
      <x:c r="K17" s="19" t="str">
        <x:v>local supervisor with machine safe-stop</x:v>
      </x:c>
      <x:c r="L17" s="19" t="str">
        <x:v>geotechnical and hazard perception</x:v>
      </x:c>
      <x:c r="M17" s="19" t="str">
        <x:v>verified line, route and safe-zone release</x:v>
      </x:c>
      <x:c r="N17" s="19" t="str">
        <x:v>heavy-machine arsenals</x:v>
      </x:c>
      <x:c r="O17" s="19" t="str">
        <x:v>mobile shops and module exchange</x:v>
      </x:c>
      <x:c r="P17" s="21" t="str">
        <x:v>sorted material routes with custody</x:v>
      </x:c>
      <x:c r="Q17" s="48"/>
      <x:c r="R17" s="48"/>
      <x:c r="S17" s="48"/>
      <x:c r="T17" s="48"/>
      <x:c r="U17" s="48"/>
      <x:c r="V17" s="48"/>
      <x:c r="W17" s="48"/>
    </x:row>
    <x:row r="18">
      <x:c r="C18" s="19" t="str">
        <x:v>MS-HC|D</x:v>
      </x:c>
      <x:c r="D18" s="19" t="str">
        <x:v>MS-HC</x:v>
      </x:c>
      <x:c r="E18" s="19" t="str">
        <x:v>distributed micro-barrier and actuator reaction</x:v>
      </x:c>
      <x:c r="F18" s="19" t="str">
        <x:v>perimeter, catchment and structure envelope</x:v>
      </x:c>
      <x:c r="G18" s="19" t="str">
        <x:v>harvested power and mesh microgrids</x:v>
      </x:c>
      <x:c r="H18" s="19" t="str">
        <x:v>local heat, water and debris flux</x:v>
      </x:c>
      <x:c r="I18" s="19" t="str">
        <x:v>rapidly laid terrain-embedded field</x:v>
      </x:c>
      <x:c r="J18" s="19" t="str">
        <x:v>many sensor-actuator nodes</x:v>
      </x:c>
      <x:c r="K18" s="19" t="str">
        <x:v>bounded local policies with safety quorum</x:v>
      </x:c>
      <x:c r="L18" s="19" t="str">
        <x:v>node-native multi-physics state</x:v>
      </x:c>
      <x:c r="M18" s="19" t="str">
        <x:v>zone-by-zone boundary release</x:v>
      </x:c>
      <x:c r="N18" s="19" t="str">
        <x:v>semiconductor and robotic-deployer lines</x:v>
      </x:c>
      <x:c r="O18" s="19" t="str">
        <x:v>self-identifying node replacement</x:v>
      </x:c>
      <x:c r="P18" s="21" t="str">
        <x:v>complete node retrieval and material trace</x:v>
      </x:c>
      <x:c r="Q18" s="48"/>
      <x:c r="R18" s="48"/>
      <x:c r="S18" s="48"/>
      <x:c r="T18" s="48"/>
      <x:c r="U18" s="48"/>
      <x:c r="V18" s="48"/>
      <x:c r="W18" s="48"/>
    </x:row>
    <x:row r="19">
      <x:c r="C19" s="19" t="str">
        <x:v>MS-HU|A</x:v>
      </x:c>
      <x:c r="D19" s="19" t="str">
        <x:v>MS-HU</x:v>
      </x:c>
      <x:c r="E19" s="19" t="str">
        <x:v>installed modular structure and clinical process</x:v>
      </x:c>
      <x:c r="F19" s="19" t="str">
        <x:v>prepared or rapidly built campus</x:v>
      </x:c>
      <x:c r="G19" s="19" t="str">
        <x:v>high-reliability fuel-cell microgrid</x:v>
      </x:c>
      <x:c r="H19" s="19" t="str">
        <x:v>patients, air, fluids, medicines and data</x:v>
      </x:c>
      <x:c r="I19" s="19" t="str">
        <x:v>concentrated clinical campus</x:v>
      </x:c>
      <x:c r="J19" s="19" t="str">
        <x:v>few large modular clinical hubs</x:v>
      </x:c>
      <x:c r="K19" s="19" t="str">
        <x:v>clinical command and regulated bed-state</x:v>
      </x:c>
      <x:c r="L19" s="19" t="str">
        <x:v>local patient and environment state</x:v>
      </x:c>
      <x:c r="M19" s="19" t="str">
        <x:v>referral, admission and discharge gate</x:v>
      </x:c>
      <x:c r="N19" s="19" t="str">
        <x:v>regulated clinical-module factories</x:v>
      </x:c>
      <x:c r="O19" s="19" t="str">
        <x:v>sterile module swap and biomedical depot</x:v>
      </x:c>
      <x:c r="P19" s="21" t="str">
        <x:v>regulated waste and discharge network</x:v>
      </x:c>
      <x:c r="Q19" s="48"/>
      <x:c r="R19" s="48"/>
      <x:c r="S19" s="48"/>
      <x:c r="T19" s="48"/>
      <x:c r="U19" s="48"/>
      <x:c r="V19" s="48"/>
      <x:c r="W19" s="48"/>
    </x:row>
    <x:row r="20">
      <x:c r="C20" s="19" t="str">
        <x:v>MS-HU|B</x:v>
      </x:c>
      <x:c r="D20" s="19" t="str">
        <x:v>MS-HU</x:v>
      </x:c>
      <x:c r="E20" s="19" t="str">
        <x:v>building-embedded support and local labor</x:v>
      </x:c>
      <x:c r="F20" s="19" t="str">
        <x:v>homes and civic buildings block by block</x:v>
      </x:c>
      <x:c r="G20" s="19" t="str">
        <x:v>building microgrids with thermal storage</x:v>
      </x:c>
      <x:c r="H20" s="19" t="str">
        <x:v>household bundles, care and essential goods</x:v>
      </x:c>
      <x:c r="I20" s="19" t="str">
        <x:v>existing neighborhood service nodes</x:v>
      </x:c>
      <x:c r="J20" s="19" t="str">
        <x:v>dense distributed care cells</x:v>
      </x:c>
      <x:c r="K20" s="19" t="str">
        <x:v>local care teams under plural clinical authority</x:v>
      </x:c>
      <x:c r="L20" s="19" t="str">
        <x:v>person-held offline continuity record</x:v>
      </x:c>
      <x:c r="M20" s="19" t="str">
        <x:v>doorstep and community receiver</x:v>
      </x:c>
      <x:c r="N20" s="19" t="str">
        <x:v>care kits and regional service-cell lines</x:v>
      </x:c>
      <x:c r="O20" s="19" t="str">
        <x:v>neighborhood exchange stock</x:v>
      </x:c>
      <x:c r="P20" s="21" t="str">
        <x:v>household waste, reuse and case closure</x:v>
      </x:c>
      <x:c r="Q20" s="48"/>
      <x:c r="R20" s="48"/>
      <x:c r="S20" s="48"/>
      <x:c r="T20" s="48"/>
      <x:c r="U20" s="48"/>
      <x:c r="V20" s="48"/>
      <x:c r="W20" s="48"/>
    </x:row>
    <x:row r="21">
      <x:c r="C21" s="19" t="str">
        <x:v>MS-HU|C</x:v>
      </x:c>
      <x:c r="D21" s="19" t="str">
        <x:v>MS-HU</x:v>
      </x:c>
      <x:c r="E21" s="19" t="str">
        <x:v>road, air and water mobile-module support</x:v>
      </x:c>
      <x:c r="F21" s="19" t="str">
        <x:v>multimodal moving care network</x:v>
      </x:c>
      <x:c r="G21" s="19" t="str">
        <x:v>synthetic-fuel electric vehicle microgrids</x:v>
      </x:c>
      <x:c r="H21" s="19" t="str">
        <x:v>patients, clinical teams and care modules</x:v>
      </x:c>
      <x:c r="I21" s="19" t="str">
        <x:v>moving care vehicles and transfer hubs</x:v>
      </x:c>
      <x:c r="J21" s="19" t="str">
        <x:v>many mobile echelons with regulation nodes</x:v>
      </x:c>
      <x:c r="K21" s="19" t="str">
        <x:v>patient-regulation graph with clinical veto</x:v>
      </x:c>
      <x:c r="L21" s="19" t="str">
        <x:v>mobile diagnostics and route state</x:v>
      </x:c>
      <x:c r="M21" s="19" t="str">
        <x:v>accepted origin-to-destination journey</x:v>
      </x:c>
      <x:c r="N21" s="19" t="str">
        <x:v>vehicle and clinical-pod lines</x:v>
      </x:c>
      <x:c r="O21" s="19" t="str">
        <x:v>fleet depot and pod exchange</x:v>
      </x:c>
      <x:c r="P21" s="21" t="str">
        <x:v>reverse clinical logistics</x:v>
      </x:c>
      <x:c r="Q21" s="48"/>
      <x:c r="R21" s="48"/>
      <x:c r="S21" s="48"/>
      <x:c r="T21" s="48"/>
      <x:c r="U21" s="48"/>
      <x:c r="V21" s="48"/>
      <x:c r="W21" s="48"/>
    </x:row>
    <x:row r="22">
      <x:c r="C22" s="19" t="str">
        <x:v>MS-HU|D</x:v>
      </x:c>
      <x:c r="D22" s="19" t="str">
        <x:v>MS-HU</x:v>
      </x:c>
      <x:c r="E22" s="19" t="str">
        <x:v>robotic structure and utility insertion</x:v>
      </x:c>
      <x:c r="F22" s="19" t="str">
        <x:v>surveyed hotels, schools and commercial buildings</x:v>
      </x:c>
      <x:c r="G22" s="19" t="str">
        <x:v>temporary grid-forming utility spine</x:v>
      </x:c>
      <x:c r="H22" s="19" t="str">
        <x:v>occupied environment and service modules</x:v>
      </x:c>
      <x:c r="I22" s="19" t="str">
        <x:v>converted local host buildings</x:v>
      </x:c>
      <x:c r="J22" s="19" t="str">
        <x:v>portfolio of reversible host conversions</x:v>
      </x:c>
      <x:c r="K22" s="19" t="str">
        <x:v>occupancy and service release cells</x:v>
      </x:c>
      <x:c r="L22" s="19" t="str">
        <x:v>automated structural and environmental qualification</x:v>
      </x:c>
      <x:c r="M22" s="19" t="str">
        <x:v>lawful occupancy and bundle admission</x:v>
      </x:c>
      <x:c r="N22" s="19" t="str">
        <x:v>conversion kits and local digital fabrication</x:v>
      </x:c>
      <x:c r="O22" s="19" t="str">
        <x:v>reversible bypass and host reset</x:v>
      </x:c>
      <x:c r="P22" s="21" t="str">
        <x:v>restore host and recover installed material</x:v>
      </x:c>
      <x:c r="Q22" s="48"/>
      <x:c r="R22" s="48"/>
      <x:c r="S22" s="48"/>
      <x:c r="T22" s="48"/>
      <x:c r="U22" s="48"/>
      <x:c r="V22" s="48"/>
      <x:c r="W22" s="48"/>
    </x:row>
    <x:row r="23">
      <x:c r="C23" s="19" t="str">
        <x:v>MS-RT|A</x:v>
      </x:c>
      <x:c r="D23" s="19" t="str">
        <x:v>MS-RT</x:v>
      </x:c>
      <x:c r="E23" s="19" t="str">
        <x:v>stored mass and fixed industrial-line capacity</x:v>
      </x:c>
      <x:c r="F23" s="19" t="str">
        <x:v>rail, port and heavy road</x:v>
      </x:c>
      <x:c r="G23" s="19" t="str">
        <x:v>firm grid with onsite turbine islands</x:v>
      </x:c>
      <x:c r="H23" s="19" t="str">
        <x:v>stocks, spares, repairables and tooling</x:v>
      </x:c>
      <x:c r="I23" s="19" t="str">
        <x:v>large hardened arsenal complex</x:v>
      </x:c>
      <x:c r="J23" s="19" t="str">
        <x:v>few deep bases with separate issue cells</x:v>
      </x:c>
      <x:c r="K23" s="19" t="str">
        <x:v>configuration authority at the arsenal</x:v>
      </x:c>
      <x:c r="L23" s="19" t="str">
        <x:v>serialized inventory and metrology</x:v>
      </x:c>
      <x:c r="M23" s="19" t="str">
        <x:v>complete-stack issue and return gate</x:v>
      </x:c>
      <x:c r="N23" s="19" t="str">
        <x:v>heavy multiprocess rebuild lines</x:v>
      </x:c>
      <x:c r="O23" s="19" t="str">
        <x:v>depot overhaul and recertification</x:v>
      </x:c>
      <x:c r="P23" s="21" t="str">
        <x:v>segregated return and quarantine yards</x:v>
      </x:c>
      <x:c r="Q23" s="48"/>
      <x:c r="R23" s="48"/>
      <x:c r="S23" s="48"/>
      <x:c r="T23" s="48"/>
      <x:c r="U23" s="48"/>
      <x:c r="V23" s="48"/>
      <x:c r="W23" s="48"/>
    </x:row>
    <x:row r="24">
      <x:c r="C24" s="19" t="str">
        <x:v>MS-RT|B</x:v>
      </x:c>
      <x:c r="D24" s="19" t="str">
        <x:v>MS-RT</x:v>
      </x:c>
      <x:c r="E24" s="19" t="str">
        <x:v>additive, subtractive and chemical conversion</x:v>
      </x:c>
      <x:c r="F24" s="19" t="str">
        <x:v>small regional industrial nodes</x:v>
      </x:c>
      <x:c r="G24" s="19" t="str">
        <x:v>electric and thermal node microgrids</x:v>
      </x:c>
      <x:c r="H24" s="19" t="str">
        <x:v>feedstock and signed build packages</x:v>
      </x:c>
      <x:c r="I24" s="19" t="str">
        <x:v>near-demand disconnected microfactories</x:v>
      </x:c>
      <x:c r="J24" s="19" t="str">
        <x:v>many small reconfigurable production cells</x:v>
      </x:c>
      <x:c r="K24" s="19" t="str">
        <x:v>signed build records with local execution</x:v>
      </x:c>
      <x:c r="L24" s="19" t="str">
        <x:v>in-process metrology and material state</x:v>
      </x:c>
      <x:c r="M24" s="19" t="str">
        <x:v>qualified replacement at point of need</x:v>
      </x:c>
      <x:c r="N24" s="19" t="str">
        <x:v>multi-process reconfigurable cells</x:v>
      </x:c>
      <x:c r="O24" s="19" t="str">
        <x:v>cell replication and transferable tooling</x:v>
      </x:c>
      <x:c r="P24" s="21" t="str">
        <x:v>local feedstock recovery</x:v>
      </x:c>
      <x:c r="Q24" s="48"/>
      <x:c r="R24" s="48"/>
      <x:c r="S24" s="48"/>
      <x:c r="T24" s="48"/>
      <x:c r="U24" s="48"/>
      <x:c r="V24" s="48"/>
      <x:c r="W24" s="48"/>
    </x:row>
    <x:row r="25">
      <x:c r="C25" s="19" t="str">
        <x:v>MS-RT|C</x:v>
      </x:c>
      <x:c r="D25" s="19" t="str">
        <x:v>MS-RT</x:v>
      </x:c>
      <x:c r="E25" s="19" t="str">
        <x:v>reverse logistics, disassembly and restoration</x:v>
      </x:c>
      <x:c r="F25" s="19" t="str">
        <x:v>civil freight and exchange network</x:v>
      </x:c>
      <x:c r="G25" s="19" t="str">
        <x:v>electrified depot microgrids</x:v>
      </x:c>
      <x:c r="H25" s="19" t="str">
        <x:v>repairable cores and graded material pools</x:v>
      </x:c>
      <x:c r="I25" s="19" t="str">
        <x:v>distributed exchange and remanufacture depots</x:v>
      </x:c>
      <x:c r="J25" s="19" t="str">
        <x:v>hub-and-spoke circular service market</x:v>
      </x:c>
      <x:c r="K25" s="19" t="str">
        <x:v>public custody, warranty and release ledger</x:v>
      </x:c>
      <x:c r="L25" s="19" t="str">
        <x:v>condition grading and nondestructive test</x:v>
      </x:c>
      <x:c r="M25" s="19" t="str">
        <x:v>exchange guarantee and core acceptance</x:v>
      </x:c>
      <x:c r="N25" s="19" t="str">
        <x:v>remanufacture cells using recovered cores</x:v>
      </x:c>
      <x:c r="O25" s="19" t="str">
        <x:v>certified core swap</x:v>
      </x:c>
      <x:c r="P25" s="21" t="str">
        <x:v>graded reuse, recycle and disposal</x:v>
      </x:c>
      <x:c r="Q25" s="48"/>
      <x:c r="R25" s="48"/>
      <x:c r="S25" s="48"/>
      <x:c r="T25" s="48"/>
      <x:c r="U25" s="48"/>
      <x:c r="V25" s="48"/>
      <x:c r="W25" s="48"/>
    </x:row>
    <x:row r="26">
      <x:c r="C26" s="22" t="str">
        <x:v>MS-RT|D</x:v>
      </x:c>
      <x:c r="D26" s="22" t="str">
        <x:v>MS-RT</x:v>
      </x:c>
      <x:c r="E26" s="22" t="str">
        <x:v>mobile processing, repair and recovery</x:v>
      </x:c>
      <x:c r="F26" s="22" t="str">
        <x:v>ocean, rail and road with the formation</x:v>
      </x:c>
      <x:c r="G26" s="22" t="str">
        <x:v>fission-electric and synthetic-fuel hybrid</x:v>
      </x:c>
      <x:c r="H26" s="22" t="str">
        <x:v>consumables, waste, water and repairables</x:v>
      </x:c>
      <x:c r="I26" s="22" t="str">
        <x:v>mobile field sustainment fleet</x:v>
      </x:c>
      <x:c r="J26" s="22" t="str">
        <x:v>moving closed-loop caravans</x:v>
      </x:c>
      <x:c r="K26" s="22" t="str">
        <x:v>mission-local sustainment command</x:v>
      </x:c>
      <x:c r="L26" s="22" t="str">
        <x:v>mass, energy and material accounting</x:v>
      </x:c>
      <x:c r="M26" s="22" t="str">
        <x:v>field issue plus residual acceptance</x:v>
      </x:c>
      <x:c r="N26" s="22" t="str">
        <x:v>mobile treatment and rebuild lines</x:v>
      </x:c>
      <x:c r="O26" s="22" t="str">
        <x:v>mobile overhaul, cleaning and sterilization</x:v>
      </x:c>
      <x:c r="P26" s="24" t="str">
        <x:v>onboard recovery with bounded backhaul</x:v>
      </x:c>
      <x:c r="Q26" s="48"/>
      <x:c r="R26" s="48"/>
      <x:c r="S26" s="48"/>
      <x:c r="T26" s="48"/>
      <x:c r="U26" s="48"/>
      <x:c r="V26" s="48"/>
      <x:c r="W26" s="48"/>
    </x:row>
    <x:row r="27"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48"/>
      <x:c r="R27" s="48"/>
      <x:c r="S27" s="48"/>
      <x:c r="T27" s="48"/>
      <x:c r="U27" s="48"/>
      <x:c r="V27" s="48"/>
      <x:c r="W27" s="48"/>
    </x:row>
    <x:row r="28"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48"/>
      <x:c r="R28" s="48"/>
      <x:c r="S28" s="48"/>
      <x:c r="T28" s="48"/>
      <x:c r="U28" s="48"/>
      <x:c r="V28" s="48"/>
      <x:c r="W28" s="48"/>
    </x:row>
    <x:row r="29"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48"/>
      <x:c r="R29" s="48"/>
      <x:c r="S29" s="48"/>
      <x:c r="T29" s="48"/>
      <x:c r="U29" s="48"/>
      <x:c r="V29" s="48"/>
      <x:c r="W29" s="48"/>
    </x:row>
    <x:row r="30"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48"/>
      <x:c r="R30" s="48"/>
      <x:c r="S30" s="48"/>
      <x:c r="T30" s="48"/>
      <x:c r="U30" s="48"/>
      <x:c r="V30" s="48"/>
      <x:c r="W30" s="48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3" max="3" width="27" hidden="0" customWidth="1"/>
    <x:col min="4" max="4" width="13" hidden="0" customWidth="1"/>
    <x:col min="5" max="5" width="13" hidden="0" customWidth="1"/>
    <x:col min="6" max="6" width="13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</x:cols>
  <x:sheetData>
    <x:row r="1"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</x:row>
    <x:row r="2">
      <x:c r="C2" s="3" t="str">
        <x:v>Within-system mechanism distance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</x:row>
    <x:row r="3">
      <x:c r="C3" s="5" t="str">
        <x:v>Every pair must differ in all four anchor domains and at least eight of twelve total domains.</x:v>
      </x:c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6"/>
      <x:c r="U3" s="6"/>
      <x:c r="V3" s="6"/>
      <x:c r="W3" s="6"/>
    </x:row>
    <x:row r="4"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</x:row>
    <x:row r="5"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</x:row>
    <x:row r="6">
      <x:c r="C6" s="17" t="str">
        <x:v>Pair</x:v>
      </x:c>
      <x:c r="D6" s="18" t="str">
        <x:v>System</x:v>
      </x:c>
      <x:c r="E6" s="18" t="str">
        <x:v>Root A</x:v>
      </x:c>
      <x:c r="F6" s="18" t="str">
        <x:v>Root B</x:v>
      </x:c>
      <x:c r="G6" s="18" t="str">
        <x:v>Force</x:v>
      </x:c>
      <x:c r="H6" s="18" t="str">
        <x:v>Access</x:v>
      </x:c>
      <x:c r="I6" s="18" t="str">
        <x:v>Energy</x:v>
      </x:c>
      <x:c r="J6" s="18" t="str">
        <x:v>Medium</x:v>
      </x:c>
      <x:c r="K6" s="18" t="str">
        <x:v>Locus</x:v>
      </x:c>
      <x:c r="L6" s="18" t="str">
        <x:v>Topology</x:v>
      </x:c>
      <x:c r="M6" s="18" t="str">
        <x:v>Control</x:v>
      </x:c>
      <x:c r="N6" s="18" t="str">
        <x:v>Perception</x:v>
      </x:c>
      <x:c r="O6" s="18" t="str">
        <x:v>Public seam</x:v>
      </x:c>
      <x:c r="P6" s="18" t="str">
        <x:v>Production</x:v>
      </x:c>
      <x:c r="Q6" s="18" t="str">
        <x:v>Repair</x:v>
      </x:c>
      <x:c r="R6" s="18" t="str">
        <x:v>Residual</x:v>
      </x:c>
      <x:c r="S6" s="18" t="str">
        <x:v>Distance</x:v>
      </x:c>
      <x:c r="T6" s="18" t="str">
        <x:v>Anchor difference</x:v>
      </x:c>
      <x:c r="U6" s="18" t="str">
        <x:v>Required distance</x:v>
      </x:c>
      <x:c r="V6" s="18" t="str">
        <x:v>Required anchors</x:v>
      </x:c>
      <x:c r="W6" s="18" t="str">
        <x:v>State</x:v>
      </x:c>
    </x:row>
    <x:row r="7">
      <x:c r="C7" s="19" t="str">
        <x:v>MS-ET|A/MS-ET|B</x:v>
      </x:c>
      <x:c r="D7" s="19" t="str">
        <x:v>MS-ET</x:v>
      </x:c>
      <x:c r="E7" s="19" t="str">
        <x:v>MS-ET|A</x:v>
      </x:c>
      <x:c r="F7" s="19" t="str">
        <x:v>MS-ET|B</x:v>
      </x:c>
      <x:c r="G7" s="19" t="n">
        <x:f>--('Mechanism Vectors'!E7&lt;&gt;'Mechanism Vectors'!E8)</x:f>
        <x:v>1</x:v>
      </x:c>
      <x:c r="H7" s="19" t="n">
        <x:f>--('Mechanism Vectors'!F7&lt;&gt;'Mechanism Vectors'!F8)</x:f>
        <x:v>1</x:v>
      </x:c>
      <x:c r="I7" s="19" t="n">
        <x:f>--('Mechanism Vectors'!G7&lt;&gt;'Mechanism Vectors'!G8)</x:f>
        <x:v>1</x:v>
      </x:c>
      <x:c r="J7" s="19" t="n">
        <x:f>--('Mechanism Vectors'!H7&lt;&gt;'Mechanism Vectors'!H8)</x:f>
        <x:v>1</x:v>
      </x:c>
      <x:c r="K7" s="19" t="n">
        <x:f>--('Mechanism Vectors'!I7&lt;&gt;'Mechanism Vectors'!I8)</x:f>
        <x:v>1</x:v>
      </x:c>
      <x:c r="L7" s="19" t="n">
        <x:f>--('Mechanism Vectors'!J7&lt;&gt;'Mechanism Vectors'!J8)</x:f>
        <x:v>1</x:v>
      </x:c>
      <x:c r="M7" s="19" t="n">
        <x:f>--('Mechanism Vectors'!K7&lt;&gt;'Mechanism Vectors'!K8)</x:f>
        <x:v>1</x:v>
      </x:c>
      <x:c r="N7" s="19" t="n">
        <x:f>--('Mechanism Vectors'!L7&lt;&gt;'Mechanism Vectors'!L8)</x:f>
        <x:v>1</x:v>
      </x:c>
      <x:c r="O7" s="19" t="n">
        <x:f>--('Mechanism Vectors'!M7&lt;&gt;'Mechanism Vectors'!M8)</x:f>
        <x:v>1</x:v>
      </x:c>
      <x:c r="P7" s="19" t="n">
        <x:f>--('Mechanism Vectors'!N7&lt;&gt;'Mechanism Vectors'!N8)</x:f>
        <x:v>1</x:v>
      </x:c>
      <x:c r="Q7" s="19" t="n">
        <x:f>--('Mechanism Vectors'!O7&lt;&gt;'Mechanism Vectors'!O8)</x:f>
        <x:v>1</x:v>
      </x:c>
      <x:c r="R7" s="19" t="n">
        <x:f>--('Mechanism Vectors'!P7&lt;&gt;'Mechanism Vectors'!P8)</x:f>
        <x:v>1</x:v>
      </x:c>
      <x:c r="S7" s="19" t="n">
        <x:f>SUM(G7:R7)</x:f>
        <x:v>12</x:v>
      </x:c>
      <x:c r="T7" s="19" t="n">
        <x:f>SUM(G7:J7)</x:f>
        <x:v>4</x:v>
      </x:c>
      <x:c r="U7" s="19" t="n">
        <x:f>Controls!D9</x:f>
        <x:v>8</x:v>
      </x:c>
      <x:c r="V7" s="19" t="n">
        <x:f>Controls!D10</x:f>
        <x:v>4</x:v>
      </x:c>
      <x:c r="W7" s="21" t="str">
        <x:f>IF(AND(S7&gt;=U7,T7=V7),"PASS","FAIL")</x:f>
        <x:v>PASS</x:v>
      </x:c>
    </x:row>
    <x:row r="8">
      <x:c r="C8" s="19" t="str">
        <x:v>MS-ET|A/MS-ET|C</x:v>
      </x:c>
      <x:c r="D8" s="19" t="str">
        <x:v>MS-ET</x:v>
      </x:c>
      <x:c r="E8" s="19" t="str">
        <x:v>MS-ET|A</x:v>
      </x:c>
      <x:c r="F8" s="19" t="str">
        <x:v>MS-ET|C</x:v>
      </x:c>
      <x:c r="G8" s="19" t="n">
        <x:f>--('Mechanism Vectors'!E7&lt;&gt;'Mechanism Vectors'!E9)</x:f>
        <x:v>1</x:v>
      </x:c>
      <x:c r="H8" s="19" t="n">
        <x:f>--('Mechanism Vectors'!F7&lt;&gt;'Mechanism Vectors'!F9)</x:f>
        <x:v>1</x:v>
      </x:c>
      <x:c r="I8" s="19" t="n">
        <x:f>--('Mechanism Vectors'!G7&lt;&gt;'Mechanism Vectors'!G9)</x:f>
        <x:v>1</x:v>
      </x:c>
      <x:c r="J8" s="19" t="n">
        <x:f>--('Mechanism Vectors'!H7&lt;&gt;'Mechanism Vectors'!H9)</x:f>
        <x:v>1</x:v>
      </x:c>
      <x:c r="K8" s="19" t="n">
        <x:f>--('Mechanism Vectors'!I7&lt;&gt;'Mechanism Vectors'!I9)</x:f>
        <x:v>1</x:v>
      </x:c>
      <x:c r="L8" s="19" t="n">
        <x:f>--('Mechanism Vectors'!J7&lt;&gt;'Mechanism Vectors'!J9)</x:f>
        <x:v>1</x:v>
      </x:c>
      <x:c r="M8" s="19" t="n">
        <x:f>--('Mechanism Vectors'!K7&lt;&gt;'Mechanism Vectors'!K9)</x:f>
        <x:v>1</x:v>
      </x:c>
      <x:c r="N8" s="19" t="n">
        <x:f>--('Mechanism Vectors'!L7&lt;&gt;'Mechanism Vectors'!L9)</x:f>
        <x:v>1</x:v>
      </x:c>
      <x:c r="O8" s="19" t="n">
        <x:f>--('Mechanism Vectors'!M7&lt;&gt;'Mechanism Vectors'!M9)</x:f>
        <x:v>1</x:v>
      </x:c>
      <x:c r="P8" s="19" t="n">
        <x:f>--('Mechanism Vectors'!N7&lt;&gt;'Mechanism Vectors'!N9)</x:f>
        <x:v>1</x:v>
      </x:c>
      <x:c r="Q8" s="19" t="n">
        <x:f>--('Mechanism Vectors'!O7&lt;&gt;'Mechanism Vectors'!O9)</x:f>
        <x:v>1</x:v>
      </x:c>
      <x:c r="R8" s="19" t="n">
        <x:f>--('Mechanism Vectors'!P7&lt;&gt;'Mechanism Vectors'!P9)</x:f>
        <x:v>1</x:v>
      </x:c>
      <x:c r="S8" s="19" t="n">
        <x:f>SUM(G8:R8)</x:f>
        <x:v>12</x:v>
      </x:c>
      <x:c r="T8" s="19" t="n">
        <x:f>SUM(G8:J8)</x:f>
        <x:v>4</x:v>
      </x:c>
      <x:c r="U8" s="19" t="n">
        <x:f>Controls!D9</x:f>
        <x:v>8</x:v>
      </x:c>
      <x:c r="V8" s="19" t="n">
        <x:f>Controls!D10</x:f>
        <x:v>4</x:v>
      </x:c>
      <x:c r="W8" s="21" t="str">
        <x:f>IF(AND(S8&gt;=U8,T8=V8),"PASS","FAIL")</x:f>
        <x:v>PASS</x:v>
      </x:c>
    </x:row>
    <x:row r="9">
      <x:c r="C9" s="19" t="str">
        <x:v>MS-ET|A/MS-ET|D</x:v>
      </x:c>
      <x:c r="D9" s="19" t="str">
        <x:v>MS-ET</x:v>
      </x:c>
      <x:c r="E9" s="19" t="str">
        <x:v>MS-ET|A</x:v>
      </x:c>
      <x:c r="F9" s="19" t="str">
        <x:v>MS-ET|D</x:v>
      </x:c>
      <x:c r="G9" s="19" t="n">
        <x:f>--('Mechanism Vectors'!E7&lt;&gt;'Mechanism Vectors'!E10)</x:f>
        <x:v>1</x:v>
      </x:c>
      <x:c r="H9" s="19" t="n">
        <x:f>--('Mechanism Vectors'!F7&lt;&gt;'Mechanism Vectors'!F10)</x:f>
        <x:v>1</x:v>
      </x:c>
      <x:c r="I9" s="19" t="n">
        <x:f>--('Mechanism Vectors'!G7&lt;&gt;'Mechanism Vectors'!G10)</x:f>
        <x:v>1</x:v>
      </x:c>
      <x:c r="J9" s="19" t="n">
        <x:f>--('Mechanism Vectors'!H7&lt;&gt;'Mechanism Vectors'!H10)</x:f>
        <x:v>1</x:v>
      </x:c>
      <x:c r="K9" s="19" t="n">
        <x:f>--('Mechanism Vectors'!I7&lt;&gt;'Mechanism Vectors'!I10)</x:f>
        <x:v>1</x:v>
      </x:c>
      <x:c r="L9" s="19" t="n">
        <x:f>--('Mechanism Vectors'!J7&lt;&gt;'Mechanism Vectors'!J10)</x:f>
        <x:v>1</x:v>
      </x:c>
      <x:c r="M9" s="19" t="n">
        <x:f>--('Mechanism Vectors'!K7&lt;&gt;'Mechanism Vectors'!K10)</x:f>
        <x:v>1</x:v>
      </x:c>
      <x:c r="N9" s="19" t="n">
        <x:f>--('Mechanism Vectors'!L7&lt;&gt;'Mechanism Vectors'!L10)</x:f>
        <x:v>1</x:v>
      </x:c>
      <x:c r="O9" s="19" t="n">
        <x:f>--('Mechanism Vectors'!M7&lt;&gt;'Mechanism Vectors'!M10)</x:f>
        <x:v>1</x:v>
      </x:c>
      <x:c r="P9" s="19" t="n">
        <x:f>--('Mechanism Vectors'!N7&lt;&gt;'Mechanism Vectors'!N10)</x:f>
        <x:v>1</x:v>
      </x:c>
      <x:c r="Q9" s="19" t="n">
        <x:f>--('Mechanism Vectors'!O7&lt;&gt;'Mechanism Vectors'!O10)</x:f>
        <x:v>1</x:v>
      </x:c>
      <x:c r="R9" s="19" t="n">
        <x:f>--('Mechanism Vectors'!P7&lt;&gt;'Mechanism Vectors'!P10)</x:f>
        <x:v>1</x:v>
      </x:c>
      <x:c r="S9" s="19" t="n">
        <x:f>SUM(G9:R9)</x:f>
        <x:v>12</x:v>
      </x:c>
      <x:c r="T9" s="19" t="n">
        <x:f>SUM(G9:J9)</x:f>
        <x:v>4</x:v>
      </x:c>
      <x:c r="U9" s="19" t="n">
        <x:f>Controls!D9</x:f>
        <x:v>8</x:v>
      </x:c>
      <x:c r="V9" s="19" t="n">
        <x:f>Controls!D10</x:f>
        <x:v>4</x:v>
      </x:c>
      <x:c r="W9" s="21" t="str">
        <x:f>IF(AND(S9&gt;=U9,T9=V9),"PASS","FAIL")</x:f>
        <x:v>PASS</x:v>
      </x:c>
    </x:row>
    <x:row r="10">
      <x:c r="C10" s="19" t="str">
        <x:v>MS-ET|B/MS-ET|C</x:v>
      </x:c>
      <x:c r="D10" s="19" t="str">
        <x:v>MS-ET</x:v>
      </x:c>
      <x:c r="E10" s="19" t="str">
        <x:v>MS-ET|B</x:v>
      </x:c>
      <x:c r="F10" s="19" t="str">
        <x:v>MS-ET|C</x:v>
      </x:c>
      <x:c r="G10" s="19" t="n">
        <x:f>--('Mechanism Vectors'!E8&lt;&gt;'Mechanism Vectors'!E9)</x:f>
        <x:v>1</x:v>
      </x:c>
      <x:c r="H10" s="19" t="n">
        <x:f>--('Mechanism Vectors'!F8&lt;&gt;'Mechanism Vectors'!F9)</x:f>
        <x:v>1</x:v>
      </x:c>
      <x:c r="I10" s="19" t="n">
        <x:f>--('Mechanism Vectors'!G8&lt;&gt;'Mechanism Vectors'!G9)</x:f>
        <x:v>1</x:v>
      </x:c>
      <x:c r="J10" s="19" t="n">
        <x:f>--('Mechanism Vectors'!H8&lt;&gt;'Mechanism Vectors'!H9)</x:f>
        <x:v>1</x:v>
      </x:c>
      <x:c r="K10" s="19" t="n">
        <x:f>--('Mechanism Vectors'!I8&lt;&gt;'Mechanism Vectors'!I9)</x:f>
        <x:v>1</x:v>
      </x:c>
      <x:c r="L10" s="19" t="n">
        <x:f>--('Mechanism Vectors'!J8&lt;&gt;'Mechanism Vectors'!J9)</x:f>
        <x:v>1</x:v>
      </x:c>
      <x:c r="M10" s="19" t="n">
        <x:f>--('Mechanism Vectors'!K8&lt;&gt;'Mechanism Vectors'!K9)</x:f>
        <x:v>1</x:v>
      </x:c>
      <x:c r="N10" s="19" t="n">
        <x:f>--('Mechanism Vectors'!L8&lt;&gt;'Mechanism Vectors'!L9)</x:f>
        <x:v>1</x:v>
      </x:c>
      <x:c r="O10" s="19" t="n">
        <x:f>--('Mechanism Vectors'!M8&lt;&gt;'Mechanism Vectors'!M9)</x:f>
        <x:v>1</x:v>
      </x:c>
      <x:c r="P10" s="19" t="n">
        <x:f>--('Mechanism Vectors'!N8&lt;&gt;'Mechanism Vectors'!N9)</x:f>
        <x:v>1</x:v>
      </x:c>
      <x:c r="Q10" s="19" t="n">
        <x:f>--('Mechanism Vectors'!O8&lt;&gt;'Mechanism Vectors'!O9)</x:f>
        <x:v>1</x:v>
      </x:c>
      <x:c r="R10" s="19" t="n">
        <x:f>--('Mechanism Vectors'!P8&lt;&gt;'Mechanism Vectors'!P9)</x:f>
        <x:v>1</x:v>
      </x:c>
      <x:c r="S10" s="19" t="n">
        <x:f>SUM(G10:R10)</x:f>
        <x:v>12</x:v>
      </x:c>
      <x:c r="T10" s="19" t="n">
        <x:f>SUM(G10:J10)</x:f>
        <x:v>4</x:v>
      </x:c>
      <x:c r="U10" s="19" t="n">
        <x:f>Controls!D9</x:f>
        <x:v>8</x:v>
      </x:c>
      <x:c r="V10" s="19" t="n">
        <x:f>Controls!D10</x:f>
        <x:v>4</x:v>
      </x:c>
      <x:c r="W10" s="21" t="str">
        <x:f>IF(AND(S10&gt;=U10,T10=V10),"PASS","FAIL")</x:f>
        <x:v>PASS</x:v>
      </x:c>
    </x:row>
    <x:row r="11">
      <x:c r="C11" s="19" t="str">
        <x:v>MS-ET|B/MS-ET|D</x:v>
      </x:c>
      <x:c r="D11" s="19" t="str">
        <x:v>MS-ET</x:v>
      </x:c>
      <x:c r="E11" s="19" t="str">
        <x:v>MS-ET|B</x:v>
      </x:c>
      <x:c r="F11" s="19" t="str">
        <x:v>MS-ET|D</x:v>
      </x:c>
      <x:c r="G11" s="19" t="n">
        <x:f>--('Mechanism Vectors'!E8&lt;&gt;'Mechanism Vectors'!E10)</x:f>
        <x:v>1</x:v>
      </x:c>
      <x:c r="H11" s="19" t="n">
        <x:f>--('Mechanism Vectors'!F8&lt;&gt;'Mechanism Vectors'!F10)</x:f>
        <x:v>1</x:v>
      </x:c>
      <x:c r="I11" s="19" t="n">
        <x:f>--('Mechanism Vectors'!G8&lt;&gt;'Mechanism Vectors'!G10)</x:f>
        <x:v>1</x:v>
      </x:c>
      <x:c r="J11" s="19" t="n">
        <x:f>--('Mechanism Vectors'!H8&lt;&gt;'Mechanism Vectors'!H10)</x:f>
        <x:v>1</x:v>
      </x:c>
      <x:c r="K11" s="19" t="n">
        <x:f>--('Mechanism Vectors'!I8&lt;&gt;'Mechanism Vectors'!I10)</x:f>
        <x:v>1</x:v>
      </x:c>
      <x:c r="L11" s="19" t="n">
        <x:f>--('Mechanism Vectors'!J8&lt;&gt;'Mechanism Vectors'!J10)</x:f>
        <x:v>1</x:v>
      </x:c>
      <x:c r="M11" s="19" t="n">
        <x:f>--('Mechanism Vectors'!K8&lt;&gt;'Mechanism Vectors'!K10)</x:f>
        <x:v>1</x:v>
      </x:c>
      <x:c r="N11" s="19" t="n">
        <x:f>--('Mechanism Vectors'!L8&lt;&gt;'Mechanism Vectors'!L10)</x:f>
        <x:v>1</x:v>
      </x:c>
      <x:c r="O11" s="19" t="n">
        <x:f>--('Mechanism Vectors'!M8&lt;&gt;'Mechanism Vectors'!M10)</x:f>
        <x:v>1</x:v>
      </x:c>
      <x:c r="P11" s="19" t="n">
        <x:f>--('Mechanism Vectors'!N8&lt;&gt;'Mechanism Vectors'!N10)</x:f>
        <x:v>1</x:v>
      </x:c>
      <x:c r="Q11" s="19" t="n">
        <x:f>--('Mechanism Vectors'!O8&lt;&gt;'Mechanism Vectors'!O10)</x:f>
        <x:v>1</x:v>
      </x:c>
      <x:c r="R11" s="19" t="n">
        <x:f>--('Mechanism Vectors'!P8&lt;&gt;'Mechanism Vectors'!P10)</x:f>
        <x:v>1</x:v>
      </x:c>
      <x:c r="S11" s="19" t="n">
        <x:f>SUM(G11:R11)</x:f>
        <x:v>12</x:v>
      </x:c>
      <x:c r="T11" s="19" t="n">
        <x:f>SUM(G11:J11)</x:f>
        <x:v>4</x:v>
      </x:c>
      <x:c r="U11" s="19" t="n">
        <x:f>Controls!D9</x:f>
        <x:v>8</x:v>
      </x:c>
      <x:c r="V11" s="19" t="n">
        <x:f>Controls!D10</x:f>
        <x:v>4</x:v>
      </x:c>
      <x:c r="W11" s="21" t="str">
        <x:f>IF(AND(S11&gt;=U11,T11=V11),"PASS","FAIL")</x:f>
        <x:v>PASS</x:v>
      </x:c>
    </x:row>
    <x:row r="12">
      <x:c r="C12" s="19" t="str">
        <x:v>MS-ET|C/MS-ET|D</x:v>
      </x:c>
      <x:c r="D12" s="19" t="str">
        <x:v>MS-ET</x:v>
      </x:c>
      <x:c r="E12" s="19" t="str">
        <x:v>MS-ET|C</x:v>
      </x:c>
      <x:c r="F12" s="19" t="str">
        <x:v>MS-ET|D</x:v>
      </x:c>
      <x:c r="G12" s="19" t="n">
        <x:f>--('Mechanism Vectors'!E9&lt;&gt;'Mechanism Vectors'!E10)</x:f>
        <x:v>1</x:v>
      </x:c>
      <x:c r="H12" s="19" t="n">
        <x:f>--('Mechanism Vectors'!F9&lt;&gt;'Mechanism Vectors'!F10)</x:f>
        <x:v>1</x:v>
      </x:c>
      <x:c r="I12" s="19" t="n">
        <x:f>--('Mechanism Vectors'!G9&lt;&gt;'Mechanism Vectors'!G10)</x:f>
        <x:v>1</x:v>
      </x:c>
      <x:c r="J12" s="19" t="n">
        <x:f>--('Mechanism Vectors'!H9&lt;&gt;'Mechanism Vectors'!H10)</x:f>
        <x:v>1</x:v>
      </x:c>
      <x:c r="K12" s="19" t="n">
        <x:f>--('Mechanism Vectors'!I9&lt;&gt;'Mechanism Vectors'!I10)</x:f>
        <x:v>1</x:v>
      </x:c>
      <x:c r="L12" s="19" t="n">
        <x:f>--('Mechanism Vectors'!J9&lt;&gt;'Mechanism Vectors'!J10)</x:f>
        <x:v>1</x:v>
      </x:c>
      <x:c r="M12" s="19" t="n">
        <x:f>--('Mechanism Vectors'!K9&lt;&gt;'Mechanism Vectors'!K10)</x:f>
        <x:v>1</x:v>
      </x:c>
      <x:c r="N12" s="19" t="n">
        <x:f>--('Mechanism Vectors'!L9&lt;&gt;'Mechanism Vectors'!L10)</x:f>
        <x:v>1</x:v>
      </x:c>
      <x:c r="O12" s="19" t="n">
        <x:f>--('Mechanism Vectors'!M9&lt;&gt;'Mechanism Vectors'!M10)</x:f>
        <x:v>1</x:v>
      </x:c>
      <x:c r="P12" s="19" t="n">
        <x:f>--('Mechanism Vectors'!N9&lt;&gt;'Mechanism Vectors'!N10)</x:f>
        <x:v>1</x:v>
      </x:c>
      <x:c r="Q12" s="19" t="n">
        <x:f>--('Mechanism Vectors'!O9&lt;&gt;'Mechanism Vectors'!O10)</x:f>
        <x:v>1</x:v>
      </x:c>
      <x:c r="R12" s="19" t="n">
        <x:f>--('Mechanism Vectors'!P9&lt;&gt;'Mechanism Vectors'!P10)</x:f>
        <x:v>1</x:v>
      </x:c>
      <x:c r="S12" s="19" t="n">
        <x:f>SUM(G12:R12)</x:f>
        <x:v>12</x:v>
      </x:c>
      <x:c r="T12" s="19" t="n">
        <x:f>SUM(G12:J12)</x:f>
        <x:v>4</x:v>
      </x:c>
      <x:c r="U12" s="19" t="n">
        <x:f>Controls!D9</x:f>
        <x:v>8</x:v>
      </x:c>
      <x:c r="V12" s="19" t="n">
        <x:f>Controls!D10</x:f>
        <x:v>4</x:v>
      </x:c>
      <x:c r="W12" s="21" t="str">
        <x:f>IF(AND(S12&gt;=U12,T12=V12),"PASS","FAIL")</x:f>
        <x:v>PASS</x:v>
      </x:c>
    </x:row>
    <x:row r="13">
      <x:c r="C13" s="19" t="str">
        <x:v>MS-CT|A/MS-CT|B</x:v>
      </x:c>
      <x:c r="D13" s="19" t="str">
        <x:v>MS-CT</x:v>
      </x:c>
      <x:c r="E13" s="19" t="str">
        <x:v>MS-CT|A</x:v>
      </x:c>
      <x:c r="F13" s="19" t="str">
        <x:v>MS-CT|B</x:v>
      </x:c>
      <x:c r="G13" s="19" t="n">
        <x:f>--('Mechanism Vectors'!E11&lt;&gt;'Mechanism Vectors'!E12)</x:f>
        <x:v>1</x:v>
      </x:c>
      <x:c r="H13" s="19" t="n">
        <x:f>--('Mechanism Vectors'!F11&lt;&gt;'Mechanism Vectors'!F12)</x:f>
        <x:v>1</x:v>
      </x:c>
      <x:c r="I13" s="19" t="n">
        <x:f>--('Mechanism Vectors'!G11&lt;&gt;'Mechanism Vectors'!G12)</x:f>
        <x:v>1</x:v>
      </x:c>
      <x:c r="J13" s="19" t="n">
        <x:f>--('Mechanism Vectors'!H11&lt;&gt;'Mechanism Vectors'!H12)</x:f>
        <x:v>1</x:v>
      </x:c>
      <x:c r="K13" s="19" t="n">
        <x:f>--('Mechanism Vectors'!I11&lt;&gt;'Mechanism Vectors'!I12)</x:f>
        <x:v>1</x:v>
      </x:c>
      <x:c r="L13" s="19" t="n">
        <x:f>--('Mechanism Vectors'!J11&lt;&gt;'Mechanism Vectors'!J12)</x:f>
        <x:v>1</x:v>
      </x:c>
      <x:c r="M13" s="19" t="n">
        <x:f>--('Mechanism Vectors'!K11&lt;&gt;'Mechanism Vectors'!K12)</x:f>
        <x:v>1</x:v>
      </x:c>
      <x:c r="N13" s="19" t="n">
        <x:f>--('Mechanism Vectors'!L11&lt;&gt;'Mechanism Vectors'!L12)</x:f>
        <x:v>1</x:v>
      </x:c>
      <x:c r="O13" s="19" t="n">
        <x:f>--('Mechanism Vectors'!M11&lt;&gt;'Mechanism Vectors'!M12)</x:f>
        <x:v>1</x:v>
      </x:c>
      <x:c r="P13" s="19" t="n">
        <x:f>--('Mechanism Vectors'!N11&lt;&gt;'Mechanism Vectors'!N12)</x:f>
        <x:v>1</x:v>
      </x:c>
      <x:c r="Q13" s="19" t="n">
        <x:f>--('Mechanism Vectors'!O11&lt;&gt;'Mechanism Vectors'!O12)</x:f>
        <x:v>1</x:v>
      </x:c>
      <x:c r="R13" s="19" t="n">
        <x:f>--('Mechanism Vectors'!P11&lt;&gt;'Mechanism Vectors'!P12)</x:f>
        <x:v>1</x:v>
      </x:c>
      <x:c r="S13" s="19" t="n">
        <x:f>SUM(G13:R13)</x:f>
        <x:v>12</x:v>
      </x:c>
      <x:c r="T13" s="19" t="n">
        <x:f>SUM(G13:J13)</x:f>
        <x:v>4</x:v>
      </x:c>
      <x:c r="U13" s="19" t="n">
        <x:f>Controls!D9</x:f>
        <x:v>8</x:v>
      </x:c>
      <x:c r="V13" s="19" t="n">
        <x:f>Controls!D10</x:f>
        <x:v>4</x:v>
      </x:c>
      <x:c r="W13" s="21" t="str">
        <x:f>IF(AND(S13&gt;=U13,T13=V13),"PASS","FAIL")</x:f>
        <x:v>PASS</x:v>
      </x:c>
    </x:row>
    <x:row r="14">
      <x:c r="C14" s="19" t="str">
        <x:v>MS-CT|A/MS-CT|C</x:v>
      </x:c>
      <x:c r="D14" s="19" t="str">
        <x:v>MS-CT</x:v>
      </x:c>
      <x:c r="E14" s="19" t="str">
        <x:v>MS-CT|A</x:v>
      </x:c>
      <x:c r="F14" s="19" t="str">
        <x:v>MS-CT|C</x:v>
      </x:c>
      <x:c r="G14" s="19" t="n">
        <x:f>--('Mechanism Vectors'!E11&lt;&gt;'Mechanism Vectors'!E13)</x:f>
        <x:v>1</x:v>
      </x:c>
      <x:c r="H14" s="19" t="n">
        <x:f>--('Mechanism Vectors'!F11&lt;&gt;'Mechanism Vectors'!F13)</x:f>
        <x:v>1</x:v>
      </x:c>
      <x:c r="I14" s="19" t="n">
        <x:f>--('Mechanism Vectors'!G11&lt;&gt;'Mechanism Vectors'!G13)</x:f>
        <x:v>1</x:v>
      </x:c>
      <x:c r="J14" s="19" t="n">
        <x:f>--('Mechanism Vectors'!H11&lt;&gt;'Mechanism Vectors'!H13)</x:f>
        <x:v>1</x:v>
      </x:c>
      <x:c r="K14" s="19" t="n">
        <x:f>--('Mechanism Vectors'!I11&lt;&gt;'Mechanism Vectors'!I13)</x:f>
        <x:v>1</x:v>
      </x:c>
      <x:c r="L14" s="19" t="n">
        <x:f>--('Mechanism Vectors'!J11&lt;&gt;'Mechanism Vectors'!J13)</x:f>
        <x:v>1</x:v>
      </x:c>
      <x:c r="M14" s="19" t="n">
        <x:f>--('Mechanism Vectors'!K11&lt;&gt;'Mechanism Vectors'!K13)</x:f>
        <x:v>1</x:v>
      </x:c>
      <x:c r="N14" s="19" t="n">
        <x:f>--('Mechanism Vectors'!L11&lt;&gt;'Mechanism Vectors'!L13)</x:f>
        <x:v>1</x:v>
      </x:c>
      <x:c r="O14" s="19" t="n">
        <x:f>--('Mechanism Vectors'!M11&lt;&gt;'Mechanism Vectors'!M13)</x:f>
        <x:v>1</x:v>
      </x:c>
      <x:c r="P14" s="19" t="n">
        <x:f>--('Mechanism Vectors'!N11&lt;&gt;'Mechanism Vectors'!N13)</x:f>
        <x:v>1</x:v>
      </x:c>
      <x:c r="Q14" s="19" t="n">
        <x:f>--('Mechanism Vectors'!O11&lt;&gt;'Mechanism Vectors'!O13)</x:f>
        <x:v>1</x:v>
      </x:c>
      <x:c r="R14" s="19" t="n">
        <x:f>--('Mechanism Vectors'!P11&lt;&gt;'Mechanism Vectors'!P13)</x:f>
        <x:v>1</x:v>
      </x:c>
      <x:c r="S14" s="19" t="n">
        <x:f>SUM(G14:R14)</x:f>
        <x:v>12</x:v>
      </x:c>
      <x:c r="T14" s="19" t="n">
        <x:f>SUM(G14:J14)</x:f>
        <x:v>4</x:v>
      </x:c>
      <x:c r="U14" s="19" t="n">
        <x:f>Controls!D9</x:f>
        <x:v>8</x:v>
      </x:c>
      <x:c r="V14" s="19" t="n">
        <x:f>Controls!D10</x:f>
        <x:v>4</x:v>
      </x:c>
      <x:c r="W14" s="21" t="str">
        <x:f>IF(AND(S14&gt;=U14,T14=V14),"PASS","FAIL")</x:f>
        <x:v>PASS</x:v>
      </x:c>
    </x:row>
    <x:row r="15">
      <x:c r="C15" s="19" t="str">
        <x:v>MS-CT|A/MS-CT|D</x:v>
      </x:c>
      <x:c r="D15" s="19" t="str">
        <x:v>MS-CT</x:v>
      </x:c>
      <x:c r="E15" s="19" t="str">
        <x:v>MS-CT|A</x:v>
      </x:c>
      <x:c r="F15" s="19" t="str">
        <x:v>MS-CT|D</x:v>
      </x:c>
      <x:c r="G15" s="19" t="n">
        <x:f>--('Mechanism Vectors'!E11&lt;&gt;'Mechanism Vectors'!E14)</x:f>
        <x:v>1</x:v>
      </x:c>
      <x:c r="H15" s="19" t="n">
        <x:f>--('Mechanism Vectors'!F11&lt;&gt;'Mechanism Vectors'!F14)</x:f>
        <x:v>1</x:v>
      </x:c>
      <x:c r="I15" s="19" t="n">
        <x:f>--('Mechanism Vectors'!G11&lt;&gt;'Mechanism Vectors'!G14)</x:f>
        <x:v>1</x:v>
      </x:c>
      <x:c r="J15" s="19" t="n">
        <x:f>--('Mechanism Vectors'!H11&lt;&gt;'Mechanism Vectors'!H14)</x:f>
        <x:v>1</x:v>
      </x:c>
      <x:c r="K15" s="19" t="n">
        <x:f>--('Mechanism Vectors'!I11&lt;&gt;'Mechanism Vectors'!I14)</x:f>
        <x:v>1</x:v>
      </x:c>
      <x:c r="L15" s="19" t="n">
        <x:f>--('Mechanism Vectors'!J11&lt;&gt;'Mechanism Vectors'!J14)</x:f>
        <x:v>1</x:v>
      </x:c>
      <x:c r="M15" s="19" t="n">
        <x:f>--('Mechanism Vectors'!K11&lt;&gt;'Mechanism Vectors'!K14)</x:f>
        <x:v>1</x:v>
      </x:c>
      <x:c r="N15" s="19" t="n">
        <x:f>--('Mechanism Vectors'!L11&lt;&gt;'Mechanism Vectors'!L14)</x:f>
        <x:v>1</x:v>
      </x:c>
      <x:c r="O15" s="19" t="n">
        <x:f>--('Mechanism Vectors'!M11&lt;&gt;'Mechanism Vectors'!M14)</x:f>
        <x:v>1</x:v>
      </x:c>
      <x:c r="P15" s="19" t="n">
        <x:f>--('Mechanism Vectors'!N11&lt;&gt;'Mechanism Vectors'!N14)</x:f>
        <x:v>1</x:v>
      </x:c>
      <x:c r="Q15" s="19" t="n">
        <x:f>--('Mechanism Vectors'!O11&lt;&gt;'Mechanism Vectors'!O14)</x:f>
        <x:v>1</x:v>
      </x:c>
      <x:c r="R15" s="19" t="n">
        <x:f>--('Mechanism Vectors'!P11&lt;&gt;'Mechanism Vectors'!P14)</x:f>
        <x:v>1</x:v>
      </x:c>
      <x:c r="S15" s="19" t="n">
        <x:f>SUM(G15:R15)</x:f>
        <x:v>12</x:v>
      </x:c>
      <x:c r="T15" s="19" t="n">
        <x:f>SUM(G15:J15)</x:f>
        <x:v>4</x:v>
      </x:c>
      <x:c r="U15" s="19" t="n">
        <x:f>Controls!D9</x:f>
        <x:v>8</x:v>
      </x:c>
      <x:c r="V15" s="19" t="n">
        <x:f>Controls!D10</x:f>
        <x:v>4</x:v>
      </x:c>
      <x:c r="W15" s="21" t="str">
        <x:f>IF(AND(S15&gt;=U15,T15=V15),"PASS","FAIL")</x:f>
        <x:v>PASS</x:v>
      </x:c>
    </x:row>
    <x:row r="16">
      <x:c r="C16" s="19" t="str">
        <x:v>MS-CT|B/MS-CT|C</x:v>
      </x:c>
      <x:c r="D16" s="19" t="str">
        <x:v>MS-CT</x:v>
      </x:c>
      <x:c r="E16" s="19" t="str">
        <x:v>MS-CT|B</x:v>
      </x:c>
      <x:c r="F16" s="19" t="str">
        <x:v>MS-CT|C</x:v>
      </x:c>
      <x:c r="G16" s="19" t="n">
        <x:f>--('Mechanism Vectors'!E12&lt;&gt;'Mechanism Vectors'!E13)</x:f>
        <x:v>1</x:v>
      </x:c>
      <x:c r="H16" s="19" t="n">
        <x:f>--('Mechanism Vectors'!F12&lt;&gt;'Mechanism Vectors'!F13)</x:f>
        <x:v>1</x:v>
      </x:c>
      <x:c r="I16" s="19" t="n">
        <x:f>--('Mechanism Vectors'!G12&lt;&gt;'Mechanism Vectors'!G13)</x:f>
        <x:v>1</x:v>
      </x:c>
      <x:c r="J16" s="19" t="n">
        <x:f>--('Mechanism Vectors'!H12&lt;&gt;'Mechanism Vectors'!H13)</x:f>
        <x:v>1</x:v>
      </x:c>
      <x:c r="K16" s="19" t="n">
        <x:f>--('Mechanism Vectors'!I12&lt;&gt;'Mechanism Vectors'!I13)</x:f>
        <x:v>1</x:v>
      </x:c>
      <x:c r="L16" s="19" t="n">
        <x:f>--('Mechanism Vectors'!J12&lt;&gt;'Mechanism Vectors'!J13)</x:f>
        <x:v>1</x:v>
      </x:c>
      <x:c r="M16" s="19" t="n">
        <x:f>--('Mechanism Vectors'!K12&lt;&gt;'Mechanism Vectors'!K13)</x:f>
        <x:v>1</x:v>
      </x:c>
      <x:c r="N16" s="19" t="n">
        <x:f>--('Mechanism Vectors'!L12&lt;&gt;'Mechanism Vectors'!L13)</x:f>
        <x:v>1</x:v>
      </x:c>
      <x:c r="O16" s="19" t="n">
        <x:f>--('Mechanism Vectors'!M12&lt;&gt;'Mechanism Vectors'!M13)</x:f>
        <x:v>1</x:v>
      </x:c>
      <x:c r="P16" s="19" t="n">
        <x:f>--('Mechanism Vectors'!N12&lt;&gt;'Mechanism Vectors'!N13)</x:f>
        <x:v>1</x:v>
      </x:c>
      <x:c r="Q16" s="19" t="n">
        <x:f>--('Mechanism Vectors'!O12&lt;&gt;'Mechanism Vectors'!O13)</x:f>
        <x:v>1</x:v>
      </x:c>
      <x:c r="R16" s="19" t="n">
        <x:f>--('Mechanism Vectors'!P12&lt;&gt;'Mechanism Vectors'!P13)</x:f>
        <x:v>1</x:v>
      </x:c>
      <x:c r="S16" s="19" t="n">
        <x:f>SUM(G16:R16)</x:f>
        <x:v>12</x:v>
      </x:c>
      <x:c r="T16" s="19" t="n">
        <x:f>SUM(G16:J16)</x:f>
        <x:v>4</x:v>
      </x:c>
      <x:c r="U16" s="19" t="n">
        <x:f>Controls!D9</x:f>
        <x:v>8</x:v>
      </x:c>
      <x:c r="V16" s="19" t="n">
        <x:f>Controls!D10</x:f>
        <x:v>4</x:v>
      </x:c>
      <x:c r="W16" s="21" t="str">
        <x:f>IF(AND(S16&gt;=U16,T16=V16),"PASS","FAIL")</x:f>
        <x:v>PASS</x:v>
      </x:c>
    </x:row>
    <x:row r="17">
      <x:c r="C17" s="19" t="str">
        <x:v>MS-CT|B/MS-CT|D</x:v>
      </x:c>
      <x:c r="D17" s="19" t="str">
        <x:v>MS-CT</x:v>
      </x:c>
      <x:c r="E17" s="19" t="str">
        <x:v>MS-CT|B</x:v>
      </x:c>
      <x:c r="F17" s="19" t="str">
        <x:v>MS-CT|D</x:v>
      </x:c>
      <x:c r="G17" s="19" t="n">
        <x:f>--('Mechanism Vectors'!E12&lt;&gt;'Mechanism Vectors'!E14)</x:f>
        <x:v>1</x:v>
      </x:c>
      <x:c r="H17" s="19" t="n">
        <x:f>--('Mechanism Vectors'!F12&lt;&gt;'Mechanism Vectors'!F14)</x:f>
        <x:v>1</x:v>
      </x:c>
      <x:c r="I17" s="19" t="n">
        <x:f>--('Mechanism Vectors'!G12&lt;&gt;'Mechanism Vectors'!G14)</x:f>
        <x:v>1</x:v>
      </x:c>
      <x:c r="J17" s="19" t="n">
        <x:f>--('Mechanism Vectors'!H12&lt;&gt;'Mechanism Vectors'!H14)</x:f>
        <x:v>1</x:v>
      </x:c>
      <x:c r="K17" s="19" t="n">
        <x:f>--('Mechanism Vectors'!I12&lt;&gt;'Mechanism Vectors'!I14)</x:f>
        <x:v>1</x:v>
      </x:c>
      <x:c r="L17" s="19" t="n">
        <x:f>--('Mechanism Vectors'!J12&lt;&gt;'Mechanism Vectors'!J14)</x:f>
        <x:v>1</x:v>
      </x:c>
      <x:c r="M17" s="19" t="n">
        <x:f>--('Mechanism Vectors'!K12&lt;&gt;'Mechanism Vectors'!K14)</x:f>
        <x:v>1</x:v>
      </x:c>
      <x:c r="N17" s="19" t="n">
        <x:f>--('Mechanism Vectors'!L12&lt;&gt;'Mechanism Vectors'!L14)</x:f>
        <x:v>1</x:v>
      </x:c>
      <x:c r="O17" s="19" t="n">
        <x:f>--('Mechanism Vectors'!M12&lt;&gt;'Mechanism Vectors'!M14)</x:f>
        <x:v>1</x:v>
      </x:c>
      <x:c r="P17" s="19" t="n">
        <x:f>--('Mechanism Vectors'!N12&lt;&gt;'Mechanism Vectors'!N14)</x:f>
        <x:v>1</x:v>
      </x:c>
      <x:c r="Q17" s="19" t="n">
        <x:f>--('Mechanism Vectors'!O12&lt;&gt;'Mechanism Vectors'!O14)</x:f>
        <x:v>1</x:v>
      </x:c>
      <x:c r="R17" s="19" t="n">
        <x:f>--('Mechanism Vectors'!P12&lt;&gt;'Mechanism Vectors'!P14)</x:f>
        <x:v>1</x:v>
      </x:c>
      <x:c r="S17" s="19" t="n">
        <x:f>SUM(G17:R17)</x:f>
        <x:v>12</x:v>
      </x:c>
      <x:c r="T17" s="19" t="n">
        <x:f>SUM(G17:J17)</x:f>
        <x:v>4</x:v>
      </x:c>
      <x:c r="U17" s="19" t="n">
        <x:f>Controls!D9</x:f>
        <x:v>8</x:v>
      </x:c>
      <x:c r="V17" s="19" t="n">
        <x:f>Controls!D10</x:f>
        <x:v>4</x:v>
      </x:c>
      <x:c r="W17" s="21" t="str">
        <x:f>IF(AND(S17&gt;=U17,T17=V17),"PASS","FAIL")</x:f>
        <x:v>PASS</x:v>
      </x:c>
    </x:row>
    <x:row r="18">
      <x:c r="C18" s="19" t="str">
        <x:v>MS-CT|C/MS-CT|D</x:v>
      </x:c>
      <x:c r="D18" s="19" t="str">
        <x:v>MS-CT</x:v>
      </x:c>
      <x:c r="E18" s="19" t="str">
        <x:v>MS-CT|C</x:v>
      </x:c>
      <x:c r="F18" s="19" t="str">
        <x:v>MS-CT|D</x:v>
      </x:c>
      <x:c r="G18" s="19" t="n">
        <x:f>--('Mechanism Vectors'!E13&lt;&gt;'Mechanism Vectors'!E14)</x:f>
        <x:v>1</x:v>
      </x:c>
      <x:c r="H18" s="19" t="n">
        <x:f>--('Mechanism Vectors'!F13&lt;&gt;'Mechanism Vectors'!F14)</x:f>
        <x:v>1</x:v>
      </x:c>
      <x:c r="I18" s="19" t="n">
        <x:f>--('Mechanism Vectors'!G13&lt;&gt;'Mechanism Vectors'!G14)</x:f>
        <x:v>1</x:v>
      </x:c>
      <x:c r="J18" s="19" t="n">
        <x:f>--('Mechanism Vectors'!H13&lt;&gt;'Mechanism Vectors'!H14)</x:f>
        <x:v>1</x:v>
      </x:c>
      <x:c r="K18" s="19" t="n">
        <x:f>--('Mechanism Vectors'!I13&lt;&gt;'Mechanism Vectors'!I14)</x:f>
        <x:v>1</x:v>
      </x:c>
      <x:c r="L18" s="19" t="n">
        <x:f>--('Mechanism Vectors'!J13&lt;&gt;'Mechanism Vectors'!J14)</x:f>
        <x:v>1</x:v>
      </x:c>
      <x:c r="M18" s="19" t="n">
        <x:f>--('Mechanism Vectors'!K13&lt;&gt;'Mechanism Vectors'!K14)</x:f>
        <x:v>1</x:v>
      </x:c>
      <x:c r="N18" s="19" t="n">
        <x:f>--('Mechanism Vectors'!L13&lt;&gt;'Mechanism Vectors'!L14)</x:f>
        <x:v>1</x:v>
      </x:c>
      <x:c r="O18" s="19" t="n">
        <x:f>--('Mechanism Vectors'!M13&lt;&gt;'Mechanism Vectors'!M14)</x:f>
        <x:v>1</x:v>
      </x:c>
      <x:c r="P18" s="19" t="n">
        <x:f>--('Mechanism Vectors'!N13&lt;&gt;'Mechanism Vectors'!N14)</x:f>
        <x:v>1</x:v>
      </x:c>
      <x:c r="Q18" s="19" t="n">
        <x:f>--('Mechanism Vectors'!O13&lt;&gt;'Mechanism Vectors'!O14)</x:f>
        <x:v>1</x:v>
      </x:c>
      <x:c r="R18" s="19" t="n">
        <x:f>--('Mechanism Vectors'!P13&lt;&gt;'Mechanism Vectors'!P14)</x:f>
        <x:v>1</x:v>
      </x:c>
      <x:c r="S18" s="19" t="n">
        <x:f>SUM(G18:R18)</x:f>
        <x:v>12</x:v>
      </x:c>
      <x:c r="T18" s="19" t="n">
        <x:f>SUM(G18:J18)</x:f>
        <x:v>4</x:v>
      </x:c>
      <x:c r="U18" s="19" t="n">
        <x:f>Controls!D9</x:f>
        <x:v>8</x:v>
      </x:c>
      <x:c r="V18" s="19" t="n">
        <x:f>Controls!D10</x:f>
        <x:v>4</x:v>
      </x:c>
      <x:c r="W18" s="21" t="str">
        <x:f>IF(AND(S18&gt;=U18,T18=V18),"PASS","FAIL")</x:f>
        <x:v>PASS</x:v>
      </x:c>
    </x:row>
    <x:row r="19">
      <x:c r="C19" s="19" t="str">
        <x:v>MS-HC|A/MS-HC|B</x:v>
      </x:c>
      <x:c r="D19" s="19" t="str">
        <x:v>MS-HC</x:v>
      </x:c>
      <x:c r="E19" s="19" t="str">
        <x:v>MS-HC|A</x:v>
      </x:c>
      <x:c r="F19" s="19" t="str">
        <x:v>MS-HC|B</x:v>
      </x:c>
      <x:c r="G19" s="19" t="n">
        <x:f>--('Mechanism Vectors'!E15&lt;&gt;'Mechanism Vectors'!E16)</x:f>
        <x:v>1</x:v>
      </x:c>
      <x:c r="H19" s="19" t="n">
        <x:f>--('Mechanism Vectors'!F15&lt;&gt;'Mechanism Vectors'!F16)</x:f>
        <x:v>1</x:v>
      </x:c>
      <x:c r="I19" s="19" t="n">
        <x:f>--('Mechanism Vectors'!G15&lt;&gt;'Mechanism Vectors'!G16)</x:f>
        <x:v>1</x:v>
      </x:c>
      <x:c r="J19" s="19" t="n">
        <x:f>--('Mechanism Vectors'!H15&lt;&gt;'Mechanism Vectors'!H16)</x:f>
        <x:v>1</x:v>
      </x:c>
      <x:c r="K19" s="19" t="n">
        <x:f>--('Mechanism Vectors'!I15&lt;&gt;'Mechanism Vectors'!I16)</x:f>
        <x:v>1</x:v>
      </x:c>
      <x:c r="L19" s="19" t="n">
        <x:f>--('Mechanism Vectors'!J15&lt;&gt;'Mechanism Vectors'!J16)</x:f>
        <x:v>1</x:v>
      </x:c>
      <x:c r="M19" s="19" t="n">
        <x:f>--('Mechanism Vectors'!K15&lt;&gt;'Mechanism Vectors'!K16)</x:f>
        <x:v>1</x:v>
      </x:c>
      <x:c r="N19" s="19" t="n">
        <x:f>--('Mechanism Vectors'!L15&lt;&gt;'Mechanism Vectors'!L16)</x:f>
        <x:v>1</x:v>
      </x:c>
      <x:c r="O19" s="19" t="n">
        <x:f>--('Mechanism Vectors'!M15&lt;&gt;'Mechanism Vectors'!M16)</x:f>
        <x:v>1</x:v>
      </x:c>
      <x:c r="P19" s="19" t="n">
        <x:f>--('Mechanism Vectors'!N15&lt;&gt;'Mechanism Vectors'!N16)</x:f>
        <x:v>1</x:v>
      </x:c>
      <x:c r="Q19" s="19" t="n">
        <x:f>--('Mechanism Vectors'!O15&lt;&gt;'Mechanism Vectors'!O16)</x:f>
        <x:v>1</x:v>
      </x:c>
      <x:c r="R19" s="19" t="n">
        <x:f>--('Mechanism Vectors'!P15&lt;&gt;'Mechanism Vectors'!P16)</x:f>
        <x:v>1</x:v>
      </x:c>
      <x:c r="S19" s="19" t="n">
        <x:f>SUM(G19:R19)</x:f>
        <x:v>12</x:v>
      </x:c>
      <x:c r="T19" s="19" t="n">
        <x:f>SUM(G19:J19)</x:f>
        <x:v>4</x:v>
      </x:c>
      <x:c r="U19" s="19" t="n">
        <x:f>Controls!D9</x:f>
        <x:v>8</x:v>
      </x:c>
      <x:c r="V19" s="19" t="n">
        <x:f>Controls!D10</x:f>
        <x:v>4</x:v>
      </x:c>
      <x:c r="W19" s="21" t="str">
        <x:f>IF(AND(S19&gt;=U19,T19=V19),"PASS","FAIL")</x:f>
        <x:v>PASS</x:v>
      </x:c>
    </x:row>
    <x:row r="20">
      <x:c r="C20" s="19" t="str">
        <x:v>MS-HC|A/MS-HC|C</x:v>
      </x:c>
      <x:c r="D20" s="19" t="str">
        <x:v>MS-HC</x:v>
      </x:c>
      <x:c r="E20" s="19" t="str">
        <x:v>MS-HC|A</x:v>
      </x:c>
      <x:c r="F20" s="19" t="str">
        <x:v>MS-HC|C</x:v>
      </x:c>
      <x:c r="G20" s="19" t="n">
        <x:f>--('Mechanism Vectors'!E15&lt;&gt;'Mechanism Vectors'!E17)</x:f>
        <x:v>1</x:v>
      </x:c>
      <x:c r="H20" s="19" t="n">
        <x:f>--('Mechanism Vectors'!F15&lt;&gt;'Mechanism Vectors'!F17)</x:f>
        <x:v>1</x:v>
      </x:c>
      <x:c r="I20" s="19" t="n">
        <x:f>--('Mechanism Vectors'!G15&lt;&gt;'Mechanism Vectors'!G17)</x:f>
        <x:v>1</x:v>
      </x:c>
      <x:c r="J20" s="19" t="n">
        <x:f>--('Mechanism Vectors'!H15&lt;&gt;'Mechanism Vectors'!H17)</x:f>
        <x:v>1</x:v>
      </x:c>
      <x:c r="K20" s="19" t="n">
        <x:f>--('Mechanism Vectors'!I15&lt;&gt;'Mechanism Vectors'!I17)</x:f>
        <x:v>1</x:v>
      </x:c>
      <x:c r="L20" s="19" t="n">
        <x:f>--('Mechanism Vectors'!J15&lt;&gt;'Mechanism Vectors'!J17)</x:f>
        <x:v>1</x:v>
      </x:c>
      <x:c r="M20" s="19" t="n">
        <x:f>--('Mechanism Vectors'!K15&lt;&gt;'Mechanism Vectors'!K17)</x:f>
        <x:v>1</x:v>
      </x:c>
      <x:c r="N20" s="19" t="n">
        <x:f>--('Mechanism Vectors'!L15&lt;&gt;'Mechanism Vectors'!L17)</x:f>
        <x:v>1</x:v>
      </x:c>
      <x:c r="O20" s="19" t="n">
        <x:f>--('Mechanism Vectors'!M15&lt;&gt;'Mechanism Vectors'!M17)</x:f>
        <x:v>1</x:v>
      </x:c>
      <x:c r="P20" s="19" t="n">
        <x:f>--('Mechanism Vectors'!N15&lt;&gt;'Mechanism Vectors'!N17)</x:f>
        <x:v>1</x:v>
      </x:c>
      <x:c r="Q20" s="19" t="n">
        <x:f>--('Mechanism Vectors'!O15&lt;&gt;'Mechanism Vectors'!O17)</x:f>
        <x:v>1</x:v>
      </x:c>
      <x:c r="R20" s="19" t="n">
        <x:f>--('Mechanism Vectors'!P15&lt;&gt;'Mechanism Vectors'!P17)</x:f>
        <x:v>1</x:v>
      </x:c>
      <x:c r="S20" s="19" t="n">
        <x:f>SUM(G20:R20)</x:f>
        <x:v>12</x:v>
      </x:c>
      <x:c r="T20" s="19" t="n">
        <x:f>SUM(G20:J20)</x:f>
        <x:v>4</x:v>
      </x:c>
      <x:c r="U20" s="19" t="n">
        <x:f>Controls!D9</x:f>
        <x:v>8</x:v>
      </x:c>
      <x:c r="V20" s="19" t="n">
        <x:f>Controls!D10</x:f>
        <x:v>4</x:v>
      </x:c>
      <x:c r="W20" s="21" t="str">
        <x:f>IF(AND(S20&gt;=U20,T20=V20),"PASS","FAIL")</x:f>
        <x:v>PASS</x:v>
      </x:c>
    </x:row>
    <x:row r="21">
      <x:c r="C21" s="19" t="str">
        <x:v>MS-HC|A/MS-HC|D</x:v>
      </x:c>
      <x:c r="D21" s="19" t="str">
        <x:v>MS-HC</x:v>
      </x:c>
      <x:c r="E21" s="19" t="str">
        <x:v>MS-HC|A</x:v>
      </x:c>
      <x:c r="F21" s="19" t="str">
        <x:v>MS-HC|D</x:v>
      </x:c>
      <x:c r="G21" s="19" t="n">
        <x:f>--('Mechanism Vectors'!E15&lt;&gt;'Mechanism Vectors'!E18)</x:f>
        <x:v>1</x:v>
      </x:c>
      <x:c r="H21" s="19" t="n">
        <x:f>--('Mechanism Vectors'!F15&lt;&gt;'Mechanism Vectors'!F18)</x:f>
        <x:v>1</x:v>
      </x:c>
      <x:c r="I21" s="19" t="n">
        <x:f>--('Mechanism Vectors'!G15&lt;&gt;'Mechanism Vectors'!G18)</x:f>
        <x:v>1</x:v>
      </x:c>
      <x:c r="J21" s="19" t="n">
        <x:f>--('Mechanism Vectors'!H15&lt;&gt;'Mechanism Vectors'!H18)</x:f>
        <x:v>1</x:v>
      </x:c>
      <x:c r="K21" s="19" t="n">
        <x:f>--('Mechanism Vectors'!I15&lt;&gt;'Mechanism Vectors'!I18)</x:f>
        <x:v>1</x:v>
      </x:c>
      <x:c r="L21" s="19" t="n">
        <x:f>--('Mechanism Vectors'!J15&lt;&gt;'Mechanism Vectors'!J18)</x:f>
        <x:v>1</x:v>
      </x:c>
      <x:c r="M21" s="19" t="n">
        <x:f>--('Mechanism Vectors'!K15&lt;&gt;'Mechanism Vectors'!K18)</x:f>
        <x:v>1</x:v>
      </x:c>
      <x:c r="N21" s="19" t="n">
        <x:f>--('Mechanism Vectors'!L15&lt;&gt;'Mechanism Vectors'!L18)</x:f>
        <x:v>1</x:v>
      </x:c>
      <x:c r="O21" s="19" t="n">
        <x:f>--('Mechanism Vectors'!M15&lt;&gt;'Mechanism Vectors'!M18)</x:f>
        <x:v>1</x:v>
      </x:c>
      <x:c r="P21" s="19" t="n">
        <x:f>--('Mechanism Vectors'!N15&lt;&gt;'Mechanism Vectors'!N18)</x:f>
        <x:v>1</x:v>
      </x:c>
      <x:c r="Q21" s="19" t="n">
        <x:f>--('Mechanism Vectors'!O15&lt;&gt;'Mechanism Vectors'!O18)</x:f>
        <x:v>1</x:v>
      </x:c>
      <x:c r="R21" s="19" t="n">
        <x:f>--('Mechanism Vectors'!P15&lt;&gt;'Mechanism Vectors'!P18)</x:f>
        <x:v>1</x:v>
      </x:c>
      <x:c r="S21" s="19" t="n">
        <x:f>SUM(G21:R21)</x:f>
        <x:v>12</x:v>
      </x:c>
      <x:c r="T21" s="19" t="n">
        <x:f>SUM(G21:J21)</x:f>
        <x:v>4</x:v>
      </x:c>
      <x:c r="U21" s="19" t="n">
        <x:f>Controls!D9</x:f>
        <x:v>8</x:v>
      </x:c>
      <x:c r="V21" s="19" t="n">
        <x:f>Controls!D10</x:f>
        <x:v>4</x:v>
      </x:c>
      <x:c r="W21" s="21" t="str">
        <x:f>IF(AND(S21&gt;=U21,T21=V21),"PASS","FAIL")</x:f>
        <x:v>PASS</x:v>
      </x:c>
    </x:row>
    <x:row r="22">
      <x:c r="C22" s="19" t="str">
        <x:v>MS-HC|B/MS-HC|C</x:v>
      </x:c>
      <x:c r="D22" s="19" t="str">
        <x:v>MS-HC</x:v>
      </x:c>
      <x:c r="E22" s="19" t="str">
        <x:v>MS-HC|B</x:v>
      </x:c>
      <x:c r="F22" s="19" t="str">
        <x:v>MS-HC|C</x:v>
      </x:c>
      <x:c r="G22" s="19" t="n">
        <x:f>--('Mechanism Vectors'!E16&lt;&gt;'Mechanism Vectors'!E17)</x:f>
        <x:v>1</x:v>
      </x:c>
      <x:c r="H22" s="19" t="n">
        <x:f>--('Mechanism Vectors'!F16&lt;&gt;'Mechanism Vectors'!F17)</x:f>
        <x:v>1</x:v>
      </x:c>
      <x:c r="I22" s="19" t="n">
        <x:f>--('Mechanism Vectors'!G16&lt;&gt;'Mechanism Vectors'!G17)</x:f>
        <x:v>1</x:v>
      </x:c>
      <x:c r="J22" s="19" t="n">
        <x:f>--('Mechanism Vectors'!H16&lt;&gt;'Mechanism Vectors'!H17)</x:f>
        <x:v>1</x:v>
      </x:c>
      <x:c r="K22" s="19" t="n">
        <x:f>--('Mechanism Vectors'!I16&lt;&gt;'Mechanism Vectors'!I17)</x:f>
        <x:v>1</x:v>
      </x:c>
      <x:c r="L22" s="19" t="n">
        <x:f>--('Mechanism Vectors'!J16&lt;&gt;'Mechanism Vectors'!J17)</x:f>
        <x:v>1</x:v>
      </x:c>
      <x:c r="M22" s="19" t="n">
        <x:f>--('Mechanism Vectors'!K16&lt;&gt;'Mechanism Vectors'!K17)</x:f>
        <x:v>1</x:v>
      </x:c>
      <x:c r="N22" s="19" t="n">
        <x:f>--('Mechanism Vectors'!L16&lt;&gt;'Mechanism Vectors'!L17)</x:f>
        <x:v>1</x:v>
      </x:c>
      <x:c r="O22" s="19" t="n">
        <x:f>--('Mechanism Vectors'!M16&lt;&gt;'Mechanism Vectors'!M17)</x:f>
        <x:v>1</x:v>
      </x:c>
      <x:c r="P22" s="19" t="n">
        <x:f>--('Mechanism Vectors'!N16&lt;&gt;'Mechanism Vectors'!N17)</x:f>
        <x:v>1</x:v>
      </x:c>
      <x:c r="Q22" s="19" t="n">
        <x:f>--('Mechanism Vectors'!O16&lt;&gt;'Mechanism Vectors'!O17)</x:f>
        <x:v>1</x:v>
      </x:c>
      <x:c r="R22" s="19" t="n">
        <x:f>--('Mechanism Vectors'!P16&lt;&gt;'Mechanism Vectors'!P17)</x:f>
        <x:v>1</x:v>
      </x:c>
      <x:c r="S22" s="19" t="n">
        <x:f>SUM(G22:R22)</x:f>
        <x:v>12</x:v>
      </x:c>
      <x:c r="T22" s="19" t="n">
        <x:f>SUM(G22:J22)</x:f>
        <x:v>4</x:v>
      </x:c>
      <x:c r="U22" s="19" t="n">
        <x:f>Controls!D9</x:f>
        <x:v>8</x:v>
      </x:c>
      <x:c r="V22" s="19" t="n">
        <x:f>Controls!D10</x:f>
        <x:v>4</x:v>
      </x:c>
      <x:c r="W22" s="21" t="str">
        <x:f>IF(AND(S22&gt;=U22,T22=V22),"PASS","FAIL")</x:f>
        <x:v>PASS</x:v>
      </x:c>
    </x:row>
    <x:row r="23">
      <x:c r="C23" s="19" t="str">
        <x:v>MS-HC|B/MS-HC|D</x:v>
      </x:c>
      <x:c r="D23" s="19" t="str">
        <x:v>MS-HC</x:v>
      </x:c>
      <x:c r="E23" s="19" t="str">
        <x:v>MS-HC|B</x:v>
      </x:c>
      <x:c r="F23" s="19" t="str">
        <x:v>MS-HC|D</x:v>
      </x:c>
      <x:c r="G23" s="19" t="n">
        <x:f>--('Mechanism Vectors'!E16&lt;&gt;'Mechanism Vectors'!E18)</x:f>
        <x:v>1</x:v>
      </x:c>
      <x:c r="H23" s="19" t="n">
        <x:f>--('Mechanism Vectors'!F16&lt;&gt;'Mechanism Vectors'!F18)</x:f>
        <x:v>1</x:v>
      </x:c>
      <x:c r="I23" s="19" t="n">
        <x:f>--('Mechanism Vectors'!G16&lt;&gt;'Mechanism Vectors'!G18)</x:f>
        <x:v>1</x:v>
      </x:c>
      <x:c r="J23" s="19" t="n">
        <x:f>--('Mechanism Vectors'!H16&lt;&gt;'Mechanism Vectors'!H18)</x:f>
        <x:v>1</x:v>
      </x:c>
      <x:c r="K23" s="19" t="n">
        <x:f>--('Mechanism Vectors'!I16&lt;&gt;'Mechanism Vectors'!I18)</x:f>
        <x:v>1</x:v>
      </x:c>
      <x:c r="L23" s="19" t="n">
        <x:f>--('Mechanism Vectors'!J16&lt;&gt;'Mechanism Vectors'!J18)</x:f>
        <x:v>1</x:v>
      </x:c>
      <x:c r="M23" s="19" t="n">
        <x:f>--('Mechanism Vectors'!K16&lt;&gt;'Mechanism Vectors'!K18)</x:f>
        <x:v>1</x:v>
      </x:c>
      <x:c r="N23" s="19" t="n">
        <x:f>--('Mechanism Vectors'!L16&lt;&gt;'Mechanism Vectors'!L18)</x:f>
        <x:v>1</x:v>
      </x:c>
      <x:c r="O23" s="19" t="n">
        <x:f>--('Mechanism Vectors'!M16&lt;&gt;'Mechanism Vectors'!M18)</x:f>
        <x:v>1</x:v>
      </x:c>
      <x:c r="P23" s="19" t="n">
        <x:f>--('Mechanism Vectors'!N16&lt;&gt;'Mechanism Vectors'!N18)</x:f>
        <x:v>1</x:v>
      </x:c>
      <x:c r="Q23" s="19" t="n">
        <x:f>--('Mechanism Vectors'!O16&lt;&gt;'Mechanism Vectors'!O18)</x:f>
        <x:v>1</x:v>
      </x:c>
      <x:c r="R23" s="19" t="n">
        <x:f>--('Mechanism Vectors'!P16&lt;&gt;'Mechanism Vectors'!P18)</x:f>
        <x:v>1</x:v>
      </x:c>
      <x:c r="S23" s="19" t="n">
        <x:f>SUM(G23:R23)</x:f>
        <x:v>12</x:v>
      </x:c>
      <x:c r="T23" s="19" t="n">
        <x:f>SUM(G23:J23)</x:f>
        <x:v>4</x:v>
      </x:c>
      <x:c r="U23" s="19" t="n">
        <x:f>Controls!D9</x:f>
        <x:v>8</x:v>
      </x:c>
      <x:c r="V23" s="19" t="n">
        <x:f>Controls!D10</x:f>
        <x:v>4</x:v>
      </x:c>
      <x:c r="W23" s="21" t="str">
        <x:f>IF(AND(S23&gt;=U23,T23=V23),"PASS","FAIL")</x:f>
        <x:v>PASS</x:v>
      </x:c>
    </x:row>
    <x:row r="24">
      <x:c r="C24" s="19" t="str">
        <x:v>MS-HC|C/MS-HC|D</x:v>
      </x:c>
      <x:c r="D24" s="19" t="str">
        <x:v>MS-HC</x:v>
      </x:c>
      <x:c r="E24" s="19" t="str">
        <x:v>MS-HC|C</x:v>
      </x:c>
      <x:c r="F24" s="19" t="str">
        <x:v>MS-HC|D</x:v>
      </x:c>
      <x:c r="G24" s="19" t="n">
        <x:f>--('Mechanism Vectors'!E17&lt;&gt;'Mechanism Vectors'!E18)</x:f>
        <x:v>1</x:v>
      </x:c>
      <x:c r="H24" s="19" t="n">
        <x:f>--('Mechanism Vectors'!F17&lt;&gt;'Mechanism Vectors'!F18)</x:f>
        <x:v>1</x:v>
      </x:c>
      <x:c r="I24" s="19" t="n">
        <x:f>--('Mechanism Vectors'!G17&lt;&gt;'Mechanism Vectors'!G18)</x:f>
        <x:v>1</x:v>
      </x:c>
      <x:c r="J24" s="19" t="n">
        <x:f>--('Mechanism Vectors'!H17&lt;&gt;'Mechanism Vectors'!H18)</x:f>
        <x:v>1</x:v>
      </x:c>
      <x:c r="K24" s="19" t="n">
        <x:f>--('Mechanism Vectors'!I17&lt;&gt;'Mechanism Vectors'!I18)</x:f>
        <x:v>1</x:v>
      </x:c>
      <x:c r="L24" s="19" t="n">
        <x:f>--('Mechanism Vectors'!J17&lt;&gt;'Mechanism Vectors'!J18)</x:f>
        <x:v>1</x:v>
      </x:c>
      <x:c r="M24" s="19" t="n">
        <x:f>--('Mechanism Vectors'!K17&lt;&gt;'Mechanism Vectors'!K18)</x:f>
        <x:v>1</x:v>
      </x:c>
      <x:c r="N24" s="19" t="n">
        <x:f>--('Mechanism Vectors'!L17&lt;&gt;'Mechanism Vectors'!L18)</x:f>
        <x:v>1</x:v>
      </x:c>
      <x:c r="O24" s="19" t="n">
        <x:f>--('Mechanism Vectors'!M17&lt;&gt;'Mechanism Vectors'!M18)</x:f>
        <x:v>1</x:v>
      </x:c>
      <x:c r="P24" s="19" t="n">
        <x:f>--('Mechanism Vectors'!N17&lt;&gt;'Mechanism Vectors'!N18)</x:f>
        <x:v>1</x:v>
      </x:c>
      <x:c r="Q24" s="19" t="n">
        <x:f>--('Mechanism Vectors'!O17&lt;&gt;'Mechanism Vectors'!O18)</x:f>
        <x:v>1</x:v>
      </x:c>
      <x:c r="R24" s="19" t="n">
        <x:f>--('Mechanism Vectors'!P17&lt;&gt;'Mechanism Vectors'!P18)</x:f>
        <x:v>1</x:v>
      </x:c>
      <x:c r="S24" s="19" t="n">
        <x:f>SUM(G24:R24)</x:f>
        <x:v>12</x:v>
      </x:c>
      <x:c r="T24" s="19" t="n">
        <x:f>SUM(G24:J24)</x:f>
        <x:v>4</x:v>
      </x:c>
      <x:c r="U24" s="19" t="n">
        <x:f>Controls!D9</x:f>
        <x:v>8</x:v>
      </x:c>
      <x:c r="V24" s="19" t="n">
        <x:f>Controls!D10</x:f>
        <x:v>4</x:v>
      </x:c>
      <x:c r="W24" s="21" t="str">
        <x:f>IF(AND(S24&gt;=U24,T24=V24),"PASS","FAIL")</x:f>
        <x:v>PASS</x:v>
      </x:c>
    </x:row>
    <x:row r="25">
      <x:c r="C25" s="19" t="str">
        <x:v>MS-HU|A/MS-HU|B</x:v>
      </x:c>
      <x:c r="D25" s="19" t="str">
        <x:v>MS-HU</x:v>
      </x:c>
      <x:c r="E25" s="19" t="str">
        <x:v>MS-HU|A</x:v>
      </x:c>
      <x:c r="F25" s="19" t="str">
        <x:v>MS-HU|B</x:v>
      </x:c>
      <x:c r="G25" s="19" t="n">
        <x:f>--('Mechanism Vectors'!E19&lt;&gt;'Mechanism Vectors'!E20)</x:f>
        <x:v>1</x:v>
      </x:c>
      <x:c r="H25" s="19" t="n">
        <x:f>--('Mechanism Vectors'!F19&lt;&gt;'Mechanism Vectors'!F20)</x:f>
        <x:v>1</x:v>
      </x:c>
      <x:c r="I25" s="19" t="n">
        <x:f>--('Mechanism Vectors'!G19&lt;&gt;'Mechanism Vectors'!G20)</x:f>
        <x:v>1</x:v>
      </x:c>
      <x:c r="J25" s="19" t="n">
        <x:f>--('Mechanism Vectors'!H19&lt;&gt;'Mechanism Vectors'!H20)</x:f>
        <x:v>1</x:v>
      </x:c>
      <x:c r="K25" s="19" t="n">
        <x:f>--('Mechanism Vectors'!I19&lt;&gt;'Mechanism Vectors'!I20)</x:f>
        <x:v>1</x:v>
      </x:c>
      <x:c r="L25" s="19" t="n">
        <x:f>--('Mechanism Vectors'!J19&lt;&gt;'Mechanism Vectors'!J20)</x:f>
        <x:v>1</x:v>
      </x:c>
      <x:c r="M25" s="19" t="n">
        <x:f>--('Mechanism Vectors'!K19&lt;&gt;'Mechanism Vectors'!K20)</x:f>
        <x:v>1</x:v>
      </x:c>
      <x:c r="N25" s="19" t="n">
        <x:f>--('Mechanism Vectors'!L19&lt;&gt;'Mechanism Vectors'!L20)</x:f>
        <x:v>1</x:v>
      </x:c>
      <x:c r="O25" s="19" t="n">
        <x:f>--('Mechanism Vectors'!M19&lt;&gt;'Mechanism Vectors'!M20)</x:f>
        <x:v>1</x:v>
      </x:c>
      <x:c r="P25" s="19" t="n">
        <x:f>--('Mechanism Vectors'!N19&lt;&gt;'Mechanism Vectors'!N20)</x:f>
        <x:v>1</x:v>
      </x:c>
      <x:c r="Q25" s="19" t="n">
        <x:f>--('Mechanism Vectors'!O19&lt;&gt;'Mechanism Vectors'!O20)</x:f>
        <x:v>1</x:v>
      </x:c>
      <x:c r="R25" s="19" t="n">
        <x:f>--('Mechanism Vectors'!P19&lt;&gt;'Mechanism Vectors'!P20)</x:f>
        <x:v>1</x:v>
      </x:c>
      <x:c r="S25" s="19" t="n">
        <x:f>SUM(G25:R25)</x:f>
        <x:v>12</x:v>
      </x:c>
      <x:c r="T25" s="19" t="n">
        <x:f>SUM(G25:J25)</x:f>
        <x:v>4</x:v>
      </x:c>
      <x:c r="U25" s="19" t="n">
        <x:f>Controls!D9</x:f>
        <x:v>8</x:v>
      </x:c>
      <x:c r="V25" s="19" t="n">
        <x:f>Controls!D10</x:f>
        <x:v>4</x:v>
      </x:c>
      <x:c r="W25" s="21" t="str">
        <x:f>IF(AND(S25&gt;=U25,T25=V25),"PASS","FAIL")</x:f>
        <x:v>PASS</x:v>
      </x:c>
    </x:row>
    <x:row r="26">
      <x:c r="C26" s="19" t="str">
        <x:v>MS-HU|A/MS-HU|C</x:v>
      </x:c>
      <x:c r="D26" s="19" t="str">
        <x:v>MS-HU</x:v>
      </x:c>
      <x:c r="E26" s="19" t="str">
        <x:v>MS-HU|A</x:v>
      </x:c>
      <x:c r="F26" s="19" t="str">
        <x:v>MS-HU|C</x:v>
      </x:c>
      <x:c r="G26" s="19" t="n">
        <x:f>--('Mechanism Vectors'!E19&lt;&gt;'Mechanism Vectors'!E21)</x:f>
        <x:v>1</x:v>
      </x:c>
      <x:c r="H26" s="19" t="n">
        <x:f>--('Mechanism Vectors'!F19&lt;&gt;'Mechanism Vectors'!F21)</x:f>
        <x:v>1</x:v>
      </x:c>
      <x:c r="I26" s="19" t="n">
        <x:f>--('Mechanism Vectors'!G19&lt;&gt;'Mechanism Vectors'!G21)</x:f>
        <x:v>1</x:v>
      </x:c>
      <x:c r="J26" s="19" t="n">
        <x:f>--('Mechanism Vectors'!H19&lt;&gt;'Mechanism Vectors'!H21)</x:f>
        <x:v>1</x:v>
      </x:c>
      <x:c r="K26" s="19" t="n">
        <x:f>--('Mechanism Vectors'!I19&lt;&gt;'Mechanism Vectors'!I21)</x:f>
        <x:v>1</x:v>
      </x:c>
      <x:c r="L26" s="19" t="n">
        <x:f>--('Mechanism Vectors'!J19&lt;&gt;'Mechanism Vectors'!J21)</x:f>
        <x:v>1</x:v>
      </x:c>
      <x:c r="M26" s="19" t="n">
        <x:f>--('Mechanism Vectors'!K19&lt;&gt;'Mechanism Vectors'!K21)</x:f>
        <x:v>1</x:v>
      </x:c>
      <x:c r="N26" s="19" t="n">
        <x:f>--('Mechanism Vectors'!L19&lt;&gt;'Mechanism Vectors'!L21)</x:f>
        <x:v>1</x:v>
      </x:c>
      <x:c r="O26" s="19" t="n">
        <x:f>--('Mechanism Vectors'!M19&lt;&gt;'Mechanism Vectors'!M21)</x:f>
        <x:v>1</x:v>
      </x:c>
      <x:c r="P26" s="19" t="n">
        <x:f>--('Mechanism Vectors'!N19&lt;&gt;'Mechanism Vectors'!N21)</x:f>
        <x:v>1</x:v>
      </x:c>
      <x:c r="Q26" s="19" t="n">
        <x:f>--('Mechanism Vectors'!O19&lt;&gt;'Mechanism Vectors'!O21)</x:f>
        <x:v>1</x:v>
      </x:c>
      <x:c r="R26" s="19" t="n">
        <x:f>--('Mechanism Vectors'!P19&lt;&gt;'Mechanism Vectors'!P21)</x:f>
        <x:v>1</x:v>
      </x:c>
      <x:c r="S26" s="19" t="n">
        <x:f>SUM(G26:R26)</x:f>
        <x:v>12</x:v>
      </x:c>
      <x:c r="T26" s="19" t="n">
        <x:f>SUM(G26:J26)</x:f>
        <x:v>4</x:v>
      </x:c>
      <x:c r="U26" s="19" t="n">
        <x:f>Controls!D9</x:f>
        <x:v>8</x:v>
      </x:c>
      <x:c r="V26" s="19" t="n">
        <x:f>Controls!D10</x:f>
        <x:v>4</x:v>
      </x:c>
      <x:c r="W26" s="21" t="str">
        <x:f>IF(AND(S26&gt;=U26,T26=V26),"PASS","FAIL")</x:f>
        <x:v>PASS</x:v>
      </x:c>
    </x:row>
    <x:row r="27">
      <x:c r="C27" s="19" t="str">
        <x:v>MS-HU|A/MS-HU|D</x:v>
      </x:c>
      <x:c r="D27" s="19" t="str">
        <x:v>MS-HU</x:v>
      </x:c>
      <x:c r="E27" s="19" t="str">
        <x:v>MS-HU|A</x:v>
      </x:c>
      <x:c r="F27" s="19" t="str">
        <x:v>MS-HU|D</x:v>
      </x:c>
      <x:c r="G27" s="19" t="n">
        <x:f>--('Mechanism Vectors'!E19&lt;&gt;'Mechanism Vectors'!E22)</x:f>
        <x:v>1</x:v>
      </x:c>
      <x:c r="H27" s="19" t="n">
        <x:f>--('Mechanism Vectors'!F19&lt;&gt;'Mechanism Vectors'!F22)</x:f>
        <x:v>1</x:v>
      </x:c>
      <x:c r="I27" s="19" t="n">
        <x:f>--('Mechanism Vectors'!G19&lt;&gt;'Mechanism Vectors'!G22)</x:f>
        <x:v>1</x:v>
      </x:c>
      <x:c r="J27" s="19" t="n">
        <x:f>--('Mechanism Vectors'!H19&lt;&gt;'Mechanism Vectors'!H22)</x:f>
        <x:v>1</x:v>
      </x:c>
      <x:c r="K27" s="19" t="n">
        <x:f>--('Mechanism Vectors'!I19&lt;&gt;'Mechanism Vectors'!I22)</x:f>
        <x:v>1</x:v>
      </x:c>
      <x:c r="L27" s="19" t="n">
        <x:f>--('Mechanism Vectors'!J19&lt;&gt;'Mechanism Vectors'!J22)</x:f>
        <x:v>1</x:v>
      </x:c>
      <x:c r="M27" s="19" t="n">
        <x:f>--('Mechanism Vectors'!K19&lt;&gt;'Mechanism Vectors'!K22)</x:f>
        <x:v>1</x:v>
      </x:c>
      <x:c r="N27" s="19" t="n">
        <x:f>--('Mechanism Vectors'!L19&lt;&gt;'Mechanism Vectors'!L22)</x:f>
        <x:v>1</x:v>
      </x:c>
      <x:c r="O27" s="19" t="n">
        <x:f>--('Mechanism Vectors'!M19&lt;&gt;'Mechanism Vectors'!M22)</x:f>
        <x:v>1</x:v>
      </x:c>
      <x:c r="P27" s="19" t="n">
        <x:f>--('Mechanism Vectors'!N19&lt;&gt;'Mechanism Vectors'!N22)</x:f>
        <x:v>1</x:v>
      </x:c>
      <x:c r="Q27" s="19" t="n">
        <x:f>--('Mechanism Vectors'!O19&lt;&gt;'Mechanism Vectors'!O22)</x:f>
        <x:v>1</x:v>
      </x:c>
      <x:c r="R27" s="19" t="n">
        <x:f>--('Mechanism Vectors'!P19&lt;&gt;'Mechanism Vectors'!P22)</x:f>
        <x:v>1</x:v>
      </x:c>
      <x:c r="S27" s="19" t="n">
        <x:f>SUM(G27:R27)</x:f>
        <x:v>12</x:v>
      </x:c>
      <x:c r="T27" s="19" t="n">
        <x:f>SUM(G27:J27)</x:f>
        <x:v>4</x:v>
      </x:c>
      <x:c r="U27" s="19" t="n">
        <x:f>Controls!D9</x:f>
        <x:v>8</x:v>
      </x:c>
      <x:c r="V27" s="19" t="n">
        <x:f>Controls!D10</x:f>
        <x:v>4</x:v>
      </x:c>
      <x:c r="W27" s="21" t="str">
        <x:f>IF(AND(S27&gt;=U27,T27=V27),"PASS","FAIL")</x:f>
        <x:v>PASS</x:v>
      </x:c>
    </x:row>
    <x:row r="28">
      <x:c r="C28" s="19" t="str">
        <x:v>MS-HU|B/MS-HU|C</x:v>
      </x:c>
      <x:c r="D28" s="19" t="str">
        <x:v>MS-HU</x:v>
      </x:c>
      <x:c r="E28" s="19" t="str">
        <x:v>MS-HU|B</x:v>
      </x:c>
      <x:c r="F28" s="19" t="str">
        <x:v>MS-HU|C</x:v>
      </x:c>
      <x:c r="G28" s="19" t="n">
        <x:f>--('Mechanism Vectors'!E20&lt;&gt;'Mechanism Vectors'!E21)</x:f>
        <x:v>1</x:v>
      </x:c>
      <x:c r="H28" s="19" t="n">
        <x:f>--('Mechanism Vectors'!F20&lt;&gt;'Mechanism Vectors'!F21)</x:f>
        <x:v>1</x:v>
      </x:c>
      <x:c r="I28" s="19" t="n">
        <x:f>--('Mechanism Vectors'!G20&lt;&gt;'Mechanism Vectors'!G21)</x:f>
        <x:v>1</x:v>
      </x:c>
      <x:c r="J28" s="19" t="n">
        <x:f>--('Mechanism Vectors'!H20&lt;&gt;'Mechanism Vectors'!H21)</x:f>
        <x:v>1</x:v>
      </x:c>
      <x:c r="K28" s="19" t="n">
        <x:f>--('Mechanism Vectors'!I20&lt;&gt;'Mechanism Vectors'!I21)</x:f>
        <x:v>1</x:v>
      </x:c>
      <x:c r="L28" s="19" t="n">
        <x:f>--('Mechanism Vectors'!J20&lt;&gt;'Mechanism Vectors'!J21)</x:f>
        <x:v>1</x:v>
      </x:c>
      <x:c r="M28" s="19" t="n">
        <x:f>--('Mechanism Vectors'!K20&lt;&gt;'Mechanism Vectors'!K21)</x:f>
        <x:v>1</x:v>
      </x:c>
      <x:c r="N28" s="19" t="n">
        <x:f>--('Mechanism Vectors'!L20&lt;&gt;'Mechanism Vectors'!L21)</x:f>
        <x:v>1</x:v>
      </x:c>
      <x:c r="O28" s="19" t="n">
        <x:f>--('Mechanism Vectors'!M20&lt;&gt;'Mechanism Vectors'!M21)</x:f>
        <x:v>1</x:v>
      </x:c>
      <x:c r="P28" s="19" t="n">
        <x:f>--('Mechanism Vectors'!N20&lt;&gt;'Mechanism Vectors'!N21)</x:f>
        <x:v>1</x:v>
      </x:c>
      <x:c r="Q28" s="19" t="n">
        <x:f>--('Mechanism Vectors'!O20&lt;&gt;'Mechanism Vectors'!O21)</x:f>
        <x:v>1</x:v>
      </x:c>
      <x:c r="R28" s="19" t="n">
        <x:f>--('Mechanism Vectors'!P20&lt;&gt;'Mechanism Vectors'!P21)</x:f>
        <x:v>1</x:v>
      </x:c>
      <x:c r="S28" s="19" t="n">
        <x:f>SUM(G28:R28)</x:f>
        <x:v>12</x:v>
      </x:c>
      <x:c r="T28" s="19" t="n">
        <x:f>SUM(G28:J28)</x:f>
        <x:v>4</x:v>
      </x:c>
      <x:c r="U28" s="19" t="n">
        <x:f>Controls!D9</x:f>
        <x:v>8</x:v>
      </x:c>
      <x:c r="V28" s="19" t="n">
        <x:f>Controls!D10</x:f>
        <x:v>4</x:v>
      </x:c>
      <x:c r="W28" s="21" t="str">
        <x:f>IF(AND(S28&gt;=U28,T28=V28),"PASS","FAIL")</x:f>
        <x:v>PASS</x:v>
      </x:c>
    </x:row>
    <x:row r="29">
      <x:c r="C29" s="19" t="str">
        <x:v>MS-HU|B/MS-HU|D</x:v>
      </x:c>
      <x:c r="D29" s="19" t="str">
        <x:v>MS-HU</x:v>
      </x:c>
      <x:c r="E29" s="19" t="str">
        <x:v>MS-HU|B</x:v>
      </x:c>
      <x:c r="F29" s="19" t="str">
        <x:v>MS-HU|D</x:v>
      </x:c>
      <x:c r="G29" s="19" t="n">
        <x:f>--('Mechanism Vectors'!E20&lt;&gt;'Mechanism Vectors'!E22)</x:f>
        <x:v>1</x:v>
      </x:c>
      <x:c r="H29" s="19" t="n">
        <x:f>--('Mechanism Vectors'!F20&lt;&gt;'Mechanism Vectors'!F22)</x:f>
        <x:v>1</x:v>
      </x:c>
      <x:c r="I29" s="19" t="n">
        <x:f>--('Mechanism Vectors'!G20&lt;&gt;'Mechanism Vectors'!G22)</x:f>
        <x:v>1</x:v>
      </x:c>
      <x:c r="J29" s="19" t="n">
        <x:f>--('Mechanism Vectors'!H20&lt;&gt;'Mechanism Vectors'!H22)</x:f>
        <x:v>1</x:v>
      </x:c>
      <x:c r="K29" s="19" t="n">
        <x:f>--('Mechanism Vectors'!I20&lt;&gt;'Mechanism Vectors'!I22)</x:f>
        <x:v>1</x:v>
      </x:c>
      <x:c r="L29" s="19" t="n">
        <x:f>--('Mechanism Vectors'!J20&lt;&gt;'Mechanism Vectors'!J22)</x:f>
        <x:v>1</x:v>
      </x:c>
      <x:c r="M29" s="19" t="n">
        <x:f>--('Mechanism Vectors'!K20&lt;&gt;'Mechanism Vectors'!K22)</x:f>
        <x:v>1</x:v>
      </x:c>
      <x:c r="N29" s="19" t="n">
        <x:f>--('Mechanism Vectors'!L20&lt;&gt;'Mechanism Vectors'!L22)</x:f>
        <x:v>1</x:v>
      </x:c>
      <x:c r="O29" s="19" t="n">
        <x:f>--('Mechanism Vectors'!M20&lt;&gt;'Mechanism Vectors'!M22)</x:f>
        <x:v>1</x:v>
      </x:c>
      <x:c r="P29" s="19" t="n">
        <x:f>--('Mechanism Vectors'!N20&lt;&gt;'Mechanism Vectors'!N22)</x:f>
        <x:v>1</x:v>
      </x:c>
      <x:c r="Q29" s="19" t="n">
        <x:f>--('Mechanism Vectors'!O20&lt;&gt;'Mechanism Vectors'!O22)</x:f>
        <x:v>1</x:v>
      </x:c>
      <x:c r="R29" s="19" t="n">
        <x:f>--('Mechanism Vectors'!P20&lt;&gt;'Mechanism Vectors'!P22)</x:f>
        <x:v>1</x:v>
      </x:c>
      <x:c r="S29" s="19" t="n">
        <x:f>SUM(G29:R29)</x:f>
        <x:v>12</x:v>
      </x:c>
      <x:c r="T29" s="19" t="n">
        <x:f>SUM(G29:J29)</x:f>
        <x:v>4</x:v>
      </x:c>
      <x:c r="U29" s="19" t="n">
        <x:f>Controls!D9</x:f>
        <x:v>8</x:v>
      </x:c>
      <x:c r="V29" s="19" t="n">
        <x:f>Controls!D10</x:f>
        <x:v>4</x:v>
      </x:c>
      <x:c r="W29" s="21" t="str">
        <x:f>IF(AND(S29&gt;=U29,T29=V29),"PASS","FAIL")</x:f>
        <x:v>PASS</x:v>
      </x:c>
    </x:row>
    <x:row r="30">
      <x:c r="C30" s="19" t="str">
        <x:v>MS-HU|C/MS-HU|D</x:v>
      </x:c>
      <x:c r="D30" s="19" t="str">
        <x:v>MS-HU</x:v>
      </x:c>
      <x:c r="E30" s="19" t="str">
        <x:v>MS-HU|C</x:v>
      </x:c>
      <x:c r="F30" s="19" t="str">
        <x:v>MS-HU|D</x:v>
      </x:c>
      <x:c r="G30" s="19" t="n">
        <x:f>--('Mechanism Vectors'!E21&lt;&gt;'Mechanism Vectors'!E22)</x:f>
        <x:v>1</x:v>
      </x:c>
      <x:c r="H30" s="19" t="n">
        <x:f>--('Mechanism Vectors'!F21&lt;&gt;'Mechanism Vectors'!F22)</x:f>
        <x:v>1</x:v>
      </x:c>
      <x:c r="I30" s="19" t="n">
        <x:f>--('Mechanism Vectors'!G21&lt;&gt;'Mechanism Vectors'!G22)</x:f>
        <x:v>1</x:v>
      </x:c>
      <x:c r="J30" s="19" t="n">
        <x:f>--('Mechanism Vectors'!H21&lt;&gt;'Mechanism Vectors'!H22)</x:f>
        <x:v>1</x:v>
      </x:c>
      <x:c r="K30" s="19" t="n">
        <x:f>--('Mechanism Vectors'!I21&lt;&gt;'Mechanism Vectors'!I22)</x:f>
        <x:v>1</x:v>
      </x:c>
      <x:c r="L30" s="19" t="n">
        <x:f>--('Mechanism Vectors'!J21&lt;&gt;'Mechanism Vectors'!J22)</x:f>
        <x:v>1</x:v>
      </x:c>
      <x:c r="M30" s="19" t="n">
        <x:f>--('Mechanism Vectors'!K21&lt;&gt;'Mechanism Vectors'!K22)</x:f>
        <x:v>1</x:v>
      </x:c>
      <x:c r="N30" s="19" t="n">
        <x:f>--('Mechanism Vectors'!L21&lt;&gt;'Mechanism Vectors'!L22)</x:f>
        <x:v>1</x:v>
      </x:c>
      <x:c r="O30" s="19" t="n">
        <x:f>--('Mechanism Vectors'!M21&lt;&gt;'Mechanism Vectors'!M22)</x:f>
        <x:v>1</x:v>
      </x:c>
      <x:c r="P30" s="19" t="n">
        <x:f>--('Mechanism Vectors'!N21&lt;&gt;'Mechanism Vectors'!N22)</x:f>
        <x:v>1</x:v>
      </x:c>
      <x:c r="Q30" s="19" t="n">
        <x:f>--('Mechanism Vectors'!O21&lt;&gt;'Mechanism Vectors'!O22)</x:f>
        <x:v>1</x:v>
      </x:c>
      <x:c r="R30" s="19" t="n">
        <x:f>--('Mechanism Vectors'!P21&lt;&gt;'Mechanism Vectors'!P22)</x:f>
        <x:v>1</x:v>
      </x:c>
      <x:c r="S30" s="19" t="n">
        <x:f>SUM(G30:R30)</x:f>
        <x:v>12</x:v>
      </x:c>
      <x:c r="T30" s="19" t="n">
        <x:f>SUM(G30:J30)</x:f>
        <x:v>4</x:v>
      </x:c>
      <x:c r="U30" s="19" t="n">
        <x:f>Controls!D9</x:f>
        <x:v>8</x:v>
      </x:c>
      <x:c r="V30" s="19" t="n">
        <x:f>Controls!D10</x:f>
        <x:v>4</x:v>
      </x:c>
      <x:c r="W30" s="21" t="str">
        <x:f>IF(AND(S30&gt;=U30,T30=V30),"PASS","FAIL")</x:f>
        <x:v>PASS</x:v>
      </x:c>
    </x:row>
    <x:row r="31">
      <x:c r="C31" s="19" t="str">
        <x:v>MS-RT|A/MS-RT|B</x:v>
      </x:c>
      <x:c r="D31" s="19" t="str">
        <x:v>MS-RT</x:v>
      </x:c>
      <x:c r="E31" s="19" t="str">
        <x:v>MS-RT|A</x:v>
      </x:c>
      <x:c r="F31" s="19" t="str">
        <x:v>MS-RT|B</x:v>
      </x:c>
      <x:c r="G31" s="19" t="n">
        <x:f>--('Mechanism Vectors'!E23&lt;&gt;'Mechanism Vectors'!E24)</x:f>
        <x:v>1</x:v>
      </x:c>
      <x:c r="H31" s="19" t="n">
        <x:f>--('Mechanism Vectors'!F23&lt;&gt;'Mechanism Vectors'!F24)</x:f>
        <x:v>1</x:v>
      </x:c>
      <x:c r="I31" s="19" t="n">
        <x:f>--('Mechanism Vectors'!G23&lt;&gt;'Mechanism Vectors'!G24)</x:f>
        <x:v>1</x:v>
      </x:c>
      <x:c r="J31" s="19" t="n">
        <x:f>--('Mechanism Vectors'!H23&lt;&gt;'Mechanism Vectors'!H24)</x:f>
        <x:v>1</x:v>
      </x:c>
      <x:c r="K31" s="19" t="n">
        <x:f>--('Mechanism Vectors'!I23&lt;&gt;'Mechanism Vectors'!I24)</x:f>
        <x:v>1</x:v>
      </x:c>
      <x:c r="L31" s="19" t="n">
        <x:f>--('Mechanism Vectors'!J23&lt;&gt;'Mechanism Vectors'!J24)</x:f>
        <x:v>1</x:v>
      </x:c>
      <x:c r="M31" s="19" t="n">
        <x:f>--('Mechanism Vectors'!K23&lt;&gt;'Mechanism Vectors'!K24)</x:f>
        <x:v>1</x:v>
      </x:c>
      <x:c r="N31" s="19" t="n">
        <x:f>--('Mechanism Vectors'!L23&lt;&gt;'Mechanism Vectors'!L24)</x:f>
        <x:v>1</x:v>
      </x:c>
      <x:c r="O31" s="19" t="n">
        <x:f>--('Mechanism Vectors'!M23&lt;&gt;'Mechanism Vectors'!M24)</x:f>
        <x:v>1</x:v>
      </x:c>
      <x:c r="P31" s="19" t="n">
        <x:f>--('Mechanism Vectors'!N23&lt;&gt;'Mechanism Vectors'!N24)</x:f>
        <x:v>1</x:v>
      </x:c>
      <x:c r="Q31" s="19" t="n">
        <x:f>--('Mechanism Vectors'!O23&lt;&gt;'Mechanism Vectors'!O24)</x:f>
        <x:v>1</x:v>
      </x:c>
      <x:c r="R31" s="19" t="n">
        <x:f>--('Mechanism Vectors'!P23&lt;&gt;'Mechanism Vectors'!P24)</x:f>
        <x:v>1</x:v>
      </x:c>
      <x:c r="S31" s="19" t="n">
        <x:f>SUM(G31:R31)</x:f>
        <x:v>12</x:v>
      </x:c>
      <x:c r="T31" s="19" t="n">
        <x:f>SUM(G31:J31)</x:f>
        <x:v>4</x:v>
      </x:c>
      <x:c r="U31" s="19" t="n">
        <x:f>Controls!D9</x:f>
        <x:v>8</x:v>
      </x:c>
      <x:c r="V31" s="19" t="n">
        <x:f>Controls!D10</x:f>
        <x:v>4</x:v>
      </x:c>
      <x:c r="W31" s="21" t="str">
        <x:f>IF(AND(S31&gt;=U31,T31=V31),"PASS","FAIL")</x:f>
        <x:v>PASS</x:v>
      </x:c>
    </x:row>
    <x:row r="32">
      <x:c r="C32" s="19" t="str">
        <x:v>MS-RT|A/MS-RT|C</x:v>
      </x:c>
      <x:c r="D32" s="19" t="str">
        <x:v>MS-RT</x:v>
      </x:c>
      <x:c r="E32" s="19" t="str">
        <x:v>MS-RT|A</x:v>
      </x:c>
      <x:c r="F32" s="19" t="str">
        <x:v>MS-RT|C</x:v>
      </x:c>
      <x:c r="G32" s="19" t="n">
        <x:f>--('Mechanism Vectors'!E23&lt;&gt;'Mechanism Vectors'!E25)</x:f>
        <x:v>1</x:v>
      </x:c>
      <x:c r="H32" s="19" t="n">
        <x:f>--('Mechanism Vectors'!F23&lt;&gt;'Mechanism Vectors'!F25)</x:f>
        <x:v>1</x:v>
      </x:c>
      <x:c r="I32" s="19" t="n">
        <x:f>--('Mechanism Vectors'!G23&lt;&gt;'Mechanism Vectors'!G25)</x:f>
        <x:v>1</x:v>
      </x:c>
      <x:c r="J32" s="19" t="n">
        <x:f>--('Mechanism Vectors'!H23&lt;&gt;'Mechanism Vectors'!H25)</x:f>
        <x:v>1</x:v>
      </x:c>
      <x:c r="K32" s="19" t="n">
        <x:f>--('Mechanism Vectors'!I23&lt;&gt;'Mechanism Vectors'!I25)</x:f>
        <x:v>1</x:v>
      </x:c>
      <x:c r="L32" s="19" t="n">
        <x:f>--('Mechanism Vectors'!J23&lt;&gt;'Mechanism Vectors'!J25)</x:f>
        <x:v>1</x:v>
      </x:c>
      <x:c r="M32" s="19" t="n">
        <x:f>--('Mechanism Vectors'!K23&lt;&gt;'Mechanism Vectors'!K25)</x:f>
        <x:v>1</x:v>
      </x:c>
      <x:c r="N32" s="19" t="n">
        <x:f>--('Mechanism Vectors'!L23&lt;&gt;'Mechanism Vectors'!L25)</x:f>
        <x:v>1</x:v>
      </x:c>
      <x:c r="O32" s="19" t="n">
        <x:f>--('Mechanism Vectors'!M23&lt;&gt;'Mechanism Vectors'!M25)</x:f>
        <x:v>1</x:v>
      </x:c>
      <x:c r="P32" s="19" t="n">
        <x:f>--('Mechanism Vectors'!N23&lt;&gt;'Mechanism Vectors'!N25)</x:f>
        <x:v>1</x:v>
      </x:c>
      <x:c r="Q32" s="19" t="n">
        <x:f>--('Mechanism Vectors'!O23&lt;&gt;'Mechanism Vectors'!O25)</x:f>
        <x:v>1</x:v>
      </x:c>
      <x:c r="R32" s="19" t="n">
        <x:f>--('Mechanism Vectors'!P23&lt;&gt;'Mechanism Vectors'!P25)</x:f>
        <x:v>1</x:v>
      </x:c>
      <x:c r="S32" s="19" t="n">
        <x:f>SUM(G32:R32)</x:f>
        <x:v>12</x:v>
      </x:c>
      <x:c r="T32" s="19" t="n">
        <x:f>SUM(G32:J32)</x:f>
        <x:v>4</x:v>
      </x:c>
      <x:c r="U32" s="19" t="n">
        <x:f>Controls!D9</x:f>
        <x:v>8</x:v>
      </x:c>
      <x:c r="V32" s="19" t="n">
        <x:f>Controls!D10</x:f>
        <x:v>4</x:v>
      </x:c>
      <x:c r="W32" s="21" t="str">
        <x:f>IF(AND(S32&gt;=U32,T32=V32),"PASS","FAIL")</x:f>
        <x:v>PASS</x:v>
      </x:c>
    </x:row>
    <x:row r="33">
      <x:c r="C33" s="19" t="str">
        <x:v>MS-RT|A/MS-RT|D</x:v>
      </x:c>
      <x:c r="D33" s="19" t="str">
        <x:v>MS-RT</x:v>
      </x:c>
      <x:c r="E33" s="19" t="str">
        <x:v>MS-RT|A</x:v>
      </x:c>
      <x:c r="F33" s="19" t="str">
        <x:v>MS-RT|D</x:v>
      </x:c>
      <x:c r="G33" s="19" t="n">
        <x:f>--('Mechanism Vectors'!E23&lt;&gt;'Mechanism Vectors'!E26)</x:f>
        <x:v>1</x:v>
      </x:c>
      <x:c r="H33" s="19" t="n">
        <x:f>--('Mechanism Vectors'!F23&lt;&gt;'Mechanism Vectors'!F26)</x:f>
        <x:v>1</x:v>
      </x:c>
      <x:c r="I33" s="19" t="n">
        <x:f>--('Mechanism Vectors'!G23&lt;&gt;'Mechanism Vectors'!G26)</x:f>
        <x:v>1</x:v>
      </x:c>
      <x:c r="J33" s="19" t="n">
        <x:f>--('Mechanism Vectors'!H23&lt;&gt;'Mechanism Vectors'!H26)</x:f>
        <x:v>1</x:v>
      </x:c>
      <x:c r="K33" s="19" t="n">
        <x:f>--('Mechanism Vectors'!I23&lt;&gt;'Mechanism Vectors'!I26)</x:f>
        <x:v>1</x:v>
      </x:c>
      <x:c r="L33" s="19" t="n">
        <x:f>--('Mechanism Vectors'!J23&lt;&gt;'Mechanism Vectors'!J26)</x:f>
        <x:v>1</x:v>
      </x:c>
      <x:c r="M33" s="19" t="n">
        <x:f>--('Mechanism Vectors'!K23&lt;&gt;'Mechanism Vectors'!K26)</x:f>
        <x:v>1</x:v>
      </x:c>
      <x:c r="N33" s="19" t="n">
        <x:f>--('Mechanism Vectors'!L23&lt;&gt;'Mechanism Vectors'!L26)</x:f>
        <x:v>1</x:v>
      </x:c>
      <x:c r="O33" s="19" t="n">
        <x:f>--('Mechanism Vectors'!M23&lt;&gt;'Mechanism Vectors'!M26)</x:f>
        <x:v>1</x:v>
      </x:c>
      <x:c r="P33" s="19" t="n">
        <x:f>--('Mechanism Vectors'!N23&lt;&gt;'Mechanism Vectors'!N26)</x:f>
        <x:v>1</x:v>
      </x:c>
      <x:c r="Q33" s="19" t="n">
        <x:f>--('Mechanism Vectors'!O23&lt;&gt;'Mechanism Vectors'!O26)</x:f>
        <x:v>1</x:v>
      </x:c>
      <x:c r="R33" s="19" t="n">
        <x:f>--('Mechanism Vectors'!P23&lt;&gt;'Mechanism Vectors'!P26)</x:f>
        <x:v>1</x:v>
      </x:c>
      <x:c r="S33" s="19" t="n">
        <x:f>SUM(G33:R33)</x:f>
        <x:v>12</x:v>
      </x:c>
      <x:c r="T33" s="19" t="n">
        <x:f>SUM(G33:J33)</x:f>
        <x:v>4</x:v>
      </x:c>
      <x:c r="U33" s="19" t="n">
        <x:f>Controls!D9</x:f>
        <x:v>8</x:v>
      </x:c>
      <x:c r="V33" s="19" t="n">
        <x:f>Controls!D10</x:f>
        <x:v>4</x:v>
      </x:c>
      <x:c r="W33" s="21" t="str">
        <x:f>IF(AND(S33&gt;=U33,T33=V33),"PASS","FAIL")</x:f>
        <x:v>PASS</x:v>
      </x:c>
    </x:row>
    <x:row r="34">
      <x:c r="C34" s="19" t="str">
        <x:v>MS-RT|B/MS-RT|C</x:v>
      </x:c>
      <x:c r="D34" s="19" t="str">
        <x:v>MS-RT</x:v>
      </x:c>
      <x:c r="E34" s="19" t="str">
        <x:v>MS-RT|B</x:v>
      </x:c>
      <x:c r="F34" s="19" t="str">
        <x:v>MS-RT|C</x:v>
      </x:c>
      <x:c r="G34" s="19" t="n">
        <x:f>--('Mechanism Vectors'!E24&lt;&gt;'Mechanism Vectors'!E25)</x:f>
        <x:v>1</x:v>
      </x:c>
      <x:c r="H34" s="19" t="n">
        <x:f>--('Mechanism Vectors'!F24&lt;&gt;'Mechanism Vectors'!F25)</x:f>
        <x:v>1</x:v>
      </x:c>
      <x:c r="I34" s="19" t="n">
        <x:f>--('Mechanism Vectors'!G24&lt;&gt;'Mechanism Vectors'!G25)</x:f>
        <x:v>1</x:v>
      </x:c>
      <x:c r="J34" s="19" t="n">
        <x:f>--('Mechanism Vectors'!H24&lt;&gt;'Mechanism Vectors'!H25)</x:f>
        <x:v>1</x:v>
      </x:c>
      <x:c r="K34" s="19" t="n">
        <x:f>--('Mechanism Vectors'!I24&lt;&gt;'Mechanism Vectors'!I25)</x:f>
        <x:v>1</x:v>
      </x:c>
      <x:c r="L34" s="19" t="n">
        <x:f>--('Mechanism Vectors'!J24&lt;&gt;'Mechanism Vectors'!J25)</x:f>
        <x:v>1</x:v>
      </x:c>
      <x:c r="M34" s="19" t="n">
        <x:f>--('Mechanism Vectors'!K24&lt;&gt;'Mechanism Vectors'!K25)</x:f>
        <x:v>1</x:v>
      </x:c>
      <x:c r="N34" s="19" t="n">
        <x:f>--('Mechanism Vectors'!L24&lt;&gt;'Mechanism Vectors'!L25)</x:f>
        <x:v>1</x:v>
      </x:c>
      <x:c r="O34" s="19" t="n">
        <x:f>--('Mechanism Vectors'!M24&lt;&gt;'Mechanism Vectors'!M25)</x:f>
        <x:v>1</x:v>
      </x:c>
      <x:c r="P34" s="19" t="n">
        <x:f>--('Mechanism Vectors'!N24&lt;&gt;'Mechanism Vectors'!N25)</x:f>
        <x:v>1</x:v>
      </x:c>
      <x:c r="Q34" s="19" t="n">
        <x:f>--('Mechanism Vectors'!O24&lt;&gt;'Mechanism Vectors'!O25)</x:f>
        <x:v>1</x:v>
      </x:c>
      <x:c r="R34" s="19" t="n">
        <x:f>--('Mechanism Vectors'!P24&lt;&gt;'Mechanism Vectors'!P25)</x:f>
        <x:v>1</x:v>
      </x:c>
      <x:c r="S34" s="19" t="n">
        <x:f>SUM(G34:R34)</x:f>
        <x:v>12</x:v>
      </x:c>
      <x:c r="T34" s="19" t="n">
        <x:f>SUM(G34:J34)</x:f>
        <x:v>4</x:v>
      </x:c>
      <x:c r="U34" s="19" t="n">
        <x:f>Controls!D9</x:f>
        <x:v>8</x:v>
      </x:c>
      <x:c r="V34" s="19" t="n">
        <x:f>Controls!D10</x:f>
        <x:v>4</x:v>
      </x:c>
      <x:c r="W34" s="21" t="str">
        <x:f>IF(AND(S34&gt;=U34,T34=V34),"PASS","FAIL")</x:f>
        <x:v>PASS</x:v>
      </x:c>
    </x:row>
    <x:row r="35">
      <x:c r="C35" s="19" t="str">
        <x:v>MS-RT|B/MS-RT|D</x:v>
      </x:c>
      <x:c r="D35" s="19" t="str">
        <x:v>MS-RT</x:v>
      </x:c>
      <x:c r="E35" s="19" t="str">
        <x:v>MS-RT|B</x:v>
      </x:c>
      <x:c r="F35" s="19" t="str">
        <x:v>MS-RT|D</x:v>
      </x:c>
      <x:c r="G35" s="19" t="n">
        <x:f>--('Mechanism Vectors'!E24&lt;&gt;'Mechanism Vectors'!E26)</x:f>
        <x:v>1</x:v>
      </x:c>
      <x:c r="H35" s="19" t="n">
        <x:f>--('Mechanism Vectors'!F24&lt;&gt;'Mechanism Vectors'!F26)</x:f>
        <x:v>1</x:v>
      </x:c>
      <x:c r="I35" s="19" t="n">
        <x:f>--('Mechanism Vectors'!G24&lt;&gt;'Mechanism Vectors'!G26)</x:f>
        <x:v>1</x:v>
      </x:c>
      <x:c r="J35" s="19" t="n">
        <x:f>--('Mechanism Vectors'!H24&lt;&gt;'Mechanism Vectors'!H26)</x:f>
        <x:v>1</x:v>
      </x:c>
      <x:c r="K35" s="19" t="n">
        <x:f>--('Mechanism Vectors'!I24&lt;&gt;'Mechanism Vectors'!I26)</x:f>
        <x:v>1</x:v>
      </x:c>
      <x:c r="L35" s="19" t="n">
        <x:f>--('Mechanism Vectors'!J24&lt;&gt;'Mechanism Vectors'!J26)</x:f>
        <x:v>1</x:v>
      </x:c>
      <x:c r="M35" s="19" t="n">
        <x:f>--('Mechanism Vectors'!K24&lt;&gt;'Mechanism Vectors'!K26)</x:f>
        <x:v>1</x:v>
      </x:c>
      <x:c r="N35" s="19" t="n">
        <x:f>--('Mechanism Vectors'!L24&lt;&gt;'Mechanism Vectors'!L26)</x:f>
        <x:v>1</x:v>
      </x:c>
      <x:c r="O35" s="19" t="n">
        <x:f>--('Mechanism Vectors'!M24&lt;&gt;'Mechanism Vectors'!M26)</x:f>
        <x:v>1</x:v>
      </x:c>
      <x:c r="P35" s="19" t="n">
        <x:f>--('Mechanism Vectors'!N24&lt;&gt;'Mechanism Vectors'!N26)</x:f>
        <x:v>1</x:v>
      </x:c>
      <x:c r="Q35" s="19" t="n">
        <x:f>--('Mechanism Vectors'!O24&lt;&gt;'Mechanism Vectors'!O26)</x:f>
        <x:v>1</x:v>
      </x:c>
      <x:c r="R35" s="19" t="n">
        <x:f>--('Mechanism Vectors'!P24&lt;&gt;'Mechanism Vectors'!P26)</x:f>
        <x:v>1</x:v>
      </x:c>
      <x:c r="S35" s="19" t="n">
        <x:f>SUM(G35:R35)</x:f>
        <x:v>12</x:v>
      </x:c>
      <x:c r="T35" s="19" t="n">
        <x:f>SUM(G35:J35)</x:f>
        <x:v>4</x:v>
      </x:c>
      <x:c r="U35" s="19" t="n">
        <x:f>Controls!D9</x:f>
        <x:v>8</x:v>
      </x:c>
      <x:c r="V35" s="19" t="n">
        <x:f>Controls!D10</x:f>
        <x:v>4</x:v>
      </x:c>
      <x:c r="W35" s="21" t="str">
        <x:f>IF(AND(S35&gt;=U35,T35=V35),"PASS","FAIL")</x:f>
        <x:v>PASS</x:v>
      </x:c>
    </x:row>
    <x:row r="36">
      <x:c r="C36" s="22" t="str">
        <x:v>MS-RT|C/MS-RT|D</x:v>
      </x:c>
      <x:c r="D36" s="22" t="str">
        <x:v>MS-RT</x:v>
      </x:c>
      <x:c r="E36" s="22" t="str">
        <x:v>MS-RT|C</x:v>
      </x:c>
      <x:c r="F36" s="22" t="str">
        <x:v>MS-RT|D</x:v>
      </x:c>
      <x:c r="G36" s="22" t="n">
        <x:f>--('Mechanism Vectors'!E25&lt;&gt;'Mechanism Vectors'!E26)</x:f>
        <x:v>1</x:v>
      </x:c>
      <x:c r="H36" s="22" t="n">
        <x:f>--('Mechanism Vectors'!F25&lt;&gt;'Mechanism Vectors'!F26)</x:f>
        <x:v>1</x:v>
      </x:c>
      <x:c r="I36" s="22" t="n">
        <x:f>--('Mechanism Vectors'!G25&lt;&gt;'Mechanism Vectors'!G26)</x:f>
        <x:v>1</x:v>
      </x:c>
      <x:c r="J36" s="22" t="n">
        <x:f>--('Mechanism Vectors'!H25&lt;&gt;'Mechanism Vectors'!H26)</x:f>
        <x:v>1</x:v>
      </x:c>
      <x:c r="K36" s="22" t="n">
        <x:f>--('Mechanism Vectors'!I25&lt;&gt;'Mechanism Vectors'!I26)</x:f>
        <x:v>1</x:v>
      </x:c>
      <x:c r="L36" s="22" t="n">
        <x:f>--('Mechanism Vectors'!J25&lt;&gt;'Mechanism Vectors'!J26)</x:f>
        <x:v>1</x:v>
      </x:c>
      <x:c r="M36" s="22" t="n">
        <x:f>--('Mechanism Vectors'!K25&lt;&gt;'Mechanism Vectors'!K26)</x:f>
        <x:v>1</x:v>
      </x:c>
      <x:c r="N36" s="22" t="n">
        <x:f>--('Mechanism Vectors'!L25&lt;&gt;'Mechanism Vectors'!L26)</x:f>
        <x:v>1</x:v>
      </x:c>
      <x:c r="O36" s="22" t="n">
        <x:f>--('Mechanism Vectors'!M25&lt;&gt;'Mechanism Vectors'!M26)</x:f>
        <x:v>1</x:v>
      </x:c>
      <x:c r="P36" s="22" t="n">
        <x:f>--('Mechanism Vectors'!N25&lt;&gt;'Mechanism Vectors'!N26)</x:f>
        <x:v>1</x:v>
      </x:c>
      <x:c r="Q36" s="22" t="n">
        <x:f>--('Mechanism Vectors'!O25&lt;&gt;'Mechanism Vectors'!O26)</x:f>
        <x:v>1</x:v>
      </x:c>
      <x:c r="R36" s="22" t="n">
        <x:f>--('Mechanism Vectors'!P25&lt;&gt;'Mechanism Vectors'!P26)</x:f>
        <x:v>1</x:v>
      </x:c>
      <x:c r="S36" s="22" t="n">
        <x:f>SUM(G36:R36)</x:f>
        <x:v>12</x:v>
      </x:c>
      <x:c r="T36" s="22" t="n">
        <x:f>SUM(G36:J36)</x:f>
        <x:v>4</x:v>
      </x:c>
      <x:c r="U36" s="22" t="n">
        <x:f>Controls!D9</x:f>
        <x:v>8</x:v>
      </x:c>
      <x:c r="V36" s="22" t="n">
        <x:f>Controls!D10</x:f>
        <x:v>4</x:v>
      </x:c>
      <x:c r="W36" s="24" t="str">
        <x:f>IF(AND(S36&gt;=U36,T36=V36),"PASS","FAIL")</x:f>
        <x:v>PASS</x:v>
      </x:c>
    </x:row>
    <x:row r="37"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</x:row>
    <x:row r="38"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</x:row>
    <x:row r="39"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</x:row>
    <x:row r="40"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</x:row>
    <x:row r="41"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</x:row>
    <x:row r="42"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3" max="3" width="13" hidden="0" customWidth="1"/>
    <x:col min="4" max="4" width="13" hidden="0" customWidth="1"/>
    <x:col min="5" max="5" width="13" hidden="0" customWidth="1"/>
    <x:col min="6" max="6" width="38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56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48"/>
      <x:c r="P1" s="48"/>
      <x:c r="Q1" s="48"/>
      <x:c r="R1" s="48"/>
      <x:c r="S1" s="48"/>
      <x:c r="T1" s="48"/>
      <x:c r="U1" s="48"/>
      <x:c r="V1" s="48"/>
      <x:c r="W1" s="48"/>
    </x:row>
    <x:row r="2">
      <x:c r="C2" s="3" t="str">
        <x:v>Ninety-two complete root-route obligations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48"/>
      <x:c r="P2" s="48"/>
      <x:c r="Q2" s="48"/>
      <x:c r="R2" s="48"/>
      <x:c r="S2" s="48"/>
      <x:c r="T2" s="48"/>
      <x:c r="U2" s="48"/>
      <x:c r="V2" s="48"/>
      <x:c r="W2" s="48"/>
    </x:row>
    <x:row r="3">
      <x:c r="C3" s="5" t="str">
        <x:v>Every non-lifeline root retains every route; route presence is not physical acceptance.</x:v>
      </x:c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49"/>
      <x:c r="P3" s="49"/>
      <x:c r="Q3" s="49"/>
      <x:c r="R3" s="49"/>
      <x:c r="S3" s="49"/>
      <x:c r="T3" s="49"/>
      <x:c r="U3" s="49"/>
      <x:c r="V3" s="49"/>
      <x:c r="W3" s="49"/>
    </x:row>
    <x:row r="4"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48"/>
      <x:c r="P4" s="48"/>
      <x:c r="Q4" s="48"/>
      <x:c r="R4" s="48"/>
      <x:c r="S4" s="48"/>
      <x:c r="T4" s="48"/>
      <x:c r="U4" s="48"/>
      <x:c r="V4" s="48"/>
      <x:c r="W4" s="48"/>
    </x:row>
    <x:row r="5"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48"/>
      <x:c r="P5" s="48"/>
      <x:c r="Q5" s="48"/>
      <x:c r="R5" s="48"/>
      <x:c r="S5" s="48"/>
      <x:c r="T5" s="48"/>
      <x:c r="U5" s="48"/>
      <x:c r="V5" s="48"/>
      <x:c r="W5" s="48"/>
    </x:row>
    <x:row r="6">
      <x:c r="C6" s="17" t="str">
        <x:v>Root</x:v>
      </x:c>
      <x:c r="D6" s="18" t="str">
        <x:v>System</x:v>
      </x:c>
      <x:c r="E6" s="18" t="str">
        <x:v>Letter</x:v>
      </x:c>
      <x:c r="F6" s="18" t="str">
        <x:v>Route</x:v>
      </x:c>
      <x:c r="G6" s="18" t="str">
        <x:v>Service route</x:v>
      </x:c>
      <x:c r="H6" s="18" t="str">
        <x:v>Positions per unit</x:v>
      </x:c>
      <x:c r="I6" s="18" t="str">
        <x:v>Proof units</x:v>
      </x:c>
      <x:c r="J6" s="18" t="str">
        <x:v>Positions per root</x:v>
      </x:c>
      <x:c r="K6" s="18" t="str">
        <x:v>Configuration implementation</x:v>
      </x:c>
      <x:c r="L6" s="18" t="str">
        <x:v>Required</x:v>
      </x:c>
      <x:c r="M6" s="18" t="str">
        <x:v>Retained</x:v>
      </x:c>
      <x:c r="N6" s="18" t="str">
        <x:v>State</x:v>
      </x:c>
      <x:c r="O6" s="48"/>
      <x:c r="P6" s="48"/>
      <x:c r="Q6" s="48"/>
      <x:c r="R6" s="48"/>
      <x:c r="S6" s="48"/>
      <x:c r="T6" s="48"/>
      <x:c r="U6" s="48"/>
      <x:c r="V6" s="48"/>
      <x:c r="W6" s="48"/>
    </x:row>
    <x:row r="7">
      <x:c r="C7" s="19" t="str">
        <x:v>MS-ET|A</x:v>
      </x:c>
      <x:c r="D7" s="19" t="str">
        <x:v>MS-ET</x:v>
      </x:c>
      <x:c r="E7" s="19" t="str">
        <x:v>A</x:v>
      </x:c>
      <x:c r="F7" s="19" t="str">
        <x:v>ET-R1</x:v>
      </x:c>
      <x:c r="G7" s="19" t="str">
        <x:v>Theater opening and command</x:v>
      </x:c>
      <x:c r="H7" s="19" t="n">
        <x:v>1</x:v>
      </x:c>
      <x:c r="I7" s="19" t="n">
        <x:v>3</x:v>
      </x:c>
      <x:c r="J7" s="19" t="n">
        <x:v>3</x:v>
      </x:c>
      <x:c r="K7" s="19" t="str">
        <x:v>Pelagic heavy bridge: theater opening and command through port or causeway custody gate</x:v>
      </x:c>
      <x:c r="L7" s="19" t="n">
        <x:v>1</x:v>
      </x:c>
      <x:c r="M7" s="19" t="n">
        <x:v>1</x:v>
      </x:c>
      <x:c r="N7" s="21" t="str">
        <x:v>FROZEN</x:v>
      </x:c>
      <x:c r="O7" s="48"/>
      <x:c r="P7" s="48"/>
      <x:c r="Q7" s="48"/>
      <x:c r="R7" s="48"/>
      <x:c r="S7" s="48"/>
      <x:c r="T7" s="48"/>
      <x:c r="U7" s="48"/>
      <x:c r="V7" s="48"/>
      <x:c r="W7" s="48"/>
    </x:row>
    <x:row r="8">
      <x:c r="C8" s="19" t="str">
        <x:v>MS-ET|A</x:v>
      </x:c>
      <x:c r="D8" s="19" t="str">
        <x:v>MS-ET</x:v>
      </x:c>
      <x:c r="E8" s="19" t="str">
        <x:v>A</x:v>
      </x:c>
      <x:c r="F8" s="19" t="str">
        <x:v>ET-R2</x:v>
      </x:c>
      <x:c r="G8" s="19" t="str">
        <x:v>Strategic intertheater lift</x:v>
      </x:c>
      <x:c r="H8" s="19" t="n">
        <x:v>1</x:v>
      </x:c>
      <x:c r="I8" s="19" t="n">
        <x:v>3</x:v>
      </x:c>
      <x:c r="J8" s="19" t="n">
        <x:v>3</x:v>
      </x:c>
      <x:c r="K8" s="19" t="str">
        <x:v>Pelagic heavy bridge: strategic intertheater lift through port or causeway custody gate</x:v>
      </x:c>
      <x:c r="L8" s="19" t="n">
        <x:v>1</x:v>
      </x:c>
      <x:c r="M8" s="19" t="n">
        <x:v>1</x:v>
      </x:c>
      <x:c r="N8" s="21" t="str">
        <x:v>FROZEN</x:v>
      </x:c>
      <x:c r="O8" s="48"/>
      <x:c r="P8" s="48"/>
      <x:c r="Q8" s="48"/>
      <x:c r="R8" s="48"/>
      <x:c r="S8" s="48"/>
      <x:c r="T8" s="48"/>
      <x:c r="U8" s="48"/>
      <x:c r="V8" s="48"/>
      <x:c r="W8" s="48"/>
    </x:row>
    <x:row r="9">
      <x:c r="C9" s="19" t="str">
        <x:v>MS-ET|A</x:v>
      </x:c>
      <x:c r="D9" s="19" t="str">
        <x:v>MS-ET</x:v>
      </x:c>
      <x:c r="E9" s="19" t="str">
        <x:v>A</x:v>
      </x:c>
      <x:c r="F9" s="19" t="str">
        <x:v>ET-R3</x:v>
      </x:c>
      <x:c r="G9" s="19" t="str">
        <x:v>Port, littoral and inland-waterway entry</x:v>
      </x:c>
      <x:c r="H9" s="19" t="n">
        <x:v>5</x:v>
      </x:c>
      <x:c r="I9" s="19" t="n">
        <x:v>3</x:v>
      </x:c>
      <x:c r="J9" s="19" t="n">
        <x:v>15</x:v>
      </x:c>
      <x:c r="K9" s="19" t="str">
        <x:v>Pelagic heavy bridge: port, littoral and inland-waterway entry through port or causeway custody gate</x:v>
      </x:c>
      <x:c r="L9" s="19" t="n">
        <x:v>1</x:v>
      </x:c>
      <x:c r="M9" s="19" t="n">
        <x:v>1</x:v>
      </x:c>
      <x:c r="N9" s="21" t="str">
        <x:v>FROZEN</x:v>
      </x:c>
      <x:c r="O9" s="48"/>
      <x:c r="P9" s="48"/>
      <x:c r="Q9" s="48"/>
      <x:c r="R9" s="48"/>
      <x:c r="S9" s="48"/>
      <x:c r="T9" s="48"/>
      <x:c r="U9" s="48"/>
      <x:c r="V9" s="48"/>
      <x:c r="W9" s="48"/>
    </x:row>
    <x:row r="10">
      <x:c r="C10" s="19" t="str">
        <x:v>MS-ET|A</x:v>
      </x:c>
      <x:c r="D10" s="19" t="str">
        <x:v>MS-ET</x:v>
      </x:c>
      <x:c r="E10" s="19" t="str">
        <x:v>A</x:v>
      </x:c>
      <x:c r="F10" s="19" t="str">
        <x:v>ET-R4</x:v>
      </x:c>
      <x:c r="G10" s="19" t="str">
        <x:v>Austere access, distribution and route opening</x:v>
      </x:c>
      <x:c r="H10" s="19" t="n">
        <x:v>7</x:v>
      </x:c>
      <x:c r="I10" s="19" t="n">
        <x:v>3</x:v>
      </x:c>
      <x:c r="J10" s="19" t="n">
        <x:v>21</x:v>
      </x:c>
      <x:c r="K10" s="19" t="str">
        <x:v>Pelagic heavy bridge: austere access, distribution and route opening through port or causeway custody gate</x:v>
      </x:c>
      <x:c r="L10" s="19" t="n">
        <x:v>1</x:v>
      </x:c>
      <x:c r="M10" s="19" t="n">
        <x:v>1</x:v>
      </x:c>
      <x:c r="N10" s="21" t="str">
        <x:v>FROZEN</x:v>
      </x:c>
      <x:c r="O10" s="48"/>
      <x:c r="P10" s="48"/>
      <x:c r="Q10" s="48"/>
      <x:c r="R10" s="48"/>
      <x:c r="S10" s="48"/>
      <x:c r="T10" s="48"/>
      <x:c r="U10" s="48"/>
      <x:c r="V10" s="48"/>
      <x:c r="W10" s="48"/>
    </x:row>
    <x:row r="11">
      <x:c r="C11" s="19" t="str">
        <x:v>MS-ET|A</x:v>
      </x:c>
      <x:c r="D11" s="19" t="str">
        <x:v>MS-ET</x:v>
      </x:c>
      <x:c r="E11" s="19" t="str">
        <x:v>A</x:v>
      </x:c>
      <x:c r="F11" s="19" t="str">
        <x:v>ET-R5</x:v>
      </x:c>
      <x:c r="G11" s="19" t="str">
        <x:v>Temporary works, crossings and node preparation</x:v>
      </x:c>
      <x:c r="H11" s="19" t="n">
        <x:v>3</x:v>
      </x:c>
      <x:c r="I11" s="19" t="n">
        <x:v>3</x:v>
      </x:c>
      <x:c r="J11" s="19" t="n">
        <x:v>9</x:v>
      </x:c>
      <x:c r="K11" s="19" t="str">
        <x:v>Pelagic heavy bridge: temporary works, crossings and node preparation through port or causeway custody gate</x:v>
      </x:c>
      <x:c r="L11" s="19" t="n">
        <x:v>1</x:v>
      </x:c>
      <x:c r="M11" s="19" t="n">
        <x:v>1</x:v>
      </x:c>
      <x:c r="N11" s="21" t="str">
        <x:v>FROZEN</x:v>
      </x:c>
      <x:c r="O11" s="48"/>
      <x:c r="P11" s="48"/>
      <x:c r="Q11" s="48"/>
      <x:c r="R11" s="48"/>
      <x:c r="S11" s="48"/>
      <x:c r="T11" s="48"/>
      <x:c r="U11" s="48"/>
      <x:c r="V11" s="48"/>
      <x:c r="W11" s="48"/>
    </x:row>
    <x:row r="12">
      <x:c r="C12" s="19" t="str">
        <x:v>MS-ET|B</x:v>
      </x:c>
      <x:c r="D12" s="19" t="str">
        <x:v>MS-ET</x:v>
      </x:c>
      <x:c r="E12" s="19" t="str">
        <x:v>B</x:v>
      </x:c>
      <x:c r="F12" s="19" t="str">
        <x:v>ET-R1</x:v>
      </x:c>
      <x:c r="G12" s="19" t="str">
        <x:v>Theater opening and command</x:v>
      </x:c>
      <x:c r="H12" s="19" t="n">
        <x:v>1</x:v>
      </x:c>
      <x:c r="I12" s="19" t="n">
        <x:v>3</x:v>
      </x:c>
      <x:c r="J12" s="19" t="n">
        <x:v>3</x:v>
      </x:c>
      <x:c r="K12" s="19" t="str">
        <x:v>Aerostatic sky bridge: theater opening and command through distributed dry-ground custody pad</x:v>
      </x:c>
      <x:c r="L12" s="19" t="n">
        <x:v>1</x:v>
      </x:c>
      <x:c r="M12" s="19" t="n">
        <x:v>1</x:v>
      </x:c>
      <x:c r="N12" s="21" t="str">
        <x:v>FROZEN</x:v>
      </x:c>
      <x:c r="O12" s="48"/>
      <x:c r="P12" s="48"/>
      <x:c r="Q12" s="48"/>
      <x:c r="R12" s="48"/>
      <x:c r="S12" s="48"/>
      <x:c r="T12" s="48"/>
      <x:c r="U12" s="48"/>
      <x:c r="V12" s="48"/>
      <x:c r="W12" s="48"/>
    </x:row>
    <x:row r="13">
      <x:c r="C13" s="19" t="str">
        <x:v>MS-ET|B</x:v>
      </x:c>
      <x:c r="D13" s="19" t="str">
        <x:v>MS-ET</x:v>
      </x:c>
      <x:c r="E13" s="19" t="str">
        <x:v>B</x:v>
      </x:c>
      <x:c r="F13" s="19" t="str">
        <x:v>ET-R2</x:v>
      </x:c>
      <x:c r="G13" s="19" t="str">
        <x:v>Strategic intertheater lift</x:v>
      </x:c>
      <x:c r="H13" s="19" t="n">
        <x:v>1</x:v>
      </x:c>
      <x:c r="I13" s="19" t="n">
        <x:v>3</x:v>
      </x:c>
      <x:c r="J13" s="19" t="n">
        <x:v>3</x:v>
      </x:c>
      <x:c r="K13" s="19" t="str">
        <x:v>Aerostatic sky bridge: strategic intertheater lift through distributed dry-ground custody pad</x:v>
      </x:c>
      <x:c r="L13" s="19" t="n">
        <x:v>1</x:v>
      </x:c>
      <x:c r="M13" s="19" t="n">
        <x:v>1</x:v>
      </x:c>
      <x:c r="N13" s="21" t="str">
        <x:v>FROZEN</x:v>
      </x:c>
      <x:c r="O13" s="48"/>
      <x:c r="P13" s="48"/>
      <x:c r="Q13" s="48"/>
      <x:c r="R13" s="48"/>
      <x:c r="S13" s="48"/>
      <x:c r="T13" s="48"/>
      <x:c r="U13" s="48"/>
      <x:c r="V13" s="48"/>
      <x:c r="W13" s="48"/>
    </x:row>
    <x:row r="14">
      <x:c r="C14" s="19" t="str">
        <x:v>MS-ET|B</x:v>
      </x:c>
      <x:c r="D14" s="19" t="str">
        <x:v>MS-ET</x:v>
      </x:c>
      <x:c r="E14" s="19" t="str">
        <x:v>B</x:v>
      </x:c>
      <x:c r="F14" s="19" t="str">
        <x:v>ET-R3</x:v>
      </x:c>
      <x:c r="G14" s="19" t="str">
        <x:v>Port, littoral and inland-waterway entry</x:v>
      </x:c>
      <x:c r="H14" s="19" t="n">
        <x:v>5</x:v>
      </x:c>
      <x:c r="I14" s="19" t="n">
        <x:v>3</x:v>
      </x:c>
      <x:c r="J14" s="19" t="n">
        <x:v>15</x:v>
      </x:c>
      <x:c r="K14" s="19" t="str">
        <x:v>Aerostatic sky bridge: port, littoral and inland-waterway entry through distributed dry-ground custody pad</x:v>
      </x:c>
      <x:c r="L14" s="19" t="n">
        <x:v>1</x:v>
      </x:c>
      <x:c r="M14" s="19" t="n">
        <x:v>1</x:v>
      </x:c>
      <x:c r="N14" s="21" t="str">
        <x:v>FROZEN</x:v>
      </x:c>
      <x:c r="O14" s="48"/>
      <x:c r="P14" s="48"/>
      <x:c r="Q14" s="48"/>
      <x:c r="R14" s="48"/>
      <x:c r="S14" s="48"/>
      <x:c r="T14" s="48"/>
      <x:c r="U14" s="48"/>
      <x:c r="V14" s="48"/>
      <x:c r="W14" s="48"/>
    </x:row>
    <x:row r="15">
      <x:c r="C15" s="19" t="str">
        <x:v>MS-ET|B</x:v>
      </x:c>
      <x:c r="D15" s="19" t="str">
        <x:v>MS-ET</x:v>
      </x:c>
      <x:c r="E15" s="19" t="str">
        <x:v>B</x:v>
      </x:c>
      <x:c r="F15" s="19" t="str">
        <x:v>ET-R4</x:v>
      </x:c>
      <x:c r="G15" s="19" t="str">
        <x:v>Austere access, distribution and route opening</x:v>
      </x:c>
      <x:c r="H15" s="19" t="n">
        <x:v>7</x:v>
      </x:c>
      <x:c r="I15" s="19" t="n">
        <x:v>3</x:v>
      </x:c>
      <x:c r="J15" s="19" t="n">
        <x:v>21</x:v>
      </x:c>
      <x:c r="K15" s="19" t="str">
        <x:v>Aerostatic sky bridge: austere access, distribution and route opening through distributed dry-ground custody pad</x:v>
      </x:c>
      <x:c r="L15" s="19" t="n">
        <x:v>1</x:v>
      </x:c>
      <x:c r="M15" s="19" t="n">
        <x:v>1</x:v>
      </x:c>
      <x:c r="N15" s="21" t="str">
        <x:v>FROZEN</x:v>
      </x:c>
      <x:c r="O15" s="48"/>
      <x:c r="P15" s="48"/>
      <x:c r="Q15" s="48"/>
      <x:c r="R15" s="48"/>
      <x:c r="S15" s="48"/>
      <x:c r="T15" s="48"/>
      <x:c r="U15" s="48"/>
      <x:c r="V15" s="48"/>
      <x:c r="W15" s="48"/>
    </x:row>
    <x:row r="16">
      <x:c r="C16" s="19" t="str">
        <x:v>MS-ET|B</x:v>
      </x:c>
      <x:c r="D16" s="19" t="str">
        <x:v>MS-ET</x:v>
      </x:c>
      <x:c r="E16" s="19" t="str">
        <x:v>B</x:v>
      </x:c>
      <x:c r="F16" s="19" t="str">
        <x:v>ET-R5</x:v>
      </x:c>
      <x:c r="G16" s="19" t="str">
        <x:v>Temporary works, crossings and node preparation</x:v>
      </x:c>
      <x:c r="H16" s="19" t="n">
        <x:v>3</x:v>
      </x:c>
      <x:c r="I16" s="19" t="n">
        <x:v>3</x:v>
      </x:c>
      <x:c r="J16" s="19" t="n">
        <x:v>9</x:v>
      </x:c>
      <x:c r="K16" s="19" t="str">
        <x:v>Aerostatic sky bridge: temporary works, crossings and node preparation through distributed dry-ground custody pad</x:v>
      </x:c>
      <x:c r="L16" s="19" t="n">
        <x:v>1</x:v>
      </x:c>
      <x:c r="M16" s="19" t="n">
        <x:v>1</x:v>
      </x:c>
      <x:c r="N16" s="21" t="str">
        <x:v>FROZEN</x:v>
      </x:c>
      <x:c r="O16" s="48"/>
      <x:c r="P16" s="48"/>
      <x:c r="Q16" s="48"/>
      <x:c r="R16" s="48"/>
      <x:c r="S16" s="48"/>
      <x:c r="T16" s="48"/>
      <x:c r="U16" s="48"/>
      <x:c r="V16" s="48"/>
      <x:c r="W16" s="48"/>
    </x:row>
    <x:row r="17">
      <x:c r="C17" s="19" t="str">
        <x:v>MS-ET|C</x:v>
      </x:c>
      <x:c r="D17" s="19" t="str">
        <x:v>MS-ET</x:v>
      </x:c>
      <x:c r="E17" s="19" t="str">
        <x:v>C</x:v>
      </x:c>
      <x:c r="F17" s="19" t="str">
        <x:v>ET-R1</x:v>
      </x:c>
      <x:c r="G17" s="19" t="str">
        <x:v>Theater opening and command</x:v>
      </x:c>
      <x:c r="H17" s="19" t="n">
        <x:v>1</x:v>
      </x:c>
      <x:c r="I17" s="19" t="n">
        <x:v>3</x:v>
      </x:c>
      <x:c r="J17" s="19" t="n">
        <x:v>3</x:v>
      </x:c>
      <x:c r="K17" s="19" t="str">
        <x:v>Terrain corridor train: theater opening and command through released dry corridor and node</x:v>
      </x:c>
      <x:c r="L17" s="19" t="n">
        <x:v>1</x:v>
      </x:c>
      <x:c r="M17" s="19" t="n">
        <x:v>1</x:v>
      </x:c>
      <x:c r="N17" s="21" t="str">
        <x:v>FROZEN</x:v>
      </x:c>
      <x:c r="O17" s="48"/>
      <x:c r="P17" s="48"/>
      <x:c r="Q17" s="48"/>
      <x:c r="R17" s="48"/>
      <x:c r="S17" s="48"/>
      <x:c r="T17" s="48"/>
      <x:c r="U17" s="48"/>
      <x:c r="V17" s="48"/>
      <x:c r="W17" s="48"/>
    </x:row>
    <x:row r="18">
      <x:c r="C18" s="19" t="str">
        <x:v>MS-ET|C</x:v>
      </x:c>
      <x:c r="D18" s="19" t="str">
        <x:v>MS-ET</x:v>
      </x:c>
      <x:c r="E18" s="19" t="str">
        <x:v>C</x:v>
      </x:c>
      <x:c r="F18" s="19" t="str">
        <x:v>ET-R2</x:v>
      </x:c>
      <x:c r="G18" s="19" t="str">
        <x:v>Strategic intertheater lift</x:v>
      </x:c>
      <x:c r="H18" s="19" t="n">
        <x:v>1</x:v>
      </x:c>
      <x:c r="I18" s="19" t="n">
        <x:v>3</x:v>
      </x:c>
      <x:c r="J18" s="19" t="n">
        <x:v>3</x:v>
      </x:c>
      <x:c r="K18" s="19" t="str">
        <x:v>Terrain corridor train: strategic intertheater lift through released dry corridor and node</x:v>
      </x:c>
      <x:c r="L18" s="19" t="n">
        <x:v>1</x:v>
      </x:c>
      <x:c r="M18" s="19" t="n">
        <x:v>1</x:v>
      </x:c>
      <x:c r="N18" s="21" t="str">
        <x:v>FROZEN</x:v>
      </x:c>
      <x:c r="O18" s="48"/>
      <x:c r="P18" s="48"/>
      <x:c r="Q18" s="48"/>
      <x:c r="R18" s="48"/>
      <x:c r="S18" s="48"/>
      <x:c r="T18" s="48"/>
      <x:c r="U18" s="48"/>
      <x:c r="V18" s="48"/>
      <x:c r="W18" s="48"/>
    </x:row>
    <x:row r="19">
      <x:c r="C19" s="19" t="str">
        <x:v>MS-ET|C</x:v>
      </x:c>
      <x:c r="D19" s="19" t="str">
        <x:v>MS-ET</x:v>
      </x:c>
      <x:c r="E19" s="19" t="str">
        <x:v>C</x:v>
      </x:c>
      <x:c r="F19" s="19" t="str">
        <x:v>ET-R3</x:v>
      </x:c>
      <x:c r="G19" s="19" t="str">
        <x:v>Port, littoral and inland-waterway entry</x:v>
      </x:c>
      <x:c r="H19" s="19" t="n">
        <x:v>5</x:v>
      </x:c>
      <x:c r="I19" s="19" t="n">
        <x:v>3</x:v>
      </x:c>
      <x:c r="J19" s="19" t="n">
        <x:v>15</x:v>
      </x:c>
      <x:c r="K19" s="19" t="str">
        <x:v>Terrain corridor train: port, littoral and inland-waterway entry through released dry corridor and node</x:v>
      </x:c>
      <x:c r="L19" s="19" t="n">
        <x:v>1</x:v>
      </x:c>
      <x:c r="M19" s="19" t="n">
        <x:v>1</x:v>
      </x:c>
      <x:c r="N19" s="21" t="str">
        <x:v>FROZEN</x:v>
      </x:c>
      <x:c r="O19" s="48"/>
      <x:c r="P19" s="48"/>
      <x:c r="Q19" s="48"/>
      <x:c r="R19" s="48"/>
      <x:c r="S19" s="48"/>
      <x:c r="T19" s="48"/>
      <x:c r="U19" s="48"/>
      <x:c r="V19" s="48"/>
      <x:c r="W19" s="48"/>
    </x:row>
    <x:row r="20">
      <x:c r="C20" s="19" t="str">
        <x:v>MS-ET|C</x:v>
      </x:c>
      <x:c r="D20" s="19" t="str">
        <x:v>MS-ET</x:v>
      </x:c>
      <x:c r="E20" s="19" t="str">
        <x:v>C</x:v>
      </x:c>
      <x:c r="F20" s="19" t="str">
        <x:v>ET-R4</x:v>
      </x:c>
      <x:c r="G20" s="19" t="str">
        <x:v>Austere access, distribution and route opening</x:v>
      </x:c>
      <x:c r="H20" s="19" t="n">
        <x:v>7</x:v>
      </x:c>
      <x:c r="I20" s="19" t="n">
        <x:v>3</x:v>
      </x:c>
      <x:c r="J20" s="19" t="n">
        <x:v>21</x:v>
      </x:c>
      <x:c r="K20" s="19" t="str">
        <x:v>Terrain corridor train: austere access, distribution and route opening through released dry corridor and node</x:v>
      </x:c>
      <x:c r="L20" s="19" t="n">
        <x:v>1</x:v>
      </x:c>
      <x:c r="M20" s="19" t="n">
        <x:v>1</x:v>
      </x:c>
      <x:c r="N20" s="21" t="str">
        <x:v>FROZEN</x:v>
      </x:c>
      <x:c r="O20" s="48"/>
      <x:c r="P20" s="48"/>
      <x:c r="Q20" s="48"/>
      <x:c r="R20" s="48"/>
      <x:c r="S20" s="48"/>
      <x:c r="T20" s="48"/>
      <x:c r="U20" s="48"/>
      <x:c r="V20" s="48"/>
      <x:c r="W20" s="48"/>
    </x:row>
    <x:row r="21">
      <x:c r="C21" s="19" t="str">
        <x:v>MS-ET|C</x:v>
      </x:c>
      <x:c r="D21" s="19" t="str">
        <x:v>MS-ET</x:v>
      </x:c>
      <x:c r="E21" s="19" t="str">
        <x:v>C</x:v>
      </x:c>
      <x:c r="F21" s="19" t="str">
        <x:v>ET-R5</x:v>
      </x:c>
      <x:c r="G21" s="19" t="str">
        <x:v>Temporary works, crossings and node preparation</x:v>
      </x:c>
      <x:c r="H21" s="19" t="n">
        <x:v>3</x:v>
      </x:c>
      <x:c r="I21" s="19" t="n">
        <x:v>3</x:v>
      </x:c>
      <x:c r="J21" s="19" t="n">
        <x:v>9</x:v>
      </x:c>
      <x:c r="K21" s="19" t="str">
        <x:v>Terrain corridor train: temporary works, crossings and node preparation through released dry corridor and node</x:v>
      </x:c>
      <x:c r="L21" s="19" t="n">
        <x:v>1</x:v>
      </x:c>
      <x:c r="M21" s="19" t="n">
        <x:v>1</x:v>
      </x:c>
      <x:c r="N21" s="21" t="str">
        <x:v>FROZEN</x:v>
      </x:c>
      <x:c r="O21" s="48"/>
      <x:c r="P21" s="48"/>
      <x:c r="Q21" s="48"/>
      <x:c r="R21" s="48"/>
      <x:c r="S21" s="48"/>
      <x:c r="T21" s="48"/>
      <x:c r="U21" s="48"/>
      <x:c r="V21" s="48"/>
      <x:c r="W21" s="48"/>
    </x:row>
    <x:row r="22">
      <x:c r="C22" s="19" t="str">
        <x:v>MS-ET|D</x:v>
      </x:c>
      <x:c r="D22" s="19" t="str">
        <x:v>MS-ET</x:v>
      </x:c>
      <x:c r="E22" s="19" t="str">
        <x:v>D</x:v>
      </x:c>
      <x:c r="F22" s="19" t="str">
        <x:v>ET-R1</x:v>
      </x:c>
      <x:c r="G22" s="19" t="str">
        <x:v>Theater opening and command</x:v>
      </x:c>
      <x:c r="H22" s="19" t="n">
        <x:v>1</x:v>
      </x:c>
      <x:c r="I22" s="19" t="n">
        <x:v>3</x:v>
      </x:c>
      <x:c r="J22" s="19" t="n">
        <x:v>3</x:v>
      </x:c>
      <x:c r="K22" s="19" t="str">
        <x:v>Amphibious mesh: theater opening and command through many staffed civic micro-receivers</x:v>
      </x:c>
      <x:c r="L22" s="19" t="n">
        <x:v>1</x:v>
      </x:c>
      <x:c r="M22" s="19" t="n">
        <x:v>1</x:v>
      </x:c>
      <x:c r="N22" s="21" t="str">
        <x:v>FROZEN</x:v>
      </x:c>
      <x:c r="O22" s="48"/>
      <x:c r="P22" s="48"/>
      <x:c r="Q22" s="48"/>
      <x:c r="R22" s="48"/>
      <x:c r="S22" s="48"/>
      <x:c r="T22" s="48"/>
      <x:c r="U22" s="48"/>
      <x:c r="V22" s="48"/>
      <x:c r="W22" s="48"/>
    </x:row>
    <x:row r="23">
      <x:c r="C23" s="19" t="str">
        <x:v>MS-ET|D</x:v>
      </x:c>
      <x:c r="D23" s="19" t="str">
        <x:v>MS-ET</x:v>
      </x:c>
      <x:c r="E23" s="19" t="str">
        <x:v>D</x:v>
      </x:c>
      <x:c r="F23" s="19" t="str">
        <x:v>ET-R2</x:v>
      </x:c>
      <x:c r="G23" s="19" t="str">
        <x:v>Strategic intertheater lift</x:v>
      </x:c>
      <x:c r="H23" s="19" t="n">
        <x:v>1</x:v>
      </x:c>
      <x:c r="I23" s="19" t="n">
        <x:v>3</x:v>
      </x:c>
      <x:c r="J23" s="19" t="n">
        <x:v>3</x:v>
      </x:c>
      <x:c r="K23" s="19" t="str">
        <x:v>Amphibious mesh: strategic intertheater lift through many staffed civic micro-receivers</x:v>
      </x:c>
      <x:c r="L23" s="19" t="n">
        <x:v>1</x:v>
      </x:c>
      <x:c r="M23" s="19" t="n">
        <x:v>1</x:v>
      </x:c>
      <x:c r="N23" s="21" t="str">
        <x:v>FROZEN</x:v>
      </x:c>
      <x:c r="O23" s="48"/>
      <x:c r="P23" s="48"/>
      <x:c r="Q23" s="48"/>
      <x:c r="R23" s="48"/>
      <x:c r="S23" s="48"/>
      <x:c r="T23" s="48"/>
      <x:c r="U23" s="48"/>
      <x:c r="V23" s="48"/>
      <x:c r="W23" s="48"/>
    </x:row>
    <x:row r="24">
      <x:c r="C24" s="19" t="str">
        <x:v>MS-ET|D</x:v>
      </x:c>
      <x:c r="D24" s="19" t="str">
        <x:v>MS-ET</x:v>
      </x:c>
      <x:c r="E24" s="19" t="str">
        <x:v>D</x:v>
      </x:c>
      <x:c r="F24" s="19" t="str">
        <x:v>ET-R3</x:v>
      </x:c>
      <x:c r="G24" s="19" t="str">
        <x:v>Port, littoral and inland-waterway entry</x:v>
      </x:c>
      <x:c r="H24" s="19" t="n">
        <x:v>5</x:v>
      </x:c>
      <x:c r="I24" s="19" t="n">
        <x:v>3</x:v>
      </x:c>
      <x:c r="J24" s="19" t="n">
        <x:v>15</x:v>
      </x:c>
      <x:c r="K24" s="19" t="str">
        <x:v>Amphibious mesh: port, littoral and inland-waterway entry through many staffed civic micro-receivers</x:v>
      </x:c>
      <x:c r="L24" s="19" t="n">
        <x:v>1</x:v>
      </x:c>
      <x:c r="M24" s="19" t="n">
        <x:v>1</x:v>
      </x:c>
      <x:c r="N24" s="21" t="str">
        <x:v>FROZEN</x:v>
      </x:c>
      <x:c r="O24" s="48"/>
      <x:c r="P24" s="48"/>
      <x:c r="Q24" s="48"/>
      <x:c r="R24" s="48"/>
      <x:c r="S24" s="48"/>
      <x:c r="T24" s="48"/>
      <x:c r="U24" s="48"/>
      <x:c r="V24" s="48"/>
      <x:c r="W24" s="48"/>
    </x:row>
    <x:row r="25">
      <x:c r="C25" s="19" t="str">
        <x:v>MS-ET|D</x:v>
      </x:c>
      <x:c r="D25" s="19" t="str">
        <x:v>MS-ET</x:v>
      </x:c>
      <x:c r="E25" s="19" t="str">
        <x:v>D</x:v>
      </x:c>
      <x:c r="F25" s="19" t="str">
        <x:v>ET-R4</x:v>
      </x:c>
      <x:c r="G25" s="19" t="str">
        <x:v>Austere access, distribution and route opening</x:v>
      </x:c>
      <x:c r="H25" s="19" t="n">
        <x:v>7</x:v>
      </x:c>
      <x:c r="I25" s="19" t="n">
        <x:v>3</x:v>
      </x:c>
      <x:c r="J25" s="19" t="n">
        <x:v>21</x:v>
      </x:c>
      <x:c r="K25" s="19" t="str">
        <x:v>Amphibious mesh: austere access, distribution and route opening through many staffed civic micro-receivers</x:v>
      </x:c>
      <x:c r="L25" s="19" t="n">
        <x:v>1</x:v>
      </x:c>
      <x:c r="M25" s="19" t="n">
        <x:v>1</x:v>
      </x:c>
      <x:c r="N25" s="21" t="str">
        <x:v>FROZEN</x:v>
      </x:c>
      <x:c r="O25" s="48"/>
      <x:c r="P25" s="48"/>
      <x:c r="Q25" s="48"/>
      <x:c r="R25" s="48"/>
      <x:c r="S25" s="48"/>
      <x:c r="T25" s="48"/>
      <x:c r="U25" s="48"/>
      <x:c r="V25" s="48"/>
      <x:c r="W25" s="48"/>
    </x:row>
    <x:row r="26">
      <x:c r="C26" s="19" t="str">
        <x:v>MS-ET|D</x:v>
      </x:c>
      <x:c r="D26" s="19" t="str">
        <x:v>MS-ET</x:v>
      </x:c>
      <x:c r="E26" s="19" t="str">
        <x:v>D</x:v>
      </x:c>
      <x:c r="F26" s="19" t="str">
        <x:v>ET-R5</x:v>
      </x:c>
      <x:c r="G26" s="19" t="str">
        <x:v>Temporary works, crossings and node preparation</x:v>
      </x:c>
      <x:c r="H26" s="19" t="n">
        <x:v>3</x:v>
      </x:c>
      <x:c r="I26" s="19" t="n">
        <x:v>3</x:v>
      </x:c>
      <x:c r="J26" s="19" t="n">
        <x:v>9</x:v>
      </x:c>
      <x:c r="K26" s="19" t="str">
        <x:v>Amphibious mesh: temporary works, crossings and node preparation through many staffed civic micro-receivers</x:v>
      </x:c>
      <x:c r="L26" s="19" t="n">
        <x:v>1</x:v>
      </x:c>
      <x:c r="M26" s="19" t="n">
        <x:v>1</x:v>
      </x:c>
      <x:c r="N26" s="21" t="str">
        <x:v>FROZEN</x:v>
      </x:c>
      <x:c r="O26" s="48"/>
      <x:c r="P26" s="48"/>
      <x:c r="Q26" s="48"/>
      <x:c r="R26" s="48"/>
      <x:c r="S26" s="48"/>
      <x:c r="T26" s="48"/>
      <x:c r="U26" s="48"/>
      <x:c r="V26" s="48"/>
      <x:c r="W26" s="48"/>
    </x:row>
    <x:row r="27">
      <x:c r="C27" s="19" t="str">
        <x:v>MS-CT|A</x:v>
      </x:c>
      <x:c r="D27" s="19" t="str">
        <x:v>MS-CT</x:v>
      </x:c>
      <x:c r="E27" s="19" t="str">
        <x:v>A</x:v>
      </x:c>
      <x:c r="F27" s="19" t="str">
        <x:v>CT-R1</x:v>
      </x:c>
      <x:c r="G27" s="19" t="str">
        <x:v>Civil authority and effects coordination</x:v>
      </x:c>
      <x:c r="H27" s="19" t="n">
        <x:v>2</x:v>
      </x:c>
      <x:c r="I27" s="19" t="n">
        <x:v>3</x:v>
      </x:c>
      <x:c r="J27" s="19" t="n">
        <x:v>6</x:v>
      </x:c>
      <x:c r="K27" s="19" t="str">
        <x:v>Civic edge grid: civil authority and effects coordination through accessible staffed public transaction</x:v>
      </x:c>
      <x:c r="L27" s="19" t="n">
        <x:v>1</x:v>
      </x:c>
      <x:c r="M27" s="19" t="n">
        <x:v>1</x:v>
      </x:c>
      <x:c r="N27" s="21" t="str">
        <x:v>FROZEN</x:v>
      </x:c>
      <x:c r="O27" s="48"/>
      <x:c r="P27" s="48"/>
      <x:c r="Q27" s="48"/>
      <x:c r="R27" s="48"/>
      <x:c r="S27" s="48"/>
      <x:c r="T27" s="48"/>
      <x:c r="U27" s="48"/>
      <x:c r="V27" s="48"/>
      <x:c r="W27" s="48"/>
    </x:row>
    <x:row r="28">
      <x:c r="C28" s="19" t="str">
        <x:v>MS-CT|A</x:v>
      </x:c>
      <x:c r="D28" s="19" t="str">
        <x:v>MS-CT</x:v>
      </x:c>
      <x:c r="E28" s="19" t="str">
        <x:v>A</x:v>
      </x:c>
      <x:c r="F28" s="19" t="str">
        <x:v>CT-R2</x:v>
      </x:c>
      <x:c r="G28" s="19" t="str">
        <x:v>Incident observation and causal picture</x:v>
      </x:c>
      <x:c r="H28" s="19" t="n">
        <x:v>4</x:v>
      </x:c>
      <x:c r="I28" s="19" t="n">
        <x:v>3</x:v>
      </x:c>
      <x:c r="J28" s="19" t="n">
        <x:v>12</x:v>
      </x:c>
      <x:c r="K28" s="19" t="str">
        <x:v>Civic edge grid: incident observation and causal picture through accessible staffed public transaction</x:v>
      </x:c>
      <x:c r="L28" s="19" t="n">
        <x:v>1</x:v>
      </x:c>
      <x:c r="M28" s="19" t="n">
        <x:v>1</x:v>
      </x:c>
      <x:c r="N28" s="21" t="str">
        <x:v>FROZEN</x:v>
      </x:c>
      <x:c r="O28" s="48"/>
      <x:c r="P28" s="48"/>
      <x:c r="Q28" s="48"/>
      <x:c r="R28" s="48"/>
      <x:c r="S28" s="48"/>
      <x:c r="T28" s="48"/>
      <x:c r="U28" s="48"/>
      <x:c r="V28" s="48"/>
      <x:c r="W28" s="48"/>
    </x:row>
    <x:row r="29">
      <x:c r="C29" s="19" t="str">
        <x:v>MS-CT|A</x:v>
      </x:c>
      <x:c r="D29" s="19" t="str">
        <x:v>MS-CT</x:v>
      </x:c>
      <x:c r="E29" s="19" t="str">
        <x:v>A</x:v>
      </x:c>
      <x:c r="F29" s="19" t="str">
        <x:v>CT-R3</x:v>
      </x:c>
      <x:c r="G29" s="19" t="str">
        <x:v>Disconnected public communications</x:v>
      </x:c>
      <x:c r="H29" s="19" t="n">
        <x:v>2</x:v>
      </x:c>
      <x:c r="I29" s="19" t="n">
        <x:v>3</x:v>
      </x:c>
      <x:c r="J29" s="19" t="n">
        <x:v>6</x:v>
      </x:c>
      <x:c r="K29" s="19" t="str">
        <x:v>Civic edge grid: disconnected public communications through accessible staffed public transaction</x:v>
      </x:c>
      <x:c r="L29" s="19" t="n">
        <x:v>1</x:v>
      </x:c>
      <x:c r="M29" s="19" t="n">
        <x:v>1</x:v>
      </x:c>
      <x:c r="N29" s="21" t="str">
        <x:v>FROZEN</x:v>
      </x:c>
      <x:c r="O29" s="48"/>
      <x:c r="P29" s="48"/>
      <x:c r="Q29" s="48"/>
      <x:c r="R29" s="48"/>
      <x:c r="S29" s="48"/>
      <x:c r="T29" s="48"/>
      <x:c r="U29" s="48"/>
      <x:c r="V29" s="48"/>
      <x:c r="W29" s="48"/>
    </x:row>
    <x:row r="30">
      <x:c r="C30" s="19" t="str">
        <x:v>MS-CT|A</x:v>
      </x:c>
      <x:c r="D30" s="19" t="str">
        <x:v>MS-CT</x:v>
      </x:c>
      <x:c r="E30" s="19" t="str">
        <x:v>A</x:v>
      </x:c>
      <x:c r="F30" s="19" t="str">
        <x:v>CT-R4</x:v>
      </x:c>
      <x:c r="G30" s="19" t="str">
        <x:v>Accessible public-service transaction</x:v>
      </x:c>
      <x:c r="H30" s="19" t="n">
        <x:v>3</x:v>
      </x:c>
      <x:c r="I30" s="19" t="n">
        <x:v>3</x:v>
      </x:c>
      <x:c r="J30" s="19" t="n">
        <x:v>9</x:v>
      </x:c>
      <x:c r="K30" s="19" t="str">
        <x:v>Civic edge grid: accessible public-service transaction through accessible staffed public transaction</x:v>
      </x:c>
      <x:c r="L30" s="19" t="n">
        <x:v>1</x:v>
      </x:c>
      <x:c r="M30" s="19" t="n">
        <x:v>1</x:v>
      </x:c>
      <x:c r="N30" s="21" t="str">
        <x:v>FROZEN</x:v>
      </x:c>
      <x:c r="O30" s="48"/>
      <x:c r="P30" s="48"/>
      <x:c r="Q30" s="48"/>
      <x:c r="R30" s="48"/>
      <x:c r="S30" s="48"/>
      <x:c r="T30" s="48"/>
      <x:c r="U30" s="48"/>
      <x:c r="V30" s="48"/>
      <x:c r="W30" s="48"/>
    </x:row>
    <x:row r="31">
      <x:c r="C31" s="19" t="str">
        <x:v>MS-CT|A</x:v>
      </x:c>
      <x:c r="D31" s="19" t="str">
        <x:v>MS-CT</x:v>
      </x:c>
      <x:c r="E31" s="19" t="str">
        <x:v>A</x:v>
      </x:c>
      <x:c r="F31" s="19" t="str">
        <x:v>CT-R5</x:v>
      </x:c>
      <x:c r="G31" s="19" t="str">
        <x:v>Household and building-origin reach</x:v>
      </x:c>
      <x:c r="H31" s="19" t="n">
        <x:v>3</x:v>
      </x:c>
      <x:c r="I31" s="19" t="n">
        <x:v>3</x:v>
      </x:c>
      <x:c r="J31" s="19" t="n">
        <x:v>9</x:v>
      </x:c>
      <x:c r="K31" s="19" t="str">
        <x:v>Civic edge grid: household and building-origin reach through accessible staffed public transaction</x:v>
      </x:c>
      <x:c r="L31" s="19" t="n">
        <x:v>1</x:v>
      </x:c>
      <x:c r="M31" s="19" t="n">
        <x:v>1</x:v>
      </x:c>
      <x:c r="N31" s="21" t="str">
        <x:v>FROZEN</x:v>
      </x:c>
      <x:c r="O31" s="48"/>
      <x:c r="P31" s="48"/>
      <x:c r="Q31" s="48"/>
      <x:c r="R31" s="48"/>
      <x:c r="S31" s="48"/>
      <x:c r="T31" s="48"/>
      <x:c r="U31" s="48"/>
      <x:c r="V31" s="48"/>
      <x:c r="W31" s="48"/>
    </x:row>
    <x:row r="32">
      <x:c r="C32" s="19" t="str">
        <x:v>MS-CT|B</x:v>
      </x:c>
      <x:c r="D32" s="19" t="str">
        <x:v>MS-CT</x:v>
      </x:c>
      <x:c r="E32" s="19" t="str">
        <x:v>B</x:v>
      </x:c>
      <x:c r="F32" s="19" t="str">
        <x:v>CT-R1</x:v>
      </x:c>
      <x:c r="G32" s="19" t="str">
        <x:v>Civil authority and effects coordination</x:v>
      </x:c>
      <x:c r="H32" s="19" t="n">
        <x:v>2</x:v>
      </x:c>
      <x:c r="I32" s="19" t="n">
        <x:v>3</x:v>
      </x:c>
      <x:c r="J32" s="19" t="n">
        <x:v>6</x:v>
      </x:c>
      <x:c r="K32" s="19" t="str">
        <x:v>Air-and-skin reach: civil authority and effects coordination through verified doorstep or window handoff</x:v>
      </x:c>
      <x:c r="L32" s="19" t="n">
        <x:v>1</x:v>
      </x:c>
      <x:c r="M32" s="19" t="n">
        <x:v>1</x:v>
      </x:c>
      <x:c r="N32" s="21" t="str">
        <x:v>FROZEN</x:v>
      </x:c>
      <x:c r="O32" s="48"/>
      <x:c r="P32" s="48"/>
      <x:c r="Q32" s="48"/>
      <x:c r="R32" s="48"/>
      <x:c r="S32" s="48"/>
      <x:c r="T32" s="48"/>
      <x:c r="U32" s="48"/>
      <x:c r="V32" s="48"/>
      <x:c r="W32" s="48"/>
    </x:row>
    <x:row r="33">
      <x:c r="C33" s="19" t="str">
        <x:v>MS-CT|B</x:v>
      </x:c>
      <x:c r="D33" s="19" t="str">
        <x:v>MS-CT</x:v>
      </x:c>
      <x:c r="E33" s="19" t="str">
        <x:v>B</x:v>
      </x:c>
      <x:c r="F33" s="19" t="str">
        <x:v>CT-R2</x:v>
      </x:c>
      <x:c r="G33" s="19" t="str">
        <x:v>Incident observation and causal picture</x:v>
      </x:c>
      <x:c r="H33" s="19" t="n">
        <x:v>4</x:v>
      </x:c>
      <x:c r="I33" s="19" t="n">
        <x:v>3</x:v>
      </x:c>
      <x:c r="J33" s="19" t="n">
        <x:v>12</x:v>
      </x:c>
      <x:c r="K33" s="19" t="str">
        <x:v>Air-and-skin reach: incident observation and causal picture through verified doorstep or window handoff</x:v>
      </x:c>
      <x:c r="L33" s="19" t="n">
        <x:v>1</x:v>
      </x:c>
      <x:c r="M33" s="19" t="n">
        <x:v>1</x:v>
      </x:c>
      <x:c r="N33" s="21" t="str">
        <x:v>FROZEN</x:v>
      </x:c>
      <x:c r="O33" s="48"/>
      <x:c r="P33" s="48"/>
      <x:c r="Q33" s="48"/>
      <x:c r="R33" s="48"/>
      <x:c r="S33" s="48"/>
      <x:c r="T33" s="48"/>
      <x:c r="U33" s="48"/>
      <x:c r="V33" s="48"/>
      <x:c r="W33" s="48"/>
    </x:row>
    <x:row r="34">
      <x:c r="C34" s="19" t="str">
        <x:v>MS-CT|B</x:v>
      </x:c>
      <x:c r="D34" s="19" t="str">
        <x:v>MS-CT</x:v>
      </x:c>
      <x:c r="E34" s="19" t="str">
        <x:v>B</x:v>
      </x:c>
      <x:c r="F34" s="19" t="str">
        <x:v>CT-R3</x:v>
      </x:c>
      <x:c r="G34" s="19" t="str">
        <x:v>Disconnected public communications</x:v>
      </x:c>
      <x:c r="H34" s="19" t="n">
        <x:v>2</x:v>
      </x:c>
      <x:c r="I34" s="19" t="n">
        <x:v>3</x:v>
      </x:c>
      <x:c r="J34" s="19" t="n">
        <x:v>6</x:v>
      </x:c>
      <x:c r="K34" s="19" t="str">
        <x:v>Air-and-skin reach: disconnected public communications through verified doorstep or window handoff</x:v>
      </x:c>
      <x:c r="L34" s="19" t="n">
        <x:v>1</x:v>
      </x:c>
      <x:c r="M34" s="19" t="n">
        <x:v>1</x:v>
      </x:c>
      <x:c r="N34" s="21" t="str">
        <x:v>FROZEN</x:v>
      </x:c>
      <x:c r="O34" s="48"/>
      <x:c r="P34" s="48"/>
      <x:c r="Q34" s="48"/>
      <x:c r="R34" s="48"/>
      <x:c r="S34" s="48"/>
      <x:c r="T34" s="48"/>
      <x:c r="U34" s="48"/>
      <x:c r="V34" s="48"/>
      <x:c r="W34" s="48"/>
    </x:row>
    <x:row r="35">
      <x:c r="C35" s="19" t="str">
        <x:v>MS-CT|B</x:v>
      </x:c>
      <x:c r="D35" s="19" t="str">
        <x:v>MS-CT</x:v>
      </x:c>
      <x:c r="E35" s="19" t="str">
        <x:v>B</x:v>
      </x:c>
      <x:c r="F35" s="19" t="str">
        <x:v>CT-R4</x:v>
      </x:c>
      <x:c r="G35" s="19" t="str">
        <x:v>Accessible public-service transaction</x:v>
      </x:c>
      <x:c r="H35" s="19" t="n">
        <x:v>3</x:v>
      </x:c>
      <x:c r="I35" s="19" t="n">
        <x:v>3</x:v>
      </x:c>
      <x:c r="J35" s="19" t="n">
        <x:v>9</x:v>
      </x:c>
      <x:c r="K35" s="19" t="str">
        <x:v>Air-and-skin reach: accessible public-service transaction through verified doorstep or window handoff</x:v>
      </x:c>
      <x:c r="L35" s="19" t="n">
        <x:v>1</x:v>
      </x:c>
      <x:c r="M35" s="19" t="n">
        <x:v>1</x:v>
      </x:c>
      <x:c r="N35" s="21" t="str">
        <x:v>FROZEN</x:v>
      </x:c>
      <x:c r="O35" s="48"/>
      <x:c r="P35" s="48"/>
      <x:c r="Q35" s="48"/>
      <x:c r="R35" s="48"/>
      <x:c r="S35" s="48"/>
      <x:c r="T35" s="48"/>
      <x:c r="U35" s="48"/>
      <x:c r="V35" s="48"/>
      <x:c r="W35" s="48"/>
    </x:row>
    <x:row r="36">
      <x:c r="C36" s="19" t="str">
        <x:v>MS-CT|B</x:v>
      </x:c>
      <x:c r="D36" s="19" t="str">
        <x:v>MS-CT</x:v>
      </x:c>
      <x:c r="E36" s="19" t="str">
        <x:v>B</x:v>
      </x:c>
      <x:c r="F36" s="19" t="str">
        <x:v>CT-R5</x:v>
      </x:c>
      <x:c r="G36" s="19" t="str">
        <x:v>Household and building-origin reach</x:v>
      </x:c>
      <x:c r="H36" s="19" t="n">
        <x:v>3</x:v>
      </x:c>
      <x:c r="I36" s="19" t="n">
        <x:v>3</x:v>
      </x:c>
      <x:c r="J36" s="19" t="n">
        <x:v>9</x:v>
      </x:c>
      <x:c r="K36" s="19" t="str">
        <x:v>Air-and-skin reach: household and building-origin reach through verified doorstep or window handoff</x:v>
      </x:c>
      <x:c r="L36" s="19" t="n">
        <x:v>1</x:v>
      </x:c>
      <x:c r="M36" s="19" t="n">
        <x:v>1</x:v>
      </x:c>
      <x:c r="N36" s="21" t="str">
        <x:v>FROZEN</x:v>
      </x:c>
      <x:c r="O36" s="48"/>
      <x:c r="P36" s="48"/>
      <x:c r="Q36" s="48"/>
      <x:c r="R36" s="48"/>
      <x:c r="S36" s="48"/>
      <x:c r="T36" s="48"/>
      <x:c r="U36" s="48"/>
      <x:c r="V36" s="48"/>
      <x:c r="W36" s="48"/>
    </x:row>
    <x:row r="37">
      <x:c r="C37" s="19" t="str">
        <x:v>MS-CT|C</x:v>
      </x:c>
      <x:c r="D37" s="19" t="str">
        <x:v>MS-CT</x:v>
      </x:c>
      <x:c r="E37" s="19" t="str">
        <x:v>C</x:v>
      </x:c>
      <x:c r="F37" s="19" t="str">
        <x:v>CT-R1</x:v>
      </x:c>
      <x:c r="G37" s="19" t="str">
        <x:v>Civil authority and effects coordination</x:v>
      </x:c>
      <x:c r="H37" s="19" t="n">
        <x:v>2</x:v>
      </x:c>
      <x:c r="I37" s="19" t="n">
        <x:v>3</x:v>
      </x:c>
      <x:c r="J37" s="19" t="n">
        <x:v>6</x:v>
      </x:c>
      <x:c r="K37" s="19" t="str">
        <x:v>Building utility spine: civil authority and effects coordination through occupied-room and clinic branch point</x:v>
      </x:c>
      <x:c r="L37" s="19" t="n">
        <x:v>1</x:v>
      </x:c>
      <x:c r="M37" s="19" t="n">
        <x:v>1</x:v>
      </x:c>
      <x:c r="N37" s="21" t="str">
        <x:v>FROZEN</x:v>
      </x:c>
      <x:c r="O37" s="48"/>
      <x:c r="P37" s="48"/>
      <x:c r="Q37" s="48"/>
      <x:c r="R37" s="48"/>
      <x:c r="S37" s="48"/>
      <x:c r="T37" s="48"/>
      <x:c r="U37" s="48"/>
      <x:c r="V37" s="48"/>
      <x:c r="W37" s="48"/>
    </x:row>
    <x:row r="38">
      <x:c r="C38" s="19" t="str">
        <x:v>MS-CT|C</x:v>
      </x:c>
      <x:c r="D38" s="19" t="str">
        <x:v>MS-CT</x:v>
      </x:c>
      <x:c r="E38" s="19" t="str">
        <x:v>C</x:v>
      </x:c>
      <x:c r="F38" s="19" t="str">
        <x:v>CT-R2</x:v>
      </x:c>
      <x:c r="G38" s="19" t="str">
        <x:v>Incident observation and causal picture</x:v>
      </x:c>
      <x:c r="H38" s="19" t="n">
        <x:v>4</x:v>
      </x:c>
      <x:c r="I38" s="19" t="n">
        <x:v>3</x:v>
      </x:c>
      <x:c r="J38" s="19" t="n">
        <x:v>12</x:v>
      </x:c>
      <x:c r="K38" s="19" t="str">
        <x:v>Building utility spine: incident observation and causal picture through occupied-room and clinic branch point</x:v>
      </x:c>
      <x:c r="L38" s="19" t="n">
        <x:v>1</x:v>
      </x:c>
      <x:c r="M38" s="19" t="n">
        <x:v>1</x:v>
      </x:c>
      <x:c r="N38" s="21" t="str">
        <x:v>FROZEN</x:v>
      </x:c>
      <x:c r="O38" s="48"/>
      <x:c r="P38" s="48"/>
      <x:c r="Q38" s="48"/>
      <x:c r="R38" s="48"/>
      <x:c r="S38" s="48"/>
      <x:c r="T38" s="48"/>
      <x:c r="U38" s="48"/>
      <x:c r="V38" s="48"/>
      <x:c r="W38" s="48"/>
    </x:row>
    <x:row r="39">
      <x:c r="C39" s="19" t="str">
        <x:v>MS-CT|C</x:v>
      </x:c>
      <x:c r="D39" s="19" t="str">
        <x:v>MS-CT</x:v>
      </x:c>
      <x:c r="E39" s="19" t="str">
        <x:v>C</x:v>
      </x:c>
      <x:c r="F39" s="19" t="str">
        <x:v>CT-R3</x:v>
      </x:c>
      <x:c r="G39" s="19" t="str">
        <x:v>Disconnected public communications</x:v>
      </x:c>
      <x:c r="H39" s="19" t="n">
        <x:v>2</x:v>
      </x:c>
      <x:c r="I39" s="19" t="n">
        <x:v>3</x:v>
      </x:c>
      <x:c r="J39" s="19" t="n">
        <x:v>6</x:v>
      </x:c>
      <x:c r="K39" s="19" t="str">
        <x:v>Building utility spine: disconnected public communications through occupied-room and clinic branch point</x:v>
      </x:c>
      <x:c r="L39" s="19" t="n">
        <x:v>1</x:v>
      </x:c>
      <x:c r="M39" s="19" t="n">
        <x:v>1</x:v>
      </x:c>
      <x:c r="N39" s="21" t="str">
        <x:v>FROZEN</x:v>
      </x:c>
      <x:c r="O39" s="48"/>
      <x:c r="P39" s="48"/>
      <x:c r="Q39" s="48"/>
      <x:c r="R39" s="48"/>
      <x:c r="S39" s="48"/>
      <x:c r="T39" s="48"/>
      <x:c r="U39" s="48"/>
      <x:c r="V39" s="48"/>
      <x:c r="W39" s="48"/>
    </x:row>
    <x:row r="40">
      <x:c r="C40" s="19" t="str">
        <x:v>MS-CT|C</x:v>
      </x:c>
      <x:c r="D40" s="19" t="str">
        <x:v>MS-CT</x:v>
      </x:c>
      <x:c r="E40" s="19" t="str">
        <x:v>C</x:v>
      </x:c>
      <x:c r="F40" s="19" t="str">
        <x:v>CT-R4</x:v>
      </x:c>
      <x:c r="G40" s="19" t="str">
        <x:v>Accessible public-service transaction</x:v>
      </x:c>
      <x:c r="H40" s="19" t="n">
        <x:v>3</x:v>
      </x:c>
      <x:c r="I40" s="19" t="n">
        <x:v>3</x:v>
      </x:c>
      <x:c r="J40" s="19" t="n">
        <x:v>9</x:v>
      </x:c>
      <x:c r="K40" s="19" t="str">
        <x:v>Building utility spine: accessible public-service transaction through occupied-room and clinic branch point</x:v>
      </x:c>
      <x:c r="L40" s="19" t="n">
        <x:v>1</x:v>
      </x:c>
      <x:c r="M40" s="19" t="n">
        <x:v>1</x:v>
      </x:c>
      <x:c r="N40" s="21" t="str">
        <x:v>FROZEN</x:v>
      </x:c>
      <x:c r="O40" s="48"/>
      <x:c r="P40" s="48"/>
      <x:c r="Q40" s="48"/>
      <x:c r="R40" s="48"/>
      <x:c r="S40" s="48"/>
      <x:c r="T40" s="48"/>
      <x:c r="U40" s="48"/>
      <x:c r="V40" s="48"/>
      <x:c r="W40" s="48"/>
    </x:row>
    <x:row r="41">
      <x:c r="C41" s="19" t="str">
        <x:v>MS-CT|C</x:v>
      </x:c>
      <x:c r="D41" s="19" t="str">
        <x:v>MS-CT</x:v>
      </x:c>
      <x:c r="E41" s="19" t="str">
        <x:v>C</x:v>
      </x:c>
      <x:c r="F41" s="19" t="str">
        <x:v>CT-R5</x:v>
      </x:c>
      <x:c r="G41" s="19" t="str">
        <x:v>Household and building-origin reach</x:v>
      </x:c>
      <x:c r="H41" s="19" t="n">
        <x:v>3</x:v>
      </x:c>
      <x:c r="I41" s="19" t="n">
        <x:v>3</x:v>
      </x:c>
      <x:c r="J41" s="19" t="n">
        <x:v>9</x:v>
      </x:c>
      <x:c r="K41" s="19" t="str">
        <x:v>Building utility spine: household and building-origin reach through occupied-room and clinic branch point</x:v>
      </x:c>
      <x:c r="L41" s="19" t="n">
        <x:v>1</x:v>
      </x:c>
      <x:c r="M41" s="19" t="n">
        <x:v>1</x:v>
      </x:c>
      <x:c r="N41" s="21" t="str">
        <x:v>FROZEN</x:v>
      </x:c>
      <x:c r="O41" s="48"/>
      <x:c r="P41" s="48"/>
      <x:c r="Q41" s="48"/>
      <x:c r="R41" s="48"/>
      <x:c r="S41" s="48"/>
      <x:c r="T41" s="48"/>
      <x:c r="U41" s="48"/>
      <x:c r="V41" s="48"/>
      <x:c r="W41" s="48"/>
    </x:row>
    <x:row r="42">
      <x:c r="C42" s="19" t="str">
        <x:v>MS-CT|D</x:v>
      </x:c>
      <x:c r="D42" s="19" t="str">
        <x:v>MS-CT</x:v>
      </x:c>
      <x:c r="E42" s="19" t="str">
        <x:v>D</x:v>
      </x:c>
      <x:c r="F42" s="19" t="str">
        <x:v>CT-R1</x:v>
      </x:c>
      <x:c r="G42" s="19" t="str">
        <x:v>Civil authority and effects coordination</x:v>
      </x:c>
      <x:c r="H42" s="19" t="n">
        <x:v>2</x:v>
      </x:c>
      <x:c r="I42" s="19" t="n">
        <x:v>3</x:v>
      </x:c>
      <x:c r="J42" s="19" t="n">
        <x:v>6</x:v>
      </x:c>
      <x:c r="K42" s="19" t="str">
        <x:v>Neighborhood machine swarm: civil authority and effects coordination through person-confirmed delivery and case receipt</x:v>
      </x:c>
      <x:c r="L42" s="19" t="n">
        <x:v>1</x:v>
      </x:c>
      <x:c r="M42" s="19" t="n">
        <x:v>1</x:v>
      </x:c>
      <x:c r="N42" s="21" t="str">
        <x:v>FROZEN</x:v>
      </x:c>
      <x:c r="O42" s="48"/>
      <x:c r="P42" s="48"/>
      <x:c r="Q42" s="48"/>
      <x:c r="R42" s="48"/>
      <x:c r="S42" s="48"/>
      <x:c r="T42" s="48"/>
      <x:c r="U42" s="48"/>
      <x:c r="V42" s="48"/>
      <x:c r="W42" s="48"/>
    </x:row>
    <x:row r="43">
      <x:c r="C43" s="19" t="str">
        <x:v>MS-CT|D</x:v>
      </x:c>
      <x:c r="D43" s="19" t="str">
        <x:v>MS-CT</x:v>
      </x:c>
      <x:c r="E43" s="19" t="str">
        <x:v>D</x:v>
      </x:c>
      <x:c r="F43" s="19" t="str">
        <x:v>CT-R2</x:v>
      </x:c>
      <x:c r="G43" s="19" t="str">
        <x:v>Incident observation and causal picture</x:v>
      </x:c>
      <x:c r="H43" s="19" t="n">
        <x:v>4</x:v>
      </x:c>
      <x:c r="I43" s="19" t="n">
        <x:v>3</x:v>
      </x:c>
      <x:c r="J43" s="19" t="n">
        <x:v>12</x:v>
      </x:c>
      <x:c r="K43" s="19" t="str">
        <x:v>Neighborhood machine swarm: incident observation and causal picture through person-confirmed delivery and case receipt</x:v>
      </x:c>
      <x:c r="L43" s="19" t="n">
        <x:v>1</x:v>
      </x:c>
      <x:c r="M43" s="19" t="n">
        <x:v>1</x:v>
      </x:c>
      <x:c r="N43" s="21" t="str">
        <x:v>FROZEN</x:v>
      </x:c>
      <x:c r="O43" s="48"/>
      <x:c r="P43" s="48"/>
      <x:c r="Q43" s="48"/>
      <x:c r="R43" s="48"/>
      <x:c r="S43" s="48"/>
      <x:c r="T43" s="48"/>
      <x:c r="U43" s="48"/>
      <x:c r="V43" s="48"/>
      <x:c r="W43" s="48"/>
    </x:row>
    <x:row r="44">
      <x:c r="C44" s="19" t="str">
        <x:v>MS-CT|D</x:v>
      </x:c>
      <x:c r="D44" s="19" t="str">
        <x:v>MS-CT</x:v>
      </x:c>
      <x:c r="E44" s="19" t="str">
        <x:v>D</x:v>
      </x:c>
      <x:c r="F44" s="19" t="str">
        <x:v>CT-R3</x:v>
      </x:c>
      <x:c r="G44" s="19" t="str">
        <x:v>Disconnected public communications</x:v>
      </x:c>
      <x:c r="H44" s="19" t="n">
        <x:v>2</x:v>
      </x:c>
      <x:c r="I44" s="19" t="n">
        <x:v>3</x:v>
      </x:c>
      <x:c r="J44" s="19" t="n">
        <x:v>6</x:v>
      </x:c>
      <x:c r="K44" s="19" t="str">
        <x:v>Neighborhood machine swarm: disconnected public communications through person-confirmed delivery and case receipt</x:v>
      </x:c>
      <x:c r="L44" s="19" t="n">
        <x:v>1</x:v>
      </x:c>
      <x:c r="M44" s="19" t="n">
        <x:v>1</x:v>
      </x:c>
      <x:c r="N44" s="21" t="str">
        <x:v>FROZEN</x:v>
      </x:c>
      <x:c r="O44" s="48"/>
      <x:c r="P44" s="48"/>
      <x:c r="Q44" s="48"/>
      <x:c r="R44" s="48"/>
      <x:c r="S44" s="48"/>
      <x:c r="T44" s="48"/>
      <x:c r="U44" s="48"/>
      <x:c r="V44" s="48"/>
      <x:c r="W44" s="48"/>
    </x:row>
    <x:row r="45">
      <x:c r="C45" s="19" t="str">
        <x:v>MS-CT|D</x:v>
      </x:c>
      <x:c r="D45" s="19" t="str">
        <x:v>MS-CT</x:v>
      </x:c>
      <x:c r="E45" s="19" t="str">
        <x:v>D</x:v>
      </x:c>
      <x:c r="F45" s="19" t="str">
        <x:v>CT-R4</x:v>
      </x:c>
      <x:c r="G45" s="19" t="str">
        <x:v>Accessible public-service transaction</x:v>
      </x:c>
      <x:c r="H45" s="19" t="n">
        <x:v>3</x:v>
      </x:c>
      <x:c r="I45" s="19" t="n">
        <x:v>3</x:v>
      </x:c>
      <x:c r="J45" s="19" t="n">
        <x:v>9</x:v>
      </x:c>
      <x:c r="K45" s="19" t="str">
        <x:v>Neighborhood machine swarm: accessible public-service transaction through person-confirmed delivery and case receipt</x:v>
      </x:c>
      <x:c r="L45" s="19" t="n">
        <x:v>1</x:v>
      </x:c>
      <x:c r="M45" s="19" t="n">
        <x:v>1</x:v>
      </x:c>
      <x:c r="N45" s="21" t="str">
        <x:v>FROZEN</x:v>
      </x:c>
      <x:c r="O45" s="48"/>
      <x:c r="P45" s="48"/>
      <x:c r="Q45" s="48"/>
      <x:c r="R45" s="48"/>
      <x:c r="S45" s="48"/>
      <x:c r="T45" s="48"/>
      <x:c r="U45" s="48"/>
      <x:c r="V45" s="48"/>
      <x:c r="W45" s="48"/>
    </x:row>
    <x:row r="46">
      <x:c r="C46" s="19" t="str">
        <x:v>MS-CT|D</x:v>
      </x:c>
      <x:c r="D46" s="19" t="str">
        <x:v>MS-CT</x:v>
      </x:c>
      <x:c r="E46" s="19" t="str">
        <x:v>D</x:v>
      </x:c>
      <x:c r="F46" s="19" t="str">
        <x:v>CT-R5</x:v>
      </x:c>
      <x:c r="G46" s="19" t="str">
        <x:v>Household and building-origin reach</x:v>
      </x:c>
      <x:c r="H46" s="19" t="n">
        <x:v>3</x:v>
      </x:c>
      <x:c r="I46" s="19" t="n">
        <x:v>3</x:v>
      </x:c>
      <x:c r="J46" s="19" t="n">
        <x:v>9</x:v>
      </x:c>
      <x:c r="K46" s="19" t="str">
        <x:v>Neighborhood machine swarm: household and building-origin reach through person-confirmed delivery and case receipt</x:v>
      </x:c>
      <x:c r="L46" s="19" t="n">
        <x:v>1</x:v>
      </x:c>
      <x:c r="M46" s="19" t="n">
        <x:v>1</x:v>
      </x:c>
      <x:c r="N46" s="21" t="str">
        <x:v>FROZEN</x:v>
      </x:c>
      <x:c r="O46" s="48"/>
      <x:c r="P46" s="48"/>
      <x:c r="Q46" s="48"/>
      <x:c r="R46" s="48"/>
      <x:c r="S46" s="48"/>
      <x:c r="T46" s="48"/>
      <x:c r="U46" s="48"/>
      <x:c r="V46" s="48"/>
      <x:c r="W46" s="48"/>
    </x:row>
    <x:row r="47">
      <x:c r="C47" s="19" t="str">
        <x:v>MS-HC|A</x:v>
      </x:c>
      <x:c r="D47" s="19" t="str">
        <x:v>MS-HC</x:v>
      </x:c>
      <x:c r="E47" s="19" t="str">
        <x:v>A</x:v>
      </x:c>
      <x:c r="F47" s="19" t="str">
        <x:v>HC-R1</x:v>
      </x:c>
      <x:c r="G47" s="19" t="str">
        <x:v>Fire and atmospheric control</x:v>
      </x:c>
      <x:c r="H47" s="19" t="n">
        <x:v>2</x:v>
      </x:c>
      <x:c r="I47" s="19" t="n">
        <x:v>3</x:v>
      </x:c>
      <x:c r="J47" s="19" t="n">
        <x:v>6</x:v>
      </x:c>
      <x:c r="K47" s="19" t="str">
        <x:v>Atmospheric flux wing: fire and atmospheric control through protected-envelope release</x:v>
      </x:c>
      <x:c r="L47" s="19" t="n">
        <x:v>1</x:v>
      </x:c>
      <x:c r="M47" s="19" t="n">
        <x:v>1</x:v>
      </x:c>
      <x:c r="N47" s="21" t="str">
        <x:v>FROZEN</x:v>
      </x:c>
      <x:c r="O47" s="48"/>
      <x:c r="P47" s="48"/>
      <x:c r="Q47" s="48"/>
      <x:c r="R47" s="48"/>
      <x:c r="S47" s="48"/>
      <x:c r="T47" s="48"/>
      <x:c r="U47" s="48"/>
      <x:c r="V47" s="48"/>
      <x:c r="W47" s="48"/>
    </x:row>
    <x:row r="48">
      <x:c r="C48" s="19" t="str">
        <x:v>MS-HC|A</x:v>
      </x:c>
      <x:c r="D48" s="19" t="str">
        <x:v>MS-HC</x:v>
      </x:c>
      <x:c r="E48" s="19" t="str">
        <x:v>A</x:v>
      </x:c>
      <x:c r="F48" s="19" t="str">
        <x:v>HC-R2</x:v>
      </x:c>
      <x:c r="G48" s="19" t="str">
        <x:v>Flood and hydraulic control</x:v>
      </x:c>
      <x:c r="H48" s="19" t="n">
        <x:v>2</x:v>
      </x:c>
      <x:c r="I48" s="19" t="n">
        <x:v>3</x:v>
      </x:c>
      <x:c r="J48" s="19" t="n">
        <x:v>6</x:v>
      </x:c>
      <x:c r="K48" s="19" t="str">
        <x:v>Atmospheric flux wing: flood and hydraulic control through protected-envelope release</x:v>
      </x:c>
      <x:c r="L48" s="19" t="n">
        <x:v>1</x:v>
      </x:c>
      <x:c r="M48" s="19" t="n">
        <x:v>1</x:v>
      </x:c>
      <x:c r="N48" s="21" t="str">
        <x:v>FROZEN</x:v>
      </x:c>
      <x:c r="O48" s="48"/>
      <x:c r="P48" s="48"/>
      <x:c r="Q48" s="48"/>
      <x:c r="R48" s="48"/>
      <x:c r="S48" s="48"/>
      <x:c r="T48" s="48"/>
      <x:c r="U48" s="48"/>
      <x:c r="V48" s="48"/>
      <x:c r="W48" s="48"/>
    </x:row>
    <x:row r="49">
      <x:c r="C49" s="19" t="str">
        <x:v>MS-HC|A</x:v>
      </x:c>
      <x:c r="D49" s="19" t="str">
        <x:v>MS-HC</x:v>
      </x:c>
      <x:c r="E49" s="19" t="str">
        <x:v>A</x:v>
      </x:c>
      <x:c r="F49" s="19" t="str">
        <x:v>HC-R3</x:v>
      </x:c>
      <x:c r="G49" s="19" t="str">
        <x:v>Debris, material and geophysical control</x:v>
      </x:c>
      <x:c r="H49" s="19" t="n">
        <x:v>3</x:v>
      </x:c>
      <x:c r="I49" s="19" t="n">
        <x:v>3</x:v>
      </x:c>
      <x:c r="J49" s="19" t="n">
        <x:v>9</x:v>
      </x:c>
      <x:c r="K49" s="19" t="str">
        <x:v>Atmospheric flux wing: debris, material and geophysical control through protected-envelope release</x:v>
      </x:c>
      <x:c r="L49" s="19" t="n">
        <x:v>1</x:v>
      </x:c>
      <x:c r="M49" s="19" t="n">
        <x:v>1</x:v>
      </x:c>
      <x:c r="N49" s="21" t="str">
        <x:v>FROZEN</x:v>
      </x:c>
      <x:c r="O49" s="48"/>
      <x:c r="P49" s="48"/>
      <x:c r="Q49" s="48"/>
      <x:c r="R49" s="48"/>
      <x:c r="S49" s="48"/>
      <x:c r="T49" s="48"/>
      <x:c r="U49" s="48"/>
      <x:c r="V49" s="48"/>
      <x:c r="W49" s="48"/>
    </x:row>
    <x:row r="50">
      <x:c r="C50" s="19" t="str">
        <x:v>MS-HC|B</x:v>
      </x:c>
      <x:c r="D50" s="19" t="str">
        <x:v>MS-HC</x:v>
      </x:c>
      <x:c r="E50" s="19" t="str">
        <x:v>B</x:v>
      </x:c>
      <x:c r="F50" s="19" t="str">
        <x:v>HC-R1</x:v>
      </x:c>
      <x:c r="G50" s="19" t="str">
        <x:v>Fire and atmospheric control</x:v>
      </x:c>
      <x:c r="H50" s="19" t="n">
        <x:v>2</x:v>
      </x:c>
      <x:c r="I50" s="19" t="n">
        <x:v>3</x:v>
      </x:c>
      <x:c r="J50" s="19" t="n">
        <x:v>6</x:v>
      </x:c>
      <x:c r="K50" s="19" t="str">
        <x:v>Hydraulic intervention lattice: fire and atmospheric control through basin and receiving-water release</x:v>
      </x:c>
      <x:c r="L50" s="19" t="n">
        <x:v>1</x:v>
      </x:c>
      <x:c r="M50" s="19" t="n">
        <x:v>1</x:v>
      </x:c>
      <x:c r="N50" s="21" t="str">
        <x:v>FROZEN</x:v>
      </x:c>
      <x:c r="O50" s="48"/>
      <x:c r="P50" s="48"/>
      <x:c r="Q50" s="48"/>
      <x:c r="R50" s="48"/>
      <x:c r="S50" s="48"/>
      <x:c r="T50" s="48"/>
      <x:c r="U50" s="48"/>
      <x:c r="V50" s="48"/>
      <x:c r="W50" s="48"/>
    </x:row>
    <x:row r="51">
      <x:c r="C51" s="19" t="str">
        <x:v>MS-HC|B</x:v>
      </x:c>
      <x:c r="D51" s="19" t="str">
        <x:v>MS-HC</x:v>
      </x:c>
      <x:c r="E51" s="19" t="str">
        <x:v>B</x:v>
      </x:c>
      <x:c r="F51" s="19" t="str">
        <x:v>HC-R2</x:v>
      </x:c>
      <x:c r="G51" s="19" t="str">
        <x:v>Flood and hydraulic control</x:v>
      </x:c>
      <x:c r="H51" s="19" t="n">
        <x:v>2</x:v>
      </x:c>
      <x:c r="I51" s="19" t="n">
        <x:v>3</x:v>
      </x:c>
      <x:c r="J51" s="19" t="n">
        <x:v>6</x:v>
      </x:c>
      <x:c r="K51" s="19" t="str">
        <x:v>Hydraulic intervention lattice: flood and hydraulic control through basin and receiving-water release</x:v>
      </x:c>
      <x:c r="L51" s="19" t="n">
        <x:v>1</x:v>
      </x:c>
      <x:c r="M51" s="19" t="n">
        <x:v>1</x:v>
      </x:c>
      <x:c r="N51" s="21" t="str">
        <x:v>FROZEN</x:v>
      </x:c>
      <x:c r="O51" s="48"/>
      <x:c r="P51" s="48"/>
      <x:c r="Q51" s="48"/>
      <x:c r="R51" s="48"/>
      <x:c r="S51" s="48"/>
      <x:c r="T51" s="48"/>
      <x:c r="U51" s="48"/>
      <x:c r="V51" s="48"/>
      <x:c r="W51" s="48"/>
    </x:row>
    <x:row r="52">
      <x:c r="C52" s="19" t="str">
        <x:v>MS-HC|B</x:v>
      </x:c>
      <x:c r="D52" s="19" t="str">
        <x:v>MS-HC</x:v>
      </x:c>
      <x:c r="E52" s="19" t="str">
        <x:v>B</x:v>
      </x:c>
      <x:c r="F52" s="19" t="str">
        <x:v>HC-R3</x:v>
      </x:c>
      <x:c r="G52" s="19" t="str">
        <x:v>Debris, material and geophysical control</x:v>
      </x:c>
      <x:c r="H52" s="19" t="n">
        <x:v>3</x:v>
      </x:c>
      <x:c r="I52" s="19" t="n">
        <x:v>3</x:v>
      </x:c>
      <x:c r="J52" s="19" t="n">
        <x:v>9</x:v>
      </x:c>
      <x:c r="K52" s="19" t="str">
        <x:v>Hydraulic intervention lattice: debris, material and geophysical control through basin and receiving-water release</x:v>
      </x:c>
      <x:c r="L52" s="19" t="n">
        <x:v>1</x:v>
      </x:c>
      <x:c r="M52" s="19" t="n">
        <x:v>1</x:v>
      </x:c>
      <x:c r="N52" s="21" t="str">
        <x:v>FROZEN</x:v>
      </x:c>
      <x:c r="O52" s="48"/>
      <x:c r="P52" s="48"/>
      <x:c r="Q52" s="48"/>
      <x:c r="R52" s="48"/>
      <x:c r="S52" s="48"/>
      <x:c r="T52" s="48"/>
      <x:c r="U52" s="48"/>
      <x:c r="V52" s="48"/>
      <x:c r="W52" s="48"/>
    </x:row>
    <x:row r="53">
      <x:c r="C53" s="19" t="str">
        <x:v>MS-HC|C</x:v>
      </x:c>
      <x:c r="D53" s="19" t="str">
        <x:v>MS-HC</x:v>
      </x:c>
      <x:c r="E53" s="19" t="str">
        <x:v>C</x:v>
      </x:c>
      <x:c r="F53" s="19" t="str">
        <x:v>HC-R1</x:v>
      </x:c>
      <x:c r="G53" s="19" t="str">
        <x:v>Fire and atmospheric control</x:v>
      </x:c>
      <x:c r="H53" s="19" t="n">
        <x:v>2</x:v>
      </x:c>
      <x:c r="I53" s="19" t="n">
        <x:v>3</x:v>
      </x:c>
      <x:c r="J53" s="19" t="n">
        <x:v>6</x:v>
      </x:c>
      <x:c r="K53" s="19" t="str">
        <x:v>Autonomous terrain corps: fire and atmospheric control through verified line, route and safe-zone release</x:v>
      </x:c>
      <x:c r="L53" s="19" t="n">
        <x:v>1</x:v>
      </x:c>
      <x:c r="M53" s="19" t="n">
        <x:v>1</x:v>
      </x:c>
      <x:c r="N53" s="21" t="str">
        <x:v>FROZEN</x:v>
      </x:c>
      <x:c r="O53" s="48"/>
      <x:c r="P53" s="48"/>
      <x:c r="Q53" s="48"/>
      <x:c r="R53" s="48"/>
      <x:c r="S53" s="48"/>
      <x:c r="T53" s="48"/>
      <x:c r="U53" s="48"/>
      <x:c r="V53" s="48"/>
      <x:c r="W53" s="48"/>
    </x:row>
    <x:row r="54">
      <x:c r="C54" s="19" t="str">
        <x:v>MS-HC|C</x:v>
      </x:c>
      <x:c r="D54" s="19" t="str">
        <x:v>MS-HC</x:v>
      </x:c>
      <x:c r="E54" s="19" t="str">
        <x:v>C</x:v>
      </x:c>
      <x:c r="F54" s="19" t="str">
        <x:v>HC-R2</x:v>
      </x:c>
      <x:c r="G54" s="19" t="str">
        <x:v>Flood and hydraulic control</x:v>
      </x:c>
      <x:c r="H54" s="19" t="n">
        <x:v>2</x:v>
      </x:c>
      <x:c r="I54" s="19" t="n">
        <x:v>3</x:v>
      </x:c>
      <x:c r="J54" s="19" t="n">
        <x:v>6</x:v>
      </x:c>
      <x:c r="K54" s="19" t="str">
        <x:v>Autonomous terrain corps: flood and hydraulic control through verified line, route and safe-zone release</x:v>
      </x:c>
      <x:c r="L54" s="19" t="n">
        <x:v>1</x:v>
      </x:c>
      <x:c r="M54" s="19" t="n">
        <x:v>1</x:v>
      </x:c>
      <x:c r="N54" s="21" t="str">
        <x:v>FROZEN</x:v>
      </x:c>
      <x:c r="O54" s="48"/>
      <x:c r="P54" s="48"/>
      <x:c r="Q54" s="48"/>
      <x:c r="R54" s="48"/>
      <x:c r="S54" s="48"/>
      <x:c r="T54" s="48"/>
      <x:c r="U54" s="48"/>
      <x:c r="V54" s="48"/>
      <x:c r="W54" s="48"/>
    </x:row>
    <x:row r="55">
      <x:c r="C55" s="19" t="str">
        <x:v>MS-HC|C</x:v>
      </x:c>
      <x:c r="D55" s="19" t="str">
        <x:v>MS-HC</x:v>
      </x:c>
      <x:c r="E55" s="19" t="str">
        <x:v>C</x:v>
      </x:c>
      <x:c r="F55" s="19" t="str">
        <x:v>HC-R3</x:v>
      </x:c>
      <x:c r="G55" s="19" t="str">
        <x:v>Debris, material and geophysical control</x:v>
      </x:c>
      <x:c r="H55" s="19" t="n">
        <x:v>3</x:v>
      </x:c>
      <x:c r="I55" s="19" t="n">
        <x:v>3</x:v>
      </x:c>
      <x:c r="J55" s="19" t="n">
        <x:v>9</x:v>
      </x:c>
      <x:c r="K55" s="19" t="str">
        <x:v>Autonomous terrain corps: debris, material and geophysical control through verified line, route and safe-zone release</x:v>
      </x:c>
      <x:c r="L55" s="19" t="n">
        <x:v>1</x:v>
      </x:c>
      <x:c r="M55" s="19" t="n">
        <x:v>1</x:v>
      </x:c>
      <x:c r="N55" s="21" t="str">
        <x:v>FROZEN</x:v>
      </x:c>
      <x:c r="O55" s="48"/>
      <x:c r="P55" s="48"/>
      <x:c r="Q55" s="48"/>
      <x:c r="R55" s="48"/>
      <x:c r="S55" s="48"/>
      <x:c r="T55" s="48"/>
      <x:c r="U55" s="48"/>
      <x:c r="V55" s="48"/>
      <x:c r="W55" s="48"/>
    </x:row>
    <x:row r="56">
      <x:c r="C56" s="19" t="str">
        <x:v>MS-HC|D</x:v>
      </x:c>
      <x:c r="D56" s="19" t="str">
        <x:v>MS-HC</x:v>
      </x:c>
      <x:c r="E56" s="19" t="str">
        <x:v>D</x:v>
      </x:c>
      <x:c r="F56" s="19" t="str">
        <x:v>HC-R1</x:v>
      </x:c>
      <x:c r="G56" s="19" t="str">
        <x:v>Fire and atmospheric control</x:v>
      </x:c>
      <x:c r="H56" s="19" t="n">
        <x:v>2</x:v>
      </x:c>
      <x:c r="I56" s="19" t="n">
        <x:v>3</x:v>
      </x:c>
      <x:c r="J56" s="19" t="n">
        <x:v>6</x:v>
      </x:c>
      <x:c r="K56" s="19" t="str">
        <x:v>Boundary-control field: fire and atmospheric control through zone-by-zone boundary release</x:v>
      </x:c>
      <x:c r="L56" s="19" t="n">
        <x:v>1</x:v>
      </x:c>
      <x:c r="M56" s="19" t="n">
        <x:v>1</x:v>
      </x:c>
      <x:c r="N56" s="21" t="str">
        <x:v>FROZEN</x:v>
      </x:c>
      <x:c r="O56" s="48"/>
      <x:c r="P56" s="48"/>
      <x:c r="Q56" s="48"/>
      <x:c r="R56" s="48"/>
      <x:c r="S56" s="48"/>
      <x:c r="T56" s="48"/>
      <x:c r="U56" s="48"/>
      <x:c r="V56" s="48"/>
      <x:c r="W56" s="48"/>
    </x:row>
    <x:row r="57">
      <x:c r="C57" s="19" t="str">
        <x:v>MS-HC|D</x:v>
      </x:c>
      <x:c r="D57" s="19" t="str">
        <x:v>MS-HC</x:v>
      </x:c>
      <x:c r="E57" s="19" t="str">
        <x:v>D</x:v>
      </x:c>
      <x:c r="F57" s="19" t="str">
        <x:v>HC-R2</x:v>
      </x:c>
      <x:c r="G57" s="19" t="str">
        <x:v>Flood and hydraulic control</x:v>
      </x:c>
      <x:c r="H57" s="19" t="n">
        <x:v>2</x:v>
      </x:c>
      <x:c r="I57" s="19" t="n">
        <x:v>3</x:v>
      </x:c>
      <x:c r="J57" s="19" t="n">
        <x:v>6</x:v>
      </x:c>
      <x:c r="K57" s="19" t="str">
        <x:v>Boundary-control field: flood and hydraulic control through zone-by-zone boundary release</x:v>
      </x:c>
      <x:c r="L57" s="19" t="n">
        <x:v>1</x:v>
      </x:c>
      <x:c r="M57" s="19" t="n">
        <x:v>1</x:v>
      </x:c>
      <x:c r="N57" s="21" t="str">
        <x:v>FROZEN</x:v>
      </x:c>
      <x:c r="O57" s="48"/>
      <x:c r="P57" s="48"/>
      <x:c r="Q57" s="48"/>
      <x:c r="R57" s="48"/>
      <x:c r="S57" s="48"/>
      <x:c r="T57" s="48"/>
      <x:c r="U57" s="48"/>
      <x:c r="V57" s="48"/>
      <x:c r="W57" s="48"/>
    </x:row>
    <x:row r="58">
      <x:c r="C58" s="19" t="str">
        <x:v>MS-HC|D</x:v>
      </x:c>
      <x:c r="D58" s="19" t="str">
        <x:v>MS-HC</x:v>
      </x:c>
      <x:c r="E58" s="19" t="str">
        <x:v>D</x:v>
      </x:c>
      <x:c r="F58" s="19" t="str">
        <x:v>HC-R3</x:v>
      </x:c>
      <x:c r="G58" s="19" t="str">
        <x:v>Debris, material and geophysical control</x:v>
      </x:c>
      <x:c r="H58" s="19" t="n">
        <x:v>3</x:v>
      </x:c>
      <x:c r="I58" s="19" t="n">
        <x:v>3</x:v>
      </x:c>
      <x:c r="J58" s="19" t="n">
        <x:v>9</x:v>
      </x:c>
      <x:c r="K58" s="19" t="str">
        <x:v>Boundary-control field: debris, material and geophysical control through zone-by-zone boundary release</x:v>
      </x:c>
      <x:c r="L58" s="19" t="n">
        <x:v>1</x:v>
      </x:c>
      <x:c r="M58" s="19" t="n">
        <x:v>1</x:v>
      </x:c>
      <x:c r="N58" s="21" t="str">
        <x:v>FROZEN</x:v>
      </x:c>
      <x:c r="O58" s="48"/>
      <x:c r="P58" s="48"/>
      <x:c r="Q58" s="48"/>
      <x:c r="R58" s="48"/>
      <x:c r="S58" s="48"/>
      <x:c r="T58" s="48"/>
      <x:c r="U58" s="48"/>
      <x:c r="V58" s="48"/>
      <x:c r="W58" s="48"/>
    </x:row>
    <x:row r="59">
      <x:c r="C59" s="19" t="str">
        <x:v>MS-HU|A</x:v>
      </x:c>
      <x:c r="D59" s="19" t="str">
        <x:v>MS-HU</x:v>
      </x:c>
      <x:c r="E59" s="19" t="str">
        <x:v>A</x:v>
      </x:c>
      <x:c r="F59" s="19" t="str">
        <x:v>HU-R1</x:v>
      </x:c>
      <x:c r="G59" s="19" t="str">
        <x:v>Local continuity support</x:v>
      </x:c>
      <x:c r="H59" s="19" t="n">
        <x:v>12</x:v>
      </x:c>
      <x:c r="I59" s="19" t="n">
        <x:v>3</x:v>
      </x:c>
      <x:c r="J59" s="19" t="n">
        <x:v>36</x:v>
      </x:c>
      <x:c r="K59" s="19" t="str">
        <x:v>Clinical continuity campus: local continuity support through referral, admission and discharge gate</x:v>
      </x:c>
      <x:c r="L59" s="19" t="n">
        <x:v>1</x:v>
      </x:c>
      <x:c r="M59" s="19" t="n">
        <x:v>1</x:v>
      </x:c>
      <x:c r="N59" s="21" t="str">
        <x:v>FROZEN</x:v>
      </x:c>
      <x:c r="O59" s="48"/>
      <x:c r="P59" s="48"/>
      <x:c r="Q59" s="48"/>
      <x:c r="R59" s="48"/>
      <x:c r="S59" s="48"/>
      <x:c r="T59" s="48"/>
      <x:c r="U59" s="48"/>
      <x:c r="V59" s="48"/>
      <x:c r="W59" s="48"/>
    </x:row>
    <x:row r="60">
      <x:c r="C60" s="19" t="str">
        <x:v>MS-HU|A</x:v>
      </x:c>
      <x:c r="D60" s="19" t="str">
        <x:v>MS-HU</x:v>
      </x:c>
      <x:c r="E60" s="19" t="str">
        <x:v>A</x:v>
      </x:c>
      <x:c r="F60" s="19" t="str">
        <x:v>HU-R2</x:v>
      </x:c>
      <x:c r="G60" s="19" t="str">
        <x:v>Definitive care</x:v>
      </x:c>
      <x:c r="H60" s="19" t="n">
        <x:v>3</x:v>
      </x:c>
      <x:c r="I60" s="19" t="n">
        <x:v>3</x:v>
      </x:c>
      <x:c r="J60" s="19" t="n">
        <x:v>9</x:v>
      </x:c>
      <x:c r="K60" s="19" t="str">
        <x:v>Clinical continuity campus: definitive care through referral, admission and discharge gate</x:v>
      </x:c>
      <x:c r="L60" s="19" t="n">
        <x:v>1</x:v>
      </x:c>
      <x:c r="M60" s="19" t="n">
        <x:v>1</x:v>
      </x:c>
      <x:c r="N60" s="21" t="str">
        <x:v>FROZEN</x:v>
      </x:c>
      <x:c r="O60" s="48"/>
      <x:c r="P60" s="48"/>
      <x:c r="Q60" s="48"/>
      <x:c r="R60" s="48"/>
      <x:c r="S60" s="48"/>
      <x:c r="T60" s="48"/>
      <x:c r="U60" s="48"/>
      <x:c r="V60" s="48"/>
      <x:c r="W60" s="48"/>
    </x:row>
    <x:row r="61">
      <x:c r="C61" s="19" t="str">
        <x:v>MS-HU|A</x:v>
      </x:c>
      <x:c r="D61" s="19" t="str">
        <x:v>MS-HU</x:v>
      </x:c>
      <x:c r="E61" s="19" t="str">
        <x:v>A</x:v>
      </x:c>
      <x:c r="F61" s="19" t="str">
        <x:v>HU-R3</x:v>
      </x:c>
      <x:c r="G61" s="19" t="str">
        <x:v>Patient regulation and transfer</x:v>
      </x:c>
      <x:c r="H61" s="19" t="n">
        <x:v>4</x:v>
      </x:c>
      <x:c r="I61" s="19" t="n">
        <x:v>3</x:v>
      </x:c>
      <x:c r="J61" s="19" t="n">
        <x:v>12</x:v>
      </x:c>
      <x:c r="K61" s="19" t="str">
        <x:v>Clinical continuity campus: patient regulation and transfer through referral, admission and discharge gate</x:v>
      </x:c>
      <x:c r="L61" s="19" t="n">
        <x:v>1</x:v>
      </x:c>
      <x:c r="M61" s="19" t="n">
        <x:v>1</x:v>
      </x:c>
      <x:c r="N61" s="21" t="str">
        <x:v>FROZEN</x:v>
      </x:c>
      <x:c r="O61" s="48"/>
      <x:c r="P61" s="48"/>
      <x:c r="Q61" s="48"/>
      <x:c r="R61" s="48"/>
      <x:c r="S61" s="48"/>
      <x:c r="T61" s="48"/>
      <x:c r="U61" s="48"/>
      <x:c r="V61" s="48"/>
      <x:c r="W61" s="48"/>
    </x:row>
    <x:row r="62">
      <x:c r="C62" s="19" t="str">
        <x:v>MS-HU|A</x:v>
      </x:c>
      <x:c r="D62" s="19" t="str">
        <x:v>MS-HU</x:v>
      </x:c>
      <x:c r="E62" s="19" t="str">
        <x:v>A</x:v>
      </x:c>
      <x:c r="F62" s="19" t="str">
        <x:v>HU-R4</x:v>
      </x:c>
      <x:c r="G62" s="19" t="str">
        <x:v>Household relocation and reception</x:v>
      </x:c>
      <x:c r="H62" s="19" t="n">
        <x:v>12</x:v>
      </x:c>
      <x:c r="I62" s="19" t="n">
        <x:v>3</x:v>
      </x:c>
      <x:c r="J62" s="19" t="n">
        <x:v>36</x:v>
      </x:c>
      <x:c r="K62" s="19" t="str">
        <x:v>Clinical continuity campus: household relocation and reception through referral, admission and discharge gate</x:v>
      </x:c>
      <x:c r="L62" s="19" t="n">
        <x:v>1</x:v>
      </x:c>
      <x:c r="M62" s="19" t="n">
        <x:v>1</x:v>
      </x:c>
      <x:c r="N62" s="21" t="str">
        <x:v>FROZEN</x:v>
      </x:c>
      <x:c r="O62" s="48"/>
      <x:c r="P62" s="48"/>
      <x:c r="Q62" s="48"/>
      <x:c r="R62" s="48"/>
      <x:c r="S62" s="48"/>
      <x:c r="T62" s="48"/>
      <x:c r="U62" s="48"/>
      <x:c r="V62" s="48"/>
      <x:c r="W62" s="48"/>
    </x:row>
    <x:row r="63">
      <x:c r="C63" s="19" t="str">
        <x:v>MS-HU|A</x:v>
      </x:c>
      <x:c r="D63" s="19" t="str">
        <x:v>MS-HU</x:v>
      </x:c>
      <x:c r="E63" s="19" t="str">
        <x:v>A</x:v>
      </x:c>
      <x:c r="F63" s="19" t="str">
        <x:v>HU-R5</x:v>
      </x:c>
      <x:c r="G63" s="19" t="str">
        <x:v>Workforce replacement</x:v>
      </x:c>
      <x:c r="H63" s="19" t="n">
        <x:v>3</x:v>
      </x:c>
      <x:c r="I63" s="19" t="n">
        <x:v>3</x:v>
      </x:c>
      <x:c r="J63" s="19" t="n">
        <x:v>9</x:v>
      </x:c>
      <x:c r="K63" s="19" t="str">
        <x:v>Clinical continuity campus: workforce replacement through referral, admission and discharge gate</x:v>
      </x:c>
      <x:c r="L63" s="19" t="n">
        <x:v>1</x:v>
      </x:c>
      <x:c r="M63" s="19" t="n">
        <x:v>1</x:v>
      </x:c>
      <x:c r="N63" s="21" t="str">
        <x:v>FROZEN</x:v>
      </x:c>
      <x:c r="O63" s="48"/>
      <x:c r="P63" s="48"/>
      <x:c r="Q63" s="48"/>
      <x:c r="R63" s="48"/>
      <x:c r="S63" s="48"/>
      <x:c r="T63" s="48"/>
      <x:c r="U63" s="48"/>
      <x:c r="V63" s="48"/>
      <x:c r="W63" s="48"/>
    </x:row>
    <x:row r="64">
      <x:c r="C64" s="19" t="str">
        <x:v>MS-HU|B</x:v>
      </x:c>
      <x:c r="D64" s="19" t="str">
        <x:v>MS-HU</x:v>
      </x:c>
      <x:c r="E64" s="19" t="str">
        <x:v>B</x:v>
      </x:c>
      <x:c r="F64" s="19" t="str">
        <x:v>HU-R1</x:v>
      </x:c>
      <x:c r="G64" s="19" t="str">
        <x:v>Local continuity support</x:v>
      </x:c>
      <x:c r="H64" s="19" t="n">
        <x:v>12</x:v>
      </x:c>
      <x:c r="I64" s="19" t="n">
        <x:v>3</x:v>
      </x:c>
      <x:c r="J64" s="19" t="n">
        <x:v>36</x:v>
      </x:c>
      <x:c r="K64" s="19" t="str">
        <x:v>Neighborhood care fabric: local continuity support through doorstep and community receiver</x:v>
      </x:c>
      <x:c r="L64" s="19" t="n">
        <x:v>1</x:v>
      </x:c>
      <x:c r="M64" s="19" t="n">
        <x:v>1</x:v>
      </x:c>
      <x:c r="N64" s="21" t="str">
        <x:v>FROZEN</x:v>
      </x:c>
      <x:c r="O64" s="48"/>
      <x:c r="P64" s="48"/>
      <x:c r="Q64" s="48"/>
      <x:c r="R64" s="48"/>
      <x:c r="S64" s="48"/>
      <x:c r="T64" s="48"/>
      <x:c r="U64" s="48"/>
      <x:c r="V64" s="48"/>
      <x:c r="W64" s="48"/>
    </x:row>
    <x:row r="65">
      <x:c r="C65" s="19" t="str">
        <x:v>MS-HU|B</x:v>
      </x:c>
      <x:c r="D65" s="19" t="str">
        <x:v>MS-HU</x:v>
      </x:c>
      <x:c r="E65" s="19" t="str">
        <x:v>B</x:v>
      </x:c>
      <x:c r="F65" s="19" t="str">
        <x:v>HU-R2</x:v>
      </x:c>
      <x:c r="G65" s="19" t="str">
        <x:v>Definitive care</x:v>
      </x:c>
      <x:c r="H65" s="19" t="n">
        <x:v>3</x:v>
      </x:c>
      <x:c r="I65" s="19" t="n">
        <x:v>3</x:v>
      </x:c>
      <x:c r="J65" s="19" t="n">
        <x:v>9</x:v>
      </x:c>
      <x:c r="K65" s="19" t="str">
        <x:v>Neighborhood care fabric: definitive care through doorstep and community receiver</x:v>
      </x:c>
      <x:c r="L65" s="19" t="n">
        <x:v>1</x:v>
      </x:c>
      <x:c r="M65" s="19" t="n">
        <x:v>1</x:v>
      </x:c>
      <x:c r="N65" s="21" t="str">
        <x:v>FROZEN</x:v>
      </x:c>
      <x:c r="O65" s="48"/>
      <x:c r="P65" s="48"/>
      <x:c r="Q65" s="48"/>
      <x:c r="R65" s="48"/>
      <x:c r="S65" s="48"/>
      <x:c r="T65" s="48"/>
      <x:c r="U65" s="48"/>
      <x:c r="V65" s="48"/>
      <x:c r="W65" s="48"/>
    </x:row>
    <x:row r="66">
      <x:c r="C66" s="19" t="str">
        <x:v>MS-HU|B</x:v>
      </x:c>
      <x:c r="D66" s="19" t="str">
        <x:v>MS-HU</x:v>
      </x:c>
      <x:c r="E66" s="19" t="str">
        <x:v>B</x:v>
      </x:c>
      <x:c r="F66" s="19" t="str">
        <x:v>HU-R3</x:v>
      </x:c>
      <x:c r="G66" s="19" t="str">
        <x:v>Patient regulation and transfer</x:v>
      </x:c>
      <x:c r="H66" s="19" t="n">
        <x:v>4</x:v>
      </x:c>
      <x:c r="I66" s="19" t="n">
        <x:v>3</x:v>
      </x:c>
      <x:c r="J66" s="19" t="n">
        <x:v>12</x:v>
      </x:c>
      <x:c r="K66" s="19" t="str">
        <x:v>Neighborhood care fabric: patient regulation and transfer through doorstep and community receiver</x:v>
      </x:c>
      <x:c r="L66" s="19" t="n">
        <x:v>1</x:v>
      </x:c>
      <x:c r="M66" s="19" t="n">
        <x:v>1</x:v>
      </x:c>
      <x:c r="N66" s="21" t="str">
        <x:v>FROZEN</x:v>
      </x:c>
      <x:c r="O66" s="48"/>
      <x:c r="P66" s="48"/>
      <x:c r="Q66" s="48"/>
      <x:c r="R66" s="48"/>
      <x:c r="S66" s="48"/>
      <x:c r="T66" s="48"/>
      <x:c r="U66" s="48"/>
      <x:c r="V66" s="48"/>
      <x:c r="W66" s="48"/>
    </x:row>
    <x:row r="67">
      <x:c r="C67" s="19" t="str">
        <x:v>MS-HU|B</x:v>
      </x:c>
      <x:c r="D67" s="19" t="str">
        <x:v>MS-HU</x:v>
      </x:c>
      <x:c r="E67" s="19" t="str">
        <x:v>B</x:v>
      </x:c>
      <x:c r="F67" s="19" t="str">
        <x:v>HU-R4</x:v>
      </x:c>
      <x:c r="G67" s="19" t="str">
        <x:v>Household relocation and reception</x:v>
      </x:c>
      <x:c r="H67" s="19" t="n">
        <x:v>12</x:v>
      </x:c>
      <x:c r="I67" s="19" t="n">
        <x:v>3</x:v>
      </x:c>
      <x:c r="J67" s="19" t="n">
        <x:v>36</x:v>
      </x:c>
      <x:c r="K67" s="19" t="str">
        <x:v>Neighborhood care fabric: household relocation and reception through doorstep and community receiver</x:v>
      </x:c>
      <x:c r="L67" s="19" t="n">
        <x:v>1</x:v>
      </x:c>
      <x:c r="M67" s="19" t="n">
        <x:v>1</x:v>
      </x:c>
      <x:c r="N67" s="21" t="str">
        <x:v>FROZEN</x:v>
      </x:c>
      <x:c r="O67" s="48"/>
      <x:c r="P67" s="48"/>
      <x:c r="Q67" s="48"/>
      <x:c r="R67" s="48"/>
      <x:c r="S67" s="48"/>
      <x:c r="T67" s="48"/>
      <x:c r="U67" s="48"/>
      <x:c r="V67" s="48"/>
      <x:c r="W67" s="48"/>
    </x:row>
    <x:row r="68">
      <x:c r="C68" s="19" t="str">
        <x:v>MS-HU|B</x:v>
      </x:c>
      <x:c r="D68" s="19" t="str">
        <x:v>MS-HU</x:v>
      </x:c>
      <x:c r="E68" s="19" t="str">
        <x:v>B</x:v>
      </x:c>
      <x:c r="F68" s="19" t="str">
        <x:v>HU-R5</x:v>
      </x:c>
      <x:c r="G68" s="19" t="str">
        <x:v>Workforce replacement</x:v>
      </x:c>
      <x:c r="H68" s="19" t="n">
        <x:v>3</x:v>
      </x:c>
      <x:c r="I68" s="19" t="n">
        <x:v>3</x:v>
      </x:c>
      <x:c r="J68" s="19" t="n">
        <x:v>9</x:v>
      </x:c>
      <x:c r="K68" s="19" t="str">
        <x:v>Neighborhood care fabric: workforce replacement through doorstep and community receiver</x:v>
      </x:c>
      <x:c r="L68" s="19" t="n">
        <x:v>1</x:v>
      </x:c>
      <x:c r="M68" s="19" t="n">
        <x:v>1</x:v>
      </x:c>
      <x:c r="N68" s="21" t="str">
        <x:v>FROZEN</x:v>
      </x:c>
      <x:c r="O68" s="48"/>
      <x:c r="P68" s="48"/>
      <x:c r="Q68" s="48"/>
      <x:c r="R68" s="48"/>
      <x:c r="S68" s="48"/>
      <x:c r="T68" s="48"/>
      <x:c r="U68" s="48"/>
      <x:c r="V68" s="48"/>
      <x:c r="W68" s="48"/>
    </x:row>
    <x:row r="69">
      <x:c r="C69" s="19" t="str">
        <x:v>MS-HU|C</x:v>
      </x:c>
      <x:c r="D69" s="19" t="str">
        <x:v>MS-HU</x:v>
      </x:c>
      <x:c r="E69" s="19" t="str">
        <x:v>C</x:v>
      </x:c>
      <x:c r="F69" s="19" t="str">
        <x:v>HU-R1</x:v>
      </x:c>
      <x:c r="G69" s="19" t="str">
        <x:v>Local continuity support</x:v>
      </x:c>
      <x:c r="H69" s="19" t="n">
        <x:v>12</x:v>
      </x:c>
      <x:c r="I69" s="19" t="n">
        <x:v>3</x:v>
      </x:c>
      <x:c r="J69" s="19" t="n">
        <x:v>36</x:v>
      </x:c>
      <x:c r="K69" s="19" t="str">
        <x:v>Mobile care network: local continuity support through accepted origin-to-destination journey</x:v>
      </x:c>
      <x:c r="L69" s="19" t="n">
        <x:v>1</x:v>
      </x:c>
      <x:c r="M69" s="19" t="n">
        <x:v>1</x:v>
      </x:c>
      <x:c r="N69" s="21" t="str">
        <x:v>FROZEN</x:v>
      </x:c>
      <x:c r="O69" s="48"/>
      <x:c r="P69" s="48"/>
      <x:c r="Q69" s="48"/>
      <x:c r="R69" s="48"/>
      <x:c r="S69" s="48"/>
      <x:c r="T69" s="48"/>
      <x:c r="U69" s="48"/>
      <x:c r="V69" s="48"/>
      <x:c r="W69" s="48"/>
    </x:row>
    <x:row r="70">
      <x:c r="C70" s="19" t="str">
        <x:v>MS-HU|C</x:v>
      </x:c>
      <x:c r="D70" s="19" t="str">
        <x:v>MS-HU</x:v>
      </x:c>
      <x:c r="E70" s="19" t="str">
        <x:v>C</x:v>
      </x:c>
      <x:c r="F70" s="19" t="str">
        <x:v>HU-R2</x:v>
      </x:c>
      <x:c r="G70" s="19" t="str">
        <x:v>Definitive care</x:v>
      </x:c>
      <x:c r="H70" s="19" t="n">
        <x:v>3</x:v>
      </x:c>
      <x:c r="I70" s="19" t="n">
        <x:v>3</x:v>
      </x:c>
      <x:c r="J70" s="19" t="n">
        <x:v>9</x:v>
      </x:c>
      <x:c r="K70" s="19" t="str">
        <x:v>Mobile care network: definitive care through accepted origin-to-destination journey</x:v>
      </x:c>
      <x:c r="L70" s="19" t="n">
        <x:v>1</x:v>
      </x:c>
      <x:c r="M70" s="19" t="n">
        <x:v>1</x:v>
      </x:c>
      <x:c r="N70" s="21" t="str">
        <x:v>FROZEN</x:v>
      </x:c>
      <x:c r="O70" s="48"/>
      <x:c r="P70" s="48"/>
      <x:c r="Q70" s="48"/>
      <x:c r="R70" s="48"/>
      <x:c r="S70" s="48"/>
      <x:c r="T70" s="48"/>
      <x:c r="U70" s="48"/>
      <x:c r="V70" s="48"/>
      <x:c r="W70" s="48"/>
    </x:row>
    <x:row r="71">
      <x:c r="C71" s="19" t="str">
        <x:v>MS-HU|C</x:v>
      </x:c>
      <x:c r="D71" s="19" t="str">
        <x:v>MS-HU</x:v>
      </x:c>
      <x:c r="E71" s="19" t="str">
        <x:v>C</x:v>
      </x:c>
      <x:c r="F71" s="19" t="str">
        <x:v>HU-R3</x:v>
      </x:c>
      <x:c r="G71" s="19" t="str">
        <x:v>Patient regulation and transfer</x:v>
      </x:c>
      <x:c r="H71" s="19" t="n">
        <x:v>4</x:v>
      </x:c>
      <x:c r="I71" s="19" t="n">
        <x:v>3</x:v>
      </x:c>
      <x:c r="J71" s="19" t="n">
        <x:v>12</x:v>
      </x:c>
      <x:c r="K71" s="19" t="str">
        <x:v>Mobile care network: patient regulation and transfer through accepted origin-to-destination journey</x:v>
      </x:c>
      <x:c r="L71" s="19" t="n">
        <x:v>1</x:v>
      </x:c>
      <x:c r="M71" s="19" t="n">
        <x:v>1</x:v>
      </x:c>
      <x:c r="N71" s="21" t="str">
        <x:v>FROZEN</x:v>
      </x:c>
      <x:c r="O71" s="48"/>
      <x:c r="P71" s="48"/>
      <x:c r="Q71" s="48"/>
      <x:c r="R71" s="48"/>
      <x:c r="S71" s="48"/>
      <x:c r="T71" s="48"/>
      <x:c r="U71" s="48"/>
      <x:c r="V71" s="48"/>
      <x:c r="W71" s="48"/>
    </x:row>
    <x:row r="72">
      <x:c r="C72" s="19" t="str">
        <x:v>MS-HU|C</x:v>
      </x:c>
      <x:c r="D72" s="19" t="str">
        <x:v>MS-HU</x:v>
      </x:c>
      <x:c r="E72" s="19" t="str">
        <x:v>C</x:v>
      </x:c>
      <x:c r="F72" s="19" t="str">
        <x:v>HU-R4</x:v>
      </x:c>
      <x:c r="G72" s="19" t="str">
        <x:v>Household relocation and reception</x:v>
      </x:c>
      <x:c r="H72" s="19" t="n">
        <x:v>12</x:v>
      </x:c>
      <x:c r="I72" s="19" t="n">
        <x:v>3</x:v>
      </x:c>
      <x:c r="J72" s="19" t="n">
        <x:v>36</x:v>
      </x:c>
      <x:c r="K72" s="19" t="str">
        <x:v>Mobile care network: household relocation and reception through accepted origin-to-destination journey</x:v>
      </x:c>
      <x:c r="L72" s="19" t="n">
        <x:v>1</x:v>
      </x:c>
      <x:c r="M72" s="19" t="n">
        <x:v>1</x:v>
      </x:c>
      <x:c r="N72" s="21" t="str">
        <x:v>FROZEN</x:v>
      </x:c>
      <x:c r="O72" s="48"/>
      <x:c r="P72" s="48"/>
      <x:c r="Q72" s="48"/>
      <x:c r="R72" s="48"/>
      <x:c r="S72" s="48"/>
      <x:c r="T72" s="48"/>
      <x:c r="U72" s="48"/>
      <x:c r="V72" s="48"/>
      <x:c r="W72" s="48"/>
    </x:row>
    <x:row r="73">
      <x:c r="C73" s="19" t="str">
        <x:v>MS-HU|C</x:v>
      </x:c>
      <x:c r="D73" s="19" t="str">
        <x:v>MS-HU</x:v>
      </x:c>
      <x:c r="E73" s="19" t="str">
        <x:v>C</x:v>
      </x:c>
      <x:c r="F73" s="19" t="str">
        <x:v>HU-R5</x:v>
      </x:c>
      <x:c r="G73" s="19" t="str">
        <x:v>Workforce replacement</x:v>
      </x:c>
      <x:c r="H73" s="19" t="n">
        <x:v>3</x:v>
      </x:c>
      <x:c r="I73" s="19" t="n">
        <x:v>3</x:v>
      </x:c>
      <x:c r="J73" s="19" t="n">
        <x:v>9</x:v>
      </x:c>
      <x:c r="K73" s="19" t="str">
        <x:v>Mobile care network: workforce replacement through accepted origin-to-destination journey</x:v>
      </x:c>
      <x:c r="L73" s="19" t="n">
        <x:v>1</x:v>
      </x:c>
      <x:c r="M73" s="19" t="n">
        <x:v>1</x:v>
      </x:c>
      <x:c r="N73" s="21" t="str">
        <x:v>FROZEN</x:v>
      </x:c>
      <x:c r="O73" s="48"/>
      <x:c r="P73" s="48"/>
      <x:c r="Q73" s="48"/>
      <x:c r="R73" s="48"/>
      <x:c r="S73" s="48"/>
      <x:c r="T73" s="48"/>
      <x:c r="U73" s="48"/>
      <x:c r="V73" s="48"/>
      <x:c r="W73" s="48"/>
    </x:row>
    <x:row r="74">
      <x:c r="C74" s="19" t="str">
        <x:v>MS-HU|D</x:v>
      </x:c>
      <x:c r="D74" s="19" t="str">
        <x:v>MS-HU</x:v>
      </x:c>
      <x:c r="E74" s="19" t="str">
        <x:v>D</x:v>
      </x:c>
      <x:c r="F74" s="19" t="str">
        <x:v>HU-R1</x:v>
      </x:c>
      <x:c r="G74" s="19" t="str">
        <x:v>Local continuity support</x:v>
      </x:c>
      <x:c r="H74" s="19" t="n">
        <x:v>12</x:v>
      </x:c>
      <x:c r="I74" s="19" t="n">
        <x:v>3</x:v>
      </x:c>
      <x:c r="J74" s="19" t="n">
        <x:v>36</x:v>
      </x:c>
      <x:c r="K74" s="19" t="str">
        <x:v>Host-building conversion: local continuity support through lawful occupancy and bundle admission</x:v>
      </x:c>
      <x:c r="L74" s="19" t="n">
        <x:v>1</x:v>
      </x:c>
      <x:c r="M74" s="19" t="n">
        <x:v>1</x:v>
      </x:c>
      <x:c r="N74" s="21" t="str">
        <x:v>FROZEN</x:v>
      </x:c>
      <x:c r="O74" s="48"/>
      <x:c r="P74" s="48"/>
      <x:c r="Q74" s="48"/>
      <x:c r="R74" s="48"/>
      <x:c r="S74" s="48"/>
      <x:c r="T74" s="48"/>
      <x:c r="U74" s="48"/>
      <x:c r="V74" s="48"/>
      <x:c r="W74" s="48"/>
    </x:row>
    <x:row r="75">
      <x:c r="C75" s="19" t="str">
        <x:v>MS-HU|D</x:v>
      </x:c>
      <x:c r="D75" s="19" t="str">
        <x:v>MS-HU</x:v>
      </x:c>
      <x:c r="E75" s="19" t="str">
        <x:v>D</x:v>
      </x:c>
      <x:c r="F75" s="19" t="str">
        <x:v>HU-R2</x:v>
      </x:c>
      <x:c r="G75" s="19" t="str">
        <x:v>Definitive care</x:v>
      </x:c>
      <x:c r="H75" s="19" t="n">
        <x:v>3</x:v>
      </x:c>
      <x:c r="I75" s="19" t="n">
        <x:v>3</x:v>
      </x:c>
      <x:c r="J75" s="19" t="n">
        <x:v>9</x:v>
      </x:c>
      <x:c r="K75" s="19" t="str">
        <x:v>Host-building conversion: definitive care through lawful occupancy and bundle admission</x:v>
      </x:c>
      <x:c r="L75" s="19" t="n">
        <x:v>1</x:v>
      </x:c>
      <x:c r="M75" s="19" t="n">
        <x:v>1</x:v>
      </x:c>
      <x:c r="N75" s="21" t="str">
        <x:v>FROZEN</x:v>
      </x:c>
      <x:c r="O75" s="48"/>
      <x:c r="P75" s="48"/>
      <x:c r="Q75" s="48"/>
      <x:c r="R75" s="48"/>
      <x:c r="S75" s="48"/>
      <x:c r="T75" s="48"/>
      <x:c r="U75" s="48"/>
      <x:c r="V75" s="48"/>
      <x:c r="W75" s="48"/>
    </x:row>
    <x:row r="76">
      <x:c r="C76" s="19" t="str">
        <x:v>MS-HU|D</x:v>
      </x:c>
      <x:c r="D76" s="19" t="str">
        <x:v>MS-HU</x:v>
      </x:c>
      <x:c r="E76" s="19" t="str">
        <x:v>D</x:v>
      </x:c>
      <x:c r="F76" s="19" t="str">
        <x:v>HU-R3</x:v>
      </x:c>
      <x:c r="G76" s="19" t="str">
        <x:v>Patient regulation and transfer</x:v>
      </x:c>
      <x:c r="H76" s="19" t="n">
        <x:v>4</x:v>
      </x:c>
      <x:c r="I76" s="19" t="n">
        <x:v>3</x:v>
      </x:c>
      <x:c r="J76" s="19" t="n">
        <x:v>12</x:v>
      </x:c>
      <x:c r="K76" s="19" t="str">
        <x:v>Host-building conversion: patient regulation and transfer through lawful occupancy and bundle admission</x:v>
      </x:c>
      <x:c r="L76" s="19" t="n">
        <x:v>1</x:v>
      </x:c>
      <x:c r="M76" s="19" t="n">
        <x:v>1</x:v>
      </x:c>
      <x:c r="N76" s="21" t="str">
        <x:v>FROZEN</x:v>
      </x:c>
      <x:c r="O76" s="48"/>
      <x:c r="P76" s="48"/>
      <x:c r="Q76" s="48"/>
      <x:c r="R76" s="48"/>
      <x:c r="S76" s="48"/>
      <x:c r="T76" s="48"/>
      <x:c r="U76" s="48"/>
      <x:c r="V76" s="48"/>
      <x:c r="W76" s="48"/>
    </x:row>
    <x:row r="77">
      <x:c r="C77" s="19" t="str">
        <x:v>MS-HU|D</x:v>
      </x:c>
      <x:c r="D77" s="19" t="str">
        <x:v>MS-HU</x:v>
      </x:c>
      <x:c r="E77" s="19" t="str">
        <x:v>D</x:v>
      </x:c>
      <x:c r="F77" s="19" t="str">
        <x:v>HU-R4</x:v>
      </x:c>
      <x:c r="G77" s="19" t="str">
        <x:v>Household relocation and reception</x:v>
      </x:c>
      <x:c r="H77" s="19" t="n">
        <x:v>12</x:v>
      </x:c>
      <x:c r="I77" s="19" t="n">
        <x:v>3</x:v>
      </x:c>
      <x:c r="J77" s="19" t="n">
        <x:v>36</x:v>
      </x:c>
      <x:c r="K77" s="19" t="str">
        <x:v>Host-building conversion: household relocation and reception through lawful occupancy and bundle admission</x:v>
      </x:c>
      <x:c r="L77" s="19" t="n">
        <x:v>1</x:v>
      </x:c>
      <x:c r="M77" s="19" t="n">
        <x:v>1</x:v>
      </x:c>
      <x:c r="N77" s="21" t="str">
        <x:v>FROZEN</x:v>
      </x:c>
      <x:c r="O77" s="48"/>
      <x:c r="P77" s="48"/>
      <x:c r="Q77" s="48"/>
      <x:c r="R77" s="48"/>
      <x:c r="S77" s="48"/>
      <x:c r="T77" s="48"/>
      <x:c r="U77" s="48"/>
      <x:c r="V77" s="48"/>
      <x:c r="W77" s="48"/>
    </x:row>
    <x:row r="78">
      <x:c r="C78" s="19" t="str">
        <x:v>MS-HU|D</x:v>
      </x:c>
      <x:c r="D78" s="19" t="str">
        <x:v>MS-HU</x:v>
      </x:c>
      <x:c r="E78" s="19" t="str">
        <x:v>D</x:v>
      </x:c>
      <x:c r="F78" s="19" t="str">
        <x:v>HU-R5</x:v>
      </x:c>
      <x:c r="G78" s="19" t="str">
        <x:v>Workforce replacement</x:v>
      </x:c>
      <x:c r="H78" s="19" t="n">
        <x:v>3</x:v>
      </x:c>
      <x:c r="I78" s="19" t="n">
        <x:v>3</x:v>
      </x:c>
      <x:c r="J78" s="19" t="n">
        <x:v>9</x:v>
      </x:c>
      <x:c r="K78" s="19" t="str">
        <x:v>Host-building conversion: workforce replacement through lawful occupancy and bundle admission</x:v>
      </x:c>
      <x:c r="L78" s="19" t="n">
        <x:v>1</x:v>
      </x:c>
      <x:c r="M78" s="19" t="n">
        <x:v>1</x:v>
      </x:c>
      <x:c r="N78" s="21" t="str">
        <x:v>FROZEN</x:v>
      </x:c>
      <x:c r="O78" s="48"/>
      <x:c r="P78" s="48"/>
      <x:c r="Q78" s="48"/>
      <x:c r="R78" s="48"/>
      <x:c r="S78" s="48"/>
      <x:c r="T78" s="48"/>
      <x:c r="U78" s="48"/>
      <x:c r="V78" s="48"/>
      <x:c r="W78" s="48"/>
    </x:row>
    <x:row r="79">
      <x:c r="C79" s="19" t="str">
        <x:v>MS-RT|A</x:v>
      </x:c>
      <x:c r="D79" s="19" t="str">
        <x:v>MS-RT</x:v>
      </x:c>
      <x:c r="E79" s="19" t="str">
        <x:v>A</x:v>
      </x:c>
      <x:c r="F79" s="19" t="str">
        <x:v>RT-R1</x:v>
      </x:c>
      <x:c r="G79" s="19" t="str">
        <x:v>Campaign, ocean and offshore sustainment</x:v>
      </x:c>
      <x:c r="H79" s="19" t="n">
        <x:v>4</x:v>
      </x:c>
      <x:c r="I79" s="19" t="n">
        <x:v>3</x:v>
      </x:c>
      <x:c r="J79" s="19" t="n">
        <x:v>12</x:v>
      </x:c>
      <x:c r="K79" s="19" t="str">
        <x:v>Heavy arsenal base: campaign, ocean and offshore sustainment through complete-stack issue and return gate</x:v>
      </x:c>
      <x:c r="L79" s="19" t="n">
        <x:v>1</x:v>
      </x:c>
      <x:c r="M79" s="19" t="n">
        <x:v>1</x:v>
      </x:c>
      <x:c r="N79" s="21" t="str">
        <x:v>FROZEN</x:v>
      </x:c>
      <x:c r="O79" s="48"/>
      <x:c r="P79" s="48"/>
      <x:c r="Q79" s="48"/>
      <x:c r="R79" s="48"/>
      <x:c r="S79" s="48"/>
      <x:c r="T79" s="48"/>
      <x:c r="U79" s="48"/>
      <x:c r="V79" s="48"/>
      <x:c r="W79" s="48"/>
    </x:row>
    <x:row r="80">
      <x:c r="C80" s="19" t="str">
        <x:v>MS-RT|A</x:v>
      </x:c>
      <x:c r="D80" s="19" t="str">
        <x:v>MS-RT</x:v>
      </x:c>
      <x:c r="E80" s="19" t="str">
        <x:v>A</x:v>
      </x:c>
      <x:c r="F80" s="19" t="str">
        <x:v>RT-R2</x:v>
      </x:c>
      <x:c r="G80" s="19" t="str">
        <x:v>Replacement and reconstitution</x:v>
      </x:c>
      <x:c r="H80" s="19" t="n">
        <x:v>2</x:v>
      </x:c>
      <x:c r="I80" s="19" t="n">
        <x:v>3</x:v>
      </x:c>
      <x:c r="J80" s="19" t="n">
        <x:v>6</x:v>
      </x:c>
      <x:c r="K80" s="19" t="str">
        <x:v>Heavy arsenal base: replacement and reconstitution through complete-stack issue and return gate</x:v>
      </x:c>
      <x:c r="L80" s="19" t="n">
        <x:v>1</x:v>
      </x:c>
      <x:c r="M80" s="19" t="n">
        <x:v>1</x:v>
      </x:c>
      <x:c r="N80" s="21" t="str">
        <x:v>FROZEN</x:v>
      </x:c>
      <x:c r="O80" s="48"/>
      <x:c r="P80" s="48"/>
      <x:c r="Q80" s="48"/>
      <x:c r="R80" s="48"/>
      <x:c r="S80" s="48"/>
      <x:c r="T80" s="48"/>
      <x:c r="U80" s="48"/>
      <x:c r="V80" s="48"/>
      <x:c r="W80" s="48"/>
    </x:row>
    <x:row r="81">
      <x:c r="C81" s="19" t="str">
        <x:v>MS-RT|A</x:v>
      </x:c>
      <x:c r="D81" s="19" t="str">
        <x:v>MS-RT</x:v>
      </x:c>
      <x:c r="E81" s="19" t="str">
        <x:v>A</x:v>
      </x:c>
      <x:c r="F81" s="19" t="str">
        <x:v>RT-R3</x:v>
      </x:c>
      <x:c r="G81" s="19" t="str">
        <x:v>Utility reconstruction</x:v>
      </x:c>
      <x:c r="H81" s="19" t="n">
        <x:v>3</x:v>
      </x:c>
      <x:c r="I81" s="19" t="n">
        <x:v>3</x:v>
      </x:c>
      <x:c r="J81" s="19" t="n">
        <x:v>9</x:v>
      </x:c>
      <x:c r="K81" s="19" t="str">
        <x:v>Heavy arsenal base: utility reconstruction through complete-stack issue and return gate</x:v>
      </x:c>
      <x:c r="L81" s="19" t="n">
        <x:v>1</x:v>
      </x:c>
      <x:c r="M81" s="19" t="n">
        <x:v>1</x:v>
      </x:c>
      <x:c r="N81" s="21" t="str">
        <x:v>FROZEN</x:v>
      </x:c>
      <x:c r="O81" s="48"/>
      <x:c r="P81" s="48"/>
      <x:c r="Q81" s="48"/>
      <x:c r="R81" s="48"/>
      <x:c r="S81" s="48"/>
      <x:c r="T81" s="48"/>
      <x:c r="U81" s="48"/>
      <x:c r="V81" s="48"/>
      <x:c r="W81" s="48"/>
    </x:row>
    <x:row r="82">
      <x:c r="C82" s="19" t="str">
        <x:v>MS-RT|A</x:v>
      </x:c>
      <x:c r="D82" s="19" t="str">
        <x:v>MS-RT</x:v>
      </x:c>
      <x:c r="E82" s="19" t="str">
        <x:v>A</x:v>
      </x:c>
      <x:c r="F82" s="19" t="str">
        <x:v>RT-R4</x:v>
      </x:c>
      <x:c r="G82" s="19" t="str">
        <x:v>Civil, institution and economic transfer</x:v>
      </x:c>
      <x:c r="H82" s="19" t="n">
        <x:v>6</x:v>
      </x:c>
      <x:c r="I82" s="19" t="n">
        <x:v>3</x:v>
      </x:c>
      <x:c r="J82" s="19" t="n">
        <x:v>18</x:v>
      </x:c>
      <x:c r="K82" s="19" t="str">
        <x:v>Heavy arsenal base: civil, institution and economic transfer through complete-stack issue and return gate</x:v>
      </x:c>
      <x:c r="L82" s="19" t="n">
        <x:v>1</x:v>
      </x:c>
      <x:c r="M82" s="19" t="n">
        <x:v>1</x:v>
      </x:c>
      <x:c r="N82" s="21" t="str">
        <x:v>FROZEN</x:v>
      </x:c>
      <x:c r="O82" s="48"/>
      <x:c r="P82" s="48"/>
      <x:c r="Q82" s="48"/>
      <x:c r="R82" s="48"/>
      <x:c r="S82" s="48"/>
      <x:c r="T82" s="48"/>
      <x:c r="U82" s="48"/>
      <x:c r="V82" s="48"/>
      <x:c r="W82" s="48"/>
    </x:row>
    <x:row r="83">
      <x:c r="C83" s="19" t="str">
        <x:v>MS-RT|A</x:v>
      </x:c>
      <x:c r="D83" s="19" t="str">
        <x:v>MS-RT</x:v>
      </x:c>
      <x:c r="E83" s="19" t="str">
        <x:v>A</x:v>
      </x:c>
      <x:c r="F83" s="19" t="str">
        <x:v>RT-R5</x:v>
      </x:c>
      <x:c r="G83" s="19" t="str">
        <x:v>Return, continuity and demobilization</x:v>
      </x:c>
      <x:c r="H83" s="19" t="n">
        <x:v>2</x:v>
      </x:c>
      <x:c r="I83" s="19" t="n">
        <x:v>3</x:v>
      </x:c>
      <x:c r="J83" s="19" t="n">
        <x:v>6</x:v>
      </x:c>
      <x:c r="K83" s="19" t="str">
        <x:v>Heavy arsenal base: return, continuity and demobilization through complete-stack issue and return gate</x:v>
      </x:c>
      <x:c r="L83" s="19" t="n">
        <x:v>1</x:v>
      </x:c>
      <x:c r="M83" s="19" t="n">
        <x:v>1</x:v>
      </x:c>
      <x:c r="N83" s="21" t="str">
        <x:v>FROZEN</x:v>
      </x:c>
      <x:c r="O83" s="48"/>
      <x:c r="P83" s="48"/>
      <x:c r="Q83" s="48"/>
      <x:c r="R83" s="48"/>
      <x:c r="S83" s="48"/>
      <x:c r="T83" s="48"/>
      <x:c r="U83" s="48"/>
      <x:c r="V83" s="48"/>
      <x:c r="W83" s="48"/>
    </x:row>
    <x:row r="84">
      <x:c r="C84" s="19" t="str">
        <x:v>MS-RT|B</x:v>
      </x:c>
      <x:c r="D84" s="19" t="str">
        <x:v>MS-RT</x:v>
      </x:c>
      <x:c r="E84" s="19" t="str">
        <x:v>B</x:v>
      </x:c>
      <x:c r="F84" s="19" t="str">
        <x:v>RT-R1</x:v>
      </x:c>
      <x:c r="G84" s="19" t="str">
        <x:v>Campaign, ocean and offshore sustainment</x:v>
      </x:c>
      <x:c r="H84" s="19" t="n">
        <x:v>4</x:v>
      </x:c>
      <x:c r="I84" s="19" t="n">
        <x:v>3</x:v>
      </x:c>
      <x:c r="J84" s="19" t="n">
        <x:v>12</x:v>
      </x:c>
      <x:c r="K84" s="19" t="str">
        <x:v>Microfactory mesh: campaign, ocean and offshore sustainment through qualified replacement at point of need</x:v>
      </x:c>
      <x:c r="L84" s="19" t="n">
        <x:v>1</x:v>
      </x:c>
      <x:c r="M84" s="19" t="n">
        <x:v>1</x:v>
      </x:c>
      <x:c r="N84" s="21" t="str">
        <x:v>FROZEN</x:v>
      </x:c>
      <x:c r="O84" s="48"/>
      <x:c r="P84" s="48"/>
      <x:c r="Q84" s="48"/>
      <x:c r="R84" s="48"/>
      <x:c r="S84" s="48"/>
      <x:c r="T84" s="48"/>
      <x:c r="U84" s="48"/>
      <x:c r="V84" s="48"/>
      <x:c r="W84" s="48"/>
    </x:row>
    <x:row r="85">
      <x:c r="C85" s="19" t="str">
        <x:v>MS-RT|B</x:v>
      </x:c>
      <x:c r="D85" s="19" t="str">
        <x:v>MS-RT</x:v>
      </x:c>
      <x:c r="E85" s="19" t="str">
        <x:v>B</x:v>
      </x:c>
      <x:c r="F85" s="19" t="str">
        <x:v>RT-R2</x:v>
      </x:c>
      <x:c r="G85" s="19" t="str">
        <x:v>Replacement and reconstitution</x:v>
      </x:c>
      <x:c r="H85" s="19" t="n">
        <x:v>2</x:v>
      </x:c>
      <x:c r="I85" s="19" t="n">
        <x:v>3</x:v>
      </x:c>
      <x:c r="J85" s="19" t="n">
        <x:v>6</x:v>
      </x:c>
      <x:c r="K85" s="19" t="str">
        <x:v>Microfactory mesh: replacement and reconstitution through qualified replacement at point of need</x:v>
      </x:c>
      <x:c r="L85" s="19" t="n">
        <x:v>1</x:v>
      </x:c>
      <x:c r="M85" s="19" t="n">
        <x:v>1</x:v>
      </x:c>
      <x:c r="N85" s="21" t="str">
        <x:v>FROZEN</x:v>
      </x:c>
      <x:c r="O85" s="48"/>
      <x:c r="P85" s="48"/>
      <x:c r="Q85" s="48"/>
      <x:c r="R85" s="48"/>
      <x:c r="S85" s="48"/>
      <x:c r="T85" s="48"/>
      <x:c r="U85" s="48"/>
      <x:c r="V85" s="48"/>
      <x:c r="W85" s="48"/>
    </x:row>
    <x:row r="86">
      <x:c r="C86" s="19" t="str">
        <x:v>MS-RT|B</x:v>
      </x:c>
      <x:c r="D86" s="19" t="str">
        <x:v>MS-RT</x:v>
      </x:c>
      <x:c r="E86" s="19" t="str">
        <x:v>B</x:v>
      </x:c>
      <x:c r="F86" s="19" t="str">
        <x:v>RT-R3</x:v>
      </x:c>
      <x:c r="G86" s="19" t="str">
        <x:v>Utility reconstruction</x:v>
      </x:c>
      <x:c r="H86" s="19" t="n">
        <x:v>3</x:v>
      </x:c>
      <x:c r="I86" s="19" t="n">
        <x:v>3</x:v>
      </x:c>
      <x:c r="J86" s="19" t="n">
        <x:v>9</x:v>
      </x:c>
      <x:c r="K86" s="19" t="str">
        <x:v>Microfactory mesh: utility reconstruction through qualified replacement at point of need</x:v>
      </x:c>
      <x:c r="L86" s="19" t="n">
        <x:v>1</x:v>
      </x:c>
      <x:c r="M86" s="19" t="n">
        <x:v>1</x:v>
      </x:c>
      <x:c r="N86" s="21" t="str">
        <x:v>FROZEN</x:v>
      </x:c>
      <x:c r="O86" s="48"/>
      <x:c r="P86" s="48"/>
      <x:c r="Q86" s="48"/>
      <x:c r="R86" s="48"/>
      <x:c r="S86" s="48"/>
      <x:c r="T86" s="48"/>
      <x:c r="U86" s="48"/>
      <x:c r="V86" s="48"/>
      <x:c r="W86" s="48"/>
    </x:row>
    <x:row r="87">
      <x:c r="C87" s="19" t="str">
        <x:v>MS-RT|B</x:v>
      </x:c>
      <x:c r="D87" s="19" t="str">
        <x:v>MS-RT</x:v>
      </x:c>
      <x:c r="E87" s="19" t="str">
        <x:v>B</x:v>
      </x:c>
      <x:c r="F87" s="19" t="str">
        <x:v>RT-R4</x:v>
      </x:c>
      <x:c r="G87" s="19" t="str">
        <x:v>Civil, institution and economic transfer</x:v>
      </x:c>
      <x:c r="H87" s="19" t="n">
        <x:v>6</x:v>
      </x:c>
      <x:c r="I87" s="19" t="n">
        <x:v>3</x:v>
      </x:c>
      <x:c r="J87" s="19" t="n">
        <x:v>18</x:v>
      </x:c>
      <x:c r="K87" s="19" t="str">
        <x:v>Microfactory mesh: civil, institution and economic transfer through qualified replacement at point of need</x:v>
      </x:c>
      <x:c r="L87" s="19" t="n">
        <x:v>1</x:v>
      </x:c>
      <x:c r="M87" s="19" t="n">
        <x:v>1</x:v>
      </x:c>
      <x:c r="N87" s="21" t="str">
        <x:v>FROZEN</x:v>
      </x:c>
      <x:c r="O87" s="48"/>
      <x:c r="P87" s="48"/>
      <x:c r="Q87" s="48"/>
      <x:c r="R87" s="48"/>
      <x:c r="S87" s="48"/>
      <x:c r="T87" s="48"/>
      <x:c r="U87" s="48"/>
      <x:c r="V87" s="48"/>
      <x:c r="W87" s="48"/>
    </x:row>
    <x:row r="88">
      <x:c r="C88" s="19" t="str">
        <x:v>MS-RT|B</x:v>
      </x:c>
      <x:c r="D88" s="19" t="str">
        <x:v>MS-RT</x:v>
      </x:c>
      <x:c r="E88" s="19" t="str">
        <x:v>B</x:v>
      </x:c>
      <x:c r="F88" s="19" t="str">
        <x:v>RT-R5</x:v>
      </x:c>
      <x:c r="G88" s="19" t="str">
        <x:v>Return, continuity and demobilization</x:v>
      </x:c>
      <x:c r="H88" s="19" t="n">
        <x:v>2</x:v>
      </x:c>
      <x:c r="I88" s="19" t="n">
        <x:v>3</x:v>
      </x:c>
      <x:c r="J88" s="19" t="n">
        <x:v>6</x:v>
      </x:c>
      <x:c r="K88" s="19" t="str">
        <x:v>Microfactory mesh: return, continuity and demobilization through qualified replacement at point of need</x:v>
      </x:c>
      <x:c r="L88" s="19" t="n">
        <x:v>1</x:v>
      </x:c>
      <x:c r="M88" s="19" t="n">
        <x:v>1</x:v>
      </x:c>
      <x:c r="N88" s="21" t="str">
        <x:v>FROZEN</x:v>
      </x:c>
      <x:c r="O88" s="48"/>
      <x:c r="P88" s="48"/>
      <x:c r="Q88" s="48"/>
      <x:c r="R88" s="48"/>
      <x:c r="S88" s="48"/>
      <x:c r="T88" s="48"/>
      <x:c r="U88" s="48"/>
      <x:c r="V88" s="48"/>
      <x:c r="W88" s="48"/>
    </x:row>
    <x:row r="89">
      <x:c r="C89" s="19" t="str">
        <x:v>MS-RT|C</x:v>
      </x:c>
      <x:c r="D89" s="19" t="str">
        <x:v>MS-RT</x:v>
      </x:c>
      <x:c r="E89" s="19" t="str">
        <x:v>C</x:v>
      </x:c>
      <x:c r="F89" s="19" t="str">
        <x:v>RT-R1</x:v>
      </x:c>
      <x:c r="G89" s="19" t="str">
        <x:v>Campaign, ocean and offshore sustainment</x:v>
      </x:c>
      <x:c r="H89" s="19" t="n">
        <x:v>4</x:v>
      </x:c>
      <x:c r="I89" s="19" t="n">
        <x:v>3</x:v>
      </x:c>
      <x:c r="J89" s="19" t="n">
        <x:v>12</x:v>
      </x:c>
      <x:c r="K89" s="19" t="str">
        <x:v>Exchange-remanufacture network: campaign, ocean and offshore sustainment through exchange guarantee and core acceptance</x:v>
      </x:c>
      <x:c r="L89" s="19" t="n">
        <x:v>1</x:v>
      </x:c>
      <x:c r="M89" s="19" t="n">
        <x:v>1</x:v>
      </x:c>
      <x:c r="N89" s="21" t="str">
        <x:v>FROZEN</x:v>
      </x:c>
      <x:c r="O89" s="48"/>
      <x:c r="P89" s="48"/>
      <x:c r="Q89" s="48"/>
      <x:c r="R89" s="48"/>
      <x:c r="S89" s="48"/>
      <x:c r="T89" s="48"/>
      <x:c r="U89" s="48"/>
      <x:c r="V89" s="48"/>
      <x:c r="W89" s="48"/>
    </x:row>
    <x:row r="90">
      <x:c r="C90" s="19" t="str">
        <x:v>MS-RT|C</x:v>
      </x:c>
      <x:c r="D90" s="19" t="str">
        <x:v>MS-RT</x:v>
      </x:c>
      <x:c r="E90" s="19" t="str">
        <x:v>C</x:v>
      </x:c>
      <x:c r="F90" s="19" t="str">
        <x:v>RT-R2</x:v>
      </x:c>
      <x:c r="G90" s="19" t="str">
        <x:v>Replacement and reconstitution</x:v>
      </x:c>
      <x:c r="H90" s="19" t="n">
        <x:v>2</x:v>
      </x:c>
      <x:c r="I90" s="19" t="n">
        <x:v>3</x:v>
      </x:c>
      <x:c r="J90" s="19" t="n">
        <x:v>6</x:v>
      </x:c>
      <x:c r="K90" s="19" t="str">
        <x:v>Exchange-remanufacture network: replacement and reconstitution through exchange guarantee and core acceptance</x:v>
      </x:c>
      <x:c r="L90" s="19" t="n">
        <x:v>1</x:v>
      </x:c>
      <x:c r="M90" s="19" t="n">
        <x:v>1</x:v>
      </x:c>
      <x:c r="N90" s="21" t="str">
        <x:v>FROZEN</x:v>
      </x:c>
      <x:c r="O90" s="48"/>
      <x:c r="P90" s="48"/>
      <x:c r="Q90" s="48"/>
      <x:c r="R90" s="48"/>
      <x:c r="S90" s="48"/>
      <x:c r="T90" s="48"/>
      <x:c r="U90" s="48"/>
      <x:c r="V90" s="48"/>
      <x:c r="W90" s="48"/>
    </x:row>
    <x:row r="91">
      <x:c r="C91" s="19" t="str">
        <x:v>MS-RT|C</x:v>
      </x:c>
      <x:c r="D91" s="19" t="str">
        <x:v>MS-RT</x:v>
      </x:c>
      <x:c r="E91" s="19" t="str">
        <x:v>C</x:v>
      </x:c>
      <x:c r="F91" s="19" t="str">
        <x:v>RT-R3</x:v>
      </x:c>
      <x:c r="G91" s="19" t="str">
        <x:v>Utility reconstruction</x:v>
      </x:c>
      <x:c r="H91" s="19" t="n">
        <x:v>3</x:v>
      </x:c>
      <x:c r="I91" s="19" t="n">
        <x:v>3</x:v>
      </x:c>
      <x:c r="J91" s="19" t="n">
        <x:v>9</x:v>
      </x:c>
      <x:c r="K91" s="19" t="str">
        <x:v>Exchange-remanufacture network: utility reconstruction through exchange guarantee and core acceptance</x:v>
      </x:c>
      <x:c r="L91" s="19" t="n">
        <x:v>1</x:v>
      </x:c>
      <x:c r="M91" s="19" t="n">
        <x:v>1</x:v>
      </x:c>
      <x:c r="N91" s="21" t="str">
        <x:v>FROZEN</x:v>
      </x:c>
      <x:c r="O91" s="48"/>
      <x:c r="P91" s="48"/>
      <x:c r="Q91" s="48"/>
      <x:c r="R91" s="48"/>
      <x:c r="S91" s="48"/>
      <x:c r="T91" s="48"/>
      <x:c r="U91" s="48"/>
      <x:c r="V91" s="48"/>
      <x:c r="W91" s="48"/>
    </x:row>
    <x:row r="92">
      <x:c r="C92" s="19" t="str">
        <x:v>MS-RT|C</x:v>
      </x:c>
      <x:c r="D92" s="19" t="str">
        <x:v>MS-RT</x:v>
      </x:c>
      <x:c r="E92" s="19" t="str">
        <x:v>C</x:v>
      </x:c>
      <x:c r="F92" s="19" t="str">
        <x:v>RT-R4</x:v>
      </x:c>
      <x:c r="G92" s="19" t="str">
        <x:v>Civil, institution and economic transfer</x:v>
      </x:c>
      <x:c r="H92" s="19" t="n">
        <x:v>6</x:v>
      </x:c>
      <x:c r="I92" s="19" t="n">
        <x:v>3</x:v>
      </x:c>
      <x:c r="J92" s="19" t="n">
        <x:v>18</x:v>
      </x:c>
      <x:c r="K92" s="19" t="str">
        <x:v>Exchange-remanufacture network: civil, institution and economic transfer through exchange guarantee and core acceptance</x:v>
      </x:c>
      <x:c r="L92" s="19" t="n">
        <x:v>1</x:v>
      </x:c>
      <x:c r="M92" s="19" t="n">
        <x:v>1</x:v>
      </x:c>
      <x:c r="N92" s="21" t="str">
        <x:v>FROZEN</x:v>
      </x:c>
      <x:c r="O92" s="48"/>
      <x:c r="P92" s="48"/>
      <x:c r="Q92" s="48"/>
      <x:c r="R92" s="48"/>
      <x:c r="S92" s="48"/>
      <x:c r="T92" s="48"/>
      <x:c r="U92" s="48"/>
      <x:c r="V92" s="48"/>
      <x:c r="W92" s="48"/>
    </x:row>
    <x:row r="93">
      <x:c r="C93" s="19" t="str">
        <x:v>MS-RT|C</x:v>
      </x:c>
      <x:c r="D93" s="19" t="str">
        <x:v>MS-RT</x:v>
      </x:c>
      <x:c r="E93" s="19" t="str">
        <x:v>C</x:v>
      </x:c>
      <x:c r="F93" s="19" t="str">
        <x:v>RT-R5</x:v>
      </x:c>
      <x:c r="G93" s="19" t="str">
        <x:v>Return, continuity and demobilization</x:v>
      </x:c>
      <x:c r="H93" s="19" t="n">
        <x:v>2</x:v>
      </x:c>
      <x:c r="I93" s="19" t="n">
        <x:v>3</x:v>
      </x:c>
      <x:c r="J93" s="19" t="n">
        <x:v>6</x:v>
      </x:c>
      <x:c r="K93" s="19" t="str">
        <x:v>Exchange-remanufacture network: return, continuity and demobilization through exchange guarantee and core acceptance</x:v>
      </x:c>
      <x:c r="L93" s="19" t="n">
        <x:v>1</x:v>
      </x:c>
      <x:c r="M93" s="19" t="n">
        <x:v>1</x:v>
      </x:c>
      <x:c r="N93" s="21" t="str">
        <x:v>FROZEN</x:v>
      </x:c>
      <x:c r="O93" s="48"/>
      <x:c r="P93" s="48"/>
      <x:c r="Q93" s="48"/>
      <x:c r="R93" s="48"/>
      <x:c r="S93" s="48"/>
      <x:c r="T93" s="48"/>
      <x:c r="U93" s="48"/>
      <x:c r="V93" s="48"/>
      <x:c r="W93" s="48"/>
    </x:row>
    <x:row r="94">
      <x:c r="C94" s="19" t="str">
        <x:v>MS-RT|D</x:v>
      </x:c>
      <x:c r="D94" s="19" t="str">
        <x:v>MS-RT</x:v>
      </x:c>
      <x:c r="E94" s="19" t="str">
        <x:v>D</x:v>
      </x:c>
      <x:c r="F94" s="19" t="str">
        <x:v>RT-R1</x:v>
      </x:c>
      <x:c r="G94" s="19" t="str">
        <x:v>Campaign, ocean and offshore sustainment</x:v>
      </x:c>
      <x:c r="H94" s="19" t="n">
        <x:v>4</x:v>
      </x:c>
      <x:c r="I94" s="19" t="n">
        <x:v>3</x:v>
      </x:c>
      <x:c r="J94" s="19" t="n">
        <x:v>12</x:v>
      </x:c>
      <x:c r="K94" s="19" t="str">
        <x:v>Closed-loop sustainment fleet: campaign, ocean and offshore sustainment through field issue plus residual acceptance</x:v>
      </x:c>
      <x:c r="L94" s="19" t="n">
        <x:v>1</x:v>
      </x:c>
      <x:c r="M94" s="19" t="n">
        <x:v>1</x:v>
      </x:c>
      <x:c r="N94" s="21" t="str">
        <x:v>FROZEN</x:v>
      </x:c>
      <x:c r="O94" s="48"/>
      <x:c r="P94" s="48"/>
      <x:c r="Q94" s="48"/>
      <x:c r="R94" s="48"/>
      <x:c r="S94" s="48"/>
      <x:c r="T94" s="48"/>
      <x:c r="U94" s="48"/>
      <x:c r="V94" s="48"/>
      <x:c r="W94" s="48"/>
    </x:row>
    <x:row r="95">
      <x:c r="C95" s="19" t="str">
        <x:v>MS-RT|D</x:v>
      </x:c>
      <x:c r="D95" s="19" t="str">
        <x:v>MS-RT</x:v>
      </x:c>
      <x:c r="E95" s="19" t="str">
        <x:v>D</x:v>
      </x:c>
      <x:c r="F95" s="19" t="str">
        <x:v>RT-R2</x:v>
      </x:c>
      <x:c r="G95" s="19" t="str">
        <x:v>Replacement and reconstitution</x:v>
      </x:c>
      <x:c r="H95" s="19" t="n">
        <x:v>2</x:v>
      </x:c>
      <x:c r="I95" s="19" t="n">
        <x:v>3</x:v>
      </x:c>
      <x:c r="J95" s="19" t="n">
        <x:v>6</x:v>
      </x:c>
      <x:c r="K95" s="19" t="str">
        <x:v>Closed-loop sustainment fleet: replacement and reconstitution through field issue plus residual acceptance</x:v>
      </x:c>
      <x:c r="L95" s="19" t="n">
        <x:v>1</x:v>
      </x:c>
      <x:c r="M95" s="19" t="n">
        <x:v>1</x:v>
      </x:c>
      <x:c r="N95" s="21" t="str">
        <x:v>FROZEN</x:v>
      </x:c>
      <x:c r="O95" s="48"/>
      <x:c r="P95" s="48"/>
      <x:c r="Q95" s="48"/>
      <x:c r="R95" s="48"/>
      <x:c r="S95" s="48"/>
      <x:c r="T95" s="48"/>
      <x:c r="U95" s="48"/>
      <x:c r="V95" s="48"/>
      <x:c r="W95" s="48"/>
    </x:row>
    <x:row r="96">
      <x:c r="C96" s="19" t="str">
        <x:v>MS-RT|D</x:v>
      </x:c>
      <x:c r="D96" s="19" t="str">
        <x:v>MS-RT</x:v>
      </x:c>
      <x:c r="E96" s="19" t="str">
        <x:v>D</x:v>
      </x:c>
      <x:c r="F96" s="19" t="str">
        <x:v>RT-R3</x:v>
      </x:c>
      <x:c r="G96" s="19" t="str">
        <x:v>Utility reconstruction</x:v>
      </x:c>
      <x:c r="H96" s="19" t="n">
        <x:v>3</x:v>
      </x:c>
      <x:c r="I96" s="19" t="n">
        <x:v>3</x:v>
      </x:c>
      <x:c r="J96" s="19" t="n">
        <x:v>9</x:v>
      </x:c>
      <x:c r="K96" s="19" t="str">
        <x:v>Closed-loop sustainment fleet: utility reconstruction through field issue plus residual acceptance</x:v>
      </x:c>
      <x:c r="L96" s="19" t="n">
        <x:v>1</x:v>
      </x:c>
      <x:c r="M96" s="19" t="n">
        <x:v>1</x:v>
      </x:c>
      <x:c r="N96" s="21" t="str">
        <x:v>FROZEN</x:v>
      </x:c>
      <x:c r="O96" s="48"/>
      <x:c r="P96" s="48"/>
      <x:c r="Q96" s="48"/>
      <x:c r="R96" s="48"/>
      <x:c r="S96" s="48"/>
      <x:c r="T96" s="48"/>
      <x:c r="U96" s="48"/>
      <x:c r="V96" s="48"/>
      <x:c r="W96" s="48"/>
    </x:row>
    <x:row r="97">
      <x:c r="C97" s="19" t="str">
        <x:v>MS-RT|D</x:v>
      </x:c>
      <x:c r="D97" s="19" t="str">
        <x:v>MS-RT</x:v>
      </x:c>
      <x:c r="E97" s="19" t="str">
        <x:v>D</x:v>
      </x:c>
      <x:c r="F97" s="19" t="str">
        <x:v>RT-R4</x:v>
      </x:c>
      <x:c r="G97" s="19" t="str">
        <x:v>Civil, institution and economic transfer</x:v>
      </x:c>
      <x:c r="H97" s="19" t="n">
        <x:v>6</x:v>
      </x:c>
      <x:c r="I97" s="19" t="n">
        <x:v>3</x:v>
      </x:c>
      <x:c r="J97" s="19" t="n">
        <x:v>18</x:v>
      </x:c>
      <x:c r="K97" s="19" t="str">
        <x:v>Closed-loop sustainment fleet: civil, institution and economic transfer through field issue plus residual acceptance</x:v>
      </x:c>
      <x:c r="L97" s="19" t="n">
        <x:v>1</x:v>
      </x:c>
      <x:c r="M97" s="19" t="n">
        <x:v>1</x:v>
      </x:c>
      <x:c r="N97" s="21" t="str">
        <x:v>FROZEN</x:v>
      </x:c>
      <x:c r="O97" s="48"/>
      <x:c r="P97" s="48"/>
      <x:c r="Q97" s="48"/>
      <x:c r="R97" s="48"/>
      <x:c r="S97" s="48"/>
      <x:c r="T97" s="48"/>
      <x:c r="U97" s="48"/>
      <x:c r="V97" s="48"/>
      <x:c r="W97" s="48"/>
    </x:row>
    <x:row r="98">
      <x:c r="C98" s="22" t="str">
        <x:v>MS-RT|D</x:v>
      </x:c>
      <x:c r="D98" s="22" t="str">
        <x:v>MS-RT</x:v>
      </x:c>
      <x:c r="E98" s="22" t="str">
        <x:v>D</x:v>
      </x:c>
      <x:c r="F98" s="22" t="str">
        <x:v>RT-R5</x:v>
      </x:c>
      <x:c r="G98" s="22" t="str">
        <x:v>Return, continuity and demobilization</x:v>
      </x:c>
      <x:c r="H98" s="22" t="n">
        <x:v>2</x:v>
      </x:c>
      <x:c r="I98" s="22" t="n">
        <x:v>3</x:v>
      </x:c>
      <x:c r="J98" s="22" t="n">
        <x:v>6</x:v>
      </x:c>
      <x:c r="K98" s="22" t="str">
        <x:v>Closed-loop sustainment fleet: return, continuity and demobilization through field issue plus residual acceptance</x:v>
      </x:c>
      <x:c r="L98" s="22" t="n">
        <x:v>1</x:v>
      </x:c>
      <x:c r="M98" s="22" t="n">
        <x:v>1</x:v>
      </x:c>
      <x:c r="N98" s="24" t="str">
        <x:v>FROZEN</x:v>
      </x:c>
      <x:c r="O98" s="48"/>
      <x:c r="P98" s="48"/>
      <x:c r="Q98" s="48"/>
      <x:c r="R98" s="48"/>
      <x:c r="S98" s="48"/>
      <x:c r="T98" s="48"/>
      <x:c r="U98" s="48"/>
      <x:c r="V98" s="48"/>
      <x:c r="W98" s="48"/>
    </x:row>
    <x:row r="99"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48"/>
      <x:c r="P99" s="48"/>
      <x:c r="Q99" s="48"/>
      <x:c r="R99" s="48"/>
      <x:c r="S99" s="48"/>
      <x:c r="T99" s="48"/>
      <x:c r="U99" s="48"/>
      <x:c r="V99" s="48"/>
      <x:c r="W99" s="48"/>
    </x:row>
    <x:row r="100"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48"/>
      <x:c r="P100" s="48"/>
      <x:c r="Q100" s="48"/>
      <x:c r="R100" s="48"/>
      <x:c r="S100" s="48"/>
      <x:c r="T100" s="48"/>
      <x:c r="U100" s="48"/>
      <x:c r="V100" s="48"/>
      <x:c r="W100" s="48"/>
    </x:row>
    <x:row r="101"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48"/>
      <x:c r="P101" s="48"/>
      <x:c r="Q101" s="48"/>
      <x:c r="R101" s="48"/>
      <x:c r="S101" s="48"/>
      <x:c r="T101" s="48"/>
      <x:c r="U101" s="48"/>
      <x:c r="V101" s="48"/>
      <x:c r="W101" s="48"/>
    </x:row>
    <x:row r="102"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48"/>
      <x:c r="P102" s="48"/>
      <x:c r="Q102" s="48"/>
      <x:c r="R102" s="48"/>
      <x:c r="S102" s="48"/>
      <x:c r="T102" s="48"/>
      <x:c r="U102" s="48"/>
      <x:c r="V102" s="48"/>
      <x:c r="W102" s="48"/>
    </x:row>
    <x:row r="103"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48"/>
      <x:c r="P103" s="48"/>
      <x:c r="Q103" s="48"/>
      <x:c r="R103" s="48"/>
      <x:c r="S103" s="48"/>
      <x:c r="T103" s="48"/>
      <x:c r="U103" s="48"/>
      <x:c r="V103" s="48"/>
      <x:c r="W103" s="48"/>
    </x:row>
    <x:row r="104"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48"/>
      <x:c r="P104" s="48"/>
      <x:c r="Q104" s="48"/>
      <x:c r="R104" s="48"/>
      <x:c r="S104" s="48"/>
      <x:c r="T104" s="48"/>
      <x:c r="U104" s="48"/>
      <x:c r="V104" s="48"/>
      <x:c r="W104" s="48"/>
    </x:row>
    <x:row r="105"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48"/>
      <x:c r="P105" s="48"/>
      <x:c r="Q105" s="48"/>
      <x:c r="R105" s="48"/>
      <x:c r="S105" s="48"/>
      <x:c r="T105" s="48"/>
      <x:c r="U105" s="48"/>
      <x:c r="V105" s="48"/>
      <x:c r="W105" s="48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3" max="3" width="14" hidden="0" customWidth="1"/>
    <x:col min="4" max="4" width="14" hidden="0" customWidth="1"/>
    <x:col min="5" max="5" width="14" hidden="0" customWidth="1"/>
    <x:col min="6" max="6" width="55" hidden="0" customWidth="1"/>
    <x:col min="7" max="7" width="44" hidden="0" customWidth="1"/>
    <x:col min="8" max="8" width="34" hidden="0" customWidth="1"/>
    <x:col min="9" max="9" width="48" hidden="0" customWidth="1"/>
    <x:col min="10" max="10" width="52" hidden="0" customWidth="1"/>
    <x:col min="11" max="11" width="14" hidden="0" customWidth="1"/>
  </x:cols>
  <x:sheetData>
    <x:row r="1">
      <x:c r="C1" s="2"/>
      <x:c r="D1" s="2"/>
      <x:c r="E1" s="2"/>
      <x:c r="F1" s="2"/>
      <x:c r="G1" s="2"/>
      <x:c r="H1" s="2"/>
      <x:c r="I1" s="2"/>
      <x:c r="J1" s="2"/>
      <x:c r="K1" s="2"/>
      <x:c r="L1" s="48"/>
      <x:c r="M1" s="48"/>
      <x:c r="N1" s="48"/>
      <x:c r="O1" s="48"/>
      <x:c r="P1" s="48"/>
      <x:c r="Q1" s="48"/>
      <x:c r="R1" s="48"/>
      <x:c r="S1" s="48"/>
      <x:c r="T1" s="48"/>
      <x:c r="U1" s="48"/>
      <x:c r="V1" s="48"/>
      <x:c r="W1" s="48"/>
    </x:row>
    <x:row r="2">
      <x:c r="C2" s="3" t="str">
        <x:v>Twenty keystone falsification experiments</x:v>
      </x:c>
      <x:c r="D2" s="2"/>
      <x:c r="E2" s="2"/>
      <x:c r="F2" s="2"/>
      <x:c r="G2" s="2"/>
      <x:c r="H2" s="2"/>
      <x:c r="I2" s="2"/>
      <x:c r="J2" s="2"/>
      <x:c r="K2" s="2"/>
      <x:c r="L2" s="48"/>
      <x:c r="M2" s="48"/>
      <x:c r="N2" s="48"/>
      <x:c r="O2" s="48"/>
      <x:c r="P2" s="48"/>
      <x:c r="Q2" s="48"/>
      <x:c r="R2" s="48"/>
      <x:c r="S2" s="48"/>
      <x:c r="T2" s="48"/>
      <x:c r="U2" s="48"/>
      <x:c r="V2" s="48"/>
      <x:c r="W2" s="48"/>
    </x:row>
    <x:row r="3">
      <x:c r="C3" s="5" t="str">
        <x:v>Each configuration receives one decisive technical leap and an explicit fatal result.</x:v>
      </x:c>
      <x:c r="D3" s="6"/>
      <x:c r="E3" s="6"/>
      <x:c r="F3" s="6"/>
      <x:c r="G3" s="6"/>
      <x:c r="H3" s="6"/>
      <x:c r="I3" s="6"/>
      <x:c r="J3" s="6"/>
      <x:c r="K3" s="6"/>
      <x:c r="L3" s="49"/>
      <x:c r="M3" s="49"/>
      <x:c r="N3" s="49"/>
      <x:c r="O3" s="49"/>
      <x:c r="P3" s="49"/>
      <x:c r="Q3" s="49"/>
      <x:c r="R3" s="49"/>
      <x:c r="S3" s="49"/>
      <x:c r="T3" s="49"/>
      <x:c r="U3" s="49"/>
      <x:c r="V3" s="49"/>
      <x:c r="W3" s="49"/>
    </x:row>
    <x:row r="4">
      <x:c r="C4" s="2"/>
      <x:c r="D4" s="2"/>
      <x:c r="E4" s="2"/>
      <x:c r="F4" s="2"/>
      <x:c r="G4" s="2"/>
      <x:c r="H4" s="2"/>
      <x:c r="I4" s="2"/>
      <x:c r="J4" s="2"/>
      <x:c r="K4" s="2"/>
      <x:c r="L4" s="48"/>
      <x:c r="M4" s="48"/>
      <x:c r="N4" s="48"/>
      <x:c r="O4" s="48"/>
      <x:c r="P4" s="48"/>
      <x:c r="Q4" s="48"/>
      <x:c r="R4" s="48"/>
      <x:c r="S4" s="48"/>
      <x:c r="T4" s="48"/>
      <x:c r="U4" s="48"/>
      <x:c r="V4" s="48"/>
      <x:c r="W4" s="48"/>
    </x:row>
    <x:row r="5">
      <x:c r="C5" s="2"/>
      <x:c r="D5" s="2"/>
      <x:c r="E5" s="2"/>
      <x:c r="F5" s="2"/>
      <x:c r="G5" s="2"/>
      <x:c r="H5" s="2"/>
      <x:c r="I5" s="2"/>
      <x:c r="J5" s="2"/>
      <x:c r="K5" s="2"/>
      <x:c r="L5" s="48"/>
      <x:c r="M5" s="48"/>
      <x:c r="N5" s="48"/>
      <x:c r="O5" s="48"/>
      <x:c r="P5" s="48"/>
      <x:c r="Q5" s="48"/>
      <x:c r="R5" s="48"/>
      <x:c r="S5" s="48"/>
      <x:c r="T5" s="48"/>
      <x:c r="U5" s="48"/>
      <x:c r="V5" s="48"/>
      <x:c r="W5" s="48"/>
    </x:row>
    <x:row r="6">
      <x:c r="C6" s="17" t="str">
        <x:v>Experiment</x:v>
      </x:c>
      <x:c r="D6" s="18" t="str">
        <x:v>Root</x:v>
      </x:c>
      <x:c r="E6" s="18" t="str">
        <x:v>System</x:v>
      </x:c>
      <x:c r="F6" s="18" t="str">
        <x:v>Technical leap</x:v>
      </x:c>
      <x:c r="G6" s="18" t="str">
        <x:v>Denial</x:v>
      </x:c>
      <x:c r="H6" s="18" t="str">
        <x:v>Measured variable</x:v>
      </x:c>
      <x:c r="I6" s="18" t="str">
        <x:v>Required threshold</x:v>
      </x:c>
      <x:c r="J6" s="18" t="str">
        <x:v>Fatal result</x:v>
      </x:c>
      <x:c r="K6" s="18" t="str">
        <x:v>Evidence</x:v>
      </x:c>
      <x:c r="L6" s="48"/>
      <x:c r="M6" s="48"/>
      <x:c r="N6" s="48"/>
      <x:c r="O6" s="48"/>
      <x:c r="P6" s="48"/>
      <x:c r="Q6" s="48"/>
      <x:c r="R6" s="48"/>
      <x:c r="S6" s="48"/>
      <x:c r="T6" s="48"/>
      <x:c r="U6" s="48"/>
      <x:c r="V6" s="48"/>
      <x:c r="W6" s="48"/>
    </x:row>
    <x:row r="7">
      <x:c r="C7" s="19" t="str">
        <x:v>KX-01</x:v>
      </x:c>
      <x:c r="D7" s="19" t="str">
        <x:v>MS-ET|A</x:v>
      </x:c>
      <x:c r="E7" s="19" t="str">
        <x:v>MS-ET</x:v>
      </x:c>
      <x:c r="F7" s="19" t="str">
        <x:v>a reconfigurable semi-submersible port closes complete flow without an intact port</x:v>
      </x:c>
      <x:c r="G7" s="19" t="str">
        <x:v>primary port and one connector class unavailable</x:v>
      </x:c>
      <x:c r="H7" s="19" t="str">
        <x:v>complete public service after decisive denial</x:v>
      </x:c>
      <x:c r="I7" s="19" t="str">
        <x:v>At least 5,630 t/day complete flow by hour 72 for 30 days</x:v>
      </x:c>
      <x:c r="J7" s="19" t="str">
        <x:v>Port denial breaks complete flow or cargo custody.</x:v>
      </x:c>
      <x:c r="K7" s="21" t="str">
        <x:v>UNTESTED</x:v>
      </x:c>
      <x:c r="L7" s="48"/>
      <x:c r="M7" s="48"/>
      <x:c r="N7" s="48"/>
      <x:c r="O7" s="48"/>
      <x:c r="P7" s="48"/>
      <x:c r="Q7" s="48"/>
      <x:c r="R7" s="48"/>
      <x:c r="S7" s="48"/>
      <x:c r="T7" s="48"/>
      <x:c r="U7" s="48"/>
      <x:c r="V7" s="48"/>
      <x:c r="W7" s="48"/>
    </x:row>
    <x:row r="8">
      <x:c r="C8" s="19" t="str">
        <x:v>KX-02</x:v>
      </x:c>
      <x:c r="D8" s="19" t="str">
        <x:v>MS-ET|B</x:v>
      </x:c>
      <x:c r="E8" s="19" t="str">
        <x:v>MS-ET</x:v>
      </x:c>
      <x:c r="F8" s="19" t="str">
        <x:v>variable-buoyancy carriers unload without runway or receiver ballast</x:v>
      </x:c>
      <x:c r="G8" s="19" t="str">
        <x:v>cold dense air with runway and ballast unavailable</x:v>
      </x:c>
      <x:c r="H8" s="19" t="str">
        <x:v>complete public service after decisive denial</x:v>
      </x:c>
      <x:c r="I8" s="19" t="str">
        <x:v>At least 5,630 t/day complete flow by hour 72 for 30 days</x:v>
      </x:c>
      <x:c r="J8" s="19" t="str">
        <x:v>The system needs receiver ballast, runway support or unsafe ground reaction.</x:v>
      </x:c>
      <x:c r="K8" s="21" t="str">
        <x:v>UNTESTED</x:v>
      </x:c>
      <x:c r="L8" s="48"/>
      <x:c r="M8" s="48"/>
      <x:c r="N8" s="48"/>
      <x:c r="O8" s="48"/>
      <x:c r="P8" s="48"/>
      <x:c r="Q8" s="48"/>
      <x:c r="R8" s="48"/>
      <x:c r="S8" s="48"/>
      <x:c r="T8" s="48"/>
      <x:c r="U8" s="48"/>
      <x:c r="V8" s="48"/>
      <x:c r="W8" s="48"/>
    </x:row>
    <x:row r="9">
      <x:c r="C9" s="19" t="str">
        <x:v>KX-03</x:v>
      </x:c>
      <x:c r="D9" s="19" t="str">
        <x:v>MS-ET|C</x:v>
      </x:c>
      <x:c r="E9" s="19" t="str">
        <x:v>MS-ET</x:v>
      </x:c>
      <x:c r="F9" s="19" t="str">
        <x:v>an articulated train creates its own bearing surface and crossings</x:v>
      </x:c>
      <x:c r="G9" s="19" t="str">
        <x:v>weakest soil and primary bridge module lost</x:v>
      </x:c>
      <x:c r="H9" s="19" t="str">
        <x:v>complete public service after decisive denial</x:v>
      </x:c>
      <x:c r="I9" s="19" t="str">
        <x:v>At least 5,630 t/day complete flow by hour 72 for 30 days</x:v>
      </x:c>
      <x:c r="J9" s="19" t="str">
        <x:v>Ground contact or crossing loss makes the complete flow threshold unreachable.</x:v>
      </x:c>
      <x:c r="K9" s="21" t="str">
        <x:v>UNTESTED</x:v>
      </x:c>
      <x:c r="L9" s="48"/>
      <x:c r="M9" s="48"/>
      <x:c r="N9" s="48"/>
      <x:c r="O9" s="48"/>
      <x:c r="P9" s="48"/>
      <x:c r="Q9" s="48"/>
      <x:c r="R9" s="48"/>
      <x:c r="S9" s="48"/>
      <x:c r="T9" s="48"/>
      <x:c r="U9" s="48"/>
      <x:c r="V9" s="48"/>
      <x:c r="W9" s="48"/>
    </x:row>
    <x:row r="10">
      <x:c r="C10" s="19" t="str">
        <x:v>KX-04</x:v>
      </x:c>
      <x:c r="D10" s="19" t="str">
        <x:v>MS-ET|D</x:v>
      </x:c>
      <x:c r="E10" s="19" t="str">
        <x:v>MS-ET</x:v>
      </x:c>
      <x:c r="F10" s="19" t="str">
        <x:v>a self-routing amphibious mesh sustains mass flow despite node loss</x:v>
      </x:c>
      <x:c r="G10" s="19" t="str">
        <x:v>network partition with one-third node loss</x:v>
      </x:c>
      <x:c r="H10" s="19" t="str">
        <x:v>complete public service after decisive denial</x:v>
      </x:c>
      <x:c r="I10" s="19" t="str">
        <x:v>At least 5,630 t/day complete flow by hour 72 for 30 days</x:v>
      </x:c>
      <x:c r="J10" s="19" t="str">
        <x:v>Partition or terrain loss creates correlated halt or fractured custody.</x:v>
      </x:c>
      <x:c r="K10" s="21" t="str">
        <x:v>UNTESTED</x:v>
      </x:c>
      <x:c r="L10" s="48"/>
      <x:c r="M10" s="48"/>
      <x:c r="N10" s="48"/>
      <x:c r="O10" s="48"/>
      <x:c r="P10" s="48"/>
      <x:c r="Q10" s="48"/>
      <x:c r="R10" s="48"/>
      <x:c r="S10" s="48"/>
      <x:c r="T10" s="48"/>
      <x:c r="U10" s="48"/>
      <x:c r="V10" s="48"/>
      <x:c r="W10" s="48"/>
    </x:row>
    <x:row r="11">
      <x:c r="C11" s="19" t="str">
        <x:v>KX-05</x:v>
      </x:c>
      <x:c r="D11" s="19" t="str">
        <x:v>MS-CT|A</x:v>
      </x:c>
      <x:c r="E11" s="19" t="str">
        <x:v>MS-CT</x:v>
      </x:c>
      <x:c r="F11" s="19" t="str">
        <x:v>disconnected civic nodes transact accountable service for a whole district</x:v>
      </x:c>
      <x:c r="G11" s="19" t="str">
        <x:v>cloud, backhaul and one senior authority node lost</x:v>
      </x:c>
      <x:c r="H11" s="19" t="str">
        <x:v>complete public service after decisive denial</x:v>
      </x:c>
      <x:c r="I11" s="19" t="str">
        <x:v>105,000 people, 42,800 households and 180 route-km through 168 hours</x:v>
      </x:c>
      <x:c r="J11" s="19" t="str">
        <x:v>A household silently disappears or a local node requires the cloud.</x:v>
      </x:c>
      <x:c r="K11" s="21" t="str">
        <x:v>UNTESTED</x:v>
      </x:c>
      <x:c r="L11" s="48"/>
      <x:c r="M11" s="48"/>
      <x:c r="N11" s="48"/>
      <x:c r="O11" s="48"/>
      <x:c r="P11" s="48"/>
      <x:c r="Q11" s="48"/>
      <x:c r="R11" s="48"/>
      <x:c r="S11" s="48"/>
      <x:c r="T11" s="48"/>
      <x:c r="U11" s="48"/>
      <x:c r="V11" s="48"/>
      <x:c r="W11" s="48"/>
    </x:row>
    <x:row r="12">
      <x:c r="C12" s="19" t="str">
        <x:v>KX-06</x:v>
      </x:c>
      <x:c r="D12" s="19" t="str">
        <x:v>MS-CT|B</x:v>
      </x:c>
      <x:c r="E12" s="19" t="str">
        <x:v>MS-CT</x:v>
      </x:c>
      <x:c r="F12" s="19" t="str">
        <x:v>inhabited high-rise service continues without stairs or elevators</x:v>
      </x:c>
      <x:c r="G12" s="19" t="str">
        <x:v>smoke, wind and normal vertical circulation lost</x:v>
      </x:c>
      <x:c r="H12" s="19" t="str">
        <x:v>complete public service after decisive denial</x:v>
      </x:c>
      <x:c r="I12" s="19" t="str">
        <x:v>105,000 people, 42,800 households and 180 route-km through 168 hours</x:v>
      </x:c>
      <x:c r="J12" s="19" t="str">
        <x:v>Downwash, noise, structural contact or authority prevents lawful occupied access.</x:v>
      </x:c>
      <x:c r="K12" s="21" t="str">
        <x:v>UNTESTED</x:v>
      </x:c>
      <x:c r="L12" s="48"/>
      <x:c r="M12" s="48"/>
      <x:c r="N12" s="48"/>
      <x:c r="O12" s="48"/>
      <x:c r="P12" s="48"/>
      <x:c r="Q12" s="48"/>
      <x:c r="R12" s="48"/>
      <x:c r="S12" s="48"/>
      <x:c r="T12" s="48"/>
      <x:c r="U12" s="48"/>
      <x:c r="V12" s="48"/>
      <x:c r="W12" s="48"/>
    </x:row>
    <x:row r="13">
      <x:c r="C13" s="19" t="str">
        <x:v>KX-07</x:v>
      </x:c>
      <x:c r="D13" s="19" t="str">
        <x:v>MS-CT|C</x:v>
      </x:c>
      <x:c r="E13" s="19" t="str">
        <x:v>MS-CT</x:v>
      </x:c>
      <x:c r="F13" s="19" t="str">
        <x:v>a robotic spine inserts complete utilities into an occupied damaged building</x:v>
      </x:c>
      <x:c r="G13" s="19" t="str">
        <x:v>shaft conflict, utility loss and aftershock</x:v>
      </x:c>
      <x:c r="H13" s="19" t="str">
        <x:v>complete public service after decisive denial</x:v>
      </x:c>
      <x:c r="I13" s="19" t="str">
        <x:v>105,000 people, 42,800 households and 180 route-km through 168 hours</x:v>
      </x:c>
      <x:c r="J13" s="19" t="str">
        <x:v>Installation compromises structure, fire separation or residual custody.</x:v>
      </x:c>
      <x:c r="K13" s="21" t="str">
        <x:v>UNTESTED</x:v>
      </x:c>
      <x:c r="L13" s="48"/>
      <x:c r="M13" s="48"/>
      <x:c r="N13" s="48"/>
      <x:c r="O13" s="48"/>
      <x:c r="P13" s="48"/>
      <x:c r="Q13" s="48"/>
      <x:c r="R13" s="48"/>
      <x:c r="S13" s="48"/>
      <x:c r="T13" s="48"/>
      <x:c r="U13" s="48"/>
      <x:c r="V13" s="48"/>
      <x:c r="W13" s="48"/>
    </x:row>
    <x:row r="14">
      <x:c r="C14" s="19" t="str">
        <x:v>KX-08</x:v>
      </x:c>
      <x:c r="D14" s="19" t="str">
        <x:v>MS-CT|D</x:v>
      </x:c>
      <x:c r="E14" s="19" t="str">
        <x:v>MS-CT</x:v>
      </x:c>
      <x:c r="F14" s="19" t="str">
        <x:v>a heterogeneous swarm performs last-building work under communications loss</x:v>
      </x:c>
      <x:c r="G14" s="19" t="str">
        <x:v>network partition and 30 percent machine attrition</x:v>
      </x:c>
      <x:c r="H14" s="19" t="str">
        <x:v>complete public service after decisive denial</x:v>
      </x:c>
      <x:c r="I14" s="19" t="str">
        <x:v>105,000 people, 42,800 households and 180 route-km through 168 hours</x:v>
      </x:c>
      <x:c r="J14" s="19" t="str">
        <x:v>Autonomy falsely closes a case or creates an uninspectable surveillance common mode.</x:v>
      </x:c>
      <x:c r="K14" s="21" t="str">
        <x:v>UNTESTED</x:v>
      </x:c>
      <x:c r="L14" s="48"/>
      <x:c r="M14" s="48"/>
      <x:c r="N14" s="48"/>
      <x:c r="O14" s="48"/>
      <x:c r="P14" s="48"/>
      <x:c r="Q14" s="48"/>
      <x:c r="R14" s="48"/>
      <x:c r="S14" s="48"/>
      <x:c r="T14" s="48"/>
      <x:c r="U14" s="48"/>
      <x:c r="V14" s="48"/>
      <x:c r="W14" s="48"/>
    </x:row>
    <x:row r="15">
      <x:c r="C15" s="19" t="str">
        <x:v>KX-09</x:v>
      </x:c>
      <x:c r="D15" s="19" t="str">
        <x:v>MS-HC|A</x:v>
      </x:c>
      <x:c r="E15" s="19" t="str">
        <x:v>MS-HC</x:v>
      </x:c>
      <x:c r="F15" s="19" t="str">
        <x:v>night and weather-capable placement reduces hazard growth faster than it expands</x:v>
      </x:c>
      <x:c r="G15" s="19" t="str">
        <x:v>primary airbase, one control cell and clear-air sensing lost</x:v>
      </x:c>
      <x:c r="H15" s="19" t="str">
        <x:v>complete public service after decisive denial</x:v>
      </x:c>
      <x:c r="I15" s="19" t="str">
        <x:v>Positive fire and basin margins, complete residual custody for 30 days</x:v>
      </x:c>
      <x:c r="J15" s="19" t="str">
        <x:v>Control margin is nonpositive or deposition creates an unsafe public burden.</x:v>
      </x:c>
      <x:c r="K15" s="21" t="str">
        <x:v>UNTESTED</x:v>
      </x:c>
      <x:c r="L15" s="48"/>
      <x:c r="M15" s="48"/>
      <x:c r="N15" s="48"/>
      <x:c r="O15" s="48"/>
      <x:c r="P15" s="48"/>
      <x:c r="Q15" s="48"/>
      <x:c r="R15" s="48"/>
      <x:c r="S15" s="48"/>
      <x:c r="T15" s="48"/>
      <x:c r="U15" s="48"/>
      <x:c r="V15" s="48"/>
      <x:c r="W15" s="48"/>
    </x:row>
    <x:row r="16">
      <x:c r="C16" s="19" t="str">
        <x:v>KX-10</x:v>
      </x:c>
      <x:c r="D16" s="19" t="str">
        <x:v>MS-HC|B</x:v>
      </x:c>
      <x:c r="E16" s="19" t="str">
        <x:v>MS-HC</x:v>
      </x:c>
      <x:c r="F16" s="19" t="str">
        <x:v>an adaptive lattice arrests a breach while draining a contaminated basin</x:v>
      </x:c>
      <x:c r="G16" s="19" t="str">
        <x:v>primary pump corridor lost and receiving water high</x:v>
      </x:c>
      <x:c r="H16" s="19" t="str">
        <x:v>complete public service after decisive denial</x:v>
      </x:c>
      <x:c r="I16" s="19" t="str">
        <x:v>Positive fire and basin margins, complete residual custody for 30 days</x:v>
      </x:c>
      <x:c r="J16" s="19" t="str">
        <x:v>Basin-removal margin is nonpositive or contamination is exported.</x:v>
      </x:c>
      <x:c r="K16" s="21" t="str">
        <x:v>UNTESTED</x:v>
      </x:c>
      <x:c r="L16" s="48"/>
      <x:c r="M16" s="48"/>
      <x:c r="N16" s="48"/>
      <x:c r="O16" s="48"/>
      <x:c r="P16" s="48"/>
      <x:c r="Q16" s="48"/>
      <x:c r="R16" s="48"/>
      <x:c r="S16" s="48"/>
      <x:c r="T16" s="48"/>
      <x:c r="U16" s="48"/>
      <x:c r="V16" s="48"/>
      <x:c r="W16" s="48"/>
    </x:row>
    <x:row r="17">
      <x:c r="C17" s="19" t="str">
        <x:v>KX-11</x:v>
      </x:c>
      <x:c r="D17" s="19" t="str">
        <x:v>MS-HC|C</x:v>
      </x:c>
      <x:c r="E17" s="19" t="str">
        <x:v>MS-HC</x:v>
      </x:c>
      <x:c r="F17" s="19" t="str">
        <x:v>heavy earthwork continues through smoke, flood, lost link and aftershock</x:v>
      </x:c>
      <x:c r="G17" s="19" t="str">
        <x:v>lost link, bogged lead machine and aftershock</x:v>
      </x:c>
      <x:c r="H17" s="19" t="str">
        <x:v>complete public service after decisive denial</x:v>
      </x:c>
      <x:c r="I17" s="19" t="str">
        <x:v>Positive fire and basin margins, complete residual custody for 30 days</x:v>
      </x:c>
      <x:c r="J17" s="19" t="str">
        <x:v>A control loss creates unsafe motion, negative margin or unowned debris.</x:v>
      </x:c>
      <x:c r="K17" s="21" t="str">
        <x:v>UNTESTED</x:v>
      </x:c>
      <x:c r="L17" s="48"/>
      <x:c r="M17" s="48"/>
      <x:c r="N17" s="48"/>
      <x:c r="O17" s="48"/>
      <x:c r="P17" s="48"/>
      <x:c r="Q17" s="48"/>
      <x:c r="R17" s="48"/>
      <x:c r="S17" s="48"/>
      <x:c r="T17" s="48"/>
      <x:c r="U17" s="48"/>
      <x:c r="V17" s="48"/>
      <x:c r="W17" s="48"/>
    </x:row>
    <x:row r="18">
      <x:c r="C18" s="19" t="str">
        <x:v>KX-12</x:v>
      </x:c>
      <x:c r="D18" s="19" t="str">
        <x:v>MS-HC|D</x:v>
      </x:c>
      <x:c r="E18" s="19" t="str">
        <x:v>MS-HC</x:v>
      </x:c>
      <x:c r="F18" s="19" t="str">
        <x:v>a programmable temporary landscape limits cascade through local intervention</x:v>
      </x:c>
      <x:c r="G18" s="19" t="str">
        <x:v>one-quarter node loss and corrupted neighbor state</x:v>
      </x:c>
      <x:c r="H18" s="19" t="str">
        <x:v>complete public service after decisive denial</x:v>
      </x:c>
      <x:c r="I18" s="19" t="str">
        <x:v>Positive fire and basin margins, complete residual custody for 30 days</x:v>
      </x:c>
      <x:c r="J18" s="19" t="str">
        <x:v>Local interaction amplifies the hazard or the field cannot be fully recovered.</x:v>
      </x:c>
      <x:c r="K18" s="21" t="str">
        <x:v>UNTESTED</x:v>
      </x:c>
      <x:c r="L18" s="48"/>
      <x:c r="M18" s="48"/>
      <x:c r="N18" s="48"/>
      <x:c r="O18" s="48"/>
      <x:c r="P18" s="48"/>
      <x:c r="Q18" s="48"/>
      <x:c r="R18" s="48"/>
      <x:c r="S18" s="48"/>
      <x:c r="T18" s="48"/>
      <x:c r="U18" s="48"/>
      <x:c r="V18" s="48"/>
      <x:c r="W18" s="48"/>
    </x:row>
    <x:row r="19">
      <x:c r="C19" s="19" t="str">
        <x:v>KX-13</x:v>
      </x:c>
      <x:c r="D19" s="19" t="str">
        <x:v>MS-HU|A</x:v>
      </x:c>
      <x:c r="E19" s="19" t="str">
        <x:v>MS-HU</x:v>
      </x:c>
      <x:c r="F19" s="19" t="str">
        <x:v>a deployable clinical city provides staffed definitive care and occupied metabolism</x:v>
      </x:c>
      <x:c r="G19" s="19" t="str">
        <x:v>utility, specialist workforce and discharge capacity lost together</x:v>
      </x:c>
      <x:c r="H19" s="19" t="str">
        <x:v>complete public service after decisive denial</x:v>
      </x:c>
      <x:c r="I19" s="19" t="str">
        <x:v>50,000 relationship-bearing people through 168 hours with accepted states</x:v>
      </x:c>
      <x:c r="J19" s="19" t="str">
        <x:v>Nominal beds exceed staffed, supplied or dischargeable clinical capacity.</x:v>
      </x:c>
      <x:c r="K19" s="21" t="str">
        <x:v>UNTESTED</x:v>
      </x:c>
      <x:c r="L19" s="48"/>
      <x:c r="M19" s="48"/>
      <x:c r="N19" s="48"/>
      <x:c r="O19" s="48"/>
      <x:c r="P19" s="48"/>
      <x:c r="Q19" s="48"/>
      <x:c r="R19" s="48"/>
      <x:c r="S19" s="48"/>
      <x:c r="T19" s="48"/>
      <x:c r="U19" s="48"/>
      <x:c r="V19" s="48"/>
      <x:c r="W19" s="48"/>
    </x:row>
    <x:row r="20">
      <x:c r="C20" s="19" t="str">
        <x:v>KX-14</x:v>
      </x:c>
      <x:c r="D20" s="19" t="str">
        <x:v>MS-HU|B</x:v>
      </x:c>
      <x:c r="E20" s="19" t="str">
        <x:v>MS-HU</x:v>
      </x:c>
      <x:c r="F20" s="19" t="str">
        <x:v>distributed occupied-service cells keep a district safely at origin</x:v>
      </x:c>
      <x:c r="G20" s="19" t="str">
        <x:v>heat, smoke, cloud loss and caregiver separation</x:v>
      </x:c>
      <x:c r="H20" s="19" t="str">
        <x:v>complete public service after decisive denial</x:v>
      </x:c>
      <x:c r="I20" s="19" t="str">
        <x:v>50,000 relationship-bearing people through 168 hours with accepted states</x:v>
      </x:c>
      <x:c r="J20" s="19" t="str">
        <x:v>The fabric depends on unpaid labor or loses a person-care relationship.</x:v>
      </x:c>
      <x:c r="K20" s="21" t="str">
        <x:v>UNTESTED</x:v>
      </x:c>
      <x:c r="L20" s="48"/>
      <x:c r="M20" s="48"/>
      <x:c r="N20" s="48"/>
      <x:c r="O20" s="48"/>
      <x:c r="P20" s="48"/>
      <x:c r="Q20" s="48"/>
      <x:c r="R20" s="48"/>
      <x:c r="S20" s="48"/>
      <x:c r="T20" s="48"/>
      <x:c r="U20" s="48"/>
      <x:c r="V20" s="48"/>
      <x:c r="W20" s="48"/>
    </x:row>
    <x:row r="21">
      <x:c r="C21" s="19" t="str">
        <x:v>KX-15</x:v>
      </x:c>
      <x:c r="D21" s="19" t="str">
        <x:v>MS-HU|C</x:v>
      </x:c>
      <x:c r="E21" s="19" t="str">
        <x:v>MS-HU</x:v>
      </x:c>
      <x:c r="F21" s="19" t="str">
        <x:v>diagnosis, therapy and household state remain coherent while care moves</x:v>
      </x:c>
      <x:c r="G21" s="19" t="str">
        <x:v>one movement mode lost and assigned receiver withdraws</x:v>
      </x:c>
      <x:c r="H21" s="19" t="str">
        <x:v>complete public service after decisive denial</x:v>
      </x:c>
      <x:c r="I21" s="19" t="str">
        <x:v>50,000 relationship-bearing people through 168 hours with accepted states</x:v>
      </x:c>
      <x:c r="J21" s="19" t="str">
        <x:v>Movement starts without accepted destination, therapy or relationship continuity.</x:v>
      </x:c>
      <x:c r="K21" s="21" t="str">
        <x:v>UNTESTED</x:v>
      </x:c>
      <x:c r="L21" s="48"/>
      <x:c r="M21" s="48"/>
      <x:c r="N21" s="48"/>
      <x:c r="O21" s="48"/>
      <x:c r="P21" s="48"/>
      <x:c r="Q21" s="48"/>
      <x:c r="R21" s="48"/>
      <x:c r="S21" s="48"/>
      <x:c r="T21" s="48"/>
      <x:c r="U21" s="48"/>
      <x:c r="V21" s="48"/>
      <x:c r="W21" s="48"/>
    </x:row>
    <x:row r="22">
      <x:c r="C22" s="19" t="str">
        <x:v>KX-16</x:v>
      </x:c>
      <x:c r="D22" s="19" t="str">
        <x:v>MS-HU|D</x:v>
      </x:c>
      <x:c r="E22" s="19" t="str">
        <x:v>MS-HU</x:v>
      </x:c>
      <x:c r="F22" s="19" t="str">
        <x:v>robots convert available buildings into clinical and receiving capacity within the service clock</x:v>
      </x:c>
      <x:c r="G22" s="19" t="str">
        <x:v>aftershock, host withdrawal and local utility loss</x:v>
      </x:c>
      <x:c r="H22" s="19" t="str">
        <x:v>complete public service after decisive denial</x:v>
      </x:c>
      <x:c r="I22" s="19" t="str">
        <x:v>50,000 relationship-bearing people through 168 hours with accepted states</x:v>
      </x:c>
      <x:c r="J22" s="19" t="str">
        <x:v>Conversion cannot be made safe, lawful, reversible or support a funded exit.</x:v>
      </x:c>
      <x:c r="K22" s="21" t="str">
        <x:v>UNTESTED</x:v>
      </x:c>
      <x:c r="L22" s="48"/>
      <x:c r="M22" s="48"/>
      <x:c r="N22" s="48"/>
      <x:c r="O22" s="48"/>
      <x:c r="P22" s="48"/>
      <x:c r="Q22" s="48"/>
      <x:c r="R22" s="48"/>
      <x:c r="S22" s="48"/>
      <x:c r="T22" s="48"/>
      <x:c r="U22" s="48"/>
      <x:c r="V22" s="48"/>
      <x:c r="W22" s="48"/>
    </x:row>
    <x:row r="23">
      <x:c r="C23" s="19" t="str">
        <x:v>KX-17</x:v>
      </x:c>
      <x:c r="D23" s="19" t="str">
        <x:v>MS-RT|A</x:v>
      </x:c>
      <x:c r="E23" s="19" t="str">
        <x:v>MS-RT</x:v>
      </x:c>
      <x:c r="F23" s="19" t="str">
        <x:v>a hardened arsenal issues and resets a full stack after loss of its lead base</x:v>
      </x:c>
      <x:c r="G23" s="19" t="str">
        <x:v>leading arsenal and one critical process line lost</x:v>
      </x:c>
      <x:c r="H23" s="19" t="str">
        <x:v>complete public service after decisive denial</x:v>
      </x:c>
      <x:c r="I23" s="19" t="str">
        <x:v>One 99-position stack for 30 days; all returns accepted; reset by 168 hours</x:v>
      </x:c>
      <x:c r="J23" s="19" t="str">
        <x:v>One base, tool or line loss stops a class or pushes reset beyond 168 hours.</x:v>
      </x:c>
      <x:c r="K23" s="21" t="str">
        <x:v>UNTESTED</x:v>
      </x:c>
      <x:c r="L23" s="48"/>
      <x:c r="M23" s="48"/>
      <x:c r="N23" s="48"/>
      <x:c r="O23" s="48"/>
      <x:c r="P23" s="48"/>
      <x:c r="Q23" s="48"/>
      <x:c r="R23" s="48"/>
      <x:c r="S23" s="48"/>
      <x:c r="T23" s="48"/>
      <x:c r="U23" s="48"/>
      <x:c r="V23" s="48"/>
      <x:c r="W23" s="48"/>
    </x:row>
    <x:row r="24">
      <x:c r="C24" s="19" t="str">
        <x:v>KX-18</x:v>
      </x:c>
      <x:c r="D24" s="19" t="str">
        <x:v>MS-RT|B</x:v>
      </x:c>
      <x:c r="E24" s="19" t="str">
        <x:v>MS-RT</x:v>
      </x:c>
      <x:c r="F24" s="19" t="str">
        <x:v>disconnected cells reproduce qualified critical parts from controlled feedstock</x:v>
      </x:c>
      <x:c r="G24" s="19" t="str">
        <x:v>cloud and backhaul lost with one feedstock class unavailable</x:v>
      </x:c>
      <x:c r="H24" s="19" t="str">
        <x:v>complete public service after decisive denial</x:v>
      </x:c>
      <x:c r="I24" s="19" t="str">
        <x:v>One 99-position stack for 30 days; all returns accepted; reset by 168 hours</x:v>
      </x:c>
      <x:c r="J24" s="19" t="str">
        <x:v>Output cannot reproduce ancestry, material state, calibration or qualification.</x:v>
      </x:c>
      <x:c r="K24" s="21" t="str">
        <x:v>UNTESTED</x:v>
      </x:c>
      <x:c r="L24" s="48"/>
      <x:c r="M24" s="48"/>
      <x:c r="N24" s="48"/>
      <x:c r="O24" s="48"/>
      <x:c r="P24" s="48"/>
      <x:c r="Q24" s="48"/>
      <x:c r="R24" s="48"/>
      <x:c r="S24" s="48"/>
      <x:c r="T24" s="48"/>
      <x:c r="U24" s="48"/>
      <x:c r="V24" s="48"/>
      <x:c r="W24" s="48"/>
    </x:row>
    <x:row r="25">
      <x:c r="C25" s="19" t="str">
        <x:v>KX-19</x:v>
      </x:c>
      <x:c r="D25" s="19" t="str">
        <x:v>MS-RT|C</x:v>
      </x:c>
      <x:c r="E25" s="19" t="str">
        <x:v>MS-RT</x:v>
      </x:c>
      <x:c r="F25" s="19" t="str">
        <x:v>open interchange permits cross-vendor remanufacture without hiding equivalence</x:v>
      </x:c>
      <x:c r="G25" s="19" t="str">
        <x:v>core contamination, vendor refusal and one depot loss</x:v>
      </x:c>
      <x:c r="H25" s="19" t="str">
        <x:v>complete public service after decisive denial</x:v>
      </x:c>
      <x:c r="I25" s="19" t="str">
        <x:v>One 99-position stack for 30 days; all returns accepted; reset by 168 hours</x:v>
      </x:c>
      <x:c r="J25" s="19" t="str">
        <x:v>A common interface masks non-equivalence or a residual stream is rejected.</x:v>
      </x:c>
      <x:c r="K25" s="21" t="str">
        <x:v>UNTESTED</x:v>
      </x:c>
      <x:c r="L25" s="48"/>
      <x:c r="M25" s="48"/>
      <x:c r="N25" s="48"/>
      <x:c r="O25" s="48"/>
      <x:c r="P25" s="48"/>
      <x:c r="Q25" s="48"/>
      <x:c r="R25" s="48"/>
      <x:c r="S25" s="48"/>
      <x:c r="T25" s="48"/>
      <x:c r="U25" s="48"/>
      <x:c r="V25" s="48"/>
      <x:c r="W25" s="48"/>
    </x:row>
    <x:row r="26">
      <x:c r="C26" s="22" t="str">
        <x:v>KX-20</x:v>
      </x:c>
      <x:c r="D26" s="22" t="str">
        <x:v>MS-RT|D</x:v>
      </x:c>
      <x:c r="E26" s="22" t="str">
        <x:v>MS-RT</x:v>
      </x:c>
      <x:c r="F26" s="22" t="str">
        <x:v>a mobile fleet sustains a complete stack for 30 days without externalizing counterflows</x:v>
      </x:c>
      <x:c r="G26" s="22" t="str">
        <x:v>remote campaign, resupply delay and residual receiver refusal</x:v>
      </x:c>
      <x:c r="H26" s="22" t="str">
        <x:v>complete public service after decisive denial</x:v>
      </x:c>
      <x:c r="I26" s="22" t="str">
        <x:v>One 99-position stack for 30 days; all returns accepted; reset by 168 hours</x:v>
      </x:c>
      <x:c r="J26" s="22" t="str">
        <x:v>Any critical class accumulates or the fleet draws unaccepted service from the damaged host.</x:v>
      </x:c>
      <x:c r="K26" s="24" t="str">
        <x:v>UNTESTED</x:v>
      </x:c>
      <x:c r="L26" s="48"/>
      <x:c r="M26" s="48"/>
      <x:c r="N26" s="48"/>
      <x:c r="O26" s="48"/>
      <x:c r="P26" s="48"/>
      <x:c r="Q26" s="48"/>
      <x:c r="R26" s="48"/>
      <x:c r="S26" s="48"/>
      <x:c r="T26" s="48"/>
      <x:c r="U26" s="48"/>
      <x:c r="V26" s="48"/>
      <x:c r="W26" s="48"/>
    </x:row>
    <x:row r="27">
      <x:c r="C27" s="2"/>
      <x:c r="D27" s="2"/>
      <x:c r="E27" s="2"/>
      <x:c r="F27" s="2"/>
      <x:c r="G27" s="2"/>
      <x:c r="H27" s="2"/>
      <x:c r="I27" s="2"/>
      <x:c r="J27" s="2"/>
      <x:c r="K27" s="2"/>
      <x:c r="L27" s="48"/>
      <x:c r="M27" s="48"/>
      <x:c r="N27" s="48"/>
      <x:c r="O27" s="48"/>
      <x:c r="P27" s="48"/>
      <x:c r="Q27" s="48"/>
      <x:c r="R27" s="48"/>
      <x:c r="S27" s="48"/>
      <x:c r="T27" s="48"/>
      <x:c r="U27" s="48"/>
      <x:c r="V27" s="48"/>
      <x:c r="W27" s="48"/>
    </x:row>
    <x:row r="28">
      <x:c r="C28" s="2"/>
      <x:c r="D28" s="2"/>
      <x:c r="E28" s="2"/>
      <x:c r="F28" s="2"/>
      <x:c r="G28" s="2"/>
      <x:c r="H28" s="2"/>
      <x:c r="I28" s="2"/>
      <x:c r="J28" s="2"/>
      <x:c r="K28" s="2"/>
      <x:c r="L28" s="48"/>
      <x:c r="M28" s="48"/>
      <x:c r="N28" s="48"/>
      <x:c r="O28" s="48"/>
      <x:c r="P28" s="48"/>
      <x:c r="Q28" s="48"/>
      <x:c r="R28" s="48"/>
      <x:c r="S28" s="48"/>
      <x:c r="T28" s="48"/>
      <x:c r="U28" s="48"/>
      <x:c r="V28" s="48"/>
      <x:c r="W28" s="48"/>
    </x:row>
    <x:row r="29">
      <x:c r="C29" s="2"/>
      <x:c r="D29" s="2"/>
      <x:c r="E29" s="2"/>
      <x:c r="F29" s="2"/>
      <x:c r="G29" s="2"/>
      <x:c r="H29" s="2"/>
      <x:c r="I29" s="2"/>
      <x:c r="J29" s="2"/>
      <x:c r="K29" s="2"/>
      <x:c r="L29" s="48"/>
      <x:c r="M29" s="48"/>
      <x:c r="N29" s="48"/>
      <x:c r="O29" s="48"/>
      <x:c r="P29" s="48"/>
      <x:c r="Q29" s="48"/>
      <x:c r="R29" s="48"/>
      <x:c r="S29" s="48"/>
      <x:c r="T29" s="48"/>
      <x:c r="U29" s="48"/>
      <x:c r="V29" s="48"/>
      <x:c r="W29" s="48"/>
    </x:row>
    <x:row r="30">
      <x:c r="C30" s="2"/>
      <x:c r="D30" s="2"/>
      <x:c r="E30" s="2"/>
      <x:c r="F30" s="2"/>
      <x:c r="G30" s="2"/>
      <x:c r="H30" s="2"/>
      <x:c r="I30" s="2"/>
      <x:c r="J30" s="2"/>
      <x:c r="K30" s="2"/>
      <x:c r="L30" s="48"/>
      <x:c r="M30" s="48"/>
      <x:c r="N30" s="48"/>
      <x:c r="O30" s="48"/>
      <x:c r="P30" s="48"/>
      <x:c r="Q30" s="48"/>
      <x:c r="R30" s="48"/>
      <x:c r="S30" s="48"/>
      <x:c r="T30" s="48"/>
      <x:c r="U30" s="48"/>
      <x:c r="V30" s="48"/>
      <x:c r="W30" s="48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3" max="3" width="20" hidden="0" customWidth="1"/>
    <x:col min="4" max="4" width="20" hidden="0" customWidth="1"/>
    <x:col min="5" max="5" width="20" hidden="0" customWidth="1"/>
    <x:col min="6" max="6" width="29" hidden="0" customWidth="1"/>
    <x:col min="7" max="7" width="17" hidden="0" customWidth="1"/>
    <x:col min="8" max="8" width="17" hidden="0" customWidth="1"/>
    <x:col min="9" max="9" width="72" hidden="0" customWidth="1"/>
    <x:col min="10" max="10" width="13" hidden="0" customWidth="1"/>
  </x:cols>
  <x:sheetData>
    <x:row r="1">
      <x:c r="C1" s="2"/>
      <x:c r="D1" s="2"/>
      <x:c r="E1" s="2"/>
      <x:c r="F1" s="2"/>
      <x:c r="G1" s="2"/>
      <x:c r="H1" s="2"/>
      <x:c r="I1" s="2"/>
      <x:c r="J1" s="2"/>
      <x:c r="K1" s="48"/>
      <x:c r="L1" s="48"/>
      <x:c r="M1" s="48"/>
      <x:c r="N1" s="48"/>
      <x:c r="O1" s="48"/>
      <x:c r="P1" s="48"/>
      <x:c r="Q1" s="48"/>
      <x:c r="R1" s="48"/>
      <x:c r="S1" s="48"/>
      <x:c r="T1" s="48"/>
      <x:c r="U1" s="48"/>
      <x:c r="V1" s="48"/>
      <x:c r="W1" s="48"/>
    </x:row>
    <x:row r="2">
      <x:c r="C2" s="3" t="str">
        <x:v>Eighty root-owned technology workstreams</x:v>
      </x:c>
      <x:c r="D2" s="2"/>
      <x:c r="E2" s="2"/>
      <x:c r="F2" s="2"/>
      <x:c r="G2" s="2"/>
      <x:c r="H2" s="2"/>
      <x:c r="I2" s="2"/>
      <x:c r="J2" s="2"/>
      <x:c r="K2" s="48"/>
      <x:c r="L2" s="48"/>
      <x:c r="M2" s="48"/>
      <x:c r="N2" s="48"/>
      <x:c r="O2" s="48"/>
      <x:c r="P2" s="48"/>
      <x:c r="Q2" s="48"/>
      <x:c r="R2" s="48"/>
      <x:c r="S2" s="48"/>
      <x:c r="T2" s="48"/>
      <x:c r="U2" s="48"/>
      <x:c r="V2" s="48"/>
      <x:c r="W2" s="48"/>
    </x:row>
    <x:row r="3">
      <x:c r="C3" s="5" t="str">
        <x:v>Authority purchases rival learning paths; it is not a platform price or earned payment.</x:v>
      </x:c>
      <x:c r="D3" s="6"/>
      <x:c r="E3" s="6"/>
      <x:c r="F3" s="6"/>
      <x:c r="G3" s="6"/>
      <x:c r="H3" s="6"/>
      <x:c r="I3" s="6"/>
      <x:c r="J3" s="6"/>
      <x:c r="K3" s="49"/>
      <x:c r="L3" s="49"/>
      <x:c r="M3" s="49"/>
      <x:c r="N3" s="49"/>
      <x:c r="O3" s="49"/>
      <x:c r="P3" s="49"/>
      <x:c r="Q3" s="49"/>
      <x:c r="R3" s="49"/>
      <x:c r="S3" s="49"/>
      <x:c r="T3" s="49"/>
      <x:c r="U3" s="49"/>
      <x:c r="V3" s="49"/>
      <x:c r="W3" s="49"/>
    </x:row>
    <x:row r="4">
      <x:c r="C4" s="2"/>
      <x:c r="D4" s="2"/>
      <x:c r="E4" s="2"/>
      <x:c r="F4" s="2"/>
      <x:c r="G4" s="2"/>
      <x:c r="H4" s="2"/>
      <x:c r="I4" s="2"/>
      <x:c r="J4" s="2"/>
      <x:c r="K4" s="48"/>
      <x:c r="L4" s="48"/>
      <x:c r="M4" s="48"/>
      <x:c r="N4" s="48"/>
      <x:c r="O4" s="48"/>
      <x:c r="P4" s="48"/>
      <x:c r="Q4" s="48"/>
      <x:c r="R4" s="48"/>
      <x:c r="S4" s="48"/>
      <x:c r="T4" s="48"/>
      <x:c r="U4" s="48"/>
      <x:c r="V4" s="48"/>
      <x:c r="W4" s="48"/>
    </x:row>
    <x:row r="5">
      <x:c r="C5" s="2"/>
      <x:c r="D5" s="2"/>
      <x:c r="E5" s="2"/>
      <x:c r="F5" s="2"/>
      <x:c r="G5" s="2"/>
      <x:c r="H5" s="2"/>
      <x:c r="I5" s="2"/>
      <x:c r="J5" s="2"/>
      <x:c r="K5" s="48"/>
      <x:c r="L5" s="48"/>
      <x:c r="M5" s="48"/>
      <x:c r="N5" s="48"/>
      <x:c r="O5" s="48"/>
      <x:c r="P5" s="48"/>
      <x:c r="Q5" s="48"/>
      <x:c r="R5" s="48"/>
      <x:c r="S5" s="48"/>
      <x:c r="T5" s="48"/>
      <x:c r="U5" s="48"/>
      <x:c r="V5" s="48"/>
      <x:c r="W5" s="48"/>
    </x:row>
    <x:row r="6">
      <x:c r="C6" s="17" t="str">
        <x:v>Workstream</x:v>
      </x:c>
      <x:c r="D6" s="18" t="str">
        <x:v>Root</x:v>
      </x:c>
      <x:c r="E6" s="18" t="str">
        <x:v>System</x:v>
      </x:c>
      <x:c r="F6" s="18" t="str">
        <x:v>Stage</x:v>
      </x:c>
      <x:c r="G6" s="18" t="str">
        <x:v>Share</x:v>
      </x:c>
      <x:c r="H6" s="18" t="str">
        <x:v>Allocation USD B</x:v>
      </x:c>
      <x:c r="I6" s="18" t="str">
        <x:v>Program objective</x:v>
      </x:c>
      <x:c r="J6" s="18" t="str">
        <x:v>Evidence</x:v>
      </x:c>
      <x:c r="K6" s="48"/>
      <x:c r="L6" s="48"/>
      <x:c r="M6" s="48"/>
      <x:c r="N6" s="48"/>
      <x:c r="O6" s="48"/>
      <x:c r="P6" s="48"/>
      <x:c r="Q6" s="48"/>
      <x:c r="R6" s="48"/>
      <x:c r="S6" s="48"/>
      <x:c r="T6" s="48"/>
      <x:c r="U6" s="48"/>
      <x:c r="V6" s="48"/>
      <x:c r="W6" s="48"/>
    </x:row>
    <x:row r="7">
      <x:c r="C7" s="19" t="str">
        <x:v>TW-ET-A-1</x:v>
      </x:c>
      <x:c r="D7" s="19" t="str">
        <x:v>MS-ET|A</x:v>
      </x:c>
      <x:c r="E7" s="19" t="str">
        <x:v>MS-ET</x:v>
      </x:c>
      <x:c r="F7" s="19" t="str">
        <x:v>Decisive physics</x:v>
      </x:c>
      <x:c r="G7" s="28" t="n">
        <x:v>0.35</x:v>
      </x:c>
      <x:c r="H7" s="29" t="n">
        <x:f>SUMIF('Root Configurations'!$C$7:$C$26,D7,'Root Configurations'!$W$7:$W$26)*G7</x:f>
        <x:v>3.894773578503694</x:v>
      </x:c>
      <x:c r="I7" s="19" t="str">
        <x:v>Demonstrate a reconfigurable semi-submersible port closes complete flow without an intact port.</x:v>
      </x:c>
      <x:c r="J7" s="21" t="str">
        <x:v>OPEN</x:v>
      </x:c>
      <x:c r="K7" s="48"/>
      <x:c r="L7" s="48"/>
      <x:c r="M7" s="48"/>
      <x:c r="N7" s="48"/>
      <x:c r="O7" s="48"/>
      <x:c r="P7" s="48"/>
      <x:c r="Q7" s="48"/>
      <x:c r="R7" s="48"/>
      <x:c r="S7" s="48"/>
      <x:c r="T7" s="48"/>
      <x:c r="U7" s="48"/>
      <x:c r="V7" s="48"/>
      <x:c r="W7" s="48"/>
    </x:row>
    <x:row r="8">
      <x:c r="C8" s="19" t="str">
        <x:v>TW-ET-A-2</x:v>
      </x:c>
      <x:c r="D8" s="19" t="str">
        <x:v>MS-ET|A</x:v>
      </x:c>
      <x:c r="E8" s="19" t="str">
        <x:v>MS-ET</x:v>
      </x:c>
      <x:c r="F8" s="19" t="str">
        <x:v>Complete service article</x:v>
      </x:c>
      <x:c r="G8" s="28" t="n">
        <x:v>0.3</x:v>
      </x:c>
      <x:c r="H8" s="29" t="n">
        <x:f>SUMIF('Root Configurations'!$C$7:$C$26,D8,'Root Configurations'!$W$7:$W$26)*G8</x:f>
        <x:v>3.338377353003166</x:v>
      </x:c>
      <x:c r="I8" s="19" t="str">
        <x:v>Close all 5 routes through port or causeway custody gate.</x:v>
      </x:c>
      <x:c r="J8" s="21" t="str">
        <x:v>OPEN</x:v>
      </x:c>
      <x:c r="K8" s="48"/>
      <x:c r="L8" s="48"/>
      <x:c r="M8" s="48"/>
      <x:c r="N8" s="48"/>
      <x:c r="O8" s="48"/>
      <x:c r="P8" s="48"/>
      <x:c r="Q8" s="48"/>
      <x:c r="R8" s="48"/>
      <x:c r="S8" s="48"/>
      <x:c r="T8" s="48"/>
      <x:c r="U8" s="48"/>
      <x:c r="V8" s="48"/>
      <x:c r="W8" s="48"/>
    </x:row>
    <x:row r="9">
      <x:c r="C9" s="19" t="str">
        <x:v>TW-ET-A-3</x:v>
      </x:c>
      <x:c r="D9" s="19" t="str">
        <x:v>MS-ET|A</x:v>
      </x:c>
      <x:c r="E9" s="19" t="str">
        <x:v>MS-ET</x:v>
      </x:c>
      <x:c r="F9" s="19" t="str">
        <x:v>Independent proving</x:v>
      </x:c>
      <x:c r="G9" s="28" t="n">
        <x:v>0.2</x:v>
      </x:c>
      <x:c r="H9" s="29" t="n">
        <x:f>SUMIF('Root Configurations'!$C$7:$C$26,D9,'Root Configurations'!$W$7:$W$26)*G9</x:f>
        <x:v>2.2255849020021112</x:v>
      </x:c>
      <x:c r="I9" s="19" t="str">
        <x:v>Execute primary port and one connector class unavailable; preserve valid adverse evidence.</x:v>
      </x:c>
      <x:c r="J9" s="21" t="str">
        <x:v>OPEN</x:v>
      </x:c>
      <x:c r="K9" s="48"/>
      <x:c r="L9" s="48"/>
      <x:c r="M9" s="48"/>
      <x:c r="N9" s="48"/>
      <x:c r="O9" s="48"/>
      <x:c r="P9" s="48"/>
      <x:c r="Q9" s="48"/>
      <x:c r="R9" s="48"/>
      <x:c r="S9" s="48"/>
      <x:c r="T9" s="48"/>
      <x:c r="U9" s="48"/>
      <x:c r="V9" s="48"/>
      <x:c r="W9" s="48"/>
    </x:row>
    <x:row r="10">
      <x:c r="C10" s="19" t="str">
        <x:v>TW-ET-A-4</x:v>
      </x:c>
      <x:c r="D10" s="19" t="str">
        <x:v>MS-ET|A</x:v>
      </x:c>
      <x:c r="E10" s="19" t="str">
        <x:v>MS-ET</x:v>
      </x:c>
      <x:c r="F10" s="19" t="str">
        <x:v>Reproduction and regeneration</x:v>
      </x:c>
      <x:c r="G10" s="28" t="n">
        <x:v>0.15</x:v>
      </x:c>
      <x:c r="H10" s="29" t="n">
        <x:f>SUMIF('Root Configurations'!$C$7:$C$26,D10,'Root Configurations'!$W$7:$W$26)*G10</x:f>
        <x:v>1.669188676501583</x:v>
      </x:c>
      <x:c r="I10" s="19" t="str">
        <x:v>Rebuild through wet-dock exchange and shipyard depot; close seaward backhaul and restored-port handoff.</x:v>
      </x:c>
      <x:c r="J10" s="21" t="str">
        <x:v>OPEN</x:v>
      </x:c>
      <x:c r="K10" s="48"/>
      <x:c r="L10" s="48"/>
      <x:c r="M10" s="48"/>
      <x:c r="N10" s="48"/>
      <x:c r="O10" s="48"/>
      <x:c r="P10" s="48"/>
      <x:c r="Q10" s="48"/>
      <x:c r="R10" s="48"/>
      <x:c r="S10" s="48"/>
      <x:c r="T10" s="48"/>
      <x:c r="U10" s="48"/>
      <x:c r="V10" s="48"/>
      <x:c r="W10" s="48"/>
    </x:row>
    <x:row r="11">
      <x:c r="C11" s="19" t="str">
        <x:v>TW-ET-B-1</x:v>
      </x:c>
      <x:c r="D11" s="19" t="str">
        <x:v>MS-ET|B</x:v>
      </x:c>
      <x:c r="E11" s="19" t="str">
        <x:v>MS-ET</x:v>
      </x:c>
      <x:c r="F11" s="19" t="str">
        <x:v>Decisive physics</x:v>
      </x:c>
      <x:c r="G11" s="28" t="n">
        <x:v>0.35</x:v>
      </x:c>
      <x:c r="H11" s="29" t="n">
        <x:f>SUMIF('Root Configurations'!$C$7:$C$26,D11,'Root Configurations'!$W$7:$W$26)*G11</x:f>
        <x:v>3.894773578503694</x:v>
      </x:c>
      <x:c r="I11" s="19" t="str">
        <x:v>Demonstrate variable-buoyancy carriers unload without runway or receiver ballast.</x:v>
      </x:c>
      <x:c r="J11" s="21" t="str">
        <x:v>OPEN</x:v>
      </x:c>
      <x:c r="K11" s="48"/>
      <x:c r="L11" s="48"/>
      <x:c r="M11" s="48"/>
      <x:c r="N11" s="48"/>
      <x:c r="O11" s="48"/>
      <x:c r="P11" s="48"/>
      <x:c r="Q11" s="48"/>
      <x:c r="R11" s="48"/>
      <x:c r="S11" s="48"/>
      <x:c r="T11" s="48"/>
      <x:c r="U11" s="48"/>
      <x:c r="V11" s="48"/>
      <x:c r="W11" s="48"/>
    </x:row>
    <x:row r="12">
      <x:c r="C12" s="19" t="str">
        <x:v>TW-ET-B-2</x:v>
      </x:c>
      <x:c r="D12" s="19" t="str">
        <x:v>MS-ET|B</x:v>
      </x:c>
      <x:c r="E12" s="19" t="str">
        <x:v>MS-ET</x:v>
      </x:c>
      <x:c r="F12" s="19" t="str">
        <x:v>Complete service article</x:v>
      </x:c>
      <x:c r="G12" s="28" t="n">
        <x:v>0.3</x:v>
      </x:c>
      <x:c r="H12" s="29" t="n">
        <x:f>SUMIF('Root Configurations'!$C$7:$C$26,D12,'Root Configurations'!$W$7:$W$26)*G12</x:f>
        <x:v>3.338377353003166</x:v>
      </x:c>
      <x:c r="I12" s="19" t="str">
        <x:v>Close all 5 routes through distributed dry-ground custody pad.</x:v>
      </x:c>
      <x:c r="J12" s="21" t="str">
        <x:v>OPEN</x:v>
      </x:c>
      <x:c r="K12" s="48"/>
      <x:c r="L12" s="48"/>
      <x:c r="M12" s="48"/>
      <x:c r="N12" s="48"/>
      <x:c r="O12" s="48"/>
      <x:c r="P12" s="48"/>
      <x:c r="Q12" s="48"/>
      <x:c r="R12" s="48"/>
      <x:c r="S12" s="48"/>
      <x:c r="T12" s="48"/>
      <x:c r="U12" s="48"/>
      <x:c r="V12" s="48"/>
      <x:c r="W12" s="48"/>
    </x:row>
    <x:row r="13">
      <x:c r="C13" s="19" t="str">
        <x:v>TW-ET-B-3</x:v>
      </x:c>
      <x:c r="D13" s="19" t="str">
        <x:v>MS-ET|B</x:v>
      </x:c>
      <x:c r="E13" s="19" t="str">
        <x:v>MS-ET</x:v>
      </x:c>
      <x:c r="F13" s="19" t="str">
        <x:v>Independent proving</x:v>
      </x:c>
      <x:c r="G13" s="28" t="n">
        <x:v>0.2</x:v>
      </x:c>
      <x:c r="H13" s="29" t="n">
        <x:f>SUMIF('Root Configurations'!$C$7:$C$26,D13,'Root Configurations'!$W$7:$W$26)*G13</x:f>
        <x:v>2.2255849020021112</x:v>
      </x:c>
      <x:c r="I13" s="19" t="str">
        <x:v>Execute cold dense air with runway and ballast unavailable; preserve valid adverse evidence.</x:v>
      </x:c>
      <x:c r="J13" s="21" t="str">
        <x:v>OPEN</x:v>
      </x:c>
      <x:c r="K13" s="48"/>
      <x:c r="L13" s="48"/>
      <x:c r="M13" s="48"/>
      <x:c r="N13" s="48"/>
      <x:c r="O13" s="48"/>
      <x:c r="P13" s="48"/>
      <x:c r="Q13" s="48"/>
      <x:c r="R13" s="48"/>
      <x:c r="S13" s="48"/>
      <x:c r="T13" s="48"/>
      <x:c r="U13" s="48"/>
      <x:c r="V13" s="48"/>
      <x:c r="W13" s="48"/>
    </x:row>
    <x:row r="14">
      <x:c r="C14" s="19" t="str">
        <x:v>TW-ET-B-4</x:v>
      </x:c>
      <x:c r="D14" s="19" t="str">
        <x:v>MS-ET|B</x:v>
      </x:c>
      <x:c r="E14" s="19" t="str">
        <x:v>MS-ET</x:v>
      </x:c>
      <x:c r="F14" s="19" t="str">
        <x:v>Reproduction and regeneration</x:v>
      </x:c>
      <x:c r="G14" s="28" t="n">
        <x:v>0.15</x:v>
      </x:c>
      <x:c r="H14" s="29" t="n">
        <x:f>SUMIF('Root Configurations'!$C$7:$C$26,D14,'Root Configurations'!$W$7:$W$26)*G14</x:f>
        <x:v>1.669188676501583</x:v>
      </x:c>
      <x:c r="I14" s="19" t="str">
        <x:v>Rebuild through pod-swap flight-line arsenal; close reverse airlift and lift-medium recovery.</x:v>
      </x:c>
      <x:c r="J14" s="21" t="str">
        <x:v>OPEN</x:v>
      </x:c>
      <x:c r="K14" s="48"/>
      <x:c r="L14" s="48"/>
      <x:c r="M14" s="48"/>
      <x:c r="N14" s="48"/>
      <x:c r="O14" s="48"/>
      <x:c r="P14" s="48"/>
      <x:c r="Q14" s="48"/>
      <x:c r="R14" s="48"/>
      <x:c r="S14" s="48"/>
      <x:c r="T14" s="48"/>
      <x:c r="U14" s="48"/>
      <x:c r="V14" s="48"/>
      <x:c r="W14" s="48"/>
    </x:row>
    <x:row r="15">
      <x:c r="C15" s="19" t="str">
        <x:v>TW-ET-C-1</x:v>
      </x:c>
      <x:c r="D15" s="19" t="str">
        <x:v>MS-ET|C</x:v>
      </x:c>
      <x:c r="E15" s="19" t="str">
        <x:v>MS-ET</x:v>
      </x:c>
      <x:c r="F15" s="19" t="str">
        <x:v>Decisive physics</x:v>
      </x:c>
      <x:c r="G15" s="28" t="n">
        <x:v>0.35</x:v>
      </x:c>
      <x:c r="H15" s="29" t="n">
        <x:f>SUMIF('Root Configurations'!$C$7:$C$26,D15,'Root Configurations'!$W$7:$W$26)*G15</x:f>
        <x:v>3.894773578503694</x:v>
      </x:c>
      <x:c r="I15" s="19" t="str">
        <x:v>Demonstrate an articulated train creates its own bearing surface and crossings.</x:v>
      </x:c>
      <x:c r="J15" s="21" t="str">
        <x:v>OPEN</x:v>
      </x:c>
      <x:c r="K15" s="48"/>
      <x:c r="L15" s="48"/>
      <x:c r="M15" s="48"/>
      <x:c r="N15" s="48"/>
      <x:c r="O15" s="48"/>
      <x:c r="P15" s="48"/>
      <x:c r="Q15" s="48"/>
      <x:c r="R15" s="48"/>
      <x:c r="S15" s="48"/>
      <x:c r="T15" s="48"/>
      <x:c r="U15" s="48"/>
      <x:c r="V15" s="48"/>
      <x:c r="W15" s="48"/>
    </x:row>
    <x:row r="16">
      <x:c r="C16" s="19" t="str">
        <x:v>TW-ET-C-2</x:v>
      </x:c>
      <x:c r="D16" s="19" t="str">
        <x:v>MS-ET|C</x:v>
      </x:c>
      <x:c r="E16" s="19" t="str">
        <x:v>MS-ET</x:v>
      </x:c>
      <x:c r="F16" s="19" t="str">
        <x:v>Complete service article</x:v>
      </x:c>
      <x:c r="G16" s="28" t="n">
        <x:v>0.3</x:v>
      </x:c>
      <x:c r="H16" s="29" t="n">
        <x:f>SUMIF('Root Configurations'!$C$7:$C$26,D16,'Root Configurations'!$W$7:$W$26)*G16</x:f>
        <x:v>3.338377353003166</x:v>
      </x:c>
      <x:c r="I16" s="19" t="str">
        <x:v>Close all 5 routes through released dry corridor and node.</x:v>
      </x:c>
      <x:c r="J16" s="21" t="str">
        <x:v>OPEN</x:v>
      </x:c>
      <x:c r="K16" s="48"/>
      <x:c r="L16" s="48"/>
      <x:c r="M16" s="48"/>
      <x:c r="N16" s="48"/>
      <x:c r="O16" s="48"/>
      <x:c r="P16" s="48"/>
      <x:c r="Q16" s="48"/>
      <x:c r="R16" s="48"/>
      <x:c r="S16" s="48"/>
      <x:c r="T16" s="48"/>
      <x:c r="U16" s="48"/>
      <x:c r="V16" s="48"/>
      <x:c r="W16" s="48"/>
    </x:row>
    <x:row r="17">
      <x:c r="C17" s="19" t="str">
        <x:v>TW-ET-C-3</x:v>
      </x:c>
      <x:c r="D17" s="19" t="str">
        <x:v>MS-ET|C</x:v>
      </x:c>
      <x:c r="E17" s="19" t="str">
        <x:v>MS-ET</x:v>
      </x:c>
      <x:c r="F17" s="19" t="str">
        <x:v>Independent proving</x:v>
      </x:c>
      <x:c r="G17" s="28" t="n">
        <x:v>0.2</x:v>
      </x:c>
      <x:c r="H17" s="29" t="n">
        <x:f>SUMIF('Root Configurations'!$C$7:$C$26,D17,'Root Configurations'!$W$7:$W$26)*G17</x:f>
        <x:v>2.2255849020021112</x:v>
      </x:c>
      <x:c r="I17" s="19" t="str">
        <x:v>Execute weakest soil and primary bridge module lost; preserve valid adverse evidence.</x:v>
      </x:c>
      <x:c r="J17" s="21" t="str">
        <x:v>OPEN</x:v>
      </x:c>
      <x:c r="K17" s="48"/>
      <x:c r="L17" s="48"/>
      <x:c r="M17" s="48"/>
      <x:c r="N17" s="48"/>
      <x:c r="O17" s="48"/>
      <x:c r="P17" s="48"/>
      <x:c r="Q17" s="48"/>
      <x:c r="R17" s="48"/>
      <x:c r="S17" s="48"/>
      <x:c r="T17" s="48"/>
      <x:c r="U17" s="48"/>
      <x:c r="V17" s="48"/>
      <x:c r="W17" s="48"/>
    </x:row>
    <x:row r="18">
      <x:c r="C18" s="19" t="str">
        <x:v>TW-ET-C-4</x:v>
      </x:c>
      <x:c r="D18" s="19" t="str">
        <x:v>MS-ET|C</x:v>
      </x:c>
      <x:c r="E18" s="19" t="str">
        <x:v>MS-ET</x:v>
      </x:c>
      <x:c r="F18" s="19" t="str">
        <x:v>Reproduction and regeneration</x:v>
      </x:c>
      <x:c r="G18" s="28" t="n">
        <x:v>0.15</x:v>
      </x:c>
      <x:c r="H18" s="29" t="n">
        <x:f>SUMIF('Root Configurations'!$C$7:$C$26,D18,'Root Configurations'!$W$7:$W$26)*G18</x:f>
        <x:v>1.669188676501583</x:v>
      </x:c>
      <x:c r="I18" s="19" t="str">
        <x:v>Rebuild through field exchange with mobile depot; close route salvage, material reuse and handback.</x:v>
      </x:c>
      <x:c r="J18" s="21" t="str">
        <x:v>OPEN</x:v>
      </x:c>
      <x:c r="K18" s="48"/>
      <x:c r="L18" s="48"/>
      <x:c r="M18" s="48"/>
      <x:c r="N18" s="48"/>
      <x:c r="O18" s="48"/>
      <x:c r="P18" s="48"/>
      <x:c r="Q18" s="48"/>
      <x:c r="R18" s="48"/>
      <x:c r="S18" s="48"/>
      <x:c r="T18" s="48"/>
      <x:c r="U18" s="48"/>
      <x:c r="V18" s="48"/>
      <x:c r="W18" s="48"/>
    </x:row>
    <x:row r="19">
      <x:c r="C19" s="19" t="str">
        <x:v>TW-ET-D-1</x:v>
      </x:c>
      <x:c r="D19" s="19" t="str">
        <x:v>MS-ET|D</x:v>
      </x:c>
      <x:c r="E19" s="19" t="str">
        <x:v>MS-ET</x:v>
      </x:c>
      <x:c r="F19" s="19" t="str">
        <x:v>Decisive physics</x:v>
      </x:c>
      <x:c r="G19" s="28" t="n">
        <x:v>0.35</x:v>
      </x:c>
      <x:c r="H19" s="29" t="n">
        <x:f>SUMIF('Root Configurations'!$C$7:$C$26,D19,'Root Configurations'!$W$7:$W$26)*G19</x:f>
        <x:v>3.894773578503694</x:v>
      </x:c>
      <x:c r="I19" s="19" t="str">
        <x:v>Demonstrate a self-routing amphibious mesh sustains mass flow despite node loss.</x:v>
      </x:c>
      <x:c r="J19" s="21" t="str">
        <x:v>OPEN</x:v>
      </x:c>
      <x:c r="K19" s="48"/>
      <x:c r="L19" s="48"/>
      <x:c r="M19" s="48"/>
      <x:c r="N19" s="48"/>
      <x:c r="O19" s="48"/>
      <x:c r="P19" s="48"/>
      <x:c r="Q19" s="48"/>
      <x:c r="R19" s="48"/>
      <x:c r="S19" s="48"/>
      <x:c r="T19" s="48"/>
      <x:c r="U19" s="48"/>
      <x:c r="V19" s="48"/>
      <x:c r="W19" s="48"/>
    </x:row>
    <x:row r="20">
      <x:c r="C20" s="19" t="str">
        <x:v>TW-ET-D-2</x:v>
      </x:c>
      <x:c r="D20" s="19" t="str">
        <x:v>MS-ET|D</x:v>
      </x:c>
      <x:c r="E20" s="19" t="str">
        <x:v>MS-ET</x:v>
      </x:c>
      <x:c r="F20" s="19" t="str">
        <x:v>Complete service article</x:v>
      </x:c>
      <x:c r="G20" s="28" t="n">
        <x:v>0.3</x:v>
      </x:c>
      <x:c r="H20" s="29" t="n">
        <x:f>SUMIF('Root Configurations'!$C$7:$C$26,D20,'Root Configurations'!$W$7:$W$26)*G20</x:f>
        <x:v>3.338377353003166</x:v>
      </x:c>
      <x:c r="I20" s="19" t="str">
        <x:v>Close all 5 routes through many staffed civic micro-receivers.</x:v>
      </x:c>
      <x:c r="J20" s="21" t="str">
        <x:v>OPEN</x:v>
      </x:c>
      <x:c r="K20" s="48"/>
      <x:c r="L20" s="48"/>
      <x:c r="M20" s="48"/>
      <x:c r="N20" s="48"/>
      <x:c r="O20" s="48"/>
      <x:c r="P20" s="48"/>
      <x:c r="Q20" s="48"/>
      <x:c r="R20" s="48"/>
      <x:c r="S20" s="48"/>
      <x:c r="T20" s="48"/>
      <x:c r="U20" s="48"/>
      <x:c r="V20" s="48"/>
      <x:c r="W20" s="48"/>
    </x:row>
    <x:row r="21">
      <x:c r="C21" s="19" t="str">
        <x:v>TW-ET-D-3</x:v>
      </x:c>
      <x:c r="D21" s="19" t="str">
        <x:v>MS-ET|D</x:v>
      </x:c>
      <x:c r="E21" s="19" t="str">
        <x:v>MS-ET</x:v>
      </x:c>
      <x:c r="F21" s="19" t="str">
        <x:v>Independent proving</x:v>
      </x:c>
      <x:c r="G21" s="28" t="n">
        <x:v>0.2</x:v>
      </x:c>
      <x:c r="H21" s="29" t="n">
        <x:f>SUMIF('Root Configurations'!$C$7:$C$26,D21,'Root Configurations'!$W$7:$W$26)*G21</x:f>
        <x:v>2.2255849020021112</x:v>
      </x:c>
      <x:c r="I21" s="19" t="str">
        <x:v>Execute network partition with one-third node loss; preserve valid adverse evidence.</x:v>
      </x:c>
      <x:c r="J21" s="21" t="str">
        <x:v>OPEN</x:v>
      </x:c>
      <x:c r="K21" s="48"/>
      <x:c r="L21" s="48"/>
      <x:c r="M21" s="48"/>
      <x:c r="N21" s="48"/>
      <x:c r="O21" s="48"/>
      <x:c r="P21" s="48"/>
      <x:c r="Q21" s="48"/>
      <x:c r="R21" s="48"/>
      <x:c r="S21" s="48"/>
      <x:c r="T21" s="48"/>
      <x:c r="U21" s="48"/>
      <x:c r="V21" s="48"/>
      <x:c r="W21" s="48"/>
    </x:row>
    <x:row r="22">
      <x:c r="C22" s="19" t="str">
        <x:v>TW-ET-D-4</x:v>
      </x:c>
      <x:c r="D22" s="19" t="str">
        <x:v>MS-ET|D</x:v>
      </x:c>
      <x:c r="E22" s="19" t="str">
        <x:v>MS-ET</x:v>
      </x:c>
      <x:c r="F22" s="19" t="str">
        <x:v>Reproduction and regeneration</x:v>
      </x:c>
      <x:c r="G22" s="28" t="n">
        <x:v>0.15</x:v>
      </x:c>
      <x:c r="H22" s="29" t="n">
        <x:f>SUMIF('Root Configurations'!$C$7:$C$26,D22,'Root Configurations'!$W$7:$W$26)*G22</x:f>
        <x:v>1.669188676501583</x:v>
      </x:c>
      <x:c r="I22" s="19" t="str">
        <x:v>Rebuild through swarm cannibalization and local remanufacture; close capsule return and vehicle self-recovery.</x:v>
      </x:c>
      <x:c r="J22" s="21" t="str">
        <x:v>OPEN</x:v>
      </x:c>
      <x:c r="K22" s="48"/>
      <x:c r="L22" s="48"/>
      <x:c r="M22" s="48"/>
      <x:c r="N22" s="48"/>
      <x:c r="O22" s="48"/>
      <x:c r="P22" s="48"/>
      <x:c r="Q22" s="48"/>
      <x:c r="R22" s="48"/>
      <x:c r="S22" s="48"/>
      <x:c r="T22" s="48"/>
      <x:c r="U22" s="48"/>
      <x:c r="V22" s="48"/>
      <x:c r="W22" s="48"/>
    </x:row>
    <x:row r="23">
      <x:c r="C23" s="19" t="str">
        <x:v>TW-CT-A-1</x:v>
      </x:c>
      <x:c r="D23" s="19" t="str">
        <x:v>MS-CT|A</x:v>
      </x:c>
      <x:c r="E23" s="19" t="str">
        <x:v>MS-CT</x:v>
      </x:c>
      <x:c r="F23" s="19" t="str">
        <x:v>Decisive physics</x:v>
      </x:c>
      <x:c r="G23" s="28" t="n">
        <x:v>0.35</x:v>
      </x:c>
      <x:c r="H23" s="29" t="n">
        <x:f>SUMIF('Root Configurations'!$C$7:$C$26,D23,'Root Configurations'!$W$7:$W$26)*G23</x:f>
        <x:v>4.019434939562935</x:v>
      </x:c>
      <x:c r="I23" s="19" t="str">
        <x:v>Demonstrate disconnected civic nodes transact accountable service for a whole district.</x:v>
      </x:c>
      <x:c r="J23" s="21" t="str">
        <x:v>OPEN</x:v>
      </x:c>
      <x:c r="K23" s="48"/>
      <x:c r="L23" s="48"/>
      <x:c r="M23" s="48"/>
      <x:c r="N23" s="48"/>
      <x:c r="O23" s="48"/>
      <x:c r="P23" s="48"/>
      <x:c r="Q23" s="48"/>
      <x:c r="R23" s="48"/>
      <x:c r="S23" s="48"/>
      <x:c r="T23" s="48"/>
      <x:c r="U23" s="48"/>
      <x:c r="V23" s="48"/>
      <x:c r="W23" s="48"/>
    </x:row>
    <x:row r="24">
      <x:c r="C24" s="19" t="str">
        <x:v>TW-CT-A-2</x:v>
      </x:c>
      <x:c r="D24" s="19" t="str">
        <x:v>MS-CT|A</x:v>
      </x:c>
      <x:c r="E24" s="19" t="str">
        <x:v>MS-CT</x:v>
      </x:c>
      <x:c r="F24" s="19" t="str">
        <x:v>Complete service article</x:v>
      </x:c>
      <x:c r="G24" s="28" t="n">
        <x:v>0.3</x:v>
      </x:c>
      <x:c r="H24" s="29" t="n">
        <x:f>SUMIF('Root Configurations'!$C$7:$C$26,D24,'Root Configurations'!$W$7:$W$26)*G24</x:f>
        <x:v>3.445229948196802</x:v>
      </x:c>
      <x:c r="I24" s="19" t="str">
        <x:v>Close all 5 routes through accessible staffed public transaction.</x:v>
      </x:c>
      <x:c r="J24" s="21" t="str">
        <x:v>OPEN</x:v>
      </x:c>
      <x:c r="K24" s="48"/>
      <x:c r="L24" s="48"/>
      <x:c r="M24" s="48"/>
      <x:c r="N24" s="48"/>
      <x:c r="O24" s="48"/>
      <x:c r="P24" s="48"/>
      <x:c r="Q24" s="48"/>
      <x:c r="R24" s="48"/>
      <x:c r="S24" s="48"/>
      <x:c r="T24" s="48"/>
      <x:c r="U24" s="48"/>
      <x:c r="V24" s="48"/>
      <x:c r="W24" s="48"/>
    </x:row>
    <x:row r="25">
      <x:c r="C25" s="19" t="str">
        <x:v>TW-CT-A-3</x:v>
      </x:c>
      <x:c r="D25" s="19" t="str">
        <x:v>MS-CT|A</x:v>
      </x:c>
      <x:c r="E25" s="19" t="str">
        <x:v>MS-CT</x:v>
      </x:c>
      <x:c r="F25" s="19" t="str">
        <x:v>Independent proving</x:v>
      </x:c>
      <x:c r="G25" s="28" t="n">
        <x:v>0.2</x:v>
      </x:c>
      <x:c r="H25" s="29" t="n">
        <x:f>SUMIF('Root Configurations'!$C$7:$C$26,D25,'Root Configurations'!$W$7:$W$26)*G25</x:f>
        <x:v>2.2968199654645347</x:v>
      </x:c>
      <x:c r="I25" s="19" t="str">
        <x:v>Execute cloud, backhaul and one senior authority node lost; preserve valid adverse evidence.</x:v>
      </x:c>
      <x:c r="J25" s="21" t="str">
        <x:v>OPEN</x:v>
      </x:c>
      <x:c r="K25" s="48"/>
      <x:c r="L25" s="48"/>
      <x:c r="M25" s="48"/>
      <x:c r="N25" s="48"/>
      <x:c r="O25" s="48"/>
      <x:c r="P25" s="48"/>
      <x:c r="Q25" s="48"/>
      <x:c r="R25" s="48"/>
      <x:c r="S25" s="48"/>
      <x:c r="T25" s="48"/>
      <x:c r="U25" s="48"/>
      <x:c r="V25" s="48"/>
      <x:c r="W25" s="48"/>
    </x:row>
    <x:row r="26">
      <x:c r="C26" s="19" t="str">
        <x:v>TW-CT-A-4</x:v>
      </x:c>
      <x:c r="D26" s="19" t="str">
        <x:v>MS-CT|A</x:v>
      </x:c>
      <x:c r="E26" s="19" t="str">
        <x:v>MS-CT</x:v>
      </x:c>
      <x:c r="F26" s="19" t="str">
        <x:v>Reproduction and regeneration</x:v>
      </x:c>
      <x:c r="G26" s="28" t="n">
        <x:v>0.15</x:v>
      </x:c>
      <x:c r="H26" s="29" t="n">
        <x:f>SUMIF('Root Configurations'!$C$7:$C$26,D26,'Root Configurations'!$W$7:$W$26)*G26</x:f>
        <x:v>1.722614974098401</x:v>
      </x:c>
      <x:c r="I26" s="19" t="str">
        <x:v>Rebuild through exchangeable node cores; close case closure and node transfer or removal.</x:v>
      </x:c>
      <x:c r="J26" s="21" t="str">
        <x:v>OPEN</x:v>
      </x:c>
      <x:c r="K26" s="48"/>
      <x:c r="L26" s="48"/>
      <x:c r="M26" s="48"/>
      <x:c r="N26" s="48"/>
      <x:c r="O26" s="48"/>
      <x:c r="P26" s="48"/>
      <x:c r="Q26" s="48"/>
      <x:c r="R26" s="48"/>
      <x:c r="S26" s="48"/>
      <x:c r="T26" s="48"/>
      <x:c r="U26" s="48"/>
      <x:c r="V26" s="48"/>
      <x:c r="W26" s="48"/>
    </x:row>
    <x:row r="27">
      <x:c r="C27" s="19" t="str">
        <x:v>TW-CT-B-1</x:v>
      </x:c>
      <x:c r="D27" s="19" t="str">
        <x:v>MS-CT|B</x:v>
      </x:c>
      <x:c r="E27" s="19" t="str">
        <x:v>MS-CT</x:v>
      </x:c>
      <x:c r="F27" s="19" t="str">
        <x:v>Decisive physics</x:v>
      </x:c>
      <x:c r="G27" s="28" t="n">
        <x:v>0.35</x:v>
      </x:c>
      <x:c r="H27" s="29" t="n">
        <x:f>SUMIF('Root Configurations'!$C$7:$C$26,D27,'Root Configurations'!$W$7:$W$26)*G27</x:f>
        <x:v>4.019434939562935</x:v>
      </x:c>
      <x:c r="I27" s="19" t="str">
        <x:v>Demonstrate inhabited high-rise service continues without stairs or elevators.</x:v>
      </x:c>
      <x:c r="J27" s="21" t="str">
        <x:v>OPEN</x:v>
      </x:c>
      <x:c r="K27" s="48"/>
      <x:c r="L27" s="48"/>
      <x:c r="M27" s="48"/>
      <x:c r="N27" s="48"/>
      <x:c r="O27" s="48"/>
      <x:c r="P27" s="48"/>
      <x:c r="Q27" s="48"/>
      <x:c r="R27" s="48"/>
      <x:c r="S27" s="48"/>
      <x:c r="T27" s="48"/>
      <x:c r="U27" s="48"/>
      <x:c r="V27" s="48"/>
      <x:c r="W27" s="48"/>
    </x:row>
    <x:row r="28">
      <x:c r="C28" s="19" t="str">
        <x:v>TW-CT-B-2</x:v>
      </x:c>
      <x:c r="D28" s="19" t="str">
        <x:v>MS-CT|B</x:v>
      </x:c>
      <x:c r="E28" s="19" t="str">
        <x:v>MS-CT</x:v>
      </x:c>
      <x:c r="F28" s="19" t="str">
        <x:v>Complete service article</x:v>
      </x:c>
      <x:c r="G28" s="28" t="n">
        <x:v>0.3</x:v>
      </x:c>
      <x:c r="H28" s="29" t="n">
        <x:f>SUMIF('Root Configurations'!$C$7:$C$26,D28,'Root Configurations'!$W$7:$W$26)*G28</x:f>
        <x:v>3.445229948196802</x:v>
      </x:c>
      <x:c r="I28" s="19" t="str">
        <x:v>Close all 5 routes through verified doorstep or window handoff.</x:v>
      </x:c>
      <x:c r="J28" s="21" t="str">
        <x:v>OPEN</x:v>
      </x:c>
      <x:c r="K28" s="48"/>
      <x:c r="L28" s="48"/>
      <x:c r="M28" s="48"/>
      <x:c r="N28" s="48"/>
      <x:c r="O28" s="48"/>
      <x:c r="P28" s="48"/>
      <x:c r="Q28" s="48"/>
      <x:c r="R28" s="48"/>
      <x:c r="S28" s="48"/>
      <x:c r="T28" s="48"/>
      <x:c r="U28" s="48"/>
      <x:c r="V28" s="48"/>
      <x:c r="W28" s="48"/>
    </x:row>
    <x:row r="29">
      <x:c r="C29" s="19" t="str">
        <x:v>TW-CT-B-3</x:v>
      </x:c>
      <x:c r="D29" s="19" t="str">
        <x:v>MS-CT|B</x:v>
      </x:c>
      <x:c r="E29" s="19" t="str">
        <x:v>MS-CT</x:v>
      </x:c>
      <x:c r="F29" s="19" t="str">
        <x:v>Independent proving</x:v>
      </x:c>
      <x:c r="G29" s="28" t="n">
        <x:v>0.2</x:v>
      </x:c>
      <x:c r="H29" s="29" t="n">
        <x:f>SUMIF('Root Configurations'!$C$7:$C$26,D29,'Root Configurations'!$W$7:$W$26)*G29</x:f>
        <x:v>2.2968199654645347</x:v>
      </x:c>
      <x:c r="I29" s="19" t="str">
        <x:v>Execute smoke, wind and normal vertical circulation lost; preserve valid adverse evidence.</x:v>
      </x:c>
      <x:c r="J29" s="21" t="str">
        <x:v>OPEN</x:v>
      </x:c>
      <x:c r="K29" s="48"/>
      <x:c r="L29" s="48"/>
      <x:c r="M29" s="48"/>
      <x:c r="N29" s="48"/>
      <x:c r="O29" s="48"/>
      <x:c r="P29" s="48"/>
      <x:c r="Q29" s="48"/>
      <x:c r="R29" s="48"/>
      <x:c r="S29" s="48"/>
      <x:c r="T29" s="48"/>
      <x:c r="U29" s="48"/>
      <x:c r="V29" s="48"/>
      <x:c r="W29" s="48"/>
    </x:row>
    <x:row r="30">
      <x:c r="C30" s="19" t="str">
        <x:v>TW-CT-B-4</x:v>
      </x:c>
      <x:c r="D30" s="19" t="str">
        <x:v>MS-CT|B</x:v>
      </x:c>
      <x:c r="E30" s="19" t="str">
        <x:v>MS-CT</x:v>
      </x:c>
      <x:c r="F30" s="19" t="str">
        <x:v>Reproduction and regeneration</x:v>
      </x:c>
      <x:c r="G30" s="28" t="n">
        <x:v>0.15</x:v>
      </x:c>
      <x:c r="H30" s="29" t="n">
        <x:f>SUMIF('Root Configurations'!$C$7:$C$26,D30,'Root Configurations'!$W$7:$W$26)*G30</x:f>
        <x:v>1.722614974098401</x:v>
      </x:c>
      <x:c r="I30" s="19" t="str">
        <x:v>Rebuild through pod exchange and tether recovery; close reverse lift and decontamination.</x:v>
      </x:c>
      <x:c r="J30" s="21" t="str">
        <x:v>OPEN</x:v>
      </x:c>
      <x:c r="K30" s="48"/>
      <x:c r="L30" s="48"/>
      <x:c r="M30" s="48"/>
      <x:c r="N30" s="48"/>
      <x:c r="O30" s="48"/>
      <x:c r="P30" s="48"/>
      <x:c r="Q30" s="48"/>
      <x:c r="R30" s="48"/>
      <x:c r="S30" s="48"/>
      <x:c r="T30" s="48"/>
      <x:c r="U30" s="48"/>
      <x:c r="V30" s="48"/>
      <x:c r="W30" s="48"/>
    </x:row>
    <x:row r="31">
      <x:c r="C31" s="19" t="str">
        <x:v>TW-CT-C-1</x:v>
      </x:c>
      <x:c r="D31" s="19" t="str">
        <x:v>MS-CT|C</x:v>
      </x:c>
      <x:c r="E31" s="19" t="str">
        <x:v>MS-CT</x:v>
      </x:c>
      <x:c r="F31" s="19" t="str">
        <x:v>Decisive physics</x:v>
      </x:c>
      <x:c r="G31" s="28" t="n">
        <x:v>0.35</x:v>
      </x:c>
      <x:c r="H31" s="29" t="n">
        <x:f>SUMIF('Root Configurations'!$C$7:$C$26,D31,'Root Configurations'!$W$7:$W$26)*G31</x:f>
        <x:v>4.019434939562935</x:v>
      </x:c>
      <x:c r="I31" s="19" t="str">
        <x:v>Demonstrate a robotic spine inserts complete utilities into an occupied damaged building.</x:v>
      </x:c>
      <x:c r="J31" s="21" t="str">
        <x:v>OPEN</x:v>
      </x:c>
      <x:c r="K31" s="48"/>
      <x:c r="L31" s="48"/>
      <x:c r="M31" s="48"/>
      <x:c r="N31" s="48"/>
      <x:c r="O31" s="48"/>
      <x:c r="P31" s="48"/>
      <x:c r="Q31" s="48"/>
      <x:c r="R31" s="48"/>
      <x:c r="S31" s="48"/>
      <x:c r="T31" s="48"/>
      <x:c r="U31" s="48"/>
      <x:c r="V31" s="48"/>
      <x:c r="W31" s="48"/>
    </x:row>
    <x:row r="32">
      <x:c r="C32" s="19" t="str">
        <x:v>TW-CT-C-2</x:v>
      </x:c>
      <x:c r="D32" s="19" t="str">
        <x:v>MS-CT|C</x:v>
      </x:c>
      <x:c r="E32" s="19" t="str">
        <x:v>MS-CT</x:v>
      </x:c>
      <x:c r="F32" s="19" t="str">
        <x:v>Complete service article</x:v>
      </x:c>
      <x:c r="G32" s="28" t="n">
        <x:v>0.3</x:v>
      </x:c>
      <x:c r="H32" s="29" t="n">
        <x:f>SUMIF('Root Configurations'!$C$7:$C$26,D32,'Root Configurations'!$W$7:$W$26)*G32</x:f>
        <x:v>3.445229948196802</x:v>
      </x:c>
      <x:c r="I32" s="19" t="str">
        <x:v>Close all 5 routes through occupied-room and clinic branch point.</x:v>
      </x:c>
      <x:c r="J32" s="21" t="str">
        <x:v>OPEN</x:v>
      </x:c>
      <x:c r="K32" s="48"/>
      <x:c r="L32" s="48"/>
      <x:c r="M32" s="48"/>
      <x:c r="N32" s="48"/>
      <x:c r="O32" s="48"/>
      <x:c r="P32" s="48"/>
      <x:c r="Q32" s="48"/>
      <x:c r="R32" s="48"/>
      <x:c r="S32" s="48"/>
      <x:c r="T32" s="48"/>
      <x:c r="U32" s="48"/>
      <x:c r="V32" s="48"/>
      <x:c r="W32" s="48"/>
    </x:row>
    <x:row r="33">
      <x:c r="C33" s="19" t="str">
        <x:v>TW-CT-C-3</x:v>
      </x:c>
      <x:c r="D33" s="19" t="str">
        <x:v>MS-CT|C</x:v>
      </x:c>
      <x:c r="E33" s="19" t="str">
        <x:v>MS-CT</x:v>
      </x:c>
      <x:c r="F33" s="19" t="str">
        <x:v>Independent proving</x:v>
      </x:c>
      <x:c r="G33" s="28" t="n">
        <x:v>0.2</x:v>
      </x:c>
      <x:c r="H33" s="29" t="n">
        <x:f>SUMIF('Root Configurations'!$C$7:$C$26,D33,'Root Configurations'!$W$7:$W$26)*G33</x:f>
        <x:v>2.2968199654645347</x:v>
      </x:c>
      <x:c r="I33" s="19" t="str">
        <x:v>Execute shaft conflict, utility loss and aftershock; preserve valid adverse evidence.</x:v>
      </x:c>
      <x:c r="J33" s="21" t="str">
        <x:v>OPEN</x:v>
      </x:c>
      <x:c r="K33" s="48"/>
      <x:c r="L33" s="48"/>
      <x:c r="M33" s="48"/>
      <x:c r="N33" s="48"/>
      <x:c r="O33" s="48"/>
      <x:c r="P33" s="48"/>
      <x:c r="Q33" s="48"/>
      <x:c r="R33" s="48"/>
      <x:c r="S33" s="48"/>
      <x:c r="T33" s="48"/>
      <x:c r="U33" s="48"/>
      <x:c r="V33" s="48"/>
      <x:c r="W33" s="48"/>
    </x:row>
    <x:row r="34">
      <x:c r="C34" s="19" t="str">
        <x:v>TW-CT-C-4</x:v>
      </x:c>
      <x:c r="D34" s="19" t="str">
        <x:v>MS-CT|C</x:v>
      </x:c>
      <x:c r="E34" s="19" t="str">
        <x:v>MS-CT</x:v>
      </x:c>
      <x:c r="F34" s="19" t="str">
        <x:v>Reproduction and regeneration</x:v>
      </x:c>
      <x:c r="G34" s="28" t="n">
        <x:v>0.15</x:v>
      </x:c>
      <x:c r="H34" s="29" t="n">
        <x:f>SUMIF('Root Configurations'!$C$7:$C$26,D34,'Root Configurations'!$W$7:$W$26)*G34</x:f>
        <x:v>1.722614974098401</x:v>
      </x:c>
      <x:c r="I34" s="19" t="str">
        <x:v>Rebuild through bypass rings and hot-swappable branches; close wastewater and cut-material custody.</x:v>
      </x:c>
      <x:c r="J34" s="21" t="str">
        <x:v>OPEN</x:v>
      </x:c>
      <x:c r="K34" s="48"/>
      <x:c r="L34" s="48"/>
      <x:c r="M34" s="48"/>
      <x:c r="N34" s="48"/>
      <x:c r="O34" s="48"/>
      <x:c r="P34" s="48"/>
      <x:c r="Q34" s="48"/>
      <x:c r="R34" s="48"/>
      <x:c r="S34" s="48"/>
      <x:c r="T34" s="48"/>
      <x:c r="U34" s="48"/>
      <x:c r="V34" s="48"/>
      <x:c r="W34" s="48"/>
    </x:row>
    <x:row r="35">
      <x:c r="C35" s="19" t="str">
        <x:v>TW-CT-D-1</x:v>
      </x:c>
      <x:c r="D35" s="19" t="str">
        <x:v>MS-CT|D</x:v>
      </x:c>
      <x:c r="E35" s="19" t="str">
        <x:v>MS-CT</x:v>
      </x:c>
      <x:c r="F35" s="19" t="str">
        <x:v>Decisive physics</x:v>
      </x:c>
      <x:c r="G35" s="28" t="n">
        <x:v>0.35</x:v>
      </x:c>
      <x:c r="H35" s="29" t="n">
        <x:f>SUMIF('Root Configurations'!$C$7:$C$26,D35,'Root Configurations'!$W$7:$W$26)*G35</x:f>
        <x:v>4.019434939562935</x:v>
      </x:c>
      <x:c r="I35" s="19" t="str">
        <x:v>Demonstrate a heterogeneous swarm performs last-building work under communications loss.</x:v>
      </x:c>
      <x:c r="J35" s="21" t="str">
        <x:v>OPEN</x:v>
      </x:c>
      <x:c r="K35" s="48"/>
      <x:c r="L35" s="48"/>
      <x:c r="M35" s="48"/>
      <x:c r="N35" s="48"/>
      <x:c r="O35" s="48"/>
      <x:c r="P35" s="48"/>
      <x:c r="Q35" s="48"/>
      <x:c r="R35" s="48"/>
      <x:c r="S35" s="48"/>
      <x:c r="T35" s="48"/>
      <x:c r="U35" s="48"/>
      <x:c r="V35" s="48"/>
      <x:c r="W35" s="48"/>
    </x:row>
    <x:row r="36">
      <x:c r="C36" s="19" t="str">
        <x:v>TW-CT-D-2</x:v>
      </x:c>
      <x:c r="D36" s="19" t="str">
        <x:v>MS-CT|D</x:v>
      </x:c>
      <x:c r="E36" s="19" t="str">
        <x:v>MS-CT</x:v>
      </x:c>
      <x:c r="F36" s="19" t="str">
        <x:v>Complete service article</x:v>
      </x:c>
      <x:c r="G36" s="28" t="n">
        <x:v>0.3</x:v>
      </x:c>
      <x:c r="H36" s="29" t="n">
        <x:f>SUMIF('Root Configurations'!$C$7:$C$26,D36,'Root Configurations'!$W$7:$W$26)*G36</x:f>
        <x:v>3.445229948196802</x:v>
      </x:c>
      <x:c r="I36" s="19" t="str">
        <x:v>Close all 5 routes through person-confirmed delivery and case receipt.</x:v>
      </x:c>
      <x:c r="J36" s="21" t="str">
        <x:v>OPEN</x:v>
      </x:c>
      <x:c r="K36" s="48"/>
      <x:c r="L36" s="48"/>
      <x:c r="M36" s="48"/>
      <x:c r="N36" s="48"/>
      <x:c r="O36" s="48"/>
      <x:c r="P36" s="48"/>
      <x:c r="Q36" s="48"/>
      <x:c r="R36" s="48"/>
      <x:c r="S36" s="48"/>
      <x:c r="T36" s="48"/>
      <x:c r="U36" s="48"/>
      <x:c r="V36" s="48"/>
      <x:c r="W36" s="48"/>
    </x:row>
    <x:row r="37">
      <x:c r="C37" s="19" t="str">
        <x:v>TW-CT-D-3</x:v>
      </x:c>
      <x:c r="D37" s="19" t="str">
        <x:v>MS-CT|D</x:v>
      </x:c>
      <x:c r="E37" s="19" t="str">
        <x:v>MS-CT</x:v>
      </x:c>
      <x:c r="F37" s="19" t="str">
        <x:v>Independent proving</x:v>
      </x:c>
      <x:c r="G37" s="28" t="n">
        <x:v>0.2</x:v>
      </x:c>
      <x:c r="H37" s="29" t="n">
        <x:f>SUMIF('Root Configurations'!$C$7:$C$26,D37,'Root Configurations'!$W$7:$W$26)*G37</x:f>
        <x:v>2.2968199654645347</x:v>
      </x:c>
      <x:c r="I37" s="19" t="str">
        <x:v>Execute network partition and 30 percent machine attrition; preserve valid adverse evidence.</x:v>
      </x:c>
      <x:c r="J37" s="21" t="str">
        <x:v>OPEN</x:v>
      </x:c>
      <x:c r="K37" s="48"/>
      <x:c r="L37" s="48"/>
      <x:c r="M37" s="48"/>
      <x:c r="N37" s="48"/>
      <x:c r="O37" s="48"/>
      <x:c r="P37" s="48"/>
      <x:c r="Q37" s="48"/>
      <x:c r="R37" s="48"/>
      <x:c r="S37" s="48"/>
      <x:c r="T37" s="48"/>
      <x:c r="U37" s="48"/>
      <x:c r="V37" s="48"/>
      <x:c r="W37" s="48"/>
    </x:row>
    <x:row r="38">
      <x:c r="C38" s="19" t="str">
        <x:v>TW-CT-D-4</x:v>
      </x:c>
      <x:c r="D38" s="19" t="str">
        <x:v>MS-CT|D</x:v>
      </x:c>
      <x:c r="E38" s="19" t="str">
        <x:v>MS-CT</x:v>
      </x:c>
      <x:c r="F38" s="19" t="str">
        <x:v>Reproduction and regeneration</x:v>
      </x:c>
      <x:c r="G38" s="28" t="n">
        <x:v>0.15</x:v>
      </x:c>
      <x:c r="H38" s="29" t="n">
        <x:f>SUMIF('Root Configurations'!$C$7:$C$26,D38,'Root Configurations'!$W$7:$W$26)*G38</x:f>
        <x:v>1.722614974098401</x:v>
      </x:c>
      <x:c r="I38" s="19" t="str">
        <x:v>Rebuild through field cannibalization and local printing; close machine return and waste pickup.</x:v>
      </x:c>
      <x:c r="J38" s="21" t="str">
        <x:v>OPEN</x:v>
      </x:c>
      <x:c r="K38" s="48"/>
      <x:c r="L38" s="48"/>
      <x:c r="M38" s="48"/>
      <x:c r="N38" s="48"/>
      <x:c r="O38" s="48"/>
      <x:c r="P38" s="48"/>
      <x:c r="Q38" s="48"/>
      <x:c r="R38" s="48"/>
      <x:c r="S38" s="48"/>
      <x:c r="T38" s="48"/>
      <x:c r="U38" s="48"/>
      <x:c r="V38" s="48"/>
      <x:c r="W38" s="48"/>
    </x:row>
    <x:row r="39">
      <x:c r="C39" s="19" t="str">
        <x:v>TW-HC-A-1</x:v>
      </x:c>
      <x:c r="D39" s="19" t="str">
        <x:v>MS-HC|A</x:v>
      </x:c>
      <x:c r="E39" s="19" t="str">
        <x:v>MS-HC</x:v>
      </x:c>
      <x:c r="F39" s="19" t="str">
        <x:v>Decisive physics</x:v>
      </x:c>
      <x:c r="G39" s="28" t="n">
        <x:v>0.35</x:v>
      </x:c>
      <x:c r="H39" s="29" t="n">
        <x:f>SUMIF('Root Configurations'!$C$7:$C$26,D39,'Root Configurations'!$W$7:$W$26)*G39</x:f>
        <x:v>2.3908480825478824</x:v>
      </x:c>
      <x:c r="I39" s="19" t="str">
        <x:v>Demonstrate night and weather-capable placement reduces hazard growth faster than it expands.</x:v>
      </x:c>
      <x:c r="J39" s="21" t="str">
        <x:v>OPEN</x:v>
      </x:c>
      <x:c r="K39" s="48"/>
      <x:c r="L39" s="48"/>
      <x:c r="M39" s="48"/>
      <x:c r="N39" s="48"/>
      <x:c r="O39" s="48"/>
      <x:c r="P39" s="48"/>
      <x:c r="Q39" s="48"/>
      <x:c r="R39" s="48"/>
      <x:c r="S39" s="48"/>
      <x:c r="T39" s="48"/>
      <x:c r="U39" s="48"/>
      <x:c r="V39" s="48"/>
      <x:c r="W39" s="48"/>
    </x:row>
    <x:row r="40">
      <x:c r="C40" s="19" t="str">
        <x:v>TW-HC-A-2</x:v>
      </x:c>
      <x:c r="D40" s="19" t="str">
        <x:v>MS-HC|A</x:v>
      </x:c>
      <x:c r="E40" s="19" t="str">
        <x:v>MS-HC</x:v>
      </x:c>
      <x:c r="F40" s="19" t="str">
        <x:v>Complete service article</x:v>
      </x:c>
      <x:c r="G40" s="28" t="n">
        <x:v>0.3</x:v>
      </x:c>
      <x:c r="H40" s="29" t="n">
        <x:f>SUMIF('Root Configurations'!$C$7:$C$26,D40,'Root Configurations'!$W$7:$W$26)*G40</x:f>
        <x:v>2.0492983564696137</x:v>
      </x:c>
      <x:c r="I40" s="19" t="str">
        <x:v>Close all 3 routes through protected-envelope release.</x:v>
      </x:c>
      <x:c r="J40" s="21" t="str">
        <x:v>OPEN</x:v>
      </x:c>
      <x:c r="K40" s="48"/>
      <x:c r="L40" s="48"/>
      <x:c r="M40" s="48"/>
      <x:c r="N40" s="48"/>
      <x:c r="O40" s="48"/>
      <x:c r="P40" s="48"/>
      <x:c r="Q40" s="48"/>
      <x:c r="R40" s="48"/>
      <x:c r="S40" s="48"/>
      <x:c r="T40" s="48"/>
      <x:c r="U40" s="48"/>
      <x:c r="V40" s="48"/>
      <x:c r="W40" s="48"/>
    </x:row>
    <x:row r="41">
      <x:c r="C41" s="19" t="str">
        <x:v>TW-HC-A-3</x:v>
      </x:c>
      <x:c r="D41" s="19" t="str">
        <x:v>MS-HC|A</x:v>
      </x:c>
      <x:c r="E41" s="19" t="str">
        <x:v>MS-HC</x:v>
      </x:c>
      <x:c r="F41" s="19" t="str">
        <x:v>Independent proving</x:v>
      </x:c>
      <x:c r="G41" s="28" t="n">
        <x:v>0.2</x:v>
      </x:c>
      <x:c r="H41" s="29" t="n">
        <x:f>SUMIF('Root Configurations'!$C$7:$C$26,D41,'Root Configurations'!$W$7:$W$26)*G41</x:f>
        <x:v>1.3661989043130758</x:v>
      </x:c>
      <x:c r="I41" s="19" t="str">
        <x:v>Execute primary airbase, one control cell and clear-air sensing lost; preserve valid adverse evidence.</x:v>
      </x:c>
      <x:c r="J41" s="21" t="str">
        <x:v>OPEN</x:v>
      </x:c>
      <x:c r="K41" s="48"/>
      <x:c r="L41" s="48"/>
      <x:c r="M41" s="48"/>
      <x:c r="N41" s="48"/>
      <x:c r="O41" s="48"/>
      <x:c r="P41" s="48"/>
      <x:c r="Q41" s="48"/>
      <x:c r="R41" s="48"/>
      <x:c r="S41" s="48"/>
      <x:c r="T41" s="48"/>
      <x:c r="U41" s="48"/>
      <x:c r="V41" s="48"/>
      <x:c r="W41" s="48"/>
    </x:row>
    <x:row r="42">
      <x:c r="C42" s="19" t="str">
        <x:v>TW-HC-A-4</x:v>
      </x:c>
      <x:c r="D42" s="19" t="str">
        <x:v>MS-HC|A</x:v>
      </x:c>
      <x:c r="E42" s="19" t="str">
        <x:v>MS-HC</x:v>
      </x:c>
      <x:c r="F42" s="19" t="str">
        <x:v>Reproduction and regeneration</x:v>
      </x:c>
      <x:c r="G42" s="28" t="n">
        <x:v>0.15</x:v>
      </x:c>
      <x:c r="H42" s="29" t="n">
        <x:f>SUMIF('Root Configurations'!$C$7:$C$26,D42,'Root Configurations'!$W$7:$W$26)*G42</x:f>
        <x:v>1.0246491782348068</x:v>
      </x:c>
      <x:c r="I42" s="19" t="str">
        <x:v>Rebuild through distributed airbases with engine and pod swap; close agent fate and air-quality custody.</x:v>
      </x:c>
      <x:c r="J42" s="21" t="str">
        <x:v>OPEN</x:v>
      </x:c>
      <x:c r="K42" s="48"/>
      <x:c r="L42" s="48"/>
      <x:c r="M42" s="48"/>
      <x:c r="N42" s="48"/>
      <x:c r="O42" s="48"/>
      <x:c r="P42" s="48"/>
      <x:c r="Q42" s="48"/>
      <x:c r="R42" s="48"/>
      <x:c r="S42" s="48"/>
      <x:c r="T42" s="48"/>
      <x:c r="U42" s="48"/>
      <x:c r="V42" s="48"/>
      <x:c r="W42" s="48"/>
    </x:row>
    <x:row r="43">
      <x:c r="C43" s="19" t="str">
        <x:v>TW-HC-B-1</x:v>
      </x:c>
      <x:c r="D43" s="19" t="str">
        <x:v>MS-HC|B</x:v>
      </x:c>
      <x:c r="E43" s="19" t="str">
        <x:v>MS-HC</x:v>
      </x:c>
      <x:c r="F43" s="19" t="str">
        <x:v>Decisive physics</x:v>
      </x:c>
      <x:c r="G43" s="28" t="n">
        <x:v>0.35</x:v>
      </x:c>
      <x:c r="H43" s="29" t="n">
        <x:f>SUMIF('Root Configurations'!$C$7:$C$26,D43,'Root Configurations'!$W$7:$W$26)*G43</x:f>
        <x:v>2.3908480825478824</x:v>
      </x:c>
      <x:c r="I43" s="19" t="str">
        <x:v>Demonstrate an adaptive lattice arrests a breach while draining a contaminated basin.</x:v>
      </x:c>
      <x:c r="J43" s="21" t="str">
        <x:v>OPEN</x:v>
      </x:c>
      <x:c r="K43" s="48"/>
      <x:c r="L43" s="48"/>
      <x:c r="M43" s="48"/>
      <x:c r="N43" s="48"/>
      <x:c r="O43" s="48"/>
      <x:c r="P43" s="48"/>
      <x:c r="Q43" s="48"/>
      <x:c r="R43" s="48"/>
      <x:c r="S43" s="48"/>
      <x:c r="T43" s="48"/>
      <x:c r="U43" s="48"/>
      <x:c r="V43" s="48"/>
      <x:c r="W43" s="48"/>
    </x:row>
    <x:row r="44">
      <x:c r="C44" s="19" t="str">
        <x:v>TW-HC-B-2</x:v>
      </x:c>
      <x:c r="D44" s="19" t="str">
        <x:v>MS-HC|B</x:v>
      </x:c>
      <x:c r="E44" s="19" t="str">
        <x:v>MS-HC</x:v>
      </x:c>
      <x:c r="F44" s="19" t="str">
        <x:v>Complete service article</x:v>
      </x:c>
      <x:c r="G44" s="28" t="n">
        <x:v>0.3</x:v>
      </x:c>
      <x:c r="H44" s="29" t="n">
        <x:f>SUMIF('Root Configurations'!$C$7:$C$26,D44,'Root Configurations'!$W$7:$W$26)*G44</x:f>
        <x:v>2.0492983564696137</x:v>
      </x:c>
      <x:c r="I44" s="19" t="str">
        <x:v>Close all 3 routes through basin and receiving-water release.</x:v>
      </x:c>
      <x:c r="J44" s="21" t="str">
        <x:v>OPEN</x:v>
      </x:c>
      <x:c r="K44" s="48"/>
      <x:c r="L44" s="48"/>
      <x:c r="M44" s="48"/>
      <x:c r="N44" s="48"/>
      <x:c r="O44" s="48"/>
      <x:c r="P44" s="48"/>
      <x:c r="Q44" s="48"/>
      <x:c r="R44" s="48"/>
      <x:c r="S44" s="48"/>
      <x:c r="T44" s="48"/>
      <x:c r="U44" s="48"/>
      <x:c r="V44" s="48"/>
      <x:c r="W44" s="48"/>
    </x:row>
    <x:row r="45">
      <x:c r="C45" s="19" t="str">
        <x:v>TW-HC-B-3</x:v>
      </x:c>
      <x:c r="D45" s="19" t="str">
        <x:v>MS-HC|B</x:v>
      </x:c>
      <x:c r="E45" s="19" t="str">
        <x:v>MS-HC</x:v>
      </x:c>
      <x:c r="F45" s="19" t="str">
        <x:v>Independent proving</x:v>
      </x:c>
      <x:c r="G45" s="28" t="n">
        <x:v>0.2</x:v>
      </x:c>
      <x:c r="H45" s="29" t="n">
        <x:f>SUMIF('Root Configurations'!$C$7:$C$26,D45,'Root Configurations'!$W$7:$W$26)*G45</x:f>
        <x:v>1.3661989043130758</x:v>
      </x:c>
      <x:c r="I45" s="19" t="str">
        <x:v>Execute primary pump corridor lost and receiving water high; preserve valid adverse evidence.</x:v>
      </x:c>
      <x:c r="J45" s="21" t="str">
        <x:v>OPEN</x:v>
      </x:c>
      <x:c r="K45" s="48"/>
      <x:c r="L45" s="48"/>
      <x:c r="M45" s="48"/>
      <x:c r="N45" s="48"/>
      <x:c r="O45" s="48"/>
      <x:c r="P45" s="48"/>
      <x:c r="Q45" s="48"/>
      <x:c r="R45" s="48"/>
      <x:c r="S45" s="48"/>
      <x:c r="T45" s="48"/>
      <x:c r="U45" s="48"/>
      <x:c r="V45" s="48"/>
      <x:c r="W45" s="48"/>
    </x:row>
    <x:row r="46">
      <x:c r="C46" s="19" t="str">
        <x:v>TW-HC-B-4</x:v>
      </x:c>
      <x:c r="D46" s="19" t="str">
        <x:v>MS-HC|B</x:v>
      </x:c>
      <x:c r="E46" s="19" t="str">
        <x:v>MS-HC</x:v>
      </x:c>
      <x:c r="F46" s="19" t="str">
        <x:v>Reproduction and regeneration</x:v>
      </x:c>
      <x:c r="G46" s="28" t="n">
        <x:v>0.15</x:v>
      </x:c>
      <x:c r="H46" s="29" t="n">
        <x:f>SUMIF('Root Configurations'!$C$7:$C$26,D46,'Root Configurations'!$W$7:$W$26)*G46</x:f>
        <x:v>1.0246491782348068</x:v>
      </x:c>
      <x:c r="I46" s="19" t="str">
        <x:v>Rebuild through wet-end exchange with bypass paths; close treatment and receiving-water custody.</x:v>
      </x:c>
      <x:c r="J46" s="21" t="str">
        <x:v>OPEN</x:v>
      </x:c>
      <x:c r="K46" s="48"/>
      <x:c r="L46" s="48"/>
      <x:c r="M46" s="48"/>
      <x:c r="N46" s="48"/>
      <x:c r="O46" s="48"/>
      <x:c r="P46" s="48"/>
      <x:c r="Q46" s="48"/>
      <x:c r="R46" s="48"/>
      <x:c r="S46" s="48"/>
      <x:c r="T46" s="48"/>
      <x:c r="U46" s="48"/>
      <x:c r="V46" s="48"/>
      <x:c r="W46" s="48"/>
    </x:row>
    <x:row r="47">
      <x:c r="C47" s="19" t="str">
        <x:v>TW-HC-C-1</x:v>
      </x:c>
      <x:c r="D47" s="19" t="str">
        <x:v>MS-HC|C</x:v>
      </x:c>
      <x:c r="E47" s="19" t="str">
        <x:v>MS-HC</x:v>
      </x:c>
      <x:c r="F47" s="19" t="str">
        <x:v>Decisive physics</x:v>
      </x:c>
      <x:c r="G47" s="28" t="n">
        <x:v>0.35</x:v>
      </x:c>
      <x:c r="H47" s="29" t="n">
        <x:f>SUMIF('Root Configurations'!$C$7:$C$26,D47,'Root Configurations'!$W$7:$W$26)*G47</x:f>
        <x:v>2.3908480825478824</x:v>
      </x:c>
      <x:c r="I47" s="19" t="str">
        <x:v>Demonstrate heavy earthwork continues through smoke, flood, lost link and aftershock.</x:v>
      </x:c>
      <x:c r="J47" s="21" t="str">
        <x:v>OPEN</x:v>
      </x:c>
      <x:c r="K47" s="48"/>
      <x:c r="L47" s="48"/>
      <x:c r="M47" s="48"/>
      <x:c r="N47" s="48"/>
      <x:c r="O47" s="48"/>
      <x:c r="P47" s="48"/>
      <x:c r="Q47" s="48"/>
      <x:c r="R47" s="48"/>
      <x:c r="S47" s="48"/>
      <x:c r="T47" s="48"/>
      <x:c r="U47" s="48"/>
      <x:c r="V47" s="48"/>
      <x:c r="W47" s="48"/>
    </x:row>
    <x:row r="48">
      <x:c r="C48" s="19" t="str">
        <x:v>TW-HC-C-2</x:v>
      </x:c>
      <x:c r="D48" s="19" t="str">
        <x:v>MS-HC|C</x:v>
      </x:c>
      <x:c r="E48" s="19" t="str">
        <x:v>MS-HC</x:v>
      </x:c>
      <x:c r="F48" s="19" t="str">
        <x:v>Complete service article</x:v>
      </x:c>
      <x:c r="G48" s="28" t="n">
        <x:v>0.3</x:v>
      </x:c>
      <x:c r="H48" s="29" t="n">
        <x:f>SUMIF('Root Configurations'!$C$7:$C$26,D48,'Root Configurations'!$W$7:$W$26)*G48</x:f>
        <x:v>2.0492983564696137</x:v>
      </x:c>
      <x:c r="I48" s="19" t="str">
        <x:v>Close all 3 routes through verified line, route and safe-zone release.</x:v>
      </x:c>
      <x:c r="J48" s="21" t="str">
        <x:v>OPEN</x:v>
      </x:c>
      <x:c r="K48" s="48"/>
      <x:c r="L48" s="48"/>
      <x:c r="M48" s="48"/>
      <x:c r="N48" s="48"/>
      <x:c r="O48" s="48"/>
      <x:c r="P48" s="48"/>
      <x:c r="Q48" s="48"/>
      <x:c r="R48" s="48"/>
      <x:c r="S48" s="48"/>
      <x:c r="T48" s="48"/>
      <x:c r="U48" s="48"/>
      <x:c r="V48" s="48"/>
      <x:c r="W48" s="48"/>
    </x:row>
    <x:row r="49">
      <x:c r="C49" s="19" t="str">
        <x:v>TW-HC-C-3</x:v>
      </x:c>
      <x:c r="D49" s="19" t="str">
        <x:v>MS-HC|C</x:v>
      </x:c>
      <x:c r="E49" s="19" t="str">
        <x:v>MS-HC</x:v>
      </x:c>
      <x:c r="F49" s="19" t="str">
        <x:v>Independent proving</x:v>
      </x:c>
      <x:c r="G49" s="28" t="n">
        <x:v>0.2</x:v>
      </x:c>
      <x:c r="H49" s="29" t="n">
        <x:f>SUMIF('Root Configurations'!$C$7:$C$26,D49,'Root Configurations'!$W$7:$W$26)*G49</x:f>
        <x:v>1.3661989043130758</x:v>
      </x:c>
      <x:c r="I49" s="19" t="str">
        <x:v>Execute lost link, bogged lead machine and aftershock; preserve valid adverse evidence.</x:v>
      </x:c>
      <x:c r="J49" s="21" t="str">
        <x:v>OPEN</x:v>
      </x:c>
      <x:c r="K49" s="48"/>
      <x:c r="L49" s="48"/>
      <x:c r="M49" s="48"/>
      <x:c r="N49" s="48"/>
      <x:c r="O49" s="48"/>
      <x:c r="P49" s="48"/>
      <x:c r="Q49" s="48"/>
      <x:c r="R49" s="48"/>
      <x:c r="S49" s="48"/>
      <x:c r="T49" s="48"/>
      <x:c r="U49" s="48"/>
      <x:c r="V49" s="48"/>
      <x:c r="W49" s="48"/>
    </x:row>
    <x:row r="50">
      <x:c r="C50" s="19" t="str">
        <x:v>TW-HC-C-4</x:v>
      </x:c>
      <x:c r="D50" s="19" t="str">
        <x:v>MS-HC|C</x:v>
      </x:c>
      <x:c r="E50" s="19" t="str">
        <x:v>MS-HC</x:v>
      </x:c>
      <x:c r="F50" s="19" t="str">
        <x:v>Reproduction and regeneration</x:v>
      </x:c>
      <x:c r="G50" s="28" t="n">
        <x:v>0.15</x:v>
      </x:c>
      <x:c r="H50" s="29" t="n">
        <x:f>SUMIF('Root Configurations'!$C$7:$C$26,D50,'Root Configurations'!$W$7:$W$26)*G50</x:f>
        <x:v>1.0246491782348068</x:v>
      </x:c>
      <x:c r="I50" s="19" t="str">
        <x:v>Rebuild through mobile shops and module exchange; close sorted material routes with custody.</x:v>
      </x:c>
      <x:c r="J50" s="21" t="str">
        <x:v>OPEN</x:v>
      </x:c>
      <x:c r="K50" s="48"/>
      <x:c r="L50" s="48"/>
      <x:c r="M50" s="48"/>
      <x:c r="N50" s="48"/>
      <x:c r="O50" s="48"/>
      <x:c r="P50" s="48"/>
      <x:c r="Q50" s="48"/>
      <x:c r="R50" s="48"/>
      <x:c r="S50" s="48"/>
      <x:c r="T50" s="48"/>
      <x:c r="U50" s="48"/>
      <x:c r="V50" s="48"/>
      <x:c r="W50" s="48"/>
    </x:row>
    <x:row r="51">
      <x:c r="C51" s="19" t="str">
        <x:v>TW-HC-D-1</x:v>
      </x:c>
      <x:c r="D51" s="19" t="str">
        <x:v>MS-HC|D</x:v>
      </x:c>
      <x:c r="E51" s="19" t="str">
        <x:v>MS-HC</x:v>
      </x:c>
      <x:c r="F51" s="19" t="str">
        <x:v>Decisive physics</x:v>
      </x:c>
      <x:c r="G51" s="28" t="n">
        <x:v>0.35</x:v>
      </x:c>
      <x:c r="H51" s="29" t="n">
        <x:f>SUMIF('Root Configurations'!$C$7:$C$26,D51,'Root Configurations'!$W$7:$W$26)*G51</x:f>
        <x:v>2.3908480825478824</x:v>
      </x:c>
      <x:c r="I51" s="19" t="str">
        <x:v>Demonstrate a programmable temporary landscape limits cascade through local intervention.</x:v>
      </x:c>
      <x:c r="J51" s="21" t="str">
        <x:v>OPEN</x:v>
      </x:c>
      <x:c r="K51" s="48"/>
      <x:c r="L51" s="48"/>
      <x:c r="M51" s="48"/>
      <x:c r="N51" s="48"/>
      <x:c r="O51" s="48"/>
      <x:c r="P51" s="48"/>
      <x:c r="Q51" s="48"/>
      <x:c r="R51" s="48"/>
      <x:c r="S51" s="48"/>
      <x:c r="T51" s="48"/>
      <x:c r="U51" s="48"/>
      <x:c r="V51" s="48"/>
      <x:c r="W51" s="48"/>
    </x:row>
    <x:row r="52">
      <x:c r="C52" s="19" t="str">
        <x:v>TW-HC-D-2</x:v>
      </x:c>
      <x:c r="D52" s="19" t="str">
        <x:v>MS-HC|D</x:v>
      </x:c>
      <x:c r="E52" s="19" t="str">
        <x:v>MS-HC</x:v>
      </x:c>
      <x:c r="F52" s="19" t="str">
        <x:v>Complete service article</x:v>
      </x:c>
      <x:c r="G52" s="28" t="n">
        <x:v>0.3</x:v>
      </x:c>
      <x:c r="H52" s="29" t="n">
        <x:f>SUMIF('Root Configurations'!$C$7:$C$26,D52,'Root Configurations'!$W$7:$W$26)*G52</x:f>
        <x:v>2.0492983564696137</x:v>
      </x:c>
      <x:c r="I52" s="19" t="str">
        <x:v>Close all 3 routes through zone-by-zone boundary release.</x:v>
      </x:c>
      <x:c r="J52" s="21" t="str">
        <x:v>OPEN</x:v>
      </x:c>
      <x:c r="K52" s="48"/>
      <x:c r="L52" s="48"/>
      <x:c r="M52" s="48"/>
      <x:c r="N52" s="48"/>
      <x:c r="O52" s="48"/>
      <x:c r="P52" s="48"/>
      <x:c r="Q52" s="48"/>
      <x:c r="R52" s="48"/>
      <x:c r="S52" s="48"/>
      <x:c r="T52" s="48"/>
      <x:c r="U52" s="48"/>
      <x:c r="V52" s="48"/>
      <x:c r="W52" s="48"/>
    </x:row>
    <x:row r="53">
      <x:c r="C53" s="19" t="str">
        <x:v>TW-HC-D-3</x:v>
      </x:c>
      <x:c r="D53" s="19" t="str">
        <x:v>MS-HC|D</x:v>
      </x:c>
      <x:c r="E53" s="19" t="str">
        <x:v>MS-HC</x:v>
      </x:c>
      <x:c r="F53" s="19" t="str">
        <x:v>Independent proving</x:v>
      </x:c>
      <x:c r="G53" s="28" t="n">
        <x:v>0.2</x:v>
      </x:c>
      <x:c r="H53" s="29" t="n">
        <x:f>SUMIF('Root Configurations'!$C$7:$C$26,D53,'Root Configurations'!$W$7:$W$26)*G53</x:f>
        <x:v>1.3661989043130758</x:v>
      </x:c>
      <x:c r="I53" s="19" t="str">
        <x:v>Execute one-quarter node loss and corrupted neighbor state; preserve valid adverse evidence.</x:v>
      </x:c>
      <x:c r="J53" s="21" t="str">
        <x:v>OPEN</x:v>
      </x:c>
      <x:c r="K53" s="48"/>
      <x:c r="L53" s="48"/>
      <x:c r="M53" s="48"/>
      <x:c r="N53" s="48"/>
      <x:c r="O53" s="48"/>
      <x:c r="P53" s="48"/>
      <x:c r="Q53" s="48"/>
      <x:c r="R53" s="48"/>
      <x:c r="S53" s="48"/>
      <x:c r="T53" s="48"/>
      <x:c r="U53" s="48"/>
      <x:c r="V53" s="48"/>
      <x:c r="W53" s="48"/>
    </x:row>
    <x:row r="54">
      <x:c r="C54" s="19" t="str">
        <x:v>TW-HC-D-4</x:v>
      </x:c>
      <x:c r="D54" s="19" t="str">
        <x:v>MS-HC|D</x:v>
      </x:c>
      <x:c r="E54" s="19" t="str">
        <x:v>MS-HC</x:v>
      </x:c>
      <x:c r="F54" s="19" t="str">
        <x:v>Reproduction and regeneration</x:v>
      </x:c>
      <x:c r="G54" s="28" t="n">
        <x:v>0.15</x:v>
      </x:c>
      <x:c r="H54" s="29" t="n">
        <x:f>SUMIF('Root Configurations'!$C$7:$C$26,D54,'Root Configurations'!$W$7:$W$26)*G54</x:f>
        <x:v>1.0246491782348068</x:v>
      </x:c>
      <x:c r="I54" s="19" t="str">
        <x:v>Rebuild through self-identifying node replacement; close complete node retrieval and material trace.</x:v>
      </x:c>
      <x:c r="J54" s="21" t="str">
        <x:v>OPEN</x:v>
      </x:c>
      <x:c r="K54" s="48"/>
      <x:c r="L54" s="48"/>
      <x:c r="M54" s="48"/>
      <x:c r="N54" s="48"/>
      <x:c r="O54" s="48"/>
      <x:c r="P54" s="48"/>
      <x:c r="Q54" s="48"/>
      <x:c r="R54" s="48"/>
      <x:c r="S54" s="48"/>
      <x:c r="T54" s="48"/>
      <x:c r="U54" s="48"/>
      <x:c r="V54" s="48"/>
      <x:c r="W54" s="48"/>
    </x:row>
    <x:row r="55">
      <x:c r="C55" s="19" t="str">
        <x:v>TW-HU-A-1</x:v>
      </x:c>
      <x:c r="D55" s="19" t="str">
        <x:v>MS-HU|A</x:v>
      </x:c>
      <x:c r="E55" s="19" t="str">
        <x:v>MS-HU</x:v>
      </x:c>
      <x:c r="F55" s="19" t="str">
        <x:v>Decisive physics</x:v>
      </x:c>
      <x:c r="G55" s="28" t="n">
        <x:v>0.35</x:v>
      </x:c>
      <x:c r="H55" s="29" t="n">
        <x:f>SUMIF('Root Configurations'!$C$7:$C$26,D55,'Root Configurations'!$W$7:$W$26)*G55</x:f>
        <x:v>6.69820206517613</x:v>
      </x:c>
      <x:c r="I55" s="19" t="str">
        <x:v>Demonstrate a deployable clinical city provides staffed definitive care and occupied metabolism.</x:v>
      </x:c>
      <x:c r="J55" s="21" t="str">
        <x:v>OPEN</x:v>
      </x:c>
      <x:c r="K55" s="48"/>
      <x:c r="L55" s="48"/>
      <x:c r="M55" s="48"/>
      <x:c r="N55" s="48"/>
      <x:c r="O55" s="48"/>
      <x:c r="P55" s="48"/>
      <x:c r="Q55" s="48"/>
      <x:c r="R55" s="48"/>
      <x:c r="S55" s="48"/>
      <x:c r="T55" s="48"/>
      <x:c r="U55" s="48"/>
      <x:c r="V55" s="48"/>
      <x:c r="W55" s="48"/>
    </x:row>
    <x:row r="56">
      <x:c r="C56" s="19" t="str">
        <x:v>TW-HU-A-2</x:v>
      </x:c>
      <x:c r="D56" s="19" t="str">
        <x:v>MS-HU|A</x:v>
      </x:c>
      <x:c r="E56" s="19" t="str">
        <x:v>MS-HU</x:v>
      </x:c>
      <x:c r="F56" s="19" t="str">
        <x:v>Complete service article</x:v>
      </x:c>
      <x:c r="G56" s="28" t="n">
        <x:v>0.3</x:v>
      </x:c>
      <x:c r="H56" s="29" t="n">
        <x:f>SUMIF('Root Configurations'!$C$7:$C$26,D56,'Root Configurations'!$W$7:$W$26)*G56</x:f>
        <x:v>5.741316055865254</x:v>
      </x:c>
      <x:c r="I56" s="19" t="str">
        <x:v>Close all 5 routes through referral, admission and discharge gate.</x:v>
      </x:c>
      <x:c r="J56" s="21" t="str">
        <x:v>OPEN</x:v>
      </x:c>
      <x:c r="K56" s="48"/>
      <x:c r="L56" s="48"/>
      <x:c r="M56" s="48"/>
      <x:c r="N56" s="48"/>
      <x:c r="O56" s="48"/>
      <x:c r="P56" s="48"/>
      <x:c r="Q56" s="48"/>
      <x:c r="R56" s="48"/>
      <x:c r="S56" s="48"/>
      <x:c r="T56" s="48"/>
      <x:c r="U56" s="48"/>
      <x:c r="V56" s="48"/>
      <x:c r="W56" s="48"/>
    </x:row>
    <x:row r="57">
      <x:c r="C57" s="19" t="str">
        <x:v>TW-HU-A-3</x:v>
      </x:c>
      <x:c r="D57" s="19" t="str">
        <x:v>MS-HU|A</x:v>
      </x:c>
      <x:c r="E57" s="19" t="str">
        <x:v>MS-HU</x:v>
      </x:c>
      <x:c r="F57" s="19" t="str">
        <x:v>Independent proving</x:v>
      </x:c>
      <x:c r="G57" s="28" t="n">
        <x:v>0.2</x:v>
      </x:c>
      <x:c r="H57" s="29" t="n">
        <x:f>SUMIF('Root Configurations'!$C$7:$C$26,D57,'Root Configurations'!$W$7:$W$26)*G57</x:f>
        <x:v>3.827544037243503</x:v>
      </x:c>
      <x:c r="I57" s="19" t="str">
        <x:v>Execute utility, specialist workforce and discharge capacity lost together; preserve valid adverse evidence.</x:v>
      </x:c>
      <x:c r="J57" s="21" t="str">
        <x:v>OPEN</x:v>
      </x:c>
      <x:c r="K57" s="48"/>
      <x:c r="L57" s="48"/>
      <x:c r="M57" s="48"/>
      <x:c r="N57" s="48"/>
      <x:c r="O57" s="48"/>
      <x:c r="P57" s="48"/>
      <x:c r="Q57" s="48"/>
      <x:c r="R57" s="48"/>
      <x:c r="S57" s="48"/>
      <x:c r="T57" s="48"/>
      <x:c r="U57" s="48"/>
      <x:c r="V57" s="48"/>
      <x:c r="W57" s="48"/>
    </x:row>
    <x:row r="58">
      <x:c r="C58" s="19" t="str">
        <x:v>TW-HU-A-4</x:v>
      </x:c>
      <x:c r="D58" s="19" t="str">
        <x:v>MS-HU|A</x:v>
      </x:c>
      <x:c r="E58" s="19" t="str">
        <x:v>MS-HU</x:v>
      </x:c>
      <x:c r="F58" s="19" t="str">
        <x:v>Reproduction and regeneration</x:v>
      </x:c>
      <x:c r="G58" s="28" t="n">
        <x:v>0.15</x:v>
      </x:c>
      <x:c r="H58" s="29" t="n">
        <x:f>SUMIF('Root Configurations'!$C$7:$C$26,D58,'Root Configurations'!$W$7:$W$26)*G58</x:f>
        <x:v>2.870658027932627</x:v>
      </x:c>
      <x:c r="I58" s="19" t="str">
        <x:v>Rebuild through sterile module swap and biomedical depot; close regulated waste and discharge network.</x:v>
      </x:c>
      <x:c r="J58" s="21" t="str">
        <x:v>OPEN</x:v>
      </x:c>
      <x:c r="K58" s="48"/>
      <x:c r="L58" s="48"/>
      <x:c r="M58" s="48"/>
      <x:c r="N58" s="48"/>
      <x:c r="O58" s="48"/>
      <x:c r="P58" s="48"/>
      <x:c r="Q58" s="48"/>
      <x:c r="R58" s="48"/>
      <x:c r="S58" s="48"/>
      <x:c r="T58" s="48"/>
      <x:c r="U58" s="48"/>
      <x:c r="V58" s="48"/>
      <x:c r="W58" s="48"/>
    </x:row>
    <x:row r="59">
      <x:c r="C59" s="19" t="str">
        <x:v>TW-HU-B-1</x:v>
      </x:c>
      <x:c r="D59" s="19" t="str">
        <x:v>MS-HU|B</x:v>
      </x:c>
      <x:c r="E59" s="19" t="str">
        <x:v>MS-HU</x:v>
      </x:c>
      <x:c r="F59" s="19" t="str">
        <x:v>Decisive physics</x:v>
      </x:c>
      <x:c r="G59" s="28" t="n">
        <x:v>0.35</x:v>
      </x:c>
      <x:c r="H59" s="29" t="n">
        <x:f>SUMIF('Root Configurations'!$C$7:$C$26,D59,'Root Configurations'!$W$7:$W$26)*G59</x:f>
        <x:v>6.69820206517613</x:v>
      </x:c>
      <x:c r="I59" s="19" t="str">
        <x:v>Demonstrate distributed occupied-service cells keep a district safely at origin.</x:v>
      </x:c>
      <x:c r="J59" s="21" t="str">
        <x:v>OPEN</x:v>
      </x:c>
      <x:c r="K59" s="48"/>
      <x:c r="L59" s="48"/>
      <x:c r="M59" s="48"/>
      <x:c r="N59" s="48"/>
      <x:c r="O59" s="48"/>
      <x:c r="P59" s="48"/>
      <x:c r="Q59" s="48"/>
      <x:c r="R59" s="48"/>
      <x:c r="S59" s="48"/>
      <x:c r="T59" s="48"/>
      <x:c r="U59" s="48"/>
      <x:c r="V59" s="48"/>
      <x:c r="W59" s="48"/>
    </x:row>
    <x:row r="60">
      <x:c r="C60" s="19" t="str">
        <x:v>TW-HU-B-2</x:v>
      </x:c>
      <x:c r="D60" s="19" t="str">
        <x:v>MS-HU|B</x:v>
      </x:c>
      <x:c r="E60" s="19" t="str">
        <x:v>MS-HU</x:v>
      </x:c>
      <x:c r="F60" s="19" t="str">
        <x:v>Complete service article</x:v>
      </x:c>
      <x:c r="G60" s="28" t="n">
        <x:v>0.3</x:v>
      </x:c>
      <x:c r="H60" s="29" t="n">
        <x:f>SUMIF('Root Configurations'!$C$7:$C$26,D60,'Root Configurations'!$W$7:$W$26)*G60</x:f>
        <x:v>5.741316055865254</x:v>
      </x:c>
      <x:c r="I60" s="19" t="str">
        <x:v>Close all 5 routes through doorstep and community receiver.</x:v>
      </x:c>
      <x:c r="J60" s="21" t="str">
        <x:v>OPEN</x:v>
      </x:c>
      <x:c r="K60" s="48"/>
      <x:c r="L60" s="48"/>
      <x:c r="M60" s="48"/>
      <x:c r="N60" s="48"/>
      <x:c r="O60" s="48"/>
      <x:c r="P60" s="48"/>
      <x:c r="Q60" s="48"/>
      <x:c r="R60" s="48"/>
      <x:c r="S60" s="48"/>
      <x:c r="T60" s="48"/>
      <x:c r="U60" s="48"/>
      <x:c r="V60" s="48"/>
      <x:c r="W60" s="48"/>
    </x:row>
    <x:row r="61">
      <x:c r="C61" s="19" t="str">
        <x:v>TW-HU-B-3</x:v>
      </x:c>
      <x:c r="D61" s="19" t="str">
        <x:v>MS-HU|B</x:v>
      </x:c>
      <x:c r="E61" s="19" t="str">
        <x:v>MS-HU</x:v>
      </x:c>
      <x:c r="F61" s="19" t="str">
        <x:v>Independent proving</x:v>
      </x:c>
      <x:c r="G61" s="28" t="n">
        <x:v>0.2</x:v>
      </x:c>
      <x:c r="H61" s="29" t="n">
        <x:f>SUMIF('Root Configurations'!$C$7:$C$26,D61,'Root Configurations'!$W$7:$W$26)*G61</x:f>
        <x:v>3.827544037243503</x:v>
      </x:c>
      <x:c r="I61" s="19" t="str">
        <x:v>Execute heat, smoke, cloud loss and caregiver separation; preserve valid adverse evidence.</x:v>
      </x:c>
      <x:c r="J61" s="21" t="str">
        <x:v>OPEN</x:v>
      </x:c>
      <x:c r="K61" s="48"/>
      <x:c r="L61" s="48"/>
      <x:c r="M61" s="48"/>
      <x:c r="N61" s="48"/>
      <x:c r="O61" s="48"/>
      <x:c r="P61" s="48"/>
      <x:c r="Q61" s="48"/>
      <x:c r="R61" s="48"/>
      <x:c r="S61" s="48"/>
      <x:c r="T61" s="48"/>
      <x:c r="U61" s="48"/>
      <x:c r="V61" s="48"/>
      <x:c r="W61" s="48"/>
    </x:row>
    <x:row r="62">
      <x:c r="C62" s="19" t="str">
        <x:v>TW-HU-B-4</x:v>
      </x:c>
      <x:c r="D62" s="19" t="str">
        <x:v>MS-HU|B</x:v>
      </x:c>
      <x:c r="E62" s="19" t="str">
        <x:v>MS-HU</x:v>
      </x:c>
      <x:c r="F62" s="19" t="str">
        <x:v>Reproduction and regeneration</x:v>
      </x:c>
      <x:c r="G62" s="28" t="n">
        <x:v>0.15</x:v>
      </x:c>
      <x:c r="H62" s="29" t="n">
        <x:f>SUMIF('Root Configurations'!$C$7:$C$26,D62,'Root Configurations'!$W$7:$W$26)*G62</x:f>
        <x:v>2.870658027932627</x:v>
      </x:c>
      <x:c r="I62" s="19" t="str">
        <x:v>Rebuild through neighborhood exchange stock; close household waste, reuse and case closure.</x:v>
      </x:c>
      <x:c r="J62" s="21" t="str">
        <x:v>OPEN</x:v>
      </x:c>
      <x:c r="K62" s="48"/>
      <x:c r="L62" s="48"/>
      <x:c r="M62" s="48"/>
      <x:c r="N62" s="48"/>
      <x:c r="O62" s="48"/>
      <x:c r="P62" s="48"/>
      <x:c r="Q62" s="48"/>
      <x:c r="R62" s="48"/>
      <x:c r="S62" s="48"/>
      <x:c r="T62" s="48"/>
      <x:c r="U62" s="48"/>
      <x:c r="V62" s="48"/>
      <x:c r="W62" s="48"/>
    </x:row>
    <x:row r="63">
      <x:c r="C63" s="19" t="str">
        <x:v>TW-HU-C-1</x:v>
      </x:c>
      <x:c r="D63" s="19" t="str">
        <x:v>MS-HU|C</x:v>
      </x:c>
      <x:c r="E63" s="19" t="str">
        <x:v>MS-HU</x:v>
      </x:c>
      <x:c r="F63" s="19" t="str">
        <x:v>Decisive physics</x:v>
      </x:c>
      <x:c r="G63" s="28" t="n">
        <x:v>0.35</x:v>
      </x:c>
      <x:c r="H63" s="29" t="n">
        <x:f>SUMIF('Root Configurations'!$C$7:$C$26,D63,'Root Configurations'!$W$7:$W$26)*G63</x:f>
        <x:v>6.69820206517613</x:v>
      </x:c>
      <x:c r="I63" s="19" t="str">
        <x:v>Demonstrate diagnosis, therapy and household state remain coherent while care moves.</x:v>
      </x:c>
      <x:c r="J63" s="21" t="str">
        <x:v>OPEN</x:v>
      </x:c>
      <x:c r="K63" s="48"/>
      <x:c r="L63" s="48"/>
      <x:c r="M63" s="48"/>
      <x:c r="N63" s="48"/>
      <x:c r="O63" s="48"/>
      <x:c r="P63" s="48"/>
      <x:c r="Q63" s="48"/>
      <x:c r="R63" s="48"/>
      <x:c r="S63" s="48"/>
      <x:c r="T63" s="48"/>
      <x:c r="U63" s="48"/>
      <x:c r="V63" s="48"/>
      <x:c r="W63" s="48"/>
    </x:row>
    <x:row r="64">
      <x:c r="C64" s="19" t="str">
        <x:v>TW-HU-C-2</x:v>
      </x:c>
      <x:c r="D64" s="19" t="str">
        <x:v>MS-HU|C</x:v>
      </x:c>
      <x:c r="E64" s="19" t="str">
        <x:v>MS-HU</x:v>
      </x:c>
      <x:c r="F64" s="19" t="str">
        <x:v>Complete service article</x:v>
      </x:c>
      <x:c r="G64" s="28" t="n">
        <x:v>0.3</x:v>
      </x:c>
      <x:c r="H64" s="29" t="n">
        <x:f>SUMIF('Root Configurations'!$C$7:$C$26,D64,'Root Configurations'!$W$7:$W$26)*G64</x:f>
        <x:v>5.741316055865254</x:v>
      </x:c>
      <x:c r="I64" s="19" t="str">
        <x:v>Close all 5 routes through accepted origin-to-destination journey.</x:v>
      </x:c>
      <x:c r="J64" s="21" t="str">
        <x:v>OPEN</x:v>
      </x:c>
      <x:c r="K64" s="48"/>
      <x:c r="L64" s="48"/>
      <x:c r="M64" s="48"/>
      <x:c r="N64" s="48"/>
      <x:c r="O64" s="48"/>
      <x:c r="P64" s="48"/>
      <x:c r="Q64" s="48"/>
      <x:c r="R64" s="48"/>
      <x:c r="S64" s="48"/>
      <x:c r="T64" s="48"/>
      <x:c r="U64" s="48"/>
      <x:c r="V64" s="48"/>
      <x:c r="W64" s="48"/>
    </x:row>
    <x:row r="65">
      <x:c r="C65" s="19" t="str">
        <x:v>TW-HU-C-3</x:v>
      </x:c>
      <x:c r="D65" s="19" t="str">
        <x:v>MS-HU|C</x:v>
      </x:c>
      <x:c r="E65" s="19" t="str">
        <x:v>MS-HU</x:v>
      </x:c>
      <x:c r="F65" s="19" t="str">
        <x:v>Independent proving</x:v>
      </x:c>
      <x:c r="G65" s="28" t="n">
        <x:v>0.2</x:v>
      </x:c>
      <x:c r="H65" s="29" t="n">
        <x:f>SUMIF('Root Configurations'!$C$7:$C$26,D65,'Root Configurations'!$W$7:$W$26)*G65</x:f>
        <x:v>3.827544037243503</x:v>
      </x:c>
      <x:c r="I65" s="19" t="str">
        <x:v>Execute one movement mode lost and assigned receiver withdraws; preserve valid adverse evidence.</x:v>
      </x:c>
      <x:c r="J65" s="21" t="str">
        <x:v>OPEN</x:v>
      </x:c>
      <x:c r="K65" s="48"/>
      <x:c r="L65" s="48"/>
      <x:c r="M65" s="48"/>
      <x:c r="N65" s="48"/>
      <x:c r="O65" s="48"/>
      <x:c r="P65" s="48"/>
      <x:c r="Q65" s="48"/>
      <x:c r="R65" s="48"/>
      <x:c r="S65" s="48"/>
      <x:c r="T65" s="48"/>
      <x:c r="U65" s="48"/>
      <x:c r="V65" s="48"/>
      <x:c r="W65" s="48"/>
    </x:row>
    <x:row r="66">
      <x:c r="C66" s="19" t="str">
        <x:v>TW-HU-C-4</x:v>
      </x:c>
      <x:c r="D66" s="19" t="str">
        <x:v>MS-HU|C</x:v>
      </x:c>
      <x:c r="E66" s="19" t="str">
        <x:v>MS-HU</x:v>
      </x:c>
      <x:c r="F66" s="19" t="str">
        <x:v>Reproduction and regeneration</x:v>
      </x:c>
      <x:c r="G66" s="28" t="n">
        <x:v>0.15</x:v>
      </x:c>
      <x:c r="H66" s="29" t="n">
        <x:f>SUMIF('Root Configurations'!$C$7:$C$26,D66,'Root Configurations'!$W$7:$W$26)*G66</x:f>
        <x:v>2.870658027932627</x:v>
      </x:c>
      <x:c r="I66" s="19" t="str">
        <x:v>Rebuild through fleet depot and pod exchange; close reverse clinical logistics.</x:v>
      </x:c>
      <x:c r="J66" s="21" t="str">
        <x:v>OPEN</x:v>
      </x:c>
      <x:c r="K66" s="48"/>
      <x:c r="L66" s="48"/>
      <x:c r="M66" s="48"/>
      <x:c r="N66" s="48"/>
      <x:c r="O66" s="48"/>
      <x:c r="P66" s="48"/>
      <x:c r="Q66" s="48"/>
      <x:c r="R66" s="48"/>
      <x:c r="S66" s="48"/>
      <x:c r="T66" s="48"/>
      <x:c r="U66" s="48"/>
      <x:c r="V66" s="48"/>
      <x:c r="W66" s="48"/>
    </x:row>
    <x:row r="67">
      <x:c r="C67" s="19" t="str">
        <x:v>TW-HU-D-1</x:v>
      </x:c>
      <x:c r="D67" s="19" t="str">
        <x:v>MS-HU|D</x:v>
      </x:c>
      <x:c r="E67" s="19" t="str">
        <x:v>MS-HU</x:v>
      </x:c>
      <x:c r="F67" s="19" t="str">
        <x:v>Decisive physics</x:v>
      </x:c>
      <x:c r="G67" s="28" t="n">
        <x:v>0.35</x:v>
      </x:c>
      <x:c r="H67" s="29" t="n">
        <x:f>SUMIF('Root Configurations'!$C$7:$C$26,D67,'Root Configurations'!$W$7:$W$26)*G67</x:f>
        <x:v>6.69820206517613</x:v>
      </x:c>
      <x:c r="I67" s="19" t="str">
        <x:v>Demonstrate robots convert available buildings into clinical and receiving capacity within the service clock.</x:v>
      </x:c>
      <x:c r="J67" s="21" t="str">
        <x:v>OPEN</x:v>
      </x:c>
      <x:c r="K67" s="48"/>
      <x:c r="L67" s="48"/>
      <x:c r="M67" s="48"/>
      <x:c r="N67" s="48"/>
      <x:c r="O67" s="48"/>
      <x:c r="P67" s="48"/>
      <x:c r="Q67" s="48"/>
      <x:c r="R67" s="48"/>
      <x:c r="S67" s="48"/>
      <x:c r="T67" s="48"/>
      <x:c r="U67" s="48"/>
      <x:c r="V67" s="48"/>
      <x:c r="W67" s="48"/>
    </x:row>
    <x:row r="68">
      <x:c r="C68" s="19" t="str">
        <x:v>TW-HU-D-2</x:v>
      </x:c>
      <x:c r="D68" s="19" t="str">
        <x:v>MS-HU|D</x:v>
      </x:c>
      <x:c r="E68" s="19" t="str">
        <x:v>MS-HU</x:v>
      </x:c>
      <x:c r="F68" s="19" t="str">
        <x:v>Complete service article</x:v>
      </x:c>
      <x:c r="G68" s="28" t="n">
        <x:v>0.3</x:v>
      </x:c>
      <x:c r="H68" s="29" t="n">
        <x:f>SUMIF('Root Configurations'!$C$7:$C$26,D68,'Root Configurations'!$W$7:$W$26)*G68</x:f>
        <x:v>5.741316055865254</x:v>
      </x:c>
      <x:c r="I68" s="19" t="str">
        <x:v>Close all 5 routes through lawful occupancy and bundle admission.</x:v>
      </x:c>
      <x:c r="J68" s="21" t="str">
        <x:v>OPEN</x:v>
      </x:c>
      <x:c r="K68" s="48"/>
      <x:c r="L68" s="48"/>
      <x:c r="M68" s="48"/>
      <x:c r="N68" s="48"/>
      <x:c r="O68" s="48"/>
      <x:c r="P68" s="48"/>
      <x:c r="Q68" s="48"/>
      <x:c r="R68" s="48"/>
      <x:c r="S68" s="48"/>
      <x:c r="T68" s="48"/>
      <x:c r="U68" s="48"/>
      <x:c r="V68" s="48"/>
      <x:c r="W68" s="48"/>
    </x:row>
    <x:row r="69">
      <x:c r="C69" s="19" t="str">
        <x:v>TW-HU-D-3</x:v>
      </x:c>
      <x:c r="D69" s="19" t="str">
        <x:v>MS-HU|D</x:v>
      </x:c>
      <x:c r="E69" s="19" t="str">
        <x:v>MS-HU</x:v>
      </x:c>
      <x:c r="F69" s="19" t="str">
        <x:v>Independent proving</x:v>
      </x:c>
      <x:c r="G69" s="28" t="n">
        <x:v>0.2</x:v>
      </x:c>
      <x:c r="H69" s="29" t="n">
        <x:f>SUMIF('Root Configurations'!$C$7:$C$26,D69,'Root Configurations'!$W$7:$W$26)*G69</x:f>
        <x:v>3.827544037243503</x:v>
      </x:c>
      <x:c r="I69" s="19" t="str">
        <x:v>Execute aftershock, host withdrawal and local utility loss; preserve valid adverse evidence.</x:v>
      </x:c>
      <x:c r="J69" s="21" t="str">
        <x:v>OPEN</x:v>
      </x:c>
      <x:c r="K69" s="48"/>
      <x:c r="L69" s="48"/>
      <x:c r="M69" s="48"/>
      <x:c r="N69" s="48"/>
      <x:c r="O69" s="48"/>
      <x:c r="P69" s="48"/>
      <x:c r="Q69" s="48"/>
      <x:c r="R69" s="48"/>
      <x:c r="S69" s="48"/>
      <x:c r="T69" s="48"/>
      <x:c r="U69" s="48"/>
      <x:c r="V69" s="48"/>
      <x:c r="W69" s="48"/>
    </x:row>
    <x:row r="70">
      <x:c r="C70" s="19" t="str">
        <x:v>TW-HU-D-4</x:v>
      </x:c>
      <x:c r="D70" s="19" t="str">
        <x:v>MS-HU|D</x:v>
      </x:c>
      <x:c r="E70" s="19" t="str">
        <x:v>MS-HU</x:v>
      </x:c>
      <x:c r="F70" s="19" t="str">
        <x:v>Reproduction and regeneration</x:v>
      </x:c>
      <x:c r="G70" s="28" t="n">
        <x:v>0.15</x:v>
      </x:c>
      <x:c r="H70" s="29" t="n">
        <x:f>SUMIF('Root Configurations'!$C$7:$C$26,D70,'Root Configurations'!$W$7:$W$26)*G70</x:f>
        <x:v>2.870658027932627</x:v>
      </x:c>
      <x:c r="I70" s="19" t="str">
        <x:v>Rebuild through reversible bypass and host reset; close restore host and recover installed material.</x:v>
      </x:c>
      <x:c r="J70" s="21" t="str">
        <x:v>OPEN</x:v>
      </x:c>
      <x:c r="K70" s="48"/>
      <x:c r="L70" s="48"/>
      <x:c r="M70" s="48"/>
      <x:c r="N70" s="48"/>
      <x:c r="O70" s="48"/>
      <x:c r="P70" s="48"/>
      <x:c r="Q70" s="48"/>
      <x:c r="R70" s="48"/>
      <x:c r="S70" s="48"/>
      <x:c r="T70" s="48"/>
      <x:c r="U70" s="48"/>
      <x:c r="V70" s="48"/>
      <x:c r="W70" s="48"/>
    </x:row>
    <x:row r="71">
      <x:c r="C71" s="19" t="str">
        <x:v>TW-RT-A-1</x:v>
      </x:c>
      <x:c r="D71" s="19" t="str">
        <x:v>MS-RT|A</x:v>
      </x:c>
      <x:c r="E71" s="19" t="str">
        <x:v>MS-RT</x:v>
      </x:c>
      <x:c r="F71" s="19" t="str">
        <x:v>Decisive physics</x:v>
      </x:c>
      <x:c r="G71" s="28" t="n">
        <x:v>0.35</x:v>
      </x:c>
      <x:c r="H71" s="29" t="n">
        <x:f>SUMIF('Root Configurations'!$C$7:$C$26,D71,'Root Configurations'!$W$7:$W$26)*G71</x:f>
        <x:v>3.911296466587385</x:v>
      </x:c>
      <x:c r="I71" s="19" t="str">
        <x:v>Demonstrate a hardened arsenal issues and resets a full stack after loss of its lead base.</x:v>
      </x:c>
      <x:c r="J71" s="21" t="str">
        <x:v>OPEN</x:v>
      </x:c>
      <x:c r="K71" s="48"/>
      <x:c r="L71" s="48"/>
      <x:c r="M71" s="48"/>
      <x:c r="N71" s="48"/>
      <x:c r="O71" s="48"/>
      <x:c r="P71" s="48"/>
      <x:c r="Q71" s="48"/>
      <x:c r="R71" s="48"/>
      <x:c r="S71" s="48"/>
      <x:c r="T71" s="48"/>
      <x:c r="U71" s="48"/>
      <x:c r="V71" s="48"/>
      <x:c r="W71" s="48"/>
    </x:row>
    <x:row r="72">
      <x:c r="C72" s="19" t="str">
        <x:v>TW-RT-A-2</x:v>
      </x:c>
      <x:c r="D72" s="19" t="str">
        <x:v>MS-RT|A</x:v>
      </x:c>
      <x:c r="E72" s="19" t="str">
        <x:v>MS-RT</x:v>
      </x:c>
      <x:c r="F72" s="19" t="str">
        <x:v>Complete service article</x:v>
      </x:c>
      <x:c r="G72" s="28" t="n">
        <x:v>0.3</x:v>
      </x:c>
      <x:c r="H72" s="29" t="n">
        <x:f>SUMIF('Root Configurations'!$C$7:$C$26,D72,'Root Configurations'!$W$7:$W$26)*G72</x:f>
        <x:v>3.352539828503473</x:v>
      </x:c>
      <x:c r="I72" s="19" t="str">
        <x:v>Close all 5 routes through complete-stack issue and return gate.</x:v>
      </x:c>
      <x:c r="J72" s="21" t="str">
        <x:v>OPEN</x:v>
      </x:c>
      <x:c r="K72" s="48"/>
      <x:c r="L72" s="48"/>
      <x:c r="M72" s="48"/>
      <x:c r="N72" s="48"/>
      <x:c r="O72" s="48"/>
      <x:c r="P72" s="48"/>
      <x:c r="Q72" s="48"/>
      <x:c r="R72" s="48"/>
      <x:c r="S72" s="48"/>
      <x:c r="T72" s="48"/>
      <x:c r="U72" s="48"/>
      <x:c r="V72" s="48"/>
      <x:c r="W72" s="48"/>
    </x:row>
    <x:row r="73">
      <x:c r="C73" s="19" t="str">
        <x:v>TW-RT-A-3</x:v>
      </x:c>
      <x:c r="D73" s="19" t="str">
        <x:v>MS-RT|A</x:v>
      </x:c>
      <x:c r="E73" s="19" t="str">
        <x:v>MS-RT</x:v>
      </x:c>
      <x:c r="F73" s="19" t="str">
        <x:v>Independent proving</x:v>
      </x:c>
      <x:c r="G73" s="28" t="n">
        <x:v>0.2</x:v>
      </x:c>
      <x:c r="H73" s="29" t="n">
        <x:f>SUMIF('Root Configurations'!$C$7:$C$26,D73,'Root Configurations'!$W$7:$W$26)*G73</x:f>
        <x:v>2.2350265523356487</x:v>
      </x:c>
      <x:c r="I73" s="19" t="str">
        <x:v>Execute leading arsenal and one critical process line lost; preserve valid adverse evidence.</x:v>
      </x:c>
      <x:c r="J73" s="21" t="str">
        <x:v>OPEN</x:v>
      </x:c>
      <x:c r="K73" s="48"/>
      <x:c r="L73" s="48"/>
      <x:c r="M73" s="48"/>
      <x:c r="N73" s="48"/>
      <x:c r="O73" s="48"/>
      <x:c r="P73" s="48"/>
      <x:c r="Q73" s="48"/>
      <x:c r="R73" s="48"/>
      <x:c r="S73" s="48"/>
      <x:c r="T73" s="48"/>
      <x:c r="U73" s="48"/>
      <x:c r="V73" s="48"/>
      <x:c r="W73" s="48"/>
    </x:row>
    <x:row r="74">
      <x:c r="C74" s="19" t="str">
        <x:v>TW-RT-A-4</x:v>
      </x:c>
      <x:c r="D74" s="19" t="str">
        <x:v>MS-RT|A</x:v>
      </x:c>
      <x:c r="E74" s="19" t="str">
        <x:v>MS-RT</x:v>
      </x:c>
      <x:c r="F74" s="19" t="str">
        <x:v>Reproduction and regeneration</x:v>
      </x:c>
      <x:c r="G74" s="28" t="n">
        <x:v>0.15</x:v>
      </x:c>
      <x:c r="H74" s="29" t="n">
        <x:f>SUMIF('Root Configurations'!$C$7:$C$26,D74,'Root Configurations'!$W$7:$W$26)*G74</x:f>
        <x:v>1.6762699142517365</x:v>
      </x:c>
      <x:c r="I74" s="19" t="str">
        <x:v>Rebuild through depot overhaul and recertification; close segregated return and quarantine yards.</x:v>
      </x:c>
      <x:c r="J74" s="21" t="str">
        <x:v>OPEN</x:v>
      </x:c>
      <x:c r="K74" s="48"/>
      <x:c r="L74" s="48"/>
      <x:c r="M74" s="48"/>
      <x:c r="N74" s="48"/>
      <x:c r="O74" s="48"/>
      <x:c r="P74" s="48"/>
      <x:c r="Q74" s="48"/>
      <x:c r="R74" s="48"/>
      <x:c r="S74" s="48"/>
      <x:c r="T74" s="48"/>
      <x:c r="U74" s="48"/>
      <x:c r="V74" s="48"/>
      <x:c r="W74" s="48"/>
    </x:row>
    <x:row r="75">
      <x:c r="C75" s="19" t="str">
        <x:v>TW-RT-B-1</x:v>
      </x:c>
      <x:c r="D75" s="19" t="str">
        <x:v>MS-RT|B</x:v>
      </x:c>
      <x:c r="E75" s="19" t="str">
        <x:v>MS-RT</x:v>
      </x:c>
      <x:c r="F75" s="19" t="str">
        <x:v>Decisive physics</x:v>
      </x:c>
      <x:c r="G75" s="28" t="n">
        <x:v>0.35</x:v>
      </x:c>
      <x:c r="H75" s="29" t="n">
        <x:f>SUMIF('Root Configurations'!$C$7:$C$26,D75,'Root Configurations'!$W$7:$W$26)*G75</x:f>
        <x:v>3.911296466587385</x:v>
      </x:c>
      <x:c r="I75" s="19" t="str">
        <x:v>Demonstrate disconnected cells reproduce qualified critical parts from controlled feedstock.</x:v>
      </x:c>
      <x:c r="J75" s="21" t="str">
        <x:v>OPEN</x:v>
      </x:c>
      <x:c r="K75" s="48"/>
      <x:c r="L75" s="48"/>
      <x:c r="M75" s="48"/>
      <x:c r="N75" s="48"/>
      <x:c r="O75" s="48"/>
      <x:c r="P75" s="48"/>
      <x:c r="Q75" s="48"/>
      <x:c r="R75" s="48"/>
      <x:c r="S75" s="48"/>
      <x:c r="T75" s="48"/>
      <x:c r="U75" s="48"/>
      <x:c r="V75" s="48"/>
      <x:c r="W75" s="48"/>
    </x:row>
    <x:row r="76">
      <x:c r="C76" s="19" t="str">
        <x:v>TW-RT-B-2</x:v>
      </x:c>
      <x:c r="D76" s="19" t="str">
        <x:v>MS-RT|B</x:v>
      </x:c>
      <x:c r="E76" s="19" t="str">
        <x:v>MS-RT</x:v>
      </x:c>
      <x:c r="F76" s="19" t="str">
        <x:v>Complete service article</x:v>
      </x:c>
      <x:c r="G76" s="28" t="n">
        <x:v>0.3</x:v>
      </x:c>
      <x:c r="H76" s="29" t="n">
        <x:f>SUMIF('Root Configurations'!$C$7:$C$26,D76,'Root Configurations'!$W$7:$W$26)*G76</x:f>
        <x:v>3.352539828503473</x:v>
      </x:c>
      <x:c r="I76" s="19" t="str">
        <x:v>Close all 5 routes through qualified replacement at point of need.</x:v>
      </x:c>
      <x:c r="J76" s="21" t="str">
        <x:v>OPEN</x:v>
      </x:c>
      <x:c r="K76" s="48"/>
      <x:c r="L76" s="48"/>
      <x:c r="M76" s="48"/>
      <x:c r="N76" s="48"/>
      <x:c r="O76" s="48"/>
      <x:c r="P76" s="48"/>
      <x:c r="Q76" s="48"/>
      <x:c r="R76" s="48"/>
      <x:c r="S76" s="48"/>
      <x:c r="T76" s="48"/>
      <x:c r="U76" s="48"/>
      <x:c r="V76" s="48"/>
      <x:c r="W76" s="48"/>
    </x:row>
    <x:row r="77">
      <x:c r="C77" s="19" t="str">
        <x:v>TW-RT-B-3</x:v>
      </x:c>
      <x:c r="D77" s="19" t="str">
        <x:v>MS-RT|B</x:v>
      </x:c>
      <x:c r="E77" s="19" t="str">
        <x:v>MS-RT</x:v>
      </x:c>
      <x:c r="F77" s="19" t="str">
        <x:v>Independent proving</x:v>
      </x:c>
      <x:c r="G77" s="28" t="n">
        <x:v>0.2</x:v>
      </x:c>
      <x:c r="H77" s="29" t="n">
        <x:f>SUMIF('Root Configurations'!$C$7:$C$26,D77,'Root Configurations'!$W$7:$W$26)*G77</x:f>
        <x:v>2.2350265523356487</x:v>
      </x:c>
      <x:c r="I77" s="19" t="str">
        <x:v>Execute cloud and backhaul lost with one feedstock class unavailable; preserve valid adverse evidence.</x:v>
      </x:c>
      <x:c r="J77" s="21" t="str">
        <x:v>OPEN</x:v>
      </x:c>
      <x:c r="K77" s="48"/>
      <x:c r="L77" s="48"/>
      <x:c r="M77" s="48"/>
      <x:c r="N77" s="48"/>
      <x:c r="O77" s="48"/>
      <x:c r="P77" s="48"/>
      <x:c r="Q77" s="48"/>
      <x:c r="R77" s="48"/>
      <x:c r="S77" s="48"/>
      <x:c r="T77" s="48"/>
      <x:c r="U77" s="48"/>
      <x:c r="V77" s="48"/>
      <x:c r="W77" s="48"/>
    </x:row>
    <x:row r="78">
      <x:c r="C78" s="19" t="str">
        <x:v>TW-RT-B-4</x:v>
      </x:c>
      <x:c r="D78" s="19" t="str">
        <x:v>MS-RT|B</x:v>
      </x:c>
      <x:c r="E78" s="19" t="str">
        <x:v>MS-RT</x:v>
      </x:c>
      <x:c r="F78" s="19" t="str">
        <x:v>Reproduction and regeneration</x:v>
      </x:c>
      <x:c r="G78" s="28" t="n">
        <x:v>0.15</x:v>
      </x:c>
      <x:c r="H78" s="29" t="n">
        <x:f>SUMIF('Root Configurations'!$C$7:$C$26,D78,'Root Configurations'!$W$7:$W$26)*G78</x:f>
        <x:v>1.6762699142517365</x:v>
      </x:c>
      <x:c r="I78" s="19" t="str">
        <x:v>Rebuild through cell replication and transferable tooling; close local feedstock recovery.</x:v>
      </x:c>
      <x:c r="J78" s="21" t="str">
        <x:v>OPEN</x:v>
      </x:c>
      <x:c r="K78" s="48"/>
      <x:c r="L78" s="48"/>
      <x:c r="M78" s="48"/>
      <x:c r="N78" s="48"/>
      <x:c r="O78" s="48"/>
      <x:c r="P78" s="48"/>
      <x:c r="Q78" s="48"/>
      <x:c r="R78" s="48"/>
      <x:c r="S78" s="48"/>
      <x:c r="T78" s="48"/>
      <x:c r="U78" s="48"/>
      <x:c r="V78" s="48"/>
      <x:c r="W78" s="48"/>
    </x:row>
    <x:row r="79">
      <x:c r="C79" s="19" t="str">
        <x:v>TW-RT-C-1</x:v>
      </x:c>
      <x:c r="D79" s="19" t="str">
        <x:v>MS-RT|C</x:v>
      </x:c>
      <x:c r="E79" s="19" t="str">
        <x:v>MS-RT</x:v>
      </x:c>
      <x:c r="F79" s="19" t="str">
        <x:v>Decisive physics</x:v>
      </x:c>
      <x:c r="G79" s="28" t="n">
        <x:v>0.35</x:v>
      </x:c>
      <x:c r="H79" s="29" t="n">
        <x:f>SUMIF('Root Configurations'!$C$7:$C$26,D79,'Root Configurations'!$W$7:$W$26)*G79</x:f>
        <x:v>3.911296466587385</x:v>
      </x:c>
      <x:c r="I79" s="19" t="str">
        <x:v>Demonstrate open interchange permits cross-vendor remanufacture without hiding equivalence.</x:v>
      </x:c>
      <x:c r="J79" s="21" t="str">
        <x:v>OPEN</x:v>
      </x:c>
      <x:c r="K79" s="48"/>
      <x:c r="L79" s="48"/>
      <x:c r="M79" s="48"/>
      <x:c r="N79" s="48"/>
      <x:c r="O79" s="48"/>
      <x:c r="P79" s="48"/>
      <x:c r="Q79" s="48"/>
      <x:c r="R79" s="48"/>
      <x:c r="S79" s="48"/>
      <x:c r="T79" s="48"/>
      <x:c r="U79" s="48"/>
      <x:c r="V79" s="48"/>
      <x:c r="W79" s="48"/>
    </x:row>
    <x:row r="80">
      <x:c r="C80" s="19" t="str">
        <x:v>TW-RT-C-2</x:v>
      </x:c>
      <x:c r="D80" s="19" t="str">
        <x:v>MS-RT|C</x:v>
      </x:c>
      <x:c r="E80" s="19" t="str">
        <x:v>MS-RT</x:v>
      </x:c>
      <x:c r="F80" s="19" t="str">
        <x:v>Complete service article</x:v>
      </x:c>
      <x:c r="G80" s="28" t="n">
        <x:v>0.3</x:v>
      </x:c>
      <x:c r="H80" s="29" t="n">
        <x:f>SUMIF('Root Configurations'!$C$7:$C$26,D80,'Root Configurations'!$W$7:$W$26)*G80</x:f>
        <x:v>3.352539828503473</x:v>
      </x:c>
      <x:c r="I80" s="19" t="str">
        <x:v>Close all 5 routes through exchange guarantee and core acceptance.</x:v>
      </x:c>
      <x:c r="J80" s="21" t="str">
        <x:v>OPEN</x:v>
      </x:c>
      <x:c r="K80" s="48"/>
      <x:c r="L80" s="48"/>
      <x:c r="M80" s="48"/>
      <x:c r="N80" s="48"/>
      <x:c r="O80" s="48"/>
      <x:c r="P80" s="48"/>
      <x:c r="Q80" s="48"/>
      <x:c r="R80" s="48"/>
      <x:c r="S80" s="48"/>
      <x:c r="T80" s="48"/>
      <x:c r="U80" s="48"/>
      <x:c r="V80" s="48"/>
      <x:c r="W80" s="48"/>
    </x:row>
    <x:row r="81">
      <x:c r="C81" s="19" t="str">
        <x:v>TW-RT-C-3</x:v>
      </x:c>
      <x:c r="D81" s="19" t="str">
        <x:v>MS-RT|C</x:v>
      </x:c>
      <x:c r="E81" s="19" t="str">
        <x:v>MS-RT</x:v>
      </x:c>
      <x:c r="F81" s="19" t="str">
        <x:v>Independent proving</x:v>
      </x:c>
      <x:c r="G81" s="28" t="n">
        <x:v>0.2</x:v>
      </x:c>
      <x:c r="H81" s="29" t="n">
        <x:f>SUMIF('Root Configurations'!$C$7:$C$26,D81,'Root Configurations'!$W$7:$W$26)*G81</x:f>
        <x:v>2.2350265523356487</x:v>
      </x:c>
      <x:c r="I81" s="19" t="str">
        <x:v>Execute core contamination, vendor refusal and one depot loss; preserve valid adverse evidence.</x:v>
      </x:c>
      <x:c r="J81" s="21" t="str">
        <x:v>OPEN</x:v>
      </x:c>
      <x:c r="K81" s="48"/>
      <x:c r="L81" s="48"/>
      <x:c r="M81" s="48"/>
      <x:c r="N81" s="48"/>
      <x:c r="O81" s="48"/>
      <x:c r="P81" s="48"/>
      <x:c r="Q81" s="48"/>
      <x:c r="R81" s="48"/>
      <x:c r="S81" s="48"/>
      <x:c r="T81" s="48"/>
      <x:c r="U81" s="48"/>
      <x:c r="V81" s="48"/>
      <x:c r="W81" s="48"/>
    </x:row>
    <x:row r="82">
      <x:c r="C82" s="19" t="str">
        <x:v>TW-RT-C-4</x:v>
      </x:c>
      <x:c r="D82" s="19" t="str">
        <x:v>MS-RT|C</x:v>
      </x:c>
      <x:c r="E82" s="19" t="str">
        <x:v>MS-RT</x:v>
      </x:c>
      <x:c r="F82" s="19" t="str">
        <x:v>Reproduction and regeneration</x:v>
      </x:c>
      <x:c r="G82" s="28" t="n">
        <x:v>0.15</x:v>
      </x:c>
      <x:c r="H82" s="29" t="n">
        <x:f>SUMIF('Root Configurations'!$C$7:$C$26,D82,'Root Configurations'!$W$7:$W$26)*G82</x:f>
        <x:v>1.6762699142517365</x:v>
      </x:c>
      <x:c r="I82" s="19" t="str">
        <x:v>Rebuild through certified core swap; close graded reuse, recycle and disposal.</x:v>
      </x:c>
      <x:c r="J82" s="21" t="str">
        <x:v>OPEN</x:v>
      </x:c>
      <x:c r="K82" s="48"/>
      <x:c r="L82" s="48"/>
      <x:c r="M82" s="48"/>
      <x:c r="N82" s="48"/>
      <x:c r="O82" s="48"/>
      <x:c r="P82" s="48"/>
      <x:c r="Q82" s="48"/>
      <x:c r="R82" s="48"/>
      <x:c r="S82" s="48"/>
      <x:c r="T82" s="48"/>
      <x:c r="U82" s="48"/>
      <x:c r="V82" s="48"/>
      <x:c r="W82" s="48"/>
    </x:row>
    <x:row r="83">
      <x:c r="C83" s="19" t="str">
        <x:v>TW-RT-D-1</x:v>
      </x:c>
      <x:c r="D83" s="19" t="str">
        <x:v>MS-RT|D</x:v>
      </x:c>
      <x:c r="E83" s="19" t="str">
        <x:v>MS-RT</x:v>
      </x:c>
      <x:c r="F83" s="19" t="str">
        <x:v>Decisive physics</x:v>
      </x:c>
      <x:c r="G83" s="28" t="n">
        <x:v>0.35</x:v>
      </x:c>
      <x:c r="H83" s="29" t="n">
        <x:f>SUMIF('Root Configurations'!$C$7:$C$26,D83,'Root Configurations'!$W$7:$W$26)*G83</x:f>
        <x:v>3.911296466587385</x:v>
      </x:c>
      <x:c r="I83" s="19" t="str">
        <x:v>Demonstrate a mobile fleet sustains a complete stack for 30 days without externalizing counterflows.</x:v>
      </x:c>
      <x:c r="J83" s="21" t="str">
        <x:v>OPEN</x:v>
      </x:c>
      <x:c r="K83" s="48"/>
      <x:c r="L83" s="48"/>
      <x:c r="M83" s="48"/>
      <x:c r="N83" s="48"/>
      <x:c r="O83" s="48"/>
      <x:c r="P83" s="48"/>
      <x:c r="Q83" s="48"/>
      <x:c r="R83" s="48"/>
      <x:c r="S83" s="48"/>
      <x:c r="T83" s="48"/>
      <x:c r="U83" s="48"/>
      <x:c r="V83" s="48"/>
      <x:c r="W83" s="48"/>
    </x:row>
    <x:row r="84">
      <x:c r="C84" s="19" t="str">
        <x:v>TW-RT-D-2</x:v>
      </x:c>
      <x:c r="D84" s="19" t="str">
        <x:v>MS-RT|D</x:v>
      </x:c>
      <x:c r="E84" s="19" t="str">
        <x:v>MS-RT</x:v>
      </x:c>
      <x:c r="F84" s="19" t="str">
        <x:v>Complete service article</x:v>
      </x:c>
      <x:c r="G84" s="28" t="n">
        <x:v>0.3</x:v>
      </x:c>
      <x:c r="H84" s="29" t="n">
        <x:f>SUMIF('Root Configurations'!$C$7:$C$26,D84,'Root Configurations'!$W$7:$W$26)*G84</x:f>
        <x:v>3.352539828503473</x:v>
      </x:c>
      <x:c r="I84" s="19" t="str">
        <x:v>Close all 5 routes through field issue plus residual acceptance.</x:v>
      </x:c>
      <x:c r="J84" s="21" t="str">
        <x:v>OPEN</x:v>
      </x:c>
      <x:c r="K84" s="48"/>
      <x:c r="L84" s="48"/>
      <x:c r="M84" s="48"/>
      <x:c r="N84" s="48"/>
      <x:c r="O84" s="48"/>
      <x:c r="P84" s="48"/>
      <x:c r="Q84" s="48"/>
      <x:c r="R84" s="48"/>
      <x:c r="S84" s="48"/>
      <x:c r="T84" s="48"/>
      <x:c r="U84" s="48"/>
      <x:c r="V84" s="48"/>
      <x:c r="W84" s="48"/>
    </x:row>
    <x:row r="85">
      <x:c r="C85" s="19" t="str">
        <x:v>TW-RT-D-3</x:v>
      </x:c>
      <x:c r="D85" s="19" t="str">
        <x:v>MS-RT|D</x:v>
      </x:c>
      <x:c r="E85" s="19" t="str">
        <x:v>MS-RT</x:v>
      </x:c>
      <x:c r="F85" s="19" t="str">
        <x:v>Independent proving</x:v>
      </x:c>
      <x:c r="G85" s="28" t="n">
        <x:v>0.2</x:v>
      </x:c>
      <x:c r="H85" s="29" t="n">
        <x:f>SUMIF('Root Configurations'!$C$7:$C$26,D85,'Root Configurations'!$W$7:$W$26)*G85</x:f>
        <x:v>2.2350265523356487</x:v>
      </x:c>
      <x:c r="I85" s="19" t="str">
        <x:v>Execute remote campaign, resupply delay and residual receiver refusal; preserve valid adverse evidence.</x:v>
      </x:c>
      <x:c r="J85" s="21" t="str">
        <x:v>OPEN</x:v>
      </x:c>
      <x:c r="K85" s="48"/>
      <x:c r="L85" s="48"/>
      <x:c r="M85" s="48"/>
      <x:c r="N85" s="48"/>
      <x:c r="O85" s="48"/>
      <x:c r="P85" s="48"/>
      <x:c r="Q85" s="48"/>
      <x:c r="R85" s="48"/>
      <x:c r="S85" s="48"/>
      <x:c r="T85" s="48"/>
      <x:c r="U85" s="48"/>
      <x:c r="V85" s="48"/>
      <x:c r="W85" s="48"/>
    </x:row>
    <x:row r="86">
      <x:c r="C86" s="22" t="str">
        <x:v>TW-RT-D-4</x:v>
      </x:c>
      <x:c r="D86" s="22" t="str">
        <x:v>MS-RT|D</x:v>
      </x:c>
      <x:c r="E86" s="22" t="str">
        <x:v>MS-RT</x:v>
      </x:c>
      <x:c r="F86" s="22" t="str">
        <x:v>Reproduction and regeneration</x:v>
      </x:c>
      <x:c r="G86" s="30" t="n">
        <x:v>0.15</x:v>
      </x:c>
      <x:c r="H86" s="31" t="n">
        <x:f>SUMIF('Root Configurations'!$C$7:$C$26,D86,'Root Configurations'!$W$7:$W$26)*G86</x:f>
        <x:v>1.6762699142517365</x:v>
      </x:c>
      <x:c r="I86" s="22" t="str">
        <x:v>Rebuild through mobile overhaul, cleaning and sterilization; close onboard recovery with bounded backhaul.</x:v>
      </x:c>
      <x:c r="J86" s="24" t="str">
        <x:v>OPEN</x:v>
      </x:c>
      <x:c r="K86" s="48"/>
      <x:c r="L86" s="48"/>
      <x:c r="M86" s="48"/>
      <x:c r="N86" s="48"/>
      <x:c r="O86" s="48"/>
      <x:c r="P86" s="48"/>
      <x:c r="Q86" s="48"/>
      <x:c r="R86" s="48"/>
      <x:c r="S86" s="48"/>
      <x:c r="T86" s="48"/>
      <x:c r="U86" s="48"/>
      <x:c r="V86" s="48"/>
      <x:c r="W86" s="48"/>
    </x:row>
    <x:row r="87">
      <x:c r="C87" s="2"/>
      <x:c r="D87" s="2"/>
      <x:c r="E87" s="2"/>
      <x:c r="F87" s="2"/>
      <x:c r="G87" s="2"/>
      <x:c r="H87" s="2"/>
      <x:c r="I87" s="2"/>
      <x:c r="J87" s="2"/>
      <x:c r="K87" s="48"/>
      <x:c r="L87" s="48"/>
      <x:c r="M87" s="48"/>
      <x:c r="N87" s="48"/>
      <x:c r="O87" s="48"/>
      <x:c r="P87" s="48"/>
      <x:c r="Q87" s="48"/>
      <x:c r="R87" s="48"/>
      <x:c r="S87" s="48"/>
      <x:c r="T87" s="48"/>
      <x:c r="U87" s="48"/>
      <x:c r="V87" s="48"/>
      <x:c r="W87" s="48"/>
    </x:row>
    <x:row r="88">
      <x:c r="C88" s="2"/>
      <x:c r="D88" s="2"/>
      <x:c r="E88" s="2"/>
      <x:c r="F88" s="2"/>
      <x:c r="G88" s="2"/>
      <x:c r="H88" s="2"/>
      <x:c r="I88" s="2"/>
      <x:c r="J88" s="2"/>
      <x:c r="K88" s="48"/>
      <x:c r="L88" s="48"/>
      <x:c r="M88" s="48"/>
      <x:c r="N88" s="48"/>
      <x:c r="O88" s="48"/>
      <x:c r="P88" s="48"/>
      <x:c r="Q88" s="48"/>
      <x:c r="R88" s="48"/>
      <x:c r="S88" s="48"/>
      <x:c r="T88" s="48"/>
      <x:c r="U88" s="48"/>
      <x:c r="V88" s="48"/>
      <x:c r="W88" s="48"/>
    </x:row>
    <x:row r="89">
      <x:c r="C89" s="2"/>
      <x:c r="D89" s="2"/>
      <x:c r="E89" s="2"/>
      <x:c r="F89" s="2"/>
      <x:c r="G89" s="2"/>
      <x:c r="H89" s="2"/>
      <x:c r="I89" s="2"/>
      <x:c r="J89" s="2"/>
      <x:c r="K89" s="48"/>
      <x:c r="L89" s="48"/>
      <x:c r="M89" s="48"/>
      <x:c r="N89" s="48"/>
      <x:c r="O89" s="48"/>
      <x:c r="P89" s="48"/>
      <x:c r="Q89" s="48"/>
      <x:c r="R89" s="48"/>
      <x:c r="S89" s="48"/>
      <x:c r="T89" s="48"/>
      <x:c r="U89" s="48"/>
      <x:c r="V89" s="48"/>
      <x:c r="W89" s="48"/>
    </x:row>
    <x:row r="90">
      <x:c r="C90" s="2"/>
      <x:c r="D90" s="2"/>
      <x:c r="E90" s="2"/>
      <x:c r="F90" s="2"/>
      <x:c r="G90" s="2"/>
      <x:c r="H90" s="2"/>
      <x:c r="I90" s="2"/>
      <x:c r="J90" s="2"/>
      <x:c r="K90" s="48"/>
      <x:c r="L90" s="48"/>
      <x:c r="M90" s="48"/>
      <x:c r="N90" s="48"/>
      <x:c r="O90" s="48"/>
      <x:c r="P90" s="48"/>
      <x:c r="Q90" s="48"/>
      <x:c r="R90" s="48"/>
      <x:c r="S90" s="48"/>
      <x:c r="T90" s="48"/>
      <x:c r="U90" s="48"/>
      <x:c r="V90" s="48"/>
      <x:c r="W90" s="48"/>
    </x:row>
    <x:row r="91">
      <x:c r="C91" s="2"/>
      <x:c r="D91" s="2"/>
      <x:c r="E91" s="2"/>
      <x:c r="F91" s="2"/>
      <x:c r="G91" s="2"/>
      <x:c r="H91" s="2"/>
      <x:c r="I91" s="2"/>
      <x:c r="J91" s="2"/>
      <x:c r="K91" s="48"/>
      <x:c r="L91" s="48"/>
      <x:c r="M91" s="48"/>
      <x:c r="N91" s="48"/>
      <x:c r="O91" s="48"/>
      <x:c r="P91" s="48"/>
      <x:c r="Q91" s="48"/>
      <x:c r="R91" s="48"/>
      <x:c r="S91" s="48"/>
      <x:c r="T91" s="48"/>
      <x:c r="U91" s="48"/>
      <x:c r="V91" s="48"/>
      <x:c r="W91" s="48"/>
    </x:row>
    <x:row r="92">
      <x:c r="C92" s="2"/>
      <x:c r="D92" s="2"/>
      <x:c r="E92" s="2"/>
      <x:c r="F92" s="2"/>
      <x:c r="G92" s="2"/>
      <x:c r="H92" s="2"/>
      <x:c r="I92" s="2"/>
      <x:c r="J92" s="2"/>
      <x:c r="K92" s="48"/>
      <x:c r="L92" s="48"/>
      <x:c r="M92" s="48"/>
      <x:c r="N92" s="48"/>
      <x:c r="O92" s="48"/>
      <x:c r="P92" s="48"/>
      <x:c r="Q92" s="48"/>
      <x:c r="R92" s="48"/>
      <x:c r="S92" s="48"/>
      <x:c r="T92" s="48"/>
      <x:c r="U92" s="48"/>
      <x:c r="V92" s="48"/>
      <x:c r="W92" s="48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3" max="3" width="16" hidden="0" customWidth="1"/>
    <x:col min="4" max="4" width="16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4" hidden="0" customWidth="1"/>
  </x:cols>
  <x:sheetData>
    <x:row r="1"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48"/>
      <x:c r="P1" s="48"/>
      <x:c r="Q1" s="48"/>
      <x:c r="R1" s="48"/>
      <x:c r="S1" s="48"/>
      <x:c r="T1" s="48"/>
      <x:c r="U1" s="48"/>
      <x:c r="V1" s="48"/>
      <x:c r="W1" s="48"/>
    </x:row>
    <x:row r="2">
      <x:c r="C2" s="3" t="str">
        <x:v>Inherited non-lifeline proof estate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48"/>
      <x:c r="P2" s="48"/>
      <x:c r="Q2" s="48"/>
      <x:c r="R2" s="48"/>
      <x:c r="S2" s="48"/>
      <x:c r="T2" s="48"/>
      <x:c r="U2" s="48"/>
      <x:c r="V2" s="48"/>
      <x:c r="W2" s="48"/>
    </x:row>
    <x:row r="3">
      <x:c r="C3" s="5" t="str">
        <x:v>Counts follow the Pass 180 three-unit kernel; all articles and evidence remain unbuilt.</x:v>
      </x:c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49"/>
      <x:c r="P3" s="49"/>
      <x:c r="Q3" s="49"/>
      <x:c r="R3" s="49"/>
      <x:c r="S3" s="49"/>
      <x:c r="T3" s="49"/>
      <x:c r="U3" s="49"/>
      <x:c r="V3" s="49"/>
      <x:c r="W3" s="49"/>
    </x:row>
    <x:row r="4"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48"/>
      <x:c r="P4" s="48"/>
      <x:c r="Q4" s="48"/>
      <x:c r="R4" s="48"/>
      <x:c r="S4" s="48"/>
      <x:c r="T4" s="48"/>
      <x:c r="U4" s="48"/>
      <x:c r="V4" s="48"/>
      <x:c r="W4" s="48"/>
    </x:row>
    <x:row r="5"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48"/>
      <x:c r="P5" s="48"/>
      <x:c r="Q5" s="48"/>
      <x:c r="R5" s="48"/>
      <x:c r="S5" s="48"/>
      <x:c r="T5" s="48"/>
      <x:c r="U5" s="48"/>
      <x:c r="V5" s="48"/>
      <x:c r="W5" s="48"/>
    </x:row>
    <x:row r="6">
      <x:c r="C6" s="17" t="str">
        <x:v>Root</x:v>
      </x:c>
      <x:c r="D6" s="18" t="str">
        <x:v>System</x:v>
      </x:c>
      <x:c r="E6" s="18" t="str">
        <x:v>Unit positions</x:v>
      </x:c>
      <x:c r="F6" s="18" t="str">
        <x:v>Proof units</x:v>
      </x:c>
      <x:c r="G6" s="18" t="str">
        <x:v>Route positions</x:v>
      </x:c>
      <x:c r="H6" s="18" t="str">
        <x:v>Support units</x:v>
      </x:c>
      <x:c r="I6" s="18" t="str">
        <x:v>Article units</x:v>
      </x:c>
      <x:c r="J6" s="18" t="str">
        <x:v>Valid events</x:v>
      </x:c>
      <x:c r="K6" s="18" t="str">
        <x:v>Max attempts</x:v>
      </x:c>
      <x:c r="L6" s="18" t="str">
        <x:v>Evidence packages</x:v>
      </x:c>
      <x:c r="M6" s="18" t="str">
        <x:v>Proving functions</x:v>
      </x:c>
      <x:c r="N6" s="18" t="str">
        <x:v>State</x:v>
      </x:c>
      <x:c r="O6" s="48"/>
      <x:c r="P6" s="48"/>
      <x:c r="Q6" s="48"/>
      <x:c r="R6" s="48"/>
      <x:c r="S6" s="48"/>
      <x:c r="T6" s="48"/>
      <x:c r="U6" s="48"/>
      <x:c r="V6" s="48"/>
      <x:c r="W6" s="48"/>
    </x:row>
    <x:row r="7">
      <x:c r="C7" s="19" t="str">
        <x:v>MS-ET|A</x:v>
      </x:c>
      <x:c r="D7" s="19" t="str">
        <x:v>MS-ET</x:v>
      </x:c>
      <x:c r="E7" s="19" t="n">
        <x:v>17</x:v>
      </x:c>
      <x:c r="F7" s="19" t="n">
        <x:v>3</x:v>
      </x:c>
      <x:c r="G7" s="19" t="n">
        <x:f>E7*F7</x:f>
        <x:v>51</x:v>
      </x:c>
      <x:c r="H7" s="19" t="n">
        <x:f>Controls!D12</x:f>
        <x:v>10</x:v>
      </x:c>
      <x:c r="I7" s="19" t="n">
        <x:f>G7+H7</x:f>
        <x:v>61</x:v>
      </x:c>
      <x:c r="J7" s="19" t="n">
        <x:v>42</x:v>
      </x:c>
      <x:c r="K7" s="19" t="n">
        <x:v>51</x:v>
      </x:c>
      <x:c r="L7" s="19" t="n">
        <x:v>180</x:v>
      </x:c>
      <x:c r="M7" s="19" t="n">
        <x:v>9</x:v>
      </x:c>
      <x:c r="N7" s="21" t="str">
        <x:v>UNBUILT</x:v>
      </x:c>
      <x:c r="O7" s="48"/>
      <x:c r="P7" s="48"/>
      <x:c r="Q7" s="48"/>
      <x:c r="R7" s="48"/>
      <x:c r="S7" s="48"/>
      <x:c r="T7" s="48"/>
      <x:c r="U7" s="48"/>
      <x:c r="V7" s="48"/>
      <x:c r="W7" s="48"/>
    </x:row>
    <x:row r="8">
      <x:c r="C8" s="19" t="str">
        <x:v>MS-ET|B</x:v>
      </x:c>
      <x:c r="D8" s="19" t="str">
        <x:v>MS-ET</x:v>
      </x:c>
      <x:c r="E8" s="19" t="n">
        <x:v>17</x:v>
      </x:c>
      <x:c r="F8" s="19" t="n">
        <x:v>3</x:v>
      </x:c>
      <x:c r="G8" s="19" t="n">
        <x:f>E8*F8</x:f>
        <x:v>51</x:v>
      </x:c>
      <x:c r="H8" s="19" t="n">
        <x:f>Controls!D12</x:f>
        <x:v>10</x:v>
      </x:c>
      <x:c r="I8" s="19" t="n">
        <x:f>G8+H8</x:f>
        <x:v>61</x:v>
      </x:c>
      <x:c r="J8" s="19" t="n">
        <x:v>42</x:v>
      </x:c>
      <x:c r="K8" s="19" t="n">
        <x:v>51</x:v>
      </x:c>
      <x:c r="L8" s="19" t="n">
        <x:v>180</x:v>
      </x:c>
      <x:c r="M8" s="19" t="n">
        <x:v>9</x:v>
      </x:c>
      <x:c r="N8" s="21" t="str">
        <x:v>UNBUILT</x:v>
      </x:c>
      <x:c r="O8" s="48"/>
      <x:c r="P8" s="48"/>
      <x:c r="Q8" s="48"/>
      <x:c r="R8" s="48"/>
      <x:c r="S8" s="48"/>
      <x:c r="T8" s="48"/>
      <x:c r="U8" s="48"/>
      <x:c r="V8" s="48"/>
      <x:c r="W8" s="48"/>
    </x:row>
    <x:row r="9">
      <x:c r="C9" s="19" t="str">
        <x:v>MS-ET|C</x:v>
      </x:c>
      <x:c r="D9" s="19" t="str">
        <x:v>MS-ET</x:v>
      </x:c>
      <x:c r="E9" s="19" t="n">
        <x:v>17</x:v>
      </x:c>
      <x:c r="F9" s="19" t="n">
        <x:v>3</x:v>
      </x:c>
      <x:c r="G9" s="19" t="n">
        <x:f>E9*F9</x:f>
        <x:v>51</x:v>
      </x:c>
      <x:c r="H9" s="19" t="n">
        <x:f>Controls!D12</x:f>
        <x:v>10</x:v>
      </x:c>
      <x:c r="I9" s="19" t="n">
        <x:f>G9+H9</x:f>
        <x:v>61</x:v>
      </x:c>
      <x:c r="J9" s="19" t="n">
        <x:v>42</x:v>
      </x:c>
      <x:c r="K9" s="19" t="n">
        <x:v>51</x:v>
      </x:c>
      <x:c r="L9" s="19" t="n">
        <x:v>180</x:v>
      </x:c>
      <x:c r="M9" s="19" t="n">
        <x:v>9</x:v>
      </x:c>
      <x:c r="N9" s="21" t="str">
        <x:v>UNBUILT</x:v>
      </x:c>
      <x:c r="O9" s="48"/>
      <x:c r="P9" s="48"/>
      <x:c r="Q9" s="48"/>
      <x:c r="R9" s="48"/>
      <x:c r="S9" s="48"/>
      <x:c r="T9" s="48"/>
      <x:c r="U9" s="48"/>
      <x:c r="V9" s="48"/>
      <x:c r="W9" s="48"/>
    </x:row>
    <x:row r="10">
      <x:c r="C10" s="19" t="str">
        <x:v>MS-ET|D</x:v>
      </x:c>
      <x:c r="D10" s="19" t="str">
        <x:v>MS-ET</x:v>
      </x:c>
      <x:c r="E10" s="19" t="n">
        <x:v>17</x:v>
      </x:c>
      <x:c r="F10" s="19" t="n">
        <x:v>3</x:v>
      </x:c>
      <x:c r="G10" s="19" t="n">
        <x:f>E10*F10</x:f>
        <x:v>51</x:v>
      </x:c>
      <x:c r="H10" s="19" t="n">
        <x:f>Controls!D12</x:f>
        <x:v>10</x:v>
      </x:c>
      <x:c r="I10" s="19" t="n">
        <x:f>G10+H10</x:f>
        <x:v>61</x:v>
      </x:c>
      <x:c r="J10" s="19" t="n">
        <x:v>42</x:v>
      </x:c>
      <x:c r="K10" s="19" t="n">
        <x:v>51</x:v>
      </x:c>
      <x:c r="L10" s="19" t="n">
        <x:v>180</x:v>
      </x:c>
      <x:c r="M10" s="19" t="n">
        <x:v>9</x:v>
      </x:c>
      <x:c r="N10" s="21" t="str">
        <x:v>UNBUILT</x:v>
      </x:c>
      <x:c r="O10" s="48"/>
      <x:c r="P10" s="48"/>
      <x:c r="Q10" s="48"/>
      <x:c r="R10" s="48"/>
      <x:c r="S10" s="48"/>
      <x:c r="T10" s="48"/>
      <x:c r="U10" s="48"/>
      <x:c r="V10" s="48"/>
      <x:c r="W10" s="48"/>
    </x:row>
    <x:row r="11">
      <x:c r="C11" s="19" t="str">
        <x:v>MS-CT|A</x:v>
      </x:c>
      <x:c r="D11" s="19" t="str">
        <x:v>MS-CT</x:v>
      </x:c>
      <x:c r="E11" s="19" t="n">
        <x:v>14</x:v>
      </x:c>
      <x:c r="F11" s="19" t="n">
        <x:v>3</x:v>
      </x:c>
      <x:c r="G11" s="19" t="n">
        <x:f>E11*F11</x:f>
        <x:v>42</x:v>
      </x:c>
      <x:c r="H11" s="19" t="n">
        <x:f>Controls!D12</x:f>
        <x:v>10</x:v>
      </x:c>
      <x:c r="I11" s="19" t="n">
        <x:f>G11+H11</x:f>
        <x:v>52</x:v>
      </x:c>
      <x:c r="J11" s="19" t="n">
        <x:v>42</x:v>
      </x:c>
      <x:c r="K11" s="19" t="n">
        <x:v>51</x:v>
      </x:c>
      <x:c r="L11" s="19" t="n">
        <x:v>171</x:v>
      </x:c>
      <x:c r="M11" s="19" t="n">
        <x:v>9</x:v>
      </x:c>
      <x:c r="N11" s="21" t="str">
        <x:v>UNBUILT</x:v>
      </x:c>
      <x:c r="O11" s="48"/>
      <x:c r="P11" s="48"/>
      <x:c r="Q11" s="48"/>
      <x:c r="R11" s="48"/>
      <x:c r="S11" s="48"/>
      <x:c r="T11" s="48"/>
      <x:c r="U11" s="48"/>
      <x:c r="V11" s="48"/>
      <x:c r="W11" s="48"/>
    </x:row>
    <x:row r="12">
      <x:c r="C12" s="19" t="str">
        <x:v>MS-CT|B</x:v>
      </x:c>
      <x:c r="D12" s="19" t="str">
        <x:v>MS-CT</x:v>
      </x:c>
      <x:c r="E12" s="19" t="n">
        <x:v>14</x:v>
      </x:c>
      <x:c r="F12" s="19" t="n">
        <x:v>3</x:v>
      </x:c>
      <x:c r="G12" s="19" t="n">
        <x:f>E12*F12</x:f>
        <x:v>42</x:v>
      </x:c>
      <x:c r="H12" s="19" t="n">
        <x:f>Controls!D12</x:f>
        <x:v>10</x:v>
      </x:c>
      <x:c r="I12" s="19" t="n">
        <x:f>G12+H12</x:f>
        <x:v>52</x:v>
      </x:c>
      <x:c r="J12" s="19" t="n">
        <x:v>42</x:v>
      </x:c>
      <x:c r="K12" s="19" t="n">
        <x:v>51</x:v>
      </x:c>
      <x:c r="L12" s="19" t="n">
        <x:v>171</x:v>
      </x:c>
      <x:c r="M12" s="19" t="n">
        <x:v>9</x:v>
      </x:c>
      <x:c r="N12" s="21" t="str">
        <x:v>UNBUILT</x:v>
      </x:c>
      <x:c r="O12" s="48"/>
      <x:c r="P12" s="48"/>
      <x:c r="Q12" s="48"/>
      <x:c r="R12" s="48"/>
      <x:c r="S12" s="48"/>
      <x:c r="T12" s="48"/>
      <x:c r="U12" s="48"/>
      <x:c r="V12" s="48"/>
      <x:c r="W12" s="48"/>
    </x:row>
    <x:row r="13">
      <x:c r="C13" s="19" t="str">
        <x:v>MS-CT|C</x:v>
      </x:c>
      <x:c r="D13" s="19" t="str">
        <x:v>MS-CT</x:v>
      </x:c>
      <x:c r="E13" s="19" t="n">
        <x:v>14</x:v>
      </x:c>
      <x:c r="F13" s="19" t="n">
        <x:v>3</x:v>
      </x:c>
      <x:c r="G13" s="19" t="n">
        <x:f>E13*F13</x:f>
        <x:v>42</x:v>
      </x:c>
      <x:c r="H13" s="19" t="n">
        <x:f>Controls!D12</x:f>
        <x:v>10</x:v>
      </x:c>
      <x:c r="I13" s="19" t="n">
        <x:f>G13+H13</x:f>
        <x:v>52</x:v>
      </x:c>
      <x:c r="J13" s="19" t="n">
        <x:v>42</x:v>
      </x:c>
      <x:c r="K13" s="19" t="n">
        <x:v>51</x:v>
      </x:c>
      <x:c r="L13" s="19" t="n">
        <x:v>171</x:v>
      </x:c>
      <x:c r="M13" s="19" t="n">
        <x:v>9</x:v>
      </x:c>
      <x:c r="N13" s="21" t="str">
        <x:v>UNBUILT</x:v>
      </x:c>
      <x:c r="O13" s="48"/>
      <x:c r="P13" s="48"/>
      <x:c r="Q13" s="48"/>
      <x:c r="R13" s="48"/>
      <x:c r="S13" s="48"/>
      <x:c r="T13" s="48"/>
      <x:c r="U13" s="48"/>
      <x:c r="V13" s="48"/>
      <x:c r="W13" s="48"/>
    </x:row>
    <x:row r="14">
      <x:c r="C14" s="19" t="str">
        <x:v>MS-CT|D</x:v>
      </x:c>
      <x:c r="D14" s="19" t="str">
        <x:v>MS-CT</x:v>
      </x:c>
      <x:c r="E14" s="19" t="n">
        <x:v>14</x:v>
      </x:c>
      <x:c r="F14" s="19" t="n">
        <x:v>3</x:v>
      </x:c>
      <x:c r="G14" s="19" t="n">
        <x:f>E14*F14</x:f>
        <x:v>42</x:v>
      </x:c>
      <x:c r="H14" s="19" t="n">
        <x:f>Controls!D12</x:f>
        <x:v>10</x:v>
      </x:c>
      <x:c r="I14" s="19" t="n">
        <x:f>G14+H14</x:f>
        <x:v>52</x:v>
      </x:c>
      <x:c r="J14" s="19" t="n">
        <x:v>42</x:v>
      </x:c>
      <x:c r="K14" s="19" t="n">
        <x:v>51</x:v>
      </x:c>
      <x:c r="L14" s="19" t="n">
        <x:v>171</x:v>
      </x:c>
      <x:c r="M14" s="19" t="n">
        <x:v>9</x:v>
      </x:c>
      <x:c r="N14" s="21" t="str">
        <x:v>UNBUILT</x:v>
      </x:c>
      <x:c r="O14" s="48"/>
      <x:c r="P14" s="48"/>
      <x:c r="Q14" s="48"/>
      <x:c r="R14" s="48"/>
      <x:c r="S14" s="48"/>
      <x:c r="T14" s="48"/>
      <x:c r="U14" s="48"/>
      <x:c r="V14" s="48"/>
      <x:c r="W14" s="48"/>
    </x:row>
    <x:row r="15">
      <x:c r="C15" s="19" t="str">
        <x:v>MS-HC|A</x:v>
      </x:c>
      <x:c r="D15" s="19" t="str">
        <x:v>MS-HC</x:v>
      </x:c>
      <x:c r="E15" s="19" t="n">
        <x:v>7</x:v>
      </x:c>
      <x:c r="F15" s="19" t="n">
        <x:v>3</x:v>
      </x:c>
      <x:c r="G15" s="19" t="n">
        <x:f>E15*F15</x:f>
        <x:v>21</x:v>
      </x:c>
      <x:c r="H15" s="19" t="n">
        <x:f>Controls!D12</x:f>
        <x:v>10</x:v>
      </x:c>
      <x:c r="I15" s="19" t="n">
        <x:f>G15+H15</x:f>
        <x:v>31</x:v>
      </x:c>
      <x:c r="J15" s="19" t="n">
        <x:v>42</x:v>
      </x:c>
      <x:c r="K15" s="19" t="n">
        <x:v>51</x:v>
      </x:c>
      <x:c r="L15" s="19" t="n">
        <x:v>148</x:v>
      </x:c>
      <x:c r="M15" s="19" t="n">
        <x:v>9</x:v>
      </x:c>
      <x:c r="N15" s="21" t="str">
        <x:v>UNBUILT</x:v>
      </x:c>
      <x:c r="O15" s="48"/>
      <x:c r="P15" s="48"/>
      <x:c r="Q15" s="48"/>
      <x:c r="R15" s="48"/>
      <x:c r="S15" s="48"/>
      <x:c r="T15" s="48"/>
      <x:c r="U15" s="48"/>
      <x:c r="V15" s="48"/>
      <x:c r="W15" s="48"/>
    </x:row>
    <x:row r="16">
      <x:c r="C16" s="19" t="str">
        <x:v>MS-HC|B</x:v>
      </x:c>
      <x:c r="D16" s="19" t="str">
        <x:v>MS-HC</x:v>
      </x:c>
      <x:c r="E16" s="19" t="n">
        <x:v>7</x:v>
      </x:c>
      <x:c r="F16" s="19" t="n">
        <x:v>3</x:v>
      </x:c>
      <x:c r="G16" s="19" t="n">
        <x:f>E16*F16</x:f>
        <x:v>21</x:v>
      </x:c>
      <x:c r="H16" s="19" t="n">
        <x:f>Controls!D12</x:f>
        <x:v>10</x:v>
      </x:c>
      <x:c r="I16" s="19" t="n">
        <x:f>G16+H16</x:f>
        <x:v>31</x:v>
      </x:c>
      <x:c r="J16" s="19" t="n">
        <x:v>42</x:v>
      </x:c>
      <x:c r="K16" s="19" t="n">
        <x:v>51</x:v>
      </x:c>
      <x:c r="L16" s="19" t="n">
        <x:v>148</x:v>
      </x:c>
      <x:c r="M16" s="19" t="n">
        <x:v>9</x:v>
      </x:c>
      <x:c r="N16" s="21" t="str">
        <x:v>UNBUILT</x:v>
      </x:c>
      <x:c r="O16" s="48"/>
      <x:c r="P16" s="48"/>
      <x:c r="Q16" s="48"/>
      <x:c r="R16" s="48"/>
      <x:c r="S16" s="48"/>
      <x:c r="T16" s="48"/>
      <x:c r="U16" s="48"/>
      <x:c r="V16" s="48"/>
      <x:c r="W16" s="48"/>
    </x:row>
    <x:row r="17">
      <x:c r="C17" s="19" t="str">
        <x:v>MS-HC|C</x:v>
      </x:c>
      <x:c r="D17" s="19" t="str">
        <x:v>MS-HC</x:v>
      </x:c>
      <x:c r="E17" s="19" t="n">
        <x:v>7</x:v>
      </x:c>
      <x:c r="F17" s="19" t="n">
        <x:v>3</x:v>
      </x:c>
      <x:c r="G17" s="19" t="n">
        <x:f>E17*F17</x:f>
        <x:v>21</x:v>
      </x:c>
      <x:c r="H17" s="19" t="n">
        <x:f>Controls!D12</x:f>
        <x:v>10</x:v>
      </x:c>
      <x:c r="I17" s="19" t="n">
        <x:f>G17+H17</x:f>
        <x:v>31</x:v>
      </x:c>
      <x:c r="J17" s="19" t="n">
        <x:v>42</x:v>
      </x:c>
      <x:c r="K17" s="19" t="n">
        <x:v>51</x:v>
      </x:c>
      <x:c r="L17" s="19" t="n">
        <x:v>148</x:v>
      </x:c>
      <x:c r="M17" s="19" t="n">
        <x:v>9</x:v>
      </x:c>
      <x:c r="N17" s="21" t="str">
        <x:v>UNBUILT</x:v>
      </x:c>
      <x:c r="O17" s="48"/>
      <x:c r="P17" s="48"/>
      <x:c r="Q17" s="48"/>
      <x:c r="R17" s="48"/>
      <x:c r="S17" s="48"/>
      <x:c r="T17" s="48"/>
      <x:c r="U17" s="48"/>
      <x:c r="V17" s="48"/>
      <x:c r="W17" s="48"/>
    </x:row>
    <x:row r="18">
      <x:c r="C18" s="19" t="str">
        <x:v>MS-HC|D</x:v>
      </x:c>
      <x:c r="D18" s="19" t="str">
        <x:v>MS-HC</x:v>
      </x:c>
      <x:c r="E18" s="19" t="n">
        <x:v>7</x:v>
      </x:c>
      <x:c r="F18" s="19" t="n">
        <x:v>3</x:v>
      </x:c>
      <x:c r="G18" s="19" t="n">
        <x:f>E18*F18</x:f>
        <x:v>21</x:v>
      </x:c>
      <x:c r="H18" s="19" t="n">
        <x:f>Controls!D12</x:f>
        <x:v>10</x:v>
      </x:c>
      <x:c r="I18" s="19" t="n">
        <x:f>G18+H18</x:f>
        <x:v>31</x:v>
      </x:c>
      <x:c r="J18" s="19" t="n">
        <x:v>42</x:v>
      </x:c>
      <x:c r="K18" s="19" t="n">
        <x:v>51</x:v>
      </x:c>
      <x:c r="L18" s="19" t="n">
        <x:v>148</x:v>
      </x:c>
      <x:c r="M18" s="19" t="n">
        <x:v>9</x:v>
      </x:c>
      <x:c r="N18" s="21" t="str">
        <x:v>UNBUILT</x:v>
      </x:c>
      <x:c r="O18" s="48"/>
      <x:c r="P18" s="48"/>
      <x:c r="Q18" s="48"/>
      <x:c r="R18" s="48"/>
      <x:c r="S18" s="48"/>
      <x:c r="T18" s="48"/>
      <x:c r="U18" s="48"/>
      <x:c r="V18" s="48"/>
      <x:c r="W18" s="48"/>
    </x:row>
    <x:row r="19">
      <x:c r="C19" s="19" t="str">
        <x:v>MS-HU|A</x:v>
      </x:c>
      <x:c r="D19" s="19" t="str">
        <x:v>MS-HU</x:v>
      </x:c>
      <x:c r="E19" s="19" t="n">
        <x:v>34</x:v>
      </x:c>
      <x:c r="F19" s="19" t="n">
        <x:v>3</x:v>
      </x:c>
      <x:c r="G19" s="19" t="n">
        <x:f>E19*F19</x:f>
        <x:v>102</x:v>
      </x:c>
      <x:c r="H19" s="19" t="n">
        <x:f>Controls!D12</x:f>
        <x:v>10</x:v>
      </x:c>
      <x:c r="I19" s="19" t="n">
        <x:f>G19+H19</x:f>
        <x:v>112</x:v>
      </x:c>
      <x:c r="J19" s="19" t="n">
        <x:v>42</x:v>
      </x:c>
      <x:c r="K19" s="19" t="n">
        <x:v>51</x:v>
      </x:c>
      <x:c r="L19" s="19" t="n">
        <x:v>231</x:v>
      </x:c>
      <x:c r="M19" s="19" t="n">
        <x:v>9</x:v>
      </x:c>
      <x:c r="N19" s="21" t="str">
        <x:v>UNBUILT</x:v>
      </x:c>
      <x:c r="O19" s="48"/>
      <x:c r="P19" s="48"/>
      <x:c r="Q19" s="48"/>
      <x:c r="R19" s="48"/>
      <x:c r="S19" s="48"/>
      <x:c r="T19" s="48"/>
      <x:c r="U19" s="48"/>
      <x:c r="V19" s="48"/>
      <x:c r="W19" s="48"/>
    </x:row>
    <x:row r="20">
      <x:c r="C20" s="19" t="str">
        <x:v>MS-HU|B</x:v>
      </x:c>
      <x:c r="D20" s="19" t="str">
        <x:v>MS-HU</x:v>
      </x:c>
      <x:c r="E20" s="19" t="n">
        <x:v>34</x:v>
      </x:c>
      <x:c r="F20" s="19" t="n">
        <x:v>3</x:v>
      </x:c>
      <x:c r="G20" s="19" t="n">
        <x:f>E20*F20</x:f>
        <x:v>102</x:v>
      </x:c>
      <x:c r="H20" s="19" t="n">
        <x:f>Controls!D12</x:f>
        <x:v>10</x:v>
      </x:c>
      <x:c r="I20" s="19" t="n">
        <x:f>G20+H20</x:f>
        <x:v>112</x:v>
      </x:c>
      <x:c r="J20" s="19" t="n">
        <x:v>42</x:v>
      </x:c>
      <x:c r="K20" s="19" t="n">
        <x:v>51</x:v>
      </x:c>
      <x:c r="L20" s="19" t="n">
        <x:v>231</x:v>
      </x:c>
      <x:c r="M20" s="19" t="n">
        <x:v>9</x:v>
      </x:c>
      <x:c r="N20" s="21" t="str">
        <x:v>UNBUILT</x:v>
      </x:c>
      <x:c r="O20" s="48"/>
      <x:c r="P20" s="48"/>
      <x:c r="Q20" s="48"/>
      <x:c r="R20" s="48"/>
      <x:c r="S20" s="48"/>
      <x:c r="T20" s="48"/>
      <x:c r="U20" s="48"/>
      <x:c r="V20" s="48"/>
      <x:c r="W20" s="48"/>
    </x:row>
    <x:row r="21">
      <x:c r="C21" s="19" t="str">
        <x:v>MS-HU|C</x:v>
      </x:c>
      <x:c r="D21" s="19" t="str">
        <x:v>MS-HU</x:v>
      </x:c>
      <x:c r="E21" s="19" t="n">
        <x:v>34</x:v>
      </x:c>
      <x:c r="F21" s="19" t="n">
        <x:v>3</x:v>
      </x:c>
      <x:c r="G21" s="19" t="n">
        <x:f>E21*F21</x:f>
        <x:v>102</x:v>
      </x:c>
      <x:c r="H21" s="19" t="n">
        <x:f>Controls!D12</x:f>
        <x:v>10</x:v>
      </x:c>
      <x:c r="I21" s="19" t="n">
        <x:f>G21+H21</x:f>
        <x:v>112</x:v>
      </x:c>
      <x:c r="J21" s="19" t="n">
        <x:v>42</x:v>
      </x:c>
      <x:c r="K21" s="19" t="n">
        <x:v>51</x:v>
      </x:c>
      <x:c r="L21" s="19" t="n">
        <x:v>231</x:v>
      </x:c>
      <x:c r="M21" s="19" t="n">
        <x:v>9</x:v>
      </x:c>
      <x:c r="N21" s="21" t="str">
        <x:v>UNBUILT</x:v>
      </x:c>
      <x:c r="O21" s="48"/>
      <x:c r="P21" s="48"/>
      <x:c r="Q21" s="48"/>
      <x:c r="R21" s="48"/>
      <x:c r="S21" s="48"/>
      <x:c r="T21" s="48"/>
      <x:c r="U21" s="48"/>
      <x:c r="V21" s="48"/>
      <x:c r="W21" s="48"/>
    </x:row>
    <x:row r="22">
      <x:c r="C22" s="19" t="str">
        <x:v>MS-HU|D</x:v>
      </x:c>
      <x:c r="D22" s="19" t="str">
        <x:v>MS-HU</x:v>
      </x:c>
      <x:c r="E22" s="19" t="n">
        <x:v>34</x:v>
      </x:c>
      <x:c r="F22" s="19" t="n">
        <x:v>3</x:v>
      </x:c>
      <x:c r="G22" s="19" t="n">
        <x:f>E22*F22</x:f>
        <x:v>102</x:v>
      </x:c>
      <x:c r="H22" s="19" t="n">
        <x:f>Controls!D12</x:f>
        <x:v>10</x:v>
      </x:c>
      <x:c r="I22" s="19" t="n">
        <x:f>G22+H22</x:f>
        <x:v>112</x:v>
      </x:c>
      <x:c r="J22" s="19" t="n">
        <x:v>42</x:v>
      </x:c>
      <x:c r="K22" s="19" t="n">
        <x:v>51</x:v>
      </x:c>
      <x:c r="L22" s="19" t="n">
        <x:v>231</x:v>
      </x:c>
      <x:c r="M22" s="19" t="n">
        <x:v>9</x:v>
      </x:c>
      <x:c r="N22" s="21" t="str">
        <x:v>UNBUILT</x:v>
      </x:c>
      <x:c r="O22" s="48"/>
      <x:c r="P22" s="48"/>
      <x:c r="Q22" s="48"/>
      <x:c r="R22" s="48"/>
      <x:c r="S22" s="48"/>
      <x:c r="T22" s="48"/>
      <x:c r="U22" s="48"/>
      <x:c r="V22" s="48"/>
      <x:c r="W22" s="48"/>
    </x:row>
    <x:row r="23">
      <x:c r="C23" s="19" t="str">
        <x:v>MS-RT|A</x:v>
      </x:c>
      <x:c r="D23" s="19" t="str">
        <x:v>MS-RT</x:v>
      </x:c>
      <x:c r="E23" s="19" t="n">
        <x:v>17</x:v>
      </x:c>
      <x:c r="F23" s="19" t="n">
        <x:v>3</x:v>
      </x:c>
      <x:c r="G23" s="19" t="n">
        <x:f>E23*F23</x:f>
        <x:v>51</x:v>
      </x:c>
      <x:c r="H23" s="19" t="n">
        <x:f>Controls!D12</x:f>
        <x:v>10</x:v>
      </x:c>
      <x:c r="I23" s="19" t="n">
        <x:f>G23+H23</x:f>
        <x:v>61</x:v>
      </x:c>
      <x:c r="J23" s="19" t="n">
        <x:v>42</x:v>
      </x:c>
      <x:c r="K23" s="19" t="n">
        <x:v>51</x:v>
      </x:c>
      <x:c r="L23" s="19" t="n">
        <x:v>180</x:v>
      </x:c>
      <x:c r="M23" s="19" t="n">
        <x:v>9</x:v>
      </x:c>
      <x:c r="N23" s="21" t="str">
        <x:v>UNBUILT</x:v>
      </x:c>
      <x:c r="O23" s="48"/>
      <x:c r="P23" s="48"/>
      <x:c r="Q23" s="48"/>
      <x:c r="R23" s="48"/>
      <x:c r="S23" s="48"/>
      <x:c r="T23" s="48"/>
      <x:c r="U23" s="48"/>
      <x:c r="V23" s="48"/>
      <x:c r="W23" s="48"/>
    </x:row>
    <x:row r="24">
      <x:c r="C24" s="19" t="str">
        <x:v>MS-RT|B</x:v>
      </x:c>
      <x:c r="D24" s="19" t="str">
        <x:v>MS-RT</x:v>
      </x:c>
      <x:c r="E24" s="19" t="n">
        <x:v>17</x:v>
      </x:c>
      <x:c r="F24" s="19" t="n">
        <x:v>3</x:v>
      </x:c>
      <x:c r="G24" s="19" t="n">
        <x:f>E24*F24</x:f>
        <x:v>51</x:v>
      </x:c>
      <x:c r="H24" s="19" t="n">
        <x:f>Controls!D12</x:f>
        <x:v>10</x:v>
      </x:c>
      <x:c r="I24" s="19" t="n">
        <x:f>G24+H24</x:f>
        <x:v>61</x:v>
      </x:c>
      <x:c r="J24" s="19" t="n">
        <x:v>42</x:v>
      </x:c>
      <x:c r="K24" s="19" t="n">
        <x:v>51</x:v>
      </x:c>
      <x:c r="L24" s="19" t="n">
        <x:v>180</x:v>
      </x:c>
      <x:c r="M24" s="19" t="n">
        <x:v>9</x:v>
      </x:c>
      <x:c r="N24" s="21" t="str">
        <x:v>UNBUILT</x:v>
      </x:c>
      <x:c r="O24" s="48"/>
      <x:c r="P24" s="48"/>
      <x:c r="Q24" s="48"/>
      <x:c r="R24" s="48"/>
      <x:c r="S24" s="48"/>
      <x:c r="T24" s="48"/>
      <x:c r="U24" s="48"/>
      <x:c r="V24" s="48"/>
      <x:c r="W24" s="48"/>
    </x:row>
    <x:row r="25">
      <x:c r="C25" s="19" t="str">
        <x:v>MS-RT|C</x:v>
      </x:c>
      <x:c r="D25" s="19" t="str">
        <x:v>MS-RT</x:v>
      </x:c>
      <x:c r="E25" s="19" t="n">
        <x:v>17</x:v>
      </x:c>
      <x:c r="F25" s="19" t="n">
        <x:v>3</x:v>
      </x:c>
      <x:c r="G25" s="19" t="n">
        <x:f>E25*F25</x:f>
        <x:v>51</x:v>
      </x:c>
      <x:c r="H25" s="19" t="n">
        <x:f>Controls!D12</x:f>
        <x:v>10</x:v>
      </x:c>
      <x:c r="I25" s="19" t="n">
        <x:f>G25+H25</x:f>
        <x:v>61</x:v>
      </x:c>
      <x:c r="J25" s="19" t="n">
        <x:v>42</x:v>
      </x:c>
      <x:c r="K25" s="19" t="n">
        <x:v>51</x:v>
      </x:c>
      <x:c r="L25" s="19" t="n">
        <x:v>180</x:v>
      </x:c>
      <x:c r="M25" s="19" t="n">
        <x:v>9</x:v>
      </x:c>
      <x:c r="N25" s="21" t="str">
        <x:v>UNBUILT</x:v>
      </x:c>
      <x:c r="O25" s="48"/>
      <x:c r="P25" s="48"/>
      <x:c r="Q25" s="48"/>
      <x:c r="R25" s="48"/>
      <x:c r="S25" s="48"/>
      <x:c r="T25" s="48"/>
      <x:c r="U25" s="48"/>
      <x:c r="V25" s="48"/>
      <x:c r="W25" s="48"/>
    </x:row>
    <x:row r="26">
      <x:c r="C26" s="19" t="str">
        <x:v>MS-RT|D</x:v>
      </x:c>
      <x:c r="D26" s="19" t="str">
        <x:v>MS-RT</x:v>
      </x:c>
      <x:c r="E26" s="19" t="n">
        <x:v>17</x:v>
      </x:c>
      <x:c r="F26" s="19" t="n">
        <x:v>3</x:v>
      </x:c>
      <x:c r="G26" s="19" t="n">
        <x:f>E26*F26</x:f>
        <x:v>51</x:v>
      </x:c>
      <x:c r="H26" s="19" t="n">
        <x:f>Controls!D12</x:f>
        <x:v>10</x:v>
      </x:c>
      <x:c r="I26" s="19" t="n">
        <x:f>G26+H26</x:f>
        <x:v>61</x:v>
      </x:c>
      <x:c r="J26" s="19" t="n">
        <x:v>42</x:v>
      </x:c>
      <x:c r="K26" s="19" t="n">
        <x:v>51</x:v>
      </x:c>
      <x:c r="L26" s="19" t="n">
        <x:v>180</x:v>
      </x:c>
      <x:c r="M26" s="19" t="n">
        <x:v>9</x:v>
      </x:c>
      <x:c r="N26" s="21" t="str">
        <x:v>UNBUILT</x:v>
      </x:c>
      <x:c r="O26" s="48"/>
      <x:c r="P26" s="48"/>
      <x:c r="Q26" s="48"/>
      <x:c r="R26" s="48"/>
      <x:c r="S26" s="48"/>
      <x:c r="T26" s="48"/>
      <x:c r="U26" s="48"/>
      <x:c r="V26" s="48"/>
      <x:c r="W26" s="48"/>
    </x:row>
    <x:row r="27">
      <x:c r="C27" s="19"/>
      <x:c r="D27" s="19"/>
      <x:c r="E27" s="19"/>
      <x:c r="F27" s="19"/>
      <x:c r="G27" s="19"/>
      <x:c r="H27" s="19"/>
      <x:c r="I27" s="19"/>
      <x:c r="J27" s="19"/>
      <x:c r="K27" s="19"/>
      <x:c r="L27" s="19"/>
      <x:c r="M27" s="19"/>
      <x:c r="N27" s="21"/>
      <x:c r="O27" s="48"/>
      <x:c r="P27" s="48"/>
      <x:c r="Q27" s="48"/>
      <x:c r="R27" s="48"/>
      <x:c r="S27" s="48"/>
      <x:c r="T27" s="48"/>
      <x:c r="U27" s="48"/>
      <x:c r="V27" s="48"/>
      <x:c r="W27" s="48"/>
    </x:row>
    <x:row r="28">
      <x:c r="C28" s="37" t="str">
        <x:v>Total</x:v>
      </x:c>
      <x:c r="D28" s="37"/>
      <x:c r="E28" s="37" t="n">
        <x:f>SUM(E7:E26)</x:f>
        <x:v>356</x:v>
      </x:c>
      <x:c r="F28" s="37" t="n">
        <x:f>SUM(F7:F26)</x:f>
        <x:v>60</x:v>
      </x:c>
      <x:c r="G28" s="37" t="n">
        <x:f>SUM(G7:G26)</x:f>
        <x:v>1068</x:v>
      </x:c>
      <x:c r="H28" s="37" t="n">
        <x:f>SUM(H7:H26)</x:f>
        <x:v>200</x:v>
      </x:c>
      <x:c r="I28" s="37" t="n">
        <x:f>SUM(I7:I26)</x:f>
        <x:v>1268</x:v>
      </x:c>
      <x:c r="J28" s="37" t="n">
        <x:f>SUM(J7:J26)</x:f>
        <x:v>840</x:v>
      </x:c>
      <x:c r="K28" s="37" t="n">
        <x:f>SUM(K7:K26)</x:f>
        <x:v>1020</x:v>
      </x:c>
      <x:c r="L28" s="37" t="n">
        <x:f>SUM(L7:L26)</x:f>
        <x:v>3640</x:v>
      </x:c>
      <x:c r="M28" s="37" t="n">
        <x:f>SUM(M7:M26)</x:f>
        <x:v>180</x:v>
      </x:c>
      <x:c r="N28" s="38"/>
      <x:c r="O28" s="48"/>
      <x:c r="P28" s="48"/>
      <x:c r="Q28" s="48"/>
      <x:c r="R28" s="48"/>
      <x:c r="S28" s="48"/>
      <x:c r="T28" s="48"/>
      <x:c r="U28" s="48"/>
      <x:c r="V28" s="48"/>
      <x:c r="W28" s="48"/>
    </x:row>
    <x:row r="29"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48"/>
      <x:c r="P29" s="48"/>
      <x:c r="Q29" s="48"/>
      <x:c r="R29" s="48"/>
      <x:c r="S29" s="48"/>
      <x:c r="T29" s="48"/>
      <x:c r="U29" s="48"/>
      <x:c r="V29" s="48"/>
      <x:c r="W29" s="48"/>
    </x:row>
    <x:row r="30"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48"/>
      <x:c r="P30" s="48"/>
      <x:c r="Q30" s="48"/>
      <x:c r="R30" s="48"/>
      <x:c r="S30" s="48"/>
      <x:c r="T30" s="48"/>
      <x:c r="U30" s="48"/>
      <x:c r="V30" s="48"/>
      <x:c r="W30" s="48"/>
    </x:row>
    <x:row r="31"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48"/>
      <x:c r="P31" s="48"/>
      <x:c r="Q31" s="48"/>
      <x:c r="R31" s="48"/>
      <x:c r="S31" s="48"/>
      <x:c r="T31" s="48"/>
      <x:c r="U31" s="48"/>
      <x:c r="V31" s="48"/>
      <x:c r="W31" s="48"/>
    </x:row>
    <x:row r="32"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48"/>
      <x:c r="P32" s="48"/>
      <x:c r="Q32" s="48"/>
      <x:c r="R32" s="48"/>
      <x:c r="S32" s="48"/>
      <x:c r="T32" s="48"/>
      <x:c r="U32" s="48"/>
      <x:c r="V32" s="48"/>
      <x:c r="W32" s="48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3" max="3" width="18" hidden="0" customWidth="1"/>
    <x:col min="4" max="4" width="18" hidden="0" customWidth="1"/>
    <x:col min="5" max="5" width="18" hidden="0" customWidth="1"/>
    <x:col min="6" max="6" width="34" hidden="0" customWidth="1"/>
    <x:col min="7" max="7" width="24" hidden="0" customWidth="1"/>
    <x:col min="8" max="8" width="14" hidden="0" customWidth="1"/>
    <x:col min="9" max="9" width="14" hidden="0" customWidth="1"/>
  </x:cols>
  <x:sheetData>
    <x:row r="1">
      <x:c r="C1" s="2"/>
      <x:c r="D1" s="2"/>
      <x:c r="E1" s="2"/>
      <x:c r="F1" s="2"/>
      <x:c r="G1" s="2"/>
      <x:c r="H1" s="2"/>
      <x:c r="I1" s="2"/>
      <x:c r="J1" s="48"/>
      <x:c r="K1" s="48"/>
      <x:c r="L1" s="48"/>
      <x:c r="M1" s="48"/>
      <x:c r="N1" s="48"/>
      <x:c r="O1" s="48"/>
      <x:c r="P1" s="48"/>
      <x:c r="Q1" s="48"/>
      <x:c r="R1" s="48"/>
      <x:c r="S1" s="48"/>
      <x:c r="T1" s="48"/>
      <x:c r="U1" s="48"/>
      <x:c r="V1" s="48"/>
      <x:c r="W1" s="48"/>
    </x:row>
    <x:row r="2">
      <x:c r="C2" s="3" t="str">
        <x:v>Root-exclusive decisive ancestry</x:v>
      </x:c>
      <x:c r="D2" s="2"/>
      <x:c r="E2" s="2"/>
      <x:c r="F2" s="2"/>
      <x:c r="G2" s="2"/>
      <x:c r="H2" s="2"/>
      <x:c r="I2" s="2"/>
      <x:c r="J2" s="48"/>
      <x:c r="K2" s="48"/>
      <x:c r="L2" s="48"/>
      <x:c r="M2" s="48"/>
      <x:c r="N2" s="48"/>
      <x:c r="O2" s="48"/>
      <x:c r="P2" s="48"/>
      <x:c r="Q2" s="48"/>
      <x:c r="R2" s="48"/>
      <x:c r="S2" s="48"/>
      <x:c r="T2" s="48"/>
      <x:c r="U2" s="48"/>
      <x:c r="V2" s="48"/>
      <x:c r="W2" s="48"/>
    </x:row>
    <x:row r="3">
      <x:c r="C3" s="5" t="str">
        <x:v>Reserved identifiers define slots; accepted physical identities remain source-empty.</x:v>
      </x:c>
      <x:c r="D3" s="6"/>
      <x:c r="E3" s="6"/>
      <x:c r="F3" s="6"/>
      <x:c r="G3" s="6"/>
      <x:c r="H3" s="6"/>
      <x:c r="I3" s="6"/>
      <x:c r="J3" s="49"/>
      <x:c r="K3" s="49"/>
      <x:c r="L3" s="49"/>
      <x:c r="M3" s="49"/>
      <x:c r="N3" s="49"/>
      <x:c r="O3" s="49"/>
      <x:c r="P3" s="49"/>
      <x:c r="Q3" s="49"/>
      <x:c r="R3" s="49"/>
      <x:c r="S3" s="49"/>
      <x:c r="T3" s="49"/>
      <x:c r="U3" s="49"/>
      <x:c r="V3" s="49"/>
      <x:c r="W3" s="49"/>
    </x:row>
    <x:row r="4">
      <x:c r="C4" s="2"/>
      <x:c r="D4" s="2"/>
      <x:c r="E4" s="2"/>
      <x:c r="F4" s="2"/>
      <x:c r="G4" s="2"/>
      <x:c r="H4" s="2"/>
      <x:c r="I4" s="2"/>
      <x:c r="J4" s="48"/>
      <x:c r="K4" s="48"/>
      <x:c r="L4" s="48"/>
      <x:c r="M4" s="48"/>
      <x:c r="N4" s="48"/>
      <x:c r="O4" s="48"/>
      <x:c r="P4" s="48"/>
      <x:c r="Q4" s="48"/>
      <x:c r="R4" s="48"/>
      <x:c r="S4" s="48"/>
      <x:c r="T4" s="48"/>
      <x:c r="U4" s="48"/>
      <x:c r="V4" s="48"/>
      <x:c r="W4" s="48"/>
    </x:row>
    <x:row r="5">
      <x:c r="C5" s="2"/>
      <x:c r="D5" s="2"/>
      <x:c r="E5" s="2"/>
      <x:c r="F5" s="2"/>
      <x:c r="G5" s="2"/>
      <x:c r="H5" s="2"/>
      <x:c r="I5" s="2"/>
      <x:c r="J5" s="48"/>
      <x:c r="K5" s="48"/>
      <x:c r="L5" s="48"/>
      <x:c r="M5" s="48"/>
      <x:c r="N5" s="48"/>
      <x:c r="O5" s="48"/>
      <x:c r="P5" s="48"/>
      <x:c r="Q5" s="48"/>
      <x:c r="R5" s="48"/>
      <x:c r="S5" s="48"/>
      <x:c r="T5" s="48"/>
      <x:c r="U5" s="48"/>
      <x:c r="V5" s="48"/>
      <x:c r="W5" s="48"/>
    </x:row>
    <x:row r="6">
      <x:c r="C6" s="17" t="str">
        <x:v>Record</x:v>
      </x:c>
      <x:c r="D6" s="18" t="str">
        <x:v>Root</x:v>
      </x:c>
      <x:c r="E6" s="18" t="str">
        <x:v>System</x:v>
      </x:c>
      <x:c r="F6" s="18" t="str">
        <x:v>Domain</x:v>
      </x:c>
      <x:c r="G6" s="18" t="str">
        <x:v>Reserved slot</x:v>
      </x:c>
      <x:c r="H6" s="18" t="str">
        <x:v>Accepted</x:v>
      </x:c>
      <x:c r="I6" s="18" t="str">
        <x:v>State</x:v>
      </x:c>
      <x:c r="J6" s="48"/>
      <x:c r="K6" s="48"/>
      <x:c r="L6" s="48"/>
      <x:c r="M6" s="48"/>
      <x:c r="N6" s="48"/>
      <x:c r="O6" s="48"/>
      <x:c r="P6" s="48"/>
      <x:c r="Q6" s="48"/>
      <x:c r="R6" s="48"/>
      <x:c r="S6" s="48"/>
      <x:c r="T6" s="48"/>
      <x:c r="U6" s="48"/>
      <x:c r="V6" s="48"/>
      <x:c r="W6" s="48"/>
    </x:row>
    <x:row r="7">
      <x:c r="C7" s="19" t="str">
        <x:v>AN-ET-A-01</x:v>
      </x:c>
      <x:c r="D7" s="19" t="str">
        <x:v>MS-ET|A</x:v>
      </x:c>
      <x:c r="E7" s="19" t="str">
        <x:v>MS-ET</x:v>
      </x:c>
      <x:c r="F7" s="19" t="str">
        <x:v>root integrator</x:v>
      </x:c>
      <x:c r="G7" s="19" t="str">
        <x:v>RES-ET-A-01</x:v>
      </x:c>
      <x:c r="H7" s="20" t="n">
        <x:v>0</x:v>
      </x:c>
      <x:c r="I7" s="21" t="str">
        <x:v>UNDECLARED</x:v>
      </x:c>
      <x:c r="J7" s="48"/>
      <x:c r="K7" s="48"/>
      <x:c r="L7" s="48"/>
      <x:c r="M7" s="48"/>
      <x:c r="N7" s="48"/>
      <x:c r="O7" s="48"/>
      <x:c r="P7" s="48"/>
      <x:c r="Q7" s="48"/>
      <x:c r="R7" s="48"/>
      <x:c r="S7" s="48"/>
      <x:c r="T7" s="48"/>
      <x:c r="U7" s="48"/>
      <x:c r="V7" s="48"/>
      <x:c r="W7" s="48"/>
    </x:row>
    <x:row r="8">
      <x:c r="C8" s="19" t="str">
        <x:v>AN-ET-A-02</x:v>
      </x:c>
      <x:c r="D8" s="19" t="str">
        <x:v>MS-ET|A</x:v>
      </x:c>
      <x:c r="E8" s="19" t="str">
        <x:v>MS-ET</x:v>
      </x:c>
      <x:c r="F8" s="19" t="str">
        <x:v>prime work physics</x:v>
      </x:c>
      <x:c r="G8" s="19" t="str">
        <x:v>RES-ET-A-02</x:v>
      </x:c>
      <x:c r="H8" s="20" t="n">
        <x:v>0</x:v>
      </x:c>
      <x:c r="I8" s="21" t="str">
        <x:v>UNDECLARED</x:v>
      </x:c>
      <x:c r="J8" s="48"/>
      <x:c r="K8" s="48"/>
      <x:c r="L8" s="48"/>
      <x:c r="M8" s="48"/>
      <x:c r="N8" s="48"/>
      <x:c r="O8" s="48"/>
      <x:c r="P8" s="48"/>
      <x:c r="Q8" s="48"/>
      <x:c r="R8" s="48"/>
      <x:c r="S8" s="48"/>
      <x:c r="T8" s="48"/>
      <x:c r="U8" s="48"/>
      <x:c r="V8" s="48"/>
      <x:c r="W8" s="48"/>
    </x:row>
    <x:row r="9">
      <x:c r="C9" s="19" t="str">
        <x:v>AN-ET-A-03</x:v>
      </x:c>
      <x:c r="D9" s="19" t="str">
        <x:v>MS-ET|A</x:v>
      </x:c>
      <x:c r="E9" s="19" t="str">
        <x:v>MS-ET</x:v>
      </x:c>
      <x:c r="F9" s="19" t="str">
        <x:v>energy conversion</x:v>
      </x:c>
      <x:c r="G9" s="19" t="str">
        <x:v>RES-ET-A-03</x:v>
      </x:c>
      <x:c r="H9" s="20" t="n">
        <x:v>0</x:v>
      </x:c>
      <x:c r="I9" s="21" t="str">
        <x:v>UNDECLARED</x:v>
      </x:c>
      <x:c r="J9" s="48"/>
      <x:c r="K9" s="48"/>
      <x:c r="L9" s="48"/>
      <x:c r="M9" s="48"/>
      <x:c r="N9" s="48"/>
      <x:c r="O9" s="48"/>
      <x:c r="P9" s="48"/>
      <x:c r="Q9" s="48"/>
      <x:c r="R9" s="48"/>
      <x:c r="S9" s="48"/>
      <x:c r="T9" s="48"/>
      <x:c r="U9" s="48"/>
      <x:c r="V9" s="48"/>
      <x:c r="W9" s="48"/>
    </x:row>
    <x:row r="10">
      <x:c r="C10" s="19" t="str">
        <x:v>AN-ET-A-04</x:v>
      </x:c>
      <x:c r="D10" s="19" t="str">
        <x:v>MS-ET|A</x:v>
      </x:c>
      <x:c r="E10" s="19" t="str">
        <x:v>MS-ET</x:v>
      </x:c>
      <x:c r="F10" s="19" t="str">
        <x:v>structural process</x:v>
      </x:c>
      <x:c r="G10" s="19" t="str">
        <x:v>RES-ET-A-04</x:v>
      </x:c>
      <x:c r="H10" s="20" t="n">
        <x:v>0</x:v>
      </x:c>
      <x:c r="I10" s="21" t="str">
        <x:v>UNDECLARED</x:v>
      </x:c>
      <x:c r="J10" s="48"/>
      <x:c r="K10" s="48"/>
      <x:c r="L10" s="48"/>
      <x:c r="M10" s="48"/>
      <x:c r="N10" s="48"/>
      <x:c r="O10" s="48"/>
      <x:c r="P10" s="48"/>
      <x:c r="Q10" s="48"/>
      <x:c r="R10" s="48"/>
      <x:c r="S10" s="48"/>
      <x:c r="T10" s="48"/>
      <x:c r="U10" s="48"/>
      <x:c r="V10" s="48"/>
      <x:c r="W10" s="48"/>
    </x:row>
    <x:row r="11">
      <x:c r="C11" s="19" t="str">
        <x:v>AN-ET-A-05</x:v>
      </x:c>
      <x:c r="D11" s="19" t="str">
        <x:v>MS-ET|A</x:v>
      </x:c>
      <x:c r="E11" s="19" t="str">
        <x:v>MS-ET</x:v>
      </x:c>
      <x:c r="F11" s="19" t="str">
        <x:v>critical-feedstock conversion</x:v>
      </x:c>
      <x:c r="G11" s="19" t="str">
        <x:v>RES-ET-A-05</x:v>
      </x:c>
      <x:c r="H11" s="20" t="n">
        <x:v>0</x:v>
      </x:c>
      <x:c r="I11" s="21" t="str">
        <x:v>UNDECLARED</x:v>
      </x:c>
      <x:c r="J11" s="48"/>
      <x:c r="K11" s="48"/>
      <x:c r="L11" s="48"/>
      <x:c r="M11" s="48"/>
      <x:c r="N11" s="48"/>
      <x:c r="O11" s="48"/>
      <x:c r="P11" s="48"/>
      <x:c r="Q11" s="48"/>
      <x:c r="R11" s="48"/>
      <x:c r="S11" s="48"/>
      <x:c r="T11" s="48"/>
      <x:c r="U11" s="48"/>
      <x:c r="V11" s="48"/>
      <x:c r="W11" s="48"/>
    </x:row>
    <x:row r="12">
      <x:c r="C12" s="19" t="str">
        <x:v>AN-ET-A-06</x:v>
      </x:c>
      <x:c r="D12" s="19" t="str">
        <x:v>MS-ET|A</x:v>
      </x:c>
      <x:c r="E12" s="19" t="str">
        <x:v>MS-ET</x:v>
      </x:c>
      <x:c r="F12" s="19" t="str">
        <x:v>control keys</x:v>
      </x:c>
      <x:c r="G12" s="19" t="str">
        <x:v>RES-ET-A-06</x:v>
      </x:c>
      <x:c r="H12" s="20" t="n">
        <x:v>0</x:v>
      </x:c>
      <x:c r="I12" s="21" t="str">
        <x:v>UNDECLARED</x:v>
      </x:c>
      <x:c r="J12" s="48"/>
      <x:c r="K12" s="48"/>
      <x:c r="L12" s="48"/>
      <x:c r="M12" s="48"/>
      <x:c r="N12" s="48"/>
      <x:c r="O12" s="48"/>
      <x:c r="P12" s="48"/>
      <x:c r="Q12" s="48"/>
      <x:c r="R12" s="48"/>
      <x:c r="S12" s="48"/>
      <x:c r="T12" s="48"/>
      <x:c r="U12" s="48"/>
      <x:c r="V12" s="48"/>
      <x:c r="W12" s="48"/>
    </x:row>
    <x:row r="13">
      <x:c r="C13" s="19" t="str">
        <x:v>AN-ET-A-07</x:v>
      </x:c>
      <x:c r="D13" s="19" t="str">
        <x:v>MS-ET|A</x:v>
      </x:c>
      <x:c r="E13" s="19" t="str">
        <x:v>MS-ET</x:v>
      </x:c>
      <x:c r="F13" s="19" t="str">
        <x:v>communications and time implementation</x:v>
      </x:c>
      <x:c r="G13" s="19" t="str">
        <x:v>RES-ET-A-07</x:v>
      </x:c>
      <x:c r="H13" s="20" t="n">
        <x:v>0</x:v>
      </x:c>
      <x:c r="I13" s="21" t="str">
        <x:v>UNDECLARED</x:v>
      </x:c>
      <x:c r="J13" s="48"/>
      <x:c r="K13" s="48"/>
      <x:c r="L13" s="48"/>
      <x:c r="M13" s="48"/>
      <x:c r="N13" s="48"/>
      <x:c r="O13" s="48"/>
      <x:c r="P13" s="48"/>
      <x:c r="Q13" s="48"/>
      <x:c r="R13" s="48"/>
      <x:c r="S13" s="48"/>
      <x:c r="T13" s="48"/>
      <x:c r="U13" s="48"/>
      <x:c r="V13" s="48"/>
      <x:c r="W13" s="48"/>
    </x:row>
    <x:row r="14">
      <x:c r="C14" s="19" t="str">
        <x:v>AN-ET-A-08</x:v>
      </x:c>
      <x:c r="D14" s="19" t="str">
        <x:v>MS-ET|A</x:v>
      </x:c>
      <x:c r="E14" s="19" t="str">
        <x:v>MS-ET</x:v>
      </x:c>
      <x:c r="F14" s="19" t="str">
        <x:v>calibration chain</x:v>
      </x:c>
      <x:c r="G14" s="19" t="str">
        <x:v>RES-ET-A-08</x:v>
      </x:c>
      <x:c r="H14" s="20" t="n">
        <x:v>0</x:v>
      </x:c>
      <x:c r="I14" s="21" t="str">
        <x:v>UNDECLARED</x:v>
      </x:c>
      <x:c r="J14" s="48"/>
      <x:c r="K14" s="48"/>
      <x:c r="L14" s="48"/>
      <x:c r="M14" s="48"/>
      <x:c r="N14" s="48"/>
      <x:c r="O14" s="48"/>
      <x:c r="P14" s="48"/>
      <x:c r="Q14" s="48"/>
      <x:c r="R14" s="48"/>
      <x:c r="S14" s="48"/>
      <x:c r="T14" s="48"/>
      <x:c r="U14" s="48"/>
      <x:c r="V14" s="48"/>
      <x:c r="W14" s="48"/>
    </x:row>
    <x:row r="15">
      <x:c r="C15" s="19" t="str">
        <x:v>AN-ET-A-09</x:v>
      </x:c>
      <x:c r="D15" s="19" t="str">
        <x:v>MS-ET|A</x:v>
      </x:c>
      <x:c r="E15" s="19" t="str">
        <x:v>MS-ET</x:v>
      </x:c>
      <x:c r="F15" s="19" t="str">
        <x:v>production tooling</x:v>
      </x:c>
      <x:c r="G15" s="19" t="str">
        <x:v>RES-ET-A-09</x:v>
      </x:c>
      <x:c r="H15" s="20" t="n">
        <x:v>0</x:v>
      </x:c>
      <x:c r="I15" s="21" t="str">
        <x:v>UNDECLARED</x:v>
      </x:c>
      <x:c r="J15" s="48"/>
      <x:c r="K15" s="48"/>
      <x:c r="L15" s="48"/>
      <x:c r="M15" s="48"/>
      <x:c r="N15" s="48"/>
      <x:c r="O15" s="48"/>
      <x:c r="P15" s="48"/>
      <x:c r="Q15" s="48"/>
      <x:c r="R15" s="48"/>
      <x:c r="S15" s="48"/>
      <x:c r="T15" s="48"/>
      <x:c r="U15" s="48"/>
      <x:c r="V15" s="48"/>
      <x:c r="W15" s="48"/>
    </x:row>
    <x:row r="16">
      <x:c r="C16" s="19" t="str">
        <x:v>AN-ET-A-10</x:v>
      </x:c>
      <x:c r="D16" s="19" t="str">
        <x:v>MS-ET|A</x:v>
      </x:c>
      <x:c r="E16" s="19" t="str">
        <x:v>MS-ET</x:v>
      </x:c>
      <x:c r="F16" s="19" t="str">
        <x:v>final assembly cell</x:v>
      </x:c>
      <x:c r="G16" s="19" t="str">
        <x:v>RES-ET-A-10</x:v>
      </x:c>
      <x:c r="H16" s="20" t="n">
        <x:v>0</x:v>
      </x:c>
      <x:c r="I16" s="21" t="str">
        <x:v>UNDECLARED</x:v>
      </x:c>
      <x:c r="J16" s="48"/>
      <x:c r="K16" s="48"/>
      <x:c r="L16" s="48"/>
      <x:c r="M16" s="48"/>
      <x:c r="N16" s="48"/>
      <x:c r="O16" s="48"/>
      <x:c r="P16" s="48"/>
      <x:c r="Q16" s="48"/>
      <x:c r="R16" s="48"/>
      <x:c r="S16" s="48"/>
      <x:c r="T16" s="48"/>
      <x:c r="U16" s="48"/>
      <x:c r="V16" s="48"/>
      <x:c r="W16" s="48"/>
    </x:row>
    <x:row r="17">
      <x:c r="C17" s="19" t="str">
        <x:v>AN-ET-A-11</x:v>
      </x:c>
      <x:c r="D17" s="19" t="str">
        <x:v>MS-ET|A</x:v>
      </x:c>
      <x:c r="E17" s="19" t="str">
        <x:v>MS-ET</x:v>
      </x:c>
      <x:c r="F17" s="19" t="str">
        <x:v>repair route</x:v>
      </x:c>
      <x:c r="G17" s="19" t="str">
        <x:v>RES-ET-A-11</x:v>
      </x:c>
      <x:c r="H17" s="20" t="n">
        <x:v>0</x:v>
      </x:c>
      <x:c r="I17" s="21" t="str">
        <x:v>UNDECLARED</x:v>
      </x:c>
      <x:c r="J17" s="48"/>
      <x:c r="K17" s="48"/>
      <x:c r="L17" s="48"/>
      <x:c r="M17" s="48"/>
      <x:c r="N17" s="48"/>
      <x:c r="O17" s="48"/>
      <x:c r="P17" s="48"/>
      <x:c r="Q17" s="48"/>
      <x:c r="R17" s="48"/>
      <x:c r="S17" s="48"/>
      <x:c r="T17" s="48"/>
      <x:c r="U17" s="48"/>
      <x:c r="V17" s="48"/>
      <x:c r="W17" s="48"/>
    </x:row>
    <x:row r="18">
      <x:c r="C18" s="19" t="str">
        <x:v>AN-ET-A-12</x:v>
      </x:c>
      <x:c r="D18" s="19" t="str">
        <x:v>MS-ET|A</x:v>
      </x:c>
      <x:c r="E18" s="19" t="str">
        <x:v>MS-ET</x:v>
      </x:c>
      <x:c r="F18" s="19" t="str">
        <x:v>evidence chain</x:v>
      </x:c>
      <x:c r="G18" s="19" t="str">
        <x:v>RES-ET-A-12</x:v>
      </x:c>
      <x:c r="H18" s="20" t="n">
        <x:v>0</x:v>
      </x:c>
      <x:c r="I18" s="21" t="str">
        <x:v>UNDECLARED</x:v>
      </x:c>
      <x:c r="J18" s="48"/>
      <x:c r="K18" s="48"/>
      <x:c r="L18" s="48"/>
      <x:c r="M18" s="48"/>
      <x:c r="N18" s="48"/>
      <x:c r="O18" s="48"/>
      <x:c r="P18" s="48"/>
      <x:c r="Q18" s="48"/>
      <x:c r="R18" s="48"/>
      <x:c r="S18" s="48"/>
      <x:c r="T18" s="48"/>
      <x:c r="U18" s="48"/>
      <x:c r="V18" s="48"/>
      <x:c r="W18" s="48"/>
    </x:row>
    <x:row r="19">
      <x:c r="C19" s="19" t="str">
        <x:v>AN-ET-B-01</x:v>
      </x:c>
      <x:c r="D19" s="19" t="str">
        <x:v>MS-ET|B</x:v>
      </x:c>
      <x:c r="E19" s="19" t="str">
        <x:v>MS-ET</x:v>
      </x:c>
      <x:c r="F19" s="19" t="str">
        <x:v>root integrator</x:v>
      </x:c>
      <x:c r="G19" s="19" t="str">
        <x:v>RES-ET-B-01</x:v>
      </x:c>
      <x:c r="H19" s="20" t="n">
        <x:v>0</x:v>
      </x:c>
      <x:c r="I19" s="21" t="str">
        <x:v>UNDECLARED</x:v>
      </x:c>
      <x:c r="J19" s="48"/>
      <x:c r="K19" s="48"/>
      <x:c r="L19" s="48"/>
      <x:c r="M19" s="48"/>
      <x:c r="N19" s="48"/>
      <x:c r="O19" s="48"/>
      <x:c r="P19" s="48"/>
      <x:c r="Q19" s="48"/>
      <x:c r="R19" s="48"/>
      <x:c r="S19" s="48"/>
      <x:c r="T19" s="48"/>
      <x:c r="U19" s="48"/>
      <x:c r="V19" s="48"/>
      <x:c r="W19" s="48"/>
    </x:row>
    <x:row r="20">
      <x:c r="C20" s="19" t="str">
        <x:v>AN-ET-B-02</x:v>
      </x:c>
      <x:c r="D20" s="19" t="str">
        <x:v>MS-ET|B</x:v>
      </x:c>
      <x:c r="E20" s="19" t="str">
        <x:v>MS-ET</x:v>
      </x:c>
      <x:c r="F20" s="19" t="str">
        <x:v>prime work physics</x:v>
      </x:c>
      <x:c r="G20" s="19" t="str">
        <x:v>RES-ET-B-02</x:v>
      </x:c>
      <x:c r="H20" s="20" t="n">
        <x:v>0</x:v>
      </x:c>
      <x:c r="I20" s="21" t="str">
        <x:v>UNDECLARED</x:v>
      </x:c>
      <x:c r="J20" s="48"/>
      <x:c r="K20" s="48"/>
      <x:c r="L20" s="48"/>
      <x:c r="M20" s="48"/>
      <x:c r="N20" s="48"/>
      <x:c r="O20" s="48"/>
      <x:c r="P20" s="48"/>
      <x:c r="Q20" s="48"/>
      <x:c r="R20" s="48"/>
      <x:c r="S20" s="48"/>
      <x:c r="T20" s="48"/>
      <x:c r="U20" s="48"/>
      <x:c r="V20" s="48"/>
      <x:c r="W20" s="48"/>
    </x:row>
    <x:row r="21">
      <x:c r="C21" s="19" t="str">
        <x:v>AN-ET-B-03</x:v>
      </x:c>
      <x:c r="D21" s="19" t="str">
        <x:v>MS-ET|B</x:v>
      </x:c>
      <x:c r="E21" s="19" t="str">
        <x:v>MS-ET</x:v>
      </x:c>
      <x:c r="F21" s="19" t="str">
        <x:v>energy conversion</x:v>
      </x:c>
      <x:c r="G21" s="19" t="str">
        <x:v>RES-ET-B-03</x:v>
      </x:c>
      <x:c r="H21" s="20" t="n">
        <x:v>0</x:v>
      </x:c>
      <x:c r="I21" s="21" t="str">
        <x:v>UNDECLARED</x:v>
      </x:c>
      <x:c r="J21" s="48"/>
      <x:c r="K21" s="48"/>
      <x:c r="L21" s="48"/>
      <x:c r="M21" s="48"/>
      <x:c r="N21" s="48"/>
      <x:c r="O21" s="48"/>
      <x:c r="P21" s="48"/>
      <x:c r="Q21" s="48"/>
      <x:c r="R21" s="48"/>
      <x:c r="S21" s="48"/>
      <x:c r="T21" s="48"/>
      <x:c r="U21" s="48"/>
      <x:c r="V21" s="48"/>
      <x:c r="W21" s="48"/>
    </x:row>
    <x:row r="22">
      <x:c r="C22" s="19" t="str">
        <x:v>AN-ET-B-04</x:v>
      </x:c>
      <x:c r="D22" s="19" t="str">
        <x:v>MS-ET|B</x:v>
      </x:c>
      <x:c r="E22" s="19" t="str">
        <x:v>MS-ET</x:v>
      </x:c>
      <x:c r="F22" s="19" t="str">
        <x:v>structural process</x:v>
      </x:c>
      <x:c r="G22" s="19" t="str">
        <x:v>RES-ET-B-04</x:v>
      </x:c>
      <x:c r="H22" s="20" t="n">
        <x:v>0</x:v>
      </x:c>
      <x:c r="I22" s="21" t="str">
        <x:v>UNDECLARED</x:v>
      </x:c>
      <x:c r="J22" s="48"/>
      <x:c r="K22" s="48"/>
      <x:c r="L22" s="48"/>
      <x:c r="M22" s="48"/>
      <x:c r="N22" s="48"/>
      <x:c r="O22" s="48"/>
      <x:c r="P22" s="48"/>
      <x:c r="Q22" s="48"/>
      <x:c r="R22" s="48"/>
      <x:c r="S22" s="48"/>
      <x:c r="T22" s="48"/>
      <x:c r="U22" s="48"/>
      <x:c r="V22" s="48"/>
      <x:c r="W22" s="48"/>
    </x:row>
    <x:row r="23">
      <x:c r="C23" s="19" t="str">
        <x:v>AN-ET-B-05</x:v>
      </x:c>
      <x:c r="D23" s="19" t="str">
        <x:v>MS-ET|B</x:v>
      </x:c>
      <x:c r="E23" s="19" t="str">
        <x:v>MS-ET</x:v>
      </x:c>
      <x:c r="F23" s="19" t="str">
        <x:v>critical-feedstock conversion</x:v>
      </x:c>
      <x:c r="G23" s="19" t="str">
        <x:v>RES-ET-B-05</x:v>
      </x:c>
      <x:c r="H23" s="20" t="n">
        <x:v>0</x:v>
      </x:c>
      <x:c r="I23" s="21" t="str">
        <x:v>UNDECLARED</x:v>
      </x:c>
      <x:c r="J23" s="48"/>
      <x:c r="K23" s="48"/>
      <x:c r="L23" s="48"/>
      <x:c r="M23" s="48"/>
      <x:c r="N23" s="48"/>
      <x:c r="O23" s="48"/>
      <x:c r="P23" s="48"/>
      <x:c r="Q23" s="48"/>
      <x:c r="R23" s="48"/>
      <x:c r="S23" s="48"/>
      <x:c r="T23" s="48"/>
      <x:c r="U23" s="48"/>
      <x:c r="V23" s="48"/>
      <x:c r="W23" s="48"/>
    </x:row>
    <x:row r="24">
      <x:c r="C24" s="19" t="str">
        <x:v>AN-ET-B-06</x:v>
      </x:c>
      <x:c r="D24" s="19" t="str">
        <x:v>MS-ET|B</x:v>
      </x:c>
      <x:c r="E24" s="19" t="str">
        <x:v>MS-ET</x:v>
      </x:c>
      <x:c r="F24" s="19" t="str">
        <x:v>control keys</x:v>
      </x:c>
      <x:c r="G24" s="19" t="str">
        <x:v>RES-ET-B-06</x:v>
      </x:c>
      <x:c r="H24" s="20" t="n">
        <x:v>0</x:v>
      </x:c>
      <x:c r="I24" s="21" t="str">
        <x:v>UNDECLARED</x:v>
      </x:c>
      <x:c r="J24" s="48"/>
      <x:c r="K24" s="48"/>
      <x:c r="L24" s="48"/>
      <x:c r="M24" s="48"/>
      <x:c r="N24" s="48"/>
      <x:c r="O24" s="48"/>
      <x:c r="P24" s="48"/>
      <x:c r="Q24" s="48"/>
      <x:c r="R24" s="48"/>
      <x:c r="S24" s="48"/>
      <x:c r="T24" s="48"/>
      <x:c r="U24" s="48"/>
      <x:c r="V24" s="48"/>
      <x:c r="W24" s="48"/>
    </x:row>
    <x:row r="25">
      <x:c r="C25" s="19" t="str">
        <x:v>AN-ET-B-07</x:v>
      </x:c>
      <x:c r="D25" s="19" t="str">
        <x:v>MS-ET|B</x:v>
      </x:c>
      <x:c r="E25" s="19" t="str">
        <x:v>MS-ET</x:v>
      </x:c>
      <x:c r="F25" s="19" t="str">
        <x:v>communications and time implementation</x:v>
      </x:c>
      <x:c r="G25" s="19" t="str">
        <x:v>RES-ET-B-07</x:v>
      </x:c>
      <x:c r="H25" s="20" t="n">
        <x:v>0</x:v>
      </x:c>
      <x:c r="I25" s="21" t="str">
        <x:v>UNDECLARED</x:v>
      </x:c>
      <x:c r="J25" s="48"/>
      <x:c r="K25" s="48"/>
      <x:c r="L25" s="48"/>
      <x:c r="M25" s="48"/>
      <x:c r="N25" s="48"/>
      <x:c r="O25" s="48"/>
      <x:c r="P25" s="48"/>
      <x:c r="Q25" s="48"/>
      <x:c r="R25" s="48"/>
      <x:c r="S25" s="48"/>
      <x:c r="T25" s="48"/>
      <x:c r="U25" s="48"/>
      <x:c r="V25" s="48"/>
      <x:c r="W25" s="48"/>
    </x:row>
    <x:row r="26">
      <x:c r="C26" s="19" t="str">
        <x:v>AN-ET-B-08</x:v>
      </x:c>
      <x:c r="D26" s="19" t="str">
        <x:v>MS-ET|B</x:v>
      </x:c>
      <x:c r="E26" s="19" t="str">
        <x:v>MS-ET</x:v>
      </x:c>
      <x:c r="F26" s="19" t="str">
        <x:v>calibration chain</x:v>
      </x:c>
      <x:c r="G26" s="19" t="str">
        <x:v>RES-ET-B-08</x:v>
      </x:c>
      <x:c r="H26" s="20" t="n">
        <x:v>0</x:v>
      </x:c>
      <x:c r="I26" s="21" t="str">
        <x:v>UNDECLARED</x:v>
      </x:c>
      <x:c r="J26" s="48"/>
      <x:c r="K26" s="48"/>
      <x:c r="L26" s="48"/>
      <x:c r="M26" s="48"/>
      <x:c r="N26" s="48"/>
      <x:c r="O26" s="48"/>
      <x:c r="P26" s="48"/>
      <x:c r="Q26" s="48"/>
      <x:c r="R26" s="48"/>
      <x:c r="S26" s="48"/>
      <x:c r="T26" s="48"/>
      <x:c r="U26" s="48"/>
      <x:c r="V26" s="48"/>
      <x:c r="W26" s="48"/>
    </x:row>
    <x:row r="27">
      <x:c r="C27" s="19" t="str">
        <x:v>AN-ET-B-09</x:v>
      </x:c>
      <x:c r="D27" s="19" t="str">
        <x:v>MS-ET|B</x:v>
      </x:c>
      <x:c r="E27" s="19" t="str">
        <x:v>MS-ET</x:v>
      </x:c>
      <x:c r="F27" s="19" t="str">
        <x:v>production tooling</x:v>
      </x:c>
      <x:c r="G27" s="19" t="str">
        <x:v>RES-ET-B-09</x:v>
      </x:c>
      <x:c r="H27" s="20" t="n">
        <x:v>0</x:v>
      </x:c>
      <x:c r="I27" s="21" t="str">
        <x:v>UNDECLARED</x:v>
      </x:c>
      <x:c r="J27" s="48"/>
      <x:c r="K27" s="48"/>
      <x:c r="L27" s="48"/>
      <x:c r="M27" s="48"/>
      <x:c r="N27" s="48"/>
      <x:c r="O27" s="48"/>
      <x:c r="P27" s="48"/>
      <x:c r="Q27" s="48"/>
      <x:c r="R27" s="48"/>
      <x:c r="S27" s="48"/>
      <x:c r="T27" s="48"/>
      <x:c r="U27" s="48"/>
      <x:c r="V27" s="48"/>
      <x:c r="W27" s="48"/>
    </x:row>
    <x:row r="28">
      <x:c r="C28" s="19" t="str">
        <x:v>AN-ET-B-10</x:v>
      </x:c>
      <x:c r="D28" s="19" t="str">
        <x:v>MS-ET|B</x:v>
      </x:c>
      <x:c r="E28" s="19" t="str">
        <x:v>MS-ET</x:v>
      </x:c>
      <x:c r="F28" s="19" t="str">
        <x:v>final assembly cell</x:v>
      </x:c>
      <x:c r="G28" s="19" t="str">
        <x:v>RES-ET-B-10</x:v>
      </x:c>
      <x:c r="H28" s="20" t="n">
        <x:v>0</x:v>
      </x:c>
      <x:c r="I28" s="21" t="str">
        <x:v>UNDECLARED</x:v>
      </x:c>
      <x:c r="J28" s="48"/>
      <x:c r="K28" s="48"/>
      <x:c r="L28" s="48"/>
      <x:c r="M28" s="48"/>
      <x:c r="N28" s="48"/>
      <x:c r="O28" s="48"/>
      <x:c r="P28" s="48"/>
      <x:c r="Q28" s="48"/>
      <x:c r="R28" s="48"/>
      <x:c r="S28" s="48"/>
      <x:c r="T28" s="48"/>
      <x:c r="U28" s="48"/>
      <x:c r="V28" s="48"/>
      <x:c r="W28" s="48"/>
    </x:row>
    <x:row r="29">
      <x:c r="C29" s="19" t="str">
        <x:v>AN-ET-B-11</x:v>
      </x:c>
      <x:c r="D29" s="19" t="str">
        <x:v>MS-ET|B</x:v>
      </x:c>
      <x:c r="E29" s="19" t="str">
        <x:v>MS-ET</x:v>
      </x:c>
      <x:c r="F29" s="19" t="str">
        <x:v>repair route</x:v>
      </x:c>
      <x:c r="G29" s="19" t="str">
        <x:v>RES-ET-B-11</x:v>
      </x:c>
      <x:c r="H29" s="20" t="n">
        <x:v>0</x:v>
      </x:c>
      <x:c r="I29" s="21" t="str">
        <x:v>UNDECLARED</x:v>
      </x:c>
      <x:c r="J29" s="48"/>
      <x:c r="K29" s="48"/>
      <x:c r="L29" s="48"/>
      <x:c r="M29" s="48"/>
      <x:c r="N29" s="48"/>
      <x:c r="O29" s="48"/>
      <x:c r="P29" s="48"/>
      <x:c r="Q29" s="48"/>
      <x:c r="R29" s="48"/>
      <x:c r="S29" s="48"/>
      <x:c r="T29" s="48"/>
      <x:c r="U29" s="48"/>
      <x:c r="V29" s="48"/>
      <x:c r="W29" s="48"/>
    </x:row>
    <x:row r="30">
      <x:c r="C30" s="19" t="str">
        <x:v>AN-ET-B-12</x:v>
      </x:c>
      <x:c r="D30" s="19" t="str">
        <x:v>MS-ET|B</x:v>
      </x:c>
      <x:c r="E30" s="19" t="str">
        <x:v>MS-ET</x:v>
      </x:c>
      <x:c r="F30" s="19" t="str">
        <x:v>evidence chain</x:v>
      </x:c>
      <x:c r="G30" s="19" t="str">
        <x:v>RES-ET-B-12</x:v>
      </x:c>
      <x:c r="H30" s="20" t="n">
        <x:v>0</x:v>
      </x:c>
      <x:c r="I30" s="21" t="str">
        <x:v>UNDECLARED</x:v>
      </x:c>
      <x:c r="J30" s="48"/>
      <x:c r="K30" s="48"/>
      <x:c r="L30" s="48"/>
      <x:c r="M30" s="48"/>
      <x:c r="N30" s="48"/>
      <x:c r="O30" s="48"/>
      <x:c r="P30" s="48"/>
      <x:c r="Q30" s="48"/>
      <x:c r="R30" s="48"/>
      <x:c r="S30" s="48"/>
      <x:c r="T30" s="48"/>
      <x:c r="U30" s="48"/>
      <x:c r="V30" s="48"/>
      <x:c r="W30" s="48"/>
    </x:row>
    <x:row r="31">
      <x:c r="C31" s="19" t="str">
        <x:v>AN-ET-C-01</x:v>
      </x:c>
      <x:c r="D31" s="19" t="str">
        <x:v>MS-ET|C</x:v>
      </x:c>
      <x:c r="E31" s="19" t="str">
        <x:v>MS-ET</x:v>
      </x:c>
      <x:c r="F31" s="19" t="str">
        <x:v>root integrator</x:v>
      </x:c>
      <x:c r="G31" s="19" t="str">
        <x:v>RES-ET-C-01</x:v>
      </x:c>
      <x:c r="H31" s="20" t="n">
        <x:v>0</x:v>
      </x:c>
      <x:c r="I31" s="21" t="str">
        <x:v>UNDECLARED</x:v>
      </x:c>
      <x:c r="J31" s="48"/>
      <x:c r="K31" s="48"/>
      <x:c r="L31" s="48"/>
      <x:c r="M31" s="48"/>
      <x:c r="N31" s="48"/>
      <x:c r="O31" s="48"/>
      <x:c r="P31" s="48"/>
      <x:c r="Q31" s="48"/>
      <x:c r="R31" s="48"/>
      <x:c r="S31" s="48"/>
      <x:c r="T31" s="48"/>
      <x:c r="U31" s="48"/>
      <x:c r="V31" s="48"/>
      <x:c r="W31" s="48"/>
    </x:row>
    <x:row r="32">
      <x:c r="C32" s="19" t="str">
        <x:v>AN-ET-C-02</x:v>
      </x:c>
      <x:c r="D32" s="19" t="str">
        <x:v>MS-ET|C</x:v>
      </x:c>
      <x:c r="E32" s="19" t="str">
        <x:v>MS-ET</x:v>
      </x:c>
      <x:c r="F32" s="19" t="str">
        <x:v>prime work physics</x:v>
      </x:c>
      <x:c r="G32" s="19" t="str">
        <x:v>RES-ET-C-02</x:v>
      </x:c>
      <x:c r="H32" s="20" t="n">
        <x:v>0</x:v>
      </x:c>
      <x:c r="I32" s="21" t="str">
        <x:v>UNDECLARED</x:v>
      </x:c>
      <x:c r="J32" s="48"/>
      <x:c r="K32" s="48"/>
      <x:c r="L32" s="48"/>
      <x:c r="M32" s="48"/>
      <x:c r="N32" s="48"/>
      <x:c r="O32" s="48"/>
      <x:c r="P32" s="48"/>
      <x:c r="Q32" s="48"/>
      <x:c r="R32" s="48"/>
      <x:c r="S32" s="48"/>
      <x:c r="T32" s="48"/>
      <x:c r="U32" s="48"/>
      <x:c r="V32" s="48"/>
      <x:c r="W32" s="48"/>
    </x:row>
    <x:row r="33">
      <x:c r="C33" s="19" t="str">
        <x:v>AN-ET-C-03</x:v>
      </x:c>
      <x:c r="D33" s="19" t="str">
        <x:v>MS-ET|C</x:v>
      </x:c>
      <x:c r="E33" s="19" t="str">
        <x:v>MS-ET</x:v>
      </x:c>
      <x:c r="F33" s="19" t="str">
        <x:v>energy conversion</x:v>
      </x:c>
      <x:c r="G33" s="19" t="str">
        <x:v>RES-ET-C-03</x:v>
      </x:c>
      <x:c r="H33" s="20" t="n">
        <x:v>0</x:v>
      </x:c>
      <x:c r="I33" s="21" t="str">
        <x:v>UNDECLARED</x:v>
      </x:c>
      <x:c r="J33" s="48"/>
      <x:c r="K33" s="48"/>
      <x:c r="L33" s="48"/>
      <x:c r="M33" s="48"/>
      <x:c r="N33" s="48"/>
      <x:c r="O33" s="48"/>
      <x:c r="P33" s="48"/>
      <x:c r="Q33" s="48"/>
      <x:c r="R33" s="48"/>
      <x:c r="S33" s="48"/>
      <x:c r="T33" s="48"/>
      <x:c r="U33" s="48"/>
      <x:c r="V33" s="48"/>
      <x:c r="W33" s="48"/>
    </x:row>
    <x:row r="34">
      <x:c r="C34" s="19" t="str">
        <x:v>AN-ET-C-04</x:v>
      </x:c>
      <x:c r="D34" s="19" t="str">
        <x:v>MS-ET|C</x:v>
      </x:c>
      <x:c r="E34" s="19" t="str">
        <x:v>MS-ET</x:v>
      </x:c>
      <x:c r="F34" s="19" t="str">
        <x:v>structural process</x:v>
      </x:c>
      <x:c r="G34" s="19" t="str">
        <x:v>RES-ET-C-04</x:v>
      </x:c>
      <x:c r="H34" s="20" t="n">
        <x:v>0</x:v>
      </x:c>
      <x:c r="I34" s="21" t="str">
        <x:v>UNDECLARED</x:v>
      </x:c>
      <x:c r="J34" s="48"/>
      <x:c r="K34" s="48"/>
      <x:c r="L34" s="48"/>
      <x:c r="M34" s="48"/>
      <x:c r="N34" s="48"/>
      <x:c r="O34" s="48"/>
      <x:c r="P34" s="48"/>
      <x:c r="Q34" s="48"/>
      <x:c r="R34" s="48"/>
      <x:c r="S34" s="48"/>
      <x:c r="T34" s="48"/>
      <x:c r="U34" s="48"/>
      <x:c r="V34" s="48"/>
      <x:c r="W34" s="48"/>
    </x:row>
    <x:row r="35">
      <x:c r="C35" s="19" t="str">
        <x:v>AN-ET-C-05</x:v>
      </x:c>
      <x:c r="D35" s="19" t="str">
        <x:v>MS-ET|C</x:v>
      </x:c>
      <x:c r="E35" s="19" t="str">
        <x:v>MS-ET</x:v>
      </x:c>
      <x:c r="F35" s="19" t="str">
        <x:v>critical-feedstock conversion</x:v>
      </x:c>
      <x:c r="G35" s="19" t="str">
        <x:v>RES-ET-C-05</x:v>
      </x:c>
      <x:c r="H35" s="20" t="n">
        <x:v>0</x:v>
      </x:c>
      <x:c r="I35" s="21" t="str">
        <x:v>UNDECLARED</x:v>
      </x:c>
      <x:c r="J35" s="48"/>
      <x:c r="K35" s="48"/>
      <x:c r="L35" s="48"/>
      <x:c r="M35" s="48"/>
      <x:c r="N35" s="48"/>
      <x:c r="O35" s="48"/>
      <x:c r="P35" s="48"/>
      <x:c r="Q35" s="48"/>
      <x:c r="R35" s="48"/>
      <x:c r="S35" s="48"/>
      <x:c r="T35" s="48"/>
      <x:c r="U35" s="48"/>
      <x:c r="V35" s="48"/>
      <x:c r="W35" s="48"/>
    </x:row>
    <x:row r="36">
      <x:c r="C36" s="19" t="str">
        <x:v>AN-ET-C-06</x:v>
      </x:c>
      <x:c r="D36" s="19" t="str">
        <x:v>MS-ET|C</x:v>
      </x:c>
      <x:c r="E36" s="19" t="str">
        <x:v>MS-ET</x:v>
      </x:c>
      <x:c r="F36" s="19" t="str">
        <x:v>control keys</x:v>
      </x:c>
      <x:c r="G36" s="19" t="str">
        <x:v>RES-ET-C-06</x:v>
      </x:c>
      <x:c r="H36" s="20" t="n">
        <x:v>0</x:v>
      </x:c>
      <x:c r="I36" s="21" t="str">
        <x:v>UNDECLARED</x:v>
      </x:c>
      <x:c r="J36" s="48"/>
      <x:c r="K36" s="48"/>
      <x:c r="L36" s="48"/>
      <x:c r="M36" s="48"/>
      <x:c r="N36" s="48"/>
      <x:c r="O36" s="48"/>
      <x:c r="P36" s="48"/>
      <x:c r="Q36" s="48"/>
      <x:c r="R36" s="48"/>
      <x:c r="S36" s="48"/>
      <x:c r="T36" s="48"/>
      <x:c r="U36" s="48"/>
      <x:c r="V36" s="48"/>
      <x:c r="W36" s="48"/>
    </x:row>
    <x:row r="37">
      <x:c r="C37" s="19" t="str">
        <x:v>AN-ET-C-07</x:v>
      </x:c>
      <x:c r="D37" s="19" t="str">
        <x:v>MS-ET|C</x:v>
      </x:c>
      <x:c r="E37" s="19" t="str">
        <x:v>MS-ET</x:v>
      </x:c>
      <x:c r="F37" s="19" t="str">
        <x:v>communications and time implementation</x:v>
      </x:c>
      <x:c r="G37" s="19" t="str">
        <x:v>RES-ET-C-07</x:v>
      </x:c>
      <x:c r="H37" s="20" t="n">
        <x:v>0</x:v>
      </x:c>
      <x:c r="I37" s="21" t="str">
        <x:v>UNDECLARED</x:v>
      </x:c>
      <x:c r="J37" s="48"/>
      <x:c r="K37" s="48"/>
      <x:c r="L37" s="48"/>
      <x:c r="M37" s="48"/>
      <x:c r="N37" s="48"/>
      <x:c r="O37" s="48"/>
      <x:c r="P37" s="48"/>
      <x:c r="Q37" s="48"/>
      <x:c r="R37" s="48"/>
      <x:c r="S37" s="48"/>
      <x:c r="T37" s="48"/>
      <x:c r="U37" s="48"/>
      <x:c r="V37" s="48"/>
      <x:c r="W37" s="48"/>
    </x:row>
    <x:row r="38">
      <x:c r="C38" s="19" t="str">
        <x:v>AN-ET-C-08</x:v>
      </x:c>
      <x:c r="D38" s="19" t="str">
        <x:v>MS-ET|C</x:v>
      </x:c>
      <x:c r="E38" s="19" t="str">
        <x:v>MS-ET</x:v>
      </x:c>
      <x:c r="F38" s="19" t="str">
        <x:v>calibration chain</x:v>
      </x:c>
      <x:c r="G38" s="19" t="str">
        <x:v>RES-ET-C-08</x:v>
      </x:c>
      <x:c r="H38" s="20" t="n">
        <x:v>0</x:v>
      </x:c>
      <x:c r="I38" s="21" t="str">
        <x:v>UNDECLARED</x:v>
      </x:c>
      <x:c r="J38" s="48"/>
      <x:c r="K38" s="48"/>
      <x:c r="L38" s="48"/>
      <x:c r="M38" s="48"/>
      <x:c r="N38" s="48"/>
      <x:c r="O38" s="48"/>
      <x:c r="P38" s="48"/>
      <x:c r="Q38" s="48"/>
      <x:c r="R38" s="48"/>
      <x:c r="S38" s="48"/>
      <x:c r="T38" s="48"/>
      <x:c r="U38" s="48"/>
      <x:c r="V38" s="48"/>
      <x:c r="W38" s="48"/>
    </x:row>
    <x:row r="39">
      <x:c r="C39" s="19" t="str">
        <x:v>AN-ET-C-09</x:v>
      </x:c>
      <x:c r="D39" s="19" t="str">
        <x:v>MS-ET|C</x:v>
      </x:c>
      <x:c r="E39" s="19" t="str">
        <x:v>MS-ET</x:v>
      </x:c>
      <x:c r="F39" s="19" t="str">
        <x:v>production tooling</x:v>
      </x:c>
      <x:c r="G39" s="19" t="str">
        <x:v>RES-ET-C-09</x:v>
      </x:c>
      <x:c r="H39" s="20" t="n">
        <x:v>0</x:v>
      </x:c>
      <x:c r="I39" s="21" t="str">
        <x:v>UNDECLARED</x:v>
      </x:c>
      <x:c r="J39" s="48"/>
      <x:c r="K39" s="48"/>
      <x:c r="L39" s="48"/>
      <x:c r="M39" s="48"/>
      <x:c r="N39" s="48"/>
      <x:c r="O39" s="48"/>
      <x:c r="P39" s="48"/>
      <x:c r="Q39" s="48"/>
      <x:c r="R39" s="48"/>
      <x:c r="S39" s="48"/>
      <x:c r="T39" s="48"/>
      <x:c r="U39" s="48"/>
      <x:c r="V39" s="48"/>
      <x:c r="W39" s="48"/>
    </x:row>
    <x:row r="40">
      <x:c r="C40" s="19" t="str">
        <x:v>AN-ET-C-10</x:v>
      </x:c>
      <x:c r="D40" s="19" t="str">
        <x:v>MS-ET|C</x:v>
      </x:c>
      <x:c r="E40" s="19" t="str">
        <x:v>MS-ET</x:v>
      </x:c>
      <x:c r="F40" s="19" t="str">
        <x:v>final assembly cell</x:v>
      </x:c>
      <x:c r="G40" s="19" t="str">
        <x:v>RES-ET-C-10</x:v>
      </x:c>
      <x:c r="H40" s="20" t="n">
        <x:v>0</x:v>
      </x:c>
      <x:c r="I40" s="21" t="str">
        <x:v>UNDECLARED</x:v>
      </x:c>
      <x:c r="J40" s="48"/>
      <x:c r="K40" s="48"/>
      <x:c r="L40" s="48"/>
      <x:c r="M40" s="48"/>
      <x:c r="N40" s="48"/>
      <x:c r="O40" s="48"/>
      <x:c r="P40" s="48"/>
      <x:c r="Q40" s="48"/>
      <x:c r="R40" s="48"/>
      <x:c r="S40" s="48"/>
      <x:c r="T40" s="48"/>
      <x:c r="U40" s="48"/>
      <x:c r="V40" s="48"/>
      <x:c r="W40" s="48"/>
    </x:row>
    <x:row r="41">
      <x:c r="C41" s="19" t="str">
        <x:v>AN-ET-C-11</x:v>
      </x:c>
      <x:c r="D41" s="19" t="str">
        <x:v>MS-ET|C</x:v>
      </x:c>
      <x:c r="E41" s="19" t="str">
        <x:v>MS-ET</x:v>
      </x:c>
      <x:c r="F41" s="19" t="str">
        <x:v>repair route</x:v>
      </x:c>
      <x:c r="G41" s="19" t="str">
        <x:v>RES-ET-C-11</x:v>
      </x:c>
      <x:c r="H41" s="20" t="n">
        <x:v>0</x:v>
      </x:c>
      <x:c r="I41" s="21" t="str">
        <x:v>UNDECLARED</x:v>
      </x:c>
      <x:c r="J41" s="48"/>
      <x:c r="K41" s="48"/>
      <x:c r="L41" s="48"/>
      <x:c r="M41" s="48"/>
      <x:c r="N41" s="48"/>
      <x:c r="O41" s="48"/>
      <x:c r="P41" s="48"/>
      <x:c r="Q41" s="48"/>
      <x:c r="R41" s="48"/>
      <x:c r="S41" s="48"/>
      <x:c r="T41" s="48"/>
      <x:c r="U41" s="48"/>
      <x:c r="V41" s="48"/>
      <x:c r="W41" s="48"/>
    </x:row>
    <x:row r="42">
      <x:c r="C42" s="19" t="str">
        <x:v>AN-ET-C-12</x:v>
      </x:c>
      <x:c r="D42" s="19" t="str">
        <x:v>MS-ET|C</x:v>
      </x:c>
      <x:c r="E42" s="19" t="str">
        <x:v>MS-ET</x:v>
      </x:c>
      <x:c r="F42" s="19" t="str">
        <x:v>evidence chain</x:v>
      </x:c>
      <x:c r="G42" s="19" t="str">
        <x:v>RES-ET-C-12</x:v>
      </x:c>
      <x:c r="H42" s="20" t="n">
        <x:v>0</x:v>
      </x:c>
      <x:c r="I42" s="21" t="str">
        <x:v>UNDECLARED</x:v>
      </x:c>
      <x:c r="J42" s="48"/>
      <x:c r="K42" s="48"/>
      <x:c r="L42" s="48"/>
      <x:c r="M42" s="48"/>
      <x:c r="N42" s="48"/>
      <x:c r="O42" s="48"/>
      <x:c r="P42" s="48"/>
      <x:c r="Q42" s="48"/>
      <x:c r="R42" s="48"/>
      <x:c r="S42" s="48"/>
      <x:c r="T42" s="48"/>
      <x:c r="U42" s="48"/>
      <x:c r="V42" s="48"/>
      <x:c r="W42" s="48"/>
    </x:row>
    <x:row r="43">
      <x:c r="C43" s="19" t="str">
        <x:v>AN-ET-D-01</x:v>
      </x:c>
      <x:c r="D43" s="19" t="str">
        <x:v>MS-ET|D</x:v>
      </x:c>
      <x:c r="E43" s="19" t="str">
        <x:v>MS-ET</x:v>
      </x:c>
      <x:c r="F43" s="19" t="str">
        <x:v>root integrator</x:v>
      </x:c>
      <x:c r="G43" s="19" t="str">
        <x:v>RES-ET-D-01</x:v>
      </x:c>
      <x:c r="H43" s="20" t="n">
        <x:v>0</x:v>
      </x:c>
      <x:c r="I43" s="21" t="str">
        <x:v>UNDECLARED</x:v>
      </x:c>
      <x:c r="J43" s="48"/>
      <x:c r="K43" s="48"/>
      <x:c r="L43" s="48"/>
      <x:c r="M43" s="48"/>
      <x:c r="N43" s="48"/>
      <x:c r="O43" s="48"/>
      <x:c r="P43" s="48"/>
      <x:c r="Q43" s="48"/>
      <x:c r="R43" s="48"/>
      <x:c r="S43" s="48"/>
      <x:c r="T43" s="48"/>
      <x:c r="U43" s="48"/>
      <x:c r="V43" s="48"/>
      <x:c r="W43" s="48"/>
    </x:row>
    <x:row r="44">
      <x:c r="C44" s="19" t="str">
        <x:v>AN-ET-D-02</x:v>
      </x:c>
      <x:c r="D44" s="19" t="str">
        <x:v>MS-ET|D</x:v>
      </x:c>
      <x:c r="E44" s="19" t="str">
        <x:v>MS-ET</x:v>
      </x:c>
      <x:c r="F44" s="19" t="str">
        <x:v>prime work physics</x:v>
      </x:c>
      <x:c r="G44" s="19" t="str">
        <x:v>RES-ET-D-02</x:v>
      </x:c>
      <x:c r="H44" s="20" t="n">
        <x:v>0</x:v>
      </x:c>
      <x:c r="I44" s="21" t="str">
        <x:v>UNDECLARED</x:v>
      </x:c>
      <x:c r="J44" s="48"/>
      <x:c r="K44" s="48"/>
      <x:c r="L44" s="48"/>
      <x:c r="M44" s="48"/>
      <x:c r="N44" s="48"/>
      <x:c r="O44" s="48"/>
      <x:c r="P44" s="48"/>
      <x:c r="Q44" s="48"/>
      <x:c r="R44" s="48"/>
      <x:c r="S44" s="48"/>
      <x:c r="T44" s="48"/>
      <x:c r="U44" s="48"/>
      <x:c r="V44" s="48"/>
      <x:c r="W44" s="48"/>
    </x:row>
    <x:row r="45">
      <x:c r="C45" s="19" t="str">
        <x:v>AN-ET-D-03</x:v>
      </x:c>
      <x:c r="D45" s="19" t="str">
        <x:v>MS-ET|D</x:v>
      </x:c>
      <x:c r="E45" s="19" t="str">
        <x:v>MS-ET</x:v>
      </x:c>
      <x:c r="F45" s="19" t="str">
        <x:v>energy conversion</x:v>
      </x:c>
      <x:c r="G45" s="19" t="str">
        <x:v>RES-ET-D-03</x:v>
      </x:c>
      <x:c r="H45" s="20" t="n">
        <x:v>0</x:v>
      </x:c>
      <x:c r="I45" s="21" t="str">
        <x:v>UNDECLARED</x:v>
      </x:c>
      <x:c r="J45" s="48"/>
      <x:c r="K45" s="48"/>
      <x:c r="L45" s="48"/>
      <x:c r="M45" s="48"/>
      <x:c r="N45" s="48"/>
      <x:c r="O45" s="48"/>
      <x:c r="P45" s="48"/>
      <x:c r="Q45" s="48"/>
      <x:c r="R45" s="48"/>
      <x:c r="S45" s="48"/>
      <x:c r="T45" s="48"/>
      <x:c r="U45" s="48"/>
      <x:c r="V45" s="48"/>
      <x:c r="W45" s="48"/>
    </x:row>
    <x:row r="46">
      <x:c r="C46" s="19" t="str">
        <x:v>AN-ET-D-04</x:v>
      </x:c>
      <x:c r="D46" s="19" t="str">
        <x:v>MS-ET|D</x:v>
      </x:c>
      <x:c r="E46" s="19" t="str">
        <x:v>MS-ET</x:v>
      </x:c>
      <x:c r="F46" s="19" t="str">
        <x:v>structural process</x:v>
      </x:c>
      <x:c r="G46" s="19" t="str">
        <x:v>RES-ET-D-04</x:v>
      </x:c>
      <x:c r="H46" s="20" t="n">
        <x:v>0</x:v>
      </x:c>
      <x:c r="I46" s="21" t="str">
        <x:v>UNDECLARED</x:v>
      </x:c>
      <x:c r="J46" s="48"/>
      <x:c r="K46" s="48"/>
      <x:c r="L46" s="48"/>
      <x:c r="M46" s="48"/>
      <x:c r="N46" s="48"/>
      <x:c r="O46" s="48"/>
      <x:c r="P46" s="48"/>
      <x:c r="Q46" s="48"/>
      <x:c r="R46" s="48"/>
      <x:c r="S46" s="48"/>
      <x:c r="T46" s="48"/>
      <x:c r="U46" s="48"/>
      <x:c r="V46" s="48"/>
      <x:c r="W46" s="48"/>
    </x:row>
    <x:row r="47">
      <x:c r="C47" s="19" t="str">
        <x:v>AN-ET-D-05</x:v>
      </x:c>
      <x:c r="D47" s="19" t="str">
        <x:v>MS-ET|D</x:v>
      </x:c>
      <x:c r="E47" s="19" t="str">
        <x:v>MS-ET</x:v>
      </x:c>
      <x:c r="F47" s="19" t="str">
        <x:v>critical-feedstock conversion</x:v>
      </x:c>
      <x:c r="G47" s="19" t="str">
        <x:v>RES-ET-D-05</x:v>
      </x:c>
      <x:c r="H47" s="20" t="n">
        <x:v>0</x:v>
      </x:c>
      <x:c r="I47" s="21" t="str">
        <x:v>UNDECLARED</x:v>
      </x:c>
      <x:c r="J47" s="48"/>
      <x:c r="K47" s="48"/>
      <x:c r="L47" s="48"/>
      <x:c r="M47" s="48"/>
      <x:c r="N47" s="48"/>
      <x:c r="O47" s="48"/>
      <x:c r="P47" s="48"/>
      <x:c r="Q47" s="48"/>
      <x:c r="R47" s="48"/>
      <x:c r="S47" s="48"/>
      <x:c r="T47" s="48"/>
      <x:c r="U47" s="48"/>
      <x:c r="V47" s="48"/>
      <x:c r="W47" s="48"/>
    </x:row>
    <x:row r="48">
      <x:c r="C48" s="19" t="str">
        <x:v>AN-ET-D-06</x:v>
      </x:c>
      <x:c r="D48" s="19" t="str">
        <x:v>MS-ET|D</x:v>
      </x:c>
      <x:c r="E48" s="19" t="str">
        <x:v>MS-ET</x:v>
      </x:c>
      <x:c r="F48" s="19" t="str">
        <x:v>control keys</x:v>
      </x:c>
      <x:c r="G48" s="19" t="str">
        <x:v>RES-ET-D-06</x:v>
      </x:c>
      <x:c r="H48" s="20" t="n">
        <x:v>0</x:v>
      </x:c>
      <x:c r="I48" s="21" t="str">
        <x:v>UNDECLARED</x:v>
      </x:c>
      <x:c r="J48" s="48"/>
      <x:c r="K48" s="48"/>
      <x:c r="L48" s="48"/>
      <x:c r="M48" s="48"/>
      <x:c r="N48" s="48"/>
      <x:c r="O48" s="48"/>
      <x:c r="P48" s="48"/>
      <x:c r="Q48" s="48"/>
      <x:c r="R48" s="48"/>
      <x:c r="S48" s="48"/>
      <x:c r="T48" s="48"/>
      <x:c r="U48" s="48"/>
      <x:c r="V48" s="48"/>
      <x:c r="W48" s="48"/>
    </x:row>
    <x:row r="49">
      <x:c r="C49" s="19" t="str">
        <x:v>AN-ET-D-07</x:v>
      </x:c>
      <x:c r="D49" s="19" t="str">
        <x:v>MS-ET|D</x:v>
      </x:c>
      <x:c r="E49" s="19" t="str">
        <x:v>MS-ET</x:v>
      </x:c>
      <x:c r="F49" s="19" t="str">
        <x:v>communications and time implementation</x:v>
      </x:c>
      <x:c r="G49" s="19" t="str">
        <x:v>RES-ET-D-07</x:v>
      </x:c>
      <x:c r="H49" s="20" t="n">
        <x:v>0</x:v>
      </x:c>
      <x:c r="I49" s="21" t="str">
        <x:v>UNDECLARED</x:v>
      </x:c>
      <x:c r="J49" s="48"/>
      <x:c r="K49" s="48"/>
      <x:c r="L49" s="48"/>
      <x:c r="M49" s="48"/>
      <x:c r="N49" s="48"/>
      <x:c r="O49" s="48"/>
      <x:c r="P49" s="48"/>
      <x:c r="Q49" s="48"/>
      <x:c r="R49" s="48"/>
      <x:c r="S49" s="48"/>
      <x:c r="T49" s="48"/>
      <x:c r="U49" s="48"/>
      <x:c r="V49" s="48"/>
      <x:c r="W49" s="48"/>
    </x:row>
    <x:row r="50">
      <x:c r="C50" s="19" t="str">
        <x:v>AN-ET-D-08</x:v>
      </x:c>
      <x:c r="D50" s="19" t="str">
        <x:v>MS-ET|D</x:v>
      </x:c>
      <x:c r="E50" s="19" t="str">
        <x:v>MS-ET</x:v>
      </x:c>
      <x:c r="F50" s="19" t="str">
        <x:v>calibration chain</x:v>
      </x:c>
      <x:c r="G50" s="19" t="str">
        <x:v>RES-ET-D-08</x:v>
      </x:c>
      <x:c r="H50" s="20" t="n">
        <x:v>0</x:v>
      </x:c>
      <x:c r="I50" s="21" t="str">
        <x:v>UNDECLARED</x:v>
      </x:c>
      <x:c r="J50" s="48"/>
      <x:c r="K50" s="48"/>
      <x:c r="L50" s="48"/>
      <x:c r="M50" s="48"/>
      <x:c r="N50" s="48"/>
      <x:c r="O50" s="48"/>
      <x:c r="P50" s="48"/>
      <x:c r="Q50" s="48"/>
      <x:c r="R50" s="48"/>
      <x:c r="S50" s="48"/>
      <x:c r="T50" s="48"/>
      <x:c r="U50" s="48"/>
      <x:c r="V50" s="48"/>
      <x:c r="W50" s="48"/>
    </x:row>
    <x:row r="51">
      <x:c r="C51" s="19" t="str">
        <x:v>AN-ET-D-09</x:v>
      </x:c>
      <x:c r="D51" s="19" t="str">
        <x:v>MS-ET|D</x:v>
      </x:c>
      <x:c r="E51" s="19" t="str">
        <x:v>MS-ET</x:v>
      </x:c>
      <x:c r="F51" s="19" t="str">
        <x:v>production tooling</x:v>
      </x:c>
      <x:c r="G51" s="19" t="str">
        <x:v>RES-ET-D-09</x:v>
      </x:c>
      <x:c r="H51" s="20" t="n">
        <x:v>0</x:v>
      </x:c>
      <x:c r="I51" s="21" t="str">
        <x:v>UNDECLARED</x:v>
      </x:c>
      <x:c r="J51" s="48"/>
      <x:c r="K51" s="48"/>
      <x:c r="L51" s="48"/>
      <x:c r="M51" s="48"/>
      <x:c r="N51" s="48"/>
      <x:c r="O51" s="48"/>
      <x:c r="P51" s="48"/>
      <x:c r="Q51" s="48"/>
      <x:c r="R51" s="48"/>
      <x:c r="S51" s="48"/>
      <x:c r="T51" s="48"/>
      <x:c r="U51" s="48"/>
      <x:c r="V51" s="48"/>
      <x:c r="W51" s="48"/>
    </x:row>
    <x:row r="52">
      <x:c r="C52" s="19" t="str">
        <x:v>AN-ET-D-10</x:v>
      </x:c>
      <x:c r="D52" s="19" t="str">
        <x:v>MS-ET|D</x:v>
      </x:c>
      <x:c r="E52" s="19" t="str">
        <x:v>MS-ET</x:v>
      </x:c>
      <x:c r="F52" s="19" t="str">
        <x:v>final assembly cell</x:v>
      </x:c>
      <x:c r="G52" s="19" t="str">
        <x:v>RES-ET-D-10</x:v>
      </x:c>
      <x:c r="H52" s="20" t="n">
        <x:v>0</x:v>
      </x:c>
      <x:c r="I52" s="21" t="str">
        <x:v>UNDECLARED</x:v>
      </x:c>
      <x:c r="J52" s="48"/>
      <x:c r="K52" s="48"/>
      <x:c r="L52" s="48"/>
      <x:c r="M52" s="48"/>
      <x:c r="N52" s="48"/>
      <x:c r="O52" s="48"/>
      <x:c r="P52" s="48"/>
      <x:c r="Q52" s="48"/>
      <x:c r="R52" s="48"/>
      <x:c r="S52" s="48"/>
      <x:c r="T52" s="48"/>
      <x:c r="U52" s="48"/>
      <x:c r="V52" s="48"/>
      <x:c r="W52" s="48"/>
    </x:row>
    <x:row r="53">
      <x:c r="C53" s="19" t="str">
        <x:v>AN-ET-D-11</x:v>
      </x:c>
      <x:c r="D53" s="19" t="str">
        <x:v>MS-ET|D</x:v>
      </x:c>
      <x:c r="E53" s="19" t="str">
        <x:v>MS-ET</x:v>
      </x:c>
      <x:c r="F53" s="19" t="str">
        <x:v>repair route</x:v>
      </x:c>
      <x:c r="G53" s="19" t="str">
        <x:v>RES-ET-D-11</x:v>
      </x:c>
      <x:c r="H53" s="20" t="n">
        <x:v>0</x:v>
      </x:c>
      <x:c r="I53" s="21" t="str">
        <x:v>UNDECLARED</x:v>
      </x:c>
      <x:c r="J53" s="48"/>
      <x:c r="K53" s="48"/>
      <x:c r="L53" s="48"/>
      <x:c r="M53" s="48"/>
      <x:c r="N53" s="48"/>
      <x:c r="O53" s="48"/>
      <x:c r="P53" s="48"/>
      <x:c r="Q53" s="48"/>
      <x:c r="R53" s="48"/>
      <x:c r="S53" s="48"/>
      <x:c r="T53" s="48"/>
      <x:c r="U53" s="48"/>
      <x:c r="V53" s="48"/>
      <x:c r="W53" s="48"/>
    </x:row>
    <x:row r="54">
      <x:c r="C54" s="19" t="str">
        <x:v>AN-ET-D-12</x:v>
      </x:c>
      <x:c r="D54" s="19" t="str">
        <x:v>MS-ET|D</x:v>
      </x:c>
      <x:c r="E54" s="19" t="str">
        <x:v>MS-ET</x:v>
      </x:c>
      <x:c r="F54" s="19" t="str">
        <x:v>evidence chain</x:v>
      </x:c>
      <x:c r="G54" s="19" t="str">
        <x:v>RES-ET-D-12</x:v>
      </x:c>
      <x:c r="H54" s="20" t="n">
        <x:v>0</x:v>
      </x:c>
      <x:c r="I54" s="21" t="str">
        <x:v>UNDECLARED</x:v>
      </x:c>
      <x:c r="J54" s="48"/>
      <x:c r="K54" s="48"/>
      <x:c r="L54" s="48"/>
      <x:c r="M54" s="48"/>
      <x:c r="N54" s="48"/>
      <x:c r="O54" s="48"/>
      <x:c r="P54" s="48"/>
      <x:c r="Q54" s="48"/>
      <x:c r="R54" s="48"/>
      <x:c r="S54" s="48"/>
      <x:c r="T54" s="48"/>
      <x:c r="U54" s="48"/>
      <x:c r="V54" s="48"/>
      <x:c r="W54" s="48"/>
    </x:row>
    <x:row r="55">
      <x:c r="C55" s="19" t="str">
        <x:v>AN-CT-A-01</x:v>
      </x:c>
      <x:c r="D55" s="19" t="str">
        <x:v>MS-CT|A</x:v>
      </x:c>
      <x:c r="E55" s="19" t="str">
        <x:v>MS-CT</x:v>
      </x:c>
      <x:c r="F55" s="19" t="str">
        <x:v>root integrator</x:v>
      </x:c>
      <x:c r="G55" s="19" t="str">
        <x:v>RES-CT-A-01</x:v>
      </x:c>
      <x:c r="H55" s="20" t="n">
        <x:v>0</x:v>
      </x:c>
      <x:c r="I55" s="21" t="str">
        <x:v>UNDECLARED</x:v>
      </x:c>
      <x:c r="J55" s="48"/>
      <x:c r="K55" s="48"/>
      <x:c r="L55" s="48"/>
      <x:c r="M55" s="48"/>
      <x:c r="N55" s="48"/>
      <x:c r="O55" s="48"/>
      <x:c r="P55" s="48"/>
      <x:c r="Q55" s="48"/>
      <x:c r="R55" s="48"/>
      <x:c r="S55" s="48"/>
      <x:c r="T55" s="48"/>
      <x:c r="U55" s="48"/>
      <x:c r="V55" s="48"/>
      <x:c r="W55" s="48"/>
    </x:row>
    <x:row r="56">
      <x:c r="C56" s="19" t="str">
        <x:v>AN-CT-A-02</x:v>
      </x:c>
      <x:c r="D56" s="19" t="str">
        <x:v>MS-CT|A</x:v>
      </x:c>
      <x:c r="E56" s="19" t="str">
        <x:v>MS-CT</x:v>
      </x:c>
      <x:c r="F56" s="19" t="str">
        <x:v>prime work physics</x:v>
      </x:c>
      <x:c r="G56" s="19" t="str">
        <x:v>RES-CT-A-02</x:v>
      </x:c>
      <x:c r="H56" s="20" t="n">
        <x:v>0</x:v>
      </x:c>
      <x:c r="I56" s="21" t="str">
        <x:v>UNDECLARED</x:v>
      </x:c>
      <x:c r="J56" s="48"/>
      <x:c r="K56" s="48"/>
      <x:c r="L56" s="48"/>
      <x:c r="M56" s="48"/>
      <x:c r="N56" s="48"/>
      <x:c r="O56" s="48"/>
      <x:c r="P56" s="48"/>
      <x:c r="Q56" s="48"/>
      <x:c r="R56" s="48"/>
      <x:c r="S56" s="48"/>
      <x:c r="T56" s="48"/>
      <x:c r="U56" s="48"/>
      <x:c r="V56" s="48"/>
      <x:c r="W56" s="48"/>
    </x:row>
    <x:row r="57">
      <x:c r="C57" s="19" t="str">
        <x:v>AN-CT-A-03</x:v>
      </x:c>
      <x:c r="D57" s="19" t="str">
        <x:v>MS-CT|A</x:v>
      </x:c>
      <x:c r="E57" s="19" t="str">
        <x:v>MS-CT</x:v>
      </x:c>
      <x:c r="F57" s="19" t="str">
        <x:v>energy conversion</x:v>
      </x:c>
      <x:c r="G57" s="19" t="str">
        <x:v>RES-CT-A-03</x:v>
      </x:c>
      <x:c r="H57" s="20" t="n">
        <x:v>0</x:v>
      </x:c>
      <x:c r="I57" s="21" t="str">
        <x:v>UNDECLARED</x:v>
      </x:c>
      <x:c r="J57" s="48"/>
      <x:c r="K57" s="48"/>
      <x:c r="L57" s="48"/>
      <x:c r="M57" s="48"/>
      <x:c r="N57" s="48"/>
      <x:c r="O57" s="48"/>
      <x:c r="P57" s="48"/>
      <x:c r="Q57" s="48"/>
      <x:c r="R57" s="48"/>
      <x:c r="S57" s="48"/>
      <x:c r="T57" s="48"/>
      <x:c r="U57" s="48"/>
      <x:c r="V57" s="48"/>
      <x:c r="W57" s="48"/>
    </x:row>
    <x:row r="58">
      <x:c r="C58" s="19" t="str">
        <x:v>AN-CT-A-04</x:v>
      </x:c>
      <x:c r="D58" s="19" t="str">
        <x:v>MS-CT|A</x:v>
      </x:c>
      <x:c r="E58" s="19" t="str">
        <x:v>MS-CT</x:v>
      </x:c>
      <x:c r="F58" s="19" t="str">
        <x:v>structural process</x:v>
      </x:c>
      <x:c r="G58" s="19" t="str">
        <x:v>RES-CT-A-04</x:v>
      </x:c>
      <x:c r="H58" s="20" t="n">
        <x:v>0</x:v>
      </x:c>
      <x:c r="I58" s="21" t="str">
        <x:v>UNDECLARED</x:v>
      </x:c>
      <x:c r="J58" s="48"/>
      <x:c r="K58" s="48"/>
      <x:c r="L58" s="48"/>
      <x:c r="M58" s="48"/>
      <x:c r="N58" s="48"/>
      <x:c r="O58" s="48"/>
      <x:c r="P58" s="48"/>
      <x:c r="Q58" s="48"/>
      <x:c r="R58" s="48"/>
      <x:c r="S58" s="48"/>
      <x:c r="T58" s="48"/>
      <x:c r="U58" s="48"/>
      <x:c r="V58" s="48"/>
      <x:c r="W58" s="48"/>
    </x:row>
    <x:row r="59">
      <x:c r="C59" s="19" t="str">
        <x:v>AN-CT-A-05</x:v>
      </x:c>
      <x:c r="D59" s="19" t="str">
        <x:v>MS-CT|A</x:v>
      </x:c>
      <x:c r="E59" s="19" t="str">
        <x:v>MS-CT</x:v>
      </x:c>
      <x:c r="F59" s="19" t="str">
        <x:v>critical-feedstock conversion</x:v>
      </x:c>
      <x:c r="G59" s="19" t="str">
        <x:v>RES-CT-A-05</x:v>
      </x:c>
      <x:c r="H59" s="20" t="n">
        <x:v>0</x:v>
      </x:c>
      <x:c r="I59" s="21" t="str">
        <x:v>UNDECLARED</x:v>
      </x:c>
      <x:c r="J59" s="48"/>
      <x:c r="K59" s="48"/>
      <x:c r="L59" s="48"/>
      <x:c r="M59" s="48"/>
      <x:c r="N59" s="48"/>
      <x:c r="O59" s="48"/>
      <x:c r="P59" s="48"/>
      <x:c r="Q59" s="48"/>
      <x:c r="R59" s="48"/>
      <x:c r="S59" s="48"/>
      <x:c r="T59" s="48"/>
      <x:c r="U59" s="48"/>
      <x:c r="V59" s="48"/>
      <x:c r="W59" s="48"/>
    </x:row>
    <x:row r="60">
      <x:c r="C60" s="19" t="str">
        <x:v>AN-CT-A-06</x:v>
      </x:c>
      <x:c r="D60" s="19" t="str">
        <x:v>MS-CT|A</x:v>
      </x:c>
      <x:c r="E60" s="19" t="str">
        <x:v>MS-CT</x:v>
      </x:c>
      <x:c r="F60" s="19" t="str">
        <x:v>control keys</x:v>
      </x:c>
      <x:c r="G60" s="19" t="str">
        <x:v>RES-CT-A-06</x:v>
      </x:c>
      <x:c r="H60" s="20" t="n">
        <x:v>0</x:v>
      </x:c>
      <x:c r="I60" s="21" t="str">
        <x:v>UNDECLARED</x:v>
      </x:c>
      <x:c r="J60" s="48"/>
      <x:c r="K60" s="48"/>
      <x:c r="L60" s="48"/>
      <x:c r="M60" s="48"/>
      <x:c r="N60" s="48"/>
      <x:c r="O60" s="48"/>
      <x:c r="P60" s="48"/>
      <x:c r="Q60" s="48"/>
      <x:c r="R60" s="48"/>
      <x:c r="S60" s="48"/>
      <x:c r="T60" s="48"/>
      <x:c r="U60" s="48"/>
      <x:c r="V60" s="48"/>
      <x:c r="W60" s="48"/>
    </x:row>
    <x:row r="61">
      <x:c r="C61" s="19" t="str">
        <x:v>AN-CT-A-07</x:v>
      </x:c>
      <x:c r="D61" s="19" t="str">
        <x:v>MS-CT|A</x:v>
      </x:c>
      <x:c r="E61" s="19" t="str">
        <x:v>MS-CT</x:v>
      </x:c>
      <x:c r="F61" s="19" t="str">
        <x:v>communications and time implementation</x:v>
      </x:c>
      <x:c r="G61" s="19" t="str">
        <x:v>RES-CT-A-07</x:v>
      </x:c>
      <x:c r="H61" s="20" t="n">
        <x:v>0</x:v>
      </x:c>
      <x:c r="I61" s="21" t="str">
        <x:v>UNDECLARED</x:v>
      </x:c>
      <x:c r="J61" s="48"/>
      <x:c r="K61" s="48"/>
      <x:c r="L61" s="48"/>
      <x:c r="M61" s="48"/>
      <x:c r="N61" s="48"/>
      <x:c r="O61" s="48"/>
      <x:c r="P61" s="48"/>
      <x:c r="Q61" s="48"/>
      <x:c r="R61" s="48"/>
      <x:c r="S61" s="48"/>
      <x:c r="T61" s="48"/>
      <x:c r="U61" s="48"/>
      <x:c r="V61" s="48"/>
      <x:c r="W61" s="48"/>
    </x:row>
    <x:row r="62">
      <x:c r="C62" s="19" t="str">
        <x:v>AN-CT-A-08</x:v>
      </x:c>
      <x:c r="D62" s="19" t="str">
        <x:v>MS-CT|A</x:v>
      </x:c>
      <x:c r="E62" s="19" t="str">
        <x:v>MS-CT</x:v>
      </x:c>
      <x:c r="F62" s="19" t="str">
        <x:v>calibration chain</x:v>
      </x:c>
      <x:c r="G62" s="19" t="str">
        <x:v>RES-CT-A-08</x:v>
      </x:c>
      <x:c r="H62" s="20" t="n">
        <x:v>0</x:v>
      </x:c>
      <x:c r="I62" s="21" t="str">
        <x:v>UNDECLARED</x:v>
      </x:c>
      <x:c r="J62" s="48"/>
      <x:c r="K62" s="48"/>
      <x:c r="L62" s="48"/>
      <x:c r="M62" s="48"/>
      <x:c r="N62" s="48"/>
      <x:c r="O62" s="48"/>
      <x:c r="P62" s="48"/>
      <x:c r="Q62" s="48"/>
      <x:c r="R62" s="48"/>
      <x:c r="S62" s="48"/>
      <x:c r="T62" s="48"/>
      <x:c r="U62" s="48"/>
      <x:c r="V62" s="48"/>
      <x:c r="W62" s="48"/>
    </x:row>
    <x:row r="63">
      <x:c r="C63" s="19" t="str">
        <x:v>AN-CT-A-09</x:v>
      </x:c>
      <x:c r="D63" s="19" t="str">
        <x:v>MS-CT|A</x:v>
      </x:c>
      <x:c r="E63" s="19" t="str">
        <x:v>MS-CT</x:v>
      </x:c>
      <x:c r="F63" s="19" t="str">
        <x:v>production tooling</x:v>
      </x:c>
      <x:c r="G63" s="19" t="str">
        <x:v>RES-CT-A-09</x:v>
      </x:c>
      <x:c r="H63" s="20" t="n">
        <x:v>0</x:v>
      </x:c>
      <x:c r="I63" s="21" t="str">
        <x:v>UNDECLARED</x:v>
      </x:c>
      <x:c r="J63" s="48"/>
      <x:c r="K63" s="48"/>
      <x:c r="L63" s="48"/>
      <x:c r="M63" s="48"/>
      <x:c r="N63" s="48"/>
      <x:c r="O63" s="48"/>
      <x:c r="P63" s="48"/>
      <x:c r="Q63" s="48"/>
      <x:c r="R63" s="48"/>
      <x:c r="S63" s="48"/>
      <x:c r="T63" s="48"/>
      <x:c r="U63" s="48"/>
      <x:c r="V63" s="48"/>
      <x:c r="W63" s="48"/>
    </x:row>
    <x:row r="64">
      <x:c r="C64" s="19" t="str">
        <x:v>AN-CT-A-10</x:v>
      </x:c>
      <x:c r="D64" s="19" t="str">
        <x:v>MS-CT|A</x:v>
      </x:c>
      <x:c r="E64" s="19" t="str">
        <x:v>MS-CT</x:v>
      </x:c>
      <x:c r="F64" s="19" t="str">
        <x:v>final assembly cell</x:v>
      </x:c>
      <x:c r="G64" s="19" t="str">
        <x:v>RES-CT-A-10</x:v>
      </x:c>
      <x:c r="H64" s="20" t="n">
        <x:v>0</x:v>
      </x:c>
      <x:c r="I64" s="21" t="str">
        <x:v>UNDECLARED</x:v>
      </x:c>
      <x:c r="J64" s="48"/>
      <x:c r="K64" s="48"/>
      <x:c r="L64" s="48"/>
      <x:c r="M64" s="48"/>
      <x:c r="N64" s="48"/>
      <x:c r="O64" s="48"/>
      <x:c r="P64" s="48"/>
      <x:c r="Q64" s="48"/>
      <x:c r="R64" s="48"/>
      <x:c r="S64" s="48"/>
      <x:c r="T64" s="48"/>
      <x:c r="U64" s="48"/>
      <x:c r="V64" s="48"/>
      <x:c r="W64" s="48"/>
    </x:row>
    <x:row r="65">
      <x:c r="C65" s="19" t="str">
        <x:v>AN-CT-A-11</x:v>
      </x:c>
      <x:c r="D65" s="19" t="str">
        <x:v>MS-CT|A</x:v>
      </x:c>
      <x:c r="E65" s="19" t="str">
        <x:v>MS-CT</x:v>
      </x:c>
      <x:c r="F65" s="19" t="str">
        <x:v>repair route</x:v>
      </x:c>
      <x:c r="G65" s="19" t="str">
        <x:v>RES-CT-A-11</x:v>
      </x:c>
      <x:c r="H65" s="20" t="n">
        <x:v>0</x:v>
      </x:c>
      <x:c r="I65" s="21" t="str">
        <x:v>UNDECLARED</x:v>
      </x:c>
      <x:c r="J65" s="48"/>
      <x:c r="K65" s="48"/>
      <x:c r="L65" s="48"/>
      <x:c r="M65" s="48"/>
      <x:c r="N65" s="48"/>
      <x:c r="O65" s="48"/>
      <x:c r="P65" s="48"/>
      <x:c r="Q65" s="48"/>
      <x:c r="R65" s="48"/>
      <x:c r="S65" s="48"/>
      <x:c r="T65" s="48"/>
      <x:c r="U65" s="48"/>
      <x:c r="V65" s="48"/>
      <x:c r="W65" s="48"/>
    </x:row>
    <x:row r="66">
      <x:c r="C66" s="19" t="str">
        <x:v>AN-CT-A-12</x:v>
      </x:c>
      <x:c r="D66" s="19" t="str">
        <x:v>MS-CT|A</x:v>
      </x:c>
      <x:c r="E66" s="19" t="str">
        <x:v>MS-CT</x:v>
      </x:c>
      <x:c r="F66" s="19" t="str">
        <x:v>evidence chain</x:v>
      </x:c>
      <x:c r="G66" s="19" t="str">
        <x:v>RES-CT-A-12</x:v>
      </x:c>
      <x:c r="H66" s="20" t="n">
        <x:v>0</x:v>
      </x:c>
      <x:c r="I66" s="21" t="str">
        <x:v>UNDECLARED</x:v>
      </x:c>
      <x:c r="J66" s="48"/>
      <x:c r="K66" s="48"/>
      <x:c r="L66" s="48"/>
      <x:c r="M66" s="48"/>
      <x:c r="N66" s="48"/>
      <x:c r="O66" s="48"/>
      <x:c r="P66" s="48"/>
      <x:c r="Q66" s="48"/>
      <x:c r="R66" s="48"/>
      <x:c r="S66" s="48"/>
      <x:c r="T66" s="48"/>
      <x:c r="U66" s="48"/>
      <x:c r="V66" s="48"/>
      <x:c r="W66" s="48"/>
    </x:row>
    <x:row r="67">
      <x:c r="C67" s="19" t="str">
        <x:v>AN-CT-B-01</x:v>
      </x:c>
      <x:c r="D67" s="19" t="str">
        <x:v>MS-CT|B</x:v>
      </x:c>
      <x:c r="E67" s="19" t="str">
        <x:v>MS-CT</x:v>
      </x:c>
      <x:c r="F67" s="19" t="str">
        <x:v>root integrator</x:v>
      </x:c>
      <x:c r="G67" s="19" t="str">
        <x:v>RES-CT-B-01</x:v>
      </x:c>
      <x:c r="H67" s="20" t="n">
        <x:v>0</x:v>
      </x:c>
      <x:c r="I67" s="21" t="str">
        <x:v>UNDECLARED</x:v>
      </x:c>
      <x:c r="J67" s="48"/>
      <x:c r="K67" s="48"/>
      <x:c r="L67" s="48"/>
      <x:c r="M67" s="48"/>
      <x:c r="N67" s="48"/>
      <x:c r="O67" s="48"/>
      <x:c r="P67" s="48"/>
      <x:c r="Q67" s="48"/>
      <x:c r="R67" s="48"/>
      <x:c r="S67" s="48"/>
      <x:c r="T67" s="48"/>
      <x:c r="U67" s="48"/>
      <x:c r="V67" s="48"/>
      <x:c r="W67" s="48"/>
    </x:row>
    <x:row r="68">
      <x:c r="C68" s="19" t="str">
        <x:v>AN-CT-B-02</x:v>
      </x:c>
      <x:c r="D68" s="19" t="str">
        <x:v>MS-CT|B</x:v>
      </x:c>
      <x:c r="E68" s="19" t="str">
        <x:v>MS-CT</x:v>
      </x:c>
      <x:c r="F68" s="19" t="str">
        <x:v>prime work physics</x:v>
      </x:c>
      <x:c r="G68" s="19" t="str">
        <x:v>RES-CT-B-02</x:v>
      </x:c>
      <x:c r="H68" s="20" t="n">
        <x:v>0</x:v>
      </x:c>
      <x:c r="I68" s="21" t="str">
        <x:v>UNDECLARED</x:v>
      </x:c>
      <x:c r="J68" s="48"/>
      <x:c r="K68" s="48"/>
      <x:c r="L68" s="48"/>
      <x:c r="M68" s="48"/>
      <x:c r="N68" s="48"/>
      <x:c r="O68" s="48"/>
      <x:c r="P68" s="48"/>
      <x:c r="Q68" s="48"/>
      <x:c r="R68" s="48"/>
      <x:c r="S68" s="48"/>
      <x:c r="T68" s="48"/>
      <x:c r="U68" s="48"/>
      <x:c r="V68" s="48"/>
      <x:c r="W68" s="48"/>
    </x:row>
    <x:row r="69">
      <x:c r="C69" s="19" t="str">
        <x:v>AN-CT-B-03</x:v>
      </x:c>
      <x:c r="D69" s="19" t="str">
        <x:v>MS-CT|B</x:v>
      </x:c>
      <x:c r="E69" s="19" t="str">
        <x:v>MS-CT</x:v>
      </x:c>
      <x:c r="F69" s="19" t="str">
        <x:v>energy conversion</x:v>
      </x:c>
      <x:c r="G69" s="19" t="str">
        <x:v>RES-CT-B-03</x:v>
      </x:c>
      <x:c r="H69" s="20" t="n">
        <x:v>0</x:v>
      </x:c>
      <x:c r="I69" s="21" t="str">
        <x:v>UNDECLARED</x:v>
      </x:c>
      <x:c r="J69" s="48"/>
      <x:c r="K69" s="48"/>
      <x:c r="L69" s="48"/>
      <x:c r="M69" s="48"/>
      <x:c r="N69" s="48"/>
      <x:c r="O69" s="48"/>
      <x:c r="P69" s="48"/>
      <x:c r="Q69" s="48"/>
      <x:c r="R69" s="48"/>
      <x:c r="S69" s="48"/>
      <x:c r="T69" s="48"/>
      <x:c r="U69" s="48"/>
      <x:c r="V69" s="48"/>
      <x:c r="W69" s="48"/>
    </x:row>
    <x:row r="70">
      <x:c r="C70" s="19" t="str">
        <x:v>AN-CT-B-04</x:v>
      </x:c>
      <x:c r="D70" s="19" t="str">
        <x:v>MS-CT|B</x:v>
      </x:c>
      <x:c r="E70" s="19" t="str">
        <x:v>MS-CT</x:v>
      </x:c>
      <x:c r="F70" s="19" t="str">
        <x:v>structural process</x:v>
      </x:c>
      <x:c r="G70" s="19" t="str">
        <x:v>RES-CT-B-04</x:v>
      </x:c>
      <x:c r="H70" s="20" t="n">
        <x:v>0</x:v>
      </x:c>
      <x:c r="I70" s="21" t="str">
        <x:v>UNDECLARED</x:v>
      </x:c>
      <x:c r="J70" s="48"/>
      <x:c r="K70" s="48"/>
      <x:c r="L70" s="48"/>
      <x:c r="M70" s="48"/>
      <x:c r="N70" s="48"/>
      <x:c r="O70" s="48"/>
      <x:c r="P70" s="48"/>
      <x:c r="Q70" s="48"/>
      <x:c r="R70" s="48"/>
      <x:c r="S70" s="48"/>
      <x:c r="T70" s="48"/>
      <x:c r="U70" s="48"/>
      <x:c r="V70" s="48"/>
      <x:c r="W70" s="48"/>
    </x:row>
    <x:row r="71">
      <x:c r="C71" s="19" t="str">
        <x:v>AN-CT-B-05</x:v>
      </x:c>
      <x:c r="D71" s="19" t="str">
        <x:v>MS-CT|B</x:v>
      </x:c>
      <x:c r="E71" s="19" t="str">
        <x:v>MS-CT</x:v>
      </x:c>
      <x:c r="F71" s="19" t="str">
        <x:v>critical-feedstock conversion</x:v>
      </x:c>
      <x:c r="G71" s="19" t="str">
        <x:v>RES-CT-B-05</x:v>
      </x:c>
      <x:c r="H71" s="20" t="n">
        <x:v>0</x:v>
      </x:c>
      <x:c r="I71" s="21" t="str">
        <x:v>UNDECLARED</x:v>
      </x:c>
      <x:c r="J71" s="48"/>
      <x:c r="K71" s="48"/>
      <x:c r="L71" s="48"/>
      <x:c r="M71" s="48"/>
      <x:c r="N71" s="48"/>
      <x:c r="O71" s="48"/>
      <x:c r="P71" s="48"/>
      <x:c r="Q71" s="48"/>
      <x:c r="R71" s="48"/>
      <x:c r="S71" s="48"/>
      <x:c r="T71" s="48"/>
      <x:c r="U71" s="48"/>
      <x:c r="V71" s="48"/>
      <x:c r="W71" s="48"/>
    </x:row>
    <x:row r="72">
      <x:c r="C72" s="19" t="str">
        <x:v>AN-CT-B-06</x:v>
      </x:c>
      <x:c r="D72" s="19" t="str">
        <x:v>MS-CT|B</x:v>
      </x:c>
      <x:c r="E72" s="19" t="str">
        <x:v>MS-CT</x:v>
      </x:c>
      <x:c r="F72" s="19" t="str">
        <x:v>control keys</x:v>
      </x:c>
      <x:c r="G72" s="19" t="str">
        <x:v>RES-CT-B-06</x:v>
      </x:c>
      <x:c r="H72" s="20" t="n">
        <x:v>0</x:v>
      </x:c>
      <x:c r="I72" s="21" t="str">
        <x:v>UNDECLARED</x:v>
      </x:c>
      <x:c r="J72" s="48"/>
      <x:c r="K72" s="48"/>
      <x:c r="L72" s="48"/>
      <x:c r="M72" s="48"/>
      <x:c r="N72" s="48"/>
      <x:c r="O72" s="48"/>
      <x:c r="P72" s="48"/>
      <x:c r="Q72" s="48"/>
      <x:c r="R72" s="48"/>
      <x:c r="S72" s="48"/>
      <x:c r="T72" s="48"/>
      <x:c r="U72" s="48"/>
      <x:c r="V72" s="48"/>
      <x:c r="W72" s="48"/>
    </x:row>
    <x:row r="73">
      <x:c r="C73" s="19" t="str">
        <x:v>AN-CT-B-07</x:v>
      </x:c>
      <x:c r="D73" s="19" t="str">
        <x:v>MS-CT|B</x:v>
      </x:c>
      <x:c r="E73" s="19" t="str">
        <x:v>MS-CT</x:v>
      </x:c>
      <x:c r="F73" s="19" t="str">
        <x:v>communications and time implementation</x:v>
      </x:c>
      <x:c r="G73" s="19" t="str">
        <x:v>RES-CT-B-07</x:v>
      </x:c>
      <x:c r="H73" s="20" t="n">
        <x:v>0</x:v>
      </x:c>
      <x:c r="I73" s="21" t="str">
        <x:v>UNDECLARED</x:v>
      </x:c>
      <x:c r="J73" s="48"/>
      <x:c r="K73" s="48"/>
      <x:c r="L73" s="48"/>
      <x:c r="M73" s="48"/>
      <x:c r="N73" s="48"/>
      <x:c r="O73" s="48"/>
      <x:c r="P73" s="48"/>
      <x:c r="Q73" s="48"/>
      <x:c r="R73" s="48"/>
      <x:c r="S73" s="48"/>
      <x:c r="T73" s="48"/>
      <x:c r="U73" s="48"/>
      <x:c r="V73" s="48"/>
      <x:c r="W73" s="48"/>
    </x:row>
    <x:row r="74">
      <x:c r="C74" s="19" t="str">
        <x:v>AN-CT-B-08</x:v>
      </x:c>
      <x:c r="D74" s="19" t="str">
        <x:v>MS-CT|B</x:v>
      </x:c>
      <x:c r="E74" s="19" t="str">
        <x:v>MS-CT</x:v>
      </x:c>
      <x:c r="F74" s="19" t="str">
        <x:v>calibration chain</x:v>
      </x:c>
      <x:c r="G74" s="19" t="str">
        <x:v>RES-CT-B-08</x:v>
      </x:c>
      <x:c r="H74" s="20" t="n">
        <x:v>0</x:v>
      </x:c>
      <x:c r="I74" s="21" t="str">
        <x:v>UNDECLARED</x:v>
      </x:c>
      <x:c r="J74" s="48"/>
      <x:c r="K74" s="48"/>
      <x:c r="L74" s="48"/>
      <x:c r="M74" s="48"/>
      <x:c r="N74" s="48"/>
      <x:c r="O74" s="48"/>
      <x:c r="P74" s="48"/>
      <x:c r="Q74" s="48"/>
      <x:c r="R74" s="48"/>
      <x:c r="S74" s="48"/>
      <x:c r="T74" s="48"/>
      <x:c r="U74" s="48"/>
      <x:c r="V74" s="48"/>
      <x:c r="W74" s="48"/>
    </x:row>
    <x:row r="75">
      <x:c r="C75" s="19" t="str">
        <x:v>AN-CT-B-09</x:v>
      </x:c>
      <x:c r="D75" s="19" t="str">
        <x:v>MS-CT|B</x:v>
      </x:c>
      <x:c r="E75" s="19" t="str">
        <x:v>MS-CT</x:v>
      </x:c>
      <x:c r="F75" s="19" t="str">
        <x:v>production tooling</x:v>
      </x:c>
      <x:c r="G75" s="19" t="str">
        <x:v>RES-CT-B-09</x:v>
      </x:c>
      <x:c r="H75" s="20" t="n">
        <x:v>0</x:v>
      </x:c>
      <x:c r="I75" s="21" t="str">
        <x:v>UNDECLARED</x:v>
      </x:c>
      <x:c r="J75" s="48"/>
      <x:c r="K75" s="48"/>
      <x:c r="L75" s="48"/>
      <x:c r="M75" s="48"/>
      <x:c r="N75" s="48"/>
      <x:c r="O75" s="48"/>
      <x:c r="P75" s="48"/>
      <x:c r="Q75" s="48"/>
      <x:c r="R75" s="48"/>
      <x:c r="S75" s="48"/>
      <x:c r="T75" s="48"/>
      <x:c r="U75" s="48"/>
      <x:c r="V75" s="48"/>
      <x:c r="W75" s="48"/>
    </x:row>
    <x:row r="76">
      <x:c r="C76" s="19" t="str">
        <x:v>AN-CT-B-10</x:v>
      </x:c>
      <x:c r="D76" s="19" t="str">
        <x:v>MS-CT|B</x:v>
      </x:c>
      <x:c r="E76" s="19" t="str">
        <x:v>MS-CT</x:v>
      </x:c>
      <x:c r="F76" s="19" t="str">
        <x:v>final assembly cell</x:v>
      </x:c>
      <x:c r="G76" s="19" t="str">
        <x:v>RES-CT-B-10</x:v>
      </x:c>
      <x:c r="H76" s="20" t="n">
        <x:v>0</x:v>
      </x:c>
      <x:c r="I76" s="21" t="str">
        <x:v>UNDECLARED</x:v>
      </x:c>
      <x:c r="J76" s="48"/>
      <x:c r="K76" s="48"/>
      <x:c r="L76" s="48"/>
      <x:c r="M76" s="48"/>
      <x:c r="N76" s="48"/>
      <x:c r="O76" s="48"/>
      <x:c r="P76" s="48"/>
      <x:c r="Q76" s="48"/>
      <x:c r="R76" s="48"/>
      <x:c r="S76" s="48"/>
      <x:c r="T76" s="48"/>
      <x:c r="U76" s="48"/>
      <x:c r="V76" s="48"/>
      <x:c r="W76" s="48"/>
    </x:row>
    <x:row r="77">
      <x:c r="C77" s="19" t="str">
        <x:v>AN-CT-B-11</x:v>
      </x:c>
      <x:c r="D77" s="19" t="str">
        <x:v>MS-CT|B</x:v>
      </x:c>
      <x:c r="E77" s="19" t="str">
        <x:v>MS-CT</x:v>
      </x:c>
      <x:c r="F77" s="19" t="str">
        <x:v>repair route</x:v>
      </x:c>
      <x:c r="G77" s="19" t="str">
        <x:v>RES-CT-B-11</x:v>
      </x:c>
      <x:c r="H77" s="20" t="n">
        <x:v>0</x:v>
      </x:c>
      <x:c r="I77" s="21" t="str">
        <x:v>UNDECLARED</x:v>
      </x:c>
      <x:c r="J77" s="48"/>
      <x:c r="K77" s="48"/>
      <x:c r="L77" s="48"/>
      <x:c r="M77" s="48"/>
      <x:c r="N77" s="48"/>
      <x:c r="O77" s="48"/>
      <x:c r="P77" s="48"/>
      <x:c r="Q77" s="48"/>
      <x:c r="R77" s="48"/>
      <x:c r="S77" s="48"/>
      <x:c r="T77" s="48"/>
      <x:c r="U77" s="48"/>
      <x:c r="V77" s="48"/>
      <x:c r="W77" s="48"/>
    </x:row>
    <x:row r="78">
      <x:c r="C78" s="19" t="str">
        <x:v>AN-CT-B-12</x:v>
      </x:c>
      <x:c r="D78" s="19" t="str">
        <x:v>MS-CT|B</x:v>
      </x:c>
      <x:c r="E78" s="19" t="str">
        <x:v>MS-CT</x:v>
      </x:c>
      <x:c r="F78" s="19" t="str">
        <x:v>evidence chain</x:v>
      </x:c>
      <x:c r="G78" s="19" t="str">
        <x:v>RES-CT-B-12</x:v>
      </x:c>
      <x:c r="H78" s="20" t="n">
        <x:v>0</x:v>
      </x:c>
      <x:c r="I78" s="21" t="str">
        <x:v>UNDECLARED</x:v>
      </x:c>
      <x:c r="J78" s="48"/>
      <x:c r="K78" s="48"/>
      <x:c r="L78" s="48"/>
      <x:c r="M78" s="48"/>
      <x:c r="N78" s="48"/>
      <x:c r="O78" s="48"/>
      <x:c r="P78" s="48"/>
      <x:c r="Q78" s="48"/>
      <x:c r="R78" s="48"/>
      <x:c r="S78" s="48"/>
      <x:c r="T78" s="48"/>
      <x:c r="U78" s="48"/>
      <x:c r="V78" s="48"/>
      <x:c r="W78" s="48"/>
    </x:row>
    <x:row r="79">
      <x:c r="C79" s="19" t="str">
        <x:v>AN-CT-C-01</x:v>
      </x:c>
      <x:c r="D79" s="19" t="str">
        <x:v>MS-CT|C</x:v>
      </x:c>
      <x:c r="E79" s="19" t="str">
        <x:v>MS-CT</x:v>
      </x:c>
      <x:c r="F79" s="19" t="str">
        <x:v>root integrator</x:v>
      </x:c>
      <x:c r="G79" s="19" t="str">
        <x:v>RES-CT-C-01</x:v>
      </x:c>
      <x:c r="H79" s="20" t="n">
        <x:v>0</x:v>
      </x:c>
      <x:c r="I79" s="21" t="str">
        <x:v>UNDECLARED</x:v>
      </x:c>
      <x:c r="J79" s="48"/>
      <x:c r="K79" s="48"/>
      <x:c r="L79" s="48"/>
      <x:c r="M79" s="48"/>
      <x:c r="N79" s="48"/>
      <x:c r="O79" s="48"/>
      <x:c r="P79" s="48"/>
      <x:c r="Q79" s="48"/>
      <x:c r="R79" s="48"/>
      <x:c r="S79" s="48"/>
      <x:c r="T79" s="48"/>
      <x:c r="U79" s="48"/>
      <x:c r="V79" s="48"/>
      <x:c r="W79" s="48"/>
    </x:row>
    <x:row r="80">
      <x:c r="C80" s="19" t="str">
        <x:v>AN-CT-C-02</x:v>
      </x:c>
      <x:c r="D80" s="19" t="str">
        <x:v>MS-CT|C</x:v>
      </x:c>
      <x:c r="E80" s="19" t="str">
        <x:v>MS-CT</x:v>
      </x:c>
      <x:c r="F80" s="19" t="str">
        <x:v>prime work physics</x:v>
      </x:c>
      <x:c r="G80" s="19" t="str">
        <x:v>RES-CT-C-02</x:v>
      </x:c>
      <x:c r="H80" s="20" t="n">
        <x:v>0</x:v>
      </x:c>
      <x:c r="I80" s="21" t="str">
        <x:v>UNDECLARED</x:v>
      </x:c>
      <x:c r="J80" s="48"/>
      <x:c r="K80" s="48"/>
      <x:c r="L80" s="48"/>
      <x:c r="M80" s="48"/>
      <x:c r="N80" s="48"/>
      <x:c r="O80" s="48"/>
      <x:c r="P80" s="48"/>
      <x:c r="Q80" s="48"/>
      <x:c r="R80" s="48"/>
      <x:c r="S80" s="48"/>
      <x:c r="T80" s="48"/>
      <x:c r="U80" s="48"/>
      <x:c r="V80" s="48"/>
      <x:c r="W80" s="48"/>
    </x:row>
    <x:row r="81">
      <x:c r="C81" s="19" t="str">
        <x:v>AN-CT-C-03</x:v>
      </x:c>
      <x:c r="D81" s="19" t="str">
        <x:v>MS-CT|C</x:v>
      </x:c>
      <x:c r="E81" s="19" t="str">
        <x:v>MS-CT</x:v>
      </x:c>
      <x:c r="F81" s="19" t="str">
        <x:v>energy conversion</x:v>
      </x:c>
      <x:c r="G81" s="19" t="str">
        <x:v>RES-CT-C-03</x:v>
      </x:c>
      <x:c r="H81" s="20" t="n">
        <x:v>0</x:v>
      </x:c>
      <x:c r="I81" s="21" t="str">
        <x:v>UNDECLARED</x:v>
      </x:c>
      <x:c r="J81" s="48"/>
      <x:c r="K81" s="48"/>
      <x:c r="L81" s="48"/>
      <x:c r="M81" s="48"/>
      <x:c r="N81" s="48"/>
      <x:c r="O81" s="48"/>
      <x:c r="P81" s="48"/>
      <x:c r="Q81" s="48"/>
      <x:c r="R81" s="48"/>
      <x:c r="S81" s="48"/>
      <x:c r="T81" s="48"/>
      <x:c r="U81" s="48"/>
      <x:c r="V81" s="48"/>
      <x:c r="W81" s="48"/>
    </x:row>
    <x:row r="82">
      <x:c r="C82" s="19" t="str">
        <x:v>AN-CT-C-04</x:v>
      </x:c>
      <x:c r="D82" s="19" t="str">
        <x:v>MS-CT|C</x:v>
      </x:c>
      <x:c r="E82" s="19" t="str">
        <x:v>MS-CT</x:v>
      </x:c>
      <x:c r="F82" s="19" t="str">
        <x:v>structural process</x:v>
      </x:c>
      <x:c r="G82" s="19" t="str">
        <x:v>RES-CT-C-04</x:v>
      </x:c>
      <x:c r="H82" s="20" t="n">
        <x:v>0</x:v>
      </x:c>
      <x:c r="I82" s="21" t="str">
        <x:v>UNDECLARED</x:v>
      </x:c>
      <x:c r="J82" s="48"/>
      <x:c r="K82" s="48"/>
      <x:c r="L82" s="48"/>
      <x:c r="M82" s="48"/>
      <x:c r="N82" s="48"/>
      <x:c r="O82" s="48"/>
      <x:c r="P82" s="48"/>
      <x:c r="Q82" s="48"/>
      <x:c r="R82" s="48"/>
      <x:c r="S82" s="48"/>
      <x:c r="T82" s="48"/>
      <x:c r="U82" s="48"/>
      <x:c r="V82" s="48"/>
      <x:c r="W82" s="48"/>
    </x:row>
    <x:row r="83">
      <x:c r="C83" s="19" t="str">
        <x:v>AN-CT-C-05</x:v>
      </x:c>
      <x:c r="D83" s="19" t="str">
        <x:v>MS-CT|C</x:v>
      </x:c>
      <x:c r="E83" s="19" t="str">
        <x:v>MS-CT</x:v>
      </x:c>
      <x:c r="F83" s="19" t="str">
        <x:v>critical-feedstock conversion</x:v>
      </x:c>
      <x:c r="G83" s="19" t="str">
        <x:v>RES-CT-C-05</x:v>
      </x:c>
      <x:c r="H83" s="20" t="n">
        <x:v>0</x:v>
      </x:c>
      <x:c r="I83" s="21" t="str">
        <x:v>UNDECLARED</x:v>
      </x:c>
      <x:c r="J83" s="48"/>
      <x:c r="K83" s="48"/>
      <x:c r="L83" s="48"/>
      <x:c r="M83" s="48"/>
      <x:c r="N83" s="48"/>
      <x:c r="O83" s="48"/>
      <x:c r="P83" s="48"/>
      <x:c r="Q83" s="48"/>
      <x:c r="R83" s="48"/>
      <x:c r="S83" s="48"/>
      <x:c r="T83" s="48"/>
      <x:c r="U83" s="48"/>
      <x:c r="V83" s="48"/>
      <x:c r="W83" s="48"/>
    </x:row>
    <x:row r="84">
      <x:c r="C84" s="19" t="str">
        <x:v>AN-CT-C-06</x:v>
      </x:c>
      <x:c r="D84" s="19" t="str">
        <x:v>MS-CT|C</x:v>
      </x:c>
      <x:c r="E84" s="19" t="str">
        <x:v>MS-CT</x:v>
      </x:c>
      <x:c r="F84" s="19" t="str">
        <x:v>control keys</x:v>
      </x:c>
      <x:c r="G84" s="19" t="str">
        <x:v>RES-CT-C-06</x:v>
      </x:c>
      <x:c r="H84" s="20" t="n">
        <x:v>0</x:v>
      </x:c>
      <x:c r="I84" s="21" t="str">
        <x:v>UNDECLARED</x:v>
      </x:c>
      <x:c r="J84" s="48"/>
      <x:c r="K84" s="48"/>
      <x:c r="L84" s="48"/>
      <x:c r="M84" s="48"/>
      <x:c r="N84" s="48"/>
      <x:c r="O84" s="48"/>
      <x:c r="P84" s="48"/>
      <x:c r="Q84" s="48"/>
      <x:c r="R84" s="48"/>
      <x:c r="S84" s="48"/>
      <x:c r="T84" s="48"/>
      <x:c r="U84" s="48"/>
      <x:c r="V84" s="48"/>
      <x:c r="W84" s="48"/>
    </x:row>
    <x:row r="85">
      <x:c r="C85" s="19" t="str">
        <x:v>AN-CT-C-07</x:v>
      </x:c>
      <x:c r="D85" s="19" t="str">
        <x:v>MS-CT|C</x:v>
      </x:c>
      <x:c r="E85" s="19" t="str">
        <x:v>MS-CT</x:v>
      </x:c>
      <x:c r="F85" s="19" t="str">
        <x:v>communications and time implementation</x:v>
      </x:c>
      <x:c r="G85" s="19" t="str">
        <x:v>RES-CT-C-07</x:v>
      </x:c>
      <x:c r="H85" s="20" t="n">
        <x:v>0</x:v>
      </x:c>
      <x:c r="I85" s="21" t="str">
        <x:v>UNDECLARED</x:v>
      </x:c>
      <x:c r="J85" s="48"/>
      <x:c r="K85" s="48"/>
      <x:c r="L85" s="48"/>
      <x:c r="M85" s="48"/>
      <x:c r="N85" s="48"/>
      <x:c r="O85" s="48"/>
      <x:c r="P85" s="48"/>
      <x:c r="Q85" s="48"/>
      <x:c r="R85" s="48"/>
      <x:c r="S85" s="48"/>
      <x:c r="T85" s="48"/>
      <x:c r="U85" s="48"/>
      <x:c r="V85" s="48"/>
      <x:c r="W85" s="48"/>
    </x:row>
    <x:row r="86">
      <x:c r="C86" s="19" t="str">
        <x:v>AN-CT-C-08</x:v>
      </x:c>
      <x:c r="D86" s="19" t="str">
        <x:v>MS-CT|C</x:v>
      </x:c>
      <x:c r="E86" s="19" t="str">
        <x:v>MS-CT</x:v>
      </x:c>
      <x:c r="F86" s="19" t="str">
        <x:v>calibration chain</x:v>
      </x:c>
      <x:c r="G86" s="19" t="str">
        <x:v>RES-CT-C-08</x:v>
      </x:c>
      <x:c r="H86" s="20" t="n">
        <x:v>0</x:v>
      </x:c>
      <x:c r="I86" s="21" t="str">
        <x:v>UNDECLARED</x:v>
      </x:c>
      <x:c r="J86" s="48"/>
      <x:c r="K86" s="48"/>
      <x:c r="L86" s="48"/>
      <x:c r="M86" s="48"/>
      <x:c r="N86" s="48"/>
      <x:c r="O86" s="48"/>
      <x:c r="P86" s="48"/>
      <x:c r="Q86" s="48"/>
      <x:c r="R86" s="48"/>
      <x:c r="S86" s="48"/>
      <x:c r="T86" s="48"/>
      <x:c r="U86" s="48"/>
      <x:c r="V86" s="48"/>
      <x:c r="W86" s="48"/>
    </x:row>
    <x:row r="87">
      <x:c r="C87" s="19" t="str">
        <x:v>AN-CT-C-09</x:v>
      </x:c>
      <x:c r="D87" s="19" t="str">
        <x:v>MS-CT|C</x:v>
      </x:c>
      <x:c r="E87" s="19" t="str">
        <x:v>MS-CT</x:v>
      </x:c>
      <x:c r="F87" s="19" t="str">
        <x:v>production tooling</x:v>
      </x:c>
      <x:c r="G87" s="19" t="str">
        <x:v>RES-CT-C-09</x:v>
      </x:c>
      <x:c r="H87" s="20" t="n">
        <x:v>0</x:v>
      </x:c>
      <x:c r="I87" s="21" t="str">
        <x:v>UNDECLARED</x:v>
      </x:c>
      <x:c r="J87" s="48"/>
      <x:c r="K87" s="48"/>
      <x:c r="L87" s="48"/>
      <x:c r="M87" s="48"/>
      <x:c r="N87" s="48"/>
      <x:c r="O87" s="48"/>
      <x:c r="P87" s="48"/>
      <x:c r="Q87" s="48"/>
      <x:c r="R87" s="48"/>
      <x:c r="S87" s="48"/>
      <x:c r="T87" s="48"/>
      <x:c r="U87" s="48"/>
      <x:c r="V87" s="48"/>
      <x:c r="W87" s="48"/>
    </x:row>
    <x:row r="88">
      <x:c r="C88" s="19" t="str">
        <x:v>AN-CT-C-10</x:v>
      </x:c>
      <x:c r="D88" s="19" t="str">
        <x:v>MS-CT|C</x:v>
      </x:c>
      <x:c r="E88" s="19" t="str">
        <x:v>MS-CT</x:v>
      </x:c>
      <x:c r="F88" s="19" t="str">
        <x:v>final assembly cell</x:v>
      </x:c>
      <x:c r="G88" s="19" t="str">
        <x:v>RES-CT-C-10</x:v>
      </x:c>
      <x:c r="H88" s="20" t="n">
        <x:v>0</x:v>
      </x:c>
      <x:c r="I88" s="21" t="str">
        <x:v>UNDECLARED</x:v>
      </x:c>
      <x:c r="J88" s="48"/>
      <x:c r="K88" s="48"/>
      <x:c r="L88" s="48"/>
      <x:c r="M88" s="48"/>
      <x:c r="N88" s="48"/>
      <x:c r="O88" s="48"/>
      <x:c r="P88" s="48"/>
      <x:c r="Q88" s="48"/>
      <x:c r="R88" s="48"/>
      <x:c r="S88" s="48"/>
      <x:c r="T88" s="48"/>
      <x:c r="U88" s="48"/>
      <x:c r="V88" s="48"/>
      <x:c r="W88" s="48"/>
    </x:row>
    <x:row r="89">
      <x:c r="C89" s="19" t="str">
        <x:v>AN-CT-C-11</x:v>
      </x:c>
      <x:c r="D89" s="19" t="str">
        <x:v>MS-CT|C</x:v>
      </x:c>
      <x:c r="E89" s="19" t="str">
        <x:v>MS-CT</x:v>
      </x:c>
      <x:c r="F89" s="19" t="str">
        <x:v>repair route</x:v>
      </x:c>
      <x:c r="G89" s="19" t="str">
        <x:v>RES-CT-C-11</x:v>
      </x:c>
      <x:c r="H89" s="20" t="n">
        <x:v>0</x:v>
      </x:c>
      <x:c r="I89" s="21" t="str">
        <x:v>UNDECLARED</x:v>
      </x:c>
      <x:c r="J89" s="48"/>
      <x:c r="K89" s="48"/>
      <x:c r="L89" s="48"/>
      <x:c r="M89" s="48"/>
      <x:c r="N89" s="48"/>
      <x:c r="O89" s="48"/>
      <x:c r="P89" s="48"/>
      <x:c r="Q89" s="48"/>
      <x:c r="R89" s="48"/>
      <x:c r="S89" s="48"/>
      <x:c r="T89" s="48"/>
      <x:c r="U89" s="48"/>
      <x:c r="V89" s="48"/>
      <x:c r="W89" s="48"/>
    </x:row>
    <x:row r="90">
      <x:c r="C90" s="19" t="str">
        <x:v>AN-CT-C-12</x:v>
      </x:c>
      <x:c r="D90" s="19" t="str">
        <x:v>MS-CT|C</x:v>
      </x:c>
      <x:c r="E90" s="19" t="str">
        <x:v>MS-CT</x:v>
      </x:c>
      <x:c r="F90" s="19" t="str">
        <x:v>evidence chain</x:v>
      </x:c>
      <x:c r="G90" s="19" t="str">
        <x:v>RES-CT-C-12</x:v>
      </x:c>
      <x:c r="H90" s="20" t="n">
        <x:v>0</x:v>
      </x:c>
      <x:c r="I90" s="21" t="str">
        <x:v>UNDECLARED</x:v>
      </x:c>
      <x:c r="J90" s="48"/>
      <x:c r="K90" s="48"/>
      <x:c r="L90" s="48"/>
      <x:c r="M90" s="48"/>
      <x:c r="N90" s="48"/>
      <x:c r="O90" s="48"/>
      <x:c r="P90" s="48"/>
      <x:c r="Q90" s="48"/>
      <x:c r="R90" s="48"/>
      <x:c r="S90" s="48"/>
      <x:c r="T90" s="48"/>
      <x:c r="U90" s="48"/>
      <x:c r="V90" s="48"/>
      <x:c r="W90" s="48"/>
    </x:row>
    <x:row r="91">
      <x:c r="C91" s="19" t="str">
        <x:v>AN-CT-D-01</x:v>
      </x:c>
      <x:c r="D91" s="19" t="str">
        <x:v>MS-CT|D</x:v>
      </x:c>
      <x:c r="E91" s="19" t="str">
        <x:v>MS-CT</x:v>
      </x:c>
      <x:c r="F91" s="19" t="str">
        <x:v>root integrator</x:v>
      </x:c>
      <x:c r="G91" s="19" t="str">
        <x:v>RES-CT-D-01</x:v>
      </x:c>
      <x:c r="H91" s="20" t="n">
        <x:v>0</x:v>
      </x:c>
      <x:c r="I91" s="21" t="str">
        <x:v>UNDECLARED</x:v>
      </x:c>
      <x:c r="J91" s="48"/>
      <x:c r="K91" s="48"/>
      <x:c r="L91" s="48"/>
      <x:c r="M91" s="48"/>
      <x:c r="N91" s="48"/>
      <x:c r="O91" s="48"/>
      <x:c r="P91" s="48"/>
      <x:c r="Q91" s="48"/>
      <x:c r="R91" s="48"/>
      <x:c r="S91" s="48"/>
      <x:c r="T91" s="48"/>
      <x:c r="U91" s="48"/>
      <x:c r="V91" s="48"/>
      <x:c r="W91" s="48"/>
    </x:row>
    <x:row r="92">
      <x:c r="C92" s="19" t="str">
        <x:v>AN-CT-D-02</x:v>
      </x:c>
      <x:c r="D92" s="19" t="str">
        <x:v>MS-CT|D</x:v>
      </x:c>
      <x:c r="E92" s="19" t="str">
        <x:v>MS-CT</x:v>
      </x:c>
      <x:c r="F92" s="19" t="str">
        <x:v>prime work physics</x:v>
      </x:c>
      <x:c r="G92" s="19" t="str">
        <x:v>RES-CT-D-02</x:v>
      </x:c>
      <x:c r="H92" s="20" t="n">
        <x:v>0</x:v>
      </x:c>
      <x:c r="I92" s="21" t="str">
        <x:v>UNDECLARED</x:v>
      </x:c>
      <x:c r="J92" s="48"/>
      <x:c r="K92" s="48"/>
      <x:c r="L92" s="48"/>
      <x:c r="M92" s="48"/>
      <x:c r="N92" s="48"/>
      <x:c r="O92" s="48"/>
      <x:c r="P92" s="48"/>
      <x:c r="Q92" s="48"/>
      <x:c r="R92" s="48"/>
      <x:c r="S92" s="48"/>
      <x:c r="T92" s="48"/>
      <x:c r="U92" s="48"/>
      <x:c r="V92" s="48"/>
      <x:c r="W92" s="48"/>
    </x:row>
    <x:row r="93">
      <x:c r="C93" s="19" t="str">
        <x:v>AN-CT-D-03</x:v>
      </x:c>
      <x:c r="D93" s="19" t="str">
        <x:v>MS-CT|D</x:v>
      </x:c>
      <x:c r="E93" s="19" t="str">
        <x:v>MS-CT</x:v>
      </x:c>
      <x:c r="F93" s="19" t="str">
        <x:v>energy conversion</x:v>
      </x:c>
      <x:c r="G93" s="19" t="str">
        <x:v>RES-CT-D-03</x:v>
      </x:c>
      <x:c r="H93" s="20" t="n">
        <x:v>0</x:v>
      </x:c>
      <x:c r="I93" s="21" t="str">
        <x:v>UNDECLARED</x:v>
      </x:c>
      <x:c r="J93" s="48"/>
      <x:c r="K93" s="48"/>
      <x:c r="L93" s="48"/>
      <x:c r="M93" s="48"/>
      <x:c r="N93" s="48"/>
      <x:c r="O93" s="48"/>
      <x:c r="P93" s="48"/>
      <x:c r="Q93" s="48"/>
      <x:c r="R93" s="48"/>
      <x:c r="S93" s="48"/>
      <x:c r="T93" s="48"/>
      <x:c r="U93" s="48"/>
      <x:c r="V93" s="48"/>
      <x:c r="W93" s="48"/>
    </x:row>
    <x:row r="94">
      <x:c r="C94" s="19" t="str">
        <x:v>AN-CT-D-04</x:v>
      </x:c>
      <x:c r="D94" s="19" t="str">
        <x:v>MS-CT|D</x:v>
      </x:c>
      <x:c r="E94" s="19" t="str">
        <x:v>MS-CT</x:v>
      </x:c>
      <x:c r="F94" s="19" t="str">
        <x:v>structural process</x:v>
      </x:c>
      <x:c r="G94" s="19" t="str">
        <x:v>RES-CT-D-04</x:v>
      </x:c>
      <x:c r="H94" s="20" t="n">
        <x:v>0</x:v>
      </x:c>
      <x:c r="I94" s="21" t="str">
        <x:v>UNDECLARED</x:v>
      </x:c>
      <x:c r="J94" s="48"/>
      <x:c r="K94" s="48"/>
      <x:c r="L94" s="48"/>
      <x:c r="M94" s="48"/>
      <x:c r="N94" s="48"/>
      <x:c r="O94" s="48"/>
      <x:c r="P94" s="48"/>
      <x:c r="Q94" s="48"/>
      <x:c r="R94" s="48"/>
      <x:c r="S94" s="48"/>
      <x:c r="T94" s="48"/>
      <x:c r="U94" s="48"/>
      <x:c r="V94" s="48"/>
      <x:c r="W94" s="48"/>
    </x:row>
    <x:row r="95">
      <x:c r="C95" s="19" t="str">
        <x:v>AN-CT-D-05</x:v>
      </x:c>
      <x:c r="D95" s="19" t="str">
        <x:v>MS-CT|D</x:v>
      </x:c>
      <x:c r="E95" s="19" t="str">
        <x:v>MS-CT</x:v>
      </x:c>
      <x:c r="F95" s="19" t="str">
        <x:v>critical-feedstock conversion</x:v>
      </x:c>
      <x:c r="G95" s="19" t="str">
        <x:v>RES-CT-D-05</x:v>
      </x:c>
      <x:c r="H95" s="20" t="n">
        <x:v>0</x:v>
      </x:c>
      <x:c r="I95" s="21" t="str">
        <x:v>UNDECLARED</x:v>
      </x:c>
      <x:c r="J95" s="48"/>
      <x:c r="K95" s="48"/>
      <x:c r="L95" s="48"/>
      <x:c r="M95" s="48"/>
      <x:c r="N95" s="48"/>
      <x:c r="O95" s="48"/>
      <x:c r="P95" s="48"/>
      <x:c r="Q95" s="48"/>
      <x:c r="R95" s="48"/>
      <x:c r="S95" s="48"/>
      <x:c r="T95" s="48"/>
      <x:c r="U95" s="48"/>
      <x:c r="V95" s="48"/>
      <x:c r="W95" s="48"/>
    </x:row>
    <x:row r="96">
      <x:c r="C96" s="19" t="str">
        <x:v>AN-CT-D-06</x:v>
      </x:c>
      <x:c r="D96" s="19" t="str">
        <x:v>MS-CT|D</x:v>
      </x:c>
      <x:c r="E96" s="19" t="str">
        <x:v>MS-CT</x:v>
      </x:c>
      <x:c r="F96" s="19" t="str">
        <x:v>control keys</x:v>
      </x:c>
      <x:c r="G96" s="19" t="str">
        <x:v>RES-CT-D-06</x:v>
      </x:c>
      <x:c r="H96" s="20" t="n">
        <x:v>0</x:v>
      </x:c>
      <x:c r="I96" s="21" t="str">
        <x:v>UNDECLARED</x:v>
      </x:c>
      <x:c r="J96" s="48"/>
      <x:c r="K96" s="48"/>
      <x:c r="L96" s="48"/>
      <x:c r="M96" s="48"/>
      <x:c r="N96" s="48"/>
      <x:c r="O96" s="48"/>
      <x:c r="P96" s="48"/>
      <x:c r="Q96" s="48"/>
      <x:c r="R96" s="48"/>
      <x:c r="S96" s="48"/>
      <x:c r="T96" s="48"/>
      <x:c r="U96" s="48"/>
      <x:c r="V96" s="48"/>
      <x:c r="W96" s="48"/>
    </x:row>
    <x:row r="97">
      <x:c r="C97" s="19" t="str">
        <x:v>AN-CT-D-07</x:v>
      </x:c>
      <x:c r="D97" s="19" t="str">
        <x:v>MS-CT|D</x:v>
      </x:c>
      <x:c r="E97" s="19" t="str">
        <x:v>MS-CT</x:v>
      </x:c>
      <x:c r="F97" s="19" t="str">
        <x:v>communications and time implementation</x:v>
      </x:c>
      <x:c r="G97" s="19" t="str">
        <x:v>RES-CT-D-07</x:v>
      </x:c>
      <x:c r="H97" s="20" t="n">
        <x:v>0</x:v>
      </x:c>
      <x:c r="I97" s="21" t="str">
        <x:v>UNDECLARED</x:v>
      </x:c>
      <x:c r="J97" s="48"/>
      <x:c r="K97" s="48"/>
      <x:c r="L97" s="48"/>
      <x:c r="M97" s="48"/>
      <x:c r="N97" s="48"/>
      <x:c r="O97" s="48"/>
      <x:c r="P97" s="48"/>
      <x:c r="Q97" s="48"/>
      <x:c r="R97" s="48"/>
      <x:c r="S97" s="48"/>
      <x:c r="T97" s="48"/>
      <x:c r="U97" s="48"/>
      <x:c r="V97" s="48"/>
      <x:c r="W97" s="48"/>
    </x:row>
    <x:row r="98">
      <x:c r="C98" s="19" t="str">
        <x:v>AN-CT-D-08</x:v>
      </x:c>
      <x:c r="D98" s="19" t="str">
        <x:v>MS-CT|D</x:v>
      </x:c>
      <x:c r="E98" s="19" t="str">
        <x:v>MS-CT</x:v>
      </x:c>
      <x:c r="F98" s="19" t="str">
        <x:v>calibration chain</x:v>
      </x:c>
      <x:c r="G98" s="19" t="str">
        <x:v>RES-CT-D-08</x:v>
      </x:c>
      <x:c r="H98" s="20" t="n">
        <x:v>0</x:v>
      </x:c>
      <x:c r="I98" s="21" t="str">
        <x:v>UNDECLARED</x:v>
      </x:c>
      <x:c r="J98" s="48"/>
      <x:c r="K98" s="48"/>
      <x:c r="L98" s="48"/>
      <x:c r="M98" s="48"/>
      <x:c r="N98" s="48"/>
      <x:c r="O98" s="48"/>
      <x:c r="P98" s="48"/>
      <x:c r="Q98" s="48"/>
      <x:c r="R98" s="48"/>
      <x:c r="S98" s="48"/>
      <x:c r="T98" s="48"/>
      <x:c r="U98" s="48"/>
      <x:c r="V98" s="48"/>
      <x:c r="W98" s="48"/>
    </x:row>
    <x:row r="99">
      <x:c r="C99" s="19" t="str">
        <x:v>AN-CT-D-09</x:v>
      </x:c>
      <x:c r="D99" s="19" t="str">
        <x:v>MS-CT|D</x:v>
      </x:c>
      <x:c r="E99" s="19" t="str">
        <x:v>MS-CT</x:v>
      </x:c>
      <x:c r="F99" s="19" t="str">
        <x:v>production tooling</x:v>
      </x:c>
      <x:c r="G99" s="19" t="str">
        <x:v>RES-CT-D-09</x:v>
      </x:c>
      <x:c r="H99" s="20" t="n">
        <x:v>0</x:v>
      </x:c>
      <x:c r="I99" s="21" t="str">
        <x:v>UNDECLARED</x:v>
      </x:c>
      <x:c r="J99" s="48"/>
      <x:c r="K99" s="48"/>
      <x:c r="L99" s="48"/>
      <x:c r="M99" s="48"/>
      <x:c r="N99" s="48"/>
      <x:c r="O99" s="48"/>
      <x:c r="P99" s="48"/>
      <x:c r="Q99" s="48"/>
      <x:c r="R99" s="48"/>
      <x:c r="S99" s="48"/>
      <x:c r="T99" s="48"/>
      <x:c r="U99" s="48"/>
      <x:c r="V99" s="48"/>
      <x:c r="W99" s="48"/>
    </x:row>
    <x:row r="100">
      <x:c r="C100" s="19" t="str">
        <x:v>AN-CT-D-10</x:v>
      </x:c>
      <x:c r="D100" s="19" t="str">
        <x:v>MS-CT|D</x:v>
      </x:c>
      <x:c r="E100" s="19" t="str">
        <x:v>MS-CT</x:v>
      </x:c>
      <x:c r="F100" s="19" t="str">
        <x:v>final assembly cell</x:v>
      </x:c>
      <x:c r="G100" s="19" t="str">
        <x:v>RES-CT-D-10</x:v>
      </x:c>
      <x:c r="H100" s="20" t="n">
        <x:v>0</x:v>
      </x:c>
      <x:c r="I100" s="21" t="str">
        <x:v>UNDECLARED</x:v>
      </x:c>
      <x:c r="J100" s="48"/>
      <x:c r="K100" s="48"/>
      <x:c r="L100" s="48"/>
      <x:c r="M100" s="48"/>
      <x:c r="N100" s="48"/>
      <x:c r="O100" s="48"/>
      <x:c r="P100" s="48"/>
      <x:c r="Q100" s="48"/>
      <x:c r="R100" s="48"/>
      <x:c r="S100" s="48"/>
      <x:c r="T100" s="48"/>
      <x:c r="U100" s="48"/>
      <x:c r="V100" s="48"/>
      <x:c r="W100" s="48"/>
    </x:row>
    <x:row r="101">
      <x:c r="C101" s="19" t="str">
        <x:v>AN-CT-D-11</x:v>
      </x:c>
      <x:c r="D101" s="19" t="str">
        <x:v>MS-CT|D</x:v>
      </x:c>
      <x:c r="E101" s="19" t="str">
        <x:v>MS-CT</x:v>
      </x:c>
      <x:c r="F101" s="19" t="str">
        <x:v>repair route</x:v>
      </x:c>
      <x:c r="G101" s="19" t="str">
        <x:v>RES-CT-D-11</x:v>
      </x:c>
      <x:c r="H101" s="20" t="n">
        <x:v>0</x:v>
      </x:c>
      <x:c r="I101" s="21" t="str">
        <x:v>UNDECLARED</x:v>
      </x:c>
      <x:c r="J101" s="48"/>
      <x:c r="K101" s="48"/>
      <x:c r="L101" s="48"/>
      <x:c r="M101" s="48"/>
      <x:c r="N101" s="48"/>
      <x:c r="O101" s="48"/>
      <x:c r="P101" s="48"/>
      <x:c r="Q101" s="48"/>
      <x:c r="R101" s="48"/>
      <x:c r="S101" s="48"/>
      <x:c r="T101" s="48"/>
      <x:c r="U101" s="48"/>
      <x:c r="V101" s="48"/>
      <x:c r="W101" s="48"/>
    </x:row>
    <x:row r="102">
      <x:c r="C102" s="19" t="str">
        <x:v>AN-CT-D-12</x:v>
      </x:c>
      <x:c r="D102" s="19" t="str">
        <x:v>MS-CT|D</x:v>
      </x:c>
      <x:c r="E102" s="19" t="str">
        <x:v>MS-CT</x:v>
      </x:c>
      <x:c r="F102" s="19" t="str">
        <x:v>evidence chain</x:v>
      </x:c>
      <x:c r="G102" s="19" t="str">
        <x:v>RES-CT-D-12</x:v>
      </x:c>
      <x:c r="H102" s="20" t="n">
        <x:v>0</x:v>
      </x:c>
      <x:c r="I102" s="21" t="str">
        <x:v>UNDECLARED</x:v>
      </x:c>
      <x:c r="J102" s="48"/>
      <x:c r="K102" s="48"/>
      <x:c r="L102" s="48"/>
      <x:c r="M102" s="48"/>
      <x:c r="N102" s="48"/>
      <x:c r="O102" s="48"/>
      <x:c r="P102" s="48"/>
      <x:c r="Q102" s="48"/>
      <x:c r="R102" s="48"/>
      <x:c r="S102" s="48"/>
      <x:c r="T102" s="48"/>
      <x:c r="U102" s="48"/>
      <x:c r="V102" s="48"/>
      <x:c r="W102" s="48"/>
    </x:row>
    <x:row r="103">
      <x:c r="C103" s="19" t="str">
        <x:v>AN-HC-A-01</x:v>
      </x:c>
      <x:c r="D103" s="19" t="str">
        <x:v>MS-HC|A</x:v>
      </x:c>
      <x:c r="E103" s="19" t="str">
        <x:v>MS-HC</x:v>
      </x:c>
      <x:c r="F103" s="19" t="str">
        <x:v>root integrator</x:v>
      </x:c>
      <x:c r="G103" s="19" t="str">
        <x:v>RES-HC-A-01</x:v>
      </x:c>
      <x:c r="H103" s="20" t="n">
        <x:v>0</x:v>
      </x:c>
      <x:c r="I103" s="21" t="str">
        <x:v>UNDECLARED</x:v>
      </x:c>
      <x:c r="J103" s="48"/>
      <x:c r="K103" s="48"/>
      <x:c r="L103" s="48"/>
      <x:c r="M103" s="48"/>
      <x:c r="N103" s="48"/>
      <x:c r="O103" s="48"/>
      <x:c r="P103" s="48"/>
      <x:c r="Q103" s="48"/>
      <x:c r="R103" s="48"/>
      <x:c r="S103" s="48"/>
      <x:c r="T103" s="48"/>
      <x:c r="U103" s="48"/>
      <x:c r="V103" s="48"/>
      <x:c r="W103" s="48"/>
    </x:row>
    <x:row r="104">
      <x:c r="C104" s="19" t="str">
        <x:v>AN-HC-A-02</x:v>
      </x:c>
      <x:c r="D104" s="19" t="str">
        <x:v>MS-HC|A</x:v>
      </x:c>
      <x:c r="E104" s="19" t="str">
        <x:v>MS-HC</x:v>
      </x:c>
      <x:c r="F104" s="19" t="str">
        <x:v>prime work physics</x:v>
      </x:c>
      <x:c r="G104" s="19" t="str">
        <x:v>RES-HC-A-02</x:v>
      </x:c>
      <x:c r="H104" s="20" t="n">
        <x:v>0</x:v>
      </x:c>
      <x:c r="I104" s="21" t="str">
        <x:v>UNDECLARED</x:v>
      </x:c>
      <x:c r="J104" s="48"/>
      <x:c r="K104" s="48"/>
      <x:c r="L104" s="48"/>
      <x:c r="M104" s="48"/>
      <x:c r="N104" s="48"/>
      <x:c r="O104" s="48"/>
      <x:c r="P104" s="48"/>
      <x:c r="Q104" s="48"/>
      <x:c r="R104" s="48"/>
      <x:c r="S104" s="48"/>
      <x:c r="T104" s="48"/>
      <x:c r="U104" s="48"/>
      <x:c r="V104" s="48"/>
      <x:c r="W104" s="48"/>
    </x:row>
    <x:row r="105">
      <x:c r="C105" s="19" t="str">
        <x:v>AN-HC-A-03</x:v>
      </x:c>
      <x:c r="D105" s="19" t="str">
        <x:v>MS-HC|A</x:v>
      </x:c>
      <x:c r="E105" s="19" t="str">
        <x:v>MS-HC</x:v>
      </x:c>
      <x:c r="F105" s="19" t="str">
        <x:v>energy conversion</x:v>
      </x:c>
      <x:c r="G105" s="19" t="str">
        <x:v>RES-HC-A-03</x:v>
      </x:c>
      <x:c r="H105" s="20" t="n">
        <x:v>0</x:v>
      </x:c>
      <x:c r="I105" s="21" t="str">
        <x:v>UNDECLARED</x:v>
      </x:c>
      <x:c r="J105" s="48"/>
      <x:c r="K105" s="48"/>
      <x:c r="L105" s="48"/>
      <x:c r="M105" s="48"/>
      <x:c r="N105" s="48"/>
      <x:c r="O105" s="48"/>
      <x:c r="P105" s="48"/>
      <x:c r="Q105" s="48"/>
      <x:c r="R105" s="48"/>
      <x:c r="S105" s="48"/>
      <x:c r="T105" s="48"/>
      <x:c r="U105" s="48"/>
      <x:c r="V105" s="48"/>
      <x:c r="W105" s="48"/>
    </x:row>
    <x:row r="106">
      <x:c r="C106" s="19" t="str">
        <x:v>AN-HC-A-04</x:v>
      </x:c>
      <x:c r="D106" s="19" t="str">
        <x:v>MS-HC|A</x:v>
      </x:c>
      <x:c r="E106" s="19" t="str">
        <x:v>MS-HC</x:v>
      </x:c>
      <x:c r="F106" s="19" t="str">
        <x:v>structural process</x:v>
      </x:c>
      <x:c r="G106" s="19" t="str">
        <x:v>RES-HC-A-04</x:v>
      </x:c>
      <x:c r="H106" s="20" t="n">
        <x:v>0</x:v>
      </x:c>
      <x:c r="I106" s="21" t="str">
        <x:v>UNDECLARED</x:v>
      </x:c>
      <x:c r="J106" s="48"/>
      <x:c r="K106" s="48"/>
      <x:c r="L106" s="48"/>
      <x:c r="M106" s="48"/>
      <x:c r="N106" s="48"/>
      <x:c r="O106" s="48"/>
      <x:c r="P106" s="48"/>
      <x:c r="Q106" s="48"/>
      <x:c r="R106" s="48"/>
      <x:c r="S106" s="48"/>
      <x:c r="T106" s="48"/>
      <x:c r="U106" s="48"/>
      <x:c r="V106" s="48"/>
      <x:c r="W106" s="48"/>
    </x:row>
    <x:row r="107">
      <x:c r="C107" s="19" t="str">
        <x:v>AN-HC-A-05</x:v>
      </x:c>
      <x:c r="D107" s="19" t="str">
        <x:v>MS-HC|A</x:v>
      </x:c>
      <x:c r="E107" s="19" t="str">
        <x:v>MS-HC</x:v>
      </x:c>
      <x:c r="F107" s="19" t="str">
        <x:v>critical-feedstock conversion</x:v>
      </x:c>
      <x:c r="G107" s="19" t="str">
        <x:v>RES-HC-A-05</x:v>
      </x:c>
      <x:c r="H107" s="20" t="n">
        <x:v>0</x:v>
      </x:c>
      <x:c r="I107" s="21" t="str">
        <x:v>UNDECLARED</x:v>
      </x:c>
      <x:c r="J107" s="48"/>
      <x:c r="K107" s="48"/>
      <x:c r="L107" s="48"/>
      <x:c r="M107" s="48"/>
      <x:c r="N107" s="48"/>
      <x:c r="O107" s="48"/>
      <x:c r="P107" s="48"/>
      <x:c r="Q107" s="48"/>
      <x:c r="R107" s="48"/>
      <x:c r="S107" s="48"/>
      <x:c r="T107" s="48"/>
      <x:c r="U107" s="48"/>
      <x:c r="V107" s="48"/>
      <x:c r="W107" s="48"/>
    </x:row>
    <x:row r="108">
      <x:c r="C108" s="19" t="str">
        <x:v>AN-HC-A-06</x:v>
      </x:c>
      <x:c r="D108" s="19" t="str">
        <x:v>MS-HC|A</x:v>
      </x:c>
      <x:c r="E108" s="19" t="str">
        <x:v>MS-HC</x:v>
      </x:c>
      <x:c r="F108" s="19" t="str">
        <x:v>control keys</x:v>
      </x:c>
      <x:c r="G108" s="19" t="str">
        <x:v>RES-HC-A-06</x:v>
      </x:c>
      <x:c r="H108" s="20" t="n">
        <x:v>0</x:v>
      </x:c>
      <x:c r="I108" s="21" t="str">
        <x:v>UNDECLARED</x:v>
      </x:c>
      <x:c r="J108" s="48"/>
      <x:c r="K108" s="48"/>
      <x:c r="L108" s="48"/>
      <x:c r="M108" s="48"/>
      <x:c r="N108" s="48"/>
      <x:c r="O108" s="48"/>
      <x:c r="P108" s="48"/>
      <x:c r="Q108" s="48"/>
      <x:c r="R108" s="48"/>
      <x:c r="S108" s="48"/>
      <x:c r="T108" s="48"/>
      <x:c r="U108" s="48"/>
      <x:c r="V108" s="48"/>
      <x:c r="W108" s="48"/>
    </x:row>
    <x:row r="109">
      <x:c r="C109" s="19" t="str">
        <x:v>AN-HC-A-07</x:v>
      </x:c>
      <x:c r="D109" s="19" t="str">
        <x:v>MS-HC|A</x:v>
      </x:c>
      <x:c r="E109" s="19" t="str">
        <x:v>MS-HC</x:v>
      </x:c>
      <x:c r="F109" s="19" t="str">
        <x:v>communications and time implementation</x:v>
      </x:c>
      <x:c r="G109" s="19" t="str">
        <x:v>RES-HC-A-07</x:v>
      </x:c>
      <x:c r="H109" s="20" t="n">
        <x:v>0</x:v>
      </x:c>
      <x:c r="I109" s="21" t="str">
        <x:v>UNDECLARED</x:v>
      </x:c>
      <x:c r="J109" s="48"/>
      <x:c r="K109" s="48"/>
      <x:c r="L109" s="48"/>
      <x:c r="M109" s="48"/>
      <x:c r="N109" s="48"/>
      <x:c r="O109" s="48"/>
      <x:c r="P109" s="48"/>
      <x:c r="Q109" s="48"/>
      <x:c r="R109" s="48"/>
      <x:c r="S109" s="48"/>
      <x:c r="T109" s="48"/>
      <x:c r="U109" s="48"/>
      <x:c r="V109" s="48"/>
      <x:c r="W109" s="48"/>
    </x:row>
    <x:row r="110">
      <x:c r="C110" s="19" t="str">
        <x:v>AN-HC-A-08</x:v>
      </x:c>
      <x:c r="D110" s="19" t="str">
        <x:v>MS-HC|A</x:v>
      </x:c>
      <x:c r="E110" s="19" t="str">
        <x:v>MS-HC</x:v>
      </x:c>
      <x:c r="F110" s="19" t="str">
        <x:v>calibration chain</x:v>
      </x:c>
      <x:c r="G110" s="19" t="str">
        <x:v>RES-HC-A-08</x:v>
      </x:c>
      <x:c r="H110" s="20" t="n">
        <x:v>0</x:v>
      </x:c>
      <x:c r="I110" s="21" t="str">
        <x:v>UNDECLARED</x:v>
      </x:c>
      <x:c r="J110" s="48"/>
      <x:c r="K110" s="48"/>
      <x:c r="L110" s="48"/>
      <x:c r="M110" s="48"/>
      <x:c r="N110" s="48"/>
      <x:c r="O110" s="48"/>
      <x:c r="P110" s="48"/>
      <x:c r="Q110" s="48"/>
      <x:c r="R110" s="48"/>
      <x:c r="S110" s="48"/>
      <x:c r="T110" s="48"/>
      <x:c r="U110" s="48"/>
      <x:c r="V110" s="48"/>
      <x:c r="W110" s="48"/>
    </x:row>
    <x:row r="111">
      <x:c r="C111" s="19" t="str">
        <x:v>AN-HC-A-09</x:v>
      </x:c>
      <x:c r="D111" s="19" t="str">
        <x:v>MS-HC|A</x:v>
      </x:c>
      <x:c r="E111" s="19" t="str">
        <x:v>MS-HC</x:v>
      </x:c>
      <x:c r="F111" s="19" t="str">
        <x:v>production tooling</x:v>
      </x:c>
      <x:c r="G111" s="19" t="str">
        <x:v>RES-HC-A-09</x:v>
      </x:c>
      <x:c r="H111" s="20" t="n">
        <x:v>0</x:v>
      </x:c>
      <x:c r="I111" s="21" t="str">
        <x:v>UNDECLARED</x:v>
      </x:c>
      <x:c r="J111" s="48"/>
      <x:c r="K111" s="48"/>
      <x:c r="L111" s="48"/>
      <x:c r="M111" s="48"/>
      <x:c r="N111" s="48"/>
      <x:c r="O111" s="48"/>
      <x:c r="P111" s="48"/>
      <x:c r="Q111" s="48"/>
      <x:c r="R111" s="48"/>
      <x:c r="S111" s="48"/>
      <x:c r="T111" s="48"/>
      <x:c r="U111" s="48"/>
      <x:c r="V111" s="48"/>
      <x:c r="W111" s="48"/>
    </x:row>
    <x:row r="112">
      <x:c r="C112" s="19" t="str">
        <x:v>AN-HC-A-10</x:v>
      </x:c>
      <x:c r="D112" s="19" t="str">
        <x:v>MS-HC|A</x:v>
      </x:c>
      <x:c r="E112" s="19" t="str">
        <x:v>MS-HC</x:v>
      </x:c>
      <x:c r="F112" s="19" t="str">
        <x:v>final assembly cell</x:v>
      </x:c>
      <x:c r="G112" s="19" t="str">
        <x:v>RES-HC-A-10</x:v>
      </x:c>
      <x:c r="H112" s="20" t="n">
        <x:v>0</x:v>
      </x:c>
      <x:c r="I112" s="21" t="str">
        <x:v>UNDECLARED</x:v>
      </x:c>
      <x:c r="J112" s="48"/>
      <x:c r="K112" s="48"/>
      <x:c r="L112" s="48"/>
      <x:c r="M112" s="48"/>
      <x:c r="N112" s="48"/>
      <x:c r="O112" s="48"/>
      <x:c r="P112" s="48"/>
      <x:c r="Q112" s="48"/>
      <x:c r="R112" s="48"/>
      <x:c r="S112" s="48"/>
      <x:c r="T112" s="48"/>
      <x:c r="U112" s="48"/>
      <x:c r="V112" s="48"/>
      <x:c r="W112" s="48"/>
    </x:row>
    <x:row r="113">
      <x:c r="C113" s="19" t="str">
        <x:v>AN-HC-A-11</x:v>
      </x:c>
      <x:c r="D113" s="19" t="str">
        <x:v>MS-HC|A</x:v>
      </x:c>
      <x:c r="E113" s="19" t="str">
        <x:v>MS-HC</x:v>
      </x:c>
      <x:c r="F113" s="19" t="str">
        <x:v>repair route</x:v>
      </x:c>
      <x:c r="G113" s="19" t="str">
        <x:v>RES-HC-A-11</x:v>
      </x:c>
      <x:c r="H113" s="20" t="n">
        <x:v>0</x:v>
      </x:c>
      <x:c r="I113" s="21" t="str">
        <x:v>UNDECLARED</x:v>
      </x:c>
      <x:c r="J113" s="48"/>
      <x:c r="K113" s="48"/>
      <x:c r="L113" s="48"/>
      <x:c r="M113" s="48"/>
      <x:c r="N113" s="48"/>
      <x:c r="O113" s="48"/>
      <x:c r="P113" s="48"/>
      <x:c r="Q113" s="48"/>
      <x:c r="R113" s="48"/>
      <x:c r="S113" s="48"/>
      <x:c r="T113" s="48"/>
      <x:c r="U113" s="48"/>
      <x:c r="V113" s="48"/>
      <x:c r="W113" s="48"/>
    </x:row>
    <x:row r="114">
      <x:c r="C114" s="19" t="str">
        <x:v>AN-HC-A-12</x:v>
      </x:c>
      <x:c r="D114" s="19" t="str">
        <x:v>MS-HC|A</x:v>
      </x:c>
      <x:c r="E114" s="19" t="str">
        <x:v>MS-HC</x:v>
      </x:c>
      <x:c r="F114" s="19" t="str">
        <x:v>evidence chain</x:v>
      </x:c>
      <x:c r="G114" s="19" t="str">
        <x:v>RES-HC-A-12</x:v>
      </x:c>
      <x:c r="H114" s="20" t="n">
        <x:v>0</x:v>
      </x:c>
      <x:c r="I114" s="21" t="str">
        <x:v>UNDECLARED</x:v>
      </x:c>
      <x:c r="J114" s="48"/>
      <x:c r="K114" s="48"/>
      <x:c r="L114" s="48"/>
      <x:c r="M114" s="48"/>
      <x:c r="N114" s="48"/>
      <x:c r="O114" s="48"/>
      <x:c r="P114" s="48"/>
      <x:c r="Q114" s="48"/>
      <x:c r="R114" s="48"/>
      <x:c r="S114" s="48"/>
      <x:c r="T114" s="48"/>
      <x:c r="U114" s="48"/>
      <x:c r="V114" s="48"/>
      <x:c r="W114" s="48"/>
    </x:row>
    <x:row r="115">
      <x:c r="C115" s="19" t="str">
        <x:v>AN-HC-B-01</x:v>
      </x:c>
      <x:c r="D115" s="19" t="str">
        <x:v>MS-HC|B</x:v>
      </x:c>
      <x:c r="E115" s="19" t="str">
        <x:v>MS-HC</x:v>
      </x:c>
      <x:c r="F115" s="19" t="str">
        <x:v>root integrator</x:v>
      </x:c>
      <x:c r="G115" s="19" t="str">
        <x:v>RES-HC-B-01</x:v>
      </x:c>
      <x:c r="H115" s="20" t="n">
        <x:v>0</x:v>
      </x:c>
      <x:c r="I115" s="21" t="str">
        <x:v>UNDECLARED</x:v>
      </x:c>
      <x:c r="J115" s="48"/>
      <x:c r="K115" s="48"/>
      <x:c r="L115" s="48"/>
      <x:c r="M115" s="48"/>
      <x:c r="N115" s="48"/>
      <x:c r="O115" s="48"/>
      <x:c r="P115" s="48"/>
      <x:c r="Q115" s="48"/>
      <x:c r="R115" s="48"/>
      <x:c r="S115" s="48"/>
      <x:c r="T115" s="48"/>
      <x:c r="U115" s="48"/>
      <x:c r="V115" s="48"/>
      <x:c r="W115" s="48"/>
    </x:row>
    <x:row r="116">
      <x:c r="C116" s="19" t="str">
        <x:v>AN-HC-B-02</x:v>
      </x:c>
      <x:c r="D116" s="19" t="str">
        <x:v>MS-HC|B</x:v>
      </x:c>
      <x:c r="E116" s="19" t="str">
        <x:v>MS-HC</x:v>
      </x:c>
      <x:c r="F116" s="19" t="str">
        <x:v>prime work physics</x:v>
      </x:c>
      <x:c r="G116" s="19" t="str">
        <x:v>RES-HC-B-02</x:v>
      </x:c>
      <x:c r="H116" s="20" t="n">
        <x:v>0</x:v>
      </x:c>
      <x:c r="I116" s="21" t="str">
        <x:v>UNDECLARED</x:v>
      </x:c>
      <x:c r="J116" s="48"/>
      <x:c r="K116" s="48"/>
      <x:c r="L116" s="48"/>
      <x:c r="M116" s="48"/>
      <x:c r="N116" s="48"/>
      <x:c r="O116" s="48"/>
      <x:c r="P116" s="48"/>
      <x:c r="Q116" s="48"/>
      <x:c r="R116" s="48"/>
      <x:c r="S116" s="48"/>
      <x:c r="T116" s="48"/>
      <x:c r="U116" s="48"/>
      <x:c r="V116" s="48"/>
      <x:c r="W116" s="48"/>
    </x:row>
    <x:row r="117">
      <x:c r="C117" s="19" t="str">
        <x:v>AN-HC-B-03</x:v>
      </x:c>
      <x:c r="D117" s="19" t="str">
        <x:v>MS-HC|B</x:v>
      </x:c>
      <x:c r="E117" s="19" t="str">
        <x:v>MS-HC</x:v>
      </x:c>
      <x:c r="F117" s="19" t="str">
        <x:v>energy conversion</x:v>
      </x:c>
      <x:c r="G117" s="19" t="str">
        <x:v>RES-HC-B-03</x:v>
      </x:c>
      <x:c r="H117" s="20" t="n">
        <x:v>0</x:v>
      </x:c>
      <x:c r="I117" s="21" t="str">
        <x:v>UNDECLARED</x:v>
      </x:c>
      <x:c r="J117" s="48"/>
      <x:c r="K117" s="48"/>
      <x:c r="L117" s="48"/>
      <x:c r="M117" s="48"/>
      <x:c r="N117" s="48"/>
      <x:c r="O117" s="48"/>
      <x:c r="P117" s="48"/>
      <x:c r="Q117" s="48"/>
      <x:c r="R117" s="48"/>
      <x:c r="S117" s="48"/>
      <x:c r="T117" s="48"/>
      <x:c r="U117" s="48"/>
      <x:c r="V117" s="48"/>
      <x:c r="W117" s="48"/>
    </x:row>
    <x:row r="118">
      <x:c r="C118" s="19" t="str">
        <x:v>AN-HC-B-04</x:v>
      </x:c>
      <x:c r="D118" s="19" t="str">
        <x:v>MS-HC|B</x:v>
      </x:c>
      <x:c r="E118" s="19" t="str">
        <x:v>MS-HC</x:v>
      </x:c>
      <x:c r="F118" s="19" t="str">
        <x:v>structural process</x:v>
      </x:c>
      <x:c r="G118" s="19" t="str">
        <x:v>RES-HC-B-04</x:v>
      </x:c>
      <x:c r="H118" s="20" t="n">
        <x:v>0</x:v>
      </x:c>
      <x:c r="I118" s="21" t="str">
        <x:v>UNDECLARED</x:v>
      </x:c>
      <x:c r="J118" s="48"/>
      <x:c r="K118" s="48"/>
      <x:c r="L118" s="48"/>
      <x:c r="M118" s="48"/>
      <x:c r="N118" s="48"/>
      <x:c r="O118" s="48"/>
      <x:c r="P118" s="48"/>
      <x:c r="Q118" s="48"/>
      <x:c r="R118" s="48"/>
      <x:c r="S118" s="48"/>
      <x:c r="T118" s="48"/>
      <x:c r="U118" s="48"/>
      <x:c r="V118" s="48"/>
      <x:c r="W118" s="48"/>
    </x:row>
    <x:row r="119">
      <x:c r="C119" s="19" t="str">
        <x:v>AN-HC-B-05</x:v>
      </x:c>
      <x:c r="D119" s="19" t="str">
        <x:v>MS-HC|B</x:v>
      </x:c>
      <x:c r="E119" s="19" t="str">
        <x:v>MS-HC</x:v>
      </x:c>
      <x:c r="F119" s="19" t="str">
        <x:v>critical-feedstock conversion</x:v>
      </x:c>
      <x:c r="G119" s="19" t="str">
        <x:v>RES-HC-B-05</x:v>
      </x:c>
      <x:c r="H119" s="20" t="n">
        <x:v>0</x:v>
      </x:c>
      <x:c r="I119" s="21" t="str">
        <x:v>UNDECLARED</x:v>
      </x:c>
      <x:c r="J119" s="48"/>
      <x:c r="K119" s="48"/>
      <x:c r="L119" s="48"/>
      <x:c r="M119" s="48"/>
      <x:c r="N119" s="48"/>
      <x:c r="O119" s="48"/>
      <x:c r="P119" s="48"/>
      <x:c r="Q119" s="48"/>
      <x:c r="R119" s="48"/>
      <x:c r="S119" s="48"/>
      <x:c r="T119" s="48"/>
      <x:c r="U119" s="48"/>
      <x:c r="V119" s="48"/>
      <x:c r="W119" s="48"/>
    </x:row>
    <x:row r="120">
      <x:c r="C120" s="19" t="str">
        <x:v>AN-HC-B-06</x:v>
      </x:c>
      <x:c r="D120" s="19" t="str">
        <x:v>MS-HC|B</x:v>
      </x:c>
      <x:c r="E120" s="19" t="str">
        <x:v>MS-HC</x:v>
      </x:c>
      <x:c r="F120" s="19" t="str">
        <x:v>control keys</x:v>
      </x:c>
      <x:c r="G120" s="19" t="str">
        <x:v>RES-HC-B-06</x:v>
      </x:c>
      <x:c r="H120" s="20" t="n">
        <x:v>0</x:v>
      </x:c>
      <x:c r="I120" s="21" t="str">
        <x:v>UNDECLARED</x:v>
      </x:c>
      <x:c r="J120" s="48"/>
      <x:c r="K120" s="48"/>
      <x:c r="L120" s="48"/>
      <x:c r="M120" s="48"/>
      <x:c r="N120" s="48"/>
      <x:c r="O120" s="48"/>
      <x:c r="P120" s="48"/>
      <x:c r="Q120" s="48"/>
      <x:c r="R120" s="48"/>
      <x:c r="S120" s="48"/>
      <x:c r="T120" s="48"/>
      <x:c r="U120" s="48"/>
      <x:c r="V120" s="48"/>
      <x:c r="W120" s="48"/>
    </x:row>
    <x:row r="121">
      <x:c r="C121" s="19" t="str">
        <x:v>AN-HC-B-07</x:v>
      </x:c>
      <x:c r="D121" s="19" t="str">
        <x:v>MS-HC|B</x:v>
      </x:c>
      <x:c r="E121" s="19" t="str">
        <x:v>MS-HC</x:v>
      </x:c>
      <x:c r="F121" s="19" t="str">
        <x:v>communications and time implementation</x:v>
      </x:c>
      <x:c r="G121" s="19" t="str">
        <x:v>RES-HC-B-07</x:v>
      </x:c>
      <x:c r="H121" s="20" t="n">
        <x:v>0</x:v>
      </x:c>
      <x:c r="I121" s="21" t="str">
        <x:v>UNDECLARED</x:v>
      </x:c>
      <x:c r="J121" s="48"/>
      <x:c r="K121" s="48"/>
      <x:c r="L121" s="48"/>
      <x:c r="M121" s="48"/>
      <x:c r="N121" s="48"/>
      <x:c r="O121" s="48"/>
      <x:c r="P121" s="48"/>
      <x:c r="Q121" s="48"/>
      <x:c r="R121" s="48"/>
      <x:c r="S121" s="48"/>
      <x:c r="T121" s="48"/>
      <x:c r="U121" s="48"/>
      <x:c r="V121" s="48"/>
      <x:c r="W121" s="48"/>
    </x:row>
    <x:row r="122">
      <x:c r="C122" s="19" t="str">
        <x:v>AN-HC-B-08</x:v>
      </x:c>
      <x:c r="D122" s="19" t="str">
        <x:v>MS-HC|B</x:v>
      </x:c>
      <x:c r="E122" s="19" t="str">
        <x:v>MS-HC</x:v>
      </x:c>
      <x:c r="F122" s="19" t="str">
        <x:v>calibration chain</x:v>
      </x:c>
      <x:c r="G122" s="19" t="str">
        <x:v>RES-HC-B-08</x:v>
      </x:c>
      <x:c r="H122" s="20" t="n">
        <x:v>0</x:v>
      </x:c>
      <x:c r="I122" s="21" t="str">
        <x:v>UNDECLARED</x:v>
      </x:c>
      <x:c r="J122" s="48"/>
      <x:c r="K122" s="48"/>
      <x:c r="L122" s="48"/>
      <x:c r="M122" s="48"/>
      <x:c r="N122" s="48"/>
      <x:c r="O122" s="48"/>
      <x:c r="P122" s="48"/>
      <x:c r="Q122" s="48"/>
      <x:c r="R122" s="48"/>
      <x:c r="S122" s="48"/>
      <x:c r="T122" s="48"/>
      <x:c r="U122" s="48"/>
      <x:c r="V122" s="48"/>
      <x:c r="W122" s="48"/>
    </x:row>
    <x:row r="123">
      <x:c r="C123" s="19" t="str">
        <x:v>AN-HC-B-09</x:v>
      </x:c>
      <x:c r="D123" s="19" t="str">
        <x:v>MS-HC|B</x:v>
      </x:c>
      <x:c r="E123" s="19" t="str">
        <x:v>MS-HC</x:v>
      </x:c>
      <x:c r="F123" s="19" t="str">
        <x:v>production tooling</x:v>
      </x:c>
      <x:c r="G123" s="19" t="str">
        <x:v>RES-HC-B-09</x:v>
      </x:c>
      <x:c r="H123" s="20" t="n">
        <x:v>0</x:v>
      </x:c>
      <x:c r="I123" s="21" t="str">
        <x:v>UNDECLARED</x:v>
      </x:c>
      <x:c r="J123" s="48"/>
      <x:c r="K123" s="48"/>
      <x:c r="L123" s="48"/>
      <x:c r="M123" s="48"/>
      <x:c r="N123" s="48"/>
      <x:c r="O123" s="48"/>
      <x:c r="P123" s="48"/>
      <x:c r="Q123" s="48"/>
      <x:c r="R123" s="48"/>
      <x:c r="S123" s="48"/>
      <x:c r="T123" s="48"/>
      <x:c r="U123" s="48"/>
      <x:c r="V123" s="48"/>
      <x:c r="W123" s="48"/>
    </x:row>
    <x:row r="124">
      <x:c r="C124" s="19" t="str">
        <x:v>AN-HC-B-10</x:v>
      </x:c>
      <x:c r="D124" s="19" t="str">
        <x:v>MS-HC|B</x:v>
      </x:c>
      <x:c r="E124" s="19" t="str">
        <x:v>MS-HC</x:v>
      </x:c>
      <x:c r="F124" s="19" t="str">
        <x:v>final assembly cell</x:v>
      </x:c>
      <x:c r="G124" s="19" t="str">
        <x:v>RES-HC-B-10</x:v>
      </x:c>
      <x:c r="H124" s="20" t="n">
        <x:v>0</x:v>
      </x:c>
      <x:c r="I124" s="21" t="str">
        <x:v>UNDECLARED</x:v>
      </x:c>
      <x:c r="J124" s="48"/>
      <x:c r="K124" s="48"/>
      <x:c r="L124" s="48"/>
      <x:c r="M124" s="48"/>
      <x:c r="N124" s="48"/>
      <x:c r="O124" s="48"/>
      <x:c r="P124" s="48"/>
      <x:c r="Q124" s="48"/>
      <x:c r="R124" s="48"/>
      <x:c r="S124" s="48"/>
      <x:c r="T124" s="48"/>
      <x:c r="U124" s="48"/>
      <x:c r="V124" s="48"/>
      <x:c r="W124" s="48"/>
    </x:row>
    <x:row r="125">
      <x:c r="C125" s="19" t="str">
        <x:v>AN-HC-B-11</x:v>
      </x:c>
      <x:c r="D125" s="19" t="str">
        <x:v>MS-HC|B</x:v>
      </x:c>
      <x:c r="E125" s="19" t="str">
        <x:v>MS-HC</x:v>
      </x:c>
      <x:c r="F125" s="19" t="str">
        <x:v>repair route</x:v>
      </x:c>
      <x:c r="G125" s="19" t="str">
        <x:v>RES-HC-B-11</x:v>
      </x:c>
      <x:c r="H125" s="20" t="n">
        <x:v>0</x:v>
      </x:c>
      <x:c r="I125" s="21" t="str">
        <x:v>UNDECLARED</x:v>
      </x:c>
      <x:c r="J125" s="48"/>
      <x:c r="K125" s="48"/>
      <x:c r="L125" s="48"/>
      <x:c r="M125" s="48"/>
      <x:c r="N125" s="48"/>
      <x:c r="O125" s="48"/>
      <x:c r="P125" s="48"/>
      <x:c r="Q125" s="48"/>
      <x:c r="R125" s="48"/>
      <x:c r="S125" s="48"/>
      <x:c r="T125" s="48"/>
      <x:c r="U125" s="48"/>
      <x:c r="V125" s="48"/>
      <x:c r="W125" s="48"/>
    </x:row>
    <x:row r="126">
      <x:c r="C126" s="19" t="str">
        <x:v>AN-HC-B-12</x:v>
      </x:c>
      <x:c r="D126" s="19" t="str">
        <x:v>MS-HC|B</x:v>
      </x:c>
      <x:c r="E126" s="19" t="str">
        <x:v>MS-HC</x:v>
      </x:c>
      <x:c r="F126" s="19" t="str">
        <x:v>evidence chain</x:v>
      </x:c>
      <x:c r="G126" s="19" t="str">
        <x:v>RES-HC-B-12</x:v>
      </x:c>
      <x:c r="H126" s="20" t="n">
        <x:v>0</x:v>
      </x:c>
      <x:c r="I126" s="21" t="str">
        <x:v>UNDECLARED</x:v>
      </x:c>
      <x:c r="J126" s="48"/>
      <x:c r="K126" s="48"/>
      <x:c r="L126" s="48"/>
      <x:c r="M126" s="48"/>
      <x:c r="N126" s="48"/>
      <x:c r="O126" s="48"/>
      <x:c r="P126" s="48"/>
      <x:c r="Q126" s="48"/>
      <x:c r="R126" s="48"/>
      <x:c r="S126" s="48"/>
      <x:c r="T126" s="48"/>
      <x:c r="U126" s="48"/>
      <x:c r="V126" s="48"/>
      <x:c r="W126" s="48"/>
    </x:row>
    <x:row r="127">
      <x:c r="C127" s="19" t="str">
        <x:v>AN-HC-C-01</x:v>
      </x:c>
      <x:c r="D127" s="19" t="str">
        <x:v>MS-HC|C</x:v>
      </x:c>
      <x:c r="E127" s="19" t="str">
        <x:v>MS-HC</x:v>
      </x:c>
      <x:c r="F127" s="19" t="str">
        <x:v>root integrator</x:v>
      </x:c>
      <x:c r="G127" s="19" t="str">
        <x:v>RES-HC-C-01</x:v>
      </x:c>
      <x:c r="H127" s="20" t="n">
        <x:v>0</x:v>
      </x:c>
      <x:c r="I127" s="21" t="str">
        <x:v>UNDECLARED</x:v>
      </x:c>
      <x:c r="J127" s="48"/>
      <x:c r="K127" s="48"/>
      <x:c r="L127" s="48"/>
      <x:c r="M127" s="48"/>
      <x:c r="N127" s="48"/>
      <x:c r="O127" s="48"/>
      <x:c r="P127" s="48"/>
      <x:c r="Q127" s="48"/>
      <x:c r="R127" s="48"/>
      <x:c r="S127" s="48"/>
      <x:c r="T127" s="48"/>
      <x:c r="U127" s="48"/>
      <x:c r="V127" s="48"/>
      <x:c r="W127" s="48"/>
    </x:row>
    <x:row r="128">
      <x:c r="C128" s="19" t="str">
        <x:v>AN-HC-C-02</x:v>
      </x:c>
      <x:c r="D128" s="19" t="str">
        <x:v>MS-HC|C</x:v>
      </x:c>
      <x:c r="E128" s="19" t="str">
        <x:v>MS-HC</x:v>
      </x:c>
      <x:c r="F128" s="19" t="str">
        <x:v>prime work physics</x:v>
      </x:c>
      <x:c r="G128" s="19" t="str">
        <x:v>RES-HC-C-02</x:v>
      </x:c>
      <x:c r="H128" s="20" t="n">
        <x:v>0</x:v>
      </x:c>
      <x:c r="I128" s="21" t="str">
        <x:v>UNDECLARED</x:v>
      </x:c>
      <x:c r="J128" s="48"/>
      <x:c r="K128" s="48"/>
      <x:c r="L128" s="48"/>
      <x:c r="M128" s="48"/>
      <x:c r="N128" s="48"/>
      <x:c r="O128" s="48"/>
      <x:c r="P128" s="48"/>
      <x:c r="Q128" s="48"/>
      <x:c r="R128" s="48"/>
      <x:c r="S128" s="48"/>
      <x:c r="T128" s="48"/>
      <x:c r="U128" s="48"/>
      <x:c r="V128" s="48"/>
      <x:c r="W128" s="48"/>
    </x:row>
    <x:row r="129">
      <x:c r="C129" s="19" t="str">
        <x:v>AN-HC-C-03</x:v>
      </x:c>
      <x:c r="D129" s="19" t="str">
        <x:v>MS-HC|C</x:v>
      </x:c>
      <x:c r="E129" s="19" t="str">
        <x:v>MS-HC</x:v>
      </x:c>
      <x:c r="F129" s="19" t="str">
        <x:v>energy conversion</x:v>
      </x:c>
      <x:c r="G129" s="19" t="str">
        <x:v>RES-HC-C-03</x:v>
      </x:c>
      <x:c r="H129" s="20" t="n">
        <x:v>0</x:v>
      </x:c>
      <x:c r="I129" s="21" t="str">
        <x:v>UNDECLARED</x:v>
      </x:c>
      <x:c r="J129" s="48"/>
      <x:c r="K129" s="48"/>
      <x:c r="L129" s="48"/>
      <x:c r="M129" s="48"/>
      <x:c r="N129" s="48"/>
      <x:c r="O129" s="48"/>
      <x:c r="P129" s="48"/>
      <x:c r="Q129" s="48"/>
      <x:c r="R129" s="48"/>
      <x:c r="S129" s="48"/>
      <x:c r="T129" s="48"/>
      <x:c r="U129" s="48"/>
      <x:c r="V129" s="48"/>
      <x:c r="W129" s="48"/>
    </x:row>
    <x:row r="130">
      <x:c r="C130" s="19" t="str">
        <x:v>AN-HC-C-04</x:v>
      </x:c>
      <x:c r="D130" s="19" t="str">
        <x:v>MS-HC|C</x:v>
      </x:c>
      <x:c r="E130" s="19" t="str">
        <x:v>MS-HC</x:v>
      </x:c>
      <x:c r="F130" s="19" t="str">
        <x:v>structural process</x:v>
      </x:c>
      <x:c r="G130" s="19" t="str">
        <x:v>RES-HC-C-04</x:v>
      </x:c>
      <x:c r="H130" s="20" t="n">
        <x:v>0</x:v>
      </x:c>
      <x:c r="I130" s="21" t="str">
        <x:v>UNDECLARED</x:v>
      </x:c>
      <x:c r="J130" s="48"/>
      <x:c r="K130" s="48"/>
      <x:c r="L130" s="48"/>
      <x:c r="M130" s="48"/>
      <x:c r="N130" s="48"/>
      <x:c r="O130" s="48"/>
      <x:c r="P130" s="48"/>
      <x:c r="Q130" s="48"/>
      <x:c r="R130" s="48"/>
      <x:c r="S130" s="48"/>
      <x:c r="T130" s="48"/>
      <x:c r="U130" s="48"/>
      <x:c r="V130" s="48"/>
      <x:c r="W130" s="48"/>
    </x:row>
    <x:row r="131">
      <x:c r="C131" s="19" t="str">
        <x:v>AN-HC-C-05</x:v>
      </x:c>
      <x:c r="D131" s="19" t="str">
        <x:v>MS-HC|C</x:v>
      </x:c>
      <x:c r="E131" s="19" t="str">
        <x:v>MS-HC</x:v>
      </x:c>
      <x:c r="F131" s="19" t="str">
        <x:v>critical-feedstock conversion</x:v>
      </x:c>
      <x:c r="G131" s="19" t="str">
        <x:v>RES-HC-C-05</x:v>
      </x:c>
      <x:c r="H131" s="20" t="n">
        <x:v>0</x:v>
      </x:c>
      <x:c r="I131" s="21" t="str">
        <x:v>UNDECLARED</x:v>
      </x:c>
      <x:c r="J131" s="48"/>
      <x:c r="K131" s="48"/>
      <x:c r="L131" s="48"/>
      <x:c r="M131" s="48"/>
      <x:c r="N131" s="48"/>
      <x:c r="O131" s="48"/>
      <x:c r="P131" s="48"/>
      <x:c r="Q131" s="48"/>
      <x:c r="R131" s="48"/>
      <x:c r="S131" s="48"/>
      <x:c r="T131" s="48"/>
      <x:c r="U131" s="48"/>
      <x:c r="V131" s="48"/>
      <x:c r="W131" s="48"/>
    </x:row>
    <x:row r="132">
      <x:c r="C132" s="19" t="str">
        <x:v>AN-HC-C-06</x:v>
      </x:c>
      <x:c r="D132" s="19" t="str">
        <x:v>MS-HC|C</x:v>
      </x:c>
      <x:c r="E132" s="19" t="str">
        <x:v>MS-HC</x:v>
      </x:c>
      <x:c r="F132" s="19" t="str">
        <x:v>control keys</x:v>
      </x:c>
      <x:c r="G132" s="19" t="str">
        <x:v>RES-HC-C-06</x:v>
      </x:c>
      <x:c r="H132" s="20" t="n">
        <x:v>0</x:v>
      </x:c>
      <x:c r="I132" s="21" t="str">
        <x:v>UNDECLARED</x:v>
      </x:c>
      <x:c r="J132" s="48"/>
      <x:c r="K132" s="48"/>
      <x:c r="L132" s="48"/>
      <x:c r="M132" s="48"/>
      <x:c r="N132" s="48"/>
      <x:c r="O132" s="48"/>
      <x:c r="P132" s="48"/>
      <x:c r="Q132" s="48"/>
      <x:c r="R132" s="48"/>
      <x:c r="S132" s="48"/>
      <x:c r="T132" s="48"/>
      <x:c r="U132" s="48"/>
      <x:c r="V132" s="48"/>
      <x:c r="W132" s="48"/>
    </x:row>
    <x:row r="133">
      <x:c r="C133" s="19" t="str">
        <x:v>AN-HC-C-07</x:v>
      </x:c>
      <x:c r="D133" s="19" t="str">
        <x:v>MS-HC|C</x:v>
      </x:c>
      <x:c r="E133" s="19" t="str">
        <x:v>MS-HC</x:v>
      </x:c>
      <x:c r="F133" s="19" t="str">
        <x:v>communications and time implementation</x:v>
      </x:c>
      <x:c r="G133" s="19" t="str">
        <x:v>RES-HC-C-07</x:v>
      </x:c>
      <x:c r="H133" s="20" t="n">
        <x:v>0</x:v>
      </x:c>
      <x:c r="I133" s="21" t="str">
        <x:v>UNDECLARED</x:v>
      </x:c>
      <x:c r="J133" s="48"/>
      <x:c r="K133" s="48"/>
      <x:c r="L133" s="48"/>
      <x:c r="M133" s="48"/>
      <x:c r="N133" s="48"/>
      <x:c r="O133" s="48"/>
      <x:c r="P133" s="48"/>
      <x:c r="Q133" s="48"/>
      <x:c r="R133" s="48"/>
      <x:c r="S133" s="48"/>
      <x:c r="T133" s="48"/>
      <x:c r="U133" s="48"/>
      <x:c r="V133" s="48"/>
      <x:c r="W133" s="48"/>
    </x:row>
    <x:row r="134">
      <x:c r="C134" s="19" t="str">
        <x:v>AN-HC-C-08</x:v>
      </x:c>
      <x:c r="D134" s="19" t="str">
        <x:v>MS-HC|C</x:v>
      </x:c>
      <x:c r="E134" s="19" t="str">
        <x:v>MS-HC</x:v>
      </x:c>
      <x:c r="F134" s="19" t="str">
        <x:v>calibration chain</x:v>
      </x:c>
      <x:c r="G134" s="19" t="str">
        <x:v>RES-HC-C-08</x:v>
      </x:c>
      <x:c r="H134" s="20" t="n">
        <x:v>0</x:v>
      </x:c>
      <x:c r="I134" s="21" t="str">
        <x:v>UNDECLARED</x:v>
      </x:c>
      <x:c r="J134" s="48"/>
      <x:c r="K134" s="48"/>
      <x:c r="L134" s="48"/>
      <x:c r="M134" s="48"/>
      <x:c r="N134" s="48"/>
      <x:c r="O134" s="48"/>
      <x:c r="P134" s="48"/>
      <x:c r="Q134" s="48"/>
      <x:c r="R134" s="48"/>
      <x:c r="S134" s="48"/>
      <x:c r="T134" s="48"/>
      <x:c r="U134" s="48"/>
      <x:c r="V134" s="48"/>
      <x:c r="W134" s="48"/>
    </x:row>
    <x:row r="135">
      <x:c r="C135" s="19" t="str">
        <x:v>AN-HC-C-09</x:v>
      </x:c>
      <x:c r="D135" s="19" t="str">
        <x:v>MS-HC|C</x:v>
      </x:c>
      <x:c r="E135" s="19" t="str">
        <x:v>MS-HC</x:v>
      </x:c>
      <x:c r="F135" s="19" t="str">
        <x:v>production tooling</x:v>
      </x:c>
      <x:c r="G135" s="19" t="str">
        <x:v>RES-HC-C-09</x:v>
      </x:c>
      <x:c r="H135" s="20" t="n">
        <x:v>0</x:v>
      </x:c>
      <x:c r="I135" s="21" t="str">
        <x:v>UNDECLARED</x:v>
      </x:c>
      <x:c r="J135" s="48"/>
      <x:c r="K135" s="48"/>
      <x:c r="L135" s="48"/>
      <x:c r="M135" s="48"/>
      <x:c r="N135" s="48"/>
      <x:c r="O135" s="48"/>
      <x:c r="P135" s="48"/>
      <x:c r="Q135" s="48"/>
      <x:c r="R135" s="48"/>
      <x:c r="S135" s="48"/>
      <x:c r="T135" s="48"/>
      <x:c r="U135" s="48"/>
      <x:c r="V135" s="48"/>
      <x:c r="W135" s="48"/>
    </x:row>
    <x:row r="136">
      <x:c r="C136" s="19" t="str">
        <x:v>AN-HC-C-10</x:v>
      </x:c>
      <x:c r="D136" s="19" t="str">
        <x:v>MS-HC|C</x:v>
      </x:c>
      <x:c r="E136" s="19" t="str">
        <x:v>MS-HC</x:v>
      </x:c>
      <x:c r="F136" s="19" t="str">
        <x:v>final assembly cell</x:v>
      </x:c>
      <x:c r="G136" s="19" t="str">
        <x:v>RES-HC-C-10</x:v>
      </x:c>
      <x:c r="H136" s="20" t="n">
        <x:v>0</x:v>
      </x:c>
      <x:c r="I136" s="21" t="str">
        <x:v>UNDECLARED</x:v>
      </x:c>
      <x:c r="J136" s="48"/>
      <x:c r="K136" s="48"/>
      <x:c r="L136" s="48"/>
      <x:c r="M136" s="48"/>
      <x:c r="N136" s="48"/>
      <x:c r="O136" s="48"/>
      <x:c r="P136" s="48"/>
      <x:c r="Q136" s="48"/>
      <x:c r="R136" s="48"/>
      <x:c r="S136" s="48"/>
      <x:c r="T136" s="48"/>
      <x:c r="U136" s="48"/>
      <x:c r="V136" s="48"/>
      <x:c r="W136" s="48"/>
    </x:row>
    <x:row r="137">
      <x:c r="C137" s="19" t="str">
        <x:v>AN-HC-C-11</x:v>
      </x:c>
      <x:c r="D137" s="19" t="str">
        <x:v>MS-HC|C</x:v>
      </x:c>
      <x:c r="E137" s="19" t="str">
        <x:v>MS-HC</x:v>
      </x:c>
      <x:c r="F137" s="19" t="str">
        <x:v>repair route</x:v>
      </x:c>
      <x:c r="G137" s="19" t="str">
        <x:v>RES-HC-C-11</x:v>
      </x:c>
      <x:c r="H137" s="20" t="n">
        <x:v>0</x:v>
      </x:c>
      <x:c r="I137" s="21" t="str">
        <x:v>UNDECLARED</x:v>
      </x:c>
      <x:c r="J137" s="48"/>
      <x:c r="K137" s="48"/>
      <x:c r="L137" s="48"/>
      <x:c r="M137" s="48"/>
      <x:c r="N137" s="48"/>
      <x:c r="O137" s="48"/>
      <x:c r="P137" s="48"/>
      <x:c r="Q137" s="48"/>
      <x:c r="R137" s="48"/>
      <x:c r="S137" s="48"/>
      <x:c r="T137" s="48"/>
      <x:c r="U137" s="48"/>
      <x:c r="V137" s="48"/>
      <x:c r="W137" s="48"/>
    </x:row>
    <x:row r="138">
      <x:c r="C138" s="19" t="str">
        <x:v>AN-HC-C-12</x:v>
      </x:c>
      <x:c r="D138" s="19" t="str">
        <x:v>MS-HC|C</x:v>
      </x:c>
      <x:c r="E138" s="19" t="str">
        <x:v>MS-HC</x:v>
      </x:c>
      <x:c r="F138" s="19" t="str">
        <x:v>evidence chain</x:v>
      </x:c>
      <x:c r="G138" s="19" t="str">
        <x:v>RES-HC-C-12</x:v>
      </x:c>
      <x:c r="H138" s="20" t="n">
        <x:v>0</x:v>
      </x:c>
      <x:c r="I138" s="21" t="str">
        <x:v>UNDECLARED</x:v>
      </x:c>
      <x:c r="J138" s="48"/>
      <x:c r="K138" s="48"/>
      <x:c r="L138" s="48"/>
      <x:c r="M138" s="48"/>
      <x:c r="N138" s="48"/>
      <x:c r="O138" s="48"/>
      <x:c r="P138" s="48"/>
      <x:c r="Q138" s="48"/>
      <x:c r="R138" s="48"/>
      <x:c r="S138" s="48"/>
      <x:c r="T138" s="48"/>
      <x:c r="U138" s="48"/>
      <x:c r="V138" s="48"/>
      <x:c r="W138" s="48"/>
    </x:row>
    <x:row r="139">
      <x:c r="C139" s="19" t="str">
        <x:v>AN-HC-D-01</x:v>
      </x:c>
      <x:c r="D139" s="19" t="str">
        <x:v>MS-HC|D</x:v>
      </x:c>
      <x:c r="E139" s="19" t="str">
        <x:v>MS-HC</x:v>
      </x:c>
      <x:c r="F139" s="19" t="str">
        <x:v>root integrator</x:v>
      </x:c>
      <x:c r="G139" s="19" t="str">
        <x:v>RES-HC-D-01</x:v>
      </x:c>
      <x:c r="H139" s="20" t="n">
        <x:v>0</x:v>
      </x:c>
      <x:c r="I139" s="21" t="str">
        <x:v>UNDECLARED</x:v>
      </x:c>
      <x:c r="J139" s="48"/>
      <x:c r="K139" s="48"/>
      <x:c r="L139" s="48"/>
      <x:c r="M139" s="48"/>
      <x:c r="N139" s="48"/>
      <x:c r="O139" s="48"/>
      <x:c r="P139" s="48"/>
      <x:c r="Q139" s="48"/>
      <x:c r="R139" s="48"/>
      <x:c r="S139" s="48"/>
      <x:c r="T139" s="48"/>
      <x:c r="U139" s="48"/>
      <x:c r="V139" s="48"/>
      <x:c r="W139" s="48"/>
    </x:row>
    <x:row r="140">
      <x:c r="C140" s="19" t="str">
        <x:v>AN-HC-D-02</x:v>
      </x:c>
      <x:c r="D140" s="19" t="str">
        <x:v>MS-HC|D</x:v>
      </x:c>
      <x:c r="E140" s="19" t="str">
        <x:v>MS-HC</x:v>
      </x:c>
      <x:c r="F140" s="19" t="str">
        <x:v>prime work physics</x:v>
      </x:c>
      <x:c r="G140" s="19" t="str">
        <x:v>RES-HC-D-02</x:v>
      </x:c>
      <x:c r="H140" s="20" t="n">
        <x:v>0</x:v>
      </x:c>
      <x:c r="I140" s="21" t="str">
        <x:v>UNDECLARED</x:v>
      </x:c>
      <x:c r="J140" s="48"/>
      <x:c r="K140" s="48"/>
      <x:c r="L140" s="48"/>
      <x:c r="M140" s="48"/>
      <x:c r="N140" s="48"/>
      <x:c r="O140" s="48"/>
      <x:c r="P140" s="48"/>
      <x:c r="Q140" s="48"/>
      <x:c r="R140" s="48"/>
      <x:c r="S140" s="48"/>
      <x:c r="T140" s="48"/>
      <x:c r="U140" s="48"/>
      <x:c r="V140" s="48"/>
      <x:c r="W140" s="48"/>
    </x:row>
    <x:row r="141">
      <x:c r="C141" s="19" t="str">
        <x:v>AN-HC-D-03</x:v>
      </x:c>
      <x:c r="D141" s="19" t="str">
        <x:v>MS-HC|D</x:v>
      </x:c>
      <x:c r="E141" s="19" t="str">
        <x:v>MS-HC</x:v>
      </x:c>
      <x:c r="F141" s="19" t="str">
        <x:v>energy conversion</x:v>
      </x:c>
      <x:c r="G141" s="19" t="str">
        <x:v>RES-HC-D-03</x:v>
      </x:c>
      <x:c r="H141" s="20" t="n">
        <x:v>0</x:v>
      </x:c>
      <x:c r="I141" s="21" t="str">
        <x:v>UNDECLARED</x:v>
      </x:c>
      <x:c r="J141" s="48"/>
      <x:c r="K141" s="48"/>
      <x:c r="L141" s="48"/>
      <x:c r="M141" s="48"/>
      <x:c r="N141" s="48"/>
      <x:c r="O141" s="48"/>
      <x:c r="P141" s="48"/>
      <x:c r="Q141" s="48"/>
      <x:c r="R141" s="48"/>
      <x:c r="S141" s="48"/>
      <x:c r="T141" s="48"/>
      <x:c r="U141" s="48"/>
      <x:c r="V141" s="48"/>
      <x:c r="W141" s="48"/>
    </x:row>
    <x:row r="142">
      <x:c r="C142" s="19" t="str">
        <x:v>AN-HC-D-04</x:v>
      </x:c>
      <x:c r="D142" s="19" t="str">
        <x:v>MS-HC|D</x:v>
      </x:c>
      <x:c r="E142" s="19" t="str">
        <x:v>MS-HC</x:v>
      </x:c>
      <x:c r="F142" s="19" t="str">
        <x:v>structural process</x:v>
      </x:c>
      <x:c r="G142" s="19" t="str">
        <x:v>RES-HC-D-04</x:v>
      </x:c>
      <x:c r="H142" s="20" t="n">
        <x:v>0</x:v>
      </x:c>
      <x:c r="I142" s="21" t="str">
        <x:v>UNDECLARED</x:v>
      </x:c>
      <x:c r="J142" s="48"/>
      <x:c r="K142" s="48"/>
      <x:c r="L142" s="48"/>
      <x:c r="M142" s="48"/>
      <x:c r="N142" s="48"/>
      <x:c r="O142" s="48"/>
      <x:c r="P142" s="48"/>
      <x:c r="Q142" s="48"/>
      <x:c r="R142" s="48"/>
      <x:c r="S142" s="48"/>
      <x:c r="T142" s="48"/>
      <x:c r="U142" s="48"/>
      <x:c r="V142" s="48"/>
      <x:c r="W142" s="48"/>
    </x:row>
    <x:row r="143">
      <x:c r="C143" s="19" t="str">
        <x:v>AN-HC-D-05</x:v>
      </x:c>
      <x:c r="D143" s="19" t="str">
        <x:v>MS-HC|D</x:v>
      </x:c>
      <x:c r="E143" s="19" t="str">
        <x:v>MS-HC</x:v>
      </x:c>
      <x:c r="F143" s="19" t="str">
        <x:v>critical-feedstock conversion</x:v>
      </x:c>
      <x:c r="G143" s="19" t="str">
        <x:v>RES-HC-D-05</x:v>
      </x:c>
      <x:c r="H143" s="20" t="n">
        <x:v>0</x:v>
      </x:c>
      <x:c r="I143" s="21" t="str">
        <x:v>UNDECLARED</x:v>
      </x:c>
      <x:c r="J143" s="48"/>
      <x:c r="K143" s="48"/>
      <x:c r="L143" s="48"/>
      <x:c r="M143" s="48"/>
      <x:c r="N143" s="48"/>
      <x:c r="O143" s="48"/>
      <x:c r="P143" s="48"/>
      <x:c r="Q143" s="48"/>
      <x:c r="R143" s="48"/>
      <x:c r="S143" s="48"/>
      <x:c r="T143" s="48"/>
      <x:c r="U143" s="48"/>
      <x:c r="V143" s="48"/>
      <x:c r="W143" s="48"/>
    </x:row>
    <x:row r="144">
      <x:c r="C144" s="19" t="str">
        <x:v>AN-HC-D-06</x:v>
      </x:c>
      <x:c r="D144" s="19" t="str">
        <x:v>MS-HC|D</x:v>
      </x:c>
      <x:c r="E144" s="19" t="str">
        <x:v>MS-HC</x:v>
      </x:c>
      <x:c r="F144" s="19" t="str">
        <x:v>control keys</x:v>
      </x:c>
      <x:c r="G144" s="19" t="str">
        <x:v>RES-HC-D-06</x:v>
      </x:c>
      <x:c r="H144" s="20" t="n">
        <x:v>0</x:v>
      </x:c>
      <x:c r="I144" s="21" t="str">
        <x:v>UNDECLARED</x:v>
      </x:c>
      <x:c r="J144" s="48"/>
      <x:c r="K144" s="48"/>
      <x:c r="L144" s="48"/>
      <x:c r="M144" s="48"/>
      <x:c r="N144" s="48"/>
      <x:c r="O144" s="48"/>
      <x:c r="P144" s="48"/>
      <x:c r="Q144" s="48"/>
      <x:c r="R144" s="48"/>
      <x:c r="S144" s="48"/>
      <x:c r="T144" s="48"/>
      <x:c r="U144" s="48"/>
      <x:c r="V144" s="48"/>
      <x:c r="W144" s="48"/>
    </x:row>
    <x:row r="145">
      <x:c r="C145" s="19" t="str">
        <x:v>AN-HC-D-07</x:v>
      </x:c>
      <x:c r="D145" s="19" t="str">
        <x:v>MS-HC|D</x:v>
      </x:c>
      <x:c r="E145" s="19" t="str">
        <x:v>MS-HC</x:v>
      </x:c>
      <x:c r="F145" s="19" t="str">
        <x:v>communications and time implementation</x:v>
      </x:c>
      <x:c r="G145" s="19" t="str">
        <x:v>RES-HC-D-07</x:v>
      </x:c>
      <x:c r="H145" s="20" t="n">
        <x:v>0</x:v>
      </x:c>
      <x:c r="I145" s="21" t="str">
        <x:v>UNDECLARED</x:v>
      </x:c>
      <x:c r="J145" s="48"/>
      <x:c r="K145" s="48"/>
      <x:c r="L145" s="48"/>
      <x:c r="M145" s="48"/>
      <x:c r="N145" s="48"/>
      <x:c r="O145" s="48"/>
      <x:c r="P145" s="48"/>
      <x:c r="Q145" s="48"/>
      <x:c r="R145" s="48"/>
      <x:c r="S145" s="48"/>
      <x:c r="T145" s="48"/>
      <x:c r="U145" s="48"/>
      <x:c r="V145" s="48"/>
      <x:c r="W145" s="48"/>
    </x:row>
    <x:row r="146">
      <x:c r="C146" s="19" t="str">
        <x:v>AN-HC-D-08</x:v>
      </x:c>
      <x:c r="D146" s="19" t="str">
        <x:v>MS-HC|D</x:v>
      </x:c>
      <x:c r="E146" s="19" t="str">
        <x:v>MS-HC</x:v>
      </x:c>
      <x:c r="F146" s="19" t="str">
        <x:v>calibration chain</x:v>
      </x:c>
      <x:c r="G146" s="19" t="str">
        <x:v>RES-HC-D-08</x:v>
      </x:c>
      <x:c r="H146" s="20" t="n">
        <x:v>0</x:v>
      </x:c>
      <x:c r="I146" s="21" t="str">
        <x:v>UNDECLARED</x:v>
      </x:c>
      <x:c r="J146" s="48"/>
      <x:c r="K146" s="48"/>
      <x:c r="L146" s="48"/>
      <x:c r="M146" s="48"/>
      <x:c r="N146" s="48"/>
      <x:c r="O146" s="48"/>
      <x:c r="P146" s="48"/>
      <x:c r="Q146" s="48"/>
      <x:c r="R146" s="48"/>
      <x:c r="S146" s="48"/>
      <x:c r="T146" s="48"/>
      <x:c r="U146" s="48"/>
      <x:c r="V146" s="48"/>
      <x:c r="W146" s="48"/>
    </x:row>
    <x:row r="147">
      <x:c r="C147" s="19" t="str">
        <x:v>AN-HC-D-09</x:v>
      </x:c>
      <x:c r="D147" s="19" t="str">
        <x:v>MS-HC|D</x:v>
      </x:c>
      <x:c r="E147" s="19" t="str">
        <x:v>MS-HC</x:v>
      </x:c>
      <x:c r="F147" s="19" t="str">
        <x:v>production tooling</x:v>
      </x:c>
      <x:c r="G147" s="19" t="str">
        <x:v>RES-HC-D-09</x:v>
      </x:c>
      <x:c r="H147" s="20" t="n">
        <x:v>0</x:v>
      </x:c>
      <x:c r="I147" s="21" t="str">
        <x:v>UNDECLARED</x:v>
      </x:c>
      <x:c r="J147" s="48"/>
      <x:c r="K147" s="48"/>
      <x:c r="L147" s="48"/>
      <x:c r="M147" s="48"/>
      <x:c r="N147" s="48"/>
      <x:c r="O147" s="48"/>
      <x:c r="P147" s="48"/>
      <x:c r="Q147" s="48"/>
      <x:c r="R147" s="48"/>
      <x:c r="S147" s="48"/>
      <x:c r="T147" s="48"/>
      <x:c r="U147" s="48"/>
      <x:c r="V147" s="48"/>
      <x:c r="W147" s="48"/>
    </x:row>
    <x:row r="148">
      <x:c r="C148" s="19" t="str">
        <x:v>AN-HC-D-10</x:v>
      </x:c>
      <x:c r="D148" s="19" t="str">
        <x:v>MS-HC|D</x:v>
      </x:c>
      <x:c r="E148" s="19" t="str">
        <x:v>MS-HC</x:v>
      </x:c>
      <x:c r="F148" s="19" t="str">
        <x:v>final assembly cell</x:v>
      </x:c>
      <x:c r="G148" s="19" t="str">
        <x:v>RES-HC-D-10</x:v>
      </x:c>
      <x:c r="H148" s="20" t="n">
        <x:v>0</x:v>
      </x:c>
      <x:c r="I148" s="21" t="str">
        <x:v>UNDECLARED</x:v>
      </x:c>
      <x:c r="J148" s="48"/>
      <x:c r="K148" s="48"/>
      <x:c r="L148" s="48"/>
      <x:c r="M148" s="48"/>
      <x:c r="N148" s="48"/>
      <x:c r="O148" s="48"/>
      <x:c r="P148" s="48"/>
      <x:c r="Q148" s="48"/>
      <x:c r="R148" s="48"/>
      <x:c r="S148" s="48"/>
      <x:c r="T148" s="48"/>
      <x:c r="U148" s="48"/>
      <x:c r="V148" s="48"/>
      <x:c r="W148" s="48"/>
    </x:row>
    <x:row r="149">
      <x:c r="C149" s="19" t="str">
        <x:v>AN-HC-D-11</x:v>
      </x:c>
      <x:c r="D149" s="19" t="str">
        <x:v>MS-HC|D</x:v>
      </x:c>
      <x:c r="E149" s="19" t="str">
        <x:v>MS-HC</x:v>
      </x:c>
      <x:c r="F149" s="19" t="str">
        <x:v>repair route</x:v>
      </x:c>
      <x:c r="G149" s="19" t="str">
        <x:v>RES-HC-D-11</x:v>
      </x:c>
      <x:c r="H149" s="20" t="n">
        <x:v>0</x:v>
      </x:c>
      <x:c r="I149" s="21" t="str">
        <x:v>UNDECLARED</x:v>
      </x:c>
      <x:c r="J149" s="48"/>
      <x:c r="K149" s="48"/>
      <x:c r="L149" s="48"/>
      <x:c r="M149" s="48"/>
      <x:c r="N149" s="48"/>
      <x:c r="O149" s="48"/>
      <x:c r="P149" s="48"/>
      <x:c r="Q149" s="48"/>
      <x:c r="R149" s="48"/>
      <x:c r="S149" s="48"/>
      <x:c r="T149" s="48"/>
      <x:c r="U149" s="48"/>
      <x:c r="V149" s="48"/>
      <x:c r="W149" s="48"/>
    </x:row>
    <x:row r="150">
      <x:c r="C150" s="19" t="str">
        <x:v>AN-HC-D-12</x:v>
      </x:c>
      <x:c r="D150" s="19" t="str">
        <x:v>MS-HC|D</x:v>
      </x:c>
      <x:c r="E150" s="19" t="str">
        <x:v>MS-HC</x:v>
      </x:c>
      <x:c r="F150" s="19" t="str">
        <x:v>evidence chain</x:v>
      </x:c>
      <x:c r="G150" s="19" t="str">
        <x:v>RES-HC-D-12</x:v>
      </x:c>
      <x:c r="H150" s="20" t="n">
        <x:v>0</x:v>
      </x:c>
      <x:c r="I150" s="21" t="str">
        <x:v>UNDECLARED</x:v>
      </x:c>
      <x:c r="J150" s="48"/>
      <x:c r="K150" s="48"/>
      <x:c r="L150" s="48"/>
      <x:c r="M150" s="48"/>
      <x:c r="N150" s="48"/>
      <x:c r="O150" s="48"/>
      <x:c r="P150" s="48"/>
      <x:c r="Q150" s="48"/>
      <x:c r="R150" s="48"/>
      <x:c r="S150" s="48"/>
      <x:c r="T150" s="48"/>
      <x:c r="U150" s="48"/>
      <x:c r="V150" s="48"/>
      <x:c r="W150" s="48"/>
    </x:row>
    <x:row r="151">
      <x:c r="C151" s="19" t="str">
        <x:v>AN-HU-A-01</x:v>
      </x:c>
      <x:c r="D151" s="19" t="str">
        <x:v>MS-HU|A</x:v>
      </x:c>
      <x:c r="E151" s="19" t="str">
        <x:v>MS-HU</x:v>
      </x:c>
      <x:c r="F151" s="19" t="str">
        <x:v>root integrator</x:v>
      </x:c>
      <x:c r="G151" s="19" t="str">
        <x:v>RES-HU-A-01</x:v>
      </x:c>
      <x:c r="H151" s="20" t="n">
        <x:v>0</x:v>
      </x:c>
      <x:c r="I151" s="21" t="str">
        <x:v>UNDECLARED</x:v>
      </x:c>
      <x:c r="J151" s="48"/>
      <x:c r="K151" s="48"/>
      <x:c r="L151" s="48"/>
      <x:c r="M151" s="48"/>
      <x:c r="N151" s="48"/>
      <x:c r="O151" s="48"/>
      <x:c r="P151" s="48"/>
      <x:c r="Q151" s="48"/>
      <x:c r="R151" s="48"/>
      <x:c r="S151" s="48"/>
      <x:c r="T151" s="48"/>
      <x:c r="U151" s="48"/>
      <x:c r="V151" s="48"/>
      <x:c r="W151" s="48"/>
    </x:row>
    <x:row r="152">
      <x:c r="C152" s="19" t="str">
        <x:v>AN-HU-A-02</x:v>
      </x:c>
      <x:c r="D152" s="19" t="str">
        <x:v>MS-HU|A</x:v>
      </x:c>
      <x:c r="E152" s="19" t="str">
        <x:v>MS-HU</x:v>
      </x:c>
      <x:c r="F152" s="19" t="str">
        <x:v>prime work physics</x:v>
      </x:c>
      <x:c r="G152" s="19" t="str">
        <x:v>RES-HU-A-02</x:v>
      </x:c>
      <x:c r="H152" s="20" t="n">
        <x:v>0</x:v>
      </x:c>
      <x:c r="I152" s="21" t="str">
        <x:v>UNDECLARED</x:v>
      </x:c>
      <x:c r="J152" s="48"/>
      <x:c r="K152" s="48"/>
      <x:c r="L152" s="48"/>
      <x:c r="M152" s="48"/>
      <x:c r="N152" s="48"/>
      <x:c r="O152" s="48"/>
      <x:c r="P152" s="48"/>
      <x:c r="Q152" s="48"/>
      <x:c r="R152" s="48"/>
      <x:c r="S152" s="48"/>
      <x:c r="T152" s="48"/>
      <x:c r="U152" s="48"/>
      <x:c r="V152" s="48"/>
      <x:c r="W152" s="48"/>
    </x:row>
    <x:row r="153">
      <x:c r="C153" s="19" t="str">
        <x:v>AN-HU-A-03</x:v>
      </x:c>
      <x:c r="D153" s="19" t="str">
        <x:v>MS-HU|A</x:v>
      </x:c>
      <x:c r="E153" s="19" t="str">
        <x:v>MS-HU</x:v>
      </x:c>
      <x:c r="F153" s="19" t="str">
        <x:v>energy conversion</x:v>
      </x:c>
      <x:c r="G153" s="19" t="str">
        <x:v>RES-HU-A-03</x:v>
      </x:c>
      <x:c r="H153" s="20" t="n">
        <x:v>0</x:v>
      </x:c>
      <x:c r="I153" s="21" t="str">
        <x:v>UNDECLARED</x:v>
      </x:c>
      <x:c r="J153" s="48"/>
      <x:c r="K153" s="48"/>
      <x:c r="L153" s="48"/>
      <x:c r="M153" s="48"/>
      <x:c r="N153" s="48"/>
      <x:c r="O153" s="48"/>
      <x:c r="P153" s="48"/>
      <x:c r="Q153" s="48"/>
      <x:c r="R153" s="48"/>
      <x:c r="S153" s="48"/>
      <x:c r="T153" s="48"/>
      <x:c r="U153" s="48"/>
      <x:c r="V153" s="48"/>
      <x:c r="W153" s="48"/>
    </x:row>
    <x:row r="154">
      <x:c r="C154" s="19" t="str">
        <x:v>AN-HU-A-04</x:v>
      </x:c>
      <x:c r="D154" s="19" t="str">
        <x:v>MS-HU|A</x:v>
      </x:c>
      <x:c r="E154" s="19" t="str">
        <x:v>MS-HU</x:v>
      </x:c>
      <x:c r="F154" s="19" t="str">
        <x:v>structural process</x:v>
      </x:c>
      <x:c r="G154" s="19" t="str">
        <x:v>RES-HU-A-04</x:v>
      </x:c>
      <x:c r="H154" s="20" t="n">
        <x:v>0</x:v>
      </x:c>
      <x:c r="I154" s="21" t="str">
        <x:v>UNDECLARED</x:v>
      </x:c>
      <x:c r="J154" s="48"/>
      <x:c r="K154" s="48"/>
      <x:c r="L154" s="48"/>
      <x:c r="M154" s="48"/>
      <x:c r="N154" s="48"/>
      <x:c r="O154" s="48"/>
      <x:c r="P154" s="48"/>
      <x:c r="Q154" s="48"/>
      <x:c r="R154" s="48"/>
      <x:c r="S154" s="48"/>
      <x:c r="T154" s="48"/>
      <x:c r="U154" s="48"/>
      <x:c r="V154" s="48"/>
      <x:c r="W154" s="48"/>
    </x:row>
    <x:row r="155">
      <x:c r="C155" s="19" t="str">
        <x:v>AN-HU-A-05</x:v>
      </x:c>
      <x:c r="D155" s="19" t="str">
        <x:v>MS-HU|A</x:v>
      </x:c>
      <x:c r="E155" s="19" t="str">
        <x:v>MS-HU</x:v>
      </x:c>
      <x:c r="F155" s="19" t="str">
        <x:v>critical-feedstock conversion</x:v>
      </x:c>
      <x:c r="G155" s="19" t="str">
        <x:v>RES-HU-A-05</x:v>
      </x:c>
      <x:c r="H155" s="20" t="n">
        <x:v>0</x:v>
      </x:c>
      <x:c r="I155" s="21" t="str">
        <x:v>UNDECLARED</x:v>
      </x:c>
      <x:c r="J155" s="48"/>
      <x:c r="K155" s="48"/>
      <x:c r="L155" s="48"/>
      <x:c r="M155" s="48"/>
      <x:c r="N155" s="48"/>
      <x:c r="O155" s="48"/>
      <x:c r="P155" s="48"/>
      <x:c r="Q155" s="48"/>
      <x:c r="R155" s="48"/>
      <x:c r="S155" s="48"/>
      <x:c r="T155" s="48"/>
      <x:c r="U155" s="48"/>
      <x:c r="V155" s="48"/>
      <x:c r="W155" s="48"/>
    </x:row>
    <x:row r="156">
      <x:c r="C156" s="19" t="str">
        <x:v>AN-HU-A-06</x:v>
      </x:c>
      <x:c r="D156" s="19" t="str">
        <x:v>MS-HU|A</x:v>
      </x:c>
      <x:c r="E156" s="19" t="str">
        <x:v>MS-HU</x:v>
      </x:c>
      <x:c r="F156" s="19" t="str">
        <x:v>control keys</x:v>
      </x:c>
      <x:c r="G156" s="19" t="str">
        <x:v>RES-HU-A-06</x:v>
      </x:c>
      <x:c r="H156" s="20" t="n">
        <x:v>0</x:v>
      </x:c>
      <x:c r="I156" s="21" t="str">
        <x:v>UNDECLARED</x:v>
      </x:c>
      <x:c r="J156" s="48"/>
      <x:c r="K156" s="48"/>
      <x:c r="L156" s="48"/>
      <x:c r="M156" s="48"/>
      <x:c r="N156" s="48"/>
      <x:c r="O156" s="48"/>
      <x:c r="P156" s="48"/>
      <x:c r="Q156" s="48"/>
      <x:c r="R156" s="48"/>
      <x:c r="S156" s="48"/>
      <x:c r="T156" s="48"/>
      <x:c r="U156" s="48"/>
      <x:c r="V156" s="48"/>
      <x:c r="W156" s="48"/>
    </x:row>
    <x:row r="157">
      <x:c r="C157" s="19" t="str">
        <x:v>AN-HU-A-07</x:v>
      </x:c>
      <x:c r="D157" s="19" t="str">
        <x:v>MS-HU|A</x:v>
      </x:c>
      <x:c r="E157" s="19" t="str">
        <x:v>MS-HU</x:v>
      </x:c>
      <x:c r="F157" s="19" t="str">
        <x:v>communications and time implementation</x:v>
      </x:c>
      <x:c r="G157" s="19" t="str">
        <x:v>RES-HU-A-07</x:v>
      </x:c>
      <x:c r="H157" s="20" t="n">
        <x:v>0</x:v>
      </x:c>
      <x:c r="I157" s="21" t="str">
        <x:v>UNDECLARED</x:v>
      </x:c>
      <x:c r="J157" s="48"/>
      <x:c r="K157" s="48"/>
      <x:c r="L157" s="48"/>
      <x:c r="M157" s="48"/>
      <x:c r="N157" s="48"/>
      <x:c r="O157" s="48"/>
      <x:c r="P157" s="48"/>
      <x:c r="Q157" s="48"/>
      <x:c r="R157" s="48"/>
      <x:c r="S157" s="48"/>
      <x:c r="T157" s="48"/>
      <x:c r="U157" s="48"/>
      <x:c r="V157" s="48"/>
      <x:c r="W157" s="48"/>
    </x:row>
    <x:row r="158">
      <x:c r="C158" s="19" t="str">
        <x:v>AN-HU-A-08</x:v>
      </x:c>
      <x:c r="D158" s="19" t="str">
        <x:v>MS-HU|A</x:v>
      </x:c>
      <x:c r="E158" s="19" t="str">
        <x:v>MS-HU</x:v>
      </x:c>
      <x:c r="F158" s="19" t="str">
        <x:v>calibration chain</x:v>
      </x:c>
      <x:c r="G158" s="19" t="str">
        <x:v>RES-HU-A-08</x:v>
      </x:c>
      <x:c r="H158" s="20" t="n">
        <x:v>0</x:v>
      </x:c>
      <x:c r="I158" s="21" t="str">
        <x:v>UNDECLARED</x:v>
      </x:c>
      <x:c r="J158" s="48"/>
      <x:c r="K158" s="48"/>
      <x:c r="L158" s="48"/>
      <x:c r="M158" s="48"/>
      <x:c r="N158" s="48"/>
      <x:c r="O158" s="48"/>
      <x:c r="P158" s="48"/>
      <x:c r="Q158" s="48"/>
      <x:c r="R158" s="48"/>
      <x:c r="S158" s="48"/>
      <x:c r="T158" s="48"/>
      <x:c r="U158" s="48"/>
      <x:c r="V158" s="48"/>
      <x:c r="W158" s="48"/>
    </x:row>
    <x:row r="159">
      <x:c r="C159" s="19" t="str">
        <x:v>AN-HU-A-09</x:v>
      </x:c>
      <x:c r="D159" s="19" t="str">
        <x:v>MS-HU|A</x:v>
      </x:c>
      <x:c r="E159" s="19" t="str">
        <x:v>MS-HU</x:v>
      </x:c>
      <x:c r="F159" s="19" t="str">
        <x:v>production tooling</x:v>
      </x:c>
      <x:c r="G159" s="19" t="str">
        <x:v>RES-HU-A-09</x:v>
      </x:c>
      <x:c r="H159" s="20" t="n">
        <x:v>0</x:v>
      </x:c>
      <x:c r="I159" s="21" t="str">
        <x:v>UNDECLARED</x:v>
      </x:c>
      <x:c r="J159" s="48"/>
      <x:c r="K159" s="48"/>
      <x:c r="L159" s="48"/>
      <x:c r="M159" s="48"/>
      <x:c r="N159" s="48"/>
      <x:c r="O159" s="48"/>
      <x:c r="P159" s="48"/>
      <x:c r="Q159" s="48"/>
      <x:c r="R159" s="48"/>
      <x:c r="S159" s="48"/>
      <x:c r="T159" s="48"/>
      <x:c r="U159" s="48"/>
      <x:c r="V159" s="48"/>
      <x:c r="W159" s="48"/>
    </x:row>
    <x:row r="160">
      <x:c r="C160" s="19" t="str">
        <x:v>AN-HU-A-10</x:v>
      </x:c>
      <x:c r="D160" s="19" t="str">
        <x:v>MS-HU|A</x:v>
      </x:c>
      <x:c r="E160" s="19" t="str">
        <x:v>MS-HU</x:v>
      </x:c>
      <x:c r="F160" s="19" t="str">
        <x:v>final assembly cell</x:v>
      </x:c>
      <x:c r="G160" s="19" t="str">
        <x:v>RES-HU-A-10</x:v>
      </x:c>
      <x:c r="H160" s="20" t="n">
        <x:v>0</x:v>
      </x:c>
      <x:c r="I160" s="21" t="str">
        <x:v>UNDECLARED</x:v>
      </x:c>
      <x:c r="J160" s="48"/>
      <x:c r="K160" s="48"/>
      <x:c r="L160" s="48"/>
      <x:c r="M160" s="48"/>
      <x:c r="N160" s="48"/>
      <x:c r="O160" s="48"/>
      <x:c r="P160" s="48"/>
      <x:c r="Q160" s="48"/>
      <x:c r="R160" s="48"/>
      <x:c r="S160" s="48"/>
      <x:c r="T160" s="48"/>
      <x:c r="U160" s="48"/>
      <x:c r="V160" s="48"/>
      <x:c r="W160" s="48"/>
    </x:row>
    <x:row r="161">
      <x:c r="C161" s="19" t="str">
        <x:v>AN-HU-A-11</x:v>
      </x:c>
      <x:c r="D161" s="19" t="str">
        <x:v>MS-HU|A</x:v>
      </x:c>
      <x:c r="E161" s="19" t="str">
        <x:v>MS-HU</x:v>
      </x:c>
      <x:c r="F161" s="19" t="str">
        <x:v>repair route</x:v>
      </x:c>
      <x:c r="G161" s="19" t="str">
        <x:v>RES-HU-A-11</x:v>
      </x:c>
      <x:c r="H161" s="20" t="n">
        <x:v>0</x:v>
      </x:c>
      <x:c r="I161" s="21" t="str">
        <x:v>UNDECLARED</x:v>
      </x:c>
      <x:c r="J161" s="48"/>
      <x:c r="K161" s="48"/>
      <x:c r="L161" s="48"/>
      <x:c r="M161" s="48"/>
      <x:c r="N161" s="48"/>
      <x:c r="O161" s="48"/>
      <x:c r="P161" s="48"/>
      <x:c r="Q161" s="48"/>
      <x:c r="R161" s="48"/>
      <x:c r="S161" s="48"/>
      <x:c r="T161" s="48"/>
      <x:c r="U161" s="48"/>
      <x:c r="V161" s="48"/>
      <x:c r="W161" s="48"/>
    </x:row>
    <x:row r="162">
      <x:c r="C162" s="19" t="str">
        <x:v>AN-HU-A-12</x:v>
      </x:c>
      <x:c r="D162" s="19" t="str">
        <x:v>MS-HU|A</x:v>
      </x:c>
      <x:c r="E162" s="19" t="str">
        <x:v>MS-HU</x:v>
      </x:c>
      <x:c r="F162" s="19" t="str">
        <x:v>evidence chain</x:v>
      </x:c>
      <x:c r="G162" s="19" t="str">
        <x:v>RES-HU-A-12</x:v>
      </x:c>
      <x:c r="H162" s="20" t="n">
        <x:v>0</x:v>
      </x:c>
      <x:c r="I162" s="21" t="str">
        <x:v>UNDECLARED</x:v>
      </x:c>
      <x:c r="J162" s="48"/>
      <x:c r="K162" s="48"/>
      <x:c r="L162" s="48"/>
      <x:c r="M162" s="48"/>
      <x:c r="N162" s="48"/>
      <x:c r="O162" s="48"/>
      <x:c r="P162" s="48"/>
      <x:c r="Q162" s="48"/>
      <x:c r="R162" s="48"/>
      <x:c r="S162" s="48"/>
      <x:c r="T162" s="48"/>
      <x:c r="U162" s="48"/>
      <x:c r="V162" s="48"/>
      <x:c r="W162" s="48"/>
    </x:row>
    <x:row r="163">
      <x:c r="C163" s="19" t="str">
        <x:v>AN-HU-B-01</x:v>
      </x:c>
      <x:c r="D163" s="19" t="str">
        <x:v>MS-HU|B</x:v>
      </x:c>
      <x:c r="E163" s="19" t="str">
        <x:v>MS-HU</x:v>
      </x:c>
      <x:c r="F163" s="19" t="str">
        <x:v>root integrator</x:v>
      </x:c>
      <x:c r="G163" s="19" t="str">
        <x:v>RES-HU-B-01</x:v>
      </x:c>
      <x:c r="H163" s="20" t="n">
        <x:v>0</x:v>
      </x:c>
      <x:c r="I163" s="21" t="str">
        <x:v>UNDECLARED</x:v>
      </x:c>
      <x:c r="J163" s="48"/>
      <x:c r="K163" s="48"/>
      <x:c r="L163" s="48"/>
      <x:c r="M163" s="48"/>
      <x:c r="N163" s="48"/>
      <x:c r="O163" s="48"/>
      <x:c r="P163" s="48"/>
      <x:c r="Q163" s="48"/>
      <x:c r="R163" s="48"/>
      <x:c r="S163" s="48"/>
      <x:c r="T163" s="48"/>
      <x:c r="U163" s="48"/>
      <x:c r="V163" s="48"/>
      <x:c r="W163" s="48"/>
    </x:row>
    <x:row r="164">
      <x:c r="C164" s="19" t="str">
        <x:v>AN-HU-B-02</x:v>
      </x:c>
      <x:c r="D164" s="19" t="str">
        <x:v>MS-HU|B</x:v>
      </x:c>
      <x:c r="E164" s="19" t="str">
        <x:v>MS-HU</x:v>
      </x:c>
      <x:c r="F164" s="19" t="str">
        <x:v>prime work physics</x:v>
      </x:c>
      <x:c r="G164" s="19" t="str">
        <x:v>RES-HU-B-02</x:v>
      </x:c>
      <x:c r="H164" s="20" t="n">
        <x:v>0</x:v>
      </x:c>
      <x:c r="I164" s="21" t="str">
        <x:v>UNDECLARED</x:v>
      </x:c>
      <x:c r="J164" s="48"/>
      <x:c r="K164" s="48"/>
      <x:c r="L164" s="48"/>
      <x:c r="M164" s="48"/>
      <x:c r="N164" s="48"/>
      <x:c r="O164" s="48"/>
      <x:c r="P164" s="48"/>
      <x:c r="Q164" s="48"/>
      <x:c r="R164" s="48"/>
      <x:c r="S164" s="48"/>
      <x:c r="T164" s="48"/>
      <x:c r="U164" s="48"/>
      <x:c r="V164" s="48"/>
      <x:c r="W164" s="48"/>
    </x:row>
    <x:row r="165">
      <x:c r="C165" s="19" t="str">
        <x:v>AN-HU-B-03</x:v>
      </x:c>
      <x:c r="D165" s="19" t="str">
        <x:v>MS-HU|B</x:v>
      </x:c>
      <x:c r="E165" s="19" t="str">
        <x:v>MS-HU</x:v>
      </x:c>
      <x:c r="F165" s="19" t="str">
        <x:v>energy conversion</x:v>
      </x:c>
      <x:c r="G165" s="19" t="str">
        <x:v>RES-HU-B-03</x:v>
      </x:c>
      <x:c r="H165" s="20" t="n">
        <x:v>0</x:v>
      </x:c>
      <x:c r="I165" s="21" t="str">
        <x:v>UNDECLARED</x:v>
      </x:c>
      <x:c r="J165" s="48"/>
      <x:c r="K165" s="48"/>
      <x:c r="L165" s="48"/>
      <x:c r="M165" s="48"/>
      <x:c r="N165" s="48"/>
      <x:c r="O165" s="48"/>
      <x:c r="P165" s="48"/>
      <x:c r="Q165" s="48"/>
      <x:c r="R165" s="48"/>
      <x:c r="S165" s="48"/>
      <x:c r="T165" s="48"/>
      <x:c r="U165" s="48"/>
      <x:c r="V165" s="48"/>
      <x:c r="W165" s="48"/>
    </x:row>
    <x:row r="166">
      <x:c r="C166" s="19" t="str">
        <x:v>AN-HU-B-04</x:v>
      </x:c>
      <x:c r="D166" s="19" t="str">
        <x:v>MS-HU|B</x:v>
      </x:c>
      <x:c r="E166" s="19" t="str">
        <x:v>MS-HU</x:v>
      </x:c>
      <x:c r="F166" s="19" t="str">
        <x:v>structural process</x:v>
      </x:c>
      <x:c r="G166" s="19" t="str">
        <x:v>RES-HU-B-04</x:v>
      </x:c>
      <x:c r="H166" s="20" t="n">
        <x:v>0</x:v>
      </x:c>
      <x:c r="I166" s="21" t="str">
        <x:v>UNDECLARED</x:v>
      </x:c>
      <x:c r="J166" s="48"/>
      <x:c r="K166" s="48"/>
      <x:c r="L166" s="48"/>
      <x:c r="M166" s="48"/>
      <x:c r="N166" s="48"/>
      <x:c r="O166" s="48"/>
      <x:c r="P166" s="48"/>
      <x:c r="Q166" s="48"/>
      <x:c r="R166" s="48"/>
      <x:c r="S166" s="48"/>
      <x:c r="T166" s="48"/>
      <x:c r="U166" s="48"/>
      <x:c r="V166" s="48"/>
      <x:c r="W166" s="48"/>
    </x:row>
    <x:row r="167">
      <x:c r="C167" s="19" t="str">
        <x:v>AN-HU-B-05</x:v>
      </x:c>
      <x:c r="D167" s="19" t="str">
        <x:v>MS-HU|B</x:v>
      </x:c>
      <x:c r="E167" s="19" t="str">
        <x:v>MS-HU</x:v>
      </x:c>
      <x:c r="F167" s="19" t="str">
        <x:v>critical-feedstock conversion</x:v>
      </x:c>
      <x:c r="G167" s="19" t="str">
        <x:v>RES-HU-B-05</x:v>
      </x:c>
      <x:c r="H167" s="20" t="n">
        <x:v>0</x:v>
      </x:c>
      <x:c r="I167" s="21" t="str">
        <x:v>UNDECLARED</x:v>
      </x:c>
      <x:c r="J167" s="48"/>
      <x:c r="K167" s="48"/>
      <x:c r="L167" s="48"/>
      <x:c r="M167" s="48"/>
      <x:c r="N167" s="48"/>
      <x:c r="O167" s="48"/>
      <x:c r="P167" s="48"/>
      <x:c r="Q167" s="48"/>
      <x:c r="R167" s="48"/>
      <x:c r="S167" s="48"/>
      <x:c r="T167" s="48"/>
      <x:c r="U167" s="48"/>
      <x:c r="V167" s="48"/>
      <x:c r="W167" s="48"/>
    </x:row>
    <x:row r="168">
      <x:c r="C168" s="19" t="str">
        <x:v>AN-HU-B-06</x:v>
      </x:c>
      <x:c r="D168" s="19" t="str">
        <x:v>MS-HU|B</x:v>
      </x:c>
      <x:c r="E168" s="19" t="str">
        <x:v>MS-HU</x:v>
      </x:c>
      <x:c r="F168" s="19" t="str">
        <x:v>control keys</x:v>
      </x:c>
      <x:c r="G168" s="19" t="str">
        <x:v>RES-HU-B-06</x:v>
      </x:c>
      <x:c r="H168" s="20" t="n">
        <x:v>0</x:v>
      </x:c>
      <x:c r="I168" s="21" t="str">
        <x:v>UNDECLARED</x:v>
      </x:c>
      <x:c r="J168" s="48"/>
      <x:c r="K168" s="48"/>
      <x:c r="L168" s="48"/>
      <x:c r="M168" s="48"/>
      <x:c r="N168" s="48"/>
      <x:c r="O168" s="48"/>
      <x:c r="P168" s="48"/>
      <x:c r="Q168" s="48"/>
      <x:c r="R168" s="48"/>
      <x:c r="S168" s="48"/>
      <x:c r="T168" s="48"/>
      <x:c r="U168" s="48"/>
      <x:c r="V168" s="48"/>
      <x:c r="W168" s="48"/>
    </x:row>
    <x:row r="169">
      <x:c r="C169" s="19" t="str">
        <x:v>AN-HU-B-07</x:v>
      </x:c>
      <x:c r="D169" s="19" t="str">
        <x:v>MS-HU|B</x:v>
      </x:c>
      <x:c r="E169" s="19" t="str">
        <x:v>MS-HU</x:v>
      </x:c>
      <x:c r="F169" s="19" t="str">
        <x:v>communications and time implementation</x:v>
      </x:c>
      <x:c r="G169" s="19" t="str">
        <x:v>RES-HU-B-07</x:v>
      </x:c>
      <x:c r="H169" s="20" t="n">
        <x:v>0</x:v>
      </x:c>
      <x:c r="I169" s="21" t="str">
        <x:v>UNDECLARED</x:v>
      </x:c>
      <x:c r="J169" s="48"/>
      <x:c r="K169" s="48"/>
      <x:c r="L169" s="48"/>
      <x:c r="M169" s="48"/>
      <x:c r="N169" s="48"/>
      <x:c r="O169" s="48"/>
      <x:c r="P169" s="48"/>
      <x:c r="Q169" s="48"/>
      <x:c r="R169" s="48"/>
      <x:c r="S169" s="48"/>
      <x:c r="T169" s="48"/>
      <x:c r="U169" s="48"/>
      <x:c r="V169" s="48"/>
      <x:c r="W169" s="48"/>
    </x:row>
    <x:row r="170">
      <x:c r="C170" s="19" t="str">
        <x:v>AN-HU-B-08</x:v>
      </x:c>
      <x:c r="D170" s="19" t="str">
        <x:v>MS-HU|B</x:v>
      </x:c>
      <x:c r="E170" s="19" t="str">
        <x:v>MS-HU</x:v>
      </x:c>
      <x:c r="F170" s="19" t="str">
        <x:v>calibration chain</x:v>
      </x:c>
      <x:c r="G170" s="19" t="str">
        <x:v>RES-HU-B-08</x:v>
      </x:c>
      <x:c r="H170" s="20" t="n">
        <x:v>0</x:v>
      </x:c>
      <x:c r="I170" s="21" t="str">
        <x:v>UNDECLARED</x:v>
      </x:c>
      <x:c r="J170" s="48"/>
      <x:c r="K170" s="48"/>
      <x:c r="L170" s="48"/>
      <x:c r="M170" s="48"/>
      <x:c r="N170" s="48"/>
      <x:c r="O170" s="48"/>
      <x:c r="P170" s="48"/>
      <x:c r="Q170" s="48"/>
      <x:c r="R170" s="48"/>
      <x:c r="S170" s="48"/>
      <x:c r="T170" s="48"/>
      <x:c r="U170" s="48"/>
      <x:c r="V170" s="48"/>
      <x:c r="W170" s="48"/>
    </x:row>
    <x:row r="171">
      <x:c r="C171" s="19" t="str">
        <x:v>AN-HU-B-09</x:v>
      </x:c>
      <x:c r="D171" s="19" t="str">
        <x:v>MS-HU|B</x:v>
      </x:c>
      <x:c r="E171" s="19" t="str">
        <x:v>MS-HU</x:v>
      </x:c>
      <x:c r="F171" s="19" t="str">
        <x:v>production tooling</x:v>
      </x:c>
      <x:c r="G171" s="19" t="str">
        <x:v>RES-HU-B-09</x:v>
      </x:c>
      <x:c r="H171" s="20" t="n">
        <x:v>0</x:v>
      </x:c>
      <x:c r="I171" s="21" t="str">
        <x:v>UNDECLARED</x:v>
      </x:c>
      <x:c r="J171" s="48"/>
      <x:c r="K171" s="48"/>
      <x:c r="L171" s="48"/>
      <x:c r="M171" s="48"/>
      <x:c r="N171" s="48"/>
      <x:c r="O171" s="48"/>
      <x:c r="P171" s="48"/>
      <x:c r="Q171" s="48"/>
      <x:c r="R171" s="48"/>
      <x:c r="S171" s="48"/>
      <x:c r="T171" s="48"/>
      <x:c r="U171" s="48"/>
      <x:c r="V171" s="48"/>
      <x:c r="W171" s="48"/>
    </x:row>
    <x:row r="172">
      <x:c r="C172" s="19" t="str">
        <x:v>AN-HU-B-10</x:v>
      </x:c>
      <x:c r="D172" s="19" t="str">
        <x:v>MS-HU|B</x:v>
      </x:c>
      <x:c r="E172" s="19" t="str">
        <x:v>MS-HU</x:v>
      </x:c>
      <x:c r="F172" s="19" t="str">
        <x:v>final assembly cell</x:v>
      </x:c>
      <x:c r="G172" s="19" t="str">
        <x:v>RES-HU-B-10</x:v>
      </x:c>
      <x:c r="H172" s="20" t="n">
        <x:v>0</x:v>
      </x:c>
      <x:c r="I172" s="21" t="str">
        <x:v>UNDECLARED</x:v>
      </x:c>
      <x:c r="J172" s="48"/>
      <x:c r="K172" s="48"/>
      <x:c r="L172" s="48"/>
      <x:c r="M172" s="48"/>
      <x:c r="N172" s="48"/>
      <x:c r="O172" s="48"/>
      <x:c r="P172" s="48"/>
      <x:c r="Q172" s="48"/>
      <x:c r="R172" s="48"/>
      <x:c r="S172" s="48"/>
      <x:c r="T172" s="48"/>
      <x:c r="U172" s="48"/>
      <x:c r="V172" s="48"/>
      <x:c r="W172" s="48"/>
    </x:row>
    <x:row r="173">
      <x:c r="C173" s="19" t="str">
        <x:v>AN-HU-B-11</x:v>
      </x:c>
      <x:c r="D173" s="19" t="str">
        <x:v>MS-HU|B</x:v>
      </x:c>
      <x:c r="E173" s="19" t="str">
        <x:v>MS-HU</x:v>
      </x:c>
      <x:c r="F173" s="19" t="str">
        <x:v>repair route</x:v>
      </x:c>
      <x:c r="G173" s="19" t="str">
        <x:v>RES-HU-B-11</x:v>
      </x:c>
      <x:c r="H173" s="20" t="n">
        <x:v>0</x:v>
      </x:c>
      <x:c r="I173" s="21" t="str">
        <x:v>UNDECLARED</x:v>
      </x:c>
      <x:c r="J173" s="48"/>
      <x:c r="K173" s="48"/>
      <x:c r="L173" s="48"/>
      <x:c r="M173" s="48"/>
      <x:c r="N173" s="48"/>
      <x:c r="O173" s="48"/>
      <x:c r="P173" s="48"/>
      <x:c r="Q173" s="48"/>
      <x:c r="R173" s="48"/>
      <x:c r="S173" s="48"/>
      <x:c r="T173" s="48"/>
      <x:c r="U173" s="48"/>
      <x:c r="V173" s="48"/>
      <x:c r="W173" s="48"/>
    </x:row>
    <x:row r="174">
      <x:c r="C174" s="19" t="str">
        <x:v>AN-HU-B-12</x:v>
      </x:c>
      <x:c r="D174" s="19" t="str">
        <x:v>MS-HU|B</x:v>
      </x:c>
      <x:c r="E174" s="19" t="str">
        <x:v>MS-HU</x:v>
      </x:c>
      <x:c r="F174" s="19" t="str">
        <x:v>evidence chain</x:v>
      </x:c>
      <x:c r="G174" s="19" t="str">
        <x:v>RES-HU-B-12</x:v>
      </x:c>
      <x:c r="H174" s="20" t="n">
        <x:v>0</x:v>
      </x:c>
      <x:c r="I174" s="21" t="str">
        <x:v>UNDECLARED</x:v>
      </x:c>
      <x:c r="J174" s="48"/>
      <x:c r="K174" s="48"/>
      <x:c r="L174" s="48"/>
      <x:c r="M174" s="48"/>
      <x:c r="N174" s="48"/>
      <x:c r="O174" s="48"/>
      <x:c r="P174" s="48"/>
      <x:c r="Q174" s="48"/>
      <x:c r="R174" s="48"/>
      <x:c r="S174" s="48"/>
      <x:c r="T174" s="48"/>
      <x:c r="U174" s="48"/>
      <x:c r="V174" s="48"/>
      <x:c r="W174" s="48"/>
    </x:row>
    <x:row r="175">
      <x:c r="C175" s="19" t="str">
        <x:v>AN-HU-C-01</x:v>
      </x:c>
      <x:c r="D175" s="19" t="str">
        <x:v>MS-HU|C</x:v>
      </x:c>
      <x:c r="E175" s="19" t="str">
        <x:v>MS-HU</x:v>
      </x:c>
      <x:c r="F175" s="19" t="str">
        <x:v>root integrator</x:v>
      </x:c>
      <x:c r="G175" s="19" t="str">
        <x:v>RES-HU-C-01</x:v>
      </x:c>
      <x:c r="H175" s="20" t="n">
        <x:v>0</x:v>
      </x:c>
      <x:c r="I175" s="21" t="str">
        <x:v>UNDECLARED</x:v>
      </x:c>
      <x:c r="J175" s="48"/>
      <x:c r="K175" s="48"/>
      <x:c r="L175" s="48"/>
      <x:c r="M175" s="48"/>
      <x:c r="N175" s="48"/>
      <x:c r="O175" s="48"/>
      <x:c r="P175" s="48"/>
      <x:c r="Q175" s="48"/>
      <x:c r="R175" s="48"/>
      <x:c r="S175" s="48"/>
      <x:c r="T175" s="48"/>
      <x:c r="U175" s="48"/>
      <x:c r="V175" s="48"/>
      <x:c r="W175" s="48"/>
    </x:row>
    <x:row r="176">
      <x:c r="C176" s="19" t="str">
        <x:v>AN-HU-C-02</x:v>
      </x:c>
      <x:c r="D176" s="19" t="str">
        <x:v>MS-HU|C</x:v>
      </x:c>
      <x:c r="E176" s="19" t="str">
        <x:v>MS-HU</x:v>
      </x:c>
      <x:c r="F176" s="19" t="str">
        <x:v>prime work physics</x:v>
      </x:c>
      <x:c r="G176" s="19" t="str">
        <x:v>RES-HU-C-02</x:v>
      </x:c>
      <x:c r="H176" s="20" t="n">
        <x:v>0</x:v>
      </x:c>
      <x:c r="I176" s="21" t="str">
        <x:v>UNDECLARED</x:v>
      </x:c>
      <x:c r="J176" s="48"/>
      <x:c r="K176" s="48"/>
      <x:c r="L176" s="48"/>
      <x:c r="M176" s="48"/>
      <x:c r="N176" s="48"/>
      <x:c r="O176" s="48"/>
      <x:c r="P176" s="48"/>
      <x:c r="Q176" s="48"/>
      <x:c r="R176" s="48"/>
      <x:c r="S176" s="48"/>
      <x:c r="T176" s="48"/>
      <x:c r="U176" s="48"/>
      <x:c r="V176" s="48"/>
      <x:c r="W176" s="48"/>
    </x:row>
    <x:row r="177">
      <x:c r="C177" s="19" t="str">
        <x:v>AN-HU-C-03</x:v>
      </x:c>
      <x:c r="D177" s="19" t="str">
        <x:v>MS-HU|C</x:v>
      </x:c>
      <x:c r="E177" s="19" t="str">
        <x:v>MS-HU</x:v>
      </x:c>
      <x:c r="F177" s="19" t="str">
        <x:v>energy conversion</x:v>
      </x:c>
      <x:c r="G177" s="19" t="str">
        <x:v>RES-HU-C-03</x:v>
      </x:c>
      <x:c r="H177" s="20" t="n">
        <x:v>0</x:v>
      </x:c>
      <x:c r="I177" s="21" t="str">
        <x:v>UNDECLARED</x:v>
      </x:c>
      <x:c r="J177" s="48"/>
      <x:c r="K177" s="48"/>
      <x:c r="L177" s="48"/>
      <x:c r="M177" s="48"/>
      <x:c r="N177" s="48"/>
      <x:c r="O177" s="48"/>
      <x:c r="P177" s="48"/>
      <x:c r="Q177" s="48"/>
      <x:c r="R177" s="48"/>
      <x:c r="S177" s="48"/>
      <x:c r="T177" s="48"/>
      <x:c r="U177" s="48"/>
      <x:c r="V177" s="48"/>
      <x:c r="W177" s="48"/>
    </x:row>
    <x:row r="178">
      <x:c r="C178" s="19" t="str">
        <x:v>AN-HU-C-04</x:v>
      </x:c>
      <x:c r="D178" s="19" t="str">
        <x:v>MS-HU|C</x:v>
      </x:c>
      <x:c r="E178" s="19" t="str">
        <x:v>MS-HU</x:v>
      </x:c>
      <x:c r="F178" s="19" t="str">
        <x:v>structural process</x:v>
      </x:c>
      <x:c r="G178" s="19" t="str">
        <x:v>RES-HU-C-04</x:v>
      </x:c>
      <x:c r="H178" s="20" t="n">
        <x:v>0</x:v>
      </x:c>
      <x:c r="I178" s="21" t="str">
        <x:v>UNDECLARED</x:v>
      </x:c>
      <x:c r="J178" s="48"/>
      <x:c r="K178" s="48"/>
      <x:c r="L178" s="48"/>
      <x:c r="M178" s="48"/>
      <x:c r="N178" s="48"/>
      <x:c r="O178" s="48"/>
      <x:c r="P178" s="48"/>
      <x:c r="Q178" s="48"/>
      <x:c r="R178" s="48"/>
      <x:c r="S178" s="48"/>
      <x:c r="T178" s="48"/>
      <x:c r="U178" s="48"/>
      <x:c r="V178" s="48"/>
      <x:c r="W178" s="48"/>
    </x:row>
    <x:row r="179">
      <x:c r="C179" s="19" t="str">
        <x:v>AN-HU-C-05</x:v>
      </x:c>
      <x:c r="D179" s="19" t="str">
        <x:v>MS-HU|C</x:v>
      </x:c>
      <x:c r="E179" s="19" t="str">
        <x:v>MS-HU</x:v>
      </x:c>
      <x:c r="F179" s="19" t="str">
        <x:v>critical-feedstock conversion</x:v>
      </x:c>
      <x:c r="G179" s="19" t="str">
        <x:v>RES-HU-C-05</x:v>
      </x:c>
      <x:c r="H179" s="20" t="n">
        <x:v>0</x:v>
      </x:c>
      <x:c r="I179" s="21" t="str">
        <x:v>UNDECLARED</x:v>
      </x:c>
      <x:c r="J179" s="48"/>
      <x:c r="K179" s="48"/>
      <x:c r="L179" s="48"/>
      <x:c r="M179" s="48"/>
      <x:c r="N179" s="48"/>
      <x:c r="O179" s="48"/>
      <x:c r="P179" s="48"/>
      <x:c r="Q179" s="48"/>
      <x:c r="R179" s="48"/>
      <x:c r="S179" s="48"/>
      <x:c r="T179" s="48"/>
      <x:c r="U179" s="48"/>
      <x:c r="V179" s="48"/>
      <x:c r="W179" s="48"/>
    </x:row>
    <x:row r="180">
      <x:c r="C180" s="19" t="str">
        <x:v>AN-HU-C-06</x:v>
      </x:c>
      <x:c r="D180" s="19" t="str">
        <x:v>MS-HU|C</x:v>
      </x:c>
      <x:c r="E180" s="19" t="str">
        <x:v>MS-HU</x:v>
      </x:c>
      <x:c r="F180" s="19" t="str">
        <x:v>control keys</x:v>
      </x:c>
      <x:c r="G180" s="19" t="str">
        <x:v>RES-HU-C-06</x:v>
      </x:c>
      <x:c r="H180" s="20" t="n">
        <x:v>0</x:v>
      </x:c>
      <x:c r="I180" s="21" t="str">
        <x:v>UNDECLARED</x:v>
      </x:c>
      <x:c r="J180" s="48"/>
      <x:c r="K180" s="48"/>
      <x:c r="L180" s="48"/>
      <x:c r="M180" s="48"/>
      <x:c r="N180" s="48"/>
      <x:c r="O180" s="48"/>
      <x:c r="P180" s="48"/>
      <x:c r="Q180" s="48"/>
      <x:c r="R180" s="48"/>
      <x:c r="S180" s="48"/>
      <x:c r="T180" s="48"/>
      <x:c r="U180" s="48"/>
      <x:c r="V180" s="48"/>
      <x:c r="W180" s="48"/>
    </x:row>
    <x:row r="181">
      <x:c r="C181" s="19" t="str">
        <x:v>AN-HU-C-07</x:v>
      </x:c>
      <x:c r="D181" s="19" t="str">
        <x:v>MS-HU|C</x:v>
      </x:c>
      <x:c r="E181" s="19" t="str">
        <x:v>MS-HU</x:v>
      </x:c>
      <x:c r="F181" s="19" t="str">
        <x:v>communications and time implementation</x:v>
      </x:c>
      <x:c r="G181" s="19" t="str">
        <x:v>RES-HU-C-07</x:v>
      </x:c>
      <x:c r="H181" s="20" t="n">
        <x:v>0</x:v>
      </x:c>
      <x:c r="I181" s="21" t="str">
        <x:v>UNDECLARED</x:v>
      </x:c>
      <x:c r="J181" s="48"/>
      <x:c r="K181" s="48"/>
      <x:c r="L181" s="48"/>
      <x:c r="M181" s="48"/>
      <x:c r="N181" s="48"/>
      <x:c r="O181" s="48"/>
      <x:c r="P181" s="48"/>
      <x:c r="Q181" s="48"/>
      <x:c r="R181" s="48"/>
      <x:c r="S181" s="48"/>
      <x:c r="T181" s="48"/>
      <x:c r="U181" s="48"/>
      <x:c r="V181" s="48"/>
      <x:c r="W181" s="48"/>
    </x:row>
    <x:row r="182">
      <x:c r="C182" s="19" t="str">
        <x:v>AN-HU-C-08</x:v>
      </x:c>
      <x:c r="D182" s="19" t="str">
        <x:v>MS-HU|C</x:v>
      </x:c>
      <x:c r="E182" s="19" t="str">
        <x:v>MS-HU</x:v>
      </x:c>
      <x:c r="F182" s="19" t="str">
        <x:v>calibration chain</x:v>
      </x:c>
      <x:c r="G182" s="19" t="str">
        <x:v>RES-HU-C-08</x:v>
      </x:c>
      <x:c r="H182" s="20" t="n">
        <x:v>0</x:v>
      </x:c>
      <x:c r="I182" s="21" t="str">
        <x:v>UNDECLARED</x:v>
      </x:c>
      <x:c r="J182" s="48"/>
      <x:c r="K182" s="48"/>
      <x:c r="L182" s="48"/>
      <x:c r="M182" s="48"/>
      <x:c r="N182" s="48"/>
      <x:c r="O182" s="48"/>
      <x:c r="P182" s="48"/>
      <x:c r="Q182" s="48"/>
      <x:c r="R182" s="48"/>
      <x:c r="S182" s="48"/>
      <x:c r="T182" s="48"/>
      <x:c r="U182" s="48"/>
      <x:c r="V182" s="48"/>
      <x:c r="W182" s="48"/>
    </x:row>
    <x:row r="183">
      <x:c r="C183" s="19" t="str">
        <x:v>AN-HU-C-09</x:v>
      </x:c>
      <x:c r="D183" s="19" t="str">
        <x:v>MS-HU|C</x:v>
      </x:c>
      <x:c r="E183" s="19" t="str">
        <x:v>MS-HU</x:v>
      </x:c>
      <x:c r="F183" s="19" t="str">
        <x:v>production tooling</x:v>
      </x:c>
      <x:c r="G183" s="19" t="str">
        <x:v>RES-HU-C-09</x:v>
      </x:c>
      <x:c r="H183" s="20" t="n">
        <x:v>0</x:v>
      </x:c>
      <x:c r="I183" s="21" t="str">
        <x:v>UNDECLARED</x:v>
      </x:c>
      <x:c r="J183" s="48"/>
      <x:c r="K183" s="48"/>
      <x:c r="L183" s="48"/>
      <x:c r="M183" s="48"/>
      <x:c r="N183" s="48"/>
      <x:c r="O183" s="48"/>
      <x:c r="P183" s="48"/>
      <x:c r="Q183" s="48"/>
      <x:c r="R183" s="48"/>
      <x:c r="S183" s="48"/>
      <x:c r="T183" s="48"/>
      <x:c r="U183" s="48"/>
      <x:c r="V183" s="48"/>
      <x:c r="W183" s="48"/>
    </x:row>
    <x:row r="184">
      <x:c r="C184" s="19" t="str">
        <x:v>AN-HU-C-10</x:v>
      </x:c>
      <x:c r="D184" s="19" t="str">
        <x:v>MS-HU|C</x:v>
      </x:c>
      <x:c r="E184" s="19" t="str">
        <x:v>MS-HU</x:v>
      </x:c>
      <x:c r="F184" s="19" t="str">
        <x:v>final assembly cell</x:v>
      </x:c>
      <x:c r="G184" s="19" t="str">
        <x:v>RES-HU-C-10</x:v>
      </x:c>
      <x:c r="H184" s="20" t="n">
        <x:v>0</x:v>
      </x:c>
      <x:c r="I184" s="21" t="str">
        <x:v>UNDECLARED</x:v>
      </x:c>
      <x:c r="J184" s="48"/>
      <x:c r="K184" s="48"/>
      <x:c r="L184" s="48"/>
      <x:c r="M184" s="48"/>
      <x:c r="N184" s="48"/>
      <x:c r="O184" s="48"/>
      <x:c r="P184" s="48"/>
      <x:c r="Q184" s="48"/>
      <x:c r="R184" s="48"/>
      <x:c r="S184" s="48"/>
      <x:c r="T184" s="48"/>
      <x:c r="U184" s="48"/>
      <x:c r="V184" s="48"/>
      <x:c r="W184" s="48"/>
    </x:row>
    <x:row r="185">
      <x:c r="C185" s="19" t="str">
        <x:v>AN-HU-C-11</x:v>
      </x:c>
      <x:c r="D185" s="19" t="str">
        <x:v>MS-HU|C</x:v>
      </x:c>
      <x:c r="E185" s="19" t="str">
        <x:v>MS-HU</x:v>
      </x:c>
      <x:c r="F185" s="19" t="str">
        <x:v>repair route</x:v>
      </x:c>
      <x:c r="G185" s="19" t="str">
        <x:v>RES-HU-C-11</x:v>
      </x:c>
      <x:c r="H185" s="20" t="n">
        <x:v>0</x:v>
      </x:c>
      <x:c r="I185" s="21" t="str">
        <x:v>UNDECLARED</x:v>
      </x:c>
      <x:c r="J185" s="48"/>
      <x:c r="K185" s="48"/>
      <x:c r="L185" s="48"/>
      <x:c r="M185" s="48"/>
      <x:c r="N185" s="48"/>
      <x:c r="O185" s="48"/>
      <x:c r="P185" s="48"/>
      <x:c r="Q185" s="48"/>
      <x:c r="R185" s="48"/>
      <x:c r="S185" s="48"/>
      <x:c r="T185" s="48"/>
      <x:c r="U185" s="48"/>
      <x:c r="V185" s="48"/>
      <x:c r="W185" s="48"/>
    </x:row>
    <x:row r="186">
      <x:c r="C186" s="19" t="str">
        <x:v>AN-HU-C-12</x:v>
      </x:c>
      <x:c r="D186" s="19" t="str">
        <x:v>MS-HU|C</x:v>
      </x:c>
      <x:c r="E186" s="19" t="str">
        <x:v>MS-HU</x:v>
      </x:c>
      <x:c r="F186" s="19" t="str">
        <x:v>evidence chain</x:v>
      </x:c>
      <x:c r="G186" s="19" t="str">
        <x:v>RES-HU-C-12</x:v>
      </x:c>
      <x:c r="H186" s="20" t="n">
        <x:v>0</x:v>
      </x:c>
      <x:c r="I186" s="21" t="str">
        <x:v>UNDECLARED</x:v>
      </x:c>
      <x:c r="J186" s="48"/>
      <x:c r="K186" s="48"/>
      <x:c r="L186" s="48"/>
      <x:c r="M186" s="48"/>
      <x:c r="N186" s="48"/>
      <x:c r="O186" s="48"/>
      <x:c r="P186" s="48"/>
      <x:c r="Q186" s="48"/>
      <x:c r="R186" s="48"/>
      <x:c r="S186" s="48"/>
      <x:c r="T186" s="48"/>
      <x:c r="U186" s="48"/>
      <x:c r="V186" s="48"/>
      <x:c r="W186" s="48"/>
    </x:row>
    <x:row r="187">
      <x:c r="C187" s="19" t="str">
        <x:v>AN-HU-D-01</x:v>
      </x:c>
      <x:c r="D187" s="19" t="str">
        <x:v>MS-HU|D</x:v>
      </x:c>
      <x:c r="E187" s="19" t="str">
        <x:v>MS-HU</x:v>
      </x:c>
      <x:c r="F187" s="19" t="str">
        <x:v>root integrator</x:v>
      </x:c>
      <x:c r="G187" s="19" t="str">
        <x:v>RES-HU-D-01</x:v>
      </x:c>
      <x:c r="H187" s="20" t="n">
        <x:v>0</x:v>
      </x:c>
      <x:c r="I187" s="21" t="str">
        <x:v>UNDECLARED</x:v>
      </x:c>
      <x:c r="J187" s="48"/>
      <x:c r="K187" s="48"/>
      <x:c r="L187" s="48"/>
      <x:c r="M187" s="48"/>
      <x:c r="N187" s="48"/>
      <x:c r="O187" s="48"/>
      <x:c r="P187" s="48"/>
      <x:c r="Q187" s="48"/>
      <x:c r="R187" s="48"/>
      <x:c r="S187" s="48"/>
      <x:c r="T187" s="48"/>
      <x:c r="U187" s="48"/>
      <x:c r="V187" s="48"/>
      <x:c r="W187" s="48"/>
    </x:row>
    <x:row r="188">
      <x:c r="C188" s="19" t="str">
        <x:v>AN-HU-D-02</x:v>
      </x:c>
      <x:c r="D188" s="19" t="str">
        <x:v>MS-HU|D</x:v>
      </x:c>
      <x:c r="E188" s="19" t="str">
        <x:v>MS-HU</x:v>
      </x:c>
      <x:c r="F188" s="19" t="str">
        <x:v>prime work physics</x:v>
      </x:c>
      <x:c r="G188" s="19" t="str">
        <x:v>RES-HU-D-02</x:v>
      </x:c>
      <x:c r="H188" s="20" t="n">
        <x:v>0</x:v>
      </x:c>
      <x:c r="I188" s="21" t="str">
        <x:v>UNDECLARED</x:v>
      </x:c>
      <x:c r="J188" s="48"/>
      <x:c r="K188" s="48"/>
      <x:c r="L188" s="48"/>
      <x:c r="M188" s="48"/>
      <x:c r="N188" s="48"/>
      <x:c r="O188" s="48"/>
      <x:c r="P188" s="48"/>
      <x:c r="Q188" s="48"/>
      <x:c r="R188" s="48"/>
      <x:c r="S188" s="48"/>
      <x:c r="T188" s="48"/>
      <x:c r="U188" s="48"/>
      <x:c r="V188" s="48"/>
      <x:c r="W188" s="48"/>
    </x:row>
    <x:row r="189">
      <x:c r="C189" s="19" t="str">
        <x:v>AN-HU-D-03</x:v>
      </x:c>
      <x:c r="D189" s="19" t="str">
        <x:v>MS-HU|D</x:v>
      </x:c>
      <x:c r="E189" s="19" t="str">
        <x:v>MS-HU</x:v>
      </x:c>
      <x:c r="F189" s="19" t="str">
        <x:v>energy conversion</x:v>
      </x:c>
      <x:c r="G189" s="19" t="str">
        <x:v>RES-HU-D-03</x:v>
      </x:c>
      <x:c r="H189" s="20" t="n">
        <x:v>0</x:v>
      </x:c>
      <x:c r="I189" s="21" t="str">
        <x:v>UNDECLARED</x:v>
      </x:c>
      <x:c r="J189" s="48"/>
      <x:c r="K189" s="48"/>
      <x:c r="L189" s="48"/>
      <x:c r="M189" s="48"/>
      <x:c r="N189" s="48"/>
      <x:c r="O189" s="48"/>
      <x:c r="P189" s="48"/>
      <x:c r="Q189" s="48"/>
      <x:c r="R189" s="48"/>
      <x:c r="S189" s="48"/>
      <x:c r="T189" s="48"/>
      <x:c r="U189" s="48"/>
      <x:c r="V189" s="48"/>
      <x:c r="W189" s="48"/>
    </x:row>
    <x:row r="190">
      <x:c r="C190" s="19" t="str">
        <x:v>AN-HU-D-04</x:v>
      </x:c>
      <x:c r="D190" s="19" t="str">
        <x:v>MS-HU|D</x:v>
      </x:c>
      <x:c r="E190" s="19" t="str">
        <x:v>MS-HU</x:v>
      </x:c>
      <x:c r="F190" s="19" t="str">
        <x:v>structural process</x:v>
      </x:c>
      <x:c r="G190" s="19" t="str">
        <x:v>RES-HU-D-04</x:v>
      </x:c>
      <x:c r="H190" s="20" t="n">
        <x:v>0</x:v>
      </x:c>
      <x:c r="I190" s="21" t="str">
        <x:v>UNDECLARED</x:v>
      </x:c>
      <x:c r="J190" s="48"/>
      <x:c r="K190" s="48"/>
      <x:c r="L190" s="48"/>
      <x:c r="M190" s="48"/>
      <x:c r="N190" s="48"/>
      <x:c r="O190" s="48"/>
      <x:c r="P190" s="48"/>
      <x:c r="Q190" s="48"/>
      <x:c r="R190" s="48"/>
      <x:c r="S190" s="48"/>
      <x:c r="T190" s="48"/>
      <x:c r="U190" s="48"/>
      <x:c r="V190" s="48"/>
      <x:c r="W190" s="48"/>
    </x:row>
    <x:row r="191">
      <x:c r="C191" s="19" t="str">
        <x:v>AN-HU-D-05</x:v>
      </x:c>
      <x:c r="D191" s="19" t="str">
        <x:v>MS-HU|D</x:v>
      </x:c>
      <x:c r="E191" s="19" t="str">
        <x:v>MS-HU</x:v>
      </x:c>
      <x:c r="F191" s="19" t="str">
        <x:v>critical-feedstock conversion</x:v>
      </x:c>
      <x:c r="G191" s="19" t="str">
        <x:v>RES-HU-D-05</x:v>
      </x:c>
      <x:c r="H191" s="20" t="n">
        <x:v>0</x:v>
      </x:c>
      <x:c r="I191" s="21" t="str">
        <x:v>UNDECLARED</x:v>
      </x:c>
      <x:c r="J191" s="48"/>
      <x:c r="K191" s="48"/>
      <x:c r="L191" s="48"/>
      <x:c r="M191" s="48"/>
      <x:c r="N191" s="48"/>
      <x:c r="O191" s="48"/>
      <x:c r="P191" s="48"/>
      <x:c r="Q191" s="48"/>
      <x:c r="R191" s="48"/>
      <x:c r="S191" s="48"/>
      <x:c r="T191" s="48"/>
      <x:c r="U191" s="48"/>
      <x:c r="V191" s="48"/>
      <x:c r="W191" s="48"/>
    </x:row>
    <x:row r="192">
      <x:c r="C192" s="19" t="str">
        <x:v>AN-HU-D-06</x:v>
      </x:c>
      <x:c r="D192" s="19" t="str">
        <x:v>MS-HU|D</x:v>
      </x:c>
      <x:c r="E192" s="19" t="str">
        <x:v>MS-HU</x:v>
      </x:c>
      <x:c r="F192" s="19" t="str">
        <x:v>control keys</x:v>
      </x:c>
      <x:c r="G192" s="19" t="str">
        <x:v>RES-HU-D-06</x:v>
      </x:c>
      <x:c r="H192" s="20" t="n">
        <x:v>0</x:v>
      </x:c>
      <x:c r="I192" s="21" t="str">
        <x:v>UNDECLARED</x:v>
      </x:c>
      <x:c r="J192" s="48"/>
      <x:c r="K192" s="48"/>
      <x:c r="L192" s="48"/>
      <x:c r="M192" s="48"/>
      <x:c r="N192" s="48"/>
      <x:c r="O192" s="48"/>
      <x:c r="P192" s="48"/>
      <x:c r="Q192" s="48"/>
      <x:c r="R192" s="48"/>
      <x:c r="S192" s="48"/>
      <x:c r="T192" s="48"/>
      <x:c r="U192" s="48"/>
      <x:c r="V192" s="48"/>
      <x:c r="W192" s="48"/>
    </x:row>
    <x:row r="193">
      <x:c r="C193" s="19" t="str">
        <x:v>AN-HU-D-07</x:v>
      </x:c>
      <x:c r="D193" s="19" t="str">
        <x:v>MS-HU|D</x:v>
      </x:c>
      <x:c r="E193" s="19" t="str">
        <x:v>MS-HU</x:v>
      </x:c>
      <x:c r="F193" s="19" t="str">
        <x:v>communications and time implementation</x:v>
      </x:c>
      <x:c r="G193" s="19" t="str">
        <x:v>RES-HU-D-07</x:v>
      </x:c>
      <x:c r="H193" s="20" t="n">
        <x:v>0</x:v>
      </x:c>
      <x:c r="I193" s="21" t="str">
        <x:v>UNDECLARED</x:v>
      </x:c>
      <x:c r="J193" s="48"/>
      <x:c r="K193" s="48"/>
      <x:c r="L193" s="48"/>
      <x:c r="M193" s="48"/>
      <x:c r="N193" s="48"/>
      <x:c r="O193" s="48"/>
      <x:c r="P193" s="48"/>
      <x:c r="Q193" s="48"/>
      <x:c r="R193" s="48"/>
      <x:c r="S193" s="48"/>
      <x:c r="T193" s="48"/>
      <x:c r="U193" s="48"/>
      <x:c r="V193" s="48"/>
      <x:c r="W193" s="48"/>
    </x:row>
    <x:row r="194">
      <x:c r="C194" s="19" t="str">
        <x:v>AN-HU-D-08</x:v>
      </x:c>
      <x:c r="D194" s="19" t="str">
        <x:v>MS-HU|D</x:v>
      </x:c>
      <x:c r="E194" s="19" t="str">
        <x:v>MS-HU</x:v>
      </x:c>
      <x:c r="F194" s="19" t="str">
        <x:v>calibration chain</x:v>
      </x:c>
      <x:c r="G194" s="19" t="str">
        <x:v>RES-HU-D-08</x:v>
      </x:c>
      <x:c r="H194" s="20" t="n">
        <x:v>0</x:v>
      </x:c>
      <x:c r="I194" s="21" t="str">
        <x:v>UNDECLARED</x:v>
      </x:c>
      <x:c r="J194" s="48"/>
      <x:c r="K194" s="48"/>
      <x:c r="L194" s="48"/>
      <x:c r="M194" s="48"/>
      <x:c r="N194" s="48"/>
      <x:c r="O194" s="48"/>
      <x:c r="P194" s="48"/>
      <x:c r="Q194" s="48"/>
      <x:c r="R194" s="48"/>
      <x:c r="S194" s="48"/>
      <x:c r="T194" s="48"/>
      <x:c r="U194" s="48"/>
      <x:c r="V194" s="48"/>
      <x:c r="W194" s="48"/>
    </x:row>
    <x:row r="195">
      <x:c r="C195" s="19" t="str">
        <x:v>AN-HU-D-09</x:v>
      </x:c>
      <x:c r="D195" s="19" t="str">
        <x:v>MS-HU|D</x:v>
      </x:c>
      <x:c r="E195" s="19" t="str">
        <x:v>MS-HU</x:v>
      </x:c>
      <x:c r="F195" s="19" t="str">
        <x:v>production tooling</x:v>
      </x:c>
      <x:c r="G195" s="19" t="str">
        <x:v>RES-HU-D-09</x:v>
      </x:c>
      <x:c r="H195" s="20" t="n">
        <x:v>0</x:v>
      </x:c>
      <x:c r="I195" s="21" t="str">
        <x:v>UNDECLARED</x:v>
      </x:c>
      <x:c r="J195" s="48"/>
      <x:c r="K195" s="48"/>
      <x:c r="L195" s="48"/>
      <x:c r="M195" s="48"/>
      <x:c r="N195" s="48"/>
      <x:c r="O195" s="48"/>
      <x:c r="P195" s="48"/>
      <x:c r="Q195" s="48"/>
      <x:c r="R195" s="48"/>
      <x:c r="S195" s="48"/>
      <x:c r="T195" s="48"/>
      <x:c r="U195" s="48"/>
      <x:c r="V195" s="48"/>
      <x:c r="W195" s="48"/>
    </x:row>
    <x:row r="196">
      <x:c r="C196" s="19" t="str">
        <x:v>AN-HU-D-10</x:v>
      </x:c>
      <x:c r="D196" s="19" t="str">
        <x:v>MS-HU|D</x:v>
      </x:c>
      <x:c r="E196" s="19" t="str">
        <x:v>MS-HU</x:v>
      </x:c>
      <x:c r="F196" s="19" t="str">
        <x:v>final assembly cell</x:v>
      </x:c>
      <x:c r="G196" s="19" t="str">
        <x:v>RES-HU-D-10</x:v>
      </x:c>
      <x:c r="H196" s="20" t="n">
        <x:v>0</x:v>
      </x:c>
      <x:c r="I196" s="21" t="str">
        <x:v>UNDECLARED</x:v>
      </x:c>
      <x:c r="J196" s="48"/>
      <x:c r="K196" s="48"/>
      <x:c r="L196" s="48"/>
      <x:c r="M196" s="48"/>
      <x:c r="N196" s="48"/>
      <x:c r="O196" s="48"/>
      <x:c r="P196" s="48"/>
      <x:c r="Q196" s="48"/>
      <x:c r="R196" s="48"/>
      <x:c r="S196" s="48"/>
      <x:c r="T196" s="48"/>
      <x:c r="U196" s="48"/>
      <x:c r="V196" s="48"/>
      <x:c r="W196" s="48"/>
    </x:row>
    <x:row r="197">
      <x:c r="C197" s="19" t="str">
        <x:v>AN-HU-D-11</x:v>
      </x:c>
      <x:c r="D197" s="19" t="str">
        <x:v>MS-HU|D</x:v>
      </x:c>
      <x:c r="E197" s="19" t="str">
        <x:v>MS-HU</x:v>
      </x:c>
      <x:c r="F197" s="19" t="str">
        <x:v>repair route</x:v>
      </x:c>
      <x:c r="G197" s="19" t="str">
        <x:v>RES-HU-D-11</x:v>
      </x:c>
      <x:c r="H197" s="20" t="n">
        <x:v>0</x:v>
      </x:c>
      <x:c r="I197" s="21" t="str">
        <x:v>UNDECLARED</x:v>
      </x:c>
      <x:c r="J197" s="48"/>
      <x:c r="K197" s="48"/>
      <x:c r="L197" s="48"/>
      <x:c r="M197" s="48"/>
      <x:c r="N197" s="48"/>
      <x:c r="O197" s="48"/>
      <x:c r="P197" s="48"/>
      <x:c r="Q197" s="48"/>
      <x:c r="R197" s="48"/>
      <x:c r="S197" s="48"/>
      <x:c r="T197" s="48"/>
      <x:c r="U197" s="48"/>
      <x:c r="V197" s="48"/>
      <x:c r="W197" s="48"/>
    </x:row>
    <x:row r="198">
      <x:c r="C198" s="19" t="str">
        <x:v>AN-HU-D-12</x:v>
      </x:c>
      <x:c r="D198" s="19" t="str">
        <x:v>MS-HU|D</x:v>
      </x:c>
      <x:c r="E198" s="19" t="str">
        <x:v>MS-HU</x:v>
      </x:c>
      <x:c r="F198" s="19" t="str">
        <x:v>evidence chain</x:v>
      </x:c>
      <x:c r="G198" s="19" t="str">
        <x:v>RES-HU-D-12</x:v>
      </x:c>
      <x:c r="H198" s="20" t="n">
        <x:v>0</x:v>
      </x:c>
      <x:c r="I198" s="21" t="str">
        <x:v>UNDECLARED</x:v>
      </x:c>
      <x:c r="J198" s="48"/>
      <x:c r="K198" s="48"/>
      <x:c r="L198" s="48"/>
      <x:c r="M198" s="48"/>
      <x:c r="N198" s="48"/>
      <x:c r="O198" s="48"/>
      <x:c r="P198" s="48"/>
      <x:c r="Q198" s="48"/>
      <x:c r="R198" s="48"/>
      <x:c r="S198" s="48"/>
      <x:c r="T198" s="48"/>
      <x:c r="U198" s="48"/>
      <x:c r="V198" s="48"/>
      <x:c r="W198" s="48"/>
    </x:row>
    <x:row r="199">
      <x:c r="C199" s="19" t="str">
        <x:v>AN-RT-A-01</x:v>
      </x:c>
      <x:c r="D199" s="19" t="str">
        <x:v>MS-RT|A</x:v>
      </x:c>
      <x:c r="E199" s="19" t="str">
        <x:v>MS-RT</x:v>
      </x:c>
      <x:c r="F199" s="19" t="str">
        <x:v>root integrator</x:v>
      </x:c>
      <x:c r="G199" s="19" t="str">
        <x:v>RES-RT-A-01</x:v>
      </x:c>
      <x:c r="H199" s="20" t="n">
        <x:v>0</x:v>
      </x:c>
      <x:c r="I199" s="21" t="str">
        <x:v>UNDECLARED</x:v>
      </x:c>
      <x:c r="J199" s="48"/>
      <x:c r="K199" s="48"/>
      <x:c r="L199" s="48"/>
      <x:c r="M199" s="48"/>
      <x:c r="N199" s="48"/>
      <x:c r="O199" s="48"/>
      <x:c r="P199" s="48"/>
      <x:c r="Q199" s="48"/>
      <x:c r="R199" s="48"/>
      <x:c r="S199" s="48"/>
      <x:c r="T199" s="48"/>
      <x:c r="U199" s="48"/>
      <x:c r="V199" s="48"/>
      <x:c r="W199" s="48"/>
    </x:row>
    <x:row r="200">
      <x:c r="C200" s="19" t="str">
        <x:v>AN-RT-A-02</x:v>
      </x:c>
      <x:c r="D200" s="19" t="str">
        <x:v>MS-RT|A</x:v>
      </x:c>
      <x:c r="E200" s="19" t="str">
        <x:v>MS-RT</x:v>
      </x:c>
      <x:c r="F200" s="19" t="str">
        <x:v>prime work physics</x:v>
      </x:c>
      <x:c r="G200" s="19" t="str">
        <x:v>RES-RT-A-02</x:v>
      </x:c>
      <x:c r="H200" s="20" t="n">
        <x:v>0</x:v>
      </x:c>
      <x:c r="I200" s="21" t="str">
        <x:v>UNDECLARED</x:v>
      </x:c>
      <x:c r="J200" s="48"/>
      <x:c r="K200" s="48"/>
      <x:c r="L200" s="48"/>
      <x:c r="M200" s="48"/>
      <x:c r="N200" s="48"/>
      <x:c r="O200" s="48"/>
      <x:c r="P200" s="48"/>
      <x:c r="Q200" s="48"/>
      <x:c r="R200" s="48"/>
      <x:c r="S200" s="48"/>
      <x:c r="T200" s="48"/>
      <x:c r="U200" s="48"/>
      <x:c r="V200" s="48"/>
      <x:c r="W200" s="48"/>
    </x:row>
    <x:row r="201">
      <x:c r="C201" s="19" t="str">
        <x:v>AN-RT-A-03</x:v>
      </x:c>
      <x:c r="D201" s="19" t="str">
        <x:v>MS-RT|A</x:v>
      </x:c>
      <x:c r="E201" s="19" t="str">
        <x:v>MS-RT</x:v>
      </x:c>
      <x:c r="F201" s="19" t="str">
        <x:v>energy conversion</x:v>
      </x:c>
      <x:c r="G201" s="19" t="str">
        <x:v>RES-RT-A-03</x:v>
      </x:c>
      <x:c r="H201" s="20" t="n">
        <x:v>0</x:v>
      </x:c>
      <x:c r="I201" s="21" t="str">
        <x:v>UNDECLARED</x:v>
      </x:c>
      <x:c r="J201" s="48"/>
      <x:c r="K201" s="48"/>
      <x:c r="L201" s="48"/>
      <x:c r="M201" s="48"/>
      <x:c r="N201" s="48"/>
      <x:c r="O201" s="48"/>
      <x:c r="P201" s="48"/>
      <x:c r="Q201" s="48"/>
      <x:c r="R201" s="48"/>
      <x:c r="S201" s="48"/>
      <x:c r="T201" s="48"/>
      <x:c r="U201" s="48"/>
      <x:c r="V201" s="48"/>
      <x:c r="W201" s="48"/>
    </x:row>
    <x:row r="202">
      <x:c r="C202" s="19" t="str">
        <x:v>AN-RT-A-04</x:v>
      </x:c>
      <x:c r="D202" s="19" t="str">
        <x:v>MS-RT|A</x:v>
      </x:c>
      <x:c r="E202" s="19" t="str">
        <x:v>MS-RT</x:v>
      </x:c>
      <x:c r="F202" s="19" t="str">
        <x:v>structural process</x:v>
      </x:c>
      <x:c r="G202" s="19" t="str">
        <x:v>RES-RT-A-04</x:v>
      </x:c>
      <x:c r="H202" s="20" t="n">
        <x:v>0</x:v>
      </x:c>
      <x:c r="I202" s="21" t="str">
        <x:v>UNDECLARED</x:v>
      </x:c>
      <x:c r="J202" s="48"/>
      <x:c r="K202" s="48"/>
      <x:c r="L202" s="48"/>
      <x:c r="M202" s="48"/>
      <x:c r="N202" s="48"/>
      <x:c r="O202" s="48"/>
      <x:c r="P202" s="48"/>
      <x:c r="Q202" s="48"/>
      <x:c r="R202" s="48"/>
      <x:c r="S202" s="48"/>
      <x:c r="T202" s="48"/>
      <x:c r="U202" s="48"/>
      <x:c r="V202" s="48"/>
      <x:c r="W202" s="48"/>
    </x:row>
    <x:row r="203">
      <x:c r="C203" s="19" t="str">
        <x:v>AN-RT-A-05</x:v>
      </x:c>
      <x:c r="D203" s="19" t="str">
        <x:v>MS-RT|A</x:v>
      </x:c>
      <x:c r="E203" s="19" t="str">
        <x:v>MS-RT</x:v>
      </x:c>
      <x:c r="F203" s="19" t="str">
        <x:v>critical-feedstock conversion</x:v>
      </x:c>
      <x:c r="G203" s="19" t="str">
        <x:v>RES-RT-A-05</x:v>
      </x:c>
      <x:c r="H203" s="20" t="n">
        <x:v>0</x:v>
      </x:c>
      <x:c r="I203" s="21" t="str">
        <x:v>UNDECLARED</x:v>
      </x:c>
      <x:c r="J203" s="48"/>
      <x:c r="K203" s="48"/>
      <x:c r="L203" s="48"/>
      <x:c r="M203" s="48"/>
      <x:c r="N203" s="48"/>
      <x:c r="O203" s="48"/>
      <x:c r="P203" s="48"/>
      <x:c r="Q203" s="48"/>
      <x:c r="R203" s="48"/>
      <x:c r="S203" s="48"/>
      <x:c r="T203" s="48"/>
      <x:c r="U203" s="48"/>
      <x:c r="V203" s="48"/>
      <x:c r="W203" s="48"/>
    </x:row>
    <x:row r="204">
      <x:c r="C204" s="19" t="str">
        <x:v>AN-RT-A-06</x:v>
      </x:c>
      <x:c r="D204" s="19" t="str">
        <x:v>MS-RT|A</x:v>
      </x:c>
      <x:c r="E204" s="19" t="str">
        <x:v>MS-RT</x:v>
      </x:c>
      <x:c r="F204" s="19" t="str">
        <x:v>control keys</x:v>
      </x:c>
      <x:c r="G204" s="19" t="str">
        <x:v>RES-RT-A-06</x:v>
      </x:c>
      <x:c r="H204" s="20" t="n">
        <x:v>0</x:v>
      </x:c>
      <x:c r="I204" s="21" t="str">
        <x:v>UNDECLARED</x:v>
      </x:c>
      <x:c r="J204" s="48"/>
      <x:c r="K204" s="48"/>
      <x:c r="L204" s="48"/>
      <x:c r="M204" s="48"/>
      <x:c r="N204" s="48"/>
      <x:c r="O204" s="48"/>
      <x:c r="P204" s="48"/>
      <x:c r="Q204" s="48"/>
      <x:c r="R204" s="48"/>
      <x:c r="S204" s="48"/>
      <x:c r="T204" s="48"/>
      <x:c r="U204" s="48"/>
      <x:c r="V204" s="48"/>
      <x:c r="W204" s="48"/>
    </x:row>
    <x:row r="205">
      <x:c r="C205" s="19" t="str">
        <x:v>AN-RT-A-07</x:v>
      </x:c>
      <x:c r="D205" s="19" t="str">
        <x:v>MS-RT|A</x:v>
      </x:c>
      <x:c r="E205" s="19" t="str">
        <x:v>MS-RT</x:v>
      </x:c>
      <x:c r="F205" s="19" t="str">
        <x:v>communications and time implementation</x:v>
      </x:c>
      <x:c r="G205" s="19" t="str">
        <x:v>RES-RT-A-07</x:v>
      </x:c>
      <x:c r="H205" s="20" t="n">
        <x:v>0</x:v>
      </x:c>
      <x:c r="I205" s="21" t="str">
        <x:v>UNDECLARED</x:v>
      </x:c>
      <x:c r="J205" s="48"/>
      <x:c r="K205" s="48"/>
      <x:c r="L205" s="48"/>
      <x:c r="M205" s="48"/>
      <x:c r="N205" s="48"/>
      <x:c r="O205" s="48"/>
      <x:c r="P205" s="48"/>
      <x:c r="Q205" s="48"/>
      <x:c r="R205" s="48"/>
      <x:c r="S205" s="48"/>
      <x:c r="T205" s="48"/>
      <x:c r="U205" s="48"/>
      <x:c r="V205" s="48"/>
      <x:c r="W205" s="48"/>
    </x:row>
    <x:row r="206">
      <x:c r="C206" s="19" t="str">
        <x:v>AN-RT-A-08</x:v>
      </x:c>
      <x:c r="D206" s="19" t="str">
        <x:v>MS-RT|A</x:v>
      </x:c>
      <x:c r="E206" s="19" t="str">
        <x:v>MS-RT</x:v>
      </x:c>
      <x:c r="F206" s="19" t="str">
        <x:v>calibration chain</x:v>
      </x:c>
      <x:c r="G206" s="19" t="str">
        <x:v>RES-RT-A-08</x:v>
      </x:c>
      <x:c r="H206" s="20" t="n">
        <x:v>0</x:v>
      </x:c>
      <x:c r="I206" s="21" t="str">
        <x:v>UNDECLARED</x:v>
      </x:c>
      <x:c r="J206" s="48"/>
      <x:c r="K206" s="48"/>
      <x:c r="L206" s="48"/>
      <x:c r="M206" s="48"/>
      <x:c r="N206" s="48"/>
      <x:c r="O206" s="48"/>
      <x:c r="P206" s="48"/>
      <x:c r="Q206" s="48"/>
      <x:c r="R206" s="48"/>
      <x:c r="S206" s="48"/>
      <x:c r="T206" s="48"/>
      <x:c r="U206" s="48"/>
      <x:c r="V206" s="48"/>
      <x:c r="W206" s="48"/>
    </x:row>
    <x:row r="207">
      <x:c r="C207" s="19" t="str">
        <x:v>AN-RT-A-09</x:v>
      </x:c>
      <x:c r="D207" s="19" t="str">
        <x:v>MS-RT|A</x:v>
      </x:c>
      <x:c r="E207" s="19" t="str">
        <x:v>MS-RT</x:v>
      </x:c>
      <x:c r="F207" s="19" t="str">
        <x:v>production tooling</x:v>
      </x:c>
      <x:c r="G207" s="19" t="str">
        <x:v>RES-RT-A-09</x:v>
      </x:c>
      <x:c r="H207" s="20" t="n">
        <x:v>0</x:v>
      </x:c>
      <x:c r="I207" s="21" t="str">
        <x:v>UNDECLARED</x:v>
      </x:c>
      <x:c r="J207" s="48"/>
      <x:c r="K207" s="48"/>
      <x:c r="L207" s="48"/>
      <x:c r="M207" s="48"/>
      <x:c r="N207" s="48"/>
      <x:c r="O207" s="48"/>
      <x:c r="P207" s="48"/>
      <x:c r="Q207" s="48"/>
      <x:c r="R207" s="48"/>
      <x:c r="S207" s="48"/>
      <x:c r="T207" s="48"/>
      <x:c r="U207" s="48"/>
      <x:c r="V207" s="48"/>
      <x:c r="W207" s="48"/>
    </x:row>
    <x:row r="208">
      <x:c r="C208" s="19" t="str">
        <x:v>AN-RT-A-10</x:v>
      </x:c>
      <x:c r="D208" s="19" t="str">
        <x:v>MS-RT|A</x:v>
      </x:c>
      <x:c r="E208" s="19" t="str">
        <x:v>MS-RT</x:v>
      </x:c>
      <x:c r="F208" s="19" t="str">
        <x:v>final assembly cell</x:v>
      </x:c>
      <x:c r="G208" s="19" t="str">
        <x:v>RES-RT-A-10</x:v>
      </x:c>
      <x:c r="H208" s="20" t="n">
        <x:v>0</x:v>
      </x:c>
      <x:c r="I208" s="21" t="str">
        <x:v>UNDECLARED</x:v>
      </x:c>
      <x:c r="J208" s="48"/>
      <x:c r="K208" s="48"/>
      <x:c r="L208" s="48"/>
      <x:c r="M208" s="48"/>
      <x:c r="N208" s="48"/>
      <x:c r="O208" s="48"/>
      <x:c r="P208" s="48"/>
      <x:c r="Q208" s="48"/>
      <x:c r="R208" s="48"/>
      <x:c r="S208" s="48"/>
      <x:c r="T208" s="48"/>
      <x:c r="U208" s="48"/>
      <x:c r="V208" s="48"/>
      <x:c r="W208" s="48"/>
    </x:row>
    <x:row r="209">
      <x:c r="C209" s="19" t="str">
        <x:v>AN-RT-A-11</x:v>
      </x:c>
      <x:c r="D209" s="19" t="str">
        <x:v>MS-RT|A</x:v>
      </x:c>
      <x:c r="E209" s="19" t="str">
        <x:v>MS-RT</x:v>
      </x:c>
      <x:c r="F209" s="19" t="str">
        <x:v>repair route</x:v>
      </x:c>
      <x:c r="G209" s="19" t="str">
        <x:v>RES-RT-A-11</x:v>
      </x:c>
      <x:c r="H209" s="20" t="n">
        <x:v>0</x:v>
      </x:c>
      <x:c r="I209" s="21" t="str">
        <x:v>UNDECLARED</x:v>
      </x:c>
      <x:c r="J209" s="48"/>
      <x:c r="K209" s="48"/>
      <x:c r="L209" s="48"/>
      <x:c r="M209" s="48"/>
      <x:c r="N209" s="48"/>
      <x:c r="O209" s="48"/>
      <x:c r="P209" s="48"/>
      <x:c r="Q209" s="48"/>
      <x:c r="R209" s="48"/>
      <x:c r="S209" s="48"/>
      <x:c r="T209" s="48"/>
      <x:c r="U209" s="48"/>
      <x:c r="V209" s="48"/>
      <x:c r="W209" s="48"/>
    </x:row>
    <x:row r="210">
      <x:c r="C210" s="19" t="str">
        <x:v>AN-RT-A-12</x:v>
      </x:c>
      <x:c r="D210" s="19" t="str">
        <x:v>MS-RT|A</x:v>
      </x:c>
      <x:c r="E210" s="19" t="str">
        <x:v>MS-RT</x:v>
      </x:c>
      <x:c r="F210" s="19" t="str">
        <x:v>evidence chain</x:v>
      </x:c>
      <x:c r="G210" s="19" t="str">
        <x:v>RES-RT-A-12</x:v>
      </x:c>
      <x:c r="H210" s="20" t="n">
        <x:v>0</x:v>
      </x:c>
      <x:c r="I210" s="21" t="str">
        <x:v>UNDECLARED</x:v>
      </x:c>
      <x:c r="J210" s="48"/>
      <x:c r="K210" s="48"/>
      <x:c r="L210" s="48"/>
      <x:c r="M210" s="48"/>
      <x:c r="N210" s="48"/>
      <x:c r="O210" s="48"/>
      <x:c r="P210" s="48"/>
      <x:c r="Q210" s="48"/>
      <x:c r="R210" s="48"/>
      <x:c r="S210" s="48"/>
      <x:c r="T210" s="48"/>
      <x:c r="U210" s="48"/>
      <x:c r="V210" s="48"/>
      <x:c r="W210" s="48"/>
    </x:row>
    <x:row r="211">
      <x:c r="C211" s="19" t="str">
        <x:v>AN-RT-B-01</x:v>
      </x:c>
      <x:c r="D211" s="19" t="str">
        <x:v>MS-RT|B</x:v>
      </x:c>
      <x:c r="E211" s="19" t="str">
        <x:v>MS-RT</x:v>
      </x:c>
      <x:c r="F211" s="19" t="str">
        <x:v>root integrator</x:v>
      </x:c>
      <x:c r="G211" s="19" t="str">
        <x:v>RES-RT-B-01</x:v>
      </x:c>
      <x:c r="H211" s="20" t="n">
        <x:v>0</x:v>
      </x:c>
      <x:c r="I211" s="21" t="str">
        <x:v>UNDECLARED</x:v>
      </x:c>
      <x:c r="J211" s="48"/>
      <x:c r="K211" s="48"/>
      <x:c r="L211" s="48"/>
      <x:c r="M211" s="48"/>
      <x:c r="N211" s="48"/>
      <x:c r="O211" s="48"/>
      <x:c r="P211" s="48"/>
      <x:c r="Q211" s="48"/>
      <x:c r="R211" s="48"/>
      <x:c r="S211" s="48"/>
      <x:c r="T211" s="48"/>
      <x:c r="U211" s="48"/>
      <x:c r="V211" s="48"/>
      <x:c r="W211" s="48"/>
    </x:row>
    <x:row r="212">
      <x:c r="C212" s="19" t="str">
        <x:v>AN-RT-B-02</x:v>
      </x:c>
      <x:c r="D212" s="19" t="str">
        <x:v>MS-RT|B</x:v>
      </x:c>
      <x:c r="E212" s="19" t="str">
        <x:v>MS-RT</x:v>
      </x:c>
      <x:c r="F212" s="19" t="str">
        <x:v>prime work physics</x:v>
      </x:c>
      <x:c r="G212" s="19" t="str">
        <x:v>RES-RT-B-02</x:v>
      </x:c>
      <x:c r="H212" s="20" t="n">
        <x:v>0</x:v>
      </x:c>
      <x:c r="I212" s="21" t="str">
        <x:v>UNDECLARED</x:v>
      </x:c>
      <x:c r="J212" s="48"/>
      <x:c r="K212" s="48"/>
      <x:c r="L212" s="48"/>
      <x:c r="M212" s="48"/>
      <x:c r="N212" s="48"/>
      <x:c r="O212" s="48"/>
      <x:c r="P212" s="48"/>
      <x:c r="Q212" s="48"/>
      <x:c r="R212" s="48"/>
      <x:c r="S212" s="48"/>
      <x:c r="T212" s="48"/>
      <x:c r="U212" s="48"/>
      <x:c r="V212" s="48"/>
      <x:c r="W212" s="48"/>
    </x:row>
    <x:row r="213">
      <x:c r="C213" s="19" t="str">
        <x:v>AN-RT-B-03</x:v>
      </x:c>
      <x:c r="D213" s="19" t="str">
        <x:v>MS-RT|B</x:v>
      </x:c>
      <x:c r="E213" s="19" t="str">
        <x:v>MS-RT</x:v>
      </x:c>
      <x:c r="F213" s="19" t="str">
        <x:v>energy conversion</x:v>
      </x:c>
      <x:c r="G213" s="19" t="str">
        <x:v>RES-RT-B-03</x:v>
      </x:c>
      <x:c r="H213" s="20" t="n">
        <x:v>0</x:v>
      </x:c>
      <x:c r="I213" s="21" t="str">
        <x:v>UNDECLARED</x:v>
      </x:c>
      <x:c r="J213" s="48"/>
      <x:c r="K213" s="48"/>
      <x:c r="L213" s="48"/>
      <x:c r="M213" s="48"/>
      <x:c r="N213" s="48"/>
      <x:c r="O213" s="48"/>
      <x:c r="P213" s="48"/>
      <x:c r="Q213" s="48"/>
      <x:c r="R213" s="48"/>
      <x:c r="S213" s="48"/>
      <x:c r="T213" s="48"/>
      <x:c r="U213" s="48"/>
      <x:c r="V213" s="48"/>
      <x:c r="W213" s="48"/>
    </x:row>
    <x:row r="214">
      <x:c r="C214" s="19" t="str">
        <x:v>AN-RT-B-04</x:v>
      </x:c>
      <x:c r="D214" s="19" t="str">
        <x:v>MS-RT|B</x:v>
      </x:c>
      <x:c r="E214" s="19" t="str">
        <x:v>MS-RT</x:v>
      </x:c>
      <x:c r="F214" s="19" t="str">
        <x:v>structural process</x:v>
      </x:c>
      <x:c r="G214" s="19" t="str">
        <x:v>RES-RT-B-04</x:v>
      </x:c>
      <x:c r="H214" s="20" t="n">
        <x:v>0</x:v>
      </x:c>
      <x:c r="I214" s="21" t="str">
        <x:v>UNDECLARED</x:v>
      </x:c>
      <x:c r="J214" s="48"/>
      <x:c r="K214" s="48"/>
      <x:c r="L214" s="48"/>
      <x:c r="M214" s="48"/>
      <x:c r="N214" s="48"/>
      <x:c r="O214" s="48"/>
      <x:c r="P214" s="48"/>
      <x:c r="Q214" s="48"/>
      <x:c r="R214" s="48"/>
      <x:c r="S214" s="48"/>
      <x:c r="T214" s="48"/>
      <x:c r="U214" s="48"/>
      <x:c r="V214" s="48"/>
      <x:c r="W214" s="48"/>
    </x:row>
    <x:row r="215">
      <x:c r="C215" s="19" t="str">
        <x:v>AN-RT-B-05</x:v>
      </x:c>
      <x:c r="D215" s="19" t="str">
        <x:v>MS-RT|B</x:v>
      </x:c>
      <x:c r="E215" s="19" t="str">
        <x:v>MS-RT</x:v>
      </x:c>
      <x:c r="F215" s="19" t="str">
        <x:v>critical-feedstock conversion</x:v>
      </x:c>
      <x:c r="G215" s="19" t="str">
        <x:v>RES-RT-B-05</x:v>
      </x:c>
      <x:c r="H215" s="20" t="n">
        <x:v>0</x:v>
      </x:c>
      <x:c r="I215" s="21" t="str">
        <x:v>UNDECLARED</x:v>
      </x:c>
      <x:c r="J215" s="48"/>
      <x:c r="K215" s="48"/>
      <x:c r="L215" s="48"/>
      <x:c r="M215" s="48"/>
      <x:c r="N215" s="48"/>
      <x:c r="O215" s="48"/>
      <x:c r="P215" s="48"/>
      <x:c r="Q215" s="48"/>
      <x:c r="R215" s="48"/>
      <x:c r="S215" s="48"/>
      <x:c r="T215" s="48"/>
      <x:c r="U215" s="48"/>
      <x:c r="V215" s="48"/>
      <x:c r="W215" s="48"/>
    </x:row>
    <x:row r="216">
      <x:c r="C216" s="19" t="str">
        <x:v>AN-RT-B-06</x:v>
      </x:c>
      <x:c r="D216" s="19" t="str">
        <x:v>MS-RT|B</x:v>
      </x:c>
      <x:c r="E216" s="19" t="str">
        <x:v>MS-RT</x:v>
      </x:c>
      <x:c r="F216" s="19" t="str">
        <x:v>control keys</x:v>
      </x:c>
      <x:c r="G216" s="19" t="str">
        <x:v>RES-RT-B-06</x:v>
      </x:c>
      <x:c r="H216" s="20" t="n">
        <x:v>0</x:v>
      </x:c>
      <x:c r="I216" s="21" t="str">
        <x:v>UNDECLARED</x:v>
      </x:c>
      <x:c r="J216" s="48"/>
      <x:c r="K216" s="48"/>
      <x:c r="L216" s="48"/>
      <x:c r="M216" s="48"/>
      <x:c r="N216" s="48"/>
      <x:c r="O216" s="48"/>
      <x:c r="P216" s="48"/>
      <x:c r="Q216" s="48"/>
      <x:c r="R216" s="48"/>
      <x:c r="S216" s="48"/>
      <x:c r="T216" s="48"/>
      <x:c r="U216" s="48"/>
      <x:c r="V216" s="48"/>
      <x:c r="W216" s="48"/>
    </x:row>
    <x:row r="217">
      <x:c r="C217" s="19" t="str">
        <x:v>AN-RT-B-07</x:v>
      </x:c>
      <x:c r="D217" s="19" t="str">
        <x:v>MS-RT|B</x:v>
      </x:c>
      <x:c r="E217" s="19" t="str">
        <x:v>MS-RT</x:v>
      </x:c>
      <x:c r="F217" s="19" t="str">
        <x:v>communications and time implementation</x:v>
      </x:c>
      <x:c r="G217" s="19" t="str">
        <x:v>RES-RT-B-07</x:v>
      </x:c>
      <x:c r="H217" s="20" t="n">
        <x:v>0</x:v>
      </x:c>
      <x:c r="I217" s="21" t="str">
        <x:v>UNDECLARED</x:v>
      </x:c>
      <x:c r="J217" s="48"/>
      <x:c r="K217" s="48"/>
      <x:c r="L217" s="48"/>
      <x:c r="M217" s="48"/>
      <x:c r="N217" s="48"/>
      <x:c r="O217" s="48"/>
      <x:c r="P217" s="48"/>
      <x:c r="Q217" s="48"/>
      <x:c r="R217" s="48"/>
      <x:c r="S217" s="48"/>
      <x:c r="T217" s="48"/>
      <x:c r="U217" s="48"/>
      <x:c r="V217" s="48"/>
      <x:c r="W217" s="48"/>
    </x:row>
    <x:row r="218">
      <x:c r="C218" s="19" t="str">
        <x:v>AN-RT-B-08</x:v>
      </x:c>
      <x:c r="D218" s="19" t="str">
        <x:v>MS-RT|B</x:v>
      </x:c>
      <x:c r="E218" s="19" t="str">
        <x:v>MS-RT</x:v>
      </x:c>
      <x:c r="F218" s="19" t="str">
        <x:v>calibration chain</x:v>
      </x:c>
      <x:c r="G218" s="19" t="str">
        <x:v>RES-RT-B-08</x:v>
      </x:c>
      <x:c r="H218" s="20" t="n">
        <x:v>0</x:v>
      </x:c>
      <x:c r="I218" s="21" t="str">
        <x:v>UNDECLARED</x:v>
      </x:c>
      <x:c r="J218" s="48"/>
      <x:c r="K218" s="48"/>
      <x:c r="L218" s="48"/>
      <x:c r="M218" s="48"/>
      <x:c r="N218" s="48"/>
      <x:c r="O218" s="48"/>
      <x:c r="P218" s="48"/>
      <x:c r="Q218" s="48"/>
      <x:c r="R218" s="48"/>
      <x:c r="S218" s="48"/>
      <x:c r="T218" s="48"/>
      <x:c r="U218" s="48"/>
      <x:c r="V218" s="48"/>
      <x:c r="W218" s="48"/>
    </x:row>
    <x:row r="219">
      <x:c r="C219" s="19" t="str">
        <x:v>AN-RT-B-09</x:v>
      </x:c>
      <x:c r="D219" s="19" t="str">
        <x:v>MS-RT|B</x:v>
      </x:c>
      <x:c r="E219" s="19" t="str">
        <x:v>MS-RT</x:v>
      </x:c>
      <x:c r="F219" s="19" t="str">
        <x:v>production tooling</x:v>
      </x:c>
      <x:c r="G219" s="19" t="str">
        <x:v>RES-RT-B-09</x:v>
      </x:c>
      <x:c r="H219" s="20" t="n">
        <x:v>0</x:v>
      </x:c>
      <x:c r="I219" s="21" t="str">
        <x:v>UNDECLARED</x:v>
      </x:c>
      <x:c r="J219" s="48"/>
      <x:c r="K219" s="48"/>
      <x:c r="L219" s="48"/>
      <x:c r="M219" s="48"/>
      <x:c r="N219" s="48"/>
      <x:c r="O219" s="48"/>
      <x:c r="P219" s="48"/>
      <x:c r="Q219" s="48"/>
      <x:c r="R219" s="48"/>
      <x:c r="S219" s="48"/>
      <x:c r="T219" s="48"/>
      <x:c r="U219" s="48"/>
      <x:c r="V219" s="48"/>
      <x:c r="W219" s="48"/>
    </x:row>
    <x:row r="220">
      <x:c r="C220" s="19" t="str">
        <x:v>AN-RT-B-10</x:v>
      </x:c>
      <x:c r="D220" s="19" t="str">
        <x:v>MS-RT|B</x:v>
      </x:c>
      <x:c r="E220" s="19" t="str">
        <x:v>MS-RT</x:v>
      </x:c>
      <x:c r="F220" s="19" t="str">
        <x:v>final assembly cell</x:v>
      </x:c>
      <x:c r="G220" s="19" t="str">
        <x:v>RES-RT-B-10</x:v>
      </x:c>
      <x:c r="H220" s="20" t="n">
        <x:v>0</x:v>
      </x:c>
      <x:c r="I220" s="21" t="str">
        <x:v>UNDECLARED</x:v>
      </x:c>
      <x:c r="J220" s="48"/>
      <x:c r="K220" s="48"/>
      <x:c r="L220" s="48"/>
      <x:c r="M220" s="48"/>
      <x:c r="N220" s="48"/>
      <x:c r="O220" s="48"/>
      <x:c r="P220" s="48"/>
      <x:c r="Q220" s="48"/>
      <x:c r="R220" s="48"/>
      <x:c r="S220" s="48"/>
      <x:c r="T220" s="48"/>
      <x:c r="U220" s="48"/>
      <x:c r="V220" s="48"/>
      <x:c r="W220" s="48"/>
    </x:row>
    <x:row r="221">
      <x:c r="C221" s="19" t="str">
        <x:v>AN-RT-B-11</x:v>
      </x:c>
      <x:c r="D221" s="19" t="str">
        <x:v>MS-RT|B</x:v>
      </x:c>
      <x:c r="E221" s="19" t="str">
        <x:v>MS-RT</x:v>
      </x:c>
      <x:c r="F221" s="19" t="str">
        <x:v>repair route</x:v>
      </x:c>
      <x:c r="G221" s="19" t="str">
        <x:v>RES-RT-B-11</x:v>
      </x:c>
      <x:c r="H221" s="20" t="n">
        <x:v>0</x:v>
      </x:c>
      <x:c r="I221" s="21" t="str">
        <x:v>UNDECLARED</x:v>
      </x:c>
      <x:c r="J221" s="48"/>
      <x:c r="K221" s="48"/>
      <x:c r="L221" s="48"/>
      <x:c r="M221" s="48"/>
      <x:c r="N221" s="48"/>
      <x:c r="O221" s="48"/>
      <x:c r="P221" s="48"/>
      <x:c r="Q221" s="48"/>
      <x:c r="R221" s="48"/>
      <x:c r="S221" s="48"/>
      <x:c r="T221" s="48"/>
      <x:c r="U221" s="48"/>
      <x:c r="V221" s="48"/>
      <x:c r="W221" s="48"/>
    </x:row>
    <x:row r="222">
      <x:c r="C222" s="19" t="str">
        <x:v>AN-RT-B-12</x:v>
      </x:c>
      <x:c r="D222" s="19" t="str">
        <x:v>MS-RT|B</x:v>
      </x:c>
      <x:c r="E222" s="19" t="str">
        <x:v>MS-RT</x:v>
      </x:c>
      <x:c r="F222" s="19" t="str">
        <x:v>evidence chain</x:v>
      </x:c>
      <x:c r="G222" s="19" t="str">
        <x:v>RES-RT-B-12</x:v>
      </x:c>
      <x:c r="H222" s="20" t="n">
        <x:v>0</x:v>
      </x:c>
      <x:c r="I222" s="21" t="str">
        <x:v>UNDECLARED</x:v>
      </x:c>
      <x:c r="J222" s="48"/>
      <x:c r="K222" s="48"/>
      <x:c r="L222" s="48"/>
      <x:c r="M222" s="48"/>
      <x:c r="N222" s="48"/>
      <x:c r="O222" s="48"/>
      <x:c r="P222" s="48"/>
      <x:c r="Q222" s="48"/>
      <x:c r="R222" s="48"/>
      <x:c r="S222" s="48"/>
      <x:c r="T222" s="48"/>
      <x:c r="U222" s="48"/>
      <x:c r="V222" s="48"/>
      <x:c r="W222" s="48"/>
    </x:row>
    <x:row r="223">
      <x:c r="C223" s="19" t="str">
        <x:v>AN-RT-C-01</x:v>
      </x:c>
      <x:c r="D223" s="19" t="str">
        <x:v>MS-RT|C</x:v>
      </x:c>
      <x:c r="E223" s="19" t="str">
        <x:v>MS-RT</x:v>
      </x:c>
      <x:c r="F223" s="19" t="str">
        <x:v>root integrator</x:v>
      </x:c>
      <x:c r="G223" s="19" t="str">
        <x:v>RES-RT-C-01</x:v>
      </x:c>
      <x:c r="H223" s="20" t="n">
        <x:v>0</x:v>
      </x:c>
      <x:c r="I223" s="21" t="str">
        <x:v>UNDECLARED</x:v>
      </x:c>
      <x:c r="J223" s="48"/>
      <x:c r="K223" s="48"/>
      <x:c r="L223" s="48"/>
      <x:c r="M223" s="48"/>
      <x:c r="N223" s="48"/>
      <x:c r="O223" s="48"/>
      <x:c r="P223" s="48"/>
      <x:c r="Q223" s="48"/>
      <x:c r="R223" s="48"/>
      <x:c r="S223" s="48"/>
      <x:c r="T223" s="48"/>
      <x:c r="U223" s="48"/>
      <x:c r="V223" s="48"/>
      <x:c r="W223" s="48"/>
    </x:row>
    <x:row r="224">
      <x:c r="C224" s="19" t="str">
        <x:v>AN-RT-C-02</x:v>
      </x:c>
      <x:c r="D224" s="19" t="str">
        <x:v>MS-RT|C</x:v>
      </x:c>
      <x:c r="E224" s="19" t="str">
        <x:v>MS-RT</x:v>
      </x:c>
      <x:c r="F224" s="19" t="str">
        <x:v>prime work physics</x:v>
      </x:c>
      <x:c r="G224" s="19" t="str">
        <x:v>RES-RT-C-02</x:v>
      </x:c>
      <x:c r="H224" s="20" t="n">
        <x:v>0</x:v>
      </x:c>
      <x:c r="I224" s="21" t="str">
        <x:v>UNDECLARED</x:v>
      </x:c>
      <x:c r="J224" s="48"/>
      <x:c r="K224" s="48"/>
      <x:c r="L224" s="48"/>
      <x:c r="M224" s="48"/>
      <x:c r="N224" s="48"/>
      <x:c r="O224" s="48"/>
      <x:c r="P224" s="48"/>
      <x:c r="Q224" s="48"/>
      <x:c r="R224" s="48"/>
      <x:c r="S224" s="48"/>
      <x:c r="T224" s="48"/>
      <x:c r="U224" s="48"/>
      <x:c r="V224" s="48"/>
      <x:c r="W224" s="48"/>
    </x:row>
    <x:row r="225">
      <x:c r="C225" s="19" t="str">
        <x:v>AN-RT-C-03</x:v>
      </x:c>
      <x:c r="D225" s="19" t="str">
        <x:v>MS-RT|C</x:v>
      </x:c>
      <x:c r="E225" s="19" t="str">
        <x:v>MS-RT</x:v>
      </x:c>
      <x:c r="F225" s="19" t="str">
        <x:v>energy conversion</x:v>
      </x:c>
      <x:c r="G225" s="19" t="str">
        <x:v>RES-RT-C-03</x:v>
      </x:c>
      <x:c r="H225" s="20" t="n">
        <x:v>0</x:v>
      </x:c>
      <x:c r="I225" s="21" t="str">
        <x:v>UNDECLARED</x:v>
      </x:c>
      <x:c r="J225" s="48"/>
      <x:c r="K225" s="48"/>
      <x:c r="L225" s="48"/>
      <x:c r="M225" s="48"/>
      <x:c r="N225" s="48"/>
      <x:c r="O225" s="48"/>
      <x:c r="P225" s="48"/>
      <x:c r="Q225" s="48"/>
      <x:c r="R225" s="48"/>
      <x:c r="S225" s="48"/>
      <x:c r="T225" s="48"/>
      <x:c r="U225" s="48"/>
      <x:c r="V225" s="48"/>
      <x:c r="W225" s="48"/>
    </x:row>
    <x:row r="226">
      <x:c r="C226" s="19" t="str">
        <x:v>AN-RT-C-04</x:v>
      </x:c>
      <x:c r="D226" s="19" t="str">
        <x:v>MS-RT|C</x:v>
      </x:c>
      <x:c r="E226" s="19" t="str">
        <x:v>MS-RT</x:v>
      </x:c>
      <x:c r="F226" s="19" t="str">
        <x:v>structural process</x:v>
      </x:c>
      <x:c r="G226" s="19" t="str">
        <x:v>RES-RT-C-04</x:v>
      </x:c>
      <x:c r="H226" s="20" t="n">
        <x:v>0</x:v>
      </x:c>
      <x:c r="I226" s="21" t="str">
        <x:v>UNDECLARED</x:v>
      </x:c>
      <x:c r="J226" s="48"/>
      <x:c r="K226" s="48"/>
      <x:c r="L226" s="48"/>
      <x:c r="M226" s="48"/>
      <x:c r="N226" s="48"/>
      <x:c r="O226" s="48"/>
      <x:c r="P226" s="48"/>
      <x:c r="Q226" s="48"/>
      <x:c r="R226" s="48"/>
      <x:c r="S226" s="48"/>
      <x:c r="T226" s="48"/>
      <x:c r="U226" s="48"/>
      <x:c r="V226" s="48"/>
      <x:c r="W226" s="48"/>
    </x:row>
    <x:row r="227">
      <x:c r="C227" s="19" t="str">
        <x:v>AN-RT-C-05</x:v>
      </x:c>
      <x:c r="D227" s="19" t="str">
        <x:v>MS-RT|C</x:v>
      </x:c>
      <x:c r="E227" s="19" t="str">
        <x:v>MS-RT</x:v>
      </x:c>
      <x:c r="F227" s="19" t="str">
        <x:v>critical-feedstock conversion</x:v>
      </x:c>
      <x:c r="G227" s="19" t="str">
        <x:v>RES-RT-C-05</x:v>
      </x:c>
      <x:c r="H227" s="20" t="n">
        <x:v>0</x:v>
      </x:c>
      <x:c r="I227" s="21" t="str">
        <x:v>UNDECLARED</x:v>
      </x:c>
      <x:c r="J227" s="48"/>
      <x:c r="K227" s="48"/>
      <x:c r="L227" s="48"/>
      <x:c r="M227" s="48"/>
      <x:c r="N227" s="48"/>
      <x:c r="O227" s="48"/>
      <x:c r="P227" s="48"/>
      <x:c r="Q227" s="48"/>
      <x:c r="R227" s="48"/>
      <x:c r="S227" s="48"/>
      <x:c r="T227" s="48"/>
      <x:c r="U227" s="48"/>
      <x:c r="V227" s="48"/>
      <x:c r="W227" s="48"/>
    </x:row>
    <x:row r="228">
      <x:c r="C228" s="19" t="str">
        <x:v>AN-RT-C-06</x:v>
      </x:c>
      <x:c r="D228" s="19" t="str">
        <x:v>MS-RT|C</x:v>
      </x:c>
      <x:c r="E228" s="19" t="str">
        <x:v>MS-RT</x:v>
      </x:c>
      <x:c r="F228" s="19" t="str">
        <x:v>control keys</x:v>
      </x:c>
      <x:c r="G228" s="19" t="str">
        <x:v>RES-RT-C-06</x:v>
      </x:c>
      <x:c r="H228" s="20" t="n">
        <x:v>0</x:v>
      </x:c>
      <x:c r="I228" s="21" t="str">
        <x:v>UNDECLARED</x:v>
      </x:c>
      <x:c r="J228" s="48"/>
      <x:c r="K228" s="48"/>
      <x:c r="L228" s="48"/>
      <x:c r="M228" s="48"/>
      <x:c r="N228" s="48"/>
      <x:c r="O228" s="48"/>
      <x:c r="P228" s="48"/>
      <x:c r="Q228" s="48"/>
      <x:c r="R228" s="48"/>
      <x:c r="S228" s="48"/>
      <x:c r="T228" s="48"/>
      <x:c r="U228" s="48"/>
      <x:c r="V228" s="48"/>
      <x:c r="W228" s="48"/>
    </x:row>
    <x:row r="229">
      <x:c r="C229" s="19" t="str">
        <x:v>AN-RT-C-07</x:v>
      </x:c>
      <x:c r="D229" s="19" t="str">
        <x:v>MS-RT|C</x:v>
      </x:c>
      <x:c r="E229" s="19" t="str">
        <x:v>MS-RT</x:v>
      </x:c>
      <x:c r="F229" s="19" t="str">
        <x:v>communications and time implementation</x:v>
      </x:c>
      <x:c r="G229" s="19" t="str">
        <x:v>RES-RT-C-07</x:v>
      </x:c>
      <x:c r="H229" s="20" t="n">
        <x:v>0</x:v>
      </x:c>
      <x:c r="I229" s="21" t="str">
        <x:v>UNDECLARED</x:v>
      </x:c>
      <x:c r="J229" s="48"/>
      <x:c r="K229" s="48"/>
      <x:c r="L229" s="48"/>
      <x:c r="M229" s="48"/>
      <x:c r="N229" s="48"/>
      <x:c r="O229" s="48"/>
      <x:c r="P229" s="48"/>
      <x:c r="Q229" s="48"/>
      <x:c r="R229" s="48"/>
      <x:c r="S229" s="48"/>
      <x:c r="T229" s="48"/>
      <x:c r="U229" s="48"/>
      <x:c r="V229" s="48"/>
      <x:c r="W229" s="48"/>
    </x:row>
    <x:row r="230">
      <x:c r="C230" s="19" t="str">
        <x:v>AN-RT-C-08</x:v>
      </x:c>
      <x:c r="D230" s="19" t="str">
        <x:v>MS-RT|C</x:v>
      </x:c>
      <x:c r="E230" s="19" t="str">
        <x:v>MS-RT</x:v>
      </x:c>
      <x:c r="F230" s="19" t="str">
        <x:v>calibration chain</x:v>
      </x:c>
      <x:c r="G230" s="19" t="str">
        <x:v>RES-RT-C-08</x:v>
      </x:c>
      <x:c r="H230" s="20" t="n">
        <x:v>0</x:v>
      </x:c>
      <x:c r="I230" s="21" t="str">
        <x:v>UNDECLARED</x:v>
      </x:c>
      <x:c r="J230" s="48"/>
      <x:c r="K230" s="48"/>
      <x:c r="L230" s="48"/>
      <x:c r="M230" s="48"/>
      <x:c r="N230" s="48"/>
      <x:c r="O230" s="48"/>
      <x:c r="P230" s="48"/>
      <x:c r="Q230" s="48"/>
      <x:c r="R230" s="48"/>
      <x:c r="S230" s="48"/>
      <x:c r="T230" s="48"/>
      <x:c r="U230" s="48"/>
      <x:c r="V230" s="48"/>
      <x:c r="W230" s="48"/>
    </x:row>
    <x:row r="231">
      <x:c r="C231" s="19" t="str">
        <x:v>AN-RT-C-09</x:v>
      </x:c>
      <x:c r="D231" s="19" t="str">
        <x:v>MS-RT|C</x:v>
      </x:c>
      <x:c r="E231" s="19" t="str">
        <x:v>MS-RT</x:v>
      </x:c>
      <x:c r="F231" s="19" t="str">
        <x:v>production tooling</x:v>
      </x:c>
      <x:c r="G231" s="19" t="str">
        <x:v>RES-RT-C-09</x:v>
      </x:c>
      <x:c r="H231" s="20" t="n">
        <x:v>0</x:v>
      </x:c>
      <x:c r="I231" s="21" t="str">
        <x:v>UNDECLARED</x:v>
      </x:c>
      <x:c r="J231" s="48"/>
      <x:c r="K231" s="48"/>
      <x:c r="L231" s="48"/>
      <x:c r="M231" s="48"/>
      <x:c r="N231" s="48"/>
      <x:c r="O231" s="48"/>
      <x:c r="P231" s="48"/>
      <x:c r="Q231" s="48"/>
      <x:c r="R231" s="48"/>
      <x:c r="S231" s="48"/>
      <x:c r="T231" s="48"/>
      <x:c r="U231" s="48"/>
      <x:c r="V231" s="48"/>
      <x:c r="W231" s="48"/>
    </x:row>
    <x:row r="232">
      <x:c r="C232" s="19" t="str">
        <x:v>AN-RT-C-10</x:v>
      </x:c>
      <x:c r="D232" s="19" t="str">
        <x:v>MS-RT|C</x:v>
      </x:c>
      <x:c r="E232" s="19" t="str">
        <x:v>MS-RT</x:v>
      </x:c>
      <x:c r="F232" s="19" t="str">
        <x:v>final assembly cell</x:v>
      </x:c>
      <x:c r="G232" s="19" t="str">
        <x:v>RES-RT-C-10</x:v>
      </x:c>
      <x:c r="H232" s="20" t="n">
        <x:v>0</x:v>
      </x:c>
      <x:c r="I232" s="21" t="str">
        <x:v>UNDECLARED</x:v>
      </x:c>
      <x:c r="J232" s="48"/>
      <x:c r="K232" s="48"/>
      <x:c r="L232" s="48"/>
      <x:c r="M232" s="48"/>
      <x:c r="N232" s="48"/>
      <x:c r="O232" s="48"/>
      <x:c r="P232" s="48"/>
      <x:c r="Q232" s="48"/>
      <x:c r="R232" s="48"/>
      <x:c r="S232" s="48"/>
      <x:c r="T232" s="48"/>
      <x:c r="U232" s="48"/>
      <x:c r="V232" s="48"/>
      <x:c r="W232" s="48"/>
    </x:row>
    <x:row r="233">
      <x:c r="C233" s="19" t="str">
        <x:v>AN-RT-C-11</x:v>
      </x:c>
      <x:c r="D233" s="19" t="str">
        <x:v>MS-RT|C</x:v>
      </x:c>
      <x:c r="E233" s="19" t="str">
        <x:v>MS-RT</x:v>
      </x:c>
      <x:c r="F233" s="19" t="str">
        <x:v>repair route</x:v>
      </x:c>
      <x:c r="G233" s="19" t="str">
        <x:v>RES-RT-C-11</x:v>
      </x:c>
      <x:c r="H233" s="20" t="n">
        <x:v>0</x:v>
      </x:c>
      <x:c r="I233" s="21" t="str">
        <x:v>UNDECLARED</x:v>
      </x:c>
      <x:c r="J233" s="48"/>
      <x:c r="K233" s="48"/>
      <x:c r="L233" s="48"/>
      <x:c r="M233" s="48"/>
      <x:c r="N233" s="48"/>
      <x:c r="O233" s="48"/>
      <x:c r="P233" s="48"/>
      <x:c r="Q233" s="48"/>
      <x:c r="R233" s="48"/>
      <x:c r="S233" s="48"/>
      <x:c r="T233" s="48"/>
      <x:c r="U233" s="48"/>
      <x:c r="V233" s="48"/>
      <x:c r="W233" s="48"/>
    </x:row>
    <x:row r="234">
      <x:c r="C234" s="19" t="str">
        <x:v>AN-RT-C-12</x:v>
      </x:c>
      <x:c r="D234" s="19" t="str">
        <x:v>MS-RT|C</x:v>
      </x:c>
      <x:c r="E234" s="19" t="str">
        <x:v>MS-RT</x:v>
      </x:c>
      <x:c r="F234" s="19" t="str">
        <x:v>evidence chain</x:v>
      </x:c>
      <x:c r="G234" s="19" t="str">
        <x:v>RES-RT-C-12</x:v>
      </x:c>
      <x:c r="H234" s="20" t="n">
        <x:v>0</x:v>
      </x:c>
      <x:c r="I234" s="21" t="str">
        <x:v>UNDECLARED</x:v>
      </x:c>
      <x:c r="J234" s="48"/>
      <x:c r="K234" s="48"/>
      <x:c r="L234" s="48"/>
      <x:c r="M234" s="48"/>
      <x:c r="N234" s="48"/>
      <x:c r="O234" s="48"/>
      <x:c r="P234" s="48"/>
      <x:c r="Q234" s="48"/>
      <x:c r="R234" s="48"/>
      <x:c r="S234" s="48"/>
      <x:c r="T234" s="48"/>
      <x:c r="U234" s="48"/>
      <x:c r="V234" s="48"/>
      <x:c r="W234" s="48"/>
    </x:row>
    <x:row r="235">
      <x:c r="C235" s="19" t="str">
        <x:v>AN-RT-D-01</x:v>
      </x:c>
      <x:c r="D235" s="19" t="str">
        <x:v>MS-RT|D</x:v>
      </x:c>
      <x:c r="E235" s="19" t="str">
        <x:v>MS-RT</x:v>
      </x:c>
      <x:c r="F235" s="19" t="str">
        <x:v>root integrator</x:v>
      </x:c>
      <x:c r="G235" s="19" t="str">
        <x:v>RES-RT-D-01</x:v>
      </x:c>
      <x:c r="H235" s="20" t="n">
        <x:v>0</x:v>
      </x:c>
      <x:c r="I235" s="21" t="str">
        <x:v>UNDECLARED</x:v>
      </x:c>
      <x:c r="J235" s="48"/>
      <x:c r="K235" s="48"/>
      <x:c r="L235" s="48"/>
      <x:c r="M235" s="48"/>
      <x:c r="N235" s="48"/>
      <x:c r="O235" s="48"/>
      <x:c r="P235" s="48"/>
      <x:c r="Q235" s="48"/>
      <x:c r="R235" s="48"/>
      <x:c r="S235" s="48"/>
      <x:c r="T235" s="48"/>
      <x:c r="U235" s="48"/>
      <x:c r="V235" s="48"/>
      <x:c r="W235" s="48"/>
    </x:row>
    <x:row r="236">
      <x:c r="C236" s="19" t="str">
        <x:v>AN-RT-D-02</x:v>
      </x:c>
      <x:c r="D236" s="19" t="str">
        <x:v>MS-RT|D</x:v>
      </x:c>
      <x:c r="E236" s="19" t="str">
        <x:v>MS-RT</x:v>
      </x:c>
      <x:c r="F236" s="19" t="str">
        <x:v>prime work physics</x:v>
      </x:c>
      <x:c r="G236" s="19" t="str">
        <x:v>RES-RT-D-02</x:v>
      </x:c>
      <x:c r="H236" s="20" t="n">
        <x:v>0</x:v>
      </x:c>
      <x:c r="I236" s="21" t="str">
        <x:v>UNDECLARED</x:v>
      </x:c>
      <x:c r="J236" s="48"/>
      <x:c r="K236" s="48"/>
      <x:c r="L236" s="48"/>
      <x:c r="M236" s="48"/>
      <x:c r="N236" s="48"/>
      <x:c r="O236" s="48"/>
      <x:c r="P236" s="48"/>
      <x:c r="Q236" s="48"/>
      <x:c r="R236" s="48"/>
      <x:c r="S236" s="48"/>
      <x:c r="T236" s="48"/>
      <x:c r="U236" s="48"/>
      <x:c r="V236" s="48"/>
      <x:c r="W236" s="48"/>
    </x:row>
    <x:row r="237">
      <x:c r="C237" s="19" t="str">
        <x:v>AN-RT-D-03</x:v>
      </x:c>
      <x:c r="D237" s="19" t="str">
        <x:v>MS-RT|D</x:v>
      </x:c>
      <x:c r="E237" s="19" t="str">
        <x:v>MS-RT</x:v>
      </x:c>
      <x:c r="F237" s="19" t="str">
        <x:v>energy conversion</x:v>
      </x:c>
      <x:c r="G237" s="19" t="str">
        <x:v>RES-RT-D-03</x:v>
      </x:c>
      <x:c r="H237" s="20" t="n">
        <x:v>0</x:v>
      </x:c>
      <x:c r="I237" s="21" t="str">
        <x:v>UNDECLARED</x:v>
      </x:c>
      <x:c r="J237" s="48"/>
      <x:c r="K237" s="48"/>
      <x:c r="L237" s="48"/>
      <x:c r="M237" s="48"/>
      <x:c r="N237" s="48"/>
      <x:c r="O237" s="48"/>
      <x:c r="P237" s="48"/>
      <x:c r="Q237" s="48"/>
      <x:c r="R237" s="48"/>
      <x:c r="S237" s="48"/>
      <x:c r="T237" s="48"/>
      <x:c r="U237" s="48"/>
      <x:c r="V237" s="48"/>
      <x:c r="W237" s="48"/>
    </x:row>
    <x:row r="238">
      <x:c r="C238" s="19" t="str">
        <x:v>AN-RT-D-04</x:v>
      </x:c>
      <x:c r="D238" s="19" t="str">
        <x:v>MS-RT|D</x:v>
      </x:c>
      <x:c r="E238" s="19" t="str">
        <x:v>MS-RT</x:v>
      </x:c>
      <x:c r="F238" s="19" t="str">
        <x:v>structural process</x:v>
      </x:c>
      <x:c r="G238" s="19" t="str">
        <x:v>RES-RT-D-04</x:v>
      </x:c>
      <x:c r="H238" s="20" t="n">
        <x:v>0</x:v>
      </x:c>
      <x:c r="I238" s="21" t="str">
        <x:v>UNDECLARED</x:v>
      </x:c>
      <x:c r="J238" s="48"/>
      <x:c r="K238" s="48"/>
      <x:c r="L238" s="48"/>
      <x:c r="M238" s="48"/>
      <x:c r="N238" s="48"/>
      <x:c r="O238" s="48"/>
      <x:c r="P238" s="48"/>
      <x:c r="Q238" s="48"/>
      <x:c r="R238" s="48"/>
      <x:c r="S238" s="48"/>
      <x:c r="T238" s="48"/>
      <x:c r="U238" s="48"/>
      <x:c r="V238" s="48"/>
      <x:c r="W238" s="48"/>
    </x:row>
    <x:row r="239">
      <x:c r="C239" s="19" t="str">
        <x:v>AN-RT-D-05</x:v>
      </x:c>
      <x:c r="D239" s="19" t="str">
        <x:v>MS-RT|D</x:v>
      </x:c>
      <x:c r="E239" s="19" t="str">
        <x:v>MS-RT</x:v>
      </x:c>
      <x:c r="F239" s="19" t="str">
        <x:v>critical-feedstock conversion</x:v>
      </x:c>
      <x:c r="G239" s="19" t="str">
        <x:v>RES-RT-D-05</x:v>
      </x:c>
      <x:c r="H239" s="20" t="n">
        <x:v>0</x:v>
      </x:c>
      <x:c r="I239" s="21" t="str">
        <x:v>UNDECLARED</x:v>
      </x:c>
      <x:c r="J239" s="48"/>
      <x:c r="K239" s="48"/>
      <x:c r="L239" s="48"/>
      <x:c r="M239" s="48"/>
      <x:c r="N239" s="48"/>
      <x:c r="O239" s="48"/>
      <x:c r="P239" s="48"/>
      <x:c r="Q239" s="48"/>
      <x:c r="R239" s="48"/>
      <x:c r="S239" s="48"/>
      <x:c r="T239" s="48"/>
      <x:c r="U239" s="48"/>
      <x:c r="V239" s="48"/>
      <x:c r="W239" s="48"/>
    </x:row>
    <x:row r="240">
      <x:c r="C240" s="19" t="str">
        <x:v>AN-RT-D-06</x:v>
      </x:c>
      <x:c r="D240" s="19" t="str">
        <x:v>MS-RT|D</x:v>
      </x:c>
      <x:c r="E240" s="19" t="str">
        <x:v>MS-RT</x:v>
      </x:c>
      <x:c r="F240" s="19" t="str">
        <x:v>control keys</x:v>
      </x:c>
      <x:c r="G240" s="19" t="str">
        <x:v>RES-RT-D-06</x:v>
      </x:c>
      <x:c r="H240" s="20" t="n">
        <x:v>0</x:v>
      </x:c>
      <x:c r="I240" s="21" t="str">
        <x:v>UNDECLARED</x:v>
      </x:c>
      <x:c r="J240" s="48"/>
      <x:c r="K240" s="48"/>
      <x:c r="L240" s="48"/>
      <x:c r="M240" s="48"/>
      <x:c r="N240" s="48"/>
      <x:c r="O240" s="48"/>
      <x:c r="P240" s="48"/>
      <x:c r="Q240" s="48"/>
      <x:c r="R240" s="48"/>
      <x:c r="S240" s="48"/>
      <x:c r="T240" s="48"/>
      <x:c r="U240" s="48"/>
      <x:c r="V240" s="48"/>
      <x:c r="W240" s="48"/>
    </x:row>
    <x:row r="241">
      <x:c r="C241" s="19" t="str">
        <x:v>AN-RT-D-07</x:v>
      </x:c>
      <x:c r="D241" s="19" t="str">
        <x:v>MS-RT|D</x:v>
      </x:c>
      <x:c r="E241" s="19" t="str">
        <x:v>MS-RT</x:v>
      </x:c>
      <x:c r="F241" s="19" t="str">
        <x:v>communications and time implementation</x:v>
      </x:c>
      <x:c r="G241" s="19" t="str">
        <x:v>RES-RT-D-07</x:v>
      </x:c>
      <x:c r="H241" s="20" t="n">
        <x:v>0</x:v>
      </x:c>
      <x:c r="I241" s="21" t="str">
        <x:v>UNDECLARED</x:v>
      </x:c>
      <x:c r="J241" s="48"/>
      <x:c r="K241" s="48"/>
      <x:c r="L241" s="48"/>
      <x:c r="M241" s="48"/>
      <x:c r="N241" s="48"/>
      <x:c r="O241" s="48"/>
      <x:c r="P241" s="48"/>
      <x:c r="Q241" s="48"/>
      <x:c r="R241" s="48"/>
      <x:c r="S241" s="48"/>
      <x:c r="T241" s="48"/>
      <x:c r="U241" s="48"/>
      <x:c r="V241" s="48"/>
      <x:c r="W241" s="48"/>
    </x:row>
    <x:row r="242">
      <x:c r="C242" s="19" t="str">
        <x:v>AN-RT-D-08</x:v>
      </x:c>
      <x:c r="D242" s="19" t="str">
        <x:v>MS-RT|D</x:v>
      </x:c>
      <x:c r="E242" s="19" t="str">
        <x:v>MS-RT</x:v>
      </x:c>
      <x:c r="F242" s="19" t="str">
        <x:v>calibration chain</x:v>
      </x:c>
      <x:c r="G242" s="19" t="str">
        <x:v>RES-RT-D-08</x:v>
      </x:c>
      <x:c r="H242" s="20" t="n">
        <x:v>0</x:v>
      </x:c>
      <x:c r="I242" s="21" t="str">
        <x:v>UNDECLARED</x:v>
      </x:c>
      <x:c r="J242" s="48"/>
      <x:c r="K242" s="48"/>
      <x:c r="L242" s="48"/>
      <x:c r="M242" s="48"/>
      <x:c r="N242" s="48"/>
      <x:c r="O242" s="48"/>
      <x:c r="P242" s="48"/>
      <x:c r="Q242" s="48"/>
      <x:c r="R242" s="48"/>
      <x:c r="S242" s="48"/>
      <x:c r="T242" s="48"/>
      <x:c r="U242" s="48"/>
      <x:c r="V242" s="48"/>
      <x:c r="W242" s="48"/>
    </x:row>
    <x:row r="243">
      <x:c r="C243" s="19" t="str">
        <x:v>AN-RT-D-09</x:v>
      </x:c>
      <x:c r="D243" s="19" t="str">
        <x:v>MS-RT|D</x:v>
      </x:c>
      <x:c r="E243" s="19" t="str">
        <x:v>MS-RT</x:v>
      </x:c>
      <x:c r="F243" s="19" t="str">
        <x:v>production tooling</x:v>
      </x:c>
      <x:c r="G243" s="19" t="str">
        <x:v>RES-RT-D-09</x:v>
      </x:c>
      <x:c r="H243" s="20" t="n">
        <x:v>0</x:v>
      </x:c>
      <x:c r="I243" s="21" t="str">
        <x:v>UNDECLARED</x:v>
      </x:c>
      <x:c r="J243" s="48"/>
      <x:c r="K243" s="48"/>
      <x:c r="L243" s="48"/>
      <x:c r="M243" s="48"/>
      <x:c r="N243" s="48"/>
      <x:c r="O243" s="48"/>
      <x:c r="P243" s="48"/>
      <x:c r="Q243" s="48"/>
      <x:c r="R243" s="48"/>
      <x:c r="S243" s="48"/>
      <x:c r="T243" s="48"/>
      <x:c r="U243" s="48"/>
      <x:c r="V243" s="48"/>
      <x:c r="W243" s="48"/>
    </x:row>
    <x:row r="244">
      <x:c r="C244" s="19" t="str">
        <x:v>AN-RT-D-10</x:v>
      </x:c>
      <x:c r="D244" s="19" t="str">
        <x:v>MS-RT|D</x:v>
      </x:c>
      <x:c r="E244" s="19" t="str">
        <x:v>MS-RT</x:v>
      </x:c>
      <x:c r="F244" s="19" t="str">
        <x:v>final assembly cell</x:v>
      </x:c>
      <x:c r="G244" s="19" t="str">
        <x:v>RES-RT-D-10</x:v>
      </x:c>
      <x:c r="H244" s="20" t="n">
        <x:v>0</x:v>
      </x:c>
      <x:c r="I244" s="21" t="str">
        <x:v>UNDECLARED</x:v>
      </x:c>
      <x:c r="J244" s="48"/>
      <x:c r="K244" s="48"/>
      <x:c r="L244" s="48"/>
      <x:c r="M244" s="48"/>
      <x:c r="N244" s="48"/>
      <x:c r="O244" s="48"/>
      <x:c r="P244" s="48"/>
      <x:c r="Q244" s="48"/>
      <x:c r="R244" s="48"/>
      <x:c r="S244" s="48"/>
      <x:c r="T244" s="48"/>
      <x:c r="U244" s="48"/>
      <x:c r="V244" s="48"/>
      <x:c r="W244" s="48"/>
    </x:row>
    <x:row r="245">
      <x:c r="C245" s="19" t="str">
        <x:v>AN-RT-D-11</x:v>
      </x:c>
      <x:c r="D245" s="19" t="str">
        <x:v>MS-RT|D</x:v>
      </x:c>
      <x:c r="E245" s="19" t="str">
        <x:v>MS-RT</x:v>
      </x:c>
      <x:c r="F245" s="19" t="str">
        <x:v>repair route</x:v>
      </x:c>
      <x:c r="G245" s="19" t="str">
        <x:v>RES-RT-D-11</x:v>
      </x:c>
      <x:c r="H245" s="20" t="n">
        <x:v>0</x:v>
      </x:c>
      <x:c r="I245" s="21" t="str">
        <x:v>UNDECLARED</x:v>
      </x:c>
      <x:c r="J245" s="48"/>
      <x:c r="K245" s="48"/>
      <x:c r="L245" s="48"/>
      <x:c r="M245" s="48"/>
      <x:c r="N245" s="48"/>
      <x:c r="O245" s="48"/>
      <x:c r="P245" s="48"/>
      <x:c r="Q245" s="48"/>
      <x:c r="R245" s="48"/>
      <x:c r="S245" s="48"/>
      <x:c r="T245" s="48"/>
      <x:c r="U245" s="48"/>
      <x:c r="V245" s="48"/>
      <x:c r="W245" s="48"/>
    </x:row>
    <x:row r="246">
      <x:c r="C246" s="22" t="str">
        <x:v>AN-RT-D-12</x:v>
      </x:c>
      <x:c r="D246" s="22" t="str">
        <x:v>MS-RT|D</x:v>
      </x:c>
      <x:c r="E246" s="22" t="str">
        <x:v>MS-RT</x:v>
      </x:c>
      <x:c r="F246" s="22" t="str">
        <x:v>evidence chain</x:v>
      </x:c>
      <x:c r="G246" s="22" t="str">
        <x:v>RES-RT-D-12</x:v>
      </x:c>
      <x:c r="H246" s="23" t="n">
        <x:v>0</x:v>
      </x:c>
      <x:c r="I246" s="24" t="str">
        <x:v>UNDECLARED</x:v>
      </x:c>
      <x:c r="J246" s="48"/>
      <x:c r="K246" s="48"/>
      <x:c r="L246" s="48"/>
      <x:c r="M246" s="48"/>
      <x:c r="N246" s="48"/>
      <x:c r="O246" s="48"/>
      <x:c r="P246" s="48"/>
      <x:c r="Q246" s="48"/>
      <x:c r="R246" s="48"/>
      <x:c r="S246" s="48"/>
      <x:c r="T246" s="48"/>
      <x:c r="U246" s="48"/>
      <x:c r="V246" s="48"/>
      <x:c r="W246" s="48"/>
    </x:row>
    <x:row r="247">
      <x:c r="C247" s="2"/>
      <x:c r="D247" s="2"/>
      <x:c r="E247" s="2"/>
      <x:c r="F247" s="2"/>
      <x:c r="G247" s="2"/>
      <x:c r="H247" s="2"/>
      <x:c r="I247" s="2"/>
      <x:c r="J247" s="48"/>
      <x:c r="K247" s="48"/>
      <x:c r="L247" s="48"/>
      <x:c r="M247" s="48"/>
      <x:c r="N247" s="48"/>
      <x:c r="O247" s="48"/>
      <x:c r="P247" s="48"/>
      <x:c r="Q247" s="48"/>
      <x:c r="R247" s="48"/>
      <x:c r="S247" s="48"/>
      <x:c r="T247" s="48"/>
      <x:c r="U247" s="48"/>
      <x:c r="V247" s="48"/>
      <x:c r="W247" s="48"/>
    </x:row>
    <x:row r="248">
      <x:c r="C248" s="2"/>
      <x:c r="D248" s="2"/>
      <x:c r="E248" s="2"/>
      <x:c r="F248" s="2"/>
      <x:c r="G248" s="2"/>
      <x:c r="H248" s="2"/>
      <x:c r="I248" s="2"/>
      <x:c r="J248" s="48"/>
      <x:c r="K248" s="48"/>
      <x:c r="L248" s="48"/>
      <x:c r="M248" s="48"/>
      <x:c r="N248" s="48"/>
      <x:c r="O248" s="48"/>
      <x:c r="P248" s="48"/>
      <x:c r="Q248" s="48"/>
      <x:c r="R248" s="48"/>
      <x:c r="S248" s="48"/>
      <x:c r="T248" s="48"/>
      <x:c r="U248" s="48"/>
      <x:c r="V248" s="48"/>
      <x:c r="W248" s="48"/>
    </x:row>
    <x:row r="249">
      <x:c r="C249" s="2"/>
      <x:c r="D249" s="2"/>
      <x:c r="E249" s="2"/>
      <x:c r="F249" s="2"/>
      <x:c r="G249" s="2"/>
      <x:c r="H249" s="2"/>
      <x:c r="I249" s="2"/>
      <x:c r="J249" s="48"/>
      <x:c r="K249" s="48"/>
      <x:c r="L249" s="48"/>
      <x:c r="M249" s="48"/>
      <x:c r="N249" s="48"/>
      <x:c r="O249" s="48"/>
      <x:c r="P249" s="48"/>
      <x:c r="Q249" s="48"/>
      <x:c r="R249" s="48"/>
      <x:c r="S249" s="48"/>
      <x:c r="T249" s="48"/>
      <x:c r="U249" s="48"/>
      <x:c r="V249" s="48"/>
      <x:c r="W249" s="48"/>
    </x:row>
    <x:row r="250">
      <x:c r="C250" s="2"/>
      <x:c r="D250" s="2"/>
      <x:c r="E250" s="2"/>
      <x:c r="F250" s="2"/>
      <x:c r="G250" s="2"/>
      <x:c r="H250" s="2"/>
      <x:c r="I250" s="2"/>
      <x:c r="J250" s="48"/>
      <x:c r="K250" s="48"/>
      <x:c r="L250" s="48"/>
      <x:c r="M250" s="48"/>
      <x:c r="N250" s="48"/>
      <x:c r="O250" s="48"/>
      <x:c r="P250" s="48"/>
      <x:c r="Q250" s="48"/>
      <x:c r="R250" s="48"/>
      <x:c r="S250" s="48"/>
      <x:c r="T250" s="48"/>
      <x:c r="U250" s="48"/>
      <x:c r="V250" s="48"/>
      <x:c r="W250" s="48"/>
    </x:row>
    <x:row r="251">
      <x:c r="C251" s="2"/>
      <x:c r="D251" s="2"/>
      <x:c r="E251" s="2"/>
      <x:c r="F251" s="2"/>
      <x:c r="G251" s="2"/>
      <x:c r="H251" s="2"/>
      <x:c r="I251" s="2"/>
      <x:c r="J251" s="48"/>
      <x:c r="K251" s="48"/>
      <x:c r="L251" s="48"/>
      <x:c r="M251" s="48"/>
      <x:c r="N251" s="48"/>
      <x:c r="O251" s="48"/>
      <x:c r="P251" s="48"/>
      <x:c r="Q251" s="48"/>
      <x:c r="R251" s="48"/>
      <x:c r="S251" s="48"/>
      <x:c r="T251" s="48"/>
      <x:c r="U251" s="48"/>
      <x:c r="V251" s="48"/>
      <x:c r="W251" s="48"/>
    </x:row>
    <x:row r="252">
      <x:c r="C252" s="2"/>
      <x:c r="D252" s="2"/>
      <x:c r="E252" s="2"/>
      <x:c r="F252" s="2"/>
      <x:c r="G252" s="2"/>
      <x:c r="H252" s="2"/>
      <x:c r="I252" s="2"/>
      <x:c r="J252" s="48"/>
      <x:c r="K252" s="48"/>
      <x:c r="L252" s="48"/>
      <x:c r="M252" s="48"/>
      <x:c r="N252" s="48"/>
      <x:c r="O252" s="48"/>
      <x:c r="P252" s="48"/>
      <x:c r="Q252" s="48"/>
      <x:c r="R252" s="48"/>
      <x:c r="S252" s="48"/>
      <x:c r="T252" s="48"/>
      <x:c r="U252" s="48"/>
      <x:c r="V252" s="48"/>
      <x:c r="W252" s="48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3" max="3" width="19" hidden="0" customWidth="1"/>
    <x:col min="4" max="4" width="19" hidden="0" customWidth="1"/>
    <x:col min="5" max="5" width="19" hidden="0" customWidth="1"/>
    <x:col min="6" max="6" width="52" hidden="0" customWidth="1"/>
    <x:col min="7" max="7" width="14" hidden="0" customWidth="1"/>
    <x:col min="8" max="8" width="14" hidden="0" customWidth="1"/>
  </x:cols>
  <x:sheetData>
    <x:row r="1">
      <x:c r="C1" s="2"/>
      <x:c r="D1" s="2"/>
      <x:c r="E1" s="2"/>
      <x:c r="F1" s="2"/>
      <x:c r="G1" s="2"/>
      <x:c r="H1" s="2"/>
      <x:c r="I1" s="48"/>
      <x:c r="J1" s="48"/>
      <x:c r="K1" s="48"/>
      <x:c r="L1" s="48"/>
      <x:c r="M1" s="48"/>
      <x:c r="N1" s="48"/>
      <x:c r="O1" s="48"/>
      <x:c r="P1" s="48"/>
      <x:c r="Q1" s="48"/>
      <x:c r="R1" s="48"/>
      <x:c r="S1" s="48"/>
      <x:c r="T1" s="48"/>
      <x:c r="U1" s="48"/>
      <x:c r="V1" s="48"/>
      <x:c r="W1" s="48"/>
    </x:row>
    <x:row r="2">
      <x:c r="C2" s="3" t="str">
        <x:v>Two hundred eighty conjunctive G3 gates</x:v>
      </x:c>
      <x:c r="D2" s="2"/>
      <x:c r="E2" s="2"/>
      <x:c r="F2" s="2"/>
      <x:c r="G2" s="2"/>
      <x:c r="H2" s="2"/>
      <x:c r="I2" s="48"/>
      <x:c r="J2" s="48"/>
      <x:c r="K2" s="48"/>
      <x:c r="L2" s="48"/>
      <x:c r="M2" s="48"/>
      <x:c r="N2" s="48"/>
      <x:c r="O2" s="48"/>
      <x:c r="P2" s="48"/>
      <x:c r="Q2" s="48"/>
      <x:c r="R2" s="48"/>
      <x:c r="S2" s="48"/>
      <x:c r="T2" s="48"/>
      <x:c r="U2" s="48"/>
      <x:c r="V2" s="48"/>
      <x:c r="W2" s="48"/>
    </x:row>
    <x:row r="3">
      <x:c r="C3" s="5" t="str">
        <x:v>Configuration freeze earns no physical gate; every acceptance remains source-empty.</x:v>
      </x:c>
      <x:c r="D3" s="6"/>
      <x:c r="E3" s="6"/>
      <x:c r="F3" s="6"/>
      <x:c r="G3" s="6"/>
      <x:c r="H3" s="6"/>
      <x:c r="I3" s="49"/>
      <x:c r="J3" s="49"/>
      <x:c r="K3" s="49"/>
      <x:c r="L3" s="49"/>
      <x:c r="M3" s="49"/>
      <x:c r="N3" s="49"/>
      <x:c r="O3" s="49"/>
      <x:c r="P3" s="49"/>
      <x:c r="Q3" s="49"/>
      <x:c r="R3" s="49"/>
      <x:c r="S3" s="49"/>
      <x:c r="T3" s="49"/>
      <x:c r="U3" s="49"/>
      <x:c r="V3" s="49"/>
      <x:c r="W3" s="49"/>
    </x:row>
    <x:row r="4">
      <x:c r="C4" s="2"/>
      <x:c r="D4" s="2"/>
      <x:c r="E4" s="2"/>
      <x:c r="F4" s="2"/>
      <x:c r="G4" s="2"/>
      <x:c r="H4" s="2"/>
      <x:c r="I4" s="48"/>
      <x:c r="J4" s="48"/>
      <x:c r="K4" s="48"/>
      <x:c r="L4" s="48"/>
      <x:c r="M4" s="48"/>
      <x:c r="N4" s="48"/>
      <x:c r="O4" s="48"/>
      <x:c r="P4" s="48"/>
      <x:c r="Q4" s="48"/>
      <x:c r="R4" s="48"/>
      <x:c r="S4" s="48"/>
      <x:c r="T4" s="48"/>
      <x:c r="U4" s="48"/>
      <x:c r="V4" s="48"/>
      <x:c r="W4" s="48"/>
    </x:row>
    <x:row r="5">
      <x:c r="C5" s="2"/>
      <x:c r="D5" s="2"/>
      <x:c r="E5" s="2"/>
      <x:c r="F5" s="2"/>
      <x:c r="G5" s="2"/>
      <x:c r="H5" s="2"/>
      <x:c r="I5" s="48"/>
      <x:c r="J5" s="48"/>
      <x:c r="K5" s="48"/>
      <x:c r="L5" s="48"/>
      <x:c r="M5" s="48"/>
      <x:c r="N5" s="48"/>
      <x:c r="O5" s="48"/>
      <x:c r="P5" s="48"/>
      <x:c r="Q5" s="48"/>
      <x:c r="R5" s="48"/>
      <x:c r="S5" s="48"/>
      <x:c r="T5" s="48"/>
      <x:c r="U5" s="48"/>
      <x:c r="V5" s="48"/>
      <x:c r="W5" s="48"/>
    </x:row>
    <x:row r="6">
      <x:c r="C6" s="17" t="str">
        <x:v>Gate record</x:v>
      </x:c>
      <x:c r="D6" s="18" t="str">
        <x:v>Root</x:v>
      </x:c>
      <x:c r="E6" s="18" t="str">
        <x:v>System</x:v>
      </x:c>
      <x:c r="F6" s="18" t="str">
        <x:v>Gate</x:v>
      </x:c>
      <x:c r="G6" s="18" t="str">
        <x:v>Accepted</x:v>
      </x:c>
      <x:c r="H6" s="18" t="str">
        <x:v>State</x:v>
      </x:c>
      <x:c r="I6" s="48"/>
      <x:c r="J6" s="48"/>
      <x:c r="K6" s="48"/>
      <x:c r="L6" s="48"/>
      <x:c r="M6" s="48"/>
      <x:c r="N6" s="48"/>
      <x:c r="O6" s="48"/>
      <x:c r="P6" s="48"/>
      <x:c r="Q6" s="48"/>
      <x:c r="R6" s="48"/>
      <x:c r="S6" s="48"/>
      <x:c r="T6" s="48"/>
      <x:c r="U6" s="48"/>
      <x:c r="V6" s="48"/>
      <x:c r="W6" s="48"/>
    </x:row>
    <x:row r="7">
      <x:c r="C7" s="19" t="str">
        <x:v>GT-ET-A-01</x:v>
      </x:c>
      <x:c r="D7" s="19" t="str">
        <x:v>MS-ET|A</x:v>
      </x:c>
      <x:c r="E7" s="19" t="str">
        <x:v>MS-ET</x:v>
      </x:c>
      <x:c r="F7" s="19" t="str">
        <x:v>complete routes</x:v>
      </x:c>
      <x:c r="G7" s="20" t="n">
        <x:v>0</x:v>
      </x:c>
      <x:c r="H7" s="21" t="str">
        <x:v>OPEN</x:v>
      </x:c>
      <x:c r="I7" s="48"/>
      <x:c r="J7" s="48"/>
      <x:c r="K7" s="48"/>
      <x:c r="L7" s="48"/>
      <x:c r="M7" s="48"/>
      <x:c r="N7" s="48"/>
      <x:c r="O7" s="48"/>
      <x:c r="P7" s="48"/>
      <x:c r="Q7" s="48"/>
      <x:c r="R7" s="48"/>
      <x:c r="S7" s="48"/>
      <x:c r="T7" s="48"/>
      <x:c r="U7" s="48"/>
      <x:c r="V7" s="48"/>
      <x:c r="W7" s="48"/>
    </x:row>
    <x:row r="8">
      <x:c r="C8" s="19" t="str">
        <x:v>GT-ET-A-02</x:v>
      </x:c>
      <x:c r="D8" s="19" t="str">
        <x:v>MS-ET|A</x:v>
      </x:c>
      <x:c r="E8" s="19" t="str">
        <x:v>MS-ET</x:v>
      </x:c>
      <x:c r="F8" s="19" t="str">
        <x:v>seven-stage state machine</x:v>
      </x:c>
      <x:c r="G8" s="20" t="n">
        <x:v>0</x:v>
      </x:c>
      <x:c r="H8" s="21" t="str">
        <x:v>OPEN</x:v>
      </x:c>
      <x:c r="I8" s="48"/>
      <x:c r="J8" s="48"/>
      <x:c r="K8" s="48"/>
      <x:c r="L8" s="48"/>
      <x:c r="M8" s="48"/>
      <x:c r="N8" s="48"/>
      <x:c r="O8" s="48"/>
      <x:c r="P8" s="48"/>
      <x:c r="Q8" s="48"/>
      <x:c r="R8" s="48"/>
      <x:c r="S8" s="48"/>
      <x:c r="T8" s="48"/>
      <x:c r="U8" s="48"/>
      <x:c r="V8" s="48"/>
      <x:c r="W8" s="48"/>
    </x:row>
    <x:row r="9">
      <x:c r="C9" s="19" t="str">
        <x:v>GT-ET-A-03</x:v>
      </x:c>
      <x:c r="D9" s="19" t="str">
        <x:v>MS-ET|A</x:v>
      </x:c>
      <x:c r="E9" s="19" t="str">
        <x:v>MS-ET</x:v>
      </x:c>
      <x:c r="F9" s="19" t="str">
        <x:v>four-field architecture</x:v>
      </x:c>
      <x:c r="G9" s="20" t="n">
        <x:v>0</x:v>
      </x:c>
      <x:c r="H9" s="21" t="str">
        <x:v>OPEN</x:v>
      </x:c>
      <x:c r="I9" s="48"/>
      <x:c r="J9" s="48"/>
      <x:c r="K9" s="48"/>
      <x:c r="L9" s="48"/>
      <x:c r="M9" s="48"/>
      <x:c r="N9" s="48"/>
      <x:c r="O9" s="48"/>
      <x:c r="P9" s="48"/>
      <x:c r="Q9" s="48"/>
      <x:c r="R9" s="48"/>
      <x:c r="S9" s="48"/>
      <x:c r="T9" s="48"/>
      <x:c r="U9" s="48"/>
      <x:c r="V9" s="48"/>
      <x:c r="W9" s="48"/>
    </x:row>
    <x:row r="10">
      <x:c r="C10" s="19" t="str">
        <x:v>GT-ET-A-04</x:v>
      </x:c>
      <x:c r="D10" s="19" t="str">
        <x:v>MS-ET|A</x:v>
      </x:c>
      <x:c r="E10" s="19" t="str">
        <x:v>MS-ET</x:v>
      </x:c>
      <x:c r="F10" s="19" t="str">
        <x:v>numeric service thresholds</x:v>
      </x:c>
      <x:c r="G10" s="20" t="n">
        <x:v>0</x:v>
      </x:c>
      <x:c r="H10" s="21" t="str">
        <x:v>OPEN</x:v>
      </x:c>
      <x:c r="I10" s="48"/>
      <x:c r="J10" s="48"/>
      <x:c r="K10" s="48"/>
      <x:c r="L10" s="48"/>
      <x:c r="M10" s="48"/>
      <x:c r="N10" s="48"/>
      <x:c r="O10" s="48"/>
      <x:c r="P10" s="48"/>
      <x:c r="Q10" s="48"/>
      <x:c r="R10" s="48"/>
      <x:c r="S10" s="48"/>
      <x:c r="T10" s="48"/>
      <x:c r="U10" s="48"/>
      <x:c r="V10" s="48"/>
      <x:c r="W10" s="48"/>
    </x:row>
    <x:row r="11">
      <x:c r="C11" s="19" t="str">
        <x:v>GT-ET-A-05</x:v>
      </x:c>
      <x:c r="D11" s="19" t="str">
        <x:v>MS-ET|A</x:v>
      </x:c>
      <x:c r="E11" s="19" t="str">
        <x:v>MS-ET</x:v>
      </x:c>
      <x:c r="F11" s="19" t="str">
        <x:v>closed mass, energy, flow and residual accounts</x:v>
      </x:c>
      <x:c r="G11" s="20" t="n">
        <x:v>0</x:v>
      </x:c>
      <x:c r="H11" s="21" t="str">
        <x:v>OPEN</x:v>
      </x:c>
      <x:c r="I11" s="48"/>
      <x:c r="J11" s="48"/>
      <x:c r="K11" s="48"/>
      <x:c r="L11" s="48"/>
      <x:c r="M11" s="48"/>
      <x:c r="N11" s="48"/>
      <x:c r="O11" s="48"/>
      <x:c r="P11" s="48"/>
      <x:c r="Q11" s="48"/>
      <x:c r="R11" s="48"/>
      <x:c r="S11" s="48"/>
      <x:c r="T11" s="48"/>
      <x:c r="U11" s="48"/>
      <x:c r="V11" s="48"/>
      <x:c r="W11" s="48"/>
    </x:row>
    <x:row r="12">
      <x:c r="C12" s="19" t="str">
        <x:v>GT-ET-A-06</x:v>
      </x:c>
      <x:c r="D12" s="19" t="str">
        <x:v>MS-ET|A</x:v>
      </x:c>
      <x:c r="E12" s="19" t="str">
        <x:v>MS-ET</x:v>
      </x:c>
      <x:c r="F12" s="19" t="str">
        <x:v>safety and rights</x:v>
      </x:c>
      <x:c r="G12" s="20" t="n">
        <x:v>0</x:v>
      </x:c>
      <x:c r="H12" s="21" t="str">
        <x:v>OPEN</x:v>
      </x:c>
      <x:c r="I12" s="48"/>
      <x:c r="J12" s="48"/>
      <x:c r="K12" s="48"/>
      <x:c r="L12" s="48"/>
      <x:c r="M12" s="48"/>
      <x:c r="N12" s="48"/>
      <x:c r="O12" s="48"/>
      <x:c r="P12" s="48"/>
      <x:c r="Q12" s="48"/>
      <x:c r="R12" s="48"/>
      <x:c r="S12" s="48"/>
      <x:c r="T12" s="48"/>
      <x:c r="U12" s="48"/>
      <x:c r="V12" s="48"/>
      <x:c r="W12" s="48"/>
    </x:row>
    <x:row r="13">
      <x:c r="C13" s="19" t="str">
        <x:v>GT-ET-A-07</x:v>
      </x:c>
      <x:c r="D13" s="19" t="str">
        <x:v>MS-ET|A</x:v>
      </x:c>
      <x:c r="E13" s="19" t="str">
        <x:v>MS-ET</x:v>
      </x:c>
      <x:c r="F13" s="19" t="str">
        <x:v>public interface control</x:v>
      </x:c>
      <x:c r="G13" s="20" t="n">
        <x:v>0</x:v>
      </x:c>
      <x:c r="H13" s="21" t="str">
        <x:v>OPEN</x:v>
      </x:c>
      <x:c r="I13" s="48"/>
      <x:c r="J13" s="48"/>
      <x:c r="K13" s="48"/>
      <x:c r="L13" s="48"/>
      <x:c r="M13" s="48"/>
      <x:c r="N13" s="48"/>
      <x:c r="O13" s="48"/>
      <x:c r="P13" s="48"/>
      <x:c r="Q13" s="48"/>
      <x:c r="R13" s="48"/>
      <x:c r="S13" s="48"/>
      <x:c r="T13" s="48"/>
      <x:c r="U13" s="48"/>
      <x:c r="V13" s="48"/>
      <x:c r="W13" s="48"/>
    </x:row>
    <x:row r="14">
      <x:c r="C14" s="19" t="str">
        <x:v>GT-ET-A-08</x:v>
      </x:c>
      <x:c r="D14" s="19" t="str">
        <x:v>MS-ET|A</x:v>
      </x:c>
      <x:c r="E14" s="19" t="str">
        <x:v>MS-ET</x:v>
      </x:c>
      <x:c r="F14" s="19" t="str">
        <x:v>declared decisive ancestry</x:v>
      </x:c>
      <x:c r="G14" s="20" t="n">
        <x:v>0</x:v>
      </x:c>
      <x:c r="H14" s="21" t="str">
        <x:v>OPEN</x:v>
      </x:c>
      <x:c r="I14" s="48"/>
      <x:c r="J14" s="48"/>
      <x:c r="K14" s="48"/>
      <x:c r="L14" s="48"/>
      <x:c r="M14" s="48"/>
      <x:c r="N14" s="48"/>
      <x:c r="O14" s="48"/>
      <x:c r="P14" s="48"/>
      <x:c r="Q14" s="48"/>
      <x:c r="R14" s="48"/>
      <x:c r="S14" s="48"/>
      <x:c r="T14" s="48"/>
      <x:c r="U14" s="48"/>
      <x:c r="V14" s="48"/>
      <x:c r="W14" s="48"/>
    </x:row>
    <x:row r="15">
      <x:c r="C15" s="19" t="str">
        <x:v>GT-ET-A-09</x:v>
      </x:c>
      <x:c r="D15" s="19" t="str">
        <x:v>MS-ET|A</x:v>
      </x:c>
      <x:c r="E15" s="19" t="str">
        <x:v>MS-ET</x:v>
      </x:c>
      <x:c r="F15" s="19" t="str">
        <x:v>executable build records</x:v>
      </x:c>
      <x:c r="G15" s="20" t="n">
        <x:v>0</x:v>
      </x:c>
      <x:c r="H15" s="21" t="str">
        <x:v>OPEN</x:v>
      </x:c>
      <x:c r="I15" s="48"/>
      <x:c r="J15" s="48"/>
      <x:c r="K15" s="48"/>
      <x:c r="L15" s="48"/>
      <x:c r="M15" s="48"/>
      <x:c r="N15" s="48"/>
      <x:c r="O15" s="48"/>
      <x:c r="P15" s="48"/>
      <x:c r="Q15" s="48"/>
      <x:c r="R15" s="48"/>
      <x:c r="S15" s="48"/>
      <x:c r="T15" s="48"/>
      <x:c r="U15" s="48"/>
      <x:c r="V15" s="48"/>
      <x:c r="W15" s="48"/>
    </x:row>
    <x:row r="16">
      <x:c r="C16" s="19" t="str">
        <x:v>GT-ET-A-10</x:v>
      </x:c>
      <x:c r="D16" s="19" t="str">
        <x:v>MS-ET|A</x:v>
      </x:c>
      <x:c r="E16" s="19" t="str">
        <x:v>MS-ET</x:v>
      </x:c>
      <x:c r="F16" s="19" t="str">
        <x:v>representative subsystem evidence</x:v>
      </x:c>
      <x:c r="G16" s="20" t="n">
        <x:v>0</x:v>
      </x:c>
      <x:c r="H16" s="21" t="str">
        <x:v>OPEN</x:v>
      </x:c>
      <x:c r="I16" s="48"/>
      <x:c r="J16" s="48"/>
      <x:c r="K16" s="48"/>
      <x:c r="L16" s="48"/>
      <x:c r="M16" s="48"/>
      <x:c r="N16" s="48"/>
      <x:c r="O16" s="48"/>
      <x:c r="P16" s="48"/>
      <x:c r="Q16" s="48"/>
      <x:c r="R16" s="48"/>
      <x:c r="S16" s="48"/>
      <x:c r="T16" s="48"/>
      <x:c r="U16" s="48"/>
      <x:c r="V16" s="48"/>
      <x:c r="W16" s="48"/>
    </x:row>
    <x:row r="17">
      <x:c r="C17" s="19" t="str">
        <x:v>GT-ET-A-11</x:v>
      </x:c>
      <x:c r="D17" s="19" t="str">
        <x:v>MS-ET|A</x:v>
      </x:c>
      <x:c r="E17" s="19" t="str">
        <x:v>MS-ET</x:v>
      </x:c>
      <x:c r="F17" s="19" t="str">
        <x:v>disconnected and manual control</x:v>
      </x:c>
      <x:c r="G17" s="20" t="n">
        <x:v>0</x:v>
      </x:c>
      <x:c r="H17" s="21" t="str">
        <x:v>OPEN</x:v>
      </x:c>
      <x:c r="I17" s="48"/>
      <x:c r="J17" s="48"/>
      <x:c r="K17" s="48"/>
      <x:c r="L17" s="48"/>
      <x:c r="M17" s="48"/>
      <x:c r="N17" s="48"/>
      <x:c r="O17" s="48"/>
      <x:c r="P17" s="48"/>
      <x:c r="Q17" s="48"/>
      <x:c r="R17" s="48"/>
      <x:c r="S17" s="48"/>
      <x:c r="T17" s="48"/>
      <x:c r="U17" s="48"/>
      <x:c r="V17" s="48"/>
      <x:c r="W17" s="48"/>
    </x:row>
    <x:row r="18">
      <x:c r="C18" s="19" t="str">
        <x:v>GT-ET-A-12</x:v>
      </x:c>
      <x:c r="D18" s="19" t="str">
        <x:v>MS-ET|A</x:v>
      </x:c>
      <x:c r="E18" s="19" t="str">
        <x:v>MS-ET</x:v>
      </x:c>
      <x:c r="F18" s="19" t="str">
        <x:v>root-native evidence and outside replay</x:v>
      </x:c>
      <x:c r="G18" s="20" t="n">
        <x:v>0</x:v>
      </x:c>
      <x:c r="H18" s="21" t="str">
        <x:v>OPEN</x:v>
      </x:c>
      <x:c r="I18" s="48"/>
      <x:c r="J18" s="48"/>
      <x:c r="K18" s="48"/>
      <x:c r="L18" s="48"/>
      <x:c r="M18" s="48"/>
      <x:c r="N18" s="48"/>
      <x:c r="O18" s="48"/>
      <x:c r="P18" s="48"/>
      <x:c r="Q18" s="48"/>
      <x:c r="R18" s="48"/>
      <x:c r="S18" s="48"/>
      <x:c r="T18" s="48"/>
      <x:c r="U18" s="48"/>
      <x:c r="V18" s="48"/>
      <x:c r="W18" s="48"/>
    </x:row>
    <x:row r="19">
      <x:c r="C19" s="19" t="str">
        <x:v>GT-ET-A-13</x:v>
      </x:c>
      <x:c r="D19" s="19" t="str">
        <x:v>MS-ET|A</x:v>
      </x:c>
      <x:c r="E19" s="19" t="str">
        <x:v>MS-ET</x:v>
      </x:c>
      <x:c r="F19" s="19" t="str">
        <x:v>repair, reset and second-team reproduction</x:v>
      </x:c>
      <x:c r="G19" s="20" t="n">
        <x:v>0</x:v>
      </x:c>
      <x:c r="H19" s="21" t="str">
        <x:v>OPEN</x:v>
      </x:c>
      <x:c r="I19" s="48"/>
      <x:c r="J19" s="48"/>
      <x:c r="K19" s="48"/>
      <x:c r="L19" s="48"/>
      <x:c r="M19" s="48"/>
      <x:c r="N19" s="48"/>
      <x:c r="O19" s="48"/>
      <x:c r="P19" s="48"/>
      <x:c r="Q19" s="48"/>
      <x:c r="R19" s="48"/>
      <x:c r="S19" s="48"/>
      <x:c r="T19" s="48"/>
      <x:c r="U19" s="48"/>
      <x:c r="V19" s="48"/>
      <x:c r="W19" s="48"/>
    </x:row>
    <x:row r="20">
      <x:c r="C20" s="19" t="str">
        <x:v>GT-ET-A-14</x:v>
      </x:c>
      <x:c r="D20" s="19" t="str">
        <x:v>MS-ET|A</x:v>
      </x:c>
      <x:c r="E20" s="19" t="str">
        <x:v>MS-ET</x:v>
      </x:c>
      <x:c r="F20" s="19" t="str">
        <x:v>independent release</x:v>
      </x:c>
      <x:c r="G20" s="20" t="n">
        <x:v>0</x:v>
      </x:c>
      <x:c r="H20" s="21" t="str">
        <x:v>OPEN</x:v>
      </x:c>
      <x:c r="I20" s="48"/>
      <x:c r="J20" s="48"/>
      <x:c r="K20" s="48"/>
      <x:c r="L20" s="48"/>
      <x:c r="M20" s="48"/>
      <x:c r="N20" s="48"/>
      <x:c r="O20" s="48"/>
      <x:c r="P20" s="48"/>
      <x:c r="Q20" s="48"/>
      <x:c r="R20" s="48"/>
      <x:c r="S20" s="48"/>
      <x:c r="T20" s="48"/>
      <x:c r="U20" s="48"/>
      <x:c r="V20" s="48"/>
      <x:c r="W20" s="48"/>
    </x:row>
    <x:row r="21">
      <x:c r="C21" s="19" t="str">
        <x:v>GT-ET-B-01</x:v>
      </x:c>
      <x:c r="D21" s="19" t="str">
        <x:v>MS-ET|B</x:v>
      </x:c>
      <x:c r="E21" s="19" t="str">
        <x:v>MS-ET</x:v>
      </x:c>
      <x:c r="F21" s="19" t="str">
        <x:v>complete routes</x:v>
      </x:c>
      <x:c r="G21" s="20" t="n">
        <x:v>0</x:v>
      </x:c>
      <x:c r="H21" s="21" t="str">
        <x:v>OPEN</x:v>
      </x:c>
      <x:c r="I21" s="48"/>
      <x:c r="J21" s="48"/>
      <x:c r="K21" s="48"/>
      <x:c r="L21" s="48"/>
      <x:c r="M21" s="48"/>
      <x:c r="N21" s="48"/>
      <x:c r="O21" s="48"/>
      <x:c r="P21" s="48"/>
      <x:c r="Q21" s="48"/>
      <x:c r="R21" s="48"/>
      <x:c r="S21" s="48"/>
      <x:c r="T21" s="48"/>
      <x:c r="U21" s="48"/>
      <x:c r="V21" s="48"/>
      <x:c r="W21" s="48"/>
    </x:row>
    <x:row r="22">
      <x:c r="C22" s="19" t="str">
        <x:v>GT-ET-B-02</x:v>
      </x:c>
      <x:c r="D22" s="19" t="str">
        <x:v>MS-ET|B</x:v>
      </x:c>
      <x:c r="E22" s="19" t="str">
        <x:v>MS-ET</x:v>
      </x:c>
      <x:c r="F22" s="19" t="str">
        <x:v>seven-stage state machine</x:v>
      </x:c>
      <x:c r="G22" s="20" t="n">
        <x:v>0</x:v>
      </x:c>
      <x:c r="H22" s="21" t="str">
        <x:v>OPEN</x:v>
      </x:c>
      <x:c r="I22" s="48"/>
      <x:c r="J22" s="48"/>
      <x:c r="K22" s="48"/>
      <x:c r="L22" s="48"/>
      <x:c r="M22" s="48"/>
      <x:c r="N22" s="48"/>
      <x:c r="O22" s="48"/>
      <x:c r="P22" s="48"/>
      <x:c r="Q22" s="48"/>
      <x:c r="R22" s="48"/>
      <x:c r="S22" s="48"/>
      <x:c r="T22" s="48"/>
      <x:c r="U22" s="48"/>
      <x:c r="V22" s="48"/>
      <x:c r="W22" s="48"/>
    </x:row>
    <x:row r="23">
      <x:c r="C23" s="19" t="str">
        <x:v>GT-ET-B-03</x:v>
      </x:c>
      <x:c r="D23" s="19" t="str">
        <x:v>MS-ET|B</x:v>
      </x:c>
      <x:c r="E23" s="19" t="str">
        <x:v>MS-ET</x:v>
      </x:c>
      <x:c r="F23" s="19" t="str">
        <x:v>four-field architecture</x:v>
      </x:c>
      <x:c r="G23" s="20" t="n">
        <x:v>0</x:v>
      </x:c>
      <x:c r="H23" s="21" t="str">
        <x:v>OPEN</x:v>
      </x:c>
      <x:c r="I23" s="48"/>
      <x:c r="J23" s="48"/>
      <x:c r="K23" s="48"/>
      <x:c r="L23" s="48"/>
      <x:c r="M23" s="48"/>
      <x:c r="N23" s="48"/>
      <x:c r="O23" s="48"/>
      <x:c r="P23" s="48"/>
      <x:c r="Q23" s="48"/>
      <x:c r="R23" s="48"/>
      <x:c r="S23" s="48"/>
      <x:c r="T23" s="48"/>
      <x:c r="U23" s="48"/>
      <x:c r="V23" s="48"/>
      <x:c r="W23" s="48"/>
    </x:row>
    <x:row r="24">
      <x:c r="C24" s="19" t="str">
        <x:v>GT-ET-B-04</x:v>
      </x:c>
      <x:c r="D24" s="19" t="str">
        <x:v>MS-ET|B</x:v>
      </x:c>
      <x:c r="E24" s="19" t="str">
        <x:v>MS-ET</x:v>
      </x:c>
      <x:c r="F24" s="19" t="str">
        <x:v>numeric service thresholds</x:v>
      </x:c>
      <x:c r="G24" s="20" t="n">
        <x:v>0</x:v>
      </x:c>
      <x:c r="H24" s="21" t="str">
        <x:v>OPEN</x:v>
      </x:c>
      <x:c r="I24" s="48"/>
      <x:c r="J24" s="48"/>
      <x:c r="K24" s="48"/>
      <x:c r="L24" s="48"/>
      <x:c r="M24" s="48"/>
      <x:c r="N24" s="48"/>
      <x:c r="O24" s="48"/>
      <x:c r="P24" s="48"/>
      <x:c r="Q24" s="48"/>
      <x:c r="R24" s="48"/>
      <x:c r="S24" s="48"/>
      <x:c r="T24" s="48"/>
      <x:c r="U24" s="48"/>
      <x:c r="V24" s="48"/>
      <x:c r="W24" s="48"/>
    </x:row>
    <x:row r="25">
      <x:c r="C25" s="19" t="str">
        <x:v>GT-ET-B-05</x:v>
      </x:c>
      <x:c r="D25" s="19" t="str">
        <x:v>MS-ET|B</x:v>
      </x:c>
      <x:c r="E25" s="19" t="str">
        <x:v>MS-ET</x:v>
      </x:c>
      <x:c r="F25" s="19" t="str">
        <x:v>closed mass, energy, flow and residual accounts</x:v>
      </x:c>
      <x:c r="G25" s="20" t="n">
        <x:v>0</x:v>
      </x:c>
      <x:c r="H25" s="21" t="str">
        <x:v>OPEN</x:v>
      </x:c>
      <x:c r="I25" s="48"/>
      <x:c r="J25" s="48"/>
      <x:c r="K25" s="48"/>
      <x:c r="L25" s="48"/>
      <x:c r="M25" s="48"/>
      <x:c r="N25" s="48"/>
      <x:c r="O25" s="48"/>
      <x:c r="P25" s="48"/>
      <x:c r="Q25" s="48"/>
      <x:c r="R25" s="48"/>
      <x:c r="S25" s="48"/>
      <x:c r="T25" s="48"/>
      <x:c r="U25" s="48"/>
      <x:c r="V25" s="48"/>
      <x:c r="W25" s="48"/>
    </x:row>
    <x:row r="26">
      <x:c r="C26" s="19" t="str">
        <x:v>GT-ET-B-06</x:v>
      </x:c>
      <x:c r="D26" s="19" t="str">
        <x:v>MS-ET|B</x:v>
      </x:c>
      <x:c r="E26" s="19" t="str">
        <x:v>MS-ET</x:v>
      </x:c>
      <x:c r="F26" s="19" t="str">
        <x:v>safety and rights</x:v>
      </x:c>
      <x:c r="G26" s="20" t="n">
        <x:v>0</x:v>
      </x:c>
      <x:c r="H26" s="21" t="str">
        <x:v>OPEN</x:v>
      </x:c>
      <x:c r="I26" s="48"/>
      <x:c r="J26" s="48"/>
      <x:c r="K26" s="48"/>
      <x:c r="L26" s="48"/>
      <x:c r="M26" s="48"/>
      <x:c r="N26" s="48"/>
      <x:c r="O26" s="48"/>
      <x:c r="P26" s="48"/>
      <x:c r="Q26" s="48"/>
      <x:c r="R26" s="48"/>
      <x:c r="S26" s="48"/>
      <x:c r="T26" s="48"/>
      <x:c r="U26" s="48"/>
      <x:c r="V26" s="48"/>
      <x:c r="W26" s="48"/>
    </x:row>
    <x:row r="27">
      <x:c r="C27" s="19" t="str">
        <x:v>GT-ET-B-07</x:v>
      </x:c>
      <x:c r="D27" s="19" t="str">
        <x:v>MS-ET|B</x:v>
      </x:c>
      <x:c r="E27" s="19" t="str">
        <x:v>MS-ET</x:v>
      </x:c>
      <x:c r="F27" s="19" t="str">
        <x:v>public interface control</x:v>
      </x:c>
      <x:c r="G27" s="20" t="n">
        <x:v>0</x:v>
      </x:c>
      <x:c r="H27" s="21" t="str">
        <x:v>OPEN</x:v>
      </x:c>
      <x:c r="I27" s="48"/>
      <x:c r="J27" s="48"/>
      <x:c r="K27" s="48"/>
      <x:c r="L27" s="48"/>
      <x:c r="M27" s="48"/>
      <x:c r="N27" s="48"/>
      <x:c r="O27" s="48"/>
      <x:c r="P27" s="48"/>
      <x:c r="Q27" s="48"/>
      <x:c r="R27" s="48"/>
      <x:c r="S27" s="48"/>
      <x:c r="T27" s="48"/>
      <x:c r="U27" s="48"/>
      <x:c r="V27" s="48"/>
      <x:c r="W27" s="48"/>
    </x:row>
    <x:row r="28">
      <x:c r="C28" s="19" t="str">
        <x:v>GT-ET-B-08</x:v>
      </x:c>
      <x:c r="D28" s="19" t="str">
        <x:v>MS-ET|B</x:v>
      </x:c>
      <x:c r="E28" s="19" t="str">
        <x:v>MS-ET</x:v>
      </x:c>
      <x:c r="F28" s="19" t="str">
        <x:v>declared decisive ancestry</x:v>
      </x:c>
      <x:c r="G28" s="20" t="n">
        <x:v>0</x:v>
      </x:c>
      <x:c r="H28" s="21" t="str">
        <x:v>OPEN</x:v>
      </x:c>
      <x:c r="I28" s="48"/>
      <x:c r="J28" s="48"/>
      <x:c r="K28" s="48"/>
      <x:c r="L28" s="48"/>
      <x:c r="M28" s="48"/>
      <x:c r="N28" s="48"/>
      <x:c r="O28" s="48"/>
      <x:c r="P28" s="48"/>
      <x:c r="Q28" s="48"/>
      <x:c r="R28" s="48"/>
      <x:c r="S28" s="48"/>
      <x:c r="T28" s="48"/>
      <x:c r="U28" s="48"/>
      <x:c r="V28" s="48"/>
      <x:c r="W28" s="48"/>
    </x:row>
    <x:row r="29">
      <x:c r="C29" s="19" t="str">
        <x:v>GT-ET-B-09</x:v>
      </x:c>
      <x:c r="D29" s="19" t="str">
        <x:v>MS-ET|B</x:v>
      </x:c>
      <x:c r="E29" s="19" t="str">
        <x:v>MS-ET</x:v>
      </x:c>
      <x:c r="F29" s="19" t="str">
        <x:v>executable build records</x:v>
      </x:c>
      <x:c r="G29" s="20" t="n">
        <x:v>0</x:v>
      </x:c>
      <x:c r="H29" s="21" t="str">
        <x:v>OPEN</x:v>
      </x:c>
      <x:c r="I29" s="48"/>
      <x:c r="J29" s="48"/>
      <x:c r="K29" s="48"/>
      <x:c r="L29" s="48"/>
      <x:c r="M29" s="48"/>
      <x:c r="N29" s="48"/>
      <x:c r="O29" s="48"/>
      <x:c r="P29" s="48"/>
      <x:c r="Q29" s="48"/>
      <x:c r="R29" s="48"/>
      <x:c r="S29" s="48"/>
      <x:c r="T29" s="48"/>
      <x:c r="U29" s="48"/>
      <x:c r="V29" s="48"/>
      <x:c r="W29" s="48"/>
    </x:row>
    <x:row r="30">
      <x:c r="C30" s="19" t="str">
        <x:v>GT-ET-B-10</x:v>
      </x:c>
      <x:c r="D30" s="19" t="str">
        <x:v>MS-ET|B</x:v>
      </x:c>
      <x:c r="E30" s="19" t="str">
        <x:v>MS-ET</x:v>
      </x:c>
      <x:c r="F30" s="19" t="str">
        <x:v>representative subsystem evidence</x:v>
      </x:c>
      <x:c r="G30" s="20" t="n">
        <x:v>0</x:v>
      </x:c>
      <x:c r="H30" s="21" t="str">
        <x:v>OPEN</x:v>
      </x:c>
      <x:c r="I30" s="48"/>
      <x:c r="J30" s="48"/>
      <x:c r="K30" s="48"/>
      <x:c r="L30" s="48"/>
      <x:c r="M30" s="48"/>
      <x:c r="N30" s="48"/>
      <x:c r="O30" s="48"/>
      <x:c r="P30" s="48"/>
      <x:c r="Q30" s="48"/>
      <x:c r="R30" s="48"/>
      <x:c r="S30" s="48"/>
      <x:c r="T30" s="48"/>
      <x:c r="U30" s="48"/>
      <x:c r="V30" s="48"/>
      <x:c r="W30" s="48"/>
    </x:row>
    <x:row r="31">
      <x:c r="C31" s="19" t="str">
        <x:v>GT-ET-B-11</x:v>
      </x:c>
      <x:c r="D31" s="19" t="str">
        <x:v>MS-ET|B</x:v>
      </x:c>
      <x:c r="E31" s="19" t="str">
        <x:v>MS-ET</x:v>
      </x:c>
      <x:c r="F31" s="19" t="str">
        <x:v>disconnected and manual control</x:v>
      </x:c>
      <x:c r="G31" s="20" t="n">
        <x:v>0</x:v>
      </x:c>
      <x:c r="H31" s="21" t="str">
        <x:v>OPEN</x:v>
      </x:c>
      <x:c r="I31" s="48"/>
      <x:c r="J31" s="48"/>
      <x:c r="K31" s="48"/>
      <x:c r="L31" s="48"/>
      <x:c r="M31" s="48"/>
      <x:c r="N31" s="48"/>
      <x:c r="O31" s="48"/>
      <x:c r="P31" s="48"/>
      <x:c r="Q31" s="48"/>
      <x:c r="R31" s="48"/>
      <x:c r="S31" s="48"/>
      <x:c r="T31" s="48"/>
      <x:c r="U31" s="48"/>
      <x:c r="V31" s="48"/>
      <x:c r="W31" s="48"/>
    </x:row>
    <x:row r="32">
      <x:c r="C32" s="19" t="str">
        <x:v>GT-ET-B-12</x:v>
      </x:c>
      <x:c r="D32" s="19" t="str">
        <x:v>MS-ET|B</x:v>
      </x:c>
      <x:c r="E32" s="19" t="str">
        <x:v>MS-ET</x:v>
      </x:c>
      <x:c r="F32" s="19" t="str">
        <x:v>root-native evidence and outside replay</x:v>
      </x:c>
      <x:c r="G32" s="20" t="n">
        <x:v>0</x:v>
      </x:c>
      <x:c r="H32" s="21" t="str">
        <x:v>OPEN</x:v>
      </x:c>
      <x:c r="I32" s="48"/>
      <x:c r="J32" s="48"/>
      <x:c r="K32" s="48"/>
      <x:c r="L32" s="48"/>
      <x:c r="M32" s="48"/>
      <x:c r="N32" s="48"/>
      <x:c r="O32" s="48"/>
      <x:c r="P32" s="48"/>
      <x:c r="Q32" s="48"/>
      <x:c r="R32" s="48"/>
      <x:c r="S32" s="48"/>
      <x:c r="T32" s="48"/>
      <x:c r="U32" s="48"/>
      <x:c r="V32" s="48"/>
      <x:c r="W32" s="48"/>
    </x:row>
    <x:row r="33">
      <x:c r="C33" s="19" t="str">
        <x:v>GT-ET-B-13</x:v>
      </x:c>
      <x:c r="D33" s="19" t="str">
        <x:v>MS-ET|B</x:v>
      </x:c>
      <x:c r="E33" s="19" t="str">
        <x:v>MS-ET</x:v>
      </x:c>
      <x:c r="F33" s="19" t="str">
        <x:v>repair, reset and second-team reproduction</x:v>
      </x:c>
      <x:c r="G33" s="20" t="n">
        <x:v>0</x:v>
      </x:c>
      <x:c r="H33" s="21" t="str">
        <x:v>OPEN</x:v>
      </x:c>
      <x:c r="I33" s="48"/>
      <x:c r="J33" s="48"/>
      <x:c r="K33" s="48"/>
      <x:c r="L33" s="48"/>
      <x:c r="M33" s="48"/>
      <x:c r="N33" s="48"/>
      <x:c r="O33" s="48"/>
      <x:c r="P33" s="48"/>
      <x:c r="Q33" s="48"/>
      <x:c r="R33" s="48"/>
      <x:c r="S33" s="48"/>
      <x:c r="T33" s="48"/>
      <x:c r="U33" s="48"/>
      <x:c r="V33" s="48"/>
      <x:c r="W33" s="48"/>
    </x:row>
    <x:row r="34">
      <x:c r="C34" s="19" t="str">
        <x:v>GT-ET-B-14</x:v>
      </x:c>
      <x:c r="D34" s="19" t="str">
        <x:v>MS-ET|B</x:v>
      </x:c>
      <x:c r="E34" s="19" t="str">
        <x:v>MS-ET</x:v>
      </x:c>
      <x:c r="F34" s="19" t="str">
        <x:v>independent release</x:v>
      </x:c>
      <x:c r="G34" s="20" t="n">
        <x:v>0</x:v>
      </x:c>
      <x:c r="H34" s="21" t="str">
        <x:v>OPEN</x:v>
      </x:c>
      <x:c r="I34" s="48"/>
      <x:c r="J34" s="48"/>
      <x:c r="K34" s="48"/>
      <x:c r="L34" s="48"/>
      <x:c r="M34" s="48"/>
      <x:c r="N34" s="48"/>
      <x:c r="O34" s="48"/>
      <x:c r="P34" s="48"/>
      <x:c r="Q34" s="48"/>
      <x:c r="R34" s="48"/>
      <x:c r="S34" s="48"/>
      <x:c r="T34" s="48"/>
      <x:c r="U34" s="48"/>
      <x:c r="V34" s="48"/>
      <x:c r="W34" s="48"/>
    </x:row>
    <x:row r="35">
      <x:c r="C35" s="19" t="str">
        <x:v>GT-ET-C-01</x:v>
      </x:c>
      <x:c r="D35" s="19" t="str">
        <x:v>MS-ET|C</x:v>
      </x:c>
      <x:c r="E35" s="19" t="str">
        <x:v>MS-ET</x:v>
      </x:c>
      <x:c r="F35" s="19" t="str">
        <x:v>complete routes</x:v>
      </x:c>
      <x:c r="G35" s="20" t="n">
        <x:v>0</x:v>
      </x:c>
      <x:c r="H35" s="21" t="str">
        <x:v>OPEN</x:v>
      </x:c>
      <x:c r="I35" s="48"/>
      <x:c r="J35" s="48"/>
      <x:c r="K35" s="48"/>
      <x:c r="L35" s="48"/>
      <x:c r="M35" s="48"/>
      <x:c r="N35" s="48"/>
      <x:c r="O35" s="48"/>
      <x:c r="P35" s="48"/>
      <x:c r="Q35" s="48"/>
      <x:c r="R35" s="48"/>
      <x:c r="S35" s="48"/>
      <x:c r="T35" s="48"/>
      <x:c r="U35" s="48"/>
      <x:c r="V35" s="48"/>
      <x:c r="W35" s="48"/>
    </x:row>
    <x:row r="36">
      <x:c r="C36" s="19" t="str">
        <x:v>GT-ET-C-02</x:v>
      </x:c>
      <x:c r="D36" s="19" t="str">
        <x:v>MS-ET|C</x:v>
      </x:c>
      <x:c r="E36" s="19" t="str">
        <x:v>MS-ET</x:v>
      </x:c>
      <x:c r="F36" s="19" t="str">
        <x:v>seven-stage state machine</x:v>
      </x:c>
      <x:c r="G36" s="20" t="n">
        <x:v>0</x:v>
      </x:c>
      <x:c r="H36" s="21" t="str">
        <x:v>OPEN</x:v>
      </x:c>
      <x:c r="I36" s="48"/>
      <x:c r="J36" s="48"/>
      <x:c r="K36" s="48"/>
      <x:c r="L36" s="48"/>
      <x:c r="M36" s="48"/>
      <x:c r="N36" s="48"/>
      <x:c r="O36" s="48"/>
      <x:c r="P36" s="48"/>
      <x:c r="Q36" s="48"/>
      <x:c r="R36" s="48"/>
      <x:c r="S36" s="48"/>
      <x:c r="T36" s="48"/>
      <x:c r="U36" s="48"/>
      <x:c r="V36" s="48"/>
      <x:c r="W36" s="48"/>
    </x:row>
    <x:row r="37">
      <x:c r="C37" s="19" t="str">
        <x:v>GT-ET-C-03</x:v>
      </x:c>
      <x:c r="D37" s="19" t="str">
        <x:v>MS-ET|C</x:v>
      </x:c>
      <x:c r="E37" s="19" t="str">
        <x:v>MS-ET</x:v>
      </x:c>
      <x:c r="F37" s="19" t="str">
        <x:v>four-field architecture</x:v>
      </x:c>
      <x:c r="G37" s="20" t="n">
        <x:v>0</x:v>
      </x:c>
      <x:c r="H37" s="21" t="str">
        <x:v>OPEN</x:v>
      </x:c>
      <x:c r="I37" s="48"/>
      <x:c r="J37" s="48"/>
      <x:c r="K37" s="48"/>
      <x:c r="L37" s="48"/>
      <x:c r="M37" s="48"/>
      <x:c r="N37" s="48"/>
      <x:c r="O37" s="48"/>
      <x:c r="P37" s="48"/>
      <x:c r="Q37" s="48"/>
      <x:c r="R37" s="48"/>
      <x:c r="S37" s="48"/>
      <x:c r="T37" s="48"/>
      <x:c r="U37" s="48"/>
      <x:c r="V37" s="48"/>
      <x:c r="W37" s="48"/>
    </x:row>
    <x:row r="38">
      <x:c r="C38" s="19" t="str">
        <x:v>GT-ET-C-04</x:v>
      </x:c>
      <x:c r="D38" s="19" t="str">
        <x:v>MS-ET|C</x:v>
      </x:c>
      <x:c r="E38" s="19" t="str">
        <x:v>MS-ET</x:v>
      </x:c>
      <x:c r="F38" s="19" t="str">
        <x:v>numeric service thresholds</x:v>
      </x:c>
      <x:c r="G38" s="20" t="n">
        <x:v>0</x:v>
      </x:c>
      <x:c r="H38" s="21" t="str">
        <x:v>OPEN</x:v>
      </x:c>
      <x:c r="I38" s="48"/>
      <x:c r="J38" s="48"/>
      <x:c r="K38" s="48"/>
      <x:c r="L38" s="48"/>
      <x:c r="M38" s="48"/>
      <x:c r="N38" s="48"/>
      <x:c r="O38" s="48"/>
      <x:c r="P38" s="48"/>
      <x:c r="Q38" s="48"/>
      <x:c r="R38" s="48"/>
      <x:c r="S38" s="48"/>
      <x:c r="T38" s="48"/>
      <x:c r="U38" s="48"/>
      <x:c r="V38" s="48"/>
      <x:c r="W38" s="48"/>
    </x:row>
    <x:row r="39">
      <x:c r="C39" s="19" t="str">
        <x:v>GT-ET-C-05</x:v>
      </x:c>
      <x:c r="D39" s="19" t="str">
        <x:v>MS-ET|C</x:v>
      </x:c>
      <x:c r="E39" s="19" t="str">
        <x:v>MS-ET</x:v>
      </x:c>
      <x:c r="F39" s="19" t="str">
        <x:v>closed mass, energy, flow and residual accounts</x:v>
      </x:c>
      <x:c r="G39" s="20" t="n">
        <x:v>0</x:v>
      </x:c>
      <x:c r="H39" s="21" t="str">
        <x:v>OPEN</x:v>
      </x:c>
      <x:c r="I39" s="48"/>
      <x:c r="J39" s="48"/>
      <x:c r="K39" s="48"/>
      <x:c r="L39" s="48"/>
      <x:c r="M39" s="48"/>
      <x:c r="N39" s="48"/>
      <x:c r="O39" s="48"/>
      <x:c r="P39" s="48"/>
      <x:c r="Q39" s="48"/>
      <x:c r="R39" s="48"/>
      <x:c r="S39" s="48"/>
      <x:c r="T39" s="48"/>
      <x:c r="U39" s="48"/>
      <x:c r="V39" s="48"/>
      <x:c r="W39" s="48"/>
    </x:row>
    <x:row r="40">
      <x:c r="C40" s="19" t="str">
        <x:v>GT-ET-C-06</x:v>
      </x:c>
      <x:c r="D40" s="19" t="str">
        <x:v>MS-ET|C</x:v>
      </x:c>
      <x:c r="E40" s="19" t="str">
        <x:v>MS-ET</x:v>
      </x:c>
      <x:c r="F40" s="19" t="str">
        <x:v>safety and rights</x:v>
      </x:c>
      <x:c r="G40" s="20" t="n">
        <x:v>0</x:v>
      </x:c>
      <x:c r="H40" s="21" t="str">
        <x:v>OPEN</x:v>
      </x:c>
      <x:c r="I40" s="48"/>
      <x:c r="J40" s="48"/>
      <x:c r="K40" s="48"/>
      <x:c r="L40" s="48"/>
      <x:c r="M40" s="48"/>
      <x:c r="N40" s="48"/>
      <x:c r="O40" s="48"/>
      <x:c r="P40" s="48"/>
      <x:c r="Q40" s="48"/>
      <x:c r="R40" s="48"/>
      <x:c r="S40" s="48"/>
      <x:c r="T40" s="48"/>
      <x:c r="U40" s="48"/>
      <x:c r="V40" s="48"/>
      <x:c r="W40" s="48"/>
    </x:row>
    <x:row r="41">
      <x:c r="C41" s="19" t="str">
        <x:v>GT-ET-C-07</x:v>
      </x:c>
      <x:c r="D41" s="19" t="str">
        <x:v>MS-ET|C</x:v>
      </x:c>
      <x:c r="E41" s="19" t="str">
        <x:v>MS-ET</x:v>
      </x:c>
      <x:c r="F41" s="19" t="str">
        <x:v>public interface control</x:v>
      </x:c>
      <x:c r="G41" s="20" t="n">
        <x:v>0</x:v>
      </x:c>
      <x:c r="H41" s="21" t="str">
        <x:v>OPEN</x:v>
      </x:c>
      <x:c r="I41" s="48"/>
      <x:c r="J41" s="48"/>
      <x:c r="K41" s="48"/>
      <x:c r="L41" s="48"/>
      <x:c r="M41" s="48"/>
      <x:c r="N41" s="48"/>
      <x:c r="O41" s="48"/>
      <x:c r="P41" s="48"/>
      <x:c r="Q41" s="48"/>
      <x:c r="R41" s="48"/>
      <x:c r="S41" s="48"/>
      <x:c r="T41" s="48"/>
      <x:c r="U41" s="48"/>
      <x:c r="V41" s="48"/>
      <x:c r="W41" s="48"/>
    </x:row>
    <x:row r="42">
      <x:c r="C42" s="19" t="str">
        <x:v>GT-ET-C-08</x:v>
      </x:c>
      <x:c r="D42" s="19" t="str">
        <x:v>MS-ET|C</x:v>
      </x:c>
      <x:c r="E42" s="19" t="str">
        <x:v>MS-ET</x:v>
      </x:c>
      <x:c r="F42" s="19" t="str">
        <x:v>declared decisive ancestry</x:v>
      </x:c>
      <x:c r="G42" s="20" t="n">
        <x:v>0</x:v>
      </x:c>
      <x:c r="H42" s="21" t="str">
        <x:v>OPEN</x:v>
      </x:c>
      <x:c r="I42" s="48"/>
      <x:c r="J42" s="48"/>
      <x:c r="K42" s="48"/>
      <x:c r="L42" s="48"/>
      <x:c r="M42" s="48"/>
      <x:c r="N42" s="48"/>
      <x:c r="O42" s="48"/>
      <x:c r="P42" s="48"/>
      <x:c r="Q42" s="48"/>
      <x:c r="R42" s="48"/>
      <x:c r="S42" s="48"/>
      <x:c r="T42" s="48"/>
      <x:c r="U42" s="48"/>
      <x:c r="V42" s="48"/>
      <x:c r="W42" s="48"/>
    </x:row>
    <x:row r="43">
      <x:c r="C43" s="19" t="str">
        <x:v>GT-ET-C-09</x:v>
      </x:c>
      <x:c r="D43" s="19" t="str">
        <x:v>MS-ET|C</x:v>
      </x:c>
      <x:c r="E43" s="19" t="str">
        <x:v>MS-ET</x:v>
      </x:c>
      <x:c r="F43" s="19" t="str">
        <x:v>executable build records</x:v>
      </x:c>
      <x:c r="G43" s="20" t="n">
        <x:v>0</x:v>
      </x:c>
      <x:c r="H43" s="21" t="str">
        <x:v>OPEN</x:v>
      </x:c>
      <x:c r="I43" s="48"/>
      <x:c r="J43" s="48"/>
      <x:c r="K43" s="48"/>
      <x:c r="L43" s="48"/>
      <x:c r="M43" s="48"/>
      <x:c r="N43" s="48"/>
      <x:c r="O43" s="48"/>
      <x:c r="P43" s="48"/>
      <x:c r="Q43" s="48"/>
      <x:c r="R43" s="48"/>
      <x:c r="S43" s="48"/>
      <x:c r="T43" s="48"/>
      <x:c r="U43" s="48"/>
      <x:c r="V43" s="48"/>
      <x:c r="W43" s="48"/>
    </x:row>
    <x:row r="44">
      <x:c r="C44" s="19" t="str">
        <x:v>GT-ET-C-10</x:v>
      </x:c>
      <x:c r="D44" s="19" t="str">
        <x:v>MS-ET|C</x:v>
      </x:c>
      <x:c r="E44" s="19" t="str">
        <x:v>MS-ET</x:v>
      </x:c>
      <x:c r="F44" s="19" t="str">
        <x:v>representative subsystem evidence</x:v>
      </x:c>
      <x:c r="G44" s="20" t="n">
        <x:v>0</x:v>
      </x:c>
      <x:c r="H44" s="21" t="str">
        <x:v>OPEN</x:v>
      </x:c>
      <x:c r="I44" s="48"/>
      <x:c r="J44" s="48"/>
      <x:c r="K44" s="48"/>
      <x:c r="L44" s="48"/>
      <x:c r="M44" s="48"/>
      <x:c r="N44" s="48"/>
      <x:c r="O44" s="48"/>
      <x:c r="P44" s="48"/>
      <x:c r="Q44" s="48"/>
      <x:c r="R44" s="48"/>
      <x:c r="S44" s="48"/>
      <x:c r="T44" s="48"/>
      <x:c r="U44" s="48"/>
      <x:c r="V44" s="48"/>
      <x:c r="W44" s="48"/>
    </x:row>
    <x:row r="45">
      <x:c r="C45" s="19" t="str">
        <x:v>GT-ET-C-11</x:v>
      </x:c>
      <x:c r="D45" s="19" t="str">
        <x:v>MS-ET|C</x:v>
      </x:c>
      <x:c r="E45" s="19" t="str">
        <x:v>MS-ET</x:v>
      </x:c>
      <x:c r="F45" s="19" t="str">
        <x:v>disconnected and manual control</x:v>
      </x:c>
      <x:c r="G45" s="20" t="n">
        <x:v>0</x:v>
      </x:c>
      <x:c r="H45" s="21" t="str">
        <x:v>OPEN</x:v>
      </x:c>
      <x:c r="I45" s="48"/>
      <x:c r="J45" s="48"/>
      <x:c r="K45" s="48"/>
      <x:c r="L45" s="48"/>
      <x:c r="M45" s="48"/>
      <x:c r="N45" s="48"/>
      <x:c r="O45" s="48"/>
      <x:c r="P45" s="48"/>
      <x:c r="Q45" s="48"/>
      <x:c r="R45" s="48"/>
      <x:c r="S45" s="48"/>
      <x:c r="T45" s="48"/>
      <x:c r="U45" s="48"/>
      <x:c r="V45" s="48"/>
      <x:c r="W45" s="48"/>
    </x:row>
    <x:row r="46">
      <x:c r="C46" s="19" t="str">
        <x:v>GT-ET-C-12</x:v>
      </x:c>
      <x:c r="D46" s="19" t="str">
        <x:v>MS-ET|C</x:v>
      </x:c>
      <x:c r="E46" s="19" t="str">
        <x:v>MS-ET</x:v>
      </x:c>
      <x:c r="F46" s="19" t="str">
        <x:v>root-native evidence and outside replay</x:v>
      </x:c>
      <x:c r="G46" s="20" t="n">
        <x:v>0</x:v>
      </x:c>
      <x:c r="H46" s="21" t="str">
        <x:v>OPEN</x:v>
      </x:c>
      <x:c r="I46" s="48"/>
      <x:c r="J46" s="48"/>
      <x:c r="K46" s="48"/>
      <x:c r="L46" s="48"/>
      <x:c r="M46" s="48"/>
      <x:c r="N46" s="48"/>
      <x:c r="O46" s="48"/>
      <x:c r="P46" s="48"/>
      <x:c r="Q46" s="48"/>
      <x:c r="R46" s="48"/>
      <x:c r="S46" s="48"/>
      <x:c r="T46" s="48"/>
      <x:c r="U46" s="48"/>
      <x:c r="V46" s="48"/>
      <x:c r="W46" s="48"/>
    </x:row>
    <x:row r="47">
      <x:c r="C47" s="19" t="str">
        <x:v>GT-ET-C-13</x:v>
      </x:c>
      <x:c r="D47" s="19" t="str">
        <x:v>MS-ET|C</x:v>
      </x:c>
      <x:c r="E47" s="19" t="str">
        <x:v>MS-ET</x:v>
      </x:c>
      <x:c r="F47" s="19" t="str">
        <x:v>repair, reset and second-team reproduction</x:v>
      </x:c>
      <x:c r="G47" s="20" t="n">
        <x:v>0</x:v>
      </x:c>
      <x:c r="H47" s="21" t="str">
        <x:v>OPEN</x:v>
      </x:c>
      <x:c r="I47" s="48"/>
      <x:c r="J47" s="48"/>
      <x:c r="K47" s="48"/>
      <x:c r="L47" s="48"/>
      <x:c r="M47" s="48"/>
      <x:c r="N47" s="48"/>
      <x:c r="O47" s="48"/>
      <x:c r="P47" s="48"/>
      <x:c r="Q47" s="48"/>
      <x:c r="R47" s="48"/>
      <x:c r="S47" s="48"/>
      <x:c r="T47" s="48"/>
      <x:c r="U47" s="48"/>
      <x:c r="V47" s="48"/>
      <x:c r="W47" s="48"/>
    </x:row>
    <x:row r="48">
      <x:c r="C48" s="19" t="str">
        <x:v>GT-ET-C-14</x:v>
      </x:c>
      <x:c r="D48" s="19" t="str">
        <x:v>MS-ET|C</x:v>
      </x:c>
      <x:c r="E48" s="19" t="str">
        <x:v>MS-ET</x:v>
      </x:c>
      <x:c r="F48" s="19" t="str">
        <x:v>independent release</x:v>
      </x:c>
      <x:c r="G48" s="20" t="n">
        <x:v>0</x:v>
      </x:c>
      <x:c r="H48" s="21" t="str">
        <x:v>OPEN</x:v>
      </x:c>
      <x:c r="I48" s="48"/>
      <x:c r="J48" s="48"/>
      <x:c r="K48" s="48"/>
      <x:c r="L48" s="48"/>
      <x:c r="M48" s="48"/>
      <x:c r="N48" s="48"/>
      <x:c r="O48" s="48"/>
      <x:c r="P48" s="48"/>
      <x:c r="Q48" s="48"/>
      <x:c r="R48" s="48"/>
      <x:c r="S48" s="48"/>
      <x:c r="T48" s="48"/>
      <x:c r="U48" s="48"/>
      <x:c r="V48" s="48"/>
      <x:c r="W48" s="48"/>
    </x:row>
    <x:row r="49">
      <x:c r="C49" s="19" t="str">
        <x:v>GT-ET-D-01</x:v>
      </x:c>
      <x:c r="D49" s="19" t="str">
        <x:v>MS-ET|D</x:v>
      </x:c>
      <x:c r="E49" s="19" t="str">
        <x:v>MS-ET</x:v>
      </x:c>
      <x:c r="F49" s="19" t="str">
        <x:v>complete routes</x:v>
      </x:c>
      <x:c r="G49" s="20" t="n">
        <x:v>0</x:v>
      </x:c>
      <x:c r="H49" s="21" t="str">
        <x:v>OPEN</x:v>
      </x:c>
      <x:c r="I49" s="48"/>
      <x:c r="J49" s="48"/>
      <x:c r="K49" s="48"/>
      <x:c r="L49" s="48"/>
      <x:c r="M49" s="48"/>
      <x:c r="N49" s="48"/>
      <x:c r="O49" s="48"/>
      <x:c r="P49" s="48"/>
      <x:c r="Q49" s="48"/>
      <x:c r="R49" s="48"/>
      <x:c r="S49" s="48"/>
      <x:c r="T49" s="48"/>
      <x:c r="U49" s="48"/>
      <x:c r="V49" s="48"/>
      <x:c r="W49" s="48"/>
    </x:row>
    <x:row r="50">
      <x:c r="C50" s="19" t="str">
        <x:v>GT-ET-D-02</x:v>
      </x:c>
      <x:c r="D50" s="19" t="str">
        <x:v>MS-ET|D</x:v>
      </x:c>
      <x:c r="E50" s="19" t="str">
        <x:v>MS-ET</x:v>
      </x:c>
      <x:c r="F50" s="19" t="str">
        <x:v>seven-stage state machine</x:v>
      </x:c>
      <x:c r="G50" s="20" t="n">
        <x:v>0</x:v>
      </x:c>
      <x:c r="H50" s="21" t="str">
        <x:v>OPEN</x:v>
      </x:c>
      <x:c r="I50" s="48"/>
      <x:c r="J50" s="48"/>
      <x:c r="K50" s="48"/>
      <x:c r="L50" s="48"/>
      <x:c r="M50" s="48"/>
      <x:c r="N50" s="48"/>
      <x:c r="O50" s="48"/>
      <x:c r="P50" s="48"/>
      <x:c r="Q50" s="48"/>
      <x:c r="R50" s="48"/>
      <x:c r="S50" s="48"/>
      <x:c r="T50" s="48"/>
      <x:c r="U50" s="48"/>
      <x:c r="V50" s="48"/>
      <x:c r="W50" s="48"/>
    </x:row>
    <x:row r="51">
      <x:c r="C51" s="19" t="str">
        <x:v>GT-ET-D-03</x:v>
      </x:c>
      <x:c r="D51" s="19" t="str">
        <x:v>MS-ET|D</x:v>
      </x:c>
      <x:c r="E51" s="19" t="str">
        <x:v>MS-ET</x:v>
      </x:c>
      <x:c r="F51" s="19" t="str">
        <x:v>four-field architecture</x:v>
      </x:c>
      <x:c r="G51" s="20" t="n">
        <x:v>0</x:v>
      </x:c>
      <x:c r="H51" s="21" t="str">
        <x:v>OPEN</x:v>
      </x:c>
      <x:c r="I51" s="48"/>
      <x:c r="J51" s="48"/>
      <x:c r="K51" s="48"/>
      <x:c r="L51" s="48"/>
      <x:c r="M51" s="48"/>
      <x:c r="N51" s="48"/>
      <x:c r="O51" s="48"/>
      <x:c r="P51" s="48"/>
      <x:c r="Q51" s="48"/>
      <x:c r="R51" s="48"/>
      <x:c r="S51" s="48"/>
      <x:c r="T51" s="48"/>
      <x:c r="U51" s="48"/>
      <x:c r="V51" s="48"/>
      <x:c r="W51" s="48"/>
    </x:row>
    <x:row r="52">
      <x:c r="C52" s="19" t="str">
        <x:v>GT-ET-D-04</x:v>
      </x:c>
      <x:c r="D52" s="19" t="str">
        <x:v>MS-ET|D</x:v>
      </x:c>
      <x:c r="E52" s="19" t="str">
        <x:v>MS-ET</x:v>
      </x:c>
      <x:c r="F52" s="19" t="str">
        <x:v>numeric service thresholds</x:v>
      </x:c>
      <x:c r="G52" s="20" t="n">
        <x:v>0</x:v>
      </x:c>
      <x:c r="H52" s="21" t="str">
        <x:v>OPEN</x:v>
      </x:c>
      <x:c r="I52" s="48"/>
      <x:c r="J52" s="48"/>
      <x:c r="K52" s="48"/>
      <x:c r="L52" s="48"/>
      <x:c r="M52" s="48"/>
      <x:c r="N52" s="48"/>
      <x:c r="O52" s="48"/>
      <x:c r="P52" s="48"/>
      <x:c r="Q52" s="48"/>
      <x:c r="R52" s="48"/>
      <x:c r="S52" s="48"/>
      <x:c r="T52" s="48"/>
      <x:c r="U52" s="48"/>
      <x:c r="V52" s="48"/>
      <x:c r="W52" s="48"/>
    </x:row>
    <x:row r="53">
      <x:c r="C53" s="19" t="str">
        <x:v>GT-ET-D-05</x:v>
      </x:c>
      <x:c r="D53" s="19" t="str">
        <x:v>MS-ET|D</x:v>
      </x:c>
      <x:c r="E53" s="19" t="str">
        <x:v>MS-ET</x:v>
      </x:c>
      <x:c r="F53" s="19" t="str">
        <x:v>closed mass, energy, flow and residual accounts</x:v>
      </x:c>
      <x:c r="G53" s="20" t="n">
        <x:v>0</x:v>
      </x:c>
      <x:c r="H53" s="21" t="str">
        <x:v>OPEN</x:v>
      </x:c>
      <x:c r="I53" s="48"/>
      <x:c r="J53" s="48"/>
      <x:c r="K53" s="48"/>
      <x:c r="L53" s="48"/>
      <x:c r="M53" s="48"/>
      <x:c r="N53" s="48"/>
      <x:c r="O53" s="48"/>
      <x:c r="P53" s="48"/>
      <x:c r="Q53" s="48"/>
      <x:c r="R53" s="48"/>
      <x:c r="S53" s="48"/>
      <x:c r="T53" s="48"/>
      <x:c r="U53" s="48"/>
      <x:c r="V53" s="48"/>
      <x:c r="W53" s="48"/>
    </x:row>
    <x:row r="54">
      <x:c r="C54" s="19" t="str">
        <x:v>GT-ET-D-06</x:v>
      </x:c>
      <x:c r="D54" s="19" t="str">
        <x:v>MS-ET|D</x:v>
      </x:c>
      <x:c r="E54" s="19" t="str">
        <x:v>MS-ET</x:v>
      </x:c>
      <x:c r="F54" s="19" t="str">
        <x:v>safety and rights</x:v>
      </x:c>
      <x:c r="G54" s="20" t="n">
        <x:v>0</x:v>
      </x:c>
      <x:c r="H54" s="21" t="str">
        <x:v>OPEN</x:v>
      </x:c>
      <x:c r="I54" s="48"/>
      <x:c r="J54" s="48"/>
      <x:c r="K54" s="48"/>
      <x:c r="L54" s="48"/>
      <x:c r="M54" s="48"/>
      <x:c r="N54" s="48"/>
      <x:c r="O54" s="48"/>
      <x:c r="P54" s="48"/>
      <x:c r="Q54" s="48"/>
      <x:c r="R54" s="48"/>
      <x:c r="S54" s="48"/>
      <x:c r="T54" s="48"/>
      <x:c r="U54" s="48"/>
      <x:c r="V54" s="48"/>
      <x:c r="W54" s="48"/>
    </x:row>
    <x:row r="55">
      <x:c r="C55" s="19" t="str">
        <x:v>GT-ET-D-07</x:v>
      </x:c>
      <x:c r="D55" s="19" t="str">
        <x:v>MS-ET|D</x:v>
      </x:c>
      <x:c r="E55" s="19" t="str">
        <x:v>MS-ET</x:v>
      </x:c>
      <x:c r="F55" s="19" t="str">
        <x:v>public interface control</x:v>
      </x:c>
      <x:c r="G55" s="20" t="n">
        <x:v>0</x:v>
      </x:c>
      <x:c r="H55" s="21" t="str">
        <x:v>OPEN</x:v>
      </x:c>
      <x:c r="I55" s="48"/>
      <x:c r="J55" s="48"/>
      <x:c r="K55" s="48"/>
      <x:c r="L55" s="48"/>
      <x:c r="M55" s="48"/>
      <x:c r="N55" s="48"/>
      <x:c r="O55" s="48"/>
      <x:c r="P55" s="48"/>
      <x:c r="Q55" s="48"/>
      <x:c r="R55" s="48"/>
      <x:c r="S55" s="48"/>
      <x:c r="T55" s="48"/>
      <x:c r="U55" s="48"/>
      <x:c r="V55" s="48"/>
      <x:c r="W55" s="48"/>
    </x:row>
    <x:row r="56">
      <x:c r="C56" s="19" t="str">
        <x:v>GT-ET-D-08</x:v>
      </x:c>
      <x:c r="D56" s="19" t="str">
        <x:v>MS-ET|D</x:v>
      </x:c>
      <x:c r="E56" s="19" t="str">
        <x:v>MS-ET</x:v>
      </x:c>
      <x:c r="F56" s="19" t="str">
        <x:v>declared decisive ancestry</x:v>
      </x:c>
      <x:c r="G56" s="20" t="n">
        <x:v>0</x:v>
      </x:c>
      <x:c r="H56" s="21" t="str">
        <x:v>OPEN</x:v>
      </x:c>
      <x:c r="I56" s="48"/>
      <x:c r="J56" s="48"/>
      <x:c r="K56" s="48"/>
      <x:c r="L56" s="48"/>
      <x:c r="M56" s="48"/>
      <x:c r="N56" s="48"/>
      <x:c r="O56" s="48"/>
      <x:c r="P56" s="48"/>
      <x:c r="Q56" s="48"/>
      <x:c r="R56" s="48"/>
      <x:c r="S56" s="48"/>
      <x:c r="T56" s="48"/>
      <x:c r="U56" s="48"/>
      <x:c r="V56" s="48"/>
      <x:c r="W56" s="48"/>
    </x:row>
    <x:row r="57">
      <x:c r="C57" s="19" t="str">
        <x:v>GT-ET-D-09</x:v>
      </x:c>
      <x:c r="D57" s="19" t="str">
        <x:v>MS-ET|D</x:v>
      </x:c>
      <x:c r="E57" s="19" t="str">
        <x:v>MS-ET</x:v>
      </x:c>
      <x:c r="F57" s="19" t="str">
        <x:v>executable build records</x:v>
      </x:c>
      <x:c r="G57" s="20" t="n">
        <x:v>0</x:v>
      </x:c>
      <x:c r="H57" s="21" t="str">
        <x:v>OPEN</x:v>
      </x:c>
      <x:c r="I57" s="48"/>
      <x:c r="J57" s="48"/>
      <x:c r="K57" s="48"/>
      <x:c r="L57" s="48"/>
      <x:c r="M57" s="48"/>
      <x:c r="N57" s="48"/>
      <x:c r="O57" s="48"/>
      <x:c r="P57" s="48"/>
      <x:c r="Q57" s="48"/>
      <x:c r="R57" s="48"/>
      <x:c r="S57" s="48"/>
      <x:c r="T57" s="48"/>
      <x:c r="U57" s="48"/>
      <x:c r="V57" s="48"/>
      <x:c r="W57" s="48"/>
    </x:row>
    <x:row r="58">
      <x:c r="C58" s="19" t="str">
        <x:v>GT-ET-D-10</x:v>
      </x:c>
      <x:c r="D58" s="19" t="str">
        <x:v>MS-ET|D</x:v>
      </x:c>
      <x:c r="E58" s="19" t="str">
        <x:v>MS-ET</x:v>
      </x:c>
      <x:c r="F58" s="19" t="str">
        <x:v>representative subsystem evidence</x:v>
      </x:c>
      <x:c r="G58" s="20" t="n">
        <x:v>0</x:v>
      </x:c>
      <x:c r="H58" s="21" t="str">
        <x:v>OPEN</x:v>
      </x:c>
      <x:c r="I58" s="48"/>
      <x:c r="J58" s="48"/>
      <x:c r="K58" s="48"/>
      <x:c r="L58" s="48"/>
      <x:c r="M58" s="48"/>
      <x:c r="N58" s="48"/>
      <x:c r="O58" s="48"/>
      <x:c r="P58" s="48"/>
      <x:c r="Q58" s="48"/>
      <x:c r="R58" s="48"/>
      <x:c r="S58" s="48"/>
      <x:c r="T58" s="48"/>
      <x:c r="U58" s="48"/>
      <x:c r="V58" s="48"/>
      <x:c r="W58" s="48"/>
    </x:row>
    <x:row r="59">
      <x:c r="C59" s="19" t="str">
        <x:v>GT-ET-D-11</x:v>
      </x:c>
      <x:c r="D59" s="19" t="str">
        <x:v>MS-ET|D</x:v>
      </x:c>
      <x:c r="E59" s="19" t="str">
        <x:v>MS-ET</x:v>
      </x:c>
      <x:c r="F59" s="19" t="str">
        <x:v>disconnected and manual control</x:v>
      </x:c>
      <x:c r="G59" s="20" t="n">
        <x:v>0</x:v>
      </x:c>
      <x:c r="H59" s="21" t="str">
        <x:v>OPEN</x:v>
      </x:c>
      <x:c r="I59" s="48"/>
      <x:c r="J59" s="48"/>
      <x:c r="K59" s="48"/>
      <x:c r="L59" s="48"/>
      <x:c r="M59" s="48"/>
      <x:c r="N59" s="48"/>
      <x:c r="O59" s="48"/>
      <x:c r="P59" s="48"/>
      <x:c r="Q59" s="48"/>
      <x:c r="R59" s="48"/>
      <x:c r="S59" s="48"/>
      <x:c r="T59" s="48"/>
      <x:c r="U59" s="48"/>
      <x:c r="V59" s="48"/>
      <x:c r="W59" s="48"/>
    </x:row>
    <x:row r="60">
      <x:c r="C60" s="19" t="str">
        <x:v>GT-ET-D-12</x:v>
      </x:c>
      <x:c r="D60" s="19" t="str">
        <x:v>MS-ET|D</x:v>
      </x:c>
      <x:c r="E60" s="19" t="str">
        <x:v>MS-ET</x:v>
      </x:c>
      <x:c r="F60" s="19" t="str">
        <x:v>root-native evidence and outside replay</x:v>
      </x:c>
      <x:c r="G60" s="20" t="n">
        <x:v>0</x:v>
      </x:c>
      <x:c r="H60" s="21" t="str">
        <x:v>OPEN</x:v>
      </x:c>
      <x:c r="I60" s="48"/>
      <x:c r="J60" s="48"/>
      <x:c r="K60" s="48"/>
      <x:c r="L60" s="48"/>
      <x:c r="M60" s="48"/>
      <x:c r="N60" s="48"/>
      <x:c r="O60" s="48"/>
      <x:c r="P60" s="48"/>
      <x:c r="Q60" s="48"/>
      <x:c r="R60" s="48"/>
      <x:c r="S60" s="48"/>
      <x:c r="T60" s="48"/>
      <x:c r="U60" s="48"/>
      <x:c r="V60" s="48"/>
      <x:c r="W60" s="48"/>
    </x:row>
    <x:row r="61">
      <x:c r="C61" s="19" t="str">
        <x:v>GT-ET-D-13</x:v>
      </x:c>
      <x:c r="D61" s="19" t="str">
        <x:v>MS-ET|D</x:v>
      </x:c>
      <x:c r="E61" s="19" t="str">
        <x:v>MS-ET</x:v>
      </x:c>
      <x:c r="F61" s="19" t="str">
        <x:v>repair, reset and second-team reproduction</x:v>
      </x:c>
      <x:c r="G61" s="20" t="n">
        <x:v>0</x:v>
      </x:c>
      <x:c r="H61" s="21" t="str">
        <x:v>OPEN</x:v>
      </x:c>
      <x:c r="I61" s="48"/>
      <x:c r="J61" s="48"/>
      <x:c r="K61" s="48"/>
      <x:c r="L61" s="48"/>
      <x:c r="M61" s="48"/>
      <x:c r="N61" s="48"/>
      <x:c r="O61" s="48"/>
      <x:c r="P61" s="48"/>
      <x:c r="Q61" s="48"/>
      <x:c r="R61" s="48"/>
      <x:c r="S61" s="48"/>
      <x:c r="T61" s="48"/>
      <x:c r="U61" s="48"/>
      <x:c r="V61" s="48"/>
      <x:c r="W61" s="48"/>
    </x:row>
    <x:row r="62">
      <x:c r="C62" s="19" t="str">
        <x:v>GT-ET-D-14</x:v>
      </x:c>
      <x:c r="D62" s="19" t="str">
        <x:v>MS-ET|D</x:v>
      </x:c>
      <x:c r="E62" s="19" t="str">
        <x:v>MS-ET</x:v>
      </x:c>
      <x:c r="F62" s="19" t="str">
        <x:v>independent release</x:v>
      </x:c>
      <x:c r="G62" s="20" t="n">
        <x:v>0</x:v>
      </x:c>
      <x:c r="H62" s="21" t="str">
        <x:v>OPEN</x:v>
      </x:c>
      <x:c r="I62" s="48"/>
      <x:c r="J62" s="48"/>
      <x:c r="K62" s="48"/>
      <x:c r="L62" s="48"/>
      <x:c r="M62" s="48"/>
      <x:c r="N62" s="48"/>
      <x:c r="O62" s="48"/>
      <x:c r="P62" s="48"/>
      <x:c r="Q62" s="48"/>
      <x:c r="R62" s="48"/>
      <x:c r="S62" s="48"/>
      <x:c r="T62" s="48"/>
      <x:c r="U62" s="48"/>
      <x:c r="V62" s="48"/>
      <x:c r="W62" s="48"/>
    </x:row>
    <x:row r="63">
      <x:c r="C63" s="19" t="str">
        <x:v>GT-CT-A-01</x:v>
      </x:c>
      <x:c r="D63" s="19" t="str">
        <x:v>MS-CT|A</x:v>
      </x:c>
      <x:c r="E63" s="19" t="str">
        <x:v>MS-CT</x:v>
      </x:c>
      <x:c r="F63" s="19" t="str">
        <x:v>complete routes</x:v>
      </x:c>
      <x:c r="G63" s="20" t="n">
        <x:v>0</x:v>
      </x:c>
      <x:c r="H63" s="21" t="str">
        <x:v>OPEN</x:v>
      </x:c>
      <x:c r="I63" s="48"/>
      <x:c r="J63" s="48"/>
      <x:c r="K63" s="48"/>
      <x:c r="L63" s="48"/>
      <x:c r="M63" s="48"/>
      <x:c r="N63" s="48"/>
      <x:c r="O63" s="48"/>
      <x:c r="P63" s="48"/>
      <x:c r="Q63" s="48"/>
      <x:c r="R63" s="48"/>
      <x:c r="S63" s="48"/>
      <x:c r="T63" s="48"/>
      <x:c r="U63" s="48"/>
      <x:c r="V63" s="48"/>
      <x:c r="W63" s="48"/>
    </x:row>
    <x:row r="64">
      <x:c r="C64" s="19" t="str">
        <x:v>GT-CT-A-02</x:v>
      </x:c>
      <x:c r="D64" s="19" t="str">
        <x:v>MS-CT|A</x:v>
      </x:c>
      <x:c r="E64" s="19" t="str">
        <x:v>MS-CT</x:v>
      </x:c>
      <x:c r="F64" s="19" t="str">
        <x:v>seven-stage state machine</x:v>
      </x:c>
      <x:c r="G64" s="20" t="n">
        <x:v>0</x:v>
      </x:c>
      <x:c r="H64" s="21" t="str">
        <x:v>OPEN</x:v>
      </x:c>
      <x:c r="I64" s="48"/>
      <x:c r="J64" s="48"/>
      <x:c r="K64" s="48"/>
      <x:c r="L64" s="48"/>
      <x:c r="M64" s="48"/>
      <x:c r="N64" s="48"/>
      <x:c r="O64" s="48"/>
      <x:c r="P64" s="48"/>
      <x:c r="Q64" s="48"/>
      <x:c r="R64" s="48"/>
      <x:c r="S64" s="48"/>
      <x:c r="T64" s="48"/>
      <x:c r="U64" s="48"/>
      <x:c r="V64" s="48"/>
      <x:c r="W64" s="48"/>
    </x:row>
    <x:row r="65">
      <x:c r="C65" s="19" t="str">
        <x:v>GT-CT-A-03</x:v>
      </x:c>
      <x:c r="D65" s="19" t="str">
        <x:v>MS-CT|A</x:v>
      </x:c>
      <x:c r="E65" s="19" t="str">
        <x:v>MS-CT</x:v>
      </x:c>
      <x:c r="F65" s="19" t="str">
        <x:v>four-field architecture</x:v>
      </x:c>
      <x:c r="G65" s="20" t="n">
        <x:v>0</x:v>
      </x:c>
      <x:c r="H65" s="21" t="str">
        <x:v>OPEN</x:v>
      </x:c>
      <x:c r="I65" s="48"/>
      <x:c r="J65" s="48"/>
      <x:c r="K65" s="48"/>
      <x:c r="L65" s="48"/>
      <x:c r="M65" s="48"/>
      <x:c r="N65" s="48"/>
      <x:c r="O65" s="48"/>
      <x:c r="P65" s="48"/>
      <x:c r="Q65" s="48"/>
      <x:c r="R65" s="48"/>
      <x:c r="S65" s="48"/>
      <x:c r="T65" s="48"/>
      <x:c r="U65" s="48"/>
      <x:c r="V65" s="48"/>
      <x:c r="W65" s="48"/>
    </x:row>
    <x:row r="66">
      <x:c r="C66" s="19" t="str">
        <x:v>GT-CT-A-04</x:v>
      </x:c>
      <x:c r="D66" s="19" t="str">
        <x:v>MS-CT|A</x:v>
      </x:c>
      <x:c r="E66" s="19" t="str">
        <x:v>MS-CT</x:v>
      </x:c>
      <x:c r="F66" s="19" t="str">
        <x:v>numeric service thresholds</x:v>
      </x:c>
      <x:c r="G66" s="20" t="n">
        <x:v>0</x:v>
      </x:c>
      <x:c r="H66" s="21" t="str">
        <x:v>OPEN</x:v>
      </x:c>
      <x:c r="I66" s="48"/>
      <x:c r="J66" s="48"/>
      <x:c r="K66" s="48"/>
      <x:c r="L66" s="48"/>
      <x:c r="M66" s="48"/>
      <x:c r="N66" s="48"/>
      <x:c r="O66" s="48"/>
      <x:c r="P66" s="48"/>
      <x:c r="Q66" s="48"/>
      <x:c r="R66" s="48"/>
      <x:c r="S66" s="48"/>
      <x:c r="T66" s="48"/>
      <x:c r="U66" s="48"/>
      <x:c r="V66" s="48"/>
      <x:c r="W66" s="48"/>
    </x:row>
    <x:row r="67">
      <x:c r="C67" s="19" t="str">
        <x:v>GT-CT-A-05</x:v>
      </x:c>
      <x:c r="D67" s="19" t="str">
        <x:v>MS-CT|A</x:v>
      </x:c>
      <x:c r="E67" s="19" t="str">
        <x:v>MS-CT</x:v>
      </x:c>
      <x:c r="F67" s="19" t="str">
        <x:v>closed mass, energy, flow and residual accounts</x:v>
      </x:c>
      <x:c r="G67" s="20" t="n">
        <x:v>0</x:v>
      </x:c>
      <x:c r="H67" s="21" t="str">
        <x:v>OPEN</x:v>
      </x:c>
      <x:c r="I67" s="48"/>
      <x:c r="J67" s="48"/>
      <x:c r="K67" s="48"/>
      <x:c r="L67" s="48"/>
      <x:c r="M67" s="48"/>
      <x:c r="N67" s="48"/>
      <x:c r="O67" s="48"/>
      <x:c r="P67" s="48"/>
      <x:c r="Q67" s="48"/>
      <x:c r="R67" s="48"/>
      <x:c r="S67" s="48"/>
      <x:c r="T67" s="48"/>
      <x:c r="U67" s="48"/>
      <x:c r="V67" s="48"/>
      <x:c r="W67" s="48"/>
    </x:row>
    <x:row r="68">
      <x:c r="C68" s="19" t="str">
        <x:v>GT-CT-A-06</x:v>
      </x:c>
      <x:c r="D68" s="19" t="str">
        <x:v>MS-CT|A</x:v>
      </x:c>
      <x:c r="E68" s="19" t="str">
        <x:v>MS-CT</x:v>
      </x:c>
      <x:c r="F68" s="19" t="str">
        <x:v>safety and rights</x:v>
      </x:c>
      <x:c r="G68" s="20" t="n">
        <x:v>0</x:v>
      </x:c>
      <x:c r="H68" s="21" t="str">
        <x:v>OPEN</x:v>
      </x:c>
      <x:c r="I68" s="48"/>
      <x:c r="J68" s="48"/>
      <x:c r="K68" s="48"/>
      <x:c r="L68" s="48"/>
      <x:c r="M68" s="48"/>
      <x:c r="N68" s="48"/>
      <x:c r="O68" s="48"/>
      <x:c r="P68" s="48"/>
      <x:c r="Q68" s="48"/>
      <x:c r="R68" s="48"/>
      <x:c r="S68" s="48"/>
      <x:c r="T68" s="48"/>
      <x:c r="U68" s="48"/>
      <x:c r="V68" s="48"/>
      <x:c r="W68" s="48"/>
    </x:row>
    <x:row r="69">
      <x:c r="C69" s="19" t="str">
        <x:v>GT-CT-A-07</x:v>
      </x:c>
      <x:c r="D69" s="19" t="str">
        <x:v>MS-CT|A</x:v>
      </x:c>
      <x:c r="E69" s="19" t="str">
        <x:v>MS-CT</x:v>
      </x:c>
      <x:c r="F69" s="19" t="str">
        <x:v>public interface control</x:v>
      </x:c>
      <x:c r="G69" s="20" t="n">
        <x:v>0</x:v>
      </x:c>
      <x:c r="H69" s="21" t="str">
        <x:v>OPEN</x:v>
      </x:c>
      <x:c r="I69" s="48"/>
      <x:c r="J69" s="48"/>
      <x:c r="K69" s="48"/>
      <x:c r="L69" s="48"/>
      <x:c r="M69" s="48"/>
      <x:c r="N69" s="48"/>
      <x:c r="O69" s="48"/>
      <x:c r="P69" s="48"/>
      <x:c r="Q69" s="48"/>
      <x:c r="R69" s="48"/>
      <x:c r="S69" s="48"/>
      <x:c r="T69" s="48"/>
      <x:c r="U69" s="48"/>
      <x:c r="V69" s="48"/>
      <x:c r="W69" s="48"/>
    </x:row>
    <x:row r="70">
      <x:c r="C70" s="19" t="str">
        <x:v>GT-CT-A-08</x:v>
      </x:c>
      <x:c r="D70" s="19" t="str">
        <x:v>MS-CT|A</x:v>
      </x:c>
      <x:c r="E70" s="19" t="str">
        <x:v>MS-CT</x:v>
      </x:c>
      <x:c r="F70" s="19" t="str">
        <x:v>declared decisive ancestry</x:v>
      </x:c>
      <x:c r="G70" s="20" t="n">
        <x:v>0</x:v>
      </x:c>
      <x:c r="H70" s="21" t="str">
        <x:v>OPEN</x:v>
      </x:c>
      <x:c r="I70" s="48"/>
      <x:c r="J70" s="48"/>
      <x:c r="K70" s="48"/>
      <x:c r="L70" s="48"/>
      <x:c r="M70" s="48"/>
      <x:c r="N70" s="48"/>
      <x:c r="O70" s="48"/>
      <x:c r="P70" s="48"/>
      <x:c r="Q70" s="48"/>
      <x:c r="R70" s="48"/>
      <x:c r="S70" s="48"/>
      <x:c r="T70" s="48"/>
      <x:c r="U70" s="48"/>
      <x:c r="V70" s="48"/>
      <x:c r="W70" s="48"/>
    </x:row>
    <x:row r="71">
      <x:c r="C71" s="19" t="str">
        <x:v>GT-CT-A-09</x:v>
      </x:c>
      <x:c r="D71" s="19" t="str">
        <x:v>MS-CT|A</x:v>
      </x:c>
      <x:c r="E71" s="19" t="str">
        <x:v>MS-CT</x:v>
      </x:c>
      <x:c r="F71" s="19" t="str">
        <x:v>executable build records</x:v>
      </x:c>
      <x:c r="G71" s="20" t="n">
        <x:v>0</x:v>
      </x:c>
      <x:c r="H71" s="21" t="str">
        <x:v>OPEN</x:v>
      </x:c>
      <x:c r="I71" s="48"/>
      <x:c r="J71" s="48"/>
      <x:c r="K71" s="48"/>
      <x:c r="L71" s="48"/>
      <x:c r="M71" s="48"/>
      <x:c r="N71" s="48"/>
      <x:c r="O71" s="48"/>
      <x:c r="P71" s="48"/>
      <x:c r="Q71" s="48"/>
      <x:c r="R71" s="48"/>
      <x:c r="S71" s="48"/>
      <x:c r="T71" s="48"/>
      <x:c r="U71" s="48"/>
      <x:c r="V71" s="48"/>
      <x:c r="W71" s="48"/>
    </x:row>
    <x:row r="72">
      <x:c r="C72" s="19" t="str">
        <x:v>GT-CT-A-10</x:v>
      </x:c>
      <x:c r="D72" s="19" t="str">
        <x:v>MS-CT|A</x:v>
      </x:c>
      <x:c r="E72" s="19" t="str">
        <x:v>MS-CT</x:v>
      </x:c>
      <x:c r="F72" s="19" t="str">
        <x:v>representative subsystem evidence</x:v>
      </x:c>
      <x:c r="G72" s="20" t="n">
        <x:v>0</x:v>
      </x:c>
      <x:c r="H72" s="21" t="str">
        <x:v>OPEN</x:v>
      </x:c>
      <x:c r="I72" s="48"/>
      <x:c r="J72" s="48"/>
      <x:c r="K72" s="48"/>
      <x:c r="L72" s="48"/>
      <x:c r="M72" s="48"/>
      <x:c r="N72" s="48"/>
      <x:c r="O72" s="48"/>
      <x:c r="P72" s="48"/>
      <x:c r="Q72" s="48"/>
      <x:c r="R72" s="48"/>
      <x:c r="S72" s="48"/>
      <x:c r="T72" s="48"/>
      <x:c r="U72" s="48"/>
      <x:c r="V72" s="48"/>
      <x:c r="W72" s="48"/>
    </x:row>
    <x:row r="73">
      <x:c r="C73" s="19" t="str">
        <x:v>GT-CT-A-11</x:v>
      </x:c>
      <x:c r="D73" s="19" t="str">
        <x:v>MS-CT|A</x:v>
      </x:c>
      <x:c r="E73" s="19" t="str">
        <x:v>MS-CT</x:v>
      </x:c>
      <x:c r="F73" s="19" t="str">
        <x:v>disconnected and manual control</x:v>
      </x:c>
      <x:c r="G73" s="20" t="n">
        <x:v>0</x:v>
      </x:c>
      <x:c r="H73" s="21" t="str">
        <x:v>OPEN</x:v>
      </x:c>
      <x:c r="I73" s="48"/>
      <x:c r="J73" s="48"/>
      <x:c r="K73" s="48"/>
      <x:c r="L73" s="48"/>
      <x:c r="M73" s="48"/>
      <x:c r="N73" s="48"/>
      <x:c r="O73" s="48"/>
      <x:c r="P73" s="48"/>
      <x:c r="Q73" s="48"/>
      <x:c r="R73" s="48"/>
      <x:c r="S73" s="48"/>
      <x:c r="T73" s="48"/>
      <x:c r="U73" s="48"/>
      <x:c r="V73" s="48"/>
      <x:c r="W73" s="48"/>
    </x:row>
    <x:row r="74">
      <x:c r="C74" s="19" t="str">
        <x:v>GT-CT-A-12</x:v>
      </x:c>
      <x:c r="D74" s="19" t="str">
        <x:v>MS-CT|A</x:v>
      </x:c>
      <x:c r="E74" s="19" t="str">
        <x:v>MS-CT</x:v>
      </x:c>
      <x:c r="F74" s="19" t="str">
        <x:v>root-native evidence and outside replay</x:v>
      </x:c>
      <x:c r="G74" s="20" t="n">
        <x:v>0</x:v>
      </x:c>
      <x:c r="H74" s="21" t="str">
        <x:v>OPEN</x:v>
      </x:c>
      <x:c r="I74" s="48"/>
      <x:c r="J74" s="48"/>
      <x:c r="K74" s="48"/>
      <x:c r="L74" s="48"/>
      <x:c r="M74" s="48"/>
      <x:c r="N74" s="48"/>
      <x:c r="O74" s="48"/>
      <x:c r="P74" s="48"/>
      <x:c r="Q74" s="48"/>
      <x:c r="R74" s="48"/>
      <x:c r="S74" s="48"/>
      <x:c r="T74" s="48"/>
      <x:c r="U74" s="48"/>
      <x:c r="V74" s="48"/>
      <x:c r="W74" s="48"/>
    </x:row>
    <x:row r="75">
      <x:c r="C75" s="19" t="str">
        <x:v>GT-CT-A-13</x:v>
      </x:c>
      <x:c r="D75" s="19" t="str">
        <x:v>MS-CT|A</x:v>
      </x:c>
      <x:c r="E75" s="19" t="str">
        <x:v>MS-CT</x:v>
      </x:c>
      <x:c r="F75" s="19" t="str">
        <x:v>repair, reset and second-team reproduction</x:v>
      </x:c>
      <x:c r="G75" s="20" t="n">
        <x:v>0</x:v>
      </x:c>
      <x:c r="H75" s="21" t="str">
        <x:v>OPEN</x:v>
      </x:c>
      <x:c r="I75" s="48"/>
      <x:c r="J75" s="48"/>
      <x:c r="K75" s="48"/>
      <x:c r="L75" s="48"/>
      <x:c r="M75" s="48"/>
      <x:c r="N75" s="48"/>
      <x:c r="O75" s="48"/>
      <x:c r="P75" s="48"/>
      <x:c r="Q75" s="48"/>
      <x:c r="R75" s="48"/>
      <x:c r="S75" s="48"/>
      <x:c r="T75" s="48"/>
      <x:c r="U75" s="48"/>
      <x:c r="V75" s="48"/>
      <x:c r="W75" s="48"/>
    </x:row>
    <x:row r="76">
      <x:c r="C76" s="19" t="str">
        <x:v>GT-CT-A-14</x:v>
      </x:c>
      <x:c r="D76" s="19" t="str">
        <x:v>MS-CT|A</x:v>
      </x:c>
      <x:c r="E76" s="19" t="str">
        <x:v>MS-CT</x:v>
      </x:c>
      <x:c r="F76" s="19" t="str">
        <x:v>independent release</x:v>
      </x:c>
      <x:c r="G76" s="20" t="n">
        <x:v>0</x:v>
      </x:c>
      <x:c r="H76" s="21" t="str">
        <x:v>OPEN</x:v>
      </x:c>
      <x:c r="I76" s="48"/>
      <x:c r="J76" s="48"/>
      <x:c r="K76" s="48"/>
      <x:c r="L76" s="48"/>
      <x:c r="M76" s="48"/>
      <x:c r="N76" s="48"/>
      <x:c r="O76" s="48"/>
      <x:c r="P76" s="48"/>
      <x:c r="Q76" s="48"/>
      <x:c r="R76" s="48"/>
      <x:c r="S76" s="48"/>
      <x:c r="T76" s="48"/>
      <x:c r="U76" s="48"/>
      <x:c r="V76" s="48"/>
      <x:c r="W76" s="48"/>
    </x:row>
    <x:row r="77">
      <x:c r="C77" s="19" t="str">
        <x:v>GT-CT-B-01</x:v>
      </x:c>
      <x:c r="D77" s="19" t="str">
        <x:v>MS-CT|B</x:v>
      </x:c>
      <x:c r="E77" s="19" t="str">
        <x:v>MS-CT</x:v>
      </x:c>
      <x:c r="F77" s="19" t="str">
        <x:v>complete routes</x:v>
      </x:c>
      <x:c r="G77" s="20" t="n">
        <x:v>0</x:v>
      </x:c>
      <x:c r="H77" s="21" t="str">
        <x:v>OPEN</x:v>
      </x:c>
      <x:c r="I77" s="48"/>
      <x:c r="J77" s="48"/>
      <x:c r="K77" s="48"/>
      <x:c r="L77" s="48"/>
      <x:c r="M77" s="48"/>
      <x:c r="N77" s="48"/>
      <x:c r="O77" s="48"/>
      <x:c r="P77" s="48"/>
      <x:c r="Q77" s="48"/>
      <x:c r="R77" s="48"/>
      <x:c r="S77" s="48"/>
      <x:c r="T77" s="48"/>
      <x:c r="U77" s="48"/>
      <x:c r="V77" s="48"/>
      <x:c r="W77" s="48"/>
    </x:row>
    <x:row r="78">
      <x:c r="C78" s="19" t="str">
        <x:v>GT-CT-B-02</x:v>
      </x:c>
      <x:c r="D78" s="19" t="str">
        <x:v>MS-CT|B</x:v>
      </x:c>
      <x:c r="E78" s="19" t="str">
        <x:v>MS-CT</x:v>
      </x:c>
      <x:c r="F78" s="19" t="str">
        <x:v>seven-stage state machine</x:v>
      </x:c>
      <x:c r="G78" s="20" t="n">
        <x:v>0</x:v>
      </x:c>
      <x:c r="H78" s="21" t="str">
        <x:v>OPEN</x:v>
      </x:c>
      <x:c r="I78" s="48"/>
      <x:c r="J78" s="48"/>
      <x:c r="K78" s="48"/>
      <x:c r="L78" s="48"/>
      <x:c r="M78" s="48"/>
      <x:c r="N78" s="48"/>
      <x:c r="O78" s="48"/>
      <x:c r="P78" s="48"/>
      <x:c r="Q78" s="48"/>
      <x:c r="R78" s="48"/>
      <x:c r="S78" s="48"/>
      <x:c r="T78" s="48"/>
      <x:c r="U78" s="48"/>
      <x:c r="V78" s="48"/>
      <x:c r="W78" s="48"/>
    </x:row>
    <x:row r="79">
      <x:c r="C79" s="19" t="str">
        <x:v>GT-CT-B-03</x:v>
      </x:c>
      <x:c r="D79" s="19" t="str">
        <x:v>MS-CT|B</x:v>
      </x:c>
      <x:c r="E79" s="19" t="str">
        <x:v>MS-CT</x:v>
      </x:c>
      <x:c r="F79" s="19" t="str">
        <x:v>four-field architecture</x:v>
      </x:c>
      <x:c r="G79" s="20" t="n">
        <x:v>0</x:v>
      </x:c>
      <x:c r="H79" s="21" t="str">
        <x:v>OPEN</x:v>
      </x:c>
      <x:c r="I79" s="48"/>
      <x:c r="J79" s="48"/>
      <x:c r="K79" s="48"/>
      <x:c r="L79" s="48"/>
      <x:c r="M79" s="48"/>
      <x:c r="N79" s="48"/>
      <x:c r="O79" s="48"/>
      <x:c r="P79" s="48"/>
      <x:c r="Q79" s="48"/>
      <x:c r="R79" s="48"/>
      <x:c r="S79" s="48"/>
      <x:c r="T79" s="48"/>
      <x:c r="U79" s="48"/>
      <x:c r="V79" s="48"/>
      <x:c r="W79" s="48"/>
    </x:row>
    <x:row r="80">
      <x:c r="C80" s="19" t="str">
        <x:v>GT-CT-B-04</x:v>
      </x:c>
      <x:c r="D80" s="19" t="str">
        <x:v>MS-CT|B</x:v>
      </x:c>
      <x:c r="E80" s="19" t="str">
        <x:v>MS-CT</x:v>
      </x:c>
      <x:c r="F80" s="19" t="str">
        <x:v>numeric service thresholds</x:v>
      </x:c>
      <x:c r="G80" s="20" t="n">
        <x:v>0</x:v>
      </x:c>
      <x:c r="H80" s="21" t="str">
        <x:v>OPEN</x:v>
      </x:c>
      <x:c r="I80" s="48"/>
      <x:c r="J80" s="48"/>
      <x:c r="K80" s="48"/>
      <x:c r="L80" s="48"/>
      <x:c r="M80" s="48"/>
      <x:c r="N80" s="48"/>
      <x:c r="O80" s="48"/>
      <x:c r="P80" s="48"/>
      <x:c r="Q80" s="48"/>
      <x:c r="R80" s="48"/>
      <x:c r="S80" s="48"/>
      <x:c r="T80" s="48"/>
      <x:c r="U80" s="48"/>
      <x:c r="V80" s="48"/>
      <x:c r="W80" s="48"/>
    </x:row>
    <x:row r="81">
      <x:c r="C81" s="19" t="str">
        <x:v>GT-CT-B-05</x:v>
      </x:c>
      <x:c r="D81" s="19" t="str">
        <x:v>MS-CT|B</x:v>
      </x:c>
      <x:c r="E81" s="19" t="str">
        <x:v>MS-CT</x:v>
      </x:c>
      <x:c r="F81" s="19" t="str">
        <x:v>closed mass, energy, flow and residual accounts</x:v>
      </x:c>
      <x:c r="G81" s="20" t="n">
        <x:v>0</x:v>
      </x:c>
      <x:c r="H81" s="21" t="str">
        <x:v>OPEN</x:v>
      </x:c>
      <x:c r="I81" s="48"/>
      <x:c r="J81" s="48"/>
      <x:c r="K81" s="48"/>
      <x:c r="L81" s="48"/>
      <x:c r="M81" s="48"/>
      <x:c r="N81" s="48"/>
      <x:c r="O81" s="48"/>
      <x:c r="P81" s="48"/>
      <x:c r="Q81" s="48"/>
      <x:c r="R81" s="48"/>
      <x:c r="S81" s="48"/>
      <x:c r="T81" s="48"/>
      <x:c r="U81" s="48"/>
      <x:c r="V81" s="48"/>
      <x:c r="W81" s="48"/>
    </x:row>
    <x:row r="82">
      <x:c r="C82" s="19" t="str">
        <x:v>GT-CT-B-06</x:v>
      </x:c>
      <x:c r="D82" s="19" t="str">
        <x:v>MS-CT|B</x:v>
      </x:c>
      <x:c r="E82" s="19" t="str">
        <x:v>MS-CT</x:v>
      </x:c>
      <x:c r="F82" s="19" t="str">
        <x:v>safety and rights</x:v>
      </x:c>
      <x:c r="G82" s="20" t="n">
        <x:v>0</x:v>
      </x:c>
      <x:c r="H82" s="21" t="str">
        <x:v>OPEN</x:v>
      </x:c>
      <x:c r="I82" s="48"/>
      <x:c r="J82" s="48"/>
      <x:c r="K82" s="48"/>
      <x:c r="L82" s="48"/>
      <x:c r="M82" s="48"/>
      <x:c r="N82" s="48"/>
      <x:c r="O82" s="48"/>
      <x:c r="P82" s="48"/>
      <x:c r="Q82" s="48"/>
      <x:c r="R82" s="48"/>
      <x:c r="S82" s="48"/>
      <x:c r="T82" s="48"/>
      <x:c r="U82" s="48"/>
      <x:c r="V82" s="48"/>
      <x:c r="W82" s="48"/>
    </x:row>
    <x:row r="83">
      <x:c r="C83" s="19" t="str">
        <x:v>GT-CT-B-07</x:v>
      </x:c>
      <x:c r="D83" s="19" t="str">
        <x:v>MS-CT|B</x:v>
      </x:c>
      <x:c r="E83" s="19" t="str">
        <x:v>MS-CT</x:v>
      </x:c>
      <x:c r="F83" s="19" t="str">
        <x:v>public interface control</x:v>
      </x:c>
      <x:c r="G83" s="20" t="n">
        <x:v>0</x:v>
      </x:c>
      <x:c r="H83" s="21" t="str">
        <x:v>OPEN</x:v>
      </x:c>
      <x:c r="I83" s="48"/>
      <x:c r="J83" s="48"/>
      <x:c r="K83" s="48"/>
      <x:c r="L83" s="48"/>
      <x:c r="M83" s="48"/>
      <x:c r="N83" s="48"/>
      <x:c r="O83" s="48"/>
      <x:c r="P83" s="48"/>
      <x:c r="Q83" s="48"/>
      <x:c r="R83" s="48"/>
      <x:c r="S83" s="48"/>
      <x:c r="T83" s="48"/>
      <x:c r="U83" s="48"/>
      <x:c r="V83" s="48"/>
      <x:c r="W83" s="48"/>
    </x:row>
    <x:row r="84">
      <x:c r="C84" s="19" t="str">
        <x:v>GT-CT-B-08</x:v>
      </x:c>
      <x:c r="D84" s="19" t="str">
        <x:v>MS-CT|B</x:v>
      </x:c>
      <x:c r="E84" s="19" t="str">
        <x:v>MS-CT</x:v>
      </x:c>
      <x:c r="F84" s="19" t="str">
        <x:v>declared decisive ancestry</x:v>
      </x:c>
      <x:c r="G84" s="20" t="n">
        <x:v>0</x:v>
      </x:c>
      <x:c r="H84" s="21" t="str">
        <x:v>OPEN</x:v>
      </x:c>
      <x:c r="I84" s="48"/>
      <x:c r="J84" s="48"/>
      <x:c r="K84" s="48"/>
      <x:c r="L84" s="48"/>
      <x:c r="M84" s="48"/>
      <x:c r="N84" s="48"/>
      <x:c r="O84" s="48"/>
      <x:c r="P84" s="48"/>
      <x:c r="Q84" s="48"/>
      <x:c r="R84" s="48"/>
      <x:c r="S84" s="48"/>
      <x:c r="T84" s="48"/>
      <x:c r="U84" s="48"/>
      <x:c r="V84" s="48"/>
      <x:c r="W84" s="48"/>
    </x:row>
    <x:row r="85">
      <x:c r="C85" s="19" t="str">
        <x:v>GT-CT-B-09</x:v>
      </x:c>
      <x:c r="D85" s="19" t="str">
        <x:v>MS-CT|B</x:v>
      </x:c>
      <x:c r="E85" s="19" t="str">
        <x:v>MS-CT</x:v>
      </x:c>
      <x:c r="F85" s="19" t="str">
        <x:v>executable build records</x:v>
      </x:c>
      <x:c r="G85" s="20" t="n">
        <x:v>0</x:v>
      </x:c>
      <x:c r="H85" s="21" t="str">
        <x:v>OPEN</x:v>
      </x:c>
      <x:c r="I85" s="48"/>
      <x:c r="J85" s="48"/>
      <x:c r="K85" s="48"/>
      <x:c r="L85" s="48"/>
      <x:c r="M85" s="48"/>
      <x:c r="N85" s="48"/>
      <x:c r="O85" s="48"/>
      <x:c r="P85" s="48"/>
      <x:c r="Q85" s="48"/>
      <x:c r="R85" s="48"/>
      <x:c r="S85" s="48"/>
      <x:c r="T85" s="48"/>
      <x:c r="U85" s="48"/>
      <x:c r="V85" s="48"/>
      <x:c r="W85" s="48"/>
    </x:row>
    <x:row r="86">
      <x:c r="C86" s="19" t="str">
        <x:v>GT-CT-B-10</x:v>
      </x:c>
      <x:c r="D86" s="19" t="str">
        <x:v>MS-CT|B</x:v>
      </x:c>
      <x:c r="E86" s="19" t="str">
        <x:v>MS-CT</x:v>
      </x:c>
      <x:c r="F86" s="19" t="str">
        <x:v>representative subsystem evidence</x:v>
      </x:c>
      <x:c r="G86" s="20" t="n">
        <x:v>0</x:v>
      </x:c>
      <x:c r="H86" s="21" t="str">
        <x:v>OPEN</x:v>
      </x:c>
      <x:c r="I86" s="48"/>
      <x:c r="J86" s="48"/>
      <x:c r="K86" s="48"/>
      <x:c r="L86" s="48"/>
      <x:c r="M86" s="48"/>
      <x:c r="N86" s="48"/>
      <x:c r="O86" s="48"/>
      <x:c r="P86" s="48"/>
      <x:c r="Q86" s="48"/>
      <x:c r="R86" s="48"/>
      <x:c r="S86" s="48"/>
      <x:c r="T86" s="48"/>
      <x:c r="U86" s="48"/>
      <x:c r="V86" s="48"/>
      <x:c r="W86" s="48"/>
    </x:row>
    <x:row r="87">
      <x:c r="C87" s="19" t="str">
        <x:v>GT-CT-B-11</x:v>
      </x:c>
      <x:c r="D87" s="19" t="str">
        <x:v>MS-CT|B</x:v>
      </x:c>
      <x:c r="E87" s="19" t="str">
        <x:v>MS-CT</x:v>
      </x:c>
      <x:c r="F87" s="19" t="str">
        <x:v>disconnected and manual control</x:v>
      </x:c>
      <x:c r="G87" s="20" t="n">
        <x:v>0</x:v>
      </x:c>
      <x:c r="H87" s="21" t="str">
        <x:v>OPEN</x:v>
      </x:c>
      <x:c r="I87" s="48"/>
      <x:c r="J87" s="48"/>
      <x:c r="K87" s="48"/>
      <x:c r="L87" s="48"/>
      <x:c r="M87" s="48"/>
      <x:c r="N87" s="48"/>
      <x:c r="O87" s="48"/>
      <x:c r="P87" s="48"/>
      <x:c r="Q87" s="48"/>
      <x:c r="R87" s="48"/>
      <x:c r="S87" s="48"/>
      <x:c r="T87" s="48"/>
      <x:c r="U87" s="48"/>
      <x:c r="V87" s="48"/>
      <x:c r="W87" s="48"/>
    </x:row>
    <x:row r="88">
      <x:c r="C88" s="19" t="str">
        <x:v>GT-CT-B-12</x:v>
      </x:c>
      <x:c r="D88" s="19" t="str">
        <x:v>MS-CT|B</x:v>
      </x:c>
      <x:c r="E88" s="19" t="str">
        <x:v>MS-CT</x:v>
      </x:c>
      <x:c r="F88" s="19" t="str">
        <x:v>root-native evidence and outside replay</x:v>
      </x:c>
      <x:c r="G88" s="20" t="n">
        <x:v>0</x:v>
      </x:c>
      <x:c r="H88" s="21" t="str">
        <x:v>OPEN</x:v>
      </x:c>
      <x:c r="I88" s="48"/>
      <x:c r="J88" s="48"/>
      <x:c r="K88" s="48"/>
      <x:c r="L88" s="48"/>
      <x:c r="M88" s="48"/>
      <x:c r="N88" s="48"/>
      <x:c r="O88" s="48"/>
      <x:c r="P88" s="48"/>
      <x:c r="Q88" s="48"/>
      <x:c r="R88" s="48"/>
      <x:c r="S88" s="48"/>
      <x:c r="T88" s="48"/>
      <x:c r="U88" s="48"/>
      <x:c r="V88" s="48"/>
      <x:c r="W88" s="48"/>
    </x:row>
    <x:row r="89">
      <x:c r="C89" s="19" t="str">
        <x:v>GT-CT-B-13</x:v>
      </x:c>
      <x:c r="D89" s="19" t="str">
        <x:v>MS-CT|B</x:v>
      </x:c>
      <x:c r="E89" s="19" t="str">
        <x:v>MS-CT</x:v>
      </x:c>
      <x:c r="F89" s="19" t="str">
        <x:v>repair, reset and second-team reproduction</x:v>
      </x:c>
      <x:c r="G89" s="20" t="n">
        <x:v>0</x:v>
      </x:c>
      <x:c r="H89" s="21" t="str">
        <x:v>OPEN</x:v>
      </x:c>
      <x:c r="I89" s="48"/>
      <x:c r="J89" s="48"/>
      <x:c r="K89" s="48"/>
      <x:c r="L89" s="48"/>
      <x:c r="M89" s="48"/>
      <x:c r="N89" s="48"/>
      <x:c r="O89" s="48"/>
      <x:c r="P89" s="48"/>
      <x:c r="Q89" s="48"/>
      <x:c r="R89" s="48"/>
      <x:c r="S89" s="48"/>
      <x:c r="T89" s="48"/>
      <x:c r="U89" s="48"/>
      <x:c r="V89" s="48"/>
      <x:c r="W89" s="48"/>
    </x:row>
    <x:row r="90">
      <x:c r="C90" s="19" t="str">
        <x:v>GT-CT-B-14</x:v>
      </x:c>
      <x:c r="D90" s="19" t="str">
        <x:v>MS-CT|B</x:v>
      </x:c>
      <x:c r="E90" s="19" t="str">
        <x:v>MS-CT</x:v>
      </x:c>
      <x:c r="F90" s="19" t="str">
        <x:v>independent release</x:v>
      </x:c>
      <x:c r="G90" s="20" t="n">
        <x:v>0</x:v>
      </x:c>
      <x:c r="H90" s="21" t="str">
        <x:v>OPEN</x:v>
      </x:c>
      <x:c r="I90" s="48"/>
      <x:c r="J90" s="48"/>
      <x:c r="K90" s="48"/>
      <x:c r="L90" s="48"/>
      <x:c r="M90" s="48"/>
      <x:c r="N90" s="48"/>
      <x:c r="O90" s="48"/>
      <x:c r="P90" s="48"/>
      <x:c r="Q90" s="48"/>
      <x:c r="R90" s="48"/>
      <x:c r="S90" s="48"/>
      <x:c r="T90" s="48"/>
      <x:c r="U90" s="48"/>
      <x:c r="V90" s="48"/>
      <x:c r="W90" s="48"/>
    </x:row>
    <x:row r="91">
      <x:c r="C91" s="19" t="str">
        <x:v>GT-CT-C-01</x:v>
      </x:c>
      <x:c r="D91" s="19" t="str">
        <x:v>MS-CT|C</x:v>
      </x:c>
      <x:c r="E91" s="19" t="str">
        <x:v>MS-CT</x:v>
      </x:c>
      <x:c r="F91" s="19" t="str">
        <x:v>complete routes</x:v>
      </x:c>
      <x:c r="G91" s="20" t="n">
        <x:v>0</x:v>
      </x:c>
      <x:c r="H91" s="21" t="str">
        <x:v>OPEN</x:v>
      </x:c>
      <x:c r="I91" s="48"/>
      <x:c r="J91" s="48"/>
      <x:c r="K91" s="48"/>
      <x:c r="L91" s="48"/>
      <x:c r="M91" s="48"/>
      <x:c r="N91" s="48"/>
      <x:c r="O91" s="48"/>
      <x:c r="P91" s="48"/>
      <x:c r="Q91" s="48"/>
      <x:c r="R91" s="48"/>
      <x:c r="S91" s="48"/>
      <x:c r="T91" s="48"/>
      <x:c r="U91" s="48"/>
      <x:c r="V91" s="48"/>
      <x:c r="W91" s="48"/>
    </x:row>
    <x:row r="92">
      <x:c r="C92" s="19" t="str">
        <x:v>GT-CT-C-02</x:v>
      </x:c>
      <x:c r="D92" s="19" t="str">
        <x:v>MS-CT|C</x:v>
      </x:c>
      <x:c r="E92" s="19" t="str">
        <x:v>MS-CT</x:v>
      </x:c>
      <x:c r="F92" s="19" t="str">
        <x:v>seven-stage state machine</x:v>
      </x:c>
      <x:c r="G92" s="20" t="n">
        <x:v>0</x:v>
      </x:c>
      <x:c r="H92" s="21" t="str">
        <x:v>OPEN</x:v>
      </x:c>
      <x:c r="I92" s="48"/>
      <x:c r="J92" s="48"/>
      <x:c r="K92" s="48"/>
      <x:c r="L92" s="48"/>
      <x:c r="M92" s="48"/>
      <x:c r="N92" s="48"/>
      <x:c r="O92" s="48"/>
      <x:c r="P92" s="48"/>
      <x:c r="Q92" s="48"/>
      <x:c r="R92" s="48"/>
      <x:c r="S92" s="48"/>
      <x:c r="T92" s="48"/>
      <x:c r="U92" s="48"/>
      <x:c r="V92" s="48"/>
      <x:c r="W92" s="48"/>
    </x:row>
    <x:row r="93">
      <x:c r="C93" s="19" t="str">
        <x:v>GT-CT-C-03</x:v>
      </x:c>
      <x:c r="D93" s="19" t="str">
        <x:v>MS-CT|C</x:v>
      </x:c>
      <x:c r="E93" s="19" t="str">
        <x:v>MS-CT</x:v>
      </x:c>
      <x:c r="F93" s="19" t="str">
        <x:v>four-field architecture</x:v>
      </x:c>
      <x:c r="G93" s="20" t="n">
        <x:v>0</x:v>
      </x:c>
      <x:c r="H93" s="21" t="str">
        <x:v>OPEN</x:v>
      </x:c>
      <x:c r="I93" s="48"/>
      <x:c r="J93" s="48"/>
      <x:c r="K93" s="48"/>
      <x:c r="L93" s="48"/>
      <x:c r="M93" s="48"/>
      <x:c r="N93" s="48"/>
      <x:c r="O93" s="48"/>
      <x:c r="P93" s="48"/>
      <x:c r="Q93" s="48"/>
      <x:c r="R93" s="48"/>
      <x:c r="S93" s="48"/>
      <x:c r="T93" s="48"/>
      <x:c r="U93" s="48"/>
      <x:c r="V93" s="48"/>
      <x:c r="W93" s="48"/>
    </x:row>
    <x:row r="94">
      <x:c r="C94" s="19" t="str">
        <x:v>GT-CT-C-04</x:v>
      </x:c>
      <x:c r="D94" s="19" t="str">
        <x:v>MS-CT|C</x:v>
      </x:c>
      <x:c r="E94" s="19" t="str">
        <x:v>MS-CT</x:v>
      </x:c>
      <x:c r="F94" s="19" t="str">
        <x:v>numeric service thresholds</x:v>
      </x:c>
      <x:c r="G94" s="20" t="n">
        <x:v>0</x:v>
      </x:c>
      <x:c r="H94" s="21" t="str">
        <x:v>OPEN</x:v>
      </x:c>
      <x:c r="I94" s="48"/>
      <x:c r="J94" s="48"/>
      <x:c r="K94" s="48"/>
      <x:c r="L94" s="48"/>
      <x:c r="M94" s="48"/>
      <x:c r="N94" s="48"/>
      <x:c r="O94" s="48"/>
      <x:c r="P94" s="48"/>
      <x:c r="Q94" s="48"/>
      <x:c r="R94" s="48"/>
      <x:c r="S94" s="48"/>
      <x:c r="T94" s="48"/>
      <x:c r="U94" s="48"/>
      <x:c r="V94" s="48"/>
      <x:c r="W94" s="48"/>
    </x:row>
    <x:row r="95">
      <x:c r="C95" s="19" t="str">
        <x:v>GT-CT-C-05</x:v>
      </x:c>
      <x:c r="D95" s="19" t="str">
        <x:v>MS-CT|C</x:v>
      </x:c>
      <x:c r="E95" s="19" t="str">
        <x:v>MS-CT</x:v>
      </x:c>
      <x:c r="F95" s="19" t="str">
        <x:v>closed mass, energy, flow and residual accounts</x:v>
      </x:c>
      <x:c r="G95" s="20" t="n">
        <x:v>0</x:v>
      </x:c>
      <x:c r="H95" s="21" t="str">
        <x:v>OPEN</x:v>
      </x:c>
      <x:c r="I95" s="48"/>
      <x:c r="J95" s="48"/>
      <x:c r="K95" s="48"/>
      <x:c r="L95" s="48"/>
      <x:c r="M95" s="48"/>
      <x:c r="N95" s="48"/>
      <x:c r="O95" s="48"/>
      <x:c r="P95" s="48"/>
      <x:c r="Q95" s="48"/>
      <x:c r="R95" s="48"/>
      <x:c r="S95" s="48"/>
      <x:c r="T95" s="48"/>
      <x:c r="U95" s="48"/>
      <x:c r="V95" s="48"/>
      <x:c r="W95" s="48"/>
    </x:row>
    <x:row r="96">
      <x:c r="C96" s="19" t="str">
        <x:v>GT-CT-C-06</x:v>
      </x:c>
      <x:c r="D96" s="19" t="str">
        <x:v>MS-CT|C</x:v>
      </x:c>
      <x:c r="E96" s="19" t="str">
        <x:v>MS-CT</x:v>
      </x:c>
      <x:c r="F96" s="19" t="str">
        <x:v>safety and rights</x:v>
      </x:c>
      <x:c r="G96" s="20" t="n">
        <x:v>0</x:v>
      </x:c>
      <x:c r="H96" s="21" t="str">
        <x:v>OPEN</x:v>
      </x:c>
      <x:c r="I96" s="48"/>
      <x:c r="J96" s="48"/>
      <x:c r="K96" s="48"/>
      <x:c r="L96" s="48"/>
      <x:c r="M96" s="48"/>
      <x:c r="N96" s="48"/>
      <x:c r="O96" s="48"/>
      <x:c r="P96" s="48"/>
      <x:c r="Q96" s="48"/>
      <x:c r="R96" s="48"/>
      <x:c r="S96" s="48"/>
      <x:c r="T96" s="48"/>
      <x:c r="U96" s="48"/>
      <x:c r="V96" s="48"/>
      <x:c r="W96" s="48"/>
    </x:row>
    <x:row r="97">
      <x:c r="C97" s="19" t="str">
        <x:v>GT-CT-C-07</x:v>
      </x:c>
      <x:c r="D97" s="19" t="str">
        <x:v>MS-CT|C</x:v>
      </x:c>
      <x:c r="E97" s="19" t="str">
        <x:v>MS-CT</x:v>
      </x:c>
      <x:c r="F97" s="19" t="str">
        <x:v>public interface control</x:v>
      </x:c>
      <x:c r="G97" s="20" t="n">
        <x:v>0</x:v>
      </x:c>
      <x:c r="H97" s="21" t="str">
        <x:v>OPEN</x:v>
      </x:c>
      <x:c r="I97" s="48"/>
      <x:c r="J97" s="48"/>
      <x:c r="K97" s="48"/>
      <x:c r="L97" s="48"/>
      <x:c r="M97" s="48"/>
      <x:c r="N97" s="48"/>
      <x:c r="O97" s="48"/>
      <x:c r="P97" s="48"/>
      <x:c r="Q97" s="48"/>
      <x:c r="R97" s="48"/>
      <x:c r="S97" s="48"/>
      <x:c r="T97" s="48"/>
      <x:c r="U97" s="48"/>
      <x:c r="V97" s="48"/>
      <x:c r="W97" s="48"/>
    </x:row>
    <x:row r="98">
      <x:c r="C98" s="19" t="str">
        <x:v>GT-CT-C-08</x:v>
      </x:c>
      <x:c r="D98" s="19" t="str">
        <x:v>MS-CT|C</x:v>
      </x:c>
      <x:c r="E98" s="19" t="str">
        <x:v>MS-CT</x:v>
      </x:c>
      <x:c r="F98" s="19" t="str">
        <x:v>declared decisive ancestry</x:v>
      </x:c>
      <x:c r="G98" s="20" t="n">
        <x:v>0</x:v>
      </x:c>
      <x:c r="H98" s="21" t="str">
        <x:v>OPEN</x:v>
      </x:c>
      <x:c r="I98" s="48"/>
      <x:c r="J98" s="48"/>
      <x:c r="K98" s="48"/>
      <x:c r="L98" s="48"/>
      <x:c r="M98" s="48"/>
      <x:c r="N98" s="48"/>
      <x:c r="O98" s="48"/>
      <x:c r="P98" s="48"/>
      <x:c r="Q98" s="48"/>
      <x:c r="R98" s="48"/>
      <x:c r="S98" s="48"/>
      <x:c r="T98" s="48"/>
      <x:c r="U98" s="48"/>
      <x:c r="V98" s="48"/>
      <x:c r="W98" s="48"/>
    </x:row>
    <x:row r="99">
      <x:c r="C99" s="19" t="str">
        <x:v>GT-CT-C-09</x:v>
      </x:c>
      <x:c r="D99" s="19" t="str">
        <x:v>MS-CT|C</x:v>
      </x:c>
      <x:c r="E99" s="19" t="str">
        <x:v>MS-CT</x:v>
      </x:c>
      <x:c r="F99" s="19" t="str">
        <x:v>executable build records</x:v>
      </x:c>
      <x:c r="G99" s="20" t="n">
        <x:v>0</x:v>
      </x:c>
      <x:c r="H99" s="21" t="str">
        <x:v>OPEN</x:v>
      </x:c>
      <x:c r="I99" s="48"/>
      <x:c r="J99" s="48"/>
      <x:c r="K99" s="48"/>
      <x:c r="L99" s="48"/>
      <x:c r="M99" s="48"/>
      <x:c r="N99" s="48"/>
      <x:c r="O99" s="48"/>
      <x:c r="P99" s="48"/>
      <x:c r="Q99" s="48"/>
      <x:c r="R99" s="48"/>
      <x:c r="S99" s="48"/>
      <x:c r="T99" s="48"/>
      <x:c r="U99" s="48"/>
      <x:c r="V99" s="48"/>
      <x:c r="W99" s="48"/>
    </x:row>
    <x:row r="100">
      <x:c r="C100" s="19" t="str">
        <x:v>GT-CT-C-10</x:v>
      </x:c>
      <x:c r="D100" s="19" t="str">
        <x:v>MS-CT|C</x:v>
      </x:c>
      <x:c r="E100" s="19" t="str">
        <x:v>MS-CT</x:v>
      </x:c>
      <x:c r="F100" s="19" t="str">
        <x:v>representative subsystem evidence</x:v>
      </x:c>
      <x:c r="G100" s="20" t="n">
        <x:v>0</x:v>
      </x:c>
      <x:c r="H100" s="21" t="str">
        <x:v>OPEN</x:v>
      </x:c>
      <x:c r="I100" s="48"/>
      <x:c r="J100" s="48"/>
      <x:c r="K100" s="48"/>
      <x:c r="L100" s="48"/>
      <x:c r="M100" s="48"/>
      <x:c r="N100" s="48"/>
      <x:c r="O100" s="48"/>
      <x:c r="P100" s="48"/>
      <x:c r="Q100" s="48"/>
      <x:c r="R100" s="48"/>
      <x:c r="S100" s="48"/>
      <x:c r="T100" s="48"/>
      <x:c r="U100" s="48"/>
      <x:c r="V100" s="48"/>
      <x:c r="W100" s="48"/>
    </x:row>
    <x:row r="101">
      <x:c r="C101" s="19" t="str">
        <x:v>GT-CT-C-11</x:v>
      </x:c>
      <x:c r="D101" s="19" t="str">
        <x:v>MS-CT|C</x:v>
      </x:c>
      <x:c r="E101" s="19" t="str">
        <x:v>MS-CT</x:v>
      </x:c>
      <x:c r="F101" s="19" t="str">
        <x:v>disconnected and manual control</x:v>
      </x:c>
      <x:c r="G101" s="20" t="n">
        <x:v>0</x:v>
      </x:c>
      <x:c r="H101" s="21" t="str">
        <x:v>OPEN</x:v>
      </x:c>
      <x:c r="I101" s="48"/>
      <x:c r="J101" s="48"/>
      <x:c r="K101" s="48"/>
      <x:c r="L101" s="48"/>
      <x:c r="M101" s="48"/>
      <x:c r="N101" s="48"/>
      <x:c r="O101" s="48"/>
      <x:c r="P101" s="48"/>
      <x:c r="Q101" s="48"/>
      <x:c r="R101" s="48"/>
      <x:c r="S101" s="48"/>
      <x:c r="T101" s="48"/>
      <x:c r="U101" s="48"/>
      <x:c r="V101" s="48"/>
      <x:c r="W101" s="48"/>
    </x:row>
    <x:row r="102">
      <x:c r="C102" s="19" t="str">
        <x:v>GT-CT-C-12</x:v>
      </x:c>
      <x:c r="D102" s="19" t="str">
        <x:v>MS-CT|C</x:v>
      </x:c>
      <x:c r="E102" s="19" t="str">
        <x:v>MS-CT</x:v>
      </x:c>
      <x:c r="F102" s="19" t="str">
        <x:v>root-native evidence and outside replay</x:v>
      </x:c>
      <x:c r="G102" s="20" t="n">
        <x:v>0</x:v>
      </x:c>
      <x:c r="H102" s="21" t="str">
        <x:v>OPEN</x:v>
      </x:c>
      <x:c r="I102" s="48"/>
      <x:c r="J102" s="48"/>
      <x:c r="K102" s="48"/>
      <x:c r="L102" s="48"/>
      <x:c r="M102" s="48"/>
      <x:c r="N102" s="48"/>
      <x:c r="O102" s="48"/>
      <x:c r="P102" s="48"/>
      <x:c r="Q102" s="48"/>
      <x:c r="R102" s="48"/>
      <x:c r="S102" s="48"/>
      <x:c r="T102" s="48"/>
      <x:c r="U102" s="48"/>
      <x:c r="V102" s="48"/>
      <x:c r="W102" s="48"/>
    </x:row>
    <x:row r="103">
      <x:c r="C103" s="19" t="str">
        <x:v>GT-CT-C-13</x:v>
      </x:c>
      <x:c r="D103" s="19" t="str">
        <x:v>MS-CT|C</x:v>
      </x:c>
      <x:c r="E103" s="19" t="str">
        <x:v>MS-CT</x:v>
      </x:c>
      <x:c r="F103" s="19" t="str">
        <x:v>repair, reset and second-team reproduction</x:v>
      </x:c>
      <x:c r="G103" s="20" t="n">
        <x:v>0</x:v>
      </x:c>
      <x:c r="H103" s="21" t="str">
        <x:v>OPEN</x:v>
      </x:c>
      <x:c r="I103" s="48"/>
      <x:c r="J103" s="48"/>
      <x:c r="K103" s="48"/>
      <x:c r="L103" s="48"/>
      <x:c r="M103" s="48"/>
      <x:c r="N103" s="48"/>
      <x:c r="O103" s="48"/>
      <x:c r="P103" s="48"/>
      <x:c r="Q103" s="48"/>
      <x:c r="R103" s="48"/>
      <x:c r="S103" s="48"/>
      <x:c r="T103" s="48"/>
      <x:c r="U103" s="48"/>
      <x:c r="V103" s="48"/>
      <x:c r="W103" s="48"/>
    </x:row>
    <x:row r="104">
      <x:c r="C104" s="19" t="str">
        <x:v>GT-CT-C-14</x:v>
      </x:c>
      <x:c r="D104" s="19" t="str">
        <x:v>MS-CT|C</x:v>
      </x:c>
      <x:c r="E104" s="19" t="str">
        <x:v>MS-CT</x:v>
      </x:c>
      <x:c r="F104" s="19" t="str">
        <x:v>independent release</x:v>
      </x:c>
      <x:c r="G104" s="20" t="n">
        <x:v>0</x:v>
      </x:c>
      <x:c r="H104" s="21" t="str">
        <x:v>OPEN</x:v>
      </x:c>
      <x:c r="I104" s="48"/>
      <x:c r="J104" s="48"/>
      <x:c r="K104" s="48"/>
      <x:c r="L104" s="48"/>
      <x:c r="M104" s="48"/>
      <x:c r="N104" s="48"/>
      <x:c r="O104" s="48"/>
      <x:c r="P104" s="48"/>
      <x:c r="Q104" s="48"/>
      <x:c r="R104" s="48"/>
      <x:c r="S104" s="48"/>
      <x:c r="T104" s="48"/>
      <x:c r="U104" s="48"/>
      <x:c r="V104" s="48"/>
      <x:c r="W104" s="48"/>
    </x:row>
    <x:row r="105">
      <x:c r="C105" s="19" t="str">
        <x:v>GT-CT-D-01</x:v>
      </x:c>
      <x:c r="D105" s="19" t="str">
        <x:v>MS-CT|D</x:v>
      </x:c>
      <x:c r="E105" s="19" t="str">
        <x:v>MS-CT</x:v>
      </x:c>
      <x:c r="F105" s="19" t="str">
        <x:v>complete routes</x:v>
      </x:c>
      <x:c r="G105" s="20" t="n">
        <x:v>0</x:v>
      </x:c>
      <x:c r="H105" s="21" t="str">
        <x:v>OPEN</x:v>
      </x:c>
      <x:c r="I105" s="48"/>
      <x:c r="J105" s="48"/>
      <x:c r="K105" s="48"/>
      <x:c r="L105" s="48"/>
      <x:c r="M105" s="48"/>
      <x:c r="N105" s="48"/>
      <x:c r="O105" s="48"/>
      <x:c r="P105" s="48"/>
      <x:c r="Q105" s="48"/>
      <x:c r="R105" s="48"/>
      <x:c r="S105" s="48"/>
      <x:c r="T105" s="48"/>
      <x:c r="U105" s="48"/>
      <x:c r="V105" s="48"/>
      <x:c r="W105" s="48"/>
    </x:row>
    <x:row r="106">
      <x:c r="C106" s="19" t="str">
        <x:v>GT-CT-D-02</x:v>
      </x:c>
      <x:c r="D106" s="19" t="str">
        <x:v>MS-CT|D</x:v>
      </x:c>
      <x:c r="E106" s="19" t="str">
        <x:v>MS-CT</x:v>
      </x:c>
      <x:c r="F106" s="19" t="str">
        <x:v>seven-stage state machine</x:v>
      </x:c>
      <x:c r="G106" s="20" t="n">
        <x:v>0</x:v>
      </x:c>
      <x:c r="H106" s="21" t="str">
        <x:v>OPEN</x:v>
      </x:c>
      <x:c r="I106" s="48"/>
      <x:c r="J106" s="48"/>
      <x:c r="K106" s="48"/>
      <x:c r="L106" s="48"/>
      <x:c r="M106" s="48"/>
      <x:c r="N106" s="48"/>
      <x:c r="O106" s="48"/>
      <x:c r="P106" s="48"/>
      <x:c r="Q106" s="48"/>
      <x:c r="R106" s="48"/>
      <x:c r="S106" s="48"/>
      <x:c r="T106" s="48"/>
      <x:c r="U106" s="48"/>
      <x:c r="V106" s="48"/>
      <x:c r="W106" s="48"/>
    </x:row>
    <x:row r="107">
      <x:c r="C107" s="19" t="str">
        <x:v>GT-CT-D-03</x:v>
      </x:c>
      <x:c r="D107" s="19" t="str">
        <x:v>MS-CT|D</x:v>
      </x:c>
      <x:c r="E107" s="19" t="str">
        <x:v>MS-CT</x:v>
      </x:c>
      <x:c r="F107" s="19" t="str">
        <x:v>four-field architecture</x:v>
      </x:c>
      <x:c r="G107" s="20" t="n">
        <x:v>0</x:v>
      </x:c>
      <x:c r="H107" s="21" t="str">
        <x:v>OPEN</x:v>
      </x:c>
      <x:c r="I107" s="48"/>
      <x:c r="J107" s="48"/>
      <x:c r="K107" s="48"/>
      <x:c r="L107" s="48"/>
      <x:c r="M107" s="48"/>
      <x:c r="N107" s="48"/>
      <x:c r="O107" s="48"/>
      <x:c r="P107" s="48"/>
      <x:c r="Q107" s="48"/>
      <x:c r="R107" s="48"/>
      <x:c r="S107" s="48"/>
      <x:c r="T107" s="48"/>
      <x:c r="U107" s="48"/>
      <x:c r="V107" s="48"/>
      <x:c r="W107" s="48"/>
    </x:row>
    <x:row r="108">
      <x:c r="C108" s="19" t="str">
        <x:v>GT-CT-D-04</x:v>
      </x:c>
      <x:c r="D108" s="19" t="str">
        <x:v>MS-CT|D</x:v>
      </x:c>
      <x:c r="E108" s="19" t="str">
        <x:v>MS-CT</x:v>
      </x:c>
      <x:c r="F108" s="19" t="str">
        <x:v>numeric service thresholds</x:v>
      </x:c>
      <x:c r="G108" s="20" t="n">
        <x:v>0</x:v>
      </x:c>
      <x:c r="H108" s="21" t="str">
        <x:v>OPEN</x:v>
      </x:c>
      <x:c r="I108" s="48"/>
      <x:c r="J108" s="48"/>
      <x:c r="K108" s="48"/>
      <x:c r="L108" s="48"/>
      <x:c r="M108" s="48"/>
      <x:c r="N108" s="48"/>
      <x:c r="O108" s="48"/>
      <x:c r="P108" s="48"/>
      <x:c r="Q108" s="48"/>
      <x:c r="R108" s="48"/>
      <x:c r="S108" s="48"/>
      <x:c r="T108" s="48"/>
      <x:c r="U108" s="48"/>
      <x:c r="V108" s="48"/>
      <x:c r="W108" s="48"/>
    </x:row>
    <x:row r="109">
      <x:c r="C109" s="19" t="str">
        <x:v>GT-CT-D-05</x:v>
      </x:c>
      <x:c r="D109" s="19" t="str">
        <x:v>MS-CT|D</x:v>
      </x:c>
      <x:c r="E109" s="19" t="str">
        <x:v>MS-CT</x:v>
      </x:c>
      <x:c r="F109" s="19" t="str">
        <x:v>closed mass, energy, flow and residual accounts</x:v>
      </x:c>
      <x:c r="G109" s="20" t="n">
        <x:v>0</x:v>
      </x:c>
      <x:c r="H109" s="21" t="str">
        <x:v>OPEN</x:v>
      </x:c>
      <x:c r="I109" s="48"/>
      <x:c r="J109" s="48"/>
      <x:c r="K109" s="48"/>
      <x:c r="L109" s="48"/>
      <x:c r="M109" s="48"/>
      <x:c r="N109" s="48"/>
      <x:c r="O109" s="48"/>
      <x:c r="P109" s="48"/>
      <x:c r="Q109" s="48"/>
      <x:c r="R109" s="48"/>
      <x:c r="S109" s="48"/>
      <x:c r="T109" s="48"/>
      <x:c r="U109" s="48"/>
      <x:c r="V109" s="48"/>
      <x:c r="W109" s="48"/>
    </x:row>
    <x:row r="110">
      <x:c r="C110" s="19" t="str">
        <x:v>GT-CT-D-06</x:v>
      </x:c>
      <x:c r="D110" s="19" t="str">
        <x:v>MS-CT|D</x:v>
      </x:c>
      <x:c r="E110" s="19" t="str">
        <x:v>MS-CT</x:v>
      </x:c>
      <x:c r="F110" s="19" t="str">
        <x:v>safety and rights</x:v>
      </x:c>
      <x:c r="G110" s="20" t="n">
        <x:v>0</x:v>
      </x:c>
      <x:c r="H110" s="21" t="str">
        <x:v>OPEN</x:v>
      </x:c>
      <x:c r="I110" s="48"/>
      <x:c r="J110" s="48"/>
      <x:c r="K110" s="48"/>
      <x:c r="L110" s="48"/>
      <x:c r="M110" s="48"/>
      <x:c r="N110" s="48"/>
      <x:c r="O110" s="48"/>
      <x:c r="P110" s="48"/>
      <x:c r="Q110" s="48"/>
      <x:c r="R110" s="48"/>
      <x:c r="S110" s="48"/>
      <x:c r="T110" s="48"/>
      <x:c r="U110" s="48"/>
      <x:c r="V110" s="48"/>
      <x:c r="W110" s="48"/>
    </x:row>
    <x:row r="111">
      <x:c r="C111" s="19" t="str">
        <x:v>GT-CT-D-07</x:v>
      </x:c>
      <x:c r="D111" s="19" t="str">
        <x:v>MS-CT|D</x:v>
      </x:c>
      <x:c r="E111" s="19" t="str">
        <x:v>MS-CT</x:v>
      </x:c>
      <x:c r="F111" s="19" t="str">
        <x:v>public interface control</x:v>
      </x:c>
      <x:c r="G111" s="20" t="n">
        <x:v>0</x:v>
      </x:c>
      <x:c r="H111" s="21" t="str">
        <x:v>OPEN</x:v>
      </x:c>
      <x:c r="I111" s="48"/>
      <x:c r="J111" s="48"/>
      <x:c r="K111" s="48"/>
      <x:c r="L111" s="48"/>
      <x:c r="M111" s="48"/>
      <x:c r="N111" s="48"/>
      <x:c r="O111" s="48"/>
      <x:c r="P111" s="48"/>
      <x:c r="Q111" s="48"/>
      <x:c r="R111" s="48"/>
      <x:c r="S111" s="48"/>
      <x:c r="T111" s="48"/>
      <x:c r="U111" s="48"/>
      <x:c r="V111" s="48"/>
      <x:c r="W111" s="48"/>
    </x:row>
    <x:row r="112">
      <x:c r="C112" s="19" t="str">
        <x:v>GT-CT-D-08</x:v>
      </x:c>
      <x:c r="D112" s="19" t="str">
        <x:v>MS-CT|D</x:v>
      </x:c>
      <x:c r="E112" s="19" t="str">
        <x:v>MS-CT</x:v>
      </x:c>
      <x:c r="F112" s="19" t="str">
        <x:v>declared decisive ancestry</x:v>
      </x:c>
      <x:c r="G112" s="20" t="n">
        <x:v>0</x:v>
      </x:c>
      <x:c r="H112" s="21" t="str">
        <x:v>OPEN</x:v>
      </x:c>
      <x:c r="I112" s="48"/>
      <x:c r="J112" s="48"/>
      <x:c r="K112" s="48"/>
      <x:c r="L112" s="48"/>
      <x:c r="M112" s="48"/>
      <x:c r="N112" s="48"/>
      <x:c r="O112" s="48"/>
      <x:c r="P112" s="48"/>
      <x:c r="Q112" s="48"/>
      <x:c r="R112" s="48"/>
      <x:c r="S112" s="48"/>
      <x:c r="T112" s="48"/>
      <x:c r="U112" s="48"/>
      <x:c r="V112" s="48"/>
      <x:c r="W112" s="48"/>
    </x:row>
    <x:row r="113">
      <x:c r="C113" s="19" t="str">
        <x:v>GT-CT-D-09</x:v>
      </x:c>
      <x:c r="D113" s="19" t="str">
        <x:v>MS-CT|D</x:v>
      </x:c>
      <x:c r="E113" s="19" t="str">
        <x:v>MS-CT</x:v>
      </x:c>
      <x:c r="F113" s="19" t="str">
        <x:v>executable build records</x:v>
      </x:c>
      <x:c r="G113" s="20" t="n">
        <x:v>0</x:v>
      </x:c>
      <x:c r="H113" s="21" t="str">
        <x:v>OPEN</x:v>
      </x:c>
      <x:c r="I113" s="48"/>
      <x:c r="J113" s="48"/>
      <x:c r="K113" s="48"/>
      <x:c r="L113" s="48"/>
      <x:c r="M113" s="48"/>
      <x:c r="N113" s="48"/>
      <x:c r="O113" s="48"/>
      <x:c r="P113" s="48"/>
      <x:c r="Q113" s="48"/>
      <x:c r="R113" s="48"/>
      <x:c r="S113" s="48"/>
      <x:c r="T113" s="48"/>
      <x:c r="U113" s="48"/>
      <x:c r="V113" s="48"/>
      <x:c r="W113" s="48"/>
    </x:row>
    <x:row r="114">
      <x:c r="C114" s="19" t="str">
        <x:v>GT-CT-D-10</x:v>
      </x:c>
      <x:c r="D114" s="19" t="str">
        <x:v>MS-CT|D</x:v>
      </x:c>
      <x:c r="E114" s="19" t="str">
        <x:v>MS-CT</x:v>
      </x:c>
      <x:c r="F114" s="19" t="str">
        <x:v>representative subsystem evidence</x:v>
      </x:c>
      <x:c r="G114" s="20" t="n">
        <x:v>0</x:v>
      </x:c>
      <x:c r="H114" s="21" t="str">
        <x:v>OPEN</x:v>
      </x:c>
      <x:c r="I114" s="48"/>
      <x:c r="J114" s="48"/>
      <x:c r="K114" s="48"/>
      <x:c r="L114" s="48"/>
      <x:c r="M114" s="48"/>
      <x:c r="N114" s="48"/>
      <x:c r="O114" s="48"/>
      <x:c r="P114" s="48"/>
      <x:c r="Q114" s="48"/>
      <x:c r="R114" s="48"/>
      <x:c r="S114" s="48"/>
      <x:c r="T114" s="48"/>
      <x:c r="U114" s="48"/>
      <x:c r="V114" s="48"/>
      <x:c r="W114" s="48"/>
    </x:row>
    <x:row r="115">
      <x:c r="C115" s="19" t="str">
        <x:v>GT-CT-D-11</x:v>
      </x:c>
      <x:c r="D115" s="19" t="str">
        <x:v>MS-CT|D</x:v>
      </x:c>
      <x:c r="E115" s="19" t="str">
        <x:v>MS-CT</x:v>
      </x:c>
      <x:c r="F115" s="19" t="str">
        <x:v>disconnected and manual control</x:v>
      </x:c>
      <x:c r="G115" s="20" t="n">
        <x:v>0</x:v>
      </x:c>
      <x:c r="H115" s="21" t="str">
        <x:v>OPEN</x:v>
      </x:c>
      <x:c r="I115" s="48"/>
      <x:c r="J115" s="48"/>
      <x:c r="K115" s="48"/>
      <x:c r="L115" s="48"/>
      <x:c r="M115" s="48"/>
      <x:c r="N115" s="48"/>
      <x:c r="O115" s="48"/>
      <x:c r="P115" s="48"/>
      <x:c r="Q115" s="48"/>
      <x:c r="R115" s="48"/>
      <x:c r="S115" s="48"/>
      <x:c r="T115" s="48"/>
      <x:c r="U115" s="48"/>
      <x:c r="V115" s="48"/>
      <x:c r="W115" s="48"/>
    </x:row>
    <x:row r="116">
      <x:c r="C116" s="19" t="str">
        <x:v>GT-CT-D-12</x:v>
      </x:c>
      <x:c r="D116" s="19" t="str">
        <x:v>MS-CT|D</x:v>
      </x:c>
      <x:c r="E116" s="19" t="str">
        <x:v>MS-CT</x:v>
      </x:c>
      <x:c r="F116" s="19" t="str">
        <x:v>root-native evidence and outside replay</x:v>
      </x:c>
      <x:c r="G116" s="20" t="n">
        <x:v>0</x:v>
      </x:c>
      <x:c r="H116" s="21" t="str">
        <x:v>OPEN</x:v>
      </x:c>
      <x:c r="I116" s="48"/>
      <x:c r="J116" s="48"/>
      <x:c r="K116" s="48"/>
      <x:c r="L116" s="48"/>
      <x:c r="M116" s="48"/>
      <x:c r="N116" s="48"/>
      <x:c r="O116" s="48"/>
      <x:c r="P116" s="48"/>
      <x:c r="Q116" s="48"/>
      <x:c r="R116" s="48"/>
      <x:c r="S116" s="48"/>
      <x:c r="T116" s="48"/>
      <x:c r="U116" s="48"/>
      <x:c r="V116" s="48"/>
      <x:c r="W116" s="48"/>
    </x:row>
    <x:row r="117">
      <x:c r="C117" s="19" t="str">
        <x:v>GT-CT-D-13</x:v>
      </x:c>
      <x:c r="D117" s="19" t="str">
        <x:v>MS-CT|D</x:v>
      </x:c>
      <x:c r="E117" s="19" t="str">
        <x:v>MS-CT</x:v>
      </x:c>
      <x:c r="F117" s="19" t="str">
        <x:v>repair, reset and second-team reproduction</x:v>
      </x:c>
      <x:c r="G117" s="20" t="n">
        <x:v>0</x:v>
      </x:c>
      <x:c r="H117" s="21" t="str">
        <x:v>OPEN</x:v>
      </x:c>
      <x:c r="I117" s="48"/>
      <x:c r="J117" s="48"/>
      <x:c r="K117" s="48"/>
      <x:c r="L117" s="48"/>
      <x:c r="M117" s="48"/>
      <x:c r="N117" s="48"/>
      <x:c r="O117" s="48"/>
      <x:c r="P117" s="48"/>
      <x:c r="Q117" s="48"/>
      <x:c r="R117" s="48"/>
      <x:c r="S117" s="48"/>
      <x:c r="T117" s="48"/>
      <x:c r="U117" s="48"/>
      <x:c r="V117" s="48"/>
      <x:c r="W117" s="48"/>
    </x:row>
    <x:row r="118">
      <x:c r="C118" s="19" t="str">
        <x:v>GT-CT-D-14</x:v>
      </x:c>
      <x:c r="D118" s="19" t="str">
        <x:v>MS-CT|D</x:v>
      </x:c>
      <x:c r="E118" s="19" t="str">
        <x:v>MS-CT</x:v>
      </x:c>
      <x:c r="F118" s="19" t="str">
        <x:v>independent release</x:v>
      </x:c>
      <x:c r="G118" s="20" t="n">
        <x:v>0</x:v>
      </x:c>
      <x:c r="H118" s="21" t="str">
        <x:v>OPEN</x:v>
      </x:c>
      <x:c r="I118" s="48"/>
      <x:c r="J118" s="48"/>
      <x:c r="K118" s="48"/>
      <x:c r="L118" s="48"/>
      <x:c r="M118" s="48"/>
      <x:c r="N118" s="48"/>
      <x:c r="O118" s="48"/>
      <x:c r="P118" s="48"/>
      <x:c r="Q118" s="48"/>
      <x:c r="R118" s="48"/>
      <x:c r="S118" s="48"/>
      <x:c r="T118" s="48"/>
      <x:c r="U118" s="48"/>
      <x:c r="V118" s="48"/>
      <x:c r="W118" s="48"/>
    </x:row>
    <x:row r="119">
      <x:c r="C119" s="19" t="str">
        <x:v>GT-HC-A-01</x:v>
      </x:c>
      <x:c r="D119" s="19" t="str">
        <x:v>MS-HC|A</x:v>
      </x:c>
      <x:c r="E119" s="19" t="str">
        <x:v>MS-HC</x:v>
      </x:c>
      <x:c r="F119" s="19" t="str">
        <x:v>complete routes</x:v>
      </x:c>
      <x:c r="G119" s="20" t="n">
        <x:v>0</x:v>
      </x:c>
      <x:c r="H119" s="21" t="str">
        <x:v>OPEN</x:v>
      </x:c>
      <x:c r="I119" s="48"/>
      <x:c r="J119" s="48"/>
      <x:c r="K119" s="48"/>
      <x:c r="L119" s="48"/>
      <x:c r="M119" s="48"/>
      <x:c r="N119" s="48"/>
      <x:c r="O119" s="48"/>
      <x:c r="P119" s="48"/>
      <x:c r="Q119" s="48"/>
      <x:c r="R119" s="48"/>
      <x:c r="S119" s="48"/>
      <x:c r="T119" s="48"/>
      <x:c r="U119" s="48"/>
      <x:c r="V119" s="48"/>
      <x:c r="W119" s="48"/>
    </x:row>
    <x:row r="120">
      <x:c r="C120" s="19" t="str">
        <x:v>GT-HC-A-02</x:v>
      </x:c>
      <x:c r="D120" s="19" t="str">
        <x:v>MS-HC|A</x:v>
      </x:c>
      <x:c r="E120" s="19" t="str">
        <x:v>MS-HC</x:v>
      </x:c>
      <x:c r="F120" s="19" t="str">
        <x:v>seven-stage state machine</x:v>
      </x:c>
      <x:c r="G120" s="20" t="n">
        <x:v>0</x:v>
      </x:c>
      <x:c r="H120" s="21" t="str">
        <x:v>OPEN</x:v>
      </x:c>
      <x:c r="I120" s="48"/>
      <x:c r="J120" s="48"/>
      <x:c r="K120" s="48"/>
      <x:c r="L120" s="48"/>
      <x:c r="M120" s="48"/>
      <x:c r="N120" s="48"/>
      <x:c r="O120" s="48"/>
      <x:c r="P120" s="48"/>
      <x:c r="Q120" s="48"/>
      <x:c r="R120" s="48"/>
      <x:c r="S120" s="48"/>
      <x:c r="T120" s="48"/>
      <x:c r="U120" s="48"/>
      <x:c r="V120" s="48"/>
      <x:c r="W120" s="48"/>
    </x:row>
    <x:row r="121">
      <x:c r="C121" s="19" t="str">
        <x:v>GT-HC-A-03</x:v>
      </x:c>
      <x:c r="D121" s="19" t="str">
        <x:v>MS-HC|A</x:v>
      </x:c>
      <x:c r="E121" s="19" t="str">
        <x:v>MS-HC</x:v>
      </x:c>
      <x:c r="F121" s="19" t="str">
        <x:v>four-field architecture</x:v>
      </x:c>
      <x:c r="G121" s="20" t="n">
        <x:v>0</x:v>
      </x:c>
      <x:c r="H121" s="21" t="str">
        <x:v>OPEN</x:v>
      </x:c>
      <x:c r="I121" s="48"/>
      <x:c r="J121" s="48"/>
      <x:c r="K121" s="48"/>
      <x:c r="L121" s="48"/>
      <x:c r="M121" s="48"/>
      <x:c r="N121" s="48"/>
      <x:c r="O121" s="48"/>
      <x:c r="P121" s="48"/>
      <x:c r="Q121" s="48"/>
      <x:c r="R121" s="48"/>
      <x:c r="S121" s="48"/>
      <x:c r="T121" s="48"/>
      <x:c r="U121" s="48"/>
      <x:c r="V121" s="48"/>
      <x:c r="W121" s="48"/>
    </x:row>
    <x:row r="122">
      <x:c r="C122" s="19" t="str">
        <x:v>GT-HC-A-04</x:v>
      </x:c>
      <x:c r="D122" s="19" t="str">
        <x:v>MS-HC|A</x:v>
      </x:c>
      <x:c r="E122" s="19" t="str">
        <x:v>MS-HC</x:v>
      </x:c>
      <x:c r="F122" s="19" t="str">
        <x:v>numeric service thresholds</x:v>
      </x:c>
      <x:c r="G122" s="20" t="n">
        <x:v>0</x:v>
      </x:c>
      <x:c r="H122" s="21" t="str">
        <x:v>OPEN</x:v>
      </x:c>
      <x:c r="I122" s="48"/>
      <x:c r="J122" s="48"/>
      <x:c r="K122" s="48"/>
      <x:c r="L122" s="48"/>
      <x:c r="M122" s="48"/>
      <x:c r="N122" s="48"/>
      <x:c r="O122" s="48"/>
      <x:c r="P122" s="48"/>
      <x:c r="Q122" s="48"/>
      <x:c r="R122" s="48"/>
      <x:c r="S122" s="48"/>
      <x:c r="T122" s="48"/>
      <x:c r="U122" s="48"/>
      <x:c r="V122" s="48"/>
      <x:c r="W122" s="48"/>
    </x:row>
    <x:row r="123">
      <x:c r="C123" s="19" t="str">
        <x:v>GT-HC-A-05</x:v>
      </x:c>
      <x:c r="D123" s="19" t="str">
        <x:v>MS-HC|A</x:v>
      </x:c>
      <x:c r="E123" s="19" t="str">
        <x:v>MS-HC</x:v>
      </x:c>
      <x:c r="F123" s="19" t="str">
        <x:v>closed mass, energy, flow and residual accounts</x:v>
      </x:c>
      <x:c r="G123" s="20" t="n">
        <x:v>0</x:v>
      </x:c>
      <x:c r="H123" s="21" t="str">
        <x:v>OPEN</x:v>
      </x:c>
      <x:c r="I123" s="48"/>
      <x:c r="J123" s="48"/>
      <x:c r="K123" s="48"/>
      <x:c r="L123" s="48"/>
      <x:c r="M123" s="48"/>
      <x:c r="N123" s="48"/>
      <x:c r="O123" s="48"/>
      <x:c r="P123" s="48"/>
      <x:c r="Q123" s="48"/>
      <x:c r="R123" s="48"/>
      <x:c r="S123" s="48"/>
      <x:c r="T123" s="48"/>
      <x:c r="U123" s="48"/>
      <x:c r="V123" s="48"/>
      <x:c r="W123" s="48"/>
    </x:row>
    <x:row r="124">
      <x:c r="C124" s="19" t="str">
        <x:v>GT-HC-A-06</x:v>
      </x:c>
      <x:c r="D124" s="19" t="str">
        <x:v>MS-HC|A</x:v>
      </x:c>
      <x:c r="E124" s="19" t="str">
        <x:v>MS-HC</x:v>
      </x:c>
      <x:c r="F124" s="19" t="str">
        <x:v>safety and rights</x:v>
      </x:c>
      <x:c r="G124" s="20" t="n">
        <x:v>0</x:v>
      </x:c>
      <x:c r="H124" s="21" t="str">
        <x:v>OPEN</x:v>
      </x:c>
      <x:c r="I124" s="48"/>
      <x:c r="J124" s="48"/>
      <x:c r="K124" s="48"/>
      <x:c r="L124" s="48"/>
      <x:c r="M124" s="48"/>
      <x:c r="N124" s="48"/>
      <x:c r="O124" s="48"/>
      <x:c r="P124" s="48"/>
      <x:c r="Q124" s="48"/>
      <x:c r="R124" s="48"/>
      <x:c r="S124" s="48"/>
      <x:c r="T124" s="48"/>
      <x:c r="U124" s="48"/>
      <x:c r="V124" s="48"/>
      <x:c r="W124" s="48"/>
    </x:row>
    <x:row r="125">
      <x:c r="C125" s="19" t="str">
        <x:v>GT-HC-A-07</x:v>
      </x:c>
      <x:c r="D125" s="19" t="str">
        <x:v>MS-HC|A</x:v>
      </x:c>
      <x:c r="E125" s="19" t="str">
        <x:v>MS-HC</x:v>
      </x:c>
      <x:c r="F125" s="19" t="str">
        <x:v>public interface control</x:v>
      </x:c>
      <x:c r="G125" s="20" t="n">
        <x:v>0</x:v>
      </x:c>
      <x:c r="H125" s="21" t="str">
        <x:v>OPEN</x:v>
      </x:c>
      <x:c r="I125" s="48"/>
      <x:c r="J125" s="48"/>
      <x:c r="K125" s="48"/>
      <x:c r="L125" s="48"/>
      <x:c r="M125" s="48"/>
      <x:c r="N125" s="48"/>
      <x:c r="O125" s="48"/>
      <x:c r="P125" s="48"/>
      <x:c r="Q125" s="48"/>
      <x:c r="R125" s="48"/>
      <x:c r="S125" s="48"/>
      <x:c r="T125" s="48"/>
      <x:c r="U125" s="48"/>
      <x:c r="V125" s="48"/>
      <x:c r="W125" s="48"/>
    </x:row>
    <x:row r="126">
      <x:c r="C126" s="19" t="str">
        <x:v>GT-HC-A-08</x:v>
      </x:c>
      <x:c r="D126" s="19" t="str">
        <x:v>MS-HC|A</x:v>
      </x:c>
      <x:c r="E126" s="19" t="str">
        <x:v>MS-HC</x:v>
      </x:c>
      <x:c r="F126" s="19" t="str">
        <x:v>declared decisive ancestry</x:v>
      </x:c>
      <x:c r="G126" s="20" t="n">
        <x:v>0</x:v>
      </x:c>
      <x:c r="H126" s="21" t="str">
        <x:v>OPEN</x:v>
      </x:c>
      <x:c r="I126" s="48"/>
      <x:c r="J126" s="48"/>
      <x:c r="K126" s="48"/>
      <x:c r="L126" s="48"/>
      <x:c r="M126" s="48"/>
      <x:c r="N126" s="48"/>
      <x:c r="O126" s="48"/>
      <x:c r="P126" s="48"/>
      <x:c r="Q126" s="48"/>
      <x:c r="R126" s="48"/>
      <x:c r="S126" s="48"/>
      <x:c r="T126" s="48"/>
      <x:c r="U126" s="48"/>
      <x:c r="V126" s="48"/>
      <x:c r="W126" s="48"/>
    </x:row>
    <x:row r="127">
      <x:c r="C127" s="19" t="str">
        <x:v>GT-HC-A-09</x:v>
      </x:c>
      <x:c r="D127" s="19" t="str">
        <x:v>MS-HC|A</x:v>
      </x:c>
      <x:c r="E127" s="19" t="str">
        <x:v>MS-HC</x:v>
      </x:c>
      <x:c r="F127" s="19" t="str">
        <x:v>executable build records</x:v>
      </x:c>
      <x:c r="G127" s="20" t="n">
        <x:v>0</x:v>
      </x:c>
      <x:c r="H127" s="21" t="str">
        <x:v>OPEN</x:v>
      </x:c>
      <x:c r="I127" s="48"/>
      <x:c r="J127" s="48"/>
      <x:c r="K127" s="48"/>
      <x:c r="L127" s="48"/>
      <x:c r="M127" s="48"/>
      <x:c r="N127" s="48"/>
      <x:c r="O127" s="48"/>
      <x:c r="P127" s="48"/>
      <x:c r="Q127" s="48"/>
      <x:c r="R127" s="48"/>
      <x:c r="S127" s="48"/>
      <x:c r="T127" s="48"/>
      <x:c r="U127" s="48"/>
      <x:c r="V127" s="48"/>
      <x:c r="W127" s="48"/>
    </x:row>
    <x:row r="128">
      <x:c r="C128" s="19" t="str">
        <x:v>GT-HC-A-10</x:v>
      </x:c>
      <x:c r="D128" s="19" t="str">
        <x:v>MS-HC|A</x:v>
      </x:c>
      <x:c r="E128" s="19" t="str">
        <x:v>MS-HC</x:v>
      </x:c>
      <x:c r="F128" s="19" t="str">
        <x:v>representative subsystem evidence</x:v>
      </x:c>
      <x:c r="G128" s="20" t="n">
        <x:v>0</x:v>
      </x:c>
      <x:c r="H128" s="21" t="str">
        <x:v>OPEN</x:v>
      </x:c>
      <x:c r="I128" s="48"/>
      <x:c r="J128" s="48"/>
      <x:c r="K128" s="48"/>
      <x:c r="L128" s="48"/>
      <x:c r="M128" s="48"/>
      <x:c r="N128" s="48"/>
      <x:c r="O128" s="48"/>
      <x:c r="P128" s="48"/>
      <x:c r="Q128" s="48"/>
      <x:c r="R128" s="48"/>
      <x:c r="S128" s="48"/>
      <x:c r="T128" s="48"/>
      <x:c r="U128" s="48"/>
      <x:c r="V128" s="48"/>
      <x:c r="W128" s="48"/>
    </x:row>
    <x:row r="129">
      <x:c r="C129" s="19" t="str">
        <x:v>GT-HC-A-11</x:v>
      </x:c>
      <x:c r="D129" s="19" t="str">
        <x:v>MS-HC|A</x:v>
      </x:c>
      <x:c r="E129" s="19" t="str">
        <x:v>MS-HC</x:v>
      </x:c>
      <x:c r="F129" s="19" t="str">
        <x:v>disconnected and manual control</x:v>
      </x:c>
      <x:c r="G129" s="20" t="n">
        <x:v>0</x:v>
      </x:c>
      <x:c r="H129" s="21" t="str">
        <x:v>OPEN</x:v>
      </x:c>
      <x:c r="I129" s="48"/>
      <x:c r="J129" s="48"/>
      <x:c r="K129" s="48"/>
      <x:c r="L129" s="48"/>
      <x:c r="M129" s="48"/>
      <x:c r="N129" s="48"/>
      <x:c r="O129" s="48"/>
      <x:c r="P129" s="48"/>
      <x:c r="Q129" s="48"/>
      <x:c r="R129" s="48"/>
      <x:c r="S129" s="48"/>
      <x:c r="T129" s="48"/>
      <x:c r="U129" s="48"/>
      <x:c r="V129" s="48"/>
      <x:c r="W129" s="48"/>
    </x:row>
    <x:row r="130">
      <x:c r="C130" s="19" t="str">
        <x:v>GT-HC-A-12</x:v>
      </x:c>
      <x:c r="D130" s="19" t="str">
        <x:v>MS-HC|A</x:v>
      </x:c>
      <x:c r="E130" s="19" t="str">
        <x:v>MS-HC</x:v>
      </x:c>
      <x:c r="F130" s="19" t="str">
        <x:v>root-native evidence and outside replay</x:v>
      </x:c>
      <x:c r="G130" s="20" t="n">
        <x:v>0</x:v>
      </x:c>
      <x:c r="H130" s="21" t="str">
        <x:v>OPEN</x:v>
      </x:c>
      <x:c r="I130" s="48"/>
      <x:c r="J130" s="48"/>
      <x:c r="K130" s="48"/>
      <x:c r="L130" s="48"/>
      <x:c r="M130" s="48"/>
      <x:c r="N130" s="48"/>
      <x:c r="O130" s="48"/>
      <x:c r="P130" s="48"/>
      <x:c r="Q130" s="48"/>
      <x:c r="R130" s="48"/>
      <x:c r="S130" s="48"/>
      <x:c r="T130" s="48"/>
      <x:c r="U130" s="48"/>
      <x:c r="V130" s="48"/>
      <x:c r="W130" s="48"/>
    </x:row>
    <x:row r="131">
      <x:c r="C131" s="19" t="str">
        <x:v>GT-HC-A-13</x:v>
      </x:c>
      <x:c r="D131" s="19" t="str">
        <x:v>MS-HC|A</x:v>
      </x:c>
      <x:c r="E131" s="19" t="str">
        <x:v>MS-HC</x:v>
      </x:c>
      <x:c r="F131" s="19" t="str">
        <x:v>repair, reset and second-team reproduction</x:v>
      </x:c>
      <x:c r="G131" s="20" t="n">
        <x:v>0</x:v>
      </x:c>
      <x:c r="H131" s="21" t="str">
        <x:v>OPEN</x:v>
      </x:c>
      <x:c r="I131" s="48"/>
      <x:c r="J131" s="48"/>
      <x:c r="K131" s="48"/>
      <x:c r="L131" s="48"/>
      <x:c r="M131" s="48"/>
      <x:c r="N131" s="48"/>
      <x:c r="O131" s="48"/>
      <x:c r="P131" s="48"/>
      <x:c r="Q131" s="48"/>
      <x:c r="R131" s="48"/>
      <x:c r="S131" s="48"/>
      <x:c r="T131" s="48"/>
      <x:c r="U131" s="48"/>
      <x:c r="V131" s="48"/>
      <x:c r="W131" s="48"/>
    </x:row>
    <x:row r="132">
      <x:c r="C132" s="19" t="str">
        <x:v>GT-HC-A-14</x:v>
      </x:c>
      <x:c r="D132" s="19" t="str">
        <x:v>MS-HC|A</x:v>
      </x:c>
      <x:c r="E132" s="19" t="str">
        <x:v>MS-HC</x:v>
      </x:c>
      <x:c r="F132" s="19" t="str">
        <x:v>independent release</x:v>
      </x:c>
      <x:c r="G132" s="20" t="n">
        <x:v>0</x:v>
      </x:c>
      <x:c r="H132" s="21" t="str">
        <x:v>OPEN</x:v>
      </x:c>
      <x:c r="I132" s="48"/>
      <x:c r="J132" s="48"/>
      <x:c r="K132" s="48"/>
      <x:c r="L132" s="48"/>
      <x:c r="M132" s="48"/>
      <x:c r="N132" s="48"/>
      <x:c r="O132" s="48"/>
      <x:c r="P132" s="48"/>
      <x:c r="Q132" s="48"/>
      <x:c r="R132" s="48"/>
      <x:c r="S132" s="48"/>
      <x:c r="T132" s="48"/>
      <x:c r="U132" s="48"/>
      <x:c r="V132" s="48"/>
      <x:c r="W132" s="48"/>
    </x:row>
    <x:row r="133">
      <x:c r="C133" s="19" t="str">
        <x:v>GT-HC-B-01</x:v>
      </x:c>
      <x:c r="D133" s="19" t="str">
        <x:v>MS-HC|B</x:v>
      </x:c>
      <x:c r="E133" s="19" t="str">
        <x:v>MS-HC</x:v>
      </x:c>
      <x:c r="F133" s="19" t="str">
        <x:v>complete routes</x:v>
      </x:c>
      <x:c r="G133" s="20" t="n">
        <x:v>0</x:v>
      </x:c>
      <x:c r="H133" s="21" t="str">
        <x:v>OPEN</x:v>
      </x:c>
      <x:c r="I133" s="48"/>
      <x:c r="J133" s="48"/>
      <x:c r="K133" s="48"/>
      <x:c r="L133" s="48"/>
      <x:c r="M133" s="48"/>
      <x:c r="N133" s="48"/>
      <x:c r="O133" s="48"/>
      <x:c r="P133" s="48"/>
      <x:c r="Q133" s="48"/>
      <x:c r="R133" s="48"/>
      <x:c r="S133" s="48"/>
      <x:c r="T133" s="48"/>
      <x:c r="U133" s="48"/>
      <x:c r="V133" s="48"/>
      <x:c r="W133" s="48"/>
    </x:row>
    <x:row r="134">
      <x:c r="C134" s="19" t="str">
        <x:v>GT-HC-B-02</x:v>
      </x:c>
      <x:c r="D134" s="19" t="str">
        <x:v>MS-HC|B</x:v>
      </x:c>
      <x:c r="E134" s="19" t="str">
        <x:v>MS-HC</x:v>
      </x:c>
      <x:c r="F134" s="19" t="str">
        <x:v>seven-stage state machine</x:v>
      </x:c>
      <x:c r="G134" s="20" t="n">
        <x:v>0</x:v>
      </x:c>
      <x:c r="H134" s="21" t="str">
        <x:v>OPEN</x:v>
      </x:c>
      <x:c r="I134" s="48"/>
      <x:c r="J134" s="48"/>
      <x:c r="K134" s="48"/>
      <x:c r="L134" s="48"/>
      <x:c r="M134" s="48"/>
      <x:c r="N134" s="48"/>
      <x:c r="O134" s="48"/>
      <x:c r="P134" s="48"/>
      <x:c r="Q134" s="48"/>
      <x:c r="R134" s="48"/>
      <x:c r="S134" s="48"/>
      <x:c r="T134" s="48"/>
      <x:c r="U134" s="48"/>
      <x:c r="V134" s="48"/>
      <x:c r="W134" s="48"/>
    </x:row>
    <x:row r="135">
      <x:c r="C135" s="19" t="str">
        <x:v>GT-HC-B-03</x:v>
      </x:c>
      <x:c r="D135" s="19" t="str">
        <x:v>MS-HC|B</x:v>
      </x:c>
      <x:c r="E135" s="19" t="str">
        <x:v>MS-HC</x:v>
      </x:c>
      <x:c r="F135" s="19" t="str">
        <x:v>four-field architecture</x:v>
      </x:c>
      <x:c r="G135" s="20" t="n">
        <x:v>0</x:v>
      </x:c>
      <x:c r="H135" s="21" t="str">
        <x:v>OPEN</x:v>
      </x:c>
      <x:c r="I135" s="48"/>
      <x:c r="J135" s="48"/>
      <x:c r="K135" s="48"/>
      <x:c r="L135" s="48"/>
      <x:c r="M135" s="48"/>
      <x:c r="N135" s="48"/>
      <x:c r="O135" s="48"/>
      <x:c r="P135" s="48"/>
      <x:c r="Q135" s="48"/>
      <x:c r="R135" s="48"/>
      <x:c r="S135" s="48"/>
      <x:c r="T135" s="48"/>
      <x:c r="U135" s="48"/>
      <x:c r="V135" s="48"/>
      <x:c r="W135" s="48"/>
    </x:row>
    <x:row r="136">
      <x:c r="C136" s="19" t="str">
        <x:v>GT-HC-B-04</x:v>
      </x:c>
      <x:c r="D136" s="19" t="str">
        <x:v>MS-HC|B</x:v>
      </x:c>
      <x:c r="E136" s="19" t="str">
        <x:v>MS-HC</x:v>
      </x:c>
      <x:c r="F136" s="19" t="str">
        <x:v>numeric service thresholds</x:v>
      </x:c>
      <x:c r="G136" s="20" t="n">
        <x:v>0</x:v>
      </x:c>
      <x:c r="H136" s="21" t="str">
        <x:v>OPEN</x:v>
      </x:c>
      <x:c r="I136" s="48"/>
      <x:c r="J136" s="48"/>
      <x:c r="K136" s="48"/>
      <x:c r="L136" s="48"/>
      <x:c r="M136" s="48"/>
      <x:c r="N136" s="48"/>
      <x:c r="O136" s="48"/>
      <x:c r="P136" s="48"/>
      <x:c r="Q136" s="48"/>
      <x:c r="R136" s="48"/>
      <x:c r="S136" s="48"/>
      <x:c r="T136" s="48"/>
      <x:c r="U136" s="48"/>
      <x:c r="V136" s="48"/>
      <x:c r="W136" s="48"/>
    </x:row>
    <x:row r="137">
      <x:c r="C137" s="19" t="str">
        <x:v>GT-HC-B-05</x:v>
      </x:c>
      <x:c r="D137" s="19" t="str">
        <x:v>MS-HC|B</x:v>
      </x:c>
      <x:c r="E137" s="19" t="str">
        <x:v>MS-HC</x:v>
      </x:c>
      <x:c r="F137" s="19" t="str">
        <x:v>closed mass, energy, flow and residual accounts</x:v>
      </x:c>
      <x:c r="G137" s="20" t="n">
        <x:v>0</x:v>
      </x:c>
      <x:c r="H137" s="21" t="str">
        <x:v>OPEN</x:v>
      </x:c>
      <x:c r="I137" s="48"/>
      <x:c r="J137" s="48"/>
      <x:c r="K137" s="48"/>
      <x:c r="L137" s="48"/>
      <x:c r="M137" s="48"/>
      <x:c r="N137" s="48"/>
      <x:c r="O137" s="48"/>
      <x:c r="P137" s="48"/>
      <x:c r="Q137" s="48"/>
      <x:c r="R137" s="48"/>
      <x:c r="S137" s="48"/>
      <x:c r="T137" s="48"/>
      <x:c r="U137" s="48"/>
      <x:c r="V137" s="48"/>
      <x:c r="W137" s="48"/>
    </x:row>
    <x:row r="138">
      <x:c r="C138" s="19" t="str">
        <x:v>GT-HC-B-06</x:v>
      </x:c>
      <x:c r="D138" s="19" t="str">
        <x:v>MS-HC|B</x:v>
      </x:c>
      <x:c r="E138" s="19" t="str">
        <x:v>MS-HC</x:v>
      </x:c>
      <x:c r="F138" s="19" t="str">
        <x:v>safety and rights</x:v>
      </x:c>
      <x:c r="G138" s="20" t="n">
        <x:v>0</x:v>
      </x:c>
      <x:c r="H138" s="21" t="str">
        <x:v>OPEN</x:v>
      </x:c>
      <x:c r="I138" s="48"/>
      <x:c r="J138" s="48"/>
      <x:c r="K138" s="48"/>
      <x:c r="L138" s="48"/>
      <x:c r="M138" s="48"/>
      <x:c r="N138" s="48"/>
      <x:c r="O138" s="48"/>
      <x:c r="P138" s="48"/>
      <x:c r="Q138" s="48"/>
      <x:c r="R138" s="48"/>
      <x:c r="S138" s="48"/>
      <x:c r="T138" s="48"/>
      <x:c r="U138" s="48"/>
      <x:c r="V138" s="48"/>
      <x:c r="W138" s="48"/>
    </x:row>
    <x:row r="139">
      <x:c r="C139" s="19" t="str">
        <x:v>GT-HC-B-07</x:v>
      </x:c>
      <x:c r="D139" s="19" t="str">
        <x:v>MS-HC|B</x:v>
      </x:c>
      <x:c r="E139" s="19" t="str">
        <x:v>MS-HC</x:v>
      </x:c>
      <x:c r="F139" s="19" t="str">
        <x:v>public interface control</x:v>
      </x:c>
      <x:c r="G139" s="20" t="n">
        <x:v>0</x:v>
      </x:c>
      <x:c r="H139" s="21" t="str">
        <x:v>OPEN</x:v>
      </x:c>
      <x:c r="I139" s="48"/>
      <x:c r="J139" s="48"/>
      <x:c r="K139" s="48"/>
      <x:c r="L139" s="48"/>
      <x:c r="M139" s="48"/>
      <x:c r="N139" s="48"/>
      <x:c r="O139" s="48"/>
      <x:c r="P139" s="48"/>
      <x:c r="Q139" s="48"/>
      <x:c r="R139" s="48"/>
      <x:c r="S139" s="48"/>
      <x:c r="T139" s="48"/>
      <x:c r="U139" s="48"/>
      <x:c r="V139" s="48"/>
      <x:c r="W139" s="48"/>
    </x:row>
    <x:row r="140">
      <x:c r="C140" s="19" t="str">
        <x:v>GT-HC-B-08</x:v>
      </x:c>
      <x:c r="D140" s="19" t="str">
        <x:v>MS-HC|B</x:v>
      </x:c>
      <x:c r="E140" s="19" t="str">
        <x:v>MS-HC</x:v>
      </x:c>
      <x:c r="F140" s="19" t="str">
        <x:v>declared decisive ancestry</x:v>
      </x:c>
      <x:c r="G140" s="20" t="n">
        <x:v>0</x:v>
      </x:c>
      <x:c r="H140" s="21" t="str">
        <x:v>OPEN</x:v>
      </x:c>
      <x:c r="I140" s="48"/>
      <x:c r="J140" s="48"/>
      <x:c r="K140" s="48"/>
      <x:c r="L140" s="48"/>
      <x:c r="M140" s="48"/>
      <x:c r="N140" s="48"/>
      <x:c r="O140" s="48"/>
      <x:c r="P140" s="48"/>
      <x:c r="Q140" s="48"/>
      <x:c r="R140" s="48"/>
      <x:c r="S140" s="48"/>
      <x:c r="T140" s="48"/>
      <x:c r="U140" s="48"/>
      <x:c r="V140" s="48"/>
      <x:c r="W140" s="48"/>
    </x:row>
    <x:row r="141">
      <x:c r="C141" s="19" t="str">
        <x:v>GT-HC-B-09</x:v>
      </x:c>
      <x:c r="D141" s="19" t="str">
        <x:v>MS-HC|B</x:v>
      </x:c>
      <x:c r="E141" s="19" t="str">
        <x:v>MS-HC</x:v>
      </x:c>
      <x:c r="F141" s="19" t="str">
        <x:v>executable build records</x:v>
      </x:c>
      <x:c r="G141" s="20" t="n">
        <x:v>0</x:v>
      </x:c>
      <x:c r="H141" s="21" t="str">
        <x:v>OPEN</x:v>
      </x:c>
      <x:c r="I141" s="48"/>
      <x:c r="J141" s="48"/>
      <x:c r="K141" s="48"/>
      <x:c r="L141" s="48"/>
      <x:c r="M141" s="48"/>
      <x:c r="N141" s="48"/>
      <x:c r="O141" s="48"/>
      <x:c r="P141" s="48"/>
      <x:c r="Q141" s="48"/>
      <x:c r="R141" s="48"/>
      <x:c r="S141" s="48"/>
      <x:c r="T141" s="48"/>
      <x:c r="U141" s="48"/>
      <x:c r="V141" s="48"/>
      <x:c r="W141" s="48"/>
    </x:row>
    <x:row r="142">
      <x:c r="C142" s="19" t="str">
        <x:v>GT-HC-B-10</x:v>
      </x:c>
      <x:c r="D142" s="19" t="str">
        <x:v>MS-HC|B</x:v>
      </x:c>
      <x:c r="E142" s="19" t="str">
        <x:v>MS-HC</x:v>
      </x:c>
      <x:c r="F142" s="19" t="str">
        <x:v>representative subsystem evidence</x:v>
      </x:c>
      <x:c r="G142" s="20" t="n">
        <x:v>0</x:v>
      </x:c>
      <x:c r="H142" s="21" t="str">
        <x:v>OPEN</x:v>
      </x:c>
      <x:c r="I142" s="48"/>
      <x:c r="J142" s="48"/>
      <x:c r="K142" s="48"/>
      <x:c r="L142" s="48"/>
      <x:c r="M142" s="48"/>
      <x:c r="N142" s="48"/>
      <x:c r="O142" s="48"/>
      <x:c r="P142" s="48"/>
      <x:c r="Q142" s="48"/>
      <x:c r="R142" s="48"/>
      <x:c r="S142" s="48"/>
      <x:c r="T142" s="48"/>
      <x:c r="U142" s="48"/>
      <x:c r="V142" s="48"/>
      <x:c r="W142" s="48"/>
    </x:row>
    <x:row r="143">
      <x:c r="C143" s="19" t="str">
        <x:v>GT-HC-B-11</x:v>
      </x:c>
      <x:c r="D143" s="19" t="str">
        <x:v>MS-HC|B</x:v>
      </x:c>
      <x:c r="E143" s="19" t="str">
        <x:v>MS-HC</x:v>
      </x:c>
      <x:c r="F143" s="19" t="str">
        <x:v>disconnected and manual control</x:v>
      </x:c>
      <x:c r="G143" s="20" t="n">
        <x:v>0</x:v>
      </x:c>
      <x:c r="H143" s="21" t="str">
        <x:v>OPEN</x:v>
      </x:c>
      <x:c r="I143" s="48"/>
      <x:c r="J143" s="48"/>
      <x:c r="K143" s="48"/>
      <x:c r="L143" s="48"/>
      <x:c r="M143" s="48"/>
      <x:c r="N143" s="48"/>
      <x:c r="O143" s="48"/>
      <x:c r="P143" s="48"/>
      <x:c r="Q143" s="48"/>
      <x:c r="R143" s="48"/>
      <x:c r="S143" s="48"/>
      <x:c r="T143" s="48"/>
      <x:c r="U143" s="48"/>
      <x:c r="V143" s="48"/>
      <x:c r="W143" s="48"/>
    </x:row>
    <x:row r="144">
      <x:c r="C144" s="19" t="str">
        <x:v>GT-HC-B-12</x:v>
      </x:c>
      <x:c r="D144" s="19" t="str">
        <x:v>MS-HC|B</x:v>
      </x:c>
      <x:c r="E144" s="19" t="str">
        <x:v>MS-HC</x:v>
      </x:c>
      <x:c r="F144" s="19" t="str">
        <x:v>root-native evidence and outside replay</x:v>
      </x:c>
      <x:c r="G144" s="20" t="n">
        <x:v>0</x:v>
      </x:c>
      <x:c r="H144" s="21" t="str">
        <x:v>OPEN</x:v>
      </x:c>
      <x:c r="I144" s="48"/>
      <x:c r="J144" s="48"/>
      <x:c r="K144" s="48"/>
      <x:c r="L144" s="48"/>
      <x:c r="M144" s="48"/>
      <x:c r="N144" s="48"/>
      <x:c r="O144" s="48"/>
      <x:c r="P144" s="48"/>
      <x:c r="Q144" s="48"/>
      <x:c r="R144" s="48"/>
      <x:c r="S144" s="48"/>
      <x:c r="T144" s="48"/>
      <x:c r="U144" s="48"/>
      <x:c r="V144" s="48"/>
      <x:c r="W144" s="48"/>
    </x:row>
    <x:row r="145">
      <x:c r="C145" s="19" t="str">
        <x:v>GT-HC-B-13</x:v>
      </x:c>
      <x:c r="D145" s="19" t="str">
        <x:v>MS-HC|B</x:v>
      </x:c>
      <x:c r="E145" s="19" t="str">
        <x:v>MS-HC</x:v>
      </x:c>
      <x:c r="F145" s="19" t="str">
        <x:v>repair, reset and second-team reproduction</x:v>
      </x:c>
      <x:c r="G145" s="20" t="n">
        <x:v>0</x:v>
      </x:c>
      <x:c r="H145" s="21" t="str">
        <x:v>OPEN</x:v>
      </x:c>
      <x:c r="I145" s="48"/>
      <x:c r="J145" s="48"/>
      <x:c r="K145" s="48"/>
      <x:c r="L145" s="48"/>
      <x:c r="M145" s="48"/>
      <x:c r="N145" s="48"/>
      <x:c r="O145" s="48"/>
      <x:c r="P145" s="48"/>
      <x:c r="Q145" s="48"/>
      <x:c r="R145" s="48"/>
      <x:c r="S145" s="48"/>
      <x:c r="T145" s="48"/>
      <x:c r="U145" s="48"/>
      <x:c r="V145" s="48"/>
      <x:c r="W145" s="48"/>
    </x:row>
    <x:row r="146">
      <x:c r="C146" s="19" t="str">
        <x:v>GT-HC-B-14</x:v>
      </x:c>
      <x:c r="D146" s="19" t="str">
        <x:v>MS-HC|B</x:v>
      </x:c>
      <x:c r="E146" s="19" t="str">
        <x:v>MS-HC</x:v>
      </x:c>
      <x:c r="F146" s="19" t="str">
        <x:v>independent release</x:v>
      </x:c>
      <x:c r="G146" s="20" t="n">
        <x:v>0</x:v>
      </x:c>
      <x:c r="H146" s="21" t="str">
        <x:v>OPEN</x:v>
      </x:c>
      <x:c r="I146" s="48"/>
      <x:c r="J146" s="48"/>
      <x:c r="K146" s="48"/>
      <x:c r="L146" s="48"/>
      <x:c r="M146" s="48"/>
      <x:c r="N146" s="48"/>
      <x:c r="O146" s="48"/>
      <x:c r="P146" s="48"/>
      <x:c r="Q146" s="48"/>
      <x:c r="R146" s="48"/>
      <x:c r="S146" s="48"/>
      <x:c r="T146" s="48"/>
      <x:c r="U146" s="48"/>
      <x:c r="V146" s="48"/>
      <x:c r="W146" s="48"/>
    </x:row>
    <x:row r="147">
      <x:c r="C147" s="19" t="str">
        <x:v>GT-HC-C-01</x:v>
      </x:c>
      <x:c r="D147" s="19" t="str">
        <x:v>MS-HC|C</x:v>
      </x:c>
      <x:c r="E147" s="19" t="str">
        <x:v>MS-HC</x:v>
      </x:c>
      <x:c r="F147" s="19" t="str">
        <x:v>complete routes</x:v>
      </x:c>
      <x:c r="G147" s="20" t="n">
        <x:v>0</x:v>
      </x:c>
      <x:c r="H147" s="21" t="str">
        <x:v>OPEN</x:v>
      </x:c>
      <x:c r="I147" s="48"/>
      <x:c r="J147" s="48"/>
      <x:c r="K147" s="48"/>
      <x:c r="L147" s="48"/>
      <x:c r="M147" s="48"/>
      <x:c r="N147" s="48"/>
      <x:c r="O147" s="48"/>
      <x:c r="P147" s="48"/>
      <x:c r="Q147" s="48"/>
      <x:c r="R147" s="48"/>
      <x:c r="S147" s="48"/>
      <x:c r="T147" s="48"/>
      <x:c r="U147" s="48"/>
      <x:c r="V147" s="48"/>
      <x:c r="W147" s="48"/>
    </x:row>
    <x:row r="148">
      <x:c r="C148" s="19" t="str">
        <x:v>GT-HC-C-02</x:v>
      </x:c>
      <x:c r="D148" s="19" t="str">
        <x:v>MS-HC|C</x:v>
      </x:c>
      <x:c r="E148" s="19" t="str">
        <x:v>MS-HC</x:v>
      </x:c>
      <x:c r="F148" s="19" t="str">
        <x:v>seven-stage state machine</x:v>
      </x:c>
      <x:c r="G148" s="20" t="n">
        <x:v>0</x:v>
      </x:c>
      <x:c r="H148" s="21" t="str">
        <x:v>OPEN</x:v>
      </x:c>
      <x:c r="I148" s="48"/>
      <x:c r="J148" s="48"/>
      <x:c r="K148" s="48"/>
      <x:c r="L148" s="48"/>
      <x:c r="M148" s="48"/>
      <x:c r="N148" s="48"/>
      <x:c r="O148" s="48"/>
      <x:c r="P148" s="48"/>
      <x:c r="Q148" s="48"/>
      <x:c r="R148" s="48"/>
      <x:c r="S148" s="48"/>
      <x:c r="T148" s="48"/>
      <x:c r="U148" s="48"/>
      <x:c r="V148" s="48"/>
      <x:c r="W148" s="48"/>
    </x:row>
    <x:row r="149">
      <x:c r="C149" s="19" t="str">
        <x:v>GT-HC-C-03</x:v>
      </x:c>
      <x:c r="D149" s="19" t="str">
        <x:v>MS-HC|C</x:v>
      </x:c>
      <x:c r="E149" s="19" t="str">
        <x:v>MS-HC</x:v>
      </x:c>
      <x:c r="F149" s="19" t="str">
        <x:v>four-field architecture</x:v>
      </x:c>
      <x:c r="G149" s="20" t="n">
        <x:v>0</x:v>
      </x:c>
      <x:c r="H149" s="21" t="str">
        <x:v>OPEN</x:v>
      </x:c>
      <x:c r="I149" s="48"/>
      <x:c r="J149" s="48"/>
      <x:c r="K149" s="48"/>
      <x:c r="L149" s="48"/>
      <x:c r="M149" s="48"/>
      <x:c r="N149" s="48"/>
      <x:c r="O149" s="48"/>
      <x:c r="P149" s="48"/>
      <x:c r="Q149" s="48"/>
      <x:c r="R149" s="48"/>
      <x:c r="S149" s="48"/>
      <x:c r="T149" s="48"/>
      <x:c r="U149" s="48"/>
      <x:c r="V149" s="48"/>
      <x:c r="W149" s="48"/>
    </x:row>
    <x:row r="150">
      <x:c r="C150" s="19" t="str">
        <x:v>GT-HC-C-04</x:v>
      </x:c>
      <x:c r="D150" s="19" t="str">
        <x:v>MS-HC|C</x:v>
      </x:c>
      <x:c r="E150" s="19" t="str">
        <x:v>MS-HC</x:v>
      </x:c>
      <x:c r="F150" s="19" t="str">
        <x:v>numeric service thresholds</x:v>
      </x:c>
      <x:c r="G150" s="20" t="n">
        <x:v>0</x:v>
      </x:c>
      <x:c r="H150" s="21" t="str">
        <x:v>OPEN</x:v>
      </x:c>
      <x:c r="I150" s="48"/>
      <x:c r="J150" s="48"/>
      <x:c r="K150" s="48"/>
      <x:c r="L150" s="48"/>
      <x:c r="M150" s="48"/>
      <x:c r="N150" s="48"/>
      <x:c r="O150" s="48"/>
      <x:c r="P150" s="48"/>
      <x:c r="Q150" s="48"/>
      <x:c r="R150" s="48"/>
      <x:c r="S150" s="48"/>
      <x:c r="T150" s="48"/>
      <x:c r="U150" s="48"/>
      <x:c r="V150" s="48"/>
      <x:c r="W150" s="48"/>
    </x:row>
    <x:row r="151">
      <x:c r="C151" s="19" t="str">
        <x:v>GT-HC-C-05</x:v>
      </x:c>
      <x:c r="D151" s="19" t="str">
        <x:v>MS-HC|C</x:v>
      </x:c>
      <x:c r="E151" s="19" t="str">
        <x:v>MS-HC</x:v>
      </x:c>
      <x:c r="F151" s="19" t="str">
        <x:v>closed mass, energy, flow and residual accounts</x:v>
      </x:c>
      <x:c r="G151" s="20" t="n">
        <x:v>0</x:v>
      </x:c>
      <x:c r="H151" s="21" t="str">
        <x:v>OPEN</x:v>
      </x:c>
      <x:c r="I151" s="48"/>
      <x:c r="J151" s="48"/>
      <x:c r="K151" s="48"/>
      <x:c r="L151" s="48"/>
      <x:c r="M151" s="48"/>
      <x:c r="N151" s="48"/>
      <x:c r="O151" s="48"/>
      <x:c r="P151" s="48"/>
      <x:c r="Q151" s="48"/>
      <x:c r="R151" s="48"/>
      <x:c r="S151" s="48"/>
      <x:c r="T151" s="48"/>
      <x:c r="U151" s="48"/>
      <x:c r="V151" s="48"/>
      <x:c r="W151" s="48"/>
    </x:row>
    <x:row r="152">
      <x:c r="C152" s="19" t="str">
        <x:v>GT-HC-C-06</x:v>
      </x:c>
      <x:c r="D152" s="19" t="str">
        <x:v>MS-HC|C</x:v>
      </x:c>
      <x:c r="E152" s="19" t="str">
        <x:v>MS-HC</x:v>
      </x:c>
      <x:c r="F152" s="19" t="str">
        <x:v>safety and rights</x:v>
      </x:c>
      <x:c r="G152" s="20" t="n">
        <x:v>0</x:v>
      </x:c>
      <x:c r="H152" s="21" t="str">
        <x:v>OPEN</x:v>
      </x:c>
      <x:c r="I152" s="48"/>
      <x:c r="J152" s="48"/>
      <x:c r="K152" s="48"/>
      <x:c r="L152" s="48"/>
      <x:c r="M152" s="48"/>
      <x:c r="N152" s="48"/>
      <x:c r="O152" s="48"/>
      <x:c r="P152" s="48"/>
      <x:c r="Q152" s="48"/>
      <x:c r="R152" s="48"/>
      <x:c r="S152" s="48"/>
      <x:c r="T152" s="48"/>
      <x:c r="U152" s="48"/>
      <x:c r="V152" s="48"/>
      <x:c r="W152" s="48"/>
    </x:row>
    <x:row r="153">
      <x:c r="C153" s="19" t="str">
        <x:v>GT-HC-C-07</x:v>
      </x:c>
      <x:c r="D153" s="19" t="str">
        <x:v>MS-HC|C</x:v>
      </x:c>
      <x:c r="E153" s="19" t="str">
        <x:v>MS-HC</x:v>
      </x:c>
      <x:c r="F153" s="19" t="str">
        <x:v>public interface control</x:v>
      </x:c>
      <x:c r="G153" s="20" t="n">
        <x:v>0</x:v>
      </x:c>
      <x:c r="H153" s="21" t="str">
        <x:v>OPEN</x:v>
      </x:c>
      <x:c r="I153" s="48"/>
      <x:c r="J153" s="48"/>
      <x:c r="K153" s="48"/>
      <x:c r="L153" s="48"/>
      <x:c r="M153" s="48"/>
      <x:c r="N153" s="48"/>
      <x:c r="O153" s="48"/>
      <x:c r="P153" s="48"/>
      <x:c r="Q153" s="48"/>
      <x:c r="R153" s="48"/>
      <x:c r="S153" s="48"/>
      <x:c r="T153" s="48"/>
      <x:c r="U153" s="48"/>
      <x:c r="V153" s="48"/>
      <x:c r="W153" s="48"/>
    </x:row>
    <x:row r="154">
      <x:c r="C154" s="19" t="str">
        <x:v>GT-HC-C-08</x:v>
      </x:c>
      <x:c r="D154" s="19" t="str">
        <x:v>MS-HC|C</x:v>
      </x:c>
      <x:c r="E154" s="19" t="str">
        <x:v>MS-HC</x:v>
      </x:c>
      <x:c r="F154" s="19" t="str">
        <x:v>declared decisive ancestry</x:v>
      </x:c>
      <x:c r="G154" s="20" t="n">
        <x:v>0</x:v>
      </x:c>
      <x:c r="H154" s="21" t="str">
        <x:v>OPEN</x:v>
      </x:c>
      <x:c r="I154" s="48"/>
      <x:c r="J154" s="48"/>
      <x:c r="K154" s="48"/>
      <x:c r="L154" s="48"/>
      <x:c r="M154" s="48"/>
      <x:c r="N154" s="48"/>
      <x:c r="O154" s="48"/>
      <x:c r="P154" s="48"/>
      <x:c r="Q154" s="48"/>
      <x:c r="R154" s="48"/>
      <x:c r="S154" s="48"/>
      <x:c r="T154" s="48"/>
      <x:c r="U154" s="48"/>
      <x:c r="V154" s="48"/>
      <x:c r="W154" s="48"/>
    </x:row>
    <x:row r="155">
      <x:c r="C155" s="19" t="str">
        <x:v>GT-HC-C-09</x:v>
      </x:c>
      <x:c r="D155" s="19" t="str">
        <x:v>MS-HC|C</x:v>
      </x:c>
      <x:c r="E155" s="19" t="str">
        <x:v>MS-HC</x:v>
      </x:c>
      <x:c r="F155" s="19" t="str">
        <x:v>executable build records</x:v>
      </x:c>
      <x:c r="G155" s="20" t="n">
        <x:v>0</x:v>
      </x:c>
      <x:c r="H155" s="21" t="str">
        <x:v>OPEN</x:v>
      </x:c>
      <x:c r="I155" s="48"/>
      <x:c r="J155" s="48"/>
      <x:c r="K155" s="48"/>
      <x:c r="L155" s="48"/>
      <x:c r="M155" s="48"/>
      <x:c r="N155" s="48"/>
      <x:c r="O155" s="48"/>
      <x:c r="P155" s="48"/>
      <x:c r="Q155" s="48"/>
      <x:c r="R155" s="48"/>
      <x:c r="S155" s="48"/>
      <x:c r="T155" s="48"/>
      <x:c r="U155" s="48"/>
      <x:c r="V155" s="48"/>
      <x:c r="W155" s="48"/>
    </x:row>
    <x:row r="156">
      <x:c r="C156" s="19" t="str">
        <x:v>GT-HC-C-10</x:v>
      </x:c>
      <x:c r="D156" s="19" t="str">
        <x:v>MS-HC|C</x:v>
      </x:c>
      <x:c r="E156" s="19" t="str">
        <x:v>MS-HC</x:v>
      </x:c>
      <x:c r="F156" s="19" t="str">
        <x:v>representative subsystem evidence</x:v>
      </x:c>
      <x:c r="G156" s="20" t="n">
        <x:v>0</x:v>
      </x:c>
      <x:c r="H156" s="21" t="str">
        <x:v>OPEN</x:v>
      </x:c>
      <x:c r="I156" s="48"/>
      <x:c r="J156" s="48"/>
      <x:c r="K156" s="48"/>
      <x:c r="L156" s="48"/>
      <x:c r="M156" s="48"/>
      <x:c r="N156" s="48"/>
      <x:c r="O156" s="48"/>
      <x:c r="P156" s="48"/>
      <x:c r="Q156" s="48"/>
      <x:c r="R156" s="48"/>
      <x:c r="S156" s="48"/>
      <x:c r="T156" s="48"/>
      <x:c r="U156" s="48"/>
      <x:c r="V156" s="48"/>
      <x:c r="W156" s="48"/>
    </x:row>
    <x:row r="157">
      <x:c r="C157" s="19" t="str">
        <x:v>GT-HC-C-11</x:v>
      </x:c>
      <x:c r="D157" s="19" t="str">
        <x:v>MS-HC|C</x:v>
      </x:c>
      <x:c r="E157" s="19" t="str">
        <x:v>MS-HC</x:v>
      </x:c>
      <x:c r="F157" s="19" t="str">
        <x:v>disconnected and manual control</x:v>
      </x:c>
      <x:c r="G157" s="20" t="n">
        <x:v>0</x:v>
      </x:c>
      <x:c r="H157" s="21" t="str">
        <x:v>OPEN</x:v>
      </x:c>
      <x:c r="I157" s="48"/>
      <x:c r="J157" s="48"/>
      <x:c r="K157" s="48"/>
      <x:c r="L157" s="48"/>
      <x:c r="M157" s="48"/>
      <x:c r="N157" s="48"/>
      <x:c r="O157" s="48"/>
      <x:c r="P157" s="48"/>
      <x:c r="Q157" s="48"/>
      <x:c r="R157" s="48"/>
      <x:c r="S157" s="48"/>
      <x:c r="T157" s="48"/>
      <x:c r="U157" s="48"/>
      <x:c r="V157" s="48"/>
      <x:c r="W157" s="48"/>
    </x:row>
    <x:row r="158">
      <x:c r="C158" s="19" t="str">
        <x:v>GT-HC-C-12</x:v>
      </x:c>
      <x:c r="D158" s="19" t="str">
        <x:v>MS-HC|C</x:v>
      </x:c>
      <x:c r="E158" s="19" t="str">
        <x:v>MS-HC</x:v>
      </x:c>
      <x:c r="F158" s="19" t="str">
        <x:v>root-native evidence and outside replay</x:v>
      </x:c>
      <x:c r="G158" s="20" t="n">
        <x:v>0</x:v>
      </x:c>
      <x:c r="H158" s="21" t="str">
        <x:v>OPEN</x:v>
      </x:c>
      <x:c r="I158" s="48"/>
      <x:c r="J158" s="48"/>
      <x:c r="K158" s="48"/>
      <x:c r="L158" s="48"/>
      <x:c r="M158" s="48"/>
      <x:c r="N158" s="48"/>
      <x:c r="O158" s="48"/>
      <x:c r="P158" s="48"/>
      <x:c r="Q158" s="48"/>
      <x:c r="R158" s="48"/>
      <x:c r="S158" s="48"/>
      <x:c r="T158" s="48"/>
      <x:c r="U158" s="48"/>
      <x:c r="V158" s="48"/>
      <x:c r="W158" s="48"/>
    </x:row>
    <x:row r="159">
      <x:c r="C159" s="19" t="str">
        <x:v>GT-HC-C-13</x:v>
      </x:c>
      <x:c r="D159" s="19" t="str">
        <x:v>MS-HC|C</x:v>
      </x:c>
      <x:c r="E159" s="19" t="str">
        <x:v>MS-HC</x:v>
      </x:c>
      <x:c r="F159" s="19" t="str">
        <x:v>repair, reset and second-team reproduction</x:v>
      </x:c>
      <x:c r="G159" s="20" t="n">
        <x:v>0</x:v>
      </x:c>
      <x:c r="H159" s="21" t="str">
        <x:v>OPEN</x:v>
      </x:c>
      <x:c r="I159" s="48"/>
      <x:c r="J159" s="48"/>
      <x:c r="K159" s="48"/>
      <x:c r="L159" s="48"/>
      <x:c r="M159" s="48"/>
      <x:c r="N159" s="48"/>
      <x:c r="O159" s="48"/>
      <x:c r="P159" s="48"/>
      <x:c r="Q159" s="48"/>
      <x:c r="R159" s="48"/>
      <x:c r="S159" s="48"/>
      <x:c r="T159" s="48"/>
      <x:c r="U159" s="48"/>
      <x:c r="V159" s="48"/>
      <x:c r="W159" s="48"/>
    </x:row>
    <x:row r="160">
      <x:c r="C160" s="19" t="str">
        <x:v>GT-HC-C-14</x:v>
      </x:c>
      <x:c r="D160" s="19" t="str">
        <x:v>MS-HC|C</x:v>
      </x:c>
      <x:c r="E160" s="19" t="str">
        <x:v>MS-HC</x:v>
      </x:c>
      <x:c r="F160" s="19" t="str">
        <x:v>independent release</x:v>
      </x:c>
      <x:c r="G160" s="20" t="n">
        <x:v>0</x:v>
      </x:c>
      <x:c r="H160" s="21" t="str">
        <x:v>OPEN</x:v>
      </x:c>
      <x:c r="I160" s="48"/>
      <x:c r="J160" s="48"/>
      <x:c r="K160" s="48"/>
      <x:c r="L160" s="48"/>
      <x:c r="M160" s="48"/>
      <x:c r="N160" s="48"/>
      <x:c r="O160" s="48"/>
      <x:c r="P160" s="48"/>
      <x:c r="Q160" s="48"/>
      <x:c r="R160" s="48"/>
      <x:c r="S160" s="48"/>
      <x:c r="T160" s="48"/>
      <x:c r="U160" s="48"/>
      <x:c r="V160" s="48"/>
      <x:c r="W160" s="48"/>
    </x:row>
    <x:row r="161">
      <x:c r="C161" s="19" t="str">
        <x:v>GT-HC-D-01</x:v>
      </x:c>
      <x:c r="D161" s="19" t="str">
        <x:v>MS-HC|D</x:v>
      </x:c>
      <x:c r="E161" s="19" t="str">
        <x:v>MS-HC</x:v>
      </x:c>
      <x:c r="F161" s="19" t="str">
        <x:v>complete routes</x:v>
      </x:c>
      <x:c r="G161" s="20" t="n">
        <x:v>0</x:v>
      </x:c>
      <x:c r="H161" s="21" t="str">
        <x:v>OPEN</x:v>
      </x:c>
      <x:c r="I161" s="48"/>
      <x:c r="J161" s="48"/>
      <x:c r="K161" s="48"/>
      <x:c r="L161" s="48"/>
      <x:c r="M161" s="48"/>
      <x:c r="N161" s="48"/>
      <x:c r="O161" s="48"/>
      <x:c r="P161" s="48"/>
      <x:c r="Q161" s="48"/>
      <x:c r="R161" s="48"/>
      <x:c r="S161" s="48"/>
      <x:c r="T161" s="48"/>
      <x:c r="U161" s="48"/>
      <x:c r="V161" s="48"/>
      <x:c r="W161" s="48"/>
    </x:row>
    <x:row r="162">
      <x:c r="C162" s="19" t="str">
        <x:v>GT-HC-D-02</x:v>
      </x:c>
      <x:c r="D162" s="19" t="str">
        <x:v>MS-HC|D</x:v>
      </x:c>
      <x:c r="E162" s="19" t="str">
        <x:v>MS-HC</x:v>
      </x:c>
      <x:c r="F162" s="19" t="str">
        <x:v>seven-stage state machine</x:v>
      </x:c>
      <x:c r="G162" s="20" t="n">
        <x:v>0</x:v>
      </x:c>
      <x:c r="H162" s="21" t="str">
        <x:v>OPEN</x:v>
      </x:c>
      <x:c r="I162" s="48"/>
      <x:c r="J162" s="48"/>
      <x:c r="K162" s="48"/>
      <x:c r="L162" s="48"/>
      <x:c r="M162" s="48"/>
      <x:c r="N162" s="48"/>
      <x:c r="O162" s="48"/>
      <x:c r="P162" s="48"/>
      <x:c r="Q162" s="48"/>
      <x:c r="R162" s="48"/>
      <x:c r="S162" s="48"/>
      <x:c r="T162" s="48"/>
      <x:c r="U162" s="48"/>
      <x:c r="V162" s="48"/>
      <x:c r="W162" s="48"/>
    </x:row>
    <x:row r="163">
      <x:c r="C163" s="19" t="str">
        <x:v>GT-HC-D-03</x:v>
      </x:c>
      <x:c r="D163" s="19" t="str">
        <x:v>MS-HC|D</x:v>
      </x:c>
      <x:c r="E163" s="19" t="str">
        <x:v>MS-HC</x:v>
      </x:c>
      <x:c r="F163" s="19" t="str">
        <x:v>four-field architecture</x:v>
      </x:c>
      <x:c r="G163" s="20" t="n">
        <x:v>0</x:v>
      </x:c>
      <x:c r="H163" s="21" t="str">
        <x:v>OPEN</x:v>
      </x:c>
      <x:c r="I163" s="48"/>
      <x:c r="J163" s="48"/>
      <x:c r="K163" s="48"/>
      <x:c r="L163" s="48"/>
      <x:c r="M163" s="48"/>
      <x:c r="N163" s="48"/>
      <x:c r="O163" s="48"/>
      <x:c r="P163" s="48"/>
      <x:c r="Q163" s="48"/>
      <x:c r="R163" s="48"/>
      <x:c r="S163" s="48"/>
      <x:c r="T163" s="48"/>
      <x:c r="U163" s="48"/>
      <x:c r="V163" s="48"/>
      <x:c r="W163" s="48"/>
    </x:row>
    <x:row r="164">
      <x:c r="C164" s="19" t="str">
        <x:v>GT-HC-D-04</x:v>
      </x:c>
      <x:c r="D164" s="19" t="str">
        <x:v>MS-HC|D</x:v>
      </x:c>
      <x:c r="E164" s="19" t="str">
        <x:v>MS-HC</x:v>
      </x:c>
      <x:c r="F164" s="19" t="str">
        <x:v>numeric service thresholds</x:v>
      </x:c>
      <x:c r="G164" s="20" t="n">
        <x:v>0</x:v>
      </x:c>
      <x:c r="H164" s="21" t="str">
        <x:v>OPEN</x:v>
      </x:c>
      <x:c r="I164" s="48"/>
      <x:c r="J164" s="48"/>
      <x:c r="K164" s="48"/>
      <x:c r="L164" s="48"/>
      <x:c r="M164" s="48"/>
      <x:c r="N164" s="48"/>
      <x:c r="O164" s="48"/>
      <x:c r="P164" s="48"/>
      <x:c r="Q164" s="48"/>
      <x:c r="R164" s="48"/>
      <x:c r="S164" s="48"/>
      <x:c r="T164" s="48"/>
      <x:c r="U164" s="48"/>
      <x:c r="V164" s="48"/>
      <x:c r="W164" s="48"/>
    </x:row>
    <x:row r="165">
      <x:c r="C165" s="19" t="str">
        <x:v>GT-HC-D-05</x:v>
      </x:c>
      <x:c r="D165" s="19" t="str">
        <x:v>MS-HC|D</x:v>
      </x:c>
      <x:c r="E165" s="19" t="str">
        <x:v>MS-HC</x:v>
      </x:c>
      <x:c r="F165" s="19" t="str">
        <x:v>closed mass, energy, flow and residual accounts</x:v>
      </x:c>
      <x:c r="G165" s="20" t="n">
        <x:v>0</x:v>
      </x:c>
      <x:c r="H165" s="21" t="str">
        <x:v>OPEN</x:v>
      </x:c>
      <x:c r="I165" s="48"/>
      <x:c r="J165" s="48"/>
      <x:c r="K165" s="48"/>
      <x:c r="L165" s="48"/>
      <x:c r="M165" s="48"/>
      <x:c r="N165" s="48"/>
      <x:c r="O165" s="48"/>
      <x:c r="P165" s="48"/>
      <x:c r="Q165" s="48"/>
      <x:c r="R165" s="48"/>
      <x:c r="S165" s="48"/>
      <x:c r="T165" s="48"/>
      <x:c r="U165" s="48"/>
      <x:c r="V165" s="48"/>
      <x:c r="W165" s="48"/>
    </x:row>
    <x:row r="166">
      <x:c r="C166" s="19" t="str">
        <x:v>GT-HC-D-06</x:v>
      </x:c>
      <x:c r="D166" s="19" t="str">
        <x:v>MS-HC|D</x:v>
      </x:c>
      <x:c r="E166" s="19" t="str">
        <x:v>MS-HC</x:v>
      </x:c>
      <x:c r="F166" s="19" t="str">
        <x:v>safety and rights</x:v>
      </x:c>
      <x:c r="G166" s="20" t="n">
        <x:v>0</x:v>
      </x:c>
      <x:c r="H166" s="21" t="str">
        <x:v>OPEN</x:v>
      </x:c>
      <x:c r="I166" s="48"/>
      <x:c r="J166" s="48"/>
      <x:c r="K166" s="48"/>
      <x:c r="L166" s="48"/>
      <x:c r="M166" s="48"/>
      <x:c r="N166" s="48"/>
      <x:c r="O166" s="48"/>
      <x:c r="P166" s="48"/>
      <x:c r="Q166" s="48"/>
      <x:c r="R166" s="48"/>
      <x:c r="S166" s="48"/>
      <x:c r="T166" s="48"/>
      <x:c r="U166" s="48"/>
      <x:c r="V166" s="48"/>
      <x:c r="W166" s="48"/>
    </x:row>
    <x:row r="167">
      <x:c r="C167" s="19" t="str">
        <x:v>GT-HC-D-07</x:v>
      </x:c>
      <x:c r="D167" s="19" t="str">
        <x:v>MS-HC|D</x:v>
      </x:c>
      <x:c r="E167" s="19" t="str">
        <x:v>MS-HC</x:v>
      </x:c>
      <x:c r="F167" s="19" t="str">
        <x:v>public interface control</x:v>
      </x:c>
      <x:c r="G167" s="20" t="n">
        <x:v>0</x:v>
      </x:c>
      <x:c r="H167" s="21" t="str">
        <x:v>OPEN</x:v>
      </x:c>
      <x:c r="I167" s="48"/>
      <x:c r="J167" s="48"/>
      <x:c r="K167" s="48"/>
      <x:c r="L167" s="48"/>
      <x:c r="M167" s="48"/>
      <x:c r="N167" s="48"/>
      <x:c r="O167" s="48"/>
      <x:c r="P167" s="48"/>
      <x:c r="Q167" s="48"/>
      <x:c r="R167" s="48"/>
      <x:c r="S167" s="48"/>
      <x:c r="T167" s="48"/>
      <x:c r="U167" s="48"/>
      <x:c r="V167" s="48"/>
      <x:c r="W167" s="48"/>
    </x:row>
    <x:row r="168">
      <x:c r="C168" s="19" t="str">
        <x:v>GT-HC-D-08</x:v>
      </x:c>
      <x:c r="D168" s="19" t="str">
        <x:v>MS-HC|D</x:v>
      </x:c>
      <x:c r="E168" s="19" t="str">
        <x:v>MS-HC</x:v>
      </x:c>
      <x:c r="F168" s="19" t="str">
        <x:v>declared decisive ancestry</x:v>
      </x:c>
      <x:c r="G168" s="20" t="n">
        <x:v>0</x:v>
      </x:c>
      <x:c r="H168" s="21" t="str">
        <x:v>OPEN</x:v>
      </x:c>
      <x:c r="I168" s="48"/>
      <x:c r="J168" s="48"/>
      <x:c r="K168" s="48"/>
      <x:c r="L168" s="48"/>
      <x:c r="M168" s="48"/>
      <x:c r="N168" s="48"/>
      <x:c r="O168" s="48"/>
      <x:c r="P168" s="48"/>
      <x:c r="Q168" s="48"/>
      <x:c r="R168" s="48"/>
      <x:c r="S168" s="48"/>
      <x:c r="T168" s="48"/>
      <x:c r="U168" s="48"/>
      <x:c r="V168" s="48"/>
      <x:c r="W168" s="48"/>
    </x:row>
    <x:row r="169">
      <x:c r="C169" s="19" t="str">
        <x:v>GT-HC-D-09</x:v>
      </x:c>
      <x:c r="D169" s="19" t="str">
        <x:v>MS-HC|D</x:v>
      </x:c>
      <x:c r="E169" s="19" t="str">
        <x:v>MS-HC</x:v>
      </x:c>
      <x:c r="F169" s="19" t="str">
        <x:v>executable build records</x:v>
      </x:c>
      <x:c r="G169" s="20" t="n">
        <x:v>0</x:v>
      </x:c>
      <x:c r="H169" s="21" t="str">
        <x:v>OPEN</x:v>
      </x:c>
      <x:c r="I169" s="48"/>
      <x:c r="J169" s="48"/>
      <x:c r="K169" s="48"/>
      <x:c r="L169" s="48"/>
      <x:c r="M169" s="48"/>
      <x:c r="N169" s="48"/>
      <x:c r="O169" s="48"/>
      <x:c r="P169" s="48"/>
      <x:c r="Q169" s="48"/>
      <x:c r="R169" s="48"/>
      <x:c r="S169" s="48"/>
      <x:c r="T169" s="48"/>
      <x:c r="U169" s="48"/>
      <x:c r="V169" s="48"/>
      <x:c r="W169" s="48"/>
    </x:row>
    <x:row r="170">
      <x:c r="C170" s="19" t="str">
        <x:v>GT-HC-D-10</x:v>
      </x:c>
      <x:c r="D170" s="19" t="str">
        <x:v>MS-HC|D</x:v>
      </x:c>
      <x:c r="E170" s="19" t="str">
        <x:v>MS-HC</x:v>
      </x:c>
      <x:c r="F170" s="19" t="str">
        <x:v>representative subsystem evidence</x:v>
      </x:c>
      <x:c r="G170" s="20" t="n">
        <x:v>0</x:v>
      </x:c>
      <x:c r="H170" s="21" t="str">
        <x:v>OPEN</x:v>
      </x:c>
      <x:c r="I170" s="48"/>
      <x:c r="J170" s="48"/>
      <x:c r="K170" s="48"/>
      <x:c r="L170" s="48"/>
      <x:c r="M170" s="48"/>
      <x:c r="N170" s="48"/>
      <x:c r="O170" s="48"/>
      <x:c r="P170" s="48"/>
      <x:c r="Q170" s="48"/>
      <x:c r="R170" s="48"/>
      <x:c r="S170" s="48"/>
      <x:c r="T170" s="48"/>
      <x:c r="U170" s="48"/>
      <x:c r="V170" s="48"/>
      <x:c r="W170" s="48"/>
    </x:row>
    <x:row r="171">
      <x:c r="C171" s="19" t="str">
        <x:v>GT-HC-D-11</x:v>
      </x:c>
      <x:c r="D171" s="19" t="str">
        <x:v>MS-HC|D</x:v>
      </x:c>
      <x:c r="E171" s="19" t="str">
        <x:v>MS-HC</x:v>
      </x:c>
      <x:c r="F171" s="19" t="str">
        <x:v>disconnected and manual control</x:v>
      </x:c>
      <x:c r="G171" s="20" t="n">
        <x:v>0</x:v>
      </x:c>
      <x:c r="H171" s="21" t="str">
        <x:v>OPEN</x:v>
      </x:c>
      <x:c r="I171" s="48"/>
      <x:c r="J171" s="48"/>
      <x:c r="K171" s="48"/>
      <x:c r="L171" s="48"/>
      <x:c r="M171" s="48"/>
      <x:c r="N171" s="48"/>
      <x:c r="O171" s="48"/>
      <x:c r="P171" s="48"/>
      <x:c r="Q171" s="48"/>
      <x:c r="R171" s="48"/>
      <x:c r="S171" s="48"/>
      <x:c r="T171" s="48"/>
      <x:c r="U171" s="48"/>
      <x:c r="V171" s="48"/>
      <x:c r="W171" s="48"/>
    </x:row>
    <x:row r="172">
      <x:c r="C172" s="19" t="str">
        <x:v>GT-HC-D-12</x:v>
      </x:c>
      <x:c r="D172" s="19" t="str">
        <x:v>MS-HC|D</x:v>
      </x:c>
      <x:c r="E172" s="19" t="str">
        <x:v>MS-HC</x:v>
      </x:c>
      <x:c r="F172" s="19" t="str">
        <x:v>root-native evidence and outside replay</x:v>
      </x:c>
      <x:c r="G172" s="20" t="n">
        <x:v>0</x:v>
      </x:c>
      <x:c r="H172" s="21" t="str">
        <x:v>OPEN</x:v>
      </x:c>
      <x:c r="I172" s="48"/>
      <x:c r="J172" s="48"/>
      <x:c r="K172" s="48"/>
      <x:c r="L172" s="48"/>
      <x:c r="M172" s="48"/>
      <x:c r="N172" s="48"/>
      <x:c r="O172" s="48"/>
      <x:c r="P172" s="48"/>
      <x:c r="Q172" s="48"/>
      <x:c r="R172" s="48"/>
      <x:c r="S172" s="48"/>
      <x:c r="T172" s="48"/>
      <x:c r="U172" s="48"/>
      <x:c r="V172" s="48"/>
      <x:c r="W172" s="48"/>
    </x:row>
    <x:row r="173">
      <x:c r="C173" s="19" t="str">
        <x:v>GT-HC-D-13</x:v>
      </x:c>
      <x:c r="D173" s="19" t="str">
        <x:v>MS-HC|D</x:v>
      </x:c>
      <x:c r="E173" s="19" t="str">
        <x:v>MS-HC</x:v>
      </x:c>
      <x:c r="F173" s="19" t="str">
        <x:v>repair, reset and second-team reproduction</x:v>
      </x:c>
      <x:c r="G173" s="20" t="n">
        <x:v>0</x:v>
      </x:c>
      <x:c r="H173" s="21" t="str">
        <x:v>OPEN</x:v>
      </x:c>
      <x:c r="I173" s="48"/>
      <x:c r="J173" s="48"/>
      <x:c r="K173" s="48"/>
      <x:c r="L173" s="48"/>
      <x:c r="M173" s="48"/>
      <x:c r="N173" s="48"/>
      <x:c r="O173" s="48"/>
      <x:c r="P173" s="48"/>
      <x:c r="Q173" s="48"/>
      <x:c r="R173" s="48"/>
      <x:c r="S173" s="48"/>
      <x:c r="T173" s="48"/>
      <x:c r="U173" s="48"/>
      <x:c r="V173" s="48"/>
      <x:c r="W173" s="48"/>
    </x:row>
    <x:row r="174">
      <x:c r="C174" s="19" t="str">
        <x:v>GT-HC-D-14</x:v>
      </x:c>
      <x:c r="D174" s="19" t="str">
        <x:v>MS-HC|D</x:v>
      </x:c>
      <x:c r="E174" s="19" t="str">
        <x:v>MS-HC</x:v>
      </x:c>
      <x:c r="F174" s="19" t="str">
        <x:v>independent release</x:v>
      </x:c>
      <x:c r="G174" s="20" t="n">
        <x:v>0</x:v>
      </x:c>
      <x:c r="H174" s="21" t="str">
        <x:v>OPEN</x:v>
      </x:c>
      <x:c r="I174" s="48"/>
      <x:c r="J174" s="48"/>
      <x:c r="K174" s="48"/>
      <x:c r="L174" s="48"/>
      <x:c r="M174" s="48"/>
      <x:c r="N174" s="48"/>
      <x:c r="O174" s="48"/>
      <x:c r="P174" s="48"/>
      <x:c r="Q174" s="48"/>
      <x:c r="R174" s="48"/>
      <x:c r="S174" s="48"/>
      <x:c r="T174" s="48"/>
      <x:c r="U174" s="48"/>
      <x:c r="V174" s="48"/>
      <x:c r="W174" s="48"/>
    </x:row>
    <x:row r="175">
      <x:c r="C175" s="19" t="str">
        <x:v>GT-HU-A-01</x:v>
      </x:c>
      <x:c r="D175" s="19" t="str">
        <x:v>MS-HU|A</x:v>
      </x:c>
      <x:c r="E175" s="19" t="str">
        <x:v>MS-HU</x:v>
      </x:c>
      <x:c r="F175" s="19" t="str">
        <x:v>complete routes</x:v>
      </x:c>
      <x:c r="G175" s="20" t="n">
        <x:v>0</x:v>
      </x:c>
      <x:c r="H175" s="21" t="str">
        <x:v>OPEN</x:v>
      </x:c>
      <x:c r="I175" s="48"/>
      <x:c r="J175" s="48"/>
      <x:c r="K175" s="48"/>
      <x:c r="L175" s="48"/>
      <x:c r="M175" s="48"/>
      <x:c r="N175" s="48"/>
      <x:c r="O175" s="48"/>
      <x:c r="P175" s="48"/>
      <x:c r="Q175" s="48"/>
      <x:c r="R175" s="48"/>
      <x:c r="S175" s="48"/>
      <x:c r="T175" s="48"/>
      <x:c r="U175" s="48"/>
      <x:c r="V175" s="48"/>
      <x:c r="W175" s="48"/>
    </x:row>
    <x:row r="176">
      <x:c r="C176" s="19" t="str">
        <x:v>GT-HU-A-02</x:v>
      </x:c>
      <x:c r="D176" s="19" t="str">
        <x:v>MS-HU|A</x:v>
      </x:c>
      <x:c r="E176" s="19" t="str">
        <x:v>MS-HU</x:v>
      </x:c>
      <x:c r="F176" s="19" t="str">
        <x:v>seven-stage state machine</x:v>
      </x:c>
      <x:c r="G176" s="20" t="n">
        <x:v>0</x:v>
      </x:c>
      <x:c r="H176" s="21" t="str">
        <x:v>OPEN</x:v>
      </x:c>
      <x:c r="I176" s="48"/>
      <x:c r="J176" s="48"/>
      <x:c r="K176" s="48"/>
      <x:c r="L176" s="48"/>
      <x:c r="M176" s="48"/>
      <x:c r="N176" s="48"/>
      <x:c r="O176" s="48"/>
      <x:c r="P176" s="48"/>
      <x:c r="Q176" s="48"/>
      <x:c r="R176" s="48"/>
      <x:c r="S176" s="48"/>
      <x:c r="T176" s="48"/>
      <x:c r="U176" s="48"/>
      <x:c r="V176" s="48"/>
      <x:c r="W176" s="48"/>
    </x:row>
    <x:row r="177">
      <x:c r="C177" s="19" t="str">
        <x:v>GT-HU-A-03</x:v>
      </x:c>
      <x:c r="D177" s="19" t="str">
        <x:v>MS-HU|A</x:v>
      </x:c>
      <x:c r="E177" s="19" t="str">
        <x:v>MS-HU</x:v>
      </x:c>
      <x:c r="F177" s="19" t="str">
        <x:v>four-field architecture</x:v>
      </x:c>
      <x:c r="G177" s="20" t="n">
        <x:v>0</x:v>
      </x:c>
      <x:c r="H177" s="21" t="str">
        <x:v>OPEN</x:v>
      </x:c>
      <x:c r="I177" s="48"/>
      <x:c r="J177" s="48"/>
      <x:c r="K177" s="48"/>
      <x:c r="L177" s="48"/>
      <x:c r="M177" s="48"/>
      <x:c r="N177" s="48"/>
      <x:c r="O177" s="48"/>
      <x:c r="P177" s="48"/>
      <x:c r="Q177" s="48"/>
      <x:c r="R177" s="48"/>
      <x:c r="S177" s="48"/>
      <x:c r="T177" s="48"/>
      <x:c r="U177" s="48"/>
      <x:c r="V177" s="48"/>
      <x:c r="W177" s="48"/>
    </x:row>
    <x:row r="178">
      <x:c r="C178" s="19" t="str">
        <x:v>GT-HU-A-04</x:v>
      </x:c>
      <x:c r="D178" s="19" t="str">
        <x:v>MS-HU|A</x:v>
      </x:c>
      <x:c r="E178" s="19" t="str">
        <x:v>MS-HU</x:v>
      </x:c>
      <x:c r="F178" s="19" t="str">
        <x:v>numeric service thresholds</x:v>
      </x:c>
      <x:c r="G178" s="20" t="n">
        <x:v>0</x:v>
      </x:c>
      <x:c r="H178" s="21" t="str">
        <x:v>OPEN</x:v>
      </x:c>
      <x:c r="I178" s="48"/>
      <x:c r="J178" s="48"/>
      <x:c r="K178" s="48"/>
      <x:c r="L178" s="48"/>
      <x:c r="M178" s="48"/>
      <x:c r="N178" s="48"/>
      <x:c r="O178" s="48"/>
      <x:c r="P178" s="48"/>
      <x:c r="Q178" s="48"/>
      <x:c r="R178" s="48"/>
      <x:c r="S178" s="48"/>
      <x:c r="T178" s="48"/>
      <x:c r="U178" s="48"/>
      <x:c r="V178" s="48"/>
      <x:c r="W178" s="48"/>
    </x:row>
    <x:row r="179">
      <x:c r="C179" s="19" t="str">
        <x:v>GT-HU-A-05</x:v>
      </x:c>
      <x:c r="D179" s="19" t="str">
        <x:v>MS-HU|A</x:v>
      </x:c>
      <x:c r="E179" s="19" t="str">
        <x:v>MS-HU</x:v>
      </x:c>
      <x:c r="F179" s="19" t="str">
        <x:v>closed mass, energy, flow and residual accounts</x:v>
      </x:c>
      <x:c r="G179" s="20" t="n">
        <x:v>0</x:v>
      </x:c>
      <x:c r="H179" s="21" t="str">
        <x:v>OPEN</x:v>
      </x:c>
      <x:c r="I179" s="48"/>
      <x:c r="J179" s="48"/>
      <x:c r="K179" s="48"/>
      <x:c r="L179" s="48"/>
      <x:c r="M179" s="48"/>
      <x:c r="N179" s="48"/>
      <x:c r="O179" s="48"/>
      <x:c r="P179" s="48"/>
      <x:c r="Q179" s="48"/>
      <x:c r="R179" s="48"/>
      <x:c r="S179" s="48"/>
      <x:c r="T179" s="48"/>
      <x:c r="U179" s="48"/>
      <x:c r="V179" s="48"/>
      <x:c r="W179" s="48"/>
    </x:row>
    <x:row r="180">
      <x:c r="C180" s="19" t="str">
        <x:v>GT-HU-A-06</x:v>
      </x:c>
      <x:c r="D180" s="19" t="str">
        <x:v>MS-HU|A</x:v>
      </x:c>
      <x:c r="E180" s="19" t="str">
        <x:v>MS-HU</x:v>
      </x:c>
      <x:c r="F180" s="19" t="str">
        <x:v>safety and rights</x:v>
      </x:c>
      <x:c r="G180" s="20" t="n">
        <x:v>0</x:v>
      </x:c>
      <x:c r="H180" s="21" t="str">
        <x:v>OPEN</x:v>
      </x:c>
      <x:c r="I180" s="48"/>
      <x:c r="J180" s="48"/>
      <x:c r="K180" s="48"/>
      <x:c r="L180" s="48"/>
      <x:c r="M180" s="48"/>
      <x:c r="N180" s="48"/>
      <x:c r="O180" s="48"/>
      <x:c r="P180" s="48"/>
      <x:c r="Q180" s="48"/>
      <x:c r="R180" s="48"/>
      <x:c r="S180" s="48"/>
      <x:c r="T180" s="48"/>
      <x:c r="U180" s="48"/>
      <x:c r="V180" s="48"/>
      <x:c r="W180" s="48"/>
    </x:row>
    <x:row r="181">
      <x:c r="C181" s="19" t="str">
        <x:v>GT-HU-A-07</x:v>
      </x:c>
      <x:c r="D181" s="19" t="str">
        <x:v>MS-HU|A</x:v>
      </x:c>
      <x:c r="E181" s="19" t="str">
        <x:v>MS-HU</x:v>
      </x:c>
      <x:c r="F181" s="19" t="str">
        <x:v>public interface control</x:v>
      </x:c>
      <x:c r="G181" s="20" t="n">
        <x:v>0</x:v>
      </x:c>
      <x:c r="H181" s="21" t="str">
        <x:v>OPEN</x:v>
      </x:c>
      <x:c r="I181" s="48"/>
      <x:c r="J181" s="48"/>
      <x:c r="K181" s="48"/>
      <x:c r="L181" s="48"/>
      <x:c r="M181" s="48"/>
      <x:c r="N181" s="48"/>
      <x:c r="O181" s="48"/>
      <x:c r="P181" s="48"/>
      <x:c r="Q181" s="48"/>
      <x:c r="R181" s="48"/>
      <x:c r="S181" s="48"/>
      <x:c r="T181" s="48"/>
      <x:c r="U181" s="48"/>
      <x:c r="V181" s="48"/>
      <x:c r="W181" s="48"/>
    </x:row>
    <x:row r="182">
      <x:c r="C182" s="19" t="str">
        <x:v>GT-HU-A-08</x:v>
      </x:c>
      <x:c r="D182" s="19" t="str">
        <x:v>MS-HU|A</x:v>
      </x:c>
      <x:c r="E182" s="19" t="str">
        <x:v>MS-HU</x:v>
      </x:c>
      <x:c r="F182" s="19" t="str">
        <x:v>declared decisive ancestry</x:v>
      </x:c>
      <x:c r="G182" s="20" t="n">
        <x:v>0</x:v>
      </x:c>
      <x:c r="H182" s="21" t="str">
        <x:v>OPEN</x:v>
      </x:c>
      <x:c r="I182" s="48"/>
      <x:c r="J182" s="48"/>
      <x:c r="K182" s="48"/>
      <x:c r="L182" s="48"/>
      <x:c r="M182" s="48"/>
      <x:c r="N182" s="48"/>
      <x:c r="O182" s="48"/>
      <x:c r="P182" s="48"/>
      <x:c r="Q182" s="48"/>
      <x:c r="R182" s="48"/>
      <x:c r="S182" s="48"/>
      <x:c r="T182" s="48"/>
      <x:c r="U182" s="48"/>
      <x:c r="V182" s="48"/>
      <x:c r="W182" s="48"/>
    </x:row>
    <x:row r="183">
      <x:c r="C183" s="19" t="str">
        <x:v>GT-HU-A-09</x:v>
      </x:c>
      <x:c r="D183" s="19" t="str">
        <x:v>MS-HU|A</x:v>
      </x:c>
      <x:c r="E183" s="19" t="str">
        <x:v>MS-HU</x:v>
      </x:c>
      <x:c r="F183" s="19" t="str">
        <x:v>executable build records</x:v>
      </x:c>
      <x:c r="G183" s="20" t="n">
        <x:v>0</x:v>
      </x:c>
      <x:c r="H183" s="21" t="str">
        <x:v>OPEN</x:v>
      </x:c>
      <x:c r="I183" s="48"/>
      <x:c r="J183" s="48"/>
      <x:c r="K183" s="48"/>
      <x:c r="L183" s="48"/>
      <x:c r="M183" s="48"/>
      <x:c r="N183" s="48"/>
      <x:c r="O183" s="48"/>
      <x:c r="P183" s="48"/>
      <x:c r="Q183" s="48"/>
      <x:c r="R183" s="48"/>
      <x:c r="S183" s="48"/>
      <x:c r="T183" s="48"/>
      <x:c r="U183" s="48"/>
      <x:c r="V183" s="48"/>
      <x:c r="W183" s="48"/>
    </x:row>
    <x:row r="184">
      <x:c r="C184" s="19" t="str">
        <x:v>GT-HU-A-10</x:v>
      </x:c>
      <x:c r="D184" s="19" t="str">
        <x:v>MS-HU|A</x:v>
      </x:c>
      <x:c r="E184" s="19" t="str">
        <x:v>MS-HU</x:v>
      </x:c>
      <x:c r="F184" s="19" t="str">
        <x:v>representative subsystem evidence</x:v>
      </x:c>
      <x:c r="G184" s="20" t="n">
        <x:v>0</x:v>
      </x:c>
      <x:c r="H184" s="21" t="str">
        <x:v>OPEN</x:v>
      </x:c>
      <x:c r="I184" s="48"/>
      <x:c r="J184" s="48"/>
      <x:c r="K184" s="48"/>
      <x:c r="L184" s="48"/>
      <x:c r="M184" s="48"/>
      <x:c r="N184" s="48"/>
      <x:c r="O184" s="48"/>
      <x:c r="P184" s="48"/>
      <x:c r="Q184" s="48"/>
      <x:c r="R184" s="48"/>
      <x:c r="S184" s="48"/>
      <x:c r="T184" s="48"/>
      <x:c r="U184" s="48"/>
      <x:c r="V184" s="48"/>
      <x:c r="W184" s="48"/>
    </x:row>
    <x:row r="185">
      <x:c r="C185" s="19" t="str">
        <x:v>GT-HU-A-11</x:v>
      </x:c>
      <x:c r="D185" s="19" t="str">
        <x:v>MS-HU|A</x:v>
      </x:c>
      <x:c r="E185" s="19" t="str">
        <x:v>MS-HU</x:v>
      </x:c>
      <x:c r="F185" s="19" t="str">
        <x:v>disconnected and manual control</x:v>
      </x:c>
      <x:c r="G185" s="20" t="n">
        <x:v>0</x:v>
      </x:c>
      <x:c r="H185" s="21" t="str">
        <x:v>OPEN</x:v>
      </x:c>
      <x:c r="I185" s="48"/>
      <x:c r="J185" s="48"/>
      <x:c r="K185" s="48"/>
      <x:c r="L185" s="48"/>
      <x:c r="M185" s="48"/>
      <x:c r="N185" s="48"/>
      <x:c r="O185" s="48"/>
      <x:c r="P185" s="48"/>
      <x:c r="Q185" s="48"/>
      <x:c r="R185" s="48"/>
      <x:c r="S185" s="48"/>
      <x:c r="T185" s="48"/>
      <x:c r="U185" s="48"/>
      <x:c r="V185" s="48"/>
      <x:c r="W185" s="48"/>
    </x:row>
    <x:row r="186">
      <x:c r="C186" s="19" t="str">
        <x:v>GT-HU-A-12</x:v>
      </x:c>
      <x:c r="D186" s="19" t="str">
        <x:v>MS-HU|A</x:v>
      </x:c>
      <x:c r="E186" s="19" t="str">
        <x:v>MS-HU</x:v>
      </x:c>
      <x:c r="F186" s="19" t="str">
        <x:v>root-native evidence and outside replay</x:v>
      </x:c>
      <x:c r="G186" s="20" t="n">
        <x:v>0</x:v>
      </x:c>
      <x:c r="H186" s="21" t="str">
        <x:v>OPEN</x:v>
      </x:c>
      <x:c r="I186" s="48"/>
      <x:c r="J186" s="48"/>
      <x:c r="K186" s="48"/>
      <x:c r="L186" s="48"/>
      <x:c r="M186" s="48"/>
      <x:c r="N186" s="48"/>
      <x:c r="O186" s="48"/>
      <x:c r="P186" s="48"/>
      <x:c r="Q186" s="48"/>
      <x:c r="R186" s="48"/>
      <x:c r="S186" s="48"/>
      <x:c r="T186" s="48"/>
      <x:c r="U186" s="48"/>
      <x:c r="V186" s="48"/>
      <x:c r="W186" s="48"/>
    </x:row>
    <x:row r="187">
      <x:c r="C187" s="19" t="str">
        <x:v>GT-HU-A-13</x:v>
      </x:c>
      <x:c r="D187" s="19" t="str">
        <x:v>MS-HU|A</x:v>
      </x:c>
      <x:c r="E187" s="19" t="str">
        <x:v>MS-HU</x:v>
      </x:c>
      <x:c r="F187" s="19" t="str">
        <x:v>repair, reset and second-team reproduction</x:v>
      </x:c>
      <x:c r="G187" s="20" t="n">
        <x:v>0</x:v>
      </x:c>
      <x:c r="H187" s="21" t="str">
        <x:v>OPEN</x:v>
      </x:c>
      <x:c r="I187" s="48"/>
      <x:c r="J187" s="48"/>
      <x:c r="K187" s="48"/>
      <x:c r="L187" s="48"/>
      <x:c r="M187" s="48"/>
      <x:c r="N187" s="48"/>
      <x:c r="O187" s="48"/>
      <x:c r="P187" s="48"/>
      <x:c r="Q187" s="48"/>
      <x:c r="R187" s="48"/>
      <x:c r="S187" s="48"/>
      <x:c r="T187" s="48"/>
      <x:c r="U187" s="48"/>
      <x:c r="V187" s="48"/>
      <x:c r="W187" s="48"/>
    </x:row>
    <x:row r="188">
      <x:c r="C188" s="19" t="str">
        <x:v>GT-HU-A-14</x:v>
      </x:c>
      <x:c r="D188" s="19" t="str">
        <x:v>MS-HU|A</x:v>
      </x:c>
      <x:c r="E188" s="19" t="str">
        <x:v>MS-HU</x:v>
      </x:c>
      <x:c r="F188" s="19" t="str">
        <x:v>independent release</x:v>
      </x:c>
      <x:c r="G188" s="20" t="n">
        <x:v>0</x:v>
      </x:c>
      <x:c r="H188" s="21" t="str">
        <x:v>OPEN</x:v>
      </x:c>
      <x:c r="I188" s="48"/>
      <x:c r="J188" s="48"/>
      <x:c r="K188" s="48"/>
      <x:c r="L188" s="48"/>
      <x:c r="M188" s="48"/>
      <x:c r="N188" s="48"/>
      <x:c r="O188" s="48"/>
      <x:c r="P188" s="48"/>
      <x:c r="Q188" s="48"/>
      <x:c r="R188" s="48"/>
      <x:c r="S188" s="48"/>
      <x:c r="T188" s="48"/>
      <x:c r="U188" s="48"/>
      <x:c r="V188" s="48"/>
      <x:c r="W188" s="48"/>
    </x:row>
    <x:row r="189">
      <x:c r="C189" s="19" t="str">
        <x:v>GT-HU-B-01</x:v>
      </x:c>
      <x:c r="D189" s="19" t="str">
        <x:v>MS-HU|B</x:v>
      </x:c>
      <x:c r="E189" s="19" t="str">
        <x:v>MS-HU</x:v>
      </x:c>
      <x:c r="F189" s="19" t="str">
        <x:v>complete routes</x:v>
      </x:c>
      <x:c r="G189" s="20" t="n">
        <x:v>0</x:v>
      </x:c>
      <x:c r="H189" s="21" t="str">
        <x:v>OPEN</x:v>
      </x:c>
      <x:c r="I189" s="48"/>
      <x:c r="J189" s="48"/>
      <x:c r="K189" s="48"/>
      <x:c r="L189" s="48"/>
      <x:c r="M189" s="48"/>
      <x:c r="N189" s="48"/>
      <x:c r="O189" s="48"/>
      <x:c r="P189" s="48"/>
      <x:c r="Q189" s="48"/>
      <x:c r="R189" s="48"/>
      <x:c r="S189" s="48"/>
      <x:c r="T189" s="48"/>
      <x:c r="U189" s="48"/>
      <x:c r="V189" s="48"/>
      <x:c r="W189" s="48"/>
    </x:row>
    <x:row r="190">
      <x:c r="C190" s="19" t="str">
        <x:v>GT-HU-B-02</x:v>
      </x:c>
      <x:c r="D190" s="19" t="str">
        <x:v>MS-HU|B</x:v>
      </x:c>
      <x:c r="E190" s="19" t="str">
        <x:v>MS-HU</x:v>
      </x:c>
      <x:c r="F190" s="19" t="str">
        <x:v>seven-stage state machine</x:v>
      </x:c>
      <x:c r="G190" s="20" t="n">
        <x:v>0</x:v>
      </x:c>
      <x:c r="H190" s="21" t="str">
        <x:v>OPEN</x:v>
      </x:c>
      <x:c r="I190" s="48"/>
      <x:c r="J190" s="48"/>
      <x:c r="K190" s="48"/>
      <x:c r="L190" s="48"/>
      <x:c r="M190" s="48"/>
      <x:c r="N190" s="48"/>
      <x:c r="O190" s="48"/>
      <x:c r="P190" s="48"/>
      <x:c r="Q190" s="48"/>
      <x:c r="R190" s="48"/>
      <x:c r="S190" s="48"/>
      <x:c r="T190" s="48"/>
      <x:c r="U190" s="48"/>
      <x:c r="V190" s="48"/>
      <x:c r="W190" s="48"/>
    </x:row>
    <x:row r="191">
      <x:c r="C191" s="19" t="str">
        <x:v>GT-HU-B-03</x:v>
      </x:c>
      <x:c r="D191" s="19" t="str">
        <x:v>MS-HU|B</x:v>
      </x:c>
      <x:c r="E191" s="19" t="str">
        <x:v>MS-HU</x:v>
      </x:c>
      <x:c r="F191" s="19" t="str">
        <x:v>four-field architecture</x:v>
      </x:c>
      <x:c r="G191" s="20" t="n">
        <x:v>0</x:v>
      </x:c>
      <x:c r="H191" s="21" t="str">
        <x:v>OPEN</x:v>
      </x:c>
      <x:c r="I191" s="48"/>
      <x:c r="J191" s="48"/>
      <x:c r="K191" s="48"/>
      <x:c r="L191" s="48"/>
      <x:c r="M191" s="48"/>
      <x:c r="N191" s="48"/>
      <x:c r="O191" s="48"/>
      <x:c r="P191" s="48"/>
      <x:c r="Q191" s="48"/>
      <x:c r="R191" s="48"/>
      <x:c r="S191" s="48"/>
      <x:c r="T191" s="48"/>
      <x:c r="U191" s="48"/>
      <x:c r="V191" s="48"/>
      <x:c r="W191" s="48"/>
    </x:row>
    <x:row r="192">
      <x:c r="C192" s="19" t="str">
        <x:v>GT-HU-B-04</x:v>
      </x:c>
      <x:c r="D192" s="19" t="str">
        <x:v>MS-HU|B</x:v>
      </x:c>
      <x:c r="E192" s="19" t="str">
        <x:v>MS-HU</x:v>
      </x:c>
      <x:c r="F192" s="19" t="str">
        <x:v>numeric service thresholds</x:v>
      </x:c>
      <x:c r="G192" s="20" t="n">
        <x:v>0</x:v>
      </x:c>
      <x:c r="H192" s="21" t="str">
        <x:v>OPEN</x:v>
      </x:c>
      <x:c r="I192" s="48"/>
      <x:c r="J192" s="48"/>
      <x:c r="K192" s="48"/>
      <x:c r="L192" s="48"/>
      <x:c r="M192" s="48"/>
      <x:c r="N192" s="48"/>
      <x:c r="O192" s="48"/>
      <x:c r="P192" s="48"/>
      <x:c r="Q192" s="48"/>
      <x:c r="R192" s="48"/>
      <x:c r="S192" s="48"/>
      <x:c r="T192" s="48"/>
      <x:c r="U192" s="48"/>
      <x:c r="V192" s="48"/>
      <x:c r="W192" s="48"/>
    </x:row>
    <x:row r="193">
      <x:c r="C193" s="19" t="str">
        <x:v>GT-HU-B-05</x:v>
      </x:c>
      <x:c r="D193" s="19" t="str">
        <x:v>MS-HU|B</x:v>
      </x:c>
      <x:c r="E193" s="19" t="str">
        <x:v>MS-HU</x:v>
      </x:c>
      <x:c r="F193" s="19" t="str">
        <x:v>closed mass, energy, flow and residual accounts</x:v>
      </x:c>
      <x:c r="G193" s="20" t="n">
        <x:v>0</x:v>
      </x:c>
      <x:c r="H193" s="21" t="str">
        <x:v>OPEN</x:v>
      </x:c>
      <x:c r="I193" s="48"/>
      <x:c r="J193" s="48"/>
      <x:c r="K193" s="48"/>
      <x:c r="L193" s="48"/>
      <x:c r="M193" s="48"/>
      <x:c r="N193" s="48"/>
      <x:c r="O193" s="48"/>
      <x:c r="P193" s="48"/>
      <x:c r="Q193" s="48"/>
      <x:c r="R193" s="48"/>
      <x:c r="S193" s="48"/>
      <x:c r="T193" s="48"/>
      <x:c r="U193" s="48"/>
      <x:c r="V193" s="48"/>
      <x:c r="W193" s="48"/>
    </x:row>
    <x:row r="194">
      <x:c r="C194" s="19" t="str">
        <x:v>GT-HU-B-06</x:v>
      </x:c>
      <x:c r="D194" s="19" t="str">
        <x:v>MS-HU|B</x:v>
      </x:c>
      <x:c r="E194" s="19" t="str">
        <x:v>MS-HU</x:v>
      </x:c>
      <x:c r="F194" s="19" t="str">
        <x:v>safety and rights</x:v>
      </x:c>
      <x:c r="G194" s="20" t="n">
        <x:v>0</x:v>
      </x:c>
      <x:c r="H194" s="21" t="str">
        <x:v>OPEN</x:v>
      </x:c>
      <x:c r="I194" s="48"/>
      <x:c r="J194" s="48"/>
      <x:c r="K194" s="48"/>
      <x:c r="L194" s="48"/>
      <x:c r="M194" s="48"/>
      <x:c r="N194" s="48"/>
      <x:c r="O194" s="48"/>
      <x:c r="P194" s="48"/>
      <x:c r="Q194" s="48"/>
      <x:c r="R194" s="48"/>
      <x:c r="S194" s="48"/>
      <x:c r="T194" s="48"/>
      <x:c r="U194" s="48"/>
      <x:c r="V194" s="48"/>
      <x:c r="W194" s="48"/>
    </x:row>
    <x:row r="195">
      <x:c r="C195" s="19" t="str">
        <x:v>GT-HU-B-07</x:v>
      </x:c>
      <x:c r="D195" s="19" t="str">
        <x:v>MS-HU|B</x:v>
      </x:c>
      <x:c r="E195" s="19" t="str">
        <x:v>MS-HU</x:v>
      </x:c>
      <x:c r="F195" s="19" t="str">
        <x:v>public interface control</x:v>
      </x:c>
      <x:c r="G195" s="20" t="n">
        <x:v>0</x:v>
      </x:c>
      <x:c r="H195" s="21" t="str">
        <x:v>OPEN</x:v>
      </x:c>
      <x:c r="I195" s="48"/>
      <x:c r="J195" s="48"/>
      <x:c r="K195" s="48"/>
      <x:c r="L195" s="48"/>
      <x:c r="M195" s="48"/>
      <x:c r="N195" s="48"/>
      <x:c r="O195" s="48"/>
      <x:c r="P195" s="48"/>
      <x:c r="Q195" s="48"/>
      <x:c r="R195" s="48"/>
      <x:c r="S195" s="48"/>
      <x:c r="T195" s="48"/>
      <x:c r="U195" s="48"/>
      <x:c r="V195" s="48"/>
      <x:c r="W195" s="48"/>
    </x:row>
    <x:row r="196">
      <x:c r="C196" s="19" t="str">
        <x:v>GT-HU-B-08</x:v>
      </x:c>
      <x:c r="D196" s="19" t="str">
        <x:v>MS-HU|B</x:v>
      </x:c>
      <x:c r="E196" s="19" t="str">
        <x:v>MS-HU</x:v>
      </x:c>
      <x:c r="F196" s="19" t="str">
        <x:v>declared decisive ancestry</x:v>
      </x:c>
      <x:c r="G196" s="20" t="n">
        <x:v>0</x:v>
      </x:c>
      <x:c r="H196" s="21" t="str">
        <x:v>OPEN</x:v>
      </x:c>
      <x:c r="I196" s="48"/>
      <x:c r="J196" s="48"/>
      <x:c r="K196" s="48"/>
      <x:c r="L196" s="48"/>
      <x:c r="M196" s="48"/>
      <x:c r="N196" s="48"/>
      <x:c r="O196" s="48"/>
      <x:c r="P196" s="48"/>
      <x:c r="Q196" s="48"/>
      <x:c r="R196" s="48"/>
      <x:c r="S196" s="48"/>
      <x:c r="T196" s="48"/>
      <x:c r="U196" s="48"/>
      <x:c r="V196" s="48"/>
      <x:c r="W196" s="48"/>
    </x:row>
    <x:row r="197">
      <x:c r="C197" s="19" t="str">
        <x:v>GT-HU-B-09</x:v>
      </x:c>
      <x:c r="D197" s="19" t="str">
        <x:v>MS-HU|B</x:v>
      </x:c>
      <x:c r="E197" s="19" t="str">
        <x:v>MS-HU</x:v>
      </x:c>
      <x:c r="F197" s="19" t="str">
        <x:v>executable build records</x:v>
      </x:c>
      <x:c r="G197" s="20" t="n">
        <x:v>0</x:v>
      </x:c>
      <x:c r="H197" s="21" t="str">
        <x:v>OPEN</x:v>
      </x:c>
      <x:c r="I197" s="48"/>
      <x:c r="J197" s="48"/>
      <x:c r="K197" s="48"/>
      <x:c r="L197" s="48"/>
      <x:c r="M197" s="48"/>
      <x:c r="N197" s="48"/>
      <x:c r="O197" s="48"/>
      <x:c r="P197" s="48"/>
      <x:c r="Q197" s="48"/>
      <x:c r="R197" s="48"/>
      <x:c r="S197" s="48"/>
      <x:c r="T197" s="48"/>
      <x:c r="U197" s="48"/>
      <x:c r="V197" s="48"/>
      <x:c r="W197" s="48"/>
    </x:row>
    <x:row r="198">
      <x:c r="C198" s="19" t="str">
        <x:v>GT-HU-B-10</x:v>
      </x:c>
      <x:c r="D198" s="19" t="str">
        <x:v>MS-HU|B</x:v>
      </x:c>
      <x:c r="E198" s="19" t="str">
        <x:v>MS-HU</x:v>
      </x:c>
      <x:c r="F198" s="19" t="str">
        <x:v>representative subsystem evidence</x:v>
      </x:c>
      <x:c r="G198" s="20" t="n">
        <x:v>0</x:v>
      </x:c>
      <x:c r="H198" s="21" t="str">
        <x:v>OPEN</x:v>
      </x:c>
      <x:c r="I198" s="48"/>
      <x:c r="J198" s="48"/>
      <x:c r="K198" s="48"/>
      <x:c r="L198" s="48"/>
      <x:c r="M198" s="48"/>
      <x:c r="N198" s="48"/>
      <x:c r="O198" s="48"/>
      <x:c r="P198" s="48"/>
      <x:c r="Q198" s="48"/>
      <x:c r="R198" s="48"/>
      <x:c r="S198" s="48"/>
      <x:c r="T198" s="48"/>
      <x:c r="U198" s="48"/>
      <x:c r="V198" s="48"/>
      <x:c r="W198" s="48"/>
    </x:row>
    <x:row r="199">
      <x:c r="C199" s="19" t="str">
        <x:v>GT-HU-B-11</x:v>
      </x:c>
      <x:c r="D199" s="19" t="str">
        <x:v>MS-HU|B</x:v>
      </x:c>
      <x:c r="E199" s="19" t="str">
        <x:v>MS-HU</x:v>
      </x:c>
      <x:c r="F199" s="19" t="str">
        <x:v>disconnected and manual control</x:v>
      </x:c>
      <x:c r="G199" s="20" t="n">
        <x:v>0</x:v>
      </x:c>
      <x:c r="H199" s="21" t="str">
        <x:v>OPEN</x:v>
      </x:c>
      <x:c r="I199" s="48"/>
      <x:c r="J199" s="48"/>
      <x:c r="K199" s="48"/>
      <x:c r="L199" s="48"/>
      <x:c r="M199" s="48"/>
      <x:c r="N199" s="48"/>
      <x:c r="O199" s="48"/>
      <x:c r="P199" s="48"/>
      <x:c r="Q199" s="48"/>
      <x:c r="R199" s="48"/>
      <x:c r="S199" s="48"/>
      <x:c r="T199" s="48"/>
      <x:c r="U199" s="48"/>
      <x:c r="V199" s="48"/>
      <x:c r="W199" s="48"/>
    </x:row>
    <x:row r="200">
      <x:c r="C200" s="19" t="str">
        <x:v>GT-HU-B-12</x:v>
      </x:c>
      <x:c r="D200" s="19" t="str">
        <x:v>MS-HU|B</x:v>
      </x:c>
      <x:c r="E200" s="19" t="str">
        <x:v>MS-HU</x:v>
      </x:c>
      <x:c r="F200" s="19" t="str">
        <x:v>root-native evidence and outside replay</x:v>
      </x:c>
      <x:c r="G200" s="20" t="n">
        <x:v>0</x:v>
      </x:c>
      <x:c r="H200" s="21" t="str">
        <x:v>OPEN</x:v>
      </x:c>
      <x:c r="I200" s="48"/>
      <x:c r="J200" s="48"/>
      <x:c r="K200" s="48"/>
      <x:c r="L200" s="48"/>
      <x:c r="M200" s="48"/>
      <x:c r="N200" s="48"/>
      <x:c r="O200" s="48"/>
      <x:c r="P200" s="48"/>
      <x:c r="Q200" s="48"/>
      <x:c r="R200" s="48"/>
      <x:c r="S200" s="48"/>
      <x:c r="T200" s="48"/>
      <x:c r="U200" s="48"/>
      <x:c r="V200" s="48"/>
      <x:c r="W200" s="48"/>
    </x:row>
    <x:row r="201">
      <x:c r="C201" s="19" t="str">
        <x:v>GT-HU-B-13</x:v>
      </x:c>
      <x:c r="D201" s="19" t="str">
        <x:v>MS-HU|B</x:v>
      </x:c>
      <x:c r="E201" s="19" t="str">
        <x:v>MS-HU</x:v>
      </x:c>
      <x:c r="F201" s="19" t="str">
        <x:v>repair, reset and second-team reproduction</x:v>
      </x:c>
      <x:c r="G201" s="20" t="n">
        <x:v>0</x:v>
      </x:c>
      <x:c r="H201" s="21" t="str">
        <x:v>OPEN</x:v>
      </x:c>
      <x:c r="I201" s="48"/>
      <x:c r="J201" s="48"/>
      <x:c r="K201" s="48"/>
      <x:c r="L201" s="48"/>
      <x:c r="M201" s="48"/>
      <x:c r="N201" s="48"/>
      <x:c r="O201" s="48"/>
      <x:c r="P201" s="48"/>
      <x:c r="Q201" s="48"/>
      <x:c r="R201" s="48"/>
      <x:c r="S201" s="48"/>
      <x:c r="T201" s="48"/>
      <x:c r="U201" s="48"/>
      <x:c r="V201" s="48"/>
      <x:c r="W201" s="48"/>
    </x:row>
    <x:row r="202">
      <x:c r="C202" s="19" t="str">
        <x:v>GT-HU-B-14</x:v>
      </x:c>
      <x:c r="D202" s="19" t="str">
        <x:v>MS-HU|B</x:v>
      </x:c>
      <x:c r="E202" s="19" t="str">
        <x:v>MS-HU</x:v>
      </x:c>
      <x:c r="F202" s="19" t="str">
        <x:v>independent release</x:v>
      </x:c>
      <x:c r="G202" s="20" t="n">
        <x:v>0</x:v>
      </x:c>
      <x:c r="H202" s="21" t="str">
        <x:v>OPEN</x:v>
      </x:c>
      <x:c r="I202" s="48"/>
      <x:c r="J202" s="48"/>
      <x:c r="K202" s="48"/>
      <x:c r="L202" s="48"/>
      <x:c r="M202" s="48"/>
      <x:c r="N202" s="48"/>
      <x:c r="O202" s="48"/>
      <x:c r="P202" s="48"/>
      <x:c r="Q202" s="48"/>
      <x:c r="R202" s="48"/>
      <x:c r="S202" s="48"/>
      <x:c r="T202" s="48"/>
      <x:c r="U202" s="48"/>
      <x:c r="V202" s="48"/>
      <x:c r="W202" s="48"/>
    </x:row>
    <x:row r="203">
      <x:c r="C203" s="19" t="str">
        <x:v>GT-HU-C-01</x:v>
      </x:c>
      <x:c r="D203" s="19" t="str">
        <x:v>MS-HU|C</x:v>
      </x:c>
      <x:c r="E203" s="19" t="str">
        <x:v>MS-HU</x:v>
      </x:c>
      <x:c r="F203" s="19" t="str">
        <x:v>complete routes</x:v>
      </x:c>
      <x:c r="G203" s="20" t="n">
        <x:v>0</x:v>
      </x:c>
      <x:c r="H203" s="21" t="str">
        <x:v>OPEN</x:v>
      </x:c>
      <x:c r="I203" s="48"/>
      <x:c r="J203" s="48"/>
      <x:c r="K203" s="48"/>
      <x:c r="L203" s="48"/>
      <x:c r="M203" s="48"/>
      <x:c r="N203" s="48"/>
      <x:c r="O203" s="48"/>
      <x:c r="P203" s="48"/>
      <x:c r="Q203" s="48"/>
      <x:c r="R203" s="48"/>
      <x:c r="S203" s="48"/>
      <x:c r="T203" s="48"/>
      <x:c r="U203" s="48"/>
      <x:c r="V203" s="48"/>
      <x:c r="W203" s="48"/>
    </x:row>
    <x:row r="204">
      <x:c r="C204" s="19" t="str">
        <x:v>GT-HU-C-02</x:v>
      </x:c>
      <x:c r="D204" s="19" t="str">
        <x:v>MS-HU|C</x:v>
      </x:c>
      <x:c r="E204" s="19" t="str">
        <x:v>MS-HU</x:v>
      </x:c>
      <x:c r="F204" s="19" t="str">
        <x:v>seven-stage state machine</x:v>
      </x:c>
      <x:c r="G204" s="20" t="n">
        <x:v>0</x:v>
      </x:c>
      <x:c r="H204" s="21" t="str">
        <x:v>OPEN</x:v>
      </x:c>
      <x:c r="I204" s="48"/>
      <x:c r="J204" s="48"/>
      <x:c r="K204" s="48"/>
      <x:c r="L204" s="48"/>
      <x:c r="M204" s="48"/>
      <x:c r="N204" s="48"/>
      <x:c r="O204" s="48"/>
      <x:c r="P204" s="48"/>
      <x:c r="Q204" s="48"/>
      <x:c r="R204" s="48"/>
      <x:c r="S204" s="48"/>
      <x:c r="T204" s="48"/>
      <x:c r="U204" s="48"/>
      <x:c r="V204" s="48"/>
      <x:c r="W204" s="48"/>
    </x:row>
    <x:row r="205">
      <x:c r="C205" s="19" t="str">
        <x:v>GT-HU-C-03</x:v>
      </x:c>
      <x:c r="D205" s="19" t="str">
        <x:v>MS-HU|C</x:v>
      </x:c>
      <x:c r="E205" s="19" t="str">
        <x:v>MS-HU</x:v>
      </x:c>
      <x:c r="F205" s="19" t="str">
        <x:v>four-field architecture</x:v>
      </x:c>
      <x:c r="G205" s="20" t="n">
        <x:v>0</x:v>
      </x:c>
      <x:c r="H205" s="21" t="str">
        <x:v>OPEN</x:v>
      </x:c>
      <x:c r="I205" s="48"/>
      <x:c r="J205" s="48"/>
      <x:c r="K205" s="48"/>
      <x:c r="L205" s="48"/>
      <x:c r="M205" s="48"/>
      <x:c r="N205" s="48"/>
      <x:c r="O205" s="48"/>
      <x:c r="P205" s="48"/>
      <x:c r="Q205" s="48"/>
      <x:c r="R205" s="48"/>
      <x:c r="S205" s="48"/>
      <x:c r="T205" s="48"/>
      <x:c r="U205" s="48"/>
      <x:c r="V205" s="48"/>
      <x:c r="W205" s="48"/>
    </x:row>
    <x:row r="206">
      <x:c r="C206" s="19" t="str">
        <x:v>GT-HU-C-04</x:v>
      </x:c>
      <x:c r="D206" s="19" t="str">
        <x:v>MS-HU|C</x:v>
      </x:c>
      <x:c r="E206" s="19" t="str">
        <x:v>MS-HU</x:v>
      </x:c>
      <x:c r="F206" s="19" t="str">
        <x:v>numeric service thresholds</x:v>
      </x:c>
      <x:c r="G206" s="20" t="n">
        <x:v>0</x:v>
      </x:c>
      <x:c r="H206" s="21" t="str">
        <x:v>OPEN</x:v>
      </x:c>
      <x:c r="I206" s="48"/>
      <x:c r="J206" s="48"/>
      <x:c r="K206" s="48"/>
      <x:c r="L206" s="48"/>
      <x:c r="M206" s="48"/>
      <x:c r="N206" s="48"/>
      <x:c r="O206" s="48"/>
      <x:c r="P206" s="48"/>
      <x:c r="Q206" s="48"/>
      <x:c r="R206" s="48"/>
      <x:c r="S206" s="48"/>
      <x:c r="T206" s="48"/>
      <x:c r="U206" s="48"/>
      <x:c r="V206" s="48"/>
      <x:c r="W206" s="48"/>
    </x:row>
    <x:row r="207">
      <x:c r="C207" s="19" t="str">
        <x:v>GT-HU-C-05</x:v>
      </x:c>
      <x:c r="D207" s="19" t="str">
        <x:v>MS-HU|C</x:v>
      </x:c>
      <x:c r="E207" s="19" t="str">
        <x:v>MS-HU</x:v>
      </x:c>
      <x:c r="F207" s="19" t="str">
        <x:v>closed mass, energy, flow and residual accounts</x:v>
      </x:c>
      <x:c r="G207" s="20" t="n">
        <x:v>0</x:v>
      </x:c>
      <x:c r="H207" s="21" t="str">
        <x:v>OPEN</x:v>
      </x:c>
      <x:c r="I207" s="48"/>
      <x:c r="J207" s="48"/>
      <x:c r="K207" s="48"/>
      <x:c r="L207" s="48"/>
      <x:c r="M207" s="48"/>
      <x:c r="N207" s="48"/>
      <x:c r="O207" s="48"/>
      <x:c r="P207" s="48"/>
      <x:c r="Q207" s="48"/>
      <x:c r="R207" s="48"/>
      <x:c r="S207" s="48"/>
      <x:c r="T207" s="48"/>
      <x:c r="U207" s="48"/>
      <x:c r="V207" s="48"/>
      <x:c r="W207" s="48"/>
    </x:row>
    <x:row r="208">
      <x:c r="C208" s="19" t="str">
        <x:v>GT-HU-C-06</x:v>
      </x:c>
      <x:c r="D208" s="19" t="str">
        <x:v>MS-HU|C</x:v>
      </x:c>
      <x:c r="E208" s="19" t="str">
        <x:v>MS-HU</x:v>
      </x:c>
      <x:c r="F208" s="19" t="str">
        <x:v>safety and rights</x:v>
      </x:c>
      <x:c r="G208" s="20" t="n">
        <x:v>0</x:v>
      </x:c>
      <x:c r="H208" s="21" t="str">
        <x:v>OPEN</x:v>
      </x:c>
      <x:c r="I208" s="48"/>
      <x:c r="J208" s="48"/>
      <x:c r="K208" s="48"/>
      <x:c r="L208" s="48"/>
      <x:c r="M208" s="48"/>
      <x:c r="N208" s="48"/>
      <x:c r="O208" s="48"/>
      <x:c r="P208" s="48"/>
      <x:c r="Q208" s="48"/>
      <x:c r="R208" s="48"/>
      <x:c r="S208" s="48"/>
      <x:c r="T208" s="48"/>
      <x:c r="U208" s="48"/>
      <x:c r="V208" s="48"/>
      <x:c r="W208" s="48"/>
    </x:row>
    <x:row r="209">
      <x:c r="C209" s="19" t="str">
        <x:v>GT-HU-C-07</x:v>
      </x:c>
      <x:c r="D209" s="19" t="str">
        <x:v>MS-HU|C</x:v>
      </x:c>
      <x:c r="E209" s="19" t="str">
        <x:v>MS-HU</x:v>
      </x:c>
      <x:c r="F209" s="19" t="str">
        <x:v>public interface control</x:v>
      </x:c>
      <x:c r="G209" s="20" t="n">
        <x:v>0</x:v>
      </x:c>
      <x:c r="H209" s="21" t="str">
        <x:v>OPEN</x:v>
      </x:c>
      <x:c r="I209" s="48"/>
      <x:c r="J209" s="48"/>
      <x:c r="K209" s="48"/>
      <x:c r="L209" s="48"/>
      <x:c r="M209" s="48"/>
      <x:c r="N209" s="48"/>
      <x:c r="O209" s="48"/>
      <x:c r="P209" s="48"/>
      <x:c r="Q209" s="48"/>
      <x:c r="R209" s="48"/>
      <x:c r="S209" s="48"/>
      <x:c r="T209" s="48"/>
      <x:c r="U209" s="48"/>
      <x:c r="V209" s="48"/>
      <x:c r="W209" s="48"/>
    </x:row>
    <x:row r="210">
      <x:c r="C210" s="19" t="str">
        <x:v>GT-HU-C-08</x:v>
      </x:c>
      <x:c r="D210" s="19" t="str">
        <x:v>MS-HU|C</x:v>
      </x:c>
      <x:c r="E210" s="19" t="str">
        <x:v>MS-HU</x:v>
      </x:c>
      <x:c r="F210" s="19" t="str">
        <x:v>declared decisive ancestry</x:v>
      </x:c>
      <x:c r="G210" s="20" t="n">
        <x:v>0</x:v>
      </x:c>
      <x:c r="H210" s="21" t="str">
        <x:v>OPEN</x:v>
      </x:c>
      <x:c r="I210" s="48"/>
      <x:c r="J210" s="48"/>
      <x:c r="K210" s="48"/>
      <x:c r="L210" s="48"/>
      <x:c r="M210" s="48"/>
      <x:c r="N210" s="48"/>
      <x:c r="O210" s="48"/>
      <x:c r="P210" s="48"/>
      <x:c r="Q210" s="48"/>
      <x:c r="R210" s="48"/>
      <x:c r="S210" s="48"/>
      <x:c r="T210" s="48"/>
      <x:c r="U210" s="48"/>
      <x:c r="V210" s="48"/>
      <x:c r="W210" s="48"/>
    </x:row>
    <x:row r="211">
      <x:c r="C211" s="19" t="str">
        <x:v>GT-HU-C-09</x:v>
      </x:c>
      <x:c r="D211" s="19" t="str">
        <x:v>MS-HU|C</x:v>
      </x:c>
      <x:c r="E211" s="19" t="str">
        <x:v>MS-HU</x:v>
      </x:c>
      <x:c r="F211" s="19" t="str">
        <x:v>executable build records</x:v>
      </x:c>
      <x:c r="G211" s="20" t="n">
        <x:v>0</x:v>
      </x:c>
      <x:c r="H211" s="21" t="str">
        <x:v>OPEN</x:v>
      </x:c>
      <x:c r="I211" s="48"/>
      <x:c r="J211" s="48"/>
      <x:c r="K211" s="48"/>
      <x:c r="L211" s="48"/>
      <x:c r="M211" s="48"/>
      <x:c r="N211" s="48"/>
      <x:c r="O211" s="48"/>
      <x:c r="P211" s="48"/>
      <x:c r="Q211" s="48"/>
      <x:c r="R211" s="48"/>
      <x:c r="S211" s="48"/>
      <x:c r="T211" s="48"/>
      <x:c r="U211" s="48"/>
      <x:c r="V211" s="48"/>
      <x:c r="W211" s="48"/>
    </x:row>
    <x:row r="212">
      <x:c r="C212" s="19" t="str">
        <x:v>GT-HU-C-10</x:v>
      </x:c>
      <x:c r="D212" s="19" t="str">
        <x:v>MS-HU|C</x:v>
      </x:c>
      <x:c r="E212" s="19" t="str">
        <x:v>MS-HU</x:v>
      </x:c>
      <x:c r="F212" s="19" t="str">
        <x:v>representative subsystem evidence</x:v>
      </x:c>
      <x:c r="G212" s="20" t="n">
        <x:v>0</x:v>
      </x:c>
      <x:c r="H212" s="21" t="str">
        <x:v>OPEN</x:v>
      </x:c>
      <x:c r="I212" s="48"/>
      <x:c r="J212" s="48"/>
      <x:c r="K212" s="48"/>
      <x:c r="L212" s="48"/>
      <x:c r="M212" s="48"/>
      <x:c r="N212" s="48"/>
      <x:c r="O212" s="48"/>
      <x:c r="P212" s="48"/>
      <x:c r="Q212" s="48"/>
      <x:c r="R212" s="48"/>
      <x:c r="S212" s="48"/>
      <x:c r="T212" s="48"/>
      <x:c r="U212" s="48"/>
      <x:c r="V212" s="48"/>
      <x:c r="W212" s="48"/>
    </x:row>
    <x:row r="213">
      <x:c r="C213" s="19" t="str">
        <x:v>GT-HU-C-11</x:v>
      </x:c>
      <x:c r="D213" s="19" t="str">
        <x:v>MS-HU|C</x:v>
      </x:c>
      <x:c r="E213" s="19" t="str">
        <x:v>MS-HU</x:v>
      </x:c>
      <x:c r="F213" s="19" t="str">
        <x:v>disconnected and manual control</x:v>
      </x:c>
      <x:c r="G213" s="20" t="n">
        <x:v>0</x:v>
      </x:c>
      <x:c r="H213" s="21" t="str">
        <x:v>OPEN</x:v>
      </x:c>
      <x:c r="I213" s="48"/>
      <x:c r="J213" s="48"/>
      <x:c r="K213" s="48"/>
      <x:c r="L213" s="48"/>
      <x:c r="M213" s="48"/>
      <x:c r="N213" s="48"/>
      <x:c r="O213" s="48"/>
      <x:c r="P213" s="48"/>
      <x:c r="Q213" s="48"/>
      <x:c r="R213" s="48"/>
      <x:c r="S213" s="48"/>
      <x:c r="T213" s="48"/>
      <x:c r="U213" s="48"/>
      <x:c r="V213" s="48"/>
      <x:c r="W213" s="48"/>
    </x:row>
    <x:row r="214">
      <x:c r="C214" s="19" t="str">
        <x:v>GT-HU-C-12</x:v>
      </x:c>
      <x:c r="D214" s="19" t="str">
        <x:v>MS-HU|C</x:v>
      </x:c>
      <x:c r="E214" s="19" t="str">
        <x:v>MS-HU</x:v>
      </x:c>
      <x:c r="F214" s="19" t="str">
        <x:v>root-native evidence and outside replay</x:v>
      </x:c>
      <x:c r="G214" s="20" t="n">
        <x:v>0</x:v>
      </x:c>
      <x:c r="H214" s="21" t="str">
        <x:v>OPEN</x:v>
      </x:c>
      <x:c r="I214" s="48"/>
      <x:c r="J214" s="48"/>
      <x:c r="K214" s="48"/>
      <x:c r="L214" s="48"/>
      <x:c r="M214" s="48"/>
      <x:c r="N214" s="48"/>
      <x:c r="O214" s="48"/>
      <x:c r="P214" s="48"/>
      <x:c r="Q214" s="48"/>
      <x:c r="R214" s="48"/>
      <x:c r="S214" s="48"/>
      <x:c r="T214" s="48"/>
      <x:c r="U214" s="48"/>
      <x:c r="V214" s="48"/>
      <x:c r="W214" s="48"/>
    </x:row>
    <x:row r="215">
      <x:c r="C215" s="19" t="str">
        <x:v>GT-HU-C-13</x:v>
      </x:c>
      <x:c r="D215" s="19" t="str">
        <x:v>MS-HU|C</x:v>
      </x:c>
      <x:c r="E215" s="19" t="str">
        <x:v>MS-HU</x:v>
      </x:c>
      <x:c r="F215" s="19" t="str">
        <x:v>repair, reset and second-team reproduction</x:v>
      </x:c>
      <x:c r="G215" s="20" t="n">
        <x:v>0</x:v>
      </x:c>
      <x:c r="H215" s="21" t="str">
        <x:v>OPEN</x:v>
      </x:c>
      <x:c r="I215" s="48"/>
      <x:c r="J215" s="48"/>
      <x:c r="K215" s="48"/>
      <x:c r="L215" s="48"/>
      <x:c r="M215" s="48"/>
      <x:c r="N215" s="48"/>
      <x:c r="O215" s="48"/>
      <x:c r="P215" s="48"/>
      <x:c r="Q215" s="48"/>
      <x:c r="R215" s="48"/>
      <x:c r="S215" s="48"/>
      <x:c r="T215" s="48"/>
      <x:c r="U215" s="48"/>
      <x:c r="V215" s="48"/>
      <x:c r="W215" s="48"/>
    </x:row>
    <x:row r="216">
      <x:c r="C216" s="19" t="str">
        <x:v>GT-HU-C-14</x:v>
      </x:c>
      <x:c r="D216" s="19" t="str">
        <x:v>MS-HU|C</x:v>
      </x:c>
      <x:c r="E216" s="19" t="str">
        <x:v>MS-HU</x:v>
      </x:c>
      <x:c r="F216" s="19" t="str">
        <x:v>independent release</x:v>
      </x:c>
      <x:c r="G216" s="20" t="n">
        <x:v>0</x:v>
      </x:c>
      <x:c r="H216" s="21" t="str">
        <x:v>OPEN</x:v>
      </x:c>
      <x:c r="I216" s="48"/>
      <x:c r="J216" s="48"/>
      <x:c r="K216" s="48"/>
      <x:c r="L216" s="48"/>
      <x:c r="M216" s="48"/>
      <x:c r="N216" s="48"/>
      <x:c r="O216" s="48"/>
      <x:c r="P216" s="48"/>
      <x:c r="Q216" s="48"/>
      <x:c r="R216" s="48"/>
      <x:c r="S216" s="48"/>
      <x:c r="T216" s="48"/>
      <x:c r="U216" s="48"/>
      <x:c r="V216" s="48"/>
      <x:c r="W216" s="48"/>
    </x:row>
    <x:row r="217">
      <x:c r="C217" s="19" t="str">
        <x:v>GT-HU-D-01</x:v>
      </x:c>
      <x:c r="D217" s="19" t="str">
        <x:v>MS-HU|D</x:v>
      </x:c>
      <x:c r="E217" s="19" t="str">
        <x:v>MS-HU</x:v>
      </x:c>
      <x:c r="F217" s="19" t="str">
        <x:v>complete routes</x:v>
      </x:c>
      <x:c r="G217" s="20" t="n">
        <x:v>0</x:v>
      </x:c>
      <x:c r="H217" s="21" t="str">
        <x:v>OPEN</x:v>
      </x:c>
      <x:c r="I217" s="48"/>
      <x:c r="J217" s="48"/>
      <x:c r="K217" s="48"/>
      <x:c r="L217" s="48"/>
      <x:c r="M217" s="48"/>
      <x:c r="N217" s="48"/>
      <x:c r="O217" s="48"/>
      <x:c r="P217" s="48"/>
      <x:c r="Q217" s="48"/>
      <x:c r="R217" s="48"/>
      <x:c r="S217" s="48"/>
      <x:c r="T217" s="48"/>
      <x:c r="U217" s="48"/>
      <x:c r="V217" s="48"/>
      <x:c r="W217" s="48"/>
    </x:row>
    <x:row r="218">
      <x:c r="C218" s="19" t="str">
        <x:v>GT-HU-D-02</x:v>
      </x:c>
      <x:c r="D218" s="19" t="str">
        <x:v>MS-HU|D</x:v>
      </x:c>
      <x:c r="E218" s="19" t="str">
        <x:v>MS-HU</x:v>
      </x:c>
      <x:c r="F218" s="19" t="str">
        <x:v>seven-stage state machine</x:v>
      </x:c>
      <x:c r="G218" s="20" t="n">
        <x:v>0</x:v>
      </x:c>
      <x:c r="H218" s="21" t="str">
        <x:v>OPEN</x:v>
      </x:c>
      <x:c r="I218" s="48"/>
      <x:c r="J218" s="48"/>
      <x:c r="K218" s="48"/>
      <x:c r="L218" s="48"/>
      <x:c r="M218" s="48"/>
      <x:c r="N218" s="48"/>
      <x:c r="O218" s="48"/>
      <x:c r="P218" s="48"/>
      <x:c r="Q218" s="48"/>
      <x:c r="R218" s="48"/>
      <x:c r="S218" s="48"/>
      <x:c r="T218" s="48"/>
      <x:c r="U218" s="48"/>
      <x:c r="V218" s="48"/>
      <x:c r="W218" s="48"/>
    </x:row>
    <x:row r="219">
      <x:c r="C219" s="19" t="str">
        <x:v>GT-HU-D-03</x:v>
      </x:c>
      <x:c r="D219" s="19" t="str">
        <x:v>MS-HU|D</x:v>
      </x:c>
      <x:c r="E219" s="19" t="str">
        <x:v>MS-HU</x:v>
      </x:c>
      <x:c r="F219" s="19" t="str">
        <x:v>four-field architecture</x:v>
      </x:c>
      <x:c r="G219" s="20" t="n">
        <x:v>0</x:v>
      </x:c>
      <x:c r="H219" s="21" t="str">
        <x:v>OPEN</x:v>
      </x:c>
      <x:c r="I219" s="48"/>
      <x:c r="J219" s="48"/>
      <x:c r="K219" s="48"/>
      <x:c r="L219" s="48"/>
      <x:c r="M219" s="48"/>
      <x:c r="N219" s="48"/>
      <x:c r="O219" s="48"/>
      <x:c r="P219" s="48"/>
      <x:c r="Q219" s="48"/>
      <x:c r="R219" s="48"/>
      <x:c r="S219" s="48"/>
      <x:c r="T219" s="48"/>
      <x:c r="U219" s="48"/>
      <x:c r="V219" s="48"/>
      <x:c r="W219" s="48"/>
    </x:row>
    <x:row r="220">
      <x:c r="C220" s="19" t="str">
        <x:v>GT-HU-D-04</x:v>
      </x:c>
      <x:c r="D220" s="19" t="str">
        <x:v>MS-HU|D</x:v>
      </x:c>
      <x:c r="E220" s="19" t="str">
        <x:v>MS-HU</x:v>
      </x:c>
      <x:c r="F220" s="19" t="str">
        <x:v>numeric service thresholds</x:v>
      </x:c>
      <x:c r="G220" s="20" t="n">
        <x:v>0</x:v>
      </x:c>
      <x:c r="H220" s="21" t="str">
        <x:v>OPEN</x:v>
      </x:c>
      <x:c r="I220" s="48"/>
      <x:c r="J220" s="48"/>
      <x:c r="K220" s="48"/>
      <x:c r="L220" s="48"/>
      <x:c r="M220" s="48"/>
      <x:c r="N220" s="48"/>
      <x:c r="O220" s="48"/>
      <x:c r="P220" s="48"/>
      <x:c r="Q220" s="48"/>
      <x:c r="R220" s="48"/>
      <x:c r="S220" s="48"/>
      <x:c r="T220" s="48"/>
      <x:c r="U220" s="48"/>
      <x:c r="V220" s="48"/>
      <x:c r="W220" s="48"/>
    </x:row>
    <x:row r="221">
      <x:c r="C221" s="19" t="str">
        <x:v>GT-HU-D-05</x:v>
      </x:c>
      <x:c r="D221" s="19" t="str">
        <x:v>MS-HU|D</x:v>
      </x:c>
      <x:c r="E221" s="19" t="str">
        <x:v>MS-HU</x:v>
      </x:c>
      <x:c r="F221" s="19" t="str">
        <x:v>closed mass, energy, flow and residual accounts</x:v>
      </x:c>
      <x:c r="G221" s="20" t="n">
        <x:v>0</x:v>
      </x:c>
      <x:c r="H221" s="21" t="str">
        <x:v>OPEN</x:v>
      </x:c>
      <x:c r="I221" s="48"/>
      <x:c r="J221" s="48"/>
      <x:c r="K221" s="48"/>
      <x:c r="L221" s="48"/>
      <x:c r="M221" s="48"/>
      <x:c r="N221" s="48"/>
      <x:c r="O221" s="48"/>
      <x:c r="P221" s="48"/>
      <x:c r="Q221" s="48"/>
      <x:c r="R221" s="48"/>
      <x:c r="S221" s="48"/>
      <x:c r="T221" s="48"/>
      <x:c r="U221" s="48"/>
      <x:c r="V221" s="48"/>
      <x:c r="W221" s="48"/>
    </x:row>
    <x:row r="222">
      <x:c r="C222" s="19" t="str">
        <x:v>GT-HU-D-06</x:v>
      </x:c>
      <x:c r="D222" s="19" t="str">
        <x:v>MS-HU|D</x:v>
      </x:c>
      <x:c r="E222" s="19" t="str">
        <x:v>MS-HU</x:v>
      </x:c>
      <x:c r="F222" s="19" t="str">
        <x:v>safety and rights</x:v>
      </x:c>
      <x:c r="G222" s="20" t="n">
        <x:v>0</x:v>
      </x:c>
      <x:c r="H222" s="21" t="str">
        <x:v>OPEN</x:v>
      </x:c>
      <x:c r="I222" s="48"/>
      <x:c r="J222" s="48"/>
      <x:c r="K222" s="48"/>
      <x:c r="L222" s="48"/>
      <x:c r="M222" s="48"/>
      <x:c r="N222" s="48"/>
      <x:c r="O222" s="48"/>
      <x:c r="P222" s="48"/>
      <x:c r="Q222" s="48"/>
      <x:c r="R222" s="48"/>
      <x:c r="S222" s="48"/>
      <x:c r="T222" s="48"/>
      <x:c r="U222" s="48"/>
      <x:c r="V222" s="48"/>
      <x:c r="W222" s="48"/>
    </x:row>
    <x:row r="223">
      <x:c r="C223" s="19" t="str">
        <x:v>GT-HU-D-07</x:v>
      </x:c>
      <x:c r="D223" s="19" t="str">
        <x:v>MS-HU|D</x:v>
      </x:c>
      <x:c r="E223" s="19" t="str">
        <x:v>MS-HU</x:v>
      </x:c>
      <x:c r="F223" s="19" t="str">
        <x:v>public interface control</x:v>
      </x:c>
      <x:c r="G223" s="20" t="n">
        <x:v>0</x:v>
      </x:c>
      <x:c r="H223" s="21" t="str">
        <x:v>OPEN</x:v>
      </x:c>
      <x:c r="I223" s="48"/>
      <x:c r="J223" s="48"/>
      <x:c r="K223" s="48"/>
      <x:c r="L223" s="48"/>
      <x:c r="M223" s="48"/>
      <x:c r="N223" s="48"/>
      <x:c r="O223" s="48"/>
      <x:c r="P223" s="48"/>
      <x:c r="Q223" s="48"/>
      <x:c r="R223" s="48"/>
      <x:c r="S223" s="48"/>
      <x:c r="T223" s="48"/>
      <x:c r="U223" s="48"/>
      <x:c r="V223" s="48"/>
      <x:c r="W223" s="48"/>
    </x:row>
    <x:row r="224">
      <x:c r="C224" s="19" t="str">
        <x:v>GT-HU-D-08</x:v>
      </x:c>
      <x:c r="D224" s="19" t="str">
        <x:v>MS-HU|D</x:v>
      </x:c>
      <x:c r="E224" s="19" t="str">
        <x:v>MS-HU</x:v>
      </x:c>
      <x:c r="F224" s="19" t="str">
        <x:v>declared decisive ancestry</x:v>
      </x:c>
      <x:c r="G224" s="20" t="n">
        <x:v>0</x:v>
      </x:c>
      <x:c r="H224" s="21" t="str">
        <x:v>OPEN</x:v>
      </x:c>
      <x:c r="I224" s="48"/>
      <x:c r="J224" s="48"/>
      <x:c r="K224" s="48"/>
      <x:c r="L224" s="48"/>
      <x:c r="M224" s="48"/>
      <x:c r="N224" s="48"/>
      <x:c r="O224" s="48"/>
      <x:c r="P224" s="48"/>
      <x:c r="Q224" s="48"/>
      <x:c r="R224" s="48"/>
      <x:c r="S224" s="48"/>
      <x:c r="T224" s="48"/>
      <x:c r="U224" s="48"/>
      <x:c r="V224" s="48"/>
      <x:c r="W224" s="48"/>
    </x:row>
    <x:row r="225">
      <x:c r="C225" s="19" t="str">
        <x:v>GT-HU-D-09</x:v>
      </x:c>
      <x:c r="D225" s="19" t="str">
        <x:v>MS-HU|D</x:v>
      </x:c>
      <x:c r="E225" s="19" t="str">
        <x:v>MS-HU</x:v>
      </x:c>
      <x:c r="F225" s="19" t="str">
        <x:v>executable build records</x:v>
      </x:c>
      <x:c r="G225" s="20" t="n">
        <x:v>0</x:v>
      </x:c>
      <x:c r="H225" s="21" t="str">
        <x:v>OPEN</x:v>
      </x:c>
      <x:c r="I225" s="48"/>
      <x:c r="J225" s="48"/>
      <x:c r="K225" s="48"/>
      <x:c r="L225" s="48"/>
      <x:c r="M225" s="48"/>
      <x:c r="N225" s="48"/>
      <x:c r="O225" s="48"/>
      <x:c r="P225" s="48"/>
      <x:c r="Q225" s="48"/>
      <x:c r="R225" s="48"/>
      <x:c r="S225" s="48"/>
      <x:c r="T225" s="48"/>
      <x:c r="U225" s="48"/>
      <x:c r="V225" s="48"/>
      <x:c r="W225" s="48"/>
    </x:row>
    <x:row r="226">
      <x:c r="C226" s="19" t="str">
        <x:v>GT-HU-D-10</x:v>
      </x:c>
      <x:c r="D226" s="19" t="str">
        <x:v>MS-HU|D</x:v>
      </x:c>
      <x:c r="E226" s="19" t="str">
        <x:v>MS-HU</x:v>
      </x:c>
      <x:c r="F226" s="19" t="str">
        <x:v>representative subsystem evidence</x:v>
      </x:c>
      <x:c r="G226" s="20" t="n">
        <x:v>0</x:v>
      </x:c>
      <x:c r="H226" s="21" t="str">
        <x:v>OPEN</x:v>
      </x:c>
      <x:c r="I226" s="48"/>
      <x:c r="J226" s="48"/>
      <x:c r="K226" s="48"/>
      <x:c r="L226" s="48"/>
      <x:c r="M226" s="48"/>
      <x:c r="N226" s="48"/>
      <x:c r="O226" s="48"/>
      <x:c r="P226" s="48"/>
      <x:c r="Q226" s="48"/>
      <x:c r="R226" s="48"/>
      <x:c r="S226" s="48"/>
      <x:c r="T226" s="48"/>
      <x:c r="U226" s="48"/>
      <x:c r="V226" s="48"/>
      <x:c r="W226" s="48"/>
    </x:row>
    <x:row r="227">
      <x:c r="C227" s="19" t="str">
        <x:v>GT-HU-D-11</x:v>
      </x:c>
      <x:c r="D227" s="19" t="str">
        <x:v>MS-HU|D</x:v>
      </x:c>
      <x:c r="E227" s="19" t="str">
        <x:v>MS-HU</x:v>
      </x:c>
      <x:c r="F227" s="19" t="str">
        <x:v>disconnected and manual control</x:v>
      </x:c>
      <x:c r="G227" s="20" t="n">
        <x:v>0</x:v>
      </x:c>
      <x:c r="H227" s="21" t="str">
        <x:v>OPEN</x:v>
      </x:c>
      <x:c r="I227" s="48"/>
      <x:c r="J227" s="48"/>
      <x:c r="K227" s="48"/>
      <x:c r="L227" s="48"/>
      <x:c r="M227" s="48"/>
      <x:c r="N227" s="48"/>
      <x:c r="O227" s="48"/>
      <x:c r="P227" s="48"/>
      <x:c r="Q227" s="48"/>
      <x:c r="R227" s="48"/>
      <x:c r="S227" s="48"/>
      <x:c r="T227" s="48"/>
      <x:c r="U227" s="48"/>
      <x:c r="V227" s="48"/>
      <x:c r="W227" s="48"/>
    </x:row>
    <x:row r="228">
      <x:c r="C228" s="19" t="str">
        <x:v>GT-HU-D-12</x:v>
      </x:c>
      <x:c r="D228" s="19" t="str">
        <x:v>MS-HU|D</x:v>
      </x:c>
      <x:c r="E228" s="19" t="str">
        <x:v>MS-HU</x:v>
      </x:c>
      <x:c r="F228" s="19" t="str">
        <x:v>root-native evidence and outside replay</x:v>
      </x:c>
      <x:c r="G228" s="20" t="n">
        <x:v>0</x:v>
      </x:c>
      <x:c r="H228" s="21" t="str">
        <x:v>OPEN</x:v>
      </x:c>
      <x:c r="I228" s="48"/>
      <x:c r="J228" s="48"/>
      <x:c r="K228" s="48"/>
      <x:c r="L228" s="48"/>
      <x:c r="M228" s="48"/>
      <x:c r="N228" s="48"/>
      <x:c r="O228" s="48"/>
      <x:c r="P228" s="48"/>
      <x:c r="Q228" s="48"/>
      <x:c r="R228" s="48"/>
      <x:c r="S228" s="48"/>
      <x:c r="T228" s="48"/>
      <x:c r="U228" s="48"/>
      <x:c r="V228" s="48"/>
      <x:c r="W228" s="48"/>
    </x:row>
    <x:row r="229">
      <x:c r="C229" s="19" t="str">
        <x:v>GT-HU-D-13</x:v>
      </x:c>
      <x:c r="D229" s="19" t="str">
        <x:v>MS-HU|D</x:v>
      </x:c>
      <x:c r="E229" s="19" t="str">
        <x:v>MS-HU</x:v>
      </x:c>
      <x:c r="F229" s="19" t="str">
        <x:v>repair, reset and second-team reproduction</x:v>
      </x:c>
      <x:c r="G229" s="20" t="n">
        <x:v>0</x:v>
      </x:c>
      <x:c r="H229" s="21" t="str">
        <x:v>OPEN</x:v>
      </x:c>
      <x:c r="I229" s="48"/>
      <x:c r="J229" s="48"/>
      <x:c r="K229" s="48"/>
      <x:c r="L229" s="48"/>
      <x:c r="M229" s="48"/>
      <x:c r="N229" s="48"/>
      <x:c r="O229" s="48"/>
      <x:c r="P229" s="48"/>
      <x:c r="Q229" s="48"/>
      <x:c r="R229" s="48"/>
      <x:c r="S229" s="48"/>
      <x:c r="T229" s="48"/>
      <x:c r="U229" s="48"/>
      <x:c r="V229" s="48"/>
      <x:c r="W229" s="48"/>
    </x:row>
    <x:row r="230">
      <x:c r="C230" s="19" t="str">
        <x:v>GT-HU-D-14</x:v>
      </x:c>
      <x:c r="D230" s="19" t="str">
        <x:v>MS-HU|D</x:v>
      </x:c>
      <x:c r="E230" s="19" t="str">
        <x:v>MS-HU</x:v>
      </x:c>
      <x:c r="F230" s="19" t="str">
        <x:v>independent release</x:v>
      </x:c>
      <x:c r="G230" s="20" t="n">
        <x:v>0</x:v>
      </x:c>
      <x:c r="H230" s="21" t="str">
        <x:v>OPEN</x:v>
      </x:c>
      <x:c r="I230" s="48"/>
      <x:c r="J230" s="48"/>
      <x:c r="K230" s="48"/>
      <x:c r="L230" s="48"/>
      <x:c r="M230" s="48"/>
      <x:c r="N230" s="48"/>
      <x:c r="O230" s="48"/>
      <x:c r="P230" s="48"/>
      <x:c r="Q230" s="48"/>
      <x:c r="R230" s="48"/>
      <x:c r="S230" s="48"/>
      <x:c r="T230" s="48"/>
      <x:c r="U230" s="48"/>
      <x:c r="V230" s="48"/>
      <x:c r="W230" s="48"/>
    </x:row>
    <x:row r="231">
      <x:c r="C231" s="19" t="str">
        <x:v>GT-RT-A-01</x:v>
      </x:c>
      <x:c r="D231" s="19" t="str">
        <x:v>MS-RT|A</x:v>
      </x:c>
      <x:c r="E231" s="19" t="str">
        <x:v>MS-RT</x:v>
      </x:c>
      <x:c r="F231" s="19" t="str">
        <x:v>complete routes</x:v>
      </x:c>
      <x:c r="G231" s="20" t="n">
        <x:v>0</x:v>
      </x:c>
      <x:c r="H231" s="21" t="str">
        <x:v>OPEN</x:v>
      </x:c>
      <x:c r="I231" s="48"/>
      <x:c r="J231" s="48"/>
      <x:c r="K231" s="48"/>
      <x:c r="L231" s="48"/>
      <x:c r="M231" s="48"/>
      <x:c r="N231" s="48"/>
      <x:c r="O231" s="48"/>
      <x:c r="P231" s="48"/>
      <x:c r="Q231" s="48"/>
      <x:c r="R231" s="48"/>
      <x:c r="S231" s="48"/>
      <x:c r="T231" s="48"/>
      <x:c r="U231" s="48"/>
      <x:c r="V231" s="48"/>
      <x:c r="W231" s="48"/>
    </x:row>
    <x:row r="232">
      <x:c r="C232" s="19" t="str">
        <x:v>GT-RT-A-02</x:v>
      </x:c>
      <x:c r="D232" s="19" t="str">
        <x:v>MS-RT|A</x:v>
      </x:c>
      <x:c r="E232" s="19" t="str">
        <x:v>MS-RT</x:v>
      </x:c>
      <x:c r="F232" s="19" t="str">
        <x:v>seven-stage state machine</x:v>
      </x:c>
      <x:c r="G232" s="20" t="n">
        <x:v>0</x:v>
      </x:c>
      <x:c r="H232" s="21" t="str">
        <x:v>OPEN</x:v>
      </x:c>
      <x:c r="I232" s="48"/>
      <x:c r="J232" s="48"/>
      <x:c r="K232" s="48"/>
      <x:c r="L232" s="48"/>
      <x:c r="M232" s="48"/>
      <x:c r="N232" s="48"/>
      <x:c r="O232" s="48"/>
      <x:c r="P232" s="48"/>
      <x:c r="Q232" s="48"/>
      <x:c r="R232" s="48"/>
      <x:c r="S232" s="48"/>
      <x:c r="T232" s="48"/>
      <x:c r="U232" s="48"/>
      <x:c r="V232" s="48"/>
      <x:c r="W232" s="48"/>
    </x:row>
    <x:row r="233">
      <x:c r="C233" s="19" t="str">
        <x:v>GT-RT-A-03</x:v>
      </x:c>
      <x:c r="D233" s="19" t="str">
        <x:v>MS-RT|A</x:v>
      </x:c>
      <x:c r="E233" s="19" t="str">
        <x:v>MS-RT</x:v>
      </x:c>
      <x:c r="F233" s="19" t="str">
        <x:v>four-field architecture</x:v>
      </x:c>
      <x:c r="G233" s="20" t="n">
        <x:v>0</x:v>
      </x:c>
      <x:c r="H233" s="21" t="str">
        <x:v>OPEN</x:v>
      </x:c>
      <x:c r="I233" s="48"/>
      <x:c r="J233" s="48"/>
      <x:c r="K233" s="48"/>
      <x:c r="L233" s="48"/>
      <x:c r="M233" s="48"/>
      <x:c r="N233" s="48"/>
      <x:c r="O233" s="48"/>
      <x:c r="P233" s="48"/>
      <x:c r="Q233" s="48"/>
      <x:c r="R233" s="48"/>
      <x:c r="S233" s="48"/>
      <x:c r="T233" s="48"/>
      <x:c r="U233" s="48"/>
      <x:c r="V233" s="48"/>
      <x:c r="W233" s="48"/>
    </x:row>
    <x:row r="234">
      <x:c r="C234" s="19" t="str">
        <x:v>GT-RT-A-04</x:v>
      </x:c>
      <x:c r="D234" s="19" t="str">
        <x:v>MS-RT|A</x:v>
      </x:c>
      <x:c r="E234" s="19" t="str">
        <x:v>MS-RT</x:v>
      </x:c>
      <x:c r="F234" s="19" t="str">
        <x:v>numeric service thresholds</x:v>
      </x:c>
      <x:c r="G234" s="20" t="n">
        <x:v>0</x:v>
      </x:c>
      <x:c r="H234" s="21" t="str">
        <x:v>OPEN</x:v>
      </x:c>
      <x:c r="I234" s="48"/>
      <x:c r="J234" s="48"/>
      <x:c r="K234" s="48"/>
      <x:c r="L234" s="48"/>
      <x:c r="M234" s="48"/>
      <x:c r="N234" s="48"/>
      <x:c r="O234" s="48"/>
      <x:c r="P234" s="48"/>
      <x:c r="Q234" s="48"/>
      <x:c r="R234" s="48"/>
      <x:c r="S234" s="48"/>
      <x:c r="T234" s="48"/>
      <x:c r="U234" s="48"/>
      <x:c r="V234" s="48"/>
      <x:c r="W234" s="48"/>
    </x:row>
    <x:row r="235">
      <x:c r="C235" s="19" t="str">
        <x:v>GT-RT-A-05</x:v>
      </x:c>
      <x:c r="D235" s="19" t="str">
        <x:v>MS-RT|A</x:v>
      </x:c>
      <x:c r="E235" s="19" t="str">
        <x:v>MS-RT</x:v>
      </x:c>
      <x:c r="F235" s="19" t="str">
        <x:v>closed mass, energy, flow and residual accounts</x:v>
      </x:c>
      <x:c r="G235" s="20" t="n">
        <x:v>0</x:v>
      </x:c>
      <x:c r="H235" s="21" t="str">
        <x:v>OPEN</x:v>
      </x:c>
      <x:c r="I235" s="48"/>
      <x:c r="J235" s="48"/>
      <x:c r="K235" s="48"/>
      <x:c r="L235" s="48"/>
      <x:c r="M235" s="48"/>
      <x:c r="N235" s="48"/>
      <x:c r="O235" s="48"/>
      <x:c r="P235" s="48"/>
      <x:c r="Q235" s="48"/>
      <x:c r="R235" s="48"/>
      <x:c r="S235" s="48"/>
      <x:c r="T235" s="48"/>
      <x:c r="U235" s="48"/>
      <x:c r="V235" s="48"/>
      <x:c r="W235" s="48"/>
    </x:row>
    <x:row r="236">
      <x:c r="C236" s="19" t="str">
        <x:v>GT-RT-A-06</x:v>
      </x:c>
      <x:c r="D236" s="19" t="str">
        <x:v>MS-RT|A</x:v>
      </x:c>
      <x:c r="E236" s="19" t="str">
        <x:v>MS-RT</x:v>
      </x:c>
      <x:c r="F236" s="19" t="str">
        <x:v>safety and rights</x:v>
      </x:c>
      <x:c r="G236" s="20" t="n">
        <x:v>0</x:v>
      </x:c>
      <x:c r="H236" s="21" t="str">
        <x:v>OPEN</x:v>
      </x:c>
      <x:c r="I236" s="48"/>
      <x:c r="J236" s="48"/>
      <x:c r="K236" s="48"/>
      <x:c r="L236" s="48"/>
      <x:c r="M236" s="48"/>
      <x:c r="N236" s="48"/>
      <x:c r="O236" s="48"/>
      <x:c r="P236" s="48"/>
      <x:c r="Q236" s="48"/>
      <x:c r="R236" s="48"/>
      <x:c r="S236" s="48"/>
      <x:c r="T236" s="48"/>
      <x:c r="U236" s="48"/>
      <x:c r="V236" s="48"/>
      <x:c r="W236" s="48"/>
    </x:row>
    <x:row r="237">
      <x:c r="C237" s="19" t="str">
        <x:v>GT-RT-A-07</x:v>
      </x:c>
      <x:c r="D237" s="19" t="str">
        <x:v>MS-RT|A</x:v>
      </x:c>
      <x:c r="E237" s="19" t="str">
        <x:v>MS-RT</x:v>
      </x:c>
      <x:c r="F237" s="19" t="str">
        <x:v>public interface control</x:v>
      </x:c>
      <x:c r="G237" s="20" t="n">
        <x:v>0</x:v>
      </x:c>
      <x:c r="H237" s="21" t="str">
        <x:v>OPEN</x:v>
      </x:c>
      <x:c r="I237" s="48"/>
      <x:c r="J237" s="48"/>
      <x:c r="K237" s="48"/>
      <x:c r="L237" s="48"/>
      <x:c r="M237" s="48"/>
      <x:c r="N237" s="48"/>
      <x:c r="O237" s="48"/>
      <x:c r="P237" s="48"/>
      <x:c r="Q237" s="48"/>
      <x:c r="R237" s="48"/>
      <x:c r="S237" s="48"/>
      <x:c r="T237" s="48"/>
      <x:c r="U237" s="48"/>
      <x:c r="V237" s="48"/>
      <x:c r="W237" s="48"/>
    </x:row>
    <x:row r="238">
      <x:c r="C238" s="19" t="str">
        <x:v>GT-RT-A-08</x:v>
      </x:c>
      <x:c r="D238" s="19" t="str">
        <x:v>MS-RT|A</x:v>
      </x:c>
      <x:c r="E238" s="19" t="str">
        <x:v>MS-RT</x:v>
      </x:c>
      <x:c r="F238" s="19" t="str">
        <x:v>declared decisive ancestry</x:v>
      </x:c>
      <x:c r="G238" s="20" t="n">
        <x:v>0</x:v>
      </x:c>
      <x:c r="H238" s="21" t="str">
        <x:v>OPEN</x:v>
      </x:c>
      <x:c r="I238" s="48"/>
      <x:c r="J238" s="48"/>
      <x:c r="K238" s="48"/>
      <x:c r="L238" s="48"/>
      <x:c r="M238" s="48"/>
      <x:c r="N238" s="48"/>
      <x:c r="O238" s="48"/>
      <x:c r="P238" s="48"/>
      <x:c r="Q238" s="48"/>
      <x:c r="R238" s="48"/>
      <x:c r="S238" s="48"/>
      <x:c r="T238" s="48"/>
      <x:c r="U238" s="48"/>
      <x:c r="V238" s="48"/>
      <x:c r="W238" s="48"/>
    </x:row>
    <x:row r="239">
      <x:c r="C239" s="19" t="str">
        <x:v>GT-RT-A-09</x:v>
      </x:c>
      <x:c r="D239" s="19" t="str">
        <x:v>MS-RT|A</x:v>
      </x:c>
      <x:c r="E239" s="19" t="str">
        <x:v>MS-RT</x:v>
      </x:c>
      <x:c r="F239" s="19" t="str">
        <x:v>executable build records</x:v>
      </x:c>
      <x:c r="G239" s="20" t="n">
        <x:v>0</x:v>
      </x:c>
      <x:c r="H239" s="21" t="str">
        <x:v>OPEN</x:v>
      </x:c>
      <x:c r="I239" s="48"/>
      <x:c r="J239" s="48"/>
      <x:c r="K239" s="48"/>
      <x:c r="L239" s="48"/>
      <x:c r="M239" s="48"/>
      <x:c r="N239" s="48"/>
      <x:c r="O239" s="48"/>
      <x:c r="P239" s="48"/>
      <x:c r="Q239" s="48"/>
      <x:c r="R239" s="48"/>
      <x:c r="S239" s="48"/>
      <x:c r="T239" s="48"/>
      <x:c r="U239" s="48"/>
      <x:c r="V239" s="48"/>
      <x:c r="W239" s="48"/>
    </x:row>
    <x:row r="240">
      <x:c r="C240" s="19" t="str">
        <x:v>GT-RT-A-10</x:v>
      </x:c>
      <x:c r="D240" s="19" t="str">
        <x:v>MS-RT|A</x:v>
      </x:c>
      <x:c r="E240" s="19" t="str">
        <x:v>MS-RT</x:v>
      </x:c>
      <x:c r="F240" s="19" t="str">
        <x:v>representative subsystem evidence</x:v>
      </x:c>
      <x:c r="G240" s="20" t="n">
        <x:v>0</x:v>
      </x:c>
      <x:c r="H240" s="21" t="str">
        <x:v>OPEN</x:v>
      </x:c>
      <x:c r="I240" s="48"/>
      <x:c r="J240" s="48"/>
      <x:c r="K240" s="48"/>
      <x:c r="L240" s="48"/>
      <x:c r="M240" s="48"/>
      <x:c r="N240" s="48"/>
      <x:c r="O240" s="48"/>
      <x:c r="P240" s="48"/>
      <x:c r="Q240" s="48"/>
      <x:c r="R240" s="48"/>
      <x:c r="S240" s="48"/>
      <x:c r="T240" s="48"/>
      <x:c r="U240" s="48"/>
      <x:c r="V240" s="48"/>
      <x:c r="W240" s="48"/>
    </x:row>
    <x:row r="241">
      <x:c r="C241" s="19" t="str">
        <x:v>GT-RT-A-11</x:v>
      </x:c>
      <x:c r="D241" s="19" t="str">
        <x:v>MS-RT|A</x:v>
      </x:c>
      <x:c r="E241" s="19" t="str">
        <x:v>MS-RT</x:v>
      </x:c>
      <x:c r="F241" s="19" t="str">
        <x:v>disconnected and manual control</x:v>
      </x:c>
      <x:c r="G241" s="20" t="n">
        <x:v>0</x:v>
      </x:c>
      <x:c r="H241" s="21" t="str">
        <x:v>OPEN</x:v>
      </x:c>
      <x:c r="I241" s="48"/>
      <x:c r="J241" s="48"/>
      <x:c r="K241" s="48"/>
      <x:c r="L241" s="48"/>
      <x:c r="M241" s="48"/>
      <x:c r="N241" s="48"/>
      <x:c r="O241" s="48"/>
      <x:c r="P241" s="48"/>
      <x:c r="Q241" s="48"/>
      <x:c r="R241" s="48"/>
      <x:c r="S241" s="48"/>
      <x:c r="T241" s="48"/>
      <x:c r="U241" s="48"/>
      <x:c r="V241" s="48"/>
      <x:c r="W241" s="48"/>
    </x:row>
    <x:row r="242">
      <x:c r="C242" s="19" t="str">
        <x:v>GT-RT-A-12</x:v>
      </x:c>
      <x:c r="D242" s="19" t="str">
        <x:v>MS-RT|A</x:v>
      </x:c>
      <x:c r="E242" s="19" t="str">
        <x:v>MS-RT</x:v>
      </x:c>
      <x:c r="F242" s="19" t="str">
        <x:v>root-native evidence and outside replay</x:v>
      </x:c>
      <x:c r="G242" s="20" t="n">
        <x:v>0</x:v>
      </x:c>
      <x:c r="H242" s="21" t="str">
        <x:v>OPEN</x:v>
      </x:c>
      <x:c r="I242" s="48"/>
      <x:c r="J242" s="48"/>
      <x:c r="K242" s="48"/>
      <x:c r="L242" s="48"/>
      <x:c r="M242" s="48"/>
      <x:c r="N242" s="48"/>
      <x:c r="O242" s="48"/>
      <x:c r="P242" s="48"/>
      <x:c r="Q242" s="48"/>
      <x:c r="R242" s="48"/>
      <x:c r="S242" s="48"/>
      <x:c r="T242" s="48"/>
      <x:c r="U242" s="48"/>
      <x:c r="V242" s="48"/>
      <x:c r="W242" s="48"/>
    </x:row>
    <x:row r="243">
      <x:c r="C243" s="19" t="str">
        <x:v>GT-RT-A-13</x:v>
      </x:c>
      <x:c r="D243" s="19" t="str">
        <x:v>MS-RT|A</x:v>
      </x:c>
      <x:c r="E243" s="19" t="str">
        <x:v>MS-RT</x:v>
      </x:c>
      <x:c r="F243" s="19" t="str">
        <x:v>repair, reset and second-team reproduction</x:v>
      </x:c>
      <x:c r="G243" s="20" t="n">
        <x:v>0</x:v>
      </x:c>
      <x:c r="H243" s="21" t="str">
        <x:v>OPEN</x:v>
      </x:c>
      <x:c r="I243" s="48"/>
      <x:c r="J243" s="48"/>
      <x:c r="K243" s="48"/>
      <x:c r="L243" s="48"/>
      <x:c r="M243" s="48"/>
      <x:c r="N243" s="48"/>
      <x:c r="O243" s="48"/>
      <x:c r="P243" s="48"/>
      <x:c r="Q243" s="48"/>
      <x:c r="R243" s="48"/>
      <x:c r="S243" s="48"/>
      <x:c r="T243" s="48"/>
      <x:c r="U243" s="48"/>
      <x:c r="V243" s="48"/>
      <x:c r="W243" s="48"/>
    </x:row>
    <x:row r="244">
      <x:c r="C244" s="19" t="str">
        <x:v>GT-RT-A-14</x:v>
      </x:c>
      <x:c r="D244" s="19" t="str">
        <x:v>MS-RT|A</x:v>
      </x:c>
      <x:c r="E244" s="19" t="str">
        <x:v>MS-RT</x:v>
      </x:c>
      <x:c r="F244" s="19" t="str">
        <x:v>independent release</x:v>
      </x:c>
      <x:c r="G244" s="20" t="n">
        <x:v>0</x:v>
      </x:c>
      <x:c r="H244" s="21" t="str">
        <x:v>OPEN</x:v>
      </x:c>
      <x:c r="I244" s="48"/>
      <x:c r="J244" s="48"/>
      <x:c r="K244" s="48"/>
      <x:c r="L244" s="48"/>
      <x:c r="M244" s="48"/>
      <x:c r="N244" s="48"/>
      <x:c r="O244" s="48"/>
      <x:c r="P244" s="48"/>
      <x:c r="Q244" s="48"/>
      <x:c r="R244" s="48"/>
      <x:c r="S244" s="48"/>
      <x:c r="T244" s="48"/>
      <x:c r="U244" s="48"/>
      <x:c r="V244" s="48"/>
      <x:c r="W244" s="48"/>
    </x:row>
    <x:row r="245">
      <x:c r="C245" s="19" t="str">
        <x:v>GT-RT-B-01</x:v>
      </x:c>
      <x:c r="D245" s="19" t="str">
        <x:v>MS-RT|B</x:v>
      </x:c>
      <x:c r="E245" s="19" t="str">
        <x:v>MS-RT</x:v>
      </x:c>
      <x:c r="F245" s="19" t="str">
        <x:v>complete routes</x:v>
      </x:c>
      <x:c r="G245" s="20" t="n">
        <x:v>0</x:v>
      </x:c>
      <x:c r="H245" s="21" t="str">
        <x:v>OPEN</x:v>
      </x:c>
      <x:c r="I245" s="48"/>
      <x:c r="J245" s="48"/>
      <x:c r="K245" s="48"/>
      <x:c r="L245" s="48"/>
      <x:c r="M245" s="48"/>
      <x:c r="N245" s="48"/>
      <x:c r="O245" s="48"/>
      <x:c r="P245" s="48"/>
      <x:c r="Q245" s="48"/>
      <x:c r="R245" s="48"/>
      <x:c r="S245" s="48"/>
      <x:c r="T245" s="48"/>
      <x:c r="U245" s="48"/>
      <x:c r="V245" s="48"/>
      <x:c r="W245" s="48"/>
    </x:row>
    <x:row r="246">
      <x:c r="C246" s="19" t="str">
        <x:v>GT-RT-B-02</x:v>
      </x:c>
      <x:c r="D246" s="19" t="str">
        <x:v>MS-RT|B</x:v>
      </x:c>
      <x:c r="E246" s="19" t="str">
        <x:v>MS-RT</x:v>
      </x:c>
      <x:c r="F246" s="19" t="str">
        <x:v>seven-stage state machine</x:v>
      </x:c>
      <x:c r="G246" s="20" t="n">
        <x:v>0</x:v>
      </x:c>
      <x:c r="H246" s="21" t="str">
        <x:v>OPEN</x:v>
      </x:c>
      <x:c r="I246" s="48"/>
      <x:c r="J246" s="48"/>
      <x:c r="K246" s="48"/>
      <x:c r="L246" s="48"/>
      <x:c r="M246" s="48"/>
      <x:c r="N246" s="48"/>
      <x:c r="O246" s="48"/>
      <x:c r="P246" s="48"/>
      <x:c r="Q246" s="48"/>
      <x:c r="R246" s="48"/>
      <x:c r="S246" s="48"/>
      <x:c r="T246" s="48"/>
      <x:c r="U246" s="48"/>
      <x:c r="V246" s="48"/>
      <x:c r="W246" s="48"/>
    </x:row>
    <x:row r="247">
      <x:c r="C247" s="19" t="str">
        <x:v>GT-RT-B-03</x:v>
      </x:c>
      <x:c r="D247" s="19" t="str">
        <x:v>MS-RT|B</x:v>
      </x:c>
      <x:c r="E247" s="19" t="str">
        <x:v>MS-RT</x:v>
      </x:c>
      <x:c r="F247" s="19" t="str">
        <x:v>four-field architecture</x:v>
      </x:c>
      <x:c r="G247" s="20" t="n">
        <x:v>0</x:v>
      </x:c>
      <x:c r="H247" s="21" t="str">
        <x:v>OPEN</x:v>
      </x:c>
      <x:c r="I247" s="48"/>
      <x:c r="J247" s="48"/>
      <x:c r="K247" s="48"/>
      <x:c r="L247" s="48"/>
      <x:c r="M247" s="48"/>
      <x:c r="N247" s="48"/>
      <x:c r="O247" s="48"/>
      <x:c r="P247" s="48"/>
      <x:c r="Q247" s="48"/>
      <x:c r="R247" s="48"/>
      <x:c r="S247" s="48"/>
      <x:c r="T247" s="48"/>
      <x:c r="U247" s="48"/>
      <x:c r="V247" s="48"/>
      <x:c r="W247" s="48"/>
    </x:row>
    <x:row r="248">
      <x:c r="C248" s="19" t="str">
        <x:v>GT-RT-B-04</x:v>
      </x:c>
      <x:c r="D248" s="19" t="str">
        <x:v>MS-RT|B</x:v>
      </x:c>
      <x:c r="E248" s="19" t="str">
        <x:v>MS-RT</x:v>
      </x:c>
      <x:c r="F248" s="19" t="str">
        <x:v>numeric service thresholds</x:v>
      </x:c>
      <x:c r="G248" s="20" t="n">
        <x:v>0</x:v>
      </x:c>
      <x:c r="H248" s="21" t="str">
        <x:v>OPEN</x:v>
      </x:c>
      <x:c r="I248" s="48"/>
      <x:c r="J248" s="48"/>
      <x:c r="K248" s="48"/>
      <x:c r="L248" s="48"/>
      <x:c r="M248" s="48"/>
      <x:c r="N248" s="48"/>
      <x:c r="O248" s="48"/>
      <x:c r="P248" s="48"/>
      <x:c r="Q248" s="48"/>
      <x:c r="R248" s="48"/>
      <x:c r="S248" s="48"/>
      <x:c r="T248" s="48"/>
      <x:c r="U248" s="48"/>
      <x:c r="V248" s="48"/>
      <x:c r="W248" s="48"/>
    </x:row>
    <x:row r="249">
      <x:c r="C249" s="19" t="str">
        <x:v>GT-RT-B-05</x:v>
      </x:c>
      <x:c r="D249" s="19" t="str">
        <x:v>MS-RT|B</x:v>
      </x:c>
      <x:c r="E249" s="19" t="str">
        <x:v>MS-RT</x:v>
      </x:c>
      <x:c r="F249" s="19" t="str">
        <x:v>closed mass, energy, flow and residual accounts</x:v>
      </x:c>
      <x:c r="G249" s="20" t="n">
        <x:v>0</x:v>
      </x:c>
      <x:c r="H249" s="21" t="str">
        <x:v>OPEN</x:v>
      </x:c>
      <x:c r="I249" s="48"/>
      <x:c r="J249" s="48"/>
      <x:c r="K249" s="48"/>
      <x:c r="L249" s="48"/>
      <x:c r="M249" s="48"/>
      <x:c r="N249" s="48"/>
      <x:c r="O249" s="48"/>
      <x:c r="P249" s="48"/>
      <x:c r="Q249" s="48"/>
      <x:c r="R249" s="48"/>
      <x:c r="S249" s="48"/>
      <x:c r="T249" s="48"/>
      <x:c r="U249" s="48"/>
      <x:c r="V249" s="48"/>
      <x:c r="W249" s="48"/>
    </x:row>
    <x:row r="250">
      <x:c r="C250" s="19" t="str">
        <x:v>GT-RT-B-06</x:v>
      </x:c>
      <x:c r="D250" s="19" t="str">
        <x:v>MS-RT|B</x:v>
      </x:c>
      <x:c r="E250" s="19" t="str">
        <x:v>MS-RT</x:v>
      </x:c>
      <x:c r="F250" s="19" t="str">
        <x:v>safety and rights</x:v>
      </x:c>
      <x:c r="G250" s="20" t="n">
        <x:v>0</x:v>
      </x:c>
      <x:c r="H250" s="21" t="str">
        <x:v>OPEN</x:v>
      </x:c>
      <x:c r="I250" s="48"/>
      <x:c r="J250" s="48"/>
      <x:c r="K250" s="48"/>
      <x:c r="L250" s="48"/>
      <x:c r="M250" s="48"/>
      <x:c r="N250" s="48"/>
      <x:c r="O250" s="48"/>
      <x:c r="P250" s="48"/>
      <x:c r="Q250" s="48"/>
      <x:c r="R250" s="48"/>
      <x:c r="S250" s="48"/>
      <x:c r="T250" s="48"/>
      <x:c r="U250" s="48"/>
      <x:c r="V250" s="48"/>
      <x:c r="W250" s="48"/>
    </x:row>
    <x:row r="251">
      <x:c r="C251" s="19" t="str">
        <x:v>GT-RT-B-07</x:v>
      </x:c>
      <x:c r="D251" s="19" t="str">
        <x:v>MS-RT|B</x:v>
      </x:c>
      <x:c r="E251" s="19" t="str">
        <x:v>MS-RT</x:v>
      </x:c>
      <x:c r="F251" s="19" t="str">
        <x:v>public interface control</x:v>
      </x:c>
      <x:c r="G251" s="20" t="n">
        <x:v>0</x:v>
      </x:c>
      <x:c r="H251" s="21" t="str">
        <x:v>OPEN</x:v>
      </x:c>
      <x:c r="I251" s="48"/>
      <x:c r="J251" s="48"/>
      <x:c r="K251" s="48"/>
      <x:c r="L251" s="48"/>
      <x:c r="M251" s="48"/>
      <x:c r="N251" s="48"/>
      <x:c r="O251" s="48"/>
      <x:c r="P251" s="48"/>
      <x:c r="Q251" s="48"/>
      <x:c r="R251" s="48"/>
      <x:c r="S251" s="48"/>
      <x:c r="T251" s="48"/>
      <x:c r="U251" s="48"/>
      <x:c r="V251" s="48"/>
      <x:c r="W251" s="48"/>
    </x:row>
    <x:row r="252">
      <x:c r="C252" s="19" t="str">
        <x:v>GT-RT-B-08</x:v>
      </x:c>
      <x:c r="D252" s="19" t="str">
        <x:v>MS-RT|B</x:v>
      </x:c>
      <x:c r="E252" s="19" t="str">
        <x:v>MS-RT</x:v>
      </x:c>
      <x:c r="F252" s="19" t="str">
        <x:v>declared decisive ancestry</x:v>
      </x:c>
      <x:c r="G252" s="20" t="n">
        <x:v>0</x:v>
      </x:c>
      <x:c r="H252" s="21" t="str">
        <x:v>OPEN</x:v>
      </x:c>
      <x:c r="I252" s="48"/>
      <x:c r="J252" s="48"/>
      <x:c r="K252" s="48"/>
      <x:c r="L252" s="48"/>
      <x:c r="M252" s="48"/>
      <x:c r="N252" s="48"/>
      <x:c r="O252" s="48"/>
      <x:c r="P252" s="48"/>
      <x:c r="Q252" s="48"/>
      <x:c r="R252" s="48"/>
      <x:c r="S252" s="48"/>
      <x:c r="T252" s="48"/>
      <x:c r="U252" s="48"/>
      <x:c r="V252" s="48"/>
      <x:c r="W252" s="48"/>
    </x:row>
    <x:row r="253">
      <x:c r="C253" s="19" t="str">
        <x:v>GT-RT-B-09</x:v>
      </x:c>
      <x:c r="D253" s="19" t="str">
        <x:v>MS-RT|B</x:v>
      </x:c>
      <x:c r="E253" s="19" t="str">
        <x:v>MS-RT</x:v>
      </x:c>
      <x:c r="F253" s="19" t="str">
        <x:v>executable build records</x:v>
      </x:c>
      <x:c r="G253" s="20" t="n">
        <x:v>0</x:v>
      </x:c>
      <x:c r="H253" s="21" t="str">
        <x:v>OPEN</x:v>
      </x:c>
      <x:c r="I253" s="48"/>
      <x:c r="J253" s="48"/>
      <x:c r="K253" s="48"/>
      <x:c r="L253" s="48"/>
      <x:c r="M253" s="48"/>
      <x:c r="N253" s="48"/>
      <x:c r="O253" s="48"/>
      <x:c r="P253" s="48"/>
      <x:c r="Q253" s="48"/>
      <x:c r="R253" s="48"/>
      <x:c r="S253" s="48"/>
      <x:c r="T253" s="48"/>
      <x:c r="U253" s="48"/>
      <x:c r="V253" s="48"/>
      <x:c r="W253" s="48"/>
    </x:row>
    <x:row r="254">
      <x:c r="C254" s="19" t="str">
        <x:v>GT-RT-B-10</x:v>
      </x:c>
      <x:c r="D254" s="19" t="str">
        <x:v>MS-RT|B</x:v>
      </x:c>
      <x:c r="E254" s="19" t="str">
        <x:v>MS-RT</x:v>
      </x:c>
      <x:c r="F254" s="19" t="str">
        <x:v>representative subsystem evidence</x:v>
      </x:c>
      <x:c r="G254" s="20" t="n">
        <x:v>0</x:v>
      </x:c>
      <x:c r="H254" s="21" t="str">
        <x:v>OPEN</x:v>
      </x:c>
      <x:c r="I254" s="48"/>
      <x:c r="J254" s="48"/>
      <x:c r="K254" s="48"/>
      <x:c r="L254" s="48"/>
      <x:c r="M254" s="48"/>
      <x:c r="N254" s="48"/>
      <x:c r="O254" s="48"/>
      <x:c r="P254" s="48"/>
      <x:c r="Q254" s="48"/>
      <x:c r="R254" s="48"/>
      <x:c r="S254" s="48"/>
      <x:c r="T254" s="48"/>
      <x:c r="U254" s="48"/>
      <x:c r="V254" s="48"/>
      <x:c r="W254" s="48"/>
    </x:row>
    <x:row r="255">
      <x:c r="C255" s="19" t="str">
        <x:v>GT-RT-B-11</x:v>
      </x:c>
      <x:c r="D255" s="19" t="str">
        <x:v>MS-RT|B</x:v>
      </x:c>
      <x:c r="E255" s="19" t="str">
        <x:v>MS-RT</x:v>
      </x:c>
      <x:c r="F255" s="19" t="str">
        <x:v>disconnected and manual control</x:v>
      </x:c>
      <x:c r="G255" s="20" t="n">
        <x:v>0</x:v>
      </x:c>
      <x:c r="H255" s="21" t="str">
        <x:v>OPEN</x:v>
      </x:c>
      <x:c r="I255" s="48"/>
      <x:c r="J255" s="48"/>
      <x:c r="K255" s="48"/>
      <x:c r="L255" s="48"/>
      <x:c r="M255" s="48"/>
      <x:c r="N255" s="48"/>
      <x:c r="O255" s="48"/>
      <x:c r="P255" s="48"/>
      <x:c r="Q255" s="48"/>
      <x:c r="R255" s="48"/>
      <x:c r="S255" s="48"/>
      <x:c r="T255" s="48"/>
      <x:c r="U255" s="48"/>
      <x:c r="V255" s="48"/>
      <x:c r="W255" s="48"/>
    </x:row>
    <x:row r="256">
      <x:c r="C256" s="19" t="str">
        <x:v>GT-RT-B-12</x:v>
      </x:c>
      <x:c r="D256" s="19" t="str">
        <x:v>MS-RT|B</x:v>
      </x:c>
      <x:c r="E256" s="19" t="str">
        <x:v>MS-RT</x:v>
      </x:c>
      <x:c r="F256" s="19" t="str">
        <x:v>root-native evidence and outside replay</x:v>
      </x:c>
      <x:c r="G256" s="20" t="n">
        <x:v>0</x:v>
      </x:c>
      <x:c r="H256" s="21" t="str">
        <x:v>OPEN</x:v>
      </x:c>
      <x:c r="I256" s="48"/>
      <x:c r="J256" s="48"/>
      <x:c r="K256" s="48"/>
      <x:c r="L256" s="48"/>
      <x:c r="M256" s="48"/>
      <x:c r="N256" s="48"/>
      <x:c r="O256" s="48"/>
      <x:c r="P256" s="48"/>
      <x:c r="Q256" s="48"/>
      <x:c r="R256" s="48"/>
      <x:c r="S256" s="48"/>
      <x:c r="T256" s="48"/>
      <x:c r="U256" s="48"/>
      <x:c r="V256" s="48"/>
      <x:c r="W256" s="48"/>
    </x:row>
    <x:row r="257">
      <x:c r="C257" s="19" t="str">
        <x:v>GT-RT-B-13</x:v>
      </x:c>
      <x:c r="D257" s="19" t="str">
        <x:v>MS-RT|B</x:v>
      </x:c>
      <x:c r="E257" s="19" t="str">
        <x:v>MS-RT</x:v>
      </x:c>
      <x:c r="F257" s="19" t="str">
        <x:v>repair, reset and second-team reproduction</x:v>
      </x:c>
      <x:c r="G257" s="20" t="n">
        <x:v>0</x:v>
      </x:c>
      <x:c r="H257" s="21" t="str">
        <x:v>OPEN</x:v>
      </x:c>
      <x:c r="I257" s="48"/>
      <x:c r="J257" s="48"/>
      <x:c r="K257" s="48"/>
      <x:c r="L257" s="48"/>
      <x:c r="M257" s="48"/>
      <x:c r="N257" s="48"/>
      <x:c r="O257" s="48"/>
      <x:c r="P257" s="48"/>
      <x:c r="Q257" s="48"/>
      <x:c r="R257" s="48"/>
      <x:c r="S257" s="48"/>
      <x:c r="T257" s="48"/>
      <x:c r="U257" s="48"/>
      <x:c r="V257" s="48"/>
      <x:c r="W257" s="48"/>
    </x:row>
    <x:row r="258">
      <x:c r="C258" s="19" t="str">
        <x:v>GT-RT-B-14</x:v>
      </x:c>
      <x:c r="D258" s="19" t="str">
        <x:v>MS-RT|B</x:v>
      </x:c>
      <x:c r="E258" s="19" t="str">
        <x:v>MS-RT</x:v>
      </x:c>
      <x:c r="F258" s="19" t="str">
        <x:v>independent release</x:v>
      </x:c>
      <x:c r="G258" s="20" t="n">
        <x:v>0</x:v>
      </x:c>
      <x:c r="H258" s="21" t="str">
        <x:v>OPEN</x:v>
      </x:c>
      <x:c r="I258" s="48"/>
      <x:c r="J258" s="48"/>
      <x:c r="K258" s="48"/>
      <x:c r="L258" s="48"/>
      <x:c r="M258" s="48"/>
      <x:c r="N258" s="48"/>
      <x:c r="O258" s="48"/>
      <x:c r="P258" s="48"/>
      <x:c r="Q258" s="48"/>
      <x:c r="R258" s="48"/>
      <x:c r="S258" s="48"/>
      <x:c r="T258" s="48"/>
      <x:c r="U258" s="48"/>
      <x:c r="V258" s="48"/>
      <x:c r="W258" s="48"/>
    </x:row>
    <x:row r="259">
      <x:c r="C259" s="19" t="str">
        <x:v>GT-RT-C-01</x:v>
      </x:c>
      <x:c r="D259" s="19" t="str">
        <x:v>MS-RT|C</x:v>
      </x:c>
      <x:c r="E259" s="19" t="str">
        <x:v>MS-RT</x:v>
      </x:c>
      <x:c r="F259" s="19" t="str">
        <x:v>complete routes</x:v>
      </x:c>
      <x:c r="G259" s="20" t="n">
        <x:v>0</x:v>
      </x:c>
      <x:c r="H259" s="21" t="str">
        <x:v>OPEN</x:v>
      </x:c>
      <x:c r="I259" s="48"/>
      <x:c r="J259" s="48"/>
      <x:c r="K259" s="48"/>
      <x:c r="L259" s="48"/>
      <x:c r="M259" s="48"/>
      <x:c r="N259" s="48"/>
      <x:c r="O259" s="48"/>
      <x:c r="P259" s="48"/>
      <x:c r="Q259" s="48"/>
      <x:c r="R259" s="48"/>
      <x:c r="S259" s="48"/>
      <x:c r="T259" s="48"/>
      <x:c r="U259" s="48"/>
      <x:c r="V259" s="48"/>
      <x:c r="W259" s="48"/>
    </x:row>
    <x:row r="260">
      <x:c r="C260" s="19" t="str">
        <x:v>GT-RT-C-02</x:v>
      </x:c>
      <x:c r="D260" s="19" t="str">
        <x:v>MS-RT|C</x:v>
      </x:c>
      <x:c r="E260" s="19" t="str">
        <x:v>MS-RT</x:v>
      </x:c>
      <x:c r="F260" s="19" t="str">
        <x:v>seven-stage state machine</x:v>
      </x:c>
      <x:c r="G260" s="20" t="n">
        <x:v>0</x:v>
      </x:c>
      <x:c r="H260" s="21" t="str">
        <x:v>OPEN</x:v>
      </x:c>
      <x:c r="I260" s="48"/>
      <x:c r="J260" s="48"/>
      <x:c r="K260" s="48"/>
      <x:c r="L260" s="48"/>
      <x:c r="M260" s="48"/>
      <x:c r="N260" s="48"/>
      <x:c r="O260" s="48"/>
      <x:c r="P260" s="48"/>
      <x:c r="Q260" s="48"/>
      <x:c r="R260" s="48"/>
      <x:c r="S260" s="48"/>
      <x:c r="T260" s="48"/>
      <x:c r="U260" s="48"/>
      <x:c r="V260" s="48"/>
      <x:c r="W260" s="48"/>
    </x:row>
    <x:row r="261">
      <x:c r="C261" s="19" t="str">
        <x:v>GT-RT-C-03</x:v>
      </x:c>
      <x:c r="D261" s="19" t="str">
        <x:v>MS-RT|C</x:v>
      </x:c>
      <x:c r="E261" s="19" t="str">
        <x:v>MS-RT</x:v>
      </x:c>
      <x:c r="F261" s="19" t="str">
        <x:v>four-field architecture</x:v>
      </x:c>
      <x:c r="G261" s="20" t="n">
        <x:v>0</x:v>
      </x:c>
      <x:c r="H261" s="21" t="str">
        <x:v>OPEN</x:v>
      </x:c>
      <x:c r="I261" s="48"/>
      <x:c r="J261" s="48"/>
      <x:c r="K261" s="48"/>
      <x:c r="L261" s="48"/>
      <x:c r="M261" s="48"/>
      <x:c r="N261" s="48"/>
      <x:c r="O261" s="48"/>
      <x:c r="P261" s="48"/>
      <x:c r="Q261" s="48"/>
      <x:c r="R261" s="48"/>
      <x:c r="S261" s="48"/>
      <x:c r="T261" s="48"/>
      <x:c r="U261" s="48"/>
      <x:c r="V261" s="48"/>
      <x:c r="W261" s="48"/>
    </x:row>
    <x:row r="262">
      <x:c r="C262" s="19" t="str">
        <x:v>GT-RT-C-04</x:v>
      </x:c>
      <x:c r="D262" s="19" t="str">
        <x:v>MS-RT|C</x:v>
      </x:c>
      <x:c r="E262" s="19" t="str">
        <x:v>MS-RT</x:v>
      </x:c>
      <x:c r="F262" s="19" t="str">
        <x:v>numeric service thresholds</x:v>
      </x:c>
      <x:c r="G262" s="20" t="n">
        <x:v>0</x:v>
      </x:c>
      <x:c r="H262" s="21" t="str">
        <x:v>OPEN</x:v>
      </x:c>
      <x:c r="I262" s="48"/>
      <x:c r="J262" s="48"/>
      <x:c r="K262" s="48"/>
      <x:c r="L262" s="48"/>
      <x:c r="M262" s="48"/>
      <x:c r="N262" s="48"/>
      <x:c r="O262" s="48"/>
      <x:c r="P262" s="48"/>
      <x:c r="Q262" s="48"/>
      <x:c r="R262" s="48"/>
      <x:c r="S262" s="48"/>
      <x:c r="T262" s="48"/>
      <x:c r="U262" s="48"/>
      <x:c r="V262" s="48"/>
      <x:c r="W262" s="48"/>
    </x:row>
    <x:row r="263">
      <x:c r="C263" s="19" t="str">
        <x:v>GT-RT-C-05</x:v>
      </x:c>
      <x:c r="D263" s="19" t="str">
        <x:v>MS-RT|C</x:v>
      </x:c>
      <x:c r="E263" s="19" t="str">
        <x:v>MS-RT</x:v>
      </x:c>
      <x:c r="F263" s="19" t="str">
        <x:v>closed mass, energy, flow and residual accounts</x:v>
      </x:c>
      <x:c r="G263" s="20" t="n">
        <x:v>0</x:v>
      </x:c>
      <x:c r="H263" s="21" t="str">
        <x:v>OPEN</x:v>
      </x:c>
      <x:c r="I263" s="48"/>
      <x:c r="J263" s="48"/>
      <x:c r="K263" s="48"/>
      <x:c r="L263" s="48"/>
      <x:c r="M263" s="48"/>
      <x:c r="N263" s="48"/>
      <x:c r="O263" s="48"/>
      <x:c r="P263" s="48"/>
      <x:c r="Q263" s="48"/>
      <x:c r="R263" s="48"/>
      <x:c r="S263" s="48"/>
      <x:c r="T263" s="48"/>
      <x:c r="U263" s="48"/>
      <x:c r="V263" s="48"/>
      <x:c r="W263" s="48"/>
    </x:row>
    <x:row r="264">
      <x:c r="C264" s="19" t="str">
        <x:v>GT-RT-C-06</x:v>
      </x:c>
      <x:c r="D264" s="19" t="str">
        <x:v>MS-RT|C</x:v>
      </x:c>
      <x:c r="E264" s="19" t="str">
        <x:v>MS-RT</x:v>
      </x:c>
      <x:c r="F264" s="19" t="str">
        <x:v>safety and rights</x:v>
      </x:c>
      <x:c r="G264" s="20" t="n">
        <x:v>0</x:v>
      </x:c>
      <x:c r="H264" s="21" t="str">
        <x:v>OPEN</x:v>
      </x:c>
      <x:c r="I264" s="48"/>
      <x:c r="J264" s="48"/>
      <x:c r="K264" s="48"/>
      <x:c r="L264" s="48"/>
      <x:c r="M264" s="48"/>
      <x:c r="N264" s="48"/>
      <x:c r="O264" s="48"/>
      <x:c r="P264" s="48"/>
      <x:c r="Q264" s="48"/>
      <x:c r="R264" s="48"/>
      <x:c r="S264" s="48"/>
      <x:c r="T264" s="48"/>
      <x:c r="U264" s="48"/>
      <x:c r="V264" s="48"/>
      <x:c r="W264" s="48"/>
    </x:row>
    <x:row r="265">
      <x:c r="C265" s="19" t="str">
        <x:v>GT-RT-C-07</x:v>
      </x:c>
      <x:c r="D265" s="19" t="str">
        <x:v>MS-RT|C</x:v>
      </x:c>
      <x:c r="E265" s="19" t="str">
        <x:v>MS-RT</x:v>
      </x:c>
      <x:c r="F265" s="19" t="str">
        <x:v>public interface control</x:v>
      </x:c>
      <x:c r="G265" s="20" t="n">
        <x:v>0</x:v>
      </x:c>
      <x:c r="H265" s="21" t="str">
        <x:v>OPEN</x:v>
      </x:c>
      <x:c r="I265" s="48"/>
      <x:c r="J265" s="48"/>
      <x:c r="K265" s="48"/>
      <x:c r="L265" s="48"/>
      <x:c r="M265" s="48"/>
      <x:c r="N265" s="48"/>
      <x:c r="O265" s="48"/>
      <x:c r="P265" s="48"/>
      <x:c r="Q265" s="48"/>
      <x:c r="R265" s="48"/>
      <x:c r="S265" s="48"/>
      <x:c r="T265" s="48"/>
      <x:c r="U265" s="48"/>
      <x:c r="V265" s="48"/>
      <x:c r="W265" s="48"/>
    </x:row>
    <x:row r="266">
      <x:c r="C266" s="19" t="str">
        <x:v>GT-RT-C-08</x:v>
      </x:c>
      <x:c r="D266" s="19" t="str">
        <x:v>MS-RT|C</x:v>
      </x:c>
      <x:c r="E266" s="19" t="str">
        <x:v>MS-RT</x:v>
      </x:c>
      <x:c r="F266" s="19" t="str">
        <x:v>declared decisive ancestry</x:v>
      </x:c>
      <x:c r="G266" s="20" t="n">
        <x:v>0</x:v>
      </x:c>
      <x:c r="H266" s="21" t="str">
        <x:v>OPEN</x:v>
      </x:c>
      <x:c r="I266" s="48"/>
      <x:c r="J266" s="48"/>
      <x:c r="K266" s="48"/>
      <x:c r="L266" s="48"/>
      <x:c r="M266" s="48"/>
      <x:c r="N266" s="48"/>
      <x:c r="O266" s="48"/>
      <x:c r="P266" s="48"/>
      <x:c r="Q266" s="48"/>
      <x:c r="R266" s="48"/>
      <x:c r="S266" s="48"/>
      <x:c r="T266" s="48"/>
      <x:c r="U266" s="48"/>
      <x:c r="V266" s="48"/>
      <x:c r="W266" s="48"/>
    </x:row>
    <x:row r="267">
      <x:c r="C267" s="19" t="str">
        <x:v>GT-RT-C-09</x:v>
      </x:c>
      <x:c r="D267" s="19" t="str">
        <x:v>MS-RT|C</x:v>
      </x:c>
      <x:c r="E267" s="19" t="str">
        <x:v>MS-RT</x:v>
      </x:c>
      <x:c r="F267" s="19" t="str">
        <x:v>executable build records</x:v>
      </x:c>
      <x:c r="G267" s="20" t="n">
        <x:v>0</x:v>
      </x:c>
      <x:c r="H267" s="21" t="str">
        <x:v>OPEN</x:v>
      </x:c>
      <x:c r="I267" s="48"/>
      <x:c r="J267" s="48"/>
      <x:c r="K267" s="48"/>
      <x:c r="L267" s="48"/>
      <x:c r="M267" s="48"/>
      <x:c r="N267" s="48"/>
      <x:c r="O267" s="48"/>
      <x:c r="P267" s="48"/>
      <x:c r="Q267" s="48"/>
      <x:c r="R267" s="48"/>
      <x:c r="S267" s="48"/>
      <x:c r="T267" s="48"/>
      <x:c r="U267" s="48"/>
      <x:c r="V267" s="48"/>
      <x:c r="W267" s="48"/>
    </x:row>
    <x:row r="268">
      <x:c r="C268" s="19" t="str">
        <x:v>GT-RT-C-10</x:v>
      </x:c>
      <x:c r="D268" s="19" t="str">
        <x:v>MS-RT|C</x:v>
      </x:c>
      <x:c r="E268" s="19" t="str">
        <x:v>MS-RT</x:v>
      </x:c>
      <x:c r="F268" s="19" t="str">
        <x:v>representative subsystem evidence</x:v>
      </x:c>
      <x:c r="G268" s="20" t="n">
        <x:v>0</x:v>
      </x:c>
      <x:c r="H268" s="21" t="str">
        <x:v>OPEN</x:v>
      </x:c>
      <x:c r="I268" s="48"/>
      <x:c r="J268" s="48"/>
      <x:c r="K268" s="48"/>
      <x:c r="L268" s="48"/>
      <x:c r="M268" s="48"/>
      <x:c r="N268" s="48"/>
      <x:c r="O268" s="48"/>
      <x:c r="P268" s="48"/>
      <x:c r="Q268" s="48"/>
      <x:c r="R268" s="48"/>
      <x:c r="S268" s="48"/>
      <x:c r="T268" s="48"/>
      <x:c r="U268" s="48"/>
      <x:c r="V268" s="48"/>
      <x:c r="W268" s="48"/>
    </x:row>
    <x:row r="269">
      <x:c r="C269" s="19" t="str">
        <x:v>GT-RT-C-11</x:v>
      </x:c>
      <x:c r="D269" s="19" t="str">
        <x:v>MS-RT|C</x:v>
      </x:c>
      <x:c r="E269" s="19" t="str">
        <x:v>MS-RT</x:v>
      </x:c>
      <x:c r="F269" s="19" t="str">
        <x:v>disconnected and manual control</x:v>
      </x:c>
      <x:c r="G269" s="20" t="n">
        <x:v>0</x:v>
      </x:c>
      <x:c r="H269" s="21" t="str">
        <x:v>OPEN</x:v>
      </x:c>
      <x:c r="I269" s="48"/>
      <x:c r="J269" s="48"/>
      <x:c r="K269" s="48"/>
      <x:c r="L269" s="48"/>
      <x:c r="M269" s="48"/>
      <x:c r="N269" s="48"/>
      <x:c r="O269" s="48"/>
      <x:c r="P269" s="48"/>
      <x:c r="Q269" s="48"/>
      <x:c r="R269" s="48"/>
      <x:c r="S269" s="48"/>
      <x:c r="T269" s="48"/>
      <x:c r="U269" s="48"/>
      <x:c r="V269" s="48"/>
      <x:c r="W269" s="48"/>
    </x:row>
    <x:row r="270">
      <x:c r="C270" s="19" t="str">
        <x:v>GT-RT-C-12</x:v>
      </x:c>
      <x:c r="D270" s="19" t="str">
        <x:v>MS-RT|C</x:v>
      </x:c>
      <x:c r="E270" s="19" t="str">
        <x:v>MS-RT</x:v>
      </x:c>
      <x:c r="F270" s="19" t="str">
        <x:v>root-native evidence and outside replay</x:v>
      </x:c>
      <x:c r="G270" s="20" t="n">
        <x:v>0</x:v>
      </x:c>
      <x:c r="H270" s="21" t="str">
        <x:v>OPEN</x:v>
      </x:c>
      <x:c r="I270" s="48"/>
      <x:c r="J270" s="48"/>
      <x:c r="K270" s="48"/>
      <x:c r="L270" s="48"/>
      <x:c r="M270" s="48"/>
      <x:c r="N270" s="48"/>
      <x:c r="O270" s="48"/>
      <x:c r="P270" s="48"/>
      <x:c r="Q270" s="48"/>
      <x:c r="R270" s="48"/>
      <x:c r="S270" s="48"/>
      <x:c r="T270" s="48"/>
      <x:c r="U270" s="48"/>
      <x:c r="V270" s="48"/>
      <x:c r="W270" s="48"/>
    </x:row>
    <x:row r="271">
      <x:c r="C271" s="19" t="str">
        <x:v>GT-RT-C-13</x:v>
      </x:c>
      <x:c r="D271" s="19" t="str">
        <x:v>MS-RT|C</x:v>
      </x:c>
      <x:c r="E271" s="19" t="str">
        <x:v>MS-RT</x:v>
      </x:c>
      <x:c r="F271" s="19" t="str">
        <x:v>repair, reset and second-team reproduction</x:v>
      </x:c>
      <x:c r="G271" s="20" t="n">
        <x:v>0</x:v>
      </x:c>
      <x:c r="H271" s="21" t="str">
        <x:v>OPEN</x:v>
      </x:c>
      <x:c r="I271" s="48"/>
      <x:c r="J271" s="48"/>
      <x:c r="K271" s="48"/>
      <x:c r="L271" s="48"/>
      <x:c r="M271" s="48"/>
      <x:c r="N271" s="48"/>
      <x:c r="O271" s="48"/>
      <x:c r="P271" s="48"/>
      <x:c r="Q271" s="48"/>
      <x:c r="R271" s="48"/>
      <x:c r="S271" s="48"/>
      <x:c r="T271" s="48"/>
      <x:c r="U271" s="48"/>
      <x:c r="V271" s="48"/>
      <x:c r="W271" s="48"/>
    </x:row>
    <x:row r="272">
      <x:c r="C272" s="19" t="str">
        <x:v>GT-RT-C-14</x:v>
      </x:c>
      <x:c r="D272" s="19" t="str">
        <x:v>MS-RT|C</x:v>
      </x:c>
      <x:c r="E272" s="19" t="str">
        <x:v>MS-RT</x:v>
      </x:c>
      <x:c r="F272" s="19" t="str">
        <x:v>independent release</x:v>
      </x:c>
      <x:c r="G272" s="20" t="n">
        <x:v>0</x:v>
      </x:c>
      <x:c r="H272" s="21" t="str">
        <x:v>OPEN</x:v>
      </x:c>
      <x:c r="I272" s="48"/>
      <x:c r="J272" s="48"/>
      <x:c r="K272" s="48"/>
      <x:c r="L272" s="48"/>
      <x:c r="M272" s="48"/>
      <x:c r="N272" s="48"/>
      <x:c r="O272" s="48"/>
      <x:c r="P272" s="48"/>
      <x:c r="Q272" s="48"/>
      <x:c r="R272" s="48"/>
      <x:c r="S272" s="48"/>
      <x:c r="T272" s="48"/>
      <x:c r="U272" s="48"/>
      <x:c r="V272" s="48"/>
      <x:c r="W272" s="48"/>
    </x:row>
    <x:row r="273">
      <x:c r="C273" s="19" t="str">
        <x:v>GT-RT-D-01</x:v>
      </x:c>
      <x:c r="D273" s="19" t="str">
        <x:v>MS-RT|D</x:v>
      </x:c>
      <x:c r="E273" s="19" t="str">
        <x:v>MS-RT</x:v>
      </x:c>
      <x:c r="F273" s="19" t="str">
        <x:v>complete routes</x:v>
      </x:c>
      <x:c r="G273" s="20" t="n">
        <x:v>0</x:v>
      </x:c>
      <x:c r="H273" s="21" t="str">
        <x:v>OPEN</x:v>
      </x:c>
      <x:c r="I273" s="48"/>
      <x:c r="J273" s="48"/>
      <x:c r="K273" s="48"/>
      <x:c r="L273" s="48"/>
      <x:c r="M273" s="48"/>
      <x:c r="N273" s="48"/>
      <x:c r="O273" s="48"/>
      <x:c r="P273" s="48"/>
      <x:c r="Q273" s="48"/>
      <x:c r="R273" s="48"/>
      <x:c r="S273" s="48"/>
      <x:c r="T273" s="48"/>
      <x:c r="U273" s="48"/>
      <x:c r="V273" s="48"/>
      <x:c r="W273" s="48"/>
    </x:row>
    <x:row r="274">
      <x:c r="C274" s="19" t="str">
        <x:v>GT-RT-D-02</x:v>
      </x:c>
      <x:c r="D274" s="19" t="str">
        <x:v>MS-RT|D</x:v>
      </x:c>
      <x:c r="E274" s="19" t="str">
        <x:v>MS-RT</x:v>
      </x:c>
      <x:c r="F274" s="19" t="str">
        <x:v>seven-stage state machine</x:v>
      </x:c>
      <x:c r="G274" s="20" t="n">
        <x:v>0</x:v>
      </x:c>
      <x:c r="H274" s="21" t="str">
        <x:v>OPEN</x:v>
      </x:c>
      <x:c r="I274" s="48"/>
      <x:c r="J274" s="48"/>
      <x:c r="K274" s="48"/>
      <x:c r="L274" s="48"/>
      <x:c r="M274" s="48"/>
      <x:c r="N274" s="48"/>
      <x:c r="O274" s="48"/>
      <x:c r="P274" s="48"/>
      <x:c r="Q274" s="48"/>
      <x:c r="R274" s="48"/>
      <x:c r="S274" s="48"/>
      <x:c r="T274" s="48"/>
      <x:c r="U274" s="48"/>
      <x:c r="V274" s="48"/>
      <x:c r="W274" s="48"/>
    </x:row>
    <x:row r="275">
      <x:c r="C275" s="19" t="str">
        <x:v>GT-RT-D-03</x:v>
      </x:c>
      <x:c r="D275" s="19" t="str">
        <x:v>MS-RT|D</x:v>
      </x:c>
      <x:c r="E275" s="19" t="str">
        <x:v>MS-RT</x:v>
      </x:c>
      <x:c r="F275" s="19" t="str">
        <x:v>four-field architecture</x:v>
      </x:c>
      <x:c r="G275" s="20" t="n">
        <x:v>0</x:v>
      </x:c>
      <x:c r="H275" s="21" t="str">
        <x:v>OPEN</x:v>
      </x:c>
      <x:c r="I275" s="48"/>
      <x:c r="J275" s="48"/>
      <x:c r="K275" s="48"/>
      <x:c r="L275" s="48"/>
      <x:c r="M275" s="48"/>
      <x:c r="N275" s="48"/>
      <x:c r="O275" s="48"/>
      <x:c r="P275" s="48"/>
      <x:c r="Q275" s="48"/>
      <x:c r="R275" s="48"/>
      <x:c r="S275" s="48"/>
      <x:c r="T275" s="48"/>
      <x:c r="U275" s="48"/>
      <x:c r="V275" s="48"/>
      <x:c r="W275" s="48"/>
    </x:row>
    <x:row r="276">
      <x:c r="C276" s="19" t="str">
        <x:v>GT-RT-D-04</x:v>
      </x:c>
      <x:c r="D276" s="19" t="str">
        <x:v>MS-RT|D</x:v>
      </x:c>
      <x:c r="E276" s="19" t="str">
        <x:v>MS-RT</x:v>
      </x:c>
      <x:c r="F276" s="19" t="str">
        <x:v>numeric service thresholds</x:v>
      </x:c>
      <x:c r="G276" s="20" t="n">
        <x:v>0</x:v>
      </x:c>
      <x:c r="H276" s="21" t="str">
        <x:v>OPEN</x:v>
      </x:c>
      <x:c r="I276" s="48"/>
      <x:c r="J276" s="48"/>
      <x:c r="K276" s="48"/>
      <x:c r="L276" s="48"/>
      <x:c r="M276" s="48"/>
      <x:c r="N276" s="48"/>
      <x:c r="O276" s="48"/>
      <x:c r="P276" s="48"/>
      <x:c r="Q276" s="48"/>
      <x:c r="R276" s="48"/>
      <x:c r="S276" s="48"/>
      <x:c r="T276" s="48"/>
      <x:c r="U276" s="48"/>
      <x:c r="V276" s="48"/>
      <x:c r="W276" s="48"/>
    </x:row>
    <x:row r="277">
      <x:c r="C277" s="19" t="str">
        <x:v>GT-RT-D-05</x:v>
      </x:c>
      <x:c r="D277" s="19" t="str">
        <x:v>MS-RT|D</x:v>
      </x:c>
      <x:c r="E277" s="19" t="str">
        <x:v>MS-RT</x:v>
      </x:c>
      <x:c r="F277" s="19" t="str">
        <x:v>closed mass, energy, flow and residual accounts</x:v>
      </x:c>
      <x:c r="G277" s="20" t="n">
        <x:v>0</x:v>
      </x:c>
      <x:c r="H277" s="21" t="str">
        <x:v>OPEN</x:v>
      </x:c>
      <x:c r="I277" s="48"/>
      <x:c r="J277" s="48"/>
      <x:c r="K277" s="48"/>
      <x:c r="L277" s="48"/>
      <x:c r="M277" s="48"/>
      <x:c r="N277" s="48"/>
      <x:c r="O277" s="48"/>
      <x:c r="P277" s="48"/>
      <x:c r="Q277" s="48"/>
      <x:c r="R277" s="48"/>
      <x:c r="S277" s="48"/>
      <x:c r="T277" s="48"/>
      <x:c r="U277" s="48"/>
      <x:c r="V277" s="48"/>
      <x:c r="W277" s="48"/>
    </x:row>
    <x:row r="278">
      <x:c r="C278" s="19" t="str">
        <x:v>GT-RT-D-06</x:v>
      </x:c>
      <x:c r="D278" s="19" t="str">
        <x:v>MS-RT|D</x:v>
      </x:c>
      <x:c r="E278" s="19" t="str">
        <x:v>MS-RT</x:v>
      </x:c>
      <x:c r="F278" s="19" t="str">
        <x:v>safety and rights</x:v>
      </x:c>
      <x:c r="G278" s="20" t="n">
        <x:v>0</x:v>
      </x:c>
      <x:c r="H278" s="21" t="str">
        <x:v>OPEN</x:v>
      </x:c>
      <x:c r="I278" s="48"/>
      <x:c r="J278" s="48"/>
      <x:c r="K278" s="48"/>
      <x:c r="L278" s="48"/>
      <x:c r="M278" s="48"/>
      <x:c r="N278" s="48"/>
      <x:c r="O278" s="48"/>
      <x:c r="P278" s="48"/>
      <x:c r="Q278" s="48"/>
      <x:c r="R278" s="48"/>
      <x:c r="S278" s="48"/>
      <x:c r="T278" s="48"/>
      <x:c r="U278" s="48"/>
      <x:c r="V278" s="48"/>
      <x:c r="W278" s="48"/>
    </x:row>
    <x:row r="279">
      <x:c r="C279" s="19" t="str">
        <x:v>GT-RT-D-07</x:v>
      </x:c>
      <x:c r="D279" s="19" t="str">
        <x:v>MS-RT|D</x:v>
      </x:c>
      <x:c r="E279" s="19" t="str">
        <x:v>MS-RT</x:v>
      </x:c>
      <x:c r="F279" s="19" t="str">
        <x:v>public interface control</x:v>
      </x:c>
      <x:c r="G279" s="20" t="n">
        <x:v>0</x:v>
      </x:c>
      <x:c r="H279" s="21" t="str">
        <x:v>OPEN</x:v>
      </x:c>
      <x:c r="I279" s="48"/>
      <x:c r="J279" s="48"/>
      <x:c r="K279" s="48"/>
      <x:c r="L279" s="48"/>
      <x:c r="M279" s="48"/>
      <x:c r="N279" s="48"/>
      <x:c r="O279" s="48"/>
      <x:c r="P279" s="48"/>
      <x:c r="Q279" s="48"/>
      <x:c r="R279" s="48"/>
      <x:c r="S279" s="48"/>
      <x:c r="T279" s="48"/>
      <x:c r="U279" s="48"/>
      <x:c r="V279" s="48"/>
      <x:c r="W279" s="48"/>
    </x:row>
    <x:row r="280">
      <x:c r="C280" s="19" t="str">
        <x:v>GT-RT-D-08</x:v>
      </x:c>
      <x:c r="D280" s="19" t="str">
        <x:v>MS-RT|D</x:v>
      </x:c>
      <x:c r="E280" s="19" t="str">
        <x:v>MS-RT</x:v>
      </x:c>
      <x:c r="F280" s="19" t="str">
        <x:v>declared decisive ancestry</x:v>
      </x:c>
      <x:c r="G280" s="20" t="n">
        <x:v>0</x:v>
      </x:c>
      <x:c r="H280" s="21" t="str">
        <x:v>OPEN</x:v>
      </x:c>
      <x:c r="I280" s="48"/>
      <x:c r="J280" s="48"/>
      <x:c r="K280" s="48"/>
      <x:c r="L280" s="48"/>
      <x:c r="M280" s="48"/>
      <x:c r="N280" s="48"/>
      <x:c r="O280" s="48"/>
      <x:c r="P280" s="48"/>
      <x:c r="Q280" s="48"/>
      <x:c r="R280" s="48"/>
      <x:c r="S280" s="48"/>
      <x:c r="T280" s="48"/>
      <x:c r="U280" s="48"/>
      <x:c r="V280" s="48"/>
      <x:c r="W280" s="48"/>
    </x:row>
    <x:row r="281">
      <x:c r="C281" s="19" t="str">
        <x:v>GT-RT-D-09</x:v>
      </x:c>
      <x:c r="D281" s="19" t="str">
        <x:v>MS-RT|D</x:v>
      </x:c>
      <x:c r="E281" s="19" t="str">
        <x:v>MS-RT</x:v>
      </x:c>
      <x:c r="F281" s="19" t="str">
        <x:v>executable build records</x:v>
      </x:c>
      <x:c r="G281" s="20" t="n">
        <x:v>0</x:v>
      </x:c>
      <x:c r="H281" s="21" t="str">
        <x:v>OPEN</x:v>
      </x:c>
      <x:c r="I281" s="48"/>
      <x:c r="J281" s="48"/>
      <x:c r="K281" s="48"/>
      <x:c r="L281" s="48"/>
      <x:c r="M281" s="48"/>
      <x:c r="N281" s="48"/>
      <x:c r="O281" s="48"/>
      <x:c r="P281" s="48"/>
      <x:c r="Q281" s="48"/>
      <x:c r="R281" s="48"/>
      <x:c r="S281" s="48"/>
      <x:c r="T281" s="48"/>
      <x:c r="U281" s="48"/>
      <x:c r="V281" s="48"/>
      <x:c r="W281" s="48"/>
    </x:row>
    <x:row r="282">
      <x:c r="C282" s="19" t="str">
        <x:v>GT-RT-D-10</x:v>
      </x:c>
      <x:c r="D282" s="19" t="str">
        <x:v>MS-RT|D</x:v>
      </x:c>
      <x:c r="E282" s="19" t="str">
        <x:v>MS-RT</x:v>
      </x:c>
      <x:c r="F282" s="19" t="str">
        <x:v>representative subsystem evidence</x:v>
      </x:c>
      <x:c r="G282" s="20" t="n">
        <x:v>0</x:v>
      </x:c>
      <x:c r="H282" s="21" t="str">
        <x:v>OPEN</x:v>
      </x:c>
      <x:c r="I282" s="48"/>
      <x:c r="J282" s="48"/>
      <x:c r="K282" s="48"/>
      <x:c r="L282" s="48"/>
      <x:c r="M282" s="48"/>
      <x:c r="N282" s="48"/>
      <x:c r="O282" s="48"/>
      <x:c r="P282" s="48"/>
      <x:c r="Q282" s="48"/>
      <x:c r="R282" s="48"/>
      <x:c r="S282" s="48"/>
      <x:c r="T282" s="48"/>
      <x:c r="U282" s="48"/>
      <x:c r="V282" s="48"/>
      <x:c r="W282" s="48"/>
    </x:row>
    <x:row r="283">
      <x:c r="C283" s="19" t="str">
        <x:v>GT-RT-D-11</x:v>
      </x:c>
      <x:c r="D283" s="19" t="str">
        <x:v>MS-RT|D</x:v>
      </x:c>
      <x:c r="E283" s="19" t="str">
        <x:v>MS-RT</x:v>
      </x:c>
      <x:c r="F283" s="19" t="str">
        <x:v>disconnected and manual control</x:v>
      </x:c>
      <x:c r="G283" s="20" t="n">
        <x:v>0</x:v>
      </x:c>
      <x:c r="H283" s="21" t="str">
        <x:v>OPEN</x:v>
      </x:c>
      <x:c r="I283" s="48"/>
      <x:c r="J283" s="48"/>
      <x:c r="K283" s="48"/>
      <x:c r="L283" s="48"/>
      <x:c r="M283" s="48"/>
      <x:c r="N283" s="48"/>
      <x:c r="O283" s="48"/>
      <x:c r="P283" s="48"/>
      <x:c r="Q283" s="48"/>
      <x:c r="R283" s="48"/>
      <x:c r="S283" s="48"/>
      <x:c r="T283" s="48"/>
      <x:c r="U283" s="48"/>
      <x:c r="V283" s="48"/>
      <x:c r="W283" s="48"/>
    </x:row>
    <x:row r="284">
      <x:c r="C284" s="19" t="str">
        <x:v>GT-RT-D-12</x:v>
      </x:c>
      <x:c r="D284" s="19" t="str">
        <x:v>MS-RT|D</x:v>
      </x:c>
      <x:c r="E284" s="19" t="str">
        <x:v>MS-RT</x:v>
      </x:c>
      <x:c r="F284" s="19" t="str">
        <x:v>root-native evidence and outside replay</x:v>
      </x:c>
      <x:c r="G284" s="20" t="n">
        <x:v>0</x:v>
      </x:c>
      <x:c r="H284" s="21" t="str">
        <x:v>OPEN</x:v>
      </x:c>
      <x:c r="I284" s="48"/>
      <x:c r="J284" s="48"/>
      <x:c r="K284" s="48"/>
      <x:c r="L284" s="48"/>
      <x:c r="M284" s="48"/>
      <x:c r="N284" s="48"/>
      <x:c r="O284" s="48"/>
      <x:c r="P284" s="48"/>
      <x:c r="Q284" s="48"/>
      <x:c r="R284" s="48"/>
      <x:c r="S284" s="48"/>
      <x:c r="T284" s="48"/>
      <x:c r="U284" s="48"/>
      <x:c r="V284" s="48"/>
      <x:c r="W284" s="48"/>
    </x:row>
    <x:row r="285">
      <x:c r="C285" s="19" t="str">
        <x:v>GT-RT-D-13</x:v>
      </x:c>
      <x:c r="D285" s="19" t="str">
        <x:v>MS-RT|D</x:v>
      </x:c>
      <x:c r="E285" s="19" t="str">
        <x:v>MS-RT</x:v>
      </x:c>
      <x:c r="F285" s="19" t="str">
        <x:v>repair, reset and second-team reproduction</x:v>
      </x:c>
      <x:c r="G285" s="20" t="n">
        <x:v>0</x:v>
      </x:c>
      <x:c r="H285" s="21" t="str">
        <x:v>OPEN</x:v>
      </x:c>
      <x:c r="I285" s="48"/>
      <x:c r="J285" s="48"/>
      <x:c r="K285" s="48"/>
      <x:c r="L285" s="48"/>
      <x:c r="M285" s="48"/>
      <x:c r="N285" s="48"/>
      <x:c r="O285" s="48"/>
      <x:c r="P285" s="48"/>
      <x:c r="Q285" s="48"/>
      <x:c r="R285" s="48"/>
      <x:c r="S285" s="48"/>
      <x:c r="T285" s="48"/>
      <x:c r="U285" s="48"/>
      <x:c r="V285" s="48"/>
      <x:c r="W285" s="48"/>
    </x:row>
    <x:row r="286">
      <x:c r="C286" s="22" t="str">
        <x:v>GT-RT-D-14</x:v>
      </x:c>
      <x:c r="D286" s="22" t="str">
        <x:v>MS-RT|D</x:v>
      </x:c>
      <x:c r="E286" s="22" t="str">
        <x:v>MS-RT</x:v>
      </x:c>
      <x:c r="F286" s="22" t="str">
        <x:v>independent release</x:v>
      </x:c>
      <x:c r="G286" s="23" t="n">
        <x:v>0</x:v>
      </x:c>
      <x:c r="H286" s="24" t="str">
        <x:v>OPEN</x:v>
      </x:c>
      <x:c r="I286" s="48"/>
      <x:c r="J286" s="48"/>
      <x:c r="K286" s="48"/>
      <x:c r="L286" s="48"/>
      <x:c r="M286" s="48"/>
      <x:c r="N286" s="48"/>
      <x:c r="O286" s="48"/>
      <x:c r="P286" s="48"/>
      <x:c r="Q286" s="48"/>
      <x:c r="R286" s="48"/>
      <x:c r="S286" s="48"/>
      <x:c r="T286" s="48"/>
      <x:c r="U286" s="48"/>
      <x:c r="V286" s="48"/>
      <x:c r="W286" s="48"/>
    </x:row>
    <x:row r="287">
      <x:c r="C287" s="2"/>
      <x:c r="D287" s="2"/>
      <x:c r="E287" s="2"/>
      <x:c r="F287" s="2"/>
      <x:c r="G287" s="2"/>
      <x:c r="H287" s="2"/>
      <x:c r="I287" s="48"/>
      <x:c r="J287" s="48"/>
      <x:c r="K287" s="48"/>
      <x:c r="L287" s="48"/>
      <x:c r="M287" s="48"/>
      <x:c r="N287" s="48"/>
      <x:c r="O287" s="48"/>
      <x:c r="P287" s="48"/>
      <x:c r="Q287" s="48"/>
      <x:c r="R287" s="48"/>
      <x:c r="S287" s="48"/>
      <x:c r="T287" s="48"/>
      <x:c r="U287" s="48"/>
      <x:c r="V287" s="48"/>
      <x:c r="W287" s="48"/>
    </x:row>
    <x:row r="288">
      <x:c r="C288" s="2"/>
      <x:c r="D288" s="2"/>
      <x:c r="E288" s="2"/>
      <x:c r="F288" s="2"/>
      <x:c r="G288" s="2"/>
      <x:c r="H288" s="2"/>
      <x:c r="I288" s="48"/>
      <x:c r="J288" s="48"/>
      <x:c r="K288" s="48"/>
      <x:c r="L288" s="48"/>
      <x:c r="M288" s="48"/>
      <x:c r="N288" s="48"/>
      <x:c r="O288" s="48"/>
      <x:c r="P288" s="48"/>
      <x:c r="Q288" s="48"/>
      <x:c r="R288" s="48"/>
      <x:c r="S288" s="48"/>
      <x:c r="T288" s="48"/>
      <x:c r="U288" s="48"/>
      <x:c r="V288" s="48"/>
      <x:c r="W288" s="48"/>
    </x:row>
    <x:row r="289">
      <x:c r="C289" s="2"/>
      <x:c r="D289" s="2"/>
      <x:c r="E289" s="2"/>
      <x:c r="F289" s="2"/>
      <x:c r="G289" s="2"/>
      <x:c r="H289" s="2"/>
      <x:c r="I289" s="48"/>
      <x:c r="J289" s="48"/>
      <x:c r="K289" s="48"/>
      <x:c r="L289" s="48"/>
      <x:c r="M289" s="48"/>
      <x:c r="N289" s="48"/>
      <x:c r="O289" s="48"/>
      <x:c r="P289" s="48"/>
      <x:c r="Q289" s="48"/>
      <x:c r="R289" s="48"/>
      <x:c r="S289" s="48"/>
      <x:c r="T289" s="48"/>
      <x:c r="U289" s="48"/>
      <x:c r="V289" s="48"/>
      <x:c r="W289" s="48"/>
    </x:row>
    <x:row r="290">
      <x:c r="C290" s="2"/>
      <x:c r="D290" s="2"/>
      <x:c r="E290" s="2"/>
      <x:c r="F290" s="2"/>
      <x:c r="G290" s="2"/>
      <x:c r="H290" s="2"/>
      <x:c r="I290" s="48"/>
      <x:c r="J290" s="48"/>
      <x:c r="K290" s="48"/>
      <x:c r="L290" s="48"/>
      <x:c r="M290" s="48"/>
      <x:c r="N290" s="48"/>
      <x:c r="O290" s="48"/>
      <x:c r="P290" s="48"/>
      <x:c r="Q290" s="48"/>
      <x:c r="R290" s="48"/>
      <x:c r="S290" s="48"/>
      <x:c r="T290" s="48"/>
      <x:c r="U290" s="48"/>
      <x:c r="V290" s="48"/>
      <x:c r="W290" s="48"/>
    </x:row>
    <x:row r="291">
      <x:c r="C291" s="2"/>
      <x:c r="D291" s="2"/>
      <x:c r="E291" s="2"/>
      <x:c r="F291" s="2"/>
      <x:c r="G291" s="2"/>
      <x:c r="H291" s="2"/>
      <x:c r="I291" s="48"/>
      <x:c r="J291" s="48"/>
      <x:c r="K291" s="48"/>
      <x:c r="L291" s="48"/>
      <x:c r="M291" s="48"/>
      <x:c r="N291" s="48"/>
      <x:c r="O291" s="48"/>
      <x:c r="P291" s="48"/>
      <x:c r="Q291" s="48"/>
      <x:c r="R291" s="48"/>
      <x:c r="S291" s="48"/>
      <x:c r="T291" s="48"/>
      <x:c r="U291" s="48"/>
      <x:c r="V291" s="48"/>
      <x:c r="W291" s="48"/>
    </x:row>
    <x:row r="292">
      <x:c r="C292" s="2"/>
      <x:c r="D292" s="2"/>
      <x:c r="E292" s="2"/>
      <x:c r="F292" s="2"/>
      <x:c r="G292" s="2"/>
      <x:c r="H292" s="2"/>
      <x:c r="I292" s="48"/>
      <x:c r="J292" s="48"/>
      <x:c r="K292" s="48"/>
      <x:c r="L292" s="48"/>
      <x:c r="M292" s="48"/>
      <x:c r="N292" s="48"/>
      <x:c r="O292" s="48"/>
      <x:c r="P292" s="48"/>
      <x:c r="Q292" s="48"/>
      <x:c r="R292" s="48"/>
      <x:c r="S292" s="48"/>
      <x:c r="T292" s="48"/>
      <x:c r="U292" s="48"/>
      <x:c r="V292" s="48"/>
      <x:c r="W292" s="48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3" max="3" width="31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48"/>
      <x:c r="N1" s="48"/>
      <x:c r="O1" s="48"/>
      <x:c r="P1" s="48"/>
      <x:c r="Q1" s="48"/>
      <x:c r="R1" s="48"/>
      <x:c r="S1" s="48"/>
      <x:c r="T1" s="48"/>
      <x:c r="U1" s="48"/>
      <x:c r="V1" s="48"/>
      <x:c r="W1" s="48"/>
    </x:row>
    <x:row r="2">
      <x:c r="C2" s="3" t="str">
        <x:v>Twenty-four-root Cascadia entry barrier</x:v>
      </x:c>
      <x:c r="D2" s="2"/>
      <x:c r="E2" s="2"/>
      <x:c r="F2" s="2"/>
      <x:c r="G2" s="2"/>
      <x:c r="H2" s="2"/>
      <x:c r="I2" s="2"/>
      <x:c r="J2" s="2"/>
      <x:c r="K2" s="2"/>
      <x:c r="L2" s="2"/>
      <x:c r="M2" s="48"/>
      <x:c r="N2" s="48"/>
      <x:c r="O2" s="48"/>
      <x:c r="P2" s="48"/>
      <x:c r="Q2" s="48"/>
      <x:c r="R2" s="48"/>
      <x:c r="S2" s="48"/>
      <x:c r="T2" s="48"/>
      <x:c r="U2" s="48"/>
      <x:c r="V2" s="48"/>
      <x:c r="W2" s="48"/>
    </x:row>
    <x:row r="3">
      <x:c r="C3" s="5" t="str">
        <x:v>All twenty new roots, four inherited lifeline roots and four public seam implementations are conjunctive.</x:v>
      </x:c>
      <x:c r="D3" s="6"/>
      <x:c r="E3" s="6"/>
      <x:c r="F3" s="6"/>
      <x:c r="G3" s="6"/>
      <x:c r="H3" s="6"/>
      <x:c r="I3" s="6"/>
      <x:c r="J3" s="6"/>
      <x:c r="K3" s="6"/>
      <x:c r="L3" s="6"/>
      <x:c r="M3" s="49"/>
      <x:c r="N3" s="49"/>
      <x:c r="O3" s="49"/>
      <x:c r="P3" s="49"/>
      <x:c r="Q3" s="49"/>
      <x:c r="R3" s="49"/>
      <x:c r="S3" s="49"/>
      <x:c r="T3" s="49"/>
      <x:c r="U3" s="49"/>
      <x:c r="V3" s="49"/>
      <x:c r="W3" s="49"/>
    </x:row>
    <x:row r="4"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48"/>
      <x:c r="N4" s="48"/>
      <x:c r="O4" s="48"/>
      <x:c r="P4" s="48"/>
      <x:c r="Q4" s="48"/>
      <x:c r="R4" s="48"/>
      <x:c r="S4" s="48"/>
      <x:c r="T4" s="48"/>
      <x:c r="U4" s="48"/>
      <x:c r="V4" s="48"/>
      <x:c r="W4" s="48"/>
    </x:row>
    <x:row r="5"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48"/>
      <x:c r="N5" s="48"/>
      <x:c r="O5" s="48"/>
      <x:c r="P5" s="48"/>
      <x:c r="Q5" s="48"/>
      <x:c r="R5" s="48"/>
      <x:c r="S5" s="48"/>
      <x:c r="T5" s="48"/>
      <x:c r="U5" s="48"/>
      <x:c r="V5" s="48"/>
      <x:c r="W5" s="48"/>
    </x:row>
    <x:row r="6">
      <x:c r="C6" s="11" t="str">
        <x:v>Stack</x:v>
      </x:c>
      <x:c r="D6" s="12" t="str">
        <x:v>MS-ET</x:v>
      </x:c>
      <x:c r="E6" s="12" t="str">
        <x:v>MS-CT</x:v>
      </x:c>
      <x:c r="F6" s="12" t="str">
        <x:v>MS-HC</x:v>
      </x:c>
      <x:c r="G6" s="12" t="str">
        <x:v>MS-LF</x:v>
      </x:c>
      <x:c r="H6" s="12" t="str">
        <x:v>MS-HU</x:v>
      </x:c>
      <x:c r="I6" s="12" t="str">
        <x:v>MS-RT</x:v>
      </x:c>
      <x:c r="J6" s="12" t="str">
        <x:v>Released systems</x:v>
      </x:c>
      <x:c r="K6" s="12" t="str">
        <x:v>Required</x:v>
      </x:c>
      <x:c r="L6" s="13" t="str">
        <x:v>Stack state</x:v>
      </x:c>
      <x:c r="M6" s="48"/>
      <x:c r="N6" s="48"/>
      <x:c r="O6" s="48"/>
      <x:c r="P6" s="48"/>
      <x:c r="Q6" s="48"/>
      <x:c r="R6" s="48"/>
      <x:c r="S6" s="48"/>
      <x:c r="T6" s="48"/>
      <x:c r="U6" s="48"/>
      <x:c r="V6" s="48"/>
      <x:c r="W6" s="48"/>
    </x:row>
    <x:row r="7">
      <x:c r="C7" s="2" t="str">
        <x:v>A</x:v>
      </x:c>
      <x:c r="D7" s="2" t="str">
        <x:f>IF(COUNTIFS('Root Configurations'!$E$7:$E$26,D$6,'Root Configurations'!$F$7:$F$26,$C7,'Root Configurations'!$V$7:$V$26,"RELEASED")=1,"RELEASED","HOLD")</x:f>
        <x:v>HOLD</x:v>
      </x:c>
      <x:c r="E7" s="2" t="str">
        <x:f>IF(COUNTIFS('Root Configurations'!$E$7:$E$26,E$6,'Root Configurations'!$F$7:$F$26,$C7,'Root Configurations'!$V$7:$V$26,"RELEASED")=1,"RELEASED","HOLD")</x:f>
        <x:v>HOLD</x:v>
      </x:c>
      <x:c r="F7" s="2" t="str">
        <x:f>IF(COUNTIFS('Root Configurations'!$E$7:$E$26,F$6,'Root Configurations'!$F$7:$F$26,$C7,'Root Configurations'!$V$7:$V$26,"RELEASED")=1,"RELEASED","HOLD")</x:f>
        <x:v>HOLD</x:v>
      </x:c>
      <x:c r="G7" s="2" t="str">
        <x:f>Controls!D25</x:f>
        <x:v>HOLD</x:v>
      </x:c>
      <x:c r="H7" s="2" t="str">
        <x:f>IF(COUNTIFS('Root Configurations'!$E$7:$E$26,H$6,'Root Configurations'!$F$7:$F$26,$C7,'Root Configurations'!$V$7:$V$26,"RELEASED")=1,"RELEASED","HOLD")</x:f>
        <x:v>HOLD</x:v>
      </x:c>
      <x:c r="I7" s="2" t="str">
        <x:f>IF(COUNTIFS('Root Configurations'!$E$7:$E$26,I$6,'Root Configurations'!$F$7:$F$26,$C7,'Root Configurations'!$V$7:$V$26,"RELEASED")=1,"RELEASED","HOLD")</x:f>
        <x:v>HOLD</x:v>
      </x:c>
      <x:c r="J7" s="2" t="n">
        <x:f>COUNTIF(D7:I7,"RELEASED")</x:f>
        <x:v>0</x:v>
      </x:c>
      <x:c r="K7" s="2" t="n">
        <x:v>6</x:v>
      </x:c>
      <x:c r="L7" s="2" t="str">
        <x:f>IF(J7=K7,"READY","BLOCKED")</x:f>
        <x:v>BLOCKED</x:v>
      </x:c>
      <x:c r="M7" s="48"/>
      <x:c r="N7" s="48"/>
      <x:c r="O7" s="48"/>
      <x:c r="P7" s="48"/>
      <x:c r="Q7" s="48"/>
      <x:c r="R7" s="48"/>
      <x:c r="S7" s="48"/>
      <x:c r="T7" s="48"/>
      <x:c r="U7" s="48"/>
      <x:c r="V7" s="48"/>
      <x:c r="W7" s="48"/>
    </x:row>
    <x:row r="8">
      <x:c r="C8" s="2" t="str">
        <x:v>B</x:v>
      </x:c>
      <x:c r="D8" s="2" t="str">
        <x:f>IF(COUNTIFS('Root Configurations'!$E$7:$E$26,D$6,'Root Configurations'!$F$7:$F$26,$C8,'Root Configurations'!$V$7:$V$26,"RELEASED")=1,"RELEASED","HOLD")</x:f>
        <x:v>HOLD</x:v>
      </x:c>
      <x:c r="E8" s="2" t="str">
        <x:f>IF(COUNTIFS('Root Configurations'!$E$7:$E$26,E$6,'Root Configurations'!$F$7:$F$26,$C8,'Root Configurations'!$V$7:$V$26,"RELEASED")=1,"RELEASED","HOLD")</x:f>
        <x:v>HOLD</x:v>
      </x:c>
      <x:c r="F8" s="2" t="str">
        <x:f>IF(COUNTIFS('Root Configurations'!$E$7:$E$26,F$6,'Root Configurations'!$F$7:$F$26,$C8,'Root Configurations'!$V$7:$V$26,"RELEASED")=1,"RELEASED","HOLD")</x:f>
        <x:v>HOLD</x:v>
      </x:c>
      <x:c r="G8" s="2" t="str">
        <x:f>Controls!D26</x:f>
        <x:v>HOLD</x:v>
      </x:c>
      <x:c r="H8" s="2" t="str">
        <x:f>IF(COUNTIFS('Root Configurations'!$E$7:$E$26,H$6,'Root Configurations'!$F$7:$F$26,$C8,'Root Configurations'!$V$7:$V$26,"RELEASED")=1,"RELEASED","HOLD")</x:f>
        <x:v>HOLD</x:v>
      </x:c>
      <x:c r="I8" s="2" t="str">
        <x:f>IF(COUNTIFS('Root Configurations'!$E$7:$E$26,I$6,'Root Configurations'!$F$7:$F$26,$C8,'Root Configurations'!$V$7:$V$26,"RELEASED")=1,"RELEASED","HOLD")</x:f>
        <x:v>HOLD</x:v>
      </x:c>
      <x:c r="J8" s="2" t="n">
        <x:f>COUNTIF(D8:I8,"RELEASED")</x:f>
        <x:v>0</x:v>
      </x:c>
      <x:c r="K8" s="2" t="n">
        <x:v>6</x:v>
      </x:c>
      <x:c r="L8" s="2" t="str">
        <x:f>IF(J8=K8,"READY","BLOCKED")</x:f>
        <x:v>BLOCKED</x:v>
      </x:c>
      <x:c r="M8" s="48"/>
      <x:c r="N8" s="48"/>
      <x:c r="O8" s="48"/>
      <x:c r="P8" s="48"/>
      <x:c r="Q8" s="48"/>
      <x:c r="R8" s="48"/>
      <x:c r="S8" s="48"/>
      <x:c r="T8" s="48"/>
      <x:c r="U8" s="48"/>
      <x:c r="V8" s="48"/>
      <x:c r="W8" s="48"/>
    </x:row>
    <x:row r="9">
      <x:c r="C9" s="2" t="str">
        <x:v>C</x:v>
      </x:c>
      <x:c r="D9" s="2" t="str">
        <x:f>IF(COUNTIFS('Root Configurations'!$E$7:$E$26,D$6,'Root Configurations'!$F$7:$F$26,$C9,'Root Configurations'!$V$7:$V$26,"RELEASED")=1,"RELEASED","HOLD")</x:f>
        <x:v>HOLD</x:v>
      </x:c>
      <x:c r="E9" s="2" t="str">
        <x:f>IF(COUNTIFS('Root Configurations'!$E$7:$E$26,E$6,'Root Configurations'!$F$7:$F$26,$C9,'Root Configurations'!$V$7:$V$26,"RELEASED")=1,"RELEASED","HOLD")</x:f>
        <x:v>HOLD</x:v>
      </x:c>
      <x:c r="F9" s="2" t="str">
        <x:f>IF(COUNTIFS('Root Configurations'!$E$7:$E$26,F$6,'Root Configurations'!$F$7:$F$26,$C9,'Root Configurations'!$V$7:$V$26,"RELEASED")=1,"RELEASED","HOLD")</x:f>
        <x:v>HOLD</x:v>
      </x:c>
      <x:c r="G9" s="2" t="str">
        <x:f>Controls!D27</x:f>
        <x:v>HOLD</x:v>
      </x:c>
      <x:c r="H9" s="2" t="str">
        <x:f>IF(COUNTIFS('Root Configurations'!$E$7:$E$26,H$6,'Root Configurations'!$F$7:$F$26,$C9,'Root Configurations'!$V$7:$V$26,"RELEASED")=1,"RELEASED","HOLD")</x:f>
        <x:v>HOLD</x:v>
      </x:c>
      <x:c r="I9" s="2" t="str">
        <x:f>IF(COUNTIFS('Root Configurations'!$E$7:$E$26,I$6,'Root Configurations'!$F$7:$F$26,$C9,'Root Configurations'!$V$7:$V$26,"RELEASED")=1,"RELEASED","HOLD")</x:f>
        <x:v>HOLD</x:v>
      </x:c>
      <x:c r="J9" s="2" t="n">
        <x:f>COUNTIF(D9:I9,"RELEASED")</x:f>
        <x:v>0</x:v>
      </x:c>
      <x:c r="K9" s="2" t="n">
        <x:v>6</x:v>
      </x:c>
      <x:c r="L9" s="2" t="str">
        <x:f>IF(J9=K9,"READY","BLOCKED")</x:f>
        <x:v>BLOCKED</x:v>
      </x:c>
      <x:c r="M9" s="48"/>
      <x:c r="N9" s="48"/>
      <x:c r="O9" s="48"/>
      <x:c r="P9" s="48"/>
      <x:c r="Q9" s="48"/>
      <x:c r="R9" s="48"/>
      <x:c r="S9" s="48"/>
      <x:c r="T9" s="48"/>
      <x:c r="U9" s="48"/>
      <x:c r="V9" s="48"/>
      <x:c r="W9" s="48"/>
    </x:row>
    <x:row r="10">
      <x:c r="C10" s="2" t="str">
        <x:v>D</x:v>
      </x:c>
      <x:c r="D10" s="2" t="str">
        <x:f>IF(COUNTIFS('Root Configurations'!$E$7:$E$26,D$6,'Root Configurations'!$F$7:$F$26,$C10,'Root Configurations'!$V$7:$V$26,"RELEASED")=1,"RELEASED","HOLD")</x:f>
        <x:v>HOLD</x:v>
      </x:c>
      <x:c r="E10" s="2" t="str">
        <x:f>IF(COUNTIFS('Root Configurations'!$E$7:$E$26,E$6,'Root Configurations'!$F$7:$F$26,$C10,'Root Configurations'!$V$7:$V$26,"RELEASED")=1,"RELEASED","HOLD")</x:f>
        <x:v>HOLD</x:v>
      </x:c>
      <x:c r="F10" s="2" t="str">
        <x:f>IF(COUNTIFS('Root Configurations'!$E$7:$E$26,F$6,'Root Configurations'!$F$7:$F$26,$C10,'Root Configurations'!$V$7:$V$26,"RELEASED")=1,"RELEASED","HOLD")</x:f>
        <x:v>HOLD</x:v>
      </x:c>
      <x:c r="G10" s="2" t="str">
        <x:f>Controls!D28</x:f>
        <x:v>HOLD</x:v>
      </x:c>
      <x:c r="H10" s="2" t="str">
        <x:f>IF(COUNTIFS('Root Configurations'!$E$7:$E$26,H$6,'Root Configurations'!$F$7:$F$26,$C10,'Root Configurations'!$V$7:$V$26,"RELEASED")=1,"RELEASED","HOLD")</x:f>
        <x:v>HOLD</x:v>
      </x:c>
      <x:c r="I10" s="2" t="str">
        <x:f>IF(COUNTIFS('Root Configurations'!$E$7:$E$26,I$6,'Root Configurations'!$F$7:$F$26,$C10,'Root Configurations'!$V$7:$V$26,"RELEASED")=1,"RELEASED","HOLD")</x:f>
        <x:v>HOLD</x:v>
      </x:c>
      <x:c r="J10" s="2" t="n">
        <x:f>COUNTIF(D10:I10,"RELEASED")</x:f>
        <x:v>0</x:v>
      </x:c>
      <x:c r="K10" s="2" t="n">
        <x:v>6</x:v>
      </x:c>
      <x:c r="L10" s="2" t="str">
        <x:f>IF(J10=K10,"READY","BLOCKED")</x:f>
        <x:v>BLOCKED</x:v>
      </x:c>
      <x:c r="M10" s="48"/>
      <x:c r="N10" s="48"/>
      <x:c r="O10" s="48"/>
      <x:c r="P10" s="48"/>
      <x:c r="Q10" s="48"/>
      <x:c r="R10" s="48"/>
      <x:c r="S10" s="48"/>
      <x:c r="T10" s="48"/>
      <x:c r="U10" s="48"/>
      <x:c r="V10" s="48"/>
      <x:c r="W10" s="48"/>
    </x:row>
    <x:row r="11"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48"/>
      <x:c r="N11" s="48"/>
      <x:c r="O11" s="48"/>
      <x:c r="P11" s="48"/>
      <x:c r="Q11" s="48"/>
      <x:c r="R11" s="48"/>
      <x:c r="S11" s="48"/>
      <x:c r="T11" s="48"/>
      <x:c r="U11" s="48"/>
      <x:c r="V11" s="48"/>
      <x:c r="W11" s="48"/>
    </x:row>
    <x:row r="12"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48"/>
      <x:c r="N12" s="48"/>
      <x:c r="O12" s="48"/>
      <x:c r="P12" s="48"/>
      <x:c r="Q12" s="48"/>
      <x:c r="R12" s="48"/>
      <x:c r="S12" s="48"/>
      <x:c r="T12" s="48"/>
      <x:c r="U12" s="48"/>
      <x:c r="V12" s="48"/>
      <x:c r="W12" s="48"/>
    </x:row>
    <x:row r="13">
      <x:c r="C13" s="11" t="str">
        <x:v>Program measure</x:v>
      </x:c>
      <x:c r="D13" s="12" t="str">
        <x:v>Observed</x:v>
      </x:c>
      <x:c r="E13" s="12" t="str">
        <x:v>Required</x:v>
      </x:c>
      <x:c r="F13" s="13" t="str">
        <x:v>State</x:v>
      </x:c>
      <x:c r="G13" s="2"/>
      <x:c r="H13" s="2"/>
      <x:c r="I13" s="2"/>
      <x:c r="J13" s="2"/>
      <x:c r="K13" s="2"/>
      <x:c r="L13" s="2"/>
      <x:c r="M13" s="48"/>
      <x:c r="N13" s="48"/>
      <x:c r="O13" s="48"/>
      <x:c r="P13" s="48"/>
      <x:c r="Q13" s="48"/>
      <x:c r="R13" s="48"/>
      <x:c r="S13" s="48"/>
      <x:c r="T13" s="48"/>
      <x:c r="U13" s="48"/>
      <x:c r="V13" s="48"/>
      <x:c r="W13" s="48"/>
    </x:row>
    <x:row r="14">
      <x:c r="C14" s="2" t="str">
        <x:v>Released non-lifeline roots</x:v>
      </x:c>
      <x:c r="D14" s="2" t="n">
        <x:f>COUNTIF('Root Configurations'!V7:V26,"RELEASED")</x:f>
        <x:v>0</x:v>
      </x:c>
      <x:c r="E14" s="2" t="n">
        <x:v>20</x:v>
      </x:c>
      <x:c r="F14" s="2" t="str">
        <x:f>IF(D14=E14,"PASS","BLOCKED")</x:f>
        <x:v>BLOCKED</x:v>
      </x:c>
      <x:c r="G14" s="2"/>
      <x:c r="H14" s="2"/>
      <x:c r="I14" s="2"/>
      <x:c r="J14" s="2"/>
      <x:c r="K14" s="2"/>
      <x:c r="L14" s="2"/>
      <x:c r="M14" s="48"/>
      <x:c r="N14" s="48"/>
      <x:c r="O14" s="48"/>
      <x:c r="P14" s="48"/>
      <x:c r="Q14" s="48"/>
      <x:c r="R14" s="48"/>
      <x:c r="S14" s="48"/>
      <x:c r="T14" s="48"/>
      <x:c r="U14" s="48"/>
      <x:c r="V14" s="48"/>
      <x:c r="W14" s="48"/>
    </x:row>
    <x:row r="15">
      <x:c r="C15" s="2" t="str">
        <x:v>Released lifeline roots</x:v>
      </x:c>
      <x:c r="D15" s="2" t="n">
        <x:f>COUNTIF(Controls!D25:D28,"RELEASED")</x:f>
        <x:v>0</x:v>
      </x:c>
      <x:c r="E15" s="2" t="n">
        <x:v>4</x:v>
      </x:c>
      <x:c r="F15" s="2" t="str">
        <x:f>IF(D15=E15,"PASS","BLOCKED")</x:f>
        <x:v>BLOCKED</x:v>
      </x:c>
      <x:c r="G15" s="2"/>
      <x:c r="H15" s="2"/>
      <x:c r="I15" s="2"/>
      <x:c r="J15" s="2"/>
      <x:c r="K15" s="2"/>
      <x:c r="L15" s="2"/>
      <x:c r="M15" s="48"/>
      <x:c r="N15" s="48"/>
      <x:c r="O15" s="48"/>
      <x:c r="P15" s="48"/>
      <x:c r="Q15" s="48"/>
      <x:c r="R15" s="48"/>
      <x:c r="S15" s="48"/>
      <x:c r="T15" s="48"/>
      <x:c r="U15" s="48"/>
      <x:c r="V15" s="48"/>
      <x:c r="W15" s="48"/>
    </x:row>
    <x:row r="16">
      <x:c r="C16" s="2" t="str">
        <x:v>Ready stacks</x:v>
      </x:c>
      <x:c r="D16" s="2" t="n">
        <x:f>COUNTIF(L7:L10,"READY")</x:f>
        <x:v>0</x:v>
      </x:c>
      <x:c r="E16" s="2" t="n">
        <x:v>4</x:v>
      </x:c>
      <x:c r="F16" s="2" t="str">
        <x:f>IF(D16=E16,"PASS","BLOCKED")</x:f>
        <x:v>BLOCKED</x:v>
      </x:c>
      <x:c r="G16" s="2"/>
      <x:c r="H16" s="2"/>
      <x:c r="I16" s="2"/>
      <x:c r="J16" s="2"/>
      <x:c r="K16" s="2"/>
      <x:c r="L16" s="2"/>
      <x:c r="M16" s="48"/>
      <x:c r="N16" s="48"/>
      <x:c r="O16" s="48"/>
      <x:c r="P16" s="48"/>
      <x:c r="Q16" s="48"/>
      <x:c r="R16" s="48"/>
      <x:c r="S16" s="48"/>
      <x:c r="T16" s="48"/>
      <x:c r="U16" s="48"/>
      <x:c r="V16" s="48"/>
      <x:c r="W16" s="48"/>
    </x:row>
    <x:row r="17">
      <x:c r="C17" s="2" t="str">
        <x:v>Qualified seams</x:v>
      </x:c>
      <x:c r="D17" s="2" t="n">
        <x:f>Controls!D19</x:f>
        <x:v>0</x:v>
      </x:c>
      <x:c r="E17" s="2" t="n">
        <x:v>4</x:v>
      </x:c>
      <x:c r="F17" s="2" t="str">
        <x:f>IF(D17&gt;=E17,"PASS","BLOCKED")</x:f>
        <x:v>BLOCKED</x:v>
      </x:c>
      <x:c r="G17" s="2"/>
      <x:c r="H17" s="2"/>
      <x:c r="I17" s="2"/>
      <x:c r="J17" s="2"/>
      <x:c r="K17" s="2"/>
      <x:c r="L17" s="2"/>
      <x:c r="M17" s="48"/>
      <x:c r="N17" s="48"/>
      <x:c r="O17" s="48"/>
      <x:c r="P17" s="48"/>
      <x:c r="Q17" s="48"/>
      <x:c r="R17" s="48"/>
      <x:c r="S17" s="48"/>
      <x:c r="T17" s="48"/>
      <x:c r="U17" s="48"/>
      <x:c r="V17" s="48"/>
      <x:c r="W17" s="48"/>
    </x:row>
    <x:row r="18">
      <x:c r="C18" s="2" t="str">
        <x:v>Kernel exceptions</x:v>
      </x:c>
      <x:c r="D18" s="2" t="n">
        <x:f>Controls!D20</x:f>
        <x:v>0</x:v>
      </x:c>
      <x:c r="E18" s="2" t="n">
        <x:v>0</x:v>
      </x:c>
      <x:c r="F18" s="2" t="str">
        <x:f>IF(D18=E18,"PASS","BLOCKED")</x:f>
        <x:v>PASS</x:v>
      </x:c>
      <x:c r="G18" s="2"/>
      <x:c r="H18" s="2"/>
      <x:c r="I18" s="2"/>
      <x:c r="J18" s="2"/>
      <x:c r="K18" s="2"/>
      <x:c r="L18" s="2"/>
      <x:c r="M18" s="48"/>
      <x:c r="N18" s="48"/>
      <x:c r="O18" s="48"/>
      <x:c r="P18" s="48"/>
      <x:c r="Q18" s="48"/>
      <x:c r="R18" s="48"/>
      <x:c r="S18" s="48"/>
      <x:c r="T18" s="48"/>
      <x:c r="U18" s="48"/>
      <x:c r="V18" s="48"/>
      <x:c r="W18" s="48"/>
    </x:row>
    <x:row r="19">
      <x:c r="C19" s="2" t="str">
        <x:v>Ancestry collisions</x:v>
      </x:c>
      <x:c r="D19" s="2" t="n">
        <x:f>Controls!D21</x:f>
        <x:v>0</x:v>
      </x:c>
      <x:c r="E19" s="2" t="n">
        <x:v>0</x:v>
      </x:c>
      <x:c r="F19" s="2" t="str">
        <x:f>IF(D19=E19,"PASS","BLOCKED")</x:f>
        <x:v>PASS</x:v>
      </x:c>
      <x:c r="G19" s="2"/>
      <x:c r="H19" s="2"/>
      <x:c r="I19" s="2"/>
      <x:c r="J19" s="2"/>
      <x:c r="K19" s="2"/>
      <x:c r="L19" s="2"/>
      <x:c r="M19" s="48"/>
      <x:c r="N19" s="48"/>
      <x:c r="O19" s="48"/>
      <x:c r="P19" s="48"/>
      <x:c r="Q19" s="48"/>
      <x:c r="R19" s="48"/>
      <x:c r="S19" s="48"/>
      <x:c r="T19" s="48"/>
      <x:c r="U19" s="48"/>
      <x:c r="V19" s="48"/>
      <x:c r="W19" s="48"/>
    </x:row>
    <x:row r="20">
      <x:c r="C20" s="2" t="str">
        <x:v>Cascadia G4 entry</x:v>
      </x:c>
      <x:c r="D20" s="2" t="str">
        <x:f>IF(AND(D14=20,D15=4,D16=4,D17&gt;=4,D18=0,D19=0),"ELIGIBLE","BLOCKED")</x:f>
        <x:v>BLOCKED</x:v>
      </x:c>
      <x:c r="E20" s="2" t="str">
        <x:v>All conjunctive</x:v>
      </x:c>
      <x:c r="F20" s="2" t="str">
        <x:f>D20</x:f>
        <x:v>BLOCKED</x:v>
      </x:c>
      <x:c r="G20" s="2"/>
      <x:c r="H20" s="2"/>
      <x:c r="I20" s="2"/>
      <x:c r="J20" s="2"/>
      <x:c r="K20" s="2"/>
      <x:c r="L20" s="2"/>
      <x:c r="M20" s="48"/>
      <x:c r="N20" s="48"/>
      <x:c r="O20" s="48"/>
      <x:c r="P20" s="48"/>
      <x:c r="Q20" s="48"/>
      <x:c r="R20" s="48"/>
      <x:c r="S20" s="48"/>
      <x:c r="T20" s="48"/>
      <x:c r="U20" s="48"/>
      <x:c r="V20" s="48"/>
      <x:c r="W20" s="48"/>
    </x:row>
    <x:row r="21"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48"/>
      <x:c r="N21" s="48"/>
      <x:c r="O21" s="48"/>
      <x:c r="P21" s="48"/>
      <x:c r="Q21" s="48"/>
      <x:c r="R21" s="48"/>
      <x:c r="S21" s="48"/>
      <x:c r="T21" s="48"/>
      <x:c r="U21" s="48"/>
      <x:c r="V21" s="48"/>
      <x:c r="W21" s="48"/>
    </x:row>
    <x:row r="22"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48"/>
      <x:c r="N22" s="48"/>
      <x:c r="O22" s="48"/>
      <x:c r="P22" s="48"/>
      <x:c r="Q22" s="48"/>
      <x:c r="R22" s="48"/>
      <x:c r="S22" s="48"/>
      <x:c r="T22" s="48"/>
      <x:c r="U22" s="48"/>
      <x:c r="V22" s="48"/>
      <x:c r="W22" s="48"/>
    </x:row>
    <x:row r="23"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48"/>
      <x:c r="N23" s="48"/>
      <x:c r="O23" s="48"/>
      <x:c r="P23" s="48"/>
      <x:c r="Q23" s="48"/>
      <x:c r="R23" s="48"/>
      <x:c r="S23" s="48"/>
      <x:c r="T23" s="48"/>
      <x:c r="U23" s="48"/>
      <x:c r="V23" s="48"/>
      <x:c r="W23" s="48"/>
    </x:row>
    <x:row r="24"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48"/>
      <x:c r="N24" s="48"/>
      <x:c r="O24" s="48"/>
      <x:c r="P24" s="48"/>
      <x:c r="Q24" s="48"/>
      <x:c r="R24" s="48"/>
      <x:c r="S24" s="48"/>
      <x:c r="T24" s="48"/>
      <x:c r="U24" s="48"/>
      <x:c r="V24" s="48"/>
      <x:c r="W24" s="48"/>
    </x:row>
    <x:row r="25"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48"/>
      <x:c r="N25" s="48"/>
      <x:c r="O25" s="48"/>
      <x:c r="P25" s="48"/>
      <x:c r="Q25" s="48"/>
      <x:c r="R25" s="48"/>
      <x:c r="S25" s="48"/>
      <x:c r="T25" s="48"/>
      <x:c r="U25" s="48"/>
      <x:c r="V25" s="48"/>
      <x:c r="W25" s="48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3" max="3" width="33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C1" s="2"/>
      <x:c r="D1" s="2"/>
      <x:c r="E1" s="2"/>
      <x:c r="F1" s="2"/>
      <x:c r="G1" s="2"/>
      <x:c r="H1" s="2"/>
      <x:c r="I1" s="2"/>
      <x:c r="J1" s="2"/>
      <x:c r="K1" s="48"/>
      <x:c r="L1" s="48"/>
      <x:c r="M1" s="48"/>
      <x:c r="N1" s="48"/>
      <x:c r="O1" s="48"/>
      <x:c r="P1" s="48"/>
      <x:c r="Q1" s="48"/>
      <x:c r="R1" s="48"/>
      <x:c r="S1" s="48"/>
      <x:c r="T1" s="48"/>
      <x:c r="U1" s="48"/>
      <x:c r="V1" s="48"/>
      <x:c r="W1" s="48"/>
    </x:row>
    <x:row r="2">
      <x:c r="C2" s="3" t="str">
        <x:v>Non-lifeline G0-G3 option authority</x:v>
      </x:c>
      <x:c r="D2" s="2"/>
      <x:c r="E2" s="2"/>
      <x:c r="F2" s="2"/>
      <x:c r="G2" s="2"/>
      <x:c r="H2" s="2"/>
      <x:c r="I2" s="2"/>
      <x:c r="J2" s="2"/>
      <x:c r="K2" s="48"/>
      <x:c r="L2" s="48"/>
      <x:c r="M2" s="48"/>
      <x:c r="N2" s="48"/>
      <x:c r="O2" s="48"/>
      <x:c r="P2" s="48"/>
      <x:c r="Q2" s="48"/>
      <x:c r="R2" s="48"/>
      <x:c r="S2" s="48"/>
      <x:c r="T2" s="48"/>
      <x:c r="U2" s="48"/>
      <x:c r="V2" s="48"/>
      <x:c r="W2" s="48"/>
    </x:row>
    <x:row r="3">
      <x:c r="C3" s="5" t="str">
        <x:v>Reservations keep twenty independent learning paths alive; they do not price platforms.</x:v>
      </x:c>
      <x:c r="D3" s="6"/>
      <x:c r="E3" s="6"/>
      <x:c r="F3" s="6"/>
      <x:c r="G3" s="6"/>
      <x:c r="H3" s="6"/>
      <x:c r="I3" s="6"/>
      <x:c r="J3" s="6"/>
      <x:c r="K3" s="49"/>
      <x:c r="L3" s="49"/>
      <x:c r="M3" s="49"/>
      <x:c r="N3" s="49"/>
      <x:c r="O3" s="49"/>
      <x:c r="P3" s="49"/>
      <x:c r="Q3" s="49"/>
      <x:c r="R3" s="49"/>
      <x:c r="S3" s="49"/>
      <x:c r="T3" s="49"/>
      <x:c r="U3" s="49"/>
      <x:c r="V3" s="49"/>
      <x:c r="W3" s="49"/>
    </x:row>
    <x:row r="4">
      <x:c r="C4" s="2"/>
      <x:c r="D4" s="2"/>
      <x:c r="E4" s="2"/>
      <x:c r="F4" s="2"/>
      <x:c r="G4" s="2"/>
      <x:c r="H4" s="2"/>
      <x:c r="I4" s="2"/>
      <x:c r="J4" s="2"/>
      <x:c r="K4" s="48"/>
      <x:c r="L4" s="48"/>
      <x:c r="M4" s="48"/>
      <x:c r="N4" s="48"/>
      <x:c r="O4" s="48"/>
      <x:c r="P4" s="48"/>
      <x:c r="Q4" s="48"/>
      <x:c r="R4" s="48"/>
      <x:c r="S4" s="48"/>
      <x:c r="T4" s="48"/>
      <x:c r="U4" s="48"/>
      <x:c r="V4" s="48"/>
      <x:c r="W4" s="48"/>
    </x:row>
    <x:row r="5">
      <x:c r="C5" s="2"/>
      <x:c r="D5" s="2"/>
      <x:c r="E5" s="2"/>
      <x:c r="F5" s="2"/>
      <x:c r="G5" s="2"/>
      <x:c r="H5" s="2"/>
      <x:c r="I5" s="2"/>
      <x:c r="J5" s="2"/>
      <x:c r="K5" s="48"/>
      <x:c r="L5" s="48"/>
      <x:c r="M5" s="48"/>
      <x:c r="N5" s="48"/>
      <x:c r="O5" s="48"/>
      <x:c r="P5" s="48"/>
      <x:c r="Q5" s="48"/>
      <x:c r="R5" s="48"/>
      <x:c r="S5" s="48"/>
      <x:c r="T5" s="48"/>
      <x:c r="U5" s="48"/>
      <x:c r="V5" s="48"/>
      <x:c r="W5" s="48"/>
    </x:row>
    <x:row r="6">
      <x:c r="C6" s="11" t="str">
        <x:v>System</x:v>
      </x:c>
      <x:c r="D6" s="12" t="str">
        <x:v>Allocation USD B</x:v>
      </x:c>
      <x:c r="E6" s="12" t="str">
        <x:v>Roots</x:v>
      </x:c>
      <x:c r="F6" s="12" t="str">
        <x:v>Per-root option USD B</x:v>
      </x:c>
      <x:c r="G6" s="12" t="str">
        <x:v>Article units</x:v>
      </x:c>
      <x:c r="H6" s="12" t="str">
        <x:v>Valid events</x:v>
      </x:c>
      <x:c r="I6" s="12" t="str">
        <x:v>Packages</x:v>
      </x:c>
      <x:c r="J6" s="13" t="str">
        <x:v>Evidence state</x:v>
      </x:c>
      <x:c r="K6" s="48"/>
      <x:c r="L6" s="48"/>
      <x:c r="M6" s="48"/>
      <x:c r="N6" s="48"/>
      <x:c r="O6" s="48"/>
      <x:c r="P6" s="48"/>
      <x:c r="Q6" s="48"/>
      <x:c r="R6" s="48"/>
      <x:c r="S6" s="48"/>
      <x:c r="T6" s="48"/>
      <x:c r="U6" s="48"/>
      <x:c r="V6" s="48"/>
      <x:c r="W6" s="48"/>
    </x:row>
    <x:row r="7">
      <x:c r="C7" s="2" t="str">
        <x:v>MS-ET</x:v>
      </x:c>
      <x:c r="D7" s="39" t="n">
        <x:v>44.51169804004222</x:v>
      </x:c>
      <x:c r="E7" s="2" t="n">
        <x:v>4</x:v>
      </x:c>
      <x:c r="F7" s="32" t="n">
        <x:f>ROUND(D7/E7,MAX(0,2-INT(LOG10(ABS(D7/E7)))))</x:f>
        <x:v>11.1</x:v>
      </x:c>
      <x:c r="G7" s="2" t="n">
        <x:f>SUMIF('Article Evidence'!$D$7:$D$26,C7,'Article Evidence'!$I$7:$I$26)</x:f>
        <x:v>244</x:v>
      </x:c>
      <x:c r="H7" s="2" t="n">
        <x:f>SUMIF('Article Evidence'!$D$7:$D$26,C7,'Article Evidence'!$J$7:$J$26)</x:f>
        <x:v>168</x:v>
      </x:c>
      <x:c r="I7" s="2" t="n">
        <x:f>SUMIF('Article Evidence'!$D$7:$D$26,C7,'Article Evidence'!$L$7:$L$26)</x:f>
        <x:v>720</x:v>
      </x:c>
      <x:c r="J7" s="2" t="str">
        <x:v>SOURCE-EMPTY</x:v>
      </x:c>
      <x:c r="K7" s="48"/>
      <x:c r="L7" s="48"/>
      <x:c r="M7" s="48"/>
      <x:c r="N7" s="48"/>
      <x:c r="O7" s="48"/>
      <x:c r="P7" s="48"/>
      <x:c r="Q7" s="48"/>
      <x:c r="R7" s="48"/>
      <x:c r="S7" s="48"/>
      <x:c r="T7" s="48"/>
      <x:c r="U7" s="48"/>
      <x:c r="V7" s="48"/>
      <x:c r="W7" s="48"/>
    </x:row>
    <x:row r="8">
      <x:c r="C8" s="2" t="str">
        <x:v>MS-CT</x:v>
      </x:c>
      <x:c r="D8" s="39" t="n">
        <x:v>45.93639930929069</x:v>
      </x:c>
      <x:c r="E8" s="2" t="n">
        <x:v>4</x:v>
      </x:c>
      <x:c r="F8" s="32" t="n">
        <x:f>ROUND(D8/E8,MAX(0,2-INT(LOG10(ABS(D8/E8)))))</x:f>
        <x:v>11.5</x:v>
      </x:c>
      <x:c r="G8" s="2" t="n">
        <x:f>SUMIF('Article Evidence'!$D$7:$D$26,C8,'Article Evidence'!$I$7:$I$26)</x:f>
        <x:v>208</x:v>
      </x:c>
      <x:c r="H8" s="2" t="n">
        <x:f>SUMIF('Article Evidence'!$D$7:$D$26,C8,'Article Evidence'!$J$7:$J$26)</x:f>
        <x:v>168</x:v>
      </x:c>
      <x:c r="I8" s="2" t="n">
        <x:f>SUMIF('Article Evidence'!$D$7:$D$26,C8,'Article Evidence'!$L$7:$L$26)</x:f>
        <x:v>684</x:v>
      </x:c>
      <x:c r="J8" s="2" t="str">
        <x:v>SOURCE-EMPTY</x:v>
      </x:c>
      <x:c r="K8" s="48"/>
      <x:c r="L8" s="48"/>
      <x:c r="M8" s="48"/>
      <x:c r="N8" s="48"/>
      <x:c r="O8" s="48"/>
      <x:c r="P8" s="48"/>
      <x:c r="Q8" s="48"/>
      <x:c r="R8" s="48"/>
      <x:c r="S8" s="48"/>
      <x:c r="T8" s="48"/>
      <x:c r="U8" s="48"/>
      <x:c r="V8" s="48"/>
      <x:c r="W8" s="48"/>
    </x:row>
    <x:row r="9">
      <x:c r="C9" s="2" t="str">
        <x:v>MS-HC</x:v>
      </x:c>
      <x:c r="D9" s="39" t="n">
        <x:v>27.323978086261516</x:v>
      </x:c>
      <x:c r="E9" s="2" t="n">
        <x:v>4</x:v>
      </x:c>
      <x:c r="F9" s="32" t="n">
        <x:f>ROUND(D9/E9,MAX(0,2-INT(LOG10(ABS(D9/E9)))))</x:f>
        <x:v>6.83</x:v>
      </x:c>
      <x:c r="G9" s="2" t="n">
        <x:f>SUMIF('Article Evidence'!$D$7:$D$26,C9,'Article Evidence'!$I$7:$I$26)</x:f>
        <x:v>124</x:v>
      </x:c>
      <x:c r="H9" s="2" t="n">
        <x:f>SUMIF('Article Evidence'!$D$7:$D$26,C9,'Article Evidence'!$J$7:$J$26)</x:f>
        <x:v>168</x:v>
      </x:c>
      <x:c r="I9" s="2" t="n">
        <x:f>SUMIF('Article Evidence'!$D$7:$D$26,C9,'Article Evidence'!$L$7:$L$26)</x:f>
        <x:v>592</x:v>
      </x:c>
      <x:c r="J9" s="2" t="str">
        <x:v>SOURCE-EMPTY</x:v>
      </x:c>
      <x:c r="K9" s="48"/>
      <x:c r="L9" s="48"/>
      <x:c r="M9" s="48"/>
      <x:c r="N9" s="48"/>
      <x:c r="O9" s="48"/>
      <x:c r="P9" s="48"/>
      <x:c r="Q9" s="48"/>
      <x:c r="R9" s="48"/>
      <x:c r="S9" s="48"/>
      <x:c r="T9" s="48"/>
      <x:c r="U9" s="48"/>
      <x:c r="V9" s="48"/>
      <x:c r="W9" s="48"/>
    </x:row>
    <x:row r="10">
      <x:c r="C10" s="2" t="str">
        <x:v>MS-HU</x:v>
      </x:c>
      <x:c r="D10" s="39" t="n">
        <x:v>76.55088074487006</x:v>
      </x:c>
      <x:c r="E10" s="2" t="n">
        <x:v>4</x:v>
      </x:c>
      <x:c r="F10" s="32" t="n">
        <x:f>ROUND(D10/E10,MAX(0,2-INT(LOG10(ABS(D10/E10)))))</x:f>
        <x:v>19.1</x:v>
      </x:c>
      <x:c r="G10" s="2" t="n">
        <x:f>SUMIF('Article Evidence'!$D$7:$D$26,C10,'Article Evidence'!$I$7:$I$26)</x:f>
        <x:v>448</x:v>
      </x:c>
      <x:c r="H10" s="2" t="n">
        <x:f>SUMIF('Article Evidence'!$D$7:$D$26,C10,'Article Evidence'!$J$7:$J$26)</x:f>
        <x:v>168</x:v>
      </x:c>
      <x:c r="I10" s="2" t="n">
        <x:f>SUMIF('Article Evidence'!$D$7:$D$26,C10,'Article Evidence'!$L$7:$L$26)</x:f>
        <x:v>924</x:v>
      </x:c>
      <x:c r="J10" s="2" t="str">
        <x:v>SOURCE-EMPTY</x:v>
      </x:c>
      <x:c r="K10" s="48"/>
      <x:c r="L10" s="48"/>
      <x:c r="M10" s="48"/>
      <x:c r="N10" s="48"/>
      <x:c r="O10" s="48"/>
      <x:c r="P10" s="48"/>
      <x:c r="Q10" s="48"/>
      <x:c r="R10" s="48"/>
      <x:c r="S10" s="48"/>
      <x:c r="T10" s="48"/>
      <x:c r="U10" s="48"/>
      <x:c r="V10" s="48"/>
      <x:c r="W10" s="48"/>
    </x:row>
    <x:row r="11">
      <x:c r="C11" s="2" t="str">
        <x:v>MS-RT</x:v>
      </x:c>
      <x:c r="D11" s="39" t="n">
        <x:v>44.700531046712975</x:v>
      </x:c>
      <x:c r="E11" s="2" t="n">
        <x:v>4</x:v>
      </x:c>
      <x:c r="F11" s="32" t="n">
        <x:f>ROUND(D11/E11,MAX(0,2-INT(LOG10(ABS(D11/E11)))))</x:f>
        <x:v>11.2</x:v>
      </x:c>
      <x:c r="G11" s="2" t="n">
        <x:f>SUMIF('Article Evidence'!$D$7:$D$26,C11,'Article Evidence'!$I$7:$I$26)</x:f>
        <x:v>244</x:v>
      </x:c>
      <x:c r="H11" s="2" t="n">
        <x:f>SUMIF('Article Evidence'!$D$7:$D$26,C11,'Article Evidence'!$J$7:$J$26)</x:f>
        <x:v>168</x:v>
      </x:c>
      <x:c r="I11" s="2" t="n">
        <x:f>SUMIF('Article Evidence'!$D$7:$D$26,C11,'Article Evidence'!$L$7:$L$26)</x:f>
        <x:v>720</x:v>
      </x:c>
      <x:c r="J11" s="2" t="str">
        <x:v>SOURCE-EMPTY</x:v>
      </x:c>
      <x:c r="K11" s="48"/>
      <x:c r="L11" s="48"/>
      <x:c r="M11" s="48"/>
      <x:c r="N11" s="48"/>
      <x:c r="O11" s="48"/>
      <x:c r="P11" s="48"/>
      <x:c r="Q11" s="48"/>
      <x:c r="R11" s="48"/>
      <x:c r="S11" s="48"/>
      <x:c r="T11" s="48"/>
      <x:c r="U11" s="48"/>
      <x:c r="V11" s="48"/>
      <x:c r="W11" s="48"/>
    </x:row>
    <x:row r="12">
      <x:c r="C12" s="2"/>
      <x:c r="D12" s="2"/>
      <x:c r="E12" s="2"/>
      <x:c r="F12" s="2"/>
      <x:c r="G12" s="2"/>
      <x:c r="H12" s="2"/>
      <x:c r="I12" s="2"/>
      <x:c r="J12" s="2"/>
      <x:c r="K12" s="48"/>
      <x:c r="L12" s="48"/>
      <x:c r="M12" s="48"/>
      <x:c r="N12" s="48"/>
      <x:c r="O12" s="48"/>
      <x:c r="P12" s="48"/>
      <x:c r="Q12" s="48"/>
      <x:c r="R12" s="48"/>
      <x:c r="S12" s="48"/>
      <x:c r="T12" s="48"/>
      <x:c r="U12" s="48"/>
      <x:c r="V12" s="48"/>
      <x:c r="W12" s="48"/>
    </x:row>
    <x:row r="13">
      <x:c r="C13" s="36" t="str">
        <x:v>Total</x:v>
      </x:c>
      <x:c r="D13" s="40" t="n">
        <x:f>SUM(D7:D11)</x:f>
        <x:v>239.02348722717744</x:v>
      </x:c>
      <x:c r="E13" s="41" t="n">
        <x:f>SUM(E7:E11)</x:f>
        <x:v>20</x:v>
      </x:c>
      <x:c r="F13" s="36" t="str">
        <x:v>—</x:v>
      </x:c>
      <x:c r="G13" s="41" t="n">
        <x:f>SUM(G7:G11)</x:f>
        <x:v>1268</x:v>
      </x:c>
      <x:c r="H13" s="41" t="n">
        <x:f>SUM(H7:H11)</x:f>
        <x:v>840</x:v>
      </x:c>
      <x:c r="I13" s="41" t="n">
        <x:f>SUM(I7:I11)</x:f>
        <x:v>3640</x:v>
      </x:c>
      <x:c r="J13" s="36"/>
      <x:c r="K13" s="48"/>
      <x:c r="L13" s="48"/>
      <x:c r="M13" s="48"/>
      <x:c r="N13" s="48"/>
      <x:c r="O13" s="48"/>
      <x:c r="P13" s="48"/>
      <x:c r="Q13" s="48"/>
      <x:c r="R13" s="48"/>
      <x:c r="S13" s="48"/>
      <x:c r="T13" s="48"/>
      <x:c r="U13" s="48"/>
      <x:c r="V13" s="48"/>
      <x:c r="W13" s="48"/>
    </x:row>
    <x:row r="14">
      <x:c r="C14" s="2"/>
      <x:c r="D14" s="2"/>
      <x:c r="E14" s="2"/>
      <x:c r="F14" s="2"/>
      <x:c r="G14" s="2"/>
      <x:c r="H14" s="2"/>
      <x:c r="I14" s="2"/>
      <x:c r="J14" s="2"/>
      <x:c r="K14" s="48"/>
      <x:c r="L14" s="48"/>
      <x:c r="M14" s="48"/>
      <x:c r="N14" s="48"/>
      <x:c r="O14" s="48"/>
      <x:c r="P14" s="48"/>
      <x:c r="Q14" s="48"/>
      <x:c r="R14" s="48"/>
      <x:c r="S14" s="48"/>
      <x:c r="T14" s="48"/>
      <x:c r="U14" s="48"/>
      <x:c r="V14" s="48"/>
      <x:c r="W14" s="48"/>
    </x:row>
    <x:row r="15">
      <x:c r="C15" s="2"/>
      <x:c r="D15" s="2"/>
      <x:c r="E15" s="2"/>
      <x:c r="F15" s="2"/>
      <x:c r="G15" s="2"/>
      <x:c r="H15" s="2"/>
      <x:c r="I15" s="2"/>
      <x:c r="J15" s="2"/>
      <x:c r="K15" s="48"/>
      <x:c r="L15" s="48"/>
      <x:c r="M15" s="48"/>
      <x:c r="N15" s="48"/>
      <x:c r="O15" s="48"/>
      <x:c r="P15" s="48"/>
      <x:c r="Q15" s="48"/>
      <x:c r="R15" s="48"/>
      <x:c r="S15" s="48"/>
      <x:c r="T15" s="48"/>
      <x:c r="U15" s="48"/>
      <x:c r="V15" s="48"/>
      <x:c r="W15" s="48"/>
    </x:row>
    <x:row r="16">
      <x:c r="C16" s="2"/>
      <x:c r="D16" s="2"/>
      <x:c r="E16" s="2"/>
      <x:c r="F16" s="2"/>
      <x:c r="G16" s="2"/>
      <x:c r="H16" s="2"/>
      <x:c r="I16" s="2"/>
      <x:c r="J16" s="2"/>
      <x:c r="K16" s="48"/>
      <x:c r="L16" s="48"/>
      <x:c r="M16" s="48"/>
      <x:c r="N16" s="48"/>
      <x:c r="O16" s="48"/>
      <x:c r="P16" s="48"/>
      <x:c r="Q16" s="48"/>
      <x:c r="R16" s="48"/>
      <x:c r="S16" s="48"/>
      <x:c r="T16" s="48"/>
      <x:c r="U16" s="48"/>
      <x:c r="V16" s="48"/>
      <x:c r="W16" s="48"/>
    </x:row>
    <x:row r="17">
      <x:c r="C17" s="11" t="str">
        <x:v>Workstream</x:v>
      </x:c>
      <x:c r="D17" s="12" t="str">
        <x:v>Share</x:v>
      </x:c>
      <x:c r="E17" s="12" t="str">
        <x:v>Allocation USD B</x:v>
      </x:c>
      <x:c r="F17" s="13" t="str">
        <x:v>Evidence state</x:v>
      </x:c>
      <x:c r="G17" s="2"/>
      <x:c r="H17" s="2"/>
      <x:c r="I17" s="2"/>
      <x:c r="J17" s="2"/>
      <x:c r="K17" s="48"/>
      <x:c r="L17" s="48"/>
      <x:c r="M17" s="48"/>
      <x:c r="N17" s="48"/>
      <x:c r="O17" s="48"/>
      <x:c r="P17" s="48"/>
      <x:c r="Q17" s="48"/>
      <x:c r="R17" s="48"/>
      <x:c r="S17" s="48"/>
      <x:c r="T17" s="48"/>
      <x:c r="U17" s="48"/>
      <x:c r="V17" s="48"/>
      <x:c r="W17" s="48"/>
    </x:row>
    <x:row r="18">
      <x:c r="C18" s="2" t="str">
        <x:v>Decisive physics</x:v>
      </x:c>
      <x:c r="D18" s="26" t="n">
        <x:v>0.35</x:v>
      </x:c>
      <x:c r="E18" s="39" t="n">
        <x:f>$D$13*D18</x:f>
        <x:v>83.65822052951209</x:v>
      </x:c>
      <x:c r="F18" s="2" t="str">
        <x:v>OPEN</x:v>
      </x:c>
      <x:c r="G18" s="2"/>
      <x:c r="H18" s="2"/>
      <x:c r="I18" s="2"/>
      <x:c r="J18" s="2"/>
      <x:c r="K18" s="48"/>
      <x:c r="L18" s="48"/>
      <x:c r="M18" s="48"/>
      <x:c r="N18" s="48"/>
      <x:c r="O18" s="48"/>
      <x:c r="P18" s="48"/>
      <x:c r="Q18" s="48"/>
      <x:c r="R18" s="48"/>
      <x:c r="S18" s="48"/>
      <x:c r="T18" s="48"/>
      <x:c r="U18" s="48"/>
      <x:c r="V18" s="48"/>
      <x:c r="W18" s="48"/>
    </x:row>
    <x:row r="19">
      <x:c r="C19" s="2" t="str">
        <x:v>Complete service article</x:v>
      </x:c>
      <x:c r="D19" s="26" t="n">
        <x:v>0.3</x:v>
      </x:c>
      <x:c r="E19" s="39" t="n">
        <x:f>$D$13*D19</x:f>
        <x:v>71.70704616815323</x:v>
      </x:c>
      <x:c r="F19" s="2" t="str">
        <x:v>OPEN</x:v>
      </x:c>
      <x:c r="G19" s="2"/>
      <x:c r="H19" s="2"/>
      <x:c r="I19" s="2"/>
      <x:c r="J19" s="2"/>
      <x:c r="K19" s="48"/>
      <x:c r="L19" s="48"/>
      <x:c r="M19" s="48"/>
      <x:c r="N19" s="48"/>
      <x:c r="O19" s="48"/>
      <x:c r="P19" s="48"/>
      <x:c r="Q19" s="48"/>
      <x:c r="R19" s="48"/>
      <x:c r="S19" s="48"/>
      <x:c r="T19" s="48"/>
      <x:c r="U19" s="48"/>
      <x:c r="V19" s="48"/>
      <x:c r="W19" s="48"/>
    </x:row>
    <x:row r="20">
      <x:c r="C20" s="2" t="str">
        <x:v>Independent proving</x:v>
      </x:c>
      <x:c r="D20" s="26" t="n">
        <x:v>0.2</x:v>
      </x:c>
      <x:c r="E20" s="39" t="n">
        <x:f>$D$13*D20</x:f>
        <x:v>47.804697445435494</x:v>
      </x:c>
      <x:c r="F20" s="2" t="str">
        <x:v>OPEN</x:v>
      </x:c>
      <x:c r="G20" s="2"/>
      <x:c r="H20" s="2"/>
      <x:c r="I20" s="2"/>
      <x:c r="J20" s="2"/>
      <x:c r="K20" s="48"/>
      <x:c r="L20" s="48"/>
      <x:c r="M20" s="48"/>
      <x:c r="N20" s="48"/>
      <x:c r="O20" s="48"/>
      <x:c r="P20" s="48"/>
      <x:c r="Q20" s="48"/>
      <x:c r="R20" s="48"/>
      <x:c r="S20" s="48"/>
      <x:c r="T20" s="48"/>
      <x:c r="U20" s="48"/>
      <x:c r="V20" s="48"/>
      <x:c r="W20" s="48"/>
    </x:row>
    <x:row r="21">
      <x:c r="C21" s="2" t="str">
        <x:v>Reproduction and regeneration</x:v>
      </x:c>
      <x:c r="D21" s="26" t="n">
        <x:v>0.15</x:v>
      </x:c>
      <x:c r="E21" s="39" t="n">
        <x:f>$D$13*D21</x:f>
        <x:v>35.85352308407661</x:v>
      </x:c>
      <x:c r="F21" s="2" t="str">
        <x:v>OPEN</x:v>
      </x:c>
      <x:c r="G21" s="2"/>
      <x:c r="H21" s="2"/>
      <x:c r="I21" s="2"/>
      <x:c r="J21" s="2"/>
      <x:c r="K21" s="48"/>
      <x:c r="L21" s="48"/>
      <x:c r="M21" s="48"/>
      <x:c r="N21" s="48"/>
      <x:c r="O21" s="48"/>
      <x:c r="P21" s="48"/>
      <x:c r="Q21" s="48"/>
      <x:c r="R21" s="48"/>
      <x:c r="S21" s="48"/>
      <x:c r="T21" s="48"/>
      <x:c r="U21" s="48"/>
      <x:c r="V21" s="48"/>
      <x:c r="W21" s="48"/>
    </x:row>
    <x:row r="22">
      <x:c r="C22" s="2"/>
      <x:c r="D22" s="26"/>
      <x:c r="E22" s="39"/>
      <x:c r="F22" s="2"/>
      <x:c r="G22" s="2"/>
      <x:c r="H22" s="2"/>
      <x:c r="I22" s="2"/>
      <x:c r="J22" s="2"/>
      <x:c r="K22" s="48"/>
      <x:c r="L22" s="48"/>
      <x:c r="M22" s="48"/>
      <x:c r="N22" s="48"/>
      <x:c r="O22" s="48"/>
      <x:c r="P22" s="48"/>
      <x:c r="Q22" s="48"/>
      <x:c r="R22" s="48"/>
      <x:c r="S22" s="48"/>
      <x:c r="T22" s="48"/>
      <x:c r="U22" s="48"/>
      <x:c r="V22" s="48"/>
      <x:c r="W22" s="48"/>
    </x:row>
    <x:row r="23">
      <x:c r="C23" s="35" t="str">
        <x:v>Total</x:v>
      </x:c>
      <x:c r="D23" s="42" t="n">
        <x:f>SUM(D18:D21)</x:f>
        <x:v>0.9999999999999999</x:v>
      </x:c>
      <x:c r="E23" s="43" t="n">
        <x:f>SUM(E18:E21)</x:f>
        <x:v>239.02348722717744</x:v>
      </x:c>
      <x:c r="F23" s="35"/>
      <x:c r="G23" s="2"/>
      <x:c r="H23" s="2"/>
      <x:c r="I23" s="2"/>
      <x:c r="J23" s="2"/>
      <x:c r="K23" s="48"/>
      <x:c r="L23" s="48"/>
      <x:c r="M23" s="48"/>
      <x:c r="N23" s="48"/>
      <x:c r="O23" s="48"/>
      <x:c r="P23" s="48"/>
      <x:c r="Q23" s="48"/>
      <x:c r="R23" s="48"/>
      <x:c r="S23" s="48"/>
      <x:c r="T23" s="48"/>
      <x:c r="U23" s="48"/>
      <x:c r="V23" s="48"/>
      <x:c r="W23" s="48"/>
    </x:row>
    <x:row r="24">
      <x:c r="C24" s="2"/>
      <x:c r="D24" s="2"/>
      <x:c r="E24" s="2"/>
      <x:c r="F24" s="2"/>
      <x:c r="G24" s="2"/>
      <x:c r="H24" s="2"/>
      <x:c r="I24" s="2"/>
      <x:c r="J24" s="2"/>
      <x:c r="K24" s="48"/>
      <x:c r="L24" s="48"/>
      <x:c r="M24" s="48"/>
      <x:c r="N24" s="48"/>
      <x:c r="O24" s="48"/>
      <x:c r="P24" s="48"/>
      <x:c r="Q24" s="48"/>
      <x:c r="R24" s="48"/>
      <x:c r="S24" s="48"/>
      <x:c r="T24" s="48"/>
      <x:c r="U24" s="48"/>
      <x:c r="V24" s="48"/>
      <x:c r="W24" s="48"/>
    </x:row>
    <x:row r="25">
      <x:c r="C25" s="2"/>
      <x:c r="D25" s="2"/>
      <x:c r="E25" s="2"/>
      <x:c r="F25" s="2"/>
      <x:c r="G25" s="2"/>
      <x:c r="H25" s="2"/>
      <x:c r="I25" s="2"/>
      <x:c r="J25" s="2"/>
      <x:c r="K25" s="48"/>
      <x:c r="L25" s="48"/>
      <x:c r="M25" s="48"/>
      <x:c r="N25" s="48"/>
      <x:c r="O25" s="48"/>
      <x:c r="P25" s="48"/>
      <x:c r="Q25" s="48"/>
      <x:c r="R25" s="48"/>
      <x:c r="S25" s="48"/>
      <x:c r="T25" s="48"/>
      <x:c r="U25" s="48"/>
      <x:c r="V25" s="48"/>
      <x:c r="W25" s="48"/>
    </x:row>
    <x:row r="26">
      <x:c r="C26" s="2"/>
      <x:c r="D26" s="2"/>
      <x:c r="E26" s="2"/>
      <x:c r="F26" s="2"/>
      <x:c r="G26" s="2"/>
      <x:c r="H26" s="2"/>
      <x:c r="I26" s="2"/>
      <x:c r="J26" s="2"/>
      <x:c r="K26" s="48"/>
      <x:c r="L26" s="48"/>
      <x:c r="M26" s="48"/>
      <x:c r="N26" s="48"/>
      <x:c r="O26" s="48"/>
      <x:c r="P26" s="48"/>
      <x:c r="Q26" s="48"/>
      <x:c r="R26" s="48"/>
      <x:c r="S26" s="48"/>
      <x:c r="T26" s="48"/>
      <x:c r="U26" s="48"/>
      <x:c r="V26" s="48"/>
      <x:c r="W26" s="48"/>
    </x:row>
    <x:row r="27">
      <x:c r="C27" s="2"/>
      <x:c r="D27" s="2"/>
      <x:c r="E27" s="2"/>
      <x:c r="F27" s="2"/>
      <x:c r="G27" s="2"/>
      <x:c r="H27" s="2"/>
      <x:c r="I27" s="2"/>
      <x:c r="J27" s="2"/>
      <x:c r="K27" s="48"/>
      <x:c r="L27" s="48"/>
      <x:c r="M27" s="48"/>
      <x:c r="N27" s="48"/>
      <x:c r="O27" s="48"/>
      <x:c r="P27" s="48"/>
      <x:c r="Q27" s="48"/>
      <x:c r="R27" s="48"/>
      <x:c r="S27" s="48"/>
      <x:c r="T27" s="48"/>
      <x:c r="U27" s="48"/>
      <x:c r="V27" s="48"/>
      <x:c r="W27" s="48"/>
    </x:row>
    <x:row r="28">
      <x:c r="C28" s="2"/>
      <x:c r="D28" s="2"/>
      <x:c r="E28" s="2"/>
      <x:c r="F28" s="2"/>
      <x:c r="G28" s="2"/>
      <x:c r="H28" s="2"/>
      <x:c r="I28" s="2"/>
      <x:c r="J28" s="2"/>
      <x:c r="K28" s="48"/>
      <x:c r="L28" s="48"/>
      <x:c r="M28" s="48"/>
      <x:c r="N28" s="48"/>
      <x:c r="O28" s="48"/>
      <x:c r="P28" s="48"/>
      <x:c r="Q28" s="48"/>
      <x:c r="R28" s="48"/>
      <x:c r="S28" s="48"/>
      <x:c r="T28" s="48"/>
      <x:c r="U28" s="48"/>
      <x:c r="V28" s="48"/>
      <x:c r="W28" s="48"/>
    </x:row>
    <x:row r="29">
      <x:c r="C29" s="2"/>
      <x:c r="D29" s="2"/>
      <x:c r="E29" s="2"/>
      <x:c r="F29" s="2"/>
      <x:c r="G29" s="2"/>
      <x:c r="H29" s="2"/>
      <x:c r="I29" s="2"/>
      <x:c r="J29" s="2"/>
      <x:c r="K29" s="48"/>
      <x:c r="L29" s="48"/>
      <x:c r="M29" s="48"/>
      <x:c r="N29" s="48"/>
      <x:c r="O29" s="48"/>
      <x:c r="P29" s="48"/>
      <x:c r="Q29" s="48"/>
      <x:c r="R29" s="48"/>
      <x:c r="S29" s="48"/>
      <x:c r="T29" s="48"/>
      <x:c r="U29" s="48"/>
      <x:c r="V29" s="48"/>
      <x:c r="W29" s="48"/>
    </x:row>
    <x:row r="30">
      <x:c r="C30" s="2"/>
      <x:c r="D30" s="2"/>
      <x:c r="E30" s="2"/>
      <x:c r="F30" s="2"/>
      <x:c r="G30" s="2"/>
      <x:c r="H30" s="2"/>
      <x:c r="I30" s="2"/>
      <x:c r="J30" s="2"/>
      <x:c r="K30" s="48"/>
      <x:c r="L30" s="48"/>
      <x:c r="M30" s="48"/>
      <x:c r="N30" s="48"/>
      <x:c r="O30" s="48"/>
      <x:c r="P30" s="48"/>
      <x:c r="Q30" s="48"/>
      <x:c r="R30" s="48"/>
      <x:c r="S30" s="48"/>
      <x:c r="T30" s="48"/>
      <x:c r="U30" s="48"/>
      <x:c r="V30" s="48"/>
      <x:c r="W30" s="48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3" max="3" width="3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5" hidden="0" customWidth="1"/>
    <x:col min="11" max="11" width="15" hidden="0" customWidth="1"/>
  </x:cols>
  <x:sheetData>
    <x:row r="1">
      <x:c r="C1" s="2"/>
      <x:c r="D1" s="2"/>
      <x:c r="E1" s="2"/>
      <x:c r="F1" s="2"/>
      <x:c r="G1" s="2"/>
      <x:c r="H1" s="2"/>
      <x:c r="I1" s="2"/>
      <x:c r="J1" s="2"/>
      <x:c r="K1" s="2"/>
      <x:c r="L1" s="48"/>
      <x:c r="M1" s="48"/>
      <x:c r="N1" s="48"/>
      <x:c r="O1" s="48"/>
      <x:c r="P1" s="48"/>
      <x:c r="Q1" s="48"/>
      <x:c r="R1" s="48"/>
      <x:c r="S1" s="48"/>
      <x:c r="T1" s="48"/>
      <x:c r="U1" s="48"/>
      <x:c r="V1" s="48"/>
      <x:c r="W1" s="48"/>
    </x:row>
    <x:row r="2">
      <x:c r="C2" s="3" t="str">
        <x:v>Cascadia entry case tests</x:v>
      </x:c>
      <x:c r="D2" s="2"/>
      <x:c r="E2" s="2"/>
      <x:c r="F2" s="2"/>
      <x:c r="G2" s="2"/>
      <x:c r="H2" s="2"/>
      <x:c r="I2" s="2"/>
      <x:c r="J2" s="2"/>
      <x:c r="K2" s="2"/>
      <x:c r="L2" s="48"/>
      <x:c r="M2" s="48"/>
      <x:c r="N2" s="48"/>
      <x:c r="O2" s="48"/>
      <x:c r="P2" s="48"/>
      <x:c r="Q2" s="48"/>
      <x:c r="R2" s="48"/>
      <x:c r="S2" s="48"/>
      <x:c r="T2" s="48"/>
      <x:c r="U2" s="48"/>
      <x:c r="V2" s="48"/>
      <x:c r="W2" s="48"/>
    </x:row>
    <x:row r="3">
      <x:c r="C3" s="5" t="str">
        <x:v>Aggregate progress cannot compensate for a missing root, stack, seam or constitutional control.</x:v>
      </x:c>
      <x:c r="D3" s="6"/>
      <x:c r="E3" s="6"/>
      <x:c r="F3" s="6"/>
      <x:c r="G3" s="6"/>
      <x:c r="H3" s="6"/>
      <x:c r="I3" s="6"/>
      <x:c r="J3" s="6"/>
      <x:c r="K3" s="6"/>
      <x:c r="L3" s="49"/>
      <x:c r="M3" s="49"/>
      <x:c r="N3" s="49"/>
      <x:c r="O3" s="49"/>
      <x:c r="P3" s="49"/>
      <x:c r="Q3" s="49"/>
      <x:c r="R3" s="49"/>
      <x:c r="S3" s="49"/>
      <x:c r="T3" s="49"/>
      <x:c r="U3" s="49"/>
      <x:c r="V3" s="49"/>
      <x:c r="W3" s="49"/>
    </x:row>
    <x:row r="4">
      <x:c r="C4" s="2"/>
      <x:c r="D4" s="2"/>
      <x:c r="E4" s="2"/>
      <x:c r="F4" s="2"/>
      <x:c r="G4" s="2"/>
      <x:c r="H4" s="2"/>
      <x:c r="I4" s="2"/>
      <x:c r="J4" s="2"/>
      <x:c r="K4" s="2"/>
      <x:c r="L4" s="48"/>
      <x:c r="M4" s="48"/>
      <x:c r="N4" s="48"/>
      <x:c r="O4" s="48"/>
      <x:c r="P4" s="48"/>
      <x:c r="Q4" s="48"/>
      <x:c r="R4" s="48"/>
      <x:c r="S4" s="48"/>
      <x:c r="T4" s="48"/>
      <x:c r="U4" s="48"/>
      <x:c r="V4" s="48"/>
      <x:c r="W4" s="48"/>
    </x:row>
    <x:row r="5">
      <x:c r="C5" s="2"/>
      <x:c r="D5" s="2"/>
      <x:c r="E5" s="2"/>
      <x:c r="F5" s="2"/>
      <x:c r="G5" s="2"/>
      <x:c r="H5" s="2"/>
      <x:c r="I5" s="2"/>
      <x:c r="J5" s="2"/>
      <x:c r="K5" s="2"/>
      <x:c r="L5" s="48"/>
      <x:c r="M5" s="48"/>
      <x:c r="N5" s="48"/>
      <x:c r="O5" s="48"/>
      <x:c r="P5" s="48"/>
      <x:c r="Q5" s="48"/>
      <x:c r="R5" s="48"/>
      <x:c r="S5" s="48"/>
      <x:c r="T5" s="48"/>
      <x:c r="U5" s="48"/>
      <x:c r="V5" s="48"/>
      <x:c r="W5" s="48"/>
    </x:row>
    <x:row r="6">
      <x:c r="C6" s="17" t="str">
        <x:v>Case</x:v>
      </x:c>
      <x:c r="D6" s="18" t="str">
        <x:v>Non-LF releases</x:v>
      </x:c>
      <x:c r="E6" s="18" t="str">
        <x:v>LF releases</x:v>
      </x:c>
      <x:c r="F6" s="18" t="str">
        <x:v>Ready stacks</x:v>
      </x:c>
      <x:c r="G6" s="18" t="str">
        <x:v>Seams</x:v>
      </x:c>
      <x:c r="H6" s="18" t="str">
        <x:v>Kernel exceptions</x:v>
      </x:c>
      <x:c r="I6" s="18" t="str">
        <x:v>Ancestry collisions</x:v>
      </x:c>
      <x:c r="J6" s="18" t="str">
        <x:v>Expected</x:v>
      </x:c>
      <x:c r="K6" s="18" t="str">
        <x:v>Actual</x:v>
      </x:c>
      <x:c r="L6" s="48"/>
      <x:c r="M6" s="48"/>
      <x:c r="N6" s="48"/>
      <x:c r="O6" s="48"/>
      <x:c r="P6" s="48"/>
      <x:c r="Q6" s="48"/>
      <x:c r="R6" s="48"/>
      <x:c r="S6" s="48"/>
      <x:c r="T6" s="48"/>
      <x:c r="U6" s="48"/>
      <x:c r="V6" s="48"/>
      <x:c r="W6" s="48"/>
    </x:row>
    <x:row r="7">
      <x:c r="C7" s="19" t="str">
        <x:v>Source-empty</x:v>
      </x:c>
      <x:c r="D7" s="19" t="n">
        <x:v>0</x:v>
      </x:c>
      <x:c r="E7" s="19" t="n">
        <x:v>0</x:v>
      </x:c>
      <x:c r="F7" s="19" t="n">
        <x:v>0</x:v>
      </x:c>
      <x:c r="G7" s="19" t="n">
        <x:v>0</x:v>
      </x:c>
      <x:c r="H7" s="19" t="n">
        <x:v>0</x:v>
      </x:c>
      <x:c r="I7" s="19" t="n">
        <x:v>0</x:v>
      </x:c>
      <x:c r="J7" s="19" t="str">
        <x:v>BLOCKED</x:v>
      </x:c>
      <x:c r="K7" s="21" t="str">
        <x:f>IF(AND(D7=20,E7=4,F7=4,G7&gt;=4,H7=0,I7=0),"ELIGIBLE","BLOCKED")</x:f>
        <x:v>BLOCKED</x:v>
      </x:c>
      <x:c r="L7" s="48"/>
      <x:c r="M7" s="48"/>
      <x:c r="N7" s="48"/>
      <x:c r="O7" s="48"/>
      <x:c r="P7" s="48"/>
      <x:c r="Q7" s="48"/>
      <x:c r="R7" s="48"/>
      <x:c r="S7" s="48"/>
      <x:c r="T7" s="48"/>
      <x:c r="U7" s="48"/>
      <x:c r="V7" s="48"/>
      <x:c r="W7" s="48"/>
    </x:row>
    <x:row r="8">
      <x:c r="C8" s="19" t="str">
        <x:v>All roots and seams</x:v>
      </x:c>
      <x:c r="D8" s="19" t="n">
        <x:v>20</x:v>
      </x:c>
      <x:c r="E8" s="19" t="n">
        <x:v>4</x:v>
      </x:c>
      <x:c r="F8" s="19" t="n">
        <x:v>4</x:v>
      </x:c>
      <x:c r="G8" s="19" t="n">
        <x:v>4</x:v>
      </x:c>
      <x:c r="H8" s="19" t="n">
        <x:v>0</x:v>
      </x:c>
      <x:c r="I8" s="19" t="n">
        <x:v>0</x:v>
      </x:c>
      <x:c r="J8" s="19" t="str">
        <x:v>ELIGIBLE</x:v>
      </x:c>
      <x:c r="K8" s="21" t="str">
        <x:f>IF(AND(D8=20,E8=4,F8=4,G8&gt;=4,H8=0,I8=0),"ELIGIBLE","BLOCKED")</x:f>
        <x:v>ELIGIBLE</x:v>
      </x:c>
      <x:c r="L8" s="48"/>
      <x:c r="M8" s="48"/>
      <x:c r="N8" s="48"/>
      <x:c r="O8" s="48"/>
      <x:c r="P8" s="48"/>
      <x:c r="Q8" s="48"/>
      <x:c r="R8" s="48"/>
      <x:c r="S8" s="48"/>
      <x:c r="T8" s="48"/>
      <x:c r="U8" s="48"/>
      <x:c r="V8" s="48"/>
      <x:c r="W8" s="48"/>
    </x:row>
    <x:row r="9">
      <x:c r="C9" s="19" t="str">
        <x:v>One non-lifeline root missing</x:v>
      </x:c>
      <x:c r="D9" s="19" t="n">
        <x:v>19</x:v>
      </x:c>
      <x:c r="E9" s="19" t="n">
        <x:v>4</x:v>
      </x:c>
      <x:c r="F9" s="19" t="n">
        <x:v>3</x:v>
      </x:c>
      <x:c r="G9" s="19" t="n">
        <x:v>4</x:v>
      </x:c>
      <x:c r="H9" s="19" t="n">
        <x:v>0</x:v>
      </x:c>
      <x:c r="I9" s="19" t="n">
        <x:v>0</x:v>
      </x:c>
      <x:c r="J9" s="19" t="str">
        <x:v>BLOCKED</x:v>
      </x:c>
      <x:c r="K9" s="21" t="str">
        <x:f>IF(AND(D9=20,E9=4,F9=4,G9&gt;=4,H9=0,I9=0),"ELIGIBLE","BLOCKED")</x:f>
        <x:v>BLOCKED</x:v>
      </x:c>
      <x:c r="L9" s="48"/>
      <x:c r="M9" s="48"/>
      <x:c r="N9" s="48"/>
      <x:c r="O9" s="48"/>
      <x:c r="P9" s="48"/>
      <x:c r="Q9" s="48"/>
      <x:c r="R9" s="48"/>
      <x:c r="S9" s="48"/>
      <x:c r="T9" s="48"/>
      <x:c r="U9" s="48"/>
      <x:c r="V9" s="48"/>
      <x:c r="W9" s="48"/>
    </x:row>
    <x:row r="10">
      <x:c r="C10" s="19" t="str">
        <x:v>One lifeline root missing</x:v>
      </x:c>
      <x:c r="D10" s="19" t="n">
        <x:v>20</x:v>
      </x:c>
      <x:c r="E10" s="19" t="n">
        <x:v>3</x:v>
      </x:c>
      <x:c r="F10" s="19" t="n">
        <x:v>3</x:v>
      </x:c>
      <x:c r="G10" s="19" t="n">
        <x:v>4</x:v>
      </x:c>
      <x:c r="H10" s="19" t="n">
        <x:v>0</x:v>
      </x:c>
      <x:c r="I10" s="19" t="n">
        <x:v>0</x:v>
      </x:c>
      <x:c r="J10" s="19" t="str">
        <x:v>BLOCKED</x:v>
      </x:c>
      <x:c r="K10" s="21" t="str">
        <x:f>IF(AND(D10=20,E10=4,F10=4,G10&gt;=4,H10=0,I10=0),"ELIGIBLE","BLOCKED")</x:f>
        <x:v>BLOCKED</x:v>
      </x:c>
      <x:c r="L10" s="48"/>
      <x:c r="M10" s="48"/>
      <x:c r="N10" s="48"/>
      <x:c r="O10" s="48"/>
      <x:c r="P10" s="48"/>
      <x:c r="Q10" s="48"/>
      <x:c r="R10" s="48"/>
      <x:c r="S10" s="48"/>
      <x:c r="T10" s="48"/>
      <x:c r="U10" s="48"/>
      <x:c r="V10" s="48"/>
      <x:c r="W10" s="48"/>
    </x:row>
    <x:row r="11">
      <x:c r="C11" s="19" t="str">
        <x:v>Three seam implementations</x:v>
      </x:c>
      <x:c r="D11" s="19" t="n">
        <x:v>20</x:v>
      </x:c>
      <x:c r="E11" s="19" t="n">
        <x:v>4</x:v>
      </x:c>
      <x:c r="F11" s="19" t="n">
        <x:v>4</x:v>
      </x:c>
      <x:c r="G11" s="19" t="n">
        <x:v>3</x:v>
      </x:c>
      <x:c r="H11" s="19" t="n">
        <x:v>0</x:v>
      </x:c>
      <x:c r="I11" s="19" t="n">
        <x:v>0</x:v>
      </x:c>
      <x:c r="J11" s="19" t="str">
        <x:v>BLOCKED</x:v>
      </x:c>
      <x:c r="K11" s="21" t="str">
        <x:f>IF(AND(D11=20,E11=4,F11=4,G11&gt;=4,H11=0,I11=0),"ELIGIBLE","BLOCKED")</x:f>
        <x:v>BLOCKED</x:v>
      </x:c>
      <x:c r="L11" s="48"/>
      <x:c r="M11" s="48"/>
      <x:c r="N11" s="48"/>
      <x:c r="O11" s="48"/>
      <x:c r="P11" s="48"/>
      <x:c r="Q11" s="48"/>
      <x:c r="R11" s="48"/>
      <x:c r="S11" s="48"/>
      <x:c r="T11" s="48"/>
      <x:c r="U11" s="48"/>
      <x:c r="V11" s="48"/>
      <x:c r="W11" s="48"/>
    </x:row>
    <x:row r="12">
      <x:c r="C12" s="19" t="str">
        <x:v>Kernel exception</x:v>
      </x:c>
      <x:c r="D12" s="19" t="n">
        <x:v>20</x:v>
      </x:c>
      <x:c r="E12" s="19" t="n">
        <x:v>4</x:v>
      </x:c>
      <x:c r="F12" s="19" t="n">
        <x:v>4</x:v>
      </x:c>
      <x:c r="G12" s="19" t="n">
        <x:v>4</x:v>
      </x:c>
      <x:c r="H12" s="19" t="n">
        <x:v>1</x:v>
      </x:c>
      <x:c r="I12" s="19" t="n">
        <x:v>0</x:v>
      </x:c>
      <x:c r="J12" s="19" t="str">
        <x:v>BLOCKED</x:v>
      </x:c>
      <x:c r="K12" s="21" t="str">
        <x:f>IF(AND(D12=20,E12=4,F12=4,G12&gt;=4,H12=0,I12=0),"ELIGIBLE","BLOCKED")</x:f>
        <x:v>BLOCKED</x:v>
      </x:c>
      <x:c r="L12" s="48"/>
      <x:c r="M12" s="48"/>
      <x:c r="N12" s="48"/>
      <x:c r="O12" s="48"/>
      <x:c r="P12" s="48"/>
      <x:c r="Q12" s="48"/>
      <x:c r="R12" s="48"/>
      <x:c r="S12" s="48"/>
      <x:c r="T12" s="48"/>
      <x:c r="U12" s="48"/>
      <x:c r="V12" s="48"/>
      <x:c r="W12" s="48"/>
    </x:row>
    <x:row r="13">
      <x:c r="C13" s="22" t="str">
        <x:v>Ancestry collision</x:v>
      </x:c>
      <x:c r="D13" s="22" t="n">
        <x:v>20</x:v>
      </x:c>
      <x:c r="E13" s="22" t="n">
        <x:v>4</x:v>
      </x:c>
      <x:c r="F13" s="22" t="n">
        <x:v>4</x:v>
      </x:c>
      <x:c r="G13" s="22" t="n">
        <x:v>4</x:v>
      </x:c>
      <x:c r="H13" s="22" t="n">
        <x:v>0</x:v>
      </x:c>
      <x:c r="I13" s="22" t="n">
        <x:v>1</x:v>
      </x:c>
      <x:c r="J13" s="22" t="str">
        <x:v>BLOCKED</x:v>
      </x:c>
      <x:c r="K13" s="24" t="str">
        <x:f>IF(AND(D13=20,E13=4,F13=4,G13&gt;=4,H13=0,I13=0),"ELIGIBLE","BLOCKED")</x:f>
        <x:v>BLOCKED</x:v>
      </x:c>
      <x:c r="L13" s="48"/>
      <x:c r="M13" s="48"/>
      <x:c r="N13" s="48"/>
      <x:c r="O13" s="48"/>
      <x:c r="P13" s="48"/>
      <x:c r="Q13" s="48"/>
      <x:c r="R13" s="48"/>
      <x:c r="S13" s="48"/>
      <x:c r="T13" s="48"/>
      <x:c r="U13" s="48"/>
      <x:c r="V13" s="48"/>
      <x:c r="W13" s="48"/>
    </x:row>
    <x:row r="14">
      <x:c r="C14" s="2"/>
      <x:c r="D14" s="2"/>
      <x:c r="E14" s="2"/>
      <x:c r="F14" s="2"/>
      <x:c r="G14" s="2"/>
      <x:c r="H14" s="2"/>
      <x:c r="I14" s="2"/>
      <x:c r="J14" s="2"/>
      <x:c r="K14" s="2"/>
      <x:c r="L14" s="48"/>
      <x:c r="M14" s="48"/>
      <x:c r="N14" s="48"/>
      <x:c r="O14" s="48"/>
      <x:c r="P14" s="48"/>
      <x:c r="Q14" s="48"/>
      <x:c r="R14" s="48"/>
      <x:c r="S14" s="48"/>
      <x:c r="T14" s="48"/>
      <x:c r="U14" s="48"/>
      <x:c r="V14" s="48"/>
      <x:c r="W14" s="48"/>
    </x:row>
    <x:row r="15">
      <x:c r="C15" s="2"/>
      <x:c r="D15" s="2"/>
      <x:c r="E15" s="2"/>
      <x:c r="F15" s="2"/>
      <x:c r="G15" s="2"/>
      <x:c r="H15" s="2"/>
      <x:c r="I15" s="2"/>
      <x:c r="J15" s="2"/>
      <x:c r="K15" s="2"/>
      <x:c r="L15" s="48"/>
      <x:c r="M15" s="48"/>
      <x:c r="N15" s="48"/>
      <x:c r="O15" s="48"/>
      <x:c r="P15" s="48"/>
      <x:c r="Q15" s="48"/>
      <x:c r="R15" s="48"/>
      <x:c r="S15" s="48"/>
      <x:c r="T15" s="48"/>
      <x:c r="U15" s="48"/>
      <x:c r="V15" s="48"/>
      <x:c r="W15" s="48"/>
    </x:row>
    <x:row r="16">
      <x:c r="C16" s="2"/>
      <x:c r="D16" s="2"/>
      <x:c r="E16" s="2"/>
      <x:c r="F16" s="2"/>
      <x:c r="G16" s="2"/>
      <x:c r="H16" s="2"/>
      <x:c r="I16" s="2"/>
      <x:c r="J16" s="2"/>
      <x:c r="K16" s="2"/>
      <x:c r="L16" s="48"/>
      <x:c r="M16" s="48"/>
      <x:c r="N16" s="48"/>
      <x:c r="O16" s="48"/>
      <x:c r="P16" s="48"/>
      <x:c r="Q16" s="48"/>
      <x:c r="R16" s="48"/>
      <x:c r="S16" s="48"/>
      <x:c r="T16" s="48"/>
      <x:c r="U16" s="48"/>
      <x:c r="V16" s="48"/>
      <x:c r="W16" s="48"/>
    </x:row>
    <x:row r="17">
      <x:c r="C17" s="2"/>
      <x:c r="D17" s="2"/>
      <x:c r="E17" s="2"/>
      <x:c r="F17" s="2"/>
      <x:c r="G17" s="2"/>
      <x:c r="H17" s="2"/>
      <x:c r="I17" s="2"/>
      <x:c r="J17" s="2"/>
      <x:c r="K17" s="2"/>
      <x:c r="L17" s="48"/>
      <x:c r="M17" s="48"/>
      <x:c r="N17" s="48"/>
      <x:c r="O17" s="48"/>
      <x:c r="P17" s="48"/>
      <x:c r="Q17" s="48"/>
      <x:c r="R17" s="48"/>
      <x:c r="S17" s="48"/>
      <x:c r="T17" s="48"/>
      <x:c r="U17" s="48"/>
      <x:c r="V17" s="48"/>
      <x:c r="W17" s="48"/>
    </x:row>
    <x:row r="18">
      <x:c r="C18" s="2"/>
      <x:c r="D18" s="2"/>
      <x:c r="E18" s="2"/>
      <x:c r="F18" s="2"/>
      <x:c r="G18" s="2"/>
      <x:c r="H18" s="2"/>
      <x:c r="I18" s="2"/>
      <x:c r="J18" s="2"/>
      <x:c r="K18" s="2"/>
      <x:c r="L18" s="48"/>
      <x:c r="M18" s="48"/>
      <x:c r="N18" s="48"/>
      <x:c r="O18" s="48"/>
      <x:c r="P18" s="48"/>
      <x:c r="Q18" s="48"/>
      <x:c r="R18" s="48"/>
      <x:c r="S18" s="48"/>
      <x:c r="T18" s="48"/>
      <x:c r="U18" s="48"/>
      <x:c r="V18" s="48"/>
      <x:c r="W18" s="48"/>
    </x:row>
    <x:row r="19">
      <x:c r="C19" s="2"/>
      <x:c r="D19" s="2"/>
      <x:c r="E19" s="2"/>
      <x:c r="F19" s="2"/>
      <x:c r="G19" s="2"/>
      <x:c r="H19" s="2"/>
      <x:c r="I19" s="2"/>
      <x:c r="J19" s="2"/>
      <x:c r="K19" s="2"/>
      <x:c r="L19" s="48"/>
      <x:c r="M19" s="48"/>
      <x:c r="N19" s="48"/>
      <x:c r="O19" s="48"/>
      <x:c r="P19" s="48"/>
      <x:c r="Q19" s="48"/>
      <x:c r="R19" s="48"/>
      <x:c r="S19" s="48"/>
      <x:c r="T19" s="48"/>
      <x:c r="U19" s="48"/>
      <x:c r="V19" s="48"/>
      <x:c r="W19" s="48"/>
    </x:row>
    <x:row r="20">
      <x:c r="C20" s="2"/>
      <x:c r="D20" s="2"/>
      <x:c r="E20" s="2"/>
      <x:c r="F20" s="2"/>
      <x:c r="G20" s="2"/>
      <x:c r="H20" s="2"/>
      <x:c r="I20" s="2"/>
      <x:c r="J20" s="2"/>
      <x:c r="K20" s="2"/>
      <x:c r="L20" s="48"/>
      <x:c r="M20" s="48"/>
      <x:c r="N20" s="48"/>
      <x:c r="O20" s="48"/>
      <x:c r="P20" s="48"/>
      <x:c r="Q20" s="48"/>
      <x:c r="R20" s="48"/>
      <x:c r="S20" s="48"/>
      <x:c r="T20" s="48"/>
      <x:c r="U20" s="48"/>
      <x:c r="V20" s="48"/>
      <x:c r="W20" s="48"/>
    </x:row>
    <x:row r="21">
      <x:c r="C21" s="2"/>
      <x:c r="D21" s="2"/>
      <x:c r="E21" s="2"/>
      <x:c r="F21" s="2"/>
      <x:c r="G21" s="2"/>
      <x:c r="H21" s="2"/>
      <x:c r="I21" s="2"/>
      <x:c r="J21" s="2"/>
      <x:c r="K21" s="2"/>
      <x:c r="L21" s="48"/>
      <x:c r="M21" s="48"/>
      <x:c r="N21" s="48"/>
      <x:c r="O21" s="48"/>
      <x:c r="P21" s="48"/>
      <x:c r="Q21" s="48"/>
      <x:c r="R21" s="48"/>
      <x:c r="S21" s="48"/>
      <x:c r="T21" s="48"/>
      <x:c r="U21" s="48"/>
      <x:c r="V21" s="48"/>
      <x:c r="W21" s="48"/>
    </x:row>
    <x:row r="22">
      <x:c r="C22" s="2"/>
      <x:c r="D22" s="2"/>
      <x:c r="E22" s="2"/>
      <x:c r="F22" s="2"/>
      <x:c r="G22" s="2"/>
      <x:c r="H22" s="2"/>
      <x:c r="I22" s="2"/>
      <x:c r="J22" s="2"/>
      <x:c r="K22" s="2"/>
      <x:c r="L22" s="48"/>
      <x:c r="M22" s="48"/>
      <x:c r="N22" s="48"/>
      <x:c r="O22" s="48"/>
      <x:c r="P22" s="48"/>
      <x:c r="Q22" s="48"/>
      <x:c r="R22" s="48"/>
      <x:c r="S22" s="48"/>
      <x:c r="T22" s="48"/>
      <x:c r="U22" s="48"/>
      <x:c r="V22" s="48"/>
      <x:c r="W22" s="48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3" max="3" width="14" hidden="0" customWidth="1"/>
    <x:col min="4" max="4" width="62" hidden="0" customWidth="1"/>
    <x:col min="5" max="5" width="16" hidden="0" customWidth="1"/>
    <x:col min="6" max="6" width="16" hidden="0" customWidth="1"/>
  </x:cols>
  <x:sheetData>
    <x:row r="1">
      <x:c r="C1" s="2"/>
      <x:c r="D1" s="2"/>
      <x:c r="E1" s="2"/>
      <x:c r="F1" s="2"/>
      <x:c r="G1" s="48"/>
      <x:c r="H1" s="48"/>
      <x:c r="I1" s="48"/>
      <x:c r="J1" s="48"/>
      <x:c r="K1" s="48"/>
      <x:c r="L1" s="48"/>
      <x:c r="M1" s="48"/>
      <x:c r="N1" s="48"/>
      <x:c r="O1" s="48"/>
      <x:c r="P1" s="48"/>
      <x:c r="Q1" s="48"/>
      <x:c r="R1" s="48"/>
      <x:c r="S1" s="48"/>
      <x:c r="T1" s="48"/>
      <x:c r="U1" s="48"/>
      <x:c r="V1" s="48"/>
      <x:c r="W1" s="48"/>
    </x:row>
    <x:row r="2">
      <x:c r="C2" s="3" t="str">
        <x:v>Terminal integrity audits</x:v>
      </x:c>
      <x:c r="D2" s="2"/>
      <x:c r="E2" s="2"/>
      <x:c r="F2" s="2"/>
      <x:c r="G2" s="48"/>
      <x:c r="H2" s="48"/>
      <x:c r="I2" s="48"/>
      <x:c r="J2" s="48"/>
      <x:c r="K2" s="48"/>
      <x:c r="L2" s="48"/>
      <x:c r="M2" s="48"/>
      <x:c r="N2" s="48"/>
      <x:c r="O2" s="48"/>
      <x:c r="P2" s="48"/>
      <x:c r="Q2" s="48"/>
      <x:c r="R2" s="48"/>
      <x:c r="S2" s="48"/>
      <x:c r="T2" s="48"/>
      <x:c r="U2" s="48"/>
      <x:c r="V2" s="48"/>
      <x:c r="W2" s="48"/>
    </x:row>
    <x:row r="3">
      <x:c r="C3" s="5" t="str">
        <x:v>Audits observe the model; no decision, build or release formula depends on this sheet.</x:v>
      </x:c>
      <x:c r="D3" s="6"/>
      <x:c r="E3" s="6"/>
      <x:c r="F3" s="6"/>
      <x:c r="G3" s="49"/>
      <x:c r="H3" s="49"/>
      <x:c r="I3" s="49"/>
      <x:c r="J3" s="49"/>
      <x:c r="K3" s="49"/>
      <x:c r="L3" s="49"/>
      <x:c r="M3" s="49"/>
      <x:c r="N3" s="49"/>
      <x:c r="O3" s="49"/>
      <x:c r="P3" s="49"/>
      <x:c r="Q3" s="49"/>
      <x:c r="R3" s="49"/>
      <x:c r="S3" s="49"/>
      <x:c r="T3" s="49"/>
      <x:c r="U3" s="49"/>
      <x:c r="V3" s="49"/>
      <x:c r="W3" s="49"/>
    </x:row>
    <x:row r="4">
      <x:c r="C4" s="2"/>
      <x:c r="D4" s="2"/>
      <x:c r="E4" s="2"/>
      <x:c r="F4" s="2"/>
      <x:c r="G4" s="48"/>
      <x:c r="H4" s="48"/>
      <x:c r="I4" s="48"/>
      <x:c r="J4" s="48"/>
      <x:c r="K4" s="48"/>
      <x:c r="L4" s="48"/>
      <x:c r="M4" s="48"/>
      <x:c r="N4" s="48"/>
      <x:c r="O4" s="48"/>
      <x:c r="P4" s="48"/>
      <x:c r="Q4" s="48"/>
      <x:c r="R4" s="48"/>
      <x:c r="S4" s="48"/>
      <x:c r="T4" s="48"/>
      <x:c r="U4" s="48"/>
      <x:c r="V4" s="48"/>
      <x:c r="W4" s="48"/>
    </x:row>
    <x:row r="5">
      <x:c r="C5" s="2"/>
      <x:c r="D5" s="2"/>
      <x:c r="E5" s="2"/>
      <x:c r="F5" s="2"/>
      <x:c r="G5" s="48"/>
      <x:c r="H5" s="48"/>
      <x:c r="I5" s="48"/>
      <x:c r="J5" s="48"/>
      <x:c r="K5" s="48"/>
      <x:c r="L5" s="48"/>
      <x:c r="M5" s="48"/>
      <x:c r="N5" s="48"/>
      <x:c r="O5" s="48"/>
      <x:c r="P5" s="48"/>
      <x:c r="Q5" s="48"/>
      <x:c r="R5" s="48"/>
      <x:c r="S5" s="48"/>
      <x:c r="T5" s="48"/>
      <x:c r="U5" s="48"/>
      <x:c r="V5" s="48"/>
      <x:c r="W5" s="48"/>
    </x:row>
    <x:row r="6">
      <x:c r="C6" s="17" t="str">
        <x:v>Audit</x:v>
      </x:c>
      <x:c r="D6" s="18" t="str">
        <x:v>Test</x:v>
      </x:c>
      <x:c r="E6" s="18" t="str">
        <x:v>Result</x:v>
      </x:c>
      <x:c r="F6" s="18" t="str">
        <x:v>Class</x:v>
      </x:c>
      <x:c r="G6" s="48"/>
      <x:c r="H6" s="48"/>
      <x:c r="I6" s="48"/>
      <x:c r="J6" s="48"/>
      <x:c r="K6" s="48"/>
      <x:c r="L6" s="48"/>
      <x:c r="M6" s="48"/>
      <x:c r="N6" s="48"/>
      <x:c r="O6" s="48"/>
      <x:c r="P6" s="48"/>
      <x:c r="Q6" s="48"/>
      <x:c r="R6" s="48"/>
      <x:c r="S6" s="48"/>
      <x:c r="T6" s="48"/>
      <x:c r="U6" s="48"/>
      <x:c r="V6" s="48"/>
      <x:c r="W6" s="48"/>
    </x:row>
    <x:row r="7">
      <x:c r="C7" s="19" t="str">
        <x:v>AU-001</x:v>
      </x:c>
      <x:c r="D7" s="19" t="str">
        <x:v>MS-ET|A configuration frozen</x:v>
      </x:c>
      <x:c r="E7" s="19" t="str">
        <x:f>IF('Root Configurations'!R7="FROZEN","PASS","FAIL")</x:f>
        <x:v>PASS</x:v>
      </x:c>
      <x:c r="F7" s="21" t="str">
        <x:v>TERMINAL</x:v>
      </x:c>
      <x:c r="G7" s="48"/>
      <x:c r="H7" s="48"/>
      <x:c r="I7" s="48"/>
      <x:c r="J7" s="48"/>
      <x:c r="K7" s="48"/>
      <x:c r="L7" s="48"/>
      <x:c r="M7" s="48"/>
      <x:c r="N7" s="48"/>
      <x:c r="O7" s="48"/>
      <x:c r="P7" s="48"/>
      <x:c r="Q7" s="48"/>
      <x:c r="R7" s="48"/>
      <x:c r="S7" s="48"/>
      <x:c r="T7" s="48"/>
      <x:c r="U7" s="48"/>
      <x:c r="V7" s="48"/>
      <x:c r="W7" s="48"/>
    </x:row>
    <x:row r="8">
      <x:c r="C8" s="19" t="str">
        <x:v>AU-002</x:v>
      </x:c>
      <x:c r="D8" s="19" t="str">
        <x:v>MS-ET|A mechanism vector complete</x:v>
      </x:c>
      <x:c r="E8" s="19" t="str">
        <x:f>IF('Root Configurations'!L7=12,"PASS","FAIL")</x:f>
        <x:v>PASS</x:v>
      </x:c>
      <x:c r="F8" s="21" t="str">
        <x:v>TERMINAL</x:v>
      </x:c>
      <x:c r="G8" s="48"/>
      <x:c r="H8" s="48"/>
      <x:c r="I8" s="48"/>
      <x:c r="J8" s="48"/>
      <x:c r="K8" s="48"/>
      <x:c r="L8" s="48"/>
      <x:c r="M8" s="48"/>
      <x:c r="N8" s="48"/>
      <x:c r="O8" s="48"/>
      <x:c r="P8" s="48"/>
      <x:c r="Q8" s="48"/>
      <x:c r="R8" s="48"/>
      <x:c r="S8" s="48"/>
      <x:c r="T8" s="48"/>
      <x:c r="U8" s="48"/>
      <x:c r="V8" s="48"/>
      <x:c r="W8" s="48"/>
    </x:row>
    <x:row r="9">
      <x:c r="C9" s="19" t="str">
        <x:v>AU-003</x:v>
      </x:c>
      <x:c r="D9" s="19" t="str">
        <x:v>MS-ET|B configuration frozen</x:v>
      </x:c>
      <x:c r="E9" s="19" t="str">
        <x:f>IF('Root Configurations'!R8="FROZEN","PASS","FAIL")</x:f>
        <x:v>PASS</x:v>
      </x:c>
      <x:c r="F9" s="21" t="str">
        <x:v>TERMINAL</x:v>
      </x:c>
      <x:c r="G9" s="48"/>
      <x:c r="H9" s="48"/>
      <x:c r="I9" s="48"/>
      <x:c r="J9" s="48"/>
      <x:c r="K9" s="48"/>
      <x:c r="L9" s="48"/>
      <x:c r="M9" s="48"/>
      <x:c r="N9" s="48"/>
      <x:c r="O9" s="48"/>
      <x:c r="P9" s="48"/>
      <x:c r="Q9" s="48"/>
      <x:c r="R9" s="48"/>
      <x:c r="S9" s="48"/>
      <x:c r="T9" s="48"/>
      <x:c r="U9" s="48"/>
      <x:c r="V9" s="48"/>
      <x:c r="W9" s="48"/>
    </x:row>
    <x:row r="10">
      <x:c r="C10" s="19" t="str">
        <x:v>AU-004</x:v>
      </x:c>
      <x:c r="D10" s="19" t="str">
        <x:v>MS-ET|B mechanism vector complete</x:v>
      </x:c>
      <x:c r="E10" s="19" t="str">
        <x:f>IF('Root Configurations'!L8=12,"PASS","FAIL")</x:f>
        <x:v>PASS</x:v>
      </x:c>
      <x:c r="F10" s="21" t="str">
        <x:v>TERMINAL</x:v>
      </x:c>
      <x:c r="G10" s="48"/>
      <x:c r="H10" s="48"/>
      <x:c r="I10" s="48"/>
      <x:c r="J10" s="48"/>
      <x:c r="K10" s="48"/>
      <x:c r="L10" s="48"/>
      <x:c r="M10" s="48"/>
      <x:c r="N10" s="48"/>
      <x:c r="O10" s="48"/>
      <x:c r="P10" s="48"/>
      <x:c r="Q10" s="48"/>
      <x:c r="R10" s="48"/>
      <x:c r="S10" s="48"/>
      <x:c r="T10" s="48"/>
      <x:c r="U10" s="48"/>
      <x:c r="V10" s="48"/>
      <x:c r="W10" s="48"/>
    </x:row>
    <x:row r="11">
      <x:c r="C11" s="19" t="str">
        <x:v>AU-005</x:v>
      </x:c>
      <x:c r="D11" s="19" t="str">
        <x:v>MS-ET|C configuration frozen</x:v>
      </x:c>
      <x:c r="E11" s="19" t="str">
        <x:f>IF('Root Configurations'!R9="FROZEN","PASS","FAIL")</x:f>
        <x:v>PASS</x:v>
      </x:c>
      <x:c r="F11" s="21" t="str">
        <x:v>TERMINAL</x:v>
      </x:c>
      <x:c r="G11" s="48"/>
      <x:c r="H11" s="48"/>
      <x:c r="I11" s="48"/>
      <x:c r="J11" s="48"/>
      <x:c r="K11" s="48"/>
      <x:c r="L11" s="48"/>
      <x:c r="M11" s="48"/>
      <x:c r="N11" s="48"/>
      <x:c r="O11" s="48"/>
      <x:c r="P11" s="48"/>
      <x:c r="Q11" s="48"/>
      <x:c r="R11" s="48"/>
      <x:c r="S11" s="48"/>
      <x:c r="T11" s="48"/>
      <x:c r="U11" s="48"/>
      <x:c r="V11" s="48"/>
      <x:c r="W11" s="48"/>
    </x:row>
    <x:row r="12">
      <x:c r="C12" s="19" t="str">
        <x:v>AU-006</x:v>
      </x:c>
      <x:c r="D12" s="19" t="str">
        <x:v>MS-ET|C mechanism vector complete</x:v>
      </x:c>
      <x:c r="E12" s="19" t="str">
        <x:f>IF('Root Configurations'!L9=12,"PASS","FAIL")</x:f>
        <x:v>PASS</x:v>
      </x:c>
      <x:c r="F12" s="21" t="str">
        <x:v>TERMINAL</x:v>
      </x:c>
      <x:c r="G12" s="48"/>
      <x:c r="H12" s="48"/>
      <x:c r="I12" s="48"/>
      <x:c r="J12" s="48"/>
      <x:c r="K12" s="48"/>
      <x:c r="L12" s="48"/>
      <x:c r="M12" s="48"/>
      <x:c r="N12" s="48"/>
      <x:c r="O12" s="48"/>
      <x:c r="P12" s="48"/>
      <x:c r="Q12" s="48"/>
      <x:c r="R12" s="48"/>
      <x:c r="S12" s="48"/>
      <x:c r="T12" s="48"/>
      <x:c r="U12" s="48"/>
      <x:c r="V12" s="48"/>
      <x:c r="W12" s="48"/>
    </x:row>
    <x:row r="13">
      <x:c r="C13" s="19" t="str">
        <x:v>AU-007</x:v>
      </x:c>
      <x:c r="D13" s="19" t="str">
        <x:v>MS-ET|D configuration frozen</x:v>
      </x:c>
      <x:c r="E13" s="19" t="str">
        <x:f>IF('Root Configurations'!R10="FROZEN","PASS","FAIL")</x:f>
        <x:v>PASS</x:v>
      </x:c>
      <x:c r="F13" s="21" t="str">
        <x:v>TERMINAL</x:v>
      </x:c>
      <x:c r="G13" s="48"/>
      <x:c r="H13" s="48"/>
      <x:c r="I13" s="48"/>
      <x:c r="J13" s="48"/>
      <x:c r="K13" s="48"/>
      <x:c r="L13" s="48"/>
      <x:c r="M13" s="48"/>
      <x:c r="N13" s="48"/>
      <x:c r="O13" s="48"/>
      <x:c r="P13" s="48"/>
      <x:c r="Q13" s="48"/>
      <x:c r="R13" s="48"/>
      <x:c r="S13" s="48"/>
      <x:c r="T13" s="48"/>
      <x:c r="U13" s="48"/>
      <x:c r="V13" s="48"/>
      <x:c r="W13" s="48"/>
    </x:row>
    <x:row r="14">
      <x:c r="C14" s="19" t="str">
        <x:v>AU-008</x:v>
      </x:c>
      <x:c r="D14" s="19" t="str">
        <x:v>MS-ET|D mechanism vector complete</x:v>
      </x:c>
      <x:c r="E14" s="19" t="str">
        <x:f>IF('Root Configurations'!L10=12,"PASS","FAIL")</x:f>
        <x:v>PASS</x:v>
      </x:c>
      <x:c r="F14" s="21" t="str">
        <x:v>TERMINAL</x:v>
      </x:c>
      <x:c r="G14" s="48"/>
      <x:c r="H14" s="48"/>
      <x:c r="I14" s="48"/>
      <x:c r="J14" s="48"/>
      <x:c r="K14" s="48"/>
      <x:c r="L14" s="48"/>
      <x:c r="M14" s="48"/>
      <x:c r="N14" s="48"/>
      <x:c r="O14" s="48"/>
      <x:c r="P14" s="48"/>
      <x:c r="Q14" s="48"/>
      <x:c r="R14" s="48"/>
      <x:c r="S14" s="48"/>
      <x:c r="T14" s="48"/>
      <x:c r="U14" s="48"/>
      <x:c r="V14" s="48"/>
      <x:c r="W14" s="48"/>
    </x:row>
    <x:row r="15">
      <x:c r="C15" s="19" t="str">
        <x:v>AU-009</x:v>
      </x:c>
      <x:c r="D15" s="19" t="str">
        <x:v>MS-CT|A configuration frozen</x:v>
      </x:c>
      <x:c r="E15" s="19" t="str">
        <x:f>IF('Root Configurations'!R11="FROZEN","PASS","FAIL")</x:f>
        <x:v>PASS</x:v>
      </x:c>
      <x:c r="F15" s="21" t="str">
        <x:v>TERMINAL</x:v>
      </x:c>
      <x:c r="G15" s="48"/>
      <x:c r="H15" s="48"/>
      <x:c r="I15" s="48"/>
      <x:c r="J15" s="48"/>
      <x:c r="K15" s="48"/>
      <x:c r="L15" s="48"/>
      <x:c r="M15" s="48"/>
      <x:c r="N15" s="48"/>
      <x:c r="O15" s="48"/>
      <x:c r="P15" s="48"/>
      <x:c r="Q15" s="48"/>
      <x:c r="R15" s="48"/>
      <x:c r="S15" s="48"/>
      <x:c r="T15" s="48"/>
      <x:c r="U15" s="48"/>
      <x:c r="V15" s="48"/>
      <x:c r="W15" s="48"/>
    </x:row>
    <x:row r="16">
      <x:c r="C16" s="19" t="str">
        <x:v>AU-010</x:v>
      </x:c>
      <x:c r="D16" s="19" t="str">
        <x:v>MS-CT|A mechanism vector complete</x:v>
      </x:c>
      <x:c r="E16" s="19" t="str">
        <x:f>IF('Root Configurations'!L11=12,"PASS","FAIL")</x:f>
        <x:v>PASS</x:v>
      </x:c>
      <x:c r="F16" s="21" t="str">
        <x:v>TERMINAL</x:v>
      </x:c>
      <x:c r="G16" s="48"/>
      <x:c r="H16" s="48"/>
      <x:c r="I16" s="48"/>
      <x:c r="J16" s="48"/>
      <x:c r="K16" s="48"/>
      <x:c r="L16" s="48"/>
      <x:c r="M16" s="48"/>
      <x:c r="N16" s="48"/>
      <x:c r="O16" s="48"/>
      <x:c r="P16" s="48"/>
      <x:c r="Q16" s="48"/>
      <x:c r="R16" s="48"/>
      <x:c r="S16" s="48"/>
      <x:c r="T16" s="48"/>
      <x:c r="U16" s="48"/>
      <x:c r="V16" s="48"/>
      <x:c r="W16" s="48"/>
    </x:row>
    <x:row r="17">
      <x:c r="C17" s="19" t="str">
        <x:v>AU-011</x:v>
      </x:c>
      <x:c r="D17" s="19" t="str">
        <x:v>MS-CT|B configuration frozen</x:v>
      </x:c>
      <x:c r="E17" s="19" t="str">
        <x:f>IF('Root Configurations'!R12="FROZEN","PASS","FAIL")</x:f>
        <x:v>PASS</x:v>
      </x:c>
      <x:c r="F17" s="21" t="str">
        <x:v>TERMINAL</x:v>
      </x:c>
      <x:c r="G17" s="48"/>
      <x:c r="H17" s="48"/>
      <x:c r="I17" s="48"/>
      <x:c r="J17" s="48"/>
      <x:c r="K17" s="48"/>
      <x:c r="L17" s="48"/>
      <x:c r="M17" s="48"/>
      <x:c r="N17" s="48"/>
      <x:c r="O17" s="48"/>
      <x:c r="P17" s="48"/>
      <x:c r="Q17" s="48"/>
      <x:c r="R17" s="48"/>
      <x:c r="S17" s="48"/>
      <x:c r="T17" s="48"/>
      <x:c r="U17" s="48"/>
      <x:c r="V17" s="48"/>
      <x:c r="W17" s="48"/>
    </x:row>
    <x:row r="18">
      <x:c r="C18" s="19" t="str">
        <x:v>AU-012</x:v>
      </x:c>
      <x:c r="D18" s="19" t="str">
        <x:v>MS-CT|B mechanism vector complete</x:v>
      </x:c>
      <x:c r="E18" s="19" t="str">
        <x:f>IF('Root Configurations'!L12=12,"PASS","FAIL")</x:f>
        <x:v>PASS</x:v>
      </x:c>
      <x:c r="F18" s="21" t="str">
        <x:v>TERMINAL</x:v>
      </x:c>
      <x:c r="G18" s="48"/>
      <x:c r="H18" s="48"/>
      <x:c r="I18" s="48"/>
      <x:c r="J18" s="48"/>
      <x:c r="K18" s="48"/>
      <x:c r="L18" s="48"/>
      <x:c r="M18" s="48"/>
      <x:c r="N18" s="48"/>
      <x:c r="O18" s="48"/>
      <x:c r="P18" s="48"/>
      <x:c r="Q18" s="48"/>
      <x:c r="R18" s="48"/>
      <x:c r="S18" s="48"/>
      <x:c r="T18" s="48"/>
      <x:c r="U18" s="48"/>
      <x:c r="V18" s="48"/>
      <x:c r="W18" s="48"/>
    </x:row>
    <x:row r="19">
      <x:c r="C19" s="19" t="str">
        <x:v>AU-013</x:v>
      </x:c>
      <x:c r="D19" s="19" t="str">
        <x:v>MS-CT|C configuration frozen</x:v>
      </x:c>
      <x:c r="E19" s="19" t="str">
        <x:f>IF('Root Configurations'!R13="FROZEN","PASS","FAIL")</x:f>
        <x:v>PASS</x:v>
      </x:c>
      <x:c r="F19" s="21" t="str">
        <x:v>TERMINAL</x:v>
      </x:c>
      <x:c r="G19" s="48"/>
      <x:c r="H19" s="48"/>
      <x:c r="I19" s="48"/>
      <x:c r="J19" s="48"/>
      <x:c r="K19" s="48"/>
      <x:c r="L19" s="48"/>
      <x:c r="M19" s="48"/>
      <x:c r="N19" s="48"/>
      <x:c r="O19" s="48"/>
      <x:c r="P19" s="48"/>
      <x:c r="Q19" s="48"/>
      <x:c r="R19" s="48"/>
      <x:c r="S19" s="48"/>
      <x:c r="T19" s="48"/>
      <x:c r="U19" s="48"/>
      <x:c r="V19" s="48"/>
      <x:c r="W19" s="48"/>
    </x:row>
    <x:row r="20">
      <x:c r="C20" s="19" t="str">
        <x:v>AU-014</x:v>
      </x:c>
      <x:c r="D20" s="19" t="str">
        <x:v>MS-CT|C mechanism vector complete</x:v>
      </x:c>
      <x:c r="E20" s="19" t="str">
        <x:f>IF('Root Configurations'!L13=12,"PASS","FAIL")</x:f>
        <x:v>PASS</x:v>
      </x:c>
      <x:c r="F20" s="21" t="str">
        <x:v>TERMINAL</x:v>
      </x:c>
      <x:c r="G20" s="48"/>
      <x:c r="H20" s="48"/>
      <x:c r="I20" s="48"/>
      <x:c r="J20" s="48"/>
      <x:c r="K20" s="48"/>
      <x:c r="L20" s="48"/>
      <x:c r="M20" s="48"/>
      <x:c r="N20" s="48"/>
      <x:c r="O20" s="48"/>
      <x:c r="P20" s="48"/>
      <x:c r="Q20" s="48"/>
      <x:c r="R20" s="48"/>
      <x:c r="S20" s="48"/>
      <x:c r="T20" s="48"/>
      <x:c r="U20" s="48"/>
      <x:c r="V20" s="48"/>
      <x:c r="W20" s="48"/>
    </x:row>
    <x:row r="21">
      <x:c r="C21" s="19" t="str">
        <x:v>AU-015</x:v>
      </x:c>
      <x:c r="D21" s="19" t="str">
        <x:v>MS-CT|D configuration frozen</x:v>
      </x:c>
      <x:c r="E21" s="19" t="str">
        <x:f>IF('Root Configurations'!R14="FROZEN","PASS","FAIL")</x:f>
        <x:v>PASS</x:v>
      </x:c>
      <x:c r="F21" s="21" t="str">
        <x:v>TERMINAL</x:v>
      </x:c>
      <x:c r="G21" s="48"/>
      <x:c r="H21" s="48"/>
      <x:c r="I21" s="48"/>
      <x:c r="J21" s="48"/>
      <x:c r="K21" s="48"/>
      <x:c r="L21" s="48"/>
      <x:c r="M21" s="48"/>
      <x:c r="N21" s="48"/>
      <x:c r="O21" s="48"/>
      <x:c r="P21" s="48"/>
      <x:c r="Q21" s="48"/>
      <x:c r="R21" s="48"/>
      <x:c r="S21" s="48"/>
      <x:c r="T21" s="48"/>
      <x:c r="U21" s="48"/>
      <x:c r="V21" s="48"/>
      <x:c r="W21" s="48"/>
    </x:row>
    <x:row r="22">
      <x:c r="C22" s="19" t="str">
        <x:v>AU-016</x:v>
      </x:c>
      <x:c r="D22" s="19" t="str">
        <x:v>MS-CT|D mechanism vector complete</x:v>
      </x:c>
      <x:c r="E22" s="19" t="str">
        <x:f>IF('Root Configurations'!L14=12,"PASS","FAIL")</x:f>
        <x:v>PASS</x:v>
      </x:c>
      <x:c r="F22" s="21" t="str">
        <x:v>TERMINAL</x:v>
      </x:c>
      <x:c r="G22" s="48"/>
      <x:c r="H22" s="48"/>
      <x:c r="I22" s="48"/>
      <x:c r="J22" s="48"/>
      <x:c r="K22" s="48"/>
      <x:c r="L22" s="48"/>
      <x:c r="M22" s="48"/>
      <x:c r="N22" s="48"/>
      <x:c r="O22" s="48"/>
      <x:c r="P22" s="48"/>
      <x:c r="Q22" s="48"/>
      <x:c r="R22" s="48"/>
      <x:c r="S22" s="48"/>
      <x:c r="T22" s="48"/>
      <x:c r="U22" s="48"/>
      <x:c r="V22" s="48"/>
      <x:c r="W22" s="48"/>
    </x:row>
    <x:row r="23">
      <x:c r="C23" s="19" t="str">
        <x:v>AU-017</x:v>
      </x:c>
      <x:c r="D23" s="19" t="str">
        <x:v>MS-HC|A configuration frozen</x:v>
      </x:c>
      <x:c r="E23" s="19" t="str">
        <x:f>IF('Root Configurations'!R15="FROZEN","PASS","FAIL")</x:f>
        <x:v>PASS</x:v>
      </x:c>
      <x:c r="F23" s="21" t="str">
        <x:v>TERMINAL</x:v>
      </x:c>
      <x:c r="G23" s="48"/>
      <x:c r="H23" s="48"/>
      <x:c r="I23" s="48"/>
      <x:c r="J23" s="48"/>
      <x:c r="K23" s="48"/>
      <x:c r="L23" s="48"/>
      <x:c r="M23" s="48"/>
      <x:c r="N23" s="48"/>
      <x:c r="O23" s="48"/>
      <x:c r="P23" s="48"/>
      <x:c r="Q23" s="48"/>
      <x:c r="R23" s="48"/>
      <x:c r="S23" s="48"/>
      <x:c r="T23" s="48"/>
      <x:c r="U23" s="48"/>
      <x:c r="V23" s="48"/>
      <x:c r="W23" s="48"/>
    </x:row>
    <x:row r="24">
      <x:c r="C24" s="19" t="str">
        <x:v>AU-018</x:v>
      </x:c>
      <x:c r="D24" s="19" t="str">
        <x:v>MS-HC|A mechanism vector complete</x:v>
      </x:c>
      <x:c r="E24" s="19" t="str">
        <x:f>IF('Root Configurations'!L15=12,"PASS","FAIL")</x:f>
        <x:v>PASS</x:v>
      </x:c>
      <x:c r="F24" s="21" t="str">
        <x:v>TERMINAL</x:v>
      </x:c>
      <x:c r="G24" s="48"/>
      <x:c r="H24" s="48"/>
      <x:c r="I24" s="48"/>
      <x:c r="J24" s="48"/>
      <x:c r="K24" s="48"/>
      <x:c r="L24" s="48"/>
      <x:c r="M24" s="48"/>
      <x:c r="N24" s="48"/>
      <x:c r="O24" s="48"/>
      <x:c r="P24" s="48"/>
      <x:c r="Q24" s="48"/>
      <x:c r="R24" s="48"/>
      <x:c r="S24" s="48"/>
      <x:c r="T24" s="48"/>
      <x:c r="U24" s="48"/>
      <x:c r="V24" s="48"/>
      <x:c r="W24" s="48"/>
    </x:row>
    <x:row r="25">
      <x:c r="C25" s="19" t="str">
        <x:v>AU-019</x:v>
      </x:c>
      <x:c r="D25" s="19" t="str">
        <x:v>MS-HC|B configuration frozen</x:v>
      </x:c>
      <x:c r="E25" s="19" t="str">
        <x:f>IF('Root Configurations'!R16="FROZEN","PASS","FAIL")</x:f>
        <x:v>PASS</x:v>
      </x:c>
      <x:c r="F25" s="21" t="str">
        <x:v>TERMINAL</x:v>
      </x:c>
      <x:c r="G25" s="48"/>
      <x:c r="H25" s="48"/>
      <x:c r="I25" s="48"/>
      <x:c r="J25" s="48"/>
      <x:c r="K25" s="48"/>
      <x:c r="L25" s="48"/>
      <x:c r="M25" s="48"/>
      <x:c r="N25" s="48"/>
      <x:c r="O25" s="48"/>
      <x:c r="P25" s="48"/>
      <x:c r="Q25" s="48"/>
      <x:c r="R25" s="48"/>
      <x:c r="S25" s="48"/>
      <x:c r="T25" s="48"/>
      <x:c r="U25" s="48"/>
      <x:c r="V25" s="48"/>
      <x:c r="W25" s="48"/>
    </x:row>
    <x:row r="26">
      <x:c r="C26" s="19" t="str">
        <x:v>AU-020</x:v>
      </x:c>
      <x:c r="D26" s="19" t="str">
        <x:v>MS-HC|B mechanism vector complete</x:v>
      </x:c>
      <x:c r="E26" s="19" t="str">
        <x:f>IF('Root Configurations'!L16=12,"PASS","FAIL")</x:f>
        <x:v>PASS</x:v>
      </x:c>
      <x:c r="F26" s="21" t="str">
        <x:v>TERMINAL</x:v>
      </x:c>
      <x:c r="G26" s="48"/>
      <x:c r="H26" s="48"/>
      <x:c r="I26" s="48"/>
      <x:c r="J26" s="48"/>
      <x:c r="K26" s="48"/>
      <x:c r="L26" s="48"/>
      <x:c r="M26" s="48"/>
      <x:c r="N26" s="48"/>
      <x:c r="O26" s="48"/>
      <x:c r="P26" s="48"/>
      <x:c r="Q26" s="48"/>
      <x:c r="R26" s="48"/>
      <x:c r="S26" s="48"/>
      <x:c r="T26" s="48"/>
      <x:c r="U26" s="48"/>
      <x:c r="V26" s="48"/>
      <x:c r="W26" s="48"/>
    </x:row>
    <x:row r="27">
      <x:c r="C27" s="19" t="str">
        <x:v>AU-021</x:v>
      </x:c>
      <x:c r="D27" s="19" t="str">
        <x:v>MS-HC|C configuration frozen</x:v>
      </x:c>
      <x:c r="E27" s="19" t="str">
        <x:f>IF('Root Configurations'!R17="FROZEN","PASS","FAIL")</x:f>
        <x:v>PASS</x:v>
      </x:c>
      <x:c r="F27" s="21" t="str">
        <x:v>TERMINAL</x:v>
      </x:c>
      <x:c r="G27" s="48"/>
      <x:c r="H27" s="48"/>
      <x:c r="I27" s="48"/>
      <x:c r="J27" s="48"/>
      <x:c r="K27" s="48"/>
      <x:c r="L27" s="48"/>
      <x:c r="M27" s="48"/>
      <x:c r="N27" s="48"/>
      <x:c r="O27" s="48"/>
      <x:c r="P27" s="48"/>
      <x:c r="Q27" s="48"/>
      <x:c r="R27" s="48"/>
      <x:c r="S27" s="48"/>
      <x:c r="T27" s="48"/>
      <x:c r="U27" s="48"/>
      <x:c r="V27" s="48"/>
      <x:c r="W27" s="48"/>
    </x:row>
    <x:row r="28">
      <x:c r="C28" s="19" t="str">
        <x:v>AU-022</x:v>
      </x:c>
      <x:c r="D28" s="19" t="str">
        <x:v>MS-HC|C mechanism vector complete</x:v>
      </x:c>
      <x:c r="E28" s="19" t="str">
        <x:f>IF('Root Configurations'!L17=12,"PASS","FAIL")</x:f>
        <x:v>PASS</x:v>
      </x:c>
      <x:c r="F28" s="21" t="str">
        <x:v>TERMINAL</x:v>
      </x:c>
      <x:c r="G28" s="48"/>
      <x:c r="H28" s="48"/>
      <x:c r="I28" s="48"/>
      <x:c r="J28" s="48"/>
      <x:c r="K28" s="48"/>
      <x:c r="L28" s="48"/>
      <x:c r="M28" s="48"/>
      <x:c r="N28" s="48"/>
      <x:c r="O28" s="48"/>
      <x:c r="P28" s="48"/>
      <x:c r="Q28" s="48"/>
      <x:c r="R28" s="48"/>
      <x:c r="S28" s="48"/>
      <x:c r="T28" s="48"/>
      <x:c r="U28" s="48"/>
      <x:c r="V28" s="48"/>
      <x:c r="W28" s="48"/>
    </x:row>
    <x:row r="29">
      <x:c r="C29" s="19" t="str">
        <x:v>AU-023</x:v>
      </x:c>
      <x:c r="D29" s="19" t="str">
        <x:v>MS-HC|D configuration frozen</x:v>
      </x:c>
      <x:c r="E29" s="19" t="str">
        <x:f>IF('Root Configurations'!R18="FROZEN","PASS","FAIL")</x:f>
        <x:v>PASS</x:v>
      </x:c>
      <x:c r="F29" s="21" t="str">
        <x:v>TERMINAL</x:v>
      </x:c>
      <x:c r="G29" s="48"/>
      <x:c r="H29" s="48"/>
      <x:c r="I29" s="48"/>
      <x:c r="J29" s="48"/>
      <x:c r="K29" s="48"/>
      <x:c r="L29" s="48"/>
      <x:c r="M29" s="48"/>
      <x:c r="N29" s="48"/>
      <x:c r="O29" s="48"/>
      <x:c r="P29" s="48"/>
      <x:c r="Q29" s="48"/>
      <x:c r="R29" s="48"/>
      <x:c r="S29" s="48"/>
      <x:c r="T29" s="48"/>
      <x:c r="U29" s="48"/>
      <x:c r="V29" s="48"/>
      <x:c r="W29" s="48"/>
    </x:row>
    <x:row r="30">
      <x:c r="C30" s="19" t="str">
        <x:v>AU-024</x:v>
      </x:c>
      <x:c r="D30" s="19" t="str">
        <x:v>MS-HC|D mechanism vector complete</x:v>
      </x:c>
      <x:c r="E30" s="19" t="str">
        <x:f>IF('Root Configurations'!L18=12,"PASS","FAIL")</x:f>
        <x:v>PASS</x:v>
      </x:c>
      <x:c r="F30" s="21" t="str">
        <x:v>TERMINAL</x:v>
      </x:c>
      <x:c r="G30" s="48"/>
      <x:c r="H30" s="48"/>
      <x:c r="I30" s="48"/>
      <x:c r="J30" s="48"/>
      <x:c r="K30" s="48"/>
      <x:c r="L30" s="48"/>
      <x:c r="M30" s="48"/>
      <x:c r="N30" s="48"/>
      <x:c r="O30" s="48"/>
      <x:c r="P30" s="48"/>
      <x:c r="Q30" s="48"/>
      <x:c r="R30" s="48"/>
      <x:c r="S30" s="48"/>
      <x:c r="T30" s="48"/>
      <x:c r="U30" s="48"/>
      <x:c r="V30" s="48"/>
      <x:c r="W30" s="48"/>
    </x:row>
    <x:row r="31">
      <x:c r="C31" s="19" t="str">
        <x:v>AU-025</x:v>
      </x:c>
      <x:c r="D31" s="19" t="str">
        <x:v>MS-HU|A configuration frozen</x:v>
      </x:c>
      <x:c r="E31" s="19" t="str">
        <x:f>IF('Root Configurations'!R19="FROZEN","PASS","FAIL")</x:f>
        <x:v>PASS</x:v>
      </x:c>
      <x:c r="F31" s="21" t="str">
        <x:v>TERMINAL</x:v>
      </x:c>
      <x:c r="G31" s="48"/>
      <x:c r="H31" s="48"/>
      <x:c r="I31" s="48"/>
      <x:c r="J31" s="48"/>
      <x:c r="K31" s="48"/>
      <x:c r="L31" s="48"/>
      <x:c r="M31" s="48"/>
      <x:c r="N31" s="48"/>
      <x:c r="O31" s="48"/>
      <x:c r="P31" s="48"/>
      <x:c r="Q31" s="48"/>
      <x:c r="R31" s="48"/>
      <x:c r="S31" s="48"/>
      <x:c r="T31" s="48"/>
      <x:c r="U31" s="48"/>
      <x:c r="V31" s="48"/>
      <x:c r="W31" s="48"/>
    </x:row>
    <x:row r="32">
      <x:c r="C32" s="19" t="str">
        <x:v>AU-026</x:v>
      </x:c>
      <x:c r="D32" s="19" t="str">
        <x:v>MS-HU|A mechanism vector complete</x:v>
      </x:c>
      <x:c r="E32" s="19" t="str">
        <x:f>IF('Root Configurations'!L19=12,"PASS","FAIL")</x:f>
        <x:v>PASS</x:v>
      </x:c>
      <x:c r="F32" s="21" t="str">
        <x:v>TERMINAL</x:v>
      </x:c>
      <x:c r="G32" s="48"/>
      <x:c r="H32" s="48"/>
      <x:c r="I32" s="48"/>
      <x:c r="J32" s="48"/>
      <x:c r="K32" s="48"/>
      <x:c r="L32" s="48"/>
      <x:c r="M32" s="48"/>
      <x:c r="N32" s="48"/>
      <x:c r="O32" s="48"/>
      <x:c r="P32" s="48"/>
      <x:c r="Q32" s="48"/>
      <x:c r="R32" s="48"/>
      <x:c r="S32" s="48"/>
      <x:c r="T32" s="48"/>
      <x:c r="U32" s="48"/>
      <x:c r="V32" s="48"/>
      <x:c r="W32" s="48"/>
    </x:row>
    <x:row r="33">
      <x:c r="C33" s="19" t="str">
        <x:v>AU-027</x:v>
      </x:c>
      <x:c r="D33" s="19" t="str">
        <x:v>MS-HU|B configuration frozen</x:v>
      </x:c>
      <x:c r="E33" s="19" t="str">
        <x:f>IF('Root Configurations'!R20="FROZEN","PASS","FAIL")</x:f>
        <x:v>PASS</x:v>
      </x:c>
      <x:c r="F33" s="21" t="str">
        <x:v>TERMINAL</x:v>
      </x:c>
      <x:c r="G33" s="48"/>
      <x:c r="H33" s="48"/>
      <x:c r="I33" s="48"/>
      <x:c r="J33" s="48"/>
      <x:c r="K33" s="48"/>
      <x:c r="L33" s="48"/>
      <x:c r="M33" s="48"/>
      <x:c r="N33" s="48"/>
      <x:c r="O33" s="48"/>
      <x:c r="P33" s="48"/>
      <x:c r="Q33" s="48"/>
      <x:c r="R33" s="48"/>
      <x:c r="S33" s="48"/>
      <x:c r="T33" s="48"/>
      <x:c r="U33" s="48"/>
      <x:c r="V33" s="48"/>
      <x:c r="W33" s="48"/>
    </x:row>
    <x:row r="34">
      <x:c r="C34" s="19" t="str">
        <x:v>AU-028</x:v>
      </x:c>
      <x:c r="D34" s="19" t="str">
        <x:v>MS-HU|B mechanism vector complete</x:v>
      </x:c>
      <x:c r="E34" s="19" t="str">
        <x:f>IF('Root Configurations'!L20=12,"PASS","FAIL")</x:f>
        <x:v>PASS</x:v>
      </x:c>
      <x:c r="F34" s="21" t="str">
        <x:v>TERMINAL</x:v>
      </x:c>
      <x:c r="G34" s="48"/>
      <x:c r="H34" s="48"/>
      <x:c r="I34" s="48"/>
      <x:c r="J34" s="48"/>
      <x:c r="K34" s="48"/>
      <x:c r="L34" s="48"/>
      <x:c r="M34" s="48"/>
      <x:c r="N34" s="48"/>
      <x:c r="O34" s="48"/>
      <x:c r="P34" s="48"/>
      <x:c r="Q34" s="48"/>
      <x:c r="R34" s="48"/>
      <x:c r="S34" s="48"/>
      <x:c r="T34" s="48"/>
      <x:c r="U34" s="48"/>
      <x:c r="V34" s="48"/>
      <x:c r="W34" s="48"/>
    </x:row>
    <x:row r="35">
      <x:c r="C35" s="19" t="str">
        <x:v>AU-029</x:v>
      </x:c>
      <x:c r="D35" s="19" t="str">
        <x:v>MS-HU|C configuration frozen</x:v>
      </x:c>
      <x:c r="E35" s="19" t="str">
        <x:f>IF('Root Configurations'!R21="FROZEN","PASS","FAIL")</x:f>
        <x:v>PASS</x:v>
      </x:c>
      <x:c r="F35" s="21" t="str">
        <x:v>TERMINAL</x:v>
      </x:c>
      <x:c r="G35" s="48"/>
      <x:c r="H35" s="48"/>
      <x:c r="I35" s="48"/>
      <x:c r="J35" s="48"/>
      <x:c r="K35" s="48"/>
      <x:c r="L35" s="48"/>
      <x:c r="M35" s="48"/>
      <x:c r="N35" s="48"/>
      <x:c r="O35" s="48"/>
      <x:c r="P35" s="48"/>
      <x:c r="Q35" s="48"/>
      <x:c r="R35" s="48"/>
      <x:c r="S35" s="48"/>
      <x:c r="T35" s="48"/>
      <x:c r="U35" s="48"/>
      <x:c r="V35" s="48"/>
      <x:c r="W35" s="48"/>
    </x:row>
    <x:row r="36">
      <x:c r="C36" s="19" t="str">
        <x:v>AU-030</x:v>
      </x:c>
      <x:c r="D36" s="19" t="str">
        <x:v>MS-HU|C mechanism vector complete</x:v>
      </x:c>
      <x:c r="E36" s="19" t="str">
        <x:f>IF('Root Configurations'!L21=12,"PASS","FAIL")</x:f>
        <x:v>PASS</x:v>
      </x:c>
      <x:c r="F36" s="21" t="str">
        <x:v>TERMINAL</x:v>
      </x:c>
      <x:c r="G36" s="48"/>
      <x:c r="H36" s="48"/>
      <x:c r="I36" s="48"/>
      <x:c r="J36" s="48"/>
      <x:c r="K36" s="48"/>
      <x:c r="L36" s="48"/>
      <x:c r="M36" s="48"/>
      <x:c r="N36" s="48"/>
      <x:c r="O36" s="48"/>
      <x:c r="P36" s="48"/>
      <x:c r="Q36" s="48"/>
      <x:c r="R36" s="48"/>
      <x:c r="S36" s="48"/>
      <x:c r="T36" s="48"/>
      <x:c r="U36" s="48"/>
      <x:c r="V36" s="48"/>
      <x:c r="W36" s="48"/>
    </x:row>
    <x:row r="37">
      <x:c r="C37" s="19" t="str">
        <x:v>AU-031</x:v>
      </x:c>
      <x:c r="D37" s="19" t="str">
        <x:v>MS-HU|D configuration frozen</x:v>
      </x:c>
      <x:c r="E37" s="19" t="str">
        <x:f>IF('Root Configurations'!R22="FROZEN","PASS","FAIL")</x:f>
        <x:v>PASS</x:v>
      </x:c>
      <x:c r="F37" s="21" t="str">
        <x:v>TERMINAL</x:v>
      </x:c>
      <x:c r="G37" s="48"/>
      <x:c r="H37" s="48"/>
      <x:c r="I37" s="48"/>
      <x:c r="J37" s="48"/>
      <x:c r="K37" s="48"/>
      <x:c r="L37" s="48"/>
      <x:c r="M37" s="48"/>
      <x:c r="N37" s="48"/>
      <x:c r="O37" s="48"/>
      <x:c r="P37" s="48"/>
      <x:c r="Q37" s="48"/>
      <x:c r="R37" s="48"/>
      <x:c r="S37" s="48"/>
      <x:c r="T37" s="48"/>
      <x:c r="U37" s="48"/>
      <x:c r="V37" s="48"/>
      <x:c r="W37" s="48"/>
    </x:row>
    <x:row r="38">
      <x:c r="C38" s="19" t="str">
        <x:v>AU-032</x:v>
      </x:c>
      <x:c r="D38" s="19" t="str">
        <x:v>MS-HU|D mechanism vector complete</x:v>
      </x:c>
      <x:c r="E38" s="19" t="str">
        <x:f>IF('Root Configurations'!L22=12,"PASS","FAIL")</x:f>
        <x:v>PASS</x:v>
      </x:c>
      <x:c r="F38" s="21" t="str">
        <x:v>TERMINAL</x:v>
      </x:c>
      <x:c r="G38" s="48"/>
      <x:c r="H38" s="48"/>
      <x:c r="I38" s="48"/>
      <x:c r="J38" s="48"/>
      <x:c r="K38" s="48"/>
      <x:c r="L38" s="48"/>
      <x:c r="M38" s="48"/>
      <x:c r="N38" s="48"/>
      <x:c r="O38" s="48"/>
      <x:c r="P38" s="48"/>
      <x:c r="Q38" s="48"/>
      <x:c r="R38" s="48"/>
      <x:c r="S38" s="48"/>
      <x:c r="T38" s="48"/>
      <x:c r="U38" s="48"/>
      <x:c r="V38" s="48"/>
      <x:c r="W38" s="48"/>
    </x:row>
    <x:row r="39">
      <x:c r="C39" s="19" t="str">
        <x:v>AU-033</x:v>
      </x:c>
      <x:c r="D39" s="19" t="str">
        <x:v>MS-RT|A configuration frozen</x:v>
      </x:c>
      <x:c r="E39" s="19" t="str">
        <x:f>IF('Root Configurations'!R23="FROZEN","PASS","FAIL")</x:f>
        <x:v>PASS</x:v>
      </x:c>
      <x:c r="F39" s="21" t="str">
        <x:v>TERMINAL</x:v>
      </x:c>
      <x:c r="G39" s="48"/>
      <x:c r="H39" s="48"/>
      <x:c r="I39" s="48"/>
      <x:c r="J39" s="48"/>
      <x:c r="K39" s="48"/>
      <x:c r="L39" s="48"/>
      <x:c r="M39" s="48"/>
      <x:c r="N39" s="48"/>
      <x:c r="O39" s="48"/>
      <x:c r="P39" s="48"/>
      <x:c r="Q39" s="48"/>
      <x:c r="R39" s="48"/>
      <x:c r="S39" s="48"/>
      <x:c r="T39" s="48"/>
      <x:c r="U39" s="48"/>
      <x:c r="V39" s="48"/>
      <x:c r="W39" s="48"/>
    </x:row>
    <x:row r="40">
      <x:c r="C40" s="19" t="str">
        <x:v>AU-034</x:v>
      </x:c>
      <x:c r="D40" s="19" t="str">
        <x:v>MS-RT|A mechanism vector complete</x:v>
      </x:c>
      <x:c r="E40" s="19" t="str">
        <x:f>IF('Root Configurations'!L23=12,"PASS","FAIL")</x:f>
        <x:v>PASS</x:v>
      </x:c>
      <x:c r="F40" s="21" t="str">
        <x:v>TERMINAL</x:v>
      </x:c>
      <x:c r="G40" s="48"/>
      <x:c r="H40" s="48"/>
      <x:c r="I40" s="48"/>
      <x:c r="J40" s="48"/>
      <x:c r="K40" s="48"/>
      <x:c r="L40" s="48"/>
      <x:c r="M40" s="48"/>
      <x:c r="N40" s="48"/>
      <x:c r="O40" s="48"/>
      <x:c r="P40" s="48"/>
      <x:c r="Q40" s="48"/>
      <x:c r="R40" s="48"/>
      <x:c r="S40" s="48"/>
      <x:c r="T40" s="48"/>
      <x:c r="U40" s="48"/>
      <x:c r="V40" s="48"/>
      <x:c r="W40" s="48"/>
    </x:row>
    <x:row r="41">
      <x:c r="C41" s="19" t="str">
        <x:v>AU-035</x:v>
      </x:c>
      <x:c r="D41" s="19" t="str">
        <x:v>MS-RT|B configuration frozen</x:v>
      </x:c>
      <x:c r="E41" s="19" t="str">
        <x:f>IF('Root Configurations'!R24="FROZEN","PASS","FAIL")</x:f>
        <x:v>PASS</x:v>
      </x:c>
      <x:c r="F41" s="21" t="str">
        <x:v>TERMINAL</x:v>
      </x:c>
      <x:c r="G41" s="48"/>
      <x:c r="H41" s="48"/>
      <x:c r="I41" s="48"/>
      <x:c r="J41" s="48"/>
      <x:c r="K41" s="48"/>
      <x:c r="L41" s="48"/>
      <x:c r="M41" s="48"/>
      <x:c r="N41" s="48"/>
      <x:c r="O41" s="48"/>
      <x:c r="P41" s="48"/>
      <x:c r="Q41" s="48"/>
      <x:c r="R41" s="48"/>
      <x:c r="S41" s="48"/>
      <x:c r="T41" s="48"/>
      <x:c r="U41" s="48"/>
      <x:c r="V41" s="48"/>
      <x:c r="W41" s="48"/>
    </x:row>
    <x:row r="42">
      <x:c r="C42" s="19" t="str">
        <x:v>AU-036</x:v>
      </x:c>
      <x:c r="D42" s="19" t="str">
        <x:v>MS-RT|B mechanism vector complete</x:v>
      </x:c>
      <x:c r="E42" s="19" t="str">
        <x:f>IF('Root Configurations'!L24=12,"PASS","FAIL")</x:f>
        <x:v>PASS</x:v>
      </x:c>
      <x:c r="F42" s="21" t="str">
        <x:v>TERMINAL</x:v>
      </x:c>
      <x:c r="G42" s="48"/>
      <x:c r="H42" s="48"/>
      <x:c r="I42" s="48"/>
      <x:c r="J42" s="48"/>
      <x:c r="K42" s="48"/>
      <x:c r="L42" s="48"/>
      <x:c r="M42" s="48"/>
      <x:c r="N42" s="48"/>
      <x:c r="O42" s="48"/>
      <x:c r="P42" s="48"/>
      <x:c r="Q42" s="48"/>
      <x:c r="R42" s="48"/>
      <x:c r="S42" s="48"/>
      <x:c r="T42" s="48"/>
      <x:c r="U42" s="48"/>
      <x:c r="V42" s="48"/>
      <x:c r="W42" s="48"/>
    </x:row>
    <x:row r="43">
      <x:c r="C43" s="19" t="str">
        <x:v>AU-037</x:v>
      </x:c>
      <x:c r="D43" s="19" t="str">
        <x:v>MS-RT|C configuration frozen</x:v>
      </x:c>
      <x:c r="E43" s="19" t="str">
        <x:f>IF('Root Configurations'!R25="FROZEN","PASS","FAIL")</x:f>
        <x:v>PASS</x:v>
      </x:c>
      <x:c r="F43" s="21" t="str">
        <x:v>TERMINAL</x:v>
      </x:c>
      <x:c r="G43" s="48"/>
      <x:c r="H43" s="48"/>
      <x:c r="I43" s="48"/>
      <x:c r="J43" s="48"/>
      <x:c r="K43" s="48"/>
      <x:c r="L43" s="48"/>
      <x:c r="M43" s="48"/>
      <x:c r="N43" s="48"/>
      <x:c r="O43" s="48"/>
      <x:c r="P43" s="48"/>
      <x:c r="Q43" s="48"/>
      <x:c r="R43" s="48"/>
      <x:c r="S43" s="48"/>
      <x:c r="T43" s="48"/>
      <x:c r="U43" s="48"/>
      <x:c r="V43" s="48"/>
      <x:c r="W43" s="48"/>
    </x:row>
    <x:row r="44">
      <x:c r="C44" s="19" t="str">
        <x:v>AU-038</x:v>
      </x:c>
      <x:c r="D44" s="19" t="str">
        <x:v>MS-RT|C mechanism vector complete</x:v>
      </x:c>
      <x:c r="E44" s="19" t="str">
        <x:f>IF('Root Configurations'!L25=12,"PASS","FAIL")</x:f>
        <x:v>PASS</x:v>
      </x:c>
      <x:c r="F44" s="21" t="str">
        <x:v>TERMINAL</x:v>
      </x:c>
      <x:c r="G44" s="48"/>
      <x:c r="H44" s="48"/>
      <x:c r="I44" s="48"/>
      <x:c r="J44" s="48"/>
      <x:c r="K44" s="48"/>
      <x:c r="L44" s="48"/>
      <x:c r="M44" s="48"/>
      <x:c r="N44" s="48"/>
      <x:c r="O44" s="48"/>
      <x:c r="P44" s="48"/>
      <x:c r="Q44" s="48"/>
      <x:c r="R44" s="48"/>
      <x:c r="S44" s="48"/>
      <x:c r="T44" s="48"/>
      <x:c r="U44" s="48"/>
      <x:c r="V44" s="48"/>
      <x:c r="W44" s="48"/>
    </x:row>
    <x:row r="45">
      <x:c r="C45" s="19" t="str">
        <x:v>AU-039</x:v>
      </x:c>
      <x:c r="D45" s="19" t="str">
        <x:v>MS-RT|D configuration frozen</x:v>
      </x:c>
      <x:c r="E45" s="19" t="str">
        <x:f>IF('Root Configurations'!R26="FROZEN","PASS","FAIL")</x:f>
        <x:v>PASS</x:v>
      </x:c>
      <x:c r="F45" s="21" t="str">
        <x:v>TERMINAL</x:v>
      </x:c>
      <x:c r="G45" s="48"/>
      <x:c r="H45" s="48"/>
      <x:c r="I45" s="48"/>
      <x:c r="J45" s="48"/>
      <x:c r="K45" s="48"/>
      <x:c r="L45" s="48"/>
      <x:c r="M45" s="48"/>
      <x:c r="N45" s="48"/>
      <x:c r="O45" s="48"/>
      <x:c r="P45" s="48"/>
      <x:c r="Q45" s="48"/>
      <x:c r="R45" s="48"/>
      <x:c r="S45" s="48"/>
      <x:c r="T45" s="48"/>
      <x:c r="U45" s="48"/>
      <x:c r="V45" s="48"/>
      <x:c r="W45" s="48"/>
    </x:row>
    <x:row r="46">
      <x:c r="C46" s="19" t="str">
        <x:v>AU-040</x:v>
      </x:c>
      <x:c r="D46" s="19" t="str">
        <x:v>MS-RT|D mechanism vector complete</x:v>
      </x:c>
      <x:c r="E46" s="19" t="str">
        <x:f>IF('Root Configurations'!L26=12,"PASS","FAIL")</x:f>
        <x:v>PASS</x:v>
      </x:c>
      <x:c r="F46" s="21" t="str">
        <x:v>TERMINAL</x:v>
      </x:c>
      <x:c r="G46" s="48"/>
      <x:c r="H46" s="48"/>
      <x:c r="I46" s="48"/>
      <x:c r="J46" s="48"/>
      <x:c r="K46" s="48"/>
      <x:c r="L46" s="48"/>
      <x:c r="M46" s="48"/>
      <x:c r="N46" s="48"/>
      <x:c r="O46" s="48"/>
      <x:c r="P46" s="48"/>
      <x:c r="Q46" s="48"/>
      <x:c r="R46" s="48"/>
      <x:c r="S46" s="48"/>
      <x:c r="T46" s="48"/>
      <x:c r="U46" s="48"/>
      <x:c r="V46" s="48"/>
      <x:c r="W46" s="48"/>
    </x:row>
    <x:row r="47">
      <x:c r="C47" s="19" t="str">
        <x:v>AU-041</x:v>
      </x:c>
      <x:c r="D47" s="19" t="str">
        <x:v>MS-ET|A/MS-ET|B distance and anchors</x:v>
      </x:c>
      <x:c r="E47" s="19" t="str">
        <x:f>IF('Pairwise Distance'!W7="PASS","PASS","FAIL")</x:f>
        <x:v>PASS</x:v>
      </x:c>
      <x:c r="F47" s="21" t="str">
        <x:v>TERMINAL</x:v>
      </x:c>
      <x:c r="G47" s="48"/>
      <x:c r="H47" s="48"/>
      <x:c r="I47" s="48"/>
      <x:c r="J47" s="48"/>
      <x:c r="K47" s="48"/>
      <x:c r="L47" s="48"/>
      <x:c r="M47" s="48"/>
      <x:c r="N47" s="48"/>
      <x:c r="O47" s="48"/>
      <x:c r="P47" s="48"/>
      <x:c r="Q47" s="48"/>
      <x:c r="R47" s="48"/>
      <x:c r="S47" s="48"/>
      <x:c r="T47" s="48"/>
      <x:c r="U47" s="48"/>
      <x:c r="V47" s="48"/>
      <x:c r="W47" s="48"/>
    </x:row>
    <x:row r="48">
      <x:c r="C48" s="19" t="str">
        <x:v>AU-042</x:v>
      </x:c>
      <x:c r="D48" s="19" t="str">
        <x:v>MS-ET|A/MS-ET|C distance and anchors</x:v>
      </x:c>
      <x:c r="E48" s="19" t="str">
        <x:f>IF('Pairwise Distance'!W8="PASS","PASS","FAIL")</x:f>
        <x:v>PASS</x:v>
      </x:c>
      <x:c r="F48" s="21" t="str">
        <x:v>TERMINAL</x:v>
      </x:c>
      <x:c r="G48" s="48"/>
      <x:c r="H48" s="48"/>
      <x:c r="I48" s="48"/>
      <x:c r="J48" s="48"/>
      <x:c r="K48" s="48"/>
      <x:c r="L48" s="48"/>
      <x:c r="M48" s="48"/>
      <x:c r="N48" s="48"/>
      <x:c r="O48" s="48"/>
      <x:c r="P48" s="48"/>
      <x:c r="Q48" s="48"/>
      <x:c r="R48" s="48"/>
      <x:c r="S48" s="48"/>
      <x:c r="T48" s="48"/>
      <x:c r="U48" s="48"/>
      <x:c r="V48" s="48"/>
      <x:c r="W48" s="48"/>
    </x:row>
    <x:row r="49">
      <x:c r="C49" s="19" t="str">
        <x:v>AU-043</x:v>
      </x:c>
      <x:c r="D49" s="19" t="str">
        <x:v>MS-ET|A/MS-ET|D distance and anchors</x:v>
      </x:c>
      <x:c r="E49" s="19" t="str">
        <x:f>IF('Pairwise Distance'!W9="PASS","PASS","FAIL")</x:f>
        <x:v>PASS</x:v>
      </x:c>
      <x:c r="F49" s="21" t="str">
        <x:v>TERMINAL</x:v>
      </x:c>
      <x:c r="G49" s="48"/>
      <x:c r="H49" s="48"/>
      <x:c r="I49" s="48"/>
      <x:c r="J49" s="48"/>
      <x:c r="K49" s="48"/>
      <x:c r="L49" s="48"/>
      <x:c r="M49" s="48"/>
      <x:c r="N49" s="48"/>
      <x:c r="O49" s="48"/>
      <x:c r="P49" s="48"/>
      <x:c r="Q49" s="48"/>
      <x:c r="R49" s="48"/>
      <x:c r="S49" s="48"/>
      <x:c r="T49" s="48"/>
      <x:c r="U49" s="48"/>
      <x:c r="V49" s="48"/>
      <x:c r="W49" s="48"/>
    </x:row>
    <x:row r="50">
      <x:c r="C50" s="19" t="str">
        <x:v>AU-044</x:v>
      </x:c>
      <x:c r="D50" s="19" t="str">
        <x:v>MS-ET|B/MS-ET|C distance and anchors</x:v>
      </x:c>
      <x:c r="E50" s="19" t="str">
        <x:f>IF('Pairwise Distance'!W10="PASS","PASS","FAIL")</x:f>
        <x:v>PASS</x:v>
      </x:c>
      <x:c r="F50" s="21" t="str">
        <x:v>TERMINAL</x:v>
      </x:c>
      <x:c r="G50" s="48"/>
      <x:c r="H50" s="48"/>
      <x:c r="I50" s="48"/>
      <x:c r="J50" s="48"/>
      <x:c r="K50" s="48"/>
      <x:c r="L50" s="48"/>
      <x:c r="M50" s="48"/>
      <x:c r="N50" s="48"/>
      <x:c r="O50" s="48"/>
      <x:c r="P50" s="48"/>
      <x:c r="Q50" s="48"/>
      <x:c r="R50" s="48"/>
      <x:c r="S50" s="48"/>
      <x:c r="T50" s="48"/>
      <x:c r="U50" s="48"/>
      <x:c r="V50" s="48"/>
      <x:c r="W50" s="48"/>
    </x:row>
    <x:row r="51">
      <x:c r="C51" s="19" t="str">
        <x:v>AU-045</x:v>
      </x:c>
      <x:c r="D51" s="19" t="str">
        <x:v>MS-ET|B/MS-ET|D distance and anchors</x:v>
      </x:c>
      <x:c r="E51" s="19" t="str">
        <x:f>IF('Pairwise Distance'!W11="PASS","PASS","FAIL")</x:f>
        <x:v>PASS</x:v>
      </x:c>
      <x:c r="F51" s="21" t="str">
        <x:v>TERMINAL</x:v>
      </x:c>
      <x:c r="G51" s="48"/>
      <x:c r="H51" s="48"/>
      <x:c r="I51" s="48"/>
      <x:c r="J51" s="48"/>
      <x:c r="K51" s="48"/>
      <x:c r="L51" s="48"/>
      <x:c r="M51" s="48"/>
      <x:c r="N51" s="48"/>
      <x:c r="O51" s="48"/>
      <x:c r="P51" s="48"/>
      <x:c r="Q51" s="48"/>
      <x:c r="R51" s="48"/>
      <x:c r="S51" s="48"/>
      <x:c r="T51" s="48"/>
      <x:c r="U51" s="48"/>
      <x:c r="V51" s="48"/>
      <x:c r="W51" s="48"/>
    </x:row>
    <x:row r="52">
      <x:c r="C52" s="19" t="str">
        <x:v>AU-046</x:v>
      </x:c>
      <x:c r="D52" s="19" t="str">
        <x:v>MS-ET|C/MS-ET|D distance and anchors</x:v>
      </x:c>
      <x:c r="E52" s="19" t="str">
        <x:f>IF('Pairwise Distance'!W12="PASS","PASS","FAIL")</x:f>
        <x:v>PASS</x:v>
      </x:c>
      <x:c r="F52" s="21" t="str">
        <x:v>TERMINAL</x:v>
      </x:c>
      <x:c r="G52" s="48"/>
      <x:c r="H52" s="48"/>
      <x:c r="I52" s="48"/>
      <x:c r="J52" s="48"/>
      <x:c r="K52" s="48"/>
      <x:c r="L52" s="48"/>
      <x:c r="M52" s="48"/>
      <x:c r="N52" s="48"/>
      <x:c r="O52" s="48"/>
      <x:c r="P52" s="48"/>
      <x:c r="Q52" s="48"/>
      <x:c r="R52" s="48"/>
      <x:c r="S52" s="48"/>
      <x:c r="T52" s="48"/>
      <x:c r="U52" s="48"/>
      <x:c r="V52" s="48"/>
      <x:c r="W52" s="48"/>
    </x:row>
    <x:row r="53">
      <x:c r="C53" s="19" t="str">
        <x:v>AU-047</x:v>
      </x:c>
      <x:c r="D53" s="19" t="str">
        <x:v>MS-CT|A/MS-CT|B distance and anchors</x:v>
      </x:c>
      <x:c r="E53" s="19" t="str">
        <x:f>IF('Pairwise Distance'!W13="PASS","PASS","FAIL")</x:f>
        <x:v>PASS</x:v>
      </x:c>
      <x:c r="F53" s="21" t="str">
        <x:v>TERMINAL</x:v>
      </x:c>
      <x:c r="G53" s="48"/>
      <x:c r="H53" s="48"/>
      <x:c r="I53" s="48"/>
      <x:c r="J53" s="48"/>
      <x:c r="K53" s="48"/>
      <x:c r="L53" s="48"/>
      <x:c r="M53" s="48"/>
      <x:c r="N53" s="48"/>
      <x:c r="O53" s="48"/>
      <x:c r="P53" s="48"/>
      <x:c r="Q53" s="48"/>
      <x:c r="R53" s="48"/>
      <x:c r="S53" s="48"/>
      <x:c r="T53" s="48"/>
      <x:c r="U53" s="48"/>
      <x:c r="V53" s="48"/>
      <x:c r="W53" s="48"/>
    </x:row>
    <x:row r="54">
      <x:c r="C54" s="19" t="str">
        <x:v>AU-048</x:v>
      </x:c>
      <x:c r="D54" s="19" t="str">
        <x:v>MS-CT|A/MS-CT|C distance and anchors</x:v>
      </x:c>
      <x:c r="E54" s="19" t="str">
        <x:f>IF('Pairwise Distance'!W14="PASS","PASS","FAIL")</x:f>
        <x:v>PASS</x:v>
      </x:c>
      <x:c r="F54" s="21" t="str">
        <x:v>TERMINAL</x:v>
      </x:c>
      <x:c r="G54" s="48"/>
      <x:c r="H54" s="48"/>
      <x:c r="I54" s="48"/>
      <x:c r="J54" s="48"/>
      <x:c r="K54" s="48"/>
      <x:c r="L54" s="48"/>
      <x:c r="M54" s="48"/>
      <x:c r="N54" s="48"/>
      <x:c r="O54" s="48"/>
      <x:c r="P54" s="48"/>
      <x:c r="Q54" s="48"/>
      <x:c r="R54" s="48"/>
      <x:c r="S54" s="48"/>
      <x:c r="T54" s="48"/>
      <x:c r="U54" s="48"/>
      <x:c r="V54" s="48"/>
      <x:c r="W54" s="48"/>
    </x:row>
    <x:row r="55">
      <x:c r="C55" s="19" t="str">
        <x:v>AU-049</x:v>
      </x:c>
      <x:c r="D55" s="19" t="str">
        <x:v>MS-CT|A/MS-CT|D distance and anchors</x:v>
      </x:c>
      <x:c r="E55" s="19" t="str">
        <x:f>IF('Pairwise Distance'!W15="PASS","PASS","FAIL")</x:f>
        <x:v>PASS</x:v>
      </x:c>
      <x:c r="F55" s="21" t="str">
        <x:v>TERMINAL</x:v>
      </x:c>
      <x:c r="G55" s="48"/>
      <x:c r="H55" s="48"/>
      <x:c r="I55" s="48"/>
      <x:c r="J55" s="48"/>
      <x:c r="K55" s="48"/>
      <x:c r="L55" s="48"/>
      <x:c r="M55" s="48"/>
      <x:c r="N55" s="48"/>
      <x:c r="O55" s="48"/>
      <x:c r="P55" s="48"/>
      <x:c r="Q55" s="48"/>
      <x:c r="R55" s="48"/>
      <x:c r="S55" s="48"/>
      <x:c r="T55" s="48"/>
      <x:c r="U55" s="48"/>
      <x:c r="V55" s="48"/>
      <x:c r="W55" s="48"/>
    </x:row>
    <x:row r="56">
      <x:c r="C56" s="19" t="str">
        <x:v>AU-050</x:v>
      </x:c>
      <x:c r="D56" s="19" t="str">
        <x:v>MS-CT|B/MS-CT|C distance and anchors</x:v>
      </x:c>
      <x:c r="E56" s="19" t="str">
        <x:f>IF('Pairwise Distance'!W16="PASS","PASS","FAIL")</x:f>
        <x:v>PASS</x:v>
      </x:c>
      <x:c r="F56" s="21" t="str">
        <x:v>TERMINAL</x:v>
      </x:c>
      <x:c r="G56" s="48"/>
      <x:c r="H56" s="48"/>
      <x:c r="I56" s="48"/>
      <x:c r="J56" s="48"/>
      <x:c r="K56" s="48"/>
      <x:c r="L56" s="48"/>
      <x:c r="M56" s="48"/>
      <x:c r="N56" s="48"/>
      <x:c r="O56" s="48"/>
      <x:c r="P56" s="48"/>
      <x:c r="Q56" s="48"/>
      <x:c r="R56" s="48"/>
      <x:c r="S56" s="48"/>
      <x:c r="T56" s="48"/>
      <x:c r="U56" s="48"/>
      <x:c r="V56" s="48"/>
      <x:c r="W56" s="48"/>
    </x:row>
    <x:row r="57">
      <x:c r="C57" s="19" t="str">
        <x:v>AU-051</x:v>
      </x:c>
      <x:c r="D57" s="19" t="str">
        <x:v>MS-CT|B/MS-CT|D distance and anchors</x:v>
      </x:c>
      <x:c r="E57" s="19" t="str">
        <x:f>IF('Pairwise Distance'!W17="PASS","PASS","FAIL")</x:f>
        <x:v>PASS</x:v>
      </x:c>
      <x:c r="F57" s="21" t="str">
        <x:v>TERMINAL</x:v>
      </x:c>
      <x:c r="G57" s="48"/>
      <x:c r="H57" s="48"/>
      <x:c r="I57" s="48"/>
      <x:c r="J57" s="48"/>
      <x:c r="K57" s="48"/>
      <x:c r="L57" s="48"/>
      <x:c r="M57" s="48"/>
      <x:c r="N57" s="48"/>
      <x:c r="O57" s="48"/>
      <x:c r="P57" s="48"/>
      <x:c r="Q57" s="48"/>
      <x:c r="R57" s="48"/>
      <x:c r="S57" s="48"/>
      <x:c r="T57" s="48"/>
      <x:c r="U57" s="48"/>
      <x:c r="V57" s="48"/>
      <x:c r="W57" s="48"/>
    </x:row>
    <x:row r="58">
      <x:c r="C58" s="19" t="str">
        <x:v>AU-052</x:v>
      </x:c>
      <x:c r="D58" s="19" t="str">
        <x:v>MS-CT|C/MS-CT|D distance and anchors</x:v>
      </x:c>
      <x:c r="E58" s="19" t="str">
        <x:f>IF('Pairwise Distance'!W18="PASS","PASS","FAIL")</x:f>
        <x:v>PASS</x:v>
      </x:c>
      <x:c r="F58" s="21" t="str">
        <x:v>TERMINAL</x:v>
      </x:c>
      <x:c r="G58" s="48"/>
      <x:c r="H58" s="48"/>
      <x:c r="I58" s="48"/>
      <x:c r="J58" s="48"/>
      <x:c r="K58" s="48"/>
      <x:c r="L58" s="48"/>
      <x:c r="M58" s="48"/>
      <x:c r="N58" s="48"/>
      <x:c r="O58" s="48"/>
      <x:c r="P58" s="48"/>
      <x:c r="Q58" s="48"/>
      <x:c r="R58" s="48"/>
      <x:c r="S58" s="48"/>
      <x:c r="T58" s="48"/>
      <x:c r="U58" s="48"/>
      <x:c r="V58" s="48"/>
      <x:c r="W58" s="48"/>
    </x:row>
    <x:row r="59">
      <x:c r="C59" s="19" t="str">
        <x:v>AU-053</x:v>
      </x:c>
      <x:c r="D59" s="19" t="str">
        <x:v>MS-HC|A/MS-HC|B distance and anchors</x:v>
      </x:c>
      <x:c r="E59" s="19" t="str">
        <x:f>IF('Pairwise Distance'!W19="PASS","PASS","FAIL")</x:f>
        <x:v>PASS</x:v>
      </x:c>
      <x:c r="F59" s="21" t="str">
        <x:v>TERMINAL</x:v>
      </x:c>
      <x:c r="G59" s="48"/>
      <x:c r="H59" s="48"/>
      <x:c r="I59" s="48"/>
      <x:c r="J59" s="48"/>
      <x:c r="K59" s="48"/>
      <x:c r="L59" s="48"/>
      <x:c r="M59" s="48"/>
      <x:c r="N59" s="48"/>
      <x:c r="O59" s="48"/>
      <x:c r="P59" s="48"/>
      <x:c r="Q59" s="48"/>
      <x:c r="R59" s="48"/>
      <x:c r="S59" s="48"/>
      <x:c r="T59" s="48"/>
      <x:c r="U59" s="48"/>
      <x:c r="V59" s="48"/>
      <x:c r="W59" s="48"/>
    </x:row>
    <x:row r="60">
      <x:c r="C60" s="19" t="str">
        <x:v>AU-054</x:v>
      </x:c>
      <x:c r="D60" s="19" t="str">
        <x:v>MS-HC|A/MS-HC|C distance and anchors</x:v>
      </x:c>
      <x:c r="E60" s="19" t="str">
        <x:f>IF('Pairwise Distance'!W20="PASS","PASS","FAIL")</x:f>
        <x:v>PASS</x:v>
      </x:c>
      <x:c r="F60" s="21" t="str">
        <x:v>TERMINAL</x:v>
      </x:c>
      <x:c r="G60" s="48"/>
      <x:c r="H60" s="48"/>
      <x:c r="I60" s="48"/>
      <x:c r="J60" s="48"/>
      <x:c r="K60" s="48"/>
      <x:c r="L60" s="48"/>
      <x:c r="M60" s="48"/>
      <x:c r="N60" s="48"/>
      <x:c r="O60" s="48"/>
      <x:c r="P60" s="48"/>
      <x:c r="Q60" s="48"/>
      <x:c r="R60" s="48"/>
      <x:c r="S60" s="48"/>
      <x:c r="T60" s="48"/>
      <x:c r="U60" s="48"/>
      <x:c r="V60" s="48"/>
      <x:c r="W60" s="48"/>
    </x:row>
    <x:row r="61">
      <x:c r="C61" s="19" t="str">
        <x:v>AU-055</x:v>
      </x:c>
      <x:c r="D61" s="19" t="str">
        <x:v>MS-HC|A/MS-HC|D distance and anchors</x:v>
      </x:c>
      <x:c r="E61" s="19" t="str">
        <x:f>IF('Pairwise Distance'!W21="PASS","PASS","FAIL")</x:f>
        <x:v>PASS</x:v>
      </x:c>
      <x:c r="F61" s="21" t="str">
        <x:v>TERMINAL</x:v>
      </x:c>
      <x:c r="G61" s="48"/>
      <x:c r="H61" s="48"/>
      <x:c r="I61" s="48"/>
      <x:c r="J61" s="48"/>
      <x:c r="K61" s="48"/>
      <x:c r="L61" s="48"/>
      <x:c r="M61" s="48"/>
      <x:c r="N61" s="48"/>
      <x:c r="O61" s="48"/>
      <x:c r="P61" s="48"/>
      <x:c r="Q61" s="48"/>
      <x:c r="R61" s="48"/>
      <x:c r="S61" s="48"/>
      <x:c r="T61" s="48"/>
      <x:c r="U61" s="48"/>
      <x:c r="V61" s="48"/>
      <x:c r="W61" s="48"/>
    </x:row>
    <x:row r="62">
      <x:c r="C62" s="19" t="str">
        <x:v>AU-056</x:v>
      </x:c>
      <x:c r="D62" s="19" t="str">
        <x:v>MS-HC|B/MS-HC|C distance and anchors</x:v>
      </x:c>
      <x:c r="E62" s="19" t="str">
        <x:f>IF('Pairwise Distance'!W22="PASS","PASS","FAIL")</x:f>
        <x:v>PASS</x:v>
      </x:c>
      <x:c r="F62" s="21" t="str">
        <x:v>TERMINAL</x:v>
      </x:c>
      <x:c r="G62" s="48"/>
      <x:c r="H62" s="48"/>
      <x:c r="I62" s="48"/>
      <x:c r="J62" s="48"/>
      <x:c r="K62" s="48"/>
      <x:c r="L62" s="48"/>
      <x:c r="M62" s="48"/>
      <x:c r="N62" s="48"/>
      <x:c r="O62" s="48"/>
      <x:c r="P62" s="48"/>
      <x:c r="Q62" s="48"/>
      <x:c r="R62" s="48"/>
      <x:c r="S62" s="48"/>
      <x:c r="T62" s="48"/>
      <x:c r="U62" s="48"/>
      <x:c r="V62" s="48"/>
      <x:c r="W62" s="48"/>
    </x:row>
    <x:row r="63">
      <x:c r="C63" s="19" t="str">
        <x:v>AU-057</x:v>
      </x:c>
      <x:c r="D63" s="19" t="str">
        <x:v>MS-HC|B/MS-HC|D distance and anchors</x:v>
      </x:c>
      <x:c r="E63" s="19" t="str">
        <x:f>IF('Pairwise Distance'!W23="PASS","PASS","FAIL")</x:f>
        <x:v>PASS</x:v>
      </x:c>
      <x:c r="F63" s="21" t="str">
        <x:v>TERMINAL</x:v>
      </x:c>
      <x:c r="G63" s="48"/>
      <x:c r="H63" s="48"/>
      <x:c r="I63" s="48"/>
      <x:c r="J63" s="48"/>
      <x:c r="K63" s="48"/>
      <x:c r="L63" s="48"/>
      <x:c r="M63" s="48"/>
      <x:c r="N63" s="48"/>
      <x:c r="O63" s="48"/>
      <x:c r="P63" s="48"/>
      <x:c r="Q63" s="48"/>
      <x:c r="R63" s="48"/>
      <x:c r="S63" s="48"/>
      <x:c r="T63" s="48"/>
      <x:c r="U63" s="48"/>
      <x:c r="V63" s="48"/>
      <x:c r="W63" s="48"/>
    </x:row>
    <x:row r="64">
      <x:c r="C64" s="19" t="str">
        <x:v>AU-058</x:v>
      </x:c>
      <x:c r="D64" s="19" t="str">
        <x:v>MS-HC|C/MS-HC|D distance and anchors</x:v>
      </x:c>
      <x:c r="E64" s="19" t="str">
        <x:f>IF('Pairwise Distance'!W24="PASS","PASS","FAIL")</x:f>
        <x:v>PASS</x:v>
      </x:c>
      <x:c r="F64" s="21" t="str">
        <x:v>TERMINAL</x:v>
      </x:c>
      <x:c r="G64" s="48"/>
      <x:c r="H64" s="48"/>
      <x:c r="I64" s="48"/>
      <x:c r="J64" s="48"/>
      <x:c r="K64" s="48"/>
      <x:c r="L64" s="48"/>
      <x:c r="M64" s="48"/>
      <x:c r="N64" s="48"/>
      <x:c r="O64" s="48"/>
      <x:c r="P64" s="48"/>
      <x:c r="Q64" s="48"/>
      <x:c r="R64" s="48"/>
      <x:c r="S64" s="48"/>
      <x:c r="T64" s="48"/>
      <x:c r="U64" s="48"/>
      <x:c r="V64" s="48"/>
      <x:c r="W64" s="48"/>
    </x:row>
    <x:row r="65">
      <x:c r="C65" s="19" t="str">
        <x:v>AU-059</x:v>
      </x:c>
      <x:c r="D65" s="19" t="str">
        <x:v>MS-HU|A/MS-HU|B distance and anchors</x:v>
      </x:c>
      <x:c r="E65" s="19" t="str">
        <x:f>IF('Pairwise Distance'!W25="PASS","PASS","FAIL")</x:f>
        <x:v>PASS</x:v>
      </x:c>
      <x:c r="F65" s="21" t="str">
        <x:v>TERMINAL</x:v>
      </x:c>
      <x:c r="G65" s="48"/>
      <x:c r="H65" s="48"/>
      <x:c r="I65" s="48"/>
      <x:c r="J65" s="48"/>
      <x:c r="K65" s="48"/>
      <x:c r="L65" s="48"/>
      <x:c r="M65" s="48"/>
      <x:c r="N65" s="48"/>
      <x:c r="O65" s="48"/>
      <x:c r="P65" s="48"/>
      <x:c r="Q65" s="48"/>
      <x:c r="R65" s="48"/>
      <x:c r="S65" s="48"/>
      <x:c r="T65" s="48"/>
      <x:c r="U65" s="48"/>
      <x:c r="V65" s="48"/>
      <x:c r="W65" s="48"/>
    </x:row>
    <x:row r="66">
      <x:c r="C66" s="19" t="str">
        <x:v>AU-060</x:v>
      </x:c>
      <x:c r="D66" s="19" t="str">
        <x:v>MS-HU|A/MS-HU|C distance and anchors</x:v>
      </x:c>
      <x:c r="E66" s="19" t="str">
        <x:f>IF('Pairwise Distance'!W26="PASS","PASS","FAIL")</x:f>
        <x:v>PASS</x:v>
      </x:c>
      <x:c r="F66" s="21" t="str">
        <x:v>TERMINAL</x:v>
      </x:c>
      <x:c r="G66" s="48"/>
      <x:c r="H66" s="48"/>
      <x:c r="I66" s="48"/>
      <x:c r="J66" s="48"/>
      <x:c r="K66" s="48"/>
      <x:c r="L66" s="48"/>
      <x:c r="M66" s="48"/>
      <x:c r="N66" s="48"/>
      <x:c r="O66" s="48"/>
      <x:c r="P66" s="48"/>
      <x:c r="Q66" s="48"/>
      <x:c r="R66" s="48"/>
      <x:c r="S66" s="48"/>
      <x:c r="T66" s="48"/>
      <x:c r="U66" s="48"/>
      <x:c r="V66" s="48"/>
      <x:c r="W66" s="48"/>
    </x:row>
    <x:row r="67">
      <x:c r="C67" s="19" t="str">
        <x:v>AU-061</x:v>
      </x:c>
      <x:c r="D67" s="19" t="str">
        <x:v>MS-HU|A/MS-HU|D distance and anchors</x:v>
      </x:c>
      <x:c r="E67" s="19" t="str">
        <x:f>IF('Pairwise Distance'!W27="PASS","PASS","FAIL")</x:f>
        <x:v>PASS</x:v>
      </x:c>
      <x:c r="F67" s="21" t="str">
        <x:v>TERMINAL</x:v>
      </x:c>
      <x:c r="G67" s="48"/>
      <x:c r="H67" s="48"/>
      <x:c r="I67" s="48"/>
      <x:c r="J67" s="48"/>
      <x:c r="K67" s="48"/>
      <x:c r="L67" s="48"/>
      <x:c r="M67" s="48"/>
      <x:c r="N67" s="48"/>
      <x:c r="O67" s="48"/>
      <x:c r="P67" s="48"/>
      <x:c r="Q67" s="48"/>
      <x:c r="R67" s="48"/>
      <x:c r="S67" s="48"/>
      <x:c r="T67" s="48"/>
      <x:c r="U67" s="48"/>
      <x:c r="V67" s="48"/>
      <x:c r="W67" s="48"/>
    </x:row>
    <x:row r="68">
      <x:c r="C68" s="19" t="str">
        <x:v>AU-062</x:v>
      </x:c>
      <x:c r="D68" s="19" t="str">
        <x:v>MS-HU|B/MS-HU|C distance and anchors</x:v>
      </x:c>
      <x:c r="E68" s="19" t="str">
        <x:f>IF('Pairwise Distance'!W28="PASS","PASS","FAIL")</x:f>
        <x:v>PASS</x:v>
      </x:c>
      <x:c r="F68" s="21" t="str">
        <x:v>TERMINAL</x:v>
      </x:c>
      <x:c r="G68" s="48"/>
      <x:c r="H68" s="48"/>
      <x:c r="I68" s="48"/>
      <x:c r="J68" s="48"/>
      <x:c r="K68" s="48"/>
      <x:c r="L68" s="48"/>
      <x:c r="M68" s="48"/>
      <x:c r="N68" s="48"/>
      <x:c r="O68" s="48"/>
      <x:c r="P68" s="48"/>
      <x:c r="Q68" s="48"/>
      <x:c r="R68" s="48"/>
      <x:c r="S68" s="48"/>
      <x:c r="T68" s="48"/>
      <x:c r="U68" s="48"/>
      <x:c r="V68" s="48"/>
      <x:c r="W68" s="48"/>
    </x:row>
    <x:row r="69">
      <x:c r="C69" s="19" t="str">
        <x:v>AU-063</x:v>
      </x:c>
      <x:c r="D69" s="19" t="str">
        <x:v>MS-HU|B/MS-HU|D distance and anchors</x:v>
      </x:c>
      <x:c r="E69" s="19" t="str">
        <x:f>IF('Pairwise Distance'!W29="PASS","PASS","FAIL")</x:f>
        <x:v>PASS</x:v>
      </x:c>
      <x:c r="F69" s="21" t="str">
        <x:v>TERMINAL</x:v>
      </x:c>
      <x:c r="G69" s="48"/>
      <x:c r="H69" s="48"/>
      <x:c r="I69" s="48"/>
      <x:c r="J69" s="48"/>
      <x:c r="K69" s="48"/>
      <x:c r="L69" s="48"/>
      <x:c r="M69" s="48"/>
      <x:c r="N69" s="48"/>
      <x:c r="O69" s="48"/>
      <x:c r="P69" s="48"/>
      <x:c r="Q69" s="48"/>
      <x:c r="R69" s="48"/>
      <x:c r="S69" s="48"/>
      <x:c r="T69" s="48"/>
      <x:c r="U69" s="48"/>
      <x:c r="V69" s="48"/>
      <x:c r="W69" s="48"/>
    </x:row>
    <x:row r="70">
      <x:c r="C70" s="19" t="str">
        <x:v>AU-064</x:v>
      </x:c>
      <x:c r="D70" s="19" t="str">
        <x:v>MS-HU|C/MS-HU|D distance and anchors</x:v>
      </x:c>
      <x:c r="E70" s="19" t="str">
        <x:f>IF('Pairwise Distance'!W30="PASS","PASS","FAIL")</x:f>
        <x:v>PASS</x:v>
      </x:c>
      <x:c r="F70" s="21" t="str">
        <x:v>TERMINAL</x:v>
      </x:c>
      <x:c r="G70" s="48"/>
      <x:c r="H70" s="48"/>
      <x:c r="I70" s="48"/>
      <x:c r="J70" s="48"/>
      <x:c r="K70" s="48"/>
      <x:c r="L70" s="48"/>
      <x:c r="M70" s="48"/>
      <x:c r="N70" s="48"/>
      <x:c r="O70" s="48"/>
      <x:c r="P70" s="48"/>
      <x:c r="Q70" s="48"/>
      <x:c r="R70" s="48"/>
      <x:c r="S70" s="48"/>
      <x:c r="T70" s="48"/>
      <x:c r="U70" s="48"/>
      <x:c r="V70" s="48"/>
      <x:c r="W70" s="48"/>
    </x:row>
    <x:row r="71">
      <x:c r="C71" s="19" t="str">
        <x:v>AU-065</x:v>
      </x:c>
      <x:c r="D71" s="19" t="str">
        <x:v>MS-RT|A/MS-RT|B distance and anchors</x:v>
      </x:c>
      <x:c r="E71" s="19" t="str">
        <x:f>IF('Pairwise Distance'!W31="PASS","PASS","FAIL")</x:f>
        <x:v>PASS</x:v>
      </x:c>
      <x:c r="F71" s="21" t="str">
        <x:v>TERMINAL</x:v>
      </x:c>
      <x:c r="G71" s="48"/>
      <x:c r="H71" s="48"/>
      <x:c r="I71" s="48"/>
      <x:c r="J71" s="48"/>
      <x:c r="K71" s="48"/>
      <x:c r="L71" s="48"/>
      <x:c r="M71" s="48"/>
      <x:c r="N71" s="48"/>
      <x:c r="O71" s="48"/>
      <x:c r="P71" s="48"/>
      <x:c r="Q71" s="48"/>
      <x:c r="R71" s="48"/>
      <x:c r="S71" s="48"/>
      <x:c r="T71" s="48"/>
      <x:c r="U71" s="48"/>
      <x:c r="V71" s="48"/>
      <x:c r="W71" s="48"/>
    </x:row>
    <x:row r="72">
      <x:c r="C72" s="19" t="str">
        <x:v>AU-066</x:v>
      </x:c>
      <x:c r="D72" s="19" t="str">
        <x:v>MS-RT|A/MS-RT|C distance and anchors</x:v>
      </x:c>
      <x:c r="E72" s="19" t="str">
        <x:f>IF('Pairwise Distance'!W32="PASS","PASS","FAIL")</x:f>
        <x:v>PASS</x:v>
      </x:c>
      <x:c r="F72" s="21" t="str">
        <x:v>TERMINAL</x:v>
      </x:c>
      <x:c r="G72" s="48"/>
      <x:c r="H72" s="48"/>
      <x:c r="I72" s="48"/>
      <x:c r="J72" s="48"/>
      <x:c r="K72" s="48"/>
      <x:c r="L72" s="48"/>
      <x:c r="M72" s="48"/>
      <x:c r="N72" s="48"/>
      <x:c r="O72" s="48"/>
      <x:c r="P72" s="48"/>
      <x:c r="Q72" s="48"/>
      <x:c r="R72" s="48"/>
      <x:c r="S72" s="48"/>
      <x:c r="T72" s="48"/>
      <x:c r="U72" s="48"/>
      <x:c r="V72" s="48"/>
      <x:c r="W72" s="48"/>
    </x:row>
    <x:row r="73">
      <x:c r="C73" s="19" t="str">
        <x:v>AU-067</x:v>
      </x:c>
      <x:c r="D73" s="19" t="str">
        <x:v>MS-RT|A/MS-RT|D distance and anchors</x:v>
      </x:c>
      <x:c r="E73" s="19" t="str">
        <x:f>IF('Pairwise Distance'!W33="PASS","PASS","FAIL")</x:f>
        <x:v>PASS</x:v>
      </x:c>
      <x:c r="F73" s="21" t="str">
        <x:v>TERMINAL</x:v>
      </x:c>
      <x:c r="G73" s="48"/>
      <x:c r="H73" s="48"/>
      <x:c r="I73" s="48"/>
      <x:c r="J73" s="48"/>
      <x:c r="K73" s="48"/>
      <x:c r="L73" s="48"/>
      <x:c r="M73" s="48"/>
      <x:c r="N73" s="48"/>
      <x:c r="O73" s="48"/>
      <x:c r="P73" s="48"/>
      <x:c r="Q73" s="48"/>
      <x:c r="R73" s="48"/>
      <x:c r="S73" s="48"/>
      <x:c r="T73" s="48"/>
      <x:c r="U73" s="48"/>
      <x:c r="V73" s="48"/>
      <x:c r="W73" s="48"/>
    </x:row>
    <x:row r="74">
      <x:c r="C74" s="19" t="str">
        <x:v>AU-068</x:v>
      </x:c>
      <x:c r="D74" s="19" t="str">
        <x:v>MS-RT|B/MS-RT|C distance and anchors</x:v>
      </x:c>
      <x:c r="E74" s="19" t="str">
        <x:f>IF('Pairwise Distance'!W34="PASS","PASS","FAIL")</x:f>
        <x:v>PASS</x:v>
      </x:c>
      <x:c r="F74" s="21" t="str">
        <x:v>TERMINAL</x:v>
      </x:c>
      <x:c r="G74" s="48"/>
      <x:c r="H74" s="48"/>
      <x:c r="I74" s="48"/>
      <x:c r="J74" s="48"/>
      <x:c r="K74" s="48"/>
      <x:c r="L74" s="48"/>
      <x:c r="M74" s="48"/>
      <x:c r="N74" s="48"/>
      <x:c r="O74" s="48"/>
      <x:c r="P74" s="48"/>
      <x:c r="Q74" s="48"/>
      <x:c r="R74" s="48"/>
      <x:c r="S74" s="48"/>
      <x:c r="T74" s="48"/>
      <x:c r="U74" s="48"/>
      <x:c r="V74" s="48"/>
      <x:c r="W74" s="48"/>
    </x:row>
    <x:row r="75">
      <x:c r="C75" s="19" t="str">
        <x:v>AU-069</x:v>
      </x:c>
      <x:c r="D75" s="19" t="str">
        <x:v>MS-RT|B/MS-RT|D distance and anchors</x:v>
      </x:c>
      <x:c r="E75" s="19" t="str">
        <x:f>IF('Pairwise Distance'!W35="PASS","PASS","FAIL")</x:f>
        <x:v>PASS</x:v>
      </x:c>
      <x:c r="F75" s="21" t="str">
        <x:v>TERMINAL</x:v>
      </x:c>
      <x:c r="G75" s="48"/>
      <x:c r="H75" s="48"/>
      <x:c r="I75" s="48"/>
      <x:c r="J75" s="48"/>
      <x:c r="K75" s="48"/>
      <x:c r="L75" s="48"/>
      <x:c r="M75" s="48"/>
      <x:c r="N75" s="48"/>
      <x:c r="O75" s="48"/>
      <x:c r="P75" s="48"/>
      <x:c r="Q75" s="48"/>
      <x:c r="R75" s="48"/>
      <x:c r="S75" s="48"/>
      <x:c r="T75" s="48"/>
      <x:c r="U75" s="48"/>
      <x:c r="V75" s="48"/>
      <x:c r="W75" s="48"/>
    </x:row>
    <x:row r="76">
      <x:c r="C76" s="19" t="str">
        <x:v>AU-070</x:v>
      </x:c>
      <x:c r="D76" s="19" t="str">
        <x:v>MS-RT|C/MS-RT|D distance and anchors</x:v>
      </x:c>
      <x:c r="E76" s="19" t="str">
        <x:f>IF('Pairwise Distance'!W36="PASS","PASS","FAIL")</x:f>
        <x:v>PASS</x:v>
      </x:c>
      <x:c r="F76" s="21" t="str">
        <x:v>TERMINAL</x:v>
      </x:c>
      <x:c r="G76" s="48"/>
      <x:c r="H76" s="48"/>
      <x:c r="I76" s="48"/>
      <x:c r="J76" s="48"/>
      <x:c r="K76" s="48"/>
      <x:c r="L76" s="48"/>
      <x:c r="M76" s="48"/>
      <x:c r="N76" s="48"/>
      <x:c r="O76" s="48"/>
      <x:c r="P76" s="48"/>
      <x:c r="Q76" s="48"/>
      <x:c r="R76" s="48"/>
      <x:c r="S76" s="48"/>
      <x:c r="T76" s="48"/>
      <x:c r="U76" s="48"/>
      <x:c r="V76" s="48"/>
      <x:c r="W76" s="48"/>
    </x:row>
    <x:row r="77">
      <x:c r="C77" s="19" t="str">
        <x:v>AU-071</x:v>
      </x:c>
      <x:c r="D77" s="19" t="str">
        <x:v>MS-ET root count</x:v>
      </x:c>
      <x:c r="E77" s="19" t="str">
        <x:f>IF(COUNTIF('Root Configurations'!E7:E26,"MS-ET")=4,"PASS","FAIL")</x:f>
        <x:v>PASS</x:v>
      </x:c>
      <x:c r="F77" s="21" t="str">
        <x:v>TERMINAL</x:v>
      </x:c>
      <x:c r="G77" s="48"/>
      <x:c r="H77" s="48"/>
      <x:c r="I77" s="48"/>
      <x:c r="J77" s="48"/>
      <x:c r="K77" s="48"/>
      <x:c r="L77" s="48"/>
      <x:c r="M77" s="48"/>
      <x:c r="N77" s="48"/>
      <x:c r="O77" s="48"/>
      <x:c r="P77" s="48"/>
      <x:c r="Q77" s="48"/>
      <x:c r="R77" s="48"/>
      <x:c r="S77" s="48"/>
      <x:c r="T77" s="48"/>
      <x:c r="U77" s="48"/>
      <x:c r="V77" s="48"/>
      <x:c r="W77" s="48"/>
    </x:row>
    <x:row r="78">
      <x:c r="C78" s="19" t="str">
        <x:v>AU-072</x:v>
      </x:c>
      <x:c r="D78" s="19" t="str">
        <x:v>MS-ET route obligations</x:v>
      </x:c>
      <x:c r="E78" s="19" t="str">
        <x:f>IF(COUNTIF('Route Carriage'!D7:D98,"MS-ET")=20,"PASS","FAIL")</x:f>
        <x:v>PASS</x:v>
      </x:c>
      <x:c r="F78" s="21" t="str">
        <x:v>TERMINAL</x:v>
      </x:c>
      <x:c r="G78" s="48"/>
      <x:c r="H78" s="48"/>
      <x:c r="I78" s="48"/>
      <x:c r="J78" s="48"/>
      <x:c r="K78" s="48"/>
      <x:c r="L78" s="48"/>
      <x:c r="M78" s="48"/>
      <x:c r="N78" s="48"/>
      <x:c r="O78" s="48"/>
      <x:c r="P78" s="48"/>
      <x:c r="Q78" s="48"/>
      <x:c r="R78" s="48"/>
      <x:c r="S78" s="48"/>
      <x:c r="T78" s="48"/>
      <x:c r="U78" s="48"/>
      <x:c r="V78" s="48"/>
      <x:c r="W78" s="48"/>
    </x:row>
    <x:row r="79">
      <x:c r="C79" s="19" t="str">
        <x:v>AU-073</x:v>
      </x:c>
      <x:c r="D79" s="19" t="str">
        <x:v>MS-ET article units</x:v>
      </x:c>
      <x:c r="E79" s="19" t="str">
        <x:f>IF(SUMIF('Article Evidence'!D7:D26,"MS-ET",'Article Evidence'!I7:I26)=244,"PASS","FAIL")</x:f>
        <x:v>PASS</x:v>
      </x:c>
      <x:c r="F79" s="21" t="str">
        <x:v>TERMINAL</x:v>
      </x:c>
      <x:c r="G79" s="48"/>
      <x:c r="H79" s="48"/>
      <x:c r="I79" s="48"/>
      <x:c r="J79" s="48"/>
      <x:c r="K79" s="48"/>
      <x:c r="L79" s="48"/>
      <x:c r="M79" s="48"/>
      <x:c r="N79" s="48"/>
      <x:c r="O79" s="48"/>
      <x:c r="P79" s="48"/>
      <x:c r="Q79" s="48"/>
      <x:c r="R79" s="48"/>
      <x:c r="S79" s="48"/>
      <x:c r="T79" s="48"/>
      <x:c r="U79" s="48"/>
      <x:c r="V79" s="48"/>
      <x:c r="W79" s="48"/>
    </x:row>
    <x:row r="80">
      <x:c r="C80" s="19" t="str">
        <x:v>AU-074</x:v>
      </x:c>
      <x:c r="D80" s="19" t="str">
        <x:v>MS-ET allocation conserved</x:v>
      </x:c>
      <x:c r="E80" s="19" t="str">
        <x:f>IF(ABS(Finance!D7-44.51169804004222)&lt;0.0001,"PASS","FAIL")</x:f>
        <x:v>PASS</x:v>
      </x:c>
      <x:c r="F80" s="21" t="str">
        <x:v>TERMINAL</x:v>
      </x:c>
      <x:c r="G80" s="48"/>
      <x:c r="H80" s="48"/>
      <x:c r="I80" s="48"/>
      <x:c r="J80" s="48"/>
      <x:c r="K80" s="48"/>
      <x:c r="L80" s="48"/>
      <x:c r="M80" s="48"/>
      <x:c r="N80" s="48"/>
      <x:c r="O80" s="48"/>
      <x:c r="P80" s="48"/>
      <x:c r="Q80" s="48"/>
      <x:c r="R80" s="48"/>
      <x:c r="S80" s="48"/>
      <x:c r="T80" s="48"/>
      <x:c r="U80" s="48"/>
      <x:c r="V80" s="48"/>
      <x:c r="W80" s="48"/>
    </x:row>
    <x:row r="81">
      <x:c r="C81" s="19" t="str">
        <x:v>AU-075</x:v>
      </x:c>
      <x:c r="D81" s="19" t="str">
        <x:v>MS-CT root count</x:v>
      </x:c>
      <x:c r="E81" s="19" t="str">
        <x:f>IF(COUNTIF('Root Configurations'!E7:E26,"MS-CT")=4,"PASS","FAIL")</x:f>
        <x:v>PASS</x:v>
      </x:c>
      <x:c r="F81" s="21" t="str">
        <x:v>TERMINAL</x:v>
      </x:c>
      <x:c r="G81" s="48"/>
      <x:c r="H81" s="48"/>
      <x:c r="I81" s="48"/>
      <x:c r="J81" s="48"/>
      <x:c r="K81" s="48"/>
      <x:c r="L81" s="48"/>
      <x:c r="M81" s="48"/>
      <x:c r="N81" s="48"/>
      <x:c r="O81" s="48"/>
      <x:c r="P81" s="48"/>
      <x:c r="Q81" s="48"/>
      <x:c r="R81" s="48"/>
      <x:c r="S81" s="48"/>
      <x:c r="T81" s="48"/>
      <x:c r="U81" s="48"/>
      <x:c r="V81" s="48"/>
      <x:c r="W81" s="48"/>
    </x:row>
    <x:row r="82">
      <x:c r="C82" s="19" t="str">
        <x:v>AU-076</x:v>
      </x:c>
      <x:c r="D82" s="19" t="str">
        <x:v>MS-CT route obligations</x:v>
      </x:c>
      <x:c r="E82" s="19" t="str">
        <x:f>IF(COUNTIF('Route Carriage'!D7:D98,"MS-CT")=20,"PASS","FAIL")</x:f>
        <x:v>PASS</x:v>
      </x:c>
      <x:c r="F82" s="21" t="str">
        <x:v>TERMINAL</x:v>
      </x:c>
      <x:c r="G82" s="48"/>
      <x:c r="H82" s="48"/>
      <x:c r="I82" s="48"/>
      <x:c r="J82" s="48"/>
      <x:c r="K82" s="48"/>
      <x:c r="L82" s="48"/>
      <x:c r="M82" s="48"/>
      <x:c r="N82" s="48"/>
      <x:c r="O82" s="48"/>
      <x:c r="P82" s="48"/>
      <x:c r="Q82" s="48"/>
      <x:c r="R82" s="48"/>
      <x:c r="S82" s="48"/>
      <x:c r="T82" s="48"/>
      <x:c r="U82" s="48"/>
      <x:c r="V82" s="48"/>
      <x:c r="W82" s="48"/>
    </x:row>
    <x:row r="83">
      <x:c r="C83" s="19" t="str">
        <x:v>AU-077</x:v>
      </x:c>
      <x:c r="D83" s="19" t="str">
        <x:v>MS-CT article units</x:v>
      </x:c>
      <x:c r="E83" s="19" t="str">
        <x:f>IF(SUMIF('Article Evidence'!D7:D26,"MS-CT",'Article Evidence'!I7:I26)=208,"PASS","FAIL")</x:f>
        <x:v>PASS</x:v>
      </x:c>
      <x:c r="F83" s="21" t="str">
        <x:v>TERMINAL</x:v>
      </x:c>
      <x:c r="G83" s="48"/>
      <x:c r="H83" s="48"/>
      <x:c r="I83" s="48"/>
      <x:c r="J83" s="48"/>
      <x:c r="K83" s="48"/>
      <x:c r="L83" s="48"/>
      <x:c r="M83" s="48"/>
      <x:c r="N83" s="48"/>
      <x:c r="O83" s="48"/>
      <x:c r="P83" s="48"/>
      <x:c r="Q83" s="48"/>
      <x:c r="R83" s="48"/>
      <x:c r="S83" s="48"/>
      <x:c r="T83" s="48"/>
      <x:c r="U83" s="48"/>
      <x:c r="V83" s="48"/>
      <x:c r="W83" s="48"/>
    </x:row>
    <x:row r="84">
      <x:c r="C84" s="19" t="str">
        <x:v>AU-078</x:v>
      </x:c>
      <x:c r="D84" s="19" t="str">
        <x:v>MS-CT allocation conserved</x:v>
      </x:c>
      <x:c r="E84" s="19" t="str">
        <x:f>IF(ABS(Finance!D8-45.93639930929069)&lt;0.0001,"PASS","FAIL")</x:f>
        <x:v>PASS</x:v>
      </x:c>
      <x:c r="F84" s="21" t="str">
        <x:v>TERMINAL</x:v>
      </x:c>
      <x:c r="G84" s="48"/>
      <x:c r="H84" s="48"/>
      <x:c r="I84" s="48"/>
      <x:c r="J84" s="48"/>
      <x:c r="K84" s="48"/>
      <x:c r="L84" s="48"/>
      <x:c r="M84" s="48"/>
      <x:c r="N84" s="48"/>
      <x:c r="O84" s="48"/>
      <x:c r="P84" s="48"/>
      <x:c r="Q84" s="48"/>
      <x:c r="R84" s="48"/>
      <x:c r="S84" s="48"/>
      <x:c r="T84" s="48"/>
      <x:c r="U84" s="48"/>
      <x:c r="V84" s="48"/>
      <x:c r="W84" s="48"/>
    </x:row>
    <x:row r="85">
      <x:c r="C85" s="19" t="str">
        <x:v>AU-079</x:v>
      </x:c>
      <x:c r="D85" s="19" t="str">
        <x:v>MS-HC root count</x:v>
      </x:c>
      <x:c r="E85" s="19" t="str">
        <x:f>IF(COUNTIF('Root Configurations'!E7:E26,"MS-HC")=4,"PASS","FAIL")</x:f>
        <x:v>PASS</x:v>
      </x:c>
      <x:c r="F85" s="21" t="str">
        <x:v>TERMINAL</x:v>
      </x:c>
      <x:c r="G85" s="48"/>
      <x:c r="H85" s="48"/>
      <x:c r="I85" s="48"/>
      <x:c r="J85" s="48"/>
      <x:c r="K85" s="48"/>
      <x:c r="L85" s="48"/>
      <x:c r="M85" s="48"/>
      <x:c r="N85" s="48"/>
      <x:c r="O85" s="48"/>
      <x:c r="P85" s="48"/>
      <x:c r="Q85" s="48"/>
      <x:c r="R85" s="48"/>
      <x:c r="S85" s="48"/>
      <x:c r="T85" s="48"/>
      <x:c r="U85" s="48"/>
      <x:c r="V85" s="48"/>
      <x:c r="W85" s="48"/>
    </x:row>
    <x:row r="86">
      <x:c r="C86" s="19" t="str">
        <x:v>AU-080</x:v>
      </x:c>
      <x:c r="D86" s="19" t="str">
        <x:v>MS-HC route obligations</x:v>
      </x:c>
      <x:c r="E86" s="19" t="str">
        <x:f>IF(COUNTIF('Route Carriage'!D7:D98,"MS-HC")=12,"PASS","FAIL")</x:f>
        <x:v>PASS</x:v>
      </x:c>
      <x:c r="F86" s="21" t="str">
        <x:v>TERMINAL</x:v>
      </x:c>
      <x:c r="G86" s="48"/>
      <x:c r="H86" s="48"/>
      <x:c r="I86" s="48"/>
      <x:c r="J86" s="48"/>
      <x:c r="K86" s="48"/>
      <x:c r="L86" s="48"/>
      <x:c r="M86" s="48"/>
      <x:c r="N86" s="48"/>
      <x:c r="O86" s="48"/>
      <x:c r="P86" s="48"/>
      <x:c r="Q86" s="48"/>
      <x:c r="R86" s="48"/>
      <x:c r="S86" s="48"/>
      <x:c r="T86" s="48"/>
      <x:c r="U86" s="48"/>
      <x:c r="V86" s="48"/>
      <x:c r="W86" s="48"/>
    </x:row>
    <x:row r="87">
      <x:c r="C87" s="19" t="str">
        <x:v>AU-081</x:v>
      </x:c>
      <x:c r="D87" s="19" t="str">
        <x:v>MS-HC article units</x:v>
      </x:c>
      <x:c r="E87" s="19" t="str">
        <x:f>IF(SUMIF('Article Evidence'!D7:D26,"MS-HC",'Article Evidence'!I7:I26)=124,"PASS","FAIL")</x:f>
        <x:v>PASS</x:v>
      </x:c>
      <x:c r="F87" s="21" t="str">
        <x:v>TERMINAL</x:v>
      </x:c>
      <x:c r="G87" s="48"/>
      <x:c r="H87" s="48"/>
      <x:c r="I87" s="48"/>
      <x:c r="J87" s="48"/>
      <x:c r="K87" s="48"/>
      <x:c r="L87" s="48"/>
      <x:c r="M87" s="48"/>
      <x:c r="N87" s="48"/>
      <x:c r="O87" s="48"/>
      <x:c r="P87" s="48"/>
      <x:c r="Q87" s="48"/>
      <x:c r="R87" s="48"/>
      <x:c r="S87" s="48"/>
      <x:c r="T87" s="48"/>
      <x:c r="U87" s="48"/>
      <x:c r="V87" s="48"/>
      <x:c r="W87" s="48"/>
    </x:row>
    <x:row r="88">
      <x:c r="C88" s="19" t="str">
        <x:v>AU-082</x:v>
      </x:c>
      <x:c r="D88" s="19" t="str">
        <x:v>MS-HC allocation conserved</x:v>
      </x:c>
      <x:c r="E88" s="19" t="str">
        <x:f>IF(ABS(Finance!D9-27.323978086261516)&lt;0.0001,"PASS","FAIL")</x:f>
        <x:v>PASS</x:v>
      </x:c>
      <x:c r="F88" s="21" t="str">
        <x:v>TERMINAL</x:v>
      </x:c>
      <x:c r="G88" s="48"/>
      <x:c r="H88" s="48"/>
      <x:c r="I88" s="48"/>
      <x:c r="J88" s="48"/>
      <x:c r="K88" s="48"/>
      <x:c r="L88" s="48"/>
      <x:c r="M88" s="48"/>
      <x:c r="N88" s="48"/>
      <x:c r="O88" s="48"/>
      <x:c r="P88" s="48"/>
      <x:c r="Q88" s="48"/>
      <x:c r="R88" s="48"/>
      <x:c r="S88" s="48"/>
      <x:c r="T88" s="48"/>
      <x:c r="U88" s="48"/>
      <x:c r="V88" s="48"/>
      <x:c r="W88" s="48"/>
    </x:row>
    <x:row r="89">
      <x:c r="C89" s="19" t="str">
        <x:v>AU-083</x:v>
      </x:c>
      <x:c r="D89" s="19" t="str">
        <x:v>MS-HU root count</x:v>
      </x:c>
      <x:c r="E89" s="19" t="str">
        <x:f>IF(COUNTIF('Root Configurations'!E7:E26,"MS-HU")=4,"PASS","FAIL")</x:f>
        <x:v>PASS</x:v>
      </x:c>
      <x:c r="F89" s="21" t="str">
        <x:v>TERMINAL</x:v>
      </x:c>
      <x:c r="G89" s="48"/>
      <x:c r="H89" s="48"/>
      <x:c r="I89" s="48"/>
      <x:c r="J89" s="48"/>
      <x:c r="K89" s="48"/>
      <x:c r="L89" s="48"/>
      <x:c r="M89" s="48"/>
      <x:c r="N89" s="48"/>
      <x:c r="O89" s="48"/>
      <x:c r="P89" s="48"/>
      <x:c r="Q89" s="48"/>
      <x:c r="R89" s="48"/>
      <x:c r="S89" s="48"/>
      <x:c r="T89" s="48"/>
      <x:c r="U89" s="48"/>
      <x:c r="V89" s="48"/>
      <x:c r="W89" s="48"/>
    </x:row>
    <x:row r="90">
      <x:c r="C90" s="19" t="str">
        <x:v>AU-084</x:v>
      </x:c>
      <x:c r="D90" s="19" t="str">
        <x:v>MS-HU route obligations</x:v>
      </x:c>
      <x:c r="E90" s="19" t="str">
        <x:f>IF(COUNTIF('Route Carriage'!D7:D98,"MS-HU")=20,"PASS","FAIL")</x:f>
        <x:v>PASS</x:v>
      </x:c>
      <x:c r="F90" s="21" t="str">
        <x:v>TERMINAL</x:v>
      </x:c>
      <x:c r="G90" s="48"/>
      <x:c r="H90" s="48"/>
      <x:c r="I90" s="48"/>
      <x:c r="J90" s="48"/>
      <x:c r="K90" s="48"/>
      <x:c r="L90" s="48"/>
      <x:c r="M90" s="48"/>
      <x:c r="N90" s="48"/>
      <x:c r="O90" s="48"/>
      <x:c r="P90" s="48"/>
      <x:c r="Q90" s="48"/>
      <x:c r="R90" s="48"/>
      <x:c r="S90" s="48"/>
      <x:c r="T90" s="48"/>
      <x:c r="U90" s="48"/>
      <x:c r="V90" s="48"/>
      <x:c r="W90" s="48"/>
    </x:row>
    <x:row r="91">
      <x:c r="C91" s="19" t="str">
        <x:v>AU-085</x:v>
      </x:c>
      <x:c r="D91" s="19" t="str">
        <x:v>MS-HU article units</x:v>
      </x:c>
      <x:c r="E91" s="19" t="str">
        <x:f>IF(SUMIF('Article Evidence'!D7:D26,"MS-HU",'Article Evidence'!I7:I26)=448,"PASS","FAIL")</x:f>
        <x:v>PASS</x:v>
      </x:c>
      <x:c r="F91" s="21" t="str">
        <x:v>TERMINAL</x:v>
      </x:c>
      <x:c r="G91" s="48"/>
      <x:c r="H91" s="48"/>
      <x:c r="I91" s="48"/>
      <x:c r="J91" s="48"/>
      <x:c r="K91" s="48"/>
      <x:c r="L91" s="48"/>
      <x:c r="M91" s="48"/>
      <x:c r="N91" s="48"/>
      <x:c r="O91" s="48"/>
      <x:c r="P91" s="48"/>
      <x:c r="Q91" s="48"/>
      <x:c r="R91" s="48"/>
      <x:c r="S91" s="48"/>
      <x:c r="T91" s="48"/>
      <x:c r="U91" s="48"/>
      <x:c r="V91" s="48"/>
      <x:c r="W91" s="48"/>
    </x:row>
    <x:row r="92">
      <x:c r="C92" s="19" t="str">
        <x:v>AU-086</x:v>
      </x:c>
      <x:c r="D92" s="19" t="str">
        <x:v>MS-HU allocation conserved</x:v>
      </x:c>
      <x:c r="E92" s="19" t="str">
        <x:f>IF(ABS(Finance!D10-76.55088074487006)&lt;0.0001,"PASS","FAIL")</x:f>
        <x:v>PASS</x:v>
      </x:c>
      <x:c r="F92" s="21" t="str">
        <x:v>TERMINAL</x:v>
      </x:c>
      <x:c r="G92" s="48"/>
      <x:c r="H92" s="48"/>
      <x:c r="I92" s="48"/>
      <x:c r="J92" s="48"/>
      <x:c r="K92" s="48"/>
      <x:c r="L92" s="48"/>
      <x:c r="M92" s="48"/>
      <x:c r="N92" s="48"/>
      <x:c r="O92" s="48"/>
      <x:c r="P92" s="48"/>
      <x:c r="Q92" s="48"/>
      <x:c r="R92" s="48"/>
      <x:c r="S92" s="48"/>
      <x:c r="T92" s="48"/>
      <x:c r="U92" s="48"/>
      <x:c r="V92" s="48"/>
      <x:c r="W92" s="48"/>
    </x:row>
    <x:row r="93">
      <x:c r="C93" s="19" t="str">
        <x:v>AU-087</x:v>
      </x:c>
      <x:c r="D93" s="19" t="str">
        <x:v>MS-RT root count</x:v>
      </x:c>
      <x:c r="E93" s="19" t="str">
        <x:f>IF(COUNTIF('Root Configurations'!E7:E26,"MS-RT")=4,"PASS","FAIL")</x:f>
        <x:v>PASS</x:v>
      </x:c>
      <x:c r="F93" s="21" t="str">
        <x:v>TERMINAL</x:v>
      </x:c>
      <x:c r="G93" s="48"/>
      <x:c r="H93" s="48"/>
      <x:c r="I93" s="48"/>
      <x:c r="J93" s="48"/>
      <x:c r="K93" s="48"/>
      <x:c r="L93" s="48"/>
      <x:c r="M93" s="48"/>
      <x:c r="N93" s="48"/>
      <x:c r="O93" s="48"/>
      <x:c r="P93" s="48"/>
      <x:c r="Q93" s="48"/>
      <x:c r="R93" s="48"/>
      <x:c r="S93" s="48"/>
      <x:c r="T93" s="48"/>
      <x:c r="U93" s="48"/>
      <x:c r="V93" s="48"/>
      <x:c r="W93" s="48"/>
    </x:row>
    <x:row r="94">
      <x:c r="C94" s="19" t="str">
        <x:v>AU-088</x:v>
      </x:c>
      <x:c r="D94" s="19" t="str">
        <x:v>MS-RT route obligations</x:v>
      </x:c>
      <x:c r="E94" s="19" t="str">
        <x:f>IF(COUNTIF('Route Carriage'!D7:D98,"MS-RT")=20,"PASS","FAIL")</x:f>
        <x:v>PASS</x:v>
      </x:c>
      <x:c r="F94" s="21" t="str">
        <x:v>TERMINAL</x:v>
      </x:c>
      <x:c r="G94" s="48"/>
      <x:c r="H94" s="48"/>
      <x:c r="I94" s="48"/>
      <x:c r="J94" s="48"/>
      <x:c r="K94" s="48"/>
      <x:c r="L94" s="48"/>
      <x:c r="M94" s="48"/>
      <x:c r="N94" s="48"/>
      <x:c r="O94" s="48"/>
      <x:c r="P94" s="48"/>
      <x:c r="Q94" s="48"/>
      <x:c r="R94" s="48"/>
      <x:c r="S94" s="48"/>
      <x:c r="T94" s="48"/>
      <x:c r="U94" s="48"/>
      <x:c r="V94" s="48"/>
      <x:c r="W94" s="48"/>
    </x:row>
    <x:row r="95">
      <x:c r="C95" s="19" t="str">
        <x:v>AU-089</x:v>
      </x:c>
      <x:c r="D95" s="19" t="str">
        <x:v>MS-RT article units</x:v>
      </x:c>
      <x:c r="E95" s="19" t="str">
        <x:f>IF(SUMIF('Article Evidence'!D7:D26,"MS-RT",'Article Evidence'!I7:I26)=244,"PASS","FAIL")</x:f>
        <x:v>PASS</x:v>
      </x:c>
      <x:c r="F95" s="21" t="str">
        <x:v>TERMINAL</x:v>
      </x:c>
      <x:c r="G95" s="48"/>
      <x:c r="H95" s="48"/>
      <x:c r="I95" s="48"/>
      <x:c r="J95" s="48"/>
      <x:c r="K95" s="48"/>
      <x:c r="L95" s="48"/>
      <x:c r="M95" s="48"/>
      <x:c r="N95" s="48"/>
      <x:c r="O95" s="48"/>
      <x:c r="P95" s="48"/>
      <x:c r="Q95" s="48"/>
      <x:c r="R95" s="48"/>
      <x:c r="S95" s="48"/>
      <x:c r="T95" s="48"/>
      <x:c r="U95" s="48"/>
      <x:c r="V95" s="48"/>
      <x:c r="W95" s="48"/>
    </x:row>
    <x:row r="96">
      <x:c r="C96" s="19" t="str">
        <x:v>AU-090</x:v>
      </x:c>
      <x:c r="D96" s="19" t="str">
        <x:v>MS-RT allocation conserved</x:v>
      </x:c>
      <x:c r="E96" s="19" t="str">
        <x:f>IF(ABS(Finance!D11-44.700531046712975)&lt;0.0001,"PASS","FAIL")</x:f>
        <x:v>PASS</x:v>
      </x:c>
      <x:c r="F96" s="21" t="str">
        <x:v>TERMINAL</x:v>
      </x:c>
      <x:c r="G96" s="48"/>
      <x:c r="H96" s="48"/>
      <x:c r="I96" s="48"/>
      <x:c r="J96" s="48"/>
      <x:c r="K96" s="48"/>
      <x:c r="L96" s="48"/>
      <x:c r="M96" s="48"/>
      <x:c r="N96" s="48"/>
      <x:c r="O96" s="48"/>
      <x:c r="P96" s="48"/>
      <x:c r="Q96" s="48"/>
      <x:c r="R96" s="48"/>
      <x:c r="S96" s="48"/>
      <x:c r="T96" s="48"/>
      <x:c r="U96" s="48"/>
      <x:c r="V96" s="48"/>
      <x:c r="W96" s="48"/>
    </x:row>
    <x:row r="97">
      <x:c r="C97" s="19" t="str">
        <x:v>AU-091</x:v>
      </x:c>
      <x:c r="D97" s="19" t="str">
        <x:v>Twenty non-lifeline roots</x:v>
      </x:c>
      <x:c r="E97" s="19" t="str">
        <x:f>IF(COUNTA('Root Configurations'!C7:C26)=20,"PASS","FAIL")</x:f>
        <x:v>PASS</x:v>
      </x:c>
      <x:c r="F97" s="21" t="str">
        <x:v>TERMINAL</x:v>
      </x:c>
      <x:c r="G97" s="48"/>
      <x:c r="H97" s="48"/>
      <x:c r="I97" s="48"/>
      <x:c r="J97" s="48"/>
      <x:c r="K97" s="48"/>
      <x:c r="L97" s="48"/>
      <x:c r="M97" s="48"/>
      <x:c r="N97" s="48"/>
      <x:c r="O97" s="48"/>
      <x:c r="P97" s="48"/>
      <x:c r="Q97" s="48"/>
      <x:c r="R97" s="48"/>
      <x:c r="S97" s="48"/>
      <x:c r="T97" s="48"/>
      <x:c r="U97" s="48"/>
      <x:c r="V97" s="48"/>
      <x:c r="W97" s="48"/>
    </x:row>
    <x:row r="98">
      <x:c r="C98" s="19" t="str">
        <x:v>AU-092</x:v>
      </x:c>
      <x:c r="D98" s="19" t="str">
        <x:v>Ninety-two root-route obligations</x:v>
      </x:c>
      <x:c r="E98" s="19" t="str">
        <x:f>IF(COUNTA('Route Carriage'!C7:C98)=92,"PASS","FAIL")</x:f>
        <x:v>PASS</x:v>
      </x:c>
      <x:c r="F98" s="21" t="str">
        <x:v>TERMINAL</x:v>
      </x:c>
      <x:c r="G98" s="48"/>
      <x:c r="H98" s="48"/>
      <x:c r="I98" s="48"/>
      <x:c r="J98" s="48"/>
      <x:c r="K98" s="48"/>
      <x:c r="L98" s="48"/>
      <x:c r="M98" s="48"/>
      <x:c r="N98" s="48"/>
      <x:c r="O98" s="48"/>
      <x:c r="P98" s="48"/>
      <x:c r="Q98" s="48"/>
      <x:c r="R98" s="48"/>
      <x:c r="S98" s="48"/>
      <x:c r="T98" s="48"/>
      <x:c r="U98" s="48"/>
      <x:c r="V98" s="48"/>
      <x:c r="W98" s="48"/>
    </x:row>
    <x:row r="99">
      <x:c r="C99" s="19" t="str">
        <x:v>AU-093</x:v>
      </x:c>
      <x:c r="D99" s="19" t="str">
        <x:v>Eighty technology workstreams</x:v>
      </x:c>
      <x:c r="E99" s="19" t="str">
        <x:f>IF(COUNTA('Technology Work'!C7:C86)=80,"PASS","FAIL")</x:f>
        <x:v>PASS</x:v>
      </x:c>
      <x:c r="F99" s="21" t="str">
        <x:v>TERMINAL</x:v>
      </x:c>
      <x:c r="G99" s="48"/>
      <x:c r="H99" s="48"/>
      <x:c r="I99" s="48"/>
      <x:c r="J99" s="48"/>
      <x:c r="K99" s="48"/>
      <x:c r="L99" s="48"/>
      <x:c r="M99" s="48"/>
      <x:c r="N99" s="48"/>
      <x:c r="O99" s="48"/>
      <x:c r="P99" s="48"/>
      <x:c r="Q99" s="48"/>
      <x:c r="R99" s="48"/>
      <x:c r="S99" s="48"/>
      <x:c r="T99" s="48"/>
      <x:c r="U99" s="48"/>
      <x:c r="V99" s="48"/>
      <x:c r="W99" s="48"/>
    </x:row>
    <x:row r="100">
      <x:c r="C100" s="19" t="str">
        <x:v>AU-094</x:v>
      </x:c>
      <x:c r="D100" s="19" t="str">
        <x:v>Two hundred forty ancestry records</x:v>
      </x:c>
      <x:c r="E100" s="19" t="str">
        <x:f>IF(COUNTA(Ancestry!C7:C246)=240,"PASS","FAIL")</x:f>
        <x:v>PASS</x:v>
      </x:c>
      <x:c r="F100" s="21" t="str">
        <x:v>TERMINAL</x:v>
      </x:c>
      <x:c r="G100" s="48"/>
      <x:c r="H100" s="48"/>
      <x:c r="I100" s="48"/>
      <x:c r="J100" s="48"/>
      <x:c r="K100" s="48"/>
      <x:c r="L100" s="48"/>
      <x:c r="M100" s="48"/>
      <x:c r="N100" s="48"/>
      <x:c r="O100" s="48"/>
      <x:c r="P100" s="48"/>
      <x:c r="Q100" s="48"/>
      <x:c r="R100" s="48"/>
      <x:c r="S100" s="48"/>
      <x:c r="T100" s="48"/>
      <x:c r="U100" s="48"/>
      <x:c r="V100" s="48"/>
      <x:c r="W100" s="48"/>
    </x:row>
    <x:row r="101">
      <x:c r="C101" s="19" t="str">
        <x:v>AU-095</x:v>
      </x:c>
      <x:c r="D101" s="19" t="str">
        <x:v>Two hundred eighty G3 gates</x:v>
      </x:c>
      <x:c r="E101" s="19" t="str">
        <x:f>IF(COUNTA('G3 Gates'!C7:C286)=280,"PASS","FAIL")</x:f>
        <x:v>PASS</x:v>
      </x:c>
      <x:c r="F101" s="21" t="str">
        <x:v>TERMINAL</x:v>
      </x:c>
      <x:c r="G101" s="48"/>
      <x:c r="H101" s="48"/>
      <x:c r="I101" s="48"/>
      <x:c r="J101" s="48"/>
      <x:c r="K101" s="48"/>
      <x:c r="L101" s="48"/>
      <x:c r="M101" s="48"/>
      <x:c r="N101" s="48"/>
      <x:c r="O101" s="48"/>
      <x:c r="P101" s="48"/>
      <x:c r="Q101" s="48"/>
      <x:c r="R101" s="48"/>
      <x:c r="S101" s="48"/>
      <x:c r="T101" s="48"/>
      <x:c r="U101" s="48"/>
      <x:c r="V101" s="48"/>
      <x:c r="W101" s="48"/>
    </x:row>
    <x:row r="102">
      <x:c r="C102" s="19" t="str">
        <x:v>AU-096</x:v>
      </x:c>
      <x:c r="D102" s="19" t="str">
        <x:v>One thousand two hundred sixty-eight article units</x:v>
      </x:c>
      <x:c r="E102" s="19" t="str">
        <x:f>IF(SUM('Article Evidence'!I7:I26)=1268,"PASS","FAIL")</x:f>
        <x:v>PASS</x:v>
      </x:c>
      <x:c r="F102" s="21" t="str">
        <x:v>TERMINAL</x:v>
      </x:c>
      <x:c r="G102" s="48"/>
      <x:c r="H102" s="48"/>
      <x:c r="I102" s="48"/>
      <x:c r="J102" s="48"/>
      <x:c r="K102" s="48"/>
      <x:c r="L102" s="48"/>
      <x:c r="M102" s="48"/>
      <x:c r="N102" s="48"/>
      <x:c r="O102" s="48"/>
      <x:c r="P102" s="48"/>
      <x:c r="Q102" s="48"/>
      <x:c r="R102" s="48"/>
      <x:c r="S102" s="48"/>
      <x:c r="T102" s="48"/>
      <x:c r="U102" s="48"/>
      <x:c r="V102" s="48"/>
      <x:c r="W102" s="48"/>
    </x:row>
    <x:row r="103">
      <x:c r="C103" s="19" t="str">
        <x:v>AU-097</x:v>
      </x:c>
      <x:c r="D103" s="19" t="str">
        <x:v>Eight hundred forty valid events</x:v>
      </x:c>
      <x:c r="E103" s="19" t="str">
        <x:f>IF(SUM('Article Evidence'!J7:J26)=840,"PASS","FAIL")</x:f>
        <x:v>PASS</x:v>
      </x:c>
      <x:c r="F103" s="21" t="str">
        <x:v>TERMINAL</x:v>
      </x:c>
      <x:c r="G103" s="48"/>
      <x:c r="H103" s="48"/>
      <x:c r="I103" s="48"/>
      <x:c r="J103" s="48"/>
      <x:c r="K103" s="48"/>
      <x:c r="L103" s="48"/>
      <x:c r="M103" s="48"/>
      <x:c r="N103" s="48"/>
      <x:c r="O103" s="48"/>
      <x:c r="P103" s="48"/>
      <x:c r="Q103" s="48"/>
      <x:c r="R103" s="48"/>
      <x:c r="S103" s="48"/>
      <x:c r="T103" s="48"/>
      <x:c r="U103" s="48"/>
      <x:c r="V103" s="48"/>
      <x:c r="W103" s="48"/>
    </x:row>
    <x:row r="104">
      <x:c r="C104" s="19" t="str">
        <x:v>AU-098</x:v>
      </x:c>
      <x:c r="D104" s="19" t="str">
        <x:v>Three thousand six hundred forty packages</x:v>
      </x:c>
      <x:c r="E104" s="19" t="str">
        <x:f>IF(SUM('Article Evidence'!L7:L26)=3640,"PASS","FAIL")</x:f>
        <x:v>PASS</x:v>
      </x:c>
      <x:c r="F104" s="21" t="str">
        <x:v>TERMINAL</x:v>
      </x:c>
      <x:c r="G104" s="48"/>
      <x:c r="H104" s="48"/>
      <x:c r="I104" s="48"/>
      <x:c r="J104" s="48"/>
      <x:c r="K104" s="48"/>
      <x:c r="L104" s="48"/>
      <x:c r="M104" s="48"/>
      <x:c r="N104" s="48"/>
      <x:c r="O104" s="48"/>
      <x:c r="P104" s="48"/>
      <x:c r="Q104" s="48"/>
      <x:c r="R104" s="48"/>
      <x:c r="S104" s="48"/>
      <x:c r="T104" s="48"/>
      <x:c r="U104" s="48"/>
      <x:c r="V104" s="48"/>
      <x:c r="W104" s="48"/>
    </x:row>
    <x:row r="105">
      <x:c r="C105" s="22" t="str">
        <x:v>AU-099</x:v>
      </x:c>
      <x:c r="D105" s="22" t="str">
        <x:v>Source-empty Cascadia barrier</x:v>
      </x:c>
      <x:c r="E105" s="22" t="str">
        <x:f>IF('Cascadia Barrier'!D20="BLOCKED","PASS","FAIL")</x:f>
        <x:v>PASS</x:v>
      </x:c>
      <x:c r="F105" s="24" t="str">
        <x:v>TERMINAL</x:v>
      </x:c>
      <x:c r="G105" s="48"/>
      <x:c r="H105" s="48"/>
      <x:c r="I105" s="48"/>
      <x:c r="J105" s="48"/>
      <x:c r="K105" s="48"/>
      <x:c r="L105" s="48"/>
      <x:c r="M105" s="48"/>
      <x:c r="N105" s="48"/>
      <x:c r="O105" s="48"/>
      <x:c r="P105" s="48"/>
      <x:c r="Q105" s="48"/>
      <x:c r="R105" s="48"/>
      <x:c r="S105" s="48"/>
      <x:c r="T105" s="48"/>
      <x:c r="U105" s="48"/>
      <x:c r="V105" s="48"/>
      <x:c r="W105" s="48"/>
    </x:row>
    <x:row r="106">
      <x:c r="C106" s="2"/>
      <x:c r="D106" s="2"/>
      <x:c r="E106" s="2"/>
      <x:c r="F106" s="2"/>
      <x:c r="G106" s="48"/>
      <x:c r="H106" s="48"/>
      <x:c r="I106" s="48"/>
      <x:c r="J106" s="48"/>
      <x:c r="K106" s="48"/>
      <x:c r="L106" s="48"/>
      <x:c r="M106" s="48"/>
      <x:c r="N106" s="48"/>
      <x:c r="O106" s="48"/>
      <x:c r="P106" s="48"/>
      <x:c r="Q106" s="48"/>
      <x:c r="R106" s="48"/>
      <x:c r="S106" s="48"/>
      <x:c r="T106" s="48"/>
      <x:c r="U106" s="48"/>
      <x:c r="V106" s="48"/>
      <x:c r="W106" s="48"/>
    </x:row>
    <x:row r="107">
      <x:c r="C107" s="2"/>
      <x:c r="D107" s="2"/>
      <x:c r="E107" s="2"/>
      <x:c r="F107" s="2"/>
      <x:c r="G107" s="48"/>
      <x:c r="H107" s="48"/>
      <x:c r="I107" s="48"/>
      <x:c r="J107" s="48"/>
      <x:c r="K107" s="48"/>
      <x:c r="L107" s="48"/>
      <x:c r="M107" s="48"/>
      <x:c r="N107" s="48"/>
      <x:c r="O107" s="48"/>
      <x:c r="P107" s="48"/>
      <x:c r="Q107" s="48"/>
      <x:c r="R107" s="48"/>
      <x:c r="S107" s="48"/>
      <x:c r="T107" s="48"/>
      <x:c r="U107" s="48"/>
      <x:c r="V107" s="48"/>
      <x:c r="W107" s="48"/>
    </x:row>
    <x:row r="108">
      <x:c r="C108" s="2"/>
      <x:c r="D108" s="2"/>
      <x:c r="E108" s="2"/>
      <x:c r="F108" s="2"/>
      <x:c r="G108" s="48"/>
      <x:c r="H108" s="48"/>
      <x:c r="I108" s="48"/>
      <x:c r="J108" s="48"/>
      <x:c r="K108" s="48"/>
      <x:c r="L108" s="48"/>
      <x:c r="M108" s="48"/>
      <x:c r="N108" s="48"/>
      <x:c r="O108" s="48"/>
      <x:c r="P108" s="48"/>
      <x:c r="Q108" s="48"/>
      <x:c r="R108" s="48"/>
      <x:c r="S108" s="48"/>
      <x:c r="T108" s="48"/>
      <x:c r="U108" s="48"/>
      <x:c r="V108" s="48"/>
      <x:c r="W108" s="48"/>
    </x:row>
    <x:row r="109">
      <x:c r="C109" s="2"/>
      <x:c r="D109" s="2"/>
      <x:c r="E109" s="2"/>
      <x:c r="F109" s="2"/>
      <x:c r="G109" s="48"/>
      <x:c r="H109" s="48"/>
      <x:c r="I109" s="48"/>
      <x:c r="J109" s="48"/>
      <x:c r="K109" s="48"/>
      <x:c r="L109" s="48"/>
      <x:c r="M109" s="48"/>
      <x:c r="N109" s="48"/>
      <x:c r="O109" s="48"/>
      <x:c r="P109" s="48"/>
      <x:c r="Q109" s="48"/>
      <x:c r="R109" s="48"/>
      <x:c r="S109" s="48"/>
      <x:c r="T109" s="48"/>
      <x:c r="U109" s="48"/>
      <x:c r="V109" s="48"/>
      <x:c r="W109" s="48"/>
    </x:row>
    <x:row r="110">
      <x:c r="C110" s="2"/>
      <x:c r="D110" s="2"/>
      <x:c r="E110" s="2"/>
      <x:c r="F110" s="2"/>
      <x:c r="G110" s="48"/>
      <x:c r="H110" s="48"/>
      <x:c r="I110" s="48"/>
      <x:c r="J110" s="48"/>
      <x:c r="K110" s="48"/>
      <x:c r="L110" s="48"/>
      <x:c r="M110" s="48"/>
      <x:c r="N110" s="48"/>
      <x:c r="O110" s="48"/>
      <x:c r="P110" s="48"/>
      <x:c r="Q110" s="48"/>
      <x:c r="R110" s="48"/>
      <x:c r="S110" s="48"/>
      <x:c r="T110" s="48"/>
      <x:c r="U110" s="48"/>
      <x:c r="V110" s="48"/>
      <x:c r="W110" s="48"/>
    </x:row>
    <x:row r="111">
      <x:c r="C111" s="2"/>
      <x:c r="D111" s="2"/>
      <x:c r="E111" s="2"/>
      <x:c r="F111" s="2"/>
      <x:c r="G111" s="48"/>
      <x:c r="H111" s="48"/>
      <x:c r="I111" s="48"/>
      <x:c r="J111" s="48"/>
      <x:c r="K111" s="48"/>
      <x:c r="L111" s="48"/>
      <x:c r="M111" s="48"/>
      <x:c r="N111" s="48"/>
      <x:c r="O111" s="48"/>
      <x:c r="P111" s="48"/>
      <x:c r="Q111" s="48"/>
      <x:c r="R111" s="48"/>
      <x:c r="S111" s="48"/>
      <x:c r="T111" s="48"/>
      <x:c r="U111" s="48"/>
      <x:c r="V111" s="48"/>
      <x:c r="W111" s="48"/>
    </x:row>
    <x:row r="112">
      <x:c r="C112" s="2"/>
      <x:c r="D112" s="2"/>
      <x:c r="E112" s="2"/>
      <x:c r="F112" s="2"/>
      <x:c r="G112" s="48"/>
      <x:c r="H112" s="48"/>
      <x:c r="I112" s="48"/>
      <x:c r="J112" s="48"/>
      <x:c r="K112" s="48"/>
      <x:c r="L112" s="48"/>
      <x:c r="M112" s="48"/>
      <x:c r="N112" s="48"/>
      <x:c r="O112" s="48"/>
      <x:c r="P112" s="48"/>
      <x:c r="Q112" s="48"/>
      <x:c r="R112" s="48"/>
      <x:c r="S112" s="48"/>
      <x:c r="T112" s="48"/>
      <x:c r="U112" s="48"/>
      <x:c r="V112" s="48"/>
      <x:c r="W112" s="48"/>
    </x:row>
  </x:sheetData>
  <x:conditionalFormatting sqref="E7:E105">
    <x:cfRule type="containsText" dxfId="2" priority="1" operator="containsText" text="FAIL"/>
  </x:conditionalFormatting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3" max="3" width="12" hidden="0" customWidth="1"/>
    <x:col min="4" max="4" width="45" hidden="0" customWidth="1"/>
    <x:col min="5" max="5" width="12" hidden="0" customWidth="1"/>
    <x:col min="6" max="6" width="52" hidden="0" customWidth="1"/>
    <x:col min="7" max="7" width="34" hidden="0" customWidth="1"/>
  </x:cols>
  <x:sheetData>
    <x:row r="1">
      <x:c r="C1" s="2"/>
      <x:c r="D1" s="2"/>
      <x:c r="E1" s="2"/>
      <x:c r="F1" s="2"/>
      <x:c r="G1" s="2"/>
      <x:c r="H1" s="48"/>
      <x:c r="I1" s="48"/>
      <x:c r="J1" s="48"/>
      <x:c r="K1" s="48"/>
      <x:c r="L1" s="48"/>
      <x:c r="M1" s="48"/>
      <x:c r="N1" s="48"/>
      <x:c r="O1" s="48"/>
      <x:c r="P1" s="48"/>
      <x:c r="Q1" s="48"/>
      <x:c r="R1" s="48"/>
      <x:c r="S1" s="48"/>
      <x:c r="T1" s="48"/>
      <x:c r="U1" s="48"/>
      <x:c r="V1" s="48"/>
      <x:c r="W1" s="48"/>
    </x:row>
    <x:row r="2">
      <x:c r="C2" s="3" t="str">
        <x:v>Internal source lineage</x:v>
      </x:c>
      <x:c r="D2" s="2"/>
      <x:c r="E2" s="2"/>
      <x:c r="F2" s="2"/>
      <x:c r="G2" s="2"/>
      <x:c r="H2" s="48"/>
      <x:c r="I2" s="48"/>
      <x:c r="J2" s="48"/>
      <x:c r="K2" s="48"/>
      <x:c r="L2" s="48"/>
      <x:c r="M2" s="48"/>
      <x:c r="N2" s="48"/>
      <x:c r="O2" s="48"/>
      <x:c r="P2" s="48"/>
      <x:c r="Q2" s="48"/>
      <x:c r="R2" s="48"/>
      <x:c r="S2" s="48"/>
      <x:c r="T2" s="48"/>
      <x:c r="U2" s="48"/>
      <x:c r="V2" s="48"/>
      <x:c r="W2" s="48"/>
    </x:row>
    <x:row r="3">
      <x:c r="C3" s="5" t="str">
        <x:v>No external-site research or observed physical evidence is introduced.</x:v>
      </x:c>
      <x:c r="D3" s="6"/>
      <x:c r="E3" s="6"/>
      <x:c r="F3" s="6"/>
      <x:c r="G3" s="6"/>
      <x:c r="H3" s="49"/>
      <x:c r="I3" s="49"/>
      <x:c r="J3" s="49"/>
      <x:c r="K3" s="49"/>
      <x:c r="L3" s="49"/>
      <x:c r="M3" s="49"/>
      <x:c r="N3" s="49"/>
      <x:c r="O3" s="49"/>
      <x:c r="P3" s="49"/>
      <x:c r="Q3" s="49"/>
      <x:c r="R3" s="49"/>
      <x:c r="S3" s="49"/>
      <x:c r="T3" s="49"/>
      <x:c r="U3" s="49"/>
      <x:c r="V3" s="49"/>
      <x:c r="W3" s="49"/>
    </x:row>
    <x:row r="4">
      <x:c r="C4" s="2"/>
      <x:c r="D4" s="2"/>
      <x:c r="E4" s="2"/>
      <x:c r="F4" s="2"/>
      <x:c r="G4" s="2"/>
      <x:c r="H4" s="48"/>
      <x:c r="I4" s="48"/>
      <x:c r="J4" s="48"/>
      <x:c r="K4" s="48"/>
      <x:c r="L4" s="48"/>
      <x:c r="M4" s="48"/>
      <x:c r="N4" s="48"/>
      <x:c r="O4" s="48"/>
      <x:c r="P4" s="48"/>
      <x:c r="Q4" s="48"/>
      <x:c r="R4" s="48"/>
      <x:c r="S4" s="48"/>
      <x:c r="T4" s="48"/>
      <x:c r="U4" s="48"/>
      <x:c r="V4" s="48"/>
      <x:c r="W4" s="48"/>
    </x:row>
    <x:row r="5">
      <x:c r="C5" s="2"/>
      <x:c r="D5" s="2"/>
      <x:c r="E5" s="2"/>
      <x:c r="F5" s="2"/>
      <x:c r="G5" s="2"/>
      <x:c r="H5" s="48"/>
      <x:c r="I5" s="48"/>
      <x:c r="J5" s="48"/>
      <x:c r="K5" s="48"/>
      <x:c r="L5" s="48"/>
      <x:c r="M5" s="48"/>
      <x:c r="N5" s="48"/>
      <x:c r="O5" s="48"/>
      <x:c r="P5" s="48"/>
      <x:c r="Q5" s="48"/>
      <x:c r="R5" s="48"/>
      <x:c r="S5" s="48"/>
      <x:c r="T5" s="48"/>
      <x:c r="U5" s="48"/>
      <x:c r="V5" s="48"/>
      <x:c r="W5" s="48"/>
    </x:row>
    <x:row r="6">
      <x:c r="C6" s="17" t="str">
        <x:v>Source</x:v>
      </x:c>
      <x:c r="D6" s="18" t="str">
        <x:v>Artifact</x:v>
      </x:c>
      <x:c r="E6" s="18" t="str">
        <x:v>Pass</x:v>
      </x:c>
      <x:c r="F6" s="18" t="str">
        <x:v>Use</x:v>
      </x:c>
      <x:c r="G6" s="18" t="str">
        <x:v>Access note</x:v>
      </x:c>
      <x:c r="H6" s="48"/>
      <x:c r="I6" s="48"/>
      <x:c r="J6" s="48"/>
      <x:c r="K6" s="48"/>
      <x:c r="L6" s="48"/>
      <x:c r="M6" s="48"/>
      <x:c r="N6" s="48"/>
      <x:c r="O6" s="48"/>
      <x:c r="P6" s="48"/>
      <x:c r="Q6" s="48"/>
      <x:c r="R6" s="48"/>
      <x:c r="S6" s="48"/>
      <x:c r="T6" s="48"/>
      <x:c r="U6" s="48"/>
      <x:c r="V6" s="48"/>
      <x:c r="W6" s="48"/>
    </x:row>
    <x:row r="7">
      <x:c r="C7" s="19" t="str">
        <x:v>S01</x:v>
      </x:c>
      <x:c r="D7" s="19" t="str">
        <x:v>Twenty-four-root diversity constitution</x:v>
      </x:c>
      <x:c r="E7" s="19" t="n">
        <x:v>175</x:v>
      </x:c>
      <x:c r="F7" s="19" t="str">
        <x:v>Root theses, ancestry and fourteen gates</x:v>
      </x:c>
      <x:c r="G7" s="21" t="str">
        <x:v>Repository Markdown and workbook</x:v>
      </x:c>
      <x:c r="H7" s="48"/>
      <x:c r="I7" s="48"/>
      <x:c r="J7" s="48"/>
      <x:c r="K7" s="48"/>
      <x:c r="L7" s="48"/>
      <x:c r="M7" s="48"/>
      <x:c r="N7" s="48"/>
      <x:c r="O7" s="48"/>
      <x:c r="P7" s="48"/>
      <x:c r="Q7" s="48"/>
      <x:c r="R7" s="48"/>
      <x:c r="S7" s="48"/>
      <x:c r="T7" s="48"/>
      <x:c r="U7" s="48"/>
      <x:c r="V7" s="48"/>
      <x:c r="W7" s="48"/>
    </x:row>
    <x:row r="8">
      <x:c r="C8" s="19" t="str">
        <x:v>S02</x:v>
      </x:c>
      <x:c r="D8" s="19" t="str">
        <x:v>Six-system proof estate</x:v>
      </x:c>
      <x:c r="E8" s="19" t="n">
        <x:v>180</x:v>
      </x:c>
      <x:c r="F8" s="19" t="str">
        <x:v>Unit denominators, root bills and evidence counts</x:v>
      </x:c>
      <x:c r="G8" s="21" t="str">
        <x:v>Repository Markdown and workbook</x:v>
      </x:c>
      <x:c r="H8" s="48"/>
      <x:c r="I8" s="48"/>
      <x:c r="J8" s="48"/>
      <x:c r="K8" s="48"/>
      <x:c r="L8" s="48"/>
      <x:c r="M8" s="48"/>
      <x:c r="N8" s="48"/>
      <x:c r="O8" s="48"/>
      <x:c r="P8" s="48"/>
      <x:c r="Q8" s="48"/>
      <x:c r="R8" s="48"/>
      <x:c r="S8" s="48"/>
      <x:c r="T8" s="48"/>
      <x:c r="U8" s="48"/>
      <x:c r="V8" s="48"/>
      <x:c r="W8" s="48"/>
    </x:row>
    <x:row r="9">
      <x:c r="C9" s="19" t="str">
        <x:v>S03</x:v>
      </x:c>
      <x:c r="D9" s="19" t="str">
        <x:v>All-six service contracts</x:v>
      </x:c>
      <x:c r="E9" s="19" t="n">
        <x:v>172</x:v>
      </x:c>
      <x:c r="F9" s="19" t="str">
        <x:v>Routes, seven stages and public exchange law</x:v>
      </x:c>
      <x:c r="G9" s="21" t="str">
        <x:v>Repository Markdown and workbook</x:v>
      </x:c>
      <x:c r="H9" s="48"/>
      <x:c r="I9" s="48"/>
      <x:c r="J9" s="48"/>
      <x:c r="K9" s="48"/>
      <x:c r="L9" s="48"/>
      <x:c r="M9" s="48"/>
      <x:c r="N9" s="48"/>
      <x:c r="O9" s="48"/>
      <x:c r="P9" s="48"/>
      <x:c r="Q9" s="48"/>
      <x:c r="R9" s="48"/>
      <x:c r="S9" s="48"/>
      <x:c r="T9" s="48"/>
      <x:c r="U9" s="48"/>
      <x:c r="V9" s="48"/>
      <x:c r="W9" s="48"/>
    </x:row>
    <x:row r="10">
      <x:c r="C10" s="19" t="str">
        <x:v>S04</x:v>
      </x:c>
      <x:c r="D10" s="19" t="str">
        <x:v>First physical human-continuity system</x:v>
      </x:c>
      <x:c r="E10" s="19" t="n">
        <x:v>170</x:v>
      </x:c>
      <x:c r="F10" s="19" t="str">
        <x:v>HCDN-50 states and representative roots</x:v>
      </x:c>
      <x:c r="G10" s="21" t="str">
        <x:v>Repository Markdown and workbook</x:v>
      </x:c>
      <x:c r="H10" s="48"/>
      <x:c r="I10" s="48"/>
      <x:c r="J10" s="48"/>
      <x:c r="K10" s="48"/>
      <x:c r="L10" s="48"/>
      <x:c r="M10" s="48"/>
      <x:c r="N10" s="48"/>
      <x:c r="O10" s="48"/>
      <x:c r="P10" s="48"/>
      <x:c r="Q10" s="48"/>
      <x:c r="R10" s="48"/>
      <x:c r="S10" s="48"/>
      <x:c r="T10" s="48"/>
      <x:c r="U10" s="48"/>
      <x:c r="V10" s="48"/>
      <x:c r="W10" s="48"/>
    </x:row>
    <x:row r="11">
      <x:c r="C11" s="19" t="str">
        <x:v>S05</x:v>
      </x:c>
      <x:c r="D11" s="19" t="str">
        <x:v>Fire response configuration</x:v>
      </x:c>
      <x:c r="E11" s="19" t="n">
        <x:v>14</x:v>
      </x:c>
      <x:c r="F11" s="19" t="str">
        <x:v>Atmospheric and terrain control hypotheses</x:v>
      </x:c>
      <x:c r="G11" s="21" t="str">
        <x:v>Repository Markdown and workbook</x:v>
      </x:c>
      <x:c r="H11" s="48"/>
      <x:c r="I11" s="48"/>
      <x:c r="J11" s="48"/>
      <x:c r="K11" s="48"/>
      <x:c r="L11" s="48"/>
      <x:c r="M11" s="48"/>
      <x:c r="N11" s="48"/>
      <x:c r="O11" s="48"/>
      <x:c r="P11" s="48"/>
      <x:c r="Q11" s="48"/>
      <x:c r="R11" s="48"/>
      <x:c r="S11" s="48"/>
      <x:c r="T11" s="48"/>
      <x:c r="U11" s="48"/>
      <x:c r="V11" s="48"/>
      <x:c r="W11" s="48"/>
    </x:row>
    <x:row r="12">
      <x:c r="C12" s="19" t="str">
        <x:v>S06</x:v>
      </x:c>
      <x:c r="D12" s="19" t="str">
        <x:v>Flood response configuration</x:v>
      </x:c>
      <x:c r="E12" s="19" t="n">
        <x:v>13</x:v>
      </x:c>
      <x:c r="F12" s="19" t="str">
        <x:v>Hydraulic intervention and autonomy hypotheses</x:v>
      </x:c>
      <x:c r="G12" s="21" t="str">
        <x:v>Repository Markdown and workbook</x:v>
      </x:c>
      <x:c r="H12" s="48"/>
      <x:c r="I12" s="48"/>
      <x:c r="J12" s="48"/>
      <x:c r="K12" s="48"/>
      <x:c r="L12" s="48"/>
      <x:c r="M12" s="48"/>
      <x:c r="N12" s="48"/>
      <x:c r="O12" s="48"/>
      <x:c r="P12" s="48"/>
      <x:c r="Q12" s="48"/>
      <x:c r="R12" s="48"/>
      <x:c r="S12" s="48"/>
      <x:c r="T12" s="48"/>
      <x:c r="U12" s="48"/>
      <x:c r="V12" s="48"/>
      <x:c r="W12" s="48"/>
    </x:row>
    <x:row r="13">
      <x:c r="C13" s="22" t="str">
        <x:v>S07</x:v>
      </x:c>
      <x:c r="D13" s="22" t="str">
        <x:v>National Formation Registry</x:v>
      </x:c>
      <x:c r="E13" s="22" t="n">
        <x:v>56</x:v>
      </x:c>
      <x:c r="F13" s="22" t="str">
        <x:v>Formation boundaries and evidence scale</x:v>
      </x:c>
      <x:c r="G13" s="24" t="str">
        <x:v>Repository Markdown and workbook</x:v>
      </x:c>
      <x:c r="H13" s="48"/>
      <x:c r="I13" s="48"/>
      <x:c r="J13" s="48"/>
      <x:c r="K13" s="48"/>
      <x:c r="L13" s="48"/>
      <x:c r="M13" s="48"/>
      <x:c r="N13" s="48"/>
      <x:c r="O13" s="48"/>
      <x:c r="P13" s="48"/>
      <x:c r="Q13" s="48"/>
      <x:c r="R13" s="48"/>
      <x:c r="S13" s="48"/>
      <x:c r="T13" s="48"/>
      <x:c r="U13" s="48"/>
      <x:c r="V13" s="48"/>
      <x:c r="W13" s="48"/>
    </x:row>
    <x:row r="14">
      <x:c r="C14" s="2"/>
      <x:c r="D14" s="2"/>
      <x:c r="E14" s="2"/>
      <x:c r="F14" s="2"/>
      <x:c r="G14" s="2"/>
      <x:c r="H14" s="48"/>
      <x:c r="I14" s="48"/>
      <x:c r="J14" s="48"/>
      <x:c r="K14" s="48"/>
      <x:c r="L14" s="48"/>
      <x:c r="M14" s="48"/>
      <x:c r="N14" s="48"/>
      <x:c r="O14" s="48"/>
      <x:c r="P14" s="48"/>
      <x:c r="Q14" s="48"/>
      <x:c r="R14" s="48"/>
      <x:c r="S14" s="48"/>
      <x:c r="T14" s="48"/>
      <x:c r="U14" s="48"/>
      <x:c r="V14" s="48"/>
      <x:c r="W14" s="48"/>
    </x:row>
    <x:row r="15">
      <x:c r="C15" s="2"/>
      <x:c r="D15" s="2"/>
      <x:c r="E15" s="2"/>
      <x:c r="F15" s="2"/>
      <x:c r="G15" s="2"/>
      <x:c r="H15" s="48"/>
      <x:c r="I15" s="48"/>
      <x:c r="J15" s="48"/>
      <x:c r="K15" s="48"/>
      <x:c r="L15" s="48"/>
      <x:c r="M15" s="48"/>
      <x:c r="N15" s="48"/>
      <x:c r="O15" s="48"/>
      <x:c r="P15" s="48"/>
      <x:c r="Q15" s="48"/>
      <x:c r="R15" s="48"/>
      <x:c r="S15" s="48"/>
      <x:c r="T15" s="48"/>
      <x:c r="U15" s="48"/>
      <x:c r="V15" s="48"/>
      <x:c r="W15" s="48"/>
    </x:row>
    <x:row r="16">
      <x:c r="C16" s="2"/>
      <x:c r="D16" s="2"/>
      <x:c r="E16" s="2"/>
      <x:c r="F16" s="2"/>
      <x:c r="G16" s="2"/>
      <x:c r="H16" s="48"/>
      <x:c r="I16" s="48"/>
      <x:c r="J16" s="48"/>
      <x:c r="K16" s="48"/>
      <x:c r="L16" s="48"/>
      <x:c r="M16" s="48"/>
      <x:c r="N16" s="48"/>
      <x:c r="O16" s="48"/>
      <x:c r="P16" s="48"/>
      <x:c r="Q16" s="48"/>
      <x:c r="R16" s="48"/>
      <x:c r="S16" s="48"/>
      <x:c r="T16" s="48"/>
      <x:c r="U16" s="48"/>
      <x:c r="V16" s="48"/>
      <x:c r="W16" s="48"/>
    </x:row>
    <x:row r="17">
      <x:c r="C17" s="2"/>
      <x:c r="D17" s="2"/>
      <x:c r="E17" s="2"/>
      <x:c r="F17" s="2"/>
      <x:c r="G17" s="2"/>
      <x:c r="H17" s="48"/>
      <x:c r="I17" s="48"/>
      <x:c r="J17" s="48"/>
      <x:c r="K17" s="48"/>
      <x:c r="L17" s="48"/>
      <x:c r="M17" s="48"/>
      <x:c r="N17" s="48"/>
      <x:c r="O17" s="48"/>
      <x:c r="P17" s="48"/>
      <x:c r="Q17" s="48"/>
      <x:c r="R17" s="48"/>
      <x:c r="S17" s="48"/>
      <x:c r="T17" s="48"/>
      <x:c r="U17" s="48"/>
      <x:c r="V17" s="48"/>
      <x:c r="W17" s="48"/>
    </x:row>
    <x:row r="18">
      <x:c r="C18" s="2"/>
      <x:c r="D18" s="2"/>
      <x:c r="E18" s="2"/>
      <x:c r="F18" s="2"/>
      <x:c r="G18" s="2"/>
      <x:c r="H18" s="48"/>
      <x:c r="I18" s="48"/>
      <x:c r="J18" s="48"/>
      <x:c r="K18" s="48"/>
      <x:c r="L18" s="48"/>
      <x:c r="M18" s="48"/>
      <x:c r="N18" s="48"/>
      <x:c r="O18" s="48"/>
      <x:c r="P18" s="48"/>
      <x:c r="Q18" s="48"/>
      <x:c r="R18" s="48"/>
      <x:c r="S18" s="48"/>
      <x:c r="T18" s="48"/>
      <x:c r="U18" s="48"/>
      <x:c r="V18" s="48"/>
      <x:c r="W18" s="48"/>
    </x:row>
    <x:row r="19">
      <x:c r="C19" s="2"/>
      <x:c r="D19" s="2"/>
      <x:c r="E19" s="2"/>
      <x:c r="F19" s="2"/>
      <x:c r="G19" s="2"/>
      <x:c r="H19" s="48"/>
      <x:c r="I19" s="48"/>
      <x:c r="J19" s="48"/>
      <x:c r="K19" s="48"/>
      <x:c r="L19" s="48"/>
      <x:c r="M19" s="48"/>
      <x:c r="N19" s="48"/>
      <x:c r="O19" s="48"/>
      <x:c r="P19" s="48"/>
      <x:c r="Q19" s="48"/>
      <x:c r="R19" s="48"/>
      <x:c r="S19" s="48"/>
      <x:c r="T19" s="48"/>
      <x:c r="U19" s="48"/>
      <x:c r="V19" s="48"/>
      <x:c r="W19" s="48"/>
    </x:row>
    <x:row r="20">
      <x:c r="C20" s="2"/>
      <x:c r="D20" s="2"/>
      <x:c r="E20" s="2"/>
      <x:c r="F20" s="2"/>
      <x:c r="G20" s="2"/>
      <x:c r="H20" s="48"/>
      <x:c r="I20" s="48"/>
      <x:c r="J20" s="48"/>
      <x:c r="K20" s="48"/>
      <x:c r="L20" s="48"/>
      <x:c r="M20" s="48"/>
      <x:c r="N20" s="48"/>
      <x:c r="O20" s="48"/>
      <x:c r="P20" s="48"/>
      <x:c r="Q20" s="48"/>
      <x:c r="R20" s="48"/>
      <x:c r="S20" s="48"/>
      <x:c r="T20" s="48"/>
      <x:c r="U20" s="48"/>
      <x:c r="V20" s="48"/>
      <x:c r="W20" s="48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3" max="3" width="25" hidden="0" customWidth="1"/>
    <x:col min="4" max="4" width="86" hidden="0" customWidth="1"/>
  </x:cols>
  <x:sheetData>
    <x:row r="1">
      <x:c r="C1" s="2"/>
      <x:c r="D1" s="2"/>
      <x:c r="E1" s="48"/>
      <x:c r="F1" s="48"/>
      <x:c r="G1" s="48"/>
      <x:c r="H1" s="48"/>
      <x:c r="I1" s="48"/>
      <x:c r="J1" s="48"/>
      <x:c r="K1" s="48"/>
      <x:c r="L1" s="48"/>
      <x:c r="M1" s="48"/>
      <x:c r="N1" s="48"/>
      <x:c r="O1" s="48"/>
      <x:c r="P1" s="48"/>
      <x:c r="Q1" s="48"/>
      <x:c r="R1" s="48"/>
      <x:c r="S1" s="48"/>
      <x:c r="T1" s="48"/>
      <x:c r="U1" s="48"/>
      <x:c r="V1" s="48"/>
      <x:c r="W1" s="48"/>
    </x:row>
    <x:row r="2">
      <x:c r="C2" s="3" t="str">
        <x:v>How to use this constitution</x:v>
      </x:c>
      <x:c r="D2" s="2"/>
      <x:c r="E2" s="48"/>
      <x:c r="F2" s="48"/>
      <x:c r="G2" s="48"/>
      <x:c r="H2" s="48"/>
      <x:c r="I2" s="48"/>
      <x:c r="J2" s="48"/>
      <x:c r="K2" s="48"/>
      <x:c r="L2" s="48"/>
      <x:c r="M2" s="48"/>
      <x:c r="N2" s="48"/>
      <x:c r="O2" s="48"/>
      <x:c r="P2" s="48"/>
      <x:c r="Q2" s="48"/>
      <x:c r="R2" s="48"/>
      <x:c r="S2" s="48"/>
      <x:c r="T2" s="48"/>
      <x:c r="U2" s="48"/>
      <x:c r="V2" s="48"/>
      <x:c r="W2" s="48"/>
    </x:row>
    <x:row r="3">
      <x:c r="C3" s="5" t="str">
        <x:v>Read Decision first. Change only yellow observed fields; frozen mechanisms are hypotheses, not evidence.</x:v>
      </x:c>
      <x:c r="D3" s="6"/>
      <x:c r="E3" s="49"/>
      <x:c r="F3" s="49"/>
      <x:c r="G3" s="49"/>
      <x:c r="H3" s="49"/>
      <x:c r="I3" s="49"/>
      <x:c r="J3" s="49"/>
      <x:c r="K3" s="49"/>
      <x:c r="L3" s="49"/>
      <x:c r="M3" s="49"/>
      <x:c r="N3" s="49"/>
      <x:c r="O3" s="49"/>
      <x:c r="P3" s="49"/>
      <x:c r="Q3" s="49"/>
      <x:c r="R3" s="49"/>
      <x:c r="S3" s="49"/>
      <x:c r="T3" s="49"/>
      <x:c r="U3" s="49"/>
      <x:c r="V3" s="49"/>
      <x:c r="W3" s="49"/>
    </x:row>
    <x:row r="4">
      <x:c r="C4" s="2"/>
      <x:c r="D4" s="2"/>
      <x:c r="E4" s="48"/>
      <x:c r="F4" s="48"/>
      <x:c r="G4" s="48"/>
      <x:c r="H4" s="48"/>
      <x:c r="I4" s="48"/>
      <x:c r="J4" s="48"/>
      <x:c r="K4" s="48"/>
      <x:c r="L4" s="48"/>
      <x:c r="M4" s="48"/>
      <x:c r="N4" s="48"/>
      <x:c r="O4" s="48"/>
      <x:c r="P4" s="48"/>
      <x:c r="Q4" s="48"/>
      <x:c r="R4" s="48"/>
      <x:c r="S4" s="48"/>
      <x:c r="T4" s="48"/>
      <x:c r="U4" s="48"/>
      <x:c r="V4" s="48"/>
      <x:c r="W4" s="48"/>
    </x:row>
    <x:row r="5">
      <x:c r="C5" s="2"/>
      <x:c r="D5" s="2"/>
      <x:c r="E5" s="48"/>
      <x:c r="F5" s="48"/>
      <x:c r="G5" s="48"/>
      <x:c r="H5" s="48"/>
      <x:c r="I5" s="48"/>
      <x:c r="J5" s="48"/>
      <x:c r="K5" s="48"/>
      <x:c r="L5" s="48"/>
      <x:c r="M5" s="48"/>
      <x:c r="N5" s="48"/>
      <x:c r="O5" s="48"/>
      <x:c r="P5" s="48"/>
      <x:c r="Q5" s="48"/>
      <x:c r="R5" s="48"/>
      <x:c r="S5" s="48"/>
      <x:c r="T5" s="48"/>
      <x:c r="U5" s="48"/>
      <x:c r="V5" s="48"/>
      <x:c r="W5" s="48"/>
    </x:row>
    <x:row r="6">
      <x:c r="C6" s="17" t="str">
        <x:v>Topic</x:v>
      </x:c>
      <x:c r="D6" s="18" t="str">
        <x:v>Rule</x:v>
      </x:c>
      <x:c r="E6" s="48"/>
      <x:c r="F6" s="48"/>
      <x:c r="G6" s="48"/>
      <x:c r="H6" s="48"/>
      <x:c r="I6" s="48"/>
      <x:c r="J6" s="48"/>
      <x:c r="K6" s="48"/>
      <x:c r="L6" s="48"/>
      <x:c r="M6" s="48"/>
      <x:c r="N6" s="48"/>
      <x:c r="O6" s="48"/>
      <x:c r="P6" s="48"/>
      <x:c r="Q6" s="48"/>
      <x:c r="R6" s="48"/>
      <x:c r="S6" s="48"/>
      <x:c r="T6" s="48"/>
      <x:c r="U6" s="48"/>
      <x:c r="V6" s="48"/>
      <x:c r="W6" s="48"/>
    </x:row>
    <x:row r="7">
      <x:c r="C7" s="19" t="str">
        <x:v>Configuration state</x:v>
      </x:c>
      <x:c r="D7" s="21" t="str">
        <x:v>FROZEN means every route, vector, workstream and keystone test is defined.</x:v>
      </x:c>
      <x:c r="E7" s="48"/>
      <x:c r="F7" s="48"/>
      <x:c r="G7" s="48"/>
      <x:c r="H7" s="48"/>
      <x:c r="I7" s="48"/>
      <x:c r="J7" s="48"/>
      <x:c r="K7" s="48"/>
      <x:c r="L7" s="48"/>
      <x:c r="M7" s="48"/>
      <x:c r="N7" s="48"/>
      <x:c r="O7" s="48"/>
      <x:c r="P7" s="48"/>
      <x:c r="Q7" s="48"/>
      <x:c r="R7" s="48"/>
      <x:c r="S7" s="48"/>
      <x:c r="T7" s="48"/>
      <x:c r="U7" s="48"/>
      <x:c r="V7" s="48"/>
      <x:c r="W7" s="48"/>
    </x:row>
    <x:row r="8">
      <x:c r="C8" s="19" t="str">
        <x:v>G3 state</x:v>
      </x:c>
      <x:c r="D8" s="21" t="str">
        <x:v>RELEASED requires twelve accepted ancestry identities, fourteen gates and zero terminal breach.</x:v>
      </x:c>
      <x:c r="E8" s="48"/>
      <x:c r="F8" s="48"/>
      <x:c r="G8" s="48"/>
      <x:c r="H8" s="48"/>
      <x:c r="I8" s="48"/>
      <x:c r="J8" s="48"/>
      <x:c r="K8" s="48"/>
      <x:c r="L8" s="48"/>
      <x:c r="M8" s="48"/>
      <x:c r="N8" s="48"/>
      <x:c r="O8" s="48"/>
      <x:c r="P8" s="48"/>
      <x:c r="Q8" s="48"/>
      <x:c r="R8" s="48"/>
      <x:c r="S8" s="48"/>
      <x:c r="T8" s="48"/>
      <x:c r="U8" s="48"/>
      <x:c r="V8" s="48"/>
      <x:c r="W8" s="48"/>
    </x:row>
    <x:row r="9">
      <x:c r="C9" s="19" t="str">
        <x:v>Mechanism distance</x:v>
      </x:c>
      <x:c r="D9" s="21" t="str">
        <x:v>Every within-system pair differs in all four anchors and at least eight domains.</x:v>
      </x:c>
      <x:c r="E9" s="48"/>
      <x:c r="F9" s="48"/>
      <x:c r="G9" s="48"/>
      <x:c r="H9" s="48"/>
      <x:c r="I9" s="48"/>
      <x:c r="J9" s="48"/>
      <x:c r="K9" s="48"/>
      <x:c r="L9" s="48"/>
      <x:c r="M9" s="48"/>
      <x:c r="N9" s="48"/>
      <x:c r="O9" s="48"/>
      <x:c r="P9" s="48"/>
      <x:c r="Q9" s="48"/>
      <x:c r="R9" s="48"/>
      <x:c r="S9" s="48"/>
      <x:c r="T9" s="48"/>
      <x:c r="U9" s="48"/>
      <x:c r="V9" s="48"/>
      <x:c r="W9" s="48"/>
    </x:row>
    <x:row r="10">
      <x:c r="C10" s="19" t="str">
        <x:v>Yellow cells</x:v>
      </x:c>
      <x:c r="D10" s="21" t="str">
        <x:v>Future observed acceptances or controlled scenario inputs.</x:v>
      </x:c>
      <x:c r="E10" s="48"/>
      <x:c r="F10" s="48"/>
      <x:c r="G10" s="48"/>
      <x:c r="H10" s="48"/>
      <x:c r="I10" s="48"/>
      <x:c r="J10" s="48"/>
      <x:c r="K10" s="48"/>
      <x:c r="L10" s="48"/>
      <x:c r="M10" s="48"/>
      <x:c r="N10" s="48"/>
      <x:c r="O10" s="48"/>
      <x:c r="P10" s="48"/>
      <x:c r="Q10" s="48"/>
      <x:c r="R10" s="48"/>
      <x:c r="S10" s="48"/>
      <x:c r="T10" s="48"/>
      <x:c r="U10" s="48"/>
      <x:c r="V10" s="48"/>
      <x:c r="W10" s="48"/>
    </x:row>
    <x:row r="11">
      <x:c r="C11" s="19" t="str">
        <x:v>Source-empty</x:v>
      </x:c>
      <x:c r="D11" s="21" t="str">
        <x:v>Zero is missing physical evidence, never demonstrated failure or success.</x:v>
      </x:c>
      <x:c r="E11" s="48"/>
      <x:c r="F11" s="48"/>
      <x:c r="G11" s="48"/>
      <x:c r="H11" s="48"/>
      <x:c r="I11" s="48"/>
      <x:c r="J11" s="48"/>
      <x:c r="K11" s="48"/>
      <x:c r="L11" s="48"/>
      <x:c r="M11" s="48"/>
      <x:c r="N11" s="48"/>
      <x:c r="O11" s="48"/>
      <x:c r="P11" s="48"/>
      <x:c r="Q11" s="48"/>
      <x:c r="R11" s="48"/>
      <x:c r="S11" s="48"/>
      <x:c r="T11" s="48"/>
      <x:c r="U11" s="48"/>
      <x:c r="V11" s="48"/>
      <x:c r="W11" s="48"/>
    </x:row>
    <x:row r="12">
      <x:c r="C12" s="19" t="str">
        <x:v>Finance</x:v>
      </x:c>
      <x:c r="D12" s="21" t="str">
        <x:v>Authority funds rival learning paths; it is not a unit price or readiness credit.</x:v>
      </x:c>
      <x:c r="E12" s="48"/>
      <x:c r="F12" s="48"/>
      <x:c r="G12" s="48"/>
      <x:c r="H12" s="48"/>
      <x:c r="I12" s="48"/>
      <x:c r="J12" s="48"/>
      <x:c r="K12" s="48"/>
      <x:c r="L12" s="48"/>
      <x:c r="M12" s="48"/>
      <x:c r="N12" s="48"/>
      <x:c r="O12" s="48"/>
      <x:c r="P12" s="48"/>
      <x:c r="Q12" s="48"/>
      <x:c r="R12" s="48"/>
      <x:c r="S12" s="48"/>
      <x:c r="T12" s="48"/>
      <x:c r="U12" s="48"/>
      <x:c r="V12" s="48"/>
      <x:c r="W12" s="48"/>
    </x:row>
    <x:row r="13">
      <x:c r="C13" s="19" t="str">
        <x:v>Sites</x:v>
      </x:c>
      <x:c r="D13" s="21" t="str">
        <x:v>No proving geography is selected.</x:v>
      </x:c>
      <x:c r="E13" s="48"/>
      <x:c r="F13" s="48"/>
      <x:c r="G13" s="48"/>
      <x:c r="H13" s="48"/>
      <x:c r="I13" s="48"/>
      <x:c r="J13" s="48"/>
      <x:c r="K13" s="48"/>
      <x:c r="L13" s="48"/>
      <x:c r="M13" s="48"/>
      <x:c r="N13" s="48"/>
      <x:c r="O13" s="48"/>
      <x:c r="P13" s="48"/>
      <x:c r="Q13" s="48"/>
      <x:c r="R13" s="48"/>
      <x:c r="S13" s="48"/>
      <x:c r="T13" s="48"/>
      <x:c r="U13" s="48"/>
      <x:c r="V13" s="48"/>
      <x:c r="W13" s="48"/>
    </x:row>
    <x:row r="14">
      <x:c r="C14" s="19" t="str">
        <x:v>Suppliers</x:v>
      </x:c>
      <x:c r="D14" s="21" t="str">
        <x:v>Reserved ancestry slots are not named or accepted suppliers.</x:v>
      </x:c>
      <x:c r="E14" s="48"/>
      <x:c r="F14" s="48"/>
      <x:c r="G14" s="48"/>
      <x:c r="H14" s="48"/>
      <x:c r="I14" s="48"/>
      <x:c r="J14" s="48"/>
      <x:c r="K14" s="48"/>
      <x:c r="L14" s="48"/>
      <x:c r="M14" s="48"/>
      <x:c r="N14" s="48"/>
      <x:c r="O14" s="48"/>
      <x:c r="P14" s="48"/>
      <x:c r="Q14" s="48"/>
      <x:c r="R14" s="48"/>
      <x:c r="S14" s="48"/>
      <x:c r="T14" s="48"/>
      <x:c r="U14" s="48"/>
      <x:c r="V14" s="48"/>
      <x:c r="W14" s="48"/>
    </x:row>
    <x:row r="15">
      <x:c r="C15" s="19" t="str">
        <x:v>Cascadia</x:v>
      </x:c>
      <x:c r="D15" s="21" t="str">
        <x:v>All twenty-four roots and four seam implementations remain conjunctive.</x:v>
      </x:c>
      <x:c r="E15" s="48"/>
      <x:c r="F15" s="48"/>
      <x:c r="G15" s="48"/>
      <x:c r="H15" s="48"/>
      <x:c r="I15" s="48"/>
      <x:c r="J15" s="48"/>
      <x:c r="K15" s="48"/>
      <x:c r="L15" s="48"/>
      <x:c r="M15" s="48"/>
      <x:c r="N15" s="48"/>
      <x:c r="O15" s="48"/>
      <x:c r="P15" s="48"/>
      <x:c r="Q15" s="48"/>
      <x:c r="R15" s="48"/>
      <x:c r="S15" s="48"/>
      <x:c r="T15" s="48"/>
      <x:c r="U15" s="48"/>
      <x:c r="V15" s="48"/>
      <x:c r="W15" s="48"/>
    </x:row>
    <x:row r="16">
      <x:c r="C16" s="22" t="str">
        <x:v>Rendering</x:v>
      </x:c>
      <x:c r="D16" s="24" t="str">
        <x:v>Exterior form remains blocked until physical G3 evidence exists.</x:v>
      </x:c>
      <x:c r="E16" s="48"/>
      <x:c r="F16" s="48"/>
      <x:c r="G16" s="48"/>
      <x:c r="H16" s="48"/>
      <x:c r="I16" s="48"/>
      <x:c r="J16" s="48"/>
      <x:c r="K16" s="48"/>
      <x:c r="L16" s="48"/>
      <x:c r="M16" s="48"/>
      <x:c r="N16" s="48"/>
      <x:c r="O16" s="48"/>
      <x:c r="P16" s="48"/>
      <x:c r="Q16" s="48"/>
      <x:c r="R16" s="48"/>
      <x:c r="S16" s="48"/>
      <x:c r="T16" s="48"/>
      <x:c r="U16" s="48"/>
      <x:c r="V16" s="48"/>
      <x:c r="W16" s="48"/>
    </x:row>
    <x:row r="17">
      <x:c r="C17" s="2"/>
      <x:c r="D17" s="2"/>
      <x:c r="E17" s="48"/>
      <x:c r="F17" s="48"/>
      <x:c r="G17" s="48"/>
      <x:c r="H17" s="48"/>
      <x:c r="I17" s="48"/>
      <x:c r="J17" s="48"/>
      <x:c r="K17" s="48"/>
      <x:c r="L17" s="48"/>
      <x:c r="M17" s="48"/>
      <x:c r="N17" s="48"/>
      <x:c r="O17" s="48"/>
      <x:c r="P17" s="48"/>
      <x:c r="Q17" s="48"/>
      <x:c r="R17" s="48"/>
      <x:c r="S17" s="48"/>
      <x:c r="T17" s="48"/>
      <x:c r="U17" s="48"/>
      <x:c r="V17" s="48"/>
      <x:c r="W17" s="48"/>
    </x:row>
    <x:row r="18">
      <x:c r="C18" s="2"/>
      <x:c r="D18" s="2"/>
      <x:c r="E18" s="48"/>
      <x:c r="F18" s="48"/>
      <x:c r="G18" s="48"/>
      <x:c r="H18" s="48"/>
      <x:c r="I18" s="48"/>
      <x:c r="J18" s="48"/>
      <x:c r="K18" s="48"/>
      <x:c r="L18" s="48"/>
      <x:c r="M18" s="48"/>
      <x:c r="N18" s="48"/>
      <x:c r="O18" s="48"/>
      <x:c r="P18" s="48"/>
      <x:c r="Q18" s="48"/>
      <x:c r="R18" s="48"/>
      <x:c r="S18" s="48"/>
      <x:c r="T18" s="48"/>
      <x:c r="U18" s="48"/>
      <x:c r="V18" s="48"/>
      <x:c r="W18" s="48"/>
    </x:row>
    <x:row r="19">
      <x:c r="C19" s="2"/>
      <x:c r="D19" s="2"/>
      <x:c r="E19" s="48"/>
      <x:c r="F19" s="48"/>
      <x:c r="G19" s="48"/>
      <x:c r="H19" s="48"/>
      <x:c r="I19" s="48"/>
      <x:c r="J19" s="48"/>
      <x:c r="K19" s="48"/>
      <x:c r="L19" s="48"/>
      <x:c r="M19" s="48"/>
      <x:c r="N19" s="48"/>
      <x:c r="O19" s="48"/>
      <x:c r="P19" s="48"/>
      <x:c r="Q19" s="48"/>
      <x:c r="R19" s="48"/>
      <x:c r="S19" s="48"/>
      <x:c r="T19" s="48"/>
      <x:c r="U19" s="48"/>
      <x:c r="V19" s="48"/>
      <x:c r="W19" s="48"/>
    </x:row>
    <x:row r="20">
      <x:c r="C20" s="2"/>
      <x:c r="D20" s="2"/>
      <x:c r="E20" s="48"/>
      <x:c r="F20" s="48"/>
      <x:c r="G20" s="48"/>
      <x:c r="H20" s="48"/>
      <x:c r="I20" s="48"/>
      <x:c r="J20" s="48"/>
      <x:c r="K20" s="48"/>
      <x:c r="L20" s="48"/>
      <x:c r="M20" s="48"/>
      <x:c r="N20" s="48"/>
      <x:c r="O20" s="48"/>
      <x:c r="P20" s="48"/>
      <x:c r="Q20" s="48"/>
      <x:c r="R20" s="48"/>
      <x:c r="S20" s="48"/>
      <x:c r="T20" s="48"/>
      <x:c r="U20" s="48"/>
      <x:c r="V20" s="48"/>
      <x:c r="W20" s="48"/>
    </x:row>
  </x:sheetData>
  <x:pageMargins left="0.7" right="0.7" top="0.75" bottom="0.75" header="0.3" footer="0.3"/>
</x:worksheet>
</file>