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edb0f8df5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df6f57d4e97432d"/>
    <x:sheet xmlns:r="http://schemas.openxmlformats.org/officeDocument/2006/relationships" name="Controls" sheetId="2" r:id="R5805f634159f446c"/>
    <x:sheet xmlns:r="http://schemas.openxmlformats.org/officeDocument/2006/relationships" name="Force Planning Terms" sheetId="3" r:id="Re723503e8056435d"/>
    <x:sheet xmlns:r="http://schemas.openxmlformats.org/officeDocument/2006/relationships" name="Campaign Set" sheetId="4" r:id="Rf3177a9b311e4cb8"/>
    <x:sheet xmlns:r="http://schemas.openxmlformats.org/officeDocument/2006/relationships" name="Formation Catalog" sheetId="5" r:id="Ra1a3951c96a34c8f"/>
    <x:sheet xmlns:r="http://schemas.openxmlformats.org/officeDocument/2006/relationships" name="Package Matrix" sheetId="6" r:id="R03bee5f7cd094dd6"/>
    <x:sheet xmlns:r="http://schemas.openxmlformats.org/officeDocument/2006/relationships" name="Campaign Demand" sheetId="7" r:id="Rc667e90db74b44dd"/>
    <x:sheet xmlns:r="http://schemas.openxmlformats.org/officeDocument/2006/relationships" name="Readiness Vectors" sheetId="8" r:id="Re257c4b88cb94e03"/>
    <x:sheet xmlns:r="http://schemas.openxmlformats.org/officeDocument/2006/relationships" name="Component Doctrine" sheetId="9" r:id="R3ab6f69276cb4568"/>
    <x:sheet xmlns:r="http://schemas.openxmlformats.org/officeDocument/2006/relationships" name="Component Mix" sheetId="10" r:id="R09e7ba55f0274f16"/>
    <x:sheet xmlns:r="http://schemas.openxmlformats.org/officeDocument/2006/relationships" name="Inventory" sheetId="11" r:id="R7c9611c11b614950"/>
    <x:sheet xmlns:r="http://schemas.openxmlformats.org/officeDocument/2006/relationships" name="Force Pools" sheetId="12" r:id="Red1030875f594529"/>
    <x:sheet xmlns:r="http://schemas.openxmlformats.org/officeDocument/2006/relationships" name="Component Credit" sheetId="13" r:id="Rd5a02f3c89634da7"/>
    <x:sheet xmlns:r="http://schemas.openxmlformats.org/officeDocument/2006/relationships" name="Workforce" sheetId="14" r:id="Rf7e6dc1276e14451"/>
    <x:sheet xmlns:r="http://schemas.openxmlformats.org/officeDocument/2006/relationships" name="Mobility" sheetId="15" r:id="R5fe4799072794640"/>
    <x:sheet xmlns:r="http://schemas.openxmlformats.org/officeDocument/2006/relationships" name="Reception" sheetId="16" r:id="Rd7be3f2f58d84157"/>
    <x:sheet xmlns:r="http://schemas.openxmlformats.org/officeDocument/2006/relationships" name="Sustainment" sheetId="17" r:id="Re2063758499c4667"/>
    <x:sheet xmlns:r="http://schemas.openxmlformats.org/officeDocument/2006/relationships" name="Command Allocation" sheetId="18" r:id="R6ce8574afd6040e6"/>
    <x:sheet xmlns:r="http://schemas.openxmlformats.org/officeDocument/2006/relationships" name="Capital WBS" sheetId="19" r:id="Rb8b79b681aea4094"/>
    <x:sheet xmlns:r="http://schemas.openxmlformats.org/officeDocument/2006/relationships" name="Annual Resources" sheetId="20" r:id="Ra05c65178b914f2b"/>
    <x:sheet xmlns:r="http://schemas.openxmlformats.org/officeDocument/2006/relationships" name="Operating Cost" sheetId="21" r:id="R7f326dfbdd1c400c"/>
    <x:sheet xmlns:r="http://schemas.openxmlformats.org/officeDocument/2006/relationships" name="Fiscal Parity" sheetId="22" r:id="R9816b011d8194d0f"/>
    <x:sheet xmlns:r="http://schemas.openxmlformats.org/officeDocument/2006/relationships" name="Double Count" sheetId="23" r:id="Rc6d51baa1b3344a5"/>
    <x:sheet xmlns:r="http://schemas.openxmlformats.org/officeDocument/2006/relationships" name="Failure Modes" sheetId="24" r:id="Rb1a80e4da3024ea8"/>
    <x:sheet xmlns:r="http://schemas.openxmlformats.org/officeDocument/2006/relationships" name="Evidence Gates" sheetId="25" r:id="Rb555577d11524aa0"/>
    <x:sheet xmlns:r="http://schemas.openxmlformats.org/officeDocument/2006/relationships" name="Sources" sheetId="26" r:id="R45cea242cedb4698"/>
    <x:sheet xmlns:r="http://schemas.openxmlformats.org/officeDocument/2006/relationships" name="Checks" sheetId="27" r:id="R26cb2c5ad038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#,##0"/>
    <x:numFmt numFmtId="202" formatCode="#,##0.00"/>
    <x:numFmt numFmtId="203" formatCode="0%"/>
    <x:numFmt numFmtId="204" formatCode="0.000000"/>
    <x:numFmt numFmtId="205" formatCode="0.0"/>
    <x:numFmt numFmtId="206" formatCode="0.00"/>
    <x:numFmt numFmtId="207" formatCode="#,##0.0"/>
    <x:numFmt numFmtId="208" formatCode="#,##0.000"/>
  </x:numFmts>
  <x:fonts count="6">
    <x:font>
      <x:sz val="11"/>
      <x:name val="Carlito"/>
    </x:font>
    <x:font>
      <x:b/>
      <x:sz val="20"/>
      <x:color rgb="FF253B49"/>
      <x:name val="Arial"/>
    </x:font>
    <x:font>
      <x:i/>
      <x:sz val="10"/>
      <x:color rgb="FF667784"/>
      <x:name val="Arial"/>
    </x:font>
    <x:font>
      <x:b/>
      <x:sz val="10"/>
      <x:color rgb="FF253B49"/>
      <x:name val="Arial"/>
    </x:font>
    <x:font>
      <x:b/>
      <x:sz val="10"/>
      <x:color rgb="FFFFFFFF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5F2F6"/>
      </x:patternFill>
    </x:fill>
    <x:fill>
      <x:patternFill patternType="solid">
        <x:fgColor rgb="FF1F3F64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6">
    <x:border/>
    <x:border>
      <x:bottom style="medium">
        <x:color rgb="FF117F9B"/>
      </x:bottom>
    </x:border>
    <x:border>
      <x:bottom style="thin">
        <x:color rgb="FF117F9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2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0" fillId="2" borderId="2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3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0" fillId="6" borderId="0" xfId="0" applyNumberFormat="1" applyFont="1" applyFill="1" applyBorder="1"/>
    <x:xf numFmtId="205" fontId="0" fillId="5" borderId="0" xfId="0" applyNumberFormat="1" applyFont="1" applyFill="1" applyBorder="1"/>
    <x:xf numFmtId="206" fontId="0" fillId="5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0" xfId="0" applyNumberFormat="1" applyFont="1" applyFill="1" applyBorder="1"/>
    <x:xf numFmtId="203" fontId="0" fillId="6" borderId="0" xfId="0" applyNumberFormat="1" applyFont="1" applyFill="1" applyBorder="1"/>
    <x:xf numFmtId="207" fontId="0" fillId="6" borderId="0" xfId="0" applyNumberFormat="1" applyFont="1" applyFill="1" applyBorder="1"/>
    <x:xf numFmtId="205" fontId="0" fillId="6" borderId="0" xfId="0" applyNumberFormat="1" applyFont="1" applyFill="1" applyBorder="1"/>
    <x:xf numFmtId="201" fontId="0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6" borderId="0" xfId="0" applyNumberFormat="1" applyFont="1" applyFill="1" applyBorder="1"/>
    <x:xf numFmtId="208" fontId="0" fillId="6" borderId="0" xfId="0" applyNumberFormat="1" applyFont="1" applyFill="1" applyBorder="1"/>
    <x:xf numFmtId="208" fontId="0" fillId="5" borderId="0" xfId="0" applyNumberFormat="1" applyFont="1" applyFill="1" applyBorder="1"/>
    <x:xf numFmtId="204" fontId="0" fillId="6" borderId="0" xfId="0" applyNumberFormat="1" applyFont="1" applyFill="1" applyBorder="1"/>
    <x:xf numFmtId="0" fontId="1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vertical="top"/>
    </x:xf>
    <x:xf numFmtId="0" fontId="0" fillId="2" borderId="2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horizontal="center" vertical="top" wrapText="1"/>
    </x:xf>
    <x:xf numFmtId="0" fontId="4" fillId="3" borderId="4" xfId="0" applyNumberFormat="1" applyFont="1" applyFill="1" applyBorder="1" applyAlignment="1">
      <x:alignment horizontal="center" vertical="top" wrapText="1"/>
    </x:xf>
    <x:xf numFmtId="0" fontId="4" fillId="3" borderId="5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/>
    </x:xf>
    <x:xf numFmtId="200" fontId="0" fillId="5" borderId="0" xfId="0" applyNumberFormat="1" applyFont="1" applyFill="1" applyBorder="1" applyAlignment="1">
      <x:alignment vertical="top"/>
    </x:xf>
    <x:xf numFmtId="201" fontId="0" fillId="5" borderId="0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/>
    </x:xf>
    <x:xf numFmtId="203" fontId="0" fillId="5" borderId="0" xfId="0" applyNumberFormat="1" applyFont="1" applyFill="1" applyBorder="1" applyAlignment="1">
      <x:alignment vertical="top"/>
    </x:xf>
    <x:xf numFmtId="204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202" fontId="0" fillId="5" borderId="0" xfId="0" applyNumberFormat="1" applyFont="1" applyFill="1" applyBorder="1" applyAlignment="1">
      <x:alignment vertical="top" wrapText="1"/>
    </x:xf>
    <x:xf numFmtId="203" fontId="0" fillId="5" borderId="0" xfId="0" applyNumberFormat="1" applyFont="1" applyFill="1" applyBorder="1" applyAlignment="1">
      <x:alignment vertical="top" wrapText="1"/>
    </x:xf>
    <x:xf numFmtId="204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202" fontId="5" fillId="5" borderId="0" xfId="0" applyNumberFormat="1" applyFont="1" applyFill="1" applyBorder="1" applyAlignment="1">
      <x:alignment vertical="top" wrapText="1"/>
    </x:xf>
    <x:xf numFmtId="203" fontId="5" fillId="5" borderId="0" xfId="0" applyNumberFormat="1" applyFont="1" applyFill="1" applyBorder="1" applyAlignment="1">
      <x:alignment vertical="top" wrapText="1"/>
    </x:xf>
    <x:xf numFmtId="204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5" fontId="0" fillId="5" borderId="0" xfId="0" applyNumberFormat="1" applyFont="1" applyFill="1" applyBorder="1" applyAlignment="1">
      <x:alignment vertical="top"/>
    </x:xf>
    <x:xf numFmtId="206" fontId="0" fillId="5" borderId="0" xfId="0" applyNumberFormat="1" applyFont="1" applyFill="1" applyBorder="1" applyAlignment="1">
      <x:alignment vertical="top"/>
    </x:xf>
    <x:xf numFmtId="205" fontId="0" fillId="5" borderId="0" xfId="0" applyNumberFormat="1" applyFont="1" applyFill="1" applyBorder="1" applyAlignment="1">
      <x:alignment vertical="top" wrapText="1"/>
    </x:xf>
    <x:xf numFmtId="206" fontId="0" fillId="5" borderId="0" xfId="0" applyNumberFormat="1" applyFont="1" applyFill="1" applyBorder="1" applyAlignment="1">
      <x:alignment vertical="top" wrapText="1"/>
    </x:xf>
    <x:xf numFmtId="205" fontId="5" fillId="5" borderId="0" xfId="0" applyNumberFormat="1" applyFont="1" applyFill="1" applyBorder="1" applyAlignment="1">
      <x:alignment vertical="top" wrapText="1"/>
    </x:xf>
    <x:xf numFmtId="206" fontId="5" fillId="5" borderId="0" xfId="0" applyNumberFormat="1" applyFont="1" applyFill="1" applyBorder="1" applyAlignment="1">
      <x:alignment vertical="top" wrapText="1"/>
    </x:xf>
    <x:xf numFmtId="201" fontId="0" fillId="6" borderId="0" xfId="0" applyNumberFormat="1" applyFont="1" applyFill="1" applyBorder="1" applyAlignment="1">
      <x:alignment vertical="top"/>
    </x:xf>
    <x:xf numFmtId="201" fontId="0" fillId="6" borderId="0" xfId="0" applyNumberFormat="1" applyFont="1" applyFill="1" applyBorder="1" applyAlignment="1">
      <x:alignment vertical="top" wrapText="1"/>
    </x:xf>
    <x:xf numFmtId="201" fontId="5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/>
    </x:xf>
    <x:xf numFmtId="200" fontId="0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3" fontId="0" fillId="6" borderId="0" xfId="0" applyNumberFormat="1" applyFont="1" applyFill="1" applyBorder="1" applyAlignment="1">
      <x:alignment vertical="top"/>
    </x:xf>
    <x:xf numFmtId="203" fontId="0" fillId="6" borderId="0" xfId="0" applyNumberFormat="1" applyFont="1" applyFill="1" applyBorder="1" applyAlignment="1">
      <x:alignment vertical="top" wrapText="1"/>
    </x:xf>
    <x:xf numFmtId="203" fontId="5" fillId="6" borderId="0" xfId="0" applyNumberFormat="1" applyFont="1" applyFill="1" applyBorder="1" applyAlignment="1">
      <x:alignment vertical="top" wrapText="1"/>
    </x:xf>
    <x:xf numFmtId="207" fontId="0" fillId="6" borderId="0" xfId="0" applyNumberFormat="1" applyFont="1" applyFill="1" applyBorder="1" applyAlignment="1">
      <x:alignment vertical="top"/>
    </x:xf>
    <x:xf numFmtId="207" fontId="0" fillId="6" borderId="0" xfId="0" applyNumberFormat="1" applyFont="1" applyFill="1" applyBorder="1" applyAlignment="1">
      <x:alignment vertical="top" wrapText="1"/>
    </x:xf>
    <x:xf numFmtId="207" fontId="5" fillId="6" borderId="0" xfId="0" applyNumberFormat="1" applyFont="1" applyFill="1" applyBorder="1" applyAlignment="1">
      <x:alignment vertical="top" wrapText="1"/>
    </x:xf>
    <x:xf numFmtId="205" fontId="0" fillId="6" borderId="0" xfId="0" applyNumberFormat="1" applyFont="1" applyFill="1" applyBorder="1" applyAlignment="1">
      <x:alignment vertical="top"/>
    </x:xf>
    <x:xf numFmtId="205" fontId="0" fillId="6" borderId="0" xfId="0" applyNumberFormat="1" applyFont="1" applyFill="1" applyBorder="1" applyAlignment="1">
      <x:alignment vertical="top" wrapText="1"/>
    </x:xf>
    <x:xf numFmtId="205" fontId="5" fillId="6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4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vertical="top"/>
    </x:xf>
    <x:xf numFmtId="202" fontId="0" fillId="6" borderId="0" xfId="0" applyNumberFormat="1" applyFont="1" applyFill="1" applyBorder="1" applyAlignment="1">
      <x:alignment vertical="top" wrapText="1"/>
    </x:xf>
    <x:xf numFmtId="202" fontId="5" fillId="6" borderId="0" xfId="0" applyNumberFormat="1" applyFont="1" applyFill="1" applyBorder="1" applyAlignment="1">
      <x:alignment vertical="top" wrapText="1"/>
    </x:xf>
    <x:xf numFmtId="208" fontId="0" fillId="6" borderId="0" xfId="0" applyNumberFormat="1" applyFont="1" applyFill="1" applyBorder="1" applyAlignment="1">
      <x:alignment vertical="top"/>
    </x:xf>
    <x:xf numFmtId="204" fontId="0" fillId="6" borderId="0" xfId="0" applyNumberFormat="1" applyFont="1" applyFill="1" applyBorder="1" applyAlignment="1">
      <x:alignment vertical="top"/>
    </x:xf>
    <x:xf numFmtId="208" fontId="0" fillId="5" borderId="0" xfId="0" applyNumberFormat="1" applyFont="1" applyFill="1" applyBorder="1" applyAlignment="1">
      <x:alignment vertical="top"/>
    </x:xf>
    <x:xf numFmtId="208" fontId="0" fillId="6" borderId="0" xfId="0" applyNumberFormat="1" applyFont="1" applyFill="1" applyBorder="1" applyAlignment="1">
      <x:alignment vertical="top" wrapText="1"/>
    </x:xf>
    <x:xf numFmtId="204" fontId="0" fillId="6" borderId="0" xfId="0" applyNumberFormat="1" applyFont="1" applyFill="1" applyBorder="1" applyAlignment="1">
      <x:alignment vertical="top" wrapText="1"/>
    </x:xf>
    <x:xf numFmtId="208" fontId="0" fillId="5" borderId="0" xfId="0" applyNumberFormat="1" applyFont="1" applyFill="1" applyBorder="1" applyAlignment="1">
      <x:alignment vertical="top" wrapText="1"/>
    </x:xf>
    <x:xf numFmtId="208" fontId="5" fillId="6" borderId="0" xfId="0" applyNumberFormat="1" applyFont="1" applyFill="1" applyBorder="1" applyAlignment="1">
      <x:alignment vertical="top" wrapText="1"/>
    </x:xf>
    <x:xf numFmtId="204" fontId="5" fillId="6" borderId="0" xfId="0" applyNumberFormat="1" applyFont="1" applyFill="1" applyBorder="1" applyAlignment="1">
      <x:alignment vertical="top" wrapText="1"/>
    </x:xf>
    <x:xf numFmtId="208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5"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4F6B3A"/>
      </x:font>
      <x:fill>
        <x:patternFill patternType="solid">
          <x:bgColor rgb="FFE2F0D9"/>
        </x:patternFill>
      </x:fill>
    </x:dxf>
    <x:dxf>
      <x:font>
        <x:color rgb="FF8A6200"/>
      </x:font>
      <x:fill>
        <x:patternFill patternType="solid">
          <x:bgColor rgb="FFFCE4B2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bd3f862754db0" /><Relationship Type="http://schemas.openxmlformats.org/officeDocument/2006/relationships/theme" Target="/xl/theme/theme1.xml" Id="R3cf3d1547003465b" /><Relationship Type="http://schemas.openxmlformats.org/officeDocument/2006/relationships/sharedStrings" Target="/xl/sharedStrings.xml" Id="Rea6a681f5f4d4661" /><Relationship Type="http://schemas.openxmlformats.org/officeDocument/2006/relationships/worksheet" Target="/xl/worksheets/sheet1.xml" Id="R4df6f57d4e97432d" /><Relationship Type="http://schemas.openxmlformats.org/officeDocument/2006/relationships/worksheet" Target="/xl/worksheets/sheet2.xml" Id="R5805f634159f446c" /><Relationship Type="http://schemas.openxmlformats.org/officeDocument/2006/relationships/worksheet" Target="/xl/worksheets/sheet3.xml" Id="Re723503e8056435d" /><Relationship Type="http://schemas.openxmlformats.org/officeDocument/2006/relationships/worksheet" Target="/xl/worksheets/sheet4.xml" Id="Rf3177a9b311e4cb8" /><Relationship Type="http://schemas.openxmlformats.org/officeDocument/2006/relationships/worksheet" Target="/xl/worksheets/sheet5.xml" Id="Ra1a3951c96a34c8f" /><Relationship Type="http://schemas.openxmlformats.org/officeDocument/2006/relationships/worksheet" Target="/xl/worksheets/sheet6.xml" Id="R03bee5f7cd094dd6" /><Relationship Type="http://schemas.openxmlformats.org/officeDocument/2006/relationships/worksheet" Target="/xl/worksheets/sheet7.xml" Id="Rc667e90db74b44dd" /><Relationship Type="http://schemas.openxmlformats.org/officeDocument/2006/relationships/worksheet" Target="/xl/worksheets/sheet8.xml" Id="Re257c4b88cb94e03" /><Relationship Type="http://schemas.openxmlformats.org/officeDocument/2006/relationships/worksheet" Target="/xl/worksheets/sheet9.xml" Id="R3ab6f69276cb4568" /><Relationship Type="http://schemas.openxmlformats.org/officeDocument/2006/relationships/worksheet" Target="/xl/worksheets/sheet10.xml" Id="R09e7ba55f0274f16" /><Relationship Type="http://schemas.openxmlformats.org/officeDocument/2006/relationships/worksheet" Target="/xl/worksheets/sheet11.xml" Id="R7c9611c11b614950" /><Relationship Type="http://schemas.openxmlformats.org/officeDocument/2006/relationships/worksheet" Target="/xl/worksheets/sheet12.xml" Id="Red1030875f594529" /><Relationship Type="http://schemas.openxmlformats.org/officeDocument/2006/relationships/worksheet" Target="/xl/worksheets/sheet13.xml" Id="Rd5a02f3c89634da7" /><Relationship Type="http://schemas.openxmlformats.org/officeDocument/2006/relationships/worksheet" Target="/xl/worksheets/sheet14.xml" Id="Rf7e6dc1276e14451" /><Relationship Type="http://schemas.openxmlformats.org/officeDocument/2006/relationships/worksheet" Target="/xl/worksheets/sheet15.xml" Id="R5fe4799072794640" /><Relationship Type="http://schemas.openxmlformats.org/officeDocument/2006/relationships/worksheet" Target="/xl/worksheets/sheet16.xml" Id="Rd7be3f2f58d84157" /><Relationship Type="http://schemas.openxmlformats.org/officeDocument/2006/relationships/worksheet" Target="/xl/worksheets/sheet17.xml" Id="Re2063758499c4667" /><Relationship Type="http://schemas.openxmlformats.org/officeDocument/2006/relationships/worksheet" Target="/xl/worksheets/sheet18.xml" Id="R6ce8574afd6040e6" /><Relationship Type="http://schemas.openxmlformats.org/officeDocument/2006/relationships/worksheet" Target="/xl/worksheets/sheet19.xml" Id="Rb8b79b681aea4094" /><Relationship Type="http://schemas.openxmlformats.org/officeDocument/2006/relationships/worksheet" Target="/xl/worksheets/sheet20.xml" Id="Ra05c65178b914f2b" /><Relationship Type="http://schemas.openxmlformats.org/officeDocument/2006/relationships/worksheet" Target="/xl/worksheets/sheet21.xml" Id="R7f326dfbdd1c400c" /><Relationship Type="http://schemas.openxmlformats.org/officeDocument/2006/relationships/worksheet" Target="/xl/worksheets/sheet22.xml" Id="R9816b011d8194d0f" /><Relationship Type="http://schemas.openxmlformats.org/officeDocument/2006/relationships/worksheet" Target="/xl/worksheets/sheet23.xml" Id="Rc6d51baa1b3344a5" /><Relationship Type="http://schemas.openxmlformats.org/officeDocument/2006/relationships/worksheet" Target="/xl/worksheets/sheet24.xml" Id="Rb1a80e4da3024ea8" /><Relationship Type="http://schemas.openxmlformats.org/officeDocument/2006/relationships/worksheet" Target="/xl/worksheets/sheet25.xml" Id="Rb555577d11524aa0" /><Relationship Type="http://schemas.openxmlformats.org/officeDocument/2006/relationships/worksheet" Target="/xl/worksheets/sheet26.xml" Id="R45cea242cedb4698" /><Relationship Type="http://schemas.openxmlformats.org/officeDocument/2006/relationships/worksheet" Target="/xl/worksheets/sheet27.xml" Id="R26cb2c5ad0384a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88" hidden="0" customWidth="1"/>
    <x:col min="3" max="3" width="48" hidden="0" customWidth="1"/>
    <x:col min="4" max="4" width="40" hidden="0" customWidth="1"/>
  </x:cols>
  <x:sheetData>
    <x:row r="1" ht="24" customHeight="1">
      <x:c r="A1" s="50" t="str">
        <x:v>Joint Force Allocation Model</x:v>
      </x:c>
      <x:c r="B1" s="56"/>
      <x:c r="C1" s="56"/>
      <x:c r="D1" s="56"/>
    </x:row>
    <x:row r="2" ht="24" customHeight="1">
      <x:c r="A2" s="52" t="str">
        <x:v>Formation-level test of the Department-wide 3C + 5M + 2G + 20R promise.</x:v>
      </x:c>
      <x:c r="B2" s="57"/>
      <x:c r="C2" s="57"/>
      <x:c r="D2" s="57"/>
    </x:row>
    <x:row r="3">
      <x:c r="A3" s="57"/>
      <x:c r="B3" s="57"/>
      <x:c r="C3" s="57"/>
      <x:c r="D3" s="57"/>
    </x:row>
    <x:row r="4">
      <x:c r="A4" s="54" t="str">
        <x:v>Decision</x:v>
      </x:c>
      <x:c r="B4" s="58"/>
      <x:c r="C4" s="58"/>
      <x:c r="D4" s="58"/>
    </x:row>
    <x:row r="5">
      <x:c r="A5" s="57" t="str">
        <x:v>Question</x:v>
      </x:c>
      <x:c r="B5" s="57" t="str">
        <x:v>What complete order of battle, component structure, mobility, reception, sustainment, workforce and funding follow from ten simultaneous campaigns?</x:v>
      </x:c>
      <x:c r="C5" s="57"/>
      <x:c r="D5" s="57"/>
    </x:row>
    <x:row r="6">
      <x:c r="A6" s="57" t="str">
        <x:v>Reference answer</x:v>
      </x:c>
      <x:c r="B6" s="57" t="str">
        <x:v>Thirty-four formation families; about 714,000 people simultaneously deployed; roughly 3.95 million affiliated billet-equivalents; $12.05T capital; $858B mature annual operations.</x:v>
      </x:c>
      <x:c r="C6" s="57"/>
      <x:c r="D6" s="57"/>
    </x:row>
    <x:row r="7">
      <x:c r="A7" s="57" t="str">
        <x:v>Comparison</x:v>
      </x:c>
      <x:c r="B7" s="57" t="str">
        <x:v>The earlier 302,000-active/396,500-reserve screen does not generate the formation-level reference case.</x:v>
      </x:c>
      <x:c r="C7" s="57"/>
      <x:c r="D7" s="57"/>
    </x:row>
    <x:row r="8">
      <x:c r="A8" s="57" t="str">
        <x:v>Boundary</x:v>
      </x:c>
      <x:c r="B8" s="57" t="str">
        <x:v>All campaign coefficients, crews, costs, availability, component shares and throughputs are design-study assumptions unless explicitly sourced.</x:v>
      </x:c>
      <x:c r="C8" s="57"/>
      <x:c r="D8" s="57"/>
    </x:row>
    <x:row r="9">
      <x:c r="A9" s="57" t="str">
        <x:v>Rendering</x:v>
      </x:c>
      <x:c r="B9" s="57" t="str">
        <x:v>Blocked. This workbook allocates formations and enabling systems; it does not close vehicle or facility engineering.</x:v>
      </x:c>
      <x:c r="C9" s="57"/>
      <x:c r="D9" s="57"/>
    </x:row>
    <x:row r="10">
      <x:c r="A10" s="57"/>
      <x:c r="B10" s="57"/>
      <x:c r="C10" s="57"/>
      <x:c r="D10" s="57"/>
    </x:row>
    <x:row r="11">
      <x:c r="A11" s="57"/>
      <x:c r="B11" s="57"/>
      <x:c r="C11" s="57"/>
      <x:c r="D11" s="57"/>
    </x:row>
    <x:row r="12">
      <x:c r="A12" s="54" t="str">
        <x:v>Reader path</x:v>
      </x:c>
      <x:c r="B12" s="58"/>
      <x:c r="C12" s="58"/>
      <x:c r="D12" s="58"/>
    </x:row>
    <x:row r="13">
      <x:c r="A13" s="57" t="str">
        <x:v>1</x:v>
      </x:c>
      <x:c r="B13" s="57" t="str">
        <x:v>Campaign Set → Package Matrix</x:v>
      </x:c>
      <x:c r="C13" s="57" t="str">
        <x:v>See what is demanded and where each formation enters.</x:v>
      </x:c>
      <x:c r="D13" s="57"/>
    </x:row>
    <x:row r="14">
      <x:c r="A14" s="57" t="str">
        <x:v>2</x:v>
      </x:c>
      <x:c r="B14" s="57" t="str">
        <x:v>Readiness Vectors → Inventory</x:v>
      </x:c>
      <x:c r="C14" s="57" t="str">
        <x:v>Trace why demand becomes owned force and which constraint binds.</x:v>
      </x:c>
      <x:c r="D14" s="57"/>
    </x:row>
    <x:row r="15">
      <x:c r="A15" s="57" t="str">
        <x:v>3</x:v>
      </x:c>
      <x:c r="B15" s="57" t="str">
        <x:v>Component Mix → Component Credit</x:v>
      </x:c>
      <x:c r="C15" s="57" t="str">
        <x:v>Test what active, reserve, state, industrial and partner capacity can actually satisfy.</x:v>
      </x:c>
      <x:c r="D15" s="57"/>
    </x:row>
    <x:row r="16">
      <x:c r="A16" s="57" t="str">
        <x:v>4</x:v>
      </x:c>
      <x:c r="B16" s="57" t="str">
        <x:v>Workforce → Mobility → Reception → Sustainment</x:v>
      </x:c>
      <x:c r="C16" s="57" t="str">
        <x:v>Audit the enabling systems that a platform catalog omits.</x:v>
      </x:c>
      <x:c r="D16" s="57"/>
    </x:row>
    <x:row r="17">
      <x:c r="A17" s="57" t="str">
        <x:v>5</x:v>
      </x:c>
      <x:c r="B17" s="57" t="str">
        <x:v>Capital WBS → Annual Resources → Fiscal Parity</x:v>
      </x:c>
      <x:c r="C17" s="57" t="str">
        <x:v>Compare the force-derived burden with the FY2026 DoD request.</x:v>
      </x:c>
      <x:c r="D17" s="57"/>
    </x:row>
    <x:row r="18">
      <x:c r="A18" s="57" t="str">
        <x:v>6</x:v>
      </x:c>
      <x:c r="B18" s="57" t="str">
        <x:v>Double Count → Evidence Gates → Checks</x:v>
      </x:c>
      <x:c r="C18" s="57" t="str">
        <x:v>See what remains provisional and what cannot be claimed.</x:v>
      </x:c>
      <x:c r="D18" s="57"/>
    </x:row>
    <x:row r="19">
      <x:c r="A19" s="57"/>
      <x:c r="B19" s="57"/>
      <x:c r="C19" s="57"/>
      <x:c r="D19" s="57"/>
    </x:row>
    <x:row r="20">
      <x:c r="A20" s="57"/>
      <x:c r="B20" s="57"/>
      <x:c r="C20" s="57"/>
      <x:c r="D20" s="57"/>
    </x:row>
    <x:row r="21">
      <x:c r="A21" s="57"/>
      <x:c r="B21" s="57"/>
      <x:c r="C21" s="57"/>
      <x:c r="D21" s="57"/>
    </x:row>
    <x:row r="22">
      <x:c r="A22" s="54" t="str">
        <x:v>Visual grammar</x:v>
      </x:c>
      <x:c r="B22" s="58"/>
      <x:c r="C22" s="58"/>
      <x:c r="D22" s="58"/>
    </x:row>
    <x:row r="23">
      <x:c r="A23" s="57" t="str">
        <x:v>Yellow</x:v>
      </x:c>
      <x:c r="B23" s="57" t="str">
        <x:v>Editable design assumption</x:v>
      </x:c>
      <x:c r="C23" s="57"/>
      <x:c r="D23" s="57"/>
    </x:row>
    <x:row r="24">
      <x:c r="A24" s="57" t="str">
        <x:v>Blue</x:v>
      </x:c>
      <x:c r="B24" s="57" t="str">
        <x:v>Calculated result</x:v>
      </x:c>
      <x:c r="C24" s="57"/>
      <x:c r="D24" s="57"/>
    </x:row>
    <x:row r="25">
      <x:c r="A25" s="57" t="str">
        <x:v>Green</x:v>
      </x:c>
      <x:c r="B25" s="57" t="str">
        <x:v>Declared relationship passes</x:v>
      </x:c>
      <x:c r="C25" s="57"/>
      <x:c r="D25" s="57"/>
    </x:row>
    <x:row r="26">
      <x:c r="A26" s="57" t="str">
        <x:v>Amber</x:v>
      </x:c>
      <x:c r="B26" s="57" t="str">
        <x:v>Research or evidence remains open</x:v>
      </x:c>
      <x:c r="C26" s="57"/>
      <x:c r="D26" s="57"/>
    </x:row>
    <x:row r="27">
      <x:c r="A27" s="57" t="str">
        <x:v>Red</x:v>
      </x:c>
      <x:c r="B27" s="57" t="str">
        <x:v>Declared relationship fails</x:v>
      </x:c>
      <x:c r="C27" s="57"/>
      <x:c r="D27" s="57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18" hidden="0" customWidth="1"/>
    <x:col min="3" max="3" width="20" hidden="0" customWidth="1"/>
    <x:col min="4" max="4" width="66" hidden="0" customWidth="1"/>
  </x:cols>
  <x:sheetData>
    <x:row r="1" ht="24" customHeight="1">
      <x:c r="A1" s="50" t="str">
        <x:v>Controls</x:v>
      </x:c>
      <x:c r="B1" s="56"/>
      <x:c r="C1" s="56"/>
      <x:c r="D1" s="56"/>
    </x:row>
    <x:row r="2" ht="24" customHeight="1">
      <x:c r="A2" s="52" t="str">
        <x:v>Force-generation, component-credit, workforce, cost and parity assumptions. Yellow cells are editable.</x:v>
      </x:c>
      <x:c r="B2" s="57"/>
      <x:c r="C2" s="57"/>
      <x:c r="D2" s="57"/>
    </x:row>
    <x:row r="3">
      <x:c r="A3" s="57"/>
      <x:c r="B3" s="57"/>
      <x:c r="C3" s="57"/>
      <x:c r="D3" s="57"/>
    </x:row>
    <x:row r="4" ht="32" customHeight="1">
      <x:c r="A4" s="59" t="str">
        <x:v>Variable</x:v>
      </x:c>
      <x:c r="B4" s="60" t="str">
        <x:v>Reference</x:v>
      </x:c>
      <x:c r="C4" s="60" t="str">
        <x:v>Unit</x:v>
      </x:c>
      <x:c r="D4" s="61" t="str">
        <x:v>Interpretation</x:v>
      </x:c>
    </x:row>
    <x:row r="5">
      <x:c r="A5" s="76" t="str">
        <x:v>Residual immediately employable reserve</x:v>
      </x:c>
      <x:c r="B5" s="77" t="n">
        <x:v>0.2</x:v>
      </x:c>
      <x:c r="C5" s="76" t="str">
        <x:v>share of simultaneous demand</x:v>
      </x:c>
      <x:c r="D5" s="76" t="str">
        <x:v>Capacity held after all ten campaigns</x:v>
      </x:c>
    </x:row>
    <x:row r="6">
      <x:c r="A6" s="57" t="str">
        <x:v>Non-NUPS institutional overhead</x:v>
      </x:c>
      <x:c r="B6" s="77" t="n">
        <x:v>0.12</x:v>
      </x:c>
      <x:c r="C6" s="57" t="str">
        <x:v>share of direct billets</x:v>
      </x:c>
      <x:c r="D6" s="57" t="str">
        <x:v>Schools, headquarters, acquisition, safety and depots not already in formations</x:v>
      </x:c>
    </x:row>
    <x:row r="7">
      <x:c r="A7" s="76" t="str">
        <x:v>Preparing pool</x:v>
      </x:c>
      <x:c r="B7" s="77" t="n">
        <x:v>0.15</x:v>
      </x:c>
      <x:c r="C7" s="76" t="str">
        <x:v>share of selected inventory</x:v>
      </x:c>
      <x:c r="D7" s="76" t="str">
        <x:v>Training and integration</x:v>
      </x:c>
    </x:row>
    <x:row r="8">
      <x:c r="A8" s="57" t="str">
        <x:v>Regenerating pool</x:v>
      </x:c>
      <x:c r="B8" s="77" t="n">
        <x:v>0.2</x:v>
      </x:c>
      <x:c r="C8" s="57" t="str">
        <x:v>share of selected inventory</x:v>
      </x:c>
      <x:c r="D8" s="57" t="str">
        <x:v>Repair, recovery and recertification</x:v>
      </x:c>
    </x:row>
    <x:row r="9">
      <x:c r="A9" s="76" t="str">
        <x:v>Prior active workforce screen</x:v>
      </x:c>
      <x:c r="B9" s="78" t="n">
        <x:v>302000</x:v>
      </x:c>
      <x:c r="C9" s="76" t="str">
        <x:v>billets</x:v>
      </x:c>
      <x:c r="D9" s="76" t="str">
        <x:v>Pass 5 top-down reference</x:v>
      </x:c>
    </x:row>
    <x:row r="10">
      <x:c r="A10" s="57" t="str">
        <x:v>Prior reserve workforce screen</x:v>
      </x:c>
      <x:c r="B10" s="78" t="n">
        <x:v>396500</x:v>
      </x:c>
      <x:c r="C10" s="57" t="str">
        <x:v>billets</x:v>
      </x:c>
      <x:c r="D10" s="57" t="str">
        <x:v>Pass 5 top-down reference</x:v>
      </x:c>
    </x:row>
    <x:row r="11">
      <x:c r="A11" s="76" t="str">
        <x:v>NUPS integrated billets</x:v>
      </x:c>
      <x:c r="B11" s="78" t="n">
        <x:v>198197.55</x:v>
      </x:c>
      <x:c r="C11" s="76" t="str">
        <x:v>billets</x:v>
      </x:c>
      <x:c r="D11" s="76" t="str">
        <x:v>Pass 22 total, including its own institutional overhead</x:v>
      </x:c>
    </x:row>
    <x:row r="12">
      <x:c r="A12" s="57" t="str">
        <x:v>NUPS integrated capital</x:v>
      </x:c>
      <x:c r="B12" s="79" t="n">
        <x:v>1698</x:v>
      </x:c>
      <x:c r="C12" s="57" t="str">
        <x:v>$B</x:v>
      </x:c>
      <x:c r="D12" s="57" t="str">
        <x:v>Pass 22 integrated 25-year capital</x:v>
      </x:c>
    </x:row>
    <x:row r="13">
      <x:c r="A13" s="76" t="str">
        <x:v>DoD FY2026 total request</x:v>
      </x:c>
      <x:c r="B13" s="79" t="n">
        <x:v>961.6</x:v>
      </x:c>
      <x:c r="C13" s="76" t="str">
        <x:v>$B/year</x:v>
      </x:c>
      <x:c r="D13" s="76" t="str">
        <x:v>Comparison only; then-year request is not a Resilience estimate</x:v>
      </x:c>
    </x:row>
    <x:row r="14">
      <x:c r="A14" s="57" t="str">
        <x:v>Personnel training and stock rotation</x:v>
      </x:c>
      <x:c r="B14" s="79" t="n">
        <x:v>0.08</x:v>
      </x:c>
      <x:c r="C14" s="57" t="str">
        <x:v>share of personnel cost</x:v>
      </x:c>
      <x:c r="D14" s="57" t="str">
        <x:v>Annual formation readiness activity</x:v>
      </x:c>
    </x:row>
    <x:row r="15">
      <x:c r="A15" s="76" t="str">
        <x:v>Annual deployments and exercises</x:v>
      </x:c>
      <x:c r="B15" s="79" t="n">
        <x:v>45</x:v>
      </x:c>
      <x:c r="C15" s="76" t="str">
        <x:v>$B/year</x:v>
      </x:c>
      <x:c r="D15" s="76" t="str">
        <x:v>Mature planning allowance</x:v>
      </x:c>
    </x:row>
    <x:row r="16">
      <x:c r="A16" s="57" t="str">
        <x:v>Certified industrial readiness retainers</x:v>
      </x:c>
      <x:c r="B16" s="79" t="n">
        <x:v>25</x:v>
      </x:c>
      <x:c r="C16" s="57" t="str">
        <x:v>$B/year</x:v>
      </x:c>
      <x:c r="D16" s="57" t="str">
        <x:v>Priority capacity, tooling and exercises</x:v>
      </x:c>
    </x:row>
    <x:row r="17">
      <x:c r="A17" s="76" t="str">
        <x:v>Continuous research and test</x:v>
      </x:c>
      <x:c r="B17" s="79" t="n">
        <x:v>50</x:v>
      </x:c>
      <x:c r="C17" s="76" t="str">
        <x:v>$B/year</x:v>
      </x:c>
      <x:c r="D17" s="76" t="str">
        <x:v>Mature annual mission research outside capital build</x:v>
      </x:c>
    </x:row>
    <x:row r="18">
      <x:c r="A18" s="57"/>
      <x:c r="B18" s="57"/>
      <x:c r="C18" s="57"/>
      <x:c r="D18" s="57"/>
    </x:row>
    <x:row r="19">
      <x:c r="A19" s="57"/>
      <x:c r="B19" s="57"/>
      <x:c r="C19" s="57"/>
      <x:c r="D19" s="57"/>
    </x:row>
    <x:row r="20">
      <x:c r="A20" s="54" t="str">
        <x:v>Component employment credit</x:v>
      </x:c>
      <x:c r="B20" s="58"/>
      <x:c r="C20" s="58"/>
      <x:c r="D20" s="58"/>
    </x:row>
    <x:row r="21" ht="32" customHeight="1">
      <x:c r="A21" s="59" t="str">
        <x:v>Component</x:v>
      </x:c>
      <x:c r="B21" s="60" t="str">
        <x:v>R3 / 72-hour credit</x:v>
      </x:c>
      <x:c r="C21" s="60" t="str">
        <x:v>R5 enduring credit</x:v>
      </x:c>
      <x:c r="D21" s="61" t="str">
        <x:v>Global eligibility credit</x:v>
      </x:c>
    </x:row>
    <x:row r="22">
      <x:c r="A22" s="57" t="str">
        <x:v>Permanent federal</x:v>
      </x:c>
      <x:c r="B22" s="80" t="n">
        <x:v>1</x:v>
      </x:c>
      <x:c r="C22" s="80" t="n">
        <x:v>0.9</x:v>
      </x:c>
      <x:c r="D22" s="80" t="n">
        <x:v>1</x:v>
      </x:c>
    </x:row>
    <x:row r="23">
      <x:c r="A23" s="57" t="str">
        <x:v>Federal reserve</x:v>
      </x:c>
      <x:c r="B23" s="80" t="n">
        <x:v>0.45</x:v>
      </x:c>
      <x:c r="C23" s="80" t="n">
        <x:v>0.9</x:v>
      </x:c>
      <x:c r="D23" s="80" t="n">
        <x:v>0.9</x:v>
      </x:c>
    </x:row>
    <x:row r="24">
      <x:c r="A24" s="57" t="str">
        <x:v>State / territorial guard</x:v>
      </x:c>
      <x:c r="B24" s="80" t="n">
        <x:v>0.65</x:v>
      </x:c>
      <x:c r="C24" s="80" t="n">
        <x:v>0.85</x:v>
      </x:c>
      <x:c r="D24" s="80" t="n">
        <x:v>0</x:v>
      </x:c>
    </x:row>
    <x:row r="25">
      <x:c r="A25" s="57" t="str">
        <x:v>Certified industrial force</x:v>
      </x:c>
      <x:c r="B25" s="80" t="n">
        <x:v>0.1</x:v>
      </x:c>
      <x:c r="C25" s="80" t="n">
        <x:v>0.7</x:v>
      </x:c>
      <x:c r="D25" s="80" t="n">
        <x:v>0.6</x:v>
      </x:c>
    </x:row>
    <x:row r="26">
      <x:c r="A26" s="57" t="str">
        <x:v>Partner / allied</x:v>
      </x:c>
      <x:c r="B26" s="80" t="n">
        <x:v>0.15</x:v>
      </x:c>
      <x:c r="C26" s="80" t="n">
        <x:v>0.55</x:v>
      </x:c>
      <x:c r="D26" s="80" t="n">
        <x:v>0.8</x:v>
      </x:c>
    </x:row>
    <x:row r="27">
      <x:c r="A27" s="57"/>
      <x:c r="B27" s="57"/>
      <x:c r="C27" s="57"/>
      <x:c r="D27" s="57"/>
    </x:row>
    <x:row r="28">
      <x:c r="A28" s="57"/>
      <x:c r="B28" s="57"/>
      <x:c r="C28" s="57"/>
      <x:c r="D28" s="57"/>
    </x:row>
    <x:row r="29">
      <x:c r="A29" s="54" t="str">
        <x:v>Annual personnel-cost assumptions</x:v>
      </x:c>
      <x:c r="B29" s="58"/>
      <x:c r="C29" s="58"/>
      <x:c r="D29" s="58"/>
    </x:row>
    <x:row r="30" ht="32" customHeight="1">
      <x:c r="A30" s="59" t="str">
        <x:v>Component</x:v>
      </x:c>
      <x:c r="B30" s="60" t="str">
        <x:v>Annual $B per billet-equivalent</x:v>
      </x:c>
      <x:c r="C30" s="60" t="str">
        <x:v>Equivalent $K</x:v>
      </x:c>
      <x:c r="D30" s="61" t="str">
        <x:v>Boundary</x:v>
      </x:c>
    </x:row>
    <x:row r="31">
      <x:c r="A31" s="57" t="str">
        <x:v>Permanent federal</x:v>
      </x:c>
      <x:c r="B31" s="81" t="n">
        <x:v>0.00016</x:v>
      </x:c>
      <x:c r="C31" s="57" t="n">
        <x:v>160</x:v>
      </x:c>
      <x:c r="D31" s="57" t="str">
        <x:v>Compensation, benefits and ordinary personnel support</x:v>
      </x:c>
    </x:row>
    <x:row r="32">
      <x:c r="A32" s="57" t="str">
        <x:v>Federal reserve</x:v>
      </x:c>
      <x:c r="B32" s="81" t="n">
        <x:v>0.00005</x:v>
      </x:c>
      <x:c r="C32" s="57" t="n">
        <x:v>50</x:v>
      </x:c>
      <x:c r="D32" s="57" t="str">
        <x:v>Paid readiness, training and mobilization average</x:v>
      </x:c>
    </x:row>
    <x:row r="33">
      <x:c r="A33" s="57" t="str">
        <x:v>State / territorial guard</x:v>
      </x:c>
      <x:c r="B33" s="81" t="n">
        <x:v>0.000055</x:v>
      </x:c>
      <x:c r="C33" s="57" t="n">
        <x:v>55</x:v>
      </x:c>
      <x:c r="D33" s="57" t="str">
        <x:v>Federal/state combined planning equivalent</x:v>
      </x:c>
    </x:row>
    <x:row r="34">
      <x:c r="A34" s="57" t="str">
        <x:v>Certified industrial force</x:v>
      </x:c>
      <x:c r="B34" s="81" t="n">
        <x:v>0.00009</x:v>
      </x:c>
      <x:c r="C34" s="57" t="n">
        <x:v>90</x:v>
      </x:c>
      <x:c r="D34" s="57" t="str">
        <x:v>Readiness retainer and mobilizable labor equivalent</x:v>
      </x:c>
    </x:row>
    <x:row r="35">
      <x:c r="A35" s="57" t="str">
        <x:v>Partner / allied</x:v>
      </x:c>
      <x:c r="B35" s="81" t="n">
        <x:v>0.00002</x:v>
      </x:c>
      <x:c r="C35" s="57" t="n">
        <x:v>20</x:v>
      </x:c>
      <x:c r="D35" s="57" t="str">
        <x:v>U.S. exercise/access support only</x:v>
      </x:c>
    </x:row>
    <x:row r="36">
      <x:c r="A36" s="57"/>
      <x:c r="B36" s="57"/>
      <x:c r="C36" s="57"/>
      <x:c r="D36" s="57"/>
    </x:row>
    <x:row r="37">
      <x:c r="A37" s="57"/>
      <x:c r="B37" s="57"/>
      <x:c r="C37" s="57"/>
      <x:c r="D37" s="57"/>
    </x:row>
    <x:row r="38">
      <x:c r="A38" s="54" t="str">
        <x:v>Capital and operating assumptions</x:v>
      </x:c>
      <x:c r="B38" s="58"/>
      <x:c r="C38" s="58"/>
      <x:c r="D38" s="58"/>
    </x:row>
    <x:row r="39" ht="32" customHeight="1">
      <x:c r="A39" s="59" t="str">
        <x:v>Line</x:v>
      </x:c>
      <x:c r="B39" s="60" t="str">
        <x:v>Reference $B</x:v>
      </x:c>
      <x:c r="C39" s="60" t="str">
        <x:v>Rate / share</x:v>
      </x:c>
      <x:c r="D39" s="61" t="str">
        <x:v>Boundary</x:v>
      </x:c>
    </x:row>
    <x:row r="40">
      <x:c r="A40" s="57" t="str">
        <x:v>Non-NUPS bases, depots and ranges</x:v>
      </x:c>
      <x:c r="B40" s="82" t="n">
        <x:v>650</x:v>
      </x:c>
      <x:c r="C40" s="77" t="n">
        <x:v>0.02</x:v>
      </x:c>
      <x:c r="D40" s="57" t="str">
        <x:v>Excludes utility anchors and utility-specific depots</x:v>
      </x:c>
    </x:row>
    <x:row r="41">
      <x:c r="A41" s="57" t="str">
        <x:v>Science, technology and proving outside NUPS</x:v>
      </x:c>
      <x:c r="B41" s="82" t="n">
        <x:v>1500</x:v>
      </x:c>
      <x:c r="C41" s="77" t="n">
        <x:v>0.02</x:v>
      </x:c>
      <x:c r="D41" s="57" t="str">
        <x:v>Net of the utility-specific research line</x:v>
      </x:c>
    </x:row>
    <x:row r="42">
      <x:c r="A42" s="57" t="str">
        <x:v>Education and workforce infrastructure</x:v>
      </x:c>
      <x:c r="B42" s="82" t="n">
        <x:v>350</x:v>
      </x:c>
      <x:c r="C42" s="77" t="n">
        <x:v>0.02</x:v>
      </x:c>
      <x:c r="D42" s="57" t="str">
        <x:v>Non-NUPS schools, colleges and qualification systems</x:v>
      </x:c>
    </x:row>
    <x:row r="43">
      <x:c r="A43" s="57" t="str">
        <x:v>Information, forecast and common digital</x:v>
      </x:c>
      <x:c r="B43" s="82" t="n">
        <x:v>400</x:v>
      </x:c>
      <x:c r="C43" s="77" t="n">
        <x:v>0.02</x:v>
      </x:c>
      <x:c r="D43" s="57" t="str">
        <x:v>Department common systems outside formation acquisition</x:v>
      </x:c>
    </x:row>
    <x:row r="44">
      <x:c r="A44" s="57" t="str">
        <x:v>Strategic industry and materials outside NUPS</x:v>
      </x:c>
      <x:c r="B44" s="82" t="n">
        <x:v>500</x:v>
      </x:c>
      <x:c r="C44" s="77" t="n">
        <x:v>0.02</x:v>
      </x:c>
      <x:c r="D44" s="57" t="str">
        <x:v>Tooling, stocks and second sources</x:v>
      </x:c>
    </x:row>
    <x:row r="45">
      <x:c r="A45" s="57" t="str">
        <x:v>Explicit program reserve</x:v>
      </x:c>
      <x:c r="B45" s="82"/>
      <x:c r="C45" s="77" t="n">
        <x:v>0.2</x:v>
      </x:c>
      <x:c r="D45" s="57" t="str">
        <x:v>Applied to pre-reserve capital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8" hidden="0" customWidth="1"/>
    <x:col min="3" max="3" width="40" hidden="0" customWidth="1"/>
    <x:col min="4" max="4" width="48" hidden="0" customWidth="1"/>
    <x:col min="5" max="5" width="42" hidden="0" customWidth="1"/>
  </x:cols>
  <x:sheetData>
    <x:row r="1" ht="24" customHeight="1">
      <x:c r="A1" s="50" t="str">
        <x:v>Force Planning Terms</x:v>
      </x:c>
      <x:c r="B1" s="56"/>
      <x:c r="C1" s="56"/>
      <x:c r="D1" s="56"/>
      <x:c r="E1" s="56"/>
    </x:row>
    <x:row r="2" ht="24" customHeight="1">
      <x:c r="A2" s="52" t="str">
        <x:v>A single national ledger distinguishes planning, command and readiness states.</x:v>
      </x:c>
      <x:c r="B2" s="57"/>
      <x:c r="C2" s="57"/>
      <x:c r="D2" s="57"/>
      <x:c r="E2" s="57"/>
    </x:row>
    <x:row r="3">
      <x:c r="A3" s="57"/>
      <x:c r="B3" s="57"/>
      <x:c r="C3" s="57"/>
      <x:c r="D3" s="57"/>
      <x:c r="E3" s="57"/>
    </x:row>
    <x:row r="4" ht="32" customHeight="1">
      <x:c r="A4" s="59" t="str">
        <x:v>Term</x:v>
      </x:c>
      <x:c r="B4" s="60" t="str">
        <x:v>Meaning</x:v>
      </x:c>
      <x:c r="C4" s="60" t="str">
        <x:v>Decision owner</x:v>
      </x:c>
      <x:c r="D4" s="60" t="str">
        <x:v>Required record</x:v>
      </x:c>
      <x:c r="E4" s="61" t="str">
        <x:v>Failure prevented</x:v>
      </x:c>
    </x:row>
    <x:row r="5">
      <x:c r="A5" s="76" t="str">
        <x:v>Assignment</x:v>
      </x:c>
      <x:c r="B5" s="76" t="str">
        <x:v>Enduring command relationship for a formation</x:v>
      </x:c>
      <x:c r="C5" s="76" t="str">
        <x:v>Secretary</x:v>
      </x:c>
      <x:c r="D5" s="76" t="str">
        <x:v>Named unit, generating service and supported command</x:v>
      </x:c>
      <x:c r="E5" s="76" t="str">
        <x:v>Unit appears available to several permanent owners</x:v>
      </x:c>
    </x:row>
    <x:row r="6">
      <x:c r="A6" s="57" t="str">
        <x:v>Apportionment</x:v>
      </x:c>
      <x:c r="B6" s="57" t="str">
        <x:v>Planning distribution for campaign design</x:v>
      </x:c>
      <x:c r="C6" s="57" t="str">
        <x:v>Chief of Resilience Staff</x:v>
      </x:c>
      <x:c r="D6" s="57" t="str">
        <x:v>Scenario, time, capability and risk</x:v>
      </x:c>
      <x:c r="E6" s="57" t="str">
        <x:v>Plans assume the whole force without exposing conflicts</x:v>
      </x:c>
    </x:row>
    <x:row r="7">
      <x:c r="A7" s="76" t="str">
        <x:v>Allocation</x:v>
      </x:c>
      <x:c r="B7" s="76" t="str">
        <x:v>Time-bounded transfer for execution</x:v>
      </x:c>
      <x:c r="C7" s="76" t="str">
        <x:v>Secretary / delegated allocator</x:v>
      </x:c>
      <x:c r="D7" s="76" t="str">
        <x:v>Exact unit, duration, readiness cost and return condition</x:v>
      </x:c>
      <x:c r="E7" s="76" t="str">
        <x:v>Two campaigns receive the same formation</x:v>
      </x:c>
    </x:row>
    <x:row r="8">
      <x:c r="A8" s="57" t="str">
        <x:v>Commitment</x:v>
      </x:c>
      <x:c r="B8" s="57" t="str">
        <x:v>Unit is deployed, staged or reserved for a named operation</x:v>
      </x:c>
      <x:c r="C8" s="57" t="str">
        <x:v>Supported commander</x:v>
      </x:c>
      <x:c r="D8" s="57" t="str">
        <x:v>Location, task, effect and release trigger</x:v>
      </x:c>
      <x:c r="E8" s="57" t="str">
        <x:v>Staged units still appear in the available pool</x:v>
      </x:c>
    </x:row>
    <x:row r="9">
      <x:c r="A9" s="76" t="str">
        <x:v>Available</x:v>
      </x:c>
      <x:c r="B9" s="76" t="str">
        <x:v>Complete formation is certified inside its employment window</x:v>
      </x:c>
      <x:c r="C9" s="76" t="str">
        <x:v>Generating service + readiness authority</x:v>
      </x:c>
      <x:c r="D9" s="76" t="str">
        <x:v>People, equipment, movement, reception, sustainment and authority</x:v>
      </x:c>
      <x:c r="E9" s="76" t="str">
        <x:v>Equipment-only readiness</x:v>
      </x:c>
    </x:row>
    <x:row r="10">
      <x:c r="A10" s="57" t="str">
        <x:v>Preparing</x:v>
      </x:c>
      <x:c r="B10" s="57" t="str">
        <x:v>Formation is training, integrating replacements or maintaining</x:v>
      </x:c>
      <x:c r="C10" s="57" t="str">
        <x:v>Generating service</x:v>
      </x:c>
      <x:c r="D10" s="57" t="str">
        <x:v>Completion date, missing inputs and risk</x:v>
      </x:c>
      <x:c r="E10" s="57" t="str">
        <x:v>Near-ready units counted as immediately employable</x:v>
      </x:c>
    </x:row>
    <x:row r="11">
      <x:c r="A11" s="76" t="str">
        <x:v>Regenerating</x:v>
      </x:c>
      <x:c r="B11" s="76" t="str">
        <x:v>Formation is restoring people, equipment and stocks</x:v>
      </x:c>
      <x:c r="C11" s="76" t="str">
        <x:v>Generating service + sustainment command</x:v>
      </x:c>
      <x:c r="D11" s="76" t="str">
        <x:v>Damage, health, stock, repair and recertification state</x:v>
      </x:c>
      <x:c r="E11" s="76" t="str">
        <x:v>Deployment ends before readiness debt is repaid</x:v>
      </x:c>
    </x:row>
    <x:row r="12">
      <x:c r="A12" s="57" t="str">
        <x:v>Institutional force</x:v>
      </x:c>
      <x:c r="B12" s="57" t="str">
        <x:v>Schools, bases, depots, science, acquisition and safety that generate units</x:v>
      </x:c>
      <x:c r="C12" s="57" t="str">
        <x:v>Secretary and service chiefs</x:v>
      </x:c>
      <x:c r="D12" s="57" t="str">
        <x:v>Minimum home-station function and surge plan</x:v>
      </x:c>
      <x:c r="E12" s="57" t="str">
        <x:v>Deployments hollow the force-generation base</x:v>
      </x:c>
    </x:row>
    <x:row r="13">
      <x:c r="A13" s="76" t="str">
        <x:v>Source-equivalent unit</x:v>
      </x:c>
      <x:c r="B13" s="76" t="str">
        <x:v>Qualified alternative able to close the same interface and public effect</x:v>
      </x:c>
      <x:c r="C13" s="76" t="str">
        <x:v>Functional command + technical authorities</x:v>
      </x:c>
      <x:c r="D13" s="76" t="str">
        <x:v>Actual technology, limits, fuel and availability</x:v>
      </x:c>
      <x:c r="E13" s="76" t="str">
        <x:v>Nominal substitution masks a different service promise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22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58" hidden="0" customWidth="1"/>
  </x:cols>
  <x:sheetData>
    <x:row r="1" ht="24" customHeight="1">
      <x:c r="A1" s="50" t="str">
        <x:v>Campaign Set</x:v>
      </x:c>
      <x:c r="B1" s="56"/>
      <x:c r="C1" s="56"/>
      <x:c r="D1" s="56"/>
      <x:c r="E1" s="56"/>
      <x:c r="F1" s="56"/>
      <x:c r="G1" s="56"/>
      <x:c r="H1" s="56"/>
      <x:c r="I1" s="56"/>
    </x:row>
    <x:row r="2" ht="24" customHeight="1">
      <x:c r="A2" s="52" t="str">
        <x:v>The declared 3C + 5M + 2G stress case. These are simultaneous planning obligations, not forecasts.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32" customHeight="1">
      <x:c r="A4" s="59" t="str">
        <x:v>ID</x:v>
      </x:c>
      <x:c r="B4" s="60" t="str">
        <x:v>Class</x:v>
      </x:c>
      <x:c r="C4" s="60" t="str">
        <x:v>Reference campaign</x:v>
      </x:c>
      <x:c r="D4" s="60" t="str">
        <x:v>Theater</x:v>
      </x:c>
      <x:c r="E4" s="60" t="str">
        <x:v>Duration d</x:v>
      </x:c>
      <x:c r="F4" s="60" t="str">
        <x:v>Earliest band</x:v>
      </x:c>
      <x:c r="G4" s="60" t="str">
        <x:v>Domestic</x:v>
      </x:c>
      <x:c r="H4" s="60" t="str">
        <x:v>Global</x:v>
      </x:c>
      <x:c r="I4" s="61" t="str">
        <x:v>Force-driving consequence</x:v>
      </x:c>
    </x:row>
    <x:row r="5">
      <x:c r="A5" s="76" t="str">
        <x:v>C1</x:v>
      </x:c>
      <x:c r="B5" s="76" t="str">
        <x:v>Catastrophic</x:v>
      </x:c>
      <x:c r="C5" s="76" t="str">
        <x:v>Continental grid failure during temperature extreme</x:v>
      </x:c>
      <x:c r="D5" s="76" t="str">
        <x:v>Domestic/continental</x:v>
      </x:c>
      <x:c r="E5" s="78" t="n">
        <x:v>180</x:v>
      </x:c>
      <x:c r="F5" s="82" t="str">
        <x:v>R1</x:v>
      </x:c>
      <x:c r="G5" s="82" t="n">
        <x:v>1</x:v>
      </x:c>
      <x:c r="H5" s="82" t="n">
        <x:v>0</x:v>
      </x:c>
      <x:c r="I5" s="76" t="str">
        <x:v>Systemic power, thermal, water, communications and health cascade</x:v>
      </x:c>
    </x:row>
    <x:row r="6">
      <x:c r="A6" s="57" t="str">
        <x:v>C2</x:v>
      </x:c>
      <x:c r="B6" s="57" t="str">
        <x:v>Catastrophic</x:v>
      </x:c>
      <x:c r="C6" s="57" t="str">
        <x:v>Sequential Gulf–Atlantic hurricane</x:v>
      </x:c>
      <x:c r="D6" s="57" t="str">
        <x:v>Domestic/coastal</x:v>
      </x:c>
      <x:c r="E6" s="78" t="n">
        <x:v>180</x:v>
      </x:c>
      <x:c r="F6" s="82" t="str">
        <x:v>R1</x:v>
      </x:c>
      <x:c r="G6" s="82" t="n">
        <x:v>1</x:v>
      </x:c>
      <x:c r="H6" s="82" t="n">
        <x:v>0</x:v>
      </x:c>
      <x:c r="I6" s="57" t="str">
        <x:v>Forecast staging followed by wind, surge, flood and port disruption</x:v>
      </x:c>
    </x:row>
    <x:row r="7">
      <x:c r="A7" s="76" t="str">
        <x:v>C3</x:v>
      </x:c>
      <x:c r="B7" s="76" t="str">
        <x:v>Catastrophic</x:v>
      </x:c>
      <x:c r="C7" s="76" t="str">
        <x:v>Cascadia earthquake and tsunami</x:v>
      </x:c>
      <x:c r="D7" s="76" t="str">
        <x:v>Domestic/coastal</x:v>
      </x:c>
      <x:c r="E7" s="78" t="n">
        <x:v>240</x:v>
      </x:c>
      <x:c r="F7" s="82" t="str">
        <x:v>R1</x:v>
      </x:c>
      <x:c r="G7" s="82" t="n">
        <x:v>1</x:v>
      </x:c>
      <x:c r="H7" s="82" t="n">
        <x:v>0</x:v>
      </x:c>
      <x:c r="I7" s="76" t="str">
        <x:v>No-notice isolation, damaged ports, lifelines and medical evacuation</x:v>
      </x:c>
    </x:row>
    <x:row r="8">
      <x:c r="A8" s="57" t="str">
        <x:v>M1</x:v>
      </x:c>
      <x:c r="B8" s="57" t="str">
        <x:v>Major</x:v>
      </x:c>
      <x:c r="C8" s="57" t="str">
        <x:v>Western wildfire–heat–smoke complex</x:v>
      </x:c>
      <x:c r="D8" s="57" t="str">
        <x:v>Domestic/west</x:v>
      </x:c>
      <x:c r="E8" s="78" t="n">
        <x:v>90</x:v>
      </x:c>
      <x:c r="F8" s="82" t="str">
        <x:v>R1</x:v>
      </x:c>
      <x:c r="G8" s="82" t="n">
        <x:v>1</x:v>
      </x:c>
      <x:c r="H8" s="82" t="n">
        <x:v>0</x:v>
      </x:c>
      <x:c r="I8" s="57" t="str">
        <x:v>Distributed early attack, campaign fire control, smoke and grid stress</x:v>
      </x:c>
    </x:row>
    <x:row r="9">
      <x:c r="A9" s="76" t="str">
        <x:v>M2</x:v>
      </x:c>
      <x:c r="B9" s="76" t="str">
        <x:v>Major</x:v>
      </x:c>
      <x:c r="C9" s="76" t="str">
        <x:v>Urban heat emergency</x:v>
      </x:c>
      <x:c r="D9" s="76" t="str">
        <x:v>Domestic/metro</x:v>
      </x:c>
      <x:c r="E9" s="78" t="n">
        <x:v>45</x:v>
      </x:c>
      <x:c r="F9" s="82" t="str">
        <x:v>R1</x:v>
      </x:c>
      <x:c r="G9" s="82" t="n">
        <x:v>1</x:v>
      </x:c>
      <x:c r="H9" s="82" t="n">
        <x:v>0</x:v>
      </x:c>
      <x:c r="I9" s="76" t="str">
        <x:v>Cooling, health surveillance, power and accessible public service</x:v>
      </x:c>
    </x:row>
    <x:row r="10">
      <x:c r="A10" s="57" t="str">
        <x:v>M3</x:v>
      </x:c>
      <x:c r="B10" s="57" t="str">
        <x:v>Major</x:v>
      </x:c>
      <x:c r="C10" s="57" t="str">
        <x:v>Inland flood</x:v>
      </x:c>
      <x:c r="D10" s="57" t="str">
        <x:v>Domestic/inland</x:v>
      </x:c>
      <x:c r="E10" s="78" t="n">
        <x:v>120</x:v>
      </x:c>
      <x:c r="F10" s="82" t="str">
        <x:v>R1</x:v>
      </x:c>
      <x:c r="G10" s="82" t="n">
        <x:v>1</x:v>
      </x:c>
      <x:c r="H10" s="82" t="n">
        <x:v>0</x:v>
      </x:c>
      <x:c r="I10" s="57" t="str">
        <x:v>Hydraulic control, dewatering, access, debris and community support</x:v>
      </x:c>
    </x:row>
    <x:row r="11">
      <x:c r="A11" s="76" t="str">
        <x:v>M4</x:v>
      </x:c>
      <x:c r="B11" s="76" t="str">
        <x:v>Major</x:v>
      </x:c>
      <x:c r="C11" s="76" t="str">
        <x:v>Regional tornado sequence</x:v>
      </x:c>
      <x:c r="D11" s="76" t="str">
        <x:v>Domestic/inland</x:v>
      </x:c>
      <x:c r="E11" s="78" t="n">
        <x:v>60</x:v>
      </x:c>
      <x:c r="F11" s="82" t="str">
        <x:v>R1</x:v>
      </x:c>
      <x:c r="G11" s="82" t="n">
        <x:v>1</x:v>
      </x:c>
      <x:c r="H11" s="82" t="n">
        <x:v>0</x:v>
      </x:c>
      <x:c r="I11" s="76" t="str">
        <x:v>Distributed rescue, utilities, temporary works and shelter transition</x:v>
      </x:c>
    </x:row>
    <x:row r="12">
      <x:c r="A12" s="57" t="str">
        <x:v>M5</x:v>
      </x:c>
      <x:c r="B12" s="57" t="str">
        <x:v>Major</x:v>
      </x:c>
      <x:c r="C12" s="57" t="str">
        <x:v>Territorial drought and water emergency</x:v>
      </x:c>
      <x:c r="D12" s="57" t="str">
        <x:v>Territorial/island</x:v>
      </x:c>
      <x:c r="E12" s="78" t="n">
        <x:v>180</x:v>
      </x:c>
      <x:c r="F12" s="82" t="str">
        <x:v>R2</x:v>
      </x:c>
      <x:c r="G12" s="82" t="n">
        <x:v>1</x:v>
      </x:c>
      <x:c r="H12" s="82" t="n">
        <x:v>0</x:v>
      </x:c>
      <x:c r="I12" s="57" t="str">
        <x:v>Water supply, firm power, distribution and long-duration continuity</x:v>
      </x:c>
    </x:row>
    <x:row r="13">
      <x:c r="A13" s="76" t="str">
        <x:v>G1</x:v>
      </x:c>
      <x:c r="B13" s="76" t="str">
        <x:v>Global</x:v>
      </x:c>
      <x:c r="C13" s="76" t="str">
        <x:v>Allied coastal megacity earthquake</x:v>
      </x:c>
      <x:c r="D13" s="76" t="str">
        <x:v>International</x:v>
      </x:c>
      <x:c r="E13" s="78" t="n">
        <x:v>180</x:v>
      </x:c>
      <x:c r="F13" s="82" t="str">
        <x:v>R2</x:v>
      </x:c>
      <x:c r="G13" s="82" t="n">
        <x:v>0</x:v>
      </x:c>
      <x:c r="H13" s="82" t="n">
        <x:v>1</x:v>
      </x:c>
      <x:c r="I13" s="76" t="str">
        <x:v>Invited intercontinental utility, access, health and stabilization mission</x:v>
      </x:c>
    </x:row>
    <x:row r="14">
      <x:c r="A14" s="57" t="str">
        <x:v>G2</x:v>
      </x:c>
      <x:c r="B14" s="57" t="str">
        <x:v>Global</x:v>
      </x:c>
      <x:c r="C14" s="57" t="str">
        <x:v>Regional flood and displacement mission</x:v>
      </x:c>
      <x:c r="D14" s="57" t="str">
        <x:v>International</x:v>
      </x:c>
      <x:c r="E14" s="78" t="n">
        <x:v>180</x:v>
      </x:c>
      <x:c r="F14" s="82" t="str">
        <x:v>R2</x:v>
      </x:c>
      <x:c r="G14" s="82" t="n">
        <x:v>0</x:v>
      </x:c>
      <x:c r="H14" s="82" t="n">
        <x:v>1</x:v>
      </x:c>
      <x:c r="I14" s="57" t="str">
        <x:v>Invited multijurisdictional flood, shelter and public-service mission</x:v>
      </x:c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</x:row>
    <x:row r="17">
      <x:c r="A17" s="54" t="str">
        <x:v>Reconciliation</x:v>
      </x:c>
      <x:c r="B17" s="58"/>
      <x:c r="C17" s="58"/>
      <x:c r="D17" s="58"/>
      <x:c r="E17" s="58"/>
      <x:c r="F17" s="58"/>
      <x:c r="G17" s="58"/>
      <x:c r="H17" s="58"/>
      <x:c r="I17" s="58"/>
    </x:row>
    <x:row r="18" ht="32" customHeight="1">
      <x:c r="A18" s="59" t="str">
        <x:v>Measure</x:v>
      </x:c>
      <x:c r="B18" s="60" t="str">
        <x:v>Required</x:v>
      </x:c>
      <x:c r="C18" s="60" t="str">
        <x:v>Modeled</x:v>
      </x:c>
      <x:c r="D18" s="60" t="str">
        <x:v>Status</x:v>
      </x:c>
      <x:c r="E18" s="61" t="str">
        <x:v>Meaning</x:v>
      </x:c>
      <x:c r="F18" s="57"/>
      <x:c r="G18" s="57"/>
      <x:c r="H18" s="57"/>
      <x:c r="I18" s="57"/>
    </x:row>
    <x:row r="19">
      <x:c r="A19" s="57" t="str">
        <x:v>Catastrophic campaigns</x:v>
      </x:c>
      <x:c r="B19" s="57" t="n">
        <x:v>3</x:v>
      </x:c>
      <x:c r="C19" s="85" t="n">
        <x:f>COUNTIF(B5:B14,"Catastrophic")</x:f>
        <x:v>3</x:v>
      </x:c>
      <x:c r="D19" s="85" t="str">
        <x:f>IF(B19=C19,"PASS","FAIL")</x:f>
        <x:v>PASS</x:v>
      </x:c>
      <x:c r="E19" s="57" t="str">
        <x:v>3C</x:v>
      </x:c>
      <x:c r="F19" s="57"/>
      <x:c r="G19" s="57"/>
      <x:c r="H19" s="57"/>
      <x:c r="I19" s="57"/>
    </x:row>
    <x:row r="20">
      <x:c r="A20" s="57" t="str">
        <x:v>Major operations</x:v>
      </x:c>
      <x:c r="B20" s="57" t="n">
        <x:v>5</x:v>
      </x:c>
      <x:c r="C20" s="85" t="n">
        <x:f>COUNTIF(B5:B14,"Major")</x:f>
        <x:v>5</x:v>
      </x:c>
      <x:c r="D20" s="85" t="str">
        <x:f>IF(B20=C20,"PASS","FAIL")</x:f>
        <x:v>PASS</x:v>
      </x:c>
      <x:c r="E20" s="57" t="str">
        <x:v>5M</x:v>
      </x:c>
      <x:c r="F20" s="57"/>
      <x:c r="G20" s="57"/>
      <x:c r="H20" s="57"/>
      <x:c r="I20" s="57"/>
    </x:row>
    <x:row r="21">
      <x:c r="A21" s="57" t="str">
        <x:v>Global operations</x:v>
      </x:c>
      <x:c r="B21" s="57" t="n">
        <x:v>2</x:v>
      </x:c>
      <x:c r="C21" s="85" t="n">
        <x:f>COUNTIF(B5:B14,"Global")</x:f>
        <x:v>2</x:v>
      </x:c>
      <x:c r="D21" s="85" t="str">
        <x:f>IF(B21=C21,"PASS","FAIL")</x:f>
        <x:v>PASS</x:v>
      </x:c>
      <x:c r="E21" s="57" t="str">
        <x:v>2G</x:v>
      </x:c>
      <x:c r="F21" s="57"/>
      <x:c r="G21" s="57"/>
      <x:c r="H21" s="57"/>
      <x:c r="I21" s="57"/>
    </x:row>
    <x:row r="22">
      <x:c r="A22" s="57" t="str">
        <x:v>Total simultaneous campaigns</x:v>
      </x:c>
      <x:c r="B22" s="57" t="n">
        <x:v>10</x:v>
      </x:c>
      <x:c r="C22" s="85" t="n">
        <x:f>COUNTA(A5:A14)</x:f>
        <x:v>10</x:v>
      </x:c>
      <x:c r="D22" s="85" t="str">
        <x:f>IF(B22=C22,"PASS","FAIL")</x:f>
        <x:v>PASS</x:v>
      </x:c>
      <x:c r="E22" s="57" t="str">
        <x:v>Three plus five plus two</x:v>
      </x:c>
      <x:c r="F22" s="57"/>
      <x:c r="G22" s="57"/>
      <x:c r="H22" s="57"/>
      <x:c r="I22" s="57"/>
    </x:row>
  </x:sheetData>
  <x:mergeCells>
    <x:mergeCell ref="A1:I1"/>
    <x:mergeCell ref="A2:I2"/>
  </x:mergeCells>
  <x:conditionalFormatting sqref="D19:D22">
    <x:cfRule type="containsText" dxfId="0" priority="1" operator="containsText" text="PASS"/>
    <x:cfRule type="containsText" dxfId="1" priority="2" operator="containsText" text="OPEN"/>
    <x:cfRule type="containsText" dxfId="2" priority="3" operator="containsText" text="FAIL"/>
    <x:cfRule type="containsText" dxfId="3" priority="4" operator="containsText" text="SHORT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8" hidden="0" customWidth="1"/>
    <x:col min="3" max="3" width="42" hidden="0" customWidth="1"/>
    <x:col min="4" max="4" width="16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  <x:col min="16" max="16" width="58" hidden="0" customWidth="1"/>
  </x:cols>
  <x:sheetData>
    <x:row r="1" ht="24" customHeight="1">
      <x:c r="A1" s="50" t="str">
        <x:v>Formation Catalog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</x:row>
    <x:row r="2" ht="24" customHeight="1">
      <x:c r="A2" s="52" t="str">
        <x:v>Permanent formation families, workforce, movement, sustainment and cost assumptions.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</x:row>
    <x:row r="4" ht="32" customHeight="1">
      <x:c r="A4" s="59" t="str">
        <x:v>ID</x:v>
      </x:c>
      <x:c r="B4" s="60" t="str">
        <x:v>Generating service</x:v>
      </x:c>
      <x:c r="C4" s="60" t="str">
        <x:v>Formation family</x:v>
      </x:c>
      <x:c r="D4" s="60" t="str">
        <x:v>On-duty people</x:v>
      </x:c>
      <x:c r="E4" s="60" t="str">
        <x:v>Crew sets</x:v>
      </x:c>
      <x:c r="F4" s="60" t="str">
        <x:v>Material avail.</x:v>
      </x:c>
      <x:c r="G4" s="60" t="str">
        <x:v>Personnel avail.</x:v>
      </x:c>
      <x:c r="H4" s="60" t="str">
        <x:v>Movement avail.</x:v>
      </x:c>
      <x:c r="I4" s="60" t="str">
        <x:v>Reception avail.</x:v>
      </x:c>
      <x:c r="J4" s="60" t="str">
        <x:v>Sustainment avail.</x:v>
      </x:c>
      <x:c r="K4" s="60" t="str">
        <x:v>Early share</x:v>
      </x:c>
      <x:c r="L4" s="60" t="str">
        <x:v>Deployable mass t</x:v>
      </x:c>
      <x:c r="M4" s="60" t="str">
        <x:v>Supply t/day</x:v>
      </x:c>
      <x:c r="N4" s="60" t="str">
        <x:v>Unit capital $B</x:v>
      </x:c>
      <x:c r="O4" s="60" t="str">
        <x:v>WBS owner</x:v>
      </x:c>
      <x:c r="P4" s="61" t="str">
        <x:v>Complete thread</x:v>
      </x:c>
    </x:row>
    <x:row r="5">
      <x:c r="A5" s="76" t="str">
        <x:v>J-CIE</x:v>
      </x:c>
      <x:c r="B5" s="76" t="str">
        <x:v>Joint</x:v>
      </x:c>
      <x:c r="C5" s="76" t="str">
        <x:v>Civil integration and effects group</x:v>
      </x:c>
      <x:c r="D5" s="78" t="n">
        <x:v>120</x:v>
      </x:c>
      <x:c r="E5" s="90" t="n">
        <x:v>2.5</x:v>
      </x:c>
      <x:c r="F5" s="77" t="n">
        <x:v>0.82</x:v>
      </x:c>
      <x:c r="G5" s="77" t="n">
        <x:v>0.8</x:v>
      </x:c>
      <x:c r="H5" s="77" t="n">
        <x:v>0.78</x:v>
      </x:c>
      <x:c r="I5" s="77" t="n">
        <x:v>0.8</x:v>
      </x:c>
      <x:c r="J5" s="77" t="n">
        <x:v>0.82</x:v>
      </x:c>
      <x:c r="K5" s="77" t="n">
        <x:v>0.65</x:v>
      </x:c>
      <x:c r="L5" s="78" t="n">
        <x:v>2200</x:v>
      </x:c>
      <x:c r="M5" s="78" t="n">
        <x:v>45</x:v>
      </x:c>
      <x:c r="N5" s="91" t="n">
        <x:v>0.25</x:v>
      </x:c>
      <x:c r="O5" s="76" t="str">
        <x:v>Joint force</x:v>
      </x:c>
      <x:c r="P5" s="76" t="str">
        <x:v>Public objective, rights, liaison and effects</x:v>
      </x:c>
    </x:row>
    <x:row r="6">
      <x:c r="A6" s="57" t="str">
        <x:v>J-TOC</x:v>
      </x:c>
      <x:c r="B6" s="57" t="str">
        <x:v>Joint</x:v>
      </x:c>
      <x:c r="C6" s="57" t="str">
        <x:v>Theater-opening command</x:v>
      </x:c>
      <x:c r="D6" s="78" t="n">
        <x:v>600</x:v>
      </x:c>
      <x:c r="E6" s="90" t="n">
        <x:v>2.5</x:v>
      </x:c>
      <x:c r="F6" s="77" t="n">
        <x:v>0.82</x:v>
      </x:c>
      <x:c r="G6" s="77" t="n">
        <x:v>0.8</x:v>
      </x:c>
      <x:c r="H6" s="77" t="n">
        <x:v>0.78</x:v>
      </x:c>
      <x:c r="I6" s="77" t="n">
        <x:v>0.8</x:v>
      </x:c>
      <x:c r="J6" s="77" t="n">
        <x:v>0.82</x:v>
      </x:c>
      <x:c r="K6" s="77" t="n">
        <x:v>0.65</x:v>
      </x:c>
      <x:c r="L6" s="78" t="n">
        <x:v>2200</x:v>
      </x:c>
      <x:c r="M6" s="78" t="n">
        <x:v>45</x:v>
      </x:c>
      <x:c r="N6" s="91" t="n">
        <x:v>1.2</x:v>
      </x:c>
      <x:c r="O6" s="57" t="str">
        <x:v>Joint force</x:v>
      </x:c>
      <x:c r="P6" s="57" t="str">
        <x:v>Reception, staging, onward movement and initial bases</x:v>
      </x:c>
    </x:row>
    <x:row r="7">
      <x:c r="A7" s="76" t="str">
        <x:v>J-TSC</x:v>
      </x:c>
      <x:c r="B7" s="76" t="str">
        <x:v>Joint</x:v>
      </x:c>
      <x:c r="C7" s="76" t="str">
        <x:v>Theater sustainment command</x:v>
      </x:c>
      <x:c r="D7" s="78" t="n">
        <x:v>900</x:v>
      </x:c>
      <x:c r="E7" s="90" t="n">
        <x:v>2.5</x:v>
      </x:c>
      <x:c r="F7" s="77" t="n">
        <x:v>0.82</x:v>
      </x:c>
      <x:c r="G7" s="77" t="n">
        <x:v>0.8</x:v>
      </x:c>
      <x:c r="H7" s="77" t="n">
        <x:v>0.78</x:v>
      </x:c>
      <x:c r="I7" s="77" t="n">
        <x:v>0.8</x:v>
      </x:c>
      <x:c r="J7" s="77" t="n">
        <x:v>0.82</x:v>
      </x:c>
      <x:c r="K7" s="77" t="n">
        <x:v>0.65</x:v>
      </x:c>
      <x:c r="L7" s="78" t="n">
        <x:v>2200</x:v>
      </x:c>
      <x:c r="M7" s="78" t="n">
        <x:v>45</x:v>
      </x:c>
      <x:c r="N7" s="91" t="n">
        <x:v>1.5</x:v>
      </x:c>
      <x:c r="O7" s="76" t="str">
        <x:v>Joint force</x:v>
      </x:c>
      <x:c r="P7" s="76" t="str">
        <x:v>Distribution, maintenance, supply and responder support</x:v>
      </x:c>
    </x:row>
    <x:row r="8">
      <x:c r="A8" s="57" t="str">
        <x:v>J-RRG</x:v>
      </x:c>
      <x:c r="B8" s="57" t="str">
        <x:v>Joint</x:v>
      </x:c>
      <x:c r="C8" s="57" t="str">
        <x:v>Replacement and reconstitution group</x:v>
      </x:c>
      <x:c r="D8" s="78" t="n">
        <x:v>400</x:v>
      </x:c>
      <x:c r="E8" s="90" t="n">
        <x:v>2.5</x:v>
      </x:c>
      <x:c r="F8" s="77" t="n">
        <x:v>0.82</x:v>
      </x:c>
      <x:c r="G8" s="77" t="n">
        <x:v>0.8</x:v>
      </x:c>
      <x:c r="H8" s="77" t="n">
        <x:v>0.78</x:v>
      </x:c>
      <x:c r="I8" s="77" t="n">
        <x:v>0.8</x:v>
      </x:c>
      <x:c r="J8" s="77" t="n">
        <x:v>0.82</x:v>
      </x:c>
      <x:c r="K8" s="77" t="n">
        <x:v>0.65</x:v>
      </x:c>
      <x:c r="L8" s="78" t="n">
        <x:v>2200</x:v>
      </x:c>
      <x:c r="M8" s="78" t="n">
        <x:v>45</x:v>
      </x:c>
      <x:c r="N8" s="91" t="n">
        <x:v>0.8</x:v>
      </x:c>
      <x:c r="O8" s="57" t="str">
        <x:v>Joint force</x:v>
      </x:c>
      <x:c r="P8" s="57" t="str">
        <x:v>Relief people, equipment recovery and return to readiness</x:v>
      </x:c>
    </x:row>
    <x:row r="9">
      <x:c r="A9" s="76" t="str">
        <x:v>J-TDG</x:v>
      </x:c>
      <x:c r="B9" s="76" t="str">
        <x:v>Joint</x:v>
      </x:c>
      <x:c r="C9" s="76" t="str">
        <x:v>Transfer and demobilization group</x:v>
      </x:c>
      <x:c r="D9" s="78" t="n">
        <x:v>150</x:v>
      </x:c>
      <x:c r="E9" s="90" t="n">
        <x:v>2.5</x:v>
      </x:c>
      <x:c r="F9" s="77" t="n">
        <x:v>0.82</x:v>
      </x:c>
      <x:c r="G9" s="77" t="n">
        <x:v>0.8</x:v>
      </x:c>
      <x:c r="H9" s="77" t="n">
        <x:v>0.78</x:v>
      </x:c>
      <x:c r="I9" s="77" t="n">
        <x:v>0.8</x:v>
      </x:c>
      <x:c r="J9" s="77" t="n">
        <x:v>0.82</x:v>
      </x:c>
      <x:c r="K9" s="77" t="n">
        <x:v>0.65</x:v>
      </x:c>
      <x:c r="L9" s="78" t="n">
        <x:v>2200</x:v>
      </x:c>
      <x:c r="M9" s="78" t="n">
        <x:v>45</x:v>
      </x:c>
      <x:c r="N9" s="91" t="n">
        <x:v>0.3</x:v>
      </x:c>
      <x:c r="O9" s="76" t="str">
        <x:v>Joint force</x:v>
      </x:c>
      <x:c r="P9" s="76" t="str">
        <x:v>Host acceptance, records, closeout and retrograde</x:v>
      </x:c>
    </x:row>
    <x:row r="10">
      <x:c r="A10" s="57" t="str">
        <x:v>L-ROG</x:v>
      </x:c>
      <x:c r="B10" s="57" t="str">
        <x:v>Land Engineering</x:v>
      </x:c>
      <x:c r="C10" s="57" t="str">
        <x:v>Access and route-opening group</x:v>
      </x:c>
      <x:c r="D10" s="78" t="n">
        <x:v>350</x:v>
      </x:c>
      <x:c r="E10" s="90" t="n">
        <x:v>2.6</x:v>
      </x:c>
      <x:c r="F10" s="77" t="n">
        <x:v>0.76</x:v>
      </x:c>
      <x:c r="G10" s="77" t="n">
        <x:v>0.74</x:v>
      </x:c>
      <x:c r="H10" s="77" t="n">
        <x:v>0.7</x:v>
      </x:c>
      <x:c r="I10" s="77" t="n">
        <x:v>0.74</x:v>
      </x:c>
      <x:c r="J10" s="77" t="n">
        <x:v>0.75</x:v>
      </x:c>
      <x:c r="K10" s="77" t="n">
        <x:v>0.45</x:v>
      </x:c>
      <x:c r="L10" s="78" t="n">
        <x:v>9000</x:v>
      </x:c>
      <x:c r="M10" s="78" t="n">
        <x:v>90</x:v>
      </x:c>
      <x:c r="N10" s="91" t="n">
        <x:v>1.2</x:v>
      </x:c>
      <x:c r="O10" s="57" t="str">
        <x:v>Non-utility land</x:v>
      </x:c>
      <x:c r="P10" s="57" t="str">
        <x:v>Survey, clearance, surface, crossings and traffic control</x:v>
      </x:c>
    </x:row>
    <x:row r="11">
      <x:c r="A11" s="76" t="str">
        <x:v>L-HCG</x:v>
      </x:c>
      <x:c r="B11" s="76" t="str">
        <x:v>Land Engineering</x:v>
      </x:c>
      <x:c r="C11" s="76" t="str">
        <x:v>Flood and hydraulic-control group</x:v>
      </x:c>
      <x:c r="D11" s="78" t="n">
        <x:v>500</x:v>
      </x:c>
      <x:c r="E11" s="90" t="n">
        <x:v>2.6</x:v>
      </x:c>
      <x:c r="F11" s="77" t="n">
        <x:v>0.76</x:v>
      </x:c>
      <x:c r="G11" s="77" t="n">
        <x:v>0.74</x:v>
      </x:c>
      <x:c r="H11" s="77" t="n">
        <x:v>0.7</x:v>
      </x:c>
      <x:c r="I11" s="77" t="n">
        <x:v>0.74</x:v>
      </x:c>
      <x:c r="J11" s="77" t="n">
        <x:v>0.75</x:v>
      </x:c>
      <x:c r="K11" s="77" t="n">
        <x:v>0.45</x:v>
      </x:c>
      <x:c r="L11" s="78" t="n">
        <x:v>9000</x:v>
      </x:c>
      <x:c r="M11" s="78" t="n">
        <x:v>90</x:v>
      </x:c>
      <x:c r="N11" s="91" t="n">
        <x:v>1.8</x:v>
      </x:c>
      <x:c r="O11" s="76" t="str">
        <x:v>Hazard control</x:v>
      </x:c>
      <x:c r="P11" s="76" t="str">
        <x:v>Barriers, pumping, breach and controlled dewatering</x:v>
      </x:c>
    </x:row>
    <x:row r="12">
      <x:c r="A12" s="57" t="str">
        <x:v>L-DMG</x:v>
      </x:c>
      <x:c r="B12" s="57" t="str">
        <x:v>Land Engineering</x:v>
      </x:c>
      <x:c r="C12" s="57" t="str">
        <x:v>Debris and materials group</x:v>
      </x:c>
      <x:c r="D12" s="78" t="n">
        <x:v>400</x:v>
      </x:c>
      <x:c r="E12" s="90" t="n">
        <x:v>2.6</x:v>
      </x:c>
      <x:c r="F12" s="77" t="n">
        <x:v>0.76</x:v>
      </x:c>
      <x:c r="G12" s="77" t="n">
        <x:v>0.74</x:v>
      </x:c>
      <x:c r="H12" s="77" t="n">
        <x:v>0.7</x:v>
      </x:c>
      <x:c r="I12" s="77" t="n">
        <x:v>0.74</x:v>
      </x:c>
      <x:c r="J12" s="77" t="n">
        <x:v>0.75</x:v>
      </x:c>
      <x:c r="K12" s="77" t="n">
        <x:v>0.45</x:v>
      </x:c>
      <x:c r="L12" s="78" t="n">
        <x:v>9000</x:v>
      </x:c>
      <x:c r="M12" s="78" t="n">
        <x:v>90</x:v>
      </x:c>
      <x:c r="N12" s="91" t="n">
        <x:v>1.4</x:v>
      </x:c>
      <x:c r="O12" s="57" t="str">
        <x:v>Hazard control</x:v>
      </x:c>
      <x:c r="P12" s="57" t="str">
        <x:v>Characterize, clear, process, recycle and dispose</x:v>
      </x:c>
    </x:row>
    <x:row r="13">
      <x:c r="A13" s="76" t="str">
        <x:v>L-TWG</x:v>
      </x:c>
      <x:c r="B13" s="76" t="str">
        <x:v>Land Engineering</x:v>
      </x:c>
      <x:c r="C13" s="76" t="str">
        <x:v>Temporary works and crossing group</x:v>
      </x:c>
      <x:c r="D13" s="78" t="n">
        <x:v>350</x:v>
      </x:c>
      <x:c r="E13" s="90" t="n">
        <x:v>2.6</x:v>
      </x:c>
      <x:c r="F13" s="77" t="n">
        <x:v>0.76</x:v>
      </x:c>
      <x:c r="G13" s="77" t="n">
        <x:v>0.74</x:v>
      </x:c>
      <x:c r="H13" s="77" t="n">
        <x:v>0.7</x:v>
      </x:c>
      <x:c r="I13" s="77" t="n">
        <x:v>0.74</x:v>
      </x:c>
      <x:c r="J13" s="77" t="n">
        <x:v>0.75</x:v>
      </x:c>
      <x:c r="K13" s="77" t="n">
        <x:v>0.45</x:v>
      </x:c>
      <x:c r="L13" s="78" t="n">
        <x:v>9000</x:v>
      </x:c>
      <x:c r="M13" s="78" t="n">
        <x:v>90</x:v>
      </x:c>
      <x:c r="N13" s="91" t="n">
        <x:v>1.2</x:v>
      </x:c>
      <x:c r="O13" s="76" t="str">
        <x:v>Non-utility land</x:v>
      </x:c>
      <x:c r="P13" s="76" t="str">
        <x:v>Shoring, bridging, public works and non-utility corridors</x:v>
      </x:c>
    </x:row>
    <x:row r="14">
      <x:c r="A14" s="57" t="str">
        <x:v>L-GFG</x:v>
      </x:c>
      <x:c r="B14" s="57" t="str">
        <x:v>Land Engineering</x:v>
      </x:c>
      <x:c r="C14" s="57" t="str">
        <x:v>Ground fire and landscape group</x:v>
      </x:c>
      <x:c r="D14" s="78" t="n">
        <x:v>450</x:v>
      </x:c>
      <x:c r="E14" s="90" t="n">
        <x:v>2.6</x:v>
      </x:c>
      <x:c r="F14" s="77" t="n">
        <x:v>0.76</x:v>
      </x:c>
      <x:c r="G14" s="77" t="n">
        <x:v>0.74</x:v>
      </x:c>
      <x:c r="H14" s="77" t="n">
        <x:v>0.7</x:v>
      </x:c>
      <x:c r="I14" s="77" t="n">
        <x:v>0.74</x:v>
      </x:c>
      <x:c r="J14" s="77" t="n">
        <x:v>0.75</x:v>
      </x:c>
      <x:c r="K14" s="77" t="n">
        <x:v>0.45</x:v>
      </x:c>
      <x:c r="L14" s="78" t="n">
        <x:v>9000</x:v>
      </x:c>
      <x:c r="M14" s="78" t="n">
        <x:v>90</x:v>
      </x:c>
      <x:c r="N14" s="91" t="n">
        <x:v>1</x:v>
      </x:c>
      <x:c r="O14" s="57" t="str">
        <x:v>Hazard control</x:v>
      </x:c>
      <x:c r="P14" s="57" t="str">
        <x:v>Line, water, structure defense, hold and repair</x:v>
      </x:c>
    </x:row>
    <x:row r="15">
      <x:c r="A15" s="76" t="str">
        <x:v>A-SMW</x:v>
      </x:c>
      <x:c r="B15" s="76" t="str">
        <x:v>Air Response</x:v>
      </x:c>
      <x:c r="C15" s="76" t="str">
        <x:v>Strategic mobility wing</x:v>
      </x:c>
      <x:c r="D15" s="78" t="n">
        <x:v>900</x:v>
      </x:c>
      <x:c r="E15" s="90" t="n">
        <x:v>3</x:v>
      </x:c>
      <x:c r="F15" s="77" t="n">
        <x:v>0.7</x:v>
      </x:c>
      <x:c r="G15" s="77" t="n">
        <x:v>0.72</x:v>
      </x:c>
      <x:c r="H15" s="77" t="n">
        <x:v>0.65</x:v>
      </x:c>
      <x:c r="I15" s="77" t="n">
        <x:v>0.75</x:v>
      </x:c>
      <x:c r="J15" s="77" t="n">
        <x:v>0.72</x:v>
      </x:c>
      <x:c r="K15" s="77" t="n">
        <x:v>0.75</x:v>
      </x:c>
      <x:c r="L15" s="78" t="n">
        <x:v>5000</x:v>
      </x:c>
      <x:c r="M15" s="78" t="n">
        <x:v>100</x:v>
      </x:c>
      <x:c r="N15" s="91" t="n">
        <x:v>8</x:v>
      </x:c>
      <x:c r="O15" s="76" t="str">
        <x:v>Mobility</x:v>
      </x:c>
      <x:c r="P15" s="76" t="str">
        <x:v>Continental and intercontinental formation movement</x:v>
      </x:c>
    </x:row>
    <x:row r="16">
      <x:c r="A16" s="57" t="str">
        <x:v>A-AAG</x:v>
      </x:c>
      <x:c r="B16" s="57" t="str">
        <x:v>Air Response</x:v>
      </x:c>
      <x:c r="C16" s="57" t="str">
        <x:v>Austere air-access group</x:v>
      </x:c>
      <x:c r="D16" s="78" t="n">
        <x:v>350</x:v>
      </x:c>
      <x:c r="E16" s="90" t="n">
        <x:v>3</x:v>
      </x:c>
      <x:c r="F16" s="77" t="n">
        <x:v>0.7</x:v>
      </x:c>
      <x:c r="G16" s="77" t="n">
        <x:v>0.72</x:v>
      </x:c>
      <x:c r="H16" s="77" t="n">
        <x:v>0.65</x:v>
      </x:c>
      <x:c r="I16" s="77" t="n">
        <x:v>0.75</x:v>
      </x:c>
      <x:c r="J16" s="77" t="n">
        <x:v>0.72</x:v>
      </x:c>
      <x:c r="K16" s="77" t="n">
        <x:v>0.75</x:v>
      </x:c>
      <x:c r="L16" s="78" t="n">
        <x:v>5000</x:v>
      </x:c>
      <x:c r="M16" s="78" t="n">
        <x:v>100</x:v>
      </x:c>
      <x:c r="N16" s="91" t="n">
        <x:v>2.5</x:v>
      </x:c>
      <x:c r="O16" s="57" t="str">
        <x:v>Mobility</x:v>
      </x:c>
      <x:c r="P16" s="57" t="str">
        <x:v>Airfield opening, handling, fuel, navigation and rescue</x:v>
      </x:c>
    </x:row>
    <x:row r="17">
      <x:c r="A17" s="76" t="str">
        <x:v>A-AHW</x:v>
      </x:c>
      <x:c r="B17" s="76" t="str">
        <x:v>Air Response</x:v>
      </x:c>
      <x:c r="C17" s="76" t="str">
        <x:v>Aerial hazard-control wing</x:v>
      </x:c>
      <x:c r="D17" s="78" t="n">
        <x:v>600</x:v>
      </x:c>
      <x:c r="E17" s="90" t="n">
        <x:v>3</x:v>
      </x:c>
      <x:c r="F17" s="77" t="n">
        <x:v>0.7</x:v>
      </x:c>
      <x:c r="G17" s="77" t="n">
        <x:v>0.72</x:v>
      </x:c>
      <x:c r="H17" s="77" t="n">
        <x:v>0.65</x:v>
      </x:c>
      <x:c r="I17" s="77" t="n">
        <x:v>0.75</x:v>
      </x:c>
      <x:c r="J17" s="77" t="n">
        <x:v>0.72</x:v>
      </x:c>
      <x:c r="K17" s="77" t="n">
        <x:v>0.75</x:v>
      </x:c>
      <x:c r="L17" s="78" t="n">
        <x:v>5000</x:v>
      </x:c>
      <x:c r="M17" s="78" t="n">
        <x:v>100</x:v>
      </x:c>
      <x:c r="N17" s="91" t="n">
        <x:v>6</x:v>
      </x:c>
      <x:c r="O17" s="76" t="str">
        <x:v>Hazard control</x:v>
      </x:c>
      <x:c r="P17" s="76" t="str">
        <x:v>Persistent sensing, attack, loading, maintenance and hold</x:v>
      </x:c>
    </x:row>
    <x:row r="18">
      <x:c r="A18" s="57" t="str">
        <x:v>A-TDG</x:v>
      </x:c>
      <x:c r="B18" s="57" t="str">
        <x:v>Air Response</x:v>
      </x:c>
      <x:c r="C18" s="57" t="str">
        <x:v>Tactical distribution group</x:v>
      </x:c>
      <x:c r="D18" s="78" t="n">
        <x:v>450</x:v>
      </x:c>
      <x:c r="E18" s="90" t="n">
        <x:v>3</x:v>
      </x:c>
      <x:c r="F18" s="77" t="n">
        <x:v>0.7</x:v>
      </x:c>
      <x:c r="G18" s="77" t="n">
        <x:v>0.72</x:v>
      </x:c>
      <x:c r="H18" s="77" t="n">
        <x:v>0.65</x:v>
      </x:c>
      <x:c r="I18" s="77" t="n">
        <x:v>0.75</x:v>
      </x:c>
      <x:c r="J18" s="77" t="n">
        <x:v>0.72</x:v>
      </x:c>
      <x:c r="K18" s="77" t="n">
        <x:v>0.75</x:v>
      </x:c>
      <x:c r="L18" s="78" t="n">
        <x:v>5000</x:v>
      </x:c>
      <x:c r="M18" s="78" t="n">
        <x:v>100</x:v>
      </x:c>
      <x:c r="N18" s="91" t="n">
        <x:v>3</x:v>
      </x:c>
      <x:c r="O18" s="57" t="str">
        <x:v>Mobility</x:v>
      </x:c>
      <x:c r="P18" s="57" t="str">
        <x:v>Short-field and vertical hub-to-need movement</x:v>
      </x:c>
    </x:row>
    <x:row r="19">
      <x:c r="A19" s="76" t="str">
        <x:v>A-SRG</x:v>
      </x:c>
      <x:c r="B19" s="76" t="str">
        <x:v>Air Response</x:v>
      </x:c>
      <x:c r="C19" s="76" t="str">
        <x:v>Air sensing and relay group</x:v>
      </x:c>
      <x:c r="D19" s="78" t="n">
        <x:v>180</x:v>
      </x:c>
      <x:c r="E19" s="90" t="n">
        <x:v>3</x:v>
      </x:c>
      <x:c r="F19" s="77" t="n">
        <x:v>0.7</x:v>
      </x:c>
      <x:c r="G19" s="77" t="n">
        <x:v>0.72</x:v>
      </x:c>
      <x:c r="H19" s="77" t="n">
        <x:v>0.65</x:v>
      </x:c>
      <x:c r="I19" s="77" t="n">
        <x:v>0.75</x:v>
      </x:c>
      <x:c r="J19" s="77" t="n">
        <x:v>0.72</x:v>
      </x:c>
      <x:c r="K19" s="77" t="n">
        <x:v>0.75</x:v>
      </x:c>
      <x:c r="L19" s="78" t="n">
        <x:v>5000</x:v>
      </x:c>
      <x:c r="M19" s="78" t="n">
        <x:v>100</x:v>
      </x:c>
      <x:c r="N19" s="91" t="n">
        <x:v>1.2</x:v>
      </x:c>
      <x:c r="O19" s="76" t="str">
        <x:v>Information</x:v>
      </x:c>
      <x:c r="P19" s="76" t="str">
        <x:v>Persistent sensing, relay, processing and dissemination</x:v>
      </x:c>
    </x:row>
    <x:row r="20">
      <x:c r="A20" s="57" t="str">
        <x:v>A-AMG</x:v>
      </x:c>
      <x:c r="B20" s="57" t="str">
        <x:v>Air Response</x:v>
      </x:c>
      <x:c r="C20" s="57" t="str">
        <x:v>Aeromedical movement group</x:v>
      </x:c>
      <x:c r="D20" s="78" t="n">
        <x:v>300</x:v>
      </x:c>
      <x:c r="E20" s="90" t="n">
        <x:v>3</x:v>
      </x:c>
      <x:c r="F20" s="77" t="n">
        <x:v>0.7</x:v>
      </x:c>
      <x:c r="G20" s="77" t="n">
        <x:v>0.72</x:v>
      </x:c>
      <x:c r="H20" s="77" t="n">
        <x:v>0.65</x:v>
      </x:c>
      <x:c r="I20" s="77" t="n">
        <x:v>0.75</x:v>
      </x:c>
      <x:c r="J20" s="77" t="n">
        <x:v>0.72</x:v>
      </x:c>
      <x:c r="K20" s="77" t="n">
        <x:v>0.75</x:v>
      </x:c>
      <x:c r="L20" s="78" t="n">
        <x:v>5000</x:v>
      </x:c>
      <x:c r="M20" s="78" t="n">
        <x:v>100</x:v>
      </x:c>
      <x:c r="N20" s="91" t="n">
        <x:v>2.5</x:v>
      </x:c>
      <x:c r="O20" s="57" t="str">
        <x:v>Health</x:v>
      </x:c>
      <x:c r="P20" s="57" t="str">
        <x:v>Regulation, staging, en-route care and reception</x:v>
      </x:c>
    </x:row>
    <x:row r="21">
      <x:c r="A21" s="76" t="str">
        <x:v>M-POG</x:v>
      </x:c>
      <x:c r="B21" s="76" t="str">
        <x:v>Maritime Response</x:v>
      </x:c>
      <x:c r="C21" s="76" t="str">
        <x:v>Port-opening group</x:v>
      </x:c>
      <x:c r="D21" s="78" t="n">
        <x:v>450</x:v>
      </x:c>
      <x:c r="E21" s="90" t="n">
        <x:v>3</x:v>
      </x:c>
      <x:c r="F21" s="77" t="n">
        <x:v>0.7</x:v>
      </x:c>
      <x:c r="G21" s="77" t="n">
        <x:v>0.72</x:v>
      </x:c>
      <x:c r="H21" s="77" t="n">
        <x:v>0.65</x:v>
      </x:c>
      <x:c r="I21" s="77" t="n">
        <x:v>0.68</x:v>
      </x:c>
      <x:c r="J21" s="77" t="n">
        <x:v>0.7</x:v>
      </x:c>
      <x:c r="K21" s="77" t="n">
        <x:v>0.35</x:v>
      </x:c>
      <x:c r="L21" s="78" t="n">
        <x:v>8000</x:v>
      </x:c>
      <x:c r="M21" s="78" t="n">
        <x:v>120</x:v>
      </x:c>
      <x:c r="N21" s="91" t="n">
        <x:v>3</x:v>
      </x:c>
      <x:c r="O21" s="76" t="str">
        <x:v>Mobility</x:v>
      </x:c>
      <x:c r="P21" s="76" t="str">
        <x:v>Hydrography, clearance, salvage and cargo handling</x:v>
      </x:c>
    </x:row>
    <x:row r="22">
      <x:c r="A22" s="57" t="str">
        <x:v>M-LAG</x:v>
      </x:c>
      <x:c r="B22" s="57" t="str">
        <x:v>Maritime Response</x:v>
      </x:c>
      <x:c r="C22" s="57" t="str">
        <x:v>Littoral-access group</x:v>
      </x:c>
      <x:c r="D22" s="78" t="n">
        <x:v>350</x:v>
      </x:c>
      <x:c r="E22" s="90" t="n">
        <x:v>3</x:v>
      </x:c>
      <x:c r="F22" s="77" t="n">
        <x:v>0.7</x:v>
      </x:c>
      <x:c r="G22" s="77" t="n">
        <x:v>0.72</x:v>
      </x:c>
      <x:c r="H22" s="77" t="n">
        <x:v>0.65</x:v>
      </x:c>
      <x:c r="I22" s="77" t="n">
        <x:v>0.68</x:v>
      </x:c>
      <x:c r="J22" s="77" t="n">
        <x:v>0.7</x:v>
      </x:c>
      <x:c r="K22" s="77" t="n">
        <x:v>0.35</x:v>
      </x:c>
      <x:c r="L22" s="78" t="n">
        <x:v>8000</x:v>
      </x:c>
      <x:c r="M22" s="78" t="n">
        <x:v>120</x:v>
      </x:c>
      <x:c r="N22" s="91" t="n">
        <x:v>2</x:v>
      </x:c>
      <x:c r="O22" s="57" t="str">
        <x:v>Mobility</x:v>
      </x:c>
      <x:c r="P22" s="57" t="str">
        <x:v>Shallow connectors, damaged-quay and beach interface</x:v>
      </x:c>
    </x:row>
    <x:row r="23">
      <x:c r="A23" s="76" t="str">
        <x:v>M-IWG</x:v>
      </x:c>
      <x:c r="B23" s="76" t="str">
        <x:v>Maritime Response</x:v>
      </x:c>
      <x:c r="C23" s="76" t="str">
        <x:v>Inland-waterway group</x:v>
      </x:c>
      <x:c r="D23" s="78" t="n">
        <x:v>250</x:v>
      </x:c>
      <x:c r="E23" s="90" t="n">
        <x:v>3</x:v>
      </x:c>
      <x:c r="F23" s="77" t="n">
        <x:v>0.7</x:v>
      </x:c>
      <x:c r="G23" s="77" t="n">
        <x:v>0.72</x:v>
      </x:c>
      <x:c r="H23" s="77" t="n">
        <x:v>0.65</x:v>
      </x:c>
      <x:c r="I23" s="77" t="n">
        <x:v>0.68</x:v>
      </x:c>
      <x:c r="J23" s="77" t="n">
        <x:v>0.7</x:v>
      </x:c>
      <x:c r="K23" s="77" t="n">
        <x:v>0.35</x:v>
      </x:c>
      <x:c r="L23" s="78" t="n">
        <x:v>8000</x:v>
      </x:c>
      <x:c r="M23" s="78" t="n">
        <x:v>120</x:v>
      </x:c>
      <x:c r="N23" s="91" t="n">
        <x:v>1.5</x:v>
      </x:c>
      <x:c r="O23" s="76" t="str">
        <x:v>Mobility</x:v>
      </x:c>
      <x:c r="P23" s="76" t="str">
        <x:v>River/lake survey, ferry, distribution and mobile base</x:v>
      </x:c>
    </x:row>
    <x:row r="24">
      <x:c r="A24" s="57" t="str">
        <x:v>M-OSG</x:v>
      </x:c>
      <x:c r="B24" s="57" t="str">
        <x:v>Maritime Response</x:v>
      </x:c>
      <x:c r="C24" s="57" t="str">
        <x:v>Offshore-support group</x:v>
      </x:c>
      <x:c r="D24" s="78" t="n">
        <x:v>700</x:v>
      </x:c>
      <x:c r="E24" s="90" t="n">
        <x:v>3</x:v>
      </x:c>
      <x:c r="F24" s="77" t="n">
        <x:v>0.7</x:v>
      </x:c>
      <x:c r="G24" s="77" t="n">
        <x:v>0.72</x:v>
      </x:c>
      <x:c r="H24" s="77" t="n">
        <x:v>0.65</x:v>
      </x:c>
      <x:c r="I24" s="77" t="n">
        <x:v>0.68</x:v>
      </x:c>
      <x:c r="J24" s="77" t="n">
        <x:v>0.7</x:v>
      </x:c>
      <x:c r="K24" s="77" t="n">
        <x:v>0.35</x:v>
      </x:c>
      <x:c r="L24" s="78" t="n">
        <x:v>8000</x:v>
      </x:c>
      <x:c r="M24" s="78" t="n">
        <x:v>120</x:v>
      </x:c>
      <x:c r="N24" s="91" t="n">
        <x:v>7</x:v>
      </x:c>
      <x:c r="O24" s="57" t="str">
        <x:v>Maritime support</x:v>
      </x:c>
      <x:c r="P24" s="57" t="str">
        <x:v>Workshops, stores, crew recovery and afloat support</x:v>
      </x:c>
    </x:row>
    <x:row r="25">
      <x:c r="A25" s="76" t="str">
        <x:v>M-SSG</x:v>
      </x:c>
      <x:c r="B25" s="76" t="str">
        <x:v>Maritime Response</x:v>
      </x:c>
      <x:c r="C25" s="76" t="str">
        <x:v>Ocean sustainment group</x:v>
      </x:c>
      <x:c r="D25" s="78" t="n">
        <x:v>650</x:v>
      </x:c>
      <x:c r="E25" s="90" t="n">
        <x:v>3</x:v>
      </x:c>
      <x:c r="F25" s="77" t="n">
        <x:v>0.7</x:v>
      </x:c>
      <x:c r="G25" s="77" t="n">
        <x:v>0.72</x:v>
      </x:c>
      <x:c r="H25" s="77" t="n">
        <x:v>0.65</x:v>
      </x:c>
      <x:c r="I25" s="77" t="n">
        <x:v>0.68</x:v>
      </x:c>
      <x:c r="J25" s="77" t="n">
        <x:v>0.7</x:v>
      </x:c>
      <x:c r="K25" s="77" t="n">
        <x:v>0.35</x:v>
      </x:c>
      <x:c r="L25" s="78" t="n">
        <x:v>8000</x:v>
      </x:c>
      <x:c r="M25" s="78" t="n">
        <x:v>120</x:v>
      </x:c>
      <x:c r="N25" s="91" t="n">
        <x:v>9</x:v>
      </x:c>
      <x:c r="O25" s="76" t="str">
        <x:v>Mobility</x:v>
      </x:c>
      <x:c r="P25" s="76" t="str">
        <x:v>Strategic sealift, replenishment, repair and retrograde</x:v>
      </x:c>
    </x:row>
    <x:row r="26">
      <x:c r="A26" s="57" t="str">
        <x:v>I-UPG</x:v>
      </x:c>
      <x:c r="B26" s="57" t="str">
        <x:v>Infrastructure Restoration</x:v>
      </x:c>
      <x:c r="C26" s="57" t="str">
        <x:v>Utility projection group</x:v>
      </x:c>
      <x:c r="D26" s="78" t="n">
        <x:v>600</x:v>
      </x:c>
      <x:c r="E26" s="90" t="n">
        <x:v>3</x:v>
      </x:c>
      <x:c r="F26" s="77" t="n">
        <x:v>0.78</x:v>
      </x:c>
      <x:c r="G26" s="77" t="n">
        <x:v>0.74</x:v>
      </x:c>
      <x:c r="H26" s="77" t="n">
        <x:v>0.7</x:v>
      </x:c>
      <x:c r="I26" s="77" t="n">
        <x:v>0.72</x:v>
      </x:c>
      <x:c r="J26" s="77" t="n">
        <x:v>0.75</x:v>
      </x:c>
      <x:c r="K26" s="77" t="n">
        <x:v>0.4</x:v>
      </x:c>
      <x:c r="L26" s="78" t="n">
        <x:v>12000</x:v>
      </x:c>
      <x:c r="M26" s="78" t="n">
        <x:v>110</x:v>
      </x:c>
      <x:c r="N26" s="91" t="n">
        <x:v>0</x:v>
      </x:c>
      <x:c r="O26" s="57" t="str">
        <x:v>NUPS integrated</x:v>
      </x:c>
      <x:c r="P26" s="57" t="str">
        <x:v>Firm energy, water process, interfaces and utility corridors</x:v>
      </x:c>
    </x:row>
    <x:row r="27">
      <x:c r="A27" s="76" t="str">
        <x:v>I-CUG</x:v>
      </x:c>
      <x:c r="B27" s="76" t="str">
        <x:v>Infrastructure Restoration</x:v>
      </x:c>
      <x:c r="C27" s="76" t="str">
        <x:v>Communications utility group</x:v>
      </x:c>
      <x:c r="D27" s="78" t="n">
        <x:v>250</x:v>
      </x:c>
      <x:c r="E27" s="90" t="n">
        <x:v>3</x:v>
      </x:c>
      <x:c r="F27" s="77" t="n">
        <x:v>0.78</x:v>
      </x:c>
      <x:c r="G27" s="77" t="n">
        <x:v>0.74</x:v>
      </x:c>
      <x:c r="H27" s="77" t="n">
        <x:v>0.7</x:v>
      </x:c>
      <x:c r="I27" s="77" t="n">
        <x:v>0.72</x:v>
      </x:c>
      <x:c r="J27" s="77" t="n">
        <x:v>0.75</x:v>
      </x:c>
      <x:c r="K27" s="77" t="n">
        <x:v>0.4</x:v>
      </x:c>
      <x:c r="L27" s="78" t="n">
        <x:v>12000</x:v>
      </x:c>
      <x:c r="M27" s="78" t="n">
        <x:v>110</x:v>
      </x:c>
      <x:c r="N27" s="91" t="n">
        <x:v>1</x:v>
      </x:c>
      <x:c r="O27" s="76" t="str">
        <x:v>Information</x:v>
      </x:c>
      <x:c r="P27" s="76" t="str">
        <x:v>Backhaul, access, dispatch, edge services and transfer</x:v>
      </x:c>
    </x:row>
    <x:row r="28">
      <x:c r="A28" s="57" t="str">
        <x:v>I-TSG</x:v>
      </x:c>
      <x:c r="B28" s="57" t="str">
        <x:v>Infrastructure Restoration</x:v>
      </x:c>
      <x:c r="C28" s="57" t="str">
        <x:v>Thermal safety group</x:v>
      </x:c>
      <x:c r="D28" s="78" t="n">
        <x:v>250</x:v>
      </x:c>
      <x:c r="E28" s="90" t="n">
        <x:v>3</x:v>
      </x:c>
      <x:c r="F28" s="77" t="n">
        <x:v>0.78</x:v>
      </x:c>
      <x:c r="G28" s="77" t="n">
        <x:v>0.74</x:v>
      </x:c>
      <x:c r="H28" s="77" t="n">
        <x:v>0.7</x:v>
      </x:c>
      <x:c r="I28" s="77" t="n">
        <x:v>0.72</x:v>
      </x:c>
      <x:c r="J28" s="77" t="n">
        <x:v>0.75</x:v>
      </x:c>
      <x:c r="K28" s="77" t="n">
        <x:v>0.4</x:v>
      </x:c>
      <x:c r="L28" s="78" t="n">
        <x:v>12000</x:v>
      </x:c>
      <x:c r="M28" s="78" t="n">
        <x:v>110</x:v>
      </x:c>
      <x:c r="N28" s="91" t="n">
        <x:v>0.8</x:v>
      </x:c>
      <x:c r="O28" s="57" t="str">
        <x:v>Infrastructure</x:v>
      </x:c>
      <x:c r="P28" s="57" t="str">
        <x:v>Facility/district heat, cooling and ventilation</x:v>
      </x:c>
    </x:row>
    <x:row r="29">
      <x:c r="A29" s="76" t="str">
        <x:v>I-URG</x:v>
      </x:c>
      <x:c r="B29" s="76" t="str">
        <x:v>Infrastructure Restoration</x:v>
      </x:c>
      <x:c r="C29" s="76" t="str">
        <x:v>Utility reconstruction group</x:v>
      </x:c>
      <x:c r="D29" s="78" t="n">
        <x:v>450</x:v>
      </x:c>
      <x:c r="E29" s="90" t="n">
        <x:v>3</x:v>
      </x:c>
      <x:c r="F29" s="77" t="n">
        <x:v>0.78</x:v>
      </x:c>
      <x:c r="G29" s="77" t="n">
        <x:v>0.74</x:v>
      </x:c>
      <x:c r="H29" s="77" t="n">
        <x:v>0.7</x:v>
      </x:c>
      <x:c r="I29" s="77" t="n">
        <x:v>0.72</x:v>
      </x:c>
      <x:c r="J29" s="77" t="n">
        <x:v>0.75</x:v>
      </x:c>
      <x:c r="K29" s="77" t="n">
        <x:v>0.4</x:v>
      </x:c>
      <x:c r="L29" s="78" t="n">
        <x:v>12000</x:v>
      </x:c>
      <x:c r="M29" s="78" t="n">
        <x:v>110</x:v>
      </x:c>
      <x:c r="N29" s="91" t="n">
        <x:v>2</x:v>
      </x:c>
      <x:c r="O29" s="76" t="str">
        <x:v>Infrastructure</x:v>
      </x:c>
      <x:c r="P29" s="76" t="str">
        <x:v>Multidisciplinary fixed-network repair and transfer</x:v>
      </x:c>
    </x:row>
    <x:row r="30">
      <x:c r="A30" s="57" t="str">
        <x:v>H-CHC</x:v>
      </x:c>
      <x:c r="B30" s="57" t="str">
        <x:v>Health Protection</x:v>
      </x:c>
      <x:c r="C30" s="57" t="str">
        <x:v>Community health continuity group</x:v>
      </x:c>
      <x:c r="D30" s="78" t="n">
        <x:v>500</x:v>
      </x:c>
      <x:c r="E30" s="90" t="n">
        <x:v>3.4</x:v>
      </x:c>
      <x:c r="F30" s="77" t="n">
        <x:v>0.75</x:v>
      </x:c>
      <x:c r="G30" s="77" t="n">
        <x:v>0.7</x:v>
      </x:c>
      <x:c r="H30" s="77" t="n">
        <x:v>0.68</x:v>
      </x:c>
      <x:c r="I30" s="77" t="n">
        <x:v>0.65</x:v>
      </x:c>
      <x:c r="J30" s="77" t="n">
        <x:v>0.72</x:v>
      </x:c>
      <x:c r="K30" s="77" t="n">
        <x:v>0.7</x:v>
      </x:c>
      <x:c r="L30" s="78" t="n">
        <x:v>5000</x:v>
      </x:c>
      <x:c r="M30" s="78" t="n">
        <x:v>55</x:v>
      </x:c>
      <x:c r="N30" s="91" t="n">
        <x:v>1.2</x:v>
      </x:c>
      <x:c r="O30" s="57" t="str">
        <x:v>Health</x:v>
      </x:c>
      <x:c r="P30" s="57" t="str">
        <x:v>Primary, chronic, pharmacy and behavioral continuity</x:v>
      </x:c>
    </x:row>
    <x:row r="31">
      <x:c r="A31" s="76" t="str">
        <x:v>H-MAC</x:v>
      </x:c>
      <x:c r="B31" s="76" t="str">
        <x:v>Health Protection</x:v>
      </x:c>
      <x:c r="C31" s="76" t="str">
        <x:v>Mobile acute-care group</x:v>
      </x:c>
      <x:c r="D31" s="78" t="n">
        <x:v>600</x:v>
      </x:c>
      <x:c r="E31" s="90" t="n">
        <x:v>3.4</x:v>
      </x:c>
      <x:c r="F31" s="77" t="n">
        <x:v>0.75</x:v>
      </x:c>
      <x:c r="G31" s="77" t="n">
        <x:v>0.7</x:v>
      </x:c>
      <x:c r="H31" s="77" t="n">
        <x:v>0.68</x:v>
      </x:c>
      <x:c r="I31" s="77" t="n">
        <x:v>0.65</x:v>
      </x:c>
      <x:c r="J31" s="77" t="n">
        <x:v>0.72</x:v>
      </x:c>
      <x:c r="K31" s="77" t="n">
        <x:v>0.7</x:v>
      </x:c>
      <x:c r="L31" s="78" t="n">
        <x:v>5000</x:v>
      </x:c>
      <x:c r="M31" s="78" t="n">
        <x:v>55</x:v>
      </x:c>
      <x:c r="N31" s="91" t="n">
        <x:v>2.5</x:v>
      </x:c>
      <x:c r="O31" s="76" t="str">
        <x:v>Health</x:v>
      </x:c>
      <x:c r="P31" s="76" t="str">
        <x:v>Surgery, critical care, diagnostics, oxygen and waste</x:v>
      </x:c>
    </x:row>
    <x:row r="32">
      <x:c r="A32" s="57" t="str">
        <x:v>H-PHC</x:v>
      </x:c>
      <x:c r="B32" s="57" t="str">
        <x:v>Health Protection</x:v>
      </x:c>
      <x:c r="C32" s="57" t="str">
        <x:v>Public-health control group</x:v>
      </x:c>
      <x:c r="D32" s="78" t="n">
        <x:v>250</x:v>
      </x:c>
      <x:c r="E32" s="90" t="n">
        <x:v>3.4</x:v>
      </x:c>
      <x:c r="F32" s="77" t="n">
        <x:v>0.75</x:v>
      </x:c>
      <x:c r="G32" s="77" t="n">
        <x:v>0.7</x:v>
      </x:c>
      <x:c r="H32" s="77" t="n">
        <x:v>0.68</x:v>
      </x:c>
      <x:c r="I32" s="77" t="n">
        <x:v>0.65</x:v>
      </x:c>
      <x:c r="J32" s="77" t="n">
        <x:v>0.72</x:v>
      </x:c>
      <x:c r="K32" s="77" t="n">
        <x:v>0.7</x:v>
      </x:c>
      <x:c r="L32" s="78" t="n">
        <x:v>5000</x:v>
      </x:c>
      <x:c r="M32" s="78" t="n">
        <x:v>55</x:v>
      </x:c>
      <x:c r="N32" s="91" t="n">
        <x:v>1</x:v>
      </x:c>
      <x:c r="O32" s="57" t="str">
        <x:v>Health</x:v>
      </x:c>
      <x:c r="P32" s="57" t="str">
        <x:v>Surveillance, laboratory, vaccination and environment</x:v>
      </x:c>
    </x:row>
    <x:row r="33">
      <x:c r="A33" s="76" t="str">
        <x:v>H-HWR</x:v>
      </x:c>
      <x:c r="B33" s="76" t="str">
        <x:v>Health Protection</x:v>
      </x:c>
      <x:c r="C33" s="76" t="str">
        <x:v>Health workforce replacement group</x:v>
      </x:c>
      <x:c r="D33" s="78" t="n">
        <x:v>550</x:v>
      </x:c>
      <x:c r="E33" s="90" t="n">
        <x:v>3.4</x:v>
      </x:c>
      <x:c r="F33" s="77" t="n">
        <x:v>0.75</x:v>
      </x:c>
      <x:c r="G33" s="77" t="n">
        <x:v>0.7</x:v>
      </x:c>
      <x:c r="H33" s="77" t="n">
        <x:v>0.68</x:v>
      </x:c>
      <x:c r="I33" s="77" t="n">
        <x:v>0.65</x:v>
      </x:c>
      <x:c r="J33" s="77" t="n">
        <x:v>0.72</x:v>
      </x:c>
      <x:c r="K33" s="77" t="n">
        <x:v>0.7</x:v>
      </x:c>
      <x:c r="L33" s="78" t="n">
        <x:v>5000</x:v>
      </x:c>
      <x:c r="M33" s="78" t="n">
        <x:v>55</x:v>
      </x:c>
      <x:c r="N33" s="91" t="n">
        <x:v>0.8</x:v>
      </x:c>
      <x:c r="O33" s="76" t="str">
        <x:v>Health</x:v>
      </x:c>
      <x:c r="P33" s="76" t="str">
        <x:v>Credentialed shifts for damaged fixed systems</x:v>
      </x:c>
    </x:row>
    <x:row r="34">
      <x:c r="A34" s="57" t="str">
        <x:v>C-PSG</x:v>
      </x:c>
      <x:c r="B34" s="57" t="str">
        <x:v>Community Stabilization</x:v>
      </x:c>
      <x:c r="C34" s="57" t="str">
        <x:v>Population support group</x:v>
      </x:c>
      <x:c r="D34" s="78" t="n">
        <x:v>450</x:v>
      </x:c>
      <x:c r="E34" s="90" t="n">
        <x:v>2.5</x:v>
      </x:c>
      <x:c r="F34" s="77" t="n">
        <x:v>0.82</x:v>
      </x:c>
      <x:c r="G34" s="77" t="n">
        <x:v>0.78</x:v>
      </x:c>
      <x:c r="H34" s="77" t="n">
        <x:v>0.75</x:v>
      </x:c>
      <x:c r="I34" s="77" t="n">
        <x:v>0.8</x:v>
      </x:c>
      <x:c r="J34" s="77" t="n">
        <x:v>0.82</x:v>
      </x:c>
      <x:c r="K34" s="77" t="n">
        <x:v>0.65</x:v>
      </x:c>
      <x:c r="L34" s="78" t="n">
        <x:v>4500</x:v>
      </x:c>
      <x:c r="M34" s="78" t="n">
        <x:v>75</x:v>
      </x:c>
      <x:c r="N34" s="91" t="n">
        <x:v>0.6</x:v>
      </x:c>
      <x:c r="O34" s="57" t="str">
        <x:v>Community</x:v>
      </x:c>
      <x:c r="P34" s="57" t="str">
        <x:v>Shelter, sanitation, feeding and safeguarding</x:v>
      </x:c>
    </x:row>
    <x:row r="35">
      <x:c r="A35" s="76" t="str">
        <x:v>C-EGG</x:v>
      </x:c>
      <x:c r="B35" s="76" t="str">
        <x:v>Community Stabilization</x:v>
      </x:c>
      <x:c r="C35" s="76" t="str">
        <x:v>Essential-goods group</x:v>
      </x:c>
      <x:c r="D35" s="78" t="n">
        <x:v>350</x:v>
      </x:c>
      <x:c r="E35" s="90" t="n">
        <x:v>2.5</x:v>
      </x:c>
      <x:c r="F35" s="77" t="n">
        <x:v>0.82</x:v>
      </x:c>
      <x:c r="G35" s="77" t="n">
        <x:v>0.78</x:v>
      </x:c>
      <x:c r="H35" s="77" t="n">
        <x:v>0.75</x:v>
      </x:c>
      <x:c r="I35" s="77" t="n">
        <x:v>0.8</x:v>
      </x:c>
      <x:c r="J35" s="77" t="n">
        <x:v>0.82</x:v>
      </x:c>
      <x:c r="K35" s="77" t="n">
        <x:v>0.65</x:v>
      </x:c>
      <x:c r="L35" s="78" t="n">
        <x:v>4500</x:v>
      </x:c>
      <x:c r="M35" s="78" t="n">
        <x:v>75</x:v>
      </x:c>
      <x:c r="N35" s="91" t="n">
        <x:v>0.5</x:v>
      </x:c>
      <x:c r="O35" s="76" t="str">
        <x:v>Community</x:v>
      </x:c>
      <x:c r="P35" s="76" t="str">
        <x:v>Cold chain, break-bulk, household distribution and returns</x:v>
      </x:c>
    </x:row>
    <x:row r="36">
      <x:c r="A36" s="57" t="str">
        <x:v>C-CAG</x:v>
      </x:c>
      <x:c r="B36" s="57" t="str">
        <x:v>Community Stabilization</x:v>
      </x:c>
      <x:c r="C36" s="57" t="str">
        <x:v>Civil access group</x:v>
      </x:c>
      <x:c r="D36" s="78" t="n">
        <x:v>180</x:v>
      </x:c>
      <x:c r="E36" s="90" t="n">
        <x:v>2.5</x:v>
      </x:c>
      <x:c r="F36" s="77" t="n">
        <x:v>0.82</x:v>
      </x:c>
      <x:c r="G36" s="77" t="n">
        <x:v>0.78</x:v>
      </x:c>
      <x:c r="H36" s="77" t="n">
        <x:v>0.75</x:v>
      </x:c>
      <x:c r="I36" s="77" t="n">
        <x:v>0.8</x:v>
      </x:c>
      <x:c r="J36" s="77" t="n">
        <x:v>0.82</x:v>
      </x:c>
      <x:c r="K36" s="77" t="n">
        <x:v>0.65</x:v>
      </x:c>
      <x:c r="L36" s="78" t="n">
        <x:v>4500</x:v>
      </x:c>
      <x:c r="M36" s="78" t="n">
        <x:v>75</x:v>
      </x:c>
      <x:c r="N36" s="91" t="n">
        <x:v>0.3</x:v>
      </x:c>
      <x:c r="O36" s="57" t="str">
        <x:v>Community</x:v>
      </x:c>
      <x:c r="P36" s="57" t="str">
        <x:v>Information, identity, benefits and accessible service</x:v>
      </x:c>
    </x:row>
    <x:row r="37">
      <x:c r="A37" s="76" t="str">
        <x:v>C-DTG</x:v>
      </x:c>
      <x:c r="B37" s="76" t="str">
        <x:v>Community Stabilization</x:v>
      </x:c>
      <x:c r="C37" s="76" t="str">
        <x:v>Displacement transition group</x:v>
      </x:c>
      <x:c r="D37" s="78" t="n">
        <x:v>300</x:v>
      </x:c>
      <x:c r="E37" s="90" t="n">
        <x:v>2.5</x:v>
      </x:c>
      <x:c r="F37" s="77" t="n">
        <x:v>0.82</x:v>
      </x:c>
      <x:c r="G37" s="77" t="n">
        <x:v>0.78</x:v>
      </x:c>
      <x:c r="H37" s="77" t="n">
        <x:v>0.75</x:v>
      </x:c>
      <x:c r="I37" s="77" t="n">
        <x:v>0.8</x:v>
      </x:c>
      <x:c r="J37" s="77" t="n">
        <x:v>0.82</x:v>
      </x:c>
      <x:c r="K37" s="77" t="n">
        <x:v>0.65</x:v>
      </x:c>
      <x:c r="L37" s="78" t="n">
        <x:v>4500</x:v>
      </x:c>
      <x:c r="M37" s="78" t="n">
        <x:v>75</x:v>
      </x:c>
      <x:c r="N37" s="91" t="n">
        <x:v>0.4</x:v>
      </x:c>
      <x:c r="O37" s="76" t="str">
        <x:v>Community</x:v>
      </x:c>
      <x:c r="P37" s="76" t="str">
        <x:v>Housing, schools, transport and durable shelter exit</x:v>
      </x:c>
    </x:row>
    <x:row r="38">
      <x:c r="A38" s="57" t="str">
        <x:v>C-CIG</x:v>
      </x:c>
      <x:c r="B38" s="57" t="str">
        <x:v>Community Stabilization</x:v>
      </x:c>
      <x:c r="C38" s="57" t="str">
        <x:v>Community institutions group</x:v>
      </x:c>
      <x:c r="D38" s="78" t="n">
        <x:v>250</x:v>
      </x:c>
      <x:c r="E38" s="90" t="n">
        <x:v>2.5</x:v>
      </x:c>
      <x:c r="F38" s="77" t="n">
        <x:v>0.82</x:v>
      </x:c>
      <x:c r="G38" s="77" t="n">
        <x:v>0.78</x:v>
      </x:c>
      <x:c r="H38" s="77" t="n">
        <x:v>0.75</x:v>
      </x:c>
      <x:c r="I38" s="77" t="n">
        <x:v>0.8</x:v>
      </x:c>
      <x:c r="J38" s="77" t="n">
        <x:v>0.82</x:v>
      </x:c>
      <x:c r="K38" s="77" t="n">
        <x:v>0.65</x:v>
      </x:c>
      <x:c r="L38" s="78" t="n">
        <x:v>4500</x:v>
      </x:c>
      <x:c r="M38" s="78" t="n">
        <x:v>75</x:v>
      </x:c>
      <x:c r="N38" s="91" t="n">
        <x:v>0.4</x:v>
      </x:c>
      <x:c r="O38" s="57" t="str">
        <x:v>Community</x:v>
      </x:c>
      <x:c r="P38" s="57" t="str">
        <x:v>Local government, clinic, court, school and commerce continuity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8" hidden="0" customWidth="1"/>
    <x:col min="3" max="3" width="4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4" customHeight="1">
      <x:c r="A1" s="50" t="str">
        <x:v>Package Matrix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</x:row>
    <x:row r="2" ht="24" customHeight="1">
      <x:c r="A2" s="52" t="str">
        <x:v>Editable formation-equivalent demand for each simultaneous campaign.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</x:row>
    <x:row r="4" ht="32" customHeight="1">
      <x:c r="A4" s="59" t="str">
        <x:v>ID</x:v>
      </x:c>
      <x:c r="B4" s="60" t="str">
        <x:v>Service</x:v>
      </x:c>
      <x:c r="C4" s="60" t="str">
        <x:v>Formation family</x:v>
      </x:c>
      <x:c r="D4" s="60" t="str">
        <x:v>C1</x:v>
      </x:c>
      <x:c r="E4" s="60" t="str">
        <x:v>C2</x:v>
      </x:c>
      <x:c r="F4" s="60" t="str">
        <x:v>C3</x:v>
      </x:c>
      <x:c r="G4" s="60" t="str">
        <x:v>M1</x:v>
      </x:c>
      <x:c r="H4" s="60" t="str">
        <x:v>M2</x:v>
      </x:c>
      <x:c r="I4" s="60" t="str">
        <x:v>M3</x:v>
      </x:c>
      <x:c r="J4" s="60" t="str">
        <x:v>M4</x:v>
      </x:c>
      <x:c r="K4" s="60" t="str">
        <x:v>M5</x:v>
      </x:c>
      <x:c r="L4" s="60" t="str">
        <x:v>G1</x:v>
      </x:c>
      <x:c r="M4" s="60" t="str">
        <x:v>G2</x:v>
      </x:c>
      <x:c r="N4" s="60" t="str">
        <x:v>Total demand</x:v>
      </x:c>
      <x:c r="O4" s="60" t="str">
        <x:v>Global demand</x:v>
      </x:c>
      <x:c r="P4" s="60" t="str">
        <x:v>Deployed people</x:v>
      </x:c>
      <x:c r="Q4" s="60" t="str">
        <x:v>Deployable mass t</x:v>
      </x:c>
      <x:c r="R4" s="61" t="str">
        <x:v>Supply t/day</x:v>
      </x:c>
    </x:row>
    <x:row r="5">
      <x:c r="A5" s="76" t="str">
        <x:v>J-CIE</x:v>
      </x:c>
      <x:c r="B5" s="76" t="str">
        <x:v>Joint</x:v>
      </x:c>
      <x:c r="C5" s="76" t="str">
        <x:v>Civil integration and effects group</x:v>
      </x:c>
      <x:c r="D5" s="78" t="n">
        <x:v>4</x:v>
      </x:c>
      <x:c r="E5" s="78" t="n">
        <x:v>4</x:v>
      </x:c>
      <x:c r="F5" s="78" t="n">
        <x:v>5</x:v>
      </x:c>
      <x:c r="G5" s="78" t="n">
        <x:v>2</x:v>
      </x:c>
      <x:c r="H5" s="78" t="n">
        <x:v>2</x:v>
      </x:c>
      <x:c r="I5" s="78" t="n">
        <x:v>3</x:v>
      </x:c>
      <x:c r="J5" s="78" t="n">
        <x:v>3</x:v>
      </x:c>
      <x:c r="K5" s="78" t="n">
        <x:v>3</x:v>
      </x:c>
      <x:c r="L5" s="78" t="n">
        <x:v>4</x:v>
      </x:c>
      <x:c r="M5" s="78" t="n">
        <x:v>4</x:v>
      </x:c>
      <x:c r="N5" s="94" t="n">
        <x:f>SUM(D5:M5)</x:f>
        <x:v>34</x:v>
      </x:c>
      <x:c r="O5" s="94" t="n">
        <x:f>L5+M5</x:f>
        <x:v>8</x:v>
      </x:c>
      <x:c r="P5" s="94" t="n">
        <x:f>N5*'Formation Catalog'!D5</x:f>
        <x:v>4080</x:v>
      </x:c>
      <x:c r="Q5" s="94" t="n">
        <x:f>N5*'Formation Catalog'!L5</x:f>
        <x:v>74800</x:v>
      </x:c>
      <x:c r="R5" s="94" t="n">
        <x:f>N5*'Formation Catalog'!M5</x:f>
        <x:v>1530</x:v>
      </x:c>
    </x:row>
    <x:row r="6">
      <x:c r="A6" s="57" t="str">
        <x:v>J-TOC</x:v>
      </x:c>
      <x:c r="B6" s="57" t="str">
        <x:v>Joint</x:v>
      </x:c>
      <x:c r="C6" s="57" t="str">
        <x:v>Theater-opening command</x:v>
      </x:c>
      <x:c r="D6" s="78" t="n">
        <x:v>2</x:v>
      </x:c>
      <x:c r="E6" s="78" t="n">
        <x:v>3</x:v>
      </x:c>
      <x:c r="F6" s="78" t="n">
        <x:v>4</x:v>
      </x:c>
      <x:c r="G6" s="78" t="n">
        <x:v>1</x:v>
      </x:c>
      <x:c r="H6" s="78" t="n">
        <x:v>1</x:v>
      </x:c>
      <x:c r="I6" s="78" t="n">
        <x:v>2</x:v>
      </x:c>
      <x:c r="J6" s="78" t="n">
        <x:v>2</x:v>
      </x:c>
      <x:c r="K6" s="78" t="n">
        <x:v>2</x:v>
      </x:c>
      <x:c r="L6" s="78" t="n">
        <x:v>3</x:v>
      </x:c>
      <x:c r="M6" s="78" t="n">
        <x:v>3</x:v>
      </x:c>
      <x:c r="N6" s="94" t="n">
        <x:f>SUM(D6:M6)</x:f>
        <x:v>23</x:v>
      </x:c>
      <x:c r="O6" s="94" t="n">
        <x:f>L6+M6</x:f>
        <x:v>6</x:v>
      </x:c>
      <x:c r="P6" s="94" t="n">
        <x:f>N6*'Formation Catalog'!D6</x:f>
        <x:v>13800</x:v>
      </x:c>
      <x:c r="Q6" s="94" t="n">
        <x:f>N6*'Formation Catalog'!L6</x:f>
        <x:v>50600</x:v>
      </x:c>
      <x:c r="R6" s="94" t="n">
        <x:f>N6*'Formation Catalog'!M6</x:f>
        <x:v>1035</x:v>
      </x:c>
    </x:row>
    <x:row r="7">
      <x:c r="A7" s="76" t="str">
        <x:v>J-TSC</x:v>
      </x:c>
      <x:c r="B7" s="76" t="str">
        <x:v>Joint</x:v>
      </x:c>
      <x:c r="C7" s="76" t="str">
        <x:v>Theater sustainment command</x:v>
      </x:c>
      <x:c r="D7" s="78" t="n">
        <x:v>3</x:v>
      </x:c>
      <x:c r="E7" s="78" t="n">
        <x:v>4</x:v>
      </x:c>
      <x:c r="F7" s="78" t="n">
        <x:v>5</x:v>
      </x:c>
      <x:c r="G7" s="78" t="n">
        <x:v>2</x:v>
      </x:c>
      <x:c r="H7" s="78" t="n">
        <x:v>2</x:v>
      </x:c>
      <x:c r="I7" s="78" t="n">
        <x:v>3</x:v>
      </x:c>
      <x:c r="J7" s="78" t="n">
        <x:v>3</x:v>
      </x:c>
      <x:c r="K7" s="78" t="n">
        <x:v>3</x:v>
      </x:c>
      <x:c r="L7" s="78" t="n">
        <x:v>4</x:v>
      </x:c>
      <x:c r="M7" s="78" t="n">
        <x:v>4</x:v>
      </x:c>
      <x:c r="N7" s="94" t="n">
        <x:f>SUM(D7:M7)</x:f>
        <x:v>33</x:v>
      </x:c>
      <x:c r="O7" s="94" t="n">
        <x:f>L7+M7</x:f>
        <x:v>8</x:v>
      </x:c>
      <x:c r="P7" s="94" t="n">
        <x:f>N7*'Formation Catalog'!D7</x:f>
        <x:v>29700</x:v>
      </x:c>
      <x:c r="Q7" s="94" t="n">
        <x:f>N7*'Formation Catalog'!L7</x:f>
        <x:v>72600</x:v>
      </x:c>
      <x:c r="R7" s="94" t="n">
        <x:f>N7*'Formation Catalog'!M7</x:f>
        <x:v>1485</x:v>
      </x:c>
    </x:row>
    <x:row r="8">
      <x:c r="A8" s="57" t="str">
        <x:v>J-RRG</x:v>
      </x:c>
      <x:c r="B8" s="57" t="str">
        <x:v>Joint</x:v>
      </x:c>
      <x:c r="C8" s="57" t="str">
        <x:v>Replacement and reconstitution group</x:v>
      </x:c>
      <x:c r="D8" s="78" t="n">
        <x:v>3</x:v>
      </x:c>
      <x:c r="E8" s="78" t="n">
        <x:v>4</x:v>
      </x:c>
      <x:c r="F8" s="78" t="n">
        <x:v>5</x:v>
      </x:c>
      <x:c r="G8" s="78" t="n">
        <x:v>2</x:v>
      </x:c>
      <x:c r="H8" s="78" t="n">
        <x:v>2</x:v>
      </x:c>
      <x:c r="I8" s="78" t="n">
        <x:v>3</x:v>
      </x:c>
      <x:c r="J8" s="78" t="n">
        <x:v>3</x:v>
      </x:c>
      <x:c r="K8" s="78" t="n">
        <x:v>3</x:v>
      </x:c>
      <x:c r="L8" s="78" t="n">
        <x:v>4</x:v>
      </x:c>
      <x:c r="M8" s="78" t="n">
        <x:v>4</x:v>
      </x:c>
      <x:c r="N8" s="94" t="n">
        <x:f>SUM(D8:M8)</x:f>
        <x:v>33</x:v>
      </x:c>
      <x:c r="O8" s="94" t="n">
        <x:f>L8+M8</x:f>
        <x:v>8</x:v>
      </x:c>
      <x:c r="P8" s="94" t="n">
        <x:f>N8*'Formation Catalog'!D8</x:f>
        <x:v>13200</x:v>
      </x:c>
      <x:c r="Q8" s="94" t="n">
        <x:f>N8*'Formation Catalog'!L8</x:f>
        <x:v>72600</x:v>
      </x:c>
      <x:c r="R8" s="94" t="n">
        <x:f>N8*'Formation Catalog'!M8</x:f>
        <x:v>1485</x:v>
      </x:c>
    </x:row>
    <x:row r="9">
      <x:c r="A9" s="76" t="str">
        <x:v>J-TDG</x:v>
      </x:c>
      <x:c r="B9" s="76" t="str">
        <x:v>Joint</x:v>
      </x:c>
      <x:c r="C9" s="76" t="str">
        <x:v>Transfer and demobilization group</x:v>
      </x:c>
      <x:c r="D9" s="78" t="n">
        <x:v>2</x:v>
      </x:c>
      <x:c r="E9" s="78" t="n">
        <x:v>3</x:v>
      </x:c>
      <x:c r="F9" s="78" t="n">
        <x:v>4</x:v>
      </x:c>
      <x:c r="G9" s="78" t="n">
        <x:v>1</x:v>
      </x:c>
      <x:c r="H9" s="78" t="n">
        <x:v>1</x:v>
      </x:c>
      <x:c r="I9" s="78" t="n">
        <x:v>2</x:v>
      </x:c>
      <x:c r="J9" s="78" t="n">
        <x:v>2</x:v>
      </x:c>
      <x:c r="K9" s="78" t="n">
        <x:v>2</x:v>
      </x:c>
      <x:c r="L9" s="78" t="n">
        <x:v>3</x:v>
      </x:c>
      <x:c r="M9" s="78" t="n">
        <x:v>3</x:v>
      </x:c>
      <x:c r="N9" s="94" t="n">
        <x:f>SUM(D9:M9)</x:f>
        <x:v>23</x:v>
      </x:c>
      <x:c r="O9" s="94" t="n">
        <x:f>L9+M9</x:f>
        <x:v>6</x:v>
      </x:c>
      <x:c r="P9" s="94" t="n">
        <x:f>N9*'Formation Catalog'!D9</x:f>
        <x:v>3450</x:v>
      </x:c>
      <x:c r="Q9" s="94" t="n">
        <x:f>N9*'Formation Catalog'!L9</x:f>
        <x:v>50600</x:v>
      </x:c>
      <x:c r="R9" s="94" t="n">
        <x:f>N9*'Formation Catalog'!M9</x:f>
        <x:v>1035</x:v>
      </x:c>
    </x:row>
    <x:row r="10">
      <x:c r="A10" s="57" t="str">
        <x:v>L-ROG</x:v>
      </x:c>
      <x:c r="B10" s="57" t="str">
        <x:v>Land Engineering</x:v>
      </x:c>
      <x:c r="C10" s="57" t="str">
        <x:v>Access and route-opening group</x:v>
      </x:c>
      <x:c r="D10" s="78" t="n">
        <x:v>4</x:v>
      </x:c>
      <x:c r="E10" s="78" t="n">
        <x:v>8</x:v>
      </x:c>
      <x:c r="F10" s="78" t="n">
        <x:v>12</x:v>
      </x:c>
      <x:c r="G10" s="78" t="n">
        <x:v>4</x:v>
      </x:c>
      <x:c r="H10" s="78" t="n">
        <x:v>2</x:v>
      </x:c>
      <x:c r="I10" s="78" t="n">
        <x:v>8</x:v>
      </x:c>
      <x:c r="J10" s="78" t="n">
        <x:v>10</x:v>
      </x:c>
      <x:c r="K10" s="78" t="n">
        <x:v>4</x:v>
      </x:c>
      <x:c r="L10" s="78" t="n">
        <x:v>10</x:v>
      </x:c>
      <x:c r="M10" s="78" t="n">
        <x:v>8</x:v>
      </x:c>
      <x:c r="N10" s="94" t="n">
        <x:f>SUM(D10:M10)</x:f>
        <x:v>70</x:v>
      </x:c>
      <x:c r="O10" s="94" t="n">
        <x:f>L10+M10</x:f>
        <x:v>18</x:v>
      </x:c>
      <x:c r="P10" s="94" t="n">
        <x:f>N10*'Formation Catalog'!D10</x:f>
        <x:v>24500</x:v>
      </x:c>
      <x:c r="Q10" s="94" t="n">
        <x:f>N10*'Formation Catalog'!L10</x:f>
        <x:v>630000</x:v>
      </x:c>
      <x:c r="R10" s="94" t="n">
        <x:f>N10*'Formation Catalog'!M10</x:f>
        <x:v>6300</x:v>
      </x:c>
    </x:row>
    <x:row r="11">
      <x:c r="A11" s="76" t="str">
        <x:v>L-HCG</x:v>
      </x:c>
      <x:c r="B11" s="76" t="str">
        <x:v>Land Engineering</x:v>
      </x:c>
      <x:c r="C11" s="76" t="str">
        <x:v>Flood and hydraulic-control group</x:v>
      </x:c>
      <x:c r="D11" s="78" t="n">
        <x:v>1</x:v>
      </x:c>
      <x:c r="E11" s="78" t="n">
        <x:v>10</x:v>
      </x:c>
      <x:c r="F11" s="78" t="n">
        <x:v>6</x:v>
      </x:c>
      <x:c r="G11" s="78" t="n">
        <x:v>0</x:v>
      </x:c>
      <x:c r="H11" s="78" t="n">
        <x:v>0</x:v>
      </x:c>
      <x:c r="I11" s="78" t="n">
        <x:v>12</x:v>
      </x:c>
      <x:c r="J11" s="78" t="n">
        <x:v>3</x:v>
      </x:c>
      <x:c r="K11" s="78" t="n">
        <x:v>2</x:v>
      </x:c>
      <x:c r="L11" s="78" t="n">
        <x:v>4</x:v>
      </x:c>
      <x:c r="M11" s="78" t="n">
        <x:v>12</x:v>
      </x:c>
      <x:c r="N11" s="94" t="n">
        <x:f>SUM(D11:M11)</x:f>
        <x:v>50</x:v>
      </x:c>
      <x:c r="O11" s="94" t="n">
        <x:f>L11+M11</x:f>
        <x:v>16</x:v>
      </x:c>
      <x:c r="P11" s="94" t="n">
        <x:f>N11*'Formation Catalog'!D11</x:f>
        <x:v>25000</x:v>
      </x:c>
      <x:c r="Q11" s="94" t="n">
        <x:f>N11*'Formation Catalog'!L11</x:f>
        <x:v>450000</x:v>
      </x:c>
      <x:c r="R11" s="94" t="n">
        <x:f>N11*'Formation Catalog'!M11</x:f>
        <x:v>4500</x:v>
      </x:c>
    </x:row>
    <x:row r="12">
      <x:c r="A12" s="57" t="str">
        <x:v>L-DMG</x:v>
      </x:c>
      <x:c r="B12" s="57" t="str">
        <x:v>Land Engineering</x:v>
      </x:c>
      <x:c r="C12" s="57" t="str">
        <x:v>Debris and materials group</x:v>
      </x:c>
      <x:c r="D12" s="78" t="n">
        <x:v>2</x:v>
      </x:c>
      <x:c r="E12" s="78" t="n">
        <x:v>8</x:v>
      </x:c>
      <x:c r="F12" s="78" t="n">
        <x:v>12</x:v>
      </x:c>
      <x:c r="G12" s="78" t="n">
        <x:v>2</x:v>
      </x:c>
      <x:c r="H12" s="78" t="n">
        <x:v>1</x:v>
      </x:c>
      <x:c r="I12" s="78" t="n">
        <x:v>8</x:v>
      </x:c>
      <x:c r="J12" s="78" t="n">
        <x:v>12</x:v>
      </x:c>
      <x:c r="K12" s="78" t="n">
        <x:v>2</x:v>
      </x:c>
      <x:c r="L12" s="78" t="n">
        <x:v>10</x:v>
      </x:c>
      <x:c r="M12" s="78" t="n">
        <x:v>8</x:v>
      </x:c>
      <x:c r="N12" s="94" t="n">
        <x:f>SUM(D12:M12)</x:f>
        <x:v>65</x:v>
      </x:c>
      <x:c r="O12" s="94" t="n">
        <x:f>L12+M12</x:f>
        <x:v>18</x:v>
      </x:c>
      <x:c r="P12" s="94" t="n">
        <x:f>N12*'Formation Catalog'!D12</x:f>
        <x:v>26000</x:v>
      </x:c>
      <x:c r="Q12" s="94" t="n">
        <x:f>N12*'Formation Catalog'!L12</x:f>
        <x:v>585000</x:v>
      </x:c>
      <x:c r="R12" s="94" t="n">
        <x:f>N12*'Formation Catalog'!M12</x:f>
        <x:v>5850</x:v>
      </x:c>
    </x:row>
    <x:row r="13">
      <x:c r="A13" s="76" t="str">
        <x:v>L-TWG</x:v>
      </x:c>
      <x:c r="B13" s="76" t="str">
        <x:v>Land Engineering</x:v>
      </x:c>
      <x:c r="C13" s="76" t="str">
        <x:v>Temporary works and crossing group</x:v>
      </x:c>
      <x:c r="D13" s="78" t="n">
        <x:v>3</x:v>
      </x:c>
      <x:c r="E13" s="78" t="n">
        <x:v>6</x:v>
      </x:c>
      <x:c r="F13" s="78" t="n">
        <x:v>10</x:v>
      </x:c>
      <x:c r="G13" s="78" t="n">
        <x:v>1</x:v>
      </x:c>
      <x:c r="H13" s="78" t="n">
        <x:v>1</x:v>
      </x:c>
      <x:c r="I13" s="78" t="n">
        <x:v>6</x:v>
      </x:c>
      <x:c r="J13" s="78" t="n">
        <x:v>8</x:v>
      </x:c>
      <x:c r="K13" s="78" t="n">
        <x:v>4</x:v>
      </x:c>
      <x:c r="L13" s="78" t="n">
        <x:v>8</x:v>
      </x:c>
      <x:c r="M13" s="78" t="n">
        <x:v>6</x:v>
      </x:c>
      <x:c r="N13" s="94" t="n">
        <x:f>SUM(D13:M13)</x:f>
        <x:v>53</x:v>
      </x:c>
      <x:c r="O13" s="94" t="n">
        <x:f>L13+M13</x:f>
        <x:v>14</x:v>
      </x:c>
      <x:c r="P13" s="94" t="n">
        <x:f>N13*'Formation Catalog'!D13</x:f>
        <x:v>18550</x:v>
      </x:c>
      <x:c r="Q13" s="94" t="n">
        <x:f>N13*'Formation Catalog'!L13</x:f>
        <x:v>477000</x:v>
      </x:c>
      <x:c r="R13" s="94" t="n">
        <x:f>N13*'Formation Catalog'!M13</x:f>
        <x:v>4770</x:v>
      </x:c>
    </x:row>
    <x:row r="14">
      <x:c r="A14" s="57" t="str">
        <x:v>L-GFG</x:v>
      </x:c>
      <x:c r="B14" s="57" t="str">
        <x:v>Land Engineering</x:v>
      </x:c>
      <x:c r="C14" s="57" t="str">
        <x:v>Ground fire and landscape group</x:v>
      </x:c>
      <x:c r="D14" s="78" t="n">
        <x:v>2</x:v>
      </x:c>
      <x:c r="E14" s="78" t="n">
        <x:v>3</x:v>
      </x:c>
      <x:c r="F14" s="78" t="n">
        <x:v>4</x:v>
      </x:c>
      <x:c r="G14" s="78" t="n">
        <x:v>12</x:v>
      </x:c>
      <x:c r="H14" s="78" t="n">
        <x:v>3</x:v>
      </x:c>
      <x:c r="I14" s="78" t="n">
        <x:v>1</x:v>
      </x:c>
      <x:c r="J14" s="78" t="n">
        <x:v>2</x:v>
      </x:c>
      <x:c r="K14" s="78" t="n">
        <x:v>2</x:v>
      </x:c>
      <x:c r="L14" s="78" t="n">
        <x:v>2</x:v>
      </x:c>
      <x:c r="M14" s="78" t="n">
        <x:v>2</x:v>
      </x:c>
      <x:c r="N14" s="94" t="n">
        <x:f>SUM(D14:M14)</x:f>
        <x:v>33</x:v>
      </x:c>
      <x:c r="O14" s="94" t="n">
        <x:f>L14+M14</x:f>
        <x:v>4</x:v>
      </x:c>
      <x:c r="P14" s="94" t="n">
        <x:f>N14*'Formation Catalog'!D14</x:f>
        <x:v>14850</x:v>
      </x:c>
      <x:c r="Q14" s="94" t="n">
        <x:f>N14*'Formation Catalog'!L14</x:f>
        <x:v>297000</x:v>
      </x:c>
      <x:c r="R14" s="94" t="n">
        <x:f>N14*'Formation Catalog'!M14</x:f>
        <x:v>2970</x:v>
      </x:c>
    </x:row>
    <x:row r="15">
      <x:c r="A15" s="76" t="str">
        <x:v>A-SMW</x:v>
      </x:c>
      <x:c r="B15" s="76" t="str">
        <x:v>Air Response</x:v>
      </x:c>
      <x:c r="C15" s="76" t="str">
        <x:v>Strategic mobility wing</x:v>
      </x:c>
      <x:c r="D15" s="78" t="n">
        <x:v>2</x:v>
      </x:c>
      <x:c r="E15" s="78" t="n">
        <x:v>3</x:v>
      </x:c>
      <x:c r="F15" s="78" t="n">
        <x:v>4</x:v>
      </x:c>
      <x:c r="G15" s="78" t="n">
        <x:v>2</x:v>
      </x:c>
      <x:c r="H15" s="78" t="n">
        <x:v>2</x:v>
      </x:c>
      <x:c r="I15" s="78" t="n">
        <x:v>2</x:v>
      </x:c>
      <x:c r="J15" s="78" t="n">
        <x:v>3</x:v>
      </x:c>
      <x:c r="K15" s="78" t="n">
        <x:v>3</x:v>
      </x:c>
      <x:c r="L15" s="78" t="n">
        <x:v>5</x:v>
      </x:c>
      <x:c r="M15" s="78" t="n">
        <x:v>5</x:v>
      </x:c>
      <x:c r="N15" s="94" t="n">
        <x:f>SUM(D15:M15)</x:f>
        <x:v>31</x:v>
      </x:c>
      <x:c r="O15" s="94" t="n">
        <x:f>L15+M15</x:f>
        <x:v>10</x:v>
      </x:c>
      <x:c r="P15" s="94" t="n">
        <x:f>N15*'Formation Catalog'!D15</x:f>
        <x:v>27900</x:v>
      </x:c>
      <x:c r="Q15" s="94" t="n">
        <x:f>N15*'Formation Catalog'!L15</x:f>
        <x:v>155000</x:v>
      </x:c>
      <x:c r="R15" s="94" t="n">
        <x:f>N15*'Formation Catalog'!M15</x:f>
        <x:v>3100</x:v>
      </x:c>
    </x:row>
    <x:row r="16">
      <x:c r="A16" s="57" t="str">
        <x:v>A-AAG</x:v>
      </x:c>
      <x:c r="B16" s="57" t="str">
        <x:v>Air Response</x:v>
      </x:c>
      <x:c r="C16" s="57" t="str">
        <x:v>Austere air-access group</x:v>
      </x:c>
      <x:c r="D16" s="78" t="n">
        <x:v>2</x:v>
      </x:c>
      <x:c r="E16" s="78" t="n">
        <x:v>4</x:v>
      </x:c>
      <x:c r="F16" s="78" t="n">
        <x:v>6</x:v>
      </x:c>
      <x:c r="G16" s="78" t="n">
        <x:v>3</x:v>
      </x:c>
      <x:c r="H16" s="78" t="n">
        <x:v>2</x:v>
      </x:c>
      <x:c r="I16" s="78" t="n">
        <x:v>2</x:v>
      </x:c>
      <x:c r="J16" s="78" t="n">
        <x:v>4</x:v>
      </x:c>
      <x:c r="K16" s="78" t="n">
        <x:v>3</x:v>
      </x:c>
      <x:c r="L16" s="78" t="n">
        <x:v>5</x:v>
      </x:c>
      <x:c r="M16" s="78" t="n">
        <x:v>5</x:v>
      </x:c>
      <x:c r="N16" s="94" t="n">
        <x:f>SUM(D16:M16)</x:f>
        <x:v>36</x:v>
      </x:c>
      <x:c r="O16" s="94" t="n">
        <x:f>L16+M16</x:f>
        <x:v>10</x:v>
      </x:c>
      <x:c r="P16" s="94" t="n">
        <x:f>N16*'Formation Catalog'!D16</x:f>
        <x:v>12600</x:v>
      </x:c>
      <x:c r="Q16" s="94" t="n">
        <x:f>N16*'Formation Catalog'!L16</x:f>
        <x:v>180000</x:v>
      </x:c>
      <x:c r="R16" s="94" t="n">
        <x:f>N16*'Formation Catalog'!M16</x:f>
        <x:v>3600</x:v>
      </x:c>
    </x:row>
    <x:row r="17">
      <x:c r="A17" s="76" t="str">
        <x:v>A-AHW</x:v>
      </x:c>
      <x:c r="B17" s="76" t="str">
        <x:v>Air Response</x:v>
      </x:c>
      <x:c r="C17" s="76" t="str">
        <x:v>Aerial hazard-control wing</x:v>
      </x:c>
      <x:c r="D17" s="78" t="n">
        <x:v>1</x:v>
      </x:c>
      <x:c r="E17" s="78" t="n">
        <x:v>2</x:v>
      </x:c>
      <x:c r="F17" s="78" t="n">
        <x:v>2</x:v>
      </x:c>
      <x:c r="G17" s="78" t="n">
        <x:v>10</x:v>
      </x:c>
      <x:c r="H17" s="78" t="n">
        <x:v>2</x:v>
      </x:c>
      <x:c r="I17" s="78" t="n">
        <x:v>0</x:v>
      </x:c>
      <x:c r="J17" s="78" t="n">
        <x:v>1</x:v>
      </x:c>
      <x:c r="K17" s="78" t="n">
        <x:v>1</x:v>
      </x:c>
      <x:c r="L17" s="78" t="n">
        <x:v>2</x:v>
      </x:c>
      <x:c r="M17" s="78" t="n">
        <x:v>1</x:v>
      </x:c>
      <x:c r="N17" s="94" t="n">
        <x:f>SUM(D17:M17)</x:f>
        <x:v>22</x:v>
      </x:c>
      <x:c r="O17" s="94" t="n">
        <x:f>L17+M17</x:f>
        <x:v>3</x:v>
      </x:c>
      <x:c r="P17" s="94" t="n">
        <x:f>N17*'Formation Catalog'!D17</x:f>
        <x:v>13200</x:v>
      </x:c>
      <x:c r="Q17" s="94" t="n">
        <x:f>N17*'Formation Catalog'!L17</x:f>
        <x:v>110000</x:v>
      </x:c>
      <x:c r="R17" s="94" t="n">
        <x:f>N17*'Formation Catalog'!M17</x:f>
        <x:v>2200</x:v>
      </x:c>
    </x:row>
    <x:row r="18">
      <x:c r="A18" s="57" t="str">
        <x:v>A-TDG</x:v>
      </x:c>
      <x:c r="B18" s="57" t="str">
        <x:v>Air Response</x:v>
      </x:c>
      <x:c r="C18" s="57" t="str">
        <x:v>Tactical distribution group</x:v>
      </x:c>
      <x:c r="D18" s="78" t="n">
        <x:v>4</x:v>
      </x:c>
      <x:c r="E18" s="78" t="n">
        <x:v>6</x:v>
      </x:c>
      <x:c r="F18" s="78" t="n">
        <x:v>8</x:v>
      </x:c>
      <x:c r="G18" s="78" t="n">
        <x:v>5</x:v>
      </x:c>
      <x:c r="H18" s="78" t="n">
        <x:v>4</x:v>
      </x:c>
      <x:c r="I18" s="78" t="n">
        <x:v>4</x:v>
      </x:c>
      <x:c r="J18" s="78" t="n">
        <x:v>6</x:v>
      </x:c>
      <x:c r="K18" s="78" t="n">
        <x:v>5</x:v>
      </x:c>
      <x:c r="L18" s="78" t="n">
        <x:v>8</x:v>
      </x:c>
      <x:c r="M18" s="78" t="n">
        <x:v>8</x:v>
      </x:c>
      <x:c r="N18" s="94" t="n">
        <x:f>SUM(D18:M18)</x:f>
        <x:v>58</x:v>
      </x:c>
      <x:c r="O18" s="94" t="n">
        <x:f>L18+M18</x:f>
        <x:v>16</x:v>
      </x:c>
      <x:c r="P18" s="94" t="n">
        <x:f>N18*'Formation Catalog'!D18</x:f>
        <x:v>26100</x:v>
      </x:c>
      <x:c r="Q18" s="94" t="n">
        <x:f>N18*'Formation Catalog'!L18</x:f>
        <x:v>290000</x:v>
      </x:c>
      <x:c r="R18" s="94" t="n">
        <x:f>N18*'Formation Catalog'!M18</x:f>
        <x:v>5800</x:v>
      </x:c>
    </x:row>
    <x:row r="19">
      <x:c r="A19" s="76" t="str">
        <x:v>A-SRG</x:v>
      </x:c>
      <x:c r="B19" s="76" t="str">
        <x:v>Air Response</x:v>
      </x:c>
      <x:c r="C19" s="76" t="str">
        <x:v>Air sensing and relay group</x:v>
      </x:c>
      <x:c r="D19" s="78" t="n">
        <x:v>3</x:v>
      </x:c>
      <x:c r="E19" s="78" t="n">
        <x:v>4</x:v>
      </x:c>
      <x:c r="F19" s="78" t="n">
        <x:v>5</x:v>
      </x:c>
      <x:c r="G19" s="78" t="n">
        <x:v>5</x:v>
      </x:c>
      <x:c r="H19" s="78" t="n">
        <x:v>3</x:v>
      </x:c>
      <x:c r="I19" s="78" t="n">
        <x:v>3</x:v>
      </x:c>
      <x:c r="J19" s="78" t="n">
        <x:v>4</x:v>
      </x:c>
      <x:c r="K19" s="78" t="n">
        <x:v>3</x:v>
      </x:c>
      <x:c r="L19" s="78" t="n">
        <x:v>5</x:v>
      </x:c>
      <x:c r="M19" s="78" t="n">
        <x:v>5</x:v>
      </x:c>
      <x:c r="N19" s="94" t="n">
        <x:f>SUM(D19:M19)</x:f>
        <x:v>40</x:v>
      </x:c>
      <x:c r="O19" s="94" t="n">
        <x:f>L19+M19</x:f>
        <x:v>10</x:v>
      </x:c>
      <x:c r="P19" s="94" t="n">
        <x:f>N19*'Formation Catalog'!D19</x:f>
        <x:v>7200</x:v>
      </x:c>
      <x:c r="Q19" s="94" t="n">
        <x:f>N19*'Formation Catalog'!L19</x:f>
        <x:v>200000</x:v>
      </x:c>
      <x:c r="R19" s="94" t="n">
        <x:f>N19*'Formation Catalog'!M19</x:f>
        <x:v>4000</x:v>
      </x:c>
    </x:row>
    <x:row r="20">
      <x:c r="A20" s="57" t="str">
        <x:v>A-AMG</x:v>
      </x:c>
      <x:c r="B20" s="57" t="str">
        <x:v>Air Response</x:v>
      </x:c>
      <x:c r="C20" s="57" t="str">
        <x:v>Aeromedical movement group</x:v>
      </x:c>
      <x:c r="D20" s="78" t="n">
        <x:v>2</x:v>
      </x:c>
      <x:c r="E20" s="78" t="n">
        <x:v>3</x:v>
      </x:c>
      <x:c r="F20" s="78" t="n">
        <x:v>5</x:v>
      </x:c>
      <x:c r="G20" s="78" t="n">
        <x:v>2</x:v>
      </x:c>
      <x:c r="H20" s="78" t="n">
        <x:v>3</x:v>
      </x:c>
      <x:c r="I20" s="78" t="n">
        <x:v>2</x:v>
      </x:c>
      <x:c r="J20" s="78" t="n">
        <x:v>3</x:v>
      </x:c>
      <x:c r="K20" s="78" t="n">
        <x:v>2</x:v>
      </x:c>
      <x:c r="L20" s="78" t="n">
        <x:v>5</x:v>
      </x:c>
      <x:c r="M20" s="78" t="n">
        <x:v>4</x:v>
      </x:c>
      <x:c r="N20" s="94" t="n">
        <x:f>SUM(D20:M20)</x:f>
        <x:v>31</x:v>
      </x:c>
      <x:c r="O20" s="94" t="n">
        <x:f>L20+M20</x:f>
        <x:v>9</x:v>
      </x:c>
      <x:c r="P20" s="94" t="n">
        <x:f>N20*'Formation Catalog'!D20</x:f>
        <x:v>9300</x:v>
      </x:c>
      <x:c r="Q20" s="94" t="n">
        <x:f>N20*'Formation Catalog'!L20</x:f>
        <x:v>155000</x:v>
      </x:c>
      <x:c r="R20" s="94" t="n">
        <x:f>N20*'Formation Catalog'!M20</x:f>
        <x:v>3100</x:v>
      </x:c>
    </x:row>
    <x:row r="21">
      <x:c r="A21" s="76" t="str">
        <x:v>M-POG</x:v>
      </x:c>
      <x:c r="B21" s="76" t="str">
        <x:v>Maritime Response</x:v>
      </x:c>
      <x:c r="C21" s="76" t="str">
        <x:v>Port-opening group</x:v>
      </x:c>
      <x:c r="D21" s="78" t="n">
        <x:v>1</x:v>
      </x:c>
      <x:c r="E21" s="78" t="n">
        <x:v>5</x:v>
      </x:c>
      <x:c r="F21" s="78" t="n">
        <x:v>8</x:v>
      </x:c>
      <x:c r="G21" s="78" t="n">
        <x:v>0</x:v>
      </x:c>
      <x:c r="H21" s="78" t="n">
        <x:v>0</x:v>
      </x:c>
      <x:c r="I21" s="78" t="n">
        <x:v>1</x:v>
      </x:c>
      <x:c r="J21" s="78" t="n">
        <x:v>1</x:v>
      </x:c>
      <x:c r="K21" s="78" t="n">
        <x:v>2</x:v>
      </x:c>
      <x:c r="L21" s="78" t="n">
        <x:v>8</x:v>
      </x:c>
      <x:c r="M21" s="78" t="n">
        <x:v>6</x:v>
      </x:c>
      <x:c r="N21" s="94" t="n">
        <x:f>SUM(D21:M21)</x:f>
        <x:v>32</x:v>
      </x:c>
      <x:c r="O21" s="94" t="n">
        <x:f>L21+M21</x:f>
        <x:v>14</x:v>
      </x:c>
      <x:c r="P21" s="94" t="n">
        <x:f>N21*'Formation Catalog'!D21</x:f>
        <x:v>14400</x:v>
      </x:c>
      <x:c r="Q21" s="94" t="n">
        <x:f>N21*'Formation Catalog'!L21</x:f>
        <x:v>256000</x:v>
      </x:c>
      <x:c r="R21" s="94" t="n">
        <x:f>N21*'Formation Catalog'!M21</x:f>
        <x:v>3840</x:v>
      </x:c>
    </x:row>
    <x:row r="22">
      <x:c r="A22" s="57" t="str">
        <x:v>M-LAG</x:v>
      </x:c>
      <x:c r="B22" s="57" t="str">
        <x:v>Maritime Response</x:v>
      </x:c>
      <x:c r="C22" s="57" t="str">
        <x:v>Littoral-access group</x:v>
      </x:c>
      <x:c r="D22" s="78" t="n">
        <x:v>1</x:v>
      </x:c>
      <x:c r="E22" s="78" t="n">
        <x:v>6</x:v>
      </x:c>
      <x:c r="F22" s="78" t="n">
        <x:v>8</x:v>
      </x:c>
      <x:c r="G22" s="78" t="n">
        <x:v>0</x:v>
      </x:c>
      <x:c r="H22" s="78" t="n">
        <x:v>0</x:v>
      </x:c>
      <x:c r="I22" s="78" t="n">
        <x:v>2</x:v>
      </x:c>
      <x:c r="J22" s="78" t="n">
        <x:v>1</x:v>
      </x:c>
      <x:c r="K22" s="78" t="n">
        <x:v>3</x:v>
      </x:c>
      <x:c r="L22" s="78" t="n">
        <x:v>8</x:v>
      </x:c>
      <x:c r="M22" s="78" t="n">
        <x:v>8</x:v>
      </x:c>
      <x:c r="N22" s="94" t="n">
        <x:f>SUM(D22:M22)</x:f>
        <x:v>37</x:v>
      </x:c>
      <x:c r="O22" s="94" t="n">
        <x:f>L22+M22</x:f>
        <x:v>16</x:v>
      </x:c>
      <x:c r="P22" s="94" t="n">
        <x:f>N22*'Formation Catalog'!D22</x:f>
        <x:v>12950</x:v>
      </x:c>
      <x:c r="Q22" s="94" t="n">
        <x:f>N22*'Formation Catalog'!L22</x:f>
        <x:v>296000</x:v>
      </x:c>
      <x:c r="R22" s="94" t="n">
        <x:f>N22*'Formation Catalog'!M22</x:f>
        <x:v>4440</x:v>
      </x:c>
    </x:row>
    <x:row r="23">
      <x:c r="A23" s="76" t="str">
        <x:v>M-IWG</x:v>
      </x:c>
      <x:c r="B23" s="76" t="str">
        <x:v>Maritime Response</x:v>
      </x:c>
      <x:c r="C23" s="76" t="str">
        <x:v>Inland-waterway group</x:v>
      </x:c>
      <x:c r="D23" s="78" t="n">
        <x:v>2</x:v>
      </x:c>
      <x:c r="E23" s="78" t="n">
        <x:v>3</x:v>
      </x:c>
      <x:c r="F23" s="78" t="n">
        <x:v>2</x:v>
      </x:c>
      <x:c r="G23" s="78" t="n">
        <x:v>0</x:v>
      </x:c>
      <x:c r="H23" s="78" t="n">
        <x:v>0</x:v>
      </x:c>
      <x:c r="I23" s="78" t="n">
        <x:v>8</x:v>
      </x:c>
      <x:c r="J23" s="78" t="n">
        <x:v>3</x:v>
      </x:c>
      <x:c r="K23" s="78" t="n">
        <x:v>4</x:v>
      </x:c>
      <x:c r="L23" s="78" t="n">
        <x:v>1</x:v>
      </x:c>
      <x:c r="M23" s="78" t="n">
        <x:v>6</x:v>
      </x:c>
      <x:c r="N23" s="94" t="n">
        <x:f>SUM(D23:M23)</x:f>
        <x:v>29</x:v>
      </x:c>
      <x:c r="O23" s="94" t="n">
        <x:f>L23+M23</x:f>
        <x:v>7</x:v>
      </x:c>
      <x:c r="P23" s="94" t="n">
        <x:f>N23*'Formation Catalog'!D23</x:f>
        <x:v>7250</x:v>
      </x:c>
      <x:c r="Q23" s="94" t="n">
        <x:f>N23*'Formation Catalog'!L23</x:f>
        <x:v>232000</x:v>
      </x:c>
      <x:c r="R23" s="94" t="n">
        <x:f>N23*'Formation Catalog'!M23</x:f>
        <x:v>3480</x:v>
      </x:c>
    </x:row>
    <x:row r="24">
      <x:c r="A24" s="57" t="str">
        <x:v>M-OSG</x:v>
      </x:c>
      <x:c r="B24" s="57" t="str">
        <x:v>Maritime Response</x:v>
      </x:c>
      <x:c r="C24" s="57" t="str">
        <x:v>Offshore-support group</x:v>
      </x:c>
      <x:c r="D24" s="78" t="n">
        <x:v>1</x:v>
      </x:c>
      <x:c r="E24" s="78" t="n">
        <x:v>3</x:v>
      </x:c>
      <x:c r="F24" s="78" t="n">
        <x:v>4</x:v>
      </x:c>
      <x:c r="G24" s="78" t="n">
        <x:v>0</x:v>
      </x:c>
      <x:c r="H24" s="78" t="n">
        <x:v>0</x:v>
      </x:c>
      <x:c r="I24" s="78" t="n">
        <x:v>1</x:v>
      </x:c>
      <x:c r="J24" s="78" t="n">
        <x:v>1</x:v>
      </x:c>
      <x:c r="K24" s="78" t="n">
        <x:v>3</x:v>
      </x:c>
      <x:c r="L24" s="78" t="n">
        <x:v>6</x:v>
      </x:c>
      <x:c r="M24" s="78" t="n">
        <x:v>5</x:v>
      </x:c>
      <x:c r="N24" s="94" t="n">
        <x:f>SUM(D24:M24)</x:f>
        <x:v>24</x:v>
      </x:c>
      <x:c r="O24" s="94" t="n">
        <x:f>L24+M24</x:f>
        <x:v>11</x:v>
      </x:c>
      <x:c r="P24" s="94" t="n">
        <x:f>N24*'Formation Catalog'!D24</x:f>
        <x:v>16800</x:v>
      </x:c>
      <x:c r="Q24" s="94" t="n">
        <x:f>N24*'Formation Catalog'!L24</x:f>
        <x:v>192000</x:v>
      </x:c>
      <x:c r="R24" s="94" t="n">
        <x:f>N24*'Formation Catalog'!M24</x:f>
        <x:v>2880</x:v>
      </x:c>
    </x:row>
    <x:row r="25">
      <x:c r="A25" s="76" t="str">
        <x:v>M-SSG</x:v>
      </x:c>
      <x:c r="B25" s="76" t="str">
        <x:v>Maritime Response</x:v>
      </x:c>
      <x:c r="C25" s="76" t="str">
        <x:v>Ocean sustainment group</x:v>
      </x:c>
      <x:c r="D25" s="78" t="n">
        <x:v>2</x:v>
      </x:c>
      <x:c r="E25" s="78" t="n">
        <x:v>4</x:v>
      </x:c>
      <x:c r="F25" s="78" t="n">
        <x:v>6</x:v>
      </x:c>
      <x:c r="G25" s="78" t="n">
        <x:v>1</x:v>
      </x:c>
      <x:c r="H25" s="78" t="n">
        <x:v>1</x:v>
      </x:c>
      <x:c r="I25" s="78" t="n">
        <x:v>2</x:v>
      </x:c>
      <x:c r="J25" s="78" t="n">
        <x:v>2</x:v>
      </x:c>
      <x:c r="K25" s="78" t="n">
        <x:v>4</x:v>
      </x:c>
      <x:c r="L25" s="78" t="n">
        <x:v>8</x:v>
      </x:c>
      <x:c r="M25" s="78" t="n">
        <x:v>8</x:v>
      </x:c>
      <x:c r="N25" s="94" t="n">
        <x:f>SUM(D25:M25)</x:f>
        <x:v>38</x:v>
      </x:c>
      <x:c r="O25" s="94" t="n">
        <x:f>L25+M25</x:f>
        <x:v>16</x:v>
      </x:c>
      <x:c r="P25" s="94" t="n">
        <x:f>N25*'Formation Catalog'!D25</x:f>
        <x:v>24700</x:v>
      </x:c>
      <x:c r="Q25" s="94" t="n">
        <x:f>N25*'Formation Catalog'!L25</x:f>
        <x:v>304000</x:v>
      </x:c>
      <x:c r="R25" s="94" t="n">
        <x:f>N25*'Formation Catalog'!M25</x:f>
        <x:v>4560</x:v>
      </x:c>
    </x:row>
    <x:row r="26">
      <x:c r="A26" s="57" t="str">
        <x:v>I-UPG</x:v>
      </x:c>
      <x:c r="B26" s="57" t="str">
        <x:v>Infrastructure Restoration</x:v>
      </x:c>
      <x:c r="C26" s="57" t="str">
        <x:v>Utility projection group</x:v>
      </x:c>
      <x:c r="D26" s="78" t="n">
        <x:v>10</x:v>
      </x:c>
      <x:c r="E26" s="78" t="n">
        <x:v>8</x:v>
      </x:c>
      <x:c r="F26" s="78" t="n">
        <x:v>12</x:v>
      </x:c>
      <x:c r="G26" s="78" t="n">
        <x:v>3</x:v>
      </x:c>
      <x:c r="H26" s="78" t="n">
        <x:v>6</x:v>
      </x:c>
      <x:c r="I26" s="78" t="n">
        <x:v>6</x:v>
      </x:c>
      <x:c r="J26" s="78" t="n">
        <x:v>5</x:v>
      </x:c>
      <x:c r="K26" s="78" t="n">
        <x:v>8</x:v>
      </x:c>
      <x:c r="L26" s="78" t="n">
        <x:v>10</x:v>
      </x:c>
      <x:c r="M26" s="78" t="n">
        <x:v>8</x:v>
      </x:c>
      <x:c r="N26" s="94" t="n">
        <x:f>SUM(D26:M26)</x:f>
        <x:v>76</x:v>
      </x:c>
      <x:c r="O26" s="94" t="n">
        <x:f>L26+M26</x:f>
        <x:v>18</x:v>
      </x:c>
      <x:c r="P26" s="94" t="n">
        <x:f>N26*'Formation Catalog'!D26</x:f>
        <x:v>45600</x:v>
      </x:c>
      <x:c r="Q26" s="94" t="n">
        <x:f>N26*'Formation Catalog'!L26</x:f>
        <x:v>912000</x:v>
      </x:c>
      <x:c r="R26" s="94" t="n">
        <x:f>N26*'Formation Catalog'!M26</x:f>
        <x:v>8360</x:v>
      </x:c>
    </x:row>
    <x:row r="27">
      <x:c r="A27" s="76" t="str">
        <x:v>I-CUG</x:v>
      </x:c>
      <x:c r="B27" s="76" t="str">
        <x:v>Infrastructure Restoration</x:v>
      </x:c>
      <x:c r="C27" s="76" t="str">
        <x:v>Communications utility group</x:v>
      </x:c>
      <x:c r="D27" s="78" t="n">
        <x:v>6</x:v>
      </x:c>
      <x:c r="E27" s="78" t="n">
        <x:v>6</x:v>
      </x:c>
      <x:c r="F27" s="78" t="n">
        <x:v>8</x:v>
      </x:c>
      <x:c r="G27" s="78" t="n">
        <x:v>4</x:v>
      </x:c>
      <x:c r="H27" s="78" t="n">
        <x:v>4</x:v>
      </x:c>
      <x:c r="I27" s="78" t="n">
        <x:v>5</x:v>
      </x:c>
      <x:c r="J27" s="78" t="n">
        <x:v>5</x:v>
      </x:c>
      <x:c r="K27" s="78" t="n">
        <x:v>5</x:v>
      </x:c>
      <x:c r="L27" s="78" t="n">
        <x:v>8</x:v>
      </x:c>
      <x:c r="M27" s="78" t="n">
        <x:v>8</x:v>
      </x:c>
      <x:c r="N27" s="94" t="n">
        <x:f>SUM(D27:M27)</x:f>
        <x:v>59</x:v>
      </x:c>
      <x:c r="O27" s="94" t="n">
        <x:f>L27+M27</x:f>
        <x:v>16</x:v>
      </x:c>
      <x:c r="P27" s="94" t="n">
        <x:f>N27*'Formation Catalog'!D27</x:f>
        <x:v>14750</x:v>
      </x:c>
      <x:c r="Q27" s="94" t="n">
        <x:f>N27*'Formation Catalog'!L27</x:f>
        <x:v>708000</x:v>
      </x:c>
      <x:c r="R27" s="94" t="n">
        <x:f>N27*'Formation Catalog'!M27</x:f>
        <x:v>6490</x:v>
      </x:c>
    </x:row>
    <x:row r="28">
      <x:c r="A28" s="57" t="str">
        <x:v>I-TSG</x:v>
      </x:c>
      <x:c r="B28" s="57" t="str">
        <x:v>Infrastructure Restoration</x:v>
      </x:c>
      <x:c r="C28" s="57" t="str">
        <x:v>Thermal safety group</x:v>
      </x:c>
      <x:c r="D28" s="78" t="n">
        <x:v>12</x:v>
      </x:c>
      <x:c r="E28" s="78" t="n">
        <x:v>6</x:v>
      </x:c>
      <x:c r="F28" s="78" t="n">
        <x:v>8</x:v>
      </x:c>
      <x:c r="G28" s="78" t="n">
        <x:v>4</x:v>
      </x:c>
      <x:c r="H28" s="78" t="n">
        <x:v>10</x:v>
      </x:c>
      <x:c r="I28" s="78" t="n">
        <x:v>3</x:v>
      </x:c>
      <x:c r="J28" s="78" t="n">
        <x:v>4</x:v>
      </x:c>
      <x:c r="K28" s="78" t="n">
        <x:v>5</x:v>
      </x:c>
      <x:c r="L28" s="78" t="n">
        <x:v>6</x:v>
      </x:c>
      <x:c r="M28" s="78" t="n">
        <x:v>5</x:v>
      </x:c>
      <x:c r="N28" s="94" t="n">
        <x:f>SUM(D28:M28)</x:f>
        <x:v>63</x:v>
      </x:c>
      <x:c r="O28" s="94" t="n">
        <x:f>L28+M28</x:f>
        <x:v>11</x:v>
      </x:c>
      <x:c r="P28" s="94" t="n">
        <x:f>N28*'Formation Catalog'!D28</x:f>
        <x:v>15750</x:v>
      </x:c>
      <x:c r="Q28" s="94" t="n">
        <x:f>N28*'Formation Catalog'!L28</x:f>
        <x:v>756000</x:v>
      </x:c>
      <x:c r="R28" s="94" t="n">
        <x:f>N28*'Formation Catalog'!M28</x:f>
        <x:v>6930</x:v>
      </x:c>
    </x:row>
    <x:row r="29">
      <x:c r="A29" s="76" t="str">
        <x:v>I-URG</x:v>
      </x:c>
      <x:c r="B29" s="76" t="str">
        <x:v>Infrastructure Restoration</x:v>
      </x:c>
      <x:c r="C29" s="76" t="str">
        <x:v>Utility reconstruction group</x:v>
      </x:c>
      <x:c r="D29" s="78" t="n">
        <x:v>8</x:v>
      </x:c>
      <x:c r="E29" s="78" t="n">
        <x:v>8</x:v>
      </x:c>
      <x:c r="F29" s="78" t="n">
        <x:v>12</x:v>
      </x:c>
      <x:c r="G29" s="78" t="n">
        <x:v>3</x:v>
      </x:c>
      <x:c r="H29" s="78" t="n">
        <x:v>4</x:v>
      </x:c>
      <x:c r="I29" s="78" t="n">
        <x:v>6</x:v>
      </x:c>
      <x:c r="J29" s="78" t="n">
        <x:v>8</x:v>
      </x:c>
      <x:c r="K29" s="78" t="n">
        <x:v>6</x:v>
      </x:c>
      <x:c r="L29" s="78" t="n">
        <x:v>10</x:v>
      </x:c>
      <x:c r="M29" s="78" t="n">
        <x:v>8</x:v>
      </x:c>
      <x:c r="N29" s="94" t="n">
        <x:f>SUM(D29:M29)</x:f>
        <x:v>73</x:v>
      </x:c>
      <x:c r="O29" s="94" t="n">
        <x:f>L29+M29</x:f>
        <x:v>18</x:v>
      </x:c>
      <x:c r="P29" s="94" t="n">
        <x:f>N29*'Formation Catalog'!D29</x:f>
        <x:v>32850</x:v>
      </x:c>
      <x:c r="Q29" s="94" t="n">
        <x:f>N29*'Formation Catalog'!L29</x:f>
        <x:v>876000</x:v>
      </x:c>
      <x:c r="R29" s="94" t="n">
        <x:f>N29*'Formation Catalog'!M29</x:f>
        <x:v>8030</x:v>
      </x:c>
    </x:row>
    <x:row r="30">
      <x:c r="A30" s="57" t="str">
        <x:v>H-CHC</x:v>
      </x:c>
      <x:c r="B30" s="57" t="str">
        <x:v>Health Protection</x:v>
      </x:c>
      <x:c r="C30" s="57" t="str">
        <x:v>Community health continuity group</x:v>
      </x:c>
      <x:c r="D30" s="78" t="n">
        <x:v>8</x:v>
      </x:c>
      <x:c r="E30" s="78" t="n">
        <x:v>8</x:v>
      </x:c>
      <x:c r="F30" s="78" t="n">
        <x:v>10</x:v>
      </x:c>
      <x:c r="G30" s="78" t="n">
        <x:v>4</x:v>
      </x:c>
      <x:c r="H30" s="78" t="n">
        <x:v>8</x:v>
      </x:c>
      <x:c r="I30" s="78" t="n">
        <x:v>5</x:v>
      </x:c>
      <x:c r="J30" s="78" t="n">
        <x:v>6</x:v>
      </x:c>
      <x:c r="K30" s="78" t="n">
        <x:v>6</x:v>
      </x:c>
      <x:c r="L30" s="78" t="n">
        <x:v>10</x:v>
      </x:c>
      <x:c r="M30" s="78" t="n">
        <x:v>10</x:v>
      </x:c>
      <x:c r="N30" s="94" t="n">
        <x:f>SUM(D30:M30)</x:f>
        <x:v>75</x:v>
      </x:c>
      <x:c r="O30" s="94" t="n">
        <x:f>L30+M30</x:f>
        <x:v>20</x:v>
      </x:c>
      <x:c r="P30" s="94" t="n">
        <x:f>N30*'Formation Catalog'!D30</x:f>
        <x:v>37500</x:v>
      </x:c>
      <x:c r="Q30" s="94" t="n">
        <x:f>N30*'Formation Catalog'!L30</x:f>
        <x:v>375000</x:v>
      </x:c>
      <x:c r="R30" s="94" t="n">
        <x:f>N30*'Formation Catalog'!M30</x:f>
        <x:v>4125</x:v>
      </x:c>
    </x:row>
    <x:row r="31">
      <x:c r="A31" s="76" t="str">
        <x:v>H-MAC</x:v>
      </x:c>
      <x:c r="B31" s="76" t="str">
        <x:v>Health Protection</x:v>
      </x:c>
      <x:c r="C31" s="76" t="str">
        <x:v>Mobile acute-care group</x:v>
      </x:c>
      <x:c r="D31" s="78" t="n">
        <x:v>4</x:v>
      </x:c>
      <x:c r="E31" s="78" t="n">
        <x:v>5</x:v>
      </x:c>
      <x:c r="F31" s="78" t="n">
        <x:v>8</x:v>
      </x:c>
      <x:c r="G31" s="78" t="n">
        <x:v>3</x:v>
      </x:c>
      <x:c r="H31" s="78" t="n">
        <x:v>4</x:v>
      </x:c>
      <x:c r="I31" s="78" t="n">
        <x:v>3</x:v>
      </x:c>
      <x:c r="J31" s="78" t="n">
        <x:v>5</x:v>
      </x:c>
      <x:c r="K31" s="78" t="n">
        <x:v>3</x:v>
      </x:c>
      <x:c r="L31" s="78" t="n">
        <x:v>8</x:v>
      </x:c>
      <x:c r="M31" s="78" t="n">
        <x:v>6</x:v>
      </x:c>
      <x:c r="N31" s="94" t="n">
        <x:f>SUM(D31:M31)</x:f>
        <x:v>49</x:v>
      </x:c>
      <x:c r="O31" s="94" t="n">
        <x:f>L31+M31</x:f>
        <x:v>14</x:v>
      </x:c>
      <x:c r="P31" s="94" t="n">
        <x:f>N31*'Formation Catalog'!D31</x:f>
        <x:v>29400</x:v>
      </x:c>
      <x:c r="Q31" s="94" t="n">
        <x:f>N31*'Formation Catalog'!L31</x:f>
        <x:v>245000</x:v>
      </x:c>
      <x:c r="R31" s="94" t="n">
        <x:f>N31*'Formation Catalog'!M31</x:f>
        <x:v>2695</x:v>
      </x:c>
    </x:row>
    <x:row r="32">
      <x:c r="A32" s="57" t="str">
        <x:v>H-PHC</x:v>
      </x:c>
      <x:c r="B32" s="57" t="str">
        <x:v>Health Protection</x:v>
      </x:c>
      <x:c r="C32" s="57" t="str">
        <x:v>Public-health control group</x:v>
      </x:c>
      <x:c r="D32" s="78" t="n">
        <x:v>4</x:v>
      </x:c>
      <x:c r="E32" s="78" t="n">
        <x:v>4</x:v>
      </x:c>
      <x:c r="F32" s="78" t="n">
        <x:v>5</x:v>
      </x:c>
      <x:c r="G32" s="78" t="n">
        <x:v>3</x:v>
      </x:c>
      <x:c r="H32" s="78" t="n">
        <x:v>4</x:v>
      </x:c>
      <x:c r="I32" s="78" t="n">
        <x:v>3</x:v>
      </x:c>
      <x:c r="J32" s="78" t="n">
        <x:v>3</x:v>
      </x:c>
      <x:c r="K32" s="78" t="n">
        <x:v>4</x:v>
      </x:c>
      <x:c r="L32" s="78" t="n">
        <x:v>6</x:v>
      </x:c>
      <x:c r="M32" s="78" t="n">
        <x:v>6</x:v>
      </x:c>
      <x:c r="N32" s="94" t="n">
        <x:f>SUM(D32:M32)</x:f>
        <x:v>42</x:v>
      </x:c>
      <x:c r="O32" s="94" t="n">
        <x:f>L32+M32</x:f>
        <x:v>12</x:v>
      </x:c>
      <x:c r="P32" s="94" t="n">
        <x:f>N32*'Formation Catalog'!D32</x:f>
        <x:v>10500</x:v>
      </x:c>
      <x:c r="Q32" s="94" t="n">
        <x:f>N32*'Formation Catalog'!L32</x:f>
        <x:v>210000</x:v>
      </x:c>
      <x:c r="R32" s="94" t="n">
        <x:f>N32*'Formation Catalog'!M32</x:f>
        <x:v>2310</x:v>
      </x:c>
    </x:row>
    <x:row r="33">
      <x:c r="A33" s="76" t="str">
        <x:v>H-HWR</x:v>
      </x:c>
      <x:c r="B33" s="76" t="str">
        <x:v>Health Protection</x:v>
      </x:c>
      <x:c r="C33" s="76" t="str">
        <x:v>Health workforce replacement group</x:v>
      </x:c>
      <x:c r="D33" s="78" t="n">
        <x:v>8</x:v>
      </x:c>
      <x:c r="E33" s="78" t="n">
        <x:v>8</x:v>
      </x:c>
      <x:c r="F33" s="78" t="n">
        <x:v>10</x:v>
      </x:c>
      <x:c r="G33" s="78" t="n">
        <x:v>4</x:v>
      </x:c>
      <x:c r="H33" s="78" t="n">
        <x:v>8</x:v>
      </x:c>
      <x:c r="I33" s="78" t="n">
        <x:v>5</x:v>
      </x:c>
      <x:c r="J33" s="78" t="n">
        <x:v>6</x:v>
      </x:c>
      <x:c r="K33" s="78" t="n">
        <x:v>6</x:v>
      </x:c>
      <x:c r="L33" s="78" t="n">
        <x:v>10</x:v>
      </x:c>
      <x:c r="M33" s="78" t="n">
        <x:v>10</x:v>
      </x:c>
      <x:c r="N33" s="94" t="n">
        <x:f>SUM(D33:M33)</x:f>
        <x:v>75</x:v>
      </x:c>
      <x:c r="O33" s="94" t="n">
        <x:f>L33+M33</x:f>
        <x:v>20</x:v>
      </x:c>
      <x:c r="P33" s="94" t="n">
        <x:f>N33*'Formation Catalog'!D33</x:f>
        <x:v>41250</x:v>
      </x:c>
      <x:c r="Q33" s="94" t="n">
        <x:f>N33*'Formation Catalog'!L33</x:f>
        <x:v>375000</x:v>
      </x:c>
      <x:c r="R33" s="94" t="n">
        <x:f>N33*'Formation Catalog'!M33</x:f>
        <x:v>4125</x:v>
      </x:c>
    </x:row>
    <x:row r="34">
      <x:c r="A34" s="57" t="str">
        <x:v>C-PSG</x:v>
      </x:c>
      <x:c r="B34" s="57" t="str">
        <x:v>Community Stabilization</x:v>
      </x:c>
      <x:c r="C34" s="57" t="str">
        <x:v>Population support group</x:v>
      </x:c>
      <x:c r="D34" s="78" t="n">
        <x:v>10</x:v>
      </x:c>
      <x:c r="E34" s="78" t="n">
        <x:v>14</x:v>
      </x:c>
      <x:c r="F34" s="78" t="n">
        <x:v>16</x:v>
      </x:c>
      <x:c r="G34" s="78" t="n">
        <x:v>4</x:v>
      </x:c>
      <x:c r="H34" s="78" t="n">
        <x:v>8</x:v>
      </x:c>
      <x:c r="I34" s="78" t="n">
        <x:v>8</x:v>
      </x:c>
      <x:c r="J34" s="78" t="n">
        <x:v>10</x:v>
      </x:c>
      <x:c r="K34" s="78" t="n">
        <x:v>8</x:v>
      </x:c>
      <x:c r="L34" s="78" t="n">
        <x:v>14</x:v>
      </x:c>
      <x:c r="M34" s="78" t="n">
        <x:v>16</x:v>
      </x:c>
      <x:c r="N34" s="94" t="n">
        <x:f>SUM(D34:M34)</x:f>
        <x:v>108</x:v>
      </x:c>
      <x:c r="O34" s="94" t="n">
        <x:f>L34+M34</x:f>
        <x:v>30</x:v>
      </x:c>
      <x:c r="P34" s="94" t="n">
        <x:f>N34*'Formation Catalog'!D34</x:f>
        <x:v>48600</x:v>
      </x:c>
      <x:c r="Q34" s="94" t="n">
        <x:f>N34*'Formation Catalog'!L34</x:f>
        <x:v>486000</x:v>
      </x:c>
      <x:c r="R34" s="94" t="n">
        <x:f>N34*'Formation Catalog'!M34</x:f>
        <x:v>8100</x:v>
      </x:c>
    </x:row>
    <x:row r="35">
      <x:c r="A35" s="76" t="str">
        <x:v>C-EGG</x:v>
      </x:c>
      <x:c r="B35" s="76" t="str">
        <x:v>Community Stabilization</x:v>
      </x:c>
      <x:c r="C35" s="76" t="str">
        <x:v>Essential-goods group</x:v>
      </x:c>
      <x:c r="D35" s="78" t="n">
        <x:v>10</x:v>
      </x:c>
      <x:c r="E35" s="78" t="n">
        <x:v>14</x:v>
      </x:c>
      <x:c r="F35" s="78" t="n">
        <x:v>16</x:v>
      </x:c>
      <x:c r="G35" s="78" t="n">
        <x:v>4</x:v>
      </x:c>
      <x:c r="H35" s="78" t="n">
        <x:v>8</x:v>
      </x:c>
      <x:c r="I35" s="78" t="n">
        <x:v>8</x:v>
      </x:c>
      <x:c r="J35" s="78" t="n">
        <x:v>10</x:v>
      </x:c>
      <x:c r="K35" s="78" t="n">
        <x:v>8</x:v>
      </x:c>
      <x:c r="L35" s="78" t="n">
        <x:v>14</x:v>
      </x:c>
      <x:c r="M35" s="78" t="n">
        <x:v>16</x:v>
      </x:c>
      <x:c r="N35" s="94" t="n">
        <x:f>SUM(D35:M35)</x:f>
        <x:v>108</x:v>
      </x:c>
      <x:c r="O35" s="94" t="n">
        <x:f>L35+M35</x:f>
        <x:v>30</x:v>
      </x:c>
      <x:c r="P35" s="94" t="n">
        <x:f>N35*'Formation Catalog'!D35</x:f>
        <x:v>37800</x:v>
      </x:c>
      <x:c r="Q35" s="94" t="n">
        <x:f>N35*'Formation Catalog'!L35</x:f>
        <x:v>486000</x:v>
      </x:c>
      <x:c r="R35" s="94" t="n">
        <x:f>N35*'Formation Catalog'!M35</x:f>
        <x:v>8100</x:v>
      </x:c>
    </x:row>
    <x:row r="36">
      <x:c r="A36" s="57" t="str">
        <x:v>C-CAG</x:v>
      </x:c>
      <x:c r="B36" s="57" t="str">
        <x:v>Community Stabilization</x:v>
      </x:c>
      <x:c r="C36" s="57" t="str">
        <x:v>Civil access group</x:v>
      </x:c>
      <x:c r="D36" s="78" t="n">
        <x:v>8</x:v>
      </x:c>
      <x:c r="E36" s="78" t="n">
        <x:v>10</x:v>
      </x:c>
      <x:c r="F36" s="78" t="n">
        <x:v>12</x:v>
      </x:c>
      <x:c r="G36" s="78" t="n">
        <x:v>4</x:v>
      </x:c>
      <x:c r="H36" s="78" t="n">
        <x:v>6</x:v>
      </x:c>
      <x:c r="I36" s="78" t="n">
        <x:v>6</x:v>
      </x:c>
      <x:c r="J36" s="78" t="n">
        <x:v>8</x:v>
      </x:c>
      <x:c r="K36" s="78" t="n">
        <x:v>6</x:v>
      </x:c>
      <x:c r="L36" s="78" t="n">
        <x:v>10</x:v>
      </x:c>
      <x:c r="M36" s="78" t="n">
        <x:v>12</x:v>
      </x:c>
      <x:c r="N36" s="94" t="n">
        <x:f>SUM(D36:M36)</x:f>
        <x:v>82</x:v>
      </x:c>
      <x:c r="O36" s="94" t="n">
        <x:f>L36+M36</x:f>
        <x:v>22</x:v>
      </x:c>
      <x:c r="P36" s="94" t="n">
        <x:f>N36*'Formation Catalog'!D36</x:f>
        <x:v>14760</x:v>
      </x:c>
      <x:c r="Q36" s="94" t="n">
        <x:f>N36*'Formation Catalog'!L36</x:f>
        <x:v>369000</x:v>
      </x:c>
      <x:c r="R36" s="94" t="n">
        <x:f>N36*'Formation Catalog'!M36</x:f>
        <x:v>6150</x:v>
      </x:c>
    </x:row>
    <x:row r="37">
      <x:c r="A37" s="76" t="str">
        <x:v>C-DTG</x:v>
      </x:c>
      <x:c r="B37" s="76" t="str">
        <x:v>Community Stabilization</x:v>
      </x:c>
      <x:c r="C37" s="76" t="str">
        <x:v>Displacement transition group</x:v>
      </x:c>
      <x:c r="D37" s="78" t="n">
        <x:v>6</x:v>
      </x:c>
      <x:c r="E37" s="78" t="n">
        <x:v>10</x:v>
      </x:c>
      <x:c r="F37" s="78" t="n">
        <x:v>12</x:v>
      </x:c>
      <x:c r="G37" s="78" t="n">
        <x:v>2</x:v>
      </x:c>
      <x:c r="H37" s="78" t="n">
        <x:v>6</x:v>
      </x:c>
      <x:c r="I37" s="78" t="n">
        <x:v>5</x:v>
      </x:c>
      <x:c r="J37" s="78" t="n">
        <x:v>8</x:v>
      </x:c>
      <x:c r="K37" s="78" t="n">
        <x:v>6</x:v>
      </x:c>
      <x:c r="L37" s="78" t="n">
        <x:v>10</x:v>
      </x:c>
      <x:c r="M37" s="78" t="n">
        <x:v>14</x:v>
      </x:c>
      <x:c r="N37" s="94" t="n">
        <x:f>SUM(D37:M37)</x:f>
        <x:v>79</x:v>
      </x:c>
      <x:c r="O37" s="94" t="n">
        <x:f>L37+M37</x:f>
        <x:v>24</x:v>
      </x:c>
      <x:c r="P37" s="94" t="n">
        <x:f>N37*'Formation Catalog'!D37</x:f>
        <x:v>23700</x:v>
      </x:c>
      <x:c r="Q37" s="94" t="n">
        <x:f>N37*'Formation Catalog'!L37</x:f>
        <x:v>355500</x:v>
      </x:c>
      <x:c r="R37" s="94" t="n">
        <x:f>N37*'Formation Catalog'!M37</x:f>
        <x:v>5925</x:v>
      </x:c>
    </x:row>
    <x:row r="38">
      <x:c r="A38" s="57" t="str">
        <x:v>C-CIG</x:v>
      </x:c>
      <x:c r="B38" s="57" t="str">
        <x:v>Community Stabilization</x:v>
      </x:c>
      <x:c r="C38" s="57" t="str">
        <x:v>Community institutions group</x:v>
      </x:c>
      <x:c r="D38" s="78" t="n">
        <x:v>6</x:v>
      </x:c>
      <x:c r="E38" s="78" t="n">
        <x:v>8</x:v>
      </x:c>
      <x:c r="F38" s="78" t="n">
        <x:v>10</x:v>
      </x:c>
      <x:c r="G38" s="78" t="n">
        <x:v>3</x:v>
      </x:c>
      <x:c r="H38" s="78" t="n">
        <x:v>5</x:v>
      </x:c>
      <x:c r="I38" s="78" t="n">
        <x:v>5</x:v>
      </x:c>
      <x:c r="J38" s="78" t="n">
        <x:v>6</x:v>
      </x:c>
      <x:c r="K38" s="78" t="n">
        <x:v>5</x:v>
      </x:c>
      <x:c r="L38" s="78" t="n">
        <x:v>8</x:v>
      </x:c>
      <x:c r="M38" s="78" t="n">
        <x:v>10</x:v>
      </x:c>
      <x:c r="N38" s="94" t="n">
        <x:f>SUM(D38:M38)</x:f>
        <x:v>66</x:v>
      </x:c>
      <x:c r="O38" s="94" t="n">
        <x:f>L38+M38</x:f>
        <x:v>18</x:v>
      </x:c>
      <x:c r="P38" s="94" t="n">
        <x:f>N38*'Formation Catalog'!D38</x:f>
        <x:v>16500</x:v>
      </x:c>
      <x:c r="Q38" s="94" t="n">
        <x:f>N38*'Formation Catalog'!L38</x:f>
        <x:v>297000</x:v>
      </x:c>
      <x:c r="R38" s="94" t="n">
        <x:f>N38*'Formation Catalog'!M38</x:f>
        <x:v>4950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2" hidden="0" customWidth="1"/>
  </x:cols>
  <x:sheetData>
    <x:row r="1" ht="24" customHeight="1">
      <x:c r="A1" s="50" t="str">
        <x:v>Campaign Demand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2" t="str">
        <x:v>Campaign totals expose the human, movement and sustainment scale before force generation.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</x:row>
    <x:row r="4" ht="32" customHeight="1">
      <x:c r="A4" s="59" t="str">
        <x:v>ID</x:v>
      </x:c>
      <x:c r="B4" s="60" t="str">
        <x:v>Class</x:v>
      </x:c>
      <x:c r="C4" s="60" t="str">
        <x:v>Campaign</x:v>
      </x:c>
      <x:c r="D4" s="60" t="str">
        <x:v>Deployed people</x:v>
      </x:c>
      <x:c r="E4" s="60" t="str">
        <x:v>Deployable mass t</x:v>
      </x:c>
      <x:c r="F4" s="60" t="str">
        <x:v>Supply t/day</x:v>
      </x:c>
      <x:c r="G4" s="60" t="str">
        <x:v>Theater-opening commands</x:v>
      </x:c>
      <x:c r="H4" s="60" t="str">
        <x:v>Sustainment commands</x:v>
      </x:c>
      <x:c r="I4" s="60" t="str">
        <x:v>Utility groups</x:v>
      </x:c>
      <x:c r="J4" s="61" t="str">
        <x:v>Interpretation</x:v>
      </x:c>
    </x:row>
    <x:row r="5">
      <x:c r="A5" s="76" t="str">
        <x:v>C1</x:v>
      </x:c>
      <x:c r="B5" s="76" t="str">
        <x:v>Catastrophic</x:v>
      </x:c>
      <x:c r="C5" s="76" t="str">
        <x:v>Continental grid failure during temperature extreme</x:v>
      </x:c>
      <x:c r="D5" s="94" t="n">
        <x:f>SUMPRODUCT('Package Matrix'!D$5:D$38,'Formation Catalog'!$D$5:$D$38)</x:f>
        <x:v>58510</x:v>
      </x:c>
      <x:c r="E5" s="94" t="n">
        <x:f>SUMPRODUCT('Package Matrix'!D$5:D$38,'Formation Catalog'!$L$5:$L$38)</x:f>
        <x:v>996800</x:v>
      </x:c>
      <x:c r="F5" s="94" t="n">
        <x:f>SUMPRODUCT('Package Matrix'!D$5:D$38,'Formation Catalog'!$M$5:$M$38)</x:f>
        <x:v>12230</x:v>
      </x:c>
      <x:c r="G5" s="94" t="n">
        <x:f>'Package Matrix'!D$6</x:f>
        <x:v>2</x:v>
      </x:c>
      <x:c r="H5" s="94" t="n">
        <x:f>'Package Matrix'!D$7</x:f>
        <x:v>3</x:v>
      </x:c>
      <x:c r="I5" s="94" t="n">
        <x:f>'Package Matrix'!D$26</x:f>
        <x:v>10</x:v>
      </x:c>
      <x:c r="J5" s="76" t="str">
        <x:v>Systemic power, thermal, water, communications and health cascade</x:v>
      </x:c>
    </x:row>
    <x:row r="6">
      <x:c r="A6" s="57" t="str">
        <x:v>C2</x:v>
      </x:c>
      <x:c r="B6" s="57" t="str">
        <x:v>Catastrophic</x:v>
      </x:c>
      <x:c r="C6" s="57" t="str">
        <x:v>Sequential Gulf–Atlantic hurricane</x:v>
      </x:c>
      <x:c r="D6" s="94" t="n">
        <x:f>SUMPRODUCT('Package Matrix'!E$5:E$38,'Formation Catalog'!$D$5:$D$38)</x:f>
        <x:v>83600</x:v>
      </x:c>
      <x:c r="E6" s="94" t="n">
        <x:f>SUMPRODUCT('Package Matrix'!E$5:E$38,'Formation Catalog'!$L$5:$L$38)</x:f>
        <x:v>1345600</x:v>
      </x:c>
      <x:c r="F6" s="94" t="n">
        <x:f>SUMPRODUCT('Package Matrix'!E$5:E$38,'Formation Catalog'!$M$5:$M$38)</x:f>
        <x:v>17335</x:v>
      </x:c>
      <x:c r="G6" s="94" t="n">
        <x:f>'Package Matrix'!E$6</x:f>
        <x:v>3</x:v>
      </x:c>
      <x:c r="H6" s="94" t="n">
        <x:f>'Package Matrix'!E$7</x:f>
        <x:v>4</x:v>
      </x:c>
      <x:c r="I6" s="94" t="n">
        <x:f>'Package Matrix'!E$26</x:f>
        <x:v>8</x:v>
      </x:c>
      <x:c r="J6" s="57" t="str">
        <x:v>Forecast staging followed by wind, surge, flood and port disruption</x:v>
      </x:c>
    </x:row>
    <x:row r="7">
      <x:c r="A7" s="76" t="str">
        <x:v>C3</x:v>
      </x:c>
      <x:c r="B7" s="76" t="str">
        <x:v>Catastrophic</x:v>
      </x:c>
      <x:c r="C7" s="76" t="str">
        <x:v>Cascadia earthquake and tsunami</x:v>
      </x:c>
      <x:c r="D7" s="94" t="n">
        <x:f>SUMPRODUCT('Package Matrix'!F$5:F$38,'Formation Catalog'!$D$5:$D$38)</x:f>
        <x:v>108110</x:v>
      </x:c>
      <x:c r="E7" s="94" t="n">
        <x:f>SUMPRODUCT('Package Matrix'!F$5:F$38,'Formation Catalog'!$L$5:$L$38)</x:f>
        <x:v>1762600</x:v>
      </x:c>
      <x:c r="F7" s="94" t="n">
        <x:f>SUMPRODUCT('Package Matrix'!F$5:F$38,'Formation Catalog'!$M$5:$M$38)</x:f>
        <x:v>22520</x:v>
      </x:c>
      <x:c r="G7" s="94" t="n">
        <x:f>'Package Matrix'!F$6</x:f>
        <x:v>4</x:v>
      </x:c>
      <x:c r="H7" s="94" t="n">
        <x:f>'Package Matrix'!F$7</x:f>
        <x:v>5</x:v>
      </x:c>
      <x:c r="I7" s="94" t="n">
        <x:f>'Package Matrix'!F$26</x:f>
        <x:v>12</x:v>
      </x:c>
      <x:c r="J7" s="76" t="str">
        <x:v>No-notice isolation, damaged ports, lifelines and medical evacuation</x:v>
      </x:c>
    </x:row>
    <x:row r="8">
      <x:c r="A8" s="57" t="str">
        <x:v>M1</x:v>
      </x:c>
      <x:c r="B8" s="57" t="str">
        <x:v>Major</x:v>
      </x:c>
      <x:c r="C8" s="57" t="str">
        <x:v>Western wildfire–heat–smoke complex</x:v>
      </x:c>
      <x:c r="D8" s="94" t="n">
        <x:f>SUMPRODUCT('Package Matrix'!G$5:G$38,'Formation Catalog'!$D$5:$D$38)</x:f>
        <x:v>41960</x:v>
      </x:c>
      <x:c r="E8" s="94" t="n">
        <x:f>SUMPRODUCT('Package Matrix'!G$5:G$38,'Formation Catalog'!$L$5:$L$38)</x:f>
        <x:v>646100</x:v>
      </x:c>
      <x:c r="F8" s="94" t="n">
        <x:f>SUMPRODUCT('Package Matrix'!G$5:G$38,'Formation Catalog'!$M$5:$M$38)</x:f>
        <x:v>8475</x:v>
      </x:c>
      <x:c r="G8" s="94" t="n">
        <x:f>'Package Matrix'!G$6</x:f>
        <x:v>1</x:v>
      </x:c>
      <x:c r="H8" s="94" t="n">
        <x:f>'Package Matrix'!G$7</x:f>
        <x:v>2</x:v>
      </x:c>
      <x:c r="I8" s="94" t="n">
        <x:f>'Package Matrix'!G$26</x:f>
        <x:v>3</x:v>
      </x:c>
      <x:c r="J8" s="57" t="str">
        <x:v>Distributed early attack, campaign fire control, smoke and grid stress</x:v>
      </x:c>
    </x:row>
    <x:row r="9">
      <x:c r="A9" s="76" t="str">
        <x:v>M2</x:v>
      </x:c>
      <x:c r="B9" s="76" t="str">
        <x:v>Major</x:v>
      </x:c>
      <x:c r="C9" s="76" t="str">
        <x:v>Urban heat emergency</x:v>
      </x:c>
      <x:c r="D9" s="94" t="n">
        <x:f>SUMPRODUCT('Package Matrix'!H$5:H$38,'Formation Catalog'!$D$5:$D$38)</x:f>
        <x:v>45210</x:v>
      </x:c>
      <x:c r="E9" s="94" t="n">
        <x:f>SUMPRODUCT('Package Matrix'!H$5:H$38,'Formation Catalog'!$L$5:$L$38)</x:f>
        <x:v>725100</x:v>
      </x:c>
      <x:c r="F9" s="94" t="n">
        <x:f>SUMPRODUCT('Package Matrix'!H$5:H$38,'Formation Catalog'!$M$5:$M$38)</x:f>
        <x:v>9145</x:v>
      </x:c>
      <x:c r="G9" s="94" t="n">
        <x:f>'Package Matrix'!H$6</x:f>
        <x:v>1</x:v>
      </x:c>
      <x:c r="H9" s="94" t="n">
        <x:f>'Package Matrix'!H$7</x:f>
        <x:v>2</x:v>
      </x:c>
      <x:c r="I9" s="94" t="n">
        <x:f>'Package Matrix'!H$26</x:f>
        <x:v>6</x:v>
      </x:c>
      <x:c r="J9" s="76" t="str">
        <x:v>Cooling, health surveillance, power and accessible public service</x:v>
      </x:c>
    </x:row>
    <x:row r="10">
      <x:c r="A10" s="57" t="str">
        <x:v>M3</x:v>
      </x:c>
      <x:c r="B10" s="57" t="str">
        <x:v>Major</x:v>
      </x:c>
      <x:c r="C10" s="57" t="str">
        <x:v>Inland flood</x:v>
      </x:c>
      <x:c r="D10" s="94" t="n">
        <x:f>SUMPRODUCT('Package Matrix'!I$5:I$38,'Formation Catalog'!$D$5:$D$38)</x:f>
        <x:v>57230</x:v>
      </x:c>
      <x:c r="E10" s="94" t="n">
        <x:f>SUMPRODUCT('Package Matrix'!I$5:I$38,'Formation Catalog'!$L$5:$L$38)</x:f>
        <x:v>984600</x:v>
      </x:c>
      <x:c r="F10" s="94" t="n">
        <x:f>SUMPRODUCT('Package Matrix'!I$5:I$38,'Formation Catalog'!$M$5:$M$38)</x:f>
        <x:v>12195</x:v>
      </x:c>
      <x:c r="G10" s="94" t="n">
        <x:f>'Package Matrix'!I$6</x:f>
        <x:v>2</x:v>
      </x:c>
      <x:c r="H10" s="94" t="n">
        <x:f>'Package Matrix'!I$7</x:f>
        <x:v>3</x:v>
      </x:c>
      <x:c r="I10" s="94" t="n">
        <x:f>'Package Matrix'!I$26</x:f>
        <x:v>6</x:v>
      </x:c>
      <x:c r="J10" s="57" t="str">
        <x:v>Hydraulic control, dewatering, access, debris and community support</x:v>
      </x:c>
    </x:row>
    <x:row r="11">
      <x:c r="A11" s="76" t="str">
        <x:v>M4</x:v>
      </x:c>
      <x:c r="B11" s="76" t="str">
        <x:v>Major</x:v>
      </x:c>
      <x:c r="C11" s="76" t="str">
        <x:v>Regional tornado sequence</x:v>
      </x:c>
      <x:c r="D11" s="94" t="n">
        <x:f>SUMPRODUCT('Package Matrix'!J$5:J$38,'Formation Catalog'!$D$5:$D$38)</x:f>
        <x:v>64070</x:v>
      </x:c>
      <x:c r="E11" s="94" t="n">
        <x:f>SUMPRODUCT('Package Matrix'!J$5:J$38,'Formation Catalog'!$L$5:$L$38)</x:f>
        <x:v>1065600</x:v>
      </x:c>
      <x:c r="F11" s="94" t="n">
        <x:f>SUMPRODUCT('Package Matrix'!J$5:J$38,'Formation Catalog'!$M$5:$M$38)</x:f>
        <x:v>13465</x:v>
      </x:c>
      <x:c r="G11" s="94" t="n">
        <x:f>'Package Matrix'!J$6</x:f>
        <x:v>2</x:v>
      </x:c>
      <x:c r="H11" s="94" t="n">
        <x:f>'Package Matrix'!J$7</x:f>
        <x:v>3</x:v>
      </x:c>
      <x:c r="I11" s="94" t="n">
        <x:f>'Package Matrix'!J$26</x:f>
        <x:v>5</x:v>
      </x:c>
      <x:c r="J11" s="76" t="str">
        <x:v>Distributed rescue, utilities, temporary works and shelter transition</x:v>
      </x:c>
    </x:row>
    <x:row r="12">
      <x:c r="A12" s="57" t="str">
        <x:v>M5</x:v>
      </x:c>
      <x:c r="B12" s="57" t="str">
        <x:v>Major</x:v>
      </x:c>
      <x:c r="C12" s="57" t="str">
        <x:v>Territorial drought and water emergency</x:v>
      </x:c>
      <x:c r="D12" s="94" t="n">
        <x:f>SUMPRODUCT('Package Matrix'!K$5:K$38,'Formation Catalog'!$D$5:$D$38)</x:f>
        <x:v>56280</x:v>
      </x:c>
      <x:c r="E12" s="94" t="n">
        <x:f>SUMPRODUCT('Package Matrix'!K$5:K$38,'Formation Catalog'!$L$5:$L$38)</x:f>
        <x:v>899100</x:v>
      </x:c>
      <x:c r="F12" s="94" t="n">
        <x:f>SUMPRODUCT('Package Matrix'!K$5:K$38,'Formation Catalog'!$M$5:$M$38)</x:f>
        <x:v>11625</x:v>
      </x:c>
      <x:c r="G12" s="94" t="n">
        <x:f>'Package Matrix'!K$6</x:f>
        <x:v>2</x:v>
      </x:c>
      <x:c r="H12" s="94" t="n">
        <x:f>'Package Matrix'!K$7</x:f>
        <x:v>3</x:v>
      </x:c>
      <x:c r="I12" s="94" t="n">
        <x:f>'Package Matrix'!K$26</x:f>
        <x:v>8</x:v>
      </x:c>
      <x:c r="J12" s="57" t="str">
        <x:v>Water supply, firm power, distribution and long-duration continuity</x:v>
      </x:c>
    </x:row>
    <x:row r="13">
      <x:c r="A13" s="76" t="str">
        <x:v>G1</x:v>
      </x:c>
      <x:c r="B13" s="76" t="str">
        <x:v>Global</x:v>
      </x:c>
      <x:c r="C13" s="76" t="str">
        <x:v>Allied coastal megacity earthquake</x:v>
      </x:c>
      <x:c r="D13" s="94" t="n">
        <x:f>SUMPRODUCT('Package Matrix'!L$5:L$38,'Formation Catalog'!$D$5:$D$38)</x:f>
        <x:v>99430</x:v>
      </x:c>
      <x:c r="E13" s="94" t="n">
        <x:f>SUMPRODUCT('Package Matrix'!L$5:L$38,'Formation Catalog'!$L$5:$L$38)</x:f>
        <x:v>1573600</x:v>
      </x:c>
      <x:c r="F13" s="94" t="n">
        <x:f>SUMPRODUCT('Package Matrix'!L$5:L$38,'Formation Catalog'!$M$5:$M$38)</x:f>
        <x:v>20400</x:v>
      </x:c>
      <x:c r="G13" s="94" t="n">
        <x:f>'Package Matrix'!L$6</x:f>
        <x:v>3</x:v>
      </x:c>
      <x:c r="H13" s="94" t="n">
        <x:f>'Package Matrix'!L$7</x:f>
        <x:v>4</x:v>
      </x:c>
      <x:c r="I13" s="94" t="n">
        <x:f>'Package Matrix'!L$26</x:f>
        <x:v>10</x:v>
      </x:c>
      <x:c r="J13" s="76" t="str">
        <x:v>Invited intercontinental utility, access, health and stabilization mission</x:v>
      </x:c>
    </x:row>
    <x:row r="14">
      <x:c r="A14" s="57" t="str">
        <x:v>G2</x:v>
      </x:c>
      <x:c r="B14" s="57" t="str">
        <x:v>Global</x:v>
      </x:c>
      <x:c r="C14" s="57" t="str">
        <x:v>Regional flood and displacement mission</x:v>
      </x:c>
      <x:c r="D14" s="94" t="n">
        <x:f>SUMPRODUCT('Package Matrix'!M$5:M$38,'Formation Catalog'!$D$5:$D$38)</x:f>
        <x:v>100090</x:v>
      </x:c>
      <x:c r="E14" s="94" t="n">
        <x:f>SUMPRODUCT('Package Matrix'!M$5:M$38,'Formation Catalog'!$L$5:$L$38)</x:f>
        <x:v>1581600</x:v>
      </x:c>
      <x:c r="F14" s="94" t="n">
        <x:f>SUMPRODUCT('Package Matrix'!M$5:M$38,'Formation Catalog'!$M$5:$M$38)</x:f>
        <x:v>20860</x:v>
      </x:c>
      <x:c r="G14" s="94" t="n">
        <x:f>'Package Matrix'!M$6</x:f>
        <x:v>3</x:v>
      </x:c>
      <x:c r="H14" s="94" t="n">
        <x:f>'Package Matrix'!M$7</x:f>
        <x:v>4</x:v>
      </x:c>
      <x:c r="I14" s="94" t="n">
        <x:f>'Package Matrix'!M$26</x:f>
        <x:v>8</x:v>
      </x:c>
      <x:c r="J14" s="57" t="str">
        <x:v>Invited multijurisdictional flood, shelter and public-service mission</x:v>
      </x:c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</x:row>
    <x:row r="17">
      <x:c r="A17" s="54" t="str">
        <x:v>Concurrent scale</x:v>
      </x:c>
      <x:c r="B17" s="58"/>
      <x:c r="C17" s="58"/>
      <x:c r="D17" s="58"/>
      <x:c r="E17" s="58"/>
      <x:c r="F17" s="58"/>
      <x:c r="G17" s="58"/>
      <x:c r="H17" s="58"/>
      <x:c r="I17" s="58"/>
      <x:c r="J17" s="58"/>
    </x:row>
    <x:row r="18" ht="32" customHeight="1">
      <x:c r="A18" s="59" t="str">
        <x:v>Measure</x:v>
      </x:c>
      <x:c r="B18" s="60" t="str">
        <x:v>Value</x:v>
      </x:c>
      <x:c r="C18" s="60" t="str">
        <x:v>Unit</x:v>
      </x:c>
      <x:c r="D18" s="60" t="str">
        <x:v>State</x:v>
      </x:c>
      <x:c r="E18" s="61" t="str">
        <x:v>Meaning</x:v>
      </x:c>
      <x:c r="F18" s="57"/>
      <x:c r="G18" s="57"/>
      <x:c r="H18" s="57"/>
      <x:c r="I18" s="57"/>
      <x:c r="J18" s="57"/>
    </x:row>
    <x:row r="19">
      <x:c r="A19" s="57" t="str">
        <x:v>People simultaneously deployed</x:v>
      </x:c>
      <x:c r="B19" s="94" t="n">
        <x:f>SUM(D5:D14)</x:f>
        <x:v>714490</x:v>
      </x:c>
      <x:c r="C19" s="57" t="str">
        <x:v>people</x:v>
      </x:c>
      <x:c r="D19" s="57" t="str">
        <x:f>IF(B19&gt;500000,"PASS","FAIL")</x:f>
        <x:v>PASS</x:v>
      </x:c>
      <x:c r="E19" s="57" t="str">
        <x:v>Before rotation and institutional force</x:v>
      </x:c>
      <x:c r="F19" s="57"/>
      <x:c r="G19" s="57"/>
      <x:c r="H19" s="57"/>
      <x:c r="I19" s="57"/>
      <x:c r="J19" s="57"/>
    </x:row>
    <x:row r="20">
      <x:c r="A20" s="57" t="str">
        <x:v>Formation-equivalent demand</x:v>
      </x:c>
      <x:c r="B20" s="94" t="n">
        <x:f>SUM('Package Matrix'!N5:N38)</x:f>
        <x:v>1750</x:v>
      </x:c>
      <x:c r="C20" s="57" t="str">
        <x:v>units</x:v>
      </x:c>
      <x:c r="D20" s="57" t="str">
        <x:f>IF(B20&gt;1000,"PASS","FAIL")</x:f>
        <x:v>PASS</x:v>
      </x:c>
      <x:c r="E20" s="57" t="str">
        <x:v>Sum across all 34 families</x:v>
      </x:c>
      <x:c r="F20" s="57"/>
      <x:c r="G20" s="57"/>
      <x:c r="H20" s="57"/>
      <x:c r="I20" s="57"/>
      <x:c r="J20" s="57"/>
    </x:row>
    <x:row r="21">
      <x:c r="A21" s="57" t="str">
        <x:v>Daily sustainment signal</x:v>
      </x:c>
      <x:c r="B21" s="94" t="n">
        <x:f>SUM(F5:F14)</x:f>
        <x:v>148250</x:v>
      </x:c>
      <x:c r="C21" s="57" t="str">
        <x:v>t/day</x:v>
      </x:c>
      <x:c r="D21" s="57" t="str">
        <x:f>IF(B21&gt;0,"PASS","FAIL")</x:f>
        <x:v>PASS</x:v>
      </x:c>
      <x:c r="E21" s="57" t="str">
        <x:v>Formation supply assumptions only</x:v>
      </x:c>
      <x:c r="F21" s="57"/>
      <x:c r="G21" s="57"/>
      <x:c r="H21" s="57"/>
      <x:c r="I21" s="57"/>
      <x:c r="J21" s="57"/>
    </x:row>
  </x:sheetData>
  <x:mergeCells>
    <x:mergeCell ref="A1:J1"/>
    <x:mergeCell ref="A2:J2"/>
  </x:mergeCells>
  <x:conditionalFormatting sqref="D19:D21">
    <x:cfRule type="containsText" dxfId="4" priority="1" operator="containsText" text="PASS"/>
    <x:cfRule type="containsText" dxfId="5" priority="2" operator="containsText" text="OPEN"/>
    <x:cfRule type="containsText" dxfId="6" priority="3" operator="containsText" text="FAIL"/>
    <x:cfRule type="containsText" dxfId="7" priority="4" operator="containsText" text="SHORT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24" hidden="0" customWidth="1"/>
    <x:col min="10" max="10" width="52" hidden="0" customWidth="1"/>
  </x:cols>
  <x:sheetData>
    <x:row r="1" ht="24" customHeight="1">
      <x:c r="A1" s="50" t="str">
        <x:v>Readiness Vectors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2" t="str">
        <x:v>Ready capacity is limited by the weakest complete-formation dimension, not average equipment availability.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</x:row>
    <x:row r="4" ht="32" customHeight="1">
      <x:c r="A4" s="59" t="str">
        <x:v>ID</x:v>
      </x:c>
      <x:c r="B4" s="60" t="str">
        <x:v>Formation</x:v>
      </x:c>
      <x:c r="C4" s="60" t="str">
        <x:v>Material</x:v>
      </x:c>
      <x:c r="D4" s="60" t="str">
        <x:v>Personnel</x:v>
      </x:c>
      <x:c r="E4" s="60" t="str">
        <x:v>Movement</x:v>
      </x:c>
      <x:c r="F4" s="60" t="str">
        <x:v>Reception</x:v>
      </x:c>
      <x:c r="G4" s="60" t="str">
        <x:v>Sustainment</x:v>
      </x:c>
      <x:c r="H4" s="60" t="str">
        <x:v>Bottleneck</x:v>
      </x:c>
      <x:c r="I4" s="60" t="str">
        <x:v>Binding dimension</x:v>
      </x:c>
      <x:c r="J4" s="61" t="str">
        <x:v>Boundary</x:v>
      </x:c>
    </x:row>
    <x:row r="5">
      <x:c r="A5" s="76" t="str">
        <x:v>J-CIE</x:v>
      </x:c>
      <x:c r="B5" s="76" t="str">
        <x:v>Civil integration and effects group</x:v>
      </x:c>
      <x:c r="C5" s="97" t="n">
        <x:f>'Formation Catalog'!F5</x:f>
        <x:v>0.82</x:v>
      </x:c>
      <x:c r="D5" s="97" t="n">
        <x:f>'Formation Catalog'!G5</x:f>
        <x:v>0.8</x:v>
      </x:c>
      <x:c r="E5" s="97" t="n">
        <x:f>'Formation Catalog'!H5</x:f>
        <x:v>0.78</x:v>
      </x:c>
      <x:c r="F5" s="97" t="n">
        <x:f>'Formation Catalog'!I5</x:f>
        <x:v>0.8</x:v>
      </x:c>
      <x:c r="G5" s="97" t="n">
        <x:f>'Formation Catalog'!J5</x:f>
        <x:v>0.82</x:v>
      </x:c>
      <x:c r="H5" s="97" t="n">
        <x:f>MIN(C5:G5)</x:f>
        <x:v>0.78</x:v>
      </x:c>
      <x:c r="I5" s="85" t="str">
        <x:f>IF(C5=H5,"Material",IF(D5=H5,"Personnel",IF(E5=H5,"Movement",IF(F5=H5,"Reception","Sustainment"))))</x:f>
        <x:v>Movement</x:v>
      </x:c>
      <x:c r="J5" s="76" t="str">
        <x:v>Fractions represent complete-formation capacity, not independent probabilities</x:v>
      </x:c>
    </x:row>
    <x:row r="6">
      <x:c r="A6" s="57" t="str">
        <x:v>J-TOC</x:v>
      </x:c>
      <x:c r="B6" s="57" t="str">
        <x:v>Theater-opening command</x:v>
      </x:c>
      <x:c r="C6" s="97" t="n">
        <x:f>'Formation Catalog'!F6</x:f>
        <x:v>0.82</x:v>
      </x:c>
      <x:c r="D6" s="97" t="n">
        <x:f>'Formation Catalog'!G6</x:f>
        <x:v>0.8</x:v>
      </x:c>
      <x:c r="E6" s="97" t="n">
        <x:f>'Formation Catalog'!H6</x:f>
        <x:v>0.78</x:v>
      </x:c>
      <x:c r="F6" s="97" t="n">
        <x:f>'Formation Catalog'!I6</x:f>
        <x:v>0.8</x:v>
      </x:c>
      <x:c r="G6" s="97" t="n">
        <x:f>'Formation Catalog'!J6</x:f>
        <x:v>0.82</x:v>
      </x:c>
      <x:c r="H6" s="97" t="n">
        <x:f>MIN(C6:G6)</x:f>
        <x:v>0.78</x:v>
      </x:c>
      <x:c r="I6" s="85" t="str">
        <x:f>IF(C6=H6,"Material",IF(D6=H6,"Personnel",IF(E6=H6,"Movement",IF(F6=H6,"Reception","Sustainment"))))</x:f>
        <x:v>Movement</x:v>
      </x:c>
      <x:c r="J6" s="57" t="str">
        <x:v>Fractions represent complete-formation capacity, not independent probabilities</x:v>
      </x:c>
    </x:row>
    <x:row r="7">
      <x:c r="A7" s="76" t="str">
        <x:v>J-TSC</x:v>
      </x:c>
      <x:c r="B7" s="76" t="str">
        <x:v>Theater sustainment command</x:v>
      </x:c>
      <x:c r="C7" s="97" t="n">
        <x:f>'Formation Catalog'!F7</x:f>
        <x:v>0.82</x:v>
      </x:c>
      <x:c r="D7" s="97" t="n">
        <x:f>'Formation Catalog'!G7</x:f>
        <x:v>0.8</x:v>
      </x:c>
      <x:c r="E7" s="97" t="n">
        <x:f>'Formation Catalog'!H7</x:f>
        <x:v>0.78</x:v>
      </x:c>
      <x:c r="F7" s="97" t="n">
        <x:f>'Formation Catalog'!I7</x:f>
        <x:v>0.8</x:v>
      </x:c>
      <x:c r="G7" s="97" t="n">
        <x:f>'Formation Catalog'!J7</x:f>
        <x:v>0.82</x:v>
      </x:c>
      <x:c r="H7" s="97" t="n">
        <x:f>MIN(C7:G7)</x:f>
        <x:v>0.78</x:v>
      </x:c>
      <x:c r="I7" s="85" t="str">
        <x:f>IF(C7=H7,"Material",IF(D7=H7,"Personnel",IF(E7=H7,"Movement",IF(F7=H7,"Reception","Sustainment"))))</x:f>
        <x:v>Movement</x:v>
      </x:c>
      <x:c r="J7" s="76" t="str">
        <x:v>Fractions represent complete-formation capacity, not independent probabilities</x:v>
      </x:c>
    </x:row>
    <x:row r="8">
      <x:c r="A8" s="57" t="str">
        <x:v>J-RRG</x:v>
      </x:c>
      <x:c r="B8" s="57" t="str">
        <x:v>Replacement and reconstitution group</x:v>
      </x:c>
      <x:c r="C8" s="97" t="n">
        <x:f>'Formation Catalog'!F8</x:f>
        <x:v>0.82</x:v>
      </x:c>
      <x:c r="D8" s="97" t="n">
        <x:f>'Formation Catalog'!G8</x:f>
        <x:v>0.8</x:v>
      </x:c>
      <x:c r="E8" s="97" t="n">
        <x:f>'Formation Catalog'!H8</x:f>
        <x:v>0.78</x:v>
      </x:c>
      <x:c r="F8" s="97" t="n">
        <x:f>'Formation Catalog'!I8</x:f>
        <x:v>0.8</x:v>
      </x:c>
      <x:c r="G8" s="97" t="n">
        <x:f>'Formation Catalog'!J8</x:f>
        <x:v>0.82</x:v>
      </x:c>
      <x:c r="H8" s="97" t="n">
        <x:f>MIN(C8:G8)</x:f>
        <x:v>0.78</x:v>
      </x:c>
      <x:c r="I8" s="85" t="str">
        <x:f>IF(C8=H8,"Material",IF(D8=H8,"Personnel",IF(E8=H8,"Movement",IF(F8=H8,"Reception","Sustainment"))))</x:f>
        <x:v>Movement</x:v>
      </x:c>
      <x:c r="J8" s="57" t="str">
        <x:v>Fractions represent complete-formation capacity, not independent probabilities</x:v>
      </x:c>
    </x:row>
    <x:row r="9">
      <x:c r="A9" s="76" t="str">
        <x:v>J-TDG</x:v>
      </x:c>
      <x:c r="B9" s="76" t="str">
        <x:v>Transfer and demobilization group</x:v>
      </x:c>
      <x:c r="C9" s="97" t="n">
        <x:f>'Formation Catalog'!F9</x:f>
        <x:v>0.82</x:v>
      </x:c>
      <x:c r="D9" s="97" t="n">
        <x:f>'Formation Catalog'!G9</x:f>
        <x:v>0.8</x:v>
      </x:c>
      <x:c r="E9" s="97" t="n">
        <x:f>'Formation Catalog'!H9</x:f>
        <x:v>0.78</x:v>
      </x:c>
      <x:c r="F9" s="97" t="n">
        <x:f>'Formation Catalog'!I9</x:f>
        <x:v>0.8</x:v>
      </x:c>
      <x:c r="G9" s="97" t="n">
        <x:f>'Formation Catalog'!J9</x:f>
        <x:v>0.82</x:v>
      </x:c>
      <x:c r="H9" s="97" t="n">
        <x:f>MIN(C9:G9)</x:f>
        <x:v>0.78</x:v>
      </x:c>
      <x:c r="I9" s="85" t="str">
        <x:f>IF(C9=H9,"Material",IF(D9=H9,"Personnel",IF(E9=H9,"Movement",IF(F9=H9,"Reception","Sustainment"))))</x:f>
        <x:v>Movement</x:v>
      </x:c>
      <x:c r="J9" s="76" t="str">
        <x:v>Fractions represent complete-formation capacity, not independent probabilities</x:v>
      </x:c>
    </x:row>
    <x:row r="10">
      <x:c r="A10" s="57" t="str">
        <x:v>L-ROG</x:v>
      </x:c>
      <x:c r="B10" s="57" t="str">
        <x:v>Access and route-opening group</x:v>
      </x:c>
      <x:c r="C10" s="97" t="n">
        <x:f>'Formation Catalog'!F10</x:f>
        <x:v>0.76</x:v>
      </x:c>
      <x:c r="D10" s="97" t="n">
        <x:f>'Formation Catalog'!G10</x:f>
        <x:v>0.74</x:v>
      </x:c>
      <x:c r="E10" s="97" t="n">
        <x:f>'Formation Catalog'!H10</x:f>
        <x:v>0.7</x:v>
      </x:c>
      <x:c r="F10" s="97" t="n">
        <x:f>'Formation Catalog'!I10</x:f>
        <x:v>0.74</x:v>
      </x:c>
      <x:c r="G10" s="97" t="n">
        <x:f>'Formation Catalog'!J10</x:f>
        <x:v>0.75</x:v>
      </x:c>
      <x:c r="H10" s="97" t="n">
        <x:f>MIN(C10:G10)</x:f>
        <x:v>0.7</x:v>
      </x:c>
      <x:c r="I10" s="85" t="str">
        <x:f>IF(C10=H10,"Material",IF(D10=H10,"Personnel",IF(E10=H10,"Movement",IF(F10=H10,"Reception","Sustainment"))))</x:f>
        <x:v>Movement</x:v>
      </x:c>
      <x:c r="J10" s="57" t="str">
        <x:v>Fractions represent complete-formation capacity, not independent probabilities</x:v>
      </x:c>
    </x:row>
    <x:row r="11">
      <x:c r="A11" s="76" t="str">
        <x:v>L-HCG</x:v>
      </x:c>
      <x:c r="B11" s="76" t="str">
        <x:v>Flood and hydraulic-control group</x:v>
      </x:c>
      <x:c r="C11" s="97" t="n">
        <x:f>'Formation Catalog'!F11</x:f>
        <x:v>0.76</x:v>
      </x:c>
      <x:c r="D11" s="97" t="n">
        <x:f>'Formation Catalog'!G11</x:f>
        <x:v>0.74</x:v>
      </x:c>
      <x:c r="E11" s="97" t="n">
        <x:f>'Formation Catalog'!H11</x:f>
        <x:v>0.7</x:v>
      </x:c>
      <x:c r="F11" s="97" t="n">
        <x:f>'Formation Catalog'!I11</x:f>
        <x:v>0.74</x:v>
      </x:c>
      <x:c r="G11" s="97" t="n">
        <x:f>'Formation Catalog'!J11</x:f>
        <x:v>0.75</x:v>
      </x:c>
      <x:c r="H11" s="97" t="n">
        <x:f>MIN(C11:G11)</x:f>
        <x:v>0.7</x:v>
      </x:c>
      <x:c r="I11" s="85" t="str">
        <x:f>IF(C11=H11,"Material",IF(D11=H11,"Personnel",IF(E11=H11,"Movement",IF(F11=H11,"Reception","Sustainment"))))</x:f>
        <x:v>Movement</x:v>
      </x:c>
      <x:c r="J11" s="76" t="str">
        <x:v>Fractions represent complete-formation capacity, not independent probabilities</x:v>
      </x:c>
    </x:row>
    <x:row r="12">
      <x:c r="A12" s="57" t="str">
        <x:v>L-DMG</x:v>
      </x:c>
      <x:c r="B12" s="57" t="str">
        <x:v>Debris and materials group</x:v>
      </x:c>
      <x:c r="C12" s="97" t="n">
        <x:f>'Formation Catalog'!F12</x:f>
        <x:v>0.76</x:v>
      </x:c>
      <x:c r="D12" s="97" t="n">
        <x:f>'Formation Catalog'!G12</x:f>
        <x:v>0.74</x:v>
      </x:c>
      <x:c r="E12" s="97" t="n">
        <x:f>'Formation Catalog'!H12</x:f>
        <x:v>0.7</x:v>
      </x:c>
      <x:c r="F12" s="97" t="n">
        <x:f>'Formation Catalog'!I12</x:f>
        <x:v>0.74</x:v>
      </x:c>
      <x:c r="G12" s="97" t="n">
        <x:f>'Formation Catalog'!J12</x:f>
        <x:v>0.75</x:v>
      </x:c>
      <x:c r="H12" s="97" t="n">
        <x:f>MIN(C12:G12)</x:f>
        <x:v>0.7</x:v>
      </x:c>
      <x:c r="I12" s="85" t="str">
        <x:f>IF(C12=H12,"Material",IF(D12=H12,"Personnel",IF(E12=H12,"Movement",IF(F12=H12,"Reception","Sustainment"))))</x:f>
        <x:v>Movement</x:v>
      </x:c>
      <x:c r="J12" s="57" t="str">
        <x:v>Fractions represent complete-formation capacity, not independent probabilities</x:v>
      </x:c>
    </x:row>
    <x:row r="13">
      <x:c r="A13" s="76" t="str">
        <x:v>L-TWG</x:v>
      </x:c>
      <x:c r="B13" s="76" t="str">
        <x:v>Temporary works and crossing group</x:v>
      </x:c>
      <x:c r="C13" s="97" t="n">
        <x:f>'Formation Catalog'!F13</x:f>
        <x:v>0.76</x:v>
      </x:c>
      <x:c r="D13" s="97" t="n">
        <x:f>'Formation Catalog'!G13</x:f>
        <x:v>0.74</x:v>
      </x:c>
      <x:c r="E13" s="97" t="n">
        <x:f>'Formation Catalog'!H13</x:f>
        <x:v>0.7</x:v>
      </x:c>
      <x:c r="F13" s="97" t="n">
        <x:f>'Formation Catalog'!I13</x:f>
        <x:v>0.74</x:v>
      </x:c>
      <x:c r="G13" s="97" t="n">
        <x:f>'Formation Catalog'!J13</x:f>
        <x:v>0.75</x:v>
      </x:c>
      <x:c r="H13" s="97" t="n">
        <x:f>MIN(C13:G13)</x:f>
        <x:v>0.7</x:v>
      </x:c>
      <x:c r="I13" s="85" t="str">
        <x:f>IF(C13=H13,"Material",IF(D13=H13,"Personnel",IF(E13=H13,"Movement",IF(F13=H13,"Reception","Sustainment"))))</x:f>
        <x:v>Movement</x:v>
      </x:c>
      <x:c r="J13" s="76" t="str">
        <x:v>Fractions represent complete-formation capacity, not independent probabilities</x:v>
      </x:c>
    </x:row>
    <x:row r="14">
      <x:c r="A14" s="57" t="str">
        <x:v>L-GFG</x:v>
      </x:c>
      <x:c r="B14" s="57" t="str">
        <x:v>Ground fire and landscape group</x:v>
      </x:c>
      <x:c r="C14" s="97" t="n">
        <x:f>'Formation Catalog'!F14</x:f>
        <x:v>0.76</x:v>
      </x:c>
      <x:c r="D14" s="97" t="n">
        <x:f>'Formation Catalog'!G14</x:f>
        <x:v>0.74</x:v>
      </x:c>
      <x:c r="E14" s="97" t="n">
        <x:f>'Formation Catalog'!H14</x:f>
        <x:v>0.7</x:v>
      </x:c>
      <x:c r="F14" s="97" t="n">
        <x:f>'Formation Catalog'!I14</x:f>
        <x:v>0.74</x:v>
      </x:c>
      <x:c r="G14" s="97" t="n">
        <x:f>'Formation Catalog'!J14</x:f>
        <x:v>0.75</x:v>
      </x:c>
      <x:c r="H14" s="97" t="n">
        <x:f>MIN(C14:G14)</x:f>
        <x:v>0.7</x:v>
      </x:c>
      <x:c r="I14" s="85" t="str">
        <x:f>IF(C14=H14,"Material",IF(D14=H14,"Personnel",IF(E14=H14,"Movement",IF(F14=H14,"Reception","Sustainment"))))</x:f>
        <x:v>Movement</x:v>
      </x:c>
      <x:c r="J14" s="57" t="str">
        <x:v>Fractions represent complete-formation capacity, not independent probabilities</x:v>
      </x:c>
    </x:row>
    <x:row r="15">
      <x:c r="A15" s="76" t="str">
        <x:v>A-SMW</x:v>
      </x:c>
      <x:c r="B15" s="76" t="str">
        <x:v>Strategic mobility wing</x:v>
      </x:c>
      <x:c r="C15" s="97" t="n">
        <x:f>'Formation Catalog'!F15</x:f>
        <x:v>0.7</x:v>
      </x:c>
      <x:c r="D15" s="97" t="n">
        <x:f>'Formation Catalog'!G15</x:f>
        <x:v>0.72</x:v>
      </x:c>
      <x:c r="E15" s="97" t="n">
        <x:f>'Formation Catalog'!H15</x:f>
        <x:v>0.65</x:v>
      </x:c>
      <x:c r="F15" s="97" t="n">
        <x:f>'Formation Catalog'!I15</x:f>
        <x:v>0.75</x:v>
      </x:c>
      <x:c r="G15" s="97" t="n">
        <x:f>'Formation Catalog'!J15</x:f>
        <x:v>0.72</x:v>
      </x:c>
      <x:c r="H15" s="97" t="n">
        <x:f>MIN(C15:G15)</x:f>
        <x:v>0.65</x:v>
      </x:c>
      <x:c r="I15" s="85" t="str">
        <x:f>IF(C15=H15,"Material",IF(D15=H15,"Personnel",IF(E15=H15,"Movement",IF(F15=H15,"Reception","Sustainment"))))</x:f>
        <x:v>Movement</x:v>
      </x:c>
      <x:c r="J15" s="76" t="str">
        <x:v>Fractions represent complete-formation capacity, not independent probabilities</x:v>
      </x:c>
    </x:row>
    <x:row r="16">
      <x:c r="A16" s="57" t="str">
        <x:v>A-AAG</x:v>
      </x:c>
      <x:c r="B16" s="57" t="str">
        <x:v>Austere air-access group</x:v>
      </x:c>
      <x:c r="C16" s="97" t="n">
        <x:f>'Formation Catalog'!F16</x:f>
        <x:v>0.7</x:v>
      </x:c>
      <x:c r="D16" s="97" t="n">
        <x:f>'Formation Catalog'!G16</x:f>
        <x:v>0.72</x:v>
      </x:c>
      <x:c r="E16" s="97" t="n">
        <x:f>'Formation Catalog'!H16</x:f>
        <x:v>0.65</x:v>
      </x:c>
      <x:c r="F16" s="97" t="n">
        <x:f>'Formation Catalog'!I16</x:f>
        <x:v>0.75</x:v>
      </x:c>
      <x:c r="G16" s="97" t="n">
        <x:f>'Formation Catalog'!J16</x:f>
        <x:v>0.72</x:v>
      </x:c>
      <x:c r="H16" s="97" t="n">
        <x:f>MIN(C16:G16)</x:f>
        <x:v>0.65</x:v>
      </x:c>
      <x:c r="I16" s="85" t="str">
        <x:f>IF(C16=H16,"Material",IF(D16=H16,"Personnel",IF(E16=H16,"Movement",IF(F16=H16,"Reception","Sustainment"))))</x:f>
        <x:v>Movement</x:v>
      </x:c>
      <x:c r="J16" s="57" t="str">
        <x:v>Fractions represent complete-formation capacity, not independent probabilities</x:v>
      </x:c>
    </x:row>
    <x:row r="17">
      <x:c r="A17" s="76" t="str">
        <x:v>A-AHW</x:v>
      </x:c>
      <x:c r="B17" s="76" t="str">
        <x:v>Aerial hazard-control wing</x:v>
      </x:c>
      <x:c r="C17" s="97" t="n">
        <x:f>'Formation Catalog'!F17</x:f>
        <x:v>0.7</x:v>
      </x:c>
      <x:c r="D17" s="97" t="n">
        <x:f>'Formation Catalog'!G17</x:f>
        <x:v>0.72</x:v>
      </x:c>
      <x:c r="E17" s="97" t="n">
        <x:f>'Formation Catalog'!H17</x:f>
        <x:v>0.65</x:v>
      </x:c>
      <x:c r="F17" s="97" t="n">
        <x:f>'Formation Catalog'!I17</x:f>
        <x:v>0.75</x:v>
      </x:c>
      <x:c r="G17" s="97" t="n">
        <x:f>'Formation Catalog'!J17</x:f>
        <x:v>0.72</x:v>
      </x:c>
      <x:c r="H17" s="97" t="n">
        <x:f>MIN(C17:G17)</x:f>
        <x:v>0.65</x:v>
      </x:c>
      <x:c r="I17" s="85" t="str">
        <x:f>IF(C17=H17,"Material",IF(D17=H17,"Personnel",IF(E17=H17,"Movement",IF(F17=H17,"Reception","Sustainment"))))</x:f>
        <x:v>Movement</x:v>
      </x:c>
      <x:c r="J17" s="76" t="str">
        <x:v>Fractions represent complete-formation capacity, not independent probabilities</x:v>
      </x:c>
    </x:row>
    <x:row r="18">
      <x:c r="A18" s="57" t="str">
        <x:v>A-TDG</x:v>
      </x:c>
      <x:c r="B18" s="57" t="str">
        <x:v>Tactical distribution group</x:v>
      </x:c>
      <x:c r="C18" s="97" t="n">
        <x:f>'Formation Catalog'!F18</x:f>
        <x:v>0.7</x:v>
      </x:c>
      <x:c r="D18" s="97" t="n">
        <x:f>'Formation Catalog'!G18</x:f>
        <x:v>0.72</x:v>
      </x:c>
      <x:c r="E18" s="97" t="n">
        <x:f>'Formation Catalog'!H18</x:f>
        <x:v>0.65</x:v>
      </x:c>
      <x:c r="F18" s="97" t="n">
        <x:f>'Formation Catalog'!I18</x:f>
        <x:v>0.75</x:v>
      </x:c>
      <x:c r="G18" s="97" t="n">
        <x:f>'Formation Catalog'!J18</x:f>
        <x:v>0.72</x:v>
      </x:c>
      <x:c r="H18" s="97" t="n">
        <x:f>MIN(C18:G18)</x:f>
        <x:v>0.65</x:v>
      </x:c>
      <x:c r="I18" s="85" t="str">
        <x:f>IF(C18=H18,"Material",IF(D18=H18,"Personnel",IF(E18=H18,"Movement",IF(F18=H18,"Reception","Sustainment"))))</x:f>
        <x:v>Movement</x:v>
      </x:c>
      <x:c r="J18" s="57" t="str">
        <x:v>Fractions represent complete-formation capacity, not independent probabilities</x:v>
      </x:c>
    </x:row>
    <x:row r="19">
      <x:c r="A19" s="76" t="str">
        <x:v>A-SRG</x:v>
      </x:c>
      <x:c r="B19" s="76" t="str">
        <x:v>Air sensing and relay group</x:v>
      </x:c>
      <x:c r="C19" s="97" t="n">
        <x:f>'Formation Catalog'!F19</x:f>
        <x:v>0.7</x:v>
      </x:c>
      <x:c r="D19" s="97" t="n">
        <x:f>'Formation Catalog'!G19</x:f>
        <x:v>0.72</x:v>
      </x:c>
      <x:c r="E19" s="97" t="n">
        <x:f>'Formation Catalog'!H19</x:f>
        <x:v>0.65</x:v>
      </x:c>
      <x:c r="F19" s="97" t="n">
        <x:f>'Formation Catalog'!I19</x:f>
        <x:v>0.75</x:v>
      </x:c>
      <x:c r="G19" s="97" t="n">
        <x:f>'Formation Catalog'!J19</x:f>
        <x:v>0.72</x:v>
      </x:c>
      <x:c r="H19" s="97" t="n">
        <x:f>MIN(C19:G19)</x:f>
        <x:v>0.65</x:v>
      </x:c>
      <x:c r="I19" s="85" t="str">
        <x:f>IF(C19=H19,"Material",IF(D19=H19,"Personnel",IF(E19=H19,"Movement",IF(F19=H19,"Reception","Sustainment"))))</x:f>
        <x:v>Movement</x:v>
      </x:c>
      <x:c r="J19" s="76" t="str">
        <x:v>Fractions represent complete-formation capacity, not independent probabilities</x:v>
      </x:c>
    </x:row>
    <x:row r="20">
      <x:c r="A20" s="57" t="str">
        <x:v>A-AMG</x:v>
      </x:c>
      <x:c r="B20" s="57" t="str">
        <x:v>Aeromedical movement group</x:v>
      </x:c>
      <x:c r="C20" s="97" t="n">
        <x:f>'Formation Catalog'!F20</x:f>
        <x:v>0.7</x:v>
      </x:c>
      <x:c r="D20" s="97" t="n">
        <x:f>'Formation Catalog'!G20</x:f>
        <x:v>0.72</x:v>
      </x:c>
      <x:c r="E20" s="97" t="n">
        <x:f>'Formation Catalog'!H20</x:f>
        <x:v>0.65</x:v>
      </x:c>
      <x:c r="F20" s="97" t="n">
        <x:f>'Formation Catalog'!I20</x:f>
        <x:v>0.75</x:v>
      </x:c>
      <x:c r="G20" s="97" t="n">
        <x:f>'Formation Catalog'!J20</x:f>
        <x:v>0.72</x:v>
      </x:c>
      <x:c r="H20" s="97" t="n">
        <x:f>MIN(C20:G20)</x:f>
        <x:v>0.65</x:v>
      </x:c>
      <x:c r="I20" s="85" t="str">
        <x:f>IF(C20=H20,"Material",IF(D20=H20,"Personnel",IF(E20=H20,"Movement",IF(F20=H20,"Reception","Sustainment"))))</x:f>
        <x:v>Movement</x:v>
      </x:c>
      <x:c r="J20" s="57" t="str">
        <x:v>Fractions represent complete-formation capacity, not independent probabilities</x:v>
      </x:c>
    </x:row>
    <x:row r="21">
      <x:c r="A21" s="76" t="str">
        <x:v>M-POG</x:v>
      </x:c>
      <x:c r="B21" s="76" t="str">
        <x:v>Port-opening group</x:v>
      </x:c>
      <x:c r="C21" s="97" t="n">
        <x:f>'Formation Catalog'!F21</x:f>
        <x:v>0.7</x:v>
      </x:c>
      <x:c r="D21" s="97" t="n">
        <x:f>'Formation Catalog'!G21</x:f>
        <x:v>0.72</x:v>
      </x:c>
      <x:c r="E21" s="97" t="n">
        <x:f>'Formation Catalog'!H21</x:f>
        <x:v>0.65</x:v>
      </x:c>
      <x:c r="F21" s="97" t="n">
        <x:f>'Formation Catalog'!I21</x:f>
        <x:v>0.68</x:v>
      </x:c>
      <x:c r="G21" s="97" t="n">
        <x:f>'Formation Catalog'!J21</x:f>
        <x:v>0.7</x:v>
      </x:c>
      <x:c r="H21" s="97" t="n">
        <x:f>MIN(C21:G21)</x:f>
        <x:v>0.65</x:v>
      </x:c>
      <x:c r="I21" s="85" t="str">
        <x:f>IF(C21=H21,"Material",IF(D21=H21,"Personnel",IF(E21=H21,"Movement",IF(F21=H21,"Reception","Sustainment"))))</x:f>
        <x:v>Movement</x:v>
      </x:c>
      <x:c r="J21" s="76" t="str">
        <x:v>Fractions represent complete-formation capacity, not independent probabilities</x:v>
      </x:c>
    </x:row>
    <x:row r="22">
      <x:c r="A22" s="57" t="str">
        <x:v>M-LAG</x:v>
      </x:c>
      <x:c r="B22" s="57" t="str">
        <x:v>Littoral-access group</x:v>
      </x:c>
      <x:c r="C22" s="97" t="n">
        <x:f>'Formation Catalog'!F22</x:f>
        <x:v>0.7</x:v>
      </x:c>
      <x:c r="D22" s="97" t="n">
        <x:f>'Formation Catalog'!G22</x:f>
        <x:v>0.72</x:v>
      </x:c>
      <x:c r="E22" s="97" t="n">
        <x:f>'Formation Catalog'!H22</x:f>
        <x:v>0.65</x:v>
      </x:c>
      <x:c r="F22" s="97" t="n">
        <x:f>'Formation Catalog'!I22</x:f>
        <x:v>0.68</x:v>
      </x:c>
      <x:c r="G22" s="97" t="n">
        <x:f>'Formation Catalog'!J22</x:f>
        <x:v>0.7</x:v>
      </x:c>
      <x:c r="H22" s="97" t="n">
        <x:f>MIN(C22:G22)</x:f>
        <x:v>0.65</x:v>
      </x:c>
      <x:c r="I22" s="85" t="str">
        <x:f>IF(C22=H22,"Material",IF(D22=H22,"Personnel",IF(E22=H22,"Movement",IF(F22=H22,"Reception","Sustainment"))))</x:f>
        <x:v>Movement</x:v>
      </x:c>
      <x:c r="J22" s="57" t="str">
        <x:v>Fractions represent complete-formation capacity, not independent probabilities</x:v>
      </x:c>
    </x:row>
    <x:row r="23">
      <x:c r="A23" s="76" t="str">
        <x:v>M-IWG</x:v>
      </x:c>
      <x:c r="B23" s="76" t="str">
        <x:v>Inland-waterway group</x:v>
      </x:c>
      <x:c r="C23" s="97" t="n">
        <x:f>'Formation Catalog'!F23</x:f>
        <x:v>0.7</x:v>
      </x:c>
      <x:c r="D23" s="97" t="n">
        <x:f>'Formation Catalog'!G23</x:f>
        <x:v>0.72</x:v>
      </x:c>
      <x:c r="E23" s="97" t="n">
        <x:f>'Formation Catalog'!H23</x:f>
        <x:v>0.65</x:v>
      </x:c>
      <x:c r="F23" s="97" t="n">
        <x:f>'Formation Catalog'!I23</x:f>
        <x:v>0.68</x:v>
      </x:c>
      <x:c r="G23" s="97" t="n">
        <x:f>'Formation Catalog'!J23</x:f>
        <x:v>0.7</x:v>
      </x:c>
      <x:c r="H23" s="97" t="n">
        <x:f>MIN(C23:G23)</x:f>
        <x:v>0.65</x:v>
      </x:c>
      <x:c r="I23" s="85" t="str">
        <x:f>IF(C23=H23,"Material",IF(D23=H23,"Personnel",IF(E23=H23,"Movement",IF(F23=H23,"Reception","Sustainment"))))</x:f>
        <x:v>Movement</x:v>
      </x:c>
      <x:c r="J23" s="76" t="str">
        <x:v>Fractions represent complete-formation capacity, not independent probabilities</x:v>
      </x:c>
    </x:row>
    <x:row r="24">
      <x:c r="A24" s="57" t="str">
        <x:v>M-OSG</x:v>
      </x:c>
      <x:c r="B24" s="57" t="str">
        <x:v>Offshore-support group</x:v>
      </x:c>
      <x:c r="C24" s="97" t="n">
        <x:f>'Formation Catalog'!F24</x:f>
        <x:v>0.7</x:v>
      </x:c>
      <x:c r="D24" s="97" t="n">
        <x:f>'Formation Catalog'!G24</x:f>
        <x:v>0.72</x:v>
      </x:c>
      <x:c r="E24" s="97" t="n">
        <x:f>'Formation Catalog'!H24</x:f>
        <x:v>0.65</x:v>
      </x:c>
      <x:c r="F24" s="97" t="n">
        <x:f>'Formation Catalog'!I24</x:f>
        <x:v>0.68</x:v>
      </x:c>
      <x:c r="G24" s="97" t="n">
        <x:f>'Formation Catalog'!J24</x:f>
        <x:v>0.7</x:v>
      </x:c>
      <x:c r="H24" s="97" t="n">
        <x:f>MIN(C24:G24)</x:f>
        <x:v>0.65</x:v>
      </x:c>
      <x:c r="I24" s="85" t="str">
        <x:f>IF(C24=H24,"Material",IF(D24=H24,"Personnel",IF(E24=H24,"Movement",IF(F24=H24,"Reception","Sustainment"))))</x:f>
        <x:v>Movement</x:v>
      </x:c>
      <x:c r="J24" s="57" t="str">
        <x:v>Fractions represent complete-formation capacity, not independent probabilities</x:v>
      </x:c>
    </x:row>
    <x:row r="25">
      <x:c r="A25" s="76" t="str">
        <x:v>M-SSG</x:v>
      </x:c>
      <x:c r="B25" s="76" t="str">
        <x:v>Ocean sustainment group</x:v>
      </x:c>
      <x:c r="C25" s="97" t="n">
        <x:f>'Formation Catalog'!F25</x:f>
        <x:v>0.7</x:v>
      </x:c>
      <x:c r="D25" s="97" t="n">
        <x:f>'Formation Catalog'!G25</x:f>
        <x:v>0.72</x:v>
      </x:c>
      <x:c r="E25" s="97" t="n">
        <x:f>'Formation Catalog'!H25</x:f>
        <x:v>0.65</x:v>
      </x:c>
      <x:c r="F25" s="97" t="n">
        <x:f>'Formation Catalog'!I25</x:f>
        <x:v>0.68</x:v>
      </x:c>
      <x:c r="G25" s="97" t="n">
        <x:f>'Formation Catalog'!J25</x:f>
        <x:v>0.7</x:v>
      </x:c>
      <x:c r="H25" s="97" t="n">
        <x:f>MIN(C25:G25)</x:f>
        <x:v>0.65</x:v>
      </x:c>
      <x:c r="I25" s="85" t="str">
        <x:f>IF(C25=H25,"Material",IF(D25=H25,"Personnel",IF(E25=H25,"Movement",IF(F25=H25,"Reception","Sustainment"))))</x:f>
        <x:v>Movement</x:v>
      </x:c>
      <x:c r="J25" s="76" t="str">
        <x:v>Fractions represent complete-formation capacity, not independent probabilities</x:v>
      </x:c>
    </x:row>
    <x:row r="26">
      <x:c r="A26" s="57" t="str">
        <x:v>I-UPG</x:v>
      </x:c>
      <x:c r="B26" s="57" t="str">
        <x:v>Utility projection group</x:v>
      </x:c>
      <x:c r="C26" s="97" t="n">
        <x:f>'Formation Catalog'!F26</x:f>
        <x:v>0.78</x:v>
      </x:c>
      <x:c r="D26" s="97" t="n">
        <x:f>'Formation Catalog'!G26</x:f>
        <x:v>0.74</x:v>
      </x:c>
      <x:c r="E26" s="97" t="n">
        <x:f>'Formation Catalog'!H26</x:f>
        <x:v>0.7</x:v>
      </x:c>
      <x:c r="F26" s="97" t="n">
        <x:f>'Formation Catalog'!I26</x:f>
        <x:v>0.72</x:v>
      </x:c>
      <x:c r="G26" s="97" t="n">
        <x:f>'Formation Catalog'!J26</x:f>
        <x:v>0.75</x:v>
      </x:c>
      <x:c r="H26" s="97" t="n">
        <x:f>MIN(C26:G26)</x:f>
        <x:v>0.7</x:v>
      </x:c>
      <x:c r="I26" s="85" t="str">
        <x:f>IF(C26=H26,"Material",IF(D26=H26,"Personnel",IF(E26=H26,"Movement",IF(F26=H26,"Reception","Sustainment"))))</x:f>
        <x:v>Movement</x:v>
      </x:c>
      <x:c r="J26" s="57" t="str">
        <x:v>Fractions represent complete-formation capacity, not independent probabilities</x:v>
      </x:c>
    </x:row>
    <x:row r="27">
      <x:c r="A27" s="76" t="str">
        <x:v>I-CUG</x:v>
      </x:c>
      <x:c r="B27" s="76" t="str">
        <x:v>Communications utility group</x:v>
      </x:c>
      <x:c r="C27" s="97" t="n">
        <x:f>'Formation Catalog'!F27</x:f>
        <x:v>0.78</x:v>
      </x:c>
      <x:c r="D27" s="97" t="n">
        <x:f>'Formation Catalog'!G27</x:f>
        <x:v>0.74</x:v>
      </x:c>
      <x:c r="E27" s="97" t="n">
        <x:f>'Formation Catalog'!H27</x:f>
        <x:v>0.7</x:v>
      </x:c>
      <x:c r="F27" s="97" t="n">
        <x:f>'Formation Catalog'!I27</x:f>
        <x:v>0.72</x:v>
      </x:c>
      <x:c r="G27" s="97" t="n">
        <x:f>'Formation Catalog'!J27</x:f>
        <x:v>0.75</x:v>
      </x:c>
      <x:c r="H27" s="97" t="n">
        <x:f>MIN(C27:G27)</x:f>
        <x:v>0.7</x:v>
      </x:c>
      <x:c r="I27" s="85" t="str">
        <x:f>IF(C27=H27,"Material",IF(D27=H27,"Personnel",IF(E27=H27,"Movement",IF(F27=H27,"Reception","Sustainment"))))</x:f>
        <x:v>Movement</x:v>
      </x:c>
      <x:c r="J27" s="76" t="str">
        <x:v>Fractions represent complete-formation capacity, not independent probabilities</x:v>
      </x:c>
    </x:row>
    <x:row r="28">
      <x:c r="A28" s="57" t="str">
        <x:v>I-TSG</x:v>
      </x:c>
      <x:c r="B28" s="57" t="str">
        <x:v>Thermal safety group</x:v>
      </x:c>
      <x:c r="C28" s="97" t="n">
        <x:f>'Formation Catalog'!F28</x:f>
        <x:v>0.78</x:v>
      </x:c>
      <x:c r="D28" s="97" t="n">
        <x:f>'Formation Catalog'!G28</x:f>
        <x:v>0.74</x:v>
      </x:c>
      <x:c r="E28" s="97" t="n">
        <x:f>'Formation Catalog'!H28</x:f>
        <x:v>0.7</x:v>
      </x:c>
      <x:c r="F28" s="97" t="n">
        <x:f>'Formation Catalog'!I28</x:f>
        <x:v>0.72</x:v>
      </x:c>
      <x:c r="G28" s="97" t="n">
        <x:f>'Formation Catalog'!J28</x:f>
        <x:v>0.75</x:v>
      </x:c>
      <x:c r="H28" s="97" t="n">
        <x:f>MIN(C28:G28)</x:f>
        <x:v>0.7</x:v>
      </x:c>
      <x:c r="I28" s="85" t="str">
        <x:f>IF(C28=H28,"Material",IF(D28=H28,"Personnel",IF(E28=H28,"Movement",IF(F28=H28,"Reception","Sustainment"))))</x:f>
        <x:v>Movement</x:v>
      </x:c>
      <x:c r="J28" s="57" t="str">
        <x:v>Fractions represent complete-formation capacity, not independent probabilities</x:v>
      </x:c>
    </x:row>
    <x:row r="29">
      <x:c r="A29" s="76" t="str">
        <x:v>I-URG</x:v>
      </x:c>
      <x:c r="B29" s="76" t="str">
        <x:v>Utility reconstruction group</x:v>
      </x:c>
      <x:c r="C29" s="97" t="n">
        <x:f>'Formation Catalog'!F29</x:f>
        <x:v>0.78</x:v>
      </x:c>
      <x:c r="D29" s="97" t="n">
        <x:f>'Formation Catalog'!G29</x:f>
        <x:v>0.74</x:v>
      </x:c>
      <x:c r="E29" s="97" t="n">
        <x:f>'Formation Catalog'!H29</x:f>
        <x:v>0.7</x:v>
      </x:c>
      <x:c r="F29" s="97" t="n">
        <x:f>'Formation Catalog'!I29</x:f>
        <x:v>0.72</x:v>
      </x:c>
      <x:c r="G29" s="97" t="n">
        <x:f>'Formation Catalog'!J29</x:f>
        <x:v>0.75</x:v>
      </x:c>
      <x:c r="H29" s="97" t="n">
        <x:f>MIN(C29:G29)</x:f>
        <x:v>0.7</x:v>
      </x:c>
      <x:c r="I29" s="85" t="str">
        <x:f>IF(C29=H29,"Material",IF(D29=H29,"Personnel",IF(E29=H29,"Movement",IF(F29=H29,"Reception","Sustainment"))))</x:f>
        <x:v>Movement</x:v>
      </x:c>
      <x:c r="J29" s="76" t="str">
        <x:v>Fractions represent complete-formation capacity, not independent probabilities</x:v>
      </x:c>
    </x:row>
    <x:row r="30">
      <x:c r="A30" s="57" t="str">
        <x:v>H-CHC</x:v>
      </x:c>
      <x:c r="B30" s="57" t="str">
        <x:v>Community health continuity group</x:v>
      </x:c>
      <x:c r="C30" s="97" t="n">
        <x:f>'Formation Catalog'!F30</x:f>
        <x:v>0.75</x:v>
      </x:c>
      <x:c r="D30" s="97" t="n">
        <x:f>'Formation Catalog'!G30</x:f>
        <x:v>0.7</x:v>
      </x:c>
      <x:c r="E30" s="97" t="n">
        <x:f>'Formation Catalog'!H30</x:f>
        <x:v>0.68</x:v>
      </x:c>
      <x:c r="F30" s="97" t="n">
        <x:f>'Formation Catalog'!I30</x:f>
        <x:v>0.65</x:v>
      </x:c>
      <x:c r="G30" s="97" t="n">
        <x:f>'Formation Catalog'!J30</x:f>
        <x:v>0.72</x:v>
      </x:c>
      <x:c r="H30" s="97" t="n">
        <x:f>MIN(C30:G30)</x:f>
        <x:v>0.65</x:v>
      </x:c>
      <x:c r="I30" s="85" t="str">
        <x:f>IF(C30=H30,"Material",IF(D30=H30,"Personnel",IF(E30=H30,"Movement",IF(F30=H30,"Reception","Sustainment"))))</x:f>
        <x:v>Reception</x:v>
      </x:c>
      <x:c r="J30" s="57" t="str">
        <x:v>Fractions represent complete-formation capacity, not independent probabilities</x:v>
      </x:c>
    </x:row>
    <x:row r="31">
      <x:c r="A31" s="76" t="str">
        <x:v>H-MAC</x:v>
      </x:c>
      <x:c r="B31" s="76" t="str">
        <x:v>Mobile acute-care group</x:v>
      </x:c>
      <x:c r="C31" s="97" t="n">
        <x:f>'Formation Catalog'!F31</x:f>
        <x:v>0.75</x:v>
      </x:c>
      <x:c r="D31" s="97" t="n">
        <x:f>'Formation Catalog'!G31</x:f>
        <x:v>0.7</x:v>
      </x:c>
      <x:c r="E31" s="97" t="n">
        <x:f>'Formation Catalog'!H31</x:f>
        <x:v>0.68</x:v>
      </x:c>
      <x:c r="F31" s="97" t="n">
        <x:f>'Formation Catalog'!I31</x:f>
        <x:v>0.65</x:v>
      </x:c>
      <x:c r="G31" s="97" t="n">
        <x:f>'Formation Catalog'!J31</x:f>
        <x:v>0.72</x:v>
      </x:c>
      <x:c r="H31" s="97" t="n">
        <x:f>MIN(C31:G31)</x:f>
        <x:v>0.65</x:v>
      </x:c>
      <x:c r="I31" s="85" t="str">
        <x:f>IF(C31=H31,"Material",IF(D31=H31,"Personnel",IF(E31=H31,"Movement",IF(F31=H31,"Reception","Sustainment"))))</x:f>
        <x:v>Reception</x:v>
      </x:c>
      <x:c r="J31" s="76" t="str">
        <x:v>Fractions represent complete-formation capacity, not independent probabilities</x:v>
      </x:c>
    </x:row>
    <x:row r="32">
      <x:c r="A32" s="57" t="str">
        <x:v>H-PHC</x:v>
      </x:c>
      <x:c r="B32" s="57" t="str">
        <x:v>Public-health control group</x:v>
      </x:c>
      <x:c r="C32" s="97" t="n">
        <x:f>'Formation Catalog'!F32</x:f>
        <x:v>0.75</x:v>
      </x:c>
      <x:c r="D32" s="97" t="n">
        <x:f>'Formation Catalog'!G32</x:f>
        <x:v>0.7</x:v>
      </x:c>
      <x:c r="E32" s="97" t="n">
        <x:f>'Formation Catalog'!H32</x:f>
        <x:v>0.68</x:v>
      </x:c>
      <x:c r="F32" s="97" t="n">
        <x:f>'Formation Catalog'!I32</x:f>
        <x:v>0.65</x:v>
      </x:c>
      <x:c r="G32" s="97" t="n">
        <x:f>'Formation Catalog'!J32</x:f>
        <x:v>0.72</x:v>
      </x:c>
      <x:c r="H32" s="97" t="n">
        <x:f>MIN(C32:G32)</x:f>
        <x:v>0.65</x:v>
      </x:c>
      <x:c r="I32" s="85" t="str">
        <x:f>IF(C32=H32,"Material",IF(D32=H32,"Personnel",IF(E32=H32,"Movement",IF(F32=H32,"Reception","Sustainment"))))</x:f>
        <x:v>Reception</x:v>
      </x:c>
      <x:c r="J32" s="57" t="str">
        <x:v>Fractions represent complete-formation capacity, not independent probabilities</x:v>
      </x:c>
    </x:row>
    <x:row r="33">
      <x:c r="A33" s="76" t="str">
        <x:v>H-HWR</x:v>
      </x:c>
      <x:c r="B33" s="76" t="str">
        <x:v>Health workforce replacement group</x:v>
      </x:c>
      <x:c r="C33" s="97" t="n">
        <x:f>'Formation Catalog'!F33</x:f>
        <x:v>0.75</x:v>
      </x:c>
      <x:c r="D33" s="97" t="n">
        <x:f>'Formation Catalog'!G33</x:f>
        <x:v>0.7</x:v>
      </x:c>
      <x:c r="E33" s="97" t="n">
        <x:f>'Formation Catalog'!H33</x:f>
        <x:v>0.68</x:v>
      </x:c>
      <x:c r="F33" s="97" t="n">
        <x:f>'Formation Catalog'!I33</x:f>
        <x:v>0.65</x:v>
      </x:c>
      <x:c r="G33" s="97" t="n">
        <x:f>'Formation Catalog'!J33</x:f>
        <x:v>0.72</x:v>
      </x:c>
      <x:c r="H33" s="97" t="n">
        <x:f>MIN(C33:G33)</x:f>
        <x:v>0.65</x:v>
      </x:c>
      <x:c r="I33" s="85" t="str">
        <x:f>IF(C33=H33,"Material",IF(D33=H33,"Personnel",IF(E33=H33,"Movement",IF(F33=H33,"Reception","Sustainment"))))</x:f>
        <x:v>Reception</x:v>
      </x:c>
      <x:c r="J33" s="76" t="str">
        <x:v>Fractions represent complete-formation capacity, not independent probabilities</x:v>
      </x:c>
    </x:row>
    <x:row r="34">
      <x:c r="A34" s="57" t="str">
        <x:v>C-PSG</x:v>
      </x:c>
      <x:c r="B34" s="57" t="str">
        <x:v>Population support group</x:v>
      </x:c>
      <x:c r="C34" s="97" t="n">
        <x:f>'Formation Catalog'!F34</x:f>
        <x:v>0.82</x:v>
      </x:c>
      <x:c r="D34" s="97" t="n">
        <x:f>'Formation Catalog'!G34</x:f>
        <x:v>0.78</x:v>
      </x:c>
      <x:c r="E34" s="97" t="n">
        <x:f>'Formation Catalog'!H34</x:f>
        <x:v>0.75</x:v>
      </x:c>
      <x:c r="F34" s="97" t="n">
        <x:f>'Formation Catalog'!I34</x:f>
        <x:v>0.8</x:v>
      </x:c>
      <x:c r="G34" s="97" t="n">
        <x:f>'Formation Catalog'!J34</x:f>
        <x:v>0.82</x:v>
      </x:c>
      <x:c r="H34" s="97" t="n">
        <x:f>MIN(C34:G34)</x:f>
        <x:v>0.75</x:v>
      </x:c>
      <x:c r="I34" s="85" t="str">
        <x:f>IF(C34=H34,"Material",IF(D34=H34,"Personnel",IF(E34=H34,"Movement",IF(F34=H34,"Reception","Sustainment"))))</x:f>
        <x:v>Movement</x:v>
      </x:c>
      <x:c r="J34" s="57" t="str">
        <x:v>Fractions represent complete-formation capacity, not independent probabilities</x:v>
      </x:c>
    </x:row>
    <x:row r="35">
      <x:c r="A35" s="76" t="str">
        <x:v>C-EGG</x:v>
      </x:c>
      <x:c r="B35" s="76" t="str">
        <x:v>Essential-goods group</x:v>
      </x:c>
      <x:c r="C35" s="97" t="n">
        <x:f>'Formation Catalog'!F35</x:f>
        <x:v>0.82</x:v>
      </x:c>
      <x:c r="D35" s="97" t="n">
        <x:f>'Formation Catalog'!G35</x:f>
        <x:v>0.78</x:v>
      </x:c>
      <x:c r="E35" s="97" t="n">
        <x:f>'Formation Catalog'!H35</x:f>
        <x:v>0.75</x:v>
      </x:c>
      <x:c r="F35" s="97" t="n">
        <x:f>'Formation Catalog'!I35</x:f>
        <x:v>0.8</x:v>
      </x:c>
      <x:c r="G35" s="97" t="n">
        <x:f>'Formation Catalog'!J35</x:f>
        <x:v>0.82</x:v>
      </x:c>
      <x:c r="H35" s="97" t="n">
        <x:f>MIN(C35:G35)</x:f>
        <x:v>0.75</x:v>
      </x:c>
      <x:c r="I35" s="85" t="str">
        <x:f>IF(C35=H35,"Material",IF(D35=H35,"Personnel",IF(E35=H35,"Movement",IF(F35=H35,"Reception","Sustainment"))))</x:f>
        <x:v>Movement</x:v>
      </x:c>
      <x:c r="J35" s="76" t="str">
        <x:v>Fractions represent complete-formation capacity, not independent probabilities</x:v>
      </x:c>
    </x:row>
    <x:row r="36">
      <x:c r="A36" s="57" t="str">
        <x:v>C-CAG</x:v>
      </x:c>
      <x:c r="B36" s="57" t="str">
        <x:v>Civil access group</x:v>
      </x:c>
      <x:c r="C36" s="97" t="n">
        <x:f>'Formation Catalog'!F36</x:f>
        <x:v>0.82</x:v>
      </x:c>
      <x:c r="D36" s="97" t="n">
        <x:f>'Formation Catalog'!G36</x:f>
        <x:v>0.78</x:v>
      </x:c>
      <x:c r="E36" s="97" t="n">
        <x:f>'Formation Catalog'!H36</x:f>
        <x:v>0.75</x:v>
      </x:c>
      <x:c r="F36" s="97" t="n">
        <x:f>'Formation Catalog'!I36</x:f>
        <x:v>0.8</x:v>
      </x:c>
      <x:c r="G36" s="97" t="n">
        <x:f>'Formation Catalog'!J36</x:f>
        <x:v>0.82</x:v>
      </x:c>
      <x:c r="H36" s="97" t="n">
        <x:f>MIN(C36:G36)</x:f>
        <x:v>0.75</x:v>
      </x:c>
      <x:c r="I36" s="85" t="str">
        <x:f>IF(C36=H36,"Material",IF(D36=H36,"Personnel",IF(E36=H36,"Movement",IF(F36=H36,"Reception","Sustainment"))))</x:f>
        <x:v>Movement</x:v>
      </x:c>
      <x:c r="J36" s="57" t="str">
        <x:v>Fractions represent complete-formation capacity, not independent probabilities</x:v>
      </x:c>
    </x:row>
    <x:row r="37">
      <x:c r="A37" s="76" t="str">
        <x:v>C-DTG</x:v>
      </x:c>
      <x:c r="B37" s="76" t="str">
        <x:v>Displacement transition group</x:v>
      </x:c>
      <x:c r="C37" s="97" t="n">
        <x:f>'Formation Catalog'!F37</x:f>
        <x:v>0.82</x:v>
      </x:c>
      <x:c r="D37" s="97" t="n">
        <x:f>'Formation Catalog'!G37</x:f>
        <x:v>0.78</x:v>
      </x:c>
      <x:c r="E37" s="97" t="n">
        <x:f>'Formation Catalog'!H37</x:f>
        <x:v>0.75</x:v>
      </x:c>
      <x:c r="F37" s="97" t="n">
        <x:f>'Formation Catalog'!I37</x:f>
        <x:v>0.8</x:v>
      </x:c>
      <x:c r="G37" s="97" t="n">
        <x:f>'Formation Catalog'!J37</x:f>
        <x:v>0.82</x:v>
      </x:c>
      <x:c r="H37" s="97" t="n">
        <x:f>MIN(C37:G37)</x:f>
        <x:v>0.75</x:v>
      </x:c>
      <x:c r="I37" s="85" t="str">
        <x:f>IF(C37=H37,"Material",IF(D37=H37,"Personnel",IF(E37=H37,"Movement",IF(F37=H37,"Reception","Sustainment"))))</x:f>
        <x:v>Movement</x:v>
      </x:c>
      <x:c r="J37" s="76" t="str">
        <x:v>Fractions represent complete-formation capacity, not independent probabilities</x:v>
      </x:c>
    </x:row>
    <x:row r="38">
      <x:c r="A38" s="57" t="str">
        <x:v>C-CIG</x:v>
      </x:c>
      <x:c r="B38" s="57" t="str">
        <x:v>Community institutions group</x:v>
      </x:c>
      <x:c r="C38" s="97" t="n">
        <x:f>'Formation Catalog'!F38</x:f>
        <x:v>0.82</x:v>
      </x:c>
      <x:c r="D38" s="97" t="n">
        <x:f>'Formation Catalog'!G38</x:f>
        <x:v>0.78</x:v>
      </x:c>
      <x:c r="E38" s="97" t="n">
        <x:f>'Formation Catalog'!H38</x:f>
        <x:v>0.75</x:v>
      </x:c>
      <x:c r="F38" s="97" t="n">
        <x:f>'Formation Catalog'!I38</x:f>
        <x:v>0.8</x:v>
      </x:c>
      <x:c r="G38" s="97" t="n">
        <x:f>'Formation Catalog'!J38</x:f>
        <x:v>0.82</x:v>
      </x:c>
      <x:c r="H38" s="97" t="n">
        <x:f>MIN(C38:G38)</x:f>
        <x:v>0.75</x:v>
      </x:c>
      <x:c r="I38" s="85" t="str">
        <x:f>IF(C38=H38,"Material",IF(D38=H38,"Personnel",IF(E38=H38,"Movement",IF(F38=H38,"Reception","Sustainment"))))</x:f>
        <x:v>Movement</x:v>
      </x:c>
      <x:c r="J38" s="57" t="str">
        <x:v>Fractions represent complete-formation capacity, not independent probabilities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52" hidden="0" customWidth="1"/>
    <x:col min="7" max="7" width="52" hidden="0" customWidth="1"/>
  </x:cols>
  <x:sheetData>
    <x:row r="1" ht="24" customHeight="1">
      <x:c r="A1" s="50" t="str">
        <x:v>Component Doctrine</x:v>
      </x:c>
      <x:c r="B1" s="56"/>
      <x:c r="C1" s="56"/>
      <x:c r="D1" s="56"/>
      <x:c r="E1" s="56"/>
      <x:c r="F1" s="56"/>
      <x:c r="G1" s="56"/>
    </x:row>
    <x:row r="2" ht="24" customHeight="1">
      <x:c r="A2" s="52" t="str">
        <x:v>Ownership does not equal employability. Credit varies by time, theater and legal availability.</x:v>
      </x:c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 ht="32" customHeight="1">
      <x:c r="A4" s="59" t="str">
        <x:v>Component</x:v>
      </x:c>
      <x:c r="B4" s="60" t="str">
        <x:v>Primary role</x:v>
      </x:c>
      <x:c r="C4" s="60" t="str">
        <x:v>R3 credit</x:v>
      </x:c>
      <x:c r="D4" s="60" t="str">
        <x:v>R5 credit</x:v>
      </x:c>
      <x:c r="E4" s="60" t="str">
        <x:v>Global credit</x:v>
      </x:c>
      <x:c r="F4" s="60" t="str">
        <x:v>What it contributes</x:v>
      </x:c>
      <x:c r="G4" s="61" t="str">
        <x:v>What it cannot substitute</x:v>
      </x:c>
    </x:row>
    <x:row r="5">
      <x:c r="A5" s="76" t="str">
        <x:v>Permanent federal</x:v>
      </x:c>
      <x:c r="B5" s="76" t="str">
        <x:v>Immediate, scarce and globally deployable force</x:v>
      </x:c>
      <x:c r="C5" s="100" t="n">
        <x:f>Controls!B22</x:f>
        <x:v>1</x:v>
      </x:c>
      <x:c r="D5" s="100" t="n">
        <x:f>Controls!C22</x:f>
        <x:v>0.9</x:v>
      </x:c>
      <x:c r="E5" s="100" t="n">
        <x:f>Controls!D22</x:f>
        <x:v>1</x:v>
      </x:c>
      <x:c r="F5" s="76" t="str">
        <x:v>Standing crews, technical authority, strategic systems and command</x:v>
      </x:c>
      <x:c r="G5" s="76" t="str">
        <x:v>Cannot alone provide national mass or local legitimacy</x:v>
      </x:c>
    </x:row>
    <x:row r="6">
      <x:c r="A6" s="57" t="str">
        <x:v>Federal reserve</x:v>
      </x:c>
      <x:c r="B6" s="57" t="str">
        <x:v>Rotation, occupation depth and enduring campaigns</x:v>
      </x:c>
      <x:c r="C6" s="100" t="n">
        <x:f>Controls!B23</x:f>
        <x:v>0.45</x:v>
      </x:c>
      <x:c r="D6" s="100" t="n">
        <x:f>Controls!C23</x:f>
        <x:v>0.9</x:v>
      </x:c>
      <x:c r="E6" s="100" t="n">
        <x:f>Controls!D23</x:f>
        <x:v>0.9</x:v>
      </x:c>
      <x:c r="F6" s="57" t="str">
        <x:v>Trained formations and specialist replacements</x:v>
      </x:c>
      <x:c r="G6" s="57" t="str">
        <x:v>Requires mobilization, employer support and predictable cycles</x:v>
      </x:c>
    </x:row>
    <x:row r="7">
      <x:c r="A7" s="76" t="str">
        <x:v>State / territorial guard</x:v>
      </x:c>
      <x:c r="B7" s="76" t="str">
        <x:v>Local/regional immediacy and domestic mass</x:v>
      </x:c>
      <x:c r="C7" s="100" t="n">
        <x:f>Controls!B24</x:f>
        <x:v>0.65</x:v>
      </x:c>
      <x:c r="D7" s="100" t="n">
        <x:f>Controls!C24</x:f>
        <x:v>0.85</x:v>
      </x:c>
      <x:c r="E7" s="100" t="n">
        <x:f>Controls!D24</x:f>
        <x:v>0</x:v>
      </x:c>
      <x:c r="F7" s="76" t="str">
        <x:v>Place knowledge, local authority relationships and distributed posture</x:v>
      </x:c>
      <x:c r="G7" s="76" t="str">
        <x:v>Not automatically available for global campaigns</x:v>
      </x:c>
    </x:row>
    <x:row r="8">
      <x:c r="A8" s="57" t="str">
        <x:v>Certified industrial force</x:v>
      </x:c>
      <x:c r="B8" s="57" t="str">
        <x:v>Production, repair, construction and surge operations</x:v>
      </x:c>
      <x:c r="C8" s="100" t="n">
        <x:f>Controls!B25</x:f>
        <x:v>0.1</x:v>
      </x:c>
      <x:c r="D8" s="100" t="n">
        <x:f>Controls!C25</x:f>
        <x:v>0.7</x:v>
      </x:c>
      <x:c r="E8" s="100" t="n">
        <x:f>Controls!D25</x:f>
        <x:v>0.6</x:v>
      </x:c>
      <x:c r="F8" s="57" t="str">
        <x:v>Factories, utilities, carriers, contractors and licensed labor</x:v>
      </x:c>
      <x:c r="G8" s="57" t="str">
        <x:v>Corporate capacity without contract, priority, crew and movement is not ready force</x:v>
      </x:c>
    </x:row>
    <x:row r="9">
      <x:c r="A9" s="76" t="str">
        <x:v>Partner / allied</x:v>
      </x:c>
      <x:c r="B9" s="76" t="str">
        <x:v>Host access, co-production and invited global capacity</x:v>
      </x:c>
      <x:c r="C9" s="100" t="n">
        <x:f>Controls!B26</x:f>
        <x:v>0.15</x:v>
      </x:c>
      <x:c r="D9" s="100" t="n">
        <x:f>Controls!C26</x:f>
        <x:v>0.55</x:v>
      </x:c>
      <x:c r="E9" s="100" t="n">
        <x:f>Controls!D26</x:f>
        <x:v>0.8</x:v>
      </x:c>
      <x:c r="F9" s="76" t="str">
        <x:v>Local systems, standards, workforce and sovereign authority</x:v>
      </x:c>
      <x:c r="G9" s="76" t="str">
        <x:v>Cannot be treated as U.S.-owned residual reserve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18" hidden="0" customWidth="1"/>
    <x:col min="8" max="8" width="14" hidden="0" customWidth="1"/>
  </x:cols>
  <x:sheetData>
    <x:row r="1" ht="24" customHeight="1">
      <x:c r="A1" s="50" t="str">
        <x:v>Component Mix</x:v>
      </x:c>
      <x:c r="B1" s="56"/>
      <x:c r="C1" s="56"/>
      <x:c r="D1" s="56"/>
      <x:c r="E1" s="56"/>
      <x:c r="F1" s="56"/>
      <x:c r="G1" s="56"/>
      <x:c r="H1" s="56"/>
    </x:row>
    <x:row r="2" ht="24" customHeight="1">
      <x:c r="A2" s="52" t="str">
        <x:v>Editable ownership mix by formation. Shares must sum to 100%.</x:v>
      </x:c>
      <x:c r="B2" s="57"/>
      <x:c r="C2" s="57"/>
      <x:c r="D2" s="57"/>
      <x:c r="E2" s="57"/>
      <x:c r="F2" s="57"/>
      <x:c r="G2" s="57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32" customHeight="1">
      <x:c r="A4" s="59" t="str">
        <x:v>ID</x:v>
      </x:c>
      <x:c r="B4" s="60" t="str">
        <x:v>Formation</x:v>
      </x:c>
      <x:c r="C4" s="60" t="str">
        <x:v>Permanent federal</x:v>
      </x:c>
      <x:c r="D4" s="60" t="str">
        <x:v>Federal reserve</x:v>
      </x:c>
      <x:c r="E4" s="60" t="str">
        <x:v>State / territorial</x:v>
      </x:c>
      <x:c r="F4" s="60" t="str">
        <x:v>Certified industry</x:v>
      </x:c>
      <x:c r="G4" s="60" t="str">
        <x:v>Partner / allied</x:v>
      </x:c>
      <x:c r="H4" s="61" t="str">
        <x:v>Status</x:v>
      </x:c>
    </x:row>
    <x:row r="5">
      <x:c r="A5" s="76" t="str">
        <x:v>J-CIE</x:v>
      </x:c>
      <x:c r="B5" s="76" t="str">
        <x:v>Civil integration and effects group</x:v>
      </x:c>
      <x:c r="C5" s="80" t="n">
        <x:v>0.6</x:v>
      </x:c>
      <x:c r="D5" s="80" t="n">
        <x:v>0.2</x:v>
      </x:c>
      <x:c r="E5" s="80" t="n">
        <x:v>0.1</x:v>
      </x:c>
      <x:c r="F5" s="80" t="n">
        <x:v>0.05</x:v>
      </x:c>
      <x:c r="G5" s="80" t="n">
        <x:v>0.05</x:v>
      </x:c>
      <x:c r="H5" s="85" t="str">
        <x:f>IF(ABS(SUM(C5:G5)-1)&lt;0.0001,"PASS","FAIL")</x:f>
        <x:v>PASS</x:v>
      </x:c>
    </x:row>
    <x:row r="6">
      <x:c r="A6" s="57" t="str">
        <x:v>J-TOC</x:v>
      </x:c>
      <x:c r="B6" s="57" t="str">
        <x:v>Theater-opening command</x:v>
      </x:c>
      <x:c r="C6" s="80" t="n">
        <x:v>0.6</x:v>
      </x:c>
      <x:c r="D6" s="80" t="n">
        <x:v>0.2</x:v>
      </x:c>
      <x:c r="E6" s="80" t="n">
        <x:v>0.1</x:v>
      </x:c>
      <x:c r="F6" s="80" t="n">
        <x:v>0.05</x:v>
      </x:c>
      <x:c r="G6" s="80" t="n">
        <x:v>0.05</x:v>
      </x:c>
      <x:c r="H6" s="85" t="str">
        <x:f>IF(ABS(SUM(C6:G6)-1)&lt;0.0001,"PASS","FAIL")</x:f>
        <x:v>PASS</x:v>
      </x:c>
    </x:row>
    <x:row r="7">
      <x:c r="A7" s="76" t="str">
        <x:v>J-TSC</x:v>
      </x:c>
      <x:c r="B7" s="76" t="str">
        <x:v>Theater sustainment command</x:v>
      </x:c>
      <x:c r="C7" s="80" t="n">
        <x:v>0.6</x:v>
      </x:c>
      <x:c r="D7" s="80" t="n">
        <x:v>0.2</x:v>
      </x:c>
      <x:c r="E7" s="80" t="n">
        <x:v>0.1</x:v>
      </x:c>
      <x:c r="F7" s="80" t="n">
        <x:v>0.05</x:v>
      </x:c>
      <x:c r="G7" s="80" t="n">
        <x:v>0.05</x:v>
      </x:c>
      <x:c r="H7" s="85" t="str">
        <x:f>IF(ABS(SUM(C7:G7)-1)&lt;0.0001,"PASS","FAIL")</x:f>
        <x:v>PASS</x:v>
      </x:c>
    </x:row>
    <x:row r="8">
      <x:c r="A8" s="57" t="str">
        <x:v>J-RRG</x:v>
      </x:c>
      <x:c r="B8" s="57" t="str">
        <x:v>Replacement and reconstitution group</x:v>
      </x:c>
      <x:c r="C8" s="80" t="n">
        <x:v>0.6</x:v>
      </x:c>
      <x:c r="D8" s="80" t="n">
        <x:v>0.2</x:v>
      </x:c>
      <x:c r="E8" s="80" t="n">
        <x:v>0.1</x:v>
      </x:c>
      <x:c r="F8" s="80" t="n">
        <x:v>0.05</x:v>
      </x:c>
      <x:c r="G8" s="80" t="n">
        <x:v>0.05</x:v>
      </x:c>
      <x:c r="H8" s="85" t="str">
        <x:f>IF(ABS(SUM(C8:G8)-1)&lt;0.0001,"PASS","FAIL")</x:f>
        <x:v>PASS</x:v>
      </x:c>
    </x:row>
    <x:row r="9">
      <x:c r="A9" s="76" t="str">
        <x:v>J-TDG</x:v>
      </x:c>
      <x:c r="B9" s="76" t="str">
        <x:v>Transfer and demobilization group</x:v>
      </x:c>
      <x:c r="C9" s="80" t="n">
        <x:v>0.6</x:v>
      </x:c>
      <x:c r="D9" s="80" t="n">
        <x:v>0.2</x:v>
      </x:c>
      <x:c r="E9" s="80" t="n">
        <x:v>0.1</x:v>
      </x:c>
      <x:c r="F9" s="80" t="n">
        <x:v>0.05</x:v>
      </x:c>
      <x:c r="G9" s="80" t="n">
        <x:v>0.05</x:v>
      </x:c>
      <x:c r="H9" s="85" t="str">
        <x:f>IF(ABS(SUM(C9:G9)-1)&lt;0.0001,"PASS","FAIL")</x:f>
        <x:v>PASS</x:v>
      </x:c>
    </x:row>
    <x:row r="10">
      <x:c r="A10" s="57" t="str">
        <x:v>L-ROG</x:v>
      </x:c>
      <x:c r="B10" s="57" t="str">
        <x:v>Access and route-opening group</x:v>
      </x:c>
      <x:c r="C10" s="80" t="n">
        <x:v>0.35</x:v>
      </x:c>
      <x:c r="D10" s="80" t="n">
        <x:v>0.25</x:v>
      </x:c>
      <x:c r="E10" s="80" t="n">
        <x:v>0.25</x:v>
      </x:c>
      <x:c r="F10" s="80" t="n">
        <x:v>0.15</x:v>
      </x:c>
      <x:c r="G10" s="80" t="n">
        <x:v>0</x:v>
      </x:c>
      <x:c r="H10" s="85" t="str">
        <x:f>IF(ABS(SUM(C10:G10)-1)&lt;0.0001,"PASS","FAIL")</x:f>
        <x:v>PASS</x:v>
      </x:c>
    </x:row>
    <x:row r="11">
      <x:c r="A11" s="76" t="str">
        <x:v>L-HCG</x:v>
      </x:c>
      <x:c r="B11" s="76" t="str">
        <x:v>Flood and hydraulic-control group</x:v>
      </x:c>
      <x:c r="C11" s="80" t="n">
        <x:v>0.35</x:v>
      </x:c>
      <x:c r="D11" s="80" t="n">
        <x:v>0.25</x:v>
      </x:c>
      <x:c r="E11" s="80" t="n">
        <x:v>0.25</x:v>
      </x:c>
      <x:c r="F11" s="80" t="n">
        <x:v>0.15</x:v>
      </x:c>
      <x:c r="G11" s="80" t="n">
        <x:v>0</x:v>
      </x:c>
      <x:c r="H11" s="85" t="str">
        <x:f>IF(ABS(SUM(C11:G11)-1)&lt;0.0001,"PASS","FAIL")</x:f>
        <x:v>PASS</x:v>
      </x:c>
    </x:row>
    <x:row r="12">
      <x:c r="A12" s="57" t="str">
        <x:v>L-DMG</x:v>
      </x:c>
      <x:c r="B12" s="57" t="str">
        <x:v>Debris and materials group</x:v>
      </x:c>
      <x:c r="C12" s="80" t="n">
        <x:v>0.35</x:v>
      </x:c>
      <x:c r="D12" s="80" t="n">
        <x:v>0.25</x:v>
      </x:c>
      <x:c r="E12" s="80" t="n">
        <x:v>0.25</x:v>
      </x:c>
      <x:c r="F12" s="80" t="n">
        <x:v>0.15</x:v>
      </x:c>
      <x:c r="G12" s="80" t="n">
        <x:v>0</x:v>
      </x:c>
      <x:c r="H12" s="85" t="str">
        <x:f>IF(ABS(SUM(C12:G12)-1)&lt;0.0001,"PASS","FAIL")</x:f>
        <x:v>PASS</x:v>
      </x:c>
    </x:row>
    <x:row r="13">
      <x:c r="A13" s="76" t="str">
        <x:v>L-TWG</x:v>
      </x:c>
      <x:c r="B13" s="76" t="str">
        <x:v>Temporary works and crossing group</x:v>
      </x:c>
      <x:c r="C13" s="80" t="n">
        <x:v>0.35</x:v>
      </x:c>
      <x:c r="D13" s="80" t="n">
        <x:v>0.25</x:v>
      </x:c>
      <x:c r="E13" s="80" t="n">
        <x:v>0.25</x:v>
      </x:c>
      <x:c r="F13" s="80" t="n">
        <x:v>0.15</x:v>
      </x:c>
      <x:c r="G13" s="80" t="n">
        <x:v>0</x:v>
      </x:c>
      <x:c r="H13" s="85" t="str">
        <x:f>IF(ABS(SUM(C13:G13)-1)&lt;0.0001,"PASS","FAIL")</x:f>
        <x:v>PASS</x:v>
      </x:c>
    </x:row>
    <x:row r="14">
      <x:c r="A14" s="57" t="str">
        <x:v>L-GFG</x:v>
      </x:c>
      <x:c r="B14" s="57" t="str">
        <x:v>Ground fire and landscape group</x:v>
      </x:c>
      <x:c r="C14" s="80" t="n">
        <x:v>0.35</x:v>
      </x:c>
      <x:c r="D14" s="80" t="n">
        <x:v>0.25</x:v>
      </x:c>
      <x:c r="E14" s="80" t="n">
        <x:v>0.25</x:v>
      </x:c>
      <x:c r="F14" s="80" t="n">
        <x:v>0.15</x:v>
      </x:c>
      <x:c r="G14" s="80" t="n">
        <x:v>0</x:v>
      </x:c>
      <x:c r="H14" s="85" t="str">
        <x:f>IF(ABS(SUM(C14:G14)-1)&lt;0.0001,"PASS","FAIL")</x:f>
        <x:v>PASS</x:v>
      </x:c>
    </x:row>
    <x:row r="15">
      <x:c r="A15" s="76" t="str">
        <x:v>A-SMW</x:v>
      </x:c>
      <x:c r="B15" s="76" t="str">
        <x:v>Strategic mobility wing</x:v>
      </x:c>
      <x:c r="C15" s="80" t="n">
        <x:v>0.65</x:v>
      </x:c>
      <x:c r="D15" s="80" t="n">
        <x:v>0.25</x:v>
      </x:c>
      <x:c r="E15" s="80" t="n">
        <x:v>0.05</x:v>
      </x:c>
      <x:c r="F15" s="80" t="n">
        <x:v>0.05</x:v>
      </x:c>
      <x:c r="G15" s="80" t="n">
        <x:v>0</x:v>
      </x:c>
      <x:c r="H15" s="85" t="str">
        <x:f>IF(ABS(SUM(C15:G15)-1)&lt;0.0001,"PASS","FAIL")</x:f>
        <x:v>PASS</x:v>
      </x:c>
    </x:row>
    <x:row r="16">
      <x:c r="A16" s="57" t="str">
        <x:v>A-AAG</x:v>
      </x:c>
      <x:c r="B16" s="57" t="str">
        <x:v>Austere air-access group</x:v>
      </x:c>
      <x:c r="C16" s="80" t="n">
        <x:v>0.65</x:v>
      </x:c>
      <x:c r="D16" s="80" t="n">
        <x:v>0.25</x:v>
      </x:c>
      <x:c r="E16" s="80" t="n">
        <x:v>0.05</x:v>
      </x:c>
      <x:c r="F16" s="80" t="n">
        <x:v>0.05</x:v>
      </x:c>
      <x:c r="G16" s="80" t="n">
        <x:v>0</x:v>
      </x:c>
      <x:c r="H16" s="85" t="str">
        <x:f>IF(ABS(SUM(C16:G16)-1)&lt;0.0001,"PASS","FAIL")</x:f>
        <x:v>PASS</x:v>
      </x:c>
    </x:row>
    <x:row r="17">
      <x:c r="A17" s="76" t="str">
        <x:v>A-AHW</x:v>
      </x:c>
      <x:c r="B17" s="76" t="str">
        <x:v>Aerial hazard-control wing</x:v>
      </x:c>
      <x:c r="C17" s="80" t="n">
        <x:v>0.65</x:v>
      </x:c>
      <x:c r="D17" s="80" t="n">
        <x:v>0.25</x:v>
      </x:c>
      <x:c r="E17" s="80" t="n">
        <x:v>0.05</x:v>
      </x:c>
      <x:c r="F17" s="80" t="n">
        <x:v>0.05</x:v>
      </x:c>
      <x:c r="G17" s="80" t="n">
        <x:v>0</x:v>
      </x:c>
      <x:c r="H17" s="85" t="str">
        <x:f>IF(ABS(SUM(C17:G17)-1)&lt;0.0001,"PASS","FAIL")</x:f>
        <x:v>PASS</x:v>
      </x:c>
    </x:row>
    <x:row r="18">
      <x:c r="A18" s="57" t="str">
        <x:v>A-TDG</x:v>
      </x:c>
      <x:c r="B18" s="57" t="str">
        <x:v>Tactical distribution group</x:v>
      </x:c>
      <x:c r="C18" s="80" t="n">
        <x:v>0.65</x:v>
      </x:c>
      <x:c r="D18" s="80" t="n">
        <x:v>0.25</x:v>
      </x:c>
      <x:c r="E18" s="80" t="n">
        <x:v>0.05</x:v>
      </x:c>
      <x:c r="F18" s="80" t="n">
        <x:v>0.05</x:v>
      </x:c>
      <x:c r="G18" s="80" t="n">
        <x:v>0</x:v>
      </x:c>
      <x:c r="H18" s="85" t="str">
        <x:f>IF(ABS(SUM(C18:G18)-1)&lt;0.0001,"PASS","FAIL")</x:f>
        <x:v>PASS</x:v>
      </x:c>
    </x:row>
    <x:row r="19">
      <x:c r="A19" s="76" t="str">
        <x:v>A-SRG</x:v>
      </x:c>
      <x:c r="B19" s="76" t="str">
        <x:v>Air sensing and relay group</x:v>
      </x:c>
      <x:c r="C19" s="80" t="n">
        <x:v>0.65</x:v>
      </x:c>
      <x:c r="D19" s="80" t="n">
        <x:v>0.25</x:v>
      </x:c>
      <x:c r="E19" s="80" t="n">
        <x:v>0.05</x:v>
      </x:c>
      <x:c r="F19" s="80" t="n">
        <x:v>0.05</x:v>
      </x:c>
      <x:c r="G19" s="80" t="n">
        <x:v>0</x:v>
      </x:c>
      <x:c r="H19" s="85" t="str">
        <x:f>IF(ABS(SUM(C19:G19)-1)&lt;0.0001,"PASS","FAIL")</x:f>
        <x:v>PASS</x:v>
      </x:c>
    </x:row>
    <x:row r="20">
      <x:c r="A20" s="57" t="str">
        <x:v>A-AMG</x:v>
      </x:c>
      <x:c r="B20" s="57" t="str">
        <x:v>Aeromedical movement group</x:v>
      </x:c>
      <x:c r="C20" s="80" t="n">
        <x:v>0.65</x:v>
      </x:c>
      <x:c r="D20" s="80" t="n">
        <x:v>0.25</x:v>
      </x:c>
      <x:c r="E20" s="80" t="n">
        <x:v>0.05</x:v>
      </x:c>
      <x:c r="F20" s="80" t="n">
        <x:v>0.05</x:v>
      </x:c>
      <x:c r="G20" s="80" t="n">
        <x:v>0</x:v>
      </x:c>
      <x:c r="H20" s="85" t="str">
        <x:f>IF(ABS(SUM(C20:G20)-1)&lt;0.0001,"PASS","FAIL")</x:f>
        <x:v>PASS</x:v>
      </x:c>
    </x:row>
    <x:row r="21">
      <x:c r="A21" s="76" t="str">
        <x:v>M-POG</x:v>
      </x:c>
      <x:c r="B21" s="76" t="str">
        <x:v>Port-opening group</x:v>
      </x:c>
      <x:c r="C21" s="80" t="n">
        <x:v>0.7</x:v>
      </x:c>
      <x:c r="D21" s="80" t="n">
        <x:v>0.2</x:v>
      </x:c>
      <x:c r="E21" s="80" t="n">
        <x:v>0.02</x:v>
      </x:c>
      <x:c r="F21" s="80" t="n">
        <x:v>0.08</x:v>
      </x:c>
      <x:c r="G21" s="80" t="n">
        <x:v>0</x:v>
      </x:c>
      <x:c r="H21" s="85" t="str">
        <x:f>IF(ABS(SUM(C21:G21)-1)&lt;0.0001,"PASS","FAIL")</x:f>
        <x:v>PASS</x:v>
      </x:c>
    </x:row>
    <x:row r="22">
      <x:c r="A22" s="57" t="str">
        <x:v>M-LAG</x:v>
      </x:c>
      <x:c r="B22" s="57" t="str">
        <x:v>Littoral-access group</x:v>
      </x:c>
      <x:c r="C22" s="80" t="n">
        <x:v>0.7</x:v>
      </x:c>
      <x:c r="D22" s="80" t="n">
        <x:v>0.2</x:v>
      </x:c>
      <x:c r="E22" s="80" t="n">
        <x:v>0.02</x:v>
      </x:c>
      <x:c r="F22" s="80" t="n">
        <x:v>0.08</x:v>
      </x:c>
      <x:c r="G22" s="80" t="n">
        <x:v>0</x:v>
      </x:c>
      <x:c r="H22" s="85" t="str">
        <x:f>IF(ABS(SUM(C22:G22)-1)&lt;0.0001,"PASS","FAIL")</x:f>
        <x:v>PASS</x:v>
      </x:c>
    </x:row>
    <x:row r="23">
      <x:c r="A23" s="76" t="str">
        <x:v>M-IWG</x:v>
      </x:c>
      <x:c r="B23" s="76" t="str">
        <x:v>Inland-waterway group</x:v>
      </x:c>
      <x:c r="C23" s="80" t="n">
        <x:v>0.7</x:v>
      </x:c>
      <x:c r="D23" s="80" t="n">
        <x:v>0.2</x:v>
      </x:c>
      <x:c r="E23" s="80" t="n">
        <x:v>0.02</x:v>
      </x:c>
      <x:c r="F23" s="80" t="n">
        <x:v>0.08</x:v>
      </x:c>
      <x:c r="G23" s="80" t="n">
        <x:v>0</x:v>
      </x:c>
      <x:c r="H23" s="85" t="str">
        <x:f>IF(ABS(SUM(C23:G23)-1)&lt;0.0001,"PASS","FAIL")</x:f>
        <x:v>PASS</x:v>
      </x:c>
    </x:row>
    <x:row r="24">
      <x:c r="A24" s="57" t="str">
        <x:v>M-OSG</x:v>
      </x:c>
      <x:c r="B24" s="57" t="str">
        <x:v>Offshore-support group</x:v>
      </x:c>
      <x:c r="C24" s="80" t="n">
        <x:v>0.7</x:v>
      </x:c>
      <x:c r="D24" s="80" t="n">
        <x:v>0.2</x:v>
      </x:c>
      <x:c r="E24" s="80" t="n">
        <x:v>0.02</x:v>
      </x:c>
      <x:c r="F24" s="80" t="n">
        <x:v>0.08</x:v>
      </x:c>
      <x:c r="G24" s="80" t="n">
        <x:v>0</x:v>
      </x:c>
      <x:c r="H24" s="85" t="str">
        <x:f>IF(ABS(SUM(C24:G24)-1)&lt;0.0001,"PASS","FAIL")</x:f>
        <x:v>PASS</x:v>
      </x:c>
    </x:row>
    <x:row r="25">
      <x:c r="A25" s="76" t="str">
        <x:v>M-SSG</x:v>
      </x:c>
      <x:c r="B25" s="76" t="str">
        <x:v>Ocean sustainment group</x:v>
      </x:c>
      <x:c r="C25" s="80" t="n">
        <x:v>0.7</x:v>
      </x:c>
      <x:c r="D25" s="80" t="n">
        <x:v>0.2</x:v>
      </x:c>
      <x:c r="E25" s="80" t="n">
        <x:v>0.02</x:v>
      </x:c>
      <x:c r="F25" s="80" t="n">
        <x:v>0.08</x:v>
      </x:c>
      <x:c r="G25" s="80" t="n">
        <x:v>0</x:v>
      </x:c>
      <x:c r="H25" s="85" t="str">
        <x:f>IF(ABS(SUM(C25:G25)-1)&lt;0.0001,"PASS","FAIL")</x:f>
        <x:v>PASS</x:v>
      </x:c>
    </x:row>
    <x:row r="26">
      <x:c r="A26" s="57" t="str">
        <x:v>I-UPG</x:v>
      </x:c>
      <x:c r="B26" s="57" t="str">
        <x:v>Utility projection group</x:v>
      </x:c>
      <x:c r="C26" s="80" t="n">
        <x:v>0.35</x:v>
      </x:c>
      <x:c r="D26" s="80" t="n">
        <x:v>0.25</x:v>
      </x:c>
      <x:c r="E26" s="80" t="n">
        <x:v>0.15</x:v>
      </x:c>
      <x:c r="F26" s="80" t="n">
        <x:v>0.25</x:v>
      </x:c>
      <x:c r="G26" s="80" t="n">
        <x:v>0</x:v>
      </x:c>
      <x:c r="H26" s="85" t="str">
        <x:f>IF(ABS(SUM(C26:G26)-1)&lt;0.0001,"PASS","FAIL")</x:f>
        <x:v>PASS</x:v>
      </x:c>
    </x:row>
    <x:row r="27">
      <x:c r="A27" s="76" t="str">
        <x:v>I-CUG</x:v>
      </x:c>
      <x:c r="B27" s="76" t="str">
        <x:v>Communications utility group</x:v>
      </x:c>
      <x:c r="C27" s="80" t="n">
        <x:v>0.35</x:v>
      </x:c>
      <x:c r="D27" s="80" t="n">
        <x:v>0.25</x:v>
      </x:c>
      <x:c r="E27" s="80" t="n">
        <x:v>0.15</x:v>
      </x:c>
      <x:c r="F27" s="80" t="n">
        <x:v>0.25</x:v>
      </x:c>
      <x:c r="G27" s="80" t="n">
        <x:v>0</x:v>
      </x:c>
      <x:c r="H27" s="85" t="str">
        <x:f>IF(ABS(SUM(C27:G27)-1)&lt;0.0001,"PASS","FAIL")</x:f>
        <x:v>PASS</x:v>
      </x:c>
    </x:row>
    <x:row r="28">
      <x:c r="A28" s="57" t="str">
        <x:v>I-TSG</x:v>
      </x:c>
      <x:c r="B28" s="57" t="str">
        <x:v>Thermal safety group</x:v>
      </x:c>
      <x:c r="C28" s="80" t="n">
        <x:v>0.35</x:v>
      </x:c>
      <x:c r="D28" s="80" t="n">
        <x:v>0.25</x:v>
      </x:c>
      <x:c r="E28" s="80" t="n">
        <x:v>0.15</x:v>
      </x:c>
      <x:c r="F28" s="80" t="n">
        <x:v>0.25</x:v>
      </x:c>
      <x:c r="G28" s="80" t="n">
        <x:v>0</x:v>
      </x:c>
      <x:c r="H28" s="85" t="str">
        <x:f>IF(ABS(SUM(C28:G28)-1)&lt;0.0001,"PASS","FAIL")</x:f>
        <x:v>PASS</x:v>
      </x:c>
    </x:row>
    <x:row r="29">
      <x:c r="A29" s="76" t="str">
        <x:v>I-URG</x:v>
      </x:c>
      <x:c r="B29" s="76" t="str">
        <x:v>Utility reconstruction group</x:v>
      </x:c>
      <x:c r="C29" s="80" t="n">
        <x:v>0.35</x:v>
      </x:c>
      <x:c r="D29" s="80" t="n">
        <x:v>0.25</x:v>
      </x:c>
      <x:c r="E29" s="80" t="n">
        <x:v>0.15</x:v>
      </x:c>
      <x:c r="F29" s="80" t="n">
        <x:v>0.25</x:v>
      </x:c>
      <x:c r="G29" s="80" t="n">
        <x:v>0</x:v>
      </x:c>
      <x:c r="H29" s="85" t="str">
        <x:f>IF(ABS(SUM(C29:G29)-1)&lt;0.0001,"PASS","FAIL")</x:f>
        <x:v>PASS</x:v>
      </x:c>
    </x:row>
    <x:row r="30">
      <x:c r="A30" s="57" t="str">
        <x:v>H-CHC</x:v>
      </x:c>
      <x:c r="B30" s="57" t="str">
        <x:v>Community health continuity group</x:v>
      </x:c>
      <x:c r="C30" s="80" t="n">
        <x:v>0.35</x:v>
      </x:c>
      <x:c r="D30" s="80" t="n">
        <x:v>0.35</x:v>
      </x:c>
      <x:c r="E30" s="80" t="n">
        <x:v>0.15</x:v>
      </x:c>
      <x:c r="F30" s="80" t="n">
        <x:v>0.15</x:v>
      </x:c>
      <x:c r="G30" s="80" t="n">
        <x:v>0</x:v>
      </x:c>
      <x:c r="H30" s="85" t="str">
        <x:f>IF(ABS(SUM(C30:G30)-1)&lt;0.0001,"PASS","FAIL")</x:f>
        <x:v>PASS</x:v>
      </x:c>
    </x:row>
    <x:row r="31">
      <x:c r="A31" s="76" t="str">
        <x:v>H-MAC</x:v>
      </x:c>
      <x:c r="B31" s="76" t="str">
        <x:v>Mobile acute-care group</x:v>
      </x:c>
      <x:c r="C31" s="80" t="n">
        <x:v>0.35</x:v>
      </x:c>
      <x:c r="D31" s="80" t="n">
        <x:v>0.35</x:v>
      </x:c>
      <x:c r="E31" s="80" t="n">
        <x:v>0.15</x:v>
      </x:c>
      <x:c r="F31" s="80" t="n">
        <x:v>0.15</x:v>
      </x:c>
      <x:c r="G31" s="80" t="n">
        <x:v>0</x:v>
      </x:c>
      <x:c r="H31" s="85" t="str">
        <x:f>IF(ABS(SUM(C31:G31)-1)&lt;0.0001,"PASS","FAIL")</x:f>
        <x:v>PASS</x:v>
      </x:c>
    </x:row>
    <x:row r="32">
      <x:c r="A32" s="57" t="str">
        <x:v>H-PHC</x:v>
      </x:c>
      <x:c r="B32" s="57" t="str">
        <x:v>Public-health control group</x:v>
      </x:c>
      <x:c r="C32" s="80" t="n">
        <x:v>0.35</x:v>
      </x:c>
      <x:c r="D32" s="80" t="n">
        <x:v>0.35</x:v>
      </x:c>
      <x:c r="E32" s="80" t="n">
        <x:v>0.15</x:v>
      </x:c>
      <x:c r="F32" s="80" t="n">
        <x:v>0.15</x:v>
      </x:c>
      <x:c r="G32" s="80" t="n">
        <x:v>0</x:v>
      </x:c>
      <x:c r="H32" s="85" t="str">
        <x:f>IF(ABS(SUM(C32:G32)-1)&lt;0.0001,"PASS","FAIL")</x:f>
        <x:v>PASS</x:v>
      </x:c>
    </x:row>
    <x:row r="33">
      <x:c r="A33" s="76" t="str">
        <x:v>H-HWR</x:v>
      </x:c>
      <x:c r="B33" s="76" t="str">
        <x:v>Health workforce replacement group</x:v>
      </x:c>
      <x:c r="C33" s="80" t="n">
        <x:v>0.35</x:v>
      </x:c>
      <x:c r="D33" s="80" t="n">
        <x:v>0.35</x:v>
      </x:c>
      <x:c r="E33" s="80" t="n">
        <x:v>0.15</x:v>
      </x:c>
      <x:c r="F33" s="80" t="n">
        <x:v>0.15</x:v>
      </x:c>
      <x:c r="G33" s="80" t="n">
        <x:v>0</x:v>
      </x:c>
      <x:c r="H33" s="85" t="str">
        <x:f>IF(ABS(SUM(C33:G33)-1)&lt;0.0001,"PASS","FAIL")</x:f>
        <x:v>PASS</x:v>
      </x:c>
    </x:row>
    <x:row r="34">
      <x:c r="A34" s="57" t="str">
        <x:v>C-PSG</x:v>
      </x:c>
      <x:c r="B34" s="57" t="str">
        <x:v>Population support group</x:v>
      </x:c>
      <x:c r="C34" s="80" t="n">
        <x:v>0.2</x:v>
      </x:c>
      <x:c r="D34" s="80" t="n">
        <x:v>0.25</x:v>
      </x:c>
      <x:c r="E34" s="80" t="n">
        <x:v>0.35</x:v>
      </x:c>
      <x:c r="F34" s="80" t="n">
        <x:v>0.2</x:v>
      </x:c>
      <x:c r="G34" s="80" t="n">
        <x:v>0</x:v>
      </x:c>
      <x:c r="H34" s="85" t="str">
        <x:f>IF(ABS(SUM(C34:G34)-1)&lt;0.0001,"PASS","FAIL")</x:f>
        <x:v>PASS</x:v>
      </x:c>
    </x:row>
    <x:row r="35">
      <x:c r="A35" s="76" t="str">
        <x:v>C-EGG</x:v>
      </x:c>
      <x:c r="B35" s="76" t="str">
        <x:v>Essential-goods group</x:v>
      </x:c>
      <x:c r="C35" s="80" t="n">
        <x:v>0.2</x:v>
      </x:c>
      <x:c r="D35" s="80" t="n">
        <x:v>0.25</x:v>
      </x:c>
      <x:c r="E35" s="80" t="n">
        <x:v>0.35</x:v>
      </x:c>
      <x:c r="F35" s="80" t="n">
        <x:v>0.2</x:v>
      </x:c>
      <x:c r="G35" s="80" t="n">
        <x:v>0</x:v>
      </x:c>
      <x:c r="H35" s="85" t="str">
        <x:f>IF(ABS(SUM(C35:G35)-1)&lt;0.0001,"PASS","FAIL")</x:f>
        <x:v>PASS</x:v>
      </x:c>
    </x:row>
    <x:row r="36">
      <x:c r="A36" s="57" t="str">
        <x:v>C-CAG</x:v>
      </x:c>
      <x:c r="B36" s="57" t="str">
        <x:v>Civil access group</x:v>
      </x:c>
      <x:c r="C36" s="80" t="n">
        <x:v>0.2</x:v>
      </x:c>
      <x:c r="D36" s="80" t="n">
        <x:v>0.25</x:v>
      </x:c>
      <x:c r="E36" s="80" t="n">
        <x:v>0.35</x:v>
      </x:c>
      <x:c r="F36" s="80" t="n">
        <x:v>0.2</x:v>
      </x:c>
      <x:c r="G36" s="80" t="n">
        <x:v>0</x:v>
      </x:c>
      <x:c r="H36" s="85" t="str">
        <x:f>IF(ABS(SUM(C36:G36)-1)&lt;0.0001,"PASS","FAIL")</x:f>
        <x:v>PASS</x:v>
      </x:c>
    </x:row>
    <x:row r="37">
      <x:c r="A37" s="76" t="str">
        <x:v>C-DTG</x:v>
      </x:c>
      <x:c r="B37" s="76" t="str">
        <x:v>Displacement transition group</x:v>
      </x:c>
      <x:c r="C37" s="80" t="n">
        <x:v>0.2</x:v>
      </x:c>
      <x:c r="D37" s="80" t="n">
        <x:v>0.25</x:v>
      </x:c>
      <x:c r="E37" s="80" t="n">
        <x:v>0.35</x:v>
      </x:c>
      <x:c r="F37" s="80" t="n">
        <x:v>0.2</x:v>
      </x:c>
      <x:c r="G37" s="80" t="n">
        <x:v>0</x:v>
      </x:c>
      <x:c r="H37" s="85" t="str">
        <x:f>IF(ABS(SUM(C37:G37)-1)&lt;0.0001,"PASS","FAIL")</x:f>
        <x:v>PASS</x:v>
      </x:c>
    </x:row>
    <x:row r="38">
      <x:c r="A38" s="57" t="str">
        <x:v>C-CIG</x:v>
      </x:c>
      <x:c r="B38" s="57" t="str">
        <x:v>Community institutions group</x:v>
      </x:c>
      <x:c r="C38" s="80" t="n">
        <x:v>0.2</x:v>
      </x:c>
      <x:c r="D38" s="80" t="n">
        <x:v>0.25</x:v>
      </x:c>
      <x:c r="E38" s="80" t="n">
        <x:v>0.35</x:v>
      </x:c>
      <x:c r="F38" s="80" t="n">
        <x:v>0.2</x:v>
      </x:c>
      <x:c r="G38" s="80" t="n">
        <x:v>0</x:v>
      </x:c>
      <x:c r="H38" s="85" t="str">
        <x:f>IF(ABS(SUM(C38:G38)-1)&lt;0.0001,"PASS","FAIL")</x:f>
        <x:v>PASS</x:v>
      </x:c>
    </x:row>
  </x:sheetData>
  <x:mergeCells>
    <x:mergeCell ref="A1:H1"/>
    <x:mergeCell ref="A2:H2"/>
  </x:mergeCells>
  <x:conditionalFormatting sqref="H5:H38">
    <x:cfRule type="containsText" dxfId="8" priority="1" operator="containsText" text="PASS"/>
    <x:cfRule type="containsText" dxfId="9" priority="2" operator="containsText" text="OPEN"/>
    <x:cfRule type="containsText" dxfId="10" priority="3" operator="containsText" text="FAIL"/>
    <x:cfRule type="containsText" dxfId="11" priority="4" operator="containsText" text="SHORT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3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4" hidden="0" customWidth="1"/>
    <x:col min="13" max="13" width="17" hidden="0" customWidth="1"/>
  </x:cols>
  <x:sheetData>
    <x:row r="1" ht="24" customHeight="1">
      <x:c r="A1" s="50" t="str">
        <x:v>Inventory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</x:row>
    <x:row r="2" ht="24" customHeight="1">
      <x:c r="A2" s="52" t="str">
        <x:v>Selected inventory is the maximum of complete-readiness, early-response, enduring-component and global-eligibility requirements.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</x:row>
    <x:row r="4" ht="32" customHeight="1">
      <x:c r="A4" s="59" t="str">
        <x:v>ID</x:v>
      </x:c>
      <x:c r="B4" s="60" t="str">
        <x:v>Formation</x:v>
      </x:c>
      <x:c r="C4" s="60" t="str">
        <x:v>Demand</x:v>
      </x:c>
      <x:c r="D4" s="60" t="str">
        <x:v>With 20% reserve</x:v>
      </x:c>
      <x:c r="E4" s="60" t="str">
        <x:v>Readiness inventory</x:v>
      </x:c>
      <x:c r="F4" s="60" t="str">
        <x:v>Early inventory</x:v>
      </x:c>
      <x:c r="G4" s="60" t="str">
        <x:v>Enduring inventory</x:v>
      </x:c>
      <x:c r="H4" s="60" t="str">
        <x:v>Global inventory</x:v>
      </x:c>
      <x:c r="I4" s="60" t="str">
        <x:v>Selected inventory</x:v>
      </x:c>
      <x:c r="J4" s="60" t="str">
        <x:v>Ready capacity</x:v>
      </x:c>
      <x:c r="K4" s="60" t="str">
        <x:v>Margin</x:v>
      </x:c>
      <x:c r="L4" s="60" t="str">
        <x:v>Binding requirement</x:v>
      </x:c>
      <x:c r="M4" s="61" t="str">
        <x:v>Status</x:v>
      </x:c>
    </x:row>
    <x:row r="5">
      <x:c r="A5" s="76" t="str">
        <x:v>J-CIE</x:v>
      </x:c>
      <x:c r="B5" s="76" t="str">
        <x:v>Civil integration and effects group</x:v>
      </x:c>
      <x:c r="C5" s="103" t="n">
        <x:f>'Package Matrix'!N5</x:f>
        <x:v>34</x:v>
      </x:c>
      <x:c r="D5" s="103" t="n">
        <x:f>C5*(1+Controls!B5)</x:f>
        <x:v>40.8</x:v>
      </x:c>
      <x:c r="E5" s="103" t="n">
        <x:f>CEILING(D5/'Readiness Vectors'!H5,1)</x:f>
        <x:v>53</x:v>
      </x:c>
      <x:c r="F5" s="103" t="n">
        <x:f>CEILING(C5*'Formation Catalog'!K5*(1+Controls!B5)/('Component Mix'!C5*'Component Doctrine'!C$5+'Component Mix'!D5*'Component Doctrine'!C$6+'Component Mix'!E5*'Component Doctrine'!C$7+'Component Mix'!F5*'Component Doctrine'!C$8+'Component Mix'!G5*'Component Doctrine'!C$9),1)</x:f>
        <x:v>35</x:v>
      </x:c>
      <x:c r="G5" s="103" t="n">
        <x:f>CEILING(D5/('Component Mix'!C5*'Component Doctrine'!D$5+'Component Mix'!D5*'Component Doctrine'!D$6+'Component Mix'!E5*'Component Doctrine'!D$7+'Component Mix'!F5*'Component Doctrine'!D$8+'Component Mix'!G5*'Component Doctrine'!D$9),1)</x:f>
        <x:v>48</x:v>
      </x:c>
      <x:c r="H5" s="103" t="n">
        <x:f>CEILING('Package Matrix'!O5*(1+Controls!B5)/('Component Mix'!C5*'Component Doctrine'!E$5+'Component Mix'!D5*'Component Doctrine'!E$6+'Component Mix'!E5*'Component Doctrine'!E$7+'Component Mix'!F5*'Component Doctrine'!E$8+'Component Mix'!G5*'Component Doctrine'!E$9),1)</x:f>
        <x:v>12</x:v>
      </x:c>
      <x:c r="I5" s="103" t="n">
        <x:f>MAX(E5:H5)</x:f>
        <x:v>53</x:v>
      </x:c>
      <x:c r="J5" s="103" t="n">
        <x:f>I5*'Readiness Vectors'!H5</x:f>
        <x:v>41.34</x:v>
      </x:c>
      <x:c r="K5" s="103" t="n">
        <x:f>J5-D5</x:f>
        <x:v>0.5400000000000063</x:v>
      </x:c>
      <x:c r="L5" s="85" t="str">
        <x:f>IF(I5=E5,"Complete readiness",IF(I5=F5,"72-hour component",IF(I5=G5,"Enduring component","Global eligibility")))</x:f>
        <x:v>Complete readiness</x:v>
      </x:c>
      <x:c r="M5" s="85" t="str">
        <x:f>IF(K5&gt;=0,"PASS","FAIL")</x:f>
        <x:v>PASS</x:v>
      </x:c>
    </x:row>
    <x:row r="6">
      <x:c r="A6" s="57" t="str">
        <x:v>J-TOC</x:v>
      </x:c>
      <x:c r="B6" s="57" t="str">
        <x:v>Theater-opening command</x:v>
      </x:c>
      <x:c r="C6" s="103" t="n">
        <x:f>'Package Matrix'!N6</x:f>
        <x:v>23</x:v>
      </x:c>
      <x:c r="D6" s="103" t="n">
        <x:f>C6*(1+Controls!B5)</x:f>
        <x:v>27.599999999999998</x:v>
      </x:c>
      <x:c r="E6" s="103" t="n">
        <x:f>CEILING(D6/'Readiness Vectors'!H6,1)</x:f>
        <x:v>36</x:v>
      </x:c>
      <x:c r="F6" s="103" t="n">
        <x:f>CEILING(C6*'Formation Catalog'!K6*(1+Controls!B5)/('Component Mix'!C6*'Component Doctrine'!C$5+'Component Mix'!D6*'Component Doctrine'!C$6+'Component Mix'!E6*'Component Doctrine'!C$7+'Component Mix'!F6*'Component Doctrine'!C$8+'Component Mix'!G6*'Component Doctrine'!C$9),1)</x:f>
        <x:v>24</x:v>
      </x:c>
      <x:c r="G6" s="103" t="n">
        <x:f>CEILING(D6/('Component Mix'!C6*'Component Doctrine'!D$5+'Component Mix'!D6*'Component Doctrine'!D$6+'Component Mix'!E6*'Component Doctrine'!D$7+'Component Mix'!F6*'Component Doctrine'!D$8+'Component Mix'!G6*'Component Doctrine'!D$9),1)</x:f>
        <x:v>32</x:v>
      </x:c>
      <x:c r="H6" s="103" t="n">
        <x:f>CEILING('Package Matrix'!O6*(1+Controls!B5)/('Component Mix'!C6*'Component Doctrine'!E$5+'Component Mix'!D6*'Component Doctrine'!E$6+'Component Mix'!E6*'Component Doctrine'!E$7+'Component Mix'!F6*'Component Doctrine'!E$8+'Component Mix'!G6*'Component Doctrine'!E$9),1)</x:f>
        <x:v>9</x:v>
      </x:c>
      <x:c r="I6" s="103" t="n">
        <x:f>MAX(E6:H6)</x:f>
        <x:v>36</x:v>
      </x:c>
      <x:c r="J6" s="103" t="n">
        <x:f>I6*'Readiness Vectors'!H6</x:f>
        <x:v>28.080000000000002</x:v>
      </x:c>
      <x:c r="K6" s="103" t="n">
        <x:f>J6-D6</x:f>
        <x:v>0.480000000000004</x:v>
      </x:c>
      <x:c r="L6" s="85" t="str">
        <x:f>IF(I6=E6,"Complete readiness",IF(I6=F6,"72-hour component",IF(I6=G6,"Enduring component","Global eligibility")))</x:f>
        <x:v>Complete readiness</x:v>
      </x:c>
      <x:c r="M6" s="85" t="str">
        <x:f>IF(K6&gt;=0,"PASS","FAIL")</x:f>
        <x:v>PASS</x:v>
      </x:c>
    </x:row>
    <x:row r="7">
      <x:c r="A7" s="76" t="str">
        <x:v>J-TSC</x:v>
      </x:c>
      <x:c r="B7" s="76" t="str">
        <x:v>Theater sustainment command</x:v>
      </x:c>
      <x:c r="C7" s="103" t="n">
        <x:f>'Package Matrix'!N7</x:f>
        <x:v>33</x:v>
      </x:c>
      <x:c r="D7" s="103" t="n">
        <x:f>C7*(1+Controls!B5)</x:f>
        <x:v>39.6</x:v>
      </x:c>
      <x:c r="E7" s="103" t="n">
        <x:f>CEILING(D7/'Readiness Vectors'!H7,1)</x:f>
        <x:v>51</x:v>
      </x:c>
      <x:c r="F7" s="103" t="n">
        <x:f>CEILING(C7*'Formation Catalog'!K7*(1+Controls!B5)/('Component Mix'!C7*'Component Doctrine'!C$5+'Component Mix'!D7*'Component Doctrine'!C$6+'Component Mix'!E7*'Component Doctrine'!C$7+'Component Mix'!F7*'Component Doctrine'!C$8+'Component Mix'!G7*'Component Doctrine'!C$9),1)</x:f>
        <x:v>34</x:v>
      </x:c>
      <x:c r="G7" s="103" t="n">
        <x:f>CEILING(D7/('Component Mix'!C7*'Component Doctrine'!D$5+'Component Mix'!D7*'Component Doctrine'!D$6+'Component Mix'!E7*'Component Doctrine'!D$7+'Component Mix'!F7*'Component Doctrine'!D$8+'Component Mix'!G7*'Component Doctrine'!D$9),1)</x:f>
        <x:v>46</x:v>
      </x:c>
      <x:c r="H7" s="103" t="n">
        <x:f>CEILING('Package Matrix'!O7*(1+Controls!B5)/('Component Mix'!C7*'Component Doctrine'!E$5+'Component Mix'!D7*'Component Doctrine'!E$6+'Component Mix'!E7*'Component Doctrine'!E$7+'Component Mix'!F7*'Component Doctrine'!E$8+'Component Mix'!G7*'Component Doctrine'!E$9),1)</x:f>
        <x:v>12</x:v>
      </x:c>
      <x:c r="I7" s="103" t="n">
        <x:f>MAX(E7:H7)</x:f>
        <x:v>51</x:v>
      </x:c>
      <x:c r="J7" s="103" t="n">
        <x:f>I7*'Readiness Vectors'!H7</x:f>
        <x:v>39.78</x:v>
      </x:c>
      <x:c r="K7" s="103" t="n">
        <x:f>J7-D7</x:f>
        <x:v>0.17999999999999972</x:v>
      </x:c>
      <x:c r="L7" s="85" t="str">
        <x:f>IF(I7=E7,"Complete readiness",IF(I7=F7,"72-hour component",IF(I7=G7,"Enduring component","Global eligibility")))</x:f>
        <x:v>Complete readiness</x:v>
      </x:c>
      <x:c r="M7" s="85" t="str">
        <x:f>IF(K7&gt;=0,"PASS","FAIL")</x:f>
        <x:v>PASS</x:v>
      </x:c>
    </x:row>
    <x:row r="8">
      <x:c r="A8" s="57" t="str">
        <x:v>J-RRG</x:v>
      </x:c>
      <x:c r="B8" s="57" t="str">
        <x:v>Replacement and reconstitution group</x:v>
      </x:c>
      <x:c r="C8" s="103" t="n">
        <x:f>'Package Matrix'!N8</x:f>
        <x:v>33</x:v>
      </x:c>
      <x:c r="D8" s="103" t="n">
        <x:f>C8*(1+Controls!B5)</x:f>
        <x:v>39.6</x:v>
      </x:c>
      <x:c r="E8" s="103" t="n">
        <x:f>CEILING(D8/'Readiness Vectors'!H8,1)</x:f>
        <x:v>51</x:v>
      </x:c>
      <x:c r="F8" s="103" t="n">
        <x:f>CEILING(C8*'Formation Catalog'!K8*(1+Controls!B5)/('Component Mix'!C8*'Component Doctrine'!C$5+'Component Mix'!D8*'Component Doctrine'!C$6+'Component Mix'!E8*'Component Doctrine'!C$7+'Component Mix'!F8*'Component Doctrine'!C$8+'Component Mix'!G8*'Component Doctrine'!C$9),1)</x:f>
        <x:v>34</x:v>
      </x:c>
      <x:c r="G8" s="103" t="n">
        <x:f>CEILING(D8/('Component Mix'!C8*'Component Doctrine'!D$5+'Component Mix'!D8*'Component Doctrine'!D$6+'Component Mix'!E8*'Component Doctrine'!D$7+'Component Mix'!F8*'Component Doctrine'!D$8+'Component Mix'!G8*'Component Doctrine'!D$9),1)</x:f>
        <x:v>46</x:v>
      </x:c>
      <x:c r="H8" s="103" t="n">
        <x:f>CEILING('Package Matrix'!O8*(1+Controls!B5)/('Component Mix'!C8*'Component Doctrine'!E$5+'Component Mix'!D8*'Component Doctrine'!E$6+'Component Mix'!E8*'Component Doctrine'!E$7+'Component Mix'!F8*'Component Doctrine'!E$8+'Component Mix'!G8*'Component Doctrine'!E$9),1)</x:f>
        <x:v>12</x:v>
      </x:c>
      <x:c r="I8" s="103" t="n">
        <x:f>MAX(E8:H8)</x:f>
        <x:v>51</x:v>
      </x:c>
      <x:c r="J8" s="103" t="n">
        <x:f>I8*'Readiness Vectors'!H8</x:f>
        <x:v>39.78</x:v>
      </x:c>
      <x:c r="K8" s="103" t="n">
        <x:f>J8-D8</x:f>
        <x:v>0.17999999999999972</x:v>
      </x:c>
      <x:c r="L8" s="85" t="str">
        <x:f>IF(I8=E8,"Complete readiness",IF(I8=F8,"72-hour component",IF(I8=G8,"Enduring component","Global eligibility")))</x:f>
        <x:v>Complete readiness</x:v>
      </x:c>
      <x:c r="M8" s="85" t="str">
        <x:f>IF(K8&gt;=0,"PASS","FAIL")</x:f>
        <x:v>PASS</x:v>
      </x:c>
    </x:row>
    <x:row r="9">
      <x:c r="A9" s="76" t="str">
        <x:v>J-TDG</x:v>
      </x:c>
      <x:c r="B9" s="76" t="str">
        <x:v>Transfer and demobilization group</x:v>
      </x:c>
      <x:c r="C9" s="103" t="n">
        <x:f>'Package Matrix'!N9</x:f>
        <x:v>23</x:v>
      </x:c>
      <x:c r="D9" s="103" t="n">
        <x:f>C9*(1+Controls!B5)</x:f>
        <x:v>27.599999999999998</x:v>
      </x:c>
      <x:c r="E9" s="103" t="n">
        <x:f>CEILING(D9/'Readiness Vectors'!H9,1)</x:f>
        <x:v>36</x:v>
      </x:c>
      <x:c r="F9" s="103" t="n">
        <x:f>CEILING(C9*'Formation Catalog'!K9*(1+Controls!B5)/('Component Mix'!C9*'Component Doctrine'!C$5+'Component Mix'!D9*'Component Doctrine'!C$6+'Component Mix'!E9*'Component Doctrine'!C$7+'Component Mix'!F9*'Component Doctrine'!C$8+'Component Mix'!G9*'Component Doctrine'!C$9),1)</x:f>
        <x:v>24</x:v>
      </x:c>
      <x:c r="G9" s="103" t="n">
        <x:f>CEILING(D9/('Component Mix'!C9*'Component Doctrine'!D$5+'Component Mix'!D9*'Component Doctrine'!D$6+'Component Mix'!E9*'Component Doctrine'!D$7+'Component Mix'!F9*'Component Doctrine'!D$8+'Component Mix'!G9*'Component Doctrine'!D$9),1)</x:f>
        <x:v>32</x:v>
      </x:c>
      <x:c r="H9" s="103" t="n">
        <x:f>CEILING('Package Matrix'!O9*(1+Controls!B5)/('Component Mix'!C9*'Component Doctrine'!E$5+'Component Mix'!D9*'Component Doctrine'!E$6+'Component Mix'!E9*'Component Doctrine'!E$7+'Component Mix'!F9*'Component Doctrine'!E$8+'Component Mix'!G9*'Component Doctrine'!E$9),1)</x:f>
        <x:v>9</x:v>
      </x:c>
      <x:c r="I9" s="103" t="n">
        <x:f>MAX(E9:H9)</x:f>
        <x:v>36</x:v>
      </x:c>
      <x:c r="J9" s="103" t="n">
        <x:f>I9*'Readiness Vectors'!H9</x:f>
        <x:v>28.080000000000002</x:v>
      </x:c>
      <x:c r="K9" s="103" t="n">
        <x:f>J9-D9</x:f>
        <x:v>0.480000000000004</x:v>
      </x:c>
      <x:c r="L9" s="85" t="str">
        <x:f>IF(I9=E9,"Complete readiness",IF(I9=F9,"72-hour component",IF(I9=G9,"Enduring component","Global eligibility")))</x:f>
        <x:v>Complete readiness</x:v>
      </x:c>
      <x:c r="M9" s="85" t="str">
        <x:f>IF(K9&gt;=0,"PASS","FAIL")</x:f>
        <x:v>PASS</x:v>
      </x:c>
    </x:row>
    <x:row r="10">
      <x:c r="A10" s="57" t="str">
        <x:v>L-ROG</x:v>
      </x:c>
      <x:c r="B10" s="57" t="str">
        <x:v>Access and route-opening group</x:v>
      </x:c>
      <x:c r="C10" s="103" t="n">
        <x:f>'Package Matrix'!N10</x:f>
        <x:v>70</x:v>
      </x:c>
      <x:c r="D10" s="103" t="n">
        <x:f>C10*(1+Controls!B5)</x:f>
        <x:v>84</x:v>
      </x:c>
      <x:c r="E10" s="103" t="n">
        <x:f>CEILING(D10/'Readiness Vectors'!H10,1)</x:f>
        <x:v>121</x:v>
      </x:c>
      <x:c r="F10" s="103" t="n">
        <x:f>CEILING(C10*'Formation Catalog'!K10*(1+Controls!B5)/('Component Mix'!C10*'Component Doctrine'!C$5+'Component Mix'!D10*'Component Doctrine'!C$6+'Component Mix'!E10*'Component Doctrine'!C$7+'Component Mix'!F10*'Component Doctrine'!C$8+'Component Mix'!G10*'Component Doctrine'!C$9),1)</x:f>
        <x:v>60</x:v>
      </x:c>
      <x:c r="G10" s="103" t="n">
        <x:f>CEILING(D10/('Component Mix'!C10*'Component Doctrine'!D$5+'Component Mix'!D10*'Component Doctrine'!D$6+'Component Mix'!E10*'Component Doctrine'!D$7+'Component Mix'!F10*'Component Doctrine'!D$8+'Component Mix'!G10*'Component Doctrine'!D$9),1)</x:f>
        <x:v>98</x:v>
      </x:c>
      <x:c r="H10" s="103" t="n">
        <x:f>CEILING('Package Matrix'!O10*(1+Controls!B5)/('Component Mix'!C10*'Component Doctrine'!E$5+'Component Mix'!D10*'Component Doctrine'!E$6+'Component Mix'!E10*'Component Doctrine'!E$7+'Component Mix'!F10*'Component Doctrine'!E$8+'Component Mix'!G10*'Component Doctrine'!E$9),1)</x:f>
        <x:v>33</x:v>
      </x:c>
      <x:c r="I10" s="103" t="n">
        <x:f>MAX(E10:H10)</x:f>
        <x:v>121</x:v>
      </x:c>
      <x:c r="J10" s="103" t="n">
        <x:f>I10*'Readiness Vectors'!H10</x:f>
        <x:v>84.69999999999999</x:v>
      </x:c>
      <x:c r="K10" s="103" t="n">
        <x:f>J10-D10</x:f>
        <x:v>0.6999999999999886</x:v>
      </x:c>
      <x:c r="L10" s="85" t="str">
        <x:f>IF(I10=E10,"Complete readiness",IF(I10=F10,"72-hour component",IF(I10=G10,"Enduring component","Global eligibility")))</x:f>
        <x:v>Complete readiness</x:v>
      </x:c>
      <x:c r="M10" s="85" t="str">
        <x:f>IF(K10&gt;=0,"PASS","FAIL")</x:f>
        <x:v>PASS</x:v>
      </x:c>
    </x:row>
    <x:row r="11">
      <x:c r="A11" s="76" t="str">
        <x:v>L-HCG</x:v>
      </x:c>
      <x:c r="B11" s="76" t="str">
        <x:v>Flood and hydraulic-control group</x:v>
      </x:c>
      <x:c r="C11" s="103" t="n">
        <x:f>'Package Matrix'!N11</x:f>
        <x:v>50</x:v>
      </x:c>
      <x:c r="D11" s="103" t="n">
        <x:f>C11*(1+Controls!B5)</x:f>
        <x:v>60</x:v>
      </x:c>
      <x:c r="E11" s="103" t="n">
        <x:f>CEILING(D11/'Readiness Vectors'!H11,1)</x:f>
        <x:v>86</x:v>
      </x:c>
      <x:c r="F11" s="103" t="n">
        <x:f>CEILING(C11*'Formation Catalog'!K11*(1+Controls!B5)/('Component Mix'!C11*'Component Doctrine'!C$5+'Component Mix'!D11*'Component Doctrine'!C$6+'Component Mix'!E11*'Component Doctrine'!C$7+'Component Mix'!F11*'Component Doctrine'!C$8+'Component Mix'!G11*'Component Doctrine'!C$9),1)</x:f>
        <x:v>43</x:v>
      </x:c>
      <x:c r="G11" s="103" t="n">
        <x:f>CEILING(D11/('Component Mix'!C11*'Component Doctrine'!D$5+'Component Mix'!D11*'Component Doctrine'!D$6+'Component Mix'!E11*'Component Doctrine'!D$7+'Component Mix'!F11*'Component Doctrine'!D$8+'Component Mix'!G11*'Component Doctrine'!D$9),1)</x:f>
        <x:v>70</x:v>
      </x:c>
      <x:c r="H11" s="103" t="n">
        <x:f>CEILING('Package Matrix'!O11*(1+Controls!B5)/('Component Mix'!C11*'Component Doctrine'!E$5+'Component Mix'!D11*'Component Doctrine'!E$6+'Component Mix'!E11*'Component Doctrine'!E$7+'Component Mix'!F11*'Component Doctrine'!E$8+'Component Mix'!G11*'Component Doctrine'!E$9),1)</x:f>
        <x:v>29</x:v>
      </x:c>
      <x:c r="I11" s="103" t="n">
        <x:f>MAX(E11:H11)</x:f>
        <x:v>86</x:v>
      </x:c>
      <x:c r="J11" s="103" t="n">
        <x:f>I11*'Readiness Vectors'!H11</x:f>
        <x:v>60.199999999999996</x:v>
      </x:c>
      <x:c r="K11" s="103" t="n">
        <x:f>J11-D11</x:f>
        <x:v>0.19999999999999574</x:v>
      </x:c>
      <x:c r="L11" s="85" t="str">
        <x:f>IF(I11=E11,"Complete readiness",IF(I11=F11,"72-hour component",IF(I11=G11,"Enduring component","Global eligibility")))</x:f>
        <x:v>Complete readiness</x:v>
      </x:c>
      <x:c r="M11" s="85" t="str">
        <x:f>IF(K11&gt;=0,"PASS","FAIL")</x:f>
        <x:v>PASS</x:v>
      </x:c>
    </x:row>
    <x:row r="12">
      <x:c r="A12" s="57" t="str">
        <x:v>L-DMG</x:v>
      </x:c>
      <x:c r="B12" s="57" t="str">
        <x:v>Debris and materials group</x:v>
      </x:c>
      <x:c r="C12" s="103" t="n">
        <x:f>'Package Matrix'!N12</x:f>
        <x:v>65</x:v>
      </x:c>
      <x:c r="D12" s="103" t="n">
        <x:f>C12*(1+Controls!B5)</x:f>
        <x:v>78</x:v>
      </x:c>
      <x:c r="E12" s="103" t="n">
        <x:f>CEILING(D12/'Readiness Vectors'!H12,1)</x:f>
        <x:v>112</x:v>
      </x:c>
      <x:c r="F12" s="103" t="n">
        <x:f>CEILING(C12*'Formation Catalog'!K12*(1+Controls!B5)/('Component Mix'!C12*'Component Doctrine'!C$5+'Component Mix'!D12*'Component Doctrine'!C$6+'Component Mix'!E12*'Component Doctrine'!C$7+'Component Mix'!F12*'Component Doctrine'!C$8+'Component Mix'!G12*'Component Doctrine'!C$9),1)</x:f>
        <x:v>55</x:v>
      </x:c>
      <x:c r="G12" s="103" t="n">
        <x:f>CEILING(D12/('Component Mix'!C12*'Component Doctrine'!D$5+'Component Mix'!D12*'Component Doctrine'!D$6+'Component Mix'!E12*'Component Doctrine'!D$7+'Component Mix'!F12*'Component Doctrine'!D$8+'Component Mix'!G12*'Component Doctrine'!D$9),1)</x:f>
        <x:v>91</x:v>
      </x:c>
      <x:c r="H12" s="103" t="n">
        <x:f>CEILING('Package Matrix'!O12*(1+Controls!B5)/('Component Mix'!C12*'Component Doctrine'!E$5+'Component Mix'!D12*'Component Doctrine'!E$6+'Component Mix'!E12*'Component Doctrine'!E$7+'Component Mix'!F12*'Component Doctrine'!E$8+'Component Mix'!G12*'Component Doctrine'!E$9),1)</x:f>
        <x:v>33</x:v>
      </x:c>
      <x:c r="I12" s="103" t="n">
        <x:f>MAX(E12:H12)</x:f>
        <x:v>112</x:v>
      </x:c>
      <x:c r="J12" s="103" t="n">
        <x:f>I12*'Readiness Vectors'!H12</x:f>
        <x:v>78.39999999999999</x:v>
      </x:c>
      <x:c r="K12" s="103" t="n">
        <x:f>J12-D12</x:f>
        <x:v>0.3999999999999915</x:v>
      </x:c>
      <x:c r="L12" s="85" t="str">
        <x:f>IF(I12=E12,"Complete readiness",IF(I12=F12,"72-hour component",IF(I12=G12,"Enduring component","Global eligibility")))</x:f>
        <x:v>Complete readiness</x:v>
      </x:c>
      <x:c r="M12" s="85" t="str">
        <x:f>IF(K12&gt;=0,"PASS","FAIL")</x:f>
        <x:v>PASS</x:v>
      </x:c>
    </x:row>
    <x:row r="13">
      <x:c r="A13" s="76" t="str">
        <x:v>L-TWG</x:v>
      </x:c>
      <x:c r="B13" s="76" t="str">
        <x:v>Temporary works and crossing group</x:v>
      </x:c>
      <x:c r="C13" s="103" t="n">
        <x:f>'Package Matrix'!N13</x:f>
        <x:v>53</x:v>
      </x:c>
      <x:c r="D13" s="103" t="n">
        <x:f>C13*(1+Controls!B5)</x:f>
        <x:v>63.599999999999994</x:v>
      </x:c>
      <x:c r="E13" s="103" t="n">
        <x:f>CEILING(D13/'Readiness Vectors'!H13,1)</x:f>
        <x:v>91</x:v>
      </x:c>
      <x:c r="F13" s="103" t="n">
        <x:f>CEILING(C13*'Formation Catalog'!K13*(1+Controls!B5)/('Component Mix'!C13*'Component Doctrine'!C$5+'Component Mix'!D13*'Component Doctrine'!C$6+'Component Mix'!E13*'Component Doctrine'!C$7+'Component Mix'!F13*'Component Doctrine'!C$8+'Component Mix'!G13*'Component Doctrine'!C$9),1)</x:f>
        <x:v>45</x:v>
      </x:c>
      <x:c r="G13" s="103" t="n">
        <x:f>CEILING(D13/('Component Mix'!C13*'Component Doctrine'!D$5+'Component Mix'!D13*'Component Doctrine'!D$6+'Component Mix'!E13*'Component Doctrine'!D$7+'Component Mix'!F13*'Component Doctrine'!D$8+'Component Mix'!G13*'Component Doctrine'!D$9),1)</x:f>
        <x:v>75</x:v>
      </x:c>
      <x:c r="H13" s="103" t="n">
        <x:f>CEILING('Package Matrix'!O13*(1+Controls!B5)/('Component Mix'!C13*'Component Doctrine'!E$5+'Component Mix'!D13*'Component Doctrine'!E$6+'Component Mix'!E13*'Component Doctrine'!E$7+'Component Mix'!F13*'Component Doctrine'!E$8+'Component Mix'!G13*'Component Doctrine'!E$9),1)</x:f>
        <x:v>26</x:v>
      </x:c>
      <x:c r="I13" s="103" t="n">
        <x:f>MAX(E13:H13)</x:f>
        <x:v>91</x:v>
      </x:c>
      <x:c r="J13" s="103" t="n">
        <x:f>I13*'Readiness Vectors'!H13</x:f>
        <x:v>63.699999999999996</x:v>
      </x:c>
      <x:c r="K13" s="103" t="n">
        <x:f>J13-D13</x:f>
        <x:v>0.10000000000000142</x:v>
      </x:c>
      <x:c r="L13" s="85" t="str">
        <x:f>IF(I13=E13,"Complete readiness",IF(I13=F13,"72-hour component",IF(I13=G13,"Enduring component","Global eligibility")))</x:f>
        <x:v>Complete readiness</x:v>
      </x:c>
      <x:c r="M13" s="85" t="str">
        <x:f>IF(K13&gt;=0,"PASS","FAIL")</x:f>
        <x:v>PASS</x:v>
      </x:c>
    </x:row>
    <x:row r="14">
      <x:c r="A14" s="57" t="str">
        <x:v>L-GFG</x:v>
      </x:c>
      <x:c r="B14" s="57" t="str">
        <x:v>Ground fire and landscape group</x:v>
      </x:c>
      <x:c r="C14" s="103" t="n">
        <x:f>'Package Matrix'!N14</x:f>
        <x:v>33</x:v>
      </x:c>
      <x:c r="D14" s="103" t="n">
        <x:f>C14*(1+Controls!B5)</x:f>
        <x:v>39.6</x:v>
      </x:c>
      <x:c r="E14" s="103" t="n">
        <x:f>CEILING(D14/'Readiness Vectors'!H14,1)</x:f>
        <x:v>57</x:v>
      </x:c>
      <x:c r="F14" s="103" t="n">
        <x:f>CEILING(C14*'Formation Catalog'!K14*(1+Controls!B5)/('Component Mix'!C14*'Component Doctrine'!C$5+'Component Mix'!D14*'Component Doctrine'!C$6+'Component Mix'!E14*'Component Doctrine'!C$7+'Component Mix'!F14*'Component Doctrine'!C$8+'Component Mix'!G14*'Component Doctrine'!C$9),1)</x:f>
        <x:v>28</x:v>
      </x:c>
      <x:c r="G14" s="103" t="n">
        <x:f>CEILING(D14/('Component Mix'!C14*'Component Doctrine'!D$5+'Component Mix'!D14*'Component Doctrine'!D$6+'Component Mix'!E14*'Component Doctrine'!D$7+'Component Mix'!F14*'Component Doctrine'!D$8+'Component Mix'!G14*'Component Doctrine'!D$9),1)</x:f>
        <x:v>47</x:v>
      </x:c>
      <x:c r="H14" s="103" t="n">
        <x:f>CEILING('Package Matrix'!O14*(1+Controls!B5)/('Component Mix'!C14*'Component Doctrine'!E$5+'Component Mix'!D14*'Component Doctrine'!E$6+'Component Mix'!E14*'Component Doctrine'!E$7+'Component Mix'!F14*'Component Doctrine'!E$8+'Component Mix'!G14*'Component Doctrine'!E$9),1)</x:f>
        <x:v>8</x:v>
      </x:c>
      <x:c r="I14" s="103" t="n">
        <x:f>MAX(E14:H14)</x:f>
        <x:v>57</x:v>
      </x:c>
      <x:c r="J14" s="103" t="n">
        <x:f>I14*'Readiness Vectors'!H14</x:f>
        <x:v>39.9</x:v>
      </x:c>
      <x:c r="K14" s="103" t="n">
        <x:f>J14-D14</x:f>
        <x:v>0.29999999999999716</x:v>
      </x:c>
      <x:c r="L14" s="85" t="str">
        <x:f>IF(I14=E14,"Complete readiness",IF(I14=F14,"72-hour component",IF(I14=G14,"Enduring component","Global eligibility")))</x:f>
        <x:v>Complete readiness</x:v>
      </x:c>
      <x:c r="M14" s="85" t="str">
        <x:f>IF(K14&gt;=0,"PASS","FAIL")</x:f>
        <x:v>PASS</x:v>
      </x:c>
    </x:row>
    <x:row r="15">
      <x:c r="A15" s="76" t="str">
        <x:v>A-SMW</x:v>
      </x:c>
      <x:c r="B15" s="76" t="str">
        <x:v>Strategic mobility wing</x:v>
      </x:c>
      <x:c r="C15" s="103" t="n">
        <x:f>'Package Matrix'!N15</x:f>
        <x:v>31</x:v>
      </x:c>
      <x:c r="D15" s="103" t="n">
        <x:f>C15*(1+Controls!B5)</x:f>
        <x:v>37.199999999999996</x:v>
      </x:c>
      <x:c r="E15" s="103" t="n">
        <x:f>CEILING(D15/'Readiness Vectors'!H15,1)</x:f>
        <x:v>58</x:v>
      </x:c>
      <x:c r="F15" s="103" t="n">
        <x:f>CEILING(C15*'Formation Catalog'!K15*(1+Controls!B5)/('Component Mix'!C15*'Component Doctrine'!C$5+'Component Mix'!D15*'Component Doctrine'!C$6+'Component Mix'!E15*'Component Doctrine'!C$7+'Component Mix'!F15*'Component Doctrine'!C$8+'Component Mix'!G15*'Component Doctrine'!C$9),1)</x:f>
        <x:v>35</x:v>
      </x:c>
      <x:c r="G15" s="103" t="n">
        <x:f>CEILING(D15/('Component Mix'!C15*'Component Doctrine'!D$5+'Component Mix'!D15*'Component Doctrine'!D$6+'Component Mix'!E15*'Component Doctrine'!D$7+'Component Mix'!F15*'Component Doctrine'!D$8+'Component Mix'!G15*'Component Doctrine'!D$9),1)</x:f>
        <x:v>42</x:v>
      </x:c>
      <x:c r="H15" s="103" t="n">
        <x:f>CEILING('Package Matrix'!O15*(1+Controls!B5)/('Component Mix'!C15*'Component Doctrine'!E$5+'Component Mix'!D15*'Component Doctrine'!E$6+'Component Mix'!E15*'Component Doctrine'!E$7+'Component Mix'!F15*'Component Doctrine'!E$8+'Component Mix'!G15*'Component Doctrine'!E$9),1)</x:f>
        <x:v>14</x:v>
      </x:c>
      <x:c r="I15" s="103" t="n">
        <x:f>MAX(E15:H15)</x:f>
        <x:v>58</x:v>
      </x:c>
      <x:c r="J15" s="103" t="n">
        <x:f>I15*'Readiness Vectors'!H15</x:f>
        <x:v>37.7</x:v>
      </x:c>
      <x:c r="K15" s="103" t="n">
        <x:f>J15-D15</x:f>
        <x:v>0.5000000000000071</x:v>
      </x:c>
      <x:c r="L15" s="85" t="str">
        <x:f>IF(I15=E15,"Complete readiness",IF(I15=F15,"72-hour component",IF(I15=G15,"Enduring component","Global eligibility")))</x:f>
        <x:v>Complete readiness</x:v>
      </x:c>
      <x:c r="M15" s="85" t="str">
        <x:f>IF(K15&gt;=0,"PASS","FAIL")</x:f>
        <x:v>PASS</x:v>
      </x:c>
    </x:row>
    <x:row r="16">
      <x:c r="A16" s="57" t="str">
        <x:v>A-AAG</x:v>
      </x:c>
      <x:c r="B16" s="57" t="str">
        <x:v>Austere air-access group</x:v>
      </x:c>
      <x:c r="C16" s="103" t="n">
        <x:f>'Package Matrix'!N16</x:f>
        <x:v>36</x:v>
      </x:c>
      <x:c r="D16" s="103" t="n">
        <x:f>C16*(1+Controls!B5)</x:f>
        <x:v>43.199999999999996</x:v>
      </x:c>
      <x:c r="E16" s="103" t="n">
        <x:f>CEILING(D16/'Readiness Vectors'!H16,1)</x:f>
        <x:v>67</x:v>
      </x:c>
      <x:c r="F16" s="103" t="n">
        <x:f>CEILING(C16*'Formation Catalog'!K16*(1+Controls!B5)/('Component Mix'!C16*'Component Doctrine'!C$5+'Component Mix'!D16*'Component Doctrine'!C$6+'Component Mix'!E16*'Component Doctrine'!C$7+'Component Mix'!F16*'Component Doctrine'!C$8+'Component Mix'!G16*'Component Doctrine'!C$9),1)</x:f>
        <x:v>41</x:v>
      </x:c>
      <x:c r="G16" s="103" t="n">
        <x:f>CEILING(D16/('Component Mix'!C16*'Component Doctrine'!D$5+'Component Mix'!D16*'Component Doctrine'!D$6+'Component Mix'!E16*'Component Doctrine'!D$7+'Component Mix'!F16*'Component Doctrine'!D$8+'Component Mix'!G16*'Component Doctrine'!D$9),1)</x:f>
        <x:v>49</x:v>
      </x:c>
      <x:c r="H16" s="103" t="n">
        <x:f>CEILING('Package Matrix'!O16*(1+Controls!B5)/('Component Mix'!C16*'Component Doctrine'!E$5+'Component Mix'!D16*'Component Doctrine'!E$6+'Component Mix'!E16*'Component Doctrine'!E$7+'Component Mix'!F16*'Component Doctrine'!E$8+'Component Mix'!G16*'Component Doctrine'!E$9),1)</x:f>
        <x:v>14</x:v>
      </x:c>
      <x:c r="I16" s="103" t="n">
        <x:f>MAX(E16:H16)</x:f>
        <x:v>67</x:v>
      </x:c>
      <x:c r="J16" s="103" t="n">
        <x:f>I16*'Readiness Vectors'!H16</x:f>
        <x:v>43.550000000000004</x:v>
      </x:c>
      <x:c r="K16" s="103" t="n">
        <x:f>J16-D16</x:f>
        <x:v>0.3500000000000085</x:v>
      </x:c>
      <x:c r="L16" s="85" t="str">
        <x:f>IF(I16=E16,"Complete readiness",IF(I16=F16,"72-hour component",IF(I16=G16,"Enduring component","Global eligibility")))</x:f>
        <x:v>Complete readiness</x:v>
      </x:c>
      <x:c r="M16" s="85" t="str">
        <x:f>IF(K16&gt;=0,"PASS","FAIL")</x:f>
        <x:v>PASS</x:v>
      </x:c>
    </x:row>
    <x:row r="17">
      <x:c r="A17" s="76" t="str">
        <x:v>A-AHW</x:v>
      </x:c>
      <x:c r="B17" s="76" t="str">
        <x:v>Aerial hazard-control wing</x:v>
      </x:c>
      <x:c r="C17" s="103" t="n">
        <x:f>'Package Matrix'!N17</x:f>
        <x:v>22</x:v>
      </x:c>
      <x:c r="D17" s="103" t="n">
        <x:f>C17*(1+Controls!B5)</x:f>
        <x:v>26.4</x:v>
      </x:c>
      <x:c r="E17" s="103" t="n">
        <x:f>CEILING(D17/'Readiness Vectors'!H17,1)</x:f>
        <x:v>41</x:v>
      </x:c>
      <x:c r="F17" s="103" t="n">
        <x:f>CEILING(C17*'Formation Catalog'!K17*(1+Controls!B5)/('Component Mix'!C17*'Component Doctrine'!C$5+'Component Mix'!D17*'Component Doctrine'!C$6+'Component Mix'!E17*'Component Doctrine'!C$7+'Component Mix'!F17*'Component Doctrine'!C$8+'Component Mix'!G17*'Component Doctrine'!C$9),1)</x:f>
        <x:v>25</x:v>
      </x:c>
      <x:c r="G17" s="103" t="n">
        <x:f>CEILING(D17/('Component Mix'!C17*'Component Doctrine'!D$5+'Component Mix'!D17*'Component Doctrine'!D$6+'Component Mix'!E17*'Component Doctrine'!D$7+'Component Mix'!F17*'Component Doctrine'!D$8+'Component Mix'!G17*'Component Doctrine'!D$9),1)</x:f>
        <x:v>30</x:v>
      </x:c>
      <x:c r="H17" s="103" t="n">
        <x:f>CEILING('Package Matrix'!O17*(1+Controls!B5)/('Component Mix'!C17*'Component Doctrine'!E$5+'Component Mix'!D17*'Component Doctrine'!E$6+'Component Mix'!E17*'Component Doctrine'!E$7+'Component Mix'!F17*'Component Doctrine'!E$8+'Component Mix'!G17*'Component Doctrine'!E$9),1)</x:f>
        <x:v>4</x:v>
      </x:c>
      <x:c r="I17" s="103" t="n">
        <x:f>MAX(E17:H17)</x:f>
        <x:v>41</x:v>
      </x:c>
      <x:c r="J17" s="103" t="n">
        <x:f>I17*'Readiness Vectors'!H17</x:f>
        <x:v>26.650000000000002</x:v>
      </x:c>
      <x:c r="K17" s="103" t="n">
        <x:f>J17-D17</x:f>
        <x:v>0.25000000000000355</x:v>
      </x:c>
      <x:c r="L17" s="85" t="str">
        <x:f>IF(I17=E17,"Complete readiness",IF(I17=F17,"72-hour component",IF(I17=G17,"Enduring component","Global eligibility")))</x:f>
        <x:v>Complete readiness</x:v>
      </x:c>
      <x:c r="M17" s="85" t="str">
        <x:f>IF(K17&gt;=0,"PASS","FAIL")</x:f>
        <x:v>PASS</x:v>
      </x:c>
    </x:row>
    <x:row r="18">
      <x:c r="A18" s="57" t="str">
        <x:v>A-TDG</x:v>
      </x:c>
      <x:c r="B18" s="57" t="str">
        <x:v>Tactical distribution group</x:v>
      </x:c>
      <x:c r="C18" s="103" t="n">
        <x:f>'Package Matrix'!N18</x:f>
        <x:v>58</x:v>
      </x:c>
      <x:c r="D18" s="103" t="n">
        <x:f>C18*(1+Controls!B5)</x:f>
        <x:v>69.6</x:v>
      </x:c>
      <x:c r="E18" s="103" t="n">
        <x:f>CEILING(D18/'Readiness Vectors'!H18,1)</x:f>
        <x:v>108</x:v>
      </x:c>
      <x:c r="F18" s="103" t="n">
        <x:f>CEILING(C18*'Formation Catalog'!K18*(1+Controls!B5)/('Component Mix'!C18*'Component Doctrine'!C$5+'Component Mix'!D18*'Component Doctrine'!C$6+'Component Mix'!E18*'Component Doctrine'!C$7+'Component Mix'!F18*'Component Doctrine'!C$8+'Component Mix'!G18*'Component Doctrine'!C$9),1)</x:f>
        <x:v>66</x:v>
      </x:c>
      <x:c r="G18" s="103" t="n">
        <x:f>CEILING(D18/('Component Mix'!C18*'Component Doctrine'!D$5+'Component Mix'!D18*'Component Doctrine'!D$6+'Component Mix'!E18*'Component Doctrine'!D$7+'Component Mix'!F18*'Component Doctrine'!D$8+'Component Mix'!G18*'Component Doctrine'!D$9),1)</x:f>
        <x:v>79</x:v>
      </x:c>
      <x:c r="H18" s="103" t="n">
        <x:f>CEILING('Package Matrix'!O18*(1+Controls!B5)/('Component Mix'!C18*'Component Doctrine'!E$5+'Component Mix'!D18*'Component Doctrine'!E$6+'Component Mix'!E18*'Component Doctrine'!E$7+'Component Mix'!F18*'Component Doctrine'!E$8+'Component Mix'!G18*'Component Doctrine'!E$9),1)</x:f>
        <x:v>22</x:v>
      </x:c>
      <x:c r="I18" s="103" t="n">
        <x:f>MAX(E18:H18)</x:f>
        <x:v>108</x:v>
      </x:c>
      <x:c r="J18" s="103" t="n">
        <x:f>I18*'Readiness Vectors'!H18</x:f>
        <x:v>70.2</x:v>
      </x:c>
      <x:c r="K18" s="103" t="n">
        <x:f>J18-D18</x:f>
        <x:v>0.6000000000000085</x:v>
      </x:c>
      <x:c r="L18" s="85" t="str">
        <x:f>IF(I18=E18,"Complete readiness",IF(I18=F18,"72-hour component",IF(I18=G18,"Enduring component","Global eligibility")))</x:f>
        <x:v>Complete readiness</x:v>
      </x:c>
      <x:c r="M18" s="85" t="str">
        <x:f>IF(K18&gt;=0,"PASS","FAIL")</x:f>
        <x:v>PASS</x:v>
      </x:c>
    </x:row>
    <x:row r="19">
      <x:c r="A19" s="76" t="str">
        <x:v>A-SRG</x:v>
      </x:c>
      <x:c r="B19" s="76" t="str">
        <x:v>Air sensing and relay group</x:v>
      </x:c>
      <x:c r="C19" s="103" t="n">
        <x:f>'Package Matrix'!N19</x:f>
        <x:v>40</x:v>
      </x:c>
      <x:c r="D19" s="103" t="n">
        <x:f>C19*(1+Controls!B5)</x:f>
        <x:v>48</x:v>
      </x:c>
      <x:c r="E19" s="103" t="n">
        <x:f>CEILING(D19/'Readiness Vectors'!H19,1)</x:f>
        <x:v>74</x:v>
      </x:c>
      <x:c r="F19" s="103" t="n">
        <x:f>CEILING(C19*'Formation Catalog'!K19*(1+Controls!B5)/('Component Mix'!C19*'Component Doctrine'!C$5+'Component Mix'!D19*'Component Doctrine'!C$6+'Component Mix'!E19*'Component Doctrine'!C$7+'Component Mix'!F19*'Component Doctrine'!C$8+'Component Mix'!G19*'Component Doctrine'!C$9),1)</x:f>
        <x:v>45</x:v>
      </x:c>
      <x:c r="G19" s="103" t="n">
        <x:f>CEILING(D19/('Component Mix'!C19*'Component Doctrine'!D$5+'Component Mix'!D19*'Component Doctrine'!D$6+'Component Mix'!E19*'Component Doctrine'!D$7+'Component Mix'!F19*'Component Doctrine'!D$8+'Component Mix'!G19*'Component Doctrine'!D$9),1)</x:f>
        <x:v>55</x:v>
      </x:c>
      <x:c r="H19" s="103" t="n">
        <x:f>CEILING('Package Matrix'!O19*(1+Controls!B5)/('Component Mix'!C19*'Component Doctrine'!E$5+'Component Mix'!D19*'Component Doctrine'!E$6+'Component Mix'!E19*'Component Doctrine'!E$7+'Component Mix'!F19*'Component Doctrine'!E$8+'Component Mix'!G19*'Component Doctrine'!E$9),1)</x:f>
        <x:v>14</x:v>
      </x:c>
      <x:c r="I19" s="103" t="n">
        <x:f>MAX(E19:H19)</x:f>
        <x:v>74</x:v>
      </x:c>
      <x:c r="J19" s="103" t="n">
        <x:f>I19*'Readiness Vectors'!H19</x:f>
        <x:v>48.1</x:v>
      </x:c>
      <x:c r="K19" s="103" t="n">
        <x:f>J19-D19</x:f>
        <x:v>0.10000000000000142</x:v>
      </x:c>
      <x:c r="L19" s="85" t="str">
        <x:f>IF(I19=E19,"Complete readiness",IF(I19=F19,"72-hour component",IF(I19=G19,"Enduring component","Global eligibility")))</x:f>
        <x:v>Complete readiness</x:v>
      </x:c>
      <x:c r="M19" s="85" t="str">
        <x:f>IF(K19&gt;=0,"PASS","FAIL")</x:f>
        <x:v>PASS</x:v>
      </x:c>
    </x:row>
    <x:row r="20">
      <x:c r="A20" s="57" t="str">
        <x:v>A-AMG</x:v>
      </x:c>
      <x:c r="B20" s="57" t="str">
        <x:v>Aeromedical movement group</x:v>
      </x:c>
      <x:c r="C20" s="103" t="n">
        <x:f>'Package Matrix'!N20</x:f>
        <x:v>31</x:v>
      </x:c>
      <x:c r="D20" s="103" t="n">
        <x:f>C20*(1+Controls!B5)</x:f>
        <x:v>37.199999999999996</x:v>
      </x:c>
      <x:c r="E20" s="103" t="n">
        <x:f>CEILING(D20/'Readiness Vectors'!H20,1)</x:f>
        <x:v>58</x:v>
      </x:c>
      <x:c r="F20" s="103" t="n">
        <x:f>CEILING(C20*'Formation Catalog'!K20*(1+Controls!B5)/('Component Mix'!C20*'Component Doctrine'!C$5+'Component Mix'!D20*'Component Doctrine'!C$6+'Component Mix'!E20*'Component Doctrine'!C$7+'Component Mix'!F20*'Component Doctrine'!C$8+'Component Mix'!G20*'Component Doctrine'!C$9),1)</x:f>
        <x:v>35</x:v>
      </x:c>
      <x:c r="G20" s="103" t="n">
        <x:f>CEILING(D20/('Component Mix'!C20*'Component Doctrine'!D$5+'Component Mix'!D20*'Component Doctrine'!D$6+'Component Mix'!E20*'Component Doctrine'!D$7+'Component Mix'!F20*'Component Doctrine'!D$8+'Component Mix'!G20*'Component Doctrine'!D$9),1)</x:f>
        <x:v>42</x:v>
      </x:c>
      <x:c r="H20" s="103" t="n">
        <x:f>CEILING('Package Matrix'!O20*(1+Controls!B5)/('Component Mix'!C20*'Component Doctrine'!E$5+'Component Mix'!D20*'Component Doctrine'!E$6+'Component Mix'!E20*'Component Doctrine'!E$7+'Component Mix'!F20*'Component Doctrine'!E$8+'Component Mix'!G20*'Component Doctrine'!E$9),1)</x:f>
        <x:v>12</x:v>
      </x:c>
      <x:c r="I20" s="103" t="n">
        <x:f>MAX(E20:H20)</x:f>
        <x:v>58</x:v>
      </x:c>
      <x:c r="J20" s="103" t="n">
        <x:f>I20*'Readiness Vectors'!H20</x:f>
        <x:v>37.7</x:v>
      </x:c>
      <x:c r="K20" s="103" t="n">
        <x:f>J20-D20</x:f>
        <x:v>0.5000000000000071</x:v>
      </x:c>
      <x:c r="L20" s="85" t="str">
        <x:f>IF(I20=E20,"Complete readiness",IF(I20=F20,"72-hour component",IF(I20=G20,"Enduring component","Global eligibility")))</x:f>
        <x:v>Complete readiness</x:v>
      </x:c>
      <x:c r="M20" s="85" t="str">
        <x:f>IF(K20&gt;=0,"PASS","FAIL")</x:f>
        <x:v>PASS</x:v>
      </x:c>
    </x:row>
    <x:row r="21">
      <x:c r="A21" s="76" t="str">
        <x:v>M-POG</x:v>
      </x:c>
      <x:c r="B21" s="76" t="str">
        <x:v>Port-opening group</x:v>
      </x:c>
      <x:c r="C21" s="103" t="n">
        <x:f>'Package Matrix'!N21</x:f>
        <x:v>32</x:v>
      </x:c>
      <x:c r="D21" s="103" t="n">
        <x:f>C21*(1+Controls!B5)</x:f>
        <x:v>38.4</x:v>
      </x:c>
      <x:c r="E21" s="103" t="n">
        <x:f>CEILING(D21/'Readiness Vectors'!H21,1)</x:f>
        <x:v>60</x:v>
      </x:c>
      <x:c r="F21" s="103" t="n">
        <x:f>CEILING(C21*'Formation Catalog'!K21*(1+Controls!B5)/('Component Mix'!C21*'Component Doctrine'!C$5+'Component Mix'!D21*'Component Doctrine'!C$6+'Component Mix'!E21*'Component Doctrine'!C$7+'Component Mix'!F21*'Component Doctrine'!C$8+'Component Mix'!G21*'Component Doctrine'!C$9),1)</x:f>
        <x:v>17</x:v>
      </x:c>
      <x:c r="G21" s="103" t="n">
        <x:f>CEILING(D21/('Component Mix'!C21*'Component Doctrine'!D$5+'Component Mix'!D21*'Component Doctrine'!D$6+'Component Mix'!E21*'Component Doctrine'!D$7+'Component Mix'!F21*'Component Doctrine'!D$8+'Component Mix'!G21*'Component Doctrine'!D$9),1)</x:f>
        <x:v>44</x:v>
      </x:c>
      <x:c r="H21" s="103" t="n">
        <x:f>CEILING('Package Matrix'!O21*(1+Controls!B5)/('Component Mix'!C21*'Component Doctrine'!E$5+'Component Mix'!D21*'Component Doctrine'!E$6+'Component Mix'!E21*'Component Doctrine'!E$7+'Component Mix'!F21*'Component Doctrine'!E$8+'Component Mix'!G21*'Component Doctrine'!E$9),1)</x:f>
        <x:v>19</x:v>
      </x:c>
      <x:c r="I21" s="103" t="n">
        <x:f>MAX(E21:H21)</x:f>
        <x:v>60</x:v>
      </x:c>
      <x:c r="J21" s="103" t="n">
        <x:f>I21*'Readiness Vectors'!H21</x:f>
        <x:v>39</x:v>
      </x:c>
      <x:c r="K21" s="103" t="n">
        <x:f>J21-D21</x:f>
        <x:v>0.6000000000000014</x:v>
      </x:c>
      <x:c r="L21" s="85" t="str">
        <x:f>IF(I21=E21,"Complete readiness",IF(I21=F21,"72-hour component",IF(I21=G21,"Enduring component","Global eligibility")))</x:f>
        <x:v>Complete readiness</x:v>
      </x:c>
      <x:c r="M21" s="85" t="str">
        <x:f>IF(K21&gt;=0,"PASS","FAIL")</x:f>
        <x:v>PASS</x:v>
      </x:c>
    </x:row>
    <x:row r="22">
      <x:c r="A22" s="57" t="str">
        <x:v>M-LAG</x:v>
      </x:c>
      <x:c r="B22" s="57" t="str">
        <x:v>Littoral-access group</x:v>
      </x:c>
      <x:c r="C22" s="103" t="n">
        <x:f>'Package Matrix'!N22</x:f>
        <x:v>37</x:v>
      </x:c>
      <x:c r="D22" s="103" t="n">
        <x:f>C22*(1+Controls!B5)</x:f>
        <x:v>44.4</x:v>
      </x:c>
      <x:c r="E22" s="103" t="n">
        <x:f>CEILING(D22/'Readiness Vectors'!H22,1)</x:f>
        <x:v>69</x:v>
      </x:c>
      <x:c r="F22" s="103" t="n">
        <x:f>CEILING(C22*'Formation Catalog'!K22*(1+Controls!B5)/('Component Mix'!C22*'Component Doctrine'!C$5+'Component Mix'!D22*'Component Doctrine'!C$6+'Component Mix'!E22*'Component Doctrine'!C$7+'Component Mix'!F22*'Component Doctrine'!C$8+'Component Mix'!G22*'Component Doctrine'!C$9),1)</x:f>
        <x:v>20</x:v>
      </x:c>
      <x:c r="G22" s="103" t="n">
        <x:f>CEILING(D22/('Component Mix'!C22*'Component Doctrine'!D$5+'Component Mix'!D22*'Component Doctrine'!D$6+'Component Mix'!E22*'Component Doctrine'!D$7+'Component Mix'!F22*'Component Doctrine'!D$8+'Component Mix'!G22*'Component Doctrine'!D$9),1)</x:f>
        <x:v>51</x:v>
      </x:c>
      <x:c r="H22" s="103" t="n">
        <x:f>CEILING('Package Matrix'!O22*(1+Controls!B5)/('Component Mix'!C22*'Component Doctrine'!E$5+'Component Mix'!D22*'Component Doctrine'!E$6+'Component Mix'!E22*'Component Doctrine'!E$7+'Component Mix'!F22*'Component Doctrine'!E$8+'Component Mix'!G22*'Component Doctrine'!E$9),1)</x:f>
        <x:v>21</x:v>
      </x:c>
      <x:c r="I22" s="103" t="n">
        <x:f>MAX(E22:H22)</x:f>
        <x:v>69</x:v>
      </x:c>
      <x:c r="J22" s="103" t="n">
        <x:f>I22*'Readiness Vectors'!H22</x:f>
        <x:v>44.85</x:v>
      </x:c>
      <x:c r="K22" s="103" t="n">
        <x:f>J22-D22</x:f>
        <x:v>0.45000000000000284</x:v>
      </x:c>
      <x:c r="L22" s="85" t="str">
        <x:f>IF(I22=E22,"Complete readiness",IF(I22=F22,"72-hour component",IF(I22=G22,"Enduring component","Global eligibility")))</x:f>
        <x:v>Complete readiness</x:v>
      </x:c>
      <x:c r="M22" s="85" t="str">
        <x:f>IF(K22&gt;=0,"PASS","FAIL")</x:f>
        <x:v>PASS</x:v>
      </x:c>
    </x:row>
    <x:row r="23">
      <x:c r="A23" s="76" t="str">
        <x:v>M-IWG</x:v>
      </x:c>
      <x:c r="B23" s="76" t="str">
        <x:v>Inland-waterway group</x:v>
      </x:c>
      <x:c r="C23" s="103" t="n">
        <x:f>'Package Matrix'!N23</x:f>
        <x:v>29</x:v>
      </x:c>
      <x:c r="D23" s="103" t="n">
        <x:f>C23*(1+Controls!B5)</x:f>
        <x:v>34.8</x:v>
      </x:c>
      <x:c r="E23" s="103" t="n">
        <x:f>CEILING(D23/'Readiness Vectors'!H23,1)</x:f>
        <x:v>54</x:v>
      </x:c>
      <x:c r="F23" s="103" t="n">
        <x:f>CEILING(C23*'Formation Catalog'!K23*(1+Controls!B5)/('Component Mix'!C23*'Component Doctrine'!C$5+'Component Mix'!D23*'Component Doctrine'!C$6+'Component Mix'!E23*'Component Doctrine'!C$7+'Component Mix'!F23*'Component Doctrine'!C$8+'Component Mix'!G23*'Component Doctrine'!C$9),1)</x:f>
        <x:v>16</x:v>
      </x:c>
      <x:c r="G23" s="103" t="n">
        <x:f>CEILING(D23/('Component Mix'!C23*'Component Doctrine'!D$5+'Component Mix'!D23*'Component Doctrine'!D$6+'Component Mix'!E23*'Component Doctrine'!D$7+'Component Mix'!F23*'Component Doctrine'!D$8+'Component Mix'!G23*'Component Doctrine'!D$9),1)</x:f>
        <x:v>40</x:v>
      </x:c>
      <x:c r="H23" s="103" t="n">
        <x:f>CEILING('Package Matrix'!O23*(1+Controls!B5)/('Component Mix'!C23*'Component Doctrine'!E$5+'Component Mix'!D23*'Component Doctrine'!E$6+'Component Mix'!E23*'Component Doctrine'!E$7+'Component Mix'!F23*'Component Doctrine'!E$8+'Component Mix'!G23*'Component Doctrine'!E$9),1)</x:f>
        <x:v>10</x:v>
      </x:c>
      <x:c r="I23" s="103" t="n">
        <x:f>MAX(E23:H23)</x:f>
        <x:v>54</x:v>
      </x:c>
      <x:c r="J23" s="103" t="n">
        <x:f>I23*'Readiness Vectors'!H23</x:f>
        <x:v>35.1</x:v>
      </x:c>
      <x:c r="K23" s="103" t="n">
        <x:f>J23-D23</x:f>
        <x:v>0.30000000000000426</x:v>
      </x:c>
      <x:c r="L23" s="85" t="str">
        <x:f>IF(I23=E23,"Complete readiness",IF(I23=F23,"72-hour component",IF(I23=G23,"Enduring component","Global eligibility")))</x:f>
        <x:v>Complete readiness</x:v>
      </x:c>
      <x:c r="M23" s="85" t="str">
        <x:f>IF(K23&gt;=0,"PASS","FAIL")</x:f>
        <x:v>PASS</x:v>
      </x:c>
    </x:row>
    <x:row r="24">
      <x:c r="A24" s="57" t="str">
        <x:v>M-OSG</x:v>
      </x:c>
      <x:c r="B24" s="57" t="str">
        <x:v>Offshore-support group</x:v>
      </x:c>
      <x:c r="C24" s="103" t="n">
        <x:f>'Package Matrix'!N24</x:f>
        <x:v>24</x:v>
      </x:c>
      <x:c r="D24" s="103" t="n">
        <x:f>C24*(1+Controls!B5)</x:f>
        <x:v>28.799999999999997</x:v>
      </x:c>
      <x:c r="E24" s="103" t="n">
        <x:f>CEILING(D24/'Readiness Vectors'!H24,1)</x:f>
        <x:v>45</x:v>
      </x:c>
      <x:c r="F24" s="103" t="n">
        <x:f>CEILING(C24*'Formation Catalog'!K24*(1+Controls!B5)/('Component Mix'!C24*'Component Doctrine'!C$5+'Component Mix'!D24*'Component Doctrine'!C$6+'Component Mix'!E24*'Component Doctrine'!C$7+'Component Mix'!F24*'Component Doctrine'!C$8+'Component Mix'!G24*'Component Doctrine'!C$9),1)</x:f>
        <x:v>13</x:v>
      </x:c>
      <x:c r="G24" s="103" t="n">
        <x:f>CEILING(D24/('Component Mix'!C24*'Component Doctrine'!D$5+'Component Mix'!D24*'Component Doctrine'!D$6+'Component Mix'!E24*'Component Doctrine'!D$7+'Component Mix'!F24*'Component Doctrine'!D$8+'Component Mix'!G24*'Component Doctrine'!D$9),1)</x:f>
        <x:v>33</x:v>
      </x:c>
      <x:c r="H24" s="103" t="n">
        <x:f>CEILING('Package Matrix'!O24*(1+Controls!B5)/('Component Mix'!C24*'Component Doctrine'!E$5+'Component Mix'!D24*'Component Doctrine'!E$6+'Component Mix'!E24*'Component Doctrine'!E$7+'Component Mix'!F24*'Component Doctrine'!E$8+'Component Mix'!G24*'Component Doctrine'!E$9),1)</x:f>
        <x:v>15</x:v>
      </x:c>
      <x:c r="I24" s="103" t="n">
        <x:f>MAX(E24:H24)</x:f>
        <x:v>45</x:v>
      </x:c>
      <x:c r="J24" s="103" t="n">
        <x:f>I24*'Readiness Vectors'!H24</x:f>
        <x:v>29.25</x:v>
      </x:c>
      <x:c r="K24" s="103" t="n">
        <x:f>J24-D24</x:f>
        <x:v>0.45000000000000284</x:v>
      </x:c>
      <x:c r="L24" s="85" t="str">
        <x:f>IF(I24=E24,"Complete readiness",IF(I24=F24,"72-hour component",IF(I24=G24,"Enduring component","Global eligibility")))</x:f>
        <x:v>Complete readiness</x:v>
      </x:c>
      <x:c r="M24" s="85" t="str">
        <x:f>IF(K24&gt;=0,"PASS","FAIL")</x:f>
        <x:v>PASS</x:v>
      </x:c>
    </x:row>
    <x:row r="25">
      <x:c r="A25" s="76" t="str">
        <x:v>M-SSG</x:v>
      </x:c>
      <x:c r="B25" s="76" t="str">
        <x:v>Ocean sustainment group</x:v>
      </x:c>
      <x:c r="C25" s="103" t="n">
        <x:f>'Package Matrix'!N25</x:f>
        <x:v>38</x:v>
      </x:c>
      <x:c r="D25" s="103" t="n">
        <x:f>C25*(1+Controls!B5)</x:f>
        <x:v>45.6</x:v>
      </x:c>
      <x:c r="E25" s="103" t="n">
        <x:f>CEILING(D25/'Readiness Vectors'!H25,1)</x:f>
        <x:v>71</x:v>
      </x:c>
      <x:c r="F25" s="103" t="n">
        <x:f>CEILING(C25*'Formation Catalog'!K25*(1+Controls!B5)/('Component Mix'!C25*'Component Doctrine'!C$5+'Component Mix'!D25*'Component Doctrine'!C$6+'Component Mix'!E25*'Component Doctrine'!C$7+'Component Mix'!F25*'Component Doctrine'!C$8+'Component Mix'!G25*'Component Doctrine'!C$9),1)</x:f>
        <x:v>20</x:v>
      </x:c>
      <x:c r="G25" s="103" t="n">
        <x:f>CEILING(D25/('Component Mix'!C25*'Component Doctrine'!D$5+'Component Mix'!D25*'Component Doctrine'!D$6+'Component Mix'!E25*'Component Doctrine'!D$7+'Component Mix'!F25*'Component Doctrine'!D$8+'Component Mix'!G25*'Component Doctrine'!D$9),1)</x:f>
        <x:v>52</x:v>
      </x:c>
      <x:c r="H25" s="103" t="n">
        <x:f>CEILING('Package Matrix'!O25*(1+Controls!B5)/('Component Mix'!C25*'Component Doctrine'!E$5+'Component Mix'!D25*'Component Doctrine'!E$6+'Component Mix'!E25*'Component Doctrine'!E$7+'Component Mix'!F25*'Component Doctrine'!E$8+'Component Mix'!G25*'Component Doctrine'!E$9),1)</x:f>
        <x:v>21</x:v>
      </x:c>
      <x:c r="I25" s="103" t="n">
        <x:f>MAX(E25:H25)</x:f>
        <x:v>71</x:v>
      </x:c>
      <x:c r="J25" s="103" t="n">
        <x:f>I25*'Readiness Vectors'!H25</x:f>
        <x:v>46.15</x:v>
      </x:c>
      <x:c r="K25" s="103" t="n">
        <x:f>J25-D25</x:f>
        <x:v>0.5499999999999972</x:v>
      </x:c>
      <x:c r="L25" s="85" t="str">
        <x:f>IF(I25=E25,"Complete readiness",IF(I25=F25,"72-hour component",IF(I25=G25,"Enduring component","Global eligibility")))</x:f>
        <x:v>Complete readiness</x:v>
      </x:c>
      <x:c r="M25" s="85" t="str">
        <x:f>IF(K25&gt;=0,"PASS","FAIL")</x:f>
        <x:v>PASS</x:v>
      </x:c>
    </x:row>
    <x:row r="26">
      <x:c r="A26" s="57" t="str">
        <x:v>I-UPG</x:v>
      </x:c>
      <x:c r="B26" s="57" t="str">
        <x:v>Utility projection group</x:v>
      </x:c>
      <x:c r="C26" s="103" t="n">
        <x:f>'Package Matrix'!N26</x:f>
        <x:v>76</x:v>
      </x:c>
      <x:c r="D26" s="103" t="n">
        <x:f>C26*(1+Controls!B5)</x:f>
        <x:v>91.2</x:v>
      </x:c>
      <x:c r="E26" s="103" t="n">
        <x:f>CEILING(D26/'Readiness Vectors'!H26,1)</x:f>
        <x:v>131</x:v>
      </x:c>
      <x:c r="F26" s="103" t="n">
        <x:f>CEILING(C26*'Formation Catalog'!K26*(1+Controls!B5)/('Component Mix'!C26*'Component Doctrine'!C$5+'Component Mix'!D26*'Component Doctrine'!C$6+'Component Mix'!E26*'Component Doctrine'!C$7+'Component Mix'!F26*'Component Doctrine'!C$8+'Component Mix'!G26*'Component Doctrine'!C$9),1)</x:f>
        <x:v>63</x:v>
      </x:c>
      <x:c r="G26" s="103" t="n">
        <x:f>CEILING(D26/('Component Mix'!C26*'Component Doctrine'!D$5+'Component Mix'!D26*'Component Doctrine'!D$6+'Component Mix'!E26*'Component Doctrine'!D$7+'Component Mix'!F26*'Component Doctrine'!D$8+'Component Mix'!G26*'Component Doctrine'!D$9),1)</x:f>
        <x:v>109</x:v>
      </x:c>
      <x:c r="H26" s="103" t="n">
        <x:f>CEILING('Package Matrix'!O26*(1+Controls!B5)/('Component Mix'!C26*'Component Doctrine'!E$5+'Component Mix'!D26*'Component Doctrine'!E$6+'Component Mix'!E26*'Component Doctrine'!E$7+'Component Mix'!F26*'Component Doctrine'!E$8+'Component Mix'!G26*'Component Doctrine'!E$9),1)</x:f>
        <x:v>30</x:v>
      </x:c>
      <x:c r="I26" s="103" t="n">
        <x:f>MAX(E26:H26)</x:f>
        <x:v>131</x:v>
      </x:c>
      <x:c r="J26" s="103" t="n">
        <x:f>I26*'Readiness Vectors'!H26</x:f>
        <x:v>91.69999999999999</x:v>
      </x:c>
      <x:c r="K26" s="103" t="n">
        <x:f>J26-D26</x:f>
        <x:v>0.4999999999999858</x:v>
      </x:c>
      <x:c r="L26" s="85" t="str">
        <x:f>IF(I26=E26,"Complete readiness",IF(I26=F26,"72-hour component",IF(I26=G26,"Enduring component","Global eligibility")))</x:f>
        <x:v>Complete readiness</x:v>
      </x:c>
      <x:c r="M26" s="85" t="str">
        <x:f>IF(K26&gt;=0,"PASS","FAIL")</x:f>
        <x:v>PASS</x:v>
      </x:c>
    </x:row>
    <x:row r="27">
      <x:c r="A27" s="76" t="str">
        <x:v>I-CUG</x:v>
      </x:c>
      <x:c r="B27" s="76" t="str">
        <x:v>Communications utility group</x:v>
      </x:c>
      <x:c r="C27" s="103" t="n">
        <x:f>'Package Matrix'!N27</x:f>
        <x:v>59</x:v>
      </x:c>
      <x:c r="D27" s="103" t="n">
        <x:f>C27*(1+Controls!B5)</x:f>
        <x:v>70.8</x:v>
      </x:c>
      <x:c r="E27" s="103" t="n">
        <x:f>CEILING(D27/'Readiness Vectors'!H27,1)</x:f>
        <x:v>102</x:v>
      </x:c>
      <x:c r="F27" s="103" t="n">
        <x:f>CEILING(C27*'Formation Catalog'!K27*(1+Controls!B5)/('Component Mix'!C27*'Component Doctrine'!C$5+'Component Mix'!D27*'Component Doctrine'!C$6+'Component Mix'!E27*'Component Doctrine'!C$7+'Component Mix'!F27*'Component Doctrine'!C$8+'Component Mix'!G27*'Component Doctrine'!C$9),1)</x:f>
        <x:v>49</x:v>
      </x:c>
      <x:c r="G27" s="103" t="n">
        <x:f>CEILING(D27/('Component Mix'!C27*'Component Doctrine'!D$5+'Component Mix'!D27*'Component Doctrine'!D$6+'Component Mix'!E27*'Component Doctrine'!D$7+'Component Mix'!F27*'Component Doctrine'!D$8+'Component Mix'!G27*'Component Doctrine'!D$9),1)</x:f>
        <x:v>85</x:v>
      </x:c>
      <x:c r="H27" s="103" t="n">
        <x:f>CEILING('Package Matrix'!O27*(1+Controls!B5)/('Component Mix'!C27*'Component Doctrine'!E$5+'Component Mix'!D27*'Component Doctrine'!E$6+'Component Mix'!E27*'Component Doctrine'!E$7+'Component Mix'!F27*'Component Doctrine'!E$8+'Component Mix'!G27*'Component Doctrine'!E$9),1)</x:f>
        <x:v>27</x:v>
      </x:c>
      <x:c r="I27" s="103" t="n">
        <x:f>MAX(E27:H27)</x:f>
        <x:v>102</x:v>
      </x:c>
      <x:c r="J27" s="103" t="n">
        <x:f>I27*'Readiness Vectors'!H27</x:f>
        <x:v>71.39999999999999</x:v>
      </x:c>
      <x:c r="K27" s="103" t="n">
        <x:f>J27-D27</x:f>
        <x:v>0.5999999999999943</x:v>
      </x:c>
      <x:c r="L27" s="85" t="str">
        <x:f>IF(I27=E27,"Complete readiness",IF(I27=F27,"72-hour component",IF(I27=G27,"Enduring component","Global eligibility")))</x:f>
        <x:v>Complete readiness</x:v>
      </x:c>
      <x:c r="M27" s="85" t="str">
        <x:f>IF(K27&gt;=0,"PASS","FAIL")</x:f>
        <x:v>PASS</x:v>
      </x:c>
    </x:row>
    <x:row r="28">
      <x:c r="A28" s="57" t="str">
        <x:v>I-TSG</x:v>
      </x:c>
      <x:c r="B28" s="57" t="str">
        <x:v>Thermal safety group</x:v>
      </x:c>
      <x:c r="C28" s="103" t="n">
        <x:f>'Package Matrix'!N28</x:f>
        <x:v>63</x:v>
      </x:c>
      <x:c r="D28" s="103" t="n">
        <x:f>C28*(1+Controls!B5)</x:f>
        <x:v>75.6</x:v>
      </x:c>
      <x:c r="E28" s="103" t="n">
        <x:f>CEILING(D28/'Readiness Vectors'!H28,1)</x:f>
        <x:v>108</x:v>
      </x:c>
      <x:c r="F28" s="103" t="n">
        <x:f>CEILING(C28*'Formation Catalog'!K28*(1+Controls!B5)/('Component Mix'!C28*'Component Doctrine'!C$5+'Component Mix'!D28*'Component Doctrine'!C$6+'Component Mix'!E28*'Component Doctrine'!C$7+'Component Mix'!F28*'Component Doctrine'!C$8+'Component Mix'!G28*'Component Doctrine'!C$9),1)</x:f>
        <x:v>52</x:v>
      </x:c>
      <x:c r="G28" s="103" t="n">
        <x:f>CEILING(D28/('Component Mix'!C28*'Component Doctrine'!D$5+'Component Mix'!D28*'Component Doctrine'!D$6+'Component Mix'!E28*'Component Doctrine'!D$7+'Component Mix'!F28*'Component Doctrine'!D$8+'Component Mix'!G28*'Component Doctrine'!D$9),1)</x:f>
        <x:v>90</x:v>
      </x:c>
      <x:c r="H28" s="103" t="n">
        <x:f>CEILING('Package Matrix'!O28*(1+Controls!B5)/('Component Mix'!C28*'Component Doctrine'!E$5+'Component Mix'!D28*'Component Doctrine'!E$6+'Component Mix'!E28*'Component Doctrine'!E$7+'Component Mix'!F28*'Component Doctrine'!E$8+'Component Mix'!G28*'Component Doctrine'!E$9),1)</x:f>
        <x:v>19</x:v>
      </x:c>
      <x:c r="I28" s="103" t="n">
        <x:f>MAX(E28:H28)</x:f>
        <x:v>108</x:v>
      </x:c>
      <x:c r="J28" s="103" t="n">
        <x:f>I28*'Readiness Vectors'!H28</x:f>
        <x:v>75.6</x:v>
      </x:c>
      <x:c r="K28" s="103" t="n">
        <x:f>J28-D28</x:f>
        <x:v>0</x:v>
      </x:c>
      <x:c r="L28" s="85" t="str">
        <x:f>IF(I28=E28,"Complete readiness",IF(I28=F28,"72-hour component",IF(I28=G28,"Enduring component","Global eligibility")))</x:f>
        <x:v>Complete readiness</x:v>
      </x:c>
      <x:c r="M28" s="85" t="str">
        <x:f>IF(K28&gt;=0,"PASS","FAIL")</x:f>
        <x:v>PASS</x:v>
      </x:c>
    </x:row>
    <x:row r="29">
      <x:c r="A29" s="76" t="str">
        <x:v>I-URG</x:v>
      </x:c>
      <x:c r="B29" s="76" t="str">
        <x:v>Utility reconstruction group</x:v>
      </x:c>
      <x:c r="C29" s="103" t="n">
        <x:f>'Package Matrix'!N29</x:f>
        <x:v>73</x:v>
      </x:c>
      <x:c r="D29" s="103" t="n">
        <x:f>C29*(1+Controls!B5)</x:f>
        <x:v>87.6</x:v>
      </x:c>
      <x:c r="E29" s="103" t="n">
        <x:f>CEILING(D29/'Readiness Vectors'!H29,1)</x:f>
        <x:v>126</x:v>
      </x:c>
      <x:c r="F29" s="103" t="n">
        <x:f>CEILING(C29*'Formation Catalog'!K29*(1+Controls!B5)/('Component Mix'!C29*'Component Doctrine'!C$5+'Component Mix'!D29*'Component Doctrine'!C$6+'Component Mix'!E29*'Component Doctrine'!C$7+'Component Mix'!F29*'Component Doctrine'!C$8+'Component Mix'!G29*'Component Doctrine'!C$9),1)</x:f>
        <x:v>60</x:v>
      </x:c>
      <x:c r="G29" s="103" t="n">
        <x:f>CEILING(D29/('Component Mix'!C29*'Component Doctrine'!D$5+'Component Mix'!D29*'Component Doctrine'!D$6+'Component Mix'!E29*'Component Doctrine'!D$7+'Component Mix'!F29*'Component Doctrine'!D$8+'Component Mix'!G29*'Component Doctrine'!D$9),1)</x:f>
        <x:v>104</x:v>
      </x:c>
      <x:c r="H29" s="103" t="n">
        <x:f>CEILING('Package Matrix'!O29*(1+Controls!B5)/('Component Mix'!C29*'Component Doctrine'!E$5+'Component Mix'!D29*'Component Doctrine'!E$6+'Component Mix'!E29*'Component Doctrine'!E$7+'Component Mix'!F29*'Component Doctrine'!E$8+'Component Mix'!G29*'Component Doctrine'!E$9),1)</x:f>
        <x:v>30</x:v>
      </x:c>
      <x:c r="I29" s="103" t="n">
        <x:f>MAX(E29:H29)</x:f>
        <x:v>126</x:v>
      </x:c>
      <x:c r="J29" s="103" t="n">
        <x:f>I29*'Readiness Vectors'!H29</x:f>
        <x:v>88.19999999999999</x:v>
      </x:c>
      <x:c r="K29" s="103" t="n">
        <x:f>J29-D29</x:f>
        <x:v>0.5999999999999943</x:v>
      </x:c>
      <x:c r="L29" s="85" t="str">
        <x:f>IF(I29=E29,"Complete readiness",IF(I29=F29,"72-hour component",IF(I29=G29,"Enduring component","Global eligibility")))</x:f>
        <x:v>Complete readiness</x:v>
      </x:c>
      <x:c r="M29" s="85" t="str">
        <x:f>IF(K29&gt;=0,"PASS","FAIL")</x:f>
        <x:v>PASS</x:v>
      </x:c>
    </x:row>
    <x:row r="30">
      <x:c r="A30" s="57" t="str">
        <x:v>H-CHC</x:v>
      </x:c>
      <x:c r="B30" s="57" t="str">
        <x:v>Community health continuity group</x:v>
      </x:c>
      <x:c r="C30" s="103" t="n">
        <x:f>'Package Matrix'!N30</x:f>
        <x:v>75</x:v>
      </x:c>
      <x:c r="D30" s="103" t="n">
        <x:f>C30*(1+Controls!B5)</x:f>
        <x:v>90</x:v>
      </x:c>
      <x:c r="E30" s="103" t="n">
        <x:f>CEILING(D30/'Readiness Vectors'!H30,1)</x:f>
        <x:v>139</x:v>
      </x:c>
      <x:c r="F30" s="103" t="n">
        <x:f>CEILING(C30*'Formation Catalog'!K30*(1+Controls!B5)/('Component Mix'!C30*'Component Doctrine'!C$5+'Component Mix'!D30*'Component Doctrine'!C$6+'Component Mix'!E30*'Component Doctrine'!C$7+'Component Mix'!F30*'Component Doctrine'!C$8+'Component Mix'!G30*'Component Doctrine'!C$9),1)</x:f>
        <x:v>102</x:v>
      </x:c>
      <x:c r="G30" s="103" t="n">
        <x:f>CEILING(D30/('Component Mix'!C30*'Component Doctrine'!D$5+'Component Mix'!D30*'Component Doctrine'!D$6+'Component Mix'!E30*'Component Doctrine'!D$7+'Component Mix'!F30*'Component Doctrine'!D$8+'Component Mix'!G30*'Component Doctrine'!D$9),1)</x:f>
        <x:v>105</x:v>
      </x:c>
      <x:c r="H30" s="103" t="n">
        <x:f>CEILING('Package Matrix'!O30*(1+Controls!B5)/('Component Mix'!C30*'Component Doctrine'!E$5+'Component Mix'!D30*'Component Doctrine'!E$6+'Component Mix'!E30*'Component Doctrine'!E$7+'Component Mix'!F30*'Component Doctrine'!E$8+'Component Mix'!G30*'Component Doctrine'!E$9),1)</x:f>
        <x:v>32</x:v>
      </x:c>
      <x:c r="I30" s="103" t="n">
        <x:f>MAX(E30:H30)</x:f>
        <x:v>139</x:v>
      </x:c>
      <x:c r="J30" s="103" t="n">
        <x:f>I30*'Readiness Vectors'!H30</x:f>
        <x:v>90.35000000000001</x:v>
      </x:c>
      <x:c r="K30" s="103" t="n">
        <x:f>J30-D30</x:f>
        <x:v>0.3500000000000085</x:v>
      </x:c>
      <x:c r="L30" s="85" t="str">
        <x:f>IF(I30=E30,"Complete readiness",IF(I30=F30,"72-hour component",IF(I30=G30,"Enduring component","Global eligibility")))</x:f>
        <x:v>Complete readiness</x:v>
      </x:c>
      <x:c r="M30" s="85" t="str">
        <x:f>IF(K30&gt;=0,"PASS","FAIL")</x:f>
        <x:v>PASS</x:v>
      </x:c>
    </x:row>
    <x:row r="31">
      <x:c r="A31" s="76" t="str">
        <x:v>H-MAC</x:v>
      </x:c>
      <x:c r="B31" s="76" t="str">
        <x:v>Mobile acute-care group</x:v>
      </x:c>
      <x:c r="C31" s="103" t="n">
        <x:f>'Package Matrix'!N31</x:f>
        <x:v>49</x:v>
      </x:c>
      <x:c r="D31" s="103" t="n">
        <x:f>C31*(1+Controls!B5)</x:f>
        <x:v>58.8</x:v>
      </x:c>
      <x:c r="E31" s="103" t="n">
        <x:f>CEILING(D31/'Readiness Vectors'!H31,1)</x:f>
        <x:v>91</x:v>
      </x:c>
      <x:c r="F31" s="103" t="n">
        <x:f>CEILING(C31*'Formation Catalog'!K31*(1+Controls!B5)/('Component Mix'!C31*'Component Doctrine'!C$5+'Component Mix'!D31*'Component Doctrine'!C$6+'Component Mix'!E31*'Component Doctrine'!C$7+'Component Mix'!F31*'Component Doctrine'!C$8+'Component Mix'!G31*'Component Doctrine'!C$9),1)</x:f>
        <x:v>67</x:v>
      </x:c>
      <x:c r="G31" s="103" t="n">
        <x:f>CEILING(D31/('Component Mix'!C31*'Component Doctrine'!D$5+'Component Mix'!D31*'Component Doctrine'!D$6+'Component Mix'!E31*'Component Doctrine'!D$7+'Component Mix'!F31*'Component Doctrine'!D$8+'Component Mix'!G31*'Component Doctrine'!D$9),1)</x:f>
        <x:v>69</x:v>
      </x:c>
      <x:c r="H31" s="103" t="n">
        <x:f>CEILING('Package Matrix'!O31*(1+Controls!B5)/('Component Mix'!C31*'Component Doctrine'!E$5+'Component Mix'!D31*'Component Doctrine'!E$6+'Component Mix'!E31*'Component Doctrine'!E$7+'Component Mix'!F31*'Component Doctrine'!E$8+'Component Mix'!G31*'Component Doctrine'!E$9),1)</x:f>
        <x:v>23</x:v>
      </x:c>
      <x:c r="I31" s="103" t="n">
        <x:f>MAX(E31:H31)</x:f>
        <x:v>91</x:v>
      </x:c>
      <x:c r="J31" s="103" t="n">
        <x:f>I31*'Readiness Vectors'!H31</x:f>
        <x:v>59.15</x:v>
      </x:c>
      <x:c r="K31" s="103" t="n">
        <x:f>J31-D31</x:f>
        <x:v>0.3500000000000014</x:v>
      </x:c>
      <x:c r="L31" s="85" t="str">
        <x:f>IF(I31=E31,"Complete readiness",IF(I31=F31,"72-hour component",IF(I31=G31,"Enduring component","Global eligibility")))</x:f>
        <x:v>Complete readiness</x:v>
      </x:c>
      <x:c r="M31" s="85" t="str">
        <x:f>IF(K31&gt;=0,"PASS","FAIL")</x:f>
        <x:v>PASS</x:v>
      </x:c>
    </x:row>
    <x:row r="32">
      <x:c r="A32" s="57" t="str">
        <x:v>H-PHC</x:v>
      </x:c>
      <x:c r="B32" s="57" t="str">
        <x:v>Public-health control group</x:v>
      </x:c>
      <x:c r="C32" s="103" t="n">
        <x:f>'Package Matrix'!N32</x:f>
        <x:v>42</x:v>
      </x:c>
      <x:c r="D32" s="103" t="n">
        <x:f>C32*(1+Controls!B5)</x:f>
        <x:v>50.4</x:v>
      </x:c>
      <x:c r="E32" s="103" t="n">
        <x:f>CEILING(D32/'Readiness Vectors'!H32,1)</x:f>
        <x:v>78</x:v>
      </x:c>
      <x:c r="F32" s="103" t="n">
        <x:f>CEILING(C32*'Formation Catalog'!K32*(1+Controls!B5)/('Component Mix'!C32*'Component Doctrine'!C$5+'Component Mix'!D32*'Component Doctrine'!C$6+'Component Mix'!E32*'Component Doctrine'!C$7+'Component Mix'!F32*'Component Doctrine'!C$8+'Component Mix'!G32*'Component Doctrine'!C$9),1)</x:f>
        <x:v>57</x:v>
      </x:c>
      <x:c r="G32" s="103" t="n">
        <x:f>CEILING(D32/('Component Mix'!C32*'Component Doctrine'!D$5+'Component Mix'!D32*'Component Doctrine'!D$6+'Component Mix'!E32*'Component Doctrine'!D$7+'Component Mix'!F32*'Component Doctrine'!D$8+'Component Mix'!G32*'Component Doctrine'!D$9),1)</x:f>
        <x:v>59</x:v>
      </x:c>
      <x:c r="H32" s="103" t="n">
        <x:f>CEILING('Package Matrix'!O32*(1+Controls!B5)/('Component Mix'!C32*'Component Doctrine'!E$5+'Component Mix'!D32*'Component Doctrine'!E$6+'Component Mix'!E32*'Component Doctrine'!E$7+'Component Mix'!F32*'Component Doctrine'!E$8+'Component Mix'!G32*'Component Doctrine'!E$9),1)</x:f>
        <x:v>20</x:v>
      </x:c>
      <x:c r="I32" s="103" t="n">
        <x:f>MAX(E32:H32)</x:f>
        <x:v>78</x:v>
      </x:c>
      <x:c r="J32" s="103" t="n">
        <x:f>I32*'Readiness Vectors'!H32</x:f>
        <x:v>50.7</x:v>
      </x:c>
      <x:c r="K32" s="103" t="n">
        <x:f>J32-D32</x:f>
        <x:v>0.30000000000000426</x:v>
      </x:c>
      <x:c r="L32" s="85" t="str">
        <x:f>IF(I32=E32,"Complete readiness",IF(I32=F32,"72-hour component",IF(I32=G32,"Enduring component","Global eligibility")))</x:f>
        <x:v>Complete readiness</x:v>
      </x:c>
      <x:c r="M32" s="85" t="str">
        <x:f>IF(K32&gt;=0,"PASS","FAIL")</x:f>
        <x:v>PASS</x:v>
      </x:c>
    </x:row>
    <x:row r="33">
      <x:c r="A33" s="76" t="str">
        <x:v>H-HWR</x:v>
      </x:c>
      <x:c r="B33" s="76" t="str">
        <x:v>Health workforce replacement group</x:v>
      </x:c>
      <x:c r="C33" s="103" t="n">
        <x:f>'Package Matrix'!N33</x:f>
        <x:v>75</x:v>
      </x:c>
      <x:c r="D33" s="103" t="n">
        <x:f>C33*(1+Controls!B5)</x:f>
        <x:v>90</x:v>
      </x:c>
      <x:c r="E33" s="103" t="n">
        <x:f>CEILING(D33/'Readiness Vectors'!H33,1)</x:f>
        <x:v>139</x:v>
      </x:c>
      <x:c r="F33" s="103" t="n">
        <x:f>CEILING(C33*'Formation Catalog'!K33*(1+Controls!B5)/('Component Mix'!C33*'Component Doctrine'!C$5+'Component Mix'!D33*'Component Doctrine'!C$6+'Component Mix'!E33*'Component Doctrine'!C$7+'Component Mix'!F33*'Component Doctrine'!C$8+'Component Mix'!G33*'Component Doctrine'!C$9),1)</x:f>
        <x:v>102</x:v>
      </x:c>
      <x:c r="G33" s="103" t="n">
        <x:f>CEILING(D33/('Component Mix'!C33*'Component Doctrine'!D$5+'Component Mix'!D33*'Component Doctrine'!D$6+'Component Mix'!E33*'Component Doctrine'!D$7+'Component Mix'!F33*'Component Doctrine'!D$8+'Component Mix'!G33*'Component Doctrine'!D$9),1)</x:f>
        <x:v>105</x:v>
      </x:c>
      <x:c r="H33" s="103" t="n">
        <x:f>CEILING('Package Matrix'!O33*(1+Controls!B5)/('Component Mix'!C33*'Component Doctrine'!E$5+'Component Mix'!D33*'Component Doctrine'!E$6+'Component Mix'!E33*'Component Doctrine'!E$7+'Component Mix'!F33*'Component Doctrine'!E$8+'Component Mix'!G33*'Component Doctrine'!E$9),1)</x:f>
        <x:v>32</x:v>
      </x:c>
      <x:c r="I33" s="103" t="n">
        <x:f>MAX(E33:H33)</x:f>
        <x:v>139</x:v>
      </x:c>
      <x:c r="J33" s="103" t="n">
        <x:f>I33*'Readiness Vectors'!H33</x:f>
        <x:v>90.35000000000001</x:v>
      </x:c>
      <x:c r="K33" s="103" t="n">
        <x:f>J33-D33</x:f>
        <x:v>0.3500000000000085</x:v>
      </x:c>
      <x:c r="L33" s="85" t="str">
        <x:f>IF(I33=E33,"Complete readiness",IF(I33=F33,"72-hour component",IF(I33=G33,"Enduring component","Global eligibility")))</x:f>
        <x:v>Complete readiness</x:v>
      </x:c>
      <x:c r="M33" s="85" t="str">
        <x:f>IF(K33&gt;=0,"PASS","FAIL")</x:f>
        <x:v>PASS</x:v>
      </x:c>
    </x:row>
    <x:row r="34">
      <x:c r="A34" s="57" t="str">
        <x:v>C-PSG</x:v>
      </x:c>
      <x:c r="B34" s="57" t="str">
        <x:v>Population support group</x:v>
      </x:c>
      <x:c r="C34" s="103" t="n">
        <x:f>'Package Matrix'!N34</x:f>
        <x:v>108</x:v>
      </x:c>
      <x:c r="D34" s="103" t="n">
        <x:f>C34*(1+Controls!B5)</x:f>
        <x:v>129.6</x:v>
      </x:c>
      <x:c r="E34" s="103" t="n">
        <x:f>CEILING(D34/'Readiness Vectors'!H34,1)</x:f>
        <x:v>173</x:v>
      </x:c>
      <x:c r="F34" s="103" t="n">
        <x:f>CEILING(C34*'Formation Catalog'!K34*(1+Controls!B5)/('Component Mix'!C34*'Component Doctrine'!C$5+'Component Mix'!D34*'Component Doctrine'!C$6+'Component Mix'!E34*'Component Doctrine'!C$7+'Component Mix'!F34*'Component Doctrine'!C$8+'Component Mix'!G34*'Component Doctrine'!C$9),1)</x:f>
        <x:v>151</x:v>
      </x:c>
      <x:c r="G34" s="103" t="n">
        <x:f>CEILING(D34/('Component Mix'!C34*'Component Doctrine'!D$5+'Component Mix'!D34*'Component Doctrine'!D$6+'Component Mix'!E34*'Component Doctrine'!D$7+'Component Mix'!F34*'Component Doctrine'!D$8+'Component Mix'!G34*'Component Doctrine'!D$9),1)</x:f>
        <x:v>154</x:v>
      </x:c>
      <x:c r="H34" s="103" t="n">
        <x:f>CEILING('Package Matrix'!O34*(1+Controls!B5)/('Component Mix'!C34*'Component Doctrine'!E$5+'Component Mix'!D34*'Component Doctrine'!E$6+'Component Mix'!E34*'Component Doctrine'!E$7+'Component Mix'!F34*'Component Doctrine'!E$8+'Component Mix'!G34*'Component Doctrine'!E$9),1)</x:f>
        <x:v>67</x:v>
      </x:c>
      <x:c r="I34" s="103" t="n">
        <x:f>MAX(E34:H34)</x:f>
        <x:v>173</x:v>
      </x:c>
      <x:c r="J34" s="103" t="n">
        <x:f>I34*'Readiness Vectors'!H34</x:f>
        <x:v>129.75</x:v>
      </x:c>
      <x:c r="K34" s="103" t="n">
        <x:f>J34-D34</x:f>
        <x:v>0.15000000000000568</x:v>
      </x:c>
      <x:c r="L34" s="85" t="str">
        <x:f>IF(I34=E34,"Complete readiness",IF(I34=F34,"72-hour component",IF(I34=G34,"Enduring component","Global eligibility")))</x:f>
        <x:v>Complete readiness</x:v>
      </x:c>
      <x:c r="M34" s="85" t="str">
        <x:f>IF(K34&gt;=0,"PASS","FAIL")</x:f>
        <x:v>PASS</x:v>
      </x:c>
    </x:row>
    <x:row r="35">
      <x:c r="A35" s="76" t="str">
        <x:v>C-EGG</x:v>
      </x:c>
      <x:c r="B35" s="76" t="str">
        <x:v>Essential-goods group</x:v>
      </x:c>
      <x:c r="C35" s="103" t="n">
        <x:f>'Package Matrix'!N35</x:f>
        <x:v>108</x:v>
      </x:c>
      <x:c r="D35" s="103" t="n">
        <x:f>C35*(1+Controls!B5)</x:f>
        <x:v>129.6</x:v>
      </x:c>
      <x:c r="E35" s="103" t="n">
        <x:f>CEILING(D35/'Readiness Vectors'!H35,1)</x:f>
        <x:v>173</x:v>
      </x:c>
      <x:c r="F35" s="103" t="n">
        <x:f>CEILING(C35*'Formation Catalog'!K35*(1+Controls!B5)/('Component Mix'!C35*'Component Doctrine'!C$5+'Component Mix'!D35*'Component Doctrine'!C$6+'Component Mix'!E35*'Component Doctrine'!C$7+'Component Mix'!F35*'Component Doctrine'!C$8+'Component Mix'!G35*'Component Doctrine'!C$9),1)</x:f>
        <x:v>151</x:v>
      </x:c>
      <x:c r="G35" s="103" t="n">
        <x:f>CEILING(D35/('Component Mix'!C35*'Component Doctrine'!D$5+'Component Mix'!D35*'Component Doctrine'!D$6+'Component Mix'!E35*'Component Doctrine'!D$7+'Component Mix'!F35*'Component Doctrine'!D$8+'Component Mix'!G35*'Component Doctrine'!D$9),1)</x:f>
        <x:v>154</x:v>
      </x:c>
      <x:c r="H35" s="103" t="n">
        <x:f>CEILING('Package Matrix'!O35*(1+Controls!B5)/('Component Mix'!C35*'Component Doctrine'!E$5+'Component Mix'!D35*'Component Doctrine'!E$6+'Component Mix'!E35*'Component Doctrine'!E$7+'Component Mix'!F35*'Component Doctrine'!E$8+'Component Mix'!G35*'Component Doctrine'!E$9),1)</x:f>
        <x:v>67</x:v>
      </x:c>
      <x:c r="I35" s="103" t="n">
        <x:f>MAX(E35:H35)</x:f>
        <x:v>173</x:v>
      </x:c>
      <x:c r="J35" s="103" t="n">
        <x:f>I35*'Readiness Vectors'!H35</x:f>
        <x:v>129.75</x:v>
      </x:c>
      <x:c r="K35" s="103" t="n">
        <x:f>J35-D35</x:f>
        <x:v>0.15000000000000568</x:v>
      </x:c>
      <x:c r="L35" s="85" t="str">
        <x:f>IF(I35=E35,"Complete readiness",IF(I35=F35,"72-hour component",IF(I35=G35,"Enduring component","Global eligibility")))</x:f>
        <x:v>Complete readiness</x:v>
      </x:c>
      <x:c r="M35" s="85" t="str">
        <x:f>IF(K35&gt;=0,"PASS","FAIL")</x:f>
        <x:v>PASS</x:v>
      </x:c>
    </x:row>
    <x:row r="36">
      <x:c r="A36" s="57" t="str">
        <x:v>C-CAG</x:v>
      </x:c>
      <x:c r="B36" s="57" t="str">
        <x:v>Civil access group</x:v>
      </x:c>
      <x:c r="C36" s="103" t="n">
        <x:f>'Package Matrix'!N36</x:f>
        <x:v>82</x:v>
      </x:c>
      <x:c r="D36" s="103" t="n">
        <x:f>C36*(1+Controls!B5)</x:f>
        <x:v>98.39999999999999</x:v>
      </x:c>
      <x:c r="E36" s="103" t="n">
        <x:f>CEILING(D36/'Readiness Vectors'!H36,1)</x:f>
        <x:v>132</x:v>
      </x:c>
      <x:c r="F36" s="103" t="n">
        <x:f>CEILING(C36*'Formation Catalog'!K36*(1+Controls!B5)/('Component Mix'!C36*'Component Doctrine'!C$5+'Component Mix'!D36*'Component Doctrine'!C$6+'Component Mix'!E36*'Component Doctrine'!C$7+'Component Mix'!F36*'Component Doctrine'!C$8+'Component Mix'!G36*'Component Doctrine'!C$9),1)</x:f>
        <x:v>115</x:v>
      </x:c>
      <x:c r="G36" s="103" t="n">
        <x:f>CEILING(D36/('Component Mix'!C36*'Component Doctrine'!D$5+'Component Mix'!D36*'Component Doctrine'!D$6+'Component Mix'!E36*'Component Doctrine'!D$7+'Component Mix'!F36*'Component Doctrine'!D$8+'Component Mix'!G36*'Component Doctrine'!D$9),1)</x:f>
        <x:v>117</x:v>
      </x:c>
      <x:c r="H36" s="103" t="n">
        <x:f>CEILING('Package Matrix'!O36*(1+Controls!B5)/('Component Mix'!C36*'Component Doctrine'!E$5+'Component Mix'!D36*'Component Doctrine'!E$6+'Component Mix'!E36*'Component Doctrine'!E$7+'Component Mix'!F36*'Component Doctrine'!E$8+'Component Mix'!G36*'Component Doctrine'!E$9),1)</x:f>
        <x:v>49</x:v>
      </x:c>
      <x:c r="I36" s="103" t="n">
        <x:f>MAX(E36:H36)</x:f>
        <x:v>132</x:v>
      </x:c>
      <x:c r="J36" s="103" t="n">
        <x:f>I36*'Readiness Vectors'!H36</x:f>
        <x:v>99</x:v>
      </x:c>
      <x:c r="K36" s="103" t="n">
        <x:f>J36-D36</x:f>
        <x:v>0.6000000000000085</x:v>
      </x:c>
      <x:c r="L36" s="85" t="str">
        <x:f>IF(I36=E36,"Complete readiness",IF(I36=F36,"72-hour component",IF(I36=G36,"Enduring component","Global eligibility")))</x:f>
        <x:v>Complete readiness</x:v>
      </x:c>
      <x:c r="M36" s="85" t="str">
        <x:f>IF(K36&gt;=0,"PASS","FAIL")</x:f>
        <x:v>PASS</x:v>
      </x:c>
    </x:row>
    <x:row r="37">
      <x:c r="A37" s="76" t="str">
        <x:v>C-DTG</x:v>
      </x:c>
      <x:c r="B37" s="76" t="str">
        <x:v>Displacement transition group</x:v>
      </x:c>
      <x:c r="C37" s="103" t="n">
        <x:f>'Package Matrix'!N37</x:f>
        <x:v>79</x:v>
      </x:c>
      <x:c r="D37" s="103" t="n">
        <x:f>C37*(1+Controls!B5)</x:f>
        <x:v>94.8</x:v>
      </x:c>
      <x:c r="E37" s="103" t="n">
        <x:f>CEILING(D37/'Readiness Vectors'!H37,1)</x:f>
        <x:v>127</x:v>
      </x:c>
      <x:c r="F37" s="103" t="n">
        <x:f>CEILING(C37*'Formation Catalog'!K37*(1+Controls!B5)/('Component Mix'!C37*'Component Doctrine'!C$5+'Component Mix'!D37*'Component Doctrine'!C$6+'Component Mix'!E37*'Component Doctrine'!C$7+'Component Mix'!F37*'Component Doctrine'!C$8+'Component Mix'!G37*'Component Doctrine'!C$9),1)</x:f>
        <x:v>111</x:v>
      </x:c>
      <x:c r="G37" s="103" t="n">
        <x:f>CEILING(D37/('Component Mix'!C37*'Component Doctrine'!D$5+'Component Mix'!D37*'Component Doctrine'!D$6+'Component Mix'!E37*'Component Doctrine'!D$7+'Component Mix'!F37*'Component Doctrine'!D$8+'Component Mix'!G37*'Component Doctrine'!D$9),1)</x:f>
        <x:v>113</x:v>
      </x:c>
      <x:c r="H37" s="103" t="n">
        <x:f>CEILING('Package Matrix'!O37*(1+Controls!B5)/('Component Mix'!C37*'Component Doctrine'!E$5+'Component Mix'!D37*'Component Doctrine'!E$6+'Component Mix'!E37*'Component Doctrine'!E$7+'Component Mix'!F37*'Component Doctrine'!E$8+'Component Mix'!G37*'Component Doctrine'!E$9),1)</x:f>
        <x:v>53</x:v>
      </x:c>
      <x:c r="I37" s="103" t="n">
        <x:f>MAX(E37:H37)</x:f>
        <x:v>127</x:v>
      </x:c>
      <x:c r="J37" s="103" t="n">
        <x:f>I37*'Readiness Vectors'!H37</x:f>
        <x:v>95.25</x:v>
      </x:c>
      <x:c r="K37" s="103" t="n">
        <x:f>J37-D37</x:f>
        <x:v>0.45000000000000284</x:v>
      </x:c>
      <x:c r="L37" s="85" t="str">
        <x:f>IF(I37=E37,"Complete readiness",IF(I37=F37,"72-hour component",IF(I37=G37,"Enduring component","Global eligibility")))</x:f>
        <x:v>Complete readiness</x:v>
      </x:c>
      <x:c r="M37" s="85" t="str">
        <x:f>IF(K37&gt;=0,"PASS","FAIL")</x:f>
        <x:v>PASS</x:v>
      </x:c>
    </x:row>
    <x:row r="38">
      <x:c r="A38" s="57" t="str">
        <x:v>C-CIG</x:v>
      </x:c>
      <x:c r="B38" s="57" t="str">
        <x:v>Community institutions group</x:v>
      </x:c>
      <x:c r="C38" s="103" t="n">
        <x:f>'Package Matrix'!N38</x:f>
        <x:v>66</x:v>
      </x:c>
      <x:c r="D38" s="103" t="n">
        <x:f>C38*(1+Controls!B5)</x:f>
        <x:v>79.2</x:v>
      </x:c>
      <x:c r="E38" s="103" t="n">
        <x:f>CEILING(D38/'Readiness Vectors'!H38,1)</x:f>
        <x:v>106</x:v>
      </x:c>
      <x:c r="F38" s="103" t="n">
        <x:f>CEILING(C38*'Formation Catalog'!K38*(1+Controls!B5)/('Component Mix'!C38*'Component Doctrine'!C$5+'Component Mix'!D38*'Component Doctrine'!C$6+'Component Mix'!E38*'Component Doctrine'!C$7+'Component Mix'!F38*'Component Doctrine'!C$8+'Component Mix'!G38*'Component Doctrine'!C$9),1)</x:f>
        <x:v>92</x:v>
      </x:c>
      <x:c r="G38" s="103" t="n">
        <x:f>CEILING(D38/('Component Mix'!C38*'Component Doctrine'!D$5+'Component Mix'!D38*'Component Doctrine'!D$6+'Component Mix'!E38*'Component Doctrine'!D$7+'Component Mix'!F38*'Component Doctrine'!D$8+'Component Mix'!G38*'Component Doctrine'!D$9),1)</x:f>
        <x:v>95</x:v>
      </x:c>
      <x:c r="H38" s="103" t="n">
        <x:f>CEILING('Package Matrix'!O38*(1+Controls!B5)/('Component Mix'!C38*'Component Doctrine'!E$5+'Component Mix'!D38*'Component Doctrine'!E$6+'Component Mix'!E38*'Component Doctrine'!E$7+'Component Mix'!F38*'Component Doctrine'!E$8+'Component Mix'!G38*'Component Doctrine'!E$9),1)</x:f>
        <x:v>40</x:v>
      </x:c>
      <x:c r="I38" s="103" t="n">
        <x:f>MAX(E38:H38)</x:f>
        <x:v>106</x:v>
      </x:c>
      <x:c r="J38" s="103" t="n">
        <x:f>I38*'Readiness Vectors'!H38</x:f>
        <x:v>79.5</x:v>
      </x:c>
      <x:c r="K38" s="103" t="n">
        <x:f>J38-D38</x:f>
        <x:v>0.29999999999999716</x:v>
      </x:c>
      <x:c r="L38" s="85" t="str">
        <x:f>IF(I38=E38,"Complete readiness",IF(I38=F38,"72-hour component",IF(I38=G38,"Enduring component","Global eligibility")))</x:f>
        <x:v>Complete readiness</x:v>
      </x:c>
      <x:c r="M38" s="85" t="str">
        <x:f>IF(K38&gt;=0,"PASS","FAIL")</x:f>
        <x:v>PASS</x:v>
      </x:c>
    </x:row>
  </x:sheetData>
  <x:mergeCells>
    <x:mergeCell ref="A1:M1"/>
    <x:mergeCell ref="A2:M2"/>
  </x:mergeCells>
  <x:conditionalFormatting sqref="M5:M38">
    <x:cfRule type="containsText" dxfId="12" priority="1" operator="containsText" text="PASS"/>
    <x:cfRule type="containsText" dxfId="13" priority="2" operator="containsText" text="OPEN"/>
    <x:cfRule type="containsText" dxfId="14" priority="3" operator="containsText" text="FAIL"/>
    <x:cfRule type="containsText" dxfId="15" priority="4" operator="containsText" text="SHORT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48" hidden="0" customWidth="1"/>
  </x:cols>
  <x:sheetData>
    <x:row r="1" ht="24" customHeight="1">
      <x:c r="A1" s="50" t="str">
        <x:v>Force Pools</x:v>
      </x:c>
      <x:c r="B1" s="56"/>
      <x:c r="C1" s="56"/>
      <x:c r="D1" s="56"/>
      <x:c r="E1" s="56"/>
      <x:c r="F1" s="56"/>
      <x:c r="G1" s="56"/>
      <x:c r="H1" s="56"/>
      <x:c r="I1" s="56"/>
    </x:row>
    <x:row r="2" ht="24" customHeight="1">
      <x:c r="A2" s="52" t="str">
        <x:v>One ledger prevents committed, preparing and regenerating formations from appearing available.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32" customHeight="1">
      <x:c r="A4" s="59" t="str">
        <x:v>ID</x:v>
      </x:c>
      <x:c r="B4" s="60" t="str">
        <x:v>Formation</x:v>
      </x:c>
      <x:c r="C4" s="60" t="str">
        <x:v>Selected</x:v>
      </x:c>
      <x:c r="D4" s="60" t="str">
        <x:v>Committed</x:v>
      </x:c>
      <x:c r="E4" s="60" t="str">
        <x:v>Preparing</x:v>
      </x:c>
      <x:c r="F4" s="60" t="str">
        <x:v>Regenerating</x:v>
      </x:c>
      <x:c r="G4" s="60" t="str">
        <x:v>Available balance</x:v>
      </x:c>
      <x:c r="H4" s="60" t="str">
        <x:v>Reserve need</x:v>
      </x:c>
      <x:c r="I4" s="61" t="str">
        <x:v>Interpretation</x:v>
      </x:c>
    </x:row>
    <x:row r="5">
      <x:c r="A5" s="76" t="str">
        <x:v>J-CIE</x:v>
      </x:c>
      <x:c r="B5" s="76" t="str">
        <x:v>Civil integration and effects group</x:v>
      </x:c>
      <x:c r="C5" s="103" t="n">
        <x:f>Inventory!I5</x:f>
        <x:v>53</x:v>
      </x:c>
      <x:c r="D5" s="103" t="n">
        <x:f>'Package Matrix'!N5</x:f>
        <x:v>34</x:v>
      </x:c>
      <x:c r="E5" s="103" t="n">
        <x:f>C5*Controls!B7</x:f>
        <x:v>7.949999999999999</x:v>
      </x:c>
      <x:c r="F5" s="103" t="n">
        <x:f>C5*Controls!B8</x:f>
        <x:v>10.600000000000001</x:v>
      </x:c>
      <x:c r="G5" s="103" t="n">
        <x:f>C5-D5-E5-F5</x:f>
        <x:v>0.4499999999999993</x:v>
      </x:c>
      <x:c r="H5" s="103" t="n">
        <x:f>D5*Controls!B5</x:f>
        <x:v>6.800000000000001</x:v>
      </x:c>
      <x:c r="I5" s="76" t="str">
        <x:v>Counts are planning equivalents before integer component assignments</x:v>
      </x:c>
    </x:row>
    <x:row r="6">
      <x:c r="A6" s="57" t="str">
        <x:v>J-TOC</x:v>
      </x:c>
      <x:c r="B6" s="57" t="str">
        <x:v>Theater-opening command</x:v>
      </x:c>
      <x:c r="C6" s="103" t="n">
        <x:f>Inventory!I6</x:f>
        <x:v>36</x:v>
      </x:c>
      <x:c r="D6" s="103" t="n">
        <x:f>'Package Matrix'!N6</x:f>
        <x:v>23</x:v>
      </x:c>
      <x:c r="E6" s="103" t="n">
        <x:f>C6*Controls!B7</x:f>
        <x:v>5.3999999999999995</x:v>
      </x:c>
      <x:c r="F6" s="103" t="n">
        <x:f>C6*Controls!B8</x:f>
        <x:v>7.2</x:v>
      </x:c>
      <x:c r="G6" s="103" t="n">
        <x:f>C6-D6-E6-F6</x:f>
        <x:v>0.40000000000000036</x:v>
      </x:c>
      <x:c r="H6" s="103" t="n">
        <x:f>D6*Controls!B5</x:f>
        <x:v>4.6000000000000005</x:v>
      </x:c>
      <x:c r="I6" s="57" t="str">
        <x:v>Counts are planning equivalents before integer component assignments</x:v>
      </x:c>
    </x:row>
    <x:row r="7">
      <x:c r="A7" s="76" t="str">
        <x:v>J-TSC</x:v>
      </x:c>
      <x:c r="B7" s="76" t="str">
        <x:v>Theater sustainment command</x:v>
      </x:c>
      <x:c r="C7" s="103" t="n">
        <x:f>Inventory!I7</x:f>
        <x:v>51</x:v>
      </x:c>
      <x:c r="D7" s="103" t="n">
        <x:f>'Package Matrix'!N7</x:f>
        <x:v>33</x:v>
      </x:c>
      <x:c r="E7" s="103" t="n">
        <x:f>C7*Controls!B7</x:f>
        <x:v>7.6499999999999995</x:v>
      </x:c>
      <x:c r="F7" s="103" t="n">
        <x:f>C7*Controls!B8</x:f>
        <x:v>10.200000000000001</x:v>
      </x:c>
      <x:c r="G7" s="103" t="n">
        <x:f>C7-D7-E7-F7</x:f>
        <x:v>0.15000000000000036</x:v>
      </x:c>
      <x:c r="H7" s="103" t="n">
        <x:f>D7*Controls!B5</x:f>
        <x:v>6.6000000000000005</x:v>
      </x:c>
      <x:c r="I7" s="76" t="str">
        <x:v>Counts are planning equivalents before integer component assignments</x:v>
      </x:c>
    </x:row>
    <x:row r="8">
      <x:c r="A8" s="57" t="str">
        <x:v>J-RRG</x:v>
      </x:c>
      <x:c r="B8" s="57" t="str">
        <x:v>Replacement and reconstitution group</x:v>
      </x:c>
      <x:c r="C8" s="103" t="n">
        <x:f>Inventory!I8</x:f>
        <x:v>51</x:v>
      </x:c>
      <x:c r="D8" s="103" t="n">
        <x:f>'Package Matrix'!N8</x:f>
        <x:v>33</x:v>
      </x:c>
      <x:c r="E8" s="103" t="n">
        <x:f>C8*Controls!B7</x:f>
        <x:v>7.6499999999999995</x:v>
      </x:c>
      <x:c r="F8" s="103" t="n">
        <x:f>C8*Controls!B8</x:f>
        <x:v>10.200000000000001</x:v>
      </x:c>
      <x:c r="G8" s="103" t="n">
        <x:f>C8-D8-E8-F8</x:f>
        <x:v>0.15000000000000036</x:v>
      </x:c>
      <x:c r="H8" s="103" t="n">
        <x:f>D8*Controls!B5</x:f>
        <x:v>6.6000000000000005</x:v>
      </x:c>
      <x:c r="I8" s="57" t="str">
        <x:v>Counts are planning equivalents before integer component assignments</x:v>
      </x:c>
    </x:row>
    <x:row r="9">
      <x:c r="A9" s="76" t="str">
        <x:v>J-TDG</x:v>
      </x:c>
      <x:c r="B9" s="76" t="str">
        <x:v>Transfer and demobilization group</x:v>
      </x:c>
      <x:c r="C9" s="103" t="n">
        <x:f>Inventory!I9</x:f>
        <x:v>36</x:v>
      </x:c>
      <x:c r="D9" s="103" t="n">
        <x:f>'Package Matrix'!N9</x:f>
        <x:v>23</x:v>
      </x:c>
      <x:c r="E9" s="103" t="n">
        <x:f>C9*Controls!B7</x:f>
        <x:v>5.3999999999999995</x:v>
      </x:c>
      <x:c r="F9" s="103" t="n">
        <x:f>C9*Controls!B8</x:f>
        <x:v>7.2</x:v>
      </x:c>
      <x:c r="G9" s="103" t="n">
        <x:f>C9-D9-E9-F9</x:f>
        <x:v>0.40000000000000036</x:v>
      </x:c>
      <x:c r="H9" s="103" t="n">
        <x:f>D9*Controls!B5</x:f>
        <x:v>4.6000000000000005</x:v>
      </x:c>
      <x:c r="I9" s="76" t="str">
        <x:v>Counts are planning equivalents before integer component assignments</x:v>
      </x:c>
    </x:row>
    <x:row r="10">
      <x:c r="A10" s="57" t="str">
        <x:v>L-ROG</x:v>
      </x:c>
      <x:c r="B10" s="57" t="str">
        <x:v>Access and route-opening group</x:v>
      </x:c>
      <x:c r="C10" s="103" t="n">
        <x:f>Inventory!I10</x:f>
        <x:v>121</x:v>
      </x:c>
      <x:c r="D10" s="103" t="n">
        <x:f>'Package Matrix'!N10</x:f>
        <x:v>70</x:v>
      </x:c>
      <x:c r="E10" s="103" t="n">
        <x:f>C10*Controls!B7</x:f>
        <x:v>18.15</x:v>
      </x:c>
      <x:c r="F10" s="103" t="n">
        <x:f>C10*Controls!B8</x:f>
        <x:v>24.200000000000003</x:v>
      </x:c>
      <x:c r="G10" s="103" t="n">
        <x:f>C10-D10-E10-F10</x:f>
        <x:v>8.649999999999999</x:v>
      </x:c>
      <x:c r="H10" s="103" t="n">
        <x:f>D10*Controls!B5</x:f>
        <x:v>14</x:v>
      </x:c>
      <x:c r="I10" s="57" t="str">
        <x:v>Counts are planning equivalents before integer component assignments</x:v>
      </x:c>
    </x:row>
    <x:row r="11">
      <x:c r="A11" s="76" t="str">
        <x:v>L-HCG</x:v>
      </x:c>
      <x:c r="B11" s="76" t="str">
        <x:v>Flood and hydraulic-control group</x:v>
      </x:c>
      <x:c r="C11" s="103" t="n">
        <x:f>Inventory!I11</x:f>
        <x:v>86</x:v>
      </x:c>
      <x:c r="D11" s="103" t="n">
        <x:f>'Package Matrix'!N11</x:f>
        <x:v>50</x:v>
      </x:c>
      <x:c r="E11" s="103" t="n">
        <x:f>C11*Controls!B7</x:f>
        <x:v>12.9</x:v>
      </x:c>
      <x:c r="F11" s="103" t="n">
        <x:f>C11*Controls!B8</x:f>
        <x:v>17.2</x:v>
      </x:c>
      <x:c r="G11" s="103" t="n">
        <x:f>C11-D11-E11-F11</x:f>
        <x:v>5.900000000000002</x:v>
      </x:c>
      <x:c r="H11" s="103" t="n">
        <x:f>D11*Controls!B5</x:f>
        <x:v>10</x:v>
      </x:c>
      <x:c r="I11" s="76" t="str">
        <x:v>Counts are planning equivalents before integer component assignments</x:v>
      </x:c>
    </x:row>
    <x:row r="12">
      <x:c r="A12" s="57" t="str">
        <x:v>L-DMG</x:v>
      </x:c>
      <x:c r="B12" s="57" t="str">
        <x:v>Debris and materials group</x:v>
      </x:c>
      <x:c r="C12" s="103" t="n">
        <x:f>Inventory!I12</x:f>
        <x:v>112</x:v>
      </x:c>
      <x:c r="D12" s="103" t="n">
        <x:f>'Package Matrix'!N12</x:f>
        <x:v>65</x:v>
      </x:c>
      <x:c r="E12" s="103" t="n">
        <x:f>C12*Controls!B7</x:f>
        <x:v>16.8</x:v>
      </x:c>
      <x:c r="F12" s="103" t="n">
        <x:f>C12*Controls!B8</x:f>
        <x:v>22.400000000000002</x:v>
      </x:c>
      <x:c r="G12" s="103" t="n">
        <x:f>C12-D12-E12-F12</x:f>
        <x:v>7.799999999999997</x:v>
      </x:c>
      <x:c r="H12" s="103" t="n">
        <x:f>D12*Controls!B5</x:f>
        <x:v>13</x:v>
      </x:c>
      <x:c r="I12" s="57" t="str">
        <x:v>Counts are planning equivalents before integer component assignments</x:v>
      </x:c>
    </x:row>
    <x:row r="13">
      <x:c r="A13" s="76" t="str">
        <x:v>L-TWG</x:v>
      </x:c>
      <x:c r="B13" s="76" t="str">
        <x:v>Temporary works and crossing group</x:v>
      </x:c>
      <x:c r="C13" s="103" t="n">
        <x:f>Inventory!I13</x:f>
        <x:v>91</x:v>
      </x:c>
      <x:c r="D13" s="103" t="n">
        <x:f>'Package Matrix'!N13</x:f>
        <x:v>53</x:v>
      </x:c>
      <x:c r="E13" s="103" t="n">
        <x:f>C13*Controls!B7</x:f>
        <x:v>13.65</x:v>
      </x:c>
      <x:c r="F13" s="103" t="n">
        <x:f>C13*Controls!B8</x:f>
        <x:v>18.2</x:v>
      </x:c>
      <x:c r="G13" s="103" t="n">
        <x:f>C13-D13-E13-F13</x:f>
        <x:v>6.150000000000002</x:v>
      </x:c>
      <x:c r="H13" s="103" t="n">
        <x:f>D13*Controls!B5</x:f>
        <x:v>10.600000000000001</x:v>
      </x:c>
      <x:c r="I13" s="76" t="str">
        <x:v>Counts are planning equivalents before integer component assignments</x:v>
      </x:c>
    </x:row>
    <x:row r="14">
      <x:c r="A14" s="57" t="str">
        <x:v>L-GFG</x:v>
      </x:c>
      <x:c r="B14" s="57" t="str">
        <x:v>Ground fire and landscape group</x:v>
      </x:c>
      <x:c r="C14" s="103" t="n">
        <x:f>Inventory!I14</x:f>
        <x:v>57</x:v>
      </x:c>
      <x:c r="D14" s="103" t="n">
        <x:f>'Package Matrix'!N14</x:f>
        <x:v>33</x:v>
      </x:c>
      <x:c r="E14" s="103" t="n">
        <x:f>C14*Controls!B7</x:f>
        <x:v>8.549999999999999</x:v>
      </x:c>
      <x:c r="F14" s="103" t="n">
        <x:f>C14*Controls!B8</x:f>
        <x:v>11.4</x:v>
      </x:c>
      <x:c r="G14" s="103" t="n">
        <x:f>C14-D14-E14-F14</x:f>
        <x:v>4.050000000000001</x:v>
      </x:c>
      <x:c r="H14" s="103" t="n">
        <x:f>D14*Controls!B5</x:f>
        <x:v>6.6000000000000005</x:v>
      </x:c>
      <x:c r="I14" s="57" t="str">
        <x:v>Counts are planning equivalents before integer component assignments</x:v>
      </x:c>
    </x:row>
    <x:row r="15">
      <x:c r="A15" s="76" t="str">
        <x:v>A-SMW</x:v>
      </x:c>
      <x:c r="B15" s="76" t="str">
        <x:v>Strategic mobility wing</x:v>
      </x:c>
      <x:c r="C15" s="103" t="n">
        <x:f>Inventory!I15</x:f>
        <x:v>58</x:v>
      </x:c>
      <x:c r="D15" s="103" t="n">
        <x:f>'Package Matrix'!N15</x:f>
        <x:v>31</x:v>
      </x:c>
      <x:c r="E15" s="103" t="n">
        <x:f>C15*Controls!B7</x:f>
        <x:v>8.7</x:v>
      </x:c>
      <x:c r="F15" s="103" t="n">
        <x:f>C15*Controls!B8</x:f>
        <x:v>11.600000000000001</x:v>
      </x:c>
      <x:c r="G15" s="103" t="n">
        <x:f>C15-D15-E15-F15</x:f>
        <x:v>6.699999999999999</x:v>
      </x:c>
      <x:c r="H15" s="103" t="n">
        <x:f>D15*Controls!B5</x:f>
        <x:v>6.2</x:v>
      </x:c>
      <x:c r="I15" s="76" t="str">
        <x:v>Counts are planning equivalents before integer component assignments</x:v>
      </x:c>
    </x:row>
    <x:row r="16">
      <x:c r="A16" s="57" t="str">
        <x:v>A-AAG</x:v>
      </x:c>
      <x:c r="B16" s="57" t="str">
        <x:v>Austere air-access group</x:v>
      </x:c>
      <x:c r="C16" s="103" t="n">
        <x:f>Inventory!I16</x:f>
        <x:v>67</x:v>
      </x:c>
      <x:c r="D16" s="103" t="n">
        <x:f>'Package Matrix'!N16</x:f>
        <x:v>36</x:v>
      </x:c>
      <x:c r="E16" s="103" t="n">
        <x:f>C16*Controls!B7</x:f>
        <x:v>10.049999999999999</x:v>
      </x:c>
      <x:c r="F16" s="103" t="n">
        <x:f>C16*Controls!B8</x:f>
        <x:v>13.4</x:v>
      </x:c>
      <x:c r="G16" s="103" t="n">
        <x:f>C16-D16-E16-F16</x:f>
        <x:v>7.5500000000000025</x:v>
      </x:c>
      <x:c r="H16" s="103" t="n">
        <x:f>D16*Controls!B5</x:f>
        <x:v>7.2</x:v>
      </x:c>
      <x:c r="I16" s="57" t="str">
        <x:v>Counts are planning equivalents before integer component assignments</x:v>
      </x:c>
    </x:row>
    <x:row r="17">
      <x:c r="A17" s="76" t="str">
        <x:v>A-AHW</x:v>
      </x:c>
      <x:c r="B17" s="76" t="str">
        <x:v>Aerial hazard-control wing</x:v>
      </x:c>
      <x:c r="C17" s="103" t="n">
        <x:f>Inventory!I17</x:f>
        <x:v>41</x:v>
      </x:c>
      <x:c r="D17" s="103" t="n">
        <x:f>'Package Matrix'!N17</x:f>
        <x:v>22</x:v>
      </x:c>
      <x:c r="E17" s="103" t="n">
        <x:f>C17*Controls!B7</x:f>
        <x:v>6.1499999999999995</x:v>
      </x:c>
      <x:c r="F17" s="103" t="n">
        <x:f>C17*Controls!B8</x:f>
        <x:v>8.200000000000001</x:v>
      </x:c>
      <x:c r="G17" s="103" t="n">
        <x:f>C17-D17-E17-F17</x:f>
        <x:v>4.65</x:v>
      </x:c>
      <x:c r="H17" s="103" t="n">
        <x:f>D17*Controls!B5</x:f>
        <x:v>4.4</x:v>
      </x:c>
      <x:c r="I17" s="76" t="str">
        <x:v>Counts are planning equivalents before integer component assignments</x:v>
      </x:c>
    </x:row>
    <x:row r="18">
      <x:c r="A18" s="57" t="str">
        <x:v>A-TDG</x:v>
      </x:c>
      <x:c r="B18" s="57" t="str">
        <x:v>Tactical distribution group</x:v>
      </x:c>
      <x:c r="C18" s="103" t="n">
        <x:f>Inventory!I18</x:f>
        <x:v>108</x:v>
      </x:c>
      <x:c r="D18" s="103" t="n">
        <x:f>'Package Matrix'!N18</x:f>
        <x:v>58</x:v>
      </x:c>
      <x:c r="E18" s="103" t="n">
        <x:f>C18*Controls!B7</x:f>
        <x:v>16.2</x:v>
      </x:c>
      <x:c r="F18" s="103" t="n">
        <x:f>C18*Controls!B8</x:f>
        <x:v>21.6</x:v>
      </x:c>
      <x:c r="G18" s="103" t="n">
        <x:f>C18-D18-E18-F18</x:f>
        <x:v>12.199999999999996</x:v>
      </x:c>
      <x:c r="H18" s="103" t="n">
        <x:f>D18*Controls!B5</x:f>
        <x:v>11.600000000000001</x:v>
      </x:c>
      <x:c r="I18" s="57" t="str">
        <x:v>Counts are planning equivalents before integer component assignments</x:v>
      </x:c>
    </x:row>
    <x:row r="19">
      <x:c r="A19" s="76" t="str">
        <x:v>A-SRG</x:v>
      </x:c>
      <x:c r="B19" s="76" t="str">
        <x:v>Air sensing and relay group</x:v>
      </x:c>
      <x:c r="C19" s="103" t="n">
        <x:f>Inventory!I19</x:f>
        <x:v>74</x:v>
      </x:c>
      <x:c r="D19" s="103" t="n">
        <x:f>'Package Matrix'!N19</x:f>
        <x:v>40</x:v>
      </x:c>
      <x:c r="E19" s="103" t="n">
        <x:f>C19*Controls!B7</x:f>
        <x:v>11.1</x:v>
      </x:c>
      <x:c r="F19" s="103" t="n">
        <x:f>C19*Controls!B8</x:f>
        <x:v>14.8</x:v>
      </x:c>
      <x:c r="G19" s="103" t="n">
        <x:f>C19-D19-E19-F19</x:f>
        <x:v>8.099999999999998</x:v>
      </x:c>
      <x:c r="H19" s="103" t="n">
        <x:f>D19*Controls!B5</x:f>
        <x:v>8</x:v>
      </x:c>
      <x:c r="I19" s="76" t="str">
        <x:v>Counts are planning equivalents before integer component assignments</x:v>
      </x:c>
    </x:row>
    <x:row r="20">
      <x:c r="A20" s="57" t="str">
        <x:v>A-AMG</x:v>
      </x:c>
      <x:c r="B20" s="57" t="str">
        <x:v>Aeromedical movement group</x:v>
      </x:c>
      <x:c r="C20" s="103" t="n">
        <x:f>Inventory!I20</x:f>
        <x:v>58</x:v>
      </x:c>
      <x:c r="D20" s="103" t="n">
        <x:f>'Package Matrix'!N20</x:f>
        <x:v>31</x:v>
      </x:c>
      <x:c r="E20" s="103" t="n">
        <x:f>C20*Controls!B7</x:f>
        <x:v>8.7</x:v>
      </x:c>
      <x:c r="F20" s="103" t="n">
        <x:f>C20*Controls!B8</x:f>
        <x:v>11.600000000000001</x:v>
      </x:c>
      <x:c r="G20" s="103" t="n">
        <x:f>C20-D20-E20-F20</x:f>
        <x:v>6.699999999999999</x:v>
      </x:c>
      <x:c r="H20" s="103" t="n">
        <x:f>D20*Controls!B5</x:f>
        <x:v>6.2</x:v>
      </x:c>
      <x:c r="I20" s="57" t="str">
        <x:v>Counts are planning equivalents before integer component assignments</x:v>
      </x:c>
    </x:row>
    <x:row r="21">
      <x:c r="A21" s="76" t="str">
        <x:v>M-POG</x:v>
      </x:c>
      <x:c r="B21" s="76" t="str">
        <x:v>Port-opening group</x:v>
      </x:c>
      <x:c r="C21" s="103" t="n">
        <x:f>Inventory!I21</x:f>
        <x:v>60</x:v>
      </x:c>
      <x:c r="D21" s="103" t="n">
        <x:f>'Package Matrix'!N21</x:f>
        <x:v>32</x:v>
      </x:c>
      <x:c r="E21" s="103" t="n">
        <x:f>C21*Controls!B7</x:f>
        <x:v>9</x:v>
      </x:c>
      <x:c r="F21" s="103" t="n">
        <x:f>C21*Controls!B8</x:f>
        <x:v>12</x:v>
      </x:c>
      <x:c r="G21" s="103" t="n">
        <x:f>C21-D21-E21-F21</x:f>
        <x:v>7</x:v>
      </x:c>
      <x:c r="H21" s="103" t="n">
        <x:f>D21*Controls!B5</x:f>
        <x:v>6.4</x:v>
      </x:c>
      <x:c r="I21" s="76" t="str">
        <x:v>Counts are planning equivalents before integer component assignments</x:v>
      </x:c>
    </x:row>
    <x:row r="22">
      <x:c r="A22" s="57" t="str">
        <x:v>M-LAG</x:v>
      </x:c>
      <x:c r="B22" s="57" t="str">
        <x:v>Littoral-access group</x:v>
      </x:c>
      <x:c r="C22" s="103" t="n">
        <x:f>Inventory!I22</x:f>
        <x:v>69</x:v>
      </x:c>
      <x:c r="D22" s="103" t="n">
        <x:f>'Package Matrix'!N22</x:f>
        <x:v>37</x:v>
      </x:c>
      <x:c r="E22" s="103" t="n">
        <x:f>C22*Controls!B7</x:f>
        <x:v>10.35</x:v>
      </x:c>
      <x:c r="F22" s="103" t="n">
        <x:f>C22*Controls!B8</x:f>
        <x:v>13.8</x:v>
      </x:c>
      <x:c r="G22" s="103" t="n">
        <x:f>C22-D22-E22-F22</x:f>
        <x:v>7.849999999999998</x:v>
      </x:c>
      <x:c r="H22" s="103" t="n">
        <x:f>D22*Controls!B5</x:f>
        <x:v>7.4</x:v>
      </x:c>
      <x:c r="I22" s="57" t="str">
        <x:v>Counts are planning equivalents before integer component assignments</x:v>
      </x:c>
    </x:row>
    <x:row r="23">
      <x:c r="A23" s="76" t="str">
        <x:v>M-IWG</x:v>
      </x:c>
      <x:c r="B23" s="76" t="str">
        <x:v>Inland-waterway group</x:v>
      </x:c>
      <x:c r="C23" s="103" t="n">
        <x:f>Inventory!I23</x:f>
        <x:v>54</x:v>
      </x:c>
      <x:c r="D23" s="103" t="n">
        <x:f>'Package Matrix'!N23</x:f>
        <x:v>29</x:v>
      </x:c>
      <x:c r="E23" s="103" t="n">
        <x:f>C23*Controls!B7</x:f>
        <x:v>8.1</x:v>
      </x:c>
      <x:c r="F23" s="103" t="n">
        <x:f>C23*Controls!B8</x:f>
        <x:v>10.8</x:v>
      </x:c>
      <x:c r="G23" s="103" t="n">
        <x:f>C23-D23-E23-F23</x:f>
        <x:v>6.099999999999998</x:v>
      </x:c>
      <x:c r="H23" s="103" t="n">
        <x:f>D23*Controls!B5</x:f>
        <x:v>5.800000000000001</x:v>
      </x:c>
      <x:c r="I23" s="76" t="str">
        <x:v>Counts are planning equivalents before integer component assignments</x:v>
      </x:c>
    </x:row>
    <x:row r="24">
      <x:c r="A24" s="57" t="str">
        <x:v>M-OSG</x:v>
      </x:c>
      <x:c r="B24" s="57" t="str">
        <x:v>Offshore-support group</x:v>
      </x:c>
      <x:c r="C24" s="103" t="n">
        <x:f>Inventory!I24</x:f>
        <x:v>45</x:v>
      </x:c>
      <x:c r="D24" s="103" t="n">
        <x:f>'Package Matrix'!N24</x:f>
        <x:v>24</x:v>
      </x:c>
      <x:c r="E24" s="103" t="n">
        <x:f>C24*Controls!B7</x:f>
        <x:v>6.75</x:v>
      </x:c>
      <x:c r="F24" s="103" t="n">
        <x:f>C24*Controls!B8</x:f>
        <x:v>9</x:v>
      </x:c>
      <x:c r="G24" s="103" t="n">
        <x:f>C24-D24-E24-F24</x:f>
        <x:v>5.25</x:v>
      </x:c>
      <x:c r="H24" s="103" t="n">
        <x:f>D24*Controls!B5</x:f>
        <x:v>4.800000000000001</x:v>
      </x:c>
      <x:c r="I24" s="57" t="str">
        <x:v>Counts are planning equivalents before integer component assignments</x:v>
      </x:c>
    </x:row>
    <x:row r="25">
      <x:c r="A25" s="76" t="str">
        <x:v>M-SSG</x:v>
      </x:c>
      <x:c r="B25" s="76" t="str">
        <x:v>Ocean sustainment group</x:v>
      </x:c>
      <x:c r="C25" s="103" t="n">
        <x:f>Inventory!I25</x:f>
        <x:v>71</x:v>
      </x:c>
      <x:c r="D25" s="103" t="n">
        <x:f>'Package Matrix'!N25</x:f>
        <x:v>38</x:v>
      </x:c>
      <x:c r="E25" s="103" t="n">
        <x:f>C25*Controls!B7</x:f>
        <x:v>10.65</x:v>
      </x:c>
      <x:c r="F25" s="103" t="n">
        <x:f>C25*Controls!B8</x:f>
        <x:v>14.200000000000001</x:v>
      </x:c>
      <x:c r="G25" s="103" t="n">
        <x:f>C25-D25-E25-F25</x:f>
        <x:v>8.15</x:v>
      </x:c>
      <x:c r="H25" s="103" t="n">
        <x:f>D25*Controls!B5</x:f>
        <x:v>7.6000000000000005</x:v>
      </x:c>
      <x:c r="I25" s="76" t="str">
        <x:v>Counts are planning equivalents before integer component assignments</x:v>
      </x:c>
    </x:row>
    <x:row r="26">
      <x:c r="A26" s="57" t="str">
        <x:v>I-UPG</x:v>
      </x:c>
      <x:c r="B26" s="57" t="str">
        <x:v>Utility projection group</x:v>
      </x:c>
      <x:c r="C26" s="103" t="n">
        <x:f>Inventory!I26</x:f>
        <x:v>131</x:v>
      </x:c>
      <x:c r="D26" s="103" t="n">
        <x:f>'Package Matrix'!N26</x:f>
        <x:v>76</x:v>
      </x:c>
      <x:c r="E26" s="103" t="n">
        <x:f>C26*Controls!B7</x:f>
        <x:v>19.65</x:v>
      </x:c>
      <x:c r="F26" s="103" t="n">
        <x:f>C26*Controls!B8</x:f>
        <x:v>26.200000000000003</x:v>
      </x:c>
      <x:c r="G26" s="103" t="n">
        <x:f>C26-D26-E26-F26</x:f>
        <x:v>9.149999999999999</x:v>
      </x:c>
      <x:c r="H26" s="103" t="n">
        <x:f>D26*Controls!B5</x:f>
        <x:v>15.200000000000001</x:v>
      </x:c>
      <x:c r="I26" s="57" t="str">
        <x:v>Counts are planning equivalents before integer component assignments</x:v>
      </x:c>
    </x:row>
    <x:row r="27">
      <x:c r="A27" s="76" t="str">
        <x:v>I-CUG</x:v>
      </x:c>
      <x:c r="B27" s="76" t="str">
        <x:v>Communications utility group</x:v>
      </x:c>
      <x:c r="C27" s="103" t="n">
        <x:f>Inventory!I27</x:f>
        <x:v>102</x:v>
      </x:c>
      <x:c r="D27" s="103" t="n">
        <x:f>'Package Matrix'!N27</x:f>
        <x:v>59</x:v>
      </x:c>
      <x:c r="E27" s="103" t="n">
        <x:f>C27*Controls!B7</x:f>
        <x:v>15.299999999999999</x:v>
      </x:c>
      <x:c r="F27" s="103" t="n">
        <x:f>C27*Controls!B8</x:f>
        <x:v>20.400000000000002</x:v>
      </x:c>
      <x:c r="G27" s="103" t="n">
        <x:f>C27-D27-E27-F27</x:f>
        <x:v>7.300000000000001</x:v>
      </x:c>
      <x:c r="H27" s="103" t="n">
        <x:f>D27*Controls!B5</x:f>
        <x:v>11.8</x:v>
      </x:c>
      <x:c r="I27" s="76" t="str">
        <x:v>Counts are planning equivalents before integer component assignments</x:v>
      </x:c>
    </x:row>
    <x:row r="28">
      <x:c r="A28" s="57" t="str">
        <x:v>I-TSG</x:v>
      </x:c>
      <x:c r="B28" s="57" t="str">
        <x:v>Thermal safety group</x:v>
      </x:c>
      <x:c r="C28" s="103" t="n">
        <x:f>Inventory!I28</x:f>
        <x:v>108</x:v>
      </x:c>
      <x:c r="D28" s="103" t="n">
        <x:f>'Package Matrix'!N28</x:f>
        <x:v>63</x:v>
      </x:c>
      <x:c r="E28" s="103" t="n">
        <x:f>C28*Controls!B7</x:f>
        <x:v>16.2</x:v>
      </x:c>
      <x:c r="F28" s="103" t="n">
        <x:f>C28*Controls!B8</x:f>
        <x:v>21.6</x:v>
      </x:c>
      <x:c r="G28" s="103" t="n">
        <x:f>C28-D28-E28-F28</x:f>
        <x:v>7.199999999999999</x:v>
      </x:c>
      <x:c r="H28" s="103" t="n">
        <x:f>D28*Controls!B5</x:f>
        <x:v>12.600000000000001</x:v>
      </x:c>
      <x:c r="I28" s="57" t="str">
        <x:v>Counts are planning equivalents before integer component assignments</x:v>
      </x:c>
    </x:row>
    <x:row r="29">
      <x:c r="A29" s="76" t="str">
        <x:v>I-URG</x:v>
      </x:c>
      <x:c r="B29" s="76" t="str">
        <x:v>Utility reconstruction group</x:v>
      </x:c>
      <x:c r="C29" s="103" t="n">
        <x:f>Inventory!I29</x:f>
        <x:v>126</x:v>
      </x:c>
      <x:c r="D29" s="103" t="n">
        <x:f>'Package Matrix'!N29</x:f>
        <x:v>73</x:v>
      </x:c>
      <x:c r="E29" s="103" t="n">
        <x:f>C29*Controls!B7</x:f>
        <x:v>18.9</x:v>
      </x:c>
      <x:c r="F29" s="103" t="n">
        <x:f>C29*Controls!B8</x:f>
        <x:v>25.200000000000003</x:v>
      </x:c>
      <x:c r="G29" s="103" t="n">
        <x:f>C29-D29-E29-F29</x:f>
        <x:v>8.899999999999999</x:v>
      </x:c>
      <x:c r="H29" s="103" t="n">
        <x:f>D29*Controls!B5</x:f>
        <x:v>14.600000000000001</x:v>
      </x:c>
      <x:c r="I29" s="76" t="str">
        <x:v>Counts are planning equivalents before integer component assignments</x:v>
      </x:c>
    </x:row>
    <x:row r="30">
      <x:c r="A30" s="57" t="str">
        <x:v>H-CHC</x:v>
      </x:c>
      <x:c r="B30" s="57" t="str">
        <x:v>Community health continuity group</x:v>
      </x:c>
      <x:c r="C30" s="103" t="n">
        <x:f>Inventory!I30</x:f>
        <x:v>139</x:v>
      </x:c>
      <x:c r="D30" s="103" t="n">
        <x:f>'Package Matrix'!N30</x:f>
        <x:v>75</x:v>
      </x:c>
      <x:c r="E30" s="103" t="n">
        <x:f>C30*Controls!B7</x:f>
        <x:v>20.849999999999998</x:v>
      </x:c>
      <x:c r="F30" s="103" t="n">
        <x:f>C30*Controls!B8</x:f>
        <x:v>27.8</x:v>
      </x:c>
      <x:c r="G30" s="103" t="n">
        <x:f>C30-D30-E30-F30</x:f>
        <x:v>15.350000000000005</x:v>
      </x:c>
      <x:c r="H30" s="103" t="n">
        <x:f>D30*Controls!B5</x:f>
        <x:v>15</x:v>
      </x:c>
      <x:c r="I30" s="57" t="str">
        <x:v>Counts are planning equivalents before integer component assignments</x:v>
      </x:c>
    </x:row>
    <x:row r="31">
      <x:c r="A31" s="76" t="str">
        <x:v>H-MAC</x:v>
      </x:c>
      <x:c r="B31" s="76" t="str">
        <x:v>Mobile acute-care group</x:v>
      </x:c>
      <x:c r="C31" s="103" t="n">
        <x:f>Inventory!I31</x:f>
        <x:v>91</x:v>
      </x:c>
      <x:c r="D31" s="103" t="n">
        <x:f>'Package Matrix'!N31</x:f>
        <x:v>49</x:v>
      </x:c>
      <x:c r="E31" s="103" t="n">
        <x:f>C31*Controls!B7</x:f>
        <x:v>13.65</x:v>
      </x:c>
      <x:c r="F31" s="103" t="n">
        <x:f>C31*Controls!B8</x:f>
        <x:v>18.2</x:v>
      </x:c>
      <x:c r="G31" s="103" t="n">
        <x:f>C31-D31-E31-F31</x:f>
        <x:v>10.150000000000002</x:v>
      </x:c>
      <x:c r="H31" s="103" t="n">
        <x:f>D31*Controls!B5</x:f>
        <x:v>9.8</x:v>
      </x:c>
      <x:c r="I31" s="76" t="str">
        <x:v>Counts are planning equivalents before integer component assignments</x:v>
      </x:c>
    </x:row>
    <x:row r="32">
      <x:c r="A32" s="57" t="str">
        <x:v>H-PHC</x:v>
      </x:c>
      <x:c r="B32" s="57" t="str">
        <x:v>Public-health control group</x:v>
      </x:c>
      <x:c r="C32" s="103" t="n">
        <x:f>Inventory!I32</x:f>
        <x:v>78</x:v>
      </x:c>
      <x:c r="D32" s="103" t="n">
        <x:f>'Package Matrix'!N32</x:f>
        <x:v>42</x:v>
      </x:c>
      <x:c r="E32" s="103" t="n">
        <x:f>C32*Controls!B7</x:f>
        <x:v>11.7</x:v>
      </x:c>
      <x:c r="F32" s="103" t="n">
        <x:f>C32*Controls!B8</x:f>
        <x:v>15.600000000000001</x:v>
      </x:c>
      <x:c r="G32" s="103" t="n">
        <x:f>C32-D32-E32-F32</x:f>
        <x:v>8.7</x:v>
      </x:c>
      <x:c r="H32" s="103" t="n">
        <x:f>D32*Controls!B5</x:f>
        <x:v>8.4</x:v>
      </x:c>
      <x:c r="I32" s="57" t="str">
        <x:v>Counts are planning equivalents before integer component assignments</x:v>
      </x:c>
    </x:row>
    <x:row r="33">
      <x:c r="A33" s="76" t="str">
        <x:v>H-HWR</x:v>
      </x:c>
      <x:c r="B33" s="76" t="str">
        <x:v>Health workforce replacement group</x:v>
      </x:c>
      <x:c r="C33" s="103" t="n">
        <x:f>Inventory!I33</x:f>
        <x:v>139</x:v>
      </x:c>
      <x:c r="D33" s="103" t="n">
        <x:f>'Package Matrix'!N33</x:f>
        <x:v>75</x:v>
      </x:c>
      <x:c r="E33" s="103" t="n">
        <x:f>C33*Controls!B7</x:f>
        <x:v>20.849999999999998</x:v>
      </x:c>
      <x:c r="F33" s="103" t="n">
        <x:f>C33*Controls!B8</x:f>
        <x:v>27.8</x:v>
      </x:c>
      <x:c r="G33" s="103" t="n">
        <x:f>C33-D33-E33-F33</x:f>
        <x:v>15.350000000000005</x:v>
      </x:c>
      <x:c r="H33" s="103" t="n">
        <x:f>D33*Controls!B5</x:f>
        <x:v>15</x:v>
      </x:c>
      <x:c r="I33" s="76" t="str">
        <x:v>Counts are planning equivalents before integer component assignments</x:v>
      </x:c>
    </x:row>
    <x:row r="34">
      <x:c r="A34" s="57" t="str">
        <x:v>C-PSG</x:v>
      </x:c>
      <x:c r="B34" s="57" t="str">
        <x:v>Population support group</x:v>
      </x:c>
      <x:c r="C34" s="103" t="n">
        <x:f>Inventory!I34</x:f>
        <x:v>173</x:v>
      </x:c>
      <x:c r="D34" s="103" t="n">
        <x:f>'Package Matrix'!N34</x:f>
        <x:v>108</x:v>
      </x:c>
      <x:c r="E34" s="103" t="n">
        <x:f>C34*Controls!B7</x:f>
        <x:v>25.95</x:v>
      </x:c>
      <x:c r="F34" s="103" t="n">
        <x:f>C34*Controls!B8</x:f>
        <x:v>34.6</x:v>
      </x:c>
      <x:c r="G34" s="103" t="n">
        <x:f>C34-D34-E34-F34</x:f>
        <x:v>4.449999999999996</x:v>
      </x:c>
      <x:c r="H34" s="103" t="n">
        <x:f>D34*Controls!B5</x:f>
        <x:v>21.6</x:v>
      </x:c>
      <x:c r="I34" s="57" t="str">
        <x:v>Counts are planning equivalents before integer component assignments</x:v>
      </x:c>
    </x:row>
    <x:row r="35">
      <x:c r="A35" s="76" t="str">
        <x:v>C-EGG</x:v>
      </x:c>
      <x:c r="B35" s="76" t="str">
        <x:v>Essential-goods group</x:v>
      </x:c>
      <x:c r="C35" s="103" t="n">
        <x:f>Inventory!I35</x:f>
        <x:v>173</x:v>
      </x:c>
      <x:c r="D35" s="103" t="n">
        <x:f>'Package Matrix'!N35</x:f>
        <x:v>108</x:v>
      </x:c>
      <x:c r="E35" s="103" t="n">
        <x:f>C35*Controls!B7</x:f>
        <x:v>25.95</x:v>
      </x:c>
      <x:c r="F35" s="103" t="n">
        <x:f>C35*Controls!B8</x:f>
        <x:v>34.6</x:v>
      </x:c>
      <x:c r="G35" s="103" t="n">
        <x:f>C35-D35-E35-F35</x:f>
        <x:v>4.449999999999996</x:v>
      </x:c>
      <x:c r="H35" s="103" t="n">
        <x:f>D35*Controls!B5</x:f>
        <x:v>21.6</x:v>
      </x:c>
      <x:c r="I35" s="76" t="str">
        <x:v>Counts are planning equivalents before integer component assignments</x:v>
      </x:c>
    </x:row>
    <x:row r="36">
      <x:c r="A36" s="57" t="str">
        <x:v>C-CAG</x:v>
      </x:c>
      <x:c r="B36" s="57" t="str">
        <x:v>Civil access group</x:v>
      </x:c>
      <x:c r="C36" s="103" t="n">
        <x:f>Inventory!I36</x:f>
        <x:v>132</x:v>
      </x:c>
      <x:c r="D36" s="103" t="n">
        <x:f>'Package Matrix'!N36</x:f>
        <x:v>82</x:v>
      </x:c>
      <x:c r="E36" s="103" t="n">
        <x:f>C36*Controls!B7</x:f>
        <x:v>19.8</x:v>
      </x:c>
      <x:c r="F36" s="103" t="n">
        <x:f>C36*Controls!B8</x:f>
        <x:v>26.400000000000002</x:v>
      </x:c>
      <x:c r="G36" s="103" t="n">
        <x:f>C36-D36-E36-F36</x:f>
        <x:v>3.799999999999997</x:v>
      </x:c>
      <x:c r="H36" s="103" t="n">
        <x:f>D36*Controls!B5</x:f>
        <x:v>16.400000000000002</x:v>
      </x:c>
      <x:c r="I36" s="57" t="str">
        <x:v>Counts are planning equivalents before integer component assignments</x:v>
      </x:c>
    </x:row>
    <x:row r="37">
      <x:c r="A37" s="76" t="str">
        <x:v>C-DTG</x:v>
      </x:c>
      <x:c r="B37" s="76" t="str">
        <x:v>Displacement transition group</x:v>
      </x:c>
      <x:c r="C37" s="103" t="n">
        <x:f>Inventory!I37</x:f>
        <x:v>127</x:v>
      </x:c>
      <x:c r="D37" s="103" t="n">
        <x:f>'Package Matrix'!N37</x:f>
        <x:v>79</x:v>
      </x:c>
      <x:c r="E37" s="103" t="n">
        <x:f>C37*Controls!B7</x:f>
        <x:v>19.05</x:v>
      </x:c>
      <x:c r="F37" s="103" t="n">
        <x:f>C37*Controls!B8</x:f>
        <x:v>25.400000000000002</x:v>
      </x:c>
      <x:c r="G37" s="103" t="n">
        <x:f>C37-D37-E37-F37</x:f>
        <x:v>3.549999999999997</x:v>
      </x:c>
      <x:c r="H37" s="103" t="n">
        <x:f>D37*Controls!B5</x:f>
        <x:v>15.8</x:v>
      </x:c>
      <x:c r="I37" s="76" t="str">
        <x:v>Counts are planning equivalents before integer component assignments</x:v>
      </x:c>
    </x:row>
    <x:row r="38">
      <x:c r="A38" s="57" t="str">
        <x:v>C-CIG</x:v>
      </x:c>
      <x:c r="B38" s="57" t="str">
        <x:v>Community institutions group</x:v>
      </x:c>
      <x:c r="C38" s="103" t="n">
        <x:f>Inventory!I38</x:f>
        <x:v>106</x:v>
      </x:c>
      <x:c r="D38" s="103" t="n">
        <x:f>'Package Matrix'!N38</x:f>
        <x:v>66</x:v>
      </x:c>
      <x:c r="E38" s="103" t="n">
        <x:f>C38*Controls!B7</x:f>
        <x:v>15.899999999999999</x:v>
      </x:c>
      <x:c r="F38" s="103" t="n">
        <x:f>C38*Controls!B8</x:f>
        <x:v>21.200000000000003</x:v>
      </x:c>
      <x:c r="G38" s="103" t="n">
        <x:f>C38-D38-E38-F38</x:f>
        <x:v>2.8999999999999986</x:v>
      </x:c>
      <x:c r="H38" s="103" t="n">
        <x:f>D38*Controls!B5</x:f>
        <x:v>13.200000000000001</x:v>
      </x:c>
      <x:c r="I38" s="57" t="str">
        <x:v>Counts are planning equivalents before integer component assignments</x:v>
      </x:c>
    </x:row>
  </x:sheetData>
  <x:mergeCells>
    <x:mergeCell ref="A1:I1"/>
    <x:mergeCell ref="A2:I2"/>
  </x:mergeCells>
  <x:conditionalFormatting sqref="G5:G38">
    <x:cfRule type="cellIs" dxfId="16" priority="1" operator="lessThan">
      <x:formula>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50" t="str">
        <x:v>Component Credit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</x:row>
    <x:row r="2" ht="24" customHeight="1">
      <x:c r="A2" s="52" t="str">
        <x:v>Selected inventory is distributed by component and tested against early, enduring and global obligations.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</x:row>
    <x:row r="4" ht="32" customHeight="1">
      <x:c r="A4" s="59" t="str">
        <x:v>ID</x:v>
      </x:c>
      <x:c r="B4" s="60" t="str">
        <x:v>Formation</x:v>
      </x:c>
      <x:c r="C4" s="60" t="str">
        <x:v>Permanent federal</x:v>
      </x:c>
      <x:c r="D4" s="60" t="str">
        <x:v>Federal reserve</x:v>
      </x:c>
      <x:c r="E4" s="60" t="str">
        <x:v>State / territorial</x:v>
      </x:c>
      <x:c r="F4" s="60" t="str">
        <x:v>Certified industry</x:v>
      </x:c>
      <x:c r="G4" s="60" t="str">
        <x:v>Partner / allied</x:v>
      </x:c>
      <x:c r="H4" s="60" t="str">
        <x:v>R3 credited</x:v>
      </x:c>
      <x:c r="I4" s="60" t="str">
        <x:v>R3 required</x:v>
      </x:c>
      <x:c r="J4" s="60" t="str">
        <x:v>R5 credited</x:v>
      </x:c>
      <x:c r="K4" s="60" t="str">
        <x:v>R5 required</x:v>
      </x:c>
      <x:c r="L4" s="60" t="str">
        <x:v>Global credited</x:v>
      </x:c>
      <x:c r="M4" s="61" t="str">
        <x:v>Global required</x:v>
      </x:c>
    </x:row>
    <x:row r="5">
      <x:c r="A5" s="76" t="str">
        <x:v>J-CIE</x:v>
      </x:c>
      <x:c r="B5" s="76" t="str">
        <x:v>Civil integration and effects group</x:v>
      </x:c>
      <x:c r="C5" s="103" t="n">
        <x:f>Inventory!I5*'Component Mix'!C5</x:f>
        <x:v>31.799999999999997</x:v>
      </x:c>
      <x:c r="D5" s="103" t="n">
        <x:f>Inventory!I5*'Component Mix'!D5</x:f>
        <x:v>10.600000000000001</x:v>
      </x:c>
      <x:c r="E5" s="103" t="n">
        <x:f>Inventory!I5*'Component Mix'!E5</x:f>
        <x:v>5.300000000000001</x:v>
      </x:c>
      <x:c r="F5" s="103" t="n">
        <x:f>Inventory!I5*'Component Mix'!F5</x:f>
        <x:v>2.6500000000000004</x:v>
      </x:c>
      <x:c r="G5" s="103" t="n">
        <x:f>Inventory!I5*'Component Mix'!G5</x:f>
        <x:v>2.6500000000000004</x:v>
      </x:c>
      <x:c r="H5" s="103" t="n">
        <x:f>C5*'Component Doctrine'!C$5+D5*'Component Doctrine'!C$6+E5*'Component Doctrine'!C$7+F5*'Component Doctrine'!C$8+G5*'Component Doctrine'!C$9</x:f>
        <x:v>40.6775</x:v>
      </x:c>
      <x:c r="I5" s="103" t="n">
        <x:f>'Package Matrix'!N5*'Formation Catalog'!K5*(1+Controls!B5)</x:f>
        <x:v>26.52</x:v>
      </x:c>
      <x:c r="J5" s="103" t="n">
        <x:f>C5*'Component Doctrine'!D$5+D5*'Component Doctrine'!D$6+E5*'Component Doctrine'!D$7+F5*'Component Doctrine'!D$8+G5*'Component Doctrine'!D$9</x:f>
        <x:v>45.9775</x:v>
      </x:c>
      <x:c r="K5" s="103" t="n">
        <x:f>Inventory!D5</x:f>
        <x:v>40.8</x:v>
      </x:c>
      <x:c r="L5" s="103" t="n">
        <x:f>C5*'Component Doctrine'!E$5+D5*'Component Doctrine'!E$6+E5*'Component Doctrine'!E$7+F5*'Component Doctrine'!E$8+G5*'Component Doctrine'!E$9</x:f>
        <x:v>45.05</x:v>
      </x:c>
      <x:c r="M5" s="103" t="n">
        <x:f>'Package Matrix'!O5*(1+Controls!B5)</x:f>
        <x:v>9.6</x:v>
      </x:c>
    </x:row>
    <x:row r="6">
      <x:c r="A6" s="57" t="str">
        <x:v>J-TOC</x:v>
      </x:c>
      <x:c r="B6" s="57" t="str">
        <x:v>Theater-opening command</x:v>
      </x:c>
      <x:c r="C6" s="103" t="n">
        <x:f>Inventory!I6*'Component Mix'!C6</x:f>
        <x:v>21.599999999999998</x:v>
      </x:c>
      <x:c r="D6" s="103" t="n">
        <x:f>Inventory!I6*'Component Mix'!D6</x:f>
        <x:v>7.2</x:v>
      </x:c>
      <x:c r="E6" s="103" t="n">
        <x:f>Inventory!I6*'Component Mix'!E6</x:f>
        <x:v>3.6</x:v>
      </x:c>
      <x:c r="F6" s="103" t="n">
        <x:f>Inventory!I6*'Component Mix'!F6</x:f>
        <x:v>1.8</x:v>
      </x:c>
      <x:c r="G6" s="103" t="n">
        <x:f>Inventory!I6*'Component Mix'!G6</x:f>
        <x:v>1.8</x:v>
      </x:c>
      <x:c r="H6" s="103" t="n">
        <x:f>C6*'Component Doctrine'!C$5+D6*'Component Doctrine'!C$6+E6*'Component Doctrine'!C$7+F6*'Component Doctrine'!C$8+G6*'Component Doctrine'!C$9</x:f>
        <x:v>27.629999999999995</x:v>
      </x:c>
      <x:c r="I6" s="103" t="n">
        <x:f>'Package Matrix'!N6*'Formation Catalog'!K6*(1+Controls!B5)</x:f>
        <x:v>17.94</x:v>
      </x:c>
      <x:c r="J6" s="103" t="n">
        <x:f>C6*'Component Doctrine'!D$5+D6*'Component Doctrine'!D$6+E6*'Component Doctrine'!D$7+F6*'Component Doctrine'!D$8+G6*'Component Doctrine'!D$9</x:f>
        <x:v>31.229999999999997</x:v>
      </x:c>
      <x:c r="K6" s="103" t="n">
        <x:f>Inventory!D6</x:f>
        <x:v>27.599999999999998</x:v>
      </x:c>
      <x:c r="L6" s="103" t="n">
        <x:f>C6*'Component Doctrine'!E$5+D6*'Component Doctrine'!E$6+E6*'Component Doctrine'!E$7+F6*'Component Doctrine'!E$8+G6*'Component Doctrine'!E$9</x:f>
        <x:v>30.599999999999998</x:v>
      </x:c>
      <x:c r="M6" s="103" t="n">
        <x:f>'Package Matrix'!O6*(1+Controls!B5)</x:f>
        <x:v>7.199999999999999</x:v>
      </x:c>
    </x:row>
    <x:row r="7">
      <x:c r="A7" s="76" t="str">
        <x:v>J-TSC</x:v>
      </x:c>
      <x:c r="B7" s="76" t="str">
        <x:v>Theater sustainment command</x:v>
      </x:c>
      <x:c r="C7" s="103" t="n">
        <x:f>Inventory!I7*'Component Mix'!C7</x:f>
        <x:v>30.599999999999998</x:v>
      </x:c>
      <x:c r="D7" s="103" t="n">
        <x:f>Inventory!I7*'Component Mix'!D7</x:f>
        <x:v>10.200000000000001</x:v>
      </x:c>
      <x:c r="E7" s="103" t="n">
        <x:f>Inventory!I7*'Component Mix'!E7</x:f>
        <x:v>5.1000000000000005</x:v>
      </x:c>
      <x:c r="F7" s="103" t="n">
        <x:f>Inventory!I7*'Component Mix'!F7</x:f>
        <x:v>2.5500000000000003</x:v>
      </x:c>
      <x:c r="G7" s="103" t="n">
        <x:f>Inventory!I7*'Component Mix'!G7</x:f>
        <x:v>2.5500000000000003</x:v>
      </x:c>
      <x:c r="H7" s="103" t="n">
        <x:f>C7*'Component Doctrine'!C$5+D7*'Component Doctrine'!C$6+E7*'Component Doctrine'!C$7+F7*'Component Doctrine'!C$8+G7*'Component Doctrine'!C$9</x:f>
        <x:v>39.1425</x:v>
      </x:c>
      <x:c r="I7" s="103" t="n">
        <x:f>'Package Matrix'!N7*'Formation Catalog'!K7*(1+Controls!B5)</x:f>
        <x:v>25.74</x:v>
      </x:c>
      <x:c r="J7" s="103" t="n">
        <x:f>C7*'Component Doctrine'!D$5+D7*'Component Doctrine'!D$6+E7*'Component Doctrine'!D$7+F7*'Component Doctrine'!D$8+G7*'Component Doctrine'!D$9</x:f>
        <x:v>44.24250000000001</x:v>
      </x:c>
      <x:c r="K7" s="103" t="n">
        <x:f>Inventory!D7</x:f>
        <x:v>39.6</x:v>
      </x:c>
      <x:c r="L7" s="103" t="n">
        <x:f>C7*'Component Doctrine'!E$5+D7*'Component Doctrine'!E$6+E7*'Component Doctrine'!E$7+F7*'Component Doctrine'!E$8+G7*'Component Doctrine'!E$9</x:f>
        <x:v>43.35</x:v>
      </x:c>
      <x:c r="M7" s="103" t="n">
        <x:f>'Package Matrix'!O7*(1+Controls!B5)</x:f>
        <x:v>9.6</x:v>
      </x:c>
    </x:row>
    <x:row r="8">
      <x:c r="A8" s="57" t="str">
        <x:v>J-RRG</x:v>
      </x:c>
      <x:c r="B8" s="57" t="str">
        <x:v>Replacement and reconstitution group</x:v>
      </x:c>
      <x:c r="C8" s="103" t="n">
        <x:f>Inventory!I8*'Component Mix'!C8</x:f>
        <x:v>30.599999999999998</x:v>
      </x:c>
      <x:c r="D8" s="103" t="n">
        <x:f>Inventory!I8*'Component Mix'!D8</x:f>
        <x:v>10.200000000000001</x:v>
      </x:c>
      <x:c r="E8" s="103" t="n">
        <x:f>Inventory!I8*'Component Mix'!E8</x:f>
        <x:v>5.1000000000000005</x:v>
      </x:c>
      <x:c r="F8" s="103" t="n">
        <x:f>Inventory!I8*'Component Mix'!F8</x:f>
        <x:v>2.5500000000000003</x:v>
      </x:c>
      <x:c r="G8" s="103" t="n">
        <x:f>Inventory!I8*'Component Mix'!G8</x:f>
        <x:v>2.5500000000000003</x:v>
      </x:c>
      <x:c r="H8" s="103" t="n">
        <x:f>C8*'Component Doctrine'!C$5+D8*'Component Doctrine'!C$6+E8*'Component Doctrine'!C$7+F8*'Component Doctrine'!C$8+G8*'Component Doctrine'!C$9</x:f>
        <x:v>39.1425</x:v>
      </x:c>
      <x:c r="I8" s="103" t="n">
        <x:f>'Package Matrix'!N8*'Formation Catalog'!K8*(1+Controls!B5)</x:f>
        <x:v>25.74</x:v>
      </x:c>
      <x:c r="J8" s="103" t="n">
        <x:f>C8*'Component Doctrine'!D$5+D8*'Component Doctrine'!D$6+E8*'Component Doctrine'!D$7+F8*'Component Doctrine'!D$8+G8*'Component Doctrine'!D$9</x:f>
        <x:v>44.24250000000001</x:v>
      </x:c>
      <x:c r="K8" s="103" t="n">
        <x:f>Inventory!D8</x:f>
        <x:v>39.6</x:v>
      </x:c>
      <x:c r="L8" s="103" t="n">
        <x:f>C8*'Component Doctrine'!E$5+D8*'Component Doctrine'!E$6+E8*'Component Doctrine'!E$7+F8*'Component Doctrine'!E$8+G8*'Component Doctrine'!E$9</x:f>
        <x:v>43.35</x:v>
      </x:c>
      <x:c r="M8" s="103" t="n">
        <x:f>'Package Matrix'!O8*(1+Controls!B5)</x:f>
        <x:v>9.6</x:v>
      </x:c>
    </x:row>
    <x:row r="9">
      <x:c r="A9" s="76" t="str">
        <x:v>J-TDG</x:v>
      </x:c>
      <x:c r="B9" s="76" t="str">
        <x:v>Transfer and demobilization group</x:v>
      </x:c>
      <x:c r="C9" s="103" t="n">
        <x:f>Inventory!I9*'Component Mix'!C9</x:f>
        <x:v>21.599999999999998</x:v>
      </x:c>
      <x:c r="D9" s="103" t="n">
        <x:f>Inventory!I9*'Component Mix'!D9</x:f>
        <x:v>7.2</x:v>
      </x:c>
      <x:c r="E9" s="103" t="n">
        <x:f>Inventory!I9*'Component Mix'!E9</x:f>
        <x:v>3.6</x:v>
      </x:c>
      <x:c r="F9" s="103" t="n">
        <x:f>Inventory!I9*'Component Mix'!F9</x:f>
        <x:v>1.8</x:v>
      </x:c>
      <x:c r="G9" s="103" t="n">
        <x:f>Inventory!I9*'Component Mix'!G9</x:f>
        <x:v>1.8</x:v>
      </x:c>
      <x:c r="H9" s="103" t="n">
        <x:f>C9*'Component Doctrine'!C$5+D9*'Component Doctrine'!C$6+E9*'Component Doctrine'!C$7+F9*'Component Doctrine'!C$8+G9*'Component Doctrine'!C$9</x:f>
        <x:v>27.629999999999995</x:v>
      </x:c>
      <x:c r="I9" s="103" t="n">
        <x:f>'Package Matrix'!N9*'Formation Catalog'!K9*(1+Controls!B5)</x:f>
        <x:v>17.94</x:v>
      </x:c>
      <x:c r="J9" s="103" t="n">
        <x:f>C9*'Component Doctrine'!D$5+D9*'Component Doctrine'!D$6+E9*'Component Doctrine'!D$7+F9*'Component Doctrine'!D$8+G9*'Component Doctrine'!D$9</x:f>
        <x:v>31.229999999999997</x:v>
      </x:c>
      <x:c r="K9" s="103" t="n">
        <x:f>Inventory!D9</x:f>
        <x:v>27.599999999999998</x:v>
      </x:c>
      <x:c r="L9" s="103" t="n">
        <x:f>C9*'Component Doctrine'!E$5+D9*'Component Doctrine'!E$6+E9*'Component Doctrine'!E$7+F9*'Component Doctrine'!E$8+G9*'Component Doctrine'!E$9</x:f>
        <x:v>30.599999999999998</x:v>
      </x:c>
      <x:c r="M9" s="103" t="n">
        <x:f>'Package Matrix'!O9*(1+Controls!B5)</x:f>
        <x:v>7.199999999999999</x:v>
      </x:c>
    </x:row>
    <x:row r="10">
      <x:c r="A10" s="57" t="str">
        <x:v>L-ROG</x:v>
      </x:c>
      <x:c r="B10" s="57" t="str">
        <x:v>Access and route-opening group</x:v>
      </x:c>
      <x:c r="C10" s="103" t="n">
        <x:f>Inventory!I10*'Component Mix'!C10</x:f>
        <x:v>42.349999999999994</x:v>
      </x:c>
      <x:c r="D10" s="103" t="n">
        <x:f>Inventory!I10*'Component Mix'!D10</x:f>
        <x:v>30.25</x:v>
      </x:c>
      <x:c r="E10" s="103" t="n">
        <x:f>Inventory!I10*'Component Mix'!E10</x:f>
        <x:v>30.25</x:v>
      </x:c>
      <x:c r="F10" s="103" t="n">
        <x:f>Inventory!I10*'Component Mix'!F10</x:f>
        <x:v>18.15</x:v>
      </x:c>
      <x:c r="G10" s="103" t="n">
        <x:f>Inventory!I10*'Component Mix'!G10</x:f>
        <x:v>0</x:v>
      </x:c>
      <x:c r="H10" s="103" t="n">
        <x:f>C10*'Component Doctrine'!C$5+D10*'Component Doctrine'!C$6+E10*'Component Doctrine'!C$7+F10*'Component Doctrine'!C$8+G10*'Component Doctrine'!C$9</x:f>
        <x:v>77.44</x:v>
      </x:c>
      <x:c r="I10" s="103" t="n">
        <x:f>'Package Matrix'!N10*'Formation Catalog'!K10*(1+Controls!B5)</x:f>
        <x:v>37.8</x:v>
      </x:c>
      <x:c r="J10" s="103" t="n">
        <x:f>C10*'Component Doctrine'!D$5+D10*'Component Doctrine'!D$6+E10*'Component Doctrine'!D$7+F10*'Component Doctrine'!D$8+G10*'Component Doctrine'!D$9</x:f>
        <x:v>103.75750000000001</x:v>
      </x:c>
      <x:c r="K10" s="103" t="n">
        <x:f>Inventory!D10</x:f>
        <x:v>84</x:v>
      </x:c>
      <x:c r="L10" s="103" t="n">
        <x:f>C10*'Component Doctrine'!E$5+D10*'Component Doctrine'!E$6+E10*'Component Doctrine'!E$7+F10*'Component Doctrine'!E$8+G10*'Component Doctrine'!E$9</x:f>
        <x:v>80.46499999999999</x:v>
      </x:c>
      <x:c r="M10" s="103" t="n">
        <x:f>'Package Matrix'!O10*(1+Controls!B5)</x:f>
        <x:v>21.599999999999998</x:v>
      </x:c>
    </x:row>
    <x:row r="11">
      <x:c r="A11" s="76" t="str">
        <x:v>L-HCG</x:v>
      </x:c>
      <x:c r="B11" s="76" t="str">
        <x:v>Flood and hydraulic-control group</x:v>
      </x:c>
      <x:c r="C11" s="103" t="n">
        <x:f>Inventory!I11*'Component Mix'!C11</x:f>
        <x:v>30.099999999999998</x:v>
      </x:c>
      <x:c r="D11" s="103" t="n">
        <x:f>Inventory!I11*'Component Mix'!D11</x:f>
        <x:v>21.5</x:v>
      </x:c>
      <x:c r="E11" s="103" t="n">
        <x:f>Inventory!I11*'Component Mix'!E11</x:f>
        <x:v>21.5</x:v>
      </x:c>
      <x:c r="F11" s="103" t="n">
        <x:f>Inventory!I11*'Component Mix'!F11</x:f>
        <x:v>12.9</x:v>
      </x:c>
      <x:c r="G11" s="103" t="n">
        <x:f>Inventory!I11*'Component Mix'!G11</x:f>
        <x:v>0</x:v>
      </x:c>
      <x:c r="H11" s="103" t="n">
        <x:f>C11*'Component Doctrine'!C$5+D11*'Component Doctrine'!C$6+E11*'Component Doctrine'!C$7+F11*'Component Doctrine'!C$8+G11*'Component Doctrine'!C$9</x:f>
        <x:v>55.04</x:v>
      </x:c>
      <x:c r="I11" s="103" t="n">
        <x:f>'Package Matrix'!N11*'Formation Catalog'!K11*(1+Controls!B5)</x:f>
        <x:v>27</x:v>
      </x:c>
      <x:c r="J11" s="103" t="n">
        <x:f>C11*'Component Doctrine'!D$5+D11*'Component Doctrine'!D$6+E11*'Component Doctrine'!D$7+F11*'Component Doctrine'!D$8+G11*'Component Doctrine'!D$9</x:f>
        <x:v>73.745</x:v>
      </x:c>
      <x:c r="K11" s="103" t="n">
        <x:f>Inventory!D11</x:f>
        <x:v>60</x:v>
      </x:c>
      <x:c r="L11" s="103" t="n">
        <x:f>C11*'Component Doctrine'!E$5+D11*'Component Doctrine'!E$6+E11*'Component Doctrine'!E$7+F11*'Component Doctrine'!E$8+G11*'Component Doctrine'!E$9</x:f>
        <x:v>57.190000000000005</x:v>
      </x:c>
      <x:c r="M11" s="103" t="n">
        <x:f>'Package Matrix'!O11*(1+Controls!B5)</x:f>
        <x:v>19.2</x:v>
      </x:c>
    </x:row>
    <x:row r="12">
      <x:c r="A12" s="57" t="str">
        <x:v>L-DMG</x:v>
      </x:c>
      <x:c r="B12" s="57" t="str">
        <x:v>Debris and materials group</x:v>
      </x:c>
      <x:c r="C12" s="103" t="n">
        <x:f>Inventory!I12*'Component Mix'!C12</x:f>
        <x:v>39.199999999999996</x:v>
      </x:c>
      <x:c r="D12" s="103" t="n">
        <x:f>Inventory!I12*'Component Mix'!D12</x:f>
        <x:v>28</x:v>
      </x:c>
      <x:c r="E12" s="103" t="n">
        <x:f>Inventory!I12*'Component Mix'!E12</x:f>
        <x:v>28</x:v>
      </x:c>
      <x:c r="F12" s="103" t="n">
        <x:f>Inventory!I12*'Component Mix'!F12</x:f>
        <x:v>16.8</x:v>
      </x:c>
      <x:c r="G12" s="103" t="n">
        <x:f>Inventory!I12*'Component Mix'!G12</x:f>
        <x:v>0</x:v>
      </x:c>
      <x:c r="H12" s="103" t="n">
        <x:f>C12*'Component Doctrine'!C$5+D12*'Component Doctrine'!C$6+E12*'Component Doctrine'!C$7+F12*'Component Doctrine'!C$8+G12*'Component Doctrine'!C$9</x:f>
        <x:v>71.68</x:v>
      </x:c>
      <x:c r="I12" s="103" t="n">
        <x:f>'Package Matrix'!N12*'Formation Catalog'!K12*(1+Controls!B5)</x:f>
        <x:v>35.1</x:v>
      </x:c>
      <x:c r="J12" s="103" t="n">
        <x:f>C12*'Component Doctrine'!D$5+D12*'Component Doctrine'!D$6+E12*'Component Doctrine'!D$7+F12*'Component Doctrine'!D$8+G12*'Component Doctrine'!D$9</x:f>
        <x:v>96.03999999999999</x:v>
      </x:c>
      <x:c r="K12" s="103" t="n">
        <x:f>Inventory!D12</x:f>
        <x:v>78</x:v>
      </x:c>
      <x:c r="L12" s="103" t="n">
        <x:f>C12*'Component Doctrine'!E$5+D12*'Component Doctrine'!E$6+E12*'Component Doctrine'!E$7+F12*'Component Doctrine'!E$8+G12*'Component Doctrine'!E$9</x:f>
        <x:v>74.47999999999999</x:v>
      </x:c>
      <x:c r="M12" s="103" t="n">
        <x:f>'Package Matrix'!O12*(1+Controls!B5)</x:f>
        <x:v>21.599999999999998</x:v>
      </x:c>
    </x:row>
    <x:row r="13">
      <x:c r="A13" s="76" t="str">
        <x:v>L-TWG</x:v>
      </x:c>
      <x:c r="B13" s="76" t="str">
        <x:v>Temporary works and crossing group</x:v>
      </x:c>
      <x:c r="C13" s="103" t="n">
        <x:f>Inventory!I13*'Component Mix'!C13</x:f>
        <x:v>31.849999999999998</x:v>
      </x:c>
      <x:c r="D13" s="103" t="n">
        <x:f>Inventory!I13*'Component Mix'!D13</x:f>
        <x:v>22.75</x:v>
      </x:c>
      <x:c r="E13" s="103" t="n">
        <x:f>Inventory!I13*'Component Mix'!E13</x:f>
        <x:v>22.75</x:v>
      </x:c>
      <x:c r="F13" s="103" t="n">
        <x:f>Inventory!I13*'Component Mix'!F13</x:f>
        <x:v>13.65</x:v>
      </x:c>
      <x:c r="G13" s="103" t="n">
        <x:f>Inventory!I13*'Component Mix'!G13</x:f>
        <x:v>0</x:v>
      </x:c>
      <x:c r="H13" s="103" t="n">
        <x:f>C13*'Component Doctrine'!C$5+D13*'Component Doctrine'!C$6+E13*'Component Doctrine'!C$7+F13*'Component Doctrine'!C$8+G13*'Component Doctrine'!C$9</x:f>
        <x:v>58.24</x:v>
      </x:c>
      <x:c r="I13" s="103" t="n">
        <x:f>'Package Matrix'!N13*'Formation Catalog'!K13*(1+Controls!B5)</x:f>
        <x:v>28.62</x:v>
      </x:c>
      <x:c r="J13" s="103" t="n">
        <x:f>C13*'Component Doctrine'!D$5+D13*'Component Doctrine'!D$6+E13*'Component Doctrine'!D$7+F13*'Component Doctrine'!D$8+G13*'Component Doctrine'!D$9</x:f>
        <x:v>78.0325</x:v>
      </x:c>
      <x:c r="K13" s="103" t="n">
        <x:f>Inventory!D13</x:f>
        <x:v>63.599999999999994</x:v>
      </x:c>
      <x:c r="L13" s="103" t="n">
        <x:f>C13*'Component Doctrine'!E$5+D13*'Component Doctrine'!E$6+E13*'Component Doctrine'!E$7+F13*'Component Doctrine'!E$8+G13*'Component Doctrine'!E$9</x:f>
        <x:v>60.515</x:v>
      </x:c>
      <x:c r="M13" s="103" t="n">
        <x:f>'Package Matrix'!O13*(1+Controls!B5)</x:f>
        <x:v>16.8</x:v>
      </x:c>
    </x:row>
    <x:row r="14">
      <x:c r="A14" s="57" t="str">
        <x:v>L-GFG</x:v>
      </x:c>
      <x:c r="B14" s="57" t="str">
        <x:v>Ground fire and landscape group</x:v>
      </x:c>
      <x:c r="C14" s="103" t="n">
        <x:f>Inventory!I14*'Component Mix'!C14</x:f>
        <x:v>19.95</x:v>
      </x:c>
      <x:c r="D14" s="103" t="n">
        <x:f>Inventory!I14*'Component Mix'!D14</x:f>
        <x:v>14.25</x:v>
      </x:c>
      <x:c r="E14" s="103" t="n">
        <x:f>Inventory!I14*'Component Mix'!E14</x:f>
        <x:v>14.25</x:v>
      </x:c>
      <x:c r="F14" s="103" t="n">
        <x:f>Inventory!I14*'Component Mix'!F14</x:f>
        <x:v>8.549999999999999</x:v>
      </x:c>
      <x:c r="G14" s="103" t="n">
        <x:f>Inventory!I14*'Component Mix'!G14</x:f>
        <x:v>0</x:v>
      </x:c>
      <x:c r="H14" s="103" t="n">
        <x:f>C14*'Component Doctrine'!C$5+D14*'Component Doctrine'!C$6+E14*'Component Doctrine'!C$7+F14*'Component Doctrine'!C$8+G14*'Component Doctrine'!C$9</x:f>
        <x:v>36.48</x:v>
      </x:c>
      <x:c r="I14" s="103" t="n">
        <x:f>'Package Matrix'!N14*'Formation Catalog'!K14*(1+Controls!B5)</x:f>
        <x:v>17.82</x:v>
      </x:c>
      <x:c r="J14" s="103" t="n">
        <x:f>C14*'Component Doctrine'!D$5+D14*'Component Doctrine'!D$6+E14*'Component Doctrine'!D$7+F14*'Component Doctrine'!D$8+G14*'Component Doctrine'!D$9</x:f>
        <x:v>48.8775</x:v>
      </x:c>
      <x:c r="K14" s="103" t="n">
        <x:f>Inventory!D14</x:f>
        <x:v>39.6</x:v>
      </x:c>
      <x:c r="L14" s="103" t="n">
        <x:f>C14*'Component Doctrine'!E$5+D14*'Component Doctrine'!E$6+E14*'Component Doctrine'!E$7+F14*'Component Doctrine'!E$8+G14*'Component Doctrine'!E$9</x:f>
        <x:v>37.905</x:v>
      </x:c>
      <x:c r="M14" s="103" t="n">
        <x:f>'Package Matrix'!O14*(1+Controls!B5)</x:f>
        <x:v>4.8</x:v>
      </x:c>
    </x:row>
    <x:row r="15">
      <x:c r="A15" s="76" t="str">
        <x:v>A-SMW</x:v>
      </x:c>
      <x:c r="B15" s="76" t="str">
        <x:v>Strategic mobility wing</x:v>
      </x:c>
      <x:c r="C15" s="103" t="n">
        <x:f>Inventory!I15*'Component Mix'!C15</x:f>
        <x:v>37.7</x:v>
      </x:c>
      <x:c r="D15" s="103" t="n">
        <x:f>Inventory!I15*'Component Mix'!D15</x:f>
        <x:v>14.5</x:v>
      </x:c>
      <x:c r="E15" s="103" t="n">
        <x:f>Inventory!I15*'Component Mix'!E15</x:f>
        <x:v>2.9000000000000004</x:v>
      </x:c>
      <x:c r="F15" s="103" t="n">
        <x:f>Inventory!I15*'Component Mix'!F15</x:f>
        <x:v>2.9000000000000004</x:v>
      </x:c>
      <x:c r="G15" s="103" t="n">
        <x:f>Inventory!I15*'Component Mix'!G15</x:f>
        <x:v>0</x:v>
      </x:c>
      <x:c r="H15" s="103" t="n">
        <x:f>C15*'Component Doctrine'!C$5+D15*'Component Doctrine'!C$6+E15*'Component Doctrine'!C$7+F15*'Component Doctrine'!C$8+G15*'Component Doctrine'!C$9</x:f>
        <x:v>46.4</x:v>
      </x:c>
      <x:c r="I15" s="103" t="n">
        <x:f>'Package Matrix'!N15*'Formation Catalog'!K15*(1+Controls!B5)</x:f>
        <x:v>27.9</x:v>
      </x:c>
      <x:c r="J15" s="103" t="n">
        <x:f>C15*'Component Doctrine'!D$5+D15*'Component Doctrine'!D$6+E15*'Component Doctrine'!D$7+F15*'Component Doctrine'!D$8+G15*'Component Doctrine'!D$9</x:f>
        <x:v>51.47500000000001</x:v>
      </x:c>
      <x:c r="K15" s="103" t="n">
        <x:f>Inventory!D15</x:f>
        <x:v>37.199999999999996</x:v>
      </x:c>
      <x:c r="L15" s="103" t="n">
        <x:f>C15*'Component Doctrine'!E$5+D15*'Component Doctrine'!E$6+E15*'Component Doctrine'!E$7+F15*'Component Doctrine'!E$8+G15*'Component Doctrine'!E$9</x:f>
        <x:v>52.49</x:v>
      </x:c>
      <x:c r="M15" s="103" t="n">
        <x:f>'Package Matrix'!O15*(1+Controls!B5)</x:f>
        <x:v>12</x:v>
      </x:c>
    </x:row>
    <x:row r="16">
      <x:c r="A16" s="57" t="str">
        <x:v>A-AAG</x:v>
      </x:c>
      <x:c r="B16" s="57" t="str">
        <x:v>Austere air-access group</x:v>
      </x:c>
      <x:c r="C16" s="103" t="n">
        <x:f>Inventory!I16*'Component Mix'!C16</x:f>
        <x:v>43.550000000000004</x:v>
      </x:c>
      <x:c r="D16" s="103" t="n">
        <x:f>Inventory!I16*'Component Mix'!D16</x:f>
        <x:v>16.75</x:v>
      </x:c>
      <x:c r="E16" s="103" t="n">
        <x:f>Inventory!I16*'Component Mix'!E16</x:f>
        <x:v>3.35</x:v>
      </x:c>
      <x:c r="F16" s="103" t="n">
        <x:f>Inventory!I16*'Component Mix'!F16</x:f>
        <x:v>3.35</x:v>
      </x:c>
      <x:c r="G16" s="103" t="n">
        <x:f>Inventory!I16*'Component Mix'!G16</x:f>
        <x:v>0</x:v>
      </x:c>
      <x:c r="H16" s="103" t="n">
        <x:f>C16*'Component Doctrine'!C$5+D16*'Component Doctrine'!C$6+E16*'Component Doctrine'!C$7+F16*'Component Doctrine'!C$8+G16*'Component Doctrine'!C$9</x:f>
        <x:v>53.60000000000001</x:v>
      </x:c>
      <x:c r="I16" s="103" t="n">
        <x:f>'Package Matrix'!N16*'Formation Catalog'!K16*(1+Controls!B5)</x:f>
        <x:v>32.4</x:v>
      </x:c>
      <x:c r="J16" s="103" t="n">
        <x:f>C16*'Component Doctrine'!D$5+D16*'Component Doctrine'!D$6+E16*'Component Doctrine'!D$7+F16*'Component Doctrine'!D$8+G16*'Component Doctrine'!D$9</x:f>
        <x:v>59.462500000000006</x:v>
      </x:c>
      <x:c r="K16" s="103" t="n">
        <x:f>Inventory!D16</x:f>
        <x:v>43.199999999999996</x:v>
      </x:c>
      <x:c r="L16" s="103" t="n">
        <x:f>C16*'Component Doctrine'!E$5+D16*'Component Doctrine'!E$6+E16*'Component Doctrine'!E$7+F16*'Component Doctrine'!E$8+G16*'Component Doctrine'!E$9</x:f>
        <x:v>60.635000000000005</x:v>
      </x:c>
      <x:c r="M16" s="103" t="n">
        <x:f>'Package Matrix'!O16*(1+Controls!B5)</x:f>
        <x:v>12</x:v>
      </x:c>
    </x:row>
    <x:row r="17">
      <x:c r="A17" s="76" t="str">
        <x:v>A-AHW</x:v>
      </x:c>
      <x:c r="B17" s="76" t="str">
        <x:v>Aerial hazard-control wing</x:v>
      </x:c>
      <x:c r="C17" s="103" t="n">
        <x:f>Inventory!I17*'Component Mix'!C17</x:f>
        <x:v>26.650000000000002</x:v>
      </x:c>
      <x:c r="D17" s="103" t="n">
        <x:f>Inventory!I17*'Component Mix'!D17</x:f>
        <x:v>10.25</x:v>
      </x:c>
      <x:c r="E17" s="103" t="n">
        <x:f>Inventory!I17*'Component Mix'!E17</x:f>
        <x:v>2.0500000000000003</x:v>
      </x:c>
      <x:c r="F17" s="103" t="n">
        <x:f>Inventory!I17*'Component Mix'!F17</x:f>
        <x:v>2.0500000000000003</x:v>
      </x:c>
      <x:c r="G17" s="103" t="n">
        <x:f>Inventory!I17*'Component Mix'!G17</x:f>
        <x:v>0</x:v>
      </x:c>
      <x:c r="H17" s="103" t="n">
        <x:f>C17*'Component Doctrine'!C$5+D17*'Component Doctrine'!C$6+E17*'Component Doctrine'!C$7+F17*'Component Doctrine'!C$8+G17*'Component Doctrine'!C$9</x:f>
        <x:v>32.800000000000004</x:v>
      </x:c>
      <x:c r="I17" s="103" t="n">
        <x:f>'Package Matrix'!N17*'Formation Catalog'!K17*(1+Controls!B5)</x:f>
        <x:v>19.8</x:v>
      </x:c>
      <x:c r="J17" s="103" t="n">
        <x:f>C17*'Component Doctrine'!D$5+D17*'Component Doctrine'!D$6+E17*'Component Doctrine'!D$7+F17*'Component Doctrine'!D$8+G17*'Component Doctrine'!D$9</x:f>
        <x:v>36.3875</x:v>
      </x:c>
      <x:c r="K17" s="103" t="n">
        <x:f>Inventory!D17</x:f>
        <x:v>26.4</x:v>
      </x:c>
      <x:c r="L17" s="103" t="n">
        <x:f>C17*'Component Doctrine'!E$5+D17*'Component Doctrine'!E$6+E17*'Component Doctrine'!E$7+F17*'Component Doctrine'!E$8+G17*'Component Doctrine'!E$9</x:f>
        <x:v>37.105</x:v>
      </x:c>
      <x:c r="M17" s="103" t="n">
        <x:f>'Package Matrix'!O17*(1+Controls!B5)</x:f>
        <x:v>3.5999999999999996</x:v>
      </x:c>
    </x:row>
    <x:row r="18">
      <x:c r="A18" s="57" t="str">
        <x:v>A-TDG</x:v>
      </x:c>
      <x:c r="B18" s="57" t="str">
        <x:v>Tactical distribution group</x:v>
      </x:c>
      <x:c r="C18" s="103" t="n">
        <x:f>Inventory!I18*'Component Mix'!C18</x:f>
        <x:v>70.2</x:v>
      </x:c>
      <x:c r="D18" s="103" t="n">
        <x:f>Inventory!I18*'Component Mix'!D18</x:f>
        <x:v>27</x:v>
      </x:c>
      <x:c r="E18" s="103" t="n">
        <x:f>Inventory!I18*'Component Mix'!E18</x:f>
        <x:v>5.4</x:v>
      </x:c>
      <x:c r="F18" s="103" t="n">
        <x:f>Inventory!I18*'Component Mix'!F18</x:f>
        <x:v>5.4</x:v>
      </x:c>
      <x:c r="G18" s="103" t="n">
        <x:f>Inventory!I18*'Component Mix'!G18</x:f>
        <x:v>0</x:v>
      </x:c>
      <x:c r="H18" s="103" t="n">
        <x:f>C18*'Component Doctrine'!C$5+D18*'Component Doctrine'!C$6+E18*'Component Doctrine'!C$7+F18*'Component Doctrine'!C$8+G18*'Component Doctrine'!C$9</x:f>
        <x:v>86.40000000000002</x:v>
      </x:c>
      <x:c r="I18" s="103" t="n">
        <x:f>'Package Matrix'!N18*'Formation Catalog'!K18*(1+Controls!B5)</x:f>
        <x:v>52.199999999999996</x:v>
      </x:c>
      <x:c r="J18" s="103" t="n">
        <x:f>C18*'Component Doctrine'!D$5+D18*'Component Doctrine'!D$6+E18*'Component Doctrine'!D$7+F18*'Component Doctrine'!D$8+G18*'Component Doctrine'!D$9</x:f>
        <x:v>95.85000000000001</x:v>
      </x:c>
      <x:c r="K18" s="103" t="n">
        <x:f>Inventory!D18</x:f>
        <x:v>69.6</x:v>
      </x:c>
      <x:c r="L18" s="103" t="n">
        <x:f>C18*'Component Doctrine'!E$5+D18*'Component Doctrine'!E$6+E18*'Component Doctrine'!E$7+F18*'Component Doctrine'!E$8+G18*'Component Doctrine'!E$9</x:f>
        <x:v>97.74</x:v>
      </x:c>
      <x:c r="M18" s="103" t="n">
        <x:f>'Package Matrix'!O18*(1+Controls!B5)</x:f>
        <x:v>19.2</x:v>
      </x:c>
    </x:row>
    <x:row r="19">
      <x:c r="A19" s="76" t="str">
        <x:v>A-SRG</x:v>
      </x:c>
      <x:c r="B19" s="76" t="str">
        <x:v>Air sensing and relay group</x:v>
      </x:c>
      <x:c r="C19" s="103" t="n">
        <x:f>Inventory!I19*'Component Mix'!C19</x:f>
        <x:v>48.1</x:v>
      </x:c>
      <x:c r="D19" s="103" t="n">
        <x:f>Inventory!I19*'Component Mix'!D19</x:f>
        <x:v>18.5</x:v>
      </x:c>
      <x:c r="E19" s="103" t="n">
        <x:f>Inventory!I19*'Component Mix'!E19</x:f>
        <x:v>3.7</x:v>
      </x:c>
      <x:c r="F19" s="103" t="n">
        <x:f>Inventory!I19*'Component Mix'!F19</x:f>
        <x:v>3.7</x:v>
      </x:c>
      <x:c r="G19" s="103" t="n">
        <x:f>Inventory!I19*'Component Mix'!G19</x:f>
        <x:v>0</x:v>
      </x:c>
      <x:c r="H19" s="103" t="n">
        <x:f>C19*'Component Doctrine'!C$5+D19*'Component Doctrine'!C$6+E19*'Component Doctrine'!C$7+F19*'Component Doctrine'!C$8+G19*'Component Doctrine'!C$9</x:f>
        <x:v>59.2</x:v>
      </x:c>
      <x:c r="I19" s="103" t="n">
        <x:f>'Package Matrix'!N19*'Formation Catalog'!K19*(1+Controls!B5)</x:f>
        <x:v>36</x:v>
      </x:c>
      <x:c r="J19" s="103" t="n">
        <x:f>C19*'Component Doctrine'!D$5+D19*'Component Doctrine'!D$6+E19*'Component Doctrine'!D$7+F19*'Component Doctrine'!D$8+G19*'Component Doctrine'!D$9</x:f>
        <x:v>65.675</x:v>
      </x:c>
      <x:c r="K19" s="103" t="n">
        <x:f>Inventory!D19</x:f>
        <x:v>48</x:v>
      </x:c>
      <x:c r="L19" s="103" t="n">
        <x:f>C19*'Component Doctrine'!E$5+D19*'Component Doctrine'!E$6+E19*'Component Doctrine'!E$7+F19*'Component Doctrine'!E$8+G19*'Component Doctrine'!E$9</x:f>
        <x:v>66.97</x:v>
      </x:c>
      <x:c r="M19" s="103" t="n">
        <x:f>'Package Matrix'!O19*(1+Controls!B5)</x:f>
        <x:v>12</x:v>
      </x:c>
    </x:row>
    <x:row r="20">
      <x:c r="A20" s="57" t="str">
        <x:v>A-AMG</x:v>
      </x:c>
      <x:c r="B20" s="57" t="str">
        <x:v>Aeromedical movement group</x:v>
      </x:c>
      <x:c r="C20" s="103" t="n">
        <x:f>Inventory!I20*'Component Mix'!C20</x:f>
        <x:v>37.7</x:v>
      </x:c>
      <x:c r="D20" s="103" t="n">
        <x:f>Inventory!I20*'Component Mix'!D20</x:f>
        <x:v>14.5</x:v>
      </x:c>
      <x:c r="E20" s="103" t="n">
        <x:f>Inventory!I20*'Component Mix'!E20</x:f>
        <x:v>2.9000000000000004</x:v>
      </x:c>
      <x:c r="F20" s="103" t="n">
        <x:f>Inventory!I20*'Component Mix'!F20</x:f>
        <x:v>2.9000000000000004</x:v>
      </x:c>
      <x:c r="G20" s="103" t="n">
        <x:f>Inventory!I20*'Component Mix'!G20</x:f>
        <x:v>0</x:v>
      </x:c>
      <x:c r="H20" s="103" t="n">
        <x:f>C20*'Component Doctrine'!C$5+D20*'Component Doctrine'!C$6+E20*'Component Doctrine'!C$7+F20*'Component Doctrine'!C$8+G20*'Component Doctrine'!C$9</x:f>
        <x:v>46.4</x:v>
      </x:c>
      <x:c r="I20" s="103" t="n">
        <x:f>'Package Matrix'!N20*'Formation Catalog'!K20*(1+Controls!B5)</x:f>
        <x:v>27.9</x:v>
      </x:c>
      <x:c r="J20" s="103" t="n">
        <x:f>C20*'Component Doctrine'!D$5+D20*'Component Doctrine'!D$6+E20*'Component Doctrine'!D$7+F20*'Component Doctrine'!D$8+G20*'Component Doctrine'!D$9</x:f>
        <x:v>51.47500000000001</x:v>
      </x:c>
      <x:c r="K20" s="103" t="n">
        <x:f>Inventory!D20</x:f>
        <x:v>37.199999999999996</x:v>
      </x:c>
      <x:c r="L20" s="103" t="n">
        <x:f>C20*'Component Doctrine'!E$5+D20*'Component Doctrine'!E$6+E20*'Component Doctrine'!E$7+F20*'Component Doctrine'!E$8+G20*'Component Doctrine'!E$9</x:f>
        <x:v>52.49</x:v>
      </x:c>
      <x:c r="M20" s="103" t="n">
        <x:f>'Package Matrix'!O20*(1+Controls!B5)</x:f>
        <x:v>10.799999999999999</x:v>
      </x:c>
    </x:row>
    <x:row r="21">
      <x:c r="A21" s="76" t="str">
        <x:v>M-POG</x:v>
      </x:c>
      <x:c r="B21" s="76" t="str">
        <x:v>Port-opening group</x:v>
      </x:c>
      <x:c r="C21" s="103" t="n">
        <x:f>Inventory!I21*'Component Mix'!C21</x:f>
        <x:v>42</x:v>
      </x:c>
      <x:c r="D21" s="103" t="n">
        <x:f>Inventory!I21*'Component Mix'!D21</x:f>
        <x:v>12</x:v>
      </x:c>
      <x:c r="E21" s="103" t="n">
        <x:f>Inventory!I21*'Component Mix'!E21</x:f>
        <x:v>1.2</x:v>
      </x:c>
      <x:c r="F21" s="103" t="n">
        <x:f>Inventory!I21*'Component Mix'!F21</x:f>
        <x:v>4.8</x:v>
      </x:c>
      <x:c r="G21" s="103" t="n">
        <x:f>Inventory!I21*'Component Mix'!G21</x:f>
        <x:v>0</x:v>
      </x:c>
      <x:c r="H21" s="103" t="n">
        <x:f>C21*'Component Doctrine'!C$5+D21*'Component Doctrine'!C$6+E21*'Component Doctrine'!C$7+F21*'Component Doctrine'!C$8+G21*'Component Doctrine'!C$9</x:f>
        <x:v>48.66</x:v>
      </x:c>
      <x:c r="I21" s="103" t="n">
        <x:f>'Package Matrix'!N21*'Formation Catalog'!K21*(1+Controls!B5)</x:f>
        <x:v>13.44</x:v>
      </x:c>
      <x:c r="J21" s="103" t="n">
        <x:f>C21*'Component Doctrine'!D$5+D21*'Component Doctrine'!D$6+E21*'Component Doctrine'!D$7+F21*'Component Doctrine'!D$8+G21*'Component Doctrine'!D$9</x:f>
        <x:v>52.98000000000001</x:v>
      </x:c>
      <x:c r="K21" s="103" t="n">
        <x:f>Inventory!D21</x:f>
        <x:v>38.4</x:v>
      </x:c>
      <x:c r="L21" s="103" t="n">
        <x:f>C21*'Component Doctrine'!E$5+D21*'Component Doctrine'!E$6+E21*'Component Doctrine'!E$7+F21*'Component Doctrine'!E$8+G21*'Component Doctrine'!E$9</x:f>
        <x:v>55.68</x:v>
      </x:c>
      <x:c r="M21" s="103" t="n">
        <x:f>'Package Matrix'!O21*(1+Controls!B5)</x:f>
        <x:v>16.8</x:v>
      </x:c>
    </x:row>
    <x:row r="22">
      <x:c r="A22" s="57" t="str">
        <x:v>M-LAG</x:v>
      </x:c>
      <x:c r="B22" s="57" t="str">
        <x:v>Littoral-access group</x:v>
      </x:c>
      <x:c r="C22" s="103" t="n">
        <x:f>Inventory!I22*'Component Mix'!C22</x:f>
        <x:v>48.3</x:v>
      </x:c>
      <x:c r="D22" s="103" t="n">
        <x:f>Inventory!I22*'Component Mix'!D22</x:f>
        <x:v>13.8</x:v>
      </x:c>
      <x:c r="E22" s="103" t="n">
        <x:f>Inventory!I22*'Component Mix'!E22</x:f>
        <x:v>1.3800000000000001</x:v>
      </x:c>
      <x:c r="F22" s="103" t="n">
        <x:f>Inventory!I22*'Component Mix'!F22</x:f>
        <x:v>5.5200000000000005</x:v>
      </x:c>
      <x:c r="G22" s="103" t="n">
        <x:f>Inventory!I22*'Component Mix'!G22</x:f>
        <x:v>0</x:v>
      </x:c>
      <x:c r="H22" s="103" t="n">
        <x:f>C22*'Component Doctrine'!C$5+D22*'Component Doctrine'!C$6+E22*'Component Doctrine'!C$7+F22*'Component Doctrine'!C$8+G22*'Component Doctrine'!C$9</x:f>
        <x:v>55.958999999999996</x:v>
      </x:c>
      <x:c r="I22" s="103" t="n">
        <x:f>'Package Matrix'!N22*'Formation Catalog'!K22*(1+Controls!B5)</x:f>
        <x:v>15.54</x:v>
      </x:c>
      <x:c r="J22" s="103" t="n">
        <x:f>C22*'Component Doctrine'!D$5+D22*'Component Doctrine'!D$6+E22*'Component Doctrine'!D$7+F22*'Component Doctrine'!D$8+G22*'Component Doctrine'!D$9</x:f>
        <x:v>60.927</x:v>
      </x:c>
      <x:c r="K22" s="103" t="n">
        <x:f>Inventory!D22</x:f>
        <x:v>44.4</x:v>
      </x:c>
      <x:c r="L22" s="103" t="n">
        <x:f>C22*'Component Doctrine'!E$5+D22*'Component Doctrine'!E$6+E22*'Component Doctrine'!E$7+F22*'Component Doctrine'!E$8+G22*'Component Doctrine'!E$9</x:f>
        <x:v>64.032</x:v>
      </x:c>
      <x:c r="M22" s="103" t="n">
        <x:f>'Package Matrix'!O22*(1+Controls!B5)</x:f>
        <x:v>19.2</x:v>
      </x:c>
    </x:row>
    <x:row r="23">
      <x:c r="A23" s="76" t="str">
        <x:v>M-IWG</x:v>
      </x:c>
      <x:c r="B23" s="76" t="str">
        <x:v>Inland-waterway group</x:v>
      </x:c>
      <x:c r="C23" s="103" t="n">
        <x:f>Inventory!I23*'Component Mix'!C23</x:f>
        <x:v>37.8</x:v>
      </x:c>
      <x:c r="D23" s="103" t="n">
        <x:f>Inventory!I23*'Component Mix'!D23</x:f>
        <x:v>10.8</x:v>
      </x:c>
      <x:c r="E23" s="103" t="n">
        <x:f>Inventory!I23*'Component Mix'!E23</x:f>
        <x:v>1.08</x:v>
      </x:c>
      <x:c r="F23" s="103" t="n">
        <x:f>Inventory!I23*'Component Mix'!F23</x:f>
        <x:v>4.32</x:v>
      </x:c>
      <x:c r="G23" s="103" t="n">
        <x:f>Inventory!I23*'Component Mix'!G23</x:f>
        <x:v>0</x:v>
      </x:c>
      <x:c r="H23" s="103" t="n">
        <x:f>C23*'Component Doctrine'!C$5+D23*'Component Doctrine'!C$6+E23*'Component Doctrine'!C$7+F23*'Component Doctrine'!C$8+G23*'Component Doctrine'!C$9</x:f>
        <x:v>43.794</x:v>
      </x:c>
      <x:c r="I23" s="103" t="n">
        <x:f>'Package Matrix'!N23*'Formation Catalog'!K23*(1+Controls!B5)</x:f>
        <x:v>12.179999999999998</x:v>
      </x:c>
      <x:c r="J23" s="103" t="n">
        <x:f>C23*'Component Doctrine'!D$5+D23*'Component Doctrine'!D$6+E23*'Component Doctrine'!D$7+F23*'Component Doctrine'!D$8+G23*'Component Doctrine'!D$9</x:f>
        <x:v>47.681999999999995</x:v>
      </x:c>
      <x:c r="K23" s="103" t="n">
        <x:f>Inventory!D23</x:f>
        <x:v>34.8</x:v>
      </x:c>
      <x:c r="L23" s="103" t="n">
        <x:f>C23*'Component Doctrine'!E$5+D23*'Component Doctrine'!E$6+E23*'Component Doctrine'!E$7+F23*'Component Doctrine'!E$8+G23*'Component Doctrine'!E$9</x:f>
        <x:v>50.111999999999995</x:v>
      </x:c>
      <x:c r="M23" s="103" t="n">
        <x:f>'Package Matrix'!O23*(1+Controls!B5)</x:f>
        <x:v>8.4</x:v>
      </x:c>
    </x:row>
    <x:row r="24">
      <x:c r="A24" s="57" t="str">
        <x:v>M-OSG</x:v>
      </x:c>
      <x:c r="B24" s="57" t="str">
        <x:v>Offshore-support group</x:v>
      </x:c>
      <x:c r="C24" s="103" t="n">
        <x:f>Inventory!I24*'Component Mix'!C24</x:f>
        <x:v>31.499999999999996</x:v>
      </x:c>
      <x:c r="D24" s="103" t="n">
        <x:f>Inventory!I24*'Component Mix'!D24</x:f>
        <x:v>9</x:v>
      </x:c>
      <x:c r="E24" s="103" t="n">
        <x:f>Inventory!I24*'Component Mix'!E24</x:f>
        <x:v>0.9</x:v>
      </x:c>
      <x:c r="F24" s="103" t="n">
        <x:f>Inventory!I24*'Component Mix'!F24</x:f>
        <x:v>3.6</x:v>
      </x:c>
      <x:c r="G24" s="103" t="n">
        <x:f>Inventory!I24*'Component Mix'!G24</x:f>
        <x:v>0</x:v>
      </x:c>
      <x:c r="H24" s="103" t="n">
        <x:f>C24*'Component Doctrine'!C$5+D24*'Component Doctrine'!C$6+E24*'Component Doctrine'!C$7+F24*'Component Doctrine'!C$8+G24*'Component Doctrine'!C$9</x:f>
        <x:v>36.495</x:v>
      </x:c>
      <x:c r="I24" s="103" t="n">
        <x:f>'Package Matrix'!N24*'Formation Catalog'!K24*(1+Controls!B5)</x:f>
        <x:v>10.079999999999998</x:v>
      </x:c>
      <x:c r="J24" s="103" t="n">
        <x:f>C24*'Component Doctrine'!D$5+D24*'Component Doctrine'!D$6+E24*'Component Doctrine'!D$7+F24*'Component Doctrine'!D$8+G24*'Component Doctrine'!D$9</x:f>
        <x:v>39.735</x:v>
      </x:c>
      <x:c r="K24" s="103" t="n">
        <x:f>Inventory!D24</x:f>
        <x:v>28.799999999999997</x:v>
      </x:c>
      <x:c r="L24" s="103" t="n">
        <x:f>C24*'Component Doctrine'!E$5+D24*'Component Doctrine'!E$6+E24*'Component Doctrine'!E$7+F24*'Component Doctrine'!E$8+G24*'Component Doctrine'!E$9</x:f>
        <x:v>41.75999999999999</x:v>
      </x:c>
      <x:c r="M24" s="103" t="n">
        <x:f>'Package Matrix'!O24*(1+Controls!B5)</x:f>
        <x:v>13.2</x:v>
      </x:c>
    </x:row>
    <x:row r="25">
      <x:c r="A25" s="76" t="str">
        <x:v>M-SSG</x:v>
      </x:c>
      <x:c r="B25" s="76" t="str">
        <x:v>Ocean sustainment group</x:v>
      </x:c>
      <x:c r="C25" s="103" t="n">
        <x:f>Inventory!I25*'Component Mix'!C25</x:f>
        <x:v>49.699999999999996</x:v>
      </x:c>
      <x:c r="D25" s="103" t="n">
        <x:f>Inventory!I25*'Component Mix'!D25</x:f>
        <x:v>14.200000000000001</x:v>
      </x:c>
      <x:c r="E25" s="103" t="n">
        <x:f>Inventory!I25*'Component Mix'!E25</x:f>
        <x:v>1.42</x:v>
      </x:c>
      <x:c r="F25" s="103" t="n">
        <x:f>Inventory!I25*'Component Mix'!F25</x:f>
        <x:v>5.68</x:v>
      </x:c>
      <x:c r="G25" s="103" t="n">
        <x:f>Inventory!I25*'Component Mix'!G25</x:f>
        <x:v>0</x:v>
      </x:c>
      <x:c r="H25" s="103" t="n">
        <x:f>C25*'Component Doctrine'!C$5+D25*'Component Doctrine'!C$6+E25*'Component Doctrine'!C$7+F25*'Component Doctrine'!C$8+G25*'Component Doctrine'!C$9</x:f>
        <x:v>57.580999999999996</x:v>
      </x:c>
      <x:c r="I25" s="103" t="n">
        <x:f>'Package Matrix'!N25*'Formation Catalog'!K25*(1+Controls!B5)</x:f>
        <x:v>15.959999999999997</x:v>
      </x:c>
      <x:c r="J25" s="103" t="n">
        <x:f>C25*'Component Doctrine'!D$5+D25*'Component Doctrine'!D$6+E25*'Component Doctrine'!D$7+F25*'Component Doctrine'!D$8+G25*'Component Doctrine'!D$9</x:f>
        <x:v>62.693</x:v>
      </x:c>
      <x:c r="K25" s="103" t="n">
        <x:f>Inventory!D25</x:f>
        <x:v>45.6</x:v>
      </x:c>
      <x:c r="L25" s="103" t="n">
        <x:f>C25*'Component Doctrine'!E$5+D25*'Component Doctrine'!E$6+E25*'Component Doctrine'!E$7+F25*'Component Doctrine'!E$8+G25*'Component Doctrine'!E$9</x:f>
        <x:v>65.88799999999999</x:v>
      </x:c>
      <x:c r="M25" s="103" t="n">
        <x:f>'Package Matrix'!O25*(1+Controls!B5)</x:f>
        <x:v>19.2</x:v>
      </x:c>
    </x:row>
    <x:row r="26">
      <x:c r="A26" s="57" t="str">
        <x:v>I-UPG</x:v>
      </x:c>
      <x:c r="B26" s="57" t="str">
        <x:v>Utility projection group</x:v>
      </x:c>
      <x:c r="C26" s="103" t="n">
        <x:f>Inventory!I26*'Component Mix'!C26</x:f>
        <x:v>45.849999999999994</x:v>
      </x:c>
      <x:c r="D26" s="103" t="n">
        <x:f>Inventory!I26*'Component Mix'!D26</x:f>
        <x:v>32.75</x:v>
      </x:c>
      <x:c r="E26" s="103" t="n">
        <x:f>Inventory!I26*'Component Mix'!E26</x:f>
        <x:v>19.65</x:v>
      </x:c>
      <x:c r="F26" s="103" t="n">
        <x:f>Inventory!I26*'Component Mix'!F26</x:f>
        <x:v>32.75</x:v>
      </x:c>
      <x:c r="G26" s="103" t="n">
        <x:f>Inventory!I26*'Component Mix'!G26</x:f>
        <x:v>0</x:v>
      </x:c>
      <x:c r="H26" s="103" t="n">
        <x:f>C26*'Component Doctrine'!C$5+D26*'Component Doctrine'!C$6+E26*'Component Doctrine'!C$7+F26*'Component Doctrine'!C$8+G26*'Component Doctrine'!C$9</x:f>
        <x:v>76.63499999999999</x:v>
      </x:c>
      <x:c r="I26" s="103" t="n">
        <x:f>'Package Matrix'!N26*'Formation Catalog'!K26*(1+Controls!B5)</x:f>
        <x:v>36.480000000000004</x:v>
      </x:c>
      <x:c r="J26" s="103" t="n">
        <x:f>C26*'Component Doctrine'!D$5+D26*'Component Doctrine'!D$6+E26*'Component Doctrine'!D$7+F26*'Component Doctrine'!D$8+G26*'Component Doctrine'!D$9</x:f>
        <x:v>110.36749999999999</x:v>
      </x:c>
      <x:c r="K26" s="103" t="n">
        <x:f>Inventory!D26</x:f>
        <x:v>91.2</x:v>
      </x:c>
      <x:c r="L26" s="103" t="n">
        <x:f>C26*'Component Doctrine'!E$5+D26*'Component Doctrine'!E$6+E26*'Component Doctrine'!E$7+F26*'Component Doctrine'!E$8+G26*'Component Doctrine'!E$9</x:f>
        <x:v>94.975</x:v>
      </x:c>
      <x:c r="M26" s="103" t="n">
        <x:f>'Package Matrix'!O26*(1+Controls!B5)</x:f>
        <x:v>21.599999999999998</x:v>
      </x:c>
    </x:row>
    <x:row r="27">
      <x:c r="A27" s="76" t="str">
        <x:v>I-CUG</x:v>
      </x:c>
      <x:c r="B27" s="76" t="str">
        <x:v>Communications utility group</x:v>
      </x:c>
      <x:c r="C27" s="103" t="n">
        <x:f>Inventory!I27*'Component Mix'!C27</x:f>
        <x:v>35.699999999999996</x:v>
      </x:c>
      <x:c r="D27" s="103" t="n">
        <x:f>Inventory!I27*'Component Mix'!D27</x:f>
        <x:v>25.5</x:v>
      </x:c>
      <x:c r="E27" s="103" t="n">
        <x:f>Inventory!I27*'Component Mix'!E27</x:f>
        <x:v>15.299999999999999</x:v>
      </x:c>
      <x:c r="F27" s="103" t="n">
        <x:f>Inventory!I27*'Component Mix'!F27</x:f>
        <x:v>25.5</x:v>
      </x:c>
      <x:c r="G27" s="103" t="n">
        <x:f>Inventory!I27*'Component Mix'!G27</x:f>
        <x:v>0</x:v>
      </x:c>
      <x:c r="H27" s="103" t="n">
        <x:f>C27*'Component Doctrine'!C$5+D27*'Component Doctrine'!C$6+E27*'Component Doctrine'!C$7+F27*'Component Doctrine'!C$8+G27*'Component Doctrine'!C$9</x:f>
        <x:v>59.669999999999995</x:v>
      </x:c>
      <x:c r="I27" s="103" t="n">
        <x:f>'Package Matrix'!N27*'Formation Catalog'!K27*(1+Controls!B5)</x:f>
        <x:v>28.32</x:v>
      </x:c>
      <x:c r="J27" s="103" t="n">
        <x:f>C27*'Component Doctrine'!D$5+D27*'Component Doctrine'!D$6+E27*'Component Doctrine'!D$7+F27*'Component Doctrine'!D$8+G27*'Component Doctrine'!D$9</x:f>
        <x:v>85.93499999999999</x:v>
      </x:c>
      <x:c r="K27" s="103" t="n">
        <x:f>Inventory!D27</x:f>
        <x:v>70.8</x:v>
      </x:c>
      <x:c r="L27" s="103" t="n">
        <x:f>C27*'Component Doctrine'!E$5+D27*'Component Doctrine'!E$6+E27*'Component Doctrine'!E$7+F27*'Component Doctrine'!E$8+G27*'Component Doctrine'!E$9</x:f>
        <x:v>73.94999999999999</x:v>
      </x:c>
      <x:c r="M27" s="103" t="n">
        <x:f>'Package Matrix'!O27*(1+Controls!B5)</x:f>
        <x:v>19.2</x:v>
      </x:c>
    </x:row>
    <x:row r="28">
      <x:c r="A28" s="57" t="str">
        <x:v>I-TSG</x:v>
      </x:c>
      <x:c r="B28" s="57" t="str">
        <x:v>Thermal safety group</x:v>
      </x:c>
      <x:c r="C28" s="103" t="n">
        <x:f>Inventory!I28*'Component Mix'!C28</x:f>
        <x:v>37.8</x:v>
      </x:c>
      <x:c r="D28" s="103" t="n">
        <x:f>Inventory!I28*'Component Mix'!D28</x:f>
        <x:v>27</x:v>
      </x:c>
      <x:c r="E28" s="103" t="n">
        <x:f>Inventory!I28*'Component Mix'!E28</x:f>
        <x:v>16.2</x:v>
      </x:c>
      <x:c r="F28" s="103" t="n">
        <x:f>Inventory!I28*'Component Mix'!F28</x:f>
        <x:v>27</x:v>
      </x:c>
      <x:c r="G28" s="103" t="n">
        <x:f>Inventory!I28*'Component Mix'!G28</x:f>
        <x:v>0</x:v>
      </x:c>
      <x:c r="H28" s="103" t="n">
        <x:f>C28*'Component Doctrine'!C$5+D28*'Component Doctrine'!C$6+E28*'Component Doctrine'!C$7+F28*'Component Doctrine'!C$8+G28*'Component Doctrine'!C$9</x:f>
        <x:v>63.18</x:v>
      </x:c>
      <x:c r="I28" s="103" t="n">
        <x:f>'Package Matrix'!N28*'Formation Catalog'!K28*(1+Controls!B5)</x:f>
        <x:v>30.240000000000002</x:v>
      </x:c>
      <x:c r="J28" s="103" t="n">
        <x:f>C28*'Component Doctrine'!D$5+D28*'Component Doctrine'!D$6+E28*'Component Doctrine'!D$7+F28*'Component Doctrine'!D$8+G28*'Component Doctrine'!D$9</x:f>
        <x:v>90.98999999999998</x:v>
      </x:c>
      <x:c r="K28" s="103" t="n">
        <x:f>Inventory!D28</x:f>
        <x:v>75.6</x:v>
      </x:c>
      <x:c r="L28" s="103" t="n">
        <x:f>C28*'Component Doctrine'!E$5+D28*'Component Doctrine'!E$6+E28*'Component Doctrine'!E$7+F28*'Component Doctrine'!E$8+G28*'Component Doctrine'!E$9</x:f>
        <x:v>78.3</x:v>
      </x:c>
      <x:c r="M28" s="103" t="n">
        <x:f>'Package Matrix'!O28*(1+Controls!B5)</x:f>
        <x:v>13.2</x:v>
      </x:c>
    </x:row>
    <x:row r="29">
      <x:c r="A29" s="76" t="str">
        <x:v>I-URG</x:v>
      </x:c>
      <x:c r="B29" s="76" t="str">
        <x:v>Utility reconstruction group</x:v>
      </x:c>
      <x:c r="C29" s="103" t="n">
        <x:f>Inventory!I29*'Component Mix'!C29</x:f>
        <x:v>44.099999999999994</x:v>
      </x:c>
      <x:c r="D29" s="103" t="n">
        <x:f>Inventory!I29*'Component Mix'!D29</x:f>
        <x:v>31.5</x:v>
      </x:c>
      <x:c r="E29" s="103" t="n">
        <x:f>Inventory!I29*'Component Mix'!E29</x:f>
        <x:v>18.9</x:v>
      </x:c>
      <x:c r="F29" s="103" t="n">
        <x:f>Inventory!I29*'Component Mix'!F29</x:f>
        <x:v>31.5</x:v>
      </x:c>
      <x:c r="G29" s="103" t="n">
        <x:f>Inventory!I29*'Component Mix'!G29</x:f>
        <x:v>0</x:v>
      </x:c>
      <x:c r="H29" s="103" t="n">
        <x:f>C29*'Component Doctrine'!C$5+D29*'Component Doctrine'!C$6+E29*'Component Doctrine'!C$7+F29*'Component Doctrine'!C$8+G29*'Component Doctrine'!C$9</x:f>
        <x:v>73.71</x:v>
      </x:c>
      <x:c r="I29" s="103" t="n">
        <x:f>'Package Matrix'!N29*'Formation Catalog'!K29*(1+Controls!B5)</x:f>
        <x:v>35.04</x:v>
      </x:c>
      <x:c r="J29" s="103" t="n">
        <x:f>C29*'Component Doctrine'!D$5+D29*'Component Doctrine'!D$6+E29*'Component Doctrine'!D$7+F29*'Component Doctrine'!D$8+G29*'Component Doctrine'!D$9</x:f>
        <x:v>106.15499999999999</x:v>
      </x:c>
      <x:c r="K29" s="103" t="n">
        <x:f>Inventory!D29</x:f>
        <x:v>87.6</x:v>
      </x:c>
      <x:c r="L29" s="103" t="n">
        <x:f>C29*'Component Doctrine'!E$5+D29*'Component Doctrine'!E$6+E29*'Component Doctrine'!E$7+F29*'Component Doctrine'!E$8+G29*'Component Doctrine'!E$9</x:f>
        <x:v>91.35</x:v>
      </x:c>
      <x:c r="M29" s="103" t="n">
        <x:f>'Package Matrix'!O29*(1+Controls!B5)</x:f>
        <x:v>21.599999999999998</x:v>
      </x:c>
    </x:row>
    <x:row r="30">
      <x:c r="A30" s="57" t="str">
        <x:v>H-CHC</x:v>
      </x:c>
      <x:c r="B30" s="57" t="str">
        <x:v>Community health continuity group</x:v>
      </x:c>
      <x:c r="C30" s="103" t="n">
        <x:f>Inventory!I30*'Component Mix'!C30</x:f>
        <x:v>48.65</x:v>
      </x:c>
      <x:c r="D30" s="103" t="n">
        <x:f>Inventory!I30*'Component Mix'!D30</x:f>
        <x:v>48.65</x:v>
      </x:c>
      <x:c r="E30" s="103" t="n">
        <x:f>Inventory!I30*'Component Mix'!E30</x:f>
        <x:v>20.849999999999998</x:v>
      </x:c>
      <x:c r="F30" s="103" t="n">
        <x:f>Inventory!I30*'Component Mix'!F30</x:f>
        <x:v>20.849999999999998</x:v>
      </x:c>
      <x:c r="G30" s="103" t="n">
        <x:f>Inventory!I30*'Component Mix'!G30</x:f>
        <x:v>0</x:v>
      </x:c>
      <x:c r="H30" s="103" t="n">
        <x:f>C30*'Component Doctrine'!C$5+D30*'Component Doctrine'!C$6+E30*'Component Doctrine'!C$7+F30*'Component Doctrine'!C$8+G30*'Component Doctrine'!C$9</x:f>
        <x:v>86.17999999999998</x:v>
      </x:c>
      <x:c r="I30" s="103" t="n">
        <x:f>'Package Matrix'!N30*'Formation Catalog'!K30*(1+Controls!B5)</x:f>
        <x:v>63</x:v>
      </x:c>
      <x:c r="J30" s="103" t="n">
        <x:f>C30*'Component Doctrine'!D$5+D30*'Component Doctrine'!D$6+E30*'Component Doctrine'!D$7+F30*'Component Doctrine'!D$8+G30*'Component Doctrine'!D$9</x:f>
        <x:v>119.88749999999999</x:v>
      </x:c>
      <x:c r="K30" s="103" t="n">
        <x:f>Inventory!D30</x:f>
        <x:v>90</x:v>
      </x:c>
      <x:c r="L30" s="103" t="n">
        <x:f>C30*'Component Doctrine'!E$5+D30*'Component Doctrine'!E$6+E30*'Component Doctrine'!E$7+F30*'Component Doctrine'!E$8+G30*'Component Doctrine'!E$9</x:f>
        <x:v>104.945</x:v>
      </x:c>
      <x:c r="M30" s="103" t="n">
        <x:f>'Package Matrix'!O30*(1+Controls!B5)</x:f>
        <x:v>24</x:v>
      </x:c>
    </x:row>
    <x:row r="31">
      <x:c r="A31" s="76" t="str">
        <x:v>H-MAC</x:v>
      </x:c>
      <x:c r="B31" s="76" t="str">
        <x:v>Mobile acute-care group</x:v>
      </x:c>
      <x:c r="C31" s="103" t="n">
        <x:f>Inventory!I31*'Component Mix'!C31</x:f>
        <x:v>31.849999999999998</x:v>
      </x:c>
      <x:c r="D31" s="103" t="n">
        <x:f>Inventory!I31*'Component Mix'!D31</x:f>
        <x:v>31.849999999999998</x:v>
      </x:c>
      <x:c r="E31" s="103" t="n">
        <x:f>Inventory!I31*'Component Mix'!E31</x:f>
        <x:v>13.65</x:v>
      </x:c>
      <x:c r="F31" s="103" t="n">
        <x:f>Inventory!I31*'Component Mix'!F31</x:f>
        <x:v>13.65</x:v>
      </x:c>
      <x:c r="G31" s="103" t="n">
        <x:f>Inventory!I31*'Component Mix'!G31</x:f>
        <x:v>0</x:v>
      </x:c>
      <x:c r="H31" s="103" t="n">
        <x:f>C31*'Component Doctrine'!C$5+D31*'Component Doctrine'!C$6+E31*'Component Doctrine'!C$7+F31*'Component Doctrine'!C$8+G31*'Component Doctrine'!C$9</x:f>
        <x:v>56.42</x:v>
      </x:c>
      <x:c r="I31" s="103" t="n">
        <x:f>'Package Matrix'!N31*'Formation Catalog'!K31*(1+Controls!B5)</x:f>
        <x:v>41.16</x:v>
      </x:c>
      <x:c r="J31" s="103" t="n">
        <x:f>C31*'Component Doctrine'!D$5+D31*'Component Doctrine'!D$6+E31*'Component Doctrine'!D$7+F31*'Component Doctrine'!D$8+G31*'Component Doctrine'!D$9</x:f>
        <x:v>78.48750000000001</x:v>
      </x:c>
      <x:c r="K31" s="103" t="n">
        <x:f>Inventory!D31</x:f>
        <x:v>58.8</x:v>
      </x:c>
      <x:c r="L31" s="103" t="n">
        <x:f>C31*'Component Doctrine'!E$5+D31*'Component Doctrine'!E$6+E31*'Component Doctrine'!E$7+F31*'Component Doctrine'!E$8+G31*'Component Doctrine'!E$9</x:f>
        <x:v>68.705</x:v>
      </x:c>
      <x:c r="M31" s="103" t="n">
        <x:f>'Package Matrix'!O31*(1+Controls!B5)</x:f>
        <x:v>16.8</x:v>
      </x:c>
    </x:row>
    <x:row r="32">
      <x:c r="A32" s="57" t="str">
        <x:v>H-PHC</x:v>
      </x:c>
      <x:c r="B32" s="57" t="str">
        <x:v>Public-health control group</x:v>
      </x:c>
      <x:c r="C32" s="103" t="n">
        <x:f>Inventory!I32*'Component Mix'!C32</x:f>
        <x:v>27.299999999999997</x:v>
      </x:c>
      <x:c r="D32" s="103" t="n">
        <x:f>Inventory!I32*'Component Mix'!D32</x:f>
        <x:v>27.299999999999997</x:v>
      </x:c>
      <x:c r="E32" s="103" t="n">
        <x:f>Inventory!I32*'Component Mix'!E32</x:f>
        <x:v>11.7</x:v>
      </x:c>
      <x:c r="F32" s="103" t="n">
        <x:f>Inventory!I32*'Component Mix'!F32</x:f>
        <x:v>11.7</x:v>
      </x:c>
      <x:c r="G32" s="103" t="n">
        <x:f>Inventory!I32*'Component Mix'!G32</x:f>
        <x:v>0</x:v>
      </x:c>
      <x:c r="H32" s="103" t="n">
        <x:f>C32*'Component Doctrine'!C$5+D32*'Component Doctrine'!C$6+E32*'Component Doctrine'!C$7+F32*'Component Doctrine'!C$8+G32*'Component Doctrine'!C$9</x:f>
        <x:v>48.35999999999999</x:v>
      </x:c>
      <x:c r="I32" s="103" t="n">
        <x:f>'Package Matrix'!N32*'Formation Catalog'!K32*(1+Controls!B5)</x:f>
        <x:v>35.279999999999994</x:v>
      </x:c>
      <x:c r="J32" s="103" t="n">
        <x:f>C32*'Component Doctrine'!D$5+D32*'Component Doctrine'!D$6+E32*'Component Doctrine'!D$7+F32*'Component Doctrine'!D$8+G32*'Component Doctrine'!D$9</x:f>
        <x:v>67.27499999999999</x:v>
      </x:c>
      <x:c r="K32" s="103" t="n">
        <x:f>Inventory!D32</x:f>
        <x:v>50.4</x:v>
      </x:c>
      <x:c r="L32" s="103" t="n">
        <x:f>C32*'Component Doctrine'!E$5+D32*'Component Doctrine'!E$6+E32*'Component Doctrine'!E$7+F32*'Component Doctrine'!E$8+G32*'Component Doctrine'!E$9</x:f>
        <x:v>58.889999999999986</x:v>
      </x:c>
      <x:c r="M32" s="103" t="n">
        <x:f>'Package Matrix'!O32*(1+Controls!B5)</x:f>
        <x:v>14.399999999999999</x:v>
      </x:c>
    </x:row>
    <x:row r="33">
      <x:c r="A33" s="76" t="str">
        <x:v>H-HWR</x:v>
      </x:c>
      <x:c r="B33" s="76" t="str">
        <x:v>Health workforce replacement group</x:v>
      </x:c>
      <x:c r="C33" s="103" t="n">
        <x:f>Inventory!I33*'Component Mix'!C33</x:f>
        <x:v>48.65</x:v>
      </x:c>
      <x:c r="D33" s="103" t="n">
        <x:f>Inventory!I33*'Component Mix'!D33</x:f>
        <x:v>48.65</x:v>
      </x:c>
      <x:c r="E33" s="103" t="n">
        <x:f>Inventory!I33*'Component Mix'!E33</x:f>
        <x:v>20.849999999999998</x:v>
      </x:c>
      <x:c r="F33" s="103" t="n">
        <x:f>Inventory!I33*'Component Mix'!F33</x:f>
        <x:v>20.849999999999998</x:v>
      </x:c>
      <x:c r="G33" s="103" t="n">
        <x:f>Inventory!I33*'Component Mix'!G33</x:f>
        <x:v>0</x:v>
      </x:c>
      <x:c r="H33" s="103" t="n">
        <x:f>C33*'Component Doctrine'!C$5+D33*'Component Doctrine'!C$6+E33*'Component Doctrine'!C$7+F33*'Component Doctrine'!C$8+G33*'Component Doctrine'!C$9</x:f>
        <x:v>86.17999999999998</x:v>
      </x:c>
      <x:c r="I33" s="103" t="n">
        <x:f>'Package Matrix'!N33*'Formation Catalog'!K33*(1+Controls!B5)</x:f>
        <x:v>63</x:v>
      </x:c>
      <x:c r="J33" s="103" t="n">
        <x:f>C33*'Component Doctrine'!D$5+D33*'Component Doctrine'!D$6+E33*'Component Doctrine'!D$7+F33*'Component Doctrine'!D$8+G33*'Component Doctrine'!D$9</x:f>
        <x:v>119.88749999999999</x:v>
      </x:c>
      <x:c r="K33" s="103" t="n">
        <x:f>Inventory!D33</x:f>
        <x:v>90</x:v>
      </x:c>
      <x:c r="L33" s="103" t="n">
        <x:f>C33*'Component Doctrine'!E$5+D33*'Component Doctrine'!E$6+E33*'Component Doctrine'!E$7+F33*'Component Doctrine'!E$8+G33*'Component Doctrine'!E$9</x:f>
        <x:v>104.945</x:v>
      </x:c>
      <x:c r="M33" s="103" t="n">
        <x:f>'Package Matrix'!O33*(1+Controls!B5)</x:f>
        <x:v>24</x:v>
      </x:c>
    </x:row>
    <x:row r="34">
      <x:c r="A34" s="57" t="str">
        <x:v>C-PSG</x:v>
      </x:c>
      <x:c r="B34" s="57" t="str">
        <x:v>Population support group</x:v>
      </x:c>
      <x:c r="C34" s="103" t="n">
        <x:f>Inventory!I34*'Component Mix'!C34</x:f>
        <x:v>34.6</x:v>
      </x:c>
      <x:c r="D34" s="103" t="n">
        <x:f>Inventory!I34*'Component Mix'!D34</x:f>
        <x:v>43.25</x:v>
      </x:c>
      <x:c r="E34" s="103" t="n">
        <x:f>Inventory!I34*'Component Mix'!E34</x:f>
        <x:v>60.55</x:v>
      </x:c>
      <x:c r="F34" s="103" t="n">
        <x:f>Inventory!I34*'Component Mix'!F34</x:f>
        <x:v>34.6</x:v>
      </x:c>
      <x:c r="G34" s="103" t="n">
        <x:f>Inventory!I34*'Component Mix'!G34</x:f>
        <x:v>0</x:v>
      </x:c>
      <x:c r="H34" s="103" t="n">
        <x:f>C34*'Component Doctrine'!C$5+D34*'Component Doctrine'!C$6+E34*'Component Doctrine'!C$7+F34*'Component Doctrine'!C$8+G34*'Component Doctrine'!C$9</x:f>
        <x:v>96.88</x:v>
      </x:c>
      <x:c r="I34" s="103" t="n">
        <x:f>'Package Matrix'!N34*'Formation Catalog'!K34*(1+Controls!B5)</x:f>
        <x:v>84.24</x:v>
      </x:c>
      <x:c r="J34" s="103" t="n">
        <x:f>C34*'Component Doctrine'!D$5+D34*'Component Doctrine'!D$6+E34*'Component Doctrine'!D$7+F34*'Component Doctrine'!D$8+G34*'Component Doctrine'!D$9</x:f>
        <x:v>145.7525</x:v>
      </x:c>
      <x:c r="K34" s="103" t="n">
        <x:f>Inventory!D34</x:f>
        <x:v>129.6</x:v>
      </x:c>
      <x:c r="L34" s="103" t="n">
        <x:f>C34*'Component Doctrine'!E$5+D34*'Component Doctrine'!E$6+E34*'Component Doctrine'!E$7+F34*'Component Doctrine'!E$8+G34*'Component Doctrine'!E$9</x:f>
        <x:v>94.28500000000001</x:v>
      </x:c>
      <x:c r="M34" s="103" t="n">
        <x:f>'Package Matrix'!O34*(1+Controls!B5)</x:f>
        <x:v>36</x:v>
      </x:c>
    </x:row>
    <x:row r="35">
      <x:c r="A35" s="76" t="str">
        <x:v>C-EGG</x:v>
      </x:c>
      <x:c r="B35" s="76" t="str">
        <x:v>Essential-goods group</x:v>
      </x:c>
      <x:c r="C35" s="103" t="n">
        <x:f>Inventory!I35*'Component Mix'!C35</x:f>
        <x:v>34.6</x:v>
      </x:c>
      <x:c r="D35" s="103" t="n">
        <x:f>Inventory!I35*'Component Mix'!D35</x:f>
        <x:v>43.25</x:v>
      </x:c>
      <x:c r="E35" s="103" t="n">
        <x:f>Inventory!I35*'Component Mix'!E35</x:f>
        <x:v>60.55</x:v>
      </x:c>
      <x:c r="F35" s="103" t="n">
        <x:f>Inventory!I35*'Component Mix'!F35</x:f>
        <x:v>34.6</x:v>
      </x:c>
      <x:c r="G35" s="103" t="n">
        <x:f>Inventory!I35*'Component Mix'!G35</x:f>
        <x:v>0</x:v>
      </x:c>
      <x:c r="H35" s="103" t="n">
        <x:f>C35*'Component Doctrine'!C$5+D35*'Component Doctrine'!C$6+E35*'Component Doctrine'!C$7+F35*'Component Doctrine'!C$8+G35*'Component Doctrine'!C$9</x:f>
        <x:v>96.88</x:v>
      </x:c>
      <x:c r="I35" s="103" t="n">
        <x:f>'Package Matrix'!N35*'Formation Catalog'!K35*(1+Controls!B5)</x:f>
        <x:v>84.24</x:v>
      </x:c>
      <x:c r="J35" s="103" t="n">
        <x:f>C35*'Component Doctrine'!D$5+D35*'Component Doctrine'!D$6+E35*'Component Doctrine'!D$7+F35*'Component Doctrine'!D$8+G35*'Component Doctrine'!D$9</x:f>
        <x:v>145.7525</x:v>
      </x:c>
      <x:c r="K35" s="103" t="n">
        <x:f>Inventory!D35</x:f>
        <x:v>129.6</x:v>
      </x:c>
      <x:c r="L35" s="103" t="n">
        <x:f>C35*'Component Doctrine'!E$5+D35*'Component Doctrine'!E$6+E35*'Component Doctrine'!E$7+F35*'Component Doctrine'!E$8+G35*'Component Doctrine'!E$9</x:f>
        <x:v>94.28500000000001</x:v>
      </x:c>
      <x:c r="M35" s="103" t="n">
        <x:f>'Package Matrix'!O35*(1+Controls!B5)</x:f>
        <x:v>36</x:v>
      </x:c>
    </x:row>
    <x:row r="36">
      <x:c r="A36" s="57" t="str">
        <x:v>C-CAG</x:v>
      </x:c>
      <x:c r="B36" s="57" t="str">
        <x:v>Civil access group</x:v>
      </x:c>
      <x:c r="C36" s="103" t="n">
        <x:f>Inventory!I36*'Component Mix'!C36</x:f>
        <x:v>26.400000000000002</x:v>
      </x:c>
      <x:c r="D36" s="103" t="n">
        <x:f>Inventory!I36*'Component Mix'!D36</x:f>
        <x:v>33</x:v>
      </x:c>
      <x:c r="E36" s="103" t="n">
        <x:f>Inventory!I36*'Component Mix'!E36</x:f>
        <x:v>46.199999999999996</x:v>
      </x:c>
      <x:c r="F36" s="103" t="n">
        <x:f>Inventory!I36*'Component Mix'!F36</x:f>
        <x:v>26.400000000000002</x:v>
      </x:c>
      <x:c r="G36" s="103" t="n">
        <x:f>Inventory!I36*'Component Mix'!G36</x:f>
        <x:v>0</x:v>
      </x:c>
      <x:c r="H36" s="103" t="n">
        <x:f>C36*'Component Doctrine'!C$5+D36*'Component Doctrine'!C$6+E36*'Component Doctrine'!C$7+F36*'Component Doctrine'!C$8+G36*'Component Doctrine'!C$9</x:f>
        <x:v>73.92</x:v>
      </x:c>
      <x:c r="I36" s="103" t="n">
        <x:f>'Package Matrix'!N36*'Formation Catalog'!K36*(1+Controls!B5)</x:f>
        <x:v>63.96</x:v>
      </x:c>
      <x:c r="J36" s="103" t="n">
        <x:f>C36*'Component Doctrine'!D$5+D36*'Component Doctrine'!D$6+E36*'Component Doctrine'!D$7+F36*'Component Doctrine'!D$8+G36*'Component Doctrine'!D$9</x:f>
        <x:v>111.21</x:v>
      </x:c>
      <x:c r="K36" s="103" t="n">
        <x:f>Inventory!D36</x:f>
        <x:v>98.39999999999999</x:v>
      </x:c>
      <x:c r="L36" s="103" t="n">
        <x:f>C36*'Component Doctrine'!E$5+D36*'Component Doctrine'!E$6+E36*'Component Doctrine'!E$7+F36*'Component Doctrine'!E$8+G36*'Component Doctrine'!E$9</x:f>
        <x:v>71.94</x:v>
      </x:c>
      <x:c r="M36" s="103" t="n">
        <x:f>'Package Matrix'!O36*(1+Controls!B5)</x:f>
        <x:v>26.4</x:v>
      </x:c>
    </x:row>
    <x:row r="37">
      <x:c r="A37" s="76" t="str">
        <x:v>C-DTG</x:v>
      </x:c>
      <x:c r="B37" s="76" t="str">
        <x:v>Displacement transition group</x:v>
      </x:c>
      <x:c r="C37" s="103" t="n">
        <x:f>Inventory!I37*'Component Mix'!C37</x:f>
        <x:v>25.400000000000002</x:v>
      </x:c>
      <x:c r="D37" s="103" t="n">
        <x:f>Inventory!I37*'Component Mix'!D37</x:f>
        <x:v>31.75</x:v>
      </x:c>
      <x:c r="E37" s="103" t="n">
        <x:f>Inventory!I37*'Component Mix'!E37</x:f>
        <x:v>44.449999999999996</x:v>
      </x:c>
      <x:c r="F37" s="103" t="n">
        <x:f>Inventory!I37*'Component Mix'!F37</x:f>
        <x:v>25.400000000000002</x:v>
      </x:c>
      <x:c r="G37" s="103" t="n">
        <x:f>Inventory!I37*'Component Mix'!G37</x:f>
        <x:v>0</x:v>
      </x:c>
      <x:c r="H37" s="103" t="n">
        <x:f>C37*'Component Doctrine'!C$5+D37*'Component Doctrine'!C$6+E37*'Component Doctrine'!C$7+F37*'Component Doctrine'!C$8+G37*'Component Doctrine'!C$9</x:f>
        <x:v>71.12</x:v>
      </x:c>
      <x:c r="I37" s="103" t="n">
        <x:f>'Package Matrix'!N37*'Formation Catalog'!K37*(1+Controls!B5)</x:f>
        <x:v>61.62</x:v>
      </x:c>
      <x:c r="J37" s="103" t="n">
        <x:f>C37*'Component Doctrine'!D$5+D37*'Component Doctrine'!D$6+E37*'Component Doctrine'!D$7+F37*'Component Doctrine'!D$8+G37*'Component Doctrine'!D$9</x:f>
        <x:v>106.9975</x:v>
      </x:c>
      <x:c r="K37" s="103" t="n">
        <x:f>Inventory!D37</x:f>
        <x:v>94.8</x:v>
      </x:c>
      <x:c r="L37" s="103" t="n">
        <x:f>C37*'Component Doctrine'!E$5+D37*'Component Doctrine'!E$6+E37*'Component Doctrine'!E$7+F37*'Component Doctrine'!E$8+G37*'Component Doctrine'!E$9</x:f>
        <x:v>69.215</x:v>
      </x:c>
      <x:c r="M37" s="103" t="n">
        <x:f>'Package Matrix'!O37*(1+Controls!B5)</x:f>
        <x:v>28.799999999999997</x:v>
      </x:c>
    </x:row>
    <x:row r="38">
      <x:c r="A38" s="57" t="str">
        <x:v>C-CIG</x:v>
      </x:c>
      <x:c r="B38" s="57" t="str">
        <x:v>Community institutions group</x:v>
      </x:c>
      <x:c r="C38" s="103" t="n">
        <x:f>Inventory!I38*'Component Mix'!C38</x:f>
        <x:v>21.200000000000003</x:v>
      </x:c>
      <x:c r="D38" s="103" t="n">
        <x:f>Inventory!I38*'Component Mix'!D38</x:f>
        <x:v>26.5</x:v>
      </x:c>
      <x:c r="E38" s="103" t="n">
        <x:f>Inventory!I38*'Component Mix'!E38</x:f>
        <x:v>37.099999999999994</x:v>
      </x:c>
      <x:c r="F38" s="103" t="n">
        <x:f>Inventory!I38*'Component Mix'!F38</x:f>
        <x:v>21.200000000000003</x:v>
      </x:c>
      <x:c r="G38" s="103" t="n">
        <x:f>Inventory!I38*'Component Mix'!G38</x:f>
        <x:v>0</x:v>
      </x:c>
      <x:c r="H38" s="103" t="n">
        <x:f>C38*'Component Doctrine'!C$5+D38*'Component Doctrine'!C$6+E38*'Component Doctrine'!C$7+F38*'Component Doctrine'!C$8+G38*'Component Doctrine'!C$9</x:f>
        <x:v>59.35999999999999</x:v>
      </x:c>
      <x:c r="I38" s="103" t="n">
        <x:f>'Package Matrix'!N38*'Formation Catalog'!K38*(1+Controls!B5)</x:f>
        <x:v>51.48</x:v>
      </x:c>
      <x:c r="J38" s="103" t="n">
        <x:f>C38*'Component Doctrine'!D$5+D38*'Component Doctrine'!D$6+E38*'Component Doctrine'!D$7+F38*'Component Doctrine'!D$8+G38*'Component Doctrine'!D$9</x:f>
        <x:v>89.305</x:v>
      </x:c>
      <x:c r="K38" s="103" t="n">
        <x:f>Inventory!D38</x:f>
        <x:v>79.2</x:v>
      </x:c>
      <x:c r="L38" s="103" t="n">
        <x:f>C38*'Component Doctrine'!E$5+D38*'Component Doctrine'!E$6+E38*'Component Doctrine'!E$7+F38*'Component Doctrine'!E$8+G38*'Component Doctrine'!E$9</x:f>
        <x:v>57.77</x:v>
      </x:c>
      <x:c r="M38" s="103" t="n">
        <x:f>'Package Matrix'!O38*(1+Controls!B5)</x:f>
        <x:v>21.599999999999998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39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</x:cols>
  <x:sheetData>
    <x:row r="1" ht="24" customHeight="1">
      <x:c r="A1" s="50" t="str">
        <x:v>Workforce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2" ht="24" customHeight="1">
      <x:c r="A2" s="52" t="str">
        <x:v>Formation inventory and crew rotations generate affiliated billet-equivalents by component.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</x:row>
    <x:row r="4" ht="32" customHeight="1">
      <x:c r="A4" s="59" t="str">
        <x:v>ID</x:v>
      </x:c>
      <x:c r="B4" s="60" t="str">
        <x:v>Service</x:v>
      </x:c>
      <x:c r="C4" s="60" t="str">
        <x:v>Formation</x:v>
      </x:c>
      <x:c r="D4" s="60" t="str">
        <x:v>Inventory</x:v>
      </x:c>
      <x:c r="E4" s="60" t="str">
        <x:v>On-duty people</x:v>
      </x:c>
      <x:c r="F4" s="60" t="str">
        <x:v>Crew sets</x:v>
      </x:c>
      <x:c r="G4" s="60" t="str">
        <x:v>Direct billets</x:v>
      </x:c>
      <x:c r="H4" s="60" t="str">
        <x:v>Permanent federal</x:v>
      </x:c>
      <x:c r="I4" s="60" t="str">
        <x:v>Federal reserve</x:v>
      </x:c>
      <x:c r="J4" s="60" t="str">
        <x:v>State / territorial</x:v>
      </x:c>
      <x:c r="K4" s="60" t="str">
        <x:v>Certified industry</x:v>
      </x:c>
      <x:c r="L4" s="61" t="str">
        <x:v>Partner / allied</x:v>
      </x:c>
    </x:row>
    <x:row r="5">
      <x:c r="A5" s="76" t="str">
        <x:v>J-CIE</x:v>
      </x:c>
      <x:c r="B5" s="76" t="str">
        <x:v>Joint</x:v>
      </x:c>
      <x:c r="C5" s="76" t="str">
        <x:v>Civil integration and effects group</x:v>
      </x:c>
      <x:c r="D5" s="94" t="n">
        <x:f>Inventory!I5</x:f>
        <x:v>53</x:v>
      </x:c>
      <x:c r="E5" s="94" t="n">
        <x:f>'Formation Catalog'!D5</x:f>
        <x:v>120</x:v>
      </x:c>
      <x:c r="F5" s="106" t="n">
        <x:f>'Formation Catalog'!E5</x:f>
        <x:v>2.5</x:v>
      </x:c>
      <x:c r="G5" s="94" t="n">
        <x:f>IF(A5="I-UPG",0,D5*E5*F5)</x:f>
        <x:v>15900</x:v>
      </x:c>
      <x:c r="H5" s="94" t="n">
        <x:f>G5*'Component Mix'!C5</x:f>
        <x:v>9540</x:v>
      </x:c>
      <x:c r="I5" s="94" t="n">
        <x:f>G5*'Component Mix'!D5</x:f>
        <x:v>3180</x:v>
      </x:c>
      <x:c r="J5" s="94" t="n">
        <x:f>G5*'Component Mix'!E5</x:f>
        <x:v>1590</x:v>
      </x:c>
      <x:c r="K5" s="94" t="n">
        <x:f>G5*'Component Mix'!F5</x:f>
        <x:v>795</x:v>
      </x:c>
      <x:c r="L5" s="94" t="n">
        <x:f>G5*'Component Mix'!G5</x:f>
        <x:v>795</x:v>
      </x:c>
    </x:row>
    <x:row r="6">
      <x:c r="A6" s="57" t="str">
        <x:v>J-TOC</x:v>
      </x:c>
      <x:c r="B6" s="57" t="str">
        <x:v>Joint</x:v>
      </x:c>
      <x:c r="C6" s="57" t="str">
        <x:v>Theater-opening command</x:v>
      </x:c>
      <x:c r="D6" s="94" t="n">
        <x:f>Inventory!I6</x:f>
        <x:v>36</x:v>
      </x:c>
      <x:c r="E6" s="94" t="n">
        <x:f>'Formation Catalog'!D6</x:f>
        <x:v>600</x:v>
      </x:c>
      <x:c r="F6" s="106" t="n">
        <x:f>'Formation Catalog'!E6</x:f>
        <x:v>2.5</x:v>
      </x:c>
      <x:c r="G6" s="94" t="n">
        <x:f>IF(A6="I-UPG",0,D6*E6*F6)</x:f>
        <x:v>54000</x:v>
      </x:c>
      <x:c r="H6" s="94" t="n">
        <x:f>G6*'Component Mix'!C6</x:f>
        <x:v>32400</x:v>
      </x:c>
      <x:c r="I6" s="94" t="n">
        <x:f>G6*'Component Mix'!D6</x:f>
        <x:v>10800</x:v>
      </x:c>
      <x:c r="J6" s="94" t="n">
        <x:f>G6*'Component Mix'!E6</x:f>
        <x:v>5400</x:v>
      </x:c>
      <x:c r="K6" s="94" t="n">
        <x:f>G6*'Component Mix'!F6</x:f>
        <x:v>2700</x:v>
      </x:c>
      <x:c r="L6" s="94" t="n">
        <x:f>G6*'Component Mix'!G6</x:f>
        <x:v>2700</x:v>
      </x:c>
    </x:row>
    <x:row r="7">
      <x:c r="A7" s="76" t="str">
        <x:v>J-TSC</x:v>
      </x:c>
      <x:c r="B7" s="76" t="str">
        <x:v>Joint</x:v>
      </x:c>
      <x:c r="C7" s="76" t="str">
        <x:v>Theater sustainment command</x:v>
      </x:c>
      <x:c r="D7" s="94" t="n">
        <x:f>Inventory!I7</x:f>
        <x:v>51</x:v>
      </x:c>
      <x:c r="E7" s="94" t="n">
        <x:f>'Formation Catalog'!D7</x:f>
        <x:v>900</x:v>
      </x:c>
      <x:c r="F7" s="106" t="n">
        <x:f>'Formation Catalog'!E7</x:f>
        <x:v>2.5</x:v>
      </x:c>
      <x:c r="G7" s="94" t="n">
        <x:f>IF(A7="I-UPG",0,D7*E7*F7)</x:f>
        <x:v>114750</x:v>
      </x:c>
      <x:c r="H7" s="94" t="n">
        <x:f>G7*'Component Mix'!C7</x:f>
        <x:v>68850</x:v>
      </x:c>
      <x:c r="I7" s="94" t="n">
        <x:f>G7*'Component Mix'!D7</x:f>
        <x:v>22950</x:v>
      </x:c>
      <x:c r="J7" s="94" t="n">
        <x:f>G7*'Component Mix'!E7</x:f>
        <x:v>11475</x:v>
      </x:c>
      <x:c r="K7" s="94" t="n">
        <x:f>G7*'Component Mix'!F7</x:f>
        <x:v>5737.5</x:v>
      </x:c>
      <x:c r="L7" s="94" t="n">
        <x:f>G7*'Component Mix'!G7</x:f>
        <x:v>5737.5</x:v>
      </x:c>
    </x:row>
    <x:row r="8">
      <x:c r="A8" s="57" t="str">
        <x:v>J-RRG</x:v>
      </x:c>
      <x:c r="B8" s="57" t="str">
        <x:v>Joint</x:v>
      </x:c>
      <x:c r="C8" s="57" t="str">
        <x:v>Replacement and reconstitution group</x:v>
      </x:c>
      <x:c r="D8" s="94" t="n">
        <x:f>Inventory!I8</x:f>
        <x:v>51</x:v>
      </x:c>
      <x:c r="E8" s="94" t="n">
        <x:f>'Formation Catalog'!D8</x:f>
        <x:v>400</x:v>
      </x:c>
      <x:c r="F8" s="106" t="n">
        <x:f>'Formation Catalog'!E8</x:f>
        <x:v>2.5</x:v>
      </x:c>
      <x:c r="G8" s="94" t="n">
        <x:f>IF(A8="I-UPG",0,D8*E8*F8)</x:f>
        <x:v>51000</x:v>
      </x:c>
      <x:c r="H8" s="94" t="n">
        <x:f>G8*'Component Mix'!C8</x:f>
        <x:v>30600</x:v>
      </x:c>
      <x:c r="I8" s="94" t="n">
        <x:f>G8*'Component Mix'!D8</x:f>
        <x:v>10200</x:v>
      </x:c>
      <x:c r="J8" s="94" t="n">
        <x:f>G8*'Component Mix'!E8</x:f>
        <x:v>5100</x:v>
      </x:c>
      <x:c r="K8" s="94" t="n">
        <x:f>G8*'Component Mix'!F8</x:f>
        <x:v>2550</x:v>
      </x:c>
      <x:c r="L8" s="94" t="n">
        <x:f>G8*'Component Mix'!G8</x:f>
        <x:v>2550</x:v>
      </x:c>
    </x:row>
    <x:row r="9">
      <x:c r="A9" s="76" t="str">
        <x:v>J-TDG</x:v>
      </x:c>
      <x:c r="B9" s="76" t="str">
        <x:v>Joint</x:v>
      </x:c>
      <x:c r="C9" s="76" t="str">
        <x:v>Transfer and demobilization group</x:v>
      </x:c>
      <x:c r="D9" s="94" t="n">
        <x:f>Inventory!I9</x:f>
        <x:v>36</x:v>
      </x:c>
      <x:c r="E9" s="94" t="n">
        <x:f>'Formation Catalog'!D9</x:f>
        <x:v>150</x:v>
      </x:c>
      <x:c r="F9" s="106" t="n">
        <x:f>'Formation Catalog'!E9</x:f>
        <x:v>2.5</x:v>
      </x:c>
      <x:c r="G9" s="94" t="n">
        <x:f>IF(A9="I-UPG",0,D9*E9*F9)</x:f>
        <x:v>13500</x:v>
      </x:c>
      <x:c r="H9" s="94" t="n">
        <x:f>G9*'Component Mix'!C9</x:f>
        <x:v>8100</x:v>
      </x:c>
      <x:c r="I9" s="94" t="n">
        <x:f>G9*'Component Mix'!D9</x:f>
        <x:v>2700</x:v>
      </x:c>
      <x:c r="J9" s="94" t="n">
        <x:f>G9*'Component Mix'!E9</x:f>
        <x:v>1350</x:v>
      </x:c>
      <x:c r="K9" s="94" t="n">
        <x:f>G9*'Component Mix'!F9</x:f>
        <x:v>675</x:v>
      </x:c>
      <x:c r="L9" s="94" t="n">
        <x:f>G9*'Component Mix'!G9</x:f>
        <x:v>675</x:v>
      </x:c>
    </x:row>
    <x:row r="10">
      <x:c r="A10" s="57" t="str">
        <x:v>L-ROG</x:v>
      </x:c>
      <x:c r="B10" s="57" t="str">
        <x:v>Land Engineering</x:v>
      </x:c>
      <x:c r="C10" s="57" t="str">
        <x:v>Access and route-opening group</x:v>
      </x:c>
      <x:c r="D10" s="94" t="n">
        <x:f>Inventory!I10</x:f>
        <x:v>121</x:v>
      </x:c>
      <x:c r="E10" s="94" t="n">
        <x:f>'Formation Catalog'!D10</x:f>
        <x:v>350</x:v>
      </x:c>
      <x:c r="F10" s="106" t="n">
        <x:f>'Formation Catalog'!E10</x:f>
        <x:v>2.6</x:v>
      </x:c>
      <x:c r="G10" s="94" t="n">
        <x:f>IF(A10="I-UPG",0,D10*E10*F10)</x:f>
        <x:v>110110</x:v>
      </x:c>
      <x:c r="H10" s="94" t="n">
        <x:f>G10*'Component Mix'!C10</x:f>
        <x:v>38538.5</x:v>
      </x:c>
      <x:c r="I10" s="94" t="n">
        <x:f>G10*'Component Mix'!D10</x:f>
        <x:v>27527.5</x:v>
      </x:c>
      <x:c r="J10" s="94" t="n">
        <x:f>G10*'Component Mix'!E10</x:f>
        <x:v>27527.5</x:v>
      </x:c>
      <x:c r="K10" s="94" t="n">
        <x:f>G10*'Component Mix'!F10</x:f>
        <x:v>16516.5</x:v>
      </x:c>
      <x:c r="L10" s="94" t="n">
        <x:f>G10*'Component Mix'!G10</x:f>
        <x:v>0</x:v>
      </x:c>
    </x:row>
    <x:row r="11">
      <x:c r="A11" s="76" t="str">
        <x:v>L-HCG</x:v>
      </x:c>
      <x:c r="B11" s="76" t="str">
        <x:v>Land Engineering</x:v>
      </x:c>
      <x:c r="C11" s="76" t="str">
        <x:v>Flood and hydraulic-control group</x:v>
      </x:c>
      <x:c r="D11" s="94" t="n">
        <x:f>Inventory!I11</x:f>
        <x:v>86</x:v>
      </x:c>
      <x:c r="E11" s="94" t="n">
        <x:f>'Formation Catalog'!D11</x:f>
        <x:v>500</x:v>
      </x:c>
      <x:c r="F11" s="106" t="n">
        <x:f>'Formation Catalog'!E11</x:f>
        <x:v>2.6</x:v>
      </x:c>
      <x:c r="G11" s="94" t="n">
        <x:f>IF(A11="I-UPG",0,D11*E11*F11)</x:f>
        <x:v>111800</x:v>
      </x:c>
      <x:c r="H11" s="94" t="n">
        <x:f>G11*'Component Mix'!C11</x:f>
        <x:v>39130</x:v>
      </x:c>
      <x:c r="I11" s="94" t="n">
        <x:f>G11*'Component Mix'!D11</x:f>
        <x:v>27950</x:v>
      </x:c>
      <x:c r="J11" s="94" t="n">
        <x:f>G11*'Component Mix'!E11</x:f>
        <x:v>27950</x:v>
      </x:c>
      <x:c r="K11" s="94" t="n">
        <x:f>G11*'Component Mix'!F11</x:f>
        <x:v>16770</x:v>
      </x:c>
      <x:c r="L11" s="94" t="n">
        <x:f>G11*'Component Mix'!G11</x:f>
        <x:v>0</x:v>
      </x:c>
    </x:row>
    <x:row r="12">
      <x:c r="A12" s="57" t="str">
        <x:v>L-DMG</x:v>
      </x:c>
      <x:c r="B12" s="57" t="str">
        <x:v>Land Engineering</x:v>
      </x:c>
      <x:c r="C12" s="57" t="str">
        <x:v>Debris and materials group</x:v>
      </x:c>
      <x:c r="D12" s="94" t="n">
        <x:f>Inventory!I12</x:f>
        <x:v>112</x:v>
      </x:c>
      <x:c r="E12" s="94" t="n">
        <x:f>'Formation Catalog'!D12</x:f>
        <x:v>400</x:v>
      </x:c>
      <x:c r="F12" s="106" t="n">
        <x:f>'Formation Catalog'!E12</x:f>
        <x:v>2.6</x:v>
      </x:c>
      <x:c r="G12" s="94" t="n">
        <x:f>IF(A12="I-UPG",0,D12*E12*F12)</x:f>
        <x:v>116480</x:v>
      </x:c>
      <x:c r="H12" s="94" t="n">
        <x:f>G12*'Component Mix'!C12</x:f>
        <x:v>40768</x:v>
      </x:c>
      <x:c r="I12" s="94" t="n">
        <x:f>G12*'Component Mix'!D12</x:f>
        <x:v>29120</x:v>
      </x:c>
      <x:c r="J12" s="94" t="n">
        <x:f>G12*'Component Mix'!E12</x:f>
        <x:v>29120</x:v>
      </x:c>
      <x:c r="K12" s="94" t="n">
        <x:f>G12*'Component Mix'!F12</x:f>
        <x:v>17472</x:v>
      </x:c>
      <x:c r="L12" s="94" t="n">
        <x:f>G12*'Component Mix'!G12</x:f>
        <x:v>0</x:v>
      </x:c>
    </x:row>
    <x:row r="13">
      <x:c r="A13" s="76" t="str">
        <x:v>L-TWG</x:v>
      </x:c>
      <x:c r="B13" s="76" t="str">
        <x:v>Land Engineering</x:v>
      </x:c>
      <x:c r="C13" s="76" t="str">
        <x:v>Temporary works and crossing group</x:v>
      </x:c>
      <x:c r="D13" s="94" t="n">
        <x:f>Inventory!I13</x:f>
        <x:v>91</x:v>
      </x:c>
      <x:c r="E13" s="94" t="n">
        <x:f>'Formation Catalog'!D13</x:f>
        <x:v>350</x:v>
      </x:c>
      <x:c r="F13" s="106" t="n">
        <x:f>'Formation Catalog'!E13</x:f>
        <x:v>2.6</x:v>
      </x:c>
      <x:c r="G13" s="94" t="n">
        <x:f>IF(A13="I-UPG",0,D13*E13*F13)</x:f>
        <x:v>82810</x:v>
      </x:c>
      <x:c r="H13" s="94" t="n">
        <x:f>G13*'Component Mix'!C13</x:f>
        <x:v>28983.499999999996</x:v>
      </x:c>
      <x:c r="I13" s="94" t="n">
        <x:f>G13*'Component Mix'!D13</x:f>
        <x:v>20702.5</x:v>
      </x:c>
      <x:c r="J13" s="94" t="n">
        <x:f>G13*'Component Mix'!E13</x:f>
        <x:v>20702.5</x:v>
      </x:c>
      <x:c r="K13" s="94" t="n">
        <x:f>G13*'Component Mix'!F13</x:f>
        <x:v>12421.5</x:v>
      </x:c>
      <x:c r="L13" s="94" t="n">
        <x:f>G13*'Component Mix'!G13</x:f>
        <x:v>0</x:v>
      </x:c>
    </x:row>
    <x:row r="14">
      <x:c r="A14" s="57" t="str">
        <x:v>L-GFG</x:v>
      </x:c>
      <x:c r="B14" s="57" t="str">
        <x:v>Land Engineering</x:v>
      </x:c>
      <x:c r="C14" s="57" t="str">
        <x:v>Ground fire and landscape group</x:v>
      </x:c>
      <x:c r="D14" s="94" t="n">
        <x:f>Inventory!I14</x:f>
        <x:v>57</x:v>
      </x:c>
      <x:c r="E14" s="94" t="n">
        <x:f>'Formation Catalog'!D14</x:f>
        <x:v>450</x:v>
      </x:c>
      <x:c r="F14" s="106" t="n">
        <x:f>'Formation Catalog'!E14</x:f>
        <x:v>2.6</x:v>
      </x:c>
      <x:c r="G14" s="94" t="n">
        <x:f>IF(A14="I-UPG",0,D14*E14*F14)</x:f>
        <x:v>66690</x:v>
      </x:c>
      <x:c r="H14" s="94" t="n">
        <x:f>G14*'Component Mix'!C14</x:f>
        <x:v>23341.5</x:v>
      </x:c>
      <x:c r="I14" s="94" t="n">
        <x:f>G14*'Component Mix'!D14</x:f>
        <x:v>16672.5</x:v>
      </x:c>
      <x:c r="J14" s="94" t="n">
        <x:f>G14*'Component Mix'!E14</x:f>
        <x:v>16672.5</x:v>
      </x:c>
      <x:c r="K14" s="94" t="n">
        <x:f>G14*'Component Mix'!F14</x:f>
        <x:v>10003.5</x:v>
      </x:c>
      <x:c r="L14" s="94" t="n">
        <x:f>G14*'Component Mix'!G14</x:f>
        <x:v>0</x:v>
      </x:c>
    </x:row>
    <x:row r="15">
      <x:c r="A15" s="76" t="str">
        <x:v>A-SMW</x:v>
      </x:c>
      <x:c r="B15" s="76" t="str">
        <x:v>Air Response</x:v>
      </x:c>
      <x:c r="C15" s="76" t="str">
        <x:v>Strategic mobility wing</x:v>
      </x:c>
      <x:c r="D15" s="94" t="n">
        <x:f>Inventory!I15</x:f>
        <x:v>58</x:v>
      </x:c>
      <x:c r="E15" s="94" t="n">
        <x:f>'Formation Catalog'!D15</x:f>
        <x:v>900</x:v>
      </x:c>
      <x:c r="F15" s="106" t="n">
        <x:f>'Formation Catalog'!E15</x:f>
        <x:v>3</x:v>
      </x:c>
      <x:c r="G15" s="94" t="n">
        <x:f>IF(A15="I-UPG",0,D15*E15*F15)</x:f>
        <x:v>156600</x:v>
      </x:c>
      <x:c r="H15" s="94" t="n">
        <x:f>G15*'Component Mix'!C15</x:f>
        <x:v>101790</x:v>
      </x:c>
      <x:c r="I15" s="94" t="n">
        <x:f>G15*'Component Mix'!D15</x:f>
        <x:v>39150</x:v>
      </x:c>
      <x:c r="J15" s="94" t="n">
        <x:f>G15*'Component Mix'!E15</x:f>
        <x:v>7830</x:v>
      </x:c>
      <x:c r="K15" s="94" t="n">
        <x:f>G15*'Component Mix'!F15</x:f>
        <x:v>7830</x:v>
      </x:c>
      <x:c r="L15" s="94" t="n">
        <x:f>G15*'Component Mix'!G15</x:f>
        <x:v>0</x:v>
      </x:c>
    </x:row>
    <x:row r="16">
      <x:c r="A16" s="57" t="str">
        <x:v>A-AAG</x:v>
      </x:c>
      <x:c r="B16" s="57" t="str">
        <x:v>Air Response</x:v>
      </x:c>
      <x:c r="C16" s="57" t="str">
        <x:v>Austere air-access group</x:v>
      </x:c>
      <x:c r="D16" s="94" t="n">
        <x:f>Inventory!I16</x:f>
        <x:v>67</x:v>
      </x:c>
      <x:c r="E16" s="94" t="n">
        <x:f>'Formation Catalog'!D16</x:f>
        <x:v>350</x:v>
      </x:c>
      <x:c r="F16" s="106" t="n">
        <x:f>'Formation Catalog'!E16</x:f>
        <x:v>3</x:v>
      </x:c>
      <x:c r="G16" s="94" t="n">
        <x:f>IF(A16="I-UPG",0,D16*E16*F16)</x:f>
        <x:v>70350</x:v>
      </x:c>
      <x:c r="H16" s="94" t="n">
        <x:f>G16*'Component Mix'!C16</x:f>
        <x:v>45727.5</x:v>
      </x:c>
      <x:c r="I16" s="94" t="n">
        <x:f>G16*'Component Mix'!D16</x:f>
        <x:v>17587.5</x:v>
      </x:c>
      <x:c r="J16" s="94" t="n">
        <x:f>G16*'Component Mix'!E16</x:f>
        <x:v>3517.5</x:v>
      </x:c>
      <x:c r="K16" s="94" t="n">
        <x:f>G16*'Component Mix'!F16</x:f>
        <x:v>3517.5</x:v>
      </x:c>
      <x:c r="L16" s="94" t="n">
        <x:f>G16*'Component Mix'!G16</x:f>
        <x:v>0</x:v>
      </x:c>
    </x:row>
    <x:row r="17">
      <x:c r="A17" s="76" t="str">
        <x:v>A-AHW</x:v>
      </x:c>
      <x:c r="B17" s="76" t="str">
        <x:v>Air Response</x:v>
      </x:c>
      <x:c r="C17" s="76" t="str">
        <x:v>Aerial hazard-control wing</x:v>
      </x:c>
      <x:c r="D17" s="94" t="n">
        <x:f>Inventory!I17</x:f>
        <x:v>41</x:v>
      </x:c>
      <x:c r="E17" s="94" t="n">
        <x:f>'Formation Catalog'!D17</x:f>
        <x:v>600</x:v>
      </x:c>
      <x:c r="F17" s="106" t="n">
        <x:f>'Formation Catalog'!E17</x:f>
        <x:v>3</x:v>
      </x:c>
      <x:c r="G17" s="94" t="n">
        <x:f>IF(A17="I-UPG",0,D17*E17*F17)</x:f>
        <x:v>73800</x:v>
      </x:c>
      <x:c r="H17" s="94" t="n">
        <x:f>G17*'Component Mix'!C17</x:f>
        <x:v>47970</x:v>
      </x:c>
      <x:c r="I17" s="94" t="n">
        <x:f>G17*'Component Mix'!D17</x:f>
        <x:v>18450</x:v>
      </x:c>
      <x:c r="J17" s="94" t="n">
        <x:f>G17*'Component Mix'!E17</x:f>
        <x:v>3690</x:v>
      </x:c>
      <x:c r="K17" s="94" t="n">
        <x:f>G17*'Component Mix'!F17</x:f>
        <x:v>3690</x:v>
      </x:c>
      <x:c r="L17" s="94" t="n">
        <x:f>G17*'Component Mix'!G17</x:f>
        <x:v>0</x:v>
      </x:c>
    </x:row>
    <x:row r="18">
      <x:c r="A18" s="57" t="str">
        <x:v>A-TDG</x:v>
      </x:c>
      <x:c r="B18" s="57" t="str">
        <x:v>Air Response</x:v>
      </x:c>
      <x:c r="C18" s="57" t="str">
        <x:v>Tactical distribution group</x:v>
      </x:c>
      <x:c r="D18" s="94" t="n">
        <x:f>Inventory!I18</x:f>
        <x:v>108</x:v>
      </x:c>
      <x:c r="E18" s="94" t="n">
        <x:f>'Formation Catalog'!D18</x:f>
        <x:v>450</x:v>
      </x:c>
      <x:c r="F18" s="106" t="n">
        <x:f>'Formation Catalog'!E18</x:f>
        <x:v>3</x:v>
      </x:c>
      <x:c r="G18" s="94" t="n">
        <x:f>IF(A18="I-UPG",0,D18*E18*F18)</x:f>
        <x:v>145800</x:v>
      </x:c>
      <x:c r="H18" s="94" t="n">
        <x:f>G18*'Component Mix'!C18</x:f>
        <x:v>94770</x:v>
      </x:c>
      <x:c r="I18" s="94" t="n">
        <x:f>G18*'Component Mix'!D18</x:f>
        <x:v>36450</x:v>
      </x:c>
      <x:c r="J18" s="94" t="n">
        <x:f>G18*'Component Mix'!E18</x:f>
        <x:v>7290</x:v>
      </x:c>
      <x:c r="K18" s="94" t="n">
        <x:f>G18*'Component Mix'!F18</x:f>
        <x:v>7290</x:v>
      </x:c>
      <x:c r="L18" s="94" t="n">
        <x:f>G18*'Component Mix'!G18</x:f>
        <x:v>0</x:v>
      </x:c>
    </x:row>
    <x:row r="19">
      <x:c r="A19" s="76" t="str">
        <x:v>A-SRG</x:v>
      </x:c>
      <x:c r="B19" s="76" t="str">
        <x:v>Air Response</x:v>
      </x:c>
      <x:c r="C19" s="76" t="str">
        <x:v>Air sensing and relay group</x:v>
      </x:c>
      <x:c r="D19" s="94" t="n">
        <x:f>Inventory!I19</x:f>
        <x:v>74</x:v>
      </x:c>
      <x:c r="E19" s="94" t="n">
        <x:f>'Formation Catalog'!D19</x:f>
        <x:v>180</x:v>
      </x:c>
      <x:c r="F19" s="106" t="n">
        <x:f>'Formation Catalog'!E19</x:f>
        <x:v>3</x:v>
      </x:c>
      <x:c r="G19" s="94" t="n">
        <x:f>IF(A19="I-UPG",0,D19*E19*F19)</x:f>
        <x:v>39960</x:v>
      </x:c>
      <x:c r="H19" s="94" t="n">
        <x:f>G19*'Component Mix'!C19</x:f>
        <x:v>25974</x:v>
      </x:c>
      <x:c r="I19" s="94" t="n">
        <x:f>G19*'Component Mix'!D19</x:f>
        <x:v>9990</x:v>
      </x:c>
      <x:c r="J19" s="94" t="n">
        <x:f>G19*'Component Mix'!E19</x:f>
        <x:v>1998</x:v>
      </x:c>
      <x:c r="K19" s="94" t="n">
        <x:f>G19*'Component Mix'!F19</x:f>
        <x:v>1998</x:v>
      </x:c>
      <x:c r="L19" s="94" t="n">
        <x:f>G19*'Component Mix'!G19</x:f>
        <x:v>0</x:v>
      </x:c>
    </x:row>
    <x:row r="20">
      <x:c r="A20" s="57" t="str">
        <x:v>A-AMG</x:v>
      </x:c>
      <x:c r="B20" s="57" t="str">
        <x:v>Air Response</x:v>
      </x:c>
      <x:c r="C20" s="57" t="str">
        <x:v>Aeromedical movement group</x:v>
      </x:c>
      <x:c r="D20" s="94" t="n">
        <x:f>Inventory!I20</x:f>
        <x:v>58</x:v>
      </x:c>
      <x:c r="E20" s="94" t="n">
        <x:f>'Formation Catalog'!D20</x:f>
        <x:v>300</x:v>
      </x:c>
      <x:c r="F20" s="106" t="n">
        <x:f>'Formation Catalog'!E20</x:f>
        <x:v>3</x:v>
      </x:c>
      <x:c r="G20" s="94" t="n">
        <x:f>IF(A20="I-UPG",0,D20*E20*F20)</x:f>
        <x:v>52200</x:v>
      </x:c>
      <x:c r="H20" s="94" t="n">
        <x:f>G20*'Component Mix'!C20</x:f>
        <x:v>33930</x:v>
      </x:c>
      <x:c r="I20" s="94" t="n">
        <x:f>G20*'Component Mix'!D20</x:f>
        <x:v>13050</x:v>
      </x:c>
      <x:c r="J20" s="94" t="n">
        <x:f>G20*'Component Mix'!E20</x:f>
        <x:v>2610</x:v>
      </x:c>
      <x:c r="K20" s="94" t="n">
        <x:f>G20*'Component Mix'!F20</x:f>
        <x:v>2610</x:v>
      </x:c>
      <x:c r="L20" s="94" t="n">
        <x:f>G20*'Component Mix'!G20</x:f>
        <x:v>0</x:v>
      </x:c>
    </x:row>
    <x:row r="21">
      <x:c r="A21" s="76" t="str">
        <x:v>M-POG</x:v>
      </x:c>
      <x:c r="B21" s="76" t="str">
        <x:v>Maritime Response</x:v>
      </x:c>
      <x:c r="C21" s="76" t="str">
        <x:v>Port-opening group</x:v>
      </x:c>
      <x:c r="D21" s="94" t="n">
        <x:f>Inventory!I21</x:f>
        <x:v>60</x:v>
      </x:c>
      <x:c r="E21" s="94" t="n">
        <x:f>'Formation Catalog'!D21</x:f>
        <x:v>450</x:v>
      </x:c>
      <x:c r="F21" s="106" t="n">
        <x:f>'Formation Catalog'!E21</x:f>
        <x:v>3</x:v>
      </x:c>
      <x:c r="G21" s="94" t="n">
        <x:f>IF(A21="I-UPG",0,D21*E21*F21)</x:f>
        <x:v>81000</x:v>
      </x:c>
      <x:c r="H21" s="94" t="n">
        <x:f>G21*'Component Mix'!C21</x:f>
        <x:v>56700</x:v>
      </x:c>
      <x:c r="I21" s="94" t="n">
        <x:f>G21*'Component Mix'!D21</x:f>
        <x:v>16200</x:v>
      </x:c>
      <x:c r="J21" s="94" t="n">
        <x:f>G21*'Component Mix'!E21</x:f>
        <x:v>1620</x:v>
      </x:c>
      <x:c r="K21" s="94" t="n">
        <x:f>G21*'Component Mix'!F21</x:f>
        <x:v>6480</x:v>
      </x:c>
      <x:c r="L21" s="94" t="n">
        <x:f>G21*'Component Mix'!G21</x:f>
        <x:v>0</x:v>
      </x:c>
    </x:row>
    <x:row r="22">
      <x:c r="A22" s="57" t="str">
        <x:v>M-LAG</x:v>
      </x:c>
      <x:c r="B22" s="57" t="str">
        <x:v>Maritime Response</x:v>
      </x:c>
      <x:c r="C22" s="57" t="str">
        <x:v>Littoral-access group</x:v>
      </x:c>
      <x:c r="D22" s="94" t="n">
        <x:f>Inventory!I22</x:f>
        <x:v>69</x:v>
      </x:c>
      <x:c r="E22" s="94" t="n">
        <x:f>'Formation Catalog'!D22</x:f>
        <x:v>350</x:v>
      </x:c>
      <x:c r="F22" s="106" t="n">
        <x:f>'Formation Catalog'!E22</x:f>
        <x:v>3</x:v>
      </x:c>
      <x:c r="G22" s="94" t="n">
        <x:f>IF(A22="I-UPG",0,D22*E22*F22)</x:f>
        <x:v>72450</x:v>
      </x:c>
      <x:c r="H22" s="94" t="n">
        <x:f>G22*'Component Mix'!C22</x:f>
        <x:v>50715</x:v>
      </x:c>
      <x:c r="I22" s="94" t="n">
        <x:f>G22*'Component Mix'!D22</x:f>
        <x:v>14490</x:v>
      </x:c>
      <x:c r="J22" s="94" t="n">
        <x:f>G22*'Component Mix'!E22</x:f>
        <x:v>1449</x:v>
      </x:c>
      <x:c r="K22" s="94" t="n">
        <x:f>G22*'Component Mix'!F22</x:f>
        <x:v>5796</x:v>
      </x:c>
      <x:c r="L22" s="94" t="n">
        <x:f>G22*'Component Mix'!G22</x:f>
        <x:v>0</x:v>
      </x:c>
    </x:row>
    <x:row r="23">
      <x:c r="A23" s="76" t="str">
        <x:v>M-IWG</x:v>
      </x:c>
      <x:c r="B23" s="76" t="str">
        <x:v>Maritime Response</x:v>
      </x:c>
      <x:c r="C23" s="76" t="str">
        <x:v>Inland-waterway group</x:v>
      </x:c>
      <x:c r="D23" s="94" t="n">
        <x:f>Inventory!I23</x:f>
        <x:v>54</x:v>
      </x:c>
      <x:c r="E23" s="94" t="n">
        <x:f>'Formation Catalog'!D23</x:f>
        <x:v>250</x:v>
      </x:c>
      <x:c r="F23" s="106" t="n">
        <x:f>'Formation Catalog'!E23</x:f>
        <x:v>3</x:v>
      </x:c>
      <x:c r="G23" s="94" t="n">
        <x:f>IF(A23="I-UPG",0,D23*E23*F23)</x:f>
        <x:v>40500</x:v>
      </x:c>
      <x:c r="H23" s="94" t="n">
        <x:f>G23*'Component Mix'!C23</x:f>
        <x:v>28350</x:v>
      </x:c>
      <x:c r="I23" s="94" t="n">
        <x:f>G23*'Component Mix'!D23</x:f>
        <x:v>8100</x:v>
      </x:c>
      <x:c r="J23" s="94" t="n">
        <x:f>G23*'Component Mix'!E23</x:f>
        <x:v>810</x:v>
      </x:c>
      <x:c r="K23" s="94" t="n">
        <x:f>G23*'Component Mix'!F23</x:f>
        <x:v>3240</x:v>
      </x:c>
      <x:c r="L23" s="94" t="n">
        <x:f>G23*'Component Mix'!G23</x:f>
        <x:v>0</x:v>
      </x:c>
    </x:row>
    <x:row r="24">
      <x:c r="A24" s="57" t="str">
        <x:v>M-OSG</x:v>
      </x:c>
      <x:c r="B24" s="57" t="str">
        <x:v>Maritime Response</x:v>
      </x:c>
      <x:c r="C24" s="57" t="str">
        <x:v>Offshore-support group</x:v>
      </x:c>
      <x:c r="D24" s="94" t="n">
        <x:f>Inventory!I24</x:f>
        <x:v>45</x:v>
      </x:c>
      <x:c r="E24" s="94" t="n">
        <x:f>'Formation Catalog'!D24</x:f>
        <x:v>700</x:v>
      </x:c>
      <x:c r="F24" s="106" t="n">
        <x:f>'Formation Catalog'!E24</x:f>
        <x:v>3</x:v>
      </x:c>
      <x:c r="G24" s="94" t="n">
        <x:f>IF(A24="I-UPG",0,D24*E24*F24)</x:f>
        <x:v>94500</x:v>
      </x:c>
      <x:c r="H24" s="94" t="n">
        <x:f>G24*'Component Mix'!C24</x:f>
        <x:v>66150</x:v>
      </x:c>
      <x:c r="I24" s="94" t="n">
        <x:f>G24*'Component Mix'!D24</x:f>
        <x:v>18900</x:v>
      </x:c>
      <x:c r="J24" s="94" t="n">
        <x:f>G24*'Component Mix'!E24</x:f>
        <x:v>1890</x:v>
      </x:c>
      <x:c r="K24" s="94" t="n">
        <x:f>G24*'Component Mix'!F24</x:f>
        <x:v>7560</x:v>
      </x:c>
      <x:c r="L24" s="94" t="n">
        <x:f>G24*'Component Mix'!G24</x:f>
        <x:v>0</x:v>
      </x:c>
    </x:row>
    <x:row r="25">
      <x:c r="A25" s="76" t="str">
        <x:v>M-SSG</x:v>
      </x:c>
      <x:c r="B25" s="76" t="str">
        <x:v>Maritime Response</x:v>
      </x:c>
      <x:c r="C25" s="76" t="str">
        <x:v>Ocean sustainment group</x:v>
      </x:c>
      <x:c r="D25" s="94" t="n">
        <x:f>Inventory!I25</x:f>
        <x:v>71</x:v>
      </x:c>
      <x:c r="E25" s="94" t="n">
        <x:f>'Formation Catalog'!D25</x:f>
        <x:v>650</x:v>
      </x:c>
      <x:c r="F25" s="106" t="n">
        <x:f>'Formation Catalog'!E25</x:f>
        <x:v>3</x:v>
      </x:c>
      <x:c r="G25" s="94" t="n">
        <x:f>IF(A25="I-UPG",0,D25*E25*F25)</x:f>
        <x:v>138450</x:v>
      </x:c>
      <x:c r="H25" s="94" t="n">
        <x:f>G25*'Component Mix'!C25</x:f>
        <x:v>96915</x:v>
      </x:c>
      <x:c r="I25" s="94" t="n">
        <x:f>G25*'Component Mix'!D25</x:f>
        <x:v>27690</x:v>
      </x:c>
      <x:c r="J25" s="94" t="n">
        <x:f>G25*'Component Mix'!E25</x:f>
        <x:v>2769</x:v>
      </x:c>
      <x:c r="K25" s="94" t="n">
        <x:f>G25*'Component Mix'!F25</x:f>
        <x:v>11076</x:v>
      </x:c>
      <x:c r="L25" s="94" t="n">
        <x:f>G25*'Component Mix'!G25</x:f>
        <x:v>0</x:v>
      </x:c>
    </x:row>
    <x:row r="26">
      <x:c r="A26" s="57" t="str">
        <x:v>I-UPG</x:v>
      </x:c>
      <x:c r="B26" s="57" t="str">
        <x:v>Infrastructure Restoration</x:v>
      </x:c>
      <x:c r="C26" s="57" t="str">
        <x:v>Utility projection group</x:v>
      </x:c>
      <x:c r="D26" s="94" t="n">
        <x:f>Inventory!I26</x:f>
        <x:v>131</x:v>
      </x:c>
      <x:c r="E26" s="94" t="n">
        <x:f>'Formation Catalog'!D26</x:f>
        <x:v>600</x:v>
      </x:c>
      <x:c r="F26" s="106" t="n">
        <x:f>'Formation Catalog'!E26</x:f>
        <x:v>3</x:v>
      </x:c>
      <x:c r="G26" s="94" t="n">
        <x:f>IF(A26="I-UPG",0,D26*E26*F26)</x:f>
        <x:v>0</x:v>
      </x:c>
      <x:c r="H26" s="94" t="n">
        <x:f>G26*'Component Mix'!C26</x:f>
        <x:v>0</x:v>
      </x:c>
      <x:c r="I26" s="94" t="n">
        <x:f>G26*'Component Mix'!D26</x:f>
        <x:v>0</x:v>
      </x:c>
      <x:c r="J26" s="94" t="n">
        <x:f>G26*'Component Mix'!E26</x:f>
        <x:v>0</x:v>
      </x:c>
      <x:c r="K26" s="94" t="n">
        <x:f>G26*'Component Mix'!F26</x:f>
        <x:v>0</x:v>
      </x:c>
      <x:c r="L26" s="94" t="n">
        <x:f>G26*'Component Mix'!G26</x:f>
        <x:v>0</x:v>
      </x:c>
    </x:row>
    <x:row r="27">
      <x:c r="A27" s="76" t="str">
        <x:v>I-CUG</x:v>
      </x:c>
      <x:c r="B27" s="76" t="str">
        <x:v>Infrastructure Restoration</x:v>
      </x:c>
      <x:c r="C27" s="76" t="str">
        <x:v>Communications utility group</x:v>
      </x:c>
      <x:c r="D27" s="94" t="n">
        <x:f>Inventory!I27</x:f>
        <x:v>102</x:v>
      </x:c>
      <x:c r="E27" s="94" t="n">
        <x:f>'Formation Catalog'!D27</x:f>
        <x:v>250</x:v>
      </x:c>
      <x:c r="F27" s="106" t="n">
        <x:f>'Formation Catalog'!E27</x:f>
        <x:v>3</x:v>
      </x:c>
      <x:c r="G27" s="94" t="n">
        <x:f>IF(A27="I-UPG",0,D27*E27*F27)</x:f>
        <x:v>76500</x:v>
      </x:c>
      <x:c r="H27" s="94" t="n">
        <x:f>G27*'Component Mix'!C27</x:f>
        <x:v>26775</x:v>
      </x:c>
      <x:c r="I27" s="94" t="n">
        <x:f>G27*'Component Mix'!D27</x:f>
        <x:v>19125</x:v>
      </x:c>
      <x:c r="J27" s="94" t="n">
        <x:f>G27*'Component Mix'!E27</x:f>
        <x:v>11475</x:v>
      </x:c>
      <x:c r="K27" s="94" t="n">
        <x:f>G27*'Component Mix'!F27</x:f>
        <x:v>19125</x:v>
      </x:c>
      <x:c r="L27" s="94" t="n">
        <x:f>G27*'Component Mix'!G27</x:f>
        <x:v>0</x:v>
      </x:c>
    </x:row>
    <x:row r="28">
      <x:c r="A28" s="57" t="str">
        <x:v>I-TSG</x:v>
      </x:c>
      <x:c r="B28" s="57" t="str">
        <x:v>Infrastructure Restoration</x:v>
      </x:c>
      <x:c r="C28" s="57" t="str">
        <x:v>Thermal safety group</x:v>
      </x:c>
      <x:c r="D28" s="94" t="n">
        <x:f>Inventory!I28</x:f>
        <x:v>108</x:v>
      </x:c>
      <x:c r="E28" s="94" t="n">
        <x:f>'Formation Catalog'!D28</x:f>
        <x:v>250</x:v>
      </x:c>
      <x:c r="F28" s="106" t="n">
        <x:f>'Formation Catalog'!E28</x:f>
        <x:v>3</x:v>
      </x:c>
      <x:c r="G28" s="94" t="n">
        <x:f>IF(A28="I-UPG",0,D28*E28*F28)</x:f>
        <x:v>81000</x:v>
      </x:c>
      <x:c r="H28" s="94" t="n">
        <x:f>G28*'Component Mix'!C28</x:f>
        <x:v>28350</x:v>
      </x:c>
      <x:c r="I28" s="94" t="n">
        <x:f>G28*'Component Mix'!D28</x:f>
        <x:v>20250</x:v>
      </x:c>
      <x:c r="J28" s="94" t="n">
        <x:f>G28*'Component Mix'!E28</x:f>
        <x:v>12150</x:v>
      </x:c>
      <x:c r="K28" s="94" t="n">
        <x:f>G28*'Component Mix'!F28</x:f>
        <x:v>20250</x:v>
      </x:c>
      <x:c r="L28" s="94" t="n">
        <x:f>G28*'Component Mix'!G28</x:f>
        <x:v>0</x:v>
      </x:c>
    </x:row>
    <x:row r="29">
      <x:c r="A29" s="76" t="str">
        <x:v>I-URG</x:v>
      </x:c>
      <x:c r="B29" s="76" t="str">
        <x:v>Infrastructure Restoration</x:v>
      </x:c>
      <x:c r="C29" s="76" t="str">
        <x:v>Utility reconstruction group</x:v>
      </x:c>
      <x:c r="D29" s="94" t="n">
        <x:f>Inventory!I29</x:f>
        <x:v>126</x:v>
      </x:c>
      <x:c r="E29" s="94" t="n">
        <x:f>'Formation Catalog'!D29</x:f>
        <x:v>450</x:v>
      </x:c>
      <x:c r="F29" s="106" t="n">
        <x:f>'Formation Catalog'!E29</x:f>
        <x:v>3</x:v>
      </x:c>
      <x:c r="G29" s="94" t="n">
        <x:f>IF(A29="I-UPG",0,D29*E29*F29)</x:f>
        <x:v>170100</x:v>
      </x:c>
      <x:c r="H29" s="94" t="n">
        <x:f>G29*'Component Mix'!C29</x:f>
        <x:v>59534.99999999999</x:v>
      </x:c>
      <x:c r="I29" s="94" t="n">
        <x:f>G29*'Component Mix'!D29</x:f>
        <x:v>42525</x:v>
      </x:c>
      <x:c r="J29" s="94" t="n">
        <x:f>G29*'Component Mix'!E29</x:f>
        <x:v>25515</x:v>
      </x:c>
      <x:c r="K29" s="94" t="n">
        <x:f>G29*'Component Mix'!F29</x:f>
        <x:v>42525</x:v>
      </x:c>
      <x:c r="L29" s="94" t="n">
        <x:f>G29*'Component Mix'!G29</x:f>
        <x:v>0</x:v>
      </x:c>
    </x:row>
    <x:row r="30">
      <x:c r="A30" s="57" t="str">
        <x:v>H-CHC</x:v>
      </x:c>
      <x:c r="B30" s="57" t="str">
        <x:v>Health Protection</x:v>
      </x:c>
      <x:c r="C30" s="57" t="str">
        <x:v>Community health continuity group</x:v>
      </x:c>
      <x:c r="D30" s="94" t="n">
        <x:f>Inventory!I30</x:f>
        <x:v>139</x:v>
      </x:c>
      <x:c r="E30" s="94" t="n">
        <x:f>'Formation Catalog'!D30</x:f>
        <x:v>500</x:v>
      </x:c>
      <x:c r="F30" s="106" t="n">
        <x:f>'Formation Catalog'!E30</x:f>
        <x:v>3.4</x:v>
      </x:c>
      <x:c r="G30" s="94" t="n">
        <x:f>IF(A30="I-UPG",0,D30*E30*F30)</x:f>
        <x:v>236300</x:v>
      </x:c>
      <x:c r="H30" s="94" t="n">
        <x:f>G30*'Component Mix'!C30</x:f>
        <x:v>82705</x:v>
      </x:c>
      <x:c r="I30" s="94" t="n">
        <x:f>G30*'Component Mix'!D30</x:f>
        <x:v>82705</x:v>
      </x:c>
      <x:c r="J30" s="94" t="n">
        <x:f>G30*'Component Mix'!E30</x:f>
        <x:v>35445</x:v>
      </x:c>
      <x:c r="K30" s="94" t="n">
        <x:f>G30*'Component Mix'!F30</x:f>
        <x:v>35445</x:v>
      </x:c>
      <x:c r="L30" s="94" t="n">
        <x:f>G30*'Component Mix'!G30</x:f>
        <x:v>0</x:v>
      </x:c>
    </x:row>
    <x:row r="31">
      <x:c r="A31" s="76" t="str">
        <x:v>H-MAC</x:v>
      </x:c>
      <x:c r="B31" s="76" t="str">
        <x:v>Health Protection</x:v>
      </x:c>
      <x:c r="C31" s="76" t="str">
        <x:v>Mobile acute-care group</x:v>
      </x:c>
      <x:c r="D31" s="94" t="n">
        <x:f>Inventory!I31</x:f>
        <x:v>91</x:v>
      </x:c>
      <x:c r="E31" s="94" t="n">
        <x:f>'Formation Catalog'!D31</x:f>
        <x:v>600</x:v>
      </x:c>
      <x:c r="F31" s="106" t="n">
        <x:f>'Formation Catalog'!E31</x:f>
        <x:v>3.4</x:v>
      </x:c>
      <x:c r="G31" s="94" t="n">
        <x:f>IF(A31="I-UPG",0,D31*E31*F31)</x:f>
        <x:v>185640</x:v>
      </x:c>
      <x:c r="H31" s="94" t="n">
        <x:f>G31*'Component Mix'!C31</x:f>
        <x:v>64973.99999999999</x:v>
      </x:c>
      <x:c r="I31" s="94" t="n">
        <x:f>G31*'Component Mix'!D31</x:f>
        <x:v>64973.99999999999</x:v>
      </x:c>
      <x:c r="J31" s="94" t="n">
        <x:f>G31*'Component Mix'!E31</x:f>
        <x:v>27846</x:v>
      </x:c>
      <x:c r="K31" s="94" t="n">
        <x:f>G31*'Component Mix'!F31</x:f>
        <x:v>27846</x:v>
      </x:c>
      <x:c r="L31" s="94" t="n">
        <x:f>G31*'Component Mix'!G31</x:f>
        <x:v>0</x:v>
      </x:c>
    </x:row>
    <x:row r="32">
      <x:c r="A32" s="57" t="str">
        <x:v>H-PHC</x:v>
      </x:c>
      <x:c r="B32" s="57" t="str">
        <x:v>Health Protection</x:v>
      </x:c>
      <x:c r="C32" s="57" t="str">
        <x:v>Public-health control group</x:v>
      </x:c>
      <x:c r="D32" s="94" t="n">
        <x:f>Inventory!I32</x:f>
        <x:v>78</x:v>
      </x:c>
      <x:c r="E32" s="94" t="n">
        <x:f>'Formation Catalog'!D32</x:f>
        <x:v>250</x:v>
      </x:c>
      <x:c r="F32" s="106" t="n">
        <x:f>'Formation Catalog'!E32</x:f>
        <x:v>3.4</x:v>
      </x:c>
      <x:c r="G32" s="94" t="n">
        <x:f>IF(A32="I-UPG",0,D32*E32*F32)</x:f>
        <x:v>66300</x:v>
      </x:c>
      <x:c r="H32" s="94" t="n">
        <x:f>G32*'Component Mix'!C32</x:f>
        <x:v>23205</x:v>
      </x:c>
      <x:c r="I32" s="94" t="n">
        <x:f>G32*'Component Mix'!D32</x:f>
        <x:v>23205</x:v>
      </x:c>
      <x:c r="J32" s="94" t="n">
        <x:f>G32*'Component Mix'!E32</x:f>
        <x:v>9945</x:v>
      </x:c>
      <x:c r="K32" s="94" t="n">
        <x:f>G32*'Component Mix'!F32</x:f>
        <x:v>9945</x:v>
      </x:c>
      <x:c r="L32" s="94" t="n">
        <x:f>G32*'Component Mix'!G32</x:f>
        <x:v>0</x:v>
      </x:c>
    </x:row>
    <x:row r="33">
      <x:c r="A33" s="76" t="str">
        <x:v>H-HWR</x:v>
      </x:c>
      <x:c r="B33" s="76" t="str">
        <x:v>Health Protection</x:v>
      </x:c>
      <x:c r="C33" s="76" t="str">
        <x:v>Health workforce replacement group</x:v>
      </x:c>
      <x:c r="D33" s="94" t="n">
        <x:f>Inventory!I33</x:f>
        <x:v>139</x:v>
      </x:c>
      <x:c r="E33" s="94" t="n">
        <x:f>'Formation Catalog'!D33</x:f>
        <x:v>550</x:v>
      </x:c>
      <x:c r="F33" s="106" t="n">
        <x:f>'Formation Catalog'!E33</x:f>
        <x:v>3.4</x:v>
      </x:c>
      <x:c r="G33" s="94" t="n">
        <x:f>IF(A33="I-UPG",0,D33*E33*F33)</x:f>
        <x:v>259930</x:v>
      </x:c>
      <x:c r="H33" s="94" t="n">
        <x:f>G33*'Component Mix'!C33</x:f>
        <x:v>90975.5</x:v>
      </x:c>
      <x:c r="I33" s="94" t="n">
        <x:f>G33*'Component Mix'!D33</x:f>
        <x:v>90975.5</x:v>
      </x:c>
      <x:c r="J33" s="94" t="n">
        <x:f>G33*'Component Mix'!E33</x:f>
        <x:v>38989.5</x:v>
      </x:c>
      <x:c r="K33" s="94" t="n">
        <x:f>G33*'Component Mix'!F33</x:f>
        <x:v>38989.5</x:v>
      </x:c>
      <x:c r="L33" s="94" t="n">
        <x:f>G33*'Component Mix'!G33</x:f>
        <x:v>0</x:v>
      </x:c>
    </x:row>
    <x:row r="34">
      <x:c r="A34" s="57" t="str">
        <x:v>C-PSG</x:v>
      </x:c>
      <x:c r="B34" s="57" t="str">
        <x:v>Community Stabilization</x:v>
      </x:c>
      <x:c r="C34" s="57" t="str">
        <x:v>Population support group</x:v>
      </x:c>
      <x:c r="D34" s="94" t="n">
        <x:f>Inventory!I34</x:f>
        <x:v>173</x:v>
      </x:c>
      <x:c r="E34" s="94" t="n">
        <x:f>'Formation Catalog'!D34</x:f>
        <x:v>450</x:v>
      </x:c>
      <x:c r="F34" s="106" t="n">
        <x:f>'Formation Catalog'!E34</x:f>
        <x:v>2.5</x:v>
      </x:c>
      <x:c r="G34" s="94" t="n">
        <x:f>IF(A34="I-UPG",0,D34*E34*F34)</x:f>
        <x:v>194625</x:v>
      </x:c>
      <x:c r="H34" s="94" t="n">
        <x:f>G34*'Component Mix'!C34</x:f>
        <x:v>38925</x:v>
      </x:c>
      <x:c r="I34" s="94" t="n">
        <x:f>G34*'Component Mix'!D34</x:f>
        <x:v>48656.25</x:v>
      </x:c>
      <x:c r="J34" s="94" t="n">
        <x:f>G34*'Component Mix'!E34</x:f>
        <x:v>68118.75</x:v>
      </x:c>
      <x:c r="K34" s="94" t="n">
        <x:f>G34*'Component Mix'!F34</x:f>
        <x:v>38925</x:v>
      </x:c>
      <x:c r="L34" s="94" t="n">
        <x:f>G34*'Component Mix'!G34</x:f>
        <x:v>0</x:v>
      </x:c>
    </x:row>
    <x:row r="35">
      <x:c r="A35" s="76" t="str">
        <x:v>C-EGG</x:v>
      </x:c>
      <x:c r="B35" s="76" t="str">
        <x:v>Community Stabilization</x:v>
      </x:c>
      <x:c r="C35" s="76" t="str">
        <x:v>Essential-goods group</x:v>
      </x:c>
      <x:c r="D35" s="94" t="n">
        <x:f>Inventory!I35</x:f>
        <x:v>173</x:v>
      </x:c>
      <x:c r="E35" s="94" t="n">
        <x:f>'Formation Catalog'!D35</x:f>
        <x:v>350</x:v>
      </x:c>
      <x:c r="F35" s="106" t="n">
        <x:f>'Formation Catalog'!E35</x:f>
        <x:v>2.5</x:v>
      </x:c>
      <x:c r="G35" s="94" t="n">
        <x:f>IF(A35="I-UPG",0,D35*E35*F35)</x:f>
        <x:v>151375</x:v>
      </x:c>
      <x:c r="H35" s="94" t="n">
        <x:f>G35*'Component Mix'!C35</x:f>
        <x:v>30275</x:v>
      </x:c>
      <x:c r="I35" s="94" t="n">
        <x:f>G35*'Component Mix'!D35</x:f>
        <x:v>37843.75</x:v>
      </x:c>
      <x:c r="J35" s="94" t="n">
        <x:f>G35*'Component Mix'!E35</x:f>
        <x:v>52981.25</x:v>
      </x:c>
      <x:c r="K35" s="94" t="n">
        <x:f>G35*'Component Mix'!F35</x:f>
        <x:v>30275</x:v>
      </x:c>
      <x:c r="L35" s="94" t="n">
        <x:f>G35*'Component Mix'!G35</x:f>
        <x:v>0</x:v>
      </x:c>
    </x:row>
    <x:row r="36">
      <x:c r="A36" s="57" t="str">
        <x:v>C-CAG</x:v>
      </x:c>
      <x:c r="B36" s="57" t="str">
        <x:v>Community Stabilization</x:v>
      </x:c>
      <x:c r="C36" s="57" t="str">
        <x:v>Civil access group</x:v>
      </x:c>
      <x:c r="D36" s="94" t="n">
        <x:f>Inventory!I36</x:f>
        <x:v>132</x:v>
      </x:c>
      <x:c r="E36" s="94" t="n">
        <x:f>'Formation Catalog'!D36</x:f>
        <x:v>180</x:v>
      </x:c>
      <x:c r="F36" s="106" t="n">
        <x:f>'Formation Catalog'!E36</x:f>
        <x:v>2.5</x:v>
      </x:c>
      <x:c r="G36" s="94" t="n">
        <x:f>IF(A36="I-UPG",0,D36*E36*F36)</x:f>
        <x:v>59400</x:v>
      </x:c>
      <x:c r="H36" s="94" t="n">
        <x:f>G36*'Component Mix'!C36</x:f>
        <x:v>11880</x:v>
      </x:c>
      <x:c r="I36" s="94" t="n">
        <x:f>G36*'Component Mix'!D36</x:f>
        <x:v>14850</x:v>
      </x:c>
      <x:c r="J36" s="94" t="n">
        <x:f>G36*'Component Mix'!E36</x:f>
        <x:v>20790</x:v>
      </x:c>
      <x:c r="K36" s="94" t="n">
        <x:f>G36*'Component Mix'!F36</x:f>
        <x:v>11880</x:v>
      </x:c>
      <x:c r="L36" s="94" t="n">
        <x:f>G36*'Component Mix'!G36</x:f>
        <x:v>0</x:v>
      </x:c>
    </x:row>
    <x:row r="37">
      <x:c r="A37" s="76" t="str">
        <x:v>C-DTG</x:v>
      </x:c>
      <x:c r="B37" s="76" t="str">
        <x:v>Community Stabilization</x:v>
      </x:c>
      <x:c r="C37" s="76" t="str">
        <x:v>Displacement transition group</x:v>
      </x:c>
      <x:c r="D37" s="94" t="n">
        <x:f>Inventory!I37</x:f>
        <x:v>127</x:v>
      </x:c>
      <x:c r="E37" s="94" t="n">
        <x:f>'Formation Catalog'!D37</x:f>
        <x:v>300</x:v>
      </x:c>
      <x:c r="F37" s="106" t="n">
        <x:f>'Formation Catalog'!E37</x:f>
        <x:v>2.5</x:v>
      </x:c>
      <x:c r="G37" s="94" t="n">
        <x:f>IF(A37="I-UPG",0,D37*E37*F37)</x:f>
        <x:v>95250</x:v>
      </x:c>
      <x:c r="H37" s="94" t="n">
        <x:f>G37*'Component Mix'!C37</x:f>
        <x:v>19050</x:v>
      </x:c>
      <x:c r="I37" s="94" t="n">
        <x:f>G37*'Component Mix'!D37</x:f>
        <x:v>23812.5</x:v>
      </x:c>
      <x:c r="J37" s="94" t="n">
        <x:f>G37*'Component Mix'!E37</x:f>
        <x:v>33337.5</x:v>
      </x:c>
      <x:c r="K37" s="94" t="n">
        <x:f>G37*'Component Mix'!F37</x:f>
        <x:v>19050</x:v>
      </x:c>
      <x:c r="L37" s="94" t="n">
        <x:f>G37*'Component Mix'!G37</x:f>
        <x:v>0</x:v>
      </x:c>
    </x:row>
    <x:row r="38">
      <x:c r="A38" s="57" t="str">
        <x:v>C-CIG</x:v>
      </x:c>
      <x:c r="B38" s="57" t="str">
        <x:v>Community Stabilization</x:v>
      </x:c>
      <x:c r="C38" s="57" t="str">
        <x:v>Community institutions group</x:v>
      </x:c>
      <x:c r="D38" s="94" t="n">
        <x:f>Inventory!I38</x:f>
        <x:v>106</x:v>
      </x:c>
      <x:c r="E38" s="94" t="n">
        <x:f>'Formation Catalog'!D38</x:f>
        <x:v>250</x:v>
      </x:c>
      <x:c r="F38" s="106" t="n">
        <x:f>'Formation Catalog'!E38</x:f>
        <x:v>2.5</x:v>
      </x:c>
      <x:c r="G38" s="94" t="n">
        <x:f>IF(A38="I-UPG",0,D38*E38*F38)</x:f>
        <x:v>66250</x:v>
      </x:c>
      <x:c r="H38" s="94" t="n">
        <x:f>G38*'Component Mix'!C38</x:f>
        <x:v>13250</x:v>
      </x:c>
      <x:c r="I38" s="94" t="n">
        <x:f>G38*'Component Mix'!D38</x:f>
        <x:v>16562.5</x:v>
      </x:c>
      <x:c r="J38" s="94" t="n">
        <x:f>G38*'Component Mix'!E38</x:f>
        <x:v>23187.5</x:v>
      </x:c>
      <x:c r="K38" s="94" t="n">
        <x:f>G38*'Component Mix'!F38</x:f>
        <x:v>13250</x:v>
      </x:c>
      <x:c r="L38" s="94" t="n">
        <x:f>G38*'Component Mix'!G38</x:f>
        <x:v>0</x:v>
      </x:c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</x:row>
    <x:row r="41">
      <x:c r="A41" s="54" t="str">
        <x:v>Integrated workforce reconciliation</x:v>
      </x:c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</x:row>
    <x:row r="42" ht="32" customHeight="1">
      <x:c r="A42" s="59" t="str">
        <x:v>Line</x:v>
      </x:c>
      <x:c r="B42" s="60" t="str">
        <x:v>Permanent federal</x:v>
      </x:c>
      <x:c r="C42" s="60" t="str">
        <x:v>Federal reserve</x:v>
      </x:c>
      <x:c r="D42" s="60" t="str">
        <x:v>State / territorial</x:v>
      </x:c>
      <x:c r="E42" s="60" t="str">
        <x:v>Certified industry</x:v>
      </x:c>
      <x:c r="F42" s="60" t="str">
        <x:v>Partner / allied</x:v>
      </x:c>
      <x:c r="G42" s="60" t="str">
        <x:v>Total</x:v>
      </x:c>
      <x:c r="H42" s="61" t="str">
        <x:v>Boundary</x:v>
      </x:c>
      <x:c r="I42" s="57"/>
      <x:c r="J42" s="57"/>
      <x:c r="K42" s="57"/>
      <x:c r="L42" s="57"/>
    </x:row>
    <x:row r="43">
      <x:c r="A43" s="57" t="str">
        <x:v>Non-NUPS direct formations</x:v>
      </x:c>
      <x:c r="B43" s="94" t="n">
        <x:f>SUM(H5:H38)</x:f>
        <x:v>1459142.5</x:v>
      </x:c>
      <x:c r="C43" s="94" t="n">
        <x:f>SUM(I5:I38)</x:f>
        <x:v>877344.5</x:v>
      </x:c>
      <x:c r="D43" s="94" t="n">
        <x:f>SUM(J5:J38)</x:f>
        <x:v>542141.5</x:v>
      </x:c>
      <x:c r="E43" s="94" t="n">
        <x:f>SUM(K5:K38)</x:f>
        <x:v>454234</x:v>
      </x:c>
      <x:c r="F43" s="94" t="n">
        <x:f>SUM(L5:L38)</x:f>
        <x:v>12457.5</x:v>
      </x:c>
      <x:c r="G43" s="94" t="n">
        <x:f>SUM(B43:F43)</x:f>
        <x:v>3345320</x:v>
      </x:c>
      <x:c r="H43" s="57" t="str">
        <x:v>Utility projection group excluded from direct billet addition</x:v>
      </x:c>
      <x:c r="I43" s="57"/>
      <x:c r="J43" s="57"/>
      <x:c r="K43" s="57"/>
      <x:c r="L43" s="57"/>
    </x:row>
    <x:row r="44">
      <x:c r="A44" s="57" t="str">
        <x:v>NUPS integrated enterprise</x:v>
      </x:c>
      <x:c r="B44" s="94" t="n">
        <x:f>Controls!B11*0.55</x:f>
        <x:v>109008.6525</x:v>
      </x:c>
      <x:c r="C44" s="94" t="n">
        <x:f>Controls!B11*0.2</x:f>
        <x:v>39639.51</x:v>
      </x:c>
      <x:c r="D44" s="94" t="n">
        <x:f>Controls!B11*0.05</x:f>
        <x:v>9909.8775</x:v>
      </x:c>
      <x:c r="E44" s="94" t="n">
        <x:f>Controls!B11*0.2</x:f>
        <x:v>39639.51</x:v>
      </x:c>
      <x:c r="F44" s="94" t="n">
        <x:f>Controls!B11*0</x:f>
        <x:v>0</x:v>
      </x:c>
      <x:c r="G44" s="94" t="n">
        <x:f>SUM(B44:F44)</x:f>
        <x:v>198197.55000000002</x:v>
      </x:c>
      <x:c r="H44" s="57" t="str">
        <x:v>Pass 22 total allocated by planning component mix</x:v>
      </x:c>
      <x:c r="I44" s="57"/>
      <x:c r="J44" s="57"/>
      <x:c r="K44" s="57"/>
      <x:c r="L44" s="57"/>
    </x:row>
    <x:row r="45">
      <x:c r="A45" s="57" t="str">
        <x:v>Non-NUPS institutional overhead</x:v>
      </x:c>
      <x:c r="B45" s="94" t="n">
        <x:f>SUM(G5:G38)*Controls!B6</x:f>
        <x:v>401438.39999999997</x:v>
      </x:c>
      <x:c r="C45" s="94" t="n">
        <x:v>0</x:v>
      </x:c>
      <x:c r="D45" s="94" t="n">
        <x:v>0</x:v>
      </x:c>
      <x:c r="E45" s="94" t="n">
        <x:v>0</x:v>
      </x:c>
      <x:c r="F45" s="94" t="n">
        <x:v>0</x:v>
      </x:c>
      <x:c r="G45" s="94" t="n">
        <x:f>SUM(B45:F45)</x:f>
        <x:v>401438.39999999997</x:v>
      </x:c>
      <x:c r="H45" s="57" t="str">
        <x:v>12% of non-NUPS direct billets, held in permanent federal component</x:v>
      </x:c>
      <x:c r="I45" s="57"/>
      <x:c r="J45" s="57"/>
      <x:c r="K45" s="57"/>
      <x:c r="L45" s="57"/>
    </x:row>
    <x:row r="46">
      <x:c r="A46" s="57" t="str">
        <x:v>Reference establishment</x:v>
      </x:c>
      <x:c r="B46" s="94" t="n">
        <x:f>SUM(B43:B45)</x:f>
        <x:v>1969589.5525</x:v>
      </x:c>
      <x:c r="C46" s="94" t="n">
        <x:f>SUM(C43:C45)</x:f>
        <x:v>916984.01</x:v>
      </x:c>
      <x:c r="D46" s="94" t="n">
        <x:f>SUM(D43:D45)</x:f>
        <x:v>552051.3775</x:v>
      </x:c>
      <x:c r="E46" s="94" t="n">
        <x:f>SUM(E43:E45)</x:f>
        <x:v>493873.51</x:v>
      </x:c>
      <x:c r="F46" s="94" t="n">
        <x:f>SUM(F43:F45)</x:f>
        <x:v>12457.5</x:v>
      </x:c>
      <x:c r="G46" s="94" t="n">
        <x:f>SUM(B46:F46)</x:f>
        <x:v>3944955.95</x:v>
      </x:c>
      <x:c r="H46" s="57" t="str">
        <x:v>Affiliated billet-equivalents, not federal employee headcount</x:v>
      </x:c>
      <x:c r="I46" s="57"/>
      <x:c r="J46" s="57"/>
      <x:c r="K46" s="57"/>
      <x:c r="L46" s="57"/>
    </x:row>
    <x:row r="47">
      <x:c r="A47" s="57" t="str">
        <x:v>Prior Pass 5 screen</x:v>
      </x:c>
      <x:c r="B47" s="94" t="n">
        <x:f>Controls!B9</x:f>
        <x:v>302000</x:v>
      </x:c>
      <x:c r="C47" s="94" t="n">
        <x:f>Controls!B10</x:f>
        <x:v>396500</x:v>
      </x:c>
      <x:c r="D47" s="94" t="n">
        <x:f>0</x:f>
        <x:v>0</x:v>
      </x:c>
      <x:c r="E47" s="94" t="n">
        <x:f>0</x:f>
        <x:v>0</x:v>
      </x:c>
      <x:c r="F47" s="94" t="n">
        <x:f>0</x:f>
        <x:v>0</x:v>
      </x:c>
      <x:c r="G47" s="94" t="n">
        <x:f>SUM(B47:F47)</x:f>
        <x:v>698500</x:v>
      </x:c>
      <x:c r="H47" s="57" t="str">
        <x:v>Top-down comparison only</x:v>
      </x:c>
      <x:c r="I47" s="57"/>
      <x:c r="J47" s="57"/>
      <x:c r="K47" s="57"/>
      <x:c r="L47" s="57"/>
    </x:row>
    <x:row r="48">
      <x:c r="A48" s="57" t="str">
        <x:v>Increase over prior screen</x:v>
      </x:c>
      <x:c r="B48" s="94" t="n">
        <x:f>B46-B47</x:f>
        <x:v>1667589.5525</x:v>
      </x:c>
      <x:c r="C48" s="94" t="n">
        <x:f>C46-C47</x:f>
        <x:v>520484.01</x:v>
      </x:c>
      <x:c r="D48" s="94" t="n">
        <x:f>D46-D47</x:f>
        <x:v>552051.3775</x:v>
      </x:c>
      <x:c r="E48" s="94" t="n">
        <x:f>E46-E47</x:f>
        <x:v>493873.51</x:v>
      </x:c>
      <x:c r="F48" s="94" t="n">
        <x:f>F46-F47</x:f>
        <x:v>12457.5</x:v>
      </x:c>
      <x:c r="G48" s="94" t="n">
        <x:f>SUM(B48:F48)</x:f>
        <x:v>3246455.95</x:v>
      </x:c>
      <x:c r="H48" s="57" t="str">
        <x:v>New reference less prior active and reserve</x:v>
      </x:c>
      <x:c r="I48" s="57"/>
      <x:c r="J48" s="57"/>
      <x:c r="K48" s="57"/>
      <x:c r="L48" s="57"/>
    </x:row>
  </x:sheetData>
  <x:mergeCells>
    <x:mergeCell ref="A1:L1"/>
    <x:mergeCell ref="A2:L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2" hidden="0" customWidth="1"/>
  </x:cols>
  <x:sheetData>
    <x:row r="1" ht="24" customHeight="1">
      <x:c r="A1" s="50" t="str">
        <x:v>Strategic Mobility</x:v>
      </x:c>
      <x:c r="B1" s="56"/>
      <x:c r="C1" s="56"/>
      <x:c r="D1" s="56"/>
      <x:c r="E1" s="56"/>
      <x:c r="F1" s="56"/>
      <x:c r="G1" s="56"/>
      <x:c r="H1" s="56"/>
    </x:row>
    <x:row r="2" ht="24" customHeight="1">
      <x:c r="A2" s="52" t="str">
        <x:v>Movement is tested as channel throughput against the simultaneous package mass.</x:v>
      </x:c>
      <x:c r="B2" s="57"/>
      <x:c r="C2" s="57"/>
      <x:c r="D2" s="57"/>
      <x:c r="E2" s="57"/>
      <x:c r="F2" s="57"/>
      <x:c r="G2" s="57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32" customHeight="1">
      <x:c r="A4" s="59" t="str">
        <x:v>Channel</x:v>
      </x:c>
      <x:c r="B4" s="60" t="str">
        <x:v>Required mass t</x:v>
      </x:c>
      <x:c r="C4" s="60" t="str">
        <x:v>Source formation</x:v>
      </x:c>
      <x:c r="D4" s="60" t="str">
        <x:v>Selected units</x:v>
      </x:c>
      <x:c r="E4" s="60" t="str">
        <x:v>Unit throughput t/day</x:v>
      </x:c>
      <x:c r="F4" s="60" t="str">
        <x:v>Effective availability</x:v>
      </x:c>
      <x:c r="G4" s="60" t="str">
        <x:v>Capacity in window t</x:v>
      </x:c>
      <x:c r="H4" s="61" t="str">
        <x:v>State</x:v>
      </x:c>
    </x:row>
    <x:row r="5">
      <x:c r="A5" s="76" t="str">
        <x:v>Strategic air / 72 hours</x:v>
      </x:c>
      <x:c r="B5" s="94" t="n">
        <x:f>SUMPRODUCT('Package Matrix'!N5:N38,'Formation Catalog'!L5:L38)*0.12</x:f>
        <x:v>1389684</x:v>
      </x:c>
      <x:c r="C5" s="111" t="str">
        <x:v>A-SMW</x:v>
      </x:c>
      <x:c r="D5" s="94" t="n">
        <x:f>Inventory!I15</x:f>
        <x:v>58</x:v>
      </x:c>
      <x:c r="E5" s="94" t="n">
        <x:v>2000</x:v>
      </x:c>
      <x:c r="F5" s="97" t="n">
        <x:f>'Readiness Vectors'!H15</x:f>
        <x:v>0.65</x:v>
      </x:c>
      <x:c r="G5" s="94" t="n">
        <x:f>D5*E5*F5*3*(1-Controls!B5)</x:f>
        <x:v>180960</x:v>
      </x:c>
      <x:c r="H5" s="85" t="str">
        <x:f>IF(G5&gt;=B5,"PASS","SHORT")</x:f>
        <x:v>SHORT</x:v>
      </x:c>
    </x:row>
    <x:row r="6">
      <x:c r="A6" s="57" t="str">
        <x:v>Tactical air / 7 days</x:v>
      </x:c>
      <x:c r="B6" s="94" t="n">
        <x:f>SUMPRODUCT('Package Matrix'!N5:N38,'Formation Catalog'!L5:L38)*0.08</x:f>
        <x:v>926456</x:v>
      </x:c>
      <x:c r="C6" s="112" t="str">
        <x:v>A-TDG</x:v>
      </x:c>
      <x:c r="D6" s="94" t="n">
        <x:f>Inventory!I18</x:f>
        <x:v>108</x:v>
      </x:c>
      <x:c r="E6" s="94" t="n">
        <x:v>800</x:v>
      </x:c>
      <x:c r="F6" s="97" t="n">
        <x:f>'Readiness Vectors'!H18</x:f>
        <x:v>0.65</x:v>
      </x:c>
      <x:c r="G6" s="94" t="n">
        <x:f>D6*E6*F6*7*(1-Controls!B5)</x:f>
        <x:v>314496</x:v>
      </x:c>
      <x:c r="H6" s="85" t="str">
        <x:f>IF(G6&gt;=B6,"PASS","SHORT")</x:f>
        <x:v>SHORT</x:v>
      </x:c>
    </x:row>
    <x:row r="7">
      <x:c r="A7" s="76" t="str">
        <x:v>Ocean sealift / 14 days</x:v>
      </x:c>
      <x:c r="B7" s="94" t="n">
        <x:f>SUMPRODUCT('Package Matrix'!N5:N38,'Formation Catalog'!L5:L38)*0.35</x:f>
        <x:v>4053244.9999999995</x:v>
      </x:c>
      <x:c r="C7" s="111" t="str">
        <x:v>M-SSG</x:v>
      </x:c>
      <x:c r="D7" s="94" t="n">
        <x:f>Inventory!I25</x:f>
        <x:v>71</x:v>
      </x:c>
      <x:c r="E7" s="94" t="n">
        <x:v>8000</x:v>
      </x:c>
      <x:c r="F7" s="97" t="n">
        <x:f>'Readiness Vectors'!H25</x:f>
        <x:v>0.65</x:v>
      </x:c>
      <x:c r="G7" s="94" t="n">
        <x:f>D7*E7*F7*14*(1-Controls!B5)</x:f>
        <x:v>4135040</x:v>
      </x:c>
      <x:c r="H7" s="85" t="str">
        <x:f>IF(G7&gt;=B7,"PASS","SHORT")</x:f>
        <x:v>PASS</x:v>
      </x:c>
    </x:row>
    <x:row r="8">
      <x:c r="A8" s="57" t="str">
        <x:v>Inland water / 14 days</x:v>
      </x:c>
      <x:c r="B8" s="94" t="n">
        <x:f>SUMPRODUCT('Package Matrix'!N5:N38,'Formation Catalog'!L5:L38)*0.15</x:f>
        <x:v>1737105</x:v>
      </x:c>
      <x:c r="C8" s="112" t="str">
        <x:v>M-IWG</x:v>
      </x:c>
      <x:c r="D8" s="94" t="n">
        <x:f>Inventory!I23</x:f>
        <x:v>54</x:v>
      </x:c>
      <x:c r="E8" s="94" t="n">
        <x:v>4000</x:v>
      </x:c>
      <x:c r="F8" s="97" t="n">
        <x:f>'Readiness Vectors'!H23</x:f>
        <x:v>0.65</x:v>
      </x:c>
      <x:c r="G8" s="94" t="n">
        <x:f>D8*E8*F8*14*(1-Controls!B5)</x:f>
        <x:v>1572480</x:v>
      </x:c>
      <x:c r="H8" s="85" t="str">
        <x:f>IF(G8&gt;=B8,"PASS","SHORT")</x:f>
        <x:v>SHORT</x:v>
      </x:c>
    </x:row>
    <x:row r="9">
      <x:c r="A9" s="76" t="str">
        <x:v>Land route throughput / 14 days</x:v>
      </x:c>
      <x:c r="B9" s="94" t="n">
        <x:f>SUMPRODUCT('Package Matrix'!N5:N38,'Formation Catalog'!L5:L38)*0.30</x:f>
        <x:v>3474210</x:v>
      </x:c>
      <x:c r="C9" s="111" t="str">
        <x:v>L-ROG</x:v>
      </x:c>
      <x:c r="D9" s="94" t="n">
        <x:f>Inventory!I10</x:f>
        <x:v>121</x:v>
      </x:c>
      <x:c r="E9" s="94" t="n">
        <x:v>3000</x:v>
      </x:c>
      <x:c r="F9" s="97" t="n">
        <x:f>'Readiness Vectors'!H10</x:f>
        <x:v>0.7</x:v>
      </x:c>
      <x:c r="G9" s="94" t="n">
        <x:f>D9*E9*F9*14*(1-Controls!B5)</x:f>
        <x:v>2845920</x:v>
      </x:c>
      <x:c r="H9" s="85" t="str">
        <x:f>IF(G9&gt;=B9,"PASS","SHORT")</x:f>
        <x:v>SHORT</x:v>
      </x:c>
    </x:row>
    <x:row r="10">
      <x:c r="A10" s="57"/>
      <x:c r="B10" s="57"/>
      <x:c r="C10" s="57"/>
      <x:c r="D10" s="57"/>
      <x:c r="E10" s="57"/>
      <x:c r="F10" s="57"/>
      <x:c r="G10" s="57"/>
      <x:c r="H10" s="57"/>
    </x:row>
    <x:row r="11">
      <x:c r="A11" s="57"/>
      <x:c r="B11" s="57"/>
      <x:c r="C11" s="57"/>
      <x:c r="D11" s="57"/>
      <x:c r="E11" s="57"/>
      <x:c r="F11" s="57"/>
      <x:c r="G11" s="57"/>
      <x:c r="H11" s="57"/>
    </x:row>
    <x:row r="12">
      <x:c r="A12" s="54" t="str">
        <x:v>Boundary</x:v>
      </x:c>
      <x:c r="B12" s="58"/>
      <x:c r="C12" s="58"/>
      <x:c r="D12" s="58"/>
      <x:c r="E12" s="58"/>
      <x:c r="F12" s="58"/>
      <x:c r="G12" s="58"/>
      <x:c r="H12" s="58"/>
    </x:row>
    <x:row r="13">
      <x:c r="A13" s="57" t="str">
        <x:v>Channel partition</x:v>
      </x:c>
      <x:c r="B13" s="57" t="str">
        <x:v>The 12/8/35/15/30 shares are design assumptions and do not yet come from item-level load plans.</x:v>
      </x:c>
      <x:c r="C13" s="57"/>
      <x:c r="D13" s="57"/>
      <x:c r="E13" s="57"/>
      <x:c r="F13" s="57"/>
      <x:c r="G13" s="57"/>
      <x:c r="H13" s="57"/>
    </x:row>
    <x:row r="14">
      <x:c r="A14" s="57" t="str">
        <x:v>Capacity</x:v>
      </x:c>
      <x:c r="B14" s="57" t="str">
        <x:v>Unit throughput is a screening rate; distance, cycle, port/runway condition, fuel, crews, weather and return flow remain open.</x:v>
      </x:c>
      <x:c r="C14" s="57"/>
      <x:c r="D14" s="57"/>
      <x:c r="E14" s="57"/>
      <x:c r="F14" s="57"/>
      <x:c r="G14" s="57"/>
      <x:c r="H14" s="57"/>
    </x:row>
    <x:row r="15">
      <x:c r="A15" s="57" t="str">
        <x:v>Defense dependency</x:v>
      </x:c>
      <x:c r="B15" s="57" t="str">
        <x:v>No DoD lift is credited. Commercial and allied capacity enters only through certified formations or later explicit agreements.</x:v>
      </x:c>
      <x:c r="C15" s="57"/>
      <x:c r="D15" s="57"/>
      <x:c r="E15" s="57"/>
      <x:c r="F15" s="57"/>
      <x:c r="G15" s="57"/>
      <x:c r="H15" s="57"/>
    </x:row>
  </x:sheetData>
  <x:mergeCells>
    <x:mergeCell ref="A1:H1"/>
    <x:mergeCell ref="A2:H2"/>
  </x:mergeCells>
  <x:conditionalFormatting sqref="H5:H9">
    <x:cfRule type="containsText" dxfId="17" priority="1" operator="containsText" text="PASS"/>
    <x:cfRule type="containsText" dxfId="18" priority="2" operator="containsText" text="OPEN"/>
    <x:cfRule type="containsText" dxfId="19" priority="3" operator="containsText" text="FAIL"/>
    <x:cfRule type="containsText" dxfId="20" priority="4" operator="containsText" text="SHORT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18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52" hidden="0" customWidth="1"/>
  </x:cols>
  <x:sheetData>
    <x:row r="1" ht="24" customHeight="1">
      <x:c r="A1" s="50" t="str">
        <x:v>Reception</x:v>
      </x:c>
      <x:c r="B1" s="56"/>
      <x:c r="C1" s="56"/>
      <x:c r="D1" s="56"/>
      <x:c r="E1" s="56"/>
      <x:c r="F1" s="56"/>
      <x:c r="G1" s="56"/>
      <x:c r="H1" s="56"/>
      <x:c r="I1" s="56"/>
    </x:row>
    <x:row r="2" ht="24" customHeight="1">
      <x:c r="A2" s="52" t="str">
        <x:v>A damaged theater must receive the force without consuming the systems it is sent to restore.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32" customHeight="1">
      <x:c r="A4" s="59" t="str">
        <x:v>ID</x:v>
      </x:c>
      <x:c r="B4" s="60" t="str">
        <x:v>Campaign</x:v>
      </x:c>
      <x:c r="C4" s="60" t="str">
        <x:v>Opening commands</x:v>
      </x:c>
      <x:c r="D4" s="60" t="str">
        <x:v>Mass t</x:v>
      </x:c>
      <x:c r="E4" s="60" t="str">
        <x:v>Full-effect d</x:v>
      </x:c>
      <x:c r="F4" s="60" t="str">
        <x:v>Required t/day</x:v>
      </x:c>
      <x:c r="G4" s="60" t="str">
        <x:v>Capacity t/day</x:v>
      </x:c>
      <x:c r="H4" s="60" t="str">
        <x:v>State</x:v>
      </x:c>
      <x:c r="I4" s="61" t="str">
        <x:v>Boundary</x:v>
      </x:c>
    </x:row>
    <x:row r="5">
      <x:c r="A5" s="76" t="str">
        <x:v>C1</x:v>
      </x:c>
      <x:c r="B5" s="76" t="str">
        <x:v>Continental grid failure during temperature extreme</x:v>
      </x:c>
      <x:c r="C5" s="94" t="n">
        <x:f>'Campaign Demand'!G5</x:f>
        <x:v>2</x:v>
      </x:c>
      <x:c r="D5" s="94" t="n">
        <x:f>'Campaign Demand'!E5</x:f>
        <x:v>996800</x:v>
      </x:c>
      <x:c r="E5" s="94" t="n">
        <x:v>7</x:v>
      </x:c>
      <x:c r="F5" s="94" t="n">
        <x:f>D5/E5</x:f>
        <x:v>142400</x:v>
      </x:c>
      <x:c r="G5" s="94" t="n">
        <x:f>C5*25000*'Readiness Vectors'!H6</x:f>
        <x:v>39000</x:v>
      </x:c>
      <x:c r="H5" s="85" t="str">
        <x:f>IF(G5&gt;=F5,"PASS","SHORT")</x:f>
        <x:v>SHORT</x:v>
      </x:c>
      <x:c r="I5" s="76" t="str">
        <x:v>Each opening command screens at 25,000 t/day after availability</x:v>
      </x:c>
    </x:row>
    <x:row r="6">
      <x:c r="A6" s="57" t="str">
        <x:v>C2</x:v>
      </x:c>
      <x:c r="B6" s="57" t="str">
        <x:v>Sequential Gulf–Atlantic hurricane</x:v>
      </x:c>
      <x:c r="C6" s="94" t="n">
        <x:f>'Campaign Demand'!G6</x:f>
        <x:v>3</x:v>
      </x:c>
      <x:c r="D6" s="94" t="n">
        <x:f>'Campaign Demand'!E6</x:f>
        <x:v>1345600</x:v>
      </x:c>
      <x:c r="E6" s="94" t="n">
        <x:v>7</x:v>
      </x:c>
      <x:c r="F6" s="94" t="n">
        <x:f>D6/E6</x:f>
        <x:v>192228.57142857142</x:v>
      </x:c>
      <x:c r="G6" s="94" t="n">
        <x:f>C6*25000*'Readiness Vectors'!H6</x:f>
        <x:v>58500</x:v>
      </x:c>
      <x:c r="H6" s="85" t="str">
        <x:f>IF(G6&gt;=F6,"PASS","SHORT")</x:f>
        <x:v>SHORT</x:v>
      </x:c>
      <x:c r="I6" s="57" t="str">
        <x:v>Each opening command screens at 25,000 t/day after availability</x:v>
      </x:c>
    </x:row>
    <x:row r="7">
      <x:c r="A7" s="76" t="str">
        <x:v>C3</x:v>
      </x:c>
      <x:c r="B7" s="76" t="str">
        <x:v>Cascadia earthquake and tsunami</x:v>
      </x:c>
      <x:c r="C7" s="94" t="n">
        <x:f>'Campaign Demand'!G7</x:f>
        <x:v>4</x:v>
      </x:c>
      <x:c r="D7" s="94" t="n">
        <x:f>'Campaign Demand'!E7</x:f>
        <x:v>1762600</x:v>
      </x:c>
      <x:c r="E7" s="94" t="n">
        <x:v>7</x:v>
      </x:c>
      <x:c r="F7" s="94" t="n">
        <x:f>D7/E7</x:f>
        <x:v>251800</x:v>
      </x:c>
      <x:c r="G7" s="94" t="n">
        <x:f>C7*25000*'Readiness Vectors'!H6</x:f>
        <x:v>78000</x:v>
      </x:c>
      <x:c r="H7" s="85" t="str">
        <x:f>IF(G7&gt;=F7,"PASS","SHORT")</x:f>
        <x:v>SHORT</x:v>
      </x:c>
      <x:c r="I7" s="76" t="str">
        <x:v>Each opening command screens at 25,000 t/day after availability</x:v>
      </x:c>
    </x:row>
    <x:row r="8">
      <x:c r="A8" s="57" t="str">
        <x:v>M1</x:v>
      </x:c>
      <x:c r="B8" s="57" t="str">
        <x:v>Western wildfire–heat–smoke complex</x:v>
      </x:c>
      <x:c r="C8" s="94" t="n">
        <x:f>'Campaign Demand'!G8</x:f>
        <x:v>1</x:v>
      </x:c>
      <x:c r="D8" s="94" t="n">
        <x:f>'Campaign Demand'!E8</x:f>
        <x:v>646100</x:v>
      </x:c>
      <x:c r="E8" s="94" t="n">
        <x:v>7</x:v>
      </x:c>
      <x:c r="F8" s="94" t="n">
        <x:f>D8/E8</x:f>
        <x:v>92300</x:v>
      </x:c>
      <x:c r="G8" s="94" t="n">
        <x:f>C8*25000*'Readiness Vectors'!H6</x:f>
        <x:v>19500</x:v>
      </x:c>
      <x:c r="H8" s="85" t="str">
        <x:f>IF(G8&gt;=F8,"PASS","SHORT")</x:f>
        <x:v>SHORT</x:v>
      </x:c>
      <x:c r="I8" s="57" t="str">
        <x:v>Each opening command screens at 25,000 t/day after availability</x:v>
      </x:c>
    </x:row>
    <x:row r="9">
      <x:c r="A9" s="76" t="str">
        <x:v>M2</x:v>
      </x:c>
      <x:c r="B9" s="76" t="str">
        <x:v>Urban heat emergency</x:v>
      </x:c>
      <x:c r="C9" s="94" t="n">
        <x:f>'Campaign Demand'!G9</x:f>
        <x:v>1</x:v>
      </x:c>
      <x:c r="D9" s="94" t="n">
        <x:f>'Campaign Demand'!E9</x:f>
        <x:v>725100</x:v>
      </x:c>
      <x:c r="E9" s="94" t="n">
        <x:v>7</x:v>
      </x:c>
      <x:c r="F9" s="94" t="n">
        <x:f>D9/E9</x:f>
        <x:v>103585.71428571429</x:v>
      </x:c>
      <x:c r="G9" s="94" t="n">
        <x:f>C9*25000*'Readiness Vectors'!H6</x:f>
        <x:v>19500</x:v>
      </x:c>
      <x:c r="H9" s="85" t="str">
        <x:f>IF(G9&gt;=F9,"PASS","SHORT")</x:f>
        <x:v>SHORT</x:v>
      </x:c>
      <x:c r="I9" s="76" t="str">
        <x:v>Each opening command screens at 25,000 t/day after availability</x:v>
      </x:c>
    </x:row>
    <x:row r="10">
      <x:c r="A10" s="57" t="str">
        <x:v>M3</x:v>
      </x:c>
      <x:c r="B10" s="57" t="str">
        <x:v>Inland flood</x:v>
      </x:c>
      <x:c r="C10" s="94" t="n">
        <x:f>'Campaign Demand'!G10</x:f>
        <x:v>2</x:v>
      </x:c>
      <x:c r="D10" s="94" t="n">
        <x:f>'Campaign Demand'!E10</x:f>
        <x:v>984600</x:v>
      </x:c>
      <x:c r="E10" s="94" t="n">
        <x:v>7</x:v>
      </x:c>
      <x:c r="F10" s="94" t="n">
        <x:f>D10/E10</x:f>
        <x:v>140657.14285714287</x:v>
      </x:c>
      <x:c r="G10" s="94" t="n">
        <x:f>C10*25000*'Readiness Vectors'!H6</x:f>
        <x:v>39000</x:v>
      </x:c>
      <x:c r="H10" s="85" t="str">
        <x:f>IF(G10&gt;=F10,"PASS","SHORT")</x:f>
        <x:v>SHORT</x:v>
      </x:c>
      <x:c r="I10" s="57" t="str">
        <x:v>Each opening command screens at 25,000 t/day after availability</x:v>
      </x:c>
    </x:row>
    <x:row r="11">
      <x:c r="A11" s="76" t="str">
        <x:v>M4</x:v>
      </x:c>
      <x:c r="B11" s="76" t="str">
        <x:v>Regional tornado sequence</x:v>
      </x:c>
      <x:c r="C11" s="94" t="n">
        <x:f>'Campaign Demand'!G11</x:f>
        <x:v>2</x:v>
      </x:c>
      <x:c r="D11" s="94" t="n">
        <x:f>'Campaign Demand'!E11</x:f>
        <x:v>1065600</x:v>
      </x:c>
      <x:c r="E11" s="94" t="n">
        <x:v>7</x:v>
      </x:c>
      <x:c r="F11" s="94" t="n">
        <x:f>D11/E11</x:f>
        <x:v>152228.57142857142</x:v>
      </x:c>
      <x:c r="G11" s="94" t="n">
        <x:f>C11*25000*'Readiness Vectors'!H6</x:f>
        <x:v>39000</x:v>
      </x:c>
      <x:c r="H11" s="85" t="str">
        <x:f>IF(G11&gt;=F11,"PASS","SHORT")</x:f>
        <x:v>SHORT</x:v>
      </x:c>
      <x:c r="I11" s="76" t="str">
        <x:v>Each opening command screens at 25,000 t/day after availability</x:v>
      </x:c>
    </x:row>
    <x:row r="12">
      <x:c r="A12" s="57" t="str">
        <x:v>M5</x:v>
      </x:c>
      <x:c r="B12" s="57" t="str">
        <x:v>Territorial drought and water emergency</x:v>
      </x:c>
      <x:c r="C12" s="94" t="n">
        <x:f>'Campaign Demand'!G12</x:f>
        <x:v>2</x:v>
      </x:c>
      <x:c r="D12" s="94" t="n">
        <x:f>'Campaign Demand'!E12</x:f>
        <x:v>899100</x:v>
      </x:c>
      <x:c r="E12" s="94" t="n">
        <x:v>14</x:v>
      </x:c>
      <x:c r="F12" s="94" t="n">
        <x:f>D12/E12</x:f>
        <x:v>64221.42857142857</x:v>
      </x:c>
      <x:c r="G12" s="94" t="n">
        <x:f>C12*25000*'Readiness Vectors'!H6</x:f>
        <x:v>39000</x:v>
      </x:c>
      <x:c r="H12" s="85" t="str">
        <x:f>IF(G12&gt;=F12,"PASS","SHORT")</x:f>
        <x:v>SHORT</x:v>
      </x:c>
      <x:c r="I12" s="57" t="str">
        <x:v>Each opening command screens at 25,000 t/day after availability</x:v>
      </x:c>
    </x:row>
    <x:row r="13">
      <x:c r="A13" s="76" t="str">
        <x:v>G1</x:v>
      </x:c>
      <x:c r="B13" s="76" t="str">
        <x:v>Allied coastal megacity earthquake</x:v>
      </x:c>
      <x:c r="C13" s="94" t="n">
        <x:f>'Campaign Demand'!G13</x:f>
        <x:v>3</x:v>
      </x:c>
      <x:c r="D13" s="94" t="n">
        <x:f>'Campaign Demand'!E13</x:f>
        <x:v>1573600</x:v>
      </x:c>
      <x:c r="E13" s="94" t="n">
        <x:v>14</x:v>
      </x:c>
      <x:c r="F13" s="94" t="n">
        <x:f>D13/E13</x:f>
        <x:v>112400</x:v>
      </x:c>
      <x:c r="G13" s="94" t="n">
        <x:f>C13*25000*'Readiness Vectors'!H6</x:f>
        <x:v>58500</x:v>
      </x:c>
      <x:c r="H13" s="85" t="str">
        <x:f>IF(G13&gt;=F13,"PASS","SHORT")</x:f>
        <x:v>SHORT</x:v>
      </x:c>
      <x:c r="I13" s="76" t="str">
        <x:v>Each opening command screens at 25,000 t/day after availability</x:v>
      </x:c>
    </x:row>
    <x:row r="14">
      <x:c r="A14" s="57" t="str">
        <x:v>G2</x:v>
      </x:c>
      <x:c r="B14" s="57" t="str">
        <x:v>Regional flood and displacement mission</x:v>
      </x:c>
      <x:c r="C14" s="94" t="n">
        <x:f>'Campaign Demand'!G14</x:f>
        <x:v>3</x:v>
      </x:c>
      <x:c r="D14" s="94" t="n">
        <x:f>'Campaign Demand'!E14</x:f>
        <x:v>1581600</x:v>
      </x:c>
      <x:c r="E14" s="94" t="n">
        <x:v>14</x:v>
      </x:c>
      <x:c r="F14" s="94" t="n">
        <x:f>D14/E14</x:f>
        <x:v>112971.42857142857</x:v>
      </x:c>
      <x:c r="G14" s="94" t="n">
        <x:f>C14*25000*'Readiness Vectors'!H6</x:f>
        <x:v>58500</x:v>
      </x:c>
      <x:c r="H14" s="85" t="str">
        <x:f>IF(G14&gt;=F14,"PASS","SHORT")</x:f>
        <x:v>SHORT</x:v>
      </x:c>
      <x:c r="I14" s="57" t="str">
        <x:v>Each opening command screens at 25,000 t/day after availability</x:v>
      </x:c>
    </x:row>
  </x:sheetData>
  <x:mergeCells>
    <x:mergeCell ref="A1:I1"/>
    <x:mergeCell ref="A2:I2"/>
  </x:mergeCells>
  <x:conditionalFormatting sqref="H5:H14">
    <x:cfRule type="containsText" dxfId="21" priority="1" operator="containsText" text="PASS"/>
    <x:cfRule type="containsText" dxfId="22" priority="2" operator="containsText" text="OPEN"/>
    <x:cfRule type="containsText" dxfId="23" priority="3" operator="containsText" text="FAIL"/>
    <x:cfRule type="containsText" dxfId="24" priority="4" operator="containsText" text="SHORT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52" hidden="0" customWidth="1"/>
  </x:cols>
  <x:sheetData>
    <x:row r="1" ht="24" customHeight="1">
      <x:c r="A1" s="50" t="str">
        <x:v>Sustainment</x:v>
      </x:c>
      <x:c r="B1" s="56"/>
      <x:c r="C1" s="56"/>
      <x:c r="D1" s="56"/>
      <x:c r="E1" s="56"/>
      <x:c r="F1" s="56"/>
      <x:c r="G1" s="56"/>
      <x:c r="H1" s="56"/>
    </x:row>
    <x:row r="2" ht="24" customHeight="1">
      <x:c r="A2" s="52" t="str">
        <x:v>Daily supply demand is compared with theater sustainment commands; industrial replenishment remains separate.</x:v>
      </x:c>
      <x:c r="B2" s="57"/>
      <x:c r="C2" s="57"/>
      <x:c r="D2" s="57"/>
      <x:c r="E2" s="57"/>
      <x:c r="F2" s="57"/>
      <x:c r="G2" s="57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32" customHeight="1">
      <x:c r="A4" s="59" t="str">
        <x:v>ID</x:v>
      </x:c>
      <x:c r="B4" s="60" t="str">
        <x:v>Campaign</x:v>
      </x:c>
      <x:c r="C4" s="60" t="str">
        <x:v>Sustainment commands</x:v>
      </x:c>
      <x:c r="D4" s="60" t="str">
        <x:v>Required t/day</x:v>
      </x:c>
      <x:c r="E4" s="60" t="str">
        <x:v>Unit capacity t/day</x:v>
      </x:c>
      <x:c r="F4" s="60" t="str">
        <x:v>Effective capacity t/day</x:v>
      </x:c>
      <x:c r="G4" s="60" t="str">
        <x:v>State</x:v>
      </x:c>
      <x:c r="H4" s="61" t="str">
        <x:v>Boundary</x:v>
      </x:c>
    </x:row>
    <x:row r="5">
      <x:c r="A5" s="76" t="str">
        <x:v>C1</x:v>
      </x:c>
      <x:c r="B5" s="76" t="str">
        <x:v>Continental grid failure during temperature extreme</x:v>
      </x:c>
      <x:c r="C5" s="94" t="n">
        <x:f>'Campaign Demand'!H5</x:f>
        <x:v>3</x:v>
      </x:c>
      <x:c r="D5" s="94" t="n">
        <x:f>'Campaign Demand'!F5</x:f>
        <x:v>12230</x:v>
      </x:c>
      <x:c r="E5" s="94" t="n">
        <x:v>7500</x:v>
      </x:c>
      <x:c r="F5" s="94" t="n">
        <x:f>C5*E5*'Readiness Vectors'!H7</x:f>
        <x:v>17550</x:v>
      </x:c>
      <x:c r="G5" s="85" t="str">
        <x:f>IF(F5&gt;=D5,"PASS","SHORT")</x:f>
        <x:v>PASS</x:v>
      </x:c>
      <x:c r="H5" s="76" t="str">
        <x:v>Fuel-intensive utility source burdens remain inside the NUPS integrated program and may raise the true signal</x:v>
      </x:c>
    </x:row>
    <x:row r="6">
      <x:c r="A6" s="57" t="str">
        <x:v>C2</x:v>
      </x:c>
      <x:c r="B6" s="57" t="str">
        <x:v>Sequential Gulf–Atlantic hurricane</x:v>
      </x:c>
      <x:c r="C6" s="94" t="n">
        <x:f>'Campaign Demand'!H6</x:f>
        <x:v>4</x:v>
      </x:c>
      <x:c r="D6" s="94" t="n">
        <x:f>'Campaign Demand'!F6</x:f>
        <x:v>17335</x:v>
      </x:c>
      <x:c r="E6" s="94" t="n">
        <x:v>7500</x:v>
      </x:c>
      <x:c r="F6" s="94" t="n">
        <x:f>C6*E6*'Readiness Vectors'!H7</x:f>
        <x:v>23400</x:v>
      </x:c>
      <x:c r="G6" s="85" t="str">
        <x:f>IF(F6&gt;=D6,"PASS","SHORT")</x:f>
        <x:v>PASS</x:v>
      </x:c>
      <x:c r="H6" s="57" t="str">
        <x:v>Fuel-intensive utility source burdens remain inside the NUPS integrated program and may raise the true signal</x:v>
      </x:c>
    </x:row>
    <x:row r="7">
      <x:c r="A7" s="76" t="str">
        <x:v>C3</x:v>
      </x:c>
      <x:c r="B7" s="76" t="str">
        <x:v>Cascadia earthquake and tsunami</x:v>
      </x:c>
      <x:c r="C7" s="94" t="n">
        <x:f>'Campaign Demand'!H7</x:f>
        <x:v>5</x:v>
      </x:c>
      <x:c r="D7" s="94" t="n">
        <x:f>'Campaign Demand'!F7</x:f>
        <x:v>22520</x:v>
      </x:c>
      <x:c r="E7" s="94" t="n">
        <x:v>7500</x:v>
      </x:c>
      <x:c r="F7" s="94" t="n">
        <x:f>C7*E7*'Readiness Vectors'!H7</x:f>
        <x:v>29250</x:v>
      </x:c>
      <x:c r="G7" s="85" t="str">
        <x:f>IF(F7&gt;=D7,"PASS","SHORT")</x:f>
        <x:v>PASS</x:v>
      </x:c>
      <x:c r="H7" s="76" t="str">
        <x:v>Fuel-intensive utility source burdens remain inside the NUPS integrated program and may raise the true signal</x:v>
      </x:c>
    </x:row>
    <x:row r="8">
      <x:c r="A8" s="57" t="str">
        <x:v>M1</x:v>
      </x:c>
      <x:c r="B8" s="57" t="str">
        <x:v>Western wildfire–heat–smoke complex</x:v>
      </x:c>
      <x:c r="C8" s="94" t="n">
        <x:f>'Campaign Demand'!H8</x:f>
        <x:v>2</x:v>
      </x:c>
      <x:c r="D8" s="94" t="n">
        <x:f>'Campaign Demand'!F8</x:f>
        <x:v>8475</x:v>
      </x:c>
      <x:c r="E8" s="94" t="n">
        <x:v>7500</x:v>
      </x:c>
      <x:c r="F8" s="94" t="n">
        <x:f>C8*E8*'Readiness Vectors'!H7</x:f>
        <x:v>11700</x:v>
      </x:c>
      <x:c r="G8" s="85" t="str">
        <x:f>IF(F8&gt;=D8,"PASS","SHORT")</x:f>
        <x:v>PASS</x:v>
      </x:c>
      <x:c r="H8" s="57" t="str">
        <x:v>Fuel-intensive utility source burdens remain inside the NUPS integrated program and may raise the true signal</x:v>
      </x:c>
    </x:row>
    <x:row r="9">
      <x:c r="A9" s="76" t="str">
        <x:v>M2</x:v>
      </x:c>
      <x:c r="B9" s="76" t="str">
        <x:v>Urban heat emergency</x:v>
      </x:c>
      <x:c r="C9" s="94" t="n">
        <x:f>'Campaign Demand'!H9</x:f>
        <x:v>2</x:v>
      </x:c>
      <x:c r="D9" s="94" t="n">
        <x:f>'Campaign Demand'!F9</x:f>
        <x:v>9145</x:v>
      </x:c>
      <x:c r="E9" s="94" t="n">
        <x:v>7500</x:v>
      </x:c>
      <x:c r="F9" s="94" t="n">
        <x:f>C9*E9*'Readiness Vectors'!H7</x:f>
        <x:v>11700</x:v>
      </x:c>
      <x:c r="G9" s="85" t="str">
        <x:f>IF(F9&gt;=D9,"PASS","SHORT")</x:f>
        <x:v>PASS</x:v>
      </x:c>
      <x:c r="H9" s="76" t="str">
        <x:v>Fuel-intensive utility source burdens remain inside the NUPS integrated program and may raise the true signal</x:v>
      </x:c>
    </x:row>
    <x:row r="10">
      <x:c r="A10" s="57" t="str">
        <x:v>M3</x:v>
      </x:c>
      <x:c r="B10" s="57" t="str">
        <x:v>Inland flood</x:v>
      </x:c>
      <x:c r="C10" s="94" t="n">
        <x:f>'Campaign Demand'!H10</x:f>
        <x:v>3</x:v>
      </x:c>
      <x:c r="D10" s="94" t="n">
        <x:f>'Campaign Demand'!F10</x:f>
        <x:v>12195</x:v>
      </x:c>
      <x:c r="E10" s="94" t="n">
        <x:v>7500</x:v>
      </x:c>
      <x:c r="F10" s="94" t="n">
        <x:f>C10*E10*'Readiness Vectors'!H7</x:f>
        <x:v>17550</x:v>
      </x:c>
      <x:c r="G10" s="85" t="str">
        <x:f>IF(F10&gt;=D10,"PASS","SHORT")</x:f>
        <x:v>PASS</x:v>
      </x:c>
      <x:c r="H10" s="57" t="str">
        <x:v>Fuel-intensive utility source burdens remain inside the NUPS integrated program and may raise the true signal</x:v>
      </x:c>
    </x:row>
    <x:row r="11">
      <x:c r="A11" s="76" t="str">
        <x:v>M4</x:v>
      </x:c>
      <x:c r="B11" s="76" t="str">
        <x:v>Regional tornado sequence</x:v>
      </x:c>
      <x:c r="C11" s="94" t="n">
        <x:f>'Campaign Demand'!H11</x:f>
        <x:v>3</x:v>
      </x:c>
      <x:c r="D11" s="94" t="n">
        <x:f>'Campaign Demand'!F11</x:f>
        <x:v>13465</x:v>
      </x:c>
      <x:c r="E11" s="94" t="n">
        <x:v>7500</x:v>
      </x:c>
      <x:c r="F11" s="94" t="n">
        <x:f>C11*E11*'Readiness Vectors'!H7</x:f>
        <x:v>17550</x:v>
      </x:c>
      <x:c r="G11" s="85" t="str">
        <x:f>IF(F11&gt;=D11,"PASS","SHORT")</x:f>
        <x:v>PASS</x:v>
      </x:c>
      <x:c r="H11" s="76" t="str">
        <x:v>Fuel-intensive utility source burdens remain inside the NUPS integrated program and may raise the true signal</x:v>
      </x:c>
    </x:row>
    <x:row r="12">
      <x:c r="A12" s="57" t="str">
        <x:v>M5</x:v>
      </x:c>
      <x:c r="B12" s="57" t="str">
        <x:v>Territorial drought and water emergency</x:v>
      </x:c>
      <x:c r="C12" s="94" t="n">
        <x:f>'Campaign Demand'!H12</x:f>
        <x:v>3</x:v>
      </x:c>
      <x:c r="D12" s="94" t="n">
        <x:f>'Campaign Demand'!F12</x:f>
        <x:v>11625</x:v>
      </x:c>
      <x:c r="E12" s="94" t="n">
        <x:v>7500</x:v>
      </x:c>
      <x:c r="F12" s="94" t="n">
        <x:f>C12*E12*'Readiness Vectors'!H7</x:f>
        <x:v>17550</x:v>
      </x:c>
      <x:c r="G12" s="85" t="str">
        <x:f>IF(F12&gt;=D12,"PASS","SHORT")</x:f>
        <x:v>PASS</x:v>
      </x:c>
      <x:c r="H12" s="57" t="str">
        <x:v>Fuel-intensive utility source burdens remain inside the NUPS integrated program and may raise the true signal</x:v>
      </x:c>
    </x:row>
    <x:row r="13">
      <x:c r="A13" s="76" t="str">
        <x:v>G1</x:v>
      </x:c>
      <x:c r="B13" s="76" t="str">
        <x:v>Allied coastal megacity earthquake</x:v>
      </x:c>
      <x:c r="C13" s="94" t="n">
        <x:f>'Campaign Demand'!H13</x:f>
        <x:v>4</x:v>
      </x:c>
      <x:c r="D13" s="94" t="n">
        <x:f>'Campaign Demand'!F13</x:f>
        <x:v>20400</x:v>
      </x:c>
      <x:c r="E13" s="94" t="n">
        <x:v>7500</x:v>
      </x:c>
      <x:c r="F13" s="94" t="n">
        <x:f>C13*E13*'Readiness Vectors'!H7</x:f>
        <x:v>23400</x:v>
      </x:c>
      <x:c r="G13" s="85" t="str">
        <x:f>IF(F13&gt;=D13,"PASS","SHORT")</x:f>
        <x:v>PASS</x:v>
      </x:c>
      <x:c r="H13" s="76" t="str">
        <x:v>Fuel-intensive utility source burdens remain inside the NUPS integrated program and may raise the true signal</x:v>
      </x:c>
    </x:row>
    <x:row r="14">
      <x:c r="A14" s="57" t="str">
        <x:v>G2</x:v>
      </x:c>
      <x:c r="B14" s="57" t="str">
        <x:v>Regional flood and displacement mission</x:v>
      </x:c>
      <x:c r="C14" s="94" t="n">
        <x:f>'Campaign Demand'!H14</x:f>
        <x:v>4</x:v>
      </x:c>
      <x:c r="D14" s="94" t="n">
        <x:f>'Campaign Demand'!F14</x:f>
        <x:v>20860</x:v>
      </x:c>
      <x:c r="E14" s="94" t="n">
        <x:v>7500</x:v>
      </x:c>
      <x:c r="F14" s="94" t="n">
        <x:f>C14*E14*'Readiness Vectors'!H7</x:f>
        <x:v>23400</x:v>
      </x:c>
      <x:c r="G14" s="85" t="str">
        <x:f>IF(F14&gt;=D14,"PASS","SHORT")</x:f>
        <x:v>PASS</x:v>
      </x:c>
      <x:c r="H14" s="57" t="str">
        <x:v>Fuel-intensive utility source burdens remain inside the NUPS integrated program and may raise the true signal</x:v>
      </x:c>
    </x:row>
  </x:sheetData>
  <x:mergeCells>
    <x:mergeCell ref="A1:H1"/>
    <x:mergeCell ref="A2:H2"/>
  </x:mergeCells>
  <x:conditionalFormatting sqref="G5:G14">
    <x:cfRule type="containsText" dxfId="25" priority="1" operator="containsText" text="PASS"/>
    <x:cfRule type="containsText" dxfId="26" priority="2" operator="containsText" text="OPEN"/>
    <x:cfRule type="containsText" dxfId="27" priority="3" operator="containsText" text="FAIL"/>
    <x:cfRule type="containsText" dxfId="28" priority="4" operator="containsText" text="SHORT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40" hidden="0" customWidth="1"/>
    <x:col min="4" max="4" width="44" hidden="0" customWidth="1"/>
    <x:col min="5" max="5" width="52" hidden="0" customWidth="1"/>
  </x:cols>
  <x:sheetData>
    <x:row r="1" ht="24" customHeight="1">
      <x:c r="A1" s="50" t="str">
        <x:v>Command Allocation</x:v>
      </x:c>
      <x:c r="B1" s="56"/>
      <x:c r="C1" s="56"/>
      <x:c r="D1" s="56"/>
      <x:c r="E1" s="56"/>
    </x:row>
    <x:row r="2" ht="24" customHeight="1">
      <x:c r="A2" s="52" t="str">
        <x:v>Force management separates enduring ownership, planning access and execution authority.</x:v>
      </x:c>
      <x:c r="B2" s="57"/>
      <x:c r="C2" s="57"/>
      <x:c r="D2" s="57"/>
      <x:c r="E2" s="57"/>
    </x:row>
    <x:row r="3">
      <x:c r="A3" s="57"/>
      <x:c r="B3" s="57"/>
      <x:c r="C3" s="57"/>
      <x:c r="D3" s="57"/>
      <x:c r="E3" s="57"/>
    </x:row>
    <x:row r="4" ht="32" customHeight="1">
      <x:c r="A4" s="59" t="str">
        <x:v>Decision</x:v>
      </x:c>
      <x:c r="B4" s="60" t="str">
        <x:v>Primary owner</x:v>
      </x:c>
      <x:c r="C4" s="60" t="str">
        <x:v>Required concurrence</x:v>
      </x:c>
      <x:c r="D4" s="60" t="str">
        <x:v>Recorded output</x:v>
      </x:c>
      <x:c r="E4" s="61" t="str">
        <x:v>Cannot be delegated to</x:v>
      </x:c>
    </x:row>
    <x:row r="5">
      <x:c r="A5" s="76" t="str">
        <x:v>Set national campaign priorities</x:v>
      </x:c>
      <x:c r="B5" s="76" t="str">
        <x:v>Secretary + Civil Resilience Authority</x:v>
      </x:c>
      <x:c r="C5" s="76" t="str">
        <x:v>Affected governments and Chief of Resilience Staff</x:v>
      </x:c>
      <x:c r="D5" s="76" t="str">
        <x:v>Ranked public effects, protected populations, duration and risk</x:v>
      </x:c>
      <x:c r="E5" s="76" t="str">
        <x:v>Equipment owner or functional command</x:v>
      </x:c>
    </x:row>
    <x:row r="6">
      <x:c r="A6" s="57" t="str">
        <x:v>Assign formations</x:v>
      </x:c>
      <x:c r="B6" s="57" t="str">
        <x:v>Secretary</x:v>
      </x:c>
      <x:c r="C6" s="57" t="str">
        <x:v>Service chiefs and supported commands</x:v>
      </x:c>
      <x:c r="D6" s="57" t="str">
        <x:v>Enduring command relationship and home-station obligation</x:v>
      </x:c>
      <x:c r="E6" s="57" t="str">
        <x:v>Campaign planner</x:v>
      </x:c>
    </x:row>
    <x:row r="7">
      <x:c r="A7" s="76" t="str">
        <x:v>Apportion for planning</x:v>
      </x:c>
      <x:c r="B7" s="76" t="str">
        <x:v>Chief of Resilience Staff</x:v>
      </x:c>
      <x:c r="C7" s="76" t="str">
        <x:v>Services, geographic and functional commands</x:v>
      </x:c>
      <x:c r="D7" s="76" t="str">
        <x:v>Scenario-specific planning availability and known conflicts</x:v>
      </x:c>
      <x:c r="E7" s="76" t="str">
        <x:v>Workbook owner alone</x:v>
      </x:c>
    </x:row>
    <x:row r="8">
      <x:c r="A8" s="57" t="str">
        <x:v>Validate force requirement</x:v>
      </x:c>
      <x:c r="B8" s="57" t="str">
        <x:v>Joint Force Coordinator</x:v>
      </x:c>
      <x:c r="C8" s="57" t="str">
        <x:v>Civil, operational and technical authorities</x:v>
      </x:c>
      <x:c r="D8" s="57" t="str">
        <x:v>Mission-ready package with timing, interfaces and support</x:v>
      </x:c>
      <x:c r="E8" s="57" t="str">
        <x:v>Requesting headquarters alone</x:v>
      </x:c>
    </x:row>
    <x:row r="9">
      <x:c r="A9" s="76" t="str">
        <x:v>Develop sourcing options</x:v>
      </x:c>
      <x:c r="B9" s="76" t="str">
        <x:v>Joint Force Coordinator</x:v>
      </x:c>
      <x:c r="C9" s="76" t="str">
        <x:v>Services, mobility, sustainment and industry</x:v>
      </x:c>
      <x:c r="D9" s="76" t="str">
        <x:v>Named options, shortfalls, readiness cost and mitigation</x:v>
      </x:c>
      <x:c r="E9" s="76" t="str">
        <x:v>Single generating service</x:v>
      </x:c>
    </x:row>
    <x:row r="10">
      <x:c r="A10" s="57" t="str">
        <x:v>Allocate for execution</x:v>
      </x:c>
      <x:c r="B10" s="57" t="str">
        <x:v>Secretary / delegated allocator</x:v>
      </x:c>
      <x:c r="C10" s="57" t="str">
        <x:v>Chief of Resilience Staff and affected commands</x:v>
      </x:c>
      <x:c r="D10" s="57" t="str">
        <x:v>Exact formation, supported commander, duration and return condition</x:v>
      </x:c>
      <x:c r="E10" s="57" t="str">
        <x:v>Vendor or local incident staff</x:v>
      </x:c>
    </x:row>
    <x:row r="11">
      <x:c r="A11" s="76" t="str">
        <x:v>Route and track movement</x:v>
      </x:c>
      <x:c r="B11" s="76" t="str">
        <x:v>Strategic Mobility Command</x:v>
      </x:c>
      <x:c r="C11" s="76" t="str">
        <x:v>Theater opening, carriers, ports, airfields and regulators</x:v>
      </x:c>
      <x:c r="D11" s="76" t="str">
        <x:v>End-to-end movement and reception record</x:v>
      </x:c>
      <x:c r="E11" s="76" t="str">
        <x:v>Deploying formation alone</x:v>
      </x:c>
    </x:row>
    <x:row r="12">
      <x:c r="A12" s="57" t="str">
        <x:v>Release technical operation</x:v>
      </x:c>
      <x:c r="B12" s="57" t="str">
        <x:v>Independent technical authorities</x:v>
      </x:c>
      <x:c r="C12" s="57" t="str">
        <x:v>Host owner and operational command</x:v>
      </x:c>
      <x:c r="D12" s="57" t="str">
        <x:v>As-operated configuration and stop conditions</x:v>
      </x:c>
      <x:c r="E12" s="57" t="str">
        <x:v>Political or operational command</x:v>
      </x:c>
    </x:row>
    <x:row r="13">
      <x:c r="A13" s="76" t="str">
        <x:v>Transfer public service</x:v>
      </x:c>
      <x:c r="B13" s="76" t="str">
        <x:v>Affected government or utility</x:v>
      </x:c>
      <x:c r="C13" s="76" t="str">
        <x:v>Civil authority and technical release</x:v>
      </x:c>
      <x:c r="D13" s="76" t="str">
        <x:v>Accepted system, people, data, liabilities and support tail</x:v>
      </x:c>
      <x:c r="E13" s="76" t="str">
        <x:v>Deploying commander alone</x:v>
      </x:c>
    </x:row>
    <x:row r="14">
      <x:c r="A14" s="57" t="str">
        <x:v>Return formation to readiness</x:v>
      </x:c>
      <x:c r="B14" s="57" t="str">
        <x:v>Generating service + reconstitution authority</x:v>
      </x:c>
      <x:c r="C14" s="57" t="str">
        <x:v>Health, maintenance, supply and independent test</x:v>
      </x:c>
      <x:c r="D14" s="57" t="str">
        <x:v>Restored people, equipment, stocks and certification</x:v>
      </x:c>
      <x:c r="E14" s="57" t="str">
        <x:v>Demobilization order alone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4" hidden="0" customWidth="1"/>
  </x:cols>
  <x:sheetData>
    <x:row r="1" ht="24" customHeight="1">
      <x:c r="A1" s="50" t="str">
        <x:v>Capital Work Breakdown</x:v>
      </x:c>
      <x:c r="B1" s="56"/>
      <x:c r="C1" s="56"/>
      <x:c r="D1" s="56"/>
      <x:c r="E1" s="56"/>
      <x:c r="F1" s="56"/>
      <x:c r="G1" s="56"/>
      <x:c r="H1" s="56"/>
      <x:c r="I1" s="56"/>
    </x:row>
    <x:row r="2" ht="24" customHeight="1">
      <x:c r="A2" s="52" t="str">
        <x:v>Non-NUPS formation acquisition is calculated once; NUPS and common enabling lines enter as integrated programs.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32" customHeight="1">
      <x:c r="A4" s="59" t="str">
        <x:v>ID</x:v>
      </x:c>
      <x:c r="B4" s="60" t="str">
        <x:v>Service / line</x:v>
      </x:c>
      <x:c r="C4" s="60" t="str">
        <x:v>Formation or program</x:v>
      </x:c>
      <x:c r="D4" s="60" t="str">
        <x:v>Quantity</x:v>
      </x:c>
      <x:c r="E4" s="60" t="str">
        <x:v>Unit $B</x:v>
      </x:c>
      <x:c r="F4" s="60" t="str">
        <x:v>Extended $B</x:v>
      </x:c>
      <x:c r="G4" s="60" t="str">
        <x:v>O&amp;M rate</x:v>
      </x:c>
      <x:c r="H4" s="60" t="str">
        <x:v>Annual O&amp;M $B</x:v>
      </x:c>
      <x:c r="I4" s="61" t="str">
        <x:v>Boundary</x:v>
      </x:c>
    </x:row>
    <x:row r="5">
      <x:c r="A5" s="76" t="str">
        <x:v>J-CIE</x:v>
      </x:c>
      <x:c r="B5" s="76" t="str">
        <x:v>Joint</x:v>
      </x:c>
      <x:c r="C5" s="76" t="str">
        <x:v>Civil integration and effects group</x:v>
      </x:c>
      <x:c r="D5" s="115" t="n">
        <x:f>Inventory!I5</x:f>
        <x:v>53</x:v>
      </x:c>
      <x:c r="E5" s="79" t="n">
        <x:v>0.25</x:v>
      </x:c>
      <x:c r="F5" s="115" t="n">
        <x:f>IF(A5="I-UPG",0,D5*E5)</x:f>
        <x:v>13.25</x:v>
      </x:c>
      <x:c r="G5" s="77" t="n">
        <x:v>0.03</x:v>
      </x:c>
      <x:c r="H5" s="115" t="n">
        <x:f>F5*G5</x:f>
        <x:v>0.39749999999999996</x:v>
      </x:c>
      <x:c r="I5" s="76" t="str">
        <x:v>Formation acquisition including organic equipment and initial support</x:v>
      </x:c>
    </x:row>
    <x:row r="6">
      <x:c r="A6" s="57" t="str">
        <x:v>J-TOC</x:v>
      </x:c>
      <x:c r="B6" s="57" t="str">
        <x:v>Joint</x:v>
      </x:c>
      <x:c r="C6" s="57" t="str">
        <x:v>Theater-opening command</x:v>
      </x:c>
      <x:c r="D6" s="115" t="n">
        <x:f>Inventory!I6</x:f>
        <x:v>36</x:v>
      </x:c>
      <x:c r="E6" s="79" t="n">
        <x:v>1.2</x:v>
      </x:c>
      <x:c r="F6" s="115" t="n">
        <x:f>IF(A6="I-UPG",0,D6*E6)</x:f>
        <x:v>43.199999999999996</x:v>
      </x:c>
      <x:c r="G6" s="77" t="n">
        <x:v>0.03</x:v>
      </x:c>
      <x:c r="H6" s="115" t="n">
        <x:f>F6*G6</x:f>
        <x:v>1.2959999999999998</x:v>
      </x:c>
      <x:c r="I6" s="57" t="str">
        <x:v>Formation acquisition including organic equipment and initial support</x:v>
      </x:c>
    </x:row>
    <x:row r="7">
      <x:c r="A7" s="76" t="str">
        <x:v>J-TSC</x:v>
      </x:c>
      <x:c r="B7" s="76" t="str">
        <x:v>Joint</x:v>
      </x:c>
      <x:c r="C7" s="76" t="str">
        <x:v>Theater sustainment command</x:v>
      </x:c>
      <x:c r="D7" s="115" t="n">
        <x:f>Inventory!I7</x:f>
        <x:v>51</x:v>
      </x:c>
      <x:c r="E7" s="79" t="n">
        <x:v>1.5</x:v>
      </x:c>
      <x:c r="F7" s="115" t="n">
        <x:f>IF(A7="I-UPG",0,D7*E7)</x:f>
        <x:v>76.5</x:v>
      </x:c>
      <x:c r="G7" s="77" t="n">
        <x:v>0.03</x:v>
      </x:c>
      <x:c r="H7" s="115" t="n">
        <x:f>F7*G7</x:f>
        <x:v>2.295</x:v>
      </x:c>
      <x:c r="I7" s="76" t="str">
        <x:v>Formation acquisition including organic equipment and initial support</x:v>
      </x:c>
    </x:row>
    <x:row r="8">
      <x:c r="A8" s="57" t="str">
        <x:v>J-RRG</x:v>
      </x:c>
      <x:c r="B8" s="57" t="str">
        <x:v>Joint</x:v>
      </x:c>
      <x:c r="C8" s="57" t="str">
        <x:v>Replacement and reconstitution group</x:v>
      </x:c>
      <x:c r="D8" s="115" t="n">
        <x:f>Inventory!I8</x:f>
        <x:v>51</x:v>
      </x:c>
      <x:c r="E8" s="79" t="n">
        <x:v>0.8</x:v>
      </x:c>
      <x:c r="F8" s="115" t="n">
        <x:f>IF(A8="I-UPG",0,D8*E8)</x:f>
        <x:v>40.800000000000004</x:v>
      </x:c>
      <x:c r="G8" s="77" t="n">
        <x:v>0.03</x:v>
      </x:c>
      <x:c r="H8" s="115" t="n">
        <x:f>F8*G8</x:f>
        <x:v>1.224</x:v>
      </x:c>
      <x:c r="I8" s="57" t="str">
        <x:v>Formation acquisition including organic equipment and initial support</x:v>
      </x:c>
    </x:row>
    <x:row r="9">
      <x:c r="A9" s="76" t="str">
        <x:v>J-TDG</x:v>
      </x:c>
      <x:c r="B9" s="76" t="str">
        <x:v>Joint</x:v>
      </x:c>
      <x:c r="C9" s="76" t="str">
        <x:v>Transfer and demobilization group</x:v>
      </x:c>
      <x:c r="D9" s="115" t="n">
        <x:f>Inventory!I9</x:f>
        <x:v>36</x:v>
      </x:c>
      <x:c r="E9" s="79" t="n">
        <x:v>0.3</x:v>
      </x:c>
      <x:c r="F9" s="115" t="n">
        <x:f>IF(A9="I-UPG",0,D9*E9)</x:f>
        <x:v>10.799999999999999</x:v>
      </x:c>
      <x:c r="G9" s="77" t="n">
        <x:v>0.03</x:v>
      </x:c>
      <x:c r="H9" s="115" t="n">
        <x:f>F9*G9</x:f>
        <x:v>0.32399999999999995</x:v>
      </x:c>
      <x:c r="I9" s="76" t="str">
        <x:v>Formation acquisition including organic equipment and initial support</x:v>
      </x:c>
    </x:row>
    <x:row r="10">
      <x:c r="A10" s="57" t="str">
        <x:v>L-ROG</x:v>
      </x:c>
      <x:c r="B10" s="57" t="str">
        <x:v>Land Engineering</x:v>
      </x:c>
      <x:c r="C10" s="57" t="str">
        <x:v>Access and route-opening group</x:v>
      </x:c>
      <x:c r="D10" s="115" t="n">
        <x:f>Inventory!I10</x:f>
        <x:v>121</x:v>
      </x:c>
      <x:c r="E10" s="79" t="n">
        <x:v>1.2</x:v>
      </x:c>
      <x:c r="F10" s="115" t="n">
        <x:f>IF(A10="I-UPG",0,D10*E10)</x:f>
        <x:v>145.2</x:v>
      </x:c>
      <x:c r="G10" s="77" t="n">
        <x:v>0.03</x:v>
      </x:c>
      <x:c r="H10" s="115" t="n">
        <x:f>F10*G10</x:f>
        <x:v>4.356</x:v>
      </x:c>
      <x:c r="I10" s="57" t="str">
        <x:v>Formation acquisition including organic equipment and initial support</x:v>
      </x:c>
    </x:row>
    <x:row r="11">
      <x:c r="A11" s="76" t="str">
        <x:v>L-HCG</x:v>
      </x:c>
      <x:c r="B11" s="76" t="str">
        <x:v>Land Engineering</x:v>
      </x:c>
      <x:c r="C11" s="76" t="str">
        <x:v>Flood and hydraulic-control group</x:v>
      </x:c>
      <x:c r="D11" s="115" t="n">
        <x:f>Inventory!I11</x:f>
        <x:v>86</x:v>
      </x:c>
      <x:c r="E11" s="79" t="n">
        <x:v>1.8</x:v>
      </x:c>
      <x:c r="F11" s="115" t="n">
        <x:f>IF(A11="I-UPG",0,D11*E11)</x:f>
        <x:v>154.8</x:v>
      </x:c>
      <x:c r="G11" s="77" t="n">
        <x:v>0.03</x:v>
      </x:c>
      <x:c r="H11" s="115" t="n">
        <x:f>F11*G11</x:f>
        <x:v>4.644</x:v>
      </x:c>
      <x:c r="I11" s="76" t="str">
        <x:v>Formation acquisition including organic equipment and initial support</x:v>
      </x:c>
    </x:row>
    <x:row r="12">
      <x:c r="A12" s="57" t="str">
        <x:v>L-DMG</x:v>
      </x:c>
      <x:c r="B12" s="57" t="str">
        <x:v>Land Engineering</x:v>
      </x:c>
      <x:c r="C12" s="57" t="str">
        <x:v>Debris and materials group</x:v>
      </x:c>
      <x:c r="D12" s="115" t="n">
        <x:f>Inventory!I12</x:f>
        <x:v>112</x:v>
      </x:c>
      <x:c r="E12" s="79" t="n">
        <x:v>1.4</x:v>
      </x:c>
      <x:c r="F12" s="115" t="n">
        <x:f>IF(A12="I-UPG",0,D12*E12)</x:f>
        <x:v>156.79999999999998</x:v>
      </x:c>
      <x:c r="G12" s="77" t="n">
        <x:v>0.03</x:v>
      </x:c>
      <x:c r="H12" s="115" t="n">
        <x:f>F12*G12</x:f>
        <x:v>4.704</x:v>
      </x:c>
      <x:c r="I12" s="57" t="str">
        <x:v>Formation acquisition including organic equipment and initial support</x:v>
      </x:c>
    </x:row>
    <x:row r="13">
      <x:c r="A13" s="76" t="str">
        <x:v>L-TWG</x:v>
      </x:c>
      <x:c r="B13" s="76" t="str">
        <x:v>Land Engineering</x:v>
      </x:c>
      <x:c r="C13" s="76" t="str">
        <x:v>Temporary works and crossing group</x:v>
      </x:c>
      <x:c r="D13" s="115" t="n">
        <x:f>Inventory!I13</x:f>
        <x:v>91</x:v>
      </x:c>
      <x:c r="E13" s="79" t="n">
        <x:v>1.2</x:v>
      </x:c>
      <x:c r="F13" s="115" t="n">
        <x:f>IF(A13="I-UPG",0,D13*E13)</x:f>
        <x:v>109.2</x:v>
      </x:c>
      <x:c r="G13" s="77" t="n">
        <x:v>0.03</x:v>
      </x:c>
      <x:c r="H13" s="115" t="n">
        <x:f>F13*G13</x:f>
        <x:v>3.276</x:v>
      </x:c>
      <x:c r="I13" s="76" t="str">
        <x:v>Formation acquisition including organic equipment and initial support</x:v>
      </x:c>
    </x:row>
    <x:row r="14">
      <x:c r="A14" s="57" t="str">
        <x:v>L-GFG</x:v>
      </x:c>
      <x:c r="B14" s="57" t="str">
        <x:v>Land Engineering</x:v>
      </x:c>
      <x:c r="C14" s="57" t="str">
        <x:v>Ground fire and landscape group</x:v>
      </x:c>
      <x:c r="D14" s="115" t="n">
        <x:f>Inventory!I14</x:f>
        <x:v>57</x:v>
      </x:c>
      <x:c r="E14" s="79" t="n">
        <x:v>1</x:v>
      </x:c>
      <x:c r="F14" s="115" t="n">
        <x:f>IF(A14="I-UPG",0,D14*E14)</x:f>
        <x:v>57</x:v>
      </x:c>
      <x:c r="G14" s="77" t="n">
        <x:v>0.03</x:v>
      </x:c>
      <x:c r="H14" s="115" t="n">
        <x:f>F14*G14</x:f>
        <x:v>1.71</x:v>
      </x:c>
      <x:c r="I14" s="57" t="str">
        <x:v>Formation acquisition including organic equipment and initial support</x:v>
      </x:c>
    </x:row>
    <x:row r="15">
      <x:c r="A15" s="76" t="str">
        <x:v>A-SMW</x:v>
      </x:c>
      <x:c r="B15" s="76" t="str">
        <x:v>Air Response</x:v>
      </x:c>
      <x:c r="C15" s="76" t="str">
        <x:v>Strategic mobility wing</x:v>
      </x:c>
      <x:c r="D15" s="115" t="n">
        <x:f>Inventory!I15</x:f>
        <x:v>58</x:v>
      </x:c>
      <x:c r="E15" s="79" t="n">
        <x:v>8</x:v>
      </x:c>
      <x:c r="F15" s="115" t="n">
        <x:f>IF(A15="I-UPG",0,D15*E15)</x:f>
        <x:v>464</x:v>
      </x:c>
      <x:c r="G15" s="77" t="n">
        <x:v>0.03</x:v>
      </x:c>
      <x:c r="H15" s="115" t="n">
        <x:f>F15*G15</x:f>
        <x:v>13.92</x:v>
      </x:c>
      <x:c r="I15" s="76" t="str">
        <x:v>Formation acquisition including organic equipment and initial support</x:v>
      </x:c>
    </x:row>
    <x:row r="16">
      <x:c r="A16" s="57" t="str">
        <x:v>A-AAG</x:v>
      </x:c>
      <x:c r="B16" s="57" t="str">
        <x:v>Air Response</x:v>
      </x:c>
      <x:c r="C16" s="57" t="str">
        <x:v>Austere air-access group</x:v>
      </x:c>
      <x:c r="D16" s="115" t="n">
        <x:f>Inventory!I16</x:f>
        <x:v>67</x:v>
      </x:c>
      <x:c r="E16" s="79" t="n">
        <x:v>2.5</x:v>
      </x:c>
      <x:c r="F16" s="115" t="n">
        <x:f>IF(A16="I-UPG",0,D16*E16)</x:f>
        <x:v>167.5</x:v>
      </x:c>
      <x:c r="G16" s="77" t="n">
        <x:v>0.03</x:v>
      </x:c>
      <x:c r="H16" s="115" t="n">
        <x:f>F16*G16</x:f>
        <x:v>5.0249999999999995</x:v>
      </x:c>
      <x:c r="I16" s="57" t="str">
        <x:v>Formation acquisition including organic equipment and initial support</x:v>
      </x:c>
    </x:row>
    <x:row r="17">
      <x:c r="A17" s="76" t="str">
        <x:v>A-AHW</x:v>
      </x:c>
      <x:c r="B17" s="76" t="str">
        <x:v>Air Response</x:v>
      </x:c>
      <x:c r="C17" s="76" t="str">
        <x:v>Aerial hazard-control wing</x:v>
      </x:c>
      <x:c r="D17" s="115" t="n">
        <x:f>Inventory!I17</x:f>
        <x:v>41</x:v>
      </x:c>
      <x:c r="E17" s="79" t="n">
        <x:v>6</x:v>
      </x:c>
      <x:c r="F17" s="115" t="n">
        <x:f>IF(A17="I-UPG",0,D17*E17)</x:f>
        <x:v>246</x:v>
      </x:c>
      <x:c r="G17" s="77" t="n">
        <x:v>0.03</x:v>
      </x:c>
      <x:c r="H17" s="115" t="n">
        <x:f>F17*G17</x:f>
        <x:v>7.38</x:v>
      </x:c>
      <x:c r="I17" s="76" t="str">
        <x:v>Formation acquisition including organic equipment and initial support</x:v>
      </x:c>
    </x:row>
    <x:row r="18">
      <x:c r="A18" s="57" t="str">
        <x:v>A-TDG</x:v>
      </x:c>
      <x:c r="B18" s="57" t="str">
        <x:v>Air Response</x:v>
      </x:c>
      <x:c r="C18" s="57" t="str">
        <x:v>Tactical distribution group</x:v>
      </x:c>
      <x:c r="D18" s="115" t="n">
        <x:f>Inventory!I18</x:f>
        <x:v>108</x:v>
      </x:c>
      <x:c r="E18" s="79" t="n">
        <x:v>3</x:v>
      </x:c>
      <x:c r="F18" s="115" t="n">
        <x:f>IF(A18="I-UPG",0,D18*E18)</x:f>
        <x:v>324</x:v>
      </x:c>
      <x:c r="G18" s="77" t="n">
        <x:v>0.03</x:v>
      </x:c>
      <x:c r="H18" s="115" t="n">
        <x:f>F18*G18</x:f>
        <x:v>9.719999999999999</x:v>
      </x:c>
      <x:c r="I18" s="57" t="str">
        <x:v>Formation acquisition including organic equipment and initial support</x:v>
      </x:c>
    </x:row>
    <x:row r="19">
      <x:c r="A19" s="76" t="str">
        <x:v>A-SRG</x:v>
      </x:c>
      <x:c r="B19" s="76" t="str">
        <x:v>Air Response</x:v>
      </x:c>
      <x:c r="C19" s="76" t="str">
        <x:v>Air sensing and relay group</x:v>
      </x:c>
      <x:c r="D19" s="115" t="n">
        <x:f>Inventory!I19</x:f>
        <x:v>74</x:v>
      </x:c>
      <x:c r="E19" s="79" t="n">
        <x:v>1.2</x:v>
      </x:c>
      <x:c r="F19" s="115" t="n">
        <x:f>IF(A19="I-UPG",0,D19*E19)</x:f>
        <x:v>88.8</x:v>
      </x:c>
      <x:c r="G19" s="77" t="n">
        <x:v>0.03</x:v>
      </x:c>
      <x:c r="H19" s="115" t="n">
        <x:f>F19*G19</x:f>
        <x:v>2.6639999999999997</x:v>
      </x:c>
      <x:c r="I19" s="76" t="str">
        <x:v>Formation acquisition including organic equipment and initial support</x:v>
      </x:c>
    </x:row>
    <x:row r="20">
      <x:c r="A20" s="57" t="str">
        <x:v>A-AMG</x:v>
      </x:c>
      <x:c r="B20" s="57" t="str">
        <x:v>Air Response</x:v>
      </x:c>
      <x:c r="C20" s="57" t="str">
        <x:v>Aeromedical movement group</x:v>
      </x:c>
      <x:c r="D20" s="115" t="n">
        <x:f>Inventory!I20</x:f>
        <x:v>58</x:v>
      </x:c>
      <x:c r="E20" s="79" t="n">
        <x:v>2.5</x:v>
      </x:c>
      <x:c r="F20" s="115" t="n">
        <x:f>IF(A20="I-UPG",0,D20*E20)</x:f>
        <x:v>145</x:v>
      </x:c>
      <x:c r="G20" s="77" t="n">
        <x:v>0.03</x:v>
      </x:c>
      <x:c r="H20" s="115" t="n">
        <x:f>F20*G20</x:f>
        <x:v>4.35</x:v>
      </x:c>
      <x:c r="I20" s="57" t="str">
        <x:v>Formation acquisition including organic equipment and initial support</x:v>
      </x:c>
    </x:row>
    <x:row r="21">
      <x:c r="A21" s="76" t="str">
        <x:v>M-POG</x:v>
      </x:c>
      <x:c r="B21" s="76" t="str">
        <x:v>Maritime Response</x:v>
      </x:c>
      <x:c r="C21" s="76" t="str">
        <x:v>Port-opening group</x:v>
      </x:c>
      <x:c r="D21" s="115" t="n">
        <x:f>Inventory!I21</x:f>
        <x:v>60</x:v>
      </x:c>
      <x:c r="E21" s="79" t="n">
        <x:v>3</x:v>
      </x:c>
      <x:c r="F21" s="115" t="n">
        <x:f>IF(A21="I-UPG",0,D21*E21)</x:f>
        <x:v>180</x:v>
      </x:c>
      <x:c r="G21" s="77" t="n">
        <x:v>0.03</x:v>
      </x:c>
      <x:c r="H21" s="115" t="n">
        <x:f>F21*G21</x:f>
        <x:v>5.3999999999999995</x:v>
      </x:c>
      <x:c r="I21" s="76" t="str">
        <x:v>Formation acquisition including organic equipment and initial support</x:v>
      </x:c>
    </x:row>
    <x:row r="22">
      <x:c r="A22" s="57" t="str">
        <x:v>M-LAG</x:v>
      </x:c>
      <x:c r="B22" s="57" t="str">
        <x:v>Maritime Response</x:v>
      </x:c>
      <x:c r="C22" s="57" t="str">
        <x:v>Littoral-access group</x:v>
      </x:c>
      <x:c r="D22" s="115" t="n">
        <x:f>Inventory!I22</x:f>
        <x:v>69</x:v>
      </x:c>
      <x:c r="E22" s="79" t="n">
        <x:v>2</x:v>
      </x:c>
      <x:c r="F22" s="115" t="n">
        <x:f>IF(A22="I-UPG",0,D22*E22)</x:f>
        <x:v>138</x:v>
      </x:c>
      <x:c r="G22" s="77" t="n">
        <x:v>0.03</x:v>
      </x:c>
      <x:c r="H22" s="115" t="n">
        <x:f>F22*G22</x:f>
        <x:v>4.14</x:v>
      </x:c>
      <x:c r="I22" s="57" t="str">
        <x:v>Formation acquisition including organic equipment and initial support</x:v>
      </x:c>
    </x:row>
    <x:row r="23">
      <x:c r="A23" s="76" t="str">
        <x:v>M-IWG</x:v>
      </x:c>
      <x:c r="B23" s="76" t="str">
        <x:v>Maritime Response</x:v>
      </x:c>
      <x:c r="C23" s="76" t="str">
        <x:v>Inland-waterway group</x:v>
      </x:c>
      <x:c r="D23" s="115" t="n">
        <x:f>Inventory!I23</x:f>
        <x:v>54</x:v>
      </x:c>
      <x:c r="E23" s="79" t="n">
        <x:v>1.5</x:v>
      </x:c>
      <x:c r="F23" s="115" t="n">
        <x:f>IF(A23="I-UPG",0,D23*E23)</x:f>
        <x:v>81</x:v>
      </x:c>
      <x:c r="G23" s="77" t="n">
        <x:v>0.03</x:v>
      </x:c>
      <x:c r="H23" s="115" t="n">
        <x:f>F23*G23</x:f>
        <x:v>2.4299999999999997</x:v>
      </x:c>
      <x:c r="I23" s="76" t="str">
        <x:v>Formation acquisition including organic equipment and initial support</x:v>
      </x:c>
    </x:row>
    <x:row r="24">
      <x:c r="A24" s="57" t="str">
        <x:v>M-OSG</x:v>
      </x:c>
      <x:c r="B24" s="57" t="str">
        <x:v>Maritime Response</x:v>
      </x:c>
      <x:c r="C24" s="57" t="str">
        <x:v>Offshore-support group</x:v>
      </x:c>
      <x:c r="D24" s="115" t="n">
        <x:f>Inventory!I24</x:f>
        <x:v>45</x:v>
      </x:c>
      <x:c r="E24" s="79" t="n">
        <x:v>7</x:v>
      </x:c>
      <x:c r="F24" s="115" t="n">
        <x:f>IF(A24="I-UPG",0,D24*E24)</x:f>
        <x:v>315</x:v>
      </x:c>
      <x:c r="G24" s="77" t="n">
        <x:v>0.03</x:v>
      </x:c>
      <x:c r="H24" s="115" t="n">
        <x:f>F24*G24</x:f>
        <x:v>9.45</x:v>
      </x:c>
      <x:c r="I24" s="57" t="str">
        <x:v>Formation acquisition including organic equipment and initial support</x:v>
      </x:c>
    </x:row>
    <x:row r="25">
      <x:c r="A25" s="76" t="str">
        <x:v>M-SSG</x:v>
      </x:c>
      <x:c r="B25" s="76" t="str">
        <x:v>Maritime Response</x:v>
      </x:c>
      <x:c r="C25" s="76" t="str">
        <x:v>Ocean sustainment group</x:v>
      </x:c>
      <x:c r="D25" s="115" t="n">
        <x:f>Inventory!I25</x:f>
        <x:v>71</x:v>
      </x:c>
      <x:c r="E25" s="79" t="n">
        <x:v>9</x:v>
      </x:c>
      <x:c r="F25" s="115" t="n">
        <x:f>IF(A25="I-UPG",0,D25*E25)</x:f>
        <x:v>639</x:v>
      </x:c>
      <x:c r="G25" s="77" t="n">
        <x:v>0.03</x:v>
      </x:c>
      <x:c r="H25" s="115" t="n">
        <x:f>F25*G25</x:f>
        <x:v>19.169999999999998</x:v>
      </x:c>
      <x:c r="I25" s="76" t="str">
        <x:v>Formation acquisition including organic equipment and initial support</x:v>
      </x:c>
    </x:row>
    <x:row r="26">
      <x:c r="A26" s="57" t="str">
        <x:v>I-UPG</x:v>
      </x:c>
      <x:c r="B26" s="57" t="str">
        <x:v>Infrastructure Restoration</x:v>
      </x:c>
      <x:c r="C26" s="57" t="str">
        <x:v>Utility projection group</x:v>
      </x:c>
      <x:c r="D26" s="115" t="n">
        <x:f>Inventory!I26</x:f>
        <x:v>131</x:v>
      </x:c>
      <x:c r="E26" s="79" t="n">
        <x:v>0</x:v>
      </x:c>
      <x:c r="F26" s="115" t="n">
        <x:f>IF(A26="I-UPG",0,D26*E26)</x:f>
        <x:v>0</x:v>
      </x:c>
      <x:c r="G26" s="77" t="n">
        <x:v>0.03</x:v>
      </x:c>
      <x:c r="H26" s="115" t="n">
        <x:f>F26*G26</x:f>
        <x:v>0</x:v>
      </x:c>
      <x:c r="I26" s="57" t="str">
        <x:v>Excluded here; NUPS enters as one integrated WBS line</x:v>
      </x:c>
    </x:row>
    <x:row r="27">
      <x:c r="A27" s="76" t="str">
        <x:v>I-CUG</x:v>
      </x:c>
      <x:c r="B27" s="76" t="str">
        <x:v>Infrastructure Restoration</x:v>
      </x:c>
      <x:c r="C27" s="76" t="str">
        <x:v>Communications utility group</x:v>
      </x:c>
      <x:c r="D27" s="115" t="n">
        <x:f>Inventory!I27</x:f>
        <x:v>102</x:v>
      </x:c>
      <x:c r="E27" s="79" t="n">
        <x:v>1</x:v>
      </x:c>
      <x:c r="F27" s="115" t="n">
        <x:f>IF(A27="I-UPG",0,D27*E27)</x:f>
        <x:v>102</x:v>
      </x:c>
      <x:c r="G27" s="77" t="n">
        <x:v>0.03</x:v>
      </x:c>
      <x:c r="H27" s="115" t="n">
        <x:f>F27*G27</x:f>
        <x:v>3.06</x:v>
      </x:c>
      <x:c r="I27" s="76" t="str">
        <x:v>Formation acquisition including organic equipment and initial support</x:v>
      </x:c>
    </x:row>
    <x:row r="28">
      <x:c r="A28" s="57" t="str">
        <x:v>I-TSG</x:v>
      </x:c>
      <x:c r="B28" s="57" t="str">
        <x:v>Infrastructure Restoration</x:v>
      </x:c>
      <x:c r="C28" s="57" t="str">
        <x:v>Thermal safety group</x:v>
      </x:c>
      <x:c r="D28" s="115" t="n">
        <x:f>Inventory!I28</x:f>
        <x:v>108</x:v>
      </x:c>
      <x:c r="E28" s="79" t="n">
        <x:v>0.8</x:v>
      </x:c>
      <x:c r="F28" s="115" t="n">
        <x:f>IF(A28="I-UPG",0,D28*E28)</x:f>
        <x:v>86.4</x:v>
      </x:c>
      <x:c r="G28" s="77" t="n">
        <x:v>0.03</x:v>
      </x:c>
      <x:c r="H28" s="115" t="n">
        <x:f>F28*G28</x:f>
        <x:v>2.592</x:v>
      </x:c>
      <x:c r="I28" s="57" t="str">
        <x:v>Formation acquisition including organic equipment and initial support</x:v>
      </x:c>
    </x:row>
    <x:row r="29">
      <x:c r="A29" s="76" t="str">
        <x:v>I-URG</x:v>
      </x:c>
      <x:c r="B29" s="76" t="str">
        <x:v>Infrastructure Restoration</x:v>
      </x:c>
      <x:c r="C29" s="76" t="str">
        <x:v>Utility reconstruction group</x:v>
      </x:c>
      <x:c r="D29" s="115" t="n">
        <x:f>Inventory!I29</x:f>
        <x:v>126</x:v>
      </x:c>
      <x:c r="E29" s="79" t="n">
        <x:v>2</x:v>
      </x:c>
      <x:c r="F29" s="115" t="n">
        <x:f>IF(A29="I-UPG",0,D29*E29)</x:f>
        <x:v>252</x:v>
      </x:c>
      <x:c r="G29" s="77" t="n">
        <x:v>0.03</x:v>
      </x:c>
      <x:c r="H29" s="115" t="n">
        <x:f>F29*G29</x:f>
        <x:v>7.56</x:v>
      </x:c>
      <x:c r="I29" s="76" t="str">
        <x:v>Formation acquisition including organic equipment and initial support</x:v>
      </x:c>
    </x:row>
    <x:row r="30">
      <x:c r="A30" s="57" t="str">
        <x:v>H-CHC</x:v>
      </x:c>
      <x:c r="B30" s="57" t="str">
        <x:v>Health Protection</x:v>
      </x:c>
      <x:c r="C30" s="57" t="str">
        <x:v>Community health continuity group</x:v>
      </x:c>
      <x:c r="D30" s="115" t="n">
        <x:f>Inventory!I30</x:f>
        <x:v>139</x:v>
      </x:c>
      <x:c r="E30" s="79" t="n">
        <x:v>1.2</x:v>
      </x:c>
      <x:c r="F30" s="115" t="n">
        <x:f>IF(A30="I-UPG",0,D30*E30)</x:f>
        <x:v>166.79999999999998</x:v>
      </x:c>
      <x:c r="G30" s="77" t="n">
        <x:v>0.03</x:v>
      </x:c>
      <x:c r="H30" s="115" t="n">
        <x:f>F30*G30</x:f>
        <x:v>5.004</x:v>
      </x:c>
      <x:c r="I30" s="57" t="str">
        <x:v>Formation acquisition including organic equipment and initial support</x:v>
      </x:c>
    </x:row>
    <x:row r="31">
      <x:c r="A31" s="76" t="str">
        <x:v>H-MAC</x:v>
      </x:c>
      <x:c r="B31" s="76" t="str">
        <x:v>Health Protection</x:v>
      </x:c>
      <x:c r="C31" s="76" t="str">
        <x:v>Mobile acute-care group</x:v>
      </x:c>
      <x:c r="D31" s="115" t="n">
        <x:f>Inventory!I31</x:f>
        <x:v>91</x:v>
      </x:c>
      <x:c r="E31" s="79" t="n">
        <x:v>2.5</x:v>
      </x:c>
      <x:c r="F31" s="115" t="n">
        <x:f>IF(A31="I-UPG",0,D31*E31)</x:f>
        <x:v>227.5</x:v>
      </x:c>
      <x:c r="G31" s="77" t="n">
        <x:v>0.03</x:v>
      </x:c>
      <x:c r="H31" s="115" t="n">
        <x:f>F31*G31</x:f>
        <x:v>6.825</x:v>
      </x:c>
      <x:c r="I31" s="76" t="str">
        <x:v>Formation acquisition including organic equipment and initial support</x:v>
      </x:c>
    </x:row>
    <x:row r="32">
      <x:c r="A32" s="57" t="str">
        <x:v>H-PHC</x:v>
      </x:c>
      <x:c r="B32" s="57" t="str">
        <x:v>Health Protection</x:v>
      </x:c>
      <x:c r="C32" s="57" t="str">
        <x:v>Public-health control group</x:v>
      </x:c>
      <x:c r="D32" s="115" t="n">
        <x:f>Inventory!I32</x:f>
        <x:v>78</x:v>
      </x:c>
      <x:c r="E32" s="79" t="n">
        <x:v>1</x:v>
      </x:c>
      <x:c r="F32" s="115" t="n">
        <x:f>IF(A32="I-UPG",0,D32*E32)</x:f>
        <x:v>78</x:v>
      </x:c>
      <x:c r="G32" s="77" t="n">
        <x:v>0.03</x:v>
      </x:c>
      <x:c r="H32" s="115" t="n">
        <x:f>F32*G32</x:f>
        <x:v>2.34</x:v>
      </x:c>
      <x:c r="I32" s="57" t="str">
        <x:v>Formation acquisition including organic equipment and initial support</x:v>
      </x:c>
    </x:row>
    <x:row r="33">
      <x:c r="A33" s="76" t="str">
        <x:v>H-HWR</x:v>
      </x:c>
      <x:c r="B33" s="76" t="str">
        <x:v>Health Protection</x:v>
      </x:c>
      <x:c r="C33" s="76" t="str">
        <x:v>Health workforce replacement group</x:v>
      </x:c>
      <x:c r="D33" s="115" t="n">
        <x:f>Inventory!I33</x:f>
        <x:v>139</x:v>
      </x:c>
      <x:c r="E33" s="79" t="n">
        <x:v>0.8</x:v>
      </x:c>
      <x:c r="F33" s="115" t="n">
        <x:f>IF(A33="I-UPG",0,D33*E33)</x:f>
        <x:v>111.2</x:v>
      </x:c>
      <x:c r="G33" s="77" t="n">
        <x:v>0.03</x:v>
      </x:c>
      <x:c r="H33" s="115" t="n">
        <x:f>F33*G33</x:f>
        <x:v>3.336</x:v>
      </x:c>
      <x:c r="I33" s="76" t="str">
        <x:v>Formation acquisition including organic equipment and initial support</x:v>
      </x:c>
    </x:row>
    <x:row r="34">
      <x:c r="A34" s="57" t="str">
        <x:v>C-PSG</x:v>
      </x:c>
      <x:c r="B34" s="57" t="str">
        <x:v>Community Stabilization</x:v>
      </x:c>
      <x:c r="C34" s="57" t="str">
        <x:v>Population support group</x:v>
      </x:c>
      <x:c r="D34" s="115" t="n">
        <x:f>Inventory!I34</x:f>
        <x:v>173</x:v>
      </x:c>
      <x:c r="E34" s="79" t="n">
        <x:v>0.6</x:v>
      </x:c>
      <x:c r="F34" s="115" t="n">
        <x:f>IF(A34="I-UPG",0,D34*E34)</x:f>
        <x:v>103.8</x:v>
      </x:c>
      <x:c r="G34" s="77" t="n">
        <x:v>0.03</x:v>
      </x:c>
      <x:c r="H34" s="115" t="n">
        <x:f>F34*G34</x:f>
        <x:v>3.114</x:v>
      </x:c>
      <x:c r="I34" s="57" t="str">
        <x:v>Formation acquisition including organic equipment and initial support</x:v>
      </x:c>
    </x:row>
    <x:row r="35">
      <x:c r="A35" s="76" t="str">
        <x:v>C-EGG</x:v>
      </x:c>
      <x:c r="B35" s="76" t="str">
        <x:v>Community Stabilization</x:v>
      </x:c>
      <x:c r="C35" s="76" t="str">
        <x:v>Essential-goods group</x:v>
      </x:c>
      <x:c r="D35" s="115" t="n">
        <x:f>Inventory!I35</x:f>
        <x:v>173</x:v>
      </x:c>
      <x:c r="E35" s="79" t="n">
        <x:v>0.5</x:v>
      </x:c>
      <x:c r="F35" s="115" t="n">
        <x:f>IF(A35="I-UPG",0,D35*E35)</x:f>
        <x:v>86.5</x:v>
      </x:c>
      <x:c r="G35" s="77" t="n">
        <x:v>0.03</x:v>
      </x:c>
      <x:c r="H35" s="115" t="n">
        <x:f>F35*G35</x:f>
        <x:v>2.5949999999999998</x:v>
      </x:c>
      <x:c r="I35" s="76" t="str">
        <x:v>Formation acquisition including organic equipment and initial support</x:v>
      </x:c>
    </x:row>
    <x:row r="36">
      <x:c r="A36" s="57" t="str">
        <x:v>C-CAG</x:v>
      </x:c>
      <x:c r="B36" s="57" t="str">
        <x:v>Community Stabilization</x:v>
      </x:c>
      <x:c r="C36" s="57" t="str">
        <x:v>Civil access group</x:v>
      </x:c>
      <x:c r="D36" s="115" t="n">
        <x:f>Inventory!I36</x:f>
        <x:v>132</x:v>
      </x:c>
      <x:c r="E36" s="79" t="n">
        <x:v>0.3</x:v>
      </x:c>
      <x:c r="F36" s="115" t="n">
        <x:f>IF(A36="I-UPG",0,D36*E36)</x:f>
        <x:v>39.6</x:v>
      </x:c>
      <x:c r="G36" s="77" t="n">
        <x:v>0.03</x:v>
      </x:c>
      <x:c r="H36" s="115" t="n">
        <x:f>F36*G36</x:f>
        <x:v>1.188</x:v>
      </x:c>
      <x:c r="I36" s="57" t="str">
        <x:v>Formation acquisition including organic equipment and initial support</x:v>
      </x:c>
    </x:row>
    <x:row r="37">
      <x:c r="A37" s="76" t="str">
        <x:v>C-DTG</x:v>
      </x:c>
      <x:c r="B37" s="76" t="str">
        <x:v>Community Stabilization</x:v>
      </x:c>
      <x:c r="C37" s="76" t="str">
        <x:v>Displacement transition group</x:v>
      </x:c>
      <x:c r="D37" s="115" t="n">
        <x:f>Inventory!I37</x:f>
        <x:v>127</x:v>
      </x:c>
      <x:c r="E37" s="79" t="n">
        <x:v>0.4</x:v>
      </x:c>
      <x:c r="F37" s="115" t="n">
        <x:f>IF(A37="I-UPG",0,D37*E37)</x:f>
        <x:v>50.800000000000004</x:v>
      </x:c>
      <x:c r="G37" s="77" t="n">
        <x:v>0.03</x:v>
      </x:c>
      <x:c r="H37" s="115" t="n">
        <x:f>F37*G37</x:f>
        <x:v>1.524</x:v>
      </x:c>
      <x:c r="I37" s="76" t="str">
        <x:v>Formation acquisition including organic equipment and initial support</x:v>
      </x:c>
    </x:row>
    <x:row r="38">
      <x:c r="A38" s="57" t="str">
        <x:v>C-CIG</x:v>
      </x:c>
      <x:c r="B38" s="57" t="str">
        <x:v>Community Stabilization</x:v>
      </x:c>
      <x:c r="C38" s="57" t="str">
        <x:v>Community institutions group</x:v>
      </x:c>
      <x:c r="D38" s="115" t="n">
        <x:f>Inventory!I38</x:f>
        <x:v>106</x:v>
      </x:c>
      <x:c r="E38" s="79" t="n">
        <x:v>0.4</x:v>
      </x:c>
      <x:c r="F38" s="115" t="n">
        <x:f>IF(A38="I-UPG",0,D38*E38)</x:f>
        <x:v>42.400000000000006</x:v>
      </x:c>
      <x:c r="G38" s="77" t="n">
        <x:v>0.03</x:v>
      </x:c>
      <x:c r="H38" s="115" t="n">
        <x:f>F38*G38</x:f>
        <x:v>1.272</x:v>
      </x:c>
      <x:c r="I38" s="57" t="str">
        <x:v>Formation acquisition including organic equipment and initial support</x:v>
      </x:c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</x:row>
    <x:row r="41">
      <x:c r="A41" s="54" t="str">
        <x:v>Integrated program lines</x:v>
      </x:c>
      <x:c r="B41" s="58"/>
      <x:c r="C41" s="58"/>
      <x:c r="D41" s="58"/>
      <x:c r="E41" s="58"/>
      <x:c r="F41" s="58"/>
      <x:c r="G41" s="58"/>
      <x:c r="H41" s="58"/>
      <x:c r="I41" s="58"/>
    </x:row>
    <x:row r="42" ht="32" customHeight="1">
      <x:c r="A42" s="59" t="str">
        <x:v>WBS</x:v>
      </x:c>
      <x:c r="B42" s="60" t="str">
        <x:v>Program line</x:v>
      </x:c>
      <x:c r="C42" s="60" t="str">
        <x:v>Capital $B</x:v>
      </x:c>
      <x:c r="D42" s="60" t="str">
        <x:v>O&amp;M rate</x:v>
      </x:c>
      <x:c r="E42" s="60" t="str">
        <x:v>Annual O&amp;M $B</x:v>
      </x:c>
      <x:c r="F42" s="60" t="str">
        <x:v>Treatment</x:v>
      </x:c>
      <x:c r="G42" s="60" t="str">
        <x:v>State</x:v>
      </x:c>
      <x:c r="H42" s="60" t="str">
        <x:v>Boundary</x:v>
      </x:c>
      <x:c r="I42" s="61" t="str">
        <x:v>Source</x:v>
      </x:c>
    </x:row>
    <x:row r="43">
      <x:c r="A43" s="57" t="str">
        <x:v>2.1</x:v>
      </x:c>
      <x:c r="B43" s="57" t="str">
        <x:v>Non-NUPS formation acquisition</x:v>
      </x:c>
      <x:c r="C43" s="115" t="n">
        <x:f>SUM(F5:F38)</x:f>
        <x:v>4942.85</x:v>
      </x:c>
      <x:c r="D43" s="97" t="n">
        <x:f>0.03</x:f>
        <x:v>0.03</x:v>
      </x:c>
      <x:c r="E43" s="115" t="n">
        <x:f>C43*D43</x:f>
        <x:v>148.2855</x:v>
      </x:c>
      <x:c r="F43" s="85" t="str">
        <x:v>Calculated above</x:v>
      </x:c>
      <x:c r="G43" s="85" t="str">
        <x:f>IF(C43&gt;=0,"PASS","FAIL")</x:f>
        <x:v>PASS</x:v>
      </x:c>
      <x:c r="H43" s="57" t="str">
        <x:v>Excludes I-UPG</x:v>
      </x:c>
      <x:c r="I43" s="57" t="str">
        <x:v>This model</x:v>
      </x:c>
    </x:row>
    <x:row r="44">
      <x:c r="A44" s="57" t="str">
        <x:v>2.2</x:v>
      </x:c>
      <x:c r="B44" s="57" t="str">
        <x:v>National Utility Projection System</x:v>
      </x:c>
      <x:c r="C44" s="115" t="n">
        <x:f>Controls!B12</x:f>
        <x:v>1698</x:v>
      </x:c>
      <x:c r="D44" s="97" t="n">
        <x:f>0.03</x:f>
        <x:v>0.03</x:v>
      </x:c>
      <x:c r="E44" s="115" t="n">
        <x:f>C44*D44</x:f>
        <x:v>50.94</x:v>
      </x:c>
      <x:c r="F44" s="85" t="str">
        <x:v>Integrated line</x:v>
      </x:c>
      <x:c r="G44" s="85" t="str">
        <x:f>IF(C44&gt;=0,"PASS","FAIL")</x:f>
        <x:v>PASS</x:v>
      </x:c>
      <x:c r="H44" s="57" t="str">
        <x:v>Includes utility anchors, source/process/interface/corridor families and its enabling support</x:v>
      </x:c>
      <x:c r="I44" s="57" t="str">
        <x:v>Pass 22</x:v>
      </x:c>
    </x:row>
    <x:row r="45">
      <x:c r="A45" s="57" t="str">
        <x:v>3.1</x:v>
      </x:c>
      <x:c r="B45" s="57" t="str">
        <x:v>Non-NUPS bases, depots and ranges</x:v>
      </x:c>
      <x:c r="C45" s="115" t="n">
        <x:f>Controls!B40</x:f>
        <x:v>650</x:v>
      </x:c>
      <x:c r="D45" s="97" t="n">
        <x:f>Controls!C40</x:f>
        <x:v>0.02</x:v>
      </x:c>
      <x:c r="E45" s="115" t="n">
        <x:f>C45*D45</x:f>
        <x:v>13</x:v>
      </x:c>
      <x:c r="F45" s="85" t="str">
        <x:v>Common enabling</x:v>
      </x:c>
      <x:c r="G45" s="85" t="str">
        <x:f>IF(C45&gt;=0,"PASS","FAIL")</x:f>
        <x:v>PASS</x:v>
      </x:c>
      <x:c r="H45" s="57" t="str">
        <x:v>Net of utility-specific sites</x:v>
      </x:c>
      <x:c r="I45" s="57" t="str">
        <x:v>Control</x:v>
      </x:c>
    </x:row>
    <x:row r="46">
      <x:c r="A46" s="57" t="str">
        <x:v>3.2</x:v>
      </x:c>
      <x:c r="B46" s="57" t="str">
        <x:v>Science, technology and proving outside NUPS</x:v>
      </x:c>
      <x:c r="C46" s="115" t="n">
        <x:f>Controls!B41</x:f>
        <x:v>1500</x:v>
      </x:c>
      <x:c r="D46" s="97" t="n">
        <x:f>Controls!C41</x:f>
        <x:v>0.02</x:v>
      </x:c>
      <x:c r="E46" s="115" t="n">
        <x:f>C46*D46</x:f>
        <x:v>30</x:v>
      </x:c>
      <x:c r="F46" s="85" t="str">
        <x:v>Common enabling</x:v>
      </x:c>
      <x:c r="G46" s="85" t="str">
        <x:f>IF(C46&gt;=0,"PASS","FAIL")</x:f>
        <x:v>PASS</x:v>
      </x:c>
      <x:c r="H46" s="57" t="str">
        <x:v>Net of utility research allocation</x:v>
      </x:c>
      <x:c r="I46" s="57" t="str">
        <x:v>Control</x:v>
      </x:c>
    </x:row>
    <x:row r="47">
      <x:c r="A47" s="57" t="str">
        <x:v>3.3</x:v>
      </x:c>
      <x:c r="B47" s="57" t="str">
        <x:v>Education and workforce infrastructure</x:v>
      </x:c>
      <x:c r="C47" s="115" t="n">
        <x:f>Controls!B42</x:f>
        <x:v>350</x:v>
      </x:c>
      <x:c r="D47" s="97" t="n">
        <x:f>Controls!C42</x:f>
        <x:v>0.02</x:v>
      </x:c>
      <x:c r="E47" s="115" t="n">
        <x:f>C47*D47</x:f>
        <x:v>7</x:v>
      </x:c>
      <x:c r="F47" s="85" t="str">
        <x:v>Common enabling</x:v>
      </x:c>
      <x:c r="G47" s="85" t="str">
        <x:f>IF(C47&gt;=0,"PASS","FAIL")</x:f>
        <x:v>PASS</x:v>
      </x:c>
      <x:c r="H47" s="57" t="str">
        <x:v>Non-NUPS capacity</x:v>
      </x:c>
      <x:c r="I47" s="57" t="str">
        <x:v>Control</x:v>
      </x:c>
    </x:row>
    <x:row r="48">
      <x:c r="A48" s="57" t="str">
        <x:v>3.4</x:v>
      </x:c>
      <x:c r="B48" s="57" t="str">
        <x:v>Information, forecast and common digital</x:v>
      </x:c>
      <x:c r="C48" s="115" t="n">
        <x:f>Controls!B43</x:f>
        <x:v>400</x:v>
      </x:c>
      <x:c r="D48" s="97" t="n">
        <x:f>Controls!C43</x:f>
        <x:v>0.02</x:v>
      </x:c>
      <x:c r="E48" s="115" t="n">
        <x:f>C48*D48</x:f>
        <x:v>8</x:v>
      </x:c>
      <x:c r="F48" s="85" t="str">
        <x:v>Common enabling</x:v>
      </x:c>
      <x:c r="G48" s="85" t="str">
        <x:f>IF(C48&gt;=0,"PASS","FAIL")</x:f>
        <x:v>PASS</x:v>
      </x:c>
      <x:c r="H48" s="57" t="str">
        <x:v>Outside formation acquisition</x:v>
      </x:c>
      <x:c r="I48" s="57" t="str">
        <x:v>Control</x:v>
      </x:c>
    </x:row>
    <x:row r="49">
      <x:c r="A49" s="57" t="str">
        <x:v>3.5</x:v>
      </x:c>
      <x:c r="B49" s="57" t="str">
        <x:v>Strategic industry and materials outside NUPS</x:v>
      </x:c>
      <x:c r="C49" s="115" t="n">
        <x:f>Controls!B44</x:f>
        <x:v>500</x:v>
      </x:c>
      <x:c r="D49" s="97" t="n">
        <x:f>Controls!C44</x:f>
        <x:v>0.02</x:v>
      </x:c>
      <x:c r="E49" s="115" t="n">
        <x:f>C49*D49</x:f>
        <x:v>10</x:v>
      </x:c>
      <x:c r="F49" s="85" t="str">
        <x:v>Common enabling</x:v>
      </x:c>
      <x:c r="G49" s="85" t="str">
        <x:f>IF(C49&gt;=0,"PASS","FAIL")</x:f>
        <x:v>PASS</x:v>
      </x:c>
      <x:c r="H49" s="57" t="str">
        <x:v>Outside formation and NUPS lines</x:v>
      </x:c>
      <x:c r="I49" s="57" t="str">
        <x:v>Control</x:v>
      </x:c>
    </x:row>
    <x:row r="50">
      <x:c r="A50" s="57" t="str">
        <x:v>4.1</x:v>
      </x:c>
      <x:c r="B50" s="57" t="str">
        <x:v>Pre-reserve capital</x:v>
      </x:c>
      <x:c r="C50" s="115" t="n">
        <x:f>SUM(C43:C49)</x:f>
        <x:v>10040.85</x:v>
      </x:c>
      <x:c r="D50" s="115"/>
      <x:c r="E50" s="115"/>
      <x:c r="F50" s="85" t="str">
        <x:v>Subtotal</x:v>
      </x:c>
      <x:c r="G50" s="85" t="str">
        <x:f>IF(C50&gt;=0,"PASS","FAIL")</x:f>
        <x:v>PASS</x:v>
      </x:c>
      <x:c r="H50" s="57" t="str">
        <x:v>Integrated planning baseline</x:v>
      </x:c>
      <x:c r="I50" s="57" t="str">
        <x:v>Calculated</x:v>
      </x:c>
    </x:row>
    <x:row r="51">
      <x:c r="A51" s="57" t="str">
        <x:v>4.2</x:v>
      </x:c>
      <x:c r="B51" s="57" t="str">
        <x:v>Explicit program reserve</x:v>
      </x:c>
      <x:c r="C51" s="115" t="n">
        <x:f>C50*Controls!C45</x:f>
        <x:v>2008.17</x:v>
      </x:c>
      <x:c r="D51" s="115"/>
      <x:c r="E51" s="115"/>
      <x:c r="F51" s="85" t="str">
        <x:v>20% policy reserve</x:v>
      </x:c>
      <x:c r="G51" s="85" t="str">
        <x:f>IF(C51&gt;=0,"PASS","FAIL")</x:f>
        <x:v>PASS</x:v>
      </x:c>
      <x:c r="H51" s="57" t="str">
        <x:v>Not distributed into unit cost</x:v>
      </x:c>
      <x:c r="I51" s="57" t="str">
        <x:v>Control</x:v>
      </x:c>
    </x:row>
    <x:row r="52">
      <x:c r="A52" s="57" t="str">
        <x:v>4.3</x:v>
      </x:c>
      <x:c r="B52" s="57" t="str">
        <x:v>Total 25-year capital</x:v>
      </x:c>
      <x:c r="C52" s="115" t="n">
        <x:f>C50+C51</x:f>
        <x:v>12049.02</x:v>
      </x:c>
      <x:c r="D52" s="115"/>
      <x:c r="E52" s="115"/>
      <x:c r="F52" s="85" t="str">
        <x:v>Reference capital</x:v>
      </x:c>
      <x:c r="G52" s="85" t="str">
        <x:f>IF(C52&gt;=0,"PASS","FAIL")</x:f>
        <x:v>PASS</x:v>
      </x:c>
      <x:c r="H52" s="57" t="str">
        <x:v>Design-study hypothesis, not estimate</x:v>
      </x:c>
      <x:c r="I52" s="57" t="str">
        <x:v>Calculated</x:v>
      </x:c>
    </x:row>
  </x:sheetData>
  <x:mergeCells>
    <x:mergeCell ref="A1:I1"/>
    <x:mergeCell ref="A2:I2"/>
  </x:mergeCells>
  <x:conditionalFormatting sqref="G43:G52">
    <x:cfRule type="containsText" dxfId="29" priority="1" operator="containsText" text="PASS"/>
    <x:cfRule type="containsText" dxfId="30" priority="2" operator="containsText" text="OPEN"/>
    <x:cfRule type="containsText" dxfId="31" priority="3" operator="containsText" text="FAIL"/>
    <x:cfRule type="containsText" dxfId="32" priority="4" operator="containsText" text="SHORT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50" t="str">
        <x:v>Annual Resources</x:v>
      </x:c>
      <x:c r="B1" s="56"/>
      <x:c r="C1" s="56"/>
      <x:c r="D1" s="56"/>
      <x:c r="E1" s="56"/>
      <x:c r="F1" s="56"/>
      <x:c r="G1" s="56"/>
      <x:c r="H1" s="56"/>
      <x:c r="I1" s="56"/>
    </x:row>
    <x:row r="2" ht="24" customHeight="1">
      <x:c r="A2" s="52" t="str">
        <x:v>Twenty-five-year capital phasing and force-generation ramp in real 2026 dollars.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32" customHeight="1">
      <x:c r="A4" s="59" t="str">
        <x:v>Year</x:v>
      </x:c>
      <x:c r="B4" s="60" t="str">
        <x:v>Capital share</x:v>
      </x:c>
      <x:c r="C4" s="60" t="str">
        <x:v>Capital $B</x:v>
      </x:c>
      <x:c r="D4" s="60" t="str">
        <x:v>Force ramp</x:v>
      </x:c>
      <x:c r="E4" s="60" t="str">
        <x:v>Operating $B</x:v>
      </x:c>
      <x:c r="F4" s="60" t="str">
        <x:v>Total $B</x:v>
      </x:c>
      <x:c r="G4" s="60" t="str">
        <x:v>DoD reference $B</x:v>
      </x:c>
      <x:c r="H4" s="60" t="str">
        <x:v>Gap $B</x:v>
      </x:c>
      <x:c r="I4" s="61" t="str">
        <x:v>Ratio</x:v>
      </x:c>
    </x:row>
    <x:row r="5">
      <x:c r="A5" s="76" t="n">
        <x:v>2027</x:v>
      </x:c>
      <x:c r="B5" s="77" t="n">
        <x:v>0.024</x:v>
      </x:c>
      <x:c r="C5" s="115" t="n">
        <x:f>B5*'Capital WBS'!C52</x:f>
        <x:v>289.17648</x:v>
      </x:c>
      <x:c r="D5" s="97" t="n">
        <x:v>0.03</x:v>
      </x:c>
      <x:c r="E5" s="115" t="n">
        <x:f>'Operating Cost'!B19*(0.2+0.8*D5)</x:f>
        <x:v>192.22630564648</x:v>
      </x:c>
      <x:c r="F5" s="115" t="n">
        <x:f>C5+E5</x:f>
        <x:v>481.40278564648</x:v>
      </x:c>
      <x:c r="G5" s="115" t="n">
        <x:f>Controls!B13</x:f>
        <x:v>961.6</x:v>
      </x:c>
      <x:c r="H5" s="115" t="n">
        <x:f>F5-G5</x:f>
        <x:v>-480.19721435352</x:v>
      </x:c>
      <x:c r="I5" s="97" t="n">
        <x:f>F5/G5</x:f>
        <x:v>0.5006268569534942</x:v>
      </x:c>
    </x:row>
    <x:row r="6">
      <x:c r="A6" s="57" t="n">
        <x:v>2028</x:v>
      </x:c>
      <x:c r="B6" s="77" t="n">
        <x:v>0.024</x:v>
      </x:c>
      <x:c r="C6" s="115" t="n">
        <x:f>B6*'Capital WBS'!C52</x:f>
        <x:v>289.17648</x:v>
      </x:c>
      <x:c r="D6" s="97" t="n">
        <x:v>0.06</x:v>
      </x:c>
      <x:c r="E6" s="115" t="n">
        <x:f>'Operating Cost'!B19*(0.2+0.8*D6)</x:f>
        <x:v>212.82198125146</x:v>
      </x:c>
      <x:c r="F6" s="115" t="n">
        <x:f>C6+E6</x:f>
        <x:v>501.99846125146</x:v>
      </x:c>
      <x:c r="G6" s="115" t="n">
        <x:f>Controls!B13</x:f>
        <x:v>961.6</x:v>
      </x:c>
      <x:c r="H6" s="115" t="n">
        <x:f>F6-G6</x:f>
        <x:v>-459.60153874854</x:v>
      </x:c>
      <x:c r="I6" s="97" t="n">
        <x:f>F6/G6</x:f>
        <x:v>0.5220449888222338</x:v>
      </x:c>
    </x:row>
    <x:row r="7">
      <x:c r="A7" s="76" t="n">
        <x:v>2029</x:v>
      </x:c>
      <x:c r="B7" s="77" t="n">
        <x:v>0.024</x:v>
      </x:c>
      <x:c r="C7" s="115" t="n">
        <x:f>B7*'Capital WBS'!C52</x:f>
        <x:v>289.17648</x:v>
      </x:c>
      <x:c r="D7" s="97" t="n">
        <x:v>0.1</x:v>
      </x:c>
      <x:c r="E7" s="115" t="n">
        <x:f>'Operating Cost'!B19*(0.2+0.8*D7)</x:f>
        <x:v>240.2828820581</x:v>
      </x:c>
      <x:c r="F7" s="115" t="n">
        <x:f>C7+E7</x:f>
        <x:v>529.4593620581</x:v>
      </x:c>
      <x:c r="G7" s="115" t="n">
        <x:f>Controls!B13</x:f>
        <x:v>961.6</x:v>
      </x:c>
      <x:c r="H7" s="115" t="n">
        <x:f>F7-G7</x:f>
        <x:v>-432.14063794189997</x:v>
      </x:c>
      <x:c r="I7" s="97" t="n">
        <x:f>F7/G7</x:f>
        <x:v>0.5506024979805533</x:v>
      </x:c>
    </x:row>
    <x:row r="8">
      <x:c r="A8" s="57" t="n">
        <x:v>2030</x:v>
      </x:c>
      <x:c r="B8" s="77" t="n">
        <x:v>0.024</x:v>
      </x:c>
      <x:c r="C8" s="115" t="n">
        <x:f>B8*'Capital WBS'!C52</x:f>
        <x:v>289.17648</x:v>
      </x:c>
      <x:c r="D8" s="97" t="n">
        <x:v>0.15</x:v>
      </x:c>
      <x:c r="E8" s="115" t="n">
        <x:f>'Operating Cost'!B19*(0.2+0.8*D8)</x:f>
        <x:v>274.6090080664</x:v>
      </x:c>
      <x:c r="F8" s="115" t="n">
        <x:f>C8+E8</x:f>
        <x:v>563.7854880664</x:v>
      </x:c>
      <x:c r="G8" s="115" t="n">
        <x:f>Controls!B13</x:f>
        <x:v>961.6</x:v>
      </x:c>
      <x:c r="H8" s="115" t="n">
        <x:f>F8-G8</x:f>
        <x:v>-397.8145119336</x:v>
      </x:c>
      <x:c r="I8" s="97" t="n">
        <x:f>F8/G8</x:f>
        <x:v>0.5862993844284526</x:v>
      </x:c>
    </x:row>
    <x:row r="9">
      <x:c r="A9" s="76" t="n">
        <x:v>2031</x:v>
      </x:c>
      <x:c r="B9" s="77" t="n">
        <x:v>0.024</x:v>
      </x:c>
      <x:c r="C9" s="115" t="n">
        <x:f>B9*'Capital WBS'!C52</x:f>
        <x:v>289.17648</x:v>
      </x:c>
      <x:c r="D9" s="97" t="n">
        <x:v>0.22</x:v>
      </x:c>
      <x:c r="E9" s="115" t="n">
        <x:f>'Operating Cost'!B19*(0.2+0.8*D9)</x:f>
        <x:v>322.66558447802</x:v>
      </x:c>
      <x:c r="F9" s="115" t="n">
        <x:f>C9+E9</x:f>
        <x:v>611.84206447802</x:v>
      </x:c>
      <x:c r="G9" s="115" t="n">
        <x:f>Controls!B13</x:f>
        <x:v>961.6</x:v>
      </x:c>
      <x:c r="H9" s="115" t="n">
        <x:f>F9-G9</x:f>
        <x:v>-349.75793552198</x:v>
      </x:c>
      <x:c r="I9" s="97" t="n">
        <x:f>F9/G9</x:f>
        <x:v>0.6362750254555116</x:v>
      </x:c>
    </x:row>
    <x:row r="10">
      <x:c r="A10" s="57" t="n">
        <x:v>2032</x:v>
      </x:c>
      <x:c r="B10" s="77" t="n">
        <x:v>0.05</x:v>
      </x:c>
      <x:c r="C10" s="115" t="n">
        <x:f>B10*'Capital WBS'!C52</x:f>
        <x:v>602.451</x:v>
      </x:c>
      <x:c r="D10" s="97" t="n">
        <x:v>0.3</x:v>
      </x:c>
      <x:c r="E10" s="115" t="n">
        <x:f>'Operating Cost'!B19*(0.2+0.8*D10)</x:f>
        <x:v>377.5873860913</x:v>
      </x:c>
      <x:c r="F10" s="115" t="n">
        <x:f>C10+E10</x:f>
        <x:v>980.0383860913</x:v>
      </x:c>
      <x:c r="G10" s="115" t="n">
        <x:f>Controls!B13</x:f>
        <x:v>961.6</x:v>
      </x:c>
      <x:c r="H10" s="115" t="n">
        <x:f>F10-G10</x:f>
        <x:v>18.438386091300003</x:v>
      </x:c>
      <x:c r="I10" s="97" t="n">
        <x:f>F10/G10</x:f>
        <x:v>1.0191746943545132</x:v>
      </x:c>
    </x:row>
    <x:row r="11">
      <x:c r="A11" s="76" t="n">
        <x:v>2033</x:v>
      </x:c>
      <x:c r="B11" s="77" t="n">
        <x:v>0.05</x:v>
      </x:c>
      <x:c r="C11" s="115" t="n">
        <x:f>B11*'Capital WBS'!C52</x:f>
        <x:v>602.451</x:v>
      </x:c>
      <x:c r="D11" s="97" t="n">
        <x:v>0.38</x:v>
      </x:c>
      <x:c r="E11" s="115" t="n">
        <x:f>'Operating Cost'!B19*(0.2+0.8*D11)</x:f>
        <x:v>432.50918770458</x:v>
      </x:c>
      <x:c r="F11" s="115" t="n">
        <x:f>C11+E11</x:f>
        <x:v>1034.96018770458</x:v>
      </x:c>
      <x:c r="G11" s="115" t="n">
        <x:f>Controls!B13</x:f>
        <x:v>961.6</x:v>
      </x:c>
      <x:c r="H11" s="115" t="n">
        <x:f>F11-G11</x:f>
        <x:v>73.36018770457997</x:v>
      </x:c>
      <x:c r="I11" s="97" t="n">
        <x:f>F11/G11</x:f>
        <x:v>1.0762897126711521</x:v>
      </x:c>
    </x:row>
    <x:row r="12">
      <x:c r="A12" s="57" t="n">
        <x:v>2034</x:v>
      </x:c>
      <x:c r="B12" s="77" t="n">
        <x:v>0.05</x:v>
      </x:c>
      <x:c r="C12" s="115" t="n">
        <x:f>B12*'Capital WBS'!C52</x:f>
        <x:v>602.451</x:v>
      </x:c>
      <x:c r="D12" s="97" t="n">
        <x:v>0.46</x:v>
      </x:c>
      <x:c r="E12" s="115" t="n">
        <x:f>'Operating Cost'!B19*(0.2+0.8*D12)</x:f>
        <x:v>487.43098931786</x:v>
      </x:c>
      <x:c r="F12" s="115" t="n">
        <x:f>C12+E12</x:f>
        <x:v>1089.88198931786</x:v>
      </x:c>
      <x:c r="G12" s="115" t="n">
        <x:f>Controls!B13</x:f>
        <x:v>961.6</x:v>
      </x:c>
      <x:c r="H12" s="115" t="n">
        <x:f>F12-G12</x:f>
        <x:v>128.28198931785994</x:v>
      </x:c>
      <x:c r="I12" s="97" t="n">
        <x:f>F12/G12</x:f>
        <x:v>1.133404730987791</x:v>
      </x:c>
    </x:row>
    <x:row r="13">
      <x:c r="A13" s="76" t="n">
        <x:v>2035</x:v>
      </x:c>
      <x:c r="B13" s="77" t="n">
        <x:v>0.05</x:v>
      </x:c>
      <x:c r="C13" s="115" t="n">
        <x:f>B13*'Capital WBS'!C52</x:f>
        <x:v>602.451</x:v>
      </x:c>
      <x:c r="D13" s="97" t="n">
        <x:v>0.55</x:v>
      </x:c>
      <x:c r="E13" s="115" t="n">
        <x:f>'Operating Cost'!B19*(0.2+0.8*D13)</x:f>
        <x:v>549.2180161328</x:v>
      </x:c>
      <x:c r="F13" s="115" t="n">
        <x:f>C13+E13</x:f>
        <x:v>1151.6690161328002</x:v>
      </x:c>
      <x:c r="G13" s="115" t="n">
        <x:f>Controls!B13</x:f>
        <x:v>961.6</x:v>
      </x:c>
      <x:c r="H13" s="115" t="n">
        <x:f>F13-G13</x:f>
        <x:v>190.06901613280013</x:v>
      </x:c>
      <x:c r="I13" s="97" t="n">
        <x:f>F13/G13</x:f>
        <x:v>1.1976591265940102</x:v>
      </x:c>
    </x:row>
    <x:row r="14">
      <x:c r="A14" s="57" t="n">
        <x:v>2036</x:v>
      </x:c>
      <x:c r="B14" s="77" t="n">
        <x:v>0.05</x:v>
      </x:c>
      <x:c r="C14" s="115" t="n">
        <x:f>B14*'Capital WBS'!C52</x:f>
        <x:v>602.451</x:v>
      </x:c>
      <x:c r="D14" s="97" t="n">
        <x:v>0.63</x:v>
      </x:c>
      <x:c r="E14" s="115" t="n">
        <x:f>'Operating Cost'!B19*(0.2+0.8*D14)</x:f>
        <x:v>604.13981774608</x:v>
      </x:c>
      <x:c r="F14" s="115" t="n">
        <x:f>C14+E14</x:f>
        <x:v>1206.5908177460801</x:v>
      </x:c>
      <x:c r="G14" s="115" t="n">
        <x:f>Controls!B13</x:f>
        <x:v>961.6</x:v>
      </x:c>
      <x:c r="H14" s="115" t="n">
        <x:f>F14-G14</x:f>
        <x:v>244.9908177460801</x:v>
      </x:c>
      <x:c r="I14" s="97" t="n">
        <x:f>F14/G14</x:f>
        <x:v>1.254774144910649</x:v>
      </x:c>
    </x:row>
    <x:row r="15">
      <x:c r="A15" s="76" t="n">
        <x:v>2037</x:v>
      </x:c>
      <x:c r="B15" s="77" t="n">
        <x:v>0.056</x:v>
      </x:c>
      <x:c r="C15" s="115" t="n">
        <x:f>B15*'Capital WBS'!C52</x:f>
        <x:v>674.74512</x:v>
      </x:c>
      <x:c r="D15" s="97" t="n">
        <x:v>0.7</x:v>
      </x:c>
      <x:c r="E15" s="115" t="n">
        <x:f>'Operating Cost'!B19*(0.2+0.8*D15)</x:f>
        <x:v>652.1963941577</x:v>
      </x:c>
      <x:c r="F15" s="115" t="n">
        <x:f>C15+E15</x:f>
        <x:v>1326.9415141577</x:v>
      </x:c>
      <x:c r="G15" s="115" t="n">
        <x:f>Controls!B13</x:f>
        <x:v>961.6</x:v>
      </x:c>
      <x:c r="H15" s="115" t="n">
        <x:f>F15-G15</x:f>
        <x:v>365.3415141577001</x:v>
      </x:c>
      <x:c r="I15" s="97" t="n">
        <x:f>F15/G15</x:f>
        <x:v>1.3799308591490225</x:v>
      </x:c>
    </x:row>
    <x:row r="16">
      <x:c r="A16" s="57" t="n">
        <x:v>2038</x:v>
      </x:c>
      <x:c r="B16" s="77" t="n">
        <x:v>0.056</x:v>
      </x:c>
      <x:c r="C16" s="115" t="n">
        <x:f>B16*'Capital WBS'!C52</x:f>
        <x:v>674.74512</x:v>
      </x:c>
      <x:c r="D16" s="97" t="n">
        <x:v>0.76</x:v>
      </x:c>
      <x:c r="E16" s="115" t="n">
        <x:f>'Operating Cost'!B19*(0.2+0.8*D16)</x:f>
        <x:v>693.38774536766</x:v>
      </x:c>
      <x:c r="F16" s="115" t="n">
        <x:f>C16+E16</x:f>
        <x:v>1368.13286536766</x:v>
      </x:c>
      <x:c r="G16" s="115" t="n">
        <x:f>Controls!B13</x:f>
        <x:v>961.6</x:v>
      </x:c>
      <x:c r="H16" s="115" t="n">
        <x:f>F16-G16</x:f>
        <x:v>406.53286536766007</x:v>
      </x:c>
      <x:c r="I16" s="97" t="n">
        <x:f>F16/G16</x:f>
        <x:v>1.4227671228865018</x:v>
      </x:c>
    </x:row>
    <x:row r="17">
      <x:c r="A17" s="76" t="n">
        <x:v>2039</x:v>
      </x:c>
      <x:c r="B17" s="77" t="n">
        <x:v>0.056</x:v>
      </x:c>
      <x:c r="C17" s="115" t="n">
        <x:f>B17*'Capital WBS'!C52</x:f>
        <x:v>674.74512</x:v>
      </x:c>
      <x:c r="D17" s="97" t="n">
        <x:v>0.81</x:v>
      </x:c>
      <x:c r="E17" s="115" t="n">
        <x:f>'Operating Cost'!B19*(0.2+0.8*D17)</x:f>
        <x:v>727.71387137596</x:v>
      </x:c>
      <x:c r="F17" s="115" t="n">
        <x:f>C17+E17</x:f>
        <x:v>1402.45899137596</x:v>
      </x:c>
      <x:c r="G17" s="115" t="n">
        <x:f>Controls!B13</x:f>
        <x:v>961.6</x:v>
      </x:c>
      <x:c r="H17" s="115" t="n">
        <x:f>F17-G17</x:f>
        <x:v>440.85899137596004</x:v>
      </x:c>
      <x:c r="I17" s="97" t="n">
        <x:f>F17/G17</x:f>
        <x:v>1.458464009334401</x:v>
      </x:c>
    </x:row>
    <x:row r="18">
      <x:c r="A18" s="57" t="n">
        <x:v>2040</x:v>
      </x:c>
      <x:c r="B18" s="77" t="n">
        <x:v>0.056</x:v>
      </x:c>
      <x:c r="C18" s="115" t="n">
        <x:f>B18*'Capital WBS'!C52</x:f>
        <x:v>674.74512</x:v>
      </x:c>
      <x:c r="D18" s="97" t="n">
        <x:v>0.86</x:v>
      </x:c>
      <x:c r="E18" s="115" t="n">
        <x:f>'Operating Cost'!B19*(0.2+0.8*D18)</x:f>
        <x:v>762.03999738426</x:v>
      </x:c>
      <x:c r="F18" s="115" t="n">
        <x:f>C18+E18</x:f>
        <x:v>1436.78511738426</x:v>
      </x:c>
      <x:c r="G18" s="115" t="n">
        <x:f>Controls!B13</x:f>
        <x:v>961.6</x:v>
      </x:c>
      <x:c r="H18" s="115" t="n">
        <x:f>F18-G18</x:f>
        <x:v>475.18511738426</x:v>
      </x:c>
      <x:c r="I18" s="97" t="n">
        <x:f>F18/G18</x:f>
        <x:v>1.4941608957823003</x:v>
      </x:c>
    </x:row>
    <x:row r="19">
      <x:c r="A19" s="76" t="n">
        <x:v>2041</x:v>
      </x:c>
      <x:c r="B19" s="77" t="n">
        <x:v>0.056</x:v>
      </x:c>
      <x:c r="C19" s="115" t="n">
        <x:f>B19*'Capital WBS'!C52</x:f>
        <x:v>674.74512</x:v>
      </x:c>
      <x:c r="D19" s="97" t="n">
        <x:v>0.9</x:v>
      </x:c>
      <x:c r="E19" s="115" t="n">
        <x:f>'Operating Cost'!B19*(0.2+0.8*D19)</x:f>
        <x:v>789.5008981909001</x:v>
      </x:c>
      <x:c r="F19" s="115" t="n">
        <x:f>C19+E19</x:f>
        <x:v>1464.2460181909</x:v>
      </x:c>
      <x:c r="G19" s="115" t="n">
        <x:f>Controls!B13</x:f>
        <x:v>961.6</x:v>
      </x:c>
      <x:c r="H19" s="115" t="n">
        <x:f>F19-G19</x:f>
        <x:v>502.6460181909</x:v>
      </x:c>
      <x:c r="I19" s="97" t="n">
        <x:f>F19/G19</x:f>
        <x:v>1.5227184049406197</x:v>
      </x:c>
    </x:row>
    <x:row r="20">
      <x:c r="A20" s="57" t="n">
        <x:v>2042</x:v>
      </x:c>
      <x:c r="B20" s="77" t="n">
        <x:v>0.044</x:v>
      </x:c>
      <x:c r="C20" s="115" t="n">
        <x:f>B20*'Capital WBS'!C52</x:f>
        <x:v>530.15688</x:v>
      </x:c>
      <x:c r="D20" s="97" t="n">
        <x:v>0.93</x:v>
      </x:c>
      <x:c r="E20" s="115" t="n">
        <x:f>'Operating Cost'!B19*(0.2+0.8*D20)</x:f>
        <x:v>810.0965737958801</x:v>
      </x:c>
      <x:c r="F20" s="115" t="n">
        <x:f>C20+E20</x:f>
        <x:v>1340.25345379588</x:v>
      </x:c>
      <x:c r="G20" s="115" t="n">
        <x:f>Controls!B13</x:f>
        <x:v>961.6</x:v>
      </x:c>
      <x:c r="H20" s="115" t="n">
        <x:f>F20-G20</x:f>
        <x:v>378.65345379587995</x:v>
      </x:c>
      <x:c r="I20" s="97" t="n">
        <x:f>F20/G20</x:f>
        <x:v>1.3937743903867303</x:v>
      </x:c>
    </x:row>
    <x:row r="21">
      <x:c r="A21" s="76" t="n">
        <x:v>2043</x:v>
      </x:c>
      <x:c r="B21" s="77" t="n">
        <x:v>0.044</x:v>
      </x:c>
      <x:c r="C21" s="115" t="n">
        <x:f>B21*'Capital WBS'!C52</x:f>
        <x:v>530.15688</x:v>
      </x:c>
      <x:c r="D21" s="97" t="n">
        <x:v>0.95</x:v>
      </x:c>
      <x:c r="E21" s="115" t="n">
        <x:f>'Operating Cost'!B19*(0.2+0.8*D21)</x:f>
        <x:v>823.8270241992</x:v>
      </x:c>
      <x:c r="F21" s="115" t="n">
        <x:f>C21+E21</x:f>
        <x:v>1353.9839041992</x:v>
      </x:c>
      <x:c r="G21" s="115" t="n">
        <x:f>Controls!B13</x:f>
        <x:v>961.6</x:v>
      </x:c>
      <x:c r="H21" s="115" t="n">
        <x:f>F21-G21</x:f>
        <x:v>392.38390419919995</x:v>
      </x:c>
      <x:c r="I21" s="97" t="n">
        <x:f>F21/G21</x:f>
        <x:v>1.4080531449658902</x:v>
      </x:c>
    </x:row>
    <x:row r="22">
      <x:c r="A22" s="57" t="n">
        <x:v>2044</x:v>
      </x:c>
      <x:c r="B22" s="77" t="n">
        <x:v>0.044</x:v>
      </x:c>
      <x:c r="C22" s="115" t="n">
        <x:f>B22*'Capital WBS'!C52</x:f>
        <x:v>530.15688</x:v>
      </x:c>
      <x:c r="D22" s="97" t="n">
        <x:v>0.97</x:v>
      </x:c>
      <x:c r="E22" s="115" t="n">
        <x:f>'Operating Cost'!B19*(0.2+0.8*D22)</x:f>
        <x:v>837.55747460252</x:v>
      </x:c>
      <x:c r="F22" s="115" t="n">
        <x:f>C22+E22</x:f>
        <x:v>1367.71435460252</x:v>
      </x:c>
      <x:c r="G22" s="115" t="n">
        <x:f>Controls!B13</x:f>
        <x:v>961.6</x:v>
      </x:c>
      <x:c r="H22" s="115" t="n">
        <x:f>F22-G22</x:f>
        <x:v>406.11435460251994</x:v>
      </x:c>
      <x:c r="I22" s="97" t="n">
        <x:f>F22/G22</x:f>
        <x:v>1.4223318995450498</x:v>
      </x:c>
    </x:row>
    <x:row r="23">
      <x:c r="A23" s="76" t="n">
        <x:v>2045</x:v>
      </x:c>
      <x:c r="B23" s="77" t="n">
        <x:v>0.044</x:v>
      </x:c>
      <x:c r="C23" s="115" t="n">
        <x:f>B23*'Capital WBS'!C52</x:f>
        <x:v>530.15688</x:v>
      </x:c>
      <x:c r="D23" s="97" t="n">
        <x:v>0.98</x:v>
      </x:c>
      <x:c r="E23" s="115" t="n">
        <x:f>'Operating Cost'!B19*(0.2+0.8*D23)</x:f>
        <x:v>844.42269980418</x:v>
      </x:c>
      <x:c r="F23" s="115" t="n">
        <x:f>C23+E23</x:f>
        <x:v>1374.57957980418</x:v>
      </x:c>
      <x:c r="G23" s="115" t="n">
        <x:f>Controls!B13</x:f>
        <x:v>961.6</x:v>
      </x:c>
      <x:c r="H23" s="115" t="n">
        <x:f>F23-G23</x:f>
        <x:v>412.97957980417993</x:v>
      </x:c>
      <x:c r="I23" s="97" t="n">
        <x:f>F23/G23</x:f>
        <x:v>1.4294712768346296</x:v>
      </x:c>
    </x:row>
    <x:row r="24">
      <x:c r="A24" s="57" t="n">
        <x:v>2046</x:v>
      </x:c>
      <x:c r="B24" s="77" t="n">
        <x:v>0.044</x:v>
      </x:c>
      <x:c r="C24" s="115" t="n">
        <x:f>B24*'Capital WBS'!C52</x:f>
        <x:v>530.15688</x:v>
      </x:c>
      <x:c r="D24" s="97" t="n">
        <x:v>0.99</x:v>
      </x:c>
      <x:c r="E24" s="115" t="n">
        <x:f>'Operating Cost'!B19*(0.2+0.8*D24)</x:f>
        <x:v>851.28792500584</x:v>
      </x:c>
      <x:c r="F24" s="115" t="n">
        <x:f>C24+E24</x:f>
        <x:v>1381.44480500584</x:v>
      </x:c>
      <x:c r="G24" s="115" t="n">
        <x:f>Controls!B13</x:f>
        <x:v>961.6</x:v>
      </x:c>
      <x:c r="H24" s="115" t="n">
        <x:f>F24-G24</x:f>
        <x:v>419.84480500583993</x:v>
      </x:c>
      <x:c r="I24" s="97" t="n">
        <x:f>F24/G24</x:f>
        <x:v>1.4366106541242096</x:v>
      </x:c>
    </x:row>
    <x:row r="25">
      <x:c r="A25" s="76" t="n">
        <x:v>2047</x:v>
      </x:c>
      <x:c r="B25" s="77" t="n">
        <x:v>0.026</x:v>
      </x:c>
      <x:c r="C25" s="115" t="n">
        <x:f>B25*'Capital WBS'!C52</x:f>
        <x:v>313.27452</x:v>
      </x:c>
      <x:c r="D25" s="97" t="n">
        <x:v>1</x:v>
      </x:c>
      <x:c r="E25" s="115" t="n">
        <x:f>'Operating Cost'!B19*(0.2+0.8*D25)</x:f>
        <x:v>858.1531502075</x:v>
      </x:c>
      <x:c r="F25" s="115" t="n">
        <x:f>C25+E25</x:f>
        <x:v>1171.4276702075</x:v>
      </x:c>
      <x:c r="G25" s="115" t="n">
        <x:f>Controls!B13</x:f>
        <x:v>961.6</x:v>
      </x:c>
      <x:c r="H25" s="115" t="n">
        <x:f>F25-G25</x:f>
        <x:v>209.82767020749986</x:v>
      </x:c>
      <x:c r="I25" s="97" t="n">
        <x:f>F25/G25</x:f>
        <x:v>1.218206811779846</x:v>
      </x:c>
    </x:row>
    <x:row r="26">
      <x:c r="A26" s="57" t="n">
        <x:v>2048</x:v>
      </x:c>
      <x:c r="B26" s="77" t="n">
        <x:v>0.026</x:v>
      </x:c>
      <x:c r="C26" s="115" t="n">
        <x:f>B26*'Capital WBS'!C52</x:f>
        <x:v>313.27452</x:v>
      </x:c>
      <x:c r="D26" s="97" t="n">
        <x:v>1</x:v>
      </x:c>
      <x:c r="E26" s="115" t="n">
        <x:f>'Operating Cost'!B19*(0.2+0.8*D26)</x:f>
        <x:v>858.1531502075</x:v>
      </x:c>
      <x:c r="F26" s="115" t="n">
        <x:f>C26+E26</x:f>
        <x:v>1171.4276702075</x:v>
      </x:c>
      <x:c r="G26" s="115" t="n">
        <x:f>Controls!B13</x:f>
        <x:v>961.6</x:v>
      </x:c>
      <x:c r="H26" s="115" t="n">
        <x:f>F26-G26</x:f>
        <x:v>209.82767020749986</x:v>
      </x:c>
      <x:c r="I26" s="97" t="n">
        <x:f>F26/G26</x:f>
        <x:v>1.218206811779846</x:v>
      </x:c>
    </x:row>
    <x:row r="27">
      <x:c r="A27" s="76" t="n">
        <x:v>2049</x:v>
      </x:c>
      <x:c r="B27" s="77" t="n">
        <x:v>0.026</x:v>
      </x:c>
      <x:c r="C27" s="115" t="n">
        <x:f>B27*'Capital WBS'!C52</x:f>
        <x:v>313.27452</x:v>
      </x:c>
      <x:c r="D27" s="97" t="n">
        <x:v>1</x:v>
      </x:c>
      <x:c r="E27" s="115" t="n">
        <x:f>'Operating Cost'!B19*(0.2+0.8*D27)</x:f>
        <x:v>858.1531502075</x:v>
      </x:c>
      <x:c r="F27" s="115" t="n">
        <x:f>C27+E27</x:f>
        <x:v>1171.4276702075</x:v>
      </x:c>
      <x:c r="G27" s="115" t="n">
        <x:f>Controls!B13</x:f>
        <x:v>961.6</x:v>
      </x:c>
      <x:c r="H27" s="115" t="n">
        <x:f>F27-G27</x:f>
        <x:v>209.82767020749986</x:v>
      </x:c>
      <x:c r="I27" s="97" t="n">
        <x:f>F27/G27</x:f>
        <x:v>1.218206811779846</x:v>
      </x:c>
    </x:row>
    <x:row r="28">
      <x:c r="A28" s="57" t="n">
        <x:v>2050</x:v>
      </x:c>
      <x:c r="B28" s="77" t="n">
        <x:v>0.026</x:v>
      </x:c>
      <x:c r="C28" s="115" t="n">
        <x:f>B28*'Capital WBS'!C52</x:f>
        <x:v>313.27452</x:v>
      </x:c>
      <x:c r="D28" s="97" t="n">
        <x:v>1</x:v>
      </x:c>
      <x:c r="E28" s="115" t="n">
        <x:f>'Operating Cost'!B19*(0.2+0.8*D28)</x:f>
        <x:v>858.1531502075</x:v>
      </x:c>
      <x:c r="F28" s="115" t="n">
        <x:f>C28+E28</x:f>
        <x:v>1171.4276702075</x:v>
      </x:c>
      <x:c r="G28" s="115" t="n">
        <x:f>Controls!B13</x:f>
        <x:v>961.6</x:v>
      </x:c>
      <x:c r="H28" s="115" t="n">
        <x:f>F28-G28</x:f>
        <x:v>209.82767020749986</x:v>
      </x:c>
      <x:c r="I28" s="97" t="n">
        <x:f>F28/G28</x:f>
        <x:v>1.218206811779846</x:v>
      </x:c>
    </x:row>
    <x:row r="29">
      <x:c r="A29" s="76" t="n">
        <x:v>2051</x:v>
      </x:c>
      <x:c r="B29" s="77" t="n">
        <x:v>0.026</x:v>
      </x:c>
      <x:c r="C29" s="115" t="n">
        <x:f>B29*'Capital WBS'!C52</x:f>
        <x:v>313.27452</x:v>
      </x:c>
      <x:c r="D29" s="97" t="n">
        <x:v>1</x:v>
      </x:c>
      <x:c r="E29" s="115" t="n">
        <x:f>'Operating Cost'!B19*(0.2+0.8*D29)</x:f>
        <x:v>858.1531502075</x:v>
      </x:c>
      <x:c r="F29" s="115" t="n">
        <x:f>C29+E29</x:f>
        <x:v>1171.4276702075</x:v>
      </x:c>
      <x:c r="G29" s="115" t="n">
        <x:f>Controls!B13</x:f>
        <x:v>961.6</x:v>
      </x:c>
      <x:c r="H29" s="115" t="n">
        <x:f>F29-G29</x:f>
        <x:v>209.82767020749986</x:v>
      </x:c>
      <x:c r="I29" s="97" t="n">
        <x:f>F29/G29</x:f>
        <x:v>1.218206811779846</x:v>
      </x:c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</x:row>
    <x:row r="32">
      <x:c r="A32" s="54" t="str">
        <x:v>Reconciliation</x:v>
      </x:c>
      <x:c r="B32" s="58"/>
      <x:c r="C32" s="58"/>
      <x:c r="D32" s="58"/>
      <x:c r="E32" s="58"/>
      <x:c r="F32" s="58"/>
      <x:c r="G32" s="58"/>
      <x:c r="H32" s="58"/>
      <x:c r="I32" s="58"/>
    </x:row>
    <x:row r="33" ht="32" customHeight="1">
      <x:c r="A33" s="59" t="str">
        <x:v>Measure</x:v>
      </x:c>
      <x:c r="B33" s="60" t="str">
        <x:v>Value</x:v>
      </x:c>
      <x:c r="C33" s="60" t="str">
        <x:v>Unit</x:v>
      </x:c>
      <x:c r="D33" s="60" t="str">
        <x:v>State</x:v>
      </x:c>
      <x:c r="E33" s="61" t="str">
        <x:v>Meaning</x:v>
      </x:c>
      <x:c r="F33" s="57"/>
      <x:c r="G33" s="57"/>
      <x:c r="H33" s="57"/>
      <x:c r="I33" s="57"/>
    </x:row>
    <x:row r="34">
      <x:c r="A34" s="57" t="str">
        <x:v>Capital shares</x:v>
      </x:c>
      <x:c r="B34" s="97" t="n">
        <x:f>SUM(B5:B29)</x:f>
        <x:v>1.0000000000000002</x:v>
      </x:c>
      <x:c r="C34" s="85" t="str">
        <x:v>share</x:v>
      </x:c>
      <x:c r="D34" s="85" t="str">
        <x:f>IF(ABS(B34-1)&lt;0.0001,"PASS","FAIL")</x:f>
        <x:v>PASS</x:v>
      </x:c>
      <x:c r="E34" s="57" t="str">
        <x:v>Must sum to 100%</x:v>
      </x:c>
      <x:c r="F34" s="57"/>
      <x:c r="G34" s="57"/>
      <x:c r="H34" s="57"/>
      <x:c r="I34" s="57"/>
    </x:row>
    <x:row r="35">
      <x:c r="A35" s="57" t="str">
        <x:v>25-year capital</x:v>
      </x:c>
      <x:c r="B35" s="115" t="n">
        <x:f>SUM(C5:C29)</x:f>
        <x:v>12049.020000000006</x:v>
      </x:c>
      <x:c r="C35" s="85" t="str">
        <x:v>$B</x:v>
      </x:c>
      <x:c r="D35" s="85" t="str">
        <x:f>IF(ABS(B35-'Capital WBS'!C52)&lt;0.01,"PASS","FAIL")</x:f>
        <x:v>PASS</x:v>
      </x:c>
      <x:c r="E35" s="57" t="str">
        <x:v>Annual capital ties to WBS</x:v>
      </x:c>
      <x:c r="F35" s="57"/>
      <x:c r="G35" s="57"/>
      <x:c r="H35" s="57"/>
      <x:c r="I35" s="57"/>
    </x:row>
    <x:row r="36">
      <x:c r="A36" s="57" t="str">
        <x:v>25-year total resources</x:v>
      </x:c>
      <x:c r="B36" s="115" t="n">
        <x:f>SUM(F5:F29)</x:f>
        <x:v>27825.307513414686</x:v>
      </x:c>
      <x:c r="C36" s="85" t="str">
        <x:v>$B</x:v>
      </x:c>
      <x:c r="D36" s="85" t="str">
        <x:f>IF(B36&gt;0,"PASS","FAIL")</x:f>
        <x:v>PASS</x:v>
      </x:c>
      <x:c r="E36" s="57" t="str">
        <x:v>Capital plus ramped operations</x:v>
      </x:c>
      <x:c r="F36" s="57"/>
      <x:c r="G36" s="57"/>
      <x:c r="H36" s="57"/>
      <x:c r="I36" s="57"/>
    </x:row>
    <x:row r="37">
      <x:c r="A37" s="57" t="str">
        <x:v>Average annual resources</x:v>
      </x:c>
      <x:c r="B37" s="115" t="n">
        <x:f>B36/25</x:f>
        <x:v>1113.0123005365874</x:v>
      </x:c>
      <x:c r="C37" s="85" t="str">
        <x:v>$B/year</x:v>
      </x:c>
      <x:c r="D37" s="85" t="str">
        <x:f>IF(B37&gt;0,"PASS","FAIL")</x:f>
        <x:v>PASS</x:v>
      </x:c>
      <x:c r="E37" s="57" t="str">
        <x:v>25-year total divided by 25</x:v>
      </x:c>
      <x:c r="F37" s="57"/>
      <x:c r="G37" s="57"/>
      <x:c r="H37" s="57"/>
      <x:c r="I37" s="57"/>
    </x:row>
    <x:row r="38">
      <x:c r="A38" s="57" t="str">
        <x:v>Peak annual resources</x:v>
      </x:c>
      <x:c r="B38" s="115" t="n">
        <x:f>MAX(F5:F29)</x:f>
        <x:v>1464.2460181909</x:v>
      </x:c>
      <x:c r="C38" s="85" t="str">
        <x:v>$B/year</x:v>
      </x:c>
      <x:c r="D38" s="85" t="str">
        <x:f>IF(B38=MAX(F5:F29),"PASS","FAIL")</x:f>
        <x:v>PASS</x:v>
      </x:c>
      <x:c r="E38" s="57" t="str">
        <x:v>Maximum build-and-operate year</x:v>
      </x:c>
      <x:c r="F38" s="57"/>
      <x:c r="G38" s="57"/>
      <x:c r="H38" s="57"/>
      <x:c r="I38" s="57"/>
    </x:row>
    <x:row r="39">
      <x:c r="A39" s="57" t="str">
        <x:v>Peak year</x:v>
      </x:c>
      <x:c r="B39" s="85" t="n">
        <x:f>INDEX(A5:A29,MATCH(B38,F5:F29,0))</x:f>
        <x:v>2041</x:v>
      </x:c>
      <x:c r="C39" s="85" t="str">
        <x:v>year</x:v>
      </x:c>
      <x:c r="D39" s="85" t="str">
        <x:f>IF(AND(B39&gt;=MIN(A5:A29),B39&lt;=MAX(A5:A29)),"PASS","FAIL")</x:f>
        <x:v>PASS</x:v>
      </x:c>
      <x:c r="E39" s="57" t="str">
        <x:v>First maximum</x:v>
      </x:c>
      <x:c r="F39" s="57"/>
      <x:c r="G39" s="57"/>
      <x:c r="H39" s="57"/>
      <x:c r="I39" s="57"/>
    </x:row>
  </x:sheetData>
  <x:mergeCells>
    <x:mergeCell ref="A1:I1"/>
    <x:mergeCell ref="A2:I2"/>
  </x:mergeCells>
  <x:conditionalFormatting sqref="D34:D39">
    <x:cfRule type="containsText" dxfId="41" priority="1" operator="containsText" text="PASS"/>
    <x:cfRule type="containsText" dxfId="42" priority="2" operator="containsText" text="OPEN"/>
    <x:cfRule type="containsText" dxfId="43" priority="3" operator="containsText" text="FAIL"/>
    <x:cfRule type="containsText" dxfId="44" priority="4" operator="containsText" text="SHORT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60" hidden="0" customWidth="1"/>
  </x:cols>
  <x:sheetData>
    <x:row r="1" ht="24" customHeight="1">
      <x:c r="A1" s="50" t="str">
        <x:v>Mature Annual Operating Cost</x:v>
      </x:c>
      <x:c r="B1" s="56"/>
      <x:c r="C1" s="56"/>
      <x:c r="D1" s="56"/>
      <x:c r="E1" s="56"/>
      <x:c r="F1" s="56"/>
      <x:c r="G1" s="56"/>
    </x:row>
    <x:row r="2" ht="24" customHeight="1">
      <x:c r="A2" s="52" t="str">
        <x:v>Personnel, assets, training, deployments, industrial readiness and continuous research.</x:v>
      </x:c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 ht="32" customHeight="1">
      <x:c r="A4" s="59" t="str">
        <x:v>Cost line</x:v>
      </x:c>
      <x:c r="B4" s="60" t="str">
        <x:v>Driver</x:v>
      </x:c>
      <x:c r="C4" s="60" t="str">
        <x:v>Rate</x:v>
      </x:c>
      <x:c r="D4" s="60" t="str">
        <x:v>Annual $B</x:v>
      </x:c>
      <x:c r="E4" s="60" t="str">
        <x:v>Source</x:v>
      </x:c>
      <x:c r="F4" s="60" t="str">
        <x:v>State</x:v>
      </x:c>
      <x:c r="G4" s="61" t="str">
        <x:v>Boundary</x:v>
      </x:c>
    </x:row>
    <x:row r="5">
      <x:c r="A5" s="76" t="str">
        <x:v>Permanent federal personnel</x:v>
      </x:c>
      <x:c r="B5" s="122" t="n">
        <x:f>Workforce!B46</x:f>
        <x:v>1969589.5525</x:v>
      </x:c>
      <x:c r="C5" s="123" t="n">
        <x:f>Controls!B31</x:f>
        <x:v>0.00016</x:v>
      </x:c>
      <x:c r="D5" s="122" t="n">
        <x:f>B5*C5</x:f>
        <x:v>315.1343284</x:v>
      </x:c>
      <x:c r="E5" s="76" t="str">
        <x:v>Workforce / Controls</x:v>
      </x:c>
      <x:c r="F5" s="76" t="str">
        <x:f>IF(D5&gt;=0,"PASS","FAIL")</x:f>
        <x:v>PASS</x:v>
      </x:c>
      <x:c r="G5" s="76" t="str">
        <x:v>Affiliated billet-equivalent × planning rate</x:v>
      </x:c>
    </x:row>
    <x:row r="6">
      <x:c r="A6" s="57" t="str">
        <x:v>Federal reserve personnel</x:v>
      </x:c>
      <x:c r="B6" s="122" t="n">
        <x:f>Workforce!C46</x:f>
        <x:v>916984.01</x:v>
      </x:c>
      <x:c r="C6" s="123" t="n">
        <x:f>Controls!B32</x:f>
        <x:v>0.00005</x:v>
      </x:c>
      <x:c r="D6" s="122" t="n">
        <x:f>B6*C6</x:f>
        <x:v>45.8492005</x:v>
      </x:c>
      <x:c r="E6" s="57" t="str">
        <x:v>Workforce / Controls</x:v>
      </x:c>
      <x:c r="F6" s="57" t="str">
        <x:f>IF(D6&gt;=0,"PASS","FAIL")</x:f>
        <x:v>PASS</x:v>
      </x:c>
      <x:c r="G6" s="57" t="str">
        <x:v>Average annual readiness and mobilization</x:v>
      </x:c>
    </x:row>
    <x:row r="7">
      <x:c r="A7" s="76" t="str">
        <x:v>State and territorial component</x:v>
      </x:c>
      <x:c r="B7" s="122" t="n">
        <x:f>Workforce!D46</x:f>
        <x:v>552051.3775</x:v>
      </x:c>
      <x:c r="C7" s="123" t="n">
        <x:f>Controls!B33</x:f>
        <x:v>0.000055</x:v>
      </x:c>
      <x:c r="D7" s="122" t="n">
        <x:f>B7*C7</x:f>
        <x:v>30.362825762499998</x:v>
      </x:c>
      <x:c r="E7" s="76" t="str">
        <x:v>Workforce / Controls</x:v>
      </x:c>
      <x:c r="F7" s="76" t="str">
        <x:f>IF(D7&gt;=0,"PASS","FAIL")</x:f>
        <x:v>PASS</x:v>
      </x:c>
      <x:c r="G7" s="76" t="str">
        <x:v>Federal/state planning equivalent</x:v>
      </x:c>
    </x:row>
    <x:row r="8">
      <x:c r="A8" s="57" t="str">
        <x:v>Certified industrial force</x:v>
      </x:c>
      <x:c r="B8" s="122" t="n">
        <x:f>Workforce!E46</x:f>
        <x:v>493873.51</x:v>
      </x:c>
      <x:c r="C8" s="123" t="n">
        <x:f>Controls!B34</x:f>
        <x:v>0.00009</x:v>
      </x:c>
      <x:c r="D8" s="122" t="n">
        <x:f>B8*C8</x:f>
        <x:v>44.44861590000001</x:v>
      </x:c>
      <x:c r="E8" s="57" t="str">
        <x:v>Workforce / Controls</x:v>
      </x:c>
      <x:c r="F8" s="57" t="str">
        <x:f>IF(D8&gt;=0,"PASS","FAIL")</x:f>
        <x:v>PASS</x:v>
      </x:c>
      <x:c r="G8" s="57" t="str">
        <x:v>Retained and mobilizable labor equivalent</x:v>
      </x:c>
    </x:row>
    <x:row r="9">
      <x:c r="A9" s="76" t="str">
        <x:v>Partner and allied support</x:v>
      </x:c>
      <x:c r="B9" s="122" t="n">
        <x:f>Workforce!F46</x:f>
        <x:v>12457.5</x:v>
      </x:c>
      <x:c r="C9" s="123" t="n">
        <x:f>Controls!B35</x:f>
        <x:v>0.00002</x:v>
      </x:c>
      <x:c r="D9" s="122" t="n">
        <x:f>B9*C9</x:f>
        <x:v>0.24915</x:v>
      </x:c>
      <x:c r="E9" s="76" t="str">
        <x:v>Workforce / Controls</x:v>
      </x:c>
      <x:c r="F9" s="76" t="str">
        <x:f>IF(D9&gt;=0,"PASS","FAIL")</x:f>
        <x:v>PASS</x:v>
      </x:c>
      <x:c r="G9" s="76" t="str">
        <x:v>U.S. support only</x:v>
      </x:c>
    </x:row>
    <x:row r="10">
      <x:c r="A10" s="57" t="str">
        <x:v>Formation and enabling asset O&amp;M</x:v>
      </x:c>
      <x:c r="B10" s="122" t="n">
        <x:f>SUM('Capital WBS'!E43:E49)</x:f>
        <x:v>267.2255</x:v>
      </x:c>
      <x:c r="C10" s="122" t="n">
        <x:v>1</x:v>
      </x:c>
      <x:c r="D10" s="122" t="n">
        <x:f>B10*C10</x:f>
        <x:v>267.2255</x:v>
      </x:c>
      <x:c r="E10" s="57" t="str">
        <x:v>Capital WBS</x:v>
      </x:c>
      <x:c r="F10" s="57" t="str">
        <x:f>IF(D10&gt;=0,"PASS","FAIL")</x:f>
        <x:v>PASS</x:v>
      </x:c>
      <x:c r="G10" s="57" t="str">
        <x:v>Calculated rates exclude disaster reconstruction</x:v>
      </x:c>
    </x:row>
    <x:row r="11">
      <x:c r="A11" s="76" t="str">
        <x:v>Training and stock rotation</x:v>
      </x:c>
      <x:c r="B11" s="122" t="n">
        <x:f>SUM(D5:D9)</x:f>
        <x:v>436.0441205625</x:v>
      </x:c>
      <x:c r="C11" s="97" t="n">
        <x:f>Controls!B14</x:f>
        <x:v>0.08</x:v>
      </x:c>
      <x:c r="D11" s="122" t="n">
        <x:f>B11*C11</x:f>
        <x:v>34.883529645</x:v>
      </x:c>
      <x:c r="E11" s="76" t="str">
        <x:v>Control</x:v>
      </x:c>
      <x:c r="F11" s="76" t="str">
        <x:f>IF(D11&gt;=0,"PASS","FAIL")</x:f>
        <x:v>PASS</x:v>
      </x:c>
      <x:c r="G11" s="76" t="str">
        <x:v>Share of personnel cost</x:v>
      </x:c>
    </x:row>
    <x:row r="12">
      <x:c r="A12" s="57" t="str">
        <x:v>Deployments and exercises</x:v>
      </x:c>
      <x:c r="B12" s="122" t="n">
        <x:v>1</x:v>
      </x:c>
      <x:c r="C12" s="124" t="n">
        <x:f>Controls!B15</x:f>
        <x:v>45</x:v>
      </x:c>
      <x:c r="D12" s="122" t="n">
        <x:f>B12*C12</x:f>
        <x:v>45</x:v>
      </x:c>
      <x:c r="E12" s="57" t="str">
        <x:v>Control</x:v>
      </x:c>
      <x:c r="F12" s="57" t="str">
        <x:f>IF(D12&gt;=0,"PASS","FAIL")</x:f>
        <x:v>PASS</x:v>
      </x:c>
      <x:c r="G12" s="57" t="str">
        <x:v>Mature allowance</x:v>
      </x:c>
    </x:row>
    <x:row r="13">
      <x:c r="A13" s="76" t="str">
        <x:v>Industrial readiness retainers</x:v>
      </x:c>
      <x:c r="B13" s="122" t="n">
        <x:v>1</x:v>
      </x:c>
      <x:c r="C13" s="124" t="n">
        <x:f>Controls!B16</x:f>
        <x:v>25</x:v>
      </x:c>
      <x:c r="D13" s="122" t="n">
        <x:f>B13*C13</x:f>
        <x:v>25</x:v>
      </x:c>
      <x:c r="E13" s="76" t="str">
        <x:v>Control</x:v>
      </x:c>
      <x:c r="F13" s="76" t="str">
        <x:f>IF(D13&gt;=0,"PASS","FAIL")</x:f>
        <x:v>PASS</x:v>
      </x:c>
      <x:c r="G13" s="76" t="str">
        <x:v>Capacity priority outside workforce-equivalent cost</x:v>
      </x:c>
    </x:row>
    <x:row r="14">
      <x:c r="A14" s="57" t="str">
        <x:v>Continuous research and test</x:v>
      </x:c>
      <x:c r="B14" s="122" t="n">
        <x:v>1</x:v>
      </x:c>
      <x:c r="C14" s="124" t="n">
        <x:f>Controls!B17</x:f>
        <x:v>50</x:v>
      </x:c>
      <x:c r="D14" s="122" t="n">
        <x:f>B14*C14</x:f>
        <x:v>50</x:v>
      </x:c>
      <x:c r="E14" s="57" t="str">
        <x:v>Control</x:v>
      </x:c>
      <x:c r="F14" s="57" t="str">
        <x:f>IF(D14&gt;=0,"PASS","FAIL")</x:f>
        <x:v>PASS</x:v>
      </x:c>
      <x:c r="G14" s="57" t="str">
        <x:v>Mission research after build</x:v>
      </x:c>
    </x:row>
    <x:row r="15">
      <x:c r="A15" s="57"/>
      <x:c r="B15" s="57"/>
      <x:c r="C15" s="57"/>
      <x:c r="D15" s="57"/>
      <x:c r="E15" s="57"/>
      <x:c r="F15" s="57"/>
      <x:c r="G15" s="57"/>
    </x:row>
    <x:row r="16">
      <x:c r="A16" s="57"/>
      <x:c r="B16" s="57"/>
      <x:c r="C16" s="57"/>
      <x:c r="D16" s="57"/>
      <x:c r="E16" s="57"/>
      <x:c r="F16" s="57"/>
      <x:c r="G16" s="57"/>
    </x:row>
    <x:row r="17">
      <x:c r="A17" s="54" t="str">
        <x:v>Mature total</x:v>
      </x:c>
      <x:c r="B17" s="58"/>
      <x:c r="C17" s="58"/>
      <x:c r="D17" s="58"/>
      <x:c r="E17" s="58"/>
      <x:c r="F17" s="58"/>
      <x:c r="G17" s="58"/>
    </x:row>
    <x:row r="18" ht="32" customHeight="1">
      <x:c r="A18" s="59" t="str">
        <x:v>Measure</x:v>
      </x:c>
      <x:c r="B18" s="60" t="str">
        <x:v>Value $B/year</x:v>
      </x:c>
      <x:c r="C18" s="60" t="str">
        <x:v>State</x:v>
      </x:c>
      <x:c r="D18" s="61" t="str">
        <x:v>Meaning</x:v>
      </x:c>
      <x:c r="E18" s="57"/>
      <x:c r="F18" s="57"/>
      <x:c r="G18" s="57"/>
    </x:row>
    <x:row r="19">
      <x:c r="A19" s="57" t="str">
        <x:v>Mature annual operating cost</x:v>
      </x:c>
      <x:c r="B19" s="115" t="n">
        <x:f>SUM(D5:D14)</x:f>
        <x:v>858.1531502075</x:v>
      </x:c>
      <x:c r="C19" s="85" t="str">
        <x:f>IF(B19&gt;0,"PASS","FAIL")</x:f>
        <x:v>PASS</x:v>
      </x:c>
      <x:c r="D19" s="57" t="str">
        <x:v>Excludes disaster reconstruction and host capital</x:v>
      </x:c>
      <x:c r="E19" s="57"/>
      <x:c r="F19" s="57"/>
      <x:c r="G19" s="57"/>
    </x:row>
    <x:row r="20">
      <x:c r="A20" s="57" t="str">
        <x:v>FY2026 DoD comparison</x:v>
      </x:c>
      <x:c r="B20" s="115" t="n">
        <x:f>Controls!B13</x:f>
        <x:v>961.6</x:v>
      </x:c>
      <x:c r="C20" s="85" t="str">
        <x:f>IF(B20&gt;0,"PASS","FAIL")</x:f>
        <x:v>PASS</x:v>
      </x:c>
      <x:c r="D20" s="57" t="str">
        <x:v>Then-year request; comparison only</x:v>
      </x:c>
      <x:c r="E20" s="57"/>
      <x:c r="F20" s="57"/>
      <x:c r="G20" s="57"/>
    </x:row>
    <x:row r="21">
      <x:c r="A21" s="57" t="str">
        <x:v>Operating ratio</x:v>
      </x:c>
      <x:c r="B21" s="97" t="n">
        <x:f>B19/B20</x:f>
        <x:v>0.8924221611974833</x:v>
      </x:c>
      <x:c r="C21" s="85" t="str">
        <x:f>IF(AND(B21&gt;0.75,B21&lt;1.25),"PASS","OPEN")</x:f>
        <x:v>PASS</x:v>
      </x:c>
      <x:c r="D21" s="57" t="str">
        <x:v>Mature Resilience O&amp;S divided by DoD total request</x:v>
      </x:c>
      <x:c r="E21" s="57"/>
      <x:c r="F21" s="57"/>
      <x:c r="G21" s="57"/>
    </x:row>
  </x:sheetData>
  <x:mergeCells>
    <x:mergeCell ref="A1:G1"/>
    <x:mergeCell ref="A2:G2"/>
  </x:mergeCells>
  <x:conditionalFormatting sqref="F5:F14">
    <x:cfRule type="containsText" dxfId="33" priority="1" operator="containsText" text="PASS"/>
    <x:cfRule type="containsText" dxfId="34" priority="2" operator="containsText" text="OPEN"/>
    <x:cfRule type="containsText" dxfId="35" priority="3" operator="containsText" text="FAIL"/>
    <x:cfRule type="containsText" dxfId="36" priority="4" operator="containsText" text="SHORT"/>
  </x:conditionalFormatting>
  <x:conditionalFormatting sqref="C19:C21">
    <x:cfRule type="containsText" dxfId="37" priority="5" operator="containsText" text="PASS"/>
    <x:cfRule type="containsText" dxfId="38" priority="6" operator="containsText" text="OPEN"/>
    <x:cfRule type="containsText" dxfId="39" priority="7" operator="containsText" text="FAIL"/>
    <x:cfRule type="containsText" dxfId="40" priority="8" operator="containsText" text="SHORT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0" hidden="0" customWidth="1"/>
    <x:col min="5" max="5" width="22" hidden="0" customWidth="1"/>
    <x:col min="6" max="6" width="58" hidden="0" customWidth="1"/>
  </x:cols>
  <x:sheetData>
    <x:row r="1" ht="24" customHeight="1">
      <x:c r="A1" s="50" t="str">
        <x:v>Fiscal Parity</x:v>
      </x:c>
      <x:c r="B1" s="56"/>
      <x:c r="C1" s="56"/>
      <x:c r="D1" s="56"/>
      <x:c r="E1" s="56"/>
      <x:c r="F1" s="56"/>
    </x:row>
    <x:row r="2" ht="24" customHeight="1">
      <x:c r="A2" s="52" t="str">
        <x:v>Parity is tested against one official annual defense request; it is not treated as a cost estimate or policy ceiling.</x:v>
      </x:c>
      <x:c r="B2" s="57"/>
      <x:c r="C2" s="57"/>
      <x:c r="D2" s="57"/>
      <x:c r="E2" s="57"/>
      <x:c r="F2" s="57"/>
    </x:row>
    <x:row r="3">
      <x:c r="A3" s="57"/>
      <x:c r="B3" s="57"/>
      <x:c r="C3" s="57"/>
      <x:c r="D3" s="57"/>
      <x:c r="E3" s="57"/>
      <x:c r="F3" s="57"/>
    </x:row>
    <x:row r="4" ht="32" customHeight="1">
      <x:c r="A4" s="59" t="str">
        <x:v>Measure</x:v>
      </x:c>
      <x:c r="B4" s="60" t="str">
        <x:v>Resilience $B</x:v>
      </x:c>
      <x:c r="C4" s="60" t="str">
        <x:v>DoD FY2026 $B</x:v>
      </x:c>
      <x:c r="D4" s="60" t="str">
        <x:v>Ratio</x:v>
      </x:c>
      <x:c r="E4" s="60" t="str">
        <x:v>State</x:v>
      </x:c>
      <x:c r="F4" s="61" t="str">
        <x:v>Interpretation</x:v>
      </x:c>
    </x:row>
    <x:row r="5">
      <x:c r="A5" s="76" t="str">
        <x:v>Mature annual operations</x:v>
      </x:c>
      <x:c r="B5" s="115" t="n">
        <x:f>'Operating Cost'!B19</x:f>
        <x:v>858.1531502075</x:v>
      </x:c>
      <x:c r="C5" s="115" t="n">
        <x:f>Controls!B13</x:f>
        <x:v>961.6</x:v>
      </x:c>
      <x:c r="D5" s="97" t="n">
        <x:f>B5/C5</x:f>
        <x:v>0.8924221611974833</x:v>
      </x:c>
      <x:c r="E5" s="85" t="str">
        <x:f>IF(AND(D5&gt;=0.75,D5&lt;=1.25),"PASS","OPEN")</x:f>
        <x:v>PASS</x:v>
      </x:c>
      <x:c r="F5" s="76" t="str">
        <x:v>Standing force after build</x:v>
      </x:c>
    </x:row>
    <x:row r="6">
      <x:c r="A6" s="57" t="str">
        <x:v>Average annual capital</x:v>
      </x:c>
      <x:c r="B6" s="115" t="n">
        <x:f>'Capital WBS'!C52/25</x:f>
        <x:v>481.9608</x:v>
      </x:c>
      <x:c r="C6" s="115" t="n">
        <x:f>Controls!B13</x:f>
        <x:v>961.6</x:v>
      </x:c>
      <x:c r="D6" s="97" t="n">
        <x:f>B6/C6</x:f>
        <x:v>0.5012071547420965</x:v>
      </x:c>
      <x:c r="E6" s="85" t="str">
        <x:f>IF(D6&gt;0,"PASS","FAIL")</x:f>
        <x:v>PASS</x:v>
      </x:c>
      <x:c r="F6" s="57" t="str">
        <x:v>Total capital divided by 25</x:v>
      </x:c>
    </x:row>
    <x:row r="7">
      <x:c r="A7" s="76" t="str">
        <x:v>Mature operation plus average capital</x:v>
      </x:c>
      <x:c r="B7" s="115" t="n">
        <x:f>B5+B6</x:f>
        <x:v>1340.1139502075</x:v>
      </x:c>
      <x:c r="C7" s="115" t="n">
        <x:f>Controls!B13</x:f>
        <x:v>961.6</x:v>
      </x:c>
      <x:c r="D7" s="97" t="n">
        <x:f>B7/C7</x:f>
        <x:v>1.3936293159395798</x:v>
      </x:c>
      <x:c r="E7" s="85" t="str">
        <x:f>IF(D7&lt;=1,"PASS","OPEN")</x:f>
        <x:v>OPEN</x:v>
      </x:c>
      <x:c r="F7" s="76" t="str">
        <x:v>Steady mature force while recapitalizing at build-equivalent rate</x:v>
      </x:c>
    </x:row>
    <x:row r="8">
      <x:c r="A8" s="57" t="str">
        <x:v>25-year average during buildup</x:v>
      </x:c>
      <x:c r="B8" s="115" t="n">
        <x:f>'Annual Resources'!B37</x:f>
        <x:v>1113.0123005365874</x:v>
      </x:c>
      <x:c r="C8" s="115" t="n">
        <x:f>Controls!B13</x:f>
        <x:v>961.6</x:v>
      </x:c>
      <x:c r="D8" s="97" t="n">
        <x:f>B8/C8</x:f>
        <x:v>1.157458715200278</x:v>
      </x:c>
      <x:c r="E8" s="85" t="str">
        <x:f>IF(D8&lt;=1,"PASS","OPEN")</x:f>
        <x:v>OPEN</x:v>
      </x:c>
      <x:c r="F8" s="57" t="str">
        <x:v>Capital plus ramped operating cost</x:v>
      </x:c>
    </x:row>
    <x:row r="9">
      <x:c r="A9" s="76" t="str">
        <x:v>Peak build-and-operate year</x:v>
      </x:c>
      <x:c r="B9" s="115" t="n">
        <x:f>'Annual Resources'!B38</x:f>
        <x:v>1464.2460181909</x:v>
      </x:c>
      <x:c r="C9" s="115" t="n">
        <x:f>Controls!B13</x:f>
        <x:v>961.6</x:v>
      </x:c>
      <x:c r="D9" s="97" t="n">
        <x:f>B9/C9</x:f>
        <x:v>1.5227184049406197</x:v>
      </x:c>
      <x:c r="E9" s="85" t="str">
        <x:f>IF(D9&lt;=1,"PASS","OPEN")</x:f>
        <x:v>OPEN</x:v>
      </x:c>
      <x:c r="F9" s="76" t="str">
        <x:v>Maximum annual reference profile</x:v>
      </x:c>
    </x:row>
    <x:row r="10">
      <x:c r="A10" s="57" t="str">
        <x:v>Strict parity funding gap at peak</x:v>
      </x:c>
      <x:c r="B10" s="115" t="n">
        <x:f>B9-C10</x:f>
        <x:v>502.6460181909</x:v>
      </x:c>
      <x:c r="C10" s="115" t="n">
        <x:f>Controls!B13</x:f>
        <x:v>961.6</x:v>
      </x:c>
      <x:c r="D10" s="97" t="n">
        <x:f>B10/C10</x:f>
        <x:v>0.5227184049406198</x:v>
      </x:c>
      <x:c r="E10" s="85" t="str">
        <x:f>IF(B10&lt;=0,"PASS","OPEN")</x:f>
        <x:v>OPEN</x:v>
      </x:c>
      <x:c r="F10" s="57" t="str">
        <x:v>Amount above one FY2026 DoD topline</x:v>
      </x:c>
    </x:row>
    <x:row r="11">
      <x:c r="A11" s="57"/>
      <x:c r="B11" s="57"/>
      <x:c r="C11" s="57"/>
      <x:c r="D11" s="57"/>
      <x:c r="E11" s="57"/>
      <x:c r="F11" s="57"/>
    </x:row>
    <x:row r="12">
      <x:c r="A12" s="57"/>
      <x:c r="B12" s="57"/>
      <x:c r="C12" s="57"/>
      <x:c r="D12" s="57"/>
      <x:c r="E12" s="57"/>
      <x:c r="F12" s="57"/>
    </x:row>
    <x:row r="13">
      <x:c r="A13" s="54" t="str">
        <x:v>Interpretive rule</x:v>
      </x:c>
      <x:c r="B13" s="58"/>
      <x:c r="C13" s="58"/>
      <x:c r="D13" s="58"/>
      <x:c r="E13" s="58"/>
      <x:c r="F13" s="58"/>
    </x:row>
    <x:row r="14">
      <x:c r="A14" s="57" t="str">
        <x:v>Parity comparison</x:v>
      </x:c>
      <x:c r="B14" s="57" t="str">
        <x:v>The FY2026 DoD request is a then-year political and accounting object. The Resilience model is in real 2026 dollars and contains provisional capital and O&amp;S boundaries.</x:v>
      </x:c>
      <x:c r="C14" s="57"/>
      <x:c r="D14" s="57"/>
      <x:c r="E14" s="57"/>
      <x:c r="F14" s="57"/>
    </x:row>
    <x:row r="15">
      <x:c r="A15" s="57" t="str">
        <x:v>Decision use</x:v>
      </x:c>
      <x:c r="B15" s="57" t="str">
        <x:v>A ratio near one demonstrates institutional seriousness. It does not prove affordability, optimality, benefit or equal accounting treatment.</x:v>
      </x:c>
      <x:c r="C15" s="57"/>
      <x:c r="D15" s="57"/>
      <x:c r="E15" s="57"/>
      <x:c r="F15" s="57"/>
    </x:row>
    <x:row r="16">
      <x:c r="A16" s="57" t="str">
        <x:v>Reference implication</x:v>
      </x:c>
      <x:c r="B16" s="57" t="str">
        <x:v>The mature operating force approaches defense scale before capital. Building the force in 25 years produces years above the single-year parity line.</x:v>
      </x:c>
      <x:c r="C16" s="57"/>
      <x:c r="D16" s="57"/>
      <x:c r="E16" s="57"/>
      <x:c r="F16" s="57"/>
    </x:row>
  </x:sheetData>
  <x:mergeCells>
    <x:mergeCell ref="A1:F1"/>
    <x:mergeCell ref="A2:F2"/>
  </x:mergeCells>
  <x:conditionalFormatting sqref="E5:E10">
    <x:cfRule type="containsText" dxfId="45" priority="1" operator="containsText" text="PASS"/>
    <x:cfRule type="containsText" dxfId="46" priority="2" operator="containsText" text="OPEN"/>
    <x:cfRule type="containsText" dxfId="47" priority="3" operator="containsText" text="FAIL"/>
    <x:cfRule type="containsText" dxfId="48" priority="4" operator="containsText" text="SHORT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6" hidden="0" customWidth="1"/>
    <x:col min="3" max="3" width="40" hidden="0" customWidth="1"/>
    <x:col min="4" max="4" width="40" hidden="0" customWidth="1"/>
    <x:col min="5" max="5" width="18" hidden="0" customWidth="1"/>
    <x:col min="6" max="6" width="18" hidden="0" customWidth="1"/>
  </x:cols>
  <x:sheetData>
    <x:row r="1" ht="24" customHeight="1">
      <x:c r="A1" s="50" t="str">
        <x:v>Double-Count Control</x:v>
      </x:c>
      <x:c r="B1" s="56"/>
      <x:c r="C1" s="56"/>
      <x:c r="D1" s="56"/>
      <x:c r="E1" s="56"/>
      <x:c r="F1" s="56"/>
    </x:row>
    <x:row r="2" ht="24" customHeight="1">
      <x:c r="A2" s="52" t="str">
        <x:v>Every major cost and formation family must name one authoritative work-breakdown owner.</x:v>
      </x:c>
      <x:c r="B2" s="57"/>
      <x:c r="C2" s="57"/>
      <x:c r="D2" s="57"/>
      <x:c r="E2" s="57"/>
      <x:c r="F2" s="57"/>
    </x:row>
    <x:row r="3">
      <x:c r="A3" s="57"/>
      <x:c r="B3" s="57"/>
      <x:c r="C3" s="57"/>
      <x:c r="D3" s="57"/>
      <x:c r="E3" s="57"/>
      <x:c r="F3" s="57"/>
    </x:row>
    <x:row r="4" ht="32" customHeight="1">
      <x:c r="A4" s="59" t="str">
        <x:v>Capability / cost</x:v>
      </x:c>
      <x:c r="B4" s="60" t="str">
        <x:v>Authoritative owner</x:v>
      </x:c>
      <x:c r="C4" s="60" t="str">
        <x:v>Included here</x:v>
      </x:c>
      <x:c r="D4" s="60" t="str">
        <x:v>Excluded here</x:v>
      </x:c>
      <x:c r="E4" s="60" t="str">
        <x:v>State</x:v>
      </x:c>
      <x:c r="F4" s="61" t="str">
        <x:v>Next reconciliation</x:v>
      </x:c>
    </x:row>
    <x:row r="5">
      <x:c r="A5" s="76" t="str">
        <x:v>Utility anchors, firm-energy cores, water process and utility corridors</x:v>
      </x:c>
      <x:c r="B5" s="76" t="str">
        <x:v>NUPS integrated program</x:v>
      </x:c>
      <x:c r="C5" s="76" t="str">
        <x:v>Capital $1.698T and billets 198,198</x:v>
      </x:c>
      <x:c r="D5" s="76" t="str">
        <x:v>I-UPG formation capital and direct billets</x:v>
      </x:c>
      <x:c r="E5" s="76" t="str">
        <x:v>PASS</x:v>
      </x:c>
      <x:c r="F5" s="76" t="str">
        <x:v>Map all NUPS asset families to campaign UPG equivalents</x:v>
      </x:c>
    </x:row>
    <x:row r="6">
      <x:c r="A6" s="57" t="str">
        <x:v>Non-utility route opening and temporary works</x:v>
      </x:c>
      <x:c r="B6" s="57" t="str">
        <x:v>Land Engineering formation lines</x:v>
      </x:c>
      <x:c r="C6" s="57" t="str">
        <x:v>Selected inventories and unit capital</x:v>
      </x:c>
      <x:c r="D6" s="57" t="str">
        <x:v>Utility-specific corridor groups</x:v>
      </x:c>
      <x:c r="E6" s="57" t="str">
        <x:v>PASS</x:v>
      </x:c>
      <x:c r="F6" s="57" t="str">
        <x:v>Allocate joint crossing kits by mission thread</x:v>
      </x:c>
    </x:row>
    <x:row r="7">
      <x:c r="A7" s="76" t="str">
        <x:v>Fire aircraft and ground fire</x:v>
      </x:c>
      <x:c r="B7" s="76" t="str">
        <x:v>Hazard-control formation lines</x:v>
      </x:c>
      <x:c r="C7" s="76" t="str">
        <x:v>A-AHW and L-GFG</x:v>
      </x:c>
      <x:c r="D7" s="76" t="str">
        <x:v>Fire RDT&amp;E exploration envelope</x:v>
      </x:c>
      <x:c r="E7" s="76" t="str">
        <x:v>PASS</x:v>
      </x:c>
      <x:c r="F7" s="76" t="str">
        <x:v>Replace unit capital with configuration costs</x:v>
      </x:c>
    </x:row>
    <x:row r="8">
      <x:c r="A8" s="57" t="str">
        <x:v>Flood pumping, debris and hydraulic control</x:v>
      </x:c>
      <x:c r="B8" s="57" t="str">
        <x:v>Hazard-control formation lines</x:v>
      </x:c>
      <x:c r="C8" s="57" t="str">
        <x:v>L-HCG and L-DMG</x:v>
      </x:c>
      <x:c r="D8" s="57" t="str">
        <x:v>Flood $1T exploration envelope</x:v>
      </x:c>
      <x:c r="E8" s="57" t="str">
        <x:v>PASS</x:v>
      </x:c>
      <x:c r="F8" s="57" t="str">
        <x:v>Map FIN/HCG configurations to formation increments</x:v>
      </x:c>
    </x:row>
    <x:row r="9">
      <x:c r="A9" s="76" t="str">
        <x:v>Strategic air and maritime lift</x:v>
      </x:c>
      <x:c r="B9" s="76" t="str">
        <x:v>Mobility formation lines</x:v>
      </x:c>
      <x:c r="C9" s="76" t="str">
        <x:v>A-SMW and M-SSG acquisition</x:v>
      </x:c>
      <x:c r="D9" s="76" t="str">
        <x:v>DoD lift and uncontracted commercial capacity</x:v>
      </x:c>
      <x:c r="E9" s="76" t="str">
        <x:v>PASS</x:v>
      </x:c>
      <x:c r="F9" s="76" t="str">
        <x:v>Build item-level load and fleet-cycle model</x:v>
      </x:c>
    </x:row>
    <x:row r="10">
      <x:c r="A10" s="57" t="str">
        <x:v>Theater opening and reception</x:v>
      </x:c>
      <x:c r="B10" s="57" t="str">
        <x:v>J-TOC plus port/air access formations</x:v>
      </x:c>
      <x:c r="C10" s="57" t="str">
        <x:v>Command and access increments</x:v>
      </x:c>
      <x:c r="D10" s="57" t="str">
        <x:v>Host reception assumed free</x:v>
      </x:c>
      <x:c r="E10" s="57" t="str">
        <x:v>PASS</x:v>
      </x:c>
      <x:c r="F10" s="57" t="str">
        <x:v>Reconcile site and carrier-owned handling systems</x:v>
      </x:c>
    </x:row>
    <x:row r="11">
      <x:c r="A11" s="76" t="str">
        <x:v>Health and patient movement</x:v>
      </x:c>
      <x:c r="B11" s="76" t="str">
        <x:v>Health and aeromedical lines</x:v>
      </x:c>
      <x:c r="C11" s="76" t="str">
        <x:v>Formation acquisition and workforce</x:v>
      </x:c>
      <x:c r="D11" s="76" t="str">
        <x:v>Future hospital-platform programs</x:v>
      </x:c>
      <x:c r="E11" s="76" t="str">
        <x:v>PASS</x:v>
      </x:c>
      <x:c r="F11" s="76" t="str">
        <x:v>Build acuity and care-path configuration model</x:v>
      </x:c>
    </x:row>
    <x:row r="12">
      <x:c r="A12" s="57" t="str">
        <x:v>Community support and goods</x:v>
      </x:c>
      <x:c r="B12" s="57" t="str">
        <x:v>Community formation lines</x:v>
      </x:c>
      <x:c r="C12" s="57" t="str">
        <x:v>Formation acquisition and workforce</x:v>
      </x:c>
      <x:c r="D12" s="57" t="str">
        <x:v>Disaster commodity purchases after activation</x:v>
      </x:c>
      <x:c r="E12" s="57" t="str">
        <x:v>PASS</x:v>
      </x:c>
      <x:c r="F12" s="57" t="str">
        <x:v>Build person-day and supply-chain model</x:v>
      </x:c>
    </x:row>
    <x:row r="13">
      <x:c r="A13" s="76" t="str">
        <x:v>Common proving network</x:v>
      </x:c>
      <x:c r="B13" s="76" t="str">
        <x:v>Capital WBS 3.2</x:v>
      </x:c>
      <x:c r="C13" s="76" t="str">
        <x:v>Net science/proving line outside NUPS</x:v>
      </x:c>
      <x:c r="D13" s="76" t="str">
        <x:v>NUPS-specific test allocation</x:v>
      </x:c>
      <x:c r="E13" s="76" t="str">
        <x:v>OPEN</x:v>
      </x:c>
      <x:c r="F13" s="76" t="str">
        <x:v>Reconcile with Pass 16 and Pass 18 work breakdowns</x:v>
      </x:c>
    </x:row>
    <x:row r="14">
      <x:c r="A14" s="57" t="str">
        <x:v>Information and forecast enterprise</x:v>
      </x:c>
      <x:c r="B14" s="57" t="str">
        <x:v>Capital WBS 3.4 plus I-CUG/A-SRG</x:v>
      </x:c>
      <x:c r="C14" s="57" t="str">
        <x:v>Common infrastructure plus deployable formations</x:v>
      </x:c>
      <x:c r="D14" s="57" t="str">
        <x:v>Embedded platform controls</x:v>
      </x:c>
      <x:c r="E14" s="57" t="str">
        <x:v>OPEN</x:v>
      </x:c>
      <x:c r="F14" s="57" t="str">
        <x:v>Create technical allocation dictionary</x:v>
      </x:c>
    </x:row>
    <x:row r="15">
      <x:c r="A15" s="76" t="str">
        <x:v>Institutional workforce</x:v>
      </x:c>
      <x:c r="B15" s="76" t="str">
        <x:v>12% non-NUPS overhead plus formation headquarters</x:v>
      </x:c>
      <x:c r="C15" s="76" t="str">
        <x:v>Schools, safety, acquisition and depots</x:v>
      </x:c>
      <x:c r="D15" s="76" t="str">
        <x:v>NUPS institutional billets</x:v>
      </x:c>
      <x:c r="E15" s="76" t="str">
        <x:v>OPEN</x:v>
      </x:c>
      <x:c r="F15" s="76" t="str">
        <x:v>Occupation-level table and home-base minimum staffing</x:v>
      </x:c>
    </x:row>
    <x:row r="16">
      <x:c r="A16" s="57" t="str">
        <x:v>Industrial workforce</x:v>
      </x:c>
      <x:c r="B16" s="57" t="str">
        <x:v>Certified-industry billet-equivalents and capital line</x:v>
      </x:c>
      <x:c r="C16" s="57" t="str">
        <x:v>Readiness labor and tooling</x:v>
      </x:c>
      <x:c r="D16" s="57" t="str">
        <x:v>Ordinary commercial production</x:v>
      </x:c>
      <x:c r="E16" s="57" t="str">
        <x:v>OPEN</x:v>
      </x:c>
      <x:c r="F16" s="57" t="str">
        <x:v>Specify contracts, activation and ownership</x:v>
      </x:c>
    </x:row>
    <x:row r="17">
      <x:c r="A17" s="76" t="str">
        <x:v>Program reserve</x:v>
      </x:c>
      <x:c r="B17" s="76" t="str">
        <x:v>Capital WBS 4.2</x:v>
      </x:c>
      <x:c r="C17" s="76" t="str">
        <x:v>20% of pre-reserve total</x:v>
      </x:c>
      <x:c r="D17" s="76" t="str">
        <x:v>Unit-level risk already embedded</x:v>
      </x:c>
      <x:c r="E17" s="76" t="str">
        <x:v>OPEN</x:v>
      </x:c>
      <x:c r="F17" s="76" t="str">
        <x:v>Independent cost-risk analysis</x:v>
      </x:c>
    </x:row>
  </x:sheetData>
  <x:mergeCells>
    <x:mergeCell ref="A1:F1"/>
    <x:mergeCell ref="A2:F2"/>
  </x:mergeCells>
  <x:conditionalFormatting sqref="E5:E17">
    <x:cfRule type="containsText" dxfId="49" priority="1" operator="containsText" text="PASS"/>
    <x:cfRule type="containsText" dxfId="50" priority="2" operator="containsText" text="OPEN"/>
    <x:cfRule type="containsText" dxfId="51" priority="3" operator="containsText" text="FAIL"/>
    <x:cfRule type="containsText" dxfId="52" priority="4" operator="containsText" text="SHORT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48" hidden="0" customWidth="1"/>
    <x:col min="4" max="4" width="28" hidden="0" customWidth="1"/>
    <x:col min="5" max="5" width="18" hidden="0" customWidth="1"/>
  </x:cols>
  <x:sheetData>
    <x:row r="1" ht="24" customHeight="1">
      <x:c r="A1" s="50" t="str">
        <x:v>Failure Modes</x:v>
      </x:c>
      <x:c r="B1" s="56"/>
      <x:c r="C1" s="56"/>
      <x:c r="D1" s="56"/>
      <x:c r="E1" s="56"/>
    </x:row>
    <x:row r="2" ht="24" customHeight="1">
      <x:c r="A2" s="52" t="str">
        <x:v>The force-management system must fail visibly and preserve bounded service.</x:v>
      </x:c>
      <x:c r="B2" s="57"/>
      <x:c r="C2" s="57"/>
      <x:c r="D2" s="57"/>
      <x:c r="E2" s="57"/>
    </x:row>
    <x:row r="3">
      <x:c r="A3" s="57"/>
      <x:c r="B3" s="57"/>
      <x:c r="C3" s="57"/>
      <x:c r="D3" s="57"/>
      <x:c r="E3" s="57"/>
    </x:row>
    <x:row r="4" ht="32" customHeight="1">
      <x:c r="A4" s="59" t="str">
        <x:v>Failure</x:v>
      </x:c>
      <x:c r="B4" s="60" t="str">
        <x:v>Bounded state</x:v>
      </x:c>
      <x:c r="C4" s="60" t="str">
        <x:v>Design consequence</x:v>
      </x:c>
      <x:c r="D4" s="60" t="str">
        <x:v>Owner</x:v>
      </x:c>
      <x:c r="E4" s="61" t="str">
        <x:v>Evidence</x:v>
      </x:c>
    </x:row>
    <x:row r="5">
      <x:c r="A5" s="76" t="str">
        <x:v>Same formation allocated twice</x:v>
      </x:c>
      <x:c r="B5" s="76" t="str">
        <x:v>Second allocation rejected</x:v>
      </x:c>
      <x:c r="C5" s="76" t="str">
        <x:v>One authoritative allocation ledger and unit identity</x:v>
      </x:c>
      <x:c r="D5" s="76" t="str">
        <x:v>Joint Force Coordinator</x:v>
      </x:c>
      <x:c r="E5" s="76" t="str">
        <x:v>OPEN</x:v>
      </x:c>
    </x:row>
    <x:row r="6">
      <x:c r="A6" s="57" t="str">
        <x:v>Personnel exist only as individual augmentees</x:v>
      </x:c>
      <x:c r="B6" s="57" t="str">
        <x:v>Incomplete package not certified</x:v>
      </x:c>
      <x:c r="C6" s="57" t="str">
        <x:v>Whole formations and standing headquarters are the default</x:v>
      </x:c>
      <x:c r="D6" s="57" t="str">
        <x:v>Services</x:v>
      </x:c>
      <x:c r="E6" s="57" t="str">
        <x:v>OPEN</x:v>
      </x:c>
    </x:row>
    <x:row r="7">
      <x:c r="A7" s="76" t="str">
        <x:v>Home base hollowed by deployment</x:v>
      </x:c>
      <x:c r="B7" s="76" t="str">
        <x:v>Minimum garrison function retained</x:v>
      </x:c>
      <x:c r="C7" s="76" t="str">
        <x:v>Deployable and institutional staffing are separately measured</x:v>
      </x:c>
      <x:c r="D7" s="76" t="str">
        <x:v>Services</x:v>
      </x:c>
      <x:c r="E7" s="76" t="str">
        <x:v>OPEN</x:v>
      </x:c>
    </x:row>
    <x:row r="8">
      <x:c r="A8" s="57" t="str">
        <x:v>Strategic lift unavailable</x:v>
      </x:c>
      <x:c r="B8" s="57" t="str">
        <x:v>Lower-priority movement delayed transparently</x:v>
      </x:c>
      <x:c r="C8" s="57" t="str">
        <x:v>Department owns a mobility floor and names commercial credit</x:v>
      </x:c>
      <x:c r="D8" s="57" t="str">
        <x:v>Mobility Command</x:v>
      </x:c>
      <x:c r="E8" s="57" t="str">
        <x:v>OPEN</x:v>
      </x:c>
    </x:row>
    <x:row r="9">
      <x:c r="A9" s="76" t="str">
        <x:v>Reception node fails</x:v>
      </x:c>
      <x:c r="B9" s="76" t="str">
        <x:v>Alternate node and smaller entry package activate</x:v>
      </x:c>
      <x:c r="C9" s="76" t="str">
        <x:v>Theater opening is a standing formation and network</x:v>
      </x:c>
      <x:c r="D9" s="76" t="str">
        <x:v>Geographic command</x:v>
      </x:c>
      <x:c r="E9" s="76" t="str">
        <x:v>OPEN</x:v>
      </x:c>
    </x:row>
    <x:row r="10">
      <x:c r="A10" s="57" t="str">
        <x:v>Sustainment signal exceeds corridor</x:v>
      </x:c>
      <x:c r="B10" s="57" t="str">
        <x:v>Public effect reduced before stocks exhaust</x:v>
      </x:c>
      <x:c r="C10" s="57" t="str">
        <x:v>Daily consumption and return flow control deployment</x:v>
      </x:c>
      <x:c r="D10" s="57" t="str">
        <x:v>Sustainment Command</x:v>
      </x:c>
      <x:c r="E10" s="57" t="str">
        <x:v>OPEN</x:v>
      </x:c>
    </x:row>
    <x:row r="11">
      <x:c r="A11" s="76" t="str">
        <x:v>Reserve mobilization slower than plan</x:v>
      </x:c>
      <x:c r="B11" s="76" t="str">
        <x:v>Active/state bridge holds bounded early service</x:v>
      </x:c>
      <x:c r="C11" s="76" t="str">
        <x:v>Component credit varies by readiness band</x:v>
      </x:c>
      <x:c r="D11" s="76" t="str">
        <x:v>Services + civil authorities</x:v>
      </x:c>
      <x:c r="E11" s="76" t="str">
        <x:v>OPEN</x:v>
      </x:c>
    </x:row>
    <x:row r="12">
      <x:c r="A12" s="57" t="str">
        <x:v>State formation required globally</x:v>
      </x:c>
      <x:c r="B12" s="57" t="str">
        <x:v>No global credit assigned</x:v>
      </x:c>
      <x:c r="C12" s="57" t="str">
        <x:v>International force is sourced from eligible components</x:v>
      </x:c>
      <x:c r="D12" s="57" t="str">
        <x:v>Allocator</x:v>
      </x:c>
      <x:c r="E12" s="57" t="str">
        <x:v>OPEN</x:v>
      </x:c>
    </x:row>
    <x:row r="13">
      <x:c r="A13" s="76" t="str">
        <x:v>Industrial partner declines or is damaged</x:v>
      </x:c>
      <x:c r="B13" s="76" t="str">
        <x:v>Sovereign fallback and alternate supplier activate</x:v>
      </x:c>
      <x:c r="C13" s="76" t="str">
        <x:v>Contracts and capacity are not equipment inventory</x:v>
      </x:c>
      <x:c r="D13" s="76" t="str">
        <x:v>Industrial Command</x:v>
      </x:c>
      <x:c r="E13" s="76" t="str">
        <x:v>OPEN</x:v>
      </x:c>
    </x:row>
    <x:row r="14">
      <x:c r="A14" s="57" t="str">
        <x:v>Technical authority rejects operation</x:v>
      </x:c>
      <x:c r="B14" s="57" t="str">
        <x:v>System remains safe; service claim falls</x:v>
      </x:c>
      <x:c r="C14" s="57" t="str">
        <x:v>Stop decisions cannot be overridden by allocation pressure</x:v>
      </x:c>
      <x:c r="D14" s="57" t="str">
        <x:v>Technical authorities</x:v>
      </x:c>
      <x:c r="E14" s="57" t="str">
        <x:v>OPEN</x:v>
      </x:c>
    </x:row>
    <x:row r="15">
      <x:c r="A15" s="76" t="str">
        <x:v>First campaign exhausts replacements</x:v>
      </x:c>
      <x:c r="B15" s="76" t="str">
        <x:v>Later commitment is denied or mission reduced</x:v>
      </x:c>
      <x:c r="C15" s="76" t="str">
        <x:v>Rotation and reconstitution are part of inventory</x:v>
      </x:c>
      <x:c r="D15" s="76" t="str">
        <x:v>Chief of Resilience Staff</x:v>
      </x:c>
      <x:c r="E15" s="76" t="str">
        <x:v>OPEN</x:v>
      </x:c>
    </x:row>
    <x:row r="16">
      <x:c r="A16" s="57" t="str">
        <x:v>Cost envelope binds</x:v>
      </x:c>
      <x:c r="B16" s="57" t="str">
        <x:v>Concurrency, pathway or timing changes openly</x:v>
      </x:c>
      <x:c r="C16" s="57" t="str">
        <x:v>Budget ceiling cannot be hidden through incomplete packages</x:v>
      </x:c>
      <x:c r="D16" s="57" t="str">
        <x:v>Secretary + independent cost</x:v>
      </x:c>
      <x:c r="E16" s="57" t="str">
        <x:v>OPEN</x:v>
      </x:c>
    </x:row>
    <x:row r="17">
      <x:c r="A17" s="76" t="str">
        <x:v>Partner capacity withdrawn</x:v>
      </x:c>
      <x:c r="B17" s="76" t="str">
        <x:v>U.S. global promise derates</x:v>
      </x:c>
      <x:c r="C17" s="76" t="str">
        <x:v>Partner credit is separate from sovereign reserve</x:v>
      </x:c>
      <x:c r="D17" s="76" t="str">
        <x:v>Global Resilience Command</x:v>
      </x:c>
      <x:c r="E17" s="76" t="str">
        <x:v>OPEN</x:v>
      </x:c>
    </x:row>
    <x:row r="18">
      <x:c r="A18" s="57" t="str">
        <x:v>Workbook coefficient mistaken for doctrine</x:v>
      </x:c>
      <x:c r="B18" s="57" t="str">
        <x:v>No readiness credit granted</x:v>
      </x:c>
      <x:c r="C18" s="57" t="str">
        <x:v>Every coefficient needs exercise or engineering evidence</x:v>
      </x:c>
      <x:c r="D18" s="57" t="str">
        <x:v>Independent test authority</x:v>
      </x:c>
      <x:c r="E18" s="57" t="str">
        <x:v>OPEN</x:v>
      </x:c>
    </x:row>
  </x:sheetData>
  <x:mergeCells>
    <x:mergeCell ref="A1:E1"/>
    <x:mergeCell ref="A2:E2"/>
  </x:mergeCells>
  <x:conditionalFormatting sqref="E5:E18">
    <x:cfRule type="containsText" dxfId="53" priority="1" operator="containsText" text="PASS"/>
    <x:cfRule type="containsText" dxfId="54" priority="2" operator="containsText" text="OPEN"/>
    <x:cfRule type="containsText" dxfId="55" priority="3" operator="containsText" text="FAIL"/>
    <x:cfRule type="containsText" dxfId="56" priority="4" operator="containsText" text="SHORT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48" hidden="0" customWidth="1"/>
    <x:col min="4" max="4" width="48" hidden="0" customWidth="1"/>
    <x:col min="5" max="5" width="18" hidden="0" customWidth="1"/>
    <x:col min="6" max="6" width="18" hidden="0" customWidth="1"/>
  </x:cols>
  <x:sheetData>
    <x:row r="1" ht="24" customHeight="1">
      <x:c r="A1" s="50" t="str">
        <x:v>Evidence Gates</x:v>
      </x:c>
      <x:c r="B1" s="56"/>
      <x:c r="C1" s="56"/>
      <x:c r="D1" s="56"/>
      <x:c r="E1" s="56"/>
      <x:c r="F1" s="56"/>
    </x:row>
    <x:row r="2" ht="24" customHeight="1">
      <x:c r="A2" s="52" t="str">
        <x:v>No formation inventory, budget or rendering is authorized by arithmetic closure.</x:v>
      </x:c>
      <x:c r="B2" s="57"/>
      <x:c r="C2" s="57"/>
      <x:c r="D2" s="57"/>
      <x:c r="E2" s="57"/>
      <x:c r="F2" s="57"/>
    </x:row>
    <x:row r="3">
      <x:c r="A3" s="57"/>
      <x:c r="B3" s="57"/>
      <x:c r="C3" s="57"/>
      <x:c r="D3" s="57"/>
      <x:c r="E3" s="57"/>
      <x:c r="F3" s="57"/>
    </x:row>
    <x:row r="4" ht="32" customHeight="1">
      <x:c r="A4" s="59" t="str">
        <x:v>ID</x:v>
      </x:c>
      <x:c r="B4" s="60" t="str">
        <x:v>Gate</x:v>
      </x:c>
      <x:c r="C4" s="60" t="str">
        <x:v>Closure evidence</x:v>
      </x:c>
      <x:c r="D4" s="60" t="str">
        <x:v>Hold condition</x:v>
      </x:c>
      <x:c r="E4" s="60" t="str">
        <x:v>State</x:v>
      </x:c>
      <x:c r="F4" s="61" t="str">
        <x:v>Blocks rendering</x:v>
      </x:c>
    </x:row>
    <x:row r="5">
      <x:c r="A5" s="76" t="str">
        <x:v>G01</x:v>
      </x:c>
      <x:c r="B5" s="76" t="str">
        <x:v>Campaign demand vectors</x:v>
      </x:c>
      <x:c r="C5" s="76" t="str">
        <x:v>Time-phased public-service deficits for all ten campaigns</x:v>
      </x:c>
      <x:c r="D5" s="76" t="str">
        <x:v>Package coefficients remain expert assumptions</x:v>
      </x:c>
      <x:c r="E5" s="76" t="str">
        <x:v>OPEN</x:v>
      </x:c>
      <x:c r="F5" s="76" t="str">
        <x:v>YES</x:v>
      </x:c>
    </x:row>
    <x:row r="6">
      <x:c r="A6" s="57" t="str">
        <x:v>G02</x:v>
      </x:c>
      <x:c r="B6" s="57" t="str">
        <x:v>Formation capability records</x:v>
      </x:c>
      <x:c r="C6" s="57" t="str">
        <x:v>Effect, capacity, time, inputs, outputs, footprint, endurance and transfer</x:v>
      </x:c>
      <x:c r="D6" s="57" t="str">
        <x:v>Name exists without a complete operational thread</x:v>
      </x:c>
      <x:c r="E6" s="57" t="str">
        <x:v>OPEN</x:v>
      </x:c>
      <x:c r="F6" s="57" t="str">
        <x:v>YES</x:v>
      </x:c>
    </x:row>
    <x:row r="7">
      <x:c r="A7" s="76" t="str">
        <x:v>G03</x:v>
      </x:c>
      <x:c r="B7" s="76" t="str">
        <x:v>Formation configuration evidence</x:v>
      </x:c>
      <x:c r="C7" s="76" t="str">
        <x:v>Representative people, equipment, movement and sustainment manifest</x:v>
      </x:c>
      <x:c r="D7" s="76" t="str">
        <x:v>Crew or unit cost is a top-down placeholder</x:v>
      </x:c>
      <x:c r="E7" s="76" t="str">
        <x:v>OPEN</x:v>
      </x:c>
      <x:c r="F7" s="76" t="str">
        <x:v>YES</x:v>
      </x:c>
    </x:row>
    <x:row r="8">
      <x:c r="A8" s="57" t="str">
        <x:v>G04</x:v>
      </x:c>
      <x:c r="B8" s="57" t="str">
        <x:v>Joint allocation simulation</x:v>
      </x:c>
      <x:c r="C8" s="57" t="str">
        <x:v>Two unfamiliar campaigns sourced without duplicate units</x:v>
      </x:c>
      <x:c r="D8" s="57" t="str">
        <x:v>Ledger logic has not been exercised against live unit records</x:v>
      </x:c>
      <x:c r="E8" s="57" t="str">
        <x:v>OPEN</x:v>
      </x:c>
      <x:c r="F8" s="57" t="str">
        <x:v>YES</x:v>
      </x:c>
    </x:row>
    <x:row r="9">
      <x:c r="A9" s="76" t="str">
        <x:v>G05</x:v>
      </x:c>
      <x:c r="B9" s="76" t="str">
        <x:v>Correlated readiness model</x:v>
      </x:c>
      <x:c r="C9" s="76" t="str">
        <x:v>Personnel, equipment, base, supplier and network dependence</x:v>
      </x:c>
      <x:c r="D9" s="76" t="str">
        <x:v>Minimum capacity fractions treated as independent truth</x:v>
      </x:c>
      <x:c r="E9" s="76" t="str">
        <x:v>OPEN</x:v>
      </x:c>
      <x:c r="F9" s="76" t="str">
        <x:v>YES</x:v>
      </x:c>
    </x:row>
    <x:row r="10">
      <x:c r="A10" s="57" t="str">
        <x:v>G06</x:v>
      </x:c>
      <x:c r="B10" s="57" t="str">
        <x:v>Component mobilization</x:v>
      </x:c>
      <x:c r="C10" s="57" t="str">
        <x:v>Measured alert, credential, transport and employer release by component</x:v>
      </x:c>
      <x:c r="D10" s="57" t="str">
        <x:v>Credit factors remain policy assumptions</x:v>
      </x:c>
      <x:c r="E10" s="57" t="str">
        <x:v>OPEN</x:v>
      </x:c>
      <x:c r="F10" s="57" t="str">
        <x:v>YES</x:v>
      </x:c>
    </x:row>
    <x:row r="11">
      <x:c r="A11" s="76" t="str">
        <x:v>G07</x:v>
      </x:c>
      <x:c r="B11" s="76" t="str">
        <x:v>Global eligibility and access</x:v>
      </x:c>
      <x:c r="C11" s="76" t="str">
        <x:v>Partner, customs, licensing, liability and host agreements</x:v>
      </x:c>
      <x:c r="D11" s="76" t="str">
        <x:v>International package assumes sovereign access</x:v>
      </x:c>
      <x:c r="E11" s="76" t="str">
        <x:v>OPEN</x:v>
      </x:c>
      <x:c r="F11" s="76" t="str">
        <x:v>YES</x:v>
      </x:c>
    </x:row>
    <x:row r="12">
      <x:c r="A12" s="57" t="str">
        <x:v>G08</x:v>
      </x:c>
      <x:c r="B12" s="57" t="str">
        <x:v>Home-base minimum staffing</x:v>
      </x:c>
      <x:c r="C12" s="57" t="str">
        <x:v>Every generating installation retains critical operation while deploying</x:v>
      </x:c>
      <x:c r="D12" s="57" t="str">
        <x:v>Institutional overhead is a percentage</x:v>
      </x:c>
      <x:c r="E12" s="57" t="str">
        <x:v>OPEN</x:v>
      </x:c>
      <x:c r="F12" s="57" t="str">
        <x:v>YES</x:v>
      </x:c>
    </x:row>
    <x:row r="13">
      <x:c r="A13" s="76" t="str">
        <x:v>G09</x:v>
      </x:c>
      <x:c r="B13" s="76" t="str">
        <x:v>Occupation supply</x:v>
      </x:c>
      <x:c r="C13" s="76" t="str">
        <x:v>School throughput, licensing, attrition and regional labor markets</x:v>
      </x:c>
      <x:c r="D13" s="76" t="str">
        <x:v>Four million billet-equivalents treated as recruitable</x:v>
      </x:c>
      <x:c r="E13" s="76" t="str">
        <x:v>OPEN</x:v>
      </x:c>
      <x:c r="F13" s="76" t="str">
        <x:v>YES</x:v>
      </x:c>
    </x:row>
    <x:row r="14">
      <x:c r="A14" s="57" t="str">
        <x:v>G10</x:v>
      </x:c>
      <x:c r="B14" s="57" t="str">
        <x:v>Strategic airlift</x:v>
      </x:c>
      <x:c r="C14" s="57" t="str">
        <x:v>Item-level loads, distances, cycles, fuel, runway and maintenance</x:v>
      </x:c>
      <x:c r="D14" s="57" t="str">
        <x:v>Tonne/day screen substitutes for a fleet model</x:v>
      </x:c>
      <x:c r="E14" s="57" t="str">
        <x:v>OPEN</x:v>
      </x:c>
      <x:c r="F14" s="57" t="str">
        <x:v>YES</x:v>
      </x:c>
    </x:row>
    <x:row r="15">
      <x:c r="A15" s="76" t="str">
        <x:v>G11</x:v>
      </x:c>
      <x:c r="B15" s="76" t="str">
        <x:v>Strategic sealift and inland movement</x:v>
      </x:c>
      <x:c r="C15" s="76" t="str">
        <x:v>Hull cycles, ports, waterways, cargo handling, weather and return</x:v>
      </x:c>
      <x:c r="D15" s="76" t="str">
        <x:v>Aggregate surface shares conceal routes</x:v>
      </x:c>
      <x:c r="E15" s="76" t="str">
        <x:v>OPEN</x:v>
      </x:c>
      <x:c r="F15" s="76" t="str">
        <x:v>YES</x:v>
      </x:c>
    </x:row>
    <x:row r="16">
      <x:c r="A16" s="57" t="str">
        <x:v>G12</x:v>
      </x:c>
      <x:c r="B16" s="57" t="str">
        <x:v>Theater reception</x:v>
      </x:c>
      <x:c r="C16" s="57" t="str">
        <x:v>Damaged-node throughput, alternative sites, responder bases and onward movement</x:v>
      </x:c>
      <x:c r="D16" s="57" t="str">
        <x:v>25,000 t/day per command is unverified</x:v>
      </x:c>
      <x:c r="E16" s="57" t="str">
        <x:v>OPEN</x:v>
      </x:c>
      <x:c r="F16" s="57" t="str">
        <x:v>YES</x:v>
      </x:c>
    </x:row>
    <x:row r="17">
      <x:c r="A17" s="76" t="str">
        <x:v>G13</x:v>
      </x:c>
      <x:c r="B17" s="76" t="str">
        <x:v>Sustainment and waste</x:v>
      </x:c>
      <x:c r="C17" s="76" t="str">
        <x:v>Commodity, repair, fuel, medical, responder and reverse-logistics flow</x:v>
      </x:c>
      <x:c r="D17" s="76" t="str">
        <x:v>Supply coefficients omit dominant burdens</x:v>
      </x:c>
      <x:c r="E17" s="76" t="str">
        <x:v>OPEN</x:v>
      </x:c>
      <x:c r="F17" s="76" t="str">
        <x:v>YES</x:v>
      </x:c>
    </x:row>
    <x:row r="18">
      <x:c r="A18" s="57" t="str">
        <x:v>G14</x:v>
      </x:c>
      <x:c r="B18" s="57" t="str">
        <x:v>Utility crosswalk</x:v>
      </x:c>
      <x:c r="C18" s="57" t="str">
        <x:v>NUPS asset families map to each UPG campaign requirement</x:v>
      </x:c>
      <x:c r="D18" s="57" t="str">
        <x:v>Integrated line and campaign group are not reconciled</x:v>
      </x:c>
      <x:c r="E18" s="57" t="str">
        <x:v>OPEN</x:v>
      </x:c>
      <x:c r="F18" s="57" t="str">
        <x:v>YES</x:v>
      </x:c>
    </x:row>
    <x:row r="19">
      <x:c r="A19" s="76" t="str">
        <x:v>G15</x:v>
      </x:c>
      <x:c r="B19" s="76" t="str">
        <x:v>Health configuration</x:v>
      </x:c>
      <x:c r="C19" s="76" t="str">
        <x:v>Acuity, licensed shifts, utilities, diagnostics, waste, regulation and receiving care</x:v>
      </x:c>
      <x:c r="D19" s="76" t="str">
        <x:v>Medical group counts are not clinical capacity</x:v>
      </x:c>
      <x:c r="E19" s="76" t="str">
        <x:v>OPEN</x:v>
      </x:c>
      <x:c r="F19" s="76" t="str">
        <x:v>YES</x:v>
      </x:c>
    </x:row>
    <x:row r="20">
      <x:c r="A20" s="57" t="str">
        <x:v>G16</x:v>
      </x:c>
      <x:c r="B20" s="57" t="str">
        <x:v>Community configuration</x:v>
      </x:c>
      <x:c r="C20" s="57" t="str">
        <x:v>Person-days, functional needs, food, shelter, sanitation and transition</x:v>
      </x:c>
      <x:c r="D20" s="57" t="str">
        <x:v>Community group counts are not service outcomes</x:v>
      </x:c>
      <x:c r="E20" s="57" t="str">
        <x:v>OPEN</x:v>
      </x:c>
      <x:c r="F20" s="57" t="str">
        <x:v>YES</x:v>
      </x:c>
    </x:row>
    <x:row r="21">
      <x:c r="A21" s="76" t="str">
        <x:v>G17</x:v>
      </x:c>
      <x:c r="B21" s="76" t="str">
        <x:v>Independent capital estimate</x:v>
      </x:c>
      <x:c r="C21" s="76" t="str">
        <x:v>Reference classes, schedules, quantity risk and ownership</x:v>
      </x:c>
      <x:c r="D21" s="76" t="str">
        <x:v>$12.05T frame mistaken for an estimate</x:v>
      </x:c>
      <x:c r="E21" s="76" t="str">
        <x:v>OPEN</x:v>
      </x:c>
      <x:c r="F21" s="76" t="str">
        <x:v>YES</x:v>
      </x:c>
    </x:row>
    <x:row r="22">
      <x:c r="A22" s="57" t="str">
        <x:v>G18</x:v>
      </x:c>
      <x:c r="B22" s="57" t="str">
        <x:v>Operating-cost estimate</x:v>
      </x:c>
      <x:c r="C22" s="57" t="str">
        <x:v>Pay, reserve duty, contracts, fuel, maintenance, deployments and recapitalization</x:v>
      </x:c>
      <x:c r="D22" s="57" t="str">
        <x:v>$858B screen mistaken for a budget</x:v>
      </x:c>
      <x:c r="E22" s="57" t="str">
        <x:v>OPEN</x:v>
      </x:c>
      <x:c r="F22" s="57" t="str">
        <x:v>YES</x:v>
      </x:c>
    </x:row>
    <x:row r="23">
      <x:c r="A23" s="76" t="str">
        <x:v>G19</x:v>
      </x:c>
      <x:c r="B23" s="76" t="str">
        <x:v>Department WBS reconciliation</x:v>
      </x:c>
      <x:c r="C23" s="76" t="str">
        <x:v>Pass 5, 16, 18, 22 and 23 boundaries map once</x:v>
      </x:c>
      <x:c r="D23" s="76" t="str">
        <x:v>Technology, proving, utility and common costs overlap</x:v>
      </x:c>
      <x:c r="E23" s="76" t="str">
        <x:v>OPEN</x:v>
      </x:c>
      <x:c r="F23" s="76" t="str">
        <x:v>YES</x:v>
      </x:c>
    </x:row>
    <x:row r="24">
      <x:c r="A24" s="57" t="str">
        <x:v>G20</x:v>
      </x:c>
      <x:c r="B24" s="57" t="str">
        <x:v>Full campaign and regeneration trial</x:v>
      </x:c>
      <x:c r="C24" s="57" t="str">
        <x:v>Second campaign begins before first force returns to readiness</x:v>
      </x:c>
      <x:c r="D24" s="57" t="str">
        <x:v>Deployment success substitutes for national regeneration</x:v>
      </x:c>
      <x:c r="E24" s="57" t="str">
        <x:v>OPEN</x:v>
      </x:c>
      <x:c r="F24" s="57" t="str">
        <x:v>YES</x:v>
      </x:c>
    </x:row>
  </x:sheetData>
  <x:mergeCells>
    <x:mergeCell ref="A1:F1"/>
    <x:mergeCell ref="A2:F2"/>
  </x:mergeCells>
  <x:conditionalFormatting sqref="E5:E24">
    <x:cfRule type="containsText" dxfId="57" priority="1" operator="containsText" text="PASS"/>
    <x:cfRule type="containsText" dxfId="58" priority="2" operator="containsText" text="OPEN"/>
    <x:cfRule type="containsText" dxfId="59" priority="3" operator="containsText" text="FAIL"/>
    <x:cfRule type="containsText" dxfId="60" priority="4" operator="containsText" text="SHORT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46" hidden="0" customWidth="1"/>
    <x:col min="3" max="3" width="30" hidden="0" customWidth="1"/>
    <x:col min="4" max="4" width="20" hidden="0" customWidth="1"/>
    <x:col min="5" max="5" width="66" hidden="0" customWidth="1"/>
  </x:cols>
  <x:sheetData>
    <x:row r="1" ht="24" customHeight="1">
      <x:c r="A1" s="50" t="str">
        <x:v>Sources</x:v>
      </x:c>
      <x:c r="B1" s="56"/>
      <x:c r="C1" s="56"/>
      <x:c r="D1" s="56"/>
      <x:c r="E1" s="56"/>
    </x:row>
    <x:row r="2" ht="24" customHeight="1">
      <x:c r="A2" s="52" t="str">
        <x:v>Official doctrine and reports bound the allocation method; all quantities remain explicit design assumptions unless noted.</x:v>
      </x:c>
      <x:c r="B2" s="57"/>
      <x:c r="C2" s="57"/>
      <x:c r="D2" s="57"/>
      <x:c r="E2" s="57"/>
    </x:row>
    <x:row r="3">
      <x:c r="A3" s="57"/>
      <x:c r="B3" s="57"/>
      <x:c r="C3" s="57"/>
      <x:c r="D3" s="57"/>
      <x:c r="E3" s="57"/>
    </x:row>
    <x:row r="4" ht="32" customHeight="1">
      <x:c r="A4" s="59" t="str">
        <x:v>ID</x:v>
      </x:c>
      <x:c r="B4" s="60" t="str">
        <x:v>Title</x:v>
      </x:c>
      <x:c r="C4" s="60" t="str">
        <x:v>Institution</x:v>
      </x:c>
      <x:c r="D4" s="60" t="str">
        <x:v>Date / access</x:v>
      </x:c>
      <x:c r="E4" s="61" t="str">
        <x:v>Use</x:v>
      </x:c>
    </x:row>
    <x:row r="5">
      <x:c r="A5" s="76" t="str">
        <x:v>JCS-GFM</x:v>
      </x:c>
      <x:c r="B5" s="76" t="str">
        <x:v>Global Force Management, Appendix B</x:v>
      </x:c>
      <x:c r="C5" s="76" t="str">
        <x:v>Joint Chiefs of Staff / Air University host</x:v>
      </x:c>
      <x:c r="D5" s="76" t="str">
        <x:v>2016 source; accessed 2026-09-04</x:v>
      </x:c>
      <x:c r="E5" s="76" t="str">
        <x:v>Assignment, apportionment, allocation, availability and risk visibility</x:v>
      </x:c>
    </x:row>
    <x:row r="6">
      <x:c r="A6" s="57" t="str">
        <x:v>JCS-JP333</x:v>
      </x:c>
      <x:c r="B6" s="57" t="str">
        <x:v>JP 3-33 Joint Force Headquarters</x:v>
      </x:c>
      <x:c r="C6" s="57" t="str">
        <x:v>Joint Chiefs of Staff</x:v>
      </x:c>
      <x:c r="D6" s="57" t="str">
        <x:v>2022</x:v>
      </x:c>
      <x:c r="E6" s="57" t="str">
        <x:v>Standing integrating headquarters, sourcing and individual-augmentation limits</x:v>
      </x:c>
    </x:row>
    <x:row r="7">
      <x:c r="A7" s="76" t="str">
        <x:v>FEMA-MUTUAL</x:v>
      </x:c>
      <x:c r="B7" s="76" t="str">
        <x:v>NIMS Guideline for Mutual Aid</x:v>
      </x:c>
      <x:c r="C7" s="76" t="str">
        <x:v>FEMA</x:v>
      </x:c>
      <x:c r="D7" s="76" t="str">
        <x:v>2017</x:v>
      </x:c>
      <x:c r="E7" s="76" t="str">
        <x:v>Mission Ready Packages, typed resources, logistics and cost</x:v>
      </x:c>
    </x:row>
    <x:row r="8">
      <x:c r="A8" s="57" t="str">
        <x:v>FEMA-RMP</x:v>
      </x:c>
      <x:c r="B8" s="57" t="str">
        <x:v>NIMS Guideline for Resource Management Preparedness</x:v>
      </x:c>
      <x:c r="C8" s="57" t="str">
        <x:v>FEMA</x:v>
      </x:c>
      <x:c r="D8" s="57" t="str">
        <x:v>current page accessed 2026-09-04</x:v>
      </x:c>
      <x:c r="E8" s="57" t="str">
        <x:v>Minimum resource criteria, qualification, inventory and readiness</x:v>
      </x:c>
    </x:row>
    <x:row r="9">
      <x:c r="A9" s="76" t="str">
        <x:v>USTRANSCOM-UCP</x:v>
      </x:c>
      <x:c r="B9" s="76" t="str">
        <x:v>Unified Command Plan responsibilities</x:v>
      </x:c>
      <x:c r="C9" s="76" t="str">
        <x:v>U.S. Transportation Command</x:v>
      </x:c>
      <x:c r="D9" s="76" t="str">
        <x:v>accessed 2026-09-04</x:v>
      </x:c>
      <x:c r="E9" s="76" t="str">
        <x:v>Single management of transport, joint force provider and deployment/distribution enterprise</x:v>
      </x:c>
    </x:row>
    <x:row r="10">
      <x:c r="A10" s="57" t="str">
        <x:v>USCG-GFM</x:v>
      </x:c>
      <x:c r="B10" s="57" t="str">
        <x:v>COMDTINST 3120.4C Coast Guard Global Force Management</x:v>
      </x:c>
      <x:c r="C10" s="57" t="str">
        <x:v>U.S. Coast Guard</x:v>
      </x:c>
      <x:c r="D10" s="57" t="str">
        <x:v>2024</x:v>
      </x:c>
      <x:c r="E10" s="57" t="str">
        <x:v>Multi-mission force allocation, resource-capacity estimates and risk integration</x:v>
      </x:c>
    </x:row>
    <x:row r="11">
      <x:c r="A11" s="76" t="str">
        <x:v>GAO-AFFORGEN25</x:v>
      </x:c>
      <x:c r="B11" s="76" t="str">
        <x:v>Air Force Readiness: Actions Needed to Improve New Process</x:v>
      </x:c>
      <x:c r="C11" s="76" t="str">
        <x:v>U.S. Government Accountability Office</x:v>
      </x:c>
      <x:c r="D11" s="76" t="str">
        <x:v>2025</x:v>
      </x:c>
      <x:c r="E11" s="76" t="str">
        <x:v>Whole-unit generation, fragmented unit types and unmeasured home-base staffing</x:v>
      </x:c>
    </x:row>
    <x:row r="12">
      <x:c r="A12" s="57" t="str">
        <x:v>GAO-RESET16</x:v>
      </x:c>
      <x:c r="B12" s="57" t="str">
        <x:v>Military Readiness: Retrograde and Reset Guidance</x:v>
      </x:c>
      <x:c r="C12" s="57" t="str">
        <x:v>U.S. Government Accountability Office</x:v>
      </x:c>
      <x:c r="D12" s="57" t="str">
        <x:v>2016; status updated</x:v>
      </x:c>
      <x:c r="E12" s="57" t="str">
        <x:v>Reset and reconstitution require explicit plans, goals and resources</x:v>
      </x:c>
    </x:row>
    <x:row r="13">
      <x:c r="A13" s="76" t="str">
        <x:v>DOD-FY26</x:v>
      </x:c>
      <x:c r="B13" s="76" t="str">
        <x:v>FY2026 National Defense Budget Request</x:v>
      </x:c>
      <x:c r="C13" s="76" t="str">
        <x:v>Department of Defense Comptroller</x:v>
      </x:c>
      <x:c r="D13" s="76" t="str">
        <x:v>2025</x:v>
      </x:c>
      <x:c r="E13" s="76" t="str">
        <x:v>$961.6B DoD total comparison, including personnel, O&amp;M, procurement and RDT&amp;E</x:v>
      </x:c>
    </x:row>
    <x:row r="14">
      <x:c r="A14" s="57" t="str">
        <x:v>INTERNAL-DRM</x:v>
      </x:c>
      <x:c r="B14" s="57" t="str">
        <x:v>Design reference missions</x:v>
      </x:c>
      <x:c r="C14" s="57" t="str">
        <x:v>Disaster Force research</x:v>
      </x:c>
      <x:c r="D14" s="57" t="str">
        <x:v>current</x:v>
      </x:c>
      <x:c r="E14" s="57" t="str">
        <x:v>Ten simultaneous campaign identities and time domains</x:v>
      </x:c>
    </x:row>
    <x:row r="15">
      <x:c r="A15" s="76" t="str">
        <x:v>INTERNAL-MFD</x:v>
      </x:c>
      <x:c r="B15" s="76" t="str">
        <x:v>Mature force design</x:v>
      </x:c>
      <x:c r="C15" s="76" t="str">
        <x:v>Disaster Force research</x:v>
      </x:c>
      <x:c r="D15" s="76" t="str">
        <x:v>Pass 8</x:v>
      </x:c>
      <x:c r="E15" s="76" t="str">
        <x:v>Formation families, echelons, joint commands and force packages</x:v>
      </x:c>
    </x:row>
    <x:row r="16">
      <x:c r="A16" s="57" t="str">
        <x:v>INTERNAL-NUPS</x:v>
      </x:c>
      <x:c r="B16" s="57" t="str">
        <x:v>National Utility Projection System</x:v>
      </x:c>
      <x:c r="C16" s="57" t="str">
        <x:v>Disaster Force research</x:v>
      </x:c>
      <x:c r="D16" s="57" t="str">
        <x:v>Pass 22</x:v>
      </x:c>
      <x:c r="E16" s="57" t="str">
        <x:v>Integrated $1.698T utility WBS and 198,197.55 billet screen</x:v>
      </x:c>
    </x:row>
    <x:row r="17">
      <x:c r="A17" s="76" t="str">
        <x:v>INTERNAL-DFM</x:v>
      </x:c>
      <x:c r="B17" s="76" t="str">
        <x:v>Force and resource model</x:v>
      </x:c>
      <x:c r="C17" s="76" t="str">
        <x:v>Disaster Force research</x:v>
      </x:c>
      <x:c r="D17" s="76" t="str">
        <x:v>Pass 5</x:v>
      </x:c>
      <x:c r="E17" s="76" t="str">
        <x:v>Prior 302,000 active / 396,500 reserve screen and $2.24T concept portfolio</x:v>
      </x:c>
    </x:row>
    <x:row r="18">
      <x:c r="A18" s="57"/>
      <x:c r="B18" s="57"/>
      <x:c r="C18" s="57"/>
      <x:c r="D18" s="57"/>
      <x:c r="E18" s="57"/>
    </x:row>
    <x:row r="19">
      <x:c r="A19" s="57"/>
      <x:c r="B19" s="57"/>
      <x:c r="C19" s="57"/>
      <x:c r="D19" s="57"/>
      <x:c r="E19" s="57"/>
    </x:row>
    <x:row r="20">
      <x:c r="A20" s="54" t="str">
        <x:v>URLs</x:v>
      </x:c>
      <x:c r="B20" s="58"/>
      <x:c r="C20" s="58"/>
      <x:c r="D20" s="58"/>
      <x:c r="E20" s="58"/>
    </x:row>
    <x:row r="21" ht="48" customHeight="1">
      <x:c r="A21" s="57" t="str">
        <x:v>JCS-GFM</x:v>
      </x:c>
      <x:c r="B21" s="57" t="str">
        <x:v>https://media.defense.gov/2023/Apr/07/2003195599/-1/-1/0/3287.PDF</x:v>
      </x:c>
      <x:c r="C21" s="57"/>
      <x:c r="D21" s="57"/>
      <x:c r="E21" s="57"/>
    </x:row>
    <x:row r="22" ht="48" customHeight="1">
      <x:c r="A22" s="57" t="str">
        <x:v>JCS-JP333</x:v>
      </x:c>
      <x:c r="B22" s="57" t="str">
        <x:v>https://www.jcs.mil/Portals/36/Documents/Doctrine/pubs/jp3_33.pdf</x:v>
      </x:c>
      <x:c r="C22" s="57"/>
      <x:c r="D22" s="57"/>
      <x:c r="E22" s="57"/>
    </x:row>
    <x:row r="23" ht="48" customHeight="1">
      <x:c r="A23" s="57" t="str">
        <x:v>FEMA-MUTUAL</x:v>
      </x:c>
      <x:c r="B23" s="57" t="str">
        <x:v>https://www.fema.gov/sites/default/files/2020-07/fema_nims_mutual_aid_guideline_20171105.pdf</x:v>
      </x:c>
      <x:c r="C23" s="57"/>
      <x:c r="D23" s="57"/>
      <x:c r="E23" s="57"/>
    </x:row>
    <x:row r="24" ht="48" customHeight="1">
      <x:c r="A24" s="57" t="str">
        <x:v>FEMA-RMP</x:v>
      </x:c>
      <x:c r="B24" s="57" t="str">
        <x:v>https://www.fema.gov/sites/default/files/documents/nims-guideline-resource-management-preparedness.pdf</x:v>
      </x:c>
      <x:c r="C24" s="57"/>
      <x:c r="D24" s="57"/>
      <x:c r="E24" s="57"/>
    </x:row>
    <x:row r="25" ht="48" customHeight="1">
      <x:c r="A25" s="57" t="str">
        <x:v>USTRANSCOM-UCP</x:v>
      </x:c>
      <x:c r="B25" s="57" t="str">
        <x:v>https://www.ustranscom.mil/pages/u9dv7t1vh6m79xbxf5u5vhma</x:v>
      </x:c>
      <x:c r="C25" s="57"/>
      <x:c r="D25" s="57"/>
      <x:c r="E25" s="57"/>
    </x:row>
    <x:row r="26" ht="48" customHeight="1">
      <x:c r="A26" s="57" t="str">
        <x:v>USCG-GFM</x:v>
      </x:c>
      <x:c r="B26" s="57" t="str">
        <x:v>https://media.defense.gov/2024/Sep/17/2003545303/-1/-1/0/CI_3120_4C.PDF</x:v>
      </x:c>
      <x:c r="C26" s="57"/>
      <x:c r="D26" s="57"/>
      <x:c r="E26" s="57"/>
    </x:row>
    <x:row r="27" ht="48" customHeight="1">
      <x:c r="A27" s="57" t="str">
        <x:v>GAO-AFFORGEN25</x:v>
      </x:c>
      <x:c r="B27" s="57" t="str">
        <x:v>https://files.gao.gov/reports/GAO-25-107017/index.html</x:v>
      </x:c>
      <x:c r="C27" s="57"/>
      <x:c r="D27" s="57"/>
      <x:c r="E27" s="57"/>
    </x:row>
    <x:row r="28" ht="48" customHeight="1">
      <x:c r="A28" s="57" t="str">
        <x:v>GAO-RESET16</x:v>
      </x:c>
      <x:c r="B28" s="57" t="str">
        <x:v>https://www.gao.gov/products/gao-16-414</x:v>
      </x:c>
      <x:c r="C28" s="57"/>
      <x:c r="D28" s="57"/>
      <x:c r="E28" s="57"/>
    </x:row>
    <x:row r="29" ht="48" customHeight="1">
      <x:c r="A29" s="57" t="str">
        <x:v>DOD-FY26</x:v>
      </x:c>
      <x:c r="B29" s="57" t="str">
        <x:v>https://comptroller.defense.gov/Portals/45/Documents/defbudget/FY2026/FY2026_Budget_Request.pdf</x:v>
      </x:c>
      <x:c r="C29" s="57"/>
      <x:c r="D29" s="57"/>
      <x:c r="E29" s="57"/>
    </x:row>
  </x:sheetData>
  <x:mergeCells>
    <x:mergeCell ref="A1:E1"/>
    <x:mergeCell ref="A2:E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6" hidden="0" customWidth="1"/>
    <x:col min="3" max="3" width="18" hidden="0" customWidth="1"/>
    <x:col min="4" max="4" width="62" hidden="0" customWidth="1"/>
  </x:cols>
  <x:sheetData>
    <x:row r="1" ht="24" customHeight="1">
      <x:c r="A1" s="50" t="str">
        <x:v>Checks</x:v>
      </x:c>
      <x:c r="B1" s="56"/>
      <x:c r="C1" s="56"/>
      <x:c r="D1" s="56"/>
    </x:row>
    <x:row r="2" ht="24" customHeight="1">
      <x:c r="A2" s="52" t="str">
        <x:v>Arithmetic and declared relationship checks. Open evidence and parity conditions are intentional.</x:v>
      </x:c>
      <x:c r="B2" s="57"/>
      <x:c r="C2" s="57"/>
      <x:c r="D2" s="57"/>
    </x:row>
    <x:row r="3">
      <x:c r="A3" s="57"/>
      <x:c r="B3" s="57"/>
      <x:c r="C3" s="57"/>
      <x:c r="D3" s="57"/>
    </x:row>
    <x:row r="4" ht="32" customHeight="1">
      <x:c r="A4" s="59" t="str">
        <x:v>ID</x:v>
      </x:c>
      <x:c r="B4" s="60" t="str">
        <x:v>Check</x:v>
      </x:c>
      <x:c r="C4" s="60" t="str">
        <x:v>Result</x:v>
      </x:c>
      <x:c r="D4" s="61" t="str">
        <x:v>Interpretation</x:v>
      </x:c>
    </x:row>
    <x:row r="5">
      <x:c r="A5" s="76" t="str">
        <x:v>C01</x:v>
      </x:c>
      <x:c r="B5" s="76" t="str">
        <x:v>Campaign count and class reconciliation</x:v>
      </x:c>
      <x:c r="C5" s="85" t="str">
        <x:f>IF(COUNTIF('Campaign Set'!D19:D22,"PASS")=4,"PASS","FAIL")</x:f>
        <x:v>PASS</x:v>
      </x:c>
      <x:c r="D5" s="76" t="str">
        <x:v>3C + 5M + 2G equals ten</x:v>
      </x:c>
    </x:row>
    <x:row r="6">
      <x:c r="A6" s="57" t="str">
        <x:v>C02</x:v>
      </x:c>
      <x:c r="B6" s="57" t="str">
        <x:v>All component mixes sum to 100%</x:v>
      </x:c>
      <x:c r="C6" s="85" t="str">
        <x:f>IF(COUNTIF('Component Mix'!H5:H38,"PASS")=34,"PASS","FAIL")</x:f>
        <x:v>PASS</x:v>
      </x:c>
      <x:c r="D6" s="57" t="str">
        <x:v>No ownership capacity lost or invented</x:v>
      </x:c>
    </x:row>
    <x:row r="7">
      <x:c r="A7" s="76" t="str">
        <x:v>C03</x:v>
      </x:c>
      <x:c r="B7" s="76" t="str">
        <x:v>All inventories meet complete readiness</x:v>
      </x:c>
      <x:c r="C7" s="85" t="str">
        <x:f>IF(COUNTIF(Inventory!M5:M38,"PASS")=34,"PASS","FAIL")</x:f>
        <x:v>PASS</x:v>
      </x:c>
      <x:c r="D7" s="76" t="str">
        <x:v>Selected force clears the weakest readiness dimension</x:v>
      </x:c>
    </x:row>
    <x:row r="8">
      <x:c r="A8" s="57" t="str">
        <x:v>C04</x:v>
      </x:c>
      <x:c r="B8" s="57" t="str">
        <x:v>Ten campaigns deploy more than 500,000 people</x:v>
      </x:c>
      <x:c r="C8" s="85" t="str">
        <x:f>'Campaign Demand'!D19</x:f>
        <x:v>PASS</x:v>
      </x:c>
      <x:c r="D8" s="57" t="str">
        <x:v>Reference consequence of formation coefficients</x:v>
      </x:c>
    </x:row>
    <x:row r="9">
      <x:c r="A9" s="76" t="str">
        <x:v>C05</x:v>
      </x:c>
      <x:c r="B9" s="76" t="str">
        <x:v>Formation demand exceeds 1,000 equivalents</x:v>
      </x:c>
      <x:c r="C9" s="85" t="str">
        <x:f>'Campaign Demand'!D20</x:f>
        <x:v>PASS</x:v>
      </x:c>
      <x:c r="D9" s="76" t="str">
        <x:v>Mass force, not boutique teams</x:v>
      </x:c>
    </x:row>
    <x:row r="10">
      <x:c r="A10" s="57" t="str">
        <x:v>C06</x:v>
      </x:c>
      <x:c r="B10" s="57" t="str">
        <x:v>All mobility channels close reference mass</x:v>
      </x:c>
      <x:c r="C10" s="85" t="str">
        <x:f>IF(COUNTIF(Mobility!H5:H9,"PASS")=5,"PASS","FAIL")</x:f>
        <x:v>FAIL</x:v>
      </x:c>
      <x:c r="D10" s="57" t="str">
        <x:v>Aggregate throughput screen only</x:v>
      </x:c>
    </x:row>
    <x:row r="11">
      <x:c r="A11" s="76" t="str">
        <x:v>C07</x:v>
      </x:c>
      <x:c r="B11" s="76" t="str">
        <x:v>All reception screens close</x:v>
      </x:c>
      <x:c r="C11" s="85" t="str">
        <x:f>IF(COUNTIF(Reception!H5:H14,"PASS")=10,"PASS","FAIL")</x:f>
        <x:v>FAIL</x:v>
      </x:c>
      <x:c r="D11" s="76" t="str">
        <x:v>Campaign-level node throughput screen</x:v>
      </x:c>
    </x:row>
    <x:row r="12">
      <x:c r="A12" s="57" t="str">
        <x:v>C08</x:v>
      </x:c>
      <x:c r="B12" s="57" t="str">
        <x:v>All sustainment screens close</x:v>
      </x:c>
      <x:c r="C12" s="85" t="str">
        <x:f>IF(COUNTIF(Sustainment!G5:G14,"PASS")=10,"PASS","FAIL")</x:f>
        <x:v>PASS</x:v>
      </x:c>
      <x:c r="D12" s="57" t="str">
        <x:v>Campaign-level daily mass screen</x:v>
      </x:c>
    </x:row>
    <x:row r="13">
      <x:c r="A13" s="76" t="str">
        <x:v>C09</x:v>
      </x:c>
      <x:c r="B13" s="76" t="str">
        <x:v>Reference workforce exceeds prior total</x:v>
      </x:c>
      <x:c r="C13" s="85" t="str">
        <x:f>IF(Workforce!G46&gt;Workforce!G47,"PASS","FAIL")</x:f>
        <x:v>PASS</x:v>
      </x:c>
      <x:c r="D13" s="76" t="str">
        <x:v>Bottom-up force generation exposes prior underfit</x:v>
      </x:c>
    </x:row>
    <x:row r="14">
      <x:c r="A14" s="57" t="str">
        <x:v>C10</x:v>
      </x:c>
      <x:c r="B14" s="57" t="str">
        <x:v>NUPS direct line not double counted</x:v>
      </x:c>
      <x:c r="C14" s="85" t="str">
        <x:f>IF('Capital WBS'!F26=0,"PASS","FAIL")</x:f>
        <x:v>PASS</x:v>
      </x:c>
      <x:c r="D14" s="57" t="str">
        <x:v>I-UPG acquisition excluded from non-NUPS total</x:v>
      </x:c>
    </x:row>
    <x:row r="15">
      <x:c r="A15" s="76" t="str">
        <x:v>C11</x:v>
      </x:c>
      <x:c r="B15" s="76" t="str">
        <x:v>Capital subtotal reconciles</x:v>
      </x:c>
      <x:c r="C15" s="85" t="str">
        <x:f>IF(ABS('Capital WBS'!C50-SUM('Capital WBS'!C43:C49))&lt;0.01,"PASS","FAIL")</x:f>
        <x:v>PASS</x:v>
      </x:c>
      <x:c r="D15" s="76" t="str">
        <x:v>One integrated pre-reserve WBS</x:v>
      </x:c>
    </x:row>
    <x:row r="16">
      <x:c r="A16" s="57" t="str">
        <x:v>C12</x:v>
      </x:c>
      <x:c r="B16" s="57" t="str">
        <x:v>Program reserve equals 20%</x:v>
      </x:c>
      <x:c r="C16" s="85" t="str">
        <x:f>IF(ABS('Capital WBS'!C51-'Capital WBS'!C50*Controls!C45)&lt;0.01,"PASS","FAIL")</x:f>
        <x:v>PASS</x:v>
      </x:c>
      <x:c r="D16" s="57" t="str">
        <x:v>Reserve remains explicit</x:v>
      </x:c>
    </x:row>
    <x:row r="17">
      <x:c r="A17" s="76" t="str">
        <x:v>C13</x:v>
      </x:c>
      <x:c r="B17" s="76" t="str">
        <x:v>Total capital reconciles</x:v>
      </x:c>
      <x:c r="C17" s="85" t="str">
        <x:f>IF(ABS('Capital WBS'!C52-'Capital WBS'!C50-'Capital WBS'!C51)&lt;0.01,"PASS","FAIL")</x:f>
        <x:v>PASS</x:v>
      </x:c>
      <x:c r="D17" s="76" t="str">
        <x:v>Reference is about $12.05T</x:v>
      </x:c>
    </x:row>
    <x:row r="18">
      <x:c r="A18" s="57" t="str">
        <x:v>C14</x:v>
      </x:c>
      <x:c r="B18" s="57" t="str">
        <x:v>Annual capital shares sum to 100%</x:v>
      </x:c>
      <x:c r="C18" s="85" t="str">
        <x:f>'Annual Resources'!D34</x:f>
        <x:v>PASS</x:v>
      </x:c>
      <x:c r="D18" s="57" t="str">
        <x:v>25-year phasing is complete</x:v>
      </x:c>
    </x:row>
    <x:row r="19">
      <x:c r="A19" s="76" t="str">
        <x:v>C15</x:v>
      </x:c>
      <x:c r="B19" s="76" t="str">
        <x:v>Annual capital ties to WBS</x:v>
      </x:c>
      <x:c r="C19" s="85" t="str">
        <x:f>'Annual Resources'!D35</x:f>
        <x:v>PASS</x:v>
      </x:c>
      <x:c r="D19" s="76" t="str">
        <x:v>No capital lost in time profile</x:v>
      </x:c>
    </x:row>
    <x:row r="20">
      <x:c r="A20" s="57" t="str">
        <x:v>C16</x:v>
      </x:c>
      <x:c r="B20" s="57" t="str">
        <x:v>Mature operating cost positive</x:v>
      </x:c>
      <x:c r="C20" s="85" t="str">
        <x:f>'Operating Cost'!C19</x:f>
        <x:v>PASS</x:v>
      </x:c>
      <x:c r="D20" s="57" t="str">
        <x:v>Reference is about $858B/year</x:v>
      </x:c>
    </x:row>
    <x:row r="21">
      <x:c r="A21" s="76" t="str">
        <x:v>C17</x:v>
      </x:c>
      <x:c r="B21" s="76" t="str">
        <x:v>Mature O&amp;S approaches defense scale</x:v>
      </x:c>
      <x:c r="C21" s="85" t="str">
        <x:f>'Fiscal Parity'!E5</x:f>
        <x:v>PASS</x:v>
      </x:c>
      <x:c r="D21" s="76" t="str">
        <x:v>75–125% comparison band</x:v>
      </x:c>
    </x:row>
    <x:row r="22">
      <x:c r="A22" s="57" t="str">
        <x:v>C18</x:v>
      </x:c>
      <x:c r="B22" s="57" t="str">
        <x:v>Average buildup resources exceed strict parity</x:v>
      </x:c>
      <x:c r="C22" s="85" t="str">
        <x:f>'Fiscal Parity'!E8</x:f>
        <x:v>OPEN</x:v>
      </x:c>
      <x:c r="D22" s="57" t="str">
        <x:v>Intentional open funding choice</x:v>
      </x:c>
    </x:row>
    <x:row r="23">
      <x:c r="A23" s="76" t="str">
        <x:v>C19</x:v>
      </x:c>
      <x:c r="B23" s="76" t="str">
        <x:v>Peak resources exceed strict parity</x:v>
      </x:c>
      <x:c r="C23" s="85" t="str">
        <x:f>'Fiscal Parity'!E9</x:f>
        <x:v>OPEN</x:v>
      </x:c>
      <x:c r="D23" s="76" t="str">
        <x:v>Intentional open funding choice</x:v>
      </x:c>
    </x:row>
    <x:row r="24">
      <x:c r="A24" s="57" t="str">
        <x:v>C20</x:v>
      </x:c>
      <x:c r="B24" s="57" t="str">
        <x:v>All twenty evidence gates remain open</x:v>
      </x:c>
      <x:c r="C24" s="85" t="str">
        <x:f>IF(COUNTIF('Evidence Gates'!E5:E24,"OPEN")=20,"OPEN","FAIL")</x:f>
        <x:v>OPEN</x:v>
      </x:c>
      <x:c r="D24" s="57" t="str">
        <x:v>No force, budget or site is validated</x:v>
      </x:c>
    </x:row>
    <x:row r="25">
      <x:c r="A25" s="76" t="str">
        <x:v>C21</x:v>
      </x:c>
      <x:c r="B25" s="76" t="str">
        <x:v>Rendering remains blocked</x:v>
      </x:c>
      <x:c r="C25" s="85" t="str">
        <x:f>IF(COUNTIF('Evidence Gates'!F5:F24,"YES")=0,"PASS","OPEN")</x:f>
        <x:v>OPEN</x:v>
      </x:c>
      <x:c r="D25" s="76" t="str">
        <x:v>Any blocking gate holds visualization</x:v>
      </x:c>
    </x:row>
  </x:sheetData>
  <x:mergeCells>
    <x:mergeCell ref="A1:D1"/>
    <x:mergeCell ref="A2:D2"/>
  </x:mergeCells>
  <x:conditionalFormatting sqref="C5:C25">
    <x:cfRule type="containsText" dxfId="61" priority="1" operator="containsText" text="PASS"/>
    <x:cfRule type="containsText" dxfId="62" priority="2" operator="containsText" text="OPEN"/>
    <x:cfRule type="containsText" dxfId="63" priority="3" operator="containsText" text="FAIL"/>
    <x:cfRule type="containsText" dxfId="64" priority="4" operator="containsText" text="SHORT"/>
  </x:conditionalFormatting>
  <x:pageMargins left="0.7" right="0.7" top="0.75" bottom="0.75" header="0.3" footer="0.3"/>
</x:worksheet>
</file>