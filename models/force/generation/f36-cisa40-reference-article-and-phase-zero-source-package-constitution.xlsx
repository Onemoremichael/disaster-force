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97c7db247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2c147f438c40a2"/>
    <x:sheet xmlns:r="http://schemas.openxmlformats.org/officeDocument/2006/relationships" name="Controls" sheetId="2" r:id="R7dd104dcb3734d2e"/>
    <x:sheet xmlns:r="http://schemas.openxmlformats.org/officeDocument/2006/relationships" name="Article Register" sheetId="3" r:id="R5fc4af85598a421f"/>
    <x:sheet xmlns:r="http://schemas.openxmlformats.org/officeDocument/2006/relationships" name="Truth Modules" sheetId="4" r:id="Ra1a77279a9074076"/>
    <x:sheet xmlns:r="http://schemas.openxmlformats.org/officeDocument/2006/relationships" name="Source Terms" sheetId="5" r:id="R15857b7367404469"/>
    <x:sheet xmlns:r="http://schemas.openxmlformats.org/officeDocument/2006/relationships" name="Uncertainty" sheetId="6" r:id="R2a91b7eddb724a7d"/>
    <x:sheet xmlns:r="http://schemas.openxmlformats.org/officeDocument/2006/relationships" name="Event Templates" sheetId="7" r:id="Rc19e5b91c47e4769"/>
    <x:sheet xmlns:r="http://schemas.openxmlformats.org/officeDocument/2006/relationships" name="Lane Events" sheetId="8" r:id="R940571d61c884591"/>
    <x:sheet xmlns:r="http://schemas.openxmlformats.org/officeDocument/2006/relationships" name="Failure Insertion" sheetId="9" r:id="R31fb884076044fa4"/>
    <x:sheet xmlns:r="http://schemas.openxmlformats.org/officeDocument/2006/relationships" name="Safe State" sheetId="10" r:id="Rbb9a47ee16684e69"/>
    <x:sheet xmlns:r="http://schemas.openxmlformats.org/officeDocument/2006/relationships" name="Campus Drills" sheetId="11" r:id="Rb6cace81706c49e5"/>
    <x:sheet xmlns:r="http://schemas.openxmlformats.org/officeDocument/2006/relationships" name="Cross-Site Replay" sheetId="12" r:id="Raa1dc0d004cf4ede"/>
    <x:sheet xmlns:r="http://schemas.openxmlformats.org/officeDocument/2006/relationships" name="Custody Retirement" sheetId="13" r:id="R3862709307a5433d"/>
    <x:sheet xmlns:r="http://schemas.openxmlformats.org/officeDocument/2006/relationships" name="Acceptance Sources" sheetId="14" r:id="Ra9523e02eb914506"/>
    <x:sheet xmlns:r="http://schemas.openxmlformats.org/officeDocument/2006/relationships" name="Capital" sheetId="15" r:id="R00328284c61b468f"/>
    <x:sheet xmlns:r="http://schemas.openxmlformats.org/officeDocument/2006/relationships" name="Annual Support" sheetId="16" r:id="Ra28dee5da0174464"/>
    <x:sheet xmlns:r="http://schemas.openxmlformats.org/officeDocument/2006/relationships" name="Schedule" sheetId="17" r:id="Rc6809e098a884db3"/>
    <x:sheet xmlns:r="http://schemas.openxmlformats.org/officeDocument/2006/relationships" name="Release Gates" sheetId="18" r:id="Rdee8f7d9a91b4c5c"/>
    <x:sheet xmlns:r="http://schemas.openxmlformats.org/officeDocument/2006/relationships" name="Audit" sheetId="19" r:id="Rc9bd505482cc4ca9"/>
    <x:sheet xmlns:r="http://schemas.openxmlformats.org/officeDocument/2006/relationships" name="ReadMe" sheetId="20" r:id="Re56939717f40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0.0"/>
    <x:numFmt numFmtId="203" formatCode="0.0%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b/>
      <x:sz val="10"/>
      <x:color rgb="FF273444"/>
      <x:name val="Arial"/>
    </x:font>
    <x:font>
      <x:sz val="10"/>
      <x:color rgb="FF273444"/>
      <x:name val="Arial"/>
    </x:font>
    <x:font>
      <x:sz val="10"/>
      <x:color rgb="FF0070C0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  <x:fill>
      <x:patternFill patternType="solid">
        <x:fgColor rgb="FFF3F7FA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92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af56428714081" /><Relationship Type="http://schemas.openxmlformats.org/officeDocument/2006/relationships/theme" Target="/xl/theme/theme1.xml" Id="Rc484812b0bbd430e" /><Relationship Type="http://schemas.microsoft.com/office/2022/11/relationships/FeaturePropertyBag" Target="/xl/featurePropertyBag/featurePropertyBag.xml" Id="R964e74219a994229" /><Relationship Type="http://schemas.openxmlformats.org/officeDocument/2006/relationships/sharedStrings" Target="/xl/sharedStrings.xml" Id="Rc02189ff7adb451b" /><Relationship Type="http://schemas.openxmlformats.org/officeDocument/2006/relationships/worksheet" Target="/xl/worksheets/sheet1.xml" Id="Rc02c147f438c40a2" /><Relationship Type="http://schemas.openxmlformats.org/officeDocument/2006/relationships/worksheet" Target="/xl/worksheets/sheet2.xml" Id="R7dd104dcb3734d2e" /><Relationship Type="http://schemas.openxmlformats.org/officeDocument/2006/relationships/worksheet" Target="/xl/worksheets/sheet3.xml" Id="R5fc4af85598a421f" /><Relationship Type="http://schemas.openxmlformats.org/officeDocument/2006/relationships/worksheet" Target="/xl/worksheets/sheet4.xml" Id="Ra1a77279a9074076" /><Relationship Type="http://schemas.openxmlformats.org/officeDocument/2006/relationships/worksheet" Target="/xl/worksheets/sheet5.xml" Id="R15857b7367404469" /><Relationship Type="http://schemas.openxmlformats.org/officeDocument/2006/relationships/worksheet" Target="/xl/worksheets/sheet6.xml" Id="R2a91b7eddb724a7d" /><Relationship Type="http://schemas.openxmlformats.org/officeDocument/2006/relationships/worksheet" Target="/xl/worksheets/sheet7.xml" Id="Rc19e5b91c47e4769" /><Relationship Type="http://schemas.openxmlformats.org/officeDocument/2006/relationships/worksheet" Target="/xl/worksheets/sheet8.xml" Id="R940571d61c884591" /><Relationship Type="http://schemas.openxmlformats.org/officeDocument/2006/relationships/worksheet" Target="/xl/worksheets/sheet9.xml" Id="R31fb884076044fa4" /><Relationship Type="http://schemas.openxmlformats.org/officeDocument/2006/relationships/worksheet" Target="/xl/worksheets/sheet10.xml" Id="Rbb9a47ee16684e69" /><Relationship Type="http://schemas.openxmlformats.org/officeDocument/2006/relationships/worksheet" Target="/xl/worksheets/sheet11.xml" Id="Rb6cace81706c49e5" /><Relationship Type="http://schemas.openxmlformats.org/officeDocument/2006/relationships/worksheet" Target="/xl/worksheets/sheet12.xml" Id="Raa1dc0d004cf4ede" /><Relationship Type="http://schemas.openxmlformats.org/officeDocument/2006/relationships/worksheet" Target="/xl/worksheets/sheet13.xml" Id="R3862709307a5433d" /><Relationship Type="http://schemas.openxmlformats.org/officeDocument/2006/relationships/worksheet" Target="/xl/worksheets/sheet14.xml" Id="Ra9523e02eb914506" /><Relationship Type="http://schemas.openxmlformats.org/officeDocument/2006/relationships/worksheet" Target="/xl/worksheets/sheet15.xml" Id="R00328284c61b468f" /><Relationship Type="http://schemas.openxmlformats.org/officeDocument/2006/relationships/worksheet" Target="/xl/worksheets/sheet16.xml" Id="Ra28dee5da0174464" /><Relationship Type="http://schemas.openxmlformats.org/officeDocument/2006/relationships/worksheet" Target="/xl/worksheets/sheet17.xml" Id="Rc6809e098a884db3" /><Relationship Type="http://schemas.openxmlformats.org/officeDocument/2006/relationships/worksheet" Target="/xl/worksheets/sheet18.xml" Id="Rdee8f7d9a91b4c5c" /><Relationship Type="http://schemas.openxmlformats.org/officeDocument/2006/relationships/worksheet" Target="/xl/worksheets/sheet19.xml" Id="Rc9bd505482cc4ca9" /><Relationship Type="http://schemas.openxmlformats.org/officeDocument/2006/relationships/worksheet" Target="/xl/worksheets/sheet20.xml" Id="Re56939717f404a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5" hidden="0" customWidth="1"/>
    <x:col min="3" max="3" width="17" hidden="0" customWidth="1"/>
    <x:col min="4" max="4" width="15" hidden="0" customWidth="1"/>
    <x:col min="5" max="5" width="14" hidden="0" customWidth="1"/>
    <x:col min="6" max="6" width="3" hidden="0" customWidth="1"/>
    <x:col min="7" max="7" width="3" hidden="0" customWidth="1"/>
    <x:col min="8" max="8" width="37" hidden="0" customWidth="1"/>
    <x:col min="9" max="9" width="18" hidden="0" customWidth="1"/>
    <x:col min="10" max="10" width="16" hidden="0" customWidth="1"/>
    <x:col min="11" max="11" width="14" hidden="0" customWidth="1"/>
    <x:col min="12" max="12" width="3" hidden="0" customWidth="1"/>
    <x:col min="13" max="13" width="3" hidden="0" customWidth="1"/>
    <x:col min="14" max="14" width="3" hidden="0" customWidth="1"/>
  </x:cols>
  <x:sheetData>
    <x:row r="2">
      <x:c r="B2" s="37" t="str">
        <x:v>RSP-1 reference-article and phase-zero source package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B3" s="39" t="str">
        <x:v>Decision view: what is defined, what remains physically absent, and what funding is already reserved inside PTC-0.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>
      <x:c r="B6" s="23" t="str">
        <x:v>Package scale</x:v>
      </x:c>
      <x:c r="C6" s="23" t="str">
        <x:v>Package scale</x:v>
      </x:c>
      <x:c r="D6" s="23" t="str">
        <x:v>Package scale</x:v>
      </x:c>
      <x:c r="E6" s="23" t="str">
        <x:v>Package scale</x:v>
      </x:c>
      <x:c r="F6" s="23" t="str">
        <x:v>Package scale</x:v>
      </x:c>
      <x:c r="G6" s="38"/>
      <x:c r="H6" s="23" t="str">
        <x:v>Finance and release</x:v>
      </x:c>
      <x:c r="I6" s="23" t="str">
        <x:v>Finance and release</x:v>
      </x:c>
      <x:c r="J6" s="23" t="str">
        <x:v>Finance and release</x:v>
      </x:c>
      <x:c r="K6" s="23" t="str">
        <x:v>Finance and release</x:v>
      </x:c>
      <x:c r="L6" s="23" t="str">
        <x:v>Finance and release</x:v>
      </x:c>
      <x:c r="M6" s="23" t="str">
        <x:v>Finance and release</x:v>
      </x:c>
      <x:c r="N6" s="23" t="str">
        <x:v>Finance and release</x:v>
      </x:c>
    </x:row>
    <x:row r="7">
      <x:c r="B7" s="9" t="str">
        <x:v>Metric</x:v>
      </x:c>
      <x:c r="C7" s="9" t="str">
        <x:v>Result</x:v>
      </x:c>
      <x:c r="D7" s="9" t="str">
        <x:v>Unit</x:v>
      </x:c>
      <x:c r="E7" s="9" t="str">
        <x:v>State</x:v>
      </x:c>
      <x:c r="F7" s="38"/>
      <x:c r="G7" s="38"/>
      <x:c r="H7" s="9" t="str">
        <x:v>Metric</x:v>
      </x:c>
      <x:c r="I7" s="9" t="str">
        <x:v>Result</x:v>
      </x:c>
      <x:c r="J7" s="9" t="str">
        <x:v>Unit</x:v>
      </x:c>
      <x:c r="K7" s="9" t="str">
        <x:v>State</x:v>
      </x:c>
      <x:c r="L7" s="38"/>
      <x:c r="M7" s="38"/>
      <x:c r="N7" s="38"/>
    </x:row>
    <x:row r="8">
      <x:c r="B8" s="11" t="str">
        <x:v>Test families</x:v>
      </x:c>
      <x:c r="C8" s="17" t="n">
        <x:f>'Controls'!$D$7</x:f>
        <x:v>6</x:v>
      </x:c>
      <x:c r="D8" s="11" t="str">
        <x:v>families</x:v>
      </x:c>
      <x:c r="E8" s="11" t="str">
        <x:f>IF(C8='Controls'!$D$7,"PASS","FAIL")</x:f>
        <x:v>PASS</x:v>
      </x:c>
      <x:c r="F8" s="38"/>
      <x:c r="G8" s="38"/>
      <x:c r="H8" s="11" t="str">
        <x:v>Source-package capital</x:v>
      </x:c>
      <x:c r="I8" s="17" t="n">
        <x:f>'Capital'!C28</x:f>
        <x:v>0.16800000000000004</x:v>
      </x:c>
      <x:c r="J8" s="11" t="str">
        <x:v>USD B</x:v>
      </x:c>
      <x:c r="K8" s="11" t="str">
        <x:f>'Capital'!D28</x:f>
        <x:v>PASS</x:v>
      </x:c>
      <x:c r="L8" s="38"/>
      <x:c r="M8" s="38"/>
      <x:c r="N8" s="38"/>
    </x:row>
    <x:row r="9">
      <x:c r="B9" s="11" t="str">
        <x:v>Full-capability lanes</x:v>
      </x:c>
      <x:c r="C9" s="17" t="n">
        <x:f>'Controls'!$D$8</x:f>
        <x:v>12</x:v>
      </x:c>
      <x:c r="D9" s="11" t="str">
        <x:v>lanes</x:v>
      </x:c>
      <x:c r="E9" s="11" t="str">
        <x:f>IF(C9='Controls'!$D$8,"PASS","FAIL")</x:f>
        <x:v>PASS</x:v>
      </x:c>
      <x:c r="F9" s="38"/>
      <x:c r="G9" s="38"/>
      <x:c r="H9" s="11" t="str">
        <x:v>Source-package annual support</x:v>
      </x:c>
      <x:c r="I9" s="17" t="n">
        <x:f>'Annual Support'!C17</x:f>
        <x:v>0.044000000000000004</x:v>
      </x:c>
      <x:c r="J9" s="11" t="str">
        <x:v>USD B/year</x:v>
      </x:c>
      <x:c r="K9" s="11" t="str">
        <x:f>'Annual Support'!D17</x:f>
        <x:v>PASS</x:v>
      </x:c>
      <x:c r="L9" s="38"/>
      <x:c r="M9" s="38"/>
      <x:c r="N9" s="38"/>
    </x:row>
    <x:row r="10">
      <x:c r="B10" s="11" t="str">
        <x:v>Reference bodies</x:v>
      </x:c>
      <x:c r="C10" s="17" t="n">
        <x:f>COUNTA('Article Register'!B7:B78)</x:f>
        <x:v>72</x:v>
      </x:c>
      <x:c r="D10" s="11" t="str">
        <x:v>bodies</x:v>
      </x:c>
      <x:c r="E10" s="11" t="str">
        <x:f>IF(C10='Controls'!$D$10,"PASS","FAIL")</x:f>
        <x:v>PASS</x:v>
      </x:c>
      <x:c r="F10" s="38"/>
      <x:c r="G10" s="38"/>
      <x:c r="H10" s="11" t="str">
        <x:v>Fourteen-month support exposure</x:v>
      </x:c>
      <x:c r="I10" s="17" t="n">
        <x:f>'Annual Support'!C22</x:f>
        <x:v>0.05133333333333334</x:v>
      </x:c>
      <x:c r="J10" s="11" t="str">
        <x:v>USD B</x:v>
      </x:c>
      <x:c r="K10" s="11" t="str">
        <x:f>'Annual Support'!D22</x:f>
        <x:v>PASS</x:v>
      </x:c>
      <x:c r="L10" s="38"/>
      <x:c r="M10" s="38"/>
      <x:c r="N10" s="38"/>
    </x:row>
    <x:row r="11">
      <x:c r="B11" s="11" t="str">
        <x:v>Truth modules</x:v>
      </x:c>
      <x:c r="C11" s="17" t="n">
        <x:f>COUNTA('Truth Modules'!B7:B294)</x:f>
        <x:v>288</x:v>
      </x:c>
      <x:c r="D11" s="11" t="str">
        <x:v>modules</x:v>
      </x:c>
      <x:c r="E11" s="11" t="str">
        <x:f>IF(C11='Controls'!$D$12,"PASS","FAIL")</x:f>
        <x:v>PASS</x:v>
      </x:c>
      <x:c r="F11" s="38"/>
      <x:c r="G11" s="38"/>
      <x:c r="H11" s="11" t="str">
        <x:v>Total source-package exposure</x:v>
      </x:c>
      <x:c r="I11" s="17" t="n">
        <x:f>'Annual Support'!C23</x:f>
        <x:v>0.21933333333333338</x:v>
      </x:c>
      <x:c r="J11" s="11" t="str">
        <x:v>USD B</x:v>
      </x:c>
      <x:c r="K11" s="11" t="str">
        <x:f>'Annual Support'!D23</x:f>
        <x:v>PASS</x:v>
      </x:c>
      <x:c r="L11" s="38"/>
      <x:c r="M11" s="38"/>
      <x:c r="N11" s="38"/>
    </x:row>
    <x:row r="12">
      <x:c r="B12" s="11" t="str">
        <x:v>Failure-insertion kits</x:v>
      </x:c>
      <x:c r="C12" s="17" t="n">
        <x:f>COUNTA('Failure Insertion'!B7:B30)</x:f>
        <x:v>24</x:v>
      </x:c>
      <x:c r="D12" s="11" t="str">
        <x:v>kits</x:v>
      </x:c>
      <x:c r="E12" s="11" t="str">
        <x:f>IF(C12='Controls'!$D$21,"PASS","FAIL")</x:f>
        <x:v>PASS</x:v>
      </x:c>
      <x:c r="F12" s="38"/>
      <x:c r="G12" s="38"/>
      <x:c r="H12" s="11" t="str">
        <x:v>PTC-0 capital share</x:v>
      </x:c>
      <x:c r="I12" s="26" t="n">
        <x:f>'Capital'!C30</x:f>
        <x:v>0.39069767441860476</x:v>
      </x:c>
      <x:c r="J12" s="11" t="str">
        <x:v>fraction</x:v>
      </x:c>
      <x:c r="K12" s="11" t="str">
        <x:f>'Capital'!D30</x:f>
        <x:v>PASS</x:v>
      </x:c>
      <x:c r="L12" s="38"/>
      <x:c r="M12" s="38"/>
      <x:c r="N12" s="38"/>
    </x:row>
    <x:row r="13">
      <x:c r="B13" s="11" t="str">
        <x:v>Mounted lane events</x:v>
      </x:c>
      <x:c r="C13" s="17" t="n">
        <x:f>COUNTA('Lane Events'!B7:B126)</x:f>
        <x:v>120</x:v>
      </x:c>
      <x:c r="D13" s="11" t="str">
        <x:v>events</x:v>
      </x:c>
      <x:c r="E13" s="11" t="str">
        <x:f>IF(C13='Controls'!$D$13,"PASS","FAIL")</x:f>
        <x:v>PASS</x:v>
      </x:c>
      <x:c r="F13" s="38"/>
      <x:c r="G13" s="38"/>
      <x:c r="H13" s="11" t="str">
        <x:v>Net-new capital remaining</x:v>
      </x:c>
      <x:c r="I13" s="17" t="n">
        <x:f>'Capital'!C32</x:f>
        <x:v>0.13399999999999995</x:v>
      </x:c>
      <x:c r="J13" s="11" t="str">
        <x:v>USD B</x:v>
      </x:c>
      <x:c r="K13" s="11" t="str">
        <x:f>'Capital'!D32</x:f>
        <x:v>PASS</x:v>
      </x:c>
      <x:c r="L13" s="38"/>
      <x:c r="M13" s="38"/>
      <x:c r="N13" s="38"/>
    </x:row>
    <x:row r="14">
      <x:c r="B14" s="11" t="str">
        <x:v>Campus denial drills</x:v>
      </x:c>
      <x:c r="C14" s="17" t="n">
        <x:f>COUNTA('Campus Drills'!B7:B30)</x:f>
        <x:v>24</x:v>
      </x:c>
      <x:c r="D14" s="11" t="str">
        <x:v>drills</x:v>
      </x:c>
      <x:c r="E14" s="11" t="str">
        <x:f>IF(C14='Controls'!$D$14,"PASS","FAIL")</x:f>
        <x:v>PASS</x:v>
      </x:c>
      <x:c r="F14" s="38"/>
      <x:c r="G14" s="38"/>
      <x:c r="H14" s="11" t="str">
        <x:v>Net-new annual support remaining</x:v>
      </x:c>
      <x:c r="I14" s="17" t="n">
        <x:f>'Annual Support'!C21</x:f>
        <x:v>0.012999999999999998</x:v>
      </x:c>
      <x:c r="J14" s="11" t="str">
        <x:v>USD B/year</x:v>
      </x:c>
      <x:c r="K14" s="11" t="str">
        <x:f>'Annual Support'!D21</x:f>
        <x:v>PASS</x:v>
      </x:c>
      <x:c r="L14" s="38"/>
      <x:c r="M14" s="38"/>
      <x:c r="N14" s="38"/>
    </x:row>
    <x:row r="15">
      <x:c r="B15" s="11" t="str">
        <x:v>Cross-site replays</x:v>
      </x:c>
      <x:c r="C15" s="17" t="n">
        <x:f>COUNTA('Cross-Site Replay'!B7:B18)</x:f>
        <x:v>12</x:v>
      </x:c>
      <x:c r="D15" s="11" t="str">
        <x:v>replays</x:v>
      </x:c>
      <x:c r="E15" s="11" t="str">
        <x:f>IF(C15='Controls'!$D$15,"PASS","FAIL")</x:f>
        <x:v>PASS</x:v>
      </x:c>
      <x:c r="F15" s="38"/>
      <x:c r="G15" s="38"/>
      <x:c r="H15" s="11" t="str">
        <x:v>Planning gates</x:v>
      </x:c>
      <x:c r="I15" s="17" t="n">
        <x:f>COUNTIFS('Release Gates'!C7:C144,"planning",'Release Gates'!H7:H144,"PASS")</x:f>
        <x:v>96</x:v>
      </x:c>
      <x:c r="J15" s="11" t="str">
        <x:v>gates</x:v>
      </x:c>
      <x:c r="K15" s="11" t="str">
        <x:f>IF(I15='Controls'!$D$23,"PASS","FAIL")</x:f>
        <x:v>PASS</x:v>
      </x:c>
      <x:c r="L15" s="38"/>
      <x:c r="M15" s="38"/>
      <x:c r="N15" s="38"/>
    </x:row>
    <x:row r="16">
      <x:c r="B16" s="11" t="str">
        <x:v>Phase-zero total</x:v>
      </x:c>
      <x:c r="C16" s="17" t="n">
        <x:f>C13+C14+C15</x:f>
        <x:v>156</x:v>
      </x:c>
      <x:c r="D16" s="11" t="str">
        <x:v>events</x:v>
      </x:c>
      <x:c r="E16" s="11" t="str">
        <x:f>IF(C16='Controls'!$D$16,"PASS","FAIL")</x:f>
        <x:v>PASS</x:v>
      </x:c>
      <x:c r="F16" s="38"/>
      <x:c r="G16" s="38"/>
      <x:c r="H16" s="11" t="str">
        <x:v>Physical source gates open</x:v>
      </x:c>
      <x:c r="I16" s="17" t="n">
        <x:f>COUNTIFS('Release Gates'!C7:C144,"physical source",'Release Gates'!H7:H144,"OPEN")</x:f>
        <x:v>36</x:v>
      </x:c>
      <x:c r="J16" s="11" t="str">
        <x:v>gates</x:v>
      </x:c>
      <x:c r="K16" s="11" t="str">
        <x:f>IF(I16='Controls'!$D$24,"PASS","FAIL")</x:f>
        <x:v>PASS</x:v>
      </x:c>
      <x:c r="L16" s="38"/>
      <x:c r="M16" s="38"/>
      <x:c r="N16" s="38"/>
    </x:row>
    <x:row r="17">
      <x:c r="B17" s="11" t="str">
        <x:v>Root A bodies</x:v>
      </x:c>
      <x:c r="C17" s="17" t="n">
        <x:f>COUNTIFS('Article Register'!F7:F78,"A")</x:f>
        <x:v>36</x:v>
      </x:c>
      <x:c r="D17" s="11" t="str">
        <x:v>bodies</x:v>
      </x:c>
      <x:c r="E17" s="11" t="str">
        <x:f>IF(C17='Controls'!$D$17,"PASS","FAIL")</x:f>
        <x:v>PASS</x:v>
      </x:c>
      <x:c r="F17" s="38"/>
      <x:c r="G17" s="38"/>
      <x:c r="H17" s="11" t="str">
        <x:v>Downstream gates blocked</x:v>
      </x:c>
      <x:c r="I17" s="17" t="n">
        <x:f>COUNTIFS('Release Gates'!C7:C144,"downstream",'Release Gates'!H7:H144,"BLOCKED")</x:f>
        <x:v>6</x:v>
      </x:c>
      <x:c r="J17" s="11" t="str">
        <x:v>gates</x:v>
      </x:c>
      <x:c r="K17" s="11" t="str">
        <x:f>IF(I17='Controls'!$D$25,"PASS","FAIL")</x:f>
        <x:v>PASS</x:v>
      </x:c>
      <x:c r="L17" s="38"/>
      <x:c r="M17" s="38"/>
      <x:c r="N17" s="38"/>
    </x:row>
    <x:row r="18">
      <x:c r="B18" s="11" t="str">
        <x:v>Root B bodies</x:v>
      </x:c>
      <x:c r="C18" s="17" t="n">
        <x:f>COUNTIFS('Article Register'!F7:F78,"B")</x:f>
        <x:v>36</x:v>
      </x:c>
      <x:c r="D18" s="11" t="str">
        <x:v>bodies</x:v>
      </x:c>
      <x:c r="E18" s="11" t="str">
        <x:f>IF(C18='Controls'!$D$18,"PASS","FAIL")</x:f>
        <x:v>PASS</x:v>
      </x:c>
      <x:c r="F18" s="38"/>
      <x:c r="G18" s="38"/>
      <x:c r="H18" s="11" t="str">
        <x:v>Terminal audits passed</x:v>
      </x:c>
      <x:c r="I18" s="17" t="n">
        <x:f>COUNTIFS('Audit'!H7:H969,"PASS")</x:f>
        <x:v>963</x:v>
      </x:c>
      <x:c r="J18" s="11" t="str">
        <x:v>audits</x:v>
      </x:c>
      <x:c r="K18" s="11" t="str">
        <x:f>IF(I18=963,"PASS","FAIL")</x:f>
        <x:v>PASS</x:v>
      </x:c>
      <x:c r="L18" s="38"/>
      <x:c r="M18" s="38"/>
      <x:c r="N18" s="38"/>
    </x:row>
    <x:row r="19">
      <x:c r="B19" s="11" t="str">
        <x:v>Root A lane events</x:v>
      </x:c>
      <x:c r="C19" s="17" t="n">
        <x:f>COUNTIFS('Lane Events'!H7:H126,"A")</x:f>
        <x:v>60</x:v>
      </x:c>
      <x:c r="D19" s="11" t="str">
        <x:v>events</x:v>
      </x:c>
      <x:c r="E19" s="11" t="str">
        <x:f>IF(C19='Controls'!$D$19,"PASS","FAIL")</x:f>
        <x:v>PASS</x:v>
      </x:c>
      <x:c r="F19" s="38"/>
      <x:c r="G19" s="38"/>
      <x:c r="H19" s="11" t="str">
        <x:v>Terminal audit failures</x:v>
      </x:c>
      <x:c r="I19" s="17" t="n">
        <x:f>COUNTIFS('Audit'!H7:H969,"FAIL")</x:f>
        <x:v>0</x:v>
      </x:c>
      <x:c r="J19" s="11" t="str">
        <x:v>audits</x:v>
      </x:c>
      <x:c r="K19" s="11" t="str">
        <x:f>IF(I19=0,"PASS","FAIL")</x:f>
        <x:v>PASS</x:v>
      </x:c>
      <x:c r="L19" s="38"/>
      <x:c r="M19" s="38"/>
      <x:c r="N19" s="38"/>
    </x:row>
    <x:row r="20">
      <x:c r="B20" s="12" t="str">
        <x:v>Root B lane events</x:v>
      </x:c>
      <x:c r="C20" s="18" t="n">
        <x:f>COUNTIFS('Lane Events'!H7:H126,"B")</x:f>
        <x:v>60</x:v>
      </x:c>
      <x:c r="D20" s="12" t="str">
        <x:v>events</x:v>
      </x:c>
      <x:c r="E20" s="12" t="str">
        <x:f>IF(C20='Controls'!$D$20,"PASS","FAIL")</x:f>
        <x:v>PASS</x:v>
      </x:c>
      <x:c r="F20" s="38"/>
      <x:c r="G20" s="38"/>
      <x:c r="H20" s="12" t="str">
        <x:v>Physical-source authority</x:v>
      </x:c>
      <x:c r="I20" s="18" t="n">
        <x:f>'Controls'!$D$36</x:f>
        <x:v>0</x:v>
      </x:c>
      <x:c r="J20" s="12" t="str">
        <x:v>binary</x:v>
      </x:c>
      <x:c r="K20" s="12" t="str">
        <x:f>IF(I20=1,"AUTHORIZED","OPEN")</x:f>
        <x:v>OPEN</x:v>
      </x:c>
      <x:c r="L20" s="38"/>
      <x:c r="M20" s="38"/>
      <x:c r="N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</x:row>
    <x:row r="23">
      <x:c r="B23" s="23" t="str">
        <x:v>Decision boundary</x:v>
      </x:c>
      <x:c r="C23" s="23" t="str">
        <x:v>Decision boundary</x:v>
      </x:c>
      <x:c r="D23" s="23" t="str">
        <x:v>Decision boundary</x:v>
      </x:c>
      <x:c r="E23" s="23" t="str">
        <x:v>Decision boundary</x:v>
      </x:c>
      <x:c r="F23" s="23" t="str">
        <x:v>Decision boundary</x:v>
      </x:c>
      <x:c r="G23" s="23" t="str">
        <x:v>Decision boundary</x:v>
      </x:c>
      <x:c r="H23" s="23" t="str">
        <x:v>Decision boundary</x:v>
      </x:c>
      <x:c r="I23" s="23" t="str">
        <x:v>Decision boundary</x:v>
      </x:c>
      <x:c r="J23" s="23" t="str">
        <x:v>Decision boundary</x:v>
      </x:c>
      <x:c r="K23" s="23" t="str">
        <x:v>Decision boundary</x:v>
      </x:c>
      <x:c r="L23" s="23" t="str">
        <x:v>Decision boundary</x:v>
      </x:c>
      <x:c r="M23" s="23" t="str">
        <x:v>Decision boundary</x:v>
      </x:c>
      <x:c r="N23" s="23" t="str">
        <x:v>Decision boundary</x:v>
      </x:c>
    </x:row>
    <x:row r="24">
      <x:c r="B24" s="33" t="str">
        <x:v>RSP-1 planning package</x:v>
      </x:c>
      <x:c r="C24" s="33" t="str">
        <x:v>DEFINED</x:v>
      </x:c>
      <x:c r="D24" s="33" t="str">
        <x:v>96 planning gates close on controlled definitions</x:v>
      </x:c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</x:row>
    <x:row r="25">
      <x:c r="B25" s="11" t="str">
        <x:v>Reference bodies and truth modules</x:v>
      </x:c>
      <x:c r="C25" s="11" t="str">
        <x:v>OPEN</x:v>
      </x:c>
      <x:c r="D25" s="11" t="str">
        <x:v>no serialized body or independently measured truth module exists</x:v>
      </x:c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</x:row>
    <x:row r="26">
      <x:c r="B26" s="11" t="str">
        <x:v>Phase-zero execution</x:v>
      </x:c>
      <x:c r="C26" s="11" t="str">
        <x:v>OPEN</x:v>
      </x:c>
      <x:c r="D26" s="11" t="str">
        <x:v>all 156 physical outcomes remain absent</x:v>
      </x:c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</x:row>
    <x:row r="27">
      <x:c r="B27" s="11" t="str">
        <x:v>SDEC-1 execution</x:v>
      </x:c>
      <x:c r="C27" s="11" t="str">
        <x:v>BLOCKED</x:v>
      </x:c>
      <x:c r="D27" s="11" t="str">
        <x:v>thirty-six physical acceptance packets must close first</x:v>
      </x:c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</x:row>
    <x:row r="28">
      <x:c r="B28" s="11" t="str">
        <x:v>Production</x:v>
      </x:c>
      <x:c r="C28" s="11" t="str">
        <x:v>BLOCKED</x:v>
      </x:c>
      <x:c r="D28" s="11" t="str">
        <x:v>source package does not create production authority</x:v>
      </x:c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</x:row>
    <x:row r="29">
      <x:c r="B29" s="12" t="str">
        <x:v>Exterior rendering</x:v>
      </x:c>
      <x:c r="C29" s="12" t="str">
        <x:v>BLOCKED</x:v>
      </x:c>
      <x:c r="D29" s="12" t="str">
        <x:v>internal fixture and evidence diagrams only</x:v>
      </x:c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</x:row>
  </x:sheetData>
  <x:mergeCells>
    <x:mergeCell ref="B2:N2"/>
    <x:mergeCell ref="B3:N3"/>
    <x:mergeCell ref="B6:F6"/>
    <x:mergeCell ref="H6:N6"/>
    <x:mergeCell ref="B23:N23"/>
  </x:mergeCells>
  <x:conditionalFormatting sqref="E8:E20">
    <x:cfRule type="containsText" dxfId="350" priority="1" operator="containsText" text="PASS"/>
    <x:cfRule type="containsText" dxfId="351" priority="2" operator="containsText" text="AUTHORIZED"/>
    <x:cfRule type="containsText" dxfId="352" priority="3" operator="containsText" text="DEFINED"/>
    <x:cfRule type="containsText" dxfId="353" priority="4" operator="containsText" text="READY"/>
    <x:cfRule type="containsText" dxfId="354" priority="5" operator="containsText" text="HOLD"/>
    <x:cfRule type="containsText" dxfId="355" priority="6" operator="containsText" text="OPEN"/>
    <x:cfRule type="containsText" dxfId="356" priority="7" operator="containsText" text="BLOCKED"/>
    <x:cfRule type="containsText" dxfId="357" priority="8" operator="containsText" text="PLANNING"/>
    <x:cfRule type="containsText" dxfId="358" priority="9" operator="containsText" text="QUARANTINE"/>
    <x:cfRule type="containsText" dxfId="359" priority="10" operator="containsText" text="INDETERMINATE"/>
    <x:cfRule type="containsText" dxfId="360" priority="11" operator="containsText" text="FAIL"/>
    <x:cfRule type="containsText" dxfId="361" priority="12" operator="containsText" text="REJECT"/>
    <x:cfRule type="containsText" dxfId="362" priority="13" operator="containsText" text="INVALID"/>
    <x:cfRule type="containsText" dxfId="363" priority="14" operator="containsText" text="STOP"/>
  </x:conditionalFormatting>
  <x:conditionalFormatting sqref="K8:K20">
    <x:cfRule type="containsText" dxfId="364" priority="15" operator="containsText" text="PASS"/>
    <x:cfRule type="containsText" dxfId="365" priority="16" operator="containsText" text="AUTHORIZED"/>
    <x:cfRule type="containsText" dxfId="366" priority="17" operator="containsText" text="DEFINED"/>
    <x:cfRule type="containsText" dxfId="367" priority="18" operator="containsText" text="READY"/>
    <x:cfRule type="containsText" dxfId="368" priority="19" operator="containsText" text="HOLD"/>
    <x:cfRule type="containsText" dxfId="369" priority="20" operator="containsText" text="OPEN"/>
    <x:cfRule type="containsText" dxfId="370" priority="21" operator="containsText" text="BLOCKED"/>
    <x:cfRule type="containsText" dxfId="371" priority="22" operator="containsText" text="PLANNING"/>
    <x:cfRule type="containsText" dxfId="372" priority="23" operator="containsText" text="QUARANTINE"/>
    <x:cfRule type="containsText" dxfId="373" priority="24" operator="containsText" text="INDETERMINATE"/>
    <x:cfRule type="containsText" dxfId="374" priority="25" operator="containsText" text="FAIL"/>
    <x:cfRule type="containsText" dxfId="375" priority="26" operator="containsText" text="REJECT"/>
    <x:cfRule type="containsText" dxfId="376" priority="27" operator="containsText" text="INVALID"/>
    <x:cfRule type="containsText" dxfId="377" priority="28" operator="containsText" text="STOP"/>
  </x:conditionalFormatting>
  <x:conditionalFormatting sqref="C24:C29">
    <x:cfRule type="containsText" dxfId="378" priority="29" operator="containsText" text="PASS"/>
    <x:cfRule type="containsText" dxfId="379" priority="30" operator="containsText" text="AUTHORIZED"/>
    <x:cfRule type="containsText" dxfId="380" priority="31" operator="containsText" text="DEFINED"/>
    <x:cfRule type="containsText" dxfId="381" priority="32" operator="containsText" text="READY"/>
    <x:cfRule type="containsText" dxfId="382" priority="33" operator="containsText" text="HOLD"/>
    <x:cfRule type="containsText" dxfId="383" priority="34" operator="containsText" text="OPEN"/>
    <x:cfRule type="containsText" dxfId="384" priority="35" operator="containsText" text="BLOCKED"/>
    <x:cfRule type="containsText" dxfId="385" priority="36" operator="containsText" text="PLANNING"/>
    <x:cfRule type="containsText" dxfId="386" priority="37" operator="containsText" text="QUARANTINE"/>
    <x:cfRule type="containsText" dxfId="387" priority="38" operator="containsText" text="INDETERMINATE"/>
    <x:cfRule type="containsText" dxfId="388" priority="39" operator="containsText" text="FAIL"/>
    <x:cfRule type="containsText" dxfId="389" priority="40" operator="containsText" text="REJECT"/>
    <x:cfRule type="containsText" dxfId="390" priority="41" operator="containsText" text="INVALID"/>
    <x:cfRule type="containsText" dxfId="391" priority="42" operator="containsText" text="STO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18" hidden="0" customWidth="1"/>
    <x:col min="5" max="5" width="18" hidden="0" customWidth="1"/>
    <x:col min="6" max="6" width="16" hidden="0" customWidth="1"/>
    <x:col min="7" max="7" width="20" hidden="0" customWidth="1"/>
  </x:cols>
  <x:sheetData>
    <x:row r="2">
      <x:c r="B2" s="37" t="str">
        <x:v>RSP-1 controls</x:v>
      </x:c>
      <x:c r="C2" s="38"/>
      <x:c r="D2" s="38"/>
      <x:c r="E2" s="38"/>
      <x:c r="F2" s="38"/>
      <x:c r="G2" s="38"/>
      <x:c r="H2" s="38"/>
    </x:row>
    <x:row r="3">
      <x:c r="B3" s="39" t="str">
        <x:v>Blue values are inherited boundaries or declared source-package hypotheses. Physical observations remain absent.</x:v>
      </x:c>
      <x:c r="C3" s="38"/>
      <x:c r="D3" s="38"/>
      <x:c r="E3" s="38"/>
      <x:c r="F3" s="38"/>
      <x:c r="G3" s="38"/>
      <x:c r="H3" s="38"/>
    </x:row>
    <x:row r="4">
      <x:c r="B4" s="40"/>
      <x:c r="C4" s="40"/>
      <x:c r="D4" s="40"/>
      <x:c r="E4" s="40"/>
      <x:c r="F4" s="40"/>
      <x:c r="G4" s="40"/>
      <x:c r="H4" s="40"/>
    </x:row>
    <x:row r="5">
      <x:c r="B5" s="38"/>
      <x:c r="C5" s="38"/>
      <x:c r="D5" s="38"/>
      <x:c r="E5" s="38"/>
      <x:c r="F5" s="38"/>
      <x:c r="G5" s="38"/>
      <x:c r="H5" s="38"/>
    </x:row>
    <x:row r="6">
      <x:c r="B6" s="9" t="str">
        <x:v>ID</x:v>
      </x:c>
      <x:c r="C6" s="9" t="str">
        <x:v>Control</x:v>
      </x:c>
      <x:c r="D6" s="9" t="str">
        <x:v>Value</x:v>
      </x:c>
      <x:c r="E6" s="9" t="str">
        <x:v>Unit</x:v>
      </x:c>
      <x:c r="F6" s="9" t="str">
        <x:v>State</x:v>
      </x:c>
      <x:c r="G6" s="9" t="str">
        <x:v>Authority</x:v>
      </x:c>
      <x:c r="H6" s="38"/>
    </x:row>
    <x:row r="7">
      <x:c r="B7" s="11" t="str">
        <x:v>C01</x:v>
      </x:c>
      <x:c r="C7" s="11" t="str">
        <x:v>Test families</x:v>
      </x:c>
      <x:c r="D7" s="15" t="n">
        <x:v>6</x:v>
      </x:c>
      <x:c r="E7" s="11" t="str">
        <x:v>families</x:v>
      </x:c>
      <x:c r="F7" s="11" t="str">
        <x:v>FROZEN</x:v>
      </x:c>
      <x:c r="G7" s="11" t="str">
        <x:v>PTC-0</x:v>
      </x:c>
      <x:c r="H7" s="38"/>
    </x:row>
    <x:row r="8">
      <x:c r="B8" s="11" t="str">
        <x:v>C02</x:v>
      </x:c>
      <x:c r="C8" s="11" t="str">
        <x:v>Full-capability lanes</x:v>
      </x:c>
      <x:c r="D8" s="15" t="n">
        <x:v>12</x:v>
      </x:c>
      <x:c r="E8" s="11" t="str">
        <x:v>lanes</x:v>
      </x:c>
      <x:c r="F8" s="11" t="str">
        <x:v>FROZEN</x:v>
      </x:c>
      <x:c r="G8" s="11" t="str">
        <x:v>PTC-0</x:v>
      </x:c>
      <x:c r="H8" s="38"/>
    </x:row>
    <x:row r="9">
      <x:c r="B9" s="11" t="str">
        <x:v>C03</x:v>
      </x:c>
      <x:c r="C9" s="11" t="str">
        <x:v>Reference bodies per lane</x:v>
      </x:c>
      <x:c r="D9" s="15" t="n">
        <x:v>6</x:v>
      </x:c>
      <x:c r="E9" s="11" t="str">
        <x:v>bodies/lane</x:v>
      </x:c>
      <x:c r="F9" s="11" t="str">
        <x:v>DESIGN</x:v>
      </x:c>
      <x:c r="G9" s="11" t="str">
        <x:v>RSP-1</x:v>
      </x:c>
      <x:c r="H9" s="38"/>
    </x:row>
    <x:row r="10">
      <x:c r="B10" s="11" t="str">
        <x:v>C04</x:v>
      </x:c>
      <x:c r="C10" s="11" t="str">
        <x:v>Reference and surrogate bodies</x:v>
      </x:c>
      <x:c r="D10" s="15" t="n">
        <x:v>72</x:v>
      </x:c>
      <x:c r="E10" s="11" t="str">
        <x:v>bodies</x:v>
      </x:c>
      <x:c r="F10" s="11" t="str">
        <x:v>DESIGN</x:v>
      </x:c>
      <x:c r="G10" s="11" t="str">
        <x:v>RSP-1</x:v>
      </x:c>
      <x:c r="H10" s="38"/>
    </x:row>
    <x:row r="11">
      <x:c r="B11" s="11" t="str">
        <x:v>C05</x:v>
      </x:c>
      <x:c r="C11" s="11" t="str">
        <x:v>Truth modules per body</x:v>
      </x:c>
      <x:c r="D11" s="15" t="n">
        <x:v>4</x:v>
      </x:c>
      <x:c r="E11" s="11" t="str">
        <x:v>modules/body</x:v>
      </x:c>
      <x:c r="F11" s="11" t="str">
        <x:v>DESIGN</x:v>
      </x:c>
      <x:c r="G11" s="11" t="str">
        <x:v>RSP-1</x:v>
      </x:c>
      <x:c r="H11" s="38"/>
    </x:row>
    <x:row r="12">
      <x:c r="B12" s="11" t="str">
        <x:v>C06</x:v>
      </x:c>
      <x:c r="C12" s="11" t="str">
        <x:v>Replaceable truth modules</x:v>
      </x:c>
      <x:c r="D12" s="15" t="n">
        <x:v>288</x:v>
      </x:c>
      <x:c r="E12" s="11" t="str">
        <x:v>modules</x:v>
      </x:c>
      <x:c r="F12" s="11" t="str">
        <x:v>DESIGN</x:v>
      </x:c>
      <x:c r="G12" s="11" t="str">
        <x:v>RSP-1</x:v>
      </x:c>
      <x:c r="H12" s="38"/>
    </x:row>
    <x:row r="13">
      <x:c r="B13" s="11" t="str">
        <x:v>C07</x:v>
      </x:c>
      <x:c r="C13" s="11" t="str">
        <x:v>Lane events</x:v>
      </x:c>
      <x:c r="D13" s="15" t="n">
        <x:v>120</x:v>
      </x:c>
      <x:c r="E13" s="11" t="str">
        <x:v>events</x:v>
      </x:c>
      <x:c r="F13" s="11" t="str">
        <x:v>FROZEN</x:v>
      </x:c>
      <x:c r="G13" s="11" t="str">
        <x:v>PTC-0</x:v>
      </x:c>
      <x:c r="H13" s="38"/>
    </x:row>
    <x:row r="14">
      <x:c r="B14" s="11" t="str">
        <x:v>C08</x:v>
      </x:c>
      <x:c r="C14" s="11" t="str">
        <x:v>Campus denial drills</x:v>
      </x:c>
      <x:c r="D14" s="15" t="n">
        <x:v>24</x:v>
      </x:c>
      <x:c r="E14" s="11" t="str">
        <x:v>drills</x:v>
      </x:c>
      <x:c r="F14" s="11" t="str">
        <x:v>FROZEN</x:v>
      </x:c>
      <x:c r="G14" s="11" t="str">
        <x:v>PTC-0</x:v>
      </x:c>
      <x:c r="H14" s="38"/>
    </x:row>
    <x:row r="15">
      <x:c r="B15" s="11" t="str">
        <x:v>C09</x:v>
      </x:c>
      <x:c r="C15" s="11" t="str">
        <x:v>Cross-site reconstructions</x:v>
      </x:c>
      <x:c r="D15" s="15" t="n">
        <x:v>12</x:v>
      </x:c>
      <x:c r="E15" s="11" t="str">
        <x:v>replays</x:v>
      </x:c>
      <x:c r="F15" s="11" t="str">
        <x:v>FROZEN</x:v>
      </x:c>
      <x:c r="G15" s="11" t="str">
        <x:v>PTC-0</x:v>
      </x:c>
      <x:c r="H15" s="38"/>
    </x:row>
    <x:row r="16">
      <x:c r="B16" s="11" t="str">
        <x:v>C10</x:v>
      </x:c>
      <x:c r="C16" s="11" t="str">
        <x:v>Phase-zero events</x:v>
      </x:c>
      <x:c r="D16" s="15" t="n">
        <x:v>156</x:v>
      </x:c>
      <x:c r="E16" s="11" t="str">
        <x:v>events</x:v>
      </x:c>
      <x:c r="F16" s="11" t="str">
        <x:v>FROZEN</x:v>
      </x:c>
      <x:c r="G16" s="11" t="str">
        <x:v>PTC-0</x:v>
      </x:c>
      <x:c r="H16" s="38"/>
    </x:row>
    <x:row r="17">
      <x:c r="B17" s="11" t="str">
        <x:v>C11</x:v>
      </x:c>
      <x:c r="C17" s="11" t="str">
        <x:v>Root A reference bodies</x:v>
      </x:c>
      <x:c r="D17" s="15" t="n">
        <x:v>36</x:v>
      </x:c>
      <x:c r="E17" s="11" t="str">
        <x:v>bodies</x:v>
      </x:c>
      <x:c r="F17" s="11" t="str">
        <x:v>DESIGN</x:v>
      </x:c>
      <x:c r="G17" s="11" t="str">
        <x:v>RSP-1</x:v>
      </x:c>
      <x:c r="H17" s="38"/>
    </x:row>
    <x:row r="18">
      <x:c r="B18" s="11" t="str">
        <x:v>C12</x:v>
      </x:c>
      <x:c r="C18" s="11" t="str">
        <x:v>Root B reference bodies</x:v>
      </x:c>
      <x:c r="D18" s="15" t="n">
        <x:v>36</x:v>
      </x:c>
      <x:c r="E18" s="11" t="str">
        <x:v>bodies</x:v>
      </x:c>
      <x:c r="F18" s="11" t="str">
        <x:v>DESIGN</x:v>
      </x:c>
      <x:c r="G18" s="11" t="str">
        <x:v>RSP-1</x:v>
      </x:c>
      <x:c r="H18" s="38"/>
    </x:row>
    <x:row r="19">
      <x:c r="B19" s="11" t="str">
        <x:v>C13</x:v>
      </x:c>
      <x:c r="C19" s="11" t="str">
        <x:v>Root A lane events</x:v>
      </x:c>
      <x:c r="D19" s="15" t="n">
        <x:v>60</x:v>
      </x:c>
      <x:c r="E19" s="11" t="str">
        <x:v>events</x:v>
      </x:c>
      <x:c r="F19" s="11" t="str">
        <x:v>DESIGN</x:v>
      </x:c>
      <x:c r="G19" s="11" t="str">
        <x:v>RSP-1</x:v>
      </x:c>
      <x:c r="H19" s="38"/>
    </x:row>
    <x:row r="20">
      <x:c r="B20" s="11" t="str">
        <x:v>C14</x:v>
      </x:c>
      <x:c r="C20" s="11" t="str">
        <x:v>Root B lane events</x:v>
      </x:c>
      <x:c r="D20" s="15" t="n">
        <x:v>60</x:v>
      </x:c>
      <x:c r="E20" s="11" t="str">
        <x:v>events</x:v>
      </x:c>
      <x:c r="F20" s="11" t="str">
        <x:v>DESIGN</x:v>
      </x:c>
      <x:c r="G20" s="11" t="str">
        <x:v>RSP-1</x:v>
      </x:c>
      <x:c r="H20" s="38"/>
    </x:row>
    <x:row r="21">
      <x:c r="B21" s="11" t="str">
        <x:v>C15</x:v>
      </x:c>
      <x:c r="C21" s="11" t="str">
        <x:v>Failure-insertion kits</x:v>
      </x:c>
      <x:c r="D21" s="15" t="n">
        <x:v>24</x:v>
      </x:c>
      <x:c r="E21" s="11" t="str">
        <x:v>kits</x:v>
      </x:c>
      <x:c r="F21" s="11" t="str">
        <x:v>DESIGN</x:v>
      </x:c>
      <x:c r="G21" s="11" t="str">
        <x:v>RSP-1</x:v>
      </x:c>
      <x:c r="H21" s="38"/>
    </x:row>
    <x:row r="22">
      <x:c r="B22" s="11" t="str">
        <x:v>C16</x:v>
      </x:c>
      <x:c r="C22" s="11" t="str">
        <x:v>Root-family source-term ledgers</x:v>
      </x:c>
      <x:c r="D22" s="15" t="n">
        <x:v>12</x:v>
      </x:c>
      <x:c r="E22" s="11" t="str">
        <x:v>ledgers</x:v>
      </x:c>
      <x:c r="F22" s="11" t="str">
        <x:v>DESIGN</x:v>
      </x:c>
      <x:c r="G22" s="11" t="str">
        <x:v>RSP-1</x:v>
      </x:c>
      <x:c r="H22" s="38"/>
    </x:row>
    <x:row r="23">
      <x:c r="B23" s="11" t="str">
        <x:v>C17</x:v>
      </x:c>
      <x:c r="C23" s="11" t="str">
        <x:v>Planning gates</x:v>
      </x:c>
      <x:c r="D23" s="15" t="n">
        <x:v>96</x:v>
      </x:c>
      <x:c r="E23" s="11" t="str">
        <x:v>gates</x:v>
      </x:c>
      <x:c r="F23" s="11" t="str">
        <x:v>DESIGN</x:v>
      </x:c>
      <x:c r="G23" s="11" t="str">
        <x:v>RSP-1</x:v>
      </x:c>
      <x:c r="H23" s="38"/>
    </x:row>
    <x:row r="24">
      <x:c r="B24" s="11" t="str">
        <x:v>C18</x:v>
      </x:c>
      <x:c r="C24" s="11" t="str">
        <x:v>Physical source gates</x:v>
      </x:c>
      <x:c r="D24" s="15" t="n">
        <x:v>36</x:v>
      </x:c>
      <x:c r="E24" s="11" t="str">
        <x:v>gates</x:v>
      </x:c>
      <x:c r="F24" s="11" t="str">
        <x:v>FROZEN</x:v>
      </x:c>
      <x:c r="G24" s="11" t="str">
        <x:v>PTC-0</x:v>
      </x:c>
      <x:c r="H24" s="38"/>
    </x:row>
    <x:row r="25">
      <x:c r="B25" s="11" t="str">
        <x:v>C19</x:v>
      </x:c>
      <x:c r="C25" s="11" t="str">
        <x:v>Downstream gates</x:v>
      </x:c>
      <x:c r="D25" s="15" t="n">
        <x:v>6</x:v>
      </x:c>
      <x:c r="E25" s="11" t="str">
        <x:v>gates</x:v>
      </x:c>
      <x:c r="F25" s="11" t="str">
        <x:v>FROZEN</x:v>
      </x:c>
      <x:c r="G25" s="11" t="str">
        <x:v>PTC-0</x:v>
      </x:c>
      <x:c r="H25" s="38"/>
    </x:row>
    <x:row r="26">
      <x:c r="B26" s="11" t="str">
        <x:v>C20</x:v>
      </x:c>
      <x:c r="C26" s="11" t="str">
        <x:v>Source-package delivery window</x:v>
      </x:c>
      <x:c r="D26" s="15" t="n">
        <x:v>14</x:v>
      </x:c>
      <x:c r="E26" s="11" t="str">
        <x:v>months</x:v>
      </x:c>
      <x:c r="F26" s="11" t="str">
        <x:v>DESIGN</x:v>
      </x:c>
      <x:c r="G26" s="11" t="str">
        <x:v>RSP-1</x:v>
      </x:c>
      <x:c r="H26" s="38"/>
    </x:row>
    <x:row r="27">
      <x:c r="B27" s="11" t="str">
        <x:v>C21</x:v>
      </x:c>
      <x:c r="C27" s="11" t="str">
        <x:v>Source-package capital</x:v>
      </x:c>
      <x:c r="D27" s="15" t="n">
        <x:v>0.168</x:v>
      </x:c>
      <x:c r="E27" s="11" t="str">
        <x:v>USD B</x:v>
      </x:c>
      <x:c r="F27" s="11" t="str">
        <x:v>DESIGN</x:v>
      </x:c>
      <x:c r="G27" s="11" t="str">
        <x:v>RSP-1</x:v>
      </x:c>
      <x:c r="H27" s="38"/>
    </x:row>
    <x:row r="28">
      <x:c r="B28" s="11" t="str">
        <x:v>C22</x:v>
      </x:c>
      <x:c r="C28" s="11" t="str">
        <x:v>Source-package annual support</x:v>
      </x:c>
      <x:c r="D28" s="15" t="n">
        <x:v>0.044</x:v>
      </x:c>
      <x:c r="E28" s="11" t="str">
        <x:v>USD B/year</x:v>
      </x:c>
      <x:c r="F28" s="11" t="str">
        <x:v>DESIGN</x:v>
      </x:c>
      <x:c r="G28" s="11" t="str">
        <x:v>RSP-1</x:v>
      </x:c>
      <x:c r="H28" s="38"/>
    </x:row>
    <x:row r="29">
      <x:c r="B29" s="11" t="str">
        <x:v>C23</x:v>
      </x:c>
      <x:c r="C29" s="11" t="str">
        <x:v>PTC-0 physical-use capital</x:v>
      </x:c>
      <x:c r="D29" s="15" t="n">
        <x:v>0.43</x:v>
      </x:c>
      <x:c r="E29" s="11" t="str">
        <x:v>USD B</x:v>
      </x:c>
      <x:c r="F29" s="11" t="str">
        <x:v>FROZEN</x:v>
      </x:c>
      <x:c r="G29" s="11" t="str">
        <x:v>PTC-0</x:v>
      </x:c>
      <x:c r="H29" s="38"/>
    </x:row>
    <x:row r="30">
      <x:c r="B30" s="11" t="str">
        <x:v>C24</x:v>
      </x:c>
      <x:c r="C30" s="11" t="str">
        <x:v>PTC-0 physical-use annual support</x:v>
      </x:c>
      <x:c r="D30" s="15" t="n">
        <x:v>0.098</x:v>
      </x:c>
      <x:c r="E30" s="11" t="str">
        <x:v>USD B/year</x:v>
      </x:c>
      <x:c r="F30" s="11" t="str">
        <x:v>FROZEN</x:v>
      </x:c>
      <x:c r="G30" s="11" t="str">
        <x:v>PTC-0</x:v>
      </x:c>
      <x:c r="H30" s="38"/>
    </x:row>
    <x:row r="31">
      <x:c r="B31" s="11" t="str">
        <x:v>C25</x:v>
      </x:c>
      <x:c r="C31" s="11" t="str">
        <x:v>PTC-0 net-new CISA capital</x:v>
      </x:c>
      <x:c r="D31" s="15" t="n">
        <x:v>0.302</x:v>
      </x:c>
      <x:c r="E31" s="11" t="str">
        <x:v>USD B</x:v>
      </x:c>
      <x:c r="F31" s="11" t="str">
        <x:v>FROZEN</x:v>
      </x:c>
      <x:c r="G31" s="11" t="str">
        <x:v>PTC-0</x:v>
      </x:c>
      <x:c r="H31" s="38"/>
    </x:row>
    <x:row r="32">
      <x:c r="B32" s="11" t="str">
        <x:v>C26</x:v>
      </x:c>
      <x:c r="C32" s="11" t="str">
        <x:v>PTC-0 net-new CISA annual support</x:v>
      </x:c>
      <x:c r="D32" s="15" t="n">
        <x:v>0.057</x:v>
      </x:c>
      <x:c r="E32" s="11" t="str">
        <x:v>USD B/year</x:v>
      </x:c>
      <x:c r="F32" s="11" t="str">
        <x:v>FROZEN</x:v>
      </x:c>
      <x:c r="G32" s="11" t="str">
        <x:v>PTC-0</x:v>
      </x:c>
      <x:c r="H32" s="38"/>
    </x:row>
    <x:row r="33">
      <x:c r="B33" s="11" t="str">
        <x:v>C27</x:v>
      </x:c>
      <x:c r="C33" s="11" t="str">
        <x:v>Independent originals</x:v>
      </x:c>
      <x:c r="D33" s="15" t="n">
        <x:v>2</x:v>
      </x:c>
      <x:c r="E33" s="11" t="str">
        <x:v>originals</x:v>
      </x:c>
      <x:c r="F33" s="11" t="str">
        <x:v>FROZEN</x:v>
      </x:c>
      <x:c r="G33" s="11" t="str">
        <x:v>SDEC-1</x:v>
      </x:c>
      <x:c r="H33" s="38"/>
    </x:row>
    <x:row r="34">
      <x:c r="B34" s="11" t="str">
        <x:v>C28</x:v>
      </x:c>
      <x:c r="C34" s="11" t="str">
        <x:v>Required authority signatures per source gate</x:v>
      </x:c>
      <x:c r="D34" s="15" t="n">
        <x:v>2</x:v>
      </x:c>
      <x:c r="E34" s="11" t="str">
        <x:v>signatures</x:v>
      </x:c>
      <x:c r="F34" s="11" t="str">
        <x:v>DESIGN</x:v>
      </x:c>
      <x:c r="G34" s="11" t="str">
        <x:v>RSP-1</x:v>
      </x:c>
      <x:c r="H34" s="38"/>
    </x:row>
    <x:row r="35">
      <x:c r="B35" s="11" t="str">
        <x:v>C29</x:v>
      </x:c>
      <x:c r="C35" s="11" t="str">
        <x:v>Required source hashes per source gate</x:v>
      </x:c>
      <x:c r="D35" s="15" t="n">
        <x:v>2</x:v>
      </x:c>
      <x:c r="E35" s="11" t="str">
        <x:v>hashes</x:v>
      </x:c>
      <x:c r="F35" s="11" t="str">
        <x:v>DESIGN</x:v>
      </x:c>
      <x:c r="G35" s="11" t="str">
        <x:v>RSP-1</x:v>
      </x:c>
      <x:c r="H35" s="38"/>
    </x:row>
    <x:row r="36">
      <x:c r="B36" s="11" t="str">
        <x:v>C30</x:v>
      </x:c>
      <x:c r="C36" s="11" t="str">
        <x:v>Reference-body physical acceptance</x:v>
      </x:c>
      <x:c r="D36" s="15" t="n">
        <x:v>0</x:v>
      </x:c>
      <x:c r="E36" s="11" t="str">
        <x:v>binary</x:v>
      </x:c>
      <x:c r="F36" s="11" t="str">
        <x:v>OPEN</x:v>
      </x:c>
      <x:c r="G36" s="11" t="str">
        <x:v>physical source</x:v>
      </x:c>
      <x:c r="H36" s="38"/>
    </x:row>
    <x:row r="37">
      <x:c r="B37" s="11" t="str">
        <x:v>C31</x:v>
      </x:c>
      <x:c r="C37" s="11" t="str">
        <x:v>Site physical acceptance</x:v>
      </x:c>
      <x:c r="D37" s="15" t="n">
        <x:v>0</x:v>
      </x:c>
      <x:c r="E37" s="11" t="str">
        <x:v>binary</x:v>
      </x:c>
      <x:c r="F37" s="11" t="str">
        <x:v>OPEN</x:v>
      </x:c>
      <x:c r="G37" s="11" t="str">
        <x:v>physical source</x:v>
      </x:c>
      <x:c r="H37" s="38"/>
    </x:row>
    <x:row r="38">
      <x:c r="B38" s="11" t="str">
        <x:v>C32</x:v>
      </x:c>
      <x:c r="C38" s="11" t="str">
        <x:v>Lane physical commissioning</x:v>
      </x:c>
      <x:c r="D38" s="15" t="n">
        <x:v>0</x:v>
      </x:c>
      <x:c r="E38" s="11" t="str">
        <x:v>binary</x:v>
      </x:c>
      <x:c r="F38" s="11" t="str">
        <x:v>OPEN</x:v>
      </x:c>
      <x:c r="G38" s="11" t="str">
        <x:v>physical source</x:v>
      </x:c>
      <x:c r="H38" s="38"/>
    </x:row>
    <x:row r="39">
      <x:c r="B39" s="11" t="str">
        <x:v>C33</x:v>
      </x:c>
      <x:c r="C39" s="11" t="str">
        <x:v>SDEC-1 execution authority</x:v>
      </x:c>
      <x:c r="D39" s="15" t="n">
        <x:v>0</x:v>
      </x:c>
      <x:c r="E39" s="11" t="str">
        <x:v>binary</x:v>
      </x:c>
      <x:c r="F39" s="11" t="str">
        <x:v>BLOCKED</x:v>
      </x:c>
      <x:c r="G39" s="11" t="str">
        <x:v>downstream</x:v>
      </x:c>
      <x:c r="H39" s="38"/>
    </x:row>
    <x:row r="40">
      <x:c r="B40" s="11" t="str">
        <x:v>C34</x:v>
      </x:c>
      <x:c r="C40" s="11" t="str">
        <x:v>Complete-article admission</x:v>
      </x:c>
      <x:c r="D40" s="15" t="n">
        <x:v>0</x:v>
      </x:c>
      <x:c r="E40" s="11" t="str">
        <x:v>binary</x:v>
      </x:c>
      <x:c r="F40" s="11" t="str">
        <x:v>BLOCKED</x:v>
      </x:c>
      <x:c r="G40" s="11" t="str">
        <x:v>downstream</x:v>
      </x:c>
      <x:c r="H40" s="38"/>
    </x:row>
    <x:row r="41">
      <x:c r="B41" s="11" t="str">
        <x:v>C35</x:v>
      </x:c>
      <x:c r="C41" s="11" t="str">
        <x:v>CISA-RB1 disposition</x:v>
      </x:c>
      <x:c r="D41" s="15" t="n">
        <x:v>0</x:v>
      </x:c>
      <x:c r="E41" s="11" t="str">
        <x:v>binary</x:v>
      </x:c>
      <x:c r="F41" s="11" t="str">
        <x:v>BLOCKED</x:v>
      </x:c>
      <x:c r="G41" s="11" t="str">
        <x:v>downstream</x:v>
      </x:c>
      <x:c r="H41" s="38"/>
    </x:row>
    <x:row r="42">
      <x:c r="B42" s="11" t="str">
        <x:v>C36</x:v>
      </x:c>
      <x:c r="C42" s="11" t="str">
        <x:v>CRC-E01 admission</x:v>
      </x:c>
      <x:c r="D42" s="15" t="n">
        <x:v>0</x:v>
      </x:c>
      <x:c r="E42" s="11" t="str">
        <x:v>binary</x:v>
      </x:c>
      <x:c r="F42" s="11" t="str">
        <x:v>BLOCKED</x:v>
      </x:c>
      <x:c r="G42" s="11" t="str">
        <x:v>downstream</x:v>
      </x:c>
      <x:c r="H42" s="38"/>
    </x:row>
    <x:row r="43">
      <x:c r="B43" s="11" t="str">
        <x:v>C37</x:v>
      </x:c>
      <x:c r="C43" s="11" t="str">
        <x:v>Production authority</x:v>
      </x:c>
      <x:c r="D43" s="15" t="n">
        <x:v>0</x:v>
      </x:c>
      <x:c r="E43" s="11" t="str">
        <x:v>binary</x:v>
      </x:c>
      <x:c r="F43" s="11" t="str">
        <x:v>BLOCKED</x:v>
      </x:c>
      <x:c r="G43" s="11" t="str">
        <x:v>downstream</x:v>
      </x:c>
      <x:c r="H43" s="38"/>
    </x:row>
    <x:row r="44">
      <x:c r="B44" s="11" t="str">
        <x:v>C38</x:v>
      </x:c>
      <x:c r="C44" s="11" t="str">
        <x:v>Exterior rendering authority</x:v>
      </x:c>
      <x:c r="D44" s="15" t="n">
        <x:v>0</x:v>
      </x:c>
      <x:c r="E44" s="11" t="str">
        <x:v>binary</x:v>
      </x:c>
      <x:c r="F44" s="11" t="str">
        <x:v>BLOCKED</x:v>
      </x:c>
      <x:c r="G44" s="11" t="str">
        <x:v>downstream</x:v>
      </x:c>
      <x:c r="H44" s="38"/>
    </x:row>
    <x:row r="45">
      <x:c r="B45" s="12" t="str">
        <x:v>C39</x:v>
      </x:c>
      <x:c r="C45" s="12" t="str">
        <x:v>Financial execution authority</x:v>
      </x:c>
      <x:c r="D45" s="16" t="n">
        <x:v>0</x:v>
      </x:c>
      <x:c r="E45" s="12" t="str">
        <x:v>binary</x:v>
      </x:c>
      <x:c r="F45" s="12" t="str">
        <x:v>OPEN</x:v>
      </x:c>
      <x:c r="G45" s="12" t="str">
        <x:v>funding source</x:v>
      </x:c>
      <x:c r="H45" s="38"/>
    </x:row>
  </x:sheetData>
  <x:mergeCells>
    <x:mergeCell ref="B2:H2"/>
    <x:mergeCell ref="B3:H3"/>
  </x:mergeCells>
  <x:conditionalFormatting sqref="F7:F45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QUARANTINE"/>
    <x:cfRule type="containsText" dxfId="9" priority="10" operator="containsText" text="INDETERMINATE"/>
    <x:cfRule type="containsText" dxfId="10" priority="11" operator="containsText" text="FAIL"/>
    <x:cfRule type="containsText" dxfId="11" priority="12" operator="containsText" text="REJECT"/>
    <x:cfRule type="containsText" dxfId="12" priority="13" operator="containsText" text="INVALID"/>
    <x:cfRule type="containsText" dxfId="13" priority="14" operator="containsText" text="STOP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1" hidden="0" customWidth="1"/>
    <x:col min="4" max="4" width="10" hidden="0" customWidth="1"/>
    <x:col min="5" max="5" width="11" hidden="0" customWidth="1"/>
    <x:col min="6" max="6" width="8" hidden="0" customWidth="1"/>
    <x:col min="7" max="7" width="8" hidden="0" customWidth="1"/>
    <x:col min="8" max="8" width="29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3" hidden="0" customWidth="1"/>
    <x:col min="15" max="15" width="14" hidden="0" customWidth="1"/>
    <x:col min="16" max="16" width="18" hidden="0" customWidth="1"/>
    <x:col min="17" max="17" width="15" hidden="0" customWidth="1"/>
    <x:col min="18" max="18" width="14" hidden="0" customWidth="1"/>
  </x:cols>
  <x:sheetData>
    <x:row r="2">
      <x:c r="B2" s="37" t="str">
        <x:v>Seventy-two root-native reference bodies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3">
      <x:c r="B3" s="39" t="str">
        <x:v>Each lane receives three bodies from each root. Bodies accept replaceable truth modules but retain independent material and build ancestry.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B6" s="9" t="str">
        <x:v>Article ID</x:v>
      </x:c>
      <x:c r="C6" s="9" t="str">
        <x:v>Lane</x:v>
      </x:c>
      <x:c r="D6" s="9" t="str">
        <x:v>Family</x:v>
      </x:c>
      <x:c r="E6" s="9" t="str">
        <x:v>Site</x:v>
      </x:c>
      <x:c r="F6" s="9" t="str">
        <x:v>Root</x:v>
      </x:c>
      <x:c r="G6" s="9" t="str">
        <x:v>Slot</x:v>
      </x:c>
      <x:c r="H6" s="9" t="str">
        <x:v>Preassigned role</x:v>
      </x:c>
      <x:c r="I6" s="9" t="str">
        <x:v>Planned events</x:v>
      </x:c>
      <x:c r="J6" s="9" t="str">
        <x:v>Truth modules</x:v>
      </x:c>
      <x:c r="K6" s="9" t="str">
        <x:v>Build packet</x:v>
      </x:c>
      <x:c r="L6" s="9" t="str">
        <x:v>Material genealogy</x:v>
      </x:c>
      <x:c r="M6" s="9" t="str">
        <x:v>As-built metrology</x:v>
      </x:c>
      <x:c r="N6" s="9" t="str">
        <x:v>Truth plan</x:v>
      </x:c>
      <x:c r="O6" s="9" t="str">
        <x:v>Custody seal</x:v>
      </x:c>
      <x:c r="P6" s="9" t="str">
        <x:v>Physical acceptance</x:v>
      </x:c>
      <x:c r="Q6" s="9" t="str">
        <x:v>Planning state</x:v>
      </x:c>
      <x:c r="R6" s="9" t="str">
        <x:v>Source state</x:v>
      </x:c>
    </x:row>
    <x:row r="7">
      <x:c r="B7" s="11" t="str">
        <x:v>RA-SA1-01-A1</x:v>
      </x:c>
      <x:c r="C7" s="11" t="str">
        <x:v>LN-01</x:v>
      </x:c>
      <x:c r="D7" s="11" t="str">
        <x:v>SA1</x:v>
      </x:c>
      <x:c r="E7" s="11" t="str">
        <x:v>PTC-A</x:v>
      </x:c>
      <x:c r="F7" s="11" t="str">
        <x:v>A</x:v>
      </x:c>
      <x:c r="G7" s="11" t="n">
        <x:v>1</x:v>
      </x:c>
      <x:c r="H7" s="11" t="str">
        <x:v>retained transfer reference</x:v>
      </x:c>
      <x:c r="I7" s="11" t="n">
        <x:v>3</x:v>
      </x:c>
      <x:c r="J7" s="11" t="n">
        <x:v>4</x:v>
      </x:c>
      <x:c r="K7" s="11" t="n">
        <x:v>1</x:v>
      </x:c>
      <x:c r="L7" s="11" t="n">
        <x:v>1</x:v>
      </x:c>
      <x:c r="M7" s="11" t="n">
        <x:v>1</x:v>
      </x:c>
      <x:c r="N7" s="11" t="n">
        <x:v>1</x:v>
      </x:c>
      <x:c r="O7" s="13" t="n">
        <x:v>0</x:v>
      </x:c>
      <x:c r="P7" s="13" t="n">
        <x:v>0</x:v>
      </x:c>
      <x:c r="Q7" s="11" t="str">
        <x:f>IF(AND(J7=4,K7=1,L7=1,M7=1,N7=1),"PASS","FAIL")</x:f>
        <x:v>PASS</x:v>
      </x:c>
      <x:c r="R7" s="11" t="str">
        <x:f>IF(Q7&lt;&gt;"PASS","FAIL",IF(AND(O7=1,P7=1),"PASS","OPEN"))</x:f>
        <x:v>OPEN</x:v>
      </x:c>
    </x:row>
    <x:row r="8">
      <x:c r="B8" s="11" t="str">
        <x:v>RA-SA1-01-A2</x:v>
      </x:c>
      <x:c r="C8" s="11" t="str">
        <x:v>LN-01</x:v>
      </x:c>
      <x:c r="D8" s="11" t="str">
        <x:v>SA1</x:v>
      </x:c>
      <x:c r="E8" s="11" t="str">
        <x:v>PTC-A</x:v>
      </x:c>
      <x:c r="F8" s="11" t="str">
        <x:v>A</x:v>
      </x:c>
      <x:c r="G8" s="11" t="n">
        <x:v>2</x:v>
      </x:c>
      <x:c r="H8" s="11" t="str">
        <x:v>destructive truth witness</x:v>
      </x:c>
      <x:c r="I8" s="11" t="n">
        <x:v>1</x:v>
      </x:c>
      <x:c r="J8" s="11" t="n">
        <x:v>4</x:v>
      </x:c>
      <x:c r="K8" s="11" t="n">
        <x:v>1</x:v>
      </x:c>
      <x:c r="L8" s="11" t="n">
        <x:v>1</x:v>
      </x:c>
      <x:c r="M8" s="11" t="n">
        <x:v>1</x:v>
      </x:c>
      <x:c r="N8" s="11" t="n">
        <x:v>1</x:v>
      </x:c>
      <x:c r="O8" s="13" t="n">
        <x:v>0</x:v>
      </x:c>
      <x:c r="P8" s="13" t="n">
        <x:v>0</x:v>
      </x:c>
      <x:c r="Q8" s="11" t="str">
        <x:f>IF(AND(J8=4,K8=1,L8=1,M8=1,N8=1),"PASS","FAIL")</x:f>
        <x:v>PASS</x:v>
      </x:c>
      <x:c r="R8" s="11" t="str">
        <x:f>IF(Q8&lt;&gt;"PASS","FAIL",IF(AND(O8=1,P8=1),"PASS","OPEN"))</x:f>
        <x:v>OPEN</x:v>
      </x:c>
    </x:row>
    <x:row r="9">
      <x:c r="B9" s="11" t="str">
        <x:v>RA-SA1-01-A3</x:v>
      </x:c>
      <x:c r="C9" s="11" t="str">
        <x:v>LN-01</x:v>
      </x:c>
      <x:c r="D9" s="11" t="str">
        <x:v>SA1</x:v>
      </x:c>
      <x:c r="E9" s="11" t="str">
        <x:v>PTC-A</x:v>
      </x:c>
      <x:c r="F9" s="11" t="str">
        <x:v>A</x:v>
      </x:c>
      <x:c r="G9" s="11" t="n">
        <x:v>3</x:v>
      </x:c>
      <x:c r="H9" s="11" t="str">
        <x:v>failure and quarantine carrier</x:v>
      </x:c>
      <x:c r="I9" s="11" t="n">
        <x:v>1</x:v>
      </x:c>
      <x:c r="J9" s="11" t="n">
        <x:v>4</x:v>
      </x:c>
      <x:c r="K9" s="11" t="n">
        <x:v>1</x:v>
      </x:c>
      <x:c r="L9" s="11" t="n">
        <x:v>1</x:v>
      </x:c>
      <x:c r="M9" s="11" t="n">
        <x:v>1</x:v>
      </x:c>
      <x:c r="N9" s="11" t="n">
        <x:v>1</x:v>
      </x:c>
      <x:c r="O9" s="13" t="n">
        <x:v>0</x:v>
      </x:c>
      <x:c r="P9" s="13" t="n">
        <x:v>0</x:v>
      </x:c>
      <x:c r="Q9" s="11" t="str">
        <x:f>IF(AND(J9=4,K9=1,L9=1,M9=1,N9=1),"PASS","FAIL")</x:f>
        <x:v>PASS</x:v>
      </x:c>
      <x:c r="R9" s="11" t="str">
        <x:f>IF(Q9&lt;&gt;"PASS","FAIL",IF(AND(O9=1,P9=1),"PASS","OPEN"))</x:f>
        <x:v>OPEN</x:v>
      </x:c>
    </x:row>
    <x:row r="10">
      <x:c r="B10" s="11" t="str">
        <x:v>RA-SA1-01-B1</x:v>
      </x:c>
      <x:c r="C10" s="11" t="str">
        <x:v>LN-01</x:v>
      </x:c>
      <x:c r="D10" s="11" t="str">
        <x:v>SA1</x:v>
      </x:c>
      <x:c r="E10" s="11" t="str">
        <x:v>PTC-A</x:v>
      </x:c>
      <x:c r="F10" s="11" t="str">
        <x:v>B</x:v>
      </x:c>
      <x:c r="G10" s="11" t="n">
        <x:v>1</x:v>
      </x:c>
      <x:c r="H10" s="11" t="str">
        <x:v>retained transfer reference</x:v>
      </x:c>
      <x:c r="I10" s="11" t="n">
        <x:v>1</x:v>
      </x:c>
      <x:c r="J10" s="11" t="n">
        <x:v>4</x:v>
      </x:c>
      <x:c r="K10" s="11" t="n">
        <x:v>1</x:v>
      </x:c>
      <x:c r="L10" s="11" t="n">
        <x:v>1</x:v>
      </x:c>
      <x:c r="M10" s="11" t="n">
        <x:v>1</x:v>
      </x:c>
      <x:c r="N10" s="11" t="n">
        <x:v>1</x:v>
      </x:c>
      <x:c r="O10" s="13" t="n">
        <x:v>0</x:v>
      </x:c>
      <x:c r="P10" s="13" t="n">
        <x:v>0</x:v>
      </x:c>
      <x:c r="Q10" s="11" t="str">
        <x:f>IF(AND(J10=4,K10=1,L10=1,M10=1,N10=1),"PASS","FAIL")</x:f>
        <x:v>PASS</x:v>
      </x:c>
      <x:c r="R10" s="11" t="str">
        <x:f>IF(Q10&lt;&gt;"PASS","FAIL",IF(AND(O10=1,P10=1),"PASS","OPEN"))</x:f>
        <x:v>OPEN</x:v>
      </x:c>
    </x:row>
    <x:row r="11">
      <x:c r="B11" s="11" t="str">
        <x:v>RA-SA1-01-B2</x:v>
      </x:c>
      <x:c r="C11" s="11" t="str">
        <x:v>LN-01</x:v>
      </x:c>
      <x:c r="D11" s="11" t="str">
        <x:v>SA1</x:v>
      </x:c>
      <x:c r="E11" s="11" t="str">
        <x:v>PTC-A</x:v>
      </x:c>
      <x:c r="F11" s="11" t="str">
        <x:v>B</x:v>
      </x:c>
      <x:c r="G11" s="11" t="n">
        <x:v>2</x:v>
      </x:c>
      <x:c r="H11" s="11" t="str">
        <x:v>destructive truth witness</x:v>
      </x:c>
      <x:c r="I11" s="11" t="n">
        <x:v>2</x:v>
      </x:c>
      <x:c r="J11" s="11" t="n">
        <x:v>4</x:v>
      </x:c>
      <x:c r="K11" s="11" t="n">
        <x:v>1</x:v>
      </x:c>
      <x:c r="L11" s="11" t="n">
        <x:v>1</x:v>
      </x:c>
      <x:c r="M11" s="11" t="n">
        <x:v>1</x:v>
      </x:c>
      <x:c r="N11" s="11" t="n">
        <x:v>1</x:v>
      </x:c>
      <x:c r="O11" s="13" t="n">
        <x:v>0</x:v>
      </x:c>
      <x:c r="P11" s="13" t="n">
        <x:v>0</x:v>
      </x:c>
      <x:c r="Q11" s="11" t="str">
        <x:f>IF(AND(J11=4,K11=1,L11=1,M11=1,N11=1),"PASS","FAIL")</x:f>
        <x:v>PASS</x:v>
      </x:c>
      <x:c r="R11" s="11" t="str">
        <x:f>IF(Q11&lt;&gt;"PASS","FAIL",IF(AND(O11=1,P11=1),"PASS","OPEN"))</x:f>
        <x:v>OPEN</x:v>
      </x:c>
    </x:row>
    <x:row r="12">
      <x:c r="B12" s="11" t="str">
        <x:v>RA-SA1-01-B3</x:v>
      </x:c>
      <x:c r="C12" s="11" t="str">
        <x:v>LN-01</x:v>
      </x:c>
      <x:c r="D12" s="11" t="str">
        <x:v>SA1</x:v>
      </x:c>
      <x:c r="E12" s="11" t="str">
        <x:v>PTC-A</x:v>
      </x:c>
      <x:c r="F12" s="11" t="str">
        <x:v>B</x:v>
      </x:c>
      <x:c r="G12" s="11" t="n">
        <x:v>3</x:v>
      </x:c>
      <x:c r="H12" s="11" t="str">
        <x:v>failure and quarantine carrier</x:v>
      </x:c>
      <x:c r="I12" s="11" t="n">
        <x:v>2</x:v>
      </x:c>
      <x:c r="J12" s="11" t="n">
        <x:v>4</x:v>
      </x:c>
      <x:c r="K12" s="11" t="n">
        <x:v>1</x:v>
      </x:c>
      <x:c r="L12" s="11" t="n">
        <x:v>1</x:v>
      </x:c>
      <x:c r="M12" s="11" t="n">
        <x:v>1</x:v>
      </x:c>
      <x:c r="N12" s="11" t="n">
        <x:v>1</x:v>
      </x:c>
      <x:c r="O12" s="13" t="n">
        <x:v>0</x:v>
      </x:c>
      <x:c r="P12" s="13" t="n">
        <x:v>0</x:v>
      </x:c>
      <x:c r="Q12" s="11" t="str">
        <x:f>IF(AND(J12=4,K12=1,L12=1,M12=1,N12=1),"PASS","FAIL")</x:f>
        <x:v>PASS</x:v>
      </x:c>
      <x:c r="R12" s="11" t="str">
        <x:f>IF(Q12&lt;&gt;"PASS","FAIL",IF(AND(O12=1,P12=1),"PASS","OPEN"))</x:f>
        <x:v>OPEN</x:v>
      </x:c>
    </x:row>
    <x:row r="13">
      <x:c r="B13" s="11" t="str">
        <x:v>RA-SA1-02-A1</x:v>
      </x:c>
      <x:c r="C13" s="11" t="str">
        <x:v>LN-02</x:v>
      </x:c>
      <x:c r="D13" s="11" t="str">
        <x:v>SA1</x:v>
      </x:c>
      <x:c r="E13" s="11" t="str">
        <x:v>PTC-B</x:v>
      </x:c>
      <x:c r="F13" s="11" t="str">
        <x:v>A</x:v>
      </x:c>
      <x:c r="G13" s="11" t="n">
        <x:v>1</x:v>
      </x:c>
      <x:c r="H13" s="11" t="str">
        <x:v>retained transfer reference</x:v>
      </x:c>
      <x:c r="I13" s="11" t="n">
        <x:v>1</x:v>
      </x:c>
      <x:c r="J13" s="11" t="n">
        <x:v>4</x:v>
      </x:c>
      <x:c r="K13" s="11" t="n">
        <x:v>1</x:v>
      </x:c>
      <x:c r="L13" s="11" t="n">
        <x:v>1</x:v>
      </x:c>
      <x:c r="M13" s="11" t="n">
        <x:v>1</x:v>
      </x:c>
      <x:c r="N13" s="11" t="n">
        <x:v>1</x:v>
      </x:c>
      <x:c r="O13" s="13" t="n">
        <x:v>0</x:v>
      </x:c>
      <x:c r="P13" s="13" t="n">
        <x:v>0</x:v>
      </x:c>
      <x:c r="Q13" s="11" t="str">
        <x:f>IF(AND(J13=4,K13=1,L13=1,M13=1,N13=1),"PASS","FAIL")</x:f>
        <x:v>PASS</x:v>
      </x:c>
      <x:c r="R13" s="11" t="str">
        <x:f>IF(Q13&lt;&gt;"PASS","FAIL",IF(AND(O13=1,P13=1),"PASS","OPEN"))</x:f>
        <x:v>OPEN</x:v>
      </x:c>
    </x:row>
    <x:row r="14">
      <x:c r="B14" s="11" t="str">
        <x:v>RA-SA1-02-A2</x:v>
      </x:c>
      <x:c r="C14" s="11" t="str">
        <x:v>LN-02</x:v>
      </x:c>
      <x:c r="D14" s="11" t="str">
        <x:v>SA1</x:v>
      </x:c>
      <x:c r="E14" s="11" t="str">
        <x:v>PTC-B</x:v>
      </x:c>
      <x:c r="F14" s="11" t="str">
        <x:v>A</x:v>
      </x:c>
      <x:c r="G14" s="11" t="n">
        <x:v>2</x:v>
      </x:c>
      <x:c r="H14" s="11" t="str">
        <x:v>destructive truth witness</x:v>
      </x:c>
      <x:c r="I14" s="11" t="n">
        <x:v>2</x:v>
      </x:c>
      <x:c r="J14" s="11" t="n">
        <x:v>4</x:v>
      </x:c>
      <x:c r="K14" s="11" t="n">
        <x:v>1</x:v>
      </x:c>
      <x:c r="L14" s="11" t="n">
        <x:v>1</x:v>
      </x:c>
      <x:c r="M14" s="11" t="n">
        <x:v>1</x:v>
      </x:c>
      <x:c r="N14" s="11" t="n">
        <x:v>1</x:v>
      </x:c>
      <x:c r="O14" s="13" t="n">
        <x:v>0</x:v>
      </x:c>
      <x:c r="P14" s="13" t="n">
        <x:v>0</x:v>
      </x:c>
      <x:c r="Q14" s="11" t="str">
        <x:f>IF(AND(J14=4,K14=1,L14=1,M14=1,N14=1),"PASS","FAIL")</x:f>
        <x:v>PASS</x:v>
      </x:c>
      <x:c r="R14" s="11" t="str">
        <x:f>IF(Q14&lt;&gt;"PASS","FAIL",IF(AND(O14=1,P14=1),"PASS","OPEN"))</x:f>
        <x:v>OPEN</x:v>
      </x:c>
    </x:row>
    <x:row r="15">
      <x:c r="B15" s="11" t="str">
        <x:v>RA-SA1-02-A3</x:v>
      </x:c>
      <x:c r="C15" s="11" t="str">
        <x:v>LN-02</x:v>
      </x:c>
      <x:c r="D15" s="11" t="str">
        <x:v>SA1</x:v>
      </x:c>
      <x:c r="E15" s="11" t="str">
        <x:v>PTC-B</x:v>
      </x:c>
      <x:c r="F15" s="11" t="str">
        <x:v>A</x:v>
      </x:c>
      <x:c r="G15" s="11" t="n">
        <x:v>3</x:v>
      </x:c>
      <x:c r="H15" s="11" t="str">
        <x:v>failure and quarantine carrier</x:v>
      </x:c>
      <x:c r="I15" s="11" t="n">
        <x:v>2</x:v>
      </x:c>
      <x:c r="J15" s="11" t="n">
        <x:v>4</x:v>
      </x:c>
      <x:c r="K15" s="11" t="n">
        <x:v>1</x:v>
      </x:c>
      <x:c r="L15" s="11" t="n">
        <x:v>1</x:v>
      </x:c>
      <x:c r="M15" s="11" t="n">
        <x:v>1</x:v>
      </x:c>
      <x:c r="N15" s="11" t="n">
        <x:v>1</x:v>
      </x:c>
      <x:c r="O15" s="13" t="n">
        <x:v>0</x:v>
      </x:c>
      <x:c r="P15" s="13" t="n">
        <x:v>0</x:v>
      </x:c>
      <x:c r="Q15" s="11" t="str">
        <x:f>IF(AND(J15=4,K15=1,L15=1,M15=1,N15=1),"PASS","FAIL")</x:f>
        <x:v>PASS</x:v>
      </x:c>
      <x:c r="R15" s="11" t="str">
        <x:f>IF(Q15&lt;&gt;"PASS","FAIL",IF(AND(O15=1,P15=1),"PASS","OPEN"))</x:f>
        <x:v>OPEN</x:v>
      </x:c>
    </x:row>
    <x:row r="16">
      <x:c r="B16" s="11" t="str">
        <x:v>RA-SA1-02-B1</x:v>
      </x:c>
      <x:c r="C16" s="11" t="str">
        <x:v>LN-02</x:v>
      </x:c>
      <x:c r="D16" s="11" t="str">
        <x:v>SA1</x:v>
      </x:c>
      <x:c r="E16" s="11" t="str">
        <x:v>PTC-B</x:v>
      </x:c>
      <x:c r="F16" s="11" t="str">
        <x:v>B</x:v>
      </x:c>
      <x:c r="G16" s="11" t="n">
        <x:v>1</x:v>
      </x:c>
      <x:c r="H16" s="11" t="str">
        <x:v>retained transfer reference</x:v>
      </x:c>
      <x:c r="I16" s="11" t="n">
        <x:v>3</x:v>
      </x:c>
      <x:c r="J16" s="11" t="n">
        <x:v>4</x:v>
      </x:c>
      <x:c r="K16" s="11" t="n">
        <x:v>1</x:v>
      </x:c>
      <x:c r="L16" s="11" t="n">
        <x:v>1</x:v>
      </x:c>
      <x:c r="M16" s="11" t="n">
        <x:v>1</x:v>
      </x:c>
      <x:c r="N16" s="11" t="n">
        <x:v>1</x:v>
      </x:c>
      <x:c r="O16" s="13" t="n">
        <x:v>0</x:v>
      </x:c>
      <x:c r="P16" s="13" t="n">
        <x:v>0</x:v>
      </x:c>
      <x:c r="Q16" s="11" t="str">
        <x:f>IF(AND(J16=4,K16=1,L16=1,M16=1,N16=1),"PASS","FAIL")</x:f>
        <x:v>PASS</x:v>
      </x:c>
      <x:c r="R16" s="11" t="str">
        <x:f>IF(Q16&lt;&gt;"PASS","FAIL",IF(AND(O16=1,P16=1),"PASS","OPEN"))</x:f>
        <x:v>OPEN</x:v>
      </x:c>
    </x:row>
    <x:row r="17">
      <x:c r="B17" s="11" t="str">
        <x:v>RA-SA1-02-B2</x:v>
      </x:c>
      <x:c r="C17" s="11" t="str">
        <x:v>LN-02</x:v>
      </x:c>
      <x:c r="D17" s="11" t="str">
        <x:v>SA1</x:v>
      </x:c>
      <x:c r="E17" s="11" t="str">
        <x:v>PTC-B</x:v>
      </x:c>
      <x:c r="F17" s="11" t="str">
        <x:v>B</x:v>
      </x:c>
      <x:c r="G17" s="11" t="n">
        <x:v>2</x:v>
      </x:c>
      <x:c r="H17" s="11" t="str">
        <x:v>destructive truth witness</x:v>
      </x:c>
      <x:c r="I17" s="11" t="n">
        <x:v>1</x:v>
      </x:c>
      <x:c r="J17" s="11" t="n">
        <x:v>4</x:v>
      </x:c>
      <x:c r="K17" s="11" t="n">
        <x:v>1</x:v>
      </x:c>
      <x:c r="L17" s="11" t="n">
        <x:v>1</x:v>
      </x:c>
      <x:c r="M17" s="11" t="n">
        <x:v>1</x:v>
      </x:c>
      <x:c r="N17" s="11" t="n">
        <x:v>1</x:v>
      </x:c>
      <x:c r="O17" s="13" t="n">
        <x:v>0</x:v>
      </x:c>
      <x:c r="P17" s="13" t="n">
        <x:v>0</x:v>
      </x:c>
      <x:c r="Q17" s="11" t="str">
        <x:f>IF(AND(J17=4,K17=1,L17=1,M17=1,N17=1),"PASS","FAIL")</x:f>
        <x:v>PASS</x:v>
      </x:c>
      <x:c r="R17" s="11" t="str">
        <x:f>IF(Q17&lt;&gt;"PASS","FAIL",IF(AND(O17=1,P17=1),"PASS","OPEN"))</x:f>
        <x:v>OPEN</x:v>
      </x:c>
    </x:row>
    <x:row r="18">
      <x:c r="B18" s="11" t="str">
        <x:v>RA-SA1-02-B3</x:v>
      </x:c>
      <x:c r="C18" s="11" t="str">
        <x:v>LN-02</x:v>
      </x:c>
      <x:c r="D18" s="11" t="str">
        <x:v>SA1</x:v>
      </x:c>
      <x:c r="E18" s="11" t="str">
        <x:v>PTC-B</x:v>
      </x:c>
      <x:c r="F18" s="11" t="str">
        <x:v>B</x:v>
      </x:c>
      <x:c r="G18" s="11" t="n">
        <x:v>3</x:v>
      </x:c>
      <x:c r="H18" s="11" t="str">
        <x:v>failure and quarantine carrier</x:v>
      </x:c>
      <x:c r="I18" s="11" t="n">
        <x:v>1</x:v>
      </x:c>
      <x:c r="J18" s="11" t="n">
        <x:v>4</x:v>
      </x:c>
      <x:c r="K18" s="11" t="n">
        <x:v>1</x:v>
      </x:c>
      <x:c r="L18" s="11" t="n">
        <x:v>1</x:v>
      </x:c>
      <x:c r="M18" s="11" t="n">
        <x:v>1</x:v>
      </x:c>
      <x:c r="N18" s="11" t="n">
        <x:v>1</x:v>
      </x:c>
      <x:c r="O18" s="13" t="n">
        <x:v>0</x:v>
      </x:c>
      <x:c r="P18" s="13" t="n">
        <x:v>0</x:v>
      </x:c>
      <x:c r="Q18" s="11" t="str">
        <x:f>IF(AND(J18=4,K18=1,L18=1,M18=1,N18=1),"PASS","FAIL")</x:f>
        <x:v>PASS</x:v>
      </x:c>
      <x:c r="R18" s="11" t="str">
        <x:f>IF(Q18&lt;&gt;"PASS","FAIL",IF(AND(O18=1,P18=1),"PASS","OPEN"))</x:f>
        <x:v>OPEN</x:v>
      </x:c>
    </x:row>
    <x:row r="19">
      <x:c r="B19" s="11" t="str">
        <x:v>RA-SA2-03-A1</x:v>
      </x:c>
      <x:c r="C19" s="11" t="str">
        <x:v>LN-03</x:v>
      </x:c>
      <x:c r="D19" s="11" t="str">
        <x:v>SA2</x:v>
      </x:c>
      <x:c r="E19" s="11" t="str">
        <x:v>PTC-A</x:v>
      </x:c>
      <x:c r="F19" s="11" t="str">
        <x:v>A</x:v>
      </x:c>
      <x:c r="G19" s="11" t="n">
        <x:v>1</x:v>
      </x:c>
      <x:c r="H19" s="11" t="str">
        <x:v>retained transfer reference</x:v>
      </x:c>
      <x:c r="I19" s="11" t="n">
        <x:v>3</x:v>
      </x:c>
      <x:c r="J19" s="11" t="n">
        <x:v>4</x:v>
      </x:c>
      <x:c r="K19" s="11" t="n">
        <x:v>1</x:v>
      </x:c>
      <x:c r="L19" s="11" t="n">
        <x:v>1</x:v>
      </x:c>
      <x:c r="M19" s="11" t="n">
        <x:v>1</x:v>
      </x:c>
      <x:c r="N19" s="11" t="n">
        <x:v>1</x:v>
      </x:c>
      <x:c r="O19" s="13" t="n">
        <x:v>0</x:v>
      </x:c>
      <x:c r="P19" s="13" t="n">
        <x:v>0</x:v>
      </x:c>
      <x:c r="Q19" s="11" t="str">
        <x:f>IF(AND(J19=4,K19=1,L19=1,M19=1,N19=1),"PASS","FAIL")</x:f>
        <x:v>PASS</x:v>
      </x:c>
      <x:c r="R19" s="11" t="str">
        <x:f>IF(Q19&lt;&gt;"PASS","FAIL",IF(AND(O19=1,P19=1),"PASS","OPEN"))</x:f>
        <x:v>OPEN</x:v>
      </x:c>
    </x:row>
    <x:row r="20">
      <x:c r="B20" s="11" t="str">
        <x:v>RA-SA2-03-A2</x:v>
      </x:c>
      <x:c r="C20" s="11" t="str">
        <x:v>LN-03</x:v>
      </x:c>
      <x:c r="D20" s="11" t="str">
        <x:v>SA2</x:v>
      </x:c>
      <x:c r="E20" s="11" t="str">
        <x:v>PTC-A</x:v>
      </x:c>
      <x:c r="F20" s="11" t="str">
        <x:v>A</x:v>
      </x:c>
      <x:c r="G20" s="11" t="n">
        <x:v>2</x:v>
      </x:c>
      <x:c r="H20" s="11" t="str">
        <x:v>destructive truth witness</x:v>
      </x:c>
      <x:c r="I20" s="11" t="n">
        <x:v>1</x:v>
      </x:c>
      <x:c r="J20" s="11" t="n">
        <x:v>4</x:v>
      </x:c>
      <x:c r="K20" s="11" t="n">
        <x:v>1</x:v>
      </x:c>
      <x:c r="L20" s="11" t="n">
        <x:v>1</x:v>
      </x:c>
      <x:c r="M20" s="11" t="n">
        <x:v>1</x:v>
      </x:c>
      <x:c r="N20" s="11" t="n">
        <x:v>1</x:v>
      </x:c>
      <x:c r="O20" s="13" t="n">
        <x:v>0</x:v>
      </x:c>
      <x:c r="P20" s="13" t="n">
        <x:v>0</x:v>
      </x:c>
      <x:c r="Q20" s="11" t="str">
        <x:f>IF(AND(J20=4,K20=1,L20=1,M20=1,N20=1),"PASS","FAIL")</x:f>
        <x:v>PASS</x:v>
      </x:c>
      <x:c r="R20" s="11" t="str">
        <x:f>IF(Q20&lt;&gt;"PASS","FAIL",IF(AND(O20=1,P20=1),"PASS","OPEN"))</x:f>
        <x:v>OPEN</x:v>
      </x:c>
    </x:row>
    <x:row r="21">
      <x:c r="B21" s="11" t="str">
        <x:v>RA-SA2-03-A3</x:v>
      </x:c>
      <x:c r="C21" s="11" t="str">
        <x:v>LN-03</x:v>
      </x:c>
      <x:c r="D21" s="11" t="str">
        <x:v>SA2</x:v>
      </x:c>
      <x:c r="E21" s="11" t="str">
        <x:v>PTC-A</x:v>
      </x:c>
      <x:c r="F21" s="11" t="str">
        <x:v>A</x:v>
      </x:c>
      <x:c r="G21" s="11" t="n">
        <x:v>3</x:v>
      </x:c>
      <x:c r="H21" s="11" t="str">
        <x:v>failure and quarantine carrier</x:v>
      </x:c>
      <x:c r="I21" s="11" t="n">
        <x:v>1</x:v>
      </x:c>
      <x:c r="J21" s="11" t="n">
        <x:v>4</x:v>
      </x:c>
      <x:c r="K21" s="11" t="n">
        <x:v>1</x:v>
      </x:c>
      <x:c r="L21" s="11" t="n">
        <x:v>1</x:v>
      </x:c>
      <x:c r="M21" s="11" t="n">
        <x:v>1</x:v>
      </x:c>
      <x:c r="N21" s="11" t="n">
        <x:v>1</x:v>
      </x:c>
      <x:c r="O21" s="13" t="n">
        <x:v>0</x:v>
      </x:c>
      <x:c r="P21" s="13" t="n">
        <x:v>0</x:v>
      </x:c>
      <x:c r="Q21" s="11" t="str">
        <x:f>IF(AND(J21=4,K21=1,L21=1,M21=1,N21=1),"PASS","FAIL")</x:f>
        <x:v>PASS</x:v>
      </x:c>
      <x:c r="R21" s="11" t="str">
        <x:f>IF(Q21&lt;&gt;"PASS","FAIL",IF(AND(O21=1,P21=1),"PASS","OPEN"))</x:f>
        <x:v>OPEN</x:v>
      </x:c>
    </x:row>
    <x:row r="22">
      <x:c r="B22" s="11" t="str">
        <x:v>RA-SA2-03-B1</x:v>
      </x:c>
      <x:c r="C22" s="11" t="str">
        <x:v>LN-03</x:v>
      </x:c>
      <x:c r="D22" s="11" t="str">
        <x:v>SA2</x:v>
      </x:c>
      <x:c r="E22" s="11" t="str">
        <x:v>PTC-A</x:v>
      </x:c>
      <x:c r="F22" s="11" t="str">
        <x:v>B</x:v>
      </x:c>
      <x:c r="G22" s="11" t="n">
        <x:v>1</x:v>
      </x:c>
      <x:c r="H22" s="11" t="str">
        <x:v>retained transfer reference</x:v>
      </x:c>
      <x:c r="I22" s="11" t="n">
        <x:v>1</x:v>
      </x:c>
      <x:c r="J22" s="11" t="n">
        <x:v>4</x:v>
      </x:c>
      <x:c r="K22" s="11" t="n">
        <x:v>1</x:v>
      </x:c>
      <x:c r="L22" s="11" t="n">
        <x:v>1</x:v>
      </x:c>
      <x:c r="M22" s="11" t="n">
        <x:v>1</x:v>
      </x:c>
      <x:c r="N22" s="11" t="n">
        <x:v>1</x:v>
      </x:c>
      <x:c r="O22" s="13" t="n">
        <x:v>0</x:v>
      </x:c>
      <x:c r="P22" s="13" t="n">
        <x:v>0</x:v>
      </x:c>
      <x:c r="Q22" s="11" t="str">
        <x:f>IF(AND(J22=4,K22=1,L22=1,M22=1,N22=1),"PASS","FAIL")</x:f>
        <x:v>PASS</x:v>
      </x:c>
      <x:c r="R22" s="11" t="str">
        <x:f>IF(Q22&lt;&gt;"PASS","FAIL",IF(AND(O22=1,P22=1),"PASS","OPEN"))</x:f>
        <x:v>OPEN</x:v>
      </x:c>
    </x:row>
    <x:row r="23">
      <x:c r="B23" s="11" t="str">
        <x:v>RA-SA2-03-B2</x:v>
      </x:c>
      <x:c r="C23" s="11" t="str">
        <x:v>LN-03</x:v>
      </x:c>
      <x:c r="D23" s="11" t="str">
        <x:v>SA2</x:v>
      </x:c>
      <x:c r="E23" s="11" t="str">
        <x:v>PTC-A</x:v>
      </x:c>
      <x:c r="F23" s="11" t="str">
        <x:v>B</x:v>
      </x:c>
      <x:c r="G23" s="11" t="n">
        <x:v>2</x:v>
      </x:c>
      <x:c r="H23" s="11" t="str">
        <x:v>destructive truth witness</x:v>
      </x:c>
      <x:c r="I23" s="11" t="n">
        <x:v>2</x:v>
      </x:c>
      <x:c r="J23" s="11" t="n">
        <x:v>4</x:v>
      </x:c>
      <x:c r="K23" s="11" t="n">
        <x:v>1</x:v>
      </x:c>
      <x:c r="L23" s="11" t="n">
        <x:v>1</x:v>
      </x:c>
      <x:c r="M23" s="11" t="n">
        <x:v>1</x:v>
      </x:c>
      <x:c r="N23" s="11" t="n">
        <x:v>1</x:v>
      </x:c>
      <x:c r="O23" s="13" t="n">
        <x:v>0</x:v>
      </x:c>
      <x:c r="P23" s="13" t="n">
        <x:v>0</x:v>
      </x:c>
      <x:c r="Q23" s="11" t="str">
        <x:f>IF(AND(J23=4,K23=1,L23=1,M23=1,N23=1),"PASS","FAIL")</x:f>
        <x:v>PASS</x:v>
      </x:c>
      <x:c r="R23" s="11" t="str">
        <x:f>IF(Q23&lt;&gt;"PASS","FAIL",IF(AND(O23=1,P23=1),"PASS","OPEN"))</x:f>
        <x:v>OPEN</x:v>
      </x:c>
    </x:row>
    <x:row r="24">
      <x:c r="B24" s="11" t="str">
        <x:v>RA-SA2-03-B3</x:v>
      </x:c>
      <x:c r="C24" s="11" t="str">
        <x:v>LN-03</x:v>
      </x:c>
      <x:c r="D24" s="11" t="str">
        <x:v>SA2</x:v>
      </x:c>
      <x:c r="E24" s="11" t="str">
        <x:v>PTC-A</x:v>
      </x:c>
      <x:c r="F24" s="11" t="str">
        <x:v>B</x:v>
      </x:c>
      <x:c r="G24" s="11" t="n">
        <x:v>3</x:v>
      </x:c>
      <x:c r="H24" s="11" t="str">
        <x:v>failure and quarantine carrier</x:v>
      </x:c>
      <x:c r="I24" s="11" t="n">
        <x:v>2</x:v>
      </x:c>
      <x:c r="J24" s="11" t="n">
        <x:v>4</x:v>
      </x:c>
      <x:c r="K24" s="11" t="n">
        <x:v>1</x:v>
      </x:c>
      <x:c r="L24" s="11" t="n">
        <x:v>1</x:v>
      </x:c>
      <x:c r="M24" s="11" t="n">
        <x:v>1</x:v>
      </x:c>
      <x:c r="N24" s="11" t="n">
        <x:v>1</x:v>
      </x:c>
      <x:c r="O24" s="13" t="n">
        <x:v>0</x:v>
      </x:c>
      <x:c r="P24" s="13" t="n">
        <x:v>0</x:v>
      </x:c>
      <x:c r="Q24" s="11" t="str">
        <x:f>IF(AND(J24=4,K24=1,L24=1,M24=1,N24=1),"PASS","FAIL")</x:f>
        <x:v>PASS</x:v>
      </x:c>
      <x:c r="R24" s="11" t="str">
        <x:f>IF(Q24&lt;&gt;"PASS","FAIL",IF(AND(O24=1,P24=1),"PASS","OPEN"))</x:f>
        <x:v>OPEN</x:v>
      </x:c>
    </x:row>
    <x:row r="25">
      <x:c r="B25" s="11" t="str">
        <x:v>RA-SA2-04-A1</x:v>
      </x:c>
      <x:c r="C25" s="11" t="str">
        <x:v>LN-04</x:v>
      </x:c>
      <x:c r="D25" s="11" t="str">
        <x:v>SA2</x:v>
      </x:c>
      <x:c r="E25" s="11" t="str">
        <x:v>PTC-C</x:v>
      </x:c>
      <x:c r="F25" s="11" t="str">
        <x:v>A</x:v>
      </x:c>
      <x:c r="G25" s="11" t="n">
        <x:v>1</x:v>
      </x:c>
      <x:c r="H25" s="11" t="str">
        <x:v>retained transfer reference</x:v>
      </x:c>
      <x:c r="I25" s="11" t="n">
        <x:v>1</x:v>
      </x:c>
      <x:c r="J25" s="11" t="n">
        <x:v>4</x:v>
      </x:c>
      <x:c r="K25" s="11" t="n">
        <x:v>1</x:v>
      </x:c>
      <x:c r="L25" s="11" t="n">
        <x:v>1</x:v>
      </x:c>
      <x:c r="M25" s="11" t="n">
        <x:v>1</x:v>
      </x:c>
      <x:c r="N25" s="11" t="n">
        <x:v>1</x:v>
      </x:c>
      <x:c r="O25" s="13" t="n">
        <x:v>0</x:v>
      </x:c>
      <x:c r="P25" s="13" t="n">
        <x:v>0</x:v>
      </x:c>
      <x:c r="Q25" s="11" t="str">
        <x:f>IF(AND(J25=4,K25=1,L25=1,M25=1,N25=1),"PASS","FAIL")</x:f>
        <x:v>PASS</x:v>
      </x:c>
      <x:c r="R25" s="11" t="str">
        <x:f>IF(Q25&lt;&gt;"PASS","FAIL",IF(AND(O25=1,P25=1),"PASS","OPEN"))</x:f>
        <x:v>OPEN</x:v>
      </x:c>
    </x:row>
    <x:row r="26">
      <x:c r="B26" s="11" t="str">
        <x:v>RA-SA2-04-A2</x:v>
      </x:c>
      <x:c r="C26" s="11" t="str">
        <x:v>LN-04</x:v>
      </x:c>
      <x:c r="D26" s="11" t="str">
        <x:v>SA2</x:v>
      </x:c>
      <x:c r="E26" s="11" t="str">
        <x:v>PTC-C</x:v>
      </x:c>
      <x:c r="F26" s="11" t="str">
        <x:v>A</x:v>
      </x:c>
      <x:c r="G26" s="11" t="n">
        <x:v>2</x:v>
      </x:c>
      <x:c r="H26" s="11" t="str">
        <x:v>destructive truth witness</x:v>
      </x:c>
      <x:c r="I26" s="11" t="n">
        <x:v>2</x:v>
      </x:c>
      <x:c r="J26" s="11" t="n">
        <x:v>4</x:v>
      </x:c>
      <x:c r="K26" s="11" t="n">
        <x:v>1</x:v>
      </x:c>
      <x:c r="L26" s="11" t="n">
        <x:v>1</x:v>
      </x:c>
      <x:c r="M26" s="11" t="n">
        <x:v>1</x:v>
      </x:c>
      <x:c r="N26" s="11" t="n">
        <x:v>1</x:v>
      </x:c>
      <x:c r="O26" s="13" t="n">
        <x:v>0</x:v>
      </x:c>
      <x:c r="P26" s="13" t="n">
        <x:v>0</x:v>
      </x:c>
      <x:c r="Q26" s="11" t="str">
        <x:f>IF(AND(J26=4,K26=1,L26=1,M26=1,N26=1),"PASS","FAIL")</x:f>
        <x:v>PASS</x:v>
      </x:c>
      <x:c r="R26" s="11" t="str">
        <x:f>IF(Q26&lt;&gt;"PASS","FAIL",IF(AND(O26=1,P26=1),"PASS","OPEN"))</x:f>
        <x:v>OPEN</x:v>
      </x:c>
    </x:row>
    <x:row r="27">
      <x:c r="B27" s="11" t="str">
        <x:v>RA-SA2-04-A3</x:v>
      </x:c>
      <x:c r="C27" s="11" t="str">
        <x:v>LN-04</x:v>
      </x:c>
      <x:c r="D27" s="11" t="str">
        <x:v>SA2</x:v>
      </x:c>
      <x:c r="E27" s="11" t="str">
        <x:v>PTC-C</x:v>
      </x:c>
      <x:c r="F27" s="11" t="str">
        <x:v>A</x:v>
      </x:c>
      <x:c r="G27" s="11" t="n">
        <x:v>3</x:v>
      </x:c>
      <x:c r="H27" s="11" t="str">
        <x:v>failure and quarantine carrier</x:v>
      </x:c>
      <x:c r="I27" s="11" t="n">
        <x:v>2</x:v>
      </x:c>
      <x:c r="J27" s="11" t="n">
        <x:v>4</x:v>
      </x:c>
      <x:c r="K27" s="11" t="n">
        <x:v>1</x:v>
      </x:c>
      <x:c r="L27" s="11" t="n">
        <x:v>1</x:v>
      </x:c>
      <x:c r="M27" s="11" t="n">
        <x:v>1</x:v>
      </x:c>
      <x:c r="N27" s="11" t="n">
        <x:v>1</x:v>
      </x:c>
      <x:c r="O27" s="13" t="n">
        <x:v>0</x:v>
      </x:c>
      <x:c r="P27" s="13" t="n">
        <x:v>0</x:v>
      </x:c>
      <x:c r="Q27" s="11" t="str">
        <x:f>IF(AND(J27=4,K27=1,L27=1,M27=1,N27=1),"PASS","FAIL")</x:f>
        <x:v>PASS</x:v>
      </x:c>
      <x:c r="R27" s="11" t="str">
        <x:f>IF(Q27&lt;&gt;"PASS","FAIL",IF(AND(O27=1,P27=1),"PASS","OPEN"))</x:f>
        <x:v>OPEN</x:v>
      </x:c>
    </x:row>
    <x:row r="28">
      <x:c r="B28" s="11" t="str">
        <x:v>RA-SA2-04-B1</x:v>
      </x:c>
      <x:c r="C28" s="11" t="str">
        <x:v>LN-04</x:v>
      </x:c>
      <x:c r="D28" s="11" t="str">
        <x:v>SA2</x:v>
      </x:c>
      <x:c r="E28" s="11" t="str">
        <x:v>PTC-C</x:v>
      </x:c>
      <x:c r="F28" s="11" t="str">
        <x:v>B</x:v>
      </x:c>
      <x:c r="G28" s="11" t="n">
        <x:v>1</x:v>
      </x:c>
      <x:c r="H28" s="11" t="str">
        <x:v>retained transfer reference</x:v>
      </x:c>
      <x:c r="I28" s="11" t="n">
        <x:v>3</x:v>
      </x:c>
      <x:c r="J28" s="11" t="n">
        <x:v>4</x:v>
      </x:c>
      <x:c r="K28" s="11" t="n">
        <x:v>1</x:v>
      </x:c>
      <x:c r="L28" s="11" t="n">
        <x:v>1</x:v>
      </x:c>
      <x:c r="M28" s="11" t="n">
        <x:v>1</x:v>
      </x:c>
      <x:c r="N28" s="11" t="n">
        <x:v>1</x:v>
      </x:c>
      <x:c r="O28" s="13" t="n">
        <x:v>0</x:v>
      </x:c>
      <x:c r="P28" s="13" t="n">
        <x:v>0</x:v>
      </x:c>
      <x:c r="Q28" s="11" t="str">
        <x:f>IF(AND(J28=4,K28=1,L28=1,M28=1,N28=1),"PASS","FAIL")</x:f>
        <x:v>PASS</x:v>
      </x:c>
      <x:c r="R28" s="11" t="str">
        <x:f>IF(Q28&lt;&gt;"PASS","FAIL",IF(AND(O28=1,P28=1),"PASS","OPEN"))</x:f>
        <x:v>OPEN</x:v>
      </x:c>
    </x:row>
    <x:row r="29">
      <x:c r="B29" s="11" t="str">
        <x:v>RA-SA2-04-B2</x:v>
      </x:c>
      <x:c r="C29" s="11" t="str">
        <x:v>LN-04</x:v>
      </x:c>
      <x:c r="D29" s="11" t="str">
        <x:v>SA2</x:v>
      </x:c>
      <x:c r="E29" s="11" t="str">
        <x:v>PTC-C</x:v>
      </x:c>
      <x:c r="F29" s="11" t="str">
        <x:v>B</x:v>
      </x:c>
      <x:c r="G29" s="11" t="n">
        <x:v>2</x:v>
      </x:c>
      <x:c r="H29" s="11" t="str">
        <x:v>destructive truth witness</x:v>
      </x:c>
      <x:c r="I29" s="11" t="n">
        <x:v>1</x:v>
      </x:c>
      <x:c r="J29" s="11" t="n">
        <x:v>4</x:v>
      </x:c>
      <x:c r="K29" s="11" t="n">
        <x:v>1</x:v>
      </x:c>
      <x:c r="L29" s="11" t="n">
        <x:v>1</x:v>
      </x:c>
      <x:c r="M29" s="11" t="n">
        <x:v>1</x:v>
      </x:c>
      <x:c r="N29" s="11" t="n">
        <x:v>1</x:v>
      </x:c>
      <x:c r="O29" s="13" t="n">
        <x:v>0</x:v>
      </x:c>
      <x:c r="P29" s="13" t="n">
        <x:v>0</x:v>
      </x:c>
      <x:c r="Q29" s="11" t="str">
        <x:f>IF(AND(J29=4,K29=1,L29=1,M29=1,N29=1),"PASS","FAIL")</x:f>
        <x:v>PASS</x:v>
      </x:c>
      <x:c r="R29" s="11" t="str">
        <x:f>IF(Q29&lt;&gt;"PASS","FAIL",IF(AND(O29=1,P29=1),"PASS","OPEN"))</x:f>
        <x:v>OPEN</x:v>
      </x:c>
    </x:row>
    <x:row r="30">
      <x:c r="B30" s="11" t="str">
        <x:v>RA-SA2-04-B3</x:v>
      </x:c>
      <x:c r="C30" s="11" t="str">
        <x:v>LN-04</x:v>
      </x:c>
      <x:c r="D30" s="11" t="str">
        <x:v>SA2</x:v>
      </x:c>
      <x:c r="E30" s="11" t="str">
        <x:v>PTC-C</x:v>
      </x:c>
      <x:c r="F30" s="11" t="str">
        <x:v>B</x:v>
      </x:c>
      <x:c r="G30" s="11" t="n">
        <x:v>3</x:v>
      </x:c>
      <x:c r="H30" s="11" t="str">
        <x:v>failure and quarantine carrier</x:v>
      </x:c>
      <x:c r="I30" s="11" t="n">
        <x:v>1</x:v>
      </x:c>
      <x:c r="J30" s="11" t="n">
        <x:v>4</x:v>
      </x:c>
      <x:c r="K30" s="11" t="n">
        <x:v>1</x:v>
      </x:c>
      <x:c r="L30" s="11" t="n">
        <x:v>1</x:v>
      </x:c>
      <x:c r="M30" s="11" t="n">
        <x:v>1</x:v>
      </x:c>
      <x:c r="N30" s="11" t="n">
        <x:v>1</x:v>
      </x:c>
      <x:c r="O30" s="13" t="n">
        <x:v>0</x:v>
      </x:c>
      <x:c r="P30" s="13" t="n">
        <x:v>0</x:v>
      </x:c>
      <x:c r="Q30" s="11" t="str">
        <x:f>IF(AND(J30=4,K30=1,L30=1,M30=1,N30=1),"PASS","FAIL")</x:f>
        <x:v>PASS</x:v>
      </x:c>
      <x:c r="R30" s="11" t="str">
        <x:f>IF(Q30&lt;&gt;"PASS","FAIL",IF(AND(O30=1,P30=1),"PASS","OPEN"))</x:f>
        <x:v>OPEN</x:v>
      </x:c>
    </x:row>
    <x:row r="31">
      <x:c r="B31" s="11" t="str">
        <x:v>RA-SA3-05-A1</x:v>
      </x:c>
      <x:c r="C31" s="11" t="str">
        <x:v>LN-05</x:v>
      </x:c>
      <x:c r="D31" s="11" t="str">
        <x:v>SA3</x:v>
      </x:c>
      <x:c r="E31" s="11" t="str">
        <x:v>PTC-A</x:v>
      </x:c>
      <x:c r="F31" s="11" t="str">
        <x:v>A</x:v>
      </x:c>
      <x:c r="G31" s="11" t="n">
        <x:v>1</x:v>
      </x:c>
      <x:c r="H31" s="11" t="str">
        <x:v>retained transfer reference</x:v>
      </x:c>
      <x:c r="I31" s="11" t="n">
        <x:v>3</x:v>
      </x:c>
      <x:c r="J31" s="11" t="n">
        <x:v>4</x:v>
      </x:c>
      <x:c r="K31" s="11" t="n">
        <x:v>1</x:v>
      </x:c>
      <x:c r="L31" s="11" t="n">
        <x:v>1</x:v>
      </x:c>
      <x:c r="M31" s="11" t="n">
        <x:v>1</x:v>
      </x:c>
      <x:c r="N31" s="11" t="n">
        <x:v>1</x:v>
      </x:c>
      <x:c r="O31" s="13" t="n">
        <x:v>0</x:v>
      </x:c>
      <x:c r="P31" s="13" t="n">
        <x:v>0</x:v>
      </x:c>
      <x:c r="Q31" s="11" t="str">
        <x:f>IF(AND(J31=4,K31=1,L31=1,M31=1,N31=1),"PASS","FAIL")</x:f>
        <x:v>PASS</x:v>
      </x:c>
      <x:c r="R31" s="11" t="str">
        <x:f>IF(Q31&lt;&gt;"PASS","FAIL",IF(AND(O31=1,P31=1),"PASS","OPEN"))</x:f>
        <x:v>OPEN</x:v>
      </x:c>
    </x:row>
    <x:row r="32">
      <x:c r="B32" s="11" t="str">
        <x:v>RA-SA3-05-A2</x:v>
      </x:c>
      <x:c r="C32" s="11" t="str">
        <x:v>LN-05</x:v>
      </x:c>
      <x:c r="D32" s="11" t="str">
        <x:v>SA3</x:v>
      </x:c>
      <x:c r="E32" s="11" t="str">
        <x:v>PTC-A</x:v>
      </x:c>
      <x:c r="F32" s="11" t="str">
        <x:v>A</x:v>
      </x:c>
      <x:c r="G32" s="11" t="n">
        <x:v>2</x:v>
      </x:c>
      <x:c r="H32" s="11" t="str">
        <x:v>destructive truth witness</x:v>
      </x:c>
      <x:c r="I32" s="11" t="n">
        <x:v>1</x:v>
      </x:c>
      <x:c r="J32" s="11" t="n">
        <x:v>4</x:v>
      </x:c>
      <x:c r="K32" s="11" t="n">
        <x:v>1</x:v>
      </x:c>
      <x:c r="L32" s="11" t="n">
        <x:v>1</x:v>
      </x:c>
      <x:c r="M32" s="11" t="n">
        <x:v>1</x:v>
      </x:c>
      <x:c r="N32" s="11" t="n">
        <x:v>1</x:v>
      </x:c>
      <x:c r="O32" s="13" t="n">
        <x:v>0</x:v>
      </x:c>
      <x:c r="P32" s="13" t="n">
        <x:v>0</x:v>
      </x:c>
      <x:c r="Q32" s="11" t="str">
        <x:f>IF(AND(J32=4,K32=1,L32=1,M32=1,N32=1),"PASS","FAIL")</x:f>
        <x:v>PASS</x:v>
      </x:c>
      <x:c r="R32" s="11" t="str">
        <x:f>IF(Q32&lt;&gt;"PASS","FAIL",IF(AND(O32=1,P32=1),"PASS","OPEN"))</x:f>
        <x:v>OPEN</x:v>
      </x:c>
    </x:row>
    <x:row r="33">
      <x:c r="B33" s="11" t="str">
        <x:v>RA-SA3-05-A3</x:v>
      </x:c>
      <x:c r="C33" s="11" t="str">
        <x:v>LN-05</x:v>
      </x:c>
      <x:c r="D33" s="11" t="str">
        <x:v>SA3</x:v>
      </x:c>
      <x:c r="E33" s="11" t="str">
        <x:v>PTC-A</x:v>
      </x:c>
      <x:c r="F33" s="11" t="str">
        <x:v>A</x:v>
      </x:c>
      <x:c r="G33" s="11" t="n">
        <x:v>3</x:v>
      </x:c>
      <x:c r="H33" s="11" t="str">
        <x:v>failure and quarantine carrier</x:v>
      </x:c>
      <x:c r="I33" s="11" t="n">
        <x:v>1</x:v>
      </x:c>
      <x:c r="J33" s="11" t="n">
        <x:v>4</x:v>
      </x:c>
      <x:c r="K33" s="11" t="n">
        <x:v>1</x:v>
      </x:c>
      <x:c r="L33" s="11" t="n">
        <x:v>1</x:v>
      </x:c>
      <x:c r="M33" s="11" t="n">
        <x:v>1</x:v>
      </x:c>
      <x:c r="N33" s="11" t="n">
        <x:v>1</x:v>
      </x:c>
      <x:c r="O33" s="13" t="n">
        <x:v>0</x:v>
      </x:c>
      <x:c r="P33" s="13" t="n">
        <x:v>0</x:v>
      </x:c>
      <x:c r="Q33" s="11" t="str">
        <x:f>IF(AND(J33=4,K33=1,L33=1,M33=1,N33=1),"PASS","FAIL")</x:f>
        <x:v>PASS</x:v>
      </x:c>
      <x:c r="R33" s="11" t="str">
        <x:f>IF(Q33&lt;&gt;"PASS","FAIL",IF(AND(O33=1,P33=1),"PASS","OPEN"))</x:f>
        <x:v>OPEN</x:v>
      </x:c>
    </x:row>
    <x:row r="34">
      <x:c r="B34" s="11" t="str">
        <x:v>RA-SA3-05-B1</x:v>
      </x:c>
      <x:c r="C34" s="11" t="str">
        <x:v>LN-05</x:v>
      </x:c>
      <x:c r="D34" s="11" t="str">
        <x:v>SA3</x:v>
      </x:c>
      <x:c r="E34" s="11" t="str">
        <x:v>PTC-A</x:v>
      </x:c>
      <x:c r="F34" s="11" t="str">
        <x:v>B</x:v>
      </x:c>
      <x:c r="G34" s="11" t="n">
        <x:v>1</x:v>
      </x:c>
      <x:c r="H34" s="11" t="str">
        <x:v>retained transfer reference</x:v>
      </x:c>
      <x:c r="I34" s="11" t="n">
        <x:v>1</x:v>
      </x:c>
      <x:c r="J34" s="11" t="n">
        <x:v>4</x:v>
      </x:c>
      <x:c r="K34" s="11" t="n">
        <x:v>1</x:v>
      </x:c>
      <x:c r="L34" s="11" t="n">
        <x:v>1</x:v>
      </x:c>
      <x:c r="M34" s="11" t="n">
        <x:v>1</x:v>
      </x:c>
      <x:c r="N34" s="11" t="n">
        <x:v>1</x:v>
      </x:c>
      <x:c r="O34" s="13" t="n">
        <x:v>0</x:v>
      </x:c>
      <x:c r="P34" s="13" t="n">
        <x:v>0</x:v>
      </x:c>
      <x:c r="Q34" s="11" t="str">
        <x:f>IF(AND(J34=4,K34=1,L34=1,M34=1,N34=1),"PASS","FAIL")</x:f>
        <x:v>PASS</x:v>
      </x:c>
      <x:c r="R34" s="11" t="str">
        <x:f>IF(Q34&lt;&gt;"PASS","FAIL",IF(AND(O34=1,P34=1),"PASS","OPEN"))</x:f>
        <x:v>OPEN</x:v>
      </x:c>
    </x:row>
    <x:row r="35">
      <x:c r="B35" s="11" t="str">
        <x:v>RA-SA3-05-B2</x:v>
      </x:c>
      <x:c r="C35" s="11" t="str">
        <x:v>LN-05</x:v>
      </x:c>
      <x:c r="D35" s="11" t="str">
        <x:v>SA3</x:v>
      </x:c>
      <x:c r="E35" s="11" t="str">
        <x:v>PTC-A</x:v>
      </x:c>
      <x:c r="F35" s="11" t="str">
        <x:v>B</x:v>
      </x:c>
      <x:c r="G35" s="11" t="n">
        <x:v>2</x:v>
      </x:c>
      <x:c r="H35" s="11" t="str">
        <x:v>destructive truth witness</x:v>
      </x:c>
      <x:c r="I35" s="11" t="n">
        <x:v>2</x:v>
      </x:c>
      <x:c r="J35" s="11" t="n">
        <x:v>4</x:v>
      </x:c>
      <x:c r="K35" s="11" t="n">
        <x:v>1</x:v>
      </x:c>
      <x:c r="L35" s="11" t="n">
        <x:v>1</x:v>
      </x:c>
      <x:c r="M35" s="11" t="n">
        <x:v>1</x:v>
      </x:c>
      <x:c r="N35" s="11" t="n">
        <x:v>1</x:v>
      </x:c>
      <x:c r="O35" s="13" t="n">
        <x:v>0</x:v>
      </x:c>
      <x:c r="P35" s="13" t="n">
        <x:v>0</x:v>
      </x:c>
      <x:c r="Q35" s="11" t="str">
        <x:f>IF(AND(J35=4,K35=1,L35=1,M35=1,N35=1),"PASS","FAIL")</x:f>
        <x:v>PASS</x:v>
      </x:c>
      <x:c r="R35" s="11" t="str">
        <x:f>IF(Q35&lt;&gt;"PASS","FAIL",IF(AND(O35=1,P35=1),"PASS","OPEN"))</x:f>
        <x:v>OPEN</x:v>
      </x:c>
    </x:row>
    <x:row r="36">
      <x:c r="B36" s="11" t="str">
        <x:v>RA-SA3-05-B3</x:v>
      </x:c>
      <x:c r="C36" s="11" t="str">
        <x:v>LN-05</x:v>
      </x:c>
      <x:c r="D36" s="11" t="str">
        <x:v>SA3</x:v>
      </x:c>
      <x:c r="E36" s="11" t="str">
        <x:v>PTC-A</x:v>
      </x:c>
      <x:c r="F36" s="11" t="str">
        <x:v>B</x:v>
      </x:c>
      <x:c r="G36" s="11" t="n">
        <x:v>3</x:v>
      </x:c>
      <x:c r="H36" s="11" t="str">
        <x:v>failure and quarantine carrier</x:v>
      </x:c>
      <x:c r="I36" s="11" t="n">
        <x:v>2</x:v>
      </x:c>
      <x:c r="J36" s="11" t="n">
        <x:v>4</x:v>
      </x:c>
      <x:c r="K36" s="11" t="n">
        <x:v>1</x:v>
      </x:c>
      <x:c r="L36" s="11" t="n">
        <x:v>1</x:v>
      </x:c>
      <x:c r="M36" s="11" t="n">
        <x:v>1</x:v>
      </x:c>
      <x:c r="N36" s="11" t="n">
        <x:v>1</x:v>
      </x:c>
      <x:c r="O36" s="13" t="n">
        <x:v>0</x:v>
      </x:c>
      <x:c r="P36" s="13" t="n">
        <x:v>0</x:v>
      </x:c>
      <x:c r="Q36" s="11" t="str">
        <x:f>IF(AND(J36=4,K36=1,L36=1,M36=1,N36=1),"PASS","FAIL")</x:f>
        <x:v>PASS</x:v>
      </x:c>
      <x:c r="R36" s="11" t="str">
        <x:f>IF(Q36&lt;&gt;"PASS","FAIL",IF(AND(O36=1,P36=1),"PASS","OPEN"))</x:f>
        <x:v>OPEN</x:v>
      </x:c>
    </x:row>
    <x:row r="37">
      <x:c r="B37" s="11" t="str">
        <x:v>RA-SA3-06-A1</x:v>
      </x:c>
      <x:c r="C37" s="11" t="str">
        <x:v>LN-06</x:v>
      </x:c>
      <x:c r="D37" s="11" t="str">
        <x:v>SA3</x:v>
      </x:c>
      <x:c r="E37" s="11" t="str">
        <x:v>PTC-C</x:v>
      </x:c>
      <x:c r="F37" s="11" t="str">
        <x:v>A</x:v>
      </x:c>
      <x:c r="G37" s="11" t="n">
        <x:v>1</x:v>
      </x:c>
      <x:c r="H37" s="11" t="str">
        <x:v>retained transfer reference</x:v>
      </x:c>
      <x:c r="I37" s="11" t="n">
        <x:v>1</x:v>
      </x:c>
      <x:c r="J37" s="11" t="n">
        <x:v>4</x:v>
      </x:c>
      <x:c r="K37" s="11" t="n">
        <x:v>1</x:v>
      </x:c>
      <x:c r="L37" s="11" t="n">
        <x:v>1</x:v>
      </x:c>
      <x:c r="M37" s="11" t="n">
        <x:v>1</x:v>
      </x:c>
      <x:c r="N37" s="11" t="n">
        <x:v>1</x:v>
      </x:c>
      <x:c r="O37" s="13" t="n">
        <x:v>0</x:v>
      </x:c>
      <x:c r="P37" s="13" t="n">
        <x:v>0</x:v>
      </x:c>
      <x:c r="Q37" s="11" t="str">
        <x:f>IF(AND(J37=4,K37=1,L37=1,M37=1,N37=1),"PASS","FAIL")</x:f>
        <x:v>PASS</x:v>
      </x:c>
      <x:c r="R37" s="11" t="str">
        <x:f>IF(Q37&lt;&gt;"PASS","FAIL",IF(AND(O37=1,P37=1),"PASS","OPEN"))</x:f>
        <x:v>OPEN</x:v>
      </x:c>
    </x:row>
    <x:row r="38">
      <x:c r="B38" s="11" t="str">
        <x:v>RA-SA3-06-A2</x:v>
      </x:c>
      <x:c r="C38" s="11" t="str">
        <x:v>LN-06</x:v>
      </x:c>
      <x:c r="D38" s="11" t="str">
        <x:v>SA3</x:v>
      </x:c>
      <x:c r="E38" s="11" t="str">
        <x:v>PTC-C</x:v>
      </x:c>
      <x:c r="F38" s="11" t="str">
        <x:v>A</x:v>
      </x:c>
      <x:c r="G38" s="11" t="n">
        <x:v>2</x:v>
      </x:c>
      <x:c r="H38" s="11" t="str">
        <x:v>destructive truth witness</x:v>
      </x:c>
      <x:c r="I38" s="11" t="n">
        <x:v>2</x:v>
      </x:c>
      <x:c r="J38" s="11" t="n">
        <x:v>4</x:v>
      </x:c>
      <x:c r="K38" s="11" t="n">
        <x:v>1</x:v>
      </x:c>
      <x:c r="L38" s="11" t="n">
        <x:v>1</x:v>
      </x:c>
      <x:c r="M38" s="11" t="n">
        <x:v>1</x:v>
      </x:c>
      <x:c r="N38" s="11" t="n">
        <x:v>1</x:v>
      </x:c>
      <x:c r="O38" s="13" t="n">
        <x:v>0</x:v>
      </x:c>
      <x:c r="P38" s="13" t="n">
        <x:v>0</x:v>
      </x:c>
      <x:c r="Q38" s="11" t="str">
        <x:f>IF(AND(J38=4,K38=1,L38=1,M38=1,N38=1),"PASS","FAIL")</x:f>
        <x:v>PASS</x:v>
      </x:c>
      <x:c r="R38" s="11" t="str">
        <x:f>IF(Q38&lt;&gt;"PASS","FAIL",IF(AND(O38=1,P38=1),"PASS","OPEN"))</x:f>
        <x:v>OPEN</x:v>
      </x:c>
    </x:row>
    <x:row r="39">
      <x:c r="B39" s="11" t="str">
        <x:v>RA-SA3-06-A3</x:v>
      </x:c>
      <x:c r="C39" s="11" t="str">
        <x:v>LN-06</x:v>
      </x:c>
      <x:c r="D39" s="11" t="str">
        <x:v>SA3</x:v>
      </x:c>
      <x:c r="E39" s="11" t="str">
        <x:v>PTC-C</x:v>
      </x:c>
      <x:c r="F39" s="11" t="str">
        <x:v>A</x:v>
      </x:c>
      <x:c r="G39" s="11" t="n">
        <x:v>3</x:v>
      </x:c>
      <x:c r="H39" s="11" t="str">
        <x:v>failure and quarantine carrier</x:v>
      </x:c>
      <x:c r="I39" s="11" t="n">
        <x:v>2</x:v>
      </x:c>
      <x:c r="J39" s="11" t="n">
        <x:v>4</x:v>
      </x:c>
      <x:c r="K39" s="11" t="n">
        <x:v>1</x:v>
      </x:c>
      <x:c r="L39" s="11" t="n">
        <x:v>1</x:v>
      </x:c>
      <x:c r="M39" s="11" t="n">
        <x:v>1</x:v>
      </x:c>
      <x:c r="N39" s="11" t="n">
        <x:v>1</x:v>
      </x:c>
      <x:c r="O39" s="13" t="n">
        <x:v>0</x:v>
      </x:c>
      <x:c r="P39" s="13" t="n">
        <x:v>0</x:v>
      </x:c>
      <x:c r="Q39" s="11" t="str">
        <x:f>IF(AND(J39=4,K39=1,L39=1,M39=1,N39=1),"PASS","FAIL")</x:f>
        <x:v>PASS</x:v>
      </x:c>
      <x:c r="R39" s="11" t="str">
        <x:f>IF(Q39&lt;&gt;"PASS","FAIL",IF(AND(O39=1,P39=1),"PASS","OPEN"))</x:f>
        <x:v>OPEN</x:v>
      </x:c>
    </x:row>
    <x:row r="40">
      <x:c r="B40" s="11" t="str">
        <x:v>RA-SA3-06-B1</x:v>
      </x:c>
      <x:c r="C40" s="11" t="str">
        <x:v>LN-06</x:v>
      </x:c>
      <x:c r="D40" s="11" t="str">
        <x:v>SA3</x:v>
      </x:c>
      <x:c r="E40" s="11" t="str">
        <x:v>PTC-C</x:v>
      </x:c>
      <x:c r="F40" s="11" t="str">
        <x:v>B</x:v>
      </x:c>
      <x:c r="G40" s="11" t="n">
        <x:v>1</x:v>
      </x:c>
      <x:c r="H40" s="11" t="str">
        <x:v>retained transfer reference</x:v>
      </x:c>
      <x:c r="I40" s="11" t="n">
        <x:v>3</x:v>
      </x:c>
      <x:c r="J40" s="11" t="n">
        <x:v>4</x:v>
      </x:c>
      <x:c r="K40" s="11" t="n">
        <x:v>1</x:v>
      </x:c>
      <x:c r="L40" s="11" t="n">
        <x:v>1</x:v>
      </x:c>
      <x:c r="M40" s="11" t="n">
        <x:v>1</x:v>
      </x:c>
      <x:c r="N40" s="11" t="n">
        <x:v>1</x:v>
      </x:c>
      <x:c r="O40" s="13" t="n">
        <x:v>0</x:v>
      </x:c>
      <x:c r="P40" s="13" t="n">
        <x:v>0</x:v>
      </x:c>
      <x:c r="Q40" s="11" t="str">
        <x:f>IF(AND(J40=4,K40=1,L40=1,M40=1,N40=1),"PASS","FAIL")</x:f>
        <x:v>PASS</x:v>
      </x:c>
      <x:c r="R40" s="11" t="str">
        <x:f>IF(Q40&lt;&gt;"PASS","FAIL",IF(AND(O40=1,P40=1),"PASS","OPEN"))</x:f>
        <x:v>OPEN</x:v>
      </x:c>
    </x:row>
    <x:row r="41">
      <x:c r="B41" s="11" t="str">
        <x:v>RA-SA3-06-B2</x:v>
      </x:c>
      <x:c r="C41" s="11" t="str">
        <x:v>LN-06</x:v>
      </x:c>
      <x:c r="D41" s="11" t="str">
        <x:v>SA3</x:v>
      </x:c>
      <x:c r="E41" s="11" t="str">
        <x:v>PTC-C</x:v>
      </x:c>
      <x:c r="F41" s="11" t="str">
        <x:v>B</x:v>
      </x:c>
      <x:c r="G41" s="11" t="n">
        <x:v>2</x:v>
      </x:c>
      <x:c r="H41" s="11" t="str">
        <x:v>destructive truth witness</x:v>
      </x:c>
      <x:c r="I41" s="11" t="n">
        <x:v>1</x:v>
      </x:c>
      <x:c r="J41" s="11" t="n">
        <x:v>4</x:v>
      </x:c>
      <x:c r="K41" s="11" t="n">
        <x:v>1</x:v>
      </x:c>
      <x:c r="L41" s="11" t="n">
        <x:v>1</x:v>
      </x:c>
      <x:c r="M41" s="11" t="n">
        <x:v>1</x:v>
      </x:c>
      <x:c r="N41" s="11" t="n">
        <x:v>1</x:v>
      </x:c>
      <x:c r="O41" s="13" t="n">
        <x:v>0</x:v>
      </x:c>
      <x:c r="P41" s="13" t="n">
        <x:v>0</x:v>
      </x:c>
      <x:c r="Q41" s="11" t="str">
        <x:f>IF(AND(J41=4,K41=1,L41=1,M41=1,N41=1),"PASS","FAIL")</x:f>
        <x:v>PASS</x:v>
      </x:c>
      <x:c r="R41" s="11" t="str">
        <x:f>IF(Q41&lt;&gt;"PASS","FAIL",IF(AND(O41=1,P41=1),"PASS","OPEN"))</x:f>
        <x:v>OPEN</x:v>
      </x:c>
    </x:row>
    <x:row r="42">
      <x:c r="B42" s="11" t="str">
        <x:v>RA-SA3-06-B3</x:v>
      </x:c>
      <x:c r="C42" s="11" t="str">
        <x:v>LN-06</x:v>
      </x:c>
      <x:c r="D42" s="11" t="str">
        <x:v>SA3</x:v>
      </x:c>
      <x:c r="E42" s="11" t="str">
        <x:v>PTC-C</x:v>
      </x:c>
      <x:c r="F42" s="11" t="str">
        <x:v>B</x:v>
      </x:c>
      <x:c r="G42" s="11" t="n">
        <x:v>3</x:v>
      </x:c>
      <x:c r="H42" s="11" t="str">
        <x:v>failure and quarantine carrier</x:v>
      </x:c>
      <x:c r="I42" s="11" t="n">
        <x:v>1</x:v>
      </x:c>
      <x:c r="J42" s="11" t="n">
        <x:v>4</x:v>
      </x:c>
      <x:c r="K42" s="11" t="n">
        <x:v>1</x:v>
      </x:c>
      <x:c r="L42" s="11" t="n">
        <x:v>1</x:v>
      </x:c>
      <x:c r="M42" s="11" t="n">
        <x:v>1</x:v>
      </x:c>
      <x:c r="N42" s="11" t="n">
        <x:v>1</x:v>
      </x:c>
      <x:c r="O42" s="13" t="n">
        <x:v>0</x:v>
      </x:c>
      <x:c r="P42" s="13" t="n">
        <x:v>0</x:v>
      </x:c>
      <x:c r="Q42" s="11" t="str">
        <x:f>IF(AND(J42=4,K42=1,L42=1,M42=1,N42=1),"PASS","FAIL")</x:f>
        <x:v>PASS</x:v>
      </x:c>
      <x:c r="R42" s="11" t="str">
        <x:f>IF(Q42&lt;&gt;"PASS","FAIL",IF(AND(O42=1,P42=1),"PASS","OPEN"))</x:f>
        <x:v>OPEN</x:v>
      </x:c>
    </x:row>
    <x:row r="43">
      <x:c r="B43" s="11" t="str">
        <x:v>RA-SA4-07-A1</x:v>
      </x:c>
      <x:c r="C43" s="11" t="str">
        <x:v>LN-07</x:v>
      </x:c>
      <x:c r="D43" s="11" t="str">
        <x:v>SA4</x:v>
      </x:c>
      <x:c r="E43" s="11" t="str">
        <x:v>PTC-B</x:v>
      </x:c>
      <x:c r="F43" s="11" t="str">
        <x:v>A</x:v>
      </x:c>
      <x:c r="G43" s="11" t="n">
        <x:v>1</x:v>
      </x:c>
      <x:c r="H43" s="11" t="str">
        <x:v>retained transfer reference</x:v>
      </x:c>
      <x:c r="I43" s="11" t="n">
        <x:v>3</x:v>
      </x:c>
      <x:c r="J43" s="11" t="n">
        <x:v>4</x:v>
      </x:c>
      <x:c r="K43" s="11" t="n">
        <x:v>1</x:v>
      </x:c>
      <x:c r="L43" s="11" t="n">
        <x:v>1</x:v>
      </x:c>
      <x:c r="M43" s="11" t="n">
        <x:v>1</x:v>
      </x:c>
      <x:c r="N43" s="11" t="n">
        <x:v>1</x:v>
      </x:c>
      <x:c r="O43" s="13" t="n">
        <x:v>0</x:v>
      </x:c>
      <x:c r="P43" s="13" t="n">
        <x:v>0</x:v>
      </x:c>
      <x:c r="Q43" s="11" t="str">
        <x:f>IF(AND(J43=4,K43=1,L43=1,M43=1,N43=1),"PASS","FAIL")</x:f>
        <x:v>PASS</x:v>
      </x:c>
      <x:c r="R43" s="11" t="str">
        <x:f>IF(Q43&lt;&gt;"PASS","FAIL",IF(AND(O43=1,P43=1),"PASS","OPEN"))</x:f>
        <x:v>OPEN</x:v>
      </x:c>
    </x:row>
    <x:row r="44">
      <x:c r="B44" s="11" t="str">
        <x:v>RA-SA4-07-A2</x:v>
      </x:c>
      <x:c r="C44" s="11" t="str">
        <x:v>LN-07</x:v>
      </x:c>
      <x:c r="D44" s="11" t="str">
        <x:v>SA4</x:v>
      </x:c>
      <x:c r="E44" s="11" t="str">
        <x:v>PTC-B</x:v>
      </x:c>
      <x:c r="F44" s="11" t="str">
        <x:v>A</x:v>
      </x:c>
      <x:c r="G44" s="11" t="n">
        <x:v>2</x:v>
      </x:c>
      <x:c r="H44" s="11" t="str">
        <x:v>destructive truth witness</x:v>
      </x:c>
      <x:c r="I44" s="11" t="n">
        <x:v>1</x:v>
      </x:c>
      <x:c r="J44" s="11" t="n">
        <x:v>4</x:v>
      </x:c>
      <x:c r="K44" s="11" t="n">
        <x:v>1</x:v>
      </x:c>
      <x:c r="L44" s="11" t="n">
        <x:v>1</x:v>
      </x:c>
      <x:c r="M44" s="11" t="n">
        <x:v>1</x:v>
      </x:c>
      <x:c r="N44" s="11" t="n">
        <x:v>1</x:v>
      </x:c>
      <x:c r="O44" s="13" t="n">
        <x:v>0</x:v>
      </x:c>
      <x:c r="P44" s="13" t="n">
        <x:v>0</x:v>
      </x:c>
      <x:c r="Q44" s="11" t="str">
        <x:f>IF(AND(J44=4,K44=1,L44=1,M44=1,N44=1),"PASS","FAIL")</x:f>
        <x:v>PASS</x:v>
      </x:c>
      <x:c r="R44" s="11" t="str">
        <x:f>IF(Q44&lt;&gt;"PASS","FAIL",IF(AND(O44=1,P44=1),"PASS","OPEN"))</x:f>
        <x:v>OPEN</x:v>
      </x:c>
    </x:row>
    <x:row r="45">
      <x:c r="B45" s="11" t="str">
        <x:v>RA-SA4-07-A3</x:v>
      </x:c>
      <x:c r="C45" s="11" t="str">
        <x:v>LN-07</x:v>
      </x:c>
      <x:c r="D45" s="11" t="str">
        <x:v>SA4</x:v>
      </x:c>
      <x:c r="E45" s="11" t="str">
        <x:v>PTC-B</x:v>
      </x:c>
      <x:c r="F45" s="11" t="str">
        <x:v>A</x:v>
      </x:c>
      <x:c r="G45" s="11" t="n">
        <x:v>3</x:v>
      </x:c>
      <x:c r="H45" s="11" t="str">
        <x:v>failure and quarantine carrier</x:v>
      </x:c>
      <x:c r="I45" s="11" t="n">
        <x:v>1</x:v>
      </x:c>
      <x:c r="J45" s="11" t="n">
        <x:v>4</x:v>
      </x:c>
      <x:c r="K45" s="11" t="n">
        <x:v>1</x:v>
      </x:c>
      <x:c r="L45" s="11" t="n">
        <x:v>1</x:v>
      </x:c>
      <x:c r="M45" s="11" t="n">
        <x:v>1</x:v>
      </x:c>
      <x:c r="N45" s="11" t="n">
        <x:v>1</x:v>
      </x:c>
      <x:c r="O45" s="13" t="n">
        <x:v>0</x:v>
      </x:c>
      <x:c r="P45" s="13" t="n">
        <x:v>0</x:v>
      </x:c>
      <x:c r="Q45" s="11" t="str">
        <x:f>IF(AND(J45=4,K45=1,L45=1,M45=1,N45=1),"PASS","FAIL")</x:f>
        <x:v>PASS</x:v>
      </x:c>
      <x:c r="R45" s="11" t="str">
        <x:f>IF(Q45&lt;&gt;"PASS","FAIL",IF(AND(O45=1,P45=1),"PASS","OPEN"))</x:f>
        <x:v>OPEN</x:v>
      </x:c>
    </x:row>
    <x:row r="46">
      <x:c r="B46" s="11" t="str">
        <x:v>RA-SA4-07-B1</x:v>
      </x:c>
      <x:c r="C46" s="11" t="str">
        <x:v>LN-07</x:v>
      </x:c>
      <x:c r="D46" s="11" t="str">
        <x:v>SA4</x:v>
      </x:c>
      <x:c r="E46" s="11" t="str">
        <x:v>PTC-B</x:v>
      </x:c>
      <x:c r="F46" s="11" t="str">
        <x:v>B</x:v>
      </x:c>
      <x:c r="G46" s="11" t="n">
        <x:v>1</x:v>
      </x:c>
      <x:c r="H46" s="11" t="str">
        <x:v>retained transfer reference</x:v>
      </x:c>
      <x:c r="I46" s="11" t="n">
        <x:v>1</x:v>
      </x:c>
      <x:c r="J46" s="11" t="n">
        <x:v>4</x:v>
      </x:c>
      <x:c r="K46" s="11" t="n">
        <x:v>1</x:v>
      </x:c>
      <x:c r="L46" s="11" t="n">
        <x:v>1</x:v>
      </x:c>
      <x:c r="M46" s="11" t="n">
        <x:v>1</x:v>
      </x:c>
      <x:c r="N46" s="11" t="n">
        <x:v>1</x:v>
      </x:c>
      <x:c r="O46" s="13" t="n">
        <x:v>0</x:v>
      </x:c>
      <x:c r="P46" s="13" t="n">
        <x:v>0</x:v>
      </x:c>
      <x:c r="Q46" s="11" t="str">
        <x:f>IF(AND(J46=4,K46=1,L46=1,M46=1,N46=1),"PASS","FAIL")</x:f>
        <x:v>PASS</x:v>
      </x:c>
      <x:c r="R46" s="11" t="str">
        <x:f>IF(Q46&lt;&gt;"PASS","FAIL",IF(AND(O46=1,P46=1),"PASS","OPEN"))</x:f>
        <x:v>OPEN</x:v>
      </x:c>
    </x:row>
    <x:row r="47">
      <x:c r="B47" s="11" t="str">
        <x:v>RA-SA4-07-B2</x:v>
      </x:c>
      <x:c r="C47" s="11" t="str">
        <x:v>LN-07</x:v>
      </x:c>
      <x:c r="D47" s="11" t="str">
        <x:v>SA4</x:v>
      </x:c>
      <x:c r="E47" s="11" t="str">
        <x:v>PTC-B</x:v>
      </x:c>
      <x:c r="F47" s="11" t="str">
        <x:v>B</x:v>
      </x:c>
      <x:c r="G47" s="11" t="n">
        <x:v>2</x:v>
      </x:c>
      <x:c r="H47" s="11" t="str">
        <x:v>destructive truth witness</x:v>
      </x:c>
      <x:c r="I47" s="11" t="n">
        <x:v>2</x:v>
      </x:c>
      <x:c r="J47" s="11" t="n">
        <x:v>4</x:v>
      </x:c>
      <x:c r="K47" s="11" t="n">
        <x:v>1</x:v>
      </x:c>
      <x:c r="L47" s="11" t="n">
        <x:v>1</x:v>
      </x:c>
      <x:c r="M47" s="11" t="n">
        <x:v>1</x:v>
      </x:c>
      <x:c r="N47" s="11" t="n">
        <x:v>1</x:v>
      </x:c>
      <x:c r="O47" s="13" t="n">
        <x:v>0</x:v>
      </x:c>
      <x:c r="P47" s="13" t="n">
        <x:v>0</x:v>
      </x:c>
      <x:c r="Q47" s="11" t="str">
        <x:f>IF(AND(J47=4,K47=1,L47=1,M47=1,N47=1),"PASS","FAIL")</x:f>
        <x:v>PASS</x:v>
      </x:c>
      <x:c r="R47" s="11" t="str">
        <x:f>IF(Q47&lt;&gt;"PASS","FAIL",IF(AND(O47=1,P47=1),"PASS","OPEN"))</x:f>
        <x:v>OPEN</x:v>
      </x:c>
    </x:row>
    <x:row r="48">
      <x:c r="B48" s="11" t="str">
        <x:v>RA-SA4-07-B3</x:v>
      </x:c>
      <x:c r="C48" s="11" t="str">
        <x:v>LN-07</x:v>
      </x:c>
      <x:c r="D48" s="11" t="str">
        <x:v>SA4</x:v>
      </x:c>
      <x:c r="E48" s="11" t="str">
        <x:v>PTC-B</x:v>
      </x:c>
      <x:c r="F48" s="11" t="str">
        <x:v>B</x:v>
      </x:c>
      <x:c r="G48" s="11" t="n">
        <x:v>3</x:v>
      </x:c>
      <x:c r="H48" s="11" t="str">
        <x:v>failure and quarantine carrier</x:v>
      </x:c>
      <x:c r="I48" s="11" t="n">
        <x:v>2</x:v>
      </x:c>
      <x:c r="J48" s="11" t="n">
        <x:v>4</x:v>
      </x:c>
      <x:c r="K48" s="11" t="n">
        <x:v>1</x:v>
      </x:c>
      <x:c r="L48" s="11" t="n">
        <x:v>1</x:v>
      </x:c>
      <x:c r="M48" s="11" t="n">
        <x:v>1</x:v>
      </x:c>
      <x:c r="N48" s="11" t="n">
        <x:v>1</x:v>
      </x:c>
      <x:c r="O48" s="13" t="n">
        <x:v>0</x:v>
      </x:c>
      <x:c r="P48" s="13" t="n">
        <x:v>0</x:v>
      </x:c>
      <x:c r="Q48" s="11" t="str">
        <x:f>IF(AND(J48=4,K48=1,L48=1,M48=1,N48=1),"PASS","FAIL")</x:f>
        <x:v>PASS</x:v>
      </x:c>
      <x:c r="R48" s="11" t="str">
        <x:f>IF(Q48&lt;&gt;"PASS","FAIL",IF(AND(O48=1,P48=1),"PASS","OPEN"))</x:f>
        <x:v>OPEN</x:v>
      </x:c>
    </x:row>
    <x:row r="49">
      <x:c r="B49" s="11" t="str">
        <x:v>RA-SA4-08-A1</x:v>
      </x:c>
      <x:c r="C49" s="11" t="str">
        <x:v>LN-08</x:v>
      </x:c>
      <x:c r="D49" s="11" t="str">
        <x:v>SA4</x:v>
      </x:c>
      <x:c r="E49" s="11" t="str">
        <x:v>PTC-C</x:v>
      </x:c>
      <x:c r="F49" s="11" t="str">
        <x:v>A</x:v>
      </x:c>
      <x:c r="G49" s="11" t="n">
        <x:v>1</x:v>
      </x:c>
      <x:c r="H49" s="11" t="str">
        <x:v>retained transfer reference</x:v>
      </x:c>
      <x:c r="I49" s="11" t="n">
        <x:v>1</x:v>
      </x:c>
      <x:c r="J49" s="11" t="n">
        <x:v>4</x:v>
      </x:c>
      <x:c r="K49" s="11" t="n">
        <x:v>1</x:v>
      </x:c>
      <x:c r="L49" s="11" t="n">
        <x:v>1</x:v>
      </x:c>
      <x:c r="M49" s="11" t="n">
        <x:v>1</x:v>
      </x:c>
      <x:c r="N49" s="11" t="n">
        <x:v>1</x:v>
      </x:c>
      <x:c r="O49" s="13" t="n">
        <x:v>0</x:v>
      </x:c>
      <x:c r="P49" s="13" t="n">
        <x:v>0</x:v>
      </x:c>
      <x:c r="Q49" s="11" t="str">
        <x:f>IF(AND(J49=4,K49=1,L49=1,M49=1,N49=1),"PASS","FAIL")</x:f>
        <x:v>PASS</x:v>
      </x:c>
      <x:c r="R49" s="11" t="str">
        <x:f>IF(Q49&lt;&gt;"PASS","FAIL",IF(AND(O49=1,P49=1),"PASS","OPEN"))</x:f>
        <x:v>OPEN</x:v>
      </x:c>
    </x:row>
    <x:row r="50">
      <x:c r="B50" s="11" t="str">
        <x:v>RA-SA4-08-A2</x:v>
      </x:c>
      <x:c r="C50" s="11" t="str">
        <x:v>LN-08</x:v>
      </x:c>
      <x:c r="D50" s="11" t="str">
        <x:v>SA4</x:v>
      </x:c>
      <x:c r="E50" s="11" t="str">
        <x:v>PTC-C</x:v>
      </x:c>
      <x:c r="F50" s="11" t="str">
        <x:v>A</x:v>
      </x:c>
      <x:c r="G50" s="11" t="n">
        <x:v>2</x:v>
      </x:c>
      <x:c r="H50" s="11" t="str">
        <x:v>destructive truth witness</x:v>
      </x:c>
      <x:c r="I50" s="11" t="n">
        <x:v>2</x:v>
      </x:c>
      <x:c r="J50" s="11" t="n">
        <x:v>4</x:v>
      </x:c>
      <x:c r="K50" s="11" t="n">
        <x:v>1</x:v>
      </x:c>
      <x:c r="L50" s="11" t="n">
        <x:v>1</x:v>
      </x:c>
      <x:c r="M50" s="11" t="n">
        <x:v>1</x:v>
      </x:c>
      <x:c r="N50" s="11" t="n">
        <x:v>1</x:v>
      </x:c>
      <x:c r="O50" s="13" t="n">
        <x:v>0</x:v>
      </x:c>
      <x:c r="P50" s="13" t="n">
        <x:v>0</x:v>
      </x:c>
      <x:c r="Q50" s="11" t="str">
        <x:f>IF(AND(J50=4,K50=1,L50=1,M50=1,N50=1),"PASS","FAIL")</x:f>
        <x:v>PASS</x:v>
      </x:c>
      <x:c r="R50" s="11" t="str">
        <x:f>IF(Q50&lt;&gt;"PASS","FAIL",IF(AND(O50=1,P50=1),"PASS","OPEN"))</x:f>
        <x:v>OPEN</x:v>
      </x:c>
    </x:row>
    <x:row r="51">
      <x:c r="B51" s="11" t="str">
        <x:v>RA-SA4-08-A3</x:v>
      </x:c>
      <x:c r="C51" s="11" t="str">
        <x:v>LN-08</x:v>
      </x:c>
      <x:c r="D51" s="11" t="str">
        <x:v>SA4</x:v>
      </x:c>
      <x:c r="E51" s="11" t="str">
        <x:v>PTC-C</x:v>
      </x:c>
      <x:c r="F51" s="11" t="str">
        <x:v>A</x:v>
      </x:c>
      <x:c r="G51" s="11" t="n">
        <x:v>3</x:v>
      </x:c>
      <x:c r="H51" s="11" t="str">
        <x:v>failure and quarantine carrier</x:v>
      </x:c>
      <x:c r="I51" s="11" t="n">
        <x:v>2</x:v>
      </x:c>
      <x:c r="J51" s="11" t="n">
        <x:v>4</x:v>
      </x:c>
      <x:c r="K51" s="11" t="n">
        <x:v>1</x:v>
      </x:c>
      <x:c r="L51" s="11" t="n">
        <x:v>1</x:v>
      </x:c>
      <x:c r="M51" s="11" t="n">
        <x:v>1</x:v>
      </x:c>
      <x:c r="N51" s="11" t="n">
        <x:v>1</x:v>
      </x:c>
      <x:c r="O51" s="13" t="n">
        <x:v>0</x:v>
      </x:c>
      <x:c r="P51" s="13" t="n">
        <x:v>0</x:v>
      </x:c>
      <x:c r="Q51" s="11" t="str">
        <x:f>IF(AND(J51=4,K51=1,L51=1,M51=1,N51=1),"PASS","FAIL")</x:f>
        <x:v>PASS</x:v>
      </x:c>
      <x:c r="R51" s="11" t="str">
        <x:f>IF(Q51&lt;&gt;"PASS","FAIL",IF(AND(O51=1,P51=1),"PASS","OPEN"))</x:f>
        <x:v>OPEN</x:v>
      </x:c>
    </x:row>
    <x:row r="52">
      <x:c r="B52" s="11" t="str">
        <x:v>RA-SA4-08-B1</x:v>
      </x:c>
      <x:c r="C52" s="11" t="str">
        <x:v>LN-08</x:v>
      </x:c>
      <x:c r="D52" s="11" t="str">
        <x:v>SA4</x:v>
      </x:c>
      <x:c r="E52" s="11" t="str">
        <x:v>PTC-C</x:v>
      </x:c>
      <x:c r="F52" s="11" t="str">
        <x:v>B</x:v>
      </x:c>
      <x:c r="G52" s="11" t="n">
        <x:v>1</x:v>
      </x:c>
      <x:c r="H52" s="11" t="str">
        <x:v>retained transfer reference</x:v>
      </x:c>
      <x:c r="I52" s="11" t="n">
        <x:v>3</x:v>
      </x:c>
      <x:c r="J52" s="11" t="n">
        <x:v>4</x:v>
      </x:c>
      <x:c r="K52" s="11" t="n">
        <x:v>1</x:v>
      </x:c>
      <x:c r="L52" s="11" t="n">
        <x:v>1</x:v>
      </x:c>
      <x:c r="M52" s="11" t="n">
        <x:v>1</x:v>
      </x:c>
      <x:c r="N52" s="11" t="n">
        <x:v>1</x:v>
      </x:c>
      <x:c r="O52" s="13" t="n">
        <x:v>0</x:v>
      </x:c>
      <x:c r="P52" s="13" t="n">
        <x:v>0</x:v>
      </x:c>
      <x:c r="Q52" s="11" t="str">
        <x:f>IF(AND(J52=4,K52=1,L52=1,M52=1,N52=1),"PASS","FAIL")</x:f>
        <x:v>PASS</x:v>
      </x:c>
      <x:c r="R52" s="11" t="str">
        <x:f>IF(Q52&lt;&gt;"PASS","FAIL",IF(AND(O52=1,P52=1),"PASS","OPEN"))</x:f>
        <x:v>OPEN</x:v>
      </x:c>
    </x:row>
    <x:row r="53">
      <x:c r="B53" s="11" t="str">
        <x:v>RA-SA4-08-B2</x:v>
      </x:c>
      <x:c r="C53" s="11" t="str">
        <x:v>LN-08</x:v>
      </x:c>
      <x:c r="D53" s="11" t="str">
        <x:v>SA4</x:v>
      </x:c>
      <x:c r="E53" s="11" t="str">
        <x:v>PTC-C</x:v>
      </x:c>
      <x:c r="F53" s="11" t="str">
        <x:v>B</x:v>
      </x:c>
      <x:c r="G53" s="11" t="n">
        <x:v>2</x:v>
      </x:c>
      <x:c r="H53" s="11" t="str">
        <x:v>destructive truth witness</x:v>
      </x:c>
      <x:c r="I53" s="11" t="n">
        <x:v>1</x:v>
      </x:c>
      <x:c r="J53" s="11" t="n">
        <x:v>4</x:v>
      </x:c>
      <x:c r="K53" s="11" t="n">
        <x:v>1</x:v>
      </x:c>
      <x:c r="L53" s="11" t="n">
        <x:v>1</x:v>
      </x:c>
      <x:c r="M53" s="11" t="n">
        <x:v>1</x:v>
      </x:c>
      <x:c r="N53" s="11" t="n">
        <x:v>1</x:v>
      </x:c>
      <x:c r="O53" s="13" t="n">
        <x:v>0</x:v>
      </x:c>
      <x:c r="P53" s="13" t="n">
        <x:v>0</x:v>
      </x:c>
      <x:c r="Q53" s="11" t="str">
        <x:f>IF(AND(J53=4,K53=1,L53=1,M53=1,N53=1),"PASS","FAIL")</x:f>
        <x:v>PASS</x:v>
      </x:c>
      <x:c r="R53" s="11" t="str">
        <x:f>IF(Q53&lt;&gt;"PASS","FAIL",IF(AND(O53=1,P53=1),"PASS","OPEN"))</x:f>
        <x:v>OPEN</x:v>
      </x:c>
    </x:row>
    <x:row r="54">
      <x:c r="B54" s="11" t="str">
        <x:v>RA-SA4-08-B3</x:v>
      </x:c>
      <x:c r="C54" s="11" t="str">
        <x:v>LN-08</x:v>
      </x:c>
      <x:c r="D54" s="11" t="str">
        <x:v>SA4</x:v>
      </x:c>
      <x:c r="E54" s="11" t="str">
        <x:v>PTC-C</x:v>
      </x:c>
      <x:c r="F54" s="11" t="str">
        <x:v>B</x:v>
      </x:c>
      <x:c r="G54" s="11" t="n">
        <x:v>3</x:v>
      </x:c>
      <x:c r="H54" s="11" t="str">
        <x:v>failure and quarantine carrier</x:v>
      </x:c>
      <x:c r="I54" s="11" t="n">
        <x:v>1</x:v>
      </x:c>
      <x:c r="J54" s="11" t="n">
        <x:v>4</x:v>
      </x:c>
      <x:c r="K54" s="11" t="n">
        <x:v>1</x:v>
      </x:c>
      <x:c r="L54" s="11" t="n">
        <x:v>1</x:v>
      </x:c>
      <x:c r="M54" s="11" t="n">
        <x:v>1</x:v>
      </x:c>
      <x:c r="N54" s="11" t="n">
        <x:v>1</x:v>
      </x:c>
      <x:c r="O54" s="13" t="n">
        <x:v>0</x:v>
      </x:c>
      <x:c r="P54" s="13" t="n">
        <x:v>0</x:v>
      </x:c>
      <x:c r="Q54" s="11" t="str">
        <x:f>IF(AND(J54=4,K54=1,L54=1,M54=1,N54=1),"PASS","FAIL")</x:f>
        <x:v>PASS</x:v>
      </x:c>
      <x:c r="R54" s="11" t="str">
        <x:f>IF(Q54&lt;&gt;"PASS","FAIL",IF(AND(O54=1,P54=1),"PASS","OPEN"))</x:f>
        <x:v>OPEN</x:v>
      </x:c>
    </x:row>
    <x:row r="55">
      <x:c r="B55" s="11" t="str">
        <x:v>RA-SA5-09-A1</x:v>
      </x:c>
      <x:c r="C55" s="11" t="str">
        <x:v>LN-09</x:v>
      </x:c>
      <x:c r="D55" s="11" t="str">
        <x:v>SA5</x:v>
      </x:c>
      <x:c r="E55" s="11" t="str">
        <x:v>PTC-A</x:v>
      </x:c>
      <x:c r="F55" s="11" t="str">
        <x:v>A</x:v>
      </x:c>
      <x:c r="G55" s="11" t="n">
        <x:v>1</x:v>
      </x:c>
      <x:c r="H55" s="11" t="str">
        <x:v>retained transfer reference</x:v>
      </x:c>
      <x:c r="I55" s="11" t="n">
        <x:v>3</x:v>
      </x:c>
      <x:c r="J55" s="11" t="n">
        <x:v>4</x:v>
      </x:c>
      <x:c r="K55" s="11" t="n">
        <x:v>1</x:v>
      </x:c>
      <x:c r="L55" s="11" t="n">
        <x:v>1</x:v>
      </x:c>
      <x:c r="M55" s="11" t="n">
        <x:v>1</x:v>
      </x:c>
      <x:c r="N55" s="11" t="n">
        <x:v>1</x:v>
      </x:c>
      <x:c r="O55" s="13" t="n">
        <x:v>0</x:v>
      </x:c>
      <x:c r="P55" s="13" t="n">
        <x:v>0</x:v>
      </x:c>
      <x:c r="Q55" s="11" t="str">
        <x:f>IF(AND(J55=4,K55=1,L55=1,M55=1,N55=1),"PASS","FAIL")</x:f>
        <x:v>PASS</x:v>
      </x:c>
      <x:c r="R55" s="11" t="str">
        <x:f>IF(Q55&lt;&gt;"PASS","FAIL",IF(AND(O55=1,P55=1),"PASS","OPEN"))</x:f>
        <x:v>OPEN</x:v>
      </x:c>
    </x:row>
    <x:row r="56">
      <x:c r="B56" s="11" t="str">
        <x:v>RA-SA5-09-A2</x:v>
      </x:c>
      <x:c r="C56" s="11" t="str">
        <x:v>LN-09</x:v>
      </x:c>
      <x:c r="D56" s="11" t="str">
        <x:v>SA5</x:v>
      </x:c>
      <x:c r="E56" s="11" t="str">
        <x:v>PTC-A</x:v>
      </x:c>
      <x:c r="F56" s="11" t="str">
        <x:v>A</x:v>
      </x:c>
      <x:c r="G56" s="11" t="n">
        <x:v>2</x:v>
      </x:c>
      <x:c r="H56" s="11" t="str">
        <x:v>destructive truth witness</x:v>
      </x:c>
      <x:c r="I56" s="11" t="n">
        <x:v>1</x:v>
      </x:c>
      <x:c r="J56" s="11" t="n">
        <x:v>4</x:v>
      </x:c>
      <x:c r="K56" s="11" t="n">
        <x:v>1</x:v>
      </x:c>
      <x:c r="L56" s="11" t="n">
        <x:v>1</x:v>
      </x:c>
      <x:c r="M56" s="11" t="n">
        <x:v>1</x:v>
      </x:c>
      <x:c r="N56" s="11" t="n">
        <x:v>1</x:v>
      </x:c>
      <x:c r="O56" s="13" t="n">
        <x:v>0</x:v>
      </x:c>
      <x:c r="P56" s="13" t="n">
        <x:v>0</x:v>
      </x:c>
      <x:c r="Q56" s="11" t="str">
        <x:f>IF(AND(J56=4,K56=1,L56=1,M56=1,N56=1),"PASS","FAIL")</x:f>
        <x:v>PASS</x:v>
      </x:c>
      <x:c r="R56" s="11" t="str">
        <x:f>IF(Q56&lt;&gt;"PASS","FAIL",IF(AND(O56=1,P56=1),"PASS","OPEN"))</x:f>
        <x:v>OPEN</x:v>
      </x:c>
    </x:row>
    <x:row r="57">
      <x:c r="B57" s="11" t="str">
        <x:v>RA-SA5-09-A3</x:v>
      </x:c>
      <x:c r="C57" s="11" t="str">
        <x:v>LN-09</x:v>
      </x:c>
      <x:c r="D57" s="11" t="str">
        <x:v>SA5</x:v>
      </x:c>
      <x:c r="E57" s="11" t="str">
        <x:v>PTC-A</x:v>
      </x:c>
      <x:c r="F57" s="11" t="str">
        <x:v>A</x:v>
      </x:c>
      <x:c r="G57" s="11" t="n">
        <x:v>3</x:v>
      </x:c>
      <x:c r="H57" s="11" t="str">
        <x:v>failure and quarantine carrier</x:v>
      </x:c>
      <x:c r="I57" s="11" t="n">
        <x:v>1</x:v>
      </x:c>
      <x:c r="J57" s="11" t="n">
        <x:v>4</x:v>
      </x:c>
      <x:c r="K57" s="11" t="n">
        <x:v>1</x:v>
      </x:c>
      <x:c r="L57" s="11" t="n">
        <x:v>1</x:v>
      </x:c>
      <x:c r="M57" s="11" t="n">
        <x:v>1</x:v>
      </x:c>
      <x:c r="N57" s="11" t="n">
        <x:v>1</x:v>
      </x:c>
      <x:c r="O57" s="13" t="n">
        <x:v>0</x:v>
      </x:c>
      <x:c r="P57" s="13" t="n">
        <x:v>0</x:v>
      </x:c>
      <x:c r="Q57" s="11" t="str">
        <x:f>IF(AND(J57=4,K57=1,L57=1,M57=1,N57=1),"PASS","FAIL")</x:f>
        <x:v>PASS</x:v>
      </x:c>
      <x:c r="R57" s="11" t="str">
        <x:f>IF(Q57&lt;&gt;"PASS","FAIL",IF(AND(O57=1,P57=1),"PASS","OPEN"))</x:f>
        <x:v>OPEN</x:v>
      </x:c>
    </x:row>
    <x:row r="58">
      <x:c r="B58" s="11" t="str">
        <x:v>RA-SA5-09-B1</x:v>
      </x:c>
      <x:c r="C58" s="11" t="str">
        <x:v>LN-09</x:v>
      </x:c>
      <x:c r="D58" s="11" t="str">
        <x:v>SA5</x:v>
      </x:c>
      <x:c r="E58" s="11" t="str">
        <x:v>PTC-A</x:v>
      </x:c>
      <x:c r="F58" s="11" t="str">
        <x:v>B</x:v>
      </x:c>
      <x:c r="G58" s="11" t="n">
        <x:v>1</x:v>
      </x:c>
      <x:c r="H58" s="11" t="str">
        <x:v>retained transfer reference</x:v>
      </x:c>
      <x:c r="I58" s="11" t="n">
        <x:v>1</x:v>
      </x:c>
      <x:c r="J58" s="11" t="n">
        <x:v>4</x:v>
      </x:c>
      <x:c r="K58" s="11" t="n">
        <x:v>1</x:v>
      </x:c>
      <x:c r="L58" s="11" t="n">
        <x:v>1</x:v>
      </x:c>
      <x:c r="M58" s="11" t="n">
        <x:v>1</x:v>
      </x:c>
      <x:c r="N58" s="11" t="n">
        <x:v>1</x:v>
      </x:c>
      <x:c r="O58" s="13" t="n">
        <x:v>0</x:v>
      </x:c>
      <x:c r="P58" s="13" t="n">
        <x:v>0</x:v>
      </x:c>
      <x:c r="Q58" s="11" t="str">
        <x:f>IF(AND(J58=4,K58=1,L58=1,M58=1,N58=1),"PASS","FAIL")</x:f>
        <x:v>PASS</x:v>
      </x:c>
      <x:c r="R58" s="11" t="str">
        <x:f>IF(Q58&lt;&gt;"PASS","FAIL",IF(AND(O58=1,P58=1),"PASS","OPEN"))</x:f>
        <x:v>OPEN</x:v>
      </x:c>
    </x:row>
    <x:row r="59">
      <x:c r="B59" s="11" t="str">
        <x:v>RA-SA5-09-B2</x:v>
      </x:c>
      <x:c r="C59" s="11" t="str">
        <x:v>LN-09</x:v>
      </x:c>
      <x:c r="D59" s="11" t="str">
        <x:v>SA5</x:v>
      </x:c>
      <x:c r="E59" s="11" t="str">
        <x:v>PTC-A</x:v>
      </x:c>
      <x:c r="F59" s="11" t="str">
        <x:v>B</x:v>
      </x:c>
      <x:c r="G59" s="11" t="n">
        <x:v>2</x:v>
      </x:c>
      <x:c r="H59" s="11" t="str">
        <x:v>destructive truth witness</x:v>
      </x:c>
      <x:c r="I59" s="11" t="n">
        <x:v>2</x:v>
      </x:c>
      <x:c r="J59" s="11" t="n">
        <x:v>4</x:v>
      </x:c>
      <x:c r="K59" s="11" t="n">
        <x:v>1</x:v>
      </x:c>
      <x:c r="L59" s="11" t="n">
        <x:v>1</x:v>
      </x:c>
      <x:c r="M59" s="11" t="n">
        <x:v>1</x:v>
      </x:c>
      <x:c r="N59" s="11" t="n">
        <x:v>1</x:v>
      </x:c>
      <x:c r="O59" s="13" t="n">
        <x:v>0</x:v>
      </x:c>
      <x:c r="P59" s="13" t="n">
        <x:v>0</x:v>
      </x:c>
      <x:c r="Q59" s="11" t="str">
        <x:f>IF(AND(J59=4,K59=1,L59=1,M59=1,N59=1),"PASS","FAIL")</x:f>
        <x:v>PASS</x:v>
      </x:c>
      <x:c r="R59" s="11" t="str">
        <x:f>IF(Q59&lt;&gt;"PASS","FAIL",IF(AND(O59=1,P59=1),"PASS","OPEN"))</x:f>
        <x:v>OPEN</x:v>
      </x:c>
    </x:row>
    <x:row r="60">
      <x:c r="B60" s="11" t="str">
        <x:v>RA-SA5-09-B3</x:v>
      </x:c>
      <x:c r="C60" s="11" t="str">
        <x:v>LN-09</x:v>
      </x:c>
      <x:c r="D60" s="11" t="str">
        <x:v>SA5</x:v>
      </x:c>
      <x:c r="E60" s="11" t="str">
        <x:v>PTC-A</x:v>
      </x:c>
      <x:c r="F60" s="11" t="str">
        <x:v>B</x:v>
      </x:c>
      <x:c r="G60" s="11" t="n">
        <x:v>3</x:v>
      </x:c>
      <x:c r="H60" s="11" t="str">
        <x:v>failure and quarantine carrier</x:v>
      </x:c>
      <x:c r="I60" s="11" t="n">
        <x:v>2</x:v>
      </x:c>
      <x:c r="J60" s="11" t="n">
        <x:v>4</x:v>
      </x:c>
      <x:c r="K60" s="11" t="n">
        <x:v>1</x:v>
      </x:c>
      <x:c r="L60" s="11" t="n">
        <x:v>1</x:v>
      </x:c>
      <x:c r="M60" s="11" t="n">
        <x:v>1</x:v>
      </x:c>
      <x:c r="N60" s="11" t="n">
        <x:v>1</x:v>
      </x:c>
      <x:c r="O60" s="13" t="n">
        <x:v>0</x:v>
      </x:c>
      <x:c r="P60" s="13" t="n">
        <x:v>0</x:v>
      </x:c>
      <x:c r="Q60" s="11" t="str">
        <x:f>IF(AND(J60=4,K60=1,L60=1,M60=1,N60=1),"PASS","FAIL")</x:f>
        <x:v>PASS</x:v>
      </x:c>
      <x:c r="R60" s="11" t="str">
        <x:f>IF(Q60&lt;&gt;"PASS","FAIL",IF(AND(O60=1,P60=1),"PASS","OPEN"))</x:f>
        <x:v>OPEN</x:v>
      </x:c>
    </x:row>
    <x:row r="61">
      <x:c r="B61" s="11" t="str">
        <x:v>RA-SA5-10-A1</x:v>
      </x:c>
      <x:c r="C61" s="11" t="str">
        <x:v>LN-10</x:v>
      </x:c>
      <x:c r="D61" s="11" t="str">
        <x:v>SA5</x:v>
      </x:c>
      <x:c r="E61" s="11" t="str">
        <x:v>PTC-B</x:v>
      </x:c>
      <x:c r="F61" s="11" t="str">
        <x:v>A</x:v>
      </x:c>
      <x:c r="G61" s="11" t="n">
        <x:v>1</x:v>
      </x:c>
      <x:c r="H61" s="11" t="str">
        <x:v>retained transfer reference</x:v>
      </x:c>
      <x:c r="I61" s="11" t="n">
        <x:v>1</x:v>
      </x:c>
      <x:c r="J61" s="11" t="n">
        <x:v>4</x:v>
      </x:c>
      <x:c r="K61" s="11" t="n">
        <x:v>1</x:v>
      </x:c>
      <x:c r="L61" s="11" t="n">
        <x:v>1</x:v>
      </x:c>
      <x:c r="M61" s="11" t="n">
        <x:v>1</x:v>
      </x:c>
      <x:c r="N61" s="11" t="n">
        <x:v>1</x:v>
      </x:c>
      <x:c r="O61" s="13" t="n">
        <x:v>0</x:v>
      </x:c>
      <x:c r="P61" s="13" t="n">
        <x:v>0</x:v>
      </x:c>
      <x:c r="Q61" s="11" t="str">
        <x:f>IF(AND(J61=4,K61=1,L61=1,M61=1,N61=1),"PASS","FAIL")</x:f>
        <x:v>PASS</x:v>
      </x:c>
      <x:c r="R61" s="11" t="str">
        <x:f>IF(Q61&lt;&gt;"PASS","FAIL",IF(AND(O61=1,P61=1),"PASS","OPEN"))</x:f>
        <x:v>OPEN</x:v>
      </x:c>
    </x:row>
    <x:row r="62">
      <x:c r="B62" s="11" t="str">
        <x:v>RA-SA5-10-A2</x:v>
      </x:c>
      <x:c r="C62" s="11" t="str">
        <x:v>LN-10</x:v>
      </x:c>
      <x:c r="D62" s="11" t="str">
        <x:v>SA5</x:v>
      </x:c>
      <x:c r="E62" s="11" t="str">
        <x:v>PTC-B</x:v>
      </x:c>
      <x:c r="F62" s="11" t="str">
        <x:v>A</x:v>
      </x:c>
      <x:c r="G62" s="11" t="n">
        <x:v>2</x:v>
      </x:c>
      <x:c r="H62" s="11" t="str">
        <x:v>destructive truth witness</x:v>
      </x:c>
      <x:c r="I62" s="11" t="n">
        <x:v>2</x:v>
      </x:c>
      <x:c r="J62" s="11" t="n">
        <x:v>4</x:v>
      </x:c>
      <x:c r="K62" s="11" t="n">
        <x:v>1</x:v>
      </x:c>
      <x:c r="L62" s="11" t="n">
        <x:v>1</x:v>
      </x:c>
      <x:c r="M62" s="11" t="n">
        <x:v>1</x:v>
      </x:c>
      <x:c r="N62" s="11" t="n">
        <x:v>1</x:v>
      </x:c>
      <x:c r="O62" s="13" t="n">
        <x:v>0</x:v>
      </x:c>
      <x:c r="P62" s="13" t="n">
        <x:v>0</x:v>
      </x:c>
      <x:c r="Q62" s="11" t="str">
        <x:f>IF(AND(J62=4,K62=1,L62=1,M62=1,N62=1),"PASS","FAIL")</x:f>
        <x:v>PASS</x:v>
      </x:c>
      <x:c r="R62" s="11" t="str">
        <x:f>IF(Q62&lt;&gt;"PASS","FAIL",IF(AND(O62=1,P62=1),"PASS","OPEN"))</x:f>
        <x:v>OPEN</x:v>
      </x:c>
    </x:row>
    <x:row r="63">
      <x:c r="B63" s="11" t="str">
        <x:v>RA-SA5-10-A3</x:v>
      </x:c>
      <x:c r="C63" s="11" t="str">
        <x:v>LN-10</x:v>
      </x:c>
      <x:c r="D63" s="11" t="str">
        <x:v>SA5</x:v>
      </x:c>
      <x:c r="E63" s="11" t="str">
        <x:v>PTC-B</x:v>
      </x:c>
      <x:c r="F63" s="11" t="str">
        <x:v>A</x:v>
      </x:c>
      <x:c r="G63" s="11" t="n">
        <x:v>3</x:v>
      </x:c>
      <x:c r="H63" s="11" t="str">
        <x:v>failure and quarantine carrier</x:v>
      </x:c>
      <x:c r="I63" s="11" t="n">
        <x:v>2</x:v>
      </x:c>
      <x:c r="J63" s="11" t="n">
        <x:v>4</x:v>
      </x:c>
      <x:c r="K63" s="11" t="n">
        <x:v>1</x:v>
      </x:c>
      <x:c r="L63" s="11" t="n">
        <x:v>1</x:v>
      </x:c>
      <x:c r="M63" s="11" t="n">
        <x:v>1</x:v>
      </x:c>
      <x:c r="N63" s="11" t="n">
        <x:v>1</x:v>
      </x:c>
      <x:c r="O63" s="13" t="n">
        <x:v>0</x:v>
      </x:c>
      <x:c r="P63" s="13" t="n">
        <x:v>0</x:v>
      </x:c>
      <x:c r="Q63" s="11" t="str">
        <x:f>IF(AND(J63=4,K63=1,L63=1,M63=1,N63=1),"PASS","FAIL")</x:f>
        <x:v>PASS</x:v>
      </x:c>
      <x:c r="R63" s="11" t="str">
        <x:f>IF(Q63&lt;&gt;"PASS","FAIL",IF(AND(O63=1,P63=1),"PASS","OPEN"))</x:f>
        <x:v>OPEN</x:v>
      </x:c>
    </x:row>
    <x:row r="64">
      <x:c r="B64" s="11" t="str">
        <x:v>RA-SA5-10-B1</x:v>
      </x:c>
      <x:c r="C64" s="11" t="str">
        <x:v>LN-10</x:v>
      </x:c>
      <x:c r="D64" s="11" t="str">
        <x:v>SA5</x:v>
      </x:c>
      <x:c r="E64" s="11" t="str">
        <x:v>PTC-B</x:v>
      </x:c>
      <x:c r="F64" s="11" t="str">
        <x:v>B</x:v>
      </x:c>
      <x:c r="G64" s="11" t="n">
        <x:v>1</x:v>
      </x:c>
      <x:c r="H64" s="11" t="str">
        <x:v>retained transfer reference</x:v>
      </x:c>
      <x:c r="I64" s="11" t="n">
        <x:v>3</x:v>
      </x:c>
      <x:c r="J64" s="11" t="n">
        <x:v>4</x:v>
      </x:c>
      <x:c r="K64" s="11" t="n">
        <x:v>1</x:v>
      </x:c>
      <x:c r="L64" s="11" t="n">
        <x:v>1</x:v>
      </x:c>
      <x:c r="M64" s="11" t="n">
        <x:v>1</x:v>
      </x:c>
      <x:c r="N64" s="11" t="n">
        <x:v>1</x:v>
      </x:c>
      <x:c r="O64" s="13" t="n">
        <x:v>0</x:v>
      </x:c>
      <x:c r="P64" s="13" t="n">
        <x:v>0</x:v>
      </x:c>
      <x:c r="Q64" s="11" t="str">
        <x:f>IF(AND(J64=4,K64=1,L64=1,M64=1,N64=1),"PASS","FAIL")</x:f>
        <x:v>PASS</x:v>
      </x:c>
      <x:c r="R64" s="11" t="str">
        <x:f>IF(Q64&lt;&gt;"PASS","FAIL",IF(AND(O64=1,P64=1),"PASS","OPEN"))</x:f>
        <x:v>OPEN</x:v>
      </x:c>
    </x:row>
    <x:row r="65">
      <x:c r="B65" s="11" t="str">
        <x:v>RA-SA5-10-B2</x:v>
      </x:c>
      <x:c r="C65" s="11" t="str">
        <x:v>LN-10</x:v>
      </x:c>
      <x:c r="D65" s="11" t="str">
        <x:v>SA5</x:v>
      </x:c>
      <x:c r="E65" s="11" t="str">
        <x:v>PTC-B</x:v>
      </x:c>
      <x:c r="F65" s="11" t="str">
        <x:v>B</x:v>
      </x:c>
      <x:c r="G65" s="11" t="n">
        <x:v>2</x:v>
      </x:c>
      <x:c r="H65" s="11" t="str">
        <x:v>destructive truth witness</x:v>
      </x:c>
      <x:c r="I65" s="11" t="n">
        <x:v>1</x:v>
      </x:c>
      <x:c r="J65" s="11" t="n">
        <x:v>4</x:v>
      </x:c>
      <x:c r="K65" s="11" t="n">
        <x:v>1</x:v>
      </x:c>
      <x:c r="L65" s="11" t="n">
        <x:v>1</x:v>
      </x:c>
      <x:c r="M65" s="11" t="n">
        <x:v>1</x:v>
      </x:c>
      <x:c r="N65" s="11" t="n">
        <x:v>1</x:v>
      </x:c>
      <x:c r="O65" s="13" t="n">
        <x:v>0</x:v>
      </x:c>
      <x:c r="P65" s="13" t="n">
        <x:v>0</x:v>
      </x:c>
      <x:c r="Q65" s="11" t="str">
        <x:f>IF(AND(J65=4,K65=1,L65=1,M65=1,N65=1),"PASS","FAIL")</x:f>
        <x:v>PASS</x:v>
      </x:c>
      <x:c r="R65" s="11" t="str">
        <x:f>IF(Q65&lt;&gt;"PASS","FAIL",IF(AND(O65=1,P65=1),"PASS","OPEN"))</x:f>
        <x:v>OPEN</x:v>
      </x:c>
    </x:row>
    <x:row r="66">
      <x:c r="B66" s="11" t="str">
        <x:v>RA-SA5-10-B3</x:v>
      </x:c>
      <x:c r="C66" s="11" t="str">
        <x:v>LN-10</x:v>
      </x:c>
      <x:c r="D66" s="11" t="str">
        <x:v>SA5</x:v>
      </x:c>
      <x:c r="E66" s="11" t="str">
        <x:v>PTC-B</x:v>
      </x:c>
      <x:c r="F66" s="11" t="str">
        <x:v>B</x:v>
      </x:c>
      <x:c r="G66" s="11" t="n">
        <x:v>3</x:v>
      </x:c>
      <x:c r="H66" s="11" t="str">
        <x:v>failure and quarantine carrier</x:v>
      </x:c>
      <x:c r="I66" s="11" t="n">
        <x:v>1</x:v>
      </x:c>
      <x:c r="J66" s="11" t="n">
        <x:v>4</x:v>
      </x:c>
      <x:c r="K66" s="11" t="n">
        <x:v>1</x:v>
      </x:c>
      <x:c r="L66" s="11" t="n">
        <x:v>1</x:v>
      </x:c>
      <x:c r="M66" s="11" t="n">
        <x:v>1</x:v>
      </x:c>
      <x:c r="N66" s="11" t="n">
        <x:v>1</x:v>
      </x:c>
      <x:c r="O66" s="13" t="n">
        <x:v>0</x:v>
      </x:c>
      <x:c r="P66" s="13" t="n">
        <x:v>0</x:v>
      </x:c>
      <x:c r="Q66" s="11" t="str">
        <x:f>IF(AND(J66=4,K66=1,L66=1,M66=1,N66=1),"PASS","FAIL")</x:f>
        <x:v>PASS</x:v>
      </x:c>
      <x:c r="R66" s="11" t="str">
        <x:f>IF(Q66&lt;&gt;"PASS","FAIL",IF(AND(O66=1,P66=1),"PASS","OPEN"))</x:f>
        <x:v>OPEN</x:v>
      </x:c>
    </x:row>
    <x:row r="67">
      <x:c r="B67" s="11" t="str">
        <x:v>RA-SA6-11-A1</x:v>
      </x:c>
      <x:c r="C67" s="11" t="str">
        <x:v>LN-11</x:v>
      </x:c>
      <x:c r="D67" s="11" t="str">
        <x:v>SA6</x:v>
      </x:c>
      <x:c r="E67" s="11" t="str">
        <x:v>PTC-B</x:v>
      </x:c>
      <x:c r="F67" s="11" t="str">
        <x:v>A</x:v>
      </x:c>
      <x:c r="G67" s="11" t="n">
        <x:v>1</x:v>
      </x:c>
      <x:c r="H67" s="11" t="str">
        <x:v>retained transfer reference</x:v>
      </x:c>
      <x:c r="I67" s="11" t="n">
        <x:v>3</x:v>
      </x:c>
      <x:c r="J67" s="11" t="n">
        <x:v>4</x:v>
      </x:c>
      <x:c r="K67" s="11" t="n">
        <x:v>1</x:v>
      </x:c>
      <x:c r="L67" s="11" t="n">
        <x:v>1</x:v>
      </x:c>
      <x:c r="M67" s="11" t="n">
        <x:v>1</x:v>
      </x:c>
      <x:c r="N67" s="11" t="n">
        <x:v>1</x:v>
      </x:c>
      <x:c r="O67" s="13" t="n">
        <x:v>0</x:v>
      </x:c>
      <x:c r="P67" s="13" t="n">
        <x:v>0</x:v>
      </x:c>
      <x:c r="Q67" s="11" t="str">
        <x:f>IF(AND(J67=4,K67=1,L67=1,M67=1,N67=1),"PASS","FAIL")</x:f>
        <x:v>PASS</x:v>
      </x:c>
      <x:c r="R67" s="11" t="str">
        <x:f>IF(Q67&lt;&gt;"PASS","FAIL",IF(AND(O67=1,P67=1),"PASS","OPEN"))</x:f>
        <x:v>OPEN</x:v>
      </x:c>
    </x:row>
    <x:row r="68">
      <x:c r="B68" s="11" t="str">
        <x:v>RA-SA6-11-A2</x:v>
      </x:c>
      <x:c r="C68" s="11" t="str">
        <x:v>LN-11</x:v>
      </x:c>
      <x:c r="D68" s="11" t="str">
        <x:v>SA6</x:v>
      </x:c>
      <x:c r="E68" s="11" t="str">
        <x:v>PTC-B</x:v>
      </x:c>
      <x:c r="F68" s="11" t="str">
        <x:v>A</x:v>
      </x:c>
      <x:c r="G68" s="11" t="n">
        <x:v>2</x:v>
      </x:c>
      <x:c r="H68" s="11" t="str">
        <x:v>destructive truth witness</x:v>
      </x:c>
      <x:c r="I68" s="11" t="n">
        <x:v>1</x:v>
      </x:c>
      <x:c r="J68" s="11" t="n">
        <x:v>4</x:v>
      </x:c>
      <x:c r="K68" s="11" t="n">
        <x:v>1</x:v>
      </x:c>
      <x:c r="L68" s="11" t="n">
        <x:v>1</x:v>
      </x:c>
      <x:c r="M68" s="11" t="n">
        <x:v>1</x:v>
      </x:c>
      <x:c r="N68" s="11" t="n">
        <x:v>1</x:v>
      </x:c>
      <x:c r="O68" s="13" t="n">
        <x:v>0</x:v>
      </x:c>
      <x:c r="P68" s="13" t="n">
        <x:v>0</x:v>
      </x:c>
      <x:c r="Q68" s="11" t="str">
        <x:f>IF(AND(J68=4,K68=1,L68=1,M68=1,N68=1),"PASS","FAIL")</x:f>
        <x:v>PASS</x:v>
      </x:c>
      <x:c r="R68" s="11" t="str">
        <x:f>IF(Q68&lt;&gt;"PASS","FAIL",IF(AND(O68=1,P68=1),"PASS","OPEN"))</x:f>
        <x:v>OPEN</x:v>
      </x:c>
    </x:row>
    <x:row r="69">
      <x:c r="B69" s="11" t="str">
        <x:v>RA-SA6-11-A3</x:v>
      </x:c>
      <x:c r="C69" s="11" t="str">
        <x:v>LN-11</x:v>
      </x:c>
      <x:c r="D69" s="11" t="str">
        <x:v>SA6</x:v>
      </x:c>
      <x:c r="E69" s="11" t="str">
        <x:v>PTC-B</x:v>
      </x:c>
      <x:c r="F69" s="11" t="str">
        <x:v>A</x:v>
      </x:c>
      <x:c r="G69" s="11" t="n">
        <x:v>3</x:v>
      </x:c>
      <x:c r="H69" s="11" t="str">
        <x:v>failure and quarantine carrier</x:v>
      </x:c>
      <x:c r="I69" s="11" t="n">
        <x:v>1</x:v>
      </x:c>
      <x:c r="J69" s="11" t="n">
        <x:v>4</x:v>
      </x:c>
      <x:c r="K69" s="11" t="n">
        <x:v>1</x:v>
      </x:c>
      <x:c r="L69" s="11" t="n">
        <x:v>1</x:v>
      </x:c>
      <x:c r="M69" s="11" t="n">
        <x:v>1</x:v>
      </x:c>
      <x:c r="N69" s="11" t="n">
        <x:v>1</x:v>
      </x:c>
      <x:c r="O69" s="13" t="n">
        <x:v>0</x:v>
      </x:c>
      <x:c r="P69" s="13" t="n">
        <x:v>0</x:v>
      </x:c>
      <x:c r="Q69" s="11" t="str">
        <x:f>IF(AND(J69=4,K69=1,L69=1,M69=1,N69=1),"PASS","FAIL")</x:f>
        <x:v>PASS</x:v>
      </x:c>
      <x:c r="R69" s="11" t="str">
        <x:f>IF(Q69&lt;&gt;"PASS","FAIL",IF(AND(O69=1,P69=1),"PASS","OPEN"))</x:f>
        <x:v>OPEN</x:v>
      </x:c>
    </x:row>
    <x:row r="70">
      <x:c r="B70" s="11" t="str">
        <x:v>RA-SA6-11-B1</x:v>
      </x:c>
      <x:c r="C70" s="11" t="str">
        <x:v>LN-11</x:v>
      </x:c>
      <x:c r="D70" s="11" t="str">
        <x:v>SA6</x:v>
      </x:c>
      <x:c r="E70" s="11" t="str">
        <x:v>PTC-B</x:v>
      </x:c>
      <x:c r="F70" s="11" t="str">
        <x:v>B</x:v>
      </x:c>
      <x:c r="G70" s="11" t="n">
        <x:v>1</x:v>
      </x:c>
      <x:c r="H70" s="11" t="str">
        <x:v>retained transfer reference</x:v>
      </x:c>
      <x:c r="I70" s="11" t="n">
        <x:v>1</x:v>
      </x:c>
      <x:c r="J70" s="11" t="n">
        <x:v>4</x:v>
      </x:c>
      <x:c r="K70" s="11" t="n">
        <x:v>1</x:v>
      </x:c>
      <x:c r="L70" s="11" t="n">
        <x:v>1</x:v>
      </x:c>
      <x:c r="M70" s="11" t="n">
        <x:v>1</x:v>
      </x:c>
      <x:c r="N70" s="11" t="n">
        <x:v>1</x:v>
      </x:c>
      <x:c r="O70" s="13" t="n">
        <x:v>0</x:v>
      </x:c>
      <x:c r="P70" s="13" t="n">
        <x:v>0</x:v>
      </x:c>
      <x:c r="Q70" s="11" t="str">
        <x:f>IF(AND(J70=4,K70=1,L70=1,M70=1,N70=1),"PASS","FAIL")</x:f>
        <x:v>PASS</x:v>
      </x:c>
      <x:c r="R70" s="11" t="str">
        <x:f>IF(Q70&lt;&gt;"PASS","FAIL",IF(AND(O70=1,P70=1),"PASS","OPEN"))</x:f>
        <x:v>OPEN</x:v>
      </x:c>
    </x:row>
    <x:row r="71">
      <x:c r="B71" s="11" t="str">
        <x:v>RA-SA6-11-B2</x:v>
      </x:c>
      <x:c r="C71" s="11" t="str">
        <x:v>LN-11</x:v>
      </x:c>
      <x:c r="D71" s="11" t="str">
        <x:v>SA6</x:v>
      </x:c>
      <x:c r="E71" s="11" t="str">
        <x:v>PTC-B</x:v>
      </x:c>
      <x:c r="F71" s="11" t="str">
        <x:v>B</x:v>
      </x:c>
      <x:c r="G71" s="11" t="n">
        <x:v>2</x:v>
      </x:c>
      <x:c r="H71" s="11" t="str">
        <x:v>destructive truth witness</x:v>
      </x:c>
      <x:c r="I71" s="11" t="n">
        <x:v>2</x:v>
      </x:c>
      <x:c r="J71" s="11" t="n">
        <x:v>4</x:v>
      </x:c>
      <x:c r="K71" s="11" t="n">
        <x:v>1</x:v>
      </x:c>
      <x:c r="L71" s="11" t="n">
        <x:v>1</x:v>
      </x:c>
      <x:c r="M71" s="11" t="n">
        <x:v>1</x:v>
      </x:c>
      <x:c r="N71" s="11" t="n">
        <x:v>1</x:v>
      </x:c>
      <x:c r="O71" s="13" t="n">
        <x:v>0</x:v>
      </x:c>
      <x:c r="P71" s="13" t="n">
        <x:v>0</x:v>
      </x:c>
      <x:c r="Q71" s="11" t="str">
        <x:f>IF(AND(J71=4,K71=1,L71=1,M71=1,N71=1),"PASS","FAIL")</x:f>
        <x:v>PASS</x:v>
      </x:c>
      <x:c r="R71" s="11" t="str">
        <x:f>IF(Q71&lt;&gt;"PASS","FAIL",IF(AND(O71=1,P71=1),"PASS","OPEN"))</x:f>
        <x:v>OPEN</x:v>
      </x:c>
    </x:row>
    <x:row r="72">
      <x:c r="B72" s="11" t="str">
        <x:v>RA-SA6-11-B3</x:v>
      </x:c>
      <x:c r="C72" s="11" t="str">
        <x:v>LN-11</x:v>
      </x:c>
      <x:c r="D72" s="11" t="str">
        <x:v>SA6</x:v>
      </x:c>
      <x:c r="E72" s="11" t="str">
        <x:v>PTC-B</x:v>
      </x:c>
      <x:c r="F72" s="11" t="str">
        <x:v>B</x:v>
      </x:c>
      <x:c r="G72" s="11" t="n">
        <x:v>3</x:v>
      </x:c>
      <x:c r="H72" s="11" t="str">
        <x:v>failure and quarantine carrier</x:v>
      </x:c>
      <x:c r="I72" s="11" t="n">
        <x:v>2</x:v>
      </x:c>
      <x:c r="J72" s="11" t="n">
        <x:v>4</x:v>
      </x:c>
      <x:c r="K72" s="11" t="n">
        <x:v>1</x:v>
      </x:c>
      <x:c r="L72" s="11" t="n">
        <x:v>1</x:v>
      </x:c>
      <x:c r="M72" s="11" t="n">
        <x:v>1</x:v>
      </x:c>
      <x:c r="N72" s="11" t="n">
        <x:v>1</x:v>
      </x:c>
      <x:c r="O72" s="13" t="n">
        <x:v>0</x:v>
      </x:c>
      <x:c r="P72" s="13" t="n">
        <x:v>0</x:v>
      </x:c>
      <x:c r="Q72" s="11" t="str">
        <x:f>IF(AND(J72=4,K72=1,L72=1,M72=1,N72=1),"PASS","FAIL")</x:f>
        <x:v>PASS</x:v>
      </x:c>
      <x:c r="R72" s="11" t="str">
        <x:f>IF(Q72&lt;&gt;"PASS","FAIL",IF(AND(O72=1,P72=1),"PASS","OPEN"))</x:f>
        <x:v>OPEN</x:v>
      </x:c>
    </x:row>
    <x:row r="73">
      <x:c r="B73" s="11" t="str">
        <x:v>RA-SA6-12-A1</x:v>
      </x:c>
      <x:c r="C73" s="11" t="str">
        <x:v>LN-12</x:v>
      </x:c>
      <x:c r="D73" s="11" t="str">
        <x:v>SA6</x:v>
      </x:c>
      <x:c r="E73" s="11" t="str">
        <x:v>PTC-C</x:v>
      </x:c>
      <x:c r="F73" s="11" t="str">
        <x:v>A</x:v>
      </x:c>
      <x:c r="G73" s="11" t="n">
        <x:v>1</x:v>
      </x:c>
      <x:c r="H73" s="11" t="str">
        <x:v>retained transfer reference</x:v>
      </x:c>
      <x:c r="I73" s="11" t="n">
        <x:v>1</x:v>
      </x:c>
      <x:c r="J73" s="11" t="n">
        <x:v>4</x:v>
      </x:c>
      <x:c r="K73" s="11" t="n">
        <x:v>1</x:v>
      </x:c>
      <x:c r="L73" s="11" t="n">
        <x:v>1</x:v>
      </x:c>
      <x:c r="M73" s="11" t="n">
        <x:v>1</x:v>
      </x:c>
      <x:c r="N73" s="11" t="n">
        <x:v>1</x:v>
      </x:c>
      <x:c r="O73" s="13" t="n">
        <x:v>0</x:v>
      </x:c>
      <x:c r="P73" s="13" t="n">
        <x:v>0</x:v>
      </x:c>
      <x:c r="Q73" s="11" t="str">
        <x:f>IF(AND(J73=4,K73=1,L73=1,M73=1,N73=1),"PASS","FAIL")</x:f>
        <x:v>PASS</x:v>
      </x:c>
      <x:c r="R73" s="11" t="str">
        <x:f>IF(Q73&lt;&gt;"PASS","FAIL",IF(AND(O73=1,P73=1),"PASS","OPEN"))</x:f>
        <x:v>OPEN</x:v>
      </x:c>
    </x:row>
    <x:row r="74">
      <x:c r="B74" s="11" t="str">
        <x:v>RA-SA6-12-A2</x:v>
      </x:c>
      <x:c r="C74" s="11" t="str">
        <x:v>LN-12</x:v>
      </x:c>
      <x:c r="D74" s="11" t="str">
        <x:v>SA6</x:v>
      </x:c>
      <x:c r="E74" s="11" t="str">
        <x:v>PTC-C</x:v>
      </x:c>
      <x:c r="F74" s="11" t="str">
        <x:v>A</x:v>
      </x:c>
      <x:c r="G74" s="11" t="n">
        <x:v>2</x:v>
      </x:c>
      <x:c r="H74" s="11" t="str">
        <x:v>destructive truth witness</x:v>
      </x:c>
      <x:c r="I74" s="11" t="n">
        <x:v>2</x:v>
      </x:c>
      <x:c r="J74" s="11" t="n">
        <x:v>4</x:v>
      </x:c>
      <x:c r="K74" s="11" t="n">
        <x:v>1</x:v>
      </x:c>
      <x:c r="L74" s="11" t="n">
        <x:v>1</x:v>
      </x:c>
      <x:c r="M74" s="11" t="n">
        <x:v>1</x:v>
      </x:c>
      <x:c r="N74" s="11" t="n">
        <x:v>1</x:v>
      </x:c>
      <x:c r="O74" s="13" t="n">
        <x:v>0</x:v>
      </x:c>
      <x:c r="P74" s="13" t="n">
        <x:v>0</x:v>
      </x:c>
      <x:c r="Q74" s="11" t="str">
        <x:f>IF(AND(J74=4,K74=1,L74=1,M74=1,N74=1),"PASS","FAIL")</x:f>
        <x:v>PASS</x:v>
      </x:c>
      <x:c r="R74" s="11" t="str">
        <x:f>IF(Q74&lt;&gt;"PASS","FAIL",IF(AND(O74=1,P74=1),"PASS","OPEN"))</x:f>
        <x:v>OPEN</x:v>
      </x:c>
    </x:row>
    <x:row r="75">
      <x:c r="B75" s="11" t="str">
        <x:v>RA-SA6-12-A3</x:v>
      </x:c>
      <x:c r="C75" s="11" t="str">
        <x:v>LN-12</x:v>
      </x:c>
      <x:c r="D75" s="11" t="str">
        <x:v>SA6</x:v>
      </x:c>
      <x:c r="E75" s="11" t="str">
        <x:v>PTC-C</x:v>
      </x:c>
      <x:c r="F75" s="11" t="str">
        <x:v>A</x:v>
      </x:c>
      <x:c r="G75" s="11" t="n">
        <x:v>3</x:v>
      </x:c>
      <x:c r="H75" s="11" t="str">
        <x:v>failure and quarantine carrier</x:v>
      </x:c>
      <x:c r="I75" s="11" t="n">
        <x:v>2</x:v>
      </x:c>
      <x:c r="J75" s="11" t="n">
        <x:v>4</x:v>
      </x:c>
      <x:c r="K75" s="11" t="n">
        <x:v>1</x:v>
      </x:c>
      <x:c r="L75" s="11" t="n">
        <x:v>1</x:v>
      </x:c>
      <x:c r="M75" s="11" t="n">
        <x:v>1</x:v>
      </x:c>
      <x:c r="N75" s="11" t="n">
        <x:v>1</x:v>
      </x:c>
      <x:c r="O75" s="13" t="n">
        <x:v>0</x:v>
      </x:c>
      <x:c r="P75" s="13" t="n">
        <x:v>0</x:v>
      </x:c>
      <x:c r="Q75" s="11" t="str">
        <x:f>IF(AND(J75=4,K75=1,L75=1,M75=1,N75=1),"PASS","FAIL")</x:f>
        <x:v>PASS</x:v>
      </x:c>
      <x:c r="R75" s="11" t="str">
        <x:f>IF(Q75&lt;&gt;"PASS","FAIL",IF(AND(O75=1,P75=1),"PASS","OPEN"))</x:f>
        <x:v>OPEN</x:v>
      </x:c>
    </x:row>
    <x:row r="76">
      <x:c r="B76" s="11" t="str">
        <x:v>RA-SA6-12-B1</x:v>
      </x:c>
      <x:c r="C76" s="11" t="str">
        <x:v>LN-12</x:v>
      </x:c>
      <x:c r="D76" s="11" t="str">
        <x:v>SA6</x:v>
      </x:c>
      <x:c r="E76" s="11" t="str">
        <x:v>PTC-C</x:v>
      </x:c>
      <x:c r="F76" s="11" t="str">
        <x:v>B</x:v>
      </x:c>
      <x:c r="G76" s="11" t="n">
        <x:v>1</x:v>
      </x:c>
      <x:c r="H76" s="11" t="str">
        <x:v>retained transfer reference</x:v>
      </x:c>
      <x:c r="I76" s="11" t="n">
        <x:v>3</x:v>
      </x:c>
      <x:c r="J76" s="11" t="n">
        <x:v>4</x:v>
      </x:c>
      <x:c r="K76" s="11" t="n">
        <x:v>1</x:v>
      </x:c>
      <x:c r="L76" s="11" t="n">
        <x:v>1</x:v>
      </x:c>
      <x:c r="M76" s="11" t="n">
        <x:v>1</x:v>
      </x:c>
      <x:c r="N76" s="11" t="n">
        <x:v>1</x:v>
      </x:c>
      <x:c r="O76" s="13" t="n">
        <x:v>0</x:v>
      </x:c>
      <x:c r="P76" s="13" t="n">
        <x:v>0</x:v>
      </x:c>
      <x:c r="Q76" s="11" t="str">
        <x:f>IF(AND(J76=4,K76=1,L76=1,M76=1,N76=1),"PASS","FAIL")</x:f>
        <x:v>PASS</x:v>
      </x:c>
      <x:c r="R76" s="11" t="str">
        <x:f>IF(Q76&lt;&gt;"PASS","FAIL",IF(AND(O76=1,P76=1),"PASS","OPEN"))</x:f>
        <x:v>OPEN</x:v>
      </x:c>
    </x:row>
    <x:row r="77">
      <x:c r="B77" s="11" t="str">
        <x:v>RA-SA6-12-B2</x:v>
      </x:c>
      <x:c r="C77" s="11" t="str">
        <x:v>LN-12</x:v>
      </x:c>
      <x:c r="D77" s="11" t="str">
        <x:v>SA6</x:v>
      </x:c>
      <x:c r="E77" s="11" t="str">
        <x:v>PTC-C</x:v>
      </x:c>
      <x:c r="F77" s="11" t="str">
        <x:v>B</x:v>
      </x:c>
      <x:c r="G77" s="11" t="n">
        <x:v>2</x:v>
      </x:c>
      <x:c r="H77" s="11" t="str">
        <x:v>destructive truth witness</x:v>
      </x:c>
      <x:c r="I77" s="11" t="n">
        <x:v>1</x:v>
      </x:c>
      <x:c r="J77" s="11" t="n">
        <x:v>4</x:v>
      </x:c>
      <x:c r="K77" s="11" t="n">
        <x:v>1</x:v>
      </x:c>
      <x:c r="L77" s="11" t="n">
        <x:v>1</x:v>
      </x:c>
      <x:c r="M77" s="11" t="n">
        <x:v>1</x:v>
      </x:c>
      <x:c r="N77" s="11" t="n">
        <x:v>1</x:v>
      </x:c>
      <x:c r="O77" s="13" t="n">
        <x:v>0</x:v>
      </x:c>
      <x:c r="P77" s="13" t="n">
        <x:v>0</x:v>
      </x:c>
      <x:c r="Q77" s="11" t="str">
        <x:f>IF(AND(J77=4,K77=1,L77=1,M77=1,N77=1),"PASS","FAIL")</x:f>
        <x:v>PASS</x:v>
      </x:c>
      <x:c r="R77" s="11" t="str">
        <x:f>IF(Q77&lt;&gt;"PASS","FAIL",IF(AND(O77=1,P77=1),"PASS","OPEN"))</x:f>
        <x:v>OPEN</x:v>
      </x:c>
    </x:row>
    <x:row r="78">
      <x:c r="B78" s="12" t="str">
        <x:v>RA-SA6-12-B3</x:v>
      </x:c>
      <x:c r="C78" s="12" t="str">
        <x:v>LN-12</x:v>
      </x:c>
      <x:c r="D78" s="12" t="str">
        <x:v>SA6</x:v>
      </x:c>
      <x:c r="E78" s="12" t="str">
        <x:v>PTC-C</x:v>
      </x:c>
      <x:c r="F78" s="12" t="str">
        <x:v>B</x:v>
      </x:c>
      <x:c r="G78" s="12" t="n">
        <x:v>3</x:v>
      </x:c>
      <x:c r="H78" s="12" t="str">
        <x:v>failure and quarantine carrier</x:v>
      </x:c>
      <x:c r="I78" s="12" t="n">
        <x:v>1</x:v>
      </x:c>
      <x:c r="J78" s="12" t="n">
        <x:v>4</x:v>
      </x:c>
      <x:c r="K78" s="12" t="n">
        <x:v>1</x:v>
      </x:c>
      <x:c r="L78" s="12" t="n">
        <x:v>1</x:v>
      </x:c>
      <x:c r="M78" s="12" t="n">
        <x:v>1</x:v>
      </x:c>
      <x:c r="N78" s="12" t="n">
        <x:v>1</x:v>
      </x:c>
      <x:c r="O78" s="14" t="n">
        <x:v>0</x:v>
      </x:c>
      <x:c r="P78" s="14" t="n">
        <x:v>0</x:v>
      </x:c>
      <x:c r="Q78" s="12" t="str">
        <x:f>IF(AND(J78=4,K78=1,L78=1,M78=1,N78=1),"PASS","FAIL")</x:f>
        <x:v>PASS</x:v>
      </x:c>
      <x:c r="R78" s="12" t="str">
        <x:f>IF(Q78&lt;&gt;"PASS","FAIL",IF(AND(O78=1,P78=1),"PASS","OPEN"))</x:f>
        <x:v>OPEN</x:v>
      </x:c>
    </x:row>
  </x:sheetData>
  <x:mergeCells>
    <x:mergeCell ref="B2:R2"/>
    <x:mergeCell ref="B3:R3"/>
  </x:mergeCells>
  <x:conditionalFormatting sqref="Q7:R78">
    <x:cfRule type="containsText" dxfId="14" priority="1" operator="containsText" text="PASS"/>
    <x:cfRule type="containsText" dxfId="15" priority="2" operator="containsText" text="AUTHORIZED"/>
    <x:cfRule type="containsText" dxfId="16" priority="3" operator="containsText" text="DEFINED"/>
    <x:cfRule type="containsText" dxfId="17" priority="4" operator="containsText" text="READY"/>
    <x:cfRule type="containsText" dxfId="18" priority="5" operator="containsText" text="HOLD"/>
    <x:cfRule type="containsText" dxfId="19" priority="6" operator="containsText" text="OPEN"/>
    <x:cfRule type="containsText" dxfId="20" priority="7" operator="containsText" text="BLOCKED"/>
    <x:cfRule type="containsText" dxfId="21" priority="8" operator="containsText" text="PLANNING"/>
    <x:cfRule type="containsText" dxfId="22" priority="9" operator="containsText" text="QUARANTINE"/>
    <x:cfRule type="containsText" dxfId="23" priority="10" operator="containsText" text="INDETERMINATE"/>
    <x:cfRule type="containsText" dxfId="24" priority="11" operator="containsText" text="FAIL"/>
    <x:cfRule type="containsText" dxfId="25" priority="12" operator="containsText" text="REJECT"/>
    <x:cfRule type="containsText" dxfId="26" priority="13" operator="containsText" text="INVALID"/>
    <x:cfRule type="containsText" dxfId="27" priority="14" operator="containsText" text="STOP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27" hidden="0" customWidth="1"/>
    <x:col min="3" max="3" width="22" hidden="0" customWidth="1"/>
    <x:col min="4" max="4" width="10" hidden="0" customWidth="1"/>
    <x:col min="5" max="5" width="8" hidden="0" customWidth="1"/>
    <x:col min="6" max="6" width="8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18" hidden="0" customWidth="1"/>
    <x:col min="14" max="14" width="15" hidden="0" customWidth="1"/>
    <x:col min="15" max="15" width="19" hidden="0" customWidth="1"/>
    <x:col min="16" max="16" width="15" hidden="0" customWidth="1"/>
    <x:col min="17" max="17" width="14" hidden="0" customWidth="1"/>
  </x:cols>
  <x:sheetData>
    <x:row r="2">
      <x:c r="B2" s="37" t="str">
        <x:v>Replaceable known-truth modules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3">
      <x:c r="B3" s="39" t="str">
        <x:v>Four modules per body separate datum, conforming, nonconforming and boundary states. Physical truth remains open until independent realization.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</x:row>
    <x:row r="6">
      <x:c r="B6" s="9" t="str">
        <x:v>Module ID</x:v>
      </x:c>
      <x:c r="C6" s="9" t="str">
        <x:v>Article ID</x:v>
      </x:c>
      <x:c r="D6" s="9" t="str">
        <x:v>Family</x:v>
      </x:c>
      <x:c r="E6" s="9" t="str">
        <x:v>Root</x:v>
      </x:c>
      <x:c r="F6" s="9" t="str">
        <x:v>Code</x:v>
      </x:c>
      <x:c r="G6" s="9" t="str">
        <x:v>Truth class</x:v>
      </x:c>
      <x:c r="H6" s="9" t="str">
        <x:v>Decision quantity</x:v>
      </x:c>
      <x:c r="I6" s="9" t="str">
        <x:v>Unit</x:v>
      </x:c>
      <x:c r="J6" s="9" t="str">
        <x:v>Threshold</x:v>
      </x:c>
      <x:c r="K6" s="9" t="str">
        <x:v>Target</x:v>
      </x:c>
      <x:c r="L6" s="9" t="str">
        <x:v>Expanded uncertainty</x:v>
      </x:c>
      <x:c r="M6" s="9" t="str">
        <x:v>Expected disposition</x:v>
      </x:c>
      <x:c r="N6" s="9" t="str">
        <x:v>Truth build plan</x:v>
      </x:c>
      <x:c r="O6" s="9" t="str">
        <x:v>Physical truth source</x:v>
      </x:c>
      <x:c r="P6" s="9" t="str">
        <x:v>Planning state</x:v>
      </x:c>
      <x:c r="Q6" s="9" t="str">
        <x:v>Source state</x:v>
      </x:c>
    </x:row>
    <x:row r="7">
      <x:c r="B7" s="11" t="str">
        <x:v>RA-SA1-01-A1-T0</x:v>
      </x:c>
      <x:c r="C7" s="11" t="str">
        <x:v>RA-SA1-01-A1</x:v>
      </x:c>
      <x:c r="D7" s="11" t="str">
        <x:v>SA1</x:v>
      </x:c>
      <x:c r="E7" s="11" t="str">
        <x:v>A</x:v>
      </x:c>
      <x:c r="F7" s="11" t="str">
        <x:v>T0</x:v>
      </x:c>
      <x:c r="G7" s="11" t="str">
        <x:v>datum and blank</x:v>
      </x:c>
      <x:c r="H7" s="11" t="str">
        <x:v>residual datum shift</x:v>
      </x:c>
      <x:c r="I7" s="11" t="str">
        <x:v>mm</x:v>
      </x:c>
      <x:c r="J7" s="17" t="n">
        <x:v>0.5</x:v>
      </x:c>
      <x:c r="K7" s="17" t="n">
        <x:v>0</x:v>
      </x:c>
      <x:c r="L7" s="17" t="n">
        <x:v>0.05</x:v>
      </x:c>
      <x:c r="M7" s="11" t="str">
        <x:v>ACCEPT</x:v>
      </x:c>
      <x:c r="N7" s="11" t="n">
        <x:v>1</x:v>
      </x:c>
      <x:c r="O7" s="13" t="n">
        <x:v>0</x:v>
      </x:c>
      <x:c r="P7" s="11" t="str">
        <x:f>IF(AND(N7=1,L7&lt;=J7/4,K7=0),"PASS","FAIL")</x:f>
        <x:v>PASS</x:v>
      </x:c>
      <x:c r="Q7" s="11" t="str">
        <x:f>IF(P7&lt;&gt;"PASS","FAIL",IF(O7=1,"PASS","OPEN"))</x:f>
        <x:v>OPEN</x:v>
      </x:c>
    </x:row>
    <x:row r="8">
      <x:c r="B8" s="11" t="str">
        <x:v>RA-SA1-01-A1-T1</x:v>
      </x:c>
      <x:c r="C8" s="11" t="str">
        <x:v>RA-SA1-01-A1</x:v>
      </x:c>
      <x:c r="D8" s="11" t="str">
        <x:v>SA1</x:v>
      </x:c>
      <x:c r="E8" s="11" t="str">
        <x:v>A</x:v>
      </x:c>
      <x:c r="F8" s="11" t="str">
        <x:v>T1</x:v>
      </x:c>
      <x:c r="G8" s="11" t="str">
        <x:v>known compliant</x:v>
      </x:c>
      <x:c r="H8" s="11" t="str">
        <x:v>residual datum shift</x:v>
      </x:c>
      <x:c r="I8" s="11" t="str">
        <x:v>mm</x:v>
      </x:c>
      <x:c r="J8" s="17" t="n">
        <x:v>0.5</x:v>
      </x:c>
      <x:c r="K8" s="17" t="n">
        <x:v>0.25</x:v>
      </x:c>
      <x:c r="L8" s="17" t="n">
        <x:v>0.05</x:v>
      </x:c>
      <x:c r="M8" s="11" t="str">
        <x:v>ACCEPT</x:v>
      </x:c>
      <x:c r="N8" s="11" t="n">
        <x:v>1</x:v>
      </x:c>
      <x:c r="O8" s="13" t="n">
        <x:v>0</x:v>
      </x:c>
      <x:c r="P8" s="11" t="str">
        <x:f>IF(AND(N8=1,L8&lt;=J8/4,K8&lt;J8-L8),"PASS","FAIL")</x:f>
        <x:v>PASS</x:v>
      </x:c>
      <x:c r="Q8" s="11" t="str">
        <x:f>IF(P8&lt;&gt;"PASS","FAIL",IF(O8=1,"PASS","OPEN"))</x:f>
        <x:v>OPEN</x:v>
      </x:c>
    </x:row>
    <x:row r="9">
      <x:c r="B9" s="11" t="str">
        <x:v>RA-SA1-01-A1-T2</x:v>
      </x:c>
      <x:c r="C9" s="11" t="str">
        <x:v>RA-SA1-01-A1</x:v>
      </x:c>
      <x:c r="D9" s="11" t="str">
        <x:v>SA1</x:v>
      </x:c>
      <x:c r="E9" s="11" t="str">
        <x:v>A</x:v>
      </x:c>
      <x:c r="F9" s="11" t="str">
        <x:v>T2</x:v>
      </x:c>
      <x:c r="G9" s="11" t="str">
        <x:v>known nonconforming</x:v>
      </x:c>
      <x:c r="H9" s="11" t="str">
        <x:v>residual datum shift</x:v>
      </x:c>
      <x:c r="I9" s="11" t="str">
        <x:v>mm</x:v>
      </x:c>
      <x:c r="J9" s="17" t="n">
        <x:v>0.5</x:v>
      </x:c>
      <x:c r="K9" s="17" t="n">
        <x:v>0.75</x:v>
      </x:c>
      <x:c r="L9" s="17" t="n">
        <x:v>0.05</x:v>
      </x:c>
      <x:c r="M9" s="11" t="str">
        <x:v>REJECT</x:v>
      </x:c>
      <x:c r="N9" s="11" t="n">
        <x:v>1</x:v>
      </x:c>
      <x:c r="O9" s="13" t="n">
        <x:v>0</x:v>
      </x:c>
      <x:c r="P9" s="11" t="str">
        <x:f>IF(AND(N9=1,L9&lt;=J9/4,K9&gt;J9+L9),"PASS","FAIL")</x:f>
        <x:v>PASS</x:v>
      </x:c>
      <x:c r="Q9" s="11" t="str">
        <x:f>IF(P9&lt;&gt;"PASS","FAIL",IF(O9=1,"PASS","OPEN"))</x:f>
        <x:v>OPEN</x:v>
      </x:c>
    </x:row>
    <x:row r="10">
      <x:c r="B10" s="11" t="str">
        <x:v>RA-SA1-01-A1-T3</x:v>
      </x:c>
      <x:c r="C10" s="11" t="str">
        <x:v>RA-SA1-01-A1</x:v>
      </x:c>
      <x:c r="D10" s="11" t="str">
        <x:v>SA1</x:v>
      </x:c>
      <x:c r="E10" s="11" t="str">
        <x:v>A</x:v>
      </x:c>
      <x:c r="F10" s="11" t="str">
        <x:v>T3</x:v>
      </x:c>
      <x:c r="G10" s="11" t="str">
        <x:v>decision boundary</x:v>
      </x:c>
      <x:c r="H10" s="11" t="str">
        <x:v>residual datum shift</x:v>
      </x:c>
      <x:c r="I10" s="11" t="str">
        <x:v>mm</x:v>
      </x:c>
      <x:c r="J10" s="17" t="n">
        <x:v>0.5</x:v>
      </x:c>
      <x:c r="K10" s="17" t="n">
        <x:v>0.5</x:v>
      </x:c>
      <x:c r="L10" s="17" t="n">
        <x:v>0.05</x:v>
      </x:c>
      <x:c r="M10" s="11" t="str">
        <x:v>INDETERMINATE</x:v>
      </x:c>
      <x:c r="N10" s="11" t="n">
        <x:v>1</x:v>
      </x:c>
      <x:c r="O10" s="13" t="n">
        <x:v>0</x:v>
      </x:c>
      <x:c r="P10" s="11" t="str">
        <x:f>IF(AND(N10=1,L10&lt;=J10/4,ABS(K10-J10)&lt;=L10),"PASS","FAIL")</x:f>
        <x:v>PASS</x:v>
      </x:c>
      <x:c r="Q10" s="11" t="str">
        <x:f>IF(P10&lt;&gt;"PASS","FAIL",IF(O10=1,"PASS","OPEN"))</x:f>
        <x:v>OPEN</x:v>
      </x:c>
    </x:row>
    <x:row r="11">
      <x:c r="B11" s="11" t="str">
        <x:v>RA-SA1-01-A2-T0</x:v>
      </x:c>
      <x:c r="C11" s="11" t="str">
        <x:v>RA-SA1-01-A2</x:v>
      </x:c>
      <x:c r="D11" s="11" t="str">
        <x:v>SA1</x:v>
      </x:c>
      <x:c r="E11" s="11" t="str">
        <x:v>A</x:v>
      </x:c>
      <x:c r="F11" s="11" t="str">
        <x:v>T0</x:v>
      </x:c>
      <x:c r="G11" s="11" t="str">
        <x:v>datum and blank</x:v>
      </x:c>
      <x:c r="H11" s="11" t="str">
        <x:v>residual datum shift</x:v>
      </x:c>
      <x:c r="I11" s="11" t="str">
        <x:v>mm</x:v>
      </x:c>
      <x:c r="J11" s="17" t="n">
        <x:v>0.5</x:v>
      </x:c>
      <x:c r="K11" s="17" t="n">
        <x:v>0</x:v>
      </x:c>
      <x:c r="L11" s="17" t="n">
        <x:v>0.05</x:v>
      </x:c>
      <x:c r="M11" s="11" t="str">
        <x:v>ACCEPT</x:v>
      </x:c>
      <x:c r="N11" s="11" t="n">
        <x:v>1</x:v>
      </x:c>
      <x:c r="O11" s="13" t="n">
        <x:v>0</x:v>
      </x:c>
      <x:c r="P11" s="11" t="str">
        <x:f>IF(AND(N11=1,L11&lt;=J11/4,K11=0),"PASS","FAIL")</x:f>
        <x:v>PASS</x:v>
      </x:c>
      <x:c r="Q11" s="11" t="str">
        <x:f>IF(P11&lt;&gt;"PASS","FAIL",IF(O11=1,"PASS","OPEN"))</x:f>
        <x:v>OPEN</x:v>
      </x:c>
    </x:row>
    <x:row r="12">
      <x:c r="B12" s="11" t="str">
        <x:v>RA-SA1-01-A2-T1</x:v>
      </x:c>
      <x:c r="C12" s="11" t="str">
        <x:v>RA-SA1-01-A2</x:v>
      </x:c>
      <x:c r="D12" s="11" t="str">
        <x:v>SA1</x:v>
      </x:c>
      <x:c r="E12" s="11" t="str">
        <x:v>A</x:v>
      </x:c>
      <x:c r="F12" s="11" t="str">
        <x:v>T1</x:v>
      </x:c>
      <x:c r="G12" s="11" t="str">
        <x:v>known compliant</x:v>
      </x:c>
      <x:c r="H12" s="11" t="str">
        <x:v>residual datum shift</x:v>
      </x:c>
      <x:c r="I12" s="11" t="str">
        <x:v>mm</x:v>
      </x:c>
      <x:c r="J12" s="17" t="n">
        <x:v>0.5</x:v>
      </x:c>
      <x:c r="K12" s="17" t="n">
        <x:v>0.25</x:v>
      </x:c>
      <x:c r="L12" s="17" t="n">
        <x:v>0.05</x:v>
      </x:c>
      <x:c r="M12" s="11" t="str">
        <x:v>ACCEPT</x:v>
      </x:c>
      <x:c r="N12" s="11" t="n">
        <x:v>1</x:v>
      </x:c>
      <x:c r="O12" s="13" t="n">
        <x:v>0</x:v>
      </x:c>
      <x:c r="P12" s="11" t="str">
        <x:f>IF(AND(N12=1,L12&lt;=J12/4,K12&lt;J12-L12),"PASS","FAIL")</x:f>
        <x:v>PASS</x:v>
      </x:c>
      <x:c r="Q12" s="11" t="str">
        <x:f>IF(P12&lt;&gt;"PASS","FAIL",IF(O12=1,"PASS","OPEN"))</x:f>
        <x:v>OPEN</x:v>
      </x:c>
    </x:row>
    <x:row r="13">
      <x:c r="B13" s="11" t="str">
        <x:v>RA-SA1-01-A2-T2</x:v>
      </x:c>
      <x:c r="C13" s="11" t="str">
        <x:v>RA-SA1-01-A2</x:v>
      </x:c>
      <x:c r="D13" s="11" t="str">
        <x:v>SA1</x:v>
      </x:c>
      <x:c r="E13" s="11" t="str">
        <x:v>A</x:v>
      </x:c>
      <x:c r="F13" s="11" t="str">
        <x:v>T2</x:v>
      </x:c>
      <x:c r="G13" s="11" t="str">
        <x:v>known nonconforming</x:v>
      </x:c>
      <x:c r="H13" s="11" t="str">
        <x:v>residual datum shift</x:v>
      </x:c>
      <x:c r="I13" s="11" t="str">
        <x:v>mm</x:v>
      </x:c>
      <x:c r="J13" s="17" t="n">
        <x:v>0.5</x:v>
      </x:c>
      <x:c r="K13" s="17" t="n">
        <x:v>0.75</x:v>
      </x:c>
      <x:c r="L13" s="17" t="n">
        <x:v>0.05</x:v>
      </x:c>
      <x:c r="M13" s="11" t="str">
        <x:v>REJECT</x:v>
      </x:c>
      <x:c r="N13" s="11" t="n">
        <x:v>1</x:v>
      </x:c>
      <x:c r="O13" s="13" t="n">
        <x:v>0</x:v>
      </x:c>
      <x:c r="P13" s="11" t="str">
        <x:f>IF(AND(N13=1,L13&lt;=J13/4,K13&gt;J13+L13),"PASS","FAIL")</x:f>
        <x:v>PASS</x:v>
      </x:c>
      <x:c r="Q13" s="11" t="str">
        <x:f>IF(P13&lt;&gt;"PASS","FAIL",IF(O13=1,"PASS","OPEN"))</x:f>
        <x:v>OPEN</x:v>
      </x:c>
    </x:row>
    <x:row r="14">
      <x:c r="B14" s="11" t="str">
        <x:v>RA-SA1-01-A2-T3</x:v>
      </x:c>
      <x:c r="C14" s="11" t="str">
        <x:v>RA-SA1-01-A2</x:v>
      </x:c>
      <x:c r="D14" s="11" t="str">
        <x:v>SA1</x:v>
      </x:c>
      <x:c r="E14" s="11" t="str">
        <x:v>A</x:v>
      </x:c>
      <x:c r="F14" s="11" t="str">
        <x:v>T3</x:v>
      </x:c>
      <x:c r="G14" s="11" t="str">
        <x:v>decision boundary</x:v>
      </x:c>
      <x:c r="H14" s="11" t="str">
        <x:v>residual datum shift</x:v>
      </x:c>
      <x:c r="I14" s="11" t="str">
        <x:v>mm</x:v>
      </x:c>
      <x:c r="J14" s="17" t="n">
        <x:v>0.5</x:v>
      </x:c>
      <x:c r="K14" s="17" t="n">
        <x:v>0.5</x:v>
      </x:c>
      <x:c r="L14" s="17" t="n">
        <x:v>0.05</x:v>
      </x:c>
      <x:c r="M14" s="11" t="str">
        <x:v>INDETERMINATE</x:v>
      </x:c>
      <x:c r="N14" s="11" t="n">
        <x:v>1</x:v>
      </x:c>
      <x:c r="O14" s="13" t="n">
        <x:v>0</x:v>
      </x:c>
      <x:c r="P14" s="11" t="str">
        <x:f>IF(AND(N14=1,L14&lt;=J14/4,ABS(K14-J14)&lt;=L14),"PASS","FAIL")</x:f>
        <x:v>PASS</x:v>
      </x:c>
      <x:c r="Q14" s="11" t="str">
        <x:f>IF(P14&lt;&gt;"PASS","FAIL",IF(O14=1,"PASS","OPEN"))</x:f>
        <x:v>OPEN</x:v>
      </x:c>
    </x:row>
    <x:row r="15">
      <x:c r="B15" s="11" t="str">
        <x:v>RA-SA1-01-A3-T0</x:v>
      </x:c>
      <x:c r="C15" s="11" t="str">
        <x:v>RA-SA1-01-A3</x:v>
      </x:c>
      <x:c r="D15" s="11" t="str">
        <x:v>SA1</x:v>
      </x:c>
      <x:c r="E15" s="11" t="str">
        <x:v>A</x:v>
      </x:c>
      <x:c r="F15" s="11" t="str">
        <x:v>T0</x:v>
      </x:c>
      <x:c r="G15" s="11" t="str">
        <x:v>datum and blank</x:v>
      </x:c>
      <x:c r="H15" s="11" t="str">
        <x:v>residual datum shift</x:v>
      </x:c>
      <x:c r="I15" s="11" t="str">
        <x:v>mm</x:v>
      </x:c>
      <x:c r="J15" s="17" t="n">
        <x:v>0.5</x:v>
      </x:c>
      <x:c r="K15" s="17" t="n">
        <x:v>0</x:v>
      </x:c>
      <x:c r="L15" s="17" t="n">
        <x:v>0.05</x:v>
      </x:c>
      <x:c r="M15" s="11" t="str">
        <x:v>ACCEPT</x:v>
      </x:c>
      <x:c r="N15" s="11" t="n">
        <x:v>1</x:v>
      </x:c>
      <x:c r="O15" s="13" t="n">
        <x:v>0</x:v>
      </x:c>
      <x:c r="P15" s="11" t="str">
        <x:f>IF(AND(N15=1,L15&lt;=J15/4,K15=0),"PASS","FAIL")</x:f>
        <x:v>PASS</x:v>
      </x:c>
      <x:c r="Q15" s="11" t="str">
        <x:f>IF(P15&lt;&gt;"PASS","FAIL",IF(O15=1,"PASS","OPEN"))</x:f>
        <x:v>OPEN</x:v>
      </x:c>
    </x:row>
    <x:row r="16">
      <x:c r="B16" s="11" t="str">
        <x:v>RA-SA1-01-A3-T1</x:v>
      </x:c>
      <x:c r="C16" s="11" t="str">
        <x:v>RA-SA1-01-A3</x:v>
      </x:c>
      <x:c r="D16" s="11" t="str">
        <x:v>SA1</x:v>
      </x:c>
      <x:c r="E16" s="11" t="str">
        <x:v>A</x:v>
      </x:c>
      <x:c r="F16" s="11" t="str">
        <x:v>T1</x:v>
      </x:c>
      <x:c r="G16" s="11" t="str">
        <x:v>known compliant</x:v>
      </x:c>
      <x:c r="H16" s="11" t="str">
        <x:v>residual datum shift</x:v>
      </x:c>
      <x:c r="I16" s="11" t="str">
        <x:v>mm</x:v>
      </x:c>
      <x:c r="J16" s="17" t="n">
        <x:v>0.5</x:v>
      </x:c>
      <x:c r="K16" s="17" t="n">
        <x:v>0.25</x:v>
      </x:c>
      <x:c r="L16" s="17" t="n">
        <x:v>0.05</x:v>
      </x:c>
      <x:c r="M16" s="11" t="str">
        <x:v>ACCEPT</x:v>
      </x:c>
      <x:c r="N16" s="11" t="n">
        <x:v>1</x:v>
      </x:c>
      <x:c r="O16" s="13" t="n">
        <x:v>0</x:v>
      </x:c>
      <x:c r="P16" s="11" t="str">
        <x:f>IF(AND(N16=1,L16&lt;=J16/4,K16&lt;J16-L16),"PASS","FAIL")</x:f>
        <x:v>PASS</x:v>
      </x:c>
      <x:c r="Q16" s="11" t="str">
        <x:f>IF(P16&lt;&gt;"PASS","FAIL",IF(O16=1,"PASS","OPEN"))</x:f>
        <x:v>OPEN</x:v>
      </x:c>
    </x:row>
    <x:row r="17">
      <x:c r="B17" s="11" t="str">
        <x:v>RA-SA1-01-A3-T2</x:v>
      </x:c>
      <x:c r="C17" s="11" t="str">
        <x:v>RA-SA1-01-A3</x:v>
      </x:c>
      <x:c r="D17" s="11" t="str">
        <x:v>SA1</x:v>
      </x:c>
      <x:c r="E17" s="11" t="str">
        <x:v>A</x:v>
      </x:c>
      <x:c r="F17" s="11" t="str">
        <x:v>T2</x:v>
      </x:c>
      <x:c r="G17" s="11" t="str">
        <x:v>known nonconforming</x:v>
      </x:c>
      <x:c r="H17" s="11" t="str">
        <x:v>residual datum shift</x:v>
      </x:c>
      <x:c r="I17" s="11" t="str">
        <x:v>mm</x:v>
      </x:c>
      <x:c r="J17" s="17" t="n">
        <x:v>0.5</x:v>
      </x:c>
      <x:c r="K17" s="17" t="n">
        <x:v>0.75</x:v>
      </x:c>
      <x:c r="L17" s="17" t="n">
        <x:v>0.05</x:v>
      </x:c>
      <x:c r="M17" s="11" t="str">
        <x:v>REJECT</x:v>
      </x:c>
      <x:c r="N17" s="11" t="n">
        <x:v>1</x:v>
      </x:c>
      <x:c r="O17" s="13" t="n">
        <x:v>0</x:v>
      </x:c>
      <x:c r="P17" s="11" t="str">
        <x:f>IF(AND(N17=1,L17&lt;=J17/4,K17&gt;J17+L17),"PASS","FAIL")</x:f>
        <x:v>PASS</x:v>
      </x:c>
      <x:c r="Q17" s="11" t="str">
        <x:f>IF(P17&lt;&gt;"PASS","FAIL",IF(O17=1,"PASS","OPEN"))</x:f>
        <x:v>OPEN</x:v>
      </x:c>
    </x:row>
    <x:row r="18">
      <x:c r="B18" s="11" t="str">
        <x:v>RA-SA1-01-A3-T3</x:v>
      </x:c>
      <x:c r="C18" s="11" t="str">
        <x:v>RA-SA1-01-A3</x:v>
      </x:c>
      <x:c r="D18" s="11" t="str">
        <x:v>SA1</x:v>
      </x:c>
      <x:c r="E18" s="11" t="str">
        <x:v>A</x:v>
      </x:c>
      <x:c r="F18" s="11" t="str">
        <x:v>T3</x:v>
      </x:c>
      <x:c r="G18" s="11" t="str">
        <x:v>decision boundary</x:v>
      </x:c>
      <x:c r="H18" s="11" t="str">
        <x:v>residual datum shift</x:v>
      </x:c>
      <x:c r="I18" s="11" t="str">
        <x:v>mm</x:v>
      </x:c>
      <x:c r="J18" s="17" t="n">
        <x:v>0.5</x:v>
      </x:c>
      <x:c r="K18" s="17" t="n">
        <x:v>0.5</x:v>
      </x:c>
      <x:c r="L18" s="17" t="n">
        <x:v>0.05</x:v>
      </x:c>
      <x:c r="M18" s="11" t="str">
        <x:v>INDETERMINATE</x:v>
      </x:c>
      <x:c r="N18" s="11" t="n">
        <x:v>1</x:v>
      </x:c>
      <x:c r="O18" s="13" t="n">
        <x:v>0</x:v>
      </x:c>
      <x:c r="P18" s="11" t="str">
        <x:f>IF(AND(N18=1,L18&lt;=J18/4,ABS(K18-J18)&lt;=L18),"PASS","FAIL")</x:f>
        <x:v>PASS</x:v>
      </x:c>
      <x:c r="Q18" s="11" t="str">
        <x:f>IF(P18&lt;&gt;"PASS","FAIL",IF(O18=1,"PASS","OPEN"))</x:f>
        <x:v>OPEN</x:v>
      </x:c>
    </x:row>
    <x:row r="19">
      <x:c r="B19" s="11" t="str">
        <x:v>RA-SA1-01-B1-T0</x:v>
      </x:c>
      <x:c r="C19" s="11" t="str">
        <x:v>RA-SA1-01-B1</x:v>
      </x:c>
      <x:c r="D19" s="11" t="str">
        <x:v>SA1</x:v>
      </x:c>
      <x:c r="E19" s="11" t="str">
        <x:v>B</x:v>
      </x:c>
      <x:c r="F19" s="11" t="str">
        <x:v>T0</x:v>
      </x:c>
      <x:c r="G19" s="11" t="str">
        <x:v>datum and blank</x:v>
      </x:c>
      <x:c r="H19" s="11" t="str">
        <x:v>residual datum shift</x:v>
      </x:c>
      <x:c r="I19" s="11" t="str">
        <x:v>mm</x:v>
      </x:c>
      <x:c r="J19" s="17" t="n">
        <x:v>0.5</x:v>
      </x:c>
      <x:c r="K19" s="17" t="n">
        <x:v>0</x:v>
      </x:c>
      <x:c r="L19" s="17" t="n">
        <x:v>0.05</x:v>
      </x:c>
      <x:c r="M19" s="11" t="str">
        <x:v>ACCEPT</x:v>
      </x:c>
      <x:c r="N19" s="11" t="n">
        <x:v>1</x:v>
      </x:c>
      <x:c r="O19" s="13" t="n">
        <x:v>0</x:v>
      </x:c>
      <x:c r="P19" s="11" t="str">
        <x:f>IF(AND(N19=1,L19&lt;=J19/4,K19=0),"PASS","FAIL")</x:f>
        <x:v>PASS</x:v>
      </x:c>
      <x:c r="Q19" s="11" t="str">
        <x:f>IF(P19&lt;&gt;"PASS","FAIL",IF(O19=1,"PASS","OPEN"))</x:f>
        <x:v>OPEN</x:v>
      </x:c>
    </x:row>
    <x:row r="20">
      <x:c r="B20" s="11" t="str">
        <x:v>RA-SA1-01-B1-T1</x:v>
      </x:c>
      <x:c r="C20" s="11" t="str">
        <x:v>RA-SA1-01-B1</x:v>
      </x:c>
      <x:c r="D20" s="11" t="str">
        <x:v>SA1</x:v>
      </x:c>
      <x:c r="E20" s="11" t="str">
        <x:v>B</x:v>
      </x:c>
      <x:c r="F20" s="11" t="str">
        <x:v>T1</x:v>
      </x:c>
      <x:c r="G20" s="11" t="str">
        <x:v>known compliant</x:v>
      </x:c>
      <x:c r="H20" s="11" t="str">
        <x:v>residual datum shift</x:v>
      </x:c>
      <x:c r="I20" s="11" t="str">
        <x:v>mm</x:v>
      </x:c>
      <x:c r="J20" s="17" t="n">
        <x:v>0.5</x:v>
      </x:c>
      <x:c r="K20" s="17" t="n">
        <x:v>0.25</x:v>
      </x:c>
      <x:c r="L20" s="17" t="n">
        <x:v>0.05</x:v>
      </x:c>
      <x:c r="M20" s="11" t="str">
        <x:v>ACCEPT</x:v>
      </x:c>
      <x:c r="N20" s="11" t="n">
        <x:v>1</x:v>
      </x:c>
      <x:c r="O20" s="13" t="n">
        <x:v>0</x:v>
      </x:c>
      <x:c r="P20" s="11" t="str">
        <x:f>IF(AND(N20=1,L20&lt;=J20/4,K20&lt;J20-L20),"PASS","FAIL")</x:f>
        <x:v>PASS</x:v>
      </x:c>
      <x:c r="Q20" s="11" t="str">
        <x:f>IF(P20&lt;&gt;"PASS","FAIL",IF(O20=1,"PASS","OPEN"))</x:f>
        <x:v>OPEN</x:v>
      </x:c>
    </x:row>
    <x:row r="21">
      <x:c r="B21" s="11" t="str">
        <x:v>RA-SA1-01-B1-T2</x:v>
      </x:c>
      <x:c r="C21" s="11" t="str">
        <x:v>RA-SA1-01-B1</x:v>
      </x:c>
      <x:c r="D21" s="11" t="str">
        <x:v>SA1</x:v>
      </x:c>
      <x:c r="E21" s="11" t="str">
        <x:v>B</x:v>
      </x:c>
      <x:c r="F21" s="11" t="str">
        <x:v>T2</x:v>
      </x:c>
      <x:c r="G21" s="11" t="str">
        <x:v>known nonconforming</x:v>
      </x:c>
      <x:c r="H21" s="11" t="str">
        <x:v>residual datum shift</x:v>
      </x:c>
      <x:c r="I21" s="11" t="str">
        <x:v>mm</x:v>
      </x:c>
      <x:c r="J21" s="17" t="n">
        <x:v>0.5</x:v>
      </x:c>
      <x:c r="K21" s="17" t="n">
        <x:v>0.75</x:v>
      </x:c>
      <x:c r="L21" s="17" t="n">
        <x:v>0.05</x:v>
      </x:c>
      <x:c r="M21" s="11" t="str">
        <x:v>REJECT</x:v>
      </x:c>
      <x:c r="N21" s="11" t="n">
        <x:v>1</x:v>
      </x:c>
      <x:c r="O21" s="13" t="n">
        <x:v>0</x:v>
      </x:c>
      <x:c r="P21" s="11" t="str">
        <x:f>IF(AND(N21=1,L21&lt;=J21/4,K21&gt;J21+L21),"PASS","FAIL")</x:f>
        <x:v>PASS</x:v>
      </x:c>
      <x:c r="Q21" s="11" t="str">
        <x:f>IF(P21&lt;&gt;"PASS","FAIL",IF(O21=1,"PASS","OPEN"))</x:f>
        <x:v>OPEN</x:v>
      </x:c>
    </x:row>
    <x:row r="22">
      <x:c r="B22" s="11" t="str">
        <x:v>RA-SA1-01-B1-T3</x:v>
      </x:c>
      <x:c r="C22" s="11" t="str">
        <x:v>RA-SA1-01-B1</x:v>
      </x:c>
      <x:c r="D22" s="11" t="str">
        <x:v>SA1</x:v>
      </x:c>
      <x:c r="E22" s="11" t="str">
        <x:v>B</x:v>
      </x:c>
      <x:c r="F22" s="11" t="str">
        <x:v>T3</x:v>
      </x:c>
      <x:c r="G22" s="11" t="str">
        <x:v>decision boundary</x:v>
      </x:c>
      <x:c r="H22" s="11" t="str">
        <x:v>residual datum shift</x:v>
      </x:c>
      <x:c r="I22" s="11" t="str">
        <x:v>mm</x:v>
      </x:c>
      <x:c r="J22" s="17" t="n">
        <x:v>0.5</x:v>
      </x:c>
      <x:c r="K22" s="17" t="n">
        <x:v>0.5</x:v>
      </x:c>
      <x:c r="L22" s="17" t="n">
        <x:v>0.05</x:v>
      </x:c>
      <x:c r="M22" s="11" t="str">
        <x:v>INDETERMINATE</x:v>
      </x:c>
      <x:c r="N22" s="11" t="n">
        <x:v>1</x:v>
      </x:c>
      <x:c r="O22" s="13" t="n">
        <x:v>0</x:v>
      </x:c>
      <x:c r="P22" s="11" t="str">
        <x:f>IF(AND(N22=1,L22&lt;=J22/4,ABS(K22-J22)&lt;=L22),"PASS","FAIL")</x:f>
        <x:v>PASS</x:v>
      </x:c>
      <x:c r="Q22" s="11" t="str">
        <x:f>IF(P22&lt;&gt;"PASS","FAIL",IF(O22=1,"PASS","OPEN"))</x:f>
        <x:v>OPEN</x:v>
      </x:c>
    </x:row>
    <x:row r="23">
      <x:c r="B23" s="11" t="str">
        <x:v>RA-SA1-01-B2-T0</x:v>
      </x:c>
      <x:c r="C23" s="11" t="str">
        <x:v>RA-SA1-01-B2</x:v>
      </x:c>
      <x:c r="D23" s="11" t="str">
        <x:v>SA1</x:v>
      </x:c>
      <x:c r="E23" s="11" t="str">
        <x:v>B</x:v>
      </x:c>
      <x:c r="F23" s="11" t="str">
        <x:v>T0</x:v>
      </x:c>
      <x:c r="G23" s="11" t="str">
        <x:v>datum and blank</x:v>
      </x:c>
      <x:c r="H23" s="11" t="str">
        <x:v>residual datum shift</x:v>
      </x:c>
      <x:c r="I23" s="11" t="str">
        <x:v>mm</x:v>
      </x:c>
      <x:c r="J23" s="17" t="n">
        <x:v>0.5</x:v>
      </x:c>
      <x:c r="K23" s="17" t="n">
        <x:v>0</x:v>
      </x:c>
      <x:c r="L23" s="17" t="n">
        <x:v>0.05</x:v>
      </x:c>
      <x:c r="M23" s="11" t="str">
        <x:v>ACCEPT</x:v>
      </x:c>
      <x:c r="N23" s="11" t="n">
        <x:v>1</x:v>
      </x:c>
      <x:c r="O23" s="13" t="n">
        <x:v>0</x:v>
      </x:c>
      <x:c r="P23" s="11" t="str">
        <x:f>IF(AND(N23=1,L23&lt;=J23/4,K23=0),"PASS","FAIL")</x:f>
        <x:v>PASS</x:v>
      </x:c>
      <x:c r="Q23" s="11" t="str">
        <x:f>IF(P23&lt;&gt;"PASS","FAIL",IF(O23=1,"PASS","OPEN"))</x:f>
        <x:v>OPEN</x:v>
      </x:c>
    </x:row>
    <x:row r="24">
      <x:c r="B24" s="11" t="str">
        <x:v>RA-SA1-01-B2-T1</x:v>
      </x:c>
      <x:c r="C24" s="11" t="str">
        <x:v>RA-SA1-01-B2</x:v>
      </x:c>
      <x:c r="D24" s="11" t="str">
        <x:v>SA1</x:v>
      </x:c>
      <x:c r="E24" s="11" t="str">
        <x:v>B</x:v>
      </x:c>
      <x:c r="F24" s="11" t="str">
        <x:v>T1</x:v>
      </x:c>
      <x:c r="G24" s="11" t="str">
        <x:v>known compliant</x:v>
      </x:c>
      <x:c r="H24" s="11" t="str">
        <x:v>residual datum shift</x:v>
      </x:c>
      <x:c r="I24" s="11" t="str">
        <x:v>mm</x:v>
      </x:c>
      <x:c r="J24" s="17" t="n">
        <x:v>0.5</x:v>
      </x:c>
      <x:c r="K24" s="17" t="n">
        <x:v>0.25</x:v>
      </x:c>
      <x:c r="L24" s="17" t="n">
        <x:v>0.05</x:v>
      </x:c>
      <x:c r="M24" s="11" t="str">
        <x:v>ACCEPT</x:v>
      </x:c>
      <x:c r="N24" s="11" t="n">
        <x:v>1</x:v>
      </x:c>
      <x:c r="O24" s="13" t="n">
        <x:v>0</x:v>
      </x:c>
      <x:c r="P24" s="11" t="str">
        <x:f>IF(AND(N24=1,L24&lt;=J24/4,K24&lt;J24-L24),"PASS","FAIL")</x:f>
        <x:v>PASS</x:v>
      </x:c>
      <x:c r="Q24" s="11" t="str">
        <x:f>IF(P24&lt;&gt;"PASS","FAIL",IF(O24=1,"PASS","OPEN"))</x:f>
        <x:v>OPEN</x:v>
      </x:c>
    </x:row>
    <x:row r="25">
      <x:c r="B25" s="11" t="str">
        <x:v>RA-SA1-01-B2-T2</x:v>
      </x:c>
      <x:c r="C25" s="11" t="str">
        <x:v>RA-SA1-01-B2</x:v>
      </x:c>
      <x:c r="D25" s="11" t="str">
        <x:v>SA1</x:v>
      </x:c>
      <x:c r="E25" s="11" t="str">
        <x:v>B</x:v>
      </x:c>
      <x:c r="F25" s="11" t="str">
        <x:v>T2</x:v>
      </x:c>
      <x:c r="G25" s="11" t="str">
        <x:v>known nonconforming</x:v>
      </x:c>
      <x:c r="H25" s="11" t="str">
        <x:v>residual datum shift</x:v>
      </x:c>
      <x:c r="I25" s="11" t="str">
        <x:v>mm</x:v>
      </x:c>
      <x:c r="J25" s="17" t="n">
        <x:v>0.5</x:v>
      </x:c>
      <x:c r="K25" s="17" t="n">
        <x:v>0.75</x:v>
      </x:c>
      <x:c r="L25" s="17" t="n">
        <x:v>0.05</x:v>
      </x:c>
      <x:c r="M25" s="11" t="str">
        <x:v>REJECT</x:v>
      </x:c>
      <x:c r="N25" s="11" t="n">
        <x:v>1</x:v>
      </x:c>
      <x:c r="O25" s="13" t="n">
        <x:v>0</x:v>
      </x:c>
      <x:c r="P25" s="11" t="str">
        <x:f>IF(AND(N25=1,L25&lt;=J25/4,K25&gt;J25+L25),"PASS","FAIL")</x:f>
        <x:v>PASS</x:v>
      </x:c>
      <x:c r="Q25" s="11" t="str">
        <x:f>IF(P25&lt;&gt;"PASS","FAIL",IF(O25=1,"PASS","OPEN"))</x:f>
        <x:v>OPEN</x:v>
      </x:c>
    </x:row>
    <x:row r="26">
      <x:c r="B26" s="11" t="str">
        <x:v>RA-SA1-01-B2-T3</x:v>
      </x:c>
      <x:c r="C26" s="11" t="str">
        <x:v>RA-SA1-01-B2</x:v>
      </x:c>
      <x:c r="D26" s="11" t="str">
        <x:v>SA1</x:v>
      </x:c>
      <x:c r="E26" s="11" t="str">
        <x:v>B</x:v>
      </x:c>
      <x:c r="F26" s="11" t="str">
        <x:v>T3</x:v>
      </x:c>
      <x:c r="G26" s="11" t="str">
        <x:v>decision boundary</x:v>
      </x:c>
      <x:c r="H26" s="11" t="str">
        <x:v>residual datum shift</x:v>
      </x:c>
      <x:c r="I26" s="11" t="str">
        <x:v>mm</x:v>
      </x:c>
      <x:c r="J26" s="17" t="n">
        <x:v>0.5</x:v>
      </x:c>
      <x:c r="K26" s="17" t="n">
        <x:v>0.5</x:v>
      </x:c>
      <x:c r="L26" s="17" t="n">
        <x:v>0.05</x:v>
      </x:c>
      <x:c r="M26" s="11" t="str">
        <x:v>INDETERMINATE</x:v>
      </x:c>
      <x:c r="N26" s="11" t="n">
        <x:v>1</x:v>
      </x:c>
      <x:c r="O26" s="13" t="n">
        <x:v>0</x:v>
      </x:c>
      <x:c r="P26" s="11" t="str">
        <x:f>IF(AND(N26=1,L26&lt;=J26/4,ABS(K26-J26)&lt;=L26),"PASS","FAIL")</x:f>
        <x:v>PASS</x:v>
      </x:c>
      <x:c r="Q26" s="11" t="str">
        <x:f>IF(P26&lt;&gt;"PASS","FAIL",IF(O26=1,"PASS","OPEN"))</x:f>
        <x:v>OPEN</x:v>
      </x:c>
    </x:row>
    <x:row r="27">
      <x:c r="B27" s="11" t="str">
        <x:v>RA-SA1-01-B3-T0</x:v>
      </x:c>
      <x:c r="C27" s="11" t="str">
        <x:v>RA-SA1-01-B3</x:v>
      </x:c>
      <x:c r="D27" s="11" t="str">
        <x:v>SA1</x:v>
      </x:c>
      <x:c r="E27" s="11" t="str">
        <x:v>B</x:v>
      </x:c>
      <x:c r="F27" s="11" t="str">
        <x:v>T0</x:v>
      </x:c>
      <x:c r="G27" s="11" t="str">
        <x:v>datum and blank</x:v>
      </x:c>
      <x:c r="H27" s="11" t="str">
        <x:v>residual datum shift</x:v>
      </x:c>
      <x:c r="I27" s="11" t="str">
        <x:v>mm</x:v>
      </x:c>
      <x:c r="J27" s="17" t="n">
        <x:v>0.5</x:v>
      </x:c>
      <x:c r="K27" s="17" t="n">
        <x:v>0</x:v>
      </x:c>
      <x:c r="L27" s="17" t="n">
        <x:v>0.05</x:v>
      </x:c>
      <x:c r="M27" s="11" t="str">
        <x:v>ACCEPT</x:v>
      </x:c>
      <x:c r="N27" s="11" t="n">
        <x:v>1</x:v>
      </x:c>
      <x:c r="O27" s="13" t="n">
        <x:v>0</x:v>
      </x:c>
      <x:c r="P27" s="11" t="str">
        <x:f>IF(AND(N27=1,L27&lt;=J27/4,K27=0),"PASS","FAIL")</x:f>
        <x:v>PASS</x:v>
      </x:c>
      <x:c r="Q27" s="11" t="str">
        <x:f>IF(P27&lt;&gt;"PASS","FAIL",IF(O27=1,"PASS","OPEN"))</x:f>
        <x:v>OPEN</x:v>
      </x:c>
    </x:row>
    <x:row r="28">
      <x:c r="B28" s="11" t="str">
        <x:v>RA-SA1-01-B3-T1</x:v>
      </x:c>
      <x:c r="C28" s="11" t="str">
        <x:v>RA-SA1-01-B3</x:v>
      </x:c>
      <x:c r="D28" s="11" t="str">
        <x:v>SA1</x:v>
      </x:c>
      <x:c r="E28" s="11" t="str">
        <x:v>B</x:v>
      </x:c>
      <x:c r="F28" s="11" t="str">
        <x:v>T1</x:v>
      </x:c>
      <x:c r="G28" s="11" t="str">
        <x:v>known compliant</x:v>
      </x:c>
      <x:c r="H28" s="11" t="str">
        <x:v>residual datum shift</x:v>
      </x:c>
      <x:c r="I28" s="11" t="str">
        <x:v>mm</x:v>
      </x:c>
      <x:c r="J28" s="17" t="n">
        <x:v>0.5</x:v>
      </x:c>
      <x:c r="K28" s="17" t="n">
        <x:v>0.25</x:v>
      </x:c>
      <x:c r="L28" s="17" t="n">
        <x:v>0.05</x:v>
      </x:c>
      <x:c r="M28" s="11" t="str">
        <x:v>ACCEPT</x:v>
      </x:c>
      <x:c r="N28" s="11" t="n">
        <x:v>1</x:v>
      </x:c>
      <x:c r="O28" s="13" t="n">
        <x:v>0</x:v>
      </x:c>
      <x:c r="P28" s="11" t="str">
        <x:f>IF(AND(N28=1,L28&lt;=J28/4,K28&lt;J28-L28),"PASS","FAIL")</x:f>
        <x:v>PASS</x:v>
      </x:c>
      <x:c r="Q28" s="11" t="str">
        <x:f>IF(P28&lt;&gt;"PASS","FAIL",IF(O28=1,"PASS","OPEN"))</x:f>
        <x:v>OPEN</x:v>
      </x:c>
    </x:row>
    <x:row r="29">
      <x:c r="B29" s="11" t="str">
        <x:v>RA-SA1-01-B3-T2</x:v>
      </x:c>
      <x:c r="C29" s="11" t="str">
        <x:v>RA-SA1-01-B3</x:v>
      </x:c>
      <x:c r="D29" s="11" t="str">
        <x:v>SA1</x:v>
      </x:c>
      <x:c r="E29" s="11" t="str">
        <x:v>B</x:v>
      </x:c>
      <x:c r="F29" s="11" t="str">
        <x:v>T2</x:v>
      </x:c>
      <x:c r="G29" s="11" t="str">
        <x:v>known nonconforming</x:v>
      </x:c>
      <x:c r="H29" s="11" t="str">
        <x:v>residual datum shift</x:v>
      </x:c>
      <x:c r="I29" s="11" t="str">
        <x:v>mm</x:v>
      </x:c>
      <x:c r="J29" s="17" t="n">
        <x:v>0.5</x:v>
      </x:c>
      <x:c r="K29" s="17" t="n">
        <x:v>0.75</x:v>
      </x:c>
      <x:c r="L29" s="17" t="n">
        <x:v>0.05</x:v>
      </x:c>
      <x:c r="M29" s="11" t="str">
        <x:v>REJECT</x:v>
      </x:c>
      <x:c r="N29" s="11" t="n">
        <x:v>1</x:v>
      </x:c>
      <x:c r="O29" s="13" t="n">
        <x:v>0</x:v>
      </x:c>
      <x:c r="P29" s="11" t="str">
        <x:f>IF(AND(N29=1,L29&lt;=J29/4,K29&gt;J29+L29),"PASS","FAIL")</x:f>
        <x:v>PASS</x:v>
      </x:c>
      <x:c r="Q29" s="11" t="str">
        <x:f>IF(P29&lt;&gt;"PASS","FAIL",IF(O29=1,"PASS","OPEN"))</x:f>
        <x:v>OPEN</x:v>
      </x:c>
    </x:row>
    <x:row r="30">
      <x:c r="B30" s="11" t="str">
        <x:v>RA-SA1-01-B3-T3</x:v>
      </x:c>
      <x:c r="C30" s="11" t="str">
        <x:v>RA-SA1-01-B3</x:v>
      </x:c>
      <x:c r="D30" s="11" t="str">
        <x:v>SA1</x:v>
      </x:c>
      <x:c r="E30" s="11" t="str">
        <x:v>B</x:v>
      </x:c>
      <x:c r="F30" s="11" t="str">
        <x:v>T3</x:v>
      </x:c>
      <x:c r="G30" s="11" t="str">
        <x:v>decision boundary</x:v>
      </x:c>
      <x:c r="H30" s="11" t="str">
        <x:v>residual datum shift</x:v>
      </x:c>
      <x:c r="I30" s="11" t="str">
        <x:v>mm</x:v>
      </x:c>
      <x:c r="J30" s="17" t="n">
        <x:v>0.5</x:v>
      </x:c>
      <x:c r="K30" s="17" t="n">
        <x:v>0.5</x:v>
      </x:c>
      <x:c r="L30" s="17" t="n">
        <x:v>0.05</x:v>
      </x:c>
      <x:c r="M30" s="11" t="str">
        <x:v>INDETERMINATE</x:v>
      </x:c>
      <x:c r="N30" s="11" t="n">
        <x:v>1</x:v>
      </x:c>
      <x:c r="O30" s="13" t="n">
        <x:v>0</x:v>
      </x:c>
      <x:c r="P30" s="11" t="str">
        <x:f>IF(AND(N30=1,L30&lt;=J30/4,ABS(K30-J30)&lt;=L30),"PASS","FAIL")</x:f>
        <x:v>PASS</x:v>
      </x:c>
      <x:c r="Q30" s="11" t="str">
        <x:f>IF(P30&lt;&gt;"PASS","FAIL",IF(O30=1,"PASS","OPEN"))</x:f>
        <x:v>OPEN</x:v>
      </x:c>
    </x:row>
    <x:row r="31">
      <x:c r="B31" s="11" t="str">
        <x:v>RA-SA1-02-A1-T0</x:v>
      </x:c>
      <x:c r="C31" s="11" t="str">
        <x:v>RA-SA1-02-A1</x:v>
      </x:c>
      <x:c r="D31" s="11" t="str">
        <x:v>SA1</x:v>
      </x:c>
      <x:c r="E31" s="11" t="str">
        <x:v>A</x:v>
      </x:c>
      <x:c r="F31" s="11" t="str">
        <x:v>T0</x:v>
      </x:c>
      <x:c r="G31" s="11" t="str">
        <x:v>datum and blank</x:v>
      </x:c>
      <x:c r="H31" s="11" t="str">
        <x:v>residual datum shift</x:v>
      </x:c>
      <x:c r="I31" s="11" t="str">
        <x:v>mm</x:v>
      </x:c>
      <x:c r="J31" s="17" t="n">
        <x:v>0.5</x:v>
      </x:c>
      <x:c r="K31" s="17" t="n">
        <x:v>0</x:v>
      </x:c>
      <x:c r="L31" s="17" t="n">
        <x:v>0.05</x:v>
      </x:c>
      <x:c r="M31" s="11" t="str">
        <x:v>ACCEPT</x:v>
      </x:c>
      <x:c r="N31" s="11" t="n">
        <x:v>1</x:v>
      </x:c>
      <x:c r="O31" s="13" t="n">
        <x:v>0</x:v>
      </x:c>
      <x:c r="P31" s="11" t="str">
        <x:f>IF(AND(N31=1,L31&lt;=J31/4,K31=0),"PASS","FAIL")</x:f>
        <x:v>PASS</x:v>
      </x:c>
      <x:c r="Q31" s="11" t="str">
        <x:f>IF(P31&lt;&gt;"PASS","FAIL",IF(O31=1,"PASS","OPEN"))</x:f>
        <x:v>OPEN</x:v>
      </x:c>
    </x:row>
    <x:row r="32">
      <x:c r="B32" s="11" t="str">
        <x:v>RA-SA1-02-A1-T1</x:v>
      </x:c>
      <x:c r="C32" s="11" t="str">
        <x:v>RA-SA1-02-A1</x:v>
      </x:c>
      <x:c r="D32" s="11" t="str">
        <x:v>SA1</x:v>
      </x:c>
      <x:c r="E32" s="11" t="str">
        <x:v>A</x:v>
      </x:c>
      <x:c r="F32" s="11" t="str">
        <x:v>T1</x:v>
      </x:c>
      <x:c r="G32" s="11" t="str">
        <x:v>known compliant</x:v>
      </x:c>
      <x:c r="H32" s="11" t="str">
        <x:v>residual datum shift</x:v>
      </x:c>
      <x:c r="I32" s="11" t="str">
        <x:v>mm</x:v>
      </x:c>
      <x:c r="J32" s="17" t="n">
        <x:v>0.5</x:v>
      </x:c>
      <x:c r="K32" s="17" t="n">
        <x:v>0.25</x:v>
      </x:c>
      <x:c r="L32" s="17" t="n">
        <x:v>0.05</x:v>
      </x:c>
      <x:c r="M32" s="11" t="str">
        <x:v>ACCEPT</x:v>
      </x:c>
      <x:c r="N32" s="11" t="n">
        <x:v>1</x:v>
      </x:c>
      <x:c r="O32" s="13" t="n">
        <x:v>0</x:v>
      </x:c>
      <x:c r="P32" s="11" t="str">
        <x:f>IF(AND(N32=1,L32&lt;=J32/4,K32&lt;J32-L32),"PASS","FAIL")</x:f>
        <x:v>PASS</x:v>
      </x:c>
      <x:c r="Q32" s="11" t="str">
        <x:f>IF(P32&lt;&gt;"PASS","FAIL",IF(O32=1,"PASS","OPEN"))</x:f>
        <x:v>OPEN</x:v>
      </x:c>
    </x:row>
    <x:row r="33">
      <x:c r="B33" s="11" t="str">
        <x:v>RA-SA1-02-A1-T2</x:v>
      </x:c>
      <x:c r="C33" s="11" t="str">
        <x:v>RA-SA1-02-A1</x:v>
      </x:c>
      <x:c r="D33" s="11" t="str">
        <x:v>SA1</x:v>
      </x:c>
      <x:c r="E33" s="11" t="str">
        <x:v>A</x:v>
      </x:c>
      <x:c r="F33" s="11" t="str">
        <x:v>T2</x:v>
      </x:c>
      <x:c r="G33" s="11" t="str">
        <x:v>known nonconforming</x:v>
      </x:c>
      <x:c r="H33" s="11" t="str">
        <x:v>residual datum shift</x:v>
      </x:c>
      <x:c r="I33" s="11" t="str">
        <x:v>mm</x:v>
      </x:c>
      <x:c r="J33" s="17" t="n">
        <x:v>0.5</x:v>
      </x:c>
      <x:c r="K33" s="17" t="n">
        <x:v>0.75</x:v>
      </x:c>
      <x:c r="L33" s="17" t="n">
        <x:v>0.05</x:v>
      </x:c>
      <x:c r="M33" s="11" t="str">
        <x:v>REJECT</x:v>
      </x:c>
      <x:c r="N33" s="11" t="n">
        <x:v>1</x:v>
      </x:c>
      <x:c r="O33" s="13" t="n">
        <x:v>0</x:v>
      </x:c>
      <x:c r="P33" s="11" t="str">
        <x:f>IF(AND(N33=1,L33&lt;=J33/4,K33&gt;J33+L33),"PASS","FAIL")</x:f>
        <x:v>PASS</x:v>
      </x:c>
      <x:c r="Q33" s="11" t="str">
        <x:f>IF(P33&lt;&gt;"PASS","FAIL",IF(O33=1,"PASS","OPEN"))</x:f>
        <x:v>OPEN</x:v>
      </x:c>
    </x:row>
    <x:row r="34">
      <x:c r="B34" s="11" t="str">
        <x:v>RA-SA1-02-A1-T3</x:v>
      </x:c>
      <x:c r="C34" s="11" t="str">
        <x:v>RA-SA1-02-A1</x:v>
      </x:c>
      <x:c r="D34" s="11" t="str">
        <x:v>SA1</x:v>
      </x:c>
      <x:c r="E34" s="11" t="str">
        <x:v>A</x:v>
      </x:c>
      <x:c r="F34" s="11" t="str">
        <x:v>T3</x:v>
      </x:c>
      <x:c r="G34" s="11" t="str">
        <x:v>decision boundary</x:v>
      </x:c>
      <x:c r="H34" s="11" t="str">
        <x:v>residual datum shift</x:v>
      </x:c>
      <x:c r="I34" s="11" t="str">
        <x:v>mm</x:v>
      </x:c>
      <x:c r="J34" s="17" t="n">
        <x:v>0.5</x:v>
      </x:c>
      <x:c r="K34" s="17" t="n">
        <x:v>0.5</x:v>
      </x:c>
      <x:c r="L34" s="17" t="n">
        <x:v>0.05</x:v>
      </x:c>
      <x:c r="M34" s="11" t="str">
        <x:v>INDETERMINATE</x:v>
      </x:c>
      <x:c r="N34" s="11" t="n">
        <x:v>1</x:v>
      </x:c>
      <x:c r="O34" s="13" t="n">
        <x:v>0</x:v>
      </x:c>
      <x:c r="P34" s="11" t="str">
        <x:f>IF(AND(N34=1,L34&lt;=J34/4,ABS(K34-J34)&lt;=L34),"PASS","FAIL")</x:f>
        <x:v>PASS</x:v>
      </x:c>
      <x:c r="Q34" s="11" t="str">
        <x:f>IF(P34&lt;&gt;"PASS","FAIL",IF(O34=1,"PASS","OPEN"))</x:f>
        <x:v>OPEN</x:v>
      </x:c>
    </x:row>
    <x:row r="35">
      <x:c r="B35" s="11" t="str">
        <x:v>RA-SA1-02-A2-T0</x:v>
      </x:c>
      <x:c r="C35" s="11" t="str">
        <x:v>RA-SA1-02-A2</x:v>
      </x:c>
      <x:c r="D35" s="11" t="str">
        <x:v>SA1</x:v>
      </x:c>
      <x:c r="E35" s="11" t="str">
        <x:v>A</x:v>
      </x:c>
      <x:c r="F35" s="11" t="str">
        <x:v>T0</x:v>
      </x:c>
      <x:c r="G35" s="11" t="str">
        <x:v>datum and blank</x:v>
      </x:c>
      <x:c r="H35" s="11" t="str">
        <x:v>residual datum shift</x:v>
      </x:c>
      <x:c r="I35" s="11" t="str">
        <x:v>mm</x:v>
      </x:c>
      <x:c r="J35" s="17" t="n">
        <x:v>0.5</x:v>
      </x:c>
      <x:c r="K35" s="17" t="n">
        <x:v>0</x:v>
      </x:c>
      <x:c r="L35" s="17" t="n">
        <x:v>0.05</x:v>
      </x:c>
      <x:c r="M35" s="11" t="str">
        <x:v>ACCEPT</x:v>
      </x:c>
      <x:c r="N35" s="11" t="n">
        <x:v>1</x:v>
      </x:c>
      <x:c r="O35" s="13" t="n">
        <x:v>0</x:v>
      </x:c>
      <x:c r="P35" s="11" t="str">
        <x:f>IF(AND(N35=1,L35&lt;=J35/4,K35=0),"PASS","FAIL")</x:f>
        <x:v>PASS</x:v>
      </x:c>
      <x:c r="Q35" s="11" t="str">
        <x:f>IF(P35&lt;&gt;"PASS","FAIL",IF(O35=1,"PASS","OPEN"))</x:f>
        <x:v>OPEN</x:v>
      </x:c>
    </x:row>
    <x:row r="36">
      <x:c r="B36" s="11" t="str">
        <x:v>RA-SA1-02-A2-T1</x:v>
      </x:c>
      <x:c r="C36" s="11" t="str">
        <x:v>RA-SA1-02-A2</x:v>
      </x:c>
      <x:c r="D36" s="11" t="str">
        <x:v>SA1</x:v>
      </x:c>
      <x:c r="E36" s="11" t="str">
        <x:v>A</x:v>
      </x:c>
      <x:c r="F36" s="11" t="str">
        <x:v>T1</x:v>
      </x:c>
      <x:c r="G36" s="11" t="str">
        <x:v>known compliant</x:v>
      </x:c>
      <x:c r="H36" s="11" t="str">
        <x:v>residual datum shift</x:v>
      </x:c>
      <x:c r="I36" s="11" t="str">
        <x:v>mm</x:v>
      </x:c>
      <x:c r="J36" s="17" t="n">
        <x:v>0.5</x:v>
      </x:c>
      <x:c r="K36" s="17" t="n">
        <x:v>0.25</x:v>
      </x:c>
      <x:c r="L36" s="17" t="n">
        <x:v>0.05</x:v>
      </x:c>
      <x:c r="M36" s="11" t="str">
        <x:v>ACCEPT</x:v>
      </x:c>
      <x:c r="N36" s="11" t="n">
        <x:v>1</x:v>
      </x:c>
      <x:c r="O36" s="13" t="n">
        <x:v>0</x:v>
      </x:c>
      <x:c r="P36" s="11" t="str">
        <x:f>IF(AND(N36=1,L36&lt;=J36/4,K36&lt;J36-L36),"PASS","FAIL")</x:f>
        <x:v>PASS</x:v>
      </x:c>
      <x:c r="Q36" s="11" t="str">
        <x:f>IF(P36&lt;&gt;"PASS","FAIL",IF(O36=1,"PASS","OPEN"))</x:f>
        <x:v>OPEN</x:v>
      </x:c>
    </x:row>
    <x:row r="37">
      <x:c r="B37" s="11" t="str">
        <x:v>RA-SA1-02-A2-T2</x:v>
      </x:c>
      <x:c r="C37" s="11" t="str">
        <x:v>RA-SA1-02-A2</x:v>
      </x:c>
      <x:c r="D37" s="11" t="str">
        <x:v>SA1</x:v>
      </x:c>
      <x:c r="E37" s="11" t="str">
        <x:v>A</x:v>
      </x:c>
      <x:c r="F37" s="11" t="str">
        <x:v>T2</x:v>
      </x:c>
      <x:c r="G37" s="11" t="str">
        <x:v>known nonconforming</x:v>
      </x:c>
      <x:c r="H37" s="11" t="str">
        <x:v>residual datum shift</x:v>
      </x:c>
      <x:c r="I37" s="11" t="str">
        <x:v>mm</x:v>
      </x:c>
      <x:c r="J37" s="17" t="n">
        <x:v>0.5</x:v>
      </x:c>
      <x:c r="K37" s="17" t="n">
        <x:v>0.75</x:v>
      </x:c>
      <x:c r="L37" s="17" t="n">
        <x:v>0.05</x:v>
      </x:c>
      <x:c r="M37" s="11" t="str">
        <x:v>REJECT</x:v>
      </x:c>
      <x:c r="N37" s="11" t="n">
        <x:v>1</x:v>
      </x:c>
      <x:c r="O37" s="13" t="n">
        <x:v>0</x:v>
      </x:c>
      <x:c r="P37" s="11" t="str">
        <x:f>IF(AND(N37=1,L37&lt;=J37/4,K37&gt;J37+L37),"PASS","FAIL")</x:f>
        <x:v>PASS</x:v>
      </x:c>
      <x:c r="Q37" s="11" t="str">
        <x:f>IF(P37&lt;&gt;"PASS","FAIL",IF(O37=1,"PASS","OPEN"))</x:f>
        <x:v>OPEN</x:v>
      </x:c>
    </x:row>
    <x:row r="38">
      <x:c r="B38" s="11" t="str">
        <x:v>RA-SA1-02-A2-T3</x:v>
      </x:c>
      <x:c r="C38" s="11" t="str">
        <x:v>RA-SA1-02-A2</x:v>
      </x:c>
      <x:c r="D38" s="11" t="str">
        <x:v>SA1</x:v>
      </x:c>
      <x:c r="E38" s="11" t="str">
        <x:v>A</x:v>
      </x:c>
      <x:c r="F38" s="11" t="str">
        <x:v>T3</x:v>
      </x:c>
      <x:c r="G38" s="11" t="str">
        <x:v>decision boundary</x:v>
      </x:c>
      <x:c r="H38" s="11" t="str">
        <x:v>residual datum shift</x:v>
      </x:c>
      <x:c r="I38" s="11" t="str">
        <x:v>mm</x:v>
      </x:c>
      <x:c r="J38" s="17" t="n">
        <x:v>0.5</x:v>
      </x:c>
      <x:c r="K38" s="17" t="n">
        <x:v>0.5</x:v>
      </x:c>
      <x:c r="L38" s="17" t="n">
        <x:v>0.05</x:v>
      </x:c>
      <x:c r="M38" s="11" t="str">
        <x:v>INDETERMINATE</x:v>
      </x:c>
      <x:c r="N38" s="11" t="n">
        <x:v>1</x:v>
      </x:c>
      <x:c r="O38" s="13" t="n">
        <x:v>0</x:v>
      </x:c>
      <x:c r="P38" s="11" t="str">
        <x:f>IF(AND(N38=1,L38&lt;=J38/4,ABS(K38-J38)&lt;=L38),"PASS","FAIL")</x:f>
        <x:v>PASS</x:v>
      </x:c>
      <x:c r="Q38" s="11" t="str">
        <x:f>IF(P38&lt;&gt;"PASS","FAIL",IF(O38=1,"PASS","OPEN"))</x:f>
        <x:v>OPEN</x:v>
      </x:c>
    </x:row>
    <x:row r="39">
      <x:c r="B39" s="11" t="str">
        <x:v>RA-SA1-02-A3-T0</x:v>
      </x:c>
      <x:c r="C39" s="11" t="str">
        <x:v>RA-SA1-02-A3</x:v>
      </x:c>
      <x:c r="D39" s="11" t="str">
        <x:v>SA1</x:v>
      </x:c>
      <x:c r="E39" s="11" t="str">
        <x:v>A</x:v>
      </x:c>
      <x:c r="F39" s="11" t="str">
        <x:v>T0</x:v>
      </x:c>
      <x:c r="G39" s="11" t="str">
        <x:v>datum and blank</x:v>
      </x:c>
      <x:c r="H39" s="11" t="str">
        <x:v>residual datum shift</x:v>
      </x:c>
      <x:c r="I39" s="11" t="str">
        <x:v>mm</x:v>
      </x:c>
      <x:c r="J39" s="17" t="n">
        <x:v>0.5</x:v>
      </x:c>
      <x:c r="K39" s="17" t="n">
        <x:v>0</x:v>
      </x:c>
      <x:c r="L39" s="17" t="n">
        <x:v>0.05</x:v>
      </x:c>
      <x:c r="M39" s="11" t="str">
        <x:v>ACCEPT</x:v>
      </x:c>
      <x:c r="N39" s="11" t="n">
        <x:v>1</x:v>
      </x:c>
      <x:c r="O39" s="13" t="n">
        <x:v>0</x:v>
      </x:c>
      <x:c r="P39" s="11" t="str">
        <x:f>IF(AND(N39=1,L39&lt;=J39/4,K39=0),"PASS","FAIL")</x:f>
        <x:v>PASS</x:v>
      </x:c>
      <x:c r="Q39" s="11" t="str">
        <x:f>IF(P39&lt;&gt;"PASS","FAIL",IF(O39=1,"PASS","OPEN"))</x:f>
        <x:v>OPEN</x:v>
      </x:c>
    </x:row>
    <x:row r="40">
      <x:c r="B40" s="11" t="str">
        <x:v>RA-SA1-02-A3-T1</x:v>
      </x:c>
      <x:c r="C40" s="11" t="str">
        <x:v>RA-SA1-02-A3</x:v>
      </x:c>
      <x:c r="D40" s="11" t="str">
        <x:v>SA1</x:v>
      </x:c>
      <x:c r="E40" s="11" t="str">
        <x:v>A</x:v>
      </x:c>
      <x:c r="F40" s="11" t="str">
        <x:v>T1</x:v>
      </x:c>
      <x:c r="G40" s="11" t="str">
        <x:v>known compliant</x:v>
      </x:c>
      <x:c r="H40" s="11" t="str">
        <x:v>residual datum shift</x:v>
      </x:c>
      <x:c r="I40" s="11" t="str">
        <x:v>mm</x:v>
      </x:c>
      <x:c r="J40" s="17" t="n">
        <x:v>0.5</x:v>
      </x:c>
      <x:c r="K40" s="17" t="n">
        <x:v>0.25</x:v>
      </x:c>
      <x:c r="L40" s="17" t="n">
        <x:v>0.05</x:v>
      </x:c>
      <x:c r="M40" s="11" t="str">
        <x:v>ACCEPT</x:v>
      </x:c>
      <x:c r="N40" s="11" t="n">
        <x:v>1</x:v>
      </x:c>
      <x:c r="O40" s="13" t="n">
        <x:v>0</x:v>
      </x:c>
      <x:c r="P40" s="11" t="str">
        <x:f>IF(AND(N40=1,L40&lt;=J40/4,K40&lt;J40-L40),"PASS","FAIL")</x:f>
        <x:v>PASS</x:v>
      </x:c>
      <x:c r="Q40" s="11" t="str">
        <x:f>IF(P40&lt;&gt;"PASS","FAIL",IF(O40=1,"PASS","OPEN"))</x:f>
        <x:v>OPEN</x:v>
      </x:c>
    </x:row>
    <x:row r="41">
      <x:c r="B41" s="11" t="str">
        <x:v>RA-SA1-02-A3-T2</x:v>
      </x:c>
      <x:c r="C41" s="11" t="str">
        <x:v>RA-SA1-02-A3</x:v>
      </x:c>
      <x:c r="D41" s="11" t="str">
        <x:v>SA1</x:v>
      </x:c>
      <x:c r="E41" s="11" t="str">
        <x:v>A</x:v>
      </x:c>
      <x:c r="F41" s="11" t="str">
        <x:v>T2</x:v>
      </x:c>
      <x:c r="G41" s="11" t="str">
        <x:v>known nonconforming</x:v>
      </x:c>
      <x:c r="H41" s="11" t="str">
        <x:v>residual datum shift</x:v>
      </x:c>
      <x:c r="I41" s="11" t="str">
        <x:v>mm</x:v>
      </x:c>
      <x:c r="J41" s="17" t="n">
        <x:v>0.5</x:v>
      </x:c>
      <x:c r="K41" s="17" t="n">
        <x:v>0.75</x:v>
      </x:c>
      <x:c r="L41" s="17" t="n">
        <x:v>0.05</x:v>
      </x:c>
      <x:c r="M41" s="11" t="str">
        <x:v>REJECT</x:v>
      </x:c>
      <x:c r="N41" s="11" t="n">
        <x:v>1</x:v>
      </x:c>
      <x:c r="O41" s="13" t="n">
        <x:v>0</x:v>
      </x:c>
      <x:c r="P41" s="11" t="str">
        <x:f>IF(AND(N41=1,L41&lt;=J41/4,K41&gt;J41+L41),"PASS","FAIL")</x:f>
        <x:v>PASS</x:v>
      </x:c>
      <x:c r="Q41" s="11" t="str">
        <x:f>IF(P41&lt;&gt;"PASS","FAIL",IF(O41=1,"PASS","OPEN"))</x:f>
        <x:v>OPEN</x:v>
      </x:c>
    </x:row>
    <x:row r="42">
      <x:c r="B42" s="11" t="str">
        <x:v>RA-SA1-02-A3-T3</x:v>
      </x:c>
      <x:c r="C42" s="11" t="str">
        <x:v>RA-SA1-02-A3</x:v>
      </x:c>
      <x:c r="D42" s="11" t="str">
        <x:v>SA1</x:v>
      </x:c>
      <x:c r="E42" s="11" t="str">
        <x:v>A</x:v>
      </x:c>
      <x:c r="F42" s="11" t="str">
        <x:v>T3</x:v>
      </x:c>
      <x:c r="G42" s="11" t="str">
        <x:v>decision boundary</x:v>
      </x:c>
      <x:c r="H42" s="11" t="str">
        <x:v>residual datum shift</x:v>
      </x:c>
      <x:c r="I42" s="11" t="str">
        <x:v>mm</x:v>
      </x:c>
      <x:c r="J42" s="17" t="n">
        <x:v>0.5</x:v>
      </x:c>
      <x:c r="K42" s="17" t="n">
        <x:v>0.5</x:v>
      </x:c>
      <x:c r="L42" s="17" t="n">
        <x:v>0.05</x:v>
      </x:c>
      <x:c r="M42" s="11" t="str">
        <x:v>INDETERMINATE</x:v>
      </x:c>
      <x:c r="N42" s="11" t="n">
        <x:v>1</x:v>
      </x:c>
      <x:c r="O42" s="13" t="n">
        <x:v>0</x:v>
      </x:c>
      <x:c r="P42" s="11" t="str">
        <x:f>IF(AND(N42=1,L42&lt;=J42/4,ABS(K42-J42)&lt;=L42),"PASS","FAIL")</x:f>
        <x:v>PASS</x:v>
      </x:c>
      <x:c r="Q42" s="11" t="str">
        <x:f>IF(P42&lt;&gt;"PASS","FAIL",IF(O42=1,"PASS","OPEN"))</x:f>
        <x:v>OPEN</x:v>
      </x:c>
    </x:row>
    <x:row r="43">
      <x:c r="B43" s="11" t="str">
        <x:v>RA-SA1-02-B1-T0</x:v>
      </x:c>
      <x:c r="C43" s="11" t="str">
        <x:v>RA-SA1-02-B1</x:v>
      </x:c>
      <x:c r="D43" s="11" t="str">
        <x:v>SA1</x:v>
      </x:c>
      <x:c r="E43" s="11" t="str">
        <x:v>B</x:v>
      </x:c>
      <x:c r="F43" s="11" t="str">
        <x:v>T0</x:v>
      </x:c>
      <x:c r="G43" s="11" t="str">
        <x:v>datum and blank</x:v>
      </x:c>
      <x:c r="H43" s="11" t="str">
        <x:v>residual datum shift</x:v>
      </x:c>
      <x:c r="I43" s="11" t="str">
        <x:v>mm</x:v>
      </x:c>
      <x:c r="J43" s="17" t="n">
        <x:v>0.5</x:v>
      </x:c>
      <x:c r="K43" s="17" t="n">
        <x:v>0</x:v>
      </x:c>
      <x:c r="L43" s="17" t="n">
        <x:v>0.05</x:v>
      </x:c>
      <x:c r="M43" s="11" t="str">
        <x:v>ACCEPT</x:v>
      </x:c>
      <x:c r="N43" s="11" t="n">
        <x:v>1</x:v>
      </x:c>
      <x:c r="O43" s="13" t="n">
        <x:v>0</x:v>
      </x:c>
      <x:c r="P43" s="11" t="str">
        <x:f>IF(AND(N43=1,L43&lt;=J43/4,K43=0),"PASS","FAIL")</x:f>
        <x:v>PASS</x:v>
      </x:c>
      <x:c r="Q43" s="11" t="str">
        <x:f>IF(P43&lt;&gt;"PASS","FAIL",IF(O43=1,"PASS","OPEN"))</x:f>
        <x:v>OPEN</x:v>
      </x:c>
    </x:row>
    <x:row r="44">
      <x:c r="B44" s="11" t="str">
        <x:v>RA-SA1-02-B1-T1</x:v>
      </x:c>
      <x:c r="C44" s="11" t="str">
        <x:v>RA-SA1-02-B1</x:v>
      </x:c>
      <x:c r="D44" s="11" t="str">
        <x:v>SA1</x:v>
      </x:c>
      <x:c r="E44" s="11" t="str">
        <x:v>B</x:v>
      </x:c>
      <x:c r="F44" s="11" t="str">
        <x:v>T1</x:v>
      </x:c>
      <x:c r="G44" s="11" t="str">
        <x:v>known compliant</x:v>
      </x:c>
      <x:c r="H44" s="11" t="str">
        <x:v>residual datum shift</x:v>
      </x:c>
      <x:c r="I44" s="11" t="str">
        <x:v>mm</x:v>
      </x:c>
      <x:c r="J44" s="17" t="n">
        <x:v>0.5</x:v>
      </x:c>
      <x:c r="K44" s="17" t="n">
        <x:v>0.25</x:v>
      </x:c>
      <x:c r="L44" s="17" t="n">
        <x:v>0.05</x:v>
      </x:c>
      <x:c r="M44" s="11" t="str">
        <x:v>ACCEPT</x:v>
      </x:c>
      <x:c r="N44" s="11" t="n">
        <x:v>1</x:v>
      </x:c>
      <x:c r="O44" s="13" t="n">
        <x:v>0</x:v>
      </x:c>
      <x:c r="P44" s="11" t="str">
        <x:f>IF(AND(N44=1,L44&lt;=J44/4,K44&lt;J44-L44),"PASS","FAIL")</x:f>
        <x:v>PASS</x:v>
      </x:c>
      <x:c r="Q44" s="11" t="str">
        <x:f>IF(P44&lt;&gt;"PASS","FAIL",IF(O44=1,"PASS","OPEN"))</x:f>
        <x:v>OPEN</x:v>
      </x:c>
    </x:row>
    <x:row r="45">
      <x:c r="B45" s="11" t="str">
        <x:v>RA-SA1-02-B1-T2</x:v>
      </x:c>
      <x:c r="C45" s="11" t="str">
        <x:v>RA-SA1-02-B1</x:v>
      </x:c>
      <x:c r="D45" s="11" t="str">
        <x:v>SA1</x:v>
      </x:c>
      <x:c r="E45" s="11" t="str">
        <x:v>B</x:v>
      </x:c>
      <x:c r="F45" s="11" t="str">
        <x:v>T2</x:v>
      </x:c>
      <x:c r="G45" s="11" t="str">
        <x:v>known nonconforming</x:v>
      </x:c>
      <x:c r="H45" s="11" t="str">
        <x:v>residual datum shift</x:v>
      </x:c>
      <x:c r="I45" s="11" t="str">
        <x:v>mm</x:v>
      </x:c>
      <x:c r="J45" s="17" t="n">
        <x:v>0.5</x:v>
      </x:c>
      <x:c r="K45" s="17" t="n">
        <x:v>0.75</x:v>
      </x:c>
      <x:c r="L45" s="17" t="n">
        <x:v>0.05</x:v>
      </x:c>
      <x:c r="M45" s="11" t="str">
        <x:v>REJECT</x:v>
      </x:c>
      <x:c r="N45" s="11" t="n">
        <x:v>1</x:v>
      </x:c>
      <x:c r="O45" s="13" t="n">
        <x:v>0</x:v>
      </x:c>
      <x:c r="P45" s="11" t="str">
        <x:f>IF(AND(N45=1,L45&lt;=J45/4,K45&gt;J45+L45),"PASS","FAIL")</x:f>
        <x:v>PASS</x:v>
      </x:c>
      <x:c r="Q45" s="11" t="str">
        <x:f>IF(P45&lt;&gt;"PASS","FAIL",IF(O45=1,"PASS","OPEN"))</x:f>
        <x:v>OPEN</x:v>
      </x:c>
    </x:row>
    <x:row r="46">
      <x:c r="B46" s="11" t="str">
        <x:v>RA-SA1-02-B1-T3</x:v>
      </x:c>
      <x:c r="C46" s="11" t="str">
        <x:v>RA-SA1-02-B1</x:v>
      </x:c>
      <x:c r="D46" s="11" t="str">
        <x:v>SA1</x:v>
      </x:c>
      <x:c r="E46" s="11" t="str">
        <x:v>B</x:v>
      </x:c>
      <x:c r="F46" s="11" t="str">
        <x:v>T3</x:v>
      </x:c>
      <x:c r="G46" s="11" t="str">
        <x:v>decision boundary</x:v>
      </x:c>
      <x:c r="H46" s="11" t="str">
        <x:v>residual datum shift</x:v>
      </x:c>
      <x:c r="I46" s="11" t="str">
        <x:v>mm</x:v>
      </x:c>
      <x:c r="J46" s="17" t="n">
        <x:v>0.5</x:v>
      </x:c>
      <x:c r="K46" s="17" t="n">
        <x:v>0.5</x:v>
      </x:c>
      <x:c r="L46" s="17" t="n">
        <x:v>0.05</x:v>
      </x:c>
      <x:c r="M46" s="11" t="str">
        <x:v>INDETERMINATE</x:v>
      </x:c>
      <x:c r="N46" s="11" t="n">
        <x:v>1</x:v>
      </x:c>
      <x:c r="O46" s="13" t="n">
        <x:v>0</x:v>
      </x:c>
      <x:c r="P46" s="11" t="str">
        <x:f>IF(AND(N46=1,L46&lt;=J46/4,ABS(K46-J46)&lt;=L46),"PASS","FAIL")</x:f>
        <x:v>PASS</x:v>
      </x:c>
      <x:c r="Q46" s="11" t="str">
        <x:f>IF(P46&lt;&gt;"PASS","FAIL",IF(O46=1,"PASS","OPEN"))</x:f>
        <x:v>OPEN</x:v>
      </x:c>
    </x:row>
    <x:row r="47">
      <x:c r="B47" s="11" t="str">
        <x:v>RA-SA1-02-B2-T0</x:v>
      </x:c>
      <x:c r="C47" s="11" t="str">
        <x:v>RA-SA1-02-B2</x:v>
      </x:c>
      <x:c r="D47" s="11" t="str">
        <x:v>SA1</x:v>
      </x:c>
      <x:c r="E47" s="11" t="str">
        <x:v>B</x:v>
      </x:c>
      <x:c r="F47" s="11" t="str">
        <x:v>T0</x:v>
      </x:c>
      <x:c r="G47" s="11" t="str">
        <x:v>datum and blank</x:v>
      </x:c>
      <x:c r="H47" s="11" t="str">
        <x:v>residual datum shift</x:v>
      </x:c>
      <x:c r="I47" s="11" t="str">
        <x:v>mm</x:v>
      </x:c>
      <x:c r="J47" s="17" t="n">
        <x:v>0.5</x:v>
      </x:c>
      <x:c r="K47" s="17" t="n">
        <x:v>0</x:v>
      </x:c>
      <x:c r="L47" s="17" t="n">
        <x:v>0.05</x:v>
      </x:c>
      <x:c r="M47" s="11" t="str">
        <x:v>ACCEPT</x:v>
      </x:c>
      <x:c r="N47" s="11" t="n">
        <x:v>1</x:v>
      </x:c>
      <x:c r="O47" s="13" t="n">
        <x:v>0</x:v>
      </x:c>
      <x:c r="P47" s="11" t="str">
        <x:f>IF(AND(N47=1,L47&lt;=J47/4,K47=0),"PASS","FAIL")</x:f>
        <x:v>PASS</x:v>
      </x:c>
      <x:c r="Q47" s="11" t="str">
        <x:f>IF(P47&lt;&gt;"PASS","FAIL",IF(O47=1,"PASS","OPEN"))</x:f>
        <x:v>OPEN</x:v>
      </x:c>
    </x:row>
    <x:row r="48">
      <x:c r="B48" s="11" t="str">
        <x:v>RA-SA1-02-B2-T1</x:v>
      </x:c>
      <x:c r="C48" s="11" t="str">
        <x:v>RA-SA1-02-B2</x:v>
      </x:c>
      <x:c r="D48" s="11" t="str">
        <x:v>SA1</x:v>
      </x:c>
      <x:c r="E48" s="11" t="str">
        <x:v>B</x:v>
      </x:c>
      <x:c r="F48" s="11" t="str">
        <x:v>T1</x:v>
      </x:c>
      <x:c r="G48" s="11" t="str">
        <x:v>known compliant</x:v>
      </x:c>
      <x:c r="H48" s="11" t="str">
        <x:v>residual datum shift</x:v>
      </x:c>
      <x:c r="I48" s="11" t="str">
        <x:v>mm</x:v>
      </x:c>
      <x:c r="J48" s="17" t="n">
        <x:v>0.5</x:v>
      </x:c>
      <x:c r="K48" s="17" t="n">
        <x:v>0.25</x:v>
      </x:c>
      <x:c r="L48" s="17" t="n">
        <x:v>0.05</x:v>
      </x:c>
      <x:c r="M48" s="11" t="str">
        <x:v>ACCEPT</x:v>
      </x:c>
      <x:c r="N48" s="11" t="n">
        <x:v>1</x:v>
      </x:c>
      <x:c r="O48" s="13" t="n">
        <x:v>0</x:v>
      </x:c>
      <x:c r="P48" s="11" t="str">
        <x:f>IF(AND(N48=1,L48&lt;=J48/4,K48&lt;J48-L48),"PASS","FAIL")</x:f>
        <x:v>PASS</x:v>
      </x:c>
      <x:c r="Q48" s="11" t="str">
        <x:f>IF(P48&lt;&gt;"PASS","FAIL",IF(O48=1,"PASS","OPEN"))</x:f>
        <x:v>OPEN</x:v>
      </x:c>
    </x:row>
    <x:row r="49">
      <x:c r="B49" s="11" t="str">
        <x:v>RA-SA1-02-B2-T2</x:v>
      </x:c>
      <x:c r="C49" s="11" t="str">
        <x:v>RA-SA1-02-B2</x:v>
      </x:c>
      <x:c r="D49" s="11" t="str">
        <x:v>SA1</x:v>
      </x:c>
      <x:c r="E49" s="11" t="str">
        <x:v>B</x:v>
      </x:c>
      <x:c r="F49" s="11" t="str">
        <x:v>T2</x:v>
      </x:c>
      <x:c r="G49" s="11" t="str">
        <x:v>known nonconforming</x:v>
      </x:c>
      <x:c r="H49" s="11" t="str">
        <x:v>residual datum shift</x:v>
      </x:c>
      <x:c r="I49" s="11" t="str">
        <x:v>mm</x:v>
      </x:c>
      <x:c r="J49" s="17" t="n">
        <x:v>0.5</x:v>
      </x:c>
      <x:c r="K49" s="17" t="n">
        <x:v>0.75</x:v>
      </x:c>
      <x:c r="L49" s="17" t="n">
        <x:v>0.05</x:v>
      </x:c>
      <x:c r="M49" s="11" t="str">
        <x:v>REJECT</x:v>
      </x:c>
      <x:c r="N49" s="11" t="n">
        <x:v>1</x:v>
      </x:c>
      <x:c r="O49" s="13" t="n">
        <x:v>0</x:v>
      </x:c>
      <x:c r="P49" s="11" t="str">
        <x:f>IF(AND(N49=1,L49&lt;=J49/4,K49&gt;J49+L49),"PASS","FAIL")</x:f>
        <x:v>PASS</x:v>
      </x:c>
      <x:c r="Q49" s="11" t="str">
        <x:f>IF(P49&lt;&gt;"PASS","FAIL",IF(O49=1,"PASS","OPEN"))</x:f>
        <x:v>OPEN</x:v>
      </x:c>
    </x:row>
    <x:row r="50">
      <x:c r="B50" s="11" t="str">
        <x:v>RA-SA1-02-B2-T3</x:v>
      </x:c>
      <x:c r="C50" s="11" t="str">
        <x:v>RA-SA1-02-B2</x:v>
      </x:c>
      <x:c r="D50" s="11" t="str">
        <x:v>SA1</x:v>
      </x:c>
      <x:c r="E50" s="11" t="str">
        <x:v>B</x:v>
      </x:c>
      <x:c r="F50" s="11" t="str">
        <x:v>T3</x:v>
      </x:c>
      <x:c r="G50" s="11" t="str">
        <x:v>decision boundary</x:v>
      </x:c>
      <x:c r="H50" s="11" t="str">
        <x:v>residual datum shift</x:v>
      </x:c>
      <x:c r="I50" s="11" t="str">
        <x:v>mm</x:v>
      </x:c>
      <x:c r="J50" s="17" t="n">
        <x:v>0.5</x:v>
      </x:c>
      <x:c r="K50" s="17" t="n">
        <x:v>0.5</x:v>
      </x:c>
      <x:c r="L50" s="17" t="n">
        <x:v>0.05</x:v>
      </x:c>
      <x:c r="M50" s="11" t="str">
        <x:v>INDETERMINATE</x:v>
      </x:c>
      <x:c r="N50" s="11" t="n">
        <x:v>1</x:v>
      </x:c>
      <x:c r="O50" s="13" t="n">
        <x:v>0</x:v>
      </x:c>
      <x:c r="P50" s="11" t="str">
        <x:f>IF(AND(N50=1,L50&lt;=J50/4,ABS(K50-J50)&lt;=L50),"PASS","FAIL")</x:f>
        <x:v>PASS</x:v>
      </x:c>
      <x:c r="Q50" s="11" t="str">
        <x:f>IF(P50&lt;&gt;"PASS","FAIL",IF(O50=1,"PASS","OPEN"))</x:f>
        <x:v>OPEN</x:v>
      </x:c>
    </x:row>
    <x:row r="51">
      <x:c r="B51" s="11" t="str">
        <x:v>RA-SA1-02-B3-T0</x:v>
      </x:c>
      <x:c r="C51" s="11" t="str">
        <x:v>RA-SA1-02-B3</x:v>
      </x:c>
      <x:c r="D51" s="11" t="str">
        <x:v>SA1</x:v>
      </x:c>
      <x:c r="E51" s="11" t="str">
        <x:v>B</x:v>
      </x:c>
      <x:c r="F51" s="11" t="str">
        <x:v>T0</x:v>
      </x:c>
      <x:c r="G51" s="11" t="str">
        <x:v>datum and blank</x:v>
      </x:c>
      <x:c r="H51" s="11" t="str">
        <x:v>residual datum shift</x:v>
      </x:c>
      <x:c r="I51" s="11" t="str">
        <x:v>mm</x:v>
      </x:c>
      <x:c r="J51" s="17" t="n">
        <x:v>0.5</x:v>
      </x:c>
      <x:c r="K51" s="17" t="n">
        <x:v>0</x:v>
      </x:c>
      <x:c r="L51" s="17" t="n">
        <x:v>0.05</x:v>
      </x:c>
      <x:c r="M51" s="11" t="str">
        <x:v>ACCEPT</x:v>
      </x:c>
      <x:c r="N51" s="11" t="n">
        <x:v>1</x:v>
      </x:c>
      <x:c r="O51" s="13" t="n">
        <x:v>0</x:v>
      </x:c>
      <x:c r="P51" s="11" t="str">
        <x:f>IF(AND(N51=1,L51&lt;=J51/4,K51=0),"PASS","FAIL")</x:f>
        <x:v>PASS</x:v>
      </x:c>
      <x:c r="Q51" s="11" t="str">
        <x:f>IF(P51&lt;&gt;"PASS","FAIL",IF(O51=1,"PASS","OPEN"))</x:f>
        <x:v>OPEN</x:v>
      </x:c>
    </x:row>
    <x:row r="52">
      <x:c r="B52" s="11" t="str">
        <x:v>RA-SA1-02-B3-T1</x:v>
      </x:c>
      <x:c r="C52" s="11" t="str">
        <x:v>RA-SA1-02-B3</x:v>
      </x:c>
      <x:c r="D52" s="11" t="str">
        <x:v>SA1</x:v>
      </x:c>
      <x:c r="E52" s="11" t="str">
        <x:v>B</x:v>
      </x:c>
      <x:c r="F52" s="11" t="str">
        <x:v>T1</x:v>
      </x:c>
      <x:c r="G52" s="11" t="str">
        <x:v>known compliant</x:v>
      </x:c>
      <x:c r="H52" s="11" t="str">
        <x:v>residual datum shift</x:v>
      </x:c>
      <x:c r="I52" s="11" t="str">
        <x:v>mm</x:v>
      </x:c>
      <x:c r="J52" s="17" t="n">
        <x:v>0.5</x:v>
      </x:c>
      <x:c r="K52" s="17" t="n">
        <x:v>0.25</x:v>
      </x:c>
      <x:c r="L52" s="17" t="n">
        <x:v>0.05</x:v>
      </x:c>
      <x:c r="M52" s="11" t="str">
        <x:v>ACCEPT</x:v>
      </x:c>
      <x:c r="N52" s="11" t="n">
        <x:v>1</x:v>
      </x:c>
      <x:c r="O52" s="13" t="n">
        <x:v>0</x:v>
      </x:c>
      <x:c r="P52" s="11" t="str">
        <x:f>IF(AND(N52=1,L52&lt;=J52/4,K52&lt;J52-L52),"PASS","FAIL")</x:f>
        <x:v>PASS</x:v>
      </x:c>
      <x:c r="Q52" s="11" t="str">
        <x:f>IF(P52&lt;&gt;"PASS","FAIL",IF(O52=1,"PASS","OPEN"))</x:f>
        <x:v>OPEN</x:v>
      </x:c>
    </x:row>
    <x:row r="53">
      <x:c r="B53" s="11" t="str">
        <x:v>RA-SA1-02-B3-T2</x:v>
      </x:c>
      <x:c r="C53" s="11" t="str">
        <x:v>RA-SA1-02-B3</x:v>
      </x:c>
      <x:c r="D53" s="11" t="str">
        <x:v>SA1</x:v>
      </x:c>
      <x:c r="E53" s="11" t="str">
        <x:v>B</x:v>
      </x:c>
      <x:c r="F53" s="11" t="str">
        <x:v>T2</x:v>
      </x:c>
      <x:c r="G53" s="11" t="str">
        <x:v>known nonconforming</x:v>
      </x:c>
      <x:c r="H53" s="11" t="str">
        <x:v>residual datum shift</x:v>
      </x:c>
      <x:c r="I53" s="11" t="str">
        <x:v>mm</x:v>
      </x:c>
      <x:c r="J53" s="17" t="n">
        <x:v>0.5</x:v>
      </x:c>
      <x:c r="K53" s="17" t="n">
        <x:v>0.75</x:v>
      </x:c>
      <x:c r="L53" s="17" t="n">
        <x:v>0.05</x:v>
      </x:c>
      <x:c r="M53" s="11" t="str">
        <x:v>REJECT</x:v>
      </x:c>
      <x:c r="N53" s="11" t="n">
        <x:v>1</x:v>
      </x:c>
      <x:c r="O53" s="13" t="n">
        <x:v>0</x:v>
      </x:c>
      <x:c r="P53" s="11" t="str">
        <x:f>IF(AND(N53=1,L53&lt;=J53/4,K53&gt;J53+L53),"PASS","FAIL")</x:f>
        <x:v>PASS</x:v>
      </x:c>
      <x:c r="Q53" s="11" t="str">
        <x:f>IF(P53&lt;&gt;"PASS","FAIL",IF(O53=1,"PASS","OPEN"))</x:f>
        <x:v>OPEN</x:v>
      </x:c>
    </x:row>
    <x:row r="54">
      <x:c r="B54" s="11" t="str">
        <x:v>RA-SA1-02-B3-T3</x:v>
      </x:c>
      <x:c r="C54" s="11" t="str">
        <x:v>RA-SA1-02-B3</x:v>
      </x:c>
      <x:c r="D54" s="11" t="str">
        <x:v>SA1</x:v>
      </x:c>
      <x:c r="E54" s="11" t="str">
        <x:v>B</x:v>
      </x:c>
      <x:c r="F54" s="11" t="str">
        <x:v>T3</x:v>
      </x:c>
      <x:c r="G54" s="11" t="str">
        <x:v>decision boundary</x:v>
      </x:c>
      <x:c r="H54" s="11" t="str">
        <x:v>residual datum shift</x:v>
      </x:c>
      <x:c r="I54" s="11" t="str">
        <x:v>mm</x:v>
      </x:c>
      <x:c r="J54" s="17" t="n">
        <x:v>0.5</x:v>
      </x:c>
      <x:c r="K54" s="17" t="n">
        <x:v>0.5</x:v>
      </x:c>
      <x:c r="L54" s="17" t="n">
        <x:v>0.05</x:v>
      </x:c>
      <x:c r="M54" s="11" t="str">
        <x:v>INDETERMINATE</x:v>
      </x:c>
      <x:c r="N54" s="11" t="n">
        <x:v>1</x:v>
      </x:c>
      <x:c r="O54" s="13" t="n">
        <x:v>0</x:v>
      </x:c>
      <x:c r="P54" s="11" t="str">
        <x:f>IF(AND(N54=1,L54&lt;=J54/4,ABS(K54-J54)&lt;=L54),"PASS","FAIL")</x:f>
        <x:v>PASS</x:v>
      </x:c>
      <x:c r="Q54" s="11" t="str">
        <x:f>IF(P54&lt;&gt;"PASS","FAIL",IF(O54=1,"PASS","OPEN"))</x:f>
        <x:v>OPEN</x:v>
      </x:c>
    </x:row>
    <x:row r="55">
      <x:c r="B55" s="11" t="str">
        <x:v>RA-SA2-03-A1-T0</x:v>
      </x:c>
      <x:c r="C55" s="11" t="str">
        <x:v>RA-SA2-03-A1</x:v>
      </x:c>
      <x:c r="D55" s="11" t="str">
        <x:v>SA2</x:v>
      </x:c>
      <x:c r="E55" s="11" t="str">
        <x:v>A</x:v>
      </x:c>
      <x:c r="F55" s="11" t="str">
        <x:v>T0</x:v>
      </x:c>
      <x:c r="G55" s="11" t="str">
        <x:v>datum and blank</x:v>
      </x:c>
      <x:c r="H55" s="11" t="str">
        <x:v>interface slip</x:v>
      </x:c>
      <x:c r="I55" s="11" t="str">
        <x:v>mm</x:v>
      </x:c>
      <x:c r="J55" s="17" t="n">
        <x:v>0.5</x:v>
      </x:c>
      <x:c r="K55" s="17" t="n">
        <x:v>0</x:v>
      </x:c>
      <x:c r="L55" s="17" t="n">
        <x:v>0.05</x:v>
      </x:c>
      <x:c r="M55" s="11" t="str">
        <x:v>ACCEPT</x:v>
      </x:c>
      <x:c r="N55" s="11" t="n">
        <x:v>1</x:v>
      </x:c>
      <x:c r="O55" s="13" t="n">
        <x:v>0</x:v>
      </x:c>
      <x:c r="P55" s="11" t="str">
        <x:f>IF(AND(N55=1,L55&lt;=J55/4,K55=0),"PASS","FAIL")</x:f>
        <x:v>PASS</x:v>
      </x:c>
      <x:c r="Q55" s="11" t="str">
        <x:f>IF(P55&lt;&gt;"PASS","FAIL",IF(O55=1,"PASS","OPEN"))</x:f>
        <x:v>OPEN</x:v>
      </x:c>
    </x:row>
    <x:row r="56">
      <x:c r="B56" s="11" t="str">
        <x:v>RA-SA2-03-A1-T1</x:v>
      </x:c>
      <x:c r="C56" s="11" t="str">
        <x:v>RA-SA2-03-A1</x:v>
      </x:c>
      <x:c r="D56" s="11" t="str">
        <x:v>SA2</x:v>
      </x:c>
      <x:c r="E56" s="11" t="str">
        <x:v>A</x:v>
      </x:c>
      <x:c r="F56" s="11" t="str">
        <x:v>T1</x:v>
      </x:c>
      <x:c r="G56" s="11" t="str">
        <x:v>known compliant</x:v>
      </x:c>
      <x:c r="H56" s="11" t="str">
        <x:v>interface slip</x:v>
      </x:c>
      <x:c r="I56" s="11" t="str">
        <x:v>mm</x:v>
      </x:c>
      <x:c r="J56" s="17" t="n">
        <x:v>0.5</x:v>
      </x:c>
      <x:c r="K56" s="17" t="n">
        <x:v>0.25</x:v>
      </x:c>
      <x:c r="L56" s="17" t="n">
        <x:v>0.05</x:v>
      </x:c>
      <x:c r="M56" s="11" t="str">
        <x:v>ACCEPT</x:v>
      </x:c>
      <x:c r="N56" s="11" t="n">
        <x:v>1</x:v>
      </x:c>
      <x:c r="O56" s="13" t="n">
        <x:v>0</x:v>
      </x:c>
      <x:c r="P56" s="11" t="str">
        <x:f>IF(AND(N56=1,L56&lt;=J56/4,K56&lt;J56-L56),"PASS","FAIL")</x:f>
        <x:v>PASS</x:v>
      </x:c>
      <x:c r="Q56" s="11" t="str">
        <x:f>IF(P56&lt;&gt;"PASS","FAIL",IF(O56=1,"PASS","OPEN"))</x:f>
        <x:v>OPEN</x:v>
      </x:c>
    </x:row>
    <x:row r="57">
      <x:c r="B57" s="11" t="str">
        <x:v>RA-SA2-03-A1-T2</x:v>
      </x:c>
      <x:c r="C57" s="11" t="str">
        <x:v>RA-SA2-03-A1</x:v>
      </x:c>
      <x:c r="D57" s="11" t="str">
        <x:v>SA2</x:v>
      </x:c>
      <x:c r="E57" s="11" t="str">
        <x:v>A</x:v>
      </x:c>
      <x:c r="F57" s="11" t="str">
        <x:v>T2</x:v>
      </x:c>
      <x:c r="G57" s="11" t="str">
        <x:v>known nonconforming</x:v>
      </x:c>
      <x:c r="H57" s="11" t="str">
        <x:v>interface slip</x:v>
      </x:c>
      <x:c r="I57" s="11" t="str">
        <x:v>mm</x:v>
      </x:c>
      <x:c r="J57" s="17" t="n">
        <x:v>0.5</x:v>
      </x:c>
      <x:c r="K57" s="17" t="n">
        <x:v>0.75</x:v>
      </x:c>
      <x:c r="L57" s="17" t="n">
        <x:v>0.05</x:v>
      </x:c>
      <x:c r="M57" s="11" t="str">
        <x:v>REJECT</x:v>
      </x:c>
      <x:c r="N57" s="11" t="n">
        <x:v>1</x:v>
      </x:c>
      <x:c r="O57" s="13" t="n">
        <x:v>0</x:v>
      </x:c>
      <x:c r="P57" s="11" t="str">
        <x:f>IF(AND(N57=1,L57&lt;=J57/4,K57&gt;J57+L57),"PASS","FAIL")</x:f>
        <x:v>PASS</x:v>
      </x:c>
      <x:c r="Q57" s="11" t="str">
        <x:f>IF(P57&lt;&gt;"PASS","FAIL",IF(O57=1,"PASS","OPEN"))</x:f>
        <x:v>OPEN</x:v>
      </x:c>
    </x:row>
    <x:row r="58">
      <x:c r="B58" s="11" t="str">
        <x:v>RA-SA2-03-A1-T3</x:v>
      </x:c>
      <x:c r="C58" s="11" t="str">
        <x:v>RA-SA2-03-A1</x:v>
      </x:c>
      <x:c r="D58" s="11" t="str">
        <x:v>SA2</x:v>
      </x:c>
      <x:c r="E58" s="11" t="str">
        <x:v>A</x:v>
      </x:c>
      <x:c r="F58" s="11" t="str">
        <x:v>T3</x:v>
      </x:c>
      <x:c r="G58" s="11" t="str">
        <x:v>decision boundary</x:v>
      </x:c>
      <x:c r="H58" s="11" t="str">
        <x:v>interface slip</x:v>
      </x:c>
      <x:c r="I58" s="11" t="str">
        <x:v>mm</x:v>
      </x:c>
      <x:c r="J58" s="17" t="n">
        <x:v>0.5</x:v>
      </x:c>
      <x:c r="K58" s="17" t="n">
        <x:v>0.5</x:v>
      </x:c>
      <x:c r="L58" s="17" t="n">
        <x:v>0.05</x:v>
      </x:c>
      <x:c r="M58" s="11" t="str">
        <x:v>INDETERMINATE</x:v>
      </x:c>
      <x:c r="N58" s="11" t="n">
        <x:v>1</x:v>
      </x:c>
      <x:c r="O58" s="13" t="n">
        <x:v>0</x:v>
      </x:c>
      <x:c r="P58" s="11" t="str">
        <x:f>IF(AND(N58=1,L58&lt;=J58/4,ABS(K58-J58)&lt;=L58),"PASS","FAIL")</x:f>
        <x:v>PASS</x:v>
      </x:c>
      <x:c r="Q58" s="11" t="str">
        <x:f>IF(P58&lt;&gt;"PASS","FAIL",IF(O58=1,"PASS","OPEN"))</x:f>
        <x:v>OPEN</x:v>
      </x:c>
    </x:row>
    <x:row r="59">
      <x:c r="B59" s="11" t="str">
        <x:v>RA-SA2-03-A2-T0</x:v>
      </x:c>
      <x:c r="C59" s="11" t="str">
        <x:v>RA-SA2-03-A2</x:v>
      </x:c>
      <x:c r="D59" s="11" t="str">
        <x:v>SA2</x:v>
      </x:c>
      <x:c r="E59" s="11" t="str">
        <x:v>A</x:v>
      </x:c>
      <x:c r="F59" s="11" t="str">
        <x:v>T0</x:v>
      </x:c>
      <x:c r="G59" s="11" t="str">
        <x:v>datum and blank</x:v>
      </x:c>
      <x:c r="H59" s="11" t="str">
        <x:v>interface slip</x:v>
      </x:c>
      <x:c r="I59" s="11" t="str">
        <x:v>mm</x:v>
      </x:c>
      <x:c r="J59" s="17" t="n">
        <x:v>0.5</x:v>
      </x:c>
      <x:c r="K59" s="17" t="n">
        <x:v>0</x:v>
      </x:c>
      <x:c r="L59" s="17" t="n">
        <x:v>0.05</x:v>
      </x:c>
      <x:c r="M59" s="11" t="str">
        <x:v>ACCEPT</x:v>
      </x:c>
      <x:c r="N59" s="11" t="n">
        <x:v>1</x:v>
      </x:c>
      <x:c r="O59" s="13" t="n">
        <x:v>0</x:v>
      </x:c>
      <x:c r="P59" s="11" t="str">
        <x:f>IF(AND(N59=1,L59&lt;=J59/4,K59=0),"PASS","FAIL")</x:f>
        <x:v>PASS</x:v>
      </x:c>
      <x:c r="Q59" s="11" t="str">
        <x:f>IF(P59&lt;&gt;"PASS","FAIL",IF(O59=1,"PASS","OPEN"))</x:f>
        <x:v>OPEN</x:v>
      </x:c>
    </x:row>
    <x:row r="60">
      <x:c r="B60" s="11" t="str">
        <x:v>RA-SA2-03-A2-T1</x:v>
      </x:c>
      <x:c r="C60" s="11" t="str">
        <x:v>RA-SA2-03-A2</x:v>
      </x:c>
      <x:c r="D60" s="11" t="str">
        <x:v>SA2</x:v>
      </x:c>
      <x:c r="E60" s="11" t="str">
        <x:v>A</x:v>
      </x:c>
      <x:c r="F60" s="11" t="str">
        <x:v>T1</x:v>
      </x:c>
      <x:c r="G60" s="11" t="str">
        <x:v>known compliant</x:v>
      </x:c>
      <x:c r="H60" s="11" t="str">
        <x:v>interface slip</x:v>
      </x:c>
      <x:c r="I60" s="11" t="str">
        <x:v>mm</x:v>
      </x:c>
      <x:c r="J60" s="17" t="n">
        <x:v>0.5</x:v>
      </x:c>
      <x:c r="K60" s="17" t="n">
        <x:v>0.25</x:v>
      </x:c>
      <x:c r="L60" s="17" t="n">
        <x:v>0.05</x:v>
      </x:c>
      <x:c r="M60" s="11" t="str">
        <x:v>ACCEPT</x:v>
      </x:c>
      <x:c r="N60" s="11" t="n">
        <x:v>1</x:v>
      </x:c>
      <x:c r="O60" s="13" t="n">
        <x:v>0</x:v>
      </x:c>
      <x:c r="P60" s="11" t="str">
        <x:f>IF(AND(N60=1,L60&lt;=J60/4,K60&lt;J60-L60),"PASS","FAIL")</x:f>
        <x:v>PASS</x:v>
      </x:c>
      <x:c r="Q60" s="11" t="str">
        <x:f>IF(P60&lt;&gt;"PASS","FAIL",IF(O60=1,"PASS","OPEN"))</x:f>
        <x:v>OPEN</x:v>
      </x:c>
    </x:row>
    <x:row r="61">
      <x:c r="B61" s="11" t="str">
        <x:v>RA-SA2-03-A2-T2</x:v>
      </x:c>
      <x:c r="C61" s="11" t="str">
        <x:v>RA-SA2-03-A2</x:v>
      </x:c>
      <x:c r="D61" s="11" t="str">
        <x:v>SA2</x:v>
      </x:c>
      <x:c r="E61" s="11" t="str">
        <x:v>A</x:v>
      </x:c>
      <x:c r="F61" s="11" t="str">
        <x:v>T2</x:v>
      </x:c>
      <x:c r="G61" s="11" t="str">
        <x:v>known nonconforming</x:v>
      </x:c>
      <x:c r="H61" s="11" t="str">
        <x:v>interface slip</x:v>
      </x:c>
      <x:c r="I61" s="11" t="str">
        <x:v>mm</x:v>
      </x:c>
      <x:c r="J61" s="17" t="n">
        <x:v>0.5</x:v>
      </x:c>
      <x:c r="K61" s="17" t="n">
        <x:v>0.75</x:v>
      </x:c>
      <x:c r="L61" s="17" t="n">
        <x:v>0.05</x:v>
      </x:c>
      <x:c r="M61" s="11" t="str">
        <x:v>REJECT</x:v>
      </x:c>
      <x:c r="N61" s="11" t="n">
        <x:v>1</x:v>
      </x:c>
      <x:c r="O61" s="13" t="n">
        <x:v>0</x:v>
      </x:c>
      <x:c r="P61" s="11" t="str">
        <x:f>IF(AND(N61=1,L61&lt;=J61/4,K61&gt;J61+L61),"PASS","FAIL")</x:f>
        <x:v>PASS</x:v>
      </x:c>
      <x:c r="Q61" s="11" t="str">
        <x:f>IF(P61&lt;&gt;"PASS","FAIL",IF(O61=1,"PASS","OPEN"))</x:f>
        <x:v>OPEN</x:v>
      </x:c>
    </x:row>
    <x:row r="62">
      <x:c r="B62" s="11" t="str">
        <x:v>RA-SA2-03-A2-T3</x:v>
      </x:c>
      <x:c r="C62" s="11" t="str">
        <x:v>RA-SA2-03-A2</x:v>
      </x:c>
      <x:c r="D62" s="11" t="str">
        <x:v>SA2</x:v>
      </x:c>
      <x:c r="E62" s="11" t="str">
        <x:v>A</x:v>
      </x:c>
      <x:c r="F62" s="11" t="str">
        <x:v>T3</x:v>
      </x:c>
      <x:c r="G62" s="11" t="str">
        <x:v>decision boundary</x:v>
      </x:c>
      <x:c r="H62" s="11" t="str">
        <x:v>interface slip</x:v>
      </x:c>
      <x:c r="I62" s="11" t="str">
        <x:v>mm</x:v>
      </x:c>
      <x:c r="J62" s="17" t="n">
        <x:v>0.5</x:v>
      </x:c>
      <x:c r="K62" s="17" t="n">
        <x:v>0.5</x:v>
      </x:c>
      <x:c r="L62" s="17" t="n">
        <x:v>0.05</x:v>
      </x:c>
      <x:c r="M62" s="11" t="str">
        <x:v>INDETERMINATE</x:v>
      </x:c>
      <x:c r="N62" s="11" t="n">
        <x:v>1</x:v>
      </x:c>
      <x:c r="O62" s="13" t="n">
        <x:v>0</x:v>
      </x:c>
      <x:c r="P62" s="11" t="str">
        <x:f>IF(AND(N62=1,L62&lt;=J62/4,ABS(K62-J62)&lt;=L62),"PASS","FAIL")</x:f>
        <x:v>PASS</x:v>
      </x:c>
      <x:c r="Q62" s="11" t="str">
        <x:f>IF(P62&lt;&gt;"PASS","FAIL",IF(O62=1,"PASS","OPEN"))</x:f>
        <x:v>OPEN</x:v>
      </x:c>
    </x:row>
    <x:row r="63">
      <x:c r="B63" s="11" t="str">
        <x:v>RA-SA2-03-A3-T0</x:v>
      </x:c>
      <x:c r="C63" s="11" t="str">
        <x:v>RA-SA2-03-A3</x:v>
      </x:c>
      <x:c r="D63" s="11" t="str">
        <x:v>SA2</x:v>
      </x:c>
      <x:c r="E63" s="11" t="str">
        <x:v>A</x:v>
      </x:c>
      <x:c r="F63" s="11" t="str">
        <x:v>T0</x:v>
      </x:c>
      <x:c r="G63" s="11" t="str">
        <x:v>datum and blank</x:v>
      </x:c>
      <x:c r="H63" s="11" t="str">
        <x:v>interface slip</x:v>
      </x:c>
      <x:c r="I63" s="11" t="str">
        <x:v>mm</x:v>
      </x:c>
      <x:c r="J63" s="17" t="n">
        <x:v>0.5</x:v>
      </x:c>
      <x:c r="K63" s="17" t="n">
        <x:v>0</x:v>
      </x:c>
      <x:c r="L63" s="17" t="n">
        <x:v>0.05</x:v>
      </x:c>
      <x:c r="M63" s="11" t="str">
        <x:v>ACCEPT</x:v>
      </x:c>
      <x:c r="N63" s="11" t="n">
        <x:v>1</x:v>
      </x:c>
      <x:c r="O63" s="13" t="n">
        <x:v>0</x:v>
      </x:c>
      <x:c r="P63" s="11" t="str">
        <x:f>IF(AND(N63=1,L63&lt;=J63/4,K63=0),"PASS","FAIL")</x:f>
        <x:v>PASS</x:v>
      </x:c>
      <x:c r="Q63" s="11" t="str">
        <x:f>IF(P63&lt;&gt;"PASS","FAIL",IF(O63=1,"PASS","OPEN"))</x:f>
        <x:v>OPEN</x:v>
      </x:c>
    </x:row>
    <x:row r="64">
      <x:c r="B64" s="11" t="str">
        <x:v>RA-SA2-03-A3-T1</x:v>
      </x:c>
      <x:c r="C64" s="11" t="str">
        <x:v>RA-SA2-03-A3</x:v>
      </x:c>
      <x:c r="D64" s="11" t="str">
        <x:v>SA2</x:v>
      </x:c>
      <x:c r="E64" s="11" t="str">
        <x:v>A</x:v>
      </x:c>
      <x:c r="F64" s="11" t="str">
        <x:v>T1</x:v>
      </x:c>
      <x:c r="G64" s="11" t="str">
        <x:v>known compliant</x:v>
      </x:c>
      <x:c r="H64" s="11" t="str">
        <x:v>interface slip</x:v>
      </x:c>
      <x:c r="I64" s="11" t="str">
        <x:v>mm</x:v>
      </x:c>
      <x:c r="J64" s="17" t="n">
        <x:v>0.5</x:v>
      </x:c>
      <x:c r="K64" s="17" t="n">
        <x:v>0.25</x:v>
      </x:c>
      <x:c r="L64" s="17" t="n">
        <x:v>0.05</x:v>
      </x:c>
      <x:c r="M64" s="11" t="str">
        <x:v>ACCEPT</x:v>
      </x:c>
      <x:c r="N64" s="11" t="n">
        <x:v>1</x:v>
      </x:c>
      <x:c r="O64" s="13" t="n">
        <x:v>0</x:v>
      </x:c>
      <x:c r="P64" s="11" t="str">
        <x:f>IF(AND(N64=1,L64&lt;=J64/4,K64&lt;J64-L64),"PASS","FAIL")</x:f>
        <x:v>PASS</x:v>
      </x:c>
      <x:c r="Q64" s="11" t="str">
        <x:f>IF(P64&lt;&gt;"PASS","FAIL",IF(O64=1,"PASS","OPEN"))</x:f>
        <x:v>OPEN</x:v>
      </x:c>
    </x:row>
    <x:row r="65">
      <x:c r="B65" s="11" t="str">
        <x:v>RA-SA2-03-A3-T2</x:v>
      </x:c>
      <x:c r="C65" s="11" t="str">
        <x:v>RA-SA2-03-A3</x:v>
      </x:c>
      <x:c r="D65" s="11" t="str">
        <x:v>SA2</x:v>
      </x:c>
      <x:c r="E65" s="11" t="str">
        <x:v>A</x:v>
      </x:c>
      <x:c r="F65" s="11" t="str">
        <x:v>T2</x:v>
      </x:c>
      <x:c r="G65" s="11" t="str">
        <x:v>known nonconforming</x:v>
      </x:c>
      <x:c r="H65" s="11" t="str">
        <x:v>interface slip</x:v>
      </x:c>
      <x:c r="I65" s="11" t="str">
        <x:v>mm</x:v>
      </x:c>
      <x:c r="J65" s="17" t="n">
        <x:v>0.5</x:v>
      </x:c>
      <x:c r="K65" s="17" t="n">
        <x:v>0.75</x:v>
      </x:c>
      <x:c r="L65" s="17" t="n">
        <x:v>0.05</x:v>
      </x:c>
      <x:c r="M65" s="11" t="str">
        <x:v>REJECT</x:v>
      </x:c>
      <x:c r="N65" s="11" t="n">
        <x:v>1</x:v>
      </x:c>
      <x:c r="O65" s="13" t="n">
        <x:v>0</x:v>
      </x:c>
      <x:c r="P65" s="11" t="str">
        <x:f>IF(AND(N65=1,L65&lt;=J65/4,K65&gt;J65+L65),"PASS","FAIL")</x:f>
        <x:v>PASS</x:v>
      </x:c>
      <x:c r="Q65" s="11" t="str">
        <x:f>IF(P65&lt;&gt;"PASS","FAIL",IF(O65=1,"PASS","OPEN"))</x:f>
        <x:v>OPEN</x:v>
      </x:c>
    </x:row>
    <x:row r="66">
      <x:c r="B66" s="11" t="str">
        <x:v>RA-SA2-03-A3-T3</x:v>
      </x:c>
      <x:c r="C66" s="11" t="str">
        <x:v>RA-SA2-03-A3</x:v>
      </x:c>
      <x:c r="D66" s="11" t="str">
        <x:v>SA2</x:v>
      </x:c>
      <x:c r="E66" s="11" t="str">
        <x:v>A</x:v>
      </x:c>
      <x:c r="F66" s="11" t="str">
        <x:v>T3</x:v>
      </x:c>
      <x:c r="G66" s="11" t="str">
        <x:v>decision boundary</x:v>
      </x:c>
      <x:c r="H66" s="11" t="str">
        <x:v>interface slip</x:v>
      </x:c>
      <x:c r="I66" s="11" t="str">
        <x:v>mm</x:v>
      </x:c>
      <x:c r="J66" s="17" t="n">
        <x:v>0.5</x:v>
      </x:c>
      <x:c r="K66" s="17" t="n">
        <x:v>0.5</x:v>
      </x:c>
      <x:c r="L66" s="17" t="n">
        <x:v>0.05</x:v>
      </x:c>
      <x:c r="M66" s="11" t="str">
        <x:v>INDETERMINATE</x:v>
      </x:c>
      <x:c r="N66" s="11" t="n">
        <x:v>1</x:v>
      </x:c>
      <x:c r="O66" s="13" t="n">
        <x:v>0</x:v>
      </x:c>
      <x:c r="P66" s="11" t="str">
        <x:f>IF(AND(N66=1,L66&lt;=J66/4,ABS(K66-J66)&lt;=L66),"PASS","FAIL")</x:f>
        <x:v>PASS</x:v>
      </x:c>
      <x:c r="Q66" s="11" t="str">
        <x:f>IF(P66&lt;&gt;"PASS","FAIL",IF(O66=1,"PASS","OPEN"))</x:f>
        <x:v>OPEN</x:v>
      </x:c>
    </x:row>
    <x:row r="67">
      <x:c r="B67" s="11" t="str">
        <x:v>RA-SA2-03-B1-T0</x:v>
      </x:c>
      <x:c r="C67" s="11" t="str">
        <x:v>RA-SA2-03-B1</x:v>
      </x:c>
      <x:c r="D67" s="11" t="str">
        <x:v>SA2</x:v>
      </x:c>
      <x:c r="E67" s="11" t="str">
        <x:v>B</x:v>
      </x:c>
      <x:c r="F67" s="11" t="str">
        <x:v>T0</x:v>
      </x:c>
      <x:c r="G67" s="11" t="str">
        <x:v>datum and blank</x:v>
      </x:c>
      <x:c r="H67" s="11" t="str">
        <x:v>interface slip</x:v>
      </x:c>
      <x:c r="I67" s="11" t="str">
        <x:v>mm</x:v>
      </x:c>
      <x:c r="J67" s="17" t="n">
        <x:v>0.5</x:v>
      </x:c>
      <x:c r="K67" s="17" t="n">
        <x:v>0</x:v>
      </x:c>
      <x:c r="L67" s="17" t="n">
        <x:v>0.05</x:v>
      </x:c>
      <x:c r="M67" s="11" t="str">
        <x:v>ACCEPT</x:v>
      </x:c>
      <x:c r="N67" s="11" t="n">
        <x:v>1</x:v>
      </x:c>
      <x:c r="O67" s="13" t="n">
        <x:v>0</x:v>
      </x:c>
      <x:c r="P67" s="11" t="str">
        <x:f>IF(AND(N67=1,L67&lt;=J67/4,K67=0),"PASS","FAIL")</x:f>
        <x:v>PASS</x:v>
      </x:c>
      <x:c r="Q67" s="11" t="str">
        <x:f>IF(P67&lt;&gt;"PASS","FAIL",IF(O67=1,"PASS","OPEN"))</x:f>
        <x:v>OPEN</x:v>
      </x:c>
    </x:row>
    <x:row r="68">
      <x:c r="B68" s="11" t="str">
        <x:v>RA-SA2-03-B1-T1</x:v>
      </x:c>
      <x:c r="C68" s="11" t="str">
        <x:v>RA-SA2-03-B1</x:v>
      </x:c>
      <x:c r="D68" s="11" t="str">
        <x:v>SA2</x:v>
      </x:c>
      <x:c r="E68" s="11" t="str">
        <x:v>B</x:v>
      </x:c>
      <x:c r="F68" s="11" t="str">
        <x:v>T1</x:v>
      </x:c>
      <x:c r="G68" s="11" t="str">
        <x:v>known compliant</x:v>
      </x:c>
      <x:c r="H68" s="11" t="str">
        <x:v>interface slip</x:v>
      </x:c>
      <x:c r="I68" s="11" t="str">
        <x:v>mm</x:v>
      </x:c>
      <x:c r="J68" s="17" t="n">
        <x:v>0.5</x:v>
      </x:c>
      <x:c r="K68" s="17" t="n">
        <x:v>0.25</x:v>
      </x:c>
      <x:c r="L68" s="17" t="n">
        <x:v>0.05</x:v>
      </x:c>
      <x:c r="M68" s="11" t="str">
        <x:v>ACCEPT</x:v>
      </x:c>
      <x:c r="N68" s="11" t="n">
        <x:v>1</x:v>
      </x:c>
      <x:c r="O68" s="13" t="n">
        <x:v>0</x:v>
      </x:c>
      <x:c r="P68" s="11" t="str">
        <x:f>IF(AND(N68=1,L68&lt;=J68/4,K68&lt;J68-L68),"PASS","FAIL")</x:f>
        <x:v>PASS</x:v>
      </x:c>
      <x:c r="Q68" s="11" t="str">
        <x:f>IF(P68&lt;&gt;"PASS","FAIL",IF(O68=1,"PASS","OPEN"))</x:f>
        <x:v>OPEN</x:v>
      </x:c>
    </x:row>
    <x:row r="69">
      <x:c r="B69" s="11" t="str">
        <x:v>RA-SA2-03-B1-T2</x:v>
      </x:c>
      <x:c r="C69" s="11" t="str">
        <x:v>RA-SA2-03-B1</x:v>
      </x:c>
      <x:c r="D69" s="11" t="str">
        <x:v>SA2</x:v>
      </x:c>
      <x:c r="E69" s="11" t="str">
        <x:v>B</x:v>
      </x:c>
      <x:c r="F69" s="11" t="str">
        <x:v>T2</x:v>
      </x:c>
      <x:c r="G69" s="11" t="str">
        <x:v>known nonconforming</x:v>
      </x:c>
      <x:c r="H69" s="11" t="str">
        <x:v>interface slip</x:v>
      </x:c>
      <x:c r="I69" s="11" t="str">
        <x:v>mm</x:v>
      </x:c>
      <x:c r="J69" s="17" t="n">
        <x:v>0.5</x:v>
      </x:c>
      <x:c r="K69" s="17" t="n">
        <x:v>0.75</x:v>
      </x:c>
      <x:c r="L69" s="17" t="n">
        <x:v>0.05</x:v>
      </x:c>
      <x:c r="M69" s="11" t="str">
        <x:v>REJECT</x:v>
      </x:c>
      <x:c r="N69" s="11" t="n">
        <x:v>1</x:v>
      </x:c>
      <x:c r="O69" s="13" t="n">
        <x:v>0</x:v>
      </x:c>
      <x:c r="P69" s="11" t="str">
        <x:f>IF(AND(N69=1,L69&lt;=J69/4,K69&gt;J69+L69),"PASS","FAIL")</x:f>
        <x:v>PASS</x:v>
      </x:c>
      <x:c r="Q69" s="11" t="str">
        <x:f>IF(P69&lt;&gt;"PASS","FAIL",IF(O69=1,"PASS","OPEN"))</x:f>
        <x:v>OPEN</x:v>
      </x:c>
    </x:row>
    <x:row r="70">
      <x:c r="B70" s="11" t="str">
        <x:v>RA-SA2-03-B1-T3</x:v>
      </x:c>
      <x:c r="C70" s="11" t="str">
        <x:v>RA-SA2-03-B1</x:v>
      </x:c>
      <x:c r="D70" s="11" t="str">
        <x:v>SA2</x:v>
      </x:c>
      <x:c r="E70" s="11" t="str">
        <x:v>B</x:v>
      </x:c>
      <x:c r="F70" s="11" t="str">
        <x:v>T3</x:v>
      </x:c>
      <x:c r="G70" s="11" t="str">
        <x:v>decision boundary</x:v>
      </x:c>
      <x:c r="H70" s="11" t="str">
        <x:v>interface slip</x:v>
      </x:c>
      <x:c r="I70" s="11" t="str">
        <x:v>mm</x:v>
      </x:c>
      <x:c r="J70" s="17" t="n">
        <x:v>0.5</x:v>
      </x:c>
      <x:c r="K70" s="17" t="n">
        <x:v>0.5</x:v>
      </x:c>
      <x:c r="L70" s="17" t="n">
        <x:v>0.05</x:v>
      </x:c>
      <x:c r="M70" s="11" t="str">
        <x:v>INDETERMINATE</x:v>
      </x:c>
      <x:c r="N70" s="11" t="n">
        <x:v>1</x:v>
      </x:c>
      <x:c r="O70" s="13" t="n">
        <x:v>0</x:v>
      </x:c>
      <x:c r="P70" s="11" t="str">
        <x:f>IF(AND(N70=1,L70&lt;=J70/4,ABS(K70-J70)&lt;=L70),"PASS","FAIL")</x:f>
        <x:v>PASS</x:v>
      </x:c>
      <x:c r="Q70" s="11" t="str">
        <x:f>IF(P70&lt;&gt;"PASS","FAIL",IF(O70=1,"PASS","OPEN"))</x:f>
        <x:v>OPEN</x:v>
      </x:c>
    </x:row>
    <x:row r="71">
      <x:c r="B71" s="11" t="str">
        <x:v>RA-SA2-03-B2-T0</x:v>
      </x:c>
      <x:c r="C71" s="11" t="str">
        <x:v>RA-SA2-03-B2</x:v>
      </x:c>
      <x:c r="D71" s="11" t="str">
        <x:v>SA2</x:v>
      </x:c>
      <x:c r="E71" s="11" t="str">
        <x:v>B</x:v>
      </x:c>
      <x:c r="F71" s="11" t="str">
        <x:v>T0</x:v>
      </x:c>
      <x:c r="G71" s="11" t="str">
        <x:v>datum and blank</x:v>
      </x:c>
      <x:c r="H71" s="11" t="str">
        <x:v>interface slip</x:v>
      </x:c>
      <x:c r="I71" s="11" t="str">
        <x:v>mm</x:v>
      </x:c>
      <x:c r="J71" s="17" t="n">
        <x:v>0.5</x:v>
      </x:c>
      <x:c r="K71" s="17" t="n">
        <x:v>0</x:v>
      </x:c>
      <x:c r="L71" s="17" t="n">
        <x:v>0.05</x:v>
      </x:c>
      <x:c r="M71" s="11" t="str">
        <x:v>ACCEPT</x:v>
      </x:c>
      <x:c r="N71" s="11" t="n">
        <x:v>1</x:v>
      </x:c>
      <x:c r="O71" s="13" t="n">
        <x:v>0</x:v>
      </x:c>
      <x:c r="P71" s="11" t="str">
        <x:f>IF(AND(N71=1,L71&lt;=J71/4,K71=0),"PASS","FAIL")</x:f>
        <x:v>PASS</x:v>
      </x:c>
      <x:c r="Q71" s="11" t="str">
        <x:f>IF(P71&lt;&gt;"PASS","FAIL",IF(O71=1,"PASS","OPEN"))</x:f>
        <x:v>OPEN</x:v>
      </x:c>
    </x:row>
    <x:row r="72">
      <x:c r="B72" s="11" t="str">
        <x:v>RA-SA2-03-B2-T1</x:v>
      </x:c>
      <x:c r="C72" s="11" t="str">
        <x:v>RA-SA2-03-B2</x:v>
      </x:c>
      <x:c r="D72" s="11" t="str">
        <x:v>SA2</x:v>
      </x:c>
      <x:c r="E72" s="11" t="str">
        <x:v>B</x:v>
      </x:c>
      <x:c r="F72" s="11" t="str">
        <x:v>T1</x:v>
      </x:c>
      <x:c r="G72" s="11" t="str">
        <x:v>known compliant</x:v>
      </x:c>
      <x:c r="H72" s="11" t="str">
        <x:v>interface slip</x:v>
      </x:c>
      <x:c r="I72" s="11" t="str">
        <x:v>mm</x:v>
      </x:c>
      <x:c r="J72" s="17" t="n">
        <x:v>0.5</x:v>
      </x:c>
      <x:c r="K72" s="17" t="n">
        <x:v>0.25</x:v>
      </x:c>
      <x:c r="L72" s="17" t="n">
        <x:v>0.05</x:v>
      </x:c>
      <x:c r="M72" s="11" t="str">
        <x:v>ACCEPT</x:v>
      </x:c>
      <x:c r="N72" s="11" t="n">
        <x:v>1</x:v>
      </x:c>
      <x:c r="O72" s="13" t="n">
        <x:v>0</x:v>
      </x:c>
      <x:c r="P72" s="11" t="str">
        <x:f>IF(AND(N72=1,L72&lt;=J72/4,K72&lt;J72-L72),"PASS","FAIL")</x:f>
        <x:v>PASS</x:v>
      </x:c>
      <x:c r="Q72" s="11" t="str">
        <x:f>IF(P72&lt;&gt;"PASS","FAIL",IF(O72=1,"PASS","OPEN"))</x:f>
        <x:v>OPEN</x:v>
      </x:c>
    </x:row>
    <x:row r="73">
      <x:c r="B73" s="11" t="str">
        <x:v>RA-SA2-03-B2-T2</x:v>
      </x:c>
      <x:c r="C73" s="11" t="str">
        <x:v>RA-SA2-03-B2</x:v>
      </x:c>
      <x:c r="D73" s="11" t="str">
        <x:v>SA2</x:v>
      </x:c>
      <x:c r="E73" s="11" t="str">
        <x:v>B</x:v>
      </x:c>
      <x:c r="F73" s="11" t="str">
        <x:v>T2</x:v>
      </x:c>
      <x:c r="G73" s="11" t="str">
        <x:v>known nonconforming</x:v>
      </x:c>
      <x:c r="H73" s="11" t="str">
        <x:v>interface slip</x:v>
      </x:c>
      <x:c r="I73" s="11" t="str">
        <x:v>mm</x:v>
      </x:c>
      <x:c r="J73" s="17" t="n">
        <x:v>0.5</x:v>
      </x:c>
      <x:c r="K73" s="17" t="n">
        <x:v>0.75</x:v>
      </x:c>
      <x:c r="L73" s="17" t="n">
        <x:v>0.05</x:v>
      </x:c>
      <x:c r="M73" s="11" t="str">
        <x:v>REJECT</x:v>
      </x:c>
      <x:c r="N73" s="11" t="n">
        <x:v>1</x:v>
      </x:c>
      <x:c r="O73" s="13" t="n">
        <x:v>0</x:v>
      </x:c>
      <x:c r="P73" s="11" t="str">
        <x:f>IF(AND(N73=1,L73&lt;=J73/4,K73&gt;J73+L73),"PASS","FAIL")</x:f>
        <x:v>PASS</x:v>
      </x:c>
      <x:c r="Q73" s="11" t="str">
        <x:f>IF(P73&lt;&gt;"PASS","FAIL",IF(O73=1,"PASS","OPEN"))</x:f>
        <x:v>OPEN</x:v>
      </x:c>
    </x:row>
    <x:row r="74">
      <x:c r="B74" s="11" t="str">
        <x:v>RA-SA2-03-B2-T3</x:v>
      </x:c>
      <x:c r="C74" s="11" t="str">
        <x:v>RA-SA2-03-B2</x:v>
      </x:c>
      <x:c r="D74" s="11" t="str">
        <x:v>SA2</x:v>
      </x:c>
      <x:c r="E74" s="11" t="str">
        <x:v>B</x:v>
      </x:c>
      <x:c r="F74" s="11" t="str">
        <x:v>T3</x:v>
      </x:c>
      <x:c r="G74" s="11" t="str">
        <x:v>decision boundary</x:v>
      </x:c>
      <x:c r="H74" s="11" t="str">
        <x:v>interface slip</x:v>
      </x:c>
      <x:c r="I74" s="11" t="str">
        <x:v>mm</x:v>
      </x:c>
      <x:c r="J74" s="17" t="n">
        <x:v>0.5</x:v>
      </x:c>
      <x:c r="K74" s="17" t="n">
        <x:v>0.5</x:v>
      </x:c>
      <x:c r="L74" s="17" t="n">
        <x:v>0.05</x:v>
      </x:c>
      <x:c r="M74" s="11" t="str">
        <x:v>INDETERMINATE</x:v>
      </x:c>
      <x:c r="N74" s="11" t="n">
        <x:v>1</x:v>
      </x:c>
      <x:c r="O74" s="13" t="n">
        <x:v>0</x:v>
      </x:c>
      <x:c r="P74" s="11" t="str">
        <x:f>IF(AND(N74=1,L74&lt;=J74/4,ABS(K74-J74)&lt;=L74),"PASS","FAIL")</x:f>
        <x:v>PASS</x:v>
      </x:c>
      <x:c r="Q74" s="11" t="str">
        <x:f>IF(P74&lt;&gt;"PASS","FAIL",IF(O74=1,"PASS","OPEN"))</x:f>
        <x:v>OPEN</x:v>
      </x:c>
    </x:row>
    <x:row r="75">
      <x:c r="B75" s="11" t="str">
        <x:v>RA-SA2-03-B3-T0</x:v>
      </x:c>
      <x:c r="C75" s="11" t="str">
        <x:v>RA-SA2-03-B3</x:v>
      </x:c>
      <x:c r="D75" s="11" t="str">
        <x:v>SA2</x:v>
      </x:c>
      <x:c r="E75" s="11" t="str">
        <x:v>B</x:v>
      </x:c>
      <x:c r="F75" s="11" t="str">
        <x:v>T0</x:v>
      </x:c>
      <x:c r="G75" s="11" t="str">
        <x:v>datum and blank</x:v>
      </x:c>
      <x:c r="H75" s="11" t="str">
        <x:v>interface slip</x:v>
      </x:c>
      <x:c r="I75" s="11" t="str">
        <x:v>mm</x:v>
      </x:c>
      <x:c r="J75" s="17" t="n">
        <x:v>0.5</x:v>
      </x:c>
      <x:c r="K75" s="17" t="n">
        <x:v>0</x:v>
      </x:c>
      <x:c r="L75" s="17" t="n">
        <x:v>0.05</x:v>
      </x:c>
      <x:c r="M75" s="11" t="str">
        <x:v>ACCEPT</x:v>
      </x:c>
      <x:c r="N75" s="11" t="n">
        <x:v>1</x:v>
      </x:c>
      <x:c r="O75" s="13" t="n">
        <x:v>0</x:v>
      </x:c>
      <x:c r="P75" s="11" t="str">
        <x:f>IF(AND(N75=1,L75&lt;=J75/4,K75=0),"PASS","FAIL")</x:f>
        <x:v>PASS</x:v>
      </x:c>
      <x:c r="Q75" s="11" t="str">
        <x:f>IF(P75&lt;&gt;"PASS","FAIL",IF(O75=1,"PASS","OPEN"))</x:f>
        <x:v>OPEN</x:v>
      </x:c>
    </x:row>
    <x:row r="76">
      <x:c r="B76" s="11" t="str">
        <x:v>RA-SA2-03-B3-T1</x:v>
      </x:c>
      <x:c r="C76" s="11" t="str">
        <x:v>RA-SA2-03-B3</x:v>
      </x:c>
      <x:c r="D76" s="11" t="str">
        <x:v>SA2</x:v>
      </x:c>
      <x:c r="E76" s="11" t="str">
        <x:v>B</x:v>
      </x:c>
      <x:c r="F76" s="11" t="str">
        <x:v>T1</x:v>
      </x:c>
      <x:c r="G76" s="11" t="str">
        <x:v>known compliant</x:v>
      </x:c>
      <x:c r="H76" s="11" t="str">
        <x:v>interface slip</x:v>
      </x:c>
      <x:c r="I76" s="11" t="str">
        <x:v>mm</x:v>
      </x:c>
      <x:c r="J76" s="17" t="n">
        <x:v>0.5</x:v>
      </x:c>
      <x:c r="K76" s="17" t="n">
        <x:v>0.25</x:v>
      </x:c>
      <x:c r="L76" s="17" t="n">
        <x:v>0.05</x:v>
      </x:c>
      <x:c r="M76" s="11" t="str">
        <x:v>ACCEPT</x:v>
      </x:c>
      <x:c r="N76" s="11" t="n">
        <x:v>1</x:v>
      </x:c>
      <x:c r="O76" s="13" t="n">
        <x:v>0</x:v>
      </x:c>
      <x:c r="P76" s="11" t="str">
        <x:f>IF(AND(N76=1,L76&lt;=J76/4,K76&lt;J76-L76),"PASS","FAIL")</x:f>
        <x:v>PASS</x:v>
      </x:c>
      <x:c r="Q76" s="11" t="str">
        <x:f>IF(P76&lt;&gt;"PASS","FAIL",IF(O76=1,"PASS","OPEN"))</x:f>
        <x:v>OPEN</x:v>
      </x:c>
    </x:row>
    <x:row r="77">
      <x:c r="B77" s="11" t="str">
        <x:v>RA-SA2-03-B3-T2</x:v>
      </x:c>
      <x:c r="C77" s="11" t="str">
        <x:v>RA-SA2-03-B3</x:v>
      </x:c>
      <x:c r="D77" s="11" t="str">
        <x:v>SA2</x:v>
      </x:c>
      <x:c r="E77" s="11" t="str">
        <x:v>B</x:v>
      </x:c>
      <x:c r="F77" s="11" t="str">
        <x:v>T2</x:v>
      </x:c>
      <x:c r="G77" s="11" t="str">
        <x:v>known nonconforming</x:v>
      </x:c>
      <x:c r="H77" s="11" t="str">
        <x:v>interface slip</x:v>
      </x:c>
      <x:c r="I77" s="11" t="str">
        <x:v>mm</x:v>
      </x:c>
      <x:c r="J77" s="17" t="n">
        <x:v>0.5</x:v>
      </x:c>
      <x:c r="K77" s="17" t="n">
        <x:v>0.75</x:v>
      </x:c>
      <x:c r="L77" s="17" t="n">
        <x:v>0.05</x:v>
      </x:c>
      <x:c r="M77" s="11" t="str">
        <x:v>REJECT</x:v>
      </x:c>
      <x:c r="N77" s="11" t="n">
        <x:v>1</x:v>
      </x:c>
      <x:c r="O77" s="13" t="n">
        <x:v>0</x:v>
      </x:c>
      <x:c r="P77" s="11" t="str">
        <x:f>IF(AND(N77=1,L77&lt;=J77/4,K77&gt;J77+L77),"PASS","FAIL")</x:f>
        <x:v>PASS</x:v>
      </x:c>
      <x:c r="Q77" s="11" t="str">
        <x:f>IF(P77&lt;&gt;"PASS","FAIL",IF(O77=1,"PASS","OPEN"))</x:f>
        <x:v>OPEN</x:v>
      </x:c>
    </x:row>
    <x:row r="78">
      <x:c r="B78" s="11" t="str">
        <x:v>RA-SA2-03-B3-T3</x:v>
      </x:c>
      <x:c r="C78" s="11" t="str">
        <x:v>RA-SA2-03-B3</x:v>
      </x:c>
      <x:c r="D78" s="11" t="str">
        <x:v>SA2</x:v>
      </x:c>
      <x:c r="E78" s="11" t="str">
        <x:v>B</x:v>
      </x:c>
      <x:c r="F78" s="11" t="str">
        <x:v>T3</x:v>
      </x:c>
      <x:c r="G78" s="11" t="str">
        <x:v>decision boundary</x:v>
      </x:c>
      <x:c r="H78" s="11" t="str">
        <x:v>interface slip</x:v>
      </x:c>
      <x:c r="I78" s="11" t="str">
        <x:v>mm</x:v>
      </x:c>
      <x:c r="J78" s="17" t="n">
        <x:v>0.5</x:v>
      </x:c>
      <x:c r="K78" s="17" t="n">
        <x:v>0.5</x:v>
      </x:c>
      <x:c r="L78" s="17" t="n">
        <x:v>0.05</x:v>
      </x:c>
      <x:c r="M78" s="11" t="str">
        <x:v>INDETERMINATE</x:v>
      </x:c>
      <x:c r="N78" s="11" t="n">
        <x:v>1</x:v>
      </x:c>
      <x:c r="O78" s="13" t="n">
        <x:v>0</x:v>
      </x:c>
      <x:c r="P78" s="11" t="str">
        <x:f>IF(AND(N78=1,L78&lt;=J78/4,ABS(K78-J78)&lt;=L78),"PASS","FAIL")</x:f>
        <x:v>PASS</x:v>
      </x:c>
      <x:c r="Q78" s="11" t="str">
        <x:f>IF(P78&lt;&gt;"PASS","FAIL",IF(O78=1,"PASS","OPEN"))</x:f>
        <x:v>OPEN</x:v>
      </x:c>
    </x:row>
    <x:row r="79">
      <x:c r="B79" s="11" t="str">
        <x:v>RA-SA2-04-A1-T0</x:v>
      </x:c>
      <x:c r="C79" s="11" t="str">
        <x:v>RA-SA2-04-A1</x:v>
      </x:c>
      <x:c r="D79" s="11" t="str">
        <x:v>SA2</x:v>
      </x:c>
      <x:c r="E79" s="11" t="str">
        <x:v>A</x:v>
      </x:c>
      <x:c r="F79" s="11" t="str">
        <x:v>T0</x:v>
      </x:c>
      <x:c r="G79" s="11" t="str">
        <x:v>datum and blank</x:v>
      </x:c>
      <x:c r="H79" s="11" t="str">
        <x:v>interface slip</x:v>
      </x:c>
      <x:c r="I79" s="11" t="str">
        <x:v>mm</x:v>
      </x:c>
      <x:c r="J79" s="17" t="n">
        <x:v>0.5</x:v>
      </x:c>
      <x:c r="K79" s="17" t="n">
        <x:v>0</x:v>
      </x:c>
      <x:c r="L79" s="17" t="n">
        <x:v>0.05</x:v>
      </x:c>
      <x:c r="M79" s="11" t="str">
        <x:v>ACCEPT</x:v>
      </x:c>
      <x:c r="N79" s="11" t="n">
        <x:v>1</x:v>
      </x:c>
      <x:c r="O79" s="13" t="n">
        <x:v>0</x:v>
      </x:c>
      <x:c r="P79" s="11" t="str">
        <x:f>IF(AND(N79=1,L79&lt;=J79/4,K79=0),"PASS","FAIL")</x:f>
        <x:v>PASS</x:v>
      </x:c>
      <x:c r="Q79" s="11" t="str">
        <x:f>IF(P79&lt;&gt;"PASS","FAIL",IF(O79=1,"PASS","OPEN"))</x:f>
        <x:v>OPEN</x:v>
      </x:c>
    </x:row>
    <x:row r="80">
      <x:c r="B80" s="11" t="str">
        <x:v>RA-SA2-04-A1-T1</x:v>
      </x:c>
      <x:c r="C80" s="11" t="str">
        <x:v>RA-SA2-04-A1</x:v>
      </x:c>
      <x:c r="D80" s="11" t="str">
        <x:v>SA2</x:v>
      </x:c>
      <x:c r="E80" s="11" t="str">
        <x:v>A</x:v>
      </x:c>
      <x:c r="F80" s="11" t="str">
        <x:v>T1</x:v>
      </x:c>
      <x:c r="G80" s="11" t="str">
        <x:v>known compliant</x:v>
      </x:c>
      <x:c r="H80" s="11" t="str">
        <x:v>interface slip</x:v>
      </x:c>
      <x:c r="I80" s="11" t="str">
        <x:v>mm</x:v>
      </x:c>
      <x:c r="J80" s="17" t="n">
        <x:v>0.5</x:v>
      </x:c>
      <x:c r="K80" s="17" t="n">
        <x:v>0.25</x:v>
      </x:c>
      <x:c r="L80" s="17" t="n">
        <x:v>0.05</x:v>
      </x:c>
      <x:c r="M80" s="11" t="str">
        <x:v>ACCEPT</x:v>
      </x:c>
      <x:c r="N80" s="11" t="n">
        <x:v>1</x:v>
      </x:c>
      <x:c r="O80" s="13" t="n">
        <x:v>0</x:v>
      </x:c>
      <x:c r="P80" s="11" t="str">
        <x:f>IF(AND(N80=1,L80&lt;=J80/4,K80&lt;J80-L80),"PASS","FAIL")</x:f>
        <x:v>PASS</x:v>
      </x:c>
      <x:c r="Q80" s="11" t="str">
        <x:f>IF(P80&lt;&gt;"PASS","FAIL",IF(O80=1,"PASS","OPEN"))</x:f>
        <x:v>OPEN</x:v>
      </x:c>
    </x:row>
    <x:row r="81">
      <x:c r="B81" s="11" t="str">
        <x:v>RA-SA2-04-A1-T2</x:v>
      </x:c>
      <x:c r="C81" s="11" t="str">
        <x:v>RA-SA2-04-A1</x:v>
      </x:c>
      <x:c r="D81" s="11" t="str">
        <x:v>SA2</x:v>
      </x:c>
      <x:c r="E81" s="11" t="str">
        <x:v>A</x:v>
      </x:c>
      <x:c r="F81" s="11" t="str">
        <x:v>T2</x:v>
      </x:c>
      <x:c r="G81" s="11" t="str">
        <x:v>known nonconforming</x:v>
      </x:c>
      <x:c r="H81" s="11" t="str">
        <x:v>interface slip</x:v>
      </x:c>
      <x:c r="I81" s="11" t="str">
        <x:v>mm</x:v>
      </x:c>
      <x:c r="J81" s="17" t="n">
        <x:v>0.5</x:v>
      </x:c>
      <x:c r="K81" s="17" t="n">
        <x:v>0.75</x:v>
      </x:c>
      <x:c r="L81" s="17" t="n">
        <x:v>0.05</x:v>
      </x:c>
      <x:c r="M81" s="11" t="str">
        <x:v>REJECT</x:v>
      </x:c>
      <x:c r="N81" s="11" t="n">
        <x:v>1</x:v>
      </x:c>
      <x:c r="O81" s="13" t="n">
        <x:v>0</x:v>
      </x:c>
      <x:c r="P81" s="11" t="str">
        <x:f>IF(AND(N81=1,L81&lt;=J81/4,K81&gt;J81+L81),"PASS","FAIL")</x:f>
        <x:v>PASS</x:v>
      </x:c>
      <x:c r="Q81" s="11" t="str">
        <x:f>IF(P81&lt;&gt;"PASS","FAIL",IF(O81=1,"PASS","OPEN"))</x:f>
        <x:v>OPEN</x:v>
      </x:c>
    </x:row>
    <x:row r="82">
      <x:c r="B82" s="11" t="str">
        <x:v>RA-SA2-04-A1-T3</x:v>
      </x:c>
      <x:c r="C82" s="11" t="str">
        <x:v>RA-SA2-04-A1</x:v>
      </x:c>
      <x:c r="D82" s="11" t="str">
        <x:v>SA2</x:v>
      </x:c>
      <x:c r="E82" s="11" t="str">
        <x:v>A</x:v>
      </x:c>
      <x:c r="F82" s="11" t="str">
        <x:v>T3</x:v>
      </x:c>
      <x:c r="G82" s="11" t="str">
        <x:v>decision boundary</x:v>
      </x:c>
      <x:c r="H82" s="11" t="str">
        <x:v>interface slip</x:v>
      </x:c>
      <x:c r="I82" s="11" t="str">
        <x:v>mm</x:v>
      </x:c>
      <x:c r="J82" s="17" t="n">
        <x:v>0.5</x:v>
      </x:c>
      <x:c r="K82" s="17" t="n">
        <x:v>0.5</x:v>
      </x:c>
      <x:c r="L82" s="17" t="n">
        <x:v>0.05</x:v>
      </x:c>
      <x:c r="M82" s="11" t="str">
        <x:v>INDETERMINATE</x:v>
      </x:c>
      <x:c r="N82" s="11" t="n">
        <x:v>1</x:v>
      </x:c>
      <x:c r="O82" s="13" t="n">
        <x:v>0</x:v>
      </x:c>
      <x:c r="P82" s="11" t="str">
        <x:f>IF(AND(N82=1,L82&lt;=J82/4,ABS(K82-J82)&lt;=L82),"PASS","FAIL")</x:f>
        <x:v>PASS</x:v>
      </x:c>
      <x:c r="Q82" s="11" t="str">
        <x:f>IF(P82&lt;&gt;"PASS","FAIL",IF(O82=1,"PASS","OPEN"))</x:f>
        <x:v>OPEN</x:v>
      </x:c>
    </x:row>
    <x:row r="83">
      <x:c r="B83" s="11" t="str">
        <x:v>RA-SA2-04-A2-T0</x:v>
      </x:c>
      <x:c r="C83" s="11" t="str">
        <x:v>RA-SA2-04-A2</x:v>
      </x:c>
      <x:c r="D83" s="11" t="str">
        <x:v>SA2</x:v>
      </x:c>
      <x:c r="E83" s="11" t="str">
        <x:v>A</x:v>
      </x:c>
      <x:c r="F83" s="11" t="str">
        <x:v>T0</x:v>
      </x:c>
      <x:c r="G83" s="11" t="str">
        <x:v>datum and blank</x:v>
      </x:c>
      <x:c r="H83" s="11" t="str">
        <x:v>interface slip</x:v>
      </x:c>
      <x:c r="I83" s="11" t="str">
        <x:v>mm</x:v>
      </x:c>
      <x:c r="J83" s="17" t="n">
        <x:v>0.5</x:v>
      </x:c>
      <x:c r="K83" s="17" t="n">
        <x:v>0</x:v>
      </x:c>
      <x:c r="L83" s="17" t="n">
        <x:v>0.05</x:v>
      </x:c>
      <x:c r="M83" s="11" t="str">
        <x:v>ACCEPT</x:v>
      </x:c>
      <x:c r="N83" s="11" t="n">
        <x:v>1</x:v>
      </x:c>
      <x:c r="O83" s="13" t="n">
        <x:v>0</x:v>
      </x:c>
      <x:c r="P83" s="11" t="str">
        <x:f>IF(AND(N83=1,L83&lt;=J83/4,K83=0),"PASS","FAIL")</x:f>
        <x:v>PASS</x:v>
      </x:c>
      <x:c r="Q83" s="11" t="str">
        <x:f>IF(P83&lt;&gt;"PASS","FAIL",IF(O83=1,"PASS","OPEN"))</x:f>
        <x:v>OPEN</x:v>
      </x:c>
    </x:row>
    <x:row r="84">
      <x:c r="B84" s="11" t="str">
        <x:v>RA-SA2-04-A2-T1</x:v>
      </x:c>
      <x:c r="C84" s="11" t="str">
        <x:v>RA-SA2-04-A2</x:v>
      </x:c>
      <x:c r="D84" s="11" t="str">
        <x:v>SA2</x:v>
      </x:c>
      <x:c r="E84" s="11" t="str">
        <x:v>A</x:v>
      </x:c>
      <x:c r="F84" s="11" t="str">
        <x:v>T1</x:v>
      </x:c>
      <x:c r="G84" s="11" t="str">
        <x:v>known compliant</x:v>
      </x:c>
      <x:c r="H84" s="11" t="str">
        <x:v>interface slip</x:v>
      </x:c>
      <x:c r="I84" s="11" t="str">
        <x:v>mm</x:v>
      </x:c>
      <x:c r="J84" s="17" t="n">
        <x:v>0.5</x:v>
      </x:c>
      <x:c r="K84" s="17" t="n">
        <x:v>0.25</x:v>
      </x:c>
      <x:c r="L84" s="17" t="n">
        <x:v>0.05</x:v>
      </x:c>
      <x:c r="M84" s="11" t="str">
        <x:v>ACCEPT</x:v>
      </x:c>
      <x:c r="N84" s="11" t="n">
        <x:v>1</x:v>
      </x:c>
      <x:c r="O84" s="13" t="n">
        <x:v>0</x:v>
      </x:c>
      <x:c r="P84" s="11" t="str">
        <x:f>IF(AND(N84=1,L84&lt;=J84/4,K84&lt;J84-L84),"PASS","FAIL")</x:f>
        <x:v>PASS</x:v>
      </x:c>
      <x:c r="Q84" s="11" t="str">
        <x:f>IF(P84&lt;&gt;"PASS","FAIL",IF(O84=1,"PASS","OPEN"))</x:f>
        <x:v>OPEN</x:v>
      </x:c>
    </x:row>
    <x:row r="85">
      <x:c r="B85" s="11" t="str">
        <x:v>RA-SA2-04-A2-T2</x:v>
      </x:c>
      <x:c r="C85" s="11" t="str">
        <x:v>RA-SA2-04-A2</x:v>
      </x:c>
      <x:c r="D85" s="11" t="str">
        <x:v>SA2</x:v>
      </x:c>
      <x:c r="E85" s="11" t="str">
        <x:v>A</x:v>
      </x:c>
      <x:c r="F85" s="11" t="str">
        <x:v>T2</x:v>
      </x:c>
      <x:c r="G85" s="11" t="str">
        <x:v>known nonconforming</x:v>
      </x:c>
      <x:c r="H85" s="11" t="str">
        <x:v>interface slip</x:v>
      </x:c>
      <x:c r="I85" s="11" t="str">
        <x:v>mm</x:v>
      </x:c>
      <x:c r="J85" s="17" t="n">
        <x:v>0.5</x:v>
      </x:c>
      <x:c r="K85" s="17" t="n">
        <x:v>0.75</x:v>
      </x:c>
      <x:c r="L85" s="17" t="n">
        <x:v>0.05</x:v>
      </x:c>
      <x:c r="M85" s="11" t="str">
        <x:v>REJECT</x:v>
      </x:c>
      <x:c r="N85" s="11" t="n">
        <x:v>1</x:v>
      </x:c>
      <x:c r="O85" s="13" t="n">
        <x:v>0</x:v>
      </x:c>
      <x:c r="P85" s="11" t="str">
        <x:f>IF(AND(N85=1,L85&lt;=J85/4,K85&gt;J85+L85),"PASS","FAIL")</x:f>
        <x:v>PASS</x:v>
      </x:c>
      <x:c r="Q85" s="11" t="str">
        <x:f>IF(P85&lt;&gt;"PASS","FAIL",IF(O85=1,"PASS","OPEN"))</x:f>
        <x:v>OPEN</x:v>
      </x:c>
    </x:row>
    <x:row r="86">
      <x:c r="B86" s="11" t="str">
        <x:v>RA-SA2-04-A2-T3</x:v>
      </x:c>
      <x:c r="C86" s="11" t="str">
        <x:v>RA-SA2-04-A2</x:v>
      </x:c>
      <x:c r="D86" s="11" t="str">
        <x:v>SA2</x:v>
      </x:c>
      <x:c r="E86" s="11" t="str">
        <x:v>A</x:v>
      </x:c>
      <x:c r="F86" s="11" t="str">
        <x:v>T3</x:v>
      </x:c>
      <x:c r="G86" s="11" t="str">
        <x:v>decision boundary</x:v>
      </x:c>
      <x:c r="H86" s="11" t="str">
        <x:v>interface slip</x:v>
      </x:c>
      <x:c r="I86" s="11" t="str">
        <x:v>mm</x:v>
      </x:c>
      <x:c r="J86" s="17" t="n">
        <x:v>0.5</x:v>
      </x:c>
      <x:c r="K86" s="17" t="n">
        <x:v>0.5</x:v>
      </x:c>
      <x:c r="L86" s="17" t="n">
        <x:v>0.05</x:v>
      </x:c>
      <x:c r="M86" s="11" t="str">
        <x:v>INDETERMINATE</x:v>
      </x:c>
      <x:c r="N86" s="11" t="n">
        <x:v>1</x:v>
      </x:c>
      <x:c r="O86" s="13" t="n">
        <x:v>0</x:v>
      </x:c>
      <x:c r="P86" s="11" t="str">
        <x:f>IF(AND(N86=1,L86&lt;=J86/4,ABS(K86-J86)&lt;=L86),"PASS","FAIL")</x:f>
        <x:v>PASS</x:v>
      </x:c>
      <x:c r="Q86" s="11" t="str">
        <x:f>IF(P86&lt;&gt;"PASS","FAIL",IF(O86=1,"PASS","OPEN"))</x:f>
        <x:v>OPEN</x:v>
      </x:c>
    </x:row>
    <x:row r="87">
      <x:c r="B87" s="11" t="str">
        <x:v>RA-SA2-04-A3-T0</x:v>
      </x:c>
      <x:c r="C87" s="11" t="str">
        <x:v>RA-SA2-04-A3</x:v>
      </x:c>
      <x:c r="D87" s="11" t="str">
        <x:v>SA2</x:v>
      </x:c>
      <x:c r="E87" s="11" t="str">
        <x:v>A</x:v>
      </x:c>
      <x:c r="F87" s="11" t="str">
        <x:v>T0</x:v>
      </x:c>
      <x:c r="G87" s="11" t="str">
        <x:v>datum and blank</x:v>
      </x:c>
      <x:c r="H87" s="11" t="str">
        <x:v>interface slip</x:v>
      </x:c>
      <x:c r="I87" s="11" t="str">
        <x:v>mm</x:v>
      </x:c>
      <x:c r="J87" s="17" t="n">
        <x:v>0.5</x:v>
      </x:c>
      <x:c r="K87" s="17" t="n">
        <x:v>0</x:v>
      </x:c>
      <x:c r="L87" s="17" t="n">
        <x:v>0.05</x:v>
      </x:c>
      <x:c r="M87" s="11" t="str">
        <x:v>ACCEPT</x:v>
      </x:c>
      <x:c r="N87" s="11" t="n">
        <x:v>1</x:v>
      </x:c>
      <x:c r="O87" s="13" t="n">
        <x:v>0</x:v>
      </x:c>
      <x:c r="P87" s="11" t="str">
        <x:f>IF(AND(N87=1,L87&lt;=J87/4,K87=0),"PASS","FAIL")</x:f>
        <x:v>PASS</x:v>
      </x:c>
      <x:c r="Q87" s="11" t="str">
        <x:f>IF(P87&lt;&gt;"PASS","FAIL",IF(O87=1,"PASS","OPEN"))</x:f>
        <x:v>OPEN</x:v>
      </x:c>
    </x:row>
    <x:row r="88">
      <x:c r="B88" s="11" t="str">
        <x:v>RA-SA2-04-A3-T1</x:v>
      </x:c>
      <x:c r="C88" s="11" t="str">
        <x:v>RA-SA2-04-A3</x:v>
      </x:c>
      <x:c r="D88" s="11" t="str">
        <x:v>SA2</x:v>
      </x:c>
      <x:c r="E88" s="11" t="str">
        <x:v>A</x:v>
      </x:c>
      <x:c r="F88" s="11" t="str">
        <x:v>T1</x:v>
      </x:c>
      <x:c r="G88" s="11" t="str">
        <x:v>known compliant</x:v>
      </x:c>
      <x:c r="H88" s="11" t="str">
        <x:v>interface slip</x:v>
      </x:c>
      <x:c r="I88" s="11" t="str">
        <x:v>mm</x:v>
      </x:c>
      <x:c r="J88" s="17" t="n">
        <x:v>0.5</x:v>
      </x:c>
      <x:c r="K88" s="17" t="n">
        <x:v>0.25</x:v>
      </x:c>
      <x:c r="L88" s="17" t="n">
        <x:v>0.05</x:v>
      </x:c>
      <x:c r="M88" s="11" t="str">
        <x:v>ACCEPT</x:v>
      </x:c>
      <x:c r="N88" s="11" t="n">
        <x:v>1</x:v>
      </x:c>
      <x:c r="O88" s="13" t="n">
        <x:v>0</x:v>
      </x:c>
      <x:c r="P88" s="11" t="str">
        <x:f>IF(AND(N88=1,L88&lt;=J88/4,K88&lt;J88-L88),"PASS","FAIL")</x:f>
        <x:v>PASS</x:v>
      </x:c>
      <x:c r="Q88" s="11" t="str">
        <x:f>IF(P88&lt;&gt;"PASS","FAIL",IF(O88=1,"PASS","OPEN"))</x:f>
        <x:v>OPEN</x:v>
      </x:c>
    </x:row>
    <x:row r="89">
      <x:c r="B89" s="11" t="str">
        <x:v>RA-SA2-04-A3-T2</x:v>
      </x:c>
      <x:c r="C89" s="11" t="str">
        <x:v>RA-SA2-04-A3</x:v>
      </x:c>
      <x:c r="D89" s="11" t="str">
        <x:v>SA2</x:v>
      </x:c>
      <x:c r="E89" s="11" t="str">
        <x:v>A</x:v>
      </x:c>
      <x:c r="F89" s="11" t="str">
        <x:v>T2</x:v>
      </x:c>
      <x:c r="G89" s="11" t="str">
        <x:v>known nonconforming</x:v>
      </x:c>
      <x:c r="H89" s="11" t="str">
        <x:v>interface slip</x:v>
      </x:c>
      <x:c r="I89" s="11" t="str">
        <x:v>mm</x:v>
      </x:c>
      <x:c r="J89" s="17" t="n">
        <x:v>0.5</x:v>
      </x:c>
      <x:c r="K89" s="17" t="n">
        <x:v>0.75</x:v>
      </x:c>
      <x:c r="L89" s="17" t="n">
        <x:v>0.05</x:v>
      </x:c>
      <x:c r="M89" s="11" t="str">
        <x:v>REJECT</x:v>
      </x:c>
      <x:c r="N89" s="11" t="n">
        <x:v>1</x:v>
      </x:c>
      <x:c r="O89" s="13" t="n">
        <x:v>0</x:v>
      </x:c>
      <x:c r="P89" s="11" t="str">
        <x:f>IF(AND(N89=1,L89&lt;=J89/4,K89&gt;J89+L89),"PASS","FAIL")</x:f>
        <x:v>PASS</x:v>
      </x:c>
      <x:c r="Q89" s="11" t="str">
        <x:f>IF(P89&lt;&gt;"PASS","FAIL",IF(O89=1,"PASS","OPEN"))</x:f>
        <x:v>OPEN</x:v>
      </x:c>
    </x:row>
    <x:row r="90">
      <x:c r="B90" s="11" t="str">
        <x:v>RA-SA2-04-A3-T3</x:v>
      </x:c>
      <x:c r="C90" s="11" t="str">
        <x:v>RA-SA2-04-A3</x:v>
      </x:c>
      <x:c r="D90" s="11" t="str">
        <x:v>SA2</x:v>
      </x:c>
      <x:c r="E90" s="11" t="str">
        <x:v>A</x:v>
      </x:c>
      <x:c r="F90" s="11" t="str">
        <x:v>T3</x:v>
      </x:c>
      <x:c r="G90" s="11" t="str">
        <x:v>decision boundary</x:v>
      </x:c>
      <x:c r="H90" s="11" t="str">
        <x:v>interface slip</x:v>
      </x:c>
      <x:c r="I90" s="11" t="str">
        <x:v>mm</x:v>
      </x:c>
      <x:c r="J90" s="17" t="n">
        <x:v>0.5</x:v>
      </x:c>
      <x:c r="K90" s="17" t="n">
        <x:v>0.5</x:v>
      </x:c>
      <x:c r="L90" s="17" t="n">
        <x:v>0.05</x:v>
      </x:c>
      <x:c r="M90" s="11" t="str">
        <x:v>INDETERMINATE</x:v>
      </x:c>
      <x:c r="N90" s="11" t="n">
        <x:v>1</x:v>
      </x:c>
      <x:c r="O90" s="13" t="n">
        <x:v>0</x:v>
      </x:c>
      <x:c r="P90" s="11" t="str">
        <x:f>IF(AND(N90=1,L90&lt;=J90/4,ABS(K90-J90)&lt;=L90),"PASS","FAIL")</x:f>
        <x:v>PASS</x:v>
      </x:c>
      <x:c r="Q90" s="11" t="str">
        <x:f>IF(P90&lt;&gt;"PASS","FAIL",IF(O90=1,"PASS","OPEN"))</x:f>
        <x:v>OPEN</x:v>
      </x:c>
    </x:row>
    <x:row r="91">
      <x:c r="B91" s="11" t="str">
        <x:v>RA-SA2-04-B1-T0</x:v>
      </x:c>
      <x:c r="C91" s="11" t="str">
        <x:v>RA-SA2-04-B1</x:v>
      </x:c>
      <x:c r="D91" s="11" t="str">
        <x:v>SA2</x:v>
      </x:c>
      <x:c r="E91" s="11" t="str">
        <x:v>B</x:v>
      </x:c>
      <x:c r="F91" s="11" t="str">
        <x:v>T0</x:v>
      </x:c>
      <x:c r="G91" s="11" t="str">
        <x:v>datum and blank</x:v>
      </x:c>
      <x:c r="H91" s="11" t="str">
        <x:v>interface slip</x:v>
      </x:c>
      <x:c r="I91" s="11" t="str">
        <x:v>mm</x:v>
      </x:c>
      <x:c r="J91" s="17" t="n">
        <x:v>0.5</x:v>
      </x:c>
      <x:c r="K91" s="17" t="n">
        <x:v>0</x:v>
      </x:c>
      <x:c r="L91" s="17" t="n">
        <x:v>0.05</x:v>
      </x:c>
      <x:c r="M91" s="11" t="str">
        <x:v>ACCEPT</x:v>
      </x:c>
      <x:c r="N91" s="11" t="n">
        <x:v>1</x:v>
      </x:c>
      <x:c r="O91" s="13" t="n">
        <x:v>0</x:v>
      </x:c>
      <x:c r="P91" s="11" t="str">
        <x:f>IF(AND(N91=1,L91&lt;=J91/4,K91=0),"PASS","FAIL")</x:f>
        <x:v>PASS</x:v>
      </x:c>
      <x:c r="Q91" s="11" t="str">
        <x:f>IF(P91&lt;&gt;"PASS","FAIL",IF(O91=1,"PASS","OPEN"))</x:f>
        <x:v>OPEN</x:v>
      </x:c>
    </x:row>
    <x:row r="92">
      <x:c r="B92" s="11" t="str">
        <x:v>RA-SA2-04-B1-T1</x:v>
      </x:c>
      <x:c r="C92" s="11" t="str">
        <x:v>RA-SA2-04-B1</x:v>
      </x:c>
      <x:c r="D92" s="11" t="str">
        <x:v>SA2</x:v>
      </x:c>
      <x:c r="E92" s="11" t="str">
        <x:v>B</x:v>
      </x:c>
      <x:c r="F92" s="11" t="str">
        <x:v>T1</x:v>
      </x:c>
      <x:c r="G92" s="11" t="str">
        <x:v>known compliant</x:v>
      </x:c>
      <x:c r="H92" s="11" t="str">
        <x:v>interface slip</x:v>
      </x:c>
      <x:c r="I92" s="11" t="str">
        <x:v>mm</x:v>
      </x:c>
      <x:c r="J92" s="17" t="n">
        <x:v>0.5</x:v>
      </x:c>
      <x:c r="K92" s="17" t="n">
        <x:v>0.25</x:v>
      </x:c>
      <x:c r="L92" s="17" t="n">
        <x:v>0.05</x:v>
      </x:c>
      <x:c r="M92" s="11" t="str">
        <x:v>ACCEPT</x:v>
      </x:c>
      <x:c r="N92" s="11" t="n">
        <x:v>1</x:v>
      </x:c>
      <x:c r="O92" s="13" t="n">
        <x:v>0</x:v>
      </x:c>
      <x:c r="P92" s="11" t="str">
        <x:f>IF(AND(N92=1,L92&lt;=J92/4,K92&lt;J92-L92),"PASS","FAIL")</x:f>
        <x:v>PASS</x:v>
      </x:c>
      <x:c r="Q92" s="11" t="str">
        <x:f>IF(P92&lt;&gt;"PASS","FAIL",IF(O92=1,"PASS","OPEN"))</x:f>
        <x:v>OPEN</x:v>
      </x:c>
    </x:row>
    <x:row r="93">
      <x:c r="B93" s="11" t="str">
        <x:v>RA-SA2-04-B1-T2</x:v>
      </x:c>
      <x:c r="C93" s="11" t="str">
        <x:v>RA-SA2-04-B1</x:v>
      </x:c>
      <x:c r="D93" s="11" t="str">
        <x:v>SA2</x:v>
      </x:c>
      <x:c r="E93" s="11" t="str">
        <x:v>B</x:v>
      </x:c>
      <x:c r="F93" s="11" t="str">
        <x:v>T2</x:v>
      </x:c>
      <x:c r="G93" s="11" t="str">
        <x:v>known nonconforming</x:v>
      </x:c>
      <x:c r="H93" s="11" t="str">
        <x:v>interface slip</x:v>
      </x:c>
      <x:c r="I93" s="11" t="str">
        <x:v>mm</x:v>
      </x:c>
      <x:c r="J93" s="17" t="n">
        <x:v>0.5</x:v>
      </x:c>
      <x:c r="K93" s="17" t="n">
        <x:v>0.75</x:v>
      </x:c>
      <x:c r="L93" s="17" t="n">
        <x:v>0.05</x:v>
      </x:c>
      <x:c r="M93" s="11" t="str">
        <x:v>REJECT</x:v>
      </x:c>
      <x:c r="N93" s="11" t="n">
        <x:v>1</x:v>
      </x:c>
      <x:c r="O93" s="13" t="n">
        <x:v>0</x:v>
      </x:c>
      <x:c r="P93" s="11" t="str">
        <x:f>IF(AND(N93=1,L93&lt;=J93/4,K93&gt;J93+L93),"PASS","FAIL")</x:f>
        <x:v>PASS</x:v>
      </x:c>
      <x:c r="Q93" s="11" t="str">
        <x:f>IF(P93&lt;&gt;"PASS","FAIL",IF(O93=1,"PASS","OPEN"))</x:f>
        <x:v>OPEN</x:v>
      </x:c>
    </x:row>
    <x:row r="94">
      <x:c r="B94" s="11" t="str">
        <x:v>RA-SA2-04-B1-T3</x:v>
      </x:c>
      <x:c r="C94" s="11" t="str">
        <x:v>RA-SA2-04-B1</x:v>
      </x:c>
      <x:c r="D94" s="11" t="str">
        <x:v>SA2</x:v>
      </x:c>
      <x:c r="E94" s="11" t="str">
        <x:v>B</x:v>
      </x:c>
      <x:c r="F94" s="11" t="str">
        <x:v>T3</x:v>
      </x:c>
      <x:c r="G94" s="11" t="str">
        <x:v>decision boundary</x:v>
      </x:c>
      <x:c r="H94" s="11" t="str">
        <x:v>interface slip</x:v>
      </x:c>
      <x:c r="I94" s="11" t="str">
        <x:v>mm</x:v>
      </x:c>
      <x:c r="J94" s="17" t="n">
        <x:v>0.5</x:v>
      </x:c>
      <x:c r="K94" s="17" t="n">
        <x:v>0.5</x:v>
      </x:c>
      <x:c r="L94" s="17" t="n">
        <x:v>0.05</x:v>
      </x:c>
      <x:c r="M94" s="11" t="str">
        <x:v>INDETERMINATE</x:v>
      </x:c>
      <x:c r="N94" s="11" t="n">
        <x:v>1</x:v>
      </x:c>
      <x:c r="O94" s="13" t="n">
        <x:v>0</x:v>
      </x:c>
      <x:c r="P94" s="11" t="str">
        <x:f>IF(AND(N94=1,L94&lt;=J94/4,ABS(K94-J94)&lt;=L94),"PASS","FAIL")</x:f>
        <x:v>PASS</x:v>
      </x:c>
      <x:c r="Q94" s="11" t="str">
        <x:f>IF(P94&lt;&gt;"PASS","FAIL",IF(O94=1,"PASS","OPEN"))</x:f>
        <x:v>OPEN</x:v>
      </x:c>
    </x:row>
    <x:row r="95">
      <x:c r="B95" s="11" t="str">
        <x:v>RA-SA2-04-B2-T0</x:v>
      </x:c>
      <x:c r="C95" s="11" t="str">
        <x:v>RA-SA2-04-B2</x:v>
      </x:c>
      <x:c r="D95" s="11" t="str">
        <x:v>SA2</x:v>
      </x:c>
      <x:c r="E95" s="11" t="str">
        <x:v>B</x:v>
      </x:c>
      <x:c r="F95" s="11" t="str">
        <x:v>T0</x:v>
      </x:c>
      <x:c r="G95" s="11" t="str">
        <x:v>datum and blank</x:v>
      </x:c>
      <x:c r="H95" s="11" t="str">
        <x:v>interface slip</x:v>
      </x:c>
      <x:c r="I95" s="11" t="str">
        <x:v>mm</x:v>
      </x:c>
      <x:c r="J95" s="17" t="n">
        <x:v>0.5</x:v>
      </x:c>
      <x:c r="K95" s="17" t="n">
        <x:v>0</x:v>
      </x:c>
      <x:c r="L95" s="17" t="n">
        <x:v>0.05</x:v>
      </x:c>
      <x:c r="M95" s="11" t="str">
        <x:v>ACCEPT</x:v>
      </x:c>
      <x:c r="N95" s="11" t="n">
        <x:v>1</x:v>
      </x:c>
      <x:c r="O95" s="13" t="n">
        <x:v>0</x:v>
      </x:c>
      <x:c r="P95" s="11" t="str">
        <x:f>IF(AND(N95=1,L95&lt;=J95/4,K95=0),"PASS","FAIL")</x:f>
        <x:v>PASS</x:v>
      </x:c>
      <x:c r="Q95" s="11" t="str">
        <x:f>IF(P95&lt;&gt;"PASS","FAIL",IF(O95=1,"PASS","OPEN"))</x:f>
        <x:v>OPEN</x:v>
      </x:c>
    </x:row>
    <x:row r="96">
      <x:c r="B96" s="11" t="str">
        <x:v>RA-SA2-04-B2-T1</x:v>
      </x:c>
      <x:c r="C96" s="11" t="str">
        <x:v>RA-SA2-04-B2</x:v>
      </x:c>
      <x:c r="D96" s="11" t="str">
        <x:v>SA2</x:v>
      </x:c>
      <x:c r="E96" s="11" t="str">
        <x:v>B</x:v>
      </x:c>
      <x:c r="F96" s="11" t="str">
        <x:v>T1</x:v>
      </x:c>
      <x:c r="G96" s="11" t="str">
        <x:v>known compliant</x:v>
      </x:c>
      <x:c r="H96" s="11" t="str">
        <x:v>interface slip</x:v>
      </x:c>
      <x:c r="I96" s="11" t="str">
        <x:v>mm</x:v>
      </x:c>
      <x:c r="J96" s="17" t="n">
        <x:v>0.5</x:v>
      </x:c>
      <x:c r="K96" s="17" t="n">
        <x:v>0.25</x:v>
      </x:c>
      <x:c r="L96" s="17" t="n">
        <x:v>0.05</x:v>
      </x:c>
      <x:c r="M96" s="11" t="str">
        <x:v>ACCEPT</x:v>
      </x:c>
      <x:c r="N96" s="11" t="n">
        <x:v>1</x:v>
      </x:c>
      <x:c r="O96" s="13" t="n">
        <x:v>0</x:v>
      </x:c>
      <x:c r="P96" s="11" t="str">
        <x:f>IF(AND(N96=1,L96&lt;=J96/4,K96&lt;J96-L96),"PASS","FAIL")</x:f>
        <x:v>PASS</x:v>
      </x:c>
      <x:c r="Q96" s="11" t="str">
        <x:f>IF(P96&lt;&gt;"PASS","FAIL",IF(O96=1,"PASS","OPEN"))</x:f>
        <x:v>OPEN</x:v>
      </x:c>
    </x:row>
    <x:row r="97">
      <x:c r="B97" s="11" t="str">
        <x:v>RA-SA2-04-B2-T2</x:v>
      </x:c>
      <x:c r="C97" s="11" t="str">
        <x:v>RA-SA2-04-B2</x:v>
      </x:c>
      <x:c r="D97" s="11" t="str">
        <x:v>SA2</x:v>
      </x:c>
      <x:c r="E97" s="11" t="str">
        <x:v>B</x:v>
      </x:c>
      <x:c r="F97" s="11" t="str">
        <x:v>T2</x:v>
      </x:c>
      <x:c r="G97" s="11" t="str">
        <x:v>known nonconforming</x:v>
      </x:c>
      <x:c r="H97" s="11" t="str">
        <x:v>interface slip</x:v>
      </x:c>
      <x:c r="I97" s="11" t="str">
        <x:v>mm</x:v>
      </x:c>
      <x:c r="J97" s="17" t="n">
        <x:v>0.5</x:v>
      </x:c>
      <x:c r="K97" s="17" t="n">
        <x:v>0.75</x:v>
      </x:c>
      <x:c r="L97" s="17" t="n">
        <x:v>0.05</x:v>
      </x:c>
      <x:c r="M97" s="11" t="str">
        <x:v>REJECT</x:v>
      </x:c>
      <x:c r="N97" s="11" t="n">
        <x:v>1</x:v>
      </x:c>
      <x:c r="O97" s="13" t="n">
        <x:v>0</x:v>
      </x:c>
      <x:c r="P97" s="11" t="str">
        <x:f>IF(AND(N97=1,L97&lt;=J97/4,K97&gt;J97+L97),"PASS","FAIL")</x:f>
        <x:v>PASS</x:v>
      </x:c>
      <x:c r="Q97" s="11" t="str">
        <x:f>IF(P97&lt;&gt;"PASS","FAIL",IF(O97=1,"PASS","OPEN"))</x:f>
        <x:v>OPEN</x:v>
      </x:c>
    </x:row>
    <x:row r="98">
      <x:c r="B98" s="11" t="str">
        <x:v>RA-SA2-04-B2-T3</x:v>
      </x:c>
      <x:c r="C98" s="11" t="str">
        <x:v>RA-SA2-04-B2</x:v>
      </x:c>
      <x:c r="D98" s="11" t="str">
        <x:v>SA2</x:v>
      </x:c>
      <x:c r="E98" s="11" t="str">
        <x:v>B</x:v>
      </x:c>
      <x:c r="F98" s="11" t="str">
        <x:v>T3</x:v>
      </x:c>
      <x:c r="G98" s="11" t="str">
        <x:v>decision boundary</x:v>
      </x:c>
      <x:c r="H98" s="11" t="str">
        <x:v>interface slip</x:v>
      </x:c>
      <x:c r="I98" s="11" t="str">
        <x:v>mm</x:v>
      </x:c>
      <x:c r="J98" s="17" t="n">
        <x:v>0.5</x:v>
      </x:c>
      <x:c r="K98" s="17" t="n">
        <x:v>0.5</x:v>
      </x:c>
      <x:c r="L98" s="17" t="n">
        <x:v>0.05</x:v>
      </x:c>
      <x:c r="M98" s="11" t="str">
        <x:v>INDETERMINATE</x:v>
      </x:c>
      <x:c r="N98" s="11" t="n">
        <x:v>1</x:v>
      </x:c>
      <x:c r="O98" s="13" t="n">
        <x:v>0</x:v>
      </x:c>
      <x:c r="P98" s="11" t="str">
        <x:f>IF(AND(N98=1,L98&lt;=J98/4,ABS(K98-J98)&lt;=L98),"PASS","FAIL")</x:f>
        <x:v>PASS</x:v>
      </x:c>
      <x:c r="Q98" s="11" t="str">
        <x:f>IF(P98&lt;&gt;"PASS","FAIL",IF(O98=1,"PASS","OPEN"))</x:f>
        <x:v>OPEN</x:v>
      </x:c>
    </x:row>
    <x:row r="99">
      <x:c r="B99" s="11" t="str">
        <x:v>RA-SA2-04-B3-T0</x:v>
      </x:c>
      <x:c r="C99" s="11" t="str">
        <x:v>RA-SA2-04-B3</x:v>
      </x:c>
      <x:c r="D99" s="11" t="str">
        <x:v>SA2</x:v>
      </x:c>
      <x:c r="E99" s="11" t="str">
        <x:v>B</x:v>
      </x:c>
      <x:c r="F99" s="11" t="str">
        <x:v>T0</x:v>
      </x:c>
      <x:c r="G99" s="11" t="str">
        <x:v>datum and blank</x:v>
      </x:c>
      <x:c r="H99" s="11" t="str">
        <x:v>interface slip</x:v>
      </x:c>
      <x:c r="I99" s="11" t="str">
        <x:v>mm</x:v>
      </x:c>
      <x:c r="J99" s="17" t="n">
        <x:v>0.5</x:v>
      </x:c>
      <x:c r="K99" s="17" t="n">
        <x:v>0</x:v>
      </x:c>
      <x:c r="L99" s="17" t="n">
        <x:v>0.05</x:v>
      </x:c>
      <x:c r="M99" s="11" t="str">
        <x:v>ACCEPT</x:v>
      </x:c>
      <x:c r="N99" s="11" t="n">
        <x:v>1</x:v>
      </x:c>
      <x:c r="O99" s="13" t="n">
        <x:v>0</x:v>
      </x:c>
      <x:c r="P99" s="11" t="str">
        <x:f>IF(AND(N99=1,L99&lt;=J99/4,K99=0),"PASS","FAIL")</x:f>
        <x:v>PASS</x:v>
      </x:c>
      <x:c r="Q99" s="11" t="str">
        <x:f>IF(P99&lt;&gt;"PASS","FAIL",IF(O99=1,"PASS","OPEN"))</x:f>
        <x:v>OPEN</x:v>
      </x:c>
    </x:row>
    <x:row r="100">
      <x:c r="B100" s="11" t="str">
        <x:v>RA-SA2-04-B3-T1</x:v>
      </x:c>
      <x:c r="C100" s="11" t="str">
        <x:v>RA-SA2-04-B3</x:v>
      </x:c>
      <x:c r="D100" s="11" t="str">
        <x:v>SA2</x:v>
      </x:c>
      <x:c r="E100" s="11" t="str">
        <x:v>B</x:v>
      </x:c>
      <x:c r="F100" s="11" t="str">
        <x:v>T1</x:v>
      </x:c>
      <x:c r="G100" s="11" t="str">
        <x:v>known compliant</x:v>
      </x:c>
      <x:c r="H100" s="11" t="str">
        <x:v>interface slip</x:v>
      </x:c>
      <x:c r="I100" s="11" t="str">
        <x:v>mm</x:v>
      </x:c>
      <x:c r="J100" s="17" t="n">
        <x:v>0.5</x:v>
      </x:c>
      <x:c r="K100" s="17" t="n">
        <x:v>0.25</x:v>
      </x:c>
      <x:c r="L100" s="17" t="n">
        <x:v>0.05</x:v>
      </x:c>
      <x:c r="M100" s="11" t="str">
        <x:v>ACCEPT</x:v>
      </x:c>
      <x:c r="N100" s="11" t="n">
        <x:v>1</x:v>
      </x:c>
      <x:c r="O100" s="13" t="n">
        <x:v>0</x:v>
      </x:c>
      <x:c r="P100" s="11" t="str">
        <x:f>IF(AND(N100=1,L100&lt;=J100/4,K100&lt;J100-L100),"PASS","FAIL")</x:f>
        <x:v>PASS</x:v>
      </x:c>
      <x:c r="Q100" s="11" t="str">
        <x:f>IF(P100&lt;&gt;"PASS","FAIL",IF(O100=1,"PASS","OPEN"))</x:f>
        <x:v>OPEN</x:v>
      </x:c>
    </x:row>
    <x:row r="101">
      <x:c r="B101" s="11" t="str">
        <x:v>RA-SA2-04-B3-T2</x:v>
      </x:c>
      <x:c r="C101" s="11" t="str">
        <x:v>RA-SA2-04-B3</x:v>
      </x:c>
      <x:c r="D101" s="11" t="str">
        <x:v>SA2</x:v>
      </x:c>
      <x:c r="E101" s="11" t="str">
        <x:v>B</x:v>
      </x:c>
      <x:c r="F101" s="11" t="str">
        <x:v>T2</x:v>
      </x:c>
      <x:c r="G101" s="11" t="str">
        <x:v>known nonconforming</x:v>
      </x:c>
      <x:c r="H101" s="11" t="str">
        <x:v>interface slip</x:v>
      </x:c>
      <x:c r="I101" s="11" t="str">
        <x:v>mm</x:v>
      </x:c>
      <x:c r="J101" s="17" t="n">
        <x:v>0.5</x:v>
      </x:c>
      <x:c r="K101" s="17" t="n">
        <x:v>0.75</x:v>
      </x:c>
      <x:c r="L101" s="17" t="n">
        <x:v>0.05</x:v>
      </x:c>
      <x:c r="M101" s="11" t="str">
        <x:v>REJECT</x:v>
      </x:c>
      <x:c r="N101" s="11" t="n">
        <x:v>1</x:v>
      </x:c>
      <x:c r="O101" s="13" t="n">
        <x:v>0</x:v>
      </x:c>
      <x:c r="P101" s="11" t="str">
        <x:f>IF(AND(N101=1,L101&lt;=J101/4,K101&gt;J101+L101),"PASS","FAIL")</x:f>
        <x:v>PASS</x:v>
      </x:c>
      <x:c r="Q101" s="11" t="str">
        <x:f>IF(P101&lt;&gt;"PASS","FAIL",IF(O101=1,"PASS","OPEN"))</x:f>
        <x:v>OPEN</x:v>
      </x:c>
    </x:row>
    <x:row r="102">
      <x:c r="B102" s="11" t="str">
        <x:v>RA-SA2-04-B3-T3</x:v>
      </x:c>
      <x:c r="C102" s="11" t="str">
        <x:v>RA-SA2-04-B3</x:v>
      </x:c>
      <x:c r="D102" s="11" t="str">
        <x:v>SA2</x:v>
      </x:c>
      <x:c r="E102" s="11" t="str">
        <x:v>B</x:v>
      </x:c>
      <x:c r="F102" s="11" t="str">
        <x:v>T3</x:v>
      </x:c>
      <x:c r="G102" s="11" t="str">
        <x:v>decision boundary</x:v>
      </x:c>
      <x:c r="H102" s="11" t="str">
        <x:v>interface slip</x:v>
      </x:c>
      <x:c r="I102" s="11" t="str">
        <x:v>mm</x:v>
      </x:c>
      <x:c r="J102" s="17" t="n">
        <x:v>0.5</x:v>
      </x:c>
      <x:c r="K102" s="17" t="n">
        <x:v>0.5</x:v>
      </x:c>
      <x:c r="L102" s="17" t="n">
        <x:v>0.05</x:v>
      </x:c>
      <x:c r="M102" s="11" t="str">
        <x:v>INDETERMINATE</x:v>
      </x:c>
      <x:c r="N102" s="11" t="n">
        <x:v>1</x:v>
      </x:c>
      <x:c r="O102" s="13" t="n">
        <x:v>0</x:v>
      </x:c>
      <x:c r="P102" s="11" t="str">
        <x:f>IF(AND(N102=1,L102&lt;=J102/4,ABS(K102-J102)&lt;=L102),"PASS","FAIL")</x:f>
        <x:v>PASS</x:v>
      </x:c>
      <x:c r="Q102" s="11" t="str">
        <x:f>IF(P102&lt;&gt;"PASS","FAIL",IF(O102=1,"PASS","OPEN"))</x:f>
        <x:v>OPEN</x:v>
      </x:c>
    </x:row>
    <x:row r="103">
      <x:c r="B103" s="11" t="str">
        <x:v>RA-SA3-05-A1-T0</x:v>
      </x:c>
      <x:c r="C103" s="11" t="str">
        <x:v>RA-SA3-05-A1</x:v>
      </x:c>
      <x:c r="D103" s="11" t="str">
        <x:v>SA3</x:v>
      </x:c>
      <x:c r="E103" s="11" t="str">
        <x:v>A</x:v>
      </x:c>
      <x:c r="F103" s="11" t="str">
        <x:v>T0</x:v>
      </x:c>
      <x:c r="G103" s="11" t="str">
        <x:v>datum and blank</x:v>
      </x:c>
      <x:c r="H103" s="11" t="str">
        <x:v>permanent bore change</x:v>
      </x:c>
      <x:c r="I103" s="11" t="str">
        <x:v>mm</x:v>
      </x:c>
      <x:c r="J103" s="17" t="n">
        <x:v>0.1</x:v>
      </x:c>
      <x:c r="K103" s="17" t="n">
        <x:v>0</x:v>
      </x:c>
      <x:c r="L103" s="17" t="n">
        <x:v>0.010000000000000002</x:v>
      </x:c>
      <x:c r="M103" s="11" t="str">
        <x:v>ACCEPT</x:v>
      </x:c>
      <x:c r="N103" s="11" t="n">
        <x:v>1</x:v>
      </x:c>
      <x:c r="O103" s="13" t="n">
        <x:v>0</x:v>
      </x:c>
      <x:c r="P103" s="11" t="str">
        <x:f>IF(AND(N103=1,L103&lt;=J103/4,K103=0),"PASS","FAIL")</x:f>
        <x:v>PASS</x:v>
      </x:c>
      <x:c r="Q103" s="11" t="str">
        <x:f>IF(P103&lt;&gt;"PASS","FAIL",IF(O103=1,"PASS","OPEN"))</x:f>
        <x:v>OPEN</x:v>
      </x:c>
    </x:row>
    <x:row r="104">
      <x:c r="B104" s="11" t="str">
        <x:v>RA-SA3-05-A1-T1</x:v>
      </x:c>
      <x:c r="C104" s="11" t="str">
        <x:v>RA-SA3-05-A1</x:v>
      </x:c>
      <x:c r="D104" s="11" t="str">
        <x:v>SA3</x:v>
      </x:c>
      <x:c r="E104" s="11" t="str">
        <x:v>A</x:v>
      </x:c>
      <x:c r="F104" s="11" t="str">
        <x:v>T1</x:v>
      </x:c>
      <x:c r="G104" s="11" t="str">
        <x:v>known compliant</x:v>
      </x:c>
      <x:c r="H104" s="11" t="str">
        <x:v>permanent bore change</x:v>
      </x:c>
      <x:c r="I104" s="11" t="str">
        <x:v>mm</x:v>
      </x:c>
      <x:c r="J104" s="17" t="n">
        <x:v>0.1</x:v>
      </x:c>
      <x:c r="K104" s="17" t="n">
        <x:v>0.049999999999999996</x:v>
      </x:c>
      <x:c r="L104" s="17" t="n">
        <x:v>0.010000000000000002</x:v>
      </x:c>
      <x:c r="M104" s="11" t="str">
        <x:v>ACCEPT</x:v>
      </x:c>
      <x:c r="N104" s="11" t="n">
        <x:v>1</x:v>
      </x:c>
      <x:c r="O104" s="13" t="n">
        <x:v>0</x:v>
      </x:c>
      <x:c r="P104" s="11" t="str">
        <x:f>IF(AND(N104=1,L104&lt;=J104/4,K104&lt;J104-L104),"PASS","FAIL")</x:f>
        <x:v>PASS</x:v>
      </x:c>
      <x:c r="Q104" s="11" t="str">
        <x:f>IF(P104&lt;&gt;"PASS","FAIL",IF(O104=1,"PASS","OPEN"))</x:f>
        <x:v>OPEN</x:v>
      </x:c>
    </x:row>
    <x:row r="105">
      <x:c r="B105" s="11" t="str">
        <x:v>RA-SA3-05-A1-T2</x:v>
      </x:c>
      <x:c r="C105" s="11" t="str">
        <x:v>RA-SA3-05-A1</x:v>
      </x:c>
      <x:c r="D105" s="11" t="str">
        <x:v>SA3</x:v>
      </x:c>
      <x:c r="E105" s="11" t="str">
        <x:v>A</x:v>
      </x:c>
      <x:c r="F105" s="11" t="str">
        <x:v>T2</x:v>
      </x:c>
      <x:c r="G105" s="11" t="str">
        <x:v>known nonconforming</x:v>
      </x:c>
      <x:c r="H105" s="11" t="str">
        <x:v>permanent bore change</x:v>
      </x:c>
      <x:c r="I105" s="11" t="str">
        <x:v>mm</x:v>
      </x:c>
      <x:c r="J105" s="17" t="n">
        <x:v>0.1</x:v>
      </x:c>
      <x:c r="K105" s="17" t="n">
        <x:v>0.15000000000000002</x:v>
      </x:c>
      <x:c r="L105" s="17" t="n">
        <x:v>0.010000000000000002</x:v>
      </x:c>
      <x:c r="M105" s="11" t="str">
        <x:v>REJECT</x:v>
      </x:c>
      <x:c r="N105" s="11" t="n">
        <x:v>1</x:v>
      </x:c>
      <x:c r="O105" s="13" t="n">
        <x:v>0</x:v>
      </x:c>
      <x:c r="P105" s="11" t="str">
        <x:f>IF(AND(N105=1,L105&lt;=J105/4,K105&gt;J105+L105),"PASS","FAIL")</x:f>
        <x:v>PASS</x:v>
      </x:c>
      <x:c r="Q105" s="11" t="str">
        <x:f>IF(P105&lt;&gt;"PASS","FAIL",IF(O105=1,"PASS","OPEN"))</x:f>
        <x:v>OPEN</x:v>
      </x:c>
    </x:row>
    <x:row r="106">
      <x:c r="B106" s="11" t="str">
        <x:v>RA-SA3-05-A1-T3</x:v>
      </x:c>
      <x:c r="C106" s="11" t="str">
        <x:v>RA-SA3-05-A1</x:v>
      </x:c>
      <x:c r="D106" s="11" t="str">
        <x:v>SA3</x:v>
      </x:c>
      <x:c r="E106" s="11" t="str">
        <x:v>A</x:v>
      </x:c>
      <x:c r="F106" s="11" t="str">
        <x:v>T3</x:v>
      </x:c>
      <x:c r="G106" s="11" t="str">
        <x:v>decision boundary</x:v>
      </x:c>
      <x:c r="H106" s="11" t="str">
        <x:v>permanent bore change</x:v>
      </x:c>
      <x:c r="I106" s="11" t="str">
        <x:v>mm</x:v>
      </x:c>
      <x:c r="J106" s="17" t="n">
        <x:v>0.1</x:v>
      </x:c>
      <x:c r="K106" s="17" t="n">
        <x:v>0.1</x:v>
      </x:c>
      <x:c r="L106" s="17" t="n">
        <x:v>0.010000000000000002</x:v>
      </x:c>
      <x:c r="M106" s="11" t="str">
        <x:v>INDETERMINATE</x:v>
      </x:c>
      <x:c r="N106" s="11" t="n">
        <x:v>1</x:v>
      </x:c>
      <x:c r="O106" s="13" t="n">
        <x:v>0</x:v>
      </x:c>
      <x:c r="P106" s="11" t="str">
        <x:f>IF(AND(N106=1,L106&lt;=J106/4,ABS(K106-J106)&lt;=L106),"PASS","FAIL")</x:f>
        <x:v>PASS</x:v>
      </x:c>
      <x:c r="Q106" s="11" t="str">
        <x:f>IF(P106&lt;&gt;"PASS","FAIL",IF(O106=1,"PASS","OPEN"))</x:f>
        <x:v>OPEN</x:v>
      </x:c>
    </x:row>
    <x:row r="107">
      <x:c r="B107" s="11" t="str">
        <x:v>RA-SA3-05-A2-T0</x:v>
      </x:c>
      <x:c r="C107" s="11" t="str">
        <x:v>RA-SA3-05-A2</x:v>
      </x:c>
      <x:c r="D107" s="11" t="str">
        <x:v>SA3</x:v>
      </x:c>
      <x:c r="E107" s="11" t="str">
        <x:v>A</x:v>
      </x:c>
      <x:c r="F107" s="11" t="str">
        <x:v>T0</x:v>
      </x:c>
      <x:c r="G107" s="11" t="str">
        <x:v>datum and blank</x:v>
      </x:c>
      <x:c r="H107" s="11" t="str">
        <x:v>permanent bore change</x:v>
      </x:c>
      <x:c r="I107" s="11" t="str">
        <x:v>mm</x:v>
      </x:c>
      <x:c r="J107" s="17" t="n">
        <x:v>0.1</x:v>
      </x:c>
      <x:c r="K107" s="17" t="n">
        <x:v>0</x:v>
      </x:c>
      <x:c r="L107" s="17" t="n">
        <x:v>0.010000000000000002</x:v>
      </x:c>
      <x:c r="M107" s="11" t="str">
        <x:v>ACCEPT</x:v>
      </x:c>
      <x:c r="N107" s="11" t="n">
        <x:v>1</x:v>
      </x:c>
      <x:c r="O107" s="13" t="n">
        <x:v>0</x:v>
      </x:c>
      <x:c r="P107" s="11" t="str">
        <x:f>IF(AND(N107=1,L107&lt;=J107/4,K107=0),"PASS","FAIL")</x:f>
        <x:v>PASS</x:v>
      </x:c>
      <x:c r="Q107" s="11" t="str">
        <x:f>IF(P107&lt;&gt;"PASS","FAIL",IF(O107=1,"PASS","OPEN"))</x:f>
        <x:v>OPEN</x:v>
      </x:c>
    </x:row>
    <x:row r="108">
      <x:c r="B108" s="11" t="str">
        <x:v>RA-SA3-05-A2-T1</x:v>
      </x:c>
      <x:c r="C108" s="11" t="str">
        <x:v>RA-SA3-05-A2</x:v>
      </x:c>
      <x:c r="D108" s="11" t="str">
        <x:v>SA3</x:v>
      </x:c>
      <x:c r="E108" s="11" t="str">
        <x:v>A</x:v>
      </x:c>
      <x:c r="F108" s="11" t="str">
        <x:v>T1</x:v>
      </x:c>
      <x:c r="G108" s="11" t="str">
        <x:v>known compliant</x:v>
      </x:c>
      <x:c r="H108" s="11" t="str">
        <x:v>permanent bore change</x:v>
      </x:c>
      <x:c r="I108" s="11" t="str">
        <x:v>mm</x:v>
      </x:c>
      <x:c r="J108" s="17" t="n">
        <x:v>0.1</x:v>
      </x:c>
      <x:c r="K108" s="17" t="n">
        <x:v>0.049999999999999996</x:v>
      </x:c>
      <x:c r="L108" s="17" t="n">
        <x:v>0.010000000000000002</x:v>
      </x:c>
      <x:c r="M108" s="11" t="str">
        <x:v>ACCEPT</x:v>
      </x:c>
      <x:c r="N108" s="11" t="n">
        <x:v>1</x:v>
      </x:c>
      <x:c r="O108" s="13" t="n">
        <x:v>0</x:v>
      </x:c>
      <x:c r="P108" s="11" t="str">
        <x:f>IF(AND(N108=1,L108&lt;=J108/4,K108&lt;J108-L108),"PASS","FAIL")</x:f>
        <x:v>PASS</x:v>
      </x:c>
      <x:c r="Q108" s="11" t="str">
        <x:f>IF(P108&lt;&gt;"PASS","FAIL",IF(O108=1,"PASS","OPEN"))</x:f>
        <x:v>OPEN</x:v>
      </x:c>
    </x:row>
    <x:row r="109">
      <x:c r="B109" s="11" t="str">
        <x:v>RA-SA3-05-A2-T2</x:v>
      </x:c>
      <x:c r="C109" s="11" t="str">
        <x:v>RA-SA3-05-A2</x:v>
      </x:c>
      <x:c r="D109" s="11" t="str">
        <x:v>SA3</x:v>
      </x:c>
      <x:c r="E109" s="11" t="str">
        <x:v>A</x:v>
      </x:c>
      <x:c r="F109" s="11" t="str">
        <x:v>T2</x:v>
      </x:c>
      <x:c r="G109" s="11" t="str">
        <x:v>known nonconforming</x:v>
      </x:c>
      <x:c r="H109" s="11" t="str">
        <x:v>permanent bore change</x:v>
      </x:c>
      <x:c r="I109" s="11" t="str">
        <x:v>mm</x:v>
      </x:c>
      <x:c r="J109" s="17" t="n">
        <x:v>0.1</x:v>
      </x:c>
      <x:c r="K109" s="17" t="n">
        <x:v>0.15000000000000002</x:v>
      </x:c>
      <x:c r="L109" s="17" t="n">
        <x:v>0.010000000000000002</x:v>
      </x:c>
      <x:c r="M109" s="11" t="str">
        <x:v>REJECT</x:v>
      </x:c>
      <x:c r="N109" s="11" t="n">
        <x:v>1</x:v>
      </x:c>
      <x:c r="O109" s="13" t="n">
        <x:v>0</x:v>
      </x:c>
      <x:c r="P109" s="11" t="str">
        <x:f>IF(AND(N109=1,L109&lt;=J109/4,K109&gt;J109+L109),"PASS","FAIL")</x:f>
        <x:v>PASS</x:v>
      </x:c>
      <x:c r="Q109" s="11" t="str">
        <x:f>IF(P109&lt;&gt;"PASS","FAIL",IF(O109=1,"PASS","OPEN"))</x:f>
        <x:v>OPEN</x:v>
      </x:c>
    </x:row>
    <x:row r="110">
      <x:c r="B110" s="11" t="str">
        <x:v>RA-SA3-05-A2-T3</x:v>
      </x:c>
      <x:c r="C110" s="11" t="str">
        <x:v>RA-SA3-05-A2</x:v>
      </x:c>
      <x:c r="D110" s="11" t="str">
        <x:v>SA3</x:v>
      </x:c>
      <x:c r="E110" s="11" t="str">
        <x:v>A</x:v>
      </x:c>
      <x:c r="F110" s="11" t="str">
        <x:v>T3</x:v>
      </x:c>
      <x:c r="G110" s="11" t="str">
        <x:v>decision boundary</x:v>
      </x:c>
      <x:c r="H110" s="11" t="str">
        <x:v>permanent bore change</x:v>
      </x:c>
      <x:c r="I110" s="11" t="str">
        <x:v>mm</x:v>
      </x:c>
      <x:c r="J110" s="17" t="n">
        <x:v>0.1</x:v>
      </x:c>
      <x:c r="K110" s="17" t="n">
        <x:v>0.1</x:v>
      </x:c>
      <x:c r="L110" s="17" t="n">
        <x:v>0.010000000000000002</x:v>
      </x:c>
      <x:c r="M110" s="11" t="str">
        <x:v>INDETERMINATE</x:v>
      </x:c>
      <x:c r="N110" s="11" t="n">
        <x:v>1</x:v>
      </x:c>
      <x:c r="O110" s="13" t="n">
        <x:v>0</x:v>
      </x:c>
      <x:c r="P110" s="11" t="str">
        <x:f>IF(AND(N110=1,L110&lt;=J110/4,ABS(K110-J110)&lt;=L110),"PASS","FAIL")</x:f>
        <x:v>PASS</x:v>
      </x:c>
      <x:c r="Q110" s="11" t="str">
        <x:f>IF(P110&lt;&gt;"PASS","FAIL",IF(O110=1,"PASS","OPEN"))</x:f>
        <x:v>OPEN</x:v>
      </x:c>
    </x:row>
    <x:row r="111">
      <x:c r="B111" s="11" t="str">
        <x:v>RA-SA3-05-A3-T0</x:v>
      </x:c>
      <x:c r="C111" s="11" t="str">
        <x:v>RA-SA3-05-A3</x:v>
      </x:c>
      <x:c r="D111" s="11" t="str">
        <x:v>SA3</x:v>
      </x:c>
      <x:c r="E111" s="11" t="str">
        <x:v>A</x:v>
      </x:c>
      <x:c r="F111" s="11" t="str">
        <x:v>T0</x:v>
      </x:c>
      <x:c r="G111" s="11" t="str">
        <x:v>datum and blank</x:v>
      </x:c>
      <x:c r="H111" s="11" t="str">
        <x:v>permanent bore change</x:v>
      </x:c>
      <x:c r="I111" s="11" t="str">
        <x:v>mm</x:v>
      </x:c>
      <x:c r="J111" s="17" t="n">
        <x:v>0.1</x:v>
      </x:c>
      <x:c r="K111" s="17" t="n">
        <x:v>0</x:v>
      </x:c>
      <x:c r="L111" s="17" t="n">
        <x:v>0.010000000000000002</x:v>
      </x:c>
      <x:c r="M111" s="11" t="str">
        <x:v>ACCEPT</x:v>
      </x:c>
      <x:c r="N111" s="11" t="n">
        <x:v>1</x:v>
      </x:c>
      <x:c r="O111" s="13" t="n">
        <x:v>0</x:v>
      </x:c>
      <x:c r="P111" s="11" t="str">
        <x:f>IF(AND(N111=1,L111&lt;=J111/4,K111=0),"PASS","FAIL")</x:f>
        <x:v>PASS</x:v>
      </x:c>
      <x:c r="Q111" s="11" t="str">
        <x:f>IF(P111&lt;&gt;"PASS","FAIL",IF(O111=1,"PASS","OPEN"))</x:f>
        <x:v>OPEN</x:v>
      </x:c>
    </x:row>
    <x:row r="112">
      <x:c r="B112" s="11" t="str">
        <x:v>RA-SA3-05-A3-T1</x:v>
      </x:c>
      <x:c r="C112" s="11" t="str">
        <x:v>RA-SA3-05-A3</x:v>
      </x:c>
      <x:c r="D112" s="11" t="str">
        <x:v>SA3</x:v>
      </x:c>
      <x:c r="E112" s="11" t="str">
        <x:v>A</x:v>
      </x:c>
      <x:c r="F112" s="11" t="str">
        <x:v>T1</x:v>
      </x:c>
      <x:c r="G112" s="11" t="str">
        <x:v>known compliant</x:v>
      </x:c>
      <x:c r="H112" s="11" t="str">
        <x:v>permanent bore change</x:v>
      </x:c>
      <x:c r="I112" s="11" t="str">
        <x:v>mm</x:v>
      </x:c>
      <x:c r="J112" s="17" t="n">
        <x:v>0.1</x:v>
      </x:c>
      <x:c r="K112" s="17" t="n">
        <x:v>0.049999999999999996</x:v>
      </x:c>
      <x:c r="L112" s="17" t="n">
        <x:v>0.010000000000000002</x:v>
      </x:c>
      <x:c r="M112" s="11" t="str">
        <x:v>ACCEPT</x:v>
      </x:c>
      <x:c r="N112" s="11" t="n">
        <x:v>1</x:v>
      </x:c>
      <x:c r="O112" s="13" t="n">
        <x:v>0</x:v>
      </x:c>
      <x:c r="P112" s="11" t="str">
        <x:f>IF(AND(N112=1,L112&lt;=J112/4,K112&lt;J112-L112),"PASS","FAIL")</x:f>
        <x:v>PASS</x:v>
      </x:c>
      <x:c r="Q112" s="11" t="str">
        <x:f>IF(P112&lt;&gt;"PASS","FAIL",IF(O112=1,"PASS","OPEN"))</x:f>
        <x:v>OPEN</x:v>
      </x:c>
    </x:row>
    <x:row r="113">
      <x:c r="B113" s="11" t="str">
        <x:v>RA-SA3-05-A3-T2</x:v>
      </x:c>
      <x:c r="C113" s="11" t="str">
        <x:v>RA-SA3-05-A3</x:v>
      </x:c>
      <x:c r="D113" s="11" t="str">
        <x:v>SA3</x:v>
      </x:c>
      <x:c r="E113" s="11" t="str">
        <x:v>A</x:v>
      </x:c>
      <x:c r="F113" s="11" t="str">
        <x:v>T2</x:v>
      </x:c>
      <x:c r="G113" s="11" t="str">
        <x:v>known nonconforming</x:v>
      </x:c>
      <x:c r="H113" s="11" t="str">
        <x:v>permanent bore change</x:v>
      </x:c>
      <x:c r="I113" s="11" t="str">
        <x:v>mm</x:v>
      </x:c>
      <x:c r="J113" s="17" t="n">
        <x:v>0.1</x:v>
      </x:c>
      <x:c r="K113" s="17" t="n">
        <x:v>0.15000000000000002</x:v>
      </x:c>
      <x:c r="L113" s="17" t="n">
        <x:v>0.010000000000000002</x:v>
      </x:c>
      <x:c r="M113" s="11" t="str">
        <x:v>REJECT</x:v>
      </x:c>
      <x:c r="N113" s="11" t="n">
        <x:v>1</x:v>
      </x:c>
      <x:c r="O113" s="13" t="n">
        <x:v>0</x:v>
      </x:c>
      <x:c r="P113" s="11" t="str">
        <x:f>IF(AND(N113=1,L113&lt;=J113/4,K113&gt;J113+L113),"PASS","FAIL")</x:f>
        <x:v>PASS</x:v>
      </x:c>
      <x:c r="Q113" s="11" t="str">
        <x:f>IF(P113&lt;&gt;"PASS","FAIL",IF(O113=1,"PASS","OPEN"))</x:f>
        <x:v>OPEN</x:v>
      </x:c>
    </x:row>
    <x:row r="114">
      <x:c r="B114" s="11" t="str">
        <x:v>RA-SA3-05-A3-T3</x:v>
      </x:c>
      <x:c r="C114" s="11" t="str">
        <x:v>RA-SA3-05-A3</x:v>
      </x:c>
      <x:c r="D114" s="11" t="str">
        <x:v>SA3</x:v>
      </x:c>
      <x:c r="E114" s="11" t="str">
        <x:v>A</x:v>
      </x:c>
      <x:c r="F114" s="11" t="str">
        <x:v>T3</x:v>
      </x:c>
      <x:c r="G114" s="11" t="str">
        <x:v>decision boundary</x:v>
      </x:c>
      <x:c r="H114" s="11" t="str">
        <x:v>permanent bore change</x:v>
      </x:c>
      <x:c r="I114" s="11" t="str">
        <x:v>mm</x:v>
      </x:c>
      <x:c r="J114" s="17" t="n">
        <x:v>0.1</x:v>
      </x:c>
      <x:c r="K114" s="17" t="n">
        <x:v>0.1</x:v>
      </x:c>
      <x:c r="L114" s="17" t="n">
        <x:v>0.010000000000000002</x:v>
      </x:c>
      <x:c r="M114" s="11" t="str">
        <x:v>INDETERMINATE</x:v>
      </x:c>
      <x:c r="N114" s="11" t="n">
        <x:v>1</x:v>
      </x:c>
      <x:c r="O114" s="13" t="n">
        <x:v>0</x:v>
      </x:c>
      <x:c r="P114" s="11" t="str">
        <x:f>IF(AND(N114=1,L114&lt;=J114/4,ABS(K114-J114)&lt;=L114),"PASS","FAIL")</x:f>
        <x:v>PASS</x:v>
      </x:c>
      <x:c r="Q114" s="11" t="str">
        <x:f>IF(P114&lt;&gt;"PASS","FAIL",IF(O114=1,"PASS","OPEN"))</x:f>
        <x:v>OPEN</x:v>
      </x:c>
    </x:row>
    <x:row r="115">
      <x:c r="B115" s="11" t="str">
        <x:v>RA-SA3-05-B1-T0</x:v>
      </x:c>
      <x:c r="C115" s="11" t="str">
        <x:v>RA-SA3-05-B1</x:v>
      </x:c>
      <x:c r="D115" s="11" t="str">
        <x:v>SA3</x:v>
      </x:c>
      <x:c r="E115" s="11" t="str">
        <x:v>B</x:v>
      </x:c>
      <x:c r="F115" s="11" t="str">
        <x:v>T0</x:v>
      </x:c>
      <x:c r="G115" s="11" t="str">
        <x:v>datum and blank</x:v>
      </x:c>
      <x:c r="H115" s="11" t="str">
        <x:v>permanent bore change</x:v>
      </x:c>
      <x:c r="I115" s="11" t="str">
        <x:v>mm</x:v>
      </x:c>
      <x:c r="J115" s="17" t="n">
        <x:v>0.1</x:v>
      </x:c>
      <x:c r="K115" s="17" t="n">
        <x:v>0</x:v>
      </x:c>
      <x:c r="L115" s="17" t="n">
        <x:v>0.010000000000000002</x:v>
      </x:c>
      <x:c r="M115" s="11" t="str">
        <x:v>ACCEPT</x:v>
      </x:c>
      <x:c r="N115" s="11" t="n">
        <x:v>1</x:v>
      </x:c>
      <x:c r="O115" s="13" t="n">
        <x:v>0</x:v>
      </x:c>
      <x:c r="P115" s="11" t="str">
        <x:f>IF(AND(N115=1,L115&lt;=J115/4,K115=0),"PASS","FAIL")</x:f>
        <x:v>PASS</x:v>
      </x:c>
      <x:c r="Q115" s="11" t="str">
        <x:f>IF(P115&lt;&gt;"PASS","FAIL",IF(O115=1,"PASS","OPEN"))</x:f>
        <x:v>OPEN</x:v>
      </x:c>
    </x:row>
    <x:row r="116">
      <x:c r="B116" s="11" t="str">
        <x:v>RA-SA3-05-B1-T1</x:v>
      </x:c>
      <x:c r="C116" s="11" t="str">
        <x:v>RA-SA3-05-B1</x:v>
      </x:c>
      <x:c r="D116" s="11" t="str">
        <x:v>SA3</x:v>
      </x:c>
      <x:c r="E116" s="11" t="str">
        <x:v>B</x:v>
      </x:c>
      <x:c r="F116" s="11" t="str">
        <x:v>T1</x:v>
      </x:c>
      <x:c r="G116" s="11" t="str">
        <x:v>known compliant</x:v>
      </x:c>
      <x:c r="H116" s="11" t="str">
        <x:v>permanent bore change</x:v>
      </x:c>
      <x:c r="I116" s="11" t="str">
        <x:v>mm</x:v>
      </x:c>
      <x:c r="J116" s="17" t="n">
        <x:v>0.1</x:v>
      </x:c>
      <x:c r="K116" s="17" t="n">
        <x:v>0.049999999999999996</x:v>
      </x:c>
      <x:c r="L116" s="17" t="n">
        <x:v>0.010000000000000002</x:v>
      </x:c>
      <x:c r="M116" s="11" t="str">
        <x:v>ACCEPT</x:v>
      </x:c>
      <x:c r="N116" s="11" t="n">
        <x:v>1</x:v>
      </x:c>
      <x:c r="O116" s="13" t="n">
        <x:v>0</x:v>
      </x:c>
      <x:c r="P116" s="11" t="str">
        <x:f>IF(AND(N116=1,L116&lt;=J116/4,K116&lt;J116-L116),"PASS","FAIL")</x:f>
        <x:v>PASS</x:v>
      </x:c>
      <x:c r="Q116" s="11" t="str">
        <x:f>IF(P116&lt;&gt;"PASS","FAIL",IF(O116=1,"PASS","OPEN"))</x:f>
        <x:v>OPEN</x:v>
      </x:c>
    </x:row>
    <x:row r="117">
      <x:c r="B117" s="11" t="str">
        <x:v>RA-SA3-05-B1-T2</x:v>
      </x:c>
      <x:c r="C117" s="11" t="str">
        <x:v>RA-SA3-05-B1</x:v>
      </x:c>
      <x:c r="D117" s="11" t="str">
        <x:v>SA3</x:v>
      </x:c>
      <x:c r="E117" s="11" t="str">
        <x:v>B</x:v>
      </x:c>
      <x:c r="F117" s="11" t="str">
        <x:v>T2</x:v>
      </x:c>
      <x:c r="G117" s="11" t="str">
        <x:v>known nonconforming</x:v>
      </x:c>
      <x:c r="H117" s="11" t="str">
        <x:v>permanent bore change</x:v>
      </x:c>
      <x:c r="I117" s="11" t="str">
        <x:v>mm</x:v>
      </x:c>
      <x:c r="J117" s="17" t="n">
        <x:v>0.1</x:v>
      </x:c>
      <x:c r="K117" s="17" t="n">
        <x:v>0.15000000000000002</x:v>
      </x:c>
      <x:c r="L117" s="17" t="n">
        <x:v>0.010000000000000002</x:v>
      </x:c>
      <x:c r="M117" s="11" t="str">
        <x:v>REJECT</x:v>
      </x:c>
      <x:c r="N117" s="11" t="n">
        <x:v>1</x:v>
      </x:c>
      <x:c r="O117" s="13" t="n">
        <x:v>0</x:v>
      </x:c>
      <x:c r="P117" s="11" t="str">
        <x:f>IF(AND(N117=1,L117&lt;=J117/4,K117&gt;J117+L117),"PASS","FAIL")</x:f>
        <x:v>PASS</x:v>
      </x:c>
      <x:c r="Q117" s="11" t="str">
        <x:f>IF(P117&lt;&gt;"PASS","FAIL",IF(O117=1,"PASS","OPEN"))</x:f>
        <x:v>OPEN</x:v>
      </x:c>
    </x:row>
    <x:row r="118">
      <x:c r="B118" s="11" t="str">
        <x:v>RA-SA3-05-B1-T3</x:v>
      </x:c>
      <x:c r="C118" s="11" t="str">
        <x:v>RA-SA3-05-B1</x:v>
      </x:c>
      <x:c r="D118" s="11" t="str">
        <x:v>SA3</x:v>
      </x:c>
      <x:c r="E118" s="11" t="str">
        <x:v>B</x:v>
      </x:c>
      <x:c r="F118" s="11" t="str">
        <x:v>T3</x:v>
      </x:c>
      <x:c r="G118" s="11" t="str">
        <x:v>decision boundary</x:v>
      </x:c>
      <x:c r="H118" s="11" t="str">
        <x:v>permanent bore change</x:v>
      </x:c>
      <x:c r="I118" s="11" t="str">
        <x:v>mm</x:v>
      </x:c>
      <x:c r="J118" s="17" t="n">
        <x:v>0.1</x:v>
      </x:c>
      <x:c r="K118" s="17" t="n">
        <x:v>0.1</x:v>
      </x:c>
      <x:c r="L118" s="17" t="n">
        <x:v>0.010000000000000002</x:v>
      </x:c>
      <x:c r="M118" s="11" t="str">
        <x:v>INDETERMINATE</x:v>
      </x:c>
      <x:c r="N118" s="11" t="n">
        <x:v>1</x:v>
      </x:c>
      <x:c r="O118" s="13" t="n">
        <x:v>0</x:v>
      </x:c>
      <x:c r="P118" s="11" t="str">
        <x:f>IF(AND(N118=1,L118&lt;=J118/4,ABS(K118-J118)&lt;=L118),"PASS","FAIL")</x:f>
        <x:v>PASS</x:v>
      </x:c>
      <x:c r="Q118" s="11" t="str">
        <x:f>IF(P118&lt;&gt;"PASS","FAIL",IF(O118=1,"PASS","OPEN"))</x:f>
        <x:v>OPEN</x:v>
      </x:c>
    </x:row>
    <x:row r="119">
      <x:c r="B119" s="11" t="str">
        <x:v>RA-SA3-05-B2-T0</x:v>
      </x:c>
      <x:c r="C119" s="11" t="str">
        <x:v>RA-SA3-05-B2</x:v>
      </x:c>
      <x:c r="D119" s="11" t="str">
        <x:v>SA3</x:v>
      </x:c>
      <x:c r="E119" s="11" t="str">
        <x:v>B</x:v>
      </x:c>
      <x:c r="F119" s="11" t="str">
        <x:v>T0</x:v>
      </x:c>
      <x:c r="G119" s="11" t="str">
        <x:v>datum and blank</x:v>
      </x:c>
      <x:c r="H119" s="11" t="str">
        <x:v>permanent bore change</x:v>
      </x:c>
      <x:c r="I119" s="11" t="str">
        <x:v>mm</x:v>
      </x:c>
      <x:c r="J119" s="17" t="n">
        <x:v>0.1</x:v>
      </x:c>
      <x:c r="K119" s="17" t="n">
        <x:v>0</x:v>
      </x:c>
      <x:c r="L119" s="17" t="n">
        <x:v>0.010000000000000002</x:v>
      </x:c>
      <x:c r="M119" s="11" t="str">
        <x:v>ACCEPT</x:v>
      </x:c>
      <x:c r="N119" s="11" t="n">
        <x:v>1</x:v>
      </x:c>
      <x:c r="O119" s="13" t="n">
        <x:v>0</x:v>
      </x:c>
      <x:c r="P119" s="11" t="str">
        <x:f>IF(AND(N119=1,L119&lt;=J119/4,K119=0),"PASS","FAIL")</x:f>
        <x:v>PASS</x:v>
      </x:c>
      <x:c r="Q119" s="11" t="str">
        <x:f>IF(P119&lt;&gt;"PASS","FAIL",IF(O119=1,"PASS","OPEN"))</x:f>
        <x:v>OPEN</x:v>
      </x:c>
    </x:row>
    <x:row r="120">
      <x:c r="B120" s="11" t="str">
        <x:v>RA-SA3-05-B2-T1</x:v>
      </x:c>
      <x:c r="C120" s="11" t="str">
        <x:v>RA-SA3-05-B2</x:v>
      </x:c>
      <x:c r="D120" s="11" t="str">
        <x:v>SA3</x:v>
      </x:c>
      <x:c r="E120" s="11" t="str">
        <x:v>B</x:v>
      </x:c>
      <x:c r="F120" s="11" t="str">
        <x:v>T1</x:v>
      </x:c>
      <x:c r="G120" s="11" t="str">
        <x:v>known compliant</x:v>
      </x:c>
      <x:c r="H120" s="11" t="str">
        <x:v>permanent bore change</x:v>
      </x:c>
      <x:c r="I120" s="11" t="str">
        <x:v>mm</x:v>
      </x:c>
      <x:c r="J120" s="17" t="n">
        <x:v>0.1</x:v>
      </x:c>
      <x:c r="K120" s="17" t="n">
        <x:v>0.049999999999999996</x:v>
      </x:c>
      <x:c r="L120" s="17" t="n">
        <x:v>0.010000000000000002</x:v>
      </x:c>
      <x:c r="M120" s="11" t="str">
        <x:v>ACCEPT</x:v>
      </x:c>
      <x:c r="N120" s="11" t="n">
        <x:v>1</x:v>
      </x:c>
      <x:c r="O120" s="13" t="n">
        <x:v>0</x:v>
      </x:c>
      <x:c r="P120" s="11" t="str">
        <x:f>IF(AND(N120=1,L120&lt;=J120/4,K120&lt;J120-L120),"PASS","FAIL")</x:f>
        <x:v>PASS</x:v>
      </x:c>
      <x:c r="Q120" s="11" t="str">
        <x:f>IF(P120&lt;&gt;"PASS","FAIL",IF(O120=1,"PASS","OPEN"))</x:f>
        <x:v>OPEN</x:v>
      </x:c>
    </x:row>
    <x:row r="121">
      <x:c r="B121" s="11" t="str">
        <x:v>RA-SA3-05-B2-T2</x:v>
      </x:c>
      <x:c r="C121" s="11" t="str">
        <x:v>RA-SA3-05-B2</x:v>
      </x:c>
      <x:c r="D121" s="11" t="str">
        <x:v>SA3</x:v>
      </x:c>
      <x:c r="E121" s="11" t="str">
        <x:v>B</x:v>
      </x:c>
      <x:c r="F121" s="11" t="str">
        <x:v>T2</x:v>
      </x:c>
      <x:c r="G121" s="11" t="str">
        <x:v>known nonconforming</x:v>
      </x:c>
      <x:c r="H121" s="11" t="str">
        <x:v>permanent bore change</x:v>
      </x:c>
      <x:c r="I121" s="11" t="str">
        <x:v>mm</x:v>
      </x:c>
      <x:c r="J121" s="17" t="n">
        <x:v>0.1</x:v>
      </x:c>
      <x:c r="K121" s="17" t="n">
        <x:v>0.15000000000000002</x:v>
      </x:c>
      <x:c r="L121" s="17" t="n">
        <x:v>0.010000000000000002</x:v>
      </x:c>
      <x:c r="M121" s="11" t="str">
        <x:v>REJECT</x:v>
      </x:c>
      <x:c r="N121" s="11" t="n">
        <x:v>1</x:v>
      </x:c>
      <x:c r="O121" s="13" t="n">
        <x:v>0</x:v>
      </x:c>
      <x:c r="P121" s="11" t="str">
        <x:f>IF(AND(N121=1,L121&lt;=J121/4,K121&gt;J121+L121),"PASS","FAIL")</x:f>
        <x:v>PASS</x:v>
      </x:c>
      <x:c r="Q121" s="11" t="str">
        <x:f>IF(P121&lt;&gt;"PASS","FAIL",IF(O121=1,"PASS","OPEN"))</x:f>
        <x:v>OPEN</x:v>
      </x:c>
    </x:row>
    <x:row r="122">
      <x:c r="B122" s="11" t="str">
        <x:v>RA-SA3-05-B2-T3</x:v>
      </x:c>
      <x:c r="C122" s="11" t="str">
        <x:v>RA-SA3-05-B2</x:v>
      </x:c>
      <x:c r="D122" s="11" t="str">
        <x:v>SA3</x:v>
      </x:c>
      <x:c r="E122" s="11" t="str">
        <x:v>B</x:v>
      </x:c>
      <x:c r="F122" s="11" t="str">
        <x:v>T3</x:v>
      </x:c>
      <x:c r="G122" s="11" t="str">
        <x:v>decision boundary</x:v>
      </x:c>
      <x:c r="H122" s="11" t="str">
        <x:v>permanent bore change</x:v>
      </x:c>
      <x:c r="I122" s="11" t="str">
        <x:v>mm</x:v>
      </x:c>
      <x:c r="J122" s="17" t="n">
        <x:v>0.1</x:v>
      </x:c>
      <x:c r="K122" s="17" t="n">
        <x:v>0.1</x:v>
      </x:c>
      <x:c r="L122" s="17" t="n">
        <x:v>0.010000000000000002</x:v>
      </x:c>
      <x:c r="M122" s="11" t="str">
        <x:v>INDETERMINATE</x:v>
      </x:c>
      <x:c r="N122" s="11" t="n">
        <x:v>1</x:v>
      </x:c>
      <x:c r="O122" s="13" t="n">
        <x:v>0</x:v>
      </x:c>
      <x:c r="P122" s="11" t="str">
        <x:f>IF(AND(N122=1,L122&lt;=J122/4,ABS(K122-J122)&lt;=L122),"PASS","FAIL")</x:f>
        <x:v>PASS</x:v>
      </x:c>
      <x:c r="Q122" s="11" t="str">
        <x:f>IF(P122&lt;&gt;"PASS","FAIL",IF(O122=1,"PASS","OPEN"))</x:f>
        <x:v>OPEN</x:v>
      </x:c>
    </x:row>
    <x:row r="123">
      <x:c r="B123" s="11" t="str">
        <x:v>RA-SA3-05-B3-T0</x:v>
      </x:c>
      <x:c r="C123" s="11" t="str">
        <x:v>RA-SA3-05-B3</x:v>
      </x:c>
      <x:c r="D123" s="11" t="str">
        <x:v>SA3</x:v>
      </x:c>
      <x:c r="E123" s="11" t="str">
        <x:v>B</x:v>
      </x:c>
      <x:c r="F123" s="11" t="str">
        <x:v>T0</x:v>
      </x:c>
      <x:c r="G123" s="11" t="str">
        <x:v>datum and blank</x:v>
      </x:c>
      <x:c r="H123" s="11" t="str">
        <x:v>permanent bore change</x:v>
      </x:c>
      <x:c r="I123" s="11" t="str">
        <x:v>mm</x:v>
      </x:c>
      <x:c r="J123" s="17" t="n">
        <x:v>0.1</x:v>
      </x:c>
      <x:c r="K123" s="17" t="n">
        <x:v>0</x:v>
      </x:c>
      <x:c r="L123" s="17" t="n">
        <x:v>0.010000000000000002</x:v>
      </x:c>
      <x:c r="M123" s="11" t="str">
        <x:v>ACCEPT</x:v>
      </x:c>
      <x:c r="N123" s="11" t="n">
        <x:v>1</x:v>
      </x:c>
      <x:c r="O123" s="13" t="n">
        <x:v>0</x:v>
      </x:c>
      <x:c r="P123" s="11" t="str">
        <x:f>IF(AND(N123=1,L123&lt;=J123/4,K123=0),"PASS","FAIL")</x:f>
        <x:v>PASS</x:v>
      </x:c>
      <x:c r="Q123" s="11" t="str">
        <x:f>IF(P123&lt;&gt;"PASS","FAIL",IF(O123=1,"PASS","OPEN"))</x:f>
        <x:v>OPEN</x:v>
      </x:c>
    </x:row>
    <x:row r="124">
      <x:c r="B124" s="11" t="str">
        <x:v>RA-SA3-05-B3-T1</x:v>
      </x:c>
      <x:c r="C124" s="11" t="str">
        <x:v>RA-SA3-05-B3</x:v>
      </x:c>
      <x:c r="D124" s="11" t="str">
        <x:v>SA3</x:v>
      </x:c>
      <x:c r="E124" s="11" t="str">
        <x:v>B</x:v>
      </x:c>
      <x:c r="F124" s="11" t="str">
        <x:v>T1</x:v>
      </x:c>
      <x:c r="G124" s="11" t="str">
        <x:v>known compliant</x:v>
      </x:c>
      <x:c r="H124" s="11" t="str">
        <x:v>permanent bore change</x:v>
      </x:c>
      <x:c r="I124" s="11" t="str">
        <x:v>mm</x:v>
      </x:c>
      <x:c r="J124" s="17" t="n">
        <x:v>0.1</x:v>
      </x:c>
      <x:c r="K124" s="17" t="n">
        <x:v>0.049999999999999996</x:v>
      </x:c>
      <x:c r="L124" s="17" t="n">
        <x:v>0.010000000000000002</x:v>
      </x:c>
      <x:c r="M124" s="11" t="str">
        <x:v>ACCEPT</x:v>
      </x:c>
      <x:c r="N124" s="11" t="n">
        <x:v>1</x:v>
      </x:c>
      <x:c r="O124" s="13" t="n">
        <x:v>0</x:v>
      </x:c>
      <x:c r="P124" s="11" t="str">
        <x:f>IF(AND(N124=1,L124&lt;=J124/4,K124&lt;J124-L124),"PASS","FAIL")</x:f>
        <x:v>PASS</x:v>
      </x:c>
      <x:c r="Q124" s="11" t="str">
        <x:f>IF(P124&lt;&gt;"PASS","FAIL",IF(O124=1,"PASS","OPEN"))</x:f>
        <x:v>OPEN</x:v>
      </x:c>
    </x:row>
    <x:row r="125">
      <x:c r="B125" s="11" t="str">
        <x:v>RA-SA3-05-B3-T2</x:v>
      </x:c>
      <x:c r="C125" s="11" t="str">
        <x:v>RA-SA3-05-B3</x:v>
      </x:c>
      <x:c r="D125" s="11" t="str">
        <x:v>SA3</x:v>
      </x:c>
      <x:c r="E125" s="11" t="str">
        <x:v>B</x:v>
      </x:c>
      <x:c r="F125" s="11" t="str">
        <x:v>T2</x:v>
      </x:c>
      <x:c r="G125" s="11" t="str">
        <x:v>known nonconforming</x:v>
      </x:c>
      <x:c r="H125" s="11" t="str">
        <x:v>permanent bore change</x:v>
      </x:c>
      <x:c r="I125" s="11" t="str">
        <x:v>mm</x:v>
      </x:c>
      <x:c r="J125" s="17" t="n">
        <x:v>0.1</x:v>
      </x:c>
      <x:c r="K125" s="17" t="n">
        <x:v>0.15000000000000002</x:v>
      </x:c>
      <x:c r="L125" s="17" t="n">
        <x:v>0.010000000000000002</x:v>
      </x:c>
      <x:c r="M125" s="11" t="str">
        <x:v>REJECT</x:v>
      </x:c>
      <x:c r="N125" s="11" t="n">
        <x:v>1</x:v>
      </x:c>
      <x:c r="O125" s="13" t="n">
        <x:v>0</x:v>
      </x:c>
      <x:c r="P125" s="11" t="str">
        <x:f>IF(AND(N125=1,L125&lt;=J125/4,K125&gt;J125+L125),"PASS","FAIL")</x:f>
        <x:v>PASS</x:v>
      </x:c>
      <x:c r="Q125" s="11" t="str">
        <x:f>IF(P125&lt;&gt;"PASS","FAIL",IF(O125=1,"PASS","OPEN"))</x:f>
        <x:v>OPEN</x:v>
      </x:c>
    </x:row>
    <x:row r="126">
      <x:c r="B126" s="11" t="str">
        <x:v>RA-SA3-05-B3-T3</x:v>
      </x:c>
      <x:c r="C126" s="11" t="str">
        <x:v>RA-SA3-05-B3</x:v>
      </x:c>
      <x:c r="D126" s="11" t="str">
        <x:v>SA3</x:v>
      </x:c>
      <x:c r="E126" s="11" t="str">
        <x:v>B</x:v>
      </x:c>
      <x:c r="F126" s="11" t="str">
        <x:v>T3</x:v>
      </x:c>
      <x:c r="G126" s="11" t="str">
        <x:v>decision boundary</x:v>
      </x:c>
      <x:c r="H126" s="11" t="str">
        <x:v>permanent bore change</x:v>
      </x:c>
      <x:c r="I126" s="11" t="str">
        <x:v>mm</x:v>
      </x:c>
      <x:c r="J126" s="17" t="n">
        <x:v>0.1</x:v>
      </x:c>
      <x:c r="K126" s="17" t="n">
        <x:v>0.1</x:v>
      </x:c>
      <x:c r="L126" s="17" t="n">
        <x:v>0.010000000000000002</x:v>
      </x:c>
      <x:c r="M126" s="11" t="str">
        <x:v>INDETERMINATE</x:v>
      </x:c>
      <x:c r="N126" s="11" t="n">
        <x:v>1</x:v>
      </x:c>
      <x:c r="O126" s="13" t="n">
        <x:v>0</x:v>
      </x:c>
      <x:c r="P126" s="11" t="str">
        <x:f>IF(AND(N126=1,L126&lt;=J126/4,ABS(K126-J126)&lt;=L126),"PASS","FAIL")</x:f>
        <x:v>PASS</x:v>
      </x:c>
      <x:c r="Q126" s="11" t="str">
        <x:f>IF(P126&lt;&gt;"PASS","FAIL",IF(O126=1,"PASS","OPEN"))</x:f>
        <x:v>OPEN</x:v>
      </x:c>
    </x:row>
    <x:row r="127">
      <x:c r="B127" s="11" t="str">
        <x:v>RA-SA3-06-A1-T0</x:v>
      </x:c>
      <x:c r="C127" s="11" t="str">
        <x:v>RA-SA3-06-A1</x:v>
      </x:c>
      <x:c r="D127" s="11" t="str">
        <x:v>SA3</x:v>
      </x:c>
      <x:c r="E127" s="11" t="str">
        <x:v>A</x:v>
      </x:c>
      <x:c r="F127" s="11" t="str">
        <x:v>T0</x:v>
      </x:c>
      <x:c r="G127" s="11" t="str">
        <x:v>datum and blank</x:v>
      </x:c>
      <x:c r="H127" s="11" t="str">
        <x:v>permanent bore change</x:v>
      </x:c>
      <x:c r="I127" s="11" t="str">
        <x:v>mm</x:v>
      </x:c>
      <x:c r="J127" s="17" t="n">
        <x:v>0.1</x:v>
      </x:c>
      <x:c r="K127" s="17" t="n">
        <x:v>0</x:v>
      </x:c>
      <x:c r="L127" s="17" t="n">
        <x:v>0.010000000000000002</x:v>
      </x:c>
      <x:c r="M127" s="11" t="str">
        <x:v>ACCEPT</x:v>
      </x:c>
      <x:c r="N127" s="11" t="n">
        <x:v>1</x:v>
      </x:c>
      <x:c r="O127" s="13" t="n">
        <x:v>0</x:v>
      </x:c>
      <x:c r="P127" s="11" t="str">
        <x:f>IF(AND(N127=1,L127&lt;=J127/4,K127=0),"PASS","FAIL")</x:f>
        <x:v>PASS</x:v>
      </x:c>
      <x:c r="Q127" s="11" t="str">
        <x:f>IF(P127&lt;&gt;"PASS","FAIL",IF(O127=1,"PASS","OPEN"))</x:f>
        <x:v>OPEN</x:v>
      </x:c>
    </x:row>
    <x:row r="128">
      <x:c r="B128" s="11" t="str">
        <x:v>RA-SA3-06-A1-T1</x:v>
      </x:c>
      <x:c r="C128" s="11" t="str">
        <x:v>RA-SA3-06-A1</x:v>
      </x:c>
      <x:c r="D128" s="11" t="str">
        <x:v>SA3</x:v>
      </x:c>
      <x:c r="E128" s="11" t="str">
        <x:v>A</x:v>
      </x:c>
      <x:c r="F128" s="11" t="str">
        <x:v>T1</x:v>
      </x:c>
      <x:c r="G128" s="11" t="str">
        <x:v>known compliant</x:v>
      </x:c>
      <x:c r="H128" s="11" t="str">
        <x:v>permanent bore change</x:v>
      </x:c>
      <x:c r="I128" s="11" t="str">
        <x:v>mm</x:v>
      </x:c>
      <x:c r="J128" s="17" t="n">
        <x:v>0.1</x:v>
      </x:c>
      <x:c r="K128" s="17" t="n">
        <x:v>0.049999999999999996</x:v>
      </x:c>
      <x:c r="L128" s="17" t="n">
        <x:v>0.010000000000000002</x:v>
      </x:c>
      <x:c r="M128" s="11" t="str">
        <x:v>ACCEPT</x:v>
      </x:c>
      <x:c r="N128" s="11" t="n">
        <x:v>1</x:v>
      </x:c>
      <x:c r="O128" s="13" t="n">
        <x:v>0</x:v>
      </x:c>
      <x:c r="P128" s="11" t="str">
        <x:f>IF(AND(N128=1,L128&lt;=J128/4,K128&lt;J128-L128),"PASS","FAIL")</x:f>
        <x:v>PASS</x:v>
      </x:c>
      <x:c r="Q128" s="11" t="str">
        <x:f>IF(P128&lt;&gt;"PASS","FAIL",IF(O128=1,"PASS","OPEN"))</x:f>
        <x:v>OPEN</x:v>
      </x:c>
    </x:row>
    <x:row r="129">
      <x:c r="B129" s="11" t="str">
        <x:v>RA-SA3-06-A1-T2</x:v>
      </x:c>
      <x:c r="C129" s="11" t="str">
        <x:v>RA-SA3-06-A1</x:v>
      </x:c>
      <x:c r="D129" s="11" t="str">
        <x:v>SA3</x:v>
      </x:c>
      <x:c r="E129" s="11" t="str">
        <x:v>A</x:v>
      </x:c>
      <x:c r="F129" s="11" t="str">
        <x:v>T2</x:v>
      </x:c>
      <x:c r="G129" s="11" t="str">
        <x:v>known nonconforming</x:v>
      </x:c>
      <x:c r="H129" s="11" t="str">
        <x:v>permanent bore change</x:v>
      </x:c>
      <x:c r="I129" s="11" t="str">
        <x:v>mm</x:v>
      </x:c>
      <x:c r="J129" s="17" t="n">
        <x:v>0.1</x:v>
      </x:c>
      <x:c r="K129" s="17" t="n">
        <x:v>0.15000000000000002</x:v>
      </x:c>
      <x:c r="L129" s="17" t="n">
        <x:v>0.010000000000000002</x:v>
      </x:c>
      <x:c r="M129" s="11" t="str">
        <x:v>REJECT</x:v>
      </x:c>
      <x:c r="N129" s="11" t="n">
        <x:v>1</x:v>
      </x:c>
      <x:c r="O129" s="13" t="n">
        <x:v>0</x:v>
      </x:c>
      <x:c r="P129" s="11" t="str">
        <x:f>IF(AND(N129=1,L129&lt;=J129/4,K129&gt;J129+L129),"PASS","FAIL")</x:f>
        <x:v>PASS</x:v>
      </x:c>
      <x:c r="Q129" s="11" t="str">
        <x:f>IF(P129&lt;&gt;"PASS","FAIL",IF(O129=1,"PASS","OPEN"))</x:f>
        <x:v>OPEN</x:v>
      </x:c>
    </x:row>
    <x:row r="130">
      <x:c r="B130" s="11" t="str">
        <x:v>RA-SA3-06-A1-T3</x:v>
      </x:c>
      <x:c r="C130" s="11" t="str">
        <x:v>RA-SA3-06-A1</x:v>
      </x:c>
      <x:c r="D130" s="11" t="str">
        <x:v>SA3</x:v>
      </x:c>
      <x:c r="E130" s="11" t="str">
        <x:v>A</x:v>
      </x:c>
      <x:c r="F130" s="11" t="str">
        <x:v>T3</x:v>
      </x:c>
      <x:c r="G130" s="11" t="str">
        <x:v>decision boundary</x:v>
      </x:c>
      <x:c r="H130" s="11" t="str">
        <x:v>permanent bore change</x:v>
      </x:c>
      <x:c r="I130" s="11" t="str">
        <x:v>mm</x:v>
      </x:c>
      <x:c r="J130" s="17" t="n">
        <x:v>0.1</x:v>
      </x:c>
      <x:c r="K130" s="17" t="n">
        <x:v>0.1</x:v>
      </x:c>
      <x:c r="L130" s="17" t="n">
        <x:v>0.010000000000000002</x:v>
      </x:c>
      <x:c r="M130" s="11" t="str">
        <x:v>INDETERMINATE</x:v>
      </x:c>
      <x:c r="N130" s="11" t="n">
        <x:v>1</x:v>
      </x:c>
      <x:c r="O130" s="13" t="n">
        <x:v>0</x:v>
      </x:c>
      <x:c r="P130" s="11" t="str">
        <x:f>IF(AND(N130=1,L130&lt;=J130/4,ABS(K130-J130)&lt;=L130),"PASS","FAIL")</x:f>
        <x:v>PASS</x:v>
      </x:c>
      <x:c r="Q130" s="11" t="str">
        <x:f>IF(P130&lt;&gt;"PASS","FAIL",IF(O130=1,"PASS","OPEN"))</x:f>
        <x:v>OPEN</x:v>
      </x:c>
    </x:row>
    <x:row r="131">
      <x:c r="B131" s="11" t="str">
        <x:v>RA-SA3-06-A2-T0</x:v>
      </x:c>
      <x:c r="C131" s="11" t="str">
        <x:v>RA-SA3-06-A2</x:v>
      </x:c>
      <x:c r="D131" s="11" t="str">
        <x:v>SA3</x:v>
      </x:c>
      <x:c r="E131" s="11" t="str">
        <x:v>A</x:v>
      </x:c>
      <x:c r="F131" s="11" t="str">
        <x:v>T0</x:v>
      </x:c>
      <x:c r="G131" s="11" t="str">
        <x:v>datum and blank</x:v>
      </x:c>
      <x:c r="H131" s="11" t="str">
        <x:v>permanent bore change</x:v>
      </x:c>
      <x:c r="I131" s="11" t="str">
        <x:v>mm</x:v>
      </x:c>
      <x:c r="J131" s="17" t="n">
        <x:v>0.1</x:v>
      </x:c>
      <x:c r="K131" s="17" t="n">
        <x:v>0</x:v>
      </x:c>
      <x:c r="L131" s="17" t="n">
        <x:v>0.010000000000000002</x:v>
      </x:c>
      <x:c r="M131" s="11" t="str">
        <x:v>ACCEPT</x:v>
      </x:c>
      <x:c r="N131" s="11" t="n">
        <x:v>1</x:v>
      </x:c>
      <x:c r="O131" s="13" t="n">
        <x:v>0</x:v>
      </x:c>
      <x:c r="P131" s="11" t="str">
        <x:f>IF(AND(N131=1,L131&lt;=J131/4,K131=0),"PASS","FAIL")</x:f>
        <x:v>PASS</x:v>
      </x:c>
      <x:c r="Q131" s="11" t="str">
        <x:f>IF(P131&lt;&gt;"PASS","FAIL",IF(O131=1,"PASS","OPEN"))</x:f>
        <x:v>OPEN</x:v>
      </x:c>
    </x:row>
    <x:row r="132">
      <x:c r="B132" s="11" t="str">
        <x:v>RA-SA3-06-A2-T1</x:v>
      </x:c>
      <x:c r="C132" s="11" t="str">
        <x:v>RA-SA3-06-A2</x:v>
      </x:c>
      <x:c r="D132" s="11" t="str">
        <x:v>SA3</x:v>
      </x:c>
      <x:c r="E132" s="11" t="str">
        <x:v>A</x:v>
      </x:c>
      <x:c r="F132" s="11" t="str">
        <x:v>T1</x:v>
      </x:c>
      <x:c r="G132" s="11" t="str">
        <x:v>known compliant</x:v>
      </x:c>
      <x:c r="H132" s="11" t="str">
        <x:v>permanent bore change</x:v>
      </x:c>
      <x:c r="I132" s="11" t="str">
        <x:v>mm</x:v>
      </x:c>
      <x:c r="J132" s="17" t="n">
        <x:v>0.1</x:v>
      </x:c>
      <x:c r="K132" s="17" t="n">
        <x:v>0.049999999999999996</x:v>
      </x:c>
      <x:c r="L132" s="17" t="n">
        <x:v>0.010000000000000002</x:v>
      </x:c>
      <x:c r="M132" s="11" t="str">
        <x:v>ACCEPT</x:v>
      </x:c>
      <x:c r="N132" s="11" t="n">
        <x:v>1</x:v>
      </x:c>
      <x:c r="O132" s="13" t="n">
        <x:v>0</x:v>
      </x:c>
      <x:c r="P132" s="11" t="str">
        <x:f>IF(AND(N132=1,L132&lt;=J132/4,K132&lt;J132-L132),"PASS","FAIL")</x:f>
        <x:v>PASS</x:v>
      </x:c>
      <x:c r="Q132" s="11" t="str">
        <x:f>IF(P132&lt;&gt;"PASS","FAIL",IF(O132=1,"PASS","OPEN"))</x:f>
        <x:v>OPEN</x:v>
      </x:c>
    </x:row>
    <x:row r="133">
      <x:c r="B133" s="11" t="str">
        <x:v>RA-SA3-06-A2-T2</x:v>
      </x:c>
      <x:c r="C133" s="11" t="str">
        <x:v>RA-SA3-06-A2</x:v>
      </x:c>
      <x:c r="D133" s="11" t="str">
        <x:v>SA3</x:v>
      </x:c>
      <x:c r="E133" s="11" t="str">
        <x:v>A</x:v>
      </x:c>
      <x:c r="F133" s="11" t="str">
        <x:v>T2</x:v>
      </x:c>
      <x:c r="G133" s="11" t="str">
        <x:v>known nonconforming</x:v>
      </x:c>
      <x:c r="H133" s="11" t="str">
        <x:v>permanent bore change</x:v>
      </x:c>
      <x:c r="I133" s="11" t="str">
        <x:v>mm</x:v>
      </x:c>
      <x:c r="J133" s="17" t="n">
        <x:v>0.1</x:v>
      </x:c>
      <x:c r="K133" s="17" t="n">
        <x:v>0.15000000000000002</x:v>
      </x:c>
      <x:c r="L133" s="17" t="n">
        <x:v>0.010000000000000002</x:v>
      </x:c>
      <x:c r="M133" s="11" t="str">
        <x:v>REJECT</x:v>
      </x:c>
      <x:c r="N133" s="11" t="n">
        <x:v>1</x:v>
      </x:c>
      <x:c r="O133" s="13" t="n">
        <x:v>0</x:v>
      </x:c>
      <x:c r="P133" s="11" t="str">
        <x:f>IF(AND(N133=1,L133&lt;=J133/4,K133&gt;J133+L133),"PASS","FAIL")</x:f>
        <x:v>PASS</x:v>
      </x:c>
      <x:c r="Q133" s="11" t="str">
        <x:f>IF(P133&lt;&gt;"PASS","FAIL",IF(O133=1,"PASS","OPEN"))</x:f>
        <x:v>OPEN</x:v>
      </x:c>
    </x:row>
    <x:row r="134">
      <x:c r="B134" s="11" t="str">
        <x:v>RA-SA3-06-A2-T3</x:v>
      </x:c>
      <x:c r="C134" s="11" t="str">
        <x:v>RA-SA3-06-A2</x:v>
      </x:c>
      <x:c r="D134" s="11" t="str">
        <x:v>SA3</x:v>
      </x:c>
      <x:c r="E134" s="11" t="str">
        <x:v>A</x:v>
      </x:c>
      <x:c r="F134" s="11" t="str">
        <x:v>T3</x:v>
      </x:c>
      <x:c r="G134" s="11" t="str">
        <x:v>decision boundary</x:v>
      </x:c>
      <x:c r="H134" s="11" t="str">
        <x:v>permanent bore change</x:v>
      </x:c>
      <x:c r="I134" s="11" t="str">
        <x:v>mm</x:v>
      </x:c>
      <x:c r="J134" s="17" t="n">
        <x:v>0.1</x:v>
      </x:c>
      <x:c r="K134" s="17" t="n">
        <x:v>0.1</x:v>
      </x:c>
      <x:c r="L134" s="17" t="n">
        <x:v>0.010000000000000002</x:v>
      </x:c>
      <x:c r="M134" s="11" t="str">
        <x:v>INDETERMINATE</x:v>
      </x:c>
      <x:c r="N134" s="11" t="n">
        <x:v>1</x:v>
      </x:c>
      <x:c r="O134" s="13" t="n">
        <x:v>0</x:v>
      </x:c>
      <x:c r="P134" s="11" t="str">
        <x:f>IF(AND(N134=1,L134&lt;=J134/4,ABS(K134-J134)&lt;=L134),"PASS","FAIL")</x:f>
        <x:v>PASS</x:v>
      </x:c>
      <x:c r="Q134" s="11" t="str">
        <x:f>IF(P134&lt;&gt;"PASS","FAIL",IF(O134=1,"PASS","OPEN"))</x:f>
        <x:v>OPEN</x:v>
      </x:c>
    </x:row>
    <x:row r="135">
      <x:c r="B135" s="11" t="str">
        <x:v>RA-SA3-06-A3-T0</x:v>
      </x:c>
      <x:c r="C135" s="11" t="str">
        <x:v>RA-SA3-06-A3</x:v>
      </x:c>
      <x:c r="D135" s="11" t="str">
        <x:v>SA3</x:v>
      </x:c>
      <x:c r="E135" s="11" t="str">
        <x:v>A</x:v>
      </x:c>
      <x:c r="F135" s="11" t="str">
        <x:v>T0</x:v>
      </x:c>
      <x:c r="G135" s="11" t="str">
        <x:v>datum and blank</x:v>
      </x:c>
      <x:c r="H135" s="11" t="str">
        <x:v>permanent bore change</x:v>
      </x:c>
      <x:c r="I135" s="11" t="str">
        <x:v>mm</x:v>
      </x:c>
      <x:c r="J135" s="17" t="n">
        <x:v>0.1</x:v>
      </x:c>
      <x:c r="K135" s="17" t="n">
        <x:v>0</x:v>
      </x:c>
      <x:c r="L135" s="17" t="n">
        <x:v>0.010000000000000002</x:v>
      </x:c>
      <x:c r="M135" s="11" t="str">
        <x:v>ACCEPT</x:v>
      </x:c>
      <x:c r="N135" s="11" t="n">
        <x:v>1</x:v>
      </x:c>
      <x:c r="O135" s="13" t="n">
        <x:v>0</x:v>
      </x:c>
      <x:c r="P135" s="11" t="str">
        <x:f>IF(AND(N135=1,L135&lt;=J135/4,K135=0),"PASS","FAIL")</x:f>
        <x:v>PASS</x:v>
      </x:c>
      <x:c r="Q135" s="11" t="str">
        <x:f>IF(P135&lt;&gt;"PASS","FAIL",IF(O135=1,"PASS","OPEN"))</x:f>
        <x:v>OPEN</x:v>
      </x:c>
    </x:row>
    <x:row r="136">
      <x:c r="B136" s="11" t="str">
        <x:v>RA-SA3-06-A3-T1</x:v>
      </x:c>
      <x:c r="C136" s="11" t="str">
        <x:v>RA-SA3-06-A3</x:v>
      </x:c>
      <x:c r="D136" s="11" t="str">
        <x:v>SA3</x:v>
      </x:c>
      <x:c r="E136" s="11" t="str">
        <x:v>A</x:v>
      </x:c>
      <x:c r="F136" s="11" t="str">
        <x:v>T1</x:v>
      </x:c>
      <x:c r="G136" s="11" t="str">
        <x:v>known compliant</x:v>
      </x:c>
      <x:c r="H136" s="11" t="str">
        <x:v>permanent bore change</x:v>
      </x:c>
      <x:c r="I136" s="11" t="str">
        <x:v>mm</x:v>
      </x:c>
      <x:c r="J136" s="17" t="n">
        <x:v>0.1</x:v>
      </x:c>
      <x:c r="K136" s="17" t="n">
        <x:v>0.049999999999999996</x:v>
      </x:c>
      <x:c r="L136" s="17" t="n">
        <x:v>0.010000000000000002</x:v>
      </x:c>
      <x:c r="M136" s="11" t="str">
        <x:v>ACCEPT</x:v>
      </x:c>
      <x:c r="N136" s="11" t="n">
        <x:v>1</x:v>
      </x:c>
      <x:c r="O136" s="13" t="n">
        <x:v>0</x:v>
      </x:c>
      <x:c r="P136" s="11" t="str">
        <x:f>IF(AND(N136=1,L136&lt;=J136/4,K136&lt;J136-L136),"PASS","FAIL")</x:f>
        <x:v>PASS</x:v>
      </x:c>
      <x:c r="Q136" s="11" t="str">
        <x:f>IF(P136&lt;&gt;"PASS","FAIL",IF(O136=1,"PASS","OPEN"))</x:f>
        <x:v>OPEN</x:v>
      </x:c>
    </x:row>
    <x:row r="137">
      <x:c r="B137" s="11" t="str">
        <x:v>RA-SA3-06-A3-T2</x:v>
      </x:c>
      <x:c r="C137" s="11" t="str">
        <x:v>RA-SA3-06-A3</x:v>
      </x:c>
      <x:c r="D137" s="11" t="str">
        <x:v>SA3</x:v>
      </x:c>
      <x:c r="E137" s="11" t="str">
        <x:v>A</x:v>
      </x:c>
      <x:c r="F137" s="11" t="str">
        <x:v>T2</x:v>
      </x:c>
      <x:c r="G137" s="11" t="str">
        <x:v>known nonconforming</x:v>
      </x:c>
      <x:c r="H137" s="11" t="str">
        <x:v>permanent bore change</x:v>
      </x:c>
      <x:c r="I137" s="11" t="str">
        <x:v>mm</x:v>
      </x:c>
      <x:c r="J137" s="17" t="n">
        <x:v>0.1</x:v>
      </x:c>
      <x:c r="K137" s="17" t="n">
        <x:v>0.15000000000000002</x:v>
      </x:c>
      <x:c r="L137" s="17" t="n">
        <x:v>0.010000000000000002</x:v>
      </x:c>
      <x:c r="M137" s="11" t="str">
        <x:v>REJECT</x:v>
      </x:c>
      <x:c r="N137" s="11" t="n">
        <x:v>1</x:v>
      </x:c>
      <x:c r="O137" s="13" t="n">
        <x:v>0</x:v>
      </x:c>
      <x:c r="P137" s="11" t="str">
        <x:f>IF(AND(N137=1,L137&lt;=J137/4,K137&gt;J137+L137),"PASS","FAIL")</x:f>
        <x:v>PASS</x:v>
      </x:c>
      <x:c r="Q137" s="11" t="str">
        <x:f>IF(P137&lt;&gt;"PASS","FAIL",IF(O137=1,"PASS","OPEN"))</x:f>
        <x:v>OPEN</x:v>
      </x:c>
    </x:row>
    <x:row r="138">
      <x:c r="B138" s="11" t="str">
        <x:v>RA-SA3-06-A3-T3</x:v>
      </x:c>
      <x:c r="C138" s="11" t="str">
        <x:v>RA-SA3-06-A3</x:v>
      </x:c>
      <x:c r="D138" s="11" t="str">
        <x:v>SA3</x:v>
      </x:c>
      <x:c r="E138" s="11" t="str">
        <x:v>A</x:v>
      </x:c>
      <x:c r="F138" s="11" t="str">
        <x:v>T3</x:v>
      </x:c>
      <x:c r="G138" s="11" t="str">
        <x:v>decision boundary</x:v>
      </x:c>
      <x:c r="H138" s="11" t="str">
        <x:v>permanent bore change</x:v>
      </x:c>
      <x:c r="I138" s="11" t="str">
        <x:v>mm</x:v>
      </x:c>
      <x:c r="J138" s="17" t="n">
        <x:v>0.1</x:v>
      </x:c>
      <x:c r="K138" s="17" t="n">
        <x:v>0.1</x:v>
      </x:c>
      <x:c r="L138" s="17" t="n">
        <x:v>0.010000000000000002</x:v>
      </x:c>
      <x:c r="M138" s="11" t="str">
        <x:v>INDETERMINATE</x:v>
      </x:c>
      <x:c r="N138" s="11" t="n">
        <x:v>1</x:v>
      </x:c>
      <x:c r="O138" s="13" t="n">
        <x:v>0</x:v>
      </x:c>
      <x:c r="P138" s="11" t="str">
        <x:f>IF(AND(N138=1,L138&lt;=J138/4,ABS(K138-J138)&lt;=L138),"PASS","FAIL")</x:f>
        <x:v>PASS</x:v>
      </x:c>
      <x:c r="Q138" s="11" t="str">
        <x:f>IF(P138&lt;&gt;"PASS","FAIL",IF(O138=1,"PASS","OPEN"))</x:f>
        <x:v>OPEN</x:v>
      </x:c>
    </x:row>
    <x:row r="139">
      <x:c r="B139" s="11" t="str">
        <x:v>RA-SA3-06-B1-T0</x:v>
      </x:c>
      <x:c r="C139" s="11" t="str">
        <x:v>RA-SA3-06-B1</x:v>
      </x:c>
      <x:c r="D139" s="11" t="str">
        <x:v>SA3</x:v>
      </x:c>
      <x:c r="E139" s="11" t="str">
        <x:v>B</x:v>
      </x:c>
      <x:c r="F139" s="11" t="str">
        <x:v>T0</x:v>
      </x:c>
      <x:c r="G139" s="11" t="str">
        <x:v>datum and blank</x:v>
      </x:c>
      <x:c r="H139" s="11" t="str">
        <x:v>permanent bore change</x:v>
      </x:c>
      <x:c r="I139" s="11" t="str">
        <x:v>mm</x:v>
      </x:c>
      <x:c r="J139" s="17" t="n">
        <x:v>0.1</x:v>
      </x:c>
      <x:c r="K139" s="17" t="n">
        <x:v>0</x:v>
      </x:c>
      <x:c r="L139" s="17" t="n">
        <x:v>0.010000000000000002</x:v>
      </x:c>
      <x:c r="M139" s="11" t="str">
        <x:v>ACCEPT</x:v>
      </x:c>
      <x:c r="N139" s="11" t="n">
        <x:v>1</x:v>
      </x:c>
      <x:c r="O139" s="13" t="n">
        <x:v>0</x:v>
      </x:c>
      <x:c r="P139" s="11" t="str">
        <x:f>IF(AND(N139=1,L139&lt;=J139/4,K139=0),"PASS","FAIL")</x:f>
        <x:v>PASS</x:v>
      </x:c>
      <x:c r="Q139" s="11" t="str">
        <x:f>IF(P139&lt;&gt;"PASS","FAIL",IF(O139=1,"PASS","OPEN"))</x:f>
        <x:v>OPEN</x:v>
      </x:c>
    </x:row>
    <x:row r="140">
      <x:c r="B140" s="11" t="str">
        <x:v>RA-SA3-06-B1-T1</x:v>
      </x:c>
      <x:c r="C140" s="11" t="str">
        <x:v>RA-SA3-06-B1</x:v>
      </x:c>
      <x:c r="D140" s="11" t="str">
        <x:v>SA3</x:v>
      </x:c>
      <x:c r="E140" s="11" t="str">
        <x:v>B</x:v>
      </x:c>
      <x:c r="F140" s="11" t="str">
        <x:v>T1</x:v>
      </x:c>
      <x:c r="G140" s="11" t="str">
        <x:v>known compliant</x:v>
      </x:c>
      <x:c r="H140" s="11" t="str">
        <x:v>permanent bore change</x:v>
      </x:c>
      <x:c r="I140" s="11" t="str">
        <x:v>mm</x:v>
      </x:c>
      <x:c r="J140" s="17" t="n">
        <x:v>0.1</x:v>
      </x:c>
      <x:c r="K140" s="17" t="n">
        <x:v>0.049999999999999996</x:v>
      </x:c>
      <x:c r="L140" s="17" t="n">
        <x:v>0.010000000000000002</x:v>
      </x:c>
      <x:c r="M140" s="11" t="str">
        <x:v>ACCEPT</x:v>
      </x:c>
      <x:c r="N140" s="11" t="n">
        <x:v>1</x:v>
      </x:c>
      <x:c r="O140" s="13" t="n">
        <x:v>0</x:v>
      </x:c>
      <x:c r="P140" s="11" t="str">
        <x:f>IF(AND(N140=1,L140&lt;=J140/4,K140&lt;J140-L140),"PASS","FAIL")</x:f>
        <x:v>PASS</x:v>
      </x:c>
      <x:c r="Q140" s="11" t="str">
        <x:f>IF(P140&lt;&gt;"PASS","FAIL",IF(O140=1,"PASS","OPEN"))</x:f>
        <x:v>OPEN</x:v>
      </x:c>
    </x:row>
    <x:row r="141">
      <x:c r="B141" s="11" t="str">
        <x:v>RA-SA3-06-B1-T2</x:v>
      </x:c>
      <x:c r="C141" s="11" t="str">
        <x:v>RA-SA3-06-B1</x:v>
      </x:c>
      <x:c r="D141" s="11" t="str">
        <x:v>SA3</x:v>
      </x:c>
      <x:c r="E141" s="11" t="str">
        <x:v>B</x:v>
      </x:c>
      <x:c r="F141" s="11" t="str">
        <x:v>T2</x:v>
      </x:c>
      <x:c r="G141" s="11" t="str">
        <x:v>known nonconforming</x:v>
      </x:c>
      <x:c r="H141" s="11" t="str">
        <x:v>permanent bore change</x:v>
      </x:c>
      <x:c r="I141" s="11" t="str">
        <x:v>mm</x:v>
      </x:c>
      <x:c r="J141" s="17" t="n">
        <x:v>0.1</x:v>
      </x:c>
      <x:c r="K141" s="17" t="n">
        <x:v>0.15000000000000002</x:v>
      </x:c>
      <x:c r="L141" s="17" t="n">
        <x:v>0.010000000000000002</x:v>
      </x:c>
      <x:c r="M141" s="11" t="str">
        <x:v>REJECT</x:v>
      </x:c>
      <x:c r="N141" s="11" t="n">
        <x:v>1</x:v>
      </x:c>
      <x:c r="O141" s="13" t="n">
        <x:v>0</x:v>
      </x:c>
      <x:c r="P141" s="11" t="str">
        <x:f>IF(AND(N141=1,L141&lt;=J141/4,K141&gt;J141+L141),"PASS","FAIL")</x:f>
        <x:v>PASS</x:v>
      </x:c>
      <x:c r="Q141" s="11" t="str">
        <x:f>IF(P141&lt;&gt;"PASS","FAIL",IF(O141=1,"PASS","OPEN"))</x:f>
        <x:v>OPEN</x:v>
      </x:c>
    </x:row>
    <x:row r="142">
      <x:c r="B142" s="11" t="str">
        <x:v>RA-SA3-06-B1-T3</x:v>
      </x:c>
      <x:c r="C142" s="11" t="str">
        <x:v>RA-SA3-06-B1</x:v>
      </x:c>
      <x:c r="D142" s="11" t="str">
        <x:v>SA3</x:v>
      </x:c>
      <x:c r="E142" s="11" t="str">
        <x:v>B</x:v>
      </x:c>
      <x:c r="F142" s="11" t="str">
        <x:v>T3</x:v>
      </x:c>
      <x:c r="G142" s="11" t="str">
        <x:v>decision boundary</x:v>
      </x:c>
      <x:c r="H142" s="11" t="str">
        <x:v>permanent bore change</x:v>
      </x:c>
      <x:c r="I142" s="11" t="str">
        <x:v>mm</x:v>
      </x:c>
      <x:c r="J142" s="17" t="n">
        <x:v>0.1</x:v>
      </x:c>
      <x:c r="K142" s="17" t="n">
        <x:v>0.1</x:v>
      </x:c>
      <x:c r="L142" s="17" t="n">
        <x:v>0.010000000000000002</x:v>
      </x:c>
      <x:c r="M142" s="11" t="str">
        <x:v>INDETERMINATE</x:v>
      </x:c>
      <x:c r="N142" s="11" t="n">
        <x:v>1</x:v>
      </x:c>
      <x:c r="O142" s="13" t="n">
        <x:v>0</x:v>
      </x:c>
      <x:c r="P142" s="11" t="str">
        <x:f>IF(AND(N142=1,L142&lt;=J142/4,ABS(K142-J142)&lt;=L142),"PASS","FAIL")</x:f>
        <x:v>PASS</x:v>
      </x:c>
      <x:c r="Q142" s="11" t="str">
        <x:f>IF(P142&lt;&gt;"PASS","FAIL",IF(O142=1,"PASS","OPEN"))</x:f>
        <x:v>OPEN</x:v>
      </x:c>
    </x:row>
    <x:row r="143">
      <x:c r="B143" s="11" t="str">
        <x:v>RA-SA3-06-B2-T0</x:v>
      </x:c>
      <x:c r="C143" s="11" t="str">
        <x:v>RA-SA3-06-B2</x:v>
      </x:c>
      <x:c r="D143" s="11" t="str">
        <x:v>SA3</x:v>
      </x:c>
      <x:c r="E143" s="11" t="str">
        <x:v>B</x:v>
      </x:c>
      <x:c r="F143" s="11" t="str">
        <x:v>T0</x:v>
      </x:c>
      <x:c r="G143" s="11" t="str">
        <x:v>datum and blank</x:v>
      </x:c>
      <x:c r="H143" s="11" t="str">
        <x:v>permanent bore change</x:v>
      </x:c>
      <x:c r="I143" s="11" t="str">
        <x:v>mm</x:v>
      </x:c>
      <x:c r="J143" s="17" t="n">
        <x:v>0.1</x:v>
      </x:c>
      <x:c r="K143" s="17" t="n">
        <x:v>0</x:v>
      </x:c>
      <x:c r="L143" s="17" t="n">
        <x:v>0.010000000000000002</x:v>
      </x:c>
      <x:c r="M143" s="11" t="str">
        <x:v>ACCEPT</x:v>
      </x:c>
      <x:c r="N143" s="11" t="n">
        <x:v>1</x:v>
      </x:c>
      <x:c r="O143" s="13" t="n">
        <x:v>0</x:v>
      </x:c>
      <x:c r="P143" s="11" t="str">
        <x:f>IF(AND(N143=1,L143&lt;=J143/4,K143=0),"PASS","FAIL")</x:f>
        <x:v>PASS</x:v>
      </x:c>
      <x:c r="Q143" s="11" t="str">
        <x:f>IF(P143&lt;&gt;"PASS","FAIL",IF(O143=1,"PASS","OPEN"))</x:f>
        <x:v>OPEN</x:v>
      </x:c>
    </x:row>
    <x:row r="144">
      <x:c r="B144" s="11" t="str">
        <x:v>RA-SA3-06-B2-T1</x:v>
      </x:c>
      <x:c r="C144" s="11" t="str">
        <x:v>RA-SA3-06-B2</x:v>
      </x:c>
      <x:c r="D144" s="11" t="str">
        <x:v>SA3</x:v>
      </x:c>
      <x:c r="E144" s="11" t="str">
        <x:v>B</x:v>
      </x:c>
      <x:c r="F144" s="11" t="str">
        <x:v>T1</x:v>
      </x:c>
      <x:c r="G144" s="11" t="str">
        <x:v>known compliant</x:v>
      </x:c>
      <x:c r="H144" s="11" t="str">
        <x:v>permanent bore change</x:v>
      </x:c>
      <x:c r="I144" s="11" t="str">
        <x:v>mm</x:v>
      </x:c>
      <x:c r="J144" s="17" t="n">
        <x:v>0.1</x:v>
      </x:c>
      <x:c r="K144" s="17" t="n">
        <x:v>0.049999999999999996</x:v>
      </x:c>
      <x:c r="L144" s="17" t="n">
        <x:v>0.010000000000000002</x:v>
      </x:c>
      <x:c r="M144" s="11" t="str">
        <x:v>ACCEPT</x:v>
      </x:c>
      <x:c r="N144" s="11" t="n">
        <x:v>1</x:v>
      </x:c>
      <x:c r="O144" s="13" t="n">
        <x:v>0</x:v>
      </x:c>
      <x:c r="P144" s="11" t="str">
        <x:f>IF(AND(N144=1,L144&lt;=J144/4,K144&lt;J144-L144),"PASS","FAIL")</x:f>
        <x:v>PASS</x:v>
      </x:c>
      <x:c r="Q144" s="11" t="str">
        <x:f>IF(P144&lt;&gt;"PASS","FAIL",IF(O144=1,"PASS","OPEN"))</x:f>
        <x:v>OPEN</x:v>
      </x:c>
    </x:row>
    <x:row r="145">
      <x:c r="B145" s="11" t="str">
        <x:v>RA-SA3-06-B2-T2</x:v>
      </x:c>
      <x:c r="C145" s="11" t="str">
        <x:v>RA-SA3-06-B2</x:v>
      </x:c>
      <x:c r="D145" s="11" t="str">
        <x:v>SA3</x:v>
      </x:c>
      <x:c r="E145" s="11" t="str">
        <x:v>B</x:v>
      </x:c>
      <x:c r="F145" s="11" t="str">
        <x:v>T2</x:v>
      </x:c>
      <x:c r="G145" s="11" t="str">
        <x:v>known nonconforming</x:v>
      </x:c>
      <x:c r="H145" s="11" t="str">
        <x:v>permanent bore change</x:v>
      </x:c>
      <x:c r="I145" s="11" t="str">
        <x:v>mm</x:v>
      </x:c>
      <x:c r="J145" s="17" t="n">
        <x:v>0.1</x:v>
      </x:c>
      <x:c r="K145" s="17" t="n">
        <x:v>0.15000000000000002</x:v>
      </x:c>
      <x:c r="L145" s="17" t="n">
        <x:v>0.010000000000000002</x:v>
      </x:c>
      <x:c r="M145" s="11" t="str">
        <x:v>REJECT</x:v>
      </x:c>
      <x:c r="N145" s="11" t="n">
        <x:v>1</x:v>
      </x:c>
      <x:c r="O145" s="13" t="n">
        <x:v>0</x:v>
      </x:c>
      <x:c r="P145" s="11" t="str">
        <x:f>IF(AND(N145=1,L145&lt;=J145/4,K145&gt;J145+L145),"PASS","FAIL")</x:f>
        <x:v>PASS</x:v>
      </x:c>
      <x:c r="Q145" s="11" t="str">
        <x:f>IF(P145&lt;&gt;"PASS","FAIL",IF(O145=1,"PASS","OPEN"))</x:f>
        <x:v>OPEN</x:v>
      </x:c>
    </x:row>
    <x:row r="146">
      <x:c r="B146" s="11" t="str">
        <x:v>RA-SA3-06-B2-T3</x:v>
      </x:c>
      <x:c r="C146" s="11" t="str">
        <x:v>RA-SA3-06-B2</x:v>
      </x:c>
      <x:c r="D146" s="11" t="str">
        <x:v>SA3</x:v>
      </x:c>
      <x:c r="E146" s="11" t="str">
        <x:v>B</x:v>
      </x:c>
      <x:c r="F146" s="11" t="str">
        <x:v>T3</x:v>
      </x:c>
      <x:c r="G146" s="11" t="str">
        <x:v>decision boundary</x:v>
      </x:c>
      <x:c r="H146" s="11" t="str">
        <x:v>permanent bore change</x:v>
      </x:c>
      <x:c r="I146" s="11" t="str">
        <x:v>mm</x:v>
      </x:c>
      <x:c r="J146" s="17" t="n">
        <x:v>0.1</x:v>
      </x:c>
      <x:c r="K146" s="17" t="n">
        <x:v>0.1</x:v>
      </x:c>
      <x:c r="L146" s="17" t="n">
        <x:v>0.010000000000000002</x:v>
      </x:c>
      <x:c r="M146" s="11" t="str">
        <x:v>INDETERMINATE</x:v>
      </x:c>
      <x:c r="N146" s="11" t="n">
        <x:v>1</x:v>
      </x:c>
      <x:c r="O146" s="13" t="n">
        <x:v>0</x:v>
      </x:c>
      <x:c r="P146" s="11" t="str">
        <x:f>IF(AND(N146=1,L146&lt;=J146/4,ABS(K146-J146)&lt;=L146),"PASS","FAIL")</x:f>
        <x:v>PASS</x:v>
      </x:c>
      <x:c r="Q146" s="11" t="str">
        <x:f>IF(P146&lt;&gt;"PASS","FAIL",IF(O146=1,"PASS","OPEN"))</x:f>
        <x:v>OPEN</x:v>
      </x:c>
    </x:row>
    <x:row r="147">
      <x:c r="B147" s="11" t="str">
        <x:v>RA-SA3-06-B3-T0</x:v>
      </x:c>
      <x:c r="C147" s="11" t="str">
        <x:v>RA-SA3-06-B3</x:v>
      </x:c>
      <x:c r="D147" s="11" t="str">
        <x:v>SA3</x:v>
      </x:c>
      <x:c r="E147" s="11" t="str">
        <x:v>B</x:v>
      </x:c>
      <x:c r="F147" s="11" t="str">
        <x:v>T0</x:v>
      </x:c>
      <x:c r="G147" s="11" t="str">
        <x:v>datum and blank</x:v>
      </x:c>
      <x:c r="H147" s="11" t="str">
        <x:v>permanent bore change</x:v>
      </x:c>
      <x:c r="I147" s="11" t="str">
        <x:v>mm</x:v>
      </x:c>
      <x:c r="J147" s="17" t="n">
        <x:v>0.1</x:v>
      </x:c>
      <x:c r="K147" s="17" t="n">
        <x:v>0</x:v>
      </x:c>
      <x:c r="L147" s="17" t="n">
        <x:v>0.010000000000000002</x:v>
      </x:c>
      <x:c r="M147" s="11" t="str">
        <x:v>ACCEPT</x:v>
      </x:c>
      <x:c r="N147" s="11" t="n">
        <x:v>1</x:v>
      </x:c>
      <x:c r="O147" s="13" t="n">
        <x:v>0</x:v>
      </x:c>
      <x:c r="P147" s="11" t="str">
        <x:f>IF(AND(N147=1,L147&lt;=J147/4,K147=0),"PASS","FAIL")</x:f>
        <x:v>PASS</x:v>
      </x:c>
      <x:c r="Q147" s="11" t="str">
        <x:f>IF(P147&lt;&gt;"PASS","FAIL",IF(O147=1,"PASS","OPEN"))</x:f>
        <x:v>OPEN</x:v>
      </x:c>
    </x:row>
    <x:row r="148">
      <x:c r="B148" s="11" t="str">
        <x:v>RA-SA3-06-B3-T1</x:v>
      </x:c>
      <x:c r="C148" s="11" t="str">
        <x:v>RA-SA3-06-B3</x:v>
      </x:c>
      <x:c r="D148" s="11" t="str">
        <x:v>SA3</x:v>
      </x:c>
      <x:c r="E148" s="11" t="str">
        <x:v>B</x:v>
      </x:c>
      <x:c r="F148" s="11" t="str">
        <x:v>T1</x:v>
      </x:c>
      <x:c r="G148" s="11" t="str">
        <x:v>known compliant</x:v>
      </x:c>
      <x:c r="H148" s="11" t="str">
        <x:v>permanent bore change</x:v>
      </x:c>
      <x:c r="I148" s="11" t="str">
        <x:v>mm</x:v>
      </x:c>
      <x:c r="J148" s="17" t="n">
        <x:v>0.1</x:v>
      </x:c>
      <x:c r="K148" s="17" t="n">
        <x:v>0.049999999999999996</x:v>
      </x:c>
      <x:c r="L148" s="17" t="n">
        <x:v>0.010000000000000002</x:v>
      </x:c>
      <x:c r="M148" s="11" t="str">
        <x:v>ACCEPT</x:v>
      </x:c>
      <x:c r="N148" s="11" t="n">
        <x:v>1</x:v>
      </x:c>
      <x:c r="O148" s="13" t="n">
        <x:v>0</x:v>
      </x:c>
      <x:c r="P148" s="11" t="str">
        <x:f>IF(AND(N148=1,L148&lt;=J148/4,K148&lt;J148-L148),"PASS","FAIL")</x:f>
        <x:v>PASS</x:v>
      </x:c>
      <x:c r="Q148" s="11" t="str">
        <x:f>IF(P148&lt;&gt;"PASS","FAIL",IF(O148=1,"PASS","OPEN"))</x:f>
        <x:v>OPEN</x:v>
      </x:c>
    </x:row>
    <x:row r="149">
      <x:c r="B149" s="11" t="str">
        <x:v>RA-SA3-06-B3-T2</x:v>
      </x:c>
      <x:c r="C149" s="11" t="str">
        <x:v>RA-SA3-06-B3</x:v>
      </x:c>
      <x:c r="D149" s="11" t="str">
        <x:v>SA3</x:v>
      </x:c>
      <x:c r="E149" s="11" t="str">
        <x:v>B</x:v>
      </x:c>
      <x:c r="F149" s="11" t="str">
        <x:v>T2</x:v>
      </x:c>
      <x:c r="G149" s="11" t="str">
        <x:v>known nonconforming</x:v>
      </x:c>
      <x:c r="H149" s="11" t="str">
        <x:v>permanent bore change</x:v>
      </x:c>
      <x:c r="I149" s="11" t="str">
        <x:v>mm</x:v>
      </x:c>
      <x:c r="J149" s="17" t="n">
        <x:v>0.1</x:v>
      </x:c>
      <x:c r="K149" s="17" t="n">
        <x:v>0.15000000000000002</x:v>
      </x:c>
      <x:c r="L149" s="17" t="n">
        <x:v>0.010000000000000002</x:v>
      </x:c>
      <x:c r="M149" s="11" t="str">
        <x:v>REJECT</x:v>
      </x:c>
      <x:c r="N149" s="11" t="n">
        <x:v>1</x:v>
      </x:c>
      <x:c r="O149" s="13" t="n">
        <x:v>0</x:v>
      </x:c>
      <x:c r="P149" s="11" t="str">
        <x:f>IF(AND(N149=1,L149&lt;=J149/4,K149&gt;J149+L149),"PASS","FAIL")</x:f>
        <x:v>PASS</x:v>
      </x:c>
      <x:c r="Q149" s="11" t="str">
        <x:f>IF(P149&lt;&gt;"PASS","FAIL",IF(O149=1,"PASS","OPEN"))</x:f>
        <x:v>OPEN</x:v>
      </x:c>
    </x:row>
    <x:row r="150">
      <x:c r="B150" s="11" t="str">
        <x:v>RA-SA3-06-B3-T3</x:v>
      </x:c>
      <x:c r="C150" s="11" t="str">
        <x:v>RA-SA3-06-B3</x:v>
      </x:c>
      <x:c r="D150" s="11" t="str">
        <x:v>SA3</x:v>
      </x:c>
      <x:c r="E150" s="11" t="str">
        <x:v>B</x:v>
      </x:c>
      <x:c r="F150" s="11" t="str">
        <x:v>T3</x:v>
      </x:c>
      <x:c r="G150" s="11" t="str">
        <x:v>decision boundary</x:v>
      </x:c>
      <x:c r="H150" s="11" t="str">
        <x:v>permanent bore change</x:v>
      </x:c>
      <x:c r="I150" s="11" t="str">
        <x:v>mm</x:v>
      </x:c>
      <x:c r="J150" s="17" t="n">
        <x:v>0.1</x:v>
      </x:c>
      <x:c r="K150" s="17" t="n">
        <x:v>0.1</x:v>
      </x:c>
      <x:c r="L150" s="17" t="n">
        <x:v>0.010000000000000002</x:v>
      </x:c>
      <x:c r="M150" s="11" t="str">
        <x:v>INDETERMINATE</x:v>
      </x:c>
      <x:c r="N150" s="11" t="n">
        <x:v>1</x:v>
      </x:c>
      <x:c r="O150" s="13" t="n">
        <x:v>0</x:v>
      </x:c>
      <x:c r="P150" s="11" t="str">
        <x:f>IF(AND(N150=1,L150&lt;=J150/4,ABS(K150-J150)&lt;=L150),"PASS","FAIL")</x:f>
        <x:v>PASS</x:v>
      </x:c>
      <x:c r="Q150" s="11" t="str">
        <x:f>IF(P150&lt;&gt;"PASS","FAIL",IF(O150=1,"PASS","OPEN"))</x:f>
        <x:v>OPEN</x:v>
      </x:c>
    </x:row>
    <x:row r="151">
      <x:c r="B151" s="11" t="str">
        <x:v>RA-SA4-07-A1-T0</x:v>
      </x:c>
      <x:c r="C151" s="11" t="str">
        <x:v>RA-SA4-07-A1</x:v>
      </x:c>
      <x:c r="D151" s="11" t="str">
        <x:v>SA4</x:v>
      </x:c>
      <x:c r="E151" s="11" t="str">
        <x:v>A</x:v>
      </x:c>
      <x:c r="F151" s="11" t="str">
        <x:v>T0</x:v>
      </x:c>
      <x:c r="G151" s="11" t="str">
        <x:v>datum and blank</x:v>
      </x:c>
      <x:c r="H151" s="11" t="str">
        <x:v>fault clearing time</x:v>
      </x:c>
      <x:c r="I151" s="11" t="str">
        <x:v>ms</x:v>
      </x:c>
      <x:c r="J151" s="17" t="n">
        <x:v>100</x:v>
      </x:c>
      <x:c r="K151" s="17" t="n">
        <x:v>0</x:v>
      </x:c>
      <x:c r="L151" s="17" t="n">
        <x:v>10</x:v>
      </x:c>
      <x:c r="M151" s="11" t="str">
        <x:v>ACCEPT</x:v>
      </x:c>
      <x:c r="N151" s="11" t="n">
        <x:v>1</x:v>
      </x:c>
      <x:c r="O151" s="13" t="n">
        <x:v>0</x:v>
      </x:c>
      <x:c r="P151" s="11" t="str">
        <x:f>IF(AND(N151=1,L151&lt;=J151/4,K151=0),"PASS","FAIL")</x:f>
        <x:v>PASS</x:v>
      </x:c>
      <x:c r="Q151" s="11" t="str">
        <x:f>IF(P151&lt;&gt;"PASS","FAIL",IF(O151=1,"PASS","OPEN"))</x:f>
        <x:v>OPEN</x:v>
      </x:c>
    </x:row>
    <x:row r="152">
      <x:c r="B152" s="11" t="str">
        <x:v>RA-SA4-07-A1-T1</x:v>
      </x:c>
      <x:c r="C152" s="11" t="str">
        <x:v>RA-SA4-07-A1</x:v>
      </x:c>
      <x:c r="D152" s="11" t="str">
        <x:v>SA4</x:v>
      </x:c>
      <x:c r="E152" s="11" t="str">
        <x:v>A</x:v>
      </x:c>
      <x:c r="F152" s="11" t="str">
        <x:v>T1</x:v>
      </x:c>
      <x:c r="G152" s="11" t="str">
        <x:v>known compliant</x:v>
      </x:c>
      <x:c r="H152" s="11" t="str">
        <x:v>fault clearing time</x:v>
      </x:c>
      <x:c r="I152" s="11" t="str">
        <x:v>ms</x:v>
      </x:c>
      <x:c r="J152" s="17" t="n">
        <x:v>100</x:v>
      </x:c>
      <x:c r="K152" s="17" t="n">
        <x:v>50</x:v>
      </x:c>
      <x:c r="L152" s="17" t="n">
        <x:v>10</x:v>
      </x:c>
      <x:c r="M152" s="11" t="str">
        <x:v>ACCEPT</x:v>
      </x:c>
      <x:c r="N152" s="11" t="n">
        <x:v>1</x:v>
      </x:c>
      <x:c r="O152" s="13" t="n">
        <x:v>0</x:v>
      </x:c>
      <x:c r="P152" s="11" t="str">
        <x:f>IF(AND(N152=1,L152&lt;=J152/4,K152&lt;J152-L152),"PASS","FAIL")</x:f>
        <x:v>PASS</x:v>
      </x:c>
      <x:c r="Q152" s="11" t="str">
        <x:f>IF(P152&lt;&gt;"PASS","FAIL",IF(O152=1,"PASS","OPEN"))</x:f>
        <x:v>OPEN</x:v>
      </x:c>
    </x:row>
    <x:row r="153">
      <x:c r="B153" s="11" t="str">
        <x:v>RA-SA4-07-A1-T2</x:v>
      </x:c>
      <x:c r="C153" s="11" t="str">
        <x:v>RA-SA4-07-A1</x:v>
      </x:c>
      <x:c r="D153" s="11" t="str">
        <x:v>SA4</x:v>
      </x:c>
      <x:c r="E153" s="11" t="str">
        <x:v>A</x:v>
      </x:c>
      <x:c r="F153" s="11" t="str">
        <x:v>T2</x:v>
      </x:c>
      <x:c r="G153" s="11" t="str">
        <x:v>known nonconforming</x:v>
      </x:c>
      <x:c r="H153" s="11" t="str">
        <x:v>fault clearing time</x:v>
      </x:c>
      <x:c r="I153" s="11" t="str">
        <x:v>ms</x:v>
      </x:c>
      <x:c r="J153" s="17" t="n">
        <x:v>100</x:v>
      </x:c>
      <x:c r="K153" s="17" t="n">
        <x:v>150</x:v>
      </x:c>
      <x:c r="L153" s="17" t="n">
        <x:v>10</x:v>
      </x:c>
      <x:c r="M153" s="11" t="str">
        <x:v>REJECT</x:v>
      </x:c>
      <x:c r="N153" s="11" t="n">
        <x:v>1</x:v>
      </x:c>
      <x:c r="O153" s="13" t="n">
        <x:v>0</x:v>
      </x:c>
      <x:c r="P153" s="11" t="str">
        <x:f>IF(AND(N153=1,L153&lt;=J153/4,K153&gt;J153+L153),"PASS","FAIL")</x:f>
        <x:v>PASS</x:v>
      </x:c>
      <x:c r="Q153" s="11" t="str">
        <x:f>IF(P153&lt;&gt;"PASS","FAIL",IF(O153=1,"PASS","OPEN"))</x:f>
        <x:v>OPEN</x:v>
      </x:c>
    </x:row>
    <x:row r="154">
      <x:c r="B154" s="11" t="str">
        <x:v>RA-SA4-07-A1-T3</x:v>
      </x:c>
      <x:c r="C154" s="11" t="str">
        <x:v>RA-SA4-07-A1</x:v>
      </x:c>
      <x:c r="D154" s="11" t="str">
        <x:v>SA4</x:v>
      </x:c>
      <x:c r="E154" s="11" t="str">
        <x:v>A</x:v>
      </x:c>
      <x:c r="F154" s="11" t="str">
        <x:v>T3</x:v>
      </x:c>
      <x:c r="G154" s="11" t="str">
        <x:v>decision boundary</x:v>
      </x:c>
      <x:c r="H154" s="11" t="str">
        <x:v>fault clearing time</x:v>
      </x:c>
      <x:c r="I154" s="11" t="str">
        <x:v>ms</x:v>
      </x:c>
      <x:c r="J154" s="17" t="n">
        <x:v>100</x:v>
      </x:c>
      <x:c r="K154" s="17" t="n">
        <x:v>100</x:v>
      </x:c>
      <x:c r="L154" s="17" t="n">
        <x:v>10</x:v>
      </x:c>
      <x:c r="M154" s="11" t="str">
        <x:v>INDETERMINATE</x:v>
      </x:c>
      <x:c r="N154" s="11" t="n">
        <x:v>1</x:v>
      </x:c>
      <x:c r="O154" s="13" t="n">
        <x:v>0</x:v>
      </x:c>
      <x:c r="P154" s="11" t="str">
        <x:f>IF(AND(N154=1,L154&lt;=J154/4,ABS(K154-J154)&lt;=L154),"PASS","FAIL")</x:f>
        <x:v>PASS</x:v>
      </x:c>
      <x:c r="Q154" s="11" t="str">
        <x:f>IF(P154&lt;&gt;"PASS","FAIL",IF(O154=1,"PASS","OPEN"))</x:f>
        <x:v>OPEN</x:v>
      </x:c>
    </x:row>
    <x:row r="155">
      <x:c r="B155" s="11" t="str">
        <x:v>RA-SA4-07-A2-T0</x:v>
      </x:c>
      <x:c r="C155" s="11" t="str">
        <x:v>RA-SA4-07-A2</x:v>
      </x:c>
      <x:c r="D155" s="11" t="str">
        <x:v>SA4</x:v>
      </x:c>
      <x:c r="E155" s="11" t="str">
        <x:v>A</x:v>
      </x:c>
      <x:c r="F155" s="11" t="str">
        <x:v>T0</x:v>
      </x:c>
      <x:c r="G155" s="11" t="str">
        <x:v>datum and blank</x:v>
      </x:c>
      <x:c r="H155" s="11" t="str">
        <x:v>fault clearing time</x:v>
      </x:c>
      <x:c r="I155" s="11" t="str">
        <x:v>ms</x:v>
      </x:c>
      <x:c r="J155" s="17" t="n">
        <x:v>100</x:v>
      </x:c>
      <x:c r="K155" s="17" t="n">
        <x:v>0</x:v>
      </x:c>
      <x:c r="L155" s="17" t="n">
        <x:v>10</x:v>
      </x:c>
      <x:c r="M155" s="11" t="str">
        <x:v>ACCEPT</x:v>
      </x:c>
      <x:c r="N155" s="11" t="n">
        <x:v>1</x:v>
      </x:c>
      <x:c r="O155" s="13" t="n">
        <x:v>0</x:v>
      </x:c>
      <x:c r="P155" s="11" t="str">
        <x:f>IF(AND(N155=1,L155&lt;=J155/4,K155=0),"PASS","FAIL")</x:f>
        <x:v>PASS</x:v>
      </x:c>
      <x:c r="Q155" s="11" t="str">
        <x:f>IF(P155&lt;&gt;"PASS","FAIL",IF(O155=1,"PASS","OPEN"))</x:f>
        <x:v>OPEN</x:v>
      </x:c>
    </x:row>
    <x:row r="156">
      <x:c r="B156" s="11" t="str">
        <x:v>RA-SA4-07-A2-T1</x:v>
      </x:c>
      <x:c r="C156" s="11" t="str">
        <x:v>RA-SA4-07-A2</x:v>
      </x:c>
      <x:c r="D156" s="11" t="str">
        <x:v>SA4</x:v>
      </x:c>
      <x:c r="E156" s="11" t="str">
        <x:v>A</x:v>
      </x:c>
      <x:c r="F156" s="11" t="str">
        <x:v>T1</x:v>
      </x:c>
      <x:c r="G156" s="11" t="str">
        <x:v>known compliant</x:v>
      </x:c>
      <x:c r="H156" s="11" t="str">
        <x:v>fault clearing time</x:v>
      </x:c>
      <x:c r="I156" s="11" t="str">
        <x:v>ms</x:v>
      </x:c>
      <x:c r="J156" s="17" t="n">
        <x:v>100</x:v>
      </x:c>
      <x:c r="K156" s="17" t="n">
        <x:v>50</x:v>
      </x:c>
      <x:c r="L156" s="17" t="n">
        <x:v>10</x:v>
      </x:c>
      <x:c r="M156" s="11" t="str">
        <x:v>ACCEPT</x:v>
      </x:c>
      <x:c r="N156" s="11" t="n">
        <x:v>1</x:v>
      </x:c>
      <x:c r="O156" s="13" t="n">
        <x:v>0</x:v>
      </x:c>
      <x:c r="P156" s="11" t="str">
        <x:f>IF(AND(N156=1,L156&lt;=J156/4,K156&lt;J156-L156),"PASS","FAIL")</x:f>
        <x:v>PASS</x:v>
      </x:c>
      <x:c r="Q156" s="11" t="str">
        <x:f>IF(P156&lt;&gt;"PASS","FAIL",IF(O156=1,"PASS","OPEN"))</x:f>
        <x:v>OPEN</x:v>
      </x:c>
    </x:row>
    <x:row r="157">
      <x:c r="B157" s="11" t="str">
        <x:v>RA-SA4-07-A2-T2</x:v>
      </x:c>
      <x:c r="C157" s="11" t="str">
        <x:v>RA-SA4-07-A2</x:v>
      </x:c>
      <x:c r="D157" s="11" t="str">
        <x:v>SA4</x:v>
      </x:c>
      <x:c r="E157" s="11" t="str">
        <x:v>A</x:v>
      </x:c>
      <x:c r="F157" s="11" t="str">
        <x:v>T2</x:v>
      </x:c>
      <x:c r="G157" s="11" t="str">
        <x:v>known nonconforming</x:v>
      </x:c>
      <x:c r="H157" s="11" t="str">
        <x:v>fault clearing time</x:v>
      </x:c>
      <x:c r="I157" s="11" t="str">
        <x:v>ms</x:v>
      </x:c>
      <x:c r="J157" s="17" t="n">
        <x:v>100</x:v>
      </x:c>
      <x:c r="K157" s="17" t="n">
        <x:v>150</x:v>
      </x:c>
      <x:c r="L157" s="17" t="n">
        <x:v>10</x:v>
      </x:c>
      <x:c r="M157" s="11" t="str">
        <x:v>REJECT</x:v>
      </x:c>
      <x:c r="N157" s="11" t="n">
        <x:v>1</x:v>
      </x:c>
      <x:c r="O157" s="13" t="n">
        <x:v>0</x:v>
      </x:c>
      <x:c r="P157" s="11" t="str">
        <x:f>IF(AND(N157=1,L157&lt;=J157/4,K157&gt;J157+L157),"PASS","FAIL")</x:f>
        <x:v>PASS</x:v>
      </x:c>
      <x:c r="Q157" s="11" t="str">
        <x:f>IF(P157&lt;&gt;"PASS","FAIL",IF(O157=1,"PASS","OPEN"))</x:f>
        <x:v>OPEN</x:v>
      </x:c>
    </x:row>
    <x:row r="158">
      <x:c r="B158" s="11" t="str">
        <x:v>RA-SA4-07-A2-T3</x:v>
      </x:c>
      <x:c r="C158" s="11" t="str">
        <x:v>RA-SA4-07-A2</x:v>
      </x:c>
      <x:c r="D158" s="11" t="str">
        <x:v>SA4</x:v>
      </x:c>
      <x:c r="E158" s="11" t="str">
        <x:v>A</x:v>
      </x:c>
      <x:c r="F158" s="11" t="str">
        <x:v>T3</x:v>
      </x:c>
      <x:c r="G158" s="11" t="str">
        <x:v>decision boundary</x:v>
      </x:c>
      <x:c r="H158" s="11" t="str">
        <x:v>fault clearing time</x:v>
      </x:c>
      <x:c r="I158" s="11" t="str">
        <x:v>ms</x:v>
      </x:c>
      <x:c r="J158" s="17" t="n">
        <x:v>100</x:v>
      </x:c>
      <x:c r="K158" s="17" t="n">
        <x:v>100</x:v>
      </x:c>
      <x:c r="L158" s="17" t="n">
        <x:v>10</x:v>
      </x:c>
      <x:c r="M158" s="11" t="str">
        <x:v>INDETERMINATE</x:v>
      </x:c>
      <x:c r="N158" s="11" t="n">
        <x:v>1</x:v>
      </x:c>
      <x:c r="O158" s="13" t="n">
        <x:v>0</x:v>
      </x:c>
      <x:c r="P158" s="11" t="str">
        <x:f>IF(AND(N158=1,L158&lt;=J158/4,ABS(K158-J158)&lt;=L158),"PASS","FAIL")</x:f>
        <x:v>PASS</x:v>
      </x:c>
      <x:c r="Q158" s="11" t="str">
        <x:f>IF(P158&lt;&gt;"PASS","FAIL",IF(O158=1,"PASS","OPEN"))</x:f>
        <x:v>OPEN</x:v>
      </x:c>
    </x:row>
    <x:row r="159">
      <x:c r="B159" s="11" t="str">
        <x:v>RA-SA4-07-A3-T0</x:v>
      </x:c>
      <x:c r="C159" s="11" t="str">
        <x:v>RA-SA4-07-A3</x:v>
      </x:c>
      <x:c r="D159" s="11" t="str">
        <x:v>SA4</x:v>
      </x:c>
      <x:c r="E159" s="11" t="str">
        <x:v>A</x:v>
      </x:c>
      <x:c r="F159" s="11" t="str">
        <x:v>T0</x:v>
      </x:c>
      <x:c r="G159" s="11" t="str">
        <x:v>datum and blank</x:v>
      </x:c>
      <x:c r="H159" s="11" t="str">
        <x:v>fault clearing time</x:v>
      </x:c>
      <x:c r="I159" s="11" t="str">
        <x:v>ms</x:v>
      </x:c>
      <x:c r="J159" s="17" t="n">
        <x:v>100</x:v>
      </x:c>
      <x:c r="K159" s="17" t="n">
        <x:v>0</x:v>
      </x:c>
      <x:c r="L159" s="17" t="n">
        <x:v>10</x:v>
      </x:c>
      <x:c r="M159" s="11" t="str">
        <x:v>ACCEPT</x:v>
      </x:c>
      <x:c r="N159" s="11" t="n">
        <x:v>1</x:v>
      </x:c>
      <x:c r="O159" s="13" t="n">
        <x:v>0</x:v>
      </x:c>
      <x:c r="P159" s="11" t="str">
        <x:f>IF(AND(N159=1,L159&lt;=J159/4,K159=0),"PASS","FAIL")</x:f>
        <x:v>PASS</x:v>
      </x:c>
      <x:c r="Q159" s="11" t="str">
        <x:f>IF(P159&lt;&gt;"PASS","FAIL",IF(O159=1,"PASS","OPEN"))</x:f>
        <x:v>OPEN</x:v>
      </x:c>
    </x:row>
    <x:row r="160">
      <x:c r="B160" s="11" t="str">
        <x:v>RA-SA4-07-A3-T1</x:v>
      </x:c>
      <x:c r="C160" s="11" t="str">
        <x:v>RA-SA4-07-A3</x:v>
      </x:c>
      <x:c r="D160" s="11" t="str">
        <x:v>SA4</x:v>
      </x:c>
      <x:c r="E160" s="11" t="str">
        <x:v>A</x:v>
      </x:c>
      <x:c r="F160" s="11" t="str">
        <x:v>T1</x:v>
      </x:c>
      <x:c r="G160" s="11" t="str">
        <x:v>known compliant</x:v>
      </x:c>
      <x:c r="H160" s="11" t="str">
        <x:v>fault clearing time</x:v>
      </x:c>
      <x:c r="I160" s="11" t="str">
        <x:v>ms</x:v>
      </x:c>
      <x:c r="J160" s="17" t="n">
        <x:v>100</x:v>
      </x:c>
      <x:c r="K160" s="17" t="n">
        <x:v>50</x:v>
      </x:c>
      <x:c r="L160" s="17" t="n">
        <x:v>10</x:v>
      </x:c>
      <x:c r="M160" s="11" t="str">
        <x:v>ACCEPT</x:v>
      </x:c>
      <x:c r="N160" s="11" t="n">
        <x:v>1</x:v>
      </x:c>
      <x:c r="O160" s="13" t="n">
        <x:v>0</x:v>
      </x:c>
      <x:c r="P160" s="11" t="str">
        <x:f>IF(AND(N160=1,L160&lt;=J160/4,K160&lt;J160-L160),"PASS","FAIL")</x:f>
        <x:v>PASS</x:v>
      </x:c>
      <x:c r="Q160" s="11" t="str">
        <x:f>IF(P160&lt;&gt;"PASS","FAIL",IF(O160=1,"PASS","OPEN"))</x:f>
        <x:v>OPEN</x:v>
      </x:c>
    </x:row>
    <x:row r="161">
      <x:c r="B161" s="11" t="str">
        <x:v>RA-SA4-07-A3-T2</x:v>
      </x:c>
      <x:c r="C161" s="11" t="str">
        <x:v>RA-SA4-07-A3</x:v>
      </x:c>
      <x:c r="D161" s="11" t="str">
        <x:v>SA4</x:v>
      </x:c>
      <x:c r="E161" s="11" t="str">
        <x:v>A</x:v>
      </x:c>
      <x:c r="F161" s="11" t="str">
        <x:v>T2</x:v>
      </x:c>
      <x:c r="G161" s="11" t="str">
        <x:v>known nonconforming</x:v>
      </x:c>
      <x:c r="H161" s="11" t="str">
        <x:v>fault clearing time</x:v>
      </x:c>
      <x:c r="I161" s="11" t="str">
        <x:v>ms</x:v>
      </x:c>
      <x:c r="J161" s="17" t="n">
        <x:v>100</x:v>
      </x:c>
      <x:c r="K161" s="17" t="n">
        <x:v>150</x:v>
      </x:c>
      <x:c r="L161" s="17" t="n">
        <x:v>10</x:v>
      </x:c>
      <x:c r="M161" s="11" t="str">
        <x:v>REJECT</x:v>
      </x:c>
      <x:c r="N161" s="11" t="n">
        <x:v>1</x:v>
      </x:c>
      <x:c r="O161" s="13" t="n">
        <x:v>0</x:v>
      </x:c>
      <x:c r="P161" s="11" t="str">
        <x:f>IF(AND(N161=1,L161&lt;=J161/4,K161&gt;J161+L161),"PASS","FAIL")</x:f>
        <x:v>PASS</x:v>
      </x:c>
      <x:c r="Q161" s="11" t="str">
        <x:f>IF(P161&lt;&gt;"PASS","FAIL",IF(O161=1,"PASS","OPEN"))</x:f>
        <x:v>OPEN</x:v>
      </x:c>
    </x:row>
    <x:row r="162">
      <x:c r="B162" s="11" t="str">
        <x:v>RA-SA4-07-A3-T3</x:v>
      </x:c>
      <x:c r="C162" s="11" t="str">
        <x:v>RA-SA4-07-A3</x:v>
      </x:c>
      <x:c r="D162" s="11" t="str">
        <x:v>SA4</x:v>
      </x:c>
      <x:c r="E162" s="11" t="str">
        <x:v>A</x:v>
      </x:c>
      <x:c r="F162" s="11" t="str">
        <x:v>T3</x:v>
      </x:c>
      <x:c r="G162" s="11" t="str">
        <x:v>decision boundary</x:v>
      </x:c>
      <x:c r="H162" s="11" t="str">
        <x:v>fault clearing time</x:v>
      </x:c>
      <x:c r="I162" s="11" t="str">
        <x:v>ms</x:v>
      </x:c>
      <x:c r="J162" s="17" t="n">
        <x:v>100</x:v>
      </x:c>
      <x:c r="K162" s="17" t="n">
        <x:v>100</x:v>
      </x:c>
      <x:c r="L162" s="17" t="n">
        <x:v>10</x:v>
      </x:c>
      <x:c r="M162" s="11" t="str">
        <x:v>INDETERMINATE</x:v>
      </x:c>
      <x:c r="N162" s="11" t="n">
        <x:v>1</x:v>
      </x:c>
      <x:c r="O162" s="13" t="n">
        <x:v>0</x:v>
      </x:c>
      <x:c r="P162" s="11" t="str">
        <x:f>IF(AND(N162=1,L162&lt;=J162/4,ABS(K162-J162)&lt;=L162),"PASS","FAIL")</x:f>
        <x:v>PASS</x:v>
      </x:c>
      <x:c r="Q162" s="11" t="str">
        <x:f>IF(P162&lt;&gt;"PASS","FAIL",IF(O162=1,"PASS","OPEN"))</x:f>
        <x:v>OPEN</x:v>
      </x:c>
    </x:row>
    <x:row r="163">
      <x:c r="B163" s="11" t="str">
        <x:v>RA-SA4-07-B1-T0</x:v>
      </x:c>
      <x:c r="C163" s="11" t="str">
        <x:v>RA-SA4-07-B1</x:v>
      </x:c>
      <x:c r="D163" s="11" t="str">
        <x:v>SA4</x:v>
      </x:c>
      <x:c r="E163" s="11" t="str">
        <x:v>B</x:v>
      </x:c>
      <x:c r="F163" s="11" t="str">
        <x:v>T0</x:v>
      </x:c>
      <x:c r="G163" s="11" t="str">
        <x:v>datum and blank</x:v>
      </x:c>
      <x:c r="H163" s="11" t="str">
        <x:v>fault clearing time</x:v>
      </x:c>
      <x:c r="I163" s="11" t="str">
        <x:v>ms</x:v>
      </x:c>
      <x:c r="J163" s="17" t="n">
        <x:v>150</x:v>
      </x:c>
      <x:c r="K163" s="17" t="n">
        <x:v>0</x:v>
      </x:c>
      <x:c r="L163" s="17" t="n">
        <x:v>15</x:v>
      </x:c>
      <x:c r="M163" s="11" t="str">
        <x:v>ACCEPT</x:v>
      </x:c>
      <x:c r="N163" s="11" t="n">
        <x:v>1</x:v>
      </x:c>
      <x:c r="O163" s="13" t="n">
        <x:v>0</x:v>
      </x:c>
      <x:c r="P163" s="11" t="str">
        <x:f>IF(AND(N163=1,L163&lt;=J163/4,K163=0),"PASS","FAIL")</x:f>
        <x:v>PASS</x:v>
      </x:c>
      <x:c r="Q163" s="11" t="str">
        <x:f>IF(P163&lt;&gt;"PASS","FAIL",IF(O163=1,"PASS","OPEN"))</x:f>
        <x:v>OPEN</x:v>
      </x:c>
    </x:row>
    <x:row r="164">
      <x:c r="B164" s="11" t="str">
        <x:v>RA-SA4-07-B1-T1</x:v>
      </x:c>
      <x:c r="C164" s="11" t="str">
        <x:v>RA-SA4-07-B1</x:v>
      </x:c>
      <x:c r="D164" s="11" t="str">
        <x:v>SA4</x:v>
      </x:c>
      <x:c r="E164" s="11" t="str">
        <x:v>B</x:v>
      </x:c>
      <x:c r="F164" s="11" t="str">
        <x:v>T1</x:v>
      </x:c>
      <x:c r="G164" s="11" t="str">
        <x:v>known compliant</x:v>
      </x:c>
      <x:c r="H164" s="11" t="str">
        <x:v>fault clearing time</x:v>
      </x:c>
      <x:c r="I164" s="11" t="str">
        <x:v>ms</x:v>
      </x:c>
      <x:c r="J164" s="17" t="n">
        <x:v>150</x:v>
      </x:c>
      <x:c r="K164" s="17" t="n">
        <x:v>75</x:v>
      </x:c>
      <x:c r="L164" s="17" t="n">
        <x:v>15</x:v>
      </x:c>
      <x:c r="M164" s="11" t="str">
        <x:v>ACCEPT</x:v>
      </x:c>
      <x:c r="N164" s="11" t="n">
        <x:v>1</x:v>
      </x:c>
      <x:c r="O164" s="13" t="n">
        <x:v>0</x:v>
      </x:c>
      <x:c r="P164" s="11" t="str">
        <x:f>IF(AND(N164=1,L164&lt;=J164/4,K164&lt;J164-L164),"PASS","FAIL")</x:f>
        <x:v>PASS</x:v>
      </x:c>
      <x:c r="Q164" s="11" t="str">
        <x:f>IF(P164&lt;&gt;"PASS","FAIL",IF(O164=1,"PASS","OPEN"))</x:f>
        <x:v>OPEN</x:v>
      </x:c>
    </x:row>
    <x:row r="165">
      <x:c r="B165" s="11" t="str">
        <x:v>RA-SA4-07-B1-T2</x:v>
      </x:c>
      <x:c r="C165" s="11" t="str">
        <x:v>RA-SA4-07-B1</x:v>
      </x:c>
      <x:c r="D165" s="11" t="str">
        <x:v>SA4</x:v>
      </x:c>
      <x:c r="E165" s="11" t="str">
        <x:v>B</x:v>
      </x:c>
      <x:c r="F165" s="11" t="str">
        <x:v>T2</x:v>
      </x:c>
      <x:c r="G165" s="11" t="str">
        <x:v>known nonconforming</x:v>
      </x:c>
      <x:c r="H165" s="11" t="str">
        <x:v>fault clearing time</x:v>
      </x:c>
      <x:c r="I165" s="11" t="str">
        <x:v>ms</x:v>
      </x:c>
      <x:c r="J165" s="17" t="n">
        <x:v>150</x:v>
      </x:c>
      <x:c r="K165" s="17" t="n">
        <x:v>225</x:v>
      </x:c>
      <x:c r="L165" s="17" t="n">
        <x:v>15</x:v>
      </x:c>
      <x:c r="M165" s="11" t="str">
        <x:v>REJECT</x:v>
      </x:c>
      <x:c r="N165" s="11" t="n">
        <x:v>1</x:v>
      </x:c>
      <x:c r="O165" s="13" t="n">
        <x:v>0</x:v>
      </x:c>
      <x:c r="P165" s="11" t="str">
        <x:f>IF(AND(N165=1,L165&lt;=J165/4,K165&gt;J165+L165),"PASS","FAIL")</x:f>
        <x:v>PASS</x:v>
      </x:c>
      <x:c r="Q165" s="11" t="str">
        <x:f>IF(P165&lt;&gt;"PASS","FAIL",IF(O165=1,"PASS","OPEN"))</x:f>
        <x:v>OPEN</x:v>
      </x:c>
    </x:row>
    <x:row r="166">
      <x:c r="B166" s="11" t="str">
        <x:v>RA-SA4-07-B1-T3</x:v>
      </x:c>
      <x:c r="C166" s="11" t="str">
        <x:v>RA-SA4-07-B1</x:v>
      </x:c>
      <x:c r="D166" s="11" t="str">
        <x:v>SA4</x:v>
      </x:c>
      <x:c r="E166" s="11" t="str">
        <x:v>B</x:v>
      </x:c>
      <x:c r="F166" s="11" t="str">
        <x:v>T3</x:v>
      </x:c>
      <x:c r="G166" s="11" t="str">
        <x:v>decision boundary</x:v>
      </x:c>
      <x:c r="H166" s="11" t="str">
        <x:v>fault clearing time</x:v>
      </x:c>
      <x:c r="I166" s="11" t="str">
        <x:v>ms</x:v>
      </x:c>
      <x:c r="J166" s="17" t="n">
        <x:v>150</x:v>
      </x:c>
      <x:c r="K166" s="17" t="n">
        <x:v>150</x:v>
      </x:c>
      <x:c r="L166" s="17" t="n">
        <x:v>15</x:v>
      </x:c>
      <x:c r="M166" s="11" t="str">
        <x:v>INDETERMINATE</x:v>
      </x:c>
      <x:c r="N166" s="11" t="n">
        <x:v>1</x:v>
      </x:c>
      <x:c r="O166" s="13" t="n">
        <x:v>0</x:v>
      </x:c>
      <x:c r="P166" s="11" t="str">
        <x:f>IF(AND(N166=1,L166&lt;=J166/4,ABS(K166-J166)&lt;=L166),"PASS","FAIL")</x:f>
        <x:v>PASS</x:v>
      </x:c>
      <x:c r="Q166" s="11" t="str">
        <x:f>IF(P166&lt;&gt;"PASS","FAIL",IF(O166=1,"PASS","OPEN"))</x:f>
        <x:v>OPEN</x:v>
      </x:c>
    </x:row>
    <x:row r="167">
      <x:c r="B167" s="11" t="str">
        <x:v>RA-SA4-07-B2-T0</x:v>
      </x:c>
      <x:c r="C167" s="11" t="str">
        <x:v>RA-SA4-07-B2</x:v>
      </x:c>
      <x:c r="D167" s="11" t="str">
        <x:v>SA4</x:v>
      </x:c>
      <x:c r="E167" s="11" t="str">
        <x:v>B</x:v>
      </x:c>
      <x:c r="F167" s="11" t="str">
        <x:v>T0</x:v>
      </x:c>
      <x:c r="G167" s="11" t="str">
        <x:v>datum and blank</x:v>
      </x:c>
      <x:c r="H167" s="11" t="str">
        <x:v>fault clearing time</x:v>
      </x:c>
      <x:c r="I167" s="11" t="str">
        <x:v>ms</x:v>
      </x:c>
      <x:c r="J167" s="17" t="n">
        <x:v>150</x:v>
      </x:c>
      <x:c r="K167" s="17" t="n">
        <x:v>0</x:v>
      </x:c>
      <x:c r="L167" s="17" t="n">
        <x:v>15</x:v>
      </x:c>
      <x:c r="M167" s="11" t="str">
        <x:v>ACCEPT</x:v>
      </x:c>
      <x:c r="N167" s="11" t="n">
        <x:v>1</x:v>
      </x:c>
      <x:c r="O167" s="13" t="n">
        <x:v>0</x:v>
      </x:c>
      <x:c r="P167" s="11" t="str">
        <x:f>IF(AND(N167=1,L167&lt;=J167/4,K167=0),"PASS","FAIL")</x:f>
        <x:v>PASS</x:v>
      </x:c>
      <x:c r="Q167" s="11" t="str">
        <x:f>IF(P167&lt;&gt;"PASS","FAIL",IF(O167=1,"PASS","OPEN"))</x:f>
        <x:v>OPEN</x:v>
      </x:c>
    </x:row>
    <x:row r="168">
      <x:c r="B168" s="11" t="str">
        <x:v>RA-SA4-07-B2-T1</x:v>
      </x:c>
      <x:c r="C168" s="11" t="str">
        <x:v>RA-SA4-07-B2</x:v>
      </x:c>
      <x:c r="D168" s="11" t="str">
        <x:v>SA4</x:v>
      </x:c>
      <x:c r="E168" s="11" t="str">
        <x:v>B</x:v>
      </x:c>
      <x:c r="F168" s="11" t="str">
        <x:v>T1</x:v>
      </x:c>
      <x:c r="G168" s="11" t="str">
        <x:v>known compliant</x:v>
      </x:c>
      <x:c r="H168" s="11" t="str">
        <x:v>fault clearing time</x:v>
      </x:c>
      <x:c r="I168" s="11" t="str">
        <x:v>ms</x:v>
      </x:c>
      <x:c r="J168" s="17" t="n">
        <x:v>150</x:v>
      </x:c>
      <x:c r="K168" s="17" t="n">
        <x:v>75</x:v>
      </x:c>
      <x:c r="L168" s="17" t="n">
        <x:v>15</x:v>
      </x:c>
      <x:c r="M168" s="11" t="str">
        <x:v>ACCEPT</x:v>
      </x:c>
      <x:c r="N168" s="11" t="n">
        <x:v>1</x:v>
      </x:c>
      <x:c r="O168" s="13" t="n">
        <x:v>0</x:v>
      </x:c>
      <x:c r="P168" s="11" t="str">
        <x:f>IF(AND(N168=1,L168&lt;=J168/4,K168&lt;J168-L168),"PASS","FAIL")</x:f>
        <x:v>PASS</x:v>
      </x:c>
      <x:c r="Q168" s="11" t="str">
        <x:f>IF(P168&lt;&gt;"PASS","FAIL",IF(O168=1,"PASS","OPEN"))</x:f>
        <x:v>OPEN</x:v>
      </x:c>
    </x:row>
    <x:row r="169">
      <x:c r="B169" s="11" t="str">
        <x:v>RA-SA4-07-B2-T2</x:v>
      </x:c>
      <x:c r="C169" s="11" t="str">
        <x:v>RA-SA4-07-B2</x:v>
      </x:c>
      <x:c r="D169" s="11" t="str">
        <x:v>SA4</x:v>
      </x:c>
      <x:c r="E169" s="11" t="str">
        <x:v>B</x:v>
      </x:c>
      <x:c r="F169" s="11" t="str">
        <x:v>T2</x:v>
      </x:c>
      <x:c r="G169" s="11" t="str">
        <x:v>known nonconforming</x:v>
      </x:c>
      <x:c r="H169" s="11" t="str">
        <x:v>fault clearing time</x:v>
      </x:c>
      <x:c r="I169" s="11" t="str">
        <x:v>ms</x:v>
      </x:c>
      <x:c r="J169" s="17" t="n">
        <x:v>150</x:v>
      </x:c>
      <x:c r="K169" s="17" t="n">
        <x:v>225</x:v>
      </x:c>
      <x:c r="L169" s="17" t="n">
        <x:v>15</x:v>
      </x:c>
      <x:c r="M169" s="11" t="str">
        <x:v>REJECT</x:v>
      </x:c>
      <x:c r="N169" s="11" t="n">
        <x:v>1</x:v>
      </x:c>
      <x:c r="O169" s="13" t="n">
        <x:v>0</x:v>
      </x:c>
      <x:c r="P169" s="11" t="str">
        <x:f>IF(AND(N169=1,L169&lt;=J169/4,K169&gt;J169+L169),"PASS","FAIL")</x:f>
        <x:v>PASS</x:v>
      </x:c>
      <x:c r="Q169" s="11" t="str">
        <x:f>IF(P169&lt;&gt;"PASS","FAIL",IF(O169=1,"PASS","OPEN"))</x:f>
        <x:v>OPEN</x:v>
      </x:c>
    </x:row>
    <x:row r="170">
      <x:c r="B170" s="11" t="str">
        <x:v>RA-SA4-07-B2-T3</x:v>
      </x:c>
      <x:c r="C170" s="11" t="str">
        <x:v>RA-SA4-07-B2</x:v>
      </x:c>
      <x:c r="D170" s="11" t="str">
        <x:v>SA4</x:v>
      </x:c>
      <x:c r="E170" s="11" t="str">
        <x:v>B</x:v>
      </x:c>
      <x:c r="F170" s="11" t="str">
        <x:v>T3</x:v>
      </x:c>
      <x:c r="G170" s="11" t="str">
        <x:v>decision boundary</x:v>
      </x:c>
      <x:c r="H170" s="11" t="str">
        <x:v>fault clearing time</x:v>
      </x:c>
      <x:c r="I170" s="11" t="str">
        <x:v>ms</x:v>
      </x:c>
      <x:c r="J170" s="17" t="n">
        <x:v>150</x:v>
      </x:c>
      <x:c r="K170" s="17" t="n">
        <x:v>150</x:v>
      </x:c>
      <x:c r="L170" s="17" t="n">
        <x:v>15</x:v>
      </x:c>
      <x:c r="M170" s="11" t="str">
        <x:v>INDETERMINATE</x:v>
      </x:c>
      <x:c r="N170" s="11" t="n">
        <x:v>1</x:v>
      </x:c>
      <x:c r="O170" s="13" t="n">
        <x:v>0</x:v>
      </x:c>
      <x:c r="P170" s="11" t="str">
        <x:f>IF(AND(N170=1,L170&lt;=J170/4,ABS(K170-J170)&lt;=L170),"PASS","FAIL")</x:f>
        <x:v>PASS</x:v>
      </x:c>
      <x:c r="Q170" s="11" t="str">
        <x:f>IF(P170&lt;&gt;"PASS","FAIL",IF(O170=1,"PASS","OPEN"))</x:f>
        <x:v>OPEN</x:v>
      </x:c>
    </x:row>
    <x:row r="171">
      <x:c r="B171" s="11" t="str">
        <x:v>RA-SA4-07-B3-T0</x:v>
      </x:c>
      <x:c r="C171" s="11" t="str">
        <x:v>RA-SA4-07-B3</x:v>
      </x:c>
      <x:c r="D171" s="11" t="str">
        <x:v>SA4</x:v>
      </x:c>
      <x:c r="E171" s="11" t="str">
        <x:v>B</x:v>
      </x:c>
      <x:c r="F171" s="11" t="str">
        <x:v>T0</x:v>
      </x:c>
      <x:c r="G171" s="11" t="str">
        <x:v>datum and blank</x:v>
      </x:c>
      <x:c r="H171" s="11" t="str">
        <x:v>fault clearing time</x:v>
      </x:c>
      <x:c r="I171" s="11" t="str">
        <x:v>ms</x:v>
      </x:c>
      <x:c r="J171" s="17" t="n">
        <x:v>150</x:v>
      </x:c>
      <x:c r="K171" s="17" t="n">
        <x:v>0</x:v>
      </x:c>
      <x:c r="L171" s="17" t="n">
        <x:v>15</x:v>
      </x:c>
      <x:c r="M171" s="11" t="str">
        <x:v>ACCEPT</x:v>
      </x:c>
      <x:c r="N171" s="11" t="n">
        <x:v>1</x:v>
      </x:c>
      <x:c r="O171" s="13" t="n">
        <x:v>0</x:v>
      </x:c>
      <x:c r="P171" s="11" t="str">
        <x:f>IF(AND(N171=1,L171&lt;=J171/4,K171=0),"PASS","FAIL")</x:f>
        <x:v>PASS</x:v>
      </x:c>
      <x:c r="Q171" s="11" t="str">
        <x:f>IF(P171&lt;&gt;"PASS","FAIL",IF(O171=1,"PASS","OPEN"))</x:f>
        <x:v>OPEN</x:v>
      </x:c>
    </x:row>
    <x:row r="172">
      <x:c r="B172" s="11" t="str">
        <x:v>RA-SA4-07-B3-T1</x:v>
      </x:c>
      <x:c r="C172" s="11" t="str">
        <x:v>RA-SA4-07-B3</x:v>
      </x:c>
      <x:c r="D172" s="11" t="str">
        <x:v>SA4</x:v>
      </x:c>
      <x:c r="E172" s="11" t="str">
        <x:v>B</x:v>
      </x:c>
      <x:c r="F172" s="11" t="str">
        <x:v>T1</x:v>
      </x:c>
      <x:c r="G172" s="11" t="str">
        <x:v>known compliant</x:v>
      </x:c>
      <x:c r="H172" s="11" t="str">
        <x:v>fault clearing time</x:v>
      </x:c>
      <x:c r="I172" s="11" t="str">
        <x:v>ms</x:v>
      </x:c>
      <x:c r="J172" s="17" t="n">
        <x:v>150</x:v>
      </x:c>
      <x:c r="K172" s="17" t="n">
        <x:v>75</x:v>
      </x:c>
      <x:c r="L172" s="17" t="n">
        <x:v>15</x:v>
      </x:c>
      <x:c r="M172" s="11" t="str">
        <x:v>ACCEPT</x:v>
      </x:c>
      <x:c r="N172" s="11" t="n">
        <x:v>1</x:v>
      </x:c>
      <x:c r="O172" s="13" t="n">
        <x:v>0</x:v>
      </x:c>
      <x:c r="P172" s="11" t="str">
        <x:f>IF(AND(N172=1,L172&lt;=J172/4,K172&lt;J172-L172),"PASS","FAIL")</x:f>
        <x:v>PASS</x:v>
      </x:c>
      <x:c r="Q172" s="11" t="str">
        <x:f>IF(P172&lt;&gt;"PASS","FAIL",IF(O172=1,"PASS","OPEN"))</x:f>
        <x:v>OPEN</x:v>
      </x:c>
    </x:row>
    <x:row r="173">
      <x:c r="B173" s="11" t="str">
        <x:v>RA-SA4-07-B3-T2</x:v>
      </x:c>
      <x:c r="C173" s="11" t="str">
        <x:v>RA-SA4-07-B3</x:v>
      </x:c>
      <x:c r="D173" s="11" t="str">
        <x:v>SA4</x:v>
      </x:c>
      <x:c r="E173" s="11" t="str">
        <x:v>B</x:v>
      </x:c>
      <x:c r="F173" s="11" t="str">
        <x:v>T2</x:v>
      </x:c>
      <x:c r="G173" s="11" t="str">
        <x:v>known nonconforming</x:v>
      </x:c>
      <x:c r="H173" s="11" t="str">
        <x:v>fault clearing time</x:v>
      </x:c>
      <x:c r="I173" s="11" t="str">
        <x:v>ms</x:v>
      </x:c>
      <x:c r="J173" s="17" t="n">
        <x:v>150</x:v>
      </x:c>
      <x:c r="K173" s="17" t="n">
        <x:v>225</x:v>
      </x:c>
      <x:c r="L173" s="17" t="n">
        <x:v>15</x:v>
      </x:c>
      <x:c r="M173" s="11" t="str">
        <x:v>REJECT</x:v>
      </x:c>
      <x:c r="N173" s="11" t="n">
        <x:v>1</x:v>
      </x:c>
      <x:c r="O173" s="13" t="n">
        <x:v>0</x:v>
      </x:c>
      <x:c r="P173" s="11" t="str">
        <x:f>IF(AND(N173=1,L173&lt;=J173/4,K173&gt;J173+L173),"PASS","FAIL")</x:f>
        <x:v>PASS</x:v>
      </x:c>
      <x:c r="Q173" s="11" t="str">
        <x:f>IF(P173&lt;&gt;"PASS","FAIL",IF(O173=1,"PASS","OPEN"))</x:f>
        <x:v>OPEN</x:v>
      </x:c>
    </x:row>
    <x:row r="174">
      <x:c r="B174" s="11" t="str">
        <x:v>RA-SA4-07-B3-T3</x:v>
      </x:c>
      <x:c r="C174" s="11" t="str">
        <x:v>RA-SA4-07-B3</x:v>
      </x:c>
      <x:c r="D174" s="11" t="str">
        <x:v>SA4</x:v>
      </x:c>
      <x:c r="E174" s="11" t="str">
        <x:v>B</x:v>
      </x:c>
      <x:c r="F174" s="11" t="str">
        <x:v>T3</x:v>
      </x:c>
      <x:c r="G174" s="11" t="str">
        <x:v>decision boundary</x:v>
      </x:c>
      <x:c r="H174" s="11" t="str">
        <x:v>fault clearing time</x:v>
      </x:c>
      <x:c r="I174" s="11" t="str">
        <x:v>ms</x:v>
      </x:c>
      <x:c r="J174" s="17" t="n">
        <x:v>150</x:v>
      </x:c>
      <x:c r="K174" s="17" t="n">
        <x:v>150</x:v>
      </x:c>
      <x:c r="L174" s="17" t="n">
        <x:v>15</x:v>
      </x:c>
      <x:c r="M174" s="11" t="str">
        <x:v>INDETERMINATE</x:v>
      </x:c>
      <x:c r="N174" s="11" t="n">
        <x:v>1</x:v>
      </x:c>
      <x:c r="O174" s="13" t="n">
        <x:v>0</x:v>
      </x:c>
      <x:c r="P174" s="11" t="str">
        <x:f>IF(AND(N174=1,L174&lt;=J174/4,ABS(K174-J174)&lt;=L174),"PASS","FAIL")</x:f>
        <x:v>PASS</x:v>
      </x:c>
      <x:c r="Q174" s="11" t="str">
        <x:f>IF(P174&lt;&gt;"PASS","FAIL",IF(O174=1,"PASS","OPEN"))</x:f>
        <x:v>OPEN</x:v>
      </x:c>
    </x:row>
    <x:row r="175">
      <x:c r="B175" s="11" t="str">
        <x:v>RA-SA4-08-A1-T0</x:v>
      </x:c>
      <x:c r="C175" s="11" t="str">
        <x:v>RA-SA4-08-A1</x:v>
      </x:c>
      <x:c r="D175" s="11" t="str">
        <x:v>SA4</x:v>
      </x:c>
      <x:c r="E175" s="11" t="str">
        <x:v>A</x:v>
      </x:c>
      <x:c r="F175" s="11" t="str">
        <x:v>T0</x:v>
      </x:c>
      <x:c r="G175" s="11" t="str">
        <x:v>datum and blank</x:v>
      </x:c>
      <x:c r="H175" s="11" t="str">
        <x:v>fault clearing time</x:v>
      </x:c>
      <x:c r="I175" s="11" t="str">
        <x:v>ms</x:v>
      </x:c>
      <x:c r="J175" s="17" t="n">
        <x:v>100</x:v>
      </x:c>
      <x:c r="K175" s="17" t="n">
        <x:v>0</x:v>
      </x:c>
      <x:c r="L175" s="17" t="n">
        <x:v>10</x:v>
      </x:c>
      <x:c r="M175" s="11" t="str">
        <x:v>ACCEPT</x:v>
      </x:c>
      <x:c r="N175" s="11" t="n">
        <x:v>1</x:v>
      </x:c>
      <x:c r="O175" s="13" t="n">
        <x:v>0</x:v>
      </x:c>
      <x:c r="P175" s="11" t="str">
        <x:f>IF(AND(N175=1,L175&lt;=J175/4,K175=0),"PASS","FAIL")</x:f>
        <x:v>PASS</x:v>
      </x:c>
      <x:c r="Q175" s="11" t="str">
        <x:f>IF(P175&lt;&gt;"PASS","FAIL",IF(O175=1,"PASS","OPEN"))</x:f>
        <x:v>OPEN</x:v>
      </x:c>
    </x:row>
    <x:row r="176">
      <x:c r="B176" s="11" t="str">
        <x:v>RA-SA4-08-A1-T1</x:v>
      </x:c>
      <x:c r="C176" s="11" t="str">
        <x:v>RA-SA4-08-A1</x:v>
      </x:c>
      <x:c r="D176" s="11" t="str">
        <x:v>SA4</x:v>
      </x:c>
      <x:c r="E176" s="11" t="str">
        <x:v>A</x:v>
      </x:c>
      <x:c r="F176" s="11" t="str">
        <x:v>T1</x:v>
      </x:c>
      <x:c r="G176" s="11" t="str">
        <x:v>known compliant</x:v>
      </x:c>
      <x:c r="H176" s="11" t="str">
        <x:v>fault clearing time</x:v>
      </x:c>
      <x:c r="I176" s="11" t="str">
        <x:v>ms</x:v>
      </x:c>
      <x:c r="J176" s="17" t="n">
        <x:v>100</x:v>
      </x:c>
      <x:c r="K176" s="17" t="n">
        <x:v>50</x:v>
      </x:c>
      <x:c r="L176" s="17" t="n">
        <x:v>10</x:v>
      </x:c>
      <x:c r="M176" s="11" t="str">
        <x:v>ACCEPT</x:v>
      </x:c>
      <x:c r="N176" s="11" t="n">
        <x:v>1</x:v>
      </x:c>
      <x:c r="O176" s="13" t="n">
        <x:v>0</x:v>
      </x:c>
      <x:c r="P176" s="11" t="str">
        <x:f>IF(AND(N176=1,L176&lt;=J176/4,K176&lt;J176-L176),"PASS","FAIL")</x:f>
        <x:v>PASS</x:v>
      </x:c>
      <x:c r="Q176" s="11" t="str">
        <x:f>IF(P176&lt;&gt;"PASS","FAIL",IF(O176=1,"PASS","OPEN"))</x:f>
        <x:v>OPEN</x:v>
      </x:c>
    </x:row>
    <x:row r="177">
      <x:c r="B177" s="11" t="str">
        <x:v>RA-SA4-08-A1-T2</x:v>
      </x:c>
      <x:c r="C177" s="11" t="str">
        <x:v>RA-SA4-08-A1</x:v>
      </x:c>
      <x:c r="D177" s="11" t="str">
        <x:v>SA4</x:v>
      </x:c>
      <x:c r="E177" s="11" t="str">
        <x:v>A</x:v>
      </x:c>
      <x:c r="F177" s="11" t="str">
        <x:v>T2</x:v>
      </x:c>
      <x:c r="G177" s="11" t="str">
        <x:v>known nonconforming</x:v>
      </x:c>
      <x:c r="H177" s="11" t="str">
        <x:v>fault clearing time</x:v>
      </x:c>
      <x:c r="I177" s="11" t="str">
        <x:v>ms</x:v>
      </x:c>
      <x:c r="J177" s="17" t="n">
        <x:v>100</x:v>
      </x:c>
      <x:c r="K177" s="17" t="n">
        <x:v>150</x:v>
      </x:c>
      <x:c r="L177" s="17" t="n">
        <x:v>10</x:v>
      </x:c>
      <x:c r="M177" s="11" t="str">
        <x:v>REJECT</x:v>
      </x:c>
      <x:c r="N177" s="11" t="n">
        <x:v>1</x:v>
      </x:c>
      <x:c r="O177" s="13" t="n">
        <x:v>0</x:v>
      </x:c>
      <x:c r="P177" s="11" t="str">
        <x:f>IF(AND(N177=1,L177&lt;=J177/4,K177&gt;J177+L177),"PASS","FAIL")</x:f>
        <x:v>PASS</x:v>
      </x:c>
      <x:c r="Q177" s="11" t="str">
        <x:f>IF(P177&lt;&gt;"PASS","FAIL",IF(O177=1,"PASS","OPEN"))</x:f>
        <x:v>OPEN</x:v>
      </x:c>
    </x:row>
    <x:row r="178">
      <x:c r="B178" s="11" t="str">
        <x:v>RA-SA4-08-A1-T3</x:v>
      </x:c>
      <x:c r="C178" s="11" t="str">
        <x:v>RA-SA4-08-A1</x:v>
      </x:c>
      <x:c r="D178" s="11" t="str">
        <x:v>SA4</x:v>
      </x:c>
      <x:c r="E178" s="11" t="str">
        <x:v>A</x:v>
      </x:c>
      <x:c r="F178" s="11" t="str">
        <x:v>T3</x:v>
      </x:c>
      <x:c r="G178" s="11" t="str">
        <x:v>decision boundary</x:v>
      </x:c>
      <x:c r="H178" s="11" t="str">
        <x:v>fault clearing time</x:v>
      </x:c>
      <x:c r="I178" s="11" t="str">
        <x:v>ms</x:v>
      </x:c>
      <x:c r="J178" s="17" t="n">
        <x:v>100</x:v>
      </x:c>
      <x:c r="K178" s="17" t="n">
        <x:v>100</x:v>
      </x:c>
      <x:c r="L178" s="17" t="n">
        <x:v>10</x:v>
      </x:c>
      <x:c r="M178" s="11" t="str">
        <x:v>INDETERMINATE</x:v>
      </x:c>
      <x:c r="N178" s="11" t="n">
        <x:v>1</x:v>
      </x:c>
      <x:c r="O178" s="13" t="n">
        <x:v>0</x:v>
      </x:c>
      <x:c r="P178" s="11" t="str">
        <x:f>IF(AND(N178=1,L178&lt;=J178/4,ABS(K178-J178)&lt;=L178),"PASS","FAIL")</x:f>
        <x:v>PASS</x:v>
      </x:c>
      <x:c r="Q178" s="11" t="str">
        <x:f>IF(P178&lt;&gt;"PASS","FAIL",IF(O178=1,"PASS","OPEN"))</x:f>
        <x:v>OPEN</x:v>
      </x:c>
    </x:row>
    <x:row r="179">
      <x:c r="B179" s="11" t="str">
        <x:v>RA-SA4-08-A2-T0</x:v>
      </x:c>
      <x:c r="C179" s="11" t="str">
        <x:v>RA-SA4-08-A2</x:v>
      </x:c>
      <x:c r="D179" s="11" t="str">
        <x:v>SA4</x:v>
      </x:c>
      <x:c r="E179" s="11" t="str">
        <x:v>A</x:v>
      </x:c>
      <x:c r="F179" s="11" t="str">
        <x:v>T0</x:v>
      </x:c>
      <x:c r="G179" s="11" t="str">
        <x:v>datum and blank</x:v>
      </x:c>
      <x:c r="H179" s="11" t="str">
        <x:v>fault clearing time</x:v>
      </x:c>
      <x:c r="I179" s="11" t="str">
        <x:v>ms</x:v>
      </x:c>
      <x:c r="J179" s="17" t="n">
        <x:v>100</x:v>
      </x:c>
      <x:c r="K179" s="17" t="n">
        <x:v>0</x:v>
      </x:c>
      <x:c r="L179" s="17" t="n">
        <x:v>10</x:v>
      </x:c>
      <x:c r="M179" s="11" t="str">
        <x:v>ACCEPT</x:v>
      </x:c>
      <x:c r="N179" s="11" t="n">
        <x:v>1</x:v>
      </x:c>
      <x:c r="O179" s="13" t="n">
        <x:v>0</x:v>
      </x:c>
      <x:c r="P179" s="11" t="str">
        <x:f>IF(AND(N179=1,L179&lt;=J179/4,K179=0),"PASS","FAIL")</x:f>
        <x:v>PASS</x:v>
      </x:c>
      <x:c r="Q179" s="11" t="str">
        <x:f>IF(P179&lt;&gt;"PASS","FAIL",IF(O179=1,"PASS","OPEN"))</x:f>
        <x:v>OPEN</x:v>
      </x:c>
    </x:row>
    <x:row r="180">
      <x:c r="B180" s="11" t="str">
        <x:v>RA-SA4-08-A2-T1</x:v>
      </x:c>
      <x:c r="C180" s="11" t="str">
        <x:v>RA-SA4-08-A2</x:v>
      </x:c>
      <x:c r="D180" s="11" t="str">
        <x:v>SA4</x:v>
      </x:c>
      <x:c r="E180" s="11" t="str">
        <x:v>A</x:v>
      </x:c>
      <x:c r="F180" s="11" t="str">
        <x:v>T1</x:v>
      </x:c>
      <x:c r="G180" s="11" t="str">
        <x:v>known compliant</x:v>
      </x:c>
      <x:c r="H180" s="11" t="str">
        <x:v>fault clearing time</x:v>
      </x:c>
      <x:c r="I180" s="11" t="str">
        <x:v>ms</x:v>
      </x:c>
      <x:c r="J180" s="17" t="n">
        <x:v>100</x:v>
      </x:c>
      <x:c r="K180" s="17" t="n">
        <x:v>50</x:v>
      </x:c>
      <x:c r="L180" s="17" t="n">
        <x:v>10</x:v>
      </x:c>
      <x:c r="M180" s="11" t="str">
        <x:v>ACCEPT</x:v>
      </x:c>
      <x:c r="N180" s="11" t="n">
        <x:v>1</x:v>
      </x:c>
      <x:c r="O180" s="13" t="n">
        <x:v>0</x:v>
      </x:c>
      <x:c r="P180" s="11" t="str">
        <x:f>IF(AND(N180=1,L180&lt;=J180/4,K180&lt;J180-L180),"PASS","FAIL")</x:f>
        <x:v>PASS</x:v>
      </x:c>
      <x:c r="Q180" s="11" t="str">
        <x:f>IF(P180&lt;&gt;"PASS","FAIL",IF(O180=1,"PASS","OPEN"))</x:f>
        <x:v>OPEN</x:v>
      </x:c>
    </x:row>
    <x:row r="181">
      <x:c r="B181" s="11" t="str">
        <x:v>RA-SA4-08-A2-T2</x:v>
      </x:c>
      <x:c r="C181" s="11" t="str">
        <x:v>RA-SA4-08-A2</x:v>
      </x:c>
      <x:c r="D181" s="11" t="str">
        <x:v>SA4</x:v>
      </x:c>
      <x:c r="E181" s="11" t="str">
        <x:v>A</x:v>
      </x:c>
      <x:c r="F181" s="11" t="str">
        <x:v>T2</x:v>
      </x:c>
      <x:c r="G181" s="11" t="str">
        <x:v>known nonconforming</x:v>
      </x:c>
      <x:c r="H181" s="11" t="str">
        <x:v>fault clearing time</x:v>
      </x:c>
      <x:c r="I181" s="11" t="str">
        <x:v>ms</x:v>
      </x:c>
      <x:c r="J181" s="17" t="n">
        <x:v>100</x:v>
      </x:c>
      <x:c r="K181" s="17" t="n">
        <x:v>150</x:v>
      </x:c>
      <x:c r="L181" s="17" t="n">
        <x:v>10</x:v>
      </x:c>
      <x:c r="M181" s="11" t="str">
        <x:v>REJECT</x:v>
      </x:c>
      <x:c r="N181" s="11" t="n">
        <x:v>1</x:v>
      </x:c>
      <x:c r="O181" s="13" t="n">
        <x:v>0</x:v>
      </x:c>
      <x:c r="P181" s="11" t="str">
        <x:f>IF(AND(N181=1,L181&lt;=J181/4,K181&gt;J181+L181),"PASS","FAIL")</x:f>
        <x:v>PASS</x:v>
      </x:c>
      <x:c r="Q181" s="11" t="str">
        <x:f>IF(P181&lt;&gt;"PASS","FAIL",IF(O181=1,"PASS","OPEN"))</x:f>
        <x:v>OPEN</x:v>
      </x:c>
    </x:row>
    <x:row r="182">
      <x:c r="B182" s="11" t="str">
        <x:v>RA-SA4-08-A2-T3</x:v>
      </x:c>
      <x:c r="C182" s="11" t="str">
        <x:v>RA-SA4-08-A2</x:v>
      </x:c>
      <x:c r="D182" s="11" t="str">
        <x:v>SA4</x:v>
      </x:c>
      <x:c r="E182" s="11" t="str">
        <x:v>A</x:v>
      </x:c>
      <x:c r="F182" s="11" t="str">
        <x:v>T3</x:v>
      </x:c>
      <x:c r="G182" s="11" t="str">
        <x:v>decision boundary</x:v>
      </x:c>
      <x:c r="H182" s="11" t="str">
        <x:v>fault clearing time</x:v>
      </x:c>
      <x:c r="I182" s="11" t="str">
        <x:v>ms</x:v>
      </x:c>
      <x:c r="J182" s="17" t="n">
        <x:v>100</x:v>
      </x:c>
      <x:c r="K182" s="17" t="n">
        <x:v>100</x:v>
      </x:c>
      <x:c r="L182" s="17" t="n">
        <x:v>10</x:v>
      </x:c>
      <x:c r="M182" s="11" t="str">
        <x:v>INDETERMINATE</x:v>
      </x:c>
      <x:c r="N182" s="11" t="n">
        <x:v>1</x:v>
      </x:c>
      <x:c r="O182" s="13" t="n">
        <x:v>0</x:v>
      </x:c>
      <x:c r="P182" s="11" t="str">
        <x:f>IF(AND(N182=1,L182&lt;=J182/4,ABS(K182-J182)&lt;=L182),"PASS","FAIL")</x:f>
        <x:v>PASS</x:v>
      </x:c>
      <x:c r="Q182" s="11" t="str">
        <x:f>IF(P182&lt;&gt;"PASS","FAIL",IF(O182=1,"PASS","OPEN"))</x:f>
        <x:v>OPEN</x:v>
      </x:c>
    </x:row>
    <x:row r="183">
      <x:c r="B183" s="11" t="str">
        <x:v>RA-SA4-08-A3-T0</x:v>
      </x:c>
      <x:c r="C183" s="11" t="str">
        <x:v>RA-SA4-08-A3</x:v>
      </x:c>
      <x:c r="D183" s="11" t="str">
        <x:v>SA4</x:v>
      </x:c>
      <x:c r="E183" s="11" t="str">
        <x:v>A</x:v>
      </x:c>
      <x:c r="F183" s="11" t="str">
        <x:v>T0</x:v>
      </x:c>
      <x:c r="G183" s="11" t="str">
        <x:v>datum and blank</x:v>
      </x:c>
      <x:c r="H183" s="11" t="str">
        <x:v>fault clearing time</x:v>
      </x:c>
      <x:c r="I183" s="11" t="str">
        <x:v>ms</x:v>
      </x:c>
      <x:c r="J183" s="17" t="n">
        <x:v>100</x:v>
      </x:c>
      <x:c r="K183" s="17" t="n">
        <x:v>0</x:v>
      </x:c>
      <x:c r="L183" s="17" t="n">
        <x:v>10</x:v>
      </x:c>
      <x:c r="M183" s="11" t="str">
        <x:v>ACCEPT</x:v>
      </x:c>
      <x:c r="N183" s="11" t="n">
        <x:v>1</x:v>
      </x:c>
      <x:c r="O183" s="13" t="n">
        <x:v>0</x:v>
      </x:c>
      <x:c r="P183" s="11" t="str">
        <x:f>IF(AND(N183=1,L183&lt;=J183/4,K183=0),"PASS","FAIL")</x:f>
        <x:v>PASS</x:v>
      </x:c>
      <x:c r="Q183" s="11" t="str">
        <x:f>IF(P183&lt;&gt;"PASS","FAIL",IF(O183=1,"PASS","OPEN"))</x:f>
        <x:v>OPEN</x:v>
      </x:c>
    </x:row>
    <x:row r="184">
      <x:c r="B184" s="11" t="str">
        <x:v>RA-SA4-08-A3-T1</x:v>
      </x:c>
      <x:c r="C184" s="11" t="str">
        <x:v>RA-SA4-08-A3</x:v>
      </x:c>
      <x:c r="D184" s="11" t="str">
        <x:v>SA4</x:v>
      </x:c>
      <x:c r="E184" s="11" t="str">
        <x:v>A</x:v>
      </x:c>
      <x:c r="F184" s="11" t="str">
        <x:v>T1</x:v>
      </x:c>
      <x:c r="G184" s="11" t="str">
        <x:v>known compliant</x:v>
      </x:c>
      <x:c r="H184" s="11" t="str">
        <x:v>fault clearing time</x:v>
      </x:c>
      <x:c r="I184" s="11" t="str">
        <x:v>ms</x:v>
      </x:c>
      <x:c r="J184" s="17" t="n">
        <x:v>100</x:v>
      </x:c>
      <x:c r="K184" s="17" t="n">
        <x:v>50</x:v>
      </x:c>
      <x:c r="L184" s="17" t="n">
        <x:v>10</x:v>
      </x:c>
      <x:c r="M184" s="11" t="str">
        <x:v>ACCEPT</x:v>
      </x:c>
      <x:c r="N184" s="11" t="n">
        <x:v>1</x:v>
      </x:c>
      <x:c r="O184" s="13" t="n">
        <x:v>0</x:v>
      </x:c>
      <x:c r="P184" s="11" t="str">
        <x:f>IF(AND(N184=1,L184&lt;=J184/4,K184&lt;J184-L184),"PASS","FAIL")</x:f>
        <x:v>PASS</x:v>
      </x:c>
      <x:c r="Q184" s="11" t="str">
        <x:f>IF(P184&lt;&gt;"PASS","FAIL",IF(O184=1,"PASS","OPEN"))</x:f>
        <x:v>OPEN</x:v>
      </x:c>
    </x:row>
    <x:row r="185">
      <x:c r="B185" s="11" t="str">
        <x:v>RA-SA4-08-A3-T2</x:v>
      </x:c>
      <x:c r="C185" s="11" t="str">
        <x:v>RA-SA4-08-A3</x:v>
      </x:c>
      <x:c r="D185" s="11" t="str">
        <x:v>SA4</x:v>
      </x:c>
      <x:c r="E185" s="11" t="str">
        <x:v>A</x:v>
      </x:c>
      <x:c r="F185" s="11" t="str">
        <x:v>T2</x:v>
      </x:c>
      <x:c r="G185" s="11" t="str">
        <x:v>known nonconforming</x:v>
      </x:c>
      <x:c r="H185" s="11" t="str">
        <x:v>fault clearing time</x:v>
      </x:c>
      <x:c r="I185" s="11" t="str">
        <x:v>ms</x:v>
      </x:c>
      <x:c r="J185" s="17" t="n">
        <x:v>100</x:v>
      </x:c>
      <x:c r="K185" s="17" t="n">
        <x:v>150</x:v>
      </x:c>
      <x:c r="L185" s="17" t="n">
        <x:v>10</x:v>
      </x:c>
      <x:c r="M185" s="11" t="str">
        <x:v>REJECT</x:v>
      </x:c>
      <x:c r="N185" s="11" t="n">
        <x:v>1</x:v>
      </x:c>
      <x:c r="O185" s="13" t="n">
        <x:v>0</x:v>
      </x:c>
      <x:c r="P185" s="11" t="str">
        <x:f>IF(AND(N185=1,L185&lt;=J185/4,K185&gt;J185+L185),"PASS","FAIL")</x:f>
        <x:v>PASS</x:v>
      </x:c>
      <x:c r="Q185" s="11" t="str">
        <x:f>IF(P185&lt;&gt;"PASS","FAIL",IF(O185=1,"PASS","OPEN"))</x:f>
        <x:v>OPEN</x:v>
      </x:c>
    </x:row>
    <x:row r="186">
      <x:c r="B186" s="11" t="str">
        <x:v>RA-SA4-08-A3-T3</x:v>
      </x:c>
      <x:c r="C186" s="11" t="str">
        <x:v>RA-SA4-08-A3</x:v>
      </x:c>
      <x:c r="D186" s="11" t="str">
        <x:v>SA4</x:v>
      </x:c>
      <x:c r="E186" s="11" t="str">
        <x:v>A</x:v>
      </x:c>
      <x:c r="F186" s="11" t="str">
        <x:v>T3</x:v>
      </x:c>
      <x:c r="G186" s="11" t="str">
        <x:v>decision boundary</x:v>
      </x:c>
      <x:c r="H186" s="11" t="str">
        <x:v>fault clearing time</x:v>
      </x:c>
      <x:c r="I186" s="11" t="str">
        <x:v>ms</x:v>
      </x:c>
      <x:c r="J186" s="17" t="n">
        <x:v>100</x:v>
      </x:c>
      <x:c r="K186" s="17" t="n">
        <x:v>100</x:v>
      </x:c>
      <x:c r="L186" s="17" t="n">
        <x:v>10</x:v>
      </x:c>
      <x:c r="M186" s="11" t="str">
        <x:v>INDETERMINATE</x:v>
      </x:c>
      <x:c r="N186" s="11" t="n">
        <x:v>1</x:v>
      </x:c>
      <x:c r="O186" s="13" t="n">
        <x:v>0</x:v>
      </x:c>
      <x:c r="P186" s="11" t="str">
        <x:f>IF(AND(N186=1,L186&lt;=J186/4,ABS(K186-J186)&lt;=L186),"PASS","FAIL")</x:f>
        <x:v>PASS</x:v>
      </x:c>
      <x:c r="Q186" s="11" t="str">
        <x:f>IF(P186&lt;&gt;"PASS","FAIL",IF(O186=1,"PASS","OPEN"))</x:f>
        <x:v>OPEN</x:v>
      </x:c>
    </x:row>
    <x:row r="187">
      <x:c r="B187" s="11" t="str">
        <x:v>RA-SA4-08-B1-T0</x:v>
      </x:c>
      <x:c r="C187" s="11" t="str">
        <x:v>RA-SA4-08-B1</x:v>
      </x:c>
      <x:c r="D187" s="11" t="str">
        <x:v>SA4</x:v>
      </x:c>
      <x:c r="E187" s="11" t="str">
        <x:v>B</x:v>
      </x:c>
      <x:c r="F187" s="11" t="str">
        <x:v>T0</x:v>
      </x:c>
      <x:c r="G187" s="11" t="str">
        <x:v>datum and blank</x:v>
      </x:c>
      <x:c r="H187" s="11" t="str">
        <x:v>fault clearing time</x:v>
      </x:c>
      <x:c r="I187" s="11" t="str">
        <x:v>ms</x:v>
      </x:c>
      <x:c r="J187" s="17" t="n">
        <x:v>150</x:v>
      </x:c>
      <x:c r="K187" s="17" t="n">
        <x:v>0</x:v>
      </x:c>
      <x:c r="L187" s="17" t="n">
        <x:v>15</x:v>
      </x:c>
      <x:c r="M187" s="11" t="str">
        <x:v>ACCEPT</x:v>
      </x:c>
      <x:c r="N187" s="11" t="n">
        <x:v>1</x:v>
      </x:c>
      <x:c r="O187" s="13" t="n">
        <x:v>0</x:v>
      </x:c>
      <x:c r="P187" s="11" t="str">
        <x:f>IF(AND(N187=1,L187&lt;=J187/4,K187=0),"PASS","FAIL")</x:f>
        <x:v>PASS</x:v>
      </x:c>
      <x:c r="Q187" s="11" t="str">
        <x:f>IF(P187&lt;&gt;"PASS","FAIL",IF(O187=1,"PASS","OPEN"))</x:f>
        <x:v>OPEN</x:v>
      </x:c>
    </x:row>
    <x:row r="188">
      <x:c r="B188" s="11" t="str">
        <x:v>RA-SA4-08-B1-T1</x:v>
      </x:c>
      <x:c r="C188" s="11" t="str">
        <x:v>RA-SA4-08-B1</x:v>
      </x:c>
      <x:c r="D188" s="11" t="str">
        <x:v>SA4</x:v>
      </x:c>
      <x:c r="E188" s="11" t="str">
        <x:v>B</x:v>
      </x:c>
      <x:c r="F188" s="11" t="str">
        <x:v>T1</x:v>
      </x:c>
      <x:c r="G188" s="11" t="str">
        <x:v>known compliant</x:v>
      </x:c>
      <x:c r="H188" s="11" t="str">
        <x:v>fault clearing time</x:v>
      </x:c>
      <x:c r="I188" s="11" t="str">
        <x:v>ms</x:v>
      </x:c>
      <x:c r="J188" s="17" t="n">
        <x:v>150</x:v>
      </x:c>
      <x:c r="K188" s="17" t="n">
        <x:v>75</x:v>
      </x:c>
      <x:c r="L188" s="17" t="n">
        <x:v>15</x:v>
      </x:c>
      <x:c r="M188" s="11" t="str">
        <x:v>ACCEPT</x:v>
      </x:c>
      <x:c r="N188" s="11" t="n">
        <x:v>1</x:v>
      </x:c>
      <x:c r="O188" s="13" t="n">
        <x:v>0</x:v>
      </x:c>
      <x:c r="P188" s="11" t="str">
        <x:f>IF(AND(N188=1,L188&lt;=J188/4,K188&lt;J188-L188),"PASS","FAIL")</x:f>
        <x:v>PASS</x:v>
      </x:c>
      <x:c r="Q188" s="11" t="str">
        <x:f>IF(P188&lt;&gt;"PASS","FAIL",IF(O188=1,"PASS","OPEN"))</x:f>
        <x:v>OPEN</x:v>
      </x:c>
    </x:row>
    <x:row r="189">
      <x:c r="B189" s="11" t="str">
        <x:v>RA-SA4-08-B1-T2</x:v>
      </x:c>
      <x:c r="C189" s="11" t="str">
        <x:v>RA-SA4-08-B1</x:v>
      </x:c>
      <x:c r="D189" s="11" t="str">
        <x:v>SA4</x:v>
      </x:c>
      <x:c r="E189" s="11" t="str">
        <x:v>B</x:v>
      </x:c>
      <x:c r="F189" s="11" t="str">
        <x:v>T2</x:v>
      </x:c>
      <x:c r="G189" s="11" t="str">
        <x:v>known nonconforming</x:v>
      </x:c>
      <x:c r="H189" s="11" t="str">
        <x:v>fault clearing time</x:v>
      </x:c>
      <x:c r="I189" s="11" t="str">
        <x:v>ms</x:v>
      </x:c>
      <x:c r="J189" s="17" t="n">
        <x:v>150</x:v>
      </x:c>
      <x:c r="K189" s="17" t="n">
        <x:v>225</x:v>
      </x:c>
      <x:c r="L189" s="17" t="n">
        <x:v>15</x:v>
      </x:c>
      <x:c r="M189" s="11" t="str">
        <x:v>REJECT</x:v>
      </x:c>
      <x:c r="N189" s="11" t="n">
        <x:v>1</x:v>
      </x:c>
      <x:c r="O189" s="13" t="n">
        <x:v>0</x:v>
      </x:c>
      <x:c r="P189" s="11" t="str">
        <x:f>IF(AND(N189=1,L189&lt;=J189/4,K189&gt;J189+L189),"PASS","FAIL")</x:f>
        <x:v>PASS</x:v>
      </x:c>
      <x:c r="Q189" s="11" t="str">
        <x:f>IF(P189&lt;&gt;"PASS","FAIL",IF(O189=1,"PASS","OPEN"))</x:f>
        <x:v>OPEN</x:v>
      </x:c>
    </x:row>
    <x:row r="190">
      <x:c r="B190" s="11" t="str">
        <x:v>RA-SA4-08-B1-T3</x:v>
      </x:c>
      <x:c r="C190" s="11" t="str">
        <x:v>RA-SA4-08-B1</x:v>
      </x:c>
      <x:c r="D190" s="11" t="str">
        <x:v>SA4</x:v>
      </x:c>
      <x:c r="E190" s="11" t="str">
        <x:v>B</x:v>
      </x:c>
      <x:c r="F190" s="11" t="str">
        <x:v>T3</x:v>
      </x:c>
      <x:c r="G190" s="11" t="str">
        <x:v>decision boundary</x:v>
      </x:c>
      <x:c r="H190" s="11" t="str">
        <x:v>fault clearing time</x:v>
      </x:c>
      <x:c r="I190" s="11" t="str">
        <x:v>ms</x:v>
      </x:c>
      <x:c r="J190" s="17" t="n">
        <x:v>150</x:v>
      </x:c>
      <x:c r="K190" s="17" t="n">
        <x:v>150</x:v>
      </x:c>
      <x:c r="L190" s="17" t="n">
        <x:v>15</x:v>
      </x:c>
      <x:c r="M190" s="11" t="str">
        <x:v>INDETERMINATE</x:v>
      </x:c>
      <x:c r="N190" s="11" t="n">
        <x:v>1</x:v>
      </x:c>
      <x:c r="O190" s="13" t="n">
        <x:v>0</x:v>
      </x:c>
      <x:c r="P190" s="11" t="str">
        <x:f>IF(AND(N190=1,L190&lt;=J190/4,ABS(K190-J190)&lt;=L190),"PASS","FAIL")</x:f>
        <x:v>PASS</x:v>
      </x:c>
      <x:c r="Q190" s="11" t="str">
        <x:f>IF(P190&lt;&gt;"PASS","FAIL",IF(O190=1,"PASS","OPEN"))</x:f>
        <x:v>OPEN</x:v>
      </x:c>
    </x:row>
    <x:row r="191">
      <x:c r="B191" s="11" t="str">
        <x:v>RA-SA4-08-B2-T0</x:v>
      </x:c>
      <x:c r="C191" s="11" t="str">
        <x:v>RA-SA4-08-B2</x:v>
      </x:c>
      <x:c r="D191" s="11" t="str">
        <x:v>SA4</x:v>
      </x:c>
      <x:c r="E191" s="11" t="str">
        <x:v>B</x:v>
      </x:c>
      <x:c r="F191" s="11" t="str">
        <x:v>T0</x:v>
      </x:c>
      <x:c r="G191" s="11" t="str">
        <x:v>datum and blank</x:v>
      </x:c>
      <x:c r="H191" s="11" t="str">
        <x:v>fault clearing time</x:v>
      </x:c>
      <x:c r="I191" s="11" t="str">
        <x:v>ms</x:v>
      </x:c>
      <x:c r="J191" s="17" t="n">
        <x:v>150</x:v>
      </x:c>
      <x:c r="K191" s="17" t="n">
        <x:v>0</x:v>
      </x:c>
      <x:c r="L191" s="17" t="n">
        <x:v>15</x:v>
      </x:c>
      <x:c r="M191" s="11" t="str">
        <x:v>ACCEPT</x:v>
      </x:c>
      <x:c r="N191" s="11" t="n">
        <x:v>1</x:v>
      </x:c>
      <x:c r="O191" s="13" t="n">
        <x:v>0</x:v>
      </x:c>
      <x:c r="P191" s="11" t="str">
        <x:f>IF(AND(N191=1,L191&lt;=J191/4,K191=0),"PASS","FAIL")</x:f>
        <x:v>PASS</x:v>
      </x:c>
      <x:c r="Q191" s="11" t="str">
        <x:f>IF(P191&lt;&gt;"PASS","FAIL",IF(O191=1,"PASS","OPEN"))</x:f>
        <x:v>OPEN</x:v>
      </x:c>
    </x:row>
    <x:row r="192">
      <x:c r="B192" s="11" t="str">
        <x:v>RA-SA4-08-B2-T1</x:v>
      </x:c>
      <x:c r="C192" s="11" t="str">
        <x:v>RA-SA4-08-B2</x:v>
      </x:c>
      <x:c r="D192" s="11" t="str">
        <x:v>SA4</x:v>
      </x:c>
      <x:c r="E192" s="11" t="str">
        <x:v>B</x:v>
      </x:c>
      <x:c r="F192" s="11" t="str">
        <x:v>T1</x:v>
      </x:c>
      <x:c r="G192" s="11" t="str">
        <x:v>known compliant</x:v>
      </x:c>
      <x:c r="H192" s="11" t="str">
        <x:v>fault clearing time</x:v>
      </x:c>
      <x:c r="I192" s="11" t="str">
        <x:v>ms</x:v>
      </x:c>
      <x:c r="J192" s="17" t="n">
        <x:v>150</x:v>
      </x:c>
      <x:c r="K192" s="17" t="n">
        <x:v>75</x:v>
      </x:c>
      <x:c r="L192" s="17" t="n">
        <x:v>15</x:v>
      </x:c>
      <x:c r="M192" s="11" t="str">
        <x:v>ACCEPT</x:v>
      </x:c>
      <x:c r="N192" s="11" t="n">
        <x:v>1</x:v>
      </x:c>
      <x:c r="O192" s="13" t="n">
        <x:v>0</x:v>
      </x:c>
      <x:c r="P192" s="11" t="str">
        <x:f>IF(AND(N192=1,L192&lt;=J192/4,K192&lt;J192-L192),"PASS","FAIL")</x:f>
        <x:v>PASS</x:v>
      </x:c>
      <x:c r="Q192" s="11" t="str">
        <x:f>IF(P192&lt;&gt;"PASS","FAIL",IF(O192=1,"PASS","OPEN"))</x:f>
        <x:v>OPEN</x:v>
      </x:c>
    </x:row>
    <x:row r="193">
      <x:c r="B193" s="11" t="str">
        <x:v>RA-SA4-08-B2-T2</x:v>
      </x:c>
      <x:c r="C193" s="11" t="str">
        <x:v>RA-SA4-08-B2</x:v>
      </x:c>
      <x:c r="D193" s="11" t="str">
        <x:v>SA4</x:v>
      </x:c>
      <x:c r="E193" s="11" t="str">
        <x:v>B</x:v>
      </x:c>
      <x:c r="F193" s="11" t="str">
        <x:v>T2</x:v>
      </x:c>
      <x:c r="G193" s="11" t="str">
        <x:v>known nonconforming</x:v>
      </x:c>
      <x:c r="H193" s="11" t="str">
        <x:v>fault clearing time</x:v>
      </x:c>
      <x:c r="I193" s="11" t="str">
        <x:v>ms</x:v>
      </x:c>
      <x:c r="J193" s="17" t="n">
        <x:v>150</x:v>
      </x:c>
      <x:c r="K193" s="17" t="n">
        <x:v>225</x:v>
      </x:c>
      <x:c r="L193" s="17" t="n">
        <x:v>15</x:v>
      </x:c>
      <x:c r="M193" s="11" t="str">
        <x:v>REJECT</x:v>
      </x:c>
      <x:c r="N193" s="11" t="n">
        <x:v>1</x:v>
      </x:c>
      <x:c r="O193" s="13" t="n">
        <x:v>0</x:v>
      </x:c>
      <x:c r="P193" s="11" t="str">
        <x:f>IF(AND(N193=1,L193&lt;=J193/4,K193&gt;J193+L193),"PASS","FAIL")</x:f>
        <x:v>PASS</x:v>
      </x:c>
      <x:c r="Q193" s="11" t="str">
        <x:f>IF(P193&lt;&gt;"PASS","FAIL",IF(O193=1,"PASS","OPEN"))</x:f>
        <x:v>OPEN</x:v>
      </x:c>
    </x:row>
    <x:row r="194">
      <x:c r="B194" s="11" t="str">
        <x:v>RA-SA4-08-B2-T3</x:v>
      </x:c>
      <x:c r="C194" s="11" t="str">
        <x:v>RA-SA4-08-B2</x:v>
      </x:c>
      <x:c r="D194" s="11" t="str">
        <x:v>SA4</x:v>
      </x:c>
      <x:c r="E194" s="11" t="str">
        <x:v>B</x:v>
      </x:c>
      <x:c r="F194" s="11" t="str">
        <x:v>T3</x:v>
      </x:c>
      <x:c r="G194" s="11" t="str">
        <x:v>decision boundary</x:v>
      </x:c>
      <x:c r="H194" s="11" t="str">
        <x:v>fault clearing time</x:v>
      </x:c>
      <x:c r="I194" s="11" t="str">
        <x:v>ms</x:v>
      </x:c>
      <x:c r="J194" s="17" t="n">
        <x:v>150</x:v>
      </x:c>
      <x:c r="K194" s="17" t="n">
        <x:v>150</x:v>
      </x:c>
      <x:c r="L194" s="17" t="n">
        <x:v>15</x:v>
      </x:c>
      <x:c r="M194" s="11" t="str">
        <x:v>INDETERMINATE</x:v>
      </x:c>
      <x:c r="N194" s="11" t="n">
        <x:v>1</x:v>
      </x:c>
      <x:c r="O194" s="13" t="n">
        <x:v>0</x:v>
      </x:c>
      <x:c r="P194" s="11" t="str">
        <x:f>IF(AND(N194=1,L194&lt;=J194/4,ABS(K194-J194)&lt;=L194),"PASS","FAIL")</x:f>
        <x:v>PASS</x:v>
      </x:c>
      <x:c r="Q194" s="11" t="str">
        <x:f>IF(P194&lt;&gt;"PASS","FAIL",IF(O194=1,"PASS","OPEN"))</x:f>
        <x:v>OPEN</x:v>
      </x:c>
    </x:row>
    <x:row r="195">
      <x:c r="B195" s="11" t="str">
        <x:v>RA-SA4-08-B3-T0</x:v>
      </x:c>
      <x:c r="C195" s="11" t="str">
        <x:v>RA-SA4-08-B3</x:v>
      </x:c>
      <x:c r="D195" s="11" t="str">
        <x:v>SA4</x:v>
      </x:c>
      <x:c r="E195" s="11" t="str">
        <x:v>B</x:v>
      </x:c>
      <x:c r="F195" s="11" t="str">
        <x:v>T0</x:v>
      </x:c>
      <x:c r="G195" s="11" t="str">
        <x:v>datum and blank</x:v>
      </x:c>
      <x:c r="H195" s="11" t="str">
        <x:v>fault clearing time</x:v>
      </x:c>
      <x:c r="I195" s="11" t="str">
        <x:v>ms</x:v>
      </x:c>
      <x:c r="J195" s="17" t="n">
        <x:v>150</x:v>
      </x:c>
      <x:c r="K195" s="17" t="n">
        <x:v>0</x:v>
      </x:c>
      <x:c r="L195" s="17" t="n">
        <x:v>15</x:v>
      </x:c>
      <x:c r="M195" s="11" t="str">
        <x:v>ACCEPT</x:v>
      </x:c>
      <x:c r="N195" s="11" t="n">
        <x:v>1</x:v>
      </x:c>
      <x:c r="O195" s="13" t="n">
        <x:v>0</x:v>
      </x:c>
      <x:c r="P195" s="11" t="str">
        <x:f>IF(AND(N195=1,L195&lt;=J195/4,K195=0),"PASS","FAIL")</x:f>
        <x:v>PASS</x:v>
      </x:c>
      <x:c r="Q195" s="11" t="str">
        <x:f>IF(P195&lt;&gt;"PASS","FAIL",IF(O195=1,"PASS","OPEN"))</x:f>
        <x:v>OPEN</x:v>
      </x:c>
    </x:row>
    <x:row r="196">
      <x:c r="B196" s="11" t="str">
        <x:v>RA-SA4-08-B3-T1</x:v>
      </x:c>
      <x:c r="C196" s="11" t="str">
        <x:v>RA-SA4-08-B3</x:v>
      </x:c>
      <x:c r="D196" s="11" t="str">
        <x:v>SA4</x:v>
      </x:c>
      <x:c r="E196" s="11" t="str">
        <x:v>B</x:v>
      </x:c>
      <x:c r="F196" s="11" t="str">
        <x:v>T1</x:v>
      </x:c>
      <x:c r="G196" s="11" t="str">
        <x:v>known compliant</x:v>
      </x:c>
      <x:c r="H196" s="11" t="str">
        <x:v>fault clearing time</x:v>
      </x:c>
      <x:c r="I196" s="11" t="str">
        <x:v>ms</x:v>
      </x:c>
      <x:c r="J196" s="17" t="n">
        <x:v>150</x:v>
      </x:c>
      <x:c r="K196" s="17" t="n">
        <x:v>75</x:v>
      </x:c>
      <x:c r="L196" s="17" t="n">
        <x:v>15</x:v>
      </x:c>
      <x:c r="M196" s="11" t="str">
        <x:v>ACCEPT</x:v>
      </x:c>
      <x:c r="N196" s="11" t="n">
        <x:v>1</x:v>
      </x:c>
      <x:c r="O196" s="13" t="n">
        <x:v>0</x:v>
      </x:c>
      <x:c r="P196" s="11" t="str">
        <x:f>IF(AND(N196=1,L196&lt;=J196/4,K196&lt;J196-L196),"PASS","FAIL")</x:f>
        <x:v>PASS</x:v>
      </x:c>
      <x:c r="Q196" s="11" t="str">
        <x:f>IF(P196&lt;&gt;"PASS","FAIL",IF(O196=1,"PASS","OPEN"))</x:f>
        <x:v>OPEN</x:v>
      </x:c>
    </x:row>
    <x:row r="197">
      <x:c r="B197" s="11" t="str">
        <x:v>RA-SA4-08-B3-T2</x:v>
      </x:c>
      <x:c r="C197" s="11" t="str">
        <x:v>RA-SA4-08-B3</x:v>
      </x:c>
      <x:c r="D197" s="11" t="str">
        <x:v>SA4</x:v>
      </x:c>
      <x:c r="E197" s="11" t="str">
        <x:v>B</x:v>
      </x:c>
      <x:c r="F197" s="11" t="str">
        <x:v>T2</x:v>
      </x:c>
      <x:c r="G197" s="11" t="str">
        <x:v>known nonconforming</x:v>
      </x:c>
      <x:c r="H197" s="11" t="str">
        <x:v>fault clearing time</x:v>
      </x:c>
      <x:c r="I197" s="11" t="str">
        <x:v>ms</x:v>
      </x:c>
      <x:c r="J197" s="17" t="n">
        <x:v>150</x:v>
      </x:c>
      <x:c r="K197" s="17" t="n">
        <x:v>225</x:v>
      </x:c>
      <x:c r="L197" s="17" t="n">
        <x:v>15</x:v>
      </x:c>
      <x:c r="M197" s="11" t="str">
        <x:v>REJECT</x:v>
      </x:c>
      <x:c r="N197" s="11" t="n">
        <x:v>1</x:v>
      </x:c>
      <x:c r="O197" s="13" t="n">
        <x:v>0</x:v>
      </x:c>
      <x:c r="P197" s="11" t="str">
        <x:f>IF(AND(N197=1,L197&lt;=J197/4,K197&gt;J197+L197),"PASS","FAIL")</x:f>
        <x:v>PASS</x:v>
      </x:c>
      <x:c r="Q197" s="11" t="str">
        <x:f>IF(P197&lt;&gt;"PASS","FAIL",IF(O197=1,"PASS","OPEN"))</x:f>
        <x:v>OPEN</x:v>
      </x:c>
    </x:row>
    <x:row r="198">
      <x:c r="B198" s="11" t="str">
        <x:v>RA-SA4-08-B3-T3</x:v>
      </x:c>
      <x:c r="C198" s="11" t="str">
        <x:v>RA-SA4-08-B3</x:v>
      </x:c>
      <x:c r="D198" s="11" t="str">
        <x:v>SA4</x:v>
      </x:c>
      <x:c r="E198" s="11" t="str">
        <x:v>B</x:v>
      </x:c>
      <x:c r="F198" s="11" t="str">
        <x:v>T3</x:v>
      </x:c>
      <x:c r="G198" s="11" t="str">
        <x:v>decision boundary</x:v>
      </x:c>
      <x:c r="H198" s="11" t="str">
        <x:v>fault clearing time</x:v>
      </x:c>
      <x:c r="I198" s="11" t="str">
        <x:v>ms</x:v>
      </x:c>
      <x:c r="J198" s="17" t="n">
        <x:v>150</x:v>
      </x:c>
      <x:c r="K198" s="17" t="n">
        <x:v>150</x:v>
      </x:c>
      <x:c r="L198" s="17" t="n">
        <x:v>15</x:v>
      </x:c>
      <x:c r="M198" s="11" t="str">
        <x:v>INDETERMINATE</x:v>
      </x:c>
      <x:c r="N198" s="11" t="n">
        <x:v>1</x:v>
      </x:c>
      <x:c r="O198" s="13" t="n">
        <x:v>0</x:v>
      </x:c>
      <x:c r="P198" s="11" t="str">
        <x:f>IF(AND(N198=1,L198&lt;=J198/4,ABS(K198-J198)&lt;=L198),"PASS","FAIL")</x:f>
        <x:v>PASS</x:v>
      </x:c>
      <x:c r="Q198" s="11" t="str">
        <x:f>IF(P198&lt;&gt;"PASS","FAIL",IF(O198=1,"PASS","OPEN"))</x:f>
        <x:v>OPEN</x:v>
      </x:c>
    </x:row>
    <x:row r="199">
      <x:c r="B199" s="11" t="str">
        <x:v>RA-SA5-09-A1-T0</x:v>
      </x:c>
      <x:c r="C199" s="11" t="str">
        <x:v>RA-SA5-09-A1</x:v>
      </x:c>
      <x:c r="D199" s="11" t="str">
        <x:v>SA5</x:v>
      </x:c>
      <x:c r="E199" s="11" t="str">
        <x:v>A</x:v>
      </x:c>
      <x:c r="F199" s="11" t="str">
        <x:v>T0</x:v>
      </x:c>
      <x:c r="G199" s="11" t="str">
        <x:v>datum and blank</x:v>
      </x:c>
      <x:c r="H199" s="11" t="str">
        <x:v>heat-balance error</x:v>
      </x:c>
      <x:c r="I199" s="11" t="str">
        <x:v>fraction</x:v>
      </x:c>
      <x:c r="J199" s="17" t="n">
        <x:v>0.05</x:v>
      </x:c>
      <x:c r="K199" s="17" t="n">
        <x:v>0</x:v>
      </x:c>
      <x:c r="L199" s="17" t="n">
        <x:v>0.005000000000000001</x:v>
      </x:c>
      <x:c r="M199" s="11" t="str">
        <x:v>ACCEPT</x:v>
      </x:c>
      <x:c r="N199" s="11" t="n">
        <x:v>1</x:v>
      </x:c>
      <x:c r="O199" s="13" t="n">
        <x:v>0</x:v>
      </x:c>
      <x:c r="P199" s="11" t="str">
        <x:f>IF(AND(N199=1,L199&lt;=J199/4,K199=0),"PASS","FAIL")</x:f>
        <x:v>PASS</x:v>
      </x:c>
      <x:c r="Q199" s="11" t="str">
        <x:f>IF(P199&lt;&gt;"PASS","FAIL",IF(O199=1,"PASS","OPEN"))</x:f>
        <x:v>OPEN</x:v>
      </x:c>
    </x:row>
    <x:row r="200">
      <x:c r="B200" s="11" t="str">
        <x:v>RA-SA5-09-A1-T1</x:v>
      </x:c>
      <x:c r="C200" s="11" t="str">
        <x:v>RA-SA5-09-A1</x:v>
      </x:c>
      <x:c r="D200" s="11" t="str">
        <x:v>SA5</x:v>
      </x:c>
      <x:c r="E200" s="11" t="str">
        <x:v>A</x:v>
      </x:c>
      <x:c r="F200" s="11" t="str">
        <x:v>T1</x:v>
      </x:c>
      <x:c r="G200" s="11" t="str">
        <x:v>known compliant</x:v>
      </x:c>
      <x:c r="H200" s="11" t="str">
        <x:v>heat-balance error</x:v>
      </x:c>
      <x:c r="I200" s="11" t="str">
        <x:v>fraction</x:v>
      </x:c>
      <x:c r="J200" s="17" t="n">
        <x:v>0.05</x:v>
      </x:c>
      <x:c r="K200" s="17" t="n">
        <x:v>0.024999999999999998</x:v>
      </x:c>
      <x:c r="L200" s="17" t="n">
        <x:v>0.005000000000000001</x:v>
      </x:c>
      <x:c r="M200" s="11" t="str">
        <x:v>ACCEPT</x:v>
      </x:c>
      <x:c r="N200" s="11" t="n">
        <x:v>1</x:v>
      </x:c>
      <x:c r="O200" s="13" t="n">
        <x:v>0</x:v>
      </x:c>
      <x:c r="P200" s="11" t="str">
        <x:f>IF(AND(N200=1,L200&lt;=J200/4,K200&lt;J200-L200),"PASS","FAIL")</x:f>
        <x:v>PASS</x:v>
      </x:c>
      <x:c r="Q200" s="11" t="str">
        <x:f>IF(P200&lt;&gt;"PASS","FAIL",IF(O200=1,"PASS","OPEN"))</x:f>
        <x:v>OPEN</x:v>
      </x:c>
    </x:row>
    <x:row r="201">
      <x:c r="B201" s="11" t="str">
        <x:v>RA-SA5-09-A1-T2</x:v>
      </x:c>
      <x:c r="C201" s="11" t="str">
        <x:v>RA-SA5-09-A1</x:v>
      </x:c>
      <x:c r="D201" s="11" t="str">
        <x:v>SA5</x:v>
      </x:c>
      <x:c r="E201" s="11" t="str">
        <x:v>A</x:v>
      </x:c>
      <x:c r="F201" s="11" t="str">
        <x:v>T2</x:v>
      </x:c>
      <x:c r="G201" s="11" t="str">
        <x:v>known nonconforming</x:v>
      </x:c>
      <x:c r="H201" s="11" t="str">
        <x:v>heat-balance error</x:v>
      </x:c>
      <x:c r="I201" s="11" t="str">
        <x:v>fraction</x:v>
      </x:c>
      <x:c r="J201" s="17" t="n">
        <x:v>0.05</x:v>
      </x:c>
      <x:c r="K201" s="17" t="n">
        <x:v>0.07500000000000001</x:v>
      </x:c>
      <x:c r="L201" s="17" t="n">
        <x:v>0.005000000000000001</x:v>
      </x:c>
      <x:c r="M201" s="11" t="str">
        <x:v>REJECT</x:v>
      </x:c>
      <x:c r="N201" s="11" t="n">
        <x:v>1</x:v>
      </x:c>
      <x:c r="O201" s="13" t="n">
        <x:v>0</x:v>
      </x:c>
      <x:c r="P201" s="11" t="str">
        <x:f>IF(AND(N201=1,L201&lt;=J201/4,K201&gt;J201+L201),"PASS","FAIL")</x:f>
        <x:v>PASS</x:v>
      </x:c>
      <x:c r="Q201" s="11" t="str">
        <x:f>IF(P201&lt;&gt;"PASS","FAIL",IF(O201=1,"PASS","OPEN"))</x:f>
        <x:v>OPEN</x:v>
      </x:c>
    </x:row>
    <x:row r="202">
      <x:c r="B202" s="11" t="str">
        <x:v>RA-SA5-09-A1-T3</x:v>
      </x:c>
      <x:c r="C202" s="11" t="str">
        <x:v>RA-SA5-09-A1</x:v>
      </x:c>
      <x:c r="D202" s="11" t="str">
        <x:v>SA5</x:v>
      </x:c>
      <x:c r="E202" s="11" t="str">
        <x:v>A</x:v>
      </x:c>
      <x:c r="F202" s="11" t="str">
        <x:v>T3</x:v>
      </x:c>
      <x:c r="G202" s="11" t="str">
        <x:v>decision boundary</x:v>
      </x:c>
      <x:c r="H202" s="11" t="str">
        <x:v>heat-balance error</x:v>
      </x:c>
      <x:c r="I202" s="11" t="str">
        <x:v>fraction</x:v>
      </x:c>
      <x:c r="J202" s="17" t="n">
        <x:v>0.05</x:v>
      </x:c>
      <x:c r="K202" s="17" t="n">
        <x:v>0.05</x:v>
      </x:c>
      <x:c r="L202" s="17" t="n">
        <x:v>0.005000000000000001</x:v>
      </x:c>
      <x:c r="M202" s="11" t="str">
        <x:v>INDETERMINATE</x:v>
      </x:c>
      <x:c r="N202" s="11" t="n">
        <x:v>1</x:v>
      </x:c>
      <x:c r="O202" s="13" t="n">
        <x:v>0</x:v>
      </x:c>
      <x:c r="P202" s="11" t="str">
        <x:f>IF(AND(N202=1,L202&lt;=J202/4,ABS(K202-J202)&lt;=L202),"PASS","FAIL")</x:f>
        <x:v>PASS</x:v>
      </x:c>
      <x:c r="Q202" s="11" t="str">
        <x:f>IF(P202&lt;&gt;"PASS","FAIL",IF(O202=1,"PASS","OPEN"))</x:f>
        <x:v>OPEN</x:v>
      </x:c>
    </x:row>
    <x:row r="203">
      <x:c r="B203" s="11" t="str">
        <x:v>RA-SA5-09-A2-T0</x:v>
      </x:c>
      <x:c r="C203" s="11" t="str">
        <x:v>RA-SA5-09-A2</x:v>
      </x:c>
      <x:c r="D203" s="11" t="str">
        <x:v>SA5</x:v>
      </x:c>
      <x:c r="E203" s="11" t="str">
        <x:v>A</x:v>
      </x:c>
      <x:c r="F203" s="11" t="str">
        <x:v>T0</x:v>
      </x:c>
      <x:c r="G203" s="11" t="str">
        <x:v>datum and blank</x:v>
      </x:c>
      <x:c r="H203" s="11" t="str">
        <x:v>heat-balance error</x:v>
      </x:c>
      <x:c r="I203" s="11" t="str">
        <x:v>fraction</x:v>
      </x:c>
      <x:c r="J203" s="17" t="n">
        <x:v>0.05</x:v>
      </x:c>
      <x:c r="K203" s="17" t="n">
        <x:v>0</x:v>
      </x:c>
      <x:c r="L203" s="17" t="n">
        <x:v>0.005000000000000001</x:v>
      </x:c>
      <x:c r="M203" s="11" t="str">
        <x:v>ACCEPT</x:v>
      </x:c>
      <x:c r="N203" s="11" t="n">
        <x:v>1</x:v>
      </x:c>
      <x:c r="O203" s="13" t="n">
        <x:v>0</x:v>
      </x:c>
      <x:c r="P203" s="11" t="str">
        <x:f>IF(AND(N203=1,L203&lt;=J203/4,K203=0),"PASS","FAIL")</x:f>
        <x:v>PASS</x:v>
      </x:c>
      <x:c r="Q203" s="11" t="str">
        <x:f>IF(P203&lt;&gt;"PASS","FAIL",IF(O203=1,"PASS","OPEN"))</x:f>
        <x:v>OPEN</x:v>
      </x:c>
    </x:row>
    <x:row r="204">
      <x:c r="B204" s="11" t="str">
        <x:v>RA-SA5-09-A2-T1</x:v>
      </x:c>
      <x:c r="C204" s="11" t="str">
        <x:v>RA-SA5-09-A2</x:v>
      </x:c>
      <x:c r="D204" s="11" t="str">
        <x:v>SA5</x:v>
      </x:c>
      <x:c r="E204" s="11" t="str">
        <x:v>A</x:v>
      </x:c>
      <x:c r="F204" s="11" t="str">
        <x:v>T1</x:v>
      </x:c>
      <x:c r="G204" s="11" t="str">
        <x:v>known compliant</x:v>
      </x:c>
      <x:c r="H204" s="11" t="str">
        <x:v>heat-balance error</x:v>
      </x:c>
      <x:c r="I204" s="11" t="str">
        <x:v>fraction</x:v>
      </x:c>
      <x:c r="J204" s="17" t="n">
        <x:v>0.05</x:v>
      </x:c>
      <x:c r="K204" s="17" t="n">
        <x:v>0.024999999999999998</x:v>
      </x:c>
      <x:c r="L204" s="17" t="n">
        <x:v>0.005000000000000001</x:v>
      </x:c>
      <x:c r="M204" s="11" t="str">
        <x:v>ACCEPT</x:v>
      </x:c>
      <x:c r="N204" s="11" t="n">
        <x:v>1</x:v>
      </x:c>
      <x:c r="O204" s="13" t="n">
        <x:v>0</x:v>
      </x:c>
      <x:c r="P204" s="11" t="str">
        <x:f>IF(AND(N204=1,L204&lt;=J204/4,K204&lt;J204-L204),"PASS","FAIL")</x:f>
        <x:v>PASS</x:v>
      </x:c>
      <x:c r="Q204" s="11" t="str">
        <x:f>IF(P204&lt;&gt;"PASS","FAIL",IF(O204=1,"PASS","OPEN"))</x:f>
        <x:v>OPEN</x:v>
      </x:c>
    </x:row>
    <x:row r="205">
      <x:c r="B205" s="11" t="str">
        <x:v>RA-SA5-09-A2-T2</x:v>
      </x:c>
      <x:c r="C205" s="11" t="str">
        <x:v>RA-SA5-09-A2</x:v>
      </x:c>
      <x:c r="D205" s="11" t="str">
        <x:v>SA5</x:v>
      </x:c>
      <x:c r="E205" s="11" t="str">
        <x:v>A</x:v>
      </x:c>
      <x:c r="F205" s="11" t="str">
        <x:v>T2</x:v>
      </x:c>
      <x:c r="G205" s="11" t="str">
        <x:v>known nonconforming</x:v>
      </x:c>
      <x:c r="H205" s="11" t="str">
        <x:v>heat-balance error</x:v>
      </x:c>
      <x:c r="I205" s="11" t="str">
        <x:v>fraction</x:v>
      </x:c>
      <x:c r="J205" s="17" t="n">
        <x:v>0.05</x:v>
      </x:c>
      <x:c r="K205" s="17" t="n">
        <x:v>0.07500000000000001</x:v>
      </x:c>
      <x:c r="L205" s="17" t="n">
        <x:v>0.005000000000000001</x:v>
      </x:c>
      <x:c r="M205" s="11" t="str">
        <x:v>REJECT</x:v>
      </x:c>
      <x:c r="N205" s="11" t="n">
        <x:v>1</x:v>
      </x:c>
      <x:c r="O205" s="13" t="n">
        <x:v>0</x:v>
      </x:c>
      <x:c r="P205" s="11" t="str">
        <x:f>IF(AND(N205=1,L205&lt;=J205/4,K205&gt;J205+L205),"PASS","FAIL")</x:f>
        <x:v>PASS</x:v>
      </x:c>
      <x:c r="Q205" s="11" t="str">
        <x:f>IF(P205&lt;&gt;"PASS","FAIL",IF(O205=1,"PASS","OPEN"))</x:f>
        <x:v>OPEN</x:v>
      </x:c>
    </x:row>
    <x:row r="206">
      <x:c r="B206" s="11" t="str">
        <x:v>RA-SA5-09-A2-T3</x:v>
      </x:c>
      <x:c r="C206" s="11" t="str">
        <x:v>RA-SA5-09-A2</x:v>
      </x:c>
      <x:c r="D206" s="11" t="str">
        <x:v>SA5</x:v>
      </x:c>
      <x:c r="E206" s="11" t="str">
        <x:v>A</x:v>
      </x:c>
      <x:c r="F206" s="11" t="str">
        <x:v>T3</x:v>
      </x:c>
      <x:c r="G206" s="11" t="str">
        <x:v>decision boundary</x:v>
      </x:c>
      <x:c r="H206" s="11" t="str">
        <x:v>heat-balance error</x:v>
      </x:c>
      <x:c r="I206" s="11" t="str">
        <x:v>fraction</x:v>
      </x:c>
      <x:c r="J206" s="17" t="n">
        <x:v>0.05</x:v>
      </x:c>
      <x:c r="K206" s="17" t="n">
        <x:v>0.05</x:v>
      </x:c>
      <x:c r="L206" s="17" t="n">
        <x:v>0.005000000000000001</x:v>
      </x:c>
      <x:c r="M206" s="11" t="str">
        <x:v>INDETERMINATE</x:v>
      </x:c>
      <x:c r="N206" s="11" t="n">
        <x:v>1</x:v>
      </x:c>
      <x:c r="O206" s="13" t="n">
        <x:v>0</x:v>
      </x:c>
      <x:c r="P206" s="11" t="str">
        <x:f>IF(AND(N206=1,L206&lt;=J206/4,ABS(K206-J206)&lt;=L206),"PASS","FAIL")</x:f>
        <x:v>PASS</x:v>
      </x:c>
      <x:c r="Q206" s="11" t="str">
        <x:f>IF(P206&lt;&gt;"PASS","FAIL",IF(O206=1,"PASS","OPEN"))</x:f>
        <x:v>OPEN</x:v>
      </x:c>
    </x:row>
    <x:row r="207">
      <x:c r="B207" s="11" t="str">
        <x:v>RA-SA5-09-A3-T0</x:v>
      </x:c>
      <x:c r="C207" s="11" t="str">
        <x:v>RA-SA5-09-A3</x:v>
      </x:c>
      <x:c r="D207" s="11" t="str">
        <x:v>SA5</x:v>
      </x:c>
      <x:c r="E207" s="11" t="str">
        <x:v>A</x:v>
      </x:c>
      <x:c r="F207" s="11" t="str">
        <x:v>T0</x:v>
      </x:c>
      <x:c r="G207" s="11" t="str">
        <x:v>datum and blank</x:v>
      </x:c>
      <x:c r="H207" s="11" t="str">
        <x:v>heat-balance error</x:v>
      </x:c>
      <x:c r="I207" s="11" t="str">
        <x:v>fraction</x:v>
      </x:c>
      <x:c r="J207" s="17" t="n">
        <x:v>0.05</x:v>
      </x:c>
      <x:c r="K207" s="17" t="n">
        <x:v>0</x:v>
      </x:c>
      <x:c r="L207" s="17" t="n">
        <x:v>0.005000000000000001</x:v>
      </x:c>
      <x:c r="M207" s="11" t="str">
        <x:v>ACCEPT</x:v>
      </x:c>
      <x:c r="N207" s="11" t="n">
        <x:v>1</x:v>
      </x:c>
      <x:c r="O207" s="13" t="n">
        <x:v>0</x:v>
      </x:c>
      <x:c r="P207" s="11" t="str">
        <x:f>IF(AND(N207=1,L207&lt;=J207/4,K207=0),"PASS","FAIL")</x:f>
        <x:v>PASS</x:v>
      </x:c>
      <x:c r="Q207" s="11" t="str">
        <x:f>IF(P207&lt;&gt;"PASS","FAIL",IF(O207=1,"PASS","OPEN"))</x:f>
        <x:v>OPEN</x:v>
      </x:c>
    </x:row>
    <x:row r="208">
      <x:c r="B208" s="11" t="str">
        <x:v>RA-SA5-09-A3-T1</x:v>
      </x:c>
      <x:c r="C208" s="11" t="str">
        <x:v>RA-SA5-09-A3</x:v>
      </x:c>
      <x:c r="D208" s="11" t="str">
        <x:v>SA5</x:v>
      </x:c>
      <x:c r="E208" s="11" t="str">
        <x:v>A</x:v>
      </x:c>
      <x:c r="F208" s="11" t="str">
        <x:v>T1</x:v>
      </x:c>
      <x:c r="G208" s="11" t="str">
        <x:v>known compliant</x:v>
      </x:c>
      <x:c r="H208" s="11" t="str">
        <x:v>heat-balance error</x:v>
      </x:c>
      <x:c r="I208" s="11" t="str">
        <x:v>fraction</x:v>
      </x:c>
      <x:c r="J208" s="17" t="n">
        <x:v>0.05</x:v>
      </x:c>
      <x:c r="K208" s="17" t="n">
        <x:v>0.024999999999999998</x:v>
      </x:c>
      <x:c r="L208" s="17" t="n">
        <x:v>0.005000000000000001</x:v>
      </x:c>
      <x:c r="M208" s="11" t="str">
        <x:v>ACCEPT</x:v>
      </x:c>
      <x:c r="N208" s="11" t="n">
        <x:v>1</x:v>
      </x:c>
      <x:c r="O208" s="13" t="n">
        <x:v>0</x:v>
      </x:c>
      <x:c r="P208" s="11" t="str">
        <x:f>IF(AND(N208=1,L208&lt;=J208/4,K208&lt;J208-L208),"PASS","FAIL")</x:f>
        <x:v>PASS</x:v>
      </x:c>
      <x:c r="Q208" s="11" t="str">
        <x:f>IF(P208&lt;&gt;"PASS","FAIL",IF(O208=1,"PASS","OPEN"))</x:f>
        <x:v>OPEN</x:v>
      </x:c>
    </x:row>
    <x:row r="209">
      <x:c r="B209" s="11" t="str">
        <x:v>RA-SA5-09-A3-T2</x:v>
      </x:c>
      <x:c r="C209" s="11" t="str">
        <x:v>RA-SA5-09-A3</x:v>
      </x:c>
      <x:c r="D209" s="11" t="str">
        <x:v>SA5</x:v>
      </x:c>
      <x:c r="E209" s="11" t="str">
        <x:v>A</x:v>
      </x:c>
      <x:c r="F209" s="11" t="str">
        <x:v>T2</x:v>
      </x:c>
      <x:c r="G209" s="11" t="str">
        <x:v>known nonconforming</x:v>
      </x:c>
      <x:c r="H209" s="11" t="str">
        <x:v>heat-balance error</x:v>
      </x:c>
      <x:c r="I209" s="11" t="str">
        <x:v>fraction</x:v>
      </x:c>
      <x:c r="J209" s="17" t="n">
        <x:v>0.05</x:v>
      </x:c>
      <x:c r="K209" s="17" t="n">
        <x:v>0.07500000000000001</x:v>
      </x:c>
      <x:c r="L209" s="17" t="n">
        <x:v>0.005000000000000001</x:v>
      </x:c>
      <x:c r="M209" s="11" t="str">
        <x:v>REJECT</x:v>
      </x:c>
      <x:c r="N209" s="11" t="n">
        <x:v>1</x:v>
      </x:c>
      <x:c r="O209" s="13" t="n">
        <x:v>0</x:v>
      </x:c>
      <x:c r="P209" s="11" t="str">
        <x:f>IF(AND(N209=1,L209&lt;=J209/4,K209&gt;J209+L209),"PASS","FAIL")</x:f>
        <x:v>PASS</x:v>
      </x:c>
      <x:c r="Q209" s="11" t="str">
        <x:f>IF(P209&lt;&gt;"PASS","FAIL",IF(O209=1,"PASS","OPEN"))</x:f>
        <x:v>OPEN</x:v>
      </x:c>
    </x:row>
    <x:row r="210">
      <x:c r="B210" s="11" t="str">
        <x:v>RA-SA5-09-A3-T3</x:v>
      </x:c>
      <x:c r="C210" s="11" t="str">
        <x:v>RA-SA5-09-A3</x:v>
      </x:c>
      <x:c r="D210" s="11" t="str">
        <x:v>SA5</x:v>
      </x:c>
      <x:c r="E210" s="11" t="str">
        <x:v>A</x:v>
      </x:c>
      <x:c r="F210" s="11" t="str">
        <x:v>T3</x:v>
      </x:c>
      <x:c r="G210" s="11" t="str">
        <x:v>decision boundary</x:v>
      </x:c>
      <x:c r="H210" s="11" t="str">
        <x:v>heat-balance error</x:v>
      </x:c>
      <x:c r="I210" s="11" t="str">
        <x:v>fraction</x:v>
      </x:c>
      <x:c r="J210" s="17" t="n">
        <x:v>0.05</x:v>
      </x:c>
      <x:c r="K210" s="17" t="n">
        <x:v>0.05</x:v>
      </x:c>
      <x:c r="L210" s="17" t="n">
        <x:v>0.005000000000000001</x:v>
      </x:c>
      <x:c r="M210" s="11" t="str">
        <x:v>INDETERMINATE</x:v>
      </x:c>
      <x:c r="N210" s="11" t="n">
        <x:v>1</x:v>
      </x:c>
      <x:c r="O210" s="13" t="n">
        <x:v>0</x:v>
      </x:c>
      <x:c r="P210" s="11" t="str">
        <x:f>IF(AND(N210=1,L210&lt;=J210/4,ABS(K210-J210)&lt;=L210),"PASS","FAIL")</x:f>
        <x:v>PASS</x:v>
      </x:c>
      <x:c r="Q210" s="11" t="str">
        <x:f>IF(P210&lt;&gt;"PASS","FAIL",IF(O210=1,"PASS","OPEN"))</x:f>
        <x:v>OPEN</x:v>
      </x:c>
    </x:row>
    <x:row r="211">
      <x:c r="B211" s="11" t="str">
        <x:v>RA-SA5-09-B1-T0</x:v>
      </x:c>
      <x:c r="C211" s="11" t="str">
        <x:v>RA-SA5-09-B1</x:v>
      </x:c>
      <x:c r="D211" s="11" t="str">
        <x:v>SA5</x:v>
      </x:c>
      <x:c r="E211" s="11" t="str">
        <x:v>B</x:v>
      </x:c>
      <x:c r="F211" s="11" t="str">
        <x:v>T0</x:v>
      </x:c>
      <x:c r="G211" s="11" t="str">
        <x:v>datum and blank</x:v>
      </x:c>
      <x:c r="H211" s="11" t="str">
        <x:v>heat-balance error</x:v>
      </x:c>
      <x:c r="I211" s="11" t="str">
        <x:v>fraction</x:v>
      </x:c>
      <x:c r="J211" s="17" t="n">
        <x:v>0.05</x:v>
      </x:c>
      <x:c r="K211" s="17" t="n">
        <x:v>0</x:v>
      </x:c>
      <x:c r="L211" s="17" t="n">
        <x:v>0.005000000000000001</x:v>
      </x:c>
      <x:c r="M211" s="11" t="str">
        <x:v>ACCEPT</x:v>
      </x:c>
      <x:c r="N211" s="11" t="n">
        <x:v>1</x:v>
      </x:c>
      <x:c r="O211" s="13" t="n">
        <x:v>0</x:v>
      </x:c>
      <x:c r="P211" s="11" t="str">
        <x:f>IF(AND(N211=1,L211&lt;=J211/4,K211=0),"PASS","FAIL")</x:f>
        <x:v>PASS</x:v>
      </x:c>
      <x:c r="Q211" s="11" t="str">
        <x:f>IF(P211&lt;&gt;"PASS","FAIL",IF(O211=1,"PASS","OPEN"))</x:f>
        <x:v>OPEN</x:v>
      </x:c>
    </x:row>
    <x:row r="212">
      <x:c r="B212" s="11" t="str">
        <x:v>RA-SA5-09-B1-T1</x:v>
      </x:c>
      <x:c r="C212" s="11" t="str">
        <x:v>RA-SA5-09-B1</x:v>
      </x:c>
      <x:c r="D212" s="11" t="str">
        <x:v>SA5</x:v>
      </x:c>
      <x:c r="E212" s="11" t="str">
        <x:v>B</x:v>
      </x:c>
      <x:c r="F212" s="11" t="str">
        <x:v>T1</x:v>
      </x:c>
      <x:c r="G212" s="11" t="str">
        <x:v>known compliant</x:v>
      </x:c>
      <x:c r="H212" s="11" t="str">
        <x:v>heat-balance error</x:v>
      </x:c>
      <x:c r="I212" s="11" t="str">
        <x:v>fraction</x:v>
      </x:c>
      <x:c r="J212" s="17" t="n">
        <x:v>0.05</x:v>
      </x:c>
      <x:c r="K212" s="17" t="n">
        <x:v>0.024999999999999998</x:v>
      </x:c>
      <x:c r="L212" s="17" t="n">
        <x:v>0.005000000000000001</x:v>
      </x:c>
      <x:c r="M212" s="11" t="str">
        <x:v>ACCEPT</x:v>
      </x:c>
      <x:c r="N212" s="11" t="n">
        <x:v>1</x:v>
      </x:c>
      <x:c r="O212" s="13" t="n">
        <x:v>0</x:v>
      </x:c>
      <x:c r="P212" s="11" t="str">
        <x:f>IF(AND(N212=1,L212&lt;=J212/4,K212&lt;J212-L212),"PASS","FAIL")</x:f>
        <x:v>PASS</x:v>
      </x:c>
      <x:c r="Q212" s="11" t="str">
        <x:f>IF(P212&lt;&gt;"PASS","FAIL",IF(O212=1,"PASS","OPEN"))</x:f>
        <x:v>OPEN</x:v>
      </x:c>
    </x:row>
    <x:row r="213">
      <x:c r="B213" s="11" t="str">
        <x:v>RA-SA5-09-B1-T2</x:v>
      </x:c>
      <x:c r="C213" s="11" t="str">
        <x:v>RA-SA5-09-B1</x:v>
      </x:c>
      <x:c r="D213" s="11" t="str">
        <x:v>SA5</x:v>
      </x:c>
      <x:c r="E213" s="11" t="str">
        <x:v>B</x:v>
      </x:c>
      <x:c r="F213" s="11" t="str">
        <x:v>T2</x:v>
      </x:c>
      <x:c r="G213" s="11" t="str">
        <x:v>known nonconforming</x:v>
      </x:c>
      <x:c r="H213" s="11" t="str">
        <x:v>heat-balance error</x:v>
      </x:c>
      <x:c r="I213" s="11" t="str">
        <x:v>fraction</x:v>
      </x:c>
      <x:c r="J213" s="17" t="n">
        <x:v>0.05</x:v>
      </x:c>
      <x:c r="K213" s="17" t="n">
        <x:v>0.07500000000000001</x:v>
      </x:c>
      <x:c r="L213" s="17" t="n">
        <x:v>0.005000000000000001</x:v>
      </x:c>
      <x:c r="M213" s="11" t="str">
        <x:v>REJECT</x:v>
      </x:c>
      <x:c r="N213" s="11" t="n">
        <x:v>1</x:v>
      </x:c>
      <x:c r="O213" s="13" t="n">
        <x:v>0</x:v>
      </x:c>
      <x:c r="P213" s="11" t="str">
        <x:f>IF(AND(N213=1,L213&lt;=J213/4,K213&gt;J213+L213),"PASS","FAIL")</x:f>
        <x:v>PASS</x:v>
      </x:c>
      <x:c r="Q213" s="11" t="str">
        <x:f>IF(P213&lt;&gt;"PASS","FAIL",IF(O213=1,"PASS","OPEN"))</x:f>
        <x:v>OPEN</x:v>
      </x:c>
    </x:row>
    <x:row r="214">
      <x:c r="B214" s="11" t="str">
        <x:v>RA-SA5-09-B1-T3</x:v>
      </x:c>
      <x:c r="C214" s="11" t="str">
        <x:v>RA-SA5-09-B1</x:v>
      </x:c>
      <x:c r="D214" s="11" t="str">
        <x:v>SA5</x:v>
      </x:c>
      <x:c r="E214" s="11" t="str">
        <x:v>B</x:v>
      </x:c>
      <x:c r="F214" s="11" t="str">
        <x:v>T3</x:v>
      </x:c>
      <x:c r="G214" s="11" t="str">
        <x:v>decision boundary</x:v>
      </x:c>
      <x:c r="H214" s="11" t="str">
        <x:v>heat-balance error</x:v>
      </x:c>
      <x:c r="I214" s="11" t="str">
        <x:v>fraction</x:v>
      </x:c>
      <x:c r="J214" s="17" t="n">
        <x:v>0.05</x:v>
      </x:c>
      <x:c r="K214" s="17" t="n">
        <x:v>0.05</x:v>
      </x:c>
      <x:c r="L214" s="17" t="n">
        <x:v>0.005000000000000001</x:v>
      </x:c>
      <x:c r="M214" s="11" t="str">
        <x:v>INDETERMINATE</x:v>
      </x:c>
      <x:c r="N214" s="11" t="n">
        <x:v>1</x:v>
      </x:c>
      <x:c r="O214" s="13" t="n">
        <x:v>0</x:v>
      </x:c>
      <x:c r="P214" s="11" t="str">
        <x:f>IF(AND(N214=1,L214&lt;=J214/4,ABS(K214-J214)&lt;=L214),"PASS","FAIL")</x:f>
        <x:v>PASS</x:v>
      </x:c>
      <x:c r="Q214" s="11" t="str">
        <x:f>IF(P214&lt;&gt;"PASS","FAIL",IF(O214=1,"PASS","OPEN"))</x:f>
        <x:v>OPEN</x:v>
      </x:c>
    </x:row>
    <x:row r="215">
      <x:c r="B215" s="11" t="str">
        <x:v>RA-SA5-09-B2-T0</x:v>
      </x:c>
      <x:c r="C215" s="11" t="str">
        <x:v>RA-SA5-09-B2</x:v>
      </x:c>
      <x:c r="D215" s="11" t="str">
        <x:v>SA5</x:v>
      </x:c>
      <x:c r="E215" s="11" t="str">
        <x:v>B</x:v>
      </x:c>
      <x:c r="F215" s="11" t="str">
        <x:v>T0</x:v>
      </x:c>
      <x:c r="G215" s="11" t="str">
        <x:v>datum and blank</x:v>
      </x:c>
      <x:c r="H215" s="11" t="str">
        <x:v>heat-balance error</x:v>
      </x:c>
      <x:c r="I215" s="11" t="str">
        <x:v>fraction</x:v>
      </x:c>
      <x:c r="J215" s="17" t="n">
        <x:v>0.05</x:v>
      </x:c>
      <x:c r="K215" s="17" t="n">
        <x:v>0</x:v>
      </x:c>
      <x:c r="L215" s="17" t="n">
        <x:v>0.005000000000000001</x:v>
      </x:c>
      <x:c r="M215" s="11" t="str">
        <x:v>ACCEPT</x:v>
      </x:c>
      <x:c r="N215" s="11" t="n">
        <x:v>1</x:v>
      </x:c>
      <x:c r="O215" s="13" t="n">
        <x:v>0</x:v>
      </x:c>
      <x:c r="P215" s="11" t="str">
        <x:f>IF(AND(N215=1,L215&lt;=J215/4,K215=0),"PASS","FAIL")</x:f>
        <x:v>PASS</x:v>
      </x:c>
      <x:c r="Q215" s="11" t="str">
        <x:f>IF(P215&lt;&gt;"PASS","FAIL",IF(O215=1,"PASS","OPEN"))</x:f>
        <x:v>OPEN</x:v>
      </x:c>
    </x:row>
    <x:row r="216">
      <x:c r="B216" s="11" t="str">
        <x:v>RA-SA5-09-B2-T1</x:v>
      </x:c>
      <x:c r="C216" s="11" t="str">
        <x:v>RA-SA5-09-B2</x:v>
      </x:c>
      <x:c r="D216" s="11" t="str">
        <x:v>SA5</x:v>
      </x:c>
      <x:c r="E216" s="11" t="str">
        <x:v>B</x:v>
      </x:c>
      <x:c r="F216" s="11" t="str">
        <x:v>T1</x:v>
      </x:c>
      <x:c r="G216" s="11" t="str">
        <x:v>known compliant</x:v>
      </x:c>
      <x:c r="H216" s="11" t="str">
        <x:v>heat-balance error</x:v>
      </x:c>
      <x:c r="I216" s="11" t="str">
        <x:v>fraction</x:v>
      </x:c>
      <x:c r="J216" s="17" t="n">
        <x:v>0.05</x:v>
      </x:c>
      <x:c r="K216" s="17" t="n">
        <x:v>0.024999999999999998</x:v>
      </x:c>
      <x:c r="L216" s="17" t="n">
        <x:v>0.005000000000000001</x:v>
      </x:c>
      <x:c r="M216" s="11" t="str">
        <x:v>ACCEPT</x:v>
      </x:c>
      <x:c r="N216" s="11" t="n">
        <x:v>1</x:v>
      </x:c>
      <x:c r="O216" s="13" t="n">
        <x:v>0</x:v>
      </x:c>
      <x:c r="P216" s="11" t="str">
        <x:f>IF(AND(N216=1,L216&lt;=J216/4,K216&lt;J216-L216),"PASS","FAIL")</x:f>
        <x:v>PASS</x:v>
      </x:c>
      <x:c r="Q216" s="11" t="str">
        <x:f>IF(P216&lt;&gt;"PASS","FAIL",IF(O216=1,"PASS","OPEN"))</x:f>
        <x:v>OPEN</x:v>
      </x:c>
    </x:row>
    <x:row r="217">
      <x:c r="B217" s="11" t="str">
        <x:v>RA-SA5-09-B2-T2</x:v>
      </x:c>
      <x:c r="C217" s="11" t="str">
        <x:v>RA-SA5-09-B2</x:v>
      </x:c>
      <x:c r="D217" s="11" t="str">
        <x:v>SA5</x:v>
      </x:c>
      <x:c r="E217" s="11" t="str">
        <x:v>B</x:v>
      </x:c>
      <x:c r="F217" s="11" t="str">
        <x:v>T2</x:v>
      </x:c>
      <x:c r="G217" s="11" t="str">
        <x:v>known nonconforming</x:v>
      </x:c>
      <x:c r="H217" s="11" t="str">
        <x:v>heat-balance error</x:v>
      </x:c>
      <x:c r="I217" s="11" t="str">
        <x:v>fraction</x:v>
      </x:c>
      <x:c r="J217" s="17" t="n">
        <x:v>0.05</x:v>
      </x:c>
      <x:c r="K217" s="17" t="n">
        <x:v>0.07500000000000001</x:v>
      </x:c>
      <x:c r="L217" s="17" t="n">
        <x:v>0.005000000000000001</x:v>
      </x:c>
      <x:c r="M217" s="11" t="str">
        <x:v>REJECT</x:v>
      </x:c>
      <x:c r="N217" s="11" t="n">
        <x:v>1</x:v>
      </x:c>
      <x:c r="O217" s="13" t="n">
        <x:v>0</x:v>
      </x:c>
      <x:c r="P217" s="11" t="str">
        <x:f>IF(AND(N217=1,L217&lt;=J217/4,K217&gt;J217+L217),"PASS","FAIL")</x:f>
        <x:v>PASS</x:v>
      </x:c>
      <x:c r="Q217" s="11" t="str">
        <x:f>IF(P217&lt;&gt;"PASS","FAIL",IF(O217=1,"PASS","OPEN"))</x:f>
        <x:v>OPEN</x:v>
      </x:c>
    </x:row>
    <x:row r="218">
      <x:c r="B218" s="11" t="str">
        <x:v>RA-SA5-09-B2-T3</x:v>
      </x:c>
      <x:c r="C218" s="11" t="str">
        <x:v>RA-SA5-09-B2</x:v>
      </x:c>
      <x:c r="D218" s="11" t="str">
        <x:v>SA5</x:v>
      </x:c>
      <x:c r="E218" s="11" t="str">
        <x:v>B</x:v>
      </x:c>
      <x:c r="F218" s="11" t="str">
        <x:v>T3</x:v>
      </x:c>
      <x:c r="G218" s="11" t="str">
        <x:v>decision boundary</x:v>
      </x:c>
      <x:c r="H218" s="11" t="str">
        <x:v>heat-balance error</x:v>
      </x:c>
      <x:c r="I218" s="11" t="str">
        <x:v>fraction</x:v>
      </x:c>
      <x:c r="J218" s="17" t="n">
        <x:v>0.05</x:v>
      </x:c>
      <x:c r="K218" s="17" t="n">
        <x:v>0.05</x:v>
      </x:c>
      <x:c r="L218" s="17" t="n">
        <x:v>0.005000000000000001</x:v>
      </x:c>
      <x:c r="M218" s="11" t="str">
        <x:v>INDETERMINATE</x:v>
      </x:c>
      <x:c r="N218" s="11" t="n">
        <x:v>1</x:v>
      </x:c>
      <x:c r="O218" s="13" t="n">
        <x:v>0</x:v>
      </x:c>
      <x:c r="P218" s="11" t="str">
        <x:f>IF(AND(N218=1,L218&lt;=J218/4,ABS(K218-J218)&lt;=L218),"PASS","FAIL")</x:f>
        <x:v>PASS</x:v>
      </x:c>
      <x:c r="Q218" s="11" t="str">
        <x:f>IF(P218&lt;&gt;"PASS","FAIL",IF(O218=1,"PASS","OPEN"))</x:f>
        <x:v>OPEN</x:v>
      </x:c>
    </x:row>
    <x:row r="219">
      <x:c r="B219" s="11" t="str">
        <x:v>RA-SA5-09-B3-T0</x:v>
      </x:c>
      <x:c r="C219" s="11" t="str">
        <x:v>RA-SA5-09-B3</x:v>
      </x:c>
      <x:c r="D219" s="11" t="str">
        <x:v>SA5</x:v>
      </x:c>
      <x:c r="E219" s="11" t="str">
        <x:v>B</x:v>
      </x:c>
      <x:c r="F219" s="11" t="str">
        <x:v>T0</x:v>
      </x:c>
      <x:c r="G219" s="11" t="str">
        <x:v>datum and blank</x:v>
      </x:c>
      <x:c r="H219" s="11" t="str">
        <x:v>heat-balance error</x:v>
      </x:c>
      <x:c r="I219" s="11" t="str">
        <x:v>fraction</x:v>
      </x:c>
      <x:c r="J219" s="17" t="n">
        <x:v>0.05</x:v>
      </x:c>
      <x:c r="K219" s="17" t="n">
        <x:v>0</x:v>
      </x:c>
      <x:c r="L219" s="17" t="n">
        <x:v>0.005000000000000001</x:v>
      </x:c>
      <x:c r="M219" s="11" t="str">
        <x:v>ACCEPT</x:v>
      </x:c>
      <x:c r="N219" s="11" t="n">
        <x:v>1</x:v>
      </x:c>
      <x:c r="O219" s="13" t="n">
        <x:v>0</x:v>
      </x:c>
      <x:c r="P219" s="11" t="str">
        <x:f>IF(AND(N219=1,L219&lt;=J219/4,K219=0),"PASS","FAIL")</x:f>
        <x:v>PASS</x:v>
      </x:c>
      <x:c r="Q219" s="11" t="str">
        <x:f>IF(P219&lt;&gt;"PASS","FAIL",IF(O219=1,"PASS","OPEN"))</x:f>
        <x:v>OPEN</x:v>
      </x:c>
    </x:row>
    <x:row r="220">
      <x:c r="B220" s="11" t="str">
        <x:v>RA-SA5-09-B3-T1</x:v>
      </x:c>
      <x:c r="C220" s="11" t="str">
        <x:v>RA-SA5-09-B3</x:v>
      </x:c>
      <x:c r="D220" s="11" t="str">
        <x:v>SA5</x:v>
      </x:c>
      <x:c r="E220" s="11" t="str">
        <x:v>B</x:v>
      </x:c>
      <x:c r="F220" s="11" t="str">
        <x:v>T1</x:v>
      </x:c>
      <x:c r="G220" s="11" t="str">
        <x:v>known compliant</x:v>
      </x:c>
      <x:c r="H220" s="11" t="str">
        <x:v>heat-balance error</x:v>
      </x:c>
      <x:c r="I220" s="11" t="str">
        <x:v>fraction</x:v>
      </x:c>
      <x:c r="J220" s="17" t="n">
        <x:v>0.05</x:v>
      </x:c>
      <x:c r="K220" s="17" t="n">
        <x:v>0.024999999999999998</x:v>
      </x:c>
      <x:c r="L220" s="17" t="n">
        <x:v>0.005000000000000001</x:v>
      </x:c>
      <x:c r="M220" s="11" t="str">
        <x:v>ACCEPT</x:v>
      </x:c>
      <x:c r="N220" s="11" t="n">
        <x:v>1</x:v>
      </x:c>
      <x:c r="O220" s="13" t="n">
        <x:v>0</x:v>
      </x:c>
      <x:c r="P220" s="11" t="str">
        <x:f>IF(AND(N220=1,L220&lt;=J220/4,K220&lt;J220-L220),"PASS","FAIL")</x:f>
        <x:v>PASS</x:v>
      </x:c>
      <x:c r="Q220" s="11" t="str">
        <x:f>IF(P220&lt;&gt;"PASS","FAIL",IF(O220=1,"PASS","OPEN"))</x:f>
        <x:v>OPEN</x:v>
      </x:c>
    </x:row>
    <x:row r="221">
      <x:c r="B221" s="11" t="str">
        <x:v>RA-SA5-09-B3-T2</x:v>
      </x:c>
      <x:c r="C221" s="11" t="str">
        <x:v>RA-SA5-09-B3</x:v>
      </x:c>
      <x:c r="D221" s="11" t="str">
        <x:v>SA5</x:v>
      </x:c>
      <x:c r="E221" s="11" t="str">
        <x:v>B</x:v>
      </x:c>
      <x:c r="F221" s="11" t="str">
        <x:v>T2</x:v>
      </x:c>
      <x:c r="G221" s="11" t="str">
        <x:v>known nonconforming</x:v>
      </x:c>
      <x:c r="H221" s="11" t="str">
        <x:v>heat-balance error</x:v>
      </x:c>
      <x:c r="I221" s="11" t="str">
        <x:v>fraction</x:v>
      </x:c>
      <x:c r="J221" s="17" t="n">
        <x:v>0.05</x:v>
      </x:c>
      <x:c r="K221" s="17" t="n">
        <x:v>0.07500000000000001</x:v>
      </x:c>
      <x:c r="L221" s="17" t="n">
        <x:v>0.005000000000000001</x:v>
      </x:c>
      <x:c r="M221" s="11" t="str">
        <x:v>REJECT</x:v>
      </x:c>
      <x:c r="N221" s="11" t="n">
        <x:v>1</x:v>
      </x:c>
      <x:c r="O221" s="13" t="n">
        <x:v>0</x:v>
      </x:c>
      <x:c r="P221" s="11" t="str">
        <x:f>IF(AND(N221=1,L221&lt;=J221/4,K221&gt;J221+L221),"PASS","FAIL")</x:f>
        <x:v>PASS</x:v>
      </x:c>
      <x:c r="Q221" s="11" t="str">
        <x:f>IF(P221&lt;&gt;"PASS","FAIL",IF(O221=1,"PASS","OPEN"))</x:f>
        <x:v>OPEN</x:v>
      </x:c>
    </x:row>
    <x:row r="222">
      <x:c r="B222" s="11" t="str">
        <x:v>RA-SA5-09-B3-T3</x:v>
      </x:c>
      <x:c r="C222" s="11" t="str">
        <x:v>RA-SA5-09-B3</x:v>
      </x:c>
      <x:c r="D222" s="11" t="str">
        <x:v>SA5</x:v>
      </x:c>
      <x:c r="E222" s="11" t="str">
        <x:v>B</x:v>
      </x:c>
      <x:c r="F222" s="11" t="str">
        <x:v>T3</x:v>
      </x:c>
      <x:c r="G222" s="11" t="str">
        <x:v>decision boundary</x:v>
      </x:c>
      <x:c r="H222" s="11" t="str">
        <x:v>heat-balance error</x:v>
      </x:c>
      <x:c r="I222" s="11" t="str">
        <x:v>fraction</x:v>
      </x:c>
      <x:c r="J222" s="17" t="n">
        <x:v>0.05</x:v>
      </x:c>
      <x:c r="K222" s="17" t="n">
        <x:v>0.05</x:v>
      </x:c>
      <x:c r="L222" s="17" t="n">
        <x:v>0.005000000000000001</x:v>
      </x:c>
      <x:c r="M222" s="11" t="str">
        <x:v>INDETERMINATE</x:v>
      </x:c>
      <x:c r="N222" s="11" t="n">
        <x:v>1</x:v>
      </x:c>
      <x:c r="O222" s="13" t="n">
        <x:v>0</x:v>
      </x:c>
      <x:c r="P222" s="11" t="str">
        <x:f>IF(AND(N222=1,L222&lt;=J222/4,ABS(K222-J222)&lt;=L222),"PASS","FAIL")</x:f>
        <x:v>PASS</x:v>
      </x:c>
      <x:c r="Q222" s="11" t="str">
        <x:f>IF(P222&lt;&gt;"PASS","FAIL",IF(O222=1,"PASS","OPEN"))</x:f>
        <x:v>OPEN</x:v>
      </x:c>
    </x:row>
    <x:row r="223">
      <x:c r="B223" s="11" t="str">
        <x:v>RA-SA5-10-A1-T0</x:v>
      </x:c>
      <x:c r="C223" s="11" t="str">
        <x:v>RA-SA5-10-A1</x:v>
      </x:c>
      <x:c r="D223" s="11" t="str">
        <x:v>SA5</x:v>
      </x:c>
      <x:c r="E223" s="11" t="str">
        <x:v>A</x:v>
      </x:c>
      <x:c r="F223" s="11" t="str">
        <x:v>T0</x:v>
      </x:c>
      <x:c r="G223" s="11" t="str">
        <x:v>datum and blank</x:v>
      </x:c>
      <x:c r="H223" s="11" t="str">
        <x:v>heat-balance error</x:v>
      </x:c>
      <x:c r="I223" s="11" t="str">
        <x:v>fraction</x:v>
      </x:c>
      <x:c r="J223" s="17" t="n">
        <x:v>0.05</x:v>
      </x:c>
      <x:c r="K223" s="17" t="n">
        <x:v>0</x:v>
      </x:c>
      <x:c r="L223" s="17" t="n">
        <x:v>0.005000000000000001</x:v>
      </x:c>
      <x:c r="M223" s="11" t="str">
        <x:v>ACCEPT</x:v>
      </x:c>
      <x:c r="N223" s="11" t="n">
        <x:v>1</x:v>
      </x:c>
      <x:c r="O223" s="13" t="n">
        <x:v>0</x:v>
      </x:c>
      <x:c r="P223" s="11" t="str">
        <x:f>IF(AND(N223=1,L223&lt;=J223/4,K223=0),"PASS","FAIL")</x:f>
        <x:v>PASS</x:v>
      </x:c>
      <x:c r="Q223" s="11" t="str">
        <x:f>IF(P223&lt;&gt;"PASS","FAIL",IF(O223=1,"PASS","OPEN"))</x:f>
        <x:v>OPEN</x:v>
      </x:c>
    </x:row>
    <x:row r="224">
      <x:c r="B224" s="11" t="str">
        <x:v>RA-SA5-10-A1-T1</x:v>
      </x:c>
      <x:c r="C224" s="11" t="str">
        <x:v>RA-SA5-10-A1</x:v>
      </x:c>
      <x:c r="D224" s="11" t="str">
        <x:v>SA5</x:v>
      </x:c>
      <x:c r="E224" s="11" t="str">
        <x:v>A</x:v>
      </x:c>
      <x:c r="F224" s="11" t="str">
        <x:v>T1</x:v>
      </x:c>
      <x:c r="G224" s="11" t="str">
        <x:v>known compliant</x:v>
      </x:c>
      <x:c r="H224" s="11" t="str">
        <x:v>heat-balance error</x:v>
      </x:c>
      <x:c r="I224" s="11" t="str">
        <x:v>fraction</x:v>
      </x:c>
      <x:c r="J224" s="17" t="n">
        <x:v>0.05</x:v>
      </x:c>
      <x:c r="K224" s="17" t="n">
        <x:v>0.024999999999999998</x:v>
      </x:c>
      <x:c r="L224" s="17" t="n">
        <x:v>0.005000000000000001</x:v>
      </x:c>
      <x:c r="M224" s="11" t="str">
        <x:v>ACCEPT</x:v>
      </x:c>
      <x:c r="N224" s="11" t="n">
        <x:v>1</x:v>
      </x:c>
      <x:c r="O224" s="13" t="n">
        <x:v>0</x:v>
      </x:c>
      <x:c r="P224" s="11" t="str">
        <x:f>IF(AND(N224=1,L224&lt;=J224/4,K224&lt;J224-L224),"PASS","FAIL")</x:f>
        <x:v>PASS</x:v>
      </x:c>
      <x:c r="Q224" s="11" t="str">
        <x:f>IF(P224&lt;&gt;"PASS","FAIL",IF(O224=1,"PASS","OPEN"))</x:f>
        <x:v>OPEN</x:v>
      </x:c>
    </x:row>
    <x:row r="225">
      <x:c r="B225" s="11" t="str">
        <x:v>RA-SA5-10-A1-T2</x:v>
      </x:c>
      <x:c r="C225" s="11" t="str">
        <x:v>RA-SA5-10-A1</x:v>
      </x:c>
      <x:c r="D225" s="11" t="str">
        <x:v>SA5</x:v>
      </x:c>
      <x:c r="E225" s="11" t="str">
        <x:v>A</x:v>
      </x:c>
      <x:c r="F225" s="11" t="str">
        <x:v>T2</x:v>
      </x:c>
      <x:c r="G225" s="11" t="str">
        <x:v>known nonconforming</x:v>
      </x:c>
      <x:c r="H225" s="11" t="str">
        <x:v>heat-balance error</x:v>
      </x:c>
      <x:c r="I225" s="11" t="str">
        <x:v>fraction</x:v>
      </x:c>
      <x:c r="J225" s="17" t="n">
        <x:v>0.05</x:v>
      </x:c>
      <x:c r="K225" s="17" t="n">
        <x:v>0.07500000000000001</x:v>
      </x:c>
      <x:c r="L225" s="17" t="n">
        <x:v>0.005000000000000001</x:v>
      </x:c>
      <x:c r="M225" s="11" t="str">
        <x:v>REJECT</x:v>
      </x:c>
      <x:c r="N225" s="11" t="n">
        <x:v>1</x:v>
      </x:c>
      <x:c r="O225" s="13" t="n">
        <x:v>0</x:v>
      </x:c>
      <x:c r="P225" s="11" t="str">
        <x:f>IF(AND(N225=1,L225&lt;=J225/4,K225&gt;J225+L225),"PASS","FAIL")</x:f>
        <x:v>PASS</x:v>
      </x:c>
      <x:c r="Q225" s="11" t="str">
        <x:f>IF(P225&lt;&gt;"PASS","FAIL",IF(O225=1,"PASS","OPEN"))</x:f>
        <x:v>OPEN</x:v>
      </x:c>
    </x:row>
    <x:row r="226">
      <x:c r="B226" s="11" t="str">
        <x:v>RA-SA5-10-A1-T3</x:v>
      </x:c>
      <x:c r="C226" s="11" t="str">
        <x:v>RA-SA5-10-A1</x:v>
      </x:c>
      <x:c r="D226" s="11" t="str">
        <x:v>SA5</x:v>
      </x:c>
      <x:c r="E226" s="11" t="str">
        <x:v>A</x:v>
      </x:c>
      <x:c r="F226" s="11" t="str">
        <x:v>T3</x:v>
      </x:c>
      <x:c r="G226" s="11" t="str">
        <x:v>decision boundary</x:v>
      </x:c>
      <x:c r="H226" s="11" t="str">
        <x:v>heat-balance error</x:v>
      </x:c>
      <x:c r="I226" s="11" t="str">
        <x:v>fraction</x:v>
      </x:c>
      <x:c r="J226" s="17" t="n">
        <x:v>0.05</x:v>
      </x:c>
      <x:c r="K226" s="17" t="n">
        <x:v>0.05</x:v>
      </x:c>
      <x:c r="L226" s="17" t="n">
        <x:v>0.005000000000000001</x:v>
      </x:c>
      <x:c r="M226" s="11" t="str">
        <x:v>INDETERMINATE</x:v>
      </x:c>
      <x:c r="N226" s="11" t="n">
        <x:v>1</x:v>
      </x:c>
      <x:c r="O226" s="13" t="n">
        <x:v>0</x:v>
      </x:c>
      <x:c r="P226" s="11" t="str">
        <x:f>IF(AND(N226=1,L226&lt;=J226/4,ABS(K226-J226)&lt;=L226),"PASS","FAIL")</x:f>
        <x:v>PASS</x:v>
      </x:c>
      <x:c r="Q226" s="11" t="str">
        <x:f>IF(P226&lt;&gt;"PASS","FAIL",IF(O226=1,"PASS","OPEN"))</x:f>
        <x:v>OPEN</x:v>
      </x:c>
    </x:row>
    <x:row r="227">
      <x:c r="B227" s="11" t="str">
        <x:v>RA-SA5-10-A2-T0</x:v>
      </x:c>
      <x:c r="C227" s="11" t="str">
        <x:v>RA-SA5-10-A2</x:v>
      </x:c>
      <x:c r="D227" s="11" t="str">
        <x:v>SA5</x:v>
      </x:c>
      <x:c r="E227" s="11" t="str">
        <x:v>A</x:v>
      </x:c>
      <x:c r="F227" s="11" t="str">
        <x:v>T0</x:v>
      </x:c>
      <x:c r="G227" s="11" t="str">
        <x:v>datum and blank</x:v>
      </x:c>
      <x:c r="H227" s="11" t="str">
        <x:v>heat-balance error</x:v>
      </x:c>
      <x:c r="I227" s="11" t="str">
        <x:v>fraction</x:v>
      </x:c>
      <x:c r="J227" s="17" t="n">
        <x:v>0.05</x:v>
      </x:c>
      <x:c r="K227" s="17" t="n">
        <x:v>0</x:v>
      </x:c>
      <x:c r="L227" s="17" t="n">
        <x:v>0.005000000000000001</x:v>
      </x:c>
      <x:c r="M227" s="11" t="str">
        <x:v>ACCEPT</x:v>
      </x:c>
      <x:c r="N227" s="11" t="n">
        <x:v>1</x:v>
      </x:c>
      <x:c r="O227" s="13" t="n">
        <x:v>0</x:v>
      </x:c>
      <x:c r="P227" s="11" t="str">
        <x:f>IF(AND(N227=1,L227&lt;=J227/4,K227=0),"PASS","FAIL")</x:f>
        <x:v>PASS</x:v>
      </x:c>
      <x:c r="Q227" s="11" t="str">
        <x:f>IF(P227&lt;&gt;"PASS","FAIL",IF(O227=1,"PASS","OPEN"))</x:f>
        <x:v>OPEN</x:v>
      </x:c>
    </x:row>
    <x:row r="228">
      <x:c r="B228" s="11" t="str">
        <x:v>RA-SA5-10-A2-T1</x:v>
      </x:c>
      <x:c r="C228" s="11" t="str">
        <x:v>RA-SA5-10-A2</x:v>
      </x:c>
      <x:c r="D228" s="11" t="str">
        <x:v>SA5</x:v>
      </x:c>
      <x:c r="E228" s="11" t="str">
        <x:v>A</x:v>
      </x:c>
      <x:c r="F228" s="11" t="str">
        <x:v>T1</x:v>
      </x:c>
      <x:c r="G228" s="11" t="str">
        <x:v>known compliant</x:v>
      </x:c>
      <x:c r="H228" s="11" t="str">
        <x:v>heat-balance error</x:v>
      </x:c>
      <x:c r="I228" s="11" t="str">
        <x:v>fraction</x:v>
      </x:c>
      <x:c r="J228" s="17" t="n">
        <x:v>0.05</x:v>
      </x:c>
      <x:c r="K228" s="17" t="n">
        <x:v>0.024999999999999998</x:v>
      </x:c>
      <x:c r="L228" s="17" t="n">
        <x:v>0.005000000000000001</x:v>
      </x:c>
      <x:c r="M228" s="11" t="str">
        <x:v>ACCEPT</x:v>
      </x:c>
      <x:c r="N228" s="11" t="n">
        <x:v>1</x:v>
      </x:c>
      <x:c r="O228" s="13" t="n">
        <x:v>0</x:v>
      </x:c>
      <x:c r="P228" s="11" t="str">
        <x:f>IF(AND(N228=1,L228&lt;=J228/4,K228&lt;J228-L228),"PASS","FAIL")</x:f>
        <x:v>PASS</x:v>
      </x:c>
      <x:c r="Q228" s="11" t="str">
        <x:f>IF(P228&lt;&gt;"PASS","FAIL",IF(O228=1,"PASS","OPEN"))</x:f>
        <x:v>OPEN</x:v>
      </x:c>
    </x:row>
    <x:row r="229">
      <x:c r="B229" s="11" t="str">
        <x:v>RA-SA5-10-A2-T2</x:v>
      </x:c>
      <x:c r="C229" s="11" t="str">
        <x:v>RA-SA5-10-A2</x:v>
      </x:c>
      <x:c r="D229" s="11" t="str">
        <x:v>SA5</x:v>
      </x:c>
      <x:c r="E229" s="11" t="str">
        <x:v>A</x:v>
      </x:c>
      <x:c r="F229" s="11" t="str">
        <x:v>T2</x:v>
      </x:c>
      <x:c r="G229" s="11" t="str">
        <x:v>known nonconforming</x:v>
      </x:c>
      <x:c r="H229" s="11" t="str">
        <x:v>heat-balance error</x:v>
      </x:c>
      <x:c r="I229" s="11" t="str">
        <x:v>fraction</x:v>
      </x:c>
      <x:c r="J229" s="17" t="n">
        <x:v>0.05</x:v>
      </x:c>
      <x:c r="K229" s="17" t="n">
        <x:v>0.07500000000000001</x:v>
      </x:c>
      <x:c r="L229" s="17" t="n">
        <x:v>0.005000000000000001</x:v>
      </x:c>
      <x:c r="M229" s="11" t="str">
        <x:v>REJECT</x:v>
      </x:c>
      <x:c r="N229" s="11" t="n">
        <x:v>1</x:v>
      </x:c>
      <x:c r="O229" s="13" t="n">
        <x:v>0</x:v>
      </x:c>
      <x:c r="P229" s="11" t="str">
        <x:f>IF(AND(N229=1,L229&lt;=J229/4,K229&gt;J229+L229),"PASS","FAIL")</x:f>
        <x:v>PASS</x:v>
      </x:c>
      <x:c r="Q229" s="11" t="str">
        <x:f>IF(P229&lt;&gt;"PASS","FAIL",IF(O229=1,"PASS","OPEN"))</x:f>
        <x:v>OPEN</x:v>
      </x:c>
    </x:row>
    <x:row r="230">
      <x:c r="B230" s="11" t="str">
        <x:v>RA-SA5-10-A2-T3</x:v>
      </x:c>
      <x:c r="C230" s="11" t="str">
        <x:v>RA-SA5-10-A2</x:v>
      </x:c>
      <x:c r="D230" s="11" t="str">
        <x:v>SA5</x:v>
      </x:c>
      <x:c r="E230" s="11" t="str">
        <x:v>A</x:v>
      </x:c>
      <x:c r="F230" s="11" t="str">
        <x:v>T3</x:v>
      </x:c>
      <x:c r="G230" s="11" t="str">
        <x:v>decision boundary</x:v>
      </x:c>
      <x:c r="H230" s="11" t="str">
        <x:v>heat-balance error</x:v>
      </x:c>
      <x:c r="I230" s="11" t="str">
        <x:v>fraction</x:v>
      </x:c>
      <x:c r="J230" s="17" t="n">
        <x:v>0.05</x:v>
      </x:c>
      <x:c r="K230" s="17" t="n">
        <x:v>0.05</x:v>
      </x:c>
      <x:c r="L230" s="17" t="n">
        <x:v>0.005000000000000001</x:v>
      </x:c>
      <x:c r="M230" s="11" t="str">
        <x:v>INDETERMINATE</x:v>
      </x:c>
      <x:c r="N230" s="11" t="n">
        <x:v>1</x:v>
      </x:c>
      <x:c r="O230" s="13" t="n">
        <x:v>0</x:v>
      </x:c>
      <x:c r="P230" s="11" t="str">
        <x:f>IF(AND(N230=1,L230&lt;=J230/4,ABS(K230-J230)&lt;=L230),"PASS","FAIL")</x:f>
        <x:v>PASS</x:v>
      </x:c>
      <x:c r="Q230" s="11" t="str">
        <x:f>IF(P230&lt;&gt;"PASS","FAIL",IF(O230=1,"PASS","OPEN"))</x:f>
        <x:v>OPEN</x:v>
      </x:c>
    </x:row>
    <x:row r="231">
      <x:c r="B231" s="11" t="str">
        <x:v>RA-SA5-10-A3-T0</x:v>
      </x:c>
      <x:c r="C231" s="11" t="str">
        <x:v>RA-SA5-10-A3</x:v>
      </x:c>
      <x:c r="D231" s="11" t="str">
        <x:v>SA5</x:v>
      </x:c>
      <x:c r="E231" s="11" t="str">
        <x:v>A</x:v>
      </x:c>
      <x:c r="F231" s="11" t="str">
        <x:v>T0</x:v>
      </x:c>
      <x:c r="G231" s="11" t="str">
        <x:v>datum and blank</x:v>
      </x:c>
      <x:c r="H231" s="11" t="str">
        <x:v>heat-balance error</x:v>
      </x:c>
      <x:c r="I231" s="11" t="str">
        <x:v>fraction</x:v>
      </x:c>
      <x:c r="J231" s="17" t="n">
        <x:v>0.05</x:v>
      </x:c>
      <x:c r="K231" s="17" t="n">
        <x:v>0</x:v>
      </x:c>
      <x:c r="L231" s="17" t="n">
        <x:v>0.005000000000000001</x:v>
      </x:c>
      <x:c r="M231" s="11" t="str">
        <x:v>ACCEPT</x:v>
      </x:c>
      <x:c r="N231" s="11" t="n">
        <x:v>1</x:v>
      </x:c>
      <x:c r="O231" s="13" t="n">
        <x:v>0</x:v>
      </x:c>
      <x:c r="P231" s="11" t="str">
        <x:f>IF(AND(N231=1,L231&lt;=J231/4,K231=0),"PASS","FAIL")</x:f>
        <x:v>PASS</x:v>
      </x:c>
      <x:c r="Q231" s="11" t="str">
        <x:f>IF(P231&lt;&gt;"PASS","FAIL",IF(O231=1,"PASS","OPEN"))</x:f>
        <x:v>OPEN</x:v>
      </x:c>
    </x:row>
    <x:row r="232">
      <x:c r="B232" s="11" t="str">
        <x:v>RA-SA5-10-A3-T1</x:v>
      </x:c>
      <x:c r="C232" s="11" t="str">
        <x:v>RA-SA5-10-A3</x:v>
      </x:c>
      <x:c r="D232" s="11" t="str">
        <x:v>SA5</x:v>
      </x:c>
      <x:c r="E232" s="11" t="str">
        <x:v>A</x:v>
      </x:c>
      <x:c r="F232" s="11" t="str">
        <x:v>T1</x:v>
      </x:c>
      <x:c r="G232" s="11" t="str">
        <x:v>known compliant</x:v>
      </x:c>
      <x:c r="H232" s="11" t="str">
        <x:v>heat-balance error</x:v>
      </x:c>
      <x:c r="I232" s="11" t="str">
        <x:v>fraction</x:v>
      </x:c>
      <x:c r="J232" s="17" t="n">
        <x:v>0.05</x:v>
      </x:c>
      <x:c r="K232" s="17" t="n">
        <x:v>0.024999999999999998</x:v>
      </x:c>
      <x:c r="L232" s="17" t="n">
        <x:v>0.005000000000000001</x:v>
      </x:c>
      <x:c r="M232" s="11" t="str">
        <x:v>ACCEPT</x:v>
      </x:c>
      <x:c r="N232" s="11" t="n">
        <x:v>1</x:v>
      </x:c>
      <x:c r="O232" s="13" t="n">
        <x:v>0</x:v>
      </x:c>
      <x:c r="P232" s="11" t="str">
        <x:f>IF(AND(N232=1,L232&lt;=J232/4,K232&lt;J232-L232),"PASS","FAIL")</x:f>
        <x:v>PASS</x:v>
      </x:c>
      <x:c r="Q232" s="11" t="str">
        <x:f>IF(P232&lt;&gt;"PASS","FAIL",IF(O232=1,"PASS","OPEN"))</x:f>
        <x:v>OPEN</x:v>
      </x:c>
    </x:row>
    <x:row r="233">
      <x:c r="B233" s="11" t="str">
        <x:v>RA-SA5-10-A3-T2</x:v>
      </x:c>
      <x:c r="C233" s="11" t="str">
        <x:v>RA-SA5-10-A3</x:v>
      </x:c>
      <x:c r="D233" s="11" t="str">
        <x:v>SA5</x:v>
      </x:c>
      <x:c r="E233" s="11" t="str">
        <x:v>A</x:v>
      </x:c>
      <x:c r="F233" s="11" t="str">
        <x:v>T2</x:v>
      </x:c>
      <x:c r="G233" s="11" t="str">
        <x:v>known nonconforming</x:v>
      </x:c>
      <x:c r="H233" s="11" t="str">
        <x:v>heat-balance error</x:v>
      </x:c>
      <x:c r="I233" s="11" t="str">
        <x:v>fraction</x:v>
      </x:c>
      <x:c r="J233" s="17" t="n">
        <x:v>0.05</x:v>
      </x:c>
      <x:c r="K233" s="17" t="n">
        <x:v>0.07500000000000001</x:v>
      </x:c>
      <x:c r="L233" s="17" t="n">
        <x:v>0.005000000000000001</x:v>
      </x:c>
      <x:c r="M233" s="11" t="str">
        <x:v>REJECT</x:v>
      </x:c>
      <x:c r="N233" s="11" t="n">
        <x:v>1</x:v>
      </x:c>
      <x:c r="O233" s="13" t="n">
        <x:v>0</x:v>
      </x:c>
      <x:c r="P233" s="11" t="str">
        <x:f>IF(AND(N233=1,L233&lt;=J233/4,K233&gt;J233+L233),"PASS","FAIL")</x:f>
        <x:v>PASS</x:v>
      </x:c>
      <x:c r="Q233" s="11" t="str">
        <x:f>IF(P233&lt;&gt;"PASS","FAIL",IF(O233=1,"PASS","OPEN"))</x:f>
        <x:v>OPEN</x:v>
      </x:c>
    </x:row>
    <x:row r="234">
      <x:c r="B234" s="11" t="str">
        <x:v>RA-SA5-10-A3-T3</x:v>
      </x:c>
      <x:c r="C234" s="11" t="str">
        <x:v>RA-SA5-10-A3</x:v>
      </x:c>
      <x:c r="D234" s="11" t="str">
        <x:v>SA5</x:v>
      </x:c>
      <x:c r="E234" s="11" t="str">
        <x:v>A</x:v>
      </x:c>
      <x:c r="F234" s="11" t="str">
        <x:v>T3</x:v>
      </x:c>
      <x:c r="G234" s="11" t="str">
        <x:v>decision boundary</x:v>
      </x:c>
      <x:c r="H234" s="11" t="str">
        <x:v>heat-balance error</x:v>
      </x:c>
      <x:c r="I234" s="11" t="str">
        <x:v>fraction</x:v>
      </x:c>
      <x:c r="J234" s="17" t="n">
        <x:v>0.05</x:v>
      </x:c>
      <x:c r="K234" s="17" t="n">
        <x:v>0.05</x:v>
      </x:c>
      <x:c r="L234" s="17" t="n">
        <x:v>0.005000000000000001</x:v>
      </x:c>
      <x:c r="M234" s="11" t="str">
        <x:v>INDETERMINATE</x:v>
      </x:c>
      <x:c r="N234" s="11" t="n">
        <x:v>1</x:v>
      </x:c>
      <x:c r="O234" s="13" t="n">
        <x:v>0</x:v>
      </x:c>
      <x:c r="P234" s="11" t="str">
        <x:f>IF(AND(N234=1,L234&lt;=J234/4,ABS(K234-J234)&lt;=L234),"PASS","FAIL")</x:f>
        <x:v>PASS</x:v>
      </x:c>
      <x:c r="Q234" s="11" t="str">
        <x:f>IF(P234&lt;&gt;"PASS","FAIL",IF(O234=1,"PASS","OPEN"))</x:f>
        <x:v>OPEN</x:v>
      </x:c>
    </x:row>
    <x:row r="235">
      <x:c r="B235" s="11" t="str">
        <x:v>RA-SA5-10-B1-T0</x:v>
      </x:c>
      <x:c r="C235" s="11" t="str">
        <x:v>RA-SA5-10-B1</x:v>
      </x:c>
      <x:c r="D235" s="11" t="str">
        <x:v>SA5</x:v>
      </x:c>
      <x:c r="E235" s="11" t="str">
        <x:v>B</x:v>
      </x:c>
      <x:c r="F235" s="11" t="str">
        <x:v>T0</x:v>
      </x:c>
      <x:c r="G235" s="11" t="str">
        <x:v>datum and blank</x:v>
      </x:c>
      <x:c r="H235" s="11" t="str">
        <x:v>heat-balance error</x:v>
      </x:c>
      <x:c r="I235" s="11" t="str">
        <x:v>fraction</x:v>
      </x:c>
      <x:c r="J235" s="17" t="n">
        <x:v>0.05</x:v>
      </x:c>
      <x:c r="K235" s="17" t="n">
        <x:v>0</x:v>
      </x:c>
      <x:c r="L235" s="17" t="n">
        <x:v>0.005000000000000001</x:v>
      </x:c>
      <x:c r="M235" s="11" t="str">
        <x:v>ACCEPT</x:v>
      </x:c>
      <x:c r="N235" s="11" t="n">
        <x:v>1</x:v>
      </x:c>
      <x:c r="O235" s="13" t="n">
        <x:v>0</x:v>
      </x:c>
      <x:c r="P235" s="11" t="str">
        <x:f>IF(AND(N235=1,L235&lt;=J235/4,K235=0),"PASS","FAIL")</x:f>
        <x:v>PASS</x:v>
      </x:c>
      <x:c r="Q235" s="11" t="str">
        <x:f>IF(P235&lt;&gt;"PASS","FAIL",IF(O235=1,"PASS","OPEN"))</x:f>
        <x:v>OPEN</x:v>
      </x:c>
    </x:row>
    <x:row r="236">
      <x:c r="B236" s="11" t="str">
        <x:v>RA-SA5-10-B1-T1</x:v>
      </x:c>
      <x:c r="C236" s="11" t="str">
        <x:v>RA-SA5-10-B1</x:v>
      </x:c>
      <x:c r="D236" s="11" t="str">
        <x:v>SA5</x:v>
      </x:c>
      <x:c r="E236" s="11" t="str">
        <x:v>B</x:v>
      </x:c>
      <x:c r="F236" s="11" t="str">
        <x:v>T1</x:v>
      </x:c>
      <x:c r="G236" s="11" t="str">
        <x:v>known compliant</x:v>
      </x:c>
      <x:c r="H236" s="11" t="str">
        <x:v>heat-balance error</x:v>
      </x:c>
      <x:c r="I236" s="11" t="str">
        <x:v>fraction</x:v>
      </x:c>
      <x:c r="J236" s="17" t="n">
        <x:v>0.05</x:v>
      </x:c>
      <x:c r="K236" s="17" t="n">
        <x:v>0.024999999999999998</x:v>
      </x:c>
      <x:c r="L236" s="17" t="n">
        <x:v>0.005000000000000001</x:v>
      </x:c>
      <x:c r="M236" s="11" t="str">
        <x:v>ACCEPT</x:v>
      </x:c>
      <x:c r="N236" s="11" t="n">
        <x:v>1</x:v>
      </x:c>
      <x:c r="O236" s="13" t="n">
        <x:v>0</x:v>
      </x:c>
      <x:c r="P236" s="11" t="str">
        <x:f>IF(AND(N236=1,L236&lt;=J236/4,K236&lt;J236-L236),"PASS","FAIL")</x:f>
        <x:v>PASS</x:v>
      </x:c>
      <x:c r="Q236" s="11" t="str">
        <x:f>IF(P236&lt;&gt;"PASS","FAIL",IF(O236=1,"PASS","OPEN"))</x:f>
        <x:v>OPEN</x:v>
      </x:c>
    </x:row>
    <x:row r="237">
      <x:c r="B237" s="11" t="str">
        <x:v>RA-SA5-10-B1-T2</x:v>
      </x:c>
      <x:c r="C237" s="11" t="str">
        <x:v>RA-SA5-10-B1</x:v>
      </x:c>
      <x:c r="D237" s="11" t="str">
        <x:v>SA5</x:v>
      </x:c>
      <x:c r="E237" s="11" t="str">
        <x:v>B</x:v>
      </x:c>
      <x:c r="F237" s="11" t="str">
        <x:v>T2</x:v>
      </x:c>
      <x:c r="G237" s="11" t="str">
        <x:v>known nonconforming</x:v>
      </x:c>
      <x:c r="H237" s="11" t="str">
        <x:v>heat-balance error</x:v>
      </x:c>
      <x:c r="I237" s="11" t="str">
        <x:v>fraction</x:v>
      </x:c>
      <x:c r="J237" s="17" t="n">
        <x:v>0.05</x:v>
      </x:c>
      <x:c r="K237" s="17" t="n">
        <x:v>0.07500000000000001</x:v>
      </x:c>
      <x:c r="L237" s="17" t="n">
        <x:v>0.005000000000000001</x:v>
      </x:c>
      <x:c r="M237" s="11" t="str">
        <x:v>REJECT</x:v>
      </x:c>
      <x:c r="N237" s="11" t="n">
        <x:v>1</x:v>
      </x:c>
      <x:c r="O237" s="13" t="n">
        <x:v>0</x:v>
      </x:c>
      <x:c r="P237" s="11" t="str">
        <x:f>IF(AND(N237=1,L237&lt;=J237/4,K237&gt;J237+L237),"PASS","FAIL")</x:f>
        <x:v>PASS</x:v>
      </x:c>
      <x:c r="Q237" s="11" t="str">
        <x:f>IF(P237&lt;&gt;"PASS","FAIL",IF(O237=1,"PASS","OPEN"))</x:f>
        <x:v>OPEN</x:v>
      </x:c>
    </x:row>
    <x:row r="238">
      <x:c r="B238" s="11" t="str">
        <x:v>RA-SA5-10-B1-T3</x:v>
      </x:c>
      <x:c r="C238" s="11" t="str">
        <x:v>RA-SA5-10-B1</x:v>
      </x:c>
      <x:c r="D238" s="11" t="str">
        <x:v>SA5</x:v>
      </x:c>
      <x:c r="E238" s="11" t="str">
        <x:v>B</x:v>
      </x:c>
      <x:c r="F238" s="11" t="str">
        <x:v>T3</x:v>
      </x:c>
      <x:c r="G238" s="11" t="str">
        <x:v>decision boundary</x:v>
      </x:c>
      <x:c r="H238" s="11" t="str">
        <x:v>heat-balance error</x:v>
      </x:c>
      <x:c r="I238" s="11" t="str">
        <x:v>fraction</x:v>
      </x:c>
      <x:c r="J238" s="17" t="n">
        <x:v>0.05</x:v>
      </x:c>
      <x:c r="K238" s="17" t="n">
        <x:v>0.05</x:v>
      </x:c>
      <x:c r="L238" s="17" t="n">
        <x:v>0.005000000000000001</x:v>
      </x:c>
      <x:c r="M238" s="11" t="str">
        <x:v>INDETERMINATE</x:v>
      </x:c>
      <x:c r="N238" s="11" t="n">
        <x:v>1</x:v>
      </x:c>
      <x:c r="O238" s="13" t="n">
        <x:v>0</x:v>
      </x:c>
      <x:c r="P238" s="11" t="str">
        <x:f>IF(AND(N238=1,L238&lt;=J238/4,ABS(K238-J238)&lt;=L238),"PASS","FAIL")</x:f>
        <x:v>PASS</x:v>
      </x:c>
      <x:c r="Q238" s="11" t="str">
        <x:f>IF(P238&lt;&gt;"PASS","FAIL",IF(O238=1,"PASS","OPEN"))</x:f>
        <x:v>OPEN</x:v>
      </x:c>
    </x:row>
    <x:row r="239">
      <x:c r="B239" s="11" t="str">
        <x:v>RA-SA5-10-B2-T0</x:v>
      </x:c>
      <x:c r="C239" s="11" t="str">
        <x:v>RA-SA5-10-B2</x:v>
      </x:c>
      <x:c r="D239" s="11" t="str">
        <x:v>SA5</x:v>
      </x:c>
      <x:c r="E239" s="11" t="str">
        <x:v>B</x:v>
      </x:c>
      <x:c r="F239" s="11" t="str">
        <x:v>T0</x:v>
      </x:c>
      <x:c r="G239" s="11" t="str">
        <x:v>datum and blank</x:v>
      </x:c>
      <x:c r="H239" s="11" t="str">
        <x:v>heat-balance error</x:v>
      </x:c>
      <x:c r="I239" s="11" t="str">
        <x:v>fraction</x:v>
      </x:c>
      <x:c r="J239" s="17" t="n">
        <x:v>0.05</x:v>
      </x:c>
      <x:c r="K239" s="17" t="n">
        <x:v>0</x:v>
      </x:c>
      <x:c r="L239" s="17" t="n">
        <x:v>0.005000000000000001</x:v>
      </x:c>
      <x:c r="M239" s="11" t="str">
        <x:v>ACCEPT</x:v>
      </x:c>
      <x:c r="N239" s="11" t="n">
        <x:v>1</x:v>
      </x:c>
      <x:c r="O239" s="13" t="n">
        <x:v>0</x:v>
      </x:c>
      <x:c r="P239" s="11" t="str">
        <x:f>IF(AND(N239=1,L239&lt;=J239/4,K239=0),"PASS","FAIL")</x:f>
        <x:v>PASS</x:v>
      </x:c>
      <x:c r="Q239" s="11" t="str">
        <x:f>IF(P239&lt;&gt;"PASS","FAIL",IF(O239=1,"PASS","OPEN"))</x:f>
        <x:v>OPEN</x:v>
      </x:c>
    </x:row>
    <x:row r="240">
      <x:c r="B240" s="11" t="str">
        <x:v>RA-SA5-10-B2-T1</x:v>
      </x:c>
      <x:c r="C240" s="11" t="str">
        <x:v>RA-SA5-10-B2</x:v>
      </x:c>
      <x:c r="D240" s="11" t="str">
        <x:v>SA5</x:v>
      </x:c>
      <x:c r="E240" s="11" t="str">
        <x:v>B</x:v>
      </x:c>
      <x:c r="F240" s="11" t="str">
        <x:v>T1</x:v>
      </x:c>
      <x:c r="G240" s="11" t="str">
        <x:v>known compliant</x:v>
      </x:c>
      <x:c r="H240" s="11" t="str">
        <x:v>heat-balance error</x:v>
      </x:c>
      <x:c r="I240" s="11" t="str">
        <x:v>fraction</x:v>
      </x:c>
      <x:c r="J240" s="17" t="n">
        <x:v>0.05</x:v>
      </x:c>
      <x:c r="K240" s="17" t="n">
        <x:v>0.024999999999999998</x:v>
      </x:c>
      <x:c r="L240" s="17" t="n">
        <x:v>0.005000000000000001</x:v>
      </x:c>
      <x:c r="M240" s="11" t="str">
        <x:v>ACCEPT</x:v>
      </x:c>
      <x:c r="N240" s="11" t="n">
        <x:v>1</x:v>
      </x:c>
      <x:c r="O240" s="13" t="n">
        <x:v>0</x:v>
      </x:c>
      <x:c r="P240" s="11" t="str">
        <x:f>IF(AND(N240=1,L240&lt;=J240/4,K240&lt;J240-L240),"PASS","FAIL")</x:f>
        <x:v>PASS</x:v>
      </x:c>
      <x:c r="Q240" s="11" t="str">
        <x:f>IF(P240&lt;&gt;"PASS","FAIL",IF(O240=1,"PASS","OPEN"))</x:f>
        <x:v>OPEN</x:v>
      </x:c>
    </x:row>
    <x:row r="241">
      <x:c r="B241" s="11" t="str">
        <x:v>RA-SA5-10-B2-T2</x:v>
      </x:c>
      <x:c r="C241" s="11" t="str">
        <x:v>RA-SA5-10-B2</x:v>
      </x:c>
      <x:c r="D241" s="11" t="str">
        <x:v>SA5</x:v>
      </x:c>
      <x:c r="E241" s="11" t="str">
        <x:v>B</x:v>
      </x:c>
      <x:c r="F241" s="11" t="str">
        <x:v>T2</x:v>
      </x:c>
      <x:c r="G241" s="11" t="str">
        <x:v>known nonconforming</x:v>
      </x:c>
      <x:c r="H241" s="11" t="str">
        <x:v>heat-balance error</x:v>
      </x:c>
      <x:c r="I241" s="11" t="str">
        <x:v>fraction</x:v>
      </x:c>
      <x:c r="J241" s="17" t="n">
        <x:v>0.05</x:v>
      </x:c>
      <x:c r="K241" s="17" t="n">
        <x:v>0.07500000000000001</x:v>
      </x:c>
      <x:c r="L241" s="17" t="n">
        <x:v>0.005000000000000001</x:v>
      </x:c>
      <x:c r="M241" s="11" t="str">
        <x:v>REJECT</x:v>
      </x:c>
      <x:c r="N241" s="11" t="n">
        <x:v>1</x:v>
      </x:c>
      <x:c r="O241" s="13" t="n">
        <x:v>0</x:v>
      </x:c>
      <x:c r="P241" s="11" t="str">
        <x:f>IF(AND(N241=1,L241&lt;=J241/4,K241&gt;J241+L241),"PASS","FAIL")</x:f>
        <x:v>PASS</x:v>
      </x:c>
      <x:c r="Q241" s="11" t="str">
        <x:f>IF(P241&lt;&gt;"PASS","FAIL",IF(O241=1,"PASS","OPEN"))</x:f>
        <x:v>OPEN</x:v>
      </x:c>
    </x:row>
    <x:row r="242">
      <x:c r="B242" s="11" t="str">
        <x:v>RA-SA5-10-B2-T3</x:v>
      </x:c>
      <x:c r="C242" s="11" t="str">
        <x:v>RA-SA5-10-B2</x:v>
      </x:c>
      <x:c r="D242" s="11" t="str">
        <x:v>SA5</x:v>
      </x:c>
      <x:c r="E242" s="11" t="str">
        <x:v>B</x:v>
      </x:c>
      <x:c r="F242" s="11" t="str">
        <x:v>T3</x:v>
      </x:c>
      <x:c r="G242" s="11" t="str">
        <x:v>decision boundary</x:v>
      </x:c>
      <x:c r="H242" s="11" t="str">
        <x:v>heat-balance error</x:v>
      </x:c>
      <x:c r="I242" s="11" t="str">
        <x:v>fraction</x:v>
      </x:c>
      <x:c r="J242" s="17" t="n">
        <x:v>0.05</x:v>
      </x:c>
      <x:c r="K242" s="17" t="n">
        <x:v>0.05</x:v>
      </x:c>
      <x:c r="L242" s="17" t="n">
        <x:v>0.005000000000000001</x:v>
      </x:c>
      <x:c r="M242" s="11" t="str">
        <x:v>INDETERMINATE</x:v>
      </x:c>
      <x:c r="N242" s="11" t="n">
        <x:v>1</x:v>
      </x:c>
      <x:c r="O242" s="13" t="n">
        <x:v>0</x:v>
      </x:c>
      <x:c r="P242" s="11" t="str">
        <x:f>IF(AND(N242=1,L242&lt;=J242/4,ABS(K242-J242)&lt;=L242),"PASS","FAIL")</x:f>
        <x:v>PASS</x:v>
      </x:c>
      <x:c r="Q242" s="11" t="str">
        <x:f>IF(P242&lt;&gt;"PASS","FAIL",IF(O242=1,"PASS","OPEN"))</x:f>
        <x:v>OPEN</x:v>
      </x:c>
    </x:row>
    <x:row r="243">
      <x:c r="B243" s="11" t="str">
        <x:v>RA-SA5-10-B3-T0</x:v>
      </x:c>
      <x:c r="C243" s="11" t="str">
        <x:v>RA-SA5-10-B3</x:v>
      </x:c>
      <x:c r="D243" s="11" t="str">
        <x:v>SA5</x:v>
      </x:c>
      <x:c r="E243" s="11" t="str">
        <x:v>B</x:v>
      </x:c>
      <x:c r="F243" s="11" t="str">
        <x:v>T0</x:v>
      </x:c>
      <x:c r="G243" s="11" t="str">
        <x:v>datum and blank</x:v>
      </x:c>
      <x:c r="H243" s="11" t="str">
        <x:v>heat-balance error</x:v>
      </x:c>
      <x:c r="I243" s="11" t="str">
        <x:v>fraction</x:v>
      </x:c>
      <x:c r="J243" s="17" t="n">
        <x:v>0.05</x:v>
      </x:c>
      <x:c r="K243" s="17" t="n">
        <x:v>0</x:v>
      </x:c>
      <x:c r="L243" s="17" t="n">
        <x:v>0.005000000000000001</x:v>
      </x:c>
      <x:c r="M243" s="11" t="str">
        <x:v>ACCEPT</x:v>
      </x:c>
      <x:c r="N243" s="11" t="n">
        <x:v>1</x:v>
      </x:c>
      <x:c r="O243" s="13" t="n">
        <x:v>0</x:v>
      </x:c>
      <x:c r="P243" s="11" t="str">
        <x:f>IF(AND(N243=1,L243&lt;=J243/4,K243=0),"PASS","FAIL")</x:f>
        <x:v>PASS</x:v>
      </x:c>
      <x:c r="Q243" s="11" t="str">
        <x:f>IF(P243&lt;&gt;"PASS","FAIL",IF(O243=1,"PASS","OPEN"))</x:f>
        <x:v>OPEN</x:v>
      </x:c>
    </x:row>
    <x:row r="244">
      <x:c r="B244" s="11" t="str">
        <x:v>RA-SA5-10-B3-T1</x:v>
      </x:c>
      <x:c r="C244" s="11" t="str">
        <x:v>RA-SA5-10-B3</x:v>
      </x:c>
      <x:c r="D244" s="11" t="str">
        <x:v>SA5</x:v>
      </x:c>
      <x:c r="E244" s="11" t="str">
        <x:v>B</x:v>
      </x:c>
      <x:c r="F244" s="11" t="str">
        <x:v>T1</x:v>
      </x:c>
      <x:c r="G244" s="11" t="str">
        <x:v>known compliant</x:v>
      </x:c>
      <x:c r="H244" s="11" t="str">
        <x:v>heat-balance error</x:v>
      </x:c>
      <x:c r="I244" s="11" t="str">
        <x:v>fraction</x:v>
      </x:c>
      <x:c r="J244" s="17" t="n">
        <x:v>0.05</x:v>
      </x:c>
      <x:c r="K244" s="17" t="n">
        <x:v>0.024999999999999998</x:v>
      </x:c>
      <x:c r="L244" s="17" t="n">
        <x:v>0.005000000000000001</x:v>
      </x:c>
      <x:c r="M244" s="11" t="str">
        <x:v>ACCEPT</x:v>
      </x:c>
      <x:c r="N244" s="11" t="n">
        <x:v>1</x:v>
      </x:c>
      <x:c r="O244" s="13" t="n">
        <x:v>0</x:v>
      </x:c>
      <x:c r="P244" s="11" t="str">
        <x:f>IF(AND(N244=1,L244&lt;=J244/4,K244&lt;J244-L244),"PASS","FAIL")</x:f>
        <x:v>PASS</x:v>
      </x:c>
      <x:c r="Q244" s="11" t="str">
        <x:f>IF(P244&lt;&gt;"PASS","FAIL",IF(O244=1,"PASS","OPEN"))</x:f>
        <x:v>OPEN</x:v>
      </x:c>
    </x:row>
    <x:row r="245">
      <x:c r="B245" s="11" t="str">
        <x:v>RA-SA5-10-B3-T2</x:v>
      </x:c>
      <x:c r="C245" s="11" t="str">
        <x:v>RA-SA5-10-B3</x:v>
      </x:c>
      <x:c r="D245" s="11" t="str">
        <x:v>SA5</x:v>
      </x:c>
      <x:c r="E245" s="11" t="str">
        <x:v>B</x:v>
      </x:c>
      <x:c r="F245" s="11" t="str">
        <x:v>T2</x:v>
      </x:c>
      <x:c r="G245" s="11" t="str">
        <x:v>known nonconforming</x:v>
      </x:c>
      <x:c r="H245" s="11" t="str">
        <x:v>heat-balance error</x:v>
      </x:c>
      <x:c r="I245" s="11" t="str">
        <x:v>fraction</x:v>
      </x:c>
      <x:c r="J245" s="17" t="n">
        <x:v>0.05</x:v>
      </x:c>
      <x:c r="K245" s="17" t="n">
        <x:v>0.07500000000000001</x:v>
      </x:c>
      <x:c r="L245" s="17" t="n">
        <x:v>0.005000000000000001</x:v>
      </x:c>
      <x:c r="M245" s="11" t="str">
        <x:v>REJECT</x:v>
      </x:c>
      <x:c r="N245" s="11" t="n">
        <x:v>1</x:v>
      </x:c>
      <x:c r="O245" s="13" t="n">
        <x:v>0</x:v>
      </x:c>
      <x:c r="P245" s="11" t="str">
        <x:f>IF(AND(N245=1,L245&lt;=J245/4,K245&gt;J245+L245),"PASS","FAIL")</x:f>
        <x:v>PASS</x:v>
      </x:c>
      <x:c r="Q245" s="11" t="str">
        <x:f>IF(P245&lt;&gt;"PASS","FAIL",IF(O245=1,"PASS","OPEN"))</x:f>
        <x:v>OPEN</x:v>
      </x:c>
    </x:row>
    <x:row r="246">
      <x:c r="B246" s="11" t="str">
        <x:v>RA-SA5-10-B3-T3</x:v>
      </x:c>
      <x:c r="C246" s="11" t="str">
        <x:v>RA-SA5-10-B3</x:v>
      </x:c>
      <x:c r="D246" s="11" t="str">
        <x:v>SA5</x:v>
      </x:c>
      <x:c r="E246" s="11" t="str">
        <x:v>B</x:v>
      </x:c>
      <x:c r="F246" s="11" t="str">
        <x:v>T3</x:v>
      </x:c>
      <x:c r="G246" s="11" t="str">
        <x:v>decision boundary</x:v>
      </x:c>
      <x:c r="H246" s="11" t="str">
        <x:v>heat-balance error</x:v>
      </x:c>
      <x:c r="I246" s="11" t="str">
        <x:v>fraction</x:v>
      </x:c>
      <x:c r="J246" s="17" t="n">
        <x:v>0.05</x:v>
      </x:c>
      <x:c r="K246" s="17" t="n">
        <x:v>0.05</x:v>
      </x:c>
      <x:c r="L246" s="17" t="n">
        <x:v>0.005000000000000001</x:v>
      </x:c>
      <x:c r="M246" s="11" t="str">
        <x:v>INDETERMINATE</x:v>
      </x:c>
      <x:c r="N246" s="11" t="n">
        <x:v>1</x:v>
      </x:c>
      <x:c r="O246" s="13" t="n">
        <x:v>0</x:v>
      </x:c>
      <x:c r="P246" s="11" t="str">
        <x:f>IF(AND(N246=1,L246&lt;=J246/4,ABS(K246-J246)&lt;=L246),"PASS","FAIL")</x:f>
        <x:v>PASS</x:v>
      </x:c>
      <x:c r="Q246" s="11" t="str">
        <x:f>IF(P246&lt;&gt;"PASS","FAIL",IF(O246=1,"PASS","OPEN"))</x:f>
        <x:v>OPEN</x:v>
      </x:c>
    </x:row>
    <x:row r="247">
      <x:c r="B247" s="11" t="str">
        <x:v>RA-SA6-11-A1-T0</x:v>
      </x:c>
      <x:c r="C247" s="11" t="str">
        <x:v>RA-SA6-11-A1</x:v>
      </x:c>
      <x:c r="D247" s="11" t="str">
        <x:v>SA6</x:v>
      </x:c>
      <x:c r="E247" s="11" t="str">
        <x:v>A</x:v>
      </x:c>
      <x:c r="F247" s="11" t="str">
        <x:v>T0</x:v>
      </x:c>
      <x:c r="G247" s="11" t="str">
        <x:v>datum and blank</x:v>
      </x:c>
      <x:c r="H247" s="11" t="str">
        <x:v>custody discrepancy</x:v>
      </x:c>
      <x:c r="I247" s="11" t="str">
        <x:v>kg</x:v>
      </x:c>
      <x:c r="J247" s="17" t="n">
        <x:v>5</x:v>
      </x:c>
      <x:c r="K247" s="17" t="n">
        <x:v>0</x:v>
      </x:c>
      <x:c r="L247" s="17" t="n">
        <x:v>0.5</x:v>
      </x:c>
      <x:c r="M247" s="11" t="str">
        <x:v>ACCEPT</x:v>
      </x:c>
      <x:c r="N247" s="11" t="n">
        <x:v>1</x:v>
      </x:c>
      <x:c r="O247" s="13" t="n">
        <x:v>0</x:v>
      </x:c>
      <x:c r="P247" s="11" t="str">
        <x:f>IF(AND(N247=1,L247&lt;=J247/4,K247=0),"PASS","FAIL")</x:f>
        <x:v>PASS</x:v>
      </x:c>
      <x:c r="Q247" s="11" t="str">
        <x:f>IF(P247&lt;&gt;"PASS","FAIL",IF(O247=1,"PASS","OPEN"))</x:f>
        <x:v>OPEN</x:v>
      </x:c>
    </x:row>
    <x:row r="248">
      <x:c r="B248" s="11" t="str">
        <x:v>RA-SA6-11-A1-T1</x:v>
      </x:c>
      <x:c r="C248" s="11" t="str">
        <x:v>RA-SA6-11-A1</x:v>
      </x:c>
      <x:c r="D248" s="11" t="str">
        <x:v>SA6</x:v>
      </x:c>
      <x:c r="E248" s="11" t="str">
        <x:v>A</x:v>
      </x:c>
      <x:c r="F248" s="11" t="str">
        <x:v>T1</x:v>
      </x:c>
      <x:c r="G248" s="11" t="str">
        <x:v>known compliant</x:v>
      </x:c>
      <x:c r="H248" s="11" t="str">
        <x:v>custody discrepancy</x:v>
      </x:c>
      <x:c r="I248" s="11" t="str">
        <x:v>kg</x:v>
      </x:c>
      <x:c r="J248" s="17" t="n">
        <x:v>5</x:v>
      </x:c>
      <x:c r="K248" s="17" t="n">
        <x:v>2.5</x:v>
      </x:c>
      <x:c r="L248" s="17" t="n">
        <x:v>0.5</x:v>
      </x:c>
      <x:c r="M248" s="11" t="str">
        <x:v>ACCEPT</x:v>
      </x:c>
      <x:c r="N248" s="11" t="n">
        <x:v>1</x:v>
      </x:c>
      <x:c r="O248" s="13" t="n">
        <x:v>0</x:v>
      </x:c>
      <x:c r="P248" s="11" t="str">
        <x:f>IF(AND(N248=1,L248&lt;=J248/4,K248&lt;J248-L248),"PASS","FAIL")</x:f>
        <x:v>PASS</x:v>
      </x:c>
      <x:c r="Q248" s="11" t="str">
        <x:f>IF(P248&lt;&gt;"PASS","FAIL",IF(O248=1,"PASS","OPEN"))</x:f>
        <x:v>OPEN</x:v>
      </x:c>
    </x:row>
    <x:row r="249">
      <x:c r="B249" s="11" t="str">
        <x:v>RA-SA6-11-A1-T2</x:v>
      </x:c>
      <x:c r="C249" s="11" t="str">
        <x:v>RA-SA6-11-A1</x:v>
      </x:c>
      <x:c r="D249" s="11" t="str">
        <x:v>SA6</x:v>
      </x:c>
      <x:c r="E249" s="11" t="str">
        <x:v>A</x:v>
      </x:c>
      <x:c r="F249" s="11" t="str">
        <x:v>T2</x:v>
      </x:c>
      <x:c r="G249" s="11" t="str">
        <x:v>known nonconforming</x:v>
      </x:c>
      <x:c r="H249" s="11" t="str">
        <x:v>custody discrepancy</x:v>
      </x:c>
      <x:c r="I249" s="11" t="str">
        <x:v>kg</x:v>
      </x:c>
      <x:c r="J249" s="17" t="n">
        <x:v>5</x:v>
      </x:c>
      <x:c r="K249" s="17" t="n">
        <x:v>7.5</x:v>
      </x:c>
      <x:c r="L249" s="17" t="n">
        <x:v>0.5</x:v>
      </x:c>
      <x:c r="M249" s="11" t="str">
        <x:v>REJECT</x:v>
      </x:c>
      <x:c r="N249" s="11" t="n">
        <x:v>1</x:v>
      </x:c>
      <x:c r="O249" s="13" t="n">
        <x:v>0</x:v>
      </x:c>
      <x:c r="P249" s="11" t="str">
        <x:f>IF(AND(N249=1,L249&lt;=J249/4,K249&gt;J249+L249),"PASS","FAIL")</x:f>
        <x:v>PASS</x:v>
      </x:c>
      <x:c r="Q249" s="11" t="str">
        <x:f>IF(P249&lt;&gt;"PASS","FAIL",IF(O249=1,"PASS","OPEN"))</x:f>
        <x:v>OPEN</x:v>
      </x:c>
    </x:row>
    <x:row r="250">
      <x:c r="B250" s="11" t="str">
        <x:v>RA-SA6-11-A1-T3</x:v>
      </x:c>
      <x:c r="C250" s="11" t="str">
        <x:v>RA-SA6-11-A1</x:v>
      </x:c>
      <x:c r="D250" s="11" t="str">
        <x:v>SA6</x:v>
      </x:c>
      <x:c r="E250" s="11" t="str">
        <x:v>A</x:v>
      </x:c>
      <x:c r="F250" s="11" t="str">
        <x:v>T3</x:v>
      </x:c>
      <x:c r="G250" s="11" t="str">
        <x:v>decision boundary</x:v>
      </x:c>
      <x:c r="H250" s="11" t="str">
        <x:v>custody discrepancy</x:v>
      </x:c>
      <x:c r="I250" s="11" t="str">
        <x:v>kg</x:v>
      </x:c>
      <x:c r="J250" s="17" t="n">
        <x:v>5</x:v>
      </x:c>
      <x:c r="K250" s="17" t="n">
        <x:v>5</x:v>
      </x:c>
      <x:c r="L250" s="17" t="n">
        <x:v>0.5</x:v>
      </x:c>
      <x:c r="M250" s="11" t="str">
        <x:v>INDETERMINATE</x:v>
      </x:c>
      <x:c r="N250" s="11" t="n">
        <x:v>1</x:v>
      </x:c>
      <x:c r="O250" s="13" t="n">
        <x:v>0</x:v>
      </x:c>
      <x:c r="P250" s="11" t="str">
        <x:f>IF(AND(N250=1,L250&lt;=J250/4,ABS(K250-J250)&lt;=L250),"PASS","FAIL")</x:f>
        <x:v>PASS</x:v>
      </x:c>
      <x:c r="Q250" s="11" t="str">
        <x:f>IF(P250&lt;&gt;"PASS","FAIL",IF(O250=1,"PASS","OPEN"))</x:f>
        <x:v>OPEN</x:v>
      </x:c>
    </x:row>
    <x:row r="251">
      <x:c r="B251" s="11" t="str">
        <x:v>RA-SA6-11-A2-T0</x:v>
      </x:c>
      <x:c r="C251" s="11" t="str">
        <x:v>RA-SA6-11-A2</x:v>
      </x:c>
      <x:c r="D251" s="11" t="str">
        <x:v>SA6</x:v>
      </x:c>
      <x:c r="E251" s="11" t="str">
        <x:v>A</x:v>
      </x:c>
      <x:c r="F251" s="11" t="str">
        <x:v>T0</x:v>
      </x:c>
      <x:c r="G251" s="11" t="str">
        <x:v>datum and blank</x:v>
      </x:c>
      <x:c r="H251" s="11" t="str">
        <x:v>custody discrepancy</x:v>
      </x:c>
      <x:c r="I251" s="11" t="str">
        <x:v>kg</x:v>
      </x:c>
      <x:c r="J251" s="17" t="n">
        <x:v>5</x:v>
      </x:c>
      <x:c r="K251" s="17" t="n">
        <x:v>0</x:v>
      </x:c>
      <x:c r="L251" s="17" t="n">
        <x:v>0.5</x:v>
      </x:c>
      <x:c r="M251" s="11" t="str">
        <x:v>ACCEPT</x:v>
      </x:c>
      <x:c r="N251" s="11" t="n">
        <x:v>1</x:v>
      </x:c>
      <x:c r="O251" s="13" t="n">
        <x:v>0</x:v>
      </x:c>
      <x:c r="P251" s="11" t="str">
        <x:f>IF(AND(N251=1,L251&lt;=J251/4,K251=0),"PASS","FAIL")</x:f>
        <x:v>PASS</x:v>
      </x:c>
      <x:c r="Q251" s="11" t="str">
        <x:f>IF(P251&lt;&gt;"PASS","FAIL",IF(O251=1,"PASS","OPEN"))</x:f>
        <x:v>OPEN</x:v>
      </x:c>
    </x:row>
    <x:row r="252">
      <x:c r="B252" s="11" t="str">
        <x:v>RA-SA6-11-A2-T1</x:v>
      </x:c>
      <x:c r="C252" s="11" t="str">
        <x:v>RA-SA6-11-A2</x:v>
      </x:c>
      <x:c r="D252" s="11" t="str">
        <x:v>SA6</x:v>
      </x:c>
      <x:c r="E252" s="11" t="str">
        <x:v>A</x:v>
      </x:c>
      <x:c r="F252" s="11" t="str">
        <x:v>T1</x:v>
      </x:c>
      <x:c r="G252" s="11" t="str">
        <x:v>known compliant</x:v>
      </x:c>
      <x:c r="H252" s="11" t="str">
        <x:v>custody discrepancy</x:v>
      </x:c>
      <x:c r="I252" s="11" t="str">
        <x:v>kg</x:v>
      </x:c>
      <x:c r="J252" s="17" t="n">
        <x:v>5</x:v>
      </x:c>
      <x:c r="K252" s="17" t="n">
        <x:v>2.5</x:v>
      </x:c>
      <x:c r="L252" s="17" t="n">
        <x:v>0.5</x:v>
      </x:c>
      <x:c r="M252" s="11" t="str">
        <x:v>ACCEPT</x:v>
      </x:c>
      <x:c r="N252" s="11" t="n">
        <x:v>1</x:v>
      </x:c>
      <x:c r="O252" s="13" t="n">
        <x:v>0</x:v>
      </x:c>
      <x:c r="P252" s="11" t="str">
        <x:f>IF(AND(N252=1,L252&lt;=J252/4,K252&lt;J252-L252),"PASS","FAIL")</x:f>
        <x:v>PASS</x:v>
      </x:c>
      <x:c r="Q252" s="11" t="str">
        <x:f>IF(P252&lt;&gt;"PASS","FAIL",IF(O252=1,"PASS","OPEN"))</x:f>
        <x:v>OPEN</x:v>
      </x:c>
    </x:row>
    <x:row r="253">
      <x:c r="B253" s="11" t="str">
        <x:v>RA-SA6-11-A2-T2</x:v>
      </x:c>
      <x:c r="C253" s="11" t="str">
        <x:v>RA-SA6-11-A2</x:v>
      </x:c>
      <x:c r="D253" s="11" t="str">
        <x:v>SA6</x:v>
      </x:c>
      <x:c r="E253" s="11" t="str">
        <x:v>A</x:v>
      </x:c>
      <x:c r="F253" s="11" t="str">
        <x:v>T2</x:v>
      </x:c>
      <x:c r="G253" s="11" t="str">
        <x:v>known nonconforming</x:v>
      </x:c>
      <x:c r="H253" s="11" t="str">
        <x:v>custody discrepancy</x:v>
      </x:c>
      <x:c r="I253" s="11" t="str">
        <x:v>kg</x:v>
      </x:c>
      <x:c r="J253" s="17" t="n">
        <x:v>5</x:v>
      </x:c>
      <x:c r="K253" s="17" t="n">
        <x:v>7.5</x:v>
      </x:c>
      <x:c r="L253" s="17" t="n">
        <x:v>0.5</x:v>
      </x:c>
      <x:c r="M253" s="11" t="str">
        <x:v>REJECT</x:v>
      </x:c>
      <x:c r="N253" s="11" t="n">
        <x:v>1</x:v>
      </x:c>
      <x:c r="O253" s="13" t="n">
        <x:v>0</x:v>
      </x:c>
      <x:c r="P253" s="11" t="str">
        <x:f>IF(AND(N253=1,L253&lt;=J253/4,K253&gt;J253+L253),"PASS","FAIL")</x:f>
        <x:v>PASS</x:v>
      </x:c>
      <x:c r="Q253" s="11" t="str">
        <x:f>IF(P253&lt;&gt;"PASS","FAIL",IF(O253=1,"PASS","OPEN"))</x:f>
        <x:v>OPEN</x:v>
      </x:c>
    </x:row>
    <x:row r="254">
      <x:c r="B254" s="11" t="str">
        <x:v>RA-SA6-11-A2-T3</x:v>
      </x:c>
      <x:c r="C254" s="11" t="str">
        <x:v>RA-SA6-11-A2</x:v>
      </x:c>
      <x:c r="D254" s="11" t="str">
        <x:v>SA6</x:v>
      </x:c>
      <x:c r="E254" s="11" t="str">
        <x:v>A</x:v>
      </x:c>
      <x:c r="F254" s="11" t="str">
        <x:v>T3</x:v>
      </x:c>
      <x:c r="G254" s="11" t="str">
        <x:v>decision boundary</x:v>
      </x:c>
      <x:c r="H254" s="11" t="str">
        <x:v>custody discrepancy</x:v>
      </x:c>
      <x:c r="I254" s="11" t="str">
        <x:v>kg</x:v>
      </x:c>
      <x:c r="J254" s="17" t="n">
        <x:v>5</x:v>
      </x:c>
      <x:c r="K254" s="17" t="n">
        <x:v>5</x:v>
      </x:c>
      <x:c r="L254" s="17" t="n">
        <x:v>0.5</x:v>
      </x:c>
      <x:c r="M254" s="11" t="str">
        <x:v>INDETERMINATE</x:v>
      </x:c>
      <x:c r="N254" s="11" t="n">
        <x:v>1</x:v>
      </x:c>
      <x:c r="O254" s="13" t="n">
        <x:v>0</x:v>
      </x:c>
      <x:c r="P254" s="11" t="str">
        <x:f>IF(AND(N254=1,L254&lt;=J254/4,ABS(K254-J254)&lt;=L254),"PASS","FAIL")</x:f>
        <x:v>PASS</x:v>
      </x:c>
      <x:c r="Q254" s="11" t="str">
        <x:f>IF(P254&lt;&gt;"PASS","FAIL",IF(O254=1,"PASS","OPEN"))</x:f>
        <x:v>OPEN</x:v>
      </x:c>
    </x:row>
    <x:row r="255">
      <x:c r="B255" s="11" t="str">
        <x:v>RA-SA6-11-A3-T0</x:v>
      </x:c>
      <x:c r="C255" s="11" t="str">
        <x:v>RA-SA6-11-A3</x:v>
      </x:c>
      <x:c r="D255" s="11" t="str">
        <x:v>SA6</x:v>
      </x:c>
      <x:c r="E255" s="11" t="str">
        <x:v>A</x:v>
      </x:c>
      <x:c r="F255" s="11" t="str">
        <x:v>T0</x:v>
      </x:c>
      <x:c r="G255" s="11" t="str">
        <x:v>datum and blank</x:v>
      </x:c>
      <x:c r="H255" s="11" t="str">
        <x:v>custody discrepancy</x:v>
      </x:c>
      <x:c r="I255" s="11" t="str">
        <x:v>kg</x:v>
      </x:c>
      <x:c r="J255" s="17" t="n">
        <x:v>5</x:v>
      </x:c>
      <x:c r="K255" s="17" t="n">
        <x:v>0</x:v>
      </x:c>
      <x:c r="L255" s="17" t="n">
        <x:v>0.5</x:v>
      </x:c>
      <x:c r="M255" s="11" t="str">
        <x:v>ACCEPT</x:v>
      </x:c>
      <x:c r="N255" s="11" t="n">
        <x:v>1</x:v>
      </x:c>
      <x:c r="O255" s="13" t="n">
        <x:v>0</x:v>
      </x:c>
      <x:c r="P255" s="11" t="str">
        <x:f>IF(AND(N255=1,L255&lt;=J255/4,K255=0),"PASS","FAIL")</x:f>
        <x:v>PASS</x:v>
      </x:c>
      <x:c r="Q255" s="11" t="str">
        <x:f>IF(P255&lt;&gt;"PASS","FAIL",IF(O255=1,"PASS","OPEN"))</x:f>
        <x:v>OPEN</x:v>
      </x:c>
    </x:row>
    <x:row r="256">
      <x:c r="B256" s="11" t="str">
        <x:v>RA-SA6-11-A3-T1</x:v>
      </x:c>
      <x:c r="C256" s="11" t="str">
        <x:v>RA-SA6-11-A3</x:v>
      </x:c>
      <x:c r="D256" s="11" t="str">
        <x:v>SA6</x:v>
      </x:c>
      <x:c r="E256" s="11" t="str">
        <x:v>A</x:v>
      </x:c>
      <x:c r="F256" s="11" t="str">
        <x:v>T1</x:v>
      </x:c>
      <x:c r="G256" s="11" t="str">
        <x:v>known compliant</x:v>
      </x:c>
      <x:c r="H256" s="11" t="str">
        <x:v>custody discrepancy</x:v>
      </x:c>
      <x:c r="I256" s="11" t="str">
        <x:v>kg</x:v>
      </x:c>
      <x:c r="J256" s="17" t="n">
        <x:v>5</x:v>
      </x:c>
      <x:c r="K256" s="17" t="n">
        <x:v>2.5</x:v>
      </x:c>
      <x:c r="L256" s="17" t="n">
        <x:v>0.5</x:v>
      </x:c>
      <x:c r="M256" s="11" t="str">
        <x:v>ACCEPT</x:v>
      </x:c>
      <x:c r="N256" s="11" t="n">
        <x:v>1</x:v>
      </x:c>
      <x:c r="O256" s="13" t="n">
        <x:v>0</x:v>
      </x:c>
      <x:c r="P256" s="11" t="str">
        <x:f>IF(AND(N256=1,L256&lt;=J256/4,K256&lt;J256-L256),"PASS","FAIL")</x:f>
        <x:v>PASS</x:v>
      </x:c>
      <x:c r="Q256" s="11" t="str">
        <x:f>IF(P256&lt;&gt;"PASS","FAIL",IF(O256=1,"PASS","OPEN"))</x:f>
        <x:v>OPEN</x:v>
      </x:c>
    </x:row>
    <x:row r="257">
      <x:c r="B257" s="11" t="str">
        <x:v>RA-SA6-11-A3-T2</x:v>
      </x:c>
      <x:c r="C257" s="11" t="str">
        <x:v>RA-SA6-11-A3</x:v>
      </x:c>
      <x:c r="D257" s="11" t="str">
        <x:v>SA6</x:v>
      </x:c>
      <x:c r="E257" s="11" t="str">
        <x:v>A</x:v>
      </x:c>
      <x:c r="F257" s="11" t="str">
        <x:v>T2</x:v>
      </x:c>
      <x:c r="G257" s="11" t="str">
        <x:v>known nonconforming</x:v>
      </x:c>
      <x:c r="H257" s="11" t="str">
        <x:v>custody discrepancy</x:v>
      </x:c>
      <x:c r="I257" s="11" t="str">
        <x:v>kg</x:v>
      </x:c>
      <x:c r="J257" s="17" t="n">
        <x:v>5</x:v>
      </x:c>
      <x:c r="K257" s="17" t="n">
        <x:v>7.5</x:v>
      </x:c>
      <x:c r="L257" s="17" t="n">
        <x:v>0.5</x:v>
      </x:c>
      <x:c r="M257" s="11" t="str">
        <x:v>REJECT</x:v>
      </x:c>
      <x:c r="N257" s="11" t="n">
        <x:v>1</x:v>
      </x:c>
      <x:c r="O257" s="13" t="n">
        <x:v>0</x:v>
      </x:c>
      <x:c r="P257" s="11" t="str">
        <x:f>IF(AND(N257=1,L257&lt;=J257/4,K257&gt;J257+L257),"PASS","FAIL")</x:f>
        <x:v>PASS</x:v>
      </x:c>
      <x:c r="Q257" s="11" t="str">
        <x:f>IF(P257&lt;&gt;"PASS","FAIL",IF(O257=1,"PASS","OPEN"))</x:f>
        <x:v>OPEN</x:v>
      </x:c>
    </x:row>
    <x:row r="258">
      <x:c r="B258" s="11" t="str">
        <x:v>RA-SA6-11-A3-T3</x:v>
      </x:c>
      <x:c r="C258" s="11" t="str">
        <x:v>RA-SA6-11-A3</x:v>
      </x:c>
      <x:c r="D258" s="11" t="str">
        <x:v>SA6</x:v>
      </x:c>
      <x:c r="E258" s="11" t="str">
        <x:v>A</x:v>
      </x:c>
      <x:c r="F258" s="11" t="str">
        <x:v>T3</x:v>
      </x:c>
      <x:c r="G258" s="11" t="str">
        <x:v>decision boundary</x:v>
      </x:c>
      <x:c r="H258" s="11" t="str">
        <x:v>custody discrepancy</x:v>
      </x:c>
      <x:c r="I258" s="11" t="str">
        <x:v>kg</x:v>
      </x:c>
      <x:c r="J258" s="17" t="n">
        <x:v>5</x:v>
      </x:c>
      <x:c r="K258" s="17" t="n">
        <x:v>5</x:v>
      </x:c>
      <x:c r="L258" s="17" t="n">
        <x:v>0.5</x:v>
      </x:c>
      <x:c r="M258" s="11" t="str">
        <x:v>INDETERMINATE</x:v>
      </x:c>
      <x:c r="N258" s="11" t="n">
        <x:v>1</x:v>
      </x:c>
      <x:c r="O258" s="13" t="n">
        <x:v>0</x:v>
      </x:c>
      <x:c r="P258" s="11" t="str">
        <x:f>IF(AND(N258=1,L258&lt;=J258/4,ABS(K258-J258)&lt;=L258),"PASS","FAIL")</x:f>
        <x:v>PASS</x:v>
      </x:c>
      <x:c r="Q258" s="11" t="str">
        <x:f>IF(P258&lt;&gt;"PASS","FAIL",IF(O258=1,"PASS","OPEN"))</x:f>
        <x:v>OPEN</x:v>
      </x:c>
    </x:row>
    <x:row r="259">
      <x:c r="B259" s="11" t="str">
        <x:v>RA-SA6-11-B1-T0</x:v>
      </x:c>
      <x:c r="C259" s="11" t="str">
        <x:v>RA-SA6-11-B1</x:v>
      </x:c>
      <x:c r="D259" s="11" t="str">
        <x:v>SA6</x:v>
      </x:c>
      <x:c r="E259" s="11" t="str">
        <x:v>B</x:v>
      </x:c>
      <x:c r="F259" s="11" t="str">
        <x:v>T0</x:v>
      </x:c>
      <x:c r="G259" s="11" t="str">
        <x:v>datum and blank</x:v>
      </x:c>
      <x:c r="H259" s="11" t="str">
        <x:v>custody discrepancy</x:v>
      </x:c>
      <x:c r="I259" s="11" t="str">
        <x:v>kg</x:v>
      </x:c>
      <x:c r="J259" s="17" t="n">
        <x:v>5</x:v>
      </x:c>
      <x:c r="K259" s="17" t="n">
        <x:v>0</x:v>
      </x:c>
      <x:c r="L259" s="17" t="n">
        <x:v>0.5</x:v>
      </x:c>
      <x:c r="M259" s="11" t="str">
        <x:v>ACCEPT</x:v>
      </x:c>
      <x:c r="N259" s="11" t="n">
        <x:v>1</x:v>
      </x:c>
      <x:c r="O259" s="13" t="n">
        <x:v>0</x:v>
      </x:c>
      <x:c r="P259" s="11" t="str">
        <x:f>IF(AND(N259=1,L259&lt;=J259/4,K259=0),"PASS","FAIL")</x:f>
        <x:v>PASS</x:v>
      </x:c>
      <x:c r="Q259" s="11" t="str">
        <x:f>IF(P259&lt;&gt;"PASS","FAIL",IF(O259=1,"PASS","OPEN"))</x:f>
        <x:v>OPEN</x:v>
      </x:c>
    </x:row>
    <x:row r="260">
      <x:c r="B260" s="11" t="str">
        <x:v>RA-SA6-11-B1-T1</x:v>
      </x:c>
      <x:c r="C260" s="11" t="str">
        <x:v>RA-SA6-11-B1</x:v>
      </x:c>
      <x:c r="D260" s="11" t="str">
        <x:v>SA6</x:v>
      </x:c>
      <x:c r="E260" s="11" t="str">
        <x:v>B</x:v>
      </x:c>
      <x:c r="F260" s="11" t="str">
        <x:v>T1</x:v>
      </x:c>
      <x:c r="G260" s="11" t="str">
        <x:v>known compliant</x:v>
      </x:c>
      <x:c r="H260" s="11" t="str">
        <x:v>custody discrepancy</x:v>
      </x:c>
      <x:c r="I260" s="11" t="str">
        <x:v>kg</x:v>
      </x:c>
      <x:c r="J260" s="17" t="n">
        <x:v>5</x:v>
      </x:c>
      <x:c r="K260" s="17" t="n">
        <x:v>2.5</x:v>
      </x:c>
      <x:c r="L260" s="17" t="n">
        <x:v>0.5</x:v>
      </x:c>
      <x:c r="M260" s="11" t="str">
        <x:v>ACCEPT</x:v>
      </x:c>
      <x:c r="N260" s="11" t="n">
        <x:v>1</x:v>
      </x:c>
      <x:c r="O260" s="13" t="n">
        <x:v>0</x:v>
      </x:c>
      <x:c r="P260" s="11" t="str">
        <x:f>IF(AND(N260=1,L260&lt;=J260/4,K260&lt;J260-L260),"PASS","FAIL")</x:f>
        <x:v>PASS</x:v>
      </x:c>
      <x:c r="Q260" s="11" t="str">
        <x:f>IF(P260&lt;&gt;"PASS","FAIL",IF(O260=1,"PASS","OPEN"))</x:f>
        <x:v>OPEN</x:v>
      </x:c>
    </x:row>
    <x:row r="261">
      <x:c r="B261" s="11" t="str">
        <x:v>RA-SA6-11-B1-T2</x:v>
      </x:c>
      <x:c r="C261" s="11" t="str">
        <x:v>RA-SA6-11-B1</x:v>
      </x:c>
      <x:c r="D261" s="11" t="str">
        <x:v>SA6</x:v>
      </x:c>
      <x:c r="E261" s="11" t="str">
        <x:v>B</x:v>
      </x:c>
      <x:c r="F261" s="11" t="str">
        <x:v>T2</x:v>
      </x:c>
      <x:c r="G261" s="11" t="str">
        <x:v>known nonconforming</x:v>
      </x:c>
      <x:c r="H261" s="11" t="str">
        <x:v>custody discrepancy</x:v>
      </x:c>
      <x:c r="I261" s="11" t="str">
        <x:v>kg</x:v>
      </x:c>
      <x:c r="J261" s="17" t="n">
        <x:v>5</x:v>
      </x:c>
      <x:c r="K261" s="17" t="n">
        <x:v>7.5</x:v>
      </x:c>
      <x:c r="L261" s="17" t="n">
        <x:v>0.5</x:v>
      </x:c>
      <x:c r="M261" s="11" t="str">
        <x:v>REJECT</x:v>
      </x:c>
      <x:c r="N261" s="11" t="n">
        <x:v>1</x:v>
      </x:c>
      <x:c r="O261" s="13" t="n">
        <x:v>0</x:v>
      </x:c>
      <x:c r="P261" s="11" t="str">
        <x:f>IF(AND(N261=1,L261&lt;=J261/4,K261&gt;J261+L261),"PASS","FAIL")</x:f>
        <x:v>PASS</x:v>
      </x:c>
      <x:c r="Q261" s="11" t="str">
        <x:f>IF(P261&lt;&gt;"PASS","FAIL",IF(O261=1,"PASS","OPEN"))</x:f>
        <x:v>OPEN</x:v>
      </x:c>
    </x:row>
    <x:row r="262">
      <x:c r="B262" s="11" t="str">
        <x:v>RA-SA6-11-B1-T3</x:v>
      </x:c>
      <x:c r="C262" s="11" t="str">
        <x:v>RA-SA6-11-B1</x:v>
      </x:c>
      <x:c r="D262" s="11" t="str">
        <x:v>SA6</x:v>
      </x:c>
      <x:c r="E262" s="11" t="str">
        <x:v>B</x:v>
      </x:c>
      <x:c r="F262" s="11" t="str">
        <x:v>T3</x:v>
      </x:c>
      <x:c r="G262" s="11" t="str">
        <x:v>decision boundary</x:v>
      </x:c>
      <x:c r="H262" s="11" t="str">
        <x:v>custody discrepancy</x:v>
      </x:c>
      <x:c r="I262" s="11" t="str">
        <x:v>kg</x:v>
      </x:c>
      <x:c r="J262" s="17" t="n">
        <x:v>5</x:v>
      </x:c>
      <x:c r="K262" s="17" t="n">
        <x:v>5</x:v>
      </x:c>
      <x:c r="L262" s="17" t="n">
        <x:v>0.5</x:v>
      </x:c>
      <x:c r="M262" s="11" t="str">
        <x:v>INDETERMINATE</x:v>
      </x:c>
      <x:c r="N262" s="11" t="n">
        <x:v>1</x:v>
      </x:c>
      <x:c r="O262" s="13" t="n">
        <x:v>0</x:v>
      </x:c>
      <x:c r="P262" s="11" t="str">
        <x:f>IF(AND(N262=1,L262&lt;=J262/4,ABS(K262-J262)&lt;=L262),"PASS","FAIL")</x:f>
        <x:v>PASS</x:v>
      </x:c>
      <x:c r="Q262" s="11" t="str">
        <x:f>IF(P262&lt;&gt;"PASS","FAIL",IF(O262=1,"PASS","OPEN"))</x:f>
        <x:v>OPEN</x:v>
      </x:c>
    </x:row>
    <x:row r="263">
      <x:c r="B263" s="11" t="str">
        <x:v>RA-SA6-11-B2-T0</x:v>
      </x:c>
      <x:c r="C263" s="11" t="str">
        <x:v>RA-SA6-11-B2</x:v>
      </x:c>
      <x:c r="D263" s="11" t="str">
        <x:v>SA6</x:v>
      </x:c>
      <x:c r="E263" s="11" t="str">
        <x:v>B</x:v>
      </x:c>
      <x:c r="F263" s="11" t="str">
        <x:v>T0</x:v>
      </x:c>
      <x:c r="G263" s="11" t="str">
        <x:v>datum and blank</x:v>
      </x:c>
      <x:c r="H263" s="11" t="str">
        <x:v>custody discrepancy</x:v>
      </x:c>
      <x:c r="I263" s="11" t="str">
        <x:v>kg</x:v>
      </x:c>
      <x:c r="J263" s="17" t="n">
        <x:v>5</x:v>
      </x:c>
      <x:c r="K263" s="17" t="n">
        <x:v>0</x:v>
      </x:c>
      <x:c r="L263" s="17" t="n">
        <x:v>0.5</x:v>
      </x:c>
      <x:c r="M263" s="11" t="str">
        <x:v>ACCEPT</x:v>
      </x:c>
      <x:c r="N263" s="11" t="n">
        <x:v>1</x:v>
      </x:c>
      <x:c r="O263" s="13" t="n">
        <x:v>0</x:v>
      </x:c>
      <x:c r="P263" s="11" t="str">
        <x:f>IF(AND(N263=1,L263&lt;=J263/4,K263=0),"PASS","FAIL")</x:f>
        <x:v>PASS</x:v>
      </x:c>
      <x:c r="Q263" s="11" t="str">
        <x:f>IF(P263&lt;&gt;"PASS","FAIL",IF(O263=1,"PASS","OPEN"))</x:f>
        <x:v>OPEN</x:v>
      </x:c>
    </x:row>
    <x:row r="264">
      <x:c r="B264" s="11" t="str">
        <x:v>RA-SA6-11-B2-T1</x:v>
      </x:c>
      <x:c r="C264" s="11" t="str">
        <x:v>RA-SA6-11-B2</x:v>
      </x:c>
      <x:c r="D264" s="11" t="str">
        <x:v>SA6</x:v>
      </x:c>
      <x:c r="E264" s="11" t="str">
        <x:v>B</x:v>
      </x:c>
      <x:c r="F264" s="11" t="str">
        <x:v>T1</x:v>
      </x:c>
      <x:c r="G264" s="11" t="str">
        <x:v>known compliant</x:v>
      </x:c>
      <x:c r="H264" s="11" t="str">
        <x:v>custody discrepancy</x:v>
      </x:c>
      <x:c r="I264" s="11" t="str">
        <x:v>kg</x:v>
      </x:c>
      <x:c r="J264" s="17" t="n">
        <x:v>5</x:v>
      </x:c>
      <x:c r="K264" s="17" t="n">
        <x:v>2.5</x:v>
      </x:c>
      <x:c r="L264" s="17" t="n">
        <x:v>0.5</x:v>
      </x:c>
      <x:c r="M264" s="11" t="str">
        <x:v>ACCEPT</x:v>
      </x:c>
      <x:c r="N264" s="11" t="n">
        <x:v>1</x:v>
      </x:c>
      <x:c r="O264" s="13" t="n">
        <x:v>0</x:v>
      </x:c>
      <x:c r="P264" s="11" t="str">
        <x:f>IF(AND(N264=1,L264&lt;=J264/4,K264&lt;J264-L264),"PASS","FAIL")</x:f>
        <x:v>PASS</x:v>
      </x:c>
      <x:c r="Q264" s="11" t="str">
        <x:f>IF(P264&lt;&gt;"PASS","FAIL",IF(O264=1,"PASS","OPEN"))</x:f>
        <x:v>OPEN</x:v>
      </x:c>
    </x:row>
    <x:row r="265">
      <x:c r="B265" s="11" t="str">
        <x:v>RA-SA6-11-B2-T2</x:v>
      </x:c>
      <x:c r="C265" s="11" t="str">
        <x:v>RA-SA6-11-B2</x:v>
      </x:c>
      <x:c r="D265" s="11" t="str">
        <x:v>SA6</x:v>
      </x:c>
      <x:c r="E265" s="11" t="str">
        <x:v>B</x:v>
      </x:c>
      <x:c r="F265" s="11" t="str">
        <x:v>T2</x:v>
      </x:c>
      <x:c r="G265" s="11" t="str">
        <x:v>known nonconforming</x:v>
      </x:c>
      <x:c r="H265" s="11" t="str">
        <x:v>custody discrepancy</x:v>
      </x:c>
      <x:c r="I265" s="11" t="str">
        <x:v>kg</x:v>
      </x:c>
      <x:c r="J265" s="17" t="n">
        <x:v>5</x:v>
      </x:c>
      <x:c r="K265" s="17" t="n">
        <x:v>7.5</x:v>
      </x:c>
      <x:c r="L265" s="17" t="n">
        <x:v>0.5</x:v>
      </x:c>
      <x:c r="M265" s="11" t="str">
        <x:v>REJECT</x:v>
      </x:c>
      <x:c r="N265" s="11" t="n">
        <x:v>1</x:v>
      </x:c>
      <x:c r="O265" s="13" t="n">
        <x:v>0</x:v>
      </x:c>
      <x:c r="P265" s="11" t="str">
        <x:f>IF(AND(N265=1,L265&lt;=J265/4,K265&gt;J265+L265),"PASS","FAIL")</x:f>
        <x:v>PASS</x:v>
      </x:c>
      <x:c r="Q265" s="11" t="str">
        <x:f>IF(P265&lt;&gt;"PASS","FAIL",IF(O265=1,"PASS","OPEN"))</x:f>
        <x:v>OPEN</x:v>
      </x:c>
    </x:row>
    <x:row r="266">
      <x:c r="B266" s="11" t="str">
        <x:v>RA-SA6-11-B2-T3</x:v>
      </x:c>
      <x:c r="C266" s="11" t="str">
        <x:v>RA-SA6-11-B2</x:v>
      </x:c>
      <x:c r="D266" s="11" t="str">
        <x:v>SA6</x:v>
      </x:c>
      <x:c r="E266" s="11" t="str">
        <x:v>B</x:v>
      </x:c>
      <x:c r="F266" s="11" t="str">
        <x:v>T3</x:v>
      </x:c>
      <x:c r="G266" s="11" t="str">
        <x:v>decision boundary</x:v>
      </x:c>
      <x:c r="H266" s="11" t="str">
        <x:v>custody discrepancy</x:v>
      </x:c>
      <x:c r="I266" s="11" t="str">
        <x:v>kg</x:v>
      </x:c>
      <x:c r="J266" s="17" t="n">
        <x:v>5</x:v>
      </x:c>
      <x:c r="K266" s="17" t="n">
        <x:v>5</x:v>
      </x:c>
      <x:c r="L266" s="17" t="n">
        <x:v>0.5</x:v>
      </x:c>
      <x:c r="M266" s="11" t="str">
        <x:v>INDETERMINATE</x:v>
      </x:c>
      <x:c r="N266" s="11" t="n">
        <x:v>1</x:v>
      </x:c>
      <x:c r="O266" s="13" t="n">
        <x:v>0</x:v>
      </x:c>
      <x:c r="P266" s="11" t="str">
        <x:f>IF(AND(N266=1,L266&lt;=J266/4,ABS(K266-J266)&lt;=L266),"PASS","FAIL")</x:f>
        <x:v>PASS</x:v>
      </x:c>
      <x:c r="Q266" s="11" t="str">
        <x:f>IF(P266&lt;&gt;"PASS","FAIL",IF(O266=1,"PASS","OPEN"))</x:f>
        <x:v>OPEN</x:v>
      </x:c>
    </x:row>
    <x:row r="267">
      <x:c r="B267" s="11" t="str">
        <x:v>RA-SA6-11-B3-T0</x:v>
      </x:c>
      <x:c r="C267" s="11" t="str">
        <x:v>RA-SA6-11-B3</x:v>
      </x:c>
      <x:c r="D267" s="11" t="str">
        <x:v>SA6</x:v>
      </x:c>
      <x:c r="E267" s="11" t="str">
        <x:v>B</x:v>
      </x:c>
      <x:c r="F267" s="11" t="str">
        <x:v>T0</x:v>
      </x:c>
      <x:c r="G267" s="11" t="str">
        <x:v>datum and blank</x:v>
      </x:c>
      <x:c r="H267" s="11" t="str">
        <x:v>custody discrepancy</x:v>
      </x:c>
      <x:c r="I267" s="11" t="str">
        <x:v>kg</x:v>
      </x:c>
      <x:c r="J267" s="17" t="n">
        <x:v>5</x:v>
      </x:c>
      <x:c r="K267" s="17" t="n">
        <x:v>0</x:v>
      </x:c>
      <x:c r="L267" s="17" t="n">
        <x:v>0.5</x:v>
      </x:c>
      <x:c r="M267" s="11" t="str">
        <x:v>ACCEPT</x:v>
      </x:c>
      <x:c r="N267" s="11" t="n">
        <x:v>1</x:v>
      </x:c>
      <x:c r="O267" s="13" t="n">
        <x:v>0</x:v>
      </x:c>
      <x:c r="P267" s="11" t="str">
        <x:f>IF(AND(N267=1,L267&lt;=J267/4,K267=0),"PASS","FAIL")</x:f>
        <x:v>PASS</x:v>
      </x:c>
      <x:c r="Q267" s="11" t="str">
        <x:f>IF(P267&lt;&gt;"PASS","FAIL",IF(O267=1,"PASS","OPEN"))</x:f>
        <x:v>OPEN</x:v>
      </x:c>
    </x:row>
    <x:row r="268">
      <x:c r="B268" s="11" t="str">
        <x:v>RA-SA6-11-B3-T1</x:v>
      </x:c>
      <x:c r="C268" s="11" t="str">
        <x:v>RA-SA6-11-B3</x:v>
      </x:c>
      <x:c r="D268" s="11" t="str">
        <x:v>SA6</x:v>
      </x:c>
      <x:c r="E268" s="11" t="str">
        <x:v>B</x:v>
      </x:c>
      <x:c r="F268" s="11" t="str">
        <x:v>T1</x:v>
      </x:c>
      <x:c r="G268" s="11" t="str">
        <x:v>known compliant</x:v>
      </x:c>
      <x:c r="H268" s="11" t="str">
        <x:v>custody discrepancy</x:v>
      </x:c>
      <x:c r="I268" s="11" t="str">
        <x:v>kg</x:v>
      </x:c>
      <x:c r="J268" s="17" t="n">
        <x:v>5</x:v>
      </x:c>
      <x:c r="K268" s="17" t="n">
        <x:v>2.5</x:v>
      </x:c>
      <x:c r="L268" s="17" t="n">
        <x:v>0.5</x:v>
      </x:c>
      <x:c r="M268" s="11" t="str">
        <x:v>ACCEPT</x:v>
      </x:c>
      <x:c r="N268" s="11" t="n">
        <x:v>1</x:v>
      </x:c>
      <x:c r="O268" s="13" t="n">
        <x:v>0</x:v>
      </x:c>
      <x:c r="P268" s="11" t="str">
        <x:f>IF(AND(N268=1,L268&lt;=J268/4,K268&lt;J268-L268),"PASS","FAIL")</x:f>
        <x:v>PASS</x:v>
      </x:c>
      <x:c r="Q268" s="11" t="str">
        <x:f>IF(P268&lt;&gt;"PASS","FAIL",IF(O268=1,"PASS","OPEN"))</x:f>
        <x:v>OPEN</x:v>
      </x:c>
    </x:row>
    <x:row r="269">
      <x:c r="B269" s="11" t="str">
        <x:v>RA-SA6-11-B3-T2</x:v>
      </x:c>
      <x:c r="C269" s="11" t="str">
        <x:v>RA-SA6-11-B3</x:v>
      </x:c>
      <x:c r="D269" s="11" t="str">
        <x:v>SA6</x:v>
      </x:c>
      <x:c r="E269" s="11" t="str">
        <x:v>B</x:v>
      </x:c>
      <x:c r="F269" s="11" t="str">
        <x:v>T2</x:v>
      </x:c>
      <x:c r="G269" s="11" t="str">
        <x:v>known nonconforming</x:v>
      </x:c>
      <x:c r="H269" s="11" t="str">
        <x:v>custody discrepancy</x:v>
      </x:c>
      <x:c r="I269" s="11" t="str">
        <x:v>kg</x:v>
      </x:c>
      <x:c r="J269" s="17" t="n">
        <x:v>5</x:v>
      </x:c>
      <x:c r="K269" s="17" t="n">
        <x:v>7.5</x:v>
      </x:c>
      <x:c r="L269" s="17" t="n">
        <x:v>0.5</x:v>
      </x:c>
      <x:c r="M269" s="11" t="str">
        <x:v>REJECT</x:v>
      </x:c>
      <x:c r="N269" s="11" t="n">
        <x:v>1</x:v>
      </x:c>
      <x:c r="O269" s="13" t="n">
        <x:v>0</x:v>
      </x:c>
      <x:c r="P269" s="11" t="str">
        <x:f>IF(AND(N269=1,L269&lt;=J269/4,K269&gt;J269+L269),"PASS","FAIL")</x:f>
        <x:v>PASS</x:v>
      </x:c>
      <x:c r="Q269" s="11" t="str">
        <x:f>IF(P269&lt;&gt;"PASS","FAIL",IF(O269=1,"PASS","OPEN"))</x:f>
        <x:v>OPEN</x:v>
      </x:c>
    </x:row>
    <x:row r="270">
      <x:c r="B270" s="11" t="str">
        <x:v>RA-SA6-11-B3-T3</x:v>
      </x:c>
      <x:c r="C270" s="11" t="str">
        <x:v>RA-SA6-11-B3</x:v>
      </x:c>
      <x:c r="D270" s="11" t="str">
        <x:v>SA6</x:v>
      </x:c>
      <x:c r="E270" s="11" t="str">
        <x:v>B</x:v>
      </x:c>
      <x:c r="F270" s="11" t="str">
        <x:v>T3</x:v>
      </x:c>
      <x:c r="G270" s="11" t="str">
        <x:v>decision boundary</x:v>
      </x:c>
      <x:c r="H270" s="11" t="str">
        <x:v>custody discrepancy</x:v>
      </x:c>
      <x:c r="I270" s="11" t="str">
        <x:v>kg</x:v>
      </x:c>
      <x:c r="J270" s="17" t="n">
        <x:v>5</x:v>
      </x:c>
      <x:c r="K270" s="17" t="n">
        <x:v>5</x:v>
      </x:c>
      <x:c r="L270" s="17" t="n">
        <x:v>0.5</x:v>
      </x:c>
      <x:c r="M270" s="11" t="str">
        <x:v>INDETERMINATE</x:v>
      </x:c>
      <x:c r="N270" s="11" t="n">
        <x:v>1</x:v>
      </x:c>
      <x:c r="O270" s="13" t="n">
        <x:v>0</x:v>
      </x:c>
      <x:c r="P270" s="11" t="str">
        <x:f>IF(AND(N270=1,L270&lt;=J270/4,ABS(K270-J270)&lt;=L270),"PASS","FAIL")</x:f>
        <x:v>PASS</x:v>
      </x:c>
      <x:c r="Q270" s="11" t="str">
        <x:f>IF(P270&lt;&gt;"PASS","FAIL",IF(O270=1,"PASS","OPEN"))</x:f>
        <x:v>OPEN</x:v>
      </x:c>
    </x:row>
    <x:row r="271">
      <x:c r="B271" s="11" t="str">
        <x:v>RA-SA6-12-A1-T0</x:v>
      </x:c>
      <x:c r="C271" s="11" t="str">
        <x:v>RA-SA6-12-A1</x:v>
      </x:c>
      <x:c r="D271" s="11" t="str">
        <x:v>SA6</x:v>
      </x:c>
      <x:c r="E271" s="11" t="str">
        <x:v>A</x:v>
      </x:c>
      <x:c r="F271" s="11" t="str">
        <x:v>T0</x:v>
      </x:c>
      <x:c r="G271" s="11" t="str">
        <x:v>datum and blank</x:v>
      </x:c>
      <x:c r="H271" s="11" t="str">
        <x:v>custody discrepancy</x:v>
      </x:c>
      <x:c r="I271" s="11" t="str">
        <x:v>kg</x:v>
      </x:c>
      <x:c r="J271" s="17" t="n">
        <x:v>5</x:v>
      </x:c>
      <x:c r="K271" s="17" t="n">
        <x:v>0</x:v>
      </x:c>
      <x:c r="L271" s="17" t="n">
        <x:v>0.5</x:v>
      </x:c>
      <x:c r="M271" s="11" t="str">
        <x:v>ACCEPT</x:v>
      </x:c>
      <x:c r="N271" s="11" t="n">
        <x:v>1</x:v>
      </x:c>
      <x:c r="O271" s="13" t="n">
        <x:v>0</x:v>
      </x:c>
      <x:c r="P271" s="11" t="str">
        <x:f>IF(AND(N271=1,L271&lt;=J271/4,K271=0),"PASS","FAIL")</x:f>
        <x:v>PASS</x:v>
      </x:c>
      <x:c r="Q271" s="11" t="str">
        <x:f>IF(P271&lt;&gt;"PASS","FAIL",IF(O271=1,"PASS","OPEN"))</x:f>
        <x:v>OPEN</x:v>
      </x:c>
    </x:row>
    <x:row r="272">
      <x:c r="B272" s="11" t="str">
        <x:v>RA-SA6-12-A1-T1</x:v>
      </x:c>
      <x:c r="C272" s="11" t="str">
        <x:v>RA-SA6-12-A1</x:v>
      </x:c>
      <x:c r="D272" s="11" t="str">
        <x:v>SA6</x:v>
      </x:c>
      <x:c r="E272" s="11" t="str">
        <x:v>A</x:v>
      </x:c>
      <x:c r="F272" s="11" t="str">
        <x:v>T1</x:v>
      </x:c>
      <x:c r="G272" s="11" t="str">
        <x:v>known compliant</x:v>
      </x:c>
      <x:c r="H272" s="11" t="str">
        <x:v>custody discrepancy</x:v>
      </x:c>
      <x:c r="I272" s="11" t="str">
        <x:v>kg</x:v>
      </x:c>
      <x:c r="J272" s="17" t="n">
        <x:v>5</x:v>
      </x:c>
      <x:c r="K272" s="17" t="n">
        <x:v>2.5</x:v>
      </x:c>
      <x:c r="L272" s="17" t="n">
        <x:v>0.5</x:v>
      </x:c>
      <x:c r="M272" s="11" t="str">
        <x:v>ACCEPT</x:v>
      </x:c>
      <x:c r="N272" s="11" t="n">
        <x:v>1</x:v>
      </x:c>
      <x:c r="O272" s="13" t="n">
        <x:v>0</x:v>
      </x:c>
      <x:c r="P272" s="11" t="str">
        <x:f>IF(AND(N272=1,L272&lt;=J272/4,K272&lt;J272-L272),"PASS","FAIL")</x:f>
        <x:v>PASS</x:v>
      </x:c>
      <x:c r="Q272" s="11" t="str">
        <x:f>IF(P272&lt;&gt;"PASS","FAIL",IF(O272=1,"PASS","OPEN"))</x:f>
        <x:v>OPEN</x:v>
      </x:c>
    </x:row>
    <x:row r="273">
      <x:c r="B273" s="11" t="str">
        <x:v>RA-SA6-12-A1-T2</x:v>
      </x:c>
      <x:c r="C273" s="11" t="str">
        <x:v>RA-SA6-12-A1</x:v>
      </x:c>
      <x:c r="D273" s="11" t="str">
        <x:v>SA6</x:v>
      </x:c>
      <x:c r="E273" s="11" t="str">
        <x:v>A</x:v>
      </x:c>
      <x:c r="F273" s="11" t="str">
        <x:v>T2</x:v>
      </x:c>
      <x:c r="G273" s="11" t="str">
        <x:v>known nonconforming</x:v>
      </x:c>
      <x:c r="H273" s="11" t="str">
        <x:v>custody discrepancy</x:v>
      </x:c>
      <x:c r="I273" s="11" t="str">
        <x:v>kg</x:v>
      </x:c>
      <x:c r="J273" s="17" t="n">
        <x:v>5</x:v>
      </x:c>
      <x:c r="K273" s="17" t="n">
        <x:v>7.5</x:v>
      </x:c>
      <x:c r="L273" s="17" t="n">
        <x:v>0.5</x:v>
      </x:c>
      <x:c r="M273" s="11" t="str">
        <x:v>REJECT</x:v>
      </x:c>
      <x:c r="N273" s="11" t="n">
        <x:v>1</x:v>
      </x:c>
      <x:c r="O273" s="13" t="n">
        <x:v>0</x:v>
      </x:c>
      <x:c r="P273" s="11" t="str">
        <x:f>IF(AND(N273=1,L273&lt;=J273/4,K273&gt;J273+L273),"PASS","FAIL")</x:f>
        <x:v>PASS</x:v>
      </x:c>
      <x:c r="Q273" s="11" t="str">
        <x:f>IF(P273&lt;&gt;"PASS","FAIL",IF(O273=1,"PASS","OPEN"))</x:f>
        <x:v>OPEN</x:v>
      </x:c>
    </x:row>
    <x:row r="274">
      <x:c r="B274" s="11" t="str">
        <x:v>RA-SA6-12-A1-T3</x:v>
      </x:c>
      <x:c r="C274" s="11" t="str">
        <x:v>RA-SA6-12-A1</x:v>
      </x:c>
      <x:c r="D274" s="11" t="str">
        <x:v>SA6</x:v>
      </x:c>
      <x:c r="E274" s="11" t="str">
        <x:v>A</x:v>
      </x:c>
      <x:c r="F274" s="11" t="str">
        <x:v>T3</x:v>
      </x:c>
      <x:c r="G274" s="11" t="str">
        <x:v>decision boundary</x:v>
      </x:c>
      <x:c r="H274" s="11" t="str">
        <x:v>custody discrepancy</x:v>
      </x:c>
      <x:c r="I274" s="11" t="str">
        <x:v>kg</x:v>
      </x:c>
      <x:c r="J274" s="17" t="n">
        <x:v>5</x:v>
      </x:c>
      <x:c r="K274" s="17" t="n">
        <x:v>5</x:v>
      </x:c>
      <x:c r="L274" s="17" t="n">
        <x:v>0.5</x:v>
      </x:c>
      <x:c r="M274" s="11" t="str">
        <x:v>INDETERMINATE</x:v>
      </x:c>
      <x:c r="N274" s="11" t="n">
        <x:v>1</x:v>
      </x:c>
      <x:c r="O274" s="13" t="n">
        <x:v>0</x:v>
      </x:c>
      <x:c r="P274" s="11" t="str">
        <x:f>IF(AND(N274=1,L274&lt;=J274/4,ABS(K274-J274)&lt;=L274),"PASS","FAIL")</x:f>
        <x:v>PASS</x:v>
      </x:c>
      <x:c r="Q274" s="11" t="str">
        <x:f>IF(P274&lt;&gt;"PASS","FAIL",IF(O274=1,"PASS","OPEN"))</x:f>
        <x:v>OPEN</x:v>
      </x:c>
    </x:row>
    <x:row r="275">
      <x:c r="B275" s="11" t="str">
        <x:v>RA-SA6-12-A2-T0</x:v>
      </x:c>
      <x:c r="C275" s="11" t="str">
        <x:v>RA-SA6-12-A2</x:v>
      </x:c>
      <x:c r="D275" s="11" t="str">
        <x:v>SA6</x:v>
      </x:c>
      <x:c r="E275" s="11" t="str">
        <x:v>A</x:v>
      </x:c>
      <x:c r="F275" s="11" t="str">
        <x:v>T0</x:v>
      </x:c>
      <x:c r="G275" s="11" t="str">
        <x:v>datum and blank</x:v>
      </x:c>
      <x:c r="H275" s="11" t="str">
        <x:v>custody discrepancy</x:v>
      </x:c>
      <x:c r="I275" s="11" t="str">
        <x:v>kg</x:v>
      </x:c>
      <x:c r="J275" s="17" t="n">
        <x:v>5</x:v>
      </x:c>
      <x:c r="K275" s="17" t="n">
        <x:v>0</x:v>
      </x:c>
      <x:c r="L275" s="17" t="n">
        <x:v>0.5</x:v>
      </x:c>
      <x:c r="M275" s="11" t="str">
        <x:v>ACCEPT</x:v>
      </x:c>
      <x:c r="N275" s="11" t="n">
        <x:v>1</x:v>
      </x:c>
      <x:c r="O275" s="13" t="n">
        <x:v>0</x:v>
      </x:c>
      <x:c r="P275" s="11" t="str">
        <x:f>IF(AND(N275=1,L275&lt;=J275/4,K275=0),"PASS","FAIL")</x:f>
        <x:v>PASS</x:v>
      </x:c>
      <x:c r="Q275" s="11" t="str">
        <x:f>IF(P275&lt;&gt;"PASS","FAIL",IF(O275=1,"PASS","OPEN"))</x:f>
        <x:v>OPEN</x:v>
      </x:c>
    </x:row>
    <x:row r="276">
      <x:c r="B276" s="11" t="str">
        <x:v>RA-SA6-12-A2-T1</x:v>
      </x:c>
      <x:c r="C276" s="11" t="str">
        <x:v>RA-SA6-12-A2</x:v>
      </x:c>
      <x:c r="D276" s="11" t="str">
        <x:v>SA6</x:v>
      </x:c>
      <x:c r="E276" s="11" t="str">
        <x:v>A</x:v>
      </x:c>
      <x:c r="F276" s="11" t="str">
        <x:v>T1</x:v>
      </x:c>
      <x:c r="G276" s="11" t="str">
        <x:v>known compliant</x:v>
      </x:c>
      <x:c r="H276" s="11" t="str">
        <x:v>custody discrepancy</x:v>
      </x:c>
      <x:c r="I276" s="11" t="str">
        <x:v>kg</x:v>
      </x:c>
      <x:c r="J276" s="17" t="n">
        <x:v>5</x:v>
      </x:c>
      <x:c r="K276" s="17" t="n">
        <x:v>2.5</x:v>
      </x:c>
      <x:c r="L276" s="17" t="n">
        <x:v>0.5</x:v>
      </x:c>
      <x:c r="M276" s="11" t="str">
        <x:v>ACCEPT</x:v>
      </x:c>
      <x:c r="N276" s="11" t="n">
        <x:v>1</x:v>
      </x:c>
      <x:c r="O276" s="13" t="n">
        <x:v>0</x:v>
      </x:c>
      <x:c r="P276" s="11" t="str">
        <x:f>IF(AND(N276=1,L276&lt;=J276/4,K276&lt;J276-L276),"PASS","FAIL")</x:f>
        <x:v>PASS</x:v>
      </x:c>
      <x:c r="Q276" s="11" t="str">
        <x:f>IF(P276&lt;&gt;"PASS","FAIL",IF(O276=1,"PASS","OPEN"))</x:f>
        <x:v>OPEN</x:v>
      </x:c>
    </x:row>
    <x:row r="277">
      <x:c r="B277" s="11" t="str">
        <x:v>RA-SA6-12-A2-T2</x:v>
      </x:c>
      <x:c r="C277" s="11" t="str">
        <x:v>RA-SA6-12-A2</x:v>
      </x:c>
      <x:c r="D277" s="11" t="str">
        <x:v>SA6</x:v>
      </x:c>
      <x:c r="E277" s="11" t="str">
        <x:v>A</x:v>
      </x:c>
      <x:c r="F277" s="11" t="str">
        <x:v>T2</x:v>
      </x:c>
      <x:c r="G277" s="11" t="str">
        <x:v>known nonconforming</x:v>
      </x:c>
      <x:c r="H277" s="11" t="str">
        <x:v>custody discrepancy</x:v>
      </x:c>
      <x:c r="I277" s="11" t="str">
        <x:v>kg</x:v>
      </x:c>
      <x:c r="J277" s="17" t="n">
        <x:v>5</x:v>
      </x:c>
      <x:c r="K277" s="17" t="n">
        <x:v>7.5</x:v>
      </x:c>
      <x:c r="L277" s="17" t="n">
        <x:v>0.5</x:v>
      </x:c>
      <x:c r="M277" s="11" t="str">
        <x:v>REJECT</x:v>
      </x:c>
      <x:c r="N277" s="11" t="n">
        <x:v>1</x:v>
      </x:c>
      <x:c r="O277" s="13" t="n">
        <x:v>0</x:v>
      </x:c>
      <x:c r="P277" s="11" t="str">
        <x:f>IF(AND(N277=1,L277&lt;=J277/4,K277&gt;J277+L277),"PASS","FAIL")</x:f>
        <x:v>PASS</x:v>
      </x:c>
      <x:c r="Q277" s="11" t="str">
        <x:f>IF(P277&lt;&gt;"PASS","FAIL",IF(O277=1,"PASS","OPEN"))</x:f>
        <x:v>OPEN</x:v>
      </x:c>
    </x:row>
    <x:row r="278">
      <x:c r="B278" s="11" t="str">
        <x:v>RA-SA6-12-A2-T3</x:v>
      </x:c>
      <x:c r="C278" s="11" t="str">
        <x:v>RA-SA6-12-A2</x:v>
      </x:c>
      <x:c r="D278" s="11" t="str">
        <x:v>SA6</x:v>
      </x:c>
      <x:c r="E278" s="11" t="str">
        <x:v>A</x:v>
      </x:c>
      <x:c r="F278" s="11" t="str">
        <x:v>T3</x:v>
      </x:c>
      <x:c r="G278" s="11" t="str">
        <x:v>decision boundary</x:v>
      </x:c>
      <x:c r="H278" s="11" t="str">
        <x:v>custody discrepancy</x:v>
      </x:c>
      <x:c r="I278" s="11" t="str">
        <x:v>kg</x:v>
      </x:c>
      <x:c r="J278" s="17" t="n">
        <x:v>5</x:v>
      </x:c>
      <x:c r="K278" s="17" t="n">
        <x:v>5</x:v>
      </x:c>
      <x:c r="L278" s="17" t="n">
        <x:v>0.5</x:v>
      </x:c>
      <x:c r="M278" s="11" t="str">
        <x:v>INDETERMINATE</x:v>
      </x:c>
      <x:c r="N278" s="11" t="n">
        <x:v>1</x:v>
      </x:c>
      <x:c r="O278" s="13" t="n">
        <x:v>0</x:v>
      </x:c>
      <x:c r="P278" s="11" t="str">
        <x:f>IF(AND(N278=1,L278&lt;=J278/4,ABS(K278-J278)&lt;=L278),"PASS","FAIL")</x:f>
        <x:v>PASS</x:v>
      </x:c>
      <x:c r="Q278" s="11" t="str">
        <x:f>IF(P278&lt;&gt;"PASS","FAIL",IF(O278=1,"PASS","OPEN"))</x:f>
        <x:v>OPEN</x:v>
      </x:c>
    </x:row>
    <x:row r="279">
      <x:c r="B279" s="11" t="str">
        <x:v>RA-SA6-12-A3-T0</x:v>
      </x:c>
      <x:c r="C279" s="11" t="str">
        <x:v>RA-SA6-12-A3</x:v>
      </x:c>
      <x:c r="D279" s="11" t="str">
        <x:v>SA6</x:v>
      </x:c>
      <x:c r="E279" s="11" t="str">
        <x:v>A</x:v>
      </x:c>
      <x:c r="F279" s="11" t="str">
        <x:v>T0</x:v>
      </x:c>
      <x:c r="G279" s="11" t="str">
        <x:v>datum and blank</x:v>
      </x:c>
      <x:c r="H279" s="11" t="str">
        <x:v>custody discrepancy</x:v>
      </x:c>
      <x:c r="I279" s="11" t="str">
        <x:v>kg</x:v>
      </x:c>
      <x:c r="J279" s="17" t="n">
        <x:v>5</x:v>
      </x:c>
      <x:c r="K279" s="17" t="n">
        <x:v>0</x:v>
      </x:c>
      <x:c r="L279" s="17" t="n">
        <x:v>0.5</x:v>
      </x:c>
      <x:c r="M279" s="11" t="str">
        <x:v>ACCEPT</x:v>
      </x:c>
      <x:c r="N279" s="11" t="n">
        <x:v>1</x:v>
      </x:c>
      <x:c r="O279" s="13" t="n">
        <x:v>0</x:v>
      </x:c>
      <x:c r="P279" s="11" t="str">
        <x:f>IF(AND(N279=1,L279&lt;=J279/4,K279=0),"PASS","FAIL")</x:f>
        <x:v>PASS</x:v>
      </x:c>
      <x:c r="Q279" s="11" t="str">
        <x:f>IF(P279&lt;&gt;"PASS","FAIL",IF(O279=1,"PASS","OPEN"))</x:f>
        <x:v>OPEN</x:v>
      </x:c>
    </x:row>
    <x:row r="280">
      <x:c r="B280" s="11" t="str">
        <x:v>RA-SA6-12-A3-T1</x:v>
      </x:c>
      <x:c r="C280" s="11" t="str">
        <x:v>RA-SA6-12-A3</x:v>
      </x:c>
      <x:c r="D280" s="11" t="str">
        <x:v>SA6</x:v>
      </x:c>
      <x:c r="E280" s="11" t="str">
        <x:v>A</x:v>
      </x:c>
      <x:c r="F280" s="11" t="str">
        <x:v>T1</x:v>
      </x:c>
      <x:c r="G280" s="11" t="str">
        <x:v>known compliant</x:v>
      </x:c>
      <x:c r="H280" s="11" t="str">
        <x:v>custody discrepancy</x:v>
      </x:c>
      <x:c r="I280" s="11" t="str">
        <x:v>kg</x:v>
      </x:c>
      <x:c r="J280" s="17" t="n">
        <x:v>5</x:v>
      </x:c>
      <x:c r="K280" s="17" t="n">
        <x:v>2.5</x:v>
      </x:c>
      <x:c r="L280" s="17" t="n">
        <x:v>0.5</x:v>
      </x:c>
      <x:c r="M280" s="11" t="str">
        <x:v>ACCEPT</x:v>
      </x:c>
      <x:c r="N280" s="11" t="n">
        <x:v>1</x:v>
      </x:c>
      <x:c r="O280" s="13" t="n">
        <x:v>0</x:v>
      </x:c>
      <x:c r="P280" s="11" t="str">
        <x:f>IF(AND(N280=1,L280&lt;=J280/4,K280&lt;J280-L280),"PASS","FAIL")</x:f>
        <x:v>PASS</x:v>
      </x:c>
      <x:c r="Q280" s="11" t="str">
        <x:f>IF(P280&lt;&gt;"PASS","FAIL",IF(O280=1,"PASS","OPEN"))</x:f>
        <x:v>OPEN</x:v>
      </x:c>
    </x:row>
    <x:row r="281">
      <x:c r="B281" s="11" t="str">
        <x:v>RA-SA6-12-A3-T2</x:v>
      </x:c>
      <x:c r="C281" s="11" t="str">
        <x:v>RA-SA6-12-A3</x:v>
      </x:c>
      <x:c r="D281" s="11" t="str">
        <x:v>SA6</x:v>
      </x:c>
      <x:c r="E281" s="11" t="str">
        <x:v>A</x:v>
      </x:c>
      <x:c r="F281" s="11" t="str">
        <x:v>T2</x:v>
      </x:c>
      <x:c r="G281" s="11" t="str">
        <x:v>known nonconforming</x:v>
      </x:c>
      <x:c r="H281" s="11" t="str">
        <x:v>custody discrepancy</x:v>
      </x:c>
      <x:c r="I281" s="11" t="str">
        <x:v>kg</x:v>
      </x:c>
      <x:c r="J281" s="17" t="n">
        <x:v>5</x:v>
      </x:c>
      <x:c r="K281" s="17" t="n">
        <x:v>7.5</x:v>
      </x:c>
      <x:c r="L281" s="17" t="n">
        <x:v>0.5</x:v>
      </x:c>
      <x:c r="M281" s="11" t="str">
        <x:v>REJECT</x:v>
      </x:c>
      <x:c r="N281" s="11" t="n">
        <x:v>1</x:v>
      </x:c>
      <x:c r="O281" s="13" t="n">
        <x:v>0</x:v>
      </x:c>
      <x:c r="P281" s="11" t="str">
        <x:f>IF(AND(N281=1,L281&lt;=J281/4,K281&gt;J281+L281),"PASS","FAIL")</x:f>
        <x:v>PASS</x:v>
      </x:c>
      <x:c r="Q281" s="11" t="str">
        <x:f>IF(P281&lt;&gt;"PASS","FAIL",IF(O281=1,"PASS","OPEN"))</x:f>
        <x:v>OPEN</x:v>
      </x:c>
    </x:row>
    <x:row r="282">
      <x:c r="B282" s="11" t="str">
        <x:v>RA-SA6-12-A3-T3</x:v>
      </x:c>
      <x:c r="C282" s="11" t="str">
        <x:v>RA-SA6-12-A3</x:v>
      </x:c>
      <x:c r="D282" s="11" t="str">
        <x:v>SA6</x:v>
      </x:c>
      <x:c r="E282" s="11" t="str">
        <x:v>A</x:v>
      </x:c>
      <x:c r="F282" s="11" t="str">
        <x:v>T3</x:v>
      </x:c>
      <x:c r="G282" s="11" t="str">
        <x:v>decision boundary</x:v>
      </x:c>
      <x:c r="H282" s="11" t="str">
        <x:v>custody discrepancy</x:v>
      </x:c>
      <x:c r="I282" s="11" t="str">
        <x:v>kg</x:v>
      </x:c>
      <x:c r="J282" s="17" t="n">
        <x:v>5</x:v>
      </x:c>
      <x:c r="K282" s="17" t="n">
        <x:v>5</x:v>
      </x:c>
      <x:c r="L282" s="17" t="n">
        <x:v>0.5</x:v>
      </x:c>
      <x:c r="M282" s="11" t="str">
        <x:v>INDETERMINATE</x:v>
      </x:c>
      <x:c r="N282" s="11" t="n">
        <x:v>1</x:v>
      </x:c>
      <x:c r="O282" s="13" t="n">
        <x:v>0</x:v>
      </x:c>
      <x:c r="P282" s="11" t="str">
        <x:f>IF(AND(N282=1,L282&lt;=J282/4,ABS(K282-J282)&lt;=L282),"PASS","FAIL")</x:f>
        <x:v>PASS</x:v>
      </x:c>
      <x:c r="Q282" s="11" t="str">
        <x:f>IF(P282&lt;&gt;"PASS","FAIL",IF(O282=1,"PASS","OPEN"))</x:f>
        <x:v>OPEN</x:v>
      </x:c>
    </x:row>
    <x:row r="283">
      <x:c r="B283" s="11" t="str">
        <x:v>RA-SA6-12-B1-T0</x:v>
      </x:c>
      <x:c r="C283" s="11" t="str">
        <x:v>RA-SA6-12-B1</x:v>
      </x:c>
      <x:c r="D283" s="11" t="str">
        <x:v>SA6</x:v>
      </x:c>
      <x:c r="E283" s="11" t="str">
        <x:v>B</x:v>
      </x:c>
      <x:c r="F283" s="11" t="str">
        <x:v>T0</x:v>
      </x:c>
      <x:c r="G283" s="11" t="str">
        <x:v>datum and blank</x:v>
      </x:c>
      <x:c r="H283" s="11" t="str">
        <x:v>custody discrepancy</x:v>
      </x:c>
      <x:c r="I283" s="11" t="str">
        <x:v>kg</x:v>
      </x:c>
      <x:c r="J283" s="17" t="n">
        <x:v>5</x:v>
      </x:c>
      <x:c r="K283" s="17" t="n">
        <x:v>0</x:v>
      </x:c>
      <x:c r="L283" s="17" t="n">
        <x:v>0.5</x:v>
      </x:c>
      <x:c r="M283" s="11" t="str">
        <x:v>ACCEPT</x:v>
      </x:c>
      <x:c r="N283" s="11" t="n">
        <x:v>1</x:v>
      </x:c>
      <x:c r="O283" s="13" t="n">
        <x:v>0</x:v>
      </x:c>
      <x:c r="P283" s="11" t="str">
        <x:f>IF(AND(N283=1,L283&lt;=J283/4,K283=0),"PASS","FAIL")</x:f>
        <x:v>PASS</x:v>
      </x:c>
      <x:c r="Q283" s="11" t="str">
        <x:f>IF(P283&lt;&gt;"PASS","FAIL",IF(O283=1,"PASS","OPEN"))</x:f>
        <x:v>OPEN</x:v>
      </x:c>
    </x:row>
    <x:row r="284">
      <x:c r="B284" s="11" t="str">
        <x:v>RA-SA6-12-B1-T1</x:v>
      </x:c>
      <x:c r="C284" s="11" t="str">
        <x:v>RA-SA6-12-B1</x:v>
      </x:c>
      <x:c r="D284" s="11" t="str">
        <x:v>SA6</x:v>
      </x:c>
      <x:c r="E284" s="11" t="str">
        <x:v>B</x:v>
      </x:c>
      <x:c r="F284" s="11" t="str">
        <x:v>T1</x:v>
      </x:c>
      <x:c r="G284" s="11" t="str">
        <x:v>known compliant</x:v>
      </x:c>
      <x:c r="H284" s="11" t="str">
        <x:v>custody discrepancy</x:v>
      </x:c>
      <x:c r="I284" s="11" t="str">
        <x:v>kg</x:v>
      </x:c>
      <x:c r="J284" s="17" t="n">
        <x:v>5</x:v>
      </x:c>
      <x:c r="K284" s="17" t="n">
        <x:v>2.5</x:v>
      </x:c>
      <x:c r="L284" s="17" t="n">
        <x:v>0.5</x:v>
      </x:c>
      <x:c r="M284" s="11" t="str">
        <x:v>ACCEPT</x:v>
      </x:c>
      <x:c r="N284" s="11" t="n">
        <x:v>1</x:v>
      </x:c>
      <x:c r="O284" s="13" t="n">
        <x:v>0</x:v>
      </x:c>
      <x:c r="P284" s="11" t="str">
        <x:f>IF(AND(N284=1,L284&lt;=J284/4,K284&lt;J284-L284),"PASS","FAIL")</x:f>
        <x:v>PASS</x:v>
      </x:c>
      <x:c r="Q284" s="11" t="str">
        <x:f>IF(P284&lt;&gt;"PASS","FAIL",IF(O284=1,"PASS","OPEN"))</x:f>
        <x:v>OPEN</x:v>
      </x:c>
    </x:row>
    <x:row r="285">
      <x:c r="B285" s="11" t="str">
        <x:v>RA-SA6-12-B1-T2</x:v>
      </x:c>
      <x:c r="C285" s="11" t="str">
        <x:v>RA-SA6-12-B1</x:v>
      </x:c>
      <x:c r="D285" s="11" t="str">
        <x:v>SA6</x:v>
      </x:c>
      <x:c r="E285" s="11" t="str">
        <x:v>B</x:v>
      </x:c>
      <x:c r="F285" s="11" t="str">
        <x:v>T2</x:v>
      </x:c>
      <x:c r="G285" s="11" t="str">
        <x:v>known nonconforming</x:v>
      </x:c>
      <x:c r="H285" s="11" t="str">
        <x:v>custody discrepancy</x:v>
      </x:c>
      <x:c r="I285" s="11" t="str">
        <x:v>kg</x:v>
      </x:c>
      <x:c r="J285" s="17" t="n">
        <x:v>5</x:v>
      </x:c>
      <x:c r="K285" s="17" t="n">
        <x:v>7.5</x:v>
      </x:c>
      <x:c r="L285" s="17" t="n">
        <x:v>0.5</x:v>
      </x:c>
      <x:c r="M285" s="11" t="str">
        <x:v>REJECT</x:v>
      </x:c>
      <x:c r="N285" s="11" t="n">
        <x:v>1</x:v>
      </x:c>
      <x:c r="O285" s="13" t="n">
        <x:v>0</x:v>
      </x:c>
      <x:c r="P285" s="11" t="str">
        <x:f>IF(AND(N285=1,L285&lt;=J285/4,K285&gt;J285+L285),"PASS","FAIL")</x:f>
        <x:v>PASS</x:v>
      </x:c>
      <x:c r="Q285" s="11" t="str">
        <x:f>IF(P285&lt;&gt;"PASS","FAIL",IF(O285=1,"PASS","OPEN"))</x:f>
        <x:v>OPEN</x:v>
      </x:c>
    </x:row>
    <x:row r="286">
      <x:c r="B286" s="11" t="str">
        <x:v>RA-SA6-12-B1-T3</x:v>
      </x:c>
      <x:c r="C286" s="11" t="str">
        <x:v>RA-SA6-12-B1</x:v>
      </x:c>
      <x:c r="D286" s="11" t="str">
        <x:v>SA6</x:v>
      </x:c>
      <x:c r="E286" s="11" t="str">
        <x:v>B</x:v>
      </x:c>
      <x:c r="F286" s="11" t="str">
        <x:v>T3</x:v>
      </x:c>
      <x:c r="G286" s="11" t="str">
        <x:v>decision boundary</x:v>
      </x:c>
      <x:c r="H286" s="11" t="str">
        <x:v>custody discrepancy</x:v>
      </x:c>
      <x:c r="I286" s="11" t="str">
        <x:v>kg</x:v>
      </x:c>
      <x:c r="J286" s="17" t="n">
        <x:v>5</x:v>
      </x:c>
      <x:c r="K286" s="17" t="n">
        <x:v>5</x:v>
      </x:c>
      <x:c r="L286" s="17" t="n">
        <x:v>0.5</x:v>
      </x:c>
      <x:c r="M286" s="11" t="str">
        <x:v>INDETERMINATE</x:v>
      </x:c>
      <x:c r="N286" s="11" t="n">
        <x:v>1</x:v>
      </x:c>
      <x:c r="O286" s="13" t="n">
        <x:v>0</x:v>
      </x:c>
      <x:c r="P286" s="11" t="str">
        <x:f>IF(AND(N286=1,L286&lt;=J286/4,ABS(K286-J286)&lt;=L286),"PASS","FAIL")</x:f>
        <x:v>PASS</x:v>
      </x:c>
      <x:c r="Q286" s="11" t="str">
        <x:f>IF(P286&lt;&gt;"PASS","FAIL",IF(O286=1,"PASS","OPEN"))</x:f>
        <x:v>OPEN</x:v>
      </x:c>
    </x:row>
    <x:row r="287">
      <x:c r="B287" s="11" t="str">
        <x:v>RA-SA6-12-B2-T0</x:v>
      </x:c>
      <x:c r="C287" s="11" t="str">
        <x:v>RA-SA6-12-B2</x:v>
      </x:c>
      <x:c r="D287" s="11" t="str">
        <x:v>SA6</x:v>
      </x:c>
      <x:c r="E287" s="11" t="str">
        <x:v>B</x:v>
      </x:c>
      <x:c r="F287" s="11" t="str">
        <x:v>T0</x:v>
      </x:c>
      <x:c r="G287" s="11" t="str">
        <x:v>datum and blank</x:v>
      </x:c>
      <x:c r="H287" s="11" t="str">
        <x:v>custody discrepancy</x:v>
      </x:c>
      <x:c r="I287" s="11" t="str">
        <x:v>kg</x:v>
      </x:c>
      <x:c r="J287" s="17" t="n">
        <x:v>5</x:v>
      </x:c>
      <x:c r="K287" s="17" t="n">
        <x:v>0</x:v>
      </x:c>
      <x:c r="L287" s="17" t="n">
        <x:v>0.5</x:v>
      </x:c>
      <x:c r="M287" s="11" t="str">
        <x:v>ACCEPT</x:v>
      </x:c>
      <x:c r="N287" s="11" t="n">
        <x:v>1</x:v>
      </x:c>
      <x:c r="O287" s="13" t="n">
        <x:v>0</x:v>
      </x:c>
      <x:c r="P287" s="11" t="str">
        <x:f>IF(AND(N287=1,L287&lt;=J287/4,K287=0),"PASS","FAIL")</x:f>
        <x:v>PASS</x:v>
      </x:c>
      <x:c r="Q287" s="11" t="str">
        <x:f>IF(P287&lt;&gt;"PASS","FAIL",IF(O287=1,"PASS","OPEN"))</x:f>
        <x:v>OPEN</x:v>
      </x:c>
    </x:row>
    <x:row r="288">
      <x:c r="B288" s="11" t="str">
        <x:v>RA-SA6-12-B2-T1</x:v>
      </x:c>
      <x:c r="C288" s="11" t="str">
        <x:v>RA-SA6-12-B2</x:v>
      </x:c>
      <x:c r="D288" s="11" t="str">
        <x:v>SA6</x:v>
      </x:c>
      <x:c r="E288" s="11" t="str">
        <x:v>B</x:v>
      </x:c>
      <x:c r="F288" s="11" t="str">
        <x:v>T1</x:v>
      </x:c>
      <x:c r="G288" s="11" t="str">
        <x:v>known compliant</x:v>
      </x:c>
      <x:c r="H288" s="11" t="str">
        <x:v>custody discrepancy</x:v>
      </x:c>
      <x:c r="I288" s="11" t="str">
        <x:v>kg</x:v>
      </x:c>
      <x:c r="J288" s="17" t="n">
        <x:v>5</x:v>
      </x:c>
      <x:c r="K288" s="17" t="n">
        <x:v>2.5</x:v>
      </x:c>
      <x:c r="L288" s="17" t="n">
        <x:v>0.5</x:v>
      </x:c>
      <x:c r="M288" s="11" t="str">
        <x:v>ACCEPT</x:v>
      </x:c>
      <x:c r="N288" s="11" t="n">
        <x:v>1</x:v>
      </x:c>
      <x:c r="O288" s="13" t="n">
        <x:v>0</x:v>
      </x:c>
      <x:c r="P288" s="11" t="str">
        <x:f>IF(AND(N288=1,L288&lt;=J288/4,K288&lt;J288-L288),"PASS","FAIL")</x:f>
        <x:v>PASS</x:v>
      </x:c>
      <x:c r="Q288" s="11" t="str">
        <x:f>IF(P288&lt;&gt;"PASS","FAIL",IF(O288=1,"PASS","OPEN"))</x:f>
        <x:v>OPEN</x:v>
      </x:c>
    </x:row>
    <x:row r="289">
      <x:c r="B289" s="11" t="str">
        <x:v>RA-SA6-12-B2-T2</x:v>
      </x:c>
      <x:c r="C289" s="11" t="str">
        <x:v>RA-SA6-12-B2</x:v>
      </x:c>
      <x:c r="D289" s="11" t="str">
        <x:v>SA6</x:v>
      </x:c>
      <x:c r="E289" s="11" t="str">
        <x:v>B</x:v>
      </x:c>
      <x:c r="F289" s="11" t="str">
        <x:v>T2</x:v>
      </x:c>
      <x:c r="G289" s="11" t="str">
        <x:v>known nonconforming</x:v>
      </x:c>
      <x:c r="H289" s="11" t="str">
        <x:v>custody discrepancy</x:v>
      </x:c>
      <x:c r="I289" s="11" t="str">
        <x:v>kg</x:v>
      </x:c>
      <x:c r="J289" s="17" t="n">
        <x:v>5</x:v>
      </x:c>
      <x:c r="K289" s="17" t="n">
        <x:v>7.5</x:v>
      </x:c>
      <x:c r="L289" s="17" t="n">
        <x:v>0.5</x:v>
      </x:c>
      <x:c r="M289" s="11" t="str">
        <x:v>REJECT</x:v>
      </x:c>
      <x:c r="N289" s="11" t="n">
        <x:v>1</x:v>
      </x:c>
      <x:c r="O289" s="13" t="n">
        <x:v>0</x:v>
      </x:c>
      <x:c r="P289" s="11" t="str">
        <x:f>IF(AND(N289=1,L289&lt;=J289/4,K289&gt;J289+L289),"PASS","FAIL")</x:f>
        <x:v>PASS</x:v>
      </x:c>
      <x:c r="Q289" s="11" t="str">
        <x:f>IF(P289&lt;&gt;"PASS","FAIL",IF(O289=1,"PASS","OPEN"))</x:f>
        <x:v>OPEN</x:v>
      </x:c>
    </x:row>
    <x:row r="290">
      <x:c r="B290" s="11" t="str">
        <x:v>RA-SA6-12-B2-T3</x:v>
      </x:c>
      <x:c r="C290" s="11" t="str">
        <x:v>RA-SA6-12-B2</x:v>
      </x:c>
      <x:c r="D290" s="11" t="str">
        <x:v>SA6</x:v>
      </x:c>
      <x:c r="E290" s="11" t="str">
        <x:v>B</x:v>
      </x:c>
      <x:c r="F290" s="11" t="str">
        <x:v>T3</x:v>
      </x:c>
      <x:c r="G290" s="11" t="str">
        <x:v>decision boundary</x:v>
      </x:c>
      <x:c r="H290" s="11" t="str">
        <x:v>custody discrepancy</x:v>
      </x:c>
      <x:c r="I290" s="11" t="str">
        <x:v>kg</x:v>
      </x:c>
      <x:c r="J290" s="17" t="n">
        <x:v>5</x:v>
      </x:c>
      <x:c r="K290" s="17" t="n">
        <x:v>5</x:v>
      </x:c>
      <x:c r="L290" s="17" t="n">
        <x:v>0.5</x:v>
      </x:c>
      <x:c r="M290" s="11" t="str">
        <x:v>INDETERMINATE</x:v>
      </x:c>
      <x:c r="N290" s="11" t="n">
        <x:v>1</x:v>
      </x:c>
      <x:c r="O290" s="13" t="n">
        <x:v>0</x:v>
      </x:c>
      <x:c r="P290" s="11" t="str">
        <x:f>IF(AND(N290=1,L290&lt;=J290/4,ABS(K290-J290)&lt;=L290),"PASS","FAIL")</x:f>
        <x:v>PASS</x:v>
      </x:c>
      <x:c r="Q290" s="11" t="str">
        <x:f>IF(P290&lt;&gt;"PASS","FAIL",IF(O290=1,"PASS","OPEN"))</x:f>
        <x:v>OPEN</x:v>
      </x:c>
    </x:row>
    <x:row r="291">
      <x:c r="B291" s="11" t="str">
        <x:v>RA-SA6-12-B3-T0</x:v>
      </x:c>
      <x:c r="C291" s="11" t="str">
        <x:v>RA-SA6-12-B3</x:v>
      </x:c>
      <x:c r="D291" s="11" t="str">
        <x:v>SA6</x:v>
      </x:c>
      <x:c r="E291" s="11" t="str">
        <x:v>B</x:v>
      </x:c>
      <x:c r="F291" s="11" t="str">
        <x:v>T0</x:v>
      </x:c>
      <x:c r="G291" s="11" t="str">
        <x:v>datum and blank</x:v>
      </x:c>
      <x:c r="H291" s="11" t="str">
        <x:v>custody discrepancy</x:v>
      </x:c>
      <x:c r="I291" s="11" t="str">
        <x:v>kg</x:v>
      </x:c>
      <x:c r="J291" s="17" t="n">
        <x:v>5</x:v>
      </x:c>
      <x:c r="K291" s="17" t="n">
        <x:v>0</x:v>
      </x:c>
      <x:c r="L291" s="17" t="n">
        <x:v>0.5</x:v>
      </x:c>
      <x:c r="M291" s="11" t="str">
        <x:v>ACCEPT</x:v>
      </x:c>
      <x:c r="N291" s="11" t="n">
        <x:v>1</x:v>
      </x:c>
      <x:c r="O291" s="13" t="n">
        <x:v>0</x:v>
      </x:c>
      <x:c r="P291" s="11" t="str">
        <x:f>IF(AND(N291=1,L291&lt;=J291/4,K291=0),"PASS","FAIL")</x:f>
        <x:v>PASS</x:v>
      </x:c>
      <x:c r="Q291" s="11" t="str">
        <x:f>IF(P291&lt;&gt;"PASS","FAIL",IF(O291=1,"PASS","OPEN"))</x:f>
        <x:v>OPEN</x:v>
      </x:c>
    </x:row>
    <x:row r="292">
      <x:c r="B292" s="11" t="str">
        <x:v>RA-SA6-12-B3-T1</x:v>
      </x:c>
      <x:c r="C292" s="11" t="str">
        <x:v>RA-SA6-12-B3</x:v>
      </x:c>
      <x:c r="D292" s="11" t="str">
        <x:v>SA6</x:v>
      </x:c>
      <x:c r="E292" s="11" t="str">
        <x:v>B</x:v>
      </x:c>
      <x:c r="F292" s="11" t="str">
        <x:v>T1</x:v>
      </x:c>
      <x:c r="G292" s="11" t="str">
        <x:v>known compliant</x:v>
      </x:c>
      <x:c r="H292" s="11" t="str">
        <x:v>custody discrepancy</x:v>
      </x:c>
      <x:c r="I292" s="11" t="str">
        <x:v>kg</x:v>
      </x:c>
      <x:c r="J292" s="17" t="n">
        <x:v>5</x:v>
      </x:c>
      <x:c r="K292" s="17" t="n">
        <x:v>2.5</x:v>
      </x:c>
      <x:c r="L292" s="17" t="n">
        <x:v>0.5</x:v>
      </x:c>
      <x:c r="M292" s="11" t="str">
        <x:v>ACCEPT</x:v>
      </x:c>
      <x:c r="N292" s="11" t="n">
        <x:v>1</x:v>
      </x:c>
      <x:c r="O292" s="13" t="n">
        <x:v>0</x:v>
      </x:c>
      <x:c r="P292" s="11" t="str">
        <x:f>IF(AND(N292=1,L292&lt;=J292/4,K292&lt;J292-L292),"PASS","FAIL")</x:f>
        <x:v>PASS</x:v>
      </x:c>
      <x:c r="Q292" s="11" t="str">
        <x:f>IF(P292&lt;&gt;"PASS","FAIL",IF(O292=1,"PASS","OPEN"))</x:f>
        <x:v>OPEN</x:v>
      </x:c>
    </x:row>
    <x:row r="293">
      <x:c r="B293" s="11" t="str">
        <x:v>RA-SA6-12-B3-T2</x:v>
      </x:c>
      <x:c r="C293" s="11" t="str">
        <x:v>RA-SA6-12-B3</x:v>
      </x:c>
      <x:c r="D293" s="11" t="str">
        <x:v>SA6</x:v>
      </x:c>
      <x:c r="E293" s="11" t="str">
        <x:v>B</x:v>
      </x:c>
      <x:c r="F293" s="11" t="str">
        <x:v>T2</x:v>
      </x:c>
      <x:c r="G293" s="11" t="str">
        <x:v>known nonconforming</x:v>
      </x:c>
      <x:c r="H293" s="11" t="str">
        <x:v>custody discrepancy</x:v>
      </x:c>
      <x:c r="I293" s="11" t="str">
        <x:v>kg</x:v>
      </x:c>
      <x:c r="J293" s="17" t="n">
        <x:v>5</x:v>
      </x:c>
      <x:c r="K293" s="17" t="n">
        <x:v>7.5</x:v>
      </x:c>
      <x:c r="L293" s="17" t="n">
        <x:v>0.5</x:v>
      </x:c>
      <x:c r="M293" s="11" t="str">
        <x:v>REJECT</x:v>
      </x:c>
      <x:c r="N293" s="11" t="n">
        <x:v>1</x:v>
      </x:c>
      <x:c r="O293" s="13" t="n">
        <x:v>0</x:v>
      </x:c>
      <x:c r="P293" s="11" t="str">
        <x:f>IF(AND(N293=1,L293&lt;=J293/4,K293&gt;J293+L293),"PASS","FAIL")</x:f>
        <x:v>PASS</x:v>
      </x:c>
      <x:c r="Q293" s="11" t="str">
        <x:f>IF(P293&lt;&gt;"PASS","FAIL",IF(O293=1,"PASS","OPEN"))</x:f>
        <x:v>OPEN</x:v>
      </x:c>
    </x:row>
    <x:row r="294">
      <x:c r="B294" s="12" t="str">
        <x:v>RA-SA6-12-B3-T3</x:v>
      </x:c>
      <x:c r="C294" s="12" t="str">
        <x:v>RA-SA6-12-B3</x:v>
      </x:c>
      <x:c r="D294" s="12" t="str">
        <x:v>SA6</x:v>
      </x:c>
      <x:c r="E294" s="12" t="str">
        <x:v>B</x:v>
      </x:c>
      <x:c r="F294" s="12" t="str">
        <x:v>T3</x:v>
      </x:c>
      <x:c r="G294" s="12" t="str">
        <x:v>decision boundary</x:v>
      </x:c>
      <x:c r="H294" s="12" t="str">
        <x:v>custody discrepancy</x:v>
      </x:c>
      <x:c r="I294" s="12" t="str">
        <x:v>kg</x:v>
      </x:c>
      <x:c r="J294" s="18" t="n">
        <x:v>5</x:v>
      </x:c>
      <x:c r="K294" s="18" t="n">
        <x:v>5</x:v>
      </x:c>
      <x:c r="L294" s="18" t="n">
        <x:v>0.5</x:v>
      </x:c>
      <x:c r="M294" s="12" t="str">
        <x:v>INDETERMINATE</x:v>
      </x:c>
      <x:c r="N294" s="12" t="n">
        <x:v>1</x:v>
      </x:c>
      <x:c r="O294" s="14" t="n">
        <x:v>0</x:v>
      </x:c>
      <x:c r="P294" s="12" t="str">
        <x:f>IF(AND(N294=1,L294&lt;=J294/4,ABS(K294-J294)&lt;=L294),"PASS","FAIL")</x:f>
        <x:v>PASS</x:v>
      </x:c>
      <x:c r="Q294" s="12" t="str">
        <x:f>IF(P294&lt;&gt;"PASS","FAIL",IF(O294=1,"PASS","OPEN"))</x:f>
        <x:v>OPEN</x:v>
      </x:c>
    </x:row>
  </x:sheetData>
  <x:mergeCells>
    <x:mergeCell ref="B2:Q2"/>
    <x:mergeCell ref="B3:Q3"/>
  </x:mergeCells>
  <x:conditionalFormatting sqref="L7:L294">
    <x:cfRule type="containsText" dxfId="28" priority="1" operator="containsText" text="PASS"/>
    <x:cfRule type="containsText" dxfId="29" priority="2" operator="containsText" text="AUTHORIZED"/>
    <x:cfRule type="containsText" dxfId="30" priority="3" operator="containsText" text="DEFINED"/>
    <x:cfRule type="containsText" dxfId="31" priority="4" operator="containsText" text="READY"/>
    <x:cfRule type="containsText" dxfId="32" priority="5" operator="containsText" text="HOLD"/>
    <x:cfRule type="containsText" dxfId="33" priority="6" operator="containsText" text="OPEN"/>
    <x:cfRule type="containsText" dxfId="34" priority="7" operator="containsText" text="BLOCKED"/>
    <x:cfRule type="containsText" dxfId="35" priority="8" operator="containsText" text="PLANNING"/>
    <x:cfRule type="containsText" dxfId="36" priority="9" operator="containsText" text="QUARANTINE"/>
    <x:cfRule type="containsText" dxfId="37" priority="10" operator="containsText" text="INDETERMINATE"/>
    <x:cfRule type="containsText" dxfId="38" priority="11" operator="containsText" text="FAIL"/>
    <x:cfRule type="containsText" dxfId="39" priority="12" operator="containsText" text="REJECT"/>
    <x:cfRule type="containsText" dxfId="40" priority="13" operator="containsText" text="INVALID"/>
    <x:cfRule type="containsText" dxfId="41" priority="14" operator="containsText" text="STOP"/>
  </x:conditionalFormatting>
  <x:conditionalFormatting sqref="P7:Q294">
    <x:cfRule type="containsText" dxfId="42" priority="15" operator="containsText" text="PASS"/>
    <x:cfRule type="containsText" dxfId="43" priority="16" operator="containsText" text="AUTHORIZED"/>
    <x:cfRule type="containsText" dxfId="44" priority="17" operator="containsText" text="DEFINED"/>
    <x:cfRule type="containsText" dxfId="45" priority="18" operator="containsText" text="READY"/>
    <x:cfRule type="containsText" dxfId="46" priority="19" operator="containsText" text="HOLD"/>
    <x:cfRule type="containsText" dxfId="47" priority="20" operator="containsText" text="OPEN"/>
    <x:cfRule type="containsText" dxfId="48" priority="21" operator="containsText" text="BLOCKED"/>
    <x:cfRule type="containsText" dxfId="49" priority="22" operator="containsText" text="PLANNING"/>
    <x:cfRule type="containsText" dxfId="50" priority="23" operator="containsText" text="QUARANTINE"/>
    <x:cfRule type="containsText" dxfId="51" priority="24" operator="containsText" text="INDETERMINATE"/>
    <x:cfRule type="containsText" dxfId="52" priority="25" operator="containsText" text="FAIL"/>
    <x:cfRule type="containsText" dxfId="53" priority="26" operator="containsText" text="REJECT"/>
    <x:cfRule type="containsText" dxfId="54" priority="27" operator="containsText" text="INVALID"/>
    <x:cfRule type="containsText" dxfId="55" priority="28" operator="containsText" text="STO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3" hidden="0" customWidth="1"/>
    <x:col min="3" max="3" width="10" hidden="0" customWidth="1"/>
    <x:col min="4" max="4" width="8" hidden="0" customWidth="1"/>
    <x:col min="5" max="5" width="25" hidden="0" customWidth="1"/>
    <x:col min="6" max="6" width="15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21" hidden="0" customWidth="1"/>
    <x:col min="12" max="12" width="18" hidden="0" customWidth="1"/>
    <x:col min="13" max="13" width="18" hidden="0" customWidth="1"/>
    <x:col min="14" max="14" width="18" hidden="0" customWidth="1"/>
    <x:col min="15" max="15" width="22" hidden="0" customWidth="1"/>
    <x:col min="16" max="16" width="18" hidden="0" customWidth="1"/>
    <x:col min="17" max="17" width="18" hidden="0" customWidth="1"/>
    <x:col min="18" max="18" width="38" hidden="0" customWidth="1"/>
    <x:col min="19" max="19" width="15" hidden="0" customWidth="1"/>
    <x:col min="20" max="20" width="15" hidden="0" customWidth="1"/>
  </x:cols>
  <x:sheetData>
    <x:row r="2">
      <x:c r="B2" s="37" t="str">
        <x:v>Root-specific maximum credible source terms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3">
      <x:c r="B3" s="39" t="str">
        <x:v>Installed inventory, event use and maximum credible release remain separate. Passive capacity is not replaced by an active-control claim.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</x:row>
    <x:row r="6">
      <x:c r="B6" s="9" t="str">
        <x:v>Ledger ID</x:v>
      </x:c>
      <x:c r="C6" s="9" t="str">
        <x:v>Family</x:v>
      </x:c>
      <x:c r="D6" s="9" t="str">
        <x:v>Root</x:v>
      </x:c>
      <x:c r="E6" s="9" t="str">
        <x:v>Hazard domain</x:v>
      </x:c>
      <x:c r="F6" s="9" t="str">
        <x:v>Installed source</x:v>
      </x:c>
      <x:c r="G6" s="9" t="str">
        <x:v>Installed unit</x:v>
      </x:c>
      <x:c r="H6" s="9" t="str">
        <x:v>Maximum event source</x:v>
      </x:c>
      <x:c r="I6" s="9" t="str">
        <x:v>Event unit</x:v>
      </x:c>
      <x:c r="J6" s="9" t="str">
        <x:v>Credible release</x:v>
      </x:c>
      <x:c r="K6" s="9" t="str">
        <x:v>Release unit</x:v>
      </x:c>
      <x:c r="L6" s="9" t="str">
        <x:v>Released energy (GJ)</x:v>
      </x:c>
      <x:c r="M6" s="9" t="str">
        <x:v>Fragment mass (kg)</x:v>
      </x:c>
      <x:c r="N6" s="9" t="str">
        <x:v>Gas volume (m3)</x:v>
      </x:c>
      <x:c r="O6" s="9" t="str">
        <x:v>Contaminant mass (kg)</x:v>
      </x:c>
      <x:c r="P6" s="9" t="str">
        <x:v>Passive capacity</x:v>
      </x:c>
      <x:c r="Q6" s="9" t="str">
        <x:v>Capacity unit</x:v>
      </x:c>
      <x:c r="R6" s="9" t="str">
        <x:v>Human-entry criterion</x:v>
      </x:c>
      <x:c r="S6" s="9" t="str">
        <x:v>Planning state</x:v>
      </x:c>
      <x:c r="T6" s="9" t="str">
        <x:v>Physical source</x:v>
      </x:c>
      <x:c r="U6" s="9" t="str">
        <x:v>Source state</x:v>
      </x:c>
    </x:row>
    <x:row r="7">
      <x:c r="B7" s="11" t="str">
        <x:v>ST-SA1-A</x:v>
      </x:c>
      <x:c r="C7" s="11" t="str">
        <x:v>SA1</x:v>
      </x:c>
      <x:c r="D7" s="11" t="str">
        <x:v>A</x:v>
      </x:c>
      <x:c r="E7" s="11" t="str">
        <x:v>mechanical load and fragment</x:v>
      </x:c>
      <x:c r="F7" s="17" t="n">
        <x:v>200</x:v>
      </x:c>
      <x:c r="G7" s="17" t="str">
        <x:v>kN vertical</x:v>
      </x:c>
      <x:c r="H7" s="17" t="n">
        <x:v>200</x:v>
      </x:c>
      <x:c r="I7" s="17" t="str">
        <x:v>kN vertical</x:v>
      </x:c>
      <x:c r="J7" s="17" t="n">
        <x:v>25</x:v>
      </x:c>
      <x:c r="K7" s="17" t="str">
        <x:v>mm uncontrolled travel</x:v>
      </x:c>
      <x:c r="L7" s="17" t="n">
        <x:v>0.0005</x:v>
      </x:c>
      <x:c r="M7" s="17" t="n">
        <x:v>40</x:v>
      </x:c>
      <x:c r="N7" s="17" t="n">
        <x:v>0</x:v>
      </x:c>
      <x:c r="O7" s="17" t="n">
        <x:v>0</x:v>
      </x:c>
      <x:c r="P7" s="17" t="n">
        <x:v>5</x:v>
      </x:c>
      <x:c r="Q7" s="11" t="str">
        <x:v>MN mechanical catch</x:v>
      </x:c>
      <x:c r="R7" s="11" t="str">
        <x:v>datum below 0.5 mm after survey</x:v>
      </x:c>
      <x:c r="S7" s="11" t="str">
        <x:f>IF(AND(F7&gt;0,H7&gt;0,J7&gt;0,P7&gt;0,R7&lt;&gt;""),"PASS","FAIL")</x:f>
        <x:v>PASS</x:v>
      </x:c>
      <x:c r="T7" s="13" t="n">
        <x:v>0</x:v>
      </x:c>
      <x:c r="U7" s="11" t="str">
        <x:f>IF(S7&lt;&gt;"PASS","FAIL",IF(T7=1,"PASS","OPEN"))</x:f>
        <x:v>OPEN</x:v>
      </x:c>
    </x:row>
    <x:row r="8">
      <x:c r="B8" s="11" t="str">
        <x:v>ST-SA1-B</x:v>
      </x:c>
      <x:c r="C8" s="11" t="str">
        <x:v>SA1</x:v>
      </x:c>
      <x:c r="D8" s="11" t="str">
        <x:v>B</x:v>
      </x:c>
      <x:c r="E8" s="11" t="str">
        <x:v>mechanical load and fragment</x:v>
      </x:c>
      <x:c r="F8" s="17" t="n">
        <x:v>200</x:v>
      </x:c>
      <x:c r="G8" s="17" t="str">
        <x:v>kN vertical</x:v>
      </x:c>
      <x:c r="H8" s="17" t="n">
        <x:v>200</x:v>
      </x:c>
      <x:c r="I8" s="17" t="str">
        <x:v>kN vertical</x:v>
      </x:c>
      <x:c r="J8" s="17" t="n">
        <x:v>25</x:v>
      </x:c>
      <x:c r="K8" s="17" t="str">
        <x:v>mm uncontrolled travel</x:v>
      </x:c>
      <x:c r="L8" s="17" t="n">
        <x:v>0.0005</x:v>
      </x:c>
      <x:c r="M8" s="17" t="n">
        <x:v>25</x:v>
      </x:c>
      <x:c r="N8" s="17" t="n">
        <x:v>0</x:v>
      </x:c>
      <x:c r="O8" s="17" t="n">
        <x:v>0</x:v>
      </x:c>
      <x:c r="P8" s="17" t="n">
        <x:v>5</x:v>
      </x:c>
      <x:c r="Q8" s="11" t="str">
        <x:v>MN mechanical catch</x:v>
      </x:c>
      <x:c r="R8" s="11" t="str">
        <x:v>datum below 0.5 mm after survey</x:v>
      </x:c>
      <x:c r="S8" s="11" t="str">
        <x:f>IF(AND(F8&gt;0,H8&gt;0,J8&gt;0,P8&gt;0,R8&lt;&gt;""),"PASS","FAIL")</x:f>
        <x:v>PASS</x:v>
      </x:c>
      <x:c r="T8" s="13" t="n">
        <x:v>0</x:v>
      </x:c>
      <x:c r="U8" s="11" t="str">
        <x:f>IF(S8&lt;&gt;"PASS","FAIL",IF(T8=1,"PASS","OPEN"))</x:f>
        <x:v>OPEN</x:v>
      </x:c>
    </x:row>
    <x:row r="9">
      <x:c r="B9" s="11" t="str">
        <x:v>ST-SA2-A</x:v>
      </x:c>
      <x:c r="C9" s="11" t="str">
        <x:v>SA2</x:v>
      </x:c>
      <x:c r="D9" s="11" t="str">
        <x:v>A</x:v>
      </x:c>
      <x:c r="E9" s="11" t="str">
        <x:v>suspended load and fragment</x:v>
      </x:c>
      <x:c r="F9" s="17" t="n">
        <x:v>40</x:v>
      </x:c>
      <x:c r="G9" s="17" t="str">
        <x:v>t equivalent payload</x:v>
      </x:c>
      <x:c r="H9" s="17" t="n">
        <x:v>40</x:v>
      </x:c>
      <x:c r="I9" s="17" t="str">
        <x:v>t equivalent payload</x:v>
      </x:c>
      <x:c r="J9" s="17" t="n">
        <x:v>0.25</x:v>
      </x:c>
      <x:c r="K9" s="17" t="str">
        <x:v>m capture travel</x:v>
      </x:c>
      <x:c r="L9" s="17" t="n">
        <x:v>0.0001</x:v>
      </x:c>
      <x:c r="M9" s="17" t="n">
        <x:v>50</x:v>
      </x:c>
      <x:c r="N9" s="17" t="n">
        <x:v>0</x:v>
      </x:c>
      <x:c r="O9" s="17" t="n">
        <x:v>0</x:v>
      </x:c>
      <x:c r="P9" s="17" t="n">
        <x:v>3</x:v>
      </x:c>
      <x:c r="Q9" s="11" t="str">
        <x:v>MN capture frame</x:v>
      </x:c>
      <x:c r="R9" s="11" t="str">
        <x:v>payload on two passive supports</x:v>
      </x:c>
      <x:c r="S9" s="11" t="str">
        <x:f>IF(AND(F9&gt;0,H9&gt;0,J9&gt;0,P9&gt;0,R9&lt;&gt;""),"PASS","FAIL")</x:f>
        <x:v>PASS</x:v>
      </x:c>
      <x:c r="T9" s="13" t="n">
        <x:v>0</x:v>
      </x:c>
      <x:c r="U9" s="11" t="str">
        <x:f>IF(S9&lt;&gt;"PASS","FAIL",IF(T9=1,"PASS","OPEN"))</x:f>
        <x:v>OPEN</x:v>
      </x:c>
    </x:row>
    <x:row r="10">
      <x:c r="B10" s="11" t="str">
        <x:v>ST-SA2-B</x:v>
      </x:c>
      <x:c r="C10" s="11" t="str">
        <x:v>SA2</x:v>
      </x:c>
      <x:c r="D10" s="11" t="str">
        <x:v>B</x:v>
      </x:c>
      <x:c r="E10" s="11" t="str">
        <x:v>suspended load and fragment</x:v>
      </x:c>
      <x:c r="F10" s="17" t="n">
        <x:v>40</x:v>
      </x:c>
      <x:c r="G10" s="17" t="str">
        <x:v>t equivalent payload</x:v>
      </x:c>
      <x:c r="H10" s="17" t="n">
        <x:v>40</x:v>
      </x:c>
      <x:c r="I10" s="17" t="str">
        <x:v>t equivalent payload</x:v>
      </x:c>
      <x:c r="J10" s="17" t="n">
        <x:v>0.25</x:v>
      </x:c>
      <x:c r="K10" s="17" t="str">
        <x:v>m capture travel</x:v>
      </x:c>
      <x:c r="L10" s="17" t="n">
        <x:v>0.0001</x:v>
      </x:c>
      <x:c r="M10" s="17" t="n">
        <x:v>30</x:v>
      </x:c>
      <x:c r="N10" s="17" t="n">
        <x:v>0</x:v>
      </x:c>
      <x:c r="O10" s="17" t="n">
        <x:v>0</x:v>
      </x:c>
      <x:c r="P10" s="17" t="n">
        <x:v>3</x:v>
      </x:c>
      <x:c r="Q10" s="11" t="str">
        <x:v>MN capture frame</x:v>
      </x:c>
      <x:c r="R10" s="11" t="str">
        <x:v>payload on two passive supports</x:v>
      </x:c>
      <x:c r="S10" s="11" t="str">
        <x:f>IF(AND(F10&gt;0,H10&gt;0,J10&gt;0,P10&gt;0,R10&lt;&gt;""),"PASS","FAIL")</x:f>
        <x:v>PASS</x:v>
      </x:c>
      <x:c r="T10" s="13" t="n">
        <x:v>0</x:v>
      </x:c>
      <x:c r="U10" s="11" t="str">
        <x:f>IF(S10&lt;&gt;"PASS","FAIL",IF(T10=1,"PASS","OPEN"))</x:f>
        <x:v>OPEN</x:v>
      </x:c>
    </x:row>
    <x:row r="11">
      <x:c r="B11" s="11" t="str">
        <x:v>ST-SA3-A</x:v>
      </x:c>
      <x:c r="C11" s="11" t="str">
        <x:v>SA3</x:v>
      </x:c>
      <x:c r="D11" s="11" t="str">
        <x:v>A</x:v>
      </x:c>
      <x:c r="E11" s="11" t="str">
        <x:v>pressurized process fluid</x:v>
      </x:c>
      <x:c r="F11" s="17" t="n">
        <x:v>60</x:v>
      </x:c>
      <x:c r="G11" s="17" t="str">
        <x:v>m3 active inventory</x:v>
      </x:c>
      <x:c r="H11" s="17" t="n">
        <x:v>15</x:v>
      </x:c>
      <x:c r="I11" s="17" t="str">
        <x:v>m3 event inventory</x:v>
      </x:c>
      <x:c r="J11" s="17" t="n">
        <x:v>15</x:v>
      </x:c>
      <x:c r="K11" s="17" t="str">
        <x:v>m3 liquid release</x:v>
      </x:c>
      <x:c r="L11" s="17" t="n">
        <x:v>0.001</x:v>
      </x:c>
      <x:c r="M11" s="17" t="n">
        <x:v>0</x:v>
      </x:c>
      <x:c r="N11" s="17" t="n">
        <x:v>0</x:v>
      </x:c>
      <x:c r="O11" s="17" t="n">
        <x:v>0.25</x:v>
      </x:c>
      <x:c r="P11" s="17" t="n">
        <x:v>90</x:v>
      </x:c>
      <x:c r="Q11" s="11" t="str">
        <x:v>m3 recovery</x:v>
      </x:c>
      <x:c r="R11" s="11" t="str">
        <x:v>pressure below 50 kPa and ledger closed</x:v>
      </x:c>
      <x:c r="S11" s="11" t="str">
        <x:f>IF(AND(F11&gt;0,H11&gt;0,J11&gt;0,P11&gt;0,R11&lt;&gt;""),"PASS","FAIL")</x:f>
        <x:v>PASS</x:v>
      </x:c>
      <x:c r="T11" s="13" t="n">
        <x:v>0</x:v>
      </x:c>
      <x:c r="U11" s="11" t="str">
        <x:f>IF(S11&lt;&gt;"PASS","FAIL",IF(T11=1,"PASS","OPEN"))</x:f>
        <x:v>OPEN</x:v>
      </x:c>
    </x:row>
    <x:row r="12">
      <x:c r="B12" s="11" t="str">
        <x:v>ST-SA3-B</x:v>
      </x:c>
      <x:c r="C12" s="11" t="str">
        <x:v>SA3</x:v>
      </x:c>
      <x:c r="D12" s="11" t="str">
        <x:v>B</x:v>
      </x:c>
      <x:c r="E12" s="11" t="str">
        <x:v>pressurized process fluid</x:v>
      </x:c>
      <x:c r="F12" s="17" t="n">
        <x:v>60</x:v>
      </x:c>
      <x:c r="G12" s="17" t="str">
        <x:v>m3 active inventory</x:v>
      </x:c>
      <x:c r="H12" s="17" t="n">
        <x:v>15</x:v>
      </x:c>
      <x:c r="I12" s="17" t="str">
        <x:v>m3 event inventory</x:v>
      </x:c>
      <x:c r="J12" s="17" t="n">
        <x:v>15</x:v>
      </x:c>
      <x:c r="K12" s="17" t="str">
        <x:v>m3 liquid release</x:v>
      </x:c>
      <x:c r="L12" s="17" t="n">
        <x:v>0.001</x:v>
      </x:c>
      <x:c r="M12" s="17" t="n">
        <x:v>0</x:v>
      </x:c>
      <x:c r="N12" s="17" t="n">
        <x:v>0</x:v>
      </x:c>
      <x:c r="O12" s="17" t="n">
        <x:v>0.25</x:v>
      </x:c>
      <x:c r="P12" s="17" t="n">
        <x:v>90</x:v>
      </x:c>
      <x:c r="Q12" s="11" t="str">
        <x:v>m3 recovery</x:v>
      </x:c>
      <x:c r="R12" s="11" t="str">
        <x:v>pressure below 50 kPa and ledger closed</x:v>
      </x:c>
      <x:c r="S12" s="11" t="str">
        <x:f>IF(AND(F12&gt;0,H12&gt;0,J12&gt;0,P12&gt;0,R12&lt;&gt;""),"PASS","FAIL")</x:f>
        <x:v>PASS</x:v>
      </x:c>
      <x:c r="T12" s="13" t="n">
        <x:v>0</x:v>
      </x:c>
      <x:c r="U12" s="11" t="str">
        <x:f>IF(S12&lt;&gt;"PASS","FAIL",IF(T12=1,"PASS","OPEN"))</x:f>
        <x:v>OPEN</x:v>
      </x:c>
    </x:row>
    <x:row r="13">
      <x:c r="B13" s="11" t="str">
        <x:v>ST-SA4-A</x:v>
      </x:c>
      <x:c r="C13" s="11" t="str">
        <x:v>SA4</x:v>
      </x:c>
      <x:c r="D13" s="11" t="str">
        <x:v>A</x:v>
      </x:c>
      <x:c r="E13" s="11" t="str">
        <x:v>electrical arc and fragment</x:v>
      </x:c>
      <x:c r="F13" s="17" t="n">
        <x:v>12</x:v>
      </x:c>
      <x:c r="G13" s="17" t="str">
        <x:v>kA prospective</x:v>
      </x:c>
      <x:c r="H13" s="17" t="n">
        <x:v>12</x:v>
      </x:c>
      <x:c r="I13" s="17" t="str">
        <x:v>kA prospective</x:v>
      </x:c>
      <x:c r="J13" s="17" t="n">
        <x:v>8</x:v>
      </x:c>
      <x:c r="K13" s="17" t="str">
        <x:v>MJ bounded arc</x:v>
      </x:c>
      <x:c r="L13" s="17" t="n">
        <x:v>0.008</x:v>
      </x:c>
      <x:c r="M13" s="17" t="n">
        <x:v>20</x:v>
      </x:c>
      <x:c r="N13" s="17" t="n">
        <x:v>50</x:v>
      </x:c>
      <x:c r="O13" s="17" t="n">
        <x:v>0</x:v>
      </x:c>
      <x:c r="P13" s="17" t="n">
        <x:v>100</x:v>
      </x:c>
      <x:c r="Q13" s="11" t="str">
        <x:v>MJ enclosure</x:v>
      </x:c>
      <x:c r="R13" s="11" t="str">
        <x:v>bus below 60 V and enclosure stable</x:v>
      </x:c>
      <x:c r="S13" s="11" t="str">
        <x:f>IF(AND(F13&gt;0,H13&gt;0,J13&gt;0,P13&gt;0,R13&lt;&gt;""),"PASS","FAIL")</x:f>
        <x:v>PASS</x:v>
      </x:c>
      <x:c r="T13" s="13" t="n">
        <x:v>0</x:v>
      </x:c>
      <x:c r="U13" s="11" t="str">
        <x:f>IF(S13&lt;&gt;"PASS","FAIL",IF(T13=1,"PASS","OPEN"))</x:f>
        <x:v>OPEN</x:v>
      </x:c>
    </x:row>
    <x:row r="14">
      <x:c r="B14" s="11" t="str">
        <x:v>ST-SA4-B</x:v>
      </x:c>
      <x:c r="C14" s="11" t="str">
        <x:v>SA4</x:v>
      </x:c>
      <x:c r="D14" s="11" t="str">
        <x:v>B</x:v>
      </x:c>
      <x:c r="E14" s="11" t="str">
        <x:v>electrical arc and fragment</x:v>
      </x:c>
      <x:c r="F14" s="17" t="n">
        <x:v>6</x:v>
      </x:c>
      <x:c r="G14" s="17" t="str">
        <x:v>kA prospective</x:v>
      </x:c>
      <x:c r="H14" s="17" t="n">
        <x:v>6</x:v>
      </x:c>
      <x:c r="I14" s="17" t="str">
        <x:v>kA prospective</x:v>
      </x:c>
      <x:c r="J14" s="17" t="n">
        <x:v>4</x:v>
      </x:c>
      <x:c r="K14" s="17" t="str">
        <x:v>MJ bounded arc</x:v>
      </x:c>
      <x:c r="L14" s="17" t="n">
        <x:v>0.004</x:v>
      </x:c>
      <x:c r="M14" s="17" t="n">
        <x:v>20</x:v>
      </x:c>
      <x:c r="N14" s="17" t="n">
        <x:v>35</x:v>
      </x:c>
      <x:c r="O14" s="17" t="n">
        <x:v>0</x:v>
      </x:c>
      <x:c r="P14" s="17" t="n">
        <x:v>100</x:v>
      </x:c>
      <x:c r="Q14" s="11" t="str">
        <x:v>MJ enclosure</x:v>
      </x:c>
      <x:c r="R14" s="11" t="str">
        <x:v>bus below 60 V and enclosure stable</x:v>
      </x:c>
      <x:c r="S14" s="11" t="str">
        <x:f>IF(AND(F14&gt;0,H14&gt;0,J14&gt;0,P14&gt;0,R14&lt;&gt;""),"PASS","FAIL")</x:f>
        <x:v>PASS</x:v>
      </x:c>
      <x:c r="T14" s="13" t="n">
        <x:v>0</x:v>
      </x:c>
      <x:c r="U14" s="11" t="str">
        <x:f>IF(S14&lt;&gt;"PASS","FAIL",IF(T14=1,"PASS","OPEN"))</x:f>
        <x:v>OPEN</x:v>
      </x:c>
    </x:row>
    <x:row r="15">
      <x:c r="B15" s="11" t="str">
        <x:v>ST-SA5-A</x:v>
      </x:c>
      <x:c r="C15" s="11" t="str">
        <x:v>SA5</x:v>
      </x:c>
      <x:c r="D15" s="11" t="str">
        <x:v>A</x:v>
      </x:c>
      <x:c r="E15" s="11" t="str">
        <x:v>thermal and coolant</x:v>
      </x:c>
      <x:c r="F15" s="17" t="n">
        <x:v>8</x:v>
      </x:c>
      <x:c r="G15" s="17" t="str">
        <x:v>MW transient</x:v>
      </x:c>
      <x:c r="H15" s="17" t="n">
        <x:v>3.5</x:v>
      </x:c>
      <x:c r="I15" s="17" t="str">
        <x:v>MW event input</x:v>
      </x:c>
      <x:c r="J15" s="17" t="n">
        <x:v>2</x:v>
      </x:c>
      <x:c r="K15" s="17" t="str">
        <x:v>m3 coolant release</x:v>
      </x:c>
      <x:c r="L15" s="17" t="n">
        <x:v>4.2</x:v>
      </x:c>
      <x:c r="M15" s="17" t="n">
        <x:v>5</x:v>
      </x:c>
      <x:c r="N15" s="17" t="n">
        <x:v>0</x:v>
      </x:c>
      <x:c r="O15" s="17" t="n">
        <x:v>0</x:v>
      </x:c>
      <x:c r="P15" s="17" t="n">
        <x:v>5</x:v>
      </x:c>
      <x:c r="Q15" s="11" t="str">
        <x:v>m3 coolant capture</x:v>
      </x:c>
      <x:c r="R15" s="11" t="str">
        <x:v>surface below 80 C and balance closed</x:v>
      </x:c>
      <x:c r="S15" s="11" t="str">
        <x:f>IF(AND(F15&gt;0,H15&gt;0,J15&gt;0,P15&gt;0,R15&lt;&gt;""),"PASS","FAIL")</x:f>
        <x:v>PASS</x:v>
      </x:c>
      <x:c r="T15" s="13" t="n">
        <x:v>0</x:v>
      </x:c>
      <x:c r="U15" s="11" t="str">
        <x:f>IF(S15&lt;&gt;"PASS","FAIL",IF(T15=1,"PASS","OPEN"))</x:f>
        <x:v>OPEN</x:v>
      </x:c>
    </x:row>
    <x:row r="16">
      <x:c r="B16" s="11" t="str">
        <x:v>ST-SA5-B</x:v>
      </x:c>
      <x:c r="C16" s="11" t="str">
        <x:v>SA5</x:v>
      </x:c>
      <x:c r="D16" s="11" t="str">
        <x:v>B</x:v>
      </x:c>
      <x:c r="E16" s="11" t="str">
        <x:v>thermal and coolant</x:v>
      </x:c>
      <x:c r="F16" s="17" t="n">
        <x:v>8</x:v>
      </x:c>
      <x:c r="G16" s="17" t="str">
        <x:v>MW transient</x:v>
      </x:c>
      <x:c r="H16" s="17" t="n">
        <x:v>3</x:v>
      </x:c>
      <x:c r="I16" s="17" t="str">
        <x:v>MW event input</x:v>
      </x:c>
      <x:c r="J16" s="17" t="n">
        <x:v>2</x:v>
      </x:c>
      <x:c r="K16" s="17" t="str">
        <x:v>m3 coolant release</x:v>
      </x:c>
      <x:c r="L16" s="17" t="n">
        <x:v>3.6</x:v>
      </x:c>
      <x:c r="M16" s="17" t="n">
        <x:v>5</x:v>
      </x:c>
      <x:c r="N16" s="17" t="n">
        <x:v>0</x:v>
      </x:c>
      <x:c r="O16" s="17" t="n">
        <x:v>0</x:v>
      </x:c>
      <x:c r="P16" s="17" t="n">
        <x:v>5</x:v>
      </x:c>
      <x:c r="Q16" s="11" t="str">
        <x:v>m3 coolant capture</x:v>
      </x:c>
      <x:c r="R16" s="11" t="str">
        <x:v>surface below 80 C and balance closed</x:v>
      </x:c>
      <x:c r="S16" s="11" t="str">
        <x:f>IF(AND(F16&gt;0,H16&gt;0,J16&gt;0,P16&gt;0,R16&lt;&gt;""),"PASS","FAIL")</x:f>
        <x:v>PASS</x:v>
      </x:c>
      <x:c r="T16" s="13" t="n">
        <x:v>0</x:v>
      </x:c>
      <x:c r="U16" s="11" t="str">
        <x:f>IF(S16&lt;&gt;"PASS","FAIL",IF(T16=1,"PASS","OPEN"))</x:f>
        <x:v>OPEN</x:v>
      </x:c>
    </x:row>
    <x:row r="17">
      <x:c r="B17" s="11" t="str">
        <x:v>ST-SA6-A</x:v>
      </x:c>
      <x:c r="C17" s="11" t="str">
        <x:v>SA6</x:v>
      </x:c>
      <x:c r="D17" s="11" t="str">
        <x:v>A</x:v>
      </x:c>
      <x:c r="E17" s="11" t="str">
        <x:v>liquid fuel and fire</x:v>
      </x:c>
      <x:c r="F17" s="17" t="n">
        <x:v>8</x:v>
      </x:c>
      <x:c r="G17" s="17" t="str">
        <x:v>t liquid fuel</x:v>
      </x:c>
      <x:c r="H17" s="17" t="n">
        <x:v>8</x:v>
      </x:c>
      <x:c r="I17" s="17" t="str">
        <x:v>t installed inventory</x:v>
      </x:c>
      <x:c r="J17" s="17" t="n">
        <x:v>2</x:v>
      </x:c>
      <x:c r="K17" s="17" t="str">
        <x:v>t single-compartment release</x:v>
      </x:c>
      <x:c r="L17" s="17" t="n">
        <x:v>85.176</x:v>
      </x:c>
      <x:c r="M17" s="17" t="n">
        <x:v>5</x:v>
      </x:c>
      <x:c r="N17" s="17" t="n">
        <x:v>80</x:v>
      </x:c>
      <x:c r="O17" s="17" t="n">
        <x:v>0</x:v>
      </x:c>
      <x:c r="P17" s="17" t="n">
        <x:v>40</x:v>
      </x:c>
      <x:c r="Q17" s="11" t="str">
        <x:v>m3 segregated capture</x:v>
      </x:c>
      <x:c r="R17" s="11" t="str">
        <x:v>vapor below entry limit and mass reconciled</x:v>
      </x:c>
      <x:c r="S17" s="11" t="str">
        <x:f>IF(AND(F17&gt;0,H17&gt;0,J17&gt;0,P17&gt;0,R17&lt;&gt;""),"PASS","FAIL")</x:f>
        <x:v>PASS</x:v>
      </x:c>
      <x:c r="T17" s="13" t="n">
        <x:v>0</x:v>
      </x:c>
      <x:c r="U17" s="11" t="str">
        <x:f>IF(S17&lt;&gt;"PASS","FAIL",IF(T17=1,"PASS","OPEN"))</x:f>
        <x:v>OPEN</x:v>
      </x:c>
    </x:row>
    <x:row r="18">
      <x:c r="B18" s="12" t="str">
        <x:v>ST-SA6-B</x:v>
      </x:c>
      <x:c r="C18" s="12" t="str">
        <x:v>SA6</x:v>
      </x:c>
      <x:c r="D18" s="12" t="str">
        <x:v>B</x:v>
      </x:c>
      <x:c r="E18" s="12" t="str">
        <x:v>pressurized DME and gas</x:v>
      </x:c>
      <x:c r="F18" s="18" t="n">
        <x:v>8</x:v>
      </x:c>
      <x:c r="G18" s="18" t="str">
        <x:v>t DME</x:v>
      </x:c>
      <x:c r="H18" s="18" t="n">
        <x:v>8</x:v>
      </x:c>
      <x:c r="I18" s="18" t="str">
        <x:v>t installed inventory</x:v>
      </x:c>
      <x:c r="J18" s="18" t="n">
        <x:v>2</x:v>
      </x:c>
      <x:c r="K18" s="18" t="str">
        <x:v>t single-compartment release</x:v>
      </x:c>
      <x:c r="L18" s="18" t="n">
        <x:v>57.024</x:v>
      </x:c>
      <x:c r="M18" s="18" t="n">
        <x:v>5</x:v>
      </x:c>
      <x:c r="N18" s="18" t="n">
        <x:v>1060</x:v>
      </x:c>
      <x:c r="O18" s="18" t="n">
        <x:v>0</x:v>
      </x:c>
      <x:c r="P18" s="18" t="n">
        <x:v>40</x:v>
      </x:c>
      <x:c r="Q18" s="12" t="str">
        <x:v>m3 segregated capture</x:v>
      </x:c>
      <x:c r="R18" s="12" t="str">
        <x:v>gas below entry limit and mass reconciled</x:v>
      </x:c>
      <x:c r="S18" s="12" t="str">
        <x:f>IF(AND(F18&gt;0,H18&gt;0,J18&gt;0,P18&gt;0,R18&lt;&gt;""),"PASS","FAIL")</x:f>
        <x:v>PASS</x:v>
      </x:c>
      <x:c r="T18" s="14" t="n">
        <x:v>0</x:v>
      </x:c>
      <x:c r="U18" s="12" t="str">
        <x:f>IF(S18&lt;&gt;"PASS","FAIL",IF(T18=1,"PASS","OPEN"))</x:f>
        <x:v>OPEN</x:v>
      </x:c>
    </x:row>
  </x:sheetData>
  <x:mergeCells>
    <x:mergeCell ref="B2:U2"/>
    <x:mergeCell ref="B3:U3"/>
  </x:mergeCells>
  <x:conditionalFormatting sqref="S7:U18">
    <x:cfRule type="containsText" dxfId="56" priority="1" operator="containsText" text="PASS"/>
    <x:cfRule type="containsText" dxfId="57" priority="2" operator="containsText" text="AUTHORIZED"/>
    <x:cfRule type="containsText" dxfId="58" priority="3" operator="containsText" text="DEFINED"/>
    <x:cfRule type="containsText" dxfId="59" priority="4" operator="containsText" text="READY"/>
    <x:cfRule type="containsText" dxfId="60" priority="5" operator="containsText" text="HOLD"/>
    <x:cfRule type="containsText" dxfId="61" priority="6" operator="containsText" text="OPEN"/>
    <x:cfRule type="containsText" dxfId="62" priority="7" operator="containsText" text="BLOCKED"/>
    <x:cfRule type="containsText" dxfId="63" priority="8" operator="containsText" text="PLANNING"/>
    <x:cfRule type="containsText" dxfId="64" priority="9" operator="containsText" text="QUARANTINE"/>
    <x:cfRule type="containsText" dxfId="65" priority="10" operator="containsText" text="INDETERMINATE"/>
    <x:cfRule type="containsText" dxfId="66" priority="11" operator="containsText" text="FAIL"/>
    <x:cfRule type="containsText" dxfId="67" priority="12" operator="containsText" text="REJECT"/>
    <x:cfRule type="containsText" dxfId="68" priority="13" operator="containsText" text="INVALID"/>
    <x:cfRule type="containsText" dxfId="69" priority="14" operator="containsText" text="STOP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0" hidden="0" customWidth="1"/>
    <x:col min="4" max="4" width="8" hidden="0" customWidth="1"/>
    <x:col min="5" max="5" width="24" hidden="0" customWidth="1"/>
    <x:col min="6" max="6" width="13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7" hidden="0" customWidth="1"/>
    <x:col min="15" max="15" width="14" hidden="0" customWidth="1"/>
    <x:col min="16" max="16" width="29" hidden="0" customWidth="1"/>
  </x:cols>
  <x:sheetData>
    <x:row r="2">
      <x:c r="B2" s="37" t="str">
        <x:v>Known-truth uncertainty budgets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</x:row>
    <x:row r="3">
      <x:c r="B3" s="39" t="str">
        <x:v>Independent components combine by root-sum-square. The total must remain within one quarter of the physical decision threshold.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</x:row>
    <x:row r="6">
      <x:c r="B6" s="9" t="str">
        <x:v>Budget ID</x:v>
      </x:c>
      <x:c r="C6" s="9" t="str">
        <x:v>Family</x:v>
      </x:c>
      <x:c r="D6" s="9" t="str">
        <x:v>Root</x:v>
      </x:c>
      <x:c r="E6" s="9" t="str">
        <x:v>Quantity</x:v>
      </x:c>
      <x:c r="F6" s="9" t="str">
        <x:v>Unit</x:v>
      </x:c>
      <x:c r="G6" s="9" t="str">
        <x:v>Decision threshold</x:v>
      </x:c>
      <x:c r="H6" s="9" t="str">
        <x:v>Reference</x:v>
      </x:c>
      <x:c r="I6" s="9" t="str">
        <x:v>Fabrication</x:v>
      </x:c>
      <x:c r="J6" s="9" t="str">
        <x:v>Mounting</x:v>
      </x:c>
      <x:c r="K6" s="9" t="str">
        <x:v>Acquisition</x:v>
      </x:c>
      <x:c r="L6" s="9" t="str">
        <x:v>Analysis</x:v>
      </x:c>
      <x:c r="M6" s="9" t="str">
        <x:v>Combined U95</x:v>
      </x:c>
      <x:c r="N6" s="9" t="str">
        <x:v>Maximum U95</x:v>
      </x:c>
      <x:c r="O6" s="9" t="str">
        <x:v>Discrimination ratio</x:v>
      </x:c>
      <x:c r="P6" s="9" t="str">
        <x:v>State</x:v>
      </x:c>
    </x:row>
    <x:row r="7">
      <x:c r="B7" s="11" t="str">
        <x:v>UB-SA1-A</x:v>
      </x:c>
      <x:c r="C7" s="11" t="str">
        <x:v>SA1</x:v>
      </x:c>
      <x:c r="D7" s="11" t="str">
        <x:v>A</x:v>
      </x:c>
      <x:c r="E7" s="11" t="str">
        <x:v>residual datum shift</x:v>
      </x:c>
      <x:c r="F7" s="11" t="str">
        <x:v>mm</x:v>
      </x:c>
      <x:c r="G7" s="17" t="n">
        <x:v>0.5</x:v>
      </x:c>
      <x:c r="H7" s="19" t="n">
        <x:v>0.04</x:v>
      </x:c>
      <x:c r="I7" s="19" t="n">
        <x:v>0.05</x:v>
      </x:c>
      <x:c r="J7" s="19" t="n">
        <x:v>0.04</x:v>
      </x:c>
      <x:c r="K7" s="19" t="n">
        <x:v>0.035</x:v>
      </x:c>
      <x:c r="L7" s="19" t="n">
        <x:v>0.025</x:v>
      </x:c>
      <x:c r="M7" s="17" t="n">
        <x:f>SQRT(H7^2+I7^2+J7^2+K7^2+L7^2)</x:f>
        <x:v>0.08689073598491384</x:v>
      </x:c>
      <x:c r="N7" s="17" t="n">
        <x:f>G7/4</x:f>
        <x:v>0.125</x:v>
      </x:c>
      <x:c r="O7" s="17" t="n">
        <x:f>N7/M7</x:f>
        <x:v>1.4385883441210898</x:v>
      </x:c>
      <x:c r="P7" s="11" t="str">
        <x:f>IF(AND(M7&lt;=N7,O7&gt;=1),"PASS","FAIL")</x:f>
        <x:v>PASS</x:v>
      </x:c>
    </x:row>
    <x:row r="8">
      <x:c r="B8" s="11" t="str">
        <x:v>UB-SA1-B</x:v>
      </x:c>
      <x:c r="C8" s="11" t="str">
        <x:v>SA1</x:v>
      </x:c>
      <x:c r="D8" s="11" t="str">
        <x:v>B</x:v>
      </x:c>
      <x:c r="E8" s="11" t="str">
        <x:v>residual datum shift</x:v>
      </x:c>
      <x:c r="F8" s="11" t="str">
        <x:v>mm</x:v>
      </x:c>
      <x:c r="G8" s="17" t="n">
        <x:v>0.5</x:v>
      </x:c>
      <x:c r="H8" s="19" t="n">
        <x:v>0.04</x:v>
      </x:c>
      <x:c r="I8" s="19" t="n">
        <x:v>0.05</x:v>
      </x:c>
      <x:c r="J8" s="19" t="n">
        <x:v>0.04</x:v>
      </x:c>
      <x:c r="K8" s="19" t="n">
        <x:v>0.035</x:v>
      </x:c>
      <x:c r="L8" s="19" t="n">
        <x:v>0.025</x:v>
      </x:c>
      <x:c r="M8" s="17" t="n">
        <x:f>SQRT(H8^2+I8^2+J8^2+K8^2+L8^2)</x:f>
        <x:v>0.08689073598491384</x:v>
      </x:c>
      <x:c r="N8" s="17" t="n">
        <x:f>G8/4</x:f>
        <x:v>0.125</x:v>
      </x:c>
      <x:c r="O8" s="17" t="n">
        <x:f>N8/M8</x:f>
        <x:v>1.4385883441210898</x:v>
      </x:c>
      <x:c r="P8" s="11" t="str">
        <x:f>IF(AND(M8&lt;=N8,O8&gt;=1),"PASS","FAIL")</x:f>
        <x:v>PASS</x:v>
      </x:c>
    </x:row>
    <x:row r="9">
      <x:c r="B9" s="11" t="str">
        <x:v>UB-SA2-A</x:v>
      </x:c>
      <x:c r="C9" s="11" t="str">
        <x:v>SA2</x:v>
      </x:c>
      <x:c r="D9" s="11" t="str">
        <x:v>A</x:v>
      </x:c>
      <x:c r="E9" s="11" t="str">
        <x:v>interface slip</x:v>
      </x:c>
      <x:c r="F9" s="11" t="str">
        <x:v>mm</x:v>
      </x:c>
      <x:c r="G9" s="17" t="n">
        <x:v>0.5</x:v>
      </x:c>
      <x:c r="H9" s="19" t="n">
        <x:v>0.04</x:v>
      </x:c>
      <x:c r="I9" s="19" t="n">
        <x:v>0.05</x:v>
      </x:c>
      <x:c r="J9" s="19" t="n">
        <x:v>0.04</x:v>
      </x:c>
      <x:c r="K9" s="19" t="n">
        <x:v>0.035</x:v>
      </x:c>
      <x:c r="L9" s="19" t="n">
        <x:v>0.025</x:v>
      </x:c>
      <x:c r="M9" s="17" t="n">
        <x:f>SQRT(H9^2+I9^2+J9^2+K9^2+L9^2)</x:f>
        <x:v>0.08689073598491384</x:v>
      </x:c>
      <x:c r="N9" s="17" t="n">
        <x:f>G9/4</x:f>
        <x:v>0.125</x:v>
      </x:c>
      <x:c r="O9" s="17" t="n">
        <x:f>N9/M9</x:f>
        <x:v>1.4385883441210898</x:v>
      </x:c>
      <x:c r="P9" s="11" t="str">
        <x:f>IF(AND(M9&lt;=N9,O9&gt;=1),"PASS","FAIL")</x:f>
        <x:v>PASS</x:v>
      </x:c>
    </x:row>
    <x:row r="10">
      <x:c r="B10" s="11" t="str">
        <x:v>UB-SA2-B</x:v>
      </x:c>
      <x:c r="C10" s="11" t="str">
        <x:v>SA2</x:v>
      </x:c>
      <x:c r="D10" s="11" t="str">
        <x:v>B</x:v>
      </x:c>
      <x:c r="E10" s="11" t="str">
        <x:v>interface slip</x:v>
      </x:c>
      <x:c r="F10" s="11" t="str">
        <x:v>mm</x:v>
      </x:c>
      <x:c r="G10" s="17" t="n">
        <x:v>0.5</x:v>
      </x:c>
      <x:c r="H10" s="19" t="n">
        <x:v>0.04</x:v>
      </x:c>
      <x:c r="I10" s="19" t="n">
        <x:v>0.05</x:v>
      </x:c>
      <x:c r="J10" s="19" t="n">
        <x:v>0.04</x:v>
      </x:c>
      <x:c r="K10" s="19" t="n">
        <x:v>0.035</x:v>
      </x:c>
      <x:c r="L10" s="19" t="n">
        <x:v>0.025</x:v>
      </x:c>
      <x:c r="M10" s="17" t="n">
        <x:f>SQRT(H10^2+I10^2+J10^2+K10^2+L10^2)</x:f>
        <x:v>0.08689073598491384</x:v>
      </x:c>
      <x:c r="N10" s="17" t="n">
        <x:f>G10/4</x:f>
        <x:v>0.125</x:v>
      </x:c>
      <x:c r="O10" s="17" t="n">
        <x:f>N10/M10</x:f>
        <x:v>1.4385883441210898</x:v>
      </x:c>
      <x:c r="P10" s="11" t="str">
        <x:f>IF(AND(M10&lt;=N10,O10&gt;=1),"PASS","FAIL")</x:f>
        <x:v>PASS</x:v>
      </x:c>
    </x:row>
    <x:row r="11">
      <x:c r="B11" s="11" t="str">
        <x:v>UB-SA3-A</x:v>
      </x:c>
      <x:c r="C11" s="11" t="str">
        <x:v>SA3</x:v>
      </x:c>
      <x:c r="D11" s="11" t="str">
        <x:v>A</x:v>
      </x:c>
      <x:c r="E11" s="11" t="str">
        <x:v>permanent bore change</x:v>
      </x:c>
      <x:c r="F11" s="11" t="str">
        <x:v>mm</x:v>
      </x:c>
      <x:c r="G11" s="17" t="n">
        <x:v>0.1</x:v>
      </x:c>
      <x:c r="H11" s="19" t="n">
        <x:v>0.008</x:v>
      </x:c>
      <x:c r="I11" s="19" t="n">
        <x:v>0.010000000000000002</x:v>
      </x:c>
      <x:c r="J11" s="19" t="n">
        <x:v>0.008</x:v>
      </x:c>
      <x:c r="K11" s="19" t="n">
        <x:v>0.007000000000000001</x:v>
      </x:c>
      <x:c r="L11" s="19" t="n">
        <x:v>0.005000000000000001</x:v>
      </x:c>
      <x:c r="M11" s="17" t="n">
        <x:f>SQRT(H11^2+I11^2+J11^2+K11^2+L11^2)</x:f>
        <x:v>0.017378147196982767</x:v>
      </x:c>
      <x:c r="N11" s="17" t="n">
        <x:f>G11/4</x:f>
        <x:v>0.025</x:v>
      </x:c>
      <x:c r="O11" s="17" t="n">
        <x:f>N11/M11</x:f>
        <x:v>1.43858834412109</x:v>
      </x:c>
      <x:c r="P11" s="11" t="str">
        <x:f>IF(AND(M11&lt;=N11,O11&gt;=1),"PASS","FAIL")</x:f>
        <x:v>PASS</x:v>
      </x:c>
    </x:row>
    <x:row r="12">
      <x:c r="B12" s="11" t="str">
        <x:v>UB-SA3-B</x:v>
      </x:c>
      <x:c r="C12" s="11" t="str">
        <x:v>SA3</x:v>
      </x:c>
      <x:c r="D12" s="11" t="str">
        <x:v>B</x:v>
      </x:c>
      <x:c r="E12" s="11" t="str">
        <x:v>permanent bore change</x:v>
      </x:c>
      <x:c r="F12" s="11" t="str">
        <x:v>mm</x:v>
      </x:c>
      <x:c r="G12" s="17" t="n">
        <x:v>0.1</x:v>
      </x:c>
      <x:c r="H12" s="19" t="n">
        <x:v>0.008</x:v>
      </x:c>
      <x:c r="I12" s="19" t="n">
        <x:v>0.010000000000000002</x:v>
      </x:c>
      <x:c r="J12" s="19" t="n">
        <x:v>0.008</x:v>
      </x:c>
      <x:c r="K12" s="19" t="n">
        <x:v>0.007000000000000001</x:v>
      </x:c>
      <x:c r="L12" s="19" t="n">
        <x:v>0.005000000000000001</x:v>
      </x:c>
      <x:c r="M12" s="17" t="n">
        <x:f>SQRT(H12^2+I12^2+J12^2+K12^2+L12^2)</x:f>
        <x:v>0.017378147196982767</x:v>
      </x:c>
      <x:c r="N12" s="17" t="n">
        <x:f>G12/4</x:f>
        <x:v>0.025</x:v>
      </x:c>
      <x:c r="O12" s="17" t="n">
        <x:f>N12/M12</x:f>
        <x:v>1.43858834412109</x:v>
      </x:c>
      <x:c r="P12" s="11" t="str">
        <x:f>IF(AND(M12&lt;=N12,O12&gt;=1),"PASS","FAIL")</x:f>
        <x:v>PASS</x:v>
      </x:c>
    </x:row>
    <x:row r="13">
      <x:c r="B13" s="11" t="str">
        <x:v>UB-SA4-A</x:v>
      </x:c>
      <x:c r="C13" s="11" t="str">
        <x:v>SA4</x:v>
      </x:c>
      <x:c r="D13" s="11" t="str">
        <x:v>A</x:v>
      </x:c>
      <x:c r="E13" s="11" t="str">
        <x:v>fault clearing time</x:v>
      </x:c>
      <x:c r="F13" s="11" t="str">
        <x:v>ms</x:v>
      </x:c>
      <x:c r="G13" s="17" t="n">
        <x:v>100</x:v>
      </x:c>
      <x:c r="H13" s="19" t="n">
        <x:v>8</x:v>
      </x:c>
      <x:c r="I13" s="19" t="n">
        <x:v>10</x:v>
      </x:c>
      <x:c r="J13" s="19" t="n">
        <x:v>8</x:v>
      </x:c>
      <x:c r="K13" s="19" t="n">
        <x:v>7.000000000000001</x:v>
      </x:c>
      <x:c r="L13" s="19" t="n">
        <x:v>5</x:v>
      </x:c>
      <x:c r="M13" s="17" t="n">
        <x:f>SQRT(H13^2+I13^2+J13^2+K13^2+L13^2)</x:f>
        <x:v>17.378147196982766</x:v>
      </x:c>
      <x:c r="N13" s="17" t="n">
        <x:f>G13/4</x:f>
        <x:v>25</x:v>
      </x:c>
      <x:c r="O13" s="17" t="n">
        <x:f>N13/M13</x:f>
        <x:v>1.43858834412109</x:v>
      </x:c>
      <x:c r="P13" s="11" t="str">
        <x:f>IF(AND(M13&lt;=N13,O13&gt;=1),"PASS","FAIL")</x:f>
        <x:v>PASS</x:v>
      </x:c>
    </x:row>
    <x:row r="14">
      <x:c r="B14" s="11" t="str">
        <x:v>UB-SA4-B</x:v>
      </x:c>
      <x:c r="C14" s="11" t="str">
        <x:v>SA4</x:v>
      </x:c>
      <x:c r="D14" s="11" t="str">
        <x:v>B</x:v>
      </x:c>
      <x:c r="E14" s="11" t="str">
        <x:v>fault clearing time</x:v>
      </x:c>
      <x:c r="F14" s="11" t="str">
        <x:v>ms</x:v>
      </x:c>
      <x:c r="G14" s="17" t="n">
        <x:v>150</x:v>
      </x:c>
      <x:c r="H14" s="19" t="n">
        <x:v>12</x:v>
      </x:c>
      <x:c r="I14" s="19" t="n">
        <x:v>15</x:v>
      </x:c>
      <x:c r="J14" s="19" t="n">
        <x:v>12</x:v>
      </x:c>
      <x:c r="K14" s="19" t="n">
        <x:v>10.500000000000002</x:v>
      </x:c>
      <x:c r="L14" s="19" t="n">
        <x:v>7.5</x:v>
      </x:c>
      <x:c r="M14" s="17" t="n">
        <x:f>SQRT(H14^2+I14^2+J14^2+K14^2+L14^2)</x:f>
        <x:v>26.06722079547415</x:v>
      </x:c>
      <x:c r="N14" s="17" t="n">
        <x:f>G14/4</x:f>
        <x:v>37.5</x:v>
      </x:c>
      <x:c r="O14" s="17" t="n">
        <x:f>N14/M14</x:f>
        <x:v>1.43858834412109</x:v>
      </x:c>
      <x:c r="P14" s="11" t="str">
        <x:f>IF(AND(M14&lt;=N14,O14&gt;=1),"PASS","FAIL")</x:f>
        <x:v>PASS</x:v>
      </x:c>
    </x:row>
    <x:row r="15">
      <x:c r="B15" s="11" t="str">
        <x:v>UB-SA5-A</x:v>
      </x:c>
      <x:c r="C15" s="11" t="str">
        <x:v>SA5</x:v>
      </x:c>
      <x:c r="D15" s="11" t="str">
        <x:v>A</x:v>
      </x:c>
      <x:c r="E15" s="11" t="str">
        <x:v>heat-balance error</x:v>
      </x:c>
      <x:c r="F15" s="11" t="str">
        <x:v>fraction</x:v>
      </x:c>
      <x:c r="G15" s="17" t="n">
        <x:v>0.05</x:v>
      </x:c>
      <x:c r="H15" s="19" t="n">
        <x:v>0.004</x:v>
      </x:c>
      <x:c r="I15" s="19" t="n">
        <x:v>0.005000000000000001</x:v>
      </x:c>
      <x:c r="J15" s="19" t="n">
        <x:v>0.004</x:v>
      </x:c>
      <x:c r="K15" s="19" t="n">
        <x:v>0.0035000000000000005</x:v>
      </x:c>
      <x:c r="L15" s="19" t="n">
        <x:v>0.0025000000000000005</x:v>
      </x:c>
      <x:c r="M15" s="17" t="n">
        <x:f>SQRT(H15^2+I15^2+J15^2+K15^2+L15^2)</x:f>
        <x:v>0.008689073598491383</x:v>
      </x:c>
      <x:c r="N15" s="17" t="n">
        <x:f>G15/4</x:f>
        <x:v>0.0125</x:v>
      </x:c>
      <x:c r="O15" s="17" t="n">
        <x:f>N15/M15</x:f>
        <x:v>1.43858834412109</x:v>
      </x:c>
      <x:c r="P15" s="11" t="str">
        <x:f>IF(AND(M15&lt;=N15,O15&gt;=1),"PASS","FAIL")</x:f>
        <x:v>PASS</x:v>
      </x:c>
    </x:row>
    <x:row r="16">
      <x:c r="B16" s="11" t="str">
        <x:v>UB-SA5-B</x:v>
      </x:c>
      <x:c r="C16" s="11" t="str">
        <x:v>SA5</x:v>
      </x:c>
      <x:c r="D16" s="11" t="str">
        <x:v>B</x:v>
      </x:c>
      <x:c r="E16" s="11" t="str">
        <x:v>heat-balance error</x:v>
      </x:c>
      <x:c r="F16" s="11" t="str">
        <x:v>fraction</x:v>
      </x:c>
      <x:c r="G16" s="17" t="n">
        <x:v>0.05</x:v>
      </x:c>
      <x:c r="H16" s="19" t="n">
        <x:v>0.004</x:v>
      </x:c>
      <x:c r="I16" s="19" t="n">
        <x:v>0.005000000000000001</x:v>
      </x:c>
      <x:c r="J16" s="19" t="n">
        <x:v>0.004</x:v>
      </x:c>
      <x:c r="K16" s="19" t="n">
        <x:v>0.0035000000000000005</x:v>
      </x:c>
      <x:c r="L16" s="19" t="n">
        <x:v>0.0025000000000000005</x:v>
      </x:c>
      <x:c r="M16" s="17" t="n">
        <x:f>SQRT(H16^2+I16^2+J16^2+K16^2+L16^2)</x:f>
        <x:v>0.008689073598491383</x:v>
      </x:c>
      <x:c r="N16" s="17" t="n">
        <x:f>G16/4</x:f>
        <x:v>0.0125</x:v>
      </x:c>
      <x:c r="O16" s="17" t="n">
        <x:f>N16/M16</x:f>
        <x:v>1.43858834412109</x:v>
      </x:c>
      <x:c r="P16" s="11" t="str">
        <x:f>IF(AND(M16&lt;=N16,O16&gt;=1),"PASS","FAIL")</x:f>
        <x:v>PASS</x:v>
      </x:c>
    </x:row>
    <x:row r="17">
      <x:c r="B17" s="11" t="str">
        <x:v>UB-SA6-A</x:v>
      </x:c>
      <x:c r="C17" s="11" t="str">
        <x:v>SA6</x:v>
      </x:c>
      <x:c r="D17" s="11" t="str">
        <x:v>A</x:v>
      </x:c>
      <x:c r="E17" s="11" t="str">
        <x:v>custody discrepancy</x:v>
      </x:c>
      <x:c r="F17" s="11" t="str">
        <x:v>kg</x:v>
      </x:c>
      <x:c r="G17" s="17" t="n">
        <x:v>5</x:v>
      </x:c>
      <x:c r="H17" s="19" t="n">
        <x:v>0.4</x:v>
      </x:c>
      <x:c r="I17" s="19" t="n">
        <x:v>0.5</x:v>
      </x:c>
      <x:c r="J17" s="19" t="n">
        <x:v>0.4</x:v>
      </x:c>
      <x:c r="K17" s="19" t="n">
        <x:v>0.35000000000000003</x:v>
      </x:c>
      <x:c r="L17" s="19" t="n">
        <x:v>0.25</x:v>
      </x:c>
      <x:c r="M17" s="17" t="n">
        <x:f>SQRT(H17^2+I17^2+J17^2+K17^2+L17^2)</x:f>
        <x:v>0.8689073598491384</x:v>
      </x:c>
      <x:c r="N17" s="17" t="n">
        <x:f>G17/4</x:f>
        <x:v>1.25</x:v>
      </x:c>
      <x:c r="O17" s="17" t="n">
        <x:f>N17/M17</x:f>
        <x:v>1.43858834412109</x:v>
      </x:c>
      <x:c r="P17" s="11" t="str">
        <x:f>IF(AND(M17&lt;=N17,O17&gt;=1),"PASS","FAIL")</x:f>
        <x:v>PASS</x:v>
      </x:c>
    </x:row>
    <x:row r="18">
      <x:c r="B18" s="12" t="str">
        <x:v>UB-SA6-B</x:v>
      </x:c>
      <x:c r="C18" s="12" t="str">
        <x:v>SA6</x:v>
      </x:c>
      <x:c r="D18" s="12" t="str">
        <x:v>B</x:v>
      </x:c>
      <x:c r="E18" s="12" t="str">
        <x:v>custody discrepancy</x:v>
      </x:c>
      <x:c r="F18" s="12" t="str">
        <x:v>kg</x:v>
      </x:c>
      <x:c r="G18" s="18" t="n">
        <x:v>5</x:v>
      </x:c>
      <x:c r="H18" s="20" t="n">
        <x:v>0.4</x:v>
      </x:c>
      <x:c r="I18" s="20" t="n">
        <x:v>0.5</x:v>
      </x:c>
      <x:c r="J18" s="20" t="n">
        <x:v>0.4</x:v>
      </x:c>
      <x:c r="K18" s="20" t="n">
        <x:v>0.35000000000000003</x:v>
      </x:c>
      <x:c r="L18" s="20" t="n">
        <x:v>0.25</x:v>
      </x:c>
      <x:c r="M18" s="18" t="n">
        <x:f>SQRT(H18^2+I18^2+J18^2+K18^2+L18^2)</x:f>
        <x:v>0.8689073598491384</x:v>
      </x:c>
      <x:c r="N18" s="18" t="n">
        <x:f>G18/4</x:f>
        <x:v>1.25</x:v>
      </x:c>
      <x:c r="O18" s="18" t="n">
        <x:f>N18/M18</x:f>
        <x:v>1.43858834412109</x:v>
      </x:c>
      <x:c r="P18" s="12" t="str">
        <x:f>IF(AND(M18&lt;=N18,O18&gt;=1),"PASS","FAIL")</x:f>
        <x:v>PASS</x:v>
      </x:c>
    </x:row>
  </x:sheetData>
  <x:mergeCells>
    <x:mergeCell ref="B2:P2"/>
    <x:mergeCell ref="B3:P3"/>
  </x:mergeCells>
  <x:conditionalFormatting sqref="P7:P18">
    <x:cfRule type="containsText" dxfId="70" priority="1" operator="containsText" text="PASS"/>
    <x:cfRule type="containsText" dxfId="71" priority="2" operator="containsText" text="AUTHORIZED"/>
    <x:cfRule type="containsText" dxfId="72" priority="3" operator="containsText" text="DEFINED"/>
    <x:cfRule type="containsText" dxfId="73" priority="4" operator="containsText" text="READY"/>
    <x:cfRule type="containsText" dxfId="74" priority="5" operator="containsText" text="HOLD"/>
    <x:cfRule type="containsText" dxfId="75" priority="6" operator="containsText" text="OPEN"/>
    <x:cfRule type="containsText" dxfId="76" priority="7" operator="containsText" text="BLOCKED"/>
    <x:cfRule type="containsText" dxfId="77" priority="8" operator="containsText" text="PLANNING"/>
    <x:cfRule type="containsText" dxfId="78" priority="9" operator="containsText" text="QUARANTINE"/>
    <x:cfRule type="containsText" dxfId="79" priority="10" operator="containsText" text="INDETERMINATE"/>
    <x:cfRule type="containsText" dxfId="80" priority="11" operator="containsText" text="FAIL"/>
    <x:cfRule type="containsText" dxfId="81" priority="12" operator="containsText" text="REJECT"/>
    <x:cfRule type="containsText" dxfId="82" priority="13" operator="containsText" text="INVALID"/>
    <x:cfRule type="containsText" dxfId="83" priority="14" operator="containsText" text="STOP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0" hidden="0" customWidth="1"/>
    <x:col min="4" max="4" width="10" hidden="0" customWidth="1"/>
    <x:col min="5" max="5" width="32" hidden="0" customWidth="1"/>
    <x:col min="6" max="6" width="14" hidden="0" customWidth="1"/>
    <x:col min="7" max="7" width="20" hidden="0" customWidth="1"/>
    <x:col min="8" max="8" width="42" hidden="0" customWidth="1"/>
    <x:col min="9" max="9" width="42" hidden="0" customWidth="1"/>
    <x:col min="10" max="10" width="24" hidden="0" customWidth="1"/>
    <x:col min="11" max="11" width="14" hidden="0" customWidth="1"/>
    <x:col min="12" max="12" width="17" hidden="0" customWidth="1"/>
    <x:col min="13" max="13" width="17" hidden="0" customWidth="1"/>
    <x:col min="14" max="14" width="16" hidden="0" customWidth="1"/>
    <x:col min="15" max="15" width="20" hidden="0" customWidth="1"/>
    <x:col min="16" max="16" width="17" hidden="0" customWidth="1"/>
    <x:col min="17" max="17" width="15" hidden="0" customWidth="1"/>
    <x:col min="18" max="18" width="15" hidden="0" customWidth="1"/>
  </x:cols>
  <x:sheetData>
    <x:row r="2">
      <x:c r="B2" s="37" t="str">
        <x:v>Sixty family-specific event cards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3">
      <x:c r="B3" s="39" t="str">
        <x:v>Each causal class receives a family stimulus, truth module, independent failure apparatus, stopping law and expected disposition.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B6" s="9" t="str">
        <x:v>Template ID</x:v>
      </x:c>
      <x:c r="C6" s="9" t="str">
        <x:v>Family</x:v>
      </x:c>
      <x:c r="D6" s="9" t="str">
        <x:v>Sequence</x:v>
      </x:c>
      <x:c r="E6" s="9" t="str">
        <x:v>Event class</x:v>
      </x:c>
      <x:c r="F6" s="9" t="str">
        <x:v>Truth module</x:v>
      </x:c>
      <x:c r="G6" s="9" t="str">
        <x:v>Failure apparatus</x:v>
      </x:c>
      <x:c r="H6" s="9" t="str">
        <x:v>Source setting</x:v>
      </x:c>
      <x:c r="I6" s="9" t="str">
        <x:v>Stopping law</x:v>
      </x:c>
      <x:c r="J6" s="9" t="str">
        <x:v>Expected disposition</x:v>
      </x:c>
      <x:c r="K6" s="9" t="str">
        <x:v>Maximum hours</x:v>
      </x:c>
      <x:c r="L6" s="9" t="str">
        <x:v>Configuration frozen</x:v>
      </x:c>
      <x:c r="M6" s="9" t="str">
        <x:v>Truth rule frozen</x:v>
      </x:c>
      <x:c r="N6" s="9" t="str">
        <x:v>Stop rule frozen</x:v>
      </x:c>
      <x:c r="O6" s="9" t="str">
        <x:v>Evidence schema frozen</x:v>
      </x:c>
      <x:c r="P6" s="9" t="str">
        <x:v>Replay rule frozen</x:v>
      </x:c>
      <x:c r="Q6" s="9" t="str">
        <x:v>Planning state</x:v>
      </x:c>
      <x:c r="R6" s="9" t="str">
        <x:v>Physical source</x:v>
      </x:c>
    </x:row>
    <x:row r="7">
      <x:c r="B7" s="11" t="str">
        <x:v>ET-SA1-01</x:v>
      </x:c>
      <x:c r="C7" s="11" t="str">
        <x:v>SA1</x:v>
      </x:c>
      <x:c r="D7" s="11" t="n">
        <x:v>1</x:v>
      </x:c>
      <x:c r="E7" s="11" t="str">
        <x:v>fixture zero and transfer matrix</x:v>
      </x:c>
      <x:c r="F7" s="11" t="str">
        <x:v>T0</x:v>
      </x:c>
      <x:c r="G7" s="11" t="str">
        <x:v>none</x:v>
      </x:c>
      <x:c r="H7" s="11" t="str">
        <x:v>surveyed zero through 5/25/100 MN/m bed</x:v>
      </x:c>
      <x:c r="I7" s="11" t="str">
        <x:v>remove load to mechanical catch; preserve six-axis and survey records</x:v>
      </x:c>
      <x:c r="J7" s="11" t="str">
        <x:v>ACCEPT</x:v>
      </x:c>
      <x:c r="K7" s="11" t="n">
        <x:v>4</x:v>
      </x:c>
      <x:c r="L7" s="11" t="n">
        <x:v>1</x:v>
      </x:c>
      <x:c r="M7" s="11" t="n">
        <x:v>1</x:v>
      </x:c>
      <x:c r="N7" s="11" t="n">
        <x:v>1</x:v>
      </x:c>
      <x:c r="O7" s="11" t="n">
        <x:v>1</x:v>
      </x:c>
      <x:c r="P7" s="11" t="n">
        <x:v>0</x:v>
      </x:c>
      <x:c r="Q7" s="11" t="str">
        <x:f>IF(AND(K7&gt;0,L7=1,M7=1,N7=1,O7=1,IF(D7=9,P7=1,1)),"PASS","FAIL")</x:f>
        <x:v>PASS</x:v>
      </x:c>
      <x:c r="R7" s="13" t="n">
        <x:v>0</x:v>
      </x:c>
    </x:row>
    <x:row r="8">
      <x:c r="B8" s="11" t="str">
        <x:v>ET-SA1-02</x:v>
      </x:c>
      <x:c r="C8" s="11" t="str">
        <x:v>SA1</x:v>
      </x:c>
      <x:c r="D8" s="11" t="n">
        <x:v>2</x:v>
      </x:c>
      <x:c r="E8" s="11" t="str">
        <x:v>compliant near-boundary surrogate</x:v>
      </x:c>
      <x:c r="F8" s="11" t="str">
        <x:v>T1</x:v>
      </x:c>
      <x:c r="G8" s="11" t="str">
        <x:v>none</x:v>
      </x:c>
      <x:c r="H8" s="11" t="str">
        <x:v>datum shift inside band</x:v>
      </x:c>
      <x:c r="I8" s="11" t="str">
        <x:v>remove load to mechanical catch; preserve six-axis and survey records</x:v>
      </x:c>
      <x:c r="J8" s="11" t="str">
        <x:v>ACCEPT</x:v>
      </x:c>
      <x:c r="K8" s="11" t="n">
        <x:v>4</x:v>
      </x:c>
      <x:c r="L8" s="11" t="n">
        <x:v>1</x:v>
      </x:c>
      <x:c r="M8" s="11" t="n">
        <x:v>1</x:v>
      </x:c>
      <x:c r="N8" s="11" t="n">
        <x:v>1</x:v>
      </x:c>
      <x:c r="O8" s="11" t="n">
        <x:v>1</x:v>
      </x:c>
      <x:c r="P8" s="11" t="n">
        <x:v>0</x:v>
      </x:c>
      <x:c r="Q8" s="11" t="str">
        <x:f>IF(AND(K8&gt;0,L8=1,M8=1,N8=1,O8=1,IF(D8=9,P8=1,1)),"PASS","FAIL")</x:f>
        <x:v>PASS</x:v>
      </x:c>
      <x:c r="R8" s="13" t="n">
        <x:v>0</x:v>
      </x:c>
    </x:row>
    <x:row r="9">
      <x:c r="B9" s="11" t="str">
        <x:v>ET-SA1-03</x:v>
      </x:c>
      <x:c r="C9" s="11" t="str">
        <x:v>SA1</x:v>
      </x:c>
      <x:c r="D9" s="11" t="n">
        <x:v>3</x:v>
      </x:c>
      <x:c r="E9" s="11" t="str">
        <x:v>nonconforming surrogate</x:v>
      </x:c>
      <x:c r="F9" s="11" t="str">
        <x:v>T2</x:v>
      </x:c>
      <x:c r="G9" s="11" t="str">
        <x:v>none</x:v>
      </x:c>
      <x:c r="H9" s="11" t="str">
        <x:v>seeded fastener or node offset</x:v>
      </x:c>
      <x:c r="I9" s="11" t="str">
        <x:v>remove load to mechanical catch; preserve six-axis and survey records</x:v>
      </x:c>
      <x:c r="J9" s="11" t="str">
        <x:v>REJECT</x:v>
      </x:c>
      <x:c r="K9" s="11" t="n">
        <x:v>4</x:v>
      </x:c>
      <x:c r="L9" s="11" t="n">
        <x:v>1</x:v>
      </x:c>
      <x:c r="M9" s="11" t="n">
        <x:v>1</x:v>
      </x:c>
      <x:c r="N9" s="11" t="n">
        <x:v>1</x:v>
      </x:c>
      <x:c r="O9" s="11" t="n">
        <x:v>1</x:v>
      </x:c>
      <x:c r="P9" s="11" t="n">
        <x:v>0</x:v>
      </x:c>
      <x:c r="Q9" s="11" t="str">
        <x:f>IF(AND(K9&gt;0,L9=1,M9=1,N9=1,O9=1,IF(D9=9,P9=1,1)),"PASS","FAIL")</x:f>
        <x:v>PASS</x:v>
      </x:c>
      <x:c r="R9" s="13" t="n">
        <x:v>0</x:v>
      </x:c>
    </x:row>
    <x:row r="10">
      <x:c r="B10" s="11" t="str">
        <x:v>ET-SA1-04</x:v>
      </x:c>
      <x:c r="C10" s="11" t="str">
        <x:v>SA1</x:v>
      </x:c>
      <x:c r="D10" s="11" t="n">
        <x:v>4</x:v>
      </x:c>
      <x:c r="E10" s="11" t="str">
        <x:v>decision-boundary surrogate</x:v>
      </x:c>
      <x:c r="F10" s="11" t="str">
        <x:v>T3</x:v>
      </x:c>
      <x:c r="G10" s="11" t="str">
        <x:v>none</x:v>
      </x:c>
      <x:c r="H10" s="11" t="str">
        <x:v>offset centered on 0.5 mm</x:v>
      </x:c>
      <x:c r="I10" s="11" t="str">
        <x:v>remove load to mechanical catch; preserve six-axis and survey records</x:v>
      </x:c>
      <x:c r="J10" s="11" t="str">
        <x:v>INDETERMINATE</x:v>
      </x:c>
      <x:c r="K10" s="11" t="n">
        <x:v>5</x:v>
      </x:c>
      <x:c r="L10" s="11" t="n">
        <x:v>1</x:v>
      </x:c>
      <x:c r="M10" s="11" t="n">
        <x:v>1</x:v>
      </x:c>
      <x:c r="N10" s="11" t="n">
        <x:v>1</x:v>
      </x:c>
      <x:c r="O10" s="11" t="n">
        <x:v>1</x:v>
      </x:c>
      <x:c r="P10" s="11" t="n">
        <x:v>0</x:v>
      </x:c>
      <x:c r="Q10" s="11" t="str">
        <x:f>IF(AND(K10&gt;0,L10=1,M10=1,N10=1,O10=1,IF(D10=9,P10=1,1)),"PASS","FAIL")</x:f>
        <x:v>PASS</x:v>
      </x:c>
      <x:c r="R10" s="13" t="n">
        <x:v>0</x:v>
      </x:c>
    </x:row>
    <x:row r="11">
      <x:c r="B11" s="11" t="str">
        <x:v>ET-SA1-05</x:v>
      </x:c>
      <x:c r="C11" s="11" t="str">
        <x:v>SA1</x:v>
      </x:c>
      <x:c r="D11" s="11" t="n">
        <x:v>5</x:v>
      </x:c>
      <x:c r="E11" s="11" t="str">
        <x:v>sensor saturation or native gap</x:v>
      </x:c>
      <x:c r="F11" s="11" t="str">
        <x:v>T1</x:v>
      </x:c>
      <x:c r="G11" s="11" t="str">
        <x:v>data-plane kit</x:v>
      </x:c>
      <x:c r="H11" s="11" t="str">
        <x:v>saturate displacement reference</x:v>
      </x:c>
      <x:c r="I11" s="11" t="str">
        <x:v>remove load to mechanical catch; preserve six-axis and survey records</x:v>
      </x:c>
      <x:c r="J11" s="11" t="str">
        <x:v>INVALID</x:v>
      </x:c>
      <x:c r="K11" s="11" t="n">
        <x:v>3</x:v>
      </x:c>
      <x:c r="L11" s="11" t="n">
        <x:v>1</x:v>
      </x:c>
      <x:c r="M11" s="11" t="n">
        <x:v>1</x:v>
      </x:c>
      <x:c r="N11" s="11" t="n">
        <x:v>1</x:v>
      </x:c>
      <x:c r="O11" s="11" t="n">
        <x:v>1</x:v>
      </x:c>
      <x:c r="P11" s="11" t="n">
        <x:v>0</x:v>
      </x:c>
      <x:c r="Q11" s="11" t="str">
        <x:f>IF(AND(K11&gt;0,L11=1,M11=1,N11=1,O11=1,IF(D11=9,P11=1,1)),"PASS","FAIL")</x:f>
        <x:v>PASS</x:v>
      </x:c>
      <x:c r="R11" s="13" t="n">
        <x:v>0</x:v>
      </x:c>
    </x:row>
    <x:row r="12">
      <x:c r="B12" s="11" t="str">
        <x:v>ET-SA1-06</x:v>
      </x:c>
      <x:c r="C12" s="11" t="str">
        <x:v>SA1</x:v>
      </x:c>
      <x:c r="D12" s="11" t="n">
        <x:v>6</x:v>
      </x:c>
      <x:c r="E12" s="11" t="str">
        <x:v>command-observation disagreement</x:v>
      </x:c>
      <x:c r="F12" s="11" t="str">
        <x:v>T1</x:v>
      </x:c>
      <x:c r="G12" s="11" t="str">
        <x:v>data-plane kit</x:v>
      </x:c>
      <x:c r="H12" s="11" t="str">
        <x:v>command 150 kN; deliver 175 kN</x:v>
      </x:c>
      <x:c r="I12" s="11" t="str">
        <x:v>remove load to mechanical catch; preserve six-axis and survey records</x:v>
      </x:c>
      <x:c r="J12" s="11" t="str">
        <x:v>INVALID</x:v>
      </x:c>
      <x:c r="K12" s="11" t="n">
        <x:v>3</x:v>
      </x:c>
      <x:c r="L12" s="11" t="n">
        <x:v>1</x:v>
      </x:c>
      <x:c r="M12" s="11" t="n">
        <x:v>1</x:v>
      </x:c>
      <x:c r="N12" s="11" t="n">
        <x:v>1</x:v>
      </x:c>
      <x:c r="O12" s="11" t="n">
        <x:v>1</x:v>
      </x:c>
      <x:c r="P12" s="11" t="n">
        <x:v>0</x:v>
      </x:c>
      <x:c r="Q12" s="11" t="str">
        <x:f>IF(AND(K12&gt;0,L12=1,M12=1,N12=1,O12=1,IF(D12=9,P12=1,1)),"PASS","FAIL")</x:f>
        <x:v>PASS</x:v>
      </x:c>
      <x:c r="R12" s="13" t="n">
        <x:v>0</x:v>
      </x:c>
    </x:row>
    <x:row r="13">
      <x:c r="B13" s="11" t="str">
        <x:v>ET-SA1-07</x:v>
      </x:c>
      <x:c r="C13" s="11" t="str">
        <x:v>SA1</x:v>
      </x:c>
      <x:c r="D13" s="11" t="n">
        <x:v>7</x:v>
      </x:c>
      <x:c r="E13" s="11" t="str">
        <x:v>primary controller loss</x:v>
      </x:c>
      <x:c r="F13" s="11" t="str">
        <x:v>T1</x:v>
      </x:c>
      <x:c r="G13" s="11" t="str">
        <x:v>safety-hazard kit</x:v>
      </x:c>
      <x:c r="H13" s="11" t="str">
        <x:v>remove servo controller at peak load</x:v>
      </x:c>
      <x:c r="I13" s="11" t="str">
        <x:v>remove load to mechanical catch; preserve six-axis and survey records</x:v>
      </x:c>
      <x:c r="J13" s="11" t="str">
        <x:v>SAFE STATE</x:v>
      </x:c>
      <x:c r="K13" s="11" t="n">
        <x:v>2</x:v>
      </x:c>
      <x:c r="L13" s="11" t="n">
        <x:v>1</x:v>
      </x:c>
      <x:c r="M13" s="11" t="n">
        <x:v>1</x:v>
      </x:c>
      <x:c r="N13" s="11" t="n">
        <x:v>1</x:v>
      </x:c>
      <x:c r="O13" s="11" t="n">
        <x:v>1</x:v>
      </x:c>
      <x:c r="P13" s="11" t="n">
        <x:v>0</x:v>
      </x:c>
      <x:c r="Q13" s="11" t="str">
        <x:f>IF(AND(K13&gt;0,L13=1,M13=1,N13=1,O13=1,IF(D13=9,P13=1,1)),"PASS","FAIL")</x:f>
        <x:v>PASS</x:v>
      </x:c>
      <x:c r="R13" s="13" t="n">
        <x:v>0</x:v>
      </x:c>
    </x:row>
    <x:row r="14">
      <x:c r="B14" s="11" t="str">
        <x:v>ET-SA1-08</x:v>
      </x:c>
      <x:c r="C14" s="11" t="str">
        <x:v>SA1</x:v>
      </x:c>
      <x:c r="D14" s="11" t="n">
        <x:v>8</x:v>
      </x:c>
      <x:c r="E14" s="11" t="str">
        <x:v>one safe-state actuator loss</x:v>
      </x:c>
      <x:c r="F14" s="11" t="str">
        <x:v>T1</x:v>
      </x:c>
      <x:c r="G14" s="11" t="str">
        <x:v>safety-hazard kit</x:v>
      </x:c>
      <x:c r="H14" s="11" t="str">
        <x:v>deny one unload actuator</x:v>
      </x:c>
      <x:c r="I14" s="11" t="str">
        <x:v>remove load to mechanical catch; preserve six-axis and survey records</x:v>
      </x:c>
      <x:c r="J14" s="11" t="str">
        <x:v>SAFE STATE</x:v>
      </x:c>
      <x:c r="K14" s="11" t="n">
        <x:v>2</x:v>
      </x:c>
      <x:c r="L14" s="11" t="n">
        <x:v>1</x:v>
      </x:c>
      <x:c r="M14" s="11" t="n">
        <x:v>1</x:v>
      </x:c>
      <x:c r="N14" s="11" t="n">
        <x:v>1</x:v>
      </x:c>
      <x:c r="O14" s="11" t="n">
        <x:v>1</x:v>
      </x:c>
      <x:c r="P14" s="11" t="n">
        <x:v>0</x:v>
      </x:c>
      <x:c r="Q14" s="11" t="str">
        <x:f>IF(AND(K14&gt;0,L14=1,M14=1,N14=1,O14=1,IF(D14=9,P14=1,1)),"PASS","FAIL")</x:f>
        <x:v>PASS</x:v>
      </x:c>
      <x:c r="R14" s="13" t="n">
        <x:v>0</x:v>
      </x:c>
    </x:row>
    <x:row r="15">
      <x:c r="B15" s="11" t="str">
        <x:v>ET-SA1-09</x:v>
      </x:c>
      <x:c r="C15" s="11" t="str">
        <x:v>SA1</x:v>
      </x:c>
      <x:c r="D15" s="11" t="n">
        <x:v>9</x:v>
      </x:c>
      <x:c r="E15" s="11" t="str">
        <x:v>clock, signing and network denial</x:v>
      </x:c>
      <x:c r="F15" s="11" t="str">
        <x:v>T1</x:v>
      </x:c>
      <x:c r="G15" s="11" t="str">
        <x:v>data-plane kit</x:v>
      </x:c>
      <x:c r="H15" s="11" t="str">
        <x:v>deny external clock and signing</x:v>
      </x:c>
      <x:c r="I15" s="11" t="str">
        <x:v>remove load to mechanical catch; preserve six-axis and survey records</x:v>
      </x:c>
      <x:c r="J15" s="11" t="str">
        <x:v>SAFE STATE AND REPLAY</x:v>
      </x:c>
      <x:c r="K15" s="11" t="n">
        <x:v>4</x:v>
      </x:c>
      <x:c r="L15" s="11" t="n">
        <x:v>1</x:v>
      </x:c>
      <x:c r="M15" s="11" t="n">
        <x:v>1</x:v>
      </x:c>
      <x:c r="N15" s="11" t="n">
        <x:v>1</x:v>
      </x:c>
      <x:c r="O15" s="11" t="n">
        <x:v>1</x:v>
      </x:c>
      <x:c r="P15" s="11" t="n">
        <x:v>1</x:v>
      </x:c>
      <x:c r="Q15" s="11" t="str">
        <x:f>IF(AND(K15&gt;0,L15=1,M15=1,N15=1,O15=1,IF(D15=9,P15=1,1)),"PASS","FAIL")</x:f>
        <x:v>PASS</x:v>
      </x:c>
      <x:c r="R15" s="13" t="n">
        <x:v>0</x:v>
      </x:c>
    </x:row>
    <x:row r="16">
      <x:c r="B16" s="11" t="str">
        <x:v>ET-SA1-10</x:v>
      </x:c>
      <x:c r="C16" s="11" t="str">
        <x:v>SA1</x:v>
      </x:c>
      <x:c r="D16" s="11" t="n">
        <x:v>10</x:v>
      </x:c>
      <x:c r="E16" s="11" t="str">
        <x:v>retained hazard or carryover</x:v>
      </x:c>
      <x:c r="F16" s="11" t="str">
        <x:v>T1</x:v>
      </x:c>
      <x:c r="G16" s="11" t="str">
        <x:v>safety-hazard kit</x:v>
      </x:c>
      <x:c r="H16" s="11" t="str">
        <x:v>retain 25 kN or unverified datum</x:v>
      </x:c>
      <x:c r="I16" s="11" t="str">
        <x:v>remove load to mechanical catch; preserve six-axis and survey records</x:v>
      </x:c>
      <x:c r="J16" s="11" t="str">
        <x:v>QUARANTINE</x:v>
      </x:c>
      <x:c r="K16" s="11" t="n">
        <x:v>6</x:v>
      </x:c>
      <x:c r="L16" s="11" t="n">
        <x:v>1</x:v>
      </x:c>
      <x:c r="M16" s="11" t="n">
        <x:v>1</x:v>
      </x:c>
      <x:c r="N16" s="11" t="n">
        <x:v>1</x:v>
      </x:c>
      <x:c r="O16" s="11" t="n">
        <x:v>1</x:v>
      </x:c>
      <x:c r="P16" s="11" t="n">
        <x:v>0</x:v>
      </x:c>
      <x:c r="Q16" s="11" t="str">
        <x:f>IF(AND(K16&gt;0,L16=1,M16=1,N16=1,O16=1,IF(D16=9,P16=1,1)),"PASS","FAIL")</x:f>
        <x:v>PASS</x:v>
      </x:c>
      <x:c r="R16" s="13" t="n">
        <x:v>0</x:v>
      </x:c>
    </x:row>
    <x:row r="17">
      <x:c r="B17" s="11" t="str">
        <x:v>ET-SA2-01</x:v>
      </x:c>
      <x:c r="C17" s="11" t="str">
        <x:v>SA2</x:v>
      </x:c>
      <x:c r="D17" s="11" t="n">
        <x:v>1</x:v>
      </x:c>
      <x:c r="E17" s="11" t="str">
        <x:v>fixture zero and transfer matrix</x:v>
      </x:c>
      <x:c r="F17" s="11" t="str">
        <x:v>T0</x:v>
      </x:c>
      <x:c r="G17" s="11" t="str">
        <x:v>none</x:v>
      </x:c>
      <x:c r="H17" s="11" t="str">
        <x:v>six-axis link in pinned/guided/capture states</x:v>
      </x:c>
      <x:c r="I17" s="11" t="str">
        <x:v>arrest on passive supports; preserve node reaction and geometry</x:v>
      </x:c>
      <x:c r="J17" s="11" t="str">
        <x:v>ACCEPT</x:v>
      </x:c>
      <x:c r="K17" s="11" t="n">
        <x:v>4</x:v>
      </x:c>
      <x:c r="L17" s="11" t="n">
        <x:v>1</x:v>
      </x:c>
      <x:c r="M17" s="11" t="n">
        <x:v>1</x:v>
      </x:c>
      <x:c r="N17" s="11" t="n">
        <x:v>1</x:v>
      </x:c>
      <x:c r="O17" s="11" t="n">
        <x:v>1</x:v>
      </x:c>
      <x:c r="P17" s="11" t="n">
        <x:v>0</x:v>
      </x:c>
      <x:c r="Q17" s="11" t="str">
        <x:f>IF(AND(K17&gt;0,L17=1,M17=1,N17=1,O17=1,IF(D17=9,P17=1,1)),"PASS","FAIL")</x:f>
        <x:v>PASS</x:v>
      </x:c>
      <x:c r="R17" s="13" t="n">
        <x:v>0</x:v>
      </x:c>
    </x:row>
    <x:row r="18">
      <x:c r="B18" s="11" t="str">
        <x:v>ET-SA2-02</x:v>
      </x:c>
      <x:c r="C18" s="11" t="str">
        <x:v>SA2</x:v>
      </x:c>
      <x:c r="D18" s="11" t="n">
        <x:v>2</x:v>
      </x:c>
      <x:c r="E18" s="11" t="str">
        <x:v>compliant near-boundary surrogate</x:v>
      </x:c>
      <x:c r="F18" s="11" t="str">
        <x:v>T1</x:v>
      </x:c>
      <x:c r="G18" s="11" t="str">
        <x:v>none</x:v>
      </x:c>
      <x:c r="H18" s="11" t="str">
        <x:v>slip inside 0.5 mm band</x:v>
      </x:c>
      <x:c r="I18" s="11" t="str">
        <x:v>arrest on passive supports; preserve node reaction and geometry</x:v>
      </x:c>
      <x:c r="J18" s="11" t="str">
        <x:v>ACCEPT</x:v>
      </x:c>
      <x:c r="K18" s="11" t="n">
        <x:v>4</x:v>
      </x:c>
      <x:c r="L18" s="11" t="n">
        <x:v>1</x:v>
      </x:c>
      <x:c r="M18" s="11" t="n">
        <x:v>1</x:v>
      </x:c>
      <x:c r="N18" s="11" t="n">
        <x:v>1</x:v>
      </x:c>
      <x:c r="O18" s="11" t="n">
        <x:v>1</x:v>
      </x:c>
      <x:c r="P18" s="11" t="n">
        <x:v>0</x:v>
      </x:c>
      <x:c r="Q18" s="11" t="str">
        <x:f>IF(AND(K18&gt;0,L18=1,M18=1,N18=1,O18=1,IF(D18=9,P18=1,1)),"PASS","FAIL")</x:f>
        <x:v>PASS</x:v>
      </x:c>
      <x:c r="R18" s="13" t="n">
        <x:v>0</x:v>
      </x:c>
    </x:row>
    <x:row r="19">
      <x:c r="B19" s="11" t="str">
        <x:v>ET-SA2-03</x:v>
      </x:c>
      <x:c r="C19" s="11" t="str">
        <x:v>SA2</x:v>
      </x:c>
      <x:c r="D19" s="11" t="n">
        <x:v>3</x:v>
      </x:c>
      <x:c r="E19" s="11" t="str">
        <x:v>nonconforming surrogate</x:v>
      </x:c>
      <x:c r="F19" s="11" t="str">
        <x:v>T2</x:v>
      </x:c>
      <x:c r="G19" s="11" t="str">
        <x:v>none</x:v>
      </x:c>
      <x:c r="H19" s="11" t="str">
        <x:v>seeded slip beyond guard band</x:v>
      </x:c>
      <x:c r="I19" s="11" t="str">
        <x:v>arrest on passive supports; preserve node reaction and geometry</x:v>
      </x:c>
      <x:c r="J19" s="11" t="str">
        <x:v>REJECT</x:v>
      </x:c>
      <x:c r="K19" s="11" t="n">
        <x:v>4</x:v>
      </x:c>
      <x:c r="L19" s="11" t="n">
        <x:v>1</x:v>
      </x:c>
      <x:c r="M19" s="11" t="n">
        <x:v>1</x:v>
      </x:c>
      <x:c r="N19" s="11" t="n">
        <x:v>1</x:v>
      </x:c>
      <x:c r="O19" s="11" t="n">
        <x:v>1</x:v>
      </x:c>
      <x:c r="P19" s="11" t="n">
        <x:v>0</x:v>
      </x:c>
      <x:c r="Q19" s="11" t="str">
        <x:f>IF(AND(K19&gt;0,L19=1,M19=1,N19=1,O19=1,IF(D19=9,P19=1,1)),"PASS","FAIL")</x:f>
        <x:v>PASS</x:v>
      </x:c>
      <x:c r="R19" s="13" t="n">
        <x:v>0</x:v>
      </x:c>
    </x:row>
    <x:row r="20">
      <x:c r="B20" s="11" t="str">
        <x:v>ET-SA2-04</x:v>
      </x:c>
      <x:c r="C20" s="11" t="str">
        <x:v>SA2</x:v>
      </x:c>
      <x:c r="D20" s="11" t="n">
        <x:v>4</x:v>
      </x:c>
      <x:c r="E20" s="11" t="str">
        <x:v>decision-boundary surrogate</x:v>
      </x:c>
      <x:c r="F20" s="11" t="str">
        <x:v>T3</x:v>
      </x:c>
      <x:c r="G20" s="11" t="str">
        <x:v>none</x:v>
      </x:c>
      <x:c r="H20" s="11" t="str">
        <x:v>slip centered on 0.5 mm</x:v>
      </x:c>
      <x:c r="I20" s="11" t="str">
        <x:v>arrest on passive supports; preserve node reaction and geometry</x:v>
      </x:c>
      <x:c r="J20" s="11" t="str">
        <x:v>INDETERMINATE</x:v>
      </x:c>
      <x:c r="K20" s="11" t="n">
        <x:v>5</x:v>
      </x:c>
      <x:c r="L20" s="11" t="n">
        <x:v>1</x:v>
      </x:c>
      <x:c r="M20" s="11" t="n">
        <x:v>1</x:v>
      </x:c>
      <x:c r="N20" s="11" t="n">
        <x:v>1</x:v>
      </x:c>
      <x:c r="O20" s="11" t="n">
        <x:v>1</x:v>
      </x:c>
      <x:c r="P20" s="11" t="n">
        <x:v>0</x:v>
      </x:c>
      <x:c r="Q20" s="11" t="str">
        <x:f>IF(AND(K20&gt;0,L20=1,M20=1,N20=1,O20=1,IF(D20=9,P20=1,1)),"PASS","FAIL")</x:f>
        <x:v>PASS</x:v>
      </x:c>
      <x:c r="R20" s="13" t="n">
        <x:v>0</x:v>
      </x:c>
    </x:row>
    <x:row r="21">
      <x:c r="B21" s="11" t="str">
        <x:v>ET-SA2-05</x:v>
      </x:c>
      <x:c r="C21" s="11" t="str">
        <x:v>SA2</x:v>
      </x:c>
      <x:c r="D21" s="11" t="n">
        <x:v>5</x:v>
      </x:c>
      <x:c r="E21" s="11" t="str">
        <x:v>sensor saturation or native gap</x:v>
      </x:c>
      <x:c r="F21" s="11" t="str">
        <x:v>T1</x:v>
      </x:c>
      <x:c r="G21" s="11" t="str">
        <x:v>data-plane kit</x:v>
      </x:c>
      <x:c r="H21" s="11" t="str">
        <x:v>saturate one force/moment channel</x:v>
      </x:c>
      <x:c r="I21" s="11" t="str">
        <x:v>arrest on passive supports; preserve node reaction and geometry</x:v>
      </x:c>
      <x:c r="J21" s="11" t="str">
        <x:v>INVALID</x:v>
      </x:c>
      <x:c r="K21" s="11" t="n">
        <x:v>3</x:v>
      </x:c>
      <x:c r="L21" s="11" t="n">
        <x:v>1</x:v>
      </x:c>
      <x:c r="M21" s="11" t="n">
        <x:v>1</x:v>
      </x:c>
      <x:c r="N21" s="11" t="n">
        <x:v>1</x:v>
      </x:c>
      <x:c r="O21" s="11" t="n">
        <x:v>1</x:v>
      </x:c>
      <x:c r="P21" s="11" t="n">
        <x:v>0</x:v>
      </x:c>
      <x:c r="Q21" s="11" t="str">
        <x:f>IF(AND(K21&gt;0,L21=1,M21=1,N21=1,O21=1,IF(D21=9,P21=1,1)),"PASS","FAIL")</x:f>
        <x:v>PASS</x:v>
      </x:c>
      <x:c r="R21" s="13" t="n">
        <x:v>0</x:v>
      </x:c>
    </x:row>
    <x:row r="22">
      <x:c r="B22" s="11" t="str">
        <x:v>ET-SA2-06</x:v>
      </x:c>
      <x:c r="C22" s="11" t="str">
        <x:v>SA2</x:v>
      </x:c>
      <x:c r="D22" s="11" t="n">
        <x:v>6</x:v>
      </x:c>
      <x:c r="E22" s="11" t="str">
        <x:v>command-observation disagreement</x:v>
      </x:c>
      <x:c r="F22" s="11" t="str">
        <x:v>T1</x:v>
      </x:c>
      <x:c r="G22" s="11" t="str">
        <x:v>data-plane kit</x:v>
      </x:c>
      <x:c r="H22" s="11" t="str">
        <x:v>command symmetric lift; delay one node</x:v>
      </x:c>
      <x:c r="I22" s="11" t="str">
        <x:v>arrest on passive supports; preserve node reaction and geometry</x:v>
      </x:c>
      <x:c r="J22" s="11" t="str">
        <x:v>INVALID</x:v>
      </x:c>
      <x:c r="K22" s="11" t="n">
        <x:v>3</x:v>
      </x:c>
      <x:c r="L22" s="11" t="n">
        <x:v>1</x:v>
      </x:c>
      <x:c r="M22" s="11" t="n">
        <x:v>1</x:v>
      </x:c>
      <x:c r="N22" s="11" t="n">
        <x:v>1</x:v>
      </x:c>
      <x:c r="O22" s="11" t="n">
        <x:v>1</x:v>
      </x:c>
      <x:c r="P22" s="11" t="n">
        <x:v>0</x:v>
      </x:c>
      <x:c r="Q22" s="11" t="str">
        <x:f>IF(AND(K22&gt;0,L22=1,M22=1,N22=1,O22=1,IF(D22=9,P22=1,1)),"PASS","FAIL")</x:f>
        <x:v>PASS</x:v>
      </x:c>
      <x:c r="R22" s="13" t="n">
        <x:v>0</x:v>
      </x:c>
    </x:row>
    <x:row r="23">
      <x:c r="B23" s="11" t="str">
        <x:v>ET-SA2-07</x:v>
      </x:c>
      <x:c r="C23" s="11" t="str">
        <x:v>SA2</x:v>
      </x:c>
      <x:c r="D23" s="11" t="n">
        <x:v>7</x:v>
      </x:c>
      <x:c r="E23" s="11" t="str">
        <x:v>primary controller loss</x:v>
      </x:c>
      <x:c r="F23" s="11" t="str">
        <x:v>T1</x:v>
      </x:c>
      <x:c r="G23" s="11" t="str">
        <x:v>safety-hazard kit</x:v>
      </x:c>
      <x:c r="H23" s="11" t="str">
        <x:v>remove lift controller during transfer</x:v>
      </x:c>
      <x:c r="I23" s="11" t="str">
        <x:v>arrest on passive supports; preserve node reaction and geometry</x:v>
      </x:c>
      <x:c r="J23" s="11" t="str">
        <x:v>SAFE STATE</x:v>
      </x:c>
      <x:c r="K23" s="11" t="n">
        <x:v>2</x:v>
      </x:c>
      <x:c r="L23" s="11" t="n">
        <x:v>1</x:v>
      </x:c>
      <x:c r="M23" s="11" t="n">
        <x:v>1</x:v>
      </x:c>
      <x:c r="N23" s="11" t="n">
        <x:v>1</x:v>
      </x:c>
      <x:c r="O23" s="11" t="n">
        <x:v>1</x:v>
      </x:c>
      <x:c r="P23" s="11" t="n">
        <x:v>0</x:v>
      </x:c>
      <x:c r="Q23" s="11" t="str">
        <x:f>IF(AND(K23&gt;0,L23=1,M23=1,N23=1,O23=1,IF(D23=9,P23=1,1)),"PASS","FAIL")</x:f>
        <x:v>PASS</x:v>
      </x:c>
      <x:c r="R23" s="13" t="n">
        <x:v>0</x:v>
      </x:c>
    </x:row>
    <x:row r="24">
      <x:c r="B24" s="11" t="str">
        <x:v>ET-SA2-08</x:v>
      </x:c>
      <x:c r="C24" s="11" t="str">
        <x:v>SA2</x:v>
      </x:c>
      <x:c r="D24" s="11" t="n">
        <x:v>8</x:v>
      </x:c>
      <x:c r="E24" s="11" t="str">
        <x:v>one safe-state actuator loss</x:v>
      </x:c>
      <x:c r="F24" s="11" t="str">
        <x:v>T1</x:v>
      </x:c>
      <x:c r="G24" s="11" t="str">
        <x:v>safety-hazard kit</x:v>
      </x:c>
      <x:c r="H24" s="11" t="str">
        <x:v>deny one emergency-lower path</x:v>
      </x:c>
      <x:c r="I24" s="11" t="str">
        <x:v>arrest on passive supports; preserve node reaction and geometry</x:v>
      </x:c>
      <x:c r="J24" s="11" t="str">
        <x:v>SAFE STATE</x:v>
      </x:c>
      <x:c r="K24" s="11" t="n">
        <x:v>3</x:v>
      </x:c>
      <x:c r="L24" s="11" t="n">
        <x:v>1</x:v>
      </x:c>
      <x:c r="M24" s="11" t="n">
        <x:v>1</x:v>
      </x:c>
      <x:c r="N24" s="11" t="n">
        <x:v>1</x:v>
      </x:c>
      <x:c r="O24" s="11" t="n">
        <x:v>1</x:v>
      </x:c>
      <x:c r="P24" s="11" t="n">
        <x:v>0</x:v>
      </x:c>
      <x:c r="Q24" s="11" t="str">
        <x:f>IF(AND(K24&gt;0,L24=1,M24=1,N24=1,O24=1,IF(D24=9,P24=1,1)),"PASS","FAIL")</x:f>
        <x:v>PASS</x:v>
      </x:c>
      <x:c r="R24" s="13" t="n">
        <x:v>0</x:v>
      </x:c>
    </x:row>
    <x:row r="25">
      <x:c r="B25" s="11" t="str">
        <x:v>ET-SA2-09</x:v>
      </x:c>
      <x:c r="C25" s="11" t="str">
        <x:v>SA2</x:v>
      </x:c>
      <x:c r="D25" s="11" t="n">
        <x:v>9</x:v>
      </x:c>
      <x:c r="E25" s="11" t="str">
        <x:v>clock, signing and network denial</x:v>
      </x:c>
      <x:c r="F25" s="11" t="str">
        <x:v>T1</x:v>
      </x:c>
      <x:c r="G25" s="11" t="str">
        <x:v>data-plane kit</x:v>
      </x:c>
      <x:c r="H25" s="11" t="str">
        <x:v>deny time, network and signing</x:v>
      </x:c>
      <x:c r="I25" s="11" t="str">
        <x:v>arrest on passive supports; preserve node reaction and geometry</x:v>
      </x:c>
      <x:c r="J25" s="11" t="str">
        <x:v>SAFE STATE AND REPLAY</x:v>
      </x:c>
      <x:c r="K25" s="11" t="n">
        <x:v>4</x:v>
      </x:c>
      <x:c r="L25" s="11" t="n">
        <x:v>1</x:v>
      </x:c>
      <x:c r="M25" s="11" t="n">
        <x:v>1</x:v>
      </x:c>
      <x:c r="N25" s="11" t="n">
        <x:v>1</x:v>
      </x:c>
      <x:c r="O25" s="11" t="n">
        <x:v>1</x:v>
      </x:c>
      <x:c r="P25" s="11" t="n">
        <x:v>1</x:v>
      </x:c>
      <x:c r="Q25" s="11" t="str">
        <x:f>IF(AND(K25&gt;0,L25=1,M25=1,N25=1,O25=1,IF(D25=9,P25=1,1)),"PASS","FAIL")</x:f>
        <x:v>PASS</x:v>
      </x:c>
      <x:c r="R25" s="13" t="n">
        <x:v>0</x:v>
      </x:c>
    </x:row>
    <x:row r="26">
      <x:c r="B26" s="11" t="str">
        <x:v>ET-SA2-10</x:v>
      </x:c>
      <x:c r="C26" s="11" t="str">
        <x:v>SA2</x:v>
      </x:c>
      <x:c r="D26" s="11" t="n">
        <x:v>10</x:v>
      </x:c>
      <x:c r="E26" s="11" t="str">
        <x:v>retained hazard or carryover</x:v>
      </x:c>
      <x:c r="F26" s="11" t="str">
        <x:v>T1</x:v>
      </x:c>
      <x:c r="G26" s="11" t="str">
        <x:v>safety-hazard kit</x:v>
      </x:c>
      <x:c r="H26" s="11" t="str">
        <x:v>retain suspended or captured load</x:v>
      </x:c>
      <x:c r="I26" s="11" t="str">
        <x:v>arrest on passive supports; preserve node reaction and geometry</x:v>
      </x:c>
      <x:c r="J26" s="11" t="str">
        <x:v>QUARANTINE</x:v>
      </x:c>
      <x:c r="K26" s="11" t="n">
        <x:v>6</x:v>
      </x:c>
      <x:c r="L26" s="11" t="n">
        <x:v>1</x:v>
      </x:c>
      <x:c r="M26" s="11" t="n">
        <x:v>1</x:v>
      </x:c>
      <x:c r="N26" s="11" t="n">
        <x:v>1</x:v>
      </x:c>
      <x:c r="O26" s="11" t="n">
        <x:v>1</x:v>
      </x:c>
      <x:c r="P26" s="11" t="n">
        <x:v>0</x:v>
      </x:c>
      <x:c r="Q26" s="11" t="str">
        <x:f>IF(AND(K26&gt;0,L26=1,M26=1,N26=1,O26=1,IF(D26=9,P26=1,1)),"PASS","FAIL")</x:f>
        <x:v>PASS</x:v>
      </x:c>
      <x:c r="R26" s="13" t="n">
        <x:v>0</x:v>
      </x:c>
    </x:row>
    <x:row r="27">
      <x:c r="B27" s="11" t="str">
        <x:v>ET-SA3-01</x:v>
      </x:c>
      <x:c r="C27" s="11" t="str">
        <x:v>SA3</x:v>
      </x:c>
      <x:c r="D27" s="11" t="n">
        <x:v>1</x:v>
      </x:c>
      <x:c r="E27" s="11" t="str">
        <x:v>fixture zero and transfer matrix</x:v>
      </x:c>
      <x:c r="F27" s="11" t="str">
        <x:v>T0</x:v>
      </x:c>
      <x:c r="G27" s="11" t="str">
        <x:v>none</x:v>
      </x:c>
      <x:c r="H27" s="11" t="str">
        <x:v>rigid spool and elastic bladder matrix</x:v>
      </x:c>
      <x:c r="I27" s="11" t="str">
        <x:v>close both ends; dump to segregated recovery; preserve samples</x:v>
      </x:c>
      <x:c r="J27" s="11" t="str">
        <x:v>ACCEPT</x:v>
      </x:c>
      <x:c r="K27" s="11" t="n">
        <x:v>5</x:v>
      </x:c>
      <x:c r="L27" s="11" t="n">
        <x:v>1</x:v>
      </x:c>
      <x:c r="M27" s="11" t="n">
        <x:v>1</x:v>
      </x:c>
      <x:c r="N27" s="11" t="n">
        <x:v>1</x:v>
      </x:c>
      <x:c r="O27" s="11" t="n">
        <x:v>1</x:v>
      </x:c>
      <x:c r="P27" s="11" t="n">
        <x:v>0</x:v>
      </x:c>
      <x:c r="Q27" s="11" t="str">
        <x:f>IF(AND(K27&gt;0,L27=1,M27=1,N27=1,O27=1,IF(D27=9,P27=1,1)),"PASS","FAIL")</x:f>
        <x:v>PASS</x:v>
      </x:c>
      <x:c r="R27" s="13" t="n">
        <x:v>0</x:v>
      </x:c>
    </x:row>
    <x:row r="28">
      <x:c r="B28" s="11" t="str">
        <x:v>ET-SA3-02</x:v>
      </x:c>
      <x:c r="C28" s="11" t="str">
        <x:v>SA3</x:v>
      </x:c>
      <x:c r="D28" s="11" t="n">
        <x:v>2</x:v>
      </x:c>
      <x:c r="E28" s="11" t="str">
        <x:v>compliant near-boundary surrogate</x:v>
      </x:c>
      <x:c r="F28" s="11" t="str">
        <x:v>T1</x:v>
      </x:c>
      <x:c r="G28" s="11" t="str">
        <x:v>none</x:v>
      </x:c>
      <x:c r="H28" s="11" t="str">
        <x:v>bore change inside 0.1 mm band</x:v>
      </x:c>
      <x:c r="I28" s="11" t="str">
        <x:v>close both ends; dump to segregated recovery; preserve samples</x:v>
      </x:c>
      <x:c r="J28" s="11" t="str">
        <x:v>ACCEPT</x:v>
      </x:c>
      <x:c r="K28" s="11" t="n">
        <x:v>5</x:v>
      </x:c>
      <x:c r="L28" s="11" t="n">
        <x:v>1</x:v>
      </x:c>
      <x:c r="M28" s="11" t="n">
        <x:v>1</x:v>
      </x:c>
      <x:c r="N28" s="11" t="n">
        <x:v>1</x:v>
      </x:c>
      <x:c r="O28" s="11" t="n">
        <x:v>1</x:v>
      </x:c>
      <x:c r="P28" s="11" t="n">
        <x:v>0</x:v>
      </x:c>
      <x:c r="Q28" s="11" t="str">
        <x:f>IF(AND(K28&gt;0,L28=1,M28=1,N28=1,O28=1,IF(D28=9,P28=1,1)),"PASS","FAIL")</x:f>
        <x:v>PASS</x:v>
      </x:c>
      <x:c r="R28" s="13" t="n">
        <x:v>0</x:v>
      </x:c>
    </x:row>
    <x:row r="29">
      <x:c r="B29" s="11" t="str">
        <x:v>ET-SA3-03</x:v>
      </x:c>
      <x:c r="C29" s="11" t="str">
        <x:v>SA3</x:v>
      </x:c>
      <x:c r="D29" s="11" t="n">
        <x:v>3</x:v>
      </x:c>
      <x:c r="E29" s="11" t="str">
        <x:v>nonconforming surrogate</x:v>
      </x:c>
      <x:c r="F29" s="11" t="str">
        <x:v>T2</x:v>
      </x:c>
      <x:c r="G29" s="11" t="str">
        <x:v>none</x:v>
      </x:c>
      <x:c r="H29" s="11" t="str">
        <x:v>bore or bypass beyond guard band</x:v>
      </x:c>
      <x:c r="I29" s="11" t="str">
        <x:v>close both ends; dump to segregated recovery; preserve samples</x:v>
      </x:c>
      <x:c r="J29" s="11" t="str">
        <x:v>REJECT</x:v>
      </x:c>
      <x:c r="K29" s="11" t="n">
        <x:v>5</x:v>
      </x:c>
      <x:c r="L29" s="11" t="n">
        <x:v>1</x:v>
      </x:c>
      <x:c r="M29" s="11" t="n">
        <x:v>1</x:v>
      </x:c>
      <x:c r="N29" s="11" t="n">
        <x:v>1</x:v>
      </x:c>
      <x:c r="O29" s="11" t="n">
        <x:v>1</x:v>
      </x:c>
      <x:c r="P29" s="11" t="n">
        <x:v>0</x:v>
      </x:c>
      <x:c r="Q29" s="11" t="str">
        <x:f>IF(AND(K29&gt;0,L29=1,M29=1,N29=1,O29=1,IF(D29=9,P29=1,1)),"PASS","FAIL")</x:f>
        <x:v>PASS</x:v>
      </x:c>
      <x:c r="R29" s="13" t="n">
        <x:v>0</x:v>
      </x:c>
    </x:row>
    <x:row r="30">
      <x:c r="B30" s="11" t="str">
        <x:v>ET-SA3-04</x:v>
      </x:c>
      <x:c r="C30" s="11" t="str">
        <x:v>SA3</x:v>
      </x:c>
      <x:c r="D30" s="11" t="n">
        <x:v>4</x:v>
      </x:c>
      <x:c r="E30" s="11" t="str">
        <x:v>decision-boundary surrogate</x:v>
      </x:c>
      <x:c r="F30" s="11" t="str">
        <x:v>T3</x:v>
      </x:c>
      <x:c r="G30" s="11" t="str">
        <x:v>none</x:v>
      </x:c>
      <x:c r="H30" s="11" t="str">
        <x:v>bore change centered on 0.1 mm</x:v>
      </x:c>
      <x:c r="I30" s="11" t="str">
        <x:v>close both ends; dump to segregated recovery; preserve samples</x:v>
      </x:c>
      <x:c r="J30" s="11" t="str">
        <x:v>INDETERMINATE</x:v>
      </x:c>
      <x:c r="K30" s="11" t="n">
        <x:v>6</x:v>
      </x:c>
      <x:c r="L30" s="11" t="n">
        <x:v>1</x:v>
      </x:c>
      <x:c r="M30" s="11" t="n">
        <x:v>1</x:v>
      </x:c>
      <x:c r="N30" s="11" t="n">
        <x:v>1</x:v>
      </x:c>
      <x:c r="O30" s="11" t="n">
        <x:v>1</x:v>
      </x:c>
      <x:c r="P30" s="11" t="n">
        <x:v>0</x:v>
      </x:c>
      <x:c r="Q30" s="11" t="str">
        <x:f>IF(AND(K30&gt;0,L30=1,M30=1,N30=1,O30=1,IF(D30=9,P30=1,1)),"PASS","FAIL")</x:f>
        <x:v>PASS</x:v>
      </x:c>
      <x:c r="R30" s="13" t="n">
        <x:v>0</x:v>
      </x:c>
    </x:row>
    <x:row r="31">
      <x:c r="B31" s="11" t="str">
        <x:v>ET-SA3-05</x:v>
      </x:c>
      <x:c r="C31" s="11" t="str">
        <x:v>SA3</x:v>
      </x:c>
      <x:c r="D31" s="11" t="n">
        <x:v>5</x:v>
      </x:c>
      <x:c r="E31" s="11" t="str">
        <x:v>sensor saturation or native gap</x:v>
      </x:c>
      <x:c r="F31" s="11" t="str">
        <x:v>T1</x:v>
      </x:c>
      <x:c r="G31" s="11" t="str">
        <x:v>data-plane kit</x:v>
      </x:c>
      <x:c r="H31" s="11" t="str">
        <x:v>saturate pressure or leakage chain</x:v>
      </x:c>
      <x:c r="I31" s="11" t="str">
        <x:v>close both ends; dump to segregated recovery; preserve samples</x:v>
      </x:c>
      <x:c r="J31" s="11" t="str">
        <x:v>INVALID</x:v>
      </x:c>
      <x:c r="K31" s="11" t="n">
        <x:v>4</x:v>
      </x:c>
      <x:c r="L31" s="11" t="n">
        <x:v>1</x:v>
      </x:c>
      <x:c r="M31" s="11" t="n">
        <x:v>1</x:v>
      </x:c>
      <x:c r="N31" s="11" t="n">
        <x:v>1</x:v>
      </x:c>
      <x:c r="O31" s="11" t="n">
        <x:v>1</x:v>
      </x:c>
      <x:c r="P31" s="11" t="n">
        <x:v>0</x:v>
      </x:c>
      <x:c r="Q31" s="11" t="str">
        <x:f>IF(AND(K31&gt;0,L31=1,M31=1,N31=1,O31=1,IF(D31=9,P31=1,1)),"PASS","FAIL")</x:f>
        <x:v>PASS</x:v>
      </x:c>
      <x:c r="R31" s="13" t="n">
        <x:v>0</x:v>
      </x:c>
    </x:row>
    <x:row r="32">
      <x:c r="B32" s="11" t="str">
        <x:v>ET-SA3-06</x:v>
      </x:c>
      <x:c r="C32" s="11" t="str">
        <x:v>SA3</x:v>
      </x:c>
      <x:c r="D32" s="11" t="n">
        <x:v>6</x:v>
      </x:c>
      <x:c r="E32" s="11" t="str">
        <x:v>command-observation disagreement</x:v>
      </x:c>
      <x:c r="F32" s="11" t="str">
        <x:v>T1</x:v>
      </x:c>
      <x:c r="G32" s="11" t="str">
        <x:v>data-plane kit</x:v>
      </x:c>
      <x:c r="H32" s="11" t="str">
        <x:v>command 0.70 MPa; deliver 0.85 MPa</x:v>
      </x:c>
      <x:c r="I32" s="11" t="str">
        <x:v>close both ends; dump to segregated recovery; preserve samples</x:v>
      </x:c>
      <x:c r="J32" s="11" t="str">
        <x:v>INVALID</x:v>
      </x:c>
      <x:c r="K32" s="11" t="n">
        <x:v>4</x:v>
      </x:c>
      <x:c r="L32" s="11" t="n">
        <x:v>1</x:v>
      </x:c>
      <x:c r="M32" s="11" t="n">
        <x:v>1</x:v>
      </x:c>
      <x:c r="N32" s="11" t="n">
        <x:v>1</x:v>
      </x:c>
      <x:c r="O32" s="11" t="n">
        <x:v>1</x:v>
      </x:c>
      <x:c r="P32" s="11" t="n">
        <x:v>0</x:v>
      </x:c>
      <x:c r="Q32" s="11" t="str">
        <x:f>IF(AND(K32&gt;0,L32=1,M32=1,N32=1,O32=1,IF(D32=9,P32=1,1)),"PASS","FAIL")</x:f>
        <x:v>PASS</x:v>
      </x:c>
      <x:c r="R32" s="13" t="n">
        <x:v>0</x:v>
      </x:c>
    </x:row>
    <x:row r="33">
      <x:c r="B33" s="11" t="str">
        <x:v>ET-SA3-07</x:v>
      </x:c>
      <x:c r="C33" s="11" t="str">
        <x:v>SA3</x:v>
      </x:c>
      <x:c r="D33" s="11" t="n">
        <x:v>7</x:v>
      </x:c>
      <x:c r="E33" s="11" t="str">
        <x:v>primary controller loss</x:v>
      </x:c>
      <x:c r="F33" s="11" t="str">
        <x:v>T1</x:v>
      </x:c>
      <x:c r="G33" s="11" t="str">
        <x:v>safety-hazard kit</x:v>
      </x:c>
      <x:c r="H33" s="11" t="str">
        <x:v>remove loop controller at pressure</x:v>
      </x:c>
      <x:c r="I33" s="11" t="str">
        <x:v>close both ends; dump to segregated recovery; preserve samples</x:v>
      </x:c>
      <x:c r="J33" s="11" t="str">
        <x:v>SAFE STATE</x:v>
      </x:c>
      <x:c r="K33" s="11" t="n">
        <x:v>3</x:v>
      </x:c>
      <x:c r="L33" s="11" t="n">
        <x:v>1</x:v>
      </x:c>
      <x:c r="M33" s="11" t="n">
        <x:v>1</x:v>
      </x:c>
      <x:c r="N33" s="11" t="n">
        <x:v>1</x:v>
      </x:c>
      <x:c r="O33" s="11" t="n">
        <x:v>1</x:v>
      </x:c>
      <x:c r="P33" s="11" t="n">
        <x:v>0</x:v>
      </x:c>
      <x:c r="Q33" s="11" t="str">
        <x:f>IF(AND(K33&gt;0,L33=1,M33=1,N33=1,O33=1,IF(D33=9,P33=1,1)),"PASS","FAIL")</x:f>
        <x:v>PASS</x:v>
      </x:c>
      <x:c r="R33" s="13" t="n">
        <x:v>0</x:v>
      </x:c>
    </x:row>
    <x:row r="34">
      <x:c r="B34" s="11" t="str">
        <x:v>ET-SA3-08</x:v>
      </x:c>
      <x:c r="C34" s="11" t="str">
        <x:v>SA3</x:v>
      </x:c>
      <x:c r="D34" s="11" t="n">
        <x:v>8</x:v>
      </x:c>
      <x:c r="E34" s="11" t="str">
        <x:v>one safe-state actuator loss</x:v>
      </x:c>
      <x:c r="F34" s="11" t="str">
        <x:v>T1</x:v>
      </x:c>
      <x:c r="G34" s="11" t="str">
        <x:v>safety-hazard kit</x:v>
      </x:c>
      <x:c r="H34" s="11" t="str">
        <x:v>deny one end-isolation valve</x:v>
      </x:c>
      <x:c r="I34" s="11" t="str">
        <x:v>close both ends; dump to segregated recovery; preserve samples</x:v>
      </x:c>
      <x:c r="J34" s="11" t="str">
        <x:v>SAFE STATE</x:v>
      </x:c>
      <x:c r="K34" s="11" t="n">
        <x:v>3</x:v>
      </x:c>
      <x:c r="L34" s="11" t="n">
        <x:v>1</x:v>
      </x:c>
      <x:c r="M34" s="11" t="n">
        <x:v>1</x:v>
      </x:c>
      <x:c r="N34" s="11" t="n">
        <x:v>1</x:v>
      </x:c>
      <x:c r="O34" s="11" t="n">
        <x:v>1</x:v>
      </x:c>
      <x:c r="P34" s="11" t="n">
        <x:v>0</x:v>
      </x:c>
      <x:c r="Q34" s="11" t="str">
        <x:f>IF(AND(K34&gt;0,L34=1,M34=1,N34=1,O34=1,IF(D34=9,P34=1,1)),"PASS","FAIL")</x:f>
        <x:v>PASS</x:v>
      </x:c>
      <x:c r="R34" s="13" t="n">
        <x:v>0</x:v>
      </x:c>
    </x:row>
    <x:row r="35">
      <x:c r="B35" s="11" t="str">
        <x:v>ET-SA3-09</x:v>
      </x:c>
      <x:c r="C35" s="11" t="str">
        <x:v>SA3</x:v>
      </x:c>
      <x:c r="D35" s="11" t="n">
        <x:v>9</x:v>
      </x:c>
      <x:c r="E35" s="11" t="str">
        <x:v>clock, signing and network denial</x:v>
      </x:c>
      <x:c r="F35" s="11" t="str">
        <x:v>T1</x:v>
      </x:c>
      <x:c r="G35" s="11" t="str">
        <x:v>data-plane kit</x:v>
      </x:c>
      <x:c r="H35" s="11" t="str">
        <x:v>deny time, network and signing</x:v>
      </x:c>
      <x:c r="I35" s="11" t="str">
        <x:v>close both ends; dump to segregated recovery; preserve samples</x:v>
      </x:c>
      <x:c r="J35" s="11" t="str">
        <x:v>SAFE STATE AND REPLAY</x:v>
      </x:c>
      <x:c r="K35" s="11" t="n">
        <x:v>5</x:v>
      </x:c>
      <x:c r="L35" s="11" t="n">
        <x:v>1</x:v>
      </x:c>
      <x:c r="M35" s="11" t="n">
        <x:v>1</x:v>
      </x:c>
      <x:c r="N35" s="11" t="n">
        <x:v>1</x:v>
      </x:c>
      <x:c r="O35" s="11" t="n">
        <x:v>1</x:v>
      </x:c>
      <x:c r="P35" s="11" t="n">
        <x:v>1</x:v>
      </x:c>
      <x:c r="Q35" s="11" t="str">
        <x:f>IF(AND(K35&gt;0,L35=1,M35=1,N35=1,O35=1,IF(D35=9,P35=1,1)),"PASS","FAIL")</x:f>
        <x:v>PASS</x:v>
      </x:c>
      <x:c r="R35" s="13" t="n">
        <x:v>0</x:v>
      </x:c>
    </x:row>
    <x:row r="36">
      <x:c r="B36" s="11" t="str">
        <x:v>ET-SA3-10</x:v>
      </x:c>
      <x:c r="C36" s="11" t="str">
        <x:v>SA3</x:v>
      </x:c>
      <x:c r="D36" s="11" t="n">
        <x:v>10</x:v>
      </x:c>
      <x:c r="E36" s="11" t="str">
        <x:v>retained hazard or carryover</x:v>
      </x:c>
      <x:c r="F36" s="11" t="str">
        <x:v>T1</x:v>
      </x:c>
      <x:c r="G36" s="11" t="str">
        <x:v>safety-hazard kit</x:v>
      </x:c>
      <x:c r="H36" s="11" t="str">
        <x:v>retain pressure, tracer or contaminated liquid</x:v>
      </x:c>
      <x:c r="I36" s="11" t="str">
        <x:v>close both ends; dump to segregated recovery; preserve samples</x:v>
      </x:c>
      <x:c r="J36" s="11" t="str">
        <x:v>QUARANTINE</x:v>
      </x:c>
      <x:c r="K36" s="11" t="n">
        <x:v>8</x:v>
      </x:c>
      <x:c r="L36" s="11" t="n">
        <x:v>1</x:v>
      </x:c>
      <x:c r="M36" s="11" t="n">
        <x:v>1</x:v>
      </x:c>
      <x:c r="N36" s="11" t="n">
        <x:v>1</x:v>
      </x:c>
      <x:c r="O36" s="11" t="n">
        <x:v>1</x:v>
      </x:c>
      <x:c r="P36" s="11" t="n">
        <x:v>0</x:v>
      </x:c>
      <x:c r="Q36" s="11" t="str">
        <x:f>IF(AND(K36&gt;0,L36=1,M36=1,N36=1,O36=1,IF(D36=9,P36=1,1)),"PASS","FAIL")</x:f>
        <x:v>PASS</x:v>
      </x:c>
      <x:c r="R36" s="13" t="n">
        <x:v>0</x:v>
      </x:c>
    </x:row>
    <x:row r="37">
      <x:c r="B37" s="11" t="str">
        <x:v>ET-SA4-01</x:v>
      </x:c>
      <x:c r="C37" s="11" t="str">
        <x:v>SA4</x:v>
      </x:c>
      <x:c r="D37" s="11" t="n">
        <x:v>1</x:v>
      </x:c>
      <x:c r="E37" s="11" t="str">
        <x:v>fixture zero and transfer matrix</x:v>
      </x:c>
      <x:c r="F37" s="11" t="str">
        <x:v>T0</x:v>
      </x:c>
      <x:c r="G37" s="11" t="str">
        <x:v>none</x:v>
      </x:c>
      <x:c r="H37" s="11" t="str">
        <x:v>shorting reference and source-impedance injection</x:v>
      </x:c>
      <x:c r="I37" s="11" t="str">
        <x:v>open upstream source; discharge below 60 V; seal fault evidence</x:v>
      </x:c>
      <x:c r="J37" s="11" t="str">
        <x:v>ACCEPT</x:v>
      </x:c>
      <x:c r="K37" s="11" t="n">
        <x:v>3</x:v>
      </x:c>
      <x:c r="L37" s="11" t="n">
        <x:v>1</x:v>
      </x:c>
      <x:c r="M37" s="11" t="n">
        <x:v>1</x:v>
      </x:c>
      <x:c r="N37" s="11" t="n">
        <x:v>1</x:v>
      </x:c>
      <x:c r="O37" s="11" t="n">
        <x:v>1</x:v>
      </x:c>
      <x:c r="P37" s="11" t="n">
        <x:v>0</x:v>
      </x:c>
      <x:c r="Q37" s="11" t="str">
        <x:f>IF(AND(K37&gt;0,L37=1,M37=1,N37=1,O37=1,IF(D37=9,P37=1,1)),"PASS","FAIL")</x:f>
        <x:v>PASS</x:v>
      </x:c>
      <x:c r="R37" s="13" t="n">
        <x:v>0</x:v>
      </x:c>
    </x:row>
    <x:row r="38">
      <x:c r="B38" s="11" t="str">
        <x:v>ET-SA4-02</x:v>
      </x:c>
      <x:c r="C38" s="11" t="str">
        <x:v>SA4</x:v>
      </x:c>
      <x:c r="D38" s="11" t="n">
        <x:v>2</x:v>
      </x:c>
      <x:c r="E38" s="11" t="str">
        <x:v>compliant near-boundary surrogate</x:v>
      </x:c>
      <x:c r="F38" s="11" t="str">
        <x:v>T1</x:v>
      </x:c>
      <x:c r="G38" s="11" t="str">
        <x:v>none</x:v>
      </x:c>
      <x:c r="H38" s="11" t="str">
        <x:v>clearing inside root threshold</x:v>
      </x:c>
      <x:c r="I38" s="11" t="str">
        <x:v>open upstream source; discharge below 60 V; seal fault evidence</x:v>
      </x:c>
      <x:c r="J38" s="11" t="str">
        <x:v>ACCEPT</x:v>
      </x:c>
      <x:c r="K38" s="11" t="n">
        <x:v>3</x:v>
      </x:c>
      <x:c r="L38" s="11" t="n">
        <x:v>1</x:v>
      </x:c>
      <x:c r="M38" s="11" t="n">
        <x:v>1</x:v>
      </x:c>
      <x:c r="N38" s="11" t="n">
        <x:v>1</x:v>
      </x:c>
      <x:c r="O38" s="11" t="n">
        <x:v>1</x:v>
      </x:c>
      <x:c r="P38" s="11" t="n">
        <x:v>0</x:v>
      </x:c>
      <x:c r="Q38" s="11" t="str">
        <x:f>IF(AND(K38&gt;0,L38=1,M38=1,N38=1,O38=1,IF(D38=9,P38=1,1)),"PASS","FAIL")</x:f>
        <x:v>PASS</x:v>
      </x:c>
      <x:c r="R38" s="13" t="n">
        <x:v>0</x:v>
      </x:c>
    </x:row>
    <x:row r="39">
      <x:c r="B39" s="11" t="str">
        <x:v>ET-SA4-03</x:v>
      </x:c>
      <x:c r="C39" s="11" t="str">
        <x:v>SA4</x:v>
      </x:c>
      <x:c r="D39" s="11" t="n">
        <x:v>3</x:v>
      </x:c>
      <x:c r="E39" s="11" t="str">
        <x:v>nonconforming surrogate</x:v>
      </x:c>
      <x:c r="F39" s="11" t="str">
        <x:v>T2</x:v>
      </x:c>
      <x:c r="G39" s="11" t="str">
        <x:v>none</x:v>
      </x:c>
      <x:c r="H39" s="11" t="str">
        <x:v>clearing beyond root guard band</x:v>
      </x:c>
      <x:c r="I39" s="11" t="str">
        <x:v>open upstream source; discharge below 60 V; seal fault evidence</x:v>
      </x:c>
      <x:c r="J39" s="11" t="str">
        <x:v>REJECT</x:v>
      </x:c>
      <x:c r="K39" s="11" t="n">
        <x:v>3</x:v>
      </x:c>
      <x:c r="L39" s="11" t="n">
        <x:v>1</x:v>
      </x:c>
      <x:c r="M39" s="11" t="n">
        <x:v>1</x:v>
      </x:c>
      <x:c r="N39" s="11" t="n">
        <x:v>1</x:v>
      </x:c>
      <x:c r="O39" s="11" t="n">
        <x:v>1</x:v>
      </x:c>
      <x:c r="P39" s="11" t="n">
        <x:v>0</x:v>
      </x:c>
      <x:c r="Q39" s="11" t="str">
        <x:f>IF(AND(K39&gt;0,L39=1,M39=1,N39=1,O39=1,IF(D39=9,P39=1,1)),"PASS","FAIL")</x:f>
        <x:v>PASS</x:v>
      </x:c>
      <x:c r="R39" s="13" t="n">
        <x:v>0</x:v>
      </x:c>
    </x:row>
    <x:row r="40">
      <x:c r="B40" s="11" t="str">
        <x:v>ET-SA4-04</x:v>
      </x:c>
      <x:c r="C40" s="11" t="str">
        <x:v>SA4</x:v>
      </x:c>
      <x:c r="D40" s="11" t="n">
        <x:v>4</x:v>
      </x:c>
      <x:c r="E40" s="11" t="str">
        <x:v>decision-boundary surrogate</x:v>
      </x:c>
      <x:c r="F40" s="11" t="str">
        <x:v>T3</x:v>
      </x:c>
      <x:c r="G40" s="11" t="str">
        <x:v>none</x:v>
      </x:c>
      <x:c r="H40" s="11" t="str">
        <x:v>clearing centered on root threshold</x:v>
      </x:c>
      <x:c r="I40" s="11" t="str">
        <x:v>open upstream source; discharge below 60 V; seal fault evidence</x:v>
      </x:c>
      <x:c r="J40" s="11" t="str">
        <x:v>INDETERMINATE</x:v>
      </x:c>
      <x:c r="K40" s="11" t="n">
        <x:v>4</x:v>
      </x:c>
      <x:c r="L40" s="11" t="n">
        <x:v>1</x:v>
      </x:c>
      <x:c r="M40" s="11" t="n">
        <x:v>1</x:v>
      </x:c>
      <x:c r="N40" s="11" t="n">
        <x:v>1</x:v>
      </x:c>
      <x:c r="O40" s="11" t="n">
        <x:v>1</x:v>
      </x:c>
      <x:c r="P40" s="11" t="n">
        <x:v>0</x:v>
      </x:c>
      <x:c r="Q40" s="11" t="str">
        <x:f>IF(AND(K40&gt;0,L40=1,M40=1,N40=1,O40=1,IF(D40=9,P40=1,1)),"PASS","FAIL")</x:f>
        <x:v>PASS</x:v>
      </x:c>
      <x:c r="R40" s="13" t="n">
        <x:v>0</x:v>
      </x:c>
    </x:row>
    <x:row r="41">
      <x:c r="B41" s="11" t="str">
        <x:v>ET-SA4-05</x:v>
      </x:c>
      <x:c r="C41" s="11" t="str">
        <x:v>SA4</x:v>
      </x:c>
      <x:c r="D41" s="11" t="n">
        <x:v>5</x:v>
      </x:c>
      <x:c r="E41" s="11" t="str">
        <x:v>sensor saturation or native gap</x:v>
      </x:c>
      <x:c r="F41" s="11" t="str">
        <x:v>T1</x:v>
      </x:c>
      <x:c r="G41" s="11" t="str">
        <x:v>data-plane kit</x:v>
      </x:c>
      <x:c r="H41" s="11" t="str">
        <x:v>saturate current or voltage chain</x:v>
      </x:c>
      <x:c r="I41" s="11" t="str">
        <x:v>open upstream source; discharge below 60 V; seal fault evidence</x:v>
      </x:c>
      <x:c r="J41" s="11" t="str">
        <x:v>INVALID</x:v>
      </x:c>
      <x:c r="K41" s="11" t="n">
        <x:v>2</x:v>
      </x:c>
      <x:c r="L41" s="11" t="n">
        <x:v>1</x:v>
      </x:c>
      <x:c r="M41" s="11" t="n">
        <x:v>1</x:v>
      </x:c>
      <x:c r="N41" s="11" t="n">
        <x:v>1</x:v>
      </x:c>
      <x:c r="O41" s="11" t="n">
        <x:v>1</x:v>
      </x:c>
      <x:c r="P41" s="11" t="n">
        <x:v>0</x:v>
      </x:c>
      <x:c r="Q41" s="11" t="str">
        <x:f>IF(AND(K41&gt;0,L41=1,M41=1,N41=1,O41=1,IF(D41=9,P41=1,1)),"PASS","FAIL")</x:f>
        <x:v>PASS</x:v>
      </x:c>
      <x:c r="R41" s="13" t="n">
        <x:v>0</x:v>
      </x:c>
    </x:row>
    <x:row r="42">
      <x:c r="B42" s="11" t="str">
        <x:v>ET-SA4-06</x:v>
      </x:c>
      <x:c r="C42" s="11" t="str">
        <x:v>SA4</x:v>
      </x:c>
      <x:c r="D42" s="11" t="n">
        <x:v>6</x:v>
      </x:c>
      <x:c r="E42" s="11" t="str">
        <x:v>command-observation disagreement</x:v>
      </x:c>
      <x:c r="F42" s="11" t="str">
        <x:v>T1</x:v>
      </x:c>
      <x:c r="G42" s="11" t="str">
        <x:v>data-plane kit</x:v>
      </x:c>
      <x:c r="H42" s="11" t="str">
        <x:v>command source state; deliver unlike impedance</x:v>
      </x:c>
      <x:c r="I42" s="11" t="str">
        <x:v>open upstream source; discharge below 60 V; seal fault evidence</x:v>
      </x:c>
      <x:c r="J42" s="11" t="str">
        <x:v>INVALID</x:v>
      </x:c>
      <x:c r="K42" s="11" t="n">
        <x:v>2</x:v>
      </x:c>
      <x:c r="L42" s="11" t="n">
        <x:v>1</x:v>
      </x:c>
      <x:c r="M42" s="11" t="n">
        <x:v>1</x:v>
      </x:c>
      <x:c r="N42" s="11" t="n">
        <x:v>1</x:v>
      </x:c>
      <x:c r="O42" s="11" t="n">
        <x:v>1</x:v>
      </x:c>
      <x:c r="P42" s="11" t="n">
        <x:v>0</x:v>
      </x:c>
      <x:c r="Q42" s="11" t="str">
        <x:f>IF(AND(K42&gt;0,L42=1,M42=1,N42=1,O42=1,IF(D42=9,P42=1,1)),"PASS","FAIL")</x:f>
        <x:v>PASS</x:v>
      </x:c>
      <x:c r="R42" s="13" t="n">
        <x:v>0</x:v>
      </x:c>
    </x:row>
    <x:row r="43">
      <x:c r="B43" s="11" t="str">
        <x:v>ET-SA4-07</x:v>
      </x:c>
      <x:c r="C43" s="11" t="str">
        <x:v>SA4</x:v>
      </x:c>
      <x:c r="D43" s="11" t="n">
        <x:v>7</x:v>
      </x:c>
      <x:c r="E43" s="11" t="str">
        <x:v>primary controller loss</x:v>
      </x:c>
      <x:c r="F43" s="11" t="str">
        <x:v>T1</x:v>
      </x:c>
      <x:c r="G43" s="11" t="str">
        <x:v>safety-hazard kit</x:v>
      </x:c>
      <x:c r="H43" s="11" t="str">
        <x:v>remove event controller before fault</x:v>
      </x:c>
      <x:c r="I43" s="11" t="str">
        <x:v>open upstream source; discharge below 60 V; seal fault evidence</x:v>
      </x:c>
      <x:c r="J43" s="11" t="str">
        <x:v>SAFE STATE</x:v>
      </x:c>
      <x:c r="K43" s="11" t="n">
        <x:v>2</x:v>
      </x:c>
      <x:c r="L43" s="11" t="n">
        <x:v>1</x:v>
      </x:c>
      <x:c r="M43" s="11" t="n">
        <x:v>1</x:v>
      </x:c>
      <x:c r="N43" s="11" t="n">
        <x:v>1</x:v>
      </x:c>
      <x:c r="O43" s="11" t="n">
        <x:v>1</x:v>
      </x:c>
      <x:c r="P43" s="11" t="n">
        <x:v>0</x:v>
      </x:c>
      <x:c r="Q43" s="11" t="str">
        <x:f>IF(AND(K43&gt;0,L43=1,M43=1,N43=1,O43=1,IF(D43=9,P43=1,1)),"PASS","FAIL")</x:f>
        <x:v>PASS</x:v>
      </x:c>
      <x:c r="R43" s="13" t="n">
        <x:v>0</x:v>
      </x:c>
    </x:row>
    <x:row r="44">
      <x:c r="B44" s="11" t="str">
        <x:v>ET-SA4-08</x:v>
      </x:c>
      <x:c r="C44" s="11" t="str">
        <x:v>SA4</x:v>
      </x:c>
      <x:c r="D44" s="11" t="n">
        <x:v>8</x:v>
      </x:c>
      <x:c r="E44" s="11" t="str">
        <x:v>one safe-state actuator loss</x:v>
      </x:c>
      <x:c r="F44" s="11" t="str">
        <x:v>T1</x:v>
      </x:c>
      <x:c r="G44" s="11" t="str">
        <x:v>safety-hazard kit</x:v>
      </x:c>
      <x:c r="H44" s="11" t="str">
        <x:v>deny one upstream isolation device</x:v>
      </x:c>
      <x:c r="I44" s="11" t="str">
        <x:v>open upstream source; discharge below 60 V; seal fault evidence</x:v>
      </x:c>
      <x:c r="J44" s="11" t="str">
        <x:v>SAFE STATE</x:v>
      </x:c>
      <x:c r="K44" s="11" t="n">
        <x:v>2</x:v>
      </x:c>
      <x:c r="L44" s="11" t="n">
        <x:v>1</x:v>
      </x:c>
      <x:c r="M44" s="11" t="n">
        <x:v>1</x:v>
      </x:c>
      <x:c r="N44" s="11" t="n">
        <x:v>1</x:v>
      </x:c>
      <x:c r="O44" s="11" t="n">
        <x:v>1</x:v>
      </x:c>
      <x:c r="P44" s="11" t="n">
        <x:v>0</x:v>
      </x:c>
      <x:c r="Q44" s="11" t="str">
        <x:f>IF(AND(K44&gt;0,L44=1,M44=1,N44=1,O44=1,IF(D44=9,P44=1,1)),"PASS","FAIL")</x:f>
        <x:v>PASS</x:v>
      </x:c>
      <x:c r="R44" s="13" t="n">
        <x:v>0</x:v>
      </x:c>
    </x:row>
    <x:row r="45">
      <x:c r="B45" s="11" t="str">
        <x:v>ET-SA4-09</x:v>
      </x:c>
      <x:c r="C45" s="11" t="str">
        <x:v>SA4</x:v>
      </x:c>
      <x:c r="D45" s="11" t="n">
        <x:v>9</x:v>
      </x:c>
      <x:c r="E45" s="11" t="str">
        <x:v>clock, signing and network denial</x:v>
      </x:c>
      <x:c r="F45" s="11" t="str">
        <x:v>T1</x:v>
      </x:c>
      <x:c r="G45" s="11" t="str">
        <x:v>data-plane kit</x:v>
      </x:c>
      <x:c r="H45" s="11" t="str">
        <x:v>deny time, network and signing</x:v>
      </x:c>
      <x:c r="I45" s="11" t="str">
        <x:v>open upstream source; discharge below 60 V; seal fault evidence</x:v>
      </x:c>
      <x:c r="J45" s="11" t="str">
        <x:v>SAFE STATE AND REPLAY</x:v>
      </x:c>
      <x:c r="K45" s="11" t="n">
        <x:v>3</x:v>
      </x:c>
      <x:c r="L45" s="11" t="n">
        <x:v>1</x:v>
      </x:c>
      <x:c r="M45" s="11" t="n">
        <x:v>1</x:v>
      </x:c>
      <x:c r="N45" s="11" t="n">
        <x:v>1</x:v>
      </x:c>
      <x:c r="O45" s="11" t="n">
        <x:v>1</x:v>
      </x:c>
      <x:c r="P45" s="11" t="n">
        <x:v>1</x:v>
      </x:c>
      <x:c r="Q45" s="11" t="str">
        <x:f>IF(AND(K45&gt;0,L45=1,M45=1,N45=1,O45=1,IF(D45=9,P45=1,1)),"PASS","FAIL")</x:f>
        <x:v>PASS</x:v>
      </x:c>
      <x:c r="R45" s="13" t="n">
        <x:v>0</x:v>
      </x:c>
    </x:row>
    <x:row r="46">
      <x:c r="B46" s="11" t="str">
        <x:v>ET-SA4-10</x:v>
      </x:c>
      <x:c r="C46" s="11" t="str">
        <x:v>SA4</x:v>
      </x:c>
      <x:c r="D46" s="11" t="n">
        <x:v>10</x:v>
      </x:c>
      <x:c r="E46" s="11" t="str">
        <x:v>retained hazard or carryover</x:v>
      </x:c>
      <x:c r="F46" s="11" t="str">
        <x:v>T1</x:v>
      </x:c>
      <x:c r="G46" s="11" t="str">
        <x:v>safety-hazard kit</x:v>
      </x:c>
      <x:c r="H46" s="11" t="str">
        <x:v>retain DC energy, arc residue or enclosure uncertainty</x:v>
      </x:c>
      <x:c r="I46" s="11" t="str">
        <x:v>open upstream source; discharge below 60 V; seal fault evidence</x:v>
      </x:c>
      <x:c r="J46" s="11" t="str">
        <x:v>QUARANTINE</x:v>
      </x:c>
      <x:c r="K46" s="11" t="n">
        <x:v>6</x:v>
      </x:c>
      <x:c r="L46" s="11" t="n">
        <x:v>1</x:v>
      </x:c>
      <x:c r="M46" s="11" t="n">
        <x:v>1</x:v>
      </x:c>
      <x:c r="N46" s="11" t="n">
        <x:v>1</x:v>
      </x:c>
      <x:c r="O46" s="11" t="n">
        <x:v>1</x:v>
      </x:c>
      <x:c r="P46" s="11" t="n">
        <x:v>0</x:v>
      </x:c>
      <x:c r="Q46" s="11" t="str">
        <x:f>IF(AND(K46&gt;0,L46=1,M46=1,N46=1,O46=1,IF(D46=9,P46=1,1)),"PASS","FAIL")</x:f>
        <x:v>PASS</x:v>
      </x:c>
      <x:c r="R46" s="13" t="n">
        <x:v>0</x:v>
      </x:c>
    </x:row>
    <x:row r="47">
      <x:c r="B47" s="11" t="str">
        <x:v>ET-SA5-01</x:v>
      </x:c>
      <x:c r="C47" s="11" t="str">
        <x:v>SA5</x:v>
      </x:c>
      <x:c r="D47" s="11" t="n">
        <x:v>1</x:v>
      </x:c>
      <x:c r="E47" s="11" t="str">
        <x:v>fixture zero and transfer matrix</x:v>
      </x:c>
      <x:c r="F47" s="11" t="str">
        <x:v>T0</x:v>
      </x:c>
      <x:c r="G47" s="11" t="str">
        <x:v>none</x:v>
      </x:c>
      <x:c r="H47" s="11" t="str">
        <x:v>traceable heater and calorimetric loop</x:v>
      </x:c>
      <x:c r="I47" s="11" t="str">
        <x:v>remove heat; isolate coolant; park in safe geometry</x:v>
      </x:c>
      <x:c r="J47" s="11" t="str">
        <x:v>ACCEPT</x:v>
      </x:c>
      <x:c r="K47" s="11" t="n">
        <x:v>6</x:v>
      </x:c>
      <x:c r="L47" s="11" t="n">
        <x:v>1</x:v>
      </x:c>
      <x:c r="M47" s="11" t="n">
        <x:v>1</x:v>
      </x:c>
      <x:c r="N47" s="11" t="n">
        <x:v>1</x:v>
      </x:c>
      <x:c r="O47" s="11" t="n">
        <x:v>1</x:v>
      </x:c>
      <x:c r="P47" s="11" t="n">
        <x:v>0</x:v>
      </x:c>
      <x:c r="Q47" s="11" t="str">
        <x:f>IF(AND(K47&gt;0,L47=1,M47=1,N47=1,O47=1,IF(D47=9,P47=1,1)),"PASS","FAIL")</x:f>
        <x:v>PASS</x:v>
      </x:c>
      <x:c r="R47" s="13" t="n">
        <x:v>0</x:v>
      </x:c>
    </x:row>
    <x:row r="48">
      <x:c r="B48" s="11" t="str">
        <x:v>ET-SA5-02</x:v>
      </x:c>
      <x:c r="C48" s="11" t="str">
        <x:v>SA5</x:v>
      </x:c>
      <x:c r="D48" s="11" t="n">
        <x:v>2</x:v>
      </x:c>
      <x:c r="E48" s="11" t="str">
        <x:v>compliant near-boundary surrogate</x:v>
      </x:c>
      <x:c r="F48" s="11" t="str">
        <x:v>T1</x:v>
      </x:c>
      <x:c r="G48" s="11" t="str">
        <x:v>none</x:v>
      </x:c>
      <x:c r="H48" s="11" t="str">
        <x:v>heat-balance error inside 5 percent</x:v>
      </x:c>
      <x:c r="I48" s="11" t="str">
        <x:v>remove heat; isolate coolant; park in safe geometry</x:v>
      </x:c>
      <x:c r="J48" s="11" t="str">
        <x:v>ACCEPT</x:v>
      </x:c>
      <x:c r="K48" s="11" t="n">
        <x:v>6</x:v>
      </x:c>
      <x:c r="L48" s="11" t="n">
        <x:v>1</x:v>
      </x:c>
      <x:c r="M48" s="11" t="n">
        <x:v>1</x:v>
      </x:c>
      <x:c r="N48" s="11" t="n">
        <x:v>1</x:v>
      </x:c>
      <x:c r="O48" s="11" t="n">
        <x:v>1</x:v>
      </x:c>
      <x:c r="P48" s="11" t="n">
        <x:v>0</x:v>
      </x:c>
      <x:c r="Q48" s="11" t="str">
        <x:f>IF(AND(K48&gt;0,L48=1,M48=1,N48=1,O48=1,IF(D48=9,P48=1,1)),"PASS","FAIL")</x:f>
        <x:v>PASS</x:v>
      </x:c>
      <x:c r="R48" s="13" t="n">
        <x:v>0</x:v>
      </x:c>
    </x:row>
    <x:row r="49">
      <x:c r="B49" s="11" t="str">
        <x:v>ET-SA5-03</x:v>
      </x:c>
      <x:c r="C49" s="11" t="str">
        <x:v>SA5</x:v>
      </x:c>
      <x:c r="D49" s="11" t="n">
        <x:v>3</x:v>
      </x:c>
      <x:c r="E49" s="11" t="str">
        <x:v>nonconforming surrogate</x:v>
      </x:c>
      <x:c r="F49" s="11" t="str">
        <x:v>T2</x:v>
      </x:c>
      <x:c r="G49" s="11" t="str">
        <x:v>none</x:v>
      </x:c>
      <x:c r="H49" s="11" t="str">
        <x:v>heat-balance error beyond guard band</x:v>
      </x:c>
      <x:c r="I49" s="11" t="str">
        <x:v>remove heat; isolate coolant; park in safe geometry</x:v>
      </x:c>
      <x:c r="J49" s="11" t="str">
        <x:v>REJECT</x:v>
      </x:c>
      <x:c r="K49" s="11" t="n">
        <x:v>6</x:v>
      </x:c>
      <x:c r="L49" s="11" t="n">
        <x:v>1</x:v>
      </x:c>
      <x:c r="M49" s="11" t="n">
        <x:v>1</x:v>
      </x:c>
      <x:c r="N49" s="11" t="n">
        <x:v>1</x:v>
      </x:c>
      <x:c r="O49" s="11" t="n">
        <x:v>1</x:v>
      </x:c>
      <x:c r="P49" s="11" t="n">
        <x:v>0</x:v>
      </x:c>
      <x:c r="Q49" s="11" t="str">
        <x:f>IF(AND(K49&gt;0,L49=1,M49=1,N49=1,O49=1,IF(D49=9,P49=1,1)),"PASS","FAIL")</x:f>
        <x:v>PASS</x:v>
      </x:c>
      <x:c r="R49" s="13" t="n">
        <x:v>0</x:v>
      </x:c>
    </x:row>
    <x:row r="50">
      <x:c r="B50" s="11" t="str">
        <x:v>ET-SA5-04</x:v>
      </x:c>
      <x:c r="C50" s="11" t="str">
        <x:v>SA5</x:v>
      </x:c>
      <x:c r="D50" s="11" t="n">
        <x:v>4</x:v>
      </x:c>
      <x:c r="E50" s="11" t="str">
        <x:v>decision-boundary surrogate</x:v>
      </x:c>
      <x:c r="F50" s="11" t="str">
        <x:v>T3</x:v>
      </x:c>
      <x:c r="G50" s="11" t="str">
        <x:v>none</x:v>
      </x:c>
      <x:c r="H50" s="11" t="str">
        <x:v>error centered on 5 percent</x:v>
      </x:c>
      <x:c r="I50" s="11" t="str">
        <x:v>remove heat; isolate coolant; park in safe geometry</x:v>
      </x:c>
      <x:c r="J50" s="11" t="str">
        <x:v>INDETERMINATE</x:v>
      </x:c>
      <x:c r="K50" s="11" t="n">
        <x:v>7</x:v>
      </x:c>
      <x:c r="L50" s="11" t="n">
        <x:v>1</x:v>
      </x:c>
      <x:c r="M50" s="11" t="n">
        <x:v>1</x:v>
      </x:c>
      <x:c r="N50" s="11" t="n">
        <x:v>1</x:v>
      </x:c>
      <x:c r="O50" s="11" t="n">
        <x:v>1</x:v>
      </x:c>
      <x:c r="P50" s="11" t="n">
        <x:v>0</x:v>
      </x:c>
      <x:c r="Q50" s="11" t="str">
        <x:f>IF(AND(K50&gt;0,L50=1,M50=1,N50=1,O50=1,IF(D50=9,P50=1,1)),"PASS","FAIL")</x:f>
        <x:v>PASS</x:v>
      </x:c>
      <x:c r="R50" s="13" t="n">
        <x:v>0</x:v>
      </x:c>
    </x:row>
    <x:row r="51">
      <x:c r="B51" s="11" t="str">
        <x:v>ET-SA5-05</x:v>
      </x:c>
      <x:c r="C51" s="11" t="str">
        <x:v>SA5</x:v>
      </x:c>
      <x:c r="D51" s="11" t="n">
        <x:v>5</x:v>
      </x:c>
      <x:c r="E51" s="11" t="str">
        <x:v>sensor saturation or native gap</x:v>
      </x:c>
      <x:c r="F51" s="11" t="str">
        <x:v>T1</x:v>
      </x:c>
      <x:c r="G51" s="11" t="str">
        <x:v>data-plane kit</x:v>
      </x:c>
      <x:c r="H51" s="11" t="str">
        <x:v>saturate heat-flow or temperature chain</x:v>
      </x:c>
      <x:c r="I51" s="11" t="str">
        <x:v>remove heat; isolate coolant; park in safe geometry</x:v>
      </x:c>
      <x:c r="J51" s="11" t="str">
        <x:v>INVALID</x:v>
      </x:c>
      <x:c r="K51" s="11" t="n">
        <x:v>4</x:v>
      </x:c>
      <x:c r="L51" s="11" t="n">
        <x:v>1</x:v>
      </x:c>
      <x:c r="M51" s="11" t="n">
        <x:v>1</x:v>
      </x:c>
      <x:c r="N51" s="11" t="n">
        <x:v>1</x:v>
      </x:c>
      <x:c r="O51" s="11" t="n">
        <x:v>1</x:v>
      </x:c>
      <x:c r="P51" s="11" t="n">
        <x:v>0</x:v>
      </x:c>
      <x:c r="Q51" s="11" t="str">
        <x:f>IF(AND(K51&gt;0,L51=1,M51=1,N51=1,O51=1,IF(D51=9,P51=1,1)),"PASS","FAIL")</x:f>
        <x:v>PASS</x:v>
      </x:c>
      <x:c r="R51" s="13" t="n">
        <x:v>0</x:v>
      </x:c>
    </x:row>
    <x:row r="52">
      <x:c r="B52" s="11" t="str">
        <x:v>ET-SA5-06</x:v>
      </x:c>
      <x:c r="C52" s="11" t="str">
        <x:v>SA5</x:v>
      </x:c>
      <x:c r="D52" s="11" t="n">
        <x:v>6</x:v>
      </x:c>
      <x:c r="E52" s="11" t="str">
        <x:v>command-observation disagreement</x:v>
      </x:c>
      <x:c r="F52" s="11" t="str">
        <x:v>T1</x:v>
      </x:c>
      <x:c r="G52" s="11" t="str">
        <x:v>data-plane kit</x:v>
      </x:c>
      <x:c r="H52" s="11" t="str">
        <x:v>command heat input; deliver higher source</x:v>
      </x:c>
      <x:c r="I52" s="11" t="str">
        <x:v>remove heat; isolate coolant; park in safe geometry</x:v>
      </x:c>
      <x:c r="J52" s="11" t="str">
        <x:v>INVALID</x:v>
      </x:c>
      <x:c r="K52" s="11" t="n">
        <x:v>4</x:v>
      </x:c>
      <x:c r="L52" s="11" t="n">
        <x:v>1</x:v>
      </x:c>
      <x:c r="M52" s="11" t="n">
        <x:v>1</x:v>
      </x:c>
      <x:c r="N52" s="11" t="n">
        <x:v>1</x:v>
      </x:c>
      <x:c r="O52" s="11" t="n">
        <x:v>1</x:v>
      </x:c>
      <x:c r="P52" s="11" t="n">
        <x:v>0</x:v>
      </x:c>
      <x:c r="Q52" s="11" t="str">
        <x:f>IF(AND(K52&gt;0,L52=1,M52=1,N52=1,O52=1,IF(D52=9,P52=1,1)),"PASS","FAIL")</x:f>
        <x:v>PASS</x:v>
      </x:c>
      <x:c r="R52" s="13" t="n">
        <x:v>0</x:v>
      </x:c>
    </x:row>
    <x:row r="53">
      <x:c r="B53" s="11" t="str">
        <x:v>ET-SA5-07</x:v>
      </x:c>
      <x:c r="C53" s="11" t="str">
        <x:v>SA5</x:v>
      </x:c>
      <x:c r="D53" s="11" t="n">
        <x:v>7</x:v>
      </x:c>
      <x:c r="E53" s="11" t="str">
        <x:v>primary controller loss</x:v>
      </x:c>
      <x:c r="F53" s="11" t="str">
        <x:v>T1</x:v>
      </x:c>
      <x:c r="G53" s="11" t="str">
        <x:v>safety-hazard kit</x:v>
      </x:c>
      <x:c r="H53" s="11" t="str">
        <x:v>remove thermal controller at plateau</x:v>
      </x:c>
      <x:c r="I53" s="11" t="str">
        <x:v>remove heat; isolate coolant; park in safe geometry</x:v>
      </x:c>
      <x:c r="J53" s="11" t="str">
        <x:v>SAFE STATE</x:v>
      </x:c>
      <x:c r="K53" s="11" t="n">
        <x:v>3</x:v>
      </x:c>
      <x:c r="L53" s="11" t="n">
        <x:v>1</x:v>
      </x:c>
      <x:c r="M53" s="11" t="n">
        <x:v>1</x:v>
      </x:c>
      <x:c r="N53" s="11" t="n">
        <x:v>1</x:v>
      </x:c>
      <x:c r="O53" s="11" t="n">
        <x:v>1</x:v>
      </x:c>
      <x:c r="P53" s="11" t="n">
        <x:v>0</x:v>
      </x:c>
      <x:c r="Q53" s="11" t="str">
        <x:f>IF(AND(K53&gt;0,L53=1,M53=1,N53=1,O53=1,IF(D53=9,P53=1,1)),"PASS","FAIL")</x:f>
        <x:v>PASS</x:v>
      </x:c>
      <x:c r="R53" s="13" t="n">
        <x:v>0</x:v>
      </x:c>
    </x:row>
    <x:row r="54">
      <x:c r="B54" s="11" t="str">
        <x:v>ET-SA5-08</x:v>
      </x:c>
      <x:c r="C54" s="11" t="str">
        <x:v>SA5</x:v>
      </x:c>
      <x:c r="D54" s="11" t="n">
        <x:v>8</x:v>
      </x:c>
      <x:c r="E54" s="11" t="str">
        <x:v>one safe-state actuator loss</x:v>
      </x:c>
      <x:c r="F54" s="11" t="str">
        <x:v>T1</x:v>
      </x:c>
      <x:c r="G54" s="11" t="str">
        <x:v>safety-hazard kit</x:v>
      </x:c>
      <x:c r="H54" s="11" t="str">
        <x:v>deny one heat or coolant isolation path</x:v>
      </x:c>
      <x:c r="I54" s="11" t="str">
        <x:v>remove heat; isolate coolant; park in safe geometry</x:v>
      </x:c>
      <x:c r="J54" s="11" t="str">
        <x:v>SAFE STATE</x:v>
      </x:c>
      <x:c r="K54" s="11" t="n">
        <x:v>3</x:v>
      </x:c>
      <x:c r="L54" s="11" t="n">
        <x:v>1</x:v>
      </x:c>
      <x:c r="M54" s="11" t="n">
        <x:v>1</x:v>
      </x:c>
      <x:c r="N54" s="11" t="n">
        <x:v>1</x:v>
      </x:c>
      <x:c r="O54" s="11" t="n">
        <x:v>1</x:v>
      </x:c>
      <x:c r="P54" s="11" t="n">
        <x:v>0</x:v>
      </x:c>
      <x:c r="Q54" s="11" t="str">
        <x:f>IF(AND(K54&gt;0,L54=1,M54=1,N54=1,O54=1,IF(D54=9,P54=1,1)),"PASS","FAIL")</x:f>
        <x:v>PASS</x:v>
      </x:c>
      <x:c r="R54" s="13" t="n">
        <x:v>0</x:v>
      </x:c>
    </x:row>
    <x:row r="55">
      <x:c r="B55" s="11" t="str">
        <x:v>ET-SA5-09</x:v>
      </x:c>
      <x:c r="C55" s="11" t="str">
        <x:v>SA5</x:v>
      </x:c>
      <x:c r="D55" s="11" t="n">
        <x:v>9</x:v>
      </x:c>
      <x:c r="E55" s="11" t="str">
        <x:v>clock, signing and network denial</x:v>
      </x:c>
      <x:c r="F55" s="11" t="str">
        <x:v>T1</x:v>
      </x:c>
      <x:c r="G55" s="11" t="str">
        <x:v>data-plane kit</x:v>
      </x:c>
      <x:c r="H55" s="11" t="str">
        <x:v>deny time, network and signing</x:v>
      </x:c>
      <x:c r="I55" s="11" t="str">
        <x:v>remove heat; isolate coolant; park in safe geometry</x:v>
      </x:c>
      <x:c r="J55" s="11" t="str">
        <x:v>SAFE STATE AND REPLAY</x:v>
      </x:c>
      <x:c r="K55" s="11" t="n">
        <x:v>6</x:v>
      </x:c>
      <x:c r="L55" s="11" t="n">
        <x:v>1</x:v>
      </x:c>
      <x:c r="M55" s="11" t="n">
        <x:v>1</x:v>
      </x:c>
      <x:c r="N55" s="11" t="n">
        <x:v>1</x:v>
      </x:c>
      <x:c r="O55" s="11" t="n">
        <x:v>1</x:v>
      </x:c>
      <x:c r="P55" s="11" t="n">
        <x:v>1</x:v>
      </x:c>
      <x:c r="Q55" s="11" t="str">
        <x:f>IF(AND(K55&gt;0,L55=1,M55=1,N55=1,O55=1,IF(D55=9,P55=1,1)),"PASS","FAIL")</x:f>
        <x:v>PASS</x:v>
      </x:c>
      <x:c r="R55" s="13" t="n">
        <x:v>0</x:v>
      </x:c>
    </x:row>
    <x:row r="56">
      <x:c r="B56" s="11" t="str">
        <x:v>ET-SA5-10</x:v>
      </x:c>
      <x:c r="C56" s="11" t="str">
        <x:v>SA5</x:v>
      </x:c>
      <x:c r="D56" s="11" t="n">
        <x:v>10</x:v>
      </x:c>
      <x:c r="E56" s="11" t="str">
        <x:v>retained hazard or carryover</x:v>
      </x:c>
      <x:c r="F56" s="11" t="str">
        <x:v>T1</x:v>
      </x:c>
      <x:c r="G56" s="11" t="str">
        <x:v>safety-hazard kit</x:v>
      </x:c>
      <x:c r="H56" s="11" t="str">
        <x:v>retain hot surface, coolant or evidence discontinuity</x:v>
      </x:c>
      <x:c r="I56" s="11" t="str">
        <x:v>remove heat; isolate coolant; park in safe geometry</x:v>
      </x:c>
      <x:c r="J56" s="11" t="str">
        <x:v>QUARANTINE</x:v>
      </x:c>
      <x:c r="K56" s="11" t="n">
        <x:v>9</x:v>
      </x:c>
      <x:c r="L56" s="11" t="n">
        <x:v>1</x:v>
      </x:c>
      <x:c r="M56" s="11" t="n">
        <x:v>1</x:v>
      </x:c>
      <x:c r="N56" s="11" t="n">
        <x:v>1</x:v>
      </x:c>
      <x:c r="O56" s="11" t="n">
        <x:v>1</x:v>
      </x:c>
      <x:c r="P56" s="11" t="n">
        <x:v>0</x:v>
      </x:c>
      <x:c r="Q56" s="11" t="str">
        <x:f>IF(AND(K56&gt;0,L56=1,M56=1,N56=1,O56=1,IF(D56=9,P56=1,1)),"PASS","FAIL")</x:f>
        <x:v>PASS</x:v>
      </x:c>
      <x:c r="R56" s="13" t="n">
        <x:v>0</x:v>
      </x:c>
    </x:row>
    <x:row r="57">
      <x:c r="B57" s="11" t="str">
        <x:v>ET-SA6-01</x:v>
      </x:c>
      <x:c r="C57" s="11" t="str">
        <x:v>SA6</x:v>
      </x:c>
      <x:c r="D57" s="11" t="n">
        <x:v>1</x:v>
      </x:c>
      <x:c r="E57" s="11" t="str">
        <x:v>fixture zero and transfer matrix</x:v>
      </x:c>
      <x:c r="F57" s="11" t="str">
        <x:v>T0</x:v>
      </x:c>
      <x:c r="G57" s="11" t="str">
        <x:v>none</x:v>
      </x:c>
      <x:c r="H57" s="11" t="str">
        <x:v>certified masses and metered four-station transfer</x:v>
      </x:c>
      <x:c r="I57" s="11" t="str">
        <x:v>stop transfer; close unlike valves; retain fluids in separate capture</x:v>
      </x:c>
      <x:c r="J57" s="11" t="str">
        <x:v>ACCEPT</x:v>
      </x:c>
      <x:c r="K57" s="11" t="n">
        <x:v>5</x:v>
      </x:c>
      <x:c r="L57" s="11" t="n">
        <x:v>1</x:v>
      </x:c>
      <x:c r="M57" s="11" t="n">
        <x:v>1</x:v>
      </x:c>
      <x:c r="N57" s="11" t="n">
        <x:v>1</x:v>
      </x:c>
      <x:c r="O57" s="11" t="n">
        <x:v>1</x:v>
      </x:c>
      <x:c r="P57" s="11" t="n">
        <x:v>0</x:v>
      </x:c>
      <x:c r="Q57" s="11" t="str">
        <x:f>IF(AND(K57&gt;0,L57=1,M57=1,N57=1,O57=1,IF(D57=9,P57=1,1)),"PASS","FAIL")</x:f>
        <x:v>PASS</x:v>
      </x:c>
      <x:c r="R57" s="13" t="n">
        <x:v>0</x:v>
      </x:c>
    </x:row>
    <x:row r="58">
      <x:c r="B58" s="11" t="str">
        <x:v>ET-SA6-02</x:v>
      </x:c>
      <x:c r="C58" s="11" t="str">
        <x:v>SA6</x:v>
      </x:c>
      <x:c r="D58" s="11" t="n">
        <x:v>2</x:v>
      </x:c>
      <x:c r="E58" s="11" t="str">
        <x:v>compliant near-boundary surrogate</x:v>
      </x:c>
      <x:c r="F58" s="11" t="str">
        <x:v>T1</x:v>
      </x:c>
      <x:c r="G58" s="11" t="str">
        <x:v>none</x:v>
      </x:c>
      <x:c r="H58" s="11" t="str">
        <x:v>custody discrepancy inside 5 kg</x:v>
      </x:c>
      <x:c r="I58" s="11" t="str">
        <x:v>stop transfer; close unlike valves; retain fluids in separate capture</x:v>
      </x:c>
      <x:c r="J58" s="11" t="str">
        <x:v>ACCEPT</x:v>
      </x:c>
      <x:c r="K58" s="11" t="n">
        <x:v>5</x:v>
      </x:c>
      <x:c r="L58" s="11" t="n">
        <x:v>1</x:v>
      </x:c>
      <x:c r="M58" s="11" t="n">
        <x:v>1</x:v>
      </x:c>
      <x:c r="N58" s="11" t="n">
        <x:v>1</x:v>
      </x:c>
      <x:c r="O58" s="11" t="n">
        <x:v>1</x:v>
      </x:c>
      <x:c r="P58" s="11" t="n">
        <x:v>0</x:v>
      </x:c>
      <x:c r="Q58" s="11" t="str">
        <x:f>IF(AND(K58&gt;0,L58=1,M58=1,N58=1,O58=1,IF(D58=9,P58=1,1)),"PASS","FAIL")</x:f>
        <x:v>PASS</x:v>
      </x:c>
      <x:c r="R58" s="13" t="n">
        <x:v>0</x:v>
      </x:c>
    </x:row>
    <x:row r="59">
      <x:c r="B59" s="11" t="str">
        <x:v>ET-SA6-03</x:v>
      </x:c>
      <x:c r="C59" s="11" t="str">
        <x:v>SA6</x:v>
      </x:c>
      <x:c r="D59" s="11" t="n">
        <x:v>3</x:v>
      </x:c>
      <x:c r="E59" s="11" t="str">
        <x:v>nonconforming surrogate</x:v>
      </x:c>
      <x:c r="F59" s="11" t="str">
        <x:v>T2</x:v>
      </x:c>
      <x:c r="G59" s="11" t="str">
        <x:v>none</x:v>
      </x:c>
      <x:c r="H59" s="11" t="str">
        <x:v>custody discrepancy beyond guard band</x:v>
      </x:c>
      <x:c r="I59" s="11" t="str">
        <x:v>stop transfer; close unlike valves; retain fluids in separate capture</x:v>
      </x:c>
      <x:c r="J59" s="11" t="str">
        <x:v>REJECT</x:v>
      </x:c>
      <x:c r="K59" s="11" t="n">
        <x:v>5</x:v>
      </x:c>
      <x:c r="L59" s="11" t="n">
        <x:v>1</x:v>
      </x:c>
      <x:c r="M59" s="11" t="n">
        <x:v>1</x:v>
      </x:c>
      <x:c r="N59" s="11" t="n">
        <x:v>1</x:v>
      </x:c>
      <x:c r="O59" s="11" t="n">
        <x:v>1</x:v>
      </x:c>
      <x:c r="P59" s="11" t="n">
        <x:v>0</x:v>
      </x:c>
      <x:c r="Q59" s="11" t="str">
        <x:f>IF(AND(K59&gt;0,L59=1,M59=1,N59=1,O59=1,IF(D59=9,P59=1,1)),"PASS","FAIL")</x:f>
        <x:v>PASS</x:v>
      </x:c>
      <x:c r="R59" s="13" t="n">
        <x:v>0</x:v>
      </x:c>
    </x:row>
    <x:row r="60">
      <x:c r="B60" s="11" t="str">
        <x:v>ET-SA6-04</x:v>
      </x:c>
      <x:c r="C60" s="11" t="str">
        <x:v>SA6</x:v>
      </x:c>
      <x:c r="D60" s="11" t="n">
        <x:v>4</x:v>
      </x:c>
      <x:c r="E60" s="11" t="str">
        <x:v>decision-boundary surrogate</x:v>
      </x:c>
      <x:c r="F60" s="11" t="str">
        <x:v>T3</x:v>
      </x:c>
      <x:c r="G60" s="11" t="str">
        <x:v>none</x:v>
      </x:c>
      <x:c r="H60" s="11" t="str">
        <x:v>discrepancy centered on 5 kg</x:v>
      </x:c>
      <x:c r="I60" s="11" t="str">
        <x:v>stop transfer; close unlike valves; retain fluids in separate capture</x:v>
      </x:c>
      <x:c r="J60" s="11" t="str">
        <x:v>INDETERMINATE</x:v>
      </x:c>
      <x:c r="K60" s="11" t="n">
        <x:v>6</x:v>
      </x:c>
      <x:c r="L60" s="11" t="n">
        <x:v>1</x:v>
      </x:c>
      <x:c r="M60" s="11" t="n">
        <x:v>1</x:v>
      </x:c>
      <x:c r="N60" s="11" t="n">
        <x:v>1</x:v>
      </x:c>
      <x:c r="O60" s="11" t="n">
        <x:v>1</x:v>
      </x:c>
      <x:c r="P60" s="11" t="n">
        <x:v>0</x:v>
      </x:c>
      <x:c r="Q60" s="11" t="str">
        <x:f>IF(AND(K60&gt;0,L60=1,M60=1,N60=1,O60=1,IF(D60=9,P60=1,1)),"PASS","FAIL")</x:f>
        <x:v>PASS</x:v>
      </x:c>
      <x:c r="R60" s="13" t="n">
        <x:v>0</x:v>
      </x:c>
    </x:row>
    <x:row r="61">
      <x:c r="B61" s="11" t="str">
        <x:v>ET-SA6-05</x:v>
      </x:c>
      <x:c r="C61" s="11" t="str">
        <x:v>SA6</x:v>
      </x:c>
      <x:c r="D61" s="11" t="n">
        <x:v>5</x:v>
      </x:c>
      <x:c r="E61" s="11" t="str">
        <x:v>sensor saturation or native gap</x:v>
      </x:c>
      <x:c r="F61" s="11" t="str">
        <x:v>T1</x:v>
      </x:c>
      <x:c r="G61" s="11" t="str">
        <x:v>data-plane kit</x:v>
      </x:c>
      <x:c r="H61" s="11" t="str">
        <x:v>saturate weighing or flow chain</x:v>
      </x:c>
      <x:c r="I61" s="11" t="str">
        <x:v>stop transfer; close unlike valves; retain fluids in separate capture</x:v>
      </x:c>
      <x:c r="J61" s="11" t="str">
        <x:v>INVALID</x:v>
      </x:c>
      <x:c r="K61" s="11" t="n">
        <x:v>4</x:v>
      </x:c>
      <x:c r="L61" s="11" t="n">
        <x:v>1</x:v>
      </x:c>
      <x:c r="M61" s="11" t="n">
        <x:v>1</x:v>
      </x:c>
      <x:c r="N61" s="11" t="n">
        <x:v>1</x:v>
      </x:c>
      <x:c r="O61" s="11" t="n">
        <x:v>1</x:v>
      </x:c>
      <x:c r="P61" s="11" t="n">
        <x:v>0</x:v>
      </x:c>
      <x:c r="Q61" s="11" t="str">
        <x:f>IF(AND(K61&gt;0,L61=1,M61=1,N61=1,O61=1,IF(D61=9,P61=1,1)),"PASS","FAIL")</x:f>
        <x:v>PASS</x:v>
      </x:c>
      <x:c r="R61" s="13" t="n">
        <x:v>0</x:v>
      </x:c>
    </x:row>
    <x:row r="62">
      <x:c r="B62" s="11" t="str">
        <x:v>ET-SA6-06</x:v>
      </x:c>
      <x:c r="C62" s="11" t="str">
        <x:v>SA6</x:v>
      </x:c>
      <x:c r="D62" s="11" t="n">
        <x:v>6</x:v>
      </x:c>
      <x:c r="E62" s="11" t="str">
        <x:v>command-observation disagreement</x:v>
      </x:c>
      <x:c r="F62" s="11" t="str">
        <x:v>T1</x:v>
      </x:c>
      <x:c r="G62" s="11" t="str">
        <x:v>data-plane kit</x:v>
      </x:c>
      <x:c r="H62" s="11" t="str">
        <x:v>command transfer; deliver metered mismatch</x:v>
      </x:c>
      <x:c r="I62" s="11" t="str">
        <x:v>stop transfer; close unlike valves; retain fluids in separate capture</x:v>
      </x:c>
      <x:c r="J62" s="11" t="str">
        <x:v>INVALID</x:v>
      </x:c>
      <x:c r="K62" s="11" t="n">
        <x:v>4</x:v>
      </x:c>
      <x:c r="L62" s="11" t="n">
        <x:v>1</x:v>
      </x:c>
      <x:c r="M62" s="11" t="n">
        <x:v>1</x:v>
      </x:c>
      <x:c r="N62" s="11" t="n">
        <x:v>1</x:v>
      </x:c>
      <x:c r="O62" s="11" t="n">
        <x:v>1</x:v>
      </x:c>
      <x:c r="P62" s="11" t="n">
        <x:v>0</x:v>
      </x:c>
      <x:c r="Q62" s="11" t="str">
        <x:f>IF(AND(K62&gt;0,L62=1,M62=1,N62=1,O62=1,IF(D62=9,P62=1,1)),"PASS","FAIL")</x:f>
        <x:v>PASS</x:v>
      </x:c>
      <x:c r="R62" s="13" t="n">
        <x:v>0</x:v>
      </x:c>
    </x:row>
    <x:row r="63">
      <x:c r="B63" s="11" t="str">
        <x:v>ET-SA6-07</x:v>
      </x:c>
      <x:c r="C63" s="11" t="str">
        <x:v>SA6</x:v>
      </x:c>
      <x:c r="D63" s="11" t="n">
        <x:v>7</x:v>
      </x:c>
      <x:c r="E63" s="11" t="str">
        <x:v>primary controller loss</x:v>
      </x:c>
      <x:c r="F63" s="11" t="str">
        <x:v>T1</x:v>
      </x:c>
      <x:c r="G63" s="11" t="str">
        <x:v>safety-hazard kit</x:v>
      </x:c>
      <x:c r="H63" s="11" t="str">
        <x:v>remove transfer controller in flow</x:v>
      </x:c>
      <x:c r="I63" s="11" t="str">
        <x:v>stop transfer; close unlike valves; retain fluids in separate capture</x:v>
      </x:c>
      <x:c r="J63" s="11" t="str">
        <x:v>SAFE STATE</x:v>
      </x:c>
      <x:c r="K63" s="11" t="n">
        <x:v>3</x:v>
      </x:c>
      <x:c r="L63" s="11" t="n">
        <x:v>1</x:v>
      </x:c>
      <x:c r="M63" s="11" t="n">
        <x:v>1</x:v>
      </x:c>
      <x:c r="N63" s="11" t="n">
        <x:v>1</x:v>
      </x:c>
      <x:c r="O63" s="11" t="n">
        <x:v>1</x:v>
      </x:c>
      <x:c r="P63" s="11" t="n">
        <x:v>0</x:v>
      </x:c>
      <x:c r="Q63" s="11" t="str">
        <x:f>IF(AND(K63&gt;0,L63=1,M63=1,N63=1,O63=1,IF(D63=9,P63=1,1)),"PASS","FAIL")</x:f>
        <x:v>PASS</x:v>
      </x:c>
      <x:c r="R63" s="13" t="n">
        <x:v>0</x:v>
      </x:c>
    </x:row>
    <x:row r="64">
      <x:c r="B64" s="11" t="str">
        <x:v>ET-SA6-08</x:v>
      </x:c>
      <x:c r="C64" s="11" t="str">
        <x:v>SA6</x:v>
      </x:c>
      <x:c r="D64" s="11" t="n">
        <x:v>8</x:v>
      </x:c>
      <x:c r="E64" s="11" t="str">
        <x:v>one safe-state actuator loss</x:v>
      </x:c>
      <x:c r="F64" s="11" t="str">
        <x:v>T1</x:v>
      </x:c>
      <x:c r="G64" s="11" t="str">
        <x:v>safety-hazard kit</x:v>
      </x:c>
      <x:c r="H64" s="11" t="str">
        <x:v>deny one fuel or water isolation path</x:v>
      </x:c>
      <x:c r="I64" s="11" t="str">
        <x:v>stop transfer; close unlike valves; retain fluids in separate capture</x:v>
      </x:c>
      <x:c r="J64" s="11" t="str">
        <x:v>SAFE STATE</x:v>
      </x:c>
      <x:c r="K64" s="11" t="n">
        <x:v>3</x:v>
      </x:c>
      <x:c r="L64" s="11" t="n">
        <x:v>1</x:v>
      </x:c>
      <x:c r="M64" s="11" t="n">
        <x:v>1</x:v>
      </x:c>
      <x:c r="N64" s="11" t="n">
        <x:v>1</x:v>
      </x:c>
      <x:c r="O64" s="11" t="n">
        <x:v>1</x:v>
      </x:c>
      <x:c r="P64" s="11" t="n">
        <x:v>0</x:v>
      </x:c>
      <x:c r="Q64" s="11" t="str">
        <x:f>IF(AND(K64&gt;0,L64=1,M64=1,N64=1,O64=1,IF(D64=9,P64=1,1)),"PASS","FAIL")</x:f>
        <x:v>PASS</x:v>
      </x:c>
      <x:c r="R64" s="13" t="n">
        <x:v>0</x:v>
      </x:c>
    </x:row>
    <x:row r="65">
      <x:c r="B65" s="11" t="str">
        <x:v>ET-SA6-09</x:v>
      </x:c>
      <x:c r="C65" s="11" t="str">
        <x:v>SA6</x:v>
      </x:c>
      <x:c r="D65" s="11" t="n">
        <x:v>9</x:v>
      </x:c>
      <x:c r="E65" s="11" t="str">
        <x:v>clock, signing and network denial</x:v>
      </x:c>
      <x:c r="F65" s="11" t="str">
        <x:v>T1</x:v>
      </x:c>
      <x:c r="G65" s="11" t="str">
        <x:v>data-plane kit</x:v>
      </x:c>
      <x:c r="H65" s="11" t="str">
        <x:v>deny time, network and signing</x:v>
      </x:c>
      <x:c r="I65" s="11" t="str">
        <x:v>stop transfer; close unlike valves; retain fluids in separate capture</x:v>
      </x:c>
      <x:c r="J65" s="11" t="str">
        <x:v>SAFE STATE AND REPLAY</x:v>
      </x:c>
      <x:c r="K65" s="11" t="n">
        <x:v>5</x:v>
      </x:c>
      <x:c r="L65" s="11" t="n">
        <x:v>1</x:v>
      </x:c>
      <x:c r="M65" s="11" t="n">
        <x:v>1</x:v>
      </x:c>
      <x:c r="N65" s="11" t="n">
        <x:v>1</x:v>
      </x:c>
      <x:c r="O65" s="11" t="n">
        <x:v>1</x:v>
      </x:c>
      <x:c r="P65" s="11" t="n">
        <x:v>1</x:v>
      </x:c>
      <x:c r="Q65" s="11" t="str">
        <x:f>IF(AND(K65&gt;0,L65=1,M65=1,N65=1,O65=1,IF(D65=9,P65=1,1)),"PASS","FAIL")</x:f>
        <x:v>PASS</x:v>
      </x:c>
      <x:c r="R65" s="13" t="n">
        <x:v>0</x:v>
      </x:c>
    </x:row>
    <x:row r="66">
      <x:c r="B66" s="12" t="str">
        <x:v>ET-SA6-10</x:v>
      </x:c>
      <x:c r="C66" s="12" t="str">
        <x:v>SA6</x:v>
      </x:c>
      <x:c r="D66" s="12" t="n">
        <x:v>10</x:v>
      </x:c>
      <x:c r="E66" s="12" t="str">
        <x:v>retained hazard or carryover</x:v>
      </x:c>
      <x:c r="F66" s="12" t="str">
        <x:v>T1</x:v>
      </x:c>
      <x:c r="G66" s="12" t="str">
        <x:v>safety-hazard kit</x:v>
      </x:c>
      <x:c r="H66" s="12" t="str">
        <x:v>retain fuel, DME, water or unresolved mass</x:v>
      </x:c>
      <x:c r="I66" s="12" t="str">
        <x:v>stop transfer; close unlike valves; retain fluids in separate capture</x:v>
      </x:c>
      <x:c r="J66" s="12" t="str">
        <x:v>QUARANTINE</x:v>
      </x:c>
      <x:c r="K66" s="12" t="n">
        <x:v>10</x:v>
      </x:c>
      <x:c r="L66" s="12" t="n">
        <x:v>1</x:v>
      </x:c>
      <x:c r="M66" s="12" t="n">
        <x:v>1</x:v>
      </x:c>
      <x:c r="N66" s="12" t="n">
        <x:v>1</x:v>
      </x:c>
      <x:c r="O66" s="12" t="n">
        <x:v>1</x:v>
      </x:c>
      <x:c r="P66" s="12" t="n">
        <x:v>0</x:v>
      </x:c>
      <x:c r="Q66" s="12" t="str">
        <x:f>IF(AND(K66&gt;0,L66=1,M66=1,N66=1,O66=1,IF(D66=9,P66=1,1)),"PASS","FAIL")</x:f>
        <x:v>PASS</x:v>
      </x:c>
      <x:c r="R66" s="14" t="n">
        <x:v>0</x:v>
      </x:c>
    </x:row>
  </x:sheetData>
  <x:mergeCells>
    <x:mergeCell ref="B2:R2"/>
    <x:mergeCell ref="B3:R3"/>
  </x:mergeCells>
  <x:conditionalFormatting sqref="I7:I66">
    <x:cfRule type="containsText" dxfId="84" priority="1" operator="containsText" text="PASS"/>
    <x:cfRule type="containsText" dxfId="85" priority="2" operator="containsText" text="AUTHORIZED"/>
    <x:cfRule type="containsText" dxfId="86" priority="3" operator="containsText" text="DEFINED"/>
    <x:cfRule type="containsText" dxfId="87" priority="4" operator="containsText" text="READY"/>
    <x:cfRule type="containsText" dxfId="88" priority="5" operator="containsText" text="HOLD"/>
    <x:cfRule type="containsText" dxfId="89" priority="6" operator="containsText" text="OPEN"/>
    <x:cfRule type="containsText" dxfId="90" priority="7" operator="containsText" text="BLOCKED"/>
    <x:cfRule type="containsText" dxfId="91" priority="8" operator="containsText" text="PLANNING"/>
    <x:cfRule type="containsText" dxfId="92" priority="9" operator="containsText" text="QUARANTINE"/>
    <x:cfRule type="containsText" dxfId="93" priority="10" operator="containsText" text="INDETERMINATE"/>
    <x:cfRule type="containsText" dxfId="94" priority="11" operator="containsText" text="FAIL"/>
    <x:cfRule type="containsText" dxfId="95" priority="12" operator="containsText" text="REJECT"/>
    <x:cfRule type="containsText" dxfId="96" priority="13" operator="containsText" text="INVALID"/>
    <x:cfRule type="containsText" dxfId="97" priority="14" operator="containsText" text="STOP"/>
  </x:conditionalFormatting>
  <x:conditionalFormatting sqref="Q7:Q66">
    <x:cfRule type="containsText" dxfId="98" priority="15" operator="containsText" text="PASS"/>
    <x:cfRule type="containsText" dxfId="99" priority="16" operator="containsText" text="AUTHORIZED"/>
    <x:cfRule type="containsText" dxfId="100" priority="17" operator="containsText" text="DEFINED"/>
    <x:cfRule type="containsText" dxfId="101" priority="18" operator="containsText" text="READY"/>
    <x:cfRule type="containsText" dxfId="102" priority="19" operator="containsText" text="HOLD"/>
    <x:cfRule type="containsText" dxfId="103" priority="20" operator="containsText" text="OPEN"/>
    <x:cfRule type="containsText" dxfId="104" priority="21" operator="containsText" text="BLOCKED"/>
    <x:cfRule type="containsText" dxfId="105" priority="22" operator="containsText" text="PLANNING"/>
    <x:cfRule type="containsText" dxfId="106" priority="23" operator="containsText" text="QUARANTINE"/>
    <x:cfRule type="containsText" dxfId="107" priority="24" operator="containsText" text="INDETERMINATE"/>
    <x:cfRule type="containsText" dxfId="108" priority="25" operator="containsText" text="FAIL"/>
    <x:cfRule type="containsText" dxfId="109" priority="26" operator="containsText" text="REJECT"/>
    <x:cfRule type="containsText" dxfId="110" priority="27" operator="containsText" text="INVALID"/>
    <x:cfRule type="containsText" dxfId="111" priority="28" operator="containsText" text="STOP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8" hidden="0" customWidth="1"/>
    <x:col min="3" max="3" width="11" hidden="0" customWidth="1"/>
    <x:col min="4" max="4" width="11" hidden="0" customWidth="1"/>
    <x:col min="5" max="5" width="10" hidden="0" customWidth="1"/>
    <x:col min="6" max="6" width="10" hidden="0" customWidth="1"/>
    <x:col min="7" max="7" width="15" hidden="0" customWidth="1"/>
    <x:col min="8" max="8" width="8" hidden="0" customWidth="1"/>
    <x:col min="9" max="9" width="22" hidden="0" customWidth="1"/>
    <x:col min="10" max="10" width="8" hidden="0" customWidth="1"/>
    <x:col min="11" max="11" width="14" hidden="0" customWidth="1"/>
    <x:col min="12" max="12" width="18" hidden="0" customWidth="1"/>
    <x:col min="13" max="13" width="14" hidden="0" customWidth="1"/>
    <x:col min="14" max="14" width="23" hidden="0" customWidth="1"/>
    <x:col min="15" max="15" width="14" hidden="0" customWidth="1"/>
    <x:col min="16" max="16" width="14" hidden="0" customWidth="1"/>
    <x:col min="17" max="17" width="12" hidden="0" customWidth="1"/>
    <x:col min="18" max="18" width="16" hidden="0" customWidth="1"/>
    <x:col min="19" max="19" width="22" hidden="0" customWidth="1"/>
    <x:col min="20" max="20" width="15" hidden="0" customWidth="1"/>
    <x:col min="21" max="21" width="20" hidden="0" customWidth="1"/>
    <x:col min="22" max="22" width="31" hidden="0" customWidth="1"/>
  </x:cols>
  <x:sheetData>
    <x:row r="2">
      <x:c r="B2" s="37" t="str">
        <x:v>One hundred twenty mounted lane events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</x:row>
    <x:row r="3">
      <x:c r="B3" s="39" t="str">
        <x:v>Odd and even sibling lanes invert root assignment. Each family therefore sees every event class under both roots across two sites.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</x:row>
    <x:row r="6">
      <x:c r="B6" s="9" t="str">
        <x:v>Event ID</x:v>
      </x:c>
      <x:c r="C6" s="9" t="str">
        <x:v>Lane</x:v>
      </x:c>
      <x:c r="D6" s="9" t="str">
        <x:v>Site</x:v>
      </x:c>
      <x:c r="E6" s="9" t="str">
        <x:v>Family</x:v>
      </x:c>
      <x:c r="F6" s="9" t="str">
        <x:v>Sequence</x:v>
      </x:c>
      <x:c r="G6" s="9" t="str">
        <x:v>Template ID</x:v>
      </x:c>
      <x:c r="H6" s="9" t="str">
        <x:v>Root</x:v>
      </x:c>
      <x:c r="I6" s="9" t="str">
        <x:v>Article ID</x:v>
      </x:c>
      <x:c r="J6" s="9" t="str">
        <x:v>Slot</x:v>
      </x:c>
      <x:c r="K6" s="9" t="str">
        <x:v>Truth module</x:v>
      </x:c>
      <x:c r="L6" s="9" t="str">
        <x:v>Failure kit</x:v>
      </x:c>
      <x:c r="M6" s="9" t="str">
        <x:v>Maximum hours</x:v>
      </x:c>
      <x:c r="N6" s="9" t="str">
        <x:v>Expected disposition</x:v>
      </x:c>
      <x:c r="O6" s="9" t="str">
        <x:v>Precheck plan</x:v>
      </x:c>
      <x:c r="P6" s="9" t="str">
        <x:v>Truth seal plan</x:v>
      </x:c>
      <x:c r="Q6" s="9" t="str">
        <x:v>Kit plan</x:v>
      </x:c>
      <x:c r="R6" s="9" t="str">
        <x:v>Definition state</x:v>
      </x:c>
      <x:c r="S6" s="9" t="str">
        <x:v>Actual disposition</x:v>
      </x:c>
      <x:c r="T6" s="9" t="str">
        <x:v>Native originals</x:v>
      </x:c>
      <x:c r="U6" s="9" t="str">
        <x:v>Physical source state</x:v>
      </x:c>
      <x:c r="V6" s="9" t="str">
        <x:v>Retirement action</x:v>
      </x:c>
    </x:row>
    <x:row r="7">
      <x:c r="B7" s="11" t="str">
        <x:v>P0-LN-01-01</x:v>
      </x:c>
      <x:c r="C7" s="11" t="str">
        <x:v>LN-01</x:v>
      </x:c>
      <x:c r="D7" s="11" t="str">
        <x:v>PTC-A</x:v>
      </x:c>
      <x:c r="E7" s="11" t="str">
        <x:v>SA1</x:v>
      </x:c>
      <x:c r="F7" s="11" t="n">
        <x:v>1</x:v>
      </x:c>
      <x:c r="G7" s="11" t="str">
        <x:v>ET-SA1-01</x:v>
      </x:c>
      <x:c r="H7" s="11" t="str">
        <x:v>A</x:v>
      </x:c>
      <x:c r="I7" s="11" t="str">
        <x:v>RA-SA1-01-A1</x:v>
      </x:c>
      <x:c r="J7" s="11" t="n">
        <x:v>1</x:v>
      </x:c>
      <x:c r="K7" s="11" t="str">
        <x:v>T0</x:v>
      </x:c>
      <x:c r="L7" s="11" t="str">
        <x:v>none</x:v>
      </x:c>
      <x:c r="M7" s="11" t="n">
        <x:v>4</x:v>
      </x:c>
      <x:c r="N7" s="11" t="str">
        <x:v>ACCEPT</x:v>
      </x:c>
      <x:c r="O7" s="11" t="n">
        <x:v>1</x:v>
      </x:c>
      <x:c r="P7" s="11" t="n">
        <x:v>1</x:v>
      </x:c>
      <x:c r="Q7" s="11" t="n">
        <x:v>1</x:v>
      </x:c>
      <x:c r="R7" s="11" t="str">
        <x:f>IF(AND(N7&lt;&gt;"",O7=1,P7=1,Q7=1),"PASS","FAIL")</x:f>
        <x:v>PASS</x:v>
      </x:c>
      <x:c r="S7" s="13" t="str"/>
      <x:c r="T7" s="13" t="n">
        <x:v>0</x:v>
      </x:c>
      <x:c r="U7" s="11" t="str">
        <x:f>IF(R7&lt;&gt;"PASS","FAIL",IF(S7="","OPEN",IF(AND(S7=N7,T7&gt;='Controls'!$D$33),"PASS","FAIL")))</x:f>
        <x:v>OPEN</x:v>
      </x:c>
      <x:c r="V7" s="11" t="str">
        <x:v>RETURN TO CONTROLLED CUSTODY</x:v>
      </x:c>
    </x:row>
    <x:row r="8">
      <x:c r="B8" s="11" t="str">
        <x:v>P0-LN-01-02</x:v>
      </x:c>
      <x:c r="C8" s="11" t="str">
        <x:v>LN-01</x:v>
      </x:c>
      <x:c r="D8" s="11" t="str">
        <x:v>PTC-A</x:v>
      </x:c>
      <x:c r="E8" s="11" t="str">
        <x:v>SA1</x:v>
      </x:c>
      <x:c r="F8" s="11" t="n">
        <x:v>2</x:v>
      </x:c>
      <x:c r="G8" s="11" t="str">
        <x:v>ET-SA1-02</x:v>
      </x:c>
      <x:c r="H8" s="11" t="str">
        <x:v>B</x:v>
      </x:c>
      <x:c r="I8" s="11" t="str">
        <x:v>RA-SA1-01-B1</x:v>
      </x:c>
      <x:c r="J8" s="11" t="n">
        <x:v>1</x:v>
      </x:c>
      <x:c r="K8" s="11" t="str">
        <x:v>T1</x:v>
      </x:c>
      <x:c r="L8" s="11" t="str">
        <x:v>none</x:v>
      </x:c>
      <x:c r="M8" s="11" t="n">
        <x:v>4</x:v>
      </x:c>
      <x:c r="N8" s="11" t="str">
        <x:v>ACCEPT</x:v>
      </x:c>
      <x:c r="O8" s="11" t="n">
        <x:v>1</x:v>
      </x:c>
      <x:c r="P8" s="11" t="n">
        <x:v>1</x:v>
      </x:c>
      <x:c r="Q8" s="11" t="n">
        <x:v>1</x:v>
      </x:c>
      <x:c r="R8" s="11" t="str">
        <x:f>IF(AND(N8&lt;&gt;"",O8=1,P8=1,Q8=1),"PASS","FAIL")</x:f>
        <x:v>PASS</x:v>
      </x:c>
      <x:c r="S8" s="13" t="str"/>
      <x:c r="T8" s="13" t="n">
        <x:v>0</x:v>
      </x:c>
      <x:c r="U8" s="11" t="str">
        <x:f>IF(R8&lt;&gt;"PASS","FAIL",IF(S8="","OPEN",IF(AND(S8=N8,T8&gt;='Controls'!$D$33),"PASS","FAIL")))</x:f>
        <x:v>OPEN</x:v>
      </x:c>
      <x:c r="V8" s="11" t="str">
        <x:v>RETURN TO CONTROLLED CUSTODY</x:v>
      </x:c>
    </x:row>
    <x:row r="9">
      <x:c r="B9" s="11" t="str">
        <x:v>P0-LN-01-03</x:v>
      </x:c>
      <x:c r="C9" s="11" t="str">
        <x:v>LN-01</x:v>
      </x:c>
      <x:c r="D9" s="11" t="str">
        <x:v>PTC-A</x:v>
      </x:c>
      <x:c r="E9" s="11" t="str">
        <x:v>SA1</x:v>
      </x:c>
      <x:c r="F9" s="11" t="n">
        <x:v>3</x:v>
      </x:c>
      <x:c r="G9" s="11" t="str">
        <x:v>ET-SA1-03</x:v>
      </x:c>
      <x:c r="H9" s="11" t="str">
        <x:v>A</x:v>
      </x:c>
      <x:c r="I9" s="11" t="str">
        <x:v>RA-SA1-01-A2</x:v>
      </x:c>
      <x:c r="J9" s="11" t="n">
        <x:v>2</x:v>
      </x:c>
      <x:c r="K9" s="11" t="str">
        <x:v>T2</x:v>
      </x:c>
      <x:c r="L9" s="11" t="str">
        <x:v>none</x:v>
      </x:c>
      <x:c r="M9" s="11" t="n">
        <x:v>4</x:v>
      </x:c>
      <x:c r="N9" s="11" t="str">
        <x:v>REJECT</x:v>
      </x:c>
      <x:c r="O9" s="11" t="n">
        <x:v>1</x:v>
      </x:c>
      <x:c r="P9" s="11" t="n">
        <x:v>1</x:v>
      </x:c>
      <x:c r="Q9" s="11" t="n">
        <x:v>1</x:v>
      </x:c>
      <x:c r="R9" s="11" t="str">
        <x:f>IF(AND(N9&lt;&gt;"",O9=1,P9=1,Q9=1),"PASS","FAIL")</x:f>
        <x:v>PASS</x:v>
      </x:c>
      <x:c r="S9" s="13" t="str"/>
      <x:c r="T9" s="13" t="n">
        <x:v>0</x:v>
      </x:c>
      <x:c r="U9" s="11" t="str">
        <x:f>IF(R9&lt;&gt;"PASS","FAIL",IF(S9="","OPEN",IF(AND(S9=N9,T9&gt;='Controls'!$D$33),"PASS","FAIL")))</x:f>
        <x:v>OPEN</x:v>
      </x:c>
      <x:c r="V9" s="11" t="str">
        <x:v>DESTRUCT AFTER TRUTH</x:v>
      </x:c>
    </x:row>
    <x:row r="10">
      <x:c r="B10" s="11" t="str">
        <x:v>P0-LN-01-04</x:v>
      </x:c>
      <x:c r="C10" s="11" t="str">
        <x:v>LN-01</x:v>
      </x:c>
      <x:c r="D10" s="11" t="str">
        <x:v>PTC-A</x:v>
      </x:c>
      <x:c r="E10" s="11" t="str">
        <x:v>SA1</x:v>
      </x:c>
      <x:c r="F10" s="11" t="n">
        <x:v>4</x:v>
      </x:c>
      <x:c r="G10" s="11" t="str">
        <x:v>ET-SA1-04</x:v>
      </x:c>
      <x:c r="H10" s="11" t="str">
        <x:v>B</x:v>
      </x:c>
      <x:c r="I10" s="11" t="str">
        <x:v>RA-SA1-01-B2</x:v>
      </x:c>
      <x:c r="J10" s="11" t="n">
        <x:v>2</x:v>
      </x:c>
      <x:c r="K10" s="11" t="str">
        <x:v>T3</x:v>
      </x:c>
      <x:c r="L10" s="11" t="str">
        <x:v>none</x:v>
      </x:c>
      <x:c r="M10" s="11" t="n">
        <x:v>5</x:v>
      </x:c>
      <x:c r="N10" s="11" t="str">
        <x:v>INDETERMINATE</x:v>
      </x:c>
      <x:c r="O10" s="11" t="n">
        <x:v>1</x:v>
      </x:c>
      <x:c r="P10" s="11" t="n">
        <x:v>1</x:v>
      </x:c>
      <x:c r="Q10" s="11" t="n">
        <x:v>1</x:v>
      </x:c>
      <x:c r="R10" s="11" t="str">
        <x:f>IF(AND(N10&lt;&gt;"",O10=1,P10=1,Q10=1),"PASS","FAIL")</x:f>
        <x:v>PASS</x:v>
      </x:c>
      <x:c r="S10" s="13" t="str"/>
      <x:c r="T10" s="13" t="n">
        <x:v>0</x:v>
      </x:c>
      <x:c r="U10" s="11" t="str">
        <x:f>IF(R10&lt;&gt;"PASS","FAIL",IF(S10="","OPEN",IF(AND(S10=N10,T10&gt;='Controls'!$D$33),"PASS","FAIL")))</x:f>
        <x:v>OPEN</x:v>
      </x:c>
      <x:c r="V10" s="11" t="str">
        <x:v>DESTRUCT AFTER TRUTH</x:v>
      </x:c>
    </x:row>
    <x:row r="11">
      <x:c r="B11" s="11" t="str">
        <x:v>P0-LN-01-05</x:v>
      </x:c>
      <x:c r="C11" s="11" t="str">
        <x:v>LN-01</x:v>
      </x:c>
      <x:c r="D11" s="11" t="str">
        <x:v>PTC-A</x:v>
      </x:c>
      <x:c r="E11" s="11" t="str">
        <x:v>SA1</x:v>
      </x:c>
      <x:c r="F11" s="11" t="n">
        <x:v>5</x:v>
      </x:c>
      <x:c r="G11" s="11" t="str">
        <x:v>ET-SA1-05</x:v>
      </x:c>
      <x:c r="H11" s="11" t="str">
        <x:v>A</x:v>
      </x:c>
      <x:c r="I11" s="11" t="str">
        <x:v>RA-SA1-01-A1</x:v>
      </x:c>
      <x:c r="J11" s="11" t="n">
        <x:v>1</x:v>
      </x:c>
      <x:c r="K11" s="11" t="str">
        <x:v>T1</x:v>
      </x:c>
      <x:c r="L11" s="11" t="str">
        <x:v>FI-SA1-A-D</x:v>
      </x:c>
      <x:c r="M11" s="11" t="n">
        <x:v>3</x:v>
      </x:c>
      <x:c r="N11" s="11" t="str">
        <x:v>INVALID</x:v>
      </x:c>
      <x:c r="O11" s="11" t="n">
        <x:v>1</x:v>
      </x:c>
      <x:c r="P11" s="11" t="n">
        <x:v>1</x:v>
      </x:c>
      <x:c r="Q11" s="11" t="n">
        <x:v>1</x:v>
      </x:c>
      <x:c r="R11" s="11" t="str">
        <x:f>IF(AND(N11&lt;&gt;"",O11=1,P11=1,Q11=1),"PASS","FAIL")</x:f>
        <x:v>PASS</x:v>
      </x:c>
      <x:c r="S11" s="13" t="str"/>
      <x:c r="T11" s="13" t="n">
        <x:v>0</x:v>
      </x:c>
      <x:c r="U11" s="11" t="str">
        <x:f>IF(R11&lt;&gt;"PASS","FAIL",IF(S11="","OPEN",IF(AND(S11=N11,T11&gt;='Controls'!$D$33),"PASS","FAIL")))</x:f>
        <x:v>OPEN</x:v>
      </x:c>
      <x:c r="V11" s="11" t="str">
        <x:v>RETURN TO CONTROLLED CUSTODY</x:v>
      </x:c>
    </x:row>
    <x:row r="12">
      <x:c r="B12" s="11" t="str">
        <x:v>P0-LN-01-06</x:v>
      </x:c>
      <x:c r="C12" s="11" t="str">
        <x:v>LN-01</x:v>
      </x:c>
      <x:c r="D12" s="11" t="str">
        <x:v>PTC-A</x:v>
      </x:c>
      <x:c r="E12" s="11" t="str">
        <x:v>SA1</x:v>
      </x:c>
      <x:c r="F12" s="11" t="n">
        <x:v>6</x:v>
      </x:c>
      <x:c r="G12" s="11" t="str">
        <x:v>ET-SA1-06</x:v>
      </x:c>
      <x:c r="H12" s="11" t="str">
        <x:v>B</x:v>
      </x:c>
      <x:c r="I12" s="11" t="str">
        <x:v>RA-SA1-01-B2</x:v>
      </x:c>
      <x:c r="J12" s="11" t="n">
        <x:v>2</x:v>
      </x:c>
      <x:c r="K12" s="11" t="str">
        <x:v>T1</x:v>
      </x:c>
      <x:c r="L12" s="11" t="str">
        <x:v>FI-SA1-B-D</x:v>
      </x:c>
      <x:c r="M12" s="11" t="n">
        <x:v>3</x:v>
      </x:c>
      <x:c r="N12" s="11" t="str">
        <x:v>INVALID</x:v>
      </x:c>
      <x:c r="O12" s="11" t="n">
        <x:v>1</x:v>
      </x:c>
      <x:c r="P12" s="11" t="n">
        <x:v>1</x:v>
      </x:c>
      <x:c r="Q12" s="11" t="n">
        <x:v>1</x:v>
      </x:c>
      <x:c r="R12" s="11" t="str">
        <x:f>IF(AND(N12&lt;&gt;"",O12=1,P12=1,Q12=1),"PASS","FAIL")</x:f>
        <x:v>PASS</x:v>
      </x:c>
      <x:c r="S12" s="13" t="str"/>
      <x:c r="T12" s="13" t="n">
        <x:v>0</x:v>
      </x:c>
      <x:c r="U12" s="11" t="str">
        <x:f>IF(R12&lt;&gt;"PASS","FAIL",IF(S12="","OPEN",IF(AND(S12=N12,T12&gt;='Controls'!$D$33),"PASS","FAIL")))</x:f>
        <x:v>OPEN</x:v>
      </x:c>
      <x:c r="V12" s="11" t="str">
        <x:v>DESTRUCT AFTER TRUTH</x:v>
      </x:c>
    </x:row>
    <x:row r="13">
      <x:c r="B13" s="11" t="str">
        <x:v>P0-LN-01-07</x:v>
      </x:c>
      <x:c r="C13" s="11" t="str">
        <x:v>LN-01</x:v>
      </x:c>
      <x:c r="D13" s="11" t="str">
        <x:v>PTC-A</x:v>
      </x:c>
      <x:c r="E13" s="11" t="str">
        <x:v>SA1</x:v>
      </x:c>
      <x:c r="F13" s="11" t="n">
        <x:v>7</x:v>
      </x:c>
      <x:c r="G13" s="11" t="str">
        <x:v>ET-SA1-07</x:v>
      </x:c>
      <x:c r="H13" s="11" t="str">
        <x:v>A</x:v>
      </x:c>
      <x:c r="I13" s="11" t="str">
        <x:v>RA-SA1-01-A3</x:v>
      </x:c>
      <x:c r="J13" s="11" t="n">
        <x:v>3</x:v>
      </x:c>
      <x:c r="K13" s="11" t="str">
        <x:v>T1</x:v>
      </x:c>
      <x:c r="L13" s="11" t="str">
        <x:v>FI-SA1-A-S</x:v>
      </x:c>
      <x:c r="M13" s="11" t="n">
        <x:v>2</x:v>
      </x:c>
      <x:c r="N13" s="11" t="str">
        <x:v>SAFE STATE</x:v>
      </x:c>
      <x:c r="O13" s="11" t="n">
        <x:v>1</x:v>
      </x:c>
      <x:c r="P13" s="11" t="n">
        <x:v>1</x:v>
      </x:c>
      <x:c r="Q13" s="11" t="n">
        <x:v>1</x:v>
      </x:c>
      <x:c r="R13" s="11" t="str">
        <x:f>IF(AND(N13&lt;&gt;"",O13=1,P13=1,Q13=1),"PASS","FAIL")</x:f>
        <x:v>PASS</x:v>
      </x:c>
      <x:c r="S13" s="13" t="str"/>
      <x:c r="T13" s="13" t="n">
        <x:v>0</x:v>
      </x:c>
      <x:c r="U13" s="11" t="str">
        <x:f>IF(R13&lt;&gt;"PASS","FAIL",IF(S13="","OPEN",IF(AND(S13=N13,T13&gt;='Controls'!$D$33),"PASS","FAIL")))</x:f>
        <x:v>OPEN</x:v>
      </x:c>
      <x:c r="V13" s="11" t="str">
        <x:v>RETURN TO CONTROLLED CUSTODY</x:v>
      </x:c>
    </x:row>
    <x:row r="14">
      <x:c r="B14" s="11" t="str">
        <x:v>P0-LN-01-08</x:v>
      </x:c>
      <x:c r="C14" s="11" t="str">
        <x:v>LN-01</x:v>
      </x:c>
      <x:c r="D14" s="11" t="str">
        <x:v>PTC-A</x:v>
      </x:c>
      <x:c r="E14" s="11" t="str">
        <x:v>SA1</x:v>
      </x:c>
      <x:c r="F14" s="11" t="n">
        <x:v>8</x:v>
      </x:c>
      <x:c r="G14" s="11" t="str">
        <x:v>ET-SA1-08</x:v>
      </x:c>
      <x:c r="H14" s="11" t="str">
        <x:v>B</x:v>
      </x:c>
      <x:c r="I14" s="11" t="str">
        <x:v>RA-SA1-01-B3</x:v>
      </x:c>
      <x:c r="J14" s="11" t="n">
        <x:v>3</x:v>
      </x:c>
      <x:c r="K14" s="11" t="str">
        <x:v>T1</x:v>
      </x:c>
      <x:c r="L14" s="11" t="str">
        <x:v>FI-SA1-B-S</x:v>
      </x:c>
      <x:c r="M14" s="11" t="n">
        <x:v>2</x:v>
      </x:c>
      <x:c r="N14" s="11" t="str">
        <x:v>SAFE STATE</x:v>
      </x:c>
      <x:c r="O14" s="11" t="n">
        <x:v>1</x:v>
      </x:c>
      <x:c r="P14" s="11" t="n">
        <x:v>1</x:v>
      </x:c>
      <x:c r="Q14" s="11" t="n">
        <x:v>1</x:v>
      </x:c>
      <x:c r="R14" s="11" t="str">
        <x:f>IF(AND(N14&lt;&gt;"",O14=1,P14=1,Q14=1),"PASS","FAIL")</x:f>
        <x:v>PASS</x:v>
      </x:c>
      <x:c r="S14" s="13" t="str"/>
      <x:c r="T14" s="13" t="n">
        <x:v>0</x:v>
      </x:c>
      <x:c r="U14" s="11" t="str">
        <x:f>IF(R14&lt;&gt;"PASS","FAIL",IF(S14="","OPEN",IF(AND(S14=N14,T14&gt;='Controls'!$D$33),"PASS","FAIL")))</x:f>
        <x:v>OPEN</x:v>
      </x:c>
      <x:c r="V14" s="11" t="str">
        <x:v>RETURN TO CONTROLLED CUSTODY</x:v>
      </x:c>
    </x:row>
    <x:row r="15">
      <x:c r="B15" s="11" t="str">
        <x:v>P0-LN-01-09</x:v>
      </x:c>
      <x:c r="C15" s="11" t="str">
        <x:v>LN-01</x:v>
      </x:c>
      <x:c r="D15" s="11" t="str">
        <x:v>PTC-A</x:v>
      </x:c>
      <x:c r="E15" s="11" t="str">
        <x:v>SA1</x:v>
      </x:c>
      <x:c r="F15" s="11" t="n">
        <x:v>9</x:v>
      </x:c>
      <x:c r="G15" s="11" t="str">
        <x:v>ET-SA1-09</x:v>
      </x:c>
      <x:c r="H15" s="11" t="str">
        <x:v>A</x:v>
      </x:c>
      <x:c r="I15" s="11" t="str">
        <x:v>RA-SA1-01-A1</x:v>
      </x:c>
      <x:c r="J15" s="11" t="n">
        <x:v>1</x:v>
      </x:c>
      <x:c r="K15" s="11" t="str">
        <x:v>T1</x:v>
      </x:c>
      <x:c r="L15" s="11" t="str">
        <x:v>FI-SA1-A-D</x:v>
      </x:c>
      <x:c r="M15" s="11" t="n">
        <x:v>4</x:v>
      </x:c>
      <x:c r="N15" s="11" t="str">
        <x:v>SAFE STATE AND REPLAY</x:v>
      </x:c>
      <x:c r="O15" s="11" t="n">
        <x:v>1</x:v>
      </x:c>
      <x:c r="P15" s="11" t="n">
        <x:v>1</x:v>
      </x:c>
      <x:c r="Q15" s="11" t="n">
        <x:v>1</x:v>
      </x:c>
      <x:c r="R15" s="11" t="str">
        <x:f>IF(AND(N15&lt;&gt;"",O15=1,P15=1,Q15=1),"PASS","FAIL")</x:f>
        <x:v>PASS</x:v>
      </x:c>
      <x:c r="S15" s="13" t="str"/>
      <x:c r="T15" s="13" t="n">
        <x:v>0</x:v>
      </x:c>
      <x:c r="U15" s="11" t="str">
        <x:f>IF(R15&lt;&gt;"PASS","FAIL",IF(S15="","OPEN",IF(AND(S15=N15,T15&gt;='Controls'!$D$33),"PASS","FAIL")))</x:f>
        <x:v>OPEN</x:v>
      </x:c>
      <x:c r="V15" s="11" t="str">
        <x:v>RETURN TO CONTROLLED CUSTODY</x:v>
      </x:c>
    </x:row>
    <x:row r="16">
      <x:c r="B16" s="11" t="str">
        <x:v>P0-LN-01-10</x:v>
      </x:c>
      <x:c r="C16" s="11" t="str">
        <x:v>LN-01</x:v>
      </x:c>
      <x:c r="D16" s="11" t="str">
        <x:v>PTC-A</x:v>
      </x:c>
      <x:c r="E16" s="11" t="str">
        <x:v>SA1</x:v>
      </x:c>
      <x:c r="F16" s="11" t="n">
        <x:v>10</x:v>
      </x:c>
      <x:c r="G16" s="11" t="str">
        <x:v>ET-SA1-10</x:v>
      </x:c>
      <x:c r="H16" s="11" t="str">
        <x:v>B</x:v>
      </x:c>
      <x:c r="I16" s="11" t="str">
        <x:v>RA-SA1-01-B3</x:v>
      </x:c>
      <x:c r="J16" s="11" t="n">
        <x:v>3</x:v>
      </x:c>
      <x:c r="K16" s="11" t="str">
        <x:v>T1</x:v>
      </x:c>
      <x:c r="L16" s="11" t="str">
        <x:v>FI-SA1-B-S</x:v>
      </x:c>
      <x:c r="M16" s="11" t="n">
        <x:v>6</x:v>
      </x:c>
      <x:c r="N16" s="11" t="str">
        <x:v>QUARANTINE</x:v>
      </x:c>
      <x:c r="O16" s="11" t="n">
        <x:v>1</x:v>
      </x:c>
      <x:c r="P16" s="11" t="n">
        <x:v>1</x:v>
      </x:c>
      <x:c r="Q16" s="11" t="n">
        <x:v>1</x:v>
      </x:c>
      <x:c r="R16" s="11" t="str">
        <x:f>IF(AND(N16&lt;&gt;"",O16=1,P16=1,Q16=1),"PASS","FAIL")</x:f>
        <x:v>PASS</x:v>
      </x:c>
      <x:c r="S16" s="13" t="str"/>
      <x:c r="T16" s="13" t="n">
        <x:v>0</x:v>
      </x:c>
      <x:c r="U16" s="11" t="str">
        <x:f>IF(R16&lt;&gt;"PASS","FAIL",IF(S16="","OPEN",IF(AND(S16=N16,T16&gt;='Controls'!$D$33),"PASS","FAIL")))</x:f>
        <x:v>OPEN</x:v>
      </x:c>
      <x:c r="V16" s="11" t="str">
        <x:v>QUARANTINE</x:v>
      </x:c>
    </x:row>
    <x:row r="17">
      <x:c r="B17" s="11" t="str">
        <x:v>P0-LN-02-01</x:v>
      </x:c>
      <x:c r="C17" s="11" t="str">
        <x:v>LN-02</x:v>
      </x:c>
      <x:c r="D17" s="11" t="str">
        <x:v>PTC-B</x:v>
      </x:c>
      <x:c r="E17" s="11" t="str">
        <x:v>SA1</x:v>
      </x:c>
      <x:c r="F17" s="11" t="n">
        <x:v>1</x:v>
      </x:c>
      <x:c r="G17" s="11" t="str">
        <x:v>ET-SA1-01</x:v>
      </x:c>
      <x:c r="H17" s="11" t="str">
        <x:v>B</x:v>
      </x:c>
      <x:c r="I17" s="11" t="str">
        <x:v>RA-SA1-02-B1</x:v>
      </x:c>
      <x:c r="J17" s="11" t="n">
        <x:v>1</x:v>
      </x:c>
      <x:c r="K17" s="11" t="str">
        <x:v>T0</x:v>
      </x:c>
      <x:c r="L17" s="11" t="str">
        <x:v>none</x:v>
      </x:c>
      <x:c r="M17" s="11" t="n">
        <x:v>4</x:v>
      </x:c>
      <x:c r="N17" s="11" t="str">
        <x:v>ACCEPT</x:v>
      </x:c>
      <x:c r="O17" s="11" t="n">
        <x:v>1</x:v>
      </x:c>
      <x:c r="P17" s="11" t="n">
        <x:v>1</x:v>
      </x:c>
      <x:c r="Q17" s="11" t="n">
        <x:v>1</x:v>
      </x:c>
      <x:c r="R17" s="11" t="str">
        <x:f>IF(AND(N17&lt;&gt;"",O17=1,P17=1,Q17=1),"PASS","FAIL")</x:f>
        <x:v>PASS</x:v>
      </x:c>
      <x:c r="S17" s="13" t="str"/>
      <x:c r="T17" s="13" t="n">
        <x:v>0</x:v>
      </x:c>
      <x:c r="U17" s="11" t="str">
        <x:f>IF(R17&lt;&gt;"PASS","FAIL",IF(S17="","OPEN",IF(AND(S17=N17,T17&gt;='Controls'!$D$33),"PASS","FAIL")))</x:f>
        <x:v>OPEN</x:v>
      </x:c>
      <x:c r="V17" s="11" t="str">
        <x:v>RETURN TO CONTROLLED CUSTODY</x:v>
      </x:c>
    </x:row>
    <x:row r="18">
      <x:c r="B18" s="11" t="str">
        <x:v>P0-LN-02-02</x:v>
      </x:c>
      <x:c r="C18" s="11" t="str">
        <x:v>LN-02</x:v>
      </x:c>
      <x:c r="D18" s="11" t="str">
        <x:v>PTC-B</x:v>
      </x:c>
      <x:c r="E18" s="11" t="str">
        <x:v>SA1</x:v>
      </x:c>
      <x:c r="F18" s="11" t="n">
        <x:v>2</x:v>
      </x:c>
      <x:c r="G18" s="11" t="str">
        <x:v>ET-SA1-02</x:v>
      </x:c>
      <x:c r="H18" s="11" t="str">
        <x:v>A</x:v>
      </x:c>
      <x:c r="I18" s="11" t="str">
        <x:v>RA-SA1-02-A1</x:v>
      </x:c>
      <x:c r="J18" s="11" t="n">
        <x:v>1</x:v>
      </x:c>
      <x:c r="K18" s="11" t="str">
        <x:v>T1</x:v>
      </x:c>
      <x:c r="L18" s="11" t="str">
        <x:v>none</x:v>
      </x:c>
      <x:c r="M18" s="11" t="n">
        <x:v>4</x:v>
      </x:c>
      <x:c r="N18" s="11" t="str">
        <x:v>ACCEPT</x:v>
      </x:c>
      <x:c r="O18" s="11" t="n">
        <x:v>1</x:v>
      </x:c>
      <x:c r="P18" s="11" t="n">
        <x:v>1</x:v>
      </x:c>
      <x:c r="Q18" s="11" t="n">
        <x:v>1</x:v>
      </x:c>
      <x:c r="R18" s="11" t="str">
        <x:f>IF(AND(N18&lt;&gt;"",O18=1,P18=1,Q18=1),"PASS","FAIL")</x:f>
        <x:v>PASS</x:v>
      </x:c>
      <x:c r="S18" s="13" t="str"/>
      <x:c r="T18" s="13" t="n">
        <x:v>0</x:v>
      </x:c>
      <x:c r="U18" s="11" t="str">
        <x:f>IF(R18&lt;&gt;"PASS","FAIL",IF(S18="","OPEN",IF(AND(S18=N18,T18&gt;='Controls'!$D$33),"PASS","FAIL")))</x:f>
        <x:v>OPEN</x:v>
      </x:c>
      <x:c r="V18" s="11" t="str">
        <x:v>RETURN TO CONTROLLED CUSTODY</x:v>
      </x:c>
    </x:row>
    <x:row r="19">
      <x:c r="B19" s="11" t="str">
        <x:v>P0-LN-02-03</x:v>
      </x:c>
      <x:c r="C19" s="11" t="str">
        <x:v>LN-02</x:v>
      </x:c>
      <x:c r="D19" s="11" t="str">
        <x:v>PTC-B</x:v>
      </x:c>
      <x:c r="E19" s="11" t="str">
        <x:v>SA1</x:v>
      </x:c>
      <x:c r="F19" s="11" t="n">
        <x:v>3</x:v>
      </x:c>
      <x:c r="G19" s="11" t="str">
        <x:v>ET-SA1-03</x:v>
      </x:c>
      <x:c r="H19" s="11" t="str">
        <x:v>B</x:v>
      </x:c>
      <x:c r="I19" s="11" t="str">
        <x:v>RA-SA1-02-B2</x:v>
      </x:c>
      <x:c r="J19" s="11" t="n">
        <x:v>2</x:v>
      </x:c>
      <x:c r="K19" s="11" t="str">
        <x:v>T2</x:v>
      </x:c>
      <x:c r="L19" s="11" t="str">
        <x:v>none</x:v>
      </x:c>
      <x:c r="M19" s="11" t="n">
        <x:v>4</x:v>
      </x:c>
      <x:c r="N19" s="11" t="str">
        <x:v>REJECT</x:v>
      </x:c>
      <x:c r="O19" s="11" t="n">
        <x:v>1</x:v>
      </x:c>
      <x:c r="P19" s="11" t="n">
        <x:v>1</x:v>
      </x:c>
      <x:c r="Q19" s="11" t="n">
        <x:v>1</x:v>
      </x:c>
      <x:c r="R19" s="11" t="str">
        <x:f>IF(AND(N19&lt;&gt;"",O19=1,P19=1,Q19=1),"PASS","FAIL")</x:f>
        <x:v>PASS</x:v>
      </x:c>
      <x:c r="S19" s="13" t="str"/>
      <x:c r="T19" s="13" t="n">
        <x:v>0</x:v>
      </x:c>
      <x:c r="U19" s="11" t="str">
        <x:f>IF(R19&lt;&gt;"PASS","FAIL",IF(S19="","OPEN",IF(AND(S19=N19,T19&gt;='Controls'!$D$33),"PASS","FAIL")))</x:f>
        <x:v>OPEN</x:v>
      </x:c>
      <x:c r="V19" s="11" t="str">
        <x:v>DESTRUCT AFTER TRUTH</x:v>
      </x:c>
    </x:row>
    <x:row r="20">
      <x:c r="B20" s="11" t="str">
        <x:v>P0-LN-02-04</x:v>
      </x:c>
      <x:c r="C20" s="11" t="str">
        <x:v>LN-02</x:v>
      </x:c>
      <x:c r="D20" s="11" t="str">
        <x:v>PTC-B</x:v>
      </x:c>
      <x:c r="E20" s="11" t="str">
        <x:v>SA1</x:v>
      </x:c>
      <x:c r="F20" s="11" t="n">
        <x:v>4</x:v>
      </x:c>
      <x:c r="G20" s="11" t="str">
        <x:v>ET-SA1-04</x:v>
      </x:c>
      <x:c r="H20" s="11" t="str">
        <x:v>A</x:v>
      </x:c>
      <x:c r="I20" s="11" t="str">
        <x:v>RA-SA1-02-A2</x:v>
      </x:c>
      <x:c r="J20" s="11" t="n">
        <x:v>2</x:v>
      </x:c>
      <x:c r="K20" s="11" t="str">
        <x:v>T3</x:v>
      </x:c>
      <x:c r="L20" s="11" t="str">
        <x:v>none</x:v>
      </x:c>
      <x:c r="M20" s="11" t="n">
        <x:v>5</x:v>
      </x:c>
      <x:c r="N20" s="11" t="str">
        <x:v>INDETERMINATE</x:v>
      </x:c>
      <x:c r="O20" s="11" t="n">
        <x:v>1</x:v>
      </x:c>
      <x:c r="P20" s="11" t="n">
        <x:v>1</x:v>
      </x:c>
      <x:c r="Q20" s="11" t="n">
        <x:v>1</x:v>
      </x:c>
      <x:c r="R20" s="11" t="str">
        <x:f>IF(AND(N20&lt;&gt;"",O20=1,P20=1,Q20=1),"PASS","FAIL")</x:f>
        <x:v>PASS</x:v>
      </x:c>
      <x:c r="S20" s="13" t="str"/>
      <x:c r="T20" s="13" t="n">
        <x:v>0</x:v>
      </x:c>
      <x:c r="U20" s="11" t="str">
        <x:f>IF(R20&lt;&gt;"PASS","FAIL",IF(S20="","OPEN",IF(AND(S20=N20,T20&gt;='Controls'!$D$33),"PASS","FAIL")))</x:f>
        <x:v>OPEN</x:v>
      </x:c>
      <x:c r="V20" s="11" t="str">
        <x:v>DESTRUCT AFTER TRUTH</x:v>
      </x:c>
    </x:row>
    <x:row r="21">
      <x:c r="B21" s="11" t="str">
        <x:v>P0-LN-02-05</x:v>
      </x:c>
      <x:c r="C21" s="11" t="str">
        <x:v>LN-02</x:v>
      </x:c>
      <x:c r="D21" s="11" t="str">
        <x:v>PTC-B</x:v>
      </x:c>
      <x:c r="E21" s="11" t="str">
        <x:v>SA1</x:v>
      </x:c>
      <x:c r="F21" s="11" t="n">
        <x:v>5</x:v>
      </x:c>
      <x:c r="G21" s="11" t="str">
        <x:v>ET-SA1-05</x:v>
      </x:c>
      <x:c r="H21" s="11" t="str">
        <x:v>B</x:v>
      </x:c>
      <x:c r="I21" s="11" t="str">
        <x:v>RA-SA1-02-B1</x:v>
      </x:c>
      <x:c r="J21" s="11" t="n">
        <x:v>1</x:v>
      </x:c>
      <x:c r="K21" s="11" t="str">
        <x:v>T1</x:v>
      </x:c>
      <x:c r="L21" s="11" t="str">
        <x:v>FI-SA1-B-D</x:v>
      </x:c>
      <x:c r="M21" s="11" t="n">
        <x:v>3</x:v>
      </x:c>
      <x:c r="N21" s="11" t="str">
        <x:v>INVALID</x:v>
      </x:c>
      <x:c r="O21" s="11" t="n">
        <x:v>1</x:v>
      </x:c>
      <x:c r="P21" s="11" t="n">
        <x:v>1</x:v>
      </x:c>
      <x:c r="Q21" s="11" t="n">
        <x:v>1</x:v>
      </x:c>
      <x:c r="R21" s="11" t="str">
        <x:f>IF(AND(N21&lt;&gt;"",O21=1,P21=1,Q21=1),"PASS","FAIL")</x:f>
        <x:v>PASS</x:v>
      </x:c>
      <x:c r="S21" s="13" t="str"/>
      <x:c r="T21" s="13" t="n">
        <x:v>0</x:v>
      </x:c>
      <x:c r="U21" s="11" t="str">
        <x:f>IF(R21&lt;&gt;"PASS","FAIL",IF(S21="","OPEN",IF(AND(S21=N21,T21&gt;='Controls'!$D$33),"PASS","FAIL")))</x:f>
        <x:v>OPEN</x:v>
      </x:c>
      <x:c r="V21" s="11" t="str">
        <x:v>RETURN TO CONTROLLED CUSTODY</x:v>
      </x:c>
    </x:row>
    <x:row r="22">
      <x:c r="B22" s="11" t="str">
        <x:v>P0-LN-02-06</x:v>
      </x:c>
      <x:c r="C22" s="11" t="str">
        <x:v>LN-02</x:v>
      </x:c>
      <x:c r="D22" s="11" t="str">
        <x:v>PTC-B</x:v>
      </x:c>
      <x:c r="E22" s="11" t="str">
        <x:v>SA1</x:v>
      </x:c>
      <x:c r="F22" s="11" t="n">
        <x:v>6</x:v>
      </x:c>
      <x:c r="G22" s="11" t="str">
        <x:v>ET-SA1-06</x:v>
      </x:c>
      <x:c r="H22" s="11" t="str">
        <x:v>A</x:v>
      </x:c>
      <x:c r="I22" s="11" t="str">
        <x:v>RA-SA1-02-A2</x:v>
      </x:c>
      <x:c r="J22" s="11" t="n">
        <x:v>2</x:v>
      </x:c>
      <x:c r="K22" s="11" t="str">
        <x:v>T1</x:v>
      </x:c>
      <x:c r="L22" s="11" t="str">
        <x:v>FI-SA1-A-D</x:v>
      </x:c>
      <x:c r="M22" s="11" t="n">
        <x:v>3</x:v>
      </x:c>
      <x:c r="N22" s="11" t="str">
        <x:v>INVALID</x:v>
      </x:c>
      <x:c r="O22" s="11" t="n">
        <x:v>1</x:v>
      </x:c>
      <x:c r="P22" s="11" t="n">
        <x:v>1</x:v>
      </x:c>
      <x:c r="Q22" s="11" t="n">
        <x:v>1</x:v>
      </x:c>
      <x:c r="R22" s="11" t="str">
        <x:f>IF(AND(N22&lt;&gt;"",O22=1,P22=1,Q22=1),"PASS","FAIL")</x:f>
        <x:v>PASS</x:v>
      </x:c>
      <x:c r="S22" s="13" t="str"/>
      <x:c r="T22" s="13" t="n">
        <x:v>0</x:v>
      </x:c>
      <x:c r="U22" s="11" t="str">
        <x:f>IF(R22&lt;&gt;"PASS","FAIL",IF(S22="","OPEN",IF(AND(S22=N22,T22&gt;='Controls'!$D$33),"PASS","FAIL")))</x:f>
        <x:v>OPEN</x:v>
      </x:c>
      <x:c r="V22" s="11" t="str">
        <x:v>DESTRUCT AFTER TRUTH</x:v>
      </x:c>
    </x:row>
    <x:row r="23">
      <x:c r="B23" s="11" t="str">
        <x:v>P0-LN-02-07</x:v>
      </x:c>
      <x:c r="C23" s="11" t="str">
        <x:v>LN-02</x:v>
      </x:c>
      <x:c r="D23" s="11" t="str">
        <x:v>PTC-B</x:v>
      </x:c>
      <x:c r="E23" s="11" t="str">
        <x:v>SA1</x:v>
      </x:c>
      <x:c r="F23" s="11" t="n">
        <x:v>7</x:v>
      </x:c>
      <x:c r="G23" s="11" t="str">
        <x:v>ET-SA1-07</x:v>
      </x:c>
      <x:c r="H23" s="11" t="str">
        <x:v>B</x:v>
      </x:c>
      <x:c r="I23" s="11" t="str">
        <x:v>RA-SA1-02-B3</x:v>
      </x:c>
      <x:c r="J23" s="11" t="n">
        <x:v>3</x:v>
      </x:c>
      <x:c r="K23" s="11" t="str">
        <x:v>T1</x:v>
      </x:c>
      <x:c r="L23" s="11" t="str">
        <x:v>FI-SA1-B-S</x:v>
      </x:c>
      <x:c r="M23" s="11" t="n">
        <x:v>2</x:v>
      </x:c>
      <x:c r="N23" s="11" t="str">
        <x:v>SAFE STATE</x:v>
      </x:c>
      <x:c r="O23" s="11" t="n">
        <x:v>1</x:v>
      </x:c>
      <x:c r="P23" s="11" t="n">
        <x:v>1</x:v>
      </x:c>
      <x:c r="Q23" s="11" t="n">
        <x:v>1</x:v>
      </x:c>
      <x:c r="R23" s="11" t="str">
        <x:f>IF(AND(N23&lt;&gt;"",O23=1,P23=1,Q23=1),"PASS","FAIL")</x:f>
        <x:v>PASS</x:v>
      </x:c>
      <x:c r="S23" s="13" t="str"/>
      <x:c r="T23" s="13" t="n">
        <x:v>0</x:v>
      </x:c>
      <x:c r="U23" s="11" t="str">
        <x:f>IF(R23&lt;&gt;"PASS","FAIL",IF(S23="","OPEN",IF(AND(S23=N23,T23&gt;='Controls'!$D$33),"PASS","FAIL")))</x:f>
        <x:v>OPEN</x:v>
      </x:c>
      <x:c r="V23" s="11" t="str">
        <x:v>RETURN TO CONTROLLED CUSTODY</x:v>
      </x:c>
    </x:row>
    <x:row r="24">
      <x:c r="B24" s="11" t="str">
        <x:v>P0-LN-02-08</x:v>
      </x:c>
      <x:c r="C24" s="11" t="str">
        <x:v>LN-02</x:v>
      </x:c>
      <x:c r="D24" s="11" t="str">
        <x:v>PTC-B</x:v>
      </x:c>
      <x:c r="E24" s="11" t="str">
        <x:v>SA1</x:v>
      </x:c>
      <x:c r="F24" s="11" t="n">
        <x:v>8</x:v>
      </x:c>
      <x:c r="G24" s="11" t="str">
        <x:v>ET-SA1-08</x:v>
      </x:c>
      <x:c r="H24" s="11" t="str">
        <x:v>A</x:v>
      </x:c>
      <x:c r="I24" s="11" t="str">
        <x:v>RA-SA1-02-A3</x:v>
      </x:c>
      <x:c r="J24" s="11" t="n">
        <x:v>3</x:v>
      </x:c>
      <x:c r="K24" s="11" t="str">
        <x:v>T1</x:v>
      </x:c>
      <x:c r="L24" s="11" t="str">
        <x:v>FI-SA1-A-S</x:v>
      </x:c>
      <x:c r="M24" s="11" t="n">
        <x:v>2</x:v>
      </x:c>
      <x:c r="N24" s="11" t="str">
        <x:v>SAFE STATE</x:v>
      </x:c>
      <x:c r="O24" s="11" t="n">
        <x:v>1</x:v>
      </x:c>
      <x:c r="P24" s="11" t="n">
        <x:v>1</x:v>
      </x:c>
      <x:c r="Q24" s="11" t="n">
        <x:v>1</x:v>
      </x:c>
      <x:c r="R24" s="11" t="str">
        <x:f>IF(AND(N24&lt;&gt;"",O24=1,P24=1,Q24=1),"PASS","FAIL")</x:f>
        <x:v>PASS</x:v>
      </x:c>
      <x:c r="S24" s="13" t="str"/>
      <x:c r="T24" s="13" t="n">
        <x:v>0</x:v>
      </x:c>
      <x:c r="U24" s="11" t="str">
        <x:f>IF(R24&lt;&gt;"PASS","FAIL",IF(S24="","OPEN",IF(AND(S24=N24,T24&gt;='Controls'!$D$33),"PASS","FAIL")))</x:f>
        <x:v>OPEN</x:v>
      </x:c>
      <x:c r="V24" s="11" t="str">
        <x:v>RETURN TO CONTROLLED CUSTODY</x:v>
      </x:c>
    </x:row>
    <x:row r="25">
      <x:c r="B25" s="11" t="str">
        <x:v>P0-LN-02-09</x:v>
      </x:c>
      <x:c r="C25" s="11" t="str">
        <x:v>LN-02</x:v>
      </x:c>
      <x:c r="D25" s="11" t="str">
        <x:v>PTC-B</x:v>
      </x:c>
      <x:c r="E25" s="11" t="str">
        <x:v>SA1</x:v>
      </x:c>
      <x:c r="F25" s="11" t="n">
        <x:v>9</x:v>
      </x:c>
      <x:c r="G25" s="11" t="str">
        <x:v>ET-SA1-09</x:v>
      </x:c>
      <x:c r="H25" s="11" t="str">
        <x:v>B</x:v>
      </x:c>
      <x:c r="I25" s="11" t="str">
        <x:v>RA-SA1-02-B1</x:v>
      </x:c>
      <x:c r="J25" s="11" t="n">
        <x:v>1</x:v>
      </x:c>
      <x:c r="K25" s="11" t="str">
        <x:v>T1</x:v>
      </x:c>
      <x:c r="L25" s="11" t="str">
        <x:v>FI-SA1-B-D</x:v>
      </x:c>
      <x:c r="M25" s="11" t="n">
        <x:v>4</x:v>
      </x:c>
      <x:c r="N25" s="11" t="str">
        <x:v>SAFE STATE AND REPLAY</x:v>
      </x:c>
      <x:c r="O25" s="11" t="n">
        <x:v>1</x:v>
      </x:c>
      <x:c r="P25" s="11" t="n">
        <x:v>1</x:v>
      </x:c>
      <x:c r="Q25" s="11" t="n">
        <x:v>1</x:v>
      </x:c>
      <x:c r="R25" s="11" t="str">
        <x:f>IF(AND(N25&lt;&gt;"",O25=1,P25=1,Q25=1),"PASS","FAIL")</x:f>
        <x:v>PASS</x:v>
      </x:c>
      <x:c r="S25" s="13" t="str"/>
      <x:c r="T25" s="13" t="n">
        <x:v>0</x:v>
      </x:c>
      <x:c r="U25" s="11" t="str">
        <x:f>IF(R25&lt;&gt;"PASS","FAIL",IF(S25="","OPEN",IF(AND(S25=N25,T25&gt;='Controls'!$D$33),"PASS","FAIL")))</x:f>
        <x:v>OPEN</x:v>
      </x:c>
      <x:c r="V25" s="11" t="str">
        <x:v>RETURN TO CONTROLLED CUSTODY</x:v>
      </x:c>
    </x:row>
    <x:row r="26">
      <x:c r="B26" s="11" t="str">
        <x:v>P0-LN-02-10</x:v>
      </x:c>
      <x:c r="C26" s="11" t="str">
        <x:v>LN-02</x:v>
      </x:c>
      <x:c r="D26" s="11" t="str">
        <x:v>PTC-B</x:v>
      </x:c>
      <x:c r="E26" s="11" t="str">
        <x:v>SA1</x:v>
      </x:c>
      <x:c r="F26" s="11" t="n">
        <x:v>10</x:v>
      </x:c>
      <x:c r="G26" s="11" t="str">
        <x:v>ET-SA1-10</x:v>
      </x:c>
      <x:c r="H26" s="11" t="str">
        <x:v>A</x:v>
      </x:c>
      <x:c r="I26" s="11" t="str">
        <x:v>RA-SA1-02-A3</x:v>
      </x:c>
      <x:c r="J26" s="11" t="n">
        <x:v>3</x:v>
      </x:c>
      <x:c r="K26" s="11" t="str">
        <x:v>T1</x:v>
      </x:c>
      <x:c r="L26" s="11" t="str">
        <x:v>FI-SA1-A-S</x:v>
      </x:c>
      <x:c r="M26" s="11" t="n">
        <x:v>6</x:v>
      </x:c>
      <x:c r="N26" s="11" t="str">
        <x:v>QUARANTINE</x:v>
      </x:c>
      <x:c r="O26" s="11" t="n">
        <x:v>1</x:v>
      </x:c>
      <x:c r="P26" s="11" t="n">
        <x:v>1</x:v>
      </x:c>
      <x:c r="Q26" s="11" t="n">
        <x:v>1</x:v>
      </x:c>
      <x:c r="R26" s="11" t="str">
        <x:f>IF(AND(N26&lt;&gt;"",O26=1,P26=1,Q26=1),"PASS","FAIL")</x:f>
        <x:v>PASS</x:v>
      </x:c>
      <x:c r="S26" s="13" t="str"/>
      <x:c r="T26" s="13" t="n">
        <x:v>0</x:v>
      </x:c>
      <x:c r="U26" s="11" t="str">
        <x:f>IF(R26&lt;&gt;"PASS","FAIL",IF(S26="","OPEN",IF(AND(S26=N26,T26&gt;='Controls'!$D$33),"PASS","FAIL")))</x:f>
        <x:v>OPEN</x:v>
      </x:c>
      <x:c r="V26" s="11" t="str">
        <x:v>QUARANTINE</x:v>
      </x:c>
    </x:row>
    <x:row r="27">
      <x:c r="B27" s="11" t="str">
        <x:v>P0-LN-03-01</x:v>
      </x:c>
      <x:c r="C27" s="11" t="str">
        <x:v>LN-03</x:v>
      </x:c>
      <x:c r="D27" s="11" t="str">
        <x:v>PTC-A</x:v>
      </x:c>
      <x:c r="E27" s="11" t="str">
        <x:v>SA2</x:v>
      </x:c>
      <x:c r="F27" s="11" t="n">
        <x:v>1</x:v>
      </x:c>
      <x:c r="G27" s="11" t="str">
        <x:v>ET-SA2-01</x:v>
      </x:c>
      <x:c r="H27" s="11" t="str">
        <x:v>A</x:v>
      </x:c>
      <x:c r="I27" s="11" t="str">
        <x:v>RA-SA2-03-A1</x:v>
      </x:c>
      <x:c r="J27" s="11" t="n">
        <x:v>1</x:v>
      </x:c>
      <x:c r="K27" s="11" t="str">
        <x:v>T0</x:v>
      </x:c>
      <x:c r="L27" s="11" t="str">
        <x:v>none</x:v>
      </x:c>
      <x:c r="M27" s="11" t="n">
        <x:v>4</x:v>
      </x:c>
      <x:c r="N27" s="11" t="str">
        <x:v>ACCEPT</x:v>
      </x:c>
      <x:c r="O27" s="11" t="n">
        <x:v>1</x:v>
      </x:c>
      <x:c r="P27" s="11" t="n">
        <x:v>1</x:v>
      </x:c>
      <x:c r="Q27" s="11" t="n">
        <x:v>1</x:v>
      </x:c>
      <x:c r="R27" s="11" t="str">
        <x:f>IF(AND(N27&lt;&gt;"",O27=1,P27=1,Q27=1),"PASS","FAIL")</x:f>
        <x:v>PASS</x:v>
      </x:c>
      <x:c r="S27" s="13" t="str"/>
      <x:c r="T27" s="13" t="n">
        <x:v>0</x:v>
      </x:c>
      <x:c r="U27" s="11" t="str">
        <x:f>IF(R27&lt;&gt;"PASS","FAIL",IF(S27="","OPEN",IF(AND(S27=N27,T27&gt;='Controls'!$D$33),"PASS","FAIL")))</x:f>
        <x:v>OPEN</x:v>
      </x:c>
      <x:c r="V27" s="11" t="str">
        <x:v>RETURN TO CONTROLLED CUSTODY</x:v>
      </x:c>
    </x:row>
    <x:row r="28">
      <x:c r="B28" s="11" t="str">
        <x:v>P0-LN-03-02</x:v>
      </x:c>
      <x:c r="C28" s="11" t="str">
        <x:v>LN-03</x:v>
      </x:c>
      <x:c r="D28" s="11" t="str">
        <x:v>PTC-A</x:v>
      </x:c>
      <x:c r="E28" s="11" t="str">
        <x:v>SA2</x:v>
      </x:c>
      <x:c r="F28" s="11" t="n">
        <x:v>2</x:v>
      </x:c>
      <x:c r="G28" s="11" t="str">
        <x:v>ET-SA2-02</x:v>
      </x:c>
      <x:c r="H28" s="11" t="str">
        <x:v>B</x:v>
      </x:c>
      <x:c r="I28" s="11" t="str">
        <x:v>RA-SA2-03-B1</x:v>
      </x:c>
      <x:c r="J28" s="11" t="n">
        <x:v>1</x:v>
      </x:c>
      <x:c r="K28" s="11" t="str">
        <x:v>T1</x:v>
      </x:c>
      <x:c r="L28" s="11" t="str">
        <x:v>none</x:v>
      </x:c>
      <x:c r="M28" s="11" t="n">
        <x:v>4</x:v>
      </x:c>
      <x:c r="N28" s="11" t="str">
        <x:v>ACCEPT</x:v>
      </x:c>
      <x:c r="O28" s="11" t="n">
        <x:v>1</x:v>
      </x:c>
      <x:c r="P28" s="11" t="n">
        <x:v>1</x:v>
      </x:c>
      <x:c r="Q28" s="11" t="n">
        <x:v>1</x:v>
      </x:c>
      <x:c r="R28" s="11" t="str">
        <x:f>IF(AND(N28&lt;&gt;"",O28=1,P28=1,Q28=1),"PASS","FAIL")</x:f>
        <x:v>PASS</x:v>
      </x:c>
      <x:c r="S28" s="13" t="str"/>
      <x:c r="T28" s="13" t="n">
        <x:v>0</x:v>
      </x:c>
      <x:c r="U28" s="11" t="str">
        <x:f>IF(R28&lt;&gt;"PASS","FAIL",IF(S28="","OPEN",IF(AND(S28=N28,T28&gt;='Controls'!$D$33),"PASS","FAIL")))</x:f>
        <x:v>OPEN</x:v>
      </x:c>
      <x:c r="V28" s="11" t="str">
        <x:v>RETURN TO CONTROLLED CUSTODY</x:v>
      </x:c>
    </x:row>
    <x:row r="29">
      <x:c r="B29" s="11" t="str">
        <x:v>P0-LN-03-03</x:v>
      </x:c>
      <x:c r="C29" s="11" t="str">
        <x:v>LN-03</x:v>
      </x:c>
      <x:c r="D29" s="11" t="str">
        <x:v>PTC-A</x:v>
      </x:c>
      <x:c r="E29" s="11" t="str">
        <x:v>SA2</x:v>
      </x:c>
      <x:c r="F29" s="11" t="n">
        <x:v>3</x:v>
      </x:c>
      <x:c r="G29" s="11" t="str">
        <x:v>ET-SA2-03</x:v>
      </x:c>
      <x:c r="H29" s="11" t="str">
        <x:v>A</x:v>
      </x:c>
      <x:c r="I29" s="11" t="str">
        <x:v>RA-SA2-03-A2</x:v>
      </x:c>
      <x:c r="J29" s="11" t="n">
        <x:v>2</x:v>
      </x:c>
      <x:c r="K29" s="11" t="str">
        <x:v>T2</x:v>
      </x:c>
      <x:c r="L29" s="11" t="str">
        <x:v>none</x:v>
      </x:c>
      <x:c r="M29" s="11" t="n">
        <x:v>4</x:v>
      </x:c>
      <x:c r="N29" s="11" t="str">
        <x:v>REJECT</x:v>
      </x:c>
      <x:c r="O29" s="11" t="n">
        <x:v>1</x:v>
      </x:c>
      <x:c r="P29" s="11" t="n">
        <x:v>1</x:v>
      </x:c>
      <x:c r="Q29" s="11" t="n">
        <x:v>1</x:v>
      </x:c>
      <x:c r="R29" s="11" t="str">
        <x:f>IF(AND(N29&lt;&gt;"",O29=1,P29=1,Q29=1),"PASS","FAIL")</x:f>
        <x:v>PASS</x:v>
      </x:c>
      <x:c r="S29" s="13" t="str"/>
      <x:c r="T29" s="13" t="n">
        <x:v>0</x:v>
      </x:c>
      <x:c r="U29" s="11" t="str">
        <x:f>IF(R29&lt;&gt;"PASS","FAIL",IF(S29="","OPEN",IF(AND(S29=N29,T29&gt;='Controls'!$D$33),"PASS","FAIL")))</x:f>
        <x:v>OPEN</x:v>
      </x:c>
      <x:c r="V29" s="11" t="str">
        <x:v>DESTRUCT AFTER TRUTH</x:v>
      </x:c>
    </x:row>
    <x:row r="30">
      <x:c r="B30" s="11" t="str">
        <x:v>P0-LN-03-04</x:v>
      </x:c>
      <x:c r="C30" s="11" t="str">
        <x:v>LN-03</x:v>
      </x:c>
      <x:c r="D30" s="11" t="str">
        <x:v>PTC-A</x:v>
      </x:c>
      <x:c r="E30" s="11" t="str">
        <x:v>SA2</x:v>
      </x:c>
      <x:c r="F30" s="11" t="n">
        <x:v>4</x:v>
      </x:c>
      <x:c r="G30" s="11" t="str">
        <x:v>ET-SA2-04</x:v>
      </x:c>
      <x:c r="H30" s="11" t="str">
        <x:v>B</x:v>
      </x:c>
      <x:c r="I30" s="11" t="str">
        <x:v>RA-SA2-03-B2</x:v>
      </x:c>
      <x:c r="J30" s="11" t="n">
        <x:v>2</x:v>
      </x:c>
      <x:c r="K30" s="11" t="str">
        <x:v>T3</x:v>
      </x:c>
      <x:c r="L30" s="11" t="str">
        <x:v>none</x:v>
      </x:c>
      <x:c r="M30" s="11" t="n">
        <x:v>5</x:v>
      </x:c>
      <x:c r="N30" s="11" t="str">
        <x:v>INDETERMINATE</x:v>
      </x:c>
      <x:c r="O30" s="11" t="n">
        <x:v>1</x:v>
      </x:c>
      <x:c r="P30" s="11" t="n">
        <x:v>1</x:v>
      </x:c>
      <x:c r="Q30" s="11" t="n">
        <x:v>1</x:v>
      </x:c>
      <x:c r="R30" s="11" t="str">
        <x:f>IF(AND(N30&lt;&gt;"",O30=1,P30=1,Q30=1),"PASS","FAIL")</x:f>
        <x:v>PASS</x:v>
      </x:c>
      <x:c r="S30" s="13" t="str"/>
      <x:c r="T30" s="13" t="n">
        <x:v>0</x:v>
      </x:c>
      <x:c r="U30" s="11" t="str">
        <x:f>IF(R30&lt;&gt;"PASS","FAIL",IF(S30="","OPEN",IF(AND(S30=N30,T30&gt;='Controls'!$D$33),"PASS","FAIL")))</x:f>
        <x:v>OPEN</x:v>
      </x:c>
      <x:c r="V30" s="11" t="str">
        <x:v>DESTRUCT AFTER TRUTH</x:v>
      </x:c>
    </x:row>
    <x:row r="31">
      <x:c r="B31" s="11" t="str">
        <x:v>P0-LN-03-05</x:v>
      </x:c>
      <x:c r="C31" s="11" t="str">
        <x:v>LN-03</x:v>
      </x:c>
      <x:c r="D31" s="11" t="str">
        <x:v>PTC-A</x:v>
      </x:c>
      <x:c r="E31" s="11" t="str">
        <x:v>SA2</x:v>
      </x:c>
      <x:c r="F31" s="11" t="n">
        <x:v>5</x:v>
      </x:c>
      <x:c r="G31" s="11" t="str">
        <x:v>ET-SA2-05</x:v>
      </x:c>
      <x:c r="H31" s="11" t="str">
        <x:v>A</x:v>
      </x:c>
      <x:c r="I31" s="11" t="str">
        <x:v>RA-SA2-03-A1</x:v>
      </x:c>
      <x:c r="J31" s="11" t="n">
        <x:v>1</x:v>
      </x:c>
      <x:c r="K31" s="11" t="str">
        <x:v>T1</x:v>
      </x:c>
      <x:c r="L31" s="11" t="str">
        <x:v>FI-SA2-A-D</x:v>
      </x:c>
      <x:c r="M31" s="11" t="n">
        <x:v>3</x:v>
      </x:c>
      <x:c r="N31" s="11" t="str">
        <x:v>INVALID</x:v>
      </x:c>
      <x:c r="O31" s="11" t="n">
        <x:v>1</x:v>
      </x:c>
      <x:c r="P31" s="11" t="n">
        <x:v>1</x:v>
      </x:c>
      <x:c r="Q31" s="11" t="n">
        <x:v>1</x:v>
      </x:c>
      <x:c r="R31" s="11" t="str">
        <x:f>IF(AND(N31&lt;&gt;"",O31=1,P31=1,Q31=1),"PASS","FAIL")</x:f>
        <x:v>PASS</x:v>
      </x:c>
      <x:c r="S31" s="13" t="str"/>
      <x:c r="T31" s="13" t="n">
        <x:v>0</x:v>
      </x:c>
      <x:c r="U31" s="11" t="str">
        <x:f>IF(R31&lt;&gt;"PASS","FAIL",IF(S31="","OPEN",IF(AND(S31=N31,T31&gt;='Controls'!$D$33),"PASS","FAIL")))</x:f>
        <x:v>OPEN</x:v>
      </x:c>
      <x:c r="V31" s="11" t="str">
        <x:v>RETURN TO CONTROLLED CUSTODY</x:v>
      </x:c>
    </x:row>
    <x:row r="32">
      <x:c r="B32" s="11" t="str">
        <x:v>P0-LN-03-06</x:v>
      </x:c>
      <x:c r="C32" s="11" t="str">
        <x:v>LN-03</x:v>
      </x:c>
      <x:c r="D32" s="11" t="str">
        <x:v>PTC-A</x:v>
      </x:c>
      <x:c r="E32" s="11" t="str">
        <x:v>SA2</x:v>
      </x:c>
      <x:c r="F32" s="11" t="n">
        <x:v>6</x:v>
      </x:c>
      <x:c r="G32" s="11" t="str">
        <x:v>ET-SA2-06</x:v>
      </x:c>
      <x:c r="H32" s="11" t="str">
        <x:v>B</x:v>
      </x:c>
      <x:c r="I32" s="11" t="str">
        <x:v>RA-SA2-03-B2</x:v>
      </x:c>
      <x:c r="J32" s="11" t="n">
        <x:v>2</x:v>
      </x:c>
      <x:c r="K32" s="11" t="str">
        <x:v>T1</x:v>
      </x:c>
      <x:c r="L32" s="11" t="str">
        <x:v>FI-SA2-B-D</x:v>
      </x:c>
      <x:c r="M32" s="11" t="n">
        <x:v>3</x:v>
      </x:c>
      <x:c r="N32" s="11" t="str">
        <x:v>INVALID</x:v>
      </x:c>
      <x:c r="O32" s="11" t="n">
        <x:v>1</x:v>
      </x:c>
      <x:c r="P32" s="11" t="n">
        <x:v>1</x:v>
      </x:c>
      <x:c r="Q32" s="11" t="n">
        <x:v>1</x:v>
      </x:c>
      <x:c r="R32" s="11" t="str">
        <x:f>IF(AND(N32&lt;&gt;"",O32=1,P32=1,Q32=1),"PASS","FAIL")</x:f>
        <x:v>PASS</x:v>
      </x:c>
      <x:c r="S32" s="13" t="str"/>
      <x:c r="T32" s="13" t="n">
        <x:v>0</x:v>
      </x:c>
      <x:c r="U32" s="11" t="str">
        <x:f>IF(R32&lt;&gt;"PASS","FAIL",IF(S32="","OPEN",IF(AND(S32=N32,T32&gt;='Controls'!$D$33),"PASS","FAIL")))</x:f>
        <x:v>OPEN</x:v>
      </x:c>
      <x:c r="V32" s="11" t="str">
        <x:v>DESTRUCT AFTER TRUTH</x:v>
      </x:c>
    </x:row>
    <x:row r="33">
      <x:c r="B33" s="11" t="str">
        <x:v>P0-LN-03-07</x:v>
      </x:c>
      <x:c r="C33" s="11" t="str">
        <x:v>LN-03</x:v>
      </x:c>
      <x:c r="D33" s="11" t="str">
        <x:v>PTC-A</x:v>
      </x:c>
      <x:c r="E33" s="11" t="str">
        <x:v>SA2</x:v>
      </x:c>
      <x:c r="F33" s="11" t="n">
        <x:v>7</x:v>
      </x:c>
      <x:c r="G33" s="11" t="str">
        <x:v>ET-SA2-07</x:v>
      </x:c>
      <x:c r="H33" s="11" t="str">
        <x:v>A</x:v>
      </x:c>
      <x:c r="I33" s="11" t="str">
        <x:v>RA-SA2-03-A3</x:v>
      </x:c>
      <x:c r="J33" s="11" t="n">
        <x:v>3</x:v>
      </x:c>
      <x:c r="K33" s="11" t="str">
        <x:v>T1</x:v>
      </x:c>
      <x:c r="L33" s="11" t="str">
        <x:v>FI-SA2-A-S</x:v>
      </x:c>
      <x:c r="M33" s="11" t="n">
        <x:v>2</x:v>
      </x:c>
      <x:c r="N33" s="11" t="str">
        <x:v>SAFE STATE</x:v>
      </x:c>
      <x:c r="O33" s="11" t="n">
        <x:v>1</x:v>
      </x:c>
      <x:c r="P33" s="11" t="n">
        <x:v>1</x:v>
      </x:c>
      <x:c r="Q33" s="11" t="n">
        <x:v>1</x:v>
      </x:c>
      <x:c r="R33" s="11" t="str">
        <x:f>IF(AND(N33&lt;&gt;"",O33=1,P33=1,Q33=1),"PASS","FAIL")</x:f>
        <x:v>PASS</x:v>
      </x:c>
      <x:c r="S33" s="13" t="str"/>
      <x:c r="T33" s="13" t="n">
        <x:v>0</x:v>
      </x:c>
      <x:c r="U33" s="11" t="str">
        <x:f>IF(R33&lt;&gt;"PASS","FAIL",IF(S33="","OPEN",IF(AND(S33=N33,T33&gt;='Controls'!$D$33),"PASS","FAIL")))</x:f>
        <x:v>OPEN</x:v>
      </x:c>
      <x:c r="V33" s="11" t="str">
        <x:v>RETURN TO CONTROLLED CUSTODY</x:v>
      </x:c>
    </x:row>
    <x:row r="34">
      <x:c r="B34" s="11" t="str">
        <x:v>P0-LN-03-08</x:v>
      </x:c>
      <x:c r="C34" s="11" t="str">
        <x:v>LN-03</x:v>
      </x:c>
      <x:c r="D34" s="11" t="str">
        <x:v>PTC-A</x:v>
      </x:c>
      <x:c r="E34" s="11" t="str">
        <x:v>SA2</x:v>
      </x:c>
      <x:c r="F34" s="11" t="n">
        <x:v>8</x:v>
      </x:c>
      <x:c r="G34" s="11" t="str">
        <x:v>ET-SA2-08</x:v>
      </x:c>
      <x:c r="H34" s="11" t="str">
        <x:v>B</x:v>
      </x:c>
      <x:c r="I34" s="11" t="str">
        <x:v>RA-SA2-03-B3</x:v>
      </x:c>
      <x:c r="J34" s="11" t="n">
        <x:v>3</x:v>
      </x:c>
      <x:c r="K34" s="11" t="str">
        <x:v>T1</x:v>
      </x:c>
      <x:c r="L34" s="11" t="str">
        <x:v>FI-SA2-B-S</x:v>
      </x:c>
      <x:c r="M34" s="11" t="n">
        <x:v>3</x:v>
      </x:c>
      <x:c r="N34" s="11" t="str">
        <x:v>SAFE STATE</x:v>
      </x:c>
      <x:c r="O34" s="11" t="n">
        <x:v>1</x:v>
      </x:c>
      <x:c r="P34" s="11" t="n">
        <x:v>1</x:v>
      </x:c>
      <x:c r="Q34" s="11" t="n">
        <x:v>1</x:v>
      </x:c>
      <x:c r="R34" s="11" t="str">
        <x:f>IF(AND(N34&lt;&gt;"",O34=1,P34=1,Q34=1),"PASS","FAIL")</x:f>
        <x:v>PASS</x:v>
      </x:c>
      <x:c r="S34" s="13" t="str"/>
      <x:c r="T34" s="13" t="n">
        <x:v>0</x:v>
      </x:c>
      <x:c r="U34" s="11" t="str">
        <x:f>IF(R34&lt;&gt;"PASS","FAIL",IF(S34="","OPEN",IF(AND(S34=N34,T34&gt;='Controls'!$D$33),"PASS","FAIL")))</x:f>
        <x:v>OPEN</x:v>
      </x:c>
      <x:c r="V34" s="11" t="str">
        <x:v>RETURN TO CONTROLLED CUSTODY</x:v>
      </x:c>
    </x:row>
    <x:row r="35">
      <x:c r="B35" s="11" t="str">
        <x:v>P0-LN-03-09</x:v>
      </x:c>
      <x:c r="C35" s="11" t="str">
        <x:v>LN-03</x:v>
      </x:c>
      <x:c r="D35" s="11" t="str">
        <x:v>PTC-A</x:v>
      </x:c>
      <x:c r="E35" s="11" t="str">
        <x:v>SA2</x:v>
      </x:c>
      <x:c r="F35" s="11" t="n">
        <x:v>9</x:v>
      </x:c>
      <x:c r="G35" s="11" t="str">
        <x:v>ET-SA2-09</x:v>
      </x:c>
      <x:c r="H35" s="11" t="str">
        <x:v>A</x:v>
      </x:c>
      <x:c r="I35" s="11" t="str">
        <x:v>RA-SA2-03-A1</x:v>
      </x:c>
      <x:c r="J35" s="11" t="n">
        <x:v>1</x:v>
      </x:c>
      <x:c r="K35" s="11" t="str">
        <x:v>T1</x:v>
      </x:c>
      <x:c r="L35" s="11" t="str">
        <x:v>FI-SA2-A-D</x:v>
      </x:c>
      <x:c r="M35" s="11" t="n">
        <x:v>4</x:v>
      </x:c>
      <x:c r="N35" s="11" t="str">
        <x:v>SAFE STATE AND REPLAY</x:v>
      </x:c>
      <x:c r="O35" s="11" t="n">
        <x:v>1</x:v>
      </x:c>
      <x:c r="P35" s="11" t="n">
        <x:v>1</x:v>
      </x:c>
      <x:c r="Q35" s="11" t="n">
        <x:v>1</x:v>
      </x:c>
      <x:c r="R35" s="11" t="str">
        <x:f>IF(AND(N35&lt;&gt;"",O35=1,P35=1,Q35=1),"PASS","FAIL")</x:f>
        <x:v>PASS</x:v>
      </x:c>
      <x:c r="S35" s="13" t="str"/>
      <x:c r="T35" s="13" t="n">
        <x:v>0</x:v>
      </x:c>
      <x:c r="U35" s="11" t="str">
        <x:f>IF(R35&lt;&gt;"PASS","FAIL",IF(S35="","OPEN",IF(AND(S35=N35,T35&gt;='Controls'!$D$33),"PASS","FAIL")))</x:f>
        <x:v>OPEN</x:v>
      </x:c>
      <x:c r="V35" s="11" t="str">
        <x:v>RETURN TO CONTROLLED CUSTODY</x:v>
      </x:c>
    </x:row>
    <x:row r="36">
      <x:c r="B36" s="11" t="str">
        <x:v>P0-LN-03-10</x:v>
      </x:c>
      <x:c r="C36" s="11" t="str">
        <x:v>LN-03</x:v>
      </x:c>
      <x:c r="D36" s="11" t="str">
        <x:v>PTC-A</x:v>
      </x:c>
      <x:c r="E36" s="11" t="str">
        <x:v>SA2</x:v>
      </x:c>
      <x:c r="F36" s="11" t="n">
        <x:v>10</x:v>
      </x:c>
      <x:c r="G36" s="11" t="str">
        <x:v>ET-SA2-10</x:v>
      </x:c>
      <x:c r="H36" s="11" t="str">
        <x:v>B</x:v>
      </x:c>
      <x:c r="I36" s="11" t="str">
        <x:v>RA-SA2-03-B3</x:v>
      </x:c>
      <x:c r="J36" s="11" t="n">
        <x:v>3</x:v>
      </x:c>
      <x:c r="K36" s="11" t="str">
        <x:v>T1</x:v>
      </x:c>
      <x:c r="L36" s="11" t="str">
        <x:v>FI-SA2-B-S</x:v>
      </x:c>
      <x:c r="M36" s="11" t="n">
        <x:v>6</x:v>
      </x:c>
      <x:c r="N36" s="11" t="str">
        <x:v>QUARANTINE</x:v>
      </x:c>
      <x:c r="O36" s="11" t="n">
        <x:v>1</x:v>
      </x:c>
      <x:c r="P36" s="11" t="n">
        <x:v>1</x:v>
      </x:c>
      <x:c r="Q36" s="11" t="n">
        <x:v>1</x:v>
      </x:c>
      <x:c r="R36" s="11" t="str">
        <x:f>IF(AND(N36&lt;&gt;"",O36=1,P36=1,Q36=1),"PASS","FAIL")</x:f>
        <x:v>PASS</x:v>
      </x:c>
      <x:c r="S36" s="13" t="str"/>
      <x:c r="T36" s="13" t="n">
        <x:v>0</x:v>
      </x:c>
      <x:c r="U36" s="11" t="str">
        <x:f>IF(R36&lt;&gt;"PASS","FAIL",IF(S36="","OPEN",IF(AND(S36=N36,T36&gt;='Controls'!$D$33),"PASS","FAIL")))</x:f>
        <x:v>OPEN</x:v>
      </x:c>
      <x:c r="V36" s="11" t="str">
        <x:v>QUARANTINE</x:v>
      </x:c>
    </x:row>
    <x:row r="37">
      <x:c r="B37" s="11" t="str">
        <x:v>P0-LN-04-01</x:v>
      </x:c>
      <x:c r="C37" s="11" t="str">
        <x:v>LN-04</x:v>
      </x:c>
      <x:c r="D37" s="11" t="str">
        <x:v>PTC-C</x:v>
      </x:c>
      <x:c r="E37" s="11" t="str">
        <x:v>SA2</x:v>
      </x:c>
      <x:c r="F37" s="11" t="n">
        <x:v>1</x:v>
      </x:c>
      <x:c r="G37" s="11" t="str">
        <x:v>ET-SA2-01</x:v>
      </x:c>
      <x:c r="H37" s="11" t="str">
        <x:v>B</x:v>
      </x:c>
      <x:c r="I37" s="11" t="str">
        <x:v>RA-SA2-04-B1</x:v>
      </x:c>
      <x:c r="J37" s="11" t="n">
        <x:v>1</x:v>
      </x:c>
      <x:c r="K37" s="11" t="str">
        <x:v>T0</x:v>
      </x:c>
      <x:c r="L37" s="11" t="str">
        <x:v>none</x:v>
      </x:c>
      <x:c r="M37" s="11" t="n">
        <x:v>4</x:v>
      </x:c>
      <x:c r="N37" s="11" t="str">
        <x:v>ACCEPT</x:v>
      </x:c>
      <x:c r="O37" s="11" t="n">
        <x:v>1</x:v>
      </x:c>
      <x:c r="P37" s="11" t="n">
        <x:v>1</x:v>
      </x:c>
      <x:c r="Q37" s="11" t="n">
        <x:v>1</x:v>
      </x:c>
      <x:c r="R37" s="11" t="str">
        <x:f>IF(AND(N37&lt;&gt;"",O37=1,P37=1,Q37=1),"PASS","FAIL")</x:f>
        <x:v>PASS</x:v>
      </x:c>
      <x:c r="S37" s="13" t="str"/>
      <x:c r="T37" s="13" t="n">
        <x:v>0</x:v>
      </x:c>
      <x:c r="U37" s="11" t="str">
        <x:f>IF(R37&lt;&gt;"PASS","FAIL",IF(S37="","OPEN",IF(AND(S37=N37,T37&gt;='Controls'!$D$33),"PASS","FAIL")))</x:f>
        <x:v>OPEN</x:v>
      </x:c>
      <x:c r="V37" s="11" t="str">
        <x:v>RETURN TO CONTROLLED CUSTODY</x:v>
      </x:c>
    </x:row>
    <x:row r="38">
      <x:c r="B38" s="11" t="str">
        <x:v>P0-LN-04-02</x:v>
      </x:c>
      <x:c r="C38" s="11" t="str">
        <x:v>LN-04</x:v>
      </x:c>
      <x:c r="D38" s="11" t="str">
        <x:v>PTC-C</x:v>
      </x:c>
      <x:c r="E38" s="11" t="str">
        <x:v>SA2</x:v>
      </x:c>
      <x:c r="F38" s="11" t="n">
        <x:v>2</x:v>
      </x:c>
      <x:c r="G38" s="11" t="str">
        <x:v>ET-SA2-02</x:v>
      </x:c>
      <x:c r="H38" s="11" t="str">
        <x:v>A</x:v>
      </x:c>
      <x:c r="I38" s="11" t="str">
        <x:v>RA-SA2-04-A1</x:v>
      </x:c>
      <x:c r="J38" s="11" t="n">
        <x:v>1</x:v>
      </x:c>
      <x:c r="K38" s="11" t="str">
        <x:v>T1</x:v>
      </x:c>
      <x:c r="L38" s="11" t="str">
        <x:v>none</x:v>
      </x:c>
      <x:c r="M38" s="11" t="n">
        <x:v>4</x:v>
      </x:c>
      <x:c r="N38" s="11" t="str">
        <x:v>ACCEPT</x:v>
      </x:c>
      <x:c r="O38" s="11" t="n">
        <x:v>1</x:v>
      </x:c>
      <x:c r="P38" s="11" t="n">
        <x:v>1</x:v>
      </x:c>
      <x:c r="Q38" s="11" t="n">
        <x:v>1</x:v>
      </x:c>
      <x:c r="R38" s="11" t="str">
        <x:f>IF(AND(N38&lt;&gt;"",O38=1,P38=1,Q38=1),"PASS","FAIL")</x:f>
        <x:v>PASS</x:v>
      </x:c>
      <x:c r="S38" s="13" t="str"/>
      <x:c r="T38" s="13" t="n">
        <x:v>0</x:v>
      </x:c>
      <x:c r="U38" s="11" t="str">
        <x:f>IF(R38&lt;&gt;"PASS","FAIL",IF(S38="","OPEN",IF(AND(S38=N38,T38&gt;='Controls'!$D$33),"PASS","FAIL")))</x:f>
        <x:v>OPEN</x:v>
      </x:c>
      <x:c r="V38" s="11" t="str">
        <x:v>RETURN TO CONTROLLED CUSTODY</x:v>
      </x:c>
    </x:row>
    <x:row r="39">
      <x:c r="B39" s="11" t="str">
        <x:v>P0-LN-04-03</x:v>
      </x:c>
      <x:c r="C39" s="11" t="str">
        <x:v>LN-04</x:v>
      </x:c>
      <x:c r="D39" s="11" t="str">
        <x:v>PTC-C</x:v>
      </x:c>
      <x:c r="E39" s="11" t="str">
        <x:v>SA2</x:v>
      </x:c>
      <x:c r="F39" s="11" t="n">
        <x:v>3</x:v>
      </x:c>
      <x:c r="G39" s="11" t="str">
        <x:v>ET-SA2-03</x:v>
      </x:c>
      <x:c r="H39" s="11" t="str">
        <x:v>B</x:v>
      </x:c>
      <x:c r="I39" s="11" t="str">
        <x:v>RA-SA2-04-B2</x:v>
      </x:c>
      <x:c r="J39" s="11" t="n">
        <x:v>2</x:v>
      </x:c>
      <x:c r="K39" s="11" t="str">
        <x:v>T2</x:v>
      </x:c>
      <x:c r="L39" s="11" t="str">
        <x:v>none</x:v>
      </x:c>
      <x:c r="M39" s="11" t="n">
        <x:v>4</x:v>
      </x:c>
      <x:c r="N39" s="11" t="str">
        <x:v>REJECT</x:v>
      </x:c>
      <x:c r="O39" s="11" t="n">
        <x:v>1</x:v>
      </x:c>
      <x:c r="P39" s="11" t="n">
        <x:v>1</x:v>
      </x:c>
      <x:c r="Q39" s="11" t="n">
        <x:v>1</x:v>
      </x:c>
      <x:c r="R39" s="11" t="str">
        <x:f>IF(AND(N39&lt;&gt;"",O39=1,P39=1,Q39=1),"PASS","FAIL")</x:f>
        <x:v>PASS</x:v>
      </x:c>
      <x:c r="S39" s="13" t="str"/>
      <x:c r="T39" s="13" t="n">
        <x:v>0</x:v>
      </x:c>
      <x:c r="U39" s="11" t="str">
        <x:f>IF(R39&lt;&gt;"PASS","FAIL",IF(S39="","OPEN",IF(AND(S39=N39,T39&gt;='Controls'!$D$33),"PASS","FAIL")))</x:f>
        <x:v>OPEN</x:v>
      </x:c>
      <x:c r="V39" s="11" t="str">
        <x:v>DESTRUCT AFTER TRUTH</x:v>
      </x:c>
    </x:row>
    <x:row r="40">
      <x:c r="B40" s="11" t="str">
        <x:v>P0-LN-04-04</x:v>
      </x:c>
      <x:c r="C40" s="11" t="str">
        <x:v>LN-04</x:v>
      </x:c>
      <x:c r="D40" s="11" t="str">
        <x:v>PTC-C</x:v>
      </x:c>
      <x:c r="E40" s="11" t="str">
        <x:v>SA2</x:v>
      </x:c>
      <x:c r="F40" s="11" t="n">
        <x:v>4</x:v>
      </x:c>
      <x:c r="G40" s="11" t="str">
        <x:v>ET-SA2-04</x:v>
      </x:c>
      <x:c r="H40" s="11" t="str">
        <x:v>A</x:v>
      </x:c>
      <x:c r="I40" s="11" t="str">
        <x:v>RA-SA2-04-A2</x:v>
      </x:c>
      <x:c r="J40" s="11" t="n">
        <x:v>2</x:v>
      </x:c>
      <x:c r="K40" s="11" t="str">
        <x:v>T3</x:v>
      </x:c>
      <x:c r="L40" s="11" t="str">
        <x:v>none</x:v>
      </x:c>
      <x:c r="M40" s="11" t="n">
        <x:v>5</x:v>
      </x:c>
      <x:c r="N40" s="11" t="str">
        <x:v>INDETERMINATE</x:v>
      </x:c>
      <x:c r="O40" s="11" t="n">
        <x:v>1</x:v>
      </x:c>
      <x:c r="P40" s="11" t="n">
        <x:v>1</x:v>
      </x:c>
      <x:c r="Q40" s="11" t="n">
        <x:v>1</x:v>
      </x:c>
      <x:c r="R40" s="11" t="str">
        <x:f>IF(AND(N40&lt;&gt;"",O40=1,P40=1,Q40=1),"PASS","FAIL")</x:f>
        <x:v>PASS</x:v>
      </x:c>
      <x:c r="S40" s="13" t="str"/>
      <x:c r="T40" s="13" t="n">
        <x:v>0</x:v>
      </x:c>
      <x:c r="U40" s="11" t="str">
        <x:f>IF(R40&lt;&gt;"PASS","FAIL",IF(S40="","OPEN",IF(AND(S40=N40,T40&gt;='Controls'!$D$33),"PASS","FAIL")))</x:f>
        <x:v>OPEN</x:v>
      </x:c>
      <x:c r="V40" s="11" t="str">
        <x:v>DESTRUCT AFTER TRUTH</x:v>
      </x:c>
    </x:row>
    <x:row r="41">
      <x:c r="B41" s="11" t="str">
        <x:v>P0-LN-04-05</x:v>
      </x:c>
      <x:c r="C41" s="11" t="str">
        <x:v>LN-04</x:v>
      </x:c>
      <x:c r="D41" s="11" t="str">
        <x:v>PTC-C</x:v>
      </x:c>
      <x:c r="E41" s="11" t="str">
        <x:v>SA2</x:v>
      </x:c>
      <x:c r="F41" s="11" t="n">
        <x:v>5</x:v>
      </x:c>
      <x:c r="G41" s="11" t="str">
        <x:v>ET-SA2-05</x:v>
      </x:c>
      <x:c r="H41" s="11" t="str">
        <x:v>B</x:v>
      </x:c>
      <x:c r="I41" s="11" t="str">
        <x:v>RA-SA2-04-B1</x:v>
      </x:c>
      <x:c r="J41" s="11" t="n">
        <x:v>1</x:v>
      </x:c>
      <x:c r="K41" s="11" t="str">
        <x:v>T1</x:v>
      </x:c>
      <x:c r="L41" s="11" t="str">
        <x:v>FI-SA2-B-D</x:v>
      </x:c>
      <x:c r="M41" s="11" t="n">
        <x:v>3</x:v>
      </x:c>
      <x:c r="N41" s="11" t="str">
        <x:v>INVALID</x:v>
      </x:c>
      <x:c r="O41" s="11" t="n">
        <x:v>1</x:v>
      </x:c>
      <x:c r="P41" s="11" t="n">
        <x:v>1</x:v>
      </x:c>
      <x:c r="Q41" s="11" t="n">
        <x:v>1</x:v>
      </x:c>
      <x:c r="R41" s="11" t="str">
        <x:f>IF(AND(N41&lt;&gt;"",O41=1,P41=1,Q41=1),"PASS","FAIL")</x:f>
        <x:v>PASS</x:v>
      </x:c>
      <x:c r="S41" s="13" t="str"/>
      <x:c r="T41" s="13" t="n">
        <x:v>0</x:v>
      </x:c>
      <x:c r="U41" s="11" t="str">
        <x:f>IF(R41&lt;&gt;"PASS","FAIL",IF(S41="","OPEN",IF(AND(S41=N41,T41&gt;='Controls'!$D$33),"PASS","FAIL")))</x:f>
        <x:v>OPEN</x:v>
      </x:c>
      <x:c r="V41" s="11" t="str">
        <x:v>RETURN TO CONTROLLED CUSTODY</x:v>
      </x:c>
    </x:row>
    <x:row r="42">
      <x:c r="B42" s="11" t="str">
        <x:v>P0-LN-04-06</x:v>
      </x:c>
      <x:c r="C42" s="11" t="str">
        <x:v>LN-04</x:v>
      </x:c>
      <x:c r="D42" s="11" t="str">
        <x:v>PTC-C</x:v>
      </x:c>
      <x:c r="E42" s="11" t="str">
        <x:v>SA2</x:v>
      </x:c>
      <x:c r="F42" s="11" t="n">
        <x:v>6</x:v>
      </x:c>
      <x:c r="G42" s="11" t="str">
        <x:v>ET-SA2-06</x:v>
      </x:c>
      <x:c r="H42" s="11" t="str">
        <x:v>A</x:v>
      </x:c>
      <x:c r="I42" s="11" t="str">
        <x:v>RA-SA2-04-A2</x:v>
      </x:c>
      <x:c r="J42" s="11" t="n">
        <x:v>2</x:v>
      </x:c>
      <x:c r="K42" s="11" t="str">
        <x:v>T1</x:v>
      </x:c>
      <x:c r="L42" s="11" t="str">
        <x:v>FI-SA2-A-D</x:v>
      </x:c>
      <x:c r="M42" s="11" t="n">
        <x:v>3</x:v>
      </x:c>
      <x:c r="N42" s="11" t="str">
        <x:v>INVALID</x:v>
      </x:c>
      <x:c r="O42" s="11" t="n">
        <x:v>1</x:v>
      </x:c>
      <x:c r="P42" s="11" t="n">
        <x:v>1</x:v>
      </x:c>
      <x:c r="Q42" s="11" t="n">
        <x:v>1</x:v>
      </x:c>
      <x:c r="R42" s="11" t="str">
        <x:f>IF(AND(N42&lt;&gt;"",O42=1,P42=1,Q42=1),"PASS","FAIL")</x:f>
        <x:v>PASS</x:v>
      </x:c>
      <x:c r="S42" s="13" t="str"/>
      <x:c r="T42" s="13" t="n">
        <x:v>0</x:v>
      </x:c>
      <x:c r="U42" s="11" t="str">
        <x:f>IF(R42&lt;&gt;"PASS","FAIL",IF(S42="","OPEN",IF(AND(S42=N42,T42&gt;='Controls'!$D$33),"PASS","FAIL")))</x:f>
        <x:v>OPEN</x:v>
      </x:c>
      <x:c r="V42" s="11" t="str">
        <x:v>DESTRUCT AFTER TRUTH</x:v>
      </x:c>
    </x:row>
    <x:row r="43">
      <x:c r="B43" s="11" t="str">
        <x:v>P0-LN-04-07</x:v>
      </x:c>
      <x:c r="C43" s="11" t="str">
        <x:v>LN-04</x:v>
      </x:c>
      <x:c r="D43" s="11" t="str">
        <x:v>PTC-C</x:v>
      </x:c>
      <x:c r="E43" s="11" t="str">
        <x:v>SA2</x:v>
      </x:c>
      <x:c r="F43" s="11" t="n">
        <x:v>7</x:v>
      </x:c>
      <x:c r="G43" s="11" t="str">
        <x:v>ET-SA2-07</x:v>
      </x:c>
      <x:c r="H43" s="11" t="str">
        <x:v>B</x:v>
      </x:c>
      <x:c r="I43" s="11" t="str">
        <x:v>RA-SA2-04-B3</x:v>
      </x:c>
      <x:c r="J43" s="11" t="n">
        <x:v>3</x:v>
      </x:c>
      <x:c r="K43" s="11" t="str">
        <x:v>T1</x:v>
      </x:c>
      <x:c r="L43" s="11" t="str">
        <x:v>FI-SA2-B-S</x:v>
      </x:c>
      <x:c r="M43" s="11" t="n">
        <x:v>2</x:v>
      </x:c>
      <x:c r="N43" s="11" t="str">
        <x:v>SAFE STATE</x:v>
      </x:c>
      <x:c r="O43" s="11" t="n">
        <x:v>1</x:v>
      </x:c>
      <x:c r="P43" s="11" t="n">
        <x:v>1</x:v>
      </x:c>
      <x:c r="Q43" s="11" t="n">
        <x:v>1</x:v>
      </x:c>
      <x:c r="R43" s="11" t="str">
        <x:f>IF(AND(N43&lt;&gt;"",O43=1,P43=1,Q43=1),"PASS","FAIL")</x:f>
        <x:v>PASS</x:v>
      </x:c>
      <x:c r="S43" s="13" t="str"/>
      <x:c r="T43" s="13" t="n">
        <x:v>0</x:v>
      </x:c>
      <x:c r="U43" s="11" t="str">
        <x:f>IF(R43&lt;&gt;"PASS","FAIL",IF(S43="","OPEN",IF(AND(S43=N43,T43&gt;='Controls'!$D$33),"PASS","FAIL")))</x:f>
        <x:v>OPEN</x:v>
      </x:c>
      <x:c r="V43" s="11" t="str">
        <x:v>RETURN TO CONTROLLED CUSTODY</x:v>
      </x:c>
    </x:row>
    <x:row r="44">
      <x:c r="B44" s="11" t="str">
        <x:v>P0-LN-04-08</x:v>
      </x:c>
      <x:c r="C44" s="11" t="str">
        <x:v>LN-04</x:v>
      </x:c>
      <x:c r="D44" s="11" t="str">
        <x:v>PTC-C</x:v>
      </x:c>
      <x:c r="E44" s="11" t="str">
        <x:v>SA2</x:v>
      </x:c>
      <x:c r="F44" s="11" t="n">
        <x:v>8</x:v>
      </x:c>
      <x:c r="G44" s="11" t="str">
        <x:v>ET-SA2-08</x:v>
      </x:c>
      <x:c r="H44" s="11" t="str">
        <x:v>A</x:v>
      </x:c>
      <x:c r="I44" s="11" t="str">
        <x:v>RA-SA2-04-A3</x:v>
      </x:c>
      <x:c r="J44" s="11" t="n">
        <x:v>3</x:v>
      </x:c>
      <x:c r="K44" s="11" t="str">
        <x:v>T1</x:v>
      </x:c>
      <x:c r="L44" s="11" t="str">
        <x:v>FI-SA2-A-S</x:v>
      </x:c>
      <x:c r="M44" s="11" t="n">
        <x:v>3</x:v>
      </x:c>
      <x:c r="N44" s="11" t="str">
        <x:v>SAFE STATE</x:v>
      </x:c>
      <x:c r="O44" s="11" t="n">
        <x:v>1</x:v>
      </x:c>
      <x:c r="P44" s="11" t="n">
        <x:v>1</x:v>
      </x:c>
      <x:c r="Q44" s="11" t="n">
        <x:v>1</x:v>
      </x:c>
      <x:c r="R44" s="11" t="str">
        <x:f>IF(AND(N44&lt;&gt;"",O44=1,P44=1,Q44=1),"PASS","FAIL")</x:f>
        <x:v>PASS</x:v>
      </x:c>
      <x:c r="S44" s="13" t="str"/>
      <x:c r="T44" s="13" t="n">
        <x:v>0</x:v>
      </x:c>
      <x:c r="U44" s="11" t="str">
        <x:f>IF(R44&lt;&gt;"PASS","FAIL",IF(S44="","OPEN",IF(AND(S44=N44,T44&gt;='Controls'!$D$33),"PASS","FAIL")))</x:f>
        <x:v>OPEN</x:v>
      </x:c>
      <x:c r="V44" s="11" t="str">
        <x:v>RETURN TO CONTROLLED CUSTODY</x:v>
      </x:c>
    </x:row>
    <x:row r="45">
      <x:c r="B45" s="11" t="str">
        <x:v>P0-LN-04-09</x:v>
      </x:c>
      <x:c r="C45" s="11" t="str">
        <x:v>LN-04</x:v>
      </x:c>
      <x:c r="D45" s="11" t="str">
        <x:v>PTC-C</x:v>
      </x:c>
      <x:c r="E45" s="11" t="str">
        <x:v>SA2</x:v>
      </x:c>
      <x:c r="F45" s="11" t="n">
        <x:v>9</x:v>
      </x:c>
      <x:c r="G45" s="11" t="str">
        <x:v>ET-SA2-09</x:v>
      </x:c>
      <x:c r="H45" s="11" t="str">
        <x:v>B</x:v>
      </x:c>
      <x:c r="I45" s="11" t="str">
        <x:v>RA-SA2-04-B1</x:v>
      </x:c>
      <x:c r="J45" s="11" t="n">
        <x:v>1</x:v>
      </x:c>
      <x:c r="K45" s="11" t="str">
        <x:v>T1</x:v>
      </x:c>
      <x:c r="L45" s="11" t="str">
        <x:v>FI-SA2-B-D</x:v>
      </x:c>
      <x:c r="M45" s="11" t="n">
        <x:v>4</x:v>
      </x:c>
      <x:c r="N45" s="11" t="str">
        <x:v>SAFE STATE AND REPLAY</x:v>
      </x:c>
      <x:c r="O45" s="11" t="n">
        <x:v>1</x:v>
      </x:c>
      <x:c r="P45" s="11" t="n">
        <x:v>1</x:v>
      </x:c>
      <x:c r="Q45" s="11" t="n">
        <x:v>1</x:v>
      </x:c>
      <x:c r="R45" s="11" t="str">
        <x:f>IF(AND(N45&lt;&gt;"",O45=1,P45=1,Q45=1),"PASS","FAIL")</x:f>
        <x:v>PASS</x:v>
      </x:c>
      <x:c r="S45" s="13" t="str"/>
      <x:c r="T45" s="13" t="n">
        <x:v>0</x:v>
      </x:c>
      <x:c r="U45" s="11" t="str">
        <x:f>IF(R45&lt;&gt;"PASS","FAIL",IF(S45="","OPEN",IF(AND(S45=N45,T45&gt;='Controls'!$D$33),"PASS","FAIL")))</x:f>
        <x:v>OPEN</x:v>
      </x:c>
      <x:c r="V45" s="11" t="str">
        <x:v>RETURN TO CONTROLLED CUSTODY</x:v>
      </x:c>
    </x:row>
    <x:row r="46">
      <x:c r="B46" s="11" t="str">
        <x:v>P0-LN-04-10</x:v>
      </x:c>
      <x:c r="C46" s="11" t="str">
        <x:v>LN-04</x:v>
      </x:c>
      <x:c r="D46" s="11" t="str">
        <x:v>PTC-C</x:v>
      </x:c>
      <x:c r="E46" s="11" t="str">
        <x:v>SA2</x:v>
      </x:c>
      <x:c r="F46" s="11" t="n">
        <x:v>10</x:v>
      </x:c>
      <x:c r="G46" s="11" t="str">
        <x:v>ET-SA2-10</x:v>
      </x:c>
      <x:c r="H46" s="11" t="str">
        <x:v>A</x:v>
      </x:c>
      <x:c r="I46" s="11" t="str">
        <x:v>RA-SA2-04-A3</x:v>
      </x:c>
      <x:c r="J46" s="11" t="n">
        <x:v>3</x:v>
      </x:c>
      <x:c r="K46" s="11" t="str">
        <x:v>T1</x:v>
      </x:c>
      <x:c r="L46" s="11" t="str">
        <x:v>FI-SA2-A-S</x:v>
      </x:c>
      <x:c r="M46" s="11" t="n">
        <x:v>6</x:v>
      </x:c>
      <x:c r="N46" s="11" t="str">
        <x:v>QUARANTINE</x:v>
      </x:c>
      <x:c r="O46" s="11" t="n">
        <x:v>1</x:v>
      </x:c>
      <x:c r="P46" s="11" t="n">
        <x:v>1</x:v>
      </x:c>
      <x:c r="Q46" s="11" t="n">
        <x:v>1</x:v>
      </x:c>
      <x:c r="R46" s="11" t="str">
        <x:f>IF(AND(N46&lt;&gt;"",O46=1,P46=1,Q46=1),"PASS","FAIL")</x:f>
        <x:v>PASS</x:v>
      </x:c>
      <x:c r="S46" s="13" t="str"/>
      <x:c r="T46" s="13" t="n">
        <x:v>0</x:v>
      </x:c>
      <x:c r="U46" s="11" t="str">
        <x:f>IF(R46&lt;&gt;"PASS","FAIL",IF(S46="","OPEN",IF(AND(S46=N46,T46&gt;='Controls'!$D$33),"PASS","FAIL")))</x:f>
        <x:v>OPEN</x:v>
      </x:c>
      <x:c r="V46" s="11" t="str">
        <x:v>QUARANTINE</x:v>
      </x:c>
    </x:row>
    <x:row r="47">
      <x:c r="B47" s="11" t="str">
        <x:v>P0-LN-05-01</x:v>
      </x:c>
      <x:c r="C47" s="11" t="str">
        <x:v>LN-05</x:v>
      </x:c>
      <x:c r="D47" s="11" t="str">
        <x:v>PTC-A</x:v>
      </x:c>
      <x:c r="E47" s="11" t="str">
        <x:v>SA3</x:v>
      </x:c>
      <x:c r="F47" s="11" t="n">
        <x:v>1</x:v>
      </x:c>
      <x:c r="G47" s="11" t="str">
        <x:v>ET-SA3-01</x:v>
      </x:c>
      <x:c r="H47" s="11" t="str">
        <x:v>A</x:v>
      </x:c>
      <x:c r="I47" s="11" t="str">
        <x:v>RA-SA3-05-A1</x:v>
      </x:c>
      <x:c r="J47" s="11" t="n">
        <x:v>1</x:v>
      </x:c>
      <x:c r="K47" s="11" t="str">
        <x:v>T0</x:v>
      </x:c>
      <x:c r="L47" s="11" t="str">
        <x:v>none</x:v>
      </x:c>
      <x:c r="M47" s="11" t="n">
        <x:v>5</x:v>
      </x:c>
      <x:c r="N47" s="11" t="str">
        <x:v>ACCEPT</x:v>
      </x:c>
      <x:c r="O47" s="11" t="n">
        <x:v>1</x:v>
      </x:c>
      <x:c r="P47" s="11" t="n">
        <x:v>1</x:v>
      </x:c>
      <x:c r="Q47" s="11" t="n">
        <x:v>1</x:v>
      </x:c>
      <x:c r="R47" s="11" t="str">
        <x:f>IF(AND(N47&lt;&gt;"",O47=1,P47=1,Q47=1),"PASS","FAIL")</x:f>
        <x:v>PASS</x:v>
      </x:c>
      <x:c r="S47" s="13" t="str"/>
      <x:c r="T47" s="13" t="n">
        <x:v>0</x:v>
      </x:c>
      <x:c r="U47" s="11" t="str">
        <x:f>IF(R47&lt;&gt;"PASS","FAIL",IF(S47="","OPEN",IF(AND(S47=N47,T47&gt;='Controls'!$D$33),"PASS","FAIL")))</x:f>
        <x:v>OPEN</x:v>
      </x:c>
      <x:c r="V47" s="11" t="str">
        <x:v>RETURN TO CONTROLLED CUSTODY</x:v>
      </x:c>
    </x:row>
    <x:row r="48">
      <x:c r="B48" s="11" t="str">
        <x:v>P0-LN-05-02</x:v>
      </x:c>
      <x:c r="C48" s="11" t="str">
        <x:v>LN-05</x:v>
      </x:c>
      <x:c r="D48" s="11" t="str">
        <x:v>PTC-A</x:v>
      </x:c>
      <x:c r="E48" s="11" t="str">
        <x:v>SA3</x:v>
      </x:c>
      <x:c r="F48" s="11" t="n">
        <x:v>2</x:v>
      </x:c>
      <x:c r="G48" s="11" t="str">
        <x:v>ET-SA3-02</x:v>
      </x:c>
      <x:c r="H48" s="11" t="str">
        <x:v>B</x:v>
      </x:c>
      <x:c r="I48" s="11" t="str">
        <x:v>RA-SA3-05-B1</x:v>
      </x:c>
      <x:c r="J48" s="11" t="n">
        <x:v>1</x:v>
      </x:c>
      <x:c r="K48" s="11" t="str">
        <x:v>T1</x:v>
      </x:c>
      <x:c r="L48" s="11" t="str">
        <x:v>none</x:v>
      </x:c>
      <x:c r="M48" s="11" t="n">
        <x:v>5</x:v>
      </x:c>
      <x:c r="N48" s="11" t="str">
        <x:v>ACCEPT</x:v>
      </x:c>
      <x:c r="O48" s="11" t="n">
        <x:v>1</x:v>
      </x:c>
      <x:c r="P48" s="11" t="n">
        <x:v>1</x:v>
      </x:c>
      <x:c r="Q48" s="11" t="n">
        <x:v>1</x:v>
      </x:c>
      <x:c r="R48" s="11" t="str">
        <x:f>IF(AND(N48&lt;&gt;"",O48=1,P48=1,Q48=1),"PASS","FAIL")</x:f>
        <x:v>PASS</x:v>
      </x:c>
      <x:c r="S48" s="13" t="str"/>
      <x:c r="T48" s="13" t="n">
        <x:v>0</x:v>
      </x:c>
      <x:c r="U48" s="11" t="str">
        <x:f>IF(R48&lt;&gt;"PASS","FAIL",IF(S48="","OPEN",IF(AND(S48=N48,T48&gt;='Controls'!$D$33),"PASS","FAIL")))</x:f>
        <x:v>OPEN</x:v>
      </x:c>
      <x:c r="V48" s="11" t="str">
        <x:v>RETURN TO CONTROLLED CUSTODY</x:v>
      </x:c>
    </x:row>
    <x:row r="49">
      <x:c r="B49" s="11" t="str">
        <x:v>P0-LN-05-03</x:v>
      </x:c>
      <x:c r="C49" s="11" t="str">
        <x:v>LN-05</x:v>
      </x:c>
      <x:c r="D49" s="11" t="str">
        <x:v>PTC-A</x:v>
      </x:c>
      <x:c r="E49" s="11" t="str">
        <x:v>SA3</x:v>
      </x:c>
      <x:c r="F49" s="11" t="n">
        <x:v>3</x:v>
      </x:c>
      <x:c r="G49" s="11" t="str">
        <x:v>ET-SA3-03</x:v>
      </x:c>
      <x:c r="H49" s="11" t="str">
        <x:v>A</x:v>
      </x:c>
      <x:c r="I49" s="11" t="str">
        <x:v>RA-SA3-05-A2</x:v>
      </x:c>
      <x:c r="J49" s="11" t="n">
        <x:v>2</x:v>
      </x:c>
      <x:c r="K49" s="11" t="str">
        <x:v>T2</x:v>
      </x:c>
      <x:c r="L49" s="11" t="str">
        <x:v>none</x:v>
      </x:c>
      <x:c r="M49" s="11" t="n">
        <x:v>5</x:v>
      </x:c>
      <x:c r="N49" s="11" t="str">
        <x:v>REJECT</x:v>
      </x:c>
      <x:c r="O49" s="11" t="n">
        <x:v>1</x:v>
      </x:c>
      <x:c r="P49" s="11" t="n">
        <x:v>1</x:v>
      </x:c>
      <x:c r="Q49" s="11" t="n">
        <x:v>1</x:v>
      </x:c>
      <x:c r="R49" s="11" t="str">
        <x:f>IF(AND(N49&lt;&gt;"",O49=1,P49=1,Q49=1),"PASS","FAIL")</x:f>
        <x:v>PASS</x:v>
      </x:c>
      <x:c r="S49" s="13" t="str"/>
      <x:c r="T49" s="13" t="n">
        <x:v>0</x:v>
      </x:c>
      <x:c r="U49" s="11" t="str">
        <x:f>IF(R49&lt;&gt;"PASS","FAIL",IF(S49="","OPEN",IF(AND(S49=N49,T49&gt;='Controls'!$D$33),"PASS","FAIL")))</x:f>
        <x:v>OPEN</x:v>
      </x:c>
      <x:c r="V49" s="11" t="str">
        <x:v>DESTRUCT AFTER TRUTH</x:v>
      </x:c>
    </x:row>
    <x:row r="50">
      <x:c r="B50" s="11" t="str">
        <x:v>P0-LN-05-04</x:v>
      </x:c>
      <x:c r="C50" s="11" t="str">
        <x:v>LN-05</x:v>
      </x:c>
      <x:c r="D50" s="11" t="str">
        <x:v>PTC-A</x:v>
      </x:c>
      <x:c r="E50" s="11" t="str">
        <x:v>SA3</x:v>
      </x:c>
      <x:c r="F50" s="11" t="n">
        <x:v>4</x:v>
      </x:c>
      <x:c r="G50" s="11" t="str">
        <x:v>ET-SA3-04</x:v>
      </x:c>
      <x:c r="H50" s="11" t="str">
        <x:v>B</x:v>
      </x:c>
      <x:c r="I50" s="11" t="str">
        <x:v>RA-SA3-05-B2</x:v>
      </x:c>
      <x:c r="J50" s="11" t="n">
        <x:v>2</x:v>
      </x:c>
      <x:c r="K50" s="11" t="str">
        <x:v>T3</x:v>
      </x:c>
      <x:c r="L50" s="11" t="str">
        <x:v>none</x:v>
      </x:c>
      <x:c r="M50" s="11" t="n">
        <x:v>6</x:v>
      </x:c>
      <x:c r="N50" s="11" t="str">
        <x:v>INDETERMINATE</x:v>
      </x:c>
      <x:c r="O50" s="11" t="n">
        <x:v>1</x:v>
      </x:c>
      <x:c r="P50" s="11" t="n">
        <x:v>1</x:v>
      </x:c>
      <x:c r="Q50" s="11" t="n">
        <x:v>1</x:v>
      </x:c>
      <x:c r="R50" s="11" t="str">
        <x:f>IF(AND(N50&lt;&gt;"",O50=1,P50=1,Q50=1),"PASS","FAIL")</x:f>
        <x:v>PASS</x:v>
      </x:c>
      <x:c r="S50" s="13" t="str"/>
      <x:c r="T50" s="13" t="n">
        <x:v>0</x:v>
      </x:c>
      <x:c r="U50" s="11" t="str">
        <x:f>IF(R50&lt;&gt;"PASS","FAIL",IF(S50="","OPEN",IF(AND(S50=N50,T50&gt;='Controls'!$D$33),"PASS","FAIL")))</x:f>
        <x:v>OPEN</x:v>
      </x:c>
      <x:c r="V50" s="11" t="str">
        <x:v>DESTRUCT AFTER TRUTH</x:v>
      </x:c>
    </x:row>
    <x:row r="51">
      <x:c r="B51" s="11" t="str">
        <x:v>P0-LN-05-05</x:v>
      </x:c>
      <x:c r="C51" s="11" t="str">
        <x:v>LN-05</x:v>
      </x:c>
      <x:c r="D51" s="11" t="str">
        <x:v>PTC-A</x:v>
      </x:c>
      <x:c r="E51" s="11" t="str">
        <x:v>SA3</x:v>
      </x:c>
      <x:c r="F51" s="11" t="n">
        <x:v>5</x:v>
      </x:c>
      <x:c r="G51" s="11" t="str">
        <x:v>ET-SA3-05</x:v>
      </x:c>
      <x:c r="H51" s="11" t="str">
        <x:v>A</x:v>
      </x:c>
      <x:c r="I51" s="11" t="str">
        <x:v>RA-SA3-05-A1</x:v>
      </x:c>
      <x:c r="J51" s="11" t="n">
        <x:v>1</x:v>
      </x:c>
      <x:c r="K51" s="11" t="str">
        <x:v>T1</x:v>
      </x:c>
      <x:c r="L51" s="11" t="str">
        <x:v>FI-SA3-A-D</x:v>
      </x:c>
      <x:c r="M51" s="11" t="n">
        <x:v>4</x:v>
      </x:c>
      <x:c r="N51" s="11" t="str">
        <x:v>INVALID</x:v>
      </x:c>
      <x:c r="O51" s="11" t="n">
        <x:v>1</x:v>
      </x:c>
      <x:c r="P51" s="11" t="n">
        <x:v>1</x:v>
      </x:c>
      <x:c r="Q51" s="11" t="n">
        <x:v>1</x:v>
      </x:c>
      <x:c r="R51" s="11" t="str">
        <x:f>IF(AND(N51&lt;&gt;"",O51=1,P51=1,Q51=1),"PASS","FAIL")</x:f>
        <x:v>PASS</x:v>
      </x:c>
      <x:c r="S51" s="13" t="str"/>
      <x:c r="T51" s="13" t="n">
        <x:v>0</x:v>
      </x:c>
      <x:c r="U51" s="11" t="str">
        <x:f>IF(R51&lt;&gt;"PASS","FAIL",IF(S51="","OPEN",IF(AND(S51=N51,T51&gt;='Controls'!$D$33),"PASS","FAIL")))</x:f>
        <x:v>OPEN</x:v>
      </x:c>
      <x:c r="V51" s="11" t="str">
        <x:v>RETURN TO CONTROLLED CUSTODY</x:v>
      </x:c>
    </x:row>
    <x:row r="52">
      <x:c r="B52" s="11" t="str">
        <x:v>P0-LN-05-06</x:v>
      </x:c>
      <x:c r="C52" s="11" t="str">
        <x:v>LN-05</x:v>
      </x:c>
      <x:c r="D52" s="11" t="str">
        <x:v>PTC-A</x:v>
      </x:c>
      <x:c r="E52" s="11" t="str">
        <x:v>SA3</x:v>
      </x:c>
      <x:c r="F52" s="11" t="n">
        <x:v>6</x:v>
      </x:c>
      <x:c r="G52" s="11" t="str">
        <x:v>ET-SA3-06</x:v>
      </x:c>
      <x:c r="H52" s="11" t="str">
        <x:v>B</x:v>
      </x:c>
      <x:c r="I52" s="11" t="str">
        <x:v>RA-SA3-05-B2</x:v>
      </x:c>
      <x:c r="J52" s="11" t="n">
        <x:v>2</x:v>
      </x:c>
      <x:c r="K52" s="11" t="str">
        <x:v>T1</x:v>
      </x:c>
      <x:c r="L52" s="11" t="str">
        <x:v>FI-SA3-B-D</x:v>
      </x:c>
      <x:c r="M52" s="11" t="n">
        <x:v>4</x:v>
      </x:c>
      <x:c r="N52" s="11" t="str">
        <x:v>INVALID</x:v>
      </x:c>
      <x:c r="O52" s="11" t="n">
        <x:v>1</x:v>
      </x:c>
      <x:c r="P52" s="11" t="n">
        <x:v>1</x:v>
      </x:c>
      <x:c r="Q52" s="11" t="n">
        <x:v>1</x:v>
      </x:c>
      <x:c r="R52" s="11" t="str">
        <x:f>IF(AND(N52&lt;&gt;"",O52=1,P52=1,Q52=1),"PASS","FAIL")</x:f>
        <x:v>PASS</x:v>
      </x:c>
      <x:c r="S52" s="13" t="str"/>
      <x:c r="T52" s="13" t="n">
        <x:v>0</x:v>
      </x:c>
      <x:c r="U52" s="11" t="str">
        <x:f>IF(R52&lt;&gt;"PASS","FAIL",IF(S52="","OPEN",IF(AND(S52=N52,T52&gt;='Controls'!$D$33),"PASS","FAIL")))</x:f>
        <x:v>OPEN</x:v>
      </x:c>
      <x:c r="V52" s="11" t="str">
        <x:v>DESTRUCT AFTER TRUTH</x:v>
      </x:c>
    </x:row>
    <x:row r="53">
      <x:c r="B53" s="11" t="str">
        <x:v>P0-LN-05-07</x:v>
      </x:c>
      <x:c r="C53" s="11" t="str">
        <x:v>LN-05</x:v>
      </x:c>
      <x:c r="D53" s="11" t="str">
        <x:v>PTC-A</x:v>
      </x:c>
      <x:c r="E53" s="11" t="str">
        <x:v>SA3</x:v>
      </x:c>
      <x:c r="F53" s="11" t="n">
        <x:v>7</x:v>
      </x:c>
      <x:c r="G53" s="11" t="str">
        <x:v>ET-SA3-07</x:v>
      </x:c>
      <x:c r="H53" s="11" t="str">
        <x:v>A</x:v>
      </x:c>
      <x:c r="I53" s="11" t="str">
        <x:v>RA-SA3-05-A3</x:v>
      </x:c>
      <x:c r="J53" s="11" t="n">
        <x:v>3</x:v>
      </x:c>
      <x:c r="K53" s="11" t="str">
        <x:v>T1</x:v>
      </x:c>
      <x:c r="L53" s="11" t="str">
        <x:v>FI-SA3-A-S</x:v>
      </x:c>
      <x:c r="M53" s="11" t="n">
        <x:v>3</x:v>
      </x:c>
      <x:c r="N53" s="11" t="str">
        <x:v>SAFE STATE</x:v>
      </x:c>
      <x:c r="O53" s="11" t="n">
        <x:v>1</x:v>
      </x:c>
      <x:c r="P53" s="11" t="n">
        <x:v>1</x:v>
      </x:c>
      <x:c r="Q53" s="11" t="n">
        <x:v>1</x:v>
      </x:c>
      <x:c r="R53" s="11" t="str">
        <x:f>IF(AND(N53&lt;&gt;"",O53=1,P53=1,Q53=1),"PASS","FAIL")</x:f>
        <x:v>PASS</x:v>
      </x:c>
      <x:c r="S53" s="13" t="str"/>
      <x:c r="T53" s="13" t="n">
        <x:v>0</x:v>
      </x:c>
      <x:c r="U53" s="11" t="str">
        <x:f>IF(R53&lt;&gt;"PASS","FAIL",IF(S53="","OPEN",IF(AND(S53=N53,T53&gt;='Controls'!$D$33),"PASS","FAIL")))</x:f>
        <x:v>OPEN</x:v>
      </x:c>
      <x:c r="V53" s="11" t="str">
        <x:v>RETURN TO CONTROLLED CUSTODY</x:v>
      </x:c>
    </x:row>
    <x:row r="54">
      <x:c r="B54" s="11" t="str">
        <x:v>P0-LN-05-08</x:v>
      </x:c>
      <x:c r="C54" s="11" t="str">
        <x:v>LN-05</x:v>
      </x:c>
      <x:c r="D54" s="11" t="str">
        <x:v>PTC-A</x:v>
      </x:c>
      <x:c r="E54" s="11" t="str">
        <x:v>SA3</x:v>
      </x:c>
      <x:c r="F54" s="11" t="n">
        <x:v>8</x:v>
      </x:c>
      <x:c r="G54" s="11" t="str">
        <x:v>ET-SA3-08</x:v>
      </x:c>
      <x:c r="H54" s="11" t="str">
        <x:v>B</x:v>
      </x:c>
      <x:c r="I54" s="11" t="str">
        <x:v>RA-SA3-05-B3</x:v>
      </x:c>
      <x:c r="J54" s="11" t="n">
        <x:v>3</x:v>
      </x:c>
      <x:c r="K54" s="11" t="str">
        <x:v>T1</x:v>
      </x:c>
      <x:c r="L54" s="11" t="str">
        <x:v>FI-SA3-B-S</x:v>
      </x:c>
      <x:c r="M54" s="11" t="n">
        <x:v>3</x:v>
      </x:c>
      <x:c r="N54" s="11" t="str">
        <x:v>SAFE STATE</x:v>
      </x:c>
      <x:c r="O54" s="11" t="n">
        <x:v>1</x:v>
      </x:c>
      <x:c r="P54" s="11" t="n">
        <x:v>1</x:v>
      </x:c>
      <x:c r="Q54" s="11" t="n">
        <x:v>1</x:v>
      </x:c>
      <x:c r="R54" s="11" t="str">
        <x:f>IF(AND(N54&lt;&gt;"",O54=1,P54=1,Q54=1),"PASS","FAIL")</x:f>
        <x:v>PASS</x:v>
      </x:c>
      <x:c r="S54" s="13" t="str"/>
      <x:c r="T54" s="13" t="n">
        <x:v>0</x:v>
      </x:c>
      <x:c r="U54" s="11" t="str">
        <x:f>IF(R54&lt;&gt;"PASS","FAIL",IF(S54="","OPEN",IF(AND(S54=N54,T54&gt;='Controls'!$D$33),"PASS","FAIL")))</x:f>
        <x:v>OPEN</x:v>
      </x:c>
      <x:c r="V54" s="11" t="str">
        <x:v>RETURN TO CONTROLLED CUSTODY</x:v>
      </x:c>
    </x:row>
    <x:row r="55">
      <x:c r="B55" s="11" t="str">
        <x:v>P0-LN-05-09</x:v>
      </x:c>
      <x:c r="C55" s="11" t="str">
        <x:v>LN-05</x:v>
      </x:c>
      <x:c r="D55" s="11" t="str">
        <x:v>PTC-A</x:v>
      </x:c>
      <x:c r="E55" s="11" t="str">
        <x:v>SA3</x:v>
      </x:c>
      <x:c r="F55" s="11" t="n">
        <x:v>9</x:v>
      </x:c>
      <x:c r="G55" s="11" t="str">
        <x:v>ET-SA3-09</x:v>
      </x:c>
      <x:c r="H55" s="11" t="str">
        <x:v>A</x:v>
      </x:c>
      <x:c r="I55" s="11" t="str">
        <x:v>RA-SA3-05-A1</x:v>
      </x:c>
      <x:c r="J55" s="11" t="n">
        <x:v>1</x:v>
      </x:c>
      <x:c r="K55" s="11" t="str">
        <x:v>T1</x:v>
      </x:c>
      <x:c r="L55" s="11" t="str">
        <x:v>FI-SA3-A-D</x:v>
      </x:c>
      <x:c r="M55" s="11" t="n">
        <x:v>5</x:v>
      </x:c>
      <x:c r="N55" s="11" t="str">
        <x:v>SAFE STATE AND REPLAY</x:v>
      </x:c>
      <x:c r="O55" s="11" t="n">
        <x:v>1</x:v>
      </x:c>
      <x:c r="P55" s="11" t="n">
        <x:v>1</x:v>
      </x:c>
      <x:c r="Q55" s="11" t="n">
        <x:v>1</x:v>
      </x:c>
      <x:c r="R55" s="11" t="str">
        <x:f>IF(AND(N55&lt;&gt;"",O55=1,P55=1,Q55=1),"PASS","FAIL")</x:f>
        <x:v>PASS</x:v>
      </x:c>
      <x:c r="S55" s="13" t="str"/>
      <x:c r="T55" s="13" t="n">
        <x:v>0</x:v>
      </x:c>
      <x:c r="U55" s="11" t="str">
        <x:f>IF(R55&lt;&gt;"PASS","FAIL",IF(S55="","OPEN",IF(AND(S55=N55,T55&gt;='Controls'!$D$33),"PASS","FAIL")))</x:f>
        <x:v>OPEN</x:v>
      </x:c>
      <x:c r="V55" s="11" t="str">
        <x:v>RETURN TO CONTROLLED CUSTODY</x:v>
      </x:c>
    </x:row>
    <x:row r="56">
      <x:c r="B56" s="11" t="str">
        <x:v>P0-LN-05-10</x:v>
      </x:c>
      <x:c r="C56" s="11" t="str">
        <x:v>LN-05</x:v>
      </x:c>
      <x:c r="D56" s="11" t="str">
        <x:v>PTC-A</x:v>
      </x:c>
      <x:c r="E56" s="11" t="str">
        <x:v>SA3</x:v>
      </x:c>
      <x:c r="F56" s="11" t="n">
        <x:v>10</x:v>
      </x:c>
      <x:c r="G56" s="11" t="str">
        <x:v>ET-SA3-10</x:v>
      </x:c>
      <x:c r="H56" s="11" t="str">
        <x:v>B</x:v>
      </x:c>
      <x:c r="I56" s="11" t="str">
        <x:v>RA-SA3-05-B3</x:v>
      </x:c>
      <x:c r="J56" s="11" t="n">
        <x:v>3</x:v>
      </x:c>
      <x:c r="K56" s="11" t="str">
        <x:v>T1</x:v>
      </x:c>
      <x:c r="L56" s="11" t="str">
        <x:v>FI-SA3-B-S</x:v>
      </x:c>
      <x:c r="M56" s="11" t="n">
        <x:v>8</x:v>
      </x:c>
      <x:c r="N56" s="11" t="str">
        <x:v>QUARANTINE</x:v>
      </x:c>
      <x:c r="O56" s="11" t="n">
        <x:v>1</x:v>
      </x:c>
      <x:c r="P56" s="11" t="n">
        <x:v>1</x:v>
      </x:c>
      <x:c r="Q56" s="11" t="n">
        <x:v>1</x:v>
      </x:c>
      <x:c r="R56" s="11" t="str">
        <x:f>IF(AND(N56&lt;&gt;"",O56=1,P56=1,Q56=1),"PASS","FAIL")</x:f>
        <x:v>PASS</x:v>
      </x:c>
      <x:c r="S56" s="13" t="str"/>
      <x:c r="T56" s="13" t="n">
        <x:v>0</x:v>
      </x:c>
      <x:c r="U56" s="11" t="str">
        <x:f>IF(R56&lt;&gt;"PASS","FAIL",IF(S56="","OPEN",IF(AND(S56=N56,T56&gt;='Controls'!$D$33),"PASS","FAIL")))</x:f>
        <x:v>OPEN</x:v>
      </x:c>
      <x:c r="V56" s="11" t="str">
        <x:v>QUARANTINE</x:v>
      </x:c>
    </x:row>
    <x:row r="57">
      <x:c r="B57" s="11" t="str">
        <x:v>P0-LN-06-01</x:v>
      </x:c>
      <x:c r="C57" s="11" t="str">
        <x:v>LN-06</x:v>
      </x:c>
      <x:c r="D57" s="11" t="str">
        <x:v>PTC-C</x:v>
      </x:c>
      <x:c r="E57" s="11" t="str">
        <x:v>SA3</x:v>
      </x:c>
      <x:c r="F57" s="11" t="n">
        <x:v>1</x:v>
      </x:c>
      <x:c r="G57" s="11" t="str">
        <x:v>ET-SA3-01</x:v>
      </x:c>
      <x:c r="H57" s="11" t="str">
        <x:v>B</x:v>
      </x:c>
      <x:c r="I57" s="11" t="str">
        <x:v>RA-SA3-06-B1</x:v>
      </x:c>
      <x:c r="J57" s="11" t="n">
        <x:v>1</x:v>
      </x:c>
      <x:c r="K57" s="11" t="str">
        <x:v>T0</x:v>
      </x:c>
      <x:c r="L57" s="11" t="str">
        <x:v>none</x:v>
      </x:c>
      <x:c r="M57" s="11" t="n">
        <x:v>5</x:v>
      </x:c>
      <x:c r="N57" s="11" t="str">
        <x:v>ACCEPT</x:v>
      </x:c>
      <x:c r="O57" s="11" t="n">
        <x:v>1</x:v>
      </x:c>
      <x:c r="P57" s="11" t="n">
        <x:v>1</x:v>
      </x:c>
      <x:c r="Q57" s="11" t="n">
        <x:v>1</x:v>
      </x:c>
      <x:c r="R57" s="11" t="str">
        <x:f>IF(AND(N57&lt;&gt;"",O57=1,P57=1,Q57=1),"PASS","FAIL")</x:f>
        <x:v>PASS</x:v>
      </x:c>
      <x:c r="S57" s="13" t="str"/>
      <x:c r="T57" s="13" t="n">
        <x:v>0</x:v>
      </x:c>
      <x:c r="U57" s="11" t="str">
        <x:f>IF(R57&lt;&gt;"PASS","FAIL",IF(S57="","OPEN",IF(AND(S57=N57,T57&gt;='Controls'!$D$33),"PASS","FAIL")))</x:f>
        <x:v>OPEN</x:v>
      </x:c>
      <x:c r="V57" s="11" t="str">
        <x:v>RETURN TO CONTROLLED CUSTODY</x:v>
      </x:c>
    </x:row>
    <x:row r="58">
      <x:c r="B58" s="11" t="str">
        <x:v>P0-LN-06-02</x:v>
      </x:c>
      <x:c r="C58" s="11" t="str">
        <x:v>LN-06</x:v>
      </x:c>
      <x:c r="D58" s="11" t="str">
        <x:v>PTC-C</x:v>
      </x:c>
      <x:c r="E58" s="11" t="str">
        <x:v>SA3</x:v>
      </x:c>
      <x:c r="F58" s="11" t="n">
        <x:v>2</x:v>
      </x:c>
      <x:c r="G58" s="11" t="str">
        <x:v>ET-SA3-02</x:v>
      </x:c>
      <x:c r="H58" s="11" t="str">
        <x:v>A</x:v>
      </x:c>
      <x:c r="I58" s="11" t="str">
        <x:v>RA-SA3-06-A1</x:v>
      </x:c>
      <x:c r="J58" s="11" t="n">
        <x:v>1</x:v>
      </x:c>
      <x:c r="K58" s="11" t="str">
        <x:v>T1</x:v>
      </x:c>
      <x:c r="L58" s="11" t="str">
        <x:v>none</x:v>
      </x:c>
      <x:c r="M58" s="11" t="n">
        <x:v>5</x:v>
      </x:c>
      <x:c r="N58" s="11" t="str">
        <x:v>ACCEPT</x:v>
      </x:c>
      <x:c r="O58" s="11" t="n">
        <x:v>1</x:v>
      </x:c>
      <x:c r="P58" s="11" t="n">
        <x:v>1</x:v>
      </x:c>
      <x:c r="Q58" s="11" t="n">
        <x:v>1</x:v>
      </x:c>
      <x:c r="R58" s="11" t="str">
        <x:f>IF(AND(N58&lt;&gt;"",O58=1,P58=1,Q58=1),"PASS","FAIL")</x:f>
        <x:v>PASS</x:v>
      </x:c>
      <x:c r="S58" s="13" t="str"/>
      <x:c r="T58" s="13" t="n">
        <x:v>0</x:v>
      </x:c>
      <x:c r="U58" s="11" t="str">
        <x:f>IF(R58&lt;&gt;"PASS","FAIL",IF(S58="","OPEN",IF(AND(S58=N58,T58&gt;='Controls'!$D$33),"PASS","FAIL")))</x:f>
        <x:v>OPEN</x:v>
      </x:c>
      <x:c r="V58" s="11" t="str">
        <x:v>RETURN TO CONTROLLED CUSTODY</x:v>
      </x:c>
    </x:row>
    <x:row r="59">
      <x:c r="B59" s="11" t="str">
        <x:v>P0-LN-06-03</x:v>
      </x:c>
      <x:c r="C59" s="11" t="str">
        <x:v>LN-06</x:v>
      </x:c>
      <x:c r="D59" s="11" t="str">
        <x:v>PTC-C</x:v>
      </x:c>
      <x:c r="E59" s="11" t="str">
        <x:v>SA3</x:v>
      </x:c>
      <x:c r="F59" s="11" t="n">
        <x:v>3</x:v>
      </x:c>
      <x:c r="G59" s="11" t="str">
        <x:v>ET-SA3-03</x:v>
      </x:c>
      <x:c r="H59" s="11" t="str">
        <x:v>B</x:v>
      </x:c>
      <x:c r="I59" s="11" t="str">
        <x:v>RA-SA3-06-B2</x:v>
      </x:c>
      <x:c r="J59" s="11" t="n">
        <x:v>2</x:v>
      </x:c>
      <x:c r="K59" s="11" t="str">
        <x:v>T2</x:v>
      </x:c>
      <x:c r="L59" s="11" t="str">
        <x:v>none</x:v>
      </x:c>
      <x:c r="M59" s="11" t="n">
        <x:v>5</x:v>
      </x:c>
      <x:c r="N59" s="11" t="str">
        <x:v>REJECT</x:v>
      </x:c>
      <x:c r="O59" s="11" t="n">
        <x:v>1</x:v>
      </x:c>
      <x:c r="P59" s="11" t="n">
        <x:v>1</x:v>
      </x:c>
      <x:c r="Q59" s="11" t="n">
        <x:v>1</x:v>
      </x:c>
      <x:c r="R59" s="11" t="str">
        <x:f>IF(AND(N59&lt;&gt;"",O59=1,P59=1,Q59=1),"PASS","FAIL")</x:f>
        <x:v>PASS</x:v>
      </x:c>
      <x:c r="S59" s="13" t="str"/>
      <x:c r="T59" s="13" t="n">
        <x:v>0</x:v>
      </x:c>
      <x:c r="U59" s="11" t="str">
        <x:f>IF(R59&lt;&gt;"PASS","FAIL",IF(S59="","OPEN",IF(AND(S59=N59,T59&gt;='Controls'!$D$33),"PASS","FAIL")))</x:f>
        <x:v>OPEN</x:v>
      </x:c>
      <x:c r="V59" s="11" t="str">
        <x:v>DESTRUCT AFTER TRUTH</x:v>
      </x:c>
    </x:row>
    <x:row r="60">
      <x:c r="B60" s="11" t="str">
        <x:v>P0-LN-06-04</x:v>
      </x:c>
      <x:c r="C60" s="11" t="str">
        <x:v>LN-06</x:v>
      </x:c>
      <x:c r="D60" s="11" t="str">
        <x:v>PTC-C</x:v>
      </x:c>
      <x:c r="E60" s="11" t="str">
        <x:v>SA3</x:v>
      </x:c>
      <x:c r="F60" s="11" t="n">
        <x:v>4</x:v>
      </x:c>
      <x:c r="G60" s="11" t="str">
        <x:v>ET-SA3-04</x:v>
      </x:c>
      <x:c r="H60" s="11" t="str">
        <x:v>A</x:v>
      </x:c>
      <x:c r="I60" s="11" t="str">
        <x:v>RA-SA3-06-A2</x:v>
      </x:c>
      <x:c r="J60" s="11" t="n">
        <x:v>2</x:v>
      </x:c>
      <x:c r="K60" s="11" t="str">
        <x:v>T3</x:v>
      </x:c>
      <x:c r="L60" s="11" t="str">
        <x:v>none</x:v>
      </x:c>
      <x:c r="M60" s="11" t="n">
        <x:v>6</x:v>
      </x:c>
      <x:c r="N60" s="11" t="str">
        <x:v>INDETERMINATE</x:v>
      </x:c>
      <x:c r="O60" s="11" t="n">
        <x:v>1</x:v>
      </x:c>
      <x:c r="P60" s="11" t="n">
        <x:v>1</x:v>
      </x:c>
      <x:c r="Q60" s="11" t="n">
        <x:v>1</x:v>
      </x:c>
      <x:c r="R60" s="11" t="str">
        <x:f>IF(AND(N60&lt;&gt;"",O60=1,P60=1,Q60=1),"PASS","FAIL")</x:f>
        <x:v>PASS</x:v>
      </x:c>
      <x:c r="S60" s="13" t="str"/>
      <x:c r="T60" s="13" t="n">
        <x:v>0</x:v>
      </x:c>
      <x:c r="U60" s="11" t="str">
        <x:f>IF(R60&lt;&gt;"PASS","FAIL",IF(S60="","OPEN",IF(AND(S60=N60,T60&gt;='Controls'!$D$33),"PASS","FAIL")))</x:f>
        <x:v>OPEN</x:v>
      </x:c>
      <x:c r="V60" s="11" t="str">
        <x:v>DESTRUCT AFTER TRUTH</x:v>
      </x:c>
    </x:row>
    <x:row r="61">
      <x:c r="B61" s="11" t="str">
        <x:v>P0-LN-06-05</x:v>
      </x:c>
      <x:c r="C61" s="11" t="str">
        <x:v>LN-06</x:v>
      </x:c>
      <x:c r="D61" s="11" t="str">
        <x:v>PTC-C</x:v>
      </x:c>
      <x:c r="E61" s="11" t="str">
        <x:v>SA3</x:v>
      </x:c>
      <x:c r="F61" s="11" t="n">
        <x:v>5</x:v>
      </x:c>
      <x:c r="G61" s="11" t="str">
        <x:v>ET-SA3-05</x:v>
      </x:c>
      <x:c r="H61" s="11" t="str">
        <x:v>B</x:v>
      </x:c>
      <x:c r="I61" s="11" t="str">
        <x:v>RA-SA3-06-B1</x:v>
      </x:c>
      <x:c r="J61" s="11" t="n">
        <x:v>1</x:v>
      </x:c>
      <x:c r="K61" s="11" t="str">
        <x:v>T1</x:v>
      </x:c>
      <x:c r="L61" s="11" t="str">
        <x:v>FI-SA3-B-D</x:v>
      </x:c>
      <x:c r="M61" s="11" t="n">
        <x:v>4</x:v>
      </x:c>
      <x:c r="N61" s="11" t="str">
        <x:v>INVALID</x:v>
      </x:c>
      <x:c r="O61" s="11" t="n">
        <x:v>1</x:v>
      </x:c>
      <x:c r="P61" s="11" t="n">
        <x:v>1</x:v>
      </x:c>
      <x:c r="Q61" s="11" t="n">
        <x:v>1</x:v>
      </x:c>
      <x:c r="R61" s="11" t="str">
        <x:f>IF(AND(N61&lt;&gt;"",O61=1,P61=1,Q61=1),"PASS","FAIL")</x:f>
        <x:v>PASS</x:v>
      </x:c>
      <x:c r="S61" s="13" t="str"/>
      <x:c r="T61" s="13" t="n">
        <x:v>0</x:v>
      </x:c>
      <x:c r="U61" s="11" t="str">
        <x:f>IF(R61&lt;&gt;"PASS","FAIL",IF(S61="","OPEN",IF(AND(S61=N61,T61&gt;='Controls'!$D$33),"PASS","FAIL")))</x:f>
        <x:v>OPEN</x:v>
      </x:c>
      <x:c r="V61" s="11" t="str">
        <x:v>RETURN TO CONTROLLED CUSTODY</x:v>
      </x:c>
    </x:row>
    <x:row r="62">
      <x:c r="B62" s="11" t="str">
        <x:v>P0-LN-06-06</x:v>
      </x:c>
      <x:c r="C62" s="11" t="str">
        <x:v>LN-06</x:v>
      </x:c>
      <x:c r="D62" s="11" t="str">
        <x:v>PTC-C</x:v>
      </x:c>
      <x:c r="E62" s="11" t="str">
        <x:v>SA3</x:v>
      </x:c>
      <x:c r="F62" s="11" t="n">
        <x:v>6</x:v>
      </x:c>
      <x:c r="G62" s="11" t="str">
        <x:v>ET-SA3-06</x:v>
      </x:c>
      <x:c r="H62" s="11" t="str">
        <x:v>A</x:v>
      </x:c>
      <x:c r="I62" s="11" t="str">
        <x:v>RA-SA3-06-A2</x:v>
      </x:c>
      <x:c r="J62" s="11" t="n">
        <x:v>2</x:v>
      </x:c>
      <x:c r="K62" s="11" t="str">
        <x:v>T1</x:v>
      </x:c>
      <x:c r="L62" s="11" t="str">
        <x:v>FI-SA3-A-D</x:v>
      </x:c>
      <x:c r="M62" s="11" t="n">
        <x:v>4</x:v>
      </x:c>
      <x:c r="N62" s="11" t="str">
        <x:v>INVALID</x:v>
      </x:c>
      <x:c r="O62" s="11" t="n">
        <x:v>1</x:v>
      </x:c>
      <x:c r="P62" s="11" t="n">
        <x:v>1</x:v>
      </x:c>
      <x:c r="Q62" s="11" t="n">
        <x:v>1</x:v>
      </x:c>
      <x:c r="R62" s="11" t="str">
        <x:f>IF(AND(N62&lt;&gt;"",O62=1,P62=1,Q62=1),"PASS","FAIL")</x:f>
        <x:v>PASS</x:v>
      </x:c>
      <x:c r="S62" s="13" t="str"/>
      <x:c r="T62" s="13" t="n">
        <x:v>0</x:v>
      </x:c>
      <x:c r="U62" s="11" t="str">
        <x:f>IF(R62&lt;&gt;"PASS","FAIL",IF(S62="","OPEN",IF(AND(S62=N62,T62&gt;='Controls'!$D$33),"PASS","FAIL")))</x:f>
        <x:v>OPEN</x:v>
      </x:c>
      <x:c r="V62" s="11" t="str">
        <x:v>DESTRUCT AFTER TRUTH</x:v>
      </x:c>
    </x:row>
    <x:row r="63">
      <x:c r="B63" s="11" t="str">
        <x:v>P0-LN-06-07</x:v>
      </x:c>
      <x:c r="C63" s="11" t="str">
        <x:v>LN-06</x:v>
      </x:c>
      <x:c r="D63" s="11" t="str">
        <x:v>PTC-C</x:v>
      </x:c>
      <x:c r="E63" s="11" t="str">
        <x:v>SA3</x:v>
      </x:c>
      <x:c r="F63" s="11" t="n">
        <x:v>7</x:v>
      </x:c>
      <x:c r="G63" s="11" t="str">
        <x:v>ET-SA3-07</x:v>
      </x:c>
      <x:c r="H63" s="11" t="str">
        <x:v>B</x:v>
      </x:c>
      <x:c r="I63" s="11" t="str">
        <x:v>RA-SA3-06-B3</x:v>
      </x:c>
      <x:c r="J63" s="11" t="n">
        <x:v>3</x:v>
      </x:c>
      <x:c r="K63" s="11" t="str">
        <x:v>T1</x:v>
      </x:c>
      <x:c r="L63" s="11" t="str">
        <x:v>FI-SA3-B-S</x:v>
      </x:c>
      <x:c r="M63" s="11" t="n">
        <x:v>3</x:v>
      </x:c>
      <x:c r="N63" s="11" t="str">
        <x:v>SAFE STATE</x:v>
      </x:c>
      <x:c r="O63" s="11" t="n">
        <x:v>1</x:v>
      </x:c>
      <x:c r="P63" s="11" t="n">
        <x:v>1</x:v>
      </x:c>
      <x:c r="Q63" s="11" t="n">
        <x:v>1</x:v>
      </x:c>
      <x:c r="R63" s="11" t="str">
        <x:f>IF(AND(N63&lt;&gt;"",O63=1,P63=1,Q63=1),"PASS","FAIL")</x:f>
        <x:v>PASS</x:v>
      </x:c>
      <x:c r="S63" s="13" t="str"/>
      <x:c r="T63" s="13" t="n">
        <x:v>0</x:v>
      </x:c>
      <x:c r="U63" s="11" t="str">
        <x:f>IF(R63&lt;&gt;"PASS","FAIL",IF(S63="","OPEN",IF(AND(S63=N63,T63&gt;='Controls'!$D$33),"PASS","FAIL")))</x:f>
        <x:v>OPEN</x:v>
      </x:c>
      <x:c r="V63" s="11" t="str">
        <x:v>RETURN TO CONTROLLED CUSTODY</x:v>
      </x:c>
    </x:row>
    <x:row r="64">
      <x:c r="B64" s="11" t="str">
        <x:v>P0-LN-06-08</x:v>
      </x:c>
      <x:c r="C64" s="11" t="str">
        <x:v>LN-06</x:v>
      </x:c>
      <x:c r="D64" s="11" t="str">
        <x:v>PTC-C</x:v>
      </x:c>
      <x:c r="E64" s="11" t="str">
        <x:v>SA3</x:v>
      </x:c>
      <x:c r="F64" s="11" t="n">
        <x:v>8</x:v>
      </x:c>
      <x:c r="G64" s="11" t="str">
        <x:v>ET-SA3-08</x:v>
      </x:c>
      <x:c r="H64" s="11" t="str">
        <x:v>A</x:v>
      </x:c>
      <x:c r="I64" s="11" t="str">
        <x:v>RA-SA3-06-A3</x:v>
      </x:c>
      <x:c r="J64" s="11" t="n">
        <x:v>3</x:v>
      </x:c>
      <x:c r="K64" s="11" t="str">
        <x:v>T1</x:v>
      </x:c>
      <x:c r="L64" s="11" t="str">
        <x:v>FI-SA3-A-S</x:v>
      </x:c>
      <x:c r="M64" s="11" t="n">
        <x:v>3</x:v>
      </x:c>
      <x:c r="N64" s="11" t="str">
        <x:v>SAFE STATE</x:v>
      </x:c>
      <x:c r="O64" s="11" t="n">
        <x:v>1</x:v>
      </x:c>
      <x:c r="P64" s="11" t="n">
        <x:v>1</x:v>
      </x:c>
      <x:c r="Q64" s="11" t="n">
        <x:v>1</x:v>
      </x:c>
      <x:c r="R64" s="11" t="str">
        <x:f>IF(AND(N64&lt;&gt;"",O64=1,P64=1,Q64=1),"PASS","FAIL")</x:f>
        <x:v>PASS</x:v>
      </x:c>
      <x:c r="S64" s="13" t="str"/>
      <x:c r="T64" s="13" t="n">
        <x:v>0</x:v>
      </x:c>
      <x:c r="U64" s="11" t="str">
        <x:f>IF(R64&lt;&gt;"PASS","FAIL",IF(S64="","OPEN",IF(AND(S64=N64,T64&gt;='Controls'!$D$33),"PASS","FAIL")))</x:f>
        <x:v>OPEN</x:v>
      </x:c>
      <x:c r="V64" s="11" t="str">
        <x:v>RETURN TO CONTROLLED CUSTODY</x:v>
      </x:c>
    </x:row>
    <x:row r="65">
      <x:c r="B65" s="11" t="str">
        <x:v>P0-LN-06-09</x:v>
      </x:c>
      <x:c r="C65" s="11" t="str">
        <x:v>LN-06</x:v>
      </x:c>
      <x:c r="D65" s="11" t="str">
        <x:v>PTC-C</x:v>
      </x:c>
      <x:c r="E65" s="11" t="str">
        <x:v>SA3</x:v>
      </x:c>
      <x:c r="F65" s="11" t="n">
        <x:v>9</x:v>
      </x:c>
      <x:c r="G65" s="11" t="str">
        <x:v>ET-SA3-09</x:v>
      </x:c>
      <x:c r="H65" s="11" t="str">
        <x:v>B</x:v>
      </x:c>
      <x:c r="I65" s="11" t="str">
        <x:v>RA-SA3-06-B1</x:v>
      </x:c>
      <x:c r="J65" s="11" t="n">
        <x:v>1</x:v>
      </x:c>
      <x:c r="K65" s="11" t="str">
        <x:v>T1</x:v>
      </x:c>
      <x:c r="L65" s="11" t="str">
        <x:v>FI-SA3-B-D</x:v>
      </x:c>
      <x:c r="M65" s="11" t="n">
        <x:v>5</x:v>
      </x:c>
      <x:c r="N65" s="11" t="str">
        <x:v>SAFE STATE AND REPLAY</x:v>
      </x:c>
      <x:c r="O65" s="11" t="n">
        <x:v>1</x:v>
      </x:c>
      <x:c r="P65" s="11" t="n">
        <x:v>1</x:v>
      </x:c>
      <x:c r="Q65" s="11" t="n">
        <x:v>1</x:v>
      </x:c>
      <x:c r="R65" s="11" t="str">
        <x:f>IF(AND(N65&lt;&gt;"",O65=1,P65=1,Q65=1),"PASS","FAIL")</x:f>
        <x:v>PASS</x:v>
      </x:c>
      <x:c r="S65" s="13" t="str"/>
      <x:c r="T65" s="13" t="n">
        <x:v>0</x:v>
      </x:c>
      <x:c r="U65" s="11" t="str">
        <x:f>IF(R65&lt;&gt;"PASS","FAIL",IF(S65="","OPEN",IF(AND(S65=N65,T65&gt;='Controls'!$D$33),"PASS","FAIL")))</x:f>
        <x:v>OPEN</x:v>
      </x:c>
      <x:c r="V65" s="11" t="str">
        <x:v>RETURN TO CONTROLLED CUSTODY</x:v>
      </x:c>
    </x:row>
    <x:row r="66">
      <x:c r="B66" s="11" t="str">
        <x:v>P0-LN-06-10</x:v>
      </x:c>
      <x:c r="C66" s="11" t="str">
        <x:v>LN-06</x:v>
      </x:c>
      <x:c r="D66" s="11" t="str">
        <x:v>PTC-C</x:v>
      </x:c>
      <x:c r="E66" s="11" t="str">
        <x:v>SA3</x:v>
      </x:c>
      <x:c r="F66" s="11" t="n">
        <x:v>10</x:v>
      </x:c>
      <x:c r="G66" s="11" t="str">
        <x:v>ET-SA3-10</x:v>
      </x:c>
      <x:c r="H66" s="11" t="str">
        <x:v>A</x:v>
      </x:c>
      <x:c r="I66" s="11" t="str">
        <x:v>RA-SA3-06-A3</x:v>
      </x:c>
      <x:c r="J66" s="11" t="n">
        <x:v>3</x:v>
      </x:c>
      <x:c r="K66" s="11" t="str">
        <x:v>T1</x:v>
      </x:c>
      <x:c r="L66" s="11" t="str">
        <x:v>FI-SA3-A-S</x:v>
      </x:c>
      <x:c r="M66" s="11" t="n">
        <x:v>8</x:v>
      </x:c>
      <x:c r="N66" s="11" t="str">
        <x:v>QUARANTINE</x:v>
      </x:c>
      <x:c r="O66" s="11" t="n">
        <x:v>1</x:v>
      </x:c>
      <x:c r="P66" s="11" t="n">
        <x:v>1</x:v>
      </x:c>
      <x:c r="Q66" s="11" t="n">
        <x:v>1</x:v>
      </x:c>
      <x:c r="R66" s="11" t="str">
        <x:f>IF(AND(N66&lt;&gt;"",O66=1,P66=1,Q66=1),"PASS","FAIL")</x:f>
        <x:v>PASS</x:v>
      </x:c>
      <x:c r="S66" s="13" t="str"/>
      <x:c r="T66" s="13" t="n">
        <x:v>0</x:v>
      </x:c>
      <x:c r="U66" s="11" t="str">
        <x:f>IF(R66&lt;&gt;"PASS","FAIL",IF(S66="","OPEN",IF(AND(S66=N66,T66&gt;='Controls'!$D$33),"PASS","FAIL")))</x:f>
        <x:v>OPEN</x:v>
      </x:c>
      <x:c r="V66" s="11" t="str">
        <x:v>QUARANTINE</x:v>
      </x:c>
    </x:row>
    <x:row r="67">
      <x:c r="B67" s="11" t="str">
        <x:v>P0-LN-07-01</x:v>
      </x:c>
      <x:c r="C67" s="11" t="str">
        <x:v>LN-07</x:v>
      </x:c>
      <x:c r="D67" s="11" t="str">
        <x:v>PTC-B</x:v>
      </x:c>
      <x:c r="E67" s="11" t="str">
        <x:v>SA4</x:v>
      </x:c>
      <x:c r="F67" s="11" t="n">
        <x:v>1</x:v>
      </x:c>
      <x:c r="G67" s="11" t="str">
        <x:v>ET-SA4-01</x:v>
      </x:c>
      <x:c r="H67" s="11" t="str">
        <x:v>A</x:v>
      </x:c>
      <x:c r="I67" s="11" t="str">
        <x:v>RA-SA4-07-A1</x:v>
      </x:c>
      <x:c r="J67" s="11" t="n">
        <x:v>1</x:v>
      </x:c>
      <x:c r="K67" s="11" t="str">
        <x:v>T0</x:v>
      </x:c>
      <x:c r="L67" s="11" t="str">
        <x:v>none</x:v>
      </x:c>
      <x:c r="M67" s="11" t="n">
        <x:v>3</x:v>
      </x:c>
      <x:c r="N67" s="11" t="str">
        <x:v>ACCEPT</x:v>
      </x:c>
      <x:c r="O67" s="11" t="n">
        <x:v>1</x:v>
      </x:c>
      <x:c r="P67" s="11" t="n">
        <x:v>1</x:v>
      </x:c>
      <x:c r="Q67" s="11" t="n">
        <x:v>1</x:v>
      </x:c>
      <x:c r="R67" s="11" t="str">
        <x:f>IF(AND(N67&lt;&gt;"",O67=1,P67=1,Q67=1),"PASS","FAIL")</x:f>
        <x:v>PASS</x:v>
      </x:c>
      <x:c r="S67" s="13" t="str"/>
      <x:c r="T67" s="13" t="n">
        <x:v>0</x:v>
      </x:c>
      <x:c r="U67" s="11" t="str">
        <x:f>IF(R67&lt;&gt;"PASS","FAIL",IF(S67="","OPEN",IF(AND(S67=N67,T67&gt;='Controls'!$D$33),"PASS","FAIL")))</x:f>
        <x:v>OPEN</x:v>
      </x:c>
      <x:c r="V67" s="11" t="str">
        <x:v>RETURN TO CONTROLLED CUSTODY</x:v>
      </x:c>
    </x:row>
    <x:row r="68">
      <x:c r="B68" s="11" t="str">
        <x:v>P0-LN-07-02</x:v>
      </x:c>
      <x:c r="C68" s="11" t="str">
        <x:v>LN-07</x:v>
      </x:c>
      <x:c r="D68" s="11" t="str">
        <x:v>PTC-B</x:v>
      </x:c>
      <x:c r="E68" s="11" t="str">
        <x:v>SA4</x:v>
      </x:c>
      <x:c r="F68" s="11" t="n">
        <x:v>2</x:v>
      </x:c>
      <x:c r="G68" s="11" t="str">
        <x:v>ET-SA4-02</x:v>
      </x:c>
      <x:c r="H68" s="11" t="str">
        <x:v>B</x:v>
      </x:c>
      <x:c r="I68" s="11" t="str">
        <x:v>RA-SA4-07-B1</x:v>
      </x:c>
      <x:c r="J68" s="11" t="n">
        <x:v>1</x:v>
      </x:c>
      <x:c r="K68" s="11" t="str">
        <x:v>T1</x:v>
      </x:c>
      <x:c r="L68" s="11" t="str">
        <x:v>none</x:v>
      </x:c>
      <x:c r="M68" s="11" t="n">
        <x:v>3</x:v>
      </x:c>
      <x:c r="N68" s="11" t="str">
        <x:v>ACCEPT</x:v>
      </x:c>
      <x:c r="O68" s="11" t="n">
        <x:v>1</x:v>
      </x:c>
      <x:c r="P68" s="11" t="n">
        <x:v>1</x:v>
      </x:c>
      <x:c r="Q68" s="11" t="n">
        <x:v>1</x:v>
      </x:c>
      <x:c r="R68" s="11" t="str">
        <x:f>IF(AND(N68&lt;&gt;"",O68=1,P68=1,Q68=1),"PASS","FAIL")</x:f>
        <x:v>PASS</x:v>
      </x:c>
      <x:c r="S68" s="13" t="str"/>
      <x:c r="T68" s="13" t="n">
        <x:v>0</x:v>
      </x:c>
      <x:c r="U68" s="11" t="str">
        <x:f>IF(R68&lt;&gt;"PASS","FAIL",IF(S68="","OPEN",IF(AND(S68=N68,T68&gt;='Controls'!$D$33),"PASS","FAIL")))</x:f>
        <x:v>OPEN</x:v>
      </x:c>
      <x:c r="V68" s="11" t="str">
        <x:v>RETURN TO CONTROLLED CUSTODY</x:v>
      </x:c>
    </x:row>
    <x:row r="69">
      <x:c r="B69" s="11" t="str">
        <x:v>P0-LN-07-03</x:v>
      </x:c>
      <x:c r="C69" s="11" t="str">
        <x:v>LN-07</x:v>
      </x:c>
      <x:c r="D69" s="11" t="str">
        <x:v>PTC-B</x:v>
      </x:c>
      <x:c r="E69" s="11" t="str">
        <x:v>SA4</x:v>
      </x:c>
      <x:c r="F69" s="11" t="n">
        <x:v>3</x:v>
      </x:c>
      <x:c r="G69" s="11" t="str">
        <x:v>ET-SA4-03</x:v>
      </x:c>
      <x:c r="H69" s="11" t="str">
        <x:v>A</x:v>
      </x:c>
      <x:c r="I69" s="11" t="str">
        <x:v>RA-SA4-07-A2</x:v>
      </x:c>
      <x:c r="J69" s="11" t="n">
        <x:v>2</x:v>
      </x:c>
      <x:c r="K69" s="11" t="str">
        <x:v>T2</x:v>
      </x:c>
      <x:c r="L69" s="11" t="str">
        <x:v>none</x:v>
      </x:c>
      <x:c r="M69" s="11" t="n">
        <x:v>3</x:v>
      </x:c>
      <x:c r="N69" s="11" t="str">
        <x:v>REJECT</x:v>
      </x:c>
      <x:c r="O69" s="11" t="n">
        <x:v>1</x:v>
      </x:c>
      <x:c r="P69" s="11" t="n">
        <x:v>1</x:v>
      </x:c>
      <x:c r="Q69" s="11" t="n">
        <x:v>1</x:v>
      </x:c>
      <x:c r="R69" s="11" t="str">
        <x:f>IF(AND(N69&lt;&gt;"",O69=1,P69=1,Q69=1),"PASS","FAIL")</x:f>
        <x:v>PASS</x:v>
      </x:c>
      <x:c r="S69" s="13" t="str"/>
      <x:c r="T69" s="13" t="n">
        <x:v>0</x:v>
      </x:c>
      <x:c r="U69" s="11" t="str">
        <x:f>IF(R69&lt;&gt;"PASS","FAIL",IF(S69="","OPEN",IF(AND(S69=N69,T69&gt;='Controls'!$D$33),"PASS","FAIL")))</x:f>
        <x:v>OPEN</x:v>
      </x:c>
      <x:c r="V69" s="11" t="str">
        <x:v>DESTRUCT AFTER TRUTH</x:v>
      </x:c>
    </x:row>
    <x:row r="70">
      <x:c r="B70" s="11" t="str">
        <x:v>P0-LN-07-04</x:v>
      </x:c>
      <x:c r="C70" s="11" t="str">
        <x:v>LN-07</x:v>
      </x:c>
      <x:c r="D70" s="11" t="str">
        <x:v>PTC-B</x:v>
      </x:c>
      <x:c r="E70" s="11" t="str">
        <x:v>SA4</x:v>
      </x:c>
      <x:c r="F70" s="11" t="n">
        <x:v>4</x:v>
      </x:c>
      <x:c r="G70" s="11" t="str">
        <x:v>ET-SA4-04</x:v>
      </x:c>
      <x:c r="H70" s="11" t="str">
        <x:v>B</x:v>
      </x:c>
      <x:c r="I70" s="11" t="str">
        <x:v>RA-SA4-07-B2</x:v>
      </x:c>
      <x:c r="J70" s="11" t="n">
        <x:v>2</x:v>
      </x:c>
      <x:c r="K70" s="11" t="str">
        <x:v>T3</x:v>
      </x:c>
      <x:c r="L70" s="11" t="str">
        <x:v>none</x:v>
      </x:c>
      <x:c r="M70" s="11" t="n">
        <x:v>4</x:v>
      </x:c>
      <x:c r="N70" s="11" t="str">
        <x:v>INDETERMINATE</x:v>
      </x:c>
      <x:c r="O70" s="11" t="n">
        <x:v>1</x:v>
      </x:c>
      <x:c r="P70" s="11" t="n">
        <x:v>1</x:v>
      </x:c>
      <x:c r="Q70" s="11" t="n">
        <x:v>1</x:v>
      </x:c>
      <x:c r="R70" s="11" t="str">
        <x:f>IF(AND(N70&lt;&gt;"",O70=1,P70=1,Q70=1),"PASS","FAIL")</x:f>
        <x:v>PASS</x:v>
      </x:c>
      <x:c r="S70" s="13" t="str"/>
      <x:c r="T70" s="13" t="n">
        <x:v>0</x:v>
      </x:c>
      <x:c r="U70" s="11" t="str">
        <x:f>IF(R70&lt;&gt;"PASS","FAIL",IF(S70="","OPEN",IF(AND(S70=N70,T70&gt;='Controls'!$D$33),"PASS","FAIL")))</x:f>
        <x:v>OPEN</x:v>
      </x:c>
      <x:c r="V70" s="11" t="str">
        <x:v>DESTRUCT AFTER TRUTH</x:v>
      </x:c>
    </x:row>
    <x:row r="71">
      <x:c r="B71" s="11" t="str">
        <x:v>P0-LN-07-05</x:v>
      </x:c>
      <x:c r="C71" s="11" t="str">
        <x:v>LN-07</x:v>
      </x:c>
      <x:c r="D71" s="11" t="str">
        <x:v>PTC-B</x:v>
      </x:c>
      <x:c r="E71" s="11" t="str">
        <x:v>SA4</x:v>
      </x:c>
      <x:c r="F71" s="11" t="n">
        <x:v>5</x:v>
      </x:c>
      <x:c r="G71" s="11" t="str">
        <x:v>ET-SA4-05</x:v>
      </x:c>
      <x:c r="H71" s="11" t="str">
        <x:v>A</x:v>
      </x:c>
      <x:c r="I71" s="11" t="str">
        <x:v>RA-SA4-07-A1</x:v>
      </x:c>
      <x:c r="J71" s="11" t="n">
        <x:v>1</x:v>
      </x:c>
      <x:c r="K71" s="11" t="str">
        <x:v>T1</x:v>
      </x:c>
      <x:c r="L71" s="11" t="str">
        <x:v>FI-SA4-A-D</x:v>
      </x:c>
      <x:c r="M71" s="11" t="n">
        <x:v>2</x:v>
      </x:c>
      <x:c r="N71" s="11" t="str">
        <x:v>INVALID</x:v>
      </x:c>
      <x:c r="O71" s="11" t="n">
        <x:v>1</x:v>
      </x:c>
      <x:c r="P71" s="11" t="n">
        <x:v>1</x:v>
      </x:c>
      <x:c r="Q71" s="11" t="n">
        <x:v>1</x:v>
      </x:c>
      <x:c r="R71" s="11" t="str">
        <x:f>IF(AND(N71&lt;&gt;"",O71=1,P71=1,Q71=1),"PASS","FAIL")</x:f>
        <x:v>PASS</x:v>
      </x:c>
      <x:c r="S71" s="13" t="str"/>
      <x:c r="T71" s="13" t="n">
        <x:v>0</x:v>
      </x:c>
      <x:c r="U71" s="11" t="str">
        <x:f>IF(R71&lt;&gt;"PASS","FAIL",IF(S71="","OPEN",IF(AND(S71=N71,T71&gt;='Controls'!$D$33),"PASS","FAIL")))</x:f>
        <x:v>OPEN</x:v>
      </x:c>
      <x:c r="V71" s="11" t="str">
        <x:v>RETURN TO CONTROLLED CUSTODY</x:v>
      </x:c>
    </x:row>
    <x:row r="72">
      <x:c r="B72" s="11" t="str">
        <x:v>P0-LN-07-06</x:v>
      </x:c>
      <x:c r="C72" s="11" t="str">
        <x:v>LN-07</x:v>
      </x:c>
      <x:c r="D72" s="11" t="str">
        <x:v>PTC-B</x:v>
      </x:c>
      <x:c r="E72" s="11" t="str">
        <x:v>SA4</x:v>
      </x:c>
      <x:c r="F72" s="11" t="n">
        <x:v>6</x:v>
      </x:c>
      <x:c r="G72" s="11" t="str">
        <x:v>ET-SA4-06</x:v>
      </x:c>
      <x:c r="H72" s="11" t="str">
        <x:v>B</x:v>
      </x:c>
      <x:c r="I72" s="11" t="str">
        <x:v>RA-SA4-07-B2</x:v>
      </x:c>
      <x:c r="J72" s="11" t="n">
        <x:v>2</x:v>
      </x:c>
      <x:c r="K72" s="11" t="str">
        <x:v>T1</x:v>
      </x:c>
      <x:c r="L72" s="11" t="str">
        <x:v>FI-SA4-B-D</x:v>
      </x:c>
      <x:c r="M72" s="11" t="n">
        <x:v>2</x:v>
      </x:c>
      <x:c r="N72" s="11" t="str">
        <x:v>INVALID</x:v>
      </x:c>
      <x:c r="O72" s="11" t="n">
        <x:v>1</x:v>
      </x:c>
      <x:c r="P72" s="11" t="n">
        <x:v>1</x:v>
      </x:c>
      <x:c r="Q72" s="11" t="n">
        <x:v>1</x:v>
      </x:c>
      <x:c r="R72" s="11" t="str">
        <x:f>IF(AND(N72&lt;&gt;"",O72=1,P72=1,Q72=1),"PASS","FAIL")</x:f>
        <x:v>PASS</x:v>
      </x:c>
      <x:c r="S72" s="13" t="str"/>
      <x:c r="T72" s="13" t="n">
        <x:v>0</x:v>
      </x:c>
      <x:c r="U72" s="11" t="str">
        <x:f>IF(R72&lt;&gt;"PASS","FAIL",IF(S72="","OPEN",IF(AND(S72=N72,T72&gt;='Controls'!$D$33),"PASS","FAIL")))</x:f>
        <x:v>OPEN</x:v>
      </x:c>
      <x:c r="V72" s="11" t="str">
        <x:v>DESTRUCT AFTER TRUTH</x:v>
      </x:c>
    </x:row>
    <x:row r="73">
      <x:c r="B73" s="11" t="str">
        <x:v>P0-LN-07-07</x:v>
      </x:c>
      <x:c r="C73" s="11" t="str">
        <x:v>LN-07</x:v>
      </x:c>
      <x:c r="D73" s="11" t="str">
        <x:v>PTC-B</x:v>
      </x:c>
      <x:c r="E73" s="11" t="str">
        <x:v>SA4</x:v>
      </x:c>
      <x:c r="F73" s="11" t="n">
        <x:v>7</x:v>
      </x:c>
      <x:c r="G73" s="11" t="str">
        <x:v>ET-SA4-07</x:v>
      </x:c>
      <x:c r="H73" s="11" t="str">
        <x:v>A</x:v>
      </x:c>
      <x:c r="I73" s="11" t="str">
        <x:v>RA-SA4-07-A3</x:v>
      </x:c>
      <x:c r="J73" s="11" t="n">
        <x:v>3</x:v>
      </x:c>
      <x:c r="K73" s="11" t="str">
        <x:v>T1</x:v>
      </x:c>
      <x:c r="L73" s="11" t="str">
        <x:v>FI-SA4-A-S</x:v>
      </x:c>
      <x:c r="M73" s="11" t="n">
        <x:v>2</x:v>
      </x:c>
      <x:c r="N73" s="11" t="str">
        <x:v>SAFE STATE</x:v>
      </x:c>
      <x:c r="O73" s="11" t="n">
        <x:v>1</x:v>
      </x:c>
      <x:c r="P73" s="11" t="n">
        <x:v>1</x:v>
      </x:c>
      <x:c r="Q73" s="11" t="n">
        <x:v>1</x:v>
      </x:c>
      <x:c r="R73" s="11" t="str">
        <x:f>IF(AND(N73&lt;&gt;"",O73=1,P73=1,Q73=1),"PASS","FAIL")</x:f>
        <x:v>PASS</x:v>
      </x:c>
      <x:c r="S73" s="13" t="str"/>
      <x:c r="T73" s="13" t="n">
        <x:v>0</x:v>
      </x:c>
      <x:c r="U73" s="11" t="str">
        <x:f>IF(R73&lt;&gt;"PASS","FAIL",IF(S73="","OPEN",IF(AND(S73=N73,T73&gt;='Controls'!$D$33),"PASS","FAIL")))</x:f>
        <x:v>OPEN</x:v>
      </x:c>
      <x:c r="V73" s="11" t="str">
        <x:v>RETURN TO CONTROLLED CUSTODY</x:v>
      </x:c>
    </x:row>
    <x:row r="74">
      <x:c r="B74" s="11" t="str">
        <x:v>P0-LN-07-08</x:v>
      </x:c>
      <x:c r="C74" s="11" t="str">
        <x:v>LN-07</x:v>
      </x:c>
      <x:c r="D74" s="11" t="str">
        <x:v>PTC-B</x:v>
      </x:c>
      <x:c r="E74" s="11" t="str">
        <x:v>SA4</x:v>
      </x:c>
      <x:c r="F74" s="11" t="n">
        <x:v>8</x:v>
      </x:c>
      <x:c r="G74" s="11" t="str">
        <x:v>ET-SA4-08</x:v>
      </x:c>
      <x:c r="H74" s="11" t="str">
        <x:v>B</x:v>
      </x:c>
      <x:c r="I74" s="11" t="str">
        <x:v>RA-SA4-07-B3</x:v>
      </x:c>
      <x:c r="J74" s="11" t="n">
        <x:v>3</x:v>
      </x:c>
      <x:c r="K74" s="11" t="str">
        <x:v>T1</x:v>
      </x:c>
      <x:c r="L74" s="11" t="str">
        <x:v>FI-SA4-B-S</x:v>
      </x:c>
      <x:c r="M74" s="11" t="n">
        <x:v>2</x:v>
      </x:c>
      <x:c r="N74" s="11" t="str">
        <x:v>SAFE STATE</x:v>
      </x:c>
      <x:c r="O74" s="11" t="n">
        <x:v>1</x:v>
      </x:c>
      <x:c r="P74" s="11" t="n">
        <x:v>1</x:v>
      </x:c>
      <x:c r="Q74" s="11" t="n">
        <x:v>1</x:v>
      </x:c>
      <x:c r="R74" s="11" t="str">
        <x:f>IF(AND(N74&lt;&gt;"",O74=1,P74=1,Q74=1),"PASS","FAIL")</x:f>
        <x:v>PASS</x:v>
      </x:c>
      <x:c r="S74" s="13" t="str"/>
      <x:c r="T74" s="13" t="n">
        <x:v>0</x:v>
      </x:c>
      <x:c r="U74" s="11" t="str">
        <x:f>IF(R74&lt;&gt;"PASS","FAIL",IF(S74="","OPEN",IF(AND(S74=N74,T74&gt;='Controls'!$D$33),"PASS","FAIL")))</x:f>
        <x:v>OPEN</x:v>
      </x:c>
      <x:c r="V74" s="11" t="str">
        <x:v>RETURN TO CONTROLLED CUSTODY</x:v>
      </x:c>
    </x:row>
    <x:row r="75">
      <x:c r="B75" s="11" t="str">
        <x:v>P0-LN-07-09</x:v>
      </x:c>
      <x:c r="C75" s="11" t="str">
        <x:v>LN-07</x:v>
      </x:c>
      <x:c r="D75" s="11" t="str">
        <x:v>PTC-B</x:v>
      </x:c>
      <x:c r="E75" s="11" t="str">
        <x:v>SA4</x:v>
      </x:c>
      <x:c r="F75" s="11" t="n">
        <x:v>9</x:v>
      </x:c>
      <x:c r="G75" s="11" t="str">
        <x:v>ET-SA4-09</x:v>
      </x:c>
      <x:c r="H75" s="11" t="str">
        <x:v>A</x:v>
      </x:c>
      <x:c r="I75" s="11" t="str">
        <x:v>RA-SA4-07-A1</x:v>
      </x:c>
      <x:c r="J75" s="11" t="n">
        <x:v>1</x:v>
      </x:c>
      <x:c r="K75" s="11" t="str">
        <x:v>T1</x:v>
      </x:c>
      <x:c r="L75" s="11" t="str">
        <x:v>FI-SA4-A-D</x:v>
      </x:c>
      <x:c r="M75" s="11" t="n">
        <x:v>3</x:v>
      </x:c>
      <x:c r="N75" s="11" t="str">
        <x:v>SAFE STATE AND REPLAY</x:v>
      </x:c>
      <x:c r="O75" s="11" t="n">
        <x:v>1</x:v>
      </x:c>
      <x:c r="P75" s="11" t="n">
        <x:v>1</x:v>
      </x:c>
      <x:c r="Q75" s="11" t="n">
        <x:v>1</x:v>
      </x:c>
      <x:c r="R75" s="11" t="str">
        <x:f>IF(AND(N75&lt;&gt;"",O75=1,P75=1,Q75=1),"PASS","FAIL")</x:f>
        <x:v>PASS</x:v>
      </x:c>
      <x:c r="S75" s="13" t="str"/>
      <x:c r="T75" s="13" t="n">
        <x:v>0</x:v>
      </x:c>
      <x:c r="U75" s="11" t="str">
        <x:f>IF(R75&lt;&gt;"PASS","FAIL",IF(S75="","OPEN",IF(AND(S75=N75,T75&gt;='Controls'!$D$33),"PASS","FAIL")))</x:f>
        <x:v>OPEN</x:v>
      </x:c>
      <x:c r="V75" s="11" t="str">
        <x:v>RETURN TO CONTROLLED CUSTODY</x:v>
      </x:c>
    </x:row>
    <x:row r="76">
      <x:c r="B76" s="11" t="str">
        <x:v>P0-LN-07-10</x:v>
      </x:c>
      <x:c r="C76" s="11" t="str">
        <x:v>LN-07</x:v>
      </x:c>
      <x:c r="D76" s="11" t="str">
        <x:v>PTC-B</x:v>
      </x:c>
      <x:c r="E76" s="11" t="str">
        <x:v>SA4</x:v>
      </x:c>
      <x:c r="F76" s="11" t="n">
        <x:v>10</x:v>
      </x:c>
      <x:c r="G76" s="11" t="str">
        <x:v>ET-SA4-10</x:v>
      </x:c>
      <x:c r="H76" s="11" t="str">
        <x:v>B</x:v>
      </x:c>
      <x:c r="I76" s="11" t="str">
        <x:v>RA-SA4-07-B3</x:v>
      </x:c>
      <x:c r="J76" s="11" t="n">
        <x:v>3</x:v>
      </x:c>
      <x:c r="K76" s="11" t="str">
        <x:v>T1</x:v>
      </x:c>
      <x:c r="L76" s="11" t="str">
        <x:v>FI-SA4-B-S</x:v>
      </x:c>
      <x:c r="M76" s="11" t="n">
        <x:v>6</x:v>
      </x:c>
      <x:c r="N76" s="11" t="str">
        <x:v>QUARANTINE</x:v>
      </x:c>
      <x:c r="O76" s="11" t="n">
        <x:v>1</x:v>
      </x:c>
      <x:c r="P76" s="11" t="n">
        <x:v>1</x:v>
      </x:c>
      <x:c r="Q76" s="11" t="n">
        <x:v>1</x:v>
      </x:c>
      <x:c r="R76" s="11" t="str">
        <x:f>IF(AND(N76&lt;&gt;"",O76=1,P76=1,Q76=1),"PASS","FAIL")</x:f>
        <x:v>PASS</x:v>
      </x:c>
      <x:c r="S76" s="13" t="str"/>
      <x:c r="T76" s="13" t="n">
        <x:v>0</x:v>
      </x:c>
      <x:c r="U76" s="11" t="str">
        <x:f>IF(R76&lt;&gt;"PASS","FAIL",IF(S76="","OPEN",IF(AND(S76=N76,T76&gt;='Controls'!$D$33),"PASS","FAIL")))</x:f>
        <x:v>OPEN</x:v>
      </x:c>
      <x:c r="V76" s="11" t="str">
        <x:v>QUARANTINE</x:v>
      </x:c>
    </x:row>
    <x:row r="77">
      <x:c r="B77" s="11" t="str">
        <x:v>P0-LN-08-01</x:v>
      </x:c>
      <x:c r="C77" s="11" t="str">
        <x:v>LN-08</x:v>
      </x:c>
      <x:c r="D77" s="11" t="str">
        <x:v>PTC-C</x:v>
      </x:c>
      <x:c r="E77" s="11" t="str">
        <x:v>SA4</x:v>
      </x:c>
      <x:c r="F77" s="11" t="n">
        <x:v>1</x:v>
      </x:c>
      <x:c r="G77" s="11" t="str">
        <x:v>ET-SA4-01</x:v>
      </x:c>
      <x:c r="H77" s="11" t="str">
        <x:v>B</x:v>
      </x:c>
      <x:c r="I77" s="11" t="str">
        <x:v>RA-SA4-08-B1</x:v>
      </x:c>
      <x:c r="J77" s="11" t="n">
        <x:v>1</x:v>
      </x:c>
      <x:c r="K77" s="11" t="str">
        <x:v>T0</x:v>
      </x:c>
      <x:c r="L77" s="11" t="str">
        <x:v>none</x:v>
      </x:c>
      <x:c r="M77" s="11" t="n">
        <x:v>3</x:v>
      </x:c>
      <x:c r="N77" s="11" t="str">
        <x:v>ACCEPT</x:v>
      </x:c>
      <x:c r="O77" s="11" t="n">
        <x:v>1</x:v>
      </x:c>
      <x:c r="P77" s="11" t="n">
        <x:v>1</x:v>
      </x:c>
      <x:c r="Q77" s="11" t="n">
        <x:v>1</x:v>
      </x:c>
      <x:c r="R77" s="11" t="str">
        <x:f>IF(AND(N77&lt;&gt;"",O77=1,P77=1,Q77=1),"PASS","FAIL")</x:f>
        <x:v>PASS</x:v>
      </x:c>
      <x:c r="S77" s="13" t="str"/>
      <x:c r="T77" s="13" t="n">
        <x:v>0</x:v>
      </x:c>
      <x:c r="U77" s="11" t="str">
        <x:f>IF(R77&lt;&gt;"PASS","FAIL",IF(S77="","OPEN",IF(AND(S77=N77,T77&gt;='Controls'!$D$33),"PASS","FAIL")))</x:f>
        <x:v>OPEN</x:v>
      </x:c>
      <x:c r="V77" s="11" t="str">
        <x:v>RETURN TO CONTROLLED CUSTODY</x:v>
      </x:c>
    </x:row>
    <x:row r="78">
      <x:c r="B78" s="11" t="str">
        <x:v>P0-LN-08-02</x:v>
      </x:c>
      <x:c r="C78" s="11" t="str">
        <x:v>LN-08</x:v>
      </x:c>
      <x:c r="D78" s="11" t="str">
        <x:v>PTC-C</x:v>
      </x:c>
      <x:c r="E78" s="11" t="str">
        <x:v>SA4</x:v>
      </x:c>
      <x:c r="F78" s="11" t="n">
        <x:v>2</x:v>
      </x:c>
      <x:c r="G78" s="11" t="str">
        <x:v>ET-SA4-02</x:v>
      </x:c>
      <x:c r="H78" s="11" t="str">
        <x:v>A</x:v>
      </x:c>
      <x:c r="I78" s="11" t="str">
        <x:v>RA-SA4-08-A1</x:v>
      </x:c>
      <x:c r="J78" s="11" t="n">
        <x:v>1</x:v>
      </x:c>
      <x:c r="K78" s="11" t="str">
        <x:v>T1</x:v>
      </x:c>
      <x:c r="L78" s="11" t="str">
        <x:v>none</x:v>
      </x:c>
      <x:c r="M78" s="11" t="n">
        <x:v>3</x:v>
      </x:c>
      <x:c r="N78" s="11" t="str">
        <x:v>ACCEPT</x:v>
      </x:c>
      <x:c r="O78" s="11" t="n">
        <x:v>1</x:v>
      </x:c>
      <x:c r="P78" s="11" t="n">
        <x:v>1</x:v>
      </x:c>
      <x:c r="Q78" s="11" t="n">
        <x:v>1</x:v>
      </x:c>
      <x:c r="R78" s="11" t="str">
        <x:f>IF(AND(N78&lt;&gt;"",O78=1,P78=1,Q78=1),"PASS","FAIL")</x:f>
        <x:v>PASS</x:v>
      </x:c>
      <x:c r="S78" s="13" t="str"/>
      <x:c r="T78" s="13" t="n">
        <x:v>0</x:v>
      </x:c>
      <x:c r="U78" s="11" t="str">
        <x:f>IF(R78&lt;&gt;"PASS","FAIL",IF(S78="","OPEN",IF(AND(S78=N78,T78&gt;='Controls'!$D$33),"PASS","FAIL")))</x:f>
        <x:v>OPEN</x:v>
      </x:c>
      <x:c r="V78" s="11" t="str">
        <x:v>RETURN TO CONTROLLED CUSTODY</x:v>
      </x:c>
    </x:row>
    <x:row r="79">
      <x:c r="B79" s="11" t="str">
        <x:v>P0-LN-08-03</x:v>
      </x:c>
      <x:c r="C79" s="11" t="str">
        <x:v>LN-08</x:v>
      </x:c>
      <x:c r="D79" s="11" t="str">
        <x:v>PTC-C</x:v>
      </x:c>
      <x:c r="E79" s="11" t="str">
        <x:v>SA4</x:v>
      </x:c>
      <x:c r="F79" s="11" t="n">
        <x:v>3</x:v>
      </x:c>
      <x:c r="G79" s="11" t="str">
        <x:v>ET-SA4-03</x:v>
      </x:c>
      <x:c r="H79" s="11" t="str">
        <x:v>B</x:v>
      </x:c>
      <x:c r="I79" s="11" t="str">
        <x:v>RA-SA4-08-B2</x:v>
      </x:c>
      <x:c r="J79" s="11" t="n">
        <x:v>2</x:v>
      </x:c>
      <x:c r="K79" s="11" t="str">
        <x:v>T2</x:v>
      </x:c>
      <x:c r="L79" s="11" t="str">
        <x:v>none</x:v>
      </x:c>
      <x:c r="M79" s="11" t="n">
        <x:v>3</x:v>
      </x:c>
      <x:c r="N79" s="11" t="str">
        <x:v>REJECT</x:v>
      </x:c>
      <x:c r="O79" s="11" t="n">
        <x:v>1</x:v>
      </x:c>
      <x:c r="P79" s="11" t="n">
        <x:v>1</x:v>
      </x:c>
      <x:c r="Q79" s="11" t="n">
        <x:v>1</x:v>
      </x:c>
      <x:c r="R79" s="11" t="str">
        <x:f>IF(AND(N79&lt;&gt;"",O79=1,P79=1,Q79=1),"PASS","FAIL")</x:f>
        <x:v>PASS</x:v>
      </x:c>
      <x:c r="S79" s="13" t="str"/>
      <x:c r="T79" s="13" t="n">
        <x:v>0</x:v>
      </x:c>
      <x:c r="U79" s="11" t="str">
        <x:f>IF(R79&lt;&gt;"PASS","FAIL",IF(S79="","OPEN",IF(AND(S79=N79,T79&gt;='Controls'!$D$33),"PASS","FAIL")))</x:f>
        <x:v>OPEN</x:v>
      </x:c>
      <x:c r="V79" s="11" t="str">
        <x:v>DESTRUCT AFTER TRUTH</x:v>
      </x:c>
    </x:row>
    <x:row r="80">
      <x:c r="B80" s="11" t="str">
        <x:v>P0-LN-08-04</x:v>
      </x:c>
      <x:c r="C80" s="11" t="str">
        <x:v>LN-08</x:v>
      </x:c>
      <x:c r="D80" s="11" t="str">
        <x:v>PTC-C</x:v>
      </x:c>
      <x:c r="E80" s="11" t="str">
        <x:v>SA4</x:v>
      </x:c>
      <x:c r="F80" s="11" t="n">
        <x:v>4</x:v>
      </x:c>
      <x:c r="G80" s="11" t="str">
        <x:v>ET-SA4-04</x:v>
      </x:c>
      <x:c r="H80" s="11" t="str">
        <x:v>A</x:v>
      </x:c>
      <x:c r="I80" s="11" t="str">
        <x:v>RA-SA4-08-A2</x:v>
      </x:c>
      <x:c r="J80" s="11" t="n">
        <x:v>2</x:v>
      </x:c>
      <x:c r="K80" s="11" t="str">
        <x:v>T3</x:v>
      </x:c>
      <x:c r="L80" s="11" t="str">
        <x:v>none</x:v>
      </x:c>
      <x:c r="M80" s="11" t="n">
        <x:v>4</x:v>
      </x:c>
      <x:c r="N80" s="11" t="str">
        <x:v>INDETERMINATE</x:v>
      </x:c>
      <x:c r="O80" s="11" t="n">
        <x:v>1</x:v>
      </x:c>
      <x:c r="P80" s="11" t="n">
        <x:v>1</x:v>
      </x:c>
      <x:c r="Q80" s="11" t="n">
        <x:v>1</x:v>
      </x:c>
      <x:c r="R80" s="11" t="str">
        <x:f>IF(AND(N80&lt;&gt;"",O80=1,P80=1,Q80=1),"PASS","FAIL")</x:f>
        <x:v>PASS</x:v>
      </x:c>
      <x:c r="S80" s="13" t="str"/>
      <x:c r="T80" s="13" t="n">
        <x:v>0</x:v>
      </x:c>
      <x:c r="U80" s="11" t="str">
        <x:f>IF(R80&lt;&gt;"PASS","FAIL",IF(S80="","OPEN",IF(AND(S80=N80,T80&gt;='Controls'!$D$33),"PASS","FAIL")))</x:f>
        <x:v>OPEN</x:v>
      </x:c>
      <x:c r="V80" s="11" t="str">
        <x:v>DESTRUCT AFTER TRUTH</x:v>
      </x:c>
    </x:row>
    <x:row r="81">
      <x:c r="B81" s="11" t="str">
        <x:v>P0-LN-08-05</x:v>
      </x:c>
      <x:c r="C81" s="11" t="str">
        <x:v>LN-08</x:v>
      </x:c>
      <x:c r="D81" s="11" t="str">
        <x:v>PTC-C</x:v>
      </x:c>
      <x:c r="E81" s="11" t="str">
        <x:v>SA4</x:v>
      </x:c>
      <x:c r="F81" s="11" t="n">
        <x:v>5</x:v>
      </x:c>
      <x:c r="G81" s="11" t="str">
        <x:v>ET-SA4-05</x:v>
      </x:c>
      <x:c r="H81" s="11" t="str">
        <x:v>B</x:v>
      </x:c>
      <x:c r="I81" s="11" t="str">
        <x:v>RA-SA4-08-B1</x:v>
      </x:c>
      <x:c r="J81" s="11" t="n">
        <x:v>1</x:v>
      </x:c>
      <x:c r="K81" s="11" t="str">
        <x:v>T1</x:v>
      </x:c>
      <x:c r="L81" s="11" t="str">
        <x:v>FI-SA4-B-D</x:v>
      </x:c>
      <x:c r="M81" s="11" t="n">
        <x:v>2</x:v>
      </x:c>
      <x:c r="N81" s="11" t="str">
        <x:v>INVALID</x:v>
      </x:c>
      <x:c r="O81" s="11" t="n">
        <x:v>1</x:v>
      </x:c>
      <x:c r="P81" s="11" t="n">
        <x:v>1</x:v>
      </x:c>
      <x:c r="Q81" s="11" t="n">
        <x:v>1</x:v>
      </x:c>
      <x:c r="R81" s="11" t="str">
        <x:f>IF(AND(N81&lt;&gt;"",O81=1,P81=1,Q81=1),"PASS","FAIL")</x:f>
        <x:v>PASS</x:v>
      </x:c>
      <x:c r="S81" s="13" t="str"/>
      <x:c r="T81" s="13" t="n">
        <x:v>0</x:v>
      </x:c>
      <x:c r="U81" s="11" t="str">
        <x:f>IF(R81&lt;&gt;"PASS","FAIL",IF(S81="","OPEN",IF(AND(S81=N81,T81&gt;='Controls'!$D$33),"PASS","FAIL")))</x:f>
        <x:v>OPEN</x:v>
      </x:c>
      <x:c r="V81" s="11" t="str">
        <x:v>RETURN TO CONTROLLED CUSTODY</x:v>
      </x:c>
    </x:row>
    <x:row r="82">
      <x:c r="B82" s="11" t="str">
        <x:v>P0-LN-08-06</x:v>
      </x:c>
      <x:c r="C82" s="11" t="str">
        <x:v>LN-08</x:v>
      </x:c>
      <x:c r="D82" s="11" t="str">
        <x:v>PTC-C</x:v>
      </x:c>
      <x:c r="E82" s="11" t="str">
        <x:v>SA4</x:v>
      </x:c>
      <x:c r="F82" s="11" t="n">
        <x:v>6</x:v>
      </x:c>
      <x:c r="G82" s="11" t="str">
        <x:v>ET-SA4-06</x:v>
      </x:c>
      <x:c r="H82" s="11" t="str">
        <x:v>A</x:v>
      </x:c>
      <x:c r="I82" s="11" t="str">
        <x:v>RA-SA4-08-A2</x:v>
      </x:c>
      <x:c r="J82" s="11" t="n">
        <x:v>2</x:v>
      </x:c>
      <x:c r="K82" s="11" t="str">
        <x:v>T1</x:v>
      </x:c>
      <x:c r="L82" s="11" t="str">
        <x:v>FI-SA4-A-D</x:v>
      </x:c>
      <x:c r="M82" s="11" t="n">
        <x:v>2</x:v>
      </x:c>
      <x:c r="N82" s="11" t="str">
        <x:v>INVALID</x:v>
      </x:c>
      <x:c r="O82" s="11" t="n">
        <x:v>1</x:v>
      </x:c>
      <x:c r="P82" s="11" t="n">
        <x:v>1</x:v>
      </x:c>
      <x:c r="Q82" s="11" t="n">
        <x:v>1</x:v>
      </x:c>
      <x:c r="R82" s="11" t="str">
        <x:f>IF(AND(N82&lt;&gt;"",O82=1,P82=1,Q82=1),"PASS","FAIL")</x:f>
        <x:v>PASS</x:v>
      </x:c>
      <x:c r="S82" s="13" t="str"/>
      <x:c r="T82" s="13" t="n">
        <x:v>0</x:v>
      </x:c>
      <x:c r="U82" s="11" t="str">
        <x:f>IF(R82&lt;&gt;"PASS","FAIL",IF(S82="","OPEN",IF(AND(S82=N82,T82&gt;='Controls'!$D$33),"PASS","FAIL")))</x:f>
        <x:v>OPEN</x:v>
      </x:c>
      <x:c r="V82" s="11" t="str">
        <x:v>DESTRUCT AFTER TRUTH</x:v>
      </x:c>
    </x:row>
    <x:row r="83">
      <x:c r="B83" s="11" t="str">
        <x:v>P0-LN-08-07</x:v>
      </x:c>
      <x:c r="C83" s="11" t="str">
        <x:v>LN-08</x:v>
      </x:c>
      <x:c r="D83" s="11" t="str">
        <x:v>PTC-C</x:v>
      </x:c>
      <x:c r="E83" s="11" t="str">
        <x:v>SA4</x:v>
      </x:c>
      <x:c r="F83" s="11" t="n">
        <x:v>7</x:v>
      </x:c>
      <x:c r="G83" s="11" t="str">
        <x:v>ET-SA4-07</x:v>
      </x:c>
      <x:c r="H83" s="11" t="str">
        <x:v>B</x:v>
      </x:c>
      <x:c r="I83" s="11" t="str">
        <x:v>RA-SA4-08-B3</x:v>
      </x:c>
      <x:c r="J83" s="11" t="n">
        <x:v>3</x:v>
      </x:c>
      <x:c r="K83" s="11" t="str">
        <x:v>T1</x:v>
      </x:c>
      <x:c r="L83" s="11" t="str">
        <x:v>FI-SA4-B-S</x:v>
      </x:c>
      <x:c r="M83" s="11" t="n">
        <x:v>2</x:v>
      </x:c>
      <x:c r="N83" s="11" t="str">
        <x:v>SAFE STATE</x:v>
      </x:c>
      <x:c r="O83" s="11" t="n">
        <x:v>1</x:v>
      </x:c>
      <x:c r="P83" s="11" t="n">
        <x:v>1</x:v>
      </x:c>
      <x:c r="Q83" s="11" t="n">
        <x:v>1</x:v>
      </x:c>
      <x:c r="R83" s="11" t="str">
        <x:f>IF(AND(N83&lt;&gt;"",O83=1,P83=1,Q83=1),"PASS","FAIL")</x:f>
        <x:v>PASS</x:v>
      </x:c>
      <x:c r="S83" s="13" t="str"/>
      <x:c r="T83" s="13" t="n">
        <x:v>0</x:v>
      </x:c>
      <x:c r="U83" s="11" t="str">
        <x:f>IF(R83&lt;&gt;"PASS","FAIL",IF(S83="","OPEN",IF(AND(S83=N83,T83&gt;='Controls'!$D$33),"PASS","FAIL")))</x:f>
        <x:v>OPEN</x:v>
      </x:c>
      <x:c r="V83" s="11" t="str">
        <x:v>RETURN TO CONTROLLED CUSTODY</x:v>
      </x:c>
    </x:row>
    <x:row r="84">
      <x:c r="B84" s="11" t="str">
        <x:v>P0-LN-08-08</x:v>
      </x:c>
      <x:c r="C84" s="11" t="str">
        <x:v>LN-08</x:v>
      </x:c>
      <x:c r="D84" s="11" t="str">
        <x:v>PTC-C</x:v>
      </x:c>
      <x:c r="E84" s="11" t="str">
        <x:v>SA4</x:v>
      </x:c>
      <x:c r="F84" s="11" t="n">
        <x:v>8</x:v>
      </x:c>
      <x:c r="G84" s="11" t="str">
        <x:v>ET-SA4-08</x:v>
      </x:c>
      <x:c r="H84" s="11" t="str">
        <x:v>A</x:v>
      </x:c>
      <x:c r="I84" s="11" t="str">
        <x:v>RA-SA4-08-A3</x:v>
      </x:c>
      <x:c r="J84" s="11" t="n">
        <x:v>3</x:v>
      </x:c>
      <x:c r="K84" s="11" t="str">
        <x:v>T1</x:v>
      </x:c>
      <x:c r="L84" s="11" t="str">
        <x:v>FI-SA4-A-S</x:v>
      </x:c>
      <x:c r="M84" s="11" t="n">
        <x:v>2</x:v>
      </x:c>
      <x:c r="N84" s="11" t="str">
        <x:v>SAFE STATE</x:v>
      </x:c>
      <x:c r="O84" s="11" t="n">
        <x:v>1</x:v>
      </x:c>
      <x:c r="P84" s="11" t="n">
        <x:v>1</x:v>
      </x:c>
      <x:c r="Q84" s="11" t="n">
        <x:v>1</x:v>
      </x:c>
      <x:c r="R84" s="11" t="str">
        <x:f>IF(AND(N84&lt;&gt;"",O84=1,P84=1,Q84=1),"PASS","FAIL")</x:f>
        <x:v>PASS</x:v>
      </x:c>
      <x:c r="S84" s="13" t="str"/>
      <x:c r="T84" s="13" t="n">
        <x:v>0</x:v>
      </x:c>
      <x:c r="U84" s="11" t="str">
        <x:f>IF(R84&lt;&gt;"PASS","FAIL",IF(S84="","OPEN",IF(AND(S84=N84,T84&gt;='Controls'!$D$33),"PASS","FAIL")))</x:f>
        <x:v>OPEN</x:v>
      </x:c>
      <x:c r="V84" s="11" t="str">
        <x:v>RETURN TO CONTROLLED CUSTODY</x:v>
      </x:c>
    </x:row>
    <x:row r="85">
      <x:c r="B85" s="11" t="str">
        <x:v>P0-LN-08-09</x:v>
      </x:c>
      <x:c r="C85" s="11" t="str">
        <x:v>LN-08</x:v>
      </x:c>
      <x:c r="D85" s="11" t="str">
        <x:v>PTC-C</x:v>
      </x:c>
      <x:c r="E85" s="11" t="str">
        <x:v>SA4</x:v>
      </x:c>
      <x:c r="F85" s="11" t="n">
        <x:v>9</x:v>
      </x:c>
      <x:c r="G85" s="11" t="str">
        <x:v>ET-SA4-09</x:v>
      </x:c>
      <x:c r="H85" s="11" t="str">
        <x:v>B</x:v>
      </x:c>
      <x:c r="I85" s="11" t="str">
        <x:v>RA-SA4-08-B1</x:v>
      </x:c>
      <x:c r="J85" s="11" t="n">
        <x:v>1</x:v>
      </x:c>
      <x:c r="K85" s="11" t="str">
        <x:v>T1</x:v>
      </x:c>
      <x:c r="L85" s="11" t="str">
        <x:v>FI-SA4-B-D</x:v>
      </x:c>
      <x:c r="M85" s="11" t="n">
        <x:v>3</x:v>
      </x:c>
      <x:c r="N85" s="11" t="str">
        <x:v>SAFE STATE AND REPLAY</x:v>
      </x:c>
      <x:c r="O85" s="11" t="n">
        <x:v>1</x:v>
      </x:c>
      <x:c r="P85" s="11" t="n">
        <x:v>1</x:v>
      </x:c>
      <x:c r="Q85" s="11" t="n">
        <x:v>1</x:v>
      </x:c>
      <x:c r="R85" s="11" t="str">
        <x:f>IF(AND(N85&lt;&gt;"",O85=1,P85=1,Q85=1),"PASS","FAIL")</x:f>
        <x:v>PASS</x:v>
      </x:c>
      <x:c r="S85" s="13" t="str"/>
      <x:c r="T85" s="13" t="n">
        <x:v>0</x:v>
      </x:c>
      <x:c r="U85" s="11" t="str">
        <x:f>IF(R85&lt;&gt;"PASS","FAIL",IF(S85="","OPEN",IF(AND(S85=N85,T85&gt;='Controls'!$D$33),"PASS","FAIL")))</x:f>
        <x:v>OPEN</x:v>
      </x:c>
      <x:c r="V85" s="11" t="str">
        <x:v>RETURN TO CONTROLLED CUSTODY</x:v>
      </x:c>
    </x:row>
    <x:row r="86">
      <x:c r="B86" s="11" t="str">
        <x:v>P0-LN-08-10</x:v>
      </x:c>
      <x:c r="C86" s="11" t="str">
        <x:v>LN-08</x:v>
      </x:c>
      <x:c r="D86" s="11" t="str">
        <x:v>PTC-C</x:v>
      </x:c>
      <x:c r="E86" s="11" t="str">
        <x:v>SA4</x:v>
      </x:c>
      <x:c r="F86" s="11" t="n">
        <x:v>10</x:v>
      </x:c>
      <x:c r="G86" s="11" t="str">
        <x:v>ET-SA4-10</x:v>
      </x:c>
      <x:c r="H86" s="11" t="str">
        <x:v>A</x:v>
      </x:c>
      <x:c r="I86" s="11" t="str">
        <x:v>RA-SA4-08-A3</x:v>
      </x:c>
      <x:c r="J86" s="11" t="n">
        <x:v>3</x:v>
      </x:c>
      <x:c r="K86" s="11" t="str">
        <x:v>T1</x:v>
      </x:c>
      <x:c r="L86" s="11" t="str">
        <x:v>FI-SA4-A-S</x:v>
      </x:c>
      <x:c r="M86" s="11" t="n">
        <x:v>6</x:v>
      </x:c>
      <x:c r="N86" s="11" t="str">
        <x:v>QUARANTINE</x:v>
      </x:c>
      <x:c r="O86" s="11" t="n">
        <x:v>1</x:v>
      </x:c>
      <x:c r="P86" s="11" t="n">
        <x:v>1</x:v>
      </x:c>
      <x:c r="Q86" s="11" t="n">
        <x:v>1</x:v>
      </x:c>
      <x:c r="R86" s="11" t="str">
        <x:f>IF(AND(N86&lt;&gt;"",O86=1,P86=1,Q86=1),"PASS","FAIL")</x:f>
        <x:v>PASS</x:v>
      </x:c>
      <x:c r="S86" s="13" t="str"/>
      <x:c r="T86" s="13" t="n">
        <x:v>0</x:v>
      </x:c>
      <x:c r="U86" s="11" t="str">
        <x:f>IF(R86&lt;&gt;"PASS","FAIL",IF(S86="","OPEN",IF(AND(S86=N86,T86&gt;='Controls'!$D$33),"PASS","FAIL")))</x:f>
        <x:v>OPEN</x:v>
      </x:c>
      <x:c r="V86" s="11" t="str">
        <x:v>QUARANTINE</x:v>
      </x:c>
    </x:row>
    <x:row r="87">
      <x:c r="B87" s="11" t="str">
        <x:v>P0-LN-09-01</x:v>
      </x:c>
      <x:c r="C87" s="11" t="str">
        <x:v>LN-09</x:v>
      </x:c>
      <x:c r="D87" s="11" t="str">
        <x:v>PTC-A</x:v>
      </x:c>
      <x:c r="E87" s="11" t="str">
        <x:v>SA5</x:v>
      </x:c>
      <x:c r="F87" s="11" t="n">
        <x:v>1</x:v>
      </x:c>
      <x:c r="G87" s="11" t="str">
        <x:v>ET-SA5-01</x:v>
      </x:c>
      <x:c r="H87" s="11" t="str">
        <x:v>A</x:v>
      </x:c>
      <x:c r="I87" s="11" t="str">
        <x:v>RA-SA5-09-A1</x:v>
      </x:c>
      <x:c r="J87" s="11" t="n">
        <x:v>1</x:v>
      </x:c>
      <x:c r="K87" s="11" t="str">
        <x:v>T0</x:v>
      </x:c>
      <x:c r="L87" s="11" t="str">
        <x:v>none</x:v>
      </x:c>
      <x:c r="M87" s="11" t="n">
        <x:v>6</x:v>
      </x:c>
      <x:c r="N87" s="11" t="str">
        <x:v>ACCEPT</x:v>
      </x:c>
      <x:c r="O87" s="11" t="n">
        <x:v>1</x:v>
      </x:c>
      <x:c r="P87" s="11" t="n">
        <x:v>1</x:v>
      </x:c>
      <x:c r="Q87" s="11" t="n">
        <x:v>1</x:v>
      </x:c>
      <x:c r="R87" s="11" t="str">
        <x:f>IF(AND(N87&lt;&gt;"",O87=1,P87=1,Q87=1),"PASS","FAIL")</x:f>
        <x:v>PASS</x:v>
      </x:c>
      <x:c r="S87" s="13" t="str"/>
      <x:c r="T87" s="13" t="n">
        <x:v>0</x:v>
      </x:c>
      <x:c r="U87" s="11" t="str">
        <x:f>IF(R87&lt;&gt;"PASS","FAIL",IF(S87="","OPEN",IF(AND(S87=N87,T87&gt;='Controls'!$D$33),"PASS","FAIL")))</x:f>
        <x:v>OPEN</x:v>
      </x:c>
      <x:c r="V87" s="11" t="str">
        <x:v>RETURN TO CONTROLLED CUSTODY</x:v>
      </x:c>
    </x:row>
    <x:row r="88">
      <x:c r="B88" s="11" t="str">
        <x:v>P0-LN-09-02</x:v>
      </x:c>
      <x:c r="C88" s="11" t="str">
        <x:v>LN-09</x:v>
      </x:c>
      <x:c r="D88" s="11" t="str">
        <x:v>PTC-A</x:v>
      </x:c>
      <x:c r="E88" s="11" t="str">
        <x:v>SA5</x:v>
      </x:c>
      <x:c r="F88" s="11" t="n">
        <x:v>2</x:v>
      </x:c>
      <x:c r="G88" s="11" t="str">
        <x:v>ET-SA5-02</x:v>
      </x:c>
      <x:c r="H88" s="11" t="str">
        <x:v>B</x:v>
      </x:c>
      <x:c r="I88" s="11" t="str">
        <x:v>RA-SA5-09-B1</x:v>
      </x:c>
      <x:c r="J88" s="11" t="n">
        <x:v>1</x:v>
      </x:c>
      <x:c r="K88" s="11" t="str">
        <x:v>T1</x:v>
      </x:c>
      <x:c r="L88" s="11" t="str">
        <x:v>none</x:v>
      </x:c>
      <x:c r="M88" s="11" t="n">
        <x:v>6</x:v>
      </x:c>
      <x:c r="N88" s="11" t="str">
        <x:v>ACCEPT</x:v>
      </x:c>
      <x:c r="O88" s="11" t="n">
        <x:v>1</x:v>
      </x:c>
      <x:c r="P88" s="11" t="n">
        <x:v>1</x:v>
      </x:c>
      <x:c r="Q88" s="11" t="n">
        <x:v>1</x:v>
      </x:c>
      <x:c r="R88" s="11" t="str">
        <x:f>IF(AND(N88&lt;&gt;"",O88=1,P88=1,Q88=1),"PASS","FAIL")</x:f>
        <x:v>PASS</x:v>
      </x:c>
      <x:c r="S88" s="13" t="str"/>
      <x:c r="T88" s="13" t="n">
        <x:v>0</x:v>
      </x:c>
      <x:c r="U88" s="11" t="str">
        <x:f>IF(R88&lt;&gt;"PASS","FAIL",IF(S88="","OPEN",IF(AND(S88=N88,T88&gt;='Controls'!$D$33),"PASS","FAIL")))</x:f>
        <x:v>OPEN</x:v>
      </x:c>
      <x:c r="V88" s="11" t="str">
        <x:v>RETURN TO CONTROLLED CUSTODY</x:v>
      </x:c>
    </x:row>
    <x:row r="89">
      <x:c r="B89" s="11" t="str">
        <x:v>P0-LN-09-03</x:v>
      </x:c>
      <x:c r="C89" s="11" t="str">
        <x:v>LN-09</x:v>
      </x:c>
      <x:c r="D89" s="11" t="str">
        <x:v>PTC-A</x:v>
      </x:c>
      <x:c r="E89" s="11" t="str">
        <x:v>SA5</x:v>
      </x:c>
      <x:c r="F89" s="11" t="n">
        <x:v>3</x:v>
      </x:c>
      <x:c r="G89" s="11" t="str">
        <x:v>ET-SA5-03</x:v>
      </x:c>
      <x:c r="H89" s="11" t="str">
        <x:v>A</x:v>
      </x:c>
      <x:c r="I89" s="11" t="str">
        <x:v>RA-SA5-09-A2</x:v>
      </x:c>
      <x:c r="J89" s="11" t="n">
        <x:v>2</x:v>
      </x:c>
      <x:c r="K89" s="11" t="str">
        <x:v>T2</x:v>
      </x:c>
      <x:c r="L89" s="11" t="str">
        <x:v>none</x:v>
      </x:c>
      <x:c r="M89" s="11" t="n">
        <x:v>6</x:v>
      </x:c>
      <x:c r="N89" s="11" t="str">
        <x:v>REJECT</x:v>
      </x:c>
      <x:c r="O89" s="11" t="n">
        <x:v>1</x:v>
      </x:c>
      <x:c r="P89" s="11" t="n">
        <x:v>1</x:v>
      </x:c>
      <x:c r="Q89" s="11" t="n">
        <x:v>1</x:v>
      </x:c>
      <x:c r="R89" s="11" t="str">
        <x:f>IF(AND(N89&lt;&gt;"",O89=1,P89=1,Q89=1),"PASS","FAIL")</x:f>
        <x:v>PASS</x:v>
      </x:c>
      <x:c r="S89" s="13" t="str"/>
      <x:c r="T89" s="13" t="n">
        <x:v>0</x:v>
      </x:c>
      <x:c r="U89" s="11" t="str">
        <x:f>IF(R89&lt;&gt;"PASS","FAIL",IF(S89="","OPEN",IF(AND(S89=N89,T89&gt;='Controls'!$D$33),"PASS","FAIL")))</x:f>
        <x:v>OPEN</x:v>
      </x:c>
      <x:c r="V89" s="11" t="str">
        <x:v>DESTRUCT AFTER TRUTH</x:v>
      </x:c>
    </x:row>
    <x:row r="90">
      <x:c r="B90" s="11" t="str">
        <x:v>P0-LN-09-04</x:v>
      </x:c>
      <x:c r="C90" s="11" t="str">
        <x:v>LN-09</x:v>
      </x:c>
      <x:c r="D90" s="11" t="str">
        <x:v>PTC-A</x:v>
      </x:c>
      <x:c r="E90" s="11" t="str">
        <x:v>SA5</x:v>
      </x:c>
      <x:c r="F90" s="11" t="n">
        <x:v>4</x:v>
      </x:c>
      <x:c r="G90" s="11" t="str">
        <x:v>ET-SA5-04</x:v>
      </x:c>
      <x:c r="H90" s="11" t="str">
        <x:v>B</x:v>
      </x:c>
      <x:c r="I90" s="11" t="str">
        <x:v>RA-SA5-09-B2</x:v>
      </x:c>
      <x:c r="J90" s="11" t="n">
        <x:v>2</x:v>
      </x:c>
      <x:c r="K90" s="11" t="str">
        <x:v>T3</x:v>
      </x:c>
      <x:c r="L90" s="11" t="str">
        <x:v>none</x:v>
      </x:c>
      <x:c r="M90" s="11" t="n">
        <x:v>7</x:v>
      </x:c>
      <x:c r="N90" s="11" t="str">
        <x:v>INDETERMINATE</x:v>
      </x:c>
      <x:c r="O90" s="11" t="n">
        <x:v>1</x:v>
      </x:c>
      <x:c r="P90" s="11" t="n">
        <x:v>1</x:v>
      </x:c>
      <x:c r="Q90" s="11" t="n">
        <x:v>1</x:v>
      </x:c>
      <x:c r="R90" s="11" t="str">
        <x:f>IF(AND(N90&lt;&gt;"",O90=1,P90=1,Q90=1),"PASS","FAIL")</x:f>
        <x:v>PASS</x:v>
      </x:c>
      <x:c r="S90" s="13" t="str"/>
      <x:c r="T90" s="13" t="n">
        <x:v>0</x:v>
      </x:c>
      <x:c r="U90" s="11" t="str">
        <x:f>IF(R90&lt;&gt;"PASS","FAIL",IF(S90="","OPEN",IF(AND(S90=N90,T90&gt;='Controls'!$D$33),"PASS","FAIL")))</x:f>
        <x:v>OPEN</x:v>
      </x:c>
      <x:c r="V90" s="11" t="str">
        <x:v>DESTRUCT AFTER TRUTH</x:v>
      </x:c>
    </x:row>
    <x:row r="91">
      <x:c r="B91" s="11" t="str">
        <x:v>P0-LN-09-05</x:v>
      </x:c>
      <x:c r="C91" s="11" t="str">
        <x:v>LN-09</x:v>
      </x:c>
      <x:c r="D91" s="11" t="str">
        <x:v>PTC-A</x:v>
      </x:c>
      <x:c r="E91" s="11" t="str">
        <x:v>SA5</x:v>
      </x:c>
      <x:c r="F91" s="11" t="n">
        <x:v>5</x:v>
      </x:c>
      <x:c r="G91" s="11" t="str">
        <x:v>ET-SA5-05</x:v>
      </x:c>
      <x:c r="H91" s="11" t="str">
        <x:v>A</x:v>
      </x:c>
      <x:c r="I91" s="11" t="str">
        <x:v>RA-SA5-09-A1</x:v>
      </x:c>
      <x:c r="J91" s="11" t="n">
        <x:v>1</x:v>
      </x:c>
      <x:c r="K91" s="11" t="str">
        <x:v>T1</x:v>
      </x:c>
      <x:c r="L91" s="11" t="str">
        <x:v>FI-SA5-A-D</x:v>
      </x:c>
      <x:c r="M91" s="11" t="n">
        <x:v>4</x:v>
      </x:c>
      <x:c r="N91" s="11" t="str">
        <x:v>INVALID</x:v>
      </x:c>
      <x:c r="O91" s="11" t="n">
        <x:v>1</x:v>
      </x:c>
      <x:c r="P91" s="11" t="n">
        <x:v>1</x:v>
      </x:c>
      <x:c r="Q91" s="11" t="n">
        <x:v>1</x:v>
      </x:c>
      <x:c r="R91" s="11" t="str">
        <x:f>IF(AND(N91&lt;&gt;"",O91=1,P91=1,Q91=1),"PASS","FAIL")</x:f>
        <x:v>PASS</x:v>
      </x:c>
      <x:c r="S91" s="13" t="str"/>
      <x:c r="T91" s="13" t="n">
        <x:v>0</x:v>
      </x:c>
      <x:c r="U91" s="11" t="str">
        <x:f>IF(R91&lt;&gt;"PASS","FAIL",IF(S91="","OPEN",IF(AND(S91=N91,T91&gt;='Controls'!$D$33),"PASS","FAIL")))</x:f>
        <x:v>OPEN</x:v>
      </x:c>
      <x:c r="V91" s="11" t="str">
        <x:v>RETURN TO CONTROLLED CUSTODY</x:v>
      </x:c>
    </x:row>
    <x:row r="92">
      <x:c r="B92" s="11" t="str">
        <x:v>P0-LN-09-06</x:v>
      </x:c>
      <x:c r="C92" s="11" t="str">
        <x:v>LN-09</x:v>
      </x:c>
      <x:c r="D92" s="11" t="str">
        <x:v>PTC-A</x:v>
      </x:c>
      <x:c r="E92" s="11" t="str">
        <x:v>SA5</x:v>
      </x:c>
      <x:c r="F92" s="11" t="n">
        <x:v>6</x:v>
      </x:c>
      <x:c r="G92" s="11" t="str">
        <x:v>ET-SA5-06</x:v>
      </x:c>
      <x:c r="H92" s="11" t="str">
        <x:v>B</x:v>
      </x:c>
      <x:c r="I92" s="11" t="str">
        <x:v>RA-SA5-09-B2</x:v>
      </x:c>
      <x:c r="J92" s="11" t="n">
        <x:v>2</x:v>
      </x:c>
      <x:c r="K92" s="11" t="str">
        <x:v>T1</x:v>
      </x:c>
      <x:c r="L92" s="11" t="str">
        <x:v>FI-SA5-B-D</x:v>
      </x:c>
      <x:c r="M92" s="11" t="n">
        <x:v>4</x:v>
      </x:c>
      <x:c r="N92" s="11" t="str">
        <x:v>INVALID</x:v>
      </x:c>
      <x:c r="O92" s="11" t="n">
        <x:v>1</x:v>
      </x:c>
      <x:c r="P92" s="11" t="n">
        <x:v>1</x:v>
      </x:c>
      <x:c r="Q92" s="11" t="n">
        <x:v>1</x:v>
      </x:c>
      <x:c r="R92" s="11" t="str">
        <x:f>IF(AND(N92&lt;&gt;"",O92=1,P92=1,Q92=1),"PASS","FAIL")</x:f>
        <x:v>PASS</x:v>
      </x:c>
      <x:c r="S92" s="13" t="str"/>
      <x:c r="T92" s="13" t="n">
        <x:v>0</x:v>
      </x:c>
      <x:c r="U92" s="11" t="str">
        <x:f>IF(R92&lt;&gt;"PASS","FAIL",IF(S92="","OPEN",IF(AND(S92=N92,T92&gt;='Controls'!$D$33),"PASS","FAIL")))</x:f>
        <x:v>OPEN</x:v>
      </x:c>
      <x:c r="V92" s="11" t="str">
        <x:v>DESTRUCT AFTER TRUTH</x:v>
      </x:c>
    </x:row>
    <x:row r="93">
      <x:c r="B93" s="11" t="str">
        <x:v>P0-LN-09-07</x:v>
      </x:c>
      <x:c r="C93" s="11" t="str">
        <x:v>LN-09</x:v>
      </x:c>
      <x:c r="D93" s="11" t="str">
        <x:v>PTC-A</x:v>
      </x:c>
      <x:c r="E93" s="11" t="str">
        <x:v>SA5</x:v>
      </x:c>
      <x:c r="F93" s="11" t="n">
        <x:v>7</x:v>
      </x:c>
      <x:c r="G93" s="11" t="str">
        <x:v>ET-SA5-07</x:v>
      </x:c>
      <x:c r="H93" s="11" t="str">
        <x:v>A</x:v>
      </x:c>
      <x:c r="I93" s="11" t="str">
        <x:v>RA-SA5-09-A3</x:v>
      </x:c>
      <x:c r="J93" s="11" t="n">
        <x:v>3</x:v>
      </x:c>
      <x:c r="K93" s="11" t="str">
        <x:v>T1</x:v>
      </x:c>
      <x:c r="L93" s="11" t="str">
        <x:v>FI-SA5-A-S</x:v>
      </x:c>
      <x:c r="M93" s="11" t="n">
        <x:v>3</x:v>
      </x:c>
      <x:c r="N93" s="11" t="str">
        <x:v>SAFE STATE</x:v>
      </x:c>
      <x:c r="O93" s="11" t="n">
        <x:v>1</x:v>
      </x:c>
      <x:c r="P93" s="11" t="n">
        <x:v>1</x:v>
      </x:c>
      <x:c r="Q93" s="11" t="n">
        <x:v>1</x:v>
      </x:c>
      <x:c r="R93" s="11" t="str">
        <x:f>IF(AND(N93&lt;&gt;"",O93=1,P93=1,Q93=1),"PASS","FAIL")</x:f>
        <x:v>PASS</x:v>
      </x:c>
      <x:c r="S93" s="13" t="str"/>
      <x:c r="T93" s="13" t="n">
        <x:v>0</x:v>
      </x:c>
      <x:c r="U93" s="11" t="str">
        <x:f>IF(R93&lt;&gt;"PASS","FAIL",IF(S93="","OPEN",IF(AND(S93=N93,T93&gt;='Controls'!$D$33),"PASS","FAIL")))</x:f>
        <x:v>OPEN</x:v>
      </x:c>
      <x:c r="V93" s="11" t="str">
        <x:v>RETURN TO CONTROLLED CUSTODY</x:v>
      </x:c>
    </x:row>
    <x:row r="94">
      <x:c r="B94" s="11" t="str">
        <x:v>P0-LN-09-08</x:v>
      </x:c>
      <x:c r="C94" s="11" t="str">
        <x:v>LN-09</x:v>
      </x:c>
      <x:c r="D94" s="11" t="str">
        <x:v>PTC-A</x:v>
      </x:c>
      <x:c r="E94" s="11" t="str">
        <x:v>SA5</x:v>
      </x:c>
      <x:c r="F94" s="11" t="n">
        <x:v>8</x:v>
      </x:c>
      <x:c r="G94" s="11" t="str">
        <x:v>ET-SA5-08</x:v>
      </x:c>
      <x:c r="H94" s="11" t="str">
        <x:v>B</x:v>
      </x:c>
      <x:c r="I94" s="11" t="str">
        <x:v>RA-SA5-09-B3</x:v>
      </x:c>
      <x:c r="J94" s="11" t="n">
        <x:v>3</x:v>
      </x:c>
      <x:c r="K94" s="11" t="str">
        <x:v>T1</x:v>
      </x:c>
      <x:c r="L94" s="11" t="str">
        <x:v>FI-SA5-B-S</x:v>
      </x:c>
      <x:c r="M94" s="11" t="n">
        <x:v>3</x:v>
      </x:c>
      <x:c r="N94" s="11" t="str">
        <x:v>SAFE STATE</x:v>
      </x:c>
      <x:c r="O94" s="11" t="n">
        <x:v>1</x:v>
      </x:c>
      <x:c r="P94" s="11" t="n">
        <x:v>1</x:v>
      </x:c>
      <x:c r="Q94" s="11" t="n">
        <x:v>1</x:v>
      </x:c>
      <x:c r="R94" s="11" t="str">
        <x:f>IF(AND(N94&lt;&gt;"",O94=1,P94=1,Q94=1),"PASS","FAIL")</x:f>
        <x:v>PASS</x:v>
      </x:c>
      <x:c r="S94" s="13" t="str"/>
      <x:c r="T94" s="13" t="n">
        <x:v>0</x:v>
      </x:c>
      <x:c r="U94" s="11" t="str">
        <x:f>IF(R94&lt;&gt;"PASS","FAIL",IF(S94="","OPEN",IF(AND(S94=N94,T94&gt;='Controls'!$D$33),"PASS","FAIL")))</x:f>
        <x:v>OPEN</x:v>
      </x:c>
      <x:c r="V94" s="11" t="str">
        <x:v>RETURN TO CONTROLLED CUSTODY</x:v>
      </x:c>
    </x:row>
    <x:row r="95">
      <x:c r="B95" s="11" t="str">
        <x:v>P0-LN-09-09</x:v>
      </x:c>
      <x:c r="C95" s="11" t="str">
        <x:v>LN-09</x:v>
      </x:c>
      <x:c r="D95" s="11" t="str">
        <x:v>PTC-A</x:v>
      </x:c>
      <x:c r="E95" s="11" t="str">
        <x:v>SA5</x:v>
      </x:c>
      <x:c r="F95" s="11" t="n">
        <x:v>9</x:v>
      </x:c>
      <x:c r="G95" s="11" t="str">
        <x:v>ET-SA5-09</x:v>
      </x:c>
      <x:c r="H95" s="11" t="str">
        <x:v>A</x:v>
      </x:c>
      <x:c r="I95" s="11" t="str">
        <x:v>RA-SA5-09-A1</x:v>
      </x:c>
      <x:c r="J95" s="11" t="n">
        <x:v>1</x:v>
      </x:c>
      <x:c r="K95" s="11" t="str">
        <x:v>T1</x:v>
      </x:c>
      <x:c r="L95" s="11" t="str">
        <x:v>FI-SA5-A-D</x:v>
      </x:c>
      <x:c r="M95" s="11" t="n">
        <x:v>6</x:v>
      </x:c>
      <x:c r="N95" s="11" t="str">
        <x:v>SAFE STATE AND REPLAY</x:v>
      </x:c>
      <x:c r="O95" s="11" t="n">
        <x:v>1</x:v>
      </x:c>
      <x:c r="P95" s="11" t="n">
        <x:v>1</x:v>
      </x:c>
      <x:c r="Q95" s="11" t="n">
        <x:v>1</x:v>
      </x:c>
      <x:c r="R95" s="11" t="str">
        <x:f>IF(AND(N95&lt;&gt;"",O95=1,P95=1,Q95=1),"PASS","FAIL")</x:f>
        <x:v>PASS</x:v>
      </x:c>
      <x:c r="S95" s="13" t="str"/>
      <x:c r="T95" s="13" t="n">
        <x:v>0</x:v>
      </x:c>
      <x:c r="U95" s="11" t="str">
        <x:f>IF(R95&lt;&gt;"PASS","FAIL",IF(S95="","OPEN",IF(AND(S95=N95,T95&gt;='Controls'!$D$33),"PASS","FAIL")))</x:f>
        <x:v>OPEN</x:v>
      </x:c>
      <x:c r="V95" s="11" t="str">
        <x:v>RETURN TO CONTROLLED CUSTODY</x:v>
      </x:c>
    </x:row>
    <x:row r="96">
      <x:c r="B96" s="11" t="str">
        <x:v>P0-LN-09-10</x:v>
      </x:c>
      <x:c r="C96" s="11" t="str">
        <x:v>LN-09</x:v>
      </x:c>
      <x:c r="D96" s="11" t="str">
        <x:v>PTC-A</x:v>
      </x:c>
      <x:c r="E96" s="11" t="str">
        <x:v>SA5</x:v>
      </x:c>
      <x:c r="F96" s="11" t="n">
        <x:v>10</x:v>
      </x:c>
      <x:c r="G96" s="11" t="str">
        <x:v>ET-SA5-10</x:v>
      </x:c>
      <x:c r="H96" s="11" t="str">
        <x:v>B</x:v>
      </x:c>
      <x:c r="I96" s="11" t="str">
        <x:v>RA-SA5-09-B3</x:v>
      </x:c>
      <x:c r="J96" s="11" t="n">
        <x:v>3</x:v>
      </x:c>
      <x:c r="K96" s="11" t="str">
        <x:v>T1</x:v>
      </x:c>
      <x:c r="L96" s="11" t="str">
        <x:v>FI-SA5-B-S</x:v>
      </x:c>
      <x:c r="M96" s="11" t="n">
        <x:v>9</x:v>
      </x:c>
      <x:c r="N96" s="11" t="str">
        <x:v>QUARANTINE</x:v>
      </x:c>
      <x:c r="O96" s="11" t="n">
        <x:v>1</x:v>
      </x:c>
      <x:c r="P96" s="11" t="n">
        <x:v>1</x:v>
      </x:c>
      <x:c r="Q96" s="11" t="n">
        <x:v>1</x:v>
      </x:c>
      <x:c r="R96" s="11" t="str">
        <x:f>IF(AND(N96&lt;&gt;"",O96=1,P96=1,Q96=1),"PASS","FAIL")</x:f>
        <x:v>PASS</x:v>
      </x:c>
      <x:c r="S96" s="13" t="str"/>
      <x:c r="T96" s="13" t="n">
        <x:v>0</x:v>
      </x:c>
      <x:c r="U96" s="11" t="str">
        <x:f>IF(R96&lt;&gt;"PASS","FAIL",IF(S96="","OPEN",IF(AND(S96=N96,T96&gt;='Controls'!$D$33),"PASS","FAIL")))</x:f>
        <x:v>OPEN</x:v>
      </x:c>
      <x:c r="V96" s="11" t="str">
        <x:v>QUARANTINE</x:v>
      </x:c>
    </x:row>
    <x:row r="97">
      <x:c r="B97" s="11" t="str">
        <x:v>P0-LN-10-01</x:v>
      </x:c>
      <x:c r="C97" s="11" t="str">
        <x:v>LN-10</x:v>
      </x:c>
      <x:c r="D97" s="11" t="str">
        <x:v>PTC-B</x:v>
      </x:c>
      <x:c r="E97" s="11" t="str">
        <x:v>SA5</x:v>
      </x:c>
      <x:c r="F97" s="11" t="n">
        <x:v>1</x:v>
      </x:c>
      <x:c r="G97" s="11" t="str">
        <x:v>ET-SA5-01</x:v>
      </x:c>
      <x:c r="H97" s="11" t="str">
        <x:v>B</x:v>
      </x:c>
      <x:c r="I97" s="11" t="str">
        <x:v>RA-SA5-10-B1</x:v>
      </x:c>
      <x:c r="J97" s="11" t="n">
        <x:v>1</x:v>
      </x:c>
      <x:c r="K97" s="11" t="str">
        <x:v>T0</x:v>
      </x:c>
      <x:c r="L97" s="11" t="str">
        <x:v>none</x:v>
      </x:c>
      <x:c r="M97" s="11" t="n">
        <x:v>6</x:v>
      </x:c>
      <x:c r="N97" s="11" t="str">
        <x:v>ACCEPT</x:v>
      </x:c>
      <x:c r="O97" s="11" t="n">
        <x:v>1</x:v>
      </x:c>
      <x:c r="P97" s="11" t="n">
        <x:v>1</x:v>
      </x:c>
      <x:c r="Q97" s="11" t="n">
        <x:v>1</x:v>
      </x:c>
      <x:c r="R97" s="11" t="str">
        <x:f>IF(AND(N97&lt;&gt;"",O97=1,P97=1,Q97=1),"PASS","FAIL")</x:f>
        <x:v>PASS</x:v>
      </x:c>
      <x:c r="S97" s="13" t="str"/>
      <x:c r="T97" s="13" t="n">
        <x:v>0</x:v>
      </x:c>
      <x:c r="U97" s="11" t="str">
        <x:f>IF(R97&lt;&gt;"PASS","FAIL",IF(S97="","OPEN",IF(AND(S97=N97,T97&gt;='Controls'!$D$33),"PASS","FAIL")))</x:f>
        <x:v>OPEN</x:v>
      </x:c>
      <x:c r="V97" s="11" t="str">
        <x:v>RETURN TO CONTROLLED CUSTODY</x:v>
      </x:c>
    </x:row>
    <x:row r="98">
      <x:c r="B98" s="11" t="str">
        <x:v>P0-LN-10-02</x:v>
      </x:c>
      <x:c r="C98" s="11" t="str">
        <x:v>LN-10</x:v>
      </x:c>
      <x:c r="D98" s="11" t="str">
        <x:v>PTC-B</x:v>
      </x:c>
      <x:c r="E98" s="11" t="str">
        <x:v>SA5</x:v>
      </x:c>
      <x:c r="F98" s="11" t="n">
        <x:v>2</x:v>
      </x:c>
      <x:c r="G98" s="11" t="str">
        <x:v>ET-SA5-02</x:v>
      </x:c>
      <x:c r="H98" s="11" t="str">
        <x:v>A</x:v>
      </x:c>
      <x:c r="I98" s="11" t="str">
        <x:v>RA-SA5-10-A1</x:v>
      </x:c>
      <x:c r="J98" s="11" t="n">
        <x:v>1</x:v>
      </x:c>
      <x:c r="K98" s="11" t="str">
        <x:v>T1</x:v>
      </x:c>
      <x:c r="L98" s="11" t="str">
        <x:v>none</x:v>
      </x:c>
      <x:c r="M98" s="11" t="n">
        <x:v>6</x:v>
      </x:c>
      <x:c r="N98" s="11" t="str">
        <x:v>ACCEPT</x:v>
      </x:c>
      <x:c r="O98" s="11" t="n">
        <x:v>1</x:v>
      </x:c>
      <x:c r="P98" s="11" t="n">
        <x:v>1</x:v>
      </x:c>
      <x:c r="Q98" s="11" t="n">
        <x:v>1</x:v>
      </x:c>
      <x:c r="R98" s="11" t="str">
        <x:f>IF(AND(N98&lt;&gt;"",O98=1,P98=1,Q98=1),"PASS","FAIL")</x:f>
        <x:v>PASS</x:v>
      </x:c>
      <x:c r="S98" s="13" t="str"/>
      <x:c r="T98" s="13" t="n">
        <x:v>0</x:v>
      </x:c>
      <x:c r="U98" s="11" t="str">
        <x:f>IF(R98&lt;&gt;"PASS","FAIL",IF(S98="","OPEN",IF(AND(S98=N98,T98&gt;='Controls'!$D$33),"PASS","FAIL")))</x:f>
        <x:v>OPEN</x:v>
      </x:c>
      <x:c r="V98" s="11" t="str">
        <x:v>RETURN TO CONTROLLED CUSTODY</x:v>
      </x:c>
    </x:row>
    <x:row r="99">
      <x:c r="B99" s="11" t="str">
        <x:v>P0-LN-10-03</x:v>
      </x:c>
      <x:c r="C99" s="11" t="str">
        <x:v>LN-10</x:v>
      </x:c>
      <x:c r="D99" s="11" t="str">
        <x:v>PTC-B</x:v>
      </x:c>
      <x:c r="E99" s="11" t="str">
        <x:v>SA5</x:v>
      </x:c>
      <x:c r="F99" s="11" t="n">
        <x:v>3</x:v>
      </x:c>
      <x:c r="G99" s="11" t="str">
        <x:v>ET-SA5-03</x:v>
      </x:c>
      <x:c r="H99" s="11" t="str">
        <x:v>B</x:v>
      </x:c>
      <x:c r="I99" s="11" t="str">
        <x:v>RA-SA5-10-B2</x:v>
      </x:c>
      <x:c r="J99" s="11" t="n">
        <x:v>2</x:v>
      </x:c>
      <x:c r="K99" s="11" t="str">
        <x:v>T2</x:v>
      </x:c>
      <x:c r="L99" s="11" t="str">
        <x:v>none</x:v>
      </x:c>
      <x:c r="M99" s="11" t="n">
        <x:v>6</x:v>
      </x:c>
      <x:c r="N99" s="11" t="str">
        <x:v>REJECT</x:v>
      </x:c>
      <x:c r="O99" s="11" t="n">
        <x:v>1</x:v>
      </x:c>
      <x:c r="P99" s="11" t="n">
        <x:v>1</x:v>
      </x:c>
      <x:c r="Q99" s="11" t="n">
        <x:v>1</x:v>
      </x:c>
      <x:c r="R99" s="11" t="str">
        <x:f>IF(AND(N99&lt;&gt;"",O99=1,P99=1,Q99=1),"PASS","FAIL")</x:f>
        <x:v>PASS</x:v>
      </x:c>
      <x:c r="S99" s="13" t="str"/>
      <x:c r="T99" s="13" t="n">
        <x:v>0</x:v>
      </x:c>
      <x:c r="U99" s="11" t="str">
        <x:f>IF(R99&lt;&gt;"PASS","FAIL",IF(S99="","OPEN",IF(AND(S99=N99,T99&gt;='Controls'!$D$33),"PASS","FAIL")))</x:f>
        <x:v>OPEN</x:v>
      </x:c>
      <x:c r="V99" s="11" t="str">
        <x:v>DESTRUCT AFTER TRUTH</x:v>
      </x:c>
    </x:row>
    <x:row r="100">
      <x:c r="B100" s="11" t="str">
        <x:v>P0-LN-10-04</x:v>
      </x:c>
      <x:c r="C100" s="11" t="str">
        <x:v>LN-10</x:v>
      </x:c>
      <x:c r="D100" s="11" t="str">
        <x:v>PTC-B</x:v>
      </x:c>
      <x:c r="E100" s="11" t="str">
        <x:v>SA5</x:v>
      </x:c>
      <x:c r="F100" s="11" t="n">
        <x:v>4</x:v>
      </x:c>
      <x:c r="G100" s="11" t="str">
        <x:v>ET-SA5-04</x:v>
      </x:c>
      <x:c r="H100" s="11" t="str">
        <x:v>A</x:v>
      </x:c>
      <x:c r="I100" s="11" t="str">
        <x:v>RA-SA5-10-A2</x:v>
      </x:c>
      <x:c r="J100" s="11" t="n">
        <x:v>2</x:v>
      </x:c>
      <x:c r="K100" s="11" t="str">
        <x:v>T3</x:v>
      </x:c>
      <x:c r="L100" s="11" t="str">
        <x:v>none</x:v>
      </x:c>
      <x:c r="M100" s="11" t="n">
        <x:v>7</x:v>
      </x:c>
      <x:c r="N100" s="11" t="str">
        <x:v>INDETERMINATE</x:v>
      </x:c>
      <x:c r="O100" s="11" t="n">
        <x:v>1</x:v>
      </x:c>
      <x:c r="P100" s="11" t="n">
        <x:v>1</x:v>
      </x:c>
      <x:c r="Q100" s="11" t="n">
        <x:v>1</x:v>
      </x:c>
      <x:c r="R100" s="11" t="str">
        <x:f>IF(AND(N100&lt;&gt;"",O100=1,P100=1,Q100=1),"PASS","FAIL")</x:f>
        <x:v>PASS</x:v>
      </x:c>
      <x:c r="S100" s="13" t="str"/>
      <x:c r="T100" s="13" t="n">
        <x:v>0</x:v>
      </x:c>
      <x:c r="U100" s="11" t="str">
        <x:f>IF(R100&lt;&gt;"PASS","FAIL",IF(S100="","OPEN",IF(AND(S100=N100,T100&gt;='Controls'!$D$33),"PASS","FAIL")))</x:f>
        <x:v>OPEN</x:v>
      </x:c>
      <x:c r="V100" s="11" t="str">
        <x:v>DESTRUCT AFTER TRUTH</x:v>
      </x:c>
    </x:row>
    <x:row r="101">
      <x:c r="B101" s="11" t="str">
        <x:v>P0-LN-10-05</x:v>
      </x:c>
      <x:c r="C101" s="11" t="str">
        <x:v>LN-10</x:v>
      </x:c>
      <x:c r="D101" s="11" t="str">
        <x:v>PTC-B</x:v>
      </x:c>
      <x:c r="E101" s="11" t="str">
        <x:v>SA5</x:v>
      </x:c>
      <x:c r="F101" s="11" t="n">
        <x:v>5</x:v>
      </x:c>
      <x:c r="G101" s="11" t="str">
        <x:v>ET-SA5-05</x:v>
      </x:c>
      <x:c r="H101" s="11" t="str">
        <x:v>B</x:v>
      </x:c>
      <x:c r="I101" s="11" t="str">
        <x:v>RA-SA5-10-B1</x:v>
      </x:c>
      <x:c r="J101" s="11" t="n">
        <x:v>1</x:v>
      </x:c>
      <x:c r="K101" s="11" t="str">
        <x:v>T1</x:v>
      </x:c>
      <x:c r="L101" s="11" t="str">
        <x:v>FI-SA5-B-D</x:v>
      </x:c>
      <x:c r="M101" s="11" t="n">
        <x:v>4</x:v>
      </x:c>
      <x:c r="N101" s="11" t="str">
        <x:v>INVALID</x:v>
      </x:c>
      <x:c r="O101" s="11" t="n">
        <x:v>1</x:v>
      </x:c>
      <x:c r="P101" s="11" t="n">
        <x:v>1</x:v>
      </x:c>
      <x:c r="Q101" s="11" t="n">
        <x:v>1</x:v>
      </x:c>
      <x:c r="R101" s="11" t="str">
        <x:f>IF(AND(N101&lt;&gt;"",O101=1,P101=1,Q101=1),"PASS","FAIL")</x:f>
        <x:v>PASS</x:v>
      </x:c>
      <x:c r="S101" s="13" t="str"/>
      <x:c r="T101" s="13" t="n">
        <x:v>0</x:v>
      </x:c>
      <x:c r="U101" s="11" t="str">
        <x:f>IF(R101&lt;&gt;"PASS","FAIL",IF(S101="","OPEN",IF(AND(S101=N101,T101&gt;='Controls'!$D$33),"PASS","FAIL")))</x:f>
        <x:v>OPEN</x:v>
      </x:c>
      <x:c r="V101" s="11" t="str">
        <x:v>RETURN TO CONTROLLED CUSTODY</x:v>
      </x:c>
    </x:row>
    <x:row r="102">
      <x:c r="B102" s="11" t="str">
        <x:v>P0-LN-10-06</x:v>
      </x:c>
      <x:c r="C102" s="11" t="str">
        <x:v>LN-10</x:v>
      </x:c>
      <x:c r="D102" s="11" t="str">
        <x:v>PTC-B</x:v>
      </x:c>
      <x:c r="E102" s="11" t="str">
        <x:v>SA5</x:v>
      </x:c>
      <x:c r="F102" s="11" t="n">
        <x:v>6</x:v>
      </x:c>
      <x:c r="G102" s="11" t="str">
        <x:v>ET-SA5-06</x:v>
      </x:c>
      <x:c r="H102" s="11" t="str">
        <x:v>A</x:v>
      </x:c>
      <x:c r="I102" s="11" t="str">
        <x:v>RA-SA5-10-A2</x:v>
      </x:c>
      <x:c r="J102" s="11" t="n">
        <x:v>2</x:v>
      </x:c>
      <x:c r="K102" s="11" t="str">
        <x:v>T1</x:v>
      </x:c>
      <x:c r="L102" s="11" t="str">
        <x:v>FI-SA5-A-D</x:v>
      </x:c>
      <x:c r="M102" s="11" t="n">
        <x:v>4</x:v>
      </x:c>
      <x:c r="N102" s="11" t="str">
        <x:v>INVALID</x:v>
      </x:c>
      <x:c r="O102" s="11" t="n">
        <x:v>1</x:v>
      </x:c>
      <x:c r="P102" s="11" t="n">
        <x:v>1</x:v>
      </x:c>
      <x:c r="Q102" s="11" t="n">
        <x:v>1</x:v>
      </x:c>
      <x:c r="R102" s="11" t="str">
        <x:f>IF(AND(N102&lt;&gt;"",O102=1,P102=1,Q102=1),"PASS","FAIL")</x:f>
        <x:v>PASS</x:v>
      </x:c>
      <x:c r="S102" s="13" t="str"/>
      <x:c r="T102" s="13" t="n">
        <x:v>0</x:v>
      </x:c>
      <x:c r="U102" s="11" t="str">
        <x:f>IF(R102&lt;&gt;"PASS","FAIL",IF(S102="","OPEN",IF(AND(S102=N102,T102&gt;='Controls'!$D$33),"PASS","FAIL")))</x:f>
        <x:v>OPEN</x:v>
      </x:c>
      <x:c r="V102" s="11" t="str">
        <x:v>DESTRUCT AFTER TRUTH</x:v>
      </x:c>
    </x:row>
    <x:row r="103">
      <x:c r="B103" s="11" t="str">
        <x:v>P0-LN-10-07</x:v>
      </x:c>
      <x:c r="C103" s="11" t="str">
        <x:v>LN-10</x:v>
      </x:c>
      <x:c r="D103" s="11" t="str">
        <x:v>PTC-B</x:v>
      </x:c>
      <x:c r="E103" s="11" t="str">
        <x:v>SA5</x:v>
      </x:c>
      <x:c r="F103" s="11" t="n">
        <x:v>7</x:v>
      </x:c>
      <x:c r="G103" s="11" t="str">
        <x:v>ET-SA5-07</x:v>
      </x:c>
      <x:c r="H103" s="11" t="str">
        <x:v>B</x:v>
      </x:c>
      <x:c r="I103" s="11" t="str">
        <x:v>RA-SA5-10-B3</x:v>
      </x:c>
      <x:c r="J103" s="11" t="n">
        <x:v>3</x:v>
      </x:c>
      <x:c r="K103" s="11" t="str">
        <x:v>T1</x:v>
      </x:c>
      <x:c r="L103" s="11" t="str">
        <x:v>FI-SA5-B-S</x:v>
      </x:c>
      <x:c r="M103" s="11" t="n">
        <x:v>3</x:v>
      </x:c>
      <x:c r="N103" s="11" t="str">
        <x:v>SAFE STATE</x:v>
      </x:c>
      <x:c r="O103" s="11" t="n">
        <x:v>1</x:v>
      </x:c>
      <x:c r="P103" s="11" t="n">
        <x:v>1</x:v>
      </x:c>
      <x:c r="Q103" s="11" t="n">
        <x:v>1</x:v>
      </x:c>
      <x:c r="R103" s="11" t="str">
        <x:f>IF(AND(N103&lt;&gt;"",O103=1,P103=1,Q103=1),"PASS","FAIL")</x:f>
        <x:v>PASS</x:v>
      </x:c>
      <x:c r="S103" s="13" t="str"/>
      <x:c r="T103" s="13" t="n">
        <x:v>0</x:v>
      </x:c>
      <x:c r="U103" s="11" t="str">
        <x:f>IF(R103&lt;&gt;"PASS","FAIL",IF(S103="","OPEN",IF(AND(S103=N103,T103&gt;='Controls'!$D$33),"PASS","FAIL")))</x:f>
        <x:v>OPEN</x:v>
      </x:c>
      <x:c r="V103" s="11" t="str">
        <x:v>RETURN TO CONTROLLED CUSTODY</x:v>
      </x:c>
    </x:row>
    <x:row r="104">
      <x:c r="B104" s="11" t="str">
        <x:v>P0-LN-10-08</x:v>
      </x:c>
      <x:c r="C104" s="11" t="str">
        <x:v>LN-10</x:v>
      </x:c>
      <x:c r="D104" s="11" t="str">
        <x:v>PTC-B</x:v>
      </x:c>
      <x:c r="E104" s="11" t="str">
        <x:v>SA5</x:v>
      </x:c>
      <x:c r="F104" s="11" t="n">
        <x:v>8</x:v>
      </x:c>
      <x:c r="G104" s="11" t="str">
        <x:v>ET-SA5-08</x:v>
      </x:c>
      <x:c r="H104" s="11" t="str">
        <x:v>A</x:v>
      </x:c>
      <x:c r="I104" s="11" t="str">
        <x:v>RA-SA5-10-A3</x:v>
      </x:c>
      <x:c r="J104" s="11" t="n">
        <x:v>3</x:v>
      </x:c>
      <x:c r="K104" s="11" t="str">
        <x:v>T1</x:v>
      </x:c>
      <x:c r="L104" s="11" t="str">
        <x:v>FI-SA5-A-S</x:v>
      </x:c>
      <x:c r="M104" s="11" t="n">
        <x:v>3</x:v>
      </x:c>
      <x:c r="N104" s="11" t="str">
        <x:v>SAFE STATE</x:v>
      </x:c>
      <x:c r="O104" s="11" t="n">
        <x:v>1</x:v>
      </x:c>
      <x:c r="P104" s="11" t="n">
        <x:v>1</x:v>
      </x:c>
      <x:c r="Q104" s="11" t="n">
        <x:v>1</x:v>
      </x:c>
      <x:c r="R104" s="11" t="str">
        <x:f>IF(AND(N104&lt;&gt;"",O104=1,P104=1,Q104=1),"PASS","FAIL")</x:f>
        <x:v>PASS</x:v>
      </x:c>
      <x:c r="S104" s="13" t="str"/>
      <x:c r="T104" s="13" t="n">
        <x:v>0</x:v>
      </x:c>
      <x:c r="U104" s="11" t="str">
        <x:f>IF(R104&lt;&gt;"PASS","FAIL",IF(S104="","OPEN",IF(AND(S104=N104,T104&gt;='Controls'!$D$33),"PASS","FAIL")))</x:f>
        <x:v>OPEN</x:v>
      </x:c>
      <x:c r="V104" s="11" t="str">
        <x:v>RETURN TO CONTROLLED CUSTODY</x:v>
      </x:c>
    </x:row>
    <x:row r="105">
      <x:c r="B105" s="11" t="str">
        <x:v>P0-LN-10-09</x:v>
      </x:c>
      <x:c r="C105" s="11" t="str">
        <x:v>LN-10</x:v>
      </x:c>
      <x:c r="D105" s="11" t="str">
        <x:v>PTC-B</x:v>
      </x:c>
      <x:c r="E105" s="11" t="str">
        <x:v>SA5</x:v>
      </x:c>
      <x:c r="F105" s="11" t="n">
        <x:v>9</x:v>
      </x:c>
      <x:c r="G105" s="11" t="str">
        <x:v>ET-SA5-09</x:v>
      </x:c>
      <x:c r="H105" s="11" t="str">
        <x:v>B</x:v>
      </x:c>
      <x:c r="I105" s="11" t="str">
        <x:v>RA-SA5-10-B1</x:v>
      </x:c>
      <x:c r="J105" s="11" t="n">
        <x:v>1</x:v>
      </x:c>
      <x:c r="K105" s="11" t="str">
        <x:v>T1</x:v>
      </x:c>
      <x:c r="L105" s="11" t="str">
        <x:v>FI-SA5-B-D</x:v>
      </x:c>
      <x:c r="M105" s="11" t="n">
        <x:v>6</x:v>
      </x:c>
      <x:c r="N105" s="11" t="str">
        <x:v>SAFE STATE AND REPLAY</x:v>
      </x:c>
      <x:c r="O105" s="11" t="n">
        <x:v>1</x:v>
      </x:c>
      <x:c r="P105" s="11" t="n">
        <x:v>1</x:v>
      </x:c>
      <x:c r="Q105" s="11" t="n">
        <x:v>1</x:v>
      </x:c>
      <x:c r="R105" s="11" t="str">
        <x:f>IF(AND(N105&lt;&gt;"",O105=1,P105=1,Q105=1),"PASS","FAIL")</x:f>
        <x:v>PASS</x:v>
      </x:c>
      <x:c r="S105" s="13" t="str"/>
      <x:c r="T105" s="13" t="n">
        <x:v>0</x:v>
      </x:c>
      <x:c r="U105" s="11" t="str">
        <x:f>IF(R105&lt;&gt;"PASS","FAIL",IF(S105="","OPEN",IF(AND(S105=N105,T105&gt;='Controls'!$D$33),"PASS","FAIL")))</x:f>
        <x:v>OPEN</x:v>
      </x:c>
      <x:c r="V105" s="11" t="str">
        <x:v>RETURN TO CONTROLLED CUSTODY</x:v>
      </x:c>
    </x:row>
    <x:row r="106">
      <x:c r="B106" s="11" t="str">
        <x:v>P0-LN-10-10</x:v>
      </x:c>
      <x:c r="C106" s="11" t="str">
        <x:v>LN-10</x:v>
      </x:c>
      <x:c r="D106" s="11" t="str">
        <x:v>PTC-B</x:v>
      </x:c>
      <x:c r="E106" s="11" t="str">
        <x:v>SA5</x:v>
      </x:c>
      <x:c r="F106" s="11" t="n">
        <x:v>10</x:v>
      </x:c>
      <x:c r="G106" s="11" t="str">
        <x:v>ET-SA5-10</x:v>
      </x:c>
      <x:c r="H106" s="11" t="str">
        <x:v>A</x:v>
      </x:c>
      <x:c r="I106" s="11" t="str">
        <x:v>RA-SA5-10-A3</x:v>
      </x:c>
      <x:c r="J106" s="11" t="n">
        <x:v>3</x:v>
      </x:c>
      <x:c r="K106" s="11" t="str">
        <x:v>T1</x:v>
      </x:c>
      <x:c r="L106" s="11" t="str">
        <x:v>FI-SA5-A-S</x:v>
      </x:c>
      <x:c r="M106" s="11" t="n">
        <x:v>9</x:v>
      </x:c>
      <x:c r="N106" s="11" t="str">
        <x:v>QUARANTINE</x:v>
      </x:c>
      <x:c r="O106" s="11" t="n">
        <x:v>1</x:v>
      </x:c>
      <x:c r="P106" s="11" t="n">
        <x:v>1</x:v>
      </x:c>
      <x:c r="Q106" s="11" t="n">
        <x:v>1</x:v>
      </x:c>
      <x:c r="R106" s="11" t="str">
        <x:f>IF(AND(N106&lt;&gt;"",O106=1,P106=1,Q106=1),"PASS","FAIL")</x:f>
        <x:v>PASS</x:v>
      </x:c>
      <x:c r="S106" s="13" t="str"/>
      <x:c r="T106" s="13" t="n">
        <x:v>0</x:v>
      </x:c>
      <x:c r="U106" s="11" t="str">
        <x:f>IF(R106&lt;&gt;"PASS","FAIL",IF(S106="","OPEN",IF(AND(S106=N106,T106&gt;='Controls'!$D$33),"PASS","FAIL")))</x:f>
        <x:v>OPEN</x:v>
      </x:c>
      <x:c r="V106" s="11" t="str">
        <x:v>QUARANTINE</x:v>
      </x:c>
    </x:row>
    <x:row r="107">
      <x:c r="B107" s="11" t="str">
        <x:v>P0-LN-11-01</x:v>
      </x:c>
      <x:c r="C107" s="11" t="str">
        <x:v>LN-11</x:v>
      </x:c>
      <x:c r="D107" s="11" t="str">
        <x:v>PTC-B</x:v>
      </x:c>
      <x:c r="E107" s="11" t="str">
        <x:v>SA6</x:v>
      </x:c>
      <x:c r="F107" s="11" t="n">
        <x:v>1</x:v>
      </x:c>
      <x:c r="G107" s="11" t="str">
        <x:v>ET-SA6-01</x:v>
      </x:c>
      <x:c r="H107" s="11" t="str">
        <x:v>A</x:v>
      </x:c>
      <x:c r="I107" s="11" t="str">
        <x:v>RA-SA6-11-A1</x:v>
      </x:c>
      <x:c r="J107" s="11" t="n">
        <x:v>1</x:v>
      </x:c>
      <x:c r="K107" s="11" t="str">
        <x:v>T0</x:v>
      </x:c>
      <x:c r="L107" s="11" t="str">
        <x:v>none</x:v>
      </x:c>
      <x:c r="M107" s="11" t="n">
        <x:v>5</x:v>
      </x:c>
      <x:c r="N107" s="11" t="str">
        <x:v>ACCEPT</x:v>
      </x:c>
      <x:c r="O107" s="11" t="n">
        <x:v>1</x:v>
      </x:c>
      <x:c r="P107" s="11" t="n">
        <x:v>1</x:v>
      </x:c>
      <x:c r="Q107" s="11" t="n">
        <x:v>1</x:v>
      </x:c>
      <x:c r="R107" s="11" t="str">
        <x:f>IF(AND(N107&lt;&gt;"",O107=1,P107=1,Q107=1),"PASS","FAIL")</x:f>
        <x:v>PASS</x:v>
      </x:c>
      <x:c r="S107" s="13" t="str"/>
      <x:c r="T107" s="13" t="n">
        <x:v>0</x:v>
      </x:c>
      <x:c r="U107" s="11" t="str">
        <x:f>IF(R107&lt;&gt;"PASS","FAIL",IF(S107="","OPEN",IF(AND(S107=N107,T107&gt;='Controls'!$D$33),"PASS","FAIL")))</x:f>
        <x:v>OPEN</x:v>
      </x:c>
      <x:c r="V107" s="11" t="str">
        <x:v>RETURN TO CONTROLLED CUSTODY</x:v>
      </x:c>
    </x:row>
    <x:row r="108">
      <x:c r="B108" s="11" t="str">
        <x:v>P0-LN-11-02</x:v>
      </x:c>
      <x:c r="C108" s="11" t="str">
        <x:v>LN-11</x:v>
      </x:c>
      <x:c r="D108" s="11" t="str">
        <x:v>PTC-B</x:v>
      </x:c>
      <x:c r="E108" s="11" t="str">
        <x:v>SA6</x:v>
      </x:c>
      <x:c r="F108" s="11" t="n">
        <x:v>2</x:v>
      </x:c>
      <x:c r="G108" s="11" t="str">
        <x:v>ET-SA6-02</x:v>
      </x:c>
      <x:c r="H108" s="11" t="str">
        <x:v>B</x:v>
      </x:c>
      <x:c r="I108" s="11" t="str">
        <x:v>RA-SA6-11-B1</x:v>
      </x:c>
      <x:c r="J108" s="11" t="n">
        <x:v>1</x:v>
      </x:c>
      <x:c r="K108" s="11" t="str">
        <x:v>T1</x:v>
      </x:c>
      <x:c r="L108" s="11" t="str">
        <x:v>none</x:v>
      </x:c>
      <x:c r="M108" s="11" t="n">
        <x:v>5</x:v>
      </x:c>
      <x:c r="N108" s="11" t="str">
        <x:v>ACCEPT</x:v>
      </x:c>
      <x:c r="O108" s="11" t="n">
        <x:v>1</x:v>
      </x:c>
      <x:c r="P108" s="11" t="n">
        <x:v>1</x:v>
      </x:c>
      <x:c r="Q108" s="11" t="n">
        <x:v>1</x:v>
      </x:c>
      <x:c r="R108" s="11" t="str">
        <x:f>IF(AND(N108&lt;&gt;"",O108=1,P108=1,Q108=1),"PASS","FAIL")</x:f>
        <x:v>PASS</x:v>
      </x:c>
      <x:c r="S108" s="13" t="str"/>
      <x:c r="T108" s="13" t="n">
        <x:v>0</x:v>
      </x:c>
      <x:c r="U108" s="11" t="str">
        <x:f>IF(R108&lt;&gt;"PASS","FAIL",IF(S108="","OPEN",IF(AND(S108=N108,T108&gt;='Controls'!$D$33),"PASS","FAIL")))</x:f>
        <x:v>OPEN</x:v>
      </x:c>
      <x:c r="V108" s="11" t="str">
        <x:v>RETURN TO CONTROLLED CUSTODY</x:v>
      </x:c>
    </x:row>
    <x:row r="109">
      <x:c r="B109" s="11" t="str">
        <x:v>P0-LN-11-03</x:v>
      </x:c>
      <x:c r="C109" s="11" t="str">
        <x:v>LN-11</x:v>
      </x:c>
      <x:c r="D109" s="11" t="str">
        <x:v>PTC-B</x:v>
      </x:c>
      <x:c r="E109" s="11" t="str">
        <x:v>SA6</x:v>
      </x:c>
      <x:c r="F109" s="11" t="n">
        <x:v>3</x:v>
      </x:c>
      <x:c r="G109" s="11" t="str">
        <x:v>ET-SA6-03</x:v>
      </x:c>
      <x:c r="H109" s="11" t="str">
        <x:v>A</x:v>
      </x:c>
      <x:c r="I109" s="11" t="str">
        <x:v>RA-SA6-11-A2</x:v>
      </x:c>
      <x:c r="J109" s="11" t="n">
        <x:v>2</x:v>
      </x:c>
      <x:c r="K109" s="11" t="str">
        <x:v>T2</x:v>
      </x:c>
      <x:c r="L109" s="11" t="str">
        <x:v>none</x:v>
      </x:c>
      <x:c r="M109" s="11" t="n">
        <x:v>5</x:v>
      </x:c>
      <x:c r="N109" s="11" t="str">
        <x:v>REJECT</x:v>
      </x:c>
      <x:c r="O109" s="11" t="n">
        <x:v>1</x:v>
      </x:c>
      <x:c r="P109" s="11" t="n">
        <x:v>1</x:v>
      </x:c>
      <x:c r="Q109" s="11" t="n">
        <x:v>1</x:v>
      </x:c>
      <x:c r="R109" s="11" t="str">
        <x:f>IF(AND(N109&lt;&gt;"",O109=1,P109=1,Q109=1),"PASS","FAIL")</x:f>
        <x:v>PASS</x:v>
      </x:c>
      <x:c r="S109" s="13" t="str"/>
      <x:c r="T109" s="13" t="n">
        <x:v>0</x:v>
      </x:c>
      <x:c r="U109" s="11" t="str">
        <x:f>IF(R109&lt;&gt;"PASS","FAIL",IF(S109="","OPEN",IF(AND(S109=N109,T109&gt;='Controls'!$D$33),"PASS","FAIL")))</x:f>
        <x:v>OPEN</x:v>
      </x:c>
      <x:c r="V109" s="11" t="str">
        <x:v>DESTRUCT AFTER TRUTH</x:v>
      </x:c>
    </x:row>
    <x:row r="110">
      <x:c r="B110" s="11" t="str">
        <x:v>P0-LN-11-04</x:v>
      </x:c>
      <x:c r="C110" s="11" t="str">
        <x:v>LN-11</x:v>
      </x:c>
      <x:c r="D110" s="11" t="str">
        <x:v>PTC-B</x:v>
      </x:c>
      <x:c r="E110" s="11" t="str">
        <x:v>SA6</x:v>
      </x:c>
      <x:c r="F110" s="11" t="n">
        <x:v>4</x:v>
      </x:c>
      <x:c r="G110" s="11" t="str">
        <x:v>ET-SA6-04</x:v>
      </x:c>
      <x:c r="H110" s="11" t="str">
        <x:v>B</x:v>
      </x:c>
      <x:c r="I110" s="11" t="str">
        <x:v>RA-SA6-11-B2</x:v>
      </x:c>
      <x:c r="J110" s="11" t="n">
        <x:v>2</x:v>
      </x:c>
      <x:c r="K110" s="11" t="str">
        <x:v>T3</x:v>
      </x:c>
      <x:c r="L110" s="11" t="str">
        <x:v>none</x:v>
      </x:c>
      <x:c r="M110" s="11" t="n">
        <x:v>6</x:v>
      </x:c>
      <x:c r="N110" s="11" t="str">
        <x:v>INDETERMINATE</x:v>
      </x:c>
      <x:c r="O110" s="11" t="n">
        <x:v>1</x:v>
      </x:c>
      <x:c r="P110" s="11" t="n">
        <x:v>1</x:v>
      </x:c>
      <x:c r="Q110" s="11" t="n">
        <x:v>1</x:v>
      </x:c>
      <x:c r="R110" s="11" t="str">
        <x:f>IF(AND(N110&lt;&gt;"",O110=1,P110=1,Q110=1),"PASS","FAIL")</x:f>
        <x:v>PASS</x:v>
      </x:c>
      <x:c r="S110" s="13" t="str"/>
      <x:c r="T110" s="13" t="n">
        <x:v>0</x:v>
      </x:c>
      <x:c r="U110" s="11" t="str">
        <x:f>IF(R110&lt;&gt;"PASS","FAIL",IF(S110="","OPEN",IF(AND(S110=N110,T110&gt;='Controls'!$D$33),"PASS","FAIL")))</x:f>
        <x:v>OPEN</x:v>
      </x:c>
      <x:c r="V110" s="11" t="str">
        <x:v>DESTRUCT AFTER TRUTH</x:v>
      </x:c>
    </x:row>
    <x:row r="111">
      <x:c r="B111" s="11" t="str">
        <x:v>P0-LN-11-05</x:v>
      </x:c>
      <x:c r="C111" s="11" t="str">
        <x:v>LN-11</x:v>
      </x:c>
      <x:c r="D111" s="11" t="str">
        <x:v>PTC-B</x:v>
      </x:c>
      <x:c r="E111" s="11" t="str">
        <x:v>SA6</x:v>
      </x:c>
      <x:c r="F111" s="11" t="n">
        <x:v>5</x:v>
      </x:c>
      <x:c r="G111" s="11" t="str">
        <x:v>ET-SA6-05</x:v>
      </x:c>
      <x:c r="H111" s="11" t="str">
        <x:v>A</x:v>
      </x:c>
      <x:c r="I111" s="11" t="str">
        <x:v>RA-SA6-11-A1</x:v>
      </x:c>
      <x:c r="J111" s="11" t="n">
        <x:v>1</x:v>
      </x:c>
      <x:c r="K111" s="11" t="str">
        <x:v>T1</x:v>
      </x:c>
      <x:c r="L111" s="11" t="str">
        <x:v>FI-SA6-A-D</x:v>
      </x:c>
      <x:c r="M111" s="11" t="n">
        <x:v>4</x:v>
      </x:c>
      <x:c r="N111" s="11" t="str">
        <x:v>INVALID</x:v>
      </x:c>
      <x:c r="O111" s="11" t="n">
        <x:v>1</x:v>
      </x:c>
      <x:c r="P111" s="11" t="n">
        <x:v>1</x:v>
      </x:c>
      <x:c r="Q111" s="11" t="n">
        <x:v>1</x:v>
      </x:c>
      <x:c r="R111" s="11" t="str">
        <x:f>IF(AND(N111&lt;&gt;"",O111=1,P111=1,Q111=1),"PASS","FAIL")</x:f>
        <x:v>PASS</x:v>
      </x:c>
      <x:c r="S111" s="13" t="str"/>
      <x:c r="T111" s="13" t="n">
        <x:v>0</x:v>
      </x:c>
      <x:c r="U111" s="11" t="str">
        <x:f>IF(R111&lt;&gt;"PASS","FAIL",IF(S111="","OPEN",IF(AND(S111=N111,T111&gt;='Controls'!$D$33),"PASS","FAIL")))</x:f>
        <x:v>OPEN</x:v>
      </x:c>
      <x:c r="V111" s="11" t="str">
        <x:v>RETURN TO CONTROLLED CUSTODY</x:v>
      </x:c>
    </x:row>
    <x:row r="112">
      <x:c r="B112" s="11" t="str">
        <x:v>P0-LN-11-06</x:v>
      </x:c>
      <x:c r="C112" s="11" t="str">
        <x:v>LN-11</x:v>
      </x:c>
      <x:c r="D112" s="11" t="str">
        <x:v>PTC-B</x:v>
      </x:c>
      <x:c r="E112" s="11" t="str">
        <x:v>SA6</x:v>
      </x:c>
      <x:c r="F112" s="11" t="n">
        <x:v>6</x:v>
      </x:c>
      <x:c r="G112" s="11" t="str">
        <x:v>ET-SA6-06</x:v>
      </x:c>
      <x:c r="H112" s="11" t="str">
        <x:v>B</x:v>
      </x:c>
      <x:c r="I112" s="11" t="str">
        <x:v>RA-SA6-11-B2</x:v>
      </x:c>
      <x:c r="J112" s="11" t="n">
        <x:v>2</x:v>
      </x:c>
      <x:c r="K112" s="11" t="str">
        <x:v>T1</x:v>
      </x:c>
      <x:c r="L112" s="11" t="str">
        <x:v>FI-SA6-B-D</x:v>
      </x:c>
      <x:c r="M112" s="11" t="n">
        <x:v>4</x:v>
      </x:c>
      <x:c r="N112" s="11" t="str">
        <x:v>INVALID</x:v>
      </x:c>
      <x:c r="O112" s="11" t="n">
        <x:v>1</x:v>
      </x:c>
      <x:c r="P112" s="11" t="n">
        <x:v>1</x:v>
      </x:c>
      <x:c r="Q112" s="11" t="n">
        <x:v>1</x:v>
      </x:c>
      <x:c r="R112" s="11" t="str">
        <x:f>IF(AND(N112&lt;&gt;"",O112=1,P112=1,Q112=1),"PASS","FAIL")</x:f>
        <x:v>PASS</x:v>
      </x:c>
      <x:c r="S112" s="13" t="str"/>
      <x:c r="T112" s="13" t="n">
        <x:v>0</x:v>
      </x:c>
      <x:c r="U112" s="11" t="str">
        <x:f>IF(R112&lt;&gt;"PASS","FAIL",IF(S112="","OPEN",IF(AND(S112=N112,T112&gt;='Controls'!$D$33),"PASS","FAIL")))</x:f>
        <x:v>OPEN</x:v>
      </x:c>
      <x:c r="V112" s="11" t="str">
        <x:v>DESTRUCT AFTER TRUTH</x:v>
      </x:c>
    </x:row>
    <x:row r="113">
      <x:c r="B113" s="11" t="str">
        <x:v>P0-LN-11-07</x:v>
      </x:c>
      <x:c r="C113" s="11" t="str">
        <x:v>LN-11</x:v>
      </x:c>
      <x:c r="D113" s="11" t="str">
        <x:v>PTC-B</x:v>
      </x:c>
      <x:c r="E113" s="11" t="str">
        <x:v>SA6</x:v>
      </x:c>
      <x:c r="F113" s="11" t="n">
        <x:v>7</x:v>
      </x:c>
      <x:c r="G113" s="11" t="str">
        <x:v>ET-SA6-07</x:v>
      </x:c>
      <x:c r="H113" s="11" t="str">
        <x:v>A</x:v>
      </x:c>
      <x:c r="I113" s="11" t="str">
        <x:v>RA-SA6-11-A3</x:v>
      </x:c>
      <x:c r="J113" s="11" t="n">
        <x:v>3</x:v>
      </x:c>
      <x:c r="K113" s="11" t="str">
        <x:v>T1</x:v>
      </x:c>
      <x:c r="L113" s="11" t="str">
        <x:v>FI-SA6-A-S</x:v>
      </x:c>
      <x:c r="M113" s="11" t="n">
        <x:v>3</x:v>
      </x:c>
      <x:c r="N113" s="11" t="str">
        <x:v>SAFE STATE</x:v>
      </x:c>
      <x:c r="O113" s="11" t="n">
        <x:v>1</x:v>
      </x:c>
      <x:c r="P113" s="11" t="n">
        <x:v>1</x:v>
      </x:c>
      <x:c r="Q113" s="11" t="n">
        <x:v>1</x:v>
      </x:c>
      <x:c r="R113" s="11" t="str">
        <x:f>IF(AND(N113&lt;&gt;"",O113=1,P113=1,Q113=1),"PASS","FAIL")</x:f>
        <x:v>PASS</x:v>
      </x:c>
      <x:c r="S113" s="13" t="str"/>
      <x:c r="T113" s="13" t="n">
        <x:v>0</x:v>
      </x:c>
      <x:c r="U113" s="11" t="str">
        <x:f>IF(R113&lt;&gt;"PASS","FAIL",IF(S113="","OPEN",IF(AND(S113=N113,T113&gt;='Controls'!$D$33),"PASS","FAIL")))</x:f>
        <x:v>OPEN</x:v>
      </x:c>
      <x:c r="V113" s="11" t="str">
        <x:v>RETURN TO CONTROLLED CUSTODY</x:v>
      </x:c>
    </x:row>
    <x:row r="114">
      <x:c r="B114" s="11" t="str">
        <x:v>P0-LN-11-08</x:v>
      </x:c>
      <x:c r="C114" s="11" t="str">
        <x:v>LN-11</x:v>
      </x:c>
      <x:c r="D114" s="11" t="str">
        <x:v>PTC-B</x:v>
      </x:c>
      <x:c r="E114" s="11" t="str">
        <x:v>SA6</x:v>
      </x:c>
      <x:c r="F114" s="11" t="n">
        <x:v>8</x:v>
      </x:c>
      <x:c r="G114" s="11" t="str">
        <x:v>ET-SA6-08</x:v>
      </x:c>
      <x:c r="H114" s="11" t="str">
        <x:v>B</x:v>
      </x:c>
      <x:c r="I114" s="11" t="str">
        <x:v>RA-SA6-11-B3</x:v>
      </x:c>
      <x:c r="J114" s="11" t="n">
        <x:v>3</x:v>
      </x:c>
      <x:c r="K114" s="11" t="str">
        <x:v>T1</x:v>
      </x:c>
      <x:c r="L114" s="11" t="str">
        <x:v>FI-SA6-B-S</x:v>
      </x:c>
      <x:c r="M114" s="11" t="n">
        <x:v>3</x:v>
      </x:c>
      <x:c r="N114" s="11" t="str">
        <x:v>SAFE STATE</x:v>
      </x:c>
      <x:c r="O114" s="11" t="n">
        <x:v>1</x:v>
      </x:c>
      <x:c r="P114" s="11" t="n">
        <x:v>1</x:v>
      </x:c>
      <x:c r="Q114" s="11" t="n">
        <x:v>1</x:v>
      </x:c>
      <x:c r="R114" s="11" t="str">
        <x:f>IF(AND(N114&lt;&gt;"",O114=1,P114=1,Q114=1),"PASS","FAIL")</x:f>
        <x:v>PASS</x:v>
      </x:c>
      <x:c r="S114" s="13" t="str"/>
      <x:c r="T114" s="13" t="n">
        <x:v>0</x:v>
      </x:c>
      <x:c r="U114" s="11" t="str">
        <x:f>IF(R114&lt;&gt;"PASS","FAIL",IF(S114="","OPEN",IF(AND(S114=N114,T114&gt;='Controls'!$D$33),"PASS","FAIL")))</x:f>
        <x:v>OPEN</x:v>
      </x:c>
      <x:c r="V114" s="11" t="str">
        <x:v>RETURN TO CONTROLLED CUSTODY</x:v>
      </x:c>
    </x:row>
    <x:row r="115">
      <x:c r="B115" s="11" t="str">
        <x:v>P0-LN-11-09</x:v>
      </x:c>
      <x:c r="C115" s="11" t="str">
        <x:v>LN-11</x:v>
      </x:c>
      <x:c r="D115" s="11" t="str">
        <x:v>PTC-B</x:v>
      </x:c>
      <x:c r="E115" s="11" t="str">
        <x:v>SA6</x:v>
      </x:c>
      <x:c r="F115" s="11" t="n">
        <x:v>9</x:v>
      </x:c>
      <x:c r="G115" s="11" t="str">
        <x:v>ET-SA6-09</x:v>
      </x:c>
      <x:c r="H115" s="11" t="str">
        <x:v>A</x:v>
      </x:c>
      <x:c r="I115" s="11" t="str">
        <x:v>RA-SA6-11-A1</x:v>
      </x:c>
      <x:c r="J115" s="11" t="n">
        <x:v>1</x:v>
      </x:c>
      <x:c r="K115" s="11" t="str">
        <x:v>T1</x:v>
      </x:c>
      <x:c r="L115" s="11" t="str">
        <x:v>FI-SA6-A-D</x:v>
      </x:c>
      <x:c r="M115" s="11" t="n">
        <x:v>5</x:v>
      </x:c>
      <x:c r="N115" s="11" t="str">
        <x:v>SAFE STATE AND REPLAY</x:v>
      </x:c>
      <x:c r="O115" s="11" t="n">
        <x:v>1</x:v>
      </x:c>
      <x:c r="P115" s="11" t="n">
        <x:v>1</x:v>
      </x:c>
      <x:c r="Q115" s="11" t="n">
        <x:v>1</x:v>
      </x:c>
      <x:c r="R115" s="11" t="str">
        <x:f>IF(AND(N115&lt;&gt;"",O115=1,P115=1,Q115=1),"PASS","FAIL")</x:f>
        <x:v>PASS</x:v>
      </x:c>
      <x:c r="S115" s="13" t="str"/>
      <x:c r="T115" s="13" t="n">
        <x:v>0</x:v>
      </x:c>
      <x:c r="U115" s="11" t="str">
        <x:f>IF(R115&lt;&gt;"PASS","FAIL",IF(S115="","OPEN",IF(AND(S115=N115,T115&gt;='Controls'!$D$33),"PASS","FAIL")))</x:f>
        <x:v>OPEN</x:v>
      </x:c>
      <x:c r="V115" s="11" t="str">
        <x:v>RETURN TO CONTROLLED CUSTODY</x:v>
      </x:c>
    </x:row>
    <x:row r="116">
      <x:c r="B116" s="11" t="str">
        <x:v>P0-LN-11-10</x:v>
      </x:c>
      <x:c r="C116" s="11" t="str">
        <x:v>LN-11</x:v>
      </x:c>
      <x:c r="D116" s="11" t="str">
        <x:v>PTC-B</x:v>
      </x:c>
      <x:c r="E116" s="11" t="str">
        <x:v>SA6</x:v>
      </x:c>
      <x:c r="F116" s="11" t="n">
        <x:v>10</x:v>
      </x:c>
      <x:c r="G116" s="11" t="str">
        <x:v>ET-SA6-10</x:v>
      </x:c>
      <x:c r="H116" s="11" t="str">
        <x:v>B</x:v>
      </x:c>
      <x:c r="I116" s="11" t="str">
        <x:v>RA-SA6-11-B3</x:v>
      </x:c>
      <x:c r="J116" s="11" t="n">
        <x:v>3</x:v>
      </x:c>
      <x:c r="K116" s="11" t="str">
        <x:v>T1</x:v>
      </x:c>
      <x:c r="L116" s="11" t="str">
        <x:v>FI-SA6-B-S</x:v>
      </x:c>
      <x:c r="M116" s="11" t="n">
        <x:v>10</x:v>
      </x:c>
      <x:c r="N116" s="11" t="str">
        <x:v>QUARANTINE</x:v>
      </x:c>
      <x:c r="O116" s="11" t="n">
        <x:v>1</x:v>
      </x:c>
      <x:c r="P116" s="11" t="n">
        <x:v>1</x:v>
      </x:c>
      <x:c r="Q116" s="11" t="n">
        <x:v>1</x:v>
      </x:c>
      <x:c r="R116" s="11" t="str">
        <x:f>IF(AND(N116&lt;&gt;"",O116=1,P116=1,Q116=1),"PASS","FAIL")</x:f>
        <x:v>PASS</x:v>
      </x:c>
      <x:c r="S116" s="13" t="str"/>
      <x:c r="T116" s="13" t="n">
        <x:v>0</x:v>
      </x:c>
      <x:c r="U116" s="11" t="str">
        <x:f>IF(R116&lt;&gt;"PASS","FAIL",IF(S116="","OPEN",IF(AND(S116=N116,T116&gt;='Controls'!$D$33),"PASS","FAIL")))</x:f>
        <x:v>OPEN</x:v>
      </x:c>
      <x:c r="V116" s="11" t="str">
        <x:v>QUARANTINE</x:v>
      </x:c>
    </x:row>
    <x:row r="117">
      <x:c r="B117" s="11" t="str">
        <x:v>P0-LN-12-01</x:v>
      </x:c>
      <x:c r="C117" s="11" t="str">
        <x:v>LN-12</x:v>
      </x:c>
      <x:c r="D117" s="11" t="str">
        <x:v>PTC-C</x:v>
      </x:c>
      <x:c r="E117" s="11" t="str">
        <x:v>SA6</x:v>
      </x:c>
      <x:c r="F117" s="11" t="n">
        <x:v>1</x:v>
      </x:c>
      <x:c r="G117" s="11" t="str">
        <x:v>ET-SA6-01</x:v>
      </x:c>
      <x:c r="H117" s="11" t="str">
        <x:v>B</x:v>
      </x:c>
      <x:c r="I117" s="11" t="str">
        <x:v>RA-SA6-12-B1</x:v>
      </x:c>
      <x:c r="J117" s="11" t="n">
        <x:v>1</x:v>
      </x:c>
      <x:c r="K117" s="11" t="str">
        <x:v>T0</x:v>
      </x:c>
      <x:c r="L117" s="11" t="str">
        <x:v>none</x:v>
      </x:c>
      <x:c r="M117" s="11" t="n">
        <x:v>5</x:v>
      </x:c>
      <x:c r="N117" s="11" t="str">
        <x:v>ACCEPT</x:v>
      </x:c>
      <x:c r="O117" s="11" t="n">
        <x:v>1</x:v>
      </x:c>
      <x:c r="P117" s="11" t="n">
        <x:v>1</x:v>
      </x:c>
      <x:c r="Q117" s="11" t="n">
        <x:v>1</x:v>
      </x:c>
      <x:c r="R117" s="11" t="str">
        <x:f>IF(AND(N117&lt;&gt;"",O117=1,P117=1,Q117=1),"PASS","FAIL")</x:f>
        <x:v>PASS</x:v>
      </x:c>
      <x:c r="S117" s="13" t="str"/>
      <x:c r="T117" s="13" t="n">
        <x:v>0</x:v>
      </x:c>
      <x:c r="U117" s="11" t="str">
        <x:f>IF(R117&lt;&gt;"PASS","FAIL",IF(S117="","OPEN",IF(AND(S117=N117,T117&gt;='Controls'!$D$33),"PASS","FAIL")))</x:f>
        <x:v>OPEN</x:v>
      </x:c>
      <x:c r="V117" s="11" t="str">
        <x:v>RETURN TO CONTROLLED CUSTODY</x:v>
      </x:c>
    </x:row>
    <x:row r="118">
      <x:c r="B118" s="11" t="str">
        <x:v>P0-LN-12-02</x:v>
      </x:c>
      <x:c r="C118" s="11" t="str">
        <x:v>LN-12</x:v>
      </x:c>
      <x:c r="D118" s="11" t="str">
        <x:v>PTC-C</x:v>
      </x:c>
      <x:c r="E118" s="11" t="str">
        <x:v>SA6</x:v>
      </x:c>
      <x:c r="F118" s="11" t="n">
        <x:v>2</x:v>
      </x:c>
      <x:c r="G118" s="11" t="str">
        <x:v>ET-SA6-02</x:v>
      </x:c>
      <x:c r="H118" s="11" t="str">
        <x:v>A</x:v>
      </x:c>
      <x:c r="I118" s="11" t="str">
        <x:v>RA-SA6-12-A1</x:v>
      </x:c>
      <x:c r="J118" s="11" t="n">
        <x:v>1</x:v>
      </x:c>
      <x:c r="K118" s="11" t="str">
        <x:v>T1</x:v>
      </x:c>
      <x:c r="L118" s="11" t="str">
        <x:v>none</x:v>
      </x:c>
      <x:c r="M118" s="11" t="n">
        <x:v>5</x:v>
      </x:c>
      <x:c r="N118" s="11" t="str">
        <x:v>ACCEPT</x:v>
      </x:c>
      <x:c r="O118" s="11" t="n">
        <x:v>1</x:v>
      </x:c>
      <x:c r="P118" s="11" t="n">
        <x:v>1</x:v>
      </x:c>
      <x:c r="Q118" s="11" t="n">
        <x:v>1</x:v>
      </x:c>
      <x:c r="R118" s="11" t="str">
        <x:f>IF(AND(N118&lt;&gt;"",O118=1,P118=1,Q118=1),"PASS","FAIL")</x:f>
        <x:v>PASS</x:v>
      </x:c>
      <x:c r="S118" s="13" t="str"/>
      <x:c r="T118" s="13" t="n">
        <x:v>0</x:v>
      </x:c>
      <x:c r="U118" s="11" t="str">
        <x:f>IF(R118&lt;&gt;"PASS","FAIL",IF(S118="","OPEN",IF(AND(S118=N118,T118&gt;='Controls'!$D$33),"PASS","FAIL")))</x:f>
        <x:v>OPEN</x:v>
      </x:c>
      <x:c r="V118" s="11" t="str">
        <x:v>RETURN TO CONTROLLED CUSTODY</x:v>
      </x:c>
    </x:row>
    <x:row r="119">
      <x:c r="B119" s="11" t="str">
        <x:v>P0-LN-12-03</x:v>
      </x:c>
      <x:c r="C119" s="11" t="str">
        <x:v>LN-12</x:v>
      </x:c>
      <x:c r="D119" s="11" t="str">
        <x:v>PTC-C</x:v>
      </x:c>
      <x:c r="E119" s="11" t="str">
        <x:v>SA6</x:v>
      </x:c>
      <x:c r="F119" s="11" t="n">
        <x:v>3</x:v>
      </x:c>
      <x:c r="G119" s="11" t="str">
        <x:v>ET-SA6-03</x:v>
      </x:c>
      <x:c r="H119" s="11" t="str">
        <x:v>B</x:v>
      </x:c>
      <x:c r="I119" s="11" t="str">
        <x:v>RA-SA6-12-B2</x:v>
      </x:c>
      <x:c r="J119" s="11" t="n">
        <x:v>2</x:v>
      </x:c>
      <x:c r="K119" s="11" t="str">
        <x:v>T2</x:v>
      </x:c>
      <x:c r="L119" s="11" t="str">
        <x:v>none</x:v>
      </x:c>
      <x:c r="M119" s="11" t="n">
        <x:v>5</x:v>
      </x:c>
      <x:c r="N119" s="11" t="str">
        <x:v>REJECT</x:v>
      </x:c>
      <x:c r="O119" s="11" t="n">
        <x:v>1</x:v>
      </x:c>
      <x:c r="P119" s="11" t="n">
        <x:v>1</x:v>
      </x:c>
      <x:c r="Q119" s="11" t="n">
        <x:v>1</x:v>
      </x:c>
      <x:c r="R119" s="11" t="str">
        <x:f>IF(AND(N119&lt;&gt;"",O119=1,P119=1,Q119=1),"PASS","FAIL")</x:f>
        <x:v>PASS</x:v>
      </x:c>
      <x:c r="S119" s="13" t="str"/>
      <x:c r="T119" s="13" t="n">
        <x:v>0</x:v>
      </x:c>
      <x:c r="U119" s="11" t="str">
        <x:f>IF(R119&lt;&gt;"PASS","FAIL",IF(S119="","OPEN",IF(AND(S119=N119,T119&gt;='Controls'!$D$33),"PASS","FAIL")))</x:f>
        <x:v>OPEN</x:v>
      </x:c>
      <x:c r="V119" s="11" t="str">
        <x:v>DESTRUCT AFTER TRUTH</x:v>
      </x:c>
    </x:row>
    <x:row r="120">
      <x:c r="B120" s="11" t="str">
        <x:v>P0-LN-12-04</x:v>
      </x:c>
      <x:c r="C120" s="11" t="str">
        <x:v>LN-12</x:v>
      </x:c>
      <x:c r="D120" s="11" t="str">
        <x:v>PTC-C</x:v>
      </x:c>
      <x:c r="E120" s="11" t="str">
        <x:v>SA6</x:v>
      </x:c>
      <x:c r="F120" s="11" t="n">
        <x:v>4</x:v>
      </x:c>
      <x:c r="G120" s="11" t="str">
        <x:v>ET-SA6-04</x:v>
      </x:c>
      <x:c r="H120" s="11" t="str">
        <x:v>A</x:v>
      </x:c>
      <x:c r="I120" s="11" t="str">
        <x:v>RA-SA6-12-A2</x:v>
      </x:c>
      <x:c r="J120" s="11" t="n">
        <x:v>2</x:v>
      </x:c>
      <x:c r="K120" s="11" t="str">
        <x:v>T3</x:v>
      </x:c>
      <x:c r="L120" s="11" t="str">
        <x:v>none</x:v>
      </x:c>
      <x:c r="M120" s="11" t="n">
        <x:v>6</x:v>
      </x:c>
      <x:c r="N120" s="11" t="str">
        <x:v>INDETERMINATE</x:v>
      </x:c>
      <x:c r="O120" s="11" t="n">
        <x:v>1</x:v>
      </x:c>
      <x:c r="P120" s="11" t="n">
        <x:v>1</x:v>
      </x:c>
      <x:c r="Q120" s="11" t="n">
        <x:v>1</x:v>
      </x:c>
      <x:c r="R120" s="11" t="str">
        <x:f>IF(AND(N120&lt;&gt;"",O120=1,P120=1,Q120=1),"PASS","FAIL")</x:f>
        <x:v>PASS</x:v>
      </x:c>
      <x:c r="S120" s="13" t="str"/>
      <x:c r="T120" s="13" t="n">
        <x:v>0</x:v>
      </x:c>
      <x:c r="U120" s="11" t="str">
        <x:f>IF(R120&lt;&gt;"PASS","FAIL",IF(S120="","OPEN",IF(AND(S120=N120,T120&gt;='Controls'!$D$33),"PASS","FAIL")))</x:f>
        <x:v>OPEN</x:v>
      </x:c>
      <x:c r="V120" s="11" t="str">
        <x:v>DESTRUCT AFTER TRUTH</x:v>
      </x:c>
    </x:row>
    <x:row r="121">
      <x:c r="B121" s="11" t="str">
        <x:v>P0-LN-12-05</x:v>
      </x:c>
      <x:c r="C121" s="11" t="str">
        <x:v>LN-12</x:v>
      </x:c>
      <x:c r="D121" s="11" t="str">
        <x:v>PTC-C</x:v>
      </x:c>
      <x:c r="E121" s="11" t="str">
        <x:v>SA6</x:v>
      </x:c>
      <x:c r="F121" s="11" t="n">
        <x:v>5</x:v>
      </x:c>
      <x:c r="G121" s="11" t="str">
        <x:v>ET-SA6-05</x:v>
      </x:c>
      <x:c r="H121" s="11" t="str">
        <x:v>B</x:v>
      </x:c>
      <x:c r="I121" s="11" t="str">
        <x:v>RA-SA6-12-B1</x:v>
      </x:c>
      <x:c r="J121" s="11" t="n">
        <x:v>1</x:v>
      </x:c>
      <x:c r="K121" s="11" t="str">
        <x:v>T1</x:v>
      </x:c>
      <x:c r="L121" s="11" t="str">
        <x:v>FI-SA6-B-D</x:v>
      </x:c>
      <x:c r="M121" s="11" t="n">
        <x:v>4</x:v>
      </x:c>
      <x:c r="N121" s="11" t="str">
        <x:v>INVALID</x:v>
      </x:c>
      <x:c r="O121" s="11" t="n">
        <x:v>1</x:v>
      </x:c>
      <x:c r="P121" s="11" t="n">
        <x:v>1</x:v>
      </x:c>
      <x:c r="Q121" s="11" t="n">
        <x:v>1</x:v>
      </x:c>
      <x:c r="R121" s="11" t="str">
        <x:f>IF(AND(N121&lt;&gt;"",O121=1,P121=1,Q121=1),"PASS","FAIL")</x:f>
        <x:v>PASS</x:v>
      </x:c>
      <x:c r="S121" s="13" t="str"/>
      <x:c r="T121" s="13" t="n">
        <x:v>0</x:v>
      </x:c>
      <x:c r="U121" s="11" t="str">
        <x:f>IF(R121&lt;&gt;"PASS","FAIL",IF(S121="","OPEN",IF(AND(S121=N121,T121&gt;='Controls'!$D$33),"PASS","FAIL")))</x:f>
        <x:v>OPEN</x:v>
      </x:c>
      <x:c r="V121" s="11" t="str">
        <x:v>RETURN TO CONTROLLED CUSTODY</x:v>
      </x:c>
    </x:row>
    <x:row r="122">
      <x:c r="B122" s="11" t="str">
        <x:v>P0-LN-12-06</x:v>
      </x:c>
      <x:c r="C122" s="11" t="str">
        <x:v>LN-12</x:v>
      </x:c>
      <x:c r="D122" s="11" t="str">
        <x:v>PTC-C</x:v>
      </x:c>
      <x:c r="E122" s="11" t="str">
        <x:v>SA6</x:v>
      </x:c>
      <x:c r="F122" s="11" t="n">
        <x:v>6</x:v>
      </x:c>
      <x:c r="G122" s="11" t="str">
        <x:v>ET-SA6-06</x:v>
      </x:c>
      <x:c r="H122" s="11" t="str">
        <x:v>A</x:v>
      </x:c>
      <x:c r="I122" s="11" t="str">
        <x:v>RA-SA6-12-A2</x:v>
      </x:c>
      <x:c r="J122" s="11" t="n">
        <x:v>2</x:v>
      </x:c>
      <x:c r="K122" s="11" t="str">
        <x:v>T1</x:v>
      </x:c>
      <x:c r="L122" s="11" t="str">
        <x:v>FI-SA6-A-D</x:v>
      </x:c>
      <x:c r="M122" s="11" t="n">
        <x:v>4</x:v>
      </x:c>
      <x:c r="N122" s="11" t="str">
        <x:v>INVALID</x:v>
      </x:c>
      <x:c r="O122" s="11" t="n">
        <x:v>1</x:v>
      </x:c>
      <x:c r="P122" s="11" t="n">
        <x:v>1</x:v>
      </x:c>
      <x:c r="Q122" s="11" t="n">
        <x:v>1</x:v>
      </x:c>
      <x:c r="R122" s="11" t="str">
        <x:f>IF(AND(N122&lt;&gt;"",O122=1,P122=1,Q122=1),"PASS","FAIL")</x:f>
        <x:v>PASS</x:v>
      </x:c>
      <x:c r="S122" s="13" t="str"/>
      <x:c r="T122" s="13" t="n">
        <x:v>0</x:v>
      </x:c>
      <x:c r="U122" s="11" t="str">
        <x:f>IF(R122&lt;&gt;"PASS","FAIL",IF(S122="","OPEN",IF(AND(S122=N122,T122&gt;='Controls'!$D$33),"PASS","FAIL")))</x:f>
        <x:v>OPEN</x:v>
      </x:c>
      <x:c r="V122" s="11" t="str">
        <x:v>DESTRUCT AFTER TRUTH</x:v>
      </x:c>
    </x:row>
    <x:row r="123">
      <x:c r="B123" s="11" t="str">
        <x:v>P0-LN-12-07</x:v>
      </x:c>
      <x:c r="C123" s="11" t="str">
        <x:v>LN-12</x:v>
      </x:c>
      <x:c r="D123" s="11" t="str">
        <x:v>PTC-C</x:v>
      </x:c>
      <x:c r="E123" s="11" t="str">
        <x:v>SA6</x:v>
      </x:c>
      <x:c r="F123" s="11" t="n">
        <x:v>7</x:v>
      </x:c>
      <x:c r="G123" s="11" t="str">
        <x:v>ET-SA6-07</x:v>
      </x:c>
      <x:c r="H123" s="11" t="str">
        <x:v>B</x:v>
      </x:c>
      <x:c r="I123" s="11" t="str">
        <x:v>RA-SA6-12-B3</x:v>
      </x:c>
      <x:c r="J123" s="11" t="n">
        <x:v>3</x:v>
      </x:c>
      <x:c r="K123" s="11" t="str">
        <x:v>T1</x:v>
      </x:c>
      <x:c r="L123" s="11" t="str">
        <x:v>FI-SA6-B-S</x:v>
      </x:c>
      <x:c r="M123" s="11" t="n">
        <x:v>3</x:v>
      </x:c>
      <x:c r="N123" s="11" t="str">
        <x:v>SAFE STATE</x:v>
      </x:c>
      <x:c r="O123" s="11" t="n">
        <x:v>1</x:v>
      </x:c>
      <x:c r="P123" s="11" t="n">
        <x:v>1</x:v>
      </x:c>
      <x:c r="Q123" s="11" t="n">
        <x:v>1</x:v>
      </x:c>
      <x:c r="R123" s="11" t="str">
        <x:f>IF(AND(N123&lt;&gt;"",O123=1,P123=1,Q123=1),"PASS","FAIL")</x:f>
        <x:v>PASS</x:v>
      </x:c>
      <x:c r="S123" s="13" t="str"/>
      <x:c r="T123" s="13" t="n">
        <x:v>0</x:v>
      </x:c>
      <x:c r="U123" s="11" t="str">
        <x:f>IF(R123&lt;&gt;"PASS","FAIL",IF(S123="","OPEN",IF(AND(S123=N123,T123&gt;='Controls'!$D$33),"PASS","FAIL")))</x:f>
        <x:v>OPEN</x:v>
      </x:c>
      <x:c r="V123" s="11" t="str">
        <x:v>RETURN TO CONTROLLED CUSTODY</x:v>
      </x:c>
    </x:row>
    <x:row r="124">
      <x:c r="B124" s="11" t="str">
        <x:v>P0-LN-12-08</x:v>
      </x:c>
      <x:c r="C124" s="11" t="str">
        <x:v>LN-12</x:v>
      </x:c>
      <x:c r="D124" s="11" t="str">
        <x:v>PTC-C</x:v>
      </x:c>
      <x:c r="E124" s="11" t="str">
        <x:v>SA6</x:v>
      </x:c>
      <x:c r="F124" s="11" t="n">
        <x:v>8</x:v>
      </x:c>
      <x:c r="G124" s="11" t="str">
        <x:v>ET-SA6-08</x:v>
      </x:c>
      <x:c r="H124" s="11" t="str">
        <x:v>A</x:v>
      </x:c>
      <x:c r="I124" s="11" t="str">
        <x:v>RA-SA6-12-A3</x:v>
      </x:c>
      <x:c r="J124" s="11" t="n">
        <x:v>3</x:v>
      </x:c>
      <x:c r="K124" s="11" t="str">
        <x:v>T1</x:v>
      </x:c>
      <x:c r="L124" s="11" t="str">
        <x:v>FI-SA6-A-S</x:v>
      </x:c>
      <x:c r="M124" s="11" t="n">
        <x:v>3</x:v>
      </x:c>
      <x:c r="N124" s="11" t="str">
        <x:v>SAFE STATE</x:v>
      </x:c>
      <x:c r="O124" s="11" t="n">
        <x:v>1</x:v>
      </x:c>
      <x:c r="P124" s="11" t="n">
        <x:v>1</x:v>
      </x:c>
      <x:c r="Q124" s="11" t="n">
        <x:v>1</x:v>
      </x:c>
      <x:c r="R124" s="11" t="str">
        <x:f>IF(AND(N124&lt;&gt;"",O124=1,P124=1,Q124=1),"PASS","FAIL")</x:f>
        <x:v>PASS</x:v>
      </x:c>
      <x:c r="S124" s="13" t="str"/>
      <x:c r="T124" s="13" t="n">
        <x:v>0</x:v>
      </x:c>
      <x:c r="U124" s="11" t="str">
        <x:f>IF(R124&lt;&gt;"PASS","FAIL",IF(S124="","OPEN",IF(AND(S124=N124,T124&gt;='Controls'!$D$33),"PASS","FAIL")))</x:f>
        <x:v>OPEN</x:v>
      </x:c>
      <x:c r="V124" s="11" t="str">
        <x:v>RETURN TO CONTROLLED CUSTODY</x:v>
      </x:c>
    </x:row>
    <x:row r="125">
      <x:c r="B125" s="11" t="str">
        <x:v>P0-LN-12-09</x:v>
      </x:c>
      <x:c r="C125" s="11" t="str">
        <x:v>LN-12</x:v>
      </x:c>
      <x:c r="D125" s="11" t="str">
        <x:v>PTC-C</x:v>
      </x:c>
      <x:c r="E125" s="11" t="str">
        <x:v>SA6</x:v>
      </x:c>
      <x:c r="F125" s="11" t="n">
        <x:v>9</x:v>
      </x:c>
      <x:c r="G125" s="11" t="str">
        <x:v>ET-SA6-09</x:v>
      </x:c>
      <x:c r="H125" s="11" t="str">
        <x:v>B</x:v>
      </x:c>
      <x:c r="I125" s="11" t="str">
        <x:v>RA-SA6-12-B1</x:v>
      </x:c>
      <x:c r="J125" s="11" t="n">
        <x:v>1</x:v>
      </x:c>
      <x:c r="K125" s="11" t="str">
        <x:v>T1</x:v>
      </x:c>
      <x:c r="L125" s="11" t="str">
        <x:v>FI-SA6-B-D</x:v>
      </x:c>
      <x:c r="M125" s="11" t="n">
        <x:v>5</x:v>
      </x:c>
      <x:c r="N125" s="11" t="str">
        <x:v>SAFE STATE AND REPLAY</x:v>
      </x:c>
      <x:c r="O125" s="11" t="n">
        <x:v>1</x:v>
      </x:c>
      <x:c r="P125" s="11" t="n">
        <x:v>1</x:v>
      </x:c>
      <x:c r="Q125" s="11" t="n">
        <x:v>1</x:v>
      </x:c>
      <x:c r="R125" s="11" t="str">
        <x:f>IF(AND(N125&lt;&gt;"",O125=1,P125=1,Q125=1),"PASS","FAIL")</x:f>
        <x:v>PASS</x:v>
      </x:c>
      <x:c r="S125" s="13" t="str"/>
      <x:c r="T125" s="13" t="n">
        <x:v>0</x:v>
      </x:c>
      <x:c r="U125" s="11" t="str">
        <x:f>IF(R125&lt;&gt;"PASS","FAIL",IF(S125="","OPEN",IF(AND(S125=N125,T125&gt;='Controls'!$D$33),"PASS","FAIL")))</x:f>
        <x:v>OPEN</x:v>
      </x:c>
      <x:c r="V125" s="11" t="str">
        <x:v>RETURN TO CONTROLLED CUSTODY</x:v>
      </x:c>
    </x:row>
    <x:row r="126">
      <x:c r="B126" s="12" t="str">
        <x:v>P0-LN-12-10</x:v>
      </x:c>
      <x:c r="C126" s="12" t="str">
        <x:v>LN-12</x:v>
      </x:c>
      <x:c r="D126" s="12" t="str">
        <x:v>PTC-C</x:v>
      </x:c>
      <x:c r="E126" s="12" t="str">
        <x:v>SA6</x:v>
      </x:c>
      <x:c r="F126" s="12" t="n">
        <x:v>10</x:v>
      </x:c>
      <x:c r="G126" s="12" t="str">
        <x:v>ET-SA6-10</x:v>
      </x:c>
      <x:c r="H126" s="12" t="str">
        <x:v>A</x:v>
      </x:c>
      <x:c r="I126" s="12" t="str">
        <x:v>RA-SA6-12-A3</x:v>
      </x:c>
      <x:c r="J126" s="12" t="n">
        <x:v>3</x:v>
      </x:c>
      <x:c r="K126" s="12" t="str">
        <x:v>T1</x:v>
      </x:c>
      <x:c r="L126" s="12" t="str">
        <x:v>FI-SA6-A-S</x:v>
      </x:c>
      <x:c r="M126" s="12" t="n">
        <x:v>10</x:v>
      </x:c>
      <x:c r="N126" s="12" t="str">
        <x:v>QUARANTINE</x:v>
      </x:c>
      <x:c r="O126" s="12" t="n">
        <x:v>1</x:v>
      </x:c>
      <x:c r="P126" s="12" t="n">
        <x:v>1</x:v>
      </x:c>
      <x:c r="Q126" s="12" t="n">
        <x:v>1</x:v>
      </x:c>
      <x:c r="R126" s="12" t="str">
        <x:f>IF(AND(N126&lt;&gt;"",O126=1,P126=1,Q126=1),"PASS","FAIL")</x:f>
        <x:v>PASS</x:v>
      </x:c>
      <x:c r="S126" s="14" t="str"/>
      <x:c r="T126" s="14" t="n">
        <x:v>0</x:v>
      </x:c>
      <x:c r="U126" s="12" t="str">
        <x:f>IF(R126&lt;&gt;"PASS","FAIL",IF(S126="","OPEN",IF(AND(S126=N126,T126&gt;='Controls'!$D$33),"PASS","FAIL")))</x:f>
        <x:v>OPEN</x:v>
      </x:c>
      <x:c r="V126" s="12" t="str">
        <x:v>QUARANTINE</x:v>
      </x:c>
    </x:row>
  </x:sheetData>
  <x:mergeCells>
    <x:mergeCell ref="B2:V2"/>
    <x:mergeCell ref="B3:V3"/>
  </x:mergeCells>
  <x:conditionalFormatting sqref="M7:M126">
    <x:cfRule type="containsText" dxfId="112" priority="1" operator="containsText" text="PASS"/>
    <x:cfRule type="containsText" dxfId="113" priority="2" operator="containsText" text="AUTHORIZED"/>
    <x:cfRule type="containsText" dxfId="114" priority="3" operator="containsText" text="DEFINED"/>
    <x:cfRule type="containsText" dxfId="115" priority="4" operator="containsText" text="READY"/>
    <x:cfRule type="containsText" dxfId="116" priority="5" operator="containsText" text="HOLD"/>
    <x:cfRule type="containsText" dxfId="117" priority="6" operator="containsText" text="OPEN"/>
    <x:cfRule type="containsText" dxfId="118" priority="7" operator="containsText" text="BLOCKED"/>
    <x:cfRule type="containsText" dxfId="119" priority="8" operator="containsText" text="PLANNING"/>
    <x:cfRule type="containsText" dxfId="120" priority="9" operator="containsText" text="QUARANTINE"/>
    <x:cfRule type="containsText" dxfId="121" priority="10" operator="containsText" text="INDETERMINATE"/>
    <x:cfRule type="containsText" dxfId="122" priority="11" operator="containsText" text="FAIL"/>
    <x:cfRule type="containsText" dxfId="123" priority="12" operator="containsText" text="REJECT"/>
    <x:cfRule type="containsText" dxfId="124" priority="13" operator="containsText" text="INVALID"/>
    <x:cfRule type="containsText" dxfId="125" priority="14" operator="containsText" text="STOP"/>
  </x:conditionalFormatting>
  <x:conditionalFormatting sqref="R7:U126">
    <x:cfRule type="containsText" dxfId="126" priority="15" operator="containsText" text="PASS"/>
    <x:cfRule type="containsText" dxfId="127" priority="16" operator="containsText" text="AUTHORIZED"/>
    <x:cfRule type="containsText" dxfId="128" priority="17" operator="containsText" text="DEFINED"/>
    <x:cfRule type="containsText" dxfId="129" priority="18" operator="containsText" text="READY"/>
    <x:cfRule type="containsText" dxfId="130" priority="19" operator="containsText" text="HOLD"/>
    <x:cfRule type="containsText" dxfId="131" priority="20" operator="containsText" text="OPEN"/>
    <x:cfRule type="containsText" dxfId="132" priority="21" operator="containsText" text="BLOCKED"/>
    <x:cfRule type="containsText" dxfId="133" priority="22" operator="containsText" text="PLANNING"/>
    <x:cfRule type="containsText" dxfId="134" priority="23" operator="containsText" text="QUARANTINE"/>
    <x:cfRule type="containsText" dxfId="135" priority="24" operator="containsText" text="INDETERMINATE"/>
    <x:cfRule type="containsText" dxfId="136" priority="25" operator="containsText" text="FAIL"/>
    <x:cfRule type="containsText" dxfId="137" priority="26" operator="containsText" text="REJECT"/>
    <x:cfRule type="containsText" dxfId="138" priority="27" operator="containsText" text="INVALID"/>
    <x:cfRule type="containsText" dxfId="139" priority="28" operator="containsText" text="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0" hidden="0" customWidth="1"/>
    <x:col min="4" max="4" width="8" hidden="0" customWidth="1"/>
    <x:col min="5" max="5" width="18" hidden="0" customWidth="1"/>
    <x:col min="6" max="6" width="62" hidden="0" customWidth="1"/>
    <x:col min="7" max="7" width="48" hidden="0" customWidth="1"/>
    <x:col min="8" max="8" width="16" hidden="0" customWidth="1"/>
    <x:col min="9" max="9" width="16" hidden="0" customWidth="1"/>
    <x:col min="10" max="10" width="17" hidden="0" customWidth="1"/>
    <x:col min="11" max="11" width="15" hidden="0" customWidth="1"/>
    <x:col min="12" max="12" width="15" hidden="0" customWidth="1"/>
    <x:col min="13" max="13" width="18" hidden="0" customWidth="1"/>
    <x:col min="14" max="14" width="14" hidden="0" customWidth="1"/>
  </x:cols>
  <x:sheetData>
    <x:row r="2">
      <x:c r="B2" s="37" t="str">
        <x:v>Twenty-four independent failure-insertion kits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B3" s="39" t="str">
        <x:v>Failure apparatus is not supplied by the article controller and cannot share its power, clock, signing key or operator.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  <x:row r="6">
      <x:c r="B6" s="9" t="str">
        <x:v>Kit ID</x:v>
      </x:c>
      <x:c r="C6" s="9" t="str">
        <x:v>Family</x:v>
      </x:c>
      <x:c r="D6" s="9" t="str">
        <x:v>Root</x:v>
      </x:c>
      <x:c r="E6" s="9" t="str">
        <x:v>Class</x:v>
      </x:c>
      <x:c r="F6" s="9" t="str">
        <x:v>Injected conditions</x:v>
      </x:c>
      <x:c r="G6" s="9" t="str">
        <x:v>Separation rule</x:v>
      </x:c>
      <x:c r="H6" s="9" t="str">
        <x:v>Independent power</x:v>
      </x:c>
      <x:c r="I6" s="9" t="str">
        <x:v>Independent clock</x:v>
      </x:c>
      <x:c r="J6" s="9" t="str">
        <x:v>Separate key root</x:v>
      </x:c>
      <x:c r="K6" s="9" t="str">
        <x:v>Sealed command</x:v>
      </x:c>
      <x:c r="L6" s="9" t="str">
        <x:v>Planning state</x:v>
      </x:c>
      <x:c r="M6" s="9" t="str">
        <x:v>Physical acceptance</x:v>
      </x:c>
      <x:c r="N6" s="9" t="str">
        <x:v>Source state</x:v>
      </x:c>
    </x:row>
    <x:row r="7">
      <x:c r="B7" s="11" t="str">
        <x:v>FI-SA1-A-D</x:v>
      </x:c>
      <x:c r="C7" s="11" t="str">
        <x:v>SA1</x:v>
      </x:c>
      <x:c r="D7" s="11" t="str">
        <x:v>A</x:v>
      </x:c>
      <x:c r="E7" s="11" t="str">
        <x:v>data plane</x:v>
      </x:c>
      <x:c r="F7" s="11" t="str">
        <x:v>sensor saturation; native gap; command-observation offset; clock, network and signing denial</x:v>
      </x:c>
      <x:c r="G7" s="11" t="str">
        <x:v>separate recorder power, clock and command authority</x:v>
      </x:c>
      <x:c r="H7" s="11" t="n">
        <x:v>1</x:v>
      </x:c>
      <x:c r="I7" s="11" t="n">
        <x:v>1</x:v>
      </x:c>
      <x:c r="J7" s="11" t="n">
        <x:v>1</x:v>
      </x:c>
      <x:c r="K7" s="11" t="n">
        <x:v>1</x:v>
      </x:c>
      <x:c r="L7" s="11" t="str">
        <x:f>IF(AND(G7&lt;&gt;"",H7=1,I7=1,J7=1,K7=1),"PASS","FAIL")</x:f>
        <x:v>PASS</x:v>
      </x:c>
      <x:c r="M7" s="13" t="n">
        <x:v>0</x:v>
      </x:c>
      <x:c r="N7" s="11" t="str">
        <x:f>IF(L7&lt;&gt;"PASS","FAIL",IF(M7=1,"PASS","OPEN"))</x:f>
        <x:v>OPEN</x:v>
      </x:c>
    </x:row>
    <x:row r="8">
      <x:c r="B8" s="11" t="str">
        <x:v>FI-SA1-A-S</x:v>
      </x:c>
      <x:c r="C8" s="11" t="str">
        <x:v>SA1</x:v>
      </x:c>
      <x:c r="D8" s="11" t="str">
        <x:v>A</x:v>
      </x:c>
      <x:c r="E8" s="11" t="str">
        <x:v>safety and hazard</x:v>
      </x:c>
      <x:c r="F8" s="11" t="str">
        <x:v>controller removal; one-actuator denial; retained source or carryover</x:v>
      </x:c>
      <x:c r="G8" s="11" t="str">
        <x:v>passive termination path plus independent insertion authority</x:v>
      </x:c>
      <x:c r="H8" s="11" t="n">
        <x:v>1</x:v>
      </x:c>
      <x:c r="I8" s="11" t="n">
        <x:v>1</x:v>
      </x:c>
      <x:c r="J8" s="11" t="n">
        <x:v>1</x:v>
      </x:c>
      <x:c r="K8" s="11" t="n">
        <x:v>1</x:v>
      </x:c>
      <x:c r="L8" s="11" t="str">
        <x:f>IF(AND(G8&lt;&gt;"",H8=1,I8=1,J8=1,K8=1),"PASS","FAIL")</x:f>
        <x:v>PASS</x:v>
      </x:c>
      <x:c r="M8" s="13" t="n">
        <x:v>0</x:v>
      </x:c>
      <x:c r="N8" s="11" t="str">
        <x:f>IF(L8&lt;&gt;"PASS","FAIL",IF(M8=1,"PASS","OPEN"))</x:f>
        <x:v>OPEN</x:v>
      </x:c>
    </x:row>
    <x:row r="9">
      <x:c r="B9" s="11" t="str">
        <x:v>FI-SA1-B-D</x:v>
      </x:c>
      <x:c r="C9" s="11" t="str">
        <x:v>SA1</x:v>
      </x:c>
      <x:c r="D9" s="11" t="str">
        <x:v>B</x:v>
      </x:c>
      <x:c r="E9" s="11" t="str">
        <x:v>data plane</x:v>
      </x:c>
      <x:c r="F9" s="11" t="str">
        <x:v>sensor saturation; native gap; command-observation offset; clock, network and signing denial</x:v>
      </x:c>
      <x:c r="G9" s="11" t="str">
        <x:v>separate recorder power, clock and command authority</x:v>
      </x:c>
      <x:c r="H9" s="11" t="n">
        <x:v>1</x:v>
      </x:c>
      <x:c r="I9" s="11" t="n">
        <x:v>1</x:v>
      </x:c>
      <x:c r="J9" s="11" t="n">
        <x:v>1</x:v>
      </x:c>
      <x:c r="K9" s="11" t="n">
        <x:v>1</x:v>
      </x:c>
      <x:c r="L9" s="11" t="str">
        <x:f>IF(AND(G9&lt;&gt;"",H9=1,I9=1,J9=1,K9=1),"PASS","FAIL")</x:f>
        <x:v>PASS</x:v>
      </x:c>
      <x:c r="M9" s="13" t="n">
        <x:v>0</x:v>
      </x:c>
      <x:c r="N9" s="11" t="str">
        <x:f>IF(L9&lt;&gt;"PASS","FAIL",IF(M9=1,"PASS","OPEN"))</x:f>
        <x:v>OPEN</x:v>
      </x:c>
    </x:row>
    <x:row r="10">
      <x:c r="B10" s="11" t="str">
        <x:v>FI-SA1-B-S</x:v>
      </x:c>
      <x:c r="C10" s="11" t="str">
        <x:v>SA1</x:v>
      </x:c>
      <x:c r="D10" s="11" t="str">
        <x:v>B</x:v>
      </x:c>
      <x:c r="E10" s="11" t="str">
        <x:v>safety and hazard</x:v>
      </x:c>
      <x:c r="F10" s="11" t="str">
        <x:v>controller removal; one-actuator denial; retained source or carryover</x:v>
      </x:c>
      <x:c r="G10" s="11" t="str">
        <x:v>passive termination path plus independent insertion authority</x:v>
      </x:c>
      <x:c r="H10" s="11" t="n">
        <x:v>1</x:v>
      </x:c>
      <x:c r="I10" s="11" t="n">
        <x:v>1</x:v>
      </x:c>
      <x:c r="J10" s="11" t="n">
        <x:v>1</x:v>
      </x:c>
      <x:c r="K10" s="11" t="n">
        <x:v>1</x:v>
      </x:c>
      <x:c r="L10" s="11" t="str">
        <x:f>IF(AND(G10&lt;&gt;"",H10=1,I10=1,J10=1,K10=1),"PASS","FAIL")</x:f>
        <x:v>PASS</x:v>
      </x:c>
      <x:c r="M10" s="13" t="n">
        <x:v>0</x:v>
      </x:c>
      <x:c r="N10" s="11" t="str">
        <x:f>IF(L10&lt;&gt;"PASS","FAIL",IF(M10=1,"PASS","OPEN"))</x:f>
        <x:v>OPEN</x:v>
      </x:c>
    </x:row>
    <x:row r="11">
      <x:c r="B11" s="11" t="str">
        <x:v>FI-SA2-A-D</x:v>
      </x:c>
      <x:c r="C11" s="11" t="str">
        <x:v>SA2</x:v>
      </x:c>
      <x:c r="D11" s="11" t="str">
        <x:v>A</x:v>
      </x:c>
      <x:c r="E11" s="11" t="str">
        <x:v>data plane</x:v>
      </x:c>
      <x:c r="F11" s="11" t="str">
        <x:v>sensor saturation; native gap; command-observation offset; clock, network and signing denial</x:v>
      </x:c>
      <x:c r="G11" s="11" t="str">
        <x:v>separate recorder power, clock and command authority</x:v>
      </x:c>
      <x:c r="H11" s="11" t="n">
        <x:v>1</x:v>
      </x:c>
      <x:c r="I11" s="11" t="n">
        <x:v>1</x:v>
      </x:c>
      <x:c r="J11" s="11" t="n">
        <x:v>1</x:v>
      </x:c>
      <x:c r="K11" s="11" t="n">
        <x:v>1</x:v>
      </x:c>
      <x:c r="L11" s="11" t="str">
        <x:f>IF(AND(G11&lt;&gt;"",H11=1,I11=1,J11=1,K11=1),"PASS","FAIL")</x:f>
        <x:v>PASS</x:v>
      </x:c>
      <x:c r="M11" s="13" t="n">
        <x:v>0</x:v>
      </x:c>
      <x:c r="N11" s="11" t="str">
        <x:f>IF(L11&lt;&gt;"PASS","FAIL",IF(M11=1,"PASS","OPEN"))</x:f>
        <x:v>OPEN</x:v>
      </x:c>
    </x:row>
    <x:row r="12">
      <x:c r="B12" s="11" t="str">
        <x:v>FI-SA2-A-S</x:v>
      </x:c>
      <x:c r="C12" s="11" t="str">
        <x:v>SA2</x:v>
      </x:c>
      <x:c r="D12" s="11" t="str">
        <x:v>A</x:v>
      </x:c>
      <x:c r="E12" s="11" t="str">
        <x:v>safety and hazard</x:v>
      </x:c>
      <x:c r="F12" s="11" t="str">
        <x:v>controller removal; one-actuator denial; retained source or carryover</x:v>
      </x:c>
      <x:c r="G12" s="11" t="str">
        <x:v>passive termination path plus independent insertion authority</x:v>
      </x:c>
      <x:c r="H12" s="11" t="n">
        <x:v>1</x:v>
      </x:c>
      <x:c r="I12" s="11" t="n">
        <x:v>1</x:v>
      </x:c>
      <x:c r="J12" s="11" t="n">
        <x:v>1</x:v>
      </x:c>
      <x:c r="K12" s="11" t="n">
        <x:v>1</x:v>
      </x:c>
      <x:c r="L12" s="11" t="str">
        <x:f>IF(AND(G12&lt;&gt;"",H12=1,I12=1,J12=1,K12=1),"PASS","FAIL")</x:f>
        <x:v>PASS</x:v>
      </x:c>
      <x:c r="M12" s="13" t="n">
        <x:v>0</x:v>
      </x:c>
      <x:c r="N12" s="11" t="str">
        <x:f>IF(L12&lt;&gt;"PASS","FAIL",IF(M12=1,"PASS","OPEN"))</x:f>
        <x:v>OPEN</x:v>
      </x:c>
    </x:row>
    <x:row r="13">
      <x:c r="B13" s="11" t="str">
        <x:v>FI-SA2-B-D</x:v>
      </x:c>
      <x:c r="C13" s="11" t="str">
        <x:v>SA2</x:v>
      </x:c>
      <x:c r="D13" s="11" t="str">
        <x:v>B</x:v>
      </x:c>
      <x:c r="E13" s="11" t="str">
        <x:v>data plane</x:v>
      </x:c>
      <x:c r="F13" s="11" t="str">
        <x:v>sensor saturation; native gap; command-observation offset; clock, network and signing denial</x:v>
      </x:c>
      <x:c r="G13" s="11" t="str">
        <x:v>separate recorder power, clock and command authority</x:v>
      </x:c>
      <x:c r="H13" s="11" t="n">
        <x:v>1</x:v>
      </x:c>
      <x:c r="I13" s="11" t="n">
        <x:v>1</x:v>
      </x:c>
      <x:c r="J13" s="11" t="n">
        <x:v>1</x:v>
      </x:c>
      <x:c r="K13" s="11" t="n">
        <x:v>1</x:v>
      </x:c>
      <x:c r="L13" s="11" t="str">
        <x:f>IF(AND(G13&lt;&gt;"",H13=1,I13=1,J13=1,K13=1),"PASS","FAIL")</x:f>
        <x:v>PASS</x:v>
      </x:c>
      <x:c r="M13" s="13" t="n">
        <x:v>0</x:v>
      </x:c>
      <x:c r="N13" s="11" t="str">
        <x:f>IF(L13&lt;&gt;"PASS","FAIL",IF(M13=1,"PASS","OPEN"))</x:f>
        <x:v>OPEN</x:v>
      </x:c>
    </x:row>
    <x:row r="14">
      <x:c r="B14" s="11" t="str">
        <x:v>FI-SA2-B-S</x:v>
      </x:c>
      <x:c r="C14" s="11" t="str">
        <x:v>SA2</x:v>
      </x:c>
      <x:c r="D14" s="11" t="str">
        <x:v>B</x:v>
      </x:c>
      <x:c r="E14" s="11" t="str">
        <x:v>safety and hazard</x:v>
      </x:c>
      <x:c r="F14" s="11" t="str">
        <x:v>controller removal; one-actuator denial; retained source or carryover</x:v>
      </x:c>
      <x:c r="G14" s="11" t="str">
        <x:v>passive termination path plus independent insertion authority</x:v>
      </x:c>
      <x:c r="H14" s="11" t="n">
        <x:v>1</x:v>
      </x:c>
      <x:c r="I14" s="11" t="n">
        <x:v>1</x:v>
      </x:c>
      <x:c r="J14" s="11" t="n">
        <x:v>1</x:v>
      </x:c>
      <x:c r="K14" s="11" t="n">
        <x:v>1</x:v>
      </x:c>
      <x:c r="L14" s="11" t="str">
        <x:f>IF(AND(G14&lt;&gt;"",H14=1,I14=1,J14=1,K14=1),"PASS","FAIL")</x:f>
        <x:v>PASS</x:v>
      </x:c>
      <x:c r="M14" s="13" t="n">
        <x:v>0</x:v>
      </x:c>
      <x:c r="N14" s="11" t="str">
        <x:f>IF(L14&lt;&gt;"PASS","FAIL",IF(M14=1,"PASS","OPEN"))</x:f>
        <x:v>OPEN</x:v>
      </x:c>
    </x:row>
    <x:row r="15">
      <x:c r="B15" s="11" t="str">
        <x:v>FI-SA3-A-D</x:v>
      </x:c>
      <x:c r="C15" s="11" t="str">
        <x:v>SA3</x:v>
      </x:c>
      <x:c r="D15" s="11" t="str">
        <x:v>A</x:v>
      </x:c>
      <x:c r="E15" s="11" t="str">
        <x:v>data plane</x:v>
      </x:c>
      <x:c r="F15" s="11" t="str">
        <x:v>sensor saturation; native gap; command-observation offset; clock, network and signing denial</x:v>
      </x:c>
      <x:c r="G15" s="11" t="str">
        <x:v>separate recorder power, clock and command authority</x:v>
      </x:c>
      <x:c r="H15" s="11" t="n">
        <x:v>1</x:v>
      </x:c>
      <x:c r="I15" s="11" t="n">
        <x:v>1</x:v>
      </x:c>
      <x:c r="J15" s="11" t="n">
        <x:v>1</x:v>
      </x:c>
      <x:c r="K15" s="11" t="n">
        <x:v>1</x:v>
      </x:c>
      <x:c r="L15" s="11" t="str">
        <x:f>IF(AND(G15&lt;&gt;"",H15=1,I15=1,J15=1,K15=1),"PASS","FAIL")</x:f>
        <x:v>PASS</x:v>
      </x:c>
      <x:c r="M15" s="13" t="n">
        <x:v>0</x:v>
      </x:c>
      <x:c r="N15" s="11" t="str">
        <x:f>IF(L15&lt;&gt;"PASS","FAIL",IF(M15=1,"PASS","OPEN"))</x:f>
        <x:v>OPEN</x:v>
      </x:c>
    </x:row>
    <x:row r="16">
      <x:c r="B16" s="11" t="str">
        <x:v>FI-SA3-A-S</x:v>
      </x:c>
      <x:c r="C16" s="11" t="str">
        <x:v>SA3</x:v>
      </x:c>
      <x:c r="D16" s="11" t="str">
        <x:v>A</x:v>
      </x:c>
      <x:c r="E16" s="11" t="str">
        <x:v>safety and hazard</x:v>
      </x:c>
      <x:c r="F16" s="11" t="str">
        <x:v>controller removal; one-actuator denial; retained source or carryover</x:v>
      </x:c>
      <x:c r="G16" s="11" t="str">
        <x:v>passive termination path plus independent insertion authority</x:v>
      </x:c>
      <x:c r="H16" s="11" t="n">
        <x:v>1</x:v>
      </x:c>
      <x:c r="I16" s="11" t="n">
        <x:v>1</x:v>
      </x:c>
      <x:c r="J16" s="11" t="n">
        <x:v>1</x:v>
      </x:c>
      <x:c r="K16" s="11" t="n">
        <x:v>1</x:v>
      </x:c>
      <x:c r="L16" s="11" t="str">
        <x:f>IF(AND(G16&lt;&gt;"",H16=1,I16=1,J16=1,K16=1),"PASS","FAIL")</x:f>
        <x:v>PASS</x:v>
      </x:c>
      <x:c r="M16" s="13" t="n">
        <x:v>0</x:v>
      </x:c>
      <x:c r="N16" s="11" t="str">
        <x:f>IF(L16&lt;&gt;"PASS","FAIL",IF(M16=1,"PASS","OPEN"))</x:f>
        <x:v>OPEN</x:v>
      </x:c>
    </x:row>
    <x:row r="17">
      <x:c r="B17" s="11" t="str">
        <x:v>FI-SA3-B-D</x:v>
      </x:c>
      <x:c r="C17" s="11" t="str">
        <x:v>SA3</x:v>
      </x:c>
      <x:c r="D17" s="11" t="str">
        <x:v>B</x:v>
      </x:c>
      <x:c r="E17" s="11" t="str">
        <x:v>data plane</x:v>
      </x:c>
      <x:c r="F17" s="11" t="str">
        <x:v>sensor saturation; native gap; command-observation offset; clock, network and signing denial</x:v>
      </x:c>
      <x:c r="G17" s="11" t="str">
        <x:v>separate recorder power, clock and command authority</x:v>
      </x:c>
      <x:c r="H17" s="11" t="n">
        <x:v>1</x:v>
      </x:c>
      <x:c r="I17" s="11" t="n">
        <x:v>1</x:v>
      </x:c>
      <x:c r="J17" s="11" t="n">
        <x:v>1</x:v>
      </x:c>
      <x:c r="K17" s="11" t="n">
        <x:v>1</x:v>
      </x:c>
      <x:c r="L17" s="11" t="str">
        <x:f>IF(AND(G17&lt;&gt;"",H17=1,I17=1,J17=1,K17=1),"PASS","FAIL")</x:f>
        <x:v>PASS</x:v>
      </x:c>
      <x:c r="M17" s="13" t="n">
        <x:v>0</x:v>
      </x:c>
      <x:c r="N17" s="11" t="str">
        <x:f>IF(L17&lt;&gt;"PASS","FAIL",IF(M17=1,"PASS","OPEN"))</x:f>
        <x:v>OPEN</x:v>
      </x:c>
    </x:row>
    <x:row r="18">
      <x:c r="B18" s="11" t="str">
        <x:v>FI-SA3-B-S</x:v>
      </x:c>
      <x:c r="C18" s="11" t="str">
        <x:v>SA3</x:v>
      </x:c>
      <x:c r="D18" s="11" t="str">
        <x:v>B</x:v>
      </x:c>
      <x:c r="E18" s="11" t="str">
        <x:v>safety and hazard</x:v>
      </x:c>
      <x:c r="F18" s="11" t="str">
        <x:v>controller removal; one-actuator denial; retained source or carryover</x:v>
      </x:c>
      <x:c r="G18" s="11" t="str">
        <x:v>passive termination path plus independent insertion authority</x:v>
      </x:c>
      <x:c r="H18" s="11" t="n">
        <x:v>1</x:v>
      </x:c>
      <x:c r="I18" s="11" t="n">
        <x:v>1</x:v>
      </x:c>
      <x:c r="J18" s="11" t="n">
        <x:v>1</x:v>
      </x:c>
      <x:c r="K18" s="11" t="n">
        <x:v>1</x:v>
      </x:c>
      <x:c r="L18" s="11" t="str">
        <x:f>IF(AND(G18&lt;&gt;"",H18=1,I18=1,J18=1,K18=1),"PASS","FAIL")</x:f>
        <x:v>PASS</x:v>
      </x:c>
      <x:c r="M18" s="13" t="n">
        <x:v>0</x:v>
      </x:c>
      <x:c r="N18" s="11" t="str">
        <x:f>IF(L18&lt;&gt;"PASS","FAIL",IF(M18=1,"PASS","OPEN"))</x:f>
        <x:v>OPEN</x:v>
      </x:c>
    </x:row>
    <x:row r="19">
      <x:c r="B19" s="11" t="str">
        <x:v>FI-SA4-A-D</x:v>
      </x:c>
      <x:c r="C19" s="11" t="str">
        <x:v>SA4</x:v>
      </x:c>
      <x:c r="D19" s="11" t="str">
        <x:v>A</x:v>
      </x:c>
      <x:c r="E19" s="11" t="str">
        <x:v>data plane</x:v>
      </x:c>
      <x:c r="F19" s="11" t="str">
        <x:v>sensor saturation; native gap; command-observation offset; clock, network and signing denial</x:v>
      </x:c>
      <x:c r="G19" s="11" t="str">
        <x:v>separate recorder power, clock and command authority</x:v>
      </x:c>
      <x:c r="H19" s="11" t="n">
        <x:v>1</x:v>
      </x:c>
      <x:c r="I19" s="11" t="n">
        <x:v>1</x:v>
      </x:c>
      <x:c r="J19" s="11" t="n">
        <x:v>1</x:v>
      </x:c>
      <x:c r="K19" s="11" t="n">
        <x:v>1</x:v>
      </x:c>
      <x:c r="L19" s="11" t="str">
        <x:f>IF(AND(G19&lt;&gt;"",H19=1,I19=1,J19=1,K19=1),"PASS","FAIL")</x:f>
        <x:v>PASS</x:v>
      </x:c>
      <x:c r="M19" s="13" t="n">
        <x:v>0</x:v>
      </x:c>
      <x:c r="N19" s="11" t="str">
        <x:f>IF(L19&lt;&gt;"PASS","FAIL",IF(M19=1,"PASS","OPEN"))</x:f>
        <x:v>OPEN</x:v>
      </x:c>
    </x:row>
    <x:row r="20">
      <x:c r="B20" s="11" t="str">
        <x:v>FI-SA4-A-S</x:v>
      </x:c>
      <x:c r="C20" s="11" t="str">
        <x:v>SA4</x:v>
      </x:c>
      <x:c r="D20" s="11" t="str">
        <x:v>A</x:v>
      </x:c>
      <x:c r="E20" s="11" t="str">
        <x:v>safety and hazard</x:v>
      </x:c>
      <x:c r="F20" s="11" t="str">
        <x:v>controller removal; one-actuator denial; retained source or carryover</x:v>
      </x:c>
      <x:c r="G20" s="11" t="str">
        <x:v>passive termination path plus independent insertion authority</x:v>
      </x:c>
      <x:c r="H20" s="11" t="n">
        <x:v>1</x:v>
      </x:c>
      <x:c r="I20" s="11" t="n">
        <x:v>1</x:v>
      </x:c>
      <x:c r="J20" s="11" t="n">
        <x:v>1</x:v>
      </x:c>
      <x:c r="K20" s="11" t="n">
        <x:v>1</x:v>
      </x:c>
      <x:c r="L20" s="11" t="str">
        <x:f>IF(AND(G20&lt;&gt;"",H20=1,I20=1,J20=1,K20=1),"PASS","FAIL")</x:f>
        <x:v>PASS</x:v>
      </x:c>
      <x:c r="M20" s="13" t="n">
        <x:v>0</x:v>
      </x:c>
      <x:c r="N20" s="11" t="str">
        <x:f>IF(L20&lt;&gt;"PASS","FAIL",IF(M20=1,"PASS","OPEN"))</x:f>
        <x:v>OPEN</x:v>
      </x:c>
    </x:row>
    <x:row r="21">
      <x:c r="B21" s="11" t="str">
        <x:v>FI-SA4-B-D</x:v>
      </x:c>
      <x:c r="C21" s="11" t="str">
        <x:v>SA4</x:v>
      </x:c>
      <x:c r="D21" s="11" t="str">
        <x:v>B</x:v>
      </x:c>
      <x:c r="E21" s="11" t="str">
        <x:v>data plane</x:v>
      </x:c>
      <x:c r="F21" s="11" t="str">
        <x:v>sensor saturation; native gap; command-observation offset; clock, network and signing denial</x:v>
      </x:c>
      <x:c r="G21" s="11" t="str">
        <x:v>separate recorder power, clock and command authority</x:v>
      </x:c>
      <x:c r="H21" s="11" t="n">
        <x:v>1</x:v>
      </x:c>
      <x:c r="I21" s="11" t="n">
        <x:v>1</x:v>
      </x:c>
      <x:c r="J21" s="11" t="n">
        <x:v>1</x:v>
      </x:c>
      <x:c r="K21" s="11" t="n">
        <x:v>1</x:v>
      </x:c>
      <x:c r="L21" s="11" t="str">
        <x:f>IF(AND(G21&lt;&gt;"",H21=1,I21=1,J21=1,K21=1),"PASS","FAIL")</x:f>
        <x:v>PASS</x:v>
      </x:c>
      <x:c r="M21" s="13" t="n">
        <x:v>0</x:v>
      </x:c>
      <x:c r="N21" s="11" t="str">
        <x:f>IF(L21&lt;&gt;"PASS","FAIL",IF(M21=1,"PASS","OPEN"))</x:f>
        <x:v>OPEN</x:v>
      </x:c>
    </x:row>
    <x:row r="22">
      <x:c r="B22" s="11" t="str">
        <x:v>FI-SA4-B-S</x:v>
      </x:c>
      <x:c r="C22" s="11" t="str">
        <x:v>SA4</x:v>
      </x:c>
      <x:c r="D22" s="11" t="str">
        <x:v>B</x:v>
      </x:c>
      <x:c r="E22" s="11" t="str">
        <x:v>safety and hazard</x:v>
      </x:c>
      <x:c r="F22" s="11" t="str">
        <x:v>controller removal; one-actuator denial; retained source or carryover</x:v>
      </x:c>
      <x:c r="G22" s="11" t="str">
        <x:v>passive termination path plus independent insertion authority</x:v>
      </x:c>
      <x:c r="H22" s="11" t="n">
        <x:v>1</x:v>
      </x:c>
      <x:c r="I22" s="11" t="n">
        <x:v>1</x:v>
      </x:c>
      <x:c r="J22" s="11" t="n">
        <x:v>1</x:v>
      </x:c>
      <x:c r="K22" s="11" t="n">
        <x:v>1</x:v>
      </x:c>
      <x:c r="L22" s="11" t="str">
        <x:f>IF(AND(G22&lt;&gt;"",H22=1,I22=1,J22=1,K22=1),"PASS","FAIL")</x:f>
        <x:v>PASS</x:v>
      </x:c>
      <x:c r="M22" s="13" t="n">
        <x:v>0</x:v>
      </x:c>
      <x:c r="N22" s="11" t="str">
        <x:f>IF(L22&lt;&gt;"PASS","FAIL",IF(M22=1,"PASS","OPEN"))</x:f>
        <x:v>OPEN</x:v>
      </x:c>
    </x:row>
    <x:row r="23">
      <x:c r="B23" s="11" t="str">
        <x:v>FI-SA5-A-D</x:v>
      </x:c>
      <x:c r="C23" s="11" t="str">
        <x:v>SA5</x:v>
      </x:c>
      <x:c r="D23" s="11" t="str">
        <x:v>A</x:v>
      </x:c>
      <x:c r="E23" s="11" t="str">
        <x:v>data plane</x:v>
      </x:c>
      <x:c r="F23" s="11" t="str">
        <x:v>sensor saturation; native gap; command-observation offset; clock, network and signing denial</x:v>
      </x:c>
      <x:c r="G23" s="11" t="str">
        <x:v>separate recorder power, clock and command authority</x:v>
      </x:c>
      <x:c r="H23" s="11" t="n">
        <x:v>1</x:v>
      </x:c>
      <x:c r="I23" s="11" t="n">
        <x:v>1</x:v>
      </x:c>
      <x:c r="J23" s="11" t="n">
        <x:v>1</x:v>
      </x:c>
      <x:c r="K23" s="11" t="n">
        <x:v>1</x:v>
      </x:c>
      <x:c r="L23" s="11" t="str">
        <x:f>IF(AND(G23&lt;&gt;"",H23=1,I23=1,J23=1,K23=1),"PASS","FAIL")</x:f>
        <x:v>PASS</x:v>
      </x:c>
      <x:c r="M23" s="13" t="n">
        <x:v>0</x:v>
      </x:c>
      <x:c r="N23" s="11" t="str">
        <x:f>IF(L23&lt;&gt;"PASS","FAIL",IF(M23=1,"PASS","OPEN"))</x:f>
        <x:v>OPEN</x:v>
      </x:c>
    </x:row>
    <x:row r="24">
      <x:c r="B24" s="11" t="str">
        <x:v>FI-SA5-A-S</x:v>
      </x:c>
      <x:c r="C24" s="11" t="str">
        <x:v>SA5</x:v>
      </x:c>
      <x:c r="D24" s="11" t="str">
        <x:v>A</x:v>
      </x:c>
      <x:c r="E24" s="11" t="str">
        <x:v>safety and hazard</x:v>
      </x:c>
      <x:c r="F24" s="11" t="str">
        <x:v>controller removal; one-actuator denial; retained source or carryover</x:v>
      </x:c>
      <x:c r="G24" s="11" t="str">
        <x:v>passive termination path plus independent insertion authority</x:v>
      </x:c>
      <x:c r="H24" s="11" t="n">
        <x:v>1</x:v>
      </x:c>
      <x:c r="I24" s="11" t="n">
        <x:v>1</x:v>
      </x:c>
      <x:c r="J24" s="11" t="n">
        <x:v>1</x:v>
      </x:c>
      <x:c r="K24" s="11" t="n">
        <x:v>1</x:v>
      </x:c>
      <x:c r="L24" s="11" t="str">
        <x:f>IF(AND(G24&lt;&gt;"",H24=1,I24=1,J24=1,K24=1),"PASS","FAIL")</x:f>
        <x:v>PASS</x:v>
      </x:c>
      <x:c r="M24" s="13" t="n">
        <x:v>0</x:v>
      </x:c>
      <x:c r="N24" s="11" t="str">
        <x:f>IF(L24&lt;&gt;"PASS","FAIL",IF(M24=1,"PASS","OPEN"))</x:f>
        <x:v>OPEN</x:v>
      </x:c>
    </x:row>
    <x:row r="25">
      <x:c r="B25" s="11" t="str">
        <x:v>FI-SA5-B-D</x:v>
      </x:c>
      <x:c r="C25" s="11" t="str">
        <x:v>SA5</x:v>
      </x:c>
      <x:c r="D25" s="11" t="str">
        <x:v>B</x:v>
      </x:c>
      <x:c r="E25" s="11" t="str">
        <x:v>data plane</x:v>
      </x:c>
      <x:c r="F25" s="11" t="str">
        <x:v>sensor saturation; native gap; command-observation offset; clock, network and signing denial</x:v>
      </x:c>
      <x:c r="G25" s="11" t="str">
        <x:v>separate recorder power, clock and command authority</x:v>
      </x:c>
      <x:c r="H25" s="11" t="n">
        <x:v>1</x:v>
      </x:c>
      <x:c r="I25" s="11" t="n">
        <x:v>1</x:v>
      </x:c>
      <x:c r="J25" s="11" t="n">
        <x:v>1</x:v>
      </x:c>
      <x:c r="K25" s="11" t="n">
        <x:v>1</x:v>
      </x:c>
      <x:c r="L25" s="11" t="str">
        <x:f>IF(AND(G25&lt;&gt;"",H25=1,I25=1,J25=1,K25=1),"PASS","FAIL")</x:f>
        <x:v>PASS</x:v>
      </x:c>
      <x:c r="M25" s="13" t="n">
        <x:v>0</x:v>
      </x:c>
      <x:c r="N25" s="11" t="str">
        <x:f>IF(L25&lt;&gt;"PASS","FAIL",IF(M25=1,"PASS","OPEN"))</x:f>
        <x:v>OPEN</x:v>
      </x:c>
    </x:row>
    <x:row r="26">
      <x:c r="B26" s="11" t="str">
        <x:v>FI-SA5-B-S</x:v>
      </x:c>
      <x:c r="C26" s="11" t="str">
        <x:v>SA5</x:v>
      </x:c>
      <x:c r="D26" s="11" t="str">
        <x:v>B</x:v>
      </x:c>
      <x:c r="E26" s="11" t="str">
        <x:v>safety and hazard</x:v>
      </x:c>
      <x:c r="F26" s="11" t="str">
        <x:v>controller removal; one-actuator denial; retained source or carryover</x:v>
      </x:c>
      <x:c r="G26" s="11" t="str">
        <x:v>passive termination path plus independent insertion authority</x:v>
      </x:c>
      <x:c r="H26" s="11" t="n">
        <x:v>1</x:v>
      </x:c>
      <x:c r="I26" s="11" t="n">
        <x:v>1</x:v>
      </x:c>
      <x:c r="J26" s="11" t="n">
        <x:v>1</x:v>
      </x:c>
      <x:c r="K26" s="11" t="n">
        <x:v>1</x:v>
      </x:c>
      <x:c r="L26" s="11" t="str">
        <x:f>IF(AND(G26&lt;&gt;"",H26=1,I26=1,J26=1,K26=1),"PASS","FAIL")</x:f>
        <x:v>PASS</x:v>
      </x:c>
      <x:c r="M26" s="13" t="n">
        <x:v>0</x:v>
      </x:c>
      <x:c r="N26" s="11" t="str">
        <x:f>IF(L26&lt;&gt;"PASS","FAIL",IF(M26=1,"PASS","OPEN"))</x:f>
        <x:v>OPEN</x:v>
      </x:c>
    </x:row>
    <x:row r="27">
      <x:c r="B27" s="11" t="str">
        <x:v>FI-SA6-A-D</x:v>
      </x:c>
      <x:c r="C27" s="11" t="str">
        <x:v>SA6</x:v>
      </x:c>
      <x:c r="D27" s="11" t="str">
        <x:v>A</x:v>
      </x:c>
      <x:c r="E27" s="11" t="str">
        <x:v>data plane</x:v>
      </x:c>
      <x:c r="F27" s="11" t="str">
        <x:v>sensor saturation; native gap; command-observation offset; clock, network and signing denial</x:v>
      </x:c>
      <x:c r="G27" s="11" t="str">
        <x:v>separate recorder power, clock and command authority</x:v>
      </x:c>
      <x:c r="H27" s="11" t="n">
        <x:v>1</x:v>
      </x:c>
      <x:c r="I27" s="11" t="n">
        <x:v>1</x:v>
      </x:c>
      <x:c r="J27" s="11" t="n">
        <x:v>1</x:v>
      </x:c>
      <x:c r="K27" s="11" t="n">
        <x:v>1</x:v>
      </x:c>
      <x:c r="L27" s="11" t="str">
        <x:f>IF(AND(G27&lt;&gt;"",H27=1,I27=1,J27=1,K27=1),"PASS","FAIL")</x:f>
        <x:v>PASS</x:v>
      </x:c>
      <x:c r="M27" s="13" t="n">
        <x:v>0</x:v>
      </x:c>
      <x:c r="N27" s="11" t="str">
        <x:f>IF(L27&lt;&gt;"PASS","FAIL",IF(M27=1,"PASS","OPEN"))</x:f>
        <x:v>OPEN</x:v>
      </x:c>
    </x:row>
    <x:row r="28">
      <x:c r="B28" s="11" t="str">
        <x:v>FI-SA6-A-S</x:v>
      </x:c>
      <x:c r="C28" s="11" t="str">
        <x:v>SA6</x:v>
      </x:c>
      <x:c r="D28" s="11" t="str">
        <x:v>A</x:v>
      </x:c>
      <x:c r="E28" s="11" t="str">
        <x:v>safety and hazard</x:v>
      </x:c>
      <x:c r="F28" s="11" t="str">
        <x:v>controller removal; one-actuator denial; retained source or carryover</x:v>
      </x:c>
      <x:c r="G28" s="11" t="str">
        <x:v>passive termination path plus independent insertion authority</x:v>
      </x:c>
      <x:c r="H28" s="11" t="n">
        <x:v>1</x:v>
      </x:c>
      <x:c r="I28" s="11" t="n">
        <x:v>1</x:v>
      </x:c>
      <x:c r="J28" s="11" t="n">
        <x:v>1</x:v>
      </x:c>
      <x:c r="K28" s="11" t="n">
        <x:v>1</x:v>
      </x:c>
      <x:c r="L28" s="11" t="str">
        <x:f>IF(AND(G28&lt;&gt;"",H28=1,I28=1,J28=1,K28=1),"PASS","FAIL")</x:f>
        <x:v>PASS</x:v>
      </x:c>
      <x:c r="M28" s="13" t="n">
        <x:v>0</x:v>
      </x:c>
      <x:c r="N28" s="11" t="str">
        <x:f>IF(L28&lt;&gt;"PASS","FAIL",IF(M28=1,"PASS","OPEN"))</x:f>
        <x:v>OPEN</x:v>
      </x:c>
    </x:row>
    <x:row r="29">
      <x:c r="B29" s="11" t="str">
        <x:v>FI-SA6-B-D</x:v>
      </x:c>
      <x:c r="C29" s="11" t="str">
        <x:v>SA6</x:v>
      </x:c>
      <x:c r="D29" s="11" t="str">
        <x:v>B</x:v>
      </x:c>
      <x:c r="E29" s="11" t="str">
        <x:v>data plane</x:v>
      </x:c>
      <x:c r="F29" s="11" t="str">
        <x:v>sensor saturation; native gap; command-observation offset; clock, network and signing denial</x:v>
      </x:c>
      <x:c r="G29" s="11" t="str">
        <x:v>separate recorder power, clock and command authority</x:v>
      </x:c>
      <x:c r="H29" s="11" t="n">
        <x:v>1</x:v>
      </x:c>
      <x:c r="I29" s="11" t="n">
        <x:v>1</x:v>
      </x:c>
      <x:c r="J29" s="11" t="n">
        <x:v>1</x:v>
      </x:c>
      <x:c r="K29" s="11" t="n">
        <x:v>1</x:v>
      </x:c>
      <x:c r="L29" s="11" t="str">
        <x:f>IF(AND(G29&lt;&gt;"",H29=1,I29=1,J29=1,K29=1),"PASS","FAIL")</x:f>
        <x:v>PASS</x:v>
      </x:c>
      <x:c r="M29" s="13" t="n">
        <x:v>0</x:v>
      </x:c>
      <x:c r="N29" s="11" t="str">
        <x:f>IF(L29&lt;&gt;"PASS","FAIL",IF(M29=1,"PASS","OPEN"))</x:f>
        <x:v>OPEN</x:v>
      </x:c>
    </x:row>
    <x:row r="30">
      <x:c r="B30" s="12" t="str">
        <x:v>FI-SA6-B-S</x:v>
      </x:c>
      <x:c r="C30" s="12" t="str">
        <x:v>SA6</x:v>
      </x:c>
      <x:c r="D30" s="12" t="str">
        <x:v>B</x:v>
      </x:c>
      <x:c r="E30" s="12" t="str">
        <x:v>safety and hazard</x:v>
      </x:c>
      <x:c r="F30" s="12" t="str">
        <x:v>controller removal; one-actuator denial; retained source or carryover</x:v>
      </x:c>
      <x:c r="G30" s="12" t="str">
        <x:v>passive termination path plus independent insertion authority</x:v>
      </x:c>
      <x:c r="H30" s="12" t="n">
        <x:v>1</x:v>
      </x:c>
      <x:c r="I30" s="12" t="n">
        <x:v>1</x:v>
      </x:c>
      <x:c r="J30" s="12" t="n">
        <x:v>1</x:v>
      </x:c>
      <x:c r="K30" s="12" t="n">
        <x:v>1</x:v>
      </x:c>
      <x:c r="L30" s="12" t="str">
        <x:f>IF(AND(G30&lt;&gt;"",H30=1,I30=1,J30=1,K30=1),"PASS","FAIL")</x:f>
        <x:v>PASS</x:v>
      </x:c>
      <x:c r="M30" s="14" t="n">
        <x:v>0</x:v>
      </x:c>
      <x:c r="N30" s="12" t="str">
        <x:f>IF(L30&lt;&gt;"PASS","FAIL",IF(M30=1,"PASS","OPEN"))</x:f>
        <x:v>OPEN</x:v>
      </x:c>
    </x:row>
  </x:sheetData>
  <x:mergeCells>
    <x:mergeCell ref="B2:N2"/>
    <x:mergeCell ref="B3:N3"/>
  </x:mergeCells>
  <x:conditionalFormatting sqref="L7:N30">
    <x:cfRule type="containsText" dxfId="140" priority="1" operator="containsText" text="PASS"/>
    <x:cfRule type="containsText" dxfId="141" priority="2" operator="containsText" text="AUTHORIZED"/>
    <x:cfRule type="containsText" dxfId="142" priority="3" operator="containsText" text="DEFINED"/>
    <x:cfRule type="containsText" dxfId="143" priority="4" operator="containsText" text="READY"/>
    <x:cfRule type="containsText" dxfId="144" priority="5" operator="containsText" text="HOLD"/>
    <x:cfRule type="containsText" dxfId="145" priority="6" operator="containsText" text="OPEN"/>
    <x:cfRule type="containsText" dxfId="146" priority="7" operator="containsText" text="BLOCKED"/>
    <x:cfRule type="containsText" dxfId="147" priority="8" operator="containsText" text="PLANNING"/>
    <x:cfRule type="containsText" dxfId="148" priority="9" operator="containsText" text="QUARANTINE"/>
    <x:cfRule type="containsText" dxfId="149" priority="10" operator="containsText" text="INDETERMINATE"/>
    <x:cfRule type="containsText" dxfId="150" priority="11" operator="containsText" text="FAIL"/>
    <x:cfRule type="containsText" dxfId="151" priority="12" operator="containsText" text="REJECT"/>
    <x:cfRule type="containsText" dxfId="152" priority="13" operator="containsText" text="INVALID"/>
    <x:cfRule type="containsText" dxfId="153" priority="14" operator="containsText" text="STOP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0" hidden="0" customWidth="1"/>
    <x:col min="4" max="4" width="8" hidden="0" customWidth="1"/>
    <x:col min="5" max="5" width="14" hidden="0" customWidth="1"/>
    <x:col min="6" max="6" width="14" hidden="0" customWidth="1"/>
    <x:col min="7" max="7" width="23" hidden="0" customWidth="1"/>
    <x:col min="8" max="8" width="23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7" hidden="0" customWidth="1"/>
    <x:col min="14" max="14" width="16" hidden="0" customWidth="1"/>
    <x:col min="15" max="15" width="16" hidden="0" customWidth="1"/>
    <x:col min="16" max="16" width="15" hidden="0" customWidth="1"/>
    <x:col min="17" max="17" width="16" hidden="0" customWidth="1"/>
    <x:col min="18" max="18" width="14" hidden="0" customWidth="1"/>
  </x:cols>
  <x:sheetData>
    <x:row r="2">
      <x:c r="B2" s="37" t="str">
        <x:v>Root-family safe-state timing budgets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3">
      <x:c r="B3" s="39" t="str">
        <x:v>Times are measured from independent detection. Human entry requires a measured source condition, not elapsed time alone.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B6" s="9" t="str">
        <x:v>Timing ID</x:v>
      </x:c>
      <x:c r="C6" s="9" t="str">
        <x:v>Family</x:v>
      </x:c>
      <x:c r="D6" s="9" t="str">
        <x:v>Root</x:v>
      </x:c>
      <x:c r="E6" s="9" t="str">
        <x:v>Detection (s)</x:v>
      </x:c>
      <x:c r="F6" s="9" t="str">
        <x:v>Command (s)</x:v>
      </x:c>
      <x:c r="G6" s="9" t="str">
        <x:v>Passive arrest or isolation (s)</x:v>
      </x:c>
      <x:c r="H6" s="9" t="str">
        <x:v>Source below threshold (s)</x:v>
      </x:c>
      <x:c r="I6" s="9" t="str">
        <x:v>Evidence seal (s)</x:v>
      </x:c>
      <x:c r="J6" s="9" t="str">
        <x:v>Earliest entry (s)</x:v>
      </x:c>
      <x:c r="K6" s="9" t="str">
        <x:v>Detection limit</x:v>
      </x:c>
      <x:c r="L6" s="9" t="str">
        <x:v>Command limit</x:v>
      </x:c>
      <x:c r="M6" s="9" t="str">
        <x:v>Isolation limit</x:v>
      </x:c>
      <x:c r="N6" s="9" t="str">
        <x:v>Source limit</x:v>
      </x:c>
      <x:c r="O6" s="9" t="str">
        <x:v>Evidence limit</x:v>
      </x:c>
      <x:c r="P6" s="9" t="str">
        <x:v>Planning state</x:v>
      </x:c>
      <x:c r="Q6" s="9" t="str">
        <x:v>Observed source</x:v>
      </x:c>
      <x:c r="R6" s="9" t="str">
        <x:v>Source state</x:v>
      </x:c>
    </x:row>
    <x:row r="7">
      <x:c r="B7" s="11" t="str">
        <x:v>SS-SA1-A</x:v>
      </x:c>
      <x:c r="C7" s="11" t="str">
        <x:v>SA1</x:v>
      </x:c>
      <x:c r="D7" s="17" t="str">
        <x:v>A</x:v>
      </x:c>
      <x:c r="E7" s="17" t="n">
        <x:v>0.05</x:v>
      </x:c>
      <x:c r="F7" s="17" t="n">
        <x:v>0.1</x:v>
      </x:c>
      <x:c r="G7" s="17" t="n">
        <x:v>5</x:v>
      </x:c>
      <x:c r="H7" s="17" t="n">
        <x:v>10</x:v>
      </x:c>
      <x:c r="I7" s="17" t="n">
        <x:v>30</x:v>
      </x:c>
      <x:c r="J7" s="17" t="n">
        <x:v>900</x:v>
      </x:c>
      <x:c r="K7" s="17" t="n">
        <x:v>0.0505</x:v>
      </x:c>
      <x:c r="L7" s="17" t="n">
        <x:v>0.101</x:v>
      </x:c>
      <x:c r="M7" s="17" t="n">
        <x:v>5.05</x:v>
      </x:c>
      <x:c r="N7" s="17" t="n">
        <x:v>10.1</x:v>
      </x:c>
      <x:c r="O7" s="11" t="n">
        <x:v>30.3</x:v>
      </x:c>
      <x:c r="P7" s="11" t="str">
        <x:f>IF(AND(E7&lt;=K7,F7&lt;=L7,G7&lt;=M7,H7&lt;=N7,I7&lt;=O7),"PASS","FAIL")</x:f>
        <x:v>PASS</x:v>
      </x:c>
      <x:c r="Q7" s="13" t="n">
        <x:v>0</x:v>
      </x:c>
      <x:c r="R7" s="11" t="str">
        <x:f>IF(P7&lt;&gt;"PASS","FAIL",IF(Q7=1,"PASS","OPEN"))</x:f>
        <x:v>OPEN</x:v>
      </x:c>
    </x:row>
    <x:row r="8">
      <x:c r="B8" s="11" t="str">
        <x:v>SS-SA1-B</x:v>
      </x:c>
      <x:c r="C8" s="11" t="str">
        <x:v>SA1</x:v>
      </x:c>
      <x:c r="D8" s="17" t="str">
        <x:v>B</x:v>
      </x:c>
      <x:c r="E8" s="17" t="n">
        <x:v>0.05</x:v>
      </x:c>
      <x:c r="F8" s="17" t="n">
        <x:v>0.1</x:v>
      </x:c>
      <x:c r="G8" s="17" t="n">
        <x:v>5</x:v>
      </x:c>
      <x:c r="H8" s="17" t="n">
        <x:v>10</x:v>
      </x:c>
      <x:c r="I8" s="17" t="n">
        <x:v>30</x:v>
      </x:c>
      <x:c r="J8" s="17" t="n">
        <x:v>900</x:v>
      </x:c>
      <x:c r="K8" s="17" t="n">
        <x:v>0.0505</x:v>
      </x:c>
      <x:c r="L8" s="17" t="n">
        <x:v>0.101</x:v>
      </x:c>
      <x:c r="M8" s="17" t="n">
        <x:v>5.05</x:v>
      </x:c>
      <x:c r="N8" s="17" t="n">
        <x:v>10.1</x:v>
      </x:c>
      <x:c r="O8" s="11" t="n">
        <x:v>30.3</x:v>
      </x:c>
      <x:c r="P8" s="11" t="str">
        <x:f>IF(AND(E8&lt;=K8,F8&lt;=L8,G8&lt;=M8,H8&lt;=N8,I8&lt;=O8),"PASS","FAIL")</x:f>
        <x:v>PASS</x:v>
      </x:c>
      <x:c r="Q8" s="13" t="n">
        <x:v>0</x:v>
      </x:c>
      <x:c r="R8" s="11" t="str">
        <x:f>IF(P8&lt;&gt;"PASS","FAIL",IF(Q8=1,"PASS","OPEN"))</x:f>
        <x:v>OPEN</x:v>
      </x:c>
    </x:row>
    <x:row r="9">
      <x:c r="B9" s="11" t="str">
        <x:v>SS-SA2-A</x:v>
      </x:c>
      <x:c r="C9" s="11" t="str">
        <x:v>SA2</x:v>
      </x:c>
      <x:c r="D9" s="17" t="str">
        <x:v>A</x:v>
      </x:c>
      <x:c r="E9" s="17" t="n">
        <x:v>0.02</x:v>
      </x:c>
      <x:c r="F9" s="17" t="n">
        <x:v>0.05</x:v>
      </x:c>
      <x:c r="G9" s="17" t="n">
        <x:v>1</x:v>
      </x:c>
      <x:c r="H9" s="17" t="n">
        <x:v>5</x:v>
      </x:c>
      <x:c r="I9" s="17" t="n">
        <x:v>30</x:v>
      </x:c>
      <x:c r="J9" s="17" t="n">
        <x:v>900</x:v>
      </x:c>
      <x:c r="K9" s="17" t="n">
        <x:v>0.0202</x:v>
      </x:c>
      <x:c r="L9" s="17" t="n">
        <x:v>0.0505</x:v>
      </x:c>
      <x:c r="M9" s="17" t="n">
        <x:v>1.01</x:v>
      </x:c>
      <x:c r="N9" s="17" t="n">
        <x:v>5.05</x:v>
      </x:c>
      <x:c r="O9" s="11" t="n">
        <x:v>30.3</x:v>
      </x:c>
      <x:c r="P9" s="11" t="str">
        <x:f>IF(AND(E9&lt;=K9,F9&lt;=L9,G9&lt;=M9,H9&lt;=N9,I9&lt;=O9),"PASS","FAIL")</x:f>
        <x:v>PASS</x:v>
      </x:c>
      <x:c r="Q9" s="13" t="n">
        <x:v>0</x:v>
      </x:c>
      <x:c r="R9" s="11" t="str">
        <x:f>IF(P9&lt;&gt;"PASS","FAIL",IF(Q9=1,"PASS","OPEN"))</x:f>
        <x:v>OPEN</x:v>
      </x:c>
    </x:row>
    <x:row r="10">
      <x:c r="B10" s="11" t="str">
        <x:v>SS-SA2-B</x:v>
      </x:c>
      <x:c r="C10" s="11" t="str">
        <x:v>SA2</x:v>
      </x:c>
      <x:c r="D10" s="17" t="str">
        <x:v>B</x:v>
      </x:c>
      <x:c r="E10" s="17" t="n">
        <x:v>0.02</x:v>
      </x:c>
      <x:c r="F10" s="17" t="n">
        <x:v>0.05</x:v>
      </x:c>
      <x:c r="G10" s="17" t="n">
        <x:v>1</x:v>
      </x:c>
      <x:c r="H10" s="17" t="n">
        <x:v>5</x:v>
      </x:c>
      <x:c r="I10" s="17" t="n">
        <x:v>30</x:v>
      </x:c>
      <x:c r="J10" s="17" t="n">
        <x:v>900</x:v>
      </x:c>
      <x:c r="K10" s="17" t="n">
        <x:v>0.0202</x:v>
      </x:c>
      <x:c r="L10" s="17" t="n">
        <x:v>0.0505</x:v>
      </x:c>
      <x:c r="M10" s="17" t="n">
        <x:v>1.01</x:v>
      </x:c>
      <x:c r="N10" s="17" t="n">
        <x:v>5.05</x:v>
      </x:c>
      <x:c r="O10" s="11" t="n">
        <x:v>30.3</x:v>
      </x:c>
      <x:c r="P10" s="11" t="str">
        <x:f>IF(AND(E10&lt;=K10,F10&lt;=L10,G10&lt;=M10,H10&lt;=N10,I10&lt;=O10),"PASS","FAIL")</x:f>
        <x:v>PASS</x:v>
      </x:c>
      <x:c r="Q10" s="13" t="n">
        <x:v>0</x:v>
      </x:c>
      <x:c r="R10" s="11" t="str">
        <x:f>IF(P10&lt;&gt;"PASS","FAIL",IF(Q10=1,"PASS","OPEN"))</x:f>
        <x:v>OPEN</x:v>
      </x:c>
    </x:row>
    <x:row r="11">
      <x:c r="B11" s="11" t="str">
        <x:v>SS-SA3-A</x:v>
      </x:c>
      <x:c r="C11" s="11" t="str">
        <x:v>SA3</x:v>
      </x:c>
      <x:c r="D11" s="17" t="str">
        <x:v>A</x:v>
      </x:c>
      <x:c r="E11" s="17" t="n">
        <x:v>0.1</x:v>
      </x:c>
      <x:c r="F11" s="17" t="n">
        <x:v>0.25</x:v>
      </x:c>
      <x:c r="G11" s="17" t="n">
        <x:v>2</x:v>
      </x:c>
      <x:c r="H11" s="17" t="n">
        <x:v>30</x:v>
      </x:c>
      <x:c r="I11" s="17" t="n">
        <x:v>30</x:v>
      </x:c>
      <x:c r="J11" s="17" t="n">
        <x:v>600</x:v>
      </x:c>
      <x:c r="K11" s="17" t="n">
        <x:v>0.101</x:v>
      </x:c>
      <x:c r="L11" s="17" t="n">
        <x:v>0.2525</x:v>
      </x:c>
      <x:c r="M11" s="17" t="n">
        <x:v>2.02</x:v>
      </x:c>
      <x:c r="N11" s="17" t="n">
        <x:v>30.3</x:v>
      </x:c>
      <x:c r="O11" s="11" t="n">
        <x:v>30.3</x:v>
      </x:c>
      <x:c r="P11" s="11" t="str">
        <x:f>IF(AND(E11&lt;=K11,F11&lt;=L11,G11&lt;=M11,H11&lt;=N11,I11&lt;=O11),"PASS","FAIL")</x:f>
        <x:v>PASS</x:v>
      </x:c>
      <x:c r="Q11" s="13" t="n">
        <x:v>0</x:v>
      </x:c>
      <x:c r="R11" s="11" t="str">
        <x:f>IF(P11&lt;&gt;"PASS","FAIL",IF(Q11=1,"PASS","OPEN"))</x:f>
        <x:v>OPEN</x:v>
      </x:c>
    </x:row>
    <x:row r="12">
      <x:c r="B12" s="11" t="str">
        <x:v>SS-SA3-B</x:v>
      </x:c>
      <x:c r="C12" s="11" t="str">
        <x:v>SA3</x:v>
      </x:c>
      <x:c r="D12" s="17" t="str">
        <x:v>B</x:v>
      </x:c>
      <x:c r="E12" s="17" t="n">
        <x:v>0.1</x:v>
      </x:c>
      <x:c r="F12" s="17" t="n">
        <x:v>0.25</x:v>
      </x:c>
      <x:c r="G12" s="17" t="n">
        <x:v>2</x:v>
      </x:c>
      <x:c r="H12" s="17" t="n">
        <x:v>30</x:v>
      </x:c>
      <x:c r="I12" s="17" t="n">
        <x:v>30</x:v>
      </x:c>
      <x:c r="J12" s="17" t="n">
        <x:v>600</x:v>
      </x:c>
      <x:c r="K12" s="17" t="n">
        <x:v>0.101</x:v>
      </x:c>
      <x:c r="L12" s="17" t="n">
        <x:v>0.2525</x:v>
      </x:c>
      <x:c r="M12" s="17" t="n">
        <x:v>2.02</x:v>
      </x:c>
      <x:c r="N12" s="17" t="n">
        <x:v>30.3</x:v>
      </x:c>
      <x:c r="O12" s="11" t="n">
        <x:v>30.3</x:v>
      </x:c>
      <x:c r="P12" s="11" t="str">
        <x:f>IF(AND(E12&lt;=K12,F12&lt;=L12,G12&lt;=M12,H12&lt;=N12,I12&lt;=O12),"PASS","FAIL")</x:f>
        <x:v>PASS</x:v>
      </x:c>
      <x:c r="Q12" s="13" t="n">
        <x:v>0</x:v>
      </x:c>
      <x:c r="R12" s="11" t="str">
        <x:f>IF(P12&lt;&gt;"PASS","FAIL",IF(Q12=1,"PASS","OPEN"))</x:f>
        <x:v>OPEN</x:v>
      </x:c>
    </x:row>
    <x:row r="13">
      <x:c r="B13" s="11" t="str">
        <x:v>SS-SA4-A</x:v>
      </x:c>
      <x:c r="C13" s="11" t="str">
        <x:v>SA4</x:v>
      </x:c>
      <x:c r="D13" s="17" t="str">
        <x:v>A</x:v>
      </x:c>
      <x:c r="E13" s="17" t="n">
        <x:v>0.001</x:v>
      </x:c>
      <x:c r="F13" s="17" t="n">
        <x:v>0.02</x:v>
      </x:c>
      <x:c r="G13" s="17" t="n">
        <x:v>0.1</x:v>
      </x:c>
      <x:c r="H13" s="17" t="n">
        <x:v>60</x:v>
      </x:c>
      <x:c r="I13" s="17" t="n">
        <x:v>10</x:v>
      </x:c>
      <x:c r="J13" s="17" t="n">
        <x:v>900</x:v>
      </x:c>
      <x:c r="K13" s="17" t="n">
        <x:v>0.00101</x:v>
      </x:c>
      <x:c r="L13" s="17" t="n">
        <x:v>0.0202</x:v>
      </x:c>
      <x:c r="M13" s="17" t="n">
        <x:v>0.101</x:v>
      </x:c>
      <x:c r="N13" s="17" t="n">
        <x:v>60.6</x:v>
      </x:c>
      <x:c r="O13" s="11" t="n">
        <x:v>10.1</x:v>
      </x:c>
      <x:c r="P13" s="11" t="str">
        <x:f>IF(AND(E13&lt;=K13,F13&lt;=L13,G13&lt;=M13,H13&lt;=N13,I13&lt;=O13),"PASS","FAIL")</x:f>
        <x:v>PASS</x:v>
      </x:c>
      <x:c r="Q13" s="13" t="n">
        <x:v>0</x:v>
      </x:c>
      <x:c r="R13" s="11" t="str">
        <x:f>IF(P13&lt;&gt;"PASS","FAIL",IF(Q13=1,"PASS","OPEN"))</x:f>
        <x:v>OPEN</x:v>
      </x:c>
    </x:row>
    <x:row r="14">
      <x:c r="B14" s="11" t="str">
        <x:v>SS-SA4-B</x:v>
      </x:c>
      <x:c r="C14" s="11" t="str">
        <x:v>SA4</x:v>
      </x:c>
      <x:c r="D14" s="17" t="str">
        <x:v>B</x:v>
      </x:c>
      <x:c r="E14" s="17" t="n">
        <x:v>0.001</x:v>
      </x:c>
      <x:c r="F14" s="17" t="n">
        <x:v>0.02</x:v>
      </x:c>
      <x:c r="G14" s="17" t="n">
        <x:v>0.15</x:v>
      </x:c>
      <x:c r="H14" s="17" t="n">
        <x:v>60</x:v>
      </x:c>
      <x:c r="I14" s="17" t="n">
        <x:v>10</x:v>
      </x:c>
      <x:c r="J14" s="17" t="n">
        <x:v>900</x:v>
      </x:c>
      <x:c r="K14" s="17" t="n">
        <x:v>0.00101</x:v>
      </x:c>
      <x:c r="L14" s="17" t="n">
        <x:v>0.0202</x:v>
      </x:c>
      <x:c r="M14" s="17" t="n">
        <x:v>0.1515</x:v>
      </x:c>
      <x:c r="N14" s="17" t="n">
        <x:v>60.6</x:v>
      </x:c>
      <x:c r="O14" s="11" t="n">
        <x:v>10.1</x:v>
      </x:c>
      <x:c r="P14" s="11" t="str">
        <x:f>IF(AND(E14&lt;=K14,F14&lt;=L14,G14&lt;=M14,H14&lt;=N14,I14&lt;=O14),"PASS","FAIL")</x:f>
        <x:v>PASS</x:v>
      </x:c>
      <x:c r="Q14" s="13" t="n">
        <x:v>0</x:v>
      </x:c>
      <x:c r="R14" s="11" t="str">
        <x:f>IF(P14&lt;&gt;"PASS","FAIL",IF(Q14=1,"PASS","OPEN"))</x:f>
        <x:v>OPEN</x:v>
      </x:c>
    </x:row>
    <x:row r="15">
      <x:c r="B15" s="11" t="str">
        <x:v>SS-SA5-A</x:v>
      </x:c>
      <x:c r="C15" s="11" t="str">
        <x:v>SA5</x:v>
      </x:c>
      <x:c r="D15" s="17" t="str">
        <x:v>A</x:v>
      </x:c>
      <x:c r="E15" s="17" t="n">
        <x:v>0.25</x:v>
      </x:c>
      <x:c r="F15" s="17" t="n">
        <x:v>0.5</x:v>
      </x:c>
      <x:c r="G15" s="17" t="n">
        <x:v>2</x:v>
      </x:c>
      <x:c r="H15" s="17" t="n">
        <x:v>900</x:v>
      </x:c>
      <x:c r="I15" s="17" t="n">
        <x:v>30</x:v>
      </x:c>
      <x:c r="J15" s="17" t="n">
        <x:v>1800</x:v>
      </x:c>
      <x:c r="K15" s="17" t="n">
        <x:v>0.2525</x:v>
      </x:c>
      <x:c r="L15" s="17" t="n">
        <x:v>0.505</x:v>
      </x:c>
      <x:c r="M15" s="17" t="n">
        <x:v>2.02</x:v>
      </x:c>
      <x:c r="N15" s="17" t="n">
        <x:v>909</x:v>
      </x:c>
      <x:c r="O15" s="11" t="n">
        <x:v>30.3</x:v>
      </x:c>
      <x:c r="P15" s="11" t="str">
        <x:f>IF(AND(E15&lt;=K15,F15&lt;=L15,G15&lt;=M15,H15&lt;=N15,I15&lt;=O15),"PASS","FAIL")</x:f>
        <x:v>PASS</x:v>
      </x:c>
      <x:c r="Q15" s="13" t="n">
        <x:v>0</x:v>
      </x:c>
      <x:c r="R15" s="11" t="str">
        <x:f>IF(P15&lt;&gt;"PASS","FAIL",IF(Q15=1,"PASS","OPEN"))</x:f>
        <x:v>OPEN</x:v>
      </x:c>
    </x:row>
    <x:row r="16">
      <x:c r="B16" s="11" t="str">
        <x:v>SS-SA5-B</x:v>
      </x:c>
      <x:c r="C16" s="11" t="str">
        <x:v>SA5</x:v>
      </x:c>
      <x:c r="D16" s="17" t="str">
        <x:v>B</x:v>
      </x:c>
      <x:c r="E16" s="17" t="n">
        <x:v>0.25</x:v>
      </x:c>
      <x:c r="F16" s="17" t="n">
        <x:v>0.5</x:v>
      </x:c>
      <x:c r="G16" s="17" t="n">
        <x:v>2</x:v>
      </x:c>
      <x:c r="H16" s="17" t="n">
        <x:v>900</x:v>
      </x:c>
      <x:c r="I16" s="17" t="n">
        <x:v>30</x:v>
      </x:c>
      <x:c r="J16" s="17" t="n">
        <x:v>1800</x:v>
      </x:c>
      <x:c r="K16" s="17" t="n">
        <x:v>0.2525</x:v>
      </x:c>
      <x:c r="L16" s="17" t="n">
        <x:v>0.505</x:v>
      </x:c>
      <x:c r="M16" s="17" t="n">
        <x:v>2.02</x:v>
      </x:c>
      <x:c r="N16" s="17" t="n">
        <x:v>909</x:v>
      </x:c>
      <x:c r="O16" s="11" t="n">
        <x:v>30.3</x:v>
      </x:c>
      <x:c r="P16" s="11" t="str">
        <x:f>IF(AND(E16&lt;=K16,F16&lt;=L16,G16&lt;=M16,H16&lt;=N16,I16&lt;=O16),"PASS","FAIL")</x:f>
        <x:v>PASS</x:v>
      </x:c>
      <x:c r="Q16" s="13" t="n">
        <x:v>0</x:v>
      </x:c>
      <x:c r="R16" s="11" t="str">
        <x:f>IF(P16&lt;&gt;"PASS","FAIL",IF(Q16=1,"PASS","OPEN"))</x:f>
        <x:v>OPEN</x:v>
      </x:c>
    </x:row>
    <x:row r="17">
      <x:c r="B17" s="11" t="str">
        <x:v>SS-SA6-A</x:v>
      </x:c>
      <x:c r="C17" s="11" t="str">
        <x:v>SA6</x:v>
      </x:c>
      <x:c r="D17" s="17" t="str">
        <x:v>A</x:v>
      </x:c>
      <x:c r="E17" s="17" t="n">
        <x:v>0.1</x:v>
      </x:c>
      <x:c r="F17" s="17" t="n">
        <x:v>0.25</x:v>
      </x:c>
      <x:c r="G17" s="17" t="n">
        <x:v>2</x:v>
      </x:c>
      <x:c r="H17" s="17" t="n">
        <x:v>30</x:v>
      </x:c>
      <x:c r="I17" s="17" t="n">
        <x:v>30</x:v>
      </x:c>
      <x:c r="J17" s="17" t="n">
        <x:v>1800</x:v>
      </x:c>
      <x:c r="K17" s="17" t="n">
        <x:v>0.101</x:v>
      </x:c>
      <x:c r="L17" s="17" t="n">
        <x:v>0.2525</x:v>
      </x:c>
      <x:c r="M17" s="17" t="n">
        <x:v>2.02</x:v>
      </x:c>
      <x:c r="N17" s="17" t="n">
        <x:v>30.3</x:v>
      </x:c>
      <x:c r="O17" s="11" t="n">
        <x:v>30.3</x:v>
      </x:c>
      <x:c r="P17" s="11" t="str">
        <x:f>IF(AND(E17&lt;=K17,F17&lt;=L17,G17&lt;=M17,H17&lt;=N17,I17&lt;=O17),"PASS","FAIL")</x:f>
        <x:v>PASS</x:v>
      </x:c>
      <x:c r="Q17" s="13" t="n">
        <x:v>0</x:v>
      </x:c>
      <x:c r="R17" s="11" t="str">
        <x:f>IF(P17&lt;&gt;"PASS","FAIL",IF(Q17=1,"PASS","OPEN"))</x:f>
        <x:v>OPEN</x:v>
      </x:c>
    </x:row>
    <x:row r="18">
      <x:c r="B18" s="12" t="str">
        <x:v>SS-SA6-B</x:v>
      </x:c>
      <x:c r="C18" s="12" t="str">
        <x:v>SA6</x:v>
      </x:c>
      <x:c r="D18" s="18" t="str">
        <x:v>B</x:v>
      </x:c>
      <x:c r="E18" s="18" t="n">
        <x:v>0.1</x:v>
      </x:c>
      <x:c r="F18" s="18" t="n">
        <x:v>0.25</x:v>
      </x:c>
      <x:c r="G18" s="18" t="n">
        <x:v>5</x:v>
      </x:c>
      <x:c r="H18" s="18" t="n">
        <x:v>120</x:v>
      </x:c>
      <x:c r="I18" s="18" t="n">
        <x:v>30</x:v>
      </x:c>
      <x:c r="J18" s="18" t="n">
        <x:v>3600</x:v>
      </x:c>
      <x:c r="K18" s="18" t="n">
        <x:v>0.101</x:v>
      </x:c>
      <x:c r="L18" s="18" t="n">
        <x:v>0.2525</x:v>
      </x:c>
      <x:c r="M18" s="18" t="n">
        <x:v>5.05</x:v>
      </x:c>
      <x:c r="N18" s="18" t="n">
        <x:v>121.2</x:v>
      </x:c>
      <x:c r="O18" s="12" t="n">
        <x:v>30.3</x:v>
      </x:c>
      <x:c r="P18" s="12" t="str">
        <x:f>IF(AND(E18&lt;=K18,F18&lt;=L18,G18&lt;=M18,H18&lt;=N18,I18&lt;=O18),"PASS","FAIL")</x:f>
        <x:v>PASS</x:v>
      </x:c>
      <x:c r="Q18" s="14" t="n">
        <x:v>0</x:v>
      </x:c>
      <x:c r="R18" s="12" t="str">
        <x:f>IF(P18&lt;&gt;"PASS","FAIL",IF(Q18=1,"PASS","OPEN"))</x:f>
        <x:v>OPEN</x:v>
      </x:c>
    </x:row>
  </x:sheetData>
  <x:mergeCells>
    <x:mergeCell ref="B2:R2"/>
    <x:mergeCell ref="B3:R3"/>
  </x:mergeCells>
  <x:conditionalFormatting sqref="P7:R18">
    <x:cfRule type="containsText" dxfId="154" priority="1" operator="containsText" text="PASS"/>
    <x:cfRule type="containsText" dxfId="155" priority="2" operator="containsText" text="AUTHORIZED"/>
    <x:cfRule type="containsText" dxfId="156" priority="3" operator="containsText" text="DEFINED"/>
    <x:cfRule type="containsText" dxfId="157" priority="4" operator="containsText" text="READY"/>
    <x:cfRule type="containsText" dxfId="158" priority="5" operator="containsText" text="HOLD"/>
    <x:cfRule type="containsText" dxfId="159" priority="6" operator="containsText" text="OPEN"/>
    <x:cfRule type="containsText" dxfId="160" priority="7" operator="containsText" text="BLOCKED"/>
    <x:cfRule type="containsText" dxfId="161" priority="8" operator="containsText" text="PLANNING"/>
    <x:cfRule type="containsText" dxfId="162" priority="9" operator="containsText" text="QUARANTINE"/>
    <x:cfRule type="containsText" dxfId="163" priority="10" operator="containsText" text="INDETERMINATE"/>
    <x:cfRule type="containsText" dxfId="164" priority="11" operator="containsText" text="FAIL"/>
    <x:cfRule type="containsText" dxfId="165" priority="12" operator="containsText" text="REJECT"/>
    <x:cfRule type="containsText" dxfId="166" priority="13" operator="containsText" text="INVALID"/>
    <x:cfRule type="containsText" dxfId="167" priority="14" operator="containsText" text="STOP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1" hidden="0" customWidth="1"/>
    <x:col min="4" max="4" width="10" hidden="0" customWidth="1"/>
    <x:col min="5" max="5" width="30" hidden="0" customWidth="1"/>
    <x:col min="6" max="6" width="12" hidden="0" customWidth="1"/>
    <x:col min="7" max="7" width="12" hidden="0" customWidth="1"/>
    <x:col min="8" max="8" width="24" hidden="0" customWidth="1"/>
    <x:col min="9" max="9" width="50" hidden="0" customWidth="1"/>
    <x:col min="10" max="10" width="21" hidden="0" customWidth="1"/>
    <x:col min="11" max="11" width="14" hidden="0" customWidth="1"/>
    <x:col min="12" max="12" width="14" hidden="0" customWidth="1"/>
    <x:col min="13" max="13" width="15" hidden="0" customWidth="1"/>
    <x:col min="14" max="14" width="18" hidden="0" customWidth="1"/>
    <x:col min="15" max="15" width="15" hidden="0" customWidth="1"/>
    <x:col min="16" max="16" width="14" hidden="0" customWidth="1"/>
  </x:cols>
  <x:sheetData>
    <x:row r="2">
      <x:c r="B2" s="37" t="str">
        <x:v>Twenty-four live campus-denial drills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</x:row>
    <x:row r="3">
      <x:c r="B3" s="39" t="str">
        <x:v>Each drill begins with at least two lanes active or armed. Removing hazards before insertion earns no credit.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</x:row>
    <x:row r="6">
      <x:c r="B6" s="9" t="str">
        <x:v>Drill ID</x:v>
      </x:c>
      <x:c r="C6" s="9" t="str">
        <x:v>Site</x:v>
      </x:c>
      <x:c r="D6" s="9" t="str">
        <x:v>Sequence</x:v>
      </x:c>
      <x:c r="E6" s="9" t="str">
        <x:v>Denied service</x:v>
      </x:c>
      <x:c r="F6" s="9" t="str">
        <x:v>Active lane 1</x:v>
      </x:c>
      <x:c r="G6" s="9" t="str">
        <x:v>Active lane 2</x:v>
      </x:c>
      <x:c r="H6" s="9" t="str">
        <x:v>Initial condition</x:v>
      </x:c>
      <x:c r="I6" s="9" t="str">
        <x:v>Required terminal state</x:v>
      </x:c>
      <x:c r="J6" s="9" t="str">
        <x:v>Maximum recovery (min)</x:v>
      </x:c>
      <x:c r="K6" s="9" t="str">
        <x:v>Script frozen</x:v>
      </x:c>
      <x:c r="L6" s="9" t="str">
        <x:v>Hazard review</x:v>
      </x:c>
      <x:c r="M6" s="9" t="str">
        <x:v>Planning state</x:v>
      </x:c>
      <x:c r="N6" s="9" t="str">
        <x:v>Actual disposition</x:v>
      </x:c>
      <x:c r="O6" s="9" t="str">
        <x:v>Native originals</x:v>
      </x:c>
      <x:c r="P6" s="9" t="str">
        <x:v>Source state</x:v>
      </x:c>
    </x:row>
    <x:row r="7">
      <x:c r="B7" s="11" t="str">
        <x:v>DR-PTC-A-01</x:v>
      </x:c>
      <x:c r="C7" s="11" t="str">
        <x:v>PTC-A</x:v>
      </x:c>
      <x:c r="D7" s="11" t="n">
        <x:v>1</x:v>
      </x:c>
      <x:c r="E7" s="11" t="str">
        <x:v>external grid loss</x:v>
      </x:c>
      <x:c r="F7" s="11" t="str">
        <x:v>LN-01</x:v>
      </x:c>
      <x:c r="G7" s="11" t="str">
        <x:v>LN-03</x:v>
      </x:c>
      <x:c r="H7" s="11" t="str">
        <x:v>two lanes active or armed</x:v>
      </x:c>
      <x:c r="I7" s="11" t="str">
        <x:v>island critical service established; armed lanes stop or continue by card</x:v>
      </x:c>
      <x:c r="J7" s="11" t="n">
        <x:v>10</x:v>
      </x:c>
      <x:c r="K7" s="11" t="n">
        <x:v>1</x:v>
      </x:c>
      <x:c r="L7" s="11" t="n">
        <x:v>1</x:v>
      </x:c>
      <x:c r="M7" s="11" t="str">
        <x:f>IF(AND(J7&gt;0,K7=1,L7=1),"PASS","FAIL")</x:f>
        <x:v>PASS</x:v>
      </x:c>
      <x:c r="N7" s="13" t="str"/>
      <x:c r="O7" s="13" t="n">
        <x:v>0</x:v>
      </x:c>
      <x:c r="P7" s="11" t="str">
        <x:f>IF(M7&lt;&gt;"PASS","FAIL",IF(N7="","OPEN",IF(AND(N7="PASS",O7&gt;=2),"PASS","FAIL")))</x:f>
        <x:v>OPEN</x:v>
      </x:c>
    </x:row>
    <x:row r="8">
      <x:c r="B8" s="11" t="str">
        <x:v>DR-PTC-A-02</x:v>
      </x:c>
      <x:c r="C8" s="11" t="str">
        <x:v>PTC-A</x:v>
      </x:c>
      <x:c r="D8" s="11" t="n">
        <x:v>2</x:v>
      </x:c>
      <x:c r="E8" s="11" t="str">
        <x:v>one island source failure</x:v>
      </x:c>
      <x:c r="F8" s="11" t="str">
        <x:v>LN-03</x:v>
      </x:c>
      <x:c r="G8" s="11" t="str">
        <x:v>LN-05</x:v>
      </x:c>
      <x:c r="H8" s="11" t="str">
        <x:v>two lanes active or armed</x:v>
      </x:c>
      <x:c r="I8" s="11" t="str">
        <x:v>remaining unlike source carries safe-state loads</x:v>
      </x:c>
      <x:c r="J8" s="11" t="n">
        <x:v>15</x:v>
      </x:c>
      <x:c r="K8" s="11" t="n">
        <x:v>1</x:v>
      </x:c>
      <x:c r="L8" s="11" t="n">
        <x:v>1</x:v>
      </x:c>
      <x:c r="M8" s="11" t="str">
        <x:f>IF(AND(J8&gt;0,K8=1,L8=1),"PASS","FAIL")</x:f>
        <x:v>PASS</x:v>
      </x:c>
      <x:c r="N8" s="13" t="str"/>
      <x:c r="O8" s="13" t="n">
        <x:v>0</x:v>
      </x:c>
      <x:c r="P8" s="11" t="str">
        <x:f>IF(M8&lt;&gt;"PASS","FAIL",IF(N8="","OPEN",IF(AND(N8="PASS",O8&gt;=2),"PASS","FAIL")))</x:f>
        <x:v>OPEN</x:v>
      </x:c>
    </x:row>
    <x:row r="9">
      <x:c r="B9" s="11" t="str">
        <x:v>DR-PTC-A-03</x:v>
      </x:c>
      <x:c r="C9" s="11" t="str">
        <x:v>PTC-A</x:v>
      </x:c>
      <x:c r="D9" s="11" t="n">
        <x:v>3</x:v>
      </x:c>
      <x:c r="E9" s="11" t="str">
        <x:v>network and external-time denial</x:v>
      </x:c>
      <x:c r="F9" s="11" t="str">
        <x:v>LN-05</x:v>
      </x:c>
      <x:c r="G9" s="11" t="str">
        <x:v>LN-09</x:v>
      </x:c>
      <x:c r="H9" s="11" t="str">
        <x:v>two lanes active or armed</x:v>
      </x:c>
      <x:c r="I9" s="11" t="str">
        <x:v>local holdover, sealed decisions and later reconciliation</x:v>
      </x:c>
      <x:c r="J9" s="11" t="n">
        <x:v>30</x:v>
      </x:c>
      <x:c r="K9" s="11" t="n">
        <x:v>1</x:v>
      </x:c>
      <x:c r="L9" s="11" t="n">
        <x:v>1</x:v>
      </x:c>
      <x:c r="M9" s="11" t="str">
        <x:f>IF(AND(J9&gt;0,K9=1,L9=1),"PASS","FAIL")</x:f>
        <x:v>PASS</x:v>
      </x:c>
      <x:c r="N9" s="13" t="str"/>
      <x:c r="O9" s="13" t="n">
        <x:v>0</x:v>
      </x:c>
      <x:c r="P9" s="11" t="str">
        <x:f>IF(M9&lt;&gt;"PASS","FAIL",IF(N9="","OPEN",IF(AND(N9="PASS",O9&gt;=2),"PASS","FAIL")))</x:f>
        <x:v>OPEN</x:v>
      </x:c>
    </x:row>
    <x:row r="10">
      <x:c r="B10" s="11" t="str">
        <x:v>DR-PTC-A-04</x:v>
      </x:c>
      <x:c r="C10" s="11" t="str">
        <x:v>PTC-A</x:v>
      </x:c>
      <x:c r="D10" s="11" t="n">
        <x:v>4</x:v>
      </x:c>
      <x:c r="E10" s="11" t="str">
        <x:v>contaminated process water</x:v>
      </x:c>
      <x:c r="F10" s="11" t="str">
        <x:v>LN-09</x:v>
      </x:c>
      <x:c r="G10" s="11" t="str">
        <x:v>LN-01</x:v>
      </x:c>
      <x:c r="H10" s="11" t="str">
        <x:v>two lanes active or armed</x:v>
      </x:c>
      <x:c r="I10" s="11" t="str">
        <x:v>source isolated; alternate inventory or quarantine invoked</x:v>
      </x:c>
      <x:c r="J10" s="11" t="n">
        <x:v>60</x:v>
      </x:c>
      <x:c r="K10" s="11" t="n">
        <x:v>1</x:v>
      </x:c>
      <x:c r="L10" s="11" t="n">
        <x:v>1</x:v>
      </x:c>
      <x:c r="M10" s="11" t="str">
        <x:f>IF(AND(J10&gt;0,K10=1,L10=1),"PASS","FAIL")</x:f>
        <x:v>PASS</x:v>
      </x:c>
      <x:c r="N10" s="13" t="str"/>
      <x:c r="O10" s="13" t="n">
        <x:v>0</x:v>
      </x:c>
      <x:c r="P10" s="11" t="str">
        <x:f>IF(M10&lt;&gt;"PASS","FAIL",IF(N10="","OPEN",IF(AND(N10="PASS",O10&gt;=2),"PASS","FAIL")))</x:f>
        <x:v>OPEN</x:v>
      </x:c>
    </x:row>
    <x:row r="11">
      <x:c r="B11" s="11" t="str">
        <x:v>DR-PTC-A-05</x:v>
      </x:c>
      <x:c r="C11" s="11" t="str">
        <x:v>PTC-A</x:v>
      </x:c>
      <x:c r="D11" s="11" t="n">
        <x:v>5</x:v>
      </x:c>
      <x:c r="E11" s="11" t="str">
        <x:v>primary control room loss</x:v>
      </x:c>
      <x:c r="F11" s="11" t="str">
        <x:v>LN-01</x:v>
      </x:c>
      <x:c r="G11" s="11" t="str">
        <x:v>LN-03</x:v>
      </x:c>
      <x:c r="H11" s="11" t="str">
        <x:v>two lanes active or armed</x:v>
      </x:c>
      <x:c r="I11" s="11" t="str">
        <x:v>alternate room assumes only after identity and state transfer</x:v>
      </x:c>
      <x:c r="J11" s="11" t="n">
        <x:v>15</x:v>
      </x:c>
      <x:c r="K11" s="11" t="n">
        <x:v>1</x:v>
      </x:c>
      <x:c r="L11" s="11" t="n">
        <x:v>1</x:v>
      </x:c>
      <x:c r="M11" s="11" t="str">
        <x:f>IF(AND(J11&gt;0,K11=1,L11=1),"PASS","FAIL")</x:f>
        <x:v>PASS</x:v>
      </x:c>
      <x:c r="N11" s="13" t="str"/>
      <x:c r="O11" s="13" t="n">
        <x:v>0</x:v>
      </x:c>
      <x:c r="P11" s="11" t="str">
        <x:f>IF(M11&lt;&gt;"PASS","FAIL",IF(N11="","OPEN",IF(AND(N11="PASS",O11&gt;=2),"PASS","FAIL")))</x:f>
        <x:v>OPEN</x:v>
      </x:c>
    </x:row>
    <x:row r="12">
      <x:c r="B12" s="11" t="str">
        <x:v>DR-PTC-A-06</x:v>
      </x:c>
      <x:c r="C12" s="11" t="str">
        <x:v>PTC-A</x:v>
      </x:c>
      <x:c r="D12" s="11" t="n">
        <x:v>6</x:v>
      </x:c>
      <x:c r="E12" s="11" t="str">
        <x:v>one evidence vault loss</x:v>
      </x:c>
      <x:c r="F12" s="11" t="str">
        <x:v>LN-03</x:v>
      </x:c>
      <x:c r="G12" s="11" t="str">
        <x:v>LN-05</x:v>
      </x:c>
      <x:c r="H12" s="11" t="str">
        <x:v>two lanes active or armed</x:v>
      </x:c>
      <x:c r="I12" s="11" t="str">
        <x:v>outside original remains readable; no later copy becomes original</x:v>
      </x:c>
      <x:c r="J12" s="11" t="n">
        <x:v>30</x:v>
      </x:c>
      <x:c r="K12" s="11" t="n">
        <x:v>1</x:v>
      </x:c>
      <x:c r="L12" s="11" t="n">
        <x:v>1</x:v>
      </x:c>
      <x:c r="M12" s="11" t="str">
        <x:f>IF(AND(J12&gt;0,K12=1,L12=1),"PASS","FAIL")</x:f>
        <x:v>PASS</x:v>
      </x:c>
      <x:c r="N12" s="13" t="str"/>
      <x:c r="O12" s="13" t="n">
        <x:v>0</x:v>
      </x:c>
      <x:c r="P12" s="11" t="str">
        <x:f>IF(M12&lt;&gt;"PASS","FAIL",IF(N12="","OPEN",IF(AND(N12="PASS",O12&gt;=2),"PASS","FAIL")))</x:f>
        <x:v>OPEN</x:v>
      </x:c>
    </x:row>
    <x:row r="13">
      <x:c r="B13" s="11" t="str">
        <x:v>DR-PTC-A-07</x:v>
      </x:c>
      <x:c r="C13" s="11" t="str">
        <x:v>PTC-A</x:v>
      </x:c>
      <x:c r="D13" s="11" t="n">
        <x:v>7</x:v>
      </x:c>
      <x:c r="E13" s="11" t="str">
        <x:v>primary lift or egress loss</x:v>
      </x:c>
      <x:c r="F13" s="11" t="str">
        <x:v>LN-05</x:v>
      </x:c>
      <x:c r="G13" s="11" t="str">
        <x:v>LN-09</x:v>
      </x:c>
      <x:c r="H13" s="11" t="str">
        <x:v>two lanes active or armed</x:v>
      </x:c>
      <x:c r="I13" s="11" t="str">
        <x:v>alternate route recovers personnel and article state</x:v>
      </x:c>
      <x:c r="J13" s="11" t="n">
        <x:v>60</x:v>
      </x:c>
      <x:c r="K13" s="11" t="n">
        <x:v>1</x:v>
      </x:c>
      <x:c r="L13" s="11" t="n">
        <x:v>1</x:v>
      </x:c>
      <x:c r="M13" s="11" t="str">
        <x:f>IF(AND(J13&gt;0,K13=1,L13=1),"PASS","FAIL")</x:f>
        <x:v>PASS</x:v>
      </x:c>
      <x:c r="N13" s="13" t="str"/>
      <x:c r="O13" s="13" t="n">
        <x:v>0</x:v>
      </x:c>
      <x:c r="P13" s="11" t="str">
        <x:f>IF(M13&lt;&gt;"PASS","FAIL",IF(N13="","OPEN",IF(AND(N13="PASS",O13&gt;=2),"PASS","FAIL")))</x:f>
        <x:v>OPEN</x:v>
      </x:c>
    </x:row>
    <x:row r="14">
      <x:c r="B14" s="11" t="str">
        <x:v>DR-PTC-A-08</x:v>
      </x:c>
      <x:c r="C14" s="11" t="str">
        <x:v>PTC-A</x:v>
      </x:c>
      <x:c r="D14" s="11" t="n">
        <x:v>8</x:v>
      </x:c>
      <x:c r="E14" s="11" t="str">
        <x:v>planned waste route closure</x:v>
      </x:c>
      <x:c r="F14" s="11" t="str">
        <x:v>LN-09</x:v>
      </x:c>
      <x:c r="G14" s="11" t="str">
        <x:v>LN-01</x:v>
      </x:c>
      <x:c r="H14" s="11" t="str">
        <x:v>two lanes active or armed</x:v>
      </x:c>
      <x:c r="I14" s="11" t="str">
        <x:v>material remains in bounded custody until alternate route opens</x:v>
      </x:c>
      <x:c r="J14" s="11" t="n">
        <x:v>120</x:v>
      </x:c>
      <x:c r="K14" s="11" t="n">
        <x:v>1</x:v>
      </x:c>
      <x:c r="L14" s="11" t="n">
        <x:v>1</x:v>
      </x:c>
      <x:c r="M14" s="11" t="str">
        <x:f>IF(AND(J14&gt;0,K14=1,L14=1),"PASS","FAIL")</x:f>
        <x:v>PASS</x:v>
      </x:c>
      <x:c r="N14" s="13" t="str"/>
      <x:c r="O14" s="13" t="n">
        <x:v>0</x:v>
      </x:c>
      <x:c r="P14" s="11" t="str">
        <x:f>IF(M14&lt;&gt;"PASS","FAIL",IF(N14="","OPEN",IF(AND(N14="PASS",O14&gt;=2),"PASS","FAIL")))</x:f>
        <x:v>OPEN</x:v>
      </x:c>
    </x:row>
    <x:row r="15">
      <x:c r="B15" s="11" t="str">
        <x:v>DR-PTC-B-01</x:v>
      </x:c>
      <x:c r="C15" s="11" t="str">
        <x:v>PTC-B</x:v>
      </x:c>
      <x:c r="D15" s="11" t="n">
        <x:v>1</x:v>
      </x:c>
      <x:c r="E15" s="11" t="str">
        <x:v>external grid loss</x:v>
      </x:c>
      <x:c r="F15" s="11" t="str">
        <x:v>LN-02</x:v>
      </x:c>
      <x:c r="G15" s="11" t="str">
        <x:v>LN-07</x:v>
      </x:c>
      <x:c r="H15" s="11" t="str">
        <x:v>two lanes active or armed</x:v>
      </x:c>
      <x:c r="I15" s="11" t="str">
        <x:v>island critical service established; armed lanes stop or continue by card</x:v>
      </x:c>
      <x:c r="J15" s="11" t="n">
        <x:v>10</x:v>
      </x:c>
      <x:c r="K15" s="11" t="n">
        <x:v>1</x:v>
      </x:c>
      <x:c r="L15" s="11" t="n">
        <x:v>1</x:v>
      </x:c>
      <x:c r="M15" s="11" t="str">
        <x:f>IF(AND(J15&gt;0,K15=1,L15=1),"PASS","FAIL")</x:f>
        <x:v>PASS</x:v>
      </x:c>
      <x:c r="N15" s="13" t="str"/>
      <x:c r="O15" s="13" t="n">
        <x:v>0</x:v>
      </x:c>
      <x:c r="P15" s="11" t="str">
        <x:f>IF(M15&lt;&gt;"PASS","FAIL",IF(N15="","OPEN",IF(AND(N15="PASS",O15&gt;=2),"PASS","FAIL")))</x:f>
        <x:v>OPEN</x:v>
      </x:c>
    </x:row>
    <x:row r="16">
      <x:c r="B16" s="11" t="str">
        <x:v>DR-PTC-B-02</x:v>
      </x:c>
      <x:c r="C16" s="11" t="str">
        <x:v>PTC-B</x:v>
      </x:c>
      <x:c r="D16" s="11" t="n">
        <x:v>2</x:v>
      </x:c>
      <x:c r="E16" s="11" t="str">
        <x:v>one island source failure</x:v>
      </x:c>
      <x:c r="F16" s="11" t="str">
        <x:v>LN-07</x:v>
      </x:c>
      <x:c r="G16" s="11" t="str">
        <x:v>LN-10</x:v>
      </x:c>
      <x:c r="H16" s="11" t="str">
        <x:v>two lanes active or armed</x:v>
      </x:c>
      <x:c r="I16" s="11" t="str">
        <x:v>remaining unlike source carries safe-state loads</x:v>
      </x:c>
      <x:c r="J16" s="11" t="n">
        <x:v>15</x:v>
      </x:c>
      <x:c r="K16" s="11" t="n">
        <x:v>1</x:v>
      </x:c>
      <x:c r="L16" s="11" t="n">
        <x:v>1</x:v>
      </x:c>
      <x:c r="M16" s="11" t="str">
        <x:f>IF(AND(J16&gt;0,K16=1,L16=1),"PASS","FAIL")</x:f>
        <x:v>PASS</x:v>
      </x:c>
      <x:c r="N16" s="13" t="str"/>
      <x:c r="O16" s="13" t="n">
        <x:v>0</x:v>
      </x:c>
      <x:c r="P16" s="11" t="str">
        <x:f>IF(M16&lt;&gt;"PASS","FAIL",IF(N16="","OPEN",IF(AND(N16="PASS",O16&gt;=2),"PASS","FAIL")))</x:f>
        <x:v>OPEN</x:v>
      </x:c>
    </x:row>
    <x:row r="17">
      <x:c r="B17" s="11" t="str">
        <x:v>DR-PTC-B-03</x:v>
      </x:c>
      <x:c r="C17" s="11" t="str">
        <x:v>PTC-B</x:v>
      </x:c>
      <x:c r="D17" s="11" t="n">
        <x:v>3</x:v>
      </x:c>
      <x:c r="E17" s="11" t="str">
        <x:v>network and external-time denial</x:v>
      </x:c>
      <x:c r="F17" s="11" t="str">
        <x:v>LN-10</x:v>
      </x:c>
      <x:c r="G17" s="11" t="str">
        <x:v>LN-11</x:v>
      </x:c>
      <x:c r="H17" s="11" t="str">
        <x:v>two lanes active or armed</x:v>
      </x:c>
      <x:c r="I17" s="11" t="str">
        <x:v>local holdover, sealed decisions and later reconciliation</x:v>
      </x:c>
      <x:c r="J17" s="11" t="n">
        <x:v>30</x:v>
      </x:c>
      <x:c r="K17" s="11" t="n">
        <x:v>1</x:v>
      </x:c>
      <x:c r="L17" s="11" t="n">
        <x:v>1</x:v>
      </x:c>
      <x:c r="M17" s="11" t="str">
        <x:f>IF(AND(J17&gt;0,K17=1,L17=1),"PASS","FAIL")</x:f>
        <x:v>PASS</x:v>
      </x:c>
      <x:c r="N17" s="13" t="str"/>
      <x:c r="O17" s="13" t="n">
        <x:v>0</x:v>
      </x:c>
      <x:c r="P17" s="11" t="str">
        <x:f>IF(M17&lt;&gt;"PASS","FAIL",IF(N17="","OPEN",IF(AND(N17="PASS",O17&gt;=2),"PASS","FAIL")))</x:f>
        <x:v>OPEN</x:v>
      </x:c>
    </x:row>
    <x:row r="18">
      <x:c r="B18" s="11" t="str">
        <x:v>DR-PTC-B-04</x:v>
      </x:c>
      <x:c r="C18" s="11" t="str">
        <x:v>PTC-B</x:v>
      </x:c>
      <x:c r="D18" s="11" t="n">
        <x:v>4</x:v>
      </x:c>
      <x:c r="E18" s="11" t="str">
        <x:v>contaminated process water</x:v>
      </x:c>
      <x:c r="F18" s="11" t="str">
        <x:v>LN-11</x:v>
      </x:c>
      <x:c r="G18" s="11" t="str">
        <x:v>LN-02</x:v>
      </x:c>
      <x:c r="H18" s="11" t="str">
        <x:v>two lanes active or armed</x:v>
      </x:c>
      <x:c r="I18" s="11" t="str">
        <x:v>source isolated; alternate inventory or quarantine invoked</x:v>
      </x:c>
      <x:c r="J18" s="11" t="n">
        <x:v>60</x:v>
      </x:c>
      <x:c r="K18" s="11" t="n">
        <x:v>1</x:v>
      </x:c>
      <x:c r="L18" s="11" t="n">
        <x:v>1</x:v>
      </x:c>
      <x:c r="M18" s="11" t="str">
        <x:f>IF(AND(J18&gt;0,K18=1,L18=1),"PASS","FAIL")</x:f>
        <x:v>PASS</x:v>
      </x:c>
      <x:c r="N18" s="13" t="str"/>
      <x:c r="O18" s="13" t="n">
        <x:v>0</x:v>
      </x:c>
      <x:c r="P18" s="11" t="str">
        <x:f>IF(M18&lt;&gt;"PASS","FAIL",IF(N18="","OPEN",IF(AND(N18="PASS",O18&gt;=2),"PASS","FAIL")))</x:f>
        <x:v>OPEN</x:v>
      </x:c>
    </x:row>
    <x:row r="19">
      <x:c r="B19" s="11" t="str">
        <x:v>DR-PTC-B-05</x:v>
      </x:c>
      <x:c r="C19" s="11" t="str">
        <x:v>PTC-B</x:v>
      </x:c>
      <x:c r="D19" s="11" t="n">
        <x:v>5</x:v>
      </x:c>
      <x:c r="E19" s="11" t="str">
        <x:v>primary control room loss</x:v>
      </x:c>
      <x:c r="F19" s="11" t="str">
        <x:v>LN-02</x:v>
      </x:c>
      <x:c r="G19" s="11" t="str">
        <x:v>LN-07</x:v>
      </x:c>
      <x:c r="H19" s="11" t="str">
        <x:v>two lanes active or armed</x:v>
      </x:c>
      <x:c r="I19" s="11" t="str">
        <x:v>alternate room assumes only after identity and state transfer</x:v>
      </x:c>
      <x:c r="J19" s="11" t="n">
        <x:v>15</x:v>
      </x:c>
      <x:c r="K19" s="11" t="n">
        <x:v>1</x:v>
      </x:c>
      <x:c r="L19" s="11" t="n">
        <x:v>1</x:v>
      </x:c>
      <x:c r="M19" s="11" t="str">
        <x:f>IF(AND(J19&gt;0,K19=1,L19=1),"PASS","FAIL")</x:f>
        <x:v>PASS</x:v>
      </x:c>
      <x:c r="N19" s="13" t="str"/>
      <x:c r="O19" s="13" t="n">
        <x:v>0</x:v>
      </x:c>
      <x:c r="P19" s="11" t="str">
        <x:f>IF(M19&lt;&gt;"PASS","FAIL",IF(N19="","OPEN",IF(AND(N19="PASS",O19&gt;=2),"PASS","FAIL")))</x:f>
        <x:v>OPEN</x:v>
      </x:c>
    </x:row>
    <x:row r="20">
      <x:c r="B20" s="11" t="str">
        <x:v>DR-PTC-B-06</x:v>
      </x:c>
      <x:c r="C20" s="11" t="str">
        <x:v>PTC-B</x:v>
      </x:c>
      <x:c r="D20" s="11" t="n">
        <x:v>6</x:v>
      </x:c>
      <x:c r="E20" s="11" t="str">
        <x:v>one evidence vault loss</x:v>
      </x:c>
      <x:c r="F20" s="11" t="str">
        <x:v>LN-07</x:v>
      </x:c>
      <x:c r="G20" s="11" t="str">
        <x:v>LN-10</x:v>
      </x:c>
      <x:c r="H20" s="11" t="str">
        <x:v>two lanes active or armed</x:v>
      </x:c>
      <x:c r="I20" s="11" t="str">
        <x:v>outside original remains readable; no later copy becomes original</x:v>
      </x:c>
      <x:c r="J20" s="11" t="n">
        <x:v>30</x:v>
      </x:c>
      <x:c r="K20" s="11" t="n">
        <x:v>1</x:v>
      </x:c>
      <x:c r="L20" s="11" t="n">
        <x:v>1</x:v>
      </x:c>
      <x:c r="M20" s="11" t="str">
        <x:f>IF(AND(J20&gt;0,K20=1,L20=1),"PASS","FAIL")</x:f>
        <x:v>PASS</x:v>
      </x:c>
      <x:c r="N20" s="13" t="str"/>
      <x:c r="O20" s="13" t="n">
        <x:v>0</x:v>
      </x:c>
      <x:c r="P20" s="11" t="str">
        <x:f>IF(M20&lt;&gt;"PASS","FAIL",IF(N20="","OPEN",IF(AND(N20="PASS",O20&gt;=2),"PASS","FAIL")))</x:f>
        <x:v>OPEN</x:v>
      </x:c>
    </x:row>
    <x:row r="21">
      <x:c r="B21" s="11" t="str">
        <x:v>DR-PTC-B-07</x:v>
      </x:c>
      <x:c r="C21" s="11" t="str">
        <x:v>PTC-B</x:v>
      </x:c>
      <x:c r="D21" s="11" t="n">
        <x:v>7</x:v>
      </x:c>
      <x:c r="E21" s="11" t="str">
        <x:v>primary lift or egress loss</x:v>
      </x:c>
      <x:c r="F21" s="11" t="str">
        <x:v>LN-10</x:v>
      </x:c>
      <x:c r="G21" s="11" t="str">
        <x:v>LN-11</x:v>
      </x:c>
      <x:c r="H21" s="11" t="str">
        <x:v>two lanes active or armed</x:v>
      </x:c>
      <x:c r="I21" s="11" t="str">
        <x:v>alternate route recovers personnel and article state</x:v>
      </x:c>
      <x:c r="J21" s="11" t="n">
        <x:v>60</x:v>
      </x:c>
      <x:c r="K21" s="11" t="n">
        <x:v>1</x:v>
      </x:c>
      <x:c r="L21" s="11" t="n">
        <x:v>1</x:v>
      </x:c>
      <x:c r="M21" s="11" t="str">
        <x:f>IF(AND(J21&gt;0,K21=1,L21=1),"PASS","FAIL")</x:f>
        <x:v>PASS</x:v>
      </x:c>
      <x:c r="N21" s="13" t="str"/>
      <x:c r="O21" s="13" t="n">
        <x:v>0</x:v>
      </x:c>
      <x:c r="P21" s="11" t="str">
        <x:f>IF(M21&lt;&gt;"PASS","FAIL",IF(N21="","OPEN",IF(AND(N21="PASS",O21&gt;=2),"PASS","FAIL")))</x:f>
        <x:v>OPEN</x:v>
      </x:c>
    </x:row>
    <x:row r="22">
      <x:c r="B22" s="11" t="str">
        <x:v>DR-PTC-B-08</x:v>
      </x:c>
      <x:c r="C22" s="11" t="str">
        <x:v>PTC-B</x:v>
      </x:c>
      <x:c r="D22" s="11" t="n">
        <x:v>8</x:v>
      </x:c>
      <x:c r="E22" s="11" t="str">
        <x:v>planned waste route closure</x:v>
      </x:c>
      <x:c r="F22" s="11" t="str">
        <x:v>LN-11</x:v>
      </x:c>
      <x:c r="G22" s="11" t="str">
        <x:v>LN-02</x:v>
      </x:c>
      <x:c r="H22" s="11" t="str">
        <x:v>two lanes active or armed</x:v>
      </x:c>
      <x:c r="I22" s="11" t="str">
        <x:v>material remains in bounded custody until alternate route opens</x:v>
      </x:c>
      <x:c r="J22" s="11" t="n">
        <x:v>120</x:v>
      </x:c>
      <x:c r="K22" s="11" t="n">
        <x:v>1</x:v>
      </x:c>
      <x:c r="L22" s="11" t="n">
        <x:v>1</x:v>
      </x:c>
      <x:c r="M22" s="11" t="str">
        <x:f>IF(AND(J22&gt;0,K22=1,L22=1),"PASS","FAIL")</x:f>
        <x:v>PASS</x:v>
      </x:c>
      <x:c r="N22" s="13" t="str"/>
      <x:c r="O22" s="13" t="n">
        <x:v>0</x:v>
      </x:c>
      <x:c r="P22" s="11" t="str">
        <x:f>IF(M22&lt;&gt;"PASS","FAIL",IF(N22="","OPEN",IF(AND(N22="PASS",O22&gt;=2),"PASS","FAIL")))</x:f>
        <x:v>OPEN</x:v>
      </x:c>
    </x:row>
    <x:row r="23">
      <x:c r="B23" s="11" t="str">
        <x:v>DR-PTC-C-01</x:v>
      </x:c>
      <x:c r="C23" s="11" t="str">
        <x:v>PTC-C</x:v>
      </x:c>
      <x:c r="D23" s="11" t="n">
        <x:v>1</x:v>
      </x:c>
      <x:c r="E23" s="11" t="str">
        <x:v>external grid loss</x:v>
      </x:c>
      <x:c r="F23" s="11" t="str">
        <x:v>LN-04</x:v>
      </x:c>
      <x:c r="G23" s="11" t="str">
        <x:v>LN-06</x:v>
      </x:c>
      <x:c r="H23" s="11" t="str">
        <x:v>two lanes active or armed</x:v>
      </x:c>
      <x:c r="I23" s="11" t="str">
        <x:v>island critical service established; armed lanes stop or continue by card</x:v>
      </x:c>
      <x:c r="J23" s="11" t="n">
        <x:v>10</x:v>
      </x:c>
      <x:c r="K23" s="11" t="n">
        <x:v>1</x:v>
      </x:c>
      <x:c r="L23" s="11" t="n">
        <x:v>1</x:v>
      </x:c>
      <x:c r="M23" s="11" t="str">
        <x:f>IF(AND(J23&gt;0,K23=1,L23=1),"PASS","FAIL")</x:f>
        <x:v>PASS</x:v>
      </x:c>
      <x:c r="N23" s="13" t="str"/>
      <x:c r="O23" s="13" t="n">
        <x:v>0</x:v>
      </x:c>
      <x:c r="P23" s="11" t="str">
        <x:f>IF(M23&lt;&gt;"PASS","FAIL",IF(N23="","OPEN",IF(AND(N23="PASS",O23&gt;=2),"PASS","FAIL")))</x:f>
        <x:v>OPEN</x:v>
      </x:c>
    </x:row>
    <x:row r="24">
      <x:c r="B24" s="11" t="str">
        <x:v>DR-PTC-C-02</x:v>
      </x:c>
      <x:c r="C24" s="11" t="str">
        <x:v>PTC-C</x:v>
      </x:c>
      <x:c r="D24" s="11" t="n">
        <x:v>2</x:v>
      </x:c>
      <x:c r="E24" s="11" t="str">
        <x:v>one island source failure</x:v>
      </x:c>
      <x:c r="F24" s="11" t="str">
        <x:v>LN-06</x:v>
      </x:c>
      <x:c r="G24" s="11" t="str">
        <x:v>LN-08</x:v>
      </x:c>
      <x:c r="H24" s="11" t="str">
        <x:v>two lanes active or armed</x:v>
      </x:c>
      <x:c r="I24" s="11" t="str">
        <x:v>remaining unlike source carries safe-state loads</x:v>
      </x:c>
      <x:c r="J24" s="11" t="n">
        <x:v>15</x:v>
      </x:c>
      <x:c r="K24" s="11" t="n">
        <x:v>1</x:v>
      </x:c>
      <x:c r="L24" s="11" t="n">
        <x:v>1</x:v>
      </x:c>
      <x:c r="M24" s="11" t="str">
        <x:f>IF(AND(J24&gt;0,K24=1,L24=1),"PASS","FAIL")</x:f>
        <x:v>PASS</x:v>
      </x:c>
      <x:c r="N24" s="13" t="str"/>
      <x:c r="O24" s="13" t="n">
        <x:v>0</x:v>
      </x:c>
      <x:c r="P24" s="11" t="str">
        <x:f>IF(M24&lt;&gt;"PASS","FAIL",IF(N24="","OPEN",IF(AND(N24="PASS",O24&gt;=2),"PASS","FAIL")))</x:f>
        <x:v>OPEN</x:v>
      </x:c>
    </x:row>
    <x:row r="25">
      <x:c r="B25" s="11" t="str">
        <x:v>DR-PTC-C-03</x:v>
      </x:c>
      <x:c r="C25" s="11" t="str">
        <x:v>PTC-C</x:v>
      </x:c>
      <x:c r="D25" s="11" t="n">
        <x:v>3</x:v>
      </x:c>
      <x:c r="E25" s="11" t="str">
        <x:v>network and external-time denial</x:v>
      </x:c>
      <x:c r="F25" s="11" t="str">
        <x:v>LN-08</x:v>
      </x:c>
      <x:c r="G25" s="11" t="str">
        <x:v>LN-12</x:v>
      </x:c>
      <x:c r="H25" s="11" t="str">
        <x:v>two lanes active or armed</x:v>
      </x:c>
      <x:c r="I25" s="11" t="str">
        <x:v>local holdover, sealed decisions and later reconciliation</x:v>
      </x:c>
      <x:c r="J25" s="11" t="n">
        <x:v>30</x:v>
      </x:c>
      <x:c r="K25" s="11" t="n">
        <x:v>1</x:v>
      </x:c>
      <x:c r="L25" s="11" t="n">
        <x:v>1</x:v>
      </x:c>
      <x:c r="M25" s="11" t="str">
        <x:f>IF(AND(J25&gt;0,K25=1,L25=1),"PASS","FAIL")</x:f>
        <x:v>PASS</x:v>
      </x:c>
      <x:c r="N25" s="13" t="str"/>
      <x:c r="O25" s="13" t="n">
        <x:v>0</x:v>
      </x:c>
      <x:c r="P25" s="11" t="str">
        <x:f>IF(M25&lt;&gt;"PASS","FAIL",IF(N25="","OPEN",IF(AND(N25="PASS",O25&gt;=2),"PASS","FAIL")))</x:f>
        <x:v>OPEN</x:v>
      </x:c>
    </x:row>
    <x:row r="26">
      <x:c r="B26" s="11" t="str">
        <x:v>DR-PTC-C-04</x:v>
      </x:c>
      <x:c r="C26" s="11" t="str">
        <x:v>PTC-C</x:v>
      </x:c>
      <x:c r="D26" s="11" t="n">
        <x:v>4</x:v>
      </x:c>
      <x:c r="E26" s="11" t="str">
        <x:v>contaminated process water</x:v>
      </x:c>
      <x:c r="F26" s="11" t="str">
        <x:v>LN-12</x:v>
      </x:c>
      <x:c r="G26" s="11" t="str">
        <x:v>LN-04</x:v>
      </x:c>
      <x:c r="H26" s="11" t="str">
        <x:v>two lanes active or armed</x:v>
      </x:c>
      <x:c r="I26" s="11" t="str">
        <x:v>source isolated; alternate inventory or quarantine invoked</x:v>
      </x:c>
      <x:c r="J26" s="11" t="n">
        <x:v>60</x:v>
      </x:c>
      <x:c r="K26" s="11" t="n">
        <x:v>1</x:v>
      </x:c>
      <x:c r="L26" s="11" t="n">
        <x:v>1</x:v>
      </x:c>
      <x:c r="M26" s="11" t="str">
        <x:f>IF(AND(J26&gt;0,K26=1,L26=1),"PASS","FAIL")</x:f>
        <x:v>PASS</x:v>
      </x:c>
      <x:c r="N26" s="13" t="str"/>
      <x:c r="O26" s="13" t="n">
        <x:v>0</x:v>
      </x:c>
      <x:c r="P26" s="11" t="str">
        <x:f>IF(M26&lt;&gt;"PASS","FAIL",IF(N26="","OPEN",IF(AND(N26="PASS",O26&gt;=2),"PASS","FAIL")))</x:f>
        <x:v>OPEN</x:v>
      </x:c>
    </x:row>
    <x:row r="27">
      <x:c r="B27" s="11" t="str">
        <x:v>DR-PTC-C-05</x:v>
      </x:c>
      <x:c r="C27" s="11" t="str">
        <x:v>PTC-C</x:v>
      </x:c>
      <x:c r="D27" s="11" t="n">
        <x:v>5</x:v>
      </x:c>
      <x:c r="E27" s="11" t="str">
        <x:v>primary control room loss</x:v>
      </x:c>
      <x:c r="F27" s="11" t="str">
        <x:v>LN-04</x:v>
      </x:c>
      <x:c r="G27" s="11" t="str">
        <x:v>LN-06</x:v>
      </x:c>
      <x:c r="H27" s="11" t="str">
        <x:v>two lanes active or armed</x:v>
      </x:c>
      <x:c r="I27" s="11" t="str">
        <x:v>alternate room assumes only after identity and state transfer</x:v>
      </x:c>
      <x:c r="J27" s="11" t="n">
        <x:v>15</x:v>
      </x:c>
      <x:c r="K27" s="11" t="n">
        <x:v>1</x:v>
      </x:c>
      <x:c r="L27" s="11" t="n">
        <x:v>1</x:v>
      </x:c>
      <x:c r="M27" s="11" t="str">
        <x:f>IF(AND(J27&gt;0,K27=1,L27=1),"PASS","FAIL")</x:f>
        <x:v>PASS</x:v>
      </x:c>
      <x:c r="N27" s="13" t="str"/>
      <x:c r="O27" s="13" t="n">
        <x:v>0</x:v>
      </x:c>
      <x:c r="P27" s="11" t="str">
        <x:f>IF(M27&lt;&gt;"PASS","FAIL",IF(N27="","OPEN",IF(AND(N27="PASS",O27&gt;=2),"PASS","FAIL")))</x:f>
        <x:v>OPEN</x:v>
      </x:c>
    </x:row>
    <x:row r="28">
      <x:c r="B28" s="11" t="str">
        <x:v>DR-PTC-C-06</x:v>
      </x:c>
      <x:c r="C28" s="11" t="str">
        <x:v>PTC-C</x:v>
      </x:c>
      <x:c r="D28" s="11" t="n">
        <x:v>6</x:v>
      </x:c>
      <x:c r="E28" s="11" t="str">
        <x:v>one evidence vault loss</x:v>
      </x:c>
      <x:c r="F28" s="11" t="str">
        <x:v>LN-06</x:v>
      </x:c>
      <x:c r="G28" s="11" t="str">
        <x:v>LN-08</x:v>
      </x:c>
      <x:c r="H28" s="11" t="str">
        <x:v>two lanes active or armed</x:v>
      </x:c>
      <x:c r="I28" s="11" t="str">
        <x:v>outside original remains readable; no later copy becomes original</x:v>
      </x:c>
      <x:c r="J28" s="11" t="n">
        <x:v>30</x:v>
      </x:c>
      <x:c r="K28" s="11" t="n">
        <x:v>1</x:v>
      </x:c>
      <x:c r="L28" s="11" t="n">
        <x:v>1</x:v>
      </x:c>
      <x:c r="M28" s="11" t="str">
        <x:f>IF(AND(J28&gt;0,K28=1,L28=1),"PASS","FAIL")</x:f>
        <x:v>PASS</x:v>
      </x:c>
      <x:c r="N28" s="13" t="str"/>
      <x:c r="O28" s="13" t="n">
        <x:v>0</x:v>
      </x:c>
      <x:c r="P28" s="11" t="str">
        <x:f>IF(M28&lt;&gt;"PASS","FAIL",IF(N28="","OPEN",IF(AND(N28="PASS",O28&gt;=2),"PASS","FAIL")))</x:f>
        <x:v>OPEN</x:v>
      </x:c>
    </x:row>
    <x:row r="29">
      <x:c r="B29" s="11" t="str">
        <x:v>DR-PTC-C-07</x:v>
      </x:c>
      <x:c r="C29" s="11" t="str">
        <x:v>PTC-C</x:v>
      </x:c>
      <x:c r="D29" s="11" t="n">
        <x:v>7</x:v>
      </x:c>
      <x:c r="E29" s="11" t="str">
        <x:v>primary lift or egress loss</x:v>
      </x:c>
      <x:c r="F29" s="11" t="str">
        <x:v>LN-08</x:v>
      </x:c>
      <x:c r="G29" s="11" t="str">
        <x:v>LN-12</x:v>
      </x:c>
      <x:c r="H29" s="11" t="str">
        <x:v>two lanes active or armed</x:v>
      </x:c>
      <x:c r="I29" s="11" t="str">
        <x:v>alternate route recovers personnel and article state</x:v>
      </x:c>
      <x:c r="J29" s="11" t="n">
        <x:v>60</x:v>
      </x:c>
      <x:c r="K29" s="11" t="n">
        <x:v>1</x:v>
      </x:c>
      <x:c r="L29" s="11" t="n">
        <x:v>1</x:v>
      </x:c>
      <x:c r="M29" s="11" t="str">
        <x:f>IF(AND(J29&gt;0,K29=1,L29=1),"PASS","FAIL")</x:f>
        <x:v>PASS</x:v>
      </x:c>
      <x:c r="N29" s="13" t="str"/>
      <x:c r="O29" s="13" t="n">
        <x:v>0</x:v>
      </x:c>
      <x:c r="P29" s="11" t="str">
        <x:f>IF(M29&lt;&gt;"PASS","FAIL",IF(N29="","OPEN",IF(AND(N29="PASS",O29&gt;=2),"PASS","FAIL")))</x:f>
        <x:v>OPEN</x:v>
      </x:c>
    </x:row>
    <x:row r="30">
      <x:c r="B30" s="12" t="str">
        <x:v>DR-PTC-C-08</x:v>
      </x:c>
      <x:c r="C30" s="12" t="str">
        <x:v>PTC-C</x:v>
      </x:c>
      <x:c r="D30" s="12" t="n">
        <x:v>8</x:v>
      </x:c>
      <x:c r="E30" s="12" t="str">
        <x:v>planned waste route closure</x:v>
      </x:c>
      <x:c r="F30" s="12" t="str">
        <x:v>LN-12</x:v>
      </x:c>
      <x:c r="G30" s="12" t="str">
        <x:v>LN-04</x:v>
      </x:c>
      <x:c r="H30" s="12" t="str">
        <x:v>two lanes active or armed</x:v>
      </x:c>
      <x:c r="I30" s="12" t="str">
        <x:v>material remains in bounded custody until alternate route opens</x:v>
      </x:c>
      <x:c r="J30" s="12" t="n">
        <x:v>120</x:v>
      </x:c>
      <x:c r="K30" s="12" t="n">
        <x:v>1</x:v>
      </x:c>
      <x:c r="L30" s="12" t="n">
        <x:v>1</x:v>
      </x:c>
      <x:c r="M30" s="12" t="str">
        <x:f>IF(AND(J30&gt;0,K30=1,L30=1),"PASS","FAIL")</x:f>
        <x:v>PASS</x:v>
      </x:c>
      <x:c r="N30" s="14" t="str"/>
      <x:c r="O30" s="14" t="n">
        <x:v>0</x:v>
      </x:c>
      <x:c r="P30" s="12" t="str">
        <x:f>IF(M30&lt;&gt;"PASS","FAIL",IF(N30="","OPEN",IF(AND(N30="PASS",O30&gt;=2),"PASS","FAIL")))</x:f>
        <x:v>OPEN</x:v>
      </x:c>
    </x:row>
  </x:sheetData>
  <x:mergeCells>
    <x:mergeCell ref="B2:P2"/>
    <x:mergeCell ref="B3:P3"/>
  </x:mergeCells>
  <x:conditionalFormatting sqref="M7:P30">
    <x:cfRule type="containsText" dxfId="168" priority="1" operator="containsText" text="PASS"/>
    <x:cfRule type="containsText" dxfId="169" priority="2" operator="containsText" text="AUTHORIZED"/>
    <x:cfRule type="containsText" dxfId="170" priority="3" operator="containsText" text="DEFINED"/>
    <x:cfRule type="containsText" dxfId="171" priority="4" operator="containsText" text="READY"/>
    <x:cfRule type="containsText" dxfId="172" priority="5" operator="containsText" text="HOLD"/>
    <x:cfRule type="containsText" dxfId="173" priority="6" operator="containsText" text="OPEN"/>
    <x:cfRule type="containsText" dxfId="174" priority="7" operator="containsText" text="BLOCKED"/>
    <x:cfRule type="containsText" dxfId="175" priority="8" operator="containsText" text="PLANNING"/>
    <x:cfRule type="containsText" dxfId="176" priority="9" operator="containsText" text="QUARANTINE"/>
    <x:cfRule type="containsText" dxfId="177" priority="10" operator="containsText" text="INDETERMINATE"/>
    <x:cfRule type="containsText" dxfId="178" priority="11" operator="containsText" text="FAIL"/>
    <x:cfRule type="containsText" dxfId="179" priority="12" operator="containsText" text="REJECT"/>
    <x:cfRule type="containsText" dxfId="180" priority="13" operator="containsText" text="INVALID"/>
    <x:cfRule type="containsText" dxfId="181" priority="14" operator="containsText" text="STOP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28" hidden="0" customWidth="1"/>
    <x:col min="11" max="11" width="23" hidden="0" customWidth="1"/>
    <x:col min="12" max="12" width="15" hidden="0" customWidth="1"/>
    <x:col min="13" max="13" width="20" hidden="0" customWidth="1"/>
    <x:col min="14" max="14" width="15" hidden="0" customWidth="1"/>
    <x:col min="15" max="15" width="21" hidden="0" customWidth="1"/>
    <x:col min="16" max="16" width="14" hidden="0" customWidth="1"/>
  </x:cols>
  <x:sheetData>
    <x:row r="2">
      <x:c r="B2" s="37" t="str">
        <x:v>Twelve sealed cross-site reconstructions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</x:row>
    <x:row r="3">
      <x:c r="B3" s="39" t="str">
        <x:v>The receiving site uses its own recorder interpretation and decision implementation without a supplier portal or originating analyst.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</x:row>
    <x:row r="6">
      <x:c r="B6" s="9" t="str">
        <x:v>Replay ID</x:v>
      </x:c>
      <x:c r="C6" s="9" t="str">
        <x:v>Family</x:v>
      </x:c>
      <x:c r="D6" s="9" t="str">
        <x:v>Source lane</x:v>
      </x:c>
      <x:c r="E6" s="9" t="str">
        <x:v>Source site</x:v>
      </x:c>
      <x:c r="F6" s="9" t="str">
        <x:v>Replay lane</x:v>
      </x:c>
      <x:c r="G6" s="9" t="str">
        <x:v>Replay site</x:v>
      </x:c>
      <x:c r="H6" s="9" t="str">
        <x:v>Packet event</x:v>
      </x:c>
      <x:c r="I6" s="9" t="str">
        <x:v>Source implementation</x:v>
      </x:c>
      <x:c r="J6" s="9" t="str">
        <x:v>Replay implementation</x:v>
      </x:c>
      <x:c r="K6" s="9" t="str">
        <x:v>Expected disposition</x:v>
      </x:c>
      <x:c r="L6" s="9" t="str">
        <x:v>Sites distinct</x:v>
      </x:c>
      <x:c r="M6" s="9" t="str">
        <x:v>Packet schema frozen</x:v>
      </x:c>
      <x:c r="N6" s="9" t="str">
        <x:v>Planning state</x:v>
      </x:c>
      <x:c r="O6" s="9" t="str">
        <x:v>Actual disposition</x:v>
      </x:c>
      <x:c r="P6" s="9" t="str">
        <x:v>Source state</x:v>
      </x:c>
    </x:row>
    <x:row r="7">
      <x:c r="B7" s="11" t="str">
        <x:v>XR-SA1-1</x:v>
      </x:c>
      <x:c r="C7" s="11" t="str">
        <x:v>SA1</x:v>
      </x:c>
      <x:c r="D7" s="11" t="str">
        <x:v>LN-01</x:v>
      </x:c>
      <x:c r="E7" s="11" t="str">
        <x:v>PTC-A</x:v>
      </x:c>
      <x:c r="F7" s="11" t="str">
        <x:v>LN-02</x:v>
      </x:c>
      <x:c r="G7" s="11" t="str">
        <x:v>PTC-B</x:v>
      </x:c>
      <x:c r="H7" s="11" t="str">
        <x:v>P0-LN-01-09</x:v>
      </x:c>
      <x:c r="I7" s="11" t="str">
        <x:v>ALPHA native packet</x:v>
      </x:c>
      <x:c r="J7" s="11" t="str">
        <x:v>BETA replay implementation</x:v>
      </x:c>
      <x:c r="K7" s="11" t="str">
        <x:v>SAFE STATE AND REPLAY</x:v>
      </x:c>
      <x:c r="L7" s="11" t="n">
        <x:f>IF(E7&lt;&gt;G7,1,0)</x:f>
        <x:v>1</x:v>
      </x:c>
      <x:c r="M7" s="11" t="n">
        <x:v>1</x:v>
      </x:c>
      <x:c r="N7" s="11" t="str">
        <x:f>IF(AND(L7=1,M7=1),"PASS","FAIL")</x:f>
        <x:v>PASS</x:v>
      </x:c>
      <x:c r="O7" s="13" t="str"/>
      <x:c r="P7" s="11" t="str">
        <x:f>IF(N7&lt;&gt;"PASS","FAIL",IF(O7="","OPEN",IF(O7=K7,"PASS","FAIL")))</x:f>
        <x:v>OPEN</x:v>
      </x:c>
    </x:row>
    <x:row r="8">
      <x:c r="B8" s="11" t="str">
        <x:v>XR-SA1-2</x:v>
      </x:c>
      <x:c r="C8" s="11" t="str">
        <x:v>SA1</x:v>
      </x:c>
      <x:c r="D8" s="11" t="str">
        <x:v>LN-02</x:v>
      </x:c>
      <x:c r="E8" s="11" t="str">
        <x:v>PTC-B</x:v>
      </x:c>
      <x:c r="F8" s="11" t="str">
        <x:v>LN-01</x:v>
      </x:c>
      <x:c r="G8" s="11" t="str">
        <x:v>PTC-A</x:v>
      </x:c>
      <x:c r="H8" s="11" t="str">
        <x:v>P0-LN-02-03</x:v>
      </x:c>
      <x:c r="I8" s="11" t="str">
        <x:v>BETA native packet</x:v>
      </x:c>
      <x:c r="J8" s="11" t="str">
        <x:v>ALPHA replay implementation</x:v>
      </x:c>
      <x:c r="K8" s="11" t="str">
        <x:v>REJECT</x:v>
      </x:c>
      <x:c r="L8" s="11" t="n">
        <x:f>IF(E8&lt;&gt;G8,1,0)</x:f>
        <x:v>1</x:v>
      </x:c>
      <x:c r="M8" s="11" t="n">
        <x:v>1</x:v>
      </x:c>
      <x:c r="N8" s="11" t="str">
        <x:f>IF(AND(L8=1,M8=1),"PASS","FAIL")</x:f>
        <x:v>PASS</x:v>
      </x:c>
      <x:c r="O8" s="13" t="str"/>
      <x:c r="P8" s="11" t="str">
        <x:f>IF(N8&lt;&gt;"PASS","FAIL",IF(O8="","OPEN",IF(O8=K8,"PASS","FAIL")))</x:f>
        <x:v>OPEN</x:v>
      </x:c>
    </x:row>
    <x:row r="9">
      <x:c r="B9" s="11" t="str">
        <x:v>XR-SA2-1</x:v>
      </x:c>
      <x:c r="C9" s="11" t="str">
        <x:v>SA2</x:v>
      </x:c>
      <x:c r="D9" s="11" t="str">
        <x:v>LN-03</x:v>
      </x:c>
      <x:c r="E9" s="11" t="str">
        <x:v>PTC-A</x:v>
      </x:c>
      <x:c r="F9" s="11" t="str">
        <x:v>LN-04</x:v>
      </x:c>
      <x:c r="G9" s="11" t="str">
        <x:v>PTC-C</x:v>
      </x:c>
      <x:c r="H9" s="11" t="str">
        <x:v>P0-LN-03-09</x:v>
      </x:c>
      <x:c r="I9" s="11" t="str">
        <x:v>ALPHA native packet</x:v>
      </x:c>
      <x:c r="J9" s="11" t="str">
        <x:v>BETA replay implementation</x:v>
      </x:c>
      <x:c r="K9" s="11" t="str">
        <x:v>SAFE STATE AND REPLAY</x:v>
      </x:c>
      <x:c r="L9" s="11" t="n">
        <x:f>IF(E9&lt;&gt;G9,1,0)</x:f>
        <x:v>1</x:v>
      </x:c>
      <x:c r="M9" s="11" t="n">
        <x:v>1</x:v>
      </x:c>
      <x:c r="N9" s="11" t="str">
        <x:f>IF(AND(L9=1,M9=1),"PASS","FAIL")</x:f>
        <x:v>PASS</x:v>
      </x:c>
      <x:c r="O9" s="13" t="str"/>
      <x:c r="P9" s="11" t="str">
        <x:f>IF(N9&lt;&gt;"PASS","FAIL",IF(O9="","OPEN",IF(O9=K9,"PASS","FAIL")))</x:f>
        <x:v>OPEN</x:v>
      </x:c>
    </x:row>
    <x:row r="10">
      <x:c r="B10" s="11" t="str">
        <x:v>XR-SA2-2</x:v>
      </x:c>
      <x:c r="C10" s="11" t="str">
        <x:v>SA2</x:v>
      </x:c>
      <x:c r="D10" s="11" t="str">
        <x:v>LN-04</x:v>
      </x:c>
      <x:c r="E10" s="11" t="str">
        <x:v>PTC-C</x:v>
      </x:c>
      <x:c r="F10" s="11" t="str">
        <x:v>LN-03</x:v>
      </x:c>
      <x:c r="G10" s="11" t="str">
        <x:v>PTC-A</x:v>
      </x:c>
      <x:c r="H10" s="11" t="str">
        <x:v>P0-LN-04-03</x:v>
      </x:c>
      <x:c r="I10" s="11" t="str">
        <x:v>BETA native packet</x:v>
      </x:c>
      <x:c r="J10" s="11" t="str">
        <x:v>ALPHA replay implementation</x:v>
      </x:c>
      <x:c r="K10" s="11" t="str">
        <x:v>REJECT</x:v>
      </x:c>
      <x:c r="L10" s="11" t="n">
        <x:f>IF(E10&lt;&gt;G10,1,0)</x:f>
        <x:v>1</x:v>
      </x:c>
      <x:c r="M10" s="11" t="n">
        <x:v>1</x:v>
      </x:c>
      <x:c r="N10" s="11" t="str">
        <x:f>IF(AND(L10=1,M10=1),"PASS","FAIL")</x:f>
        <x:v>PASS</x:v>
      </x:c>
      <x:c r="O10" s="13" t="str"/>
      <x:c r="P10" s="11" t="str">
        <x:f>IF(N10&lt;&gt;"PASS","FAIL",IF(O10="","OPEN",IF(O10=K10,"PASS","FAIL")))</x:f>
        <x:v>OPEN</x:v>
      </x:c>
    </x:row>
    <x:row r="11">
      <x:c r="B11" s="11" t="str">
        <x:v>XR-SA3-1</x:v>
      </x:c>
      <x:c r="C11" s="11" t="str">
        <x:v>SA3</x:v>
      </x:c>
      <x:c r="D11" s="11" t="str">
        <x:v>LN-05</x:v>
      </x:c>
      <x:c r="E11" s="11" t="str">
        <x:v>PTC-A</x:v>
      </x:c>
      <x:c r="F11" s="11" t="str">
        <x:v>LN-06</x:v>
      </x:c>
      <x:c r="G11" s="11" t="str">
        <x:v>PTC-C</x:v>
      </x:c>
      <x:c r="H11" s="11" t="str">
        <x:v>P0-LN-05-09</x:v>
      </x:c>
      <x:c r="I11" s="11" t="str">
        <x:v>ALPHA native packet</x:v>
      </x:c>
      <x:c r="J11" s="11" t="str">
        <x:v>BETA replay implementation</x:v>
      </x:c>
      <x:c r="K11" s="11" t="str">
        <x:v>SAFE STATE AND REPLAY</x:v>
      </x:c>
      <x:c r="L11" s="11" t="n">
        <x:f>IF(E11&lt;&gt;G11,1,0)</x:f>
        <x:v>1</x:v>
      </x:c>
      <x:c r="M11" s="11" t="n">
        <x:v>1</x:v>
      </x:c>
      <x:c r="N11" s="11" t="str">
        <x:f>IF(AND(L11=1,M11=1),"PASS","FAIL")</x:f>
        <x:v>PASS</x:v>
      </x:c>
      <x:c r="O11" s="13" t="str"/>
      <x:c r="P11" s="11" t="str">
        <x:f>IF(N11&lt;&gt;"PASS","FAIL",IF(O11="","OPEN",IF(O11=K11,"PASS","FAIL")))</x:f>
        <x:v>OPEN</x:v>
      </x:c>
    </x:row>
    <x:row r="12">
      <x:c r="B12" s="11" t="str">
        <x:v>XR-SA3-2</x:v>
      </x:c>
      <x:c r="C12" s="11" t="str">
        <x:v>SA3</x:v>
      </x:c>
      <x:c r="D12" s="11" t="str">
        <x:v>LN-06</x:v>
      </x:c>
      <x:c r="E12" s="11" t="str">
        <x:v>PTC-C</x:v>
      </x:c>
      <x:c r="F12" s="11" t="str">
        <x:v>LN-05</x:v>
      </x:c>
      <x:c r="G12" s="11" t="str">
        <x:v>PTC-A</x:v>
      </x:c>
      <x:c r="H12" s="11" t="str">
        <x:v>P0-LN-06-03</x:v>
      </x:c>
      <x:c r="I12" s="11" t="str">
        <x:v>BETA native packet</x:v>
      </x:c>
      <x:c r="J12" s="11" t="str">
        <x:v>ALPHA replay implementation</x:v>
      </x:c>
      <x:c r="K12" s="11" t="str">
        <x:v>REJECT</x:v>
      </x:c>
      <x:c r="L12" s="11" t="n">
        <x:f>IF(E12&lt;&gt;G12,1,0)</x:f>
        <x:v>1</x:v>
      </x:c>
      <x:c r="M12" s="11" t="n">
        <x:v>1</x:v>
      </x:c>
      <x:c r="N12" s="11" t="str">
        <x:f>IF(AND(L12=1,M12=1),"PASS","FAIL")</x:f>
        <x:v>PASS</x:v>
      </x:c>
      <x:c r="O12" s="13" t="str"/>
      <x:c r="P12" s="11" t="str">
        <x:f>IF(N12&lt;&gt;"PASS","FAIL",IF(O12="","OPEN",IF(O12=K12,"PASS","FAIL")))</x:f>
        <x:v>OPEN</x:v>
      </x:c>
    </x:row>
    <x:row r="13">
      <x:c r="B13" s="11" t="str">
        <x:v>XR-SA4-1</x:v>
      </x:c>
      <x:c r="C13" s="11" t="str">
        <x:v>SA4</x:v>
      </x:c>
      <x:c r="D13" s="11" t="str">
        <x:v>LN-07</x:v>
      </x:c>
      <x:c r="E13" s="11" t="str">
        <x:v>PTC-B</x:v>
      </x:c>
      <x:c r="F13" s="11" t="str">
        <x:v>LN-08</x:v>
      </x:c>
      <x:c r="G13" s="11" t="str">
        <x:v>PTC-C</x:v>
      </x:c>
      <x:c r="H13" s="11" t="str">
        <x:v>P0-LN-07-09</x:v>
      </x:c>
      <x:c r="I13" s="11" t="str">
        <x:v>ALPHA native packet</x:v>
      </x:c>
      <x:c r="J13" s="11" t="str">
        <x:v>BETA replay implementation</x:v>
      </x:c>
      <x:c r="K13" s="11" t="str">
        <x:v>SAFE STATE AND REPLAY</x:v>
      </x:c>
      <x:c r="L13" s="11" t="n">
        <x:f>IF(E13&lt;&gt;G13,1,0)</x:f>
        <x:v>1</x:v>
      </x:c>
      <x:c r="M13" s="11" t="n">
        <x:v>1</x:v>
      </x:c>
      <x:c r="N13" s="11" t="str">
        <x:f>IF(AND(L13=1,M13=1),"PASS","FAIL")</x:f>
        <x:v>PASS</x:v>
      </x:c>
      <x:c r="O13" s="13" t="str"/>
      <x:c r="P13" s="11" t="str">
        <x:f>IF(N13&lt;&gt;"PASS","FAIL",IF(O13="","OPEN",IF(O13=K13,"PASS","FAIL")))</x:f>
        <x:v>OPEN</x:v>
      </x:c>
    </x:row>
    <x:row r="14">
      <x:c r="B14" s="11" t="str">
        <x:v>XR-SA4-2</x:v>
      </x:c>
      <x:c r="C14" s="11" t="str">
        <x:v>SA4</x:v>
      </x:c>
      <x:c r="D14" s="11" t="str">
        <x:v>LN-08</x:v>
      </x:c>
      <x:c r="E14" s="11" t="str">
        <x:v>PTC-C</x:v>
      </x:c>
      <x:c r="F14" s="11" t="str">
        <x:v>LN-07</x:v>
      </x:c>
      <x:c r="G14" s="11" t="str">
        <x:v>PTC-B</x:v>
      </x:c>
      <x:c r="H14" s="11" t="str">
        <x:v>P0-LN-08-03</x:v>
      </x:c>
      <x:c r="I14" s="11" t="str">
        <x:v>BETA native packet</x:v>
      </x:c>
      <x:c r="J14" s="11" t="str">
        <x:v>ALPHA replay implementation</x:v>
      </x:c>
      <x:c r="K14" s="11" t="str">
        <x:v>REJECT</x:v>
      </x:c>
      <x:c r="L14" s="11" t="n">
        <x:f>IF(E14&lt;&gt;G14,1,0)</x:f>
        <x:v>1</x:v>
      </x:c>
      <x:c r="M14" s="11" t="n">
        <x:v>1</x:v>
      </x:c>
      <x:c r="N14" s="11" t="str">
        <x:f>IF(AND(L14=1,M14=1),"PASS","FAIL")</x:f>
        <x:v>PASS</x:v>
      </x:c>
      <x:c r="O14" s="13" t="str"/>
      <x:c r="P14" s="11" t="str">
        <x:f>IF(N14&lt;&gt;"PASS","FAIL",IF(O14="","OPEN",IF(O14=K14,"PASS","FAIL")))</x:f>
        <x:v>OPEN</x:v>
      </x:c>
    </x:row>
    <x:row r="15">
      <x:c r="B15" s="11" t="str">
        <x:v>XR-SA5-1</x:v>
      </x:c>
      <x:c r="C15" s="11" t="str">
        <x:v>SA5</x:v>
      </x:c>
      <x:c r="D15" s="11" t="str">
        <x:v>LN-09</x:v>
      </x:c>
      <x:c r="E15" s="11" t="str">
        <x:v>PTC-A</x:v>
      </x:c>
      <x:c r="F15" s="11" t="str">
        <x:v>LN-10</x:v>
      </x:c>
      <x:c r="G15" s="11" t="str">
        <x:v>PTC-B</x:v>
      </x:c>
      <x:c r="H15" s="11" t="str">
        <x:v>P0-LN-09-09</x:v>
      </x:c>
      <x:c r="I15" s="11" t="str">
        <x:v>ALPHA native packet</x:v>
      </x:c>
      <x:c r="J15" s="11" t="str">
        <x:v>BETA replay implementation</x:v>
      </x:c>
      <x:c r="K15" s="11" t="str">
        <x:v>SAFE STATE AND REPLAY</x:v>
      </x:c>
      <x:c r="L15" s="11" t="n">
        <x:f>IF(E15&lt;&gt;G15,1,0)</x:f>
        <x:v>1</x:v>
      </x:c>
      <x:c r="M15" s="11" t="n">
        <x:v>1</x:v>
      </x:c>
      <x:c r="N15" s="11" t="str">
        <x:f>IF(AND(L15=1,M15=1),"PASS","FAIL")</x:f>
        <x:v>PASS</x:v>
      </x:c>
      <x:c r="O15" s="13" t="str"/>
      <x:c r="P15" s="11" t="str">
        <x:f>IF(N15&lt;&gt;"PASS","FAIL",IF(O15="","OPEN",IF(O15=K15,"PASS","FAIL")))</x:f>
        <x:v>OPEN</x:v>
      </x:c>
    </x:row>
    <x:row r="16">
      <x:c r="B16" s="11" t="str">
        <x:v>XR-SA5-2</x:v>
      </x:c>
      <x:c r="C16" s="11" t="str">
        <x:v>SA5</x:v>
      </x:c>
      <x:c r="D16" s="11" t="str">
        <x:v>LN-10</x:v>
      </x:c>
      <x:c r="E16" s="11" t="str">
        <x:v>PTC-B</x:v>
      </x:c>
      <x:c r="F16" s="11" t="str">
        <x:v>LN-09</x:v>
      </x:c>
      <x:c r="G16" s="11" t="str">
        <x:v>PTC-A</x:v>
      </x:c>
      <x:c r="H16" s="11" t="str">
        <x:v>P0-LN-10-03</x:v>
      </x:c>
      <x:c r="I16" s="11" t="str">
        <x:v>BETA native packet</x:v>
      </x:c>
      <x:c r="J16" s="11" t="str">
        <x:v>ALPHA replay implementation</x:v>
      </x:c>
      <x:c r="K16" s="11" t="str">
        <x:v>REJECT</x:v>
      </x:c>
      <x:c r="L16" s="11" t="n">
        <x:f>IF(E16&lt;&gt;G16,1,0)</x:f>
        <x:v>1</x:v>
      </x:c>
      <x:c r="M16" s="11" t="n">
        <x:v>1</x:v>
      </x:c>
      <x:c r="N16" s="11" t="str">
        <x:f>IF(AND(L16=1,M16=1),"PASS","FAIL")</x:f>
        <x:v>PASS</x:v>
      </x:c>
      <x:c r="O16" s="13" t="str"/>
      <x:c r="P16" s="11" t="str">
        <x:f>IF(N16&lt;&gt;"PASS","FAIL",IF(O16="","OPEN",IF(O16=K16,"PASS","FAIL")))</x:f>
        <x:v>OPEN</x:v>
      </x:c>
    </x:row>
    <x:row r="17">
      <x:c r="B17" s="11" t="str">
        <x:v>XR-SA6-1</x:v>
      </x:c>
      <x:c r="C17" s="11" t="str">
        <x:v>SA6</x:v>
      </x:c>
      <x:c r="D17" s="11" t="str">
        <x:v>LN-11</x:v>
      </x:c>
      <x:c r="E17" s="11" t="str">
        <x:v>PTC-B</x:v>
      </x:c>
      <x:c r="F17" s="11" t="str">
        <x:v>LN-12</x:v>
      </x:c>
      <x:c r="G17" s="11" t="str">
        <x:v>PTC-C</x:v>
      </x:c>
      <x:c r="H17" s="11" t="str">
        <x:v>P0-LN-11-09</x:v>
      </x:c>
      <x:c r="I17" s="11" t="str">
        <x:v>ALPHA native packet</x:v>
      </x:c>
      <x:c r="J17" s="11" t="str">
        <x:v>BETA replay implementation</x:v>
      </x:c>
      <x:c r="K17" s="11" t="str">
        <x:v>SAFE STATE AND REPLAY</x:v>
      </x:c>
      <x:c r="L17" s="11" t="n">
        <x:f>IF(E17&lt;&gt;G17,1,0)</x:f>
        <x:v>1</x:v>
      </x:c>
      <x:c r="M17" s="11" t="n">
        <x:v>1</x:v>
      </x:c>
      <x:c r="N17" s="11" t="str">
        <x:f>IF(AND(L17=1,M17=1),"PASS","FAIL")</x:f>
        <x:v>PASS</x:v>
      </x:c>
      <x:c r="O17" s="13" t="str"/>
      <x:c r="P17" s="11" t="str">
        <x:f>IF(N17&lt;&gt;"PASS","FAIL",IF(O17="","OPEN",IF(O17=K17,"PASS","FAIL")))</x:f>
        <x:v>OPEN</x:v>
      </x:c>
    </x:row>
    <x:row r="18">
      <x:c r="B18" s="12" t="str">
        <x:v>XR-SA6-2</x:v>
      </x:c>
      <x:c r="C18" s="12" t="str">
        <x:v>SA6</x:v>
      </x:c>
      <x:c r="D18" s="12" t="str">
        <x:v>LN-12</x:v>
      </x:c>
      <x:c r="E18" s="12" t="str">
        <x:v>PTC-C</x:v>
      </x:c>
      <x:c r="F18" s="12" t="str">
        <x:v>LN-11</x:v>
      </x:c>
      <x:c r="G18" s="12" t="str">
        <x:v>PTC-B</x:v>
      </x:c>
      <x:c r="H18" s="12" t="str">
        <x:v>P0-LN-12-03</x:v>
      </x:c>
      <x:c r="I18" s="12" t="str">
        <x:v>BETA native packet</x:v>
      </x:c>
      <x:c r="J18" s="12" t="str">
        <x:v>ALPHA replay implementation</x:v>
      </x:c>
      <x:c r="K18" s="12" t="str">
        <x:v>REJECT</x:v>
      </x:c>
      <x:c r="L18" s="12" t="n">
        <x:f>IF(E18&lt;&gt;G18,1,0)</x:f>
        <x:v>1</x:v>
      </x:c>
      <x:c r="M18" s="12" t="n">
        <x:v>1</x:v>
      </x:c>
      <x:c r="N18" s="12" t="str">
        <x:f>IF(AND(L18=1,M18=1),"PASS","FAIL")</x:f>
        <x:v>PASS</x:v>
      </x:c>
      <x:c r="O18" s="14" t="str"/>
      <x:c r="P18" s="12" t="str">
        <x:f>IF(N18&lt;&gt;"PASS","FAIL",IF(O18="","OPEN",IF(O18=K18,"PASS","FAIL")))</x:f>
        <x:v>OPEN</x:v>
      </x:c>
    </x:row>
  </x:sheetData>
  <x:mergeCells>
    <x:mergeCell ref="B2:P2"/>
    <x:mergeCell ref="B3:P3"/>
  </x:mergeCells>
  <x:conditionalFormatting sqref="J7:J18">
    <x:cfRule type="containsText" dxfId="182" priority="1" operator="containsText" text="PASS"/>
    <x:cfRule type="containsText" dxfId="183" priority="2" operator="containsText" text="AUTHORIZED"/>
    <x:cfRule type="containsText" dxfId="184" priority="3" operator="containsText" text="DEFINED"/>
    <x:cfRule type="containsText" dxfId="185" priority="4" operator="containsText" text="READY"/>
    <x:cfRule type="containsText" dxfId="186" priority="5" operator="containsText" text="HOLD"/>
    <x:cfRule type="containsText" dxfId="187" priority="6" operator="containsText" text="OPEN"/>
    <x:cfRule type="containsText" dxfId="188" priority="7" operator="containsText" text="BLOCKED"/>
    <x:cfRule type="containsText" dxfId="189" priority="8" operator="containsText" text="PLANNING"/>
    <x:cfRule type="containsText" dxfId="190" priority="9" operator="containsText" text="QUARANTINE"/>
    <x:cfRule type="containsText" dxfId="191" priority="10" operator="containsText" text="INDETERMINATE"/>
    <x:cfRule type="containsText" dxfId="192" priority="11" operator="containsText" text="FAIL"/>
    <x:cfRule type="containsText" dxfId="193" priority="12" operator="containsText" text="REJECT"/>
    <x:cfRule type="containsText" dxfId="194" priority="13" operator="containsText" text="INVALID"/>
    <x:cfRule type="containsText" dxfId="195" priority="14" operator="containsText" text="STOP"/>
  </x:conditionalFormatting>
  <x:conditionalFormatting sqref="N7:P18">
    <x:cfRule type="containsText" dxfId="196" priority="15" operator="containsText" text="PASS"/>
    <x:cfRule type="containsText" dxfId="197" priority="16" operator="containsText" text="AUTHORIZED"/>
    <x:cfRule type="containsText" dxfId="198" priority="17" operator="containsText" text="DEFINED"/>
    <x:cfRule type="containsText" dxfId="199" priority="18" operator="containsText" text="READY"/>
    <x:cfRule type="containsText" dxfId="200" priority="19" operator="containsText" text="HOLD"/>
    <x:cfRule type="containsText" dxfId="201" priority="20" operator="containsText" text="OPEN"/>
    <x:cfRule type="containsText" dxfId="202" priority="21" operator="containsText" text="BLOCKED"/>
    <x:cfRule type="containsText" dxfId="203" priority="22" operator="containsText" text="PLANNING"/>
    <x:cfRule type="containsText" dxfId="204" priority="23" operator="containsText" text="QUARANTINE"/>
    <x:cfRule type="containsText" dxfId="205" priority="24" operator="containsText" text="INDETERMINATE"/>
    <x:cfRule type="containsText" dxfId="206" priority="25" operator="containsText" text="FAIL"/>
    <x:cfRule type="containsText" dxfId="207" priority="26" operator="containsText" text="REJECT"/>
    <x:cfRule type="containsText" dxfId="208" priority="27" operator="containsText" text="INVALID"/>
    <x:cfRule type="containsText" dxfId="209" priority="28" operator="containsText" text="STOP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1" hidden="0" customWidth="1"/>
    <x:col min="4" max="4" width="8" hidden="0" customWidth="1"/>
    <x:col min="5" max="5" width="8" hidden="0" customWidth="1"/>
    <x:col min="6" max="6" width="23" hidden="0" customWidth="1"/>
    <x:col min="7" max="7" width="25" hidden="0" customWidth="1"/>
    <x:col min="8" max="8" width="24" hidden="0" customWidth="1"/>
    <x:col min="9" max="9" width="27" hidden="0" customWidth="1"/>
    <x:col min="10" max="10" width="48" hidden="0" customWidth="1"/>
    <x:col min="11" max="11" width="19" hidden="0" customWidth="1"/>
    <x:col min="12" max="12" width="14" hidden="0" customWidth="1"/>
    <x:col min="13" max="13" width="12" hidden="0" customWidth="1"/>
    <x:col min="14" max="14" width="16" hidden="0" customWidth="1"/>
    <x:col min="15" max="15" width="14" hidden="0" customWidth="1"/>
    <x:col min="16" max="16" width="14" hidden="0" customWidth="1"/>
    <x:col min="17" max="17" width="31" hidden="0" customWidth="1"/>
  </x:cols>
  <x:sheetData>
    <x:row r="2">
      <x:c r="B2" s="37" t="str">
        <x:v>Article custody and retirement constitution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3">
      <x:c r="B3" s="39" t="str">
        <x:v>Retained references, destructive witnesses and quarantine carriers have different terminal duties. No RSP-1 body can enter SDEC-1.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</x:row>
    <x:row r="6">
      <x:c r="B6" s="9" t="str">
        <x:v>Article ID</x:v>
      </x:c>
      <x:c r="C6" s="9" t="str">
        <x:v>Site</x:v>
      </x:c>
      <x:c r="D6" s="9" t="str">
        <x:v>Root</x:v>
      </x:c>
      <x:c r="E6" s="9" t="str">
        <x:v>Slot</x:v>
      </x:c>
      <x:c r="F6" s="9" t="str">
        <x:v>Blind custodian</x:v>
      </x:c>
      <x:c r="G6" s="9" t="str">
        <x:v>Public custodian</x:v>
      </x:c>
      <x:c r="H6" s="9" t="str">
        <x:v>Root custodian</x:v>
      </x:c>
      <x:c r="I6" s="9" t="str">
        <x:v>Preassigned disposition</x:v>
      </x:c>
      <x:c r="J6" s="9" t="str">
        <x:v>Quarantine trigger</x:v>
      </x:c>
      <x:c r="K6" s="9" t="str">
        <x:v>Maximum mounted uses</x:v>
      </x:c>
      <x:c r="L6" s="9" t="str">
        <x:v>Planned uses</x:v>
      </x:c>
      <x:c r="M6" s="9" t="str">
        <x:v>Use reserve</x:v>
      </x:c>
      <x:c r="N6" s="9" t="str">
        <x:v>Physical custody</x:v>
      </x:c>
      <x:c r="O6" s="9" t="str">
        <x:v>Planning state</x:v>
      </x:c>
      <x:c r="P6" s="9" t="str">
        <x:v>Source state</x:v>
      </x:c>
      <x:c r="Q6" s="9" t="str">
        <x:v>Campaign use</x:v>
      </x:c>
    </x:row>
    <x:row r="7">
      <x:c r="B7" s="11" t="str">
        <x:v>RA-SA1-01-A1</x:v>
      </x:c>
      <x:c r="C7" s="11" t="str">
        <x:v>PTC-A</x:v>
      </x:c>
      <x:c r="D7" s="11" t="str">
        <x:v>A</x:v>
      </x:c>
      <x:c r="E7" s="11" t="n">
        <x:v>1</x:v>
      </x:c>
      <x:c r="F7" s="11" t="str">
        <x:v>national blind authority</x:v>
      </x:c>
      <x:c r="G7" s="11" t="str">
        <x:v>PTC-A evidence authority</x:v>
      </x:c>
      <x:c r="H7" s="11" t="str">
        <x:v>Root A material custodian</x:v>
      </x:c>
      <x:c r="I7" s="11" t="str">
        <x:v>RETAIN SEALED</x:v>
      </x:c>
      <x:c r="J7" s="11" t="str">
        <x:v>seal compromise; overload; unknown exposure; contamination</x:v>
      </x:c>
      <x:c r="K7" s="11" t="n">
        <x:v>6</x:v>
      </x:c>
      <x:c r="L7" s="11" t="n">
        <x:v>3</x:v>
      </x:c>
      <x:c r="M7" s="11" t="n">
        <x:f>K7-L7</x:f>
        <x:v>3</x:v>
      </x:c>
      <x:c r="N7" s="13" t="n">
        <x:v>0</x:v>
      </x:c>
      <x:c r="O7" s="11" t="str">
        <x:f>IF(AND(I7&lt;&gt;"",J7&lt;&gt;"",M7&gt;=0),"PASS","FAIL")</x:f>
        <x:v>PASS</x:v>
      </x:c>
      <x:c r="P7" s="11" t="str">
        <x:f>IF(O7&lt;&gt;"PASS","FAIL",IF(N7=1,"PASS","OPEN"))</x:f>
        <x:v>OPEN</x:v>
      </x:c>
      <x:c r="Q7" s="11" t="str">
        <x:v>excluded from campaign population</x:v>
      </x:c>
    </x:row>
    <x:row r="8">
      <x:c r="B8" s="11" t="str">
        <x:v>RA-SA1-01-A2</x:v>
      </x:c>
      <x:c r="C8" s="11" t="str">
        <x:v>PTC-A</x:v>
      </x:c>
      <x:c r="D8" s="11" t="str">
        <x:v>A</x:v>
      </x:c>
      <x:c r="E8" s="11" t="n">
        <x:v>2</x:v>
      </x:c>
      <x:c r="F8" s="11" t="str">
        <x:v>national blind authority</x:v>
      </x:c>
      <x:c r="G8" s="11" t="str">
        <x:v>PTC-A evidence authority</x:v>
      </x:c>
      <x:c r="H8" s="11" t="str">
        <x:v>Root A material custodian</x:v>
      </x:c>
      <x:c r="I8" s="11" t="str">
        <x:v>DESTRUCT AFTER TRUTH</x:v>
      </x:c>
      <x:c r="J8" s="11" t="str">
        <x:v>seal compromise; overload; unknown exposure; contamination</x:v>
      </x:c>
      <x:c r="K8" s="11" t="n">
        <x:v>4</x:v>
      </x:c>
      <x:c r="L8" s="11" t="n">
        <x:v>1</x:v>
      </x:c>
      <x:c r="M8" s="11" t="n">
        <x:f>K8-L8</x:f>
        <x:v>3</x:v>
      </x:c>
      <x:c r="N8" s="13" t="n">
        <x:v>0</x:v>
      </x:c>
      <x:c r="O8" s="11" t="str">
        <x:f>IF(AND(I8&lt;&gt;"",J8&lt;&gt;"",M8&gt;=0),"PASS","FAIL")</x:f>
        <x:v>PASS</x:v>
      </x:c>
      <x:c r="P8" s="11" t="str">
        <x:f>IF(O8&lt;&gt;"PASS","FAIL",IF(N8=1,"PASS","OPEN"))</x:f>
        <x:v>OPEN</x:v>
      </x:c>
      <x:c r="Q8" s="11" t="str">
        <x:v>excluded from campaign population</x:v>
      </x:c>
    </x:row>
    <x:row r="9">
      <x:c r="B9" s="11" t="str">
        <x:v>RA-SA1-01-A3</x:v>
      </x:c>
      <x:c r="C9" s="11" t="str">
        <x:v>PTC-A</x:v>
      </x:c>
      <x:c r="D9" s="11" t="str">
        <x:v>A</x:v>
      </x:c>
      <x:c r="E9" s="11" t="n">
        <x:v>3</x:v>
      </x:c>
      <x:c r="F9" s="11" t="str">
        <x:v>national blind authority</x:v>
      </x:c>
      <x:c r="G9" s="11" t="str">
        <x:v>PTC-A evidence authority</x:v>
      </x:c>
      <x:c r="H9" s="11" t="str">
        <x:v>Root A material custodian</x:v>
      </x:c>
      <x:c r="I9" s="11" t="str">
        <x:v>QUARANTINE THEN DESTRUCT</x:v>
      </x:c>
      <x:c r="J9" s="11" t="str">
        <x:v>seal compromise; overload; unknown exposure; contamination</x:v>
      </x:c>
      <x:c r="K9" s="11" t="n">
        <x:v>3</x:v>
      </x:c>
      <x:c r="L9" s="11" t="n">
        <x:v>1</x:v>
      </x:c>
      <x:c r="M9" s="11" t="n">
        <x:f>K9-L9</x:f>
        <x:v>2</x:v>
      </x:c>
      <x:c r="N9" s="13" t="n">
        <x:v>0</x:v>
      </x:c>
      <x:c r="O9" s="11" t="str">
        <x:f>IF(AND(I9&lt;&gt;"",J9&lt;&gt;"",M9&gt;=0),"PASS","FAIL")</x:f>
        <x:v>PASS</x:v>
      </x:c>
      <x:c r="P9" s="11" t="str">
        <x:f>IF(O9&lt;&gt;"PASS","FAIL",IF(N9=1,"PASS","OPEN"))</x:f>
        <x:v>OPEN</x:v>
      </x:c>
      <x:c r="Q9" s="11" t="str">
        <x:v>excluded from campaign population</x:v>
      </x:c>
    </x:row>
    <x:row r="10">
      <x:c r="B10" s="11" t="str">
        <x:v>RA-SA1-01-B1</x:v>
      </x:c>
      <x:c r="C10" s="11" t="str">
        <x:v>PTC-A</x:v>
      </x:c>
      <x:c r="D10" s="11" t="str">
        <x:v>B</x:v>
      </x:c>
      <x:c r="E10" s="11" t="n">
        <x:v>1</x:v>
      </x:c>
      <x:c r="F10" s="11" t="str">
        <x:v>national blind authority</x:v>
      </x:c>
      <x:c r="G10" s="11" t="str">
        <x:v>PTC-A evidence authority</x:v>
      </x:c>
      <x:c r="H10" s="11" t="str">
        <x:v>Root B material custodian</x:v>
      </x:c>
      <x:c r="I10" s="11" t="str">
        <x:v>RETAIN SEALED</x:v>
      </x:c>
      <x:c r="J10" s="11" t="str">
        <x:v>seal compromise; overload; unknown exposure; contamination</x:v>
      </x:c>
      <x:c r="K10" s="11" t="n">
        <x:v>6</x:v>
      </x:c>
      <x:c r="L10" s="11" t="n">
        <x:v>1</x:v>
      </x:c>
      <x:c r="M10" s="11" t="n">
        <x:f>K10-L10</x:f>
        <x:v>5</x:v>
      </x:c>
      <x:c r="N10" s="13" t="n">
        <x:v>0</x:v>
      </x:c>
      <x:c r="O10" s="11" t="str">
        <x:f>IF(AND(I10&lt;&gt;"",J10&lt;&gt;"",M10&gt;=0),"PASS","FAIL")</x:f>
        <x:v>PASS</x:v>
      </x:c>
      <x:c r="P10" s="11" t="str">
        <x:f>IF(O10&lt;&gt;"PASS","FAIL",IF(N10=1,"PASS","OPEN"))</x:f>
        <x:v>OPEN</x:v>
      </x:c>
      <x:c r="Q10" s="11" t="str">
        <x:v>excluded from campaign population</x:v>
      </x:c>
    </x:row>
    <x:row r="11">
      <x:c r="B11" s="11" t="str">
        <x:v>RA-SA1-01-B2</x:v>
      </x:c>
      <x:c r="C11" s="11" t="str">
        <x:v>PTC-A</x:v>
      </x:c>
      <x:c r="D11" s="11" t="str">
        <x:v>B</x:v>
      </x:c>
      <x:c r="E11" s="11" t="n">
        <x:v>2</x:v>
      </x:c>
      <x:c r="F11" s="11" t="str">
        <x:v>national blind authority</x:v>
      </x:c>
      <x:c r="G11" s="11" t="str">
        <x:v>PTC-A evidence authority</x:v>
      </x:c>
      <x:c r="H11" s="11" t="str">
        <x:v>Root B material custodian</x:v>
      </x:c>
      <x:c r="I11" s="11" t="str">
        <x:v>DESTRUCT AFTER TRUTH</x:v>
      </x:c>
      <x:c r="J11" s="11" t="str">
        <x:v>seal compromise; overload; unknown exposure; contamination</x:v>
      </x:c>
      <x:c r="K11" s="11" t="n">
        <x:v>4</x:v>
      </x:c>
      <x:c r="L11" s="11" t="n">
        <x:v>2</x:v>
      </x:c>
      <x:c r="M11" s="11" t="n">
        <x:f>K11-L11</x:f>
        <x:v>2</x:v>
      </x:c>
      <x:c r="N11" s="13" t="n">
        <x:v>0</x:v>
      </x:c>
      <x:c r="O11" s="11" t="str">
        <x:f>IF(AND(I11&lt;&gt;"",J11&lt;&gt;"",M11&gt;=0),"PASS","FAIL")</x:f>
        <x:v>PASS</x:v>
      </x:c>
      <x:c r="P11" s="11" t="str">
        <x:f>IF(O11&lt;&gt;"PASS","FAIL",IF(N11=1,"PASS","OPEN"))</x:f>
        <x:v>OPEN</x:v>
      </x:c>
      <x:c r="Q11" s="11" t="str">
        <x:v>excluded from campaign population</x:v>
      </x:c>
    </x:row>
    <x:row r="12">
      <x:c r="B12" s="11" t="str">
        <x:v>RA-SA1-01-B3</x:v>
      </x:c>
      <x:c r="C12" s="11" t="str">
        <x:v>PTC-A</x:v>
      </x:c>
      <x:c r="D12" s="11" t="str">
        <x:v>B</x:v>
      </x:c>
      <x:c r="E12" s="11" t="n">
        <x:v>3</x:v>
      </x:c>
      <x:c r="F12" s="11" t="str">
        <x:v>national blind authority</x:v>
      </x:c>
      <x:c r="G12" s="11" t="str">
        <x:v>PTC-A evidence authority</x:v>
      </x:c>
      <x:c r="H12" s="11" t="str">
        <x:v>Root B material custodian</x:v>
      </x:c>
      <x:c r="I12" s="11" t="str">
        <x:v>QUARANTINE THEN DESTRUCT</x:v>
      </x:c>
      <x:c r="J12" s="11" t="str">
        <x:v>seal compromise; overload; unknown exposure; contamination</x:v>
      </x:c>
      <x:c r="K12" s="11" t="n">
        <x:v>3</x:v>
      </x:c>
      <x:c r="L12" s="11" t="n">
        <x:v>2</x:v>
      </x:c>
      <x:c r="M12" s="11" t="n">
        <x:f>K12-L12</x:f>
        <x:v>1</x:v>
      </x:c>
      <x:c r="N12" s="13" t="n">
        <x:v>0</x:v>
      </x:c>
      <x:c r="O12" s="11" t="str">
        <x:f>IF(AND(I12&lt;&gt;"",J12&lt;&gt;"",M12&gt;=0),"PASS","FAIL")</x:f>
        <x:v>PASS</x:v>
      </x:c>
      <x:c r="P12" s="11" t="str">
        <x:f>IF(O12&lt;&gt;"PASS","FAIL",IF(N12=1,"PASS","OPEN"))</x:f>
        <x:v>OPEN</x:v>
      </x:c>
      <x:c r="Q12" s="11" t="str">
        <x:v>excluded from campaign population</x:v>
      </x:c>
    </x:row>
    <x:row r="13">
      <x:c r="B13" s="11" t="str">
        <x:v>RA-SA1-02-A1</x:v>
      </x:c>
      <x:c r="C13" s="11" t="str">
        <x:v>PTC-B</x:v>
      </x:c>
      <x:c r="D13" s="11" t="str">
        <x:v>A</x:v>
      </x:c>
      <x:c r="E13" s="11" t="n">
        <x:v>1</x:v>
      </x:c>
      <x:c r="F13" s="11" t="str">
        <x:v>national blind authority</x:v>
      </x:c>
      <x:c r="G13" s="11" t="str">
        <x:v>PTC-B evidence authority</x:v>
      </x:c>
      <x:c r="H13" s="11" t="str">
        <x:v>Root A material custodian</x:v>
      </x:c>
      <x:c r="I13" s="11" t="str">
        <x:v>RETAIN SEALED</x:v>
      </x:c>
      <x:c r="J13" s="11" t="str">
        <x:v>seal compromise; overload; unknown exposure; contamination</x:v>
      </x:c>
      <x:c r="K13" s="11" t="n">
        <x:v>6</x:v>
      </x:c>
      <x:c r="L13" s="11" t="n">
        <x:v>1</x:v>
      </x:c>
      <x:c r="M13" s="11" t="n">
        <x:f>K13-L13</x:f>
        <x:v>5</x:v>
      </x:c>
      <x:c r="N13" s="13" t="n">
        <x:v>0</x:v>
      </x:c>
      <x:c r="O13" s="11" t="str">
        <x:f>IF(AND(I13&lt;&gt;"",J13&lt;&gt;"",M13&gt;=0),"PASS","FAIL")</x:f>
        <x:v>PASS</x:v>
      </x:c>
      <x:c r="P13" s="11" t="str">
        <x:f>IF(O13&lt;&gt;"PASS","FAIL",IF(N13=1,"PASS","OPEN"))</x:f>
        <x:v>OPEN</x:v>
      </x:c>
      <x:c r="Q13" s="11" t="str">
        <x:v>excluded from campaign population</x:v>
      </x:c>
    </x:row>
    <x:row r="14">
      <x:c r="B14" s="11" t="str">
        <x:v>RA-SA1-02-A2</x:v>
      </x:c>
      <x:c r="C14" s="11" t="str">
        <x:v>PTC-B</x:v>
      </x:c>
      <x:c r="D14" s="11" t="str">
        <x:v>A</x:v>
      </x:c>
      <x:c r="E14" s="11" t="n">
        <x:v>2</x:v>
      </x:c>
      <x:c r="F14" s="11" t="str">
        <x:v>national blind authority</x:v>
      </x:c>
      <x:c r="G14" s="11" t="str">
        <x:v>PTC-B evidence authority</x:v>
      </x:c>
      <x:c r="H14" s="11" t="str">
        <x:v>Root A material custodian</x:v>
      </x:c>
      <x:c r="I14" s="11" t="str">
        <x:v>DESTRUCT AFTER TRUTH</x:v>
      </x:c>
      <x:c r="J14" s="11" t="str">
        <x:v>seal compromise; overload; unknown exposure; contamination</x:v>
      </x:c>
      <x:c r="K14" s="11" t="n">
        <x:v>4</x:v>
      </x:c>
      <x:c r="L14" s="11" t="n">
        <x:v>2</x:v>
      </x:c>
      <x:c r="M14" s="11" t="n">
        <x:f>K14-L14</x:f>
        <x:v>2</x:v>
      </x:c>
      <x:c r="N14" s="13" t="n">
        <x:v>0</x:v>
      </x:c>
      <x:c r="O14" s="11" t="str">
        <x:f>IF(AND(I14&lt;&gt;"",J14&lt;&gt;"",M14&gt;=0),"PASS","FAIL")</x:f>
        <x:v>PASS</x:v>
      </x:c>
      <x:c r="P14" s="11" t="str">
        <x:f>IF(O14&lt;&gt;"PASS","FAIL",IF(N14=1,"PASS","OPEN"))</x:f>
        <x:v>OPEN</x:v>
      </x:c>
      <x:c r="Q14" s="11" t="str">
        <x:v>excluded from campaign population</x:v>
      </x:c>
    </x:row>
    <x:row r="15">
      <x:c r="B15" s="11" t="str">
        <x:v>RA-SA1-02-A3</x:v>
      </x:c>
      <x:c r="C15" s="11" t="str">
        <x:v>PTC-B</x:v>
      </x:c>
      <x:c r="D15" s="11" t="str">
        <x:v>A</x:v>
      </x:c>
      <x:c r="E15" s="11" t="n">
        <x:v>3</x:v>
      </x:c>
      <x:c r="F15" s="11" t="str">
        <x:v>national blind authority</x:v>
      </x:c>
      <x:c r="G15" s="11" t="str">
        <x:v>PTC-B evidence authority</x:v>
      </x:c>
      <x:c r="H15" s="11" t="str">
        <x:v>Root A material custodian</x:v>
      </x:c>
      <x:c r="I15" s="11" t="str">
        <x:v>QUARANTINE THEN DESTRUCT</x:v>
      </x:c>
      <x:c r="J15" s="11" t="str">
        <x:v>seal compromise; overload; unknown exposure; contamination</x:v>
      </x:c>
      <x:c r="K15" s="11" t="n">
        <x:v>3</x:v>
      </x:c>
      <x:c r="L15" s="11" t="n">
        <x:v>2</x:v>
      </x:c>
      <x:c r="M15" s="11" t="n">
        <x:f>K15-L15</x:f>
        <x:v>1</x:v>
      </x:c>
      <x:c r="N15" s="13" t="n">
        <x:v>0</x:v>
      </x:c>
      <x:c r="O15" s="11" t="str">
        <x:f>IF(AND(I15&lt;&gt;"",J15&lt;&gt;"",M15&gt;=0),"PASS","FAIL")</x:f>
        <x:v>PASS</x:v>
      </x:c>
      <x:c r="P15" s="11" t="str">
        <x:f>IF(O15&lt;&gt;"PASS","FAIL",IF(N15=1,"PASS","OPEN"))</x:f>
        <x:v>OPEN</x:v>
      </x:c>
      <x:c r="Q15" s="11" t="str">
        <x:v>excluded from campaign population</x:v>
      </x:c>
    </x:row>
    <x:row r="16">
      <x:c r="B16" s="11" t="str">
        <x:v>RA-SA1-02-B1</x:v>
      </x:c>
      <x:c r="C16" s="11" t="str">
        <x:v>PTC-B</x:v>
      </x:c>
      <x:c r="D16" s="11" t="str">
        <x:v>B</x:v>
      </x:c>
      <x:c r="E16" s="11" t="n">
        <x:v>1</x:v>
      </x:c>
      <x:c r="F16" s="11" t="str">
        <x:v>national blind authority</x:v>
      </x:c>
      <x:c r="G16" s="11" t="str">
        <x:v>PTC-B evidence authority</x:v>
      </x:c>
      <x:c r="H16" s="11" t="str">
        <x:v>Root B material custodian</x:v>
      </x:c>
      <x:c r="I16" s="11" t="str">
        <x:v>RETAIN SEALED</x:v>
      </x:c>
      <x:c r="J16" s="11" t="str">
        <x:v>seal compromise; overload; unknown exposure; contamination</x:v>
      </x:c>
      <x:c r="K16" s="11" t="n">
        <x:v>6</x:v>
      </x:c>
      <x:c r="L16" s="11" t="n">
        <x:v>3</x:v>
      </x:c>
      <x:c r="M16" s="11" t="n">
        <x:f>K16-L16</x:f>
        <x:v>3</x:v>
      </x:c>
      <x:c r="N16" s="13" t="n">
        <x:v>0</x:v>
      </x:c>
      <x:c r="O16" s="11" t="str">
        <x:f>IF(AND(I16&lt;&gt;"",J16&lt;&gt;"",M16&gt;=0),"PASS","FAIL")</x:f>
        <x:v>PASS</x:v>
      </x:c>
      <x:c r="P16" s="11" t="str">
        <x:f>IF(O16&lt;&gt;"PASS","FAIL",IF(N16=1,"PASS","OPEN"))</x:f>
        <x:v>OPEN</x:v>
      </x:c>
      <x:c r="Q16" s="11" t="str">
        <x:v>excluded from campaign population</x:v>
      </x:c>
    </x:row>
    <x:row r="17">
      <x:c r="B17" s="11" t="str">
        <x:v>RA-SA1-02-B2</x:v>
      </x:c>
      <x:c r="C17" s="11" t="str">
        <x:v>PTC-B</x:v>
      </x:c>
      <x:c r="D17" s="11" t="str">
        <x:v>B</x:v>
      </x:c>
      <x:c r="E17" s="11" t="n">
        <x:v>2</x:v>
      </x:c>
      <x:c r="F17" s="11" t="str">
        <x:v>national blind authority</x:v>
      </x:c>
      <x:c r="G17" s="11" t="str">
        <x:v>PTC-B evidence authority</x:v>
      </x:c>
      <x:c r="H17" s="11" t="str">
        <x:v>Root B material custodian</x:v>
      </x:c>
      <x:c r="I17" s="11" t="str">
        <x:v>DESTRUCT AFTER TRUTH</x:v>
      </x:c>
      <x:c r="J17" s="11" t="str">
        <x:v>seal compromise; overload; unknown exposure; contamination</x:v>
      </x:c>
      <x:c r="K17" s="11" t="n">
        <x:v>4</x:v>
      </x:c>
      <x:c r="L17" s="11" t="n">
        <x:v>1</x:v>
      </x:c>
      <x:c r="M17" s="11" t="n">
        <x:f>K17-L17</x:f>
        <x:v>3</x:v>
      </x:c>
      <x:c r="N17" s="13" t="n">
        <x:v>0</x:v>
      </x:c>
      <x:c r="O17" s="11" t="str">
        <x:f>IF(AND(I17&lt;&gt;"",J17&lt;&gt;"",M17&gt;=0),"PASS","FAIL")</x:f>
        <x:v>PASS</x:v>
      </x:c>
      <x:c r="P17" s="11" t="str">
        <x:f>IF(O17&lt;&gt;"PASS","FAIL",IF(N17=1,"PASS","OPEN"))</x:f>
        <x:v>OPEN</x:v>
      </x:c>
      <x:c r="Q17" s="11" t="str">
        <x:v>excluded from campaign population</x:v>
      </x:c>
    </x:row>
    <x:row r="18">
      <x:c r="B18" s="11" t="str">
        <x:v>RA-SA1-02-B3</x:v>
      </x:c>
      <x:c r="C18" s="11" t="str">
        <x:v>PTC-B</x:v>
      </x:c>
      <x:c r="D18" s="11" t="str">
        <x:v>B</x:v>
      </x:c>
      <x:c r="E18" s="11" t="n">
        <x:v>3</x:v>
      </x:c>
      <x:c r="F18" s="11" t="str">
        <x:v>national blind authority</x:v>
      </x:c>
      <x:c r="G18" s="11" t="str">
        <x:v>PTC-B evidence authority</x:v>
      </x:c>
      <x:c r="H18" s="11" t="str">
        <x:v>Root B material custodian</x:v>
      </x:c>
      <x:c r="I18" s="11" t="str">
        <x:v>QUARANTINE THEN DESTRUCT</x:v>
      </x:c>
      <x:c r="J18" s="11" t="str">
        <x:v>seal compromise; overload; unknown exposure; contamination</x:v>
      </x:c>
      <x:c r="K18" s="11" t="n">
        <x:v>3</x:v>
      </x:c>
      <x:c r="L18" s="11" t="n">
        <x:v>1</x:v>
      </x:c>
      <x:c r="M18" s="11" t="n">
        <x:f>K18-L18</x:f>
        <x:v>2</x:v>
      </x:c>
      <x:c r="N18" s="13" t="n">
        <x:v>0</x:v>
      </x:c>
      <x:c r="O18" s="11" t="str">
        <x:f>IF(AND(I18&lt;&gt;"",J18&lt;&gt;"",M18&gt;=0),"PASS","FAIL")</x:f>
        <x:v>PASS</x:v>
      </x:c>
      <x:c r="P18" s="11" t="str">
        <x:f>IF(O18&lt;&gt;"PASS","FAIL",IF(N18=1,"PASS","OPEN"))</x:f>
        <x:v>OPEN</x:v>
      </x:c>
      <x:c r="Q18" s="11" t="str">
        <x:v>excluded from campaign population</x:v>
      </x:c>
    </x:row>
    <x:row r="19">
      <x:c r="B19" s="11" t="str">
        <x:v>RA-SA2-03-A1</x:v>
      </x:c>
      <x:c r="C19" s="11" t="str">
        <x:v>PTC-A</x:v>
      </x:c>
      <x:c r="D19" s="11" t="str">
        <x:v>A</x:v>
      </x:c>
      <x:c r="E19" s="11" t="n">
        <x:v>1</x:v>
      </x:c>
      <x:c r="F19" s="11" t="str">
        <x:v>national blind authority</x:v>
      </x:c>
      <x:c r="G19" s="11" t="str">
        <x:v>PTC-A evidence authority</x:v>
      </x:c>
      <x:c r="H19" s="11" t="str">
        <x:v>Root A material custodian</x:v>
      </x:c>
      <x:c r="I19" s="11" t="str">
        <x:v>RETAIN SEALED</x:v>
      </x:c>
      <x:c r="J19" s="11" t="str">
        <x:v>seal compromise; overload; unknown exposure; contamination</x:v>
      </x:c>
      <x:c r="K19" s="11" t="n">
        <x:v>6</x:v>
      </x:c>
      <x:c r="L19" s="11" t="n">
        <x:v>3</x:v>
      </x:c>
      <x:c r="M19" s="11" t="n">
        <x:f>K19-L19</x:f>
        <x:v>3</x:v>
      </x:c>
      <x:c r="N19" s="13" t="n">
        <x:v>0</x:v>
      </x:c>
      <x:c r="O19" s="11" t="str">
        <x:f>IF(AND(I19&lt;&gt;"",J19&lt;&gt;"",M19&gt;=0),"PASS","FAIL")</x:f>
        <x:v>PASS</x:v>
      </x:c>
      <x:c r="P19" s="11" t="str">
        <x:f>IF(O19&lt;&gt;"PASS","FAIL",IF(N19=1,"PASS","OPEN"))</x:f>
        <x:v>OPEN</x:v>
      </x:c>
      <x:c r="Q19" s="11" t="str">
        <x:v>excluded from campaign population</x:v>
      </x:c>
    </x:row>
    <x:row r="20">
      <x:c r="B20" s="11" t="str">
        <x:v>RA-SA2-03-A2</x:v>
      </x:c>
      <x:c r="C20" s="11" t="str">
        <x:v>PTC-A</x:v>
      </x:c>
      <x:c r="D20" s="11" t="str">
        <x:v>A</x:v>
      </x:c>
      <x:c r="E20" s="11" t="n">
        <x:v>2</x:v>
      </x:c>
      <x:c r="F20" s="11" t="str">
        <x:v>national blind authority</x:v>
      </x:c>
      <x:c r="G20" s="11" t="str">
        <x:v>PTC-A evidence authority</x:v>
      </x:c>
      <x:c r="H20" s="11" t="str">
        <x:v>Root A material custodian</x:v>
      </x:c>
      <x:c r="I20" s="11" t="str">
        <x:v>DESTRUCT AFTER TRUTH</x:v>
      </x:c>
      <x:c r="J20" s="11" t="str">
        <x:v>seal compromise; overload; unknown exposure; contamination</x:v>
      </x:c>
      <x:c r="K20" s="11" t="n">
        <x:v>4</x:v>
      </x:c>
      <x:c r="L20" s="11" t="n">
        <x:v>1</x:v>
      </x:c>
      <x:c r="M20" s="11" t="n">
        <x:f>K20-L20</x:f>
        <x:v>3</x:v>
      </x:c>
      <x:c r="N20" s="13" t="n">
        <x:v>0</x:v>
      </x:c>
      <x:c r="O20" s="11" t="str">
        <x:f>IF(AND(I20&lt;&gt;"",J20&lt;&gt;"",M20&gt;=0),"PASS","FAIL")</x:f>
        <x:v>PASS</x:v>
      </x:c>
      <x:c r="P20" s="11" t="str">
        <x:f>IF(O20&lt;&gt;"PASS","FAIL",IF(N20=1,"PASS","OPEN"))</x:f>
        <x:v>OPEN</x:v>
      </x:c>
      <x:c r="Q20" s="11" t="str">
        <x:v>excluded from campaign population</x:v>
      </x:c>
    </x:row>
    <x:row r="21">
      <x:c r="B21" s="11" t="str">
        <x:v>RA-SA2-03-A3</x:v>
      </x:c>
      <x:c r="C21" s="11" t="str">
        <x:v>PTC-A</x:v>
      </x:c>
      <x:c r="D21" s="11" t="str">
        <x:v>A</x:v>
      </x:c>
      <x:c r="E21" s="11" t="n">
        <x:v>3</x:v>
      </x:c>
      <x:c r="F21" s="11" t="str">
        <x:v>national blind authority</x:v>
      </x:c>
      <x:c r="G21" s="11" t="str">
        <x:v>PTC-A evidence authority</x:v>
      </x:c>
      <x:c r="H21" s="11" t="str">
        <x:v>Root A material custodian</x:v>
      </x:c>
      <x:c r="I21" s="11" t="str">
        <x:v>QUARANTINE THEN DESTRUCT</x:v>
      </x:c>
      <x:c r="J21" s="11" t="str">
        <x:v>seal compromise; overload; unknown exposure; contamination</x:v>
      </x:c>
      <x:c r="K21" s="11" t="n">
        <x:v>3</x:v>
      </x:c>
      <x:c r="L21" s="11" t="n">
        <x:v>1</x:v>
      </x:c>
      <x:c r="M21" s="11" t="n">
        <x:f>K21-L21</x:f>
        <x:v>2</x:v>
      </x:c>
      <x:c r="N21" s="13" t="n">
        <x:v>0</x:v>
      </x:c>
      <x:c r="O21" s="11" t="str">
        <x:f>IF(AND(I21&lt;&gt;"",J21&lt;&gt;"",M21&gt;=0),"PASS","FAIL")</x:f>
        <x:v>PASS</x:v>
      </x:c>
      <x:c r="P21" s="11" t="str">
        <x:f>IF(O21&lt;&gt;"PASS","FAIL",IF(N21=1,"PASS","OPEN"))</x:f>
        <x:v>OPEN</x:v>
      </x:c>
      <x:c r="Q21" s="11" t="str">
        <x:v>excluded from campaign population</x:v>
      </x:c>
    </x:row>
    <x:row r="22">
      <x:c r="B22" s="11" t="str">
        <x:v>RA-SA2-03-B1</x:v>
      </x:c>
      <x:c r="C22" s="11" t="str">
        <x:v>PTC-A</x:v>
      </x:c>
      <x:c r="D22" s="11" t="str">
        <x:v>B</x:v>
      </x:c>
      <x:c r="E22" s="11" t="n">
        <x:v>1</x:v>
      </x:c>
      <x:c r="F22" s="11" t="str">
        <x:v>national blind authority</x:v>
      </x:c>
      <x:c r="G22" s="11" t="str">
        <x:v>PTC-A evidence authority</x:v>
      </x:c>
      <x:c r="H22" s="11" t="str">
        <x:v>Root B material custodian</x:v>
      </x:c>
      <x:c r="I22" s="11" t="str">
        <x:v>RETAIN SEALED</x:v>
      </x:c>
      <x:c r="J22" s="11" t="str">
        <x:v>seal compromise; overload; unknown exposure; contamination</x:v>
      </x:c>
      <x:c r="K22" s="11" t="n">
        <x:v>6</x:v>
      </x:c>
      <x:c r="L22" s="11" t="n">
        <x:v>1</x:v>
      </x:c>
      <x:c r="M22" s="11" t="n">
        <x:f>K22-L22</x:f>
        <x:v>5</x:v>
      </x:c>
      <x:c r="N22" s="13" t="n">
        <x:v>0</x:v>
      </x:c>
      <x:c r="O22" s="11" t="str">
        <x:f>IF(AND(I22&lt;&gt;"",J22&lt;&gt;"",M22&gt;=0),"PASS","FAIL")</x:f>
        <x:v>PASS</x:v>
      </x:c>
      <x:c r="P22" s="11" t="str">
        <x:f>IF(O22&lt;&gt;"PASS","FAIL",IF(N22=1,"PASS","OPEN"))</x:f>
        <x:v>OPEN</x:v>
      </x:c>
      <x:c r="Q22" s="11" t="str">
        <x:v>excluded from campaign population</x:v>
      </x:c>
    </x:row>
    <x:row r="23">
      <x:c r="B23" s="11" t="str">
        <x:v>RA-SA2-03-B2</x:v>
      </x:c>
      <x:c r="C23" s="11" t="str">
        <x:v>PTC-A</x:v>
      </x:c>
      <x:c r="D23" s="11" t="str">
        <x:v>B</x:v>
      </x:c>
      <x:c r="E23" s="11" t="n">
        <x:v>2</x:v>
      </x:c>
      <x:c r="F23" s="11" t="str">
        <x:v>national blind authority</x:v>
      </x:c>
      <x:c r="G23" s="11" t="str">
        <x:v>PTC-A evidence authority</x:v>
      </x:c>
      <x:c r="H23" s="11" t="str">
        <x:v>Root B material custodian</x:v>
      </x:c>
      <x:c r="I23" s="11" t="str">
        <x:v>DESTRUCT AFTER TRUTH</x:v>
      </x:c>
      <x:c r="J23" s="11" t="str">
        <x:v>seal compromise; overload; unknown exposure; contamination</x:v>
      </x:c>
      <x:c r="K23" s="11" t="n">
        <x:v>4</x:v>
      </x:c>
      <x:c r="L23" s="11" t="n">
        <x:v>2</x:v>
      </x:c>
      <x:c r="M23" s="11" t="n">
        <x:f>K23-L23</x:f>
        <x:v>2</x:v>
      </x:c>
      <x:c r="N23" s="13" t="n">
        <x:v>0</x:v>
      </x:c>
      <x:c r="O23" s="11" t="str">
        <x:f>IF(AND(I23&lt;&gt;"",J23&lt;&gt;"",M23&gt;=0),"PASS","FAIL")</x:f>
        <x:v>PASS</x:v>
      </x:c>
      <x:c r="P23" s="11" t="str">
        <x:f>IF(O23&lt;&gt;"PASS","FAIL",IF(N23=1,"PASS","OPEN"))</x:f>
        <x:v>OPEN</x:v>
      </x:c>
      <x:c r="Q23" s="11" t="str">
        <x:v>excluded from campaign population</x:v>
      </x:c>
    </x:row>
    <x:row r="24">
      <x:c r="B24" s="11" t="str">
        <x:v>RA-SA2-03-B3</x:v>
      </x:c>
      <x:c r="C24" s="11" t="str">
        <x:v>PTC-A</x:v>
      </x:c>
      <x:c r="D24" s="11" t="str">
        <x:v>B</x:v>
      </x:c>
      <x:c r="E24" s="11" t="n">
        <x:v>3</x:v>
      </x:c>
      <x:c r="F24" s="11" t="str">
        <x:v>national blind authority</x:v>
      </x:c>
      <x:c r="G24" s="11" t="str">
        <x:v>PTC-A evidence authority</x:v>
      </x:c>
      <x:c r="H24" s="11" t="str">
        <x:v>Root B material custodian</x:v>
      </x:c>
      <x:c r="I24" s="11" t="str">
        <x:v>QUARANTINE THEN DESTRUCT</x:v>
      </x:c>
      <x:c r="J24" s="11" t="str">
        <x:v>seal compromise; overload; unknown exposure; contamination</x:v>
      </x:c>
      <x:c r="K24" s="11" t="n">
        <x:v>3</x:v>
      </x:c>
      <x:c r="L24" s="11" t="n">
        <x:v>2</x:v>
      </x:c>
      <x:c r="M24" s="11" t="n">
        <x:f>K24-L24</x:f>
        <x:v>1</x:v>
      </x:c>
      <x:c r="N24" s="13" t="n">
        <x:v>0</x:v>
      </x:c>
      <x:c r="O24" s="11" t="str">
        <x:f>IF(AND(I24&lt;&gt;"",J24&lt;&gt;"",M24&gt;=0),"PASS","FAIL")</x:f>
        <x:v>PASS</x:v>
      </x:c>
      <x:c r="P24" s="11" t="str">
        <x:f>IF(O24&lt;&gt;"PASS","FAIL",IF(N24=1,"PASS","OPEN"))</x:f>
        <x:v>OPEN</x:v>
      </x:c>
      <x:c r="Q24" s="11" t="str">
        <x:v>excluded from campaign population</x:v>
      </x:c>
    </x:row>
    <x:row r="25">
      <x:c r="B25" s="11" t="str">
        <x:v>RA-SA2-04-A1</x:v>
      </x:c>
      <x:c r="C25" s="11" t="str">
        <x:v>PTC-C</x:v>
      </x:c>
      <x:c r="D25" s="11" t="str">
        <x:v>A</x:v>
      </x:c>
      <x:c r="E25" s="11" t="n">
        <x:v>1</x:v>
      </x:c>
      <x:c r="F25" s="11" t="str">
        <x:v>national blind authority</x:v>
      </x:c>
      <x:c r="G25" s="11" t="str">
        <x:v>PTC-C evidence authority</x:v>
      </x:c>
      <x:c r="H25" s="11" t="str">
        <x:v>Root A material custodian</x:v>
      </x:c>
      <x:c r="I25" s="11" t="str">
        <x:v>RETAIN SEALED</x:v>
      </x:c>
      <x:c r="J25" s="11" t="str">
        <x:v>seal compromise; overload; unknown exposure; contamination</x:v>
      </x:c>
      <x:c r="K25" s="11" t="n">
        <x:v>6</x:v>
      </x:c>
      <x:c r="L25" s="11" t="n">
        <x:v>1</x:v>
      </x:c>
      <x:c r="M25" s="11" t="n">
        <x:f>K25-L25</x:f>
        <x:v>5</x:v>
      </x:c>
      <x:c r="N25" s="13" t="n">
        <x:v>0</x:v>
      </x:c>
      <x:c r="O25" s="11" t="str">
        <x:f>IF(AND(I25&lt;&gt;"",J25&lt;&gt;"",M25&gt;=0),"PASS","FAIL")</x:f>
        <x:v>PASS</x:v>
      </x:c>
      <x:c r="P25" s="11" t="str">
        <x:f>IF(O25&lt;&gt;"PASS","FAIL",IF(N25=1,"PASS","OPEN"))</x:f>
        <x:v>OPEN</x:v>
      </x:c>
      <x:c r="Q25" s="11" t="str">
        <x:v>excluded from campaign population</x:v>
      </x:c>
    </x:row>
    <x:row r="26">
      <x:c r="B26" s="11" t="str">
        <x:v>RA-SA2-04-A2</x:v>
      </x:c>
      <x:c r="C26" s="11" t="str">
        <x:v>PTC-C</x:v>
      </x:c>
      <x:c r="D26" s="11" t="str">
        <x:v>A</x:v>
      </x:c>
      <x:c r="E26" s="11" t="n">
        <x:v>2</x:v>
      </x:c>
      <x:c r="F26" s="11" t="str">
        <x:v>national blind authority</x:v>
      </x:c>
      <x:c r="G26" s="11" t="str">
        <x:v>PTC-C evidence authority</x:v>
      </x:c>
      <x:c r="H26" s="11" t="str">
        <x:v>Root A material custodian</x:v>
      </x:c>
      <x:c r="I26" s="11" t="str">
        <x:v>DESTRUCT AFTER TRUTH</x:v>
      </x:c>
      <x:c r="J26" s="11" t="str">
        <x:v>seal compromise; overload; unknown exposure; contamination</x:v>
      </x:c>
      <x:c r="K26" s="11" t="n">
        <x:v>4</x:v>
      </x:c>
      <x:c r="L26" s="11" t="n">
        <x:v>2</x:v>
      </x:c>
      <x:c r="M26" s="11" t="n">
        <x:f>K26-L26</x:f>
        <x:v>2</x:v>
      </x:c>
      <x:c r="N26" s="13" t="n">
        <x:v>0</x:v>
      </x:c>
      <x:c r="O26" s="11" t="str">
        <x:f>IF(AND(I26&lt;&gt;"",J26&lt;&gt;"",M26&gt;=0),"PASS","FAIL")</x:f>
        <x:v>PASS</x:v>
      </x:c>
      <x:c r="P26" s="11" t="str">
        <x:f>IF(O26&lt;&gt;"PASS","FAIL",IF(N26=1,"PASS","OPEN"))</x:f>
        <x:v>OPEN</x:v>
      </x:c>
      <x:c r="Q26" s="11" t="str">
        <x:v>excluded from campaign population</x:v>
      </x:c>
    </x:row>
    <x:row r="27">
      <x:c r="B27" s="11" t="str">
        <x:v>RA-SA2-04-A3</x:v>
      </x:c>
      <x:c r="C27" s="11" t="str">
        <x:v>PTC-C</x:v>
      </x:c>
      <x:c r="D27" s="11" t="str">
        <x:v>A</x:v>
      </x:c>
      <x:c r="E27" s="11" t="n">
        <x:v>3</x:v>
      </x:c>
      <x:c r="F27" s="11" t="str">
        <x:v>national blind authority</x:v>
      </x:c>
      <x:c r="G27" s="11" t="str">
        <x:v>PTC-C evidence authority</x:v>
      </x:c>
      <x:c r="H27" s="11" t="str">
        <x:v>Root A material custodian</x:v>
      </x:c>
      <x:c r="I27" s="11" t="str">
        <x:v>QUARANTINE THEN DESTRUCT</x:v>
      </x:c>
      <x:c r="J27" s="11" t="str">
        <x:v>seal compromise; overload; unknown exposure; contamination</x:v>
      </x:c>
      <x:c r="K27" s="11" t="n">
        <x:v>3</x:v>
      </x:c>
      <x:c r="L27" s="11" t="n">
        <x:v>2</x:v>
      </x:c>
      <x:c r="M27" s="11" t="n">
        <x:f>K27-L27</x:f>
        <x:v>1</x:v>
      </x:c>
      <x:c r="N27" s="13" t="n">
        <x:v>0</x:v>
      </x:c>
      <x:c r="O27" s="11" t="str">
        <x:f>IF(AND(I27&lt;&gt;"",J27&lt;&gt;"",M27&gt;=0),"PASS","FAIL")</x:f>
        <x:v>PASS</x:v>
      </x:c>
      <x:c r="P27" s="11" t="str">
        <x:f>IF(O27&lt;&gt;"PASS","FAIL",IF(N27=1,"PASS","OPEN"))</x:f>
        <x:v>OPEN</x:v>
      </x:c>
      <x:c r="Q27" s="11" t="str">
        <x:v>excluded from campaign population</x:v>
      </x:c>
    </x:row>
    <x:row r="28">
      <x:c r="B28" s="11" t="str">
        <x:v>RA-SA2-04-B1</x:v>
      </x:c>
      <x:c r="C28" s="11" t="str">
        <x:v>PTC-C</x:v>
      </x:c>
      <x:c r="D28" s="11" t="str">
        <x:v>B</x:v>
      </x:c>
      <x:c r="E28" s="11" t="n">
        <x:v>1</x:v>
      </x:c>
      <x:c r="F28" s="11" t="str">
        <x:v>national blind authority</x:v>
      </x:c>
      <x:c r="G28" s="11" t="str">
        <x:v>PTC-C evidence authority</x:v>
      </x:c>
      <x:c r="H28" s="11" t="str">
        <x:v>Root B material custodian</x:v>
      </x:c>
      <x:c r="I28" s="11" t="str">
        <x:v>RETAIN SEALED</x:v>
      </x:c>
      <x:c r="J28" s="11" t="str">
        <x:v>seal compromise; overload; unknown exposure; contamination</x:v>
      </x:c>
      <x:c r="K28" s="11" t="n">
        <x:v>6</x:v>
      </x:c>
      <x:c r="L28" s="11" t="n">
        <x:v>3</x:v>
      </x:c>
      <x:c r="M28" s="11" t="n">
        <x:f>K28-L28</x:f>
        <x:v>3</x:v>
      </x:c>
      <x:c r="N28" s="13" t="n">
        <x:v>0</x:v>
      </x:c>
      <x:c r="O28" s="11" t="str">
        <x:f>IF(AND(I28&lt;&gt;"",J28&lt;&gt;"",M28&gt;=0),"PASS","FAIL")</x:f>
        <x:v>PASS</x:v>
      </x:c>
      <x:c r="P28" s="11" t="str">
        <x:f>IF(O28&lt;&gt;"PASS","FAIL",IF(N28=1,"PASS","OPEN"))</x:f>
        <x:v>OPEN</x:v>
      </x:c>
      <x:c r="Q28" s="11" t="str">
        <x:v>excluded from campaign population</x:v>
      </x:c>
    </x:row>
    <x:row r="29">
      <x:c r="B29" s="11" t="str">
        <x:v>RA-SA2-04-B2</x:v>
      </x:c>
      <x:c r="C29" s="11" t="str">
        <x:v>PTC-C</x:v>
      </x:c>
      <x:c r="D29" s="11" t="str">
        <x:v>B</x:v>
      </x:c>
      <x:c r="E29" s="11" t="n">
        <x:v>2</x:v>
      </x:c>
      <x:c r="F29" s="11" t="str">
        <x:v>national blind authority</x:v>
      </x:c>
      <x:c r="G29" s="11" t="str">
        <x:v>PTC-C evidence authority</x:v>
      </x:c>
      <x:c r="H29" s="11" t="str">
        <x:v>Root B material custodian</x:v>
      </x:c>
      <x:c r="I29" s="11" t="str">
        <x:v>DESTRUCT AFTER TRUTH</x:v>
      </x:c>
      <x:c r="J29" s="11" t="str">
        <x:v>seal compromise; overload; unknown exposure; contamination</x:v>
      </x:c>
      <x:c r="K29" s="11" t="n">
        <x:v>4</x:v>
      </x:c>
      <x:c r="L29" s="11" t="n">
        <x:v>1</x:v>
      </x:c>
      <x:c r="M29" s="11" t="n">
        <x:f>K29-L29</x:f>
        <x:v>3</x:v>
      </x:c>
      <x:c r="N29" s="13" t="n">
        <x:v>0</x:v>
      </x:c>
      <x:c r="O29" s="11" t="str">
        <x:f>IF(AND(I29&lt;&gt;"",J29&lt;&gt;"",M29&gt;=0),"PASS","FAIL")</x:f>
        <x:v>PASS</x:v>
      </x:c>
      <x:c r="P29" s="11" t="str">
        <x:f>IF(O29&lt;&gt;"PASS","FAIL",IF(N29=1,"PASS","OPEN"))</x:f>
        <x:v>OPEN</x:v>
      </x:c>
      <x:c r="Q29" s="11" t="str">
        <x:v>excluded from campaign population</x:v>
      </x:c>
    </x:row>
    <x:row r="30">
      <x:c r="B30" s="11" t="str">
        <x:v>RA-SA2-04-B3</x:v>
      </x:c>
      <x:c r="C30" s="11" t="str">
        <x:v>PTC-C</x:v>
      </x:c>
      <x:c r="D30" s="11" t="str">
        <x:v>B</x:v>
      </x:c>
      <x:c r="E30" s="11" t="n">
        <x:v>3</x:v>
      </x:c>
      <x:c r="F30" s="11" t="str">
        <x:v>national blind authority</x:v>
      </x:c>
      <x:c r="G30" s="11" t="str">
        <x:v>PTC-C evidence authority</x:v>
      </x:c>
      <x:c r="H30" s="11" t="str">
        <x:v>Root B material custodian</x:v>
      </x:c>
      <x:c r="I30" s="11" t="str">
        <x:v>QUARANTINE THEN DESTRUCT</x:v>
      </x:c>
      <x:c r="J30" s="11" t="str">
        <x:v>seal compromise; overload; unknown exposure; contamination</x:v>
      </x:c>
      <x:c r="K30" s="11" t="n">
        <x:v>3</x:v>
      </x:c>
      <x:c r="L30" s="11" t="n">
        <x:v>1</x:v>
      </x:c>
      <x:c r="M30" s="11" t="n">
        <x:f>K30-L30</x:f>
        <x:v>2</x:v>
      </x:c>
      <x:c r="N30" s="13" t="n">
        <x:v>0</x:v>
      </x:c>
      <x:c r="O30" s="11" t="str">
        <x:f>IF(AND(I30&lt;&gt;"",J30&lt;&gt;"",M30&gt;=0),"PASS","FAIL")</x:f>
        <x:v>PASS</x:v>
      </x:c>
      <x:c r="P30" s="11" t="str">
        <x:f>IF(O30&lt;&gt;"PASS","FAIL",IF(N30=1,"PASS","OPEN"))</x:f>
        <x:v>OPEN</x:v>
      </x:c>
      <x:c r="Q30" s="11" t="str">
        <x:v>excluded from campaign population</x:v>
      </x:c>
    </x:row>
    <x:row r="31">
      <x:c r="B31" s="11" t="str">
        <x:v>RA-SA3-05-A1</x:v>
      </x:c>
      <x:c r="C31" s="11" t="str">
        <x:v>PTC-A</x:v>
      </x:c>
      <x:c r="D31" s="11" t="str">
        <x:v>A</x:v>
      </x:c>
      <x:c r="E31" s="11" t="n">
        <x:v>1</x:v>
      </x:c>
      <x:c r="F31" s="11" t="str">
        <x:v>national blind authority</x:v>
      </x:c>
      <x:c r="G31" s="11" t="str">
        <x:v>PTC-A evidence authority</x:v>
      </x:c>
      <x:c r="H31" s="11" t="str">
        <x:v>Root A material custodian</x:v>
      </x:c>
      <x:c r="I31" s="11" t="str">
        <x:v>RETAIN SEALED</x:v>
      </x:c>
      <x:c r="J31" s="11" t="str">
        <x:v>seal compromise; overload; unknown exposure; contamination</x:v>
      </x:c>
      <x:c r="K31" s="11" t="n">
        <x:v>6</x:v>
      </x:c>
      <x:c r="L31" s="11" t="n">
        <x:v>3</x:v>
      </x:c>
      <x:c r="M31" s="11" t="n">
        <x:f>K31-L31</x:f>
        <x:v>3</x:v>
      </x:c>
      <x:c r="N31" s="13" t="n">
        <x:v>0</x:v>
      </x:c>
      <x:c r="O31" s="11" t="str">
        <x:f>IF(AND(I31&lt;&gt;"",J31&lt;&gt;"",M31&gt;=0),"PASS","FAIL")</x:f>
        <x:v>PASS</x:v>
      </x:c>
      <x:c r="P31" s="11" t="str">
        <x:f>IF(O31&lt;&gt;"PASS","FAIL",IF(N31=1,"PASS","OPEN"))</x:f>
        <x:v>OPEN</x:v>
      </x:c>
      <x:c r="Q31" s="11" t="str">
        <x:v>excluded from campaign population</x:v>
      </x:c>
    </x:row>
    <x:row r="32">
      <x:c r="B32" s="11" t="str">
        <x:v>RA-SA3-05-A2</x:v>
      </x:c>
      <x:c r="C32" s="11" t="str">
        <x:v>PTC-A</x:v>
      </x:c>
      <x:c r="D32" s="11" t="str">
        <x:v>A</x:v>
      </x:c>
      <x:c r="E32" s="11" t="n">
        <x:v>2</x:v>
      </x:c>
      <x:c r="F32" s="11" t="str">
        <x:v>national blind authority</x:v>
      </x:c>
      <x:c r="G32" s="11" t="str">
        <x:v>PTC-A evidence authority</x:v>
      </x:c>
      <x:c r="H32" s="11" t="str">
        <x:v>Root A material custodian</x:v>
      </x:c>
      <x:c r="I32" s="11" t="str">
        <x:v>DESTRUCT AFTER TRUTH</x:v>
      </x:c>
      <x:c r="J32" s="11" t="str">
        <x:v>seal compromise; overload; unknown exposure; contamination</x:v>
      </x:c>
      <x:c r="K32" s="11" t="n">
        <x:v>4</x:v>
      </x:c>
      <x:c r="L32" s="11" t="n">
        <x:v>1</x:v>
      </x:c>
      <x:c r="M32" s="11" t="n">
        <x:f>K32-L32</x:f>
        <x:v>3</x:v>
      </x:c>
      <x:c r="N32" s="13" t="n">
        <x:v>0</x:v>
      </x:c>
      <x:c r="O32" s="11" t="str">
        <x:f>IF(AND(I32&lt;&gt;"",J32&lt;&gt;"",M32&gt;=0),"PASS","FAIL")</x:f>
        <x:v>PASS</x:v>
      </x:c>
      <x:c r="P32" s="11" t="str">
        <x:f>IF(O32&lt;&gt;"PASS","FAIL",IF(N32=1,"PASS","OPEN"))</x:f>
        <x:v>OPEN</x:v>
      </x:c>
      <x:c r="Q32" s="11" t="str">
        <x:v>excluded from campaign population</x:v>
      </x:c>
    </x:row>
    <x:row r="33">
      <x:c r="B33" s="11" t="str">
        <x:v>RA-SA3-05-A3</x:v>
      </x:c>
      <x:c r="C33" s="11" t="str">
        <x:v>PTC-A</x:v>
      </x:c>
      <x:c r="D33" s="11" t="str">
        <x:v>A</x:v>
      </x:c>
      <x:c r="E33" s="11" t="n">
        <x:v>3</x:v>
      </x:c>
      <x:c r="F33" s="11" t="str">
        <x:v>national blind authority</x:v>
      </x:c>
      <x:c r="G33" s="11" t="str">
        <x:v>PTC-A evidence authority</x:v>
      </x:c>
      <x:c r="H33" s="11" t="str">
        <x:v>Root A material custodian</x:v>
      </x:c>
      <x:c r="I33" s="11" t="str">
        <x:v>QUARANTINE THEN DESTRUCT</x:v>
      </x:c>
      <x:c r="J33" s="11" t="str">
        <x:v>seal compromise; overload; unknown exposure; contamination</x:v>
      </x:c>
      <x:c r="K33" s="11" t="n">
        <x:v>3</x:v>
      </x:c>
      <x:c r="L33" s="11" t="n">
        <x:v>1</x:v>
      </x:c>
      <x:c r="M33" s="11" t="n">
        <x:f>K33-L33</x:f>
        <x:v>2</x:v>
      </x:c>
      <x:c r="N33" s="13" t="n">
        <x:v>0</x:v>
      </x:c>
      <x:c r="O33" s="11" t="str">
        <x:f>IF(AND(I33&lt;&gt;"",J33&lt;&gt;"",M33&gt;=0),"PASS","FAIL")</x:f>
        <x:v>PASS</x:v>
      </x:c>
      <x:c r="P33" s="11" t="str">
        <x:f>IF(O33&lt;&gt;"PASS","FAIL",IF(N33=1,"PASS","OPEN"))</x:f>
        <x:v>OPEN</x:v>
      </x:c>
      <x:c r="Q33" s="11" t="str">
        <x:v>excluded from campaign population</x:v>
      </x:c>
    </x:row>
    <x:row r="34">
      <x:c r="B34" s="11" t="str">
        <x:v>RA-SA3-05-B1</x:v>
      </x:c>
      <x:c r="C34" s="11" t="str">
        <x:v>PTC-A</x:v>
      </x:c>
      <x:c r="D34" s="11" t="str">
        <x:v>B</x:v>
      </x:c>
      <x:c r="E34" s="11" t="n">
        <x:v>1</x:v>
      </x:c>
      <x:c r="F34" s="11" t="str">
        <x:v>national blind authority</x:v>
      </x:c>
      <x:c r="G34" s="11" t="str">
        <x:v>PTC-A evidence authority</x:v>
      </x:c>
      <x:c r="H34" s="11" t="str">
        <x:v>Root B material custodian</x:v>
      </x:c>
      <x:c r="I34" s="11" t="str">
        <x:v>RETAIN SEALED</x:v>
      </x:c>
      <x:c r="J34" s="11" t="str">
        <x:v>seal compromise; overload; unknown exposure; contamination</x:v>
      </x:c>
      <x:c r="K34" s="11" t="n">
        <x:v>6</x:v>
      </x:c>
      <x:c r="L34" s="11" t="n">
        <x:v>1</x:v>
      </x:c>
      <x:c r="M34" s="11" t="n">
        <x:f>K34-L34</x:f>
        <x:v>5</x:v>
      </x:c>
      <x:c r="N34" s="13" t="n">
        <x:v>0</x:v>
      </x:c>
      <x:c r="O34" s="11" t="str">
        <x:f>IF(AND(I34&lt;&gt;"",J34&lt;&gt;"",M34&gt;=0),"PASS","FAIL")</x:f>
        <x:v>PASS</x:v>
      </x:c>
      <x:c r="P34" s="11" t="str">
        <x:f>IF(O34&lt;&gt;"PASS","FAIL",IF(N34=1,"PASS","OPEN"))</x:f>
        <x:v>OPEN</x:v>
      </x:c>
      <x:c r="Q34" s="11" t="str">
        <x:v>excluded from campaign population</x:v>
      </x:c>
    </x:row>
    <x:row r="35">
      <x:c r="B35" s="11" t="str">
        <x:v>RA-SA3-05-B2</x:v>
      </x:c>
      <x:c r="C35" s="11" t="str">
        <x:v>PTC-A</x:v>
      </x:c>
      <x:c r="D35" s="11" t="str">
        <x:v>B</x:v>
      </x:c>
      <x:c r="E35" s="11" t="n">
        <x:v>2</x:v>
      </x:c>
      <x:c r="F35" s="11" t="str">
        <x:v>national blind authority</x:v>
      </x:c>
      <x:c r="G35" s="11" t="str">
        <x:v>PTC-A evidence authority</x:v>
      </x:c>
      <x:c r="H35" s="11" t="str">
        <x:v>Root B material custodian</x:v>
      </x:c>
      <x:c r="I35" s="11" t="str">
        <x:v>DESTRUCT AFTER TRUTH</x:v>
      </x:c>
      <x:c r="J35" s="11" t="str">
        <x:v>seal compromise; overload; unknown exposure; contamination</x:v>
      </x:c>
      <x:c r="K35" s="11" t="n">
        <x:v>4</x:v>
      </x:c>
      <x:c r="L35" s="11" t="n">
        <x:v>2</x:v>
      </x:c>
      <x:c r="M35" s="11" t="n">
        <x:f>K35-L35</x:f>
        <x:v>2</x:v>
      </x:c>
      <x:c r="N35" s="13" t="n">
        <x:v>0</x:v>
      </x:c>
      <x:c r="O35" s="11" t="str">
        <x:f>IF(AND(I35&lt;&gt;"",J35&lt;&gt;"",M35&gt;=0),"PASS","FAIL")</x:f>
        <x:v>PASS</x:v>
      </x:c>
      <x:c r="P35" s="11" t="str">
        <x:f>IF(O35&lt;&gt;"PASS","FAIL",IF(N35=1,"PASS","OPEN"))</x:f>
        <x:v>OPEN</x:v>
      </x:c>
      <x:c r="Q35" s="11" t="str">
        <x:v>excluded from campaign population</x:v>
      </x:c>
    </x:row>
    <x:row r="36">
      <x:c r="B36" s="11" t="str">
        <x:v>RA-SA3-05-B3</x:v>
      </x:c>
      <x:c r="C36" s="11" t="str">
        <x:v>PTC-A</x:v>
      </x:c>
      <x:c r="D36" s="11" t="str">
        <x:v>B</x:v>
      </x:c>
      <x:c r="E36" s="11" t="n">
        <x:v>3</x:v>
      </x:c>
      <x:c r="F36" s="11" t="str">
        <x:v>national blind authority</x:v>
      </x:c>
      <x:c r="G36" s="11" t="str">
        <x:v>PTC-A evidence authority</x:v>
      </x:c>
      <x:c r="H36" s="11" t="str">
        <x:v>Root B material custodian</x:v>
      </x:c>
      <x:c r="I36" s="11" t="str">
        <x:v>QUARANTINE THEN DESTRUCT</x:v>
      </x:c>
      <x:c r="J36" s="11" t="str">
        <x:v>seal compromise; overload; unknown exposure; contamination</x:v>
      </x:c>
      <x:c r="K36" s="11" t="n">
        <x:v>3</x:v>
      </x:c>
      <x:c r="L36" s="11" t="n">
        <x:v>2</x:v>
      </x:c>
      <x:c r="M36" s="11" t="n">
        <x:f>K36-L36</x:f>
        <x:v>1</x:v>
      </x:c>
      <x:c r="N36" s="13" t="n">
        <x:v>0</x:v>
      </x:c>
      <x:c r="O36" s="11" t="str">
        <x:f>IF(AND(I36&lt;&gt;"",J36&lt;&gt;"",M36&gt;=0),"PASS","FAIL")</x:f>
        <x:v>PASS</x:v>
      </x:c>
      <x:c r="P36" s="11" t="str">
        <x:f>IF(O36&lt;&gt;"PASS","FAIL",IF(N36=1,"PASS","OPEN"))</x:f>
        <x:v>OPEN</x:v>
      </x:c>
      <x:c r="Q36" s="11" t="str">
        <x:v>excluded from campaign population</x:v>
      </x:c>
    </x:row>
    <x:row r="37">
      <x:c r="B37" s="11" t="str">
        <x:v>RA-SA3-06-A1</x:v>
      </x:c>
      <x:c r="C37" s="11" t="str">
        <x:v>PTC-C</x:v>
      </x:c>
      <x:c r="D37" s="11" t="str">
        <x:v>A</x:v>
      </x:c>
      <x:c r="E37" s="11" t="n">
        <x:v>1</x:v>
      </x:c>
      <x:c r="F37" s="11" t="str">
        <x:v>national blind authority</x:v>
      </x:c>
      <x:c r="G37" s="11" t="str">
        <x:v>PTC-C evidence authority</x:v>
      </x:c>
      <x:c r="H37" s="11" t="str">
        <x:v>Root A material custodian</x:v>
      </x:c>
      <x:c r="I37" s="11" t="str">
        <x:v>RETAIN SEALED</x:v>
      </x:c>
      <x:c r="J37" s="11" t="str">
        <x:v>seal compromise; overload; unknown exposure; contamination</x:v>
      </x:c>
      <x:c r="K37" s="11" t="n">
        <x:v>6</x:v>
      </x:c>
      <x:c r="L37" s="11" t="n">
        <x:v>1</x:v>
      </x:c>
      <x:c r="M37" s="11" t="n">
        <x:f>K37-L37</x:f>
        <x:v>5</x:v>
      </x:c>
      <x:c r="N37" s="13" t="n">
        <x:v>0</x:v>
      </x:c>
      <x:c r="O37" s="11" t="str">
        <x:f>IF(AND(I37&lt;&gt;"",J37&lt;&gt;"",M37&gt;=0),"PASS","FAIL")</x:f>
        <x:v>PASS</x:v>
      </x:c>
      <x:c r="P37" s="11" t="str">
        <x:f>IF(O37&lt;&gt;"PASS","FAIL",IF(N37=1,"PASS","OPEN"))</x:f>
        <x:v>OPEN</x:v>
      </x:c>
      <x:c r="Q37" s="11" t="str">
        <x:v>excluded from campaign population</x:v>
      </x:c>
    </x:row>
    <x:row r="38">
      <x:c r="B38" s="11" t="str">
        <x:v>RA-SA3-06-A2</x:v>
      </x:c>
      <x:c r="C38" s="11" t="str">
        <x:v>PTC-C</x:v>
      </x:c>
      <x:c r="D38" s="11" t="str">
        <x:v>A</x:v>
      </x:c>
      <x:c r="E38" s="11" t="n">
        <x:v>2</x:v>
      </x:c>
      <x:c r="F38" s="11" t="str">
        <x:v>national blind authority</x:v>
      </x:c>
      <x:c r="G38" s="11" t="str">
        <x:v>PTC-C evidence authority</x:v>
      </x:c>
      <x:c r="H38" s="11" t="str">
        <x:v>Root A material custodian</x:v>
      </x:c>
      <x:c r="I38" s="11" t="str">
        <x:v>DESTRUCT AFTER TRUTH</x:v>
      </x:c>
      <x:c r="J38" s="11" t="str">
        <x:v>seal compromise; overload; unknown exposure; contamination</x:v>
      </x:c>
      <x:c r="K38" s="11" t="n">
        <x:v>4</x:v>
      </x:c>
      <x:c r="L38" s="11" t="n">
        <x:v>2</x:v>
      </x:c>
      <x:c r="M38" s="11" t="n">
        <x:f>K38-L38</x:f>
        <x:v>2</x:v>
      </x:c>
      <x:c r="N38" s="13" t="n">
        <x:v>0</x:v>
      </x:c>
      <x:c r="O38" s="11" t="str">
        <x:f>IF(AND(I38&lt;&gt;"",J38&lt;&gt;"",M38&gt;=0),"PASS","FAIL")</x:f>
        <x:v>PASS</x:v>
      </x:c>
      <x:c r="P38" s="11" t="str">
        <x:f>IF(O38&lt;&gt;"PASS","FAIL",IF(N38=1,"PASS","OPEN"))</x:f>
        <x:v>OPEN</x:v>
      </x:c>
      <x:c r="Q38" s="11" t="str">
        <x:v>excluded from campaign population</x:v>
      </x:c>
    </x:row>
    <x:row r="39">
      <x:c r="B39" s="11" t="str">
        <x:v>RA-SA3-06-A3</x:v>
      </x:c>
      <x:c r="C39" s="11" t="str">
        <x:v>PTC-C</x:v>
      </x:c>
      <x:c r="D39" s="11" t="str">
        <x:v>A</x:v>
      </x:c>
      <x:c r="E39" s="11" t="n">
        <x:v>3</x:v>
      </x:c>
      <x:c r="F39" s="11" t="str">
        <x:v>national blind authority</x:v>
      </x:c>
      <x:c r="G39" s="11" t="str">
        <x:v>PTC-C evidence authority</x:v>
      </x:c>
      <x:c r="H39" s="11" t="str">
        <x:v>Root A material custodian</x:v>
      </x:c>
      <x:c r="I39" s="11" t="str">
        <x:v>QUARANTINE THEN DESTRUCT</x:v>
      </x:c>
      <x:c r="J39" s="11" t="str">
        <x:v>seal compromise; overload; unknown exposure; contamination</x:v>
      </x:c>
      <x:c r="K39" s="11" t="n">
        <x:v>3</x:v>
      </x:c>
      <x:c r="L39" s="11" t="n">
        <x:v>2</x:v>
      </x:c>
      <x:c r="M39" s="11" t="n">
        <x:f>K39-L39</x:f>
        <x:v>1</x:v>
      </x:c>
      <x:c r="N39" s="13" t="n">
        <x:v>0</x:v>
      </x:c>
      <x:c r="O39" s="11" t="str">
        <x:f>IF(AND(I39&lt;&gt;"",J39&lt;&gt;"",M39&gt;=0),"PASS","FAIL")</x:f>
        <x:v>PASS</x:v>
      </x:c>
      <x:c r="P39" s="11" t="str">
        <x:f>IF(O39&lt;&gt;"PASS","FAIL",IF(N39=1,"PASS","OPEN"))</x:f>
        <x:v>OPEN</x:v>
      </x:c>
      <x:c r="Q39" s="11" t="str">
        <x:v>excluded from campaign population</x:v>
      </x:c>
    </x:row>
    <x:row r="40">
      <x:c r="B40" s="11" t="str">
        <x:v>RA-SA3-06-B1</x:v>
      </x:c>
      <x:c r="C40" s="11" t="str">
        <x:v>PTC-C</x:v>
      </x:c>
      <x:c r="D40" s="11" t="str">
        <x:v>B</x:v>
      </x:c>
      <x:c r="E40" s="11" t="n">
        <x:v>1</x:v>
      </x:c>
      <x:c r="F40" s="11" t="str">
        <x:v>national blind authority</x:v>
      </x:c>
      <x:c r="G40" s="11" t="str">
        <x:v>PTC-C evidence authority</x:v>
      </x:c>
      <x:c r="H40" s="11" t="str">
        <x:v>Root B material custodian</x:v>
      </x:c>
      <x:c r="I40" s="11" t="str">
        <x:v>RETAIN SEALED</x:v>
      </x:c>
      <x:c r="J40" s="11" t="str">
        <x:v>seal compromise; overload; unknown exposure; contamination</x:v>
      </x:c>
      <x:c r="K40" s="11" t="n">
        <x:v>6</x:v>
      </x:c>
      <x:c r="L40" s="11" t="n">
        <x:v>3</x:v>
      </x:c>
      <x:c r="M40" s="11" t="n">
        <x:f>K40-L40</x:f>
        <x:v>3</x:v>
      </x:c>
      <x:c r="N40" s="13" t="n">
        <x:v>0</x:v>
      </x:c>
      <x:c r="O40" s="11" t="str">
        <x:f>IF(AND(I40&lt;&gt;"",J40&lt;&gt;"",M40&gt;=0),"PASS","FAIL")</x:f>
        <x:v>PASS</x:v>
      </x:c>
      <x:c r="P40" s="11" t="str">
        <x:f>IF(O40&lt;&gt;"PASS","FAIL",IF(N40=1,"PASS","OPEN"))</x:f>
        <x:v>OPEN</x:v>
      </x:c>
      <x:c r="Q40" s="11" t="str">
        <x:v>excluded from campaign population</x:v>
      </x:c>
    </x:row>
    <x:row r="41">
      <x:c r="B41" s="11" t="str">
        <x:v>RA-SA3-06-B2</x:v>
      </x:c>
      <x:c r="C41" s="11" t="str">
        <x:v>PTC-C</x:v>
      </x:c>
      <x:c r="D41" s="11" t="str">
        <x:v>B</x:v>
      </x:c>
      <x:c r="E41" s="11" t="n">
        <x:v>2</x:v>
      </x:c>
      <x:c r="F41" s="11" t="str">
        <x:v>national blind authority</x:v>
      </x:c>
      <x:c r="G41" s="11" t="str">
        <x:v>PTC-C evidence authority</x:v>
      </x:c>
      <x:c r="H41" s="11" t="str">
        <x:v>Root B material custodian</x:v>
      </x:c>
      <x:c r="I41" s="11" t="str">
        <x:v>DESTRUCT AFTER TRUTH</x:v>
      </x:c>
      <x:c r="J41" s="11" t="str">
        <x:v>seal compromise; overload; unknown exposure; contamination</x:v>
      </x:c>
      <x:c r="K41" s="11" t="n">
        <x:v>4</x:v>
      </x:c>
      <x:c r="L41" s="11" t="n">
        <x:v>1</x:v>
      </x:c>
      <x:c r="M41" s="11" t="n">
        <x:f>K41-L41</x:f>
        <x:v>3</x:v>
      </x:c>
      <x:c r="N41" s="13" t="n">
        <x:v>0</x:v>
      </x:c>
      <x:c r="O41" s="11" t="str">
        <x:f>IF(AND(I41&lt;&gt;"",J41&lt;&gt;"",M41&gt;=0),"PASS","FAIL")</x:f>
        <x:v>PASS</x:v>
      </x:c>
      <x:c r="P41" s="11" t="str">
        <x:f>IF(O41&lt;&gt;"PASS","FAIL",IF(N41=1,"PASS","OPEN"))</x:f>
        <x:v>OPEN</x:v>
      </x:c>
      <x:c r="Q41" s="11" t="str">
        <x:v>excluded from campaign population</x:v>
      </x:c>
    </x:row>
    <x:row r="42">
      <x:c r="B42" s="11" t="str">
        <x:v>RA-SA3-06-B3</x:v>
      </x:c>
      <x:c r="C42" s="11" t="str">
        <x:v>PTC-C</x:v>
      </x:c>
      <x:c r="D42" s="11" t="str">
        <x:v>B</x:v>
      </x:c>
      <x:c r="E42" s="11" t="n">
        <x:v>3</x:v>
      </x:c>
      <x:c r="F42" s="11" t="str">
        <x:v>national blind authority</x:v>
      </x:c>
      <x:c r="G42" s="11" t="str">
        <x:v>PTC-C evidence authority</x:v>
      </x:c>
      <x:c r="H42" s="11" t="str">
        <x:v>Root B material custodian</x:v>
      </x:c>
      <x:c r="I42" s="11" t="str">
        <x:v>QUARANTINE THEN DESTRUCT</x:v>
      </x:c>
      <x:c r="J42" s="11" t="str">
        <x:v>seal compromise; overload; unknown exposure; contamination</x:v>
      </x:c>
      <x:c r="K42" s="11" t="n">
        <x:v>3</x:v>
      </x:c>
      <x:c r="L42" s="11" t="n">
        <x:v>1</x:v>
      </x:c>
      <x:c r="M42" s="11" t="n">
        <x:f>K42-L42</x:f>
        <x:v>2</x:v>
      </x:c>
      <x:c r="N42" s="13" t="n">
        <x:v>0</x:v>
      </x:c>
      <x:c r="O42" s="11" t="str">
        <x:f>IF(AND(I42&lt;&gt;"",J42&lt;&gt;"",M42&gt;=0),"PASS","FAIL")</x:f>
        <x:v>PASS</x:v>
      </x:c>
      <x:c r="P42" s="11" t="str">
        <x:f>IF(O42&lt;&gt;"PASS","FAIL",IF(N42=1,"PASS","OPEN"))</x:f>
        <x:v>OPEN</x:v>
      </x:c>
      <x:c r="Q42" s="11" t="str">
        <x:v>excluded from campaign population</x:v>
      </x:c>
    </x:row>
    <x:row r="43">
      <x:c r="B43" s="11" t="str">
        <x:v>RA-SA4-07-A1</x:v>
      </x:c>
      <x:c r="C43" s="11" t="str">
        <x:v>PTC-B</x:v>
      </x:c>
      <x:c r="D43" s="11" t="str">
        <x:v>A</x:v>
      </x:c>
      <x:c r="E43" s="11" t="n">
        <x:v>1</x:v>
      </x:c>
      <x:c r="F43" s="11" t="str">
        <x:v>national blind authority</x:v>
      </x:c>
      <x:c r="G43" s="11" t="str">
        <x:v>PTC-B evidence authority</x:v>
      </x:c>
      <x:c r="H43" s="11" t="str">
        <x:v>Root A material custodian</x:v>
      </x:c>
      <x:c r="I43" s="11" t="str">
        <x:v>RETAIN SEALED</x:v>
      </x:c>
      <x:c r="J43" s="11" t="str">
        <x:v>seal compromise; overload; unknown exposure; contamination</x:v>
      </x:c>
      <x:c r="K43" s="11" t="n">
        <x:v>6</x:v>
      </x:c>
      <x:c r="L43" s="11" t="n">
        <x:v>3</x:v>
      </x:c>
      <x:c r="M43" s="11" t="n">
        <x:f>K43-L43</x:f>
        <x:v>3</x:v>
      </x:c>
      <x:c r="N43" s="13" t="n">
        <x:v>0</x:v>
      </x:c>
      <x:c r="O43" s="11" t="str">
        <x:f>IF(AND(I43&lt;&gt;"",J43&lt;&gt;"",M43&gt;=0),"PASS","FAIL")</x:f>
        <x:v>PASS</x:v>
      </x:c>
      <x:c r="P43" s="11" t="str">
        <x:f>IF(O43&lt;&gt;"PASS","FAIL",IF(N43=1,"PASS","OPEN"))</x:f>
        <x:v>OPEN</x:v>
      </x:c>
      <x:c r="Q43" s="11" t="str">
        <x:v>excluded from campaign population</x:v>
      </x:c>
    </x:row>
    <x:row r="44">
      <x:c r="B44" s="11" t="str">
        <x:v>RA-SA4-07-A2</x:v>
      </x:c>
      <x:c r="C44" s="11" t="str">
        <x:v>PTC-B</x:v>
      </x:c>
      <x:c r="D44" s="11" t="str">
        <x:v>A</x:v>
      </x:c>
      <x:c r="E44" s="11" t="n">
        <x:v>2</x:v>
      </x:c>
      <x:c r="F44" s="11" t="str">
        <x:v>national blind authority</x:v>
      </x:c>
      <x:c r="G44" s="11" t="str">
        <x:v>PTC-B evidence authority</x:v>
      </x:c>
      <x:c r="H44" s="11" t="str">
        <x:v>Root A material custodian</x:v>
      </x:c>
      <x:c r="I44" s="11" t="str">
        <x:v>DESTRUCT AFTER TRUTH</x:v>
      </x:c>
      <x:c r="J44" s="11" t="str">
        <x:v>seal compromise; overload; unknown exposure; contamination</x:v>
      </x:c>
      <x:c r="K44" s="11" t="n">
        <x:v>4</x:v>
      </x:c>
      <x:c r="L44" s="11" t="n">
        <x:v>1</x:v>
      </x:c>
      <x:c r="M44" s="11" t="n">
        <x:f>K44-L44</x:f>
        <x:v>3</x:v>
      </x:c>
      <x:c r="N44" s="13" t="n">
        <x:v>0</x:v>
      </x:c>
      <x:c r="O44" s="11" t="str">
        <x:f>IF(AND(I44&lt;&gt;"",J44&lt;&gt;"",M44&gt;=0),"PASS","FAIL")</x:f>
        <x:v>PASS</x:v>
      </x:c>
      <x:c r="P44" s="11" t="str">
        <x:f>IF(O44&lt;&gt;"PASS","FAIL",IF(N44=1,"PASS","OPEN"))</x:f>
        <x:v>OPEN</x:v>
      </x:c>
      <x:c r="Q44" s="11" t="str">
        <x:v>excluded from campaign population</x:v>
      </x:c>
    </x:row>
    <x:row r="45">
      <x:c r="B45" s="11" t="str">
        <x:v>RA-SA4-07-A3</x:v>
      </x:c>
      <x:c r="C45" s="11" t="str">
        <x:v>PTC-B</x:v>
      </x:c>
      <x:c r="D45" s="11" t="str">
        <x:v>A</x:v>
      </x:c>
      <x:c r="E45" s="11" t="n">
        <x:v>3</x:v>
      </x:c>
      <x:c r="F45" s="11" t="str">
        <x:v>national blind authority</x:v>
      </x:c>
      <x:c r="G45" s="11" t="str">
        <x:v>PTC-B evidence authority</x:v>
      </x:c>
      <x:c r="H45" s="11" t="str">
        <x:v>Root A material custodian</x:v>
      </x:c>
      <x:c r="I45" s="11" t="str">
        <x:v>QUARANTINE THEN DESTRUCT</x:v>
      </x:c>
      <x:c r="J45" s="11" t="str">
        <x:v>seal compromise; overload; unknown exposure; contamination</x:v>
      </x:c>
      <x:c r="K45" s="11" t="n">
        <x:v>3</x:v>
      </x:c>
      <x:c r="L45" s="11" t="n">
        <x:v>1</x:v>
      </x:c>
      <x:c r="M45" s="11" t="n">
        <x:f>K45-L45</x:f>
        <x:v>2</x:v>
      </x:c>
      <x:c r="N45" s="13" t="n">
        <x:v>0</x:v>
      </x:c>
      <x:c r="O45" s="11" t="str">
        <x:f>IF(AND(I45&lt;&gt;"",J45&lt;&gt;"",M45&gt;=0),"PASS","FAIL")</x:f>
        <x:v>PASS</x:v>
      </x:c>
      <x:c r="P45" s="11" t="str">
        <x:f>IF(O45&lt;&gt;"PASS","FAIL",IF(N45=1,"PASS","OPEN"))</x:f>
        <x:v>OPEN</x:v>
      </x:c>
      <x:c r="Q45" s="11" t="str">
        <x:v>excluded from campaign population</x:v>
      </x:c>
    </x:row>
    <x:row r="46">
      <x:c r="B46" s="11" t="str">
        <x:v>RA-SA4-07-B1</x:v>
      </x:c>
      <x:c r="C46" s="11" t="str">
        <x:v>PTC-B</x:v>
      </x:c>
      <x:c r="D46" s="11" t="str">
        <x:v>B</x:v>
      </x:c>
      <x:c r="E46" s="11" t="n">
        <x:v>1</x:v>
      </x:c>
      <x:c r="F46" s="11" t="str">
        <x:v>national blind authority</x:v>
      </x:c>
      <x:c r="G46" s="11" t="str">
        <x:v>PTC-B evidence authority</x:v>
      </x:c>
      <x:c r="H46" s="11" t="str">
        <x:v>Root B material custodian</x:v>
      </x:c>
      <x:c r="I46" s="11" t="str">
        <x:v>RETAIN SEALED</x:v>
      </x:c>
      <x:c r="J46" s="11" t="str">
        <x:v>seal compromise; overload; unknown exposure; contamination</x:v>
      </x:c>
      <x:c r="K46" s="11" t="n">
        <x:v>6</x:v>
      </x:c>
      <x:c r="L46" s="11" t="n">
        <x:v>1</x:v>
      </x:c>
      <x:c r="M46" s="11" t="n">
        <x:f>K46-L46</x:f>
        <x:v>5</x:v>
      </x:c>
      <x:c r="N46" s="13" t="n">
        <x:v>0</x:v>
      </x:c>
      <x:c r="O46" s="11" t="str">
        <x:f>IF(AND(I46&lt;&gt;"",J46&lt;&gt;"",M46&gt;=0),"PASS","FAIL")</x:f>
        <x:v>PASS</x:v>
      </x:c>
      <x:c r="P46" s="11" t="str">
        <x:f>IF(O46&lt;&gt;"PASS","FAIL",IF(N46=1,"PASS","OPEN"))</x:f>
        <x:v>OPEN</x:v>
      </x:c>
      <x:c r="Q46" s="11" t="str">
        <x:v>excluded from campaign population</x:v>
      </x:c>
    </x:row>
    <x:row r="47">
      <x:c r="B47" s="11" t="str">
        <x:v>RA-SA4-07-B2</x:v>
      </x:c>
      <x:c r="C47" s="11" t="str">
        <x:v>PTC-B</x:v>
      </x:c>
      <x:c r="D47" s="11" t="str">
        <x:v>B</x:v>
      </x:c>
      <x:c r="E47" s="11" t="n">
        <x:v>2</x:v>
      </x:c>
      <x:c r="F47" s="11" t="str">
        <x:v>national blind authority</x:v>
      </x:c>
      <x:c r="G47" s="11" t="str">
        <x:v>PTC-B evidence authority</x:v>
      </x:c>
      <x:c r="H47" s="11" t="str">
        <x:v>Root B material custodian</x:v>
      </x:c>
      <x:c r="I47" s="11" t="str">
        <x:v>DESTRUCT AFTER TRUTH</x:v>
      </x:c>
      <x:c r="J47" s="11" t="str">
        <x:v>seal compromise; overload; unknown exposure; contamination</x:v>
      </x:c>
      <x:c r="K47" s="11" t="n">
        <x:v>4</x:v>
      </x:c>
      <x:c r="L47" s="11" t="n">
        <x:v>2</x:v>
      </x:c>
      <x:c r="M47" s="11" t="n">
        <x:f>K47-L47</x:f>
        <x:v>2</x:v>
      </x:c>
      <x:c r="N47" s="13" t="n">
        <x:v>0</x:v>
      </x:c>
      <x:c r="O47" s="11" t="str">
        <x:f>IF(AND(I47&lt;&gt;"",J47&lt;&gt;"",M47&gt;=0),"PASS","FAIL")</x:f>
        <x:v>PASS</x:v>
      </x:c>
      <x:c r="P47" s="11" t="str">
        <x:f>IF(O47&lt;&gt;"PASS","FAIL",IF(N47=1,"PASS","OPEN"))</x:f>
        <x:v>OPEN</x:v>
      </x:c>
      <x:c r="Q47" s="11" t="str">
        <x:v>excluded from campaign population</x:v>
      </x:c>
    </x:row>
    <x:row r="48">
      <x:c r="B48" s="11" t="str">
        <x:v>RA-SA4-07-B3</x:v>
      </x:c>
      <x:c r="C48" s="11" t="str">
        <x:v>PTC-B</x:v>
      </x:c>
      <x:c r="D48" s="11" t="str">
        <x:v>B</x:v>
      </x:c>
      <x:c r="E48" s="11" t="n">
        <x:v>3</x:v>
      </x:c>
      <x:c r="F48" s="11" t="str">
        <x:v>national blind authority</x:v>
      </x:c>
      <x:c r="G48" s="11" t="str">
        <x:v>PTC-B evidence authority</x:v>
      </x:c>
      <x:c r="H48" s="11" t="str">
        <x:v>Root B material custodian</x:v>
      </x:c>
      <x:c r="I48" s="11" t="str">
        <x:v>QUARANTINE THEN DESTRUCT</x:v>
      </x:c>
      <x:c r="J48" s="11" t="str">
        <x:v>seal compromise; overload; unknown exposure; contamination</x:v>
      </x:c>
      <x:c r="K48" s="11" t="n">
        <x:v>3</x:v>
      </x:c>
      <x:c r="L48" s="11" t="n">
        <x:v>2</x:v>
      </x:c>
      <x:c r="M48" s="11" t="n">
        <x:f>K48-L48</x:f>
        <x:v>1</x:v>
      </x:c>
      <x:c r="N48" s="13" t="n">
        <x:v>0</x:v>
      </x:c>
      <x:c r="O48" s="11" t="str">
        <x:f>IF(AND(I48&lt;&gt;"",J48&lt;&gt;"",M48&gt;=0),"PASS","FAIL")</x:f>
        <x:v>PASS</x:v>
      </x:c>
      <x:c r="P48" s="11" t="str">
        <x:f>IF(O48&lt;&gt;"PASS","FAIL",IF(N48=1,"PASS","OPEN"))</x:f>
        <x:v>OPEN</x:v>
      </x:c>
      <x:c r="Q48" s="11" t="str">
        <x:v>excluded from campaign population</x:v>
      </x:c>
    </x:row>
    <x:row r="49">
      <x:c r="B49" s="11" t="str">
        <x:v>RA-SA4-08-A1</x:v>
      </x:c>
      <x:c r="C49" s="11" t="str">
        <x:v>PTC-C</x:v>
      </x:c>
      <x:c r="D49" s="11" t="str">
        <x:v>A</x:v>
      </x:c>
      <x:c r="E49" s="11" t="n">
        <x:v>1</x:v>
      </x:c>
      <x:c r="F49" s="11" t="str">
        <x:v>national blind authority</x:v>
      </x:c>
      <x:c r="G49" s="11" t="str">
        <x:v>PTC-C evidence authority</x:v>
      </x:c>
      <x:c r="H49" s="11" t="str">
        <x:v>Root A material custodian</x:v>
      </x:c>
      <x:c r="I49" s="11" t="str">
        <x:v>RETAIN SEALED</x:v>
      </x:c>
      <x:c r="J49" s="11" t="str">
        <x:v>seal compromise; overload; unknown exposure; contamination</x:v>
      </x:c>
      <x:c r="K49" s="11" t="n">
        <x:v>6</x:v>
      </x:c>
      <x:c r="L49" s="11" t="n">
        <x:v>1</x:v>
      </x:c>
      <x:c r="M49" s="11" t="n">
        <x:f>K49-L49</x:f>
        <x:v>5</x:v>
      </x:c>
      <x:c r="N49" s="13" t="n">
        <x:v>0</x:v>
      </x:c>
      <x:c r="O49" s="11" t="str">
        <x:f>IF(AND(I49&lt;&gt;"",J49&lt;&gt;"",M49&gt;=0),"PASS","FAIL")</x:f>
        <x:v>PASS</x:v>
      </x:c>
      <x:c r="P49" s="11" t="str">
        <x:f>IF(O49&lt;&gt;"PASS","FAIL",IF(N49=1,"PASS","OPEN"))</x:f>
        <x:v>OPEN</x:v>
      </x:c>
      <x:c r="Q49" s="11" t="str">
        <x:v>excluded from campaign population</x:v>
      </x:c>
    </x:row>
    <x:row r="50">
      <x:c r="B50" s="11" t="str">
        <x:v>RA-SA4-08-A2</x:v>
      </x:c>
      <x:c r="C50" s="11" t="str">
        <x:v>PTC-C</x:v>
      </x:c>
      <x:c r="D50" s="11" t="str">
        <x:v>A</x:v>
      </x:c>
      <x:c r="E50" s="11" t="n">
        <x:v>2</x:v>
      </x:c>
      <x:c r="F50" s="11" t="str">
        <x:v>national blind authority</x:v>
      </x:c>
      <x:c r="G50" s="11" t="str">
        <x:v>PTC-C evidence authority</x:v>
      </x:c>
      <x:c r="H50" s="11" t="str">
        <x:v>Root A material custodian</x:v>
      </x:c>
      <x:c r="I50" s="11" t="str">
        <x:v>DESTRUCT AFTER TRUTH</x:v>
      </x:c>
      <x:c r="J50" s="11" t="str">
        <x:v>seal compromise; overload; unknown exposure; contamination</x:v>
      </x:c>
      <x:c r="K50" s="11" t="n">
        <x:v>4</x:v>
      </x:c>
      <x:c r="L50" s="11" t="n">
        <x:v>2</x:v>
      </x:c>
      <x:c r="M50" s="11" t="n">
        <x:f>K50-L50</x:f>
        <x:v>2</x:v>
      </x:c>
      <x:c r="N50" s="13" t="n">
        <x:v>0</x:v>
      </x:c>
      <x:c r="O50" s="11" t="str">
        <x:f>IF(AND(I50&lt;&gt;"",J50&lt;&gt;"",M50&gt;=0),"PASS","FAIL")</x:f>
        <x:v>PASS</x:v>
      </x:c>
      <x:c r="P50" s="11" t="str">
        <x:f>IF(O50&lt;&gt;"PASS","FAIL",IF(N50=1,"PASS","OPEN"))</x:f>
        <x:v>OPEN</x:v>
      </x:c>
      <x:c r="Q50" s="11" t="str">
        <x:v>excluded from campaign population</x:v>
      </x:c>
    </x:row>
    <x:row r="51">
      <x:c r="B51" s="11" t="str">
        <x:v>RA-SA4-08-A3</x:v>
      </x:c>
      <x:c r="C51" s="11" t="str">
        <x:v>PTC-C</x:v>
      </x:c>
      <x:c r="D51" s="11" t="str">
        <x:v>A</x:v>
      </x:c>
      <x:c r="E51" s="11" t="n">
        <x:v>3</x:v>
      </x:c>
      <x:c r="F51" s="11" t="str">
        <x:v>national blind authority</x:v>
      </x:c>
      <x:c r="G51" s="11" t="str">
        <x:v>PTC-C evidence authority</x:v>
      </x:c>
      <x:c r="H51" s="11" t="str">
        <x:v>Root A material custodian</x:v>
      </x:c>
      <x:c r="I51" s="11" t="str">
        <x:v>QUARANTINE THEN DESTRUCT</x:v>
      </x:c>
      <x:c r="J51" s="11" t="str">
        <x:v>seal compromise; overload; unknown exposure; contamination</x:v>
      </x:c>
      <x:c r="K51" s="11" t="n">
        <x:v>3</x:v>
      </x:c>
      <x:c r="L51" s="11" t="n">
        <x:v>2</x:v>
      </x:c>
      <x:c r="M51" s="11" t="n">
        <x:f>K51-L51</x:f>
        <x:v>1</x:v>
      </x:c>
      <x:c r="N51" s="13" t="n">
        <x:v>0</x:v>
      </x:c>
      <x:c r="O51" s="11" t="str">
        <x:f>IF(AND(I51&lt;&gt;"",J51&lt;&gt;"",M51&gt;=0),"PASS","FAIL")</x:f>
        <x:v>PASS</x:v>
      </x:c>
      <x:c r="P51" s="11" t="str">
        <x:f>IF(O51&lt;&gt;"PASS","FAIL",IF(N51=1,"PASS","OPEN"))</x:f>
        <x:v>OPEN</x:v>
      </x:c>
      <x:c r="Q51" s="11" t="str">
        <x:v>excluded from campaign population</x:v>
      </x:c>
    </x:row>
    <x:row r="52">
      <x:c r="B52" s="11" t="str">
        <x:v>RA-SA4-08-B1</x:v>
      </x:c>
      <x:c r="C52" s="11" t="str">
        <x:v>PTC-C</x:v>
      </x:c>
      <x:c r="D52" s="11" t="str">
        <x:v>B</x:v>
      </x:c>
      <x:c r="E52" s="11" t="n">
        <x:v>1</x:v>
      </x:c>
      <x:c r="F52" s="11" t="str">
        <x:v>national blind authority</x:v>
      </x:c>
      <x:c r="G52" s="11" t="str">
        <x:v>PTC-C evidence authority</x:v>
      </x:c>
      <x:c r="H52" s="11" t="str">
        <x:v>Root B material custodian</x:v>
      </x:c>
      <x:c r="I52" s="11" t="str">
        <x:v>RETAIN SEALED</x:v>
      </x:c>
      <x:c r="J52" s="11" t="str">
        <x:v>seal compromise; overload; unknown exposure; contamination</x:v>
      </x:c>
      <x:c r="K52" s="11" t="n">
        <x:v>6</x:v>
      </x:c>
      <x:c r="L52" s="11" t="n">
        <x:v>3</x:v>
      </x:c>
      <x:c r="M52" s="11" t="n">
        <x:f>K52-L52</x:f>
        <x:v>3</x:v>
      </x:c>
      <x:c r="N52" s="13" t="n">
        <x:v>0</x:v>
      </x:c>
      <x:c r="O52" s="11" t="str">
        <x:f>IF(AND(I52&lt;&gt;"",J52&lt;&gt;"",M52&gt;=0),"PASS","FAIL")</x:f>
        <x:v>PASS</x:v>
      </x:c>
      <x:c r="P52" s="11" t="str">
        <x:f>IF(O52&lt;&gt;"PASS","FAIL",IF(N52=1,"PASS","OPEN"))</x:f>
        <x:v>OPEN</x:v>
      </x:c>
      <x:c r="Q52" s="11" t="str">
        <x:v>excluded from campaign population</x:v>
      </x:c>
    </x:row>
    <x:row r="53">
      <x:c r="B53" s="11" t="str">
        <x:v>RA-SA4-08-B2</x:v>
      </x:c>
      <x:c r="C53" s="11" t="str">
        <x:v>PTC-C</x:v>
      </x:c>
      <x:c r="D53" s="11" t="str">
        <x:v>B</x:v>
      </x:c>
      <x:c r="E53" s="11" t="n">
        <x:v>2</x:v>
      </x:c>
      <x:c r="F53" s="11" t="str">
        <x:v>national blind authority</x:v>
      </x:c>
      <x:c r="G53" s="11" t="str">
        <x:v>PTC-C evidence authority</x:v>
      </x:c>
      <x:c r="H53" s="11" t="str">
        <x:v>Root B material custodian</x:v>
      </x:c>
      <x:c r="I53" s="11" t="str">
        <x:v>DESTRUCT AFTER TRUTH</x:v>
      </x:c>
      <x:c r="J53" s="11" t="str">
        <x:v>seal compromise; overload; unknown exposure; contamination</x:v>
      </x:c>
      <x:c r="K53" s="11" t="n">
        <x:v>4</x:v>
      </x:c>
      <x:c r="L53" s="11" t="n">
        <x:v>1</x:v>
      </x:c>
      <x:c r="M53" s="11" t="n">
        <x:f>K53-L53</x:f>
        <x:v>3</x:v>
      </x:c>
      <x:c r="N53" s="13" t="n">
        <x:v>0</x:v>
      </x:c>
      <x:c r="O53" s="11" t="str">
        <x:f>IF(AND(I53&lt;&gt;"",J53&lt;&gt;"",M53&gt;=0),"PASS","FAIL")</x:f>
        <x:v>PASS</x:v>
      </x:c>
      <x:c r="P53" s="11" t="str">
        <x:f>IF(O53&lt;&gt;"PASS","FAIL",IF(N53=1,"PASS","OPEN"))</x:f>
        <x:v>OPEN</x:v>
      </x:c>
      <x:c r="Q53" s="11" t="str">
        <x:v>excluded from campaign population</x:v>
      </x:c>
    </x:row>
    <x:row r="54">
      <x:c r="B54" s="11" t="str">
        <x:v>RA-SA4-08-B3</x:v>
      </x:c>
      <x:c r="C54" s="11" t="str">
        <x:v>PTC-C</x:v>
      </x:c>
      <x:c r="D54" s="11" t="str">
        <x:v>B</x:v>
      </x:c>
      <x:c r="E54" s="11" t="n">
        <x:v>3</x:v>
      </x:c>
      <x:c r="F54" s="11" t="str">
        <x:v>national blind authority</x:v>
      </x:c>
      <x:c r="G54" s="11" t="str">
        <x:v>PTC-C evidence authority</x:v>
      </x:c>
      <x:c r="H54" s="11" t="str">
        <x:v>Root B material custodian</x:v>
      </x:c>
      <x:c r="I54" s="11" t="str">
        <x:v>QUARANTINE THEN DESTRUCT</x:v>
      </x:c>
      <x:c r="J54" s="11" t="str">
        <x:v>seal compromise; overload; unknown exposure; contamination</x:v>
      </x:c>
      <x:c r="K54" s="11" t="n">
        <x:v>3</x:v>
      </x:c>
      <x:c r="L54" s="11" t="n">
        <x:v>1</x:v>
      </x:c>
      <x:c r="M54" s="11" t="n">
        <x:f>K54-L54</x:f>
        <x:v>2</x:v>
      </x:c>
      <x:c r="N54" s="13" t="n">
        <x:v>0</x:v>
      </x:c>
      <x:c r="O54" s="11" t="str">
        <x:f>IF(AND(I54&lt;&gt;"",J54&lt;&gt;"",M54&gt;=0),"PASS","FAIL")</x:f>
        <x:v>PASS</x:v>
      </x:c>
      <x:c r="P54" s="11" t="str">
        <x:f>IF(O54&lt;&gt;"PASS","FAIL",IF(N54=1,"PASS","OPEN"))</x:f>
        <x:v>OPEN</x:v>
      </x:c>
      <x:c r="Q54" s="11" t="str">
        <x:v>excluded from campaign population</x:v>
      </x:c>
    </x:row>
    <x:row r="55">
      <x:c r="B55" s="11" t="str">
        <x:v>RA-SA5-09-A1</x:v>
      </x:c>
      <x:c r="C55" s="11" t="str">
        <x:v>PTC-A</x:v>
      </x:c>
      <x:c r="D55" s="11" t="str">
        <x:v>A</x:v>
      </x:c>
      <x:c r="E55" s="11" t="n">
        <x:v>1</x:v>
      </x:c>
      <x:c r="F55" s="11" t="str">
        <x:v>national blind authority</x:v>
      </x:c>
      <x:c r="G55" s="11" t="str">
        <x:v>PTC-A evidence authority</x:v>
      </x:c>
      <x:c r="H55" s="11" t="str">
        <x:v>Root A material custodian</x:v>
      </x:c>
      <x:c r="I55" s="11" t="str">
        <x:v>RETAIN SEALED</x:v>
      </x:c>
      <x:c r="J55" s="11" t="str">
        <x:v>seal compromise; overload; unknown exposure; contamination</x:v>
      </x:c>
      <x:c r="K55" s="11" t="n">
        <x:v>6</x:v>
      </x:c>
      <x:c r="L55" s="11" t="n">
        <x:v>3</x:v>
      </x:c>
      <x:c r="M55" s="11" t="n">
        <x:f>K55-L55</x:f>
        <x:v>3</x:v>
      </x:c>
      <x:c r="N55" s="13" t="n">
        <x:v>0</x:v>
      </x:c>
      <x:c r="O55" s="11" t="str">
        <x:f>IF(AND(I55&lt;&gt;"",J55&lt;&gt;"",M55&gt;=0),"PASS","FAIL")</x:f>
        <x:v>PASS</x:v>
      </x:c>
      <x:c r="P55" s="11" t="str">
        <x:f>IF(O55&lt;&gt;"PASS","FAIL",IF(N55=1,"PASS","OPEN"))</x:f>
        <x:v>OPEN</x:v>
      </x:c>
      <x:c r="Q55" s="11" t="str">
        <x:v>excluded from campaign population</x:v>
      </x:c>
    </x:row>
    <x:row r="56">
      <x:c r="B56" s="11" t="str">
        <x:v>RA-SA5-09-A2</x:v>
      </x:c>
      <x:c r="C56" s="11" t="str">
        <x:v>PTC-A</x:v>
      </x:c>
      <x:c r="D56" s="11" t="str">
        <x:v>A</x:v>
      </x:c>
      <x:c r="E56" s="11" t="n">
        <x:v>2</x:v>
      </x:c>
      <x:c r="F56" s="11" t="str">
        <x:v>national blind authority</x:v>
      </x:c>
      <x:c r="G56" s="11" t="str">
        <x:v>PTC-A evidence authority</x:v>
      </x:c>
      <x:c r="H56" s="11" t="str">
        <x:v>Root A material custodian</x:v>
      </x:c>
      <x:c r="I56" s="11" t="str">
        <x:v>DESTRUCT AFTER TRUTH</x:v>
      </x:c>
      <x:c r="J56" s="11" t="str">
        <x:v>seal compromise; overload; unknown exposure; contamination</x:v>
      </x:c>
      <x:c r="K56" s="11" t="n">
        <x:v>4</x:v>
      </x:c>
      <x:c r="L56" s="11" t="n">
        <x:v>1</x:v>
      </x:c>
      <x:c r="M56" s="11" t="n">
        <x:f>K56-L56</x:f>
        <x:v>3</x:v>
      </x:c>
      <x:c r="N56" s="13" t="n">
        <x:v>0</x:v>
      </x:c>
      <x:c r="O56" s="11" t="str">
        <x:f>IF(AND(I56&lt;&gt;"",J56&lt;&gt;"",M56&gt;=0),"PASS","FAIL")</x:f>
        <x:v>PASS</x:v>
      </x:c>
      <x:c r="P56" s="11" t="str">
        <x:f>IF(O56&lt;&gt;"PASS","FAIL",IF(N56=1,"PASS","OPEN"))</x:f>
        <x:v>OPEN</x:v>
      </x:c>
      <x:c r="Q56" s="11" t="str">
        <x:v>excluded from campaign population</x:v>
      </x:c>
    </x:row>
    <x:row r="57">
      <x:c r="B57" s="11" t="str">
        <x:v>RA-SA5-09-A3</x:v>
      </x:c>
      <x:c r="C57" s="11" t="str">
        <x:v>PTC-A</x:v>
      </x:c>
      <x:c r="D57" s="11" t="str">
        <x:v>A</x:v>
      </x:c>
      <x:c r="E57" s="11" t="n">
        <x:v>3</x:v>
      </x:c>
      <x:c r="F57" s="11" t="str">
        <x:v>national blind authority</x:v>
      </x:c>
      <x:c r="G57" s="11" t="str">
        <x:v>PTC-A evidence authority</x:v>
      </x:c>
      <x:c r="H57" s="11" t="str">
        <x:v>Root A material custodian</x:v>
      </x:c>
      <x:c r="I57" s="11" t="str">
        <x:v>QUARANTINE THEN DESTRUCT</x:v>
      </x:c>
      <x:c r="J57" s="11" t="str">
        <x:v>seal compromise; overload; unknown exposure; contamination</x:v>
      </x:c>
      <x:c r="K57" s="11" t="n">
        <x:v>3</x:v>
      </x:c>
      <x:c r="L57" s="11" t="n">
        <x:v>1</x:v>
      </x:c>
      <x:c r="M57" s="11" t="n">
        <x:f>K57-L57</x:f>
        <x:v>2</x:v>
      </x:c>
      <x:c r="N57" s="13" t="n">
        <x:v>0</x:v>
      </x:c>
      <x:c r="O57" s="11" t="str">
        <x:f>IF(AND(I57&lt;&gt;"",J57&lt;&gt;"",M57&gt;=0),"PASS","FAIL")</x:f>
        <x:v>PASS</x:v>
      </x:c>
      <x:c r="P57" s="11" t="str">
        <x:f>IF(O57&lt;&gt;"PASS","FAIL",IF(N57=1,"PASS","OPEN"))</x:f>
        <x:v>OPEN</x:v>
      </x:c>
      <x:c r="Q57" s="11" t="str">
        <x:v>excluded from campaign population</x:v>
      </x:c>
    </x:row>
    <x:row r="58">
      <x:c r="B58" s="11" t="str">
        <x:v>RA-SA5-09-B1</x:v>
      </x:c>
      <x:c r="C58" s="11" t="str">
        <x:v>PTC-A</x:v>
      </x:c>
      <x:c r="D58" s="11" t="str">
        <x:v>B</x:v>
      </x:c>
      <x:c r="E58" s="11" t="n">
        <x:v>1</x:v>
      </x:c>
      <x:c r="F58" s="11" t="str">
        <x:v>national blind authority</x:v>
      </x:c>
      <x:c r="G58" s="11" t="str">
        <x:v>PTC-A evidence authority</x:v>
      </x:c>
      <x:c r="H58" s="11" t="str">
        <x:v>Root B material custodian</x:v>
      </x:c>
      <x:c r="I58" s="11" t="str">
        <x:v>RETAIN SEALED</x:v>
      </x:c>
      <x:c r="J58" s="11" t="str">
        <x:v>seal compromise; overload; unknown exposure; contamination</x:v>
      </x:c>
      <x:c r="K58" s="11" t="n">
        <x:v>6</x:v>
      </x:c>
      <x:c r="L58" s="11" t="n">
        <x:v>1</x:v>
      </x:c>
      <x:c r="M58" s="11" t="n">
        <x:f>K58-L58</x:f>
        <x:v>5</x:v>
      </x:c>
      <x:c r="N58" s="13" t="n">
        <x:v>0</x:v>
      </x:c>
      <x:c r="O58" s="11" t="str">
        <x:f>IF(AND(I58&lt;&gt;"",J58&lt;&gt;"",M58&gt;=0),"PASS","FAIL")</x:f>
        <x:v>PASS</x:v>
      </x:c>
      <x:c r="P58" s="11" t="str">
        <x:f>IF(O58&lt;&gt;"PASS","FAIL",IF(N58=1,"PASS","OPEN"))</x:f>
        <x:v>OPEN</x:v>
      </x:c>
      <x:c r="Q58" s="11" t="str">
        <x:v>excluded from campaign population</x:v>
      </x:c>
    </x:row>
    <x:row r="59">
      <x:c r="B59" s="11" t="str">
        <x:v>RA-SA5-09-B2</x:v>
      </x:c>
      <x:c r="C59" s="11" t="str">
        <x:v>PTC-A</x:v>
      </x:c>
      <x:c r="D59" s="11" t="str">
        <x:v>B</x:v>
      </x:c>
      <x:c r="E59" s="11" t="n">
        <x:v>2</x:v>
      </x:c>
      <x:c r="F59" s="11" t="str">
        <x:v>national blind authority</x:v>
      </x:c>
      <x:c r="G59" s="11" t="str">
        <x:v>PTC-A evidence authority</x:v>
      </x:c>
      <x:c r="H59" s="11" t="str">
        <x:v>Root B material custodian</x:v>
      </x:c>
      <x:c r="I59" s="11" t="str">
        <x:v>DESTRUCT AFTER TRUTH</x:v>
      </x:c>
      <x:c r="J59" s="11" t="str">
        <x:v>seal compromise; overload; unknown exposure; contamination</x:v>
      </x:c>
      <x:c r="K59" s="11" t="n">
        <x:v>4</x:v>
      </x:c>
      <x:c r="L59" s="11" t="n">
        <x:v>2</x:v>
      </x:c>
      <x:c r="M59" s="11" t="n">
        <x:f>K59-L59</x:f>
        <x:v>2</x:v>
      </x:c>
      <x:c r="N59" s="13" t="n">
        <x:v>0</x:v>
      </x:c>
      <x:c r="O59" s="11" t="str">
        <x:f>IF(AND(I59&lt;&gt;"",J59&lt;&gt;"",M59&gt;=0),"PASS","FAIL")</x:f>
        <x:v>PASS</x:v>
      </x:c>
      <x:c r="P59" s="11" t="str">
        <x:f>IF(O59&lt;&gt;"PASS","FAIL",IF(N59=1,"PASS","OPEN"))</x:f>
        <x:v>OPEN</x:v>
      </x:c>
      <x:c r="Q59" s="11" t="str">
        <x:v>excluded from campaign population</x:v>
      </x:c>
    </x:row>
    <x:row r="60">
      <x:c r="B60" s="11" t="str">
        <x:v>RA-SA5-09-B3</x:v>
      </x:c>
      <x:c r="C60" s="11" t="str">
        <x:v>PTC-A</x:v>
      </x:c>
      <x:c r="D60" s="11" t="str">
        <x:v>B</x:v>
      </x:c>
      <x:c r="E60" s="11" t="n">
        <x:v>3</x:v>
      </x:c>
      <x:c r="F60" s="11" t="str">
        <x:v>national blind authority</x:v>
      </x:c>
      <x:c r="G60" s="11" t="str">
        <x:v>PTC-A evidence authority</x:v>
      </x:c>
      <x:c r="H60" s="11" t="str">
        <x:v>Root B material custodian</x:v>
      </x:c>
      <x:c r="I60" s="11" t="str">
        <x:v>QUARANTINE THEN DESTRUCT</x:v>
      </x:c>
      <x:c r="J60" s="11" t="str">
        <x:v>seal compromise; overload; unknown exposure; contamination</x:v>
      </x:c>
      <x:c r="K60" s="11" t="n">
        <x:v>3</x:v>
      </x:c>
      <x:c r="L60" s="11" t="n">
        <x:v>2</x:v>
      </x:c>
      <x:c r="M60" s="11" t="n">
        <x:f>K60-L60</x:f>
        <x:v>1</x:v>
      </x:c>
      <x:c r="N60" s="13" t="n">
        <x:v>0</x:v>
      </x:c>
      <x:c r="O60" s="11" t="str">
        <x:f>IF(AND(I60&lt;&gt;"",J60&lt;&gt;"",M60&gt;=0),"PASS","FAIL")</x:f>
        <x:v>PASS</x:v>
      </x:c>
      <x:c r="P60" s="11" t="str">
        <x:f>IF(O60&lt;&gt;"PASS","FAIL",IF(N60=1,"PASS","OPEN"))</x:f>
        <x:v>OPEN</x:v>
      </x:c>
      <x:c r="Q60" s="11" t="str">
        <x:v>excluded from campaign population</x:v>
      </x:c>
    </x:row>
    <x:row r="61">
      <x:c r="B61" s="11" t="str">
        <x:v>RA-SA5-10-A1</x:v>
      </x:c>
      <x:c r="C61" s="11" t="str">
        <x:v>PTC-B</x:v>
      </x:c>
      <x:c r="D61" s="11" t="str">
        <x:v>A</x:v>
      </x:c>
      <x:c r="E61" s="11" t="n">
        <x:v>1</x:v>
      </x:c>
      <x:c r="F61" s="11" t="str">
        <x:v>national blind authority</x:v>
      </x:c>
      <x:c r="G61" s="11" t="str">
        <x:v>PTC-B evidence authority</x:v>
      </x:c>
      <x:c r="H61" s="11" t="str">
        <x:v>Root A material custodian</x:v>
      </x:c>
      <x:c r="I61" s="11" t="str">
        <x:v>RETAIN SEALED</x:v>
      </x:c>
      <x:c r="J61" s="11" t="str">
        <x:v>seal compromise; overload; unknown exposure; contamination</x:v>
      </x:c>
      <x:c r="K61" s="11" t="n">
        <x:v>6</x:v>
      </x:c>
      <x:c r="L61" s="11" t="n">
        <x:v>1</x:v>
      </x:c>
      <x:c r="M61" s="11" t="n">
        <x:f>K61-L61</x:f>
        <x:v>5</x:v>
      </x:c>
      <x:c r="N61" s="13" t="n">
        <x:v>0</x:v>
      </x:c>
      <x:c r="O61" s="11" t="str">
        <x:f>IF(AND(I61&lt;&gt;"",J61&lt;&gt;"",M61&gt;=0),"PASS","FAIL")</x:f>
        <x:v>PASS</x:v>
      </x:c>
      <x:c r="P61" s="11" t="str">
        <x:f>IF(O61&lt;&gt;"PASS","FAIL",IF(N61=1,"PASS","OPEN"))</x:f>
        <x:v>OPEN</x:v>
      </x:c>
      <x:c r="Q61" s="11" t="str">
        <x:v>excluded from campaign population</x:v>
      </x:c>
    </x:row>
    <x:row r="62">
      <x:c r="B62" s="11" t="str">
        <x:v>RA-SA5-10-A2</x:v>
      </x:c>
      <x:c r="C62" s="11" t="str">
        <x:v>PTC-B</x:v>
      </x:c>
      <x:c r="D62" s="11" t="str">
        <x:v>A</x:v>
      </x:c>
      <x:c r="E62" s="11" t="n">
        <x:v>2</x:v>
      </x:c>
      <x:c r="F62" s="11" t="str">
        <x:v>national blind authority</x:v>
      </x:c>
      <x:c r="G62" s="11" t="str">
        <x:v>PTC-B evidence authority</x:v>
      </x:c>
      <x:c r="H62" s="11" t="str">
        <x:v>Root A material custodian</x:v>
      </x:c>
      <x:c r="I62" s="11" t="str">
        <x:v>DESTRUCT AFTER TRUTH</x:v>
      </x:c>
      <x:c r="J62" s="11" t="str">
        <x:v>seal compromise; overload; unknown exposure; contamination</x:v>
      </x:c>
      <x:c r="K62" s="11" t="n">
        <x:v>4</x:v>
      </x:c>
      <x:c r="L62" s="11" t="n">
        <x:v>2</x:v>
      </x:c>
      <x:c r="M62" s="11" t="n">
        <x:f>K62-L62</x:f>
        <x:v>2</x:v>
      </x:c>
      <x:c r="N62" s="13" t="n">
        <x:v>0</x:v>
      </x:c>
      <x:c r="O62" s="11" t="str">
        <x:f>IF(AND(I62&lt;&gt;"",J62&lt;&gt;"",M62&gt;=0),"PASS","FAIL")</x:f>
        <x:v>PASS</x:v>
      </x:c>
      <x:c r="P62" s="11" t="str">
        <x:f>IF(O62&lt;&gt;"PASS","FAIL",IF(N62=1,"PASS","OPEN"))</x:f>
        <x:v>OPEN</x:v>
      </x:c>
      <x:c r="Q62" s="11" t="str">
        <x:v>excluded from campaign population</x:v>
      </x:c>
    </x:row>
    <x:row r="63">
      <x:c r="B63" s="11" t="str">
        <x:v>RA-SA5-10-A3</x:v>
      </x:c>
      <x:c r="C63" s="11" t="str">
        <x:v>PTC-B</x:v>
      </x:c>
      <x:c r="D63" s="11" t="str">
        <x:v>A</x:v>
      </x:c>
      <x:c r="E63" s="11" t="n">
        <x:v>3</x:v>
      </x:c>
      <x:c r="F63" s="11" t="str">
        <x:v>national blind authority</x:v>
      </x:c>
      <x:c r="G63" s="11" t="str">
        <x:v>PTC-B evidence authority</x:v>
      </x:c>
      <x:c r="H63" s="11" t="str">
        <x:v>Root A material custodian</x:v>
      </x:c>
      <x:c r="I63" s="11" t="str">
        <x:v>QUARANTINE THEN DESTRUCT</x:v>
      </x:c>
      <x:c r="J63" s="11" t="str">
        <x:v>seal compromise; overload; unknown exposure; contamination</x:v>
      </x:c>
      <x:c r="K63" s="11" t="n">
        <x:v>3</x:v>
      </x:c>
      <x:c r="L63" s="11" t="n">
        <x:v>2</x:v>
      </x:c>
      <x:c r="M63" s="11" t="n">
        <x:f>K63-L63</x:f>
        <x:v>1</x:v>
      </x:c>
      <x:c r="N63" s="13" t="n">
        <x:v>0</x:v>
      </x:c>
      <x:c r="O63" s="11" t="str">
        <x:f>IF(AND(I63&lt;&gt;"",J63&lt;&gt;"",M63&gt;=0),"PASS","FAIL")</x:f>
        <x:v>PASS</x:v>
      </x:c>
      <x:c r="P63" s="11" t="str">
        <x:f>IF(O63&lt;&gt;"PASS","FAIL",IF(N63=1,"PASS","OPEN"))</x:f>
        <x:v>OPEN</x:v>
      </x:c>
      <x:c r="Q63" s="11" t="str">
        <x:v>excluded from campaign population</x:v>
      </x:c>
    </x:row>
    <x:row r="64">
      <x:c r="B64" s="11" t="str">
        <x:v>RA-SA5-10-B1</x:v>
      </x:c>
      <x:c r="C64" s="11" t="str">
        <x:v>PTC-B</x:v>
      </x:c>
      <x:c r="D64" s="11" t="str">
        <x:v>B</x:v>
      </x:c>
      <x:c r="E64" s="11" t="n">
        <x:v>1</x:v>
      </x:c>
      <x:c r="F64" s="11" t="str">
        <x:v>national blind authority</x:v>
      </x:c>
      <x:c r="G64" s="11" t="str">
        <x:v>PTC-B evidence authority</x:v>
      </x:c>
      <x:c r="H64" s="11" t="str">
        <x:v>Root B material custodian</x:v>
      </x:c>
      <x:c r="I64" s="11" t="str">
        <x:v>RETAIN SEALED</x:v>
      </x:c>
      <x:c r="J64" s="11" t="str">
        <x:v>seal compromise; overload; unknown exposure; contamination</x:v>
      </x:c>
      <x:c r="K64" s="11" t="n">
        <x:v>6</x:v>
      </x:c>
      <x:c r="L64" s="11" t="n">
        <x:v>3</x:v>
      </x:c>
      <x:c r="M64" s="11" t="n">
        <x:f>K64-L64</x:f>
        <x:v>3</x:v>
      </x:c>
      <x:c r="N64" s="13" t="n">
        <x:v>0</x:v>
      </x:c>
      <x:c r="O64" s="11" t="str">
        <x:f>IF(AND(I64&lt;&gt;"",J64&lt;&gt;"",M64&gt;=0),"PASS","FAIL")</x:f>
        <x:v>PASS</x:v>
      </x:c>
      <x:c r="P64" s="11" t="str">
        <x:f>IF(O64&lt;&gt;"PASS","FAIL",IF(N64=1,"PASS","OPEN"))</x:f>
        <x:v>OPEN</x:v>
      </x:c>
      <x:c r="Q64" s="11" t="str">
        <x:v>excluded from campaign population</x:v>
      </x:c>
    </x:row>
    <x:row r="65">
      <x:c r="B65" s="11" t="str">
        <x:v>RA-SA5-10-B2</x:v>
      </x:c>
      <x:c r="C65" s="11" t="str">
        <x:v>PTC-B</x:v>
      </x:c>
      <x:c r="D65" s="11" t="str">
        <x:v>B</x:v>
      </x:c>
      <x:c r="E65" s="11" t="n">
        <x:v>2</x:v>
      </x:c>
      <x:c r="F65" s="11" t="str">
        <x:v>national blind authority</x:v>
      </x:c>
      <x:c r="G65" s="11" t="str">
        <x:v>PTC-B evidence authority</x:v>
      </x:c>
      <x:c r="H65" s="11" t="str">
        <x:v>Root B material custodian</x:v>
      </x:c>
      <x:c r="I65" s="11" t="str">
        <x:v>DESTRUCT AFTER TRUTH</x:v>
      </x:c>
      <x:c r="J65" s="11" t="str">
        <x:v>seal compromise; overload; unknown exposure; contamination</x:v>
      </x:c>
      <x:c r="K65" s="11" t="n">
        <x:v>4</x:v>
      </x:c>
      <x:c r="L65" s="11" t="n">
        <x:v>1</x:v>
      </x:c>
      <x:c r="M65" s="11" t="n">
        <x:f>K65-L65</x:f>
        <x:v>3</x:v>
      </x:c>
      <x:c r="N65" s="13" t="n">
        <x:v>0</x:v>
      </x:c>
      <x:c r="O65" s="11" t="str">
        <x:f>IF(AND(I65&lt;&gt;"",J65&lt;&gt;"",M65&gt;=0),"PASS","FAIL")</x:f>
        <x:v>PASS</x:v>
      </x:c>
      <x:c r="P65" s="11" t="str">
        <x:f>IF(O65&lt;&gt;"PASS","FAIL",IF(N65=1,"PASS","OPEN"))</x:f>
        <x:v>OPEN</x:v>
      </x:c>
      <x:c r="Q65" s="11" t="str">
        <x:v>excluded from campaign population</x:v>
      </x:c>
    </x:row>
    <x:row r="66">
      <x:c r="B66" s="11" t="str">
        <x:v>RA-SA5-10-B3</x:v>
      </x:c>
      <x:c r="C66" s="11" t="str">
        <x:v>PTC-B</x:v>
      </x:c>
      <x:c r="D66" s="11" t="str">
        <x:v>B</x:v>
      </x:c>
      <x:c r="E66" s="11" t="n">
        <x:v>3</x:v>
      </x:c>
      <x:c r="F66" s="11" t="str">
        <x:v>national blind authority</x:v>
      </x:c>
      <x:c r="G66" s="11" t="str">
        <x:v>PTC-B evidence authority</x:v>
      </x:c>
      <x:c r="H66" s="11" t="str">
        <x:v>Root B material custodian</x:v>
      </x:c>
      <x:c r="I66" s="11" t="str">
        <x:v>QUARANTINE THEN DESTRUCT</x:v>
      </x:c>
      <x:c r="J66" s="11" t="str">
        <x:v>seal compromise; overload; unknown exposure; contamination</x:v>
      </x:c>
      <x:c r="K66" s="11" t="n">
        <x:v>3</x:v>
      </x:c>
      <x:c r="L66" s="11" t="n">
        <x:v>1</x:v>
      </x:c>
      <x:c r="M66" s="11" t="n">
        <x:f>K66-L66</x:f>
        <x:v>2</x:v>
      </x:c>
      <x:c r="N66" s="13" t="n">
        <x:v>0</x:v>
      </x:c>
      <x:c r="O66" s="11" t="str">
        <x:f>IF(AND(I66&lt;&gt;"",J66&lt;&gt;"",M66&gt;=0),"PASS","FAIL")</x:f>
        <x:v>PASS</x:v>
      </x:c>
      <x:c r="P66" s="11" t="str">
        <x:f>IF(O66&lt;&gt;"PASS","FAIL",IF(N66=1,"PASS","OPEN"))</x:f>
        <x:v>OPEN</x:v>
      </x:c>
      <x:c r="Q66" s="11" t="str">
        <x:v>excluded from campaign population</x:v>
      </x:c>
    </x:row>
    <x:row r="67">
      <x:c r="B67" s="11" t="str">
        <x:v>RA-SA6-11-A1</x:v>
      </x:c>
      <x:c r="C67" s="11" t="str">
        <x:v>PTC-B</x:v>
      </x:c>
      <x:c r="D67" s="11" t="str">
        <x:v>A</x:v>
      </x:c>
      <x:c r="E67" s="11" t="n">
        <x:v>1</x:v>
      </x:c>
      <x:c r="F67" s="11" t="str">
        <x:v>national blind authority</x:v>
      </x:c>
      <x:c r="G67" s="11" t="str">
        <x:v>PTC-B evidence authority</x:v>
      </x:c>
      <x:c r="H67" s="11" t="str">
        <x:v>Root A material custodian</x:v>
      </x:c>
      <x:c r="I67" s="11" t="str">
        <x:v>RETAIN SEALED</x:v>
      </x:c>
      <x:c r="J67" s="11" t="str">
        <x:v>seal compromise; overload; unknown exposure; contamination</x:v>
      </x:c>
      <x:c r="K67" s="11" t="n">
        <x:v>6</x:v>
      </x:c>
      <x:c r="L67" s="11" t="n">
        <x:v>3</x:v>
      </x:c>
      <x:c r="M67" s="11" t="n">
        <x:f>K67-L67</x:f>
        <x:v>3</x:v>
      </x:c>
      <x:c r="N67" s="13" t="n">
        <x:v>0</x:v>
      </x:c>
      <x:c r="O67" s="11" t="str">
        <x:f>IF(AND(I67&lt;&gt;"",J67&lt;&gt;"",M67&gt;=0),"PASS","FAIL")</x:f>
        <x:v>PASS</x:v>
      </x:c>
      <x:c r="P67" s="11" t="str">
        <x:f>IF(O67&lt;&gt;"PASS","FAIL",IF(N67=1,"PASS","OPEN"))</x:f>
        <x:v>OPEN</x:v>
      </x:c>
      <x:c r="Q67" s="11" t="str">
        <x:v>excluded from campaign population</x:v>
      </x:c>
    </x:row>
    <x:row r="68">
      <x:c r="B68" s="11" t="str">
        <x:v>RA-SA6-11-A2</x:v>
      </x:c>
      <x:c r="C68" s="11" t="str">
        <x:v>PTC-B</x:v>
      </x:c>
      <x:c r="D68" s="11" t="str">
        <x:v>A</x:v>
      </x:c>
      <x:c r="E68" s="11" t="n">
        <x:v>2</x:v>
      </x:c>
      <x:c r="F68" s="11" t="str">
        <x:v>national blind authority</x:v>
      </x:c>
      <x:c r="G68" s="11" t="str">
        <x:v>PTC-B evidence authority</x:v>
      </x:c>
      <x:c r="H68" s="11" t="str">
        <x:v>Root A material custodian</x:v>
      </x:c>
      <x:c r="I68" s="11" t="str">
        <x:v>DESTRUCT AFTER TRUTH</x:v>
      </x:c>
      <x:c r="J68" s="11" t="str">
        <x:v>seal compromise; overload; unknown exposure; contamination</x:v>
      </x:c>
      <x:c r="K68" s="11" t="n">
        <x:v>4</x:v>
      </x:c>
      <x:c r="L68" s="11" t="n">
        <x:v>1</x:v>
      </x:c>
      <x:c r="M68" s="11" t="n">
        <x:f>K68-L68</x:f>
        <x:v>3</x:v>
      </x:c>
      <x:c r="N68" s="13" t="n">
        <x:v>0</x:v>
      </x:c>
      <x:c r="O68" s="11" t="str">
        <x:f>IF(AND(I68&lt;&gt;"",J68&lt;&gt;"",M68&gt;=0),"PASS","FAIL")</x:f>
        <x:v>PASS</x:v>
      </x:c>
      <x:c r="P68" s="11" t="str">
        <x:f>IF(O68&lt;&gt;"PASS","FAIL",IF(N68=1,"PASS","OPEN"))</x:f>
        <x:v>OPEN</x:v>
      </x:c>
      <x:c r="Q68" s="11" t="str">
        <x:v>excluded from campaign population</x:v>
      </x:c>
    </x:row>
    <x:row r="69">
      <x:c r="B69" s="11" t="str">
        <x:v>RA-SA6-11-A3</x:v>
      </x:c>
      <x:c r="C69" s="11" t="str">
        <x:v>PTC-B</x:v>
      </x:c>
      <x:c r="D69" s="11" t="str">
        <x:v>A</x:v>
      </x:c>
      <x:c r="E69" s="11" t="n">
        <x:v>3</x:v>
      </x:c>
      <x:c r="F69" s="11" t="str">
        <x:v>national blind authority</x:v>
      </x:c>
      <x:c r="G69" s="11" t="str">
        <x:v>PTC-B evidence authority</x:v>
      </x:c>
      <x:c r="H69" s="11" t="str">
        <x:v>Root A material custodian</x:v>
      </x:c>
      <x:c r="I69" s="11" t="str">
        <x:v>QUARANTINE THEN DESTRUCT</x:v>
      </x:c>
      <x:c r="J69" s="11" t="str">
        <x:v>seal compromise; overload; unknown exposure; contamination</x:v>
      </x:c>
      <x:c r="K69" s="11" t="n">
        <x:v>3</x:v>
      </x:c>
      <x:c r="L69" s="11" t="n">
        <x:v>1</x:v>
      </x:c>
      <x:c r="M69" s="11" t="n">
        <x:f>K69-L69</x:f>
        <x:v>2</x:v>
      </x:c>
      <x:c r="N69" s="13" t="n">
        <x:v>0</x:v>
      </x:c>
      <x:c r="O69" s="11" t="str">
        <x:f>IF(AND(I69&lt;&gt;"",J69&lt;&gt;"",M69&gt;=0),"PASS","FAIL")</x:f>
        <x:v>PASS</x:v>
      </x:c>
      <x:c r="P69" s="11" t="str">
        <x:f>IF(O69&lt;&gt;"PASS","FAIL",IF(N69=1,"PASS","OPEN"))</x:f>
        <x:v>OPEN</x:v>
      </x:c>
      <x:c r="Q69" s="11" t="str">
        <x:v>excluded from campaign population</x:v>
      </x:c>
    </x:row>
    <x:row r="70">
      <x:c r="B70" s="11" t="str">
        <x:v>RA-SA6-11-B1</x:v>
      </x:c>
      <x:c r="C70" s="11" t="str">
        <x:v>PTC-B</x:v>
      </x:c>
      <x:c r="D70" s="11" t="str">
        <x:v>B</x:v>
      </x:c>
      <x:c r="E70" s="11" t="n">
        <x:v>1</x:v>
      </x:c>
      <x:c r="F70" s="11" t="str">
        <x:v>national blind authority</x:v>
      </x:c>
      <x:c r="G70" s="11" t="str">
        <x:v>PTC-B evidence authority</x:v>
      </x:c>
      <x:c r="H70" s="11" t="str">
        <x:v>Root B material custodian</x:v>
      </x:c>
      <x:c r="I70" s="11" t="str">
        <x:v>RETAIN SEALED</x:v>
      </x:c>
      <x:c r="J70" s="11" t="str">
        <x:v>seal compromise; overload; unknown exposure; contamination</x:v>
      </x:c>
      <x:c r="K70" s="11" t="n">
        <x:v>6</x:v>
      </x:c>
      <x:c r="L70" s="11" t="n">
        <x:v>1</x:v>
      </x:c>
      <x:c r="M70" s="11" t="n">
        <x:f>K70-L70</x:f>
        <x:v>5</x:v>
      </x:c>
      <x:c r="N70" s="13" t="n">
        <x:v>0</x:v>
      </x:c>
      <x:c r="O70" s="11" t="str">
        <x:f>IF(AND(I70&lt;&gt;"",J70&lt;&gt;"",M70&gt;=0),"PASS","FAIL")</x:f>
        <x:v>PASS</x:v>
      </x:c>
      <x:c r="P70" s="11" t="str">
        <x:f>IF(O70&lt;&gt;"PASS","FAIL",IF(N70=1,"PASS","OPEN"))</x:f>
        <x:v>OPEN</x:v>
      </x:c>
      <x:c r="Q70" s="11" t="str">
        <x:v>excluded from campaign population</x:v>
      </x:c>
    </x:row>
    <x:row r="71">
      <x:c r="B71" s="11" t="str">
        <x:v>RA-SA6-11-B2</x:v>
      </x:c>
      <x:c r="C71" s="11" t="str">
        <x:v>PTC-B</x:v>
      </x:c>
      <x:c r="D71" s="11" t="str">
        <x:v>B</x:v>
      </x:c>
      <x:c r="E71" s="11" t="n">
        <x:v>2</x:v>
      </x:c>
      <x:c r="F71" s="11" t="str">
        <x:v>national blind authority</x:v>
      </x:c>
      <x:c r="G71" s="11" t="str">
        <x:v>PTC-B evidence authority</x:v>
      </x:c>
      <x:c r="H71" s="11" t="str">
        <x:v>Root B material custodian</x:v>
      </x:c>
      <x:c r="I71" s="11" t="str">
        <x:v>DESTRUCT AFTER TRUTH</x:v>
      </x:c>
      <x:c r="J71" s="11" t="str">
        <x:v>seal compromise; overload; unknown exposure; contamination</x:v>
      </x:c>
      <x:c r="K71" s="11" t="n">
        <x:v>4</x:v>
      </x:c>
      <x:c r="L71" s="11" t="n">
        <x:v>2</x:v>
      </x:c>
      <x:c r="M71" s="11" t="n">
        <x:f>K71-L71</x:f>
        <x:v>2</x:v>
      </x:c>
      <x:c r="N71" s="13" t="n">
        <x:v>0</x:v>
      </x:c>
      <x:c r="O71" s="11" t="str">
        <x:f>IF(AND(I71&lt;&gt;"",J71&lt;&gt;"",M71&gt;=0),"PASS","FAIL")</x:f>
        <x:v>PASS</x:v>
      </x:c>
      <x:c r="P71" s="11" t="str">
        <x:f>IF(O71&lt;&gt;"PASS","FAIL",IF(N71=1,"PASS","OPEN"))</x:f>
        <x:v>OPEN</x:v>
      </x:c>
      <x:c r="Q71" s="11" t="str">
        <x:v>excluded from campaign population</x:v>
      </x:c>
    </x:row>
    <x:row r="72">
      <x:c r="B72" s="11" t="str">
        <x:v>RA-SA6-11-B3</x:v>
      </x:c>
      <x:c r="C72" s="11" t="str">
        <x:v>PTC-B</x:v>
      </x:c>
      <x:c r="D72" s="11" t="str">
        <x:v>B</x:v>
      </x:c>
      <x:c r="E72" s="11" t="n">
        <x:v>3</x:v>
      </x:c>
      <x:c r="F72" s="11" t="str">
        <x:v>national blind authority</x:v>
      </x:c>
      <x:c r="G72" s="11" t="str">
        <x:v>PTC-B evidence authority</x:v>
      </x:c>
      <x:c r="H72" s="11" t="str">
        <x:v>Root B material custodian</x:v>
      </x:c>
      <x:c r="I72" s="11" t="str">
        <x:v>QUARANTINE THEN DESTRUCT</x:v>
      </x:c>
      <x:c r="J72" s="11" t="str">
        <x:v>seal compromise; overload; unknown exposure; contamination</x:v>
      </x:c>
      <x:c r="K72" s="11" t="n">
        <x:v>3</x:v>
      </x:c>
      <x:c r="L72" s="11" t="n">
        <x:v>2</x:v>
      </x:c>
      <x:c r="M72" s="11" t="n">
        <x:f>K72-L72</x:f>
        <x:v>1</x:v>
      </x:c>
      <x:c r="N72" s="13" t="n">
        <x:v>0</x:v>
      </x:c>
      <x:c r="O72" s="11" t="str">
        <x:f>IF(AND(I72&lt;&gt;"",J72&lt;&gt;"",M72&gt;=0),"PASS","FAIL")</x:f>
        <x:v>PASS</x:v>
      </x:c>
      <x:c r="P72" s="11" t="str">
        <x:f>IF(O72&lt;&gt;"PASS","FAIL",IF(N72=1,"PASS","OPEN"))</x:f>
        <x:v>OPEN</x:v>
      </x:c>
      <x:c r="Q72" s="11" t="str">
        <x:v>excluded from campaign population</x:v>
      </x:c>
    </x:row>
    <x:row r="73">
      <x:c r="B73" s="11" t="str">
        <x:v>RA-SA6-12-A1</x:v>
      </x:c>
      <x:c r="C73" s="11" t="str">
        <x:v>PTC-C</x:v>
      </x:c>
      <x:c r="D73" s="11" t="str">
        <x:v>A</x:v>
      </x:c>
      <x:c r="E73" s="11" t="n">
        <x:v>1</x:v>
      </x:c>
      <x:c r="F73" s="11" t="str">
        <x:v>national blind authority</x:v>
      </x:c>
      <x:c r="G73" s="11" t="str">
        <x:v>PTC-C evidence authority</x:v>
      </x:c>
      <x:c r="H73" s="11" t="str">
        <x:v>Root A material custodian</x:v>
      </x:c>
      <x:c r="I73" s="11" t="str">
        <x:v>RETAIN SEALED</x:v>
      </x:c>
      <x:c r="J73" s="11" t="str">
        <x:v>seal compromise; overload; unknown exposure; contamination</x:v>
      </x:c>
      <x:c r="K73" s="11" t="n">
        <x:v>6</x:v>
      </x:c>
      <x:c r="L73" s="11" t="n">
        <x:v>1</x:v>
      </x:c>
      <x:c r="M73" s="11" t="n">
        <x:f>K73-L73</x:f>
        <x:v>5</x:v>
      </x:c>
      <x:c r="N73" s="13" t="n">
        <x:v>0</x:v>
      </x:c>
      <x:c r="O73" s="11" t="str">
        <x:f>IF(AND(I73&lt;&gt;"",J73&lt;&gt;"",M73&gt;=0),"PASS","FAIL")</x:f>
        <x:v>PASS</x:v>
      </x:c>
      <x:c r="P73" s="11" t="str">
        <x:f>IF(O73&lt;&gt;"PASS","FAIL",IF(N73=1,"PASS","OPEN"))</x:f>
        <x:v>OPEN</x:v>
      </x:c>
      <x:c r="Q73" s="11" t="str">
        <x:v>excluded from campaign population</x:v>
      </x:c>
    </x:row>
    <x:row r="74">
      <x:c r="B74" s="11" t="str">
        <x:v>RA-SA6-12-A2</x:v>
      </x:c>
      <x:c r="C74" s="11" t="str">
        <x:v>PTC-C</x:v>
      </x:c>
      <x:c r="D74" s="11" t="str">
        <x:v>A</x:v>
      </x:c>
      <x:c r="E74" s="11" t="n">
        <x:v>2</x:v>
      </x:c>
      <x:c r="F74" s="11" t="str">
        <x:v>national blind authority</x:v>
      </x:c>
      <x:c r="G74" s="11" t="str">
        <x:v>PTC-C evidence authority</x:v>
      </x:c>
      <x:c r="H74" s="11" t="str">
        <x:v>Root A material custodian</x:v>
      </x:c>
      <x:c r="I74" s="11" t="str">
        <x:v>DESTRUCT AFTER TRUTH</x:v>
      </x:c>
      <x:c r="J74" s="11" t="str">
        <x:v>seal compromise; overload; unknown exposure; contamination</x:v>
      </x:c>
      <x:c r="K74" s="11" t="n">
        <x:v>4</x:v>
      </x:c>
      <x:c r="L74" s="11" t="n">
        <x:v>2</x:v>
      </x:c>
      <x:c r="M74" s="11" t="n">
        <x:f>K74-L74</x:f>
        <x:v>2</x:v>
      </x:c>
      <x:c r="N74" s="13" t="n">
        <x:v>0</x:v>
      </x:c>
      <x:c r="O74" s="11" t="str">
        <x:f>IF(AND(I74&lt;&gt;"",J74&lt;&gt;"",M74&gt;=0),"PASS","FAIL")</x:f>
        <x:v>PASS</x:v>
      </x:c>
      <x:c r="P74" s="11" t="str">
        <x:f>IF(O74&lt;&gt;"PASS","FAIL",IF(N74=1,"PASS","OPEN"))</x:f>
        <x:v>OPEN</x:v>
      </x:c>
      <x:c r="Q74" s="11" t="str">
        <x:v>excluded from campaign population</x:v>
      </x:c>
    </x:row>
    <x:row r="75">
      <x:c r="B75" s="11" t="str">
        <x:v>RA-SA6-12-A3</x:v>
      </x:c>
      <x:c r="C75" s="11" t="str">
        <x:v>PTC-C</x:v>
      </x:c>
      <x:c r="D75" s="11" t="str">
        <x:v>A</x:v>
      </x:c>
      <x:c r="E75" s="11" t="n">
        <x:v>3</x:v>
      </x:c>
      <x:c r="F75" s="11" t="str">
        <x:v>national blind authority</x:v>
      </x:c>
      <x:c r="G75" s="11" t="str">
        <x:v>PTC-C evidence authority</x:v>
      </x:c>
      <x:c r="H75" s="11" t="str">
        <x:v>Root A material custodian</x:v>
      </x:c>
      <x:c r="I75" s="11" t="str">
        <x:v>QUARANTINE THEN DESTRUCT</x:v>
      </x:c>
      <x:c r="J75" s="11" t="str">
        <x:v>seal compromise; overload; unknown exposure; contamination</x:v>
      </x:c>
      <x:c r="K75" s="11" t="n">
        <x:v>3</x:v>
      </x:c>
      <x:c r="L75" s="11" t="n">
        <x:v>2</x:v>
      </x:c>
      <x:c r="M75" s="11" t="n">
        <x:f>K75-L75</x:f>
        <x:v>1</x:v>
      </x:c>
      <x:c r="N75" s="13" t="n">
        <x:v>0</x:v>
      </x:c>
      <x:c r="O75" s="11" t="str">
        <x:f>IF(AND(I75&lt;&gt;"",J75&lt;&gt;"",M75&gt;=0),"PASS","FAIL")</x:f>
        <x:v>PASS</x:v>
      </x:c>
      <x:c r="P75" s="11" t="str">
        <x:f>IF(O75&lt;&gt;"PASS","FAIL",IF(N75=1,"PASS","OPEN"))</x:f>
        <x:v>OPEN</x:v>
      </x:c>
      <x:c r="Q75" s="11" t="str">
        <x:v>excluded from campaign population</x:v>
      </x:c>
    </x:row>
    <x:row r="76">
      <x:c r="B76" s="11" t="str">
        <x:v>RA-SA6-12-B1</x:v>
      </x:c>
      <x:c r="C76" s="11" t="str">
        <x:v>PTC-C</x:v>
      </x:c>
      <x:c r="D76" s="11" t="str">
        <x:v>B</x:v>
      </x:c>
      <x:c r="E76" s="11" t="n">
        <x:v>1</x:v>
      </x:c>
      <x:c r="F76" s="11" t="str">
        <x:v>national blind authority</x:v>
      </x:c>
      <x:c r="G76" s="11" t="str">
        <x:v>PTC-C evidence authority</x:v>
      </x:c>
      <x:c r="H76" s="11" t="str">
        <x:v>Root B material custodian</x:v>
      </x:c>
      <x:c r="I76" s="11" t="str">
        <x:v>RETAIN SEALED</x:v>
      </x:c>
      <x:c r="J76" s="11" t="str">
        <x:v>seal compromise; overload; unknown exposure; contamination</x:v>
      </x:c>
      <x:c r="K76" s="11" t="n">
        <x:v>6</x:v>
      </x:c>
      <x:c r="L76" s="11" t="n">
        <x:v>3</x:v>
      </x:c>
      <x:c r="M76" s="11" t="n">
        <x:f>K76-L76</x:f>
        <x:v>3</x:v>
      </x:c>
      <x:c r="N76" s="13" t="n">
        <x:v>0</x:v>
      </x:c>
      <x:c r="O76" s="11" t="str">
        <x:f>IF(AND(I76&lt;&gt;"",J76&lt;&gt;"",M76&gt;=0),"PASS","FAIL")</x:f>
        <x:v>PASS</x:v>
      </x:c>
      <x:c r="P76" s="11" t="str">
        <x:f>IF(O76&lt;&gt;"PASS","FAIL",IF(N76=1,"PASS","OPEN"))</x:f>
        <x:v>OPEN</x:v>
      </x:c>
      <x:c r="Q76" s="11" t="str">
        <x:v>excluded from campaign population</x:v>
      </x:c>
    </x:row>
    <x:row r="77">
      <x:c r="B77" s="11" t="str">
        <x:v>RA-SA6-12-B2</x:v>
      </x:c>
      <x:c r="C77" s="11" t="str">
        <x:v>PTC-C</x:v>
      </x:c>
      <x:c r="D77" s="11" t="str">
        <x:v>B</x:v>
      </x:c>
      <x:c r="E77" s="11" t="n">
        <x:v>2</x:v>
      </x:c>
      <x:c r="F77" s="11" t="str">
        <x:v>national blind authority</x:v>
      </x:c>
      <x:c r="G77" s="11" t="str">
        <x:v>PTC-C evidence authority</x:v>
      </x:c>
      <x:c r="H77" s="11" t="str">
        <x:v>Root B material custodian</x:v>
      </x:c>
      <x:c r="I77" s="11" t="str">
        <x:v>DESTRUCT AFTER TRUTH</x:v>
      </x:c>
      <x:c r="J77" s="11" t="str">
        <x:v>seal compromise; overload; unknown exposure; contamination</x:v>
      </x:c>
      <x:c r="K77" s="11" t="n">
        <x:v>4</x:v>
      </x:c>
      <x:c r="L77" s="11" t="n">
        <x:v>1</x:v>
      </x:c>
      <x:c r="M77" s="11" t="n">
        <x:f>K77-L77</x:f>
        <x:v>3</x:v>
      </x:c>
      <x:c r="N77" s="13" t="n">
        <x:v>0</x:v>
      </x:c>
      <x:c r="O77" s="11" t="str">
        <x:f>IF(AND(I77&lt;&gt;"",J77&lt;&gt;"",M77&gt;=0),"PASS","FAIL")</x:f>
        <x:v>PASS</x:v>
      </x:c>
      <x:c r="P77" s="11" t="str">
        <x:f>IF(O77&lt;&gt;"PASS","FAIL",IF(N77=1,"PASS","OPEN"))</x:f>
        <x:v>OPEN</x:v>
      </x:c>
      <x:c r="Q77" s="11" t="str">
        <x:v>excluded from campaign population</x:v>
      </x:c>
    </x:row>
    <x:row r="78">
      <x:c r="B78" s="11" t="str">
        <x:v>RA-SA6-12-B3</x:v>
      </x:c>
      <x:c r="C78" s="11" t="str">
        <x:v>PTC-C</x:v>
      </x:c>
      <x:c r="D78" s="11" t="str">
        <x:v>B</x:v>
      </x:c>
      <x:c r="E78" s="11" t="n">
        <x:v>3</x:v>
      </x:c>
      <x:c r="F78" s="11" t="str">
        <x:v>national blind authority</x:v>
      </x:c>
      <x:c r="G78" s="11" t="str">
        <x:v>PTC-C evidence authority</x:v>
      </x:c>
      <x:c r="H78" s="11" t="str">
        <x:v>Root B material custodian</x:v>
      </x:c>
      <x:c r="I78" s="11" t="str">
        <x:v>QUARANTINE THEN DESTRUCT</x:v>
      </x:c>
      <x:c r="J78" s="11" t="str">
        <x:v>seal compromise; overload; unknown exposure; contamination</x:v>
      </x:c>
      <x:c r="K78" s="11" t="n">
        <x:v>3</x:v>
      </x:c>
      <x:c r="L78" s="11" t="n">
        <x:v>1</x:v>
      </x:c>
      <x:c r="M78" s="11" t="n">
        <x:f>K78-L78</x:f>
        <x:v>2</x:v>
      </x:c>
      <x:c r="N78" s="13" t="n">
        <x:v>0</x:v>
      </x:c>
      <x:c r="O78" s="11" t="str">
        <x:f>IF(AND(I78&lt;&gt;"",J78&lt;&gt;"",M78&gt;=0),"PASS","FAIL")</x:f>
        <x:v>PASS</x:v>
      </x:c>
      <x:c r="P78" s="11" t="str">
        <x:f>IF(O78&lt;&gt;"PASS","FAIL",IF(N78=1,"PASS","OPEN"))</x:f>
        <x:v>OPEN</x:v>
      </x:c>
      <x:c r="Q78" s="11" t="str">
        <x:v>excluded from campaign population</x:v>
      </x:c>
    </x:row>
    <x:row r="79"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</x:row>
    <x:row r="80"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</x:row>
    <x:row r="81">
      <x:c r="B81" s="23" t="str">
        <x:v>Campus custody and destructive package planning gates</x:v>
      </x:c>
      <x:c r="C81" s="23" t="str">
        <x:v>Campus custody and destructive package planning gates</x:v>
      </x:c>
      <x:c r="D81" s="23" t="str">
        <x:v>Campus custody and destructive package planning gates</x:v>
      </x:c>
      <x:c r="E81" s="23" t="str">
        <x:v>Campus custody and destructive package planning gates</x:v>
      </x:c>
      <x:c r="F81" s="23" t="str">
        <x:v>Campus custody and destructive package planning gates</x:v>
      </x:c>
      <x:c r="G81" s="23" t="str">
        <x:v>Campus custody and destructive package planning gates</x:v>
      </x:c>
      <x:c r="H81" s="23" t="str">
        <x:v>Campus custody and destructive package planning gates</x:v>
      </x:c>
      <x:c r="I81" s="23" t="str">
        <x:v>Campus custody and destructive package planning gates</x:v>
      </x:c>
      <x:c r="J81" s="23" t="str">
        <x:v>Campus custody and destructive package planning gates</x:v>
      </x:c>
      <x:c r="K81" s="23" t="str">
        <x:v>Campus custody and destructive package planning gates</x:v>
      </x:c>
      <x:c r="L81" s="23" t="str">
        <x:v>Campus custody and destructive package planning gates</x:v>
      </x:c>
      <x:c r="M81" s="23" t="str">
        <x:v>Campus custody and destructive package planning gates</x:v>
      </x:c>
      <x:c r="N81" s="23" t="str">
        <x:v>Campus custody and destructive package planning gates</x:v>
      </x:c>
      <x:c r="O81" s="23" t="str">
        <x:v>Campus custody and destructive package planning gates</x:v>
      </x:c>
      <x:c r="P81" s="23" t="str">
        <x:v>Campus custody and destructive package planning gates</x:v>
      </x:c>
      <x:c r="Q81" s="23" t="str">
        <x:v>Campus custody and destructive package planning gates</x:v>
      </x:c>
    </x:row>
    <x:row r="82">
      <x:c r="B82" s="9" t="str">
        <x:v>Site</x:v>
      </x:c>
      <x:c r="C82" s="9" t="str">
        <x:v>Registered bodies</x:v>
      </x:c>
      <x:c r="D82" s="9" t="str">
        <x:v>Required bodies</x:v>
      </x:c>
      <x:c r="E82" s="9" t="str">
        <x:v>Disposition plans</x:v>
      </x:c>
      <x:c r="F82" s="9" t="str">
        <x:v>Planning state</x:v>
      </x:c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</x:row>
    <x:row r="83">
      <x:c r="B83" s="11" t="str">
        <x:v>PTC-A</x:v>
      </x:c>
      <x:c r="C83" s="11" t="n">
        <x:f>COUNTIFS(C$7:C$78,B83)</x:f>
        <x:v>24</x:v>
      </x:c>
      <x:c r="D83" s="11" t="n">
        <x:v>24</x:v>
      </x:c>
      <x:c r="E83" s="11" t="n">
        <x:f>COUNTIFS(C$7:C$78,B83,O$7:O$78,"PASS")</x:f>
        <x:v>24</x:v>
      </x:c>
      <x:c r="F83" s="11" t="str">
        <x:f>IF(AND(C83=D83,E83=D83),"PASS","FAIL")</x:f>
        <x:v>PASS</x:v>
      </x:c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</x:row>
    <x:row r="84">
      <x:c r="B84" s="11" t="str">
        <x:v>PTC-B</x:v>
      </x:c>
      <x:c r="C84" s="11" t="n">
        <x:f>COUNTIFS(C$7:C$78,B84)</x:f>
        <x:v>24</x:v>
      </x:c>
      <x:c r="D84" s="11" t="n">
        <x:v>24</x:v>
      </x:c>
      <x:c r="E84" s="11" t="n">
        <x:f>COUNTIFS(C$7:C$78,B84,O$7:O$78,"PASS")</x:f>
        <x:v>24</x:v>
      </x:c>
      <x:c r="F84" s="11" t="str">
        <x:f>IF(AND(C84=D84,E84=D84),"PASS","FAIL")</x:f>
        <x:v>PASS</x:v>
      </x:c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</x:row>
    <x:row r="85">
      <x:c r="B85" s="12" t="str">
        <x:v>PTC-C</x:v>
      </x:c>
      <x:c r="C85" s="12" t="n">
        <x:f>COUNTIFS(C$7:C$78,B85)</x:f>
        <x:v>24</x:v>
      </x:c>
      <x:c r="D85" s="12" t="n">
        <x:v>24</x:v>
      </x:c>
      <x:c r="E85" s="12" t="n">
        <x:f>COUNTIFS(C$7:C$78,B85,O$7:O$78,"PASS")</x:f>
        <x:v>24</x:v>
      </x:c>
      <x:c r="F85" s="12" t="str">
        <x:f>IF(AND(C85=D85,E85=D85),"PASS","FAIL")</x:f>
        <x:v>PASS</x:v>
      </x:c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</x:row>
  </x:sheetData>
  <x:mergeCells>
    <x:mergeCell ref="B2:Q2"/>
    <x:mergeCell ref="B3:Q3"/>
    <x:mergeCell ref="B81:Q81"/>
  </x:mergeCells>
  <x:conditionalFormatting sqref="O7:P78">
    <x:cfRule type="containsText" dxfId="210" priority="1" operator="containsText" text="PASS"/>
    <x:cfRule type="containsText" dxfId="211" priority="2" operator="containsText" text="AUTHORIZED"/>
    <x:cfRule type="containsText" dxfId="212" priority="3" operator="containsText" text="DEFINED"/>
    <x:cfRule type="containsText" dxfId="213" priority="4" operator="containsText" text="READY"/>
    <x:cfRule type="containsText" dxfId="214" priority="5" operator="containsText" text="HOLD"/>
    <x:cfRule type="containsText" dxfId="215" priority="6" operator="containsText" text="OPEN"/>
    <x:cfRule type="containsText" dxfId="216" priority="7" operator="containsText" text="BLOCKED"/>
    <x:cfRule type="containsText" dxfId="217" priority="8" operator="containsText" text="PLANNING"/>
    <x:cfRule type="containsText" dxfId="218" priority="9" operator="containsText" text="QUARANTINE"/>
    <x:cfRule type="containsText" dxfId="219" priority="10" operator="containsText" text="INDETERMINATE"/>
    <x:cfRule type="containsText" dxfId="220" priority="11" operator="containsText" text="FAIL"/>
    <x:cfRule type="containsText" dxfId="221" priority="12" operator="containsText" text="REJECT"/>
    <x:cfRule type="containsText" dxfId="222" priority="13" operator="containsText" text="INVALID"/>
    <x:cfRule type="containsText" dxfId="223" priority="14" operator="containsText" text="STOP"/>
  </x:conditionalFormatting>
  <x:conditionalFormatting sqref="F83:F85">
    <x:cfRule type="containsText" dxfId="224" priority="15" operator="containsText" text="PASS"/>
    <x:cfRule type="containsText" dxfId="225" priority="16" operator="containsText" text="AUTHORIZED"/>
    <x:cfRule type="containsText" dxfId="226" priority="17" operator="containsText" text="DEFINED"/>
    <x:cfRule type="containsText" dxfId="227" priority="18" operator="containsText" text="READY"/>
    <x:cfRule type="containsText" dxfId="228" priority="19" operator="containsText" text="HOLD"/>
    <x:cfRule type="containsText" dxfId="229" priority="20" operator="containsText" text="OPEN"/>
    <x:cfRule type="containsText" dxfId="230" priority="21" operator="containsText" text="BLOCKED"/>
    <x:cfRule type="containsText" dxfId="231" priority="22" operator="containsText" text="PLANNING"/>
    <x:cfRule type="containsText" dxfId="232" priority="23" operator="containsText" text="QUARANTINE"/>
    <x:cfRule type="containsText" dxfId="233" priority="24" operator="containsText" text="INDETERMINATE"/>
    <x:cfRule type="containsText" dxfId="234" priority="25" operator="containsText" text="FAIL"/>
    <x:cfRule type="containsText" dxfId="235" priority="26" operator="containsText" text="REJECT"/>
    <x:cfRule type="containsText" dxfId="236" priority="27" operator="containsText" text="INVALID"/>
    <x:cfRule type="containsText" dxfId="237" priority="28" operator="containsText" text="STOP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33" hidden="0" customWidth="1"/>
    <x:col min="4" max="4" width="16" hidden="0" customWidth="1"/>
    <x:col min="5" max="5" width="14" hidden="0" customWidth="1"/>
    <x:col min="6" max="6" width="22" hidden="0" customWidth="1"/>
    <x:col min="7" max="7" width="16" hidden="0" customWidth="1"/>
    <x:col min="8" max="8" width="21" hidden="0" customWidth="1"/>
    <x:col min="9" max="9" width="16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2">
      <x:c r="B2" s="37" t="str">
        <x:v>Thirty-six physical acceptance-source packets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B3" s="39" t="str">
        <x:v>A gate closes only with the complete native packet, two authority signatures and two independently retained source hashes.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  <x:row r="6">
      <x:c r="B6" s="9" t="str">
        <x:v>Gate ID</x:v>
      </x:c>
      <x:c r="C6" s="9" t="str">
        <x:v>Class</x:v>
      </x:c>
      <x:c r="D6" s="9" t="str">
        <x:v>Object</x:v>
      </x:c>
      <x:c r="E6" s="9" t="str">
        <x:v>Scope</x:v>
      </x:c>
      <x:c r="F6" s="9" t="str">
        <x:v>Required packet items</x:v>
      </x:c>
      <x:c r="G6" s="9" t="str">
        <x:v>Received items</x:v>
      </x:c>
      <x:c r="H6" s="9" t="str">
        <x:v>Authority signatures</x:v>
      </x:c>
      <x:c r="I6" s="9" t="str">
        <x:v>Source hashes</x:v>
      </x:c>
      <x:c r="J6" s="9" t="str">
        <x:v>Disposition</x:v>
      </x:c>
      <x:c r="K6" s="9" t="str">
        <x:v>Source state</x:v>
      </x:c>
      <x:c r="L6" s="9" t="str">
        <x:v>Missing action</x:v>
      </x:c>
    </x:row>
    <x:row r="7">
      <x:c r="B7" s="11" t="str">
        <x:v>AS-SITE-PTC-A</x:v>
      </x:c>
      <x:c r="C7" s="11" t="str">
        <x:v>constructed site</x:v>
      </x:c>
      <x:c r="D7" s="11" t="str">
        <x:v>PTC-A</x:v>
      </x:c>
      <x:c r="E7" s="11" t="str">
        <x:v>PTC-A</x:v>
      </x:c>
      <x:c r="F7" s="11" t="n">
        <x:v>9</x:v>
      </x:c>
      <x:c r="G7" s="13" t="n">
        <x:v>0</x:v>
      </x:c>
      <x:c r="H7" s="13" t="n">
        <x:v>0</x:v>
      </x:c>
      <x:c r="I7" s="13" t="n">
        <x:v>0</x:v>
      </x:c>
      <x:c r="J7" s="13" t="str"/>
      <x:c r="K7" s="11" t="str">
        <x:f>IF(AND(G7=F7,H7&gt;='Controls'!$D$34,I7&gt;='Controls'!$D$35,J7="ACCEPTED"),"PASS",IF(AND(G7=0,H7=0,I7=0,J7=""),"OPEN","FAIL"))</x:f>
        <x:v>OPEN</x:v>
      </x:c>
      <x:c r="L7" s="11" t="str">
        <x:f>IF(K7="PASS","none",IF(K7="OPEN","produce complete physical source packet","repair incomplete or inconsistent packet"))</x:f>
        <x:v>produce complete physical source packet</x:v>
      </x:c>
    </x:row>
    <x:row r="8">
      <x:c r="B8" s="11" t="str">
        <x:v>AS-SITE-PTC-B</x:v>
      </x:c>
      <x:c r="C8" s="11" t="str">
        <x:v>constructed site</x:v>
      </x:c>
      <x:c r="D8" s="11" t="str">
        <x:v>PTC-B</x:v>
      </x:c>
      <x:c r="E8" s="11" t="str">
        <x:v>PTC-B</x:v>
      </x:c>
      <x:c r="F8" s="11" t="n">
        <x:v>9</x:v>
      </x:c>
      <x:c r="G8" s="13" t="n">
        <x:v>0</x:v>
      </x:c>
      <x:c r="H8" s="13" t="n">
        <x:v>0</x:v>
      </x:c>
      <x:c r="I8" s="13" t="n">
        <x:v>0</x:v>
      </x:c>
      <x:c r="J8" s="13" t="str"/>
      <x:c r="K8" s="11" t="str">
        <x:f>IF(AND(G8=F8,H8&gt;='Controls'!$D$34,I8&gt;='Controls'!$D$35,J8="ACCEPTED"),"PASS",IF(AND(G8=0,H8=0,I8=0,J8=""),"OPEN","FAIL"))</x:f>
        <x:v>OPEN</x:v>
      </x:c>
      <x:c r="L8" s="11" t="str">
        <x:f>IF(K8="PASS","none",IF(K8="OPEN","produce complete physical source packet","repair incomplete or inconsistent packet"))</x:f>
        <x:v>produce complete physical source packet</x:v>
      </x:c>
    </x:row>
    <x:row r="9">
      <x:c r="B9" s="11" t="str">
        <x:v>AS-SITE-PTC-C</x:v>
      </x:c>
      <x:c r="C9" s="11" t="str">
        <x:v>constructed site</x:v>
      </x:c>
      <x:c r="D9" s="11" t="str">
        <x:v>PTC-C</x:v>
      </x:c>
      <x:c r="E9" s="11" t="str">
        <x:v>PTC-C</x:v>
      </x:c>
      <x:c r="F9" s="11" t="n">
        <x:v>9</x:v>
      </x:c>
      <x:c r="G9" s="13" t="n">
        <x:v>0</x:v>
      </x:c>
      <x:c r="H9" s="13" t="n">
        <x:v>0</x:v>
      </x:c>
      <x:c r="I9" s="13" t="n">
        <x:v>0</x:v>
      </x:c>
      <x:c r="J9" s="13" t="str"/>
      <x:c r="K9" s="11" t="str">
        <x:f>IF(AND(G9=F9,H9&gt;='Controls'!$D$34,I9&gt;='Controls'!$D$35,J9="ACCEPTED"),"PASS",IF(AND(G9=0,H9=0,I9=0,J9=""),"OPEN","FAIL"))</x:f>
        <x:v>OPEN</x:v>
      </x:c>
      <x:c r="L9" s="11" t="str">
        <x:f>IF(K9="PASS","none",IF(K9="OPEN","produce complete physical source packet","repair incomplete or inconsistent packet"))</x:f>
        <x:v>produce complete physical source packet</x:v>
      </x:c>
    </x:row>
    <x:row r="10">
      <x:c r="B10" s="11" t="str">
        <x:v>AS-LANE-LN-01</x:v>
      </x:c>
      <x:c r="C10" s="11" t="str">
        <x:v>commissioned lane</x:v>
      </x:c>
      <x:c r="D10" s="11" t="str">
        <x:v>LN-01</x:v>
      </x:c>
      <x:c r="E10" s="11" t="str">
        <x:v>PTC-A</x:v>
      </x:c>
      <x:c r="F10" s="11" t="n">
        <x:v>10</x:v>
      </x:c>
      <x:c r="G10" s="13" t="n">
        <x:v>0</x:v>
      </x:c>
      <x:c r="H10" s="13" t="n">
        <x:v>0</x:v>
      </x:c>
      <x:c r="I10" s="13" t="n">
        <x:v>0</x:v>
      </x:c>
      <x:c r="J10" s="13" t="str"/>
      <x:c r="K10" s="11" t="str">
        <x:f>IF(AND(G10=F10,H10&gt;='Controls'!$D$34,I10&gt;='Controls'!$D$35,J10="ACCEPTED"),"PASS",IF(AND(G10=0,H10=0,I10=0,J10=""),"OPEN","FAIL"))</x:f>
        <x:v>OPEN</x:v>
      </x:c>
      <x:c r="L10" s="11" t="str">
        <x:f>IF(K10="PASS","none",IF(K10="OPEN","produce complete physical source packet","repair incomplete or inconsistent packet"))</x:f>
        <x:v>produce complete physical source packet</x:v>
      </x:c>
    </x:row>
    <x:row r="11">
      <x:c r="B11" s="11" t="str">
        <x:v>AS-LANE-LN-02</x:v>
      </x:c>
      <x:c r="C11" s="11" t="str">
        <x:v>commissioned lane</x:v>
      </x:c>
      <x:c r="D11" s="11" t="str">
        <x:v>LN-02</x:v>
      </x:c>
      <x:c r="E11" s="11" t="str">
        <x:v>PTC-B</x:v>
      </x:c>
      <x:c r="F11" s="11" t="n">
        <x:v>10</x:v>
      </x:c>
      <x:c r="G11" s="13" t="n">
        <x:v>0</x:v>
      </x:c>
      <x:c r="H11" s="13" t="n">
        <x:v>0</x:v>
      </x:c>
      <x:c r="I11" s="13" t="n">
        <x:v>0</x:v>
      </x:c>
      <x:c r="J11" s="13" t="str"/>
      <x:c r="K11" s="11" t="str">
        <x:f>IF(AND(G11=F11,H11&gt;='Controls'!$D$34,I11&gt;='Controls'!$D$35,J11="ACCEPTED"),"PASS",IF(AND(G11=0,H11=0,I11=0,J11=""),"OPEN","FAIL"))</x:f>
        <x:v>OPEN</x:v>
      </x:c>
      <x:c r="L11" s="11" t="str">
        <x:f>IF(K11="PASS","none",IF(K11="OPEN","produce complete physical source packet","repair incomplete or inconsistent packet"))</x:f>
        <x:v>produce complete physical source packet</x:v>
      </x:c>
    </x:row>
    <x:row r="12">
      <x:c r="B12" s="11" t="str">
        <x:v>AS-LANE-LN-03</x:v>
      </x:c>
      <x:c r="C12" s="11" t="str">
        <x:v>commissioned lane</x:v>
      </x:c>
      <x:c r="D12" s="11" t="str">
        <x:v>LN-03</x:v>
      </x:c>
      <x:c r="E12" s="11" t="str">
        <x:v>PTC-A</x:v>
      </x:c>
      <x:c r="F12" s="11" t="n">
        <x:v>10</x:v>
      </x:c>
      <x:c r="G12" s="13" t="n">
        <x:v>0</x:v>
      </x:c>
      <x:c r="H12" s="13" t="n">
        <x:v>0</x:v>
      </x:c>
      <x:c r="I12" s="13" t="n">
        <x:v>0</x:v>
      </x:c>
      <x:c r="J12" s="13" t="str"/>
      <x:c r="K12" s="11" t="str">
        <x:f>IF(AND(G12=F12,H12&gt;='Controls'!$D$34,I12&gt;='Controls'!$D$35,J12="ACCEPTED"),"PASS",IF(AND(G12=0,H12=0,I12=0,J12=""),"OPEN","FAIL"))</x:f>
        <x:v>OPEN</x:v>
      </x:c>
      <x:c r="L12" s="11" t="str">
        <x:f>IF(K12="PASS","none",IF(K12="OPEN","produce complete physical source packet","repair incomplete or inconsistent packet"))</x:f>
        <x:v>produce complete physical source packet</x:v>
      </x:c>
    </x:row>
    <x:row r="13">
      <x:c r="B13" s="11" t="str">
        <x:v>AS-LANE-LN-04</x:v>
      </x:c>
      <x:c r="C13" s="11" t="str">
        <x:v>commissioned lane</x:v>
      </x:c>
      <x:c r="D13" s="11" t="str">
        <x:v>LN-04</x:v>
      </x:c>
      <x:c r="E13" s="11" t="str">
        <x:v>PTC-C</x:v>
      </x:c>
      <x:c r="F13" s="11" t="n">
        <x:v>10</x:v>
      </x:c>
      <x:c r="G13" s="13" t="n">
        <x:v>0</x:v>
      </x:c>
      <x:c r="H13" s="13" t="n">
        <x:v>0</x:v>
      </x:c>
      <x:c r="I13" s="13" t="n">
        <x:v>0</x:v>
      </x:c>
      <x:c r="J13" s="13" t="str"/>
      <x:c r="K13" s="11" t="str">
        <x:f>IF(AND(G13=F13,H13&gt;='Controls'!$D$34,I13&gt;='Controls'!$D$35,J13="ACCEPTED"),"PASS",IF(AND(G13=0,H13=0,I13=0,J13=""),"OPEN","FAIL"))</x:f>
        <x:v>OPEN</x:v>
      </x:c>
      <x:c r="L13" s="11" t="str">
        <x:f>IF(K13="PASS","none",IF(K13="OPEN","produce complete physical source packet","repair incomplete or inconsistent packet"))</x:f>
        <x:v>produce complete physical source packet</x:v>
      </x:c>
    </x:row>
    <x:row r="14">
      <x:c r="B14" s="11" t="str">
        <x:v>AS-LANE-LN-05</x:v>
      </x:c>
      <x:c r="C14" s="11" t="str">
        <x:v>commissioned lane</x:v>
      </x:c>
      <x:c r="D14" s="11" t="str">
        <x:v>LN-05</x:v>
      </x:c>
      <x:c r="E14" s="11" t="str">
        <x:v>PTC-A</x:v>
      </x:c>
      <x:c r="F14" s="11" t="n">
        <x:v>10</x:v>
      </x:c>
      <x:c r="G14" s="13" t="n">
        <x:v>0</x:v>
      </x:c>
      <x:c r="H14" s="13" t="n">
        <x:v>0</x:v>
      </x:c>
      <x:c r="I14" s="13" t="n">
        <x:v>0</x:v>
      </x:c>
      <x:c r="J14" s="13" t="str"/>
      <x:c r="K14" s="11" t="str">
        <x:f>IF(AND(G14=F14,H14&gt;='Controls'!$D$34,I14&gt;='Controls'!$D$35,J14="ACCEPTED"),"PASS",IF(AND(G14=0,H14=0,I14=0,J14=""),"OPEN","FAIL"))</x:f>
        <x:v>OPEN</x:v>
      </x:c>
      <x:c r="L14" s="11" t="str">
        <x:f>IF(K14="PASS","none",IF(K14="OPEN","produce complete physical source packet","repair incomplete or inconsistent packet"))</x:f>
        <x:v>produce complete physical source packet</x:v>
      </x:c>
    </x:row>
    <x:row r="15">
      <x:c r="B15" s="11" t="str">
        <x:v>AS-LANE-LN-06</x:v>
      </x:c>
      <x:c r="C15" s="11" t="str">
        <x:v>commissioned lane</x:v>
      </x:c>
      <x:c r="D15" s="11" t="str">
        <x:v>LN-06</x:v>
      </x:c>
      <x:c r="E15" s="11" t="str">
        <x:v>PTC-C</x:v>
      </x:c>
      <x:c r="F15" s="11" t="n">
        <x:v>10</x:v>
      </x:c>
      <x:c r="G15" s="13" t="n">
        <x:v>0</x:v>
      </x:c>
      <x:c r="H15" s="13" t="n">
        <x:v>0</x:v>
      </x:c>
      <x:c r="I15" s="13" t="n">
        <x:v>0</x:v>
      </x:c>
      <x:c r="J15" s="13" t="str"/>
      <x:c r="K15" s="11" t="str">
        <x:f>IF(AND(G15=F15,H15&gt;='Controls'!$D$34,I15&gt;='Controls'!$D$35,J15="ACCEPTED"),"PASS",IF(AND(G15=0,H15=0,I15=0,J15=""),"OPEN","FAIL"))</x:f>
        <x:v>OPEN</x:v>
      </x:c>
      <x:c r="L15" s="11" t="str">
        <x:f>IF(K15="PASS","none",IF(K15="OPEN","produce complete physical source packet","repair incomplete or inconsistent packet"))</x:f>
        <x:v>produce complete physical source packet</x:v>
      </x:c>
    </x:row>
    <x:row r="16">
      <x:c r="B16" s="11" t="str">
        <x:v>AS-LANE-LN-07</x:v>
      </x:c>
      <x:c r="C16" s="11" t="str">
        <x:v>commissioned lane</x:v>
      </x:c>
      <x:c r="D16" s="11" t="str">
        <x:v>LN-07</x:v>
      </x:c>
      <x:c r="E16" s="11" t="str">
        <x:v>PTC-B</x:v>
      </x:c>
      <x:c r="F16" s="11" t="n">
        <x:v>10</x:v>
      </x:c>
      <x:c r="G16" s="13" t="n">
        <x:v>0</x:v>
      </x:c>
      <x:c r="H16" s="13" t="n">
        <x:v>0</x:v>
      </x:c>
      <x:c r="I16" s="13" t="n">
        <x:v>0</x:v>
      </x:c>
      <x:c r="J16" s="13" t="str"/>
      <x:c r="K16" s="11" t="str">
        <x:f>IF(AND(G16=F16,H16&gt;='Controls'!$D$34,I16&gt;='Controls'!$D$35,J16="ACCEPTED"),"PASS",IF(AND(G16=0,H16=0,I16=0,J16=""),"OPEN","FAIL"))</x:f>
        <x:v>OPEN</x:v>
      </x:c>
      <x:c r="L16" s="11" t="str">
        <x:f>IF(K16="PASS","none",IF(K16="OPEN","produce complete physical source packet","repair incomplete or inconsistent packet"))</x:f>
        <x:v>produce complete physical source packet</x:v>
      </x:c>
    </x:row>
    <x:row r="17">
      <x:c r="B17" s="11" t="str">
        <x:v>AS-LANE-LN-08</x:v>
      </x:c>
      <x:c r="C17" s="11" t="str">
        <x:v>commissioned lane</x:v>
      </x:c>
      <x:c r="D17" s="11" t="str">
        <x:v>LN-08</x:v>
      </x:c>
      <x:c r="E17" s="11" t="str">
        <x:v>PTC-C</x:v>
      </x:c>
      <x:c r="F17" s="11" t="n">
        <x:v>10</x:v>
      </x:c>
      <x:c r="G17" s="13" t="n">
        <x:v>0</x:v>
      </x:c>
      <x:c r="H17" s="13" t="n">
        <x:v>0</x:v>
      </x:c>
      <x:c r="I17" s="13" t="n">
        <x:v>0</x:v>
      </x:c>
      <x:c r="J17" s="13" t="str"/>
      <x:c r="K17" s="11" t="str">
        <x:f>IF(AND(G17=F17,H17&gt;='Controls'!$D$34,I17&gt;='Controls'!$D$35,J17="ACCEPTED"),"PASS",IF(AND(G17=0,H17=0,I17=0,J17=""),"OPEN","FAIL"))</x:f>
        <x:v>OPEN</x:v>
      </x:c>
      <x:c r="L17" s="11" t="str">
        <x:f>IF(K17="PASS","none",IF(K17="OPEN","produce complete physical source packet","repair incomplete or inconsistent packet"))</x:f>
        <x:v>produce complete physical source packet</x:v>
      </x:c>
    </x:row>
    <x:row r="18">
      <x:c r="B18" s="11" t="str">
        <x:v>AS-LANE-LN-09</x:v>
      </x:c>
      <x:c r="C18" s="11" t="str">
        <x:v>commissioned lane</x:v>
      </x:c>
      <x:c r="D18" s="11" t="str">
        <x:v>LN-09</x:v>
      </x:c>
      <x:c r="E18" s="11" t="str">
        <x:v>PTC-A</x:v>
      </x:c>
      <x:c r="F18" s="11" t="n">
        <x:v>10</x:v>
      </x:c>
      <x:c r="G18" s="13" t="n">
        <x:v>0</x:v>
      </x:c>
      <x:c r="H18" s="13" t="n">
        <x:v>0</x:v>
      </x:c>
      <x:c r="I18" s="13" t="n">
        <x:v>0</x:v>
      </x:c>
      <x:c r="J18" s="13" t="str"/>
      <x:c r="K18" s="11" t="str">
        <x:f>IF(AND(G18=F18,H18&gt;='Controls'!$D$34,I18&gt;='Controls'!$D$35,J18="ACCEPTED"),"PASS",IF(AND(G18=0,H18=0,I18=0,J18=""),"OPEN","FAIL"))</x:f>
        <x:v>OPEN</x:v>
      </x:c>
      <x:c r="L18" s="11" t="str">
        <x:f>IF(K18="PASS","none",IF(K18="OPEN","produce complete physical source packet","repair incomplete or inconsistent packet"))</x:f>
        <x:v>produce complete physical source packet</x:v>
      </x:c>
    </x:row>
    <x:row r="19">
      <x:c r="B19" s="11" t="str">
        <x:v>AS-LANE-LN-10</x:v>
      </x:c>
      <x:c r="C19" s="11" t="str">
        <x:v>commissioned lane</x:v>
      </x:c>
      <x:c r="D19" s="11" t="str">
        <x:v>LN-10</x:v>
      </x:c>
      <x:c r="E19" s="11" t="str">
        <x:v>PTC-B</x:v>
      </x:c>
      <x:c r="F19" s="11" t="n">
        <x:v>10</x:v>
      </x:c>
      <x:c r="G19" s="13" t="n">
        <x:v>0</x:v>
      </x:c>
      <x:c r="H19" s="13" t="n">
        <x:v>0</x:v>
      </x:c>
      <x:c r="I19" s="13" t="n">
        <x:v>0</x:v>
      </x:c>
      <x:c r="J19" s="13" t="str"/>
      <x:c r="K19" s="11" t="str">
        <x:f>IF(AND(G19=F19,H19&gt;='Controls'!$D$34,I19&gt;='Controls'!$D$35,J19="ACCEPTED"),"PASS",IF(AND(G19=0,H19=0,I19=0,J19=""),"OPEN","FAIL"))</x:f>
        <x:v>OPEN</x:v>
      </x:c>
      <x:c r="L19" s="11" t="str">
        <x:f>IF(K19="PASS","none",IF(K19="OPEN","produce complete physical source packet","repair incomplete or inconsistent packet"))</x:f>
        <x:v>produce complete physical source packet</x:v>
      </x:c>
    </x:row>
    <x:row r="20">
      <x:c r="B20" s="11" t="str">
        <x:v>AS-LANE-LN-11</x:v>
      </x:c>
      <x:c r="C20" s="11" t="str">
        <x:v>commissioned lane</x:v>
      </x:c>
      <x:c r="D20" s="11" t="str">
        <x:v>LN-11</x:v>
      </x:c>
      <x:c r="E20" s="11" t="str">
        <x:v>PTC-B</x:v>
      </x:c>
      <x:c r="F20" s="11" t="n">
        <x:v>10</x:v>
      </x:c>
      <x:c r="G20" s="13" t="n">
        <x:v>0</x:v>
      </x:c>
      <x:c r="H20" s="13" t="n">
        <x:v>0</x:v>
      </x:c>
      <x:c r="I20" s="13" t="n">
        <x:v>0</x:v>
      </x:c>
      <x:c r="J20" s="13" t="str"/>
      <x:c r="K20" s="11" t="str">
        <x:f>IF(AND(G20=F20,H20&gt;='Controls'!$D$34,I20&gt;='Controls'!$D$35,J20="ACCEPTED"),"PASS",IF(AND(G20=0,H20=0,I20=0,J20=""),"OPEN","FAIL"))</x:f>
        <x:v>OPEN</x:v>
      </x:c>
      <x:c r="L20" s="11" t="str">
        <x:f>IF(K20="PASS","none",IF(K20="OPEN","produce complete physical source packet","repair incomplete or inconsistent packet"))</x:f>
        <x:v>produce complete physical source packet</x:v>
      </x:c>
    </x:row>
    <x:row r="21">
      <x:c r="B21" s="11" t="str">
        <x:v>AS-LANE-LN-12</x:v>
      </x:c>
      <x:c r="C21" s="11" t="str">
        <x:v>commissioned lane</x:v>
      </x:c>
      <x:c r="D21" s="11" t="str">
        <x:v>LN-12</x:v>
      </x:c>
      <x:c r="E21" s="11" t="str">
        <x:v>PTC-C</x:v>
      </x:c>
      <x:c r="F21" s="11" t="n">
        <x:v>10</x:v>
      </x:c>
      <x:c r="G21" s="13" t="n">
        <x:v>0</x:v>
      </x:c>
      <x:c r="H21" s="13" t="n">
        <x:v>0</x:v>
      </x:c>
      <x:c r="I21" s="13" t="n">
        <x:v>0</x:v>
      </x:c>
      <x:c r="J21" s="13" t="str"/>
      <x:c r="K21" s="11" t="str">
        <x:f>IF(AND(G21=F21,H21&gt;='Controls'!$D$34,I21&gt;='Controls'!$D$35,J21="ACCEPTED"),"PASS",IF(AND(G21=0,H21=0,I21=0,J21=""),"OPEN","FAIL"))</x:f>
        <x:v>OPEN</x:v>
      </x:c>
      <x:c r="L21" s="11" t="str">
        <x:f>IF(K21="PASS","none",IF(K21="OPEN","produce complete physical source packet","repair incomplete or inconsistent packet"))</x:f>
        <x:v>produce complete physical source packet</x:v>
      </x:c>
    </x:row>
    <x:row r="22">
      <x:c r="B22" s="11" t="str">
        <x:v>AS-REF-SA1</x:v>
      </x:c>
      <x:c r="C22" s="11" t="str">
        <x:v>accepted reference group</x:v>
      </x:c>
      <x:c r="D22" s="11" t="str">
        <x:v>SA1</x:v>
      </x:c>
      <x:c r="E22" s="11" t="str">
        <x:v>SA1</x:v>
      </x:c>
      <x:c r="F22" s="11" t="n">
        <x:v>12</x:v>
      </x:c>
      <x:c r="G22" s="13" t="n">
        <x:v>0</x:v>
      </x:c>
      <x:c r="H22" s="13" t="n">
        <x:v>0</x:v>
      </x:c>
      <x:c r="I22" s="13" t="n">
        <x:v>0</x:v>
      </x:c>
      <x:c r="J22" s="13" t="str"/>
      <x:c r="K22" s="11" t="str">
        <x:f>IF(AND(G22=F22,H22&gt;='Controls'!$D$34,I22&gt;='Controls'!$D$35,J22="ACCEPTED"),"PASS",IF(AND(G22=0,H22=0,I22=0,J22=""),"OPEN","FAIL"))</x:f>
        <x:v>OPEN</x:v>
      </x:c>
      <x:c r="L22" s="11" t="str">
        <x:f>IF(K22="PASS","none",IF(K22="OPEN","produce complete physical source packet","repair incomplete or inconsistent packet"))</x:f>
        <x:v>produce complete physical source packet</x:v>
      </x:c>
    </x:row>
    <x:row r="23">
      <x:c r="B23" s="11" t="str">
        <x:v>AS-REF-SA2</x:v>
      </x:c>
      <x:c r="C23" s="11" t="str">
        <x:v>accepted reference group</x:v>
      </x:c>
      <x:c r="D23" s="11" t="str">
        <x:v>SA2</x:v>
      </x:c>
      <x:c r="E23" s="11" t="str">
        <x:v>SA2</x:v>
      </x:c>
      <x:c r="F23" s="11" t="n">
        <x:v>12</x:v>
      </x:c>
      <x:c r="G23" s="13" t="n">
        <x:v>0</x:v>
      </x:c>
      <x:c r="H23" s="13" t="n">
        <x:v>0</x:v>
      </x:c>
      <x:c r="I23" s="13" t="n">
        <x:v>0</x:v>
      </x:c>
      <x:c r="J23" s="13" t="str"/>
      <x:c r="K23" s="11" t="str">
        <x:f>IF(AND(G23=F23,H23&gt;='Controls'!$D$34,I23&gt;='Controls'!$D$35,J23="ACCEPTED"),"PASS",IF(AND(G23=0,H23=0,I23=0,J23=""),"OPEN","FAIL"))</x:f>
        <x:v>OPEN</x:v>
      </x:c>
      <x:c r="L23" s="11" t="str">
        <x:f>IF(K23="PASS","none",IF(K23="OPEN","produce complete physical source packet","repair incomplete or inconsistent packet"))</x:f>
        <x:v>produce complete physical source packet</x:v>
      </x:c>
    </x:row>
    <x:row r="24">
      <x:c r="B24" s="11" t="str">
        <x:v>AS-REF-SA3</x:v>
      </x:c>
      <x:c r="C24" s="11" t="str">
        <x:v>accepted reference group</x:v>
      </x:c>
      <x:c r="D24" s="11" t="str">
        <x:v>SA3</x:v>
      </x:c>
      <x:c r="E24" s="11" t="str">
        <x:v>SA3</x:v>
      </x:c>
      <x:c r="F24" s="11" t="n">
        <x:v>12</x:v>
      </x:c>
      <x:c r="G24" s="13" t="n">
        <x:v>0</x:v>
      </x:c>
      <x:c r="H24" s="13" t="n">
        <x:v>0</x:v>
      </x:c>
      <x:c r="I24" s="13" t="n">
        <x:v>0</x:v>
      </x:c>
      <x:c r="J24" s="13" t="str"/>
      <x:c r="K24" s="11" t="str">
        <x:f>IF(AND(G24=F24,H24&gt;='Controls'!$D$34,I24&gt;='Controls'!$D$35,J24="ACCEPTED"),"PASS",IF(AND(G24=0,H24=0,I24=0,J24=""),"OPEN","FAIL"))</x:f>
        <x:v>OPEN</x:v>
      </x:c>
      <x:c r="L24" s="11" t="str">
        <x:f>IF(K24="PASS","none",IF(K24="OPEN","produce complete physical source packet","repair incomplete or inconsistent packet"))</x:f>
        <x:v>produce complete physical source packet</x:v>
      </x:c>
    </x:row>
    <x:row r="25">
      <x:c r="B25" s="11" t="str">
        <x:v>AS-REF-SA4</x:v>
      </x:c>
      <x:c r="C25" s="11" t="str">
        <x:v>accepted reference group</x:v>
      </x:c>
      <x:c r="D25" s="11" t="str">
        <x:v>SA4</x:v>
      </x:c>
      <x:c r="E25" s="11" t="str">
        <x:v>SA4</x:v>
      </x:c>
      <x:c r="F25" s="11" t="n">
        <x:v>12</x:v>
      </x:c>
      <x:c r="G25" s="13" t="n">
        <x:v>0</x:v>
      </x:c>
      <x:c r="H25" s="13" t="n">
        <x:v>0</x:v>
      </x:c>
      <x:c r="I25" s="13" t="n">
        <x:v>0</x:v>
      </x:c>
      <x:c r="J25" s="13" t="str"/>
      <x:c r="K25" s="11" t="str">
        <x:f>IF(AND(G25=F25,H25&gt;='Controls'!$D$34,I25&gt;='Controls'!$D$35,J25="ACCEPTED"),"PASS",IF(AND(G25=0,H25=0,I25=0,J25=""),"OPEN","FAIL"))</x:f>
        <x:v>OPEN</x:v>
      </x:c>
      <x:c r="L25" s="11" t="str">
        <x:f>IF(K25="PASS","none",IF(K25="OPEN","produce complete physical source packet","repair incomplete or inconsistent packet"))</x:f>
        <x:v>produce complete physical source packet</x:v>
      </x:c>
    </x:row>
    <x:row r="26">
      <x:c r="B26" s="11" t="str">
        <x:v>AS-REF-SA5</x:v>
      </x:c>
      <x:c r="C26" s="11" t="str">
        <x:v>accepted reference group</x:v>
      </x:c>
      <x:c r="D26" s="11" t="str">
        <x:v>SA5</x:v>
      </x:c>
      <x:c r="E26" s="11" t="str">
        <x:v>SA5</x:v>
      </x:c>
      <x:c r="F26" s="11" t="n">
        <x:v>12</x:v>
      </x:c>
      <x:c r="G26" s="13" t="n">
        <x:v>0</x:v>
      </x:c>
      <x:c r="H26" s="13" t="n">
        <x:v>0</x:v>
      </x:c>
      <x:c r="I26" s="13" t="n">
        <x:v>0</x:v>
      </x:c>
      <x:c r="J26" s="13" t="str"/>
      <x:c r="K26" s="11" t="str">
        <x:f>IF(AND(G26=F26,H26&gt;='Controls'!$D$34,I26&gt;='Controls'!$D$35,J26="ACCEPTED"),"PASS",IF(AND(G26=0,H26=0,I26=0,J26=""),"OPEN","FAIL"))</x:f>
        <x:v>OPEN</x:v>
      </x:c>
      <x:c r="L26" s="11" t="str">
        <x:f>IF(K26="PASS","none",IF(K26="OPEN","produce complete physical source packet","repair incomplete or inconsistent packet"))</x:f>
        <x:v>produce complete physical source packet</x:v>
      </x:c>
    </x:row>
    <x:row r="27">
      <x:c r="B27" s="11" t="str">
        <x:v>AS-REF-SA6</x:v>
      </x:c>
      <x:c r="C27" s="11" t="str">
        <x:v>accepted reference group</x:v>
      </x:c>
      <x:c r="D27" s="11" t="str">
        <x:v>SA6</x:v>
      </x:c>
      <x:c r="E27" s="11" t="str">
        <x:v>SA6</x:v>
      </x:c>
      <x:c r="F27" s="11" t="n">
        <x:v>12</x:v>
      </x:c>
      <x:c r="G27" s="13" t="n">
        <x:v>0</x:v>
      </x:c>
      <x:c r="H27" s="13" t="n">
        <x:v>0</x:v>
      </x:c>
      <x:c r="I27" s="13" t="n">
        <x:v>0</x:v>
      </x:c>
      <x:c r="J27" s="13" t="str"/>
      <x:c r="K27" s="11" t="str">
        <x:f>IF(AND(G27=F27,H27&gt;='Controls'!$D$34,I27&gt;='Controls'!$D$35,J27="ACCEPTED"),"PASS",IF(AND(G27=0,H27=0,I27=0,J27=""),"OPEN","FAIL"))</x:f>
        <x:v>OPEN</x:v>
      </x:c>
      <x:c r="L27" s="11" t="str">
        <x:f>IF(K27="PASS","none",IF(K27="OPEN","produce complete physical source packet","repair incomplete or inconsistent packet"))</x:f>
        <x:v>produce complete physical source packet</x:v>
      </x:c>
    </x:row>
    <x:row r="28">
      <x:c r="B28" s="11" t="str">
        <x:v>AS-DENIAL-PTC-A</x:v>
      </x:c>
      <x:c r="C28" s="11" t="str">
        <x:v>campus denial set</x:v>
      </x:c>
      <x:c r="D28" s="11" t="str">
        <x:v>PTC-A</x:v>
      </x:c>
      <x:c r="E28" s="11" t="str">
        <x:v>PTC-A</x:v>
      </x:c>
      <x:c r="F28" s="11" t="n">
        <x:v>8</x:v>
      </x:c>
      <x:c r="G28" s="13" t="n">
        <x:v>0</x:v>
      </x:c>
      <x:c r="H28" s="13" t="n">
        <x:v>0</x:v>
      </x:c>
      <x:c r="I28" s="13" t="n">
        <x:v>0</x:v>
      </x:c>
      <x:c r="J28" s="13" t="str"/>
      <x:c r="K28" s="11" t="str">
        <x:f>IF(AND(G28=F28,H28&gt;='Controls'!$D$34,I28&gt;='Controls'!$D$35,J28="ACCEPTED"),"PASS",IF(AND(G28=0,H28=0,I28=0,J28=""),"OPEN","FAIL"))</x:f>
        <x:v>OPEN</x:v>
      </x:c>
      <x:c r="L28" s="11" t="str">
        <x:f>IF(K28="PASS","none",IF(K28="OPEN","produce complete physical source packet","repair incomplete or inconsistent packet"))</x:f>
        <x:v>produce complete physical source packet</x:v>
      </x:c>
    </x:row>
    <x:row r="29">
      <x:c r="B29" s="11" t="str">
        <x:v>AS-DENIAL-PTC-B</x:v>
      </x:c>
      <x:c r="C29" s="11" t="str">
        <x:v>campus denial set</x:v>
      </x:c>
      <x:c r="D29" s="11" t="str">
        <x:v>PTC-B</x:v>
      </x:c>
      <x:c r="E29" s="11" t="str">
        <x:v>PTC-B</x:v>
      </x:c>
      <x:c r="F29" s="11" t="n">
        <x:v>8</x:v>
      </x:c>
      <x:c r="G29" s="13" t="n">
        <x:v>0</x:v>
      </x:c>
      <x:c r="H29" s="13" t="n">
        <x:v>0</x:v>
      </x:c>
      <x:c r="I29" s="13" t="n">
        <x:v>0</x:v>
      </x:c>
      <x:c r="J29" s="13" t="str"/>
      <x:c r="K29" s="11" t="str">
        <x:f>IF(AND(G29=F29,H29&gt;='Controls'!$D$34,I29&gt;='Controls'!$D$35,J29="ACCEPTED"),"PASS",IF(AND(G29=0,H29=0,I29=0,J29=""),"OPEN","FAIL"))</x:f>
        <x:v>OPEN</x:v>
      </x:c>
      <x:c r="L29" s="11" t="str">
        <x:f>IF(K29="PASS","none",IF(K29="OPEN","produce complete physical source packet","repair incomplete or inconsistent packet"))</x:f>
        <x:v>produce complete physical source packet</x:v>
      </x:c>
    </x:row>
    <x:row r="30">
      <x:c r="B30" s="11" t="str">
        <x:v>AS-DENIAL-PTC-C</x:v>
      </x:c>
      <x:c r="C30" s="11" t="str">
        <x:v>campus denial set</x:v>
      </x:c>
      <x:c r="D30" s="11" t="str">
        <x:v>PTC-C</x:v>
      </x:c>
      <x:c r="E30" s="11" t="str">
        <x:v>PTC-C</x:v>
      </x:c>
      <x:c r="F30" s="11" t="n">
        <x:v>8</x:v>
      </x:c>
      <x:c r="G30" s="13" t="n">
        <x:v>0</x:v>
      </x:c>
      <x:c r="H30" s="13" t="n">
        <x:v>0</x:v>
      </x:c>
      <x:c r="I30" s="13" t="n">
        <x:v>0</x:v>
      </x:c>
      <x:c r="J30" s="13" t="str"/>
      <x:c r="K30" s="11" t="str">
        <x:f>IF(AND(G30=F30,H30&gt;='Controls'!$D$34,I30&gt;='Controls'!$D$35,J30="ACCEPTED"),"PASS",IF(AND(G30=0,H30=0,I30=0,J30=""),"OPEN","FAIL"))</x:f>
        <x:v>OPEN</x:v>
      </x:c>
      <x:c r="L30" s="11" t="str">
        <x:f>IF(K30="PASS","none",IF(K30="OPEN","produce complete physical source packet","repair incomplete or inconsistent packet"))</x:f>
        <x:v>produce complete physical source packet</x:v>
      </x:c>
    </x:row>
    <x:row r="31">
      <x:c r="B31" s="11" t="str">
        <x:v>AS-REPLAY-SA1</x:v>
      </x:c>
      <x:c r="C31" s="11" t="str">
        <x:v>family cross-site reconstruction</x:v>
      </x:c>
      <x:c r="D31" s="11" t="str">
        <x:v>SA1</x:v>
      </x:c>
      <x:c r="E31" s="11" t="str">
        <x:v>SA1</x:v>
      </x:c>
      <x:c r="F31" s="11" t="n">
        <x:v>2</x:v>
      </x:c>
      <x:c r="G31" s="13" t="n">
        <x:v>0</x:v>
      </x:c>
      <x:c r="H31" s="13" t="n">
        <x:v>0</x:v>
      </x:c>
      <x:c r="I31" s="13" t="n">
        <x:v>0</x:v>
      </x:c>
      <x:c r="J31" s="13" t="str"/>
      <x:c r="K31" s="11" t="str">
        <x:f>IF(AND(G31=F31,H31&gt;='Controls'!$D$34,I31&gt;='Controls'!$D$35,J31="ACCEPTED"),"PASS",IF(AND(G31=0,H31=0,I31=0,J31=""),"OPEN","FAIL"))</x:f>
        <x:v>OPEN</x:v>
      </x:c>
      <x:c r="L31" s="11" t="str">
        <x:f>IF(K31="PASS","none",IF(K31="OPEN","produce complete physical source packet","repair incomplete or inconsistent packet"))</x:f>
        <x:v>produce complete physical source packet</x:v>
      </x:c>
    </x:row>
    <x:row r="32">
      <x:c r="B32" s="11" t="str">
        <x:v>AS-REPLAY-SA2</x:v>
      </x:c>
      <x:c r="C32" s="11" t="str">
        <x:v>family cross-site reconstruction</x:v>
      </x:c>
      <x:c r="D32" s="11" t="str">
        <x:v>SA2</x:v>
      </x:c>
      <x:c r="E32" s="11" t="str">
        <x:v>SA2</x:v>
      </x:c>
      <x:c r="F32" s="11" t="n">
        <x:v>2</x:v>
      </x:c>
      <x:c r="G32" s="13" t="n">
        <x:v>0</x:v>
      </x:c>
      <x:c r="H32" s="13" t="n">
        <x:v>0</x:v>
      </x:c>
      <x:c r="I32" s="13" t="n">
        <x:v>0</x:v>
      </x:c>
      <x:c r="J32" s="13" t="str"/>
      <x:c r="K32" s="11" t="str">
        <x:f>IF(AND(G32=F32,H32&gt;='Controls'!$D$34,I32&gt;='Controls'!$D$35,J32="ACCEPTED"),"PASS",IF(AND(G32=0,H32=0,I32=0,J32=""),"OPEN","FAIL"))</x:f>
        <x:v>OPEN</x:v>
      </x:c>
      <x:c r="L32" s="11" t="str">
        <x:f>IF(K32="PASS","none",IF(K32="OPEN","produce complete physical source packet","repair incomplete or inconsistent packet"))</x:f>
        <x:v>produce complete physical source packet</x:v>
      </x:c>
    </x:row>
    <x:row r="33">
      <x:c r="B33" s="11" t="str">
        <x:v>AS-REPLAY-SA3</x:v>
      </x:c>
      <x:c r="C33" s="11" t="str">
        <x:v>family cross-site reconstruction</x:v>
      </x:c>
      <x:c r="D33" s="11" t="str">
        <x:v>SA3</x:v>
      </x:c>
      <x:c r="E33" s="11" t="str">
        <x:v>SA3</x:v>
      </x:c>
      <x:c r="F33" s="11" t="n">
        <x:v>2</x:v>
      </x:c>
      <x:c r="G33" s="13" t="n">
        <x:v>0</x:v>
      </x:c>
      <x:c r="H33" s="13" t="n">
        <x:v>0</x:v>
      </x:c>
      <x:c r="I33" s="13" t="n">
        <x:v>0</x:v>
      </x:c>
      <x:c r="J33" s="13" t="str"/>
      <x:c r="K33" s="11" t="str">
        <x:f>IF(AND(G33=F33,H33&gt;='Controls'!$D$34,I33&gt;='Controls'!$D$35,J33="ACCEPTED"),"PASS",IF(AND(G33=0,H33=0,I33=0,J33=""),"OPEN","FAIL"))</x:f>
        <x:v>OPEN</x:v>
      </x:c>
      <x:c r="L33" s="11" t="str">
        <x:f>IF(K33="PASS","none",IF(K33="OPEN","produce complete physical source packet","repair incomplete or inconsistent packet"))</x:f>
        <x:v>produce complete physical source packet</x:v>
      </x:c>
    </x:row>
    <x:row r="34">
      <x:c r="B34" s="11" t="str">
        <x:v>AS-REPLAY-SA4</x:v>
      </x:c>
      <x:c r="C34" s="11" t="str">
        <x:v>family cross-site reconstruction</x:v>
      </x:c>
      <x:c r="D34" s="11" t="str">
        <x:v>SA4</x:v>
      </x:c>
      <x:c r="E34" s="11" t="str">
        <x:v>SA4</x:v>
      </x:c>
      <x:c r="F34" s="11" t="n">
        <x:v>2</x:v>
      </x:c>
      <x:c r="G34" s="13" t="n">
        <x:v>0</x:v>
      </x:c>
      <x:c r="H34" s="13" t="n">
        <x:v>0</x:v>
      </x:c>
      <x:c r="I34" s="13" t="n">
        <x:v>0</x:v>
      </x:c>
      <x:c r="J34" s="13" t="str"/>
      <x:c r="K34" s="11" t="str">
        <x:f>IF(AND(G34=F34,H34&gt;='Controls'!$D$34,I34&gt;='Controls'!$D$35,J34="ACCEPTED"),"PASS",IF(AND(G34=0,H34=0,I34=0,J34=""),"OPEN","FAIL"))</x:f>
        <x:v>OPEN</x:v>
      </x:c>
      <x:c r="L34" s="11" t="str">
        <x:f>IF(K34="PASS","none",IF(K34="OPEN","produce complete physical source packet","repair incomplete or inconsistent packet"))</x:f>
        <x:v>produce complete physical source packet</x:v>
      </x:c>
    </x:row>
    <x:row r="35">
      <x:c r="B35" s="11" t="str">
        <x:v>AS-REPLAY-SA5</x:v>
      </x:c>
      <x:c r="C35" s="11" t="str">
        <x:v>family cross-site reconstruction</x:v>
      </x:c>
      <x:c r="D35" s="11" t="str">
        <x:v>SA5</x:v>
      </x:c>
      <x:c r="E35" s="11" t="str">
        <x:v>SA5</x:v>
      </x:c>
      <x:c r="F35" s="11" t="n">
        <x:v>2</x:v>
      </x:c>
      <x:c r="G35" s="13" t="n">
        <x:v>0</x:v>
      </x:c>
      <x:c r="H35" s="13" t="n">
        <x:v>0</x:v>
      </x:c>
      <x:c r="I35" s="13" t="n">
        <x:v>0</x:v>
      </x:c>
      <x:c r="J35" s="13" t="str"/>
      <x:c r="K35" s="11" t="str">
        <x:f>IF(AND(G35=F35,H35&gt;='Controls'!$D$34,I35&gt;='Controls'!$D$35,J35="ACCEPTED"),"PASS",IF(AND(G35=0,H35=0,I35=0,J35=""),"OPEN","FAIL"))</x:f>
        <x:v>OPEN</x:v>
      </x:c>
      <x:c r="L35" s="11" t="str">
        <x:f>IF(K35="PASS","none",IF(K35="OPEN","produce complete physical source packet","repair incomplete or inconsistent packet"))</x:f>
        <x:v>produce complete physical source packet</x:v>
      </x:c>
    </x:row>
    <x:row r="36">
      <x:c r="B36" s="11" t="str">
        <x:v>AS-REPLAY-SA6</x:v>
      </x:c>
      <x:c r="C36" s="11" t="str">
        <x:v>family cross-site reconstruction</x:v>
      </x:c>
      <x:c r="D36" s="11" t="str">
        <x:v>SA6</x:v>
      </x:c>
      <x:c r="E36" s="11" t="str">
        <x:v>SA6</x:v>
      </x:c>
      <x:c r="F36" s="11" t="n">
        <x:v>2</x:v>
      </x:c>
      <x:c r="G36" s="13" t="n">
        <x:v>0</x:v>
      </x:c>
      <x:c r="H36" s="13" t="n">
        <x:v>0</x:v>
      </x:c>
      <x:c r="I36" s="13" t="n">
        <x:v>0</x:v>
      </x:c>
      <x:c r="J36" s="13" t="str"/>
      <x:c r="K36" s="11" t="str">
        <x:f>IF(AND(G36=F36,H36&gt;='Controls'!$D$34,I36&gt;='Controls'!$D$35,J36="ACCEPTED"),"PASS",IF(AND(G36=0,H36=0,I36=0,J36=""),"OPEN","FAIL"))</x:f>
        <x:v>OPEN</x:v>
      </x:c>
      <x:c r="L36" s="11" t="str">
        <x:f>IF(K36="PASS","none",IF(K36="OPEN","produce complete physical source packet","repair incomplete or inconsistent packet"))</x:f>
        <x:v>produce complete physical source packet</x:v>
      </x:c>
    </x:row>
    <x:row r="37">
      <x:c r="B37" s="11" t="str">
        <x:v>AS-VAULT-PTC-A</x:v>
      </x:c>
      <x:c r="C37" s="11" t="str">
        <x:v>evidence-vault pair</x:v>
      </x:c>
      <x:c r="D37" s="11" t="str">
        <x:v>PTC-A</x:v>
      </x:c>
      <x:c r="E37" s="11" t="str">
        <x:v>PTC-A</x:v>
      </x:c>
      <x:c r="F37" s="11" t="n">
        <x:v>4</x:v>
      </x:c>
      <x:c r="G37" s="13" t="n">
        <x:v>0</x:v>
      </x:c>
      <x:c r="H37" s="13" t="n">
        <x:v>0</x:v>
      </x:c>
      <x:c r="I37" s="13" t="n">
        <x:v>0</x:v>
      </x:c>
      <x:c r="J37" s="13" t="str"/>
      <x:c r="K37" s="11" t="str">
        <x:f>IF(AND(G37=F37,H37&gt;='Controls'!$D$34,I37&gt;='Controls'!$D$35,J37="ACCEPTED"),"PASS",IF(AND(G37=0,H37=0,I37=0,J37=""),"OPEN","FAIL"))</x:f>
        <x:v>OPEN</x:v>
      </x:c>
      <x:c r="L37" s="11" t="str">
        <x:f>IF(K37="PASS","none",IF(K37="OPEN","produce complete physical source packet","repair incomplete or inconsistent packet"))</x:f>
        <x:v>produce complete physical source packet</x:v>
      </x:c>
    </x:row>
    <x:row r="38">
      <x:c r="B38" s="11" t="str">
        <x:v>AS-VAULT-PTC-B</x:v>
      </x:c>
      <x:c r="C38" s="11" t="str">
        <x:v>evidence-vault pair</x:v>
      </x:c>
      <x:c r="D38" s="11" t="str">
        <x:v>PTC-B</x:v>
      </x:c>
      <x:c r="E38" s="11" t="str">
        <x:v>PTC-B</x:v>
      </x:c>
      <x:c r="F38" s="11" t="n">
        <x:v>4</x:v>
      </x:c>
      <x:c r="G38" s="13" t="n">
        <x:v>0</x:v>
      </x:c>
      <x:c r="H38" s="13" t="n">
        <x:v>0</x:v>
      </x:c>
      <x:c r="I38" s="13" t="n">
        <x:v>0</x:v>
      </x:c>
      <x:c r="J38" s="13" t="str"/>
      <x:c r="K38" s="11" t="str">
        <x:f>IF(AND(G38=F38,H38&gt;='Controls'!$D$34,I38&gt;='Controls'!$D$35,J38="ACCEPTED"),"PASS",IF(AND(G38=0,H38=0,I38=0,J38=""),"OPEN","FAIL"))</x:f>
        <x:v>OPEN</x:v>
      </x:c>
      <x:c r="L38" s="11" t="str">
        <x:f>IF(K38="PASS","none",IF(K38="OPEN","produce complete physical source packet","repair incomplete or inconsistent packet"))</x:f>
        <x:v>produce complete physical source packet</x:v>
      </x:c>
    </x:row>
    <x:row r="39">
      <x:c r="B39" s="11" t="str">
        <x:v>AS-VAULT-PTC-C</x:v>
      </x:c>
      <x:c r="C39" s="11" t="str">
        <x:v>evidence-vault pair</x:v>
      </x:c>
      <x:c r="D39" s="11" t="str">
        <x:v>PTC-C</x:v>
      </x:c>
      <x:c r="E39" s="11" t="str">
        <x:v>PTC-C</x:v>
      </x:c>
      <x:c r="F39" s="11" t="n">
        <x:v>4</x:v>
      </x:c>
      <x:c r="G39" s="13" t="n">
        <x:v>0</x:v>
      </x:c>
      <x:c r="H39" s="13" t="n">
        <x:v>0</x:v>
      </x:c>
      <x:c r="I39" s="13" t="n">
        <x:v>0</x:v>
      </x:c>
      <x:c r="J39" s="13" t="str"/>
      <x:c r="K39" s="11" t="str">
        <x:f>IF(AND(G39=F39,H39&gt;='Controls'!$D$34,I39&gt;='Controls'!$D$35,J39="ACCEPTED"),"PASS",IF(AND(G39=0,H39=0,I39=0,J39=""),"OPEN","FAIL"))</x:f>
        <x:v>OPEN</x:v>
      </x:c>
      <x:c r="L39" s="11" t="str">
        <x:f>IF(K39="PASS","none",IF(K39="OPEN","produce complete physical source packet","repair incomplete or inconsistent packet"))</x:f>
        <x:v>produce complete physical source packet</x:v>
      </x:c>
    </x:row>
    <x:row r="40">
      <x:c r="B40" s="11" t="str">
        <x:v>AS-DEST-PTC-A</x:v>
      </x:c>
      <x:c r="C40" s="11" t="str">
        <x:v>destructive and blind complex</x:v>
      </x:c>
      <x:c r="D40" s="11" t="str">
        <x:v>PTC-A</x:v>
      </x:c>
      <x:c r="E40" s="11" t="str">
        <x:v>PTC-A</x:v>
      </x:c>
      <x:c r="F40" s="11" t="n">
        <x:v>6</x:v>
      </x:c>
      <x:c r="G40" s="13" t="n">
        <x:v>0</x:v>
      </x:c>
      <x:c r="H40" s="13" t="n">
        <x:v>0</x:v>
      </x:c>
      <x:c r="I40" s="13" t="n">
        <x:v>0</x:v>
      </x:c>
      <x:c r="J40" s="13" t="str"/>
      <x:c r="K40" s="11" t="str">
        <x:f>IF(AND(G40=F40,H40&gt;='Controls'!$D$34,I40&gt;='Controls'!$D$35,J40="ACCEPTED"),"PASS",IF(AND(G40=0,H40=0,I40=0,J40=""),"OPEN","FAIL"))</x:f>
        <x:v>OPEN</x:v>
      </x:c>
      <x:c r="L40" s="11" t="str">
        <x:f>IF(K40="PASS","none",IF(K40="OPEN","produce complete physical source packet","repair incomplete or inconsistent packet"))</x:f>
        <x:v>produce complete physical source packet</x:v>
      </x:c>
    </x:row>
    <x:row r="41">
      <x:c r="B41" s="11" t="str">
        <x:v>AS-DEST-PTC-B</x:v>
      </x:c>
      <x:c r="C41" s="11" t="str">
        <x:v>destructive and blind complex</x:v>
      </x:c>
      <x:c r="D41" s="11" t="str">
        <x:v>PTC-B</x:v>
      </x:c>
      <x:c r="E41" s="11" t="str">
        <x:v>PTC-B</x:v>
      </x:c>
      <x:c r="F41" s="11" t="n">
        <x:v>6</x:v>
      </x:c>
      <x:c r="G41" s="13" t="n">
        <x:v>0</x:v>
      </x:c>
      <x:c r="H41" s="13" t="n">
        <x:v>0</x:v>
      </x:c>
      <x:c r="I41" s="13" t="n">
        <x:v>0</x:v>
      </x:c>
      <x:c r="J41" s="13" t="str"/>
      <x:c r="K41" s="11" t="str">
        <x:f>IF(AND(G41=F41,H41&gt;='Controls'!$D$34,I41&gt;='Controls'!$D$35,J41="ACCEPTED"),"PASS",IF(AND(G41=0,H41=0,I41=0,J41=""),"OPEN","FAIL"))</x:f>
        <x:v>OPEN</x:v>
      </x:c>
      <x:c r="L41" s="11" t="str">
        <x:f>IF(K41="PASS","none",IF(K41="OPEN","produce complete physical source packet","repair incomplete or inconsistent packet"))</x:f>
        <x:v>produce complete physical source packet</x:v>
      </x:c>
    </x:row>
    <x:row r="42">
      <x:c r="B42" s="12" t="str">
        <x:v>AS-DEST-PTC-C</x:v>
      </x:c>
      <x:c r="C42" s="12" t="str">
        <x:v>destructive and blind complex</x:v>
      </x:c>
      <x:c r="D42" s="12" t="str">
        <x:v>PTC-C</x:v>
      </x:c>
      <x:c r="E42" s="12" t="str">
        <x:v>PTC-C</x:v>
      </x:c>
      <x:c r="F42" s="12" t="n">
        <x:v>6</x:v>
      </x:c>
      <x:c r="G42" s="14" t="n">
        <x:v>0</x:v>
      </x:c>
      <x:c r="H42" s="14" t="n">
        <x:v>0</x:v>
      </x:c>
      <x:c r="I42" s="14" t="n">
        <x:v>0</x:v>
      </x:c>
      <x:c r="J42" s="14" t="str"/>
      <x:c r="K42" s="12" t="str">
        <x:f>IF(AND(G42=F42,H42&gt;='Controls'!$D$34,I42&gt;='Controls'!$D$35,J42="ACCEPTED"),"PASS",IF(AND(G42=0,H42=0,I42=0,J42=""),"OPEN","FAIL"))</x:f>
        <x:v>OPEN</x:v>
      </x:c>
      <x:c r="L42" s="12" t="str">
        <x:f>IF(K42="PASS","none",IF(K42="OPEN","produce complete physical source packet","repair incomplete or inconsistent packet"))</x:f>
        <x:v>produce complete physical source packet</x:v>
      </x:c>
    </x:row>
  </x:sheetData>
  <x:mergeCells>
    <x:mergeCell ref="B2:L2"/>
    <x:mergeCell ref="B3:L3"/>
  </x:mergeCells>
  <x:conditionalFormatting sqref="K7:K42">
    <x:cfRule type="containsText" dxfId="238" priority="1" operator="containsText" text="PASS"/>
    <x:cfRule type="containsText" dxfId="239" priority="2" operator="containsText" text="AUTHORIZED"/>
    <x:cfRule type="containsText" dxfId="240" priority="3" operator="containsText" text="DEFINED"/>
    <x:cfRule type="containsText" dxfId="241" priority="4" operator="containsText" text="READY"/>
    <x:cfRule type="containsText" dxfId="242" priority="5" operator="containsText" text="HOLD"/>
    <x:cfRule type="containsText" dxfId="243" priority="6" operator="containsText" text="OPEN"/>
    <x:cfRule type="containsText" dxfId="244" priority="7" operator="containsText" text="BLOCKED"/>
    <x:cfRule type="containsText" dxfId="245" priority="8" operator="containsText" text="PLANNING"/>
    <x:cfRule type="containsText" dxfId="246" priority="9" operator="containsText" text="QUARANTINE"/>
    <x:cfRule type="containsText" dxfId="247" priority="10" operator="containsText" text="INDETERMINATE"/>
    <x:cfRule type="containsText" dxfId="248" priority="11" operator="containsText" text="FAIL"/>
    <x:cfRule type="containsText" dxfId="249" priority="12" operator="containsText" text="REJECT"/>
    <x:cfRule type="containsText" dxfId="250" priority="13" operator="containsText" text="INVALID"/>
    <x:cfRule type="containsText" dxfId="251" priority="14" operator="containsText" text="STOP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22" hidden="0" customWidth="1"/>
    <x:col min="4" max="4" width="10" hidden="0" customWidth="1"/>
    <x:col min="5" max="5" width="13" hidden="0" customWidth="1"/>
    <x:col min="6" max="6" width="20" hidden="0" customWidth="1"/>
    <x:col min="7" max="7" width="18" hidden="0" customWidth="1"/>
    <x:col min="8" max="8" width="44" hidden="0" customWidth="1"/>
    <x:col min="12" max="12" width="2" hidden="0" customWidth="1"/>
  </x:cols>
  <x:sheetData>
    <x:row r="2">
      <x:c r="B2" s="37" t="str">
        <x:v>Source-package capital allocation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B3" s="39" t="str">
        <x:v>Reference bodies, truth modules and insertion apparatus are CISA-specific uses inside the existing PTC-0 physical-use and net-new boundaries.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  <x:row r="6">
      <x:c r="B6" s="9" t="str">
        <x:v>Line</x:v>
      </x:c>
      <x:c r="C6" s="9" t="str">
        <x:v>Family</x:v>
      </x:c>
      <x:c r="D6" s="9" t="str">
        <x:v>Root</x:v>
      </x:c>
      <x:c r="E6" s="9" t="str">
        <x:v>Quantity</x:v>
      </x:c>
      <x:c r="F6" s="9" t="str">
        <x:v>Unit cost (USD M)</x:v>
      </x:c>
      <x:c r="G6" s="9" t="str">
        <x:v>Capital (USD M)</x:v>
      </x:c>
      <x:c r="H6" s="9" t="str">
        <x:v>Basis</x:v>
      </x:c>
      <x:c r="I6" s="38"/>
      <x:c r="J6" s="38"/>
      <x:c r="K6" s="38"/>
      <x:c r="L6" s="38"/>
    </x:row>
    <x:row r="7">
      <x:c r="B7" s="11" t="str">
        <x:v>CAP-SA1-A</x:v>
      </x:c>
      <x:c r="C7" s="11" t="str">
        <x:v>SA1</x:v>
      </x:c>
      <x:c r="D7" s="11" t="str">
        <x:v>A</x:v>
      </x:c>
      <x:c r="E7" s="11" t="n">
        <x:v>6</x:v>
      </x:c>
      <x:c r="F7" s="24" t="n">
        <x:v>1.1</x:v>
      </x:c>
      <x:c r="G7" s="25" t="n">
        <x:f>E7*F7</x:f>
        <x:v>6.6000000000000005</x:v>
      </x:c>
      <x:c r="H7" s="11" t="str">
        <x:v>six root-native bodies</x:v>
      </x:c>
      <x:c r="I7" s="38"/>
      <x:c r="J7" s="38"/>
      <x:c r="K7" s="38"/>
      <x:c r="L7" s="38"/>
    </x:row>
    <x:row r="8">
      <x:c r="B8" s="11" t="str">
        <x:v>CAP-SA1-B</x:v>
      </x:c>
      <x:c r="C8" s="11" t="str">
        <x:v>SA1</x:v>
      </x:c>
      <x:c r="D8" s="11" t="str">
        <x:v>B</x:v>
      </x:c>
      <x:c r="E8" s="11" t="n">
        <x:v>6</x:v>
      </x:c>
      <x:c r="F8" s="24" t="n">
        <x:v>1.3</x:v>
      </x:c>
      <x:c r="G8" s="25" t="n">
        <x:f>E8*F8</x:f>
        <x:v>7.800000000000001</x:v>
      </x:c>
      <x:c r="H8" s="11" t="str">
        <x:v>six root-native bodies</x:v>
      </x:c>
      <x:c r="I8" s="38"/>
      <x:c r="J8" s="38"/>
      <x:c r="K8" s="38"/>
      <x:c r="L8" s="38"/>
    </x:row>
    <x:row r="9">
      <x:c r="B9" s="11" t="str">
        <x:v>CAP-SA2-A</x:v>
      </x:c>
      <x:c r="C9" s="11" t="str">
        <x:v>SA2</x:v>
      </x:c>
      <x:c r="D9" s="11" t="str">
        <x:v>A</x:v>
      </x:c>
      <x:c r="E9" s="11" t="n">
        <x:v>6</x:v>
      </x:c>
      <x:c r="F9" s="24" t="n">
        <x:v>1.3</x:v>
      </x:c>
      <x:c r="G9" s="25" t="n">
        <x:f>E9*F9</x:f>
        <x:v>7.800000000000001</x:v>
      </x:c>
      <x:c r="H9" s="11" t="str">
        <x:v>six root-native bodies</x:v>
      </x:c>
      <x:c r="I9" s="38"/>
      <x:c r="J9" s="38"/>
      <x:c r="K9" s="38"/>
      <x:c r="L9" s="38"/>
    </x:row>
    <x:row r="10">
      <x:c r="B10" s="11" t="str">
        <x:v>CAP-SA2-B</x:v>
      </x:c>
      <x:c r="C10" s="11" t="str">
        <x:v>SA2</x:v>
      </x:c>
      <x:c r="D10" s="11" t="str">
        <x:v>B</x:v>
      </x:c>
      <x:c r="E10" s="11" t="n">
        <x:v>6</x:v>
      </x:c>
      <x:c r="F10" s="24" t="n">
        <x:v>1.5</x:v>
      </x:c>
      <x:c r="G10" s="25" t="n">
        <x:f>E10*F10</x:f>
        <x:v>9</x:v>
      </x:c>
      <x:c r="H10" s="11" t="str">
        <x:v>six root-native bodies</x:v>
      </x:c>
      <x:c r="I10" s="38"/>
      <x:c r="J10" s="38"/>
      <x:c r="K10" s="38"/>
      <x:c r="L10" s="38"/>
    </x:row>
    <x:row r="11">
      <x:c r="B11" s="11" t="str">
        <x:v>CAP-SA3-A</x:v>
      </x:c>
      <x:c r="C11" s="11" t="str">
        <x:v>SA3</x:v>
      </x:c>
      <x:c r="D11" s="11" t="str">
        <x:v>A</x:v>
      </x:c>
      <x:c r="E11" s="11" t="n">
        <x:v>6</x:v>
      </x:c>
      <x:c r="F11" s="24" t="n">
        <x:v>1</x:v>
      </x:c>
      <x:c r="G11" s="25" t="n">
        <x:f>E11*F11</x:f>
        <x:v>6</x:v>
      </x:c>
      <x:c r="H11" s="11" t="str">
        <x:v>six root-native bodies</x:v>
      </x:c>
      <x:c r="I11" s="38"/>
      <x:c r="J11" s="38"/>
      <x:c r="K11" s="38"/>
      <x:c r="L11" s="38"/>
    </x:row>
    <x:row r="12">
      <x:c r="B12" s="11" t="str">
        <x:v>CAP-SA3-B</x:v>
      </x:c>
      <x:c r="C12" s="11" t="str">
        <x:v>SA3</x:v>
      </x:c>
      <x:c r="D12" s="11" t="str">
        <x:v>B</x:v>
      </x:c>
      <x:c r="E12" s="11" t="n">
        <x:v>6</x:v>
      </x:c>
      <x:c r="F12" s="24" t="n">
        <x:v>1.2</x:v>
      </x:c>
      <x:c r="G12" s="25" t="n">
        <x:f>E12*F12</x:f>
        <x:v>7.199999999999999</x:v>
      </x:c>
      <x:c r="H12" s="11" t="str">
        <x:v>six root-native bodies</x:v>
      </x:c>
      <x:c r="I12" s="38"/>
      <x:c r="J12" s="38"/>
      <x:c r="K12" s="38"/>
      <x:c r="L12" s="38"/>
    </x:row>
    <x:row r="13">
      <x:c r="B13" s="11" t="str">
        <x:v>CAP-SA4-A</x:v>
      </x:c>
      <x:c r="C13" s="11" t="str">
        <x:v>SA4</x:v>
      </x:c>
      <x:c r="D13" s="11" t="str">
        <x:v>A</x:v>
      </x:c>
      <x:c r="E13" s="11" t="n">
        <x:v>6</x:v>
      </x:c>
      <x:c r="F13" s="24" t="n">
        <x:v>2.6</x:v>
      </x:c>
      <x:c r="G13" s="25" t="n">
        <x:f>E13*F13</x:f>
        <x:v>15.600000000000001</x:v>
      </x:c>
      <x:c r="H13" s="11" t="str">
        <x:v>six root-native bodies</x:v>
      </x:c>
      <x:c r="I13" s="38"/>
      <x:c r="J13" s="38"/>
      <x:c r="K13" s="38"/>
      <x:c r="L13" s="38"/>
    </x:row>
    <x:row r="14">
      <x:c r="B14" s="11" t="str">
        <x:v>CAP-SA4-B</x:v>
      </x:c>
      <x:c r="C14" s="11" t="str">
        <x:v>SA4</x:v>
      </x:c>
      <x:c r="D14" s="11" t="str">
        <x:v>B</x:v>
      </x:c>
      <x:c r="E14" s="11" t="n">
        <x:v>6</x:v>
      </x:c>
      <x:c r="F14" s="24" t="n">
        <x:v>2.4</x:v>
      </x:c>
      <x:c r="G14" s="25" t="n">
        <x:f>E14*F14</x:f>
        <x:v>14.399999999999999</x:v>
      </x:c>
      <x:c r="H14" s="11" t="str">
        <x:v>six root-native bodies</x:v>
      </x:c>
      <x:c r="I14" s="38"/>
      <x:c r="J14" s="38"/>
      <x:c r="K14" s="38"/>
      <x:c r="L14" s="38"/>
    </x:row>
    <x:row r="15">
      <x:c r="B15" s="11" t="str">
        <x:v>CAP-SA5-A</x:v>
      </x:c>
      <x:c r="C15" s="11" t="str">
        <x:v>SA5</x:v>
      </x:c>
      <x:c r="D15" s="11" t="str">
        <x:v>A</x:v>
      </x:c>
      <x:c r="E15" s="11" t="n">
        <x:v>6</x:v>
      </x:c>
      <x:c r="F15" s="24" t="n">
        <x:v>2</x:v>
      </x:c>
      <x:c r="G15" s="25" t="n">
        <x:f>E15*F15</x:f>
        <x:v>12</x:v>
      </x:c>
      <x:c r="H15" s="11" t="str">
        <x:v>six root-native bodies</x:v>
      </x:c>
      <x:c r="I15" s="38"/>
      <x:c r="J15" s="38"/>
      <x:c r="K15" s="38"/>
      <x:c r="L15" s="38"/>
    </x:row>
    <x:row r="16">
      <x:c r="B16" s="11" t="str">
        <x:v>CAP-SA5-B</x:v>
      </x:c>
      <x:c r="C16" s="11" t="str">
        <x:v>SA5</x:v>
      </x:c>
      <x:c r="D16" s="11" t="str">
        <x:v>B</x:v>
      </x:c>
      <x:c r="E16" s="11" t="n">
        <x:v>6</x:v>
      </x:c>
      <x:c r="F16" s="24" t="n">
        <x:v>2.2</x:v>
      </x:c>
      <x:c r="G16" s="25" t="n">
        <x:f>E16*F16</x:f>
        <x:v>13.200000000000001</x:v>
      </x:c>
      <x:c r="H16" s="11" t="str">
        <x:v>six root-native bodies</x:v>
      </x:c>
      <x:c r="I16" s="38"/>
      <x:c r="J16" s="38"/>
      <x:c r="K16" s="38"/>
      <x:c r="L16" s="38"/>
    </x:row>
    <x:row r="17">
      <x:c r="B17" s="11" t="str">
        <x:v>CAP-SA6-A</x:v>
      </x:c>
      <x:c r="C17" s="11" t="str">
        <x:v>SA6</x:v>
      </x:c>
      <x:c r="D17" s="11" t="str">
        <x:v>A</x:v>
      </x:c>
      <x:c r="E17" s="11" t="n">
        <x:v>6</x:v>
      </x:c>
      <x:c r="F17" s="24" t="n">
        <x:v>1.7</x:v>
      </x:c>
      <x:c r="G17" s="25" t="n">
        <x:f>E17*F17</x:f>
        <x:v>10.2</x:v>
      </x:c>
      <x:c r="H17" s="11" t="str">
        <x:v>six root-native bodies</x:v>
      </x:c>
      <x:c r="I17" s="38"/>
      <x:c r="J17" s="38"/>
      <x:c r="K17" s="38"/>
      <x:c r="L17" s="38"/>
    </x:row>
    <x:row r="18">
      <x:c r="B18" s="11" t="str">
        <x:v>CAP-SA6-B</x:v>
      </x:c>
      <x:c r="C18" s="11" t="str">
        <x:v>SA6</x:v>
      </x:c>
      <x:c r="D18" s="11" t="str">
        <x:v>B</x:v>
      </x:c>
      <x:c r="E18" s="11" t="n">
        <x:v>6</x:v>
      </x:c>
      <x:c r="F18" s="24" t="n">
        <x:v>1.9</x:v>
      </x:c>
      <x:c r="G18" s="25" t="n">
        <x:f>E18*F18</x:f>
        <x:v>11.399999999999999</x:v>
      </x:c>
      <x:c r="H18" s="11" t="str">
        <x:v>six root-native bodies</x:v>
      </x:c>
      <x:c r="I18" s="38"/>
      <x:c r="J18" s="38"/>
      <x:c r="K18" s="38"/>
      <x:c r="L18" s="38"/>
    </x:row>
    <x:row r="19">
      <x:c r="B19" s="11" t="str">
        <x:v>CAP-MODULE</x:v>
      </x:c>
      <x:c r="C19" s="11" t="str">
        <x:v>truth modules</x:v>
      </x:c>
      <x:c r="D19" s="11" t="str">
        <x:v>all</x:v>
      </x:c>
      <x:c r="E19" s="11" t="n">
        <x:v>288</x:v>
      </x:c>
      <x:c r="F19" s="24" t="n">
        <x:v>0.05</x:v>
      </x:c>
      <x:c r="G19" s="25" t="n">
        <x:f>E19*F19</x:f>
        <x:v>14.4</x:v>
      </x:c>
      <x:c r="H19" s="11" t="str">
        <x:v>four per body</x:v>
      </x:c>
      <x:c r="I19" s="38"/>
      <x:c r="J19" s="38"/>
      <x:c r="K19" s="38"/>
      <x:c r="L19" s="38"/>
    </x:row>
    <x:row r="20">
      <x:c r="B20" s="11" t="str">
        <x:v>CAP-INSERT</x:v>
      </x:c>
      <x:c r="C20" s="11" t="str">
        <x:v>failure insertion</x:v>
      </x:c>
      <x:c r="D20" s="11" t="str">
        <x:v>all</x:v>
      </x:c>
      <x:c r="E20" s="11" t="n">
        <x:v>24</x:v>
      </x:c>
      <x:c r="F20" s="24" t="n">
        <x:v>0.7</x:v>
      </x:c>
      <x:c r="G20" s="25" t="n">
        <x:f>E20*F20</x:f>
        <x:v>16.799999999999997</x:v>
      </x:c>
      <x:c r="H20" s="11" t="str">
        <x:v>two kits per root-family</x:v>
      </x:c>
      <x:c r="I20" s="38"/>
      <x:c r="J20" s="38"/>
      <x:c r="K20" s="38"/>
      <x:c r="L20" s="38"/>
    </x:row>
    <x:row r="21">
      <x:c r="B21" s="11" t="str">
        <x:v>CAP-MET</x:v>
      </x:c>
      <x:c r="C21" s="11" t="str">
        <x:v>truth metrology</x:v>
      </x:c>
      <x:c r="D21" s="11" t="str">
        <x:v>all</x:v>
      </x:c>
      <x:c r="E21" s="11" t="n">
        <x:v>1</x:v>
      </x:c>
      <x:c r="F21" s="24" t="n">
        <x:v>6</x:v>
      </x:c>
      <x:c r="G21" s="25" t="n">
        <x:f>E21*F21</x:f>
        <x:v>6</x:v>
      </x:c>
      <x:c r="H21" s="11" t="str">
        <x:v>independent realization and transfer</x:v>
      </x:c>
      <x:c r="I21" s="38"/>
      <x:c r="J21" s="38"/>
      <x:c r="K21" s="38"/>
      <x:c r="L21" s="38"/>
    </x:row>
    <x:row r="22">
      <x:c r="B22" s="11" t="str">
        <x:v>CAP-HAZ</x:v>
      </x:c>
      <x:c r="C22" s="11" t="str">
        <x:v>hazard media and retirement</x:v>
      </x:c>
      <x:c r="D22" s="11" t="str">
        <x:v>all</x:v>
      </x:c>
      <x:c r="E22" s="11" t="n">
        <x:v>1</x:v>
      </x:c>
      <x:c r="F22" s="24" t="n">
        <x:v>5.4</x:v>
      </x:c>
      <x:c r="G22" s="25" t="n">
        <x:f>E22*F22</x:f>
        <x:v>5.4</x:v>
      </x:c>
      <x:c r="H22" s="11" t="str">
        <x:v>bounded media, recovery and terminal custody</x:v>
      </x:c>
      <x:c r="I22" s="38"/>
      <x:c r="J22" s="38"/>
      <x:c r="K22" s="38"/>
      <x:c r="L22" s="38"/>
    </x:row>
    <x:row r="23">
      <x:c r="B23" s="11" t="str">
        <x:v>CAP-EVID</x:v>
      </x:c>
      <x:c r="C23" s="11" t="str">
        <x:v>evidence, time and key package</x:v>
      </x:c>
      <x:c r="D23" s="11" t="str">
        <x:v>all</x:v>
      </x:c>
      <x:c r="E23" s="11" t="n">
        <x:v>1</x:v>
      </x:c>
      <x:c r="F23" s="24" t="n">
        <x:v>4.2</x:v>
      </x:c>
      <x:c r="G23" s="25" t="n">
        <x:f>E23*F23</x:f>
        <x:v>4.2</x:v>
      </x:c>
      <x:c r="H23" s="11" t="str">
        <x:v>two originals and unlike signing roots</x:v>
      </x:c>
      <x:c r="I23" s="38"/>
      <x:c r="J23" s="38"/>
      <x:c r="K23" s="38"/>
      <x:c r="L23" s="38"/>
    </x:row>
    <x:row r="24">
      <x:c r="B24" s="11"/>
      <x:c r="C24" s="11"/>
      <x:c r="D24" s="11"/>
      <x:c r="E24" s="11"/>
      <x:c r="F24" s="11"/>
      <x:c r="G24" s="11"/>
      <x:c r="H24" s="11"/>
      <x:c r="I24" s="38"/>
      <x:c r="J24" s="38"/>
      <x:c r="K24" s="38"/>
      <x:c r="L24" s="38"/>
    </x:row>
    <x:row r="25">
      <x:c r="B25" s="11"/>
      <x:c r="C25" s="11"/>
      <x:c r="D25" s="11"/>
      <x:c r="E25" s="11"/>
      <x:c r="F25" s="11"/>
      <x:c r="G25" s="11"/>
      <x:c r="H25" s="11"/>
      <x:c r="I25" s="38"/>
      <x:c r="J25" s="38"/>
      <x:c r="K25" s="38"/>
      <x:c r="L25" s="38"/>
    </x:row>
    <x:row r="26">
      <x:c r="B26" s="23" t="str">
        <x:v>Capital reconciliation</x:v>
      </x:c>
      <x:c r="C26" s="23" t="str">
        <x:v>Capital reconciliation</x:v>
      </x:c>
      <x:c r="D26" s="23" t="str">
        <x:v>Capital reconciliation</x:v>
      </x:c>
      <x:c r="E26" s="23" t="str">
        <x:v>Capital reconciliation</x:v>
      </x:c>
      <x:c r="F26" s="23" t="str">
        <x:v>Capital reconciliation</x:v>
      </x:c>
      <x:c r="G26" s="23" t="str">
        <x:v>Capital reconciliation</x:v>
      </x:c>
      <x:c r="H26" s="23" t="str">
        <x:v>Capital reconciliation</x:v>
      </x:c>
      <x:c r="I26" s="38"/>
      <x:c r="J26" s="38"/>
      <x:c r="K26" s="38"/>
      <x:c r="L26" s="38"/>
    </x:row>
    <x:row r="27">
      <x:c r="B27" s="9" t="str">
        <x:v>Metric</x:v>
      </x:c>
      <x:c r="C27" s="9" t="str">
        <x:v>USD B</x:v>
      </x:c>
      <x:c r="D27" s="9" t="str">
        <x:v>State</x:v>
      </x:c>
      <x:c r="E27" s="11"/>
      <x:c r="F27" s="11"/>
      <x:c r="G27" s="11"/>
      <x:c r="H27" s="11"/>
      <x:c r="I27" s="38"/>
      <x:c r="J27" s="38"/>
      <x:c r="K27" s="38"/>
      <x:c r="L27" s="38"/>
    </x:row>
    <x:row r="28">
      <x:c r="B28" s="11" t="str">
        <x:v>Source-package capital</x:v>
      </x:c>
      <x:c r="C28" s="17" t="n">
        <x:f>SUM(G7:G23)/1000</x:f>
        <x:v>0.16800000000000004</x:v>
      </x:c>
      <x:c r="D28" s="11" t="str">
        <x:f>IF(ABS(C28-'Controls'!$D$27)&lt;0.000001,"PASS","FAIL")</x:f>
        <x:v>PASS</x:v>
      </x:c>
      <x:c r="E28" s="11"/>
      <x:c r="F28" s="11"/>
      <x:c r="G28" s="11"/>
      <x:c r="H28" s="11"/>
      <x:c r="I28" s="38"/>
      <x:c r="J28" s="38"/>
      <x:c r="K28" s="38"/>
      <x:c r="L28" s="38"/>
    </x:row>
    <x:row r="29">
      <x:c r="B29" s="11" t="str">
        <x:v>PTC-0 physical-use capital</x:v>
      </x:c>
      <x:c r="C29" s="17" t="n">
        <x:f>'Controls'!$D$29</x:f>
        <x:v>0.43</x:v>
      </x:c>
      <x:c r="D29" s="11" t="str">
        <x:f>IF(C29&gt;=C28,"PASS","FAIL")</x:f>
        <x:v>PASS</x:v>
      </x:c>
      <x:c r="E29" s="11"/>
      <x:c r="F29" s="11"/>
      <x:c r="G29" s="11"/>
      <x:c r="H29" s="11"/>
      <x:c r="I29" s="38"/>
      <x:c r="J29" s="38"/>
      <x:c r="K29" s="38"/>
      <x:c r="L29" s="38"/>
    </x:row>
    <x:row r="30">
      <x:c r="B30" s="11" t="str">
        <x:v>Share of PTC-0 physical use</x:v>
      </x:c>
      <x:c r="C30" s="26" t="n">
        <x:f>C28/C29</x:f>
        <x:v>0.39069767441860476</x:v>
      </x:c>
      <x:c r="D30" s="11" t="str">
        <x:f>IF(C30&lt;=1,"PASS","FAIL")</x:f>
        <x:v>PASS</x:v>
      </x:c>
      <x:c r="E30" s="11"/>
      <x:c r="F30" s="11"/>
      <x:c r="G30" s="11"/>
      <x:c r="H30" s="11"/>
      <x:c r="I30" s="38"/>
      <x:c r="J30" s="38"/>
      <x:c r="K30" s="38"/>
      <x:c r="L30" s="38"/>
    </x:row>
    <x:row r="31">
      <x:c r="B31" s="11" t="str">
        <x:v>PTC-0 net-new CISA capital</x:v>
      </x:c>
      <x:c r="C31" s="17" t="n">
        <x:f>'Controls'!$D$31</x:f>
        <x:v>0.302</x:v>
      </x:c>
      <x:c r="D31" s="11" t="str">
        <x:f>IF(C31&gt;=C28,"PASS","FAIL")</x:f>
        <x:v>PASS</x:v>
      </x:c>
      <x:c r="E31" s="11"/>
      <x:c r="F31" s="11"/>
      <x:c r="G31" s="11"/>
      <x:c r="H31" s="11"/>
      <x:c r="I31" s="38"/>
      <x:c r="J31" s="38"/>
      <x:c r="K31" s="38"/>
      <x:c r="L31" s="38"/>
    </x:row>
    <x:row r="32">
      <x:c r="B32" s="12" t="str">
        <x:v>Net-new capital remaining after RSP-1</x:v>
      </x:c>
      <x:c r="C32" s="18" t="n">
        <x:f>C31-C28</x:f>
        <x:v>0.13399999999999995</x:v>
      </x:c>
      <x:c r="D32" s="12" t="str">
        <x:f>IF(C32&gt;=0,"PASS","FAIL")</x:f>
        <x:v>PASS</x:v>
      </x:c>
      <x:c r="E32" s="12"/>
      <x:c r="F32" s="12"/>
      <x:c r="G32" s="12"/>
      <x:c r="H32" s="12"/>
      <x:c r="I32" s="38"/>
      <x:c r="J32" s="38"/>
      <x:c r="K32" s="38"/>
      <x:c r="L32" s="38"/>
    </x:row>
  </x:sheetData>
  <x:mergeCells>
    <x:mergeCell ref="B2:L2"/>
    <x:mergeCell ref="B3:L3"/>
    <x:mergeCell ref="B26:H26"/>
  </x:mergeCells>
  <x:conditionalFormatting sqref="D28:D32">
    <x:cfRule type="containsText" dxfId="252" priority="1" operator="containsText" text="PASS"/>
    <x:cfRule type="containsText" dxfId="253" priority="2" operator="containsText" text="AUTHORIZED"/>
    <x:cfRule type="containsText" dxfId="254" priority="3" operator="containsText" text="DEFINED"/>
    <x:cfRule type="containsText" dxfId="255" priority="4" operator="containsText" text="READY"/>
    <x:cfRule type="containsText" dxfId="256" priority="5" operator="containsText" text="HOLD"/>
    <x:cfRule type="containsText" dxfId="257" priority="6" operator="containsText" text="OPEN"/>
    <x:cfRule type="containsText" dxfId="258" priority="7" operator="containsText" text="BLOCKED"/>
    <x:cfRule type="containsText" dxfId="259" priority="8" operator="containsText" text="PLANNING"/>
    <x:cfRule type="containsText" dxfId="260" priority="9" operator="containsText" text="QUARANTINE"/>
    <x:cfRule type="containsText" dxfId="261" priority="10" operator="containsText" text="INDETERMINATE"/>
    <x:cfRule type="containsText" dxfId="262" priority="11" operator="containsText" text="FAIL"/>
    <x:cfRule type="containsText" dxfId="263" priority="12" operator="containsText" text="REJECT"/>
    <x:cfRule type="containsText" dxfId="264" priority="13" operator="containsText" text="INVALID"/>
    <x:cfRule type="containsText" dxfId="265" priority="14" operator="containsText" text="STOP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2" hidden="0" customWidth="1"/>
    <x:col min="3" max="3" width="38" hidden="0" customWidth="1"/>
    <x:col min="4" max="4" width="23" hidden="0" customWidth="1"/>
    <x:col min="5" max="5" width="52" hidden="0" customWidth="1"/>
    <x:col min="6" max="6" width="14" hidden="0" customWidth="1"/>
  </x:cols>
  <x:sheetData>
    <x:row r="2">
      <x:c r="B2" s="37" t="str">
        <x:v>Source-package annual support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39" t="str">
        <x:v>Annual service remains inside PTC-0. Fourteen-month exposure is calculated separately from the recurring annual rate.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9" t="str">
        <x:v>Line</x:v>
      </x:c>
      <x:c r="C6" s="9" t="str">
        <x:v>Annual function</x:v>
      </x:c>
      <x:c r="D6" s="9" t="str">
        <x:v>Annual support (USD M)</x:v>
      </x:c>
      <x:c r="E6" s="9" t="str">
        <x:v>Basis</x:v>
      </x:c>
      <x:c r="F6" s="9" t="str">
        <x:v>State</x:v>
      </x:c>
      <x:c r="G6" s="38"/>
      <x:c r="H6" s="38"/>
      <x:c r="I6" s="38"/>
      <x:c r="J6" s="38"/>
    </x:row>
    <x:row r="7">
      <x:c r="B7" s="11" t="str">
        <x:v>ANN-01</x:v>
      </x:c>
      <x:c r="C7" s="11" t="str">
        <x:v>reference-body preservation</x:v>
      </x:c>
      <x:c r="D7" s="24" t="n">
        <x:v>10.8</x:v>
      </x:c>
      <x:c r="E7" s="11" t="str">
        <x:v>72 bodies; controlled storage and periodic exercise</x:v>
      </x:c>
      <x:c r="F7" s="11" t="str">
        <x:f>IF(D7&gt;=0,"PASS","FAIL")</x:f>
        <x:v>PASS</x:v>
      </x:c>
      <x:c r="G7" s="38"/>
      <x:c r="H7" s="38"/>
      <x:c r="I7" s="38"/>
      <x:c r="J7" s="38"/>
    </x:row>
    <x:row r="8">
      <x:c r="B8" s="11" t="str">
        <x:v>ANN-02</x:v>
      </x:c>
      <x:c r="C8" s="11" t="str">
        <x:v>truth metrology and transfer</x:v>
      </x:c>
      <x:c r="D8" s="24" t="n">
        <x:v>8.4</x:v>
      </x:c>
      <x:c r="E8" s="11" t="str">
        <x:v>two unlike chains and destructive truth</x:v>
      </x:c>
      <x:c r="F8" s="11" t="str">
        <x:f>IF(D8&gt;=0,"PASS","FAIL")</x:f>
        <x:v>PASS</x:v>
      </x:c>
      <x:c r="G8" s="38"/>
      <x:c r="H8" s="38"/>
      <x:c r="I8" s="38"/>
      <x:c r="J8" s="38"/>
    </x:row>
    <x:row r="9">
      <x:c r="B9" s="11" t="str">
        <x:v>ANN-03</x:v>
      </x:c>
      <x:c r="C9" s="11" t="str">
        <x:v>operator, witness and safety assignments</x:v>
      </x:c>
      <x:c r="D9" s="24" t="n">
        <x:v>10.2</x:v>
      </x:c>
      <x:c r="E9" s="11" t="str">
        <x:v>phase-zero duty assignment inside 448 positions</x:v>
      </x:c>
      <x:c r="F9" s="11" t="str">
        <x:f>IF(D9&gt;=0,"PASS","FAIL")</x:f>
        <x:v>PASS</x:v>
      </x:c>
      <x:c r="G9" s="38"/>
      <x:c r="H9" s="38"/>
      <x:c r="I9" s="38"/>
      <x:c r="J9" s="38"/>
    </x:row>
    <x:row r="10">
      <x:c r="B10" s="11" t="str">
        <x:v>ANN-04</x:v>
      </x:c>
      <x:c r="C10" s="11" t="str">
        <x:v>hazard media, reset and waste custody</x:v>
      </x:c>
      <x:c r="D10" s="24" t="n">
        <x:v>5.4</x:v>
      </x:c>
      <x:c r="E10" s="11" t="str">
        <x:v>family media and controlled recovery</x:v>
      </x:c>
      <x:c r="F10" s="11" t="str">
        <x:f>IF(D10&gt;=0,"PASS","FAIL")</x:f>
        <x:v>PASS</x:v>
      </x:c>
      <x:c r="G10" s="38"/>
      <x:c r="H10" s="38"/>
      <x:c r="I10" s="38"/>
      <x:c r="J10" s="38"/>
    </x:row>
    <x:row r="11">
      <x:c r="B11" s="11" t="str">
        <x:v>ANN-05</x:v>
      </x:c>
      <x:c r="C11" s="11" t="str">
        <x:v>cross-site custody and replay</x:v>
      </x:c>
      <x:c r="D11" s="24" t="n">
        <x:v>3.6</x:v>
      </x:c>
      <x:c r="E11" s="11" t="str">
        <x:v>two originals, transport and unlike implementation</x:v>
      </x:c>
      <x:c r="F11" s="11" t="str">
        <x:f>IF(D11&gt;=0,"PASS","FAIL")</x:f>
        <x:v>PASS</x:v>
      </x:c>
      <x:c r="G11" s="38"/>
      <x:c r="H11" s="38"/>
      <x:c r="I11" s="38"/>
      <x:c r="J11" s="38"/>
    </x:row>
    <x:row r="12">
      <x:c r="B12" s="11" t="str">
        <x:v>ANN-06</x:v>
      </x:c>
      <x:c r="C12" s="11" t="str">
        <x:v>controlled source-change reserve</x:v>
      </x:c>
      <x:c r="D12" s="24" t="n">
        <x:v>5.6</x:v>
      </x:c>
      <x:c r="E12" s="11" t="str">
        <x:v>replacement modules and requalification after drift</x:v>
      </x:c>
      <x:c r="F12" s="11" t="str">
        <x:f>IF(D12&gt;=0,"PASS","FAIL")</x:f>
        <x:v>PASS</x:v>
      </x:c>
      <x:c r="G12" s="38"/>
      <x:c r="H12" s="38"/>
      <x:c r="I12" s="38"/>
      <x:c r="J12" s="38"/>
    </x:row>
    <x:row r="13">
      <x:c r="B13" s="11"/>
      <x:c r="C13" s="11"/>
      <x:c r="D13" s="11"/>
      <x:c r="E13" s="11"/>
      <x:c r="F13" s="11"/>
      <x:c r="G13" s="38"/>
      <x:c r="H13" s="38"/>
      <x:c r="I13" s="38"/>
      <x:c r="J13" s="38"/>
    </x:row>
    <x:row r="14">
      <x:c r="B14" s="11"/>
      <x:c r="C14" s="11"/>
      <x:c r="D14" s="11"/>
      <x:c r="E14" s="11"/>
      <x:c r="F14" s="11"/>
      <x:c r="G14" s="38"/>
      <x:c r="H14" s="38"/>
      <x:c r="I14" s="38"/>
      <x:c r="J14" s="38"/>
    </x:row>
    <x:row r="15">
      <x:c r="B15" s="23" t="str">
        <x:v>Annual reconciliation</x:v>
      </x:c>
      <x:c r="C15" s="23" t="str">
        <x:v>Annual reconciliation</x:v>
      </x:c>
      <x:c r="D15" s="23" t="str">
        <x:v>Annual reconciliation</x:v>
      </x:c>
      <x:c r="E15" s="23" t="str">
        <x:v>Annual reconciliation</x:v>
      </x:c>
      <x:c r="F15" s="23" t="str">
        <x:v>Annual reconciliation</x:v>
      </x:c>
      <x:c r="G15" s="38"/>
      <x:c r="H15" s="38"/>
      <x:c r="I15" s="38"/>
      <x:c r="J15" s="38"/>
    </x:row>
    <x:row r="16">
      <x:c r="B16" s="9" t="str">
        <x:v>Metric</x:v>
      </x:c>
      <x:c r="C16" s="9" t="str">
        <x:v>USD B</x:v>
      </x:c>
      <x:c r="D16" s="9" t="str">
        <x:v>State</x:v>
      </x:c>
      <x:c r="E16" s="11"/>
      <x:c r="F16" s="11"/>
      <x:c r="G16" s="38"/>
      <x:c r="H16" s="38"/>
      <x:c r="I16" s="38"/>
      <x:c r="J16" s="38"/>
    </x:row>
    <x:row r="17">
      <x:c r="B17" s="11" t="str">
        <x:v>Source-package annual support</x:v>
      </x:c>
      <x:c r="C17" s="17" t="n">
        <x:f>SUM(D7:D12)/1000</x:f>
        <x:v>0.044000000000000004</x:v>
      </x:c>
      <x:c r="D17" s="11" t="str">
        <x:f>IF(ABS(C17-'Controls'!$D$28)&lt;0.000001,"PASS","FAIL")</x:f>
        <x:v>PASS</x:v>
      </x:c>
      <x:c r="E17" s="11"/>
      <x:c r="F17" s="11"/>
      <x:c r="G17" s="38"/>
      <x:c r="H17" s="38"/>
      <x:c r="I17" s="38"/>
      <x:c r="J17" s="38"/>
    </x:row>
    <x:row r="18">
      <x:c r="B18" s="11" t="str">
        <x:v>PTC-0 annual physical use</x:v>
      </x:c>
      <x:c r="C18" s="17" t="n">
        <x:f>'Controls'!$D$30</x:f>
        <x:v>0.098</x:v>
      </x:c>
      <x:c r="D18" s="11" t="str">
        <x:f>IF(C18&gt;=C17,"PASS","FAIL")</x:f>
        <x:v>PASS</x:v>
      </x:c>
      <x:c r="E18" s="11"/>
      <x:c r="F18" s="11"/>
      <x:c r="G18" s="38"/>
      <x:c r="H18" s="38"/>
      <x:c r="I18" s="38"/>
      <x:c r="J18" s="38"/>
    </x:row>
    <x:row r="19">
      <x:c r="B19" s="11" t="str">
        <x:v>Share of PTC-0 annual use</x:v>
      </x:c>
      <x:c r="C19" s="26" t="n">
        <x:f>C17/C18</x:f>
        <x:v>0.44897959183673475</x:v>
      </x:c>
      <x:c r="D19" s="11" t="str">
        <x:f>IF(C19&lt;=1,"PASS","FAIL")</x:f>
        <x:v>PASS</x:v>
      </x:c>
      <x:c r="E19" s="11"/>
      <x:c r="F19" s="11"/>
      <x:c r="G19" s="38"/>
      <x:c r="H19" s="38"/>
      <x:c r="I19" s="38"/>
      <x:c r="J19" s="38"/>
    </x:row>
    <x:row r="20">
      <x:c r="B20" s="11" t="str">
        <x:v>PTC-0 net-new CISA annual support</x:v>
      </x:c>
      <x:c r="C20" s="17" t="n">
        <x:f>'Controls'!$D$32</x:f>
        <x:v>0.057</x:v>
      </x:c>
      <x:c r="D20" s="11" t="str">
        <x:f>IF(C20&gt;=C17,"PASS","FAIL")</x:f>
        <x:v>PASS</x:v>
      </x:c>
      <x:c r="E20" s="11"/>
      <x:c r="F20" s="11"/>
      <x:c r="G20" s="38"/>
      <x:c r="H20" s="38"/>
      <x:c r="I20" s="38"/>
      <x:c r="J20" s="38"/>
    </x:row>
    <x:row r="21">
      <x:c r="B21" s="11" t="str">
        <x:v>Net-new annual support remaining</x:v>
      </x:c>
      <x:c r="C21" s="17" t="n">
        <x:f>C20-C17</x:f>
        <x:v>0.012999999999999998</x:v>
      </x:c>
      <x:c r="D21" s="11" t="str">
        <x:f>IF(C21&gt;=0,"PASS","FAIL")</x:f>
        <x:v>PASS</x:v>
      </x:c>
      <x:c r="E21" s="11"/>
      <x:c r="F21" s="11"/>
      <x:c r="G21" s="38"/>
      <x:c r="H21" s="38"/>
      <x:c r="I21" s="38"/>
      <x:c r="J21" s="38"/>
    </x:row>
    <x:row r="22">
      <x:c r="B22" s="11" t="str">
        <x:v>Fourteen-month annual-service exposure</x:v>
      </x:c>
      <x:c r="C22" s="17" t="n">
        <x:f>C17*14/12</x:f>
        <x:v>0.05133333333333334</x:v>
      </x:c>
      <x:c r="D22" s="11" t="str">
        <x:f>IF(C22&gt;0,"PASS","FAIL")</x:f>
        <x:v>PASS</x:v>
      </x:c>
      <x:c r="E22" s="11"/>
      <x:c r="F22" s="11"/>
      <x:c r="G22" s="38"/>
      <x:c r="H22" s="38"/>
      <x:c r="I22" s="38"/>
      <x:c r="J22" s="38"/>
    </x:row>
    <x:row r="23">
      <x:c r="B23" s="12" t="str">
        <x:v>Total source-package exposure</x:v>
      </x:c>
      <x:c r="C23" s="18" t="n">
        <x:f>'Capital'!C28+C22</x:f>
        <x:v>0.21933333333333338</x:v>
      </x:c>
      <x:c r="D23" s="12" t="str">
        <x:f>IF(C23&gt;0,"PASS","FAIL")</x:f>
        <x:v>PASS</x:v>
      </x:c>
      <x:c r="E23" s="12"/>
      <x:c r="F23" s="12"/>
      <x:c r="G23" s="38"/>
      <x:c r="H23" s="38"/>
      <x:c r="I23" s="38"/>
      <x:c r="J23" s="38"/>
    </x:row>
  </x:sheetData>
  <x:mergeCells>
    <x:mergeCell ref="B2:J2"/>
    <x:mergeCell ref="B3:J3"/>
    <x:mergeCell ref="B15:F15"/>
  </x:mergeCells>
  <x:conditionalFormatting sqref="F7:F12">
    <x:cfRule type="containsText" dxfId="266" priority="1" operator="containsText" text="PASS"/>
    <x:cfRule type="containsText" dxfId="267" priority="2" operator="containsText" text="AUTHORIZED"/>
    <x:cfRule type="containsText" dxfId="268" priority="3" operator="containsText" text="DEFINED"/>
    <x:cfRule type="containsText" dxfId="269" priority="4" operator="containsText" text="READY"/>
    <x:cfRule type="containsText" dxfId="270" priority="5" operator="containsText" text="HOLD"/>
    <x:cfRule type="containsText" dxfId="271" priority="6" operator="containsText" text="OPEN"/>
    <x:cfRule type="containsText" dxfId="272" priority="7" operator="containsText" text="BLOCKED"/>
    <x:cfRule type="containsText" dxfId="273" priority="8" operator="containsText" text="PLANNING"/>
    <x:cfRule type="containsText" dxfId="274" priority="9" operator="containsText" text="QUARANTINE"/>
    <x:cfRule type="containsText" dxfId="275" priority="10" operator="containsText" text="INDETERMINATE"/>
    <x:cfRule type="containsText" dxfId="276" priority="11" operator="containsText" text="FAIL"/>
    <x:cfRule type="containsText" dxfId="277" priority="12" operator="containsText" text="REJECT"/>
    <x:cfRule type="containsText" dxfId="278" priority="13" operator="containsText" text="INVALID"/>
    <x:cfRule type="containsText" dxfId="279" priority="14" operator="containsText" text="STOP"/>
  </x:conditionalFormatting>
  <x:conditionalFormatting sqref="D17:D23">
    <x:cfRule type="containsText" dxfId="280" priority="15" operator="containsText" text="PASS"/>
    <x:cfRule type="containsText" dxfId="281" priority="16" operator="containsText" text="AUTHORIZED"/>
    <x:cfRule type="containsText" dxfId="282" priority="17" operator="containsText" text="DEFINED"/>
    <x:cfRule type="containsText" dxfId="283" priority="18" operator="containsText" text="READY"/>
    <x:cfRule type="containsText" dxfId="284" priority="19" operator="containsText" text="HOLD"/>
    <x:cfRule type="containsText" dxfId="285" priority="20" operator="containsText" text="OPEN"/>
    <x:cfRule type="containsText" dxfId="286" priority="21" operator="containsText" text="BLOCKED"/>
    <x:cfRule type="containsText" dxfId="287" priority="22" operator="containsText" text="PLANNING"/>
    <x:cfRule type="containsText" dxfId="288" priority="23" operator="containsText" text="QUARANTINE"/>
    <x:cfRule type="containsText" dxfId="289" priority="24" operator="containsText" text="INDETERMINATE"/>
    <x:cfRule type="containsText" dxfId="290" priority="25" operator="containsText" text="FAIL"/>
    <x:cfRule type="containsText" dxfId="291" priority="26" operator="containsText" text="REJECT"/>
    <x:cfRule type="containsText" dxfId="292" priority="27" operator="containsText" text="INVALID"/>
    <x:cfRule type="containsText" dxfId="293" priority="28" operator="containsText" text="STOP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7" hidden="0" customWidth="1"/>
    <x:col min="3" max="3" width="14" hidden="0" customWidth="1"/>
    <x:col min="4" max="4" width="14" hidden="0" customWidth="1"/>
    <x:col min="5" max="5" width="12" hidden="0" customWidth="1"/>
    <x:col min="6" max="6" width="48" hidden="0" customWidth="1"/>
    <x:col min="7" max="7" width="20" hidden="0" customWidth="1"/>
    <x:col min="8" max="8" width="17" hidden="0" customWidth="1"/>
    <x:col min="9" max="9" width="14" hidden="0" customWidth="1"/>
  </x:cols>
  <x:sheetData>
    <x:row r="2">
      <x:c r="B2" s="37" t="str">
        <x:v>Fourteen-month source-package sequence</x:v>
      </x:c>
      <x:c r="C2" s="38"/>
      <x:c r="D2" s="38"/>
      <x:c r="E2" s="38"/>
      <x:c r="F2" s="38"/>
      <x:c r="G2" s="38"/>
      <x:c r="H2" s="38"/>
      <x:c r="I2" s="38"/>
    </x:row>
    <x:row r="3">
      <x:c r="B3" s="39" t="str">
        <x:v>Calendar overlap never substitutes for a missing predecessor object. Each phase exits with a controlled source packet.</x:v>
      </x:c>
      <x:c r="C3" s="38"/>
      <x:c r="D3" s="38"/>
      <x:c r="E3" s="38"/>
      <x:c r="F3" s="38"/>
      <x:c r="G3" s="38"/>
      <x:c r="H3" s="38"/>
      <x:c r="I3" s="38"/>
    </x:row>
    <x:row r="4">
      <x:c r="B4" s="40"/>
      <x:c r="C4" s="40"/>
      <x:c r="D4" s="40"/>
      <x:c r="E4" s="40"/>
      <x:c r="F4" s="40"/>
      <x:c r="G4" s="40"/>
      <x:c r="H4" s="40"/>
      <x:c r="I4" s="40"/>
    </x:row>
    <x:row r="5">
      <x:c r="B5" s="38"/>
      <x:c r="C5" s="38"/>
      <x:c r="D5" s="38"/>
      <x:c r="E5" s="38"/>
      <x:c r="F5" s="38"/>
      <x:c r="G5" s="38"/>
      <x:c r="H5" s="38"/>
      <x:c r="I5" s="38"/>
    </x:row>
    <x:row r="6">
      <x:c r="B6" s="9" t="str">
        <x:v>Phase</x:v>
      </x:c>
      <x:c r="C6" s="9" t="str">
        <x:v>Start month</x:v>
      </x:c>
      <x:c r="D6" s="9" t="str">
        <x:v>End month</x:v>
      </x:c>
      <x:c r="E6" s="9" t="str">
        <x:v>Duration</x:v>
      </x:c>
      <x:c r="F6" s="9" t="str">
        <x:v>Exit object</x:v>
      </x:c>
      <x:c r="G6" s="9" t="str">
        <x:v>Predecessor complete</x:v>
      </x:c>
      <x:c r="H6" s="9" t="str">
        <x:v>End within limit</x:v>
      </x:c>
      <x:c r="I6" s="9" t="str">
        <x:v>State</x:v>
      </x:c>
    </x:row>
    <x:row r="7">
      <x:c r="B7" s="11" t="str">
        <x:v>source grammar and safety freeze</x:v>
      </x:c>
      <x:c r="C7" s="13" t="n">
        <x:v>0</x:v>
      </x:c>
      <x:c r="D7" s="13" t="n">
        <x:v>2</x:v>
      </x:c>
      <x:c r="E7" s="11" t="n">
        <x:f>D7-C7</x:f>
        <x:v>2</x:v>
      </x:c>
      <x:c r="F7" s="11" t="str">
        <x:v>signed requirements and independent review</x:v>
      </x:c>
      <x:c r="G7" s="11" t="n">
        <x:v>1</x:v>
      </x:c>
      <x:c r="H7" s="11" t="n">
        <x:f>IF(D7&lt;='Controls'!$D$26,1,0)</x:f>
        <x:v>1</x:v>
      </x:c>
      <x:c r="I7" s="11" t="str">
        <x:f>IF(AND(G7=1,H7=1),"PASS","FAIL")</x:f>
        <x:v>PASS</x:v>
      </x:c>
    </x:row>
    <x:row r="8">
      <x:c r="B8" s="11" t="str">
        <x:v>root-native body design</x:v>
      </x:c>
      <x:c r="C8" s="13" t="n">
        <x:v>1</x:v>
      </x:c>
      <x:c r="D8" s="13" t="n">
        <x:v>4</x:v>
      </x:c>
      <x:c r="E8" s="11" t="n">
        <x:f>D8-C8</x:f>
        <x:v>3</x:v>
      </x:c>
      <x:c r="F8" s="11" t="str">
        <x:v>twelve root-family released body packages</x:v>
      </x:c>
      <x:c r="G8" s="11" t="n">
        <x:v>1</x:v>
      </x:c>
      <x:c r="H8" s="11" t="n">
        <x:f>IF(D8&lt;='Controls'!$D$26,1,0)</x:f>
        <x:v>1</x:v>
      </x:c>
      <x:c r="I8" s="11" t="str">
        <x:f>IF(AND(G8=1,H8=1),"PASS","FAIL")</x:f>
        <x:v>PASS</x:v>
      </x:c>
    </x:row>
    <x:row r="9">
      <x:c r="B9" s="11" t="str">
        <x:v>reference-body fabrication</x:v>
      </x:c>
      <x:c r="C9" s="13" t="n">
        <x:v>3</x:v>
      </x:c>
      <x:c r="D9" s="13" t="n">
        <x:v>8</x:v>
      </x:c>
      <x:c r="E9" s="11" t="n">
        <x:f>D9-C9</x:f>
        <x:v>5</x:v>
      </x:c>
      <x:c r="F9" s="11" t="str">
        <x:v>seventy-two serialized bodies</x:v>
      </x:c>
      <x:c r="G9" s="11" t="n">
        <x:v>1</x:v>
      </x:c>
      <x:c r="H9" s="11" t="n">
        <x:f>IF(D9&lt;='Controls'!$D$26,1,0)</x:f>
        <x:v>1</x:v>
      </x:c>
      <x:c r="I9" s="11" t="str">
        <x:f>IF(AND(G9=1,H9=1),"PASS","FAIL")</x:f>
        <x:v>PASS</x:v>
      </x:c>
    </x:row>
    <x:row r="10">
      <x:c r="B10" s="11" t="str">
        <x:v>truth-module manufacture</x:v>
      </x:c>
      <x:c r="C10" s="13" t="n">
        <x:v>3</x:v>
      </x:c>
      <x:c r="D10" s="13" t="n">
        <x:v>8</x:v>
      </x:c>
      <x:c r="E10" s="11" t="n">
        <x:f>D10-C10</x:f>
        <x:v>5</x:v>
      </x:c>
      <x:c r="F10" s="11" t="str">
        <x:v>288 blindable modules</x:v>
      </x:c>
      <x:c r="G10" s="11" t="n">
        <x:v>1</x:v>
      </x:c>
      <x:c r="H10" s="11" t="n">
        <x:f>IF(D10&lt;='Controls'!$D$26,1,0)</x:f>
        <x:v>1</x:v>
      </x:c>
      <x:c r="I10" s="11" t="str">
        <x:f>IF(AND(G10=1,H10=1),"PASS","FAIL")</x:f>
        <x:v>PASS</x:v>
      </x:c>
    </x:row>
    <x:row r="11">
      <x:c r="B11" s="11" t="str">
        <x:v>metrology and destructive truth</x:v>
      </x:c>
      <x:c r="C11" s="13" t="n">
        <x:v>5</x:v>
      </x:c>
      <x:c r="D11" s="13" t="n">
        <x:v>10</x:v>
      </x:c>
      <x:c r="E11" s="11" t="n">
        <x:f>D11-C11</x:f>
        <x:v>5</x:v>
      </x:c>
      <x:c r="F11" s="11" t="str">
        <x:v>traceable truth files and retained twins</x:v>
      </x:c>
      <x:c r="G11" s="11" t="n">
        <x:v>1</x:v>
      </x:c>
      <x:c r="H11" s="11" t="n">
        <x:f>IF(D11&lt;='Controls'!$D$26,1,0)</x:f>
        <x:v>1</x:v>
      </x:c>
      <x:c r="I11" s="11" t="str">
        <x:f>IF(AND(G11=1,H11=1),"PASS","FAIL")</x:f>
        <x:v>PASS</x:v>
      </x:c>
    </x:row>
    <x:row r="12">
      <x:c r="B12" s="11" t="str">
        <x:v>failure-insertion kit assembly</x:v>
      </x:c>
      <x:c r="C12" s="13" t="n">
        <x:v>5</x:v>
      </x:c>
      <x:c r="D12" s="13" t="n">
        <x:v>9</x:v>
      </x:c>
      <x:c r="E12" s="11" t="n">
        <x:f>D12-C12</x:f>
        <x:v>4</x:v>
      </x:c>
      <x:c r="F12" s="11" t="str">
        <x:v>twenty-four independent kits</x:v>
      </x:c>
      <x:c r="G12" s="11" t="n">
        <x:v>1</x:v>
      </x:c>
      <x:c r="H12" s="11" t="n">
        <x:f>IF(D12&lt;='Controls'!$D$26,1,0)</x:f>
        <x:v>1</x:v>
      </x:c>
      <x:c r="I12" s="11" t="str">
        <x:f>IF(AND(G12=1,H12=1),"PASS","FAIL")</x:f>
        <x:v>PASS</x:v>
      </x:c>
    </x:row>
    <x:row r="13">
      <x:c r="B13" s="11" t="str">
        <x:v>lane installation and checkout</x:v>
      </x:c>
      <x:c r="C13" s="13" t="n">
        <x:v>8</x:v>
      </x:c>
      <x:c r="D13" s="13" t="n">
        <x:v>12</x:v>
      </x:c>
      <x:c r="E13" s="11" t="n">
        <x:f>D13-C13</x:f>
        <x:v>4</x:v>
      </x:c>
      <x:c r="F13" s="11" t="str">
        <x:v>mounted bodies, fixtures and safe-state rehearsals</x:v>
      </x:c>
      <x:c r="G13" s="11" t="n">
        <x:v>1</x:v>
      </x:c>
      <x:c r="H13" s="11" t="n">
        <x:f>IF(D13&lt;='Controls'!$D$26,1,0)</x:f>
        <x:v>1</x:v>
      </x:c>
      <x:c r="I13" s="11" t="str">
        <x:f>IF(AND(G13=1,H13=1),"PASS","FAIL")</x:f>
        <x:v>PASS</x:v>
      </x:c>
    </x:row>
    <x:row r="14">
      <x:c r="B14" s="11" t="str">
        <x:v>phase-zero execution</x:v>
      </x:c>
      <x:c r="C14" s="13" t="n">
        <x:v>10</x:v>
      </x:c>
      <x:c r="D14" s="13" t="n">
        <x:v>14</x:v>
      </x:c>
      <x:c r="E14" s="11" t="n">
        <x:f>D14-C14</x:f>
        <x:v>4</x:v>
      </x:c>
      <x:c r="F14" s="11" t="str">
        <x:v>120 lane events, 24 drills and 12 replays</x:v>
      </x:c>
      <x:c r="G14" s="11" t="n">
        <x:v>1</x:v>
      </x:c>
      <x:c r="H14" s="11" t="n">
        <x:f>IF(D14&lt;='Controls'!$D$26,1,0)</x:f>
        <x:v>1</x:v>
      </x:c>
      <x:c r="I14" s="11" t="str">
        <x:f>IF(AND(G14=1,H14=1),"PASS","FAIL")</x:f>
        <x:v>PASS</x:v>
      </x:c>
    </x:row>
    <x:row r="15">
      <x:c r="B15" s="11" t="str">
        <x:v>physical acceptance board</x:v>
      </x:c>
      <x:c r="C15" s="13" t="n">
        <x:v>13</x:v>
      </x:c>
      <x:c r="D15" s="13" t="n">
        <x:v>14</x:v>
      </x:c>
      <x:c r="E15" s="11" t="n">
        <x:f>D15-C15</x:f>
        <x:v>1</x:v>
      </x:c>
      <x:c r="F15" s="11" t="str">
        <x:v>thirty-six source-gate dispositions</x:v>
      </x:c>
      <x:c r="G15" s="11" t="n">
        <x:v>1</x:v>
      </x:c>
      <x:c r="H15" s="11" t="n">
        <x:f>IF(D15&lt;='Controls'!$D$26,1,0)</x:f>
        <x:v>1</x:v>
      </x:c>
      <x:c r="I15" s="11" t="str">
        <x:f>IF(AND(G15=1,H15=1),"PASS","FAIL")</x:f>
        <x:v>PASS</x:v>
      </x:c>
    </x:row>
    <x:row r="16">
      <x:c r="B16" s="11"/>
      <x:c r="C16" s="11"/>
      <x:c r="D16" s="11"/>
      <x:c r="E16" s="11"/>
      <x:c r="F16" s="11"/>
      <x:c r="G16" s="11"/>
      <x:c r="H16" s="11"/>
      <x:c r="I16" s="11"/>
    </x:row>
    <x:row r="17">
      <x:c r="B17" s="11"/>
      <x:c r="C17" s="11"/>
      <x:c r="D17" s="11"/>
      <x:c r="E17" s="11"/>
      <x:c r="F17" s="11"/>
      <x:c r="G17" s="11"/>
      <x:c r="H17" s="11"/>
      <x:c r="I17" s="11"/>
    </x:row>
    <x:row r="18">
      <x:c r="B18" s="11"/>
      <x:c r="C18" s="11"/>
      <x:c r="D18" s="11"/>
      <x:c r="E18" s="11"/>
      <x:c r="F18" s="11"/>
      <x:c r="G18" s="11"/>
      <x:c r="H18" s="11"/>
      <x:c r="I18" s="11"/>
    </x:row>
    <x:row r="19">
      <x:c r="B19" s="23" t="str">
        <x:v>Schedule result</x:v>
      </x:c>
      <x:c r="C19" s="23" t="str">
        <x:v>Schedule result</x:v>
      </x:c>
      <x:c r="D19" s="23" t="str">
        <x:v>Schedule result</x:v>
      </x:c>
      <x:c r="E19" s="23" t="str">
        <x:v>Schedule result</x:v>
      </x:c>
      <x:c r="F19" s="23" t="str">
        <x:v>Schedule result</x:v>
      </x:c>
      <x:c r="G19" s="23" t="str">
        <x:v>Schedule result</x:v>
      </x:c>
      <x:c r="H19" s="23" t="str">
        <x:v>Schedule result</x:v>
      </x:c>
      <x:c r="I19" s="23" t="str">
        <x:v>Schedule result</x:v>
      </x:c>
    </x:row>
    <x:row r="20">
      <x:c r="B20" s="9" t="str">
        <x:v>Maximum end month</x:v>
      </x:c>
      <x:c r="C20" s="9" t="str">
        <x:v>Limit</x:v>
      </x:c>
      <x:c r="D20" s="9" t="str">
        <x:v>State</x:v>
      </x:c>
      <x:c r="E20" s="11"/>
      <x:c r="F20" s="11"/>
      <x:c r="G20" s="11"/>
      <x:c r="H20" s="11"/>
      <x:c r="I20" s="11"/>
    </x:row>
    <x:row r="21">
      <x:c r="B21" s="12" t="n">
        <x:f>MAX(D7:D15)</x:f>
        <x:v>14</x:v>
      </x:c>
      <x:c r="C21" s="12" t="n">
        <x:f>'Controls'!$D$26</x:f>
        <x:v>14</x:v>
      </x:c>
      <x:c r="D21" s="12" t="str">
        <x:f>IF(B21&lt;=C21,"PASS","FAIL")</x:f>
        <x:v>PASS</x:v>
      </x:c>
      <x:c r="E21" s="12"/>
      <x:c r="F21" s="12"/>
      <x:c r="G21" s="12"/>
      <x:c r="H21" s="12"/>
      <x:c r="I21" s="12"/>
    </x:row>
  </x:sheetData>
  <x:mergeCells>
    <x:mergeCell ref="B2:I2"/>
    <x:mergeCell ref="B3:I3"/>
    <x:mergeCell ref="B19:I19"/>
  </x:mergeCells>
  <x:conditionalFormatting sqref="I7:I15">
    <x:cfRule type="containsText" dxfId="294" priority="1" operator="containsText" text="PASS"/>
    <x:cfRule type="containsText" dxfId="295" priority="2" operator="containsText" text="AUTHORIZED"/>
    <x:cfRule type="containsText" dxfId="296" priority="3" operator="containsText" text="DEFINED"/>
    <x:cfRule type="containsText" dxfId="297" priority="4" operator="containsText" text="READY"/>
    <x:cfRule type="containsText" dxfId="298" priority="5" operator="containsText" text="HOLD"/>
    <x:cfRule type="containsText" dxfId="299" priority="6" operator="containsText" text="OPEN"/>
    <x:cfRule type="containsText" dxfId="300" priority="7" operator="containsText" text="BLOCKED"/>
    <x:cfRule type="containsText" dxfId="301" priority="8" operator="containsText" text="PLANNING"/>
    <x:cfRule type="containsText" dxfId="302" priority="9" operator="containsText" text="QUARANTINE"/>
    <x:cfRule type="containsText" dxfId="303" priority="10" operator="containsText" text="INDETERMINATE"/>
    <x:cfRule type="containsText" dxfId="304" priority="11" operator="containsText" text="FAIL"/>
    <x:cfRule type="containsText" dxfId="305" priority="12" operator="containsText" text="REJECT"/>
    <x:cfRule type="containsText" dxfId="306" priority="13" operator="containsText" text="INVALID"/>
    <x:cfRule type="containsText" dxfId="307" priority="14" operator="containsText" text="STOP"/>
  </x:conditionalFormatting>
  <x:conditionalFormatting sqref="D21:D21">
    <x:cfRule type="containsText" dxfId="308" priority="15" operator="containsText" text="PASS"/>
    <x:cfRule type="containsText" dxfId="309" priority="16" operator="containsText" text="AUTHORIZED"/>
    <x:cfRule type="containsText" dxfId="310" priority="17" operator="containsText" text="DEFINED"/>
    <x:cfRule type="containsText" dxfId="311" priority="18" operator="containsText" text="READY"/>
    <x:cfRule type="containsText" dxfId="312" priority="19" operator="containsText" text="HOLD"/>
    <x:cfRule type="containsText" dxfId="313" priority="20" operator="containsText" text="OPEN"/>
    <x:cfRule type="containsText" dxfId="314" priority="21" operator="containsText" text="BLOCKED"/>
    <x:cfRule type="containsText" dxfId="315" priority="22" operator="containsText" text="PLANNING"/>
    <x:cfRule type="containsText" dxfId="316" priority="23" operator="containsText" text="QUARANTINE"/>
    <x:cfRule type="containsText" dxfId="317" priority="24" operator="containsText" text="INDETERMINATE"/>
    <x:cfRule type="containsText" dxfId="318" priority="25" operator="containsText" text="FAIL"/>
    <x:cfRule type="containsText" dxfId="319" priority="26" operator="containsText" text="REJECT"/>
    <x:cfRule type="containsText" dxfId="320" priority="27" operator="containsText" text="INVALID"/>
    <x:cfRule type="containsText" dxfId="321" priority="28" operator="containsText" text="STOP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8" hidden="0" customWidth="1"/>
    <x:col min="4" max="4" width="35" hidden="0" customWidth="1"/>
    <x:col min="5" max="5" width="24" hidden="0" customWidth="1"/>
    <x:col min="6" max="6" width="29" hidden="0" customWidth="1"/>
    <x:col min="7" max="7" width="45" hidden="0" customWidth="1"/>
    <x:col min="8" max="8" width="15" hidden="0" customWidth="1"/>
    <x:col min="9" max="9" width="30" hidden="0" customWidth="1"/>
  </x:cols>
  <x:sheetData>
    <x:row r="2">
      <x:c r="B2" s="37" t="str">
        <x:v>Planning, physical-source and downstream release gates</x:v>
      </x:c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B3" s="39" t="str">
        <x:v>Planning completeness cannot close a physical gate. Downstream authorities remain separate from both.</x:v>
      </x:c>
      <x:c r="C3" s="38"/>
      <x:c r="D3" s="38"/>
      <x:c r="E3" s="38"/>
      <x:c r="F3" s="38"/>
      <x:c r="G3" s="38"/>
      <x:c r="H3" s="38"/>
      <x:c r="I3" s="38"/>
      <x:c r="J3" s="38"/>
      <x:c r="K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  <x:c r="K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  <x:row r="6">
      <x:c r="B6" s="9" t="str">
        <x:v>Gate ID</x:v>
      </x:c>
      <x:c r="C6" s="9" t="str">
        <x:v>Gate class</x:v>
      </x:c>
      <x:c r="D6" s="9" t="str">
        <x:v>Type</x:v>
      </x:c>
      <x:c r="E6" s="9" t="str">
        <x:v>Object</x:v>
      </x:c>
      <x:c r="F6" s="9" t="str">
        <x:v>Authority</x:v>
      </x:c>
      <x:c r="G6" s="9" t="str">
        <x:v>Evidence required</x:v>
      </x:c>
      <x:c r="H6" s="9" t="str">
        <x:v>State</x:v>
      </x:c>
      <x:c r="I6" s="9" t="str">
        <x:v>Action</x:v>
      </x:c>
      <x:c r="J6" s="38"/>
      <x:c r="K6" s="38"/>
    </x:row>
    <x:row r="7">
      <x:c r="B7" s="11" t="str">
        <x:v>PG-ART-001</x:v>
      </x:c>
      <x:c r="C7" s="11" t="str">
        <x:v>planning</x:v>
      </x:c>
      <x:c r="D7" s="11" t="str">
        <x:v>reference-body build package</x:v>
      </x:c>
      <x:c r="E7" s="11" t="str">
        <x:v>RA-SA1-01-A1</x:v>
      </x:c>
      <x:c r="F7" s="11" t="str">
        <x:v>RSP-1 planning authority</x:v>
      </x:c>
      <x:c r="G7" s="11" t="str">
        <x:v>complete controlled definition</x:v>
      </x:c>
      <x:c r="H7" s="11" t="str">
        <x:f>'Article Register'!Q7</x:f>
        <x:v>PASS</x:v>
      </x:c>
      <x:c r="I7" s="11" t="str">
        <x:f>IF(H7="PASS","none","repair planning package")</x:f>
        <x:v>none</x:v>
      </x:c>
      <x:c r="J7" s="38"/>
      <x:c r="K7" s="38"/>
    </x:row>
    <x:row r="8">
      <x:c r="B8" s="11" t="str">
        <x:v>PG-ART-002</x:v>
      </x:c>
      <x:c r="C8" s="11" t="str">
        <x:v>planning</x:v>
      </x:c>
      <x:c r="D8" s="11" t="str">
        <x:v>reference-body build package</x:v>
      </x:c>
      <x:c r="E8" s="11" t="str">
        <x:v>RA-SA1-01-A2</x:v>
      </x:c>
      <x:c r="F8" s="11" t="str">
        <x:v>RSP-1 planning authority</x:v>
      </x:c>
      <x:c r="G8" s="11" t="str">
        <x:v>complete controlled definition</x:v>
      </x:c>
      <x:c r="H8" s="11" t="str">
        <x:f>'Article Register'!Q8</x:f>
        <x:v>PASS</x:v>
      </x:c>
      <x:c r="I8" s="11" t="str">
        <x:f>IF(H8="PASS","none","repair planning package")</x:f>
        <x:v>none</x:v>
      </x:c>
      <x:c r="J8" s="38"/>
      <x:c r="K8" s="38"/>
    </x:row>
    <x:row r="9">
      <x:c r="B9" s="11" t="str">
        <x:v>PG-ART-003</x:v>
      </x:c>
      <x:c r="C9" s="11" t="str">
        <x:v>planning</x:v>
      </x:c>
      <x:c r="D9" s="11" t="str">
        <x:v>reference-body build package</x:v>
      </x:c>
      <x:c r="E9" s="11" t="str">
        <x:v>RA-SA1-01-A3</x:v>
      </x:c>
      <x:c r="F9" s="11" t="str">
        <x:v>RSP-1 planning authority</x:v>
      </x:c>
      <x:c r="G9" s="11" t="str">
        <x:v>complete controlled definition</x:v>
      </x:c>
      <x:c r="H9" s="11" t="str">
        <x:f>'Article Register'!Q9</x:f>
        <x:v>PASS</x:v>
      </x:c>
      <x:c r="I9" s="11" t="str">
        <x:f>IF(H9="PASS","none","repair planning package")</x:f>
        <x:v>none</x:v>
      </x:c>
      <x:c r="J9" s="38"/>
      <x:c r="K9" s="38"/>
    </x:row>
    <x:row r="10">
      <x:c r="B10" s="11" t="str">
        <x:v>PG-ART-004</x:v>
      </x:c>
      <x:c r="C10" s="11" t="str">
        <x:v>planning</x:v>
      </x:c>
      <x:c r="D10" s="11" t="str">
        <x:v>reference-body build package</x:v>
      </x:c>
      <x:c r="E10" s="11" t="str">
        <x:v>RA-SA1-01-B1</x:v>
      </x:c>
      <x:c r="F10" s="11" t="str">
        <x:v>RSP-1 planning authority</x:v>
      </x:c>
      <x:c r="G10" s="11" t="str">
        <x:v>complete controlled definition</x:v>
      </x:c>
      <x:c r="H10" s="11" t="str">
        <x:f>'Article Register'!Q10</x:f>
        <x:v>PASS</x:v>
      </x:c>
      <x:c r="I10" s="11" t="str">
        <x:f>IF(H10="PASS","none","repair planning package")</x:f>
        <x:v>none</x:v>
      </x:c>
      <x:c r="J10" s="38"/>
      <x:c r="K10" s="38"/>
    </x:row>
    <x:row r="11">
      <x:c r="B11" s="11" t="str">
        <x:v>PG-ART-005</x:v>
      </x:c>
      <x:c r="C11" s="11" t="str">
        <x:v>planning</x:v>
      </x:c>
      <x:c r="D11" s="11" t="str">
        <x:v>reference-body build package</x:v>
      </x:c>
      <x:c r="E11" s="11" t="str">
        <x:v>RA-SA1-01-B2</x:v>
      </x:c>
      <x:c r="F11" s="11" t="str">
        <x:v>RSP-1 planning authority</x:v>
      </x:c>
      <x:c r="G11" s="11" t="str">
        <x:v>complete controlled definition</x:v>
      </x:c>
      <x:c r="H11" s="11" t="str">
        <x:f>'Article Register'!Q11</x:f>
        <x:v>PASS</x:v>
      </x:c>
      <x:c r="I11" s="11" t="str">
        <x:f>IF(H11="PASS","none","repair planning package")</x:f>
        <x:v>none</x:v>
      </x:c>
      <x:c r="J11" s="38"/>
      <x:c r="K11" s="38"/>
    </x:row>
    <x:row r="12">
      <x:c r="B12" s="11" t="str">
        <x:v>PG-ART-006</x:v>
      </x:c>
      <x:c r="C12" s="11" t="str">
        <x:v>planning</x:v>
      </x:c>
      <x:c r="D12" s="11" t="str">
        <x:v>reference-body build package</x:v>
      </x:c>
      <x:c r="E12" s="11" t="str">
        <x:v>RA-SA1-01-B3</x:v>
      </x:c>
      <x:c r="F12" s="11" t="str">
        <x:v>RSP-1 planning authority</x:v>
      </x:c>
      <x:c r="G12" s="11" t="str">
        <x:v>complete controlled definition</x:v>
      </x:c>
      <x:c r="H12" s="11" t="str">
        <x:f>'Article Register'!Q12</x:f>
        <x:v>PASS</x:v>
      </x:c>
      <x:c r="I12" s="11" t="str">
        <x:f>IF(H12="PASS","none","repair planning package")</x:f>
        <x:v>none</x:v>
      </x:c>
      <x:c r="J12" s="38"/>
      <x:c r="K12" s="38"/>
    </x:row>
    <x:row r="13">
      <x:c r="B13" s="11" t="str">
        <x:v>PG-ART-007</x:v>
      </x:c>
      <x:c r="C13" s="11" t="str">
        <x:v>planning</x:v>
      </x:c>
      <x:c r="D13" s="11" t="str">
        <x:v>reference-body build package</x:v>
      </x:c>
      <x:c r="E13" s="11" t="str">
        <x:v>RA-SA1-02-A1</x:v>
      </x:c>
      <x:c r="F13" s="11" t="str">
        <x:v>RSP-1 planning authority</x:v>
      </x:c>
      <x:c r="G13" s="11" t="str">
        <x:v>complete controlled definition</x:v>
      </x:c>
      <x:c r="H13" s="11" t="str">
        <x:f>'Article Register'!Q13</x:f>
        <x:v>PASS</x:v>
      </x:c>
      <x:c r="I13" s="11" t="str">
        <x:f>IF(H13="PASS","none","repair planning package")</x:f>
        <x:v>none</x:v>
      </x:c>
      <x:c r="J13" s="38"/>
      <x:c r="K13" s="38"/>
    </x:row>
    <x:row r="14">
      <x:c r="B14" s="11" t="str">
        <x:v>PG-ART-008</x:v>
      </x:c>
      <x:c r="C14" s="11" t="str">
        <x:v>planning</x:v>
      </x:c>
      <x:c r="D14" s="11" t="str">
        <x:v>reference-body build package</x:v>
      </x:c>
      <x:c r="E14" s="11" t="str">
        <x:v>RA-SA1-02-A2</x:v>
      </x:c>
      <x:c r="F14" s="11" t="str">
        <x:v>RSP-1 planning authority</x:v>
      </x:c>
      <x:c r="G14" s="11" t="str">
        <x:v>complete controlled definition</x:v>
      </x:c>
      <x:c r="H14" s="11" t="str">
        <x:f>'Article Register'!Q14</x:f>
        <x:v>PASS</x:v>
      </x:c>
      <x:c r="I14" s="11" t="str">
        <x:f>IF(H14="PASS","none","repair planning package")</x:f>
        <x:v>none</x:v>
      </x:c>
      <x:c r="J14" s="38"/>
      <x:c r="K14" s="38"/>
    </x:row>
    <x:row r="15">
      <x:c r="B15" s="11" t="str">
        <x:v>PG-ART-009</x:v>
      </x:c>
      <x:c r="C15" s="11" t="str">
        <x:v>planning</x:v>
      </x:c>
      <x:c r="D15" s="11" t="str">
        <x:v>reference-body build package</x:v>
      </x:c>
      <x:c r="E15" s="11" t="str">
        <x:v>RA-SA1-02-A3</x:v>
      </x:c>
      <x:c r="F15" s="11" t="str">
        <x:v>RSP-1 planning authority</x:v>
      </x:c>
      <x:c r="G15" s="11" t="str">
        <x:v>complete controlled definition</x:v>
      </x:c>
      <x:c r="H15" s="11" t="str">
        <x:f>'Article Register'!Q15</x:f>
        <x:v>PASS</x:v>
      </x:c>
      <x:c r="I15" s="11" t="str">
        <x:f>IF(H15="PASS","none","repair planning package")</x:f>
        <x:v>none</x:v>
      </x:c>
      <x:c r="J15" s="38"/>
      <x:c r="K15" s="38"/>
    </x:row>
    <x:row r="16">
      <x:c r="B16" s="11" t="str">
        <x:v>PG-ART-010</x:v>
      </x:c>
      <x:c r="C16" s="11" t="str">
        <x:v>planning</x:v>
      </x:c>
      <x:c r="D16" s="11" t="str">
        <x:v>reference-body build package</x:v>
      </x:c>
      <x:c r="E16" s="11" t="str">
        <x:v>RA-SA1-02-B1</x:v>
      </x:c>
      <x:c r="F16" s="11" t="str">
        <x:v>RSP-1 planning authority</x:v>
      </x:c>
      <x:c r="G16" s="11" t="str">
        <x:v>complete controlled definition</x:v>
      </x:c>
      <x:c r="H16" s="11" t="str">
        <x:f>'Article Register'!Q16</x:f>
        <x:v>PASS</x:v>
      </x:c>
      <x:c r="I16" s="11" t="str">
        <x:f>IF(H16="PASS","none","repair planning package")</x:f>
        <x:v>none</x:v>
      </x:c>
      <x:c r="J16" s="38"/>
      <x:c r="K16" s="38"/>
    </x:row>
    <x:row r="17">
      <x:c r="B17" s="11" t="str">
        <x:v>PG-ART-011</x:v>
      </x:c>
      <x:c r="C17" s="11" t="str">
        <x:v>planning</x:v>
      </x:c>
      <x:c r="D17" s="11" t="str">
        <x:v>reference-body build package</x:v>
      </x:c>
      <x:c r="E17" s="11" t="str">
        <x:v>RA-SA1-02-B2</x:v>
      </x:c>
      <x:c r="F17" s="11" t="str">
        <x:v>RSP-1 planning authority</x:v>
      </x:c>
      <x:c r="G17" s="11" t="str">
        <x:v>complete controlled definition</x:v>
      </x:c>
      <x:c r="H17" s="11" t="str">
        <x:f>'Article Register'!Q17</x:f>
        <x:v>PASS</x:v>
      </x:c>
      <x:c r="I17" s="11" t="str">
        <x:f>IF(H17="PASS","none","repair planning package")</x:f>
        <x:v>none</x:v>
      </x:c>
      <x:c r="J17" s="38"/>
      <x:c r="K17" s="38"/>
    </x:row>
    <x:row r="18">
      <x:c r="B18" s="11" t="str">
        <x:v>PG-ART-012</x:v>
      </x:c>
      <x:c r="C18" s="11" t="str">
        <x:v>planning</x:v>
      </x:c>
      <x:c r="D18" s="11" t="str">
        <x:v>reference-body build package</x:v>
      </x:c>
      <x:c r="E18" s="11" t="str">
        <x:v>RA-SA1-02-B3</x:v>
      </x:c>
      <x:c r="F18" s="11" t="str">
        <x:v>RSP-1 planning authority</x:v>
      </x:c>
      <x:c r="G18" s="11" t="str">
        <x:v>complete controlled definition</x:v>
      </x:c>
      <x:c r="H18" s="11" t="str">
        <x:f>'Article Register'!Q18</x:f>
        <x:v>PASS</x:v>
      </x:c>
      <x:c r="I18" s="11" t="str">
        <x:f>IF(H18="PASS","none","repair planning package")</x:f>
        <x:v>none</x:v>
      </x:c>
      <x:c r="J18" s="38"/>
      <x:c r="K18" s="38"/>
    </x:row>
    <x:row r="19">
      <x:c r="B19" s="11" t="str">
        <x:v>PG-ART-013</x:v>
      </x:c>
      <x:c r="C19" s="11" t="str">
        <x:v>planning</x:v>
      </x:c>
      <x:c r="D19" s="11" t="str">
        <x:v>reference-body build package</x:v>
      </x:c>
      <x:c r="E19" s="11" t="str">
        <x:v>RA-SA2-03-A1</x:v>
      </x:c>
      <x:c r="F19" s="11" t="str">
        <x:v>RSP-1 planning authority</x:v>
      </x:c>
      <x:c r="G19" s="11" t="str">
        <x:v>complete controlled definition</x:v>
      </x:c>
      <x:c r="H19" s="11" t="str">
        <x:f>'Article Register'!Q19</x:f>
        <x:v>PASS</x:v>
      </x:c>
      <x:c r="I19" s="11" t="str">
        <x:f>IF(H19="PASS","none","repair planning package")</x:f>
        <x:v>none</x:v>
      </x:c>
      <x:c r="J19" s="38"/>
      <x:c r="K19" s="38"/>
    </x:row>
    <x:row r="20">
      <x:c r="B20" s="11" t="str">
        <x:v>PG-ART-014</x:v>
      </x:c>
      <x:c r="C20" s="11" t="str">
        <x:v>planning</x:v>
      </x:c>
      <x:c r="D20" s="11" t="str">
        <x:v>reference-body build package</x:v>
      </x:c>
      <x:c r="E20" s="11" t="str">
        <x:v>RA-SA2-03-A2</x:v>
      </x:c>
      <x:c r="F20" s="11" t="str">
        <x:v>RSP-1 planning authority</x:v>
      </x:c>
      <x:c r="G20" s="11" t="str">
        <x:v>complete controlled definition</x:v>
      </x:c>
      <x:c r="H20" s="11" t="str">
        <x:f>'Article Register'!Q20</x:f>
        <x:v>PASS</x:v>
      </x:c>
      <x:c r="I20" s="11" t="str">
        <x:f>IF(H20="PASS","none","repair planning package")</x:f>
        <x:v>none</x:v>
      </x:c>
      <x:c r="J20" s="38"/>
      <x:c r="K20" s="38"/>
    </x:row>
    <x:row r="21">
      <x:c r="B21" s="11" t="str">
        <x:v>PG-ART-015</x:v>
      </x:c>
      <x:c r="C21" s="11" t="str">
        <x:v>planning</x:v>
      </x:c>
      <x:c r="D21" s="11" t="str">
        <x:v>reference-body build package</x:v>
      </x:c>
      <x:c r="E21" s="11" t="str">
        <x:v>RA-SA2-03-A3</x:v>
      </x:c>
      <x:c r="F21" s="11" t="str">
        <x:v>RSP-1 planning authority</x:v>
      </x:c>
      <x:c r="G21" s="11" t="str">
        <x:v>complete controlled definition</x:v>
      </x:c>
      <x:c r="H21" s="11" t="str">
        <x:f>'Article Register'!Q21</x:f>
        <x:v>PASS</x:v>
      </x:c>
      <x:c r="I21" s="11" t="str">
        <x:f>IF(H21="PASS","none","repair planning package")</x:f>
        <x:v>none</x:v>
      </x:c>
      <x:c r="J21" s="38"/>
      <x:c r="K21" s="38"/>
    </x:row>
    <x:row r="22">
      <x:c r="B22" s="11" t="str">
        <x:v>PG-ART-016</x:v>
      </x:c>
      <x:c r="C22" s="11" t="str">
        <x:v>planning</x:v>
      </x:c>
      <x:c r="D22" s="11" t="str">
        <x:v>reference-body build package</x:v>
      </x:c>
      <x:c r="E22" s="11" t="str">
        <x:v>RA-SA2-03-B1</x:v>
      </x:c>
      <x:c r="F22" s="11" t="str">
        <x:v>RSP-1 planning authority</x:v>
      </x:c>
      <x:c r="G22" s="11" t="str">
        <x:v>complete controlled definition</x:v>
      </x:c>
      <x:c r="H22" s="11" t="str">
        <x:f>'Article Register'!Q22</x:f>
        <x:v>PASS</x:v>
      </x:c>
      <x:c r="I22" s="11" t="str">
        <x:f>IF(H22="PASS","none","repair planning package")</x:f>
        <x:v>none</x:v>
      </x:c>
      <x:c r="J22" s="38"/>
      <x:c r="K22" s="38"/>
    </x:row>
    <x:row r="23">
      <x:c r="B23" s="11" t="str">
        <x:v>PG-ART-017</x:v>
      </x:c>
      <x:c r="C23" s="11" t="str">
        <x:v>planning</x:v>
      </x:c>
      <x:c r="D23" s="11" t="str">
        <x:v>reference-body build package</x:v>
      </x:c>
      <x:c r="E23" s="11" t="str">
        <x:v>RA-SA2-03-B2</x:v>
      </x:c>
      <x:c r="F23" s="11" t="str">
        <x:v>RSP-1 planning authority</x:v>
      </x:c>
      <x:c r="G23" s="11" t="str">
        <x:v>complete controlled definition</x:v>
      </x:c>
      <x:c r="H23" s="11" t="str">
        <x:f>'Article Register'!Q23</x:f>
        <x:v>PASS</x:v>
      </x:c>
      <x:c r="I23" s="11" t="str">
        <x:f>IF(H23="PASS","none","repair planning package")</x:f>
        <x:v>none</x:v>
      </x:c>
      <x:c r="J23" s="38"/>
      <x:c r="K23" s="38"/>
    </x:row>
    <x:row r="24">
      <x:c r="B24" s="11" t="str">
        <x:v>PG-ART-018</x:v>
      </x:c>
      <x:c r="C24" s="11" t="str">
        <x:v>planning</x:v>
      </x:c>
      <x:c r="D24" s="11" t="str">
        <x:v>reference-body build package</x:v>
      </x:c>
      <x:c r="E24" s="11" t="str">
        <x:v>RA-SA2-03-B3</x:v>
      </x:c>
      <x:c r="F24" s="11" t="str">
        <x:v>RSP-1 planning authority</x:v>
      </x:c>
      <x:c r="G24" s="11" t="str">
        <x:v>complete controlled definition</x:v>
      </x:c>
      <x:c r="H24" s="11" t="str">
        <x:f>'Article Register'!Q24</x:f>
        <x:v>PASS</x:v>
      </x:c>
      <x:c r="I24" s="11" t="str">
        <x:f>IF(H24="PASS","none","repair planning package")</x:f>
        <x:v>none</x:v>
      </x:c>
      <x:c r="J24" s="38"/>
      <x:c r="K24" s="38"/>
    </x:row>
    <x:row r="25">
      <x:c r="B25" s="11" t="str">
        <x:v>PG-ART-019</x:v>
      </x:c>
      <x:c r="C25" s="11" t="str">
        <x:v>planning</x:v>
      </x:c>
      <x:c r="D25" s="11" t="str">
        <x:v>reference-body build package</x:v>
      </x:c>
      <x:c r="E25" s="11" t="str">
        <x:v>RA-SA2-04-A1</x:v>
      </x:c>
      <x:c r="F25" s="11" t="str">
        <x:v>RSP-1 planning authority</x:v>
      </x:c>
      <x:c r="G25" s="11" t="str">
        <x:v>complete controlled definition</x:v>
      </x:c>
      <x:c r="H25" s="11" t="str">
        <x:f>'Article Register'!Q25</x:f>
        <x:v>PASS</x:v>
      </x:c>
      <x:c r="I25" s="11" t="str">
        <x:f>IF(H25="PASS","none","repair planning package")</x:f>
        <x:v>none</x:v>
      </x:c>
      <x:c r="J25" s="38"/>
      <x:c r="K25" s="38"/>
    </x:row>
    <x:row r="26">
      <x:c r="B26" s="11" t="str">
        <x:v>PG-ART-020</x:v>
      </x:c>
      <x:c r="C26" s="11" t="str">
        <x:v>planning</x:v>
      </x:c>
      <x:c r="D26" s="11" t="str">
        <x:v>reference-body build package</x:v>
      </x:c>
      <x:c r="E26" s="11" t="str">
        <x:v>RA-SA2-04-A2</x:v>
      </x:c>
      <x:c r="F26" s="11" t="str">
        <x:v>RSP-1 planning authority</x:v>
      </x:c>
      <x:c r="G26" s="11" t="str">
        <x:v>complete controlled definition</x:v>
      </x:c>
      <x:c r="H26" s="11" t="str">
        <x:f>'Article Register'!Q26</x:f>
        <x:v>PASS</x:v>
      </x:c>
      <x:c r="I26" s="11" t="str">
        <x:f>IF(H26="PASS","none","repair planning package")</x:f>
        <x:v>none</x:v>
      </x:c>
      <x:c r="J26" s="38"/>
      <x:c r="K26" s="38"/>
    </x:row>
    <x:row r="27">
      <x:c r="B27" s="11" t="str">
        <x:v>PG-ART-021</x:v>
      </x:c>
      <x:c r="C27" s="11" t="str">
        <x:v>planning</x:v>
      </x:c>
      <x:c r="D27" s="11" t="str">
        <x:v>reference-body build package</x:v>
      </x:c>
      <x:c r="E27" s="11" t="str">
        <x:v>RA-SA2-04-A3</x:v>
      </x:c>
      <x:c r="F27" s="11" t="str">
        <x:v>RSP-1 planning authority</x:v>
      </x:c>
      <x:c r="G27" s="11" t="str">
        <x:v>complete controlled definition</x:v>
      </x:c>
      <x:c r="H27" s="11" t="str">
        <x:f>'Article Register'!Q27</x:f>
        <x:v>PASS</x:v>
      </x:c>
      <x:c r="I27" s="11" t="str">
        <x:f>IF(H27="PASS","none","repair planning package")</x:f>
        <x:v>none</x:v>
      </x:c>
      <x:c r="J27" s="38"/>
      <x:c r="K27" s="38"/>
    </x:row>
    <x:row r="28">
      <x:c r="B28" s="11" t="str">
        <x:v>PG-ART-022</x:v>
      </x:c>
      <x:c r="C28" s="11" t="str">
        <x:v>planning</x:v>
      </x:c>
      <x:c r="D28" s="11" t="str">
        <x:v>reference-body build package</x:v>
      </x:c>
      <x:c r="E28" s="11" t="str">
        <x:v>RA-SA2-04-B1</x:v>
      </x:c>
      <x:c r="F28" s="11" t="str">
        <x:v>RSP-1 planning authority</x:v>
      </x:c>
      <x:c r="G28" s="11" t="str">
        <x:v>complete controlled definition</x:v>
      </x:c>
      <x:c r="H28" s="11" t="str">
        <x:f>'Article Register'!Q28</x:f>
        <x:v>PASS</x:v>
      </x:c>
      <x:c r="I28" s="11" t="str">
        <x:f>IF(H28="PASS","none","repair planning package")</x:f>
        <x:v>none</x:v>
      </x:c>
      <x:c r="J28" s="38"/>
      <x:c r="K28" s="38"/>
    </x:row>
    <x:row r="29">
      <x:c r="B29" s="11" t="str">
        <x:v>PG-ART-023</x:v>
      </x:c>
      <x:c r="C29" s="11" t="str">
        <x:v>planning</x:v>
      </x:c>
      <x:c r="D29" s="11" t="str">
        <x:v>reference-body build package</x:v>
      </x:c>
      <x:c r="E29" s="11" t="str">
        <x:v>RA-SA2-04-B2</x:v>
      </x:c>
      <x:c r="F29" s="11" t="str">
        <x:v>RSP-1 planning authority</x:v>
      </x:c>
      <x:c r="G29" s="11" t="str">
        <x:v>complete controlled definition</x:v>
      </x:c>
      <x:c r="H29" s="11" t="str">
        <x:f>'Article Register'!Q29</x:f>
        <x:v>PASS</x:v>
      </x:c>
      <x:c r="I29" s="11" t="str">
        <x:f>IF(H29="PASS","none","repair planning package")</x:f>
        <x:v>none</x:v>
      </x:c>
      <x:c r="J29" s="38"/>
      <x:c r="K29" s="38"/>
    </x:row>
    <x:row r="30">
      <x:c r="B30" s="11" t="str">
        <x:v>PG-ART-024</x:v>
      </x:c>
      <x:c r="C30" s="11" t="str">
        <x:v>planning</x:v>
      </x:c>
      <x:c r="D30" s="11" t="str">
        <x:v>reference-body build package</x:v>
      </x:c>
      <x:c r="E30" s="11" t="str">
        <x:v>RA-SA2-04-B3</x:v>
      </x:c>
      <x:c r="F30" s="11" t="str">
        <x:v>RSP-1 planning authority</x:v>
      </x:c>
      <x:c r="G30" s="11" t="str">
        <x:v>complete controlled definition</x:v>
      </x:c>
      <x:c r="H30" s="11" t="str">
        <x:f>'Article Register'!Q30</x:f>
        <x:v>PASS</x:v>
      </x:c>
      <x:c r="I30" s="11" t="str">
        <x:f>IF(H30="PASS","none","repair planning package")</x:f>
        <x:v>none</x:v>
      </x:c>
      <x:c r="J30" s="38"/>
      <x:c r="K30" s="38"/>
    </x:row>
    <x:row r="31">
      <x:c r="B31" s="11" t="str">
        <x:v>PG-ART-025</x:v>
      </x:c>
      <x:c r="C31" s="11" t="str">
        <x:v>planning</x:v>
      </x:c>
      <x:c r="D31" s="11" t="str">
        <x:v>reference-body build package</x:v>
      </x:c>
      <x:c r="E31" s="11" t="str">
        <x:v>RA-SA3-05-A1</x:v>
      </x:c>
      <x:c r="F31" s="11" t="str">
        <x:v>RSP-1 planning authority</x:v>
      </x:c>
      <x:c r="G31" s="11" t="str">
        <x:v>complete controlled definition</x:v>
      </x:c>
      <x:c r="H31" s="11" t="str">
        <x:f>'Article Register'!Q31</x:f>
        <x:v>PASS</x:v>
      </x:c>
      <x:c r="I31" s="11" t="str">
        <x:f>IF(H31="PASS","none","repair planning package")</x:f>
        <x:v>none</x:v>
      </x:c>
      <x:c r="J31" s="38"/>
      <x:c r="K31" s="38"/>
    </x:row>
    <x:row r="32">
      <x:c r="B32" s="11" t="str">
        <x:v>PG-ART-026</x:v>
      </x:c>
      <x:c r="C32" s="11" t="str">
        <x:v>planning</x:v>
      </x:c>
      <x:c r="D32" s="11" t="str">
        <x:v>reference-body build package</x:v>
      </x:c>
      <x:c r="E32" s="11" t="str">
        <x:v>RA-SA3-05-A2</x:v>
      </x:c>
      <x:c r="F32" s="11" t="str">
        <x:v>RSP-1 planning authority</x:v>
      </x:c>
      <x:c r="G32" s="11" t="str">
        <x:v>complete controlled definition</x:v>
      </x:c>
      <x:c r="H32" s="11" t="str">
        <x:f>'Article Register'!Q32</x:f>
        <x:v>PASS</x:v>
      </x:c>
      <x:c r="I32" s="11" t="str">
        <x:f>IF(H32="PASS","none","repair planning package")</x:f>
        <x:v>none</x:v>
      </x:c>
      <x:c r="J32" s="38"/>
      <x:c r="K32" s="38"/>
    </x:row>
    <x:row r="33">
      <x:c r="B33" s="11" t="str">
        <x:v>PG-ART-027</x:v>
      </x:c>
      <x:c r="C33" s="11" t="str">
        <x:v>planning</x:v>
      </x:c>
      <x:c r="D33" s="11" t="str">
        <x:v>reference-body build package</x:v>
      </x:c>
      <x:c r="E33" s="11" t="str">
        <x:v>RA-SA3-05-A3</x:v>
      </x:c>
      <x:c r="F33" s="11" t="str">
        <x:v>RSP-1 planning authority</x:v>
      </x:c>
      <x:c r="G33" s="11" t="str">
        <x:v>complete controlled definition</x:v>
      </x:c>
      <x:c r="H33" s="11" t="str">
        <x:f>'Article Register'!Q33</x:f>
        <x:v>PASS</x:v>
      </x:c>
      <x:c r="I33" s="11" t="str">
        <x:f>IF(H33="PASS","none","repair planning package")</x:f>
        <x:v>none</x:v>
      </x:c>
      <x:c r="J33" s="38"/>
      <x:c r="K33" s="38"/>
    </x:row>
    <x:row r="34">
      <x:c r="B34" s="11" t="str">
        <x:v>PG-ART-028</x:v>
      </x:c>
      <x:c r="C34" s="11" t="str">
        <x:v>planning</x:v>
      </x:c>
      <x:c r="D34" s="11" t="str">
        <x:v>reference-body build package</x:v>
      </x:c>
      <x:c r="E34" s="11" t="str">
        <x:v>RA-SA3-05-B1</x:v>
      </x:c>
      <x:c r="F34" s="11" t="str">
        <x:v>RSP-1 planning authority</x:v>
      </x:c>
      <x:c r="G34" s="11" t="str">
        <x:v>complete controlled definition</x:v>
      </x:c>
      <x:c r="H34" s="11" t="str">
        <x:f>'Article Register'!Q34</x:f>
        <x:v>PASS</x:v>
      </x:c>
      <x:c r="I34" s="11" t="str">
        <x:f>IF(H34="PASS","none","repair planning package")</x:f>
        <x:v>none</x:v>
      </x:c>
      <x:c r="J34" s="38"/>
      <x:c r="K34" s="38"/>
    </x:row>
    <x:row r="35">
      <x:c r="B35" s="11" t="str">
        <x:v>PG-ART-029</x:v>
      </x:c>
      <x:c r="C35" s="11" t="str">
        <x:v>planning</x:v>
      </x:c>
      <x:c r="D35" s="11" t="str">
        <x:v>reference-body build package</x:v>
      </x:c>
      <x:c r="E35" s="11" t="str">
        <x:v>RA-SA3-05-B2</x:v>
      </x:c>
      <x:c r="F35" s="11" t="str">
        <x:v>RSP-1 planning authority</x:v>
      </x:c>
      <x:c r="G35" s="11" t="str">
        <x:v>complete controlled definition</x:v>
      </x:c>
      <x:c r="H35" s="11" t="str">
        <x:f>'Article Register'!Q35</x:f>
        <x:v>PASS</x:v>
      </x:c>
      <x:c r="I35" s="11" t="str">
        <x:f>IF(H35="PASS","none","repair planning package")</x:f>
        <x:v>none</x:v>
      </x:c>
      <x:c r="J35" s="38"/>
      <x:c r="K35" s="38"/>
    </x:row>
    <x:row r="36">
      <x:c r="B36" s="11" t="str">
        <x:v>PG-ART-030</x:v>
      </x:c>
      <x:c r="C36" s="11" t="str">
        <x:v>planning</x:v>
      </x:c>
      <x:c r="D36" s="11" t="str">
        <x:v>reference-body build package</x:v>
      </x:c>
      <x:c r="E36" s="11" t="str">
        <x:v>RA-SA3-05-B3</x:v>
      </x:c>
      <x:c r="F36" s="11" t="str">
        <x:v>RSP-1 planning authority</x:v>
      </x:c>
      <x:c r="G36" s="11" t="str">
        <x:v>complete controlled definition</x:v>
      </x:c>
      <x:c r="H36" s="11" t="str">
        <x:f>'Article Register'!Q36</x:f>
        <x:v>PASS</x:v>
      </x:c>
      <x:c r="I36" s="11" t="str">
        <x:f>IF(H36="PASS","none","repair planning package")</x:f>
        <x:v>none</x:v>
      </x:c>
      <x:c r="J36" s="38"/>
      <x:c r="K36" s="38"/>
    </x:row>
    <x:row r="37">
      <x:c r="B37" s="11" t="str">
        <x:v>PG-ART-031</x:v>
      </x:c>
      <x:c r="C37" s="11" t="str">
        <x:v>planning</x:v>
      </x:c>
      <x:c r="D37" s="11" t="str">
        <x:v>reference-body build package</x:v>
      </x:c>
      <x:c r="E37" s="11" t="str">
        <x:v>RA-SA3-06-A1</x:v>
      </x:c>
      <x:c r="F37" s="11" t="str">
        <x:v>RSP-1 planning authority</x:v>
      </x:c>
      <x:c r="G37" s="11" t="str">
        <x:v>complete controlled definition</x:v>
      </x:c>
      <x:c r="H37" s="11" t="str">
        <x:f>'Article Register'!Q37</x:f>
        <x:v>PASS</x:v>
      </x:c>
      <x:c r="I37" s="11" t="str">
        <x:f>IF(H37="PASS","none","repair planning package")</x:f>
        <x:v>none</x:v>
      </x:c>
      <x:c r="J37" s="38"/>
      <x:c r="K37" s="38"/>
    </x:row>
    <x:row r="38">
      <x:c r="B38" s="11" t="str">
        <x:v>PG-ART-032</x:v>
      </x:c>
      <x:c r="C38" s="11" t="str">
        <x:v>planning</x:v>
      </x:c>
      <x:c r="D38" s="11" t="str">
        <x:v>reference-body build package</x:v>
      </x:c>
      <x:c r="E38" s="11" t="str">
        <x:v>RA-SA3-06-A2</x:v>
      </x:c>
      <x:c r="F38" s="11" t="str">
        <x:v>RSP-1 planning authority</x:v>
      </x:c>
      <x:c r="G38" s="11" t="str">
        <x:v>complete controlled definition</x:v>
      </x:c>
      <x:c r="H38" s="11" t="str">
        <x:f>'Article Register'!Q38</x:f>
        <x:v>PASS</x:v>
      </x:c>
      <x:c r="I38" s="11" t="str">
        <x:f>IF(H38="PASS","none","repair planning package")</x:f>
        <x:v>none</x:v>
      </x:c>
      <x:c r="J38" s="38"/>
      <x:c r="K38" s="38"/>
    </x:row>
    <x:row r="39">
      <x:c r="B39" s="11" t="str">
        <x:v>PG-ART-033</x:v>
      </x:c>
      <x:c r="C39" s="11" t="str">
        <x:v>planning</x:v>
      </x:c>
      <x:c r="D39" s="11" t="str">
        <x:v>reference-body build package</x:v>
      </x:c>
      <x:c r="E39" s="11" t="str">
        <x:v>RA-SA3-06-A3</x:v>
      </x:c>
      <x:c r="F39" s="11" t="str">
        <x:v>RSP-1 planning authority</x:v>
      </x:c>
      <x:c r="G39" s="11" t="str">
        <x:v>complete controlled definition</x:v>
      </x:c>
      <x:c r="H39" s="11" t="str">
        <x:f>'Article Register'!Q39</x:f>
        <x:v>PASS</x:v>
      </x:c>
      <x:c r="I39" s="11" t="str">
        <x:f>IF(H39="PASS","none","repair planning package")</x:f>
        <x:v>none</x:v>
      </x:c>
      <x:c r="J39" s="38"/>
      <x:c r="K39" s="38"/>
    </x:row>
    <x:row r="40">
      <x:c r="B40" s="11" t="str">
        <x:v>PG-ART-034</x:v>
      </x:c>
      <x:c r="C40" s="11" t="str">
        <x:v>planning</x:v>
      </x:c>
      <x:c r="D40" s="11" t="str">
        <x:v>reference-body build package</x:v>
      </x:c>
      <x:c r="E40" s="11" t="str">
        <x:v>RA-SA3-06-B1</x:v>
      </x:c>
      <x:c r="F40" s="11" t="str">
        <x:v>RSP-1 planning authority</x:v>
      </x:c>
      <x:c r="G40" s="11" t="str">
        <x:v>complete controlled definition</x:v>
      </x:c>
      <x:c r="H40" s="11" t="str">
        <x:f>'Article Register'!Q40</x:f>
        <x:v>PASS</x:v>
      </x:c>
      <x:c r="I40" s="11" t="str">
        <x:f>IF(H40="PASS","none","repair planning package")</x:f>
        <x:v>none</x:v>
      </x:c>
      <x:c r="J40" s="38"/>
      <x:c r="K40" s="38"/>
    </x:row>
    <x:row r="41">
      <x:c r="B41" s="11" t="str">
        <x:v>PG-ART-035</x:v>
      </x:c>
      <x:c r="C41" s="11" t="str">
        <x:v>planning</x:v>
      </x:c>
      <x:c r="D41" s="11" t="str">
        <x:v>reference-body build package</x:v>
      </x:c>
      <x:c r="E41" s="11" t="str">
        <x:v>RA-SA3-06-B2</x:v>
      </x:c>
      <x:c r="F41" s="11" t="str">
        <x:v>RSP-1 planning authority</x:v>
      </x:c>
      <x:c r="G41" s="11" t="str">
        <x:v>complete controlled definition</x:v>
      </x:c>
      <x:c r="H41" s="11" t="str">
        <x:f>'Article Register'!Q41</x:f>
        <x:v>PASS</x:v>
      </x:c>
      <x:c r="I41" s="11" t="str">
        <x:f>IF(H41="PASS","none","repair planning package")</x:f>
        <x:v>none</x:v>
      </x:c>
      <x:c r="J41" s="38"/>
      <x:c r="K41" s="38"/>
    </x:row>
    <x:row r="42">
      <x:c r="B42" s="11" t="str">
        <x:v>PG-ART-036</x:v>
      </x:c>
      <x:c r="C42" s="11" t="str">
        <x:v>planning</x:v>
      </x:c>
      <x:c r="D42" s="11" t="str">
        <x:v>reference-body build package</x:v>
      </x:c>
      <x:c r="E42" s="11" t="str">
        <x:v>RA-SA3-06-B3</x:v>
      </x:c>
      <x:c r="F42" s="11" t="str">
        <x:v>RSP-1 planning authority</x:v>
      </x:c>
      <x:c r="G42" s="11" t="str">
        <x:v>complete controlled definition</x:v>
      </x:c>
      <x:c r="H42" s="11" t="str">
        <x:f>'Article Register'!Q42</x:f>
        <x:v>PASS</x:v>
      </x:c>
      <x:c r="I42" s="11" t="str">
        <x:f>IF(H42="PASS","none","repair planning package")</x:f>
        <x:v>none</x:v>
      </x:c>
      <x:c r="J42" s="38"/>
      <x:c r="K42" s="38"/>
    </x:row>
    <x:row r="43">
      <x:c r="B43" s="11" t="str">
        <x:v>PG-ART-037</x:v>
      </x:c>
      <x:c r="C43" s="11" t="str">
        <x:v>planning</x:v>
      </x:c>
      <x:c r="D43" s="11" t="str">
        <x:v>reference-body build package</x:v>
      </x:c>
      <x:c r="E43" s="11" t="str">
        <x:v>RA-SA4-07-A1</x:v>
      </x:c>
      <x:c r="F43" s="11" t="str">
        <x:v>RSP-1 planning authority</x:v>
      </x:c>
      <x:c r="G43" s="11" t="str">
        <x:v>complete controlled definition</x:v>
      </x:c>
      <x:c r="H43" s="11" t="str">
        <x:f>'Article Register'!Q43</x:f>
        <x:v>PASS</x:v>
      </x:c>
      <x:c r="I43" s="11" t="str">
        <x:f>IF(H43="PASS","none","repair planning package")</x:f>
        <x:v>none</x:v>
      </x:c>
      <x:c r="J43" s="38"/>
      <x:c r="K43" s="38"/>
    </x:row>
    <x:row r="44">
      <x:c r="B44" s="11" t="str">
        <x:v>PG-ART-038</x:v>
      </x:c>
      <x:c r="C44" s="11" t="str">
        <x:v>planning</x:v>
      </x:c>
      <x:c r="D44" s="11" t="str">
        <x:v>reference-body build package</x:v>
      </x:c>
      <x:c r="E44" s="11" t="str">
        <x:v>RA-SA4-07-A2</x:v>
      </x:c>
      <x:c r="F44" s="11" t="str">
        <x:v>RSP-1 planning authority</x:v>
      </x:c>
      <x:c r="G44" s="11" t="str">
        <x:v>complete controlled definition</x:v>
      </x:c>
      <x:c r="H44" s="11" t="str">
        <x:f>'Article Register'!Q44</x:f>
        <x:v>PASS</x:v>
      </x:c>
      <x:c r="I44" s="11" t="str">
        <x:f>IF(H44="PASS","none","repair planning package")</x:f>
        <x:v>none</x:v>
      </x:c>
      <x:c r="J44" s="38"/>
      <x:c r="K44" s="38"/>
    </x:row>
    <x:row r="45">
      <x:c r="B45" s="11" t="str">
        <x:v>PG-ART-039</x:v>
      </x:c>
      <x:c r="C45" s="11" t="str">
        <x:v>planning</x:v>
      </x:c>
      <x:c r="D45" s="11" t="str">
        <x:v>reference-body build package</x:v>
      </x:c>
      <x:c r="E45" s="11" t="str">
        <x:v>RA-SA4-07-A3</x:v>
      </x:c>
      <x:c r="F45" s="11" t="str">
        <x:v>RSP-1 planning authority</x:v>
      </x:c>
      <x:c r="G45" s="11" t="str">
        <x:v>complete controlled definition</x:v>
      </x:c>
      <x:c r="H45" s="11" t="str">
        <x:f>'Article Register'!Q45</x:f>
        <x:v>PASS</x:v>
      </x:c>
      <x:c r="I45" s="11" t="str">
        <x:f>IF(H45="PASS","none","repair planning package")</x:f>
        <x:v>none</x:v>
      </x:c>
      <x:c r="J45" s="38"/>
      <x:c r="K45" s="38"/>
    </x:row>
    <x:row r="46">
      <x:c r="B46" s="11" t="str">
        <x:v>PG-ART-040</x:v>
      </x:c>
      <x:c r="C46" s="11" t="str">
        <x:v>planning</x:v>
      </x:c>
      <x:c r="D46" s="11" t="str">
        <x:v>reference-body build package</x:v>
      </x:c>
      <x:c r="E46" s="11" t="str">
        <x:v>RA-SA4-07-B1</x:v>
      </x:c>
      <x:c r="F46" s="11" t="str">
        <x:v>RSP-1 planning authority</x:v>
      </x:c>
      <x:c r="G46" s="11" t="str">
        <x:v>complete controlled definition</x:v>
      </x:c>
      <x:c r="H46" s="11" t="str">
        <x:f>'Article Register'!Q46</x:f>
        <x:v>PASS</x:v>
      </x:c>
      <x:c r="I46" s="11" t="str">
        <x:f>IF(H46="PASS","none","repair planning package")</x:f>
        <x:v>none</x:v>
      </x:c>
      <x:c r="J46" s="38"/>
      <x:c r="K46" s="38"/>
    </x:row>
    <x:row r="47">
      <x:c r="B47" s="11" t="str">
        <x:v>PG-ART-041</x:v>
      </x:c>
      <x:c r="C47" s="11" t="str">
        <x:v>planning</x:v>
      </x:c>
      <x:c r="D47" s="11" t="str">
        <x:v>reference-body build package</x:v>
      </x:c>
      <x:c r="E47" s="11" t="str">
        <x:v>RA-SA4-07-B2</x:v>
      </x:c>
      <x:c r="F47" s="11" t="str">
        <x:v>RSP-1 planning authority</x:v>
      </x:c>
      <x:c r="G47" s="11" t="str">
        <x:v>complete controlled definition</x:v>
      </x:c>
      <x:c r="H47" s="11" t="str">
        <x:f>'Article Register'!Q47</x:f>
        <x:v>PASS</x:v>
      </x:c>
      <x:c r="I47" s="11" t="str">
        <x:f>IF(H47="PASS","none","repair planning package")</x:f>
        <x:v>none</x:v>
      </x:c>
      <x:c r="J47" s="38"/>
      <x:c r="K47" s="38"/>
    </x:row>
    <x:row r="48">
      <x:c r="B48" s="11" t="str">
        <x:v>PG-ART-042</x:v>
      </x:c>
      <x:c r="C48" s="11" t="str">
        <x:v>planning</x:v>
      </x:c>
      <x:c r="D48" s="11" t="str">
        <x:v>reference-body build package</x:v>
      </x:c>
      <x:c r="E48" s="11" t="str">
        <x:v>RA-SA4-07-B3</x:v>
      </x:c>
      <x:c r="F48" s="11" t="str">
        <x:v>RSP-1 planning authority</x:v>
      </x:c>
      <x:c r="G48" s="11" t="str">
        <x:v>complete controlled definition</x:v>
      </x:c>
      <x:c r="H48" s="11" t="str">
        <x:f>'Article Register'!Q48</x:f>
        <x:v>PASS</x:v>
      </x:c>
      <x:c r="I48" s="11" t="str">
        <x:f>IF(H48="PASS","none","repair planning package")</x:f>
        <x:v>none</x:v>
      </x:c>
      <x:c r="J48" s="38"/>
      <x:c r="K48" s="38"/>
    </x:row>
    <x:row r="49">
      <x:c r="B49" s="11" t="str">
        <x:v>PG-ART-043</x:v>
      </x:c>
      <x:c r="C49" s="11" t="str">
        <x:v>planning</x:v>
      </x:c>
      <x:c r="D49" s="11" t="str">
        <x:v>reference-body build package</x:v>
      </x:c>
      <x:c r="E49" s="11" t="str">
        <x:v>RA-SA4-08-A1</x:v>
      </x:c>
      <x:c r="F49" s="11" t="str">
        <x:v>RSP-1 planning authority</x:v>
      </x:c>
      <x:c r="G49" s="11" t="str">
        <x:v>complete controlled definition</x:v>
      </x:c>
      <x:c r="H49" s="11" t="str">
        <x:f>'Article Register'!Q49</x:f>
        <x:v>PASS</x:v>
      </x:c>
      <x:c r="I49" s="11" t="str">
        <x:f>IF(H49="PASS","none","repair planning package")</x:f>
        <x:v>none</x:v>
      </x:c>
      <x:c r="J49" s="38"/>
      <x:c r="K49" s="38"/>
    </x:row>
    <x:row r="50">
      <x:c r="B50" s="11" t="str">
        <x:v>PG-ART-044</x:v>
      </x:c>
      <x:c r="C50" s="11" t="str">
        <x:v>planning</x:v>
      </x:c>
      <x:c r="D50" s="11" t="str">
        <x:v>reference-body build package</x:v>
      </x:c>
      <x:c r="E50" s="11" t="str">
        <x:v>RA-SA4-08-A2</x:v>
      </x:c>
      <x:c r="F50" s="11" t="str">
        <x:v>RSP-1 planning authority</x:v>
      </x:c>
      <x:c r="G50" s="11" t="str">
        <x:v>complete controlled definition</x:v>
      </x:c>
      <x:c r="H50" s="11" t="str">
        <x:f>'Article Register'!Q50</x:f>
        <x:v>PASS</x:v>
      </x:c>
      <x:c r="I50" s="11" t="str">
        <x:f>IF(H50="PASS","none","repair planning package")</x:f>
        <x:v>none</x:v>
      </x:c>
      <x:c r="J50" s="38"/>
      <x:c r="K50" s="38"/>
    </x:row>
    <x:row r="51">
      <x:c r="B51" s="11" t="str">
        <x:v>PG-ART-045</x:v>
      </x:c>
      <x:c r="C51" s="11" t="str">
        <x:v>planning</x:v>
      </x:c>
      <x:c r="D51" s="11" t="str">
        <x:v>reference-body build package</x:v>
      </x:c>
      <x:c r="E51" s="11" t="str">
        <x:v>RA-SA4-08-A3</x:v>
      </x:c>
      <x:c r="F51" s="11" t="str">
        <x:v>RSP-1 planning authority</x:v>
      </x:c>
      <x:c r="G51" s="11" t="str">
        <x:v>complete controlled definition</x:v>
      </x:c>
      <x:c r="H51" s="11" t="str">
        <x:f>'Article Register'!Q51</x:f>
        <x:v>PASS</x:v>
      </x:c>
      <x:c r="I51" s="11" t="str">
        <x:f>IF(H51="PASS","none","repair planning package")</x:f>
        <x:v>none</x:v>
      </x:c>
      <x:c r="J51" s="38"/>
      <x:c r="K51" s="38"/>
    </x:row>
    <x:row r="52">
      <x:c r="B52" s="11" t="str">
        <x:v>PG-ART-046</x:v>
      </x:c>
      <x:c r="C52" s="11" t="str">
        <x:v>planning</x:v>
      </x:c>
      <x:c r="D52" s="11" t="str">
        <x:v>reference-body build package</x:v>
      </x:c>
      <x:c r="E52" s="11" t="str">
        <x:v>RA-SA4-08-B1</x:v>
      </x:c>
      <x:c r="F52" s="11" t="str">
        <x:v>RSP-1 planning authority</x:v>
      </x:c>
      <x:c r="G52" s="11" t="str">
        <x:v>complete controlled definition</x:v>
      </x:c>
      <x:c r="H52" s="11" t="str">
        <x:f>'Article Register'!Q52</x:f>
        <x:v>PASS</x:v>
      </x:c>
      <x:c r="I52" s="11" t="str">
        <x:f>IF(H52="PASS","none","repair planning package")</x:f>
        <x:v>none</x:v>
      </x:c>
      <x:c r="J52" s="38"/>
      <x:c r="K52" s="38"/>
    </x:row>
    <x:row r="53">
      <x:c r="B53" s="11" t="str">
        <x:v>PG-ART-047</x:v>
      </x:c>
      <x:c r="C53" s="11" t="str">
        <x:v>planning</x:v>
      </x:c>
      <x:c r="D53" s="11" t="str">
        <x:v>reference-body build package</x:v>
      </x:c>
      <x:c r="E53" s="11" t="str">
        <x:v>RA-SA4-08-B2</x:v>
      </x:c>
      <x:c r="F53" s="11" t="str">
        <x:v>RSP-1 planning authority</x:v>
      </x:c>
      <x:c r="G53" s="11" t="str">
        <x:v>complete controlled definition</x:v>
      </x:c>
      <x:c r="H53" s="11" t="str">
        <x:f>'Article Register'!Q53</x:f>
        <x:v>PASS</x:v>
      </x:c>
      <x:c r="I53" s="11" t="str">
        <x:f>IF(H53="PASS","none","repair planning package")</x:f>
        <x:v>none</x:v>
      </x:c>
      <x:c r="J53" s="38"/>
      <x:c r="K53" s="38"/>
    </x:row>
    <x:row r="54">
      <x:c r="B54" s="11" t="str">
        <x:v>PG-ART-048</x:v>
      </x:c>
      <x:c r="C54" s="11" t="str">
        <x:v>planning</x:v>
      </x:c>
      <x:c r="D54" s="11" t="str">
        <x:v>reference-body build package</x:v>
      </x:c>
      <x:c r="E54" s="11" t="str">
        <x:v>RA-SA4-08-B3</x:v>
      </x:c>
      <x:c r="F54" s="11" t="str">
        <x:v>RSP-1 planning authority</x:v>
      </x:c>
      <x:c r="G54" s="11" t="str">
        <x:v>complete controlled definition</x:v>
      </x:c>
      <x:c r="H54" s="11" t="str">
        <x:f>'Article Register'!Q54</x:f>
        <x:v>PASS</x:v>
      </x:c>
      <x:c r="I54" s="11" t="str">
        <x:f>IF(H54="PASS","none","repair planning package")</x:f>
        <x:v>none</x:v>
      </x:c>
      <x:c r="J54" s="38"/>
      <x:c r="K54" s="38"/>
    </x:row>
    <x:row r="55">
      <x:c r="B55" s="11" t="str">
        <x:v>PG-ART-049</x:v>
      </x:c>
      <x:c r="C55" s="11" t="str">
        <x:v>planning</x:v>
      </x:c>
      <x:c r="D55" s="11" t="str">
        <x:v>reference-body build package</x:v>
      </x:c>
      <x:c r="E55" s="11" t="str">
        <x:v>RA-SA5-09-A1</x:v>
      </x:c>
      <x:c r="F55" s="11" t="str">
        <x:v>RSP-1 planning authority</x:v>
      </x:c>
      <x:c r="G55" s="11" t="str">
        <x:v>complete controlled definition</x:v>
      </x:c>
      <x:c r="H55" s="11" t="str">
        <x:f>'Article Register'!Q55</x:f>
        <x:v>PASS</x:v>
      </x:c>
      <x:c r="I55" s="11" t="str">
        <x:f>IF(H55="PASS","none","repair planning package")</x:f>
        <x:v>none</x:v>
      </x:c>
      <x:c r="J55" s="38"/>
      <x:c r="K55" s="38"/>
    </x:row>
    <x:row r="56">
      <x:c r="B56" s="11" t="str">
        <x:v>PG-ART-050</x:v>
      </x:c>
      <x:c r="C56" s="11" t="str">
        <x:v>planning</x:v>
      </x:c>
      <x:c r="D56" s="11" t="str">
        <x:v>reference-body build package</x:v>
      </x:c>
      <x:c r="E56" s="11" t="str">
        <x:v>RA-SA5-09-A2</x:v>
      </x:c>
      <x:c r="F56" s="11" t="str">
        <x:v>RSP-1 planning authority</x:v>
      </x:c>
      <x:c r="G56" s="11" t="str">
        <x:v>complete controlled definition</x:v>
      </x:c>
      <x:c r="H56" s="11" t="str">
        <x:f>'Article Register'!Q56</x:f>
        <x:v>PASS</x:v>
      </x:c>
      <x:c r="I56" s="11" t="str">
        <x:f>IF(H56="PASS","none","repair planning package")</x:f>
        <x:v>none</x:v>
      </x:c>
      <x:c r="J56" s="38"/>
      <x:c r="K56" s="38"/>
    </x:row>
    <x:row r="57">
      <x:c r="B57" s="11" t="str">
        <x:v>PG-ART-051</x:v>
      </x:c>
      <x:c r="C57" s="11" t="str">
        <x:v>planning</x:v>
      </x:c>
      <x:c r="D57" s="11" t="str">
        <x:v>reference-body build package</x:v>
      </x:c>
      <x:c r="E57" s="11" t="str">
        <x:v>RA-SA5-09-A3</x:v>
      </x:c>
      <x:c r="F57" s="11" t="str">
        <x:v>RSP-1 planning authority</x:v>
      </x:c>
      <x:c r="G57" s="11" t="str">
        <x:v>complete controlled definition</x:v>
      </x:c>
      <x:c r="H57" s="11" t="str">
        <x:f>'Article Register'!Q57</x:f>
        <x:v>PASS</x:v>
      </x:c>
      <x:c r="I57" s="11" t="str">
        <x:f>IF(H57="PASS","none","repair planning package")</x:f>
        <x:v>none</x:v>
      </x:c>
      <x:c r="J57" s="38"/>
      <x:c r="K57" s="38"/>
    </x:row>
    <x:row r="58">
      <x:c r="B58" s="11" t="str">
        <x:v>PG-ART-052</x:v>
      </x:c>
      <x:c r="C58" s="11" t="str">
        <x:v>planning</x:v>
      </x:c>
      <x:c r="D58" s="11" t="str">
        <x:v>reference-body build package</x:v>
      </x:c>
      <x:c r="E58" s="11" t="str">
        <x:v>RA-SA5-09-B1</x:v>
      </x:c>
      <x:c r="F58" s="11" t="str">
        <x:v>RSP-1 planning authority</x:v>
      </x:c>
      <x:c r="G58" s="11" t="str">
        <x:v>complete controlled definition</x:v>
      </x:c>
      <x:c r="H58" s="11" t="str">
        <x:f>'Article Register'!Q58</x:f>
        <x:v>PASS</x:v>
      </x:c>
      <x:c r="I58" s="11" t="str">
        <x:f>IF(H58="PASS","none","repair planning package")</x:f>
        <x:v>none</x:v>
      </x:c>
      <x:c r="J58" s="38"/>
      <x:c r="K58" s="38"/>
    </x:row>
    <x:row r="59">
      <x:c r="B59" s="11" t="str">
        <x:v>PG-ART-053</x:v>
      </x:c>
      <x:c r="C59" s="11" t="str">
        <x:v>planning</x:v>
      </x:c>
      <x:c r="D59" s="11" t="str">
        <x:v>reference-body build package</x:v>
      </x:c>
      <x:c r="E59" s="11" t="str">
        <x:v>RA-SA5-09-B2</x:v>
      </x:c>
      <x:c r="F59" s="11" t="str">
        <x:v>RSP-1 planning authority</x:v>
      </x:c>
      <x:c r="G59" s="11" t="str">
        <x:v>complete controlled definition</x:v>
      </x:c>
      <x:c r="H59" s="11" t="str">
        <x:f>'Article Register'!Q59</x:f>
        <x:v>PASS</x:v>
      </x:c>
      <x:c r="I59" s="11" t="str">
        <x:f>IF(H59="PASS","none","repair planning package")</x:f>
        <x:v>none</x:v>
      </x:c>
      <x:c r="J59" s="38"/>
      <x:c r="K59" s="38"/>
    </x:row>
    <x:row r="60">
      <x:c r="B60" s="11" t="str">
        <x:v>PG-ART-054</x:v>
      </x:c>
      <x:c r="C60" s="11" t="str">
        <x:v>planning</x:v>
      </x:c>
      <x:c r="D60" s="11" t="str">
        <x:v>reference-body build package</x:v>
      </x:c>
      <x:c r="E60" s="11" t="str">
        <x:v>RA-SA5-09-B3</x:v>
      </x:c>
      <x:c r="F60" s="11" t="str">
        <x:v>RSP-1 planning authority</x:v>
      </x:c>
      <x:c r="G60" s="11" t="str">
        <x:v>complete controlled definition</x:v>
      </x:c>
      <x:c r="H60" s="11" t="str">
        <x:f>'Article Register'!Q60</x:f>
        <x:v>PASS</x:v>
      </x:c>
      <x:c r="I60" s="11" t="str">
        <x:f>IF(H60="PASS","none","repair planning package")</x:f>
        <x:v>none</x:v>
      </x:c>
      <x:c r="J60" s="38"/>
      <x:c r="K60" s="38"/>
    </x:row>
    <x:row r="61">
      <x:c r="B61" s="11" t="str">
        <x:v>PG-ART-055</x:v>
      </x:c>
      <x:c r="C61" s="11" t="str">
        <x:v>planning</x:v>
      </x:c>
      <x:c r="D61" s="11" t="str">
        <x:v>reference-body build package</x:v>
      </x:c>
      <x:c r="E61" s="11" t="str">
        <x:v>RA-SA5-10-A1</x:v>
      </x:c>
      <x:c r="F61" s="11" t="str">
        <x:v>RSP-1 planning authority</x:v>
      </x:c>
      <x:c r="G61" s="11" t="str">
        <x:v>complete controlled definition</x:v>
      </x:c>
      <x:c r="H61" s="11" t="str">
        <x:f>'Article Register'!Q61</x:f>
        <x:v>PASS</x:v>
      </x:c>
      <x:c r="I61" s="11" t="str">
        <x:f>IF(H61="PASS","none","repair planning package")</x:f>
        <x:v>none</x:v>
      </x:c>
      <x:c r="J61" s="38"/>
      <x:c r="K61" s="38"/>
    </x:row>
    <x:row r="62">
      <x:c r="B62" s="11" t="str">
        <x:v>PG-ART-056</x:v>
      </x:c>
      <x:c r="C62" s="11" t="str">
        <x:v>planning</x:v>
      </x:c>
      <x:c r="D62" s="11" t="str">
        <x:v>reference-body build package</x:v>
      </x:c>
      <x:c r="E62" s="11" t="str">
        <x:v>RA-SA5-10-A2</x:v>
      </x:c>
      <x:c r="F62" s="11" t="str">
        <x:v>RSP-1 planning authority</x:v>
      </x:c>
      <x:c r="G62" s="11" t="str">
        <x:v>complete controlled definition</x:v>
      </x:c>
      <x:c r="H62" s="11" t="str">
        <x:f>'Article Register'!Q62</x:f>
        <x:v>PASS</x:v>
      </x:c>
      <x:c r="I62" s="11" t="str">
        <x:f>IF(H62="PASS","none","repair planning package")</x:f>
        <x:v>none</x:v>
      </x:c>
      <x:c r="J62" s="38"/>
      <x:c r="K62" s="38"/>
    </x:row>
    <x:row r="63">
      <x:c r="B63" s="11" t="str">
        <x:v>PG-ART-057</x:v>
      </x:c>
      <x:c r="C63" s="11" t="str">
        <x:v>planning</x:v>
      </x:c>
      <x:c r="D63" s="11" t="str">
        <x:v>reference-body build package</x:v>
      </x:c>
      <x:c r="E63" s="11" t="str">
        <x:v>RA-SA5-10-A3</x:v>
      </x:c>
      <x:c r="F63" s="11" t="str">
        <x:v>RSP-1 planning authority</x:v>
      </x:c>
      <x:c r="G63" s="11" t="str">
        <x:v>complete controlled definition</x:v>
      </x:c>
      <x:c r="H63" s="11" t="str">
        <x:f>'Article Register'!Q63</x:f>
        <x:v>PASS</x:v>
      </x:c>
      <x:c r="I63" s="11" t="str">
        <x:f>IF(H63="PASS","none","repair planning package")</x:f>
        <x:v>none</x:v>
      </x:c>
      <x:c r="J63" s="38"/>
      <x:c r="K63" s="38"/>
    </x:row>
    <x:row r="64">
      <x:c r="B64" s="11" t="str">
        <x:v>PG-ART-058</x:v>
      </x:c>
      <x:c r="C64" s="11" t="str">
        <x:v>planning</x:v>
      </x:c>
      <x:c r="D64" s="11" t="str">
        <x:v>reference-body build package</x:v>
      </x:c>
      <x:c r="E64" s="11" t="str">
        <x:v>RA-SA5-10-B1</x:v>
      </x:c>
      <x:c r="F64" s="11" t="str">
        <x:v>RSP-1 planning authority</x:v>
      </x:c>
      <x:c r="G64" s="11" t="str">
        <x:v>complete controlled definition</x:v>
      </x:c>
      <x:c r="H64" s="11" t="str">
        <x:f>'Article Register'!Q64</x:f>
        <x:v>PASS</x:v>
      </x:c>
      <x:c r="I64" s="11" t="str">
        <x:f>IF(H64="PASS","none","repair planning package")</x:f>
        <x:v>none</x:v>
      </x:c>
      <x:c r="J64" s="38"/>
      <x:c r="K64" s="38"/>
    </x:row>
    <x:row r="65">
      <x:c r="B65" s="11" t="str">
        <x:v>PG-ART-059</x:v>
      </x:c>
      <x:c r="C65" s="11" t="str">
        <x:v>planning</x:v>
      </x:c>
      <x:c r="D65" s="11" t="str">
        <x:v>reference-body build package</x:v>
      </x:c>
      <x:c r="E65" s="11" t="str">
        <x:v>RA-SA5-10-B2</x:v>
      </x:c>
      <x:c r="F65" s="11" t="str">
        <x:v>RSP-1 planning authority</x:v>
      </x:c>
      <x:c r="G65" s="11" t="str">
        <x:v>complete controlled definition</x:v>
      </x:c>
      <x:c r="H65" s="11" t="str">
        <x:f>'Article Register'!Q65</x:f>
        <x:v>PASS</x:v>
      </x:c>
      <x:c r="I65" s="11" t="str">
        <x:f>IF(H65="PASS","none","repair planning package")</x:f>
        <x:v>none</x:v>
      </x:c>
      <x:c r="J65" s="38"/>
      <x:c r="K65" s="38"/>
    </x:row>
    <x:row r="66">
      <x:c r="B66" s="11" t="str">
        <x:v>PG-ART-060</x:v>
      </x:c>
      <x:c r="C66" s="11" t="str">
        <x:v>planning</x:v>
      </x:c>
      <x:c r="D66" s="11" t="str">
        <x:v>reference-body build package</x:v>
      </x:c>
      <x:c r="E66" s="11" t="str">
        <x:v>RA-SA5-10-B3</x:v>
      </x:c>
      <x:c r="F66" s="11" t="str">
        <x:v>RSP-1 planning authority</x:v>
      </x:c>
      <x:c r="G66" s="11" t="str">
        <x:v>complete controlled definition</x:v>
      </x:c>
      <x:c r="H66" s="11" t="str">
        <x:f>'Article Register'!Q66</x:f>
        <x:v>PASS</x:v>
      </x:c>
      <x:c r="I66" s="11" t="str">
        <x:f>IF(H66="PASS","none","repair planning package")</x:f>
        <x:v>none</x:v>
      </x:c>
      <x:c r="J66" s="38"/>
      <x:c r="K66" s="38"/>
    </x:row>
    <x:row r="67">
      <x:c r="B67" s="11" t="str">
        <x:v>PG-ART-061</x:v>
      </x:c>
      <x:c r="C67" s="11" t="str">
        <x:v>planning</x:v>
      </x:c>
      <x:c r="D67" s="11" t="str">
        <x:v>reference-body build package</x:v>
      </x:c>
      <x:c r="E67" s="11" t="str">
        <x:v>RA-SA6-11-A1</x:v>
      </x:c>
      <x:c r="F67" s="11" t="str">
        <x:v>RSP-1 planning authority</x:v>
      </x:c>
      <x:c r="G67" s="11" t="str">
        <x:v>complete controlled definition</x:v>
      </x:c>
      <x:c r="H67" s="11" t="str">
        <x:f>'Article Register'!Q67</x:f>
        <x:v>PASS</x:v>
      </x:c>
      <x:c r="I67" s="11" t="str">
        <x:f>IF(H67="PASS","none","repair planning package")</x:f>
        <x:v>none</x:v>
      </x:c>
      <x:c r="J67" s="38"/>
      <x:c r="K67" s="38"/>
    </x:row>
    <x:row r="68">
      <x:c r="B68" s="11" t="str">
        <x:v>PG-ART-062</x:v>
      </x:c>
      <x:c r="C68" s="11" t="str">
        <x:v>planning</x:v>
      </x:c>
      <x:c r="D68" s="11" t="str">
        <x:v>reference-body build package</x:v>
      </x:c>
      <x:c r="E68" s="11" t="str">
        <x:v>RA-SA6-11-A2</x:v>
      </x:c>
      <x:c r="F68" s="11" t="str">
        <x:v>RSP-1 planning authority</x:v>
      </x:c>
      <x:c r="G68" s="11" t="str">
        <x:v>complete controlled definition</x:v>
      </x:c>
      <x:c r="H68" s="11" t="str">
        <x:f>'Article Register'!Q68</x:f>
        <x:v>PASS</x:v>
      </x:c>
      <x:c r="I68" s="11" t="str">
        <x:f>IF(H68="PASS","none","repair planning package")</x:f>
        <x:v>none</x:v>
      </x:c>
      <x:c r="J68" s="38"/>
      <x:c r="K68" s="38"/>
    </x:row>
    <x:row r="69">
      <x:c r="B69" s="11" t="str">
        <x:v>PG-ART-063</x:v>
      </x:c>
      <x:c r="C69" s="11" t="str">
        <x:v>planning</x:v>
      </x:c>
      <x:c r="D69" s="11" t="str">
        <x:v>reference-body build package</x:v>
      </x:c>
      <x:c r="E69" s="11" t="str">
        <x:v>RA-SA6-11-A3</x:v>
      </x:c>
      <x:c r="F69" s="11" t="str">
        <x:v>RSP-1 planning authority</x:v>
      </x:c>
      <x:c r="G69" s="11" t="str">
        <x:v>complete controlled definition</x:v>
      </x:c>
      <x:c r="H69" s="11" t="str">
        <x:f>'Article Register'!Q69</x:f>
        <x:v>PASS</x:v>
      </x:c>
      <x:c r="I69" s="11" t="str">
        <x:f>IF(H69="PASS","none","repair planning package")</x:f>
        <x:v>none</x:v>
      </x:c>
      <x:c r="J69" s="38"/>
      <x:c r="K69" s="38"/>
    </x:row>
    <x:row r="70">
      <x:c r="B70" s="11" t="str">
        <x:v>PG-ART-064</x:v>
      </x:c>
      <x:c r="C70" s="11" t="str">
        <x:v>planning</x:v>
      </x:c>
      <x:c r="D70" s="11" t="str">
        <x:v>reference-body build package</x:v>
      </x:c>
      <x:c r="E70" s="11" t="str">
        <x:v>RA-SA6-11-B1</x:v>
      </x:c>
      <x:c r="F70" s="11" t="str">
        <x:v>RSP-1 planning authority</x:v>
      </x:c>
      <x:c r="G70" s="11" t="str">
        <x:v>complete controlled definition</x:v>
      </x:c>
      <x:c r="H70" s="11" t="str">
        <x:f>'Article Register'!Q70</x:f>
        <x:v>PASS</x:v>
      </x:c>
      <x:c r="I70" s="11" t="str">
        <x:f>IF(H70="PASS","none","repair planning package")</x:f>
        <x:v>none</x:v>
      </x:c>
      <x:c r="J70" s="38"/>
      <x:c r="K70" s="38"/>
    </x:row>
    <x:row r="71">
      <x:c r="B71" s="11" t="str">
        <x:v>PG-ART-065</x:v>
      </x:c>
      <x:c r="C71" s="11" t="str">
        <x:v>planning</x:v>
      </x:c>
      <x:c r="D71" s="11" t="str">
        <x:v>reference-body build package</x:v>
      </x:c>
      <x:c r="E71" s="11" t="str">
        <x:v>RA-SA6-11-B2</x:v>
      </x:c>
      <x:c r="F71" s="11" t="str">
        <x:v>RSP-1 planning authority</x:v>
      </x:c>
      <x:c r="G71" s="11" t="str">
        <x:v>complete controlled definition</x:v>
      </x:c>
      <x:c r="H71" s="11" t="str">
        <x:f>'Article Register'!Q71</x:f>
        <x:v>PASS</x:v>
      </x:c>
      <x:c r="I71" s="11" t="str">
        <x:f>IF(H71="PASS","none","repair planning package")</x:f>
        <x:v>none</x:v>
      </x:c>
      <x:c r="J71" s="38"/>
      <x:c r="K71" s="38"/>
    </x:row>
    <x:row r="72">
      <x:c r="B72" s="11" t="str">
        <x:v>PG-ART-066</x:v>
      </x:c>
      <x:c r="C72" s="11" t="str">
        <x:v>planning</x:v>
      </x:c>
      <x:c r="D72" s="11" t="str">
        <x:v>reference-body build package</x:v>
      </x:c>
      <x:c r="E72" s="11" t="str">
        <x:v>RA-SA6-11-B3</x:v>
      </x:c>
      <x:c r="F72" s="11" t="str">
        <x:v>RSP-1 planning authority</x:v>
      </x:c>
      <x:c r="G72" s="11" t="str">
        <x:v>complete controlled definition</x:v>
      </x:c>
      <x:c r="H72" s="11" t="str">
        <x:f>'Article Register'!Q72</x:f>
        <x:v>PASS</x:v>
      </x:c>
      <x:c r="I72" s="11" t="str">
        <x:f>IF(H72="PASS","none","repair planning package")</x:f>
        <x:v>none</x:v>
      </x:c>
      <x:c r="J72" s="38"/>
      <x:c r="K72" s="38"/>
    </x:row>
    <x:row r="73">
      <x:c r="B73" s="11" t="str">
        <x:v>PG-ART-067</x:v>
      </x:c>
      <x:c r="C73" s="11" t="str">
        <x:v>planning</x:v>
      </x:c>
      <x:c r="D73" s="11" t="str">
        <x:v>reference-body build package</x:v>
      </x:c>
      <x:c r="E73" s="11" t="str">
        <x:v>RA-SA6-12-A1</x:v>
      </x:c>
      <x:c r="F73" s="11" t="str">
        <x:v>RSP-1 planning authority</x:v>
      </x:c>
      <x:c r="G73" s="11" t="str">
        <x:v>complete controlled definition</x:v>
      </x:c>
      <x:c r="H73" s="11" t="str">
        <x:f>'Article Register'!Q73</x:f>
        <x:v>PASS</x:v>
      </x:c>
      <x:c r="I73" s="11" t="str">
        <x:f>IF(H73="PASS","none","repair planning package")</x:f>
        <x:v>none</x:v>
      </x:c>
      <x:c r="J73" s="38"/>
      <x:c r="K73" s="38"/>
    </x:row>
    <x:row r="74">
      <x:c r="B74" s="11" t="str">
        <x:v>PG-ART-068</x:v>
      </x:c>
      <x:c r="C74" s="11" t="str">
        <x:v>planning</x:v>
      </x:c>
      <x:c r="D74" s="11" t="str">
        <x:v>reference-body build package</x:v>
      </x:c>
      <x:c r="E74" s="11" t="str">
        <x:v>RA-SA6-12-A2</x:v>
      </x:c>
      <x:c r="F74" s="11" t="str">
        <x:v>RSP-1 planning authority</x:v>
      </x:c>
      <x:c r="G74" s="11" t="str">
        <x:v>complete controlled definition</x:v>
      </x:c>
      <x:c r="H74" s="11" t="str">
        <x:f>'Article Register'!Q74</x:f>
        <x:v>PASS</x:v>
      </x:c>
      <x:c r="I74" s="11" t="str">
        <x:f>IF(H74="PASS","none","repair planning package")</x:f>
        <x:v>none</x:v>
      </x:c>
      <x:c r="J74" s="38"/>
      <x:c r="K74" s="38"/>
    </x:row>
    <x:row r="75">
      <x:c r="B75" s="11" t="str">
        <x:v>PG-ART-069</x:v>
      </x:c>
      <x:c r="C75" s="11" t="str">
        <x:v>planning</x:v>
      </x:c>
      <x:c r="D75" s="11" t="str">
        <x:v>reference-body build package</x:v>
      </x:c>
      <x:c r="E75" s="11" t="str">
        <x:v>RA-SA6-12-A3</x:v>
      </x:c>
      <x:c r="F75" s="11" t="str">
        <x:v>RSP-1 planning authority</x:v>
      </x:c>
      <x:c r="G75" s="11" t="str">
        <x:v>complete controlled definition</x:v>
      </x:c>
      <x:c r="H75" s="11" t="str">
        <x:f>'Article Register'!Q75</x:f>
        <x:v>PASS</x:v>
      </x:c>
      <x:c r="I75" s="11" t="str">
        <x:f>IF(H75="PASS","none","repair planning package")</x:f>
        <x:v>none</x:v>
      </x:c>
      <x:c r="J75" s="38"/>
      <x:c r="K75" s="38"/>
    </x:row>
    <x:row r="76">
      <x:c r="B76" s="11" t="str">
        <x:v>PG-ART-070</x:v>
      </x:c>
      <x:c r="C76" s="11" t="str">
        <x:v>planning</x:v>
      </x:c>
      <x:c r="D76" s="11" t="str">
        <x:v>reference-body build package</x:v>
      </x:c>
      <x:c r="E76" s="11" t="str">
        <x:v>RA-SA6-12-B1</x:v>
      </x:c>
      <x:c r="F76" s="11" t="str">
        <x:v>RSP-1 planning authority</x:v>
      </x:c>
      <x:c r="G76" s="11" t="str">
        <x:v>complete controlled definition</x:v>
      </x:c>
      <x:c r="H76" s="11" t="str">
        <x:f>'Article Register'!Q76</x:f>
        <x:v>PASS</x:v>
      </x:c>
      <x:c r="I76" s="11" t="str">
        <x:f>IF(H76="PASS","none","repair planning package")</x:f>
        <x:v>none</x:v>
      </x:c>
      <x:c r="J76" s="38"/>
      <x:c r="K76" s="38"/>
    </x:row>
    <x:row r="77">
      <x:c r="B77" s="11" t="str">
        <x:v>PG-ART-071</x:v>
      </x:c>
      <x:c r="C77" s="11" t="str">
        <x:v>planning</x:v>
      </x:c>
      <x:c r="D77" s="11" t="str">
        <x:v>reference-body build package</x:v>
      </x:c>
      <x:c r="E77" s="11" t="str">
        <x:v>RA-SA6-12-B2</x:v>
      </x:c>
      <x:c r="F77" s="11" t="str">
        <x:v>RSP-1 planning authority</x:v>
      </x:c>
      <x:c r="G77" s="11" t="str">
        <x:v>complete controlled definition</x:v>
      </x:c>
      <x:c r="H77" s="11" t="str">
        <x:f>'Article Register'!Q77</x:f>
        <x:v>PASS</x:v>
      </x:c>
      <x:c r="I77" s="11" t="str">
        <x:f>IF(H77="PASS","none","repair planning package")</x:f>
        <x:v>none</x:v>
      </x:c>
      <x:c r="J77" s="38"/>
      <x:c r="K77" s="38"/>
    </x:row>
    <x:row r="78">
      <x:c r="B78" s="11" t="str">
        <x:v>PG-ART-072</x:v>
      </x:c>
      <x:c r="C78" s="11" t="str">
        <x:v>planning</x:v>
      </x:c>
      <x:c r="D78" s="11" t="str">
        <x:v>reference-body build package</x:v>
      </x:c>
      <x:c r="E78" s="11" t="str">
        <x:v>RA-SA6-12-B3</x:v>
      </x:c>
      <x:c r="F78" s="11" t="str">
        <x:v>RSP-1 planning authority</x:v>
      </x:c>
      <x:c r="G78" s="11" t="str">
        <x:v>complete controlled definition</x:v>
      </x:c>
      <x:c r="H78" s="11" t="str">
        <x:f>'Article Register'!Q78</x:f>
        <x:v>PASS</x:v>
      </x:c>
      <x:c r="I78" s="11" t="str">
        <x:f>IF(H78="PASS","none","repair planning package")</x:f>
        <x:v>none</x:v>
      </x:c>
      <x:c r="J78" s="38"/>
      <x:c r="K78" s="38"/>
    </x:row>
    <x:row r="79">
      <x:c r="B79" s="11" t="str">
        <x:v>PG-ST-01</x:v>
      </x:c>
      <x:c r="C79" s="11" t="str">
        <x:v>planning</x:v>
      </x:c>
      <x:c r="D79" s="11" t="str">
        <x:v>root-family source-term ledger</x:v>
      </x:c>
      <x:c r="E79" s="11" t="str">
        <x:v>ST-SA1-A</x:v>
      </x:c>
      <x:c r="F79" s="11" t="str">
        <x:v>RSP-1 planning authority</x:v>
      </x:c>
      <x:c r="G79" s="11" t="str">
        <x:v>complete controlled definition</x:v>
      </x:c>
      <x:c r="H79" s="11" t="str">
        <x:f>'Source Terms'!S7</x:f>
        <x:v>PASS</x:v>
      </x:c>
      <x:c r="I79" s="11" t="str">
        <x:f>IF(H79="PASS","none","repair planning package")</x:f>
        <x:v>none</x:v>
      </x:c>
      <x:c r="J79" s="38"/>
      <x:c r="K79" s="38"/>
    </x:row>
    <x:row r="80">
      <x:c r="B80" s="11" t="str">
        <x:v>PG-ST-02</x:v>
      </x:c>
      <x:c r="C80" s="11" t="str">
        <x:v>planning</x:v>
      </x:c>
      <x:c r="D80" s="11" t="str">
        <x:v>root-family source-term ledger</x:v>
      </x:c>
      <x:c r="E80" s="11" t="str">
        <x:v>ST-SA1-B</x:v>
      </x:c>
      <x:c r="F80" s="11" t="str">
        <x:v>RSP-1 planning authority</x:v>
      </x:c>
      <x:c r="G80" s="11" t="str">
        <x:v>complete controlled definition</x:v>
      </x:c>
      <x:c r="H80" s="11" t="str">
        <x:f>'Source Terms'!S8</x:f>
        <x:v>PASS</x:v>
      </x:c>
      <x:c r="I80" s="11" t="str">
        <x:f>IF(H80="PASS","none","repair planning package")</x:f>
        <x:v>none</x:v>
      </x:c>
      <x:c r="J80" s="38"/>
      <x:c r="K80" s="38"/>
    </x:row>
    <x:row r="81">
      <x:c r="B81" s="11" t="str">
        <x:v>PG-ST-03</x:v>
      </x:c>
      <x:c r="C81" s="11" t="str">
        <x:v>planning</x:v>
      </x:c>
      <x:c r="D81" s="11" t="str">
        <x:v>root-family source-term ledger</x:v>
      </x:c>
      <x:c r="E81" s="11" t="str">
        <x:v>ST-SA2-A</x:v>
      </x:c>
      <x:c r="F81" s="11" t="str">
        <x:v>RSP-1 planning authority</x:v>
      </x:c>
      <x:c r="G81" s="11" t="str">
        <x:v>complete controlled definition</x:v>
      </x:c>
      <x:c r="H81" s="11" t="str">
        <x:f>'Source Terms'!S9</x:f>
        <x:v>PASS</x:v>
      </x:c>
      <x:c r="I81" s="11" t="str">
        <x:f>IF(H81="PASS","none","repair planning package")</x:f>
        <x:v>none</x:v>
      </x:c>
      <x:c r="J81" s="38"/>
      <x:c r="K81" s="38"/>
    </x:row>
    <x:row r="82">
      <x:c r="B82" s="11" t="str">
        <x:v>PG-ST-04</x:v>
      </x:c>
      <x:c r="C82" s="11" t="str">
        <x:v>planning</x:v>
      </x:c>
      <x:c r="D82" s="11" t="str">
        <x:v>root-family source-term ledger</x:v>
      </x:c>
      <x:c r="E82" s="11" t="str">
        <x:v>ST-SA2-B</x:v>
      </x:c>
      <x:c r="F82" s="11" t="str">
        <x:v>RSP-1 planning authority</x:v>
      </x:c>
      <x:c r="G82" s="11" t="str">
        <x:v>complete controlled definition</x:v>
      </x:c>
      <x:c r="H82" s="11" t="str">
        <x:f>'Source Terms'!S10</x:f>
        <x:v>PASS</x:v>
      </x:c>
      <x:c r="I82" s="11" t="str">
        <x:f>IF(H82="PASS","none","repair planning package")</x:f>
        <x:v>none</x:v>
      </x:c>
      <x:c r="J82" s="38"/>
      <x:c r="K82" s="38"/>
    </x:row>
    <x:row r="83">
      <x:c r="B83" s="11" t="str">
        <x:v>PG-ST-05</x:v>
      </x:c>
      <x:c r="C83" s="11" t="str">
        <x:v>planning</x:v>
      </x:c>
      <x:c r="D83" s="11" t="str">
        <x:v>root-family source-term ledger</x:v>
      </x:c>
      <x:c r="E83" s="11" t="str">
        <x:v>ST-SA3-A</x:v>
      </x:c>
      <x:c r="F83" s="11" t="str">
        <x:v>RSP-1 planning authority</x:v>
      </x:c>
      <x:c r="G83" s="11" t="str">
        <x:v>complete controlled definition</x:v>
      </x:c>
      <x:c r="H83" s="11" t="str">
        <x:f>'Source Terms'!S11</x:f>
        <x:v>PASS</x:v>
      </x:c>
      <x:c r="I83" s="11" t="str">
        <x:f>IF(H83="PASS","none","repair planning package")</x:f>
        <x:v>none</x:v>
      </x:c>
      <x:c r="J83" s="38"/>
      <x:c r="K83" s="38"/>
    </x:row>
    <x:row r="84">
      <x:c r="B84" s="11" t="str">
        <x:v>PG-ST-06</x:v>
      </x:c>
      <x:c r="C84" s="11" t="str">
        <x:v>planning</x:v>
      </x:c>
      <x:c r="D84" s="11" t="str">
        <x:v>root-family source-term ledger</x:v>
      </x:c>
      <x:c r="E84" s="11" t="str">
        <x:v>ST-SA3-B</x:v>
      </x:c>
      <x:c r="F84" s="11" t="str">
        <x:v>RSP-1 planning authority</x:v>
      </x:c>
      <x:c r="G84" s="11" t="str">
        <x:v>complete controlled definition</x:v>
      </x:c>
      <x:c r="H84" s="11" t="str">
        <x:f>'Source Terms'!S12</x:f>
        <x:v>PASS</x:v>
      </x:c>
      <x:c r="I84" s="11" t="str">
        <x:f>IF(H84="PASS","none","repair planning package")</x:f>
        <x:v>none</x:v>
      </x:c>
      <x:c r="J84" s="38"/>
      <x:c r="K84" s="38"/>
    </x:row>
    <x:row r="85">
      <x:c r="B85" s="11" t="str">
        <x:v>PG-ST-07</x:v>
      </x:c>
      <x:c r="C85" s="11" t="str">
        <x:v>planning</x:v>
      </x:c>
      <x:c r="D85" s="11" t="str">
        <x:v>root-family source-term ledger</x:v>
      </x:c>
      <x:c r="E85" s="11" t="str">
        <x:v>ST-SA4-A</x:v>
      </x:c>
      <x:c r="F85" s="11" t="str">
        <x:v>RSP-1 planning authority</x:v>
      </x:c>
      <x:c r="G85" s="11" t="str">
        <x:v>complete controlled definition</x:v>
      </x:c>
      <x:c r="H85" s="11" t="str">
        <x:f>'Source Terms'!S13</x:f>
        <x:v>PASS</x:v>
      </x:c>
      <x:c r="I85" s="11" t="str">
        <x:f>IF(H85="PASS","none","repair planning package")</x:f>
        <x:v>none</x:v>
      </x:c>
      <x:c r="J85" s="38"/>
      <x:c r="K85" s="38"/>
    </x:row>
    <x:row r="86">
      <x:c r="B86" s="11" t="str">
        <x:v>PG-ST-08</x:v>
      </x:c>
      <x:c r="C86" s="11" t="str">
        <x:v>planning</x:v>
      </x:c>
      <x:c r="D86" s="11" t="str">
        <x:v>root-family source-term ledger</x:v>
      </x:c>
      <x:c r="E86" s="11" t="str">
        <x:v>ST-SA4-B</x:v>
      </x:c>
      <x:c r="F86" s="11" t="str">
        <x:v>RSP-1 planning authority</x:v>
      </x:c>
      <x:c r="G86" s="11" t="str">
        <x:v>complete controlled definition</x:v>
      </x:c>
      <x:c r="H86" s="11" t="str">
        <x:f>'Source Terms'!S14</x:f>
        <x:v>PASS</x:v>
      </x:c>
      <x:c r="I86" s="11" t="str">
        <x:f>IF(H86="PASS","none","repair planning package")</x:f>
        <x:v>none</x:v>
      </x:c>
      <x:c r="J86" s="38"/>
      <x:c r="K86" s="38"/>
    </x:row>
    <x:row r="87">
      <x:c r="B87" s="11" t="str">
        <x:v>PG-ST-09</x:v>
      </x:c>
      <x:c r="C87" s="11" t="str">
        <x:v>planning</x:v>
      </x:c>
      <x:c r="D87" s="11" t="str">
        <x:v>root-family source-term ledger</x:v>
      </x:c>
      <x:c r="E87" s="11" t="str">
        <x:v>ST-SA5-A</x:v>
      </x:c>
      <x:c r="F87" s="11" t="str">
        <x:v>RSP-1 planning authority</x:v>
      </x:c>
      <x:c r="G87" s="11" t="str">
        <x:v>complete controlled definition</x:v>
      </x:c>
      <x:c r="H87" s="11" t="str">
        <x:f>'Source Terms'!S15</x:f>
        <x:v>PASS</x:v>
      </x:c>
      <x:c r="I87" s="11" t="str">
        <x:f>IF(H87="PASS","none","repair planning package")</x:f>
        <x:v>none</x:v>
      </x:c>
      <x:c r="J87" s="38"/>
      <x:c r="K87" s="38"/>
    </x:row>
    <x:row r="88">
      <x:c r="B88" s="11" t="str">
        <x:v>PG-ST-10</x:v>
      </x:c>
      <x:c r="C88" s="11" t="str">
        <x:v>planning</x:v>
      </x:c>
      <x:c r="D88" s="11" t="str">
        <x:v>root-family source-term ledger</x:v>
      </x:c>
      <x:c r="E88" s="11" t="str">
        <x:v>ST-SA5-B</x:v>
      </x:c>
      <x:c r="F88" s="11" t="str">
        <x:v>RSP-1 planning authority</x:v>
      </x:c>
      <x:c r="G88" s="11" t="str">
        <x:v>complete controlled definition</x:v>
      </x:c>
      <x:c r="H88" s="11" t="str">
        <x:f>'Source Terms'!S16</x:f>
        <x:v>PASS</x:v>
      </x:c>
      <x:c r="I88" s="11" t="str">
        <x:f>IF(H88="PASS","none","repair planning package")</x:f>
        <x:v>none</x:v>
      </x:c>
      <x:c r="J88" s="38"/>
      <x:c r="K88" s="38"/>
    </x:row>
    <x:row r="89">
      <x:c r="B89" s="11" t="str">
        <x:v>PG-ST-11</x:v>
      </x:c>
      <x:c r="C89" s="11" t="str">
        <x:v>planning</x:v>
      </x:c>
      <x:c r="D89" s="11" t="str">
        <x:v>root-family source-term ledger</x:v>
      </x:c>
      <x:c r="E89" s="11" t="str">
        <x:v>ST-SA6-A</x:v>
      </x:c>
      <x:c r="F89" s="11" t="str">
        <x:v>RSP-1 planning authority</x:v>
      </x:c>
      <x:c r="G89" s="11" t="str">
        <x:v>complete controlled definition</x:v>
      </x:c>
      <x:c r="H89" s="11" t="str">
        <x:f>'Source Terms'!S17</x:f>
        <x:v>PASS</x:v>
      </x:c>
      <x:c r="I89" s="11" t="str">
        <x:f>IF(H89="PASS","none","repair planning package")</x:f>
        <x:v>none</x:v>
      </x:c>
      <x:c r="J89" s="38"/>
      <x:c r="K89" s="38"/>
    </x:row>
    <x:row r="90">
      <x:c r="B90" s="11" t="str">
        <x:v>PG-ST-12</x:v>
      </x:c>
      <x:c r="C90" s="11" t="str">
        <x:v>planning</x:v>
      </x:c>
      <x:c r="D90" s="11" t="str">
        <x:v>root-family source-term ledger</x:v>
      </x:c>
      <x:c r="E90" s="11" t="str">
        <x:v>ST-SA6-B</x:v>
      </x:c>
      <x:c r="F90" s="11" t="str">
        <x:v>RSP-1 planning authority</x:v>
      </x:c>
      <x:c r="G90" s="11" t="str">
        <x:v>complete controlled definition</x:v>
      </x:c>
      <x:c r="H90" s="11" t="str">
        <x:f>'Source Terms'!S18</x:f>
        <x:v>PASS</x:v>
      </x:c>
      <x:c r="I90" s="11" t="str">
        <x:f>IF(H90="PASS","none","repair planning package")</x:f>
        <x:v>none</x:v>
      </x:c>
      <x:c r="J90" s="38"/>
      <x:c r="K90" s="38"/>
    </x:row>
    <x:row r="91">
      <x:c r="B91" s="11" t="str">
        <x:v>PG-EVENT-SA1</x:v>
      </x:c>
      <x:c r="C91" s="11" t="str">
        <x:v>planning</x:v>
      </x:c>
      <x:c r="D91" s="11" t="str">
        <x:v>family event-card set</x:v>
      </x:c>
      <x:c r="E91" s="11" t="str">
        <x:v>SA1</x:v>
      </x:c>
      <x:c r="F91" s="11" t="str">
        <x:v>RSP-1 planning authority</x:v>
      </x:c>
      <x:c r="G91" s="11" t="str">
        <x:v>complete controlled definition</x:v>
      </x:c>
      <x:c r="H91" s="11" t="str">
        <x:f>IF(COUNTIFS('Event Templates'!C$7:C$16,"SA1",'Event Templates'!Q$7:Q$16,"PASS")=10,"PASS","FAIL")</x:f>
        <x:v>PASS</x:v>
      </x:c>
      <x:c r="I91" s="11" t="str">
        <x:f>IF(H91="PASS","none","repair planning package")</x:f>
        <x:v>none</x:v>
      </x:c>
      <x:c r="J91" s="38"/>
      <x:c r="K91" s="38"/>
    </x:row>
    <x:row r="92">
      <x:c r="B92" s="11" t="str">
        <x:v>PG-EVENT-SA2</x:v>
      </x:c>
      <x:c r="C92" s="11" t="str">
        <x:v>planning</x:v>
      </x:c>
      <x:c r="D92" s="11" t="str">
        <x:v>family event-card set</x:v>
      </x:c>
      <x:c r="E92" s="11" t="str">
        <x:v>SA2</x:v>
      </x:c>
      <x:c r="F92" s="11" t="str">
        <x:v>RSP-1 planning authority</x:v>
      </x:c>
      <x:c r="G92" s="11" t="str">
        <x:v>complete controlled definition</x:v>
      </x:c>
      <x:c r="H92" s="11" t="str">
        <x:f>IF(COUNTIFS('Event Templates'!C$17:C$26,"SA2",'Event Templates'!Q$17:Q$26,"PASS")=10,"PASS","FAIL")</x:f>
        <x:v>PASS</x:v>
      </x:c>
      <x:c r="I92" s="11" t="str">
        <x:f>IF(H92="PASS","none","repair planning package")</x:f>
        <x:v>none</x:v>
      </x:c>
      <x:c r="J92" s="38"/>
      <x:c r="K92" s="38"/>
    </x:row>
    <x:row r="93">
      <x:c r="B93" s="11" t="str">
        <x:v>PG-EVENT-SA3</x:v>
      </x:c>
      <x:c r="C93" s="11" t="str">
        <x:v>planning</x:v>
      </x:c>
      <x:c r="D93" s="11" t="str">
        <x:v>family event-card set</x:v>
      </x:c>
      <x:c r="E93" s="11" t="str">
        <x:v>SA3</x:v>
      </x:c>
      <x:c r="F93" s="11" t="str">
        <x:v>RSP-1 planning authority</x:v>
      </x:c>
      <x:c r="G93" s="11" t="str">
        <x:v>complete controlled definition</x:v>
      </x:c>
      <x:c r="H93" s="11" t="str">
        <x:f>IF(COUNTIFS('Event Templates'!C$27:C$36,"SA3",'Event Templates'!Q$27:Q$36,"PASS")=10,"PASS","FAIL")</x:f>
        <x:v>PASS</x:v>
      </x:c>
      <x:c r="I93" s="11" t="str">
        <x:f>IF(H93="PASS","none","repair planning package")</x:f>
        <x:v>none</x:v>
      </x:c>
      <x:c r="J93" s="38"/>
      <x:c r="K93" s="38"/>
    </x:row>
    <x:row r="94">
      <x:c r="B94" s="11" t="str">
        <x:v>PG-EVENT-SA4</x:v>
      </x:c>
      <x:c r="C94" s="11" t="str">
        <x:v>planning</x:v>
      </x:c>
      <x:c r="D94" s="11" t="str">
        <x:v>family event-card set</x:v>
      </x:c>
      <x:c r="E94" s="11" t="str">
        <x:v>SA4</x:v>
      </x:c>
      <x:c r="F94" s="11" t="str">
        <x:v>RSP-1 planning authority</x:v>
      </x:c>
      <x:c r="G94" s="11" t="str">
        <x:v>complete controlled definition</x:v>
      </x:c>
      <x:c r="H94" s="11" t="str">
        <x:f>IF(COUNTIFS('Event Templates'!C$37:C$46,"SA4",'Event Templates'!Q$37:Q$46,"PASS")=10,"PASS","FAIL")</x:f>
        <x:v>PASS</x:v>
      </x:c>
      <x:c r="I94" s="11" t="str">
        <x:f>IF(H94="PASS","none","repair planning package")</x:f>
        <x:v>none</x:v>
      </x:c>
      <x:c r="J94" s="38"/>
      <x:c r="K94" s="38"/>
    </x:row>
    <x:row r="95">
      <x:c r="B95" s="11" t="str">
        <x:v>PG-EVENT-SA5</x:v>
      </x:c>
      <x:c r="C95" s="11" t="str">
        <x:v>planning</x:v>
      </x:c>
      <x:c r="D95" s="11" t="str">
        <x:v>family event-card set</x:v>
      </x:c>
      <x:c r="E95" s="11" t="str">
        <x:v>SA5</x:v>
      </x:c>
      <x:c r="F95" s="11" t="str">
        <x:v>RSP-1 planning authority</x:v>
      </x:c>
      <x:c r="G95" s="11" t="str">
        <x:v>complete controlled definition</x:v>
      </x:c>
      <x:c r="H95" s="11" t="str">
        <x:f>IF(COUNTIFS('Event Templates'!C$47:C$56,"SA5",'Event Templates'!Q$47:Q$56,"PASS")=10,"PASS","FAIL")</x:f>
        <x:v>PASS</x:v>
      </x:c>
      <x:c r="I95" s="11" t="str">
        <x:f>IF(H95="PASS","none","repair planning package")</x:f>
        <x:v>none</x:v>
      </x:c>
      <x:c r="J95" s="38"/>
      <x:c r="K95" s="38"/>
    </x:row>
    <x:row r="96">
      <x:c r="B96" s="11" t="str">
        <x:v>PG-EVENT-SA6</x:v>
      </x:c>
      <x:c r="C96" s="11" t="str">
        <x:v>planning</x:v>
      </x:c>
      <x:c r="D96" s="11" t="str">
        <x:v>family event-card set</x:v>
      </x:c>
      <x:c r="E96" s="11" t="str">
        <x:v>SA6</x:v>
      </x:c>
      <x:c r="F96" s="11" t="str">
        <x:v>RSP-1 planning authority</x:v>
      </x:c>
      <x:c r="G96" s="11" t="str">
        <x:v>complete controlled definition</x:v>
      </x:c>
      <x:c r="H96" s="11" t="str">
        <x:f>IF(COUNTIFS('Event Templates'!C$57:C$66,"SA6",'Event Templates'!Q$57:Q$66,"PASS")=10,"PASS","FAIL")</x:f>
        <x:v>PASS</x:v>
      </x:c>
      <x:c r="I96" s="11" t="str">
        <x:f>IF(H96="PASS","none","repair planning package")</x:f>
        <x:v>none</x:v>
      </x:c>
      <x:c r="J96" s="38"/>
      <x:c r="K96" s="38"/>
    </x:row>
    <x:row r="97">
      <x:c r="B97" s="11" t="str">
        <x:v>PG-DRILL-PTC-A</x:v>
      </x:c>
      <x:c r="C97" s="11" t="str">
        <x:v>planning</x:v>
      </x:c>
      <x:c r="D97" s="11" t="str">
        <x:v>campus denial package</x:v>
      </x:c>
      <x:c r="E97" s="11" t="str">
        <x:v>PTC-A</x:v>
      </x:c>
      <x:c r="F97" s="11" t="str">
        <x:v>RSP-1 planning authority</x:v>
      </x:c>
      <x:c r="G97" s="11" t="str">
        <x:v>complete controlled definition</x:v>
      </x:c>
      <x:c r="H97" s="11" t="str">
        <x:f>IF(COUNTIFS('Campus Drills'!C$7:C$14,"PTC-A",'Campus Drills'!M$7:M$14,"PASS")=8,"PASS","FAIL")</x:f>
        <x:v>PASS</x:v>
      </x:c>
      <x:c r="I97" s="11" t="str">
        <x:f>IF(H97="PASS","none","repair planning package")</x:f>
        <x:v>none</x:v>
      </x:c>
      <x:c r="J97" s="38"/>
      <x:c r="K97" s="38"/>
    </x:row>
    <x:row r="98">
      <x:c r="B98" s="11" t="str">
        <x:v>PG-DRILL-PTC-B</x:v>
      </x:c>
      <x:c r="C98" s="11" t="str">
        <x:v>planning</x:v>
      </x:c>
      <x:c r="D98" s="11" t="str">
        <x:v>campus denial package</x:v>
      </x:c>
      <x:c r="E98" s="11" t="str">
        <x:v>PTC-B</x:v>
      </x:c>
      <x:c r="F98" s="11" t="str">
        <x:v>RSP-1 planning authority</x:v>
      </x:c>
      <x:c r="G98" s="11" t="str">
        <x:v>complete controlled definition</x:v>
      </x:c>
      <x:c r="H98" s="11" t="str">
        <x:f>IF(COUNTIFS('Campus Drills'!C$15:C$22,"PTC-B",'Campus Drills'!M$15:M$22,"PASS")=8,"PASS","FAIL")</x:f>
        <x:v>PASS</x:v>
      </x:c>
      <x:c r="I98" s="11" t="str">
        <x:f>IF(H98="PASS","none","repair planning package")</x:f>
        <x:v>none</x:v>
      </x:c>
      <x:c r="J98" s="38"/>
      <x:c r="K98" s="38"/>
    </x:row>
    <x:row r="99">
      <x:c r="B99" s="11" t="str">
        <x:v>PG-DRILL-PTC-C</x:v>
      </x:c>
      <x:c r="C99" s="11" t="str">
        <x:v>planning</x:v>
      </x:c>
      <x:c r="D99" s="11" t="str">
        <x:v>campus denial package</x:v>
      </x:c>
      <x:c r="E99" s="11" t="str">
        <x:v>PTC-C</x:v>
      </x:c>
      <x:c r="F99" s="11" t="str">
        <x:v>RSP-1 planning authority</x:v>
      </x:c>
      <x:c r="G99" s="11" t="str">
        <x:v>complete controlled definition</x:v>
      </x:c>
      <x:c r="H99" s="11" t="str">
        <x:f>IF(COUNTIFS('Campus Drills'!C$23:C$30,"PTC-C",'Campus Drills'!M$23:M$30,"PASS")=8,"PASS","FAIL")</x:f>
        <x:v>PASS</x:v>
      </x:c>
      <x:c r="I99" s="11" t="str">
        <x:f>IF(H99="PASS","none","repair planning package")</x:f>
        <x:v>none</x:v>
      </x:c>
      <x:c r="J99" s="38"/>
      <x:c r="K99" s="38"/>
    </x:row>
    <x:row r="100">
      <x:c r="B100" s="11" t="str">
        <x:v>PG-CUST-PTC-A</x:v>
      </x:c>
      <x:c r="C100" s="11" t="str">
        <x:v>planning</x:v>
      </x:c>
      <x:c r="D100" s="11" t="str">
        <x:v>custody and destructive package</x:v>
      </x:c>
      <x:c r="E100" s="11" t="str">
        <x:v>PTC-A</x:v>
      </x:c>
      <x:c r="F100" s="11" t="str">
        <x:v>RSP-1 planning authority</x:v>
      </x:c>
      <x:c r="G100" s="11" t="str">
        <x:v>complete controlled definition</x:v>
      </x:c>
      <x:c r="H100" s="11" t="str">
        <x:f>'Custody Retirement'!F83</x:f>
        <x:v>PASS</x:v>
      </x:c>
      <x:c r="I100" s="11" t="str">
        <x:f>IF(H100="PASS","none","repair planning package")</x:f>
        <x:v>none</x:v>
      </x:c>
      <x:c r="J100" s="38"/>
      <x:c r="K100" s="38"/>
    </x:row>
    <x:row r="101">
      <x:c r="B101" s="11" t="str">
        <x:v>PG-CUST-PTC-B</x:v>
      </x:c>
      <x:c r="C101" s="11" t="str">
        <x:v>planning</x:v>
      </x:c>
      <x:c r="D101" s="11" t="str">
        <x:v>custody and destructive package</x:v>
      </x:c>
      <x:c r="E101" s="11" t="str">
        <x:v>PTC-B</x:v>
      </x:c>
      <x:c r="F101" s="11" t="str">
        <x:v>RSP-1 planning authority</x:v>
      </x:c>
      <x:c r="G101" s="11" t="str">
        <x:v>complete controlled definition</x:v>
      </x:c>
      <x:c r="H101" s="11" t="str">
        <x:f>'Custody Retirement'!F84</x:f>
        <x:v>PASS</x:v>
      </x:c>
      <x:c r="I101" s="11" t="str">
        <x:f>IF(H101="PASS","none","repair planning package")</x:f>
        <x:v>none</x:v>
      </x:c>
      <x:c r="J101" s="38"/>
      <x:c r="K101" s="38"/>
    </x:row>
    <x:row r="102">
      <x:c r="B102" s="11" t="str">
        <x:v>PG-CUST-PTC-C</x:v>
      </x:c>
      <x:c r="C102" s="11" t="str">
        <x:v>planning</x:v>
      </x:c>
      <x:c r="D102" s="11" t="str">
        <x:v>custody and destructive package</x:v>
      </x:c>
      <x:c r="E102" s="11" t="str">
        <x:v>PTC-C</x:v>
      </x:c>
      <x:c r="F102" s="11" t="str">
        <x:v>RSP-1 planning authority</x:v>
      </x:c>
      <x:c r="G102" s="11" t="str">
        <x:v>complete controlled definition</x:v>
      </x:c>
      <x:c r="H102" s="11" t="str">
        <x:f>'Custody Retirement'!F85</x:f>
        <x:v>PASS</x:v>
      </x:c>
      <x:c r="I102" s="11" t="str">
        <x:f>IF(H102="PASS","none","repair planning package")</x:f>
        <x:v>none</x:v>
      </x:c>
      <x:c r="J102" s="38"/>
      <x:c r="K102" s="38"/>
    </x:row>
    <x:row r="103">
      <x:c r="B103" s="11" t="str">
        <x:v>AS-SITE-PTC-A</x:v>
      </x:c>
      <x:c r="C103" s="11" t="str">
        <x:v>physical source</x:v>
      </x:c>
      <x:c r="D103" s="11" t="str">
        <x:v>constructed site</x:v>
      </x:c>
      <x:c r="E103" s="11" t="str">
        <x:v>PTC-A</x:v>
      </x:c>
      <x:c r="F103" s="11" t="str">
        <x:v>independent acceptance board</x:v>
      </x:c>
      <x:c r="G103" s="11" t="str">
        <x:v>native packet, two signatures and two hashes</x:v>
      </x:c>
      <x:c r="H103" s="11" t="str">
        <x:f>'Acceptance Sources'!K7</x:f>
        <x:v>OPEN</x:v>
      </x:c>
      <x:c r="I103" s="11" t="str">
        <x:f>IF(H103="PASS","none","produce physical source")</x:f>
        <x:v>produce physical source</x:v>
      </x:c>
      <x:c r="J103" s="38"/>
      <x:c r="K103" s="38"/>
    </x:row>
    <x:row r="104">
      <x:c r="B104" s="11" t="str">
        <x:v>AS-SITE-PTC-B</x:v>
      </x:c>
      <x:c r="C104" s="11" t="str">
        <x:v>physical source</x:v>
      </x:c>
      <x:c r="D104" s="11" t="str">
        <x:v>constructed site</x:v>
      </x:c>
      <x:c r="E104" s="11" t="str">
        <x:v>PTC-B</x:v>
      </x:c>
      <x:c r="F104" s="11" t="str">
        <x:v>independent acceptance board</x:v>
      </x:c>
      <x:c r="G104" s="11" t="str">
        <x:v>native packet, two signatures and two hashes</x:v>
      </x:c>
      <x:c r="H104" s="11" t="str">
        <x:f>'Acceptance Sources'!K8</x:f>
        <x:v>OPEN</x:v>
      </x:c>
      <x:c r="I104" s="11" t="str">
        <x:f>IF(H104="PASS","none","produce physical source")</x:f>
        <x:v>produce physical source</x:v>
      </x:c>
      <x:c r="J104" s="38"/>
      <x:c r="K104" s="38"/>
    </x:row>
    <x:row r="105">
      <x:c r="B105" s="11" t="str">
        <x:v>AS-SITE-PTC-C</x:v>
      </x:c>
      <x:c r="C105" s="11" t="str">
        <x:v>physical source</x:v>
      </x:c>
      <x:c r="D105" s="11" t="str">
        <x:v>constructed site</x:v>
      </x:c>
      <x:c r="E105" s="11" t="str">
        <x:v>PTC-C</x:v>
      </x:c>
      <x:c r="F105" s="11" t="str">
        <x:v>independent acceptance board</x:v>
      </x:c>
      <x:c r="G105" s="11" t="str">
        <x:v>native packet, two signatures and two hashes</x:v>
      </x:c>
      <x:c r="H105" s="11" t="str">
        <x:f>'Acceptance Sources'!K9</x:f>
        <x:v>OPEN</x:v>
      </x:c>
      <x:c r="I105" s="11" t="str">
        <x:f>IF(H105="PASS","none","produce physical source")</x:f>
        <x:v>produce physical source</x:v>
      </x:c>
      <x:c r="J105" s="38"/>
      <x:c r="K105" s="38"/>
    </x:row>
    <x:row r="106">
      <x:c r="B106" s="11" t="str">
        <x:v>AS-LANE-LN-01</x:v>
      </x:c>
      <x:c r="C106" s="11" t="str">
        <x:v>physical source</x:v>
      </x:c>
      <x:c r="D106" s="11" t="str">
        <x:v>commissioned lane</x:v>
      </x:c>
      <x:c r="E106" s="11" t="str">
        <x:v>LN-01</x:v>
      </x:c>
      <x:c r="F106" s="11" t="str">
        <x:v>independent acceptance board</x:v>
      </x:c>
      <x:c r="G106" s="11" t="str">
        <x:v>native packet, two signatures and two hashes</x:v>
      </x:c>
      <x:c r="H106" s="11" t="str">
        <x:f>'Acceptance Sources'!K10</x:f>
        <x:v>OPEN</x:v>
      </x:c>
      <x:c r="I106" s="11" t="str">
        <x:f>IF(H106="PASS","none","produce physical source")</x:f>
        <x:v>produce physical source</x:v>
      </x:c>
      <x:c r="J106" s="38"/>
      <x:c r="K106" s="38"/>
    </x:row>
    <x:row r="107">
      <x:c r="B107" s="11" t="str">
        <x:v>AS-LANE-LN-02</x:v>
      </x:c>
      <x:c r="C107" s="11" t="str">
        <x:v>physical source</x:v>
      </x:c>
      <x:c r="D107" s="11" t="str">
        <x:v>commissioned lane</x:v>
      </x:c>
      <x:c r="E107" s="11" t="str">
        <x:v>LN-02</x:v>
      </x:c>
      <x:c r="F107" s="11" t="str">
        <x:v>independent acceptance board</x:v>
      </x:c>
      <x:c r="G107" s="11" t="str">
        <x:v>native packet, two signatures and two hashes</x:v>
      </x:c>
      <x:c r="H107" s="11" t="str">
        <x:f>'Acceptance Sources'!K11</x:f>
        <x:v>OPEN</x:v>
      </x:c>
      <x:c r="I107" s="11" t="str">
        <x:f>IF(H107="PASS","none","produce physical source")</x:f>
        <x:v>produce physical source</x:v>
      </x:c>
      <x:c r="J107" s="38"/>
      <x:c r="K107" s="38"/>
    </x:row>
    <x:row r="108">
      <x:c r="B108" s="11" t="str">
        <x:v>AS-LANE-LN-03</x:v>
      </x:c>
      <x:c r="C108" s="11" t="str">
        <x:v>physical source</x:v>
      </x:c>
      <x:c r="D108" s="11" t="str">
        <x:v>commissioned lane</x:v>
      </x:c>
      <x:c r="E108" s="11" t="str">
        <x:v>LN-03</x:v>
      </x:c>
      <x:c r="F108" s="11" t="str">
        <x:v>independent acceptance board</x:v>
      </x:c>
      <x:c r="G108" s="11" t="str">
        <x:v>native packet, two signatures and two hashes</x:v>
      </x:c>
      <x:c r="H108" s="11" t="str">
        <x:f>'Acceptance Sources'!K12</x:f>
        <x:v>OPEN</x:v>
      </x:c>
      <x:c r="I108" s="11" t="str">
        <x:f>IF(H108="PASS","none","produce physical source")</x:f>
        <x:v>produce physical source</x:v>
      </x:c>
      <x:c r="J108" s="38"/>
      <x:c r="K108" s="38"/>
    </x:row>
    <x:row r="109">
      <x:c r="B109" s="11" t="str">
        <x:v>AS-LANE-LN-04</x:v>
      </x:c>
      <x:c r="C109" s="11" t="str">
        <x:v>physical source</x:v>
      </x:c>
      <x:c r="D109" s="11" t="str">
        <x:v>commissioned lane</x:v>
      </x:c>
      <x:c r="E109" s="11" t="str">
        <x:v>LN-04</x:v>
      </x:c>
      <x:c r="F109" s="11" t="str">
        <x:v>independent acceptance board</x:v>
      </x:c>
      <x:c r="G109" s="11" t="str">
        <x:v>native packet, two signatures and two hashes</x:v>
      </x:c>
      <x:c r="H109" s="11" t="str">
        <x:f>'Acceptance Sources'!K13</x:f>
        <x:v>OPEN</x:v>
      </x:c>
      <x:c r="I109" s="11" t="str">
        <x:f>IF(H109="PASS","none","produce physical source")</x:f>
        <x:v>produce physical source</x:v>
      </x:c>
      <x:c r="J109" s="38"/>
      <x:c r="K109" s="38"/>
    </x:row>
    <x:row r="110">
      <x:c r="B110" s="11" t="str">
        <x:v>AS-LANE-LN-05</x:v>
      </x:c>
      <x:c r="C110" s="11" t="str">
        <x:v>physical source</x:v>
      </x:c>
      <x:c r="D110" s="11" t="str">
        <x:v>commissioned lane</x:v>
      </x:c>
      <x:c r="E110" s="11" t="str">
        <x:v>LN-05</x:v>
      </x:c>
      <x:c r="F110" s="11" t="str">
        <x:v>independent acceptance board</x:v>
      </x:c>
      <x:c r="G110" s="11" t="str">
        <x:v>native packet, two signatures and two hashes</x:v>
      </x:c>
      <x:c r="H110" s="11" t="str">
        <x:f>'Acceptance Sources'!K14</x:f>
        <x:v>OPEN</x:v>
      </x:c>
      <x:c r="I110" s="11" t="str">
        <x:f>IF(H110="PASS","none","produce physical source")</x:f>
        <x:v>produce physical source</x:v>
      </x:c>
      <x:c r="J110" s="38"/>
      <x:c r="K110" s="38"/>
    </x:row>
    <x:row r="111">
      <x:c r="B111" s="11" t="str">
        <x:v>AS-LANE-LN-06</x:v>
      </x:c>
      <x:c r="C111" s="11" t="str">
        <x:v>physical source</x:v>
      </x:c>
      <x:c r="D111" s="11" t="str">
        <x:v>commissioned lane</x:v>
      </x:c>
      <x:c r="E111" s="11" t="str">
        <x:v>LN-06</x:v>
      </x:c>
      <x:c r="F111" s="11" t="str">
        <x:v>independent acceptance board</x:v>
      </x:c>
      <x:c r="G111" s="11" t="str">
        <x:v>native packet, two signatures and two hashes</x:v>
      </x:c>
      <x:c r="H111" s="11" t="str">
        <x:f>'Acceptance Sources'!K15</x:f>
        <x:v>OPEN</x:v>
      </x:c>
      <x:c r="I111" s="11" t="str">
        <x:f>IF(H111="PASS","none","produce physical source")</x:f>
        <x:v>produce physical source</x:v>
      </x:c>
      <x:c r="J111" s="38"/>
      <x:c r="K111" s="38"/>
    </x:row>
    <x:row r="112">
      <x:c r="B112" s="11" t="str">
        <x:v>AS-LANE-LN-07</x:v>
      </x:c>
      <x:c r="C112" s="11" t="str">
        <x:v>physical source</x:v>
      </x:c>
      <x:c r="D112" s="11" t="str">
        <x:v>commissioned lane</x:v>
      </x:c>
      <x:c r="E112" s="11" t="str">
        <x:v>LN-07</x:v>
      </x:c>
      <x:c r="F112" s="11" t="str">
        <x:v>independent acceptance board</x:v>
      </x:c>
      <x:c r="G112" s="11" t="str">
        <x:v>native packet, two signatures and two hashes</x:v>
      </x:c>
      <x:c r="H112" s="11" t="str">
        <x:f>'Acceptance Sources'!K16</x:f>
        <x:v>OPEN</x:v>
      </x:c>
      <x:c r="I112" s="11" t="str">
        <x:f>IF(H112="PASS","none","produce physical source")</x:f>
        <x:v>produce physical source</x:v>
      </x:c>
      <x:c r="J112" s="38"/>
      <x:c r="K112" s="38"/>
    </x:row>
    <x:row r="113">
      <x:c r="B113" s="11" t="str">
        <x:v>AS-LANE-LN-08</x:v>
      </x:c>
      <x:c r="C113" s="11" t="str">
        <x:v>physical source</x:v>
      </x:c>
      <x:c r="D113" s="11" t="str">
        <x:v>commissioned lane</x:v>
      </x:c>
      <x:c r="E113" s="11" t="str">
        <x:v>LN-08</x:v>
      </x:c>
      <x:c r="F113" s="11" t="str">
        <x:v>independent acceptance board</x:v>
      </x:c>
      <x:c r="G113" s="11" t="str">
        <x:v>native packet, two signatures and two hashes</x:v>
      </x:c>
      <x:c r="H113" s="11" t="str">
        <x:f>'Acceptance Sources'!K17</x:f>
        <x:v>OPEN</x:v>
      </x:c>
      <x:c r="I113" s="11" t="str">
        <x:f>IF(H113="PASS","none","produce physical source")</x:f>
        <x:v>produce physical source</x:v>
      </x:c>
      <x:c r="J113" s="38"/>
      <x:c r="K113" s="38"/>
    </x:row>
    <x:row r="114">
      <x:c r="B114" s="11" t="str">
        <x:v>AS-LANE-LN-09</x:v>
      </x:c>
      <x:c r="C114" s="11" t="str">
        <x:v>physical source</x:v>
      </x:c>
      <x:c r="D114" s="11" t="str">
        <x:v>commissioned lane</x:v>
      </x:c>
      <x:c r="E114" s="11" t="str">
        <x:v>LN-09</x:v>
      </x:c>
      <x:c r="F114" s="11" t="str">
        <x:v>independent acceptance board</x:v>
      </x:c>
      <x:c r="G114" s="11" t="str">
        <x:v>native packet, two signatures and two hashes</x:v>
      </x:c>
      <x:c r="H114" s="11" t="str">
        <x:f>'Acceptance Sources'!K18</x:f>
        <x:v>OPEN</x:v>
      </x:c>
      <x:c r="I114" s="11" t="str">
        <x:f>IF(H114="PASS","none","produce physical source")</x:f>
        <x:v>produce physical source</x:v>
      </x:c>
      <x:c r="J114" s="38"/>
      <x:c r="K114" s="38"/>
    </x:row>
    <x:row r="115">
      <x:c r="B115" s="11" t="str">
        <x:v>AS-LANE-LN-10</x:v>
      </x:c>
      <x:c r="C115" s="11" t="str">
        <x:v>physical source</x:v>
      </x:c>
      <x:c r="D115" s="11" t="str">
        <x:v>commissioned lane</x:v>
      </x:c>
      <x:c r="E115" s="11" t="str">
        <x:v>LN-10</x:v>
      </x:c>
      <x:c r="F115" s="11" t="str">
        <x:v>independent acceptance board</x:v>
      </x:c>
      <x:c r="G115" s="11" t="str">
        <x:v>native packet, two signatures and two hashes</x:v>
      </x:c>
      <x:c r="H115" s="11" t="str">
        <x:f>'Acceptance Sources'!K19</x:f>
        <x:v>OPEN</x:v>
      </x:c>
      <x:c r="I115" s="11" t="str">
        <x:f>IF(H115="PASS","none","produce physical source")</x:f>
        <x:v>produce physical source</x:v>
      </x:c>
      <x:c r="J115" s="38"/>
      <x:c r="K115" s="38"/>
    </x:row>
    <x:row r="116">
      <x:c r="B116" s="11" t="str">
        <x:v>AS-LANE-LN-11</x:v>
      </x:c>
      <x:c r="C116" s="11" t="str">
        <x:v>physical source</x:v>
      </x:c>
      <x:c r="D116" s="11" t="str">
        <x:v>commissioned lane</x:v>
      </x:c>
      <x:c r="E116" s="11" t="str">
        <x:v>LN-11</x:v>
      </x:c>
      <x:c r="F116" s="11" t="str">
        <x:v>independent acceptance board</x:v>
      </x:c>
      <x:c r="G116" s="11" t="str">
        <x:v>native packet, two signatures and two hashes</x:v>
      </x:c>
      <x:c r="H116" s="11" t="str">
        <x:f>'Acceptance Sources'!K20</x:f>
        <x:v>OPEN</x:v>
      </x:c>
      <x:c r="I116" s="11" t="str">
        <x:f>IF(H116="PASS","none","produce physical source")</x:f>
        <x:v>produce physical source</x:v>
      </x:c>
      <x:c r="J116" s="38"/>
      <x:c r="K116" s="38"/>
    </x:row>
    <x:row r="117">
      <x:c r="B117" s="11" t="str">
        <x:v>AS-LANE-LN-12</x:v>
      </x:c>
      <x:c r="C117" s="11" t="str">
        <x:v>physical source</x:v>
      </x:c>
      <x:c r="D117" s="11" t="str">
        <x:v>commissioned lane</x:v>
      </x:c>
      <x:c r="E117" s="11" t="str">
        <x:v>LN-12</x:v>
      </x:c>
      <x:c r="F117" s="11" t="str">
        <x:v>independent acceptance board</x:v>
      </x:c>
      <x:c r="G117" s="11" t="str">
        <x:v>native packet, two signatures and two hashes</x:v>
      </x:c>
      <x:c r="H117" s="11" t="str">
        <x:f>'Acceptance Sources'!K21</x:f>
        <x:v>OPEN</x:v>
      </x:c>
      <x:c r="I117" s="11" t="str">
        <x:f>IF(H117="PASS","none","produce physical source")</x:f>
        <x:v>produce physical source</x:v>
      </x:c>
      <x:c r="J117" s="38"/>
      <x:c r="K117" s="38"/>
    </x:row>
    <x:row r="118">
      <x:c r="B118" s="11" t="str">
        <x:v>AS-REF-SA1</x:v>
      </x:c>
      <x:c r="C118" s="11" t="str">
        <x:v>physical source</x:v>
      </x:c>
      <x:c r="D118" s="11" t="str">
        <x:v>accepted reference group</x:v>
      </x:c>
      <x:c r="E118" s="11" t="str">
        <x:v>SA1</x:v>
      </x:c>
      <x:c r="F118" s="11" t="str">
        <x:v>independent acceptance board</x:v>
      </x:c>
      <x:c r="G118" s="11" t="str">
        <x:v>native packet, two signatures and two hashes</x:v>
      </x:c>
      <x:c r="H118" s="11" t="str">
        <x:f>'Acceptance Sources'!K22</x:f>
        <x:v>OPEN</x:v>
      </x:c>
      <x:c r="I118" s="11" t="str">
        <x:f>IF(H118="PASS","none","produce physical source")</x:f>
        <x:v>produce physical source</x:v>
      </x:c>
      <x:c r="J118" s="38"/>
      <x:c r="K118" s="38"/>
    </x:row>
    <x:row r="119">
      <x:c r="B119" s="11" t="str">
        <x:v>AS-REF-SA2</x:v>
      </x:c>
      <x:c r="C119" s="11" t="str">
        <x:v>physical source</x:v>
      </x:c>
      <x:c r="D119" s="11" t="str">
        <x:v>accepted reference group</x:v>
      </x:c>
      <x:c r="E119" s="11" t="str">
        <x:v>SA2</x:v>
      </x:c>
      <x:c r="F119" s="11" t="str">
        <x:v>independent acceptance board</x:v>
      </x:c>
      <x:c r="G119" s="11" t="str">
        <x:v>native packet, two signatures and two hashes</x:v>
      </x:c>
      <x:c r="H119" s="11" t="str">
        <x:f>'Acceptance Sources'!K23</x:f>
        <x:v>OPEN</x:v>
      </x:c>
      <x:c r="I119" s="11" t="str">
        <x:f>IF(H119="PASS","none","produce physical source")</x:f>
        <x:v>produce physical source</x:v>
      </x:c>
      <x:c r="J119" s="38"/>
      <x:c r="K119" s="38"/>
    </x:row>
    <x:row r="120">
      <x:c r="B120" s="11" t="str">
        <x:v>AS-REF-SA3</x:v>
      </x:c>
      <x:c r="C120" s="11" t="str">
        <x:v>physical source</x:v>
      </x:c>
      <x:c r="D120" s="11" t="str">
        <x:v>accepted reference group</x:v>
      </x:c>
      <x:c r="E120" s="11" t="str">
        <x:v>SA3</x:v>
      </x:c>
      <x:c r="F120" s="11" t="str">
        <x:v>independent acceptance board</x:v>
      </x:c>
      <x:c r="G120" s="11" t="str">
        <x:v>native packet, two signatures and two hashes</x:v>
      </x:c>
      <x:c r="H120" s="11" t="str">
        <x:f>'Acceptance Sources'!K24</x:f>
        <x:v>OPEN</x:v>
      </x:c>
      <x:c r="I120" s="11" t="str">
        <x:f>IF(H120="PASS","none","produce physical source")</x:f>
        <x:v>produce physical source</x:v>
      </x:c>
      <x:c r="J120" s="38"/>
      <x:c r="K120" s="38"/>
    </x:row>
    <x:row r="121">
      <x:c r="B121" s="11" t="str">
        <x:v>AS-REF-SA4</x:v>
      </x:c>
      <x:c r="C121" s="11" t="str">
        <x:v>physical source</x:v>
      </x:c>
      <x:c r="D121" s="11" t="str">
        <x:v>accepted reference group</x:v>
      </x:c>
      <x:c r="E121" s="11" t="str">
        <x:v>SA4</x:v>
      </x:c>
      <x:c r="F121" s="11" t="str">
        <x:v>independent acceptance board</x:v>
      </x:c>
      <x:c r="G121" s="11" t="str">
        <x:v>native packet, two signatures and two hashes</x:v>
      </x:c>
      <x:c r="H121" s="11" t="str">
        <x:f>'Acceptance Sources'!K25</x:f>
        <x:v>OPEN</x:v>
      </x:c>
      <x:c r="I121" s="11" t="str">
        <x:f>IF(H121="PASS","none","produce physical source")</x:f>
        <x:v>produce physical source</x:v>
      </x:c>
      <x:c r="J121" s="38"/>
      <x:c r="K121" s="38"/>
    </x:row>
    <x:row r="122">
      <x:c r="B122" s="11" t="str">
        <x:v>AS-REF-SA5</x:v>
      </x:c>
      <x:c r="C122" s="11" t="str">
        <x:v>physical source</x:v>
      </x:c>
      <x:c r="D122" s="11" t="str">
        <x:v>accepted reference group</x:v>
      </x:c>
      <x:c r="E122" s="11" t="str">
        <x:v>SA5</x:v>
      </x:c>
      <x:c r="F122" s="11" t="str">
        <x:v>independent acceptance board</x:v>
      </x:c>
      <x:c r="G122" s="11" t="str">
        <x:v>native packet, two signatures and two hashes</x:v>
      </x:c>
      <x:c r="H122" s="11" t="str">
        <x:f>'Acceptance Sources'!K26</x:f>
        <x:v>OPEN</x:v>
      </x:c>
      <x:c r="I122" s="11" t="str">
        <x:f>IF(H122="PASS","none","produce physical source")</x:f>
        <x:v>produce physical source</x:v>
      </x:c>
      <x:c r="J122" s="38"/>
      <x:c r="K122" s="38"/>
    </x:row>
    <x:row r="123">
      <x:c r="B123" s="11" t="str">
        <x:v>AS-REF-SA6</x:v>
      </x:c>
      <x:c r="C123" s="11" t="str">
        <x:v>physical source</x:v>
      </x:c>
      <x:c r="D123" s="11" t="str">
        <x:v>accepted reference group</x:v>
      </x:c>
      <x:c r="E123" s="11" t="str">
        <x:v>SA6</x:v>
      </x:c>
      <x:c r="F123" s="11" t="str">
        <x:v>independent acceptance board</x:v>
      </x:c>
      <x:c r="G123" s="11" t="str">
        <x:v>native packet, two signatures and two hashes</x:v>
      </x:c>
      <x:c r="H123" s="11" t="str">
        <x:f>'Acceptance Sources'!K27</x:f>
        <x:v>OPEN</x:v>
      </x:c>
      <x:c r="I123" s="11" t="str">
        <x:f>IF(H123="PASS","none","produce physical source")</x:f>
        <x:v>produce physical source</x:v>
      </x:c>
      <x:c r="J123" s="38"/>
      <x:c r="K123" s="38"/>
    </x:row>
    <x:row r="124">
      <x:c r="B124" s="11" t="str">
        <x:v>AS-DENIAL-PTC-A</x:v>
      </x:c>
      <x:c r="C124" s="11" t="str">
        <x:v>physical source</x:v>
      </x:c>
      <x:c r="D124" s="11" t="str">
        <x:v>campus denial set</x:v>
      </x:c>
      <x:c r="E124" s="11" t="str">
        <x:v>PTC-A</x:v>
      </x:c>
      <x:c r="F124" s="11" t="str">
        <x:v>independent acceptance board</x:v>
      </x:c>
      <x:c r="G124" s="11" t="str">
        <x:v>native packet, two signatures and two hashes</x:v>
      </x:c>
      <x:c r="H124" s="11" t="str">
        <x:f>'Acceptance Sources'!K28</x:f>
        <x:v>OPEN</x:v>
      </x:c>
      <x:c r="I124" s="11" t="str">
        <x:f>IF(H124="PASS","none","produce physical source")</x:f>
        <x:v>produce physical source</x:v>
      </x:c>
      <x:c r="J124" s="38"/>
      <x:c r="K124" s="38"/>
    </x:row>
    <x:row r="125">
      <x:c r="B125" s="11" t="str">
        <x:v>AS-DENIAL-PTC-B</x:v>
      </x:c>
      <x:c r="C125" s="11" t="str">
        <x:v>physical source</x:v>
      </x:c>
      <x:c r="D125" s="11" t="str">
        <x:v>campus denial set</x:v>
      </x:c>
      <x:c r="E125" s="11" t="str">
        <x:v>PTC-B</x:v>
      </x:c>
      <x:c r="F125" s="11" t="str">
        <x:v>independent acceptance board</x:v>
      </x:c>
      <x:c r="G125" s="11" t="str">
        <x:v>native packet, two signatures and two hashes</x:v>
      </x:c>
      <x:c r="H125" s="11" t="str">
        <x:f>'Acceptance Sources'!K29</x:f>
        <x:v>OPEN</x:v>
      </x:c>
      <x:c r="I125" s="11" t="str">
        <x:f>IF(H125="PASS","none","produce physical source")</x:f>
        <x:v>produce physical source</x:v>
      </x:c>
      <x:c r="J125" s="38"/>
      <x:c r="K125" s="38"/>
    </x:row>
    <x:row r="126">
      <x:c r="B126" s="11" t="str">
        <x:v>AS-DENIAL-PTC-C</x:v>
      </x:c>
      <x:c r="C126" s="11" t="str">
        <x:v>physical source</x:v>
      </x:c>
      <x:c r="D126" s="11" t="str">
        <x:v>campus denial set</x:v>
      </x:c>
      <x:c r="E126" s="11" t="str">
        <x:v>PTC-C</x:v>
      </x:c>
      <x:c r="F126" s="11" t="str">
        <x:v>independent acceptance board</x:v>
      </x:c>
      <x:c r="G126" s="11" t="str">
        <x:v>native packet, two signatures and two hashes</x:v>
      </x:c>
      <x:c r="H126" s="11" t="str">
        <x:f>'Acceptance Sources'!K30</x:f>
        <x:v>OPEN</x:v>
      </x:c>
      <x:c r="I126" s="11" t="str">
        <x:f>IF(H126="PASS","none","produce physical source")</x:f>
        <x:v>produce physical source</x:v>
      </x:c>
      <x:c r="J126" s="38"/>
      <x:c r="K126" s="38"/>
    </x:row>
    <x:row r="127">
      <x:c r="B127" s="11" t="str">
        <x:v>AS-REPLAY-SA1</x:v>
      </x:c>
      <x:c r="C127" s="11" t="str">
        <x:v>physical source</x:v>
      </x:c>
      <x:c r="D127" s="11" t="str">
        <x:v>family cross-site reconstruction</x:v>
      </x:c>
      <x:c r="E127" s="11" t="str">
        <x:v>SA1</x:v>
      </x:c>
      <x:c r="F127" s="11" t="str">
        <x:v>independent acceptance board</x:v>
      </x:c>
      <x:c r="G127" s="11" t="str">
        <x:v>native packet, two signatures and two hashes</x:v>
      </x:c>
      <x:c r="H127" s="11" t="str">
        <x:f>'Acceptance Sources'!K31</x:f>
        <x:v>OPEN</x:v>
      </x:c>
      <x:c r="I127" s="11" t="str">
        <x:f>IF(H127="PASS","none","produce physical source")</x:f>
        <x:v>produce physical source</x:v>
      </x:c>
      <x:c r="J127" s="38"/>
      <x:c r="K127" s="38"/>
    </x:row>
    <x:row r="128">
      <x:c r="B128" s="11" t="str">
        <x:v>AS-REPLAY-SA2</x:v>
      </x:c>
      <x:c r="C128" s="11" t="str">
        <x:v>physical source</x:v>
      </x:c>
      <x:c r="D128" s="11" t="str">
        <x:v>family cross-site reconstruction</x:v>
      </x:c>
      <x:c r="E128" s="11" t="str">
        <x:v>SA2</x:v>
      </x:c>
      <x:c r="F128" s="11" t="str">
        <x:v>independent acceptance board</x:v>
      </x:c>
      <x:c r="G128" s="11" t="str">
        <x:v>native packet, two signatures and two hashes</x:v>
      </x:c>
      <x:c r="H128" s="11" t="str">
        <x:f>'Acceptance Sources'!K32</x:f>
        <x:v>OPEN</x:v>
      </x:c>
      <x:c r="I128" s="11" t="str">
        <x:f>IF(H128="PASS","none","produce physical source")</x:f>
        <x:v>produce physical source</x:v>
      </x:c>
      <x:c r="J128" s="38"/>
      <x:c r="K128" s="38"/>
    </x:row>
    <x:row r="129">
      <x:c r="B129" s="11" t="str">
        <x:v>AS-REPLAY-SA3</x:v>
      </x:c>
      <x:c r="C129" s="11" t="str">
        <x:v>physical source</x:v>
      </x:c>
      <x:c r="D129" s="11" t="str">
        <x:v>family cross-site reconstruction</x:v>
      </x:c>
      <x:c r="E129" s="11" t="str">
        <x:v>SA3</x:v>
      </x:c>
      <x:c r="F129" s="11" t="str">
        <x:v>independent acceptance board</x:v>
      </x:c>
      <x:c r="G129" s="11" t="str">
        <x:v>native packet, two signatures and two hashes</x:v>
      </x:c>
      <x:c r="H129" s="11" t="str">
        <x:f>'Acceptance Sources'!K33</x:f>
        <x:v>OPEN</x:v>
      </x:c>
      <x:c r="I129" s="11" t="str">
        <x:f>IF(H129="PASS","none","produce physical source")</x:f>
        <x:v>produce physical source</x:v>
      </x:c>
      <x:c r="J129" s="38"/>
      <x:c r="K129" s="38"/>
    </x:row>
    <x:row r="130">
      <x:c r="B130" s="11" t="str">
        <x:v>AS-REPLAY-SA4</x:v>
      </x:c>
      <x:c r="C130" s="11" t="str">
        <x:v>physical source</x:v>
      </x:c>
      <x:c r="D130" s="11" t="str">
        <x:v>family cross-site reconstruction</x:v>
      </x:c>
      <x:c r="E130" s="11" t="str">
        <x:v>SA4</x:v>
      </x:c>
      <x:c r="F130" s="11" t="str">
        <x:v>independent acceptance board</x:v>
      </x:c>
      <x:c r="G130" s="11" t="str">
        <x:v>native packet, two signatures and two hashes</x:v>
      </x:c>
      <x:c r="H130" s="11" t="str">
        <x:f>'Acceptance Sources'!K34</x:f>
        <x:v>OPEN</x:v>
      </x:c>
      <x:c r="I130" s="11" t="str">
        <x:f>IF(H130="PASS","none","produce physical source")</x:f>
        <x:v>produce physical source</x:v>
      </x:c>
      <x:c r="J130" s="38"/>
      <x:c r="K130" s="38"/>
    </x:row>
    <x:row r="131">
      <x:c r="B131" s="11" t="str">
        <x:v>AS-REPLAY-SA5</x:v>
      </x:c>
      <x:c r="C131" s="11" t="str">
        <x:v>physical source</x:v>
      </x:c>
      <x:c r="D131" s="11" t="str">
        <x:v>family cross-site reconstruction</x:v>
      </x:c>
      <x:c r="E131" s="11" t="str">
        <x:v>SA5</x:v>
      </x:c>
      <x:c r="F131" s="11" t="str">
        <x:v>independent acceptance board</x:v>
      </x:c>
      <x:c r="G131" s="11" t="str">
        <x:v>native packet, two signatures and two hashes</x:v>
      </x:c>
      <x:c r="H131" s="11" t="str">
        <x:f>'Acceptance Sources'!K35</x:f>
        <x:v>OPEN</x:v>
      </x:c>
      <x:c r="I131" s="11" t="str">
        <x:f>IF(H131="PASS","none","produce physical source")</x:f>
        <x:v>produce physical source</x:v>
      </x:c>
      <x:c r="J131" s="38"/>
      <x:c r="K131" s="38"/>
    </x:row>
    <x:row r="132">
      <x:c r="B132" s="11" t="str">
        <x:v>AS-REPLAY-SA6</x:v>
      </x:c>
      <x:c r="C132" s="11" t="str">
        <x:v>physical source</x:v>
      </x:c>
      <x:c r="D132" s="11" t="str">
        <x:v>family cross-site reconstruction</x:v>
      </x:c>
      <x:c r="E132" s="11" t="str">
        <x:v>SA6</x:v>
      </x:c>
      <x:c r="F132" s="11" t="str">
        <x:v>independent acceptance board</x:v>
      </x:c>
      <x:c r="G132" s="11" t="str">
        <x:v>native packet, two signatures and two hashes</x:v>
      </x:c>
      <x:c r="H132" s="11" t="str">
        <x:f>'Acceptance Sources'!K36</x:f>
        <x:v>OPEN</x:v>
      </x:c>
      <x:c r="I132" s="11" t="str">
        <x:f>IF(H132="PASS","none","produce physical source")</x:f>
        <x:v>produce physical source</x:v>
      </x:c>
      <x:c r="J132" s="38"/>
      <x:c r="K132" s="38"/>
    </x:row>
    <x:row r="133">
      <x:c r="B133" s="11" t="str">
        <x:v>AS-VAULT-PTC-A</x:v>
      </x:c>
      <x:c r="C133" s="11" t="str">
        <x:v>physical source</x:v>
      </x:c>
      <x:c r="D133" s="11" t="str">
        <x:v>evidence-vault pair</x:v>
      </x:c>
      <x:c r="E133" s="11" t="str">
        <x:v>PTC-A</x:v>
      </x:c>
      <x:c r="F133" s="11" t="str">
        <x:v>independent acceptance board</x:v>
      </x:c>
      <x:c r="G133" s="11" t="str">
        <x:v>native packet, two signatures and two hashes</x:v>
      </x:c>
      <x:c r="H133" s="11" t="str">
        <x:f>'Acceptance Sources'!K37</x:f>
        <x:v>OPEN</x:v>
      </x:c>
      <x:c r="I133" s="11" t="str">
        <x:f>IF(H133="PASS","none","produce physical source")</x:f>
        <x:v>produce physical source</x:v>
      </x:c>
      <x:c r="J133" s="38"/>
      <x:c r="K133" s="38"/>
    </x:row>
    <x:row r="134">
      <x:c r="B134" s="11" t="str">
        <x:v>AS-VAULT-PTC-B</x:v>
      </x:c>
      <x:c r="C134" s="11" t="str">
        <x:v>physical source</x:v>
      </x:c>
      <x:c r="D134" s="11" t="str">
        <x:v>evidence-vault pair</x:v>
      </x:c>
      <x:c r="E134" s="11" t="str">
        <x:v>PTC-B</x:v>
      </x:c>
      <x:c r="F134" s="11" t="str">
        <x:v>independent acceptance board</x:v>
      </x:c>
      <x:c r="G134" s="11" t="str">
        <x:v>native packet, two signatures and two hashes</x:v>
      </x:c>
      <x:c r="H134" s="11" t="str">
        <x:f>'Acceptance Sources'!K38</x:f>
        <x:v>OPEN</x:v>
      </x:c>
      <x:c r="I134" s="11" t="str">
        <x:f>IF(H134="PASS","none","produce physical source")</x:f>
        <x:v>produce physical source</x:v>
      </x:c>
      <x:c r="J134" s="38"/>
      <x:c r="K134" s="38"/>
    </x:row>
    <x:row r="135">
      <x:c r="B135" s="11" t="str">
        <x:v>AS-VAULT-PTC-C</x:v>
      </x:c>
      <x:c r="C135" s="11" t="str">
        <x:v>physical source</x:v>
      </x:c>
      <x:c r="D135" s="11" t="str">
        <x:v>evidence-vault pair</x:v>
      </x:c>
      <x:c r="E135" s="11" t="str">
        <x:v>PTC-C</x:v>
      </x:c>
      <x:c r="F135" s="11" t="str">
        <x:v>independent acceptance board</x:v>
      </x:c>
      <x:c r="G135" s="11" t="str">
        <x:v>native packet, two signatures and two hashes</x:v>
      </x:c>
      <x:c r="H135" s="11" t="str">
        <x:f>'Acceptance Sources'!K39</x:f>
        <x:v>OPEN</x:v>
      </x:c>
      <x:c r="I135" s="11" t="str">
        <x:f>IF(H135="PASS","none","produce physical source")</x:f>
        <x:v>produce physical source</x:v>
      </x:c>
      <x:c r="J135" s="38"/>
      <x:c r="K135" s="38"/>
    </x:row>
    <x:row r="136">
      <x:c r="B136" s="11" t="str">
        <x:v>AS-DEST-PTC-A</x:v>
      </x:c>
      <x:c r="C136" s="11" t="str">
        <x:v>physical source</x:v>
      </x:c>
      <x:c r="D136" s="11" t="str">
        <x:v>destructive and blind complex</x:v>
      </x:c>
      <x:c r="E136" s="11" t="str">
        <x:v>PTC-A</x:v>
      </x:c>
      <x:c r="F136" s="11" t="str">
        <x:v>independent acceptance board</x:v>
      </x:c>
      <x:c r="G136" s="11" t="str">
        <x:v>native packet, two signatures and two hashes</x:v>
      </x:c>
      <x:c r="H136" s="11" t="str">
        <x:f>'Acceptance Sources'!K40</x:f>
        <x:v>OPEN</x:v>
      </x:c>
      <x:c r="I136" s="11" t="str">
        <x:f>IF(H136="PASS","none","produce physical source")</x:f>
        <x:v>produce physical source</x:v>
      </x:c>
      <x:c r="J136" s="38"/>
      <x:c r="K136" s="38"/>
    </x:row>
    <x:row r="137">
      <x:c r="B137" s="11" t="str">
        <x:v>AS-DEST-PTC-B</x:v>
      </x:c>
      <x:c r="C137" s="11" t="str">
        <x:v>physical source</x:v>
      </x:c>
      <x:c r="D137" s="11" t="str">
        <x:v>destructive and blind complex</x:v>
      </x:c>
      <x:c r="E137" s="11" t="str">
        <x:v>PTC-B</x:v>
      </x:c>
      <x:c r="F137" s="11" t="str">
        <x:v>independent acceptance board</x:v>
      </x:c>
      <x:c r="G137" s="11" t="str">
        <x:v>native packet, two signatures and two hashes</x:v>
      </x:c>
      <x:c r="H137" s="11" t="str">
        <x:f>'Acceptance Sources'!K41</x:f>
        <x:v>OPEN</x:v>
      </x:c>
      <x:c r="I137" s="11" t="str">
        <x:f>IF(H137="PASS","none","produce physical source")</x:f>
        <x:v>produce physical source</x:v>
      </x:c>
      <x:c r="J137" s="38"/>
      <x:c r="K137" s="38"/>
    </x:row>
    <x:row r="138">
      <x:c r="B138" s="11" t="str">
        <x:v>AS-DEST-PTC-C</x:v>
      </x:c>
      <x:c r="C138" s="11" t="str">
        <x:v>physical source</x:v>
      </x:c>
      <x:c r="D138" s="11" t="str">
        <x:v>destructive and blind complex</x:v>
      </x:c>
      <x:c r="E138" s="11" t="str">
        <x:v>PTC-C</x:v>
      </x:c>
      <x:c r="F138" s="11" t="str">
        <x:v>independent acceptance board</x:v>
      </x:c>
      <x:c r="G138" s="11" t="str">
        <x:v>native packet, two signatures and two hashes</x:v>
      </x:c>
      <x:c r="H138" s="11" t="str">
        <x:f>'Acceptance Sources'!K42</x:f>
        <x:v>OPEN</x:v>
      </x:c>
      <x:c r="I138" s="11" t="str">
        <x:f>IF(H138="PASS","none","produce physical source")</x:f>
        <x:v>produce physical source</x:v>
      </x:c>
      <x:c r="J138" s="38"/>
      <x:c r="K138" s="38"/>
    </x:row>
    <x:row r="139">
      <x:c r="B139" s="11" t="str">
        <x:v>DG-01</x:v>
      </x:c>
      <x:c r="C139" s="11" t="str">
        <x:v>downstream</x:v>
      </x:c>
      <x:c r="D139" s="11" t="str">
        <x:v>authority</x:v>
      </x:c>
      <x:c r="E139" s="11" t="str">
        <x:v>SDEC-1 execution</x:v>
      </x:c>
      <x:c r="F139" s="11" t="str">
        <x:v>successor authority</x:v>
      </x:c>
      <x:c r="G139" s="11" t="str">
        <x:v>explicit successor authorization</x:v>
      </x:c>
      <x:c r="H139" s="11" t="str">
        <x:f>IF('Controls'!$D$39=1,"PASS","BLOCKED")</x:f>
        <x:v>BLOCKED</x:v>
      </x:c>
      <x:c r="I139" s="11" t="str">
        <x:f>IF(H139="PASS","none","remain blocked")</x:f>
        <x:v>remain blocked</x:v>
      </x:c>
      <x:c r="J139" s="38"/>
      <x:c r="K139" s="38"/>
    </x:row>
    <x:row r="140">
      <x:c r="B140" s="11" t="str">
        <x:v>DG-02</x:v>
      </x:c>
      <x:c r="C140" s="11" t="str">
        <x:v>downstream</x:v>
      </x:c>
      <x:c r="D140" s="11" t="str">
        <x:v>authority</x:v>
      </x:c>
      <x:c r="E140" s="11" t="str">
        <x:v>complete-article admission</x:v>
      </x:c>
      <x:c r="F140" s="11" t="str">
        <x:v>successor authority</x:v>
      </x:c>
      <x:c r="G140" s="11" t="str">
        <x:v>explicit successor authorization</x:v>
      </x:c>
      <x:c r="H140" s="11" t="str">
        <x:f>IF('Controls'!$D$40=1,"PASS","BLOCKED")</x:f>
        <x:v>BLOCKED</x:v>
      </x:c>
      <x:c r="I140" s="11" t="str">
        <x:f>IF(H140="PASS","none","remain blocked")</x:f>
        <x:v>remain blocked</x:v>
      </x:c>
      <x:c r="J140" s="38"/>
      <x:c r="K140" s="38"/>
    </x:row>
    <x:row r="141">
      <x:c r="B141" s="11" t="str">
        <x:v>DG-03</x:v>
      </x:c>
      <x:c r="C141" s="11" t="str">
        <x:v>downstream</x:v>
      </x:c>
      <x:c r="D141" s="11" t="str">
        <x:v>authority</x:v>
      </x:c>
      <x:c r="E141" s="11" t="str">
        <x:v>CISA-RB1 disposition</x:v>
      </x:c>
      <x:c r="F141" s="11" t="str">
        <x:v>successor authority</x:v>
      </x:c>
      <x:c r="G141" s="11" t="str">
        <x:v>explicit successor authorization</x:v>
      </x:c>
      <x:c r="H141" s="11" t="str">
        <x:f>IF('Controls'!$D$41=1,"PASS","BLOCKED")</x:f>
        <x:v>BLOCKED</x:v>
      </x:c>
      <x:c r="I141" s="11" t="str">
        <x:f>IF(H141="PASS","none","remain blocked")</x:f>
        <x:v>remain blocked</x:v>
      </x:c>
      <x:c r="J141" s="38"/>
      <x:c r="K141" s="38"/>
    </x:row>
    <x:row r="142">
      <x:c r="B142" s="11" t="str">
        <x:v>DG-04</x:v>
      </x:c>
      <x:c r="C142" s="11" t="str">
        <x:v>downstream</x:v>
      </x:c>
      <x:c r="D142" s="11" t="str">
        <x:v>authority</x:v>
      </x:c>
      <x:c r="E142" s="11" t="str">
        <x:v>CRC-E01 admission</x:v>
      </x:c>
      <x:c r="F142" s="11" t="str">
        <x:v>successor authority</x:v>
      </x:c>
      <x:c r="G142" s="11" t="str">
        <x:v>explicit successor authorization</x:v>
      </x:c>
      <x:c r="H142" s="11" t="str">
        <x:f>IF('Controls'!$D$42=1,"PASS","BLOCKED")</x:f>
        <x:v>BLOCKED</x:v>
      </x:c>
      <x:c r="I142" s="11" t="str">
        <x:f>IF(H142="PASS","none","remain blocked")</x:f>
        <x:v>remain blocked</x:v>
      </x:c>
      <x:c r="J142" s="38"/>
      <x:c r="K142" s="38"/>
    </x:row>
    <x:row r="143">
      <x:c r="B143" s="11" t="str">
        <x:v>DG-05</x:v>
      </x:c>
      <x:c r="C143" s="11" t="str">
        <x:v>downstream</x:v>
      </x:c>
      <x:c r="D143" s="11" t="str">
        <x:v>authority</x:v>
      </x:c>
      <x:c r="E143" s="11" t="str">
        <x:v>production</x:v>
      </x:c>
      <x:c r="F143" s="11" t="str">
        <x:v>successor authority</x:v>
      </x:c>
      <x:c r="G143" s="11" t="str">
        <x:v>explicit successor authorization</x:v>
      </x:c>
      <x:c r="H143" s="11" t="str">
        <x:f>IF('Controls'!$D$43=1,"PASS","BLOCKED")</x:f>
        <x:v>BLOCKED</x:v>
      </x:c>
      <x:c r="I143" s="11" t="str">
        <x:f>IF(H143="PASS","none","remain blocked")</x:f>
        <x:v>remain blocked</x:v>
      </x:c>
      <x:c r="J143" s="38"/>
      <x:c r="K143" s="38"/>
    </x:row>
    <x:row r="144">
      <x:c r="B144" s="12" t="str">
        <x:v>DG-06</x:v>
      </x:c>
      <x:c r="C144" s="12" t="str">
        <x:v>downstream</x:v>
      </x:c>
      <x:c r="D144" s="12" t="str">
        <x:v>authority</x:v>
      </x:c>
      <x:c r="E144" s="12" t="str">
        <x:v>exterior rendering</x:v>
      </x:c>
      <x:c r="F144" s="12" t="str">
        <x:v>successor authority</x:v>
      </x:c>
      <x:c r="G144" s="12" t="str">
        <x:v>explicit successor authorization</x:v>
      </x:c>
      <x:c r="H144" s="12" t="str">
        <x:f>IF('Controls'!$D$44=1,"PASS","BLOCKED")</x:f>
        <x:v>BLOCKED</x:v>
      </x:c>
      <x:c r="I144" s="12" t="str">
        <x:f>IF(H144="PASS","none","remain blocked")</x:f>
        <x:v>remain blocked</x:v>
      </x:c>
      <x:c r="J144" s="38"/>
      <x:c r="K144" s="38"/>
    </x:row>
  </x:sheetData>
  <x:mergeCells>
    <x:mergeCell ref="B2:K2"/>
    <x:mergeCell ref="B3:K3"/>
  </x:mergeCells>
  <x:conditionalFormatting sqref="H7:H144">
    <x:cfRule type="containsText" dxfId="322" priority="1" operator="containsText" text="PASS"/>
    <x:cfRule type="containsText" dxfId="323" priority="2" operator="containsText" text="AUTHORIZED"/>
    <x:cfRule type="containsText" dxfId="324" priority="3" operator="containsText" text="DEFINED"/>
    <x:cfRule type="containsText" dxfId="325" priority="4" operator="containsText" text="READY"/>
    <x:cfRule type="containsText" dxfId="326" priority="5" operator="containsText" text="HOLD"/>
    <x:cfRule type="containsText" dxfId="327" priority="6" operator="containsText" text="OPEN"/>
    <x:cfRule type="containsText" dxfId="328" priority="7" operator="containsText" text="BLOCKED"/>
    <x:cfRule type="containsText" dxfId="329" priority="8" operator="containsText" text="PLANNING"/>
    <x:cfRule type="containsText" dxfId="330" priority="9" operator="containsText" text="QUARANTINE"/>
    <x:cfRule type="containsText" dxfId="331" priority="10" operator="containsText" text="INDETERMINATE"/>
    <x:cfRule type="containsText" dxfId="332" priority="11" operator="containsText" text="FAIL"/>
    <x:cfRule type="containsText" dxfId="333" priority="12" operator="containsText" text="REJECT"/>
    <x:cfRule type="containsText" dxfId="334" priority="13" operator="containsText" text="INVALID"/>
    <x:cfRule type="containsText" dxfId="335" priority="14" operator="containsText" text="STOP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2" hidden="0" customWidth="1"/>
    <x:col min="4" max="4" width="28" hidden="0" customWidth="1"/>
    <x:col min="5" max="5" width="58" hidden="0" customWidth="1"/>
    <x:col min="6" max="6" width="13" hidden="0" customWidth="1"/>
    <x:col min="7" max="7" width="13" hidden="0" customWidth="1"/>
    <x:col min="8" max="8" width="14" hidden="0" customWidth="1"/>
  </x:cols>
  <x:sheetData>
    <x:row r="2">
      <x:c r="B2" s="37" t="str">
        <x:v>Terminal audit</x:v>
      </x:c>
      <x:c r="C2" s="38"/>
      <x:c r="D2" s="38"/>
      <x:c r="E2" s="38"/>
      <x:c r="F2" s="38"/>
      <x:c r="G2" s="38"/>
      <x:c r="H2" s="38"/>
      <x:c r="I2" s="38"/>
    </x:row>
    <x:row r="3">
      <x:c r="B3" s="39" t="str">
        <x:v>Audit formulas observe builds and sources. No output or release calculation depends on this sheet.</x:v>
      </x:c>
      <x:c r="C3" s="38"/>
      <x:c r="D3" s="38"/>
      <x:c r="E3" s="38"/>
      <x:c r="F3" s="38"/>
      <x:c r="G3" s="38"/>
      <x:c r="H3" s="38"/>
      <x:c r="I3" s="38"/>
    </x:row>
    <x:row r="4">
      <x:c r="B4" s="40"/>
      <x:c r="C4" s="40"/>
      <x:c r="D4" s="40"/>
      <x:c r="E4" s="40"/>
      <x:c r="F4" s="40"/>
      <x:c r="G4" s="40"/>
      <x:c r="H4" s="40"/>
      <x:c r="I4" s="40"/>
    </x:row>
    <x:row r="5">
      <x:c r="B5" s="38"/>
      <x:c r="C5" s="38"/>
      <x:c r="D5" s="38"/>
      <x:c r="E5" s="38"/>
      <x:c r="F5" s="38"/>
      <x:c r="G5" s="38"/>
      <x:c r="H5" s="38"/>
      <x:c r="I5" s="38"/>
    </x:row>
    <x:row r="6">
      <x:c r="B6" s="9" t="str">
        <x:v>Audit ID</x:v>
      </x:c>
      <x:c r="C6" s="9" t="str">
        <x:v>Domain</x:v>
      </x:c>
      <x:c r="D6" s="9" t="str">
        <x:v>Object</x:v>
      </x:c>
      <x:c r="E6" s="9" t="str">
        <x:v>Test</x:v>
      </x:c>
      <x:c r="F6" s="9" t="str">
        <x:v>Expected</x:v>
      </x:c>
      <x:c r="G6" s="9" t="str">
        <x:v>Result</x:v>
      </x:c>
      <x:c r="H6" s="9" t="str">
        <x:v>State</x:v>
      </x:c>
      <x:c r="I6" s="38"/>
    </x:row>
    <x:row r="7">
      <x:c r="B7" s="11" t="str">
        <x:v>AU-0001</x:v>
      </x:c>
      <x:c r="C7" s="11" t="str">
        <x:v>article planning state</x:v>
      </x:c>
      <x:c r="D7" s="11" t="str">
        <x:v>RA-SA1-01-A1</x:v>
      </x:c>
      <x:c r="E7" s="11" t="b">
        <x:f>'Article Register'!Q7="PASS"</x:f>
        <x:v>1</x:v>
      </x:c>
      <x:c r="F7" s="29" t="b">
        <x:v>1</x:v>
      </x:c>
      <x:c r="G7" s="11" t="b">
        <x:f>'Article Register'!Q7="PASS"</x:f>
        <x:v>1</x:v>
      </x:c>
      <x:c r="H7" s="11" t="str">
        <x:f>IF(G7=F7,"PASS","FAIL")</x:f>
        <x:v>PASS</x:v>
      </x:c>
      <x:c r="I7" s="38"/>
    </x:row>
    <x:row r="8">
      <x:c r="B8" s="11" t="str">
        <x:v>AU-0002</x:v>
      </x:c>
      <x:c r="C8" s="11" t="str">
        <x:v>article source remains open</x:v>
      </x:c>
      <x:c r="D8" s="11" t="str">
        <x:v>RA-SA1-01-A1</x:v>
      </x:c>
      <x:c r="E8" s="11" t="b">
        <x:f>'Article Register'!R7="OPEN"</x:f>
        <x:v>1</x:v>
      </x:c>
      <x:c r="F8" s="29" t="b">
        <x:v>1</x:v>
      </x:c>
      <x:c r="G8" s="11" t="b">
        <x:f>'Article Register'!R7="OPEN"</x:f>
        <x:v>1</x:v>
      </x:c>
      <x:c r="H8" s="11" t="str">
        <x:f>IF(G8=F8,"PASS","FAIL")</x:f>
        <x:v>PASS</x:v>
      </x:c>
      <x:c r="I8" s="38"/>
    </x:row>
    <x:row r="9">
      <x:c r="B9" s="11" t="str">
        <x:v>AU-0003</x:v>
      </x:c>
      <x:c r="C9" s="11" t="str">
        <x:v>article event allocation</x:v>
      </x:c>
      <x:c r="D9" s="11" t="str">
        <x:v>RA-SA1-01-A1</x:v>
      </x:c>
      <x:c r="E9" s="11" t="b">
        <x:f>'Article Register'!I7=COUNTIFS('Lane Events'!I$7:I$126,"RA-SA1-01-A1")</x:f>
        <x:v>1</x:v>
      </x:c>
      <x:c r="F9" s="29" t="b">
        <x:v>1</x:v>
      </x:c>
      <x:c r="G9" s="11" t="b">
        <x:f>'Article Register'!I7=COUNTIFS('Lane Events'!I$7:I$126,"RA-SA1-01-A1")</x:f>
        <x:v>1</x:v>
      </x:c>
      <x:c r="H9" s="11" t="str">
        <x:f>IF(G9=F9,"PASS","FAIL")</x:f>
        <x:v>PASS</x:v>
      </x:c>
      <x:c r="I9" s="38"/>
    </x:row>
    <x:row r="10">
      <x:c r="B10" s="11" t="str">
        <x:v>AU-0004</x:v>
      </x:c>
      <x:c r="C10" s="11" t="str">
        <x:v>article planning state</x:v>
      </x:c>
      <x:c r="D10" s="11" t="str">
        <x:v>RA-SA1-01-A2</x:v>
      </x:c>
      <x:c r="E10" s="11" t="b">
        <x:f>'Article Register'!Q8="PASS"</x:f>
        <x:v>1</x:v>
      </x:c>
      <x:c r="F10" s="29" t="b">
        <x:v>1</x:v>
      </x:c>
      <x:c r="G10" s="11" t="b">
        <x:f>'Article Register'!Q8="PASS"</x:f>
        <x:v>1</x:v>
      </x:c>
      <x:c r="H10" s="11" t="str">
        <x:f>IF(G10=F10,"PASS","FAIL")</x:f>
        <x:v>PASS</x:v>
      </x:c>
      <x:c r="I10" s="38"/>
    </x:row>
    <x:row r="11">
      <x:c r="B11" s="11" t="str">
        <x:v>AU-0005</x:v>
      </x:c>
      <x:c r="C11" s="11" t="str">
        <x:v>article source remains open</x:v>
      </x:c>
      <x:c r="D11" s="11" t="str">
        <x:v>RA-SA1-01-A2</x:v>
      </x:c>
      <x:c r="E11" s="11" t="b">
        <x:f>'Article Register'!R8="OPEN"</x:f>
        <x:v>1</x:v>
      </x:c>
      <x:c r="F11" s="29" t="b">
        <x:v>1</x:v>
      </x:c>
      <x:c r="G11" s="11" t="b">
        <x:f>'Article Register'!R8="OPEN"</x:f>
        <x:v>1</x:v>
      </x:c>
      <x:c r="H11" s="11" t="str">
        <x:f>IF(G11=F11,"PASS","FAIL")</x:f>
        <x:v>PASS</x:v>
      </x:c>
      <x:c r="I11" s="38"/>
    </x:row>
    <x:row r="12">
      <x:c r="B12" s="11" t="str">
        <x:v>AU-0006</x:v>
      </x:c>
      <x:c r="C12" s="11" t="str">
        <x:v>article event allocation</x:v>
      </x:c>
      <x:c r="D12" s="11" t="str">
        <x:v>RA-SA1-01-A2</x:v>
      </x:c>
      <x:c r="E12" s="11" t="b">
        <x:f>'Article Register'!I8=COUNTIFS('Lane Events'!I$7:I$126,"RA-SA1-01-A2")</x:f>
        <x:v>1</x:v>
      </x:c>
      <x:c r="F12" s="29" t="b">
        <x:v>1</x:v>
      </x:c>
      <x:c r="G12" s="11" t="b">
        <x:f>'Article Register'!I8=COUNTIFS('Lane Events'!I$7:I$126,"RA-SA1-01-A2")</x:f>
        <x:v>1</x:v>
      </x:c>
      <x:c r="H12" s="11" t="str">
        <x:f>IF(G12=F12,"PASS","FAIL")</x:f>
        <x:v>PASS</x:v>
      </x:c>
      <x:c r="I12" s="38"/>
    </x:row>
    <x:row r="13">
      <x:c r="B13" s="11" t="str">
        <x:v>AU-0007</x:v>
      </x:c>
      <x:c r="C13" s="11" t="str">
        <x:v>article planning state</x:v>
      </x:c>
      <x:c r="D13" s="11" t="str">
        <x:v>RA-SA1-01-A3</x:v>
      </x:c>
      <x:c r="E13" s="11" t="b">
        <x:f>'Article Register'!Q9="PASS"</x:f>
        <x:v>1</x:v>
      </x:c>
      <x:c r="F13" s="29" t="b">
        <x:v>1</x:v>
      </x:c>
      <x:c r="G13" s="11" t="b">
        <x:f>'Article Register'!Q9="PASS"</x:f>
        <x:v>1</x:v>
      </x:c>
      <x:c r="H13" s="11" t="str">
        <x:f>IF(G13=F13,"PASS","FAIL")</x:f>
        <x:v>PASS</x:v>
      </x:c>
      <x:c r="I13" s="38"/>
    </x:row>
    <x:row r="14">
      <x:c r="B14" s="11" t="str">
        <x:v>AU-0008</x:v>
      </x:c>
      <x:c r="C14" s="11" t="str">
        <x:v>article source remains open</x:v>
      </x:c>
      <x:c r="D14" s="11" t="str">
        <x:v>RA-SA1-01-A3</x:v>
      </x:c>
      <x:c r="E14" s="11" t="b">
        <x:f>'Article Register'!R9="OPEN"</x:f>
        <x:v>1</x:v>
      </x:c>
      <x:c r="F14" s="29" t="b">
        <x:v>1</x:v>
      </x:c>
      <x:c r="G14" s="11" t="b">
        <x:f>'Article Register'!R9="OPEN"</x:f>
        <x:v>1</x:v>
      </x:c>
      <x:c r="H14" s="11" t="str">
        <x:f>IF(G14=F14,"PASS","FAIL")</x:f>
        <x:v>PASS</x:v>
      </x:c>
      <x:c r="I14" s="38"/>
    </x:row>
    <x:row r="15">
      <x:c r="B15" s="11" t="str">
        <x:v>AU-0009</x:v>
      </x:c>
      <x:c r="C15" s="11" t="str">
        <x:v>article event allocation</x:v>
      </x:c>
      <x:c r="D15" s="11" t="str">
        <x:v>RA-SA1-01-A3</x:v>
      </x:c>
      <x:c r="E15" s="11" t="b">
        <x:f>'Article Register'!I9=COUNTIFS('Lane Events'!I$7:I$126,"RA-SA1-01-A3")</x:f>
        <x:v>1</x:v>
      </x:c>
      <x:c r="F15" s="29" t="b">
        <x:v>1</x:v>
      </x:c>
      <x:c r="G15" s="11" t="b">
        <x:f>'Article Register'!I9=COUNTIFS('Lane Events'!I$7:I$126,"RA-SA1-01-A3")</x:f>
        <x:v>1</x:v>
      </x:c>
      <x:c r="H15" s="11" t="str">
        <x:f>IF(G15=F15,"PASS","FAIL")</x:f>
        <x:v>PASS</x:v>
      </x:c>
      <x:c r="I15" s="38"/>
    </x:row>
    <x:row r="16">
      <x:c r="B16" s="11" t="str">
        <x:v>AU-0010</x:v>
      </x:c>
      <x:c r="C16" s="11" t="str">
        <x:v>article planning state</x:v>
      </x:c>
      <x:c r="D16" s="11" t="str">
        <x:v>RA-SA1-01-B1</x:v>
      </x:c>
      <x:c r="E16" s="11" t="b">
        <x:f>'Article Register'!Q10="PASS"</x:f>
        <x:v>1</x:v>
      </x:c>
      <x:c r="F16" s="29" t="b">
        <x:v>1</x:v>
      </x:c>
      <x:c r="G16" s="11" t="b">
        <x:f>'Article Register'!Q10="PASS"</x:f>
        <x:v>1</x:v>
      </x:c>
      <x:c r="H16" s="11" t="str">
        <x:f>IF(G16=F16,"PASS","FAIL")</x:f>
        <x:v>PASS</x:v>
      </x:c>
      <x:c r="I16" s="38"/>
    </x:row>
    <x:row r="17">
      <x:c r="B17" s="11" t="str">
        <x:v>AU-0011</x:v>
      </x:c>
      <x:c r="C17" s="11" t="str">
        <x:v>article source remains open</x:v>
      </x:c>
      <x:c r="D17" s="11" t="str">
        <x:v>RA-SA1-01-B1</x:v>
      </x:c>
      <x:c r="E17" s="11" t="b">
        <x:f>'Article Register'!R10="OPEN"</x:f>
        <x:v>1</x:v>
      </x:c>
      <x:c r="F17" s="29" t="b">
        <x:v>1</x:v>
      </x:c>
      <x:c r="G17" s="11" t="b">
        <x:f>'Article Register'!R10="OPEN"</x:f>
        <x:v>1</x:v>
      </x:c>
      <x:c r="H17" s="11" t="str">
        <x:f>IF(G17=F17,"PASS","FAIL")</x:f>
        <x:v>PASS</x:v>
      </x:c>
      <x:c r="I17" s="38"/>
    </x:row>
    <x:row r="18">
      <x:c r="B18" s="11" t="str">
        <x:v>AU-0012</x:v>
      </x:c>
      <x:c r="C18" s="11" t="str">
        <x:v>article event allocation</x:v>
      </x:c>
      <x:c r="D18" s="11" t="str">
        <x:v>RA-SA1-01-B1</x:v>
      </x:c>
      <x:c r="E18" s="11" t="b">
        <x:f>'Article Register'!I10=COUNTIFS('Lane Events'!I$7:I$126,"RA-SA1-01-B1")</x:f>
        <x:v>1</x:v>
      </x:c>
      <x:c r="F18" s="29" t="b">
        <x:v>1</x:v>
      </x:c>
      <x:c r="G18" s="11" t="b">
        <x:f>'Article Register'!I10=COUNTIFS('Lane Events'!I$7:I$126,"RA-SA1-01-B1")</x:f>
        <x:v>1</x:v>
      </x:c>
      <x:c r="H18" s="11" t="str">
        <x:f>IF(G18=F18,"PASS","FAIL")</x:f>
        <x:v>PASS</x:v>
      </x:c>
      <x:c r="I18" s="38"/>
    </x:row>
    <x:row r="19">
      <x:c r="B19" s="11" t="str">
        <x:v>AU-0013</x:v>
      </x:c>
      <x:c r="C19" s="11" t="str">
        <x:v>article planning state</x:v>
      </x:c>
      <x:c r="D19" s="11" t="str">
        <x:v>RA-SA1-01-B2</x:v>
      </x:c>
      <x:c r="E19" s="11" t="b">
        <x:f>'Article Register'!Q11="PASS"</x:f>
        <x:v>1</x:v>
      </x:c>
      <x:c r="F19" s="29" t="b">
        <x:v>1</x:v>
      </x:c>
      <x:c r="G19" s="11" t="b">
        <x:f>'Article Register'!Q11="PASS"</x:f>
        <x:v>1</x:v>
      </x:c>
      <x:c r="H19" s="11" t="str">
        <x:f>IF(G19=F19,"PASS","FAIL")</x:f>
        <x:v>PASS</x:v>
      </x:c>
      <x:c r="I19" s="38"/>
    </x:row>
    <x:row r="20">
      <x:c r="B20" s="11" t="str">
        <x:v>AU-0014</x:v>
      </x:c>
      <x:c r="C20" s="11" t="str">
        <x:v>article source remains open</x:v>
      </x:c>
      <x:c r="D20" s="11" t="str">
        <x:v>RA-SA1-01-B2</x:v>
      </x:c>
      <x:c r="E20" s="11" t="b">
        <x:f>'Article Register'!R11="OPEN"</x:f>
        <x:v>1</x:v>
      </x:c>
      <x:c r="F20" s="29" t="b">
        <x:v>1</x:v>
      </x:c>
      <x:c r="G20" s="11" t="b">
        <x:f>'Article Register'!R11="OPEN"</x:f>
        <x:v>1</x:v>
      </x:c>
      <x:c r="H20" s="11" t="str">
        <x:f>IF(G20=F20,"PASS","FAIL")</x:f>
        <x:v>PASS</x:v>
      </x:c>
      <x:c r="I20" s="38"/>
    </x:row>
    <x:row r="21">
      <x:c r="B21" s="11" t="str">
        <x:v>AU-0015</x:v>
      </x:c>
      <x:c r="C21" s="11" t="str">
        <x:v>article event allocation</x:v>
      </x:c>
      <x:c r="D21" s="11" t="str">
        <x:v>RA-SA1-01-B2</x:v>
      </x:c>
      <x:c r="E21" s="11" t="b">
        <x:f>'Article Register'!I11=COUNTIFS('Lane Events'!I$7:I$126,"RA-SA1-01-B2")</x:f>
        <x:v>1</x:v>
      </x:c>
      <x:c r="F21" s="29" t="b">
        <x:v>1</x:v>
      </x:c>
      <x:c r="G21" s="11" t="b">
        <x:f>'Article Register'!I11=COUNTIFS('Lane Events'!I$7:I$126,"RA-SA1-01-B2")</x:f>
        <x:v>1</x:v>
      </x:c>
      <x:c r="H21" s="11" t="str">
        <x:f>IF(G21=F21,"PASS","FAIL")</x:f>
        <x:v>PASS</x:v>
      </x:c>
      <x:c r="I21" s="38"/>
    </x:row>
    <x:row r="22">
      <x:c r="B22" s="11" t="str">
        <x:v>AU-0016</x:v>
      </x:c>
      <x:c r="C22" s="11" t="str">
        <x:v>article planning state</x:v>
      </x:c>
      <x:c r="D22" s="11" t="str">
        <x:v>RA-SA1-01-B3</x:v>
      </x:c>
      <x:c r="E22" s="11" t="b">
        <x:f>'Article Register'!Q12="PASS"</x:f>
        <x:v>1</x:v>
      </x:c>
      <x:c r="F22" s="29" t="b">
        <x:v>1</x:v>
      </x:c>
      <x:c r="G22" s="11" t="b">
        <x:f>'Article Register'!Q12="PASS"</x:f>
        <x:v>1</x:v>
      </x:c>
      <x:c r="H22" s="11" t="str">
        <x:f>IF(G22=F22,"PASS","FAIL")</x:f>
        <x:v>PASS</x:v>
      </x:c>
      <x:c r="I22" s="38"/>
    </x:row>
    <x:row r="23">
      <x:c r="B23" s="11" t="str">
        <x:v>AU-0017</x:v>
      </x:c>
      <x:c r="C23" s="11" t="str">
        <x:v>article source remains open</x:v>
      </x:c>
      <x:c r="D23" s="11" t="str">
        <x:v>RA-SA1-01-B3</x:v>
      </x:c>
      <x:c r="E23" s="11" t="b">
        <x:f>'Article Register'!R12="OPEN"</x:f>
        <x:v>1</x:v>
      </x:c>
      <x:c r="F23" s="29" t="b">
        <x:v>1</x:v>
      </x:c>
      <x:c r="G23" s="11" t="b">
        <x:f>'Article Register'!R12="OPEN"</x:f>
        <x:v>1</x:v>
      </x:c>
      <x:c r="H23" s="11" t="str">
        <x:f>IF(G23=F23,"PASS","FAIL")</x:f>
        <x:v>PASS</x:v>
      </x:c>
      <x:c r="I23" s="38"/>
    </x:row>
    <x:row r="24">
      <x:c r="B24" s="11" t="str">
        <x:v>AU-0018</x:v>
      </x:c>
      <x:c r="C24" s="11" t="str">
        <x:v>article event allocation</x:v>
      </x:c>
      <x:c r="D24" s="11" t="str">
        <x:v>RA-SA1-01-B3</x:v>
      </x:c>
      <x:c r="E24" s="11" t="b">
        <x:f>'Article Register'!I12=COUNTIFS('Lane Events'!I$7:I$126,"RA-SA1-01-B3")</x:f>
        <x:v>1</x:v>
      </x:c>
      <x:c r="F24" s="29" t="b">
        <x:v>1</x:v>
      </x:c>
      <x:c r="G24" s="11" t="b">
        <x:f>'Article Register'!I12=COUNTIFS('Lane Events'!I$7:I$126,"RA-SA1-01-B3")</x:f>
        <x:v>1</x:v>
      </x:c>
      <x:c r="H24" s="11" t="str">
        <x:f>IF(G24=F24,"PASS","FAIL")</x:f>
        <x:v>PASS</x:v>
      </x:c>
      <x:c r="I24" s="38"/>
    </x:row>
    <x:row r="25">
      <x:c r="B25" s="11" t="str">
        <x:v>AU-0019</x:v>
      </x:c>
      <x:c r="C25" s="11" t="str">
        <x:v>article planning state</x:v>
      </x:c>
      <x:c r="D25" s="11" t="str">
        <x:v>RA-SA1-02-A1</x:v>
      </x:c>
      <x:c r="E25" s="11" t="b">
        <x:f>'Article Register'!Q13="PASS"</x:f>
        <x:v>1</x:v>
      </x:c>
      <x:c r="F25" s="29" t="b">
        <x:v>1</x:v>
      </x:c>
      <x:c r="G25" s="11" t="b">
        <x:f>'Article Register'!Q13="PASS"</x:f>
        <x:v>1</x:v>
      </x:c>
      <x:c r="H25" s="11" t="str">
        <x:f>IF(G25=F25,"PASS","FAIL")</x:f>
        <x:v>PASS</x:v>
      </x:c>
      <x:c r="I25" s="38"/>
    </x:row>
    <x:row r="26">
      <x:c r="B26" s="11" t="str">
        <x:v>AU-0020</x:v>
      </x:c>
      <x:c r="C26" s="11" t="str">
        <x:v>article source remains open</x:v>
      </x:c>
      <x:c r="D26" s="11" t="str">
        <x:v>RA-SA1-02-A1</x:v>
      </x:c>
      <x:c r="E26" s="11" t="b">
        <x:f>'Article Register'!R13="OPEN"</x:f>
        <x:v>1</x:v>
      </x:c>
      <x:c r="F26" s="29" t="b">
        <x:v>1</x:v>
      </x:c>
      <x:c r="G26" s="11" t="b">
        <x:f>'Article Register'!R13="OPEN"</x:f>
        <x:v>1</x:v>
      </x:c>
      <x:c r="H26" s="11" t="str">
        <x:f>IF(G26=F26,"PASS","FAIL")</x:f>
        <x:v>PASS</x:v>
      </x:c>
      <x:c r="I26" s="38"/>
    </x:row>
    <x:row r="27">
      <x:c r="B27" s="11" t="str">
        <x:v>AU-0021</x:v>
      </x:c>
      <x:c r="C27" s="11" t="str">
        <x:v>article event allocation</x:v>
      </x:c>
      <x:c r="D27" s="11" t="str">
        <x:v>RA-SA1-02-A1</x:v>
      </x:c>
      <x:c r="E27" s="11" t="b">
        <x:f>'Article Register'!I13=COUNTIFS('Lane Events'!I$7:I$126,"RA-SA1-02-A1")</x:f>
        <x:v>1</x:v>
      </x:c>
      <x:c r="F27" s="29" t="b">
        <x:v>1</x:v>
      </x:c>
      <x:c r="G27" s="11" t="b">
        <x:f>'Article Register'!I13=COUNTIFS('Lane Events'!I$7:I$126,"RA-SA1-02-A1")</x:f>
        <x:v>1</x:v>
      </x:c>
      <x:c r="H27" s="11" t="str">
        <x:f>IF(G27=F27,"PASS","FAIL")</x:f>
        <x:v>PASS</x:v>
      </x:c>
      <x:c r="I27" s="38"/>
    </x:row>
    <x:row r="28">
      <x:c r="B28" s="11" t="str">
        <x:v>AU-0022</x:v>
      </x:c>
      <x:c r="C28" s="11" t="str">
        <x:v>article planning state</x:v>
      </x:c>
      <x:c r="D28" s="11" t="str">
        <x:v>RA-SA1-02-A2</x:v>
      </x:c>
      <x:c r="E28" s="11" t="b">
        <x:f>'Article Register'!Q14="PASS"</x:f>
        <x:v>1</x:v>
      </x:c>
      <x:c r="F28" s="29" t="b">
        <x:v>1</x:v>
      </x:c>
      <x:c r="G28" s="11" t="b">
        <x:f>'Article Register'!Q14="PASS"</x:f>
        <x:v>1</x:v>
      </x:c>
      <x:c r="H28" s="11" t="str">
        <x:f>IF(G28=F28,"PASS","FAIL")</x:f>
        <x:v>PASS</x:v>
      </x:c>
      <x:c r="I28" s="38"/>
    </x:row>
    <x:row r="29">
      <x:c r="B29" s="11" t="str">
        <x:v>AU-0023</x:v>
      </x:c>
      <x:c r="C29" s="11" t="str">
        <x:v>article source remains open</x:v>
      </x:c>
      <x:c r="D29" s="11" t="str">
        <x:v>RA-SA1-02-A2</x:v>
      </x:c>
      <x:c r="E29" s="11" t="b">
        <x:f>'Article Register'!R14="OPEN"</x:f>
        <x:v>1</x:v>
      </x:c>
      <x:c r="F29" s="29" t="b">
        <x:v>1</x:v>
      </x:c>
      <x:c r="G29" s="11" t="b">
        <x:f>'Article Register'!R14="OPEN"</x:f>
        <x:v>1</x:v>
      </x:c>
      <x:c r="H29" s="11" t="str">
        <x:f>IF(G29=F29,"PASS","FAIL")</x:f>
        <x:v>PASS</x:v>
      </x:c>
      <x:c r="I29" s="38"/>
    </x:row>
    <x:row r="30">
      <x:c r="B30" s="11" t="str">
        <x:v>AU-0024</x:v>
      </x:c>
      <x:c r="C30" s="11" t="str">
        <x:v>article event allocation</x:v>
      </x:c>
      <x:c r="D30" s="11" t="str">
        <x:v>RA-SA1-02-A2</x:v>
      </x:c>
      <x:c r="E30" s="11" t="b">
        <x:f>'Article Register'!I14=COUNTIFS('Lane Events'!I$7:I$126,"RA-SA1-02-A2")</x:f>
        <x:v>1</x:v>
      </x:c>
      <x:c r="F30" s="29" t="b">
        <x:v>1</x:v>
      </x:c>
      <x:c r="G30" s="11" t="b">
        <x:f>'Article Register'!I14=COUNTIFS('Lane Events'!I$7:I$126,"RA-SA1-02-A2")</x:f>
        <x:v>1</x:v>
      </x:c>
      <x:c r="H30" s="11" t="str">
        <x:f>IF(G30=F30,"PASS","FAIL")</x:f>
        <x:v>PASS</x:v>
      </x:c>
      <x:c r="I30" s="38"/>
    </x:row>
    <x:row r="31">
      <x:c r="B31" s="11" t="str">
        <x:v>AU-0025</x:v>
      </x:c>
      <x:c r="C31" s="11" t="str">
        <x:v>article planning state</x:v>
      </x:c>
      <x:c r="D31" s="11" t="str">
        <x:v>RA-SA1-02-A3</x:v>
      </x:c>
      <x:c r="E31" s="11" t="b">
        <x:f>'Article Register'!Q15="PASS"</x:f>
        <x:v>1</x:v>
      </x:c>
      <x:c r="F31" s="29" t="b">
        <x:v>1</x:v>
      </x:c>
      <x:c r="G31" s="11" t="b">
        <x:f>'Article Register'!Q15="PASS"</x:f>
        <x:v>1</x:v>
      </x:c>
      <x:c r="H31" s="11" t="str">
        <x:f>IF(G31=F31,"PASS","FAIL")</x:f>
        <x:v>PASS</x:v>
      </x:c>
      <x:c r="I31" s="38"/>
    </x:row>
    <x:row r="32">
      <x:c r="B32" s="11" t="str">
        <x:v>AU-0026</x:v>
      </x:c>
      <x:c r="C32" s="11" t="str">
        <x:v>article source remains open</x:v>
      </x:c>
      <x:c r="D32" s="11" t="str">
        <x:v>RA-SA1-02-A3</x:v>
      </x:c>
      <x:c r="E32" s="11" t="b">
        <x:f>'Article Register'!R15="OPEN"</x:f>
        <x:v>1</x:v>
      </x:c>
      <x:c r="F32" s="29" t="b">
        <x:v>1</x:v>
      </x:c>
      <x:c r="G32" s="11" t="b">
        <x:f>'Article Register'!R15="OPEN"</x:f>
        <x:v>1</x:v>
      </x:c>
      <x:c r="H32" s="11" t="str">
        <x:f>IF(G32=F32,"PASS","FAIL")</x:f>
        <x:v>PASS</x:v>
      </x:c>
      <x:c r="I32" s="38"/>
    </x:row>
    <x:row r="33">
      <x:c r="B33" s="11" t="str">
        <x:v>AU-0027</x:v>
      </x:c>
      <x:c r="C33" s="11" t="str">
        <x:v>article event allocation</x:v>
      </x:c>
      <x:c r="D33" s="11" t="str">
        <x:v>RA-SA1-02-A3</x:v>
      </x:c>
      <x:c r="E33" s="11" t="b">
        <x:f>'Article Register'!I15=COUNTIFS('Lane Events'!I$7:I$126,"RA-SA1-02-A3")</x:f>
        <x:v>1</x:v>
      </x:c>
      <x:c r="F33" s="29" t="b">
        <x:v>1</x:v>
      </x:c>
      <x:c r="G33" s="11" t="b">
        <x:f>'Article Register'!I15=COUNTIFS('Lane Events'!I$7:I$126,"RA-SA1-02-A3")</x:f>
        <x:v>1</x:v>
      </x:c>
      <x:c r="H33" s="11" t="str">
        <x:f>IF(G33=F33,"PASS","FAIL")</x:f>
        <x:v>PASS</x:v>
      </x:c>
      <x:c r="I33" s="38"/>
    </x:row>
    <x:row r="34">
      <x:c r="B34" s="11" t="str">
        <x:v>AU-0028</x:v>
      </x:c>
      <x:c r="C34" s="11" t="str">
        <x:v>article planning state</x:v>
      </x:c>
      <x:c r="D34" s="11" t="str">
        <x:v>RA-SA1-02-B1</x:v>
      </x:c>
      <x:c r="E34" s="11" t="b">
        <x:f>'Article Register'!Q16="PASS"</x:f>
        <x:v>1</x:v>
      </x:c>
      <x:c r="F34" s="29" t="b">
        <x:v>1</x:v>
      </x:c>
      <x:c r="G34" s="11" t="b">
        <x:f>'Article Register'!Q16="PASS"</x:f>
        <x:v>1</x:v>
      </x:c>
      <x:c r="H34" s="11" t="str">
        <x:f>IF(G34=F34,"PASS","FAIL")</x:f>
        <x:v>PASS</x:v>
      </x:c>
      <x:c r="I34" s="38"/>
    </x:row>
    <x:row r="35">
      <x:c r="B35" s="11" t="str">
        <x:v>AU-0029</x:v>
      </x:c>
      <x:c r="C35" s="11" t="str">
        <x:v>article source remains open</x:v>
      </x:c>
      <x:c r="D35" s="11" t="str">
        <x:v>RA-SA1-02-B1</x:v>
      </x:c>
      <x:c r="E35" s="11" t="b">
        <x:f>'Article Register'!R16="OPEN"</x:f>
        <x:v>1</x:v>
      </x:c>
      <x:c r="F35" s="29" t="b">
        <x:v>1</x:v>
      </x:c>
      <x:c r="G35" s="11" t="b">
        <x:f>'Article Register'!R16="OPEN"</x:f>
        <x:v>1</x:v>
      </x:c>
      <x:c r="H35" s="11" t="str">
        <x:f>IF(G35=F35,"PASS","FAIL")</x:f>
        <x:v>PASS</x:v>
      </x:c>
      <x:c r="I35" s="38"/>
    </x:row>
    <x:row r="36">
      <x:c r="B36" s="11" t="str">
        <x:v>AU-0030</x:v>
      </x:c>
      <x:c r="C36" s="11" t="str">
        <x:v>article event allocation</x:v>
      </x:c>
      <x:c r="D36" s="11" t="str">
        <x:v>RA-SA1-02-B1</x:v>
      </x:c>
      <x:c r="E36" s="11" t="b">
        <x:f>'Article Register'!I16=COUNTIFS('Lane Events'!I$7:I$126,"RA-SA1-02-B1")</x:f>
        <x:v>1</x:v>
      </x:c>
      <x:c r="F36" s="29" t="b">
        <x:v>1</x:v>
      </x:c>
      <x:c r="G36" s="11" t="b">
        <x:f>'Article Register'!I16=COUNTIFS('Lane Events'!I$7:I$126,"RA-SA1-02-B1")</x:f>
        <x:v>1</x:v>
      </x:c>
      <x:c r="H36" s="11" t="str">
        <x:f>IF(G36=F36,"PASS","FAIL")</x:f>
        <x:v>PASS</x:v>
      </x:c>
      <x:c r="I36" s="38"/>
    </x:row>
    <x:row r="37">
      <x:c r="B37" s="11" t="str">
        <x:v>AU-0031</x:v>
      </x:c>
      <x:c r="C37" s="11" t="str">
        <x:v>article planning state</x:v>
      </x:c>
      <x:c r="D37" s="11" t="str">
        <x:v>RA-SA1-02-B2</x:v>
      </x:c>
      <x:c r="E37" s="11" t="b">
        <x:f>'Article Register'!Q17="PASS"</x:f>
        <x:v>1</x:v>
      </x:c>
      <x:c r="F37" s="29" t="b">
        <x:v>1</x:v>
      </x:c>
      <x:c r="G37" s="11" t="b">
        <x:f>'Article Register'!Q17="PASS"</x:f>
        <x:v>1</x:v>
      </x:c>
      <x:c r="H37" s="11" t="str">
        <x:f>IF(G37=F37,"PASS","FAIL")</x:f>
        <x:v>PASS</x:v>
      </x:c>
      <x:c r="I37" s="38"/>
    </x:row>
    <x:row r="38">
      <x:c r="B38" s="11" t="str">
        <x:v>AU-0032</x:v>
      </x:c>
      <x:c r="C38" s="11" t="str">
        <x:v>article source remains open</x:v>
      </x:c>
      <x:c r="D38" s="11" t="str">
        <x:v>RA-SA1-02-B2</x:v>
      </x:c>
      <x:c r="E38" s="11" t="b">
        <x:f>'Article Register'!R17="OPEN"</x:f>
        <x:v>1</x:v>
      </x:c>
      <x:c r="F38" s="29" t="b">
        <x:v>1</x:v>
      </x:c>
      <x:c r="G38" s="11" t="b">
        <x:f>'Article Register'!R17="OPEN"</x:f>
        <x:v>1</x:v>
      </x:c>
      <x:c r="H38" s="11" t="str">
        <x:f>IF(G38=F38,"PASS","FAIL")</x:f>
        <x:v>PASS</x:v>
      </x:c>
      <x:c r="I38" s="38"/>
    </x:row>
    <x:row r="39">
      <x:c r="B39" s="11" t="str">
        <x:v>AU-0033</x:v>
      </x:c>
      <x:c r="C39" s="11" t="str">
        <x:v>article event allocation</x:v>
      </x:c>
      <x:c r="D39" s="11" t="str">
        <x:v>RA-SA1-02-B2</x:v>
      </x:c>
      <x:c r="E39" s="11" t="b">
        <x:f>'Article Register'!I17=COUNTIFS('Lane Events'!I$7:I$126,"RA-SA1-02-B2")</x:f>
        <x:v>1</x:v>
      </x:c>
      <x:c r="F39" s="29" t="b">
        <x:v>1</x:v>
      </x:c>
      <x:c r="G39" s="11" t="b">
        <x:f>'Article Register'!I17=COUNTIFS('Lane Events'!I$7:I$126,"RA-SA1-02-B2")</x:f>
        <x:v>1</x:v>
      </x:c>
      <x:c r="H39" s="11" t="str">
        <x:f>IF(G39=F39,"PASS","FAIL")</x:f>
        <x:v>PASS</x:v>
      </x:c>
      <x:c r="I39" s="38"/>
    </x:row>
    <x:row r="40">
      <x:c r="B40" s="11" t="str">
        <x:v>AU-0034</x:v>
      </x:c>
      <x:c r="C40" s="11" t="str">
        <x:v>article planning state</x:v>
      </x:c>
      <x:c r="D40" s="11" t="str">
        <x:v>RA-SA1-02-B3</x:v>
      </x:c>
      <x:c r="E40" s="11" t="b">
        <x:f>'Article Register'!Q18="PASS"</x:f>
        <x:v>1</x:v>
      </x:c>
      <x:c r="F40" s="29" t="b">
        <x:v>1</x:v>
      </x:c>
      <x:c r="G40" s="11" t="b">
        <x:f>'Article Register'!Q18="PASS"</x:f>
        <x:v>1</x:v>
      </x:c>
      <x:c r="H40" s="11" t="str">
        <x:f>IF(G40=F40,"PASS","FAIL")</x:f>
        <x:v>PASS</x:v>
      </x:c>
      <x:c r="I40" s="38"/>
    </x:row>
    <x:row r="41">
      <x:c r="B41" s="11" t="str">
        <x:v>AU-0035</x:v>
      </x:c>
      <x:c r="C41" s="11" t="str">
        <x:v>article source remains open</x:v>
      </x:c>
      <x:c r="D41" s="11" t="str">
        <x:v>RA-SA1-02-B3</x:v>
      </x:c>
      <x:c r="E41" s="11" t="b">
        <x:f>'Article Register'!R18="OPEN"</x:f>
        <x:v>1</x:v>
      </x:c>
      <x:c r="F41" s="29" t="b">
        <x:v>1</x:v>
      </x:c>
      <x:c r="G41" s="11" t="b">
        <x:f>'Article Register'!R18="OPEN"</x:f>
        <x:v>1</x:v>
      </x:c>
      <x:c r="H41" s="11" t="str">
        <x:f>IF(G41=F41,"PASS","FAIL")</x:f>
        <x:v>PASS</x:v>
      </x:c>
      <x:c r="I41" s="38"/>
    </x:row>
    <x:row r="42">
      <x:c r="B42" s="11" t="str">
        <x:v>AU-0036</x:v>
      </x:c>
      <x:c r="C42" s="11" t="str">
        <x:v>article event allocation</x:v>
      </x:c>
      <x:c r="D42" s="11" t="str">
        <x:v>RA-SA1-02-B3</x:v>
      </x:c>
      <x:c r="E42" s="11" t="b">
        <x:f>'Article Register'!I18=COUNTIFS('Lane Events'!I$7:I$126,"RA-SA1-02-B3")</x:f>
        <x:v>1</x:v>
      </x:c>
      <x:c r="F42" s="29" t="b">
        <x:v>1</x:v>
      </x:c>
      <x:c r="G42" s="11" t="b">
        <x:f>'Article Register'!I18=COUNTIFS('Lane Events'!I$7:I$126,"RA-SA1-02-B3")</x:f>
        <x:v>1</x:v>
      </x:c>
      <x:c r="H42" s="11" t="str">
        <x:f>IF(G42=F42,"PASS","FAIL")</x:f>
        <x:v>PASS</x:v>
      </x:c>
      <x:c r="I42" s="38"/>
    </x:row>
    <x:row r="43">
      <x:c r="B43" s="11" t="str">
        <x:v>AU-0037</x:v>
      </x:c>
      <x:c r="C43" s="11" t="str">
        <x:v>article planning state</x:v>
      </x:c>
      <x:c r="D43" s="11" t="str">
        <x:v>RA-SA2-03-A1</x:v>
      </x:c>
      <x:c r="E43" s="11" t="b">
        <x:f>'Article Register'!Q19="PASS"</x:f>
        <x:v>1</x:v>
      </x:c>
      <x:c r="F43" s="29" t="b">
        <x:v>1</x:v>
      </x:c>
      <x:c r="G43" s="11" t="b">
        <x:f>'Article Register'!Q19="PASS"</x:f>
        <x:v>1</x:v>
      </x:c>
      <x:c r="H43" s="11" t="str">
        <x:f>IF(G43=F43,"PASS","FAIL")</x:f>
        <x:v>PASS</x:v>
      </x:c>
      <x:c r="I43" s="38"/>
    </x:row>
    <x:row r="44">
      <x:c r="B44" s="11" t="str">
        <x:v>AU-0038</x:v>
      </x:c>
      <x:c r="C44" s="11" t="str">
        <x:v>article source remains open</x:v>
      </x:c>
      <x:c r="D44" s="11" t="str">
        <x:v>RA-SA2-03-A1</x:v>
      </x:c>
      <x:c r="E44" s="11" t="b">
        <x:f>'Article Register'!R19="OPEN"</x:f>
        <x:v>1</x:v>
      </x:c>
      <x:c r="F44" s="29" t="b">
        <x:v>1</x:v>
      </x:c>
      <x:c r="G44" s="11" t="b">
        <x:f>'Article Register'!R19="OPEN"</x:f>
        <x:v>1</x:v>
      </x:c>
      <x:c r="H44" s="11" t="str">
        <x:f>IF(G44=F44,"PASS","FAIL")</x:f>
        <x:v>PASS</x:v>
      </x:c>
      <x:c r="I44" s="38"/>
    </x:row>
    <x:row r="45">
      <x:c r="B45" s="11" t="str">
        <x:v>AU-0039</x:v>
      </x:c>
      <x:c r="C45" s="11" t="str">
        <x:v>article event allocation</x:v>
      </x:c>
      <x:c r="D45" s="11" t="str">
        <x:v>RA-SA2-03-A1</x:v>
      </x:c>
      <x:c r="E45" s="11" t="b">
        <x:f>'Article Register'!I19=COUNTIFS('Lane Events'!I$7:I$126,"RA-SA2-03-A1")</x:f>
        <x:v>1</x:v>
      </x:c>
      <x:c r="F45" s="29" t="b">
        <x:v>1</x:v>
      </x:c>
      <x:c r="G45" s="11" t="b">
        <x:f>'Article Register'!I19=COUNTIFS('Lane Events'!I$7:I$126,"RA-SA2-03-A1")</x:f>
        <x:v>1</x:v>
      </x:c>
      <x:c r="H45" s="11" t="str">
        <x:f>IF(G45=F45,"PASS","FAIL")</x:f>
        <x:v>PASS</x:v>
      </x:c>
      <x:c r="I45" s="38"/>
    </x:row>
    <x:row r="46">
      <x:c r="B46" s="11" t="str">
        <x:v>AU-0040</x:v>
      </x:c>
      <x:c r="C46" s="11" t="str">
        <x:v>article planning state</x:v>
      </x:c>
      <x:c r="D46" s="11" t="str">
        <x:v>RA-SA2-03-A2</x:v>
      </x:c>
      <x:c r="E46" s="11" t="b">
        <x:f>'Article Register'!Q20="PASS"</x:f>
        <x:v>1</x:v>
      </x:c>
      <x:c r="F46" s="29" t="b">
        <x:v>1</x:v>
      </x:c>
      <x:c r="G46" s="11" t="b">
        <x:f>'Article Register'!Q20="PASS"</x:f>
        <x:v>1</x:v>
      </x:c>
      <x:c r="H46" s="11" t="str">
        <x:f>IF(G46=F46,"PASS","FAIL")</x:f>
        <x:v>PASS</x:v>
      </x:c>
      <x:c r="I46" s="38"/>
    </x:row>
    <x:row r="47">
      <x:c r="B47" s="11" t="str">
        <x:v>AU-0041</x:v>
      </x:c>
      <x:c r="C47" s="11" t="str">
        <x:v>article source remains open</x:v>
      </x:c>
      <x:c r="D47" s="11" t="str">
        <x:v>RA-SA2-03-A2</x:v>
      </x:c>
      <x:c r="E47" s="11" t="b">
        <x:f>'Article Register'!R20="OPEN"</x:f>
        <x:v>1</x:v>
      </x:c>
      <x:c r="F47" s="29" t="b">
        <x:v>1</x:v>
      </x:c>
      <x:c r="G47" s="11" t="b">
        <x:f>'Article Register'!R20="OPEN"</x:f>
        <x:v>1</x:v>
      </x:c>
      <x:c r="H47" s="11" t="str">
        <x:f>IF(G47=F47,"PASS","FAIL")</x:f>
        <x:v>PASS</x:v>
      </x:c>
      <x:c r="I47" s="38"/>
    </x:row>
    <x:row r="48">
      <x:c r="B48" s="11" t="str">
        <x:v>AU-0042</x:v>
      </x:c>
      <x:c r="C48" s="11" t="str">
        <x:v>article event allocation</x:v>
      </x:c>
      <x:c r="D48" s="11" t="str">
        <x:v>RA-SA2-03-A2</x:v>
      </x:c>
      <x:c r="E48" s="11" t="b">
        <x:f>'Article Register'!I20=COUNTIFS('Lane Events'!I$7:I$126,"RA-SA2-03-A2")</x:f>
        <x:v>1</x:v>
      </x:c>
      <x:c r="F48" s="29" t="b">
        <x:v>1</x:v>
      </x:c>
      <x:c r="G48" s="11" t="b">
        <x:f>'Article Register'!I20=COUNTIFS('Lane Events'!I$7:I$126,"RA-SA2-03-A2")</x:f>
        <x:v>1</x:v>
      </x:c>
      <x:c r="H48" s="11" t="str">
        <x:f>IF(G48=F48,"PASS","FAIL")</x:f>
        <x:v>PASS</x:v>
      </x:c>
      <x:c r="I48" s="38"/>
    </x:row>
    <x:row r="49">
      <x:c r="B49" s="11" t="str">
        <x:v>AU-0043</x:v>
      </x:c>
      <x:c r="C49" s="11" t="str">
        <x:v>article planning state</x:v>
      </x:c>
      <x:c r="D49" s="11" t="str">
        <x:v>RA-SA2-03-A3</x:v>
      </x:c>
      <x:c r="E49" s="11" t="b">
        <x:f>'Article Register'!Q21="PASS"</x:f>
        <x:v>1</x:v>
      </x:c>
      <x:c r="F49" s="29" t="b">
        <x:v>1</x:v>
      </x:c>
      <x:c r="G49" s="11" t="b">
        <x:f>'Article Register'!Q21="PASS"</x:f>
        <x:v>1</x:v>
      </x:c>
      <x:c r="H49" s="11" t="str">
        <x:f>IF(G49=F49,"PASS","FAIL")</x:f>
        <x:v>PASS</x:v>
      </x:c>
      <x:c r="I49" s="38"/>
    </x:row>
    <x:row r="50">
      <x:c r="B50" s="11" t="str">
        <x:v>AU-0044</x:v>
      </x:c>
      <x:c r="C50" s="11" t="str">
        <x:v>article source remains open</x:v>
      </x:c>
      <x:c r="D50" s="11" t="str">
        <x:v>RA-SA2-03-A3</x:v>
      </x:c>
      <x:c r="E50" s="11" t="b">
        <x:f>'Article Register'!R21="OPEN"</x:f>
        <x:v>1</x:v>
      </x:c>
      <x:c r="F50" s="29" t="b">
        <x:v>1</x:v>
      </x:c>
      <x:c r="G50" s="11" t="b">
        <x:f>'Article Register'!R21="OPEN"</x:f>
        <x:v>1</x:v>
      </x:c>
      <x:c r="H50" s="11" t="str">
        <x:f>IF(G50=F50,"PASS","FAIL")</x:f>
        <x:v>PASS</x:v>
      </x:c>
      <x:c r="I50" s="38"/>
    </x:row>
    <x:row r="51">
      <x:c r="B51" s="11" t="str">
        <x:v>AU-0045</x:v>
      </x:c>
      <x:c r="C51" s="11" t="str">
        <x:v>article event allocation</x:v>
      </x:c>
      <x:c r="D51" s="11" t="str">
        <x:v>RA-SA2-03-A3</x:v>
      </x:c>
      <x:c r="E51" s="11" t="b">
        <x:f>'Article Register'!I21=COUNTIFS('Lane Events'!I$7:I$126,"RA-SA2-03-A3")</x:f>
        <x:v>1</x:v>
      </x:c>
      <x:c r="F51" s="29" t="b">
        <x:v>1</x:v>
      </x:c>
      <x:c r="G51" s="11" t="b">
        <x:f>'Article Register'!I21=COUNTIFS('Lane Events'!I$7:I$126,"RA-SA2-03-A3")</x:f>
        <x:v>1</x:v>
      </x:c>
      <x:c r="H51" s="11" t="str">
        <x:f>IF(G51=F51,"PASS","FAIL")</x:f>
        <x:v>PASS</x:v>
      </x:c>
      <x:c r="I51" s="38"/>
    </x:row>
    <x:row r="52">
      <x:c r="B52" s="11" t="str">
        <x:v>AU-0046</x:v>
      </x:c>
      <x:c r="C52" s="11" t="str">
        <x:v>article planning state</x:v>
      </x:c>
      <x:c r="D52" s="11" t="str">
        <x:v>RA-SA2-03-B1</x:v>
      </x:c>
      <x:c r="E52" s="11" t="b">
        <x:f>'Article Register'!Q22="PASS"</x:f>
        <x:v>1</x:v>
      </x:c>
      <x:c r="F52" s="29" t="b">
        <x:v>1</x:v>
      </x:c>
      <x:c r="G52" s="11" t="b">
        <x:f>'Article Register'!Q22="PASS"</x:f>
        <x:v>1</x:v>
      </x:c>
      <x:c r="H52" s="11" t="str">
        <x:f>IF(G52=F52,"PASS","FAIL")</x:f>
        <x:v>PASS</x:v>
      </x:c>
      <x:c r="I52" s="38"/>
    </x:row>
    <x:row r="53">
      <x:c r="B53" s="11" t="str">
        <x:v>AU-0047</x:v>
      </x:c>
      <x:c r="C53" s="11" t="str">
        <x:v>article source remains open</x:v>
      </x:c>
      <x:c r="D53" s="11" t="str">
        <x:v>RA-SA2-03-B1</x:v>
      </x:c>
      <x:c r="E53" s="11" t="b">
        <x:f>'Article Register'!R22="OPEN"</x:f>
        <x:v>1</x:v>
      </x:c>
      <x:c r="F53" s="29" t="b">
        <x:v>1</x:v>
      </x:c>
      <x:c r="G53" s="11" t="b">
        <x:f>'Article Register'!R22="OPEN"</x:f>
        <x:v>1</x:v>
      </x:c>
      <x:c r="H53" s="11" t="str">
        <x:f>IF(G53=F53,"PASS","FAIL")</x:f>
        <x:v>PASS</x:v>
      </x:c>
      <x:c r="I53" s="38"/>
    </x:row>
    <x:row r="54">
      <x:c r="B54" s="11" t="str">
        <x:v>AU-0048</x:v>
      </x:c>
      <x:c r="C54" s="11" t="str">
        <x:v>article event allocation</x:v>
      </x:c>
      <x:c r="D54" s="11" t="str">
        <x:v>RA-SA2-03-B1</x:v>
      </x:c>
      <x:c r="E54" s="11" t="b">
        <x:f>'Article Register'!I22=COUNTIFS('Lane Events'!I$7:I$126,"RA-SA2-03-B1")</x:f>
        <x:v>1</x:v>
      </x:c>
      <x:c r="F54" s="29" t="b">
        <x:v>1</x:v>
      </x:c>
      <x:c r="G54" s="11" t="b">
        <x:f>'Article Register'!I22=COUNTIFS('Lane Events'!I$7:I$126,"RA-SA2-03-B1")</x:f>
        <x:v>1</x:v>
      </x:c>
      <x:c r="H54" s="11" t="str">
        <x:f>IF(G54=F54,"PASS","FAIL")</x:f>
        <x:v>PASS</x:v>
      </x:c>
      <x:c r="I54" s="38"/>
    </x:row>
    <x:row r="55">
      <x:c r="B55" s="11" t="str">
        <x:v>AU-0049</x:v>
      </x:c>
      <x:c r="C55" s="11" t="str">
        <x:v>article planning state</x:v>
      </x:c>
      <x:c r="D55" s="11" t="str">
        <x:v>RA-SA2-03-B2</x:v>
      </x:c>
      <x:c r="E55" s="11" t="b">
        <x:f>'Article Register'!Q23="PASS"</x:f>
        <x:v>1</x:v>
      </x:c>
      <x:c r="F55" s="29" t="b">
        <x:v>1</x:v>
      </x:c>
      <x:c r="G55" s="11" t="b">
        <x:f>'Article Register'!Q23="PASS"</x:f>
        <x:v>1</x:v>
      </x:c>
      <x:c r="H55" s="11" t="str">
        <x:f>IF(G55=F55,"PASS","FAIL")</x:f>
        <x:v>PASS</x:v>
      </x:c>
      <x:c r="I55" s="38"/>
    </x:row>
    <x:row r="56">
      <x:c r="B56" s="11" t="str">
        <x:v>AU-0050</x:v>
      </x:c>
      <x:c r="C56" s="11" t="str">
        <x:v>article source remains open</x:v>
      </x:c>
      <x:c r="D56" s="11" t="str">
        <x:v>RA-SA2-03-B2</x:v>
      </x:c>
      <x:c r="E56" s="11" t="b">
        <x:f>'Article Register'!R23="OPEN"</x:f>
        <x:v>1</x:v>
      </x:c>
      <x:c r="F56" s="29" t="b">
        <x:v>1</x:v>
      </x:c>
      <x:c r="G56" s="11" t="b">
        <x:f>'Article Register'!R23="OPEN"</x:f>
        <x:v>1</x:v>
      </x:c>
      <x:c r="H56" s="11" t="str">
        <x:f>IF(G56=F56,"PASS","FAIL")</x:f>
        <x:v>PASS</x:v>
      </x:c>
      <x:c r="I56" s="38"/>
    </x:row>
    <x:row r="57">
      <x:c r="B57" s="11" t="str">
        <x:v>AU-0051</x:v>
      </x:c>
      <x:c r="C57" s="11" t="str">
        <x:v>article event allocation</x:v>
      </x:c>
      <x:c r="D57" s="11" t="str">
        <x:v>RA-SA2-03-B2</x:v>
      </x:c>
      <x:c r="E57" s="11" t="b">
        <x:f>'Article Register'!I23=COUNTIFS('Lane Events'!I$7:I$126,"RA-SA2-03-B2")</x:f>
        <x:v>1</x:v>
      </x:c>
      <x:c r="F57" s="29" t="b">
        <x:v>1</x:v>
      </x:c>
      <x:c r="G57" s="11" t="b">
        <x:f>'Article Register'!I23=COUNTIFS('Lane Events'!I$7:I$126,"RA-SA2-03-B2")</x:f>
        <x:v>1</x:v>
      </x:c>
      <x:c r="H57" s="11" t="str">
        <x:f>IF(G57=F57,"PASS","FAIL")</x:f>
        <x:v>PASS</x:v>
      </x:c>
      <x:c r="I57" s="38"/>
    </x:row>
    <x:row r="58">
      <x:c r="B58" s="11" t="str">
        <x:v>AU-0052</x:v>
      </x:c>
      <x:c r="C58" s="11" t="str">
        <x:v>article planning state</x:v>
      </x:c>
      <x:c r="D58" s="11" t="str">
        <x:v>RA-SA2-03-B3</x:v>
      </x:c>
      <x:c r="E58" s="11" t="b">
        <x:f>'Article Register'!Q24="PASS"</x:f>
        <x:v>1</x:v>
      </x:c>
      <x:c r="F58" s="29" t="b">
        <x:v>1</x:v>
      </x:c>
      <x:c r="G58" s="11" t="b">
        <x:f>'Article Register'!Q24="PASS"</x:f>
        <x:v>1</x:v>
      </x:c>
      <x:c r="H58" s="11" t="str">
        <x:f>IF(G58=F58,"PASS","FAIL")</x:f>
        <x:v>PASS</x:v>
      </x:c>
      <x:c r="I58" s="38"/>
    </x:row>
    <x:row r="59">
      <x:c r="B59" s="11" t="str">
        <x:v>AU-0053</x:v>
      </x:c>
      <x:c r="C59" s="11" t="str">
        <x:v>article source remains open</x:v>
      </x:c>
      <x:c r="D59" s="11" t="str">
        <x:v>RA-SA2-03-B3</x:v>
      </x:c>
      <x:c r="E59" s="11" t="b">
        <x:f>'Article Register'!R24="OPEN"</x:f>
        <x:v>1</x:v>
      </x:c>
      <x:c r="F59" s="29" t="b">
        <x:v>1</x:v>
      </x:c>
      <x:c r="G59" s="11" t="b">
        <x:f>'Article Register'!R24="OPEN"</x:f>
        <x:v>1</x:v>
      </x:c>
      <x:c r="H59" s="11" t="str">
        <x:f>IF(G59=F59,"PASS","FAIL")</x:f>
        <x:v>PASS</x:v>
      </x:c>
      <x:c r="I59" s="38"/>
    </x:row>
    <x:row r="60">
      <x:c r="B60" s="11" t="str">
        <x:v>AU-0054</x:v>
      </x:c>
      <x:c r="C60" s="11" t="str">
        <x:v>article event allocation</x:v>
      </x:c>
      <x:c r="D60" s="11" t="str">
        <x:v>RA-SA2-03-B3</x:v>
      </x:c>
      <x:c r="E60" s="11" t="b">
        <x:f>'Article Register'!I24=COUNTIFS('Lane Events'!I$7:I$126,"RA-SA2-03-B3")</x:f>
        <x:v>1</x:v>
      </x:c>
      <x:c r="F60" s="29" t="b">
        <x:v>1</x:v>
      </x:c>
      <x:c r="G60" s="11" t="b">
        <x:f>'Article Register'!I24=COUNTIFS('Lane Events'!I$7:I$126,"RA-SA2-03-B3")</x:f>
        <x:v>1</x:v>
      </x:c>
      <x:c r="H60" s="11" t="str">
        <x:f>IF(G60=F60,"PASS","FAIL")</x:f>
        <x:v>PASS</x:v>
      </x:c>
      <x:c r="I60" s="38"/>
    </x:row>
    <x:row r="61">
      <x:c r="B61" s="11" t="str">
        <x:v>AU-0055</x:v>
      </x:c>
      <x:c r="C61" s="11" t="str">
        <x:v>article planning state</x:v>
      </x:c>
      <x:c r="D61" s="11" t="str">
        <x:v>RA-SA2-04-A1</x:v>
      </x:c>
      <x:c r="E61" s="11" t="b">
        <x:f>'Article Register'!Q25="PASS"</x:f>
        <x:v>1</x:v>
      </x:c>
      <x:c r="F61" s="29" t="b">
        <x:v>1</x:v>
      </x:c>
      <x:c r="G61" s="11" t="b">
        <x:f>'Article Register'!Q25="PASS"</x:f>
        <x:v>1</x:v>
      </x:c>
      <x:c r="H61" s="11" t="str">
        <x:f>IF(G61=F61,"PASS","FAIL")</x:f>
        <x:v>PASS</x:v>
      </x:c>
      <x:c r="I61" s="38"/>
    </x:row>
    <x:row r="62">
      <x:c r="B62" s="11" t="str">
        <x:v>AU-0056</x:v>
      </x:c>
      <x:c r="C62" s="11" t="str">
        <x:v>article source remains open</x:v>
      </x:c>
      <x:c r="D62" s="11" t="str">
        <x:v>RA-SA2-04-A1</x:v>
      </x:c>
      <x:c r="E62" s="11" t="b">
        <x:f>'Article Register'!R25="OPEN"</x:f>
        <x:v>1</x:v>
      </x:c>
      <x:c r="F62" s="29" t="b">
        <x:v>1</x:v>
      </x:c>
      <x:c r="G62" s="11" t="b">
        <x:f>'Article Register'!R25="OPEN"</x:f>
        <x:v>1</x:v>
      </x:c>
      <x:c r="H62" s="11" t="str">
        <x:f>IF(G62=F62,"PASS","FAIL")</x:f>
        <x:v>PASS</x:v>
      </x:c>
      <x:c r="I62" s="38"/>
    </x:row>
    <x:row r="63">
      <x:c r="B63" s="11" t="str">
        <x:v>AU-0057</x:v>
      </x:c>
      <x:c r="C63" s="11" t="str">
        <x:v>article event allocation</x:v>
      </x:c>
      <x:c r="D63" s="11" t="str">
        <x:v>RA-SA2-04-A1</x:v>
      </x:c>
      <x:c r="E63" s="11" t="b">
        <x:f>'Article Register'!I25=COUNTIFS('Lane Events'!I$7:I$126,"RA-SA2-04-A1")</x:f>
        <x:v>1</x:v>
      </x:c>
      <x:c r="F63" s="29" t="b">
        <x:v>1</x:v>
      </x:c>
      <x:c r="G63" s="11" t="b">
        <x:f>'Article Register'!I25=COUNTIFS('Lane Events'!I$7:I$126,"RA-SA2-04-A1")</x:f>
        <x:v>1</x:v>
      </x:c>
      <x:c r="H63" s="11" t="str">
        <x:f>IF(G63=F63,"PASS","FAIL")</x:f>
        <x:v>PASS</x:v>
      </x:c>
      <x:c r="I63" s="38"/>
    </x:row>
    <x:row r="64">
      <x:c r="B64" s="11" t="str">
        <x:v>AU-0058</x:v>
      </x:c>
      <x:c r="C64" s="11" t="str">
        <x:v>article planning state</x:v>
      </x:c>
      <x:c r="D64" s="11" t="str">
        <x:v>RA-SA2-04-A2</x:v>
      </x:c>
      <x:c r="E64" s="11" t="b">
        <x:f>'Article Register'!Q26="PASS"</x:f>
        <x:v>1</x:v>
      </x:c>
      <x:c r="F64" s="29" t="b">
        <x:v>1</x:v>
      </x:c>
      <x:c r="G64" s="11" t="b">
        <x:f>'Article Register'!Q26="PASS"</x:f>
        <x:v>1</x:v>
      </x:c>
      <x:c r="H64" s="11" t="str">
        <x:f>IF(G64=F64,"PASS","FAIL")</x:f>
        <x:v>PASS</x:v>
      </x:c>
      <x:c r="I64" s="38"/>
    </x:row>
    <x:row r="65">
      <x:c r="B65" s="11" t="str">
        <x:v>AU-0059</x:v>
      </x:c>
      <x:c r="C65" s="11" t="str">
        <x:v>article source remains open</x:v>
      </x:c>
      <x:c r="D65" s="11" t="str">
        <x:v>RA-SA2-04-A2</x:v>
      </x:c>
      <x:c r="E65" s="11" t="b">
        <x:f>'Article Register'!R26="OPEN"</x:f>
        <x:v>1</x:v>
      </x:c>
      <x:c r="F65" s="29" t="b">
        <x:v>1</x:v>
      </x:c>
      <x:c r="G65" s="11" t="b">
        <x:f>'Article Register'!R26="OPEN"</x:f>
        <x:v>1</x:v>
      </x:c>
      <x:c r="H65" s="11" t="str">
        <x:f>IF(G65=F65,"PASS","FAIL")</x:f>
        <x:v>PASS</x:v>
      </x:c>
      <x:c r="I65" s="38"/>
    </x:row>
    <x:row r="66">
      <x:c r="B66" s="11" t="str">
        <x:v>AU-0060</x:v>
      </x:c>
      <x:c r="C66" s="11" t="str">
        <x:v>article event allocation</x:v>
      </x:c>
      <x:c r="D66" s="11" t="str">
        <x:v>RA-SA2-04-A2</x:v>
      </x:c>
      <x:c r="E66" s="11" t="b">
        <x:f>'Article Register'!I26=COUNTIFS('Lane Events'!I$7:I$126,"RA-SA2-04-A2")</x:f>
        <x:v>1</x:v>
      </x:c>
      <x:c r="F66" s="29" t="b">
        <x:v>1</x:v>
      </x:c>
      <x:c r="G66" s="11" t="b">
        <x:f>'Article Register'!I26=COUNTIFS('Lane Events'!I$7:I$126,"RA-SA2-04-A2")</x:f>
        <x:v>1</x:v>
      </x:c>
      <x:c r="H66" s="11" t="str">
        <x:f>IF(G66=F66,"PASS","FAIL")</x:f>
        <x:v>PASS</x:v>
      </x:c>
      <x:c r="I66" s="38"/>
    </x:row>
    <x:row r="67">
      <x:c r="B67" s="11" t="str">
        <x:v>AU-0061</x:v>
      </x:c>
      <x:c r="C67" s="11" t="str">
        <x:v>article planning state</x:v>
      </x:c>
      <x:c r="D67" s="11" t="str">
        <x:v>RA-SA2-04-A3</x:v>
      </x:c>
      <x:c r="E67" s="11" t="b">
        <x:f>'Article Register'!Q27="PASS"</x:f>
        <x:v>1</x:v>
      </x:c>
      <x:c r="F67" s="29" t="b">
        <x:v>1</x:v>
      </x:c>
      <x:c r="G67" s="11" t="b">
        <x:f>'Article Register'!Q27="PASS"</x:f>
        <x:v>1</x:v>
      </x:c>
      <x:c r="H67" s="11" t="str">
        <x:f>IF(G67=F67,"PASS","FAIL")</x:f>
        <x:v>PASS</x:v>
      </x:c>
      <x:c r="I67" s="38"/>
    </x:row>
    <x:row r="68">
      <x:c r="B68" s="11" t="str">
        <x:v>AU-0062</x:v>
      </x:c>
      <x:c r="C68" s="11" t="str">
        <x:v>article source remains open</x:v>
      </x:c>
      <x:c r="D68" s="11" t="str">
        <x:v>RA-SA2-04-A3</x:v>
      </x:c>
      <x:c r="E68" s="11" t="b">
        <x:f>'Article Register'!R27="OPEN"</x:f>
        <x:v>1</x:v>
      </x:c>
      <x:c r="F68" s="29" t="b">
        <x:v>1</x:v>
      </x:c>
      <x:c r="G68" s="11" t="b">
        <x:f>'Article Register'!R27="OPEN"</x:f>
        <x:v>1</x:v>
      </x:c>
      <x:c r="H68" s="11" t="str">
        <x:f>IF(G68=F68,"PASS","FAIL")</x:f>
        <x:v>PASS</x:v>
      </x:c>
      <x:c r="I68" s="38"/>
    </x:row>
    <x:row r="69">
      <x:c r="B69" s="11" t="str">
        <x:v>AU-0063</x:v>
      </x:c>
      <x:c r="C69" s="11" t="str">
        <x:v>article event allocation</x:v>
      </x:c>
      <x:c r="D69" s="11" t="str">
        <x:v>RA-SA2-04-A3</x:v>
      </x:c>
      <x:c r="E69" s="11" t="b">
        <x:f>'Article Register'!I27=COUNTIFS('Lane Events'!I$7:I$126,"RA-SA2-04-A3")</x:f>
        <x:v>1</x:v>
      </x:c>
      <x:c r="F69" s="29" t="b">
        <x:v>1</x:v>
      </x:c>
      <x:c r="G69" s="11" t="b">
        <x:f>'Article Register'!I27=COUNTIFS('Lane Events'!I$7:I$126,"RA-SA2-04-A3")</x:f>
        <x:v>1</x:v>
      </x:c>
      <x:c r="H69" s="11" t="str">
        <x:f>IF(G69=F69,"PASS","FAIL")</x:f>
        <x:v>PASS</x:v>
      </x:c>
      <x:c r="I69" s="38"/>
    </x:row>
    <x:row r="70">
      <x:c r="B70" s="11" t="str">
        <x:v>AU-0064</x:v>
      </x:c>
      <x:c r="C70" s="11" t="str">
        <x:v>article planning state</x:v>
      </x:c>
      <x:c r="D70" s="11" t="str">
        <x:v>RA-SA2-04-B1</x:v>
      </x:c>
      <x:c r="E70" s="11" t="b">
        <x:f>'Article Register'!Q28="PASS"</x:f>
        <x:v>1</x:v>
      </x:c>
      <x:c r="F70" s="29" t="b">
        <x:v>1</x:v>
      </x:c>
      <x:c r="G70" s="11" t="b">
        <x:f>'Article Register'!Q28="PASS"</x:f>
        <x:v>1</x:v>
      </x:c>
      <x:c r="H70" s="11" t="str">
        <x:f>IF(G70=F70,"PASS","FAIL")</x:f>
        <x:v>PASS</x:v>
      </x:c>
      <x:c r="I70" s="38"/>
    </x:row>
    <x:row r="71">
      <x:c r="B71" s="11" t="str">
        <x:v>AU-0065</x:v>
      </x:c>
      <x:c r="C71" s="11" t="str">
        <x:v>article source remains open</x:v>
      </x:c>
      <x:c r="D71" s="11" t="str">
        <x:v>RA-SA2-04-B1</x:v>
      </x:c>
      <x:c r="E71" s="11" t="b">
        <x:f>'Article Register'!R28="OPEN"</x:f>
        <x:v>1</x:v>
      </x:c>
      <x:c r="F71" s="29" t="b">
        <x:v>1</x:v>
      </x:c>
      <x:c r="G71" s="11" t="b">
        <x:f>'Article Register'!R28="OPEN"</x:f>
        <x:v>1</x:v>
      </x:c>
      <x:c r="H71" s="11" t="str">
        <x:f>IF(G71=F71,"PASS","FAIL")</x:f>
        <x:v>PASS</x:v>
      </x:c>
      <x:c r="I71" s="38"/>
    </x:row>
    <x:row r="72">
      <x:c r="B72" s="11" t="str">
        <x:v>AU-0066</x:v>
      </x:c>
      <x:c r="C72" s="11" t="str">
        <x:v>article event allocation</x:v>
      </x:c>
      <x:c r="D72" s="11" t="str">
        <x:v>RA-SA2-04-B1</x:v>
      </x:c>
      <x:c r="E72" s="11" t="b">
        <x:f>'Article Register'!I28=COUNTIFS('Lane Events'!I$7:I$126,"RA-SA2-04-B1")</x:f>
        <x:v>1</x:v>
      </x:c>
      <x:c r="F72" s="29" t="b">
        <x:v>1</x:v>
      </x:c>
      <x:c r="G72" s="11" t="b">
        <x:f>'Article Register'!I28=COUNTIFS('Lane Events'!I$7:I$126,"RA-SA2-04-B1")</x:f>
        <x:v>1</x:v>
      </x:c>
      <x:c r="H72" s="11" t="str">
        <x:f>IF(G72=F72,"PASS","FAIL")</x:f>
        <x:v>PASS</x:v>
      </x:c>
      <x:c r="I72" s="38"/>
    </x:row>
    <x:row r="73">
      <x:c r="B73" s="11" t="str">
        <x:v>AU-0067</x:v>
      </x:c>
      <x:c r="C73" s="11" t="str">
        <x:v>article planning state</x:v>
      </x:c>
      <x:c r="D73" s="11" t="str">
        <x:v>RA-SA2-04-B2</x:v>
      </x:c>
      <x:c r="E73" s="11" t="b">
        <x:f>'Article Register'!Q29="PASS"</x:f>
        <x:v>1</x:v>
      </x:c>
      <x:c r="F73" s="29" t="b">
        <x:v>1</x:v>
      </x:c>
      <x:c r="G73" s="11" t="b">
        <x:f>'Article Register'!Q29="PASS"</x:f>
        <x:v>1</x:v>
      </x:c>
      <x:c r="H73" s="11" t="str">
        <x:f>IF(G73=F73,"PASS","FAIL")</x:f>
        <x:v>PASS</x:v>
      </x:c>
      <x:c r="I73" s="38"/>
    </x:row>
    <x:row r="74">
      <x:c r="B74" s="11" t="str">
        <x:v>AU-0068</x:v>
      </x:c>
      <x:c r="C74" s="11" t="str">
        <x:v>article source remains open</x:v>
      </x:c>
      <x:c r="D74" s="11" t="str">
        <x:v>RA-SA2-04-B2</x:v>
      </x:c>
      <x:c r="E74" s="11" t="b">
        <x:f>'Article Register'!R29="OPEN"</x:f>
        <x:v>1</x:v>
      </x:c>
      <x:c r="F74" s="29" t="b">
        <x:v>1</x:v>
      </x:c>
      <x:c r="G74" s="11" t="b">
        <x:f>'Article Register'!R29="OPEN"</x:f>
        <x:v>1</x:v>
      </x:c>
      <x:c r="H74" s="11" t="str">
        <x:f>IF(G74=F74,"PASS","FAIL")</x:f>
        <x:v>PASS</x:v>
      </x:c>
      <x:c r="I74" s="38"/>
    </x:row>
    <x:row r="75">
      <x:c r="B75" s="11" t="str">
        <x:v>AU-0069</x:v>
      </x:c>
      <x:c r="C75" s="11" t="str">
        <x:v>article event allocation</x:v>
      </x:c>
      <x:c r="D75" s="11" t="str">
        <x:v>RA-SA2-04-B2</x:v>
      </x:c>
      <x:c r="E75" s="11" t="b">
        <x:f>'Article Register'!I29=COUNTIFS('Lane Events'!I$7:I$126,"RA-SA2-04-B2")</x:f>
        <x:v>1</x:v>
      </x:c>
      <x:c r="F75" s="29" t="b">
        <x:v>1</x:v>
      </x:c>
      <x:c r="G75" s="11" t="b">
        <x:f>'Article Register'!I29=COUNTIFS('Lane Events'!I$7:I$126,"RA-SA2-04-B2")</x:f>
        <x:v>1</x:v>
      </x:c>
      <x:c r="H75" s="11" t="str">
        <x:f>IF(G75=F75,"PASS","FAIL")</x:f>
        <x:v>PASS</x:v>
      </x:c>
      <x:c r="I75" s="38"/>
    </x:row>
    <x:row r="76">
      <x:c r="B76" s="11" t="str">
        <x:v>AU-0070</x:v>
      </x:c>
      <x:c r="C76" s="11" t="str">
        <x:v>article planning state</x:v>
      </x:c>
      <x:c r="D76" s="11" t="str">
        <x:v>RA-SA2-04-B3</x:v>
      </x:c>
      <x:c r="E76" s="11" t="b">
        <x:f>'Article Register'!Q30="PASS"</x:f>
        <x:v>1</x:v>
      </x:c>
      <x:c r="F76" s="29" t="b">
        <x:v>1</x:v>
      </x:c>
      <x:c r="G76" s="11" t="b">
        <x:f>'Article Register'!Q30="PASS"</x:f>
        <x:v>1</x:v>
      </x:c>
      <x:c r="H76" s="11" t="str">
        <x:f>IF(G76=F76,"PASS","FAIL")</x:f>
        <x:v>PASS</x:v>
      </x:c>
      <x:c r="I76" s="38"/>
    </x:row>
    <x:row r="77">
      <x:c r="B77" s="11" t="str">
        <x:v>AU-0071</x:v>
      </x:c>
      <x:c r="C77" s="11" t="str">
        <x:v>article source remains open</x:v>
      </x:c>
      <x:c r="D77" s="11" t="str">
        <x:v>RA-SA2-04-B3</x:v>
      </x:c>
      <x:c r="E77" s="11" t="b">
        <x:f>'Article Register'!R30="OPEN"</x:f>
        <x:v>1</x:v>
      </x:c>
      <x:c r="F77" s="29" t="b">
        <x:v>1</x:v>
      </x:c>
      <x:c r="G77" s="11" t="b">
        <x:f>'Article Register'!R30="OPEN"</x:f>
        <x:v>1</x:v>
      </x:c>
      <x:c r="H77" s="11" t="str">
        <x:f>IF(G77=F77,"PASS","FAIL")</x:f>
        <x:v>PASS</x:v>
      </x:c>
      <x:c r="I77" s="38"/>
    </x:row>
    <x:row r="78">
      <x:c r="B78" s="11" t="str">
        <x:v>AU-0072</x:v>
      </x:c>
      <x:c r="C78" s="11" t="str">
        <x:v>article event allocation</x:v>
      </x:c>
      <x:c r="D78" s="11" t="str">
        <x:v>RA-SA2-04-B3</x:v>
      </x:c>
      <x:c r="E78" s="11" t="b">
        <x:f>'Article Register'!I30=COUNTIFS('Lane Events'!I$7:I$126,"RA-SA2-04-B3")</x:f>
        <x:v>1</x:v>
      </x:c>
      <x:c r="F78" s="29" t="b">
        <x:v>1</x:v>
      </x:c>
      <x:c r="G78" s="11" t="b">
        <x:f>'Article Register'!I30=COUNTIFS('Lane Events'!I$7:I$126,"RA-SA2-04-B3")</x:f>
        <x:v>1</x:v>
      </x:c>
      <x:c r="H78" s="11" t="str">
        <x:f>IF(G78=F78,"PASS","FAIL")</x:f>
        <x:v>PASS</x:v>
      </x:c>
      <x:c r="I78" s="38"/>
    </x:row>
    <x:row r="79">
      <x:c r="B79" s="11" t="str">
        <x:v>AU-0073</x:v>
      </x:c>
      <x:c r="C79" s="11" t="str">
        <x:v>article planning state</x:v>
      </x:c>
      <x:c r="D79" s="11" t="str">
        <x:v>RA-SA3-05-A1</x:v>
      </x:c>
      <x:c r="E79" s="11" t="b">
        <x:f>'Article Register'!Q31="PASS"</x:f>
        <x:v>1</x:v>
      </x:c>
      <x:c r="F79" s="29" t="b">
        <x:v>1</x:v>
      </x:c>
      <x:c r="G79" s="11" t="b">
        <x:f>'Article Register'!Q31="PASS"</x:f>
        <x:v>1</x:v>
      </x:c>
      <x:c r="H79" s="11" t="str">
        <x:f>IF(G79=F79,"PASS","FAIL")</x:f>
        <x:v>PASS</x:v>
      </x:c>
      <x:c r="I79" s="38"/>
    </x:row>
    <x:row r="80">
      <x:c r="B80" s="11" t="str">
        <x:v>AU-0074</x:v>
      </x:c>
      <x:c r="C80" s="11" t="str">
        <x:v>article source remains open</x:v>
      </x:c>
      <x:c r="D80" s="11" t="str">
        <x:v>RA-SA3-05-A1</x:v>
      </x:c>
      <x:c r="E80" s="11" t="b">
        <x:f>'Article Register'!R31="OPEN"</x:f>
        <x:v>1</x:v>
      </x:c>
      <x:c r="F80" s="29" t="b">
        <x:v>1</x:v>
      </x:c>
      <x:c r="G80" s="11" t="b">
        <x:f>'Article Register'!R31="OPEN"</x:f>
        <x:v>1</x:v>
      </x:c>
      <x:c r="H80" s="11" t="str">
        <x:f>IF(G80=F80,"PASS","FAIL")</x:f>
        <x:v>PASS</x:v>
      </x:c>
      <x:c r="I80" s="38"/>
    </x:row>
    <x:row r="81">
      <x:c r="B81" s="11" t="str">
        <x:v>AU-0075</x:v>
      </x:c>
      <x:c r="C81" s="11" t="str">
        <x:v>article event allocation</x:v>
      </x:c>
      <x:c r="D81" s="11" t="str">
        <x:v>RA-SA3-05-A1</x:v>
      </x:c>
      <x:c r="E81" s="11" t="b">
        <x:f>'Article Register'!I31=COUNTIFS('Lane Events'!I$7:I$126,"RA-SA3-05-A1")</x:f>
        <x:v>1</x:v>
      </x:c>
      <x:c r="F81" s="29" t="b">
        <x:v>1</x:v>
      </x:c>
      <x:c r="G81" s="11" t="b">
        <x:f>'Article Register'!I31=COUNTIFS('Lane Events'!I$7:I$126,"RA-SA3-05-A1")</x:f>
        <x:v>1</x:v>
      </x:c>
      <x:c r="H81" s="11" t="str">
        <x:f>IF(G81=F81,"PASS","FAIL")</x:f>
        <x:v>PASS</x:v>
      </x:c>
      <x:c r="I81" s="38"/>
    </x:row>
    <x:row r="82">
      <x:c r="B82" s="11" t="str">
        <x:v>AU-0076</x:v>
      </x:c>
      <x:c r="C82" s="11" t="str">
        <x:v>article planning state</x:v>
      </x:c>
      <x:c r="D82" s="11" t="str">
        <x:v>RA-SA3-05-A2</x:v>
      </x:c>
      <x:c r="E82" s="11" t="b">
        <x:f>'Article Register'!Q32="PASS"</x:f>
        <x:v>1</x:v>
      </x:c>
      <x:c r="F82" s="29" t="b">
        <x:v>1</x:v>
      </x:c>
      <x:c r="G82" s="11" t="b">
        <x:f>'Article Register'!Q32="PASS"</x:f>
        <x:v>1</x:v>
      </x:c>
      <x:c r="H82" s="11" t="str">
        <x:f>IF(G82=F82,"PASS","FAIL")</x:f>
        <x:v>PASS</x:v>
      </x:c>
      <x:c r="I82" s="38"/>
    </x:row>
    <x:row r="83">
      <x:c r="B83" s="11" t="str">
        <x:v>AU-0077</x:v>
      </x:c>
      <x:c r="C83" s="11" t="str">
        <x:v>article source remains open</x:v>
      </x:c>
      <x:c r="D83" s="11" t="str">
        <x:v>RA-SA3-05-A2</x:v>
      </x:c>
      <x:c r="E83" s="11" t="b">
        <x:f>'Article Register'!R32="OPEN"</x:f>
        <x:v>1</x:v>
      </x:c>
      <x:c r="F83" s="29" t="b">
        <x:v>1</x:v>
      </x:c>
      <x:c r="G83" s="11" t="b">
        <x:f>'Article Register'!R32="OPEN"</x:f>
        <x:v>1</x:v>
      </x:c>
      <x:c r="H83" s="11" t="str">
        <x:f>IF(G83=F83,"PASS","FAIL")</x:f>
        <x:v>PASS</x:v>
      </x:c>
      <x:c r="I83" s="38"/>
    </x:row>
    <x:row r="84">
      <x:c r="B84" s="11" t="str">
        <x:v>AU-0078</x:v>
      </x:c>
      <x:c r="C84" s="11" t="str">
        <x:v>article event allocation</x:v>
      </x:c>
      <x:c r="D84" s="11" t="str">
        <x:v>RA-SA3-05-A2</x:v>
      </x:c>
      <x:c r="E84" s="11" t="b">
        <x:f>'Article Register'!I32=COUNTIFS('Lane Events'!I$7:I$126,"RA-SA3-05-A2")</x:f>
        <x:v>1</x:v>
      </x:c>
      <x:c r="F84" s="29" t="b">
        <x:v>1</x:v>
      </x:c>
      <x:c r="G84" s="11" t="b">
        <x:f>'Article Register'!I32=COUNTIFS('Lane Events'!I$7:I$126,"RA-SA3-05-A2")</x:f>
        <x:v>1</x:v>
      </x:c>
      <x:c r="H84" s="11" t="str">
        <x:f>IF(G84=F84,"PASS","FAIL")</x:f>
        <x:v>PASS</x:v>
      </x:c>
      <x:c r="I84" s="38"/>
    </x:row>
    <x:row r="85">
      <x:c r="B85" s="11" t="str">
        <x:v>AU-0079</x:v>
      </x:c>
      <x:c r="C85" s="11" t="str">
        <x:v>article planning state</x:v>
      </x:c>
      <x:c r="D85" s="11" t="str">
        <x:v>RA-SA3-05-A3</x:v>
      </x:c>
      <x:c r="E85" s="11" t="b">
        <x:f>'Article Register'!Q33="PASS"</x:f>
        <x:v>1</x:v>
      </x:c>
      <x:c r="F85" s="29" t="b">
        <x:v>1</x:v>
      </x:c>
      <x:c r="G85" s="11" t="b">
        <x:f>'Article Register'!Q33="PASS"</x:f>
        <x:v>1</x:v>
      </x:c>
      <x:c r="H85" s="11" t="str">
        <x:f>IF(G85=F85,"PASS","FAIL")</x:f>
        <x:v>PASS</x:v>
      </x:c>
      <x:c r="I85" s="38"/>
    </x:row>
    <x:row r="86">
      <x:c r="B86" s="11" t="str">
        <x:v>AU-0080</x:v>
      </x:c>
      <x:c r="C86" s="11" t="str">
        <x:v>article source remains open</x:v>
      </x:c>
      <x:c r="D86" s="11" t="str">
        <x:v>RA-SA3-05-A3</x:v>
      </x:c>
      <x:c r="E86" s="11" t="b">
        <x:f>'Article Register'!R33="OPEN"</x:f>
        <x:v>1</x:v>
      </x:c>
      <x:c r="F86" s="29" t="b">
        <x:v>1</x:v>
      </x:c>
      <x:c r="G86" s="11" t="b">
        <x:f>'Article Register'!R33="OPEN"</x:f>
        <x:v>1</x:v>
      </x:c>
      <x:c r="H86" s="11" t="str">
        <x:f>IF(G86=F86,"PASS","FAIL")</x:f>
        <x:v>PASS</x:v>
      </x:c>
      <x:c r="I86" s="38"/>
    </x:row>
    <x:row r="87">
      <x:c r="B87" s="11" t="str">
        <x:v>AU-0081</x:v>
      </x:c>
      <x:c r="C87" s="11" t="str">
        <x:v>article event allocation</x:v>
      </x:c>
      <x:c r="D87" s="11" t="str">
        <x:v>RA-SA3-05-A3</x:v>
      </x:c>
      <x:c r="E87" s="11" t="b">
        <x:f>'Article Register'!I33=COUNTIFS('Lane Events'!I$7:I$126,"RA-SA3-05-A3")</x:f>
        <x:v>1</x:v>
      </x:c>
      <x:c r="F87" s="29" t="b">
        <x:v>1</x:v>
      </x:c>
      <x:c r="G87" s="11" t="b">
        <x:f>'Article Register'!I33=COUNTIFS('Lane Events'!I$7:I$126,"RA-SA3-05-A3")</x:f>
        <x:v>1</x:v>
      </x:c>
      <x:c r="H87" s="11" t="str">
        <x:f>IF(G87=F87,"PASS","FAIL")</x:f>
        <x:v>PASS</x:v>
      </x:c>
      <x:c r="I87" s="38"/>
    </x:row>
    <x:row r="88">
      <x:c r="B88" s="11" t="str">
        <x:v>AU-0082</x:v>
      </x:c>
      <x:c r="C88" s="11" t="str">
        <x:v>article planning state</x:v>
      </x:c>
      <x:c r="D88" s="11" t="str">
        <x:v>RA-SA3-05-B1</x:v>
      </x:c>
      <x:c r="E88" s="11" t="b">
        <x:f>'Article Register'!Q34="PASS"</x:f>
        <x:v>1</x:v>
      </x:c>
      <x:c r="F88" s="29" t="b">
        <x:v>1</x:v>
      </x:c>
      <x:c r="G88" s="11" t="b">
        <x:f>'Article Register'!Q34="PASS"</x:f>
        <x:v>1</x:v>
      </x:c>
      <x:c r="H88" s="11" t="str">
        <x:f>IF(G88=F88,"PASS","FAIL")</x:f>
        <x:v>PASS</x:v>
      </x:c>
      <x:c r="I88" s="38"/>
    </x:row>
    <x:row r="89">
      <x:c r="B89" s="11" t="str">
        <x:v>AU-0083</x:v>
      </x:c>
      <x:c r="C89" s="11" t="str">
        <x:v>article source remains open</x:v>
      </x:c>
      <x:c r="D89" s="11" t="str">
        <x:v>RA-SA3-05-B1</x:v>
      </x:c>
      <x:c r="E89" s="11" t="b">
        <x:f>'Article Register'!R34="OPEN"</x:f>
        <x:v>1</x:v>
      </x:c>
      <x:c r="F89" s="29" t="b">
        <x:v>1</x:v>
      </x:c>
      <x:c r="G89" s="11" t="b">
        <x:f>'Article Register'!R34="OPEN"</x:f>
        <x:v>1</x:v>
      </x:c>
      <x:c r="H89" s="11" t="str">
        <x:f>IF(G89=F89,"PASS","FAIL")</x:f>
        <x:v>PASS</x:v>
      </x:c>
      <x:c r="I89" s="38"/>
    </x:row>
    <x:row r="90">
      <x:c r="B90" s="11" t="str">
        <x:v>AU-0084</x:v>
      </x:c>
      <x:c r="C90" s="11" t="str">
        <x:v>article event allocation</x:v>
      </x:c>
      <x:c r="D90" s="11" t="str">
        <x:v>RA-SA3-05-B1</x:v>
      </x:c>
      <x:c r="E90" s="11" t="b">
        <x:f>'Article Register'!I34=COUNTIFS('Lane Events'!I$7:I$126,"RA-SA3-05-B1")</x:f>
        <x:v>1</x:v>
      </x:c>
      <x:c r="F90" s="29" t="b">
        <x:v>1</x:v>
      </x:c>
      <x:c r="G90" s="11" t="b">
        <x:f>'Article Register'!I34=COUNTIFS('Lane Events'!I$7:I$126,"RA-SA3-05-B1")</x:f>
        <x:v>1</x:v>
      </x:c>
      <x:c r="H90" s="11" t="str">
        <x:f>IF(G90=F90,"PASS","FAIL")</x:f>
        <x:v>PASS</x:v>
      </x:c>
      <x:c r="I90" s="38"/>
    </x:row>
    <x:row r="91">
      <x:c r="B91" s="11" t="str">
        <x:v>AU-0085</x:v>
      </x:c>
      <x:c r="C91" s="11" t="str">
        <x:v>article planning state</x:v>
      </x:c>
      <x:c r="D91" s="11" t="str">
        <x:v>RA-SA3-05-B2</x:v>
      </x:c>
      <x:c r="E91" s="11" t="b">
        <x:f>'Article Register'!Q35="PASS"</x:f>
        <x:v>1</x:v>
      </x:c>
      <x:c r="F91" s="29" t="b">
        <x:v>1</x:v>
      </x:c>
      <x:c r="G91" s="11" t="b">
        <x:f>'Article Register'!Q35="PASS"</x:f>
        <x:v>1</x:v>
      </x:c>
      <x:c r="H91" s="11" t="str">
        <x:f>IF(G91=F91,"PASS","FAIL")</x:f>
        <x:v>PASS</x:v>
      </x:c>
      <x:c r="I91" s="38"/>
    </x:row>
    <x:row r="92">
      <x:c r="B92" s="11" t="str">
        <x:v>AU-0086</x:v>
      </x:c>
      <x:c r="C92" s="11" t="str">
        <x:v>article source remains open</x:v>
      </x:c>
      <x:c r="D92" s="11" t="str">
        <x:v>RA-SA3-05-B2</x:v>
      </x:c>
      <x:c r="E92" s="11" t="b">
        <x:f>'Article Register'!R35="OPEN"</x:f>
        <x:v>1</x:v>
      </x:c>
      <x:c r="F92" s="29" t="b">
        <x:v>1</x:v>
      </x:c>
      <x:c r="G92" s="11" t="b">
        <x:f>'Article Register'!R35="OPEN"</x:f>
        <x:v>1</x:v>
      </x:c>
      <x:c r="H92" s="11" t="str">
        <x:f>IF(G92=F92,"PASS","FAIL")</x:f>
        <x:v>PASS</x:v>
      </x:c>
      <x:c r="I92" s="38"/>
    </x:row>
    <x:row r="93">
      <x:c r="B93" s="11" t="str">
        <x:v>AU-0087</x:v>
      </x:c>
      <x:c r="C93" s="11" t="str">
        <x:v>article event allocation</x:v>
      </x:c>
      <x:c r="D93" s="11" t="str">
        <x:v>RA-SA3-05-B2</x:v>
      </x:c>
      <x:c r="E93" s="11" t="b">
        <x:f>'Article Register'!I35=COUNTIFS('Lane Events'!I$7:I$126,"RA-SA3-05-B2")</x:f>
        <x:v>1</x:v>
      </x:c>
      <x:c r="F93" s="29" t="b">
        <x:v>1</x:v>
      </x:c>
      <x:c r="G93" s="11" t="b">
        <x:f>'Article Register'!I35=COUNTIFS('Lane Events'!I$7:I$126,"RA-SA3-05-B2")</x:f>
        <x:v>1</x:v>
      </x:c>
      <x:c r="H93" s="11" t="str">
        <x:f>IF(G93=F93,"PASS","FAIL")</x:f>
        <x:v>PASS</x:v>
      </x:c>
      <x:c r="I93" s="38"/>
    </x:row>
    <x:row r="94">
      <x:c r="B94" s="11" t="str">
        <x:v>AU-0088</x:v>
      </x:c>
      <x:c r="C94" s="11" t="str">
        <x:v>article planning state</x:v>
      </x:c>
      <x:c r="D94" s="11" t="str">
        <x:v>RA-SA3-05-B3</x:v>
      </x:c>
      <x:c r="E94" s="11" t="b">
        <x:f>'Article Register'!Q36="PASS"</x:f>
        <x:v>1</x:v>
      </x:c>
      <x:c r="F94" s="29" t="b">
        <x:v>1</x:v>
      </x:c>
      <x:c r="G94" s="11" t="b">
        <x:f>'Article Register'!Q36="PASS"</x:f>
        <x:v>1</x:v>
      </x:c>
      <x:c r="H94" s="11" t="str">
        <x:f>IF(G94=F94,"PASS","FAIL")</x:f>
        <x:v>PASS</x:v>
      </x:c>
      <x:c r="I94" s="38"/>
    </x:row>
    <x:row r="95">
      <x:c r="B95" s="11" t="str">
        <x:v>AU-0089</x:v>
      </x:c>
      <x:c r="C95" s="11" t="str">
        <x:v>article source remains open</x:v>
      </x:c>
      <x:c r="D95" s="11" t="str">
        <x:v>RA-SA3-05-B3</x:v>
      </x:c>
      <x:c r="E95" s="11" t="b">
        <x:f>'Article Register'!R36="OPEN"</x:f>
        <x:v>1</x:v>
      </x:c>
      <x:c r="F95" s="29" t="b">
        <x:v>1</x:v>
      </x:c>
      <x:c r="G95" s="11" t="b">
        <x:f>'Article Register'!R36="OPEN"</x:f>
        <x:v>1</x:v>
      </x:c>
      <x:c r="H95" s="11" t="str">
        <x:f>IF(G95=F95,"PASS","FAIL")</x:f>
        <x:v>PASS</x:v>
      </x:c>
      <x:c r="I95" s="38"/>
    </x:row>
    <x:row r="96">
      <x:c r="B96" s="11" t="str">
        <x:v>AU-0090</x:v>
      </x:c>
      <x:c r="C96" s="11" t="str">
        <x:v>article event allocation</x:v>
      </x:c>
      <x:c r="D96" s="11" t="str">
        <x:v>RA-SA3-05-B3</x:v>
      </x:c>
      <x:c r="E96" s="11" t="b">
        <x:f>'Article Register'!I36=COUNTIFS('Lane Events'!I$7:I$126,"RA-SA3-05-B3")</x:f>
        <x:v>1</x:v>
      </x:c>
      <x:c r="F96" s="29" t="b">
        <x:v>1</x:v>
      </x:c>
      <x:c r="G96" s="11" t="b">
        <x:f>'Article Register'!I36=COUNTIFS('Lane Events'!I$7:I$126,"RA-SA3-05-B3")</x:f>
        <x:v>1</x:v>
      </x:c>
      <x:c r="H96" s="11" t="str">
        <x:f>IF(G96=F96,"PASS","FAIL")</x:f>
        <x:v>PASS</x:v>
      </x:c>
      <x:c r="I96" s="38"/>
    </x:row>
    <x:row r="97">
      <x:c r="B97" s="11" t="str">
        <x:v>AU-0091</x:v>
      </x:c>
      <x:c r="C97" s="11" t="str">
        <x:v>article planning state</x:v>
      </x:c>
      <x:c r="D97" s="11" t="str">
        <x:v>RA-SA3-06-A1</x:v>
      </x:c>
      <x:c r="E97" s="11" t="b">
        <x:f>'Article Register'!Q37="PASS"</x:f>
        <x:v>1</x:v>
      </x:c>
      <x:c r="F97" s="29" t="b">
        <x:v>1</x:v>
      </x:c>
      <x:c r="G97" s="11" t="b">
        <x:f>'Article Register'!Q37="PASS"</x:f>
        <x:v>1</x:v>
      </x:c>
      <x:c r="H97" s="11" t="str">
        <x:f>IF(G97=F97,"PASS","FAIL")</x:f>
        <x:v>PASS</x:v>
      </x:c>
      <x:c r="I97" s="38"/>
    </x:row>
    <x:row r="98">
      <x:c r="B98" s="11" t="str">
        <x:v>AU-0092</x:v>
      </x:c>
      <x:c r="C98" s="11" t="str">
        <x:v>article source remains open</x:v>
      </x:c>
      <x:c r="D98" s="11" t="str">
        <x:v>RA-SA3-06-A1</x:v>
      </x:c>
      <x:c r="E98" s="11" t="b">
        <x:f>'Article Register'!R37="OPEN"</x:f>
        <x:v>1</x:v>
      </x:c>
      <x:c r="F98" s="29" t="b">
        <x:v>1</x:v>
      </x:c>
      <x:c r="G98" s="11" t="b">
        <x:f>'Article Register'!R37="OPEN"</x:f>
        <x:v>1</x:v>
      </x:c>
      <x:c r="H98" s="11" t="str">
        <x:f>IF(G98=F98,"PASS","FAIL")</x:f>
        <x:v>PASS</x:v>
      </x:c>
      <x:c r="I98" s="38"/>
    </x:row>
    <x:row r="99">
      <x:c r="B99" s="11" t="str">
        <x:v>AU-0093</x:v>
      </x:c>
      <x:c r="C99" s="11" t="str">
        <x:v>article event allocation</x:v>
      </x:c>
      <x:c r="D99" s="11" t="str">
        <x:v>RA-SA3-06-A1</x:v>
      </x:c>
      <x:c r="E99" s="11" t="b">
        <x:f>'Article Register'!I37=COUNTIFS('Lane Events'!I$7:I$126,"RA-SA3-06-A1")</x:f>
        <x:v>1</x:v>
      </x:c>
      <x:c r="F99" s="29" t="b">
        <x:v>1</x:v>
      </x:c>
      <x:c r="G99" s="11" t="b">
        <x:f>'Article Register'!I37=COUNTIFS('Lane Events'!I$7:I$126,"RA-SA3-06-A1")</x:f>
        <x:v>1</x:v>
      </x:c>
      <x:c r="H99" s="11" t="str">
        <x:f>IF(G99=F99,"PASS","FAIL")</x:f>
        <x:v>PASS</x:v>
      </x:c>
      <x:c r="I99" s="38"/>
    </x:row>
    <x:row r="100">
      <x:c r="B100" s="11" t="str">
        <x:v>AU-0094</x:v>
      </x:c>
      <x:c r="C100" s="11" t="str">
        <x:v>article planning state</x:v>
      </x:c>
      <x:c r="D100" s="11" t="str">
        <x:v>RA-SA3-06-A2</x:v>
      </x:c>
      <x:c r="E100" s="11" t="b">
        <x:f>'Article Register'!Q38="PASS"</x:f>
        <x:v>1</x:v>
      </x:c>
      <x:c r="F100" s="29" t="b">
        <x:v>1</x:v>
      </x:c>
      <x:c r="G100" s="11" t="b">
        <x:f>'Article Register'!Q38="PASS"</x:f>
        <x:v>1</x:v>
      </x:c>
      <x:c r="H100" s="11" t="str">
        <x:f>IF(G100=F100,"PASS","FAIL")</x:f>
        <x:v>PASS</x:v>
      </x:c>
      <x:c r="I100" s="38"/>
    </x:row>
    <x:row r="101">
      <x:c r="B101" s="11" t="str">
        <x:v>AU-0095</x:v>
      </x:c>
      <x:c r="C101" s="11" t="str">
        <x:v>article source remains open</x:v>
      </x:c>
      <x:c r="D101" s="11" t="str">
        <x:v>RA-SA3-06-A2</x:v>
      </x:c>
      <x:c r="E101" s="11" t="b">
        <x:f>'Article Register'!R38="OPEN"</x:f>
        <x:v>1</x:v>
      </x:c>
      <x:c r="F101" s="29" t="b">
        <x:v>1</x:v>
      </x:c>
      <x:c r="G101" s="11" t="b">
        <x:f>'Article Register'!R38="OPEN"</x:f>
        <x:v>1</x:v>
      </x:c>
      <x:c r="H101" s="11" t="str">
        <x:f>IF(G101=F101,"PASS","FAIL")</x:f>
        <x:v>PASS</x:v>
      </x:c>
      <x:c r="I101" s="38"/>
    </x:row>
    <x:row r="102">
      <x:c r="B102" s="11" t="str">
        <x:v>AU-0096</x:v>
      </x:c>
      <x:c r="C102" s="11" t="str">
        <x:v>article event allocation</x:v>
      </x:c>
      <x:c r="D102" s="11" t="str">
        <x:v>RA-SA3-06-A2</x:v>
      </x:c>
      <x:c r="E102" s="11" t="b">
        <x:f>'Article Register'!I38=COUNTIFS('Lane Events'!I$7:I$126,"RA-SA3-06-A2")</x:f>
        <x:v>1</x:v>
      </x:c>
      <x:c r="F102" s="29" t="b">
        <x:v>1</x:v>
      </x:c>
      <x:c r="G102" s="11" t="b">
        <x:f>'Article Register'!I38=COUNTIFS('Lane Events'!I$7:I$126,"RA-SA3-06-A2")</x:f>
        <x:v>1</x:v>
      </x:c>
      <x:c r="H102" s="11" t="str">
        <x:f>IF(G102=F102,"PASS","FAIL")</x:f>
        <x:v>PASS</x:v>
      </x:c>
      <x:c r="I102" s="38"/>
    </x:row>
    <x:row r="103">
      <x:c r="B103" s="11" t="str">
        <x:v>AU-0097</x:v>
      </x:c>
      <x:c r="C103" s="11" t="str">
        <x:v>article planning state</x:v>
      </x:c>
      <x:c r="D103" s="11" t="str">
        <x:v>RA-SA3-06-A3</x:v>
      </x:c>
      <x:c r="E103" s="11" t="b">
        <x:f>'Article Register'!Q39="PASS"</x:f>
        <x:v>1</x:v>
      </x:c>
      <x:c r="F103" s="29" t="b">
        <x:v>1</x:v>
      </x:c>
      <x:c r="G103" s="11" t="b">
        <x:f>'Article Register'!Q39="PASS"</x:f>
        <x:v>1</x:v>
      </x:c>
      <x:c r="H103" s="11" t="str">
        <x:f>IF(G103=F103,"PASS","FAIL")</x:f>
        <x:v>PASS</x:v>
      </x:c>
      <x:c r="I103" s="38"/>
    </x:row>
    <x:row r="104">
      <x:c r="B104" s="11" t="str">
        <x:v>AU-0098</x:v>
      </x:c>
      <x:c r="C104" s="11" t="str">
        <x:v>article source remains open</x:v>
      </x:c>
      <x:c r="D104" s="11" t="str">
        <x:v>RA-SA3-06-A3</x:v>
      </x:c>
      <x:c r="E104" s="11" t="b">
        <x:f>'Article Register'!R39="OPEN"</x:f>
        <x:v>1</x:v>
      </x:c>
      <x:c r="F104" s="29" t="b">
        <x:v>1</x:v>
      </x:c>
      <x:c r="G104" s="11" t="b">
        <x:f>'Article Register'!R39="OPEN"</x:f>
        <x:v>1</x:v>
      </x:c>
      <x:c r="H104" s="11" t="str">
        <x:f>IF(G104=F104,"PASS","FAIL")</x:f>
        <x:v>PASS</x:v>
      </x:c>
      <x:c r="I104" s="38"/>
    </x:row>
    <x:row r="105">
      <x:c r="B105" s="11" t="str">
        <x:v>AU-0099</x:v>
      </x:c>
      <x:c r="C105" s="11" t="str">
        <x:v>article event allocation</x:v>
      </x:c>
      <x:c r="D105" s="11" t="str">
        <x:v>RA-SA3-06-A3</x:v>
      </x:c>
      <x:c r="E105" s="11" t="b">
        <x:f>'Article Register'!I39=COUNTIFS('Lane Events'!I$7:I$126,"RA-SA3-06-A3")</x:f>
        <x:v>1</x:v>
      </x:c>
      <x:c r="F105" s="29" t="b">
        <x:v>1</x:v>
      </x:c>
      <x:c r="G105" s="11" t="b">
        <x:f>'Article Register'!I39=COUNTIFS('Lane Events'!I$7:I$126,"RA-SA3-06-A3")</x:f>
        <x:v>1</x:v>
      </x:c>
      <x:c r="H105" s="11" t="str">
        <x:f>IF(G105=F105,"PASS","FAIL")</x:f>
        <x:v>PASS</x:v>
      </x:c>
      <x:c r="I105" s="38"/>
    </x:row>
    <x:row r="106">
      <x:c r="B106" s="11" t="str">
        <x:v>AU-0100</x:v>
      </x:c>
      <x:c r="C106" s="11" t="str">
        <x:v>article planning state</x:v>
      </x:c>
      <x:c r="D106" s="11" t="str">
        <x:v>RA-SA3-06-B1</x:v>
      </x:c>
      <x:c r="E106" s="11" t="b">
        <x:f>'Article Register'!Q40="PASS"</x:f>
        <x:v>1</x:v>
      </x:c>
      <x:c r="F106" s="29" t="b">
        <x:v>1</x:v>
      </x:c>
      <x:c r="G106" s="11" t="b">
        <x:f>'Article Register'!Q40="PASS"</x:f>
        <x:v>1</x:v>
      </x:c>
      <x:c r="H106" s="11" t="str">
        <x:f>IF(G106=F106,"PASS","FAIL")</x:f>
        <x:v>PASS</x:v>
      </x:c>
      <x:c r="I106" s="38"/>
    </x:row>
    <x:row r="107">
      <x:c r="B107" s="11" t="str">
        <x:v>AU-0101</x:v>
      </x:c>
      <x:c r="C107" s="11" t="str">
        <x:v>article source remains open</x:v>
      </x:c>
      <x:c r="D107" s="11" t="str">
        <x:v>RA-SA3-06-B1</x:v>
      </x:c>
      <x:c r="E107" s="11" t="b">
        <x:f>'Article Register'!R40="OPEN"</x:f>
        <x:v>1</x:v>
      </x:c>
      <x:c r="F107" s="29" t="b">
        <x:v>1</x:v>
      </x:c>
      <x:c r="G107" s="11" t="b">
        <x:f>'Article Register'!R40="OPEN"</x:f>
        <x:v>1</x:v>
      </x:c>
      <x:c r="H107" s="11" t="str">
        <x:f>IF(G107=F107,"PASS","FAIL")</x:f>
        <x:v>PASS</x:v>
      </x:c>
      <x:c r="I107" s="38"/>
    </x:row>
    <x:row r="108">
      <x:c r="B108" s="11" t="str">
        <x:v>AU-0102</x:v>
      </x:c>
      <x:c r="C108" s="11" t="str">
        <x:v>article event allocation</x:v>
      </x:c>
      <x:c r="D108" s="11" t="str">
        <x:v>RA-SA3-06-B1</x:v>
      </x:c>
      <x:c r="E108" s="11" t="b">
        <x:f>'Article Register'!I40=COUNTIFS('Lane Events'!I$7:I$126,"RA-SA3-06-B1")</x:f>
        <x:v>1</x:v>
      </x:c>
      <x:c r="F108" s="29" t="b">
        <x:v>1</x:v>
      </x:c>
      <x:c r="G108" s="11" t="b">
        <x:f>'Article Register'!I40=COUNTIFS('Lane Events'!I$7:I$126,"RA-SA3-06-B1")</x:f>
        <x:v>1</x:v>
      </x:c>
      <x:c r="H108" s="11" t="str">
        <x:f>IF(G108=F108,"PASS","FAIL")</x:f>
        <x:v>PASS</x:v>
      </x:c>
      <x:c r="I108" s="38"/>
    </x:row>
    <x:row r="109">
      <x:c r="B109" s="11" t="str">
        <x:v>AU-0103</x:v>
      </x:c>
      <x:c r="C109" s="11" t="str">
        <x:v>article planning state</x:v>
      </x:c>
      <x:c r="D109" s="11" t="str">
        <x:v>RA-SA3-06-B2</x:v>
      </x:c>
      <x:c r="E109" s="11" t="b">
        <x:f>'Article Register'!Q41="PASS"</x:f>
        <x:v>1</x:v>
      </x:c>
      <x:c r="F109" s="29" t="b">
        <x:v>1</x:v>
      </x:c>
      <x:c r="G109" s="11" t="b">
        <x:f>'Article Register'!Q41="PASS"</x:f>
        <x:v>1</x:v>
      </x:c>
      <x:c r="H109" s="11" t="str">
        <x:f>IF(G109=F109,"PASS","FAIL")</x:f>
        <x:v>PASS</x:v>
      </x:c>
      <x:c r="I109" s="38"/>
    </x:row>
    <x:row r="110">
      <x:c r="B110" s="11" t="str">
        <x:v>AU-0104</x:v>
      </x:c>
      <x:c r="C110" s="11" t="str">
        <x:v>article source remains open</x:v>
      </x:c>
      <x:c r="D110" s="11" t="str">
        <x:v>RA-SA3-06-B2</x:v>
      </x:c>
      <x:c r="E110" s="11" t="b">
        <x:f>'Article Register'!R41="OPEN"</x:f>
        <x:v>1</x:v>
      </x:c>
      <x:c r="F110" s="29" t="b">
        <x:v>1</x:v>
      </x:c>
      <x:c r="G110" s="11" t="b">
        <x:f>'Article Register'!R41="OPEN"</x:f>
        <x:v>1</x:v>
      </x:c>
      <x:c r="H110" s="11" t="str">
        <x:f>IF(G110=F110,"PASS","FAIL")</x:f>
        <x:v>PASS</x:v>
      </x:c>
      <x:c r="I110" s="38"/>
    </x:row>
    <x:row r="111">
      <x:c r="B111" s="11" t="str">
        <x:v>AU-0105</x:v>
      </x:c>
      <x:c r="C111" s="11" t="str">
        <x:v>article event allocation</x:v>
      </x:c>
      <x:c r="D111" s="11" t="str">
        <x:v>RA-SA3-06-B2</x:v>
      </x:c>
      <x:c r="E111" s="11" t="b">
        <x:f>'Article Register'!I41=COUNTIFS('Lane Events'!I$7:I$126,"RA-SA3-06-B2")</x:f>
        <x:v>1</x:v>
      </x:c>
      <x:c r="F111" s="29" t="b">
        <x:v>1</x:v>
      </x:c>
      <x:c r="G111" s="11" t="b">
        <x:f>'Article Register'!I41=COUNTIFS('Lane Events'!I$7:I$126,"RA-SA3-06-B2")</x:f>
        <x:v>1</x:v>
      </x:c>
      <x:c r="H111" s="11" t="str">
        <x:f>IF(G111=F111,"PASS","FAIL")</x:f>
        <x:v>PASS</x:v>
      </x:c>
      <x:c r="I111" s="38"/>
    </x:row>
    <x:row r="112">
      <x:c r="B112" s="11" t="str">
        <x:v>AU-0106</x:v>
      </x:c>
      <x:c r="C112" s="11" t="str">
        <x:v>article planning state</x:v>
      </x:c>
      <x:c r="D112" s="11" t="str">
        <x:v>RA-SA3-06-B3</x:v>
      </x:c>
      <x:c r="E112" s="11" t="b">
        <x:f>'Article Register'!Q42="PASS"</x:f>
        <x:v>1</x:v>
      </x:c>
      <x:c r="F112" s="29" t="b">
        <x:v>1</x:v>
      </x:c>
      <x:c r="G112" s="11" t="b">
        <x:f>'Article Register'!Q42="PASS"</x:f>
        <x:v>1</x:v>
      </x:c>
      <x:c r="H112" s="11" t="str">
        <x:f>IF(G112=F112,"PASS","FAIL")</x:f>
        <x:v>PASS</x:v>
      </x:c>
      <x:c r="I112" s="38"/>
    </x:row>
    <x:row r="113">
      <x:c r="B113" s="11" t="str">
        <x:v>AU-0107</x:v>
      </x:c>
      <x:c r="C113" s="11" t="str">
        <x:v>article source remains open</x:v>
      </x:c>
      <x:c r="D113" s="11" t="str">
        <x:v>RA-SA3-06-B3</x:v>
      </x:c>
      <x:c r="E113" s="11" t="b">
        <x:f>'Article Register'!R42="OPEN"</x:f>
        <x:v>1</x:v>
      </x:c>
      <x:c r="F113" s="29" t="b">
        <x:v>1</x:v>
      </x:c>
      <x:c r="G113" s="11" t="b">
        <x:f>'Article Register'!R42="OPEN"</x:f>
        <x:v>1</x:v>
      </x:c>
      <x:c r="H113" s="11" t="str">
        <x:f>IF(G113=F113,"PASS","FAIL")</x:f>
        <x:v>PASS</x:v>
      </x:c>
      <x:c r="I113" s="38"/>
    </x:row>
    <x:row r="114">
      <x:c r="B114" s="11" t="str">
        <x:v>AU-0108</x:v>
      </x:c>
      <x:c r="C114" s="11" t="str">
        <x:v>article event allocation</x:v>
      </x:c>
      <x:c r="D114" s="11" t="str">
        <x:v>RA-SA3-06-B3</x:v>
      </x:c>
      <x:c r="E114" s="11" t="b">
        <x:f>'Article Register'!I42=COUNTIFS('Lane Events'!I$7:I$126,"RA-SA3-06-B3")</x:f>
        <x:v>1</x:v>
      </x:c>
      <x:c r="F114" s="29" t="b">
        <x:v>1</x:v>
      </x:c>
      <x:c r="G114" s="11" t="b">
        <x:f>'Article Register'!I42=COUNTIFS('Lane Events'!I$7:I$126,"RA-SA3-06-B3")</x:f>
        <x:v>1</x:v>
      </x:c>
      <x:c r="H114" s="11" t="str">
        <x:f>IF(G114=F114,"PASS","FAIL")</x:f>
        <x:v>PASS</x:v>
      </x:c>
      <x:c r="I114" s="38"/>
    </x:row>
    <x:row r="115">
      <x:c r="B115" s="11" t="str">
        <x:v>AU-0109</x:v>
      </x:c>
      <x:c r="C115" s="11" t="str">
        <x:v>article planning state</x:v>
      </x:c>
      <x:c r="D115" s="11" t="str">
        <x:v>RA-SA4-07-A1</x:v>
      </x:c>
      <x:c r="E115" s="11" t="b">
        <x:f>'Article Register'!Q43="PASS"</x:f>
        <x:v>1</x:v>
      </x:c>
      <x:c r="F115" s="29" t="b">
        <x:v>1</x:v>
      </x:c>
      <x:c r="G115" s="11" t="b">
        <x:f>'Article Register'!Q43="PASS"</x:f>
        <x:v>1</x:v>
      </x:c>
      <x:c r="H115" s="11" t="str">
        <x:f>IF(G115=F115,"PASS","FAIL")</x:f>
        <x:v>PASS</x:v>
      </x:c>
      <x:c r="I115" s="38"/>
    </x:row>
    <x:row r="116">
      <x:c r="B116" s="11" t="str">
        <x:v>AU-0110</x:v>
      </x:c>
      <x:c r="C116" s="11" t="str">
        <x:v>article source remains open</x:v>
      </x:c>
      <x:c r="D116" s="11" t="str">
        <x:v>RA-SA4-07-A1</x:v>
      </x:c>
      <x:c r="E116" s="11" t="b">
        <x:f>'Article Register'!R43="OPEN"</x:f>
        <x:v>1</x:v>
      </x:c>
      <x:c r="F116" s="29" t="b">
        <x:v>1</x:v>
      </x:c>
      <x:c r="G116" s="11" t="b">
        <x:f>'Article Register'!R43="OPEN"</x:f>
        <x:v>1</x:v>
      </x:c>
      <x:c r="H116" s="11" t="str">
        <x:f>IF(G116=F116,"PASS","FAIL")</x:f>
        <x:v>PASS</x:v>
      </x:c>
      <x:c r="I116" s="38"/>
    </x:row>
    <x:row r="117">
      <x:c r="B117" s="11" t="str">
        <x:v>AU-0111</x:v>
      </x:c>
      <x:c r="C117" s="11" t="str">
        <x:v>article event allocation</x:v>
      </x:c>
      <x:c r="D117" s="11" t="str">
        <x:v>RA-SA4-07-A1</x:v>
      </x:c>
      <x:c r="E117" s="11" t="b">
        <x:f>'Article Register'!I43=COUNTIFS('Lane Events'!I$7:I$126,"RA-SA4-07-A1")</x:f>
        <x:v>1</x:v>
      </x:c>
      <x:c r="F117" s="29" t="b">
        <x:v>1</x:v>
      </x:c>
      <x:c r="G117" s="11" t="b">
        <x:f>'Article Register'!I43=COUNTIFS('Lane Events'!I$7:I$126,"RA-SA4-07-A1")</x:f>
        <x:v>1</x:v>
      </x:c>
      <x:c r="H117" s="11" t="str">
        <x:f>IF(G117=F117,"PASS","FAIL")</x:f>
        <x:v>PASS</x:v>
      </x:c>
      <x:c r="I117" s="38"/>
    </x:row>
    <x:row r="118">
      <x:c r="B118" s="11" t="str">
        <x:v>AU-0112</x:v>
      </x:c>
      <x:c r="C118" s="11" t="str">
        <x:v>article planning state</x:v>
      </x:c>
      <x:c r="D118" s="11" t="str">
        <x:v>RA-SA4-07-A2</x:v>
      </x:c>
      <x:c r="E118" s="11" t="b">
        <x:f>'Article Register'!Q44="PASS"</x:f>
        <x:v>1</x:v>
      </x:c>
      <x:c r="F118" s="29" t="b">
        <x:v>1</x:v>
      </x:c>
      <x:c r="G118" s="11" t="b">
        <x:f>'Article Register'!Q44="PASS"</x:f>
        <x:v>1</x:v>
      </x:c>
      <x:c r="H118" s="11" t="str">
        <x:f>IF(G118=F118,"PASS","FAIL")</x:f>
        <x:v>PASS</x:v>
      </x:c>
      <x:c r="I118" s="38"/>
    </x:row>
    <x:row r="119">
      <x:c r="B119" s="11" t="str">
        <x:v>AU-0113</x:v>
      </x:c>
      <x:c r="C119" s="11" t="str">
        <x:v>article source remains open</x:v>
      </x:c>
      <x:c r="D119" s="11" t="str">
        <x:v>RA-SA4-07-A2</x:v>
      </x:c>
      <x:c r="E119" s="11" t="b">
        <x:f>'Article Register'!R44="OPEN"</x:f>
        <x:v>1</x:v>
      </x:c>
      <x:c r="F119" s="29" t="b">
        <x:v>1</x:v>
      </x:c>
      <x:c r="G119" s="11" t="b">
        <x:f>'Article Register'!R44="OPEN"</x:f>
        <x:v>1</x:v>
      </x:c>
      <x:c r="H119" s="11" t="str">
        <x:f>IF(G119=F119,"PASS","FAIL")</x:f>
        <x:v>PASS</x:v>
      </x:c>
      <x:c r="I119" s="38"/>
    </x:row>
    <x:row r="120">
      <x:c r="B120" s="11" t="str">
        <x:v>AU-0114</x:v>
      </x:c>
      <x:c r="C120" s="11" t="str">
        <x:v>article event allocation</x:v>
      </x:c>
      <x:c r="D120" s="11" t="str">
        <x:v>RA-SA4-07-A2</x:v>
      </x:c>
      <x:c r="E120" s="11" t="b">
        <x:f>'Article Register'!I44=COUNTIFS('Lane Events'!I$7:I$126,"RA-SA4-07-A2")</x:f>
        <x:v>1</x:v>
      </x:c>
      <x:c r="F120" s="29" t="b">
        <x:v>1</x:v>
      </x:c>
      <x:c r="G120" s="11" t="b">
        <x:f>'Article Register'!I44=COUNTIFS('Lane Events'!I$7:I$126,"RA-SA4-07-A2")</x:f>
        <x:v>1</x:v>
      </x:c>
      <x:c r="H120" s="11" t="str">
        <x:f>IF(G120=F120,"PASS","FAIL")</x:f>
        <x:v>PASS</x:v>
      </x:c>
      <x:c r="I120" s="38"/>
    </x:row>
    <x:row r="121">
      <x:c r="B121" s="11" t="str">
        <x:v>AU-0115</x:v>
      </x:c>
      <x:c r="C121" s="11" t="str">
        <x:v>article planning state</x:v>
      </x:c>
      <x:c r="D121" s="11" t="str">
        <x:v>RA-SA4-07-A3</x:v>
      </x:c>
      <x:c r="E121" s="11" t="b">
        <x:f>'Article Register'!Q45="PASS"</x:f>
        <x:v>1</x:v>
      </x:c>
      <x:c r="F121" s="29" t="b">
        <x:v>1</x:v>
      </x:c>
      <x:c r="G121" s="11" t="b">
        <x:f>'Article Register'!Q45="PASS"</x:f>
        <x:v>1</x:v>
      </x:c>
      <x:c r="H121" s="11" t="str">
        <x:f>IF(G121=F121,"PASS","FAIL")</x:f>
        <x:v>PASS</x:v>
      </x:c>
      <x:c r="I121" s="38"/>
    </x:row>
    <x:row r="122">
      <x:c r="B122" s="11" t="str">
        <x:v>AU-0116</x:v>
      </x:c>
      <x:c r="C122" s="11" t="str">
        <x:v>article source remains open</x:v>
      </x:c>
      <x:c r="D122" s="11" t="str">
        <x:v>RA-SA4-07-A3</x:v>
      </x:c>
      <x:c r="E122" s="11" t="b">
        <x:f>'Article Register'!R45="OPEN"</x:f>
        <x:v>1</x:v>
      </x:c>
      <x:c r="F122" s="29" t="b">
        <x:v>1</x:v>
      </x:c>
      <x:c r="G122" s="11" t="b">
        <x:f>'Article Register'!R45="OPEN"</x:f>
        <x:v>1</x:v>
      </x:c>
      <x:c r="H122" s="11" t="str">
        <x:f>IF(G122=F122,"PASS","FAIL")</x:f>
        <x:v>PASS</x:v>
      </x:c>
      <x:c r="I122" s="38"/>
    </x:row>
    <x:row r="123">
      <x:c r="B123" s="11" t="str">
        <x:v>AU-0117</x:v>
      </x:c>
      <x:c r="C123" s="11" t="str">
        <x:v>article event allocation</x:v>
      </x:c>
      <x:c r="D123" s="11" t="str">
        <x:v>RA-SA4-07-A3</x:v>
      </x:c>
      <x:c r="E123" s="11" t="b">
        <x:f>'Article Register'!I45=COUNTIFS('Lane Events'!I$7:I$126,"RA-SA4-07-A3")</x:f>
        <x:v>1</x:v>
      </x:c>
      <x:c r="F123" s="29" t="b">
        <x:v>1</x:v>
      </x:c>
      <x:c r="G123" s="11" t="b">
        <x:f>'Article Register'!I45=COUNTIFS('Lane Events'!I$7:I$126,"RA-SA4-07-A3")</x:f>
        <x:v>1</x:v>
      </x:c>
      <x:c r="H123" s="11" t="str">
        <x:f>IF(G123=F123,"PASS","FAIL")</x:f>
        <x:v>PASS</x:v>
      </x:c>
      <x:c r="I123" s="38"/>
    </x:row>
    <x:row r="124">
      <x:c r="B124" s="11" t="str">
        <x:v>AU-0118</x:v>
      </x:c>
      <x:c r="C124" s="11" t="str">
        <x:v>article planning state</x:v>
      </x:c>
      <x:c r="D124" s="11" t="str">
        <x:v>RA-SA4-07-B1</x:v>
      </x:c>
      <x:c r="E124" s="11" t="b">
        <x:f>'Article Register'!Q46="PASS"</x:f>
        <x:v>1</x:v>
      </x:c>
      <x:c r="F124" s="29" t="b">
        <x:v>1</x:v>
      </x:c>
      <x:c r="G124" s="11" t="b">
        <x:f>'Article Register'!Q46="PASS"</x:f>
        <x:v>1</x:v>
      </x:c>
      <x:c r="H124" s="11" t="str">
        <x:f>IF(G124=F124,"PASS","FAIL")</x:f>
        <x:v>PASS</x:v>
      </x:c>
      <x:c r="I124" s="38"/>
    </x:row>
    <x:row r="125">
      <x:c r="B125" s="11" t="str">
        <x:v>AU-0119</x:v>
      </x:c>
      <x:c r="C125" s="11" t="str">
        <x:v>article source remains open</x:v>
      </x:c>
      <x:c r="D125" s="11" t="str">
        <x:v>RA-SA4-07-B1</x:v>
      </x:c>
      <x:c r="E125" s="11" t="b">
        <x:f>'Article Register'!R46="OPEN"</x:f>
        <x:v>1</x:v>
      </x:c>
      <x:c r="F125" s="29" t="b">
        <x:v>1</x:v>
      </x:c>
      <x:c r="G125" s="11" t="b">
        <x:f>'Article Register'!R46="OPEN"</x:f>
        <x:v>1</x:v>
      </x:c>
      <x:c r="H125" s="11" t="str">
        <x:f>IF(G125=F125,"PASS","FAIL")</x:f>
        <x:v>PASS</x:v>
      </x:c>
      <x:c r="I125" s="38"/>
    </x:row>
    <x:row r="126">
      <x:c r="B126" s="11" t="str">
        <x:v>AU-0120</x:v>
      </x:c>
      <x:c r="C126" s="11" t="str">
        <x:v>article event allocation</x:v>
      </x:c>
      <x:c r="D126" s="11" t="str">
        <x:v>RA-SA4-07-B1</x:v>
      </x:c>
      <x:c r="E126" s="11" t="b">
        <x:f>'Article Register'!I46=COUNTIFS('Lane Events'!I$7:I$126,"RA-SA4-07-B1")</x:f>
        <x:v>1</x:v>
      </x:c>
      <x:c r="F126" s="29" t="b">
        <x:v>1</x:v>
      </x:c>
      <x:c r="G126" s="11" t="b">
        <x:f>'Article Register'!I46=COUNTIFS('Lane Events'!I$7:I$126,"RA-SA4-07-B1")</x:f>
        <x:v>1</x:v>
      </x:c>
      <x:c r="H126" s="11" t="str">
        <x:f>IF(G126=F126,"PASS","FAIL")</x:f>
        <x:v>PASS</x:v>
      </x:c>
      <x:c r="I126" s="38"/>
    </x:row>
    <x:row r="127">
      <x:c r="B127" s="11" t="str">
        <x:v>AU-0121</x:v>
      </x:c>
      <x:c r="C127" s="11" t="str">
        <x:v>article planning state</x:v>
      </x:c>
      <x:c r="D127" s="11" t="str">
        <x:v>RA-SA4-07-B2</x:v>
      </x:c>
      <x:c r="E127" s="11" t="b">
        <x:f>'Article Register'!Q47="PASS"</x:f>
        <x:v>1</x:v>
      </x:c>
      <x:c r="F127" s="29" t="b">
        <x:v>1</x:v>
      </x:c>
      <x:c r="G127" s="11" t="b">
        <x:f>'Article Register'!Q47="PASS"</x:f>
        <x:v>1</x:v>
      </x:c>
      <x:c r="H127" s="11" t="str">
        <x:f>IF(G127=F127,"PASS","FAIL")</x:f>
        <x:v>PASS</x:v>
      </x:c>
      <x:c r="I127" s="38"/>
    </x:row>
    <x:row r="128">
      <x:c r="B128" s="11" t="str">
        <x:v>AU-0122</x:v>
      </x:c>
      <x:c r="C128" s="11" t="str">
        <x:v>article source remains open</x:v>
      </x:c>
      <x:c r="D128" s="11" t="str">
        <x:v>RA-SA4-07-B2</x:v>
      </x:c>
      <x:c r="E128" s="11" t="b">
        <x:f>'Article Register'!R47="OPEN"</x:f>
        <x:v>1</x:v>
      </x:c>
      <x:c r="F128" s="29" t="b">
        <x:v>1</x:v>
      </x:c>
      <x:c r="G128" s="11" t="b">
        <x:f>'Article Register'!R47="OPEN"</x:f>
        <x:v>1</x:v>
      </x:c>
      <x:c r="H128" s="11" t="str">
        <x:f>IF(G128=F128,"PASS","FAIL")</x:f>
        <x:v>PASS</x:v>
      </x:c>
      <x:c r="I128" s="38"/>
    </x:row>
    <x:row r="129">
      <x:c r="B129" s="11" t="str">
        <x:v>AU-0123</x:v>
      </x:c>
      <x:c r="C129" s="11" t="str">
        <x:v>article event allocation</x:v>
      </x:c>
      <x:c r="D129" s="11" t="str">
        <x:v>RA-SA4-07-B2</x:v>
      </x:c>
      <x:c r="E129" s="11" t="b">
        <x:f>'Article Register'!I47=COUNTIFS('Lane Events'!I$7:I$126,"RA-SA4-07-B2")</x:f>
        <x:v>1</x:v>
      </x:c>
      <x:c r="F129" s="29" t="b">
        <x:v>1</x:v>
      </x:c>
      <x:c r="G129" s="11" t="b">
        <x:f>'Article Register'!I47=COUNTIFS('Lane Events'!I$7:I$126,"RA-SA4-07-B2")</x:f>
        <x:v>1</x:v>
      </x:c>
      <x:c r="H129" s="11" t="str">
        <x:f>IF(G129=F129,"PASS","FAIL")</x:f>
        <x:v>PASS</x:v>
      </x:c>
      <x:c r="I129" s="38"/>
    </x:row>
    <x:row r="130">
      <x:c r="B130" s="11" t="str">
        <x:v>AU-0124</x:v>
      </x:c>
      <x:c r="C130" s="11" t="str">
        <x:v>article planning state</x:v>
      </x:c>
      <x:c r="D130" s="11" t="str">
        <x:v>RA-SA4-07-B3</x:v>
      </x:c>
      <x:c r="E130" s="11" t="b">
        <x:f>'Article Register'!Q48="PASS"</x:f>
        <x:v>1</x:v>
      </x:c>
      <x:c r="F130" s="29" t="b">
        <x:v>1</x:v>
      </x:c>
      <x:c r="G130" s="11" t="b">
        <x:f>'Article Register'!Q48="PASS"</x:f>
        <x:v>1</x:v>
      </x:c>
      <x:c r="H130" s="11" t="str">
        <x:f>IF(G130=F130,"PASS","FAIL")</x:f>
        <x:v>PASS</x:v>
      </x:c>
      <x:c r="I130" s="38"/>
    </x:row>
    <x:row r="131">
      <x:c r="B131" s="11" t="str">
        <x:v>AU-0125</x:v>
      </x:c>
      <x:c r="C131" s="11" t="str">
        <x:v>article source remains open</x:v>
      </x:c>
      <x:c r="D131" s="11" t="str">
        <x:v>RA-SA4-07-B3</x:v>
      </x:c>
      <x:c r="E131" s="11" t="b">
        <x:f>'Article Register'!R48="OPEN"</x:f>
        <x:v>1</x:v>
      </x:c>
      <x:c r="F131" s="29" t="b">
        <x:v>1</x:v>
      </x:c>
      <x:c r="G131" s="11" t="b">
        <x:f>'Article Register'!R48="OPEN"</x:f>
        <x:v>1</x:v>
      </x:c>
      <x:c r="H131" s="11" t="str">
        <x:f>IF(G131=F131,"PASS","FAIL")</x:f>
        <x:v>PASS</x:v>
      </x:c>
      <x:c r="I131" s="38"/>
    </x:row>
    <x:row r="132">
      <x:c r="B132" s="11" t="str">
        <x:v>AU-0126</x:v>
      </x:c>
      <x:c r="C132" s="11" t="str">
        <x:v>article event allocation</x:v>
      </x:c>
      <x:c r="D132" s="11" t="str">
        <x:v>RA-SA4-07-B3</x:v>
      </x:c>
      <x:c r="E132" s="11" t="b">
        <x:f>'Article Register'!I48=COUNTIFS('Lane Events'!I$7:I$126,"RA-SA4-07-B3")</x:f>
        <x:v>1</x:v>
      </x:c>
      <x:c r="F132" s="29" t="b">
        <x:v>1</x:v>
      </x:c>
      <x:c r="G132" s="11" t="b">
        <x:f>'Article Register'!I48=COUNTIFS('Lane Events'!I$7:I$126,"RA-SA4-07-B3")</x:f>
        <x:v>1</x:v>
      </x:c>
      <x:c r="H132" s="11" t="str">
        <x:f>IF(G132=F132,"PASS","FAIL")</x:f>
        <x:v>PASS</x:v>
      </x:c>
      <x:c r="I132" s="38"/>
    </x:row>
    <x:row r="133">
      <x:c r="B133" s="11" t="str">
        <x:v>AU-0127</x:v>
      </x:c>
      <x:c r="C133" s="11" t="str">
        <x:v>article planning state</x:v>
      </x:c>
      <x:c r="D133" s="11" t="str">
        <x:v>RA-SA4-08-A1</x:v>
      </x:c>
      <x:c r="E133" s="11" t="b">
        <x:f>'Article Register'!Q49="PASS"</x:f>
        <x:v>1</x:v>
      </x:c>
      <x:c r="F133" s="29" t="b">
        <x:v>1</x:v>
      </x:c>
      <x:c r="G133" s="11" t="b">
        <x:f>'Article Register'!Q49="PASS"</x:f>
        <x:v>1</x:v>
      </x:c>
      <x:c r="H133" s="11" t="str">
        <x:f>IF(G133=F133,"PASS","FAIL")</x:f>
        <x:v>PASS</x:v>
      </x:c>
      <x:c r="I133" s="38"/>
    </x:row>
    <x:row r="134">
      <x:c r="B134" s="11" t="str">
        <x:v>AU-0128</x:v>
      </x:c>
      <x:c r="C134" s="11" t="str">
        <x:v>article source remains open</x:v>
      </x:c>
      <x:c r="D134" s="11" t="str">
        <x:v>RA-SA4-08-A1</x:v>
      </x:c>
      <x:c r="E134" s="11" t="b">
        <x:f>'Article Register'!R49="OPEN"</x:f>
        <x:v>1</x:v>
      </x:c>
      <x:c r="F134" s="29" t="b">
        <x:v>1</x:v>
      </x:c>
      <x:c r="G134" s="11" t="b">
        <x:f>'Article Register'!R49="OPEN"</x:f>
        <x:v>1</x:v>
      </x:c>
      <x:c r="H134" s="11" t="str">
        <x:f>IF(G134=F134,"PASS","FAIL")</x:f>
        <x:v>PASS</x:v>
      </x:c>
      <x:c r="I134" s="38"/>
    </x:row>
    <x:row r="135">
      <x:c r="B135" s="11" t="str">
        <x:v>AU-0129</x:v>
      </x:c>
      <x:c r="C135" s="11" t="str">
        <x:v>article event allocation</x:v>
      </x:c>
      <x:c r="D135" s="11" t="str">
        <x:v>RA-SA4-08-A1</x:v>
      </x:c>
      <x:c r="E135" s="11" t="b">
        <x:f>'Article Register'!I49=COUNTIFS('Lane Events'!I$7:I$126,"RA-SA4-08-A1")</x:f>
        <x:v>1</x:v>
      </x:c>
      <x:c r="F135" s="29" t="b">
        <x:v>1</x:v>
      </x:c>
      <x:c r="G135" s="11" t="b">
        <x:f>'Article Register'!I49=COUNTIFS('Lane Events'!I$7:I$126,"RA-SA4-08-A1")</x:f>
        <x:v>1</x:v>
      </x:c>
      <x:c r="H135" s="11" t="str">
        <x:f>IF(G135=F135,"PASS","FAIL")</x:f>
        <x:v>PASS</x:v>
      </x:c>
      <x:c r="I135" s="38"/>
    </x:row>
    <x:row r="136">
      <x:c r="B136" s="11" t="str">
        <x:v>AU-0130</x:v>
      </x:c>
      <x:c r="C136" s="11" t="str">
        <x:v>article planning state</x:v>
      </x:c>
      <x:c r="D136" s="11" t="str">
        <x:v>RA-SA4-08-A2</x:v>
      </x:c>
      <x:c r="E136" s="11" t="b">
        <x:f>'Article Register'!Q50="PASS"</x:f>
        <x:v>1</x:v>
      </x:c>
      <x:c r="F136" s="29" t="b">
        <x:v>1</x:v>
      </x:c>
      <x:c r="G136" s="11" t="b">
        <x:f>'Article Register'!Q50="PASS"</x:f>
        <x:v>1</x:v>
      </x:c>
      <x:c r="H136" s="11" t="str">
        <x:f>IF(G136=F136,"PASS","FAIL")</x:f>
        <x:v>PASS</x:v>
      </x:c>
      <x:c r="I136" s="38"/>
    </x:row>
    <x:row r="137">
      <x:c r="B137" s="11" t="str">
        <x:v>AU-0131</x:v>
      </x:c>
      <x:c r="C137" s="11" t="str">
        <x:v>article source remains open</x:v>
      </x:c>
      <x:c r="D137" s="11" t="str">
        <x:v>RA-SA4-08-A2</x:v>
      </x:c>
      <x:c r="E137" s="11" t="b">
        <x:f>'Article Register'!R50="OPEN"</x:f>
        <x:v>1</x:v>
      </x:c>
      <x:c r="F137" s="29" t="b">
        <x:v>1</x:v>
      </x:c>
      <x:c r="G137" s="11" t="b">
        <x:f>'Article Register'!R50="OPEN"</x:f>
        <x:v>1</x:v>
      </x:c>
      <x:c r="H137" s="11" t="str">
        <x:f>IF(G137=F137,"PASS","FAIL")</x:f>
        <x:v>PASS</x:v>
      </x:c>
      <x:c r="I137" s="38"/>
    </x:row>
    <x:row r="138">
      <x:c r="B138" s="11" t="str">
        <x:v>AU-0132</x:v>
      </x:c>
      <x:c r="C138" s="11" t="str">
        <x:v>article event allocation</x:v>
      </x:c>
      <x:c r="D138" s="11" t="str">
        <x:v>RA-SA4-08-A2</x:v>
      </x:c>
      <x:c r="E138" s="11" t="b">
        <x:f>'Article Register'!I50=COUNTIFS('Lane Events'!I$7:I$126,"RA-SA4-08-A2")</x:f>
        <x:v>1</x:v>
      </x:c>
      <x:c r="F138" s="29" t="b">
        <x:v>1</x:v>
      </x:c>
      <x:c r="G138" s="11" t="b">
        <x:f>'Article Register'!I50=COUNTIFS('Lane Events'!I$7:I$126,"RA-SA4-08-A2")</x:f>
        <x:v>1</x:v>
      </x:c>
      <x:c r="H138" s="11" t="str">
        <x:f>IF(G138=F138,"PASS","FAIL")</x:f>
        <x:v>PASS</x:v>
      </x:c>
      <x:c r="I138" s="38"/>
    </x:row>
    <x:row r="139">
      <x:c r="B139" s="11" t="str">
        <x:v>AU-0133</x:v>
      </x:c>
      <x:c r="C139" s="11" t="str">
        <x:v>article planning state</x:v>
      </x:c>
      <x:c r="D139" s="11" t="str">
        <x:v>RA-SA4-08-A3</x:v>
      </x:c>
      <x:c r="E139" s="11" t="b">
        <x:f>'Article Register'!Q51="PASS"</x:f>
        <x:v>1</x:v>
      </x:c>
      <x:c r="F139" s="29" t="b">
        <x:v>1</x:v>
      </x:c>
      <x:c r="G139" s="11" t="b">
        <x:f>'Article Register'!Q51="PASS"</x:f>
        <x:v>1</x:v>
      </x:c>
      <x:c r="H139" s="11" t="str">
        <x:f>IF(G139=F139,"PASS","FAIL")</x:f>
        <x:v>PASS</x:v>
      </x:c>
      <x:c r="I139" s="38"/>
    </x:row>
    <x:row r="140">
      <x:c r="B140" s="11" t="str">
        <x:v>AU-0134</x:v>
      </x:c>
      <x:c r="C140" s="11" t="str">
        <x:v>article source remains open</x:v>
      </x:c>
      <x:c r="D140" s="11" t="str">
        <x:v>RA-SA4-08-A3</x:v>
      </x:c>
      <x:c r="E140" s="11" t="b">
        <x:f>'Article Register'!R51="OPEN"</x:f>
        <x:v>1</x:v>
      </x:c>
      <x:c r="F140" s="29" t="b">
        <x:v>1</x:v>
      </x:c>
      <x:c r="G140" s="11" t="b">
        <x:f>'Article Register'!R51="OPEN"</x:f>
        <x:v>1</x:v>
      </x:c>
      <x:c r="H140" s="11" t="str">
        <x:f>IF(G140=F140,"PASS","FAIL")</x:f>
        <x:v>PASS</x:v>
      </x:c>
      <x:c r="I140" s="38"/>
    </x:row>
    <x:row r="141">
      <x:c r="B141" s="11" t="str">
        <x:v>AU-0135</x:v>
      </x:c>
      <x:c r="C141" s="11" t="str">
        <x:v>article event allocation</x:v>
      </x:c>
      <x:c r="D141" s="11" t="str">
        <x:v>RA-SA4-08-A3</x:v>
      </x:c>
      <x:c r="E141" s="11" t="b">
        <x:f>'Article Register'!I51=COUNTIFS('Lane Events'!I$7:I$126,"RA-SA4-08-A3")</x:f>
        <x:v>1</x:v>
      </x:c>
      <x:c r="F141" s="29" t="b">
        <x:v>1</x:v>
      </x:c>
      <x:c r="G141" s="11" t="b">
        <x:f>'Article Register'!I51=COUNTIFS('Lane Events'!I$7:I$126,"RA-SA4-08-A3")</x:f>
        <x:v>1</x:v>
      </x:c>
      <x:c r="H141" s="11" t="str">
        <x:f>IF(G141=F141,"PASS","FAIL")</x:f>
        <x:v>PASS</x:v>
      </x:c>
      <x:c r="I141" s="38"/>
    </x:row>
    <x:row r="142">
      <x:c r="B142" s="11" t="str">
        <x:v>AU-0136</x:v>
      </x:c>
      <x:c r="C142" s="11" t="str">
        <x:v>article planning state</x:v>
      </x:c>
      <x:c r="D142" s="11" t="str">
        <x:v>RA-SA4-08-B1</x:v>
      </x:c>
      <x:c r="E142" s="11" t="b">
        <x:f>'Article Register'!Q52="PASS"</x:f>
        <x:v>1</x:v>
      </x:c>
      <x:c r="F142" s="29" t="b">
        <x:v>1</x:v>
      </x:c>
      <x:c r="G142" s="11" t="b">
        <x:f>'Article Register'!Q52="PASS"</x:f>
        <x:v>1</x:v>
      </x:c>
      <x:c r="H142" s="11" t="str">
        <x:f>IF(G142=F142,"PASS","FAIL")</x:f>
        <x:v>PASS</x:v>
      </x:c>
      <x:c r="I142" s="38"/>
    </x:row>
    <x:row r="143">
      <x:c r="B143" s="11" t="str">
        <x:v>AU-0137</x:v>
      </x:c>
      <x:c r="C143" s="11" t="str">
        <x:v>article source remains open</x:v>
      </x:c>
      <x:c r="D143" s="11" t="str">
        <x:v>RA-SA4-08-B1</x:v>
      </x:c>
      <x:c r="E143" s="11" t="b">
        <x:f>'Article Register'!R52="OPEN"</x:f>
        <x:v>1</x:v>
      </x:c>
      <x:c r="F143" s="29" t="b">
        <x:v>1</x:v>
      </x:c>
      <x:c r="G143" s="11" t="b">
        <x:f>'Article Register'!R52="OPEN"</x:f>
        <x:v>1</x:v>
      </x:c>
      <x:c r="H143" s="11" t="str">
        <x:f>IF(G143=F143,"PASS","FAIL")</x:f>
        <x:v>PASS</x:v>
      </x:c>
      <x:c r="I143" s="38"/>
    </x:row>
    <x:row r="144">
      <x:c r="B144" s="11" t="str">
        <x:v>AU-0138</x:v>
      </x:c>
      <x:c r="C144" s="11" t="str">
        <x:v>article event allocation</x:v>
      </x:c>
      <x:c r="D144" s="11" t="str">
        <x:v>RA-SA4-08-B1</x:v>
      </x:c>
      <x:c r="E144" s="11" t="b">
        <x:f>'Article Register'!I52=COUNTIFS('Lane Events'!I$7:I$126,"RA-SA4-08-B1")</x:f>
        <x:v>1</x:v>
      </x:c>
      <x:c r="F144" s="29" t="b">
        <x:v>1</x:v>
      </x:c>
      <x:c r="G144" s="11" t="b">
        <x:f>'Article Register'!I52=COUNTIFS('Lane Events'!I$7:I$126,"RA-SA4-08-B1")</x:f>
        <x:v>1</x:v>
      </x:c>
      <x:c r="H144" s="11" t="str">
        <x:f>IF(G144=F144,"PASS","FAIL")</x:f>
        <x:v>PASS</x:v>
      </x:c>
      <x:c r="I144" s="38"/>
    </x:row>
    <x:row r="145">
      <x:c r="B145" s="11" t="str">
        <x:v>AU-0139</x:v>
      </x:c>
      <x:c r="C145" s="11" t="str">
        <x:v>article planning state</x:v>
      </x:c>
      <x:c r="D145" s="11" t="str">
        <x:v>RA-SA4-08-B2</x:v>
      </x:c>
      <x:c r="E145" s="11" t="b">
        <x:f>'Article Register'!Q53="PASS"</x:f>
        <x:v>1</x:v>
      </x:c>
      <x:c r="F145" s="29" t="b">
        <x:v>1</x:v>
      </x:c>
      <x:c r="G145" s="11" t="b">
        <x:f>'Article Register'!Q53="PASS"</x:f>
        <x:v>1</x:v>
      </x:c>
      <x:c r="H145" s="11" t="str">
        <x:f>IF(G145=F145,"PASS","FAIL")</x:f>
        <x:v>PASS</x:v>
      </x:c>
      <x:c r="I145" s="38"/>
    </x:row>
    <x:row r="146">
      <x:c r="B146" s="11" t="str">
        <x:v>AU-0140</x:v>
      </x:c>
      <x:c r="C146" s="11" t="str">
        <x:v>article source remains open</x:v>
      </x:c>
      <x:c r="D146" s="11" t="str">
        <x:v>RA-SA4-08-B2</x:v>
      </x:c>
      <x:c r="E146" s="11" t="b">
        <x:f>'Article Register'!R53="OPEN"</x:f>
        <x:v>1</x:v>
      </x:c>
      <x:c r="F146" s="29" t="b">
        <x:v>1</x:v>
      </x:c>
      <x:c r="G146" s="11" t="b">
        <x:f>'Article Register'!R53="OPEN"</x:f>
        <x:v>1</x:v>
      </x:c>
      <x:c r="H146" s="11" t="str">
        <x:f>IF(G146=F146,"PASS","FAIL")</x:f>
        <x:v>PASS</x:v>
      </x:c>
      <x:c r="I146" s="38"/>
    </x:row>
    <x:row r="147">
      <x:c r="B147" s="11" t="str">
        <x:v>AU-0141</x:v>
      </x:c>
      <x:c r="C147" s="11" t="str">
        <x:v>article event allocation</x:v>
      </x:c>
      <x:c r="D147" s="11" t="str">
        <x:v>RA-SA4-08-B2</x:v>
      </x:c>
      <x:c r="E147" s="11" t="b">
        <x:f>'Article Register'!I53=COUNTIFS('Lane Events'!I$7:I$126,"RA-SA4-08-B2")</x:f>
        <x:v>1</x:v>
      </x:c>
      <x:c r="F147" s="29" t="b">
        <x:v>1</x:v>
      </x:c>
      <x:c r="G147" s="11" t="b">
        <x:f>'Article Register'!I53=COUNTIFS('Lane Events'!I$7:I$126,"RA-SA4-08-B2")</x:f>
        <x:v>1</x:v>
      </x:c>
      <x:c r="H147" s="11" t="str">
        <x:f>IF(G147=F147,"PASS","FAIL")</x:f>
        <x:v>PASS</x:v>
      </x:c>
      <x:c r="I147" s="38"/>
    </x:row>
    <x:row r="148">
      <x:c r="B148" s="11" t="str">
        <x:v>AU-0142</x:v>
      </x:c>
      <x:c r="C148" s="11" t="str">
        <x:v>article planning state</x:v>
      </x:c>
      <x:c r="D148" s="11" t="str">
        <x:v>RA-SA4-08-B3</x:v>
      </x:c>
      <x:c r="E148" s="11" t="b">
        <x:f>'Article Register'!Q54="PASS"</x:f>
        <x:v>1</x:v>
      </x:c>
      <x:c r="F148" s="29" t="b">
        <x:v>1</x:v>
      </x:c>
      <x:c r="G148" s="11" t="b">
        <x:f>'Article Register'!Q54="PASS"</x:f>
        <x:v>1</x:v>
      </x:c>
      <x:c r="H148" s="11" t="str">
        <x:f>IF(G148=F148,"PASS","FAIL")</x:f>
        <x:v>PASS</x:v>
      </x:c>
      <x:c r="I148" s="38"/>
    </x:row>
    <x:row r="149">
      <x:c r="B149" s="11" t="str">
        <x:v>AU-0143</x:v>
      </x:c>
      <x:c r="C149" s="11" t="str">
        <x:v>article source remains open</x:v>
      </x:c>
      <x:c r="D149" s="11" t="str">
        <x:v>RA-SA4-08-B3</x:v>
      </x:c>
      <x:c r="E149" s="11" t="b">
        <x:f>'Article Register'!R54="OPEN"</x:f>
        <x:v>1</x:v>
      </x:c>
      <x:c r="F149" s="29" t="b">
        <x:v>1</x:v>
      </x:c>
      <x:c r="G149" s="11" t="b">
        <x:f>'Article Register'!R54="OPEN"</x:f>
        <x:v>1</x:v>
      </x:c>
      <x:c r="H149" s="11" t="str">
        <x:f>IF(G149=F149,"PASS","FAIL")</x:f>
        <x:v>PASS</x:v>
      </x:c>
      <x:c r="I149" s="38"/>
    </x:row>
    <x:row r="150">
      <x:c r="B150" s="11" t="str">
        <x:v>AU-0144</x:v>
      </x:c>
      <x:c r="C150" s="11" t="str">
        <x:v>article event allocation</x:v>
      </x:c>
      <x:c r="D150" s="11" t="str">
        <x:v>RA-SA4-08-B3</x:v>
      </x:c>
      <x:c r="E150" s="11" t="b">
        <x:f>'Article Register'!I54=COUNTIFS('Lane Events'!I$7:I$126,"RA-SA4-08-B3")</x:f>
        <x:v>1</x:v>
      </x:c>
      <x:c r="F150" s="29" t="b">
        <x:v>1</x:v>
      </x:c>
      <x:c r="G150" s="11" t="b">
        <x:f>'Article Register'!I54=COUNTIFS('Lane Events'!I$7:I$126,"RA-SA4-08-B3")</x:f>
        <x:v>1</x:v>
      </x:c>
      <x:c r="H150" s="11" t="str">
        <x:f>IF(G150=F150,"PASS","FAIL")</x:f>
        <x:v>PASS</x:v>
      </x:c>
      <x:c r="I150" s="38"/>
    </x:row>
    <x:row r="151">
      <x:c r="B151" s="11" t="str">
        <x:v>AU-0145</x:v>
      </x:c>
      <x:c r="C151" s="11" t="str">
        <x:v>article planning state</x:v>
      </x:c>
      <x:c r="D151" s="11" t="str">
        <x:v>RA-SA5-09-A1</x:v>
      </x:c>
      <x:c r="E151" s="11" t="b">
        <x:f>'Article Register'!Q55="PASS"</x:f>
        <x:v>1</x:v>
      </x:c>
      <x:c r="F151" s="29" t="b">
        <x:v>1</x:v>
      </x:c>
      <x:c r="G151" s="11" t="b">
        <x:f>'Article Register'!Q55="PASS"</x:f>
        <x:v>1</x:v>
      </x:c>
      <x:c r="H151" s="11" t="str">
        <x:f>IF(G151=F151,"PASS","FAIL")</x:f>
        <x:v>PASS</x:v>
      </x:c>
      <x:c r="I151" s="38"/>
    </x:row>
    <x:row r="152">
      <x:c r="B152" s="11" t="str">
        <x:v>AU-0146</x:v>
      </x:c>
      <x:c r="C152" s="11" t="str">
        <x:v>article source remains open</x:v>
      </x:c>
      <x:c r="D152" s="11" t="str">
        <x:v>RA-SA5-09-A1</x:v>
      </x:c>
      <x:c r="E152" s="11" t="b">
        <x:f>'Article Register'!R55="OPEN"</x:f>
        <x:v>1</x:v>
      </x:c>
      <x:c r="F152" s="29" t="b">
        <x:v>1</x:v>
      </x:c>
      <x:c r="G152" s="11" t="b">
        <x:f>'Article Register'!R55="OPEN"</x:f>
        <x:v>1</x:v>
      </x:c>
      <x:c r="H152" s="11" t="str">
        <x:f>IF(G152=F152,"PASS","FAIL")</x:f>
        <x:v>PASS</x:v>
      </x:c>
      <x:c r="I152" s="38"/>
    </x:row>
    <x:row r="153">
      <x:c r="B153" s="11" t="str">
        <x:v>AU-0147</x:v>
      </x:c>
      <x:c r="C153" s="11" t="str">
        <x:v>article event allocation</x:v>
      </x:c>
      <x:c r="D153" s="11" t="str">
        <x:v>RA-SA5-09-A1</x:v>
      </x:c>
      <x:c r="E153" s="11" t="b">
        <x:f>'Article Register'!I55=COUNTIFS('Lane Events'!I$7:I$126,"RA-SA5-09-A1")</x:f>
        <x:v>1</x:v>
      </x:c>
      <x:c r="F153" s="29" t="b">
        <x:v>1</x:v>
      </x:c>
      <x:c r="G153" s="11" t="b">
        <x:f>'Article Register'!I55=COUNTIFS('Lane Events'!I$7:I$126,"RA-SA5-09-A1")</x:f>
        <x:v>1</x:v>
      </x:c>
      <x:c r="H153" s="11" t="str">
        <x:f>IF(G153=F153,"PASS","FAIL")</x:f>
        <x:v>PASS</x:v>
      </x:c>
      <x:c r="I153" s="38"/>
    </x:row>
    <x:row r="154">
      <x:c r="B154" s="11" t="str">
        <x:v>AU-0148</x:v>
      </x:c>
      <x:c r="C154" s="11" t="str">
        <x:v>article planning state</x:v>
      </x:c>
      <x:c r="D154" s="11" t="str">
        <x:v>RA-SA5-09-A2</x:v>
      </x:c>
      <x:c r="E154" s="11" t="b">
        <x:f>'Article Register'!Q56="PASS"</x:f>
        <x:v>1</x:v>
      </x:c>
      <x:c r="F154" s="29" t="b">
        <x:v>1</x:v>
      </x:c>
      <x:c r="G154" s="11" t="b">
        <x:f>'Article Register'!Q56="PASS"</x:f>
        <x:v>1</x:v>
      </x:c>
      <x:c r="H154" s="11" t="str">
        <x:f>IF(G154=F154,"PASS","FAIL")</x:f>
        <x:v>PASS</x:v>
      </x:c>
      <x:c r="I154" s="38"/>
    </x:row>
    <x:row r="155">
      <x:c r="B155" s="11" t="str">
        <x:v>AU-0149</x:v>
      </x:c>
      <x:c r="C155" s="11" t="str">
        <x:v>article source remains open</x:v>
      </x:c>
      <x:c r="D155" s="11" t="str">
        <x:v>RA-SA5-09-A2</x:v>
      </x:c>
      <x:c r="E155" s="11" t="b">
        <x:f>'Article Register'!R56="OPEN"</x:f>
        <x:v>1</x:v>
      </x:c>
      <x:c r="F155" s="29" t="b">
        <x:v>1</x:v>
      </x:c>
      <x:c r="G155" s="11" t="b">
        <x:f>'Article Register'!R56="OPEN"</x:f>
        <x:v>1</x:v>
      </x:c>
      <x:c r="H155" s="11" t="str">
        <x:f>IF(G155=F155,"PASS","FAIL")</x:f>
        <x:v>PASS</x:v>
      </x:c>
      <x:c r="I155" s="38"/>
    </x:row>
    <x:row r="156">
      <x:c r="B156" s="11" t="str">
        <x:v>AU-0150</x:v>
      </x:c>
      <x:c r="C156" s="11" t="str">
        <x:v>article event allocation</x:v>
      </x:c>
      <x:c r="D156" s="11" t="str">
        <x:v>RA-SA5-09-A2</x:v>
      </x:c>
      <x:c r="E156" s="11" t="b">
        <x:f>'Article Register'!I56=COUNTIFS('Lane Events'!I$7:I$126,"RA-SA5-09-A2")</x:f>
        <x:v>1</x:v>
      </x:c>
      <x:c r="F156" s="29" t="b">
        <x:v>1</x:v>
      </x:c>
      <x:c r="G156" s="11" t="b">
        <x:f>'Article Register'!I56=COUNTIFS('Lane Events'!I$7:I$126,"RA-SA5-09-A2")</x:f>
        <x:v>1</x:v>
      </x:c>
      <x:c r="H156" s="11" t="str">
        <x:f>IF(G156=F156,"PASS","FAIL")</x:f>
        <x:v>PASS</x:v>
      </x:c>
      <x:c r="I156" s="38"/>
    </x:row>
    <x:row r="157">
      <x:c r="B157" s="11" t="str">
        <x:v>AU-0151</x:v>
      </x:c>
      <x:c r="C157" s="11" t="str">
        <x:v>article planning state</x:v>
      </x:c>
      <x:c r="D157" s="11" t="str">
        <x:v>RA-SA5-09-A3</x:v>
      </x:c>
      <x:c r="E157" s="11" t="b">
        <x:f>'Article Register'!Q57="PASS"</x:f>
        <x:v>1</x:v>
      </x:c>
      <x:c r="F157" s="29" t="b">
        <x:v>1</x:v>
      </x:c>
      <x:c r="G157" s="11" t="b">
        <x:f>'Article Register'!Q57="PASS"</x:f>
        <x:v>1</x:v>
      </x:c>
      <x:c r="H157" s="11" t="str">
        <x:f>IF(G157=F157,"PASS","FAIL")</x:f>
        <x:v>PASS</x:v>
      </x:c>
      <x:c r="I157" s="38"/>
    </x:row>
    <x:row r="158">
      <x:c r="B158" s="11" t="str">
        <x:v>AU-0152</x:v>
      </x:c>
      <x:c r="C158" s="11" t="str">
        <x:v>article source remains open</x:v>
      </x:c>
      <x:c r="D158" s="11" t="str">
        <x:v>RA-SA5-09-A3</x:v>
      </x:c>
      <x:c r="E158" s="11" t="b">
        <x:f>'Article Register'!R57="OPEN"</x:f>
        <x:v>1</x:v>
      </x:c>
      <x:c r="F158" s="29" t="b">
        <x:v>1</x:v>
      </x:c>
      <x:c r="G158" s="11" t="b">
        <x:f>'Article Register'!R57="OPEN"</x:f>
        <x:v>1</x:v>
      </x:c>
      <x:c r="H158" s="11" t="str">
        <x:f>IF(G158=F158,"PASS","FAIL")</x:f>
        <x:v>PASS</x:v>
      </x:c>
      <x:c r="I158" s="38"/>
    </x:row>
    <x:row r="159">
      <x:c r="B159" s="11" t="str">
        <x:v>AU-0153</x:v>
      </x:c>
      <x:c r="C159" s="11" t="str">
        <x:v>article event allocation</x:v>
      </x:c>
      <x:c r="D159" s="11" t="str">
        <x:v>RA-SA5-09-A3</x:v>
      </x:c>
      <x:c r="E159" s="11" t="b">
        <x:f>'Article Register'!I57=COUNTIFS('Lane Events'!I$7:I$126,"RA-SA5-09-A3")</x:f>
        <x:v>1</x:v>
      </x:c>
      <x:c r="F159" s="29" t="b">
        <x:v>1</x:v>
      </x:c>
      <x:c r="G159" s="11" t="b">
        <x:f>'Article Register'!I57=COUNTIFS('Lane Events'!I$7:I$126,"RA-SA5-09-A3")</x:f>
        <x:v>1</x:v>
      </x:c>
      <x:c r="H159" s="11" t="str">
        <x:f>IF(G159=F159,"PASS","FAIL")</x:f>
        <x:v>PASS</x:v>
      </x:c>
      <x:c r="I159" s="38"/>
    </x:row>
    <x:row r="160">
      <x:c r="B160" s="11" t="str">
        <x:v>AU-0154</x:v>
      </x:c>
      <x:c r="C160" s="11" t="str">
        <x:v>article planning state</x:v>
      </x:c>
      <x:c r="D160" s="11" t="str">
        <x:v>RA-SA5-09-B1</x:v>
      </x:c>
      <x:c r="E160" s="11" t="b">
        <x:f>'Article Register'!Q58="PASS"</x:f>
        <x:v>1</x:v>
      </x:c>
      <x:c r="F160" s="29" t="b">
        <x:v>1</x:v>
      </x:c>
      <x:c r="G160" s="11" t="b">
        <x:f>'Article Register'!Q58="PASS"</x:f>
        <x:v>1</x:v>
      </x:c>
      <x:c r="H160" s="11" t="str">
        <x:f>IF(G160=F160,"PASS","FAIL")</x:f>
        <x:v>PASS</x:v>
      </x:c>
      <x:c r="I160" s="38"/>
    </x:row>
    <x:row r="161">
      <x:c r="B161" s="11" t="str">
        <x:v>AU-0155</x:v>
      </x:c>
      <x:c r="C161" s="11" t="str">
        <x:v>article source remains open</x:v>
      </x:c>
      <x:c r="D161" s="11" t="str">
        <x:v>RA-SA5-09-B1</x:v>
      </x:c>
      <x:c r="E161" s="11" t="b">
        <x:f>'Article Register'!R58="OPEN"</x:f>
        <x:v>1</x:v>
      </x:c>
      <x:c r="F161" s="29" t="b">
        <x:v>1</x:v>
      </x:c>
      <x:c r="G161" s="11" t="b">
        <x:f>'Article Register'!R58="OPEN"</x:f>
        <x:v>1</x:v>
      </x:c>
      <x:c r="H161" s="11" t="str">
        <x:f>IF(G161=F161,"PASS","FAIL")</x:f>
        <x:v>PASS</x:v>
      </x:c>
      <x:c r="I161" s="38"/>
    </x:row>
    <x:row r="162">
      <x:c r="B162" s="11" t="str">
        <x:v>AU-0156</x:v>
      </x:c>
      <x:c r="C162" s="11" t="str">
        <x:v>article event allocation</x:v>
      </x:c>
      <x:c r="D162" s="11" t="str">
        <x:v>RA-SA5-09-B1</x:v>
      </x:c>
      <x:c r="E162" s="11" t="b">
        <x:f>'Article Register'!I58=COUNTIFS('Lane Events'!I$7:I$126,"RA-SA5-09-B1")</x:f>
        <x:v>1</x:v>
      </x:c>
      <x:c r="F162" s="29" t="b">
        <x:v>1</x:v>
      </x:c>
      <x:c r="G162" s="11" t="b">
        <x:f>'Article Register'!I58=COUNTIFS('Lane Events'!I$7:I$126,"RA-SA5-09-B1")</x:f>
        <x:v>1</x:v>
      </x:c>
      <x:c r="H162" s="11" t="str">
        <x:f>IF(G162=F162,"PASS","FAIL")</x:f>
        <x:v>PASS</x:v>
      </x:c>
      <x:c r="I162" s="38"/>
    </x:row>
    <x:row r="163">
      <x:c r="B163" s="11" t="str">
        <x:v>AU-0157</x:v>
      </x:c>
      <x:c r="C163" s="11" t="str">
        <x:v>article planning state</x:v>
      </x:c>
      <x:c r="D163" s="11" t="str">
        <x:v>RA-SA5-09-B2</x:v>
      </x:c>
      <x:c r="E163" s="11" t="b">
        <x:f>'Article Register'!Q59="PASS"</x:f>
        <x:v>1</x:v>
      </x:c>
      <x:c r="F163" s="29" t="b">
        <x:v>1</x:v>
      </x:c>
      <x:c r="G163" s="11" t="b">
        <x:f>'Article Register'!Q59="PASS"</x:f>
        <x:v>1</x:v>
      </x:c>
      <x:c r="H163" s="11" t="str">
        <x:f>IF(G163=F163,"PASS","FAIL")</x:f>
        <x:v>PASS</x:v>
      </x:c>
      <x:c r="I163" s="38"/>
    </x:row>
    <x:row r="164">
      <x:c r="B164" s="11" t="str">
        <x:v>AU-0158</x:v>
      </x:c>
      <x:c r="C164" s="11" t="str">
        <x:v>article source remains open</x:v>
      </x:c>
      <x:c r="D164" s="11" t="str">
        <x:v>RA-SA5-09-B2</x:v>
      </x:c>
      <x:c r="E164" s="11" t="b">
        <x:f>'Article Register'!R59="OPEN"</x:f>
        <x:v>1</x:v>
      </x:c>
      <x:c r="F164" s="29" t="b">
        <x:v>1</x:v>
      </x:c>
      <x:c r="G164" s="11" t="b">
        <x:f>'Article Register'!R59="OPEN"</x:f>
        <x:v>1</x:v>
      </x:c>
      <x:c r="H164" s="11" t="str">
        <x:f>IF(G164=F164,"PASS","FAIL")</x:f>
        <x:v>PASS</x:v>
      </x:c>
      <x:c r="I164" s="38"/>
    </x:row>
    <x:row r="165">
      <x:c r="B165" s="11" t="str">
        <x:v>AU-0159</x:v>
      </x:c>
      <x:c r="C165" s="11" t="str">
        <x:v>article event allocation</x:v>
      </x:c>
      <x:c r="D165" s="11" t="str">
        <x:v>RA-SA5-09-B2</x:v>
      </x:c>
      <x:c r="E165" s="11" t="b">
        <x:f>'Article Register'!I59=COUNTIFS('Lane Events'!I$7:I$126,"RA-SA5-09-B2")</x:f>
        <x:v>1</x:v>
      </x:c>
      <x:c r="F165" s="29" t="b">
        <x:v>1</x:v>
      </x:c>
      <x:c r="G165" s="11" t="b">
        <x:f>'Article Register'!I59=COUNTIFS('Lane Events'!I$7:I$126,"RA-SA5-09-B2")</x:f>
        <x:v>1</x:v>
      </x:c>
      <x:c r="H165" s="11" t="str">
        <x:f>IF(G165=F165,"PASS","FAIL")</x:f>
        <x:v>PASS</x:v>
      </x:c>
      <x:c r="I165" s="38"/>
    </x:row>
    <x:row r="166">
      <x:c r="B166" s="11" t="str">
        <x:v>AU-0160</x:v>
      </x:c>
      <x:c r="C166" s="11" t="str">
        <x:v>article planning state</x:v>
      </x:c>
      <x:c r="D166" s="11" t="str">
        <x:v>RA-SA5-09-B3</x:v>
      </x:c>
      <x:c r="E166" s="11" t="b">
        <x:f>'Article Register'!Q60="PASS"</x:f>
        <x:v>1</x:v>
      </x:c>
      <x:c r="F166" s="29" t="b">
        <x:v>1</x:v>
      </x:c>
      <x:c r="G166" s="11" t="b">
        <x:f>'Article Register'!Q60="PASS"</x:f>
        <x:v>1</x:v>
      </x:c>
      <x:c r="H166" s="11" t="str">
        <x:f>IF(G166=F166,"PASS","FAIL")</x:f>
        <x:v>PASS</x:v>
      </x:c>
      <x:c r="I166" s="38"/>
    </x:row>
    <x:row r="167">
      <x:c r="B167" s="11" t="str">
        <x:v>AU-0161</x:v>
      </x:c>
      <x:c r="C167" s="11" t="str">
        <x:v>article source remains open</x:v>
      </x:c>
      <x:c r="D167" s="11" t="str">
        <x:v>RA-SA5-09-B3</x:v>
      </x:c>
      <x:c r="E167" s="11" t="b">
        <x:f>'Article Register'!R60="OPEN"</x:f>
        <x:v>1</x:v>
      </x:c>
      <x:c r="F167" s="29" t="b">
        <x:v>1</x:v>
      </x:c>
      <x:c r="G167" s="11" t="b">
        <x:f>'Article Register'!R60="OPEN"</x:f>
        <x:v>1</x:v>
      </x:c>
      <x:c r="H167" s="11" t="str">
        <x:f>IF(G167=F167,"PASS","FAIL")</x:f>
        <x:v>PASS</x:v>
      </x:c>
      <x:c r="I167" s="38"/>
    </x:row>
    <x:row r="168">
      <x:c r="B168" s="11" t="str">
        <x:v>AU-0162</x:v>
      </x:c>
      <x:c r="C168" s="11" t="str">
        <x:v>article event allocation</x:v>
      </x:c>
      <x:c r="D168" s="11" t="str">
        <x:v>RA-SA5-09-B3</x:v>
      </x:c>
      <x:c r="E168" s="11" t="b">
        <x:f>'Article Register'!I60=COUNTIFS('Lane Events'!I$7:I$126,"RA-SA5-09-B3")</x:f>
        <x:v>1</x:v>
      </x:c>
      <x:c r="F168" s="29" t="b">
        <x:v>1</x:v>
      </x:c>
      <x:c r="G168" s="11" t="b">
        <x:f>'Article Register'!I60=COUNTIFS('Lane Events'!I$7:I$126,"RA-SA5-09-B3")</x:f>
        <x:v>1</x:v>
      </x:c>
      <x:c r="H168" s="11" t="str">
        <x:f>IF(G168=F168,"PASS","FAIL")</x:f>
        <x:v>PASS</x:v>
      </x:c>
      <x:c r="I168" s="38"/>
    </x:row>
    <x:row r="169">
      <x:c r="B169" s="11" t="str">
        <x:v>AU-0163</x:v>
      </x:c>
      <x:c r="C169" s="11" t="str">
        <x:v>article planning state</x:v>
      </x:c>
      <x:c r="D169" s="11" t="str">
        <x:v>RA-SA5-10-A1</x:v>
      </x:c>
      <x:c r="E169" s="11" t="b">
        <x:f>'Article Register'!Q61="PASS"</x:f>
        <x:v>1</x:v>
      </x:c>
      <x:c r="F169" s="29" t="b">
        <x:v>1</x:v>
      </x:c>
      <x:c r="G169" s="11" t="b">
        <x:f>'Article Register'!Q61="PASS"</x:f>
        <x:v>1</x:v>
      </x:c>
      <x:c r="H169" s="11" t="str">
        <x:f>IF(G169=F169,"PASS","FAIL")</x:f>
        <x:v>PASS</x:v>
      </x:c>
      <x:c r="I169" s="38"/>
    </x:row>
    <x:row r="170">
      <x:c r="B170" s="11" t="str">
        <x:v>AU-0164</x:v>
      </x:c>
      <x:c r="C170" s="11" t="str">
        <x:v>article source remains open</x:v>
      </x:c>
      <x:c r="D170" s="11" t="str">
        <x:v>RA-SA5-10-A1</x:v>
      </x:c>
      <x:c r="E170" s="11" t="b">
        <x:f>'Article Register'!R61="OPEN"</x:f>
        <x:v>1</x:v>
      </x:c>
      <x:c r="F170" s="29" t="b">
        <x:v>1</x:v>
      </x:c>
      <x:c r="G170" s="11" t="b">
        <x:f>'Article Register'!R61="OPEN"</x:f>
        <x:v>1</x:v>
      </x:c>
      <x:c r="H170" s="11" t="str">
        <x:f>IF(G170=F170,"PASS","FAIL")</x:f>
        <x:v>PASS</x:v>
      </x:c>
      <x:c r="I170" s="38"/>
    </x:row>
    <x:row r="171">
      <x:c r="B171" s="11" t="str">
        <x:v>AU-0165</x:v>
      </x:c>
      <x:c r="C171" s="11" t="str">
        <x:v>article event allocation</x:v>
      </x:c>
      <x:c r="D171" s="11" t="str">
        <x:v>RA-SA5-10-A1</x:v>
      </x:c>
      <x:c r="E171" s="11" t="b">
        <x:f>'Article Register'!I61=COUNTIFS('Lane Events'!I$7:I$126,"RA-SA5-10-A1")</x:f>
        <x:v>1</x:v>
      </x:c>
      <x:c r="F171" s="29" t="b">
        <x:v>1</x:v>
      </x:c>
      <x:c r="G171" s="11" t="b">
        <x:f>'Article Register'!I61=COUNTIFS('Lane Events'!I$7:I$126,"RA-SA5-10-A1")</x:f>
        <x:v>1</x:v>
      </x:c>
      <x:c r="H171" s="11" t="str">
        <x:f>IF(G171=F171,"PASS","FAIL")</x:f>
        <x:v>PASS</x:v>
      </x:c>
      <x:c r="I171" s="38"/>
    </x:row>
    <x:row r="172">
      <x:c r="B172" s="11" t="str">
        <x:v>AU-0166</x:v>
      </x:c>
      <x:c r="C172" s="11" t="str">
        <x:v>article planning state</x:v>
      </x:c>
      <x:c r="D172" s="11" t="str">
        <x:v>RA-SA5-10-A2</x:v>
      </x:c>
      <x:c r="E172" s="11" t="b">
        <x:f>'Article Register'!Q62="PASS"</x:f>
        <x:v>1</x:v>
      </x:c>
      <x:c r="F172" s="29" t="b">
        <x:v>1</x:v>
      </x:c>
      <x:c r="G172" s="11" t="b">
        <x:f>'Article Register'!Q62="PASS"</x:f>
        <x:v>1</x:v>
      </x:c>
      <x:c r="H172" s="11" t="str">
        <x:f>IF(G172=F172,"PASS","FAIL")</x:f>
        <x:v>PASS</x:v>
      </x:c>
      <x:c r="I172" s="38"/>
    </x:row>
    <x:row r="173">
      <x:c r="B173" s="11" t="str">
        <x:v>AU-0167</x:v>
      </x:c>
      <x:c r="C173" s="11" t="str">
        <x:v>article source remains open</x:v>
      </x:c>
      <x:c r="D173" s="11" t="str">
        <x:v>RA-SA5-10-A2</x:v>
      </x:c>
      <x:c r="E173" s="11" t="b">
        <x:f>'Article Register'!R62="OPEN"</x:f>
        <x:v>1</x:v>
      </x:c>
      <x:c r="F173" s="29" t="b">
        <x:v>1</x:v>
      </x:c>
      <x:c r="G173" s="11" t="b">
        <x:f>'Article Register'!R62="OPEN"</x:f>
        <x:v>1</x:v>
      </x:c>
      <x:c r="H173" s="11" t="str">
        <x:f>IF(G173=F173,"PASS","FAIL")</x:f>
        <x:v>PASS</x:v>
      </x:c>
      <x:c r="I173" s="38"/>
    </x:row>
    <x:row r="174">
      <x:c r="B174" s="11" t="str">
        <x:v>AU-0168</x:v>
      </x:c>
      <x:c r="C174" s="11" t="str">
        <x:v>article event allocation</x:v>
      </x:c>
      <x:c r="D174" s="11" t="str">
        <x:v>RA-SA5-10-A2</x:v>
      </x:c>
      <x:c r="E174" s="11" t="b">
        <x:f>'Article Register'!I62=COUNTIFS('Lane Events'!I$7:I$126,"RA-SA5-10-A2")</x:f>
        <x:v>1</x:v>
      </x:c>
      <x:c r="F174" s="29" t="b">
        <x:v>1</x:v>
      </x:c>
      <x:c r="G174" s="11" t="b">
        <x:f>'Article Register'!I62=COUNTIFS('Lane Events'!I$7:I$126,"RA-SA5-10-A2")</x:f>
        <x:v>1</x:v>
      </x:c>
      <x:c r="H174" s="11" t="str">
        <x:f>IF(G174=F174,"PASS","FAIL")</x:f>
        <x:v>PASS</x:v>
      </x:c>
      <x:c r="I174" s="38"/>
    </x:row>
    <x:row r="175">
      <x:c r="B175" s="11" t="str">
        <x:v>AU-0169</x:v>
      </x:c>
      <x:c r="C175" s="11" t="str">
        <x:v>article planning state</x:v>
      </x:c>
      <x:c r="D175" s="11" t="str">
        <x:v>RA-SA5-10-A3</x:v>
      </x:c>
      <x:c r="E175" s="11" t="b">
        <x:f>'Article Register'!Q63="PASS"</x:f>
        <x:v>1</x:v>
      </x:c>
      <x:c r="F175" s="29" t="b">
        <x:v>1</x:v>
      </x:c>
      <x:c r="G175" s="11" t="b">
        <x:f>'Article Register'!Q63="PASS"</x:f>
        <x:v>1</x:v>
      </x:c>
      <x:c r="H175" s="11" t="str">
        <x:f>IF(G175=F175,"PASS","FAIL")</x:f>
        <x:v>PASS</x:v>
      </x:c>
      <x:c r="I175" s="38"/>
    </x:row>
    <x:row r="176">
      <x:c r="B176" s="11" t="str">
        <x:v>AU-0170</x:v>
      </x:c>
      <x:c r="C176" s="11" t="str">
        <x:v>article source remains open</x:v>
      </x:c>
      <x:c r="D176" s="11" t="str">
        <x:v>RA-SA5-10-A3</x:v>
      </x:c>
      <x:c r="E176" s="11" t="b">
        <x:f>'Article Register'!R63="OPEN"</x:f>
        <x:v>1</x:v>
      </x:c>
      <x:c r="F176" s="29" t="b">
        <x:v>1</x:v>
      </x:c>
      <x:c r="G176" s="11" t="b">
        <x:f>'Article Register'!R63="OPEN"</x:f>
        <x:v>1</x:v>
      </x:c>
      <x:c r="H176" s="11" t="str">
        <x:f>IF(G176=F176,"PASS","FAIL")</x:f>
        <x:v>PASS</x:v>
      </x:c>
      <x:c r="I176" s="38"/>
    </x:row>
    <x:row r="177">
      <x:c r="B177" s="11" t="str">
        <x:v>AU-0171</x:v>
      </x:c>
      <x:c r="C177" s="11" t="str">
        <x:v>article event allocation</x:v>
      </x:c>
      <x:c r="D177" s="11" t="str">
        <x:v>RA-SA5-10-A3</x:v>
      </x:c>
      <x:c r="E177" s="11" t="b">
        <x:f>'Article Register'!I63=COUNTIFS('Lane Events'!I$7:I$126,"RA-SA5-10-A3")</x:f>
        <x:v>1</x:v>
      </x:c>
      <x:c r="F177" s="29" t="b">
        <x:v>1</x:v>
      </x:c>
      <x:c r="G177" s="11" t="b">
        <x:f>'Article Register'!I63=COUNTIFS('Lane Events'!I$7:I$126,"RA-SA5-10-A3")</x:f>
        <x:v>1</x:v>
      </x:c>
      <x:c r="H177" s="11" t="str">
        <x:f>IF(G177=F177,"PASS","FAIL")</x:f>
        <x:v>PASS</x:v>
      </x:c>
      <x:c r="I177" s="38"/>
    </x:row>
    <x:row r="178">
      <x:c r="B178" s="11" t="str">
        <x:v>AU-0172</x:v>
      </x:c>
      <x:c r="C178" s="11" t="str">
        <x:v>article planning state</x:v>
      </x:c>
      <x:c r="D178" s="11" t="str">
        <x:v>RA-SA5-10-B1</x:v>
      </x:c>
      <x:c r="E178" s="11" t="b">
        <x:f>'Article Register'!Q64="PASS"</x:f>
        <x:v>1</x:v>
      </x:c>
      <x:c r="F178" s="29" t="b">
        <x:v>1</x:v>
      </x:c>
      <x:c r="G178" s="11" t="b">
        <x:f>'Article Register'!Q64="PASS"</x:f>
        <x:v>1</x:v>
      </x:c>
      <x:c r="H178" s="11" t="str">
        <x:f>IF(G178=F178,"PASS","FAIL")</x:f>
        <x:v>PASS</x:v>
      </x:c>
      <x:c r="I178" s="38"/>
    </x:row>
    <x:row r="179">
      <x:c r="B179" s="11" t="str">
        <x:v>AU-0173</x:v>
      </x:c>
      <x:c r="C179" s="11" t="str">
        <x:v>article source remains open</x:v>
      </x:c>
      <x:c r="D179" s="11" t="str">
        <x:v>RA-SA5-10-B1</x:v>
      </x:c>
      <x:c r="E179" s="11" t="b">
        <x:f>'Article Register'!R64="OPEN"</x:f>
        <x:v>1</x:v>
      </x:c>
      <x:c r="F179" s="29" t="b">
        <x:v>1</x:v>
      </x:c>
      <x:c r="G179" s="11" t="b">
        <x:f>'Article Register'!R64="OPEN"</x:f>
        <x:v>1</x:v>
      </x:c>
      <x:c r="H179" s="11" t="str">
        <x:f>IF(G179=F179,"PASS","FAIL")</x:f>
        <x:v>PASS</x:v>
      </x:c>
      <x:c r="I179" s="38"/>
    </x:row>
    <x:row r="180">
      <x:c r="B180" s="11" t="str">
        <x:v>AU-0174</x:v>
      </x:c>
      <x:c r="C180" s="11" t="str">
        <x:v>article event allocation</x:v>
      </x:c>
      <x:c r="D180" s="11" t="str">
        <x:v>RA-SA5-10-B1</x:v>
      </x:c>
      <x:c r="E180" s="11" t="b">
        <x:f>'Article Register'!I64=COUNTIFS('Lane Events'!I$7:I$126,"RA-SA5-10-B1")</x:f>
        <x:v>1</x:v>
      </x:c>
      <x:c r="F180" s="29" t="b">
        <x:v>1</x:v>
      </x:c>
      <x:c r="G180" s="11" t="b">
        <x:f>'Article Register'!I64=COUNTIFS('Lane Events'!I$7:I$126,"RA-SA5-10-B1")</x:f>
        <x:v>1</x:v>
      </x:c>
      <x:c r="H180" s="11" t="str">
        <x:f>IF(G180=F180,"PASS","FAIL")</x:f>
        <x:v>PASS</x:v>
      </x:c>
      <x:c r="I180" s="38"/>
    </x:row>
    <x:row r="181">
      <x:c r="B181" s="11" t="str">
        <x:v>AU-0175</x:v>
      </x:c>
      <x:c r="C181" s="11" t="str">
        <x:v>article planning state</x:v>
      </x:c>
      <x:c r="D181" s="11" t="str">
        <x:v>RA-SA5-10-B2</x:v>
      </x:c>
      <x:c r="E181" s="11" t="b">
        <x:f>'Article Register'!Q65="PASS"</x:f>
        <x:v>1</x:v>
      </x:c>
      <x:c r="F181" s="29" t="b">
        <x:v>1</x:v>
      </x:c>
      <x:c r="G181" s="11" t="b">
        <x:f>'Article Register'!Q65="PASS"</x:f>
        <x:v>1</x:v>
      </x:c>
      <x:c r="H181" s="11" t="str">
        <x:f>IF(G181=F181,"PASS","FAIL")</x:f>
        <x:v>PASS</x:v>
      </x:c>
      <x:c r="I181" s="38"/>
    </x:row>
    <x:row r="182">
      <x:c r="B182" s="11" t="str">
        <x:v>AU-0176</x:v>
      </x:c>
      <x:c r="C182" s="11" t="str">
        <x:v>article source remains open</x:v>
      </x:c>
      <x:c r="D182" s="11" t="str">
        <x:v>RA-SA5-10-B2</x:v>
      </x:c>
      <x:c r="E182" s="11" t="b">
        <x:f>'Article Register'!R65="OPEN"</x:f>
        <x:v>1</x:v>
      </x:c>
      <x:c r="F182" s="29" t="b">
        <x:v>1</x:v>
      </x:c>
      <x:c r="G182" s="11" t="b">
        <x:f>'Article Register'!R65="OPEN"</x:f>
        <x:v>1</x:v>
      </x:c>
      <x:c r="H182" s="11" t="str">
        <x:f>IF(G182=F182,"PASS","FAIL")</x:f>
        <x:v>PASS</x:v>
      </x:c>
      <x:c r="I182" s="38"/>
    </x:row>
    <x:row r="183">
      <x:c r="B183" s="11" t="str">
        <x:v>AU-0177</x:v>
      </x:c>
      <x:c r="C183" s="11" t="str">
        <x:v>article event allocation</x:v>
      </x:c>
      <x:c r="D183" s="11" t="str">
        <x:v>RA-SA5-10-B2</x:v>
      </x:c>
      <x:c r="E183" s="11" t="b">
        <x:f>'Article Register'!I65=COUNTIFS('Lane Events'!I$7:I$126,"RA-SA5-10-B2")</x:f>
        <x:v>1</x:v>
      </x:c>
      <x:c r="F183" s="29" t="b">
        <x:v>1</x:v>
      </x:c>
      <x:c r="G183" s="11" t="b">
        <x:f>'Article Register'!I65=COUNTIFS('Lane Events'!I$7:I$126,"RA-SA5-10-B2")</x:f>
        <x:v>1</x:v>
      </x:c>
      <x:c r="H183" s="11" t="str">
        <x:f>IF(G183=F183,"PASS","FAIL")</x:f>
        <x:v>PASS</x:v>
      </x:c>
      <x:c r="I183" s="38"/>
    </x:row>
    <x:row r="184">
      <x:c r="B184" s="11" t="str">
        <x:v>AU-0178</x:v>
      </x:c>
      <x:c r="C184" s="11" t="str">
        <x:v>article planning state</x:v>
      </x:c>
      <x:c r="D184" s="11" t="str">
        <x:v>RA-SA5-10-B3</x:v>
      </x:c>
      <x:c r="E184" s="11" t="b">
        <x:f>'Article Register'!Q66="PASS"</x:f>
        <x:v>1</x:v>
      </x:c>
      <x:c r="F184" s="29" t="b">
        <x:v>1</x:v>
      </x:c>
      <x:c r="G184" s="11" t="b">
        <x:f>'Article Register'!Q66="PASS"</x:f>
        <x:v>1</x:v>
      </x:c>
      <x:c r="H184" s="11" t="str">
        <x:f>IF(G184=F184,"PASS","FAIL")</x:f>
        <x:v>PASS</x:v>
      </x:c>
      <x:c r="I184" s="38"/>
    </x:row>
    <x:row r="185">
      <x:c r="B185" s="11" t="str">
        <x:v>AU-0179</x:v>
      </x:c>
      <x:c r="C185" s="11" t="str">
        <x:v>article source remains open</x:v>
      </x:c>
      <x:c r="D185" s="11" t="str">
        <x:v>RA-SA5-10-B3</x:v>
      </x:c>
      <x:c r="E185" s="11" t="b">
        <x:f>'Article Register'!R66="OPEN"</x:f>
        <x:v>1</x:v>
      </x:c>
      <x:c r="F185" s="29" t="b">
        <x:v>1</x:v>
      </x:c>
      <x:c r="G185" s="11" t="b">
        <x:f>'Article Register'!R66="OPEN"</x:f>
        <x:v>1</x:v>
      </x:c>
      <x:c r="H185" s="11" t="str">
        <x:f>IF(G185=F185,"PASS","FAIL")</x:f>
        <x:v>PASS</x:v>
      </x:c>
      <x:c r="I185" s="38"/>
    </x:row>
    <x:row r="186">
      <x:c r="B186" s="11" t="str">
        <x:v>AU-0180</x:v>
      </x:c>
      <x:c r="C186" s="11" t="str">
        <x:v>article event allocation</x:v>
      </x:c>
      <x:c r="D186" s="11" t="str">
        <x:v>RA-SA5-10-B3</x:v>
      </x:c>
      <x:c r="E186" s="11" t="b">
        <x:f>'Article Register'!I66=COUNTIFS('Lane Events'!I$7:I$126,"RA-SA5-10-B3")</x:f>
        <x:v>1</x:v>
      </x:c>
      <x:c r="F186" s="29" t="b">
        <x:v>1</x:v>
      </x:c>
      <x:c r="G186" s="11" t="b">
        <x:f>'Article Register'!I66=COUNTIFS('Lane Events'!I$7:I$126,"RA-SA5-10-B3")</x:f>
        <x:v>1</x:v>
      </x:c>
      <x:c r="H186" s="11" t="str">
        <x:f>IF(G186=F186,"PASS","FAIL")</x:f>
        <x:v>PASS</x:v>
      </x:c>
      <x:c r="I186" s="38"/>
    </x:row>
    <x:row r="187">
      <x:c r="B187" s="11" t="str">
        <x:v>AU-0181</x:v>
      </x:c>
      <x:c r="C187" s="11" t="str">
        <x:v>article planning state</x:v>
      </x:c>
      <x:c r="D187" s="11" t="str">
        <x:v>RA-SA6-11-A1</x:v>
      </x:c>
      <x:c r="E187" s="11" t="b">
        <x:f>'Article Register'!Q67="PASS"</x:f>
        <x:v>1</x:v>
      </x:c>
      <x:c r="F187" s="29" t="b">
        <x:v>1</x:v>
      </x:c>
      <x:c r="G187" s="11" t="b">
        <x:f>'Article Register'!Q67="PASS"</x:f>
        <x:v>1</x:v>
      </x:c>
      <x:c r="H187" s="11" t="str">
        <x:f>IF(G187=F187,"PASS","FAIL")</x:f>
        <x:v>PASS</x:v>
      </x:c>
      <x:c r="I187" s="38"/>
    </x:row>
    <x:row r="188">
      <x:c r="B188" s="11" t="str">
        <x:v>AU-0182</x:v>
      </x:c>
      <x:c r="C188" s="11" t="str">
        <x:v>article source remains open</x:v>
      </x:c>
      <x:c r="D188" s="11" t="str">
        <x:v>RA-SA6-11-A1</x:v>
      </x:c>
      <x:c r="E188" s="11" t="b">
        <x:f>'Article Register'!R67="OPEN"</x:f>
        <x:v>1</x:v>
      </x:c>
      <x:c r="F188" s="29" t="b">
        <x:v>1</x:v>
      </x:c>
      <x:c r="G188" s="11" t="b">
        <x:f>'Article Register'!R67="OPEN"</x:f>
        <x:v>1</x:v>
      </x:c>
      <x:c r="H188" s="11" t="str">
        <x:f>IF(G188=F188,"PASS","FAIL")</x:f>
        <x:v>PASS</x:v>
      </x:c>
      <x:c r="I188" s="38"/>
    </x:row>
    <x:row r="189">
      <x:c r="B189" s="11" t="str">
        <x:v>AU-0183</x:v>
      </x:c>
      <x:c r="C189" s="11" t="str">
        <x:v>article event allocation</x:v>
      </x:c>
      <x:c r="D189" s="11" t="str">
        <x:v>RA-SA6-11-A1</x:v>
      </x:c>
      <x:c r="E189" s="11" t="b">
        <x:f>'Article Register'!I67=COUNTIFS('Lane Events'!I$7:I$126,"RA-SA6-11-A1")</x:f>
        <x:v>1</x:v>
      </x:c>
      <x:c r="F189" s="29" t="b">
        <x:v>1</x:v>
      </x:c>
      <x:c r="G189" s="11" t="b">
        <x:f>'Article Register'!I67=COUNTIFS('Lane Events'!I$7:I$126,"RA-SA6-11-A1")</x:f>
        <x:v>1</x:v>
      </x:c>
      <x:c r="H189" s="11" t="str">
        <x:f>IF(G189=F189,"PASS","FAIL")</x:f>
        <x:v>PASS</x:v>
      </x:c>
      <x:c r="I189" s="38"/>
    </x:row>
    <x:row r="190">
      <x:c r="B190" s="11" t="str">
        <x:v>AU-0184</x:v>
      </x:c>
      <x:c r="C190" s="11" t="str">
        <x:v>article planning state</x:v>
      </x:c>
      <x:c r="D190" s="11" t="str">
        <x:v>RA-SA6-11-A2</x:v>
      </x:c>
      <x:c r="E190" s="11" t="b">
        <x:f>'Article Register'!Q68="PASS"</x:f>
        <x:v>1</x:v>
      </x:c>
      <x:c r="F190" s="29" t="b">
        <x:v>1</x:v>
      </x:c>
      <x:c r="G190" s="11" t="b">
        <x:f>'Article Register'!Q68="PASS"</x:f>
        <x:v>1</x:v>
      </x:c>
      <x:c r="H190" s="11" t="str">
        <x:f>IF(G190=F190,"PASS","FAIL")</x:f>
        <x:v>PASS</x:v>
      </x:c>
      <x:c r="I190" s="38"/>
    </x:row>
    <x:row r="191">
      <x:c r="B191" s="11" t="str">
        <x:v>AU-0185</x:v>
      </x:c>
      <x:c r="C191" s="11" t="str">
        <x:v>article source remains open</x:v>
      </x:c>
      <x:c r="D191" s="11" t="str">
        <x:v>RA-SA6-11-A2</x:v>
      </x:c>
      <x:c r="E191" s="11" t="b">
        <x:f>'Article Register'!R68="OPEN"</x:f>
        <x:v>1</x:v>
      </x:c>
      <x:c r="F191" s="29" t="b">
        <x:v>1</x:v>
      </x:c>
      <x:c r="G191" s="11" t="b">
        <x:f>'Article Register'!R68="OPEN"</x:f>
        <x:v>1</x:v>
      </x:c>
      <x:c r="H191" s="11" t="str">
        <x:f>IF(G191=F191,"PASS","FAIL")</x:f>
        <x:v>PASS</x:v>
      </x:c>
      <x:c r="I191" s="38"/>
    </x:row>
    <x:row r="192">
      <x:c r="B192" s="11" t="str">
        <x:v>AU-0186</x:v>
      </x:c>
      <x:c r="C192" s="11" t="str">
        <x:v>article event allocation</x:v>
      </x:c>
      <x:c r="D192" s="11" t="str">
        <x:v>RA-SA6-11-A2</x:v>
      </x:c>
      <x:c r="E192" s="11" t="b">
        <x:f>'Article Register'!I68=COUNTIFS('Lane Events'!I$7:I$126,"RA-SA6-11-A2")</x:f>
        <x:v>1</x:v>
      </x:c>
      <x:c r="F192" s="29" t="b">
        <x:v>1</x:v>
      </x:c>
      <x:c r="G192" s="11" t="b">
        <x:f>'Article Register'!I68=COUNTIFS('Lane Events'!I$7:I$126,"RA-SA6-11-A2")</x:f>
        <x:v>1</x:v>
      </x:c>
      <x:c r="H192" s="11" t="str">
        <x:f>IF(G192=F192,"PASS","FAIL")</x:f>
        <x:v>PASS</x:v>
      </x:c>
      <x:c r="I192" s="38"/>
    </x:row>
    <x:row r="193">
      <x:c r="B193" s="11" t="str">
        <x:v>AU-0187</x:v>
      </x:c>
      <x:c r="C193" s="11" t="str">
        <x:v>article planning state</x:v>
      </x:c>
      <x:c r="D193" s="11" t="str">
        <x:v>RA-SA6-11-A3</x:v>
      </x:c>
      <x:c r="E193" s="11" t="b">
        <x:f>'Article Register'!Q69="PASS"</x:f>
        <x:v>1</x:v>
      </x:c>
      <x:c r="F193" s="29" t="b">
        <x:v>1</x:v>
      </x:c>
      <x:c r="G193" s="11" t="b">
        <x:f>'Article Register'!Q69="PASS"</x:f>
        <x:v>1</x:v>
      </x:c>
      <x:c r="H193" s="11" t="str">
        <x:f>IF(G193=F193,"PASS","FAIL")</x:f>
        <x:v>PASS</x:v>
      </x:c>
      <x:c r="I193" s="38"/>
    </x:row>
    <x:row r="194">
      <x:c r="B194" s="11" t="str">
        <x:v>AU-0188</x:v>
      </x:c>
      <x:c r="C194" s="11" t="str">
        <x:v>article source remains open</x:v>
      </x:c>
      <x:c r="D194" s="11" t="str">
        <x:v>RA-SA6-11-A3</x:v>
      </x:c>
      <x:c r="E194" s="11" t="b">
        <x:f>'Article Register'!R69="OPEN"</x:f>
        <x:v>1</x:v>
      </x:c>
      <x:c r="F194" s="29" t="b">
        <x:v>1</x:v>
      </x:c>
      <x:c r="G194" s="11" t="b">
        <x:f>'Article Register'!R69="OPEN"</x:f>
        <x:v>1</x:v>
      </x:c>
      <x:c r="H194" s="11" t="str">
        <x:f>IF(G194=F194,"PASS","FAIL")</x:f>
        <x:v>PASS</x:v>
      </x:c>
      <x:c r="I194" s="38"/>
    </x:row>
    <x:row r="195">
      <x:c r="B195" s="11" t="str">
        <x:v>AU-0189</x:v>
      </x:c>
      <x:c r="C195" s="11" t="str">
        <x:v>article event allocation</x:v>
      </x:c>
      <x:c r="D195" s="11" t="str">
        <x:v>RA-SA6-11-A3</x:v>
      </x:c>
      <x:c r="E195" s="11" t="b">
        <x:f>'Article Register'!I69=COUNTIFS('Lane Events'!I$7:I$126,"RA-SA6-11-A3")</x:f>
        <x:v>1</x:v>
      </x:c>
      <x:c r="F195" s="29" t="b">
        <x:v>1</x:v>
      </x:c>
      <x:c r="G195" s="11" t="b">
        <x:f>'Article Register'!I69=COUNTIFS('Lane Events'!I$7:I$126,"RA-SA6-11-A3")</x:f>
        <x:v>1</x:v>
      </x:c>
      <x:c r="H195" s="11" t="str">
        <x:f>IF(G195=F195,"PASS","FAIL")</x:f>
        <x:v>PASS</x:v>
      </x:c>
      <x:c r="I195" s="38"/>
    </x:row>
    <x:row r="196">
      <x:c r="B196" s="11" t="str">
        <x:v>AU-0190</x:v>
      </x:c>
      <x:c r="C196" s="11" t="str">
        <x:v>article planning state</x:v>
      </x:c>
      <x:c r="D196" s="11" t="str">
        <x:v>RA-SA6-11-B1</x:v>
      </x:c>
      <x:c r="E196" s="11" t="b">
        <x:f>'Article Register'!Q70="PASS"</x:f>
        <x:v>1</x:v>
      </x:c>
      <x:c r="F196" s="29" t="b">
        <x:v>1</x:v>
      </x:c>
      <x:c r="G196" s="11" t="b">
        <x:f>'Article Register'!Q70="PASS"</x:f>
        <x:v>1</x:v>
      </x:c>
      <x:c r="H196" s="11" t="str">
        <x:f>IF(G196=F196,"PASS","FAIL")</x:f>
        <x:v>PASS</x:v>
      </x:c>
      <x:c r="I196" s="38"/>
    </x:row>
    <x:row r="197">
      <x:c r="B197" s="11" t="str">
        <x:v>AU-0191</x:v>
      </x:c>
      <x:c r="C197" s="11" t="str">
        <x:v>article source remains open</x:v>
      </x:c>
      <x:c r="D197" s="11" t="str">
        <x:v>RA-SA6-11-B1</x:v>
      </x:c>
      <x:c r="E197" s="11" t="b">
        <x:f>'Article Register'!R70="OPEN"</x:f>
        <x:v>1</x:v>
      </x:c>
      <x:c r="F197" s="29" t="b">
        <x:v>1</x:v>
      </x:c>
      <x:c r="G197" s="11" t="b">
        <x:f>'Article Register'!R70="OPEN"</x:f>
        <x:v>1</x:v>
      </x:c>
      <x:c r="H197" s="11" t="str">
        <x:f>IF(G197=F197,"PASS","FAIL")</x:f>
        <x:v>PASS</x:v>
      </x:c>
      <x:c r="I197" s="38"/>
    </x:row>
    <x:row r="198">
      <x:c r="B198" s="11" t="str">
        <x:v>AU-0192</x:v>
      </x:c>
      <x:c r="C198" s="11" t="str">
        <x:v>article event allocation</x:v>
      </x:c>
      <x:c r="D198" s="11" t="str">
        <x:v>RA-SA6-11-B1</x:v>
      </x:c>
      <x:c r="E198" s="11" t="b">
        <x:f>'Article Register'!I70=COUNTIFS('Lane Events'!I$7:I$126,"RA-SA6-11-B1")</x:f>
        <x:v>1</x:v>
      </x:c>
      <x:c r="F198" s="29" t="b">
        <x:v>1</x:v>
      </x:c>
      <x:c r="G198" s="11" t="b">
        <x:f>'Article Register'!I70=COUNTIFS('Lane Events'!I$7:I$126,"RA-SA6-11-B1")</x:f>
        <x:v>1</x:v>
      </x:c>
      <x:c r="H198" s="11" t="str">
        <x:f>IF(G198=F198,"PASS","FAIL")</x:f>
        <x:v>PASS</x:v>
      </x:c>
      <x:c r="I198" s="38"/>
    </x:row>
    <x:row r="199">
      <x:c r="B199" s="11" t="str">
        <x:v>AU-0193</x:v>
      </x:c>
      <x:c r="C199" s="11" t="str">
        <x:v>article planning state</x:v>
      </x:c>
      <x:c r="D199" s="11" t="str">
        <x:v>RA-SA6-11-B2</x:v>
      </x:c>
      <x:c r="E199" s="11" t="b">
        <x:f>'Article Register'!Q71="PASS"</x:f>
        <x:v>1</x:v>
      </x:c>
      <x:c r="F199" s="29" t="b">
        <x:v>1</x:v>
      </x:c>
      <x:c r="G199" s="11" t="b">
        <x:f>'Article Register'!Q71="PASS"</x:f>
        <x:v>1</x:v>
      </x:c>
      <x:c r="H199" s="11" t="str">
        <x:f>IF(G199=F199,"PASS","FAIL")</x:f>
        <x:v>PASS</x:v>
      </x:c>
      <x:c r="I199" s="38"/>
    </x:row>
    <x:row r="200">
      <x:c r="B200" s="11" t="str">
        <x:v>AU-0194</x:v>
      </x:c>
      <x:c r="C200" s="11" t="str">
        <x:v>article source remains open</x:v>
      </x:c>
      <x:c r="D200" s="11" t="str">
        <x:v>RA-SA6-11-B2</x:v>
      </x:c>
      <x:c r="E200" s="11" t="b">
        <x:f>'Article Register'!R71="OPEN"</x:f>
        <x:v>1</x:v>
      </x:c>
      <x:c r="F200" s="29" t="b">
        <x:v>1</x:v>
      </x:c>
      <x:c r="G200" s="11" t="b">
        <x:f>'Article Register'!R71="OPEN"</x:f>
        <x:v>1</x:v>
      </x:c>
      <x:c r="H200" s="11" t="str">
        <x:f>IF(G200=F200,"PASS","FAIL")</x:f>
        <x:v>PASS</x:v>
      </x:c>
      <x:c r="I200" s="38"/>
    </x:row>
    <x:row r="201">
      <x:c r="B201" s="11" t="str">
        <x:v>AU-0195</x:v>
      </x:c>
      <x:c r="C201" s="11" t="str">
        <x:v>article event allocation</x:v>
      </x:c>
      <x:c r="D201" s="11" t="str">
        <x:v>RA-SA6-11-B2</x:v>
      </x:c>
      <x:c r="E201" s="11" t="b">
        <x:f>'Article Register'!I71=COUNTIFS('Lane Events'!I$7:I$126,"RA-SA6-11-B2")</x:f>
        <x:v>1</x:v>
      </x:c>
      <x:c r="F201" s="29" t="b">
        <x:v>1</x:v>
      </x:c>
      <x:c r="G201" s="11" t="b">
        <x:f>'Article Register'!I71=COUNTIFS('Lane Events'!I$7:I$126,"RA-SA6-11-B2")</x:f>
        <x:v>1</x:v>
      </x:c>
      <x:c r="H201" s="11" t="str">
        <x:f>IF(G201=F201,"PASS","FAIL")</x:f>
        <x:v>PASS</x:v>
      </x:c>
      <x:c r="I201" s="38"/>
    </x:row>
    <x:row r="202">
      <x:c r="B202" s="11" t="str">
        <x:v>AU-0196</x:v>
      </x:c>
      <x:c r="C202" s="11" t="str">
        <x:v>article planning state</x:v>
      </x:c>
      <x:c r="D202" s="11" t="str">
        <x:v>RA-SA6-11-B3</x:v>
      </x:c>
      <x:c r="E202" s="11" t="b">
        <x:f>'Article Register'!Q72="PASS"</x:f>
        <x:v>1</x:v>
      </x:c>
      <x:c r="F202" s="29" t="b">
        <x:v>1</x:v>
      </x:c>
      <x:c r="G202" s="11" t="b">
        <x:f>'Article Register'!Q72="PASS"</x:f>
        <x:v>1</x:v>
      </x:c>
      <x:c r="H202" s="11" t="str">
        <x:f>IF(G202=F202,"PASS","FAIL")</x:f>
        <x:v>PASS</x:v>
      </x:c>
      <x:c r="I202" s="38"/>
    </x:row>
    <x:row r="203">
      <x:c r="B203" s="11" t="str">
        <x:v>AU-0197</x:v>
      </x:c>
      <x:c r="C203" s="11" t="str">
        <x:v>article source remains open</x:v>
      </x:c>
      <x:c r="D203" s="11" t="str">
        <x:v>RA-SA6-11-B3</x:v>
      </x:c>
      <x:c r="E203" s="11" t="b">
        <x:f>'Article Register'!R72="OPEN"</x:f>
        <x:v>1</x:v>
      </x:c>
      <x:c r="F203" s="29" t="b">
        <x:v>1</x:v>
      </x:c>
      <x:c r="G203" s="11" t="b">
        <x:f>'Article Register'!R72="OPEN"</x:f>
        <x:v>1</x:v>
      </x:c>
      <x:c r="H203" s="11" t="str">
        <x:f>IF(G203=F203,"PASS","FAIL")</x:f>
        <x:v>PASS</x:v>
      </x:c>
      <x:c r="I203" s="38"/>
    </x:row>
    <x:row r="204">
      <x:c r="B204" s="11" t="str">
        <x:v>AU-0198</x:v>
      </x:c>
      <x:c r="C204" s="11" t="str">
        <x:v>article event allocation</x:v>
      </x:c>
      <x:c r="D204" s="11" t="str">
        <x:v>RA-SA6-11-B3</x:v>
      </x:c>
      <x:c r="E204" s="11" t="b">
        <x:f>'Article Register'!I72=COUNTIFS('Lane Events'!I$7:I$126,"RA-SA6-11-B3")</x:f>
        <x:v>1</x:v>
      </x:c>
      <x:c r="F204" s="29" t="b">
        <x:v>1</x:v>
      </x:c>
      <x:c r="G204" s="11" t="b">
        <x:f>'Article Register'!I72=COUNTIFS('Lane Events'!I$7:I$126,"RA-SA6-11-B3")</x:f>
        <x:v>1</x:v>
      </x:c>
      <x:c r="H204" s="11" t="str">
        <x:f>IF(G204=F204,"PASS","FAIL")</x:f>
        <x:v>PASS</x:v>
      </x:c>
      <x:c r="I204" s="38"/>
    </x:row>
    <x:row r="205">
      <x:c r="B205" s="11" t="str">
        <x:v>AU-0199</x:v>
      </x:c>
      <x:c r="C205" s="11" t="str">
        <x:v>article planning state</x:v>
      </x:c>
      <x:c r="D205" s="11" t="str">
        <x:v>RA-SA6-12-A1</x:v>
      </x:c>
      <x:c r="E205" s="11" t="b">
        <x:f>'Article Register'!Q73="PASS"</x:f>
        <x:v>1</x:v>
      </x:c>
      <x:c r="F205" s="29" t="b">
        <x:v>1</x:v>
      </x:c>
      <x:c r="G205" s="11" t="b">
        <x:f>'Article Register'!Q73="PASS"</x:f>
        <x:v>1</x:v>
      </x:c>
      <x:c r="H205" s="11" t="str">
        <x:f>IF(G205=F205,"PASS","FAIL")</x:f>
        <x:v>PASS</x:v>
      </x:c>
      <x:c r="I205" s="38"/>
    </x:row>
    <x:row r="206">
      <x:c r="B206" s="11" t="str">
        <x:v>AU-0200</x:v>
      </x:c>
      <x:c r="C206" s="11" t="str">
        <x:v>article source remains open</x:v>
      </x:c>
      <x:c r="D206" s="11" t="str">
        <x:v>RA-SA6-12-A1</x:v>
      </x:c>
      <x:c r="E206" s="11" t="b">
        <x:f>'Article Register'!R73="OPEN"</x:f>
        <x:v>1</x:v>
      </x:c>
      <x:c r="F206" s="29" t="b">
        <x:v>1</x:v>
      </x:c>
      <x:c r="G206" s="11" t="b">
        <x:f>'Article Register'!R73="OPEN"</x:f>
        <x:v>1</x:v>
      </x:c>
      <x:c r="H206" s="11" t="str">
        <x:f>IF(G206=F206,"PASS","FAIL")</x:f>
        <x:v>PASS</x:v>
      </x:c>
      <x:c r="I206" s="38"/>
    </x:row>
    <x:row r="207">
      <x:c r="B207" s="11" t="str">
        <x:v>AU-0201</x:v>
      </x:c>
      <x:c r="C207" s="11" t="str">
        <x:v>article event allocation</x:v>
      </x:c>
      <x:c r="D207" s="11" t="str">
        <x:v>RA-SA6-12-A1</x:v>
      </x:c>
      <x:c r="E207" s="11" t="b">
        <x:f>'Article Register'!I73=COUNTIFS('Lane Events'!I$7:I$126,"RA-SA6-12-A1")</x:f>
        <x:v>1</x:v>
      </x:c>
      <x:c r="F207" s="29" t="b">
        <x:v>1</x:v>
      </x:c>
      <x:c r="G207" s="11" t="b">
        <x:f>'Article Register'!I73=COUNTIFS('Lane Events'!I$7:I$126,"RA-SA6-12-A1")</x:f>
        <x:v>1</x:v>
      </x:c>
      <x:c r="H207" s="11" t="str">
        <x:f>IF(G207=F207,"PASS","FAIL")</x:f>
        <x:v>PASS</x:v>
      </x:c>
      <x:c r="I207" s="38"/>
    </x:row>
    <x:row r="208">
      <x:c r="B208" s="11" t="str">
        <x:v>AU-0202</x:v>
      </x:c>
      <x:c r="C208" s="11" t="str">
        <x:v>article planning state</x:v>
      </x:c>
      <x:c r="D208" s="11" t="str">
        <x:v>RA-SA6-12-A2</x:v>
      </x:c>
      <x:c r="E208" s="11" t="b">
        <x:f>'Article Register'!Q74="PASS"</x:f>
        <x:v>1</x:v>
      </x:c>
      <x:c r="F208" s="29" t="b">
        <x:v>1</x:v>
      </x:c>
      <x:c r="G208" s="11" t="b">
        <x:f>'Article Register'!Q74="PASS"</x:f>
        <x:v>1</x:v>
      </x:c>
      <x:c r="H208" s="11" t="str">
        <x:f>IF(G208=F208,"PASS","FAIL")</x:f>
        <x:v>PASS</x:v>
      </x:c>
      <x:c r="I208" s="38"/>
    </x:row>
    <x:row r="209">
      <x:c r="B209" s="11" t="str">
        <x:v>AU-0203</x:v>
      </x:c>
      <x:c r="C209" s="11" t="str">
        <x:v>article source remains open</x:v>
      </x:c>
      <x:c r="D209" s="11" t="str">
        <x:v>RA-SA6-12-A2</x:v>
      </x:c>
      <x:c r="E209" s="11" t="b">
        <x:f>'Article Register'!R74="OPEN"</x:f>
        <x:v>1</x:v>
      </x:c>
      <x:c r="F209" s="29" t="b">
        <x:v>1</x:v>
      </x:c>
      <x:c r="G209" s="11" t="b">
        <x:f>'Article Register'!R74="OPEN"</x:f>
        <x:v>1</x:v>
      </x:c>
      <x:c r="H209" s="11" t="str">
        <x:f>IF(G209=F209,"PASS","FAIL")</x:f>
        <x:v>PASS</x:v>
      </x:c>
      <x:c r="I209" s="38"/>
    </x:row>
    <x:row r="210">
      <x:c r="B210" s="11" t="str">
        <x:v>AU-0204</x:v>
      </x:c>
      <x:c r="C210" s="11" t="str">
        <x:v>article event allocation</x:v>
      </x:c>
      <x:c r="D210" s="11" t="str">
        <x:v>RA-SA6-12-A2</x:v>
      </x:c>
      <x:c r="E210" s="11" t="b">
        <x:f>'Article Register'!I74=COUNTIFS('Lane Events'!I$7:I$126,"RA-SA6-12-A2")</x:f>
        <x:v>1</x:v>
      </x:c>
      <x:c r="F210" s="29" t="b">
        <x:v>1</x:v>
      </x:c>
      <x:c r="G210" s="11" t="b">
        <x:f>'Article Register'!I74=COUNTIFS('Lane Events'!I$7:I$126,"RA-SA6-12-A2")</x:f>
        <x:v>1</x:v>
      </x:c>
      <x:c r="H210" s="11" t="str">
        <x:f>IF(G210=F210,"PASS","FAIL")</x:f>
        <x:v>PASS</x:v>
      </x:c>
      <x:c r="I210" s="38"/>
    </x:row>
    <x:row r="211">
      <x:c r="B211" s="11" t="str">
        <x:v>AU-0205</x:v>
      </x:c>
      <x:c r="C211" s="11" t="str">
        <x:v>article planning state</x:v>
      </x:c>
      <x:c r="D211" s="11" t="str">
        <x:v>RA-SA6-12-A3</x:v>
      </x:c>
      <x:c r="E211" s="11" t="b">
        <x:f>'Article Register'!Q75="PASS"</x:f>
        <x:v>1</x:v>
      </x:c>
      <x:c r="F211" s="29" t="b">
        <x:v>1</x:v>
      </x:c>
      <x:c r="G211" s="11" t="b">
        <x:f>'Article Register'!Q75="PASS"</x:f>
        <x:v>1</x:v>
      </x:c>
      <x:c r="H211" s="11" t="str">
        <x:f>IF(G211=F211,"PASS","FAIL")</x:f>
        <x:v>PASS</x:v>
      </x:c>
      <x:c r="I211" s="38"/>
    </x:row>
    <x:row r="212">
      <x:c r="B212" s="11" t="str">
        <x:v>AU-0206</x:v>
      </x:c>
      <x:c r="C212" s="11" t="str">
        <x:v>article source remains open</x:v>
      </x:c>
      <x:c r="D212" s="11" t="str">
        <x:v>RA-SA6-12-A3</x:v>
      </x:c>
      <x:c r="E212" s="11" t="b">
        <x:f>'Article Register'!R75="OPEN"</x:f>
        <x:v>1</x:v>
      </x:c>
      <x:c r="F212" s="29" t="b">
        <x:v>1</x:v>
      </x:c>
      <x:c r="G212" s="11" t="b">
        <x:f>'Article Register'!R75="OPEN"</x:f>
        <x:v>1</x:v>
      </x:c>
      <x:c r="H212" s="11" t="str">
        <x:f>IF(G212=F212,"PASS","FAIL")</x:f>
        <x:v>PASS</x:v>
      </x:c>
      <x:c r="I212" s="38"/>
    </x:row>
    <x:row r="213">
      <x:c r="B213" s="11" t="str">
        <x:v>AU-0207</x:v>
      </x:c>
      <x:c r="C213" s="11" t="str">
        <x:v>article event allocation</x:v>
      </x:c>
      <x:c r="D213" s="11" t="str">
        <x:v>RA-SA6-12-A3</x:v>
      </x:c>
      <x:c r="E213" s="11" t="b">
        <x:f>'Article Register'!I75=COUNTIFS('Lane Events'!I$7:I$126,"RA-SA6-12-A3")</x:f>
        <x:v>1</x:v>
      </x:c>
      <x:c r="F213" s="29" t="b">
        <x:v>1</x:v>
      </x:c>
      <x:c r="G213" s="11" t="b">
        <x:f>'Article Register'!I75=COUNTIFS('Lane Events'!I$7:I$126,"RA-SA6-12-A3")</x:f>
        <x:v>1</x:v>
      </x:c>
      <x:c r="H213" s="11" t="str">
        <x:f>IF(G213=F213,"PASS","FAIL")</x:f>
        <x:v>PASS</x:v>
      </x:c>
      <x:c r="I213" s="38"/>
    </x:row>
    <x:row r="214">
      <x:c r="B214" s="11" t="str">
        <x:v>AU-0208</x:v>
      </x:c>
      <x:c r="C214" s="11" t="str">
        <x:v>article planning state</x:v>
      </x:c>
      <x:c r="D214" s="11" t="str">
        <x:v>RA-SA6-12-B1</x:v>
      </x:c>
      <x:c r="E214" s="11" t="b">
        <x:f>'Article Register'!Q76="PASS"</x:f>
        <x:v>1</x:v>
      </x:c>
      <x:c r="F214" s="29" t="b">
        <x:v>1</x:v>
      </x:c>
      <x:c r="G214" s="11" t="b">
        <x:f>'Article Register'!Q76="PASS"</x:f>
        <x:v>1</x:v>
      </x:c>
      <x:c r="H214" s="11" t="str">
        <x:f>IF(G214=F214,"PASS","FAIL")</x:f>
        <x:v>PASS</x:v>
      </x:c>
      <x:c r="I214" s="38"/>
    </x:row>
    <x:row r="215">
      <x:c r="B215" s="11" t="str">
        <x:v>AU-0209</x:v>
      </x:c>
      <x:c r="C215" s="11" t="str">
        <x:v>article source remains open</x:v>
      </x:c>
      <x:c r="D215" s="11" t="str">
        <x:v>RA-SA6-12-B1</x:v>
      </x:c>
      <x:c r="E215" s="11" t="b">
        <x:f>'Article Register'!R76="OPEN"</x:f>
        <x:v>1</x:v>
      </x:c>
      <x:c r="F215" s="29" t="b">
        <x:v>1</x:v>
      </x:c>
      <x:c r="G215" s="11" t="b">
        <x:f>'Article Register'!R76="OPEN"</x:f>
        <x:v>1</x:v>
      </x:c>
      <x:c r="H215" s="11" t="str">
        <x:f>IF(G215=F215,"PASS","FAIL")</x:f>
        <x:v>PASS</x:v>
      </x:c>
      <x:c r="I215" s="38"/>
    </x:row>
    <x:row r="216">
      <x:c r="B216" s="11" t="str">
        <x:v>AU-0210</x:v>
      </x:c>
      <x:c r="C216" s="11" t="str">
        <x:v>article event allocation</x:v>
      </x:c>
      <x:c r="D216" s="11" t="str">
        <x:v>RA-SA6-12-B1</x:v>
      </x:c>
      <x:c r="E216" s="11" t="b">
        <x:f>'Article Register'!I76=COUNTIFS('Lane Events'!I$7:I$126,"RA-SA6-12-B1")</x:f>
        <x:v>1</x:v>
      </x:c>
      <x:c r="F216" s="29" t="b">
        <x:v>1</x:v>
      </x:c>
      <x:c r="G216" s="11" t="b">
        <x:f>'Article Register'!I76=COUNTIFS('Lane Events'!I$7:I$126,"RA-SA6-12-B1")</x:f>
        <x:v>1</x:v>
      </x:c>
      <x:c r="H216" s="11" t="str">
        <x:f>IF(G216=F216,"PASS","FAIL")</x:f>
        <x:v>PASS</x:v>
      </x:c>
      <x:c r="I216" s="38"/>
    </x:row>
    <x:row r="217">
      <x:c r="B217" s="11" t="str">
        <x:v>AU-0211</x:v>
      </x:c>
      <x:c r="C217" s="11" t="str">
        <x:v>article planning state</x:v>
      </x:c>
      <x:c r="D217" s="11" t="str">
        <x:v>RA-SA6-12-B2</x:v>
      </x:c>
      <x:c r="E217" s="11" t="b">
        <x:f>'Article Register'!Q77="PASS"</x:f>
        <x:v>1</x:v>
      </x:c>
      <x:c r="F217" s="29" t="b">
        <x:v>1</x:v>
      </x:c>
      <x:c r="G217" s="11" t="b">
        <x:f>'Article Register'!Q77="PASS"</x:f>
        <x:v>1</x:v>
      </x:c>
      <x:c r="H217" s="11" t="str">
        <x:f>IF(G217=F217,"PASS","FAIL")</x:f>
        <x:v>PASS</x:v>
      </x:c>
      <x:c r="I217" s="38"/>
    </x:row>
    <x:row r="218">
      <x:c r="B218" s="11" t="str">
        <x:v>AU-0212</x:v>
      </x:c>
      <x:c r="C218" s="11" t="str">
        <x:v>article source remains open</x:v>
      </x:c>
      <x:c r="D218" s="11" t="str">
        <x:v>RA-SA6-12-B2</x:v>
      </x:c>
      <x:c r="E218" s="11" t="b">
        <x:f>'Article Register'!R77="OPEN"</x:f>
        <x:v>1</x:v>
      </x:c>
      <x:c r="F218" s="29" t="b">
        <x:v>1</x:v>
      </x:c>
      <x:c r="G218" s="11" t="b">
        <x:f>'Article Register'!R77="OPEN"</x:f>
        <x:v>1</x:v>
      </x:c>
      <x:c r="H218" s="11" t="str">
        <x:f>IF(G218=F218,"PASS","FAIL")</x:f>
        <x:v>PASS</x:v>
      </x:c>
      <x:c r="I218" s="38"/>
    </x:row>
    <x:row r="219">
      <x:c r="B219" s="11" t="str">
        <x:v>AU-0213</x:v>
      </x:c>
      <x:c r="C219" s="11" t="str">
        <x:v>article event allocation</x:v>
      </x:c>
      <x:c r="D219" s="11" t="str">
        <x:v>RA-SA6-12-B2</x:v>
      </x:c>
      <x:c r="E219" s="11" t="b">
        <x:f>'Article Register'!I77=COUNTIFS('Lane Events'!I$7:I$126,"RA-SA6-12-B2")</x:f>
        <x:v>1</x:v>
      </x:c>
      <x:c r="F219" s="29" t="b">
        <x:v>1</x:v>
      </x:c>
      <x:c r="G219" s="11" t="b">
        <x:f>'Article Register'!I77=COUNTIFS('Lane Events'!I$7:I$126,"RA-SA6-12-B2")</x:f>
        <x:v>1</x:v>
      </x:c>
      <x:c r="H219" s="11" t="str">
        <x:f>IF(G219=F219,"PASS","FAIL")</x:f>
        <x:v>PASS</x:v>
      </x:c>
      <x:c r="I219" s="38"/>
    </x:row>
    <x:row r="220">
      <x:c r="B220" s="11" t="str">
        <x:v>AU-0214</x:v>
      </x:c>
      <x:c r="C220" s="11" t="str">
        <x:v>article planning state</x:v>
      </x:c>
      <x:c r="D220" s="11" t="str">
        <x:v>RA-SA6-12-B3</x:v>
      </x:c>
      <x:c r="E220" s="11" t="b">
        <x:f>'Article Register'!Q78="PASS"</x:f>
        <x:v>1</x:v>
      </x:c>
      <x:c r="F220" s="29" t="b">
        <x:v>1</x:v>
      </x:c>
      <x:c r="G220" s="11" t="b">
        <x:f>'Article Register'!Q78="PASS"</x:f>
        <x:v>1</x:v>
      </x:c>
      <x:c r="H220" s="11" t="str">
        <x:f>IF(G220=F220,"PASS","FAIL")</x:f>
        <x:v>PASS</x:v>
      </x:c>
      <x:c r="I220" s="38"/>
    </x:row>
    <x:row r="221">
      <x:c r="B221" s="11" t="str">
        <x:v>AU-0215</x:v>
      </x:c>
      <x:c r="C221" s="11" t="str">
        <x:v>article source remains open</x:v>
      </x:c>
      <x:c r="D221" s="11" t="str">
        <x:v>RA-SA6-12-B3</x:v>
      </x:c>
      <x:c r="E221" s="11" t="b">
        <x:f>'Article Register'!R78="OPEN"</x:f>
        <x:v>1</x:v>
      </x:c>
      <x:c r="F221" s="29" t="b">
        <x:v>1</x:v>
      </x:c>
      <x:c r="G221" s="11" t="b">
        <x:f>'Article Register'!R78="OPEN"</x:f>
        <x:v>1</x:v>
      </x:c>
      <x:c r="H221" s="11" t="str">
        <x:f>IF(G221=F221,"PASS","FAIL")</x:f>
        <x:v>PASS</x:v>
      </x:c>
      <x:c r="I221" s="38"/>
    </x:row>
    <x:row r="222">
      <x:c r="B222" s="11" t="str">
        <x:v>AU-0216</x:v>
      </x:c>
      <x:c r="C222" s="11" t="str">
        <x:v>article event allocation</x:v>
      </x:c>
      <x:c r="D222" s="11" t="str">
        <x:v>RA-SA6-12-B3</x:v>
      </x:c>
      <x:c r="E222" s="11" t="b">
        <x:f>'Article Register'!I78=COUNTIFS('Lane Events'!I$7:I$126,"RA-SA6-12-B3")</x:f>
        <x:v>1</x:v>
      </x:c>
      <x:c r="F222" s="29" t="b">
        <x:v>1</x:v>
      </x:c>
      <x:c r="G222" s="11" t="b">
        <x:f>'Article Register'!I78=COUNTIFS('Lane Events'!I$7:I$126,"RA-SA6-12-B3")</x:f>
        <x:v>1</x:v>
      </x:c>
      <x:c r="H222" s="11" t="str">
        <x:f>IF(G222=F222,"PASS","FAIL")</x:f>
        <x:v>PASS</x:v>
      </x:c>
      <x:c r="I222" s="38"/>
    </x:row>
    <x:row r="223">
      <x:c r="B223" s="11" t="str">
        <x:v>AU-0217</x:v>
      </x:c>
      <x:c r="C223" s="11" t="str">
        <x:v>truth module definition</x:v>
      </x:c>
      <x:c r="D223" s="11" t="str">
        <x:v>RA-SA1-01-A1-T0</x:v>
      </x:c>
      <x:c r="E223" s="11" t="b">
        <x:f>'Truth Modules'!P7="PASS"</x:f>
        <x:v>1</x:v>
      </x:c>
      <x:c r="F223" s="29" t="b">
        <x:v>1</x:v>
      </x:c>
      <x:c r="G223" s="11" t="b">
        <x:f>'Truth Modules'!P7="PASS"</x:f>
        <x:v>1</x:v>
      </x:c>
      <x:c r="H223" s="11" t="str">
        <x:f>IF(G223=F223,"PASS","FAIL")</x:f>
        <x:v>PASS</x:v>
      </x:c>
      <x:c r="I223" s="38"/>
    </x:row>
    <x:row r="224">
      <x:c r="B224" s="11" t="str">
        <x:v>AU-0218</x:v>
      </x:c>
      <x:c r="C224" s="11" t="str">
        <x:v>truth module definition</x:v>
      </x:c>
      <x:c r="D224" s="11" t="str">
        <x:v>RA-SA1-01-A1-T1</x:v>
      </x:c>
      <x:c r="E224" s="11" t="b">
        <x:f>'Truth Modules'!P8="PASS"</x:f>
        <x:v>1</x:v>
      </x:c>
      <x:c r="F224" s="29" t="b">
        <x:v>1</x:v>
      </x:c>
      <x:c r="G224" s="11" t="b">
        <x:f>'Truth Modules'!P8="PASS"</x:f>
        <x:v>1</x:v>
      </x:c>
      <x:c r="H224" s="11" t="str">
        <x:f>IF(G224=F224,"PASS","FAIL")</x:f>
        <x:v>PASS</x:v>
      </x:c>
      <x:c r="I224" s="38"/>
    </x:row>
    <x:row r="225">
      <x:c r="B225" s="11" t="str">
        <x:v>AU-0219</x:v>
      </x:c>
      <x:c r="C225" s="11" t="str">
        <x:v>truth module definition</x:v>
      </x:c>
      <x:c r="D225" s="11" t="str">
        <x:v>RA-SA1-01-A1-T2</x:v>
      </x:c>
      <x:c r="E225" s="11" t="b">
        <x:f>'Truth Modules'!P9="PASS"</x:f>
        <x:v>1</x:v>
      </x:c>
      <x:c r="F225" s="29" t="b">
        <x:v>1</x:v>
      </x:c>
      <x:c r="G225" s="11" t="b">
        <x:f>'Truth Modules'!P9="PASS"</x:f>
        <x:v>1</x:v>
      </x:c>
      <x:c r="H225" s="11" t="str">
        <x:f>IF(G225=F225,"PASS","FAIL")</x:f>
        <x:v>PASS</x:v>
      </x:c>
      <x:c r="I225" s="38"/>
    </x:row>
    <x:row r="226">
      <x:c r="B226" s="11" t="str">
        <x:v>AU-0220</x:v>
      </x:c>
      <x:c r="C226" s="11" t="str">
        <x:v>truth module definition</x:v>
      </x:c>
      <x:c r="D226" s="11" t="str">
        <x:v>RA-SA1-01-A1-T3</x:v>
      </x:c>
      <x:c r="E226" s="11" t="b">
        <x:f>'Truth Modules'!P10="PASS"</x:f>
        <x:v>1</x:v>
      </x:c>
      <x:c r="F226" s="29" t="b">
        <x:v>1</x:v>
      </x:c>
      <x:c r="G226" s="11" t="b">
        <x:f>'Truth Modules'!P10="PASS"</x:f>
        <x:v>1</x:v>
      </x:c>
      <x:c r="H226" s="11" t="str">
        <x:f>IF(G226=F226,"PASS","FAIL")</x:f>
        <x:v>PASS</x:v>
      </x:c>
      <x:c r="I226" s="38"/>
    </x:row>
    <x:row r="227">
      <x:c r="B227" s="11" t="str">
        <x:v>AU-0221</x:v>
      </x:c>
      <x:c r="C227" s="11" t="str">
        <x:v>truth module definition</x:v>
      </x:c>
      <x:c r="D227" s="11" t="str">
        <x:v>RA-SA1-01-A2-T0</x:v>
      </x:c>
      <x:c r="E227" s="11" t="b">
        <x:f>'Truth Modules'!P11="PASS"</x:f>
        <x:v>1</x:v>
      </x:c>
      <x:c r="F227" s="29" t="b">
        <x:v>1</x:v>
      </x:c>
      <x:c r="G227" s="11" t="b">
        <x:f>'Truth Modules'!P11="PASS"</x:f>
        <x:v>1</x:v>
      </x:c>
      <x:c r="H227" s="11" t="str">
        <x:f>IF(G227=F227,"PASS","FAIL")</x:f>
        <x:v>PASS</x:v>
      </x:c>
      <x:c r="I227" s="38"/>
    </x:row>
    <x:row r="228">
      <x:c r="B228" s="11" t="str">
        <x:v>AU-0222</x:v>
      </x:c>
      <x:c r="C228" s="11" t="str">
        <x:v>truth module definition</x:v>
      </x:c>
      <x:c r="D228" s="11" t="str">
        <x:v>RA-SA1-01-A2-T1</x:v>
      </x:c>
      <x:c r="E228" s="11" t="b">
        <x:f>'Truth Modules'!P12="PASS"</x:f>
        <x:v>1</x:v>
      </x:c>
      <x:c r="F228" s="29" t="b">
        <x:v>1</x:v>
      </x:c>
      <x:c r="G228" s="11" t="b">
        <x:f>'Truth Modules'!P12="PASS"</x:f>
        <x:v>1</x:v>
      </x:c>
      <x:c r="H228" s="11" t="str">
        <x:f>IF(G228=F228,"PASS","FAIL")</x:f>
        <x:v>PASS</x:v>
      </x:c>
      <x:c r="I228" s="38"/>
    </x:row>
    <x:row r="229">
      <x:c r="B229" s="11" t="str">
        <x:v>AU-0223</x:v>
      </x:c>
      <x:c r="C229" s="11" t="str">
        <x:v>truth module definition</x:v>
      </x:c>
      <x:c r="D229" s="11" t="str">
        <x:v>RA-SA1-01-A2-T2</x:v>
      </x:c>
      <x:c r="E229" s="11" t="b">
        <x:f>'Truth Modules'!P13="PASS"</x:f>
        <x:v>1</x:v>
      </x:c>
      <x:c r="F229" s="29" t="b">
        <x:v>1</x:v>
      </x:c>
      <x:c r="G229" s="11" t="b">
        <x:f>'Truth Modules'!P13="PASS"</x:f>
        <x:v>1</x:v>
      </x:c>
      <x:c r="H229" s="11" t="str">
        <x:f>IF(G229=F229,"PASS","FAIL")</x:f>
        <x:v>PASS</x:v>
      </x:c>
      <x:c r="I229" s="38"/>
    </x:row>
    <x:row r="230">
      <x:c r="B230" s="11" t="str">
        <x:v>AU-0224</x:v>
      </x:c>
      <x:c r="C230" s="11" t="str">
        <x:v>truth module definition</x:v>
      </x:c>
      <x:c r="D230" s="11" t="str">
        <x:v>RA-SA1-01-A2-T3</x:v>
      </x:c>
      <x:c r="E230" s="11" t="b">
        <x:f>'Truth Modules'!P14="PASS"</x:f>
        <x:v>1</x:v>
      </x:c>
      <x:c r="F230" s="29" t="b">
        <x:v>1</x:v>
      </x:c>
      <x:c r="G230" s="11" t="b">
        <x:f>'Truth Modules'!P14="PASS"</x:f>
        <x:v>1</x:v>
      </x:c>
      <x:c r="H230" s="11" t="str">
        <x:f>IF(G230=F230,"PASS","FAIL")</x:f>
        <x:v>PASS</x:v>
      </x:c>
      <x:c r="I230" s="38"/>
    </x:row>
    <x:row r="231">
      <x:c r="B231" s="11" t="str">
        <x:v>AU-0225</x:v>
      </x:c>
      <x:c r="C231" s="11" t="str">
        <x:v>truth module definition</x:v>
      </x:c>
      <x:c r="D231" s="11" t="str">
        <x:v>RA-SA1-01-A3-T0</x:v>
      </x:c>
      <x:c r="E231" s="11" t="b">
        <x:f>'Truth Modules'!P15="PASS"</x:f>
        <x:v>1</x:v>
      </x:c>
      <x:c r="F231" s="29" t="b">
        <x:v>1</x:v>
      </x:c>
      <x:c r="G231" s="11" t="b">
        <x:f>'Truth Modules'!P15="PASS"</x:f>
        <x:v>1</x:v>
      </x:c>
      <x:c r="H231" s="11" t="str">
        <x:f>IF(G231=F231,"PASS","FAIL")</x:f>
        <x:v>PASS</x:v>
      </x:c>
      <x:c r="I231" s="38"/>
    </x:row>
    <x:row r="232">
      <x:c r="B232" s="11" t="str">
        <x:v>AU-0226</x:v>
      </x:c>
      <x:c r="C232" s="11" t="str">
        <x:v>truth module definition</x:v>
      </x:c>
      <x:c r="D232" s="11" t="str">
        <x:v>RA-SA1-01-A3-T1</x:v>
      </x:c>
      <x:c r="E232" s="11" t="b">
        <x:f>'Truth Modules'!P16="PASS"</x:f>
        <x:v>1</x:v>
      </x:c>
      <x:c r="F232" s="29" t="b">
        <x:v>1</x:v>
      </x:c>
      <x:c r="G232" s="11" t="b">
        <x:f>'Truth Modules'!P16="PASS"</x:f>
        <x:v>1</x:v>
      </x:c>
      <x:c r="H232" s="11" t="str">
        <x:f>IF(G232=F232,"PASS","FAIL")</x:f>
        <x:v>PASS</x:v>
      </x:c>
      <x:c r="I232" s="38"/>
    </x:row>
    <x:row r="233">
      <x:c r="B233" s="11" t="str">
        <x:v>AU-0227</x:v>
      </x:c>
      <x:c r="C233" s="11" t="str">
        <x:v>truth module definition</x:v>
      </x:c>
      <x:c r="D233" s="11" t="str">
        <x:v>RA-SA1-01-A3-T2</x:v>
      </x:c>
      <x:c r="E233" s="11" t="b">
        <x:f>'Truth Modules'!P17="PASS"</x:f>
        <x:v>1</x:v>
      </x:c>
      <x:c r="F233" s="29" t="b">
        <x:v>1</x:v>
      </x:c>
      <x:c r="G233" s="11" t="b">
        <x:f>'Truth Modules'!P17="PASS"</x:f>
        <x:v>1</x:v>
      </x:c>
      <x:c r="H233" s="11" t="str">
        <x:f>IF(G233=F233,"PASS","FAIL")</x:f>
        <x:v>PASS</x:v>
      </x:c>
      <x:c r="I233" s="38"/>
    </x:row>
    <x:row r="234">
      <x:c r="B234" s="11" t="str">
        <x:v>AU-0228</x:v>
      </x:c>
      <x:c r="C234" s="11" t="str">
        <x:v>truth module definition</x:v>
      </x:c>
      <x:c r="D234" s="11" t="str">
        <x:v>RA-SA1-01-A3-T3</x:v>
      </x:c>
      <x:c r="E234" s="11" t="b">
        <x:f>'Truth Modules'!P18="PASS"</x:f>
        <x:v>1</x:v>
      </x:c>
      <x:c r="F234" s="29" t="b">
        <x:v>1</x:v>
      </x:c>
      <x:c r="G234" s="11" t="b">
        <x:f>'Truth Modules'!P18="PASS"</x:f>
        <x:v>1</x:v>
      </x:c>
      <x:c r="H234" s="11" t="str">
        <x:f>IF(G234=F234,"PASS","FAIL")</x:f>
        <x:v>PASS</x:v>
      </x:c>
      <x:c r="I234" s="38"/>
    </x:row>
    <x:row r="235">
      <x:c r="B235" s="11" t="str">
        <x:v>AU-0229</x:v>
      </x:c>
      <x:c r="C235" s="11" t="str">
        <x:v>truth module definition</x:v>
      </x:c>
      <x:c r="D235" s="11" t="str">
        <x:v>RA-SA1-01-B1-T0</x:v>
      </x:c>
      <x:c r="E235" s="11" t="b">
        <x:f>'Truth Modules'!P19="PASS"</x:f>
        <x:v>1</x:v>
      </x:c>
      <x:c r="F235" s="29" t="b">
        <x:v>1</x:v>
      </x:c>
      <x:c r="G235" s="11" t="b">
        <x:f>'Truth Modules'!P19="PASS"</x:f>
        <x:v>1</x:v>
      </x:c>
      <x:c r="H235" s="11" t="str">
        <x:f>IF(G235=F235,"PASS","FAIL")</x:f>
        <x:v>PASS</x:v>
      </x:c>
      <x:c r="I235" s="38"/>
    </x:row>
    <x:row r="236">
      <x:c r="B236" s="11" t="str">
        <x:v>AU-0230</x:v>
      </x:c>
      <x:c r="C236" s="11" t="str">
        <x:v>truth module definition</x:v>
      </x:c>
      <x:c r="D236" s="11" t="str">
        <x:v>RA-SA1-01-B1-T1</x:v>
      </x:c>
      <x:c r="E236" s="11" t="b">
        <x:f>'Truth Modules'!P20="PASS"</x:f>
        <x:v>1</x:v>
      </x:c>
      <x:c r="F236" s="29" t="b">
        <x:v>1</x:v>
      </x:c>
      <x:c r="G236" s="11" t="b">
        <x:f>'Truth Modules'!P20="PASS"</x:f>
        <x:v>1</x:v>
      </x:c>
      <x:c r="H236" s="11" t="str">
        <x:f>IF(G236=F236,"PASS","FAIL")</x:f>
        <x:v>PASS</x:v>
      </x:c>
      <x:c r="I236" s="38"/>
    </x:row>
    <x:row r="237">
      <x:c r="B237" s="11" t="str">
        <x:v>AU-0231</x:v>
      </x:c>
      <x:c r="C237" s="11" t="str">
        <x:v>truth module definition</x:v>
      </x:c>
      <x:c r="D237" s="11" t="str">
        <x:v>RA-SA1-01-B1-T2</x:v>
      </x:c>
      <x:c r="E237" s="11" t="b">
        <x:f>'Truth Modules'!P21="PASS"</x:f>
        <x:v>1</x:v>
      </x:c>
      <x:c r="F237" s="29" t="b">
        <x:v>1</x:v>
      </x:c>
      <x:c r="G237" s="11" t="b">
        <x:f>'Truth Modules'!P21="PASS"</x:f>
        <x:v>1</x:v>
      </x:c>
      <x:c r="H237" s="11" t="str">
        <x:f>IF(G237=F237,"PASS","FAIL")</x:f>
        <x:v>PASS</x:v>
      </x:c>
      <x:c r="I237" s="38"/>
    </x:row>
    <x:row r="238">
      <x:c r="B238" s="11" t="str">
        <x:v>AU-0232</x:v>
      </x:c>
      <x:c r="C238" s="11" t="str">
        <x:v>truth module definition</x:v>
      </x:c>
      <x:c r="D238" s="11" t="str">
        <x:v>RA-SA1-01-B1-T3</x:v>
      </x:c>
      <x:c r="E238" s="11" t="b">
        <x:f>'Truth Modules'!P22="PASS"</x:f>
        <x:v>1</x:v>
      </x:c>
      <x:c r="F238" s="29" t="b">
        <x:v>1</x:v>
      </x:c>
      <x:c r="G238" s="11" t="b">
        <x:f>'Truth Modules'!P22="PASS"</x:f>
        <x:v>1</x:v>
      </x:c>
      <x:c r="H238" s="11" t="str">
        <x:f>IF(G238=F238,"PASS","FAIL")</x:f>
        <x:v>PASS</x:v>
      </x:c>
      <x:c r="I238" s="38"/>
    </x:row>
    <x:row r="239">
      <x:c r="B239" s="11" t="str">
        <x:v>AU-0233</x:v>
      </x:c>
      <x:c r="C239" s="11" t="str">
        <x:v>truth module definition</x:v>
      </x:c>
      <x:c r="D239" s="11" t="str">
        <x:v>RA-SA1-01-B2-T0</x:v>
      </x:c>
      <x:c r="E239" s="11" t="b">
        <x:f>'Truth Modules'!P23="PASS"</x:f>
        <x:v>1</x:v>
      </x:c>
      <x:c r="F239" s="29" t="b">
        <x:v>1</x:v>
      </x:c>
      <x:c r="G239" s="11" t="b">
        <x:f>'Truth Modules'!P23="PASS"</x:f>
        <x:v>1</x:v>
      </x:c>
      <x:c r="H239" s="11" t="str">
        <x:f>IF(G239=F239,"PASS","FAIL")</x:f>
        <x:v>PASS</x:v>
      </x:c>
      <x:c r="I239" s="38"/>
    </x:row>
    <x:row r="240">
      <x:c r="B240" s="11" t="str">
        <x:v>AU-0234</x:v>
      </x:c>
      <x:c r="C240" s="11" t="str">
        <x:v>truth module definition</x:v>
      </x:c>
      <x:c r="D240" s="11" t="str">
        <x:v>RA-SA1-01-B2-T1</x:v>
      </x:c>
      <x:c r="E240" s="11" t="b">
        <x:f>'Truth Modules'!P24="PASS"</x:f>
        <x:v>1</x:v>
      </x:c>
      <x:c r="F240" s="29" t="b">
        <x:v>1</x:v>
      </x:c>
      <x:c r="G240" s="11" t="b">
        <x:f>'Truth Modules'!P24="PASS"</x:f>
        <x:v>1</x:v>
      </x:c>
      <x:c r="H240" s="11" t="str">
        <x:f>IF(G240=F240,"PASS","FAIL")</x:f>
        <x:v>PASS</x:v>
      </x:c>
      <x:c r="I240" s="38"/>
    </x:row>
    <x:row r="241">
      <x:c r="B241" s="11" t="str">
        <x:v>AU-0235</x:v>
      </x:c>
      <x:c r="C241" s="11" t="str">
        <x:v>truth module definition</x:v>
      </x:c>
      <x:c r="D241" s="11" t="str">
        <x:v>RA-SA1-01-B2-T2</x:v>
      </x:c>
      <x:c r="E241" s="11" t="b">
        <x:f>'Truth Modules'!P25="PASS"</x:f>
        <x:v>1</x:v>
      </x:c>
      <x:c r="F241" s="29" t="b">
        <x:v>1</x:v>
      </x:c>
      <x:c r="G241" s="11" t="b">
        <x:f>'Truth Modules'!P25="PASS"</x:f>
        <x:v>1</x:v>
      </x:c>
      <x:c r="H241" s="11" t="str">
        <x:f>IF(G241=F241,"PASS","FAIL")</x:f>
        <x:v>PASS</x:v>
      </x:c>
      <x:c r="I241" s="38"/>
    </x:row>
    <x:row r="242">
      <x:c r="B242" s="11" t="str">
        <x:v>AU-0236</x:v>
      </x:c>
      <x:c r="C242" s="11" t="str">
        <x:v>truth module definition</x:v>
      </x:c>
      <x:c r="D242" s="11" t="str">
        <x:v>RA-SA1-01-B2-T3</x:v>
      </x:c>
      <x:c r="E242" s="11" t="b">
        <x:f>'Truth Modules'!P26="PASS"</x:f>
        <x:v>1</x:v>
      </x:c>
      <x:c r="F242" s="29" t="b">
        <x:v>1</x:v>
      </x:c>
      <x:c r="G242" s="11" t="b">
        <x:f>'Truth Modules'!P26="PASS"</x:f>
        <x:v>1</x:v>
      </x:c>
      <x:c r="H242" s="11" t="str">
        <x:f>IF(G242=F242,"PASS","FAIL")</x:f>
        <x:v>PASS</x:v>
      </x:c>
      <x:c r="I242" s="38"/>
    </x:row>
    <x:row r="243">
      <x:c r="B243" s="11" t="str">
        <x:v>AU-0237</x:v>
      </x:c>
      <x:c r="C243" s="11" t="str">
        <x:v>truth module definition</x:v>
      </x:c>
      <x:c r="D243" s="11" t="str">
        <x:v>RA-SA1-01-B3-T0</x:v>
      </x:c>
      <x:c r="E243" s="11" t="b">
        <x:f>'Truth Modules'!P27="PASS"</x:f>
        <x:v>1</x:v>
      </x:c>
      <x:c r="F243" s="29" t="b">
        <x:v>1</x:v>
      </x:c>
      <x:c r="G243" s="11" t="b">
        <x:f>'Truth Modules'!P27="PASS"</x:f>
        <x:v>1</x:v>
      </x:c>
      <x:c r="H243" s="11" t="str">
        <x:f>IF(G243=F243,"PASS","FAIL")</x:f>
        <x:v>PASS</x:v>
      </x:c>
      <x:c r="I243" s="38"/>
    </x:row>
    <x:row r="244">
      <x:c r="B244" s="11" t="str">
        <x:v>AU-0238</x:v>
      </x:c>
      <x:c r="C244" s="11" t="str">
        <x:v>truth module definition</x:v>
      </x:c>
      <x:c r="D244" s="11" t="str">
        <x:v>RA-SA1-01-B3-T1</x:v>
      </x:c>
      <x:c r="E244" s="11" t="b">
        <x:f>'Truth Modules'!P28="PASS"</x:f>
        <x:v>1</x:v>
      </x:c>
      <x:c r="F244" s="29" t="b">
        <x:v>1</x:v>
      </x:c>
      <x:c r="G244" s="11" t="b">
        <x:f>'Truth Modules'!P28="PASS"</x:f>
        <x:v>1</x:v>
      </x:c>
      <x:c r="H244" s="11" t="str">
        <x:f>IF(G244=F244,"PASS","FAIL")</x:f>
        <x:v>PASS</x:v>
      </x:c>
      <x:c r="I244" s="38"/>
    </x:row>
    <x:row r="245">
      <x:c r="B245" s="11" t="str">
        <x:v>AU-0239</x:v>
      </x:c>
      <x:c r="C245" s="11" t="str">
        <x:v>truth module definition</x:v>
      </x:c>
      <x:c r="D245" s="11" t="str">
        <x:v>RA-SA1-01-B3-T2</x:v>
      </x:c>
      <x:c r="E245" s="11" t="b">
        <x:f>'Truth Modules'!P29="PASS"</x:f>
        <x:v>1</x:v>
      </x:c>
      <x:c r="F245" s="29" t="b">
        <x:v>1</x:v>
      </x:c>
      <x:c r="G245" s="11" t="b">
        <x:f>'Truth Modules'!P29="PASS"</x:f>
        <x:v>1</x:v>
      </x:c>
      <x:c r="H245" s="11" t="str">
        <x:f>IF(G245=F245,"PASS","FAIL")</x:f>
        <x:v>PASS</x:v>
      </x:c>
      <x:c r="I245" s="38"/>
    </x:row>
    <x:row r="246">
      <x:c r="B246" s="11" t="str">
        <x:v>AU-0240</x:v>
      </x:c>
      <x:c r="C246" s="11" t="str">
        <x:v>truth module definition</x:v>
      </x:c>
      <x:c r="D246" s="11" t="str">
        <x:v>RA-SA1-01-B3-T3</x:v>
      </x:c>
      <x:c r="E246" s="11" t="b">
        <x:f>'Truth Modules'!P30="PASS"</x:f>
        <x:v>1</x:v>
      </x:c>
      <x:c r="F246" s="29" t="b">
        <x:v>1</x:v>
      </x:c>
      <x:c r="G246" s="11" t="b">
        <x:f>'Truth Modules'!P30="PASS"</x:f>
        <x:v>1</x:v>
      </x:c>
      <x:c r="H246" s="11" t="str">
        <x:f>IF(G246=F246,"PASS","FAIL")</x:f>
        <x:v>PASS</x:v>
      </x:c>
      <x:c r="I246" s="38"/>
    </x:row>
    <x:row r="247">
      <x:c r="B247" s="11" t="str">
        <x:v>AU-0241</x:v>
      </x:c>
      <x:c r="C247" s="11" t="str">
        <x:v>truth module definition</x:v>
      </x:c>
      <x:c r="D247" s="11" t="str">
        <x:v>RA-SA1-02-A1-T0</x:v>
      </x:c>
      <x:c r="E247" s="11" t="b">
        <x:f>'Truth Modules'!P31="PASS"</x:f>
        <x:v>1</x:v>
      </x:c>
      <x:c r="F247" s="29" t="b">
        <x:v>1</x:v>
      </x:c>
      <x:c r="G247" s="11" t="b">
        <x:f>'Truth Modules'!P31="PASS"</x:f>
        <x:v>1</x:v>
      </x:c>
      <x:c r="H247" s="11" t="str">
        <x:f>IF(G247=F247,"PASS","FAIL")</x:f>
        <x:v>PASS</x:v>
      </x:c>
      <x:c r="I247" s="38"/>
    </x:row>
    <x:row r="248">
      <x:c r="B248" s="11" t="str">
        <x:v>AU-0242</x:v>
      </x:c>
      <x:c r="C248" s="11" t="str">
        <x:v>truth module definition</x:v>
      </x:c>
      <x:c r="D248" s="11" t="str">
        <x:v>RA-SA1-02-A1-T1</x:v>
      </x:c>
      <x:c r="E248" s="11" t="b">
        <x:f>'Truth Modules'!P32="PASS"</x:f>
        <x:v>1</x:v>
      </x:c>
      <x:c r="F248" s="29" t="b">
        <x:v>1</x:v>
      </x:c>
      <x:c r="G248" s="11" t="b">
        <x:f>'Truth Modules'!P32="PASS"</x:f>
        <x:v>1</x:v>
      </x:c>
      <x:c r="H248" s="11" t="str">
        <x:f>IF(G248=F248,"PASS","FAIL")</x:f>
        <x:v>PASS</x:v>
      </x:c>
      <x:c r="I248" s="38"/>
    </x:row>
    <x:row r="249">
      <x:c r="B249" s="11" t="str">
        <x:v>AU-0243</x:v>
      </x:c>
      <x:c r="C249" s="11" t="str">
        <x:v>truth module definition</x:v>
      </x:c>
      <x:c r="D249" s="11" t="str">
        <x:v>RA-SA1-02-A1-T2</x:v>
      </x:c>
      <x:c r="E249" s="11" t="b">
        <x:f>'Truth Modules'!P33="PASS"</x:f>
        <x:v>1</x:v>
      </x:c>
      <x:c r="F249" s="29" t="b">
        <x:v>1</x:v>
      </x:c>
      <x:c r="G249" s="11" t="b">
        <x:f>'Truth Modules'!P33="PASS"</x:f>
        <x:v>1</x:v>
      </x:c>
      <x:c r="H249" s="11" t="str">
        <x:f>IF(G249=F249,"PASS","FAIL")</x:f>
        <x:v>PASS</x:v>
      </x:c>
      <x:c r="I249" s="38"/>
    </x:row>
    <x:row r="250">
      <x:c r="B250" s="11" t="str">
        <x:v>AU-0244</x:v>
      </x:c>
      <x:c r="C250" s="11" t="str">
        <x:v>truth module definition</x:v>
      </x:c>
      <x:c r="D250" s="11" t="str">
        <x:v>RA-SA1-02-A1-T3</x:v>
      </x:c>
      <x:c r="E250" s="11" t="b">
        <x:f>'Truth Modules'!P34="PASS"</x:f>
        <x:v>1</x:v>
      </x:c>
      <x:c r="F250" s="29" t="b">
        <x:v>1</x:v>
      </x:c>
      <x:c r="G250" s="11" t="b">
        <x:f>'Truth Modules'!P34="PASS"</x:f>
        <x:v>1</x:v>
      </x:c>
      <x:c r="H250" s="11" t="str">
        <x:f>IF(G250=F250,"PASS","FAIL")</x:f>
        <x:v>PASS</x:v>
      </x:c>
      <x:c r="I250" s="38"/>
    </x:row>
    <x:row r="251">
      <x:c r="B251" s="11" t="str">
        <x:v>AU-0245</x:v>
      </x:c>
      <x:c r="C251" s="11" t="str">
        <x:v>truth module definition</x:v>
      </x:c>
      <x:c r="D251" s="11" t="str">
        <x:v>RA-SA1-02-A2-T0</x:v>
      </x:c>
      <x:c r="E251" s="11" t="b">
        <x:f>'Truth Modules'!P35="PASS"</x:f>
        <x:v>1</x:v>
      </x:c>
      <x:c r="F251" s="29" t="b">
        <x:v>1</x:v>
      </x:c>
      <x:c r="G251" s="11" t="b">
        <x:f>'Truth Modules'!P35="PASS"</x:f>
        <x:v>1</x:v>
      </x:c>
      <x:c r="H251" s="11" t="str">
        <x:f>IF(G251=F251,"PASS","FAIL")</x:f>
        <x:v>PASS</x:v>
      </x:c>
      <x:c r="I251" s="38"/>
    </x:row>
    <x:row r="252">
      <x:c r="B252" s="11" t="str">
        <x:v>AU-0246</x:v>
      </x:c>
      <x:c r="C252" s="11" t="str">
        <x:v>truth module definition</x:v>
      </x:c>
      <x:c r="D252" s="11" t="str">
        <x:v>RA-SA1-02-A2-T1</x:v>
      </x:c>
      <x:c r="E252" s="11" t="b">
        <x:f>'Truth Modules'!P36="PASS"</x:f>
        <x:v>1</x:v>
      </x:c>
      <x:c r="F252" s="29" t="b">
        <x:v>1</x:v>
      </x:c>
      <x:c r="G252" s="11" t="b">
        <x:f>'Truth Modules'!P36="PASS"</x:f>
        <x:v>1</x:v>
      </x:c>
      <x:c r="H252" s="11" t="str">
        <x:f>IF(G252=F252,"PASS","FAIL")</x:f>
        <x:v>PASS</x:v>
      </x:c>
      <x:c r="I252" s="38"/>
    </x:row>
    <x:row r="253">
      <x:c r="B253" s="11" t="str">
        <x:v>AU-0247</x:v>
      </x:c>
      <x:c r="C253" s="11" t="str">
        <x:v>truth module definition</x:v>
      </x:c>
      <x:c r="D253" s="11" t="str">
        <x:v>RA-SA1-02-A2-T2</x:v>
      </x:c>
      <x:c r="E253" s="11" t="b">
        <x:f>'Truth Modules'!P37="PASS"</x:f>
        <x:v>1</x:v>
      </x:c>
      <x:c r="F253" s="29" t="b">
        <x:v>1</x:v>
      </x:c>
      <x:c r="G253" s="11" t="b">
        <x:f>'Truth Modules'!P37="PASS"</x:f>
        <x:v>1</x:v>
      </x:c>
      <x:c r="H253" s="11" t="str">
        <x:f>IF(G253=F253,"PASS","FAIL")</x:f>
        <x:v>PASS</x:v>
      </x:c>
      <x:c r="I253" s="38"/>
    </x:row>
    <x:row r="254">
      <x:c r="B254" s="11" t="str">
        <x:v>AU-0248</x:v>
      </x:c>
      <x:c r="C254" s="11" t="str">
        <x:v>truth module definition</x:v>
      </x:c>
      <x:c r="D254" s="11" t="str">
        <x:v>RA-SA1-02-A2-T3</x:v>
      </x:c>
      <x:c r="E254" s="11" t="b">
        <x:f>'Truth Modules'!P38="PASS"</x:f>
        <x:v>1</x:v>
      </x:c>
      <x:c r="F254" s="29" t="b">
        <x:v>1</x:v>
      </x:c>
      <x:c r="G254" s="11" t="b">
        <x:f>'Truth Modules'!P38="PASS"</x:f>
        <x:v>1</x:v>
      </x:c>
      <x:c r="H254" s="11" t="str">
        <x:f>IF(G254=F254,"PASS","FAIL")</x:f>
        <x:v>PASS</x:v>
      </x:c>
      <x:c r="I254" s="38"/>
    </x:row>
    <x:row r="255">
      <x:c r="B255" s="11" t="str">
        <x:v>AU-0249</x:v>
      </x:c>
      <x:c r="C255" s="11" t="str">
        <x:v>truth module definition</x:v>
      </x:c>
      <x:c r="D255" s="11" t="str">
        <x:v>RA-SA1-02-A3-T0</x:v>
      </x:c>
      <x:c r="E255" s="11" t="b">
        <x:f>'Truth Modules'!P39="PASS"</x:f>
        <x:v>1</x:v>
      </x:c>
      <x:c r="F255" s="29" t="b">
        <x:v>1</x:v>
      </x:c>
      <x:c r="G255" s="11" t="b">
        <x:f>'Truth Modules'!P39="PASS"</x:f>
        <x:v>1</x:v>
      </x:c>
      <x:c r="H255" s="11" t="str">
        <x:f>IF(G255=F255,"PASS","FAIL")</x:f>
        <x:v>PASS</x:v>
      </x:c>
      <x:c r="I255" s="38"/>
    </x:row>
    <x:row r="256">
      <x:c r="B256" s="11" t="str">
        <x:v>AU-0250</x:v>
      </x:c>
      <x:c r="C256" s="11" t="str">
        <x:v>truth module definition</x:v>
      </x:c>
      <x:c r="D256" s="11" t="str">
        <x:v>RA-SA1-02-A3-T1</x:v>
      </x:c>
      <x:c r="E256" s="11" t="b">
        <x:f>'Truth Modules'!P40="PASS"</x:f>
        <x:v>1</x:v>
      </x:c>
      <x:c r="F256" s="29" t="b">
        <x:v>1</x:v>
      </x:c>
      <x:c r="G256" s="11" t="b">
        <x:f>'Truth Modules'!P40="PASS"</x:f>
        <x:v>1</x:v>
      </x:c>
      <x:c r="H256" s="11" t="str">
        <x:f>IF(G256=F256,"PASS","FAIL")</x:f>
        <x:v>PASS</x:v>
      </x:c>
      <x:c r="I256" s="38"/>
    </x:row>
    <x:row r="257">
      <x:c r="B257" s="11" t="str">
        <x:v>AU-0251</x:v>
      </x:c>
      <x:c r="C257" s="11" t="str">
        <x:v>truth module definition</x:v>
      </x:c>
      <x:c r="D257" s="11" t="str">
        <x:v>RA-SA1-02-A3-T2</x:v>
      </x:c>
      <x:c r="E257" s="11" t="b">
        <x:f>'Truth Modules'!P41="PASS"</x:f>
        <x:v>1</x:v>
      </x:c>
      <x:c r="F257" s="29" t="b">
        <x:v>1</x:v>
      </x:c>
      <x:c r="G257" s="11" t="b">
        <x:f>'Truth Modules'!P41="PASS"</x:f>
        <x:v>1</x:v>
      </x:c>
      <x:c r="H257" s="11" t="str">
        <x:f>IF(G257=F257,"PASS","FAIL")</x:f>
        <x:v>PASS</x:v>
      </x:c>
      <x:c r="I257" s="38"/>
    </x:row>
    <x:row r="258">
      <x:c r="B258" s="11" t="str">
        <x:v>AU-0252</x:v>
      </x:c>
      <x:c r="C258" s="11" t="str">
        <x:v>truth module definition</x:v>
      </x:c>
      <x:c r="D258" s="11" t="str">
        <x:v>RA-SA1-02-A3-T3</x:v>
      </x:c>
      <x:c r="E258" s="11" t="b">
        <x:f>'Truth Modules'!P42="PASS"</x:f>
        <x:v>1</x:v>
      </x:c>
      <x:c r="F258" s="29" t="b">
        <x:v>1</x:v>
      </x:c>
      <x:c r="G258" s="11" t="b">
        <x:f>'Truth Modules'!P42="PASS"</x:f>
        <x:v>1</x:v>
      </x:c>
      <x:c r="H258" s="11" t="str">
        <x:f>IF(G258=F258,"PASS","FAIL")</x:f>
        <x:v>PASS</x:v>
      </x:c>
      <x:c r="I258" s="38"/>
    </x:row>
    <x:row r="259">
      <x:c r="B259" s="11" t="str">
        <x:v>AU-0253</x:v>
      </x:c>
      <x:c r="C259" s="11" t="str">
        <x:v>truth module definition</x:v>
      </x:c>
      <x:c r="D259" s="11" t="str">
        <x:v>RA-SA1-02-B1-T0</x:v>
      </x:c>
      <x:c r="E259" s="11" t="b">
        <x:f>'Truth Modules'!P43="PASS"</x:f>
        <x:v>1</x:v>
      </x:c>
      <x:c r="F259" s="29" t="b">
        <x:v>1</x:v>
      </x:c>
      <x:c r="G259" s="11" t="b">
        <x:f>'Truth Modules'!P43="PASS"</x:f>
        <x:v>1</x:v>
      </x:c>
      <x:c r="H259" s="11" t="str">
        <x:f>IF(G259=F259,"PASS","FAIL")</x:f>
        <x:v>PASS</x:v>
      </x:c>
      <x:c r="I259" s="38"/>
    </x:row>
    <x:row r="260">
      <x:c r="B260" s="11" t="str">
        <x:v>AU-0254</x:v>
      </x:c>
      <x:c r="C260" s="11" t="str">
        <x:v>truth module definition</x:v>
      </x:c>
      <x:c r="D260" s="11" t="str">
        <x:v>RA-SA1-02-B1-T1</x:v>
      </x:c>
      <x:c r="E260" s="11" t="b">
        <x:f>'Truth Modules'!P44="PASS"</x:f>
        <x:v>1</x:v>
      </x:c>
      <x:c r="F260" s="29" t="b">
        <x:v>1</x:v>
      </x:c>
      <x:c r="G260" s="11" t="b">
        <x:f>'Truth Modules'!P44="PASS"</x:f>
        <x:v>1</x:v>
      </x:c>
      <x:c r="H260" s="11" t="str">
        <x:f>IF(G260=F260,"PASS","FAIL")</x:f>
        <x:v>PASS</x:v>
      </x:c>
      <x:c r="I260" s="38"/>
    </x:row>
    <x:row r="261">
      <x:c r="B261" s="11" t="str">
        <x:v>AU-0255</x:v>
      </x:c>
      <x:c r="C261" s="11" t="str">
        <x:v>truth module definition</x:v>
      </x:c>
      <x:c r="D261" s="11" t="str">
        <x:v>RA-SA1-02-B1-T2</x:v>
      </x:c>
      <x:c r="E261" s="11" t="b">
        <x:f>'Truth Modules'!P45="PASS"</x:f>
        <x:v>1</x:v>
      </x:c>
      <x:c r="F261" s="29" t="b">
        <x:v>1</x:v>
      </x:c>
      <x:c r="G261" s="11" t="b">
        <x:f>'Truth Modules'!P45="PASS"</x:f>
        <x:v>1</x:v>
      </x:c>
      <x:c r="H261" s="11" t="str">
        <x:f>IF(G261=F261,"PASS","FAIL")</x:f>
        <x:v>PASS</x:v>
      </x:c>
      <x:c r="I261" s="38"/>
    </x:row>
    <x:row r="262">
      <x:c r="B262" s="11" t="str">
        <x:v>AU-0256</x:v>
      </x:c>
      <x:c r="C262" s="11" t="str">
        <x:v>truth module definition</x:v>
      </x:c>
      <x:c r="D262" s="11" t="str">
        <x:v>RA-SA1-02-B1-T3</x:v>
      </x:c>
      <x:c r="E262" s="11" t="b">
        <x:f>'Truth Modules'!P46="PASS"</x:f>
        <x:v>1</x:v>
      </x:c>
      <x:c r="F262" s="29" t="b">
        <x:v>1</x:v>
      </x:c>
      <x:c r="G262" s="11" t="b">
        <x:f>'Truth Modules'!P46="PASS"</x:f>
        <x:v>1</x:v>
      </x:c>
      <x:c r="H262" s="11" t="str">
        <x:f>IF(G262=F262,"PASS","FAIL")</x:f>
        <x:v>PASS</x:v>
      </x:c>
      <x:c r="I262" s="38"/>
    </x:row>
    <x:row r="263">
      <x:c r="B263" s="11" t="str">
        <x:v>AU-0257</x:v>
      </x:c>
      <x:c r="C263" s="11" t="str">
        <x:v>truth module definition</x:v>
      </x:c>
      <x:c r="D263" s="11" t="str">
        <x:v>RA-SA1-02-B2-T0</x:v>
      </x:c>
      <x:c r="E263" s="11" t="b">
        <x:f>'Truth Modules'!P47="PASS"</x:f>
        <x:v>1</x:v>
      </x:c>
      <x:c r="F263" s="29" t="b">
        <x:v>1</x:v>
      </x:c>
      <x:c r="G263" s="11" t="b">
        <x:f>'Truth Modules'!P47="PASS"</x:f>
        <x:v>1</x:v>
      </x:c>
      <x:c r="H263" s="11" t="str">
        <x:f>IF(G263=F263,"PASS","FAIL")</x:f>
        <x:v>PASS</x:v>
      </x:c>
      <x:c r="I263" s="38"/>
    </x:row>
    <x:row r="264">
      <x:c r="B264" s="11" t="str">
        <x:v>AU-0258</x:v>
      </x:c>
      <x:c r="C264" s="11" t="str">
        <x:v>truth module definition</x:v>
      </x:c>
      <x:c r="D264" s="11" t="str">
        <x:v>RA-SA1-02-B2-T1</x:v>
      </x:c>
      <x:c r="E264" s="11" t="b">
        <x:f>'Truth Modules'!P48="PASS"</x:f>
        <x:v>1</x:v>
      </x:c>
      <x:c r="F264" s="29" t="b">
        <x:v>1</x:v>
      </x:c>
      <x:c r="G264" s="11" t="b">
        <x:f>'Truth Modules'!P48="PASS"</x:f>
        <x:v>1</x:v>
      </x:c>
      <x:c r="H264" s="11" t="str">
        <x:f>IF(G264=F264,"PASS","FAIL")</x:f>
        <x:v>PASS</x:v>
      </x:c>
      <x:c r="I264" s="38"/>
    </x:row>
    <x:row r="265">
      <x:c r="B265" s="11" t="str">
        <x:v>AU-0259</x:v>
      </x:c>
      <x:c r="C265" s="11" t="str">
        <x:v>truth module definition</x:v>
      </x:c>
      <x:c r="D265" s="11" t="str">
        <x:v>RA-SA1-02-B2-T2</x:v>
      </x:c>
      <x:c r="E265" s="11" t="b">
        <x:f>'Truth Modules'!P49="PASS"</x:f>
        <x:v>1</x:v>
      </x:c>
      <x:c r="F265" s="29" t="b">
        <x:v>1</x:v>
      </x:c>
      <x:c r="G265" s="11" t="b">
        <x:f>'Truth Modules'!P49="PASS"</x:f>
        <x:v>1</x:v>
      </x:c>
      <x:c r="H265" s="11" t="str">
        <x:f>IF(G265=F265,"PASS","FAIL")</x:f>
        <x:v>PASS</x:v>
      </x:c>
      <x:c r="I265" s="38"/>
    </x:row>
    <x:row r="266">
      <x:c r="B266" s="11" t="str">
        <x:v>AU-0260</x:v>
      </x:c>
      <x:c r="C266" s="11" t="str">
        <x:v>truth module definition</x:v>
      </x:c>
      <x:c r="D266" s="11" t="str">
        <x:v>RA-SA1-02-B2-T3</x:v>
      </x:c>
      <x:c r="E266" s="11" t="b">
        <x:f>'Truth Modules'!P50="PASS"</x:f>
        <x:v>1</x:v>
      </x:c>
      <x:c r="F266" s="29" t="b">
        <x:v>1</x:v>
      </x:c>
      <x:c r="G266" s="11" t="b">
        <x:f>'Truth Modules'!P50="PASS"</x:f>
        <x:v>1</x:v>
      </x:c>
      <x:c r="H266" s="11" t="str">
        <x:f>IF(G266=F266,"PASS","FAIL")</x:f>
        <x:v>PASS</x:v>
      </x:c>
      <x:c r="I266" s="38"/>
    </x:row>
    <x:row r="267">
      <x:c r="B267" s="11" t="str">
        <x:v>AU-0261</x:v>
      </x:c>
      <x:c r="C267" s="11" t="str">
        <x:v>truth module definition</x:v>
      </x:c>
      <x:c r="D267" s="11" t="str">
        <x:v>RA-SA1-02-B3-T0</x:v>
      </x:c>
      <x:c r="E267" s="11" t="b">
        <x:f>'Truth Modules'!P51="PASS"</x:f>
        <x:v>1</x:v>
      </x:c>
      <x:c r="F267" s="29" t="b">
        <x:v>1</x:v>
      </x:c>
      <x:c r="G267" s="11" t="b">
        <x:f>'Truth Modules'!P51="PASS"</x:f>
        <x:v>1</x:v>
      </x:c>
      <x:c r="H267" s="11" t="str">
        <x:f>IF(G267=F267,"PASS","FAIL")</x:f>
        <x:v>PASS</x:v>
      </x:c>
      <x:c r="I267" s="38"/>
    </x:row>
    <x:row r="268">
      <x:c r="B268" s="11" t="str">
        <x:v>AU-0262</x:v>
      </x:c>
      <x:c r="C268" s="11" t="str">
        <x:v>truth module definition</x:v>
      </x:c>
      <x:c r="D268" s="11" t="str">
        <x:v>RA-SA1-02-B3-T1</x:v>
      </x:c>
      <x:c r="E268" s="11" t="b">
        <x:f>'Truth Modules'!P52="PASS"</x:f>
        <x:v>1</x:v>
      </x:c>
      <x:c r="F268" s="29" t="b">
        <x:v>1</x:v>
      </x:c>
      <x:c r="G268" s="11" t="b">
        <x:f>'Truth Modules'!P52="PASS"</x:f>
        <x:v>1</x:v>
      </x:c>
      <x:c r="H268" s="11" t="str">
        <x:f>IF(G268=F268,"PASS","FAIL")</x:f>
        <x:v>PASS</x:v>
      </x:c>
      <x:c r="I268" s="38"/>
    </x:row>
    <x:row r="269">
      <x:c r="B269" s="11" t="str">
        <x:v>AU-0263</x:v>
      </x:c>
      <x:c r="C269" s="11" t="str">
        <x:v>truth module definition</x:v>
      </x:c>
      <x:c r="D269" s="11" t="str">
        <x:v>RA-SA1-02-B3-T2</x:v>
      </x:c>
      <x:c r="E269" s="11" t="b">
        <x:f>'Truth Modules'!P53="PASS"</x:f>
        <x:v>1</x:v>
      </x:c>
      <x:c r="F269" s="29" t="b">
        <x:v>1</x:v>
      </x:c>
      <x:c r="G269" s="11" t="b">
        <x:f>'Truth Modules'!P53="PASS"</x:f>
        <x:v>1</x:v>
      </x:c>
      <x:c r="H269" s="11" t="str">
        <x:f>IF(G269=F269,"PASS","FAIL")</x:f>
        <x:v>PASS</x:v>
      </x:c>
      <x:c r="I269" s="38"/>
    </x:row>
    <x:row r="270">
      <x:c r="B270" s="11" t="str">
        <x:v>AU-0264</x:v>
      </x:c>
      <x:c r="C270" s="11" t="str">
        <x:v>truth module definition</x:v>
      </x:c>
      <x:c r="D270" s="11" t="str">
        <x:v>RA-SA1-02-B3-T3</x:v>
      </x:c>
      <x:c r="E270" s="11" t="b">
        <x:f>'Truth Modules'!P54="PASS"</x:f>
        <x:v>1</x:v>
      </x:c>
      <x:c r="F270" s="29" t="b">
        <x:v>1</x:v>
      </x:c>
      <x:c r="G270" s="11" t="b">
        <x:f>'Truth Modules'!P54="PASS"</x:f>
        <x:v>1</x:v>
      </x:c>
      <x:c r="H270" s="11" t="str">
        <x:f>IF(G270=F270,"PASS","FAIL")</x:f>
        <x:v>PASS</x:v>
      </x:c>
      <x:c r="I270" s="38"/>
    </x:row>
    <x:row r="271">
      <x:c r="B271" s="11" t="str">
        <x:v>AU-0265</x:v>
      </x:c>
      <x:c r="C271" s="11" t="str">
        <x:v>truth module definition</x:v>
      </x:c>
      <x:c r="D271" s="11" t="str">
        <x:v>RA-SA2-03-A1-T0</x:v>
      </x:c>
      <x:c r="E271" s="11" t="b">
        <x:f>'Truth Modules'!P55="PASS"</x:f>
        <x:v>1</x:v>
      </x:c>
      <x:c r="F271" s="29" t="b">
        <x:v>1</x:v>
      </x:c>
      <x:c r="G271" s="11" t="b">
        <x:f>'Truth Modules'!P55="PASS"</x:f>
        <x:v>1</x:v>
      </x:c>
      <x:c r="H271" s="11" t="str">
        <x:f>IF(G271=F271,"PASS","FAIL")</x:f>
        <x:v>PASS</x:v>
      </x:c>
      <x:c r="I271" s="38"/>
    </x:row>
    <x:row r="272">
      <x:c r="B272" s="11" t="str">
        <x:v>AU-0266</x:v>
      </x:c>
      <x:c r="C272" s="11" t="str">
        <x:v>truth module definition</x:v>
      </x:c>
      <x:c r="D272" s="11" t="str">
        <x:v>RA-SA2-03-A1-T1</x:v>
      </x:c>
      <x:c r="E272" s="11" t="b">
        <x:f>'Truth Modules'!P56="PASS"</x:f>
        <x:v>1</x:v>
      </x:c>
      <x:c r="F272" s="29" t="b">
        <x:v>1</x:v>
      </x:c>
      <x:c r="G272" s="11" t="b">
        <x:f>'Truth Modules'!P56="PASS"</x:f>
        <x:v>1</x:v>
      </x:c>
      <x:c r="H272" s="11" t="str">
        <x:f>IF(G272=F272,"PASS","FAIL")</x:f>
        <x:v>PASS</x:v>
      </x:c>
      <x:c r="I272" s="38"/>
    </x:row>
    <x:row r="273">
      <x:c r="B273" s="11" t="str">
        <x:v>AU-0267</x:v>
      </x:c>
      <x:c r="C273" s="11" t="str">
        <x:v>truth module definition</x:v>
      </x:c>
      <x:c r="D273" s="11" t="str">
        <x:v>RA-SA2-03-A1-T2</x:v>
      </x:c>
      <x:c r="E273" s="11" t="b">
        <x:f>'Truth Modules'!P57="PASS"</x:f>
        <x:v>1</x:v>
      </x:c>
      <x:c r="F273" s="29" t="b">
        <x:v>1</x:v>
      </x:c>
      <x:c r="G273" s="11" t="b">
        <x:f>'Truth Modules'!P57="PASS"</x:f>
        <x:v>1</x:v>
      </x:c>
      <x:c r="H273" s="11" t="str">
        <x:f>IF(G273=F273,"PASS","FAIL")</x:f>
        <x:v>PASS</x:v>
      </x:c>
      <x:c r="I273" s="38"/>
    </x:row>
    <x:row r="274">
      <x:c r="B274" s="11" t="str">
        <x:v>AU-0268</x:v>
      </x:c>
      <x:c r="C274" s="11" t="str">
        <x:v>truth module definition</x:v>
      </x:c>
      <x:c r="D274" s="11" t="str">
        <x:v>RA-SA2-03-A1-T3</x:v>
      </x:c>
      <x:c r="E274" s="11" t="b">
        <x:f>'Truth Modules'!P58="PASS"</x:f>
        <x:v>1</x:v>
      </x:c>
      <x:c r="F274" s="29" t="b">
        <x:v>1</x:v>
      </x:c>
      <x:c r="G274" s="11" t="b">
        <x:f>'Truth Modules'!P58="PASS"</x:f>
        <x:v>1</x:v>
      </x:c>
      <x:c r="H274" s="11" t="str">
        <x:f>IF(G274=F274,"PASS","FAIL")</x:f>
        <x:v>PASS</x:v>
      </x:c>
      <x:c r="I274" s="38"/>
    </x:row>
    <x:row r="275">
      <x:c r="B275" s="11" t="str">
        <x:v>AU-0269</x:v>
      </x:c>
      <x:c r="C275" s="11" t="str">
        <x:v>truth module definition</x:v>
      </x:c>
      <x:c r="D275" s="11" t="str">
        <x:v>RA-SA2-03-A2-T0</x:v>
      </x:c>
      <x:c r="E275" s="11" t="b">
        <x:f>'Truth Modules'!P59="PASS"</x:f>
        <x:v>1</x:v>
      </x:c>
      <x:c r="F275" s="29" t="b">
        <x:v>1</x:v>
      </x:c>
      <x:c r="G275" s="11" t="b">
        <x:f>'Truth Modules'!P59="PASS"</x:f>
        <x:v>1</x:v>
      </x:c>
      <x:c r="H275" s="11" t="str">
        <x:f>IF(G275=F275,"PASS","FAIL")</x:f>
        <x:v>PASS</x:v>
      </x:c>
      <x:c r="I275" s="38"/>
    </x:row>
    <x:row r="276">
      <x:c r="B276" s="11" t="str">
        <x:v>AU-0270</x:v>
      </x:c>
      <x:c r="C276" s="11" t="str">
        <x:v>truth module definition</x:v>
      </x:c>
      <x:c r="D276" s="11" t="str">
        <x:v>RA-SA2-03-A2-T1</x:v>
      </x:c>
      <x:c r="E276" s="11" t="b">
        <x:f>'Truth Modules'!P60="PASS"</x:f>
        <x:v>1</x:v>
      </x:c>
      <x:c r="F276" s="29" t="b">
        <x:v>1</x:v>
      </x:c>
      <x:c r="G276" s="11" t="b">
        <x:f>'Truth Modules'!P60="PASS"</x:f>
        <x:v>1</x:v>
      </x:c>
      <x:c r="H276" s="11" t="str">
        <x:f>IF(G276=F276,"PASS","FAIL")</x:f>
        <x:v>PASS</x:v>
      </x:c>
      <x:c r="I276" s="38"/>
    </x:row>
    <x:row r="277">
      <x:c r="B277" s="11" t="str">
        <x:v>AU-0271</x:v>
      </x:c>
      <x:c r="C277" s="11" t="str">
        <x:v>truth module definition</x:v>
      </x:c>
      <x:c r="D277" s="11" t="str">
        <x:v>RA-SA2-03-A2-T2</x:v>
      </x:c>
      <x:c r="E277" s="11" t="b">
        <x:f>'Truth Modules'!P61="PASS"</x:f>
        <x:v>1</x:v>
      </x:c>
      <x:c r="F277" s="29" t="b">
        <x:v>1</x:v>
      </x:c>
      <x:c r="G277" s="11" t="b">
        <x:f>'Truth Modules'!P61="PASS"</x:f>
        <x:v>1</x:v>
      </x:c>
      <x:c r="H277" s="11" t="str">
        <x:f>IF(G277=F277,"PASS","FAIL")</x:f>
        <x:v>PASS</x:v>
      </x:c>
      <x:c r="I277" s="38"/>
    </x:row>
    <x:row r="278">
      <x:c r="B278" s="11" t="str">
        <x:v>AU-0272</x:v>
      </x:c>
      <x:c r="C278" s="11" t="str">
        <x:v>truth module definition</x:v>
      </x:c>
      <x:c r="D278" s="11" t="str">
        <x:v>RA-SA2-03-A2-T3</x:v>
      </x:c>
      <x:c r="E278" s="11" t="b">
        <x:f>'Truth Modules'!P62="PASS"</x:f>
        <x:v>1</x:v>
      </x:c>
      <x:c r="F278" s="29" t="b">
        <x:v>1</x:v>
      </x:c>
      <x:c r="G278" s="11" t="b">
        <x:f>'Truth Modules'!P62="PASS"</x:f>
        <x:v>1</x:v>
      </x:c>
      <x:c r="H278" s="11" t="str">
        <x:f>IF(G278=F278,"PASS","FAIL")</x:f>
        <x:v>PASS</x:v>
      </x:c>
      <x:c r="I278" s="38"/>
    </x:row>
    <x:row r="279">
      <x:c r="B279" s="11" t="str">
        <x:v>AU-0273</x:v>
      </x:c>
      <x:c r="C279" s="11" t="str">
        <x:v>truth module definition</x:v>
      </x:c>
      <x:c r="D279" s="11" t="str">
        <x:v>RA-SA2-03-A3-T0</x:v>
      </x:c>
      <x:c r="E279" s="11" t="b">
        <x:f>'Truth Modules'!P63="PASS"</x:f>
        <x:v>1</x:v>
      </x:c>
      <x:c r="F279" s="29" t="b">
        <x:v>1</x:v>
      </x:c>
      <x:c r="G279" s="11" t="b">
        <x:f>'Truth Modules'!P63="PASS"</x:f>
        <x:v>1</x:v>
      </x:c>
      <x:c r="H279" s="11" t="str">
        <x:f>IF(G279=F279,"PASS","FAIL")</x:f>
        <x:v>PASS</x:v>
      </x:c>
      <x:c r="I279" s="38"/>
    </x:row>
    <x:row r="280">
      <x:c r="B280" s="11" t="str">
        <x:v>AU-0274</x:v>
      </x:c>
      <x:c r="C280" s="11" t="str">
        <x:v>truth module definition</x:v>
      </x:c>
      <x:c r="D280" s="11" t="str">
        <x:v>RA-SA2-03-A3-T1</x:v>
      </x:c>
      <x:c r="E280" s="11" t="b">
        <x:f>'Truth Modules'!P64="PASS"</x:f>
        <x:v>1</x:v>
      </x:c>
      <x:c r="F280" s="29" t="b">
        <x:v>1</x:v>
      </x:c>
      <x:c r="G280" s="11" t="b">
        <x:f>'Truth Modules'!P64="PASS"</x:f>
        <x:v>1</x:v>
      </x:c>
      <x:c r="H280" s="11" t="str">
        <x:f>IF(G280=F280,"PASS","FAIL")</x:f>
        <x:v>PASS</x:v>
      </x:c>
      <x:c r="I280" s="38"/>
    </x:row>
    <x:row r="281">
      <x:c r="B281" s="11" t="str">
        <x:v>AU-0275</x:v>
      </x:c>
      <x:c r="C281" s="11" t="str">
        <x:v>truth module definition</x:v>
      </x:c>
      <x:c r="D281" s="11" t="str">
        <x:v>RA-SA2-03-A3-T2</x:v>
      </x:c>
      <x:c r="E281" s="11" t="b">
        <x:f>'Truth Modules'!P65="PASS"</x:f>
        <x:v>1</x:v>
      </x:c>
      <x:c r="F281" s="29" t="b">
        <x:v>1</x:v>
      </x:c>
      <x:c r="G281" s="11" t="b">
        <x:f>'Truth Modules'!P65="PASS"</x:f>
        <x:v>1</x:v>
      </x:c>
      <x:c r="H281" s="11" t="str">
        <x:f>IF(G281=F281,"PASS","FAIL")</x:f>
        <x:v>PASS</x:v>
      </x:c>
      <x:c r="I281" s="38"/>
    </x:row>
    <x:row r="282">
      <x:c r="B282" s="11" t="str">
        <x:v>AU-0276</x:v>
      </x:c>
      <x:c r="C282" s="11" t="str">
        <x:v>truth module definition</x:v>
      </x:c>
      <x:c r="D282" s="11" t="str">
        <x:v>RA-SA2-03-A3-T3</x:v>
      </x:c>
      <x:c r="E282" s="11" t="b">
        <x:f>'Truth Modules'!P66="PASS"</x:f>
        <x:v>1</x:v>
      </x:c>
      <x:c r="F282" s="29" t="b">
        <x:v>1</x:v>
      </x:c>
      <x:c r="G282" s="11" t="b">
        <x:f>'Truth Modules'!P66="PASS"</x:f>
        <x:v>1</x:v>
      </x:c>
      <x:c r="H282" s="11" t="str">
        <x:f>IF(G282=F282,"PASS","FAIL")</x:f>
        <x:v>PASS</x:v>
      </x:c>
      <x:c r="I282" s="38"/>
    </x:row>
    <x:row r="283">
      <x:c r="B283" s="11" t="str">
        <x:v>AU-0277</x:v>
      </x:c>
      <x:c r="C283" s="11" t="str">
        <x:v>truth module definition</x:v>
      </x:c>
      <x:c r="D283" s="11" t="str">
        <x:v>RA-SA2-03-B1-T0</x:v>
      </x:c>
      <x:c r="E283" s="11" t="b">
        <x:f>'Truth Modules'!P67="PASS"</x:f>
        <x:v>1</x:v>
      </x:c>
      <x:c r="F283" s="29" t="b">
        <x:v>1</x:v>
      </x:c>
      <x:c r="G283" s="11" t="b">
        <x:f>'Truth Modules'!P67="PASS"</x:f>
        <x:v>1</x:v>
      </x:c>
      <x:c r="H283" s="11" t="str">
        <x:f>IF(G283=F283,"PASS","FAIL")</x:f>
        <x:v>PASS</x:v>
      </x:c>
      <x:c r="I283" s="38"/>
    </x:row>
    <x:row r="284">
      <x:c r="B284" s="11" t="str">
        <x:v>AU-0278</x:v>
      </x:c>
      <x:c r="C284" s="11" t="str">
        <x:v>truth module definition</x:v>
      </x:c>
      <x:c r="D284" s="11" t="str">
        <x:v>RA-SA2-03-B1-T1</x:v>
      </x:c>
      <x:c r="E284" s="11" t="b">
        <x:f>'Truth Modules'!P68="PASS"</x:f>
        <x:v>1</x:v>
      </x:c>
      <x:c r="F284" s="29" t="b">
        <x:v>1</x:v>
      </x:c>
      <x:c r="G284" s="11" t="b">
        <x:f>'Truth Modules'!P68="PASS"</x:f>
        <x:v>1</x:v>
      </x:c>
      <x:c r="H284" s="11" t="str">
        <x:f>IF(G284=F284,"PASS","FAIL")</x:f>
        <x:v>PASS</x:v>
      </x:c>
      <x:c r="I284" s="38"/>
    </x:row>
    <x:row r="285">
      <x:c r="B285" s="11" t="str">
        <x:v>AU-0279</x:v>
      </x:c>
      <x:c r="C285" s="11" t="str">
        <x:v>truth module definition</x:v>
      </x:c>
      <x:c r="D285" s="11" t="str">
        <x:v>RA-SA2-03-B1-T2</x:v>
      </x:c>
      <x:c r="E285" s="11" t="b">
        <x:f>'Truth Modules'!P69="PASS"</x:f>
        <x:v>1</x:v>
      </x:c>
      <x:c r="F285" s="29" t="b">
        <x:v>1</x:v>
      </x:c>
      <x:c r="G285" s="11" t="b">
        <x:f>'Truth Modules'!P69="PASS"</x:f>
        <x:v>1</x:v>
      </x:c>
      <x:c r="H285" s="11" t="str">
        <x:f>IF(G285=F285,"PASS","FAIL")</x:f>
        <x:v>PASS</x:v>
      </x:c>
      <x:c r="I285" s="38"/>
    </x:row>
    <x:row r="286">
      <x:c r="B286" s="11" t="str">
        <x:v>AU-0280</x:v>
      </x:c>
      <x:c r="C286" s="11" t="str">
        <x:v>truth module definition</x:v>
      </x:c>
      <x:c r="D286" s="11" t="str">
        <x:v>RA-SA2-03-B1-T3</x:v>
      </x:c>
      <x:c r="E286" s="11" t="b">
        <x:f>'Truth Modules'!P70="PASS"</x:f>
        <x:v>1</x:v>
      </x:c>
      <x:c r="F286" s="29" t="b">
        <x:v>1</x:v>
      </x:c>
      <x:c r="G286" s="11" t="b">
        <x:f>'Truth Modules'!P70="PASS"</x:f>
        <x:v>1</x:v>
      </x:c>
      <x:c r="H286" s="11" t="str">
        <x:f>IF(G286=F286,"PASS","FAIL")</x:f>
        <x:v>PASS</x:v>
      </x:c>
      <x:c r="I286" s="38"/>
    </x:row>
    <x:row r="287">
      <x:c r="B287" s="11" t="str">
        <x:v>AU-0281</x:v>
      </x:c>
      <x:c r="C287" s="11" t="str">
        <x:v>truth module definition</x:v>
      </x:c>
      <x:c r="D287" s="11" t="str">
        <x:v>RA-SA2-03-B2-T0</x:v>
      </x:c>
      <x:c r="E287" s="11" t="b">
        <x:f>'Truth Modules'!P71="PASS"</x:f>
        <x:v>1</x:v>
      </x:c>
      <x:c r="F287" s="29" t="b">
        <x:v>1</x:v>
      </x:c>
      <x:c r="G287" s="11" t="b">
        <x:f>'Truth Modules'!P71="PASS"</x:f>
        <x:v>1</x:v>
      </x:c>
      <x:c r="H287" s="11" t="str">
        <x:f>IF(G287=F287,"PASS","FAIL")</x:f>
        <x:v>PASS</x:v>
      </x:c>
      <x:c r="I287" s="38"/>
    </x:row>
    <x:row r="288">
      <x:c r="B288" s="11" t="str">
        <x:v>AU-0282</x:v>
      </x:c>
      <x:c r="C288" s="11" t="str">
        <x:v>truth module definition</x:v>
      </x:c>
      <x:c r="D288" s="11" t="str">
        <x:v>RA-SA2-03-B2-T1</x:v>
      </x:c>
      <x:c r="E288" s="11" t="b">
        <x:f>'Truth Modules'!P72="PASS"</x:f>
        <x:v>1</x:v>
      </x:c>
      <x:c r="F288" s="29" t="b">
        <x:v>1</x:v>
      </x:c>
      <x:c r="G288" s="11" t="b">
        <x:f>'Truth Modules'!P72="PASS"</x:f>
        <x:v>1</x:v>
      </x:c>
      <x:c r="H288" s="11" t="str">
        <x:f>IF(G288=F288,"PASS","FAIL")</x:f>
        <x:v>PASS</x:v>
      </x:c>
      <x:c r="I288" s="38"/>
    </x:row>
    <x:row r="289">
      <x:c r="B289" s="11" t="str">
        <x:v>AU-0283</x:v>
      </x:c>
      <x:c r="C289" s="11" t="str">
        <x:v>truth module definition</x:v>
      </x:c>
      <x:c r="D289" s="11" t="str">
        <x:v>RA-SA2-03-B2-T2</x:v>
      </x:c>
      <x:c r="E289" s="11" t="b">
        <x:f>'Truth Modules'!P73="PASS"</x:f>
        <x:v>1</x:v>
      </x:c>
      <x:c r="F289" s="29" t="b">
        <x:v>1</x:v>
      </x:c>
      <x:c r="G289" s="11" t="b">
        <x:f>'Truth Modules'!P73="PASS"</x:f>
        <x:v>1</x:v>
      </x:c>
      <x:c r="H289" s="11" t="str">
        <x:f>IF(G289=F289,"PASS","FAIL")</x:f>
        <x:v>PASS</x:v>
      </x:c>
      <x:c r="I289" s="38"/>
    </x:row>
    <x:row r="290">
      <x:c r="B290" s="11" t="str">
        <x:v>AU-0284</x:v>
      </x:c>
      <x:c r="C290" s="11" t="str">
        <x:v>truth module definition</x:v>
      </x:c>
      <x:c r="D290" s="11" t="str">
        <x:v>RA-SA2-03-B2-T3</x:v>
      </x:c>
      <x:c r="E290" s="11" t="b">
        <x:f>'Truth Modules'!P74="PASS"</x:f>
        <x:v>1</x:v>
      </x:c>
      <x:c r="F290" s="29" t="b">
        <x:v>1</x:v>
      </x:c>
      <x:c r="G290" s="11" t="b">
        <x:f>'Truth Modules'!P74="PASS"</x:f>
        <x:v>1</x:v>
      </x:c>
      <x:c r="H290" s="11" t="str">
        <x:f>IF(G290=F290,"PASS","FAIL")</x:f>
        <x:v>PASS</x:v>
      </x:c>
      <x:c r="I290" s="38"/>
    </x:row>
    <x:row r="291">
      <x:c r="B291" s="11" t="str">
        <x:v>AU-0285</x:v>
      </x:c>
      <x:c r="C291" s="11" t="str">
        <x:v>truth module definition</x:v>
      </x:c>
      <x:c r="D291" s="11" t="str">
        <x:v>RA-SA2-03-B3-T0</x:v>
      </x:c>
      <x:c r="E291" s="11" t="b">
        <x:f>'Truth Modules'!P75="PASS"</x:f>
        <x:v>1</x:v>
      </x:c>
      <x:c r="F291" s="29" t="b">
        <x:v>1</x:v>
      </x:c>
      <x:c r="G291" s="11" t="b">
        <x:f>'Truth Modules'!P75="PASS"</x:f>
        <x:v>1</x:v>
      </x:c>
      <x:c r="H291" s="11" t="str">
        <x:f>IF(G291=F291,"PASS","FAIL")</x:f>
        <x:v>PASS</x:v>
      </x:c>
      <x:c r="I291" s="38"/>
    </x:row>
    <x:row r="292">
      <x:c r="B292" s="11" t="str">
        <x:v>AU-0286</x:v>
      </x:c>
      <x:c r="C292" s="11" t="str">
        <x:v>truth module definition</x:v>
      </x:c>
      <x:c r="D292" s="11" t="str">
        <x:v>RA-SA2-03-B3-T1</x:v>
      </x:c>
      <x:c r="E292" s="11" t="b">
        <x:f>'Truth Modules'!P76="PASS"</x:f>
        <x:v>1</x:v>
      </x:c>
      <x:c r="F292" s="29" t="b">
        <x:v>1</x:v>
      </x:c>
      <x:c r="G292" s="11" t="b">
        <x:f>'Truth Modules'!P76="PASS"</x:f>
        <x:v>1</x:v>
      </x:c>
      <x:c r="H292" s="11" t="str">
        <x:f>IF(G292=F292,"PASS","FAIL")</x:f>
        <x:v>PASS</x:v>
      </x:c>
      <x:c r="I292" s="38"/>
    </x:row>
    <x:row r="293">
      <x:c r="B293" s="11" t="str">
        <x:v>AU-0287</x:v>
      </x:c>
      <x:c r="C293" s="11" t="str">
        <x:v>truth module definition</x:v>
      </x:c>
      <x:c r="D293" s="11" t="str">
        <x:v>RA-SA2-03-B3-T2</x:v>
      </x:c>
      <x:c r="E293" s="11" t="b">
        <x:f>'Truth Modules'!P77="PASS"</x:f>
        <x:v>1</x:v>
      </x:c>
      <x:c r="F293" s="29" t="b">
        <x:v>1</x:v>
      </x:c>
      <x:c r="G293" s="11" t="b">
        <x:f>'Truth Modules'!P77="PASS"</x:f>
        <x:v>1</x:v>
      </x:c>
      <x:c r="H293" s="11" t="str">
        <x:f>IF(G293=F293,"PASS","FAIL")</x:f>
        <x:v>PASS</x:v>
      </x:c>
      <x:c r="I293" s="38"/>
    </x:row>
    <x:row r="294">
      <x:c r="B294" s="11" t="str">
        <x:v>AU-0288</x:v>
      </x:c>
      <x:c r="C294" s="11" t="str">
        <x:v>truth module definition</x:v>
      </x:c>
      <x:c r="D294" s="11" t="str">
        <x:v>RA-SA2-03-B3-T3</x:v>
      </x:c>
      <x:c r="E294" s="11" t="b">
        <x:f>'Truth Modules'!P78="PASS"</x:f>
        <x:v>1</x:v>
      </x:c>
      <x:c r="F294" s="29" t="b">
        <x:v>1</x:v>
      </x:c>
      <x:c r="G294" s="11" t="b">
        <x:f>'Truth Modules'!P78="PASS"</x:f>
        <x:v>1</x:v>
      </x:c>
      <x:c r="H294" s="11" t="str">
        <x:f>IF(G294=F294,"PASS","FAIL")</x:f>
        <x:v>PASS</x:v>
      </x:c>
      <x:c r="I294" s="38"/>
    </x:row>
    <x:row r="295">
      <x:c r="B295" s="11" t="str">
        <x:v>AU-0289</x:v>
      </x:c>
      <x:c r="C295" s="11" t="str">
        <x:v>truth module definition</x:v>
      </x:c>
      <x:c r="D295" s="11" t="str">
        <x:v>RA-SA2-04-A1-T0</x:v>
      </x:c>
      <x:c r="E295" s="11" t="b">
        <x:f>'Truth Modules'!P79="PASS"</x:f>
        <x:v>1</x:v>
      </x:c>
      <x:c r="F295" s="29" t="b">
        <x:v>1</x:v>
      </x:c>
      <x:c r="G295" s="11" t="b">
        <x:f>'Truth Modules'!P79="PASS"</x:f>
        <x:v>1</x:v>
      </x:c>
      <x:c r="H295" s="11" t="str">
        <x:f>IF(G295=F295,"PASS","FAIL")</x:f>
        <x:v>PASS</x:v>
      </x:c>
      <x:c r="I295" s="38"/>
    </x:row>
    <x:row r="296">
      <x:c r="B296" s="11" t="str">
        <x:v>AU-0290</x:v>
      </x:c>
      <x:c r="C296" s="11" t="str">
        <x:v>truth module definition</x:v>
      </x:c>
      <x:c r="D296" s="11" t="str">
        <x:v>RA-SA2-04-A1-T1</x:v>
      </x:c>
      <x:c r="E296" s="11" t="b">
        <x:f>'Truth Modules'!P80="PASS"</x:f>
        <x:v>1</x:v>
      </x:c>
      <x:c r="F296" s="29" t="b">
        <x:v>1</x:v>
      </x:c>
      <x:c r="G296" s="11" t="b">
        <x:f>'Truth Modules'!P80="PASS"</x:f>
        <x:v>1</x:v>
      </x:c>
      <x:c r="H296" s="11" t="str">
        <x:f>IF(G296=F296,"PASS","FAIL")</x:f>
        <x:v>PASS</x:v>
      </x:c>
      <x:c r="I296" s="38"/>
    </x:row>
    <x:row r="297">
      <x:c r="B297" s="11" t="str">
        <x:v>AU-0291</x:v>
      </x:c>
      <x:c r="C297" s="11" t="str">
        <x:v>truth module definition</x:v>
      </x:c>
      <x:c r="D297" s="11" t="str">
        <x:v>RA-SA2-04-A1-T2</x:v>
      </x:c>
      <x:c r="E297" s="11" t="b">
        <x:f>'Truth Modules'!P81="PASS"</x:f>
        <x:v>1</x:v>
      </x:c>
      <x:c r="F297" s="29" t="b">
        <x:v>1</x:v>
      </x:c>
      <x:c r="G297" s="11" t="b">
        <x:f>'Truth Modules'!P81="PASS"</x:f>
        <x:v>1</x:v>
      </x:c>
      <x:c r="H297" s="11" t="str">
        <x:f>IF(G297=F297,"PASS","FAIL")</x:f>
        <x:v>PASS</x:v>
      </x:c>
      <x:c r="I297" s="38"/>
    </x:row>
    <x:row r="298">
      <x:c r="B298" s="11" t="str">
        <x:v>AU-0292</x:v>
      </x:c>
      <x:c r="C298" s="11" t="str">
        <x:v>truth module definition</x:v>
      </x:c>
      <x:c r="D298" s="11" t="str">
        <x:v>RA-SA2-04-A1-T3</x:v>
      </x:c>
      <x:c r="E298" s="11" t="b">
        <x:f>'Truth Modules'!P82="PASS"</x:f>
        <x:v>1</x:v>
      </x:c>
      <x:c r="F298" s="29" t="b">
        <x:v>1</x:v>
      </x:c>
      <x:c r="G298" s="11" t="b">
        <x:f>'Truth Modules'!P82="PASS"</x:f>
        <x:v>1</x:v>
      </x:c>
      <x:c r="H298" s="11" t="str">
        <x:f>IF(G298=F298,"PASS","FAIL")</x:f>
        <x:v>PASS</x:v>
      </x:c>
      <x:c r="I298" s="38"/>
    </x:row>
    <x:row r="299">
      <x:c r="B299" s="11" t="str">
        <x:v>AU-0293</x:v>
      </x:c>
      <x:c r="C299" s="11" t="str">
        <x:v>truth module definition</x:v>
      </x:c>
      <x:c r="D299" s="11" t="str">
        <x:v>RA-SA2-04-A2-T0</x:v>
      </x:c>
      <x:c r="E299" s="11" t="b">
        <x:f>'Truth Modules'!P83="PASS"</x:f>
        <x:v>1</x:v>
      </x:c>
      <x:c r="F299" s="29" t="b">
        <x:v>1</x:v>
      </x:c>
      <x:c r="G299" s="11" t="b">
        <x:f>'Truth Modules'!P83="PASS"</x:f>
        <x:v>1</x:v>
      </x:c>
      <x:c r="H299" s="11" t="str">
        <x:f>IF(G299=F299,"PASS","FAIL")</x:f>
        <x:v>PASS</x:v>
      </x:c>
      <x:c r="I299" s="38"/>
    </x:row>
    <x:row r="300">
      <x:c r="B300" s="11" t="str">
        <x:v>AU-0294</x:v>
      </x:c>
      <x:c r="C300" s="11" t="str">
        <x:v>truth module definition</x:v>
      </x:c>
      <x:c r="D300" s="11" t="str">
        <x:v>RA-SA2-04-A2-T1</x:v>
      </x:c>
      <x:c r="E300" s="11" t="b">
        <x:f>'Truth Modules'!P84="PASS"</x:f>
        <x:v>1</x:v>
      </x:c>
      <x:c r="F300" s="29" t="b">
        <x:v>1</x:v>
      </x:c>
      <x:c r="G300" s="11" t="b">
        <x:f>'Truth Modules'!P84="PASS"</x:f>
        <x:v>1</x:v>
      </x:c>
      <x:c r="H300" s="11" t="str">
        <x:f>IF(G300=F300,"PASS","FAIL")</x:f>
        <x:v>PASS</x:v>
      </x:c>
      <x:c r="I300" s="38"/>
    </x:row>
    <x:row r="301">
      <x:c r="B301" s="11" t="str">
        <x:v>AU-0295</x:v>
      </x:c>
      <x:c r="C301" s="11" t="str">
        <x:v>truth module definition</x:v>
      </x:c>
      <x:c r="D301" s="11" t="str">
        <x:v>RA-SA2-04-A2-T2</x:v>
      </x:c>
      <x:c r="E301" s="11" t="b">
        <x:f>'Truth Modules'!P85="PASS"</x:f>
        <x:v>1</x:v>
      </x:c>
      <x:c r="F301" s="29" t="b">
        <x:v>1</x:v>
      </x:c>
      <x:c r="G301" s="11" t="b">
        <x:f>'Truth Modules'!P85="PASS"</x:f>
        <x:v>1</x:v>
      </x:c>
      <x:c r="H301" s="11" t="str">
        <x:f>IF(G301=F301,"PASS","FAIL")</x:f>
        <x:v>PASS</x:v>
      </x:c>
      <x:c r="I301" s="38"/>
    </x:row>
    <x:row r="302">
      <x:c r="B302" s="11" t="str">
        <x:v>AU-0296</x:v>
      </x:c>
      <x:c r="C302" s="11" t="str">
        <x:v>truth module definition</x:v>
      </x:c>
      <x:c r="D302" s="11" t="str">
        <x:v>RA-SA2-04-A2-T3</x:v>
      </x:c>
      <x:c r="E302" s="11" t="b">
        <x:f>'Truth Modules'!P86="PASS"</x:f>
        <x:v>1</x:v>
      </x:c>
      <x:c r="F302" s="29" t="b">
        <x:v>1</x:v>
      </x:c>
      <x:c r="G302" s="11" t="b">
        <x:f>'Truth Modules'!P86="PASS"</x:f>
        <x:v>1</x:v>
      </x:c>
      <x:c r="H302" s="11" t="str">
        <x:f>IF(G302=F302,"PASS","FAIL")</x:f>
        <x:v>PASS</x:v>
      </x:c>
      <x:c r="I302" s="38"/>
    </x:row>
    <x:row r="303">
      <x:c r="B303" s="11" t="str">
        <x:v>AU-0297</x:v>
      </x:c>
      <x:c r="C303" s="11" t="str">
        <x:v>truth module definition</x:v>
      </x:c>
      <x:c r="D303" s="11" t="str">
        <x:v>RA-SA2-04-A3-T0</x:v>
      </x:c>
      <x:c r="E303" s="11" t="b">
        <x:f>'Truth Modules'!P87="PASS"</x:f>
        <x:v>1</x:v>
      </x:c>
      <x:c r="F303" s="29" t="b">
        <x:v>1</x:v>
      </x:c>
      <x:c r="G303" s="11" t="b">
        <x:f>'Truth Modules'!P87="PASS"</x:f>
        <x:v>1</x:v>
      </x:c>
      <x:c r="H303" s="11" t="str">
        <x:f>IF(G303=F303,"PASS","FAIL")</x:f>
        <x:v>PASS</x:v>
      </x:c>
      <x:c r="I303" s="38"/>
    </x:row>
    <x:row r="304">
      <x:c r="B304" s="11" t="str">
        <x:v>AU-0298</x:v>
      </x:c>
      <x:c r="C304" s="11" t="str">
        <x:v>truth module definition</x:v>
      </x:c>
      <x:c r="D304" s="11" t="str">
        <x:v>RA-SA2-04-A3-T1</x:v>
      </x:c>
      <x:c r="E304" s="11" t="b">
        <x:f>'Truth Modules'!P88="PASS"</x:f>
        <x:v>1</x:v>
      </x:c>
      <x:c r="F304" s="29" t="b">
        <x:v>1</x:v>
      </x:c>
      <x:c r="G304" s="11" t="b">
        <x:f>'Truth Modules'!P88="PASS"</x:f>
        <x:v>1</x:v>
      </x:c>
      <x:c r="H304" s="11" t="str">
        <x:f>IF(G304=F304,"PASS","FAIL")</x:f>
        <x:v>PASS</x:v>
      </x:c>
      <x:c r="I304" s="38"/>
    </x:row>
    <x:row r="305">
      <x:c r="B305" s="11" t="str">
        <x:v>AU-0299</x:v>
      </x:c>
      <x:c r="C305" s="11" t="str">
        <x:v>truth module definition</x:v>
      </x:c>
      <x:c r="D305" s="11" t="str">
        <x:v>RA-SA2-04-A3-T2</x:v>
      </x:c>
      <x:c r="E305" s="11" t="b">
        <x:f>'Truth Modules'!P89="PASS"</x:f>
        <x:v>1</x:v>
      </x:c>
      <x:c r="F305" s="29" t="b">
        <x:v>1</x:v>
      </x:c>
      <x:c r="G305" s="11" t="b">
        <x:f>'Truth Modules'!P89="PASS"</x:f>
        <x:v>1</x:v>
      </x:c>
      <x:c r="H305" s="11" t="str">
        <x:f>IF(G305=F305,"PASS","FAIL")</x:f>
        <x:v>PASS</x:v>
      </x:c>
      <x:c r="I305" s="38"/>
    </x:row>
    <x:row r="306">
      <x:c r="B306" s="11" t="str">
        <x:v>AU-0300</x:v>
      </x:c>
      <x:c r="C306" s="11" t="str">
        <x:v>truth module definition</x:v>
      </x:c>
      <x:c r="D306" s="11" t="str">
        <x:v>RA-SA2-04-A3-T3</x:v>
      </x:c>
      <x:c r="E306" s="11" t="b">
        <x:f>'Truth Modules'!P90="PASS"</x:f>
        <x:v>1</x:v>
      </x:c>
      <x:c r="F306" s="29" t="b">
        <x:v>1</x:v>
      </x:c>
      <x:c r="G306" s="11" t="b">
        <x:f>'Truth Modules'!P90="PASS"</x:f>
        <x:v>1</x:v>
      </x:c>
      <x:c r="H306" s="11" t="str">
        <x:f>IF(G306=F306,"PASS","FAIL")</x:f>
        <x:v>PASS</x:v>
      </x:c>
      <x:c r="I306" s="38"/>
    </x:row>
    <x:row r="307">
      <x:c r="B307" s="11" t="str">
        <x:v>AU-0301</x:v>
      </x:c>
      <x:c r="C307" s="11" t="str">
        <x:v>truth module definition</x:v>
      </x:c>
      <x:c r="D307" s="11" t="str">
        <x:v>RA-SA2-04-B1-T0</x:v>
      </x:c>
      <x:c r="E307" s="11" t="b">
        <x:f>'Truth Modules'!P91="PASS"</x:f>
        <x:v>1</x:v>
      </x:c>
      <x:c r="F307" s="29" t="b">
        <x:v>1</x:v>
      </x:c>
      <x:c r="G307" s="11" t="b">
        <x:f>'Truth Modules'!P91="PASS"</x:f>
        <x:v>1</x:v>
      </x:c>
      <x:c r="H307" s="11" t="str">
        <x:f>IF(G307=F307,"PASS","FAIL")</x:f>
        <x:v>PASS</x:v>
      </x:c>
      <x:c r="I307" s="38"/>
    </x:row>
    <x:row r="308">
      <x:c r="B308" s="11" t="str">
        <x:v>AU-0302</x:v>
      </x:c>
      <x:c r="C308" s="11" t="str">
        <x:v>truth module definition</x:v>
      </x:c>
      <x:c r="D308" s="11" t="str">
        <x:v>RA-SA2-04-B1-T1</x:v>
      </x:c>
      <x:c r="E308" s="11" t="b">
        <x:f>'Truth Modules'!P92="PASS"</x:f>
        <x:v>1</x:v>
      </x:c>
      <x:c r="F308" s="29" t="b">
        <x:v>1</x:v>
      </x:c>
      <x:c r="G308" s="11" t="b">
        <x:f>'Truth Modules'!P92="PASS"</x:f>
        <x:v>1</x:v>
      </x:c>
      <x:c r="H308" s="11" t="str">
        <x:f>IF(G308=F308,"PASS","FAIL")</x:f>
        <x:v>PASS</x:v>
      </x:c>
      <x:c r="I308" s="38"/>
    </x:row>
    <x:row r="309">
      <x:c r="B309" s="11" t="str">
        <x:v>AU-0303</x:v>
      </x:c>
      <x:c r="C309" s="11" t="str">
        <x:v>truth module definition</x:v>
      </x:c>
      <x:c r="D309" s="11" t="str">
        <x:v>RA-SA2-04-B1-T2</x:v>
      </x:c>
      <x:c r="E309" s="11" t="b">
        <x:f>'Truth Modules'!P93="PASS"</x:f>
        <x:v>1</x:v>
      </x:c>
      <x:c r="F309" s="29" t="b">
        <x:v>1</x:v>
      </x:c>
      <x:c r="G309" s="11" t="b">
        <x:f>'Truth Modules'!P93="PASS"</x:f>
        <x:v>1</x:v>
      </x:c>
      <x:c r="H309" s="11" t="str">
        <x:f>IF(G309=F309,"PASS","FAIL")</x:f>
        <x:v>PASS</x:v>
      </x:c>
      <x:c r="I309" s="38"/>
    </x:row>
    <x:row r="310">
      <x:c r="B310" s="11" t="str">
        <x:v>AU-0304</x:v>
      </x:c>
      <x:c r="C310" s="11" t="str">
        <x:v>truth module definition</x:v>
      </x:c>
      <x:c r="D310" s="11" t="str">
        <x:v>RA-SA2-04-B1-T3</x:v>
      </x:c>
      <x:c r="E310" s="11" t="b">
        <x:f>'Truth Modules'!P94="PASS"</x:f>
        <x:v>1</x:v>
      </x:c>
      <x:c r="F310" s="29" t="b">
        <x:v>1</x:v>
      </x:c>
      <x:c r="G310" s="11" t="b">
        <x:f>'Truth Modules'!P94="PASS"</x:f>
        <x:v>1</x:v>
      </x:c>
      <x:c r="H310" s="11" t="str">
        <x:f>IF(G310=F310,"PASS","FAIL")</x:f>
        <x:v>PASS</x:v>
      </x:c>
      <x:c r="I310" s="38"/>
    </x:row>
    <x:row r="311">
      <x:c r="B311" s="11" t="str">
        <x:v>AU-0305</x:v>
      </x:c>
      <x:c r="C311" s="11" t="str">
        <x:v>truth module definition</x:v>
      </x:c>
      <x:c r="D311" s="11" t="str">
        <x:v>RA-SA2-04-B2-T0</x:v>
      </x:c>
      <x:c r="E311" s="11" t="b">
        <x:f>'Truth Modules'!P95="PASS"</x:f>
        <x:v>1</x:v>
      </x:c>
      <x:c r="F311" s="29" t="b">
        <x:v>1</x:v>
      </x:c>
      <x:c r="G311" s="11" t="b">
        <x:f>'Truth Modules'!P95="PASS"</x:f>
        <x:v>1</x:v>
      </x:c>
      <x:c r="H311" s="11" t="str">
        <x:f>IF(G311=F311,"PASS","FAIL")</x:f>
        <x:v>PASS</x:v>
      </x:c>
      <x:c r="I311" s="38"/>
    </x:row>
    <x:row r="312">
      <x:c r="B312" s="11" t="str">
        <x:v>AU-0306</x:v>
      </x:c>
      <x:c r="C312" s="11" t="str">
        <x:v>truth module definition</x:v>
      </x:c>
      <x:c r="D312" s="11" t="str">
        <x:v>RA-SA2-04-B2-T1</x:v>
      </x:c>
      <x:c r="E312" s="11" t="b">
        <x:f>'Truth Modules'!P96="PASS"</x:f>
        <x:v>1</x:v>
      </x:c>
      <x:c r="F312" s="29" t="b">
        <x:v>1</x:v>
      </x:c>
      <x:c r="G312" s="11" t="b">
        <x:f>'Truth Modules'!P96="PASS"</x:f>
        <x:v>1</x:v>
      </x:c>
      <x:c r="H312" s="11" t="str">
        <x:f>IF(G312=F312,"PASS","FAIL")</x:f>
        <x:v>PASS</x:v>
      </x:c>
      <x:c r="I312" s="38"/>
    </x:row>
    <x:row r="313">
      <x:c r="B313" s="11" t="str">
        <x:v>AU-0307</x:v>
      </x:c>
      <x:c r="C313" s="11" t="str">
        <x:v>truth module definition</x:v>
      </x:c>
      <x:c r="D313" s="11" t="str">
        <x:v>RA-SA2-04-B2-T2</x:v>
      </x:c>
      <x:c r="E313" s="11" t="b">
        <x:f>'Truth Modules'!P97="PASS"</x:f>
        <x:v>1</x:v>
      </x:c>
      <x:c r="F313" s="29" t="b">
        <x:v>1</x:v>
      </x:c>
      <x:c r="G313" s="11" t="b">
        <x:f>'Truth Modules'!P97="PASS"</x:f>
        <x:v>1</x:v>
      </x:c>
      <x:c r="H313" s="11" t="str">
        <x:f>IF(G313=F313,"PASS","FAIL")</x:f>
        <x:v>PASS</x:v>
      </x:c>
      <x:c r="I313" s="38"/>
    </x:row>
    <x:row r="314">
      <x:c r="B314" s="11" t="str">
        <x:v>AU-0308</x:v>
      </x:c>
      <x:c r="C314" s="11" t="str">
        <x:v>truth module definition</x:v>
      </x:c>
      <x:c r="D314" s="11" t="str">
        <x:v>RA-SA2-04-B2-T3</x:v>
      </x:c>
      <x:c r="E314" s="11" t="b">
        <x:f>'Truth Modules'!P98="PASS"</x:f>
        <x:v>1</x:v>
      </x:c>
      <x:c r="F314" s="29" t="b">
        <x:v>1</x:v>
      </x:c>
      <x:c r="G314" s="11" t="b">
        <x:f>'Truth Modules'!P98="PASS"</x:f>
        <x:v>1</x:v>
      </x:c>
      <x:c r="H314" s="11" t="str">
        <x:f>IF(G314=F314,"PASS","FAIL")</x:f>
        <x:v>PASS</x:v>
      </x:c>
      <x:c r="I314" s="38"/>
    </x:row>
    <x:row r="315">
      <x:c r="B315" s="11" t="str">
        <x:v>AU-0309</x:v>
      </x:c>
      <x:c r="C315" s="11" t="str">
        <x:v>truth module definition</x:v>
      </x:c>
      <x:c r="D315" s="11" t="str">
        <x:v>RA-SA2-04-B3-T0</x:v>
      </x:c>
      <x:c r="E315" s="11" t="b">
        <x:f>'Truth Modules'!P99="PASS"</x:f>
        <x:v>1</x:v>
      </x:c>
      <x:c r="F315" s="29" t="b">
        <x:v>1</x:v>
      </x:c>
      <x:c r="G315" s="11" t="b">
        <x:f>'Truth Modules'!P99="PASS"</x:f>
        <x:v>1</x:v>
      </x:c>
      <x:c r="H315" s="11" t="str">
        <x:f>IF(G315=F315,"PASS","FAIL")</x:f>
        <x:v>PASS</x:v>
      </x:c>
      <x:c r="I315" s="38"/>
    </x:row>
    <x:row r="316">
      <x:c r="B316" s="11" t="str">
        <x:v>AU-0310</x:v>
      </x:c>
      <x:c r="C316" s="11" t="str">
        <x:v>truth module definition</x:v>
      </x:c>
      <x:c r="D316" s="11" t="str">
        <x:v>RA-SA2-04-B3-T1</x:v>
      </x:c>
      <x:c r="E316" s="11" t="b">
        <x:f>'Truth Modules'!P100="PASS"</x:f>
        <x:v>1</x:v>
      </x:c>
      <x:c r="F316" s="29" t="b">
        <x:v>1</x:v>
      </x:c>
      <x:c r="G316" s="11" t="b">
        <x:f>'Truth Modules'!P100="PASS"</x:f>
        <x:v>1</x:v>
      </x:c>
      <x:c r="H316" s="11" t="str">
        <x:f>IF(G316=F316,"PASS","FAIL")</x:f>
        <x:v>PASS</x:v>
      </x:c>
      <x:c r="I316" s="38"/>
    </x:row>
    <x:row r="317">
      <x:c r="B317" s="11" t="str">
        <x:v>AU-0311</x:v>
      </x:c>
      <x:c r="C317" s="11" t="str">
        <x:v>truth module definition</x:v>
      </x:c>
      <x:c r="D317" s="11" t="str">
        <x:v>RA-SA2-04-B3-T2</x:v>
      </x:c>
      <x:c r="E317" s="11" t="b">
        <x:f>'Truth Modules'!P101="PASS"</x:f>
        <x:v>1</x:v>
      </x:c>
      <x:c r="F317" s="29" t="b">
        <x:v>1</x:v>
      </x:c>
      <x:c r="G317" s="11" t="b">
        <x:f>'Truth Modules'!P101="PASS"</x:f>
        <x:v>1</x:v>
      </x:c>
      <x:c r="H317" s="11" t="str">
        <x:f>IF(G317=F317,"PASS","FAIL")</x:f>
        <x:v>PASS</x:v>
      </x:c>
      <x:c r="I317" s="38"/>
    </x:row>
    <x:row r="318">
      <x:c r="B318" s="11" t="str">
        <x:v>AU-0312</x:v>
      </x:c>
      <x:c r="C318" s="11" t="str">
        <x:v>truth module definition</x:v>
      </x:c>
      <x:c r="D318" s="11" t="str">
        <x:v>RA-SA2-04-B3-T3</x:v>
      </x:c>
      <x:c r="E318" s="11" t="b">
        <x:f>'Truth Modules'!P102="PASS"</x:f>
        <x:v>1</x:v>
      </x:c>
      <x:c r="F318" s="29" t="b">
        <x:v>1</x:v>
      </x:c>
      <x:c r="G318" s="11" t="b">
        <x:f>'Truth Modules'!P102="PASS"</x:f>
        <x:v>1</x:v>
      </x:c>
      <x:c r="H318" s="11" t="str">
        <x:f>IF(G318=F318,"PASS","FAIL")</x:f>
        <x:v>PASS</x:v>
      </x:c>
      <x:c r="I318" s="38"/>
    </x:row>
    <x:row r="319">
      <x:c r="B319" s="11" t="str">
        <x:v>AU-0313</x:v>
      </x:c>
      <x:c r="C319" s="11" t="str">
        <x:v>truth module definition</x:v>
      </x:c>
      <x:c r="D319" s="11" t="str">
        <x:v>RA-SA3-05-A1-T0</x:v>
      </x:c>
      <x:c r="E319" s="11" t="b">
        <x:f>'Truth Modules'!P103="PASS"</x:f>
        <x:v>1</x:v>
      </x:c>
      <x:c r="F319" s="29" t="b">
        <x:v>1</x:v>
      </x:c>
      <x:c r="G319" s="11" t="b">
        <x:f>'Truth Modules'!P103="PASS"</x:f>
        <x:v>1</x:v>
      </x:c>
      <x:c r="H319" s="11" t="str">
        <x:f>IF(G319=F319,"PASS","FAIL")</x:f>
        <x:v>PASS</x:v>
      </x:c>
      <x:c r="I319" s="38"/>
    </x:row>
    <x:row r="320">
      <x:c r="B320" s="11" t="str">
        <x:v>AU-0314</x:v>
      </x:c>
      <x:c r="C320" s="11" t="str">
        <x:v>truth module definition</x:v>
      </x:c>
      <x:c r="D320" s="11" t="str">
        <x:v>RA-SA3-05-A1-T1</x:v>
      </x:c>
      <x:c r="E320" s="11" t="b">
        <x:f>'Truth Modules'!P104="PASS"</x:f>
        <x:v>1</x:v>
      </x:c>
      <x:c r="F320" s="29" t="b">
        <x:v>1</x:v>
      </x:c>
      <x:c r="G320" s="11" t="b">
        <x:f>'Truth Modules'!P104="PASS"</x:f>
        <x:v>1</x:v>
      </x:c>
      <x:c r="H320" s="11" t="str">
        <x:f>IF(G320=F320,"PASS","FAIL")</x:f>
        <x:v>PASS</x:v>
      </x:c>
      <x:c r="I320" s="38"/>
    </x:row>
    <x:row r="321">
      <x:c r="B321" s="11" t="str">
        <x:v>AU-0315</x:v>
      </x:c>
      <x:c r="C321" s="11" t="str">
        <x:v>truth module definition</x:v>
      </x:c>
      <x:c r="D321" s="11" t="str">
        <x:v>RA-SA3-05-A1-T2</x:v>
      </x:c>
      <x:c r="E321" s="11" t="b">
        <x:f>'Truth Modules'!P105="PASS"</x:f>
        <x:v>1</x:v>
      </x:c>
      <x:c r="F321" s="29" t="b">
        <x:v>1</x:v>
      </x:c>
      <x:c r="G321" s="11" t="b">
        <x:f>'Truth Modules'!P105="PASS"</x:f>
        <x:v>1</x:v>
      </x:c>
      <x:c r="H321" s="11" t="str">
        <x:f>IF(G321=F321,"PASS","FAIL")</x:f>
        <x:v>PASS</x:v>
      </x:c>
      <x:c r="I321" s="38"/>
    </x:row>
    <x:row r="322">
      <x:c r="B322" s="11" t="str">
        <x:v>AU-0316</x:v>
      </x:c>
      <x:c r="C322" s="11" t="str">
        <x:v>truth module definition</x:v>
      </x:c>
      <x:c r="D322" s="11" t="str">
        <x:v>RA-SA3-05-A1-T3</x:v>
      </x:c>
      <x:c r="E322" s="11" t="b">
        <x:f>'Truth Modules'!P106="PASS"</x:f>
        <x:v>1</x:v>
      </x:c>
      <x:c r="F322" s="29" t="b">
        <x:v>1</x:v>
      </x:c>
      <x:c r="G322" s="11" t="b">
        <x:f>'Truth Modules'!P106="PASS"</x:f>
        <x:v>1</x:v>
      </x:c>
      <x:c r="H322" s="11" t="str">
        <x:f>IF(G322=F322,"PASS","FAIL")</x:f>
        <x:v>PASS</x:v>
      </x:c>
      <x:c r="I322" s="38"/>
    </x:row>
    <x:row r="323">
      <x:c r="B323" s="11" t="str">
        <x:v>AU-0317</x:v>
      </x:c>
      <x:c r="C323" s="11" t="str">
        <x:v>truth module definition</x:v>
      </x:c>
      <x:c r="D323" s="11" t="str">
        <x:v>RA-SA3-05-A2-T0</x:v>
      </x:c>
      <x:c r="E323" s="11" t="b">
        <x:f>'Truth Modules'!P107="PASS"</x:f>
        <x:v>1</x:v>
      </x:c>
      <x:c r="F323" s="29" t="b">
        <x:v>1</x:v>
      </x:c>
      <x:c r="G323" s="11" t="b">
        <x:f>'Truth Modules'!P107="PASS"</x:f>
        <x:v>1</x:v>
      </x:c>
      <x:c r="H323" s="11" t="str">
        <x:f>IF(G323=F323,"PASS","FAIL")</x:f>
        <x:v>PASS</x:v>
      </x:c>
      <x:c r="I323" s="38"/>
    </x:row>
    <x:row r="324">
      <x:c r="B324" s="11" t="str">
        <x:v>AU-0318</x:v>
      </x:c>
      <x:c r="C324" s="11" t="str">
        <x:v>truth module definition</x:v>
      </x:c>
      <x:c r="D324" s="11" t="str">
        <x:v>RA-SA3-05-A2-T1</x:v>
      </x:c>
      <x:c r="E324" s="11" t="b">
        <x:f>'Truth Modules'!P108="PASS"</x:f>
        <x:v>1</x:v>
      </x:c>
      <x:c r="F324" s="29" t="b">
        <x:v>1</x:v>
      </x:c>
      <x:c r="G324" s="11" t="b">
        <x:f>'Truth Modules'!P108="PASS"</x:f>
        <x:v>1</x:v>
      </x:c>
      <x:c r="H324" s="11" t="str">
        <x:f>IF(G324=F324,"PASS","FAIL")</x:f>
        <x:v>PASS</x:v>
      </x:c>
      <x:c r="I324" s="38"/>
    </x:row>
    <x:row r="325">
      <x:c r="B325" s="11" t="str">
        <x:v>AU-0319</x:v>
      </x:c>
      <x:c r="C325" s="11" t="str">
        <x:v>truth module definition</x:v>
      </x:c>
      <x:c r="D325" s="11" t="str">
        <x:v>RA-SA3-05-A2-T2</x:v>
      </x:c>
      <x:c r="E325" s="11" t="b">
        <x:f>'Truth Modules'!P109="PASS"</x:f>
        <x:v>1</x:v>
      </x:c>
      <x:c r="F325" s="29" t="b">
        <x:v>1</x:v>
      </x:c>
      <x:c r="G325" s="11" t="b">
        <x:f>'Truth Modules'!P109="PASS"</x:f>
        <x:v>1</x:v>
      </x:c>
      <x:c r="H325" s="11" t="str">
        <x:f>IF(G325=F325,"PASS","FAIL")</x:f>
        <x:v>PASS</x:v>
      </x:c>
      <x:c r="I325" s="38"/>
    </x:row>
    <x:row r="326">
      <x:c r="B326" s="11" t="str">
        <x:v>AU-0320</x:v>
      </x:c>
      <x:c r="C326" s="11" t="str">
        <x:v>truth module definition</x:v>
      </x:c>
      <x:c r="D326" s="11" t="str">
        <x:v>RA-SA3-05-A2-T3</x:v>
      </x:c>
      <x:c r="E326" s="11" t="b">
        <x:f>'Truth Modules'!P110="PASS"</x:f>
        <x:v>1</x:v>
      </x:c>
      <x:c r="F326" s="29" t="b">
        <x:v>1</x:v>
      </x:c>
      <x:c r="G326" s="11" t="b">
        <x:f>'Truth Modules'!P110="PASS"</x:f>
        <x:v>1</x:v>
      </x:c>
      <x:c r="H326" s="11" t="str">
        <x:f>IF(G326=F326,"PASS","FAIL")</x:f>
        <x:v>PASS</x:v>
      </x:c>
      <x:c r="I326" s="38"/>
    </x:row>
    <x:row r="327">
      <x:c r="B327" s="11" t="str">
        <x:v>AU-0321</x:v>
      </x:c>
      <x:c r="C327" s="11" t="str">
        <x:v>truth module definition</x:v>
      </x:c>
      <x:c r="D327" s="11" t="str">
        <x:v>RA-SA3-05-A3-T0</x:v>
      </x:c>
      <x:c r="E327" s="11" t="b">
        <x:f>'Truth Modules'!P111="PASS"</x:f>
        <x:v>1</x:v>
      </x:c>
      <x:c r="F327" s="29" t="b">
        <x:v>1</x:v>
      </x:c>
      <x:c r="G327" s="11" t="b">
        <x:f>'Truth Modules'!P111="PASS"</x:f>
        <x:v>1</x:v>
      </x:c>
      <x:c r="H327" s="11" t="str">
        <x:f>IF(G327=F327,"PASS","FAIL")</x:f>
        <x:v>PASS</x:v>
      </x:c>
      <x:c r="I327" s="38"/>
    </x:row>
    <x:row r="328">
      <x:c r="B328" s="11" t="str">
        <x:v>AU-0322</x:v>
      </x:c>
      <x:c r="C328" s="11" t="str">
        <x:v>truth module definition</x:v>
      </x:c>
      <x:c r="D328" s="11" t="str">
        <x:v>RA-SA3-05-A3-T1</x:v>
      </x:c>
      <x:c r="E328" s="11" t="b">
        <x:f>'Truth Modules'!P112="PASS"</x:f>
        <x:v>1</x:v>
      </x:c>
      <x:c r="F328" s="29" t="b">
        <x:v>1</x:v>
      </x:c>
      <x:c r="G328" s="11" t="b">
        <x:f>'Truth Modules'!P112="PASS"</x:f>
        <x:v>1</x:v>
      </x:c>
      <x:c r="H328" s="11" t="str">
        <x:f>IF(G328=F328,"PASS","FAIL")</x:f>
        <x:v>PASS</x:v>
      </x:c>
      <x:c r="I328" s="38"/>
    </x:row>
    <x:row r="329">
      <x:c r="B329" s="11" t="str">
        <x:v>AU-0323</x:v>
      </x:c>
      <x:c r="C329" s="11" t="str">
        <x:v>truth module definition</x:v>
      </x:c>
      <x:c r="D329" s="11" t="str">
        <x:v>RA-SA3-05-A3-T2</x:v>
      </x:c>
      <x:c r="E329" s="11" t="b">
        <x:f>'Truth Modules'!P113="PASS"</x:f>
        <x:v>1</x:v>
      </x:c>
      <x:c r="F329" s="29" t="b">
        <x:v>1</x:v>
      </x:c>
      <x:c r="G329" s="11" t="b">
        <x:f>'Truth Modules'!P113="PASS"</x:f>
        <x:v>1</x:v>
      </x:c>
      <x:c r="H329" s="11" t="str">
        <x:f>IF(G329=F329,"PASS","FAIL")</x:f>
        <x:v>PASS</x:v>
      </x:c>
      <x:c r="I329" s="38"/>
    </x:row>
    <x:row r="330">
      <x:c r="B330" s="11" t="str">
        <x:v>AU-0324</x:v>
      </x:c>
      <x:c r="C330" s="11" t="str">
        <x:v>truth module definition</x:v>
      </x:c>
      <x:c r="D330" s="11" t="str">
        <x:v>RA-SA3-05-A3-T3</x:v>
      </x:c>
      <x:c r="E330" s="11" t="b">
        <x:f>'Truth Modules'!P114="PASS"</x:f>
        <x:v>1</x:v>
      </x:c>
      <x:c r="F330" s="29" t="b">
        <x:v>1</x:v>
      </x:c>
      <x:c r="G330" s="11" t="b">
        <x:f>'Truth Modules'!P114="PASS"</x:f>
        <x:v>1</x:v>
      </x:c>
      <x:c r="H330" s="11" t="str">
        <x:f>IF(G330=F330,"PASS","FAIL")</x:f>
        <x:v>PASS</x:v>
      </x:c>
      <x:c r="I330" s="38"/>
    </x:row>
    <x:row r="331">
      <x:c r="B331" s="11" t="str">
        <x:v>AU-0325</x:v>
      </x:c>
      <x:c r="C331" s="11" t="str">
        <x:v>truth module definition</x:v>
      </x:c>
      <x:c r="D331" s="11" t="str">
        <x:v>RA-SA3-05-B1-T0</x:v>
      </x:c>
      <x:c r="E331" s="11" t="b">
        <x:f>'Truth Modules'!P115="PASS"</x:f>
        <x:v>1</x:v>
      </x:c>
      <x:c r="F331" s="29" t="b">
        <x:v>1</x:v>
      </x:c>
      <x:c r="G331" s="11" t="b">
        <x:f>'Truth Modules'!P115="PASS"</x:f>
        <x:v>1</x:v>
      </x:c>
      <x:c r="H331" s="11" t="str">
        <x:f>IF(G331=F331,"PASS","FAIL")</x:f>
        <x:v>PASS</x:v>
      </x:c>
      <x:c r="I331" s="38"/>
    </x:row>
    <x:row r="332">
      <x:c r="B332" s="11" t="str">
        <x:v>AU-0326</x:v>
      </x:c>
      <x:c r="C332" s="11" t="str">
        <x:v>truth module definition</x:v>
      </x:c>
      <x:c r="D332" s="11" t="str">
        <x:v>RA-SA3-05-B1-T1</x:v>
      </x:c>
      <x:c r="E332" s="11" t="b">
        <x:f>'Truth Modules'!P116="PASS"</x:f>
        <x:v>1</x:v>
      </x:c>
      <x:c r="F332" s="29" t="b">
        <x:v>1</x:v>
      </x:c>
      <x:c r="G332" s="11" t="b">
        <x:f>'Truth Modules'!P116="PASS"</x:f>
        <x:v>1</x:v>
      </x:c>
      <x:c r="H332" s="11" t="str">
        <x:f>IF(G332=F332,"PASS","FAIL")</x:f>
        <x:v>PASS</x:v>
      </x:c>
      <x:c r="I332" s="38"/>
    </x:row>
    <x:row r="333">
      <x:c r="B333" s="11" t="str">
        <x:v>AU-0327</x:v>
      </x:c>
      <x:c r="C333" s="11" t="str">
        <x:v>truth module definition</x:v>
      </x:c>
      <x:c r="D333" s="11" t="str">
        <x:v>RA-SA3-05-B1-T2</x:v>
      </x:c>
      <x:c r="E333" s="11" t="b">
        <x:f>'Truth Modules'!P117="PASS"</x:f>
        <x:v>1</x:v>
      </x:c>
      <x:c r="F333" s="29" t="b">
        <x:v>1</x:v>
      </x:c>
      <x:c r="G333" s="11" t="b">
        <x:f>'Truth Modules'!P117="PASS"</x:f>
        <x:v>1</x:v>
      </x:c>
      <x:c r="H333" s="11" t="str">
        <x:f>IF(G333=F333,"PASS","FAIL")</x:f>
        <x:v>PASS</x:v>
      </x:c>
      <x:c r="I333" s="38"/>
    </x:row>
    <x:row r="334">
      <x:c r="B334" s="11" t="str">
        <x:v>AU-0328</x:v>
      </x:c>
      <x:c r="C334" s="11" t="str">
        <x:v>truth module definition</x:v>
      </x:c>
      <x:c r="D334" s="11" t="str">
        <x:v>RA-SA3-05-B1-T3</x:v>
      </x:c>
      <x:c r="E334" s="11" t="b">
        <x:f>'Truth Modules'!P118="PASS"</x:f>
        <x:v>1</x:v>
      </x:c>
      <x:c r="F334" s="29" t="b">
        <x:v>1</x:v>
      </x:c>
      <x:c r="G334" s="11" t="b">
        <x:f>'Truth Modules'!P118="PASS"</x:f>
        <x:v>1</x:v>
      </x:c>
      <x:c r="H334" s="11" t="str">
        <x:f>IF(G334=F334,"PASS","FAIL")</x:f>
        <x:v>PASS</x:v>
      </x:c>
      <x:c r="I334" s="38"/>
    </x:row>
    <x:row r="335">
      <x:c r="B335" s="11" t="str">
        <x:v>AU-0329</x:v>
      </x:c>
      <x:c r="C335" s="11" t="str">
        <x:v>truth module definition</x:v>
      </x:c>
      <x:c r="D335" s="11" t="str">
        <x:v>RA-SA3-05-B2-T0</x:v>
      </x:c>
      <x:c r="E335" s="11" t="b">
        <x:f>'Truth Modules'!P119="PASS"</x:f>
        <x:v>1</x:v>
      </x:c>
      <x:c r="F335" s="29" t="b">
        <x:v>1</x:v>
      </x:c>
      <x:c r="G335" s="11" t="b">
        <x:f>'Truth Modules'!P119="PASS"</x:f>
        <x:v>1</x:v>
      </x:c>
      <x:c r="H335" s="11" t="str">
        <x:f>IF(G335=F335,"PASS","FAIL")</x:f>
        <x:v>PASS</x:v>
      </x:c>
      <x:c r="I335" s="38"/>
    </x:row>
    <x:row r="336">
      <x:c r="B336" s="11" t="str">
        <x:v>AU-0330</x:v>
      </x:c>
      <x:c r="C336" s="11" t="str">
        <x:v>truth module definition</x:v>
      </x:c>
      <x:c r="D336" s="11" t="str">
        <x:v>RA-SA3-05-B2-T1</x:v>
      </x:c>
      <x:c r="E336" s="11" t="b">
        <x:f>'Truth Modules'!P120="PASS"</x:f>
        <x:v>1</x:v>
      </x:c>
      <x:c r="F336" s="29" t="b">
        <x:v>1</x:v>
      </x:c>
      <x:c r="G336" s="11" t="b">
        <x:f>'Truth Modules'!P120="PASS"</x:f>
        <x:v>1</x:v>
      </x:c>
      <x:c r="H336" s="11" t="str">
        <x:f>IF(G336=F336,"PASS","FAIL")</x:f>
        <x:v>PASS</x:v>
      </x:c>
      <x:c r="I336" s="38"/>
    </x:row>
    <x:row r="337">
      <x:c r="B337" s="11" t="str">
        <x:v>AU-0331</x:v>
      </x:c>
      <x:c r="C337" s="11" t="str">
        <x:v>truth module definition</x:v>
      </x:c>
      <x:c r="D337" s="11" t="str">
        <x:v>RA-SA3-05-B2-T2</x:v>
      </x:c>
      <x:c r="E337" s="11" t="b">
        <x:f>'Truth Modules'!P121="PASS"</x:f>
        <x:v>1</x:v>
      </x:c>
      <x:c r="F337" s="29" t="b">
        <x:v>1</x:v>
      </x:c>
      <x:c r="G337" s="11" t="b">
        <x:f>'Truth Modules'!P121="PASS"</x:f>
        <x:v>1</x:v>
      </x:c>
      <x:c r="H337" s="11" t="str">
        <x:f>IF(G337=F337,"PASS","FAIL")</x:f>
        <x:v>PASS</x:v>
      </x:c>
      <x:c r="I337" s="38"/>
    </x:row>
    <x:row r="338">
      <x:c r="B338" s="11" t="str">
        <x:v>AU-0332</x:v>
      </x:c>
      <x:c r="C338" s="11" t="str">
        <x:v>truth module definition</x:v>
      </x:c>
      <x:c r="D338" s="11" t="str">
        <x:v>RA-SA3-05-B2-T3</x:v>
      </x:c>
      <x:c r="E338" s="11" t="b">
        <x:f>'Truth Modules'!P122="PASS"</x:f>
        <x:v>1</x:v>
      </x:c>
      <x:c r="F338" s="29" t="b">
        <x:v>1</x:v>
      </x:c>
      <x:c r="G338" s="11" t="b">
        <x:f>'Truth Modules'!P122="PASS"</x:f>
        <x:v>1</x:v>
      </x:c>
      <x:c r="H338" s="11" t="str">
        <x:f>IF(G338=F338,"PASS","FAIL")</x:f>
        <x:v>PASS</x:v>
      </x:c>
      <x:c r="I338" s="38"/>
    </x:row>
    <x:row r="339">
      <x:c r="B339" s="11" t="str">
        <x:v>AU-0333</x:v>
      </x:c>
      <x:c r="C339" s="11" t="str">
        <x:v>truth module definition</x:v>
      </x:c>
      <x:c r="D339" s="11" t="str">
        <x:v>RA-SA3-05-B3-T0</x:v>
      </x:c>
      <x:c r="E339" s="11" t="b">
        <x:f>'Truth Modules'!P123="PASS"</x:f>
        <x:v>1</x:v>
      </x:c>
      <x:c r="F339" s="29" t="b">
        <x:v>1</x:v>
      </x:c>
      <x:c r="G339" s="11" t="b">
        <x:f>'Truth Modules'!P123="PASS"</x:f>
        <x:v>1</x:v>
      </x:c>
      <x:c r="H339" s="11" t="str">
        <x:f>IF(G339=F339,"PASS","FAIL")</x:f>
        <x:v>PASS</x:v>
      </x:c>
      <x:c r="I339" s="38"/>
    </x:row>
    <x:row r="340">
      <x:c r="B340" s="11" t="str">
        <x:v>AU-0334</x:v>
      </x:c>
      <x:c r="C340" s="11" t="str">
        <x:v>truth module definition</x:v>
      </x:c>
      <x:c r="D340" s="11" t="str">
        <x:v>RA-SA3-05-B3-T1</x:v>
      </x:c>
      <x:c r="E340" s="11" t="b">
        <x:f>'Truth Modules'!P124="PASS"</x:f>
        <x:v>1</x:v>
      </x:c>
      <x:c r="F340" s="29" t="b">
        <x:v>1</x:v>
      </x:c>
      <x:c r="G340" s="11" t="b">
        <x:f>'Truth Modules'!P124="PASS"</x:f>
        <x:v>1</x:v>
      </x:c>
      <x:c r="H340" s="11" t="str">
        <x:f>IF(G340=F340,"PASS","FAIL")</x:f>
        <x:v>PASS</x:v>
      </x:c>
      <x:c r="I340" s="38"/>
    </x:row>
    <x:row r="341">
      <x:c r="B341" s="11" t="str">
        <x:v>AU-0335</x:v>
      </x:c>
      <x:c r="C341" s="11" t="str">
        <x:v>truth module definition</x:v>
      </x:c>
      <x:c r="D341" s="11" t="str">
        <x:v>RA-SA3-05-B3-T2</x:v>
      </x:c>
      <x:c r="E341" s="11" t="b">
        <x:f>'Truth Modules'!P125="PASS"</x:f>
        <x:v>1</x:v>
      </x:c>
      <x:c r="F341" s="29" t="b">
        <x:v>1</x:v>
      </x:c>
      <x:c r="G341" s="11" t="b">
        <x:f>'Truth Modules'!P125="PASS"</x:f>
        <x:v>1</x:v>
      </x:c>
      <x:c r="H341" s="11" t="str">
        <x:f>IF(G341=F341,"PASS","FAIL")</x:f>
        <x:v>PASS</x:v>
      </x:c>
      <x:c r="I341" s="38"/>
    </x:row>
    <x:row r="342">
      <x:c r="B342" s="11" t="str">
        <x:v>AU-0336</x:v>
      </x:c>
      <x:c r="C342" s="11" t="str">
        <x:v>truth module definition</x:v>
      </x:c>
      <x:c r="D342" s="11" t="str">
        <x:v>RA-SA3-05-B3-T3</x:v>
      </x:c>
      <x:c r="E342" s="11" t="b">
        <x:f>'Truth Modules'!P126="PASS"</x:f>
        <x:v>1</x:v>
      </x:c>
      <x:c r="F342" s="29" t="b">
        <x:v>1</x:v>
      </x:c>
      <x:c r="G342" s="11" t="b">
        <x:f>'Truth Modules'!P126="PASS"</x:f>
        <x:v>1</x:v>
      </x:c>
      <x:c r="H342" s="11" t="str">
        <x:f>IF(G342=F342,"PASS","FAIL")</x:f>
        <x:v>PASS</x:v>
      </x:c>
      <x:c r="I342" s="38"/>
    </x:row>
    <x:row r="343">
      <x:c r="B343" s="11" t="str">
        <x:v>AU-0337</x:v>
      </x:c>
      <x:c r="C343" s="11" t="str">
        <x:v>truth module definition</x:v>
      </x:c>
      <x:c r="D343" s="11" t="str">
        <x:v>RA-SA3-06-A1-T0</x:v>
      </x:c>
      <x:c r="E343" s="11" t="b">
        <x:f>'Truth Modules'!P127="PASS"</x:f>
        <x:v>1</x:v>
      </x:c>
      <x:c r="F343" s="29" t="b">
        <x:v>1</x:v>
      </x:c>
      <x:c r="G343" s="11" t="b">
        <x:f>'Truth Modules'!P127="PASS"</x:f>
        <x:v>1</x:v>
      </x:c>
      <x:c r="H343" s="11" t="str">
        <x:f>IF(G343=F343,"PASS","FAIL")</x:f>
        <x:v>PASS</x:v>
      </x:c>
      <x:c r="I343" s="38"/>
    </x:row>
    <x:row r="344">
      <x:c r="B344" s="11" t="str">
        <x:v>AU-0338</x:v>
      </x:c>
      <x:c r="C344" s="11" t="str">
        <x:v>truth module definition</x:v>
      </x:c>
      <x:c r="D344" s="11" t="str">
        <x:v>RA-SA3-06-A1-T1</x:v>
      </x:c>
      <x:c r="E344" s="11" t="b">
        <x:f>'Truth Modules'!P128="PASS"</x:f>
        <x:v>1</x:v>
      </x:c>
      <x:c r="F344" s="29" t="b">
        <x:v>1</x:v>
      </x:c>
      <x:c r="G344" s="11" t="b">
        <x:f>'Truth Modules'!P128="PASS"</x:f>
        <x:v>1</x:v>
      </x:c>
      <x:c r="H344" s="11" t="str">
        <x:f>IF(G344=F344,"PASS","FAIL")</x:f>
        <x:v>PASS</x:v>
      </x:c>
      <x:c r="I344" s="38"/>
    </x:row>
    <x:row r="345">
      <x:c r="B345" s="11" t="str">
        <x:v>AU-0339</x:v>
      </x:c>
      <x:c r="C345" s="11" t="str">
        <x:v>truth module definition</x:v>
      </x:c>
      <x:c r="D345" s="11" t="str">
        <x:v>RA-SA3-06-A1-T2</x:v>
      </x:c>
      <x:c r="E345" s="11" t="b">
        <x:f>'Truth Modules'!P129="PASS"</x:f>
        <x:v>1</x:v>
      </x:c>
      <x:c r="F345" s="29" t="b">
        <x:v>1</x:v>
      </x:c>
      <x:c r="G345" s="11" t="b">
        <x:f>'Truth Modules'!P129="PASS"</x:f>
        <x:v>1</x:v>
      </x:c>
      <x:c r="H345" s="11" t="str">
        <x:f>IF(G345=F345,"PASS","FAIL")</x:f>
        <x:v>PASS</x:v>
      </x:c>
      <x:c r="I345" s="38"/>
    </x:row>
    <x:row r="346">
      <x:c r="B346" s="11" t="str">
        <x:v>AU-0340</x:v>
      </x:c>
      <x:c r="C346" s="11" t="str">
        <x:v>truth module definition</x:v>
      </x:c>
      <x:c r="D346" s="11" t="str">
        <x:v>RA-SA3-06-A1-T3</x:v>
      </x:c>
      <x:c r="E346" s="11" t="b">
        <x:f>'Truth Modules'!P130="PASS"</x:f>
        <x:v>1</x:v>
      </x:c>
      <x:c r="F346" s="29" t="b">
        <x:v>1</x:v>
      </x:c>
      <x:c r="G346" s="11" t="b">
        <x:f>'Truth Modules'!P130="PASS"</x:f>
        <x:v>1</x:v>
      </x:c>
      <x:c r="H346" s="11" t="str">
        <x:f>IF(G346=F346,"PASS","FAIL")</x:f>
        <x:v>PASS</x:v>
      </x:c>
      <x:c r="I346" s="38"/>
    </x:row>
    <x:row r="347">
      <x:c r="B347" s="11" t="str">
        <x:v>AU-0341</x:v>
      </x:c>
      <x:c r="C347" s="11" t="str">
        <x:v>truth module definition</x:v>
      </x:c>
      <x:c r="D347" s="11" t="str">
        <x:v>RA-SA3-06-A2-T0</x:v>
      </x:c>
      <x:c r="E347" s="11" t="b">
        <x:f>'Truth Modules'!P131="PASS"</x:f>
        <x:v>1</x:v>
      </x:c>
      <x:c r="F347" s="29" t="b">
        <x:v>1</x:v>
      </x:c>
      <x:c r="G347" s="11" t="b">
        <x:f>'Truth Modules'!P131="PASS"</x:f>
        <x:v>1</x:v>
      </x:c>
      <x:c r="H347" s="11" t="str">
        <x:f>IF(G347=F347,"PASS","FAIL")</x:f>
        <x:v>PASS</x:v>
      </x:c>
      <x:c r="I347" s="38"/>
    </x:row>
    <x:row r="348">
      <x:c r="B348" s="11" t="str">
        <x:v>AU-0342</x:v>
      </x:c>
      <x:c r="C348" s="11" t="str">
        <x:v>truth module definition</x:v>
      </x:c>
      <x:c r="D348" s="11" t="str">
        <x:v>RA-SA3-06-A2-T1</x:v>
      </x:c>
      <x:c r="E348" s="11" t="b">
        <x:f>'Truth Modules'!P132="PASS"</x:f>
        <x:v>1</x:v>
      </x:c>
      <x:c r="F348" s="29" t="b">
        <x:v>1</x:v>
      </x:c>
      <x:c r="G348" s="11" t="b">
        <x:f>'Truth Modules'!P132="PASS"</x:f>
        <x:v>1</x:v>
      </x:c>
      <x:c r="H348" s="11" t="str">
        <x:f>IF(G348=F348,"PASS","FAIL")</x:f>
        <x:v>PASS</x:v>
      </x:c>
      <x:c r="I348" s="38"/>
    </x:row>
    <x:row r="349">
      <x:c r="B349" s="11" t="str">
        <x:v>AU-0343</x:v>
      </x:c>
      <x:c r="C349" s="11" t="str">
        <x:v>truth module definition</x:v>
      </x:c>
      <x:c r="D349" s="11" t="str">
        <x:v>RA-SA3-06-A2-T2</x:v>
      </x:c>
      <x:c r="E349" s="11" t="b">
        <x:f>'Truth Modules'!P133="PASS"</x:f>
        <x:v>1</x:v>
      </x:c>
      <x:c r="F349" s="29" t="b">
        <x:v>1</x:v>
      </x:c>
      <x:c r="G349" s="11" t="b">
        <x:f>'Truth Modules'!P133="PASS"</x:f>
        <x:v>1</x:v>
      </x:c>
      <x:c r="H349" s="11" t="str">
        <x:f>IF(G349=F349,"PASS","FAIL")</x:f>
        <x:v>PASS</x:v>
      </x:c>
      <x:c r="I349" s="38"/>
    </x:row>
    <x:row r="350">
      <x:c r="B350" s="11" t="str">
        <x:v>AU-0344</x:v>
      </x:c>
      <x:c r="C350" s="11" t="str">
        <x:v>truth module definition</x:v>
      </x:c>
      <x:c r="D350" s="11" t="str">
        <x:v>RA-SA3-06-A2-T3</x:v>
      </x:c>
      <x:c r="E350" s="11" t="b">
        <x:f>'Truth Modules'!P134="PASS"</x:f>
        <x:v>1</x:v>
      </x:c>
      <x:c r="F350" s="29" t="b">
        <x:v>1</x:v>
      </x:c>
      <x:c r="G350" s="11" t="b">
        <x:f>'Truth Modules'!P134="PASS"</x:f>
        <x:v>1</x:v>
      </x:c>
      <x:c r="H350" s="11" t="str">
        <x:f>IF(G350=F350,"PASS","FAIL")</x:f>
        <x:v>PASS</x:v>
      </x:c>
      <x:c r="I350" s="38"/>
    </x:row>
    <x:row r="351">
      <x:c r="B351" s="11" t="str">
        <x:v>AU-0345</x:v>
      </x:c>
      <x:c r="C351" s="11" t="str">
        <x:v>truth module definition</x:v>
      </x:c>
      <x:c r="D351" s="11" t="str">
        <x:v>RA-SA3-06-A3-T0</x:v>
      </x:c>
      <x:c r="E351" s="11" t="b">
        <x:f>'Truth Modules'!P135="PASS"</x:f>
        <x:v>1</x:v>
      </x:c>
      <x:c r="F351" s="29" t="b">
        <x:v>1</x:v>
      </x:c>
      <x:c r="G351" s="11" t="b">
        <x:f>'Truth Modules'!P135="PASS"</x:f>
        <x:v>1</x:v>
      </x:c>
      <x:c r="H351" s="11" t="str">
        <x:f>IF(G351=F351,"PASS","FAIL")</x:f>
        <x:v>PASS</x:v>
      </x:c>
      <x:c r="I351" s="38"/>
    </x:row>
    <x:row r="352">
      <x:c r="B352" s="11" t="str">
        <x:v>AU-0346</x:v>
      </x:c>
      <x:c r="C352" s="11" t="str">
        <x:v>truth module definition</x:v>
      </x:c>
      <x:c r="D352" s="11" t="str">
        <x:v>RA-SA3-06-A3-T1</x:v>
      </x:c>
      <x:c r="E352" s="11" t="b">
        <x:f>'Truth Modules'!P136="PASS"</x:f>
        <x:v>1</x:v>
      </x:c>
      <x:c r="F352" s="29" t="b">
        <x:v>1</x:v>
      </x:c>
      <x:c r="G352" s="11" t="b">
        <x:f>'Truth Modules'!P136="PASS"</x:f>
        <x:v>1</x:v>
      </x:c>
      <x:c r="H352" s="11" t="str">
        <x:f>IF(G352=F352,"PASS","FAIL")</x:f>
        <x:v>PASS</x:v>
      </x:c>
      <x:c r="I352" s="38"/>
    </x:row>
    <x:row r="353">
      <x:c r="B353" s="11" t="str">
        <x:v>AU-0347</x:v>
      </x:c>
      <x:c r="C353" s="11" t="str">
        <x:v>truth module definition</x:v>
      </x:c>
      <x:c r="D353" s="11" t="str">
        <x:v>RA-SA3-06-A3-T2</x:v>
      </x:c>
      <x:c r="E353" s="11" t="b">
        <x:f>'Truth Modules'!P137="PASS"</x:f>
        <x:v>1</x:v>
      </x:c>
      <x:c r="F353" s="29" t="b">
        <x:v>1</x:v>
      </x:c>
      <x:c r="G353" s="11" t="b">
        <x:f>'Truth Modules'!P137="PASS"</x:f>
        <x:v>1</x:v>
      </x:c>
      <x:c r="H353" s="11" t="str">
        <x:f>IF(G353=F353,"PASS","FAIL")</x:f>
        <x:v>PASS</x:v>
      </x:c>
      <x:c r="I353" s="38"/>
    </x:row>
    <x:row r="354">
      <x:c r="B354" s="11" t="str">
        <x:v>AU-0348</x:v>
      </x:c>
      <x:c r="C354" s="11" t="str">
        <x:v>truth module definition</x:v>
      </x:c>
      <x:c r="D354" s="11" t="str">
        <x:v>RA-SA3-06-A3-T3</x:v>
      </x:c>
      <x:c r="E354" s="11" t="b">
        <x:f>'Truth Modules'!P138="PASS"</x:f>
        <x:v>1</x:v>
      </x:c>
      <x:c r="F354" s="29" t="b">
        <x:v>1</x:v>
      </x:c>
      <x:c r="G354" s="11" t="b">
        <x:f>'Truth Modules'!P138="PASS"</x:f>
        <x:v>1</x:v>
      </x:c>
      <x:c r="H354" s="11" t="str">
        <x:f>IF(G354=F354,"PASS","FAIL")</x:f>
        <x:v>PASS</x:v>
      </x:c>
      <x:c r="I354" s="38"/>
    </x:row>
    <x:row r="355">
      <x:c r="B355" s="11" t="str">
        <x:v>AU-0349</x:v>
      </x:c>
      <x:c r="C355" s="11" t="str">
        <x:v>truth module definition</x:v>
      </x:c>
      <x:c r="D355" s="11" t="str">
        <x:v>RA-SA3-06-B1-T0</x:v>
      </x:c>
      <x:c r="E355" s="11" t="b">
        <x:f>'Truth Modules'!P139="PASS"</x:f>
        <x:v>1</x:v>
      </x:c>
      <x:c r="F355" s="29" t="b">
        <x:v>1</x:v>
      </x:c>
      <x:c r="G355" s="11" t="b">
        <x:f>'Truth Modules'!P139="PASS"</x:f>
        <x:v>1</x:v>
      </x:c>
      <x:c r="H355" s="11" t="str">
        <x:f>IF(G355=F355,"PASS","FAIL")</x:f>
        <x:v>PASS</x:v>
      </x:c>
      <x:c r="I355" s="38"/>
    </x:row>
    <x:row r="356">
      <x:c r="B356" s="11" t="str">
        <x:v>AU-0350</x:v>
      </x:c>
      <x:c r="C356" s="11" t="str">
        <x:v>truth module definition</x:v>
      </x:c>
      <x:c r="D356" s="11" t="str">
        <x:v>RA-SA3-06-B1-T1</x:v>
      </x:c>
      <x:c r="E356" s="11" t="b">
        <x:f>'Truth Modules'!P140="PASS"</x:f>
        <x:v>1</x:v>
      </x:c>
      <x:c r="F356" s="29" t="b">
        <x:v>1</x:v>
      </x:c>
      <x:c r="G356" s="11" t="b">
        <x:f>'Truth Modules'!P140="PASS"</x:f>
        <x:v>1</x:v>
      </x:c>
      <x:c r="H356" s="11" t="str">
        <x:f>IF(G356=F356,"PASS","FAIL")</x:f>
        <x:v>PASS</x:v>
      </x:c>
      <x:c r="I356" s="38"/>
    </x:row>
    <x:row r="357">
      <x:c r="B357" s="11" t="str">
        <x:v>AU-0351</x:v>
      </x:c>
      <x:c r="C357" s="11" t="str">
        <x:v>truth module definition</x:v>
      </x:c>
      <x:c r="D357" s="11" t="str">
        <x:v>RA-SA3-06-B1-T2</x:v>
      </x:c>
      <x:c r="E357" s="11" t="b">
        <x:f>'Truth Modules'!P141="PASS"</x:f>
        <x:v>1</x:v>
      </x:c>
      <x:c r="F357" s="29" t="b">
        <x:v>1</x:v>
      </x:c>
      <x:c r="G357" s="11" t="b">
        <x:f>'Truth Modules'!P141="PASS"</x:f>
        <x:v>1</x:v>
      </x:c>
      <x:c r="H357" s="11" t="str">
        <x:f>IF(G357=F357,"PASS","FAIL")</x:f>
        <x:v>PASS</x:v>
      </x:c>
      <x:c r="I357" s="38"/>
    </x:row>
    <x:row r="358">
      <x:c r="B358" s="11" t="str">
        <x:v>AU-0352</x:v>
      </x:c>
      <x:c r="C358" s="11" t="str">
        <x:v>truth module definition</x:v>
      </x:c>
      <x:c r="D358" s="11" t="str">
        <x:v>RA-SA3-06-B1-T3</x:v>
      </x:c>
      <x:c r="E358" s="11" t="b">
        <x:f>'Truth Modules'!P142="PASS"</x:f>
        <x:v>1</x:v>
      </x:c>
      <x:c r="F358" s="29" t="b">
        <x:v>1</x:v>
      </x:c>
      <x:c r="G358" s="11" t="b">
        <x:f>'Truth Modules'!P142="PASS"</x:f>
        <x:v>1</x:v>
      </x:c>
      <x:c r="H358" s="11" t="str">
        <x:f>IF(G358=F358,"PASS","FAIL")</x:f>
        <x:v>PASS</x:v>
      </x:c>
      <x:c r="I358" s="38"/>
    </x:row>
    <x:row r="359">
      <x:c r="B359" s="11" t="str">
        <x:v>AU-0353</x:v>
      </x:c>
      <x:c r="C359" s="11" t="str">
        <x:v>truth module definition</x:v>
      </x:c>
      <x:c r="D359" s="11" t="str">
        <x:v>RA-SA3-06-B2-T0</x:v>
      </x:c>
      <x:c r="E359" s="11" t="b">
        <x:f>'Truth Modules'!P143="PASS"</x:f>
        <x:v>1</x:v>
      </x:c>
      <x:c r="F359" s="29" t="b">
        <x:v>1</x:v>
      </x:c>
      <x:c r="G359" s="11" t="b">
        <x:f>'Truth Modules'!P143="PASS"</x:f>
        <x:v>1</x:v>
      </x:c>
      <x:c r="H359" s="11" t="str">
        <x:f>IF(G359=F359,"PASS","FAIL")</x:f>
        <x:v>PASS</x:v>
      </x:c>
      <x:c r="I359" s="38"/>
    </x:row>
    <x:row r="360">
      <x:c r="B360" s="11" t="str">
        <x:v>AU-0354</x:v>
      </x:c>
      <x:c r="C360" s="11" t="str">
        <x:v>truth module definition</x:v>
      </x:c>
      <x:c r="D360" s="11" t="str">
        <x:v>RA-SA3-06-B2-T1</x:v>
      </x:c>
      <x:c r="E360" s="11" t="b">
        <x:f>'Truth Modules'!P144="PASS"</x:f>
        <x:v>1</x:v>
      </x:c>
      <x:c r="F360" s="29" t="b">
        <x:v>1</x:v>
      </x:c>
      <x:c r="G360" s="11" t="b">
        <x:f>'Truth Modules'!P144="PASS"</x:f>
        <x:v>1</x:v>
      </x:c>
      <x:c r="H360" s="11" t="str">
        <x:f>IF(G360=F360,"PASS","FAIL")</x:f>
        <x:v>PASS</x:v>
      </x:c>
      <x:c r="I360" s="38"/>
    </x:row>
    <x:row r="361">
      <x:c r="B361" s="11" t="str">
        <x:v>AU-0355</x:v>
      </x:c>
      <x:c r="C361" s="11" t="str">
        <x:v>truth module definition</x:v>
      </x:c>
      <x:c r="D361" s="11" t="str">
        <x:v>RA-SA3-06-B2-T2</x:v>
      </x:c>
      <x:c r="E361" s="11" t="b">
        <x:f>'Truth Modules'!P145="PASS"</x:f>
        <x:v>1</x:v>
      </x:c>
      <x:c r="F361" s="29" t="b">
        <x:v>1</x:v>
      </x:c>
      <x:c r="G361" s="11" t="b">
        <x:f>'Truth Modules'!P145="PASS"</x:f>
        <x:v>1</x:v>
      </x:c>
      <x:c r="H361" s="11" t="str">
        <x:f>IF(G361=F361,"PASS","FAIL")</x:f>
        <x:v>PASS</x:v>
      </x:c>
      <x:c r="I361" s="38"/>
    </x:row>
    <x:row r="362">
      <x:c r="B362" s="11" t="str">
        <x:v>AU-0356</x:v>
      </x:c>
      <x:c r="C362" s="11" t="str">
        <x:v>truth module definition</x:v>
      </x:c>
      <x:c r="D362" s="11" t="str">
        <x:v>RA-SA3-06-B2-T3</x:v>
      </x:c>
      <x:c r="E362" s="11" t="b">
        <x:f>'Truth Modules'!P146="PASS"</x:f>
        <x:v>1</x:v>
      </x:c>
      <x:c r="F362" s="29" t="b">
        <x:v>1</x:v>
      </x:c>
      <x:c r="G362" s="11" t="b">
        <x:f>'Truth Modules'!P146="PASS"</x:f>
        <x:v>1</x:v>
      </x:c>
      <x:c r="H362" s="11" t="str">
        <x:f>IF(G362=F362,"PASS","FAIL")</x:f>
        <x:v>PASS</x:v>
      </x:c>
      <x:c r="I362" s="38"/>
    </x:row>
    <x:row r="363">
      <x:c r="B363" s="11" t="str">
        <x:v>AU-0357</x:v>
      </x:c>
      <x:c r="C363" s="11" t="str">
        <x:v>truth module definition</x:v>
      </x:c>
      <x:c r="D363" s="11" t="str">
        <x:v>RA-SA3-06-B3-T0</x:v>
      </x:c>
      <x:c r="E363" s="11" t="b">
        <x:f>'Truth Modules'!P147="PASS"</x:f>
        <x:v>1</x:v>
      </x:c>
      <x:c r="F363" s="29" t="b">
        <x:v>1</x:v>
      </x:c>
      <x:c r="G363" s="11" t="b">
        <x:f>'Truth Modules'!P147="PASS"</x:f>
        <x:v>1</x:v>
      </x:c>
      <x:c r="H363" s="11" t="str">
        <x:f>IF(G363=F363,"PASS","FAIL")</x:f>
        <x:v>PASS</x:v>
      </x:c>
      <x:c r="I363" s="38"/>
    </x:row>
    <x:row r="364">
      <x:c r="B364" s="11" t="str">
        <x:v>AU-0358</x:v>
      </x:c>
      <x:c r="C364" s="11" t="str">
        <x:v>truth module definition</x:v>
      </x:c>
      <x:c r="D364" s="11" t="str">
        <x:v>RA-SA3-06-B3-T1</x:v>
      </x:c>
      <x:c r="E364" s="11" t="b">
        <x:f>'Truth Modules'!P148="PASS"</x:f>
        <x:v>1</x:v>
      </x:c>
      <x:c r="F364" s="29" t="b">
        <x:v>1</x:v>
      </x:c>
      <x:c r="G364" s="11" t="b">
        <x:f>'Truth Modules'!P148="PASS"</x:f>
        <x:v>1</x:v>
      </x:c>
      <x:c r="H364" s="11" t="str">
        <x:f>IF(G364=F364,"PASS","FAIL")</x:f>
        <x:v>PASS</x:v>
      </x:c>
      <x:c r="I364" s="38"/>
    </x:row>
    <x:row r="365">
      <x:c r="B365" s="11" t="str">
        <x:v>AU-0359</x:v>
      </x:c>
      <x:c r="C365" s="11" t="str">
        <x:v>truth module definition</x:v>
      </x:c>
      <x:c r="D365" s="11" t="str">
        <x:v>RA-SA3-06-B3-T2</x:v>
      </x:c>
      <x:c r="E365" s="11" t="b">
        <x:f>'Truth Modules'!P149="PASS"</x:f>
        <x:v>1</x:v>
      </x:c>
      <x:c r="F365" s="29" t="b">
        <x:v>1</x:v>
      </x:c>
      <x:c r="G365" s="11" t="b">
        <x:f>'Truth Modules'!P149="PASS"</x:f>
        <x:v>1</x:v>
      </x:c>
      <x:c r="H365" s="11" t="str">
        <x:f>IF(G365=F365,"PASS","FAIL")</x:f>
        <x:v>PASS</x:v>
      </x:c>
      <x:c r="I365" s="38"/>
    </x:row>
    <x:row r="366">
      <x:c r="B366" s="11" t="str">
        <x:v>AU-0360</x:v>
      </x:c>
      <x:c r="C366" s="11" t="str">
        <x:v>truth module definition</x:v>
      </x:c>
      <x:c r="D366" s="11" t="str">
        <x:v>RA-SA3-06-B3-T3</x:v>
      </x:c>
      <x:c r="E366" s="11" t="b">
        <x:f>'Truth Modules'!P150="PASS"</x:f>
        <x:v>1</x:v>
      </x:c>
      <x:c r="F366" s="29" t="b">
        <x:v>1</x:v>
      </x:c>
      <x:c r="G366" s="11" t="b">
        <x:f>'Truth Modules'!P150="PASS"</x:f>
        <x:v>1</x:v>
      </x:c>
      <x:c r="H366" s="11" t="str">
        <x:f>IF(G366=F366,"PASS","FAIL")</x:f>
        <x:v>PASS</x:v>
      </x:c>
      <x:c r="I366" s="38"/>
    </x:row>
    <x:row r="367">
      <x:c r="B367" s="11" t="str">
        <x:v>AU-0361</x:v>
      </x:c>
      <x:c r="C367" s="11" t="str">
        <x:v>truth module definition</x:v>
      </x:c>
      <x:c r="D367" s="11" t="str">
        <x:v>RA-SA4-07-A1-T0</x:v>
      </x:c>
      <x:c r="E367" s="11" t="b">
        <x:f>'Truth Modules'!P151="PASS"</x:f>
        <x:v>1</x:v>
      </x:c>
      <x:c r="F367" s="29" t="b">
        <x:v>1</x:v>
      </x:c>
      <x:c r="G367" s="11" t="b">
        <x:f>'Truth Modules'!P151="PASS"</x:f>
        <x:v>1</x:v>
      </x:c>
      <x:c r="H367" s="11" t="str">
        <x:f>IF(G367=F367,"PASS","FAIL")</x:f>
        <x:v>PASS</x:v>
      </x:c>
      <x:c r="I367" s="38"/>
    </x:row>
    <x:row r="368">
      <x:c r="B368" s="11" t="str">
        <x:v>AU-0362</x:v>
      </x:c>
      <x:c r="C368" s="11" t="str">
        <x:v>truth module definition</x:v>
      </x:c>
      <x:c r="D368" s="11" t="str">
        <x:v>RA-SA4-07-A1-T1</x:v>
      </x:c>
      <x:c r="E368" s="11" t="b">
        <x:f>'Truth Modules'!P152="PASS"</x:f>
        <x:v>1</x:v>
      </x:c>
      <x:c r="F368" s="29" t="b">
        <x:v>1</x:v>
      </x:c>
      <x:c r="G368" s="11" t="b">
        <x:f>'Truth Modules'!P152="PASS"</x:f>
        <x:v>1</x:v>
      </x:c>
      <x:c r="H368" s="11" t="str">
        <x:f>IF(G368=F368,"PASS","FAIL")</x:f>
        <x:v>PASS</x:v>
      </x:c>
      <x:c r="I368" s="38"/>
    </x:row>
    <x:row r="369">
      <x:c r="B369" s="11" t="str">
        <x:v>AU-0363</x:v>
      </x:c>
      <x:c r="C369" s="11" t="str">
        <x:v>truth module definition</x:v>
      </x:c>
      <x:c r="D369" s="11" t="str">
        <x:v>RA-SA4-07-A1-T2</x:v>
      </x:c>
      <x:c r="E369" s="11" t="b">
        <x:f>'Truth Modules'!P153="PASS"</x:f>
        <x:v>1</x:v>
      </x:c>
      <x:c r="F369" s="29" t="b">
        <x:v>1</x:v>
      </x:c>
      <x:c r="G369" s="11" t="b">
        <x:f>'Truth Modules'!P153="PASS"</x:f>
        <x:v>1</x:v>
      </x:c>
      <x:c r="H369" s="11" t="str">
        <x:f>IF(G369=F369,"PASS","FAIL")</x:f>
        <x:v>PASS</x:v>
      </x:c>
      <x:c r="I369" s="38"/>
    </x:row>
    <x:row r="370">
      <x:c r="B370" s="11" t="str">
        <x:v>AU-0364</x:v>
      </x:c>
      <x:c r="C370" s="11" t="str">
        <x:v>truth module definition</x:v>
      </x:c>
      <x:c r="D370" s="11" t="str">
        <x:v>RA-SA4-07-A1-T3</x:v>
      </x:c>
      <x:c r="E370" s="11" t="b">
        <x:f>'Truth Modules'!P154="PASS"</x:f>
        <x:v>1</x:v>
      </x:c>
      <x:c r="F370" s="29" t="b">
        <x:v>1</x:v>
      </x:c>
      <x:c r="G370" s="11" t="b">
        <x:f>'Truth Modules'!P154="PASS"</x:f>
        <x:v>1</x:v>
      </x:c>
      <x:c r="H370" s="11" t="str">
        <x:f>IF(G370=F370,"PASS","FAIL")</x:f>
        <x:v>PASS</x:v>
      </x:c>
      <x:c r="I370" s="38"/>
    </x:row>
    <x:row r="371">
      <x:c r="B371" s="11" t="str">
        <x:v>AU-0365</x:v>
      </x:c>
      <x:c r="C371" s="11" t="str">
        <x:v>truth module definition</x:v>
      </x:c>
      <x:c r="D371" s="11" t="str">
        <x:v>RA-SA4-07-A2-T0</x:v>
      </x:c>
      <x:c r="E371" s="11" t="b">
        <x:f>'Truth Modules'!P155="PASS"</x:f>
        <x:v>1</x:v>
      </x:c>
      <x:c r="F371" s="29" t="b">
        <x:v>1</x:v>
      </x:c>
      <x:c r="G371" s="11" t="b">
        <x:f>'Truth Modules'!P155="PASS"</x:f>
        <x:v>1</x:v>
      </x:c>
      <x:c r="H371" s="11" t="str">
        <x:f>IF(G371=F371,"PASS","FAIL")</x:f>
        <x:v>PASS</x:v>
      </x:c>
      <x:c r="I371" s="38"/>
    </x:row>
    <x:row r="372">
      <x:c r="B372" s="11" t="str">
        <x:v>AU-0366</x:v>
      </x:c>
      <x:c r="C372" s="11" t="str">
        <x:v>truth module definition</x:v>
      </x:c>
      <x:c r="D372" s="11" t="str">
        <x:v>RA-SA4-07-A2-T1</x:v>
      </x:c>
      <x:c r="E372" s="11" t="b">
        <x:f>'Truth Modules'!P156="PASS"</x:f>
        <x:v>1</x:v>
      </x:c>
      <x:c r="F372" s="29" t="b">
        <x:v>1</x:v>
      </x:c>
      <x:c r="G372" s="11" t="b">
        <x:f>'Truth Modules'!P156="PASS"</x:f>
        <x:v>1</x:v>
      </x:c>
      <x:c r="H372" s="11" t="str">
        <x:f>IF(G372=F372,"PASS","FAIL")</x:f>
        <x:v>PASS</x:v>
      </x:c>
      <x:c r="I372" s="38"/>
    </x:row>
    <x:row r="373">
      <x:c r="B373" s="11" t="str">
        <x:v>AU-0367</x:v>
      </x:c>
      <x:c r="C373" s="11" t="str">
        <x:v>truth module definition</x:v>
      </x:c>
      <x:c r="D373" s="11" t="str">
        <x:v>RA-SA4-07-A2-T2</x:v>
      </x:c>
      <x:c r="E373" s="11" t="b">
        <x:f>'Truth Modules'!P157="PASS"</x:f>
        <x:v>1</x:v>
      </x:c>
      <x:c r="F373" s="29" t="b">
        <x:v>1</x:v>
      </x:c>
      <x:c r="G373" s="11" t="b">
        <x:f>'Truth Modules'!P157="PASS"</x:f>
        <x:v>1</x:v>
      </x:c>
      <x:c r="H373" s="11" t="str">
        <x:f>IF(G373=F373,"PASS","FAIL")</x:f>
        <x:v>PASS</x:v>
      </x:c>
      <x:c r="I373" s="38"/>
    </x:row>
    <x:row r="374">
      <x:c r="B374" s="11" t="str">
        <x:v>AU-0368</x:v>
      </x:c>
      <x:c r="C374" s="11" t="str">
        <x:v>truth module definition</x:v>
      </x:c>
      <x:c r="D374" s="11" t="str">
        <x:v>RA-SA4-07-A2-T3</x:v>
      </x:c>
      <x:c r="E374" s="11" t="b">
        <x:f>'Truth Modules'!P158="PASS"</x:f>
        <x:v>1</x:v>
      </x:c>
      <x:c r="F374" s="29" t="b">
        <x:v>1</x:v>
      </x:c>
      <x:c r="G374" s="11" t="b">
        <x:f>'Truth Modules'!P158="PASS"</x:f>
        <x:v>1</x:v>
      </x:c>
      <x:c r="H374" s="11" t="str">
        <x:f>IF(G374=F374,"PASS","FAIL")</x:f>
        <x:v>PASS</x:v>
      </x:c>
      <x:c r="I374" s="38"/>
    </x:row>
    <x:row r="375">
      <x:c r="B375" s="11" t="str">
        <x:v>AU-0369</x:v>
      </x:c>
      <x:c r="C375" s="11" t="str">
        <x:v>truth module definition</x:v>
      </x:c>
      <x:c r="D375" s="11" t="str">
        <x:v>RA-SA4-07-A3-T0</x:v>
      </x:c>
      <x:c r="E375" s="11" t="b">
        <x:f>'Truth Modules'!P159="PASS"</x:f>
        <x:v>1</x:v>
      </x:c>
      <x:c r="F375" s="29" t="b">
        <x:v>1</x:v>
      </x:c>
      <x:c r="G375" s="11" t="b">
        <x:f>'Truth Modules'!P159="PASS"</x:f>
        <x:v>1</x:v>
      </x:c>
      <x:c r="H375" s="11" t="str">
        <x:f>IF(G375=F375,"PASS","FAIL")</x:f>
        <x:v>PASS</x:v>
      </x:c>
      <x:c r="I375" s="38"/>
    </x:row>
    <x:row r="376">
      <x:c r="B376" s="11" t="str">
        <x:v>AU-0370</x:v>
      </x:c>
      <x:c r="C376" s="11" t="str">
        <x:v>truth module definition</x:v>
      </x:c>
      <x:c r="D376" s="11" t="str">
        <x:v>RA-SA4-07-A3-T1</x:v>
      </x:c>
      <x:c r="E376" s="11" t="b">
        <x:f>'Truth Modules'!P160="PASS"</x:f>
        <x:v>1</x:v>
      </x:c>
      <x:c r="F376" s="29" t="b">
        <x:v>1</x:v>
      </x:c>
      <x:c r="G376" s="11" t="b">
        <x:f>'Truth Modules'!P160="PASS"</x:f>
        <x:v>1</x:v>
      </x:c>
      <x:c r="H376" s="11" t="str">
        <x:f>IF(G376=F376,"PASS","FAIL")</x:f>
        <x:v>PASS</x:v>
      </x:c>
      <x:c r="I376" s="38"/>
    </x:row>
    <x:row r="377">
      <x:c r="B377" s="11" t="str">
        <x:v>AU-0371</x:v>
      </x:c>
      <x:c r="C377" s="11" t="str">
        <x:v>truth module definition</x:v>
      </x:c>
      <x:c r="D377" s="11" t="str">
        <x:v>RA-SA4-07-A3-T2</x:v>
      </x:c>
      <x:c r="E377" s="11" t="b">
        <x:f>'Truth Modules'!P161="PASS"</x:f>
        <x:v>1</x:v>
      </x:c>
      <x:c r="F377" s="29" t="b">
        <x:v>1</x:v>
      </x:c>
      <x:c r="G377" s="11" t="b">
        <x:f>'Truth Modules'!P161="PASS"</x:f>
        <x:v>1</x:v>
      </x:c>
      <x:c r="H377" s="11" t="str">
        <x:f>IF(G377=F377,"PASS","FAIL")</x:f>
        <x:v>PASS</x:v>
      </x:c>
      <x:c r="I377" s="38"/>
    </x:row>
    <x:row r="378">
      <x:c r="B378" s="11" t="str">
        <x:v>AU-0372</x:v>
      </x:c>
      <x:c r="C378" s="11" t="str">
        <x:v>truth module definition</x:v>
      </x:c>
      <x:c r="D378" s="11" t="str">
        <x:v>RA-SA4-07-A3-T3</x:v>
      </x:c>
      <x:c r="E378" s="11" t="b">
        <x:f>'Truth Modules'!P162="PASS"</x:f>
        <x:v>1</x:v>
      </x:c>
      <x:c r="F378" s="29" t="b">
        <x:v>1</x:v>
      </x:c>
      <x:c r="G378" s="11" t="b">
        <x:f>'Truth Modules'!P162="PASS"</x:f>
        <x:v>1</x:v>
      </x:c>
      <x:c r="H378" s="11" t="str">
        <x:f>IF(G378=F378,"PASS","FAIL")</x:f>
        <x:v>PASS</x:v>
      </x:c>
      <x:c r="I378" s="38"/>
    </x:row>
    <x:row r="379">
      <x:c r="B379" s="11" t="str">
        <x:v>AU-0373</x:v>
      </x:c>
      <x:c r="C379" s="11" t="str">
        <x:v>truth module definition</x:v>
      </x:c>
      <x:c r="D379" s="11" t="str">
        <x:v>RA-SA4-07-B1-T0</x:v>
      </x:c>
      <x:c r="E379" s="11" t="b">
        <x:f>'Truth Modules'!P163="PASS"</x:f>
        <x:v>1</x:v>
      </x:c>
      <x:c r="F379" s="29" t="b">
        <x:v>1</x:v>
      </x:c>
      <x:c r="G379" s="11" t="b">
        <x:f>'Truth Modules'!P163="PASS"</x:f>
        <x:v>1</x:v>
      </x:c>
      <x:c r="H379" s="11" t="str">
        <x:f>IF(G379=F379,"PASS","FAIL")</x:f>
        <x:v>PASS</x:v>
      </x:c>
      <x:c r="I379" s="38"/>
    </x:row>
    <x:row r="380">
      <x:c r="B380" s="11" t="str">
        <x:v>AU-0374</x:v>
      </x:c>
      <x:c r="C380" s="11" t="str">
        <x:v>truth module definition</x:v>
      </x:c>
      <x:c r="D380" s="11" t="str">
        <x:v>RA-SA4-07-B1-T1</x:v>
      </x:c>
      <x:c r="E380" s="11" t="b">
        <x:f>'Truth Modules'!P164="PASS"</x:f>
        <x:v>1</x:v>
      </x:c>
      <x:c r="F380" s="29" t="b">
        <x:v>1</x:v>
      </x:c>
      <x:c r="G380" s="11" t="b">
        <x:f>'Truth Modules'!P164="PASS"</x:f>
        <x:v>1</x:v>
      </x:c>
      <x:c r="H380" s="11" t="str">
        <x:f>IF(G380=F380,"PASS","FAIL")</x:f>
        <x:v>PASS</x:v>
      </x:c>
      <x:c r="I380" s="38"/>
    </x:row>
    <x:row r="381">
      <x:c r="B381" s="11" t="str">
        <x:v>AU-0375</x:v>
      </x:c>
      <x:c r="C381" s="11" t="str">
        <x:v>truth module definition</x:v>
      </x:c>
      <x:c r="D381" s="11" t="str">
        <x:v>RA-SA4-07-B1-T2</x:v>
      </x:c>
      <x:c r="E381" s="11" t="b">
        <x:f>'Truth Modules'!P165="PASS"</x:f>
        <x:v>1</x:v>
      </x:c>
      <x:c r="F381" s="29" t="b">
        <x:v>1</x:v>
      </x:c>
      <x:c r="G381" s="11" t="b">
        <x:f>'Truth Modules'!P165="PASS"</x:f>
        <x:v>1</x:v>
      </x:c>
      <x:c r="H381" s="11" t="str">
        <x:f>IF(G381=F381,"PASS","FAIL")</x:f>
        <x:v>PASS</x:v>
      </x:c>
      <x:c r="I381" s="38"/>
    </x:row>
    <x:row r="382">
      <x:c r="B382" s="11" t="str">
        <x:v>AU-0376</x:v>
      </x:c>
      <x:c r="C382" s="11" t="str">
        <x:v>truth module definition</x:v>
      </x:c>
      <x:c r="D382" s="11" t="str">
        <x:v>RA-SA4-07-B1-T3</x:v>
      </x:c>
      <x:c r="E382" s="11" t="b">
        <x:f>'Truth Modules'!P166="PASS"</x:f>
        <x:v>1</x:v>
      </x:c>
      <x:c r="F382" s="29" t="b">
        <x:v>1</x:v>
      </x:c>
      <x:c r="G382" s="11" t="b">
        <x:f>'Truth Modules'!P166="PASS"</x:f>
        <x:v>1</x:v>
      </x:c>
      <x:c r="H382" s="11" t="str">
        <x:f>IF(G382=F382,"PASS","FAIL")</x:f>
        <x:v>PASS</x:v>
      </x:c>
      <x:c r="I382" s="38"/>
    </x:row>
    <x:row r="383">
      <x:c r="B383" s="11" t="str">
        <x:v>AU-0377</x:v>
      </x:c>
      <x:c r="C383" s="11" t="str">
        <x:v>truth module definition</x:v>
      </x:c>
      <x:c r="D383" s="11" t="str">
        <x:v>RA-SA4-07-B2-T0</x:v>
      </x:c>
      <x:c r="E383" s="11" t="b">
        <x:f>'Truth Modules'!P167="PASS"</x:f>
        <x:v>1</x:v>
      </x:c>
      <x:c r="F383" s="29" t="b">
        <x:v>1</x:v>
      </x:c>
      <x:c r="G383" s="11" t="b">
        <x:f>'Truth Modules'!P167="PASS"</x:f>
        <x:v>1</x:v>
      </x:c>
      <x:c r="H383" s="11" t="str">
        <x:f>IF(G383=F383,"PASS","FAIL")</x:f>
        <x:v>PASS</x:v>
      </x:c>
      <x:c r="I383" s="38"/>
    </x:row>
    <x:row r="384">
      <x:c r="B384" s="11" t="str">
        <x:v>AU-0378</x:v>
      </x:c>
      <x:c r="C384" s="11" t="str">
        <x:v>truth module definition</x:v>
      </x:c>
      <x:c r="D384" s="11" t="str">
        <x:v>RA-SA4-07-B2-T1</x:v>
      </x:c>
      <x:c r="E384" s="11" t="b">
        <x:f>'Truth Modules'!P168="PASS"</x:f>
        <x:v>1</x:v>
      </x:c>
      <x:c r="F384" s="29" t="b">
        <x:v>1</x:v>
      </x:c>
      <x:c r="G384" s="11" t="b">
        <x:f>'Truth Modules'!P168="PASS"</x:f>
        <x:v>1</x:v>
      </x:c>
      <x:c r="H384" s="11" t="str">
        <x:f>IF(G384=F384,"PASS","FAIL")</x:f>
        <x:v>PASS</x:v>
      </x:c>
      <x:c r="I384" s="38"/>
    </x:row>
    <x:row r="385">
      <x:c r="B385" s="11" t="str">
        <x:v>AU-0379</x:v>
      </x:c>
      <x:c r="C385" s="11" t="str">
        <x:v>truth module definition</x:v>
      </x:c>
      <x:c r="D385" s="11" t="str">
        <x:v>RA-SA4-07-B2-T2</x:v>
      </x:c>
      <x:c r="E385" s="11" t="b">
        <x:f>'Truth Modules'!P169="PASS"</x:f>
        <x:v>1</x:v>
      </x:c>
      <x:c r="F385" s="29" t="b">
        <x:v>1</x:v>
      </x:c>
      <x:c r="G385" s="11" t="b">
        <x:f>'Truth Modules'!P169="PASS"</x:f>
        <x:v>1</x:v>
      </x:c>
      <x:c r="H385" s="11" t="str">
        <x:f>IF(G385=F385,"PASS","FAIL")</x:f>
        <x:v>PASS</x:v>
      </x:c>
      <x:c r="I385" s="38"/>
    </x:row>
    <x:row r="386">
      <x:c r="B386" s="11" t="str">
        <x:v>AU-0380</x:v>
      </x:c>
      <x:c r="C386" s="11" t="str">
        <x:v>truth module definition</x:v>
      </x:c>
      <x:c r="D386" s="11" t="str">
        <x:v>RA-SA4-07-B2-T3</x:v>
      </x:c>
      <x:c r="E386" s="11" t="b">
        <x:f>'Truth Modules'!P170="PASS"</x:f>
        <x:v>1</x:v>
      </x:c>
      <x:c r="F386" s="29" t="b">
        <x:v>1</x:v>
      </x:c>
      <x:c r="G386" s="11" t="b">
        <x:f>'Truth Modules'!P170="PASS"</x:f>
        <x:v>1</x:v>
      </x:c>
      <x:c r="H386" s="11" t="str">
        <x:f>IF(G386=F386,"PASS","FAIL")</x:f>
        <x:v>PASS</x:v>
      </x:c>
      <x:c r="I386" s="38"/>
    </x:row>
    <x:row r="387">
      <x:c r="B387" s="11" t="str">
        <x:v>AU-0381</x:v>
      </x:c>
      <x:c r="C387" s="11" t="str">
        <x:v>truth module definition</x:v>
      </x:c>
      <x:c r="D387" s="11" t="str">
        <x:v>RA-SA4-07-B3-T0</x:v>
      </x:c>
      <x:c r="E387" s="11" t="b">
        <x:f>'Truth Modules'!P171="PASS"</x:f>
        <x:v>1</x:v>
      </x:c>
      <x:c r="F387" s="29" t="b">
        <x:v>1</x:v>
      </x:c>
      <x:c r="G387" s="11" t="b">
        <x:f>'Truth Modules'!P171="PASS"</x:f>
        <x:v>1</x:v>
      </x:c>
      <x:c r="H387" s="11" t="str">
        <x:f>IF(G387=F387,"PASS","FAIL")</x:f>
        <x:v>PASS</x:v>
      </x:c>
      <x:c r="I387" s="38"/>
    </x:row>
    <x:row r="388">
      <x:c r="B388" s="11" t="str">
        <x:v>AU-0382</x:v>
      </x:c>
      <x:c r="C388" s="11" t="str">
        <x:v>truth module definition</x:v>
      </x:c>
      <x:c r="D388" s="11" t="str">
        <x:v>RA-SA4-07-B3-T1</x:v>
      </x:c>
      <x:c r="E388" s="11" t="b">
        <x:f>'Truth Modules'!P172="PASS"</x:f>
        <x:v>1</x:v>
      </x:c>
      <x:c r="F388" s="29" t="b">
        <x:v>1</x:v>
      </x:c>
      <x:c r="G388" s="11" t="b">
        <x:f>'Truth Modules'!P172="PASS"</x:f>
        <x:v>1</x:v>
      </x:c>
      <x:c r="H388" s="11" t="str">
        <x:f>IF(G388=F388,"PASS","FAIL")</x:f>
        <x:v>PASS</x:v>
      </x:c>
      <x:c r="I388" s="38"/>
    </x:row>
    <x:row r="389">
      <x:c r="B389" s="11" t="str">
        <x:v>AU-0383</x:v>
      </x:c>
      <x:c r="C389" s="11" t="str">
        <x:v>truth module definition</x:v>
      </x:c>
      <x:c r="D389" s="11" t="str">
        <x:v>RA-SA4-07-B3-T2</x:v>
      </x:c>
      <x:c r="E389" s="11" t="b">
        <x:f>'Truth Modules'!P173="PASS"</x:f>
        <x:v>1</x:v>
      </x:c>
      <x:c r="F389" s="29" t="b">
        <x:v>1</x:v>
      </x:c>
      <x:c r="G389" s="11" t="b">
        <x:f>'Truth Modules'!P173="PASS"</x:f>
        <x:v>1</x:v>
      </x:c>
      <x:c r="H389" s="11" t="str">
        <x:f>IF(G389=F389,"PASS","FAIL")</x:f>
        <x:v>PASS</x:v>
      </x:c>
      <x:c r="I389" s="38"/>
    </x:row>
    <x:row r="390">
      <x:c r="B390" s="11" t="str">
        <x:v>AU-0384</x:v>
      </x:c>
      <x:c r="C390" s="11" t="str">
        <x:v>truth module definition</x:v>
      </x:c>
      <x:c r="D390" s="11" t="str">
        <x:v>RA-SA4-07-B3-T3</x:v>
      </x:c>
      <x:c r="E390" s="11" t="b">
        <x:f>'Truth Modules'!P174="PASS"</x:f>
        <x:v>1</x:v>
      </x:c>
      <x:c r="F390" s="29" t="b">
        <x:v>1</x:v>
      </x:c>
      <x:c r="G390" s="11" t="b">
        <x:f>'Truth Modules'!P174="PASS"</x:f>
        <x:v>1</x:v>
      </x:c>
      <x:c r="H390" s="11" t="str">
        <x:f>IF(G390=F390,"PASS","FAIL")</x:f>
        <x:v>PASS</x:v>
      </x:c>
      <x:c r="I390" s="38"/>
    </x:row>
    <x:row r="391">
      <x:c r="B391" s="11" t="str">
        <x:v>AU-0385</x:v>
      </x:c>
      <x:c r="C391" s="11" t="str">
        <x:v>truth module definition</x:v>
      </x:c>
      <x:c r="D391" s="11" t="str">
        <x:v>RA-SA4-08-A1-T0</x:v>
      </x:c>
      <x:c r="E391" s="11" t="b">
        <x:f>'Truth Modules'!P175="PASS"</x:f>
        <x:v>1</x:v>
      </x:c>
      <x:c r="F391" s="29" t="b">
        <x:v>1</x:v>
      </x:c>
      <x:c r="G391" s="11" t="b">
        <x:f>'Truth Modules'!P175="PASS"</x:f>
        <x:v>1</x:v>
      </x:c>
      <x:c r="H391" s="11" t="str">
        <x:f>IF(G391=F391,"PASS","FAIL")</x:f>
        <x:v>PASS</x:v>
      </x:c>
      <x:c r="I391" s="38"/>
    </x:row>
    <x:row r="392">
      <x:c r="B392" s="11" t="str">
        <x:v>AU-0386</x:v>
      </x:c>
      <x:c r="C392" s="11" t="str">
        <x:v>truth module definition</x:v>
      </x:c>
      <x:c r="D392" s="11" t="str">
        <x:v>RA-SA4-08-A1-T1</x:v>
      </x:c>
      <x:c r="E392" s="11" t="b">
        <x:f>'Truth Modules'!P176="PASS"</x:f>
        <x:v>1</x:v>
      </x:c>
      <x:c r="F392" s="29" t="b">
        <x:v>1</x:v>
      </x:c>
      <x:c r="G392" s="11" t="b">
        <x:f>'Truth Modules'!P176="PASS"</x:f>
        <x:v>1</x:v>
      </x:c>
      <x:c r="H392" s="11" t="str">
        <x:f>IF(G392=F392,"PASS","FAIL")</x:f>
        <x:v>PASS</x:v>
      </x:c>
      <x:c r="I392" s="38"/>
    </x:row>
    <x:row r="393">
      <x:c r="B393" s="11" t="str">
        <x:v>AU-0387</x:v>
      </x:c>
      <x:c r="C393" s="11" t="str">
        <x:v>truth module definition</x:v>
      </x:c>
      <x:c r="D393" s="11" t="str">
        <x:v>RA-SA4-08-A1-T2</x:v>
      </x:c>
      <x:c r="E393" s="11" t="b">
        <x:f>'Truth Modules'!P177="PASS"</x:f>
        <x:v>1</x:v>
      </x:c>
      <x:c r="F393" s="29" t="b">
        <x:v>1</x:v>
      </x:c>
      <x:c r="G393" s="11" t="b">
        <x:f>'Truth Modules'!P177="PASS"</x:f>
        <x:v>1</x:v>
      </x:c>
      <x:c r="H393" s="11" t="str">
        <x:f>IF(G393=F393,"PASS","FAIL")</x:f>
        <x:v>PASS</x:v>
      </x:c>
      <x:c r="I393" s="38"/>
    </x:row>
    <x:row r="394">
      <x:c r="B394" s="11" t="str">
        <x:v>AU-0388</x:v>
      </x:c>
      <x:c r="C394" s="11" t="str">
        <x:v>truth module definition</x:v>
      </x:c>
      <x:c r="D394" s="11" t="str">
        <x:v>RA-SA4-08-A1-T3</x:v>
      </x:c>
      <x:c r="E394" s="11" t="b">
        <x:f>'Truth Modules'!P178="PASS"</x:f>
        <x:v>1</x:v>
      </x:c>
      <x:c r="F394" s="29" t="b">
        <x:v>1</x:v>
      </x:c>
      <x:c r="G394" s="11" t="b">
        <x:f>'Truth Modules'!P178="PASS"</x:f>
        <x:v>1</x:v>
      </x:c>
      <x:c r="H394" s="11" t="str">
        <x:f>IF(G394=F394,"PASS","FAIL")</x:f>
        <x:v>PASS</x:v>
      </x:c>
      <x:c r="I394" s="38"/>
    </x:row>
    <x:row r="395">
      <x:c r="B395" s="11" t="str">
        <x:v>AU-0389</x:v>
      </x:c>
      <x:c r="C395" s="11" t="str">
        <x:v>truth module definition</x:v>
      </x:c>
      <x:c r="D395" s="11" t="str">
        <x:v>RA-SA4-08-A2-T0</x:v>
      </x:c>
      <x:c r="E395" s="11" t="b">
        <x:f>'Truth Modules'!P179="PASS"</x:f>
        <x:v>1</x:v>
      </x:c>
      <x:c r="F395" s="29" t="b">
        <x:v>1</x:v>
      </x:c>
      <x:c r="G395" s="11" t="b">
        <x:f>'Truth Modules'!P179="PASS"</x:f>
        <x:v>1</x:v>
      </x:c>
      <x:c r="H395" s="11" t="str">
        <x:f>IF(G395=F395,"PASS","FAIL")</x:f>
        <x:v>PASS</x:v>
      </x:c>
      <x:c r="I395" s="38"/>
    </x:row>
    <x:row r="396">
      <x:c r="B396" s="11" t="str">
        <x:v>AU-0390</x:v>
      </x:c>
      <x:c r="C396" s="11" t="str">
        <x:v>truth module definition</x:v>
      </x:c>
      <x:c r="D396" s="11" t="str">
        <x:v>RA-SA4-08-A2-T1</x:v>
      </x:c>
      <x:c r="E396" s="11" t="b">
        <x:f>'Truth Modules'!P180="PASS"</x:f>
        <x:v>1</x:v>
      </x:c>
      <x:c r="F396" s="29" t="b">
        <x:v>1</x:v>
      </x:c>
      <x:c r="G396" s="11" t="b">
        <x:f>'Truth Modules'!P180="PASS"</x:f>
        <x:v>1</x:v>
      </x:c>
      <x:c r="H396" s="11" t="str">
        <x:f>IF(G396=F396,"PASS","FAIL")</x:f>
        <x:v>PASS</x:v>
      </x:c>
      <x:c r="I396" s="38"/>
    </x:row>
    <x:row r="397">
      <x:c r="B397" s="11" t="str">
        <x:v>AU-0391</x:v>
      </x:c>
      <x:c r="C397" s="11" t="str">
        <x:v>truth module definition</x:v>
      </x:c>
      <x:c r="D397" s="11" t="str">
        <x:v>RA-SA4-08-A2-T2</x:v>
      </x:c>
      <x:c r="E397" s="11" t="b">
        <x:f>'Truth Modules'!P181="PASS"</x:f>
        <x:v>1</x:v>
      </x:c>
      <x:c r="F397" s="29" t="b">
        <x:v>1</x:v>
      </x:c>
      <x:c r="G397" s="11" t="b">
        <x:f>'Truth Modules'!P181="PASS"</x:f>
        <x:v>1</x:v>
      </x:c>
      <x:c r="H397" s="11" t="str">
        <x:f>IF(G397=F397,"PASS","FAIL")</x:f>
        <x:v>PASS</x:v>
      </x:c>
      <x:c r="I397" s="38"/>
    </x:row>
    <x:row r="398">
      <x:c r="B398" s="11" t="str">
        <x:v>AU-0392</x:v>
      </x:c>
      <x:c r="C398" s="11" t="str">
        <x:v>truth module definition</x:v>
      </x:c>
      <x:c r="D398" s="11" t="str">
        <x:v>RA-SA4-08-A2-T3</x:v>
      </x:c>
      <x:c r="E398" s="11" t="b">
        <x:f>'Truth Modules'!P182="PASS"</x:f>
        <x:v>1</x:v>
      </x:c>
      <x:c r="F398" s="29" t="b">
        <x:v>1</x:v>
      </x:c>
      <x:c r="G398" s="11" t="b">
        <x:f>'Truth Modules'!P182="PASS"</x:f>
        <x:v>1</x:v>
      </x:c>
      <x:c r="H398" s="11" t="str">
        <x:f>IF(G398=F398,"PASS","FAIL")</x:f>
        <x:v>PASS</x:v>
      </x:c>
      <x:c r="I398" s="38"/>
    </x:row>
    <x:row r="399">
      <x:c r="B399" s="11" t="str">
        <x:v>AU-0393</x:v>
      </x:c>
      <x:c r="C399" s="11" t="str">
        <x:v>truth module definition</x:v>
      </x:c>
      <x:c r="D399" s="11" t="str">
        <x:v>RA-SA4-08-A3-T0</x:v>
      </x:c>
      <x:c r="E399" s="11" t="b">
        <x:f>'Truth Modules'!P183="PASS"</x:f>
        <x:v>1</x:v>
      </x:c>
      <x:c r="F399" s="29" t="b">
        <x:v>1</x:v>
      </x:c>
      <x:c r="G399" s="11" t="b">
        <x:f>'Truth Modules'!P183="PASS"</x:f>
        <x:v>1</x:v>
      </x:c>
      <x:c r="H399" s="11" t="str">
        <x:f>IF(G399=F399,"PASS","FAIL")</x:f>
        <x:v>PASS</x:v>
      </x:c>
      <x:c r="I399" s="38"/>
    </x:row>
    <x:row r="400">
      <x:c r="B400" s="11" t="str">
        <x:v>AU-0394</x:v>
      </x:c>
      <x:c r="C400" s="11" t="str">
        <x:v>truth module definition</x:v>
      </x:c>
      <x:c r="D400" s="11" t="str">
        <x:v>RA-SA4-08-A3-T1</x:v>
      </x:c>
      <x:c r="E400" s="11" t="b">
        <x:f>'Truth Modules'!P184="PASS"</x:f>
        <x:v>1</x:v>
      </x:c>
      <x:c r="F400" s="29" t="b">
        <x:v>1</x:v>
      </x:c>
      <x:c r="G400" s="11" t="b">
        <x:f>'Truth Modules'!P184="PASS"</x:f>
        <x:v>1</x:v>
      </x:c>
      <x:c r="H400" s="11" t="str">
        <x:f>IF(G400=F400,"PASS","FAIL")</x:f>
        <x:v>PASS</x:v>
      </x:c>
      <x:c r="I400" s="38"/>
    </x:row>
    <x:row r="401">
      <x:c r="B401" s="11" t="str">
        <x:v>AU-0395</x:v>
      </x:c>
      <x:c r="C401" s="11" t="str">
        <x:v>truth module definition</x:v>
      </x:c>
      <x:c r="D401" s="11" t="str">
        <x:v>RA-SA4-08-A3-T2</x:v>
      </x:c>
      <x:c r="E401" s="11" t="b">
        <x:f>'Truth Modules'!P185="PASS"</x:f>
        <x:v>1</x:v>
      </x:c>
      <x:c r="F401" s="29" t="b">
        <x:v>1</x:v>
      </x:c>
      <x:c r="G401" s="11" t="b">
        <x:f>'Truth Modules'!P185="PASS"</x:f>
        <x:v>1</x:v>
      </x:c>
      <x:c r="H401" s="11" t="str">
        <x:f>IF(G401=F401,"PASS","FAIL")</x:f>
        <x:v>PASS</x:v>
      </x:c>
      <x:c r="I401" s="38"/>
    </x:row>
    <x:row r="402">
      <x:c r="B402" s="11" t="str">
        <x:v>AU-0396</x:v>
      </x:c>
      <x:c r="C402" s="11" t="str">
        <x:v>truth module definition</x:v>
      </x:c>
      <x:c r="D402" s="11" t="str">
        <x:v>RA-SA4-08-A3-T3</x:v>
      </x:c>
      <x:c r="E402" s="11" t="b">
        <x:f>'Truth Modules'!P186="PASS"</x:f>
        <x:v>1</x:v>
      </x:c>
      <x:c r="F402" s="29" t="b">
        <x:v>1</x:v>
      </x:c>
      <x:c r="G402" s="11" t="b">
        <x:f>'Truth Modules'!P186="PASS"</x:f>
        <x:v>1</x:v>
      </x:c>
      <x:c r="H402" s="11" t="str">
        <x:f>IF(G402=F402,"PASS","FAIL")</x:f>
        <x:v>PASS</x:v>
      </x:c>
      <x:c r="I402" s="38"/>
    </x:row>
    <x:row r="403">
      <x:c r="B403" s="11" t="str">
        <x:v>AU-0397</x:v>
      </x:c>
      <x:c r="C403" s="11" t="str">
        <x:v>truth module definition</x:v>
      </x:c>
      <x:c r="D403" s="11" t="str">
        <x:v>RA-SA4-08-B1-T0</x:v>
      </x:c>
      <x:c r="E403" s="11" t="b">
        <x:f>'Truth Modules'!P187="PASS"</x:f>
        <x:v>1</x:v>
      </x:c>
      <x:c r="F403" s="29" t="b">
        <x:v>1</x:v>
      </x:c>
      <x:c r="G403" s="11" t="b">
        <x:f>'Truth Modules'!P187="PASS"</x:f>
        <x:v>1</x:v>
      </x:c>
      <x:c r="H403" s="11" t="str">
        <x:f>IF(G403=F403,"PASS","FAIL")</x:f>
        <x:v>PASS</x:v>
      </x:c>
      <x:c r="I403" s="38"/>
    </x:row>
    <x:row r="404">
      <x:c r="B404" s="11" t="str">
        <x:v>AU-0398</x:v>
      </x:c>
      <x:c r="C404" s="11" t="str">
        <x:v>truth module definition</x:v>
      </x:c>
      <x:c r="D404" s="11" t="str">
        <x:v>RA-SA4-08-B1-T1</x:v>
      </x:c>
      <x:c r="E404" s="11" t="b">
        <x:f>'Truth Modules'!P188="PASS"</x:f>
        <x:v>1</x:v>
      </x:c>
      <x:c r="F404" s="29" t="b">
        <x:v>1</x:v>
      </x:c>
      <x:c r="G404" s="11" t="b">
        <x:f>'Truth Modules'!P188="PASS"</x:f>
        <x:v>1</x:v>
      </x:c>
      <x:c r="H404" s="11" t="str">
        <x:f>IF(G404=F404,"PASS","FAIL")</x:f>
        <x:v>PASS</x:v>
      </x:c>
      <x:c r="I404" s="38"/>
    </x:row>
    <x:row r="405">
      <x:c r="B405" s="11" t="str">
        <x:v>AU-0399</x:v>
      </x:c>
      <x:c r="C405" s="11" t="str">
        <x:v>truth module definition</x:v>
      </x:c>
      <x:c r="D405" s="11" t="str">
        <x:v>RA-SA4-08-B1-T2</x:v>
      </x:c>
      <x:c r="E405" s="11" t="b">
        <x:f>'Truth Modules'!P189="PASS"</x:f>
        <x:v>1</x:v>
      </x:c>
      <x:c r="F405" s="29" t="b">
        <x:v>1</x:v>
      </x:c>
      <x:c r="G405" s="11" t="b">
        <x:f>'Truth Modules'!P189="PASS"</x:f>
        <x:v>1</x:v>
      </x:c>
      <x:c r="H405" s="11" t="str">
        <x:f>IF(G405=F405,"PASS","FAIL")</x:f>
        <x:v>PASS</x:v>
      </x:c>
      <x:c r="I405" s="38"/>
    </x:row>
    <x:row r="406">
      <x:c r="B406" s="11" t="str">
        <x:v>AU-0400</x:v>
      </x:c>
      <x:c r="C406" s="11" t="str">
        <x:v>truth module definition</x:v>
      </x:c>
      <x:c r="D406" s="11" t="str">
        <x:v>RA-SA4-08-B1-T3</x:v>
      </x:c>
      <x:c r="E406" s="11" t="b">
        <x:f>'Truth Modules'!P190="PASS"</x:f>
        <x:v>1</x:v>
      </x:c>
      <x:c r="F406" s="29" t="b">
        <x:v>1</x:v>
      </x:c>
      <x:c r="G406" s="11" t="b">
        <x:f>'Truth Modules'!P190="PASS"</x:f>
        <x:v>1</x:v>
      </x:c>
      <x:c r="H406" s="11" t="str">
        <x:f>IF(G406=F406,"PASS","FAIL")</x:f>
        <x:v>PASS</x:v>
      </x:c>
      <x:c r="I406" s="38"/>
    </x:row>
    <x:row r="407">
      <x:c r="B407" s="11" t="str">
        <x:v>AU-0401</x:v>
      </x:c>
      <x:c r="C407" s="11" t="str">
        <x:v>truth module definition</x:v>
      </x:c>
      <x:c r="D407" s="11" t="str">
        <x:v>RA-SA4-08-B2-T0</x:v>
      </x:c>
      <x:c r="E407" s="11" t="b">
        <x:f>'Truth Modules'!P191="PASS"</x:f>
        <x:v>1</x:v>
      </x:c>
      <x:c r="F407" s="29" t="b">
        <x:v>1</x:v>
      </x:c>
      <x:c r="G407" s="11" t="b">
        <x:f>'Truth Modules'!P191="PASS"</x:f>
        <x:v>1</x:v>
      </x:c>
      <x:c r="H407" s="11" t="str">
        <x:f>IF(G407=F407,"PASS","FAIL")</x:f>
        <x:v>PASS</x:v>
      </x:c>
      <x:c r="I407" s="38"/>
    </x:row>
    <x:row r="408">
      <x:c r="B408" s="11" t="str">
        <x:v>AU-0402</x:v>
      </x:c>
      <x:c r="C408" s="11" t="str">
        <x:v>truth module definition</x:v>
      </x:c>
      <x:c r="D408" s="11" t="str">
        <x:v>RA-SA4-08-B2-T1</x:v>
      </x:c>
      <x:c r="E408" s="11" t="b">
        <x:f>'Truth Modules'!P192="PASS"</x:f>
        <x:v>1</x:v>
      </x:c>
      <x:c r="F408" s="29" t="b">
        <x:v>1</x:v>
      </x:c>
      <x:c r="G408" s="11" t="b">
        <x:f>'Truth Modules'!P192="PASS"</x:f>
        <x:v>1</x:v>
      </x:c>
      <x:c r="H408" s="11" t="str">
        <x:f>IF(G408=F408,"PASS","FAIL")</x:f>
        <x:v>PASS</x:v>
      </x:c>
      <x:c r="I408" s="38"/>
    </x:row>
    <x:row r="409">
      <x:c r="B409" s="11" t="str">
        <x:v>AU-0403</x:v>
      </x:c>
      <x:c r="C409" s="11" t="str">
        <x:v>truth module definition</x:v>
      </x:c>
      <x:c r="D409" s="11" t="str">
        <x:v>RA-SA4-08-B2-T2</x:v>
      </x:c>
      <x:c r="E409" s="11" t="b">
        <x:f>'Truth Modules'!P193="PASS"</x:f>
        <x:v>1</x:v>
      </x:c>
      <x:c r="F409" s="29" t="b">
        <x:v>1</x:v>
      </x:c>
      <x:c r="G409" s="11" t="b">
        <x:f>'Truth Modules'!P193="PASS"</x:f>
        <x:v>1</x:v>
      </x:c>
      <x:c r="H409" s="11" t="str">
        <x:f>IF(G409=F409,"PASS","FAIL")</x:f>
        <x:v>PASS</x:v>
      </x:c>
      <x:c r="I409" s="38"/>
    </x:row>
    <x:row r="410">
      <x:c r="B410" s="11" t="str">
        <x:v>AU-0404</x:v>
      </x:c>
      <x:c r="C410" s="11" t="str">
        <x:v>truth module definition</x:v>
      </x:c>
      <x:c r="D410" s="11" t="str">
        <x:v>RA-SA4-08-B2-T3</x:v>
      </x:c>
      <x:c r="E410" s="11" t="b">
        <x:f>'Truth Modules'!P194="PASS"</x:f>
        <x:v>1</x:v>
      </x:c>
      <x:c r="F410" s="29" t="b">
        <x:v>1</x:v>
      </x:c>
      <x:c r="G410" s="11" t="b">
        <x:f>'Truth Modules'!P194="PASS"</x:f>
        <x:v>1</x:v>
      </x:c>
      <x:c r="H410" s="11" t="str">
        <x:f>IF(G410=F410,"PASS","FAIL")</x:f>
        <x:v>PASS</x:v>
      </x:c>
      <x:c r="I410" s="38"/>
    </x:row>
    <x:row r="411">
      <x:c r="B411" s="11" t="str">
        <x:v>AU-0405</x:v>
      </x:c>
      <x:c r="C411" s="11" t="str">
        <x:v>truth module definition</x:v>
      </x:c>
      <x:c r="D411" s="11" t="str">
        <x:v>RA-SA4-08-B3-T0</x:v>
      </x:c>
      <x:c r="E411" s="11" t="b">
        <x:f>'Truth Modules'!P195="PASS"</x:f>
        <x:v>1</x:v>
      </x:c>
      <x:c r="F411" s="29" t="b">
        <x:v>1</x:v>
      </x:c>
      <x:c r="G411" s="11" t="b">
        <x:f>'Truth Modules'!P195="PASS"</x:f>
        <x:v>1</x:v>
      </x:c>
      <x:c r="H411" s="11" t="str">
        <x:f>IF(G411=F411,"PASS","FAIL")</x:f>
        <x:v>PASS</x:v>
      </x:c>
      <x:c r="I411" s="38"/>
    </x:row>
    <x:row r="412">
      <x:c r="B412" s="11" t="str">
        <x:v>AU-0406</x:v>
      </x:c>
      <x:c r="C412" s="11" t="str">
        <x:v>truth module definition</x:v>
      </x:c>
      <x:c r="D412" s="11" t="str">
        <x:v>RA-SA4-08-B3-T1</x:v>
      </x:c>
      <x:c r="E412" s="11" t="b">
        <x:f>'Truth Modules'!P196="PASS"</x:f>
        <x:v>1</x:v>
      </x:c>
      <x:c r="F412" s="29" t="b">
        <x:v>1</x:v>
      </x:c>
      <x:c r="G412" s="11" t="b">
        <x:f>'Truth Modules'!P196="PASS"</x:f>
        <x:v>1</x:v>
      </x:c>
      <x:c r="H412" s="11" t="str">
        <x:f>IF(G412=F412,"PASS","FAIL")</x:f>
        <x:v>PASS</x:v>
      </x:c>
      <x:c r="I412" s="38"/>
    </x:row>
    <x:row r="413">
      <x:c r="B413" s="11" t="str">
        <x:v>AU-0407</x:v>
      </x:c>
      <x:c r="C413" s="11" t="str">
        <x:v>truth module definition</x:v>
      </x:c>
      <x:c r="D413" s="11" t="str">
        <x:v>RA-SA4-08-B3-T2</x:v>
      </x:c>
      <x:c r="E413" s="11" t="b">
        <x:f>'Truth Modules'!P197="PASS"</x:f>
        <x:v>1</x:v>
      </x:c>
      <x:c r="F413" s="29" t="b">
        <x:v>1</x:v>
      </x:c>
      <x:c r="G413" s="11" t="b">
        <x:f>'Truth Modules'!P197="PASS"</x:f>
        <x:v>1</x:v>
      </x:c>
      <x:c r="H413" s="11" t="str">
        <x:f>IF(G413=F413,"PASS","FAIL")</x:f>
        <x:v>PASS</x:v>
      </x:c>
      <x:c r="I413" s="38"/>
    </x:row>
    <x:row r="414">
      <x:c r="B414" s="11" t="str">
        <x:v>AU-0408</x:v>
      </x:c>
      <x:c r="C414" s="11" t="str">
        <x:v>truth module definition</x:v>
      </x:c>
      <x:c r="D414" s="11" t="str">
        <x:v>RA-SA4-08-B3-T3</x:v>
      </x:c>
      <x:c r="E414" s="11" t="b">
        <x:f>'Truth Modules'!P198="PASS"</x:f>
        <x:v>1</x:v>
      </x:c>
      <x:c r="F414" s="29" t="b">
        <x:v>1</x:v>
      </x:c>
      <x:c r="G414" s="11" t="b">
        <x:f>'Truth Modules'!P198="PASS"</x:f>
        <x:v>1</x:v>
      </x:c>
      <x:c r="H414" s="11" t="str">
        <x:f>IF(G414=F414,"PASS","FAIL")</x:f>
        <x:v>PASS</x:v>
      </x:c>
      <x:c r="I414" s="38"/>
    </x:row>
    <x:row r="415">
      <x:c r="B415" s="11" t="str">
        <x:v>AU-0409</x:v>
      </x:c>
      <x:c r="C415" s="11" t="str">
        <x:v>truth module definition</x:v>
      </x:c>
      <x:c r="D415" s="11" t="str">
        <x:v>RA-SA5-09-A1-T0</x:v>
      </x:c>
      <x:c r="E415" s="11" t="b">
        <x:f>'Truth Modules'!P199="PASS"</x:f>
        <x:v>1</x:v>
      </x:c>
      <x:c r="F415" s="29" t="b">
        <x:v>1</x:v>
      </x:c>
      <x:c r="G415" s="11" t="b">
        <x:f>'Truth Modules'!P199="PASS"</x:f>
        <x:v>1</x:v>
      </x:c>
      <x:c r="H415" s="11" t="str">
        <x:f>IF(G415=F415,"PASS","FAIL")</x:f>
        <x:v>PASS</x:v>
      </x:c>
      <x:c r="I415" s="38"/>
    </x:row>
    <x:row r="416">
      <x:c r="B416" s="11" t="str">
        <x:v>AU-0410</x:v>
      </x:c>
      <x:c r="C416" s="11" t="str">
        <x:v>truth module definition</x:v>
      </x:c>
      <x:c r="D416" s="11" t="str">
        <x:v>RA-SA5-09-A1-T1</x:v>
      </x:c>
      <x:c r="E416" s="11" t="b">
        <x:f>'Truth Modules'!P200="PASS"</x:f>
        <x:v>1</x:v>
      </x:c>
      <x:c r="F416" s="29" t="b">
        <x:v>1</x:v>
      </x:c>
      <x:c r="G416" s="11" t="b">
        <x:f>'Truth Modules'!P200="PASS"</x:f>
        <x:v>1</x:v>
      </x:c>
      <x:c r="H416" s="11" t="str">
        <x:f>IF(G416=F416,"PASS","FAIL")</x:f>
        <x:v>PASS</x:v>
      </x:c>
      <x:c r="I416" s="38"/>
    </x:row>
    <x:row r="417">
      <x:c r="B417" s="11" t="str">
        <x:v>AU-0411</x:v>
      </x:c>
      <x:c r="C417" s="11" t="str">
        <x:v>truth module definition</x:v>
      </x:c>
      <x:c r="D417" s="11" t="str">
        <x:v>RA-SA5-09-A1-T2</x:v>
      </x:c>
      <x:c r="E417" s="11" t="b">
        <x:f>'Truth Modules'!P201="PASS"</x:f>
        <x:v>1</x:v>
      </x:c>
      <x:c r="F417" s="29" t="b">
        <x:v>1</x:v>
      </x:c>
      <x:c r="G417" s="11" t="b">
        <x:f>'Truth Modules'!P201="PASS"</x:f>
        <x:v>1</x:v>
      </x:c>
      <x:c r="H417" s="11" t="str">
        <x:f>IF(G417=F417,"PASS","FAIL")</x:f>
        <x:v>PASS</x:v>
      </x:c>
      <x:c r="I417" s="38"/>
    </x:row>
    <x:row r="418">
      <x:c r="B418" s="11" t="str">
        <x:v>AU-0412</x:v>
      </x:c>
      <x:c r="C418" s="11" t="str">
        <x:v>truth module definition</x:v>
      </x:c>
      <x:c r="D418" s="11" t="str">
        <x:v>RA-SA5-09-A1-T3</x:v>
      </x:c>
      <x:c r="E418" s="11" t="b">
        <x:f>'Truth Modules'!P202="PASS"</x:f>
        <x:v>1</x:v>
      </x:c>
      <x:c r="F418" s="29" t="b">
        <x:v>1</x:v>
      </x:c>
      <x:c r="G418" s="11" t="b">
        <x:f>'Truth Modules'!P202="PASS"</x:f>
        <x:v>1</x:v>
      </x:c>
      <x:c r="H418" s="11" t="str">
        <x:f>IF(G418=F418,"PASS","FAIL")</x:f>
        <x:v>PASS</x:v>
      </x:c>
      <x:c r="I418" s="38"/>
    </x:row>
    <x:row r="419">
      <x:c r="B419" s="11" t="str">
        <x:v>AU-0413</x:v>
      </x:c>
      <x:c r="C419" s="11" t="str">
        <x:v>truth module definition</x:v>
      </x:c>
      <x:c r="D419" s="11" t="str">
        <x:v>RA-SA5-09-A2-T0</x:v>
      </x:c>
      <x:c r="E419" s="11" t="b">
        <x:f>'Truth Modules'!P203="PASS"</x:f>
        <x:v>1</x:v>
      </x:c>
      <x:c r="F419" s="29" t="b">
        <x:v>1</x:v>
      </x:c>
      <x:c r="G419" s="11" t="b">
        <x:f>'Truth Modules'!P203="PASS"</x:f>
        <x:v>1</x:v>
      </x:c>
      <x:c r="H419" s="11" t="str">
        <x:f>IF(G419=F419,"PASS","FAIL")</x:f>
        <x:v>PASS</x:v>
      </x:c>
      <x:c r="I419" s="38"/>
    </x:row>
    <x:row r="420">
      <x:c r="B420" s="11" t="str">
        <x:v>AU-0414</x:v>
      </x:c>
      <x:c r="C420" s="11" t="str">
        <x:v>truth module definition</x:v>
      </x:c>
      <x:c r="D420" s="11" t="str">
        <x:v>RA-SA5-09-A2-T1</x:v>
      </x:c>
      <x:c r="E420" s="11" t="b">
        <x:f>'Truth Modules'!P204="PASS"</x:f>
        <x:v>1</x:v>
      </x:c>
      <x:c r="F420" s="29" t="b">
        <x:v>1</x:v>
      </x:c>
      <x:c r="G420" s="11" t="b">
        <x:f>'Truth Modules'!P204="PASS"</x:f>
        <x:v>1</x:v>
      </x:c>
      <x:c r="H420" s="11" t="str">
        <x:f>IF(G420=F420,"PASS","FAIL")</x:f>
        <x:v>PASS</x:v>
      </x:c>
      <x:c r="I420" s="38"/>
    </x:row>
    <x:row r="421">
      <x:c r="B421" s="11" t="str">
        <x:v>AU-0415</x:v>
      </x:c>
      <x:c r="C421" s="11" t="str">
        <x:v>truth module definition</x:v>
      </x:c>
      <x:c r="D421" s="11" t="str">
        <x:v>RA-SA5-09-A2-T2</x:v>
      </x:c>
      <x:c r="E421" s="11" t="b">
        <x:f>'Truth Modules'!P205="PASS"</x:f>
        <x:v>1</x:v>
      </x:c>
      <x:c r="F421" s="29" t="b">
        <x:v>1</x:v>
      </x:c>
      <x:c r="G421" s="11" t="b">
        <x:f>'Truth Modules'!P205="PASS"</x:f>
        <x:v>1</x:v>
      </x:c>
      <x:c r="H421" s="11" t="str">
        <x:f>IF(G421=F421,"PASS","FAIL")</x:f>
        <x:v>PASS</x:v>
      </x:c>
      <x:c r="I421" s="38"/>
    </x:row>
    <x:row r="422">
      <x:c r="B422" s="11" t="str">
        <x:v>AU-0416</x:v>
      </x:c>
      <x:c r="C422" s="11" t="str">
        <x:v>truth module definition</x:v>
      </x:c>
      <x:c r="D422" s="11" t="str">
        <x:v>RA-SA5-09-A2-T3</x:v>
      </x:c>
      <x:c r="E422" s="11" t="b">
        <x:f>'Truth Modules'!P206="PASS"</x:f>
        <x:v>1</x:v>
      </x:c>
      <x:c r="F422" s="29" t="b">
        <x:v>1</x:v>
      </x:c>
      <x:c r="G422" s="11" t="b">
        <x:f>'Truth Modules'!P206="PASS"</x:f>
        <x:v>1</x:v>
      </x:c>
      <x:c r="H422" s="11" t="str">
        <x:f>IF(G422=F422,"PASS","FAIL")</x:f>
        <x:v>PASS</x:v>
      </x:c>
      <x:c r="I422" s="38"/>
    </x:row>
    <x:row r="423">
      <x:c r="B423" s="11" t="str">
        <x:v>AU-0417</x:v>
      </x:c>
      <x:c r="C423" s="11" t="str">
        <x:v>truth module definition</x:v>
      </x:c>
      <x:c r="D423" s="11" t="str">
        <x:v>RA-SA5-09-A3-T0</x:v>
      </x:c>
      <x:c r="E423" s="11" t="b">
        <x:f>'Truth Modules'!P207="PASS"</x:f>
        <x:v>1</x:v>
      </x:c>
      <x:c r="F423" s="29" t="b">
        <x:v>1</x:v>
      </x:c>
      <x:c r="G423" s="11" t="b">
        <x:f>'Truth Modules'!P207="PASS"</x:f>
        <x:v>1</x:v>
      </x:c>
      <x:c r="H423" s="11" t="str">
        <x:f>IF(G423=F423,"PASS","FAIL")</x:f>
        <x:v>PASS</x:v>
      </x:c>
      <x:c r="I423" s="38"/>
    </x:row>
    <x:row r="424">
      <x:c r="B424" s="11" t="str">
        <x:v>AU-0418</x:v>
      </x:c>
      <x:c r="C424" s="11" t="str">
        <x:v>truth module definition</x:v>
      </x:c>
      <x:c r="D424" s="11" t="str">
        <x:v>RA-SA5-09-A3-T1</x:v>
      </x:c>
      <x:c r="E424" s="11" t="b">
        <x:f>'Truth Modules'!P208="PASS"</x:f>
        <x:v>1</x:v>
      </x:c>
      <x:c r="F424" s="29" t="b">
        <x:v>1</x:v>
      </x:c>
      <x:c r="G424" s="11" t="b">
        <x:f>'Truth Modules'!P208="PASS"</x:f>
        <x:v>1</x:v>
      </x:c>
      <x:c r="H424" s="11" t="str">
        <x:f>IF(G424=F424,"PASS","FAIL")</x:f>
        <x:v>PASS</x:v>
      </x:c>
      <x:c r="I424" s="38"/>
    </x:row>
    <x:row r="425">
      <x:c r="B425" s="11" t="str">
        <x:v>AU-0419</x:v>
      </x:c>
      <x:c r="C425" s="11" t="str">
        <x:v>truth module definition</x:v>
      </x:c>
      <x:c r="D425" s="11" t="str">
        <x:v>RA-SA5-09-A3-T2</x:v>
      </x:c>
      <x:c r="E425" s="11" t="b">
        <x:f>'Truth Modules'!P209="PASS"</x:f>
        <x:v>1</x:v>
      </x:c>
      <x:c r="F425" s="29" t="b">
        <x:v>1</x:v>
      </x:c>
      <x:c r="G425" s="11" t="b">
        <x:f>'Truth Modules'!P209="PASS"</x:f>
        <x:v>1</x:v>
      </x:c>
      <x:c r="H425" s="11" t="str">
        <x:f>IF(G425=F425,"PASS","FAIL")</x:f>
        <x:v>PASS</x:v>
      </x:c>
      <x:c r="I425" s="38"/>
    </x:row>
    <x:row r="426">
      <x:c r="B426" s="11" t="str">
        <x:v>AU-0420</x:v>
      </x:c>
      <x:c r="C426" s="11" t="str">
        <x:v>truth module definition</x:v>
      </x:c>
      <x:c r="D426" s="11" t="str">
        <x:v>RA-SA5-09-A3-T3</x:v>
      </x:c>
      <x:c r="E426" s="11" t="b">
        <x:f>'Truth Modules'!P210="PASS"</x:f>
        <x:v>1</x:v>
      </x:c>
      <x:c r="F426" s="29" t="b">
        <x:v>1</x:v>
      </x:c>
      <x:c r="G426" s="11" t="b">
        <x:f>'Truth Modules'!P210="PASS"</x:f>
        <x:v>1</x:v>
      </x:c>
      <x:c r="H426" s="11" t="str">
        <x:f>IF(G426=F426,"PASS","FAIL")</x:f>
        <x:v>PASS</x:v>
      </x:c>
      <x:c r="I426" s="38"/>
    </x:row>
    <x:row r="427">
      <x:c r="B427" s="11" t="str">
        <x:v>AU-0421</x:v>
      </x:c>
      <x:c r="C427" s="11" t="str">
        <x:v>truth module definition</x:v>
      </x:c>
      <x:c r="D427" s="11" t="str">
        <x:v>RA-SA5-09-B1-T0</x:v>
      </x:c>
      <x:c r="E427" s="11" t="b">
        <x:f>'Truth Modules'!P211="PASS"</x:f>
        <x:v>1</x:v>
      </x:c>
      <x:c r="F427" s="29" t="b">
        <x:v>1</x:v>
      </x:c>
      <x:c r="G427" s="11" t="b">
        <x:f>'Truth Modules'!P211="PASS"</x:f>
        <x:v>1</x:v>
      </x:c>
      <x:c r="H427" s="11" t="str">
        <x:f>IF(G427=F427,"PASS","FAIL")</x:f>
        <x:v>PASS</x:v>
      </x:c>
      <x:c r="I427" s="38"/>
    </x:row>
    <x:row r="428">
      <x:c r="B428" s="11" t="str">
        <x:v>AU-0422</x:v>
      </x:c>
      <x:c r="C428" s="11" t="str">
        <x:v>truth module definition</x:v>
      </x:c>
      <x:c r="D428" s="11" t="str">
        <x:v>RA-SA5-09-B1-T1</x:v>
      </x:c>
      <x:c r="E428" s="11" t="b">
        <x:f>'Truth Modules'!P212="PASS"</x:f>
        <x:v>1</x:v>
      </x:c>
      <x:c r="F428" s="29" t="b">
        <x:v>1</x:v>
      </x:c>
      <x:c r="G428" s="11" t="b">
        <x:f>'Truth Modules'!P212="PASS"</x:f>
        <x:v>1</x:v>
      </x:c>
      <x:c r="H428" s="11" t="str">
        <x:f>IF(G428=F428,"PASS","FAIL")</x:f>
        <x:v>PASS</x:v>
      </x:c>
      <x:c r="I428" s="38"/>
    </x:row>
    <x:row r="429">
      <x:c r="B429" s="11" t="str">
        <x:v>AU-0423</x:v>
      </x:c>
      <x:c r="C429" s="11" t="str">
        <x:v>truth module definition</x:v>
      </x:c>
      <x:c r="D429" s="11" t="str">
        <x:v>RA-SA5-09-B1-T2</x:v>
      </x:c>
      <x:c r="E429" s="11" t="b">
        <x:f>'Truth Modules'!P213="PASS"</x:f>
        <x:v>1</x:v>
      </x:c>
      <x:c r="F429" s="29" t="b">
        <x:v>1</x:v>
      </x:c>
      <x:c r="G429" s="11" t="b">
        <x:f>'Truth Modules'!P213="PASS"</x:f>
        <x:v>1</x:v>
      </x:c>
      <x:c r="H429" s="11" t="str">
        <x:f>IF(G429=F429,"PASS","FAIL")</x:f>
        <x:v>PASS</x:v>
      </x:c>
      <x:c r="I429" s="38"/>
    </x:row>
    <x:row r="430">
      <x:c r="B430" s="11" t="str">
        <x:v>AU-0424</x:v>
      </x:c>
      <x:c r="C430" s="11" t="str">
        <x:v>truth module definition</x:v>
      </x:c>
      <x:c r="D430" s="11" t="str">
        <x:v>RA-SA5-09-B1-T3</x:v>
      </x:c>
      <x:c r="E430" s="11" t="b">
        <x:f>'Truth Modules'!P214="PASS"</x:f>
        <x:v>1</x:v>
      </x:c>
      <x:c r="F430" s="29" t="b">
        <x:v>1</x:v>
      </x:c>
      <x:c r="G430" s="11" t="b">
        <x:f>'Truth Modules'!P214="PASS"</x:f>
        <x:v>1</x:v>
      </x:c>
      <x:c r="H430" s="11" t="str">
        <x:f>IF(G430=F430,"PASS","FAIL")</x:f>
        <x:v>PASS</x:v>
      </x:c>
      <x:c r="I430" s="38"/>
    </x:row>
    <x:row r="431">
      <x:c r="B431" s="11" t="str">
        <x:v>AU-0425</x:v>
      </x:c>
      <x:c r="C431" s="11" t="str">
        <x:v>truth module definition</x:v>
      </x:c>
      <x:c r="D431" s="11" t="str">
        <x:v>RA-SA5-09-B2-T0</x:v>
      </x:c>
      <x:c r="E431" s="11" t="b">
        <x:f>'Truth Modules'!P215="PASS"</x:f>
        <x:v>1</x:v>
      </x:c>
      <x:c r="F431" s="29" t="b">
        <x:v>1</x:v>
      </x:c>
      <x:c r="G431" s="11" t="b">
        <x:f>'Truth Modules'!P215="PASS"</x:f>
        <x:v>1</x:v>
      </x:c>
      <x:c r="H431" s="11" t="str">
        <x:f>IF(G431=F431,"PASS","FAIL")</x:f>
        <x:v>PASS</x:v>
      </x:c>
      <x:c r="I431" s="38"/>
    </x:row>
    <x:row r="432">
      <x:c r="B432" s="11" t="str">
        <x:v>AU-0426</x:v>
      </x:c>
      <x:c r="C432" s="11" t="str">
        <x:v>truth module definition</x:v>
      </x:c>
      <x:c r="D432" s="11" t="str">
        <x:v>RA-SA5-09-B2-T1</x:v>
      </x:c>
      <x:c r="E432" s="11" t="b">
        <x:f>'Truth Modules'!P216="PASS"</x:f>
        <x:v>1</x:v>
      </x:c>
      <x:c r="F432" s="29" t="b">
        <x:v>1</x:v>
      </x:c>
      <x:c r="G432" s="11" t="b">
        <x:f>'Truth Modules'!P216="PASS"</x:f>
        <x:v>1</x:v>
      </x:c>
      <x:c r="H432" s="11" t="str">
        <x:f>IF(G432=F432,"PASS","FAIL")</x:f>
        <x:v>PASS</x:v>
      </x:c>
      <x:c r="I432" s="38"/>
    </x:row>
    <x:row r="433">
      <x:c r="B433" s="11" t="str">
        <x:v>AU-0427</x:v>
      </x:c>
      <x:c r="C433" s="11" t="str">
        <x:v>truth module definition</x:v>
      </x:c>
      <x:c r="D433" s="11" t="str">
        <x:v>RA-SA5-09-B2-T2</x:v>
      </x:c>
      <x:c r="E433" s="11" t="b">
        <x:f>'Truth Modules'!P217="PASS"</x:f>
        <x:v>1</x:v>
      </x:c>
      <x:c r="F433" s="29" t="b">
        <x:v>1</x:v>
      </x:c>
      <x:c r="G433" s="11" t="b">
        <x:f>'Truth Modules'!P217="PASS"</x:f>
        <x:v>1</x:v>
      </x:c>
      <x:c r="H433" s="11" t="str">
        <x:f>IF(G433=F433,"PASS","FAIL")</x:f>
        <x:v>PASS</x:v>
      </x:c>
      <x:c r="I433" s="38"/>
    </x:row>
    <x:row r="434">
      <x:c r="B434" s="11" t="str">
        <x:v>AU-0428</x:v>
      </x:c>
      <x:c r="C434" s="11" t="str">
        <x:v>truth module definition</x:v>
      </x:c>
      <x:c r="D434" s="11" t="str">
        <x:v>RA-SA5-09-B2-T3</x:v>
      </x:c>
      <x:c r="E434" s="11" t="b">
        <x:f>'Truth Modules'!P218="PASS"</x:f>
        <x:v>1</x:v>
      </x:c>
      <x:c r="F434" s="29" t="b">
        <x:v>1</x:v>
      </x:c>
      <x:c r="G434" s="11" t="b">
        <x:f>'Truth Modules'!P218="PASS"</x:f>
        <x:v>1</x:v>
      </x:c>
      <x:c r="H434" s="11" t="str">
        <x:f>IF(G434=F434,"PASS","FAIL")</x:f>
        <x:v>PASS</x:v>
      </x:c>
      <x:c r="I434" s="38"/>
    </x:row>
    <x:row r="435">
      <x:c r="B435" s="11" t="str">
        <x:v>AU-0429</x:v>
      </x:c>
      <x:c r="C435" s="11" t="str">
        <x:v>truth module definition</x:v>
      </x:c>
      <x:c r="D435" s="11" t="str">
        <x:v>RA-SA5-09-B3-T0</x:v>
      </x:c>
      <x:c r="E435" s="11" t="b">
        <x:f>'Truth Modules'!P219="PASS"</x:f>
        <x:v>1</x:v>
      </x:c>
      <x:c r="F435" s="29" t="b">
        <x:v>1</x:v>
      </x:c>
      <x:c r="G435" s="11" t="b">
        <x:f>'Truth Modules'!P219="PASS"</x:f>
        <x:v>1</x:v>
      </x:c>
      <x:c r="H435" s="11" t="str">
        <x:f>IF(G435=F435,"PASS","FAIL")</x:f>
        <x:v>PASS</x:v>
      </x:c>
      <x:c r="I435" s="38"/>
    </x:row>
    <x:row r="436">
      <x:c r="B436" s="11" t="str">
        <x:v>AU-0430</x:v>
      </x:c>
      <x:c r="C436" s="11" t="str">
        <x:v>truth module definition</x:v>
      </x:c>
      <x:c r="D436" s="11" t="str">
        <x:v>RA-SA5-09-B3-T1</x:v>
      </x:c>
      <x:c r="E436" s="11" t="b">
        <x:f>'Truth Modules'!P220="PASS"</x:f>
        <x:v>1</x:v>
      </x:c>
      <x:c r="F436" s="29" t="b">
        <x:v>1</x:v>
      </x:c>
      <x:c r="G436" s="11" t="b">
        <x:f>'Truth Modules'!P220="PASS"</x:f>
        <x:v>1</x:v>
      </x:c>
      <x:c r="H436" s="11" t="str">
        <x:f>IF(G436=F436,"PASS","FAIL")</x:f>
        <x:v>PASS</x:v>
      </x:c>
      <x:c r="I436" s="38"/>
    </x:row>
    <x:row r="437">
      <x:c r="B437" s="11" t="str">
        <x:v>AU-0431</x:v>
      </x:c>
      <x:c r="C437" s="11" t="str">
        <x:v>truth module definition</x:v>
      </x:c>
      <x:c r="D437" s="11" t="str">
        <x:v>RA-SA5-09-B3-T2</x:v>
      </x:c>
      <x:c r="E437" s="11" t="b">
        <x:f>'Truth Modules'!P221="PASS"</x:f>
        <x:v>1</x:v>
      </x:c>
      <x:c r="F437" s="29" t="b">
        <x:v>1</x:v>
      </x:c>
      <x:c r="G437" s="11" t="b">
        <x:f>'Truth Modules'!P221="PASS"</x:f>
        <x:v>1</x:v>
      </x:c>
      <x:c r="H437" s="11" t="str">
        <x:f>IF(G437=F437,"PASS","FAIL")</x:f>
        <x:v>PASS</x:v>
      </x:c>
      <x:c r="I437" s="38"/>
    </x:row>
    <x:row r="438">
      <x:c r="B438" s="11" t="str">
        <x:v>AU-0432</x:v>
      </x:c>
      <x:c r="C438" s="11" t="str">
        <x:v>truth module definition</x:v>
      </x:c>
      <x:c r="D438" s="11" t="str">
        <x:v>RA-SA5-09-B3-T3</x:v>
      </x:c>
      <x:c r="E438" s="11" t="b">
        <x:f>'Truth Modules'!P222="PASS"</x:f>
        <x:v>1</x:v>
      </x:c>
      <x:c r="F438" s="29" t="b">
        <x:v>1</x:v>
      </x:c>
      <x:c r="G438" s="11" t="b">
        <x:f>'Truth Modules'!P222="PASS"</x:f>
        <x:v>1</x:v>
      </x:c>
      <x:c r="H438" s="11" t="str">
        <x:f>IF(G438=F438,"PASS","FAIL")</x:f>
        <x:v>PASS</x:v>
      </x:c>
      <x:c r="I438" s="38"/>
    </x:row>
    <x:row r="439">
      <x:c r="B439" s="11" t="str">
        <x:v>AU-0433</x:v>
      </x:c>
      <x:c r="C439" s="11" t="str">
        <x:v>truth module definition</x:v>
      </x:c>
      <x:c r="D439" s="11" t="str">
        <x:v>RA-SA5-10-A1-T0</x:v>
      </x:c>
      <x:c r="E439" s="11" t="b">
        <x:f>'Truth Modules'!P223="PASS"</x:f>
        <x:v>1</x:v>
      </x:c>
      <x:c r="F439" s="29" t="b">
        <x:v>1</x:v>
      </x:c>
      <x:c r="G439" s="11" t="b">
        <x:f>'Truth Modules'!P223="PASS"</x:f>
        <x:v>1</x:v>
      </x:c>
      <x:c r="H439" s="11" t="str">
        <x:f>IF(G439=F439,"PASS","FAIL")</x:f>
        <x:v>PASS</x:v>
      </x:c>
      <x:c r="I439" s="38"/>
    </x:row>
    <x:row r="440">
      <x:c r="B440" s="11" t="str">
        <x:v>AU-0434</x:v>
      </x:c>
      <x:c r="C440" s="11" t="str">
        <x:v>truth module definition</x:v>
      </x:c>
      <x:c r="D440" s="11" t="str">
        <x:v>RA-SA5-10-A1-T1</x:v>
      </x:c>
      <x:c r="E440" s="11" t="b">
        <x:f>'Truth Modules'!P224="PASS"</x:f>
        <x:v>1</x:v>
      </x:c>
      <x:c r="F440" s="29" t="b">
        <x:v>1</x:v>
      </x:c>
      <x:c r="G440" s="11" t="b">
        <x:f>'Truth Modules'!P224="PASS"</x:f>
        <x:v>1</x:v>
      </x:c>
      <x:c r="H440" s="11" t="str">
        <x:f>IF(G440=F440,"PASS","FAIL")</x:f>
        <x:v>PASS</x:v>
      </x:c>
      <x:c r="I440" s="38"/>
    </x:row>
    <x:row r="441">
      <x:c r="B441" s="11" t="str">
        <x:v>AU-0435</x:v>
      </x:c>
      <x:c r="C441" s="11" t="str">
        <x:v>truth module definition</x:v>
      </x:c>
      <x:c r="D441" s="11" t="str">
        <x:v>RA-SA5-10-A1-T2</x:v>
      </x:c>
      <x:c r="E441" s="11" t="b">
        <x:f>'Truth Modules'!P225="PASS"</x:f>
        <x:v>1</x:v>
      </x:c>
      <x:c r="F441" s="29" t="b">
        <x:v>1</x:v>
      </x:c>
      <x:c r="G441" s="11" t="b">
        <x:f>'Truth Modules'!P225="PASS"</x:f>
        <x:v>1</x:v>
      </x:c>
      <x:c r="H441" s="11" t="str">
        <x:f>IF(G441=F441,"PASS","FAIL")</x:f>
        <x:v>PASS</x:v>
      </x:c>
      <x:c r="I441" s="38"/>
    </x:row>
    <x:row r="442">
      <x:c r="B442" s="11" t="str">
        <x:v>AU-0436</x:v>
      </x:c>
      <x:c r="C442" s="11" t="str">
        <x:v>truth module definition</x:v>
      </x:c>
      <x:c r="D442" s="11" t="str">
        <x:v>RA-SA5-10-A1-T3</x:v>
      </x:c>
      <x:c r="E442" s="11" t="b">
        <x:f>'Truth Modules'!P226="PASS"</x:f>
        <x:v>1</x:v>
      </x:c>
      <x:c r="F442" s="29" t="b">
        <x:v>1</x:v>
      </x:c>
      <x:c r="G442" s="11" t="b">
        <x:f>'Truth Modules'!P226="PASS"</x:f>
        <x:v>1</x:v>
      </x:c>
      <x:c r="H442" s="11" t="str">
        <x:f>IF(G442=F442,"PASS","FAIL")</x:f>
        <x:v>PASS</x:v>
      </x:c>
      <x:c r="I442" s="38"/>
    </x:row>
    <x:row r="443">
      <x:c r="B443" s="11" t="str">
        <x:v>AU-0437</x:v>
      </x:c>
      <x:c r="C443" s="11" t="str">
        <x:v>truth module definition</x:v>
      </x:c>
      <x:c r="D443" s="11" t="str">
        <x:v>RA-SA5-10-A2-T0</x:v>
      </x:c>
      <x:c r="E443" s="11" t="b">
        <x:f>'Truth Modules'!P227="PASS"</x:f>
        <x:v>1</x:v>
      </x:c>
      <x:c r="F443" s="29" t="b">
        <x:v>1</x:v>
      </x:c>
      <x:c r="G443" s="11" t="b">
        <x:f>'Truth Modules'!P227="PASS"</x:f>
        <x:v>1</x:v>
      </x:c>
      <x:c r="H443" s="11" t="str">
        <x:f>IF(G443=F443,"PASS","FAIL")</x:f>
        <x:v>PASS</x:v>
      </x:c>
      <x:c r="I443" s="38"/>
    </x:row>
    <x:row r="444">
      <x:c r="B444" s="11" t="str">
        <x:v>AU-0438</x:v>
      </x:c>
      <x:c r="C444" s="11" t="str">
        <x:v>truth module definition</x:v>
      </x:c>
      <x:c r="D444" s="11" t="str">
        <x:v>RA-SA5-10-A2-T1</x:v>
      </x:c>
      <x:c r="E444" s="11" t="b">
        <x:f>'Truth Modules'!P228="PASS"</x:f>
        <x:v>1</x:v>
      </x:c>
      <x:c r="F444" s="29" t="b">
        <x:v>1</x:v>
      </x:c>
      <x:c r="G444" s="11" t="b">
        <x:f>'Truth Modules'!P228="PASS"</x:f>
        <x:v>1</x:v>
      </x:c>
      <x:c r="H444" s="11" t="str">
        <x:f>IF(G444=F444,"PASS","FAIL")</x:f>
        <x:v>PASS</x:v>
      </x:c>
      <x:c r="I444" s="38"/>
    </x:row>
    <x:row r="445">
      <x:c r="B445" s="11" t="str">
        <x:v>AU-0439</x:v>
      </x:c>
      <x:c r="C445" s="11" t="str">
        <x:v>truth module definition</x:v>
      </x:c>
      <x:c r="D445" s="11" t="str">
        <x:v>RA-SA5-10-A2-T2</x:v>
      </x:c>
      <x:c r="E445" s="11" t="b">
        <x:f>'Truth Modules'!P229="PASS"</x:f>
        <x:v>1</x:v>
      </x:c>
      <x:c r="F445" s="29" t="b">
        <x:v>1</x:v>
      </x:c>
      <x:c r="G445" s="11" t="b">
        <x:f>'Truth Modules'!P229="PASS"</x:f>
        <x:v>1</x:v>
      </x:c>
      <x:c r="H445" s="11" t="str">
        <x:f>IF(G445=F445,"PASS","FAIL")</x:f>
        <x:v>PASS</x:v>
      </x:c>
      <x:c r="I445" s="38"/>
    </x:row>
    <x:row r="446">
      <x:c r="B446" s="11" t="str">
        <x:v>AU-0440</x:v>
      </x:c>
      <x:c r="C446" s="11" t="str">
        <x:v>truth module definition</x:v>
      </x:c>
      <x:c r="D446" s="11" t="str">
        <x:v>RA-SA5-10-A2-T3</x:v>
      </x:c>
      <x:c r="E446" s="11" t="b">
        <x:f>'Truth Modules'!P230="PASS"</x:f>
        <x:v>1</x:v>
      </x:c>
      <x:c r="F446" s="29" t="b">
        <x:v>1</x:v>
      </x:c>
      <x:c r="G446" s="11" t="b">
        <x:f>'Truth Modules'!P230="PASS"</x:f>
        <x:v>1</x:v>
      </x:c>
      <x:c r="H446" s="11" t="str">
        <x:f>IF(G446=F446,"PASS","FAIL")</x:f>
        <x:v>PASS</x:v>
      </x:c>
      <x:c r="I446" s="38"/>
    </x:row>
    <x:row r="447">
      <x:c r="B447" s="11" t="str">
        <x:v>AU-0441</x:v>
      </x:c>
      <x:c r="C447" s="11" t="str">
        <x:v>truth module definition</x:v>
      </x:c>
      <x:c r="D447" s="11" t="str">
        <x:v>RA-SA5-10-A3-T0</x:v>
      </x:c>
      <x:c r="E447" s="11" t="b">
        <x:f>'Truth Modules'!P231="PASS"</x:f>
        <x:v>1</x:v>
      </x:c>
      <x:c r="F447" s="29" t="b">
        <x:v>1</x:v>
      </x:c>
      <x:c r="G447" s="11" t="b">
        <x:f>'Truth Modules'!P231="PASS"</x:f>
        <x:v>1</x:v>
      </x:c>
      <x:c r="H447" s="11" t="str">
        <x:f>IF(G447=F447,"PASS","FAIL")</x:f>
        <x:v>PASS</x:v>
      </x:c>
      <x:c r="I447" s="38"/>
    </x:row>
    <x:row r="448">
      <x:c r="B448" s="11" t="str">
        <x:v>AU-0442</x:v>
      </x:c>
      <x:c r="C448" s="11" t="str">
        <x:v>truth module definition</x:v>
      </x:c>
      <x:c r="D448" s="11" t="str">
        <x:v>RA-SA5-10-A3-T1</x:v>
      </x:c>
      <x:c r="E448" s="11" t="b">
        <x:f>'Truth Modules'!P232="PASS"</x:f>
        <x:v>1</x:v>
      </x:c>
      <x:c r="F448" s="29" t="b">
        <x:v>1</x:v>
      </x:c>
      <x:c r="G448" s="11" t="b">
        <x:f>'Truth Modules'!P232="PASS"</x:f>
        <x:v>1</x:v>
      </x:c>
      <x:c r="H448" s="11" t="str">
        <x:f>IF(G448=F448,"PASS","FAIL")</x:f>
        <x:v>PASS</x:v>
      </x:c>
      <x:c r="I448" s="38"/>
    </x:row>
    <x:row r="449">
      <x:c r="B449" s="11" t="str">
        <x:v>AU-0443</x:v>
      </x:c>
      <x:c r="C449" s="11" t="str">
        <x:v>truth module definition</x:v>
      </x:c>
      <x:c r="D449" s="11" t="str">
        <x:v>RA-SA5-10-A3-T2</x:v>
      </x:c>
      <x:c r="E449" s="11" t="b">
        <x:f>'Truth Modules'!P233="PASS"</x:f>
        <x:v>1</x:v>
      </x:c>
      <x:c r="F449" s="29" t="b">
        <x:v>1</x:v>
      </x:c>
      <x:c r="G449" s="11" t="b">
        <x:f>'Truth Modules'!P233="PASS"</x:f>
        <x:v>1</x:v>
      </x:c>
      <x:c r="H449" s="11" t="str">
        <x:f>IF(G449=F449,"PASS","FAIL")</x:f>
        <x:v>PASS</x:v>
      </x:c>
      <x:c r="I449" s="38"/>
    </x:row>
    <x:row r="450">
      <x:c r="B450" s="11" t="str">
        <x:v>AU-0444</x:v>
      </x:c>
      <x:c r="C450" s="11" t="str">
        <x:v>truth module definition</x:v>
      </x:c>
      <x:c r="D450" s="11" t="str">
        <x:v>RA-SA5-10-A3-T3</x:v>
      </x:c>
      <x:c r="E450" s="11" t="b">
        <x:f>'Truth Modules'!P234="PASS"</x:f>
        <x:v>1</x:v>
      </x:c>
      <x:c r="F450" s="29" t="b">
        <x:v>1</x:v>
      </x:c>
      <x:c r="G450" s="11" t="b">
        <x:f>'Truth Modules'!P234="PASS"</x:f>
        <x:v>1</x:v>
      </x:c>
      <x:c r="H450" s="11" t="str">
        <x:f>IF(G450=F450,"PASS","FAIL")</x:f>
        <x:v>PASS</x:v>
      </x:c>
      <x:c r="I450" s="38"/>
    </x:row>
    <x:row r="451">
      <x:c r="B451" s="11" t="str">
        <x:v>AU-0445</x:v>
      </x:c>
      <x:c r="C451" s="11" t="str">
        <x:v>truth module definition</x:v>
      </x:c>
      <x:c r="D451" s="11" t="str">
        <x:v>RA-SA5-10-B1-T0</x:v>
      </x:c>
      <x:c r="E451" s="11" t="b">
        <x:f>'Truth Modules'!P235="PASS"</x:f>
        <x:v>1</x:v>
      </x:c>
      <x:c r="F451" s="29" t="b">
        <x:v>1</x:v>
      </x:c>
      <x:c r="G451" s="11" t="b">
        <x:f>'Truth Modules'!P235="PASS"</x:f>
        <x:v>1</x:v>
      </x:c>
      <x:c r="H451" s="11" t="str">
        <x:f>IF(G451=F451,"PASS","FAIL")</x:f>
        <x:v>PASS</x:v>
      </x:c>
      <x:c r="I451" s="38"/>
    </x:row>
    <x:row r="452">
      <x:c r="B452" s="11" t="str">
        <x:v>AU-0446</x:v>
      </x:c>
      <x:c r="C452" s="11" t="str">
        <x:v>truth module definition</x:v>
      </x:c>
      <x:c r="D452" s="11" t="str">
        <x:v>RA-SA5-10-B1-T1</x:v>
      </x:c>
      <x:c r="E452" s="11" t="b">
        <x:f>'Truth Modules'!P236="PASS"</x:f>
        <x:v>1</x:v>
      </x:c>
      <x:c r="F452" s="29" t="b">
        <x:v>1</x:v>
      </x:c>
      <x:c r="G452" s="11" t="b">
        <x:f>'Truth Modules'!P236="PASS"</x:f>
        <x:v>1</x:v>
      </x:c>
      <x:c r="H452" s="11" t="str">
        <x:f>IF(G452=F452,"PASS","FAIL")</x:f>
        <x:v>PASS</x:v>
      </x:c>
      <x:c r="I452" s="38"/>
    </x:row>
    <x:row r="453">
      <x:c r="B453" s="11" t="str">
        <x:v>AU-0447</x:v>
      </x:c>
      <x:c r="C453" s="11" t="str">
        <x:v>truth module definition</x:v>
      </x:c>
      <x:c r="D453" s="11" t="str">
        <x:v>RA-SA5-10-B1-T2</x:v>
      </x:c>
      <x:c r="E453" s="11" t="b">
        <x:f>'Truth Modules'!P237="PASS"</x:f>
        <x:v>1</x:v>
      </x:c>
      <x:c r="F453" s="29" t="b">
        <x:v>1</x:v>
      </x:c>
      <x:c r="G453" s="11" t="b">
        <x:f>'Truth Modules'!P237="PASS"</x:f>
        <x:v>1</x:v>
      </x:c>
      <x:c r="H453" s="11" t="str">
        <x:f>IF(G453=F453,"PASS","FAIL")</x:f>
        <x:v>PASS</x:v>
      </x:c>
      <x:c r="I453" s="38"/>
    </x:row>
    <x:row r="454">
      <x:c r="B454" s="11" t="str">
        <x:v>AU-0448</x:v>
      </x:c>
      <x:c r="C454" s="11" t="str">
        <x:v>truth module definition</x:v>
      </x:c>
      <x:c r="D454" s="11" t="str">
        <x:v>RA-SA5-10-B1-T3</x:v>
      </x:c>
      <x:c r="E454" s="11" t="b">
        <x:f>'Truth Modules'!P238="PASS"</x:f>
        <x:v>1</x:v>
      </x:c>
      <x:c r="F454" s="29" t="b">
        <x:v>1</x:v>
      </x:c>
      <x:c r="G454" s="11" t="b">
        <x:f>'Truth Modules'!P238="PASS"</x:f>
        <x:v>1</x:v>
      </x:c>
      <x:c r="H454" s="11" t="str">
        <x:f>IF(G454=F454,"PASS","FAIL")</x:f>
        <x:v>PASS</x:v>
      </x:c>
      <x:c r="I454" s="38"/>
    </x:row>
    <x:row r="455">
      <x:c r="B455" s="11" t="str">
        <x:v>AU-0449</x:v>
      </x:c>
      <x:c r="C455" s="11" t="str">
        <x:v>truth module definition</x:v>
      </x:c>
      <x:c r="D455" s="11" t="str">
        <x:v>RA-SA5-10-B2-T0</x:v>
      </x:c>
      <x:c r="E455" s="11" t="b">
        <x:f>'Truth Modules'!P239="PASS"</x:f>
        <x:v>1</x:v>
      </x:c>
      <x:c r="F455" s="29" t="b">
        <x:v>1</x:v>
      </x:c>
      <x:c r="G455" s="11" t="b">
        <x:f>'Truth Modules'!P239="PASS"</x:f>
        <x:v>1</x:v>
      </x:c>
      <x:c r="H455" s="11" t="str">
        <x:f>IF(G455=F455,"PASS","FAIL")</x:f>
        <x:v>PASS</x:v>
      </x:c>
      <x:c r="I455" s="38"/>
    </x:row>
    <x:row r="456">
      <x:c r="B456" s="11" t="str">
        <x:v>AU-0450</x:v>
      </x:c>
      <x:c r="C456" s="11" t="str">
        <x:v>truth module definition</x:v>
      </x:c>
      <x:c r="D456" s="11" t="str">
        <x:v>RA-SA5-10-B2-T1</x:v>
      </x:c>
      <x:c r="E456" s="11" t="b">
        <x:f>'Truth Modules'!P240="PASS"</x:f>
        <x:v>1</x:v>
      </x:c>
      <x:c r="F456" s="29" t="b">
        <x:v>1</x:v>
      </x:c>
      <x:c r="G456" s="11" t="b">
        <x:f>'Truth Modules'!P240="PASS"</x:f>
        <x:v>1</x:v>
      </x:c>
      <x:c r="H456" s="11" t="str">
        <x:f>IF(G456=F456,"PASS","FAIL")</x:f>
        <x:v>PASS</x:v>
      </x:c>
      <x:c r="I456" s="38"/>
    </x:row>
    <x:row r="457">
      <x:c r="B457" s="11" t="str">
        <x:v>AU-0451</x:v>
      </x:c>
      <x:c r="C457" s="11" t="str">
        <x:v>truth module definition</x:v>
      </x:c>
      <x:c r="D457" s="11" t="str">
        <x:v>RA-SA5-10-B2-T2</x:v>
      </x:c>
      <x:c r="E457" s="11" t="b">
        <x:f>'Truth Modules'!P241="PASS"</x:f>
        <x:v>1</x:v>
      </x:c>
      <x:c r="F457" s="29" t="b">
        <x:v>1</x:v>
      </x:c>
      <x:c r="G457" s="11" t="b">
        <x:f>'Truth Modules'!P241="PASS"</x:f>
        <x:v>1</x:v>
      </x:c>
      <x:c r="H457" s="11" t="str">
        <x:f>IF(G457=F457,"PASS","FAIL")</x:f>
        <x:v>PASS</x:v>
      </x:c>
      <x:c r="I457" s="38"/>
    </x:row>
    <x:row r="458">
      <x:c r="B458" s="11" t="str">
        <x:v>AU-0452</x:v>
      </x:c>
      <x:c r="C458" s="11" t="str">
        <x:v>truth module definition</x:v>
      </x:c>
      <x:c r="D458" s="11" t="str">
        <x:v>RA-SA5-10-B2-T3</x:v>
      </x:c>
      <x:c r="E458" s="11" t="b">
        <x:f>'Truth Modules'!P242="PASS"</x:f>
        <x:v>1</x:v>
      </x:c>
      <x:c r="F458" s="29" t="b">
        <x:v>1</x:v>
      </x:c>
      <x:c r="G458" s="11" t="b">
        <x:f>'Truth Modules'!P242="PASS"</x:f>
        <x:v>1</x:v>
      </x:c>
      <x:c r="H458" s="11" t="str">
        <x:f>IF(G458=F458,"PASS","FAIL")</x:f>
        <x:v>PASS</x:v>
      </x:c>
      <x:c r="I458" s="38"/>
    </x:row>
    <x:row r="459">
      <x:c r="B459" s="11" t="str">
        <x:v>AU-0453</x:v>
      </x:c>
      <x:c r="C459" s="11" t="str">
        <x:v>truth module definition</x:v>
      </x:c>
      <x:c r="D459" s="11" t="str">
        <x:v>RA-SA5-10-B3-T0</x:v>
      </x:c>
      <x:c r="E459" s="11" t="b">
        <x:f>'Truth Modules'!P243="PASS"</x:f>
        <x:v>1</x:v>
      </x:c>
      <x:c r="F459" s="29" t="b">
        <x:v>1</x:v>
      </x:c>
      <x:c r="G459" s="11" t="b">
        <x:f>'Truth Modules'!P243="PASS"</x:f>
        <x:v>1</x:v>
      </x:c>
      <x:c r="H459" s="11" t="str">
        <x:f>IF(G459=F459,"PASS","FAIL")</x:f>
        <x:v>PASS</x:v>
      </x:c>
      <x:c r="I459" s="38"/>
    </x:row>
    <x:row r="460">
      <x:c r="B460" s="11" t="str">
        <x:v>AU-0454</x:v>
      </x:c>
      <x:c r="C460" s="11" t="str">
        <x:v>truth module definition</x:v>
      </x:c>
      <x:c r="D460" s="11" t="str">
        <x:v>RA-SA5-10-B3-T1</x:v>
      </x:c>
      <x:c r="E460" s="11" t="b">
        <x:f>'Truth Modules'!P244="PASS"</x:f>
        <x:v>1</x:v>
      </x:c>
      <x:c r="F460" s="29" t="b">
        <x:v>1</x:v>
      </x:c>
      <x:c r="G460" s="11" t="b">
        <x:f>'Truth Modules'!P244="PASS"</x:f>
        <x:v>1</x:v>
      </x:c>
      <x:c r="H460" s="11" t="str">
        <x:f>IF(G460=F460,"PASS","FAIL")</x:f>
        <x:v>PASS</x:v>
      </x:c>
      <x:c r="I460" s="38"/>
    </x:row>
    <x:row r="461">
      <x:c r="B461" s="11" t="str">
        <x:v>AU-0455</x:v>
      </x:c>
      <x:c r="C461" s="11" t="str">
        <x:v>truth module definition</x:v>
      </x:c>
      <x:c r="D461" s="11" t="str">
        <x:v>RA-SA5-10-B3-T2</x:v>
      </x:c>
      <x:c r="E461" s="11" t="b">
        <x:f>'Truth Modules'!P245="PASS"</x:f>
        <x:v>1</x:v>
      </x:c>
      <x:c r="F461" s="29" t="b">
        <x:v>1</x:v>
      </x:c>
      <x:c r="G461" s="11" t="b">
        <x:f>'Truth Modules'!P245="PASS"</x:f>
        <x:v>1</x:v>
      </x:c>
      <x:c r="H461" s="11" t="str">
        <x:f>IF(G461=F461,"PASS","FAIL")</x:f>
        <x:v>PASS</x:v>
      </x:c>
      <x:c r="I461" s="38"/>
    </x:row>
    <x:row r="462">
      <x:c r="B462" s="11" t="str">
        <x:v>AU-0456</x:v>
      </x:c>
      <x:c r="C462" s="11" t="str">
        <x:v>truth module definition</x:v>
      </x:c>
      <x:c r="D462" s="11" t="str">
        <x:v>RA-SA5-10-B3-T3</x:v>
      </x:c>
      <x:c r="E462" s="11" t="b">
        <x:f>'Truth Modules'!P246="PASS"</x:f>
        <x:v>1</x:v>
      </x:c>
      <x:c r="F462" s="29" t="b">
        <x:v>1</x:v>
      </x:c>
      <x:c r="G462" s="11" t="b">
        <x:f>'Truth Modules'!P246="PASS"</x:f>
        <x:v>1</x:v>
      </x:c>
      <x:c r="H462" s="11" t="str">
        <x:f>IF(G462=F462,"PASS","FAIL")</x:f>
        <x:v>PASS</x:v>
      </x:c>
      <x:c r="I462" s="38"/>
    </x:row>
    <x:row r="463">
      <x:c r="B463" s="11" t="str">
        <x:v>AU-0457</x:v>
      </x:c>
      <x:c r="C463" s="11" t="str">
        <x:v>truth module definition</x:v>
      </x:c>
      <x:c r="D463" s="11" t="str">
        <x:v>RA-SA6-11-A1-T0</x:v>
      </x:c>
      <x:c r="E463" s="11" t="b">
        <x:f>'Truth Modules'!P247="PASS"</x:f>
        <x:v>1</x:v>
      </x:c>
      <x:c r="F463" s="29" t="b">
        <x:v>1</x:v>
      </x:c>
      <x:c r="G463" s="11" t="b">
        <x:f>'Truth Modules'!P247="PASS"</x:f>
        <x:v>1</x:v>
      </x:c>
      <x:c r="H463" s="11" t="str">
        <x:f>IF(G463=F463,"PASS","FAIL")</x:f>
        <x:v>PASS</x:v>
      </x:c>
      <x:c r="I463" s="38"/>
    </x:row>
    <x:row r="464">
      <x:c r="B464" s="11" t="str">
        <x:v>AU-0458</x:v>
      </x:c>
      <x:c r="C464" s="11" t="str">
        <x:v>truth module definition</x:v>
      </x:c>
      <x:c r="D464" s="11" t="str">
        <x:v>RA-SA6-11-A1-T1</x:v>
      </x:c>
      <x:c r="E464" s="11" t="b">
        <x:f>'Truth Modules'!P248="PASS"</x:f>
        <x:v>1</x:v>
      </x:c>
      <x:c r="F464" s="29" t="b">
        <x:v>1</x:v>
      </x:c>
      <x:c r="G464" s="11" t="b">
        <x:f>'Truth Modules'!P248="PASS"</x:f>
        <x:v>1</x:v>
      </x:c>
      <x:c r="H464" s="11" t="str">
        <x:f>IF(G464=F464,"PASS","FAIL")</x:f>
        <x:v>PASS</x:v>
      </x:c>
      <x:c r="I464" s="38"/>
    </x:row>
    <x:row r="465">
      <x:c r="B465" s="11" t="str">
        <x:v>AU-0459</x:v>
      </x:c>
      <x:c r="C465" s="11" t="str">
        <x:v>truth module definition</x:v>
      </x:c>
      <x:c r="D465" s="11" t="str">
        <x:v>RA-SA6-11-A1-T2</x:v>
      </x:c>
      <x:c r="E465" s="11" t="b">
        <x:f>'Truth Modules'!P249="PASS"</x:f>
        <x:v>1</x:v>
      </x:c>
      <x:c r="F465" s="29" t="b">
        <x:v>1</x:v>
      </x:c>
      <x:c r="G465" s="11" t="b">
        <x:f>'Truth Modules'!P249="PASS"</x:f>
        <x:v>1</x:v>
      </x:c>
      <x:c r="H465" s="11" t="str">
        <x:f>IF(G465=F465,"PASS","FAIL")</x:f>
        <x:v>PASS</x:v>
      </x:c>
      <x:c r="I465" s="38"/>
    </x:row>
    <x:row r="466">
      <x:c r="B466" s="11" t="str">
        <x:v>AU-0460</x:v>
      </x:c>
      <x:c r="C466" s="11" t="str">
        <x:v>truth module definition</x:v>
      </x:c>
      <x:c r="D466" s="11" t="str">
        <x:v>RA-SA6-11-A1-T3</x:v>
      </x:c>
      <x:c r="E466" s="11" t="b">
        <x:f>'Truth Modules'!P250="PASS"</x:f>
        <x:v>1</x:v>
      </x:c>
      <x:c r="F466" s="29" t="b">
        <x:v>1</x:v>
      </x:c>
      <x:c r="G466" s="11" t="b">
        <x:f>'Truth Modules'!P250="PASS"</x:f>
        <x:v>1</x:v>
      </x:c>
      <x:c r="H466" s="11" t="str">
        <x:f>IF(G466=F466,"PASS","FAIL")</x:f>
        <x:v>PASS</x:v>
      </x:c>
      <x:c r="I466" s="38"/>
    </x:row>
    <x:row r="467">
      <x:c r="B467" s="11" t="str">
        <x:v>AU-0461</x:v>
      </x:c>
      <x:c r="C467" s="11" t="str">
        <x:v>truth module definition</x:v>
      </x:c>
      <x:c r="D467" s="11" t="str">
        <x:v>RA-SA6-11-A2-T0</x:v>
      </x:c>
      <x:c r="E467" s="11" t="b">
        <x:f>'Truth Modules'!P251="PASS"</x:f>
        <x:v>1</x:v>
      </x:c>
      <x:c r="F467" s="29" t="b">
        <x:v>1</x:v>
      </x:c>
      <x:c r="G467" s="11" t="b">
        <x:f>'Truth Modules'!P251="PASS"</x:f>
        <x:v>1</x:v>
      </x:c>
      <x:c r="H467" s="11" t="str">
        <x:f>IF(G467=F467,"PASS","FAIL")</x:f>
        <x:v>PASS</x:v>
      </x:c>
      <x:c r="I467" s="38"/>
    </x:row>
    <x:row r="468">
      <x:c r="B468" s="11" t="str">
        <x:v>AU-0462</x:v>
      </x:c>
      <x:c r="C468" s="11" t="str">
        <x:v>truth module definition</x:v>
      </x:c>
      <x:c r="D468" s="11" t="str">
        <x:v>RA-SA6-11-A2-T1</x:v>
      </x:c>
      <x:c r="E468" s="11" t="b">
        <x:f>'Truth Modules'!P252="PASS"</x:f>
        <x:v>1</x:v>
      </x:c>
      <x:c r="F468" s="29" t="b">
        <x:v>1</x:v>
      </x:c>
      <x:c r="G468" s="11" t="b">
        <x:f>'Truth Modules'!P252="PASS"</x:f>
        <x:v>1</x:v>
      </x:c>
      <x:c r="H468" s="11" t="str">
        <x:f>IF(G468=F468,"PASS","FAIL")</x:f>
        <x:v>PASS</x:v>
      </x:c>
      <x:c r="I468" s="38"/>
    </x:row>
    <x:row r="469">
      <x:c r="B469" s="11" t="str">
        <x:v>AU-0463</x:v>
      </x:c>
      <x:c r="C469" s="11" t="str">
        <x:v>truth module definition</x:v>
      </x:c>
      <x:c r="D469" s="11" t="str">
        <x:v>RA-SA6-11-A2-T2</x:v>
      </x:c>
      <x:c r="E469" s="11" t="b">
        <x:f>'Truth Modules'!P253="PASS"</x:f>
        <x:v>1</x:v>
      </x:c>
      <x:c r="F469" s="29" t="b">
        <x:v>1</x:v>
      </x:c>
      <x:c r="G469" s="11" t="b">
        <x:f>'Truth Modules'!P253="PASS"</x:f>
        <x:v>1</x:v>
      </x:c>
      <x:c r="H469" s="11" t="str">
        <x:f>IF(G469=F469,"PASS","FAIL")</x:f>
        <x:v>PASS</x:v>
      </x:c>
      <x:c r="I469" s="38"/>
    </x:row>
    <x:row r="470">
      <x:c r="B470" s="11" t="str">
        <x:v>AU-0464</x:v>
      </x:c>
      <x:c r="C470" s="11" t="str">
        <x:v>truth module definition</x:v>
      </x:c>
      <x:c r="D470" s="11" t="str">
        <x:v>RA-SA6-11-A2-T3</x:v>
      </x:c>
      <x:c r="E470" s="11" t="b">
        <x:f>'Truth Modules'!P254="PASS"</x:f>
        <x:v>1</x:v>
      </x:c>
      <x:c r="F470" s="29" t="b">
        <x:v>1</x:v>
      </x:c>
      <x:c r="G470" s="11" t="b">
        <x:f>'Truth Modules'!P254="PASS"</x:f>
        <x:v>1</x:v>
      </x:c>
      <x:c r="H470" s="11" t="str">
        <x:f>IF(G470=F470,"PASS","FAIL")</x:f>
        <x:v>PASS</x:v>
      </x:c>
      <x:c r="I470" s="38"/>
    </x:row>
    <x:row r="471">
      <x:c r="B471" s="11" t="str">
        <x:v>AU-0465</x:v>
      </x:c>
      <x:c r="C471" s="11" t="str">
        <x:v>truth module definition</x:v>
      </x:c>
      <x:c r="D471" s="11" t="str">
        <x:v>RA-SA6-11-A3-T0</x:v>
      </x:c>
      <x:c r="E471" s="11" t="b">
        <x:f>'Truth Modules'!P255="PASS"</x:f>
        <x:v>1</x:v>
      </x:c>
      <x:c r="F471" s="29" t="b">
        <x:v>1</x:v>
      </x:c>
      <x:c r="G471" s="11" t="b">
        <x:f>'Truth Modules'!P255="PASS"</x:f>
        <x:v>1</x:v>
      </x:c>
      <x:c r="H471" s="11" t="str">
        <x:f>IF(G471=F471,"PASS","FAIL")</x:f>
        <x:v>PASS</x:v>
      </x:c>
      <x:c r="I471" s="38"/>
    </x:row>
    <x:row r="472">
      <x:c r="B472" s="11" t="str">
        <x:v>AU-0466</x:v>
      </x:c>
      <x:c r="C472" s="11" t="str">
        <x:v>truth module definition</x:v>
      </x:c>
      <x:c r="D472" s="11" t="str">
        <x:v>RA-SA6-11-A3-T1</x:v>
      </x:c>
      <x:c r="E472" s="11" t="b">
        <x:f>'Truth Modules'!P256="PASS"</x:f>
        <x:v>1</x:v>
      </x:c>
      <x:c r="F472" s="29" t="b">
        <x:v>1</x:v>
      </x:c>
      <x:c r="G472" s="11" t="b">
        <x:f>'Truth Modules'!P256="PASS"</x:f>
        <x:v>1</x:v>
      </x:c>
      <x:c r="H472" s="11" t="str">
        <x:f>IF(G472=F472,"PASS","FAIL")</x:f>
        <x:v>PASS</x:v>
      </x:c>
      <x:c r="I472" s="38"/>
    </x:row>
    <x:row r="473">
      <x:c r="B473" s="11" t="str">
        <x:v>AU-0467</x:v>
      </x:c>
      <x:c r="C473" s="11" t="str">
        <x:v>truth module definition</x:v>
      </x:c>
      <x:c r="D473" s="11" t="str">
        <x:v>RA-SA6-11-A3-T2</x:v>
      </x:c>
      <x:c r="E473" s="11" t="b">
        <x:f>'Truth Modules'!P257="PASS"</x:f>
        <x:v>1</x:v>
      </x:c>
      <x:c r="F473" s="29" t="b">
        <x:v>1</x:v>
      </x:c>
      <x:c r="G473" s="11" t="b">
        <x:f>'Truth Modules'!P257="PASS"</x:f>
        <x:v>1</x:v>
      </x:c>
      <x:c r="H473" s="11" t="str">
        <x:f>IF(G473=F473,"PASS","FAIL")</x:f>
        <x:v>PASS</x:v>
      </x:c>
      <x:c r="I473" s="38"/>
    </x:row>
    <x:row r="474">
      <x:c r="B474" s="11" t="str">
        <x:v>AU-0468</x:v>
      </x:c>
      <x:c r="C474" s="11" t="str">
        <x:v>truth module definition</x:v>
      </x:c>
      <x:c r="D474" s="11" t="str">
        <x:v>RA-SA6-11-A3-T3</x:v>
      </x:c>
      <x:c r="E474" s="11" t="b">
        <x:f>'Truth Modules'!P258="PASS"</x:f>
        <x:v>1</x:v>
      </x:c>
      <x:c r="F474" s="29" t="b">
        <x:v>1</x:v>
      </x:c>
      <x:c r="G474" s="11" t="b">
        <x:f>'Truth Modules'!P258="PASS"</x:f>
        <x:v>1</x:v>
      </x:c>
      <x:c r="H474" s="11" t="str">
        <x:f>IF(G474=F474,"PASS","FAIL")</x:f>
        <x:v>PASS</x:v>
      </x:c>
      <x:c r="I474" s="38"/>
    </x:row>
    <x:row r="475">
      <x:c r="B475" s="11" t="str">
        <x:v>AU-0469</x:v>
      </x:c>
      <x:c r="C475" s="11" t="str">
        <x:v>truth module definition</x:v>
      </x:c>
      <x:c r="D475" s="11" t="str">
        <x:v>RA-SA6-11-B1-T0</x:v>
      </x:c>
      <x:c r="E475" s="11" t="b">
        <x:f>'Truth Modules'!P259="PASS"</x:f>
        <x:v>1</x:v>
      </x:c>
      <x:c r="F475" s="29" t="b">
        <x:v>1</x:v>
      </x:c>
      <x:c r="G475" s="11" t="b">
        <x:f>'Truth Modules'!P259="PASS"</x:f>
        <x:v>1</x:v>
      </x:c>
      <x:c r="H475" s="11" t="str">
        <x:f>IF(G475=F475,"PASS","FAIL")</x:f>
        <x:v>PASS</x:v>
      </x:c>
      <x:c r="I475" s="38"/>
    </x:row>
    <x:row r="476">
      <x:c r="B476" s="11" t="str">
        <x:v>AU-0470</x:v>
      </x:c>
      <x:c r="C476" s="11" t="str">
        <x:v>truth module definition</x:v>
      </x:c>
      <x:c r="D476" s="11" t="str">
        <x:v>RA-SA6-11-B1-T1</x:v>
      </x:c>
      <x:c r="E476" s="11" t="b">
        <x:f>'Truth Modules'!P260="PASS"</x:f>
        <x:v>1</x:v>
      </x:c>
      <x:c r="F476" s="29" t="b">
        <x:v>1</x:v>
      </x:c>
      <x:c r="G476" s="11" t="b">
        <x:f>'Truth Modules'!P260="PASS"</x:f>
        <x:v>1</x:v>
      </x:c>
      <x:c r="H476" s="11" t="str">
        <x:f>IF(G476=F476,"PASS","FAIL")</x:f>
        <x:v>PASS</x:v>
      </x:c>
      <x:c r="I476" s="38"/>
    </x:row>
    <x:row r="477">
      <x:c r="B477" s="11" t="str">
        <x:v>AU-0471</x:v>
      </x:c>
      <x:c r="C477" s="11" t="str">
        <x:v>truth module definition</x:v>
      </x:c>
      <x:c r="D477" s="11" t="str">
        <x:v>RA-SA6-11-B1-T2</x:v>
      </x:c>
      <x:c r="E477" s="11" t="b">
        <x:f>'Truth Modules'!P261="PASS"</x:f>
        <x:v>1</x:v>
      </x:c>
      <x:c r="F477" s="29" t="b">
        <x:v>1</x:v>
      </x:c>
      <x:c r="G477" s="11" t="b">
        <x:f>'Truth Modules'!P261="PASS"</x:f>
        <x:v>1</x:v>
      </x:c>
      <x:c r="H477" s="11" t="str">
        <x:f>IF(G477=F477,"PASS","FAIL")</x:f>
        <x:v>PASS</x:v>
      </x:c>
      <x:c r="I477" s="38"/>
    </x:row>
    <x:row r="478">
      <x:c r="B478" s="11" t="str">
        <x:v>AU-0472</x:v>
      </x:c>
      <x:c r="C478" s="11" t="str">
        <x:v>truth module definition</x:v>
      </x:c>
      <x:c r="D478" s="11" t="str">
        <x:v>RA-SA6-11-B1-T3</x:v>
      </x:c>
      <x:c r="E478" s="11" t="b">
        <x:f>'Truth Modules'!P262="PASS"</x:f>
        <x:v>1</x:v>
      </x:c>
      <x:c r="F478" s="29" t="b">
        <x:v>1</x:v>
      </x:c>
      <x:c r="G478" s="11" t="b">
        <x:f>'Truth Modules'!P262="PASS"</x:f>
        <x:v>1</x:v>
      </x:c>
      <x:c r="H478" s="11" t="str">
        <x:f>IF(G478=F478,"PASS","FAIL")</x:f>
        <x:v>PASS</x:v>
      </x:c>
      <x:c r="I478" s="38"/>
    </x:row>
    <x:row r="479">
      <x:c r="B479" s="11" t="str">
        <x:v>AU-0473</x:v>
      </x:c>
      <x:c r="C479" s="11" t="str">
        <x:v>truth module definition</x:v>
      </x:c>
      <x:c r="D479" s="11" t="str">
        <x:v>RA-SA6-11-B2-T0</x:v>
      </x:c>
      <x:c r="E479" s="11" t="b">
        <x:f>'Truth Modules'!P263="PASS"</x:f>
        <x:v>1</x:v>
      </x:c>
      <x:c r="F479" s="29" t="b">
        <x:v>1</x:v>
      </x:c>
      <x:c r="G479" s="11" t="b">
        <x:f>'Truth Modules'!P263="PASS"</x:f>
        <x:v>1</x:v>
      </x:c>
      <x:c r="H479" s="11" t="str">
        <x:f>IF(G479=F479,"PASS","FAIL")</x:f>
        <x:v>PASS</x:v>
      </x:c>
      <x:c r="I479" s="38"/>
    </x:row>
    <x:row r="480">
      <x:c r="B480" s="11" t="str">
        <x:v>AU-0474</x:v>
      </x:c>
      <x:c r="C480" s="11" t="str">
        <x:v>truth module definition</x:v>
      </x:c>
      <x:c r="D480" s="11" t="str">
        <x:v>RA-SA6-11-B2-T1</x:v>
      </x:c>
      <x:c r="E480" s="11" t="b">
        <x:f>'Truth Modules'!P264="PASS"</x:f>
        <x:v>1</x:v>
      </x:c>
      <x:c r="F480" s="29" t="b">
        <x:v>1</x:v>
      </x:c>
      <x:c r="G480" s="11" t="b">
        <x:f>'Truth Modules'!P264="PASS"</x:f>
        <x:v>1</x:v>
      </x:c>
      <x:c r="H480" s="11" t="str">
        <x:f>IF(G480=F480,"PASS","FAIL")</x:f>
        <x:v>PASS</x:v>
      </x:c>
      <x:c r="I480" s="38"/>
    </x:row>
    <x:row r="481">
      <x:c r="B481" s="11" t="str">
        <x:v>AU-0475</x:v>
      </x:c>
      <x:c r="C481" s="11" t="str">
        <x:v>truth module definition</x:v>
      </x:c>
      <x:c r="D481" s="11" t="str">
        <x:v>RA-SA6-11-B2-T2</x:v>
      </x:c>
      <x:c r="E481" s="11" t="b">
        <x:f>'Truth Modules'!P265="PASS"</x:f>
        <x:v>1</x:v>
      </x:c>
      <x:c r="F481" s="29" t="b">
        <x:v>1</x:v>
      </x:c>
      <x:c r="G481" s="11" t="b">
        <x:f>'Truth Modules'!P265="PASS"</x:f>
        <x:v>1</x:v>
      </x:c>
      <x:c r="H481" s="11" t="str">
        <x:f>IF(G481=F481,"PASS","FAIL")</x:f>
        <x:v>PASS</x:v>
      </x:c>
      <x:c r="I481" s="38"/>
    </x:row>
    <x:row r="482">
      <x:c r="B482" s="11" t="str">
        <x:v>AU-0476</x:v>
      </x:c>
      <x:c r="C482" s="11" t="str">
        <x:v>truth module definition</x:v>
      </x:c>
      <x:c r="D482" s="11" t="str">
        <x:v>RA-SA6-11-B2-T3</x:v>
      </x:c>
      <x:c r="E482" s="11" t="b">
        <x:f>'Truth Modules'!P266="PASS"</x:f>
        <x:v>1</x:v>
      </x:c>
      <x:c r="F482" s="29" t="b">
        <x:v>1</x:v>
      </x:c>
      <x:c r="G482" s="11" t="b">
        <x:f>'Truth Modules'!P266="PASS"</x:f>
        <x:v>1</x:v>
      </x:c>
      <x:c r="H482" s="11" t="str">
        <x:f>IF(G482=F482,"PASS","FAIL")</x:f>
        <x:v>PASS</x:v>
      </x:c>
      <x:c r="I482" s="38"/>
    </x:row>
    <x:row r="483">
      <x:c r="B483" s="11" t="str">
        <x:v>AU-0477</x:v>
      </x:c>
      <x:c r="C483" s="11" t="str">
        <x:v>truth module definition</x:v>
      </x:c>
      <x:c r="D483" s="11" t="str">
        <x:v>RA-SA6-11-B3-T0</x:v>
      </x:c>
      <x:c r="E483" s="11" t="b">
        <x:f>'Truth Modules'!P267="PASS"</x:f>
        <x:v>1</x:v>
      </x:c>
      <x:c r="F483" s="29" t="b">
        <x:v>1</x:v>
      </x:c>
      <x:c r="G483" s="11" t="b">
        <x:f>'Truth Modules'!P267="PASS"</x:f>
        <x:v>1</x:v>
      </x:c>
      <x:c r="H483" s="11" t="str">
        <x:f>IF(G483=F483,"PASS","FAIL")</x:f>
        <x:v>PASS</x:v>
      </x:c>
      <x:c r="I483" s="38"/>
    </x:row>
    <x:row r="484">
      <x:c r="B484" s="11" t="str">
        <x:v>AU-0478</x:v>
      </x:c>
      <x:c r="C484" s="11" t="str">
        <x:v>truth module definition</x:v>
      </x:c>
      <x:c r="D484" s="11" t="str">
        <x:v>RA-SA6-11-B3-T1</x:v>
      </x:c>
      <x:c r="E484" s="11" t="b">
        <x:f>'Truth Modules'!P268="PASS"</x:f>
        <x:v>1</x:v>
      </x:c>
      <x:c r="F484" s="29" t="b">
        <x:v>1</x:v>
      </x:c>
      <x:c r="G484" s="11" t="b">
        <x:f>'Truth Modules'!P268="PASS"</x:f>
        <x:v>1</x:v>
      </x:c>
      <x:c r="H484" s="11" t="str">
        <x:f>IF(G484=F484,"PASS","FAIL")</x:f>
        <x:v>PASS</x:v>
      </x:c>
      <x:c r="I484" s="38"/>
    </x:row>
    <x:row r="485">
      <x:c r="B485" s="11" t="str">
        <x:v>AU-0479</x:v>
      </x:c>
      <x:c r="C485" s="11" t="str">
        <x:v>truth module definition</x:v>
      </x:c>
      <x:c r="D485" s="11" t="str">
        <x:v>RA-SA6-11-B3-T2</x:v>
      </x:c>
      <x:c r="E485" s="11" t="b">
        <x:f>'Truth Modules'!P269="PASS"</x:f>
        <x:v>1</x:v>
      </x:c>
      <x:c r="F485" s="29" t="b">
        <x:v>1</x:v>
      </x:c>
      <x:c r="G485" s="11" t="b">
        <x:f>'Truth Modules'!P269="PASS"</x:f>
        <x:v>1</x:v>
      </x:c>
      <x:c r="H485" s="11" t="str">
        <x:f>IF(G485=F485,"PASS","FAIL")</x:f>
        <x:v>PASS</x:v>
      </x:c>
      <x:c r="I485" s="38"/>
    </x:row>
    <x:row r="486">
      <x:c r="B486" s="11" t="str">
        <x:v>AU-0480</x:v>
      </x:c>
      <x:c r="C486" s="11" t="str">
        <x:v>truth module definition</x:v>
      </x:c>
      <x:c r="D486" s="11" t="str">
        <x:v>RA-SA6-11-B3-T3</x:v>
      </x:c>
      <x:c r="E486" s="11" t="b">
        <x:f>'Truth Modules'!P270="PASS"</x:f>
        <x:v>1</x:v>
      </x:c>
      <x:c r="F486" s="29" t="b">
        <x:v>1</x:v>
      </x:c>
      <x:c r="G486" s="11" t="b">
        <x:f>'Truth Modules'!P270="PASS"</x:f>
        <x:v>1</x:v>
      </x:c>
      <x:c r="H486" s="11" t="str">
        <x:f>IF(G486=F486,"PASS","FAIL")</x:f>
        <x:v>PASS</x:v>
      </x:c>
      <x:c r="I486" s="38"/>
    </x:row>
    <x:row r="487">
      <x:c r="B487" s="11" t="str">
        <x:v>AU-0481</x:v>
      </x:c>
      <x:c r="C487" s="11" t="str">
        <x:v>truth module definition</x:v>
      </x:c>
      <x:c r="D487" s="11" t="str">
        <x:v>RA-SA6-12-A1-T0</x:v>
      </x:c>
      <x:c r="E487" s="11" t="b">
        <x:f>'Truth Modules'!P271="PASS"</x:f>
        <x:v>1</x:v>
      </x:c>
      <x:c r="F487" s="29" t="b">
        <x:v>1</x:v>
      </x:c>
      <x:c r="G487" s="11" t="b">
        <x:f>'Truth Modules'!P271="PASS"</x:f>
        <x:v>1</x:v>
      </x:c>
      <x:c r="H487" s="11" t="str">
        <x:f>IF(G487=F487,"PASS","FAIL")</x:f>
        <x:v>PASS</x:v>
      </x:c>
      <x:c r="I487" s="38"/>
    </x:row>
    <x:row r="488">
      <x:c r="B488" s="11" t="str">
        <x:v>AU-0482</x:v>
      </x:c>
      <x:c r="C488" s="11" t="str">
        <x:v>truth module definition</x:v>
      </x:c>
      <x:c r="D488" s="11" t="str">
        <x:v>RA-SA6-12-A1-T1</x:v>
      </x:c>
      <x:c r="E488" s="11" t="b">
        <x:f>'Truth Modules'!P272="PASS"</x:f>
        <x:v>1</x:v>
      </x:c>
      <x:c r="F488" s="29" t="b">
        <x:v>1</x:v>
      </x:c>
      <x:c r="G488" s="11" t="b">
        <x:f>'Truth Modules'!P272="PASS"</x:f>
        <x:v>1</x:v>
      </x:c>
      <x:c r="H488" s="11" t="str">
        <x:f>IF(G488=F488,"PASS","FAIL")</x:f>
        <x:v>PASS</x:v>
      </x:c>
      <x:c r="I488" s="38"/>
    </x:row>
    <x:row r="489">
      <x:c r="B489" s="11" t="str">
        <x:v>AU-0483</x:v>
      </x:c>
      <x:c r="C489" s="11" t="str">
        <x:v>truth module definition</x:v>
      </x:c>
      <x:c r="D489" s="11" t="str">
        <x:v>RA-SA6-12-A1-T2</x:v>
      </x:c>
      <x:c r="E489" s="11" t="b">
        <x:f>'Truth Modules'!P273="PASS"</x:f>
        <x:v>1</x:v>
      </x:c>
      <x:c r="F489" s="29" t="b">
        <x:v>1</x:v>
      </x:c>
      <x:c r="G489" s="11" t="b">
        <x:f>'Truth Modules'!P273="PASS"</x:f>
        <x:v>1</x:v>
      </x:c>
      <x:c r="H489" s="11" t="str">
        <x:f>IF(G489=F489,"PASS","FAIL")</x:f>
        <x:v>PASS</x:v>
      </x:c>
      <x:c r="I489" s="38"/>
    </x:row>
    <x:row r="490">
      <x:c r="B490" s="11" t="str">
        <x:v>AU-0484</x:v>
      </x:c>
      <x:c r="C490" s="11" t="str">
        <x:v>truth module definition</x:v>
      </x:c>
      <x:c r="D490" s="11" t="str">
        <x:v>RA-SA6-12-A1-T3</x:v>
      </x:c>
      <x:c r="E490" s="11" t="b">
        <x:f>'Truth Modules'!P274="PASS"</x:f>
        <x:v>1</x:v>
      </x:c>
      <x:c r="F490" s="29" t="b">
        <x:v>1</x:v>
      </x:c>
      <x:c r="G490" s="11" t="b">
        <x:f>'Truth Modules'!P274="PASS"</x:f>
        <x:v>1</x:v>
      </x:c>
      <x:c r="H490" s="11" t="str">
        <x:f>IF(G490=F490,"PASS","FAIL")</x:f>
        <x:v>PASS</x:v>
      </x:c>
      <x:c r="I490" s="38"/>
    </x:row>
    <x:row r="491">
      <x:c r="B491" s="11" t="str">
        <x:v>AU-0485</x:v>
      </x:c>
      <x:c r="C491" s="11" t="str">
        <x:v>truth module definition</x:v>
      </x:c>
      <x:c r="D491" s="11" t="str">
        <x:v>RA-SA6-12-A2-T0</x:v>
      </x:c>
      <x:c r="E491" s="11" t="b">
        <x:f>'Truth Modules'!P275="PASS"</x:f>
        <x:v>1</x:v>
      </x:c>
      <x:c r="F491" s="29" t="b">
        <x:v>1</x:v>
      </x:c>
      <x:c r="G491" s="11" t="b">
        <x:f>'Truth Modules'!P275="PASS"</x:f>
        <x:v>1</x:v>
      </x:c>
      <x:c r="H491" s="11" t="str">
        <x:f>IF(G491=F491,"PASS","FAIL")</x:f>
        <x:v>PASS</x:v>
      </x:c>
      <x:c r="I491" s="38"/>
    </x:row>
    <x:row r="492">
      <x:c r="B492" s="11" t="str">
        <x:v>AU-0486</x:v>
      </x:c>
      <x:c r="C492" s="11" t="str">
        <x:v>truth module definition</x:v>
      </x:c>
      <x:c r="D492" s="11" t="str">
        <x:v>RA-SA6-12-A2-T1</x:v>
      </x:c>
      <x:c r="E492" s="11" t="b">
        <x:f>'Truth Modules'!P276="PASS"</x:f>
        <x:v>1</x:v>
      </x:c>
      <x:c r="F492" s="29" t="b">
        <x:v>1</x:v>
      </x:c>
      <x:c r="G492" s="11" t="b">
        <x:f>'Truth Modules'!P276="PASS"</x:f>
        <x:v>1</x:v>
      </x:c>
      <x:c r="H492" s="11" t="str">
        <x:f>IF(G492=F492,"PASS","FAIL")</x:f>
        <x:v>PASS</x:v>
      </x:c>
      <x:c r="I492" s="38"/>
    </x:row>
    <x:row r="493">
      <x:c r="B493" s="11" t="str">
        <x:v>AU-0487</x:v>
      </x:c>
      <x:c r="C493" s="11" t="str">
        <x:v>truth module definition</x:v>
      </x:c>
      <x:c r="D493" s="11" t="str">
        <x:v>RA-SA6-12-A2-T2</x:v>
      </x:c>
      <x:c r="E493" s="11" t="b">
        <x:f>'Truth Modules'!P277="PASS"</x:f>
        <x:v>1</x:v>
      </x:c>
      <x:c r="F493" s="29" t="b">
        <x:v>1</x:v>
      </x:c>
      <x:c r="G493" s="11" t="b">
        <x:f>'Truth Modules'!P277="PASS"</x:f>
        <x:v>1</x:v>
      </x:c>
      <x:c r="H493" s="11" t="str">
        <x:f>IF(G493=F493,"PASS","FAIL")</x:f>
        <x:v>PASS</x:v>
      </x:c>
      <x:c r="I493" s="38"/>
    </x:row>
    <x:row r="494">
      <x:c r="B494" s="11" t="str">
        <x:v>AU-0488</x:v>
      </x:c>
      <x:c r="C494" s="11" t="str">
        <x:v>truth module definition</x:v>
      </x:c>
      <x:c r="D494" s="11" t="str">
        <x:v>RA-SA6-12-A2-T3</x:v>
      </x:c>
      <x:c r="E494" s="11" t="b">
        <x:f>'Truth Modules'!P278="PASS"</x:f>
        <x:v>1</x:v>
      </x:c>
      <x:c r="F494" s="29" t="b">
        <x:v>1</x:v>
      </x:c>
      <x:c r="G494" s="11" t="b">
        <x:f>'Truth Modules'!P278="PASS"</x:f>
        <x:v>1</x:v>
      </x:c>
      <x:c r="H494" s="11" t="str">
        <x:f>IF(G494=F494,"PASS","FAIL")</x:f>
        <x:v>PASS</x:v>
      </x:c>
      <x:c r="I494" s="38"/>
    </x:row>
    <x:row r="495">
      <x:c r="B495" s="11" t="str">
        <x:v>AU-0489</x:v>
      </x:c>
      <x:c r="C495" s="11" t="str">
        <x:v>truth module definition</x:v>
      </x:c>
      <x:c r="D495" s="11" t="str">
        <x:v>RA-SA6-12-A3-T0</x:v>
      </x:c>
      <x:c r="E495" s="11" t="b">
        <x:f>'Truth Modules'!P279="PASS"</x:f>
        <x:v>1</x:v>
      </x:c>
      <x:c r="F495" s="29" t="b">
        <x:v>1</x:v>
      </x:c>
      <x:c r="G495" s="11" t="b">
        <x:f>'Truth Modules'!P279="PASS"</x:f>
        <x:v>1</x:v>
      </x:c>
      <x:c r="H495" s="11" t="str">
        <x:f>IF(G495=F495,"PASS","FAIL")</x:f>
        <x:v>PASS</x:v>
      </x:c>
      <x:c r="I495" s="38"/>
    </x:row>
    <x:row r="496">
      <x:c r="B496" s="11" t="str">
        <x:v>AU-0490</x:v>
      </x:c>
      <x:c r="C496" s="11" t="str">
        <x:v>truth module definition</x:v>
      </x:c>
      <x:c r="D496" s="11" t="str">
        <x:v>RA-SA6-12-A3-T1</x:v>
      </x:c>
      <x:c r="E496" s="11" t="b">
        <x:f>'Truth Modules'!P280="PASS"</x:f>
        <x:v>1</x:v>
      </x:c>
      <x:c r="F496" s="29" t="b">
        <x:v>1</x:v>
      </x:c>
      <x:c r="G496" s="11" t="b">
        <x:f>'Truth Modules'!P280="PASS"</x:f>
        <x:v>1</x:v>
      </x:c>
      <x:c r="H496" s="11" t="str">
        <x:f>IF(G496=F496,"PASS","FAIL")</x:f>
        <x:v>PASS</x:v>
      </x:c>
      <x:c r="I496" s="38"/>
    </x:row>
    <x:row r="497">
      <x:c r="B497" s="11" t="str">
        <x:v>AU-0491</x:v>
      </x:c>
      <x:c r="C497" s="11" t="str">
        <x:v>truth module definition</x:v>
      </x:c>
      <x:c r="D497" s="11" t="str">
        <x:v>RA-SA6-12-A3-T2</x:v>
      </x:c>
      <x:c r="E497" s="11" t="b">
        <x:f>'Truth Modules'!P281="PASS"</x:f>
        <x:v>1</x:v>
      </x:c>
      <x:c r="F497" s="29" t="b">
        <x:v>1</x:v>
      </x:c>
      <x:c r="G497" s="11" t="b">
        <x:f>'Truth Modules'!P281="PASS"</x:f>
        <x:v>1</x:v>
      </x:c>
      <x:c r="H497" s="11" t="str">
        <x:f>IF(G497=F497,"PASS","FAIL")</x:f>
        <x:v>PASS</x:v>
      </x:c>
      <x:c r="I497" s="38"/>
    </x:row>
    <x:row r="498">
      <x:c r="B498" s="11" t="str">
        <x:v>AU-0492</x:v>
      </x:c>
      <x:c r="C498" s="11" t="str">
        <x:v>truth module definition</x:v>
      </x:c>
      <x:c r="D498" s="11" t="str">
        <x:v>RA-SA6-12-A3-T3</x:v>
      </x:c>
      <x:c r="E498" s="11" t="b">
        <x:f>'Truth Modules'!P282="PASS"</x:f>
        <x:v>1</x:v>
      </x:c>
      <x:c r="F498" s="29" t="b">
        <x:v>1</x:v>
      </x:c>
      <x:c r="G498" s="11" t="b">
        <x:f>'Truth Modules'!P282="PASS"</x:f>
        <x:v>1</x:v>
      </x:c>
      <x:c r="H498" s="11" t="str">
        <x:f>IF(G498=F498,"PASS","FAIL")</x:f>
        <x:v>PASS</x:v>
      </x:c>
      <x:c r="I498" s="38"/>
    </x:row>
    <x:row r="499">
      <x:c r="B499" s="11" t="str">
        <x:v>AU-0493</x:v>
      </x:c>
      <x:c r="C499" s="11" t="str">
        <x:v>truth module definition</x:v>
      </x:c>
      <x:c r="D499" s="11" t="str">
        <x:v>RA-SA6-12-B1-T0</x:v>
      </x:c>
      <x:c r="E499" s="11" t="b">
        <x:f>'Truth Modules'!P283="PASS"</x:f>
        <x:v>1</x:v>
      </x:c>
      <x:c r="F499" s="29" t="b">
        <x:v>1</x:v>
      </x:c>
      <x:c r="G499" s="11" t="b">
        <x:f>'Truth Modules'!P283="PASS"</x:f>
        <x:v>1</x:v>
      </x:c>
      <x:c r="H499" s="11" t="str">
        <x:f>IF(G499=F499,"PASS","FAIL")</x:f>
        <x:v>PASS</x:v>
      </x:c>
      <x:c r="I499" s="38"/>
    </x:row>
    <x:row r="500">
      <x:c r="B500" s="11" t="str">
        <x:v>AU-0494</x:v>
      </x:c>
      <x:c r="C500" s="11" t="str">
        <x:v>truth module definition</x:v>
      </x:c>
      <x:c r="D500" s="11" t="str">
        <x:v>RA-SA6-12-B1-T1</x:v>
      </x:c>
      <x:c r="E500" s="11" t="b">
        <x:f>'Truth Modules'!P284="PASS"</x:f>
        <x:v>1</x:v>
      </x:c>
      <x:c r="F500" s="29" t="b">
        <x:v>1</x:v>
      </x:c>
      <x:c r="G500" s="11" t="b">
        <x:f>'Truth Modules'!P284="PASS"</x:f>
        <x:v>1</x:v>
      </x:c>
      <x:c r="H500" s="11" t="str">
        <x:f>IF(G500=F500,"PASS","FAIL")</x:f>
        <x:v>PASS</x:v>
      </x:c>
      <x:c r="I500" s="38"/>
    </x:row>
    <x:row r="501">
      <x:c r="B501" s="11" t="str">
        <x:v>AU-0495</x:v>
      </x:c>
      <x:c r="C501" s="11" t="str">
        <x:v>truth module definition</x:v>
      </x:c>
      <x:c r="D501" s="11" t="str">
        <x:v>RA-SA6-12-B1-T2</x:v>
      </x:c>
      <x:c r="E501" s="11" t="b">
        <x:f>'Truth Modules'!P285="PASS"</x:f>
        <x:v>1</x:v>
      </x:c>
      <x:c r="F501" s="29" t="b">
        <x:v>1</x:v>
      </x:c>
      <x:c r="G501" s="11" t="b">
        <x:f>'Truth Modules'!P285="PASS"</x:f>
        <x:v>1</x:v>
      </x:c>
      <x:c r="H501" s="11" t="str">
        <x:f>IF(G501=F501,"PASS","FAIL")</x:f>
        <x:v>PASS</x:v>
      </x:c>
      <x:c r="I501" s="38"/>
    </x:row>
    <x:row r="502">
      <x:c r="B502" s="11" t="str">
        <x:v>AU-0496</x:v>
      </x:c>
      <x:c r="C502" s="11" t="str">
        <x:v>truth module definition</x:v>
      </x:c>
      <x:c r="D502" s="11" t="str">
        <x:v>RA-SA6-12-B1-T3</x:v>
      </x:c>
      <x:c r="E502" s="11" t="b">
        <x:f>'Truth Modules'!P286="PASS"</x:f>
        <x:v>1</x:v>
      </x:c>
      <x:c r="F502" s="29" t="b">
        <x:v>1</x:v>
      </x:c>
      <x:c r="G502" s="11" t="b">
        <x:f>'Truth Modules'!P286="PASS"</x:f>
        <x:v>1</x:v>
      </x:c>
      <x:c r="H502" s="11" t="str">
        <x:f>IF(G502=F502,"PASS","FAIL")</x:f>
        <x:v>PASS</x:v>
      </x:c>
      <x:c r="I502" s="38"/>
    </x:row>
    <x:row r="503">
      <x:c r="B503" s="11" t="str">
        <x:v>AU-0497</x:v>
      </x:c>
      <x:c r="C503" s="11" t="str">
        <x:v>truth module definition</x:v>
      </x:c>
      <x:c r="D503" s="11" t="str">
        <x:v>RA-SA6-12-B2-T0</x:v>
      </x:c>
      <x:c r="E503" s="11" t="b">
        <x:f>'Truth Modules'!P287="PASS"</x:f>
        <x:v>1</x:v>
      </x:c>
      <x:c r="F503" s="29" t="b">
        <x:v>1</x:v>
      </x:c>
      <x:c r="G503" s="11" t="b">
        <x:f>'Truth Modules'!P287="PASS"</x:f>
        <x:v>1</x:v>
      </x:c>
      <x:c r="H503" s="11" t="str">
        <x:f>IF(G503=F503,"PASS","FAIL")</x:f>
        <x:v>PASS</x:v>
      </x:c>
      <x:c r="I503" s="38"/>
    </x:row>
    <x:row r="504">
      <x:c r="B504" s="11" t="str">
        <x:v>AU-0498</x:v>
      </x:c>
      <x:c r="C504" s="11" t="str">
        <x:v>truth module definition</x:v>
      </x:c>
      <x:c r="D504" s="11" t="str">
        <x:v>RA-SA6-12-B2-T1</x:v>
      </x:c>
      <x:c r="E504" s="11" t="b">
        <x:f>'Truth Modules'!P288="PASS"</x:f>
        <x:v>1</x:v>
      </x:c>
      <x:c r="F504" s="29" t="b">
        <x:v>1</x:v>
      </x:c>
      <x:c r="G504" s="11" t="b">
        <x:f>'Truth Modules'!P288="PASS"</x:f>
        <x:v>1</x:v>
      </x:c>
      <x:c r="H504" s="11" t="str">
        <x:f>IF(G504=F504,"PASS","FAIL")</x:f>
        <x:v>PASS</x:v>
      </x:c>
      <x:c r="I504" s="38"/>
    </x:row>
    <x:row r="505">
      <x:c r="B505" s="11" t="str">
        <x:v>AU-0499</x:v>
      </x:c>
      <x:c r="C505" s="11" t="str">
        <x:v>truth module definition</x:v>
      </x:c>
      <x:c r="D505" s="11" t="str">
        <x:v>RA-SA6-12-B2-T2</x:v>
      </x:c>
      <x:c r="E505" s="11" t="b">
        <x:f>'Truth Modules'!P289="PASS"</x:f>
        <x:v>1</x:v>
      </x:c>
      <x:c r="F505" s="29" t="b">
        <x:v>1</x:v>
      </x:c>
      <x:c r="G505" s="11" t="b">
        <x:f>'Truth Modules'!P289="PASS"</x:f>
        <x:v>1</x:v>
      </x:c>
      <x:c r="H505" s="11" t="str">
        <x:f>IF(G505=F505,"PASS","FAIL")</x:f>
        <x:v>PASS</x:v>
      </x:c>
      <x:c r="I505" s="38"/>
    </x:row>
    <x:row r="506">
      <x:c r="B506" s="11" t="str">
        <x:v>AU-0500</x:v>
      </x:c>
      <x:c r="C506" s="11" t="str">
        <x:v>truth module definition</x:v>
      </x:c>
      <x:c r="D506" s="11" t="str">
        <x:v>RA-SA6-12-B2-T3</x:v>
      </x:c>
      <x:c r="E506" s="11" t="b">
        <x:f>'Truth Modules'!P290="PASS"</x:f>
        <x:v>1</x:v>
      </x:c>
      <x:c r="F506" s="29" t="b">
        <x:v>1</x:v>
      </x:c>
      <x:c r="G506" s="11" t="b">
        <x:f>'Truth Modules'!P290="PASS"</x:f>
        <x:v>1</x:v>
      </x:c>
      <x:c r="H506" s="11" t="str">
        <x:f>IF(G506=F506,"PASS","FAIL")</x:f>
        <x:v>PASS</x:v>
      </x:c>
      <x:c r="I506" s="38"/>
    </x:row>
    <x:row r="507">
      <x:c r="B507" s="11" t="str">
        <x:v>AU-0501</x:v>
      </x:c>
      <x:c r="C507" s="11" t="str">
        <x:v>truth module definition</x:v>
      </x:c>
      <x:c r="D507" s="11" t="str">
        <x:v>RA-SA6-12-B3-T0</x:v>
      </x:c>
      <x:c r="E507" s="11" t="b">
        <x:f>'Truth Modules'!P291="PASS"</x:f>
        <x:v>1</x:v>
      </x:c>
      <x:c r="F507" s="29" t="b">
        <x:v>1</x:v>
      </x:c>
      <x:c r="G507" s="11" t="b">
        <x:f>'Truth Modules'!P291="PASS"</x:f>
        <x:v>1</x:v>
      </x:c>
      <x:c r="H507" s="11" t="str">
        <x:f>IF(G507=F507,"PASS","FAIL")</x:f>
        <x:v>PASS</x:v>
      </x:c>
      <x:c r="I507" s="38"/>
    </x:row>
    <x:row r="508">
      <x:c r="B508" s="11" t="str">
        <x:v>AU-0502</x:v>
      </x:c>
      <x:c r="C508" s="11" t="str">
        <x:v>truth module definition</x:v>
      </x:c>
      <x:c r="D508" s="11" t="str">
        <x:v>RA-SA6-12-B3-T1</x:v>
      </x:c>
      <x:c r="E508" s="11" t="b">
        <x:f>'Truth Modules'!P292="PASS"</x:f>
        <x:v>1</x:v>
      </x:c>
      <x:c r="F508" s="29" t="b">
        <x:v>1</x:v>
      </x:c>
      <x:c r="G508" s="11" t="b">
        <x:f>'Truth Modules'!P292="PASS"</x:f>
        <x:v>1</x:v>
      </x:c>
      <x:c r="H508" s="11" t="str">
        <x:f>IF(G508=F508,"PASS","FAIL")</x:f>
        <x:v>PASS</x:v>
      </x:c>
      <x:c r="I508" s="38"/>
    </x:row>
    <x:row r="509">
      <x:c r="B509" s="11" t="str">
        <x:v>AU-0503</x:v>
      </x:c>
      <x:c r="C509" s="11" t="str">
        <x:v>truth module definition</x:v>
      </x:c>
      <x:c r="D509" s="11" t="str">
        <x:v>RA-SA6-12-B3-T2</x:v>
      </x:c>
      <x:c r="E509" s="11" t="b">
        <x:f>'Truth Modules'!P293="PASS"</x:f>
        <x:v>1</x:v>
      </x:c>
      <x:c r="F509" s="29" t="b">
        <x:v>1</x:v>
      </x:c>
      <x:c r="G509" s="11" t="b">
        <x:f>'Truth Modules'!P293="PASS"</x:f>
        <x:v>1</x:v>
      </x:c>
      <x:c r="H509" s="11" t="str">
        <x:f>IF(G509=F509,"PASS","FAIL")</x:f>
        <x:v>PASS</x:v>
      </x:c>
      <x:c r="I509" s="38"/>
    </x:row>
    <x:row r="510">
      <x:c r="B510" s="11" t="str">
        <x:v>AU-0504</x:v>
      </x:c>
      <x:c r="C510" s="11" t="str">
        <x:v>truth module definition</x:v>
      </x:c>
      <x:c r="D510" s="11" t="str">
        <x:v>RA-SA6-12-B3-T3</x:v>
      </x:c>
      <x:c r="E510" s="11" t="b">
        <x:f>'Truth Modules'!P294="PASS"</x:f>
        <x:v>1</x:v>
      </x:c>
      <x:c r="F510" s="29" t="b">
        <x:v>1</x:v>
      </x:c>
      <x:c r="G510" s="11" t="b">
        <x:f>'Truth Modules'!P294="PASS"</x:f>
        <x:v>1</x:v>
      </x:c>
      <x:c r="H510" s="11" t="str">
        <x:f>IF(G510=F510,"PASS","FAIL")</x:f>
        <x:v>PASS</x:v>
      </x:c>
      <x:c r="I510" s="38"/>
    </x:row>
    <x:row r="511">
      <x:c r="B511" s="11" t="str">
        <x:v>AU-0505</x:v>
      </x:c>
      <x:c r="C511" s="11" t="str">
        <x:v>source-term definition</x:v>
      </x:c>
      <x:c r="D511" s="11" t="str">
        <x:v>ST-SA1-A</x:v>
      </x:c>
      <x:c r="E511" s="11" t="b">
        <x:f>'Source Terms'!S7="PASS"</x:f>
        <x:v>1</x:v>
      </x:c>
      <x:c r="F511" s="29" t="b">
        <x:v>1</x:v>
      </x:c>
      <x:c r="G511" s="11" t="b">
        <x:f>'Source Terms'!S7="PASS"</x:f>
        <x:v>1</x:v>
      </x:c>
      <x:c r="H511" s="11" t="str">
        <x:f>IF(G511=F511,"PASS","FAIL")</x:f>
        <x:v>PASS</x:v>
      </x:c>
      <x:c r="I511" s="38"/>
    </x:row>
    <x:row r="512">
      <x:c r="B512" s="11" t="str">
        <x:v>AU-0506</x:v>
      </x:c>
      <x:c r="C512" s="11" t="str">
        <x:v>uncertainty allocation</x:v>
      </x:c>
      <x:c r="D512" s="11" t="str">
        <x:v>SA1-A</x:v>
      </x:c>
      <x:c r="E512" s="11" t="b">
        <x:f>'Uncertainty'!P7="PASS"</x:f>
        <x:v>1</x:v>
      </x:c>
      <x:c r="F512" s="29" t="b">
        <x:v>1</x:v>
      </x:c>
      <x:c r="G512" s="11" t="b">
        <x:f>'Uncertainty'!P7="PASS"</x:f>
        <x:v>1</x:v>
      </x:c>
      <x:c r="H512" s="11" t="str">
        <x:f>IF(G512=F512,"PASS","FAIL")</x:f>
        <x:v>PASS</x:v>
      </x:c>
      <x:c r="I512" s="38"/>
    </x:row>
    <x:row r="513">
      <x:c r="B513" s="11" t="str">
        <x:v>AU-0507</x:v>
      </x:c>
      <x:c r="C513" s="11" t="str">
        <x:v>source-term definition</x:v>
      </x:c>
      <x:c r="D513" s="11" t="str">
        <x:v>ST-SA1-B</x:v>
      </x:c>
      <x:c r="E513" s="11" t="b">
        <x:f>'Source Terms'!S8="PASS"</x:f>
        <x:v>1</x:v>
      </x:c>
      <x:c r="F513" s="29" t="b">
        <x:v>1</x:v>
      </x:c>
      <x:c r="G513" s="11" t="b">
        <x:f>'Source Terms'!S8="PASS"</x:f>
        <x:v>1</x:v>
      </x:c>
      <x:c r="H513" s="11" t="str">
        <x:f>IF(G513=F513,"PASS","FAIL")</x:f>
        <x:v>PASS</x:v>
      </x:c>
      <x:c r="I513" s="38"/>
    </x:row>
    <x:row r="514">
      <x:c r="B514" s="11" t="str">
        <x:v>AU-0508</x:v>
      </x:c>
      <x:c r="C514" s="11" t="str">
        <x:v>uncertainty allocation</x:v>
      </x:c>
      <x:c r="D514" s="11" t="str">
        <x:v>SA1-B</x:v>
      </x:c>
      <x:c r="E514" s="11" t="b">
        <x:f>'Uncertainty'!P8="PASS"</x:f>
        <x:v>1</x:v>
      </x:c>
      <x:c r="F514" s="29" t="b">
        <x:v>1</x:v>
      </x:c>
      <x:c r="G514" s="11" t="b">
        <x:f>'Uncertainty'!P8="PASS"</x:f>
        <x:v>1</x:v>
      </x:c>
      <x:c r="H514" s="11" t="str">
        <x:f>IF(G514=F514,"PASS","FAIL")</x:f>
        <x:v>PASS</x:v>
      </x:c>
      <x:c r="I514" s="38"/>
    </x:row>
    <x:row r="515">
      <x:c r="B515" s="11" t="str">
        <x:v>AU-0509</x:v>
      </x:c>
      <x:c r="C515" s="11" t="str">
        <x:v>source-term definition</x:v>
      </x:c>
      <x:c r="D515" s="11" t="str">
        <x:v>ST-SA2-A</x:v>
      </x:c>
      <x:c r="E515" s="11" t="b">
        <x:f>'Source Terms'!S9="PASS"</x:f>
        <x:v>1</x:v>
      </x:c>
      <x:c r="F515" s="29" t="b">
        <x:v>1</x:v>
      </x:c>
      <x:c r="G515" s="11" t="b">
        <x:f>'Source Terms'!S9="PASS"</x:f>
        <x:v>1</x:v>
      </x:c>
      <x:c r="H515" s="11" t="str">
        <x:f>IF(G515=F515,"PASS","FAIL")</x:f>
        <x:v>PASS</x:v>
      </x:c>
      <x:c r="I515" s="38"/>
    </x:row>
    <x:row r="516">
      <x:c r="B516" s="11" t="str">
        <x:v>AU-0510</x:v>
      </x:c>
      <x:c r="C516" s="11" t="str">
        <x:v>uncertainty allocation</x:v>
      </x:c>
      <x:c r="D516" s="11" t="str">
        <x:v>SA2-A</x:v>
      </x:c>
      <x:c r="E516" s="11" t="b">
        <x:f>'Uncertainty'!P9="PASS"</x:f>
        <x:v>1</x:v>
      </x:c>
      <x:c r="F516" s="29" t="b">
        <x:v>1</x:v>
      </x:c>
      <x:c r="G516" s="11" t="b">
        <x:f>'Uncertainty'!P9="PASS"</x:f>
        <x:v>1</x:v>
      </x:c>
      <x:c r="H516" s="11" t="str">
        <x:f>IF(G516=F516,"PASS","FAIL")</x:f>
        <x:v>PASS</x:v>
      </x:c>
      <x:c r="I516" s="38"/>
    </x:row>
    <x:row r="517">
      <x:c r="B517" s="11" t="str">
        <x:v>AU-0511</x:v>
      </x:c>
      <x:c r="C517" s="11" t="str">
        <x:v>source-term definition</x:v>
      </x:c>
      <x:c r="D517" s="11" t="str">
        <x:v>ST-SA2-B</x:v>
      </x:c>
      <x:c r="E517" s="11" t="b">
        <x:f>'Source Terms'!S10="PASS"</x:f>
        <x:v>1</x:v>
      </x:c>
      <x:c r="F517" s="29" t="b">
        <x:v>1</x:v>
      </x:c>
      <x:c r="G517" s="11" t="b">
        <x:f>'Source Terms'!S10="PASS"</x:f>
        <x:v>1</x:v>
      </x:c>
      <x:c r="H517" s="11" t="str">
        <x:f>IF(G517=F517,"PASS","FAIL")</x:f>
        <x:v>PASS</x:v>
      </x:c>
      <x:c r="I517" s="38"/>
    </x:row>
    <x:row r="518">
      <x:c r="B518" s="11" t="str">
        <x:v>AU-0512</x:v>
      </x:c>
      <x:c r="C518" s="11" t="str">
        <x:v>uncertainty allocation</x:v>
      </x:c>
      <x:c r="D518" s="11" t="str">
        <x:v>SA2-B</x:v>
      </x:c>
      <x:c r="E518" s="11" t="b">
        <x:f>'Uncertainty'!P10="PASS"</x:f>
        <x:v>1</x:v>
      </x:c>
      <x:c r="F518" s="29" t="b">
        <x:v>1</x:v>
      </x:c>
      <x:c r="G518" s="11" t="b">
        <x:f>'Uncertainty'!P10="PASS"</x:f>
        <x:v>1</x:v>
      </x:c>
      <x:c r="H518" s="11" t="str">
        <x:f>IF(G518=F518,"PASS","FAIL")</x:f>
        <x:v>PASS</x:v>
      </x:c>
      <x:c r="I518" s="38"/>
    </x:row>
    <x:row r="519">
      <x:c r="B519" s="11" t="str">
        <x:v>AU-0513</x:v>
      </x:c>
      <x:c r="C519" s="11" t="str">
        <x:v>source-term definition</x:v>
      </x:c>
      <x:c r="D519" s="11" t="str">
        <x:v>ST-SA3-A</x:v>
      </x:c>
      <x:c r="E519" s="11" t="b">
        <x:f>'Source Terms'!S11="PASS"</x:f>
        <x:v>1</x:v>
      </x:c>
      <x:c r="F519" s="29" t="b">
        <x:v>1</x:v>
      </x:c>
      <x:c r="G519" s="11" t="b">
        <x:f>'Source Terms'!S11="PASS"</x:f>
        <x:v>1</x:v>
      </x:c>
      <x:c r="H519" s="11" t="str">
        <x:f>IF(G519=F519,"PASS","FAIL")</x:f>
        <x:v>PASS</x:v>
      </x:c>
      <x:c r="I519" s="38"/>
    </x:row>
    <x:row r="520">
      <x:c r="B520" s="11" t="str">
        <x:v>AU-0514</x:v>
      </x:c>
      <x:c r="C520" s="11" t="str">
        <x:v>uncertainty allocation</x:v>
      </x:c>
      <x:c r="D520" s="11" t="str">
        <x:v>SA3-A</x:v>
      </x:c>
      <x:c r="E520" s="11" t="b">
        <x:f>'Uncertainty'!P11="PASS"</x:f>
        <x:v>1</x:v>
      </x:c>
      <x:c r="F520" s="29" t="b">
        <x:v>1</x:v>
      </x:c>
      <x:c r="G520" s="11" t="b">
        <x:f>'Uncertainty'!P11="PASS"</x:f>
        <x:v>1</x:v>
      </x:c>
      <x:c r="H520" s="11" t="str">
        <x:f>IF(G520=F520,"PASS","FAIL")</x:f>
        <x:v>PASS</x:v>
      </x:c>
      <x:c r="I520" s="38"/>
    </x:row>
    <x:row r="521">
      <x:c r="B521" s="11" t="str">
        <x:v>AU-0515</x:v>
      </x:c>
      <x:c r="C521" s="11" t="str">
        <x:v>source-term definition</x:v>
      </x:c>
      <x:c r="D521" s="11" t="str">
        <x:v>ST-SA3-B</x:v>
      </x:c>
      <x:c r="E521" s="11" t="b">
        <x:f>'Source Terms'!S12="PASS"</x:f>
        <x:v>1</x:v>
      </x:c>
      <x:c r="F521" s="29" t="b">
        <x:v>1</x:v>
      </x:c>
      <x:c r="G521" s="11" t="b">
        <x:f>'Source Terms'!S12="PASS"</x:f>
        <x:v>1</x:v>
      </x:c>
      <x:c r="H521" s="11" t="str">
        <x:f>IF(G521=F521,"PASS","FAIL")</x:f>
        <x:v>PASS</x:v>
      </x:c>
      <x:c r="I521" s="38"/>
    </x:row>
    <x:row r="522">
      <x:c r="B522" s="11" t="str">
        <x:v>AU-0516</x:v>
      </x:c>
      <x:c r="C522" s="11" t="str">
        <x:v>uncertainty allocation</x:v>
      </x:c>
      <x:c r="D522" s="11" t="str">
        <x:v>SA3-B</x:v>
      </x:c>
      <x:c r="E522" s="11" t="b">
        <x:f>'Uncertainty'!P12="PASS"</x:f>
        <x:v>1</x:v>
      </x:c>
      <x:c r="F522" s="29" t="b">
        <x:v>1</x:v>
      </x:c>
      <x:c r="G522" s="11" t="b">
        <x:f>'Uncertainty'!P12="PASS"</x:f>
        <x:v>1</x:v>
      </x:c>
      <x:c r="H522" s="11" t="str">
        <x:f>IF(G522=F522,"PASS","FAIL")</x:f>
        <x:v>PASS</x:v>
      </x:c>
      <x:c r="I522" s="38"/>
    </x:row>
    <x:row r="523">
      <x:c r="B523" s="11" t="str">
        <x:v>AU-0517</x:v>
      </x:c>
      <x:c r="C523" s="11" t="str">
        <x:v>source-term definition</x:v>
      </x:c>
      <x:c r="D523" s="11" t="str">
        <x:v>ST-SA4-A</x:v>
      </x:c>
      <x:c r="E523" s="11" t="b">
        <x:f>'Source Terms'!S13="PASS"</x:f>
        <x:v>1</x:v>
      </x:c>
      <x:c r="F523" s="29" t="b">
        <x:v>1</x:v>
      </x:c>
      <x:c r="G523" s="11" t="b">
        <x:f>'Source Terms'!S13="PASS"</x:f>
        <x:v>1</x:v>
      </x:c>
      <x:c r="H523" s="11" t="str">
        <x:f>IF(G523=F523,"PASS","FAIL")</x:f>
        <x:v>PASS</x:v>
      </x:c>
      <x:c r="I523" s="38"/>
    </x:row>
    <x:row r="524">
      <x:c r="B524" s="11" t="str">
        <x:v>AU-0518</x:v>
      </x:c>
      <x:c r="C524" s="11" t="str">
        <x:v>uncertainty allocation</x:v>
      </x:c>
      <x:c r="D524" s="11" t="str">
        <x:v>SA4-A</x:v>
      </x:c>
      <x:c r="E524" s="11" t="b">
        <x:f>'Uncertainty'!P13="PASS"</x:f>
        <x:v>1</x:v>
      </x:c>
      <x:c r="F524" s="29" t="b">
        <x:v>1</x:v>
      </x:c>
      <x:c r="G524" s="11" t="b">
        <x:f>'Uncertainty'!P13="PASS"</x:f>
        <x:v>1</x:v>
      </x:c>
      <x:c r="H524" s="11" t="str">
        <x:f>IF(G524=F524,"PASS","FAIL")</x:f>
        <x:v>PASS</x:v>
      </x:c>
      <x:c r="I524" s="38"/>
    </x:row>
    <x:row r="525">
      <x:c r="B525" s="11" t="str">
        <x:v>AU-0519</x:v>
      </x:c>
      <x:c r="C525" s="11" t="str">
        <x:v>source-term definition</x:v>
      </x:c>
      <x:c r="D525" s="11" t="str">
        <x:v>ST-SA4-B</x:v>
      </x:c>
      <x:c r="E525" s="11" t="b">
        <x:f>'Source Terms'!S14="PASS"</x:f>
        <x:v>1</x:v>
      </x:c>
      <x:c r="F525" s="29" t="b">
        <x:v>1</x:v>
      </x:c>
      <x:c r="G525" s="11" t="b">
        <x:f>'Source Terms'!S14="PASS"</x:f>
        <x:v>1</x:v>
      </x:c>
      <x:c r="H525" s="11" t="str">
        <x:f>IF(G525=F525,"PASS","FAIL")</x:f>
        <x:v>PASS</x:v>
      </x:c>
      <x:c r="I525" s="38"/>
    </x:row>
    <x:row r="526">
      <x:c r="B526" s="11" t="str">
        <x:v>AU-0520</x:v>
      </x:c>
      <x:c r="C526" s="11" t="str">
        <x:v>uncertainty allocation</x:v>
      </x:c>
      <x:c r="D526" s="11" t="str">
        <x:v>SA4-B</x:v>
      </x:c>
      <x:c r="E526" s="11" t="b">
        <x:f>'Uncertainty'!P14="PASS"</x:f>
        <x:v>1</x:v>
      </x:c>
      <x:c r="F526" s="29" t="b">
        <x:v>1</x:v>
      </x:c>
      <x:c r="G526" s="11" t="b">
        <x:f>'Uncertainty'!P14="PASS"</x:f>
        <x:v>1</x:v>
      </x:c>
      <x:c r="H526" s="11" t="str">
        <x:f>IF(G526=F526,"PASS","FAIL")</x:f>
        <x:v>PASS</x:v>
      </x:c>
      <x:c r="I526" s="38"/>
    </x:row>
    <x:row r="527">
      <x:c r="B527" s="11" t="str">
        <x:v>AU-0521</x:v>
      </x:c>
      <x:c r="C527" s="11" t="str">
        <x:v>source-term definition</x:v>
      </x:c>
      <x:c r="D527" s="11" t="str">
        <x:v>ST-SA5-A</x:v>
      </x:c>
      <x:c r="E527" s="11" t="b">
        <x:f>'Source Terms'!S15="PASS"</x:f>
        <x:v>1</x:v>
      </x:c>
      <x:c r="F527" s="29" t="b">
        <x:v>1</x:v>
      </x:c>
      <x:c r="G527" s="11" t="b">
        <x:f>'Source Terms'!S15="PASS"</x:f>
        <x:v>1</x:v>
      </x:c>
      <x:c r="H527" s="11" t="str">
        <x:f>IF(G527=F527,"PASS","FAIL")</x:f>
        <x:v>PASS</x:v>
      </x:c>
      <x:c r="I527" s="38"/>
    </x:row>
    <x:row r="528">
      <x:c r="B528" s="11" t="str">
        <x:v>AU-0522</x:v>
      </x:c>
      <x:c r="C528" s="11" t="str">
        <x:v>uncertainty allocation</x:v>
      </x:c>
      <x:c r="D528" s="11" t="str">
        <x:v>SA5-A</x:v>
      </x:c>
      <x:c r="E528" s="11" t="b">
        <x:f>'Uncertainty'!P15="PASS"</x:f>
        <x:v>1</x:v>
      </x:c>
      <x:c r="F528" s="29" t="b">
        <x:v>1</x:v>
      </x:c>
      <x:c r="G528" s="11" t="b">
        <x:f>'Uncertainty'!P15="PASS"</x:f>
        <x:v>1</x:v>
      </x:c>
      <x:c r="H528" s="11" t="str">
        <x:f>IF(G528=F528,"PASS","FAIL")</x:f>
        <x:v>PASS</x:v>
      </x:c>
      <x:c r="I528" s="38"/>
    </x:row>
    <x:row r="529">
      <x:c r="B529" s="11" t="str">
        <x:v>AU-0523</x:v>
      </x:c>
      <x:c r="C529" s="11" t="str">
        <x:v>source-term definition</x:v>
      </x:c>
      <x:c r="D529" s="11" t="str">
        <x:v>ST-SA5-B</x:v>
      </x:c>
      <x:c r="E529" s="11" t="b">
        <x:f>'Source Terms'!S16="PASS"</x:f>
        <x:v>1</x:v>
      </x:c>
      <x:c r="F529" s="29" t="b">
        <x:v>1</x:v>
      </x:c>
      <x:c r="G529" s="11" t="b">
        <x:f>'Source Terms'!S16="PASS"</x:f>
        <x:v>1</x:v>
      </x:c>
      <x:c r="H529" s="11" t="str">
        <x:f>IF(G529=F529,"PASS","FAIL")</x:f>
        <x:v>PASS</x:v>
      </x:c>
      <x:c r="I529" s="38"/>
    </x:row>
    <x:row r="530">
      <x:c r="B530" s="11" t="str">
        <x:v>AU-0524</x:v>
      </x:c>
      <x:c r="C530" s="11" t="str">
        <x:v>uncertainty allocation</x:v>
      </x:c>
      <x:c r="D530" s="11" t="str">
        <x:v>SA5-B</x:v>
      </x:c>
      <x:c r="E530" s="11" t="b">
        <x:f>'Uncertainty'!P16="PASS"</x:f>
        <x:v>1</x:v>
      </x:c>
      <x:c r="F530" s="29" t="b">
        <x:v>1</x:v>
      </x:c>
      <x:c r="G530" s="11" t="b">
        <x:f>'Uncertainty'!P16="PASS"</x:f>
        <x:v>1</x:v>
      </x:c>
      <x:c r="H530" s="11" t="str">
        <x:f>IF(G530=F530,"PASS","FAIL")</x:f>
        <x:v>PASS</x:v>
      </x:c>
      <x:c r="I530" s="38"/>
    </x:row>
    <x:row r="531">
      <x:c r="B531" s="11" t="str">
        <x:v>AU-0525</x:v>
      </x:c>
      <x:c r="C531" s="11" t="str">
        <x:v>source-term definition</x:v>
      </x:c>
      <x:c r="D531" s="11" t="str">
        <x:v>ST-SA6-A</x:v>
      </x:c>
      <x:c r="E531" s="11" t="b">
        <x:f>'Source Terms'!S17="PASS"</x:f>
        <x:v>1</x:v>
      </x:c>
      <x:c r="F531" s="29" t="b">
        <x:v>1</x:v>
      </x:c>
      <x:c r="G531" s="11" t="b">
        <x:f>'Source Terms'!S17="PASS"</x:f>
        <x:v>1</x:v>
      </x:c>
      <x:c r="H531" s="11" t="str">
        <x:f>IF(G531=F531,"PASS","FAIL")</x:f>
        <x:v>PASS</x:v>
      </x:c>
      <x:c r="I531" s="38"/>
    </x:row>
    <x:row r="532">
      <x:c r="B532" s="11" t="str">
        <x:v>AU-0526</x:v>
      </x:c>
      <x:c r="C532" s="11" t="str">
        <x:v>uncertainty allocation</x:v>
      </x:c>
      <x:c r="D532" s="11" t="str">
        <x:v>SA6-A</x:v>
      </x:c>
      <x:c r="E532" s="11" t="b">
        <x:f>'Uncertainty'!P17="PASS"</x:f>
        <x:v>1</x:v>
      </x:c>
      <x:c r="F532" s="29" t="b">
        <x:v>1</x:v>
      </x:c>
      <x:c r="G532" s="11" t="b">
        <x:f>'Uncertainty'!P17="PASS"</x:f>
        <x:v>1</x:v>
      </x:c>
      <x:c r="H532" s="11" t="str">
        <x:f>IF(G532=F532,"PASS","FAIL")</x:f>
        <x:v>PASS</x:v>
      </x:c>
      <x:c r="I532" s="38"/>
    </x:row>
    <x:row r="533">
      <x:c r="B533" s="11" t="str">
        <x:v>AU-0527</x:v>
      </x:c>
      <x:c r="C533" s="11" t="str">
        <x:v>source-term definition</x:v>
      </x:c>
      <x:c r="D533" s="11" t="str">
        <x:v>ST-SA6-B</x:v>
      </x:c>
      <x:c r="E533" s="11" t="b">
        <x:f>'Source Terms'!S18="PASS"</x:f>
        <x:v>1</x:v>
      </x:c>
      <x:c r="F533" s="29" t="b">
        <x:v>1</x:v>
      </x:c>
      <x:c r="G533" s="11" t="b">
        <x:f>'Source Terms'!S18="PASS"</x:f>
        <x:v>1</x:v>
      </x:c>
      <x:c r="H533" s="11" t="str">
        <x:f>IF(G533=F533,"PASS","FAIL")</x:f>
        <x:v>PASS</x:v>
      </x:c>
      <x:c r="I533" s="38"/>
    </x:row>
    <x:row r="534">
      <x:c r="B534" s="11" t="str">
        <x:v>AU-0528</x:v>
      </x:c>
      <x:c r="C534" s="11" t="str">
        <x:v>uncertainty allocation</x:v>
      </x:c>
      <x:c r="D534" s="11" t="str">
        <x:v>SA6-B</x:v>
      </x:c>
      <x:c r="E534" s="11" t="b">
        <x:f>'Uncertainty'!P18="PASS"</x:f>
        <x:v>1</x:v>
      </x:c>
      <x:c r="F534" s="29" t="b">
        <x:v>1</x:v>
      </x:c>
      <x:c r="G534" s="11" t="b">
        <x:f>'Uncertainty'!P18="PASS"</x:f>
        <x:v>1</x:v>
      </x:c>
      <x:c r="H534" s="11" t="str">
        <x:f>IF(G534=F534,"PASS","FAIL")</x:f>
        <x:v>PASS</x:v>
      </x:c>
      <x:c r="I534" s="38"/>
    </x:row>
    <x:row r="535">
      <x:c r="B535" s="11" t="str">
        <x:v>AU-0529</x:v>
      </x:c>
      <x:c r="C535" s="11" t="str">
        <x:v>event-card definition</x:v>
      </x:c>
      <x:c r="D535" s="11" t="str">
        <x:v>ET-SA1-01</x:v>
      </x:c>
      <x:c r="E535" s="11" t="b">
        <x:f>'Event Templates'!Q7="PASS"</x:f>
        <x:v>1</x:v>
      </x:c>
      <x:c r="F535" s="29" t="b">
        <x:v>1</x:v>
      </x:c>
      <x:c r="G535" s="11" t="b">
        <x:f>'Event Templates'!Q7="PASS"</x:f>
        <x:v>1</x:v>
      </x:c>
      <x:c r="H535" s="11" t="str">
        <x:f>IF(G535=F535,"PASS","FAIL")</x:f>
        <x:v>PASS</x:v>
      </x:c>
      <x:c r="I535" s="38"/>
    </x:row>
    <x:row r="536">
      <x:c r="B536" s="11" t="str">
        <x:v>AU-0530</x:v>
      </x:c>
      <x:c r="C536" s="11" t="str">
        <x:v>event-card definition</x:v>
      </x:c>
      <x:c r="D536" s="11" t="str">
        <x:v>ET-SA1-02</x:v>
      </x:c>
      <x:c r="E536" s="11" t="b">
        <x:f>'Event Templates'!Q8="PASS"</x:f>
        <x:v>1</x:v>
      </x:c>
      <x:c r="F536" s="29" t="b">
        <x:v>1</x:v>
      </x:c>
      <x:c r="G536" s="11" t="b">
        <x:f>'Event Templates'!Q8="PASS"</x:f>
        <x:v>1</x:v>
      </x:c>
      <x:c r="H536" s="11" t="str">
        <x:f>IF(G536=F536,"PASS","FAIL")</x:f>
        <x:v>PASS</x:v>
      </x:c>
      <x:c r="I536" s="38"/>
    </x:row>
    <x:row r="537">
      <x:c r="B537" s="11" t="str">
        <x:v>AU-0531</x:v>
      </x:c>
      <x:c r="C537" s="11" t="str">
        <x:v>event-card definition</x:v>
      </x:c>
      <x:c r="D537" s="11" t="str">
        <x:v>ET-SA1-03</x:v>
      </x:c>
      <x:c r="E537" s="11" t="b">
        <x:f>'Event Templates'!Q9="PASS"</x:f>
        <x:v>1</x:v>
      </x:c>
      <x:c r="F537" s="29" t="b">
        <x:v>1</x:v>
      </x:c>
      <x:c r="G537" s="11" t="b">
        <x:f>'Event Templates'!Q9="PASS"</x:f>
        <x:v>1</x:v>
      </x:c>
      <x:c r="H537" s="11" t="str">
        <x:f>IF(G537=F537,"PASS","FAIL")</x:f>
        <x:v>PASS</x:v>
      </x:c>
      <x:c r="I537" s="38"/>
    </x:row>
    <x:row r="538">
      <x:c r="B538" s="11" t="str">
        <x:v>AU-0532</x:v>
      </x:c>
      <x:c r="C538" s="11" t="str">
        <x:v>event-card definition</x:v>
      </x:c>
      <x:c r="D538" s="11" t="str">
        <x:v>ET-SA1-04</x:v>
      </x:c>
      <x:c r="E538" s="11" t="b">
        <x:f>'Event Templates'!Q10="PASS"</x:f>
        <x:v>1</x:v>
      </x:c>
      <x:c r="F538" s="29" t="b">
        <x:v>1</x:v>
      </x:c>
      <x:c r="G538" s="11" t="b">
        <x:f>'Event Templates'!Q10="PASS"</x:f>
        <x:v>1</x:v>
      </x:c>
      <x:c r="H538" s="11" t="str">
        <x:f>IF(G538=F538,"PASS","FAIL")</x:f>
        <x:v>PASS</x:v>
      </x:c>
      <x:c r="I538" s="38"/>
    </x:row>
    <x:row r="539">
      <x:c r="B539" s="11" t="str">
        <x:v>AU-0533</x:v>
      </x:c>
      <x:c r="C539" s="11" t="str">
        <x:v>event-card definition</x:v>
      </x:c>
      <x:c r="D539" s="11" t="str">
        <x:v>ET-SA1-05</x:v>
      </x:c>
      <x:c r="E539" s="11" t="b">
        <x:f>'Event Templates'!Q11="PASS"</x:f>
        <x:v>1</x:v>
      </x:c>
      <x:c r="F539" s="29" t="b">
        <x:v>1</x:v>
      </x:c>
      <x:c r="G539" s="11" t="b">
        <x:f>'Event Templates'!Q11="PASS"</x:f>
        <x:v>1</x:v>
      </x:c>
      <x:c r="H539" s="11" t="str">
        <x:f>IF(G539=F539,"PASS","FAIL")</x:f>
        <x:v>PASS</x:v>
      </x:c>
      <x:c r="I539" s="38"/>
    </x:row>
    <x:row r="540">
      <x:c r="B540" s="11" t="str">
        <x:v>AU-0534</x:v>
      </x:c>
      <x:c r="C540" s="11" t="str">
        <x:v>event-card definition</x:v>
      </x:c>
      <x:c r="D540" s="11" t="str">
        <x:v>ET-SA1-06</x:v>
      </x:c>
      <x:c r="E540" s="11" t="b">
        <x:f>'Event Templates'!Q12="PASS"</x:f>
        <x:v>1</x:v>
      </x:c>
      <x:c r="F540" s="29" t="b">
        <x:v>1</x:v>
      </x:c>
      <x:c r="G540" s="11" t="b">
        <x:f>'Event Templates'!Q12="PASS"</x:f>
        <x:v>1</x:v>
      </x:c>
      <x:c r="H540" s="11" t="str">
        <x:f>IF(G540=F540,"PASS","FAIL")</x:f>
        <x:v>PASS</x:v>
      </x:c>
      <x:c r="I540" s="38"/>
    </x:row>
    <x:row r="541">
      <x:c r="B541" s="11" t="str">
        <x:v>AU-0535</x:v>
      </x:c>
      <x:c r="C541" s="11" t="str">
        <x:v>event-card definition</x:v>
      </x:c>
      <x:c r="D541" s="11" t="str">
        <x:v>ET-SA1-07</x:v>
      </x:c>
      <x:c r="E541" s="11" t="b">
        <x:f>'Event Templates'!Q13="PASS"</x:f>
        <x:v>1</x:v>
      </x:c>
      <x:c r="F541" s="29" t="b">
        <x:v>1</x:v>
      </x:c>
      <x:c r="G541" s="11" t="b">
        <x:f>'Event Templates'!Q13="PASS"</x:f>
        <x:v>1</x:v>
      </x:c>
      <x:c r="H541" s="11" t="str">
        <x:f>IF(G541=F541,"PASS","FAIL")</x:f>
        <x:v>PASS</x:v>
      </x:c>
      <x:c r="I541" s="38"/>
    </x:row>
    <x:row r="542">
      <x:c r="B542" s="11" t="str">
        <x:v>AU-0536</x:v>
      </x:c>
      <x:c r="C542" s="11" t="str">
        <x:v>event-card definition</x:v>
      </x:c>
      <x:c r="D542" s="11" t="str">
        <x:v>ET-SA1-08</x:v>
      </x:c>
      <x:c r="E542" s="11" t="b">
        <x:f>'Event Templates'!Q14="PASS"</x:f>
        <x:v>1</x:v>
      </x:c>
      <x:c r="F542" s="29" t="b">
        <x:v>1</x:v>
      </x:c>
      <x:c r="G542" s="11" t="b">
        <x:f>'Event Templates'!Q14="PASS"</x:f>
        <x:v>1</x:v>
      </x:c>
      <x:c r="H542" s="11" t="str">
        <x:f>IF(G542=F542,"PASS","FAIL")</x:f>
        <x:v>PASS</x:v>
      </x:c>
      <x:c r="I542" s="38"/>
    </x:row>
    <x:row r="543">
      <x:c r="B543" s="11" t="str">
        <x:v>AU-0537</x:v>
      </x:c>
      <x:c r="C543" s="11" t="str">
        <x:v>event-card definition</x:v>
      </x:c>
      <x:c r="D543" s="11" t="str">
        <x:v>ET-SA1-09</x:v>
      </x:c>
      <x:c r="E543" s="11" t="b">
        <x:f>'Event Templates'!Q15="PASS"</x:f>
        <x:v>1</x:v>
      </x:c>
      <x:c r="F543" s="29" t="b">
        <x:v>1</x:v>
      </x:c>
      <x:c r="G543" s="11" t="b">
        <x:f>'Event Templates'!Q15="PASS"</x:f>
        <x:v>1</x:v>
      </x:c>
      <x:c r="H543" s="11" t="str">
        <x:f>IF(G543=F543,"PASS","FAIL")</x:f>
        <x:v>PASS</x:v>
      </x:c>
      <x:c r="I543" s="38"/>
    </x:row>
    <x:row r="544">
      <x:c r="B544" s="11" t="str">
        <x:v>AU-0538</x:v>
      </x:c>
      <x:c r="C544" s="11" t="str">
        <x:v>event-card definition</x:v>
      </x:c>
      <x:c r="D544" s="11" t="str">
        <x:v>ET-SA1-10</x:v>
      </x:c>
      <x:c r="E544" s="11" t="b">
        <x:f>'Event Templates'!Q16="PASS"</x:f>
        <x:v>1</x:v>
      </x:c>
      <x:c r="F544" s="29" t="b">
        <x:v>1</x:v>
      </x:c>
      <x:c r="G544" s="11" t="b">
        <x:f>'Event Templates'!Q16="PASS"</x:f>
        <x:v>1</x:v>
      </x:c>
      <x:c r="H544" s="11" t="str">
        <x:f>IF(G544=F544,"PASS","FAIL")</x:f>
        <x:v>PASS</x:v>
      </x:c>
      <x:c r="I544" s="38"/>
    </x:row>
    <x:row r="545">
      <x:c r="B545" s="11" t="str">
        <x:v>AU-0539</x:v>
      </x:c>
      <x:c r="C545" s="11" t="str">
        <x:v>event-card definition</x:v>
      </x:c>
      <x:c r="D545" s="11" t="str">
        <x:v>ET-SA2-01</x:v>
      </x:c>
      <x:c r="E545" s="11" t="b">
        <x:f>'Event Templates'!Q17="PASS"</x:f>
        <x:v>1</x:v>
      </x:c>
      <x:c r="F545" s="29" t="b">
        <x:v>1</x:v>
      </x:c>
      <x:c r="G545" s="11" t="b">
        <x:f>'Event Templates'!Q17="PASS"</x:f>
        <x:v>1</x:v>
      </x:c>
      <x:c r="H545" s="11" t="str">
        <x:f>IF(G545=F545,"PASS","FAIL")</x:f>
        <x:v>PASS</x:v>
      </x:c>
      <x:c r="I545" s="38"/>
    </x:row>
    <x:row r="546">
      <x:c r="B546" s="11" t="str">
        <x:v>AU-0540</x:v>
      </x:c>
      <x:c r="C546" s="11" t="str">
        <x:v>event-card definition</x:v>
      </x:c>
      <x:c r="D546" s="11" t="str">
        <x:v>ET-SA2-02</x:v>
      </x:c>
      <x:c r="E546" s="11" t="b">
        <x:f>'Event Templates'!Q18="PASS"</x:f>
        <x:v>1</x:v>
      </x:c>
      <x:c r="F546" s="29" t="b">
        <x:v>1</x:v>
      </x:c>
      <x:c r="G546" s="11" t="b">
        <x:f>'Event Templates'!Q18="PASS"</x:f>
        <x:v>1</x:v>
      </x:c>
      <x:c r="H546" s="11" t="str">
        <x:f>IF(G546=F546,"PASS","FAIL")</x:f>
        <x:v>PASS</x:v>
      </x:c>
      <x:c r="I546" s="38"/>
    </x:row>
    <x:row r="547">
      <x:c r="B547" s="11" t="str">
        <x:v>AU-0541</x:v>
      </x:c>
      <x:c r="C547" s="11" t="str">
        <x:v>event-card definition</x:v>
      </x:c>
      <x:c r="D547" s="11" t="str">
        <x:v>ET-SA2-03</x:v>
      </x:c>
      <x:c r="E547" s="11" t="b">
        <x:f>'Event Templates'!Q19="PASS"</x:f>
        <x:v>1</x:v>
      </x:c>
      <x:c r="F547" s="29" t="b">
        <x:v>1</x:v>
      </x:c>
      <x:c r="G547" s="11" t="b">
        <x:f>'Event Templates'!Q19="PASS"</x:f>
        <x:v>1</x:v>
      </x:c>
      <x:c r="H547" s="11" t="str">
        <x:f>IF(G547=F547,"PASS","FAIL")</x:f>
        <x:v>PASS</x:v>
      </x:c>
      <x:c r="I547" s="38"/>
    </x:row>
    <x:row r="548">
      <x:c r="B548" s="11" t="str">
        <x:v>AU-0542</x:v>
      </x:c>
      <x:c r="C548" s="11" t="str">
        <x:v>event-card definition</x:v>
      </x:c>
      <x:c r="D548" s="11" t="str">
        <x:v>ET-SA2-04</x:v>
      </x:c>
      <x:c r="E548" s="11" t="b">
        <x:f>'Event Templates'!Q20="PASS"</x:f>
        <x:v>1</x:v>
      </x:c>
      <x:c r="F548" s="29" t="b">
        <x:v>1</x:v>
      </x:c>
      <x:c r="G548" s="11" t="b">
        <x:f>'Event Templates'!Q20="PASS"</x:f>
        <x:v>1</x:v>
      </x:c>
      <x:c r="H548" s="11" t="str">
        <x:f>IF(G548=F548,"PASS","FAIL")</x:f>
        <x:v>PASS</x:v>
      </x:c>
      <x:c r="I548" s="38"/>
    </x:row>
    <x:row r="549">
      <x:c r="B549" s="11" t="str">
        <x:v>AU-0543</x:v>
      </x:c>
      <x:c r="C549" s="11" t="str">
        <x:v>event-card definition</x:v>
      </x:c>
      <x:c r="D549" s="11" t="str">
        <x:v>ET-SA2-05</x:v>
      </x:c>
      <x:c r="E549" s="11" t="b">
        <x:f>'Event Templates'!Q21="PASS"</x:f>
        <x:v>1</x:v>
      </x:c>
      <x:c r="F549" s="29" t="b">
        <x:v>1</x:v>
      </x:c>
      <x:c r="G549" s="11" t="b">
        <x:f>'Event Templates'!Q21="PASS"</x:f>
        <x:v>1</x:v>
      </x:c>
      <x:c r="H549" s="11" t="str">
        <x:f>IF(G549=F549,"PASS","FAIL")</x:f>
        <x:v>PASS</x:v>
      </x:c>
      <x:c r="I549" s="38"/>
    </x:row>
    <x:row r="550">
      <x:c r="B550" s="11" t="str">
        <x:v>AU-0544</x:v>
      </x:c>
      <x:c r="C550" s="11" t="str">
        <x:v>event-card definition</x:v>
      </x:c>
      <x:c r="D550" s="11" t="str">
        <x:v>ET-SA2-06</x:v>
      </x:c>
      <x:c r="E550" s="11" t="b">
        <x:f>'Event Templates'!Q22="PASS"</x:f>
        <x:v>1</x:v>
      </x:c>
      <x:c r="F550" s="29" t="b">
        <x:v>1</x:v>
      </x:c>
      <x:c r="G550" s="11" t="b">
        <x:f>'Event Templates'!Q22="PASS"</x:f>
        <x:v>1</x:v>
      </x:c>
      <x:c r="H550" s="11" t="str">
        <x:f>IF(G550=F550,"PASS","FAIL")</x:f>
        <x:v>PASS</x:v>
      </x:c>
      <x:c r="I550" s="38"/>
    </x:row>
    <x:row r="551">
      <x:c r="B551" s="11" t="str">
        <x:v>AU-0545</x:v>
      </x:c>
      <x:c r="C551" s="11" t="str">
        <x:v>event-card definition</x:v>
      </x:c>
      <x:c r="D551" s="11" t="str">
        <x:v>ET-SA2-07</x:v>
      </x:c>
      <x:c r="E551" s="11" t="b">
        <x:f>'Event Templates'!Q23="PASS"</x:f>
        <x:v>1</x:v>
      </x:c>
      <x:c r="F551" s="29" t="b">
        <x:v>1</x:v>
      </x:c>
      <x:c r="G551" s="11" t="b">
        <x:f>'Event Templates'!Q23="PASS"</x:f>
        <x:v>1</x:v>
      </x:c>
      <x:c r="H551" s="11" t="str">
        <x:f>IF(G551=F551,"PASS","FAIL")</x:f>
        <x:v>PASS</x:v>
      </x:c>
      <x:c r="I551" s="38"/>
    </x:row>
    <x:row r="552">
      <x:c r="B552" s="11" t="str">
        <x:v>AU-0546</x:v>
      </x:c>
      <x:c r="C552" s="11" t="str">
        <x:v>event-card definition</x:v>
      </x:c>
      <x:c r="D552" s="11" t="str">
        <x:v>ET-SA2-08</x:v>
      </x:c>
      <x:c r="E552" s="11" t="b">
        <x:f>'Event Templates'!Q24="PASS"</x:f>
        <x:v>1</x:v>
      </x:c>
      <x:c r="F552" s="29" t="b">
        <x:v>1</x:v>
      </x:c>
      <x:c r="G552" s="11" t="b">
        <x:f>'Event Templates'!Q24="PASS"</x:f>
        <x:v>1</x:v>
      </x:c>
      <x:c r="H552" s="11" t="str">
        <x:f>IF(G552=F552,"PASS","FAIL")</x:f>
        <x:v>PASS</x:v>
      </x:c>
      <x:c r="I552" s="38"/>
    </x:row>
    <x:row r="553">
      <x:c r="B553" s="11" t="str">
        <x:v>AU-0547</x:v>
      </x:c>
      <x:c r="C553" s="11" t="str">
        <x:v>event-card definition</x:v>
      </x:c>
      <x:c r="D553" s="11" t="str">
        <x:v>ET-SA2-09</x:v>
      </x:c>
      <x:c r="E553" s="11" t="b">
        <x:f>'Event Templates'!Q25="PASS"</x:f>
        <x:v>1</x:v>
      </x:c>
      <x:c r="F553" s="29" t="b">
        <x:v>1</x:v>
      </x:c>
      <x:c r="G553" s="11" t="b">
        <x:f>'Event Templates'!Q25="PASS"</x:f>
        <x:v>1</x:v>
      </x:c>
      <x:c r="H553" s="11" t="str">
        <x:f>IF(G553=F553,"PASS","FAIL")</x:f>
        <x:v>PASS</x:v>
      </x:c>
      <x:c r="I553" s="38"/>
    </x:row>
    <x:row r="554">
      <x:c r="B554" s="11" t="str">
        <x:v>AU-0548</x:v>
      </x:c>
      <x:c r="C554" s="11" t="str">
        <x:v>event-card definition</x:v>
      </x:c>
      <x:c r="D554" s="11" t="str">
        <x:v>ET-SA2-10</x:v>
      </x:c>
      <x:c r="E554" s="11" t="b">
        <x:f>'Event Templates'!Q26="PASS"</x:f>
        <x:v>1</x:v>
      </x:c>
      <x:c r="F554" s="29" t="b">
        <x:v>1</x:v>
      </x:c>
      <x:c r="G554" s="11" t="b">
        <x:f>'Event Templates'!Q26="PASS"</x:f>
        <x:v>1</x:v>
      </x:c>
      <x:c r="H554" s="11" t="str">
        <x:f>IF(G554=F554,"PASS","FAIL")</x:f>
        <x:v>PASS</x:v>
      </x:c>
      <x:c r="I554" s="38"/>
    </x:row>
    <x:row r="555">
      <x:c r="B555" s="11" t="str">
        <x:v>AU-0549</x:v>
      </x:c>
      <x:c r="C555" s="11" t="str">
        <x:v>event-card definition</x:v>
      </x:c>
      <x:c r="D555" s="11" t="str">
        <x:v>ET-SA3-01</x:v>
      </x:c>
      <x:c r="E555" s="11" t="b">
        <x:f>'Event Templates'!Q27="PASS"</x:f>
        <x:v>1</x:v>
      </x:c>
      <x:c r="F555" s="29" t="b">
        <x:v>1</x:v>
      </x:c>
      <x:c r="G555" s="11" t="b">
        <x:f>'Event Templates'!Q27="PASS"</x:f>
        <x:v>1</x:v>
      </x:c>
      <x:c r="H555" s="11" t="str">
        <x:f>IF(G555=F555,"PASS","FAIL")</x:f>
        <x:v>PASS</x:v>
      </x:c>
      <x:c r="I555" s="38"/>
    </x:row>
    <x:row r="556">
      <x:c r="B556" s="11" t="str">
        <x:v>AU-0550</x:v>
      </x:c>
      <x:c r="C556" s="11" t="str">
        <x:v>event-card definition</x:v>
      </x:c>
      <x:c r="D556" s="11" t="str">
        <x:v>ET-SA3-02</x:v>
      </x:c>
      <x:c r="E556" s="11" t="b">
        <x:f>'Event Templates'!Q28="PASS"</x:f>
        <x:v>1</x:v>
      </x:c>
      <x:c r="F556" s="29" t="b">
        <x:v>1</x:v>
      </x:c>
      <x:c r="G556" s="11" t="b">
        <x:f>'Event Templates'!Q28="PASS"</x:f>
        <x:v>1</x:v>
      </x:c>
      <x:c r="H556" s="11" t="str">
        <x:f>IF(G556=F556,"PASS","FAIL")</x:f>
        <x:v>PASS</x:v>
      </x:c>
      <x:c r="I556" s="38"/>
    </x:row>
    <x:row r="557">
      <x:c r="B557" s="11" t="str">
        <x:v>AU-0551</x:v>
      </x:c>
      <x:c r="C557" s="11" t="str">
        <x:v>event-card definition</x:v>
      </x:c>
      <x:c r="D557" s="11" t="str">
        <x:v>ET-SA3-03</x:v>
      </x:c>
      <x:c r="E557" s="11" t="b">
        <x:f>'Event Templates'!Q29="PASS"</x:f>
        <x:v>1</x:v>
      </x:c>
      <x:c r="F557" s="29" t="b">
        <x:v>1</x:v>
      </x:c>
      <x:c r="G557" s="11" t="b">
        <x:f>'Event Templates'!Q29="PASS"</x:f>
        <x:v>1</x:v>
      </x:c>
      <x:c r="H557" s="11" t="str">
        <x:f>IF(G557=F557,"PASS","FAIL")</x:f>
        <x:v>PASS</x:v>
      </x:c>
      <x:c r="I557" s="38"/>
    </x:row>
    <x:row r="558">
      <x:c r="B558" s="11" t="str">
        <x:v>AU-0552</x:v>
      </x:c>
      <x:c r="C558" s="11" t="str">
        <x:v>event-card definition</x:v>
      </x:c>
      <x:c r="D558" s="11" t="str">
        <x:v>ET-SA3-04</x:v>
      </x:c>
      <x:c r="E558" s="11" t="b">
        <x:f>'Event Templates'!Q30="PASS"</x:f>
        <x:v>1</x:v>
      </x:c>
      <x:c r="F558" s="29" t="b">
        <x:v>1</x:v>
      </x:c>
      <x:c r="G558" s="11" t="b">
        <x:f>'Event Templates'!Q30="PASS"</x:f>
        <x:v>1</x:v>
      </x:c>
      <x:c r="H558" s="11" t="str">
        <x:f>IF(G558=F558,"PASS","FAIL")</x:f>
        <x:v>PASS</x:v>
      </x:c>
      <x:c r="I558" s="38"/>
    </x:row>
    <x:row r="559">
      <x:c r="B559" s="11" t="str">
        <x:v>AU-0553</x:v>
      </x:c>
      <x:c r="C559" s="11" t="str">
        <x:v>event-card definition</x:v>
      </x:c>
      <x:c r="D559" s="11" t="str">
        <x:v>ET-SA3-05</x:v>
      </x:c>
      <x:c r="E559" s="11" t="b">
        <x:f>'Event Templates'!Q31="PASS"</x:f>
        <x:v>1</x:v>
      </x:c>
      <x:c r="F559" s="29" t="b">
        <x:v>1</x:v>
      </x:c>
      <x:c r="G559" s="11" t="b">
        <x:f>'Event Templates'!Q31="PASS"</x:f>
        <x:v>1</x:v>
      </x:c>
      <x:c r="H559" s="11" t="str">
        <x:f>IF(G559=F559,"PASS","FAIL")</x:f>
        <x:v>PASS</x:v>
      </x:c>
      <x:c r="I559" s="38"/>
    </x:row>
    <x:row r="560">
      <x:c r="B560" s="11" t="str">
        <x:v>AU-0554</x:v>
      </x:c>
      <x:c r="C560" s="11" t="str">
        <x:v>event-card definition</x:v>
      </x:c>
      <x:c r="D560" s="11" t="str">
        <x:v>ET-SA3-06</x:v>
      </x:c>
      <x:c r="E560" s="11" t="b">
        <x:f>'Event Templates'!Q32="PASS"</x:f>
        <x:v>1</x:v>
      </x:c>
      <x:c r="F560" s="29" t="b">
        <x:v>1</x:v>
      </x:c>
      <x:c r="G560" s="11" t="b">
        <x:f>'Event Templates'!Q32="PASS"</x:f>
        <x:v>1</x:v>
      </x:c>
      <x:c r="H560" s="11" t="str">
        <x:f>IF(G560=F560,"PASS","FAIL")</x:f>
        <x:v>PASS</x:v>
      </x:c>
      <x:c r="I560" s="38"/>
    </x:row>
    <x:row r="561">
      <x:c r="B561" s="11" t="str">
        <x:v>AU-0555</x:v>
      </x:c>
      <x:c r="C561" s="11" t="str">
        <x:v>event-card definition</x:v>
      </x:c>
      <x:c r="D561" s="11" t="str">
        <x:v>ET-SA3-07</x:v>
      </x:c>
      <x:c r="E561" s="11" t="b">
        <x:f>'Event Templates'!Q33="PASS"</x:f>
        <x:v>1</x:v>
      </x:c>
      <x:c r="F561" s="29" t="b">
        <x:v>1</x:v>
      </x:c>
      <x:c r="G561" s="11" t="b">
        <x:f>'Event Templates'!Q33="PASS"</x:f>
        <x:v>1</x:v>
      </x:c>
      <x:c r="H561" s="11" t="str">
        <x:f>IF(G561=F561,"PASS","FAIL")</x:f>
        <x:v>PASS</x:v>
      </x:c>
      <x:c r="I561" s="38"/>
    </x:row>
    <x:row r="562">
      <x:c r="B562" s="11" t="str">
        <x:v>AU-0556</x:v>
      </x:c>
      <x:c r="C562" s="11" t="str">
        <x:v>event-card definition</x:v>
      </x:c>
      <x:c r="D562" s="11" t="str">
        <x:v>ET-SA3-08</x:v>
      </x:c>
      <x:c r="E562" s="11" t="b">
        <x:f>'Event Templates'!Q34="PASS"</x:f>
        <x:v>1</x:v>
      </x:c>
      <x:c r="F562" s="29" t="b">
        <x:v>1</x:v>
      </x:c>
      <x:c r="G562" s="11" t="b">
        <x:f>'Event Templates'!Q34="PASS"</x:f>
        <x:v>1</x:v>
      </x:c>
      <x:c r="H562" s="11" t="str">
        <x:f>IF(G562=F562,"PASS","FAIL")</x:f>
        <x:v>PASS</x:v>
      </x:c>
      <x:c r="I562" s="38"/>
    </x:row>
    <x:row r="563">
      <x:c r="B563" s="11" t="str">
        <x:v>AU-0557</x:v>
      </x:c>
      <x:c r="C563" s="11" t="str">
        <x:v>event-card definition</x:v>
      </x:c>
      <x:c r="D563" s="11" t="str">
        <x:v>ET-SA3-09</x:v>
      </x:c>
      <x:c r="E563" s="11" t="b">
        <x:f>'Event Templates'!Q35="PASS"</x:f>
        <x:v>1</x:v>
      </x:c>
      <x:c r="F563" s="29" t="b">
        <x:v>1</x:v>
      </x:c>
      <x:c r="G563" s="11" t="b">
        <x:f>'Event Templates'!Q35="PASS"</x:f>
        <x:v>1</x:v>
      </x:c>
      <x:c r="H563" s="11" t="str">
        <x:f>IF(G563=F563,"PASS","FAIL")</x:f>
        <x:v>PASS</x:v>
      </x:c>
      <x:c r="I563" s="38"/>
    </x:row>
    <x:row r="564">
      <x:c r="B564" s="11" t="str">
        <x:v>AU-0558</x:v>
      </x:c>
      <x:c r="C564" s="11" t="str">
        <x:v>event-card definition</x:v>
      </x:c>
      <x:c r="D564" s="11" t="str">
        <x:v>ET-SA3-10</x:v>
      </x:c>
      <x:c r="E564" s="11" t="b">
        <x:f>'Event Templates'!Q36="PASS"</x:f>
        <x:v>1</x:v>
      </x:c>
      <x:c r="F564" s="29" t="b">
        <x:v>1</x:v>
      </x:c>
      <x:c r="G564" s="11" t="b">
        <x:f>'Event Templates'!Q36="PASS"</x:f>
        <x:v>1</x:v>
      </x:c>
      <x:c r="H564" s="11" t="str">
        <x:f>IF(G564=F564,"PASS","FAIL")</x:f>
        <x:v>PASS</x:v>
      </x:c>
      <x:c r="I564" s="38"/>
    </x:row>
    <x:row r="565">
      <x:c r="B565" s="11" t="str">
        <x:v>AU-0559</x:v>
      </x:c>
      <x:c r="C565" s="11" t="str">
        <x:v>event-card definition</x:v>
      </x:c>
      <x:c r="D565" s="11" t="str">
        <x:v>ET-SA4-01</x:v>
      </x:c>
      <x:c r="E565" s="11" t="b">
        <x:f>'Event Templates'!Q37="PASS"</x:f>
        <x:v>1</x:v>
      </x:c>
      <x:c r="F565" s="29" t="b">
        <x:v>1</x:v>
      </x:c>
      <x:c r="G565" s="11" t="b">
        <x:f>'Event Templates'!Q37="PASS"</x:f>
        <x:v>1</x:v>
      </x:c>
      <x:c r="H565" s="11" t="str">
        <x:f>IF(G565=F565,"PASS","FAIL")</x:f>
        <x:v>PASS</x:v>
      </x:c>
      <x:c r="I565" s="38"/>
    </x:row>
    <x:row r="566">
      <x:c r="B566" s="11" t="str">
        <x:v>AU-0560</x:v>
      </x:c>
      <x:c r="C566" s="11" t="str">
        <x:v>event-card definition</x:v>
      </x:c>
      <x:c r="D566" s="11" t="str">
        <x:v>ET-SA4-02</x:v>
      </x:c>
      <x:c r="E566" s="11" t="b">
        <x:f>'Event Templates'!Q38="PASS"</x:f>
        <x:v>1</x:v>
      </x:c>
      <x:c r="F566" s="29" t="b">
        <x:v>1</x:v>
      </x:c>
      <x:c r="G566" s="11" t="b">
        <x:f>'Event Templates'!Q38="PASS"</x:f>
        <x:v>1</x:v>
      </x:c>
      <x:c r="H566" s="11" t="str">
        <x:f>IF(G566=F566,"PASS","FAIL")</x:f>
        <x:v>PASS</x:v>
      </x:c>
      <x:c r="I566" s="38"/>
    </x:row>
    <x:row r="567">
      <x:c r="B567" s="11" t="str">
        <x:v>AU-0561</x:v>
      </x:c>
      <x:c r="C567" s="11" t="str">
        <x:v>event-card definition</x:v>
      </x:c>
      <x:c r="D567" s="11" t="str">
        <x:v>ET-SA4-03</x:v>
      </x:c>
      <x:c r="E567" s="11" t="b">
        <x:f>'Event Templates'!Q39="PASS"</x:f>
        <x:v>1</x:v>
      </x:c>
      <x:c r="F567" s="29" t="b">
        <x:v>1</x:v>
      </x:c>
      <x:c r="G567" s="11" t="b">
        <x:f>'Event Templates'!Q39="PASS"</x:f>
        <x:v>1</x:v>
      </x:c>
      <x:c r="H567" s="11" t="str">
        <x:f>IF(G567=F567,"PASS","FAIL")</x:f>
        <x:v>PASS</x:v>
      </x:c>
      <x:c r="I567" s="38"/>
    </x:row>
    <x:row r="568">
      <x:c r="B568" s="11" t="str">
        <x:v>AU-0562</x:v>
      </x:c>
      <x:c r="C568" s="11" t="str">
        <x:v>event-card definition</x:v>
      </x:c>
      <x:c r="D568" s="11" t="str">
        <x:v>ET-SA4-04</x:v>
      </x:c>
      <x:c r="E568" s="11" t="b">
        <x:f>'Event Templates'!Q40="PASS"</x:f>
        <x:v>1</x:v>
      </x:c>
      <x:c r="F568" s="29" t="b">
        <x:v>1</x:v>
      </x:c>
      <x:c r="G568" s="11" t="b">
        <x:f>'Event Templates'!Q40="PASS"</x:f>
        <x:v>1</x:v>
      </x:c>
      <x:c r="H568" s="11" t="str">
        <x:f>IF(G568=F568,"PASS","FAIL")</x:f>
        <x:v>PASS</x:v>
      </x:c>
      <x:c r="I568" s="38"/>
    </x:row>
    <x:row r="569">
      <x:c r="B569" s="11" t="str">
        <x:v>AU-0563</x:v>
      </x:c>
      <x:c r="C569" s="11" t="str">
        <x:v>event-card definition</x:v>
      </x:c>
      <x:c r="D569" s="11" t="str">
        <x:v>ET-SA4-05</x:v>
      </x:c>
      <x:c r="E569" s="11" t="b">
        <x:f>'Event Templates'!Q41="PASS"</x:f>
        <x:v>1</x:v>
      </x:c>
      <x:c r="F569" s="29" t="b">
        <x:v>1</x:v>
      </x:c>
      <x:c r="G569" s="11" t="b">
        <x:f>'Event Templates'!Q41="PASS"</x:f>
        <x:v>1</x:v>
      </x:c>
      <x:c r="H569" s="11" t="str">
        <x:f>IF(G569=F569,"PASS","FAIL")</x:f>
        <x:v>PASS</x:v>
      </x:c>
      <x:c r="I569" s="38"/>
    </x:row>
    <x:row r="570">
      <x:c r="B570" s="11" t="str">
        <x:v>AU-0564</x:v>
      </x:c>
      <x:c r="C570" s="11" t="str">
        <x:v>event-card definition</x:v>
      </x:c>
      <x:c r="D570" s="11" t="str">
        <x:v>ET-SA4-06</x:v>
      </x:c>
      <x:c r="E570" s="11" t="b">
        <x:f>'Event Templates'!Q42="PASS"</x:f>
        <x:v>1</x:v>
      </x:c>
      <x:c r="F570" s="29" t="b">
        <x:v>1</x:v>
      </x:c>
      <x:c r="G570" s="11" t="b">
        <x:f>'Event Templates'!Q42="PASS"</x:f>
        <x:v>1</x:v>
      </x:c>
      <x:c r="H570" s="11" t="str">
        <x:f>IF(G570=F570,"PASS","FAIL")</x:f>
        <x:v>PASS</x:v>
      </x:c>
      <x:c r="I570" s="38"/>
    </x:row>
    <x:row r="571">
      <x:c r="B571" s="11" t="str">
        <x:v>AU-0565</x:v>
      </x:c>
      <x:c r="C571" s="11" t="str">
        <x:v>event-card definition</x:v>
      </x:c>
      <x:c r="D571" s="11" t="str">
        <x:v>ET-SA4-07</x:v>
      </x:c>
      <x:c r="E571" s="11" t="b">
        <x:f>'Event Templates'!Q43="PASS"</x:f>
        <x:v>1</x:v>
      </x:c>
      <x:c r="F571" s="29" t="b">
        <x:v>1</x:v>
      </x:c>
      <x:c r="G571" s="11" t="b">
        <x:f>'Event Templates'!Q43="PASS"</x:f>
        <x:v>1</x:v>
      </x:c>
      <x:c r="H571" s="11" t="str">
        <x:f>IF(G571=F571,"PASS","FAIL")</x:f>
        <x:v>PASS</x:v>
      </x:c>
      <x:c r="I571" s="38"/>
    </x:row>
    <x:row r="572">
      <x:c r="B572" s="11" t="str">
        <x:v>AU-0566</x:v>
      </x:c>
      <x:c r="C572" s="11" t="str">
        <x:v>event-card definition</x:v>
      </x:c>
      <x:c r="D572" s="11" t="str">
        <x:v>ET-SA4-08</x:v>
      </x:c>
      <x:c r="E572" s="11" t="b">
        <x:f>'Event Templates'!Q44="PASS"</x:f>
        <x:v>1</x:v>
      </x:c>
      <x:c r="F572" s="29" t="b">
        <x:v>1</x:v>
      </x:c>
      <x:c r="G572" s="11" t="b">
        <x:f>'Event Templates'!Q44="PASS"</x:f>
        <x:v>1</x:v>
      </x:c>
      <x:c r="H572" s="11" t="str">
        <x:f>IF(G572=F572,"PASS","FAIL")</x:f>
        <x:v>PASS</x:v>
      </x:c>
      <x:c r="I572" s="38"/>
    </x:row>
    <x:row r="573">
      <x:c r="B573" s="11" t="str">
        <x:v>AU-0567</x:v>
      </x:c>
      <x:c r="C573" s="11" t="str">
        <x:v>event-card definition</x:v>
      </x:c>
      <x:c r="D573" s="11" t="str">
        <x:v>ET-SA4-09</x:v>
      </x:c>
      <x:c r="E573" s="11" t="b">
        <x:f>'Event Templates'!Q45="PASS"</x:f>
        <x:v>1</x:v>
      </x:c>
      <x:c r="F573" s="29" t="b">
        <x:v>1</x:v>
      </x:c>
      <x:c r="G573" s="11" t="b">
        <x:f>'Event Templates'!Q45="PASS"</x:f>
        <x:v>1</x:v>
      </x:c>
      <x:c r="H573" s="11" t="str">
        <x:f>IF(G573=F573,"PASS","FAIL")</x:f>
        <x:v>PASS</x:v>
      </x:c>
      <x:c r="I573" s="38"/>
    </x:row>
    <x:row r="574">
      <x:c r="B574" s="11" t="str">
        <x:v>AU-0568</x:v>
      </x:c>
      <x:c r="C574" s="11" t="str">
        <x:v>event-card definition</x:v>
      </x:c>
      <x:c r="D574" s="11" t="str">
        <x:v>ET-SA4-10</x:v>
      </x:c>
      <x:c r="E574" s="11" t="b">
        <x:f>'Event Templates'!Q46="PASS"</x:f>
        <x:v>1</x:v>
      </x:c>
      <x:c r="F574" s="29" t="b">
        <x:v>1</x:v>
      </x:c>
      <x:c r="G574" s="11" t="b">
        <x:f>'Event Templates'!Q46="PASS"</x:f>
        <x:v>1</x:v>
      </x:c>
      <x:c r="H574" s="11" t="str">
        <x:f>IF(G574=F574,"PASS","FAIL")</x:f>
        <x:v>PASS</x:v>
      </x:c>
      <x:c r="I574" s="38"/>
    </x:row>
    <x:row r="575">
      <x:c r="B575" s="11" t="str">
        <x:v>AU-0569</x:v>
      </x:c>
      <x:c r="C575" s="11" t="str">
        <x:v>event-card definition</x:v>
      </x:c>
      <x:c r="D575" s="11" t="str">
        <x:v>ET-SA5-01</x:v>
      </x:c>
      <x:c r="E575" s="11" t="b">
        <x:f>'Event Templates'!Q47="PASS"</x:f>
        <x:v>1</x:v>
      </x:c>
      <x:c r="F575" s="29" t="b">
        <x:v>1</x:v>
      </x:c>
      <x:c r="G575" s="11" t="b">
        <x:f>'Event Templates'!Q47="PASS"</x:f>
        <x:v>1</x:v>
      </x:c>
      <x:c r="H575" s="11" t="str">
        <x:f>IF(G575=F575,"PASS","FAIL")</x:f>
        <x:v>PASS</x:v>
      </x:c>
      <x:c r="I575" s="38"/>
    </x:row>
    <x:row r="576">
      <x:c r="B576" s="11" t="str">
        <x:v>AU-0570</x:v>
      </x:c>
      <x:c r="C576" s="11" t="str">
        <x:v>event-card definition</x:v>
      </x:c>
      <x:c r="D576" s="11" t="str">
        <x:v>ET-SA5-02</x:v>
      </x:c>
      <x:c r="E576" s="11" t="b">
        <x:f>'Event Templates'!Q48="PASS"</x:f>
        <x:v>1</x:v>
      </x:c>
      <x:c r="F576" s="29" t="b">
        <x:v>1</x:v>
      </x:c>
      <x:c r="G576" s="11" t="b">
        <x:f>'Event Templates'!Q48="PASS"</x:f>
        <x:v>1</x:v>
      </x:c>
      <x:c r="H576" s="11" t="str">
        <x:f>IF(G576=F576,"PASS","FAIL")</x:f>
        <x:v>PASS</x:v>
      </x:c>
      <x:c r="I576" s="38"/>
    </x:row>
    <x:row r="577">
      <x:c r="B577" s="11" t="str">
        <x:v>AU-0571</x:v>
      </x:c>
      <x:c r="C577" s="11" t="str">
        <x:v>event-card definition</x:v>
      </x:c>
      <x:c r="D577" s="11" t="str">
        <x:v>ET-SA5-03</x:v>
      </x:c>
      <x:c r="E577" s="11" t="b">
        <x:f>'Event Templates'!Q49="PASS"</x:f>
        <x:v>1</x:v>
      </x:c>
      <x:c r="F577" s="29" t="b">
        <x:v>1</x:v>
      </x:c>
      <x:c r="G577" s="11" t="b">
        <x:f>'Event Templates'!Q49="PASS"</x:f>
        <x:v>1</x:v>
      </x:c>
      <x:c r="H577" s="11" t="str">
        <x:f>IF(G577=F577,"PASS","FAIL")</x:f>
        <x:v>PASS</x:v>
      </x:c>
      <x:c r="I577" s="38"/>
    </x:row>
    <x:row r="578">
      <x:c r="B578" s="11" t="str">
        <x:v>AU-0572</x:v>
      </x:c>
      <x:c r="C578" s="11" t="str">
        <x:v>event-card definition</x:v>
      </x:c>
      <x:c r="D578" s="11" t="str">
        <x:v>ET-SA5-04</x:v>
      </x:c>
      <x:c r="E578" s="11" t="b">
        <x:f>'Event Templates'!Q50="PASS"</x:f>
        <x:v>1</x:v>
      </x:c>
      <x:c r="F578" s="29" t="b">
        <x:v>1</x:v>
      </x:c>
      <x:c r="G578" s="11" t="b">
        <x:f>'Event Templates'!Q50="PASS"</x:f>
        <x:v>1</x:v>
      </x:c>
      <x:c r="H578" s="11" t="str">
        <x:f>IF(G578=F578,"PASS","FAIL")</x:f>
        <x:v>PASS</x:v>
      </x:c>
      <x:c r="I578" s="38"/>
    </x:row>
    <x:row r="579">
      <x:c r="B579" s="11" t="str">
        <x:v>AU-0573</x:v>
      </x:c>
      <x:c r="C579" s="11" t="str">
        <x:v>event-card definition</x:v>
      </x:c>
      <x:c r="D579" s="11" t="str">
        <x:v>ET-SA5-05</x:v>
      </x:c>
      <x:c r="E579" s="11" t="b">
        <x:f>'Event Templates'!Q51="PASS"</x:f>
        <x:v>1</x:v>
      </x:c>
      <x:c r="F579" s="29" t="b">
        <x:v>1</x:v>
      </x:c>
      <x:c r="G579" s="11" t="b">
        <x:f>'Event Templates'!Q51="PASS"</x:f>
        <x:v>1</x:v>
      </x:c>
      <x:c r="H579" s="11" t="str">
        <x:f>IF(G579=F579,"PASS","FAIL")</x:f>
        <x:v>PASS</x:v>
      </x:c>
      <x:c r="I579" s="38"/>
    </x:row>
    <x:row r="580">
      <x:c r="B580" s="11" t="str">
        <x:v>AU-0574</x:v>
      </x:c>
      <x:c r="C580" s="11" t="str">
        <x:v>event-card definition</x:v>
      </x:c>
      <x:c r="D580" s="11" t="str">
        <x:v>ET-SA5-06</x:v>
      </x:c>
      <x:c r="E580" s="11" t="b">
        <x:f>'Event Templates'!Q52="PASS"</x:f>
        <x:v>1</x:v>
      </x:c>
      <x:c r="F580" s="29" t="b">
        <x:v>1</x:v>
      </x:c>
      <x:c r="G580" s="11" t="b">
        <x:f>'Event Templates'!Q52="PASS"</x:f>
        <x:v>1</x:v>
      </x:c>
      <x:c r="H580" s="11" t="str">
        <x:f>IF(G580=F580,"PASS","FAIL")</x:f>
        <x:v>PASS</x:v>
      </x:c>
      <x:c r="I580" s="38"/>
    </x:row>
    <x:row r="581">
      <x:c r="B581" s="11" t="str">
        <x:v>AU-0575</x:v>
      </x:c>
      <x:c r="C581" s="11" t="str">
        <x:v>event-card definition</x:v>
      </x:c>
      <x:c r="D581" s="11" t="str">
        <x:v>ET-SA5-07</x:v>
      </x:c>
      <x:c r="E581" s="11" t="b">
        <x:f>'Event Templates'!Q53="PASS"</x:f>
        <x:v>1</x:v>
      </x:c>
      <x:c r="F581" s="29" t="b">
        <x:v>1</x:v>
      </x:c>
      <x:c r="G581" s="11" t="b">
        <x:f>'Event Templates'!Q53="PASS"</x:f>
        <x:v>1</x:v>
      </x:c>
      <x:c r="H581" s="11" t="str">
        <x:f>IF(G581=F581,"PASS","FAIL")</x:f>
        <x:v>PASS</x:v>
      </x:c>
      <x:c r="I581" s="38"/>
    </x:row>
    <x:row r="582">
      <x:c r="B582" s="11" t="str">
        <x:v>AU-0576</x:v>
      </x:c>
      <x:c r="C582" s="11" t="str">
        <x:v>event-card definition</x:v>
      </x:c>
      <x:c r="D582" s="11" t="str">
        <x:v>ET-SA5-08</x:v>
      </x:c>
      <x:c r="E582" s="11" t="b">
        <x:f>'Event Templates'!Q54="PASS"</x:f>
        <x:v>1</x:v>
      </x:c>
      <x:c r="F582" s="29" t="b">
        <x:v>1</x:v>
      </x:c>
      <x:c r="G582" s="11" t="b">
        <x:f>'Event Templates'!Q54="PASS"</x:f>
        <x:v>1</x:v>
      </x:c>
      <x:c r="H582" s="11" t="str">
        <x:f>IF(G582=F582,"PASS","FAIL")</x:f>
        <x:v>PASS</x:v>
      </x:c>
      <x:c r="I582" s="38"/>
    </x:row>
    <x:row r="583">
      <x:c r="B583" s="11" t="str">
        <x:v>AU-0577</x:v>
      </x:c>
      <x:c r="C583" s="11" t="str">
        <x:v>event-card definition</x:v>
      </x:c>
      <x:c r="D583" s="11" t="str">
        <x:v>ET-SA5-09</x:v>
      </x:c>
      <x:c r="E583" s="11" t="b">
        <x:f>'Event Templates'!Q55="PASS"</x:f>
        <x:v>1</x:v>
      </x:c>
      <x:c r="F583" s="29" t="b">
        <x:v>1</x:v>
      </x:c>
      <x:c r="G583" s="11" t="b">
        <x:f>'Event Templates'!Q55="PASS"</x:f>
        <x:v>1</x:v>
      </x:c>
      <x:c r="H583" s="11" t="str">
        <x:f>IF(G583=F583,"PASS","FAIL")</x:f>
        <x:v>PASS</x:v>
      </x:c>
      <x:c r="I583" s="38"/>
    </x:row>
    <x:row r="584">
      <x:c r="B584" s="11" t="str">
        <x:v>AU-0578</x:v>
      </x:c>
      <x:c r="C584" s="11" t="str">
        <x:v>event-card definition</x:v>
      </x:c>
      <x:c r="D584" s="11" t="str">
        <x:v>ET-SA5-10</x:v>
      </x:c>
      <x:c r="E584" s="11" t="b">
        <x:f>'Event Templates'!Q56="PASS"</x:f>
        <x:v>1</x:v>
      </x:c>
      <x:c r="F584" s="29" t="b">
        <x:v>1</x:v>
      </x:c>
      <x:c r="G584" s="11" t="b">
        <x:f>'Event Templates'!Q56="PASS"</x:f>
        <x:v>1</x:v>
      </x:c>
      <x:c r="H584" s="11" t="str">
        <x:f>IF(G584=F584,"PASS","FAIL")</x:f>
        <x:v>PASS</x:v>
      </x:c>
      <x:c r="I584" s="38"/>
    </x:row>
    <x:row r="585">
      <x:c r="B585" s="11" t="str">
        <x:v>AU-0579</x:v>
      </x:c>
      <x:c r="C585" s="11" t="str">
        <x:v>event-card definition</x:v>
      </x:c>
      <x:c r="D585" s="11" t="str">
        <x:v>ET-SA6-01</x:v>
      </x:c>
      <x:c r="E585" s="11" t="b">
        <x:f>'Event Templates'!Q57="PASS"</x:f>
        <x:v>1</x:v>
      </x:c>
      <x:c r="F585" s="29" t="b">
        <x:v>1</x:v>
      </x:c>
      <x:c r="G585" s="11" t="b">
        <x:f>'Event Templates'!Q57="PASS"</x:f>
        <x:v>1</x:v>
      </x:c>
      <x:c r="H585" s="11" t="str">
        <x:f>IF(G585=F585,"PASS","FAIL")</x:f>
        <x:v>PASS</x:v>
      </x:c>
      <x:c r="I585" s="38"/>
    </x:row>
    <x:row r="586">
      <x:c r="B586" s="11" t="str">
        <x:v>AU-0580</x:v>
      </x:c>
      <x:c r="C586" s="11" t="str">
        <x:v>event-card definition</x:v>
      </x:c>
      <x:c r="D586" s="11" t="str">
        <x:v>ET-SA6-02</x:v>
      </x:c>
      <x:c r="E586" s="11" t="b">
        <x:f>'Event Templates'!Q58="PASS"</x:f>
        <x:v>1</x:v>
      </x:c>
      <x:c r="F586" s="29" t="b">
        <x:v>1</x:v>
      </x:c>
      <x:c r="G586" s="11" t="b">
        <x:f>'Event Templates'!Q58="PASS"</x:f>
        <x:v>1</x:v>
      </x:c>
      <x:c r="H586" s="11" t="str">
        <x:f>IF(G586=F586,"PASS","FAIL")</x:f>
        <x:v>PASS</x:v>
      </x:c>
      <x:c r="I586" s="38"/>
    </x:row>
    <x:row r="587">
      <x:c r="B587" s="11" t="str">
        <x:v>AU-0581</x:v>
      </x:c>
      <x:c r="C587" s="11" t="str">
        <x:v>event-card definition</x:v>
      </x:c>
      <x:c r="D587" s="11" t="str">
        <x:v>ET-SA6-03</x:v>
      </x:c>
      <x:c r="E587" s="11" t="b">
        <x:f>'Event Templates'!Q59="PASS"</x:f>
        <x:v>1</x:v>
      </x:c>
      <x:c r="F587" s="29" t="b">
        <x:v>1</x:v>
      </x:c>
      <x:c r="G587" s="11" t="b">
        <x:f>'Event Templates'!Q59="PASS"</x:f>
        <x:v>1</x:v>
      </x:c>
      <x:c r="H587" s="11" t="str">
        <x:f>IF(G587=F587,"PASS","FAIL")</x:f>
        <x:v>PASS</x:v>
      </x:c>
      <x:c r="I587" s="38"/>
    </x:row>
    <x:row r="588">
      <x:c r="B588" s="11" t="str">
        <x:v>AU-0582</x:v>
      </x:c>
      <x:c r="C588" s="11" t="str">
        <x:v>event-card definition</x:v>
      </x:c>
      <x:c r="D588" s="11" t="str">
        <x:v>ET-SA6-04</x:v>
      </x:c>
      <x:c r="E588" s="11" t="b">
        <x:f>'Event Templates'!Q60="PASS"</x:f>
        <x:v>1</x:v>
      </x:c>
      <x:c r="F588" s="29" t="b">
        <x:v>1</x:v>
      </x:c>
      <x:c r="G588" s="11" t="b">
        <x:f>'Event Templates'!Q60="PASS"</x:f>
        <x:v>1</x:v>
      </x:c>
      <x:c r="H588" s="11" t="str">
        <x:f>IF(G588=F588,"PASS","FAIL")</x:f>
        <x:v>PASS</x:v>
      </x:c>
      <x:c r="I588" s="38"/>
    </x:row>
    <x:row r="589">
      <x:c r="B589" s="11" t="str">
        <x:v>AU-0583</x:v>
      </x:c>
      <x:c r="C589" s="11" t="str">
        <x:v>event-card definition</x:v>
      </x:c>
      <x:c r="D589" s="11" t="str">
        <x:v>ET-SA6-05</x:v>
      </x:c>
      <x:c r="E589" s="11" t="b">
        <x:f>'Event Templates'!Q61="PASS"</x:f>
        <x:v>1</x:v>
      </x:c>
      <x:c r="F589" s="29" t="b">
        <x:v>1</x:v>
      </x:c>
      <x:c r="G589" s="11" t="b">
        <x:f>'Event Templates'!Q61="PASS"</x:f>
        <x:v>1</x:v>
      </x:c>
      <x:c r="H589" s="11" t="str">
        <x:f>IF(G589=F589,"PASS","FAIL")</x:f>
        <x:v>PASS</x:v>
      </x:c>
      <x:c r="I589" s="38"/>
    </x:row>
    <x:row r="590">
      <x:c r="B590" s="11" t="str">
        <x:v>AU-0584</x:v>
      </x:c>
      <x:c r="C590" s="11" t="str">
        <x:v>event-card definition</x:v>
      </x:c>
      <x:c r="D590" s="11" t="str">
        <x:v>ET-SA6-06</x:v>
      </x:c>
      <x:c r="E590" s="11" t="b">
        <x:f>'Event Templates'!Q62="PASS"</x:f>
        <x:v>1</x:v>
      </x:c>
      <x:c r="F590" s="29" t="b">
        <x:v>1</x:v>
      </x:c>
      <x:c r="G590" s="11" t="b">
        <x:f>'Event Templates'!Q62="PASS"</x:f>
        <x:v>1</x:v>
      </x:c>
      <x:c r="H590" s="11" t="str">
        <x:f>IF(G590=F590,"PASS","FAIL")</x:f>
        <x:v>PASS</x:v>
      </x:c>
      <x:c r="I590" s="38"/>
    </x:row>
    <x:row r="591">
      <x:c r="B591" s="11" t="str">
        <x:v>AU-0585</x:v>
      </x:c>
      <x:c r="C591" s="11" t="str">
        <x:v>event-card definition</x:v>
      </x:c>
      <x:c r="D591" s="11" t="str">
        <x:v>ET-SA6-07</x:v>
      </x:c>
      <x:c r="E591" s="11" t="b">
        <x:f>'Event Templates'!Q63="PASS"</x:f>
        <x:v>1</x:v>
      </x:c>
      <x:c r="F591" s="29" t="b">
        <x:v>1</x:v>
      </x:c>
      <x:c r="G591" s="11" t="b">
        <x:f>'Event Templates'!Q63="PASS"</x:f>
        <x:v>1</x:v>
      </x:c>
      <x:c r="H591" s="11" t="str">
        <x:f>IF(G591=F591,"PASS","FAIL")</x:f>
        <x:v>PASS</x:v>
      </x:c>
      <x:c r="I591" s="38"/>
    </x:row>
    <x:row r="592">
      <x:c r="B592" s="11" t="str">
        <x:v>AU-0586</x:v>
      </x:c>
      <x:c r="C592" s="11" t="str">
        <x:v>event-card definition</x:v>
      </x:c>
      <x:c r="D592" s="11" t="str">
        <x:v>ET-SA6-08</x:v>
      </x:c>
      <x:c r="E592" s="11" t="b">
        <x:f>'Event Templates'!Q64="PASS"</x:f>
        <x:v>1</x:v>
      </x:c>
      <x:c r="F592" s="29" t="b">
        <x:v>1</x:v>
      </x:c>
      <x:c r="G592" s="11" t="b">
        <x:f>'Event Templates'!Q64="PASS"</x:f>
        <x:v>1</x:v>
      </x:c>
      <x:c r="H592" s="11" t="str">
        <x:f>IF(G592=F592,"PASS","FAIL")</x:f>
        <x:v>PASS</x:v>
      </x:c>
      <x:c r="I592" s="38"/>
    </x:row>
    <x:row r="593">
      <x:c r="B593" s="11" t="str">
        <x:v>AU-0587</x:v>
      </x:c>
      <x:c r="C593" s="11" t="str">
        <x:v>event-card definition</x:v>
      </x:c>
      <x:c r="D593" s="11" t="str">
        <x:v>ET-SA6-09</x:v>
      </x:c>
      <x:c r="E593" s="11" t="b">
        <x:f>'Event Templates'!Q65="PASS"</x:f>
        <x:v>1</x:v>
      </x:c>
      <x:c r="F593" s="29" t="b">
        <x:v>1</x:v>
      </x:c>
      <x:c r="G593" s="11" t="b">
        <x:f>'Event Templates'!Q65="PASS"</x:f>
        <x:v>1</x:v>
      </x:c>
      <x:c r="H593" s="11" t="str">
        <x:f>IF(G593=F593,"PASS","FAIL")</x:f>
        <x:v>PASS</x:v>
      </x:c>
      <x:c r="I593" s="38"/>
    </x:row>
    <x:row r="594">
      <x:c r="B594" s="11" t="str">
        <x:v>AU-0588</x:v>
      </x:c>
      <x:c r="C594" s="11" t="str">
        <x:v>event-card definition</x:v>
      </x:c>
      <x:c r="D594" s="11" t="str">
        <x:v>ET-SA6-10</x:v>
      </x:c>
      <x:c r="E594" s="11" t="b">
        <x:f>'Event Templates'!Q66="PASS"</x:f>
        <x:v>1</x:v>
      </x:c>
      <x:c r="F594" s="29" t="b">
        <x:v>1</x:v>
      </x:c>
      <x:c r="G594" s="11" t="b">
        <x:f>'Event Templates'!Q66="PASS"</x:f>
        <x:v>1</x:v>
      </x:c>
      <x:c r="H594" s="11" t="str">
        <x:f>IF(G594=F594,"PASS","FAIL")</x:f>
        <x:v>PASS</x:v>
      </x:c>
      <x:c r="I594" s="38"/>
    </x:row>
    <x:row r="595">
      <x:c r="B595" s="11" t="str">
        <x:v>AU-0589</x:v>
      </x:c>
      <x:c r="C595" s="11" t="str">
        <x:v>mounted event definition</x:v>
      </x:c>
      <x:c r="D595" s="11" t="str">
        <x:v>P0-LN-01-01</x:v>
      </x:c>
      <x:c r="E595" s="11" t="b">
        <x:f>'Lane Events'!R7="PASS"</x:f>
        <x:v>1</x:v>
      </x:c>
      <x:c r="F595" s="29" t="b">
        <x:v>1</x:v>
      </x:c>
      <x:c r="G595" s="11" t="b">
        <x:f>'Lane Events'!R7="PASS"</x:f>
        <x:v>1</x:v>
      </x:c>
      <x:c r="H595" s="11" t="str">
        <x:f>IF(G595=F595,"PASS","FAIL")</x:f>
        <x:v>PASS</x:v>
      </x:c>
      <x:c r="I595" s="38"/>
    </x:row>
    <x:row r="596">
      <x:c r="B596" s="11" t="str">
        <x:v>AU-0590</x:v>
      </x:c>
      <x:c r="C596" s="11" t="str">
        <x:v>mounted event definition</x:v>
      </x:c>
      <x:c r="D596" s="11" t="str">
        <x:v>P0-LN-01-02</x:v>
      </x:c>
      <x:c r="E596" s="11" t="b">
        <x:f>'Lane Events'!R8="PASS"</x:f>
        <x:v>1</x:v>
      </x:c>
      <x:c r="F596" s="29" t="b">
        <x:v>1</x:v>
      </x:c>
      <x:c r="G596" s="11" t="b">
        <x:f>'Lane Events'!R8="PASS"</x:f>
        <x:v>1</x:v>
      </x:c>
      <x:c r="H596" s="11" t="str">
        <x:f>IF(G596=F596,"PASS","FAIL")</x:f>
        <x:v>PASS</x:v>
      </x:c>
      <x:c r="I596" s="38"/>
    </x:row>
    <x:row r="597">
      <x:c r="B597" s="11" t="str">
        <x:v>AU-0591</x:v>
      </x:c>
      <x:c r="C597" s="11" t="str">
        <x:v>mounted event definition</x:v>
      </x:c>
      <x:c r="D597" s="11" t="str">
        <x:v>P0-LN-01-03</x:v>
      </x:c>
      <x:c r="E597" s="11" t="b">
        <x:f>'Lane Events'!R9="PASS"</x:f>
        <x:v>1</x:v>
      </x:c>
      <x:c r="F597" s="29" t="b">
        <x:v>1</x:v>
      </x:c>
      <x:c r="G597" s="11" t="b">
        <x:f>'Lane Events'!R9="PASS"</x:f>
        <x:v>1</x:v>
      </x:c>
      <x:c r="H597" s="11" t="str">
        <x:f>IF(G597=F597,"PASS","FAIL")</x:f>
        <x:v>PASS</x:v>
      </x:c>
      <x:c r="I597" s="38"/>
    </x:row>
    <x:row r="598">
      <x:c r="B598" s="11" t="str">
        <x:v>AU-0592</x:v>
      </x:c>
      <x:c r="C598" s="11" t="str">
        <x:v>mounted event definition</x:v>
      </x:c>
      <x:c r="D598" s="11" t="str">
        <x:v>P0-LN-01-04</x:v>
      </x:c>
      <x:c r="E598" s="11" t="b">
        <x:f>'Lane Events'!R10="PASS"</x:f>
        <x:v>1</x:v>
      </x:c>
      <x:c r="F598" s="29" t="b">
        <x:v>1</x:v>
      </x:c>
      <x:c r="G598" s="11" t="b">
        <x:f>'Lane Events'!R10="PASS"</x:f>
        <x:v>1</x:v>
      </x:c>
      <x:c r="H598" s="11" t="str">
        <x:f>IF(G598=F598,"PASS","FAIL")</x:f>
        <x:v>PASS</x:v>
      </x:c>
      <x:c r="I598" s="38"/>
    </x:row>
    <x:row r="599">
      <x:c r="B599" s="11" t="str">
        <x:v>AU-0593</x:v>
      </x:c>
      <x:c r="C599" s="11" t="str">
        <x:v>mounted event definition</x:v>
      </x:c>
      <x:c r="D599" s="11" t="str">
        <x:v>P0-LN-01-05</x:v>
      </x:c>
      <x:c r="E599" s="11" t="b">
        <x:f>'Lane Events'!R11="PASS"</x:f>
        <x:v>1</x:v>
      </x:c>
      <x:c r="F599" s="29" t="b">
        <x:v>1</x:v>
      </x:c>
      <x:c r="G599" s="11" t="b">
        <x:f>'Lane Events'!R11="PASS"</x:f>
        <x:v>1</x:v>
      </x:c>
      <x:c r="H599" s="11" t="str">
        <x:f>IF(G599=F599,"PASS","FAIL")</x:f>
        <x:v>PASS</x:v>
      </x:c>
      <x:c r="I599" s="38"/>
    </x:row>
    <x:row r="600">
      <x:c r="B600" s="11" t="str">
        <x:v>AU-0594</x:v>
      </x:c>
      <x:c r="C600" s="11" t="str">
        <x:v>mounted event definition</x:v>
      </x:c>
      <x:c r="D600" s="11" t="str">
        <x:v>P0-LN-01-06</x:v>
      </x:c>
      <x:c r="E600" s="11" t="b">
        <x:f>'Lane Events'!R12="PASS"</x:f>
        <x:v>1</x:v>
      </x:c>
      <x:c r="F600" s="29" t="b">
        <x:v>1</x:v>
      </x:c>
      <x:c r="G600" s="11" t="b">
        <x:f>'Lane Events'!R12="PASS"</x:f>
        <x:v>1</x:v>
      </x:c>
      <x:c r="H600" s="11" t="str">
        <x:f>IF(G600=F600,"PASS","FAIL")</x:f>
        <x:v>PASS</x:v>
      </x:c>
      <x:c r="I600" s="38"/>
    </x:row>
    <x:row r="601">
      <x:c r="B601" s="11" t="str">
        <x:v>AU-0595</x:v>
      </x:c>
      <x:c r="C601" s="11" t="str">
        <x:v>mounted event definition</x:v>
      </x:c>
      <x:c r="D601" s="11" t="str">
        <x:v>P0-LN-01-07</x:v>
      </x:c>
      <x:c r="E601" s="11" t="b">
        <x:f>'Lane Events'!R13="PASS"</x:f>
        <x:v>1</x:v>
      </x:c>
      <x:c r="F601" s="29" t="b">
        <x:v>1</x:v>
      </x:c>
      <x:c r="G601" s="11" t="b">
        <x:f>'Lane Events'!R13="PASS"</x:f>
        <x:v>1</x:v>
      </x:c>
      <x:c r="H601" s="11" t="str">
        <x:f>IF(G601=F601,"PASS","FAIL")</x:f>
        <x:v>PASS</x:v>
      </x:c>
      <x:c r="I601" s="38"/>
    </x:row>
    <x:row r="602">
      <x:c r="B602" s="11" t="str">
        <x:v>AU-0596</x:v>
      </x:c>
      <x:c r="C602" s="11" t="str">
        <x:v>mounted event definition</x:v>
      </x:c>
      <x:c r="D602" s="11" t="str">
        <x:v>P0-LN-01-08</x:v>
      </x:c>
      <x:c r="E602" s="11" t="b">
        <x:f>'Lane Events'!R14="PASS"</x:f>
        <x:v>1</x:v>
      </x:c>
      <x:c r="F602" s="29" t="b">
        <x:v>1</x:v>
      </x:c>
      <x:c r="G602" s="11" t="b">
        <x:f>'Lane Events'!R14="PASS"</x:f>
        <x:v>1</x:v>
      </x:c>
      <x:c r="H602" s="11" t="str">
        <x:f>IF(G602=F602,"PASS","FAIL")</x:f>
        <x:v>PASS</x:v>
      </x:c>
      <x:c r="I602" s="38"/>
    </x:row>
    <x:row r="603">
      <x:c r="B603" s="11" t="str">
        <x:v>AU-0597</x:v>
      </x:c>
      <x:c r="C603" s="11" t="str">
        <x:v>mounted event definition</x:v>
      </x:c>
      <x:c r="D603" s="11" t="str">
        <x:v>P0-LN-01-09</x:v>
      </x:c>
      <x:c r="E603" s="11" t="b">
        <x:f>'Lane Events'!R15="PASS"</x:f>
        <x:v>1</x:v>
      </x:c>
      <x:c r="F603" s="29" t="b">
        <x:v>1</x:v>
      </x:c>
      <x:c r="G603" s="11" t="b">
        <x:f>'Lane Events'!R15="PASS"</x:f>
        <x:v>1</x:v>
      </x:c>
      <x:c r="H603" s="11" t="str">
        <x:f>IF(G603=F603,"PASS","FAIL")</x:f>
        <x:v>PASS</x:v>
      </x:c>
      <x:c r="I603" s="38"/>
    </x:row>
    <x:row r="604">
      <x:c r="B604" s="11" t="str">
        <x:v>AU-0598</x:v>
      </x:c>
      <x:c r="C604" s="11" t="str">
        <x:v>mounted event definition</x:v>
      </x:c>
      <x:c r="D604" s="11" t="str">
        <x:v>P0-LN-01-10</x:v>
      </x:c>
      <x:c r="E604" s="11" t="b">
        <x:f>'Lane Events'!R16="PASS"</x:f>
        <x:v>1</x:v>
      </x:c>
      <x:c r="F604" s="29" t="b">
        <x:v>1</x:v>
      </x:c>
      <x:c r="G604" s="11" t="b">
        <x:f>'Lane Events'!R16="PASS"</x:f>
        <x:v>1</x:v>
      </x:c>
      <x:c r="H604" s="11" t="str">
        <x:f>IF(G604=F604,"PASS","FAIL")</x:f>
        <x:v>PASS</x:v>
      </x:c>
      <x:c r="I604" s="38"/>
    </x:row>
    <x:row r="605">
      <x:c r="B605" s="11" t="str">
        <x:v>AU-0599</x:v>
      </x:c>
      <x:c r="C605" s="11" t="str">
        <x:v>mounted event definition</x:v>
      </x:c>
      <x:c r="D605" s="11" t="str">
        <x:v>P0-LN-02-01</x:v>
      </x:c>
      <x:c r="E605" s="11" t="b">
        <x:f>'Lane Events'!R17="PASS"</x:f>
        <x:v>1</x:v>
      </x:c>
      <x:c r="F605" s="29" t="b">
        <x:v>1</x:v>
      </x:c>
      <x:c r="G605" s="11" t="b">
        <x:f>'Lane Events'!R17="PASS"</x:f>
        <x:v>1</x:v>
      </x:c>
      <x:c r="H605" s="11" t="str">
        <x:f>IF(G605=F605,"PASS","FAIL")</x:f>
        <x:v>PASS</x:v>
      </x:c>
      <x:c r="I605" s="38"/>
    </x:row>
    <x:row r="606">
      <x:c r="B606" s="11" t="str">
        <x:v>AU-0600</x:v>
      </x:c>
      <x:c r="C606" s="11" t="str">
        <x:v>mounted event definition</x:v>
      </x:c>
      <x:c r="D606" s="11" t="str">
        <x:v>P0-LN-02-02</x:v>
      </x:c>
      <x:c r="E606" s="11" t="b">
        <x:f>'Lane Events'!R18="PASS"</x:f>
        <x:v>1</x:v>
      </x:c>
      <x:c r="F606" s="29" t="b">
        <x:v>1</x:v>
      </x:c>
      <x:c r="G606" s="11" t="b">
        <x:f>'Lane Events'!R18="PASS"</x:f>
        <x:v>1</x:v>
      </x:c>
      <x:c r="H606" s="11" t="str">
        <x:f>IF(G606=F606,"PASS","FAIL")</x:f>
        <x:v>PASS</x:v>
      </x:c>
      <x:c r="I606" s="38"/>
    </x:row>
    <x:row r="607">
      <x:c r="B607" s="11" t="str">
        <x:v>AU-0601</x:v>
      </x:c>
      <x:c r="C607" s="11" t="str">
        <x:v>mounted event definition</x:v>
      </x:c>
      <x:c r="D607" s="11" t="str">
        <x:v>P0-LN-02-03</x:v>
      </x:c>
      <x:c r="E607" s="11" t="b">
        <x:f>'Lane Events'!R19="PASS"</x:f>
        <x:v>1</x:v>
      </x:c>
      <x:c r="F607" s="29" t="b">
        <x:v>1</x:v>
      </x:c>
      <x:c r="G607" s="11" t="b">
        <x:f>'Lane Events'!R19="PASS"</x:f>
        <x:v>1</x:v>
      </x:c>
      <x:c r="H607" s="11" t="str">
        <x:f>IF(G607=F607,"PASS","FAIL")</x:f>
        <x:v>PASS</x:v>
      </x:c>
      <x:c r="I607" s="38"/>
    </x:row>
    <x:row r="608">
      <x:c r="B608" s="11" t="str">
        <x:v>AU-0602</x:v>
      </x:c>
      <x:c r="C608" s="11" t="str">
        <x:v>mounted event definition</x:v>
      </x:c>
      <x:c r="D608" s="11" t="str">
        <x:v>P0-LN-02-04</x:v>
      </x:c>
      <x:c r="E608" s="11" t="b">
        <x:f>'Lane Events'!R20="PASS"</x:f>
        <x:v>1</x:v>
      </x:c>
      <x:c r="F608" s="29" t="b">
        <x:v>1</x:v>
      </x:c>
      <x:c r="G608" s="11" t="b">
        <x:f>'Lane Events'!R20="PASS"</x:f>
        <x:v>1</x:v>
      </x:c>
      <x:c r="H608" s="11" t="str">
        <x:f>IF(G608=F608,"PASS","FAIL")</x:f>
        <x:v>PASS</x:v>
      </x:c>
      <x:c r="I608" s="38"/>
    </x:row>
    <x:row r="609">
      <x:c r="B609" s="11" t="str">
        <x:v>AU-0603</x:v>
      </x:c>
      <x:c r="C609" s="11" t="str">
        <x:v>mounted event definition</x:v>
      </x:c>
      <x:c r="D609" s="11" t="str">
        <x:v>P0-LN-02-05</x:v>
      </x:c>
      <x:c r="E609" s="11" t="b">
        <x:f>'Lane Events'!R21="PASS"</x:f>
        <x:v>1</x:v>
      </x:c>
      <x:c r="F609" s="29" t="b">
        <x:v>1</x:v>
      </x:c>
      <x:c r="G609" s="11" t="b">
        <x:f>'Lane Events'!R21="PASS"</x:f>
        <x:v>1</x:v>
      </x:c>
      <x:c r="H609" s="11" t="str">
        <x:f>IF(G609=F609,"PASS","FAIL")</x:f>
        <x:v>PASS</x:v>
      </x:c>
      <x:c r="I609" s="38"/>
    </x:row>
    <x:row r="610">
      <x:c r="B610" s="11" t="str">
        <x:v>AU-0604</x:v>
      </x:c>
      <x:c r="C610" s="11" t="str">
        <x:v>mounted event definition</x:v>
      </x:c>
      <x:c r="D610" s="11" t="str">
        <x:v>P0-LN-02-06</x:v>
      </x:c>
      <x:c r="E610" s="11" t="b">
        <x:f>'Lane Events'!R22="PASS"</x:f>
        <x:v>1</x:v>
      </x:c>
      <x:c r="F610" s="29" t="b">
        <x:v>1</x:v>
      </x:c>
      <x:c r="G610" s="11" t="b">
        <x:f>'Lane Events'!R22="PASS"</x:f>
        <x:v>1</x:v>
      </x:c>
      <x:c r="H610" s="11" t="str">
        <x:f>IF(G610=F610,"PASS","FAIL")</x:f>
        <x:v>PASS</x:v>
      </x:c>
      <x:c r="I610" s="38"/>
    </x:row>
    <x:row r="611">
      <x:c r="B611" s="11" t="str">
        <x:v>AU-0605</x:v>
      </x:c>
      <x:c r="C611" s="11" t="str">
        <x:v>mounted event definition</x:v>
      </x:c>
      <x:c r="D611" s="11" t="str">
        <x:v>P0-LN-02-07</x:v>
      </x:c>
      <x:c r="E611" s="11" t="b">
        <x:f>'Lane Events'!R23="PASS"</x:f>
        <x:v>1</x:v>
      </x:c>
      <x:c r="F611" s="29" t="b">
        <x:v>1</x:v>
      </x:c>
      <x:c r="G611" s="11" t="b">
        <x:f>'Lane Events'!R23="PASS"</x:f>
        <x:v>1</x:v>
      </x:c>
      <x:c r="H611" s="11" t="str">
        <x:f>IF(G611=F611,"PASS","FAIL")</x:f>
        <x:v>PASS</x:v>
      </x:c>
      <x:c r="I611" s="38"/>
    </x:row>
    <x:row r="612">
      <x:c r="B612" s="11" t="str">
        <x:v>AU-0606</x:v>
      </x:c>
      <x:c r="C612" s="11" t="str">
        <x:v>mounted event definition</x:v>
      </x:c>
      <x:c r="D612" s="11" t="str">
        <x:v>P0-LN-02-08</x:v>
      </x:c>
      <x:c r="E612" s="11" t="b">
        <x:f>'Lane Events'!R24="PASS"</x:f>
        <x:v>1</x:v>
      </x:c>
      <x:c r="F612" s="29" t="b">
        <x:v>1</x:v>
      </x:c>
      <x:c r="G612" s="11" t="b">
        <x:f>'Lane Events'!R24="PASS"</x:f>
        <x:v>1</x:v>
      </x:c>
      <x:c r="H612" s="11" t="str">
        <x:f>IF(G612=F612,"PASS","FAIL")</x:f>
        <x:v>PASS</x:v>
      </x:c>
      <x:c r="I612" s="38"/>
    </x:row>
    <x:row r="613">
      <x:c r="B613" s="11" t="str">
        <x:v>AU-0607</x:v>
      </x:c>
      <x:c r="C613" s="11" t="str">
        <x:v>mounted event definition</x:v>
      </x:c>
      <x:c r="D613" s="11" t="str">
        <x:v>P0-LN-02-09</x:v>
      </x:c>
      <x:c r="E613" s="11" t="b">
        <x:f>'Lane Events'!R25="PASS"</x:f>
        <x:v>1</x:v>
      </x:c>
      <x:c r="F613" s="29" t="b">
        <x:v>1</x:v>
      </x:c>
      <x:c r="G613" s="11" t="b">
        <x:f>'Lane Events'!R25="PASS"</x:f>
        <x:v>1</x:v>
      </x:c>
      <x:c r="H613" s="11" t="str">
        <x:f>IF(G613=F613,"PASS","FAIL")</x:f>
        <x:v>PASS</x:v>
      </x:c>
      <x:c r="I613" s="38"/>
    </x:row>
    <x:row r="614">
      <x:c r="B614" s="11" t="str">
        <x:v>AU-0608</x:v>
      </x:c>
      <x:c r="C614" s="11" t="str">
        <x:v>mounted event definition</x:v>
      </x:c>
      <x:c r="D614" s="11" t="str">
        <x:v>P0-LN-02-10</x:v>
      </x:c>
      <x:c r="E614" s="11" t="b">
        <x:f>'Lane Events'!R26="PASS"</x:f>
        <x:v>1</x:v>
      </x:c>
      <x:c r="F614" s="29" t="b">
        <x:v>1</x:v>
      </x:c>
      <x:c r="G614" s="11" t="b">
        <x:f>'Lane Events'!R26="PASS"</x:f>
        <x:v>1</x:v>
      </x:c>
      <x:c r="H614" s="11" t="str">
        <x:f>IF(G614=F614,"PASS","FAIL")</x:f>
        <x:v>PASS</x:v>
      </x:c>
      <x:c r="I614" s="38"/>
    </x:row>
    <x:row r="615">
      <x:c r="B615" s="11" t="str">
        <x:v>AU-0609</x:v>
      </x:c>
      <x:c r="C615" s="11" t="str">
        <x:v>mounted event definition</x:v>
      </x:c>
      <x:c r="D615" s="11" t="str">
        <x:v>P0-LN-03-01</x:v>
      </x:c>
      <x:c r="E615" s="11" t="b">
        <x:f>'Lane Events'!R27="PASS"</x:f>
        <x:v>1</x:v>
      </x:c>
      <x:c r="F615" s="29" t="b">
        <x:v>1</x:v>
      </x:c>
      <x:c r="G615" s="11" t="b">
        <x:f>'Lane Events'!R27="PASS"</x:f>
        <x:v>1</x:v>
      </x:c>
      <x:c r="H615" s="11" t="str">
        <x:f>IF(G615=F615,"PASS","FAIL")</x:f>
        <x:v>PASS</x:v>
      </x:c>
      <x:c r="I615" s="38"/>
    </x:row>
    <x:row r="616">
      <x:c r="B616" s="11" t="str">
        <x:v>AU-0610</x:v>
      </x:c>
      <x:c r="C616" s="11" t="str">
        <x:v>mounted event definition</x:v>
      </x:c>
      <x:c r="D616" s="11" t="str">
        <x:v>P0-LN-03-02</x:v>
      </x:c>
      <x:c r="E616" s="11" t="b">
        <x:f>'Lane Events'!R28="PASS"</x:f>
        <x:v>1</x:v>
      </x:c>
      <x:c r="F616" s="29" t="b">
        <x:v>1</x:v>
      </x:c>
      <x:c r="G616" s="11" t="b">
        <x:f>'Lane Events'!R28="PASS"</x:f>
        <x:v>1</x:v>
      </x:c>
      <x:c r="H616" s="11" t="str">
        <x:f>IF(G616=F616,"PASS","FAIL")</x:f>
        <x:v>PASS</x:v>
      </x:c>
      <x:c r="I616" s="38"/>
    </x:row>
    <x:row r="617">
      <x:c r="B617" s="11" t="str">
        <x:v>AU-0611</x:v>
      </x:c>
      <x:c r="C617" s="11" t="str">
        <x:v>mounted event definition</x:v>
      </x:c>
      <x:c r="D617" s="11" t="str">
        <x:v>P0-LN-03-03</x:v>
      </x:c>
      <x:c r="E617" s="11" t="b">
        <x:f>'Lane Events'!R29="PASS"</x:f>
        <x:v>1</x:v>
      </x:c>
      <x:c r="F617" s="29" t="b">
        <x:v>1</x:v>
      </x:c>
      <x:c r="G617" s="11" t="b">
        <x:f>'Lane Events'!R29="PASS"</x:f>
        <x:v>1</x:v>
      </x:c>
      <x:c r="H617" s="11" t="str">
        <x:f>IF(G617=F617,"PASS","FAIL")</x:f>
        <x:v>PASS</x:v>
      </x:c>
      <x:c r="I617" s="38"/>
    </x:row>
    <x:row r="618">
      <x:c r="B618" s="11" t="str">
        <x:v>AU-0612</x:v>
      </x:c>
      <x:c r="C618" s="11" t="str">
        <x:v>mounted event definition</x:v>
      </x:c>
      <x:c r="D618" s="11" t="str">
        <x:v>P0-LN-03-04</x:v>
      </x:c>
      <x:c r="E618" s="11" t="b">
        <x:f>'Lane Events'!R30="PASS"</x:f>
        <x:v>1</x:v>
      </x:c>
      <x:c r="F618" s="29" t="b">
        <x:v>1</x:v>
      </x:c>
      <x:c r="G618" s="11" t="b">
        <x:f>'Lane Events'!R30="PASS"</x:f>
        <x:v>1</x:v>
      </x:c>
      <x:c r="H618" s="11" t="str">
        <x:f>IF(G618=F618,"PASS","FAIL")</x:f>
        <x:v>PASS</x:v>
      </x:c>
      <x:c r="I618" s="38"/>
    </x:row>
    <x:row r="619">
      <x:c r="B619" s="11" t="str">
        <x:v>AU-0613</x:v>
      </x:c>
      <x:c r="C619" s="11" t="str">
        <x:v>mounted event definition</x:v>
      </x:c>
      <x:c r="D619" s="11" t="str">
        <x:v>P0-LN-03-05</x:v>
      </x:c>
      <x:c r="E619" s="11" t="b">
        <x:f>'Lane Events'!R31="PASS"</x:f>
        <x:v>1</x:v>
      </x:c>
      <x:c r="F619" s="29" t="b">
        <x:v>1</x:v>
      </x:c>
      <x:c r="G619" s="11" t="b">
        <x:f>'Lane Events'!R31="PASS"</x:f>
        <x:v>1</x:v>
      </x:c>
      <x:c r="H619" s="11" t="str">
        <x:f>IF(G619=F619,"PASS","FAIL")</x:f>
        <x:v>PASS</x:v>
      </x:c>
      <x:c r="I619" s="38"/>
    </x:row>
    <x:row r="620">
      <x:c r="B620" s="11" t="str">
        <x:v>AU-0614</x:v>
      </x:c>
      <x:c r="C620" s="11" t="str">
        <x:v>mounted event definition</x:v>
      </x:c>
      <x:c r="D620" s="11" t="str">
        <x:v>P0-LN-03-06</x:v>
      </x:c>
      <x:c r="E620" s="11" t="b">
        <x:f>'Lane Events'!R32="PASS"</x:f>
        <x:v>1</x:v>
      </x:c>
      <x:c r="F620" s="29" t="b">
        <x:v>1</x:v>
      </x:c>
      <x:c r="G620" s="11" t="b">
        <x:f>'Lane Events'!R32="PASS"</x:f>
        <x:v>1</x:v>
      </x:c>
      <x:c r="H620" s="11" t="str">
        <x:f>IF(G620=F620,"PASS","FAIL")</x:f>
        <x:v>PASS</x:v>
      </x:c>
      <x:c r="I620" s="38"/>
    </x:row>
    <x:row r="621">
      <x:c r="B621" s="11" t="str">
        <x:v>AU-0615</x:v>
      </x:c>
      <x:c r="C621" s="11" t="str">
        <x:v>mounted event definition</x:v>
      </x:c>
      <x:c r="D621" s="11" t="str">
        <x:v>P0-LN-03-07</x:v>
      </x:c>
      <x:c r="E621" s="11" t="b">
        <x:f>'Lane Events'!R33="PASS"</x:f>
        <x:v>1</x:v>
      </x:c>
      <x:c r="F621" s="29" t="b">
        <x:v>1</x:v>
      </x:c>
      <x:c r="G621" s="11" t="b">
        <x:f>'Lane Events'!R33="PASS"</x:f>
        <x:v>1</x:v>
      </x:c>
      <x:c r="H621" s="11" t="str">
        <x:f>IF(G621=F621,"PASS","FAIL")</x:f>
        <x:v>PASS</x:v>
      </x:c>
      <x:c r="I621" s="38"/>
    </x:row>
    <x:row r="622">
      <x:c r="B622" s="11" t="str">
        <x:v>AU-0616</x:v>
      </x:c>
      <x:c r="C622" s="11" t="str">
        <x:v>mounted event definition</x:v>
      </x:c>
      <x:c r="D622" s="11" t="str">
        <x:v>P0-LN-03-08</x:v>
      </x:c>
      <x:c r="E622" s="11" t="b">
        <x:f>'Lane Events'!R34="PASS"</x:f>
        <x:v>1</x:v>
      </x:c>
      <x:c r="F622" s="29" t="b">
        <x:v>1</x:v>
      </x:c>
      <x:c r="G622" s="11" t="b">
        <x:f>'Lane Events'!R34="PASS"</x:f>
        <x:v>1</x:v>
      </x:c>
      <x:c r="H622" s="11" t="str">
        <x:f>IF(G622=F622,"PASS","FAIL")</x:f>
        <x:v>PASS</x:v>
      </x:c>
      <x:c r="I622" s="38"/>
    </x:row>
    <x:row r="623">
      <x:c r="B623" s="11" t="str">
        <x:v>AU-0617</x:v>
      </x:c>
      <x:c r="C623" s="11" t="str">
        <x:v>mounted event definition</x:v>
      </x:c>
      <x:c r="D623" s="11" t="str">
        <x:v>P0-LN-03-09</x:v>
      </x:c>
      <x:c r="E623" s="11" t="b">
        <x:f>'Lane Events'!R35="PASS"</x:f>
        <x:v>1</x:v>
      </x:c>
      <x:c r="F623" s="29" t="b">
        <x:v>1</x:v>
      </x:c>
      <x:c r="G623" s="11" t="b">
        <x:f>'Lane Events'!R35="PASS"</x:f>
        <x:v>1</x:v>
      </x:c>
      <x:c r="H623" s="11" t="str">
        <x:f>IF(G623=F623,"PASS","FAIL")</x:f>
        <x:v>PASS</x:v>
      </x:c>
      <x:c r="I623" s="38"/>
    </x:row>
    <x:row r="624">
      <x:c r="B624" s="11" t="str">
        <x:v>AU-0618</x:v>
      </x:c>
      <x:c r="C624" s="11" t="str">
        <x:v>mounted event definition</x:v>
      </x:c>
      <x:c r="D624" s="11" t="str">
        <x:v>P0-LN-03-10</x:v>
      </x:c>
      <x:c r="E624" s="11" t="b">
        <x:f>'Lane Events'!R36="PASS"</x:f>
        <x:v>1</x:v>
      </x:c>
      <x:c r="F624" s="29" t="b">
        <x:v>1</x:v>
      </x:c>
      <x:c r="G624" s="11" t="b">
        <x:f>'Lane Events'!R36="PASS"</x:f>
        <x:v>1</x:v>
      </x:c>
      <x:c r="H624" s="11" t="str">
        <x:f>IF(G624=F624,"PASS","FAIL")</x:f>
        <x:v>PASS</x:v>
      </x:c>
      <x:c r="I624" s="38"/>
    </x:row>
    <x:row r="625">
      <x:c r="B625" s="11" t="str">
        <x:v>AU-0619</x:v>
      </x:c>
      <x:c r="C625" s="11" t="str">
        <x:v>mounted event definition</x:v>
      </x:c>
      <x:c r="D625" s="11" t="str">
        <x:v>P0-LN-04-01</x:v>
      </x:c>
      <x:c r="E625" s="11" t="b">
        <x:f>'Lane Events'!R37="PASS"</x:f>
        <x:v>1</x:v>
      </x:c>
      <x:c r="F625" s="29" t="b">
        <x:v>1</x:v>
      </x:c>
      <x:c r="G625" s="11" t="b">
        <x:f>'Lane Events'!R37="PASS"</x:f>
        <x:v>1</x:v>
      </x:c>
      <x:c r="H625" s="11" t="str">
        <x:f>IF(G625=F625,"PASS","FAIL")</x:f>
        <x:v>PASS</x:v>
      </x:c>
      <x:c r="I625" s="38"/>
    </x:row>
    <x:row r="626">
      <x:c r="B626" s="11" t="str">
        <x:v>AU-0620</x:v>
      </x:c>
      <x:c r="C626" s="11" t="str">
        <x:v>mounted event definition</x:v>
      </x:c>
      <x:c r="D626" s="11" t="str">
        <x:v>P0-LN-04-02</x:v>
      </x:c>
      <x:c r="E626" s="11" t="b">
        <x:f>'Lane Events'!R38="PASS"</x:f>
        <x:v>1</x:v>
      </x:c>
      <x:c r="F626" s="29" t="b">
        <x:v>1</x:v>
      </x:c>
      <x:c r="G626" s="11" t="b">
        <x:f>'Lane Events'!R38="PASS"</x:f>
        <x:v>1</x:v>
      </x:c>
      <x:c r="H626" s="11" t="str">
        <x:f>IF(G626=F626,"PASS","FAIL")</x:f>
        <x:v>PASS</x:v>
      </x:c>
      <x:c r="I626" s="38"/>
    </x:row>
    <x:row r="627">
      <x:c r="B627" s="11" t="str">
        <x:v>AU-0621</x:v>
      </x:c>
      <x:c r="C627" s="11" t="str">
        <x:v>mounted event definition</x:v>
      </x:c>
      <x:c r="D627" s="11" t="str">
        <x:v>P0-LN-04-03</x:v>
      </x:c>
      <x:c r="E627" s="11" t="b">
        <x:f>'Lane Events'!R39="PASS"</x:f>
        <x:v>1</x:v>
      </x:c>
      <x:c r="F627" s="29" t="b">
        <x:v>1</x:v>
      </x:c>
      <x:c r="G627" s="11" t="b">
        <x:f>'Lane Events'!R39="PASS"</x:f>
        <x:v>1</x:v>
      </x:c>
      <x:c r="H627" s="11" t="str">
        <x:f>IF(G627=F627,"PASS","FAIL")</x:f>
        <x:v>PASS</x:v>
      </x:c>
      <x:c r="I627" s="38"/>
    </x:row>
    <x:row r="628">
      <x:c r="B628" s="11" t="str">
        <x:v>AU-0622</x:v>
      </x:c>
      <x:c r="C628" s="11" t="str">
        <x:v>mounted event definition</x:v>
      </x:c>
      <x:c r="D628" s="11" t="str">
        <x:v>P0-LN-04-04</x:v>
      </x:c>
      <x:c r="E628" s="11" t="b">
        <x:f>'Lane Events'!R40="PASS"</x:f>
        <x:v>1</x:v>
      </x:c>
      <x:c r="F628" s="29" t="b">
        <x:v>1</x:v>
      </x:c>
      <x:c r="G628" s="11" t="b">
        <x:f>'Lane Events'!R40="PASS"</x:f>
        <x:v>1</x:v>
      </x:c>
      <x:c r="H628" s="11" t="str">
        <x:f>IF(G628=F628,"PASS","FAIL")</x:f>
        <x:v>PASS</x:v>
      </x:c>
      <x:c r="I628" s="38"/>
    </x:row>
    <x:row r="629">
      <x:c r="B629" s="11" t="str">
        <x:v>AU-0623</x:v>
      </x:c>
      <x:c r="C629" s="11" t="str">
        <x:v>mounted event definition</x:v>
      </x:c>
      <x:c r="D629" s="11" t="str">
        <x:v>P0-LN-04-05</x:v>
      </x:c>
      <x:c r="E629" s="11" t="b">
        <x:f>'Lane Events'!R41="PASS"</x:f>
        <x:v>1</x:v>
      </x:c>
      <x:c r="F629" s="29" t="b">
        <x:v>1</x:v>
      </x:c>
      <x:c r="G629" s="11" t="b">
        <x:f>'Lane Events'!R41="PASS"</x:f>
        <x:v>1</x:v>
      </x:c>
      <x:c r="H629" s="11" t="str">
        <x:f>IF(G629=F629,"PASS","FAIL")</x:f>
        <x:v>PASS</x:v>
      </x:c>
      <x:c r="I629" s="38"/>
    </x:row>
    <x:row r="630">
      <x:c r="B630" s="11" t="str">
        <x:v>AU-0624</x:v>
      </x:c>
      <x:c r="C630" s="11" t="str">
        <x:v>mounted event definition</x:v>
      </x:c>
      <x:c r="D630" s="11" t="str">
        <x:v>P0-LN-04-06</x:v>
      </x:c>
      <x:c r="E630" s="11" t="b">
        <x:f>'Lane Events'!R42="PASS"</x:f>
        <x:v>1</x:v>
      </x:c>
      <x:c r="F630" s="29" t="b">
        <x:v>1</x:v>
      </x:c>
      <x:c r="G630" s="11" t="b">
        <x:f>'Lane Events'!R42="PASS"</x:f>
        <x:v>1</x:v>
      </x:c>
      <x:c r="H630" s="11" t="str">
        <x:f>IF(G630=F630,"PASS","FAIL")</x:f>
        <x:v>PASS</x:v>
      </x:c>
      <x:c r="I630" s="38"/>
    </x:row>
    <x:row r="631">
      <x:c r="B631" s="11" t="str">
        <x:v>AU-0625</x:v>
      </x:c>
      <x:c r="C631" s="11" t="str">
        <x:v>mounted event definition</x:v>
      </x:c>
      <x:c r="D631" s="11" t="str">
        <x:v>P0-LN-04-07</x:v>
      </x:c>
      <x:c r="E631" s="11" t="b">
        <x:f>'Lane Events'!R43="PASS"</x:f>
        <x:v>1</x:v>
      </x:c>
      <x:c r="F631" s="29" t="b">
        <x:v>1</x:v>
      </x:c>
      <x:c r="G631" s="11" t="b">
        <x:f>'Lane Events'!R43="PASS"</x:f>
        <x:v>1</x:v>
      </x:c>
      <x:c r="H631" s="11" t="str">
        <x:f>IF(G631=F631,"PASS","FAIL")</x:f>
        <x:v>PASS</x:v>
      </x:c>
      <x:c r="I631" s="38"/>
    </x:row>
    <x:row r="632">
      <x:c r="B632" s="11" t="str">
        <x:v>AU-0626</x:v>
      </x:c>
      <x:c r="C632" s="11" t="str">
        <x:v>mounted event definition</x:v>
      </x:c>
      <x:c r="D632" s="11" t="str">
        <x:v>P0-LN-04-08</x:v>
      </x:c>
      <x:c r="E632" s="11" t="b">
        <x:f>'Lane Events'!R44="PASS"</x:f>
        <x:v>1</x:v>
      </x:c>
      <x:c r="F632" s="29" t="b">
        <x:v>1</x:v>
      </x:c>
      <x:c r="G632" s="11" t="b">
        <x:f>'Lane Events'!R44="PASS"</x:f>
        <x:v>1</x:v>
      </x:c>
      <x:c r="H632" s="11" t="str">
        <x:f>IF(G632=F632,"PASS","FAIL")</x:f>
        <x:v>PASS</x:v>
      </x:c>
      <x:c r="I632" s="38"/>
    </x:row>
    <x:row r="633">
      <x:c r="B633" s="11" t="str">
        <x:v>AU-0627</x:v>
      </x:c>
      <x:c r="C633" s="11" t="str">
        <x:v>mounted event definition</x:v>
      </x:c>
      <x:c r="D633" s="11" t="str">
        <x:v>P0-LN-04-09</x:v>
      </x:c>
      <x:c r="E633" s="11" t="b">
        <x:f>'Lane Events'!R45="PASS"</x:f>
        <x:v>1</x:v>
      </x:c>
      <x:c r="F633" s="29" t="b">
        <x:v>1</x:v>
      </x:c>
      <x:c r="G633" s="11" t="b">
        <x:f>'Lane Events'!R45="PASS"</x:f>
        <x:v>1</x:v>
      </x:c>
      <x:c r="H633" s="11" t="str">
        <x:f>IF(G633=F633,"PASS","FAIL")</x:f>
        <x:v>PASS</x:v>
      </x:c>
      <x:c r="I633" s="38"/>
    </x:row>
    <x:row r="634">
      <x:c r="B634" s="11" t="str">
        <x:v>AU-0628</x:v>
      </x:c>
      <x:c r="C634" s="11" t="str">
        <x:v>mounted event definition</x:v>
      </x:c>
      <x:c r="D634" s="11" t="str">
        <x:v>P0-LN-04-10</x:v>
      </x:c>
      <x:c r="E634" s="11" t="b">
        <x:f>'Lane Events'!R46="PASS"</x:f>
        <x:v>1</x:v>
      </x:c>
      <x:c r="F634" s="29" t="b">
        <x:v>1</x:v>
      </x:c>
      <x:c r="G634" s="11" t="b">
        <x:f>'Lane Events'!R46="PASS"</x:f>
        <x:v>1</x:v>
      </x:c>
      <x:c r="H634" s="11" t="str">
        <x:f>IF(G634=F634,"PASS","FAIL")</x:f>
        <x:v>PASS</x:v>
      </x:c>
      <x:c r="I634" s="38"/>
    </x:row>
    <x:row r="635">
      <x:c r="B635" s="11" t="str">
        <x:v>AU-0629</x:v>
      </x:c>
      <x:c r="C635" s="11" t="str">
        <x:v>mounted event definition</x:v>
      </x:c>
      <x:c r="D635" s="11" t="str">
        <x:v>P0-LN-05-01</x:v>
      </x:c>
      <x:c r="E635" s="11" t="b">
        <x:f>'Lane Events'!R47="PASS"</x:f>
        <x:v>1</x:v>
      </x:c>
      <x:c r="F635" s="29" t="b">
        <x:v>1</x:v>
      </x:c>
      <x:c r="G635" s="11" t="b">
        <x:f>'Lane Events'!R47="PASS"</x:f>
        <x:v>1</x:v>
      </x:c>
      <x:c r="H635" s="11" t="str">
        <x:f>IF(G635=F635,"PASS","FAIL")</x:f>
        <x:v>PASS</x:v>
      </x:c>
      <x:c r="I635" s="38"/>
    </x:row>
    <x:row r="636">
      <x:c r="B636" s="11" t="str">
        <x:v>AU-0630</x:v>
      </x:c>
      <x:c r="C636" s="11" t="str">
        <x:v>mounted event definition</x:v>
      </x:c>
      <x:c r="D636" s="11" t="str">
        <x:v>P0-LN-05-02</x:v>
      </x:c>
      <x:c r="E636" s="11" t="b">
        <x:f>'Lane Events'!R48="PASS"</x:f>
        <x:v>1</x:v>
      </x:c>
      <x:c r="F636" s="29" t="b">
        <x:v>1</x:v>
      </x:c>
      <x:c r="G636" s="11" t="b">
        <x:f>'Lane Events'!R48="PASS"</x:f>
        <x:v>1</x:v>
      </x:c>
      <x:c r="H636" s="11" t="str">
        <x:f>IF(G636=F636,"PASS","FAIL")</x:f>
        <x:v>PASS</x:v>
      </x:c>
      <x:c r="I636" s="38"/>
    </x:row>
    <x:row r="637">
      <x:c r="B637" s="11" t="str">
        <x:v>AU-0631</x:v>
      </x:c>
      <x:c r="C637" s="11" t="str">
        <x:v>mounted event definition</x:v>
      </x:c>
      <x:c r="D637" s="11" t="str">
        <x:v>P0-LN-05-03</x:v>
      </x:c>
      <x:c r="E637" s="11" t="b">
        <x:f>'Lane Events'!R49="PASS"</x:f>
        <x:v>1</x:v>
      </x:c>
      <x:c r="F637" s="29" t="b">
        <x:v>1</x:v>
      </x:c>
      <x:c r="G637" s="11" t="b">
        <x:f>'Lane Events'!R49="PASS"</x:f>
        <x:v>1</x:v>
      </x:c>
      <x:c r="H637" s="11" t="str">
        <x:f>IF(G637=F637,"PASS","FAIL")</x:f>
        <x:v>PASS</x:v>
      </x:c>
      <x:c r="I637" s="38"/>
    </x:row>
    <x:row r="638">
      <x:c r="B638" s="11" t="str">
        <x:v>AU-0632</x:v>
      </x:c>
      <x:c r="C638" s="11" t="str">
        <x:v>mounted event definition</x:v>
      </x:c>
      <x:c r="D638" s="11" t="str">
        <x:v>P0-LN-05-04</x:v>
      </x:c>
      <x:c r="E638" s="11" t="b">
        <x:f>'Lane Events'!R50="PASS"</x:f>
        <x:v>1</x:v>
      </x:c>
      <x:c r="F638" s="29" t="b">
        <x:v>1</x:v>
      </x:c>
      <x:c r="G638" s="11" t="b">
        <x:f>'Lane Events'!R50="PASS"</x:f>
        <x:v>1</x:v>
      </x:c>
      <x:c r="H638" s="11" t="str">
        <x:f>IF(G638=F638,"PASS","FAIL")</x:f>
        <x:v>PASS</x:v>
      </x:c>
      <x:c r="I638" s="38"/>
    </x:row>
    <x:row r="639">
      <x:c r="B639" s="11" t="str">
        <x:v>AU-0633</x:v>
      </x:c>
      <x:c r="C639" s="11" t="str">
        <x:v>mounted event definition</x:v>
      </x:c>
      <x:c r="D639" s="11" t="str">
        <x:v>P0-LN-05-05</x:v>
      </x:c>
      <x:c r="E639" s="11" t="b">
        <x:f>'Lane Events'!R51="PASS"</x:f>
        <x:v>1</x:v>
      </x:c>
      <x:c r="F639" s="29" t="b">
        <x:v>1</x:v>
      </x:c>
      <x:c r="G639" s="11" t="b">
        <x:f>'Lane Events'!R51="PASS"</x:f>
        <x:v>1</x:v>
      </x:c>
      <x:c r="H639" s="11" t="str">
        <x:f>IF(G639=F639,"PASS","FAIL")</x:f>
        <x:v>PASS</x:v>
      </x:c>
      <x:c r="I639" s="38"/>
    </x:row>
    <x:row r="640">
      <x:c r="B640" s="11" t="str">
        <x:v>AU-0634</x:v>
      </x:c>
      <x:c r="C640" s="11" t="str">
        <x:v>mounted event definition</x:v>
      </x:c>
      <x:c r="D640" s="11" t="str">
        <x:v>P0-LN-05-06</x:v>
      </x:c>
      <x:c r="E640" s="11" t="b">
        <x:f>'Lane Events'!R52="PASS"</x:f>
        <x:v>1</x:v>
      </x:c>
      <x:c r="F640" s="29" t="b">
        <x:v>1</x:v>
      </x:c>
      <x:c r="G640" s="11" t="b">
        <x:f>'Lane Events'!R52="PASS"</x:f>
        <x:v>1</x:v>
      </x:c>
      <x:c r="H640" s="11" t="str">
        <x:f>IF(G640=F640,"PASS","FAIL")</x:f>
        <x:v>PASS</x:v>
      </x:c>
      <x:c r="I640" s="38"/>
    </x:row>
    <x:row r="641">
      <x:c r="B641" s="11" t="str">
        <x:v>AU-0635</x:v>
      </x:c>
      <x:c r="C641" s="11" t="str">
        <x:v>mounted event definition</x:v>
      </x:c>
      <x:c r="D641" s="11" t="str">
        <x:v>P0-LN-05-07</x:v>
      </x:c>
      <x:c r="E641" s="11" t="b">
        <x:f>'Lane Events'!R53="PASS"</x:f>
        <x:v>1</x:v>
      </x:c>
      <x:c r="F641" s="29" t="b">
        <x:v>1</x:v>
      </x:c>
      <x:c r="G641" s="11" t="b">
        <x:f>'Lane Events'!R53="PASS"</x:f>
        <x:v>1</x:v>
      </x:c>
      <x:c r="H641" s="11" t="str">
        <x:f>IF(G641=F641,"PASS","FAIL")</x:f>
        <x:v>PASS</x:v>
      </x:c>
      <x:c r="I641" s="38"/>
    </x:row>
    <x:row r="642">
      <x:c r="B642" s="11" t="str">
        <x:v>AU-0636</x:v>
      </x:c>
      <x:c r="C642" s="11" t="str">
        <x:v>mounted event definition</x:v>
      </x:c>
      <x:c r="D642" s="11" t="str">
        <x:v>P0-LN-05-08</x:v>
      </x:c>
      <x:c r="E642" s="11" t="b">
        <x:f>'Lane Events'!R54="PASS"</x:f>
        <x:v>1</x:v>
      </x:c>
      <x:c r="F642" s="29" t="b">
        <x:v>1</x:v>
      </x:c>
      <x:c r="G642" s="11" t="b">
        <x:f>'Lane Events'!R54="PASS"</x:f>
        <x:v>1</x:v>
      </x:c>
      <x:c r="H642" s="11" t="str">
        <x:f>IF(G642=F642,"PASS","FAIL")</x:f>
        <x:v>PASS</x:v>
      </x:c>
      <x:c r="I642" s="38"/>
    </x:row>
    <x:row r="643">
      <x:c r="B643" s="11" t="str">
        <x:v>AU-0637</x:v>
      </x:c>
      <x:c r="C643" s="11" t="str">
        <x:v>mounted event definition</x:v>
      </x:c>
      <x:c r="D643" s="11" t="str">
        <x:v>P0-LN-05-09</x:v>
      </x:c>
      <x:c r="E643" s="11" t="b">
        <x:f>'Lane Events'!R55="PASS"</x:f>
        <x:v>1</x:v>
      </x:c>
      <x:c r="F643" s="29" t="b">
        <x:v>1</x:v>
      </x:c>
      <x:c r="G643" s="11" t="b">
        <x:f>'Lane Events'!R55="PASS"</x:f>
        <x:v>1</x:v>
      </x:c>
      <x:c r="H643" s="11" t="str">
        <x:f>IF(G643=F643,"PASS","FAIL")</x:f>
        <x:v>PASS</x:v>
      </x:c>
      <x:c r="I643" s="38"/>
    </x:row>
    <x:row r="644">
      <x:c r="B644" s="11" t="str">
        <x:v>AU-0638</x:v>
      </x:c>
      <x:c r="C644" s="11" t="str">
        <x:v>mounted event definition</x:v>
      </x:c>
      <x:c r="D644" s="11" t="str">
        <x:v>P0-LN-05-10</x:v>
      </x:c>
      <x:c r="E644" s="11" t="b">
        <x:f>'Lane Events'!R56="PASS"</x:f>
        <x:v>1</x:v>
      </x:c>
      <x:c r="F644" s="29" t="b">
        <x:v>1</x:v>
      </x:c>
      <x:c r="G644" s="11" t="b">
        <x:f>'Lane Events'!R56="PASS"</x:f>
        <x:v>1</x:v>
      </x:c>
      <x:c r="H644" s="11" t="str">
        <x:f>IF(G644=F644,"PASS","FAIL")</x:f>
        <x:v>PASS</x:v>
      </x:c>
      <x:c r="I644" s="38"/>
    </x:row>
    <x:row r="645">
      <x:c r="B645" s="11" t="str">
        <x:v>AU-0639</x:v>
      </x:c>
      <x:c r="C645" s="11" t="str">
        <x:v>mounted event definition</x:v>
      </x:c>
      <x:c r="D645" s="11" t="str">
        <x:v>P0-LN-06-01</x:v>
      </x:c>
      <x:c r="E645" s="11" t="b">
        <x:f>'Lane Events'!R57="PASS"</x:f>
        <x:v>1</x:v>
      </x:c>
      <x:c r="F645" s="29" t="b">
        <x:v>1</x:v>
      </x:c>
      <x:c r="G645" s="11" t="b">
        <x:f>'Lane Events'!R57="PASS"</x:f>
        <x:v>1</x:v>
      </x:c>
      <x:c r="H645" s="11" t="str">
        <x:f>IF(G645=F645,"PASS","FAIL")</x:f>
        <x:v>PASS</x:v>
      </x:c>
      <x:c r="I645" s="38"/>
    </x:row>
    <x:row r="646">
      <x:c r="B646" s="11" t="str">
        <x:v>AU-0640</x:v>
      </x:c>
      <x:c r="C646" s="11" t="str">
        <x:v>mounted event definition</x:v>
      </x:c>
      <x:c r="D646" s="11" t="str">
        <x:v>P0-LN-06-02</x:v>
      </x:c>
      <x:c r="E646" s="11" t="b">
        <x:f>'Lane Events'!R58="PASS"</x:f>
        <x:v>1</x:v>
      </x:c>
      <x:c r="F646" s="29" t="b">
        <x:v>1</x:v>
      </x:c>
      <x:c r="G646" s="11" t="b">
        <x:f>'Lane Events'!R58="PASS"</x:f>
        <x:v>1</x:v>
      </x:c>
      <x:c r="H646" s="11" t="str">
        <x:f>IF(G646=F646,"PASS","FAIL")</x:f>
        <x:v>PASS</x:v>
      </x:c>
      <x:c r="I646" s="38"/>
    </x:row>
    <x:row r="647">
      <x:c r="B647" s="11" t="str">
        <x:v>AU-0641</x:v>
      </x:c>
      <x:c r="C647" s="11" t="str">
        <x:v>mounted event definition</x:v>
      </x:c>
      <x:c r="D647" s="11" t="str">
        <x:v>P0-LN-06-03</x:v>
      </x:c>
      <x:c r="E647" s="11" t="b">
        <x:f>'Lane Events'!R59="PASS"</x:f>
        <x:v>1</x:v>
      </x:c>
      <x:c r="F647" s="29" t="b">
        <x:v>1</x:v>
      </x:c>
      <x:c r="G647" s="11" t="b">
        <x:f>'Lane Events'!R59="PASS"</x:f>
        <x:v>1</x:v>
      </x:c>
      <x:c r="H647" s="11" t="str">
        <x:f>IF(G647=F647,"PASS","FAIL")</x:f>
        <x:v>PASS</x:v>
      </x:c>
      <x:c r="I647" s="38"/>
    </x:row>
    <x:row r="648">
      <x:c r="B648" s="11" t="str">
        <x:v>AU-0642</x:v>
      </x:c>
      <x:c r="C648" s="11" t="str">
        <x:v>mounted event definition</x:v>
      </x:c>
      <x:c r="D648" s="11" t="str">
        <x:v>P0-LN-06-04</x:v>
      </x:c>
      <x:c r="E648" s="11" t="b">
        <x:f>'Lane Events'!R60="PASS"</x:f>
        <x:v>1</x:v>
      </x:c>
      <x:c r="F648" s="29" t="b">
        <x:v>1</x:v>
      </x:c>
      <x:c r="G648" s="11" t="b">
        <x:f>'Lane Events'!R60="PASS"</x:f>
        <x:v>1</x:v>
      </x:c>
      <x:c r="H648" s="11" t="str">
        <x:f>IF(G648=F648,"PASS","FAIL")</x:f>
        <x:v>PASS</x:v>
      </x:c>
      <x:c r="I648" s="38"/>
    </x:row>
    <x:row r="649">
      <x:c r="B649" s="11" t="str">
        <x:v>AU-0643</x:v>
      </x:c>
      <x:c r="C649" s="11" t="str">
        <x:v>mounted event definition</x:v>
      </x:c>
      <x:c r="D649" s="11" t="str">
        <x:v>P0-LN-06-05</x:v>
      </x:c>
      <x:c r="E649" s="11" t="b">
        <x:f>'Lane Events'!R61="PASS"</x:f>
        <x:v>1</x:v>
      </x:c>
      <x:c r="F649" s="29" t="b">
        <x:v>1</x:v>
      </x:c>
      <x:c r="G649" s="11" t="b">
        <x:f>'Lane Events'!R61="PASS"</x:f>
        <x:v>1</x:v>
      </x:c>
      <x:c r="H649" s="11" t="str">
        <x:f>IF(G649=F649,"PASS","FAIL")</x:f>
        <x:v>PASS</x:v>
      </x:c>
      <x:c r="I649" s="38"/>
    </x:row>
    <x:row r="650">
      <x:c r="B650" s="11" t="str">
        <x:v>AU-0644</x:v>
      </x:c>
      <x:c r="C650" s="11" t="str">
        <x:v>mounted event definition</x:v>
      </x:c>
      <x:c r="D650" s="11" t="str">
        <x:v>P0-LN-06-06</x:v>
      </x:c>
      <x:c r="E650" s="11" t="b">
        <x:f>'Lane Events'!R62="PASS"</x:f>
        <x:v>1</x:v>
      </x:c>
      <x:c r="F650" s="29" t="b">
        <x:v>1</x:v>
      </x:c>
      <x:c r="G650" s="11" t="b">
        <x:f>'Lane Events'!R62="PASS"</x:f>
        <x:v>1</x:v>
      </x:c>
      <x:c r="H650" s="11" t="str">
        <x:f>IF(G650=F650,"PASS","FAIL")</x:f>
        <x:v>PASS</x:v>
      </x:c>
      <x:c r="I650" s="38"/>
    </x:row>
    <x:row r="651">
      <x:c r="B651" s="11" t="str">
        <x:v>AU-0645</x:v>
      </x:c>
      <x:c r="C651" s="11" t="str">
        <x:v>mounted event definition</x:v>
      </x:c>
      <x:c r="D651" s="11" t="str">
        <x:v>P0-LN-06-07</x:v>
      </x:c>
      <x:c r="E651" s="11" t="b">
        <x:f>'Lane Events'!R63="PASS"</x:f>
        <x:v>1</x:v>
      </x:c>
      <x:c r="F651" s="29" t="b">
        <x:v>1</x:v>
      </x:c>
      <x:c r="G651" s="11" t="b">
        <x:f>'Lane Events'!R63="PASS"</x:f>
        <x:v>1</x:v>
      </x:c>
      <x:c r="H651" s="11" t="str">
        <x:f>IF(G651=F651,"PASS","FAIL")</x:f>
        <x:v>PASS</x:v>
      </x:c>
      <x:c r="I651" s="38"/>
    </x:row>
    <x:row r="652">
      <x:c r="B652" s="11" t="str">
        <x:v>AU-0646</x:v>
      </x:c>
      <x:c r="C652" s="11" t="str">
        <x:v>mounted event definition</x:v>
      </x:c>
      <x:c r="D652" s="11" t="str">
        <x:v>P0-LN-06-08</x:v>
      </x:c>
      <x:c r="E652" s="11" t="b">
        <x:f>'Lane Events'!R64="PASS"</x:f>
        <x:v>1</x:v>
      </x:c>
      <x:c r="F652" s="29" t="b">
        <x:v>1</x:v>
      </x:c>
      <x:c r="G652" s="11" t="b">
        <x:f>'Lane Events'!R64="PASS"</x:f>
        <x:v>1</x:v>
      </x:c>
      <x:c r="H652" s="11" t="str">
        <x:f>IF(G652=F652,"PASS","FAIL")</x:f>
        <x:v>PASS</x:v>
      </x:c>
      <x:c r="I652" s="38"/>
    </x:row>
    <x:row r="653">
      <x:c r="B653" s="11" t="str">
        <x:v>AU-0647</x:v>
      </x:c>
      <x:c r="C653" s="11" t="str">
        <x:v>mounted event definition</x:v>
      </x:c>
      <x:c r="D653" s="11" t="str">
        <x:v>P0-LN-06-09</x:v>
      </x:c>
      <x:c r="E653" s="11" t="b">
        <x:f>'Lane Events'!R65="PASS"</x:f>
        <x:v>1</x:v>
      </x:c>
      <x:c r="F653" s="29" t="b">
        <x:v>1</x:v>
      </x:c>
      <x:c r="G653" s="11" t="b">
        <x:f>'Lane Events'!R65="PASS"</x:f>
        <x:v>1</x:v>
      </x:c>
      <x:c r="H653" s="11" t="str">
        <x:f>IF(G653=F653,"PASS","FAIL")</x:f>
        <x:v>PASS</x:v>
      </x:c>
      <x:c r="I653" s="38"/>
    </x:row>
    <x:row r="654">
      <x:c r="B654" s="11" t="str">
        <x:v>AU-0648</x:v>
      </x:c>
      <x:c r="C654" s="11" t="str">
        <x:v>mounted event definition</x:v>
      </x:c>
      <x:c r="D654" s="11" t="str">
        <x:v>P0-LN-06-10</x:v>
      </x:c>
      <x:c r="E654" s="11" t="b">
        <x:f>'Lane Events'!R66="PASS"</x:f>
        <x:v>1</x:v>
      </x:c>
      <x:c r="F654" s="29" t="b">
        <x:v>1</x:v>
      </x:c>
      <x:c r="G654" s="11" t="b">
        <x:f>'Lane Events'!R66="PASS"</x:f>
        <x:v>1</x:v>
      </x:c>
      <x:c r="H654" s="11" t="str">
        <x:f>IF(G654=F654,"PASS","FAIL")</x:f>
        <x:v>PASS</x:v>
      </x:c>
      <x:c r="I654" s="38"/>
    </x:row>
    <x:row r="655">
      <x:c r="B655" s="11" t="str">
        <x:v>AU-0649</x:v>
      </x:c>
      <x:c r="C655" s="11" t="str">
        <x:v>mounted event definition</x:v>
      </x:c>
      <x:c r="D655" s="11" t="str">
        <x:v>P0-LN-07-01</x:v>
      </x:c>
      <x:c r="E655" s="11" t="b">
        <x:f>'Lane Events'!R67="PASS"</x:f>
        <x:v>1</x:v>
      </x:c>
      <x:c r="F655" s="29" t="b">
        <x:v>1</x:v>
      </x:c>
      <x:c r="G655" s="11" t="b">
        <x:f>'Lane Events'!R67="PASS"</x:f>
        <x:v>1</x:v>
      </x:c>
      <x:c r="H655" s="11" t="str">
        <x:f>IF(G655=F655,"PASS","FAIL")</x:f>
        <x:v>PASS</x:v>
      </x:c>
      <x:c r="I655" s="38"/>
    </x:row>
    <x:row r="656">
      <x:c r="B656" s="11" t="str">
        <x:v>AU-0650</x:v>
      </x:c>
      <x:c r="C656" s="11" t="str">
        <x:v>mounted event definition</x:v>
      </x:c>
      <x:c r="D656" s="11" t="str">
        <x:v>P0-LN-07-02</x:v>
      </x:c>
      <x:c r="E656" s="11" t="b">
        <x:f>'Lane Events'!R68="PASS"</x:f>
        <x:v>1</x:v>
      </x:c>
      <x:c r="F656" s="29" t="b">
        <x:v>1</x:v>
      </x:c>
      <x:c r="G656" s="11" t="b">
        <x:f>'Lane Events'!R68="PASS"</x:f>
        <x:v>1</x:v>
      </x:c>
      <x:c r="H656" s="11" t="str">
        <x:f>IF(G656=F656,"PASS","FAIL")</x:f>
        <x:v>PASS</x:v>
      </x:c>
      <x:c r="I656" s="38"/>
    </x:row>
    <x:row r="657">
      <x:c r="B657" s="11" t="str">
        <x:v>AU-0651</x:v>
      </x:c>
      <x:c r="C657" s="11" t="str">
        <x:v>mounted event definition</x:v>
      </x:c>
      <x:c r="D657" s="11" t="str">
        <x:v>P0-LN-07-03</x:v>
      </x:c>
      <x:c r="E657" s="11" t="b">
        <x:f>'Lane Events'!R69="PASS"</x:f>
        <x:v>1</x:v>
      </x:c>
      <x:c r="F657" s="29" t="b">
        <x:v>1</x:v>
      </x:c>
      <x:c r="G657" s="11" t="b">
        <x:f>'Lane Events'!R69="PASS"</x:f>
        <x:v>1</x:v>
      </x:c>
      <x:c r="H657" s="11" t="str">
        <x:f>IF(G657=F657,"PASS","FAIL")</x:f>
        <x:v>PASS</x:v>
      </x:c>
      <x:c r="I657" s="38"/>
    </x:row>
    <x:row r="658">
      <x:c r="B658" s="11" t="str">
        <x:v>AU-0652</x:v>
      </x:c>
      <x:c r="C658" s="11" t="str">
        <x:v>mounted event definition</x:v>
      </x:c>
      <x:c r="D658" s="11" t="str">
        <x:v>P0-LN-07-04</x:v>
      </x:c>
      <x:c r="E658" s="11" t="b">
        <x:f>'Lane Events'!R70="PASS"</x:f>
        <x:v>1</x:v>
      </x:c>
      <x:c r="F658" s="29" t="b">
        <x:v>1</x:v>
      </x:c>
      <x:c r="G658" s="11" t="b">
        <x:f>'Lane Events'!R70="PASS"</x:f>
        <x:v>1</x:v>
      </x:c>
      <x:c r="H658" s="11" t="str">
        <x:f>IF(G658=F658,"PASS","FAIL")</x:f>
        <x:v>PASS</x:v>
      </x:c>
      <x:c r="I658" s="38"/>
    </x:row>
    <x:row r="659">
      <x:c r="B659" s="11" t="str">
        <x:v>AU-0653</x:v>
      </x:c>
      <x:c r="C659" s="11" t="str">
        <x:v>mounted event definition</x:v>
      </x:c>
      <x:c r="D659" s="11" t="str">
        <x:v>P0-LN-07-05</x:v>
      </x:c>
      <x:c r="E659" s="11" t="b">
        <x:f>'Lane Events'!R71="PASS"</x:f>
        <x:v>1</x:v>
      </x:c>
      <x:c r="F659" s="29" t="b">
        <x:v>1</x:v>
      </x:c>
      <x:c r="G659" s="11" t="b">
        <x:f>'Lane Events'!R71="PASS"</x:f>
        <x:v>1</x:v>
      </x:c>
      <x:c r="H659" s="11" t="str">
        <x:f>IF(G659=F659,"PASS","FAIL")</x:f>
        <x:v>PASS</x:v>
      </x:c>
      <x:c r="I659" s="38"/>
    </x:row>
    <x:row r="660">
      <x:c r="B660" s="11" t="str">
        <x:v>AU-0654</x:v>
      </x:c>
      <x:c r="C660" s="11" t="str">
        <x:v>mounted event definition</x:v>
      </x:c>
      <x:c r="D660" s="11" t="str">
        <x:v>P0-LN-07-06</x:v>
      </x:c>
      <x:c r="E660" s="11" t="b">
        <x:f>'Lane Events'!R72="PASS"</x:f>
        <x:v>1</x:v>
      </x:c>
      <x:c r="F660" s="29" t="b">
        <x:v>1</x:v>
      </x:c>
      <x:c r="G660" s="11" t="b">
        <x:f>'Lane Events'!R72="PASS"</x:f>
        <x:v>1</x:v>
      </x:c>
      <x:c r="H660" s="11" t="str">
        <x:f>IF(G660=F660,"PASS","FAIL")</x:f>
        <x:v>PASS</x:v>
      </x:c>
      <x:c r="I660" s="38"/>
    </x:row>
    <x:row r="661">
      <x:c r="B661" s="11" t="str">
        <x:v>AU-0655</x:v>
      </x:c>
      <x:c r="C661" s="11" t="str">
        <x:v>mounted event definition</x:v>
      </x:c>
      <x:c r="D661" s="11" t="str">
        <x:v>P0-LN-07-07</x:v>
      </x:c>
      <x:c r="E661" s="11" t="b">
        <x:f>'Lane Events'!R73="PASS"</x:f>
        <x:v>1</x:v>
      </x:c>
      <x:c r="F661" s="29" t="b">
        <x:v>1</x:v>
      </x:c>
      <x:c r="G661" s="11" t="b">
        <x:f>'Lane Events'!R73="PASS"</x:f>
        <x:v>1</x:v>
      </x:c>
      <x:c r="H661" s="11" t="str">
        <x:f>IF(G661=F661,"PASS","FAIL")</x:f>
        <x:v>PASS</x:v>
      </x:c>
      <x:c r="I661" s="38"/>
    </x:row>
    <x:row r="662">
      <x:c r="B662" s="11" t="str">
        <x:v>AU-0656</x:v>
      </x:c>
      <x:c r="C662" s="11" t="str">
        <x:v>mounted event definition</x:v>
      </x:c>
      <x:c r="D662" s="11" t="str">
        <x:v>P0-LN-07-08</x:v>
      </x:c>
      <x:c r="E662" s="11" t="b">
        <x:f>'Lane Events'!R74="PASS"</x:f>
        <x:v>1</x:v>
      </x:c>
      <x:c r="F662" s="29" t="b">
        <x:v>1</x:v>
      </x:c>
      <x:c r="G662" s="11" t="b">
        <x:f>'Lane Events'!R74="PASS"</x:f>
        <x:v>1</x:v>
      </x:c>
      <x:c r="H662" s="11" t="str">
        <x:f>IF(G662=F662,"PASS","FAIL")</x:f>
        <x:v>PASS</x:v>
      </x:c>
      <x:c r="I662" s="38"/>
    </x:row>
    <x:row r="663">
      <x:c r="B663" s="11" t="str">
        <x:v>AU-0657</x:v>
      </x:c>
      <x:c r="C663" s="11" t="str">
        <x:v>mounted event definition</x:v>
      </x:c>
      <x:c r="D663" s="11" t="str">
        <x:v>P0-LN-07-09</x:v>
      </x:c>
      <x:c r="E663" s="11" t="b">
        <x:f>'Lane Events'!R75="PASS"</x:f>
        <x:v>1</x:v>
      </x:c>
      <x:c r="F663" s="29" t="b">
        <x:v>1</x:v>
      </x:c>
      <x:c r="G663" s="11" t="b">
        <x:f>'Lane Events'!R75="PASS"</x:f>
        <x:v>1</x:v>
      </x:c>
      <x:c r="H663" s="11" t="str">
        <x:f>IF(G663=F663,"PASS","FAIL")</x:f>
        <x:v>PASS</x:v>
      </x:c>
      <x:c r="I663" s="38"/>
    </x:row>
    <x:row r="664">
      <x:c r="B664" s="11" t="str">
        <x:v>AU-0658</x:v>
      </x:c>
      <x:c r="C664" s="11" t="str">
        <x:v>mounted event definition</x:v>
      </x:c>
      <x:c r="D664" s="11" t="str">
        <x:v>P0-LN-07-10</x:v>
      </x:c>
      <x:c r="E664" s="11" t="b">
        <x:f>'Lane Events'!R76="PASS"</x:f>
        <x:v>1</x:v>
      </x:c>
      <x:c r="F664" s="29" t="b">
        <x:v>1</x:v>
      </x:c>
      <x:c r="G664" s="11" t="b">
        <x:f>'Lane Events'!R76="PASS"</x:f>
        <x:v>1</x:v>
      </x:c>
      <x:c r="H664" s="11" t="str">
        <x:f>IF(G664=F664,"PASS","FAIL")</x:f>
        <x:v>PASS</x:v>
      </x:c>
      <x:c r="I664" s="38"/>
    </x:row>
    <x:row r="665">
      <x:c r="B665" s="11" t="str">
        <x:v>AU-0659</x:v>
      </x:c>
      <x:c r="C665" s="11" t="str">
        <x:v>mounted event definition</x:v>
      </x:c>
      <x:c r="D665" s="11" t="str">
        <x:v>P0-LN-08-01</x:v>
      </x:c>
      <x:c r="E665" s="11" t="b">
        <x:f>'Lane Events'!R77="PASS"</x:f>
        <x:v>1</x:v>
      </x:c>
      <x:c r="F665" s="29" t="b">
        <x:v>1</x:v>
      </x:c>
      <x:c r="G665" s="11" t="b">
        <x:f>'Lane Events'!R77="PASS"</x:f>
        <x:v>1</x:v>
      </x:c>
      <x:c r="H665" s="11" t="str">
        <x:f>IF(G665=F665,"PASS","FAIL")</x:f>
        <x:v>PASS</x:v>
      </x:c>
      <x:c r="I665" s="38"/>
    </x:row>
    <x:row r="666">
      <x:c r="B666" s="11" t="str">
        <x:v>AU-0660</x:v>
      </x:c>
      <x:c r="C666" s="11" t="str">
        <x:v>mounted event definition</x:v>
      </x:c>
      <x:c r="D666" s="11" t="str">
        <x:v>P0-LN-08-02</x:v>
      </x:c>
      <x:c r="E666" s="11" t="b">
        <x:f>'Lane Events'!R78="PASS"</x:f>
        <x:v>1</x:v>
      </x:c>
      <x:c r="F666" s="29" t="b">
        <x:v>1</x:v>
      </x:c>
      <x:c r="G666" s="11" t="b">
        <x:f>'Lane Events'!R78="PASS"</x:f>
        <x:v>1</x:v>
      </x:c>
      <x:c r="H666" s="11" t="str">
        <x:f>IF(G666=F666,"PASS","FAIL")</x:f>
        <x:v>PASS</x:v>
      </x:c>
      <x:c r="I666" s="38"/>
    </x:row>
    <x:row r="667">
      <x:c r="B667" s="11" t="str">
        <x:v>AU-0661</x:v>
      </x:c>
      <x:c r="C667" s="11" t="str">
        <x:v>mounted event definition</x:v>
      </x:c>
      <x:c r="D667" s="11" t="str">
        <x:v>P0-LN-08-03</x:v>
      </x:c>
      <x:c r="E667" s="11" t="b">
        <x:f>'Lane Events'!R79="PASS"</x:f>
        <x:v>1</x:v>
      </x:c>
      <x:c r="F667" s="29" t="b">
        <x:v>1</x:v>
      </x:c>
      <x:c r="G667" s="11" t="b">
        <x:f>'Lane Events'!R79="PASS"</x:f>
        <x:v>1</x:v>
      </x:c>
      <x:c r="H667" s="11" t="str">
        <x:f>IF(G667=F667,"PASS","FAIL")</x:f>
        <x:v>PASS</x:v>
      </x:c>
      <x:c r="I667" s="38"/>
    </x:row>
    <x:row r="668">
      <x:c r="B668" s="11" t="str">
        <x:v>AU-0662</x:v>
      </x:c>
      <x:c r="C668" s="11" t="str">
        <x:v>mounted event definition</x:v>
      </x:c>
      <x:c r="D668" s="11" t="str">
        <x:v>P0-LN-08-04</x:v>
      </x:c>
      <x:c r="E668" s="11" t="b">
        <x:f>'Lane Events'!R80="PASS"</x:f>
        <x:v>1</x:v>
      </x:c>
      <x:c r="F668" s="29" t="b">
        <x:v>1</x:v>
      </x:c>
      <x:c r="G668" s="11" t="b">
        <x:f>'Lane Events'!R80="PASS"</x:f>
        <x:v>1</x:v>
      </x:c>
      <x:c r="H668" s="11" t="str">
        <x:f>IF(G668=F668,"PASS","FAIL")</x:f>
        <x:v>PASS</x:v>
      </x:c>
      <x:c r="I668" s="38"/>
    </x:row>
    <x:row r="669">
      <x:c r="B669" s="11" t="str">
        <x:v>AU-0663</x:v>
      </x:c>
      <x:c r="C669" s="11" t="str">
        <x:v>mounted event definition</x:v>
      </x:c>
      <x:c r="D669" s="11" t="str">
        <x:v>P0-LN-08-05</x:v>
      </x:c>
      <x:c r="E669" s="11" t="b">
        <x:f>'Lane Events'!R81="PASS"</x:f>
        <x:v>1</x:v>
      </x:c>
      <x:c r="F669" s="29" t="b">
        <x:v>1</x:v>
      </x:c>
      <x:c r="G669" s="11" t="b">
        <x:f>'Lane Events'!R81="PASS"</x:f>
        <x:v>1</x:v>
      </x:c>
      <x:c r="H669" s="11" t="str">
        <x:f>IF(G669=F669,"PASS","FAIL")</x:f>
        <x:v>PASS</x:v>
      </x:c>
      <x:c r="I669" s="38"/>
    </x:row>
    <x:row r="670">
      <x:c r="B670" s="11" t="str">
        <x:v>AU-0664</x:v>
      </x:c>
      <x:c r="C670" s="11" t="str">
        <x:v>mounted event definition</x:v>
      </x:c>
      <x:c r="D670" s="11" t="str">
        <x:v>P0-LN-08-06</x:v>
      </x:c>
      <x:c r="E670" s="11" t="b">
        <x:f>'Lane Events'!R82="PASS"</x:f>
        <x:v>1</x:v>
      </x:c>
      <x:c r="F670" s="29" t="b">
        <x:v>1</x:v>
      </x:c>
      <x:c r="G670" s="11" t="b">
        <x:f>'Lane Events'!R82="PASS"</x:f>
        <x:v>1</x:v>
      </x:c>
      <x:c r="H670" s="11" t="str">
        <x:f>IF(G670=F670,"PASS","FAIL")</x:f>
        <x:v>PASS</x:v>
      </x:c>
      <x:c r="I670" s="38"/>
    </x:row>
    <x:row r="671">
      <x:c r="B671" s="11" t="str">
        <x:v>AU-0665</x:v>
      </x:c>
      <x:c r="C671" s="11" t="str">
        <x:v>mounted event definition</x:v>
      </x:c>
      <x:c r="D671" s="11" t="str">
        <x:v>P0-LN-08-07</x:v>
      </x:c>
      <x:c r="E671" s="11" t="b">
        <x:f>'Lane Events'!R83="PASS"</x:f>
        <x:v>1</x:v>
      </x:c>
      <x:c r="F671" s="29" t="b">
        <x:v>1</x:v>
      </x:c>
      <x:c r="G671" s="11" t="b">
        <x:f>'Lane Events'!R83="PASS"</x:f>
        <x:v>1</x:v>
      </x:c>
      <x:c r="H671" s="11" t="str">
        <x:f>IF(G671=F671,"PASS","FAIL")</x:f>
        <x:v>PASS</x:v>
      </x:c>
      <x:c r="I671" s="38"/>
    </x:row>
    <x:row r="672">
      <x:c r="B672" s="11" t="str">
        <x:v>AU-0666</x:v>
      </x:c>
      <x:c r="C672" s="11" t="str">
        <x:v>mounted event definition</x:v>
      </x:c>
      <x:c r="D672" s="11" t="str">
        <x:v>P0-LN-08-08</x:v>
      </x:c>
      <x:c r="E672" s="11" t="b">
        <x:f>'Lane Events'!R84="PASS"</x:f>
        <x:v>1</x:v>
      </x:c>
      <x:c r="F672" s="29" t="b">
        <x:v>1</x:v>
      </x:c>
      <x:c r="G672" s="11" t="b">
        <x:f>'Lane Events'!R84="PASS"</x:f>
        <x:v>1</x:v>
      </x:c>
      <x:c r="H672" s="11" t="str">
        <x:f>IF(G672=F672,"PASS","FAIL")</x:f>
        <x:v>PASS</x:v>
      </x:c>
      <x:c r="I672" s="38"/>
    </x:row>
    <x:row r="673">
      <x:c r="B673" s="11" t="str">
        <x:v>AU-0667</x:v>
      </x:c>
      <x:c r="C673" s="11" t="str">
        <x:v>mounted event definition</x:v>
      </x:c>
      <x:c r="D673" s="11" t="str">
        <x:v>P0-LN-08-09</x:v>
      </x:c>
      <x:c r="E673" s="11" t="b">
        <x:f>'Lane Events'!R85="PASS"</x:f>
        <x:v>1</x:v>
      </x:c>
      <x:c r="F673" s="29" t="b">
        <x:v>1</x:v>
      </x:c>
      <x:c r="G673" s="11" t="b">
        <x:f>'Lane Events'!R85="PASS"</x:f>
        <x:v>1</x:v>
      </x:c>
      <x:c r="H673" s="11" t="str">
        <x:f>IF(G673=F673,"PASS","FAIL")</x:f>
        <x:v>PASS</x:v>
      </x:c>
      <x:c r="I673" s="38"/>
    </x:row>
    <x:row r="674">
      <x:c r="B674" s="11" t="str">
        <x:v>AU-0668</x:v>
      </x:c>
      <x:c r="C674" s="11" t="str">
        <x:v>mounted event definition</x:v>
      </x:c>
      <x:c r="D674" s="11" t="str">
        <x:v>P0-LN-08-10</x:v>
      </x:c>
      <x:c r="E674" s="11" t="b">
        <x:f>'Lane Events'!R86="PASS"</x:f>
        <x:v>1</x:v>
      </x:c>
      <x:c r="F674" s="29" t="b">
        <x:v>1</x:v>
      </x:c>
      <x:c r="G674" s="11" t="b">
        <x:f>'Lane Events'!R86="PASS"</x:f>
        <x:v>1</x:v>
      </x:c>
      <x:c r="H674" s="11" t="str">
        <x:f>IF(G674=F674,"PASS","FAIL")</x:f>
        <x:v>PASS</x:v>
      </x:c>
      <x:c r="I674" s="38"/>
    </x:row>
    <x:row r="675">
      <x:c r="B675" s="11" t="str">
        <x:v>AU-0669</x:v>
      </x:c>
      <x:c r="C675" s="11" t="str">
        <x:v>mounted event definition</x:v>
      </x:c>
      <x:c r="D675" s="11" t="str">
        <x:v>P0-LN-09-01</x:v>
      </x:c>
      <x:c r="E675" s="11" t="b">
        <x:f>'Lane Events'!R87="PASS"</x:f>
        <x:v>1</x:v>
      </x:c>
      <x:c r="F675" s="29" t="b">
        <x:v>1</x:v>
      </x:c>
      <x:c r="G675" s="11" t="b">
        <x:f>'Lane Events'!R87="PASS"</x:f>
        <x:v>1</x:v>
      </x:c>
      <x:c r="H675" s="11" t="str">
        <x:f>IF(G675=F675,"PASS","FAIL")</x:f>
        <x:v>PASS</x:v>
      </x:c>
      <x:c r="I675" s="38"/>
    </x:row>
    <x:row r="676">
      <x:c r="B676" s="11" t="str">
        <x:v>AU-0670</x:v>
      </x:c>
      <x:c r="C676" s="11" t="str">
        <x:v>mounted event definition</x:v>
      </x:c>
      <x:c r="D676" s="11" t="str">
        <x:v>P0-LN-09-02</x:v>
      </x:c>
      <x:c r="E676" s="11" t="b">
        <x:f>'Lane Events'!R88="PASS"</x:f>
        <x:v>1</x:v>
      </x:c>
      <x:c r="F676" s="29" t="b">
        <x:v>1</x:v>
      </x:c>
      <x:c r="G676" s="11" t="b">
        <x:f>'Lane Events'!R88="PASS"</x:f>
        <x:v>1</x:v>
      </x:c>
      <x:c r="H676" s="11" t="str">
        <x:f>IF(G676=F676,"PASS","FAIL")</x:f>
        <x:v>PASS</x:v>
      </x:c>
      <x:c r="I676" s="38"/>
    </x:row>
    <x:row r="677">
      <x:c r="B677" s="11" t="str">
        <x:v>AU-0671</x:v>
      </x:c>
      <x:c r="C677" s="11" t="str">
        <x:v>mounted event definition</x:v>
      </x:c>
      <x:c r="D677" s="11" t="str">
        <x:v>P0-LN-09-03</x:v>
      </x:c>
      <x:c r="E677" s="11" t="b">
        <x:f>'Lane Events'!R89="PASS"</x:f>
        <x:v>1</x:v>
      </x:c>
      <x:c r="F677" s="29" t="b">
        <x:v>1</x:v>
      </x:c>
      <x:c r="G677" s="11" t="b">
        <x:f>'Lane Events'!R89="PASS"</x:f>
        <x:v>1</x:v>
      </x:c>
      <x:c r="H677" s="11" t="str">
        <x:f>IF(G677=F677,"PASS","FAIL")</x:f>
        <x:v>PASS</x:v>
      </x:c>
      <x:c r="I677" s="38"/>
    </x:row>
    <x:row r="678">
      <x:c r="B678" s="11" t="str">
        <x:v>AU-0672</x:v>
      </x:c>
      <x:c r="C678" s="11" t="str">
        <x:v>mounted event definition</x:v>
      </x:c>
      <x:c r="D678" s="11" t="str">
        <x:v>P0-LN-09-04</x:v>
      </x:c>
      <x:c r="E678" s="11" t="b">
        <x:f>'Lane Events'!R90="PASS"</x:f>
        <x:v>1</x:v>
      </x:c>
      <x:c r="F678" s="29" t="b">
        <x:v>1</x:v>
      </x:c>
      <x:c r="G678" s="11" t="b">
        <x:f>'Lane Events'!R90="PASS"</x:f>
        <x:v>1</x:v>
      </x:c>
      <x:c r="H678" s="11" t="str">
        <x:f>IF(G678=F678,"PASS","FAIL")</x:f>
        <x:v>PASS</x:v>
      </x:c>
      <x:c r="I678" s="38"/>
    </x:row>
    <x:row r="679">
      <x:c r="B679" s="11" t="str">
        <x:v>AU-0673</x:v>
      </x:c>
      <x:c r="C679" s="11" t="str">
        <x:v>mounted event definition</x:v>
      </x:c>
      <x:c r="D679" s="11" t="str">
        <x:v>P0-LN-09-05</x:v>
      </x:c>
      <x:c r="E679" s="11" t="b">
        <x:f>'Lane Events'!R91="PASS"</x:f>
        <x:v>1</x:v>
      </x:c>
      <x:c r="F679" s="29" t="b">
        <x:v>1</x:v>
      </x:c>
      <x:c r="G679" s="11" t="b">
        <x:f>'Lane Events'!R91="PASS"</x:f>
        <x:v>1</x:v>
      </x:c>
      <x:c r="H679" s="11" t="str">
        <x:f>IF(G679=F679,"PASS","FAIL")</x:f>
        <x:v>PASS</x:v>
      </x:c>
      <x:c r="I679" s="38"/>
    </x:row>
    <x:row r="680">
      <x:c r="B680" s="11" t="str">
        <x:v>AU-0674</x:v>
      </x:c>
      <x:c r="C680" s="11" t="str">
        <x:v>mounted event definition</x:v>
      </x:c>
      <x:c r="D680" s="11" t="str">
        <x:v>P0-LN-09-06</x:v>
      </x:c>
      <x:c r="E680" s="11" t="b">
        <x:f>'Lane Events'!R92="PASS"</x:f>
        <x:v>1</x:v>
      </x:c>
      <x:c r="F680" s="29" t="b">
        <x:v>1</x:v>
      </x:c>
      <x:c r="G680" s="11" t="b">
        <x:f>'Lane Events'!R92="PASS"</x:f>
        <x:v>1</x:v>
      </x:c>
      <x:c r="H680" s="11" t="str">
        <x:f>IF(G680=F680,"PASS","FAIL")</x:f>
        <x:v>PASS</x:v>
      </x:c>
      <x:c r="I680" s="38"/>
    </x:row>
    <x:row r="681">
      <x:c r="B681" s="11" t="str">
        <x:v>AU-0675</x:v>
      </x:c>
      <x:c r="C681" s="11" t="str">
        <x:v>mounted event definition</x:v>
      </x:c>
      <x:c r="D681" s="11" t="str">
        <x:v>P0-LN-09-07</x:v>
      </x:c>
      <x:c r="E681" s="11" t="b">
        <x:f>'Lane Events'!R93="PASS"</x:f>
        <x:v>1</x:v>
      </x:c>
      <x:c r="F681" s="29" t="b">
        <x:v>1</x:v>
      </x:c>
      <x:c r="G681" s="11" t="b">
        <x:f>'Lane Events'!R93="PASS"</x:f>
        <x:v>1</x:v>
      </x:c>
      <x:c r="H681" s="11" t="str">
        <x:f>IF(G681=F681,"PASS","FAIL")</x:f>
        <x:v>PASS</x:v>
      </x:c>
      <x:c r="I681" s="38"/>
    </x:row>
    <x:row r="682">
      <x:c r="B682" s="11" t="str">
        <x:v>AU-0676</x:v>
      </x:c>
      <x:c r="C682" s="11" t="str">
        <x:v>mounted event definition</x:v>
      </x:c>
      <x:c r="D682" s="11" t="str">
        <x:v>P0-LN-09-08</x:v>
      </x:c>
      <x:c r="E682" s="11" t="b">
        <x:f>'Lane Events'!R94="PASS"</x:f>
        <x:v>1</x:v>
      </x:c>
      <x:c r="F682" s="29" t="b">
        <x:v>1</x:v>
      </x:c>
      <x:c r="G682" s="11" t="b">
        <x:f>'Lane Events'!R94="PASS"</x:f>
        <x:v>1</x:v>
      </x:c>
      <x:c r="H682" s="11" t="str">
        <x:f>IF(G682=F682,"PASS","FAIL")</x:f>
        <x:v>PASS</x:v>
      </x:c>
      <x:c r="I682" s="38"/>
    </x:row>
    <x:row r="683">
      <x:c r="B683" s="11" t="str">
        <x:v>AU-0677</x:v>
      </x:c>
      <x:c r="C683" s="11" t="str">
        <x:v>mounted event definition</x:v>
      </x:c>
      <x:c r="D683" s="11" t="str">
        <x:v>P0-LN-09-09</x:v>
      </x:c>
      <x:c r="E683" s="11" t="b">
        <x:f>'Lane Events'!R95="PASS"</x:f>
        <x:v>1</x:v>
      </x:c>
      <x:c r="F683" s="29" t="b">
        <x:v>1</x:v>
      </x:c>
      <x:c r="G683" s="11" t="b">
        <x:f>'Lane Events'!R95="PASS"</x:f>
        <x:v>1</x:v>
      </x:c>
      <x:c r="H683" s="11" t="str">
        <x:f>IF(G683=F683,"PASS","FAIL")</x:f>
        <x:v>PASS</x:v>
      </x:c>
      <x:c r="I683" s="38"/>
    </x:row>
    <x:row r="684">
      <x:c r="B684" s="11" t="str">
        <x:v>AU-0678</x:v>
      </x:c>
      <x:c r="C684" s="11" t="str">
        <x:v>mounted event definition</x:v>
      </x:c>
      <x:c r="D684" s="11" t="str">
        <x:v>P0-LN-09-10</x:v>
      </x:c>
      <x:c r="E684" s="11" t="b">
        <x:f>'Lane Events'!R96="PASS"</x:f>
        <x:v>1</x:v>
      </x:c>
      <x:c r="F684" s="29" t="b">
        <x:v>1</x:v>
      </x:c>
      <x:c r="G684" s="11" t="b">
        <x:f>'Lane Events'!R96="PASS"</x:f>
        <x:v>1</x:v>
      </x:c>
      <x:c r="H684" s="11" t="str">
        <x:f>IF(G684=F684,"PASS","FAIL")</x:f>
        <x:v>PASS</x:v>
      </x:c>
      <x:c r="I684" s="38"/>
    </x:row>
    <x:row r="685">
      <x:c r="B685" s="11" t="str">
        <x:v>AU-0679</x:v>
      </x:c>
      <x:c r="C685" s="11" t="str">
        <x:v>mounted event definition</x:v>
      </x:c>
      <x:c r="D685" s="11" t="str">
        <x:v>P0-LN-10-01</x:v>
      </x:c>
      <x:c r="E685" s="11" t="b">
        <x:f>'Lane Events'!R97="PASS"</x:f>
        <x:v>1</x:v>
      </x:c>
      <x:c r="F685" s="29" t="b">
        <x:v>1</x:v>
      </x:c>
      <x:c r="G685" s="11" t="b">
        <x:f>'Lane Events'!R97="PASS"</x:f>
        <x:v>1</x:v>
      </x:c>
      <x:c r="H685" s="11" t="str">
        <x:f>IF(G685=F685,"PASS","FAIL")</x:f>
        <x:v>PASS</x:v>
      </x:c>
      <x:c r="I685" s="38"/>
    </x:row>
    <x:row r="686">
      <x:c r="B686" s="11" t="str">
        <x:v>AU-0680</x:v>
      </x:c>
      <x:c r="C686" s="11" t="str">
        <x:v>mounted event definition</x:v>
      </x:c>
      <x:c r="D686" s="11" t="str">
        <x:v>P0-LN-10-02</x:v>
      </x:c>
      <x:c r="E686" s="11" t="b">
        <x:f>'Lane Events'!R98="PASS"</x:f>
        <x:v>1</x:v>
      </x:c>
      <x:c r="F686" s="29" t="b">
        <x:v>1</x:v>
      </x:c>
      <x:c r="G686" s="11" t="b">
        <x:f>'Lane Events'!R98="PASS"</x:f>
        <x:v>1</x:v>
      </x:c>
      <x:c r="H686" s="11" t="str">
        <x:f>IF(G686=F686,"PASS","FAIL")</x:f>
        <x:v>PASS</x:v>
      </x:c>
      <x:c r="I686" s="38"/>
    </x:row>
    <x:row r="687">
      <x:c r="B687" s="11" t="str">
        <x:v>AU-0681</x:v>
      </x:c>
      <x:c r="C687" s="11" t="str">
        <x:v>mounted event definition</x:v>
      </x:c>
      <x:c r="D687" s="11" t="str">
        <x:v>P0-LN-10-03</x:v>
      </x:c>
      <x:c r="E687" s="11" t="b">
        <x:f>'Lane Events'!R99="PASS"</x:f>
        <x:v>1</x:v>
      </x:c>
      <x:c r="F687" s="29" t="b">
        <x:v>1</x:v>
      </x:c>
      <x:c r="G687" s="11" t="b">
        <x:f>'Lane Events'!R99="PASS"</x:f>
        <x:v>1</x:v>
      </x:c>
      <x:c r="H687" s="11" t="str">
        <x:f>IF(G687=F687,"PASS","FAIL")</x:f>
        <x:v>PASS</x:v>
      </x:c>
      <x:c r="I687" s="38"/>
    </x:row>
    <x:row r="688">
      <x:c r="B688" s="11" t="str">
        <x:v>AU-0682</x:v>
      </x:c>
      <x:c r="C688" s="11" t="str">
        <x:v>mounted event definition</x:v>
      </x:c>
      <x:c r="D688" s="11" t="str">
        <x:v>P0-LN-10-04</x:v>
      </x:c>
      <x:c r="E688" s="11" t="b">
        <x:f>'Lane Events'!R100="PASS"</x:f>
        <x:v>1</x:v>
      </x:c>
      <x:c r="F688" s="29" t="b">
        <x:v>1</x:v>
      </x:c>
      <x:c r="G688" s="11" t="b">
        <x:f>'Lane Events'!R100="PASS"</x:f>
        <x:v>1</x:v>
      </x:c>
      <x:c r="H688" s="11" t="str">
        <x:f>IF(G688=F688,"PASS","FAIL")</x:f>
        <x:v>PASS</x:v>
      </x:c>
      <x:c r="I688" s="38"/>
    </x:row>
    <x:row r="689">
      <x:c r="B689" s="11" t="str">
        <x:v>AU-0683</x:v>
      </x:c>
      <x:c r="C689" s="11" t="str">
        <x:v>mounted event definition</x:v>
      </x:c>
      <x:c r="D689" s="11" t="str">
        <x:v>P0-LN-10-05</x:v>
      </x:c>
      <x:c r="E689" s="11" t="b">
        <x:f>'Lane Events'!R101="PASS"</x:f>
        <x:v>1</x:v>
      </x:c>
      <x:c r="F689" s="29" t="b">
        <x:v>1</x:v>
      </x:c>
      <x:c r="G689" s="11" t="b">
        <x:f>'Lane Events'!R101="PASS"</x:f>
        <x:v>1</x:v>
      </x:c>
      <x:c r="H689" s="11" t="str">
        <x:f>IF(G689=F689,"PASS","FAIL")</x:f>
        <x:v>PASS</x:v>
      </x:c>
      <x:c r="I689" s="38"/>
    </x:row>
    <x:row r="690">
      <x:c r="B690" s="11" t="str">
        <x:v>AU-0684</x:v>
      </x:c>
      <x:c r="C690" s="11" t="str">
        <x:v>mounted event definition</x:v>
      </x:c>
      <x:c r="D690" s="11" t="str">
        <x:v>P0-LN-10-06</x:v>
      </x:c>
      <x:c r="E690" s="11" t="b">
        <x:f>'Lane Events'!R102="PASS"</x:f>
        <x:v>1</x:v>
      </x:c>
      <x:c r="F690" s="29" t="b">
        <x:v>1</x:v>
      </x:c>
      <x:c r="G690" s="11" t="b">
        <x:f>'Lane Events'!R102="PASS"</x:f>
        <x:v>1</x:v>
      </x:c>
      <x:c r="H690" s="11" t="str">
        <x:f>IF(G690=F690,"PASS","FAIL")</x:f>
        <x:v>PASS</x:v>
      </x:c>
      <x:c r="I690" s="38"/>
    </x:row>
    <x:row r="691">
      <x:c r="B691" s="11" t="str">
        <x:v>AU-0685</x:v>
      </x:c>
      <x:c r="C691" s="11" t="str">
        <x:v>mounted event definition</x:v>
      </x:c>
      <x:c r="D691" s="11" t="str">
        <x:v>P0-LN-10-07</x:v>
      </x:c>
      <x:c r="E691" s="11" t="b">
        <x:f>'Lane Events'!R103="PASS"</x:f>
        <x:v>1</x:v>
      </x:c>
      <x:c r="F691" s="29" t="b">
        <x:v>1</x:v>
      </x:c>
      <x:c r="G691" s="11" t="b">
        <x:f>'Lane Events'!R103="PASS"</x:f>
        <x:v>1</x:v>
      </x:c>
      <x:c r="H691" s="11" t="str">
        <x:f>IF(G691=F691,"PASS","FAIL")</x:f>
        <x:v>PASS</x:v>
      </x:c>
      <x:c r="I691" s="38"/>
    </x:row>
    <x:row r="692">
      <x:c r="B692" s="11" t="str">
        <x:v>AU-0686</x:v>
      </x:c>
      <x:c r="C692" s="11" t="str">
        <x:v>mounted event definition</x:v>
      </x:c>
      <x:c r="D692" s="11" t="str">
        <x:v>P0-LN-10-08</x:v>
      </x:c>
      <x:c r="E692" s="11" t="b">
        <x:f>'Lane Events'!R104="PASS"</x:f>
        <x:v>1</x:v>
      </x:c>
      <x:c r="F692" s="29" t="b">
        <x:v>1</x:v>
      </x:c>
      <x:c r="G692" s="11" t="b">
        <x:f>'Lane Events'!R104="PASS"</x:f>
        <x:v>1</x:v>
      </x:c>
      <x:c r="H692" s="11" t="str">
        <x:f>IF(G692=F692,"PASS","FAIL")</x:f>
        <x:v>PASS</x:v>
      </x:c>
      <x:c r="I692" s="38"/>
    </x:row>
    <x:row r="693">
      <x:c r="B693" s="11" t="str">
        <x:v>AU-0687</x:v>
      </x:c>
      <x:c r="C693" s="11" t="str">
        <x:v>mounted event definition</x:v>
      </x:c>
      <x:c r="D693" s="11" t="str">
        <x:v>P0-LN-10-09</x:v>
      </x:c>
      <x:c r="E693" s="11" t="b">
        <x:f>'Lane Events'!R105="PASS"</x:f>
        <x:v>1</x:v>
      </x:c>
      <x:c r="F693" s="29" t="b">
        <x:v>1</x:v>
      </x:c>
      <x:c r="G693" s="11" t="b">
        <x:f>'Lane Events'!R105="PASS"</x:f>
        <x:v>1</x:v>
      </x:c>
      <x:c r="H693" s="11" t="str">
        <x:f>IF(G693=F693,"PASS","FAIL")</x:f>
        <x:v>PASS</x:v>
      </x:c>
      <x:c r="I693" s="38"/>
    </x:row>
    <x:row r="694">
      <x:c r="B694" s="11" t="str">
        <x:v>AU-0688</x:v>
      </x:c>
      <x:c r="C694" s="11" t="str">
        <x:v>mounted event definition</x:v>
      </x:c>
      <x:c r="D694" s="11" t="str">
        <x:v>P0-LN-10-10</x:v>
      </x:c>
      <x:c r="E694" s="11" t="b">
        <x:f>'Lane Events'!R106="PASS"</x:f>
        <x:v>1</x:v>
      </x:c>
      <x:c r="F694" s="29" t="b">
        <x:v>1</x:v>
      </x:c>
      <x:c r="G694" s="11" t="b">
        <x:f>'Lane Events'!R106="PASS"</x:f>
        <x:v>1</x:v>
      </x:c>
      <x:c r="H694" s="11" t="str">
        <x:f>IF(G694=F694,"PASS","FAIL")</x:f>
        <x:v>PASS</x:v>
      </x:c>
      <x:c r="I694" s="38"/>
    </x:row>
    <x:row r="695">
      <x:c r="B695" s="11" t="str">
        <x:v>AU-0689</x:v>
      </x:c>
      <x:c r="C695" s="11" t="str">
        <x:v>mounted event definition</x:v>
      </x:c>
      <x:c r="D695" s="11" t="str">
        <x:v>P0-LN-11-01</x:v>
      </x:c>
      <x:c r="E695" s="11" t="b">
        <x:f>'Lane Events'!R107="PASS"</x:f>
        <x:v>1</x:v>
      </x:c>
      <x:c r="F695" s="29" t="b">
        <x:v>1</x:v>
      </x:c>
      <x:c r="G695" s="11" t="b">
        <x:f>'Lane Events'!R107="PASS"</x:f>
        <x:v>1</x:v>
      </x:c>
      <x:c r="H695" s="11" t="str">
        <x:f>IF(G695=F695,"PASS","FAIL")</x:f>
        <x:v>PASS</x:v>
      </x:c>
      <x:c r="I695" s="38"/>
    </x:row>
    <x:row r="696">
      <x:c r="B696" s="11" t="str">
        <x:v>AU-0690</x:v>
      </x:c>
      <x:c r="C696" s="11" t="str">
        <x:v>mounted event definition</x:v>
      </x:c>
      <x:c r="D696" s="11" t="str">
        <x:v>P0-LN-11-02</x:v>
      </x:c>
      <x:c r="E696" s="11" t="b">
        <x:f>'Lane Events'!R108="PASS"</x:f>
        <x:v>1</x:v>
      </x:c>
      <x:c r="F696" s="29" t="b">
        <x:v>1</x:v>
      </x:c>
      <x:c r="G696" s="11" t="b">
        <x:f>'Lane Events'!R108="PASS"</x:f>
        <x:v>1</x:v>
      </x:c>
      <x:c r="H696" s="11" t="str">
        <x:f>IF(G696=F696,"PASS","FAIL")</x:f>
        <x:v>PASS</x:v>
      </x:c>
      <x:c r="I696" s="38"/>
    </x:row>
    <x:row r="697">
      <x:c r="B697" s="11" t="str">
        <x:v>AU-0691</x:v>
      </x:c>
      <x:c r="C697" s="11" t="str">
        <x:v>mounted event definition</x:v>
      </x:c>
      <x:c r="D697" s="11" t="str">
        <x:v>P0-LN-11-03</x:v>
      </x:c>
      <x:c r="E697" s="11" t="b">
        <x:f>'Lane Events'!R109="PASS"</x:f>
        <x:v>1</x:v>
      </x:c>
      <x:c r="F697" s="29" t="b">
        <x:v>1</x:v>
      </x:c>
      <x:c r="G697" s="11" t="b">
        <x:f>'Lane Events'!R109="PASS"</x:f>
        <x:v>1</x:v>
      </x:c>
      <x:c r="H697" s="11" t="str">
        <x:f>IF(G697=F697,"PASS","FAIL")</x:f>
        <x:v>PASS</x:v>
      </x:c>
      <x:c r="I697" s="38"/>
    </x:row>
    <x:row r="698">
      <x:c r="B698" s="11" t="str">
        <x:v>AU-0692</x:v>
      </x:c>
      <x:c r="C698" s="11" t="str">
        <x:v>mounted event definition</x:v>
      </x:c>
      <x:c r="D698" s="11" t="str">
        <x:v>P0-LN-11-04</x:v>
      </x:c>
      <x:c r="E698" s="11" t="b">
        <x:f>'Lane Events'!R110="PASS"</x:f>
        <x:v>1</x:v>
      </x:c>
      <x:c r="F698" s="29" t="b">
        <x:v>1</x:v>
      </x:c>
      <x:c r="G698" s="11" t="b">
        <x:f>'Lane Events'!R110="PASS"</x:f>
        <x:v>1</x:v>
      </x:c>
      <x:c r="H698" s="11" t="str">
        <x:f>IF(G698=F698,"PASS","FAIL")</x:f>
        <x:v>PASS</x:v>
      </x:c>
      <x:c r="I698" s="38"/>
    </x:row>
    <x:row r="699">
      <x:c r="B699" s="11" t="str">
        <x:v>AU-0693</x:v>
      </x:c>
      <x:c r="C699" s="11" t="str">
        <x:v>mounted event definition</x:v>
      </x:c>
      <x:c r="D699" s="11" t="str">
        <x:v>P0-LN-11-05</x:v>
      </x:c>
      <x:c r="E699" s="11" t="b">
        <x:f>'Lane Events'!R111="PASS"</x:f>
        <x:v>1</x:v>
      </x:c>
      <x:c r="F699" s="29" t="b">
        <x:v>1</x:v>
      </x:c>
      <x:c r="G699" s="11" t="b">
        <x:f>'Lane Events'!R111="PASS"</x:f>
        <x:v>1</x:v>
      </x:c>
      <x:c r="H699" s="11" t="str">
        <x:f>IF(G699=F699,"PASS","FAIL")</x:f>
        <x:v>PASS</x:v>
      </x:c>
      <x:c r="I699" s="38"/>
    </x:row>
    <x:row r="700">
      <x:c r="B700" s="11" t="str">
        <x:v>AU-0694</x:v>
      </x:c>
      <x:c r="C700" s="11" t="str">
        <x:v>mounted event definition</x:v>
      </x:c>
      <x:c r="D700" s="11" t="str">
        <x:v>P0-LN-11-06</x:v>
      </x:c>
      <x:c r="E700" s="11" t="b">
        <x:f>'Lane Events'!R112="PASS"</x:f>
        <x:v>1</x:v>
      </x:c>
      <x:c r="F700" s="29" t="b">
        <x:v>1</x:v>
      </x:c>
      <x:c r="G700" s="11" t="b">
        <x:f>'Lane Events'!R112="PASS"</x:f>
        <x:v>1</x:v>
      </x:c>
      <x:c r="H700" s="11" t="str">
        <x:f>IF(G700=F700,"PASS","FAIL")</x:f>
        <x:v>PASS</x:v>
      </x:c>
      <x:c r="I700" s="38"/>
    </x:row>
    <x:row r="701">
      <x:c r="B701" s="11" t="str">
        <x:v>AU-0695</x:v>
      </x:c>
      <x:c r="C701" s="11" t="str">
        <x:v>mounted event definition</x:v>
      </x:c>
      <x:c r="D701" s="11" t="str">
        <x:v>P0-LN-11-07</x:v>
      </x:c>
      <x:c r="E701" s="11" t="b">
        <x:f>'Lane Events'!R113="PASS"</x:f>
        <x:v>1</x:v>
      </x:c>
      <x:c r="F701" s="29" t="b">
        <x:v>1</x:v>
      </x:c>
      <x:c r="G701" s="11" t="b">
        <x:f>'Lane Events'!R113="PASS"</x:f>
        <x:v>1</x:v>
      </x:c>
      <x:c r="H701" s="11" t="str">
        <x:f>IF(G701=F701,"PASS","FAIL")</x:f>
        <x:v>PASS</x:v>
      </x:c>
      <x:c r="I701" s="38"/>
    </x:row>
    <x:row r="702">
      <x:c r="B702" s="11" t="str">
        <x:v>AU-0696</x:v>
      </x:c>
      <x:c r="C702" s="11" t="str">
        <x:v>mounted event definition</x:v>
      </x:c>
      <x:c r="D702" s="11" t="str">
        <x:v>P0-LN-11-08</x:v>
      </x:c>
      <x:c r="E702" s="11" t="b">
        <x:f>'Lane Events'!R114="PASS"</x:f>
        <x:v>1</x:v>
      </x:c>
      <x:c r="F702" s="29" t="b">
        <x:v>1</x:v>
      </x:c>
      <x:c r="G702" s="11" t="b">
        <x:f>'Lane Events'!R114="PASS"</x:f>
        <x:v>1</x:v>
      </x:c>
      <x:c r="H702" s="11" t="str">
        <x:f>IF(G702=F702,"PASS","FAIL")</x:f>
        <x:v>PASS</x:v>
      </x:c>
      <x:c r="I702" s="38"/>
    </x:row>
    <x:row r="703">
      <x:c r="B703" s="11" t="str">
        <x:v>AU-0697</x:v>
      </x:c>
      <x:c r="C703" s="11" t="str">
        <x:v>mounted event definition</x:v>
      </x:c>
      <x:c r="D703" s="11" t="str">
        <x:v>P0-LN-11-09</x:v>
      </x:c>
      <x:c r="E703" s="11" t="b">
        <x:f>'Lane Events'!R115="PASS"</x:f>
        <x:v>1</x:v>
      </x:c>
      <x:c r="F703" s="29" t="b">
        <x:v>1</x:v>
      </x:c>
      <x:c r="G703" s="11" t="b">
        <x:f>'Lane Events'!R115="PASS"</x:f>
        <x:v>1</x:v>
      </x:c>
      <x:c r="H703" s="11" t="str">
        <x:f>IF(G703=F703,"PASS","FAIL")</x:f>
        <x:v>PASS</x:v>
      </x:c>
      <x:c r="I703" s="38"/>
    </x:row>
    <x:row r="704">
      <x:c r="B704" s="11" t="str">
        <x:v>AU-0698</x:v>
      </x:c>
      <x:c r="C704" s="11" t="str">
        <x:v>mounted event definition</x:v>
      </x:c>
      <x:c r="D704" s="11" t="str">
        <x:v>P0-LN-11-10</x:v>
      </x:c>
      <x:c r="E704" s="11" t="b">
        <x:f>'Lane Events'!R116="PASS"</x:f>
        <x:v>1</x:v>
      </x:c>
      <x:c r="F704" s="29" t="b">
        <x:v>1</x:v>
      </x:c>
      <x:c r="G704" s="11" t="b">
        <x:f>'Lane Events'!R116="PASS"</x:f>
        <x:v>1</x:v>
      </x:c>
      <x:c r="H704" s="11" t="str">
        <x:f>IF(G704=F704,"PASS","FAIL")</x:f>
        <x:v>PASS</x:v>
      </x:c>
      <x:c r="I704" s="38"/>
    </x:row>
    <x:row r="705">
      <x:c r="B705" s="11" t="str">
        <x:v>AU-0699</x:v>
      </x:c>
      <x:c r="C705" s="11" t="str">
        <x:v>mounted event definition</x:v>
      </x:c>
      <x:c r="D705" s="11" t="str">
        <x:v>P0-LN-12-01</x:v>
      </x:c>
      <x:c r="E705" s="11" t="b">
        <x:f>'Lane Events'!R117="PASS"</x:f>
        <x:v>1</x:v>
      </x:c>
      <x:c r="F705" s="29" t="b">
        <x:v>1</x:v>
      </x:c>
      <x:c r="G705" s="11" t="b">
        <x:f>'Lane Events'!R117="PASS"</x:f>
        <x:v>1</x:v>
      </x:c>
      <x:c r="H705" s="11" t="str">
        <x:f>IF(G705=F705,"PASS","FAIL")</x:f>
        <x:v>PASS</x:v>
      </x:c>
      <x:c r="I705" s="38"/>
    </x:row>
    <x:row r="706">
      <x:c r="B706" s="11" t="str">
        <x:v>AU-0700</x:v>
      </x:c>
      <x:c r="C706" s="11" t="str">
        <x:v>mounted event definition</x:v>
      </x:c>
      <x:c r="D706" s="11" t="str">
        <x:v>P0-LN-12-02</x:v>
      </x:c>
      <x:c r="E706" s="11" t="b">
        <x:f>'Lane Events'!R118="PASS"</x:f>
        <x:v>1</x:v>
      </x:c>
      <x:c r="F706" s="29" t="b">
        <x:v>1</x:v>
      </x:c>
      <x:c r="G706" s="11" t="b">
        <x:f>'Lane Events'!R118="PASS"</x:f>
        <x:v>1</x:v>
      </x:c>
      <x:c r="H706" s="11" t="str">
        <x:f>IF(G706=F706,"PASS","FAIL")</x:f>
        <x:v>PASS</x:v>
      </x:c>
      <x:c r="I706" s="38"/>
    </x:row>
    <x:row r="707">
      <x:c r="B707" s="11" t="str">
        <x:v>AU-0701</x:v>
      </x:c>
      <x:c r="C707" s="11" t="str">
        <x:v>mounted event definition</x:v>
      </x:c>
      <x:c r="D707" s="11" t="str">
        <x:v>P0-LN-12-03</x:v>
      </x:c>
      <x:c r="E707" s="11" t="b">
        <x:f>'Lane Events'!R119="PASS"</x:f>
        <x:v>1</x:v>
      </x:c>
      <x:c r="F707" s="29" t="b">
        <x:v>1</x:v>
      </x:c>
      <x:c r="G707" s="11" t="b">
        <x:f>'Lane Events'!R119="PASS"</x:f>
        <x:v>1</x:v>
      </x:c>
      <x:c r="H707" s="11" t="str">
        <x:f>IF(G707=F707,"PASS","FAIL")</x:f>
        <x:v>PASS</x:v>
      </x:c>
      <x:c r="I707" s="38"/>
    </x:row>
    <x:row r="708">
      <x:c r="B708" s="11" t="str">
        <x:v>AU-0702</x:v>
      </x:c>
      <x:c r="C708" s="11" t="str">
        <x:v>mounted event definition</x:v>
      </x:c>
      <x:c r="D708" s="11" t="str">
        <x:v>P0-LN-12-04</x:v>
      </x:c>
      <x:c r="E708" s="11" t="b">
        <x:f>'Lane Events'!R120="PASS"</x:f>
        <x:v>1</x:v>
      </x:c>
      <x:c r="F708" s="29" t="b">
        <x:v>1</x:v>
      </x:c>
      <x:c r="G708" s="11" t="b">
        <x:f>'Lane Events'!R120="PASS"</x:f>
        <x:v>1</x:v>
      </x:c>
      <x:c r="H708" s="11" t="str">
        <x:f>IF(G708=F708,"PASS","FAIL")</x:f>
        <x:v>PASS</x:v>
      </x:c>
      <x:c r="I708" s="38"/>
    </x:row>
    <x:row r="709">
      <x:c r="B709" s="11" t="str">
        <x:v>AU-0703</x:v>
      </x:c>
      <x:c r="C709" s="11" t="str">
        <x:v>mounted event definition</x:v>
      </x:c>
      <x:c r="D709" s="11" t="str">
        <x:v>P0-LN-12-05</x:v>
      </x:c>
      <x:c r="E709" s="11" t="b">
        <x:f>'Lane Events'!R121="PASS"</x:f>
        <x:v>1</x:v>
      </x:c>
      <x:c r="F709" s="29" t="b">
        <x:v>1</x:v>
      </x:c>
      <x:c r="G709" s="11" t="b">
        <x:f>'Lane Events'!R121="PASS"</x:f>
        <x:v>1</x:v>
      </x:c>
      <x:c r="H709" s="11" t="str">
        <x:f>IF(G709=F709,"PASS","FAIL")</x:f>
        <x:v>PASS</x:v>
      </x:c>
      <x:c r="I709" s="38"/>
    </x:row>
    <x:row r="710">
      <x:c r="B710" s="11" t="str">
        <x:v>AU-0704</x:v>
      </x:c>
      <x:c r="C710" s="11" t="str">
        <x:v>mounted event definition</x:v>
      </x:c>
      <x:c r="D710" s="11" t="str">
        <x:v>P0-LN-12-06</x:v>
      </x:c>
      <x:c r="E710" s="11" t="b">
        <x:f>'Lane Events'!R122="PASS"</x:f>
        <x:v>1</x:v>
      </x:c>
      <x:c r="F710" s="29" t="b">
        <x:v>1</x:v>
      </x:c>
      <x:c r="G710" s="11" t="b">
        <x:f>'Lane Events'!R122="PASS"</x:f>
        <x:v>1</x:v>
      </x:c>
      <x:c r="H710" s="11" t="str">
        <x:f>IF(G710=F710,"PASS","FAIL")</x:f>
        <x:v>PASS</x:v>
      </x:c>
      <x:c r="I710" s="38"/>
    </x:row>
    <x:row r="711">
      <x:c r="B711" s="11" t="str">
        <x:v>AU-0705</x:v>
      </x:c>
      <x:c r="C711" s="11" t="str">
        <x:v>mounted event definition</x:v>
      </x:c>
      <x:c r="D711" s="11" t="str">
        <x:v>P0-LN-12-07</x:v>
      </x:c>
      <x:c r="E711" s="11" t="b">
        <x:f>'Lane Events'!R123="PASS"</x:f>
        <x:v>1</x:v>
      </x:c>
      <x:c r="F711" s="29" t="b">
        <x:v>1</x:v>
      </x:c>
      <x:c r="G711" s="11" t="b">
        <x:f>'Lane Events'!R123="PASS"</x:f>
        <x:v>1</x:v>
      </x:c>
      <x:c r="H711" s="11" t="str">
        <x:f>IF(G711=F711,"PASS","FAIL")</x:f>
        <x:v>PASS</x:v>
      </x:c>
      <x:c r="I711" s="38"/>
    </x:row>
    <x:row r="712">
      <x:c r="B712" s="11" t="str">
        <x:v>AU-0706</x:v>
      </x:c>
      <x:c r="C712" s="11" t="str">
        <x:v>mounted event definition</x:v>
      </x:c>
      <x:c r="D712" s="11" t="str">
        <x:v>P0-LN-12-08</x:v>
      </x:c>
      <x:c r="E712" s="11" t="b">
        <x:f>'Lane Events'!R124="PASS"</x:f>
        <x:v>1</x:v>
      </x:c>
      <x:c r="F712" s="29" t="b">
        <x:v>1</x:v>
      </x:c>
      <x:c r="G712" s="11" t="b">
        <x:f>'Lane Events'!R124="PASS"</x:f>
        <x:v>1</x:v>
      </x:c>
      <x:c r="H712" s="11" t="str">
        <x:f>IF(G712=F712,"PASS","FAIL")</x:f>
        <x:v>PASS</x:v>
      </x:c>
      <x:c r="I712" s="38"/>
    </x:row>
    <x:row r="713">
      <x:c r="B713" s="11" t="str">
        <x:v>AU-0707</x:v>
      </x:c>
      <x:c r="C713" s="11" t="str">
        <x:v>mounted event definition</x:v>
      </x:c>
      <x:c r="D713" s="11" t="str">
        <x:v>P0-LN-12-09</x:v>
      </x:c>
      <x:c r="E713" s="11" t="b">
        <x:f>'Lane Events'!R125="PASS"</x:f>
        <x:v>1</x:v>
      </x:c>
      <x:c r="F713" s="29" t="b">
        <x:v>1</x:v>
      </x:c>
      <x:c r="G713" s="11" t="b">
        <x:f>'Lane Events'!R125="PASS"</x:f>
        <x:v>1</x:v>
      </x:c>
      <x:c r="H713" s="11" t="str">
        <x:f>IF(G713=F713,"PASS","FAIL")</x:f>
        <x:v>PASS</x:v>
      </x:c>
      <x:c r="I713" s="38"/>
    </x:row>
    <x:row r="714">
      <x:c r="B714" s="11" t="str">
        <x:v>AU-0708</x:v>
      </x:c>
      <x:c r="C714" s="11" t="str">
        <x:v>mounted event definition</x:v>
      </x:c>
      <x:c r="D714" s="11" t="str">
        <x:v>P0-LN-12-10</x:v>
      </x:c>
      <x:c r="E714" s="11" t="b">
        <x:f>'Lane Events'!R126="PASS"</x:f>
        <x:v>1</x:v>
      </x:c>
      <x:c r="F714" s="29" t="b">
        <x:v>1</x:v>
      </x:c>
      <x:c r="G714" s="11" t="b">
        <x:f>'Lane Events'!R126="PASS"</x:f>
        <x:v>1</x:v>
      </x:c>
      <x:c r="H714" s="11" t="str">
        <x:f>IF(G714=F714,"PASS","FAIL")</x:f>
        <x:v>PASS</x:v>
      </x:c>
      <x:c r="I714" s="38"/>
    </x:row>
    <x:row r="715">
      <x:c r="B715" s="11" t="str">
        <x:v>AU-0709</x:v>
      </x:c>
      <x:c r="C715" s="11" t="str">
        <x:v>failure-insertion definition</x:v>
      </x:c>
      <x:c r="D715" s="11" t="str">
        <x:v>FI-SA1-A-D</x:v>
      </x:c>
      <x:c r="E715" s="11" t="b">
        <x:f>'Failure Insertion'!L7="PASS"</x:f>
        <x:v>1</x:v>
      </x:c>
      <x:c r="F715" s="29" t="b">
        <x:v>1</x:v>
      </x:c>
      <x:c r="G715" s="11" t="b">
        <x:f>'Failure Insertion'!L7="PASS"</x:f>
        <x:v>1</x:v>
      </x:c>
      <x:c r="H715" s="11" t="str">
        <x:f>IF(G715=F715,"PASS","FAIL")</x:f>
        <x:v>PASS</x:v>
      </x:c>
      <x:c r="I715" s="38"/>
    </x:row>
    <x:row r="716">
      <x:c r="B716" s="11" t="str">
        <x:v>AU-0710</x:v>
      </x:c>
      <x:c r="C716" s="11" t="str">
        <x:v>failure-insertion definition</x:v>
      </x:c>
      <x:c r="D716" s="11" t="str">
        <x:v>FI-SA1-A-S</x:v>
      </x:c>
      <x:c r="E716" s="11" t="b">
        <x:f>'Failure Insertion'!L8="PASS"</x:f>
        <x:v>1</x:v>
      </x:c>
      <x:c r="F716" s="29" t="b">
        <x:v>1</x:v>
      </x:c>
      <x:c r="G716" s="11" t="b">
        <x:f>'Failure Insertion'!L8="PASS"</x:f>
        <x:v>1</x:v>
      </x:c>
      <x:c r="H716" s="11" t="str">
        <x:f>IF(G716=F716,"PASS","FAIL")</x:f>
        <x:v>PASS</x:v>
      </x:c>
      <x:c r="I716" s="38"/>
    </x:row>
    <x:row r="717">
      <x:c r="B717" s="11" t="str">
        <x:v>AU-0711</x:v>
      </x:c>
      <x:c r="C717" s="11" t="str">
        <x:v>failure-insertion definition</x:v>
      </x:c>
      <x:c r="D717" s="11" t="str">
        <x:v>FI-SA1-B-D</x:v>
      </x:c>
      <x:c r="E717" s="11" t="b">
        <x:f>'Failure Insertion'!L9="PASS"</x:f>
        <x:v>1</x:v>
      </x:c>
      <x:c r="F717" s="29" t="b">
        <x:v>1</x:v>
      </x:c>
      <x:c r="G717" s="11" t="b">
        <x:f>'Failure Insertion'!L9="PASS"</x:f>
        <x:v>1</x:v>
      </x:c>
      <x:c r="H717" s="11" t="str">
        <x:f>IF(G717=F717,"PASS","FAIL")</x:f>
        <x:v>PASS</x:v>
      </x:c>
      <x:c r="I717" s="38"/>
    </x:row>
    <x:row r="718">
      <x:c r="B718" s="11" t="str">
        <x:v>AU-0712</x:v>
      </x:c>
      <x:c r="C718" s="11" t="str">
        <x:v>failure-insertion definition</x:v>
      </x:c>
      <x:c r="D718" s="11" t="str">
        <x:v>FI-SA1-B-S</x:v>
      </x:c>
      <x:c r="E718" s="11" t="b">
        <x:f>'Failure Insertion'!L10="PASS"</x:f>
        <x:v>1</x:v>
      </x:c>
      <x:c r="F718" s="29" t="b">
        <x:v>1</x:v>
      </x:c>
      <x:c r="G718" s="11" t="b">
        <x:f>'Failure Insertion'!L10="PASS"</x:f>
        <x:v>1</x:v>
      </x:c>
      <x:c r="H718" s="11" t="str">
        <x:f>IF(G718=F718,"PASS","FAIL")</x:f>
        <x:v>PASS</x:v>
      </x:c>
      <x:c r="I718" s="38"/>
    </x:row>
    <x:row r="719">
      <x:c r="B719" s="11" t="str">
        <x:v>AU-0713</x:v>
      </x:c>
      <x:c r="C719" s="11" t="str">
        <x:v>failure-insertion definition</x:v>
      </x:c>
      <x:c r="D719" s="11" t="str">
        <x:v>FI-SA2-A-D</x:v>
      </x:c>
      <x:c r="E719" s="11" t="b">
        <x:f>'Failure Insertion'!L11="PASS"</x:f>
        <x:v>1</x:v>
      </x:c>
      <x:c r="F719" s="29" t="b">
        <x:v>1</x:v>
      </x:c>
      <x:c r="G719" s="11" t="b">
        <x:f>'Failure Insertion'!L11="PASS"</x:f>
        <x:v>1</x:v>
      </x:c>
      <x:c r="H719" s="11" t="str">
        <x:f>IF(G719=F719,"PASS","FAIL")</x:f>
        <x:v>PASS</x:v>
      </x:c>
      <x:c r="I719" s="38"/>
    </x:row>
    <x:row r="720">
      <x:c r="B720" s="11" t="str">
        <x:v>AU-0714</x:v>
      </x:c>
      <x:c r="C720" s="11" t="str">
        <x:v>failure-insertion definition</x:v>
      </x:c>
      <x:c r="D720" s="11" t="str">
        <x:v>FI-SA2-A-S</x:v>
      </x:c>
      <x:c r="E720" s="11" t="b">
        <x:f>'Failure Insertion'!L12="PASS"</x:f>
        <x:v>1</x:v>
      </x:c>
      <x:c r="F720" s="29" t="b">
        <x:v>1</x:v>
      </x:c>
      <x:c r="G720" s="11" t="b">
        <x:f>'Failure Insertion'!L12="PASS"</x:f>
        <x:v>1</x:v>
      </x:c>
      <x:c r="H720" s="11" t="str">
        <x:f>IF(G720=F720,"PASS","FAIL")</x:f>
        <x:v>PASS</x:v>
      </x:c>
      <x:c r="I720" s="38"/>
    </x:row>
    <x:row r="721">
      <x:c r="B721" s="11" t="str">
        <x:v>AU-0715</x:v>
      </x:c>
      <x:c r="C721" s="11" t="str">
        <x:v>failure-insertion definition</x:v>
      </x:c>
      <x:c r="D721" s="11" t="str">
        <x:v>FI-SA2-B-D</x:v>
      </x:c>
      <x:c r="E721" s="11" t="b">
        <x:f>'Failure Insertion'!L13="PASS"</x:f>
        <x:v>1</x:v>
      </x:c>
      <x:c r="F721" s="29" t="b">
        <x:v>1</x:v>
      </x:c>
      <x:c r="G721" s="11" t="b">
        <x:f>'Failure Insertion'!L13="PASS"</x:f>
        <x:v>1</x:v>
      </x:c>
      <x:c r="H721" s="11" t="str">
        <x:f>IF(G721=F721,"PASS","FAIL")</x:f>
        <x:v>PASS</x:v>
      </x:c>
      <x:c r="I721" s="38"/>
    </x:row>
    <x:row r="722">
      <x:c r="B722" s="11" t="str">
        <x:v>AU-0716</x:v>
      </x:c>
      <x:c r="C722" s="11" t="str">
        <x:v>failure-insertion definition</x:v>
      </x:c>
      <x:c r="D722" s="11" t="str">
        <x:v>FI-SA2-B-S</x:v>
      </x:c>
      <x:c r="E722" s="11" t="b">
        <x:f>'Failure Insertion'!L14="PASS"</x:f>
        <x:v>1</x:v>
      </x:c>
      <x:c r="F722" s="29" t="b">
        <x:v>1</x:v>
      </x:c>
      <x:c r="G722" s="11" t="b">
        <x:f>'Failure Insertion'!L14="PASS"</x:f>
        <x:v>1</x:v>
      </x:c>
      <x:c r="H722" s="11" t="str">
        <x:f>IF(G722=F722,"PASS","FAIL")</x:f>
        <x:v>PASS</x:v>
      </x:c>
      <x:c r="I722" s="38"/>
    </x:row>
    <x:row r="723">
      <x:c r="B723" s="11" t="str">
        <x:v>AU-0717</x:v>
      </x:c>
      <x:c r="C723" s="11" t="str">
        <x:v>failure-insertion definition</x:v>
      </x:c>
      <x:c r="D723" s="11" t="str">
        <x:v>FI-SA3-A-D</x:v>
      </x:c>
      <x:c r="E723" s="11" t="b">
        <x:f>'Failure Insertion'!L15="PASS"</x:f>
        <x:v>1</x:v>
      </x:c>
      <x:c r="F723" s="29" t="b">
        <x:v>1</x:v>
      </x:c>
      <x:c r="G723" s="11" t="b">
        <x:f>'Failure Insertion'!L15="PASS"</x:f>
        <x:v>1</x:v>
      </x:c>
      <x:c r="H723" s="11" t="str">
        <x:f>IF(G723=F723,"PASS","FAIL")</x:f>
        <x:v>PASS</x:v>
      </x:c>
      <x:c r="I723" s="38"/>
    </x:row>
    <x:row r="724">
      <x:c r="B724" s="11" t="str">
        <x:v>AU-0718</x:v>
      </x:c>
      <x:c r="C724" s="11" t="str">
        <x:v>failure-insertion definition</x:v>
      </x:c>
      <x:c r="D724" s="11" t="str">
        <x:v>FI-SA3-A-S</x:v>
      </x:c>
      <x:c r="E724" s="11" t="b">
        <x:f>'Failure Insertion'!L16="PASS"</x:f>
        <x:v>1</x:v>
      </x:c>
      <x:c r="F724" s="29" t="b">
        <x:v>1</x:v>
      </x:c>
      <x:c r="G724" s="11" t="b">
        <x:f>'Failure Insertion'!L16="PASS"</x:f>
        <x:v>1</x:v>
      </x:c>
      <x:c r="H724" s="11" t="str">
        <x:f>IF(G724=F724,"PASS","FAIL")</x:f>
        <x:v>PASS</x:v>
      </x:c>
      <x:c r="I724" s="38"/>
    </x:row>
    <x:row r="725">
      <x:c r="B725" s="11" t="str">
        <x:v>AU-0719</x:v>
      </x:c>
      <x:c r="C725" s="11" t="str">
        <x:v>failure-insertion definition</x:v>
      </x:c>
      <x:c r="D725" s="11" t="str">
        <x:v>FI-SA3-B-D</x:v>
      </x:c>
      <x:c r="E725" s="11" t="b">
        <x:f>'Failure Insertion'!L17="PASS"</x:f>
        <x:v>1</x:v>
      </x:c>
      <x:c r="F725" s="29" t="b">
        <x:v>1</x:v>
      </x:c>
      <x:c r="G725" s="11" t="b">
        <x:f>'Failure Insertion'!L17="PASS"</x:f>
        <x:v>1</x:v>
      </x:c>
      <x:c r="H725" s="11" t="str">
        <x:f>IF(G725=F725,"PASS","FAIL")</x:f>
        <x:v>PASS</x:v>
      </x:c>
      <x:c r="I725" s="38"/>
    </x:row>
    <x:row r="726">
      <x:c r="B726" s="11" t="str">
        <x:v>AU-0720</x:v>
      </x:c>
      <x:c r="C726" s="11" t="str">
        <x:v>failure-insertion definition</x:v>
      </x:c>
      <x:c r="D726" s="11" t="str">
        <x:v>FI-SA3-B-S</x:v>
      </x:c>
      <x:c r="E726" s="11" t="b">
        <x:f>'Failure Insertion'!L18="PASS"</x:f>
        <x:v>1</x:v>
      </x:c>
      <x:c r="F726" s="29" t="b">
        <x:v>1</x:v>
      </x:c>
      <x:c r="G726" s="11" t="b">
        <x:f>'Failure Insertion'!L18="PASS"</x:f>
        <x:v>1</x:v>
      </x:c>
      <x:c r="H726" s="11" t="str">
        <x:f>IF(G726=F726,"PASS","FAIL")</x:f>
        <x:v>PASS</x:v>
      </x:c>
      <x:c r="I726" s="38"/>
    </x:row>
    <x:row r="727">
      <x:c r="B727" s="11" t="str">
        <x:v>AU-0721</x:v>
      </x:c>
      <x:c r="C727" s="11" t="str">
        <x:v>failure-insertion definition</x:v>
      </x:c>
      <x:c r="D727" s="11" t="str">
        <x:v>FI-SA4-A-D</x:v>
      </x:c>
      <x:c r="E727" s="11" t="b">
        <x:f>'Failure Insertion'!L19="PASS"</x:f>
        <x:v>1</x:v>
      </x:c>
      <x:c r="F727" s="29" t="b">
        <x:v>1</x:v>
      </x:c>
      <x:c r="G727" s="11" t="b">
        <x:f>'Failure Insertion'!L19="PASS"</x:f>
        <x:v>1</x:v>
      </x:c>
      <x:c r="H727" s="11" t="str">
        <x:f>IF(G727=F727,"PASS","FAIL")</x:f>
        <x:v>PASS</x:v>
      </x:c>
      <x:c r="I727" s="38"/>
    </x:row>
    <x:row r="728">
      <x:c r="B728" s="11" t="str">
        <x:v>AU-0722</x:v>
      </x:c>
      <x:c r="C728" s="11" t="str">
        <x:v>failure-insertion definition</x:v>
      </x:c>
      <x:c r="D728" s="11" t="str">
        <x:v>FI-SA4-A-S</x:v>
      </x:c>
      <x:c r="E728" s="11" t="b">
        <x:f>'Failure Insertion'!L20="PASS"</x:f>
        <x:v>1</x:v>
      </x:c>
      <x:c r="F728" s="29" t="b">
        <x:v>1</x:v>
      </x:c>
      <x:c r="G728" s="11" t="b">
        <x:f>'Failure Insertion'!L20="PASS"</x:f>
        <x:v>1</x:v>
      </x:c>
      <x:c r="H728" s="11" t="str">
        <x:f>IF(G728=F728,"PASS","FAIL")</x:f>
        <x:v>PASS</x:v>
      </x:c>
      <x:c r="I728" s="38"/>
    </x:row>
    <x:row r="729">
      <x:c r="B729" s="11" t="str">
        <x:v>AU-0723</x:v>
      </x:c>
      <x:c r="C729" s="11" t="str">
        <x:v>failure-insertion definition</x:v>
      </x:c>
      <x:c r="D729" s="11" t="str">
        <x:v>FI-SA4-B-D</x:v>
      </x:c>
      <x:c r="E729" s="11" t="b">
        <x:f>'Failure Insertion'!L21="PASS"</x:f>
        <x:v>1</x:v>
      </x:c>
      <x:c r="F729" s="29" t="b">
        <x:v>1</x:v>
      </x:c>
      <x:c r="G729" s="11" t="b">
        <x:f>'Failure Insertion'!L21="PASS"</x:f>
        <x:v>1</x:v>
      </x:c>
      <x:c r="H729" s="11" t="str">
        <x:f>IF(G729=F729,"PASS","FAIL")</x:f>
        <x:v>PASS</x:v>
      </x:c>
      <x:c r="I729" s="38"/>
    </x:row>
    <x:row r="730">
      <x:c r="B730" s="11" t="str">
        <x:v>AU-0724</x:v>
      </x:c>
      <x:c r="C730" s="11" t="str">
        <x:v>failure-insertion definition</x:v>
      </x:c>
      <x:c r="D730" s="11" t="str">
        <x:v>FI-SA4-B-S</x:v>
      </x:c>
      <x:c r="E730" s="11" t="b">
        <x:f>'Failure Insertion'!L22="PASS"</x:f>
        <x:v>1</x:v>
      </x:c>
      <x:c r="F730" s="29" t="b">
        <x:v>1</x:v>
      </x:c>
      <x:c r="G730" s="11" t="b">
        <x:f>'Failure Insertion'!L22="PASS"</x:f>
        <x:v>1</x:v>
      </x:c>
      <x:c r="H730" s="11" t="str">
        <x:f>IF(G730=F730,"PASS","FAIL")</x:f>
        <x:v>PASS</x:v>
      </x:c>
      <x:c r="I730" s="38"/>
    </x:row>
    <x:row r="731">
      <x:c r="B731" s="11" t="str">
        <x:v>AU-0725</x:v>
      </x:c>
      <x:c r="C731" s="11" t="str">
        <x:v>failure-insertion definition</x:v>
      </x:c>
      <x:c r="D731" s="11" t="str">
        <x:v>FI-SA5-A-D</x:v>
      </x:c>
      <x:c r="E731" s="11" t="b">
        <x:f>'Failure Insertion'!L23="PASS"</x:f>
        <x:v>1</x:v>
      </x:c>
      <x:c r="F731" s="29" t="b">
        <x:v>1</x:v>
      </x:c>
      <x:c r="G731" s="11" t="b">
        <x:f>'Failure Insertion'!L23="PASS"</x:f>
        <x:v>1</x:v>
      </x:c>
      <x:c r="H731" s="11" t="str">
        <x:f>IF(G731=F731,"PASS","FAIL")</x:f>
        <x:v>PASS</x:v>
      </x:c>
      <x:c r="I731" s="38"/>
    </x:row>
    <x:row r="732">
      <x:c r="B732" s="11" t="str">
        <x:v>AU-0726</x:v>
      </x:c>
      <x:c r="C732" s="11" t="str">
        <x:v>failure-insertion definition</x:v>
      </x:c>
      <x:c r="D732" s="11" t="str">
        <x:v>FI-SA5-A-S</x:v>
      </x:c>
      <x:c r="E732" s="11" t="b">
        <x:f>'Failure Insertion'!L24="PASS"</x:f>
        <x:v>1</x:v>
      </x:c>
      <x:c r="F732" s="29" t="b">
        <x:v>1</x:v>
      </x:c>
      <x:c r="G732" s="11" t="b">
        <x:f>'Failure Insertion'!L24="PASS"</x:f>
        <x:v>1</x:v>
      </x:c>
      <x:c r="H732" s="11" t="str">
        <x:f>IF(G732=F732,"PASS","FAIL")</x:f>
        <x:v>PASS</x:v>
      </x:c>
      <x:c r="I732" s="38"/>
    </x:row>
    <x:row r="733">
      <x:c r="B733" s="11" t="str">
        <x:v>AU-0727</x:v>
      </x:c>
      <x:c r="C733" s="11" t="str">
        <x:v>failure-insertion definition</x:v>
      </x:c>
      <x:c r="D733" s="11" t="str">
        <x:v>FI-SA5-B-D</x:v>
      </x:c>
      <x:c r="E733" s="11" t="b">
        <x:f>'Failure Insertion'!L25="PASS"</x:f>
        <x:v>1</x:v>
      </x:c>
      <x:c r="F733" s="29" t="b">
        <x:v>1</x:v>
      </x:c>
      <x:c r="G733" s="11" t="b">
        <x:f>'Failure Insertion'!L25="PASS"</x:f>
        <x:v>1</x:v>
      </x:c>
      <x:c r="H733" s="11" t="str">
        <x:f>IF(G733=F733,"PASS","FAIL")</x:f>
        <x:v>PASS</x:v>
      </x:c>
      <x:c r="I733" s="38"/>
    </x:row>
    <x:row r="734">
      <x:c r="B734" s="11" t="str">
        <x:v>AU-0728</x:v>
      </x:c>
      <x:c r="C734" s="11" t="str">
        <x:v>failure-insertion definition</x:v>
      </x:c>
      <x:c r="D734" s="11" t="str">
        <x:v>FI-SA5-B-S</x:v>
      </x:c>
      <x:c r="E734" s="11" t="b">
        <x:f>'Failure Insertion'!L26="PASS"</x:f>
        <x:v>1</x:v>
      </x:c>
      <x:c r="F734" s="29" t="b">
        <x:v>1</x:v>
      </x:c>
      <x:c r="G734" s="11" t="b">
        <x:f>'Failure Insertion'!L26="PASS"</x:f>
        <x:v>1</x:v>
      </x:c>
      <x:c r="H734" s="11" t="str">
        <x:f>IF(G734=F734,"PASS","FAIL")</x:f>
        <x:v>PASS</x:v>
      </x:c>
      <x:c r="I734" s="38"/>
    </x:row>
    <x:row r="735">
      <x:c r="B735" s="11" t="str">
        <x:v>AU-0729</x:v>
      </x:c>
      <x:c r="C735" s="11" t="str">
        <x:v>failure-insertion definition</x:v>
      </x:c>
      <x:c r="D735" s="11" t="str">
        <x:v>FI-SA6-A-D</x:v>
      </x:c>
      <x:c r="E735" s="11" t="b">
        <x:f>'Failure Insertion'!L27="PASS"</x:f>
        <x:v>1</x:v>
      </x:c>
      <x:c r="F735" s="29" t="b">
        <x:v>1</x:v>
      </x:c>
      <x:c r="G735" s="11" t="b">
        <x:f>'Failure Insertion'!L27="PASS"</x:f>
        <x:v>1</x:v>
      </x:c>
      <x:c r="H735" s="11" t="str">
        <x:f>IF(G735=F735,"PASS","FAIL")</x:f>
        <x:v>PASS</x:v>
      </x:c>
      <x:c r="I735" s="38"/>
    </x:row>
    <x:row r="736">
      <x:c r="B736" s="11" t="str">
        <x:v>AU-0730</x:v>
      </x:c>
      <x:c r="C736" s="11" t="str">
        <x:v>failure-insertion definition</x:v>
      </x:c>
      <x:c r="D736" s="11" t="str">
        <x:v>FI-SA6-A-S</x:v>
      </x:c>
      <x:c r="E736" s="11" t="b">
        <x:f>'Failure Insertion'!L28="PASS"</x:f>
        <x:v>1</x:v>
      </x:c>
      <x:c r="F736" s="29" t="b">
        <x:v>1</x:v>
      </x:c>
      <x:c r="G736" s="11" t="b">
        <x:f>'Failure Insertion'!L28="PASS"</x:f>
        <x:v>1</x:v>
      </x:c>
      <x:c r="H736" s="11" t="str">
        <x:f>IF(G736=F736,"PASS","FAIL")</x:f>
        <x:v>PASS</x:v>
      </x:c>
      <x:c r="I736" s="38"/>
    </x:row>
    <x:row r="737">
      <x:c r="B737" s="11" t="str">
        <x:v>AU-0731</x:v>
      </x:c>
      <x:c r="C737" s="11" t="str">
        <x:v>failure-insertion definition</x:v>
      </x:c>
      <x:c r="D737" s="11" t="str">
        <x:v>FI-SA6-B-D</x:v>
      </x:c>
      <x:c r="E737" s="11" t="b">
        <x:f>'Failure Insertion'!L29="PASS"</x:f>
        <x:v>1</x:v>
      </x:c>
      <x:c r="F737" s="29" t="b">
        <x:v>1</x:v>
      </x:c>
      <x:c r="G737" s="11" t="b">
        <x:f>'Failure Insertion'!L29="PASS"</x:f>
        <x:v>1</x:v>
      </x:c>
      <x:c r="H737" s="11" t="str">
        <x:f>IF(G737=F737,"PASS","FAIL")</x:f>
        <x:v>PASS</x:v>
      </x:c>
      <x:c r="I737" s="38"/>
    </x:row>
    <x:row r="738">
      <x:c r="B738" s="11" t="str">
        <x:v>AU-0732</x:v>
      </x:c>
      <x:c r="C738" s="11" t="str">
        <x:v>failure-insertion definition</x:v>
      </x:c>
      <x:c r="D738" s="11" t="str">
        <x:v>FI-SA6-B-S</x:v>
      </x:c>
      <x:c r="E738" s="11" t="b">
        <x:f>'Failure Insertion'!L30="PASS"</x:f>
        <x:v>1</x:v>
      </x:c>
      <x:c r="F738" s="29" t="b">
        <x:v>1</x:v>
      </x:c>
      <x:c r="G738" s="11" t="b">
        <x:f>'Failure Insertion'!L30="PASS"</x:f>
        <x:v>1</x:v>
      </x:c>
      <x:c r="H738" s="11" t="str">
        <x:f>IF(G738=F738,"PASS","FAIL")</x:f>
        <x:v>PASS</x:v>
      </x:c>
      <x:c r="I738" s="38"/>
    </x:row>
    <x:row r="739">
      <x:c r="B739" s="11" t="str">
        <x:v>AU-0733</x:v>
      </x:c>
      <x:c r="C739" s="11" t="str">
        <x:v>safe-state timing definition</x:v>
      </x:c>
      <x:c r="D739" s="11" t="str">
        <x:v>SS-SA1-A</x:v>
      </x:c>
      <x:c r="E739" s="11" t="b">
        <x:f>'Safe State'!P7="PASS"</x:f>
        <x:v>1</x:v>
      </x:c>
      <x:c r="F739" s="29" t="b">
        <x:v>1</x:v>
      </x:c>
      <x:c r="G739" s="11" t="b">
        <x:f>'Safe State'!P7="PASS"</x:f>
        <x:v>1</x:v>
      </x:c>
      <x:c r="H739" s="11" t="str">
        <x:f>IF(G739=F739,"PASS","FAIL")</x:f>
        <x:v>PASS</x:v>
      </x:c>
      <x:c r="I739" s="38"/>
    </x:row>
    <x:row r="740">
      <x:c r="B740" s="11" t="str">
        <x:v>AU-0734</x:v>
      </x:c>
      <x:c r="C740" s="11" t="str">
        <x:v>safe-state timing definition</x:v>
      </x:c>
      <x:c r="D740" s="11" t="str">
        <x:v>SS-SA1-B</x:v>
      </x:c>
      <x:c r="E740" s="11" t="b">
        <x:f>'Safe State'!P8="PASS"</x:f>
        <x:v>1</x:v>
      </x:c>
      <x:c r="F740" s="29" t="b">
        <x:v>1</x:v>
      </x:c>
      <x:c r="G740" s="11" t="b">
        <x:f>'Safe State'!P8="PASS"</x:f>
        <x:v>1</x:v>
      </x:c>
      <x:c r="H740" s="11" t="str">
        <x:f>IF(G740=F740,"PASS","FAIL")</x:f>
        <x:v>PASS</x:v>
      </x:c>
      <x:c r="I740" s="38"/>
    </x:row>
    <x:row r="741">
      <x:c r="B741" s="11" t="str">
        <x:v>AU-0735</x:v>
      </x:c>
      <x:c r="C741" s="11" t="str">
        <x:v>safe-state timing definition</x:v>
      </x:c>
      <x:c r="D741" s="11" t="str">
        <x:v>SS-SA2-A</x:v>
      </x:c>
      <x:c r="E741" s="11" t="b">
        <x:f>'Safe State'!P9="PASS"</x:f>
        <x:v>1</x:v>
      </x:c>
      <x:c r="F741" s="29" t="b">
        <x:v>1</x:v>
      </x:c>
      <x:c r="G741" s="11" t="b">
        <x:f>'Safe State'!P9="PASS"</x:f>
        <x:v>1</x:v>
      </x:c>
      <x:c r="H741" s="11" t="str">
        <x:f>IF(G741=F741,"PASS","FAIL")</x:f>
        <x:v>PASS</x:v>
      </x:c>
      <x:c r="I741" s="38"/>
    </x:row>
    <x:row r="742">
      <x:c r="B742" s="11" t="str">
        <x:v>AU-0736</x:v>
      </x:c>
      <x:c r="C742" s="11" t="str">
        <x:v>safe-state timing definition</x:v>
      </x:c>
      <x:c r="D742" s="11" t="str">
        <x:v>SS-SA2-B</x:v>
      </x:c>
      <x:c r="E742" s="11" t="b">
        <x:f>'Safe State'!P10="PASS"</x:f>
        <x:v>1</x:v>
      </x:c>
      <x:c r="F742" s="29" t="b">
        <x:v>1</x:v>
      </x:c>
      <x:c r="G742" s="11" t="b">
        <x:f>'Safe State'!P10="PASS"</x:f>
        <x:v>1</x:v>
      </x:c>
      <x:c r="H742" s="11" t="str">
        <x:f>IF(G742=F742,"PASS","FAIL")</x:f>
        <x:v>PASS</x:v>
      </x:c>
      <x:c r="I742" s="38"/>
    </x:row>
    <x:row r="743">
      <x:c r="B743" s="11" t="str">
        <x:v>AU-0737</x:v>
      </x:c>
      <x:c r="C743" s="11" t="str">
        <x:v>safe-state timing definition</x:v>
      </x:c>
      <x:c r="D743" s="11" t="str">
        <x:v>SS-SA3-A</x:v>
      </x:c>
      <x:c r="E743" s="11" t="b">
        <x:f>'Safe State'!P11="PASS"</x:f>
        <x:v>1</x:v>
      </x:c>
      <x:c r="F743" s="29" t="b">
        <x:v>1</x:v>
      </x:c>
      <x:c r="G743" s="11" t="b">
        <x:f>'Safe State'!P11="PASS"</x:f>
        <x:v>1</x:v>
      </x:c>
      <x:c r="H743" s="11" t="str">
        <x:f>IF(G743=F743,"PASS","FAIL")</x:f>
        <x:v>PASS</x:v>
      </x:c>
      <x:c r="I743" s="38"/>
    </x:row>
    <x:row r="744">
      <x:c r="B744" s="11" t="str">
        <x:v>AU-0738</x:v>
      </x:c>
      <x:c r="C744" s="11" t="str">
        <x:v>safe-state timing definition</x:v>
      </x:c>
      <x:c r="D744" s="11" t="str">
        <x:v>SS-SA3-B</x:v>
      </x:c>
      <x:c r="E744" s="11" t="b">
        <x:f>'Safe State'!P12="PASS"</x:f>
        <x:v>1</x:v>
      </x:c>
      <x:c r="F744" s="29" t="b">
        <x:v>1</x:v>
      </x:c>
      <x:c r="G744" s="11" t="b">
        <x:f>'Safe State'!P12="PASS"</x:f>
        <x:v>1</x:v>
      </x:c>
      <x:c r="H744" s="11" t="str">
        <x:f>IF(G744=F744,"PASS","FAIL")</x:f>
        <x:v>PASS</x:v>
      </x:c>
      <x:c r="I744" s="38"/>
    </x:row>
    <x:row r="745">
      <x:c r="B745" s="11" t="str">
        <x:v>AU-0739</x:v>
      </x:c>
      <x:c r="C745" s="11" t="str">
        <x:v>safe-state timing definition</x:v>
      </x:c>
      <x:c r="D745" s="11" t="str">
        <x:v>SS-SA4-A</x:v>
      </x:c>
      <x:c r="E745" s="11" t="b">
        <x:f>'Safe State'!P13="PASS"</x:f>
        <x:v>1</x:v>
      </x:c>
      <x:c r="F745" s="29" t="b">
        <x:v>1</x:v>
      </x:c>
      <x:c r="G745" s="11" t="b">
        <x:f>'Safe State'!P13="PASS"</x:f>
        <x:v>1</x:v>
      </x:c>
      <x:c r="H745" s="11" t="str">
        <x:f>IF(G745=F745,"PASS","FAIL")</x:f>
        <x:v>PASS</x:v>
      </x:c>
      <x:c r="I745" s="38"/>
    </x:row>
    <x:row r="746">
      <x:c r="B746" s="11" t="str">
        <x:v>AU-0740</x:v>
      </x:c>
      <x:c r="C746" s="11" t="str">
        <x:v>safe-state timing definition</x:v>
      </x:c>
      <x:c r="D746" s="11" t="str">
        <x:v>SS-SA4-B</x:v>
      </x:c>
      <x:c r="E746" s="11" t="b">
        <x:f>'Safe State'!P14="PASS"</x:f>
        <x:v>1</x:v>
      </x:c>
      <x:c r="F746" s="29" t="b">
        <x:v>1</x:v>
      </x:c>
      <x:c r="G746" s="11" t="b">
        <x:f>'Safe State'!P14="PASS"</x:f>
        <x:v>1</x:v>
      </x:c>
      <x:c r="H746" s="11" t="str">
        <x:f>IF(G746=F746,"PASS","FAIL")</x:f>
        <x:v>PASS</x:v>
      </x:c>
      <x:c r="I746" s="38"/>
    </x:row>
    <x:row r="747">
      <x:c r="B747" s="11" t="str">
        <x:v>AU-0741</x:v>
      </x:c>
      <x:c r="C747" s="11" t="str">
        <x:v>safe-state timing definition</x:v>
      </x:c>
      <x:c r="D747" s="11" t="str">
        <x:v>SS-SA5-A</x:v>
      </x:c>
      <x:c r="E747" s="11" t="b">
        <x:f>'Safe State'!P15="PASS"</x:f>
        <x:v>1</x:v>
      </x:c>
      <x:c r="F747" s="29" t="b">
        <x:v>1</x:v>
      </x:c>
      <x:c r="G747" s="11" t="b">
        <x:f>'Safe State'!P15="PASS"</x:f>
        <x:v>1</x:v>
      </x:c>
      <x:c r="H747" s="11" t="str">
        <x:f>IF(G747=F747,"PASS","FAIL")</x:f>
        <x:v>PASS</x:v>
      </x:c>
      <x:c r="I747" s="38"/>
    </x:row>
    <x:row r="748">
      <x:c r="B748" s="11" t="str">
        <x:v>AU-0742</x:v>
      </x:c>
      <x:c r="C748" s="11" t="str">
        <x:v>safe-state timing definition</x:v>
      </x:c>
      <x:c r="D748" s="11" t="str">
        <x:v>SS-SA5-B</x:v>
      </x:c>
      <x:c r="E748" s="11" t="b">
        <x:f>'Safe State'!P16="PASS"</x:f>
        <x:v>1</x:v>
      </x:c>
      <x:c r="F748" s="29" t="b">
        <x:v>1</x:v>
      </x:c>
      <x:c r="G748" s="11" t="b">
        <x:f>'Safe State'!P16="PASS"</x:f>
        <x:v>1</x:v>
      </x:c>
      <x:c r="H748" s="11" t="str">
        <x:f>IF(G748=F748,"PASS","FAIL")</x:f>
        <x:v>PASS</x:v>
      </x:c>
      <x:c r="I748" s="38"/>
    </x:row>
    <x:row r="749">
      <x:c r="B749" s="11" t="str">
        <x:v>AU-0743</x:v>
      </x:c>
      <x:c r="C749" s="11" t="str">
        <x:v>safe-state timing definition</x:v>
      </x:c>
      <x:c r="D749" s="11" t="str">
        <x:v>SS-SA6-A</x:v>
      </x:c>
      <x:c r="E749" s="11" t="b">
        <x:f>'Safe State'!P17="PASS"</x:f>
        <x:v>1</x:v>
      </x:c>
      <x:c r="F749" s="29" t="b">
        <x:v>1</x:v>
      </x:c>
      <x:c r="G749" s="11" t="b">
        <x:f>'Safe State'!P17="PASS"</x:f>
        <x:v>1</x:v>
      </x:c>
      <x:c r="H749" s="11" t="str">
        <x:f>IF(G749=F749,"PASS","FAIL")</x:f>
        <x:v>PASS</x:v>
      </x:c>
      <x:c r="I749" s="38"/>
    </x:row>
    <x:row r="750">
      <x:c r="B750" s="11" t="str">
        <x:v>AU-0744</x:v>
      </x:c>
      <x:c r="C750" s="11" t="str">
        <x:v>safe-state timing definition</x:v>
      </x:c>
      <x:c r="D750" s="11" t="str">
        <x:v>SS-SA6-B</x:v>
      </x:c>
      <x:c r="E750" s="11" t="b">
        <x:f>'Safe State'!P18="PASS"</x:f>
        <x:v>1</x:v>
      </x:c>
      <x:c r="F750" s="29" t="b">
        <x:v>1</x:v>
      </x:c>
      <x:c r="G750" s="11" t="b">
        <x:f>'Safe State'!P18="PASS"</x:f>
        <x:v>1</x:v>
      </x:c>
      <x:c r="H750" s="11" t="str">
        <x:f>IF(G750=F750,"PASS","FAIL")</x:f>
        <x:v>PASS</x:v>
      </x:c>
      <x:c r="I750" s="38"/>
    </x:row>
    <x:row r="751">
      <x:c r="B751" s="11" t="str">
        <x:v>AU-0745</x:v>
      </x:c>
      <x:c r="C751" s="11" t="str">
        <x:v>campus drill definition</x:v>
      </x:c>
      <x:c r="D751" s="11" t="str">
        <x:v>DR-PTC-A-01</x:v>
      </x:c>
      <x:c r="E751" s="11" t="b">
        <x:f>'Campus Drills'!M7="PASS"</x:f>
        <x:v>1</x:v>
      </x:c>
      <x:c r="F751" s="29" t="b">
        <x:v>1</x:v>
      </x:c>
      <x:c r="G751" s="11" t="b">
        <x:f>'Campus Drills'!M7="PASS"</x:f>
        <x:v>1</x:v>
      </x:c>
      <x:c r="H751" s="11" t="str">
        <x:f>IF(G751=F751,"PASS","FAIL")</x:f>
        <x:v>PASS</x:v>
      </x:c>
      <x:c r="I751" s="38"/>
    </x:row>
    <x:row r="752">
      <x:c r="B752" s="11" t="str">
        <x:v>AU-0746</x:v>
      </x:c>
      <x:c r="C752" s="11" t="str">
        <x:v>campus drill definition</x:v>
      </x:c>
      <x:c r="D752" s="11" t="str">
        <x:v>DR-PTC-A-02</x:v>
      </x:c>
      <x:c r="E752" s="11" t="b">
        <x:f>'Campus Drills'!M8="PASS"</x:f>
        <x:v>1</x:v>
      </x:c>
      <x:c r="F752" s="29" t="b">
        <x:v>1</x:v>
      </x:c>
      <x:c r="G752" s="11" t="b">
        <x:f>'Campus Drills'!M8="PASS"</x:f>
        <x:v>1</x:v>
      </x:c>
      <x:c r="H752" s="11" t="str">
        <x:f>IF(G752=F752,"PASS","FAIL")</x:f>
        <x:v>PASS</x:v>
      </x:c>
      <x:c r="I752" s="38"/>
    </x:row>
    <x:row r="753">
      <x:c r="B753" s="11" t="str">
        <x:v>AU-0747</x:v>
      </x:c>
      <x:c r="C753" s="11" t="str">
        <x:v>campus drill definition</x:v>
      </x:c>
      <x:c r="D753" s="11" t="str">
        <x:v>DR-PTC-A-03</x:v>
      </x:c>
      <x:c r="E753" s="11" t="b">
        <x:f>'Campus Drills'!M9="PASS"</x:f>
        <x:v>1</x:v>
      </x:c>
      <x:c r="F753" s="29" t="b">
        <x:v>1</x:v>
      </x:c>
      <x:c r="G753" s="11" t="b">
        <x:f>'Campus Drills'!M9="PASS"</x:f>
        <x:v>1</x:v>
      </x:c>
      <x:c r="H753" s="11" t="str">
        <x:f>IF(G753=F753,"PASS","FAIL")</x:f>
        <x:v>PASS</x:v>
      </x:c>
      <x:c r="I753" s="38"/>
    </x:row>
    <x:row r="754">
      <x:c r="B754" s="11" t="str">
        <x:v>AU-0748</x:v>
      </x:c>
      <x:c r="C754" s="11" t="str">
        <x:v>campus drill definition</x:v>
      </x:c>
      <x:c r="D754" s="11" t="str">
        <x:v>DR-PTC-A-04</x:v>
      </x:c>
      <x:c r="E754" s="11" t="b">
        <x:f>'Campus Drills'!M10="PASS"</x:f>
        <x:v>1</x:v>
      </x:c>
      <x:c r="F754" s="29" t="b">
        <x:v>1</x:v>
      </x:c>
      <x:c r="G754" s="11" t="b">
        <x:f>'Campus Drills'!M10="PASS"</x:f>
        <x:v>1</x:v>
      </x:c>
      <x:c r="H754" s="11" t="str">
        <x:f>IF(G754=F754,"PASS","FAIL")</x:f>
        <x:v>PASS</x:v>
      </x:c>
      <x:c r="I754" s="38"/>
    </x:row>
    <x:row r="755">
      <x:c r="B755" s="11" t="str">
        <x:v>AU-0749</x:v>
      </x:c>
      <x:c r="C755" s="11" t="str">
        <x:v>campus drill definition</x:v>
      </x:c>
      <x:c r="D755" s="11" t="str">
        <x:v>DR-PTC-A-05</x:v>
      </x:c>
      <x:c r="E755" s="11" t="b">
        <x:f>'Campus Drills'!M11="PASS"</x:f>
        <x:v>1</x:v>
      </x:c>
      <x:c r="F755" s="29" t="b">
        <x:v>1</x:v>
      </x:c>
      <x:c r="G755" s="11" t="b">
        <x:f>'Campus Drills'!M11="PASS"</x:f>
        <x:v>1</x:v>
      </x:c>
      <x:c r="H755" s="11" t="str">
        <x:f>IF(G755=F755,"PASS","FAIL")</x:f>
        <x:v>PASS</x:v>
      </x:c>
      <x:c r="I755" s="38"/>
    </x:row>
    <x:row r="756">
      <x:c r="B756" s="11" t="str">
        <x:v>AU-0750</x:v>
      </x:c>
      <x:c r="C756" s="11" t="str">
        <x:v>campus drill definition</x:v>
      </x:c>
      <x:c r="D756" s="11" t="str">
        <x:v>DR-PTC-A-06</x:v>
      </x:c>
      <x:c r="E756" s="11" t="b">
        <x:f>'Campus Drills'!M12="PASS"</x:f>
        <x:v>1</x:v>
      </x:c>
      <x:c r="F756" s="29" t="b">
        <x:v>1</x:v>
      </x:c>
      <x:c r="G756" s="11" t="b">
        <x:f>'Campus Drills'!M12="PASS"</x:f>
        <x:v>1</x:v>
      </x:c>
      <x:c r="H756" s="11" t="str">
        <x:f>IF(G756=F756,"PASS","FAIL")</x:f>
        <x:v>PASS</x:v>
      </x:c>
      <x:c r="I756" s="38"/>
    </x:row>
    <x:row r="757">
      <x:c r="B757" s="11" t="str">
        <x:v>AU-0751</x:v>
      </x:c>
      <x:c r="C757" s="11" t="str">
        <x:v>campus drill definition</x:v>
      </x:c>
      <x:c r="D757" s="11" t="str">
        <x:v>DR-PTC-A-07</x:v>
      </x:c>
      <x:c r="E757" s="11" t="b">
        <x:f>'Campus Drills'!M13="PASS"</x:f>
        <x:v>1</x:v>
      </x:c>
      <x:c r="F757" s="29" t="b">
        <x:v>1</x:v>
      </x:c>
      <x:c r="G757" s="11" t="b">
        <x:f>'Campus Drills'!M13="PASS"</x:f>
        <x:v>1</x:v>
      </x:c>
      <x:c r="H757" s="11" t="str">
        <x:f>IF(G757=F757,"PASS","FAIL")</x:f>
        <x:v>PASS</x:v>
      </x:c>
      <x:c r="I757" s="38"/>
    </x:row>
    <x:row r="758">
      <x:c r="B758" s="11" t="str">
        <x:v>AU-0752</x:v>
      </x:c>
      <x:c r="C758" s="11" t="str">
        <x:v>campus drill definition</x:v>
      </x:c>
      <x:c r="D758" s="11" t="str">
        <x:v>DR-PTC-A-08</x:v>
      </x:c>
      <x:c r="E758" s="11" t="b">
        <x:f>'Campus Drills'!M14="PASS"</x:f>
        <x:v>1</x:v>
      </x:c>
      <x:c r="F758" s="29" t="b">
        <x:v>1</x:v>
      </x:c>
      <x:c r="G758" s="11" t="b">
        <x:f>'Campus Drills'!M14="PASS"</x:f>
        <x:v>1</x:v>
      </x:c>
      <x:c r="H758" s="11" t="str">
        <x:f>IF(G758=F758,"PASS","FAIL")</x:f>
        <x:v>PASS</x:v>
      </x:c>
      <x:c r="I758" s="38"/>
    </x:row>
    <x:row r="759">
      <x:c r="B759" s="11" t="str">
        <x:v>AU-0753</x:v>
      </x:c>
      <x:c r="C759" s="11" t="str">
        <x:v>campus drill definition</x:v>
      </x:c>
      <x:c r="D759" s="11" t="str">
        <x:v>DR-PTC-B-01</x:v>
      </x:c>
      <x:c r="E759" s="11" t="b">
        <x:f>'Campus Drills'!M15="PASS"</x:f>
        <x:v>1</x:v>
      </x:c>
      <x:c r="F759" s="29" t="b">
        <x:v>1</x:v>
      </x:c>
      <x:c r="G759" s="11" t="b">
        <x:f>'Campus Drills'!M15="PASS"</x:f>
        <x:v>1</x:v>
      </x:c>
      <x:c r="H759" s="11" t="str">
        <x:f>IF(G759=F759,"PASS","FAIL")</x:f>
        <x:v>PASS</x:v>
      </x:c>
      <x:c r="I759" s="38"/>
    </x:row>
    <x:row r="760">
      <x:c r="B760" s="11" t="str">
        <x:v>AU-0754</x:v>
      </x:c>
      <x:c r="C760" s="11" t="str">
        <x:v>campus drill definition</x:v>
      </x:c>
      <x:c r="D760" s="11" t="str">
        <x:v>DR-PTC-B-02</x:v>
      </x:c>
      <x:c r="E760" s="11" t="b">
        <x:f>'Campus Drills'!M16="PASS"</x:f>
        <x:v>1</x:v>
      </x:c>
      <x:c r="F760" s="29" t="b">
        <x:v>1</x:v>
      </x:c>
      <x:c r="G760" s="11" t="b">
        <x:f>'Campus Drills'!M16="PASS"</x:f>
        <x:v>1</x:v>
      </x:c>
      <x:c r="H760" s="11" t="str">
        <x:f>IF(G760=F760,"PASS","FAIL")</x:f>
        <x:v>PASS</x:v>
      </x:c>
      <x:c r="I760" s="38"/>
    </x:row>
    <x:row r="761">
      <x:c r="B761" s="11" t="str">
        <x:v>AU-0755</x:v>
      </x:c>
      <x:c r="C761" s="11" t="str">
        <x:v>campus drill definition</x:v>
      </x:c>
      <x:c r="D761" s="11" t="str">
        <x:v>DR-PTC-B-03</x:v>
      </x:c>
      <x:c r="E761" s="11" t="b">
        <x:f>'Campus Drills'!M17="PASS"</x:f>
        <x:v>1</x:v>
      </x:c>
      <x:c r="F761" s="29" t="b">
        <x:v>1</x:v>
      </x:c>
      <x:c r="G761" s="11" t="b">
        <x:f>'Campus Drills'!M17="PASS"</x:f>
        <x:v>1</x:v>
      </x:c>
      <x:c r="H761" s="11" t="str">
        <x:f>IF(G761=F761,"PASS","FAIL")</x:f>
        <x:v>PASS</x:v>
      </x:c>
      <x:c r="I761" s="38"/>
    </x:row>
    <x:row r="762">
      <x:c r="B762" s="11" t="str">
        <x:v>AU-0756</x:v>
      </x:c>
      <x:c r="C762" s="11" t="str">
        <x:v>campus drill definition</x:v>
      </x:c>
      <x:c r="D762" s="11" t="str">
        <x:v>DR-PTC-B-04</x:v>
      </x:c>
      <x:c r="E762" s="11" t="b">
        <x:f>'Campus Drills'!M18="PASS"</x:f>
        <x:v>1</x:v>
      </x:c>
      <x:c r="F762" s="29" t="b">
        <x:v>1</x:v>
      </x:c>
      <x:c r="G762" s="11" t="b">
        <x:f>'Campus Drills'!M18="PASS"</x:f>
        <x:v>1</x:v>
      </x:c>
      <x:c r="H762" s="11" t="str">
        <x:f>IF(G762=F762,"PASS","FAIL")</x:f>
        <x:v>PASS</x:v>
      </x:c>
      <x:c r="I762" s="38"/>
    </x:row>
    <x:row r="763">
      <x:c r="B763" s="11" t="str">
        <x:v>AU-0757</x:v>
      </x:c>
      <x:c r="C763" s="11" t="str">
        <x:v>campus drill definition</x:v>
      </x:c>
      <x:c r="D763" s="11" t="str">
        <x:v>DR-PTC-B-05</x:v>
      </x:c>
      <x:c r="E763" s="11" t="b">
        <x:f>'Campus Drills'!M19="PASS"</x:f>
        <x:v>1</x:v>
      </x:c>
      <x:c r="F763" s="29" t="b">
        <x:v>1</x:v>
      </x:c>
      <x:c r="G763" s="11" t="b">
        <x:f>'Campus Drills'!M19="PASS"</x:f>
        <x:v>1</x:v>
      </x:c>
      <x:c r="H763" s="11" t="str">
        <x:f>IF(G763=F763,"PASS","FAIL")</x:f>
        <x:v>PASS</x:v>
      </x:c>
      <x:c r="I763" s="38"/>
    </x:row>
    <x:row r="764">
      <x:c r="B764" s="11" t="str">
        <x:v>AU-0758</x:v>
      </x:c>
      <x:c r="C764" s="11" t="str">
        <x:v>campus drill definition</x:v>
      </x:c>
      <x:c r="D764" s="11" t="str">
        <x:v>DR-PTC-B-06</x:v>
      </x:c>
      <x:c r="E764" s="11" t="b">
        <x:f>'Campus Drills'!M20="PASS"</x:f>
        <x:v>1</x:v>
      </x:c>
      <x:c r="F764" s="29" t="b">
        <x:v>1</x:v>
      </x:c>
      <x:c r="G764" s="11" t="b">
        <x:f>'Campus Drills'!M20="PASS"</x:f>
        <x:v>1</x:v>
      </x:c>
      <x:c r="H764" s="11" t="str">
        <x:f>IF(G764=F764,"PASS","FAIL")</x:f>
        <x:v>PASS</x:v>
      </x:c>
      <x:c r="I764" s="38"/>
    </x:row>
    <x:row r="765">
      <x:c r="B765" s="11" t="str">
        <x:v>AU-0759</x:v>
      </x:c>
      <x:c r="C765" s="11" t="str">
        <x:v>campus drill definition</x:v>
      </x:c>
      <x:c r="D765" s="11" t="str">
        <x:v>DR-PTC-B-07</x:v>
      </x:c>
      <x:c r="E765" s="11" t="b">
        <x:f>'Campus Drills'!M21="PASS"</x:f>
        <x:v>1</x:v>
      </x:c>
      <x:c r="F765" s="29" t="b">
        <x:v>1</x:v>
      </x:c>
      <x:c r="G765" s="11" t="b">
        <x:f>'Campus Drills'!M21="PASS"</x:f>
        <x:v>1</x:v>
      </x:c>
      <x:c r="H765" s="11" t="str">
        <x:f>IF(G765=F765,"PASS","FAIL")</x:f>
        <x:v>PASS</x:v>
      </x:c>
      <x:c r="I765" s="38"/>
    </x:row>
    <x:row r="766">
      <x:c r="B766" s="11" t="str">
        <x:v>AU-0760</x:v>
      </x:c>
      <x:c r="C766" s="11" t="str">
        <x:v>campus drill definition</x:v>
      </x:c>
      <x:c r="D766" s="11" t="str">
        <x:v>DR-PTC-B-08</x:v>
      </x:c>
      <x:c r="E766" s="11" t="b">
        <x:f>'Campus Drills'!M22="PASS"</x:f>
        <x:v>1</x:v>
      </x:c>
      <x:c r="F766" s="29" t="b">
        <x:v>1</x:v>
      </x:c>
      <x:c r="G766" s="11" t="b">
        <x:f>'Campus Drills'!M22="PASS"</x:f>
        <x:v>1</x:v>
      </x:c>
      <x:c r="H766" s="11" t="str">
        <x:f>IF(G766=F766,"PASS","FAIL")</x:f>
        <x:v>PASS</x:v>
      </x:c>
      <x:c r="I766" s="38"/>
    </x:row>
    <x:row r="767">
      <x:c r="B767" s="11" t="str">
        <x:v>AU-0761</x:v>
      </x:c>
      <x:c r="C767" s="11" t="str">
        <x:v>campus drill definition</x:v>
      </x:c>
      <x:c r="D767" s="11" t="str">
        <x:v>DR-PTC-C-01</x:v>
      </x:c>
      <x:c r="E767" s="11" t="b">
        <x:f>'Campus Drills'!M23="PASS"</x:f>
        <x:v>1</x:v>
      </x:c>
      <x:c r="F767" s="29" t="b">
        <x:v>1</x:v>
      </x:c>
      <x:c r="G767" s="11" t="b">
        <x:f>'Campus Drills'!M23="PASS"</x:f>
        <x:v>1</x:v>
      </x:c>
      <x:c r="H767" s="11" t="str">
        <x:f>IF(G767=F767,"PASS","FAIL")</x:f>
        <x:v>PASS</x:v>
      </x:c>
      <x:c r="I767" s="38"/>
    </x:row>
    <x:row r="768">
      <x:c r="B768" s="11" t="str">
        <x:v>AU-0762</x:v>
      </x:c>
      <x:c r="C768" s="11" t="str">
        <x:v>campus drill definition</x:v>
      </x:c>
      <x:c r="D768" s="11" t="str">
        <x:v>DR-PTC-C-02</x:v>
      </x:c>
      <x:c r="E768" s="11" t="b">
        <x:f>'Campus Drills'!M24="PASS"</x:f>
        <x:v>1</x:v>
      </x:c>
      <x:c r="F768" s="29" t="b">
        <x:v>1</x:v>
      </x:c>
      <x:c r="G768" s="11" t="b">
        <x:f>'Campus Drills'!M24="PASS"</x:f>
        <x:v>1</x:v>
      </x:c>
      <x:c r="H768" s="11" t="str">
        <x:f>IF(G768=F768,"PASS","FAIL")</x:f>
        <x:v>PASS</x:v>
      </x:c>
      <x:c r="I768" s="38"/>
    </x:row>
    <x:row r="769">
      <x:c r="B769" s="11" t="str">
        <x:v>AU-0763</x:v>
      </x:c>
      <x:c r="C769" s="11" t="str">
        <x:v>campus drill definition</x:v>
      </x:c>
      <x:c r="D769" s="11" t="str">
        <x:v>DR-PTC-C-03</x:v>
      </x:c>
      <x:c r="E769" s="11" t="b">
        <x:f>'Campus Drills'!M25="PASS"</x:f>
        <x:v>1</x:v>
      </x:c>
      <x:c r="F769" s="29" t="b">
        <x:v>1</x:v>
      </x:c>
      <x:c r="G769" s="11" t="b">
        <x:f>'Campus Drills'!M25="PASS"</x:f>
        <x:v>1</x:v>
      </x:c>
      <x:c r="H769" s="11" t="str">
        <x:f>IF(G769=F769,"PASS","FAIL")</x:f>
        <x:v>PASS</x:v>
      </x:c>
      <x:c r="I769" s="38"/>
    </x:row>
    <x:row r="770">
      <x:c r="B770" s="11" t="str">
        <x:v>AU-0764</x:v>
      </x:c>
      <x:c r="C770" s="11" t="str">
        <x:v>campus drill definition</x:v>
      </x:c>
      <x:c r="D770" s="11" t="str">
        <x:v>DR-PTC-C-04</x:v>
      </x:c>
      <x:c r="E770" s="11" t="b">
        <x:f>'Campus Drills'!M26="PASS"</x:f>
        <x:v>1</x:v>
      </x:c>
      <x:c r="F770" s="29" t="b">
        <x:v>1</x:v>
      </x:c>
      <x:c r="G770" s="11" t="b">
        <x:f>'Campus Drills'!M26="PASS"</x:f>
        <x:v>1</x:v>
      </x:c>
      <x:c r="H770" s="11" t="str">
        <x:f>IF(G770=F770,"PASS","FAIL")</x:f>
        <x:v>PASS</x:v>
      </x:c>
      <x:c r="I770" s="38"/>
    </x:row>
    <x:row r="771">
      <x:c r="B771" s="11" t="str">
        <x:v>AU-0765</x:v>
      </x:c>
      <x:c r="C771" s="11" t="str">
        <x:v>campus drill definition</x:v>
      </x:c>
      <x:c r="D771" s="11" t="str">
        <x:v>DR-PTC-C-05</x:v>
      </x:c>
      <x:c r="E771" s="11" t="b">
        <x:f>'Campus Drills'!M27="PASS"</x:f>
        <x:v>1</x:v>
      </x:c>
      <x:c r="F771" s="29" t="b">
        <x:v>1</x:v>
      </x:c>
      <x:c r="G771" s="11" t="b">
        <x:f>'Campus Drills'!M27="PASS"</x:f>
        <x:v>1</x:v>
      </x:c>
      <x:c r="H771" s="11" t="str">
        <x:f>IF(G771=F771,"PASS","FAIL")</x:f>
        <x:v>PASS</x:v>
      </x:c>
      <x:c r="I771" s="38"/>
    </x:row>
    <x:row r="772">
      <x:c r="B772" s="11" t="str">
        <x:v>AU-0766</x:v>
      </x:c>
      <x:c r="C772" s="11" t="str">
        <x:v>campus drill definition</x:v>
      </x:c>
      <x:c r="D772" s="11" t="str">
        <x:v>DR-PTC-C-06</x:v>
      </x:c>
      <x:c r="E772" s="11" t="b">
        <x:f>'Campus Drills'!M28="PASS"</x:f>
        <x:v>1</x:v>
      </x:c>
      <x:c r="F772" s="29" t="b">
        <x:v>1</x:v>
      </x:c>
      <x:c r="G772" s="11" t="b">
        <x:f>'Campus Drills'!M28="PASS"</x:f>
        <x:v>1</x:v>
      </x:c>
      <x:c r="H772" s="11" t="str">
        <x:f>IF(G772=F772,"PASS","FAIL")</x:f>
        <x:v>PASS</x:v>
      </x:c>
      <x:c r="I772" s="38"/>
    </x:row>
    <x:row r="773">
      <x:c r="B773" s="11" t="str">
        <x:v>AU-0767</x:v>
      </x:c>
      <x:c r="C773" s="11" t="str">
        <x:v>campus drill definition</x:v>
      </x:c>
      <x:c r="D773" s="11" t="str">
        <x:v>DR-PTC-C-07</x:v>
      </x:c>
      <x:c r="E773" s="11" t="b">
        <x:f>'Campus Drills'!M29="PASS"</x:f>
        <x:v>1</x:v>
      </x:c>
      <x:c r="F773" s="29" t="b">
        <x:v>1</x:v>
      </x:c>
      <x:c r="G773" s="11" t="b">
        <x:f>'Campus Drills'!M29="PASS"</x:f>
        <x:v>1</x:v>
      </x:c>
      <x:c r="H773" s="11" t="str">
        <x:f>IF(G773=F773,"PASS","FAIL")</x:f>
        <x:v>PASS</x:v>
      </x:c>
      <x:c r="I773" s="38"/>
    </x:row>
    <x:row r="774">
      <x:c r="B774" s="11" t="str">
        <x:v>AU-0768</x:v>
      </x:c>
      <x:c r="C774" s="11" t="str">
        <x:v>campus drill definition</x:v>
      </x:c>
      <x:c r="D774" s="11" t="str">
        <x:v>DR-PTC-C-08</x:v>
      </x:c>
      <x:c r="E774" s="11" t="b">
        <x:f>'Campus Drills'!M30="PASS"</x:f>
        <x:v>1</x:v>
      </x:c>
      <x:c r="F774" s="29" t="b">
        <x:v>1</x:v>
      </x:c>
      <x:c r="G774" s="11" t="b">
        <x:f>'Campus Drills'!M30="PASS"</x:f>
        <x:v>1</x:v>
      </x:c>
      <x:c r="H774" s="11" t="str">
        <x:f>IF(G774=F774,"PASS","FAIL")</x:f>
        <x:v>PASS</x:v>
      </x:c>
      <x:c r="I774" s="38"/>
    </x:row>
    <x:row r="775">
      <x:c r="B775" s="11" t="str">
        <x:v>AU-0769</x:v>
      </x:c>
      <x:c r="C775" s="11" t="str">
        <x:v>cross-site replay definition</x:v>
      </x:c>
      <x:c r="D775" s="11" t="str">
        <x:v>XR-SA1-1</x:v>
      </x:c>
      <x:c r="E775" s="11" t="b">
        <x:f>'Cross-Site Replay'!N7="PASS"</x:f>
        <x:v>1</x:v>
      </x:c>
      <x:c r="F775" s="29" t="b">
        <x:v>1</x:v>
      </x:c>
      <x:c r="G775" s="11" t="b">
        <x:f>'Cross-Site Replay'!N7="PASS"</x:f>
        <x:v>1</x:v>
      </x:c>
      <x:c r="H775" s="11" t="str">
        <x:f>IF(G775=F775,"PASS","FAIL")</x:f>
        <x:v>PASS</x:v>
      </x:c>
      <x:c r="I775" s="38"/>
    </x:row>
    <x:row r="776">
      <x:c r="B776" s="11" t="str">
        <x:v>AU-0770</x:v>
      </x:c>
      <x:c r="C776" s="11" t="str">
        <x:v>cross-site replay definition</x:v>
      </x:c>
      <x:c r="D776" s="11" t="str">
        <x:v>XR-SA1-2</x:v>
      </x:c>
      <x:c r="E776" s="11" t="b">
        <x:f>'Cross-Site Replay'!N8="PASS"</x:f>
        <x:v>1</x:v>
      </x:c>
      <x:c r="F776" s="29" t="b">
        <x:v>1</x:v>
      </x:c>
      <x:c r="G776" s="11" t="b">
        <x:f>'Cross-Site Replay'!N8="PASS"</x:f>
        <x:v>1</x:v>
      </x:c>
      <x:c r="H776" s="11" t="str">
        <x:f>IF(G776=F776,"PASS","FAIL")</x:f>
        <x:v>PASS</x:v>
      </x:c>
      <x:c r="I776" s="38"/>
    </x:row>
    <x:row r="777">
      <x:c r="B777" s="11" t="str">
        <x:v>AU-0771</x:v>
      </x:c>
      <x:c r="C777" s="11" t="str">
        <x:v>cross-site replay definition</x:v>
      </x:c>
      <x:c r="D777" s="11" t="str">
        <x:v>XR-SA2-1</x:v>
      </x:c>
      <x:c r="E777" s="11" t="b">
        <x:f>'Cross-Site Replay'!N9="PASS"</x:f>
        <x:v>1</x:v>
      </x:c>
      <x:c r="F777" s="29" t="b">
        <x:v>1</x:v>
      </x:c>
      <x:c r="G777" s="11" t="b">
        <x:f>'Cross-Site Replay'!N9="PASS"</x:f>
        <x:v>1</x:v>
      </x:c>
      <x:c r="H777" s="11" t="str">
        <x:f>IF(G777=F777,"PASS","FAIL")</x:f>
        <x:v>PASS</x:v>
      </x:c>
      <x:c r="I777" s="38"/>
    </x:row>
    <x:row r="778">
      <x:c r="B778" s="11" t="str">
        <x:v>AU-0772</x:v>
      </x:c>
      <x:c r="C778" s="11" t="str">
        <x:v>cross-site replay definition</x:v>
      </x:c>
      <x:c r="D778" s="11" t="str">
        <x:v>XR-SA2-2</x:v>
      </x:c>
      <x:c r="E778" s="11" t="b">
        <x:f>'Cross-Site Replay'!N10="PASS"</x:f>
        <x:v>1</x:v>
      </x:c>
      <x:c r="F778" s="29" t="b">
        <x:v>1</x:v>
      </x:c>
      <x:c r="G778" s="11" t="b">
        <x:f>'Cross-Site Replay'!N10="PASS"</x:f>
        <x:v>1</x:v>
      </x:c>
      <x:c r="H778" s="11" t="str">
        <x:f>IF(G778=F778,"PASS","FAIL")</x:f>
        <x:v>PASS</x:v>
      </x:c>
      <x:c r="I778" s="38"/>
    </x:row>
    <x:row r="779">
      <x:c r="B779" s="11" t="str">
        <x:v>AU-0773</x:v>
      </x:c>
      <x:c r="C779" s="11" t="str">
        <x:v>cross-site replay definition</x:v>
      </x:c>
      <x:c r="D779" s="11" t="str">
        <x:v>XR-SA3-1</x:v>
      </x:c>
      <x:c r="E779" s="11" t="b">
        <x:f>'Cross-Site Replay'!N11="PASS"</x:f>
        <x:v>1</x:v>
      </x:c>
      <x:c r="F779" s="29" t="b">
        <x:v>1</x:v>
      </x:c>
      <x:c r="G779" s="11" t="b">
        <x:f>'Cross-Site Replay'!N11="PASS"</x:f>
        <x:v>1</x:v>
      </x:c>
      <x:c r="H779" s="11" t="str">
        <x:f>IF(G779=F779,"PASS","FAIL")</x:f>
        <x:v>PASS</x:v>
      </x:c>
      <x:c r="I779" s="38"/>
    </x:row>
    <x:row r="780">
      <x:c r="B780" s="11" t="str">
        <x:v>AU-0774</x:v>
      </x:c>
      <x:c r="C780" s="11" t="str">
        <x:v>cross-site replay definition</x:v>
      </x:c>
      <x:c r="D780" s="11" t="str">
        <x:v>XR-SA3-2</x:v>
      </x:c>
      <x:c r="E780" s="11" t="b">
        <x:f>'Cross-Site Replay'!N12="PASS"</x:f>
        <x:v>1</x:v>
      </x:c>
      <x:c r="F780" s="29" t="b">
        <x:v>1</x:v>
      </x:c>
      <x:c r="G780" s="11" t="b">
        <x:f>'Cross-Site Replay'!N12="PASS"</x:f>
        <x:v>1</x:v>
      </x:c>
      <x:c r="H780" s="11" t="str">
        <x:f>IF(G780=F780,"PASS","FAIL")</x:f>
        <x:v>PASS</x:v>
      </x:c>
      <x:c r="I780" s="38"/>
    </x:row>
    <x:row r="781">
      <x:c r="B781" s="11" t="str">
        <x:v>AU-0775</x:v>
      </x:c>
      <x:c r="C781" s="11" t="str">
        <x:v>cross-site replay definition</x:v>
      </x:c>
      <x:c r="D781" s="11" t="str">
        <x:v>XR-SA4-1</x:v>
      </x:c>
      <x:c r="E781" s="11" t="b">
        <x:f>'Cross-Site Replay'!N13="PASS"</x:f>
        <x:v>1</x:v>
      </x:c>
      <x:c r="F781" s="29" t="b">
        <x:v>1</x:v>
      </x:c>
      <x:c r="G781" s="11" t="b">
        <x:f>'Cross-Site Replay'!N13="PASS"</x:f>
        <x:v>1</x:v>
      </x:c>
      <x:c r="H781" s="11" t="str">
        <x:f>IF(G781=F781,"PASS","FAIL")</x:f>
        <x:v>PASS</x:v>
      </x:c>
      <x:c r="I781" s="38"/>
    </x:row>
    <x:row r="782">
      <x:c r="B782" s="11" t="str">
        <x:v>AU-0776</x:v>
      </x:c>
      <x:c r="C782" s="11" t="str">
        <x:v>cross-site replay definition</x:v>
      </x:c>
      <x:c r="D782" s="11" t="str">
        <x:v>XR-SA4-2</x:v>
      </x:c>
      <x:c r="E782" s="11" t="b">
        <x:f>'Cross-Site Replay'!N14="PASS"</x:f>
        <x:v>1</x:v>
      </x:c>
      <x:c r="F782" s="29" t="b">
        <x:v>1</x:v>
      </x:c>
      <x:c r="G782" s="11" t="b">
        <x:f>'Cross-Site Replay'!N14="PASS"</x:f>
        <x:v>1</x:v>
      </x:c>
      <x:c r="H782" s="11" t="str">
        <x:f>IF(G782=F782,"PASS","FAIL")</x:f>
        <x:v>PASS</x:v>
      </x:c>
      <x:c r="I782" s="38"/>
    </x:row>
    <x:row r="783">
      <x:c r="B783" s="11" t="str">
        <x:v>AU-0777</x:v>
      </x:c>
      <x:c r="C783" s="11" t="str">
        <x:v>cross-site replay definition</x:v>
      </x:c>
      <x:c r="D783" s="11" t="str">
        <x:v>XR-SA5-1</x:v>
      </x:c>
      <x:c r="E783" s="11" t="b">
        <x:f>'Cross-Site Replay'!N15="PASS"</x:f>
        <x:v>1</x:v>
      </x:c>
      <x:c r="F783" s="29" t="b">
        <x:v>1</x:v>
      </x:c>
      <x:c r="G783" s="11" t="b">
        <x:f>'Cross-Site Replay'!N15="PASS"</x:f>
        <x:v>1</x:v>
      </x:c>
      <x:c r="H783" s="11" t="str">
        <x:f>IF(G783=F783,"PASS","FAIL")</x:f>
        <x:v>PASS</x:v>
      </x:c>
      <x:c r="I783" s="38"/>
    </x:row>
    <x:row r="784">
      <x:c r="B784" s="11" t="str">
        <x:v>AU-0778</x:v>
      </x:c>
      <x:c r="C784" s="11" t="str">
        <x:v>cross-site replay definition</x:v>
      </x:c>
      <x:c r="D784" s="11" t="str">
        <x:v>XR-SA5-2</x:v>
      </x:c>
      <x:c r="E784" s="11" t="b">
        <x:f>'Cross-Site Replay'!N16="PASS"</x:f>
        <x:v>1</x:v>
      </x:c>
      <x:c r="F784" s="29" t="b">
        <x:v>1</x:v>
      </x:c>
      <x:c r="G784" s="11" t="b">
        <x:f>'Cross-Site Replay'!N16="PASS"</x:f>
        <x:v>1</x:v>
      </x:c>
      <x:c r="H784" s="11" t="str">
        <x:f>IF(G784=F784,"PASS","FAIL")</x:f>
        <x:v>PASS</x:v>
      </x:c>
      <x:c r="I784" s="38"/>
    </x:row>
    <x:row r="785">
      <x:c r="B785" s="11" t="str">
        <x:v>AU-0779</x:v>
      </x:c>
      <x:c r="C785" s="11" t="str">
        <x:v>cross-site replay definition</x:v>
      </x:c>
      <x:c r="D785" s="11" t="str">
        <x:v>XR-SA6-1</x:v>
      </x:c>
      <x:c r="E785" s="11" t="b">
        <x:f>'Cross-Site Replay'!N17="PASS"</x:f>
        <x:v>1</x:v>
      </x:c>
      <x:c r="F785" s="29" t="b">
        <x:v>1</x:v>
      </x:c>
      <x:c r="G785" s="11" t="b">
        <x:f>'Cross-Site Replay'!N17="PASS"</x:f>
        <x:v>1</x:v>
      </x:c>
      <x:c r="H785" s="11" t="str">
        <x:f>IF(G785=F785,"PASS","FAIL")</x:f>
        <x:v>PASS</x:v>
      </x:c>
      <x:c r="I785" s="38"/>
    </x:row>
    <x:row r="786">
      <x:c r="B786" s="11" t="str">
        <x:v>AU-0780</x:v>
      </x:c>
      <x:c r="C786" s="11" t="str">
        <x:v>cross-site replay definition</x:v>
      </x:c>
      <x:c r="D786" s="11" t="str">
        <x:v>XR-SA6-2</x:v>
      </x:c>
      <x:c r="E786" s="11" t="b">
        <x:f>'Cross-Site Replay'!N18="PASS"</x:f>
        <x:v>1</x:v>
      </x:c>
      <x:c r="F786" s="29" t="b">
        <x:v>1</x:v>
      </x:c>
      <x:c r="G786" s="11" t="b">
        <x:f>'Cross-Site Replay'!N18="PASS"</x:f>
        <x:v>1</x:v>
      </x:c>
      <x:c r="H786" s="11" t="str">
        <x:f>IF(G786=F786,"PASS","FAIL")</x:f>
        <x:v>PASS</x:v>
      </x:c>
      <x:c r="I786" s="38"/>
    </x:row>
    <x:row r="787">
      <x:c r="B787" s="11" t="str">
        <x:v>AU-0781</x:v>
      </x:c>
      <x:c r="C787" s="11" t="str">
        <x:v>physical source remains open</x:v>
      </x:c>
      <x:c r="D787" s="11" t="str">
        <x:v>AS-SITE-PTC-A</x:v>
      </x:c>
      <x:c r="E787" s="11" t="b">
        <x:f>'Acceptance Sources'!K7="OPEN"</x:f>
        <x:v>1</x:v>
      </x:c>
      <x:c r="F787" s="29" t="b">
        <x:v>1</x:v>
      </x:c>
      <x:c r="G787" s="11" t="b">
        <x:f>'Acceptance Sources'!K7="OPEN"</x:f>
        <x:v>1</x:v>
      </x:c>
      <x:c r="H787" s="11" t="str">
        <x:f>IF(G787=F787,"PASS","FAIL")</x:f>
        <x:v>PASS</x:v>
      </x:c>
      <x:c r="I787" s="38"/>
    </x:row>
    <x:row r="788">
      <x:c r="B788" s="11" t="str">
        <x:v>AU-0782</x:v>
      </x:c>
      <x:c r="C788" s="11" t="str">
        <x:v>physical source remains open</x:v>
      </x:c>
      <x:c r="D788" s="11" t="str">
        <x:v>AS-SITE-PTC-B</x:v>
      </x:c>
      <x:c r="E788" s="11" t="b">
        <x:f>'Acceptance Sources'!K8="OPEN"</x:f>
        <x:v>1</x:v>
      </x:c>
      <x:c r="F788" s="29" t="b">
        <x:v>1</x:v>
      </x:c>
      <x:c r="G788" s="11" t="b">
        <x:f>'Acceptance Sources'!K8="OPEN"</x:f>
        <x:v>1</x:v>
      </x:c>
      <x:c r="H788" s="11" t="str">
        <x:f>IF(G788=F788,"PASS","FAIL")</x:f>
        <x:v>PASS</x:v>
      </x:c>
      <x:c r="I788" s="38"/>
    </x:row>
    <x:row r="789">
      <x:c r="B789" s="11" t="str">
        <x:v>AU-0783</x:v>
      </x:c>
      <x:c r="C789" s="11" t="str">
        <x:v>physical source remains open</x:v>
      </x:c>
      <x:c r="D789" s="11" t="str">
        <x:v>AS-SITE-PTC-C</x:v>
      </x:c>
      <x:c r="E789" s="11" t="b">
        <x:f>'Acceptance Sources'!K9="OPEN"</x:f>
        <x:v>1</x:v>
      </x:c>
      <x:c r="F789" s="29" t="b">
        <x:v>1</x:v>
      </x:c>
      <x:c r="G789" s="11" t="b">
        <x:f>'Acceptance Sources'!K9="OPEN"</x:f>
        <x:v>1</x:v>
      </x:c>
      <x:c r="H789" s="11" t="str">
        <x:f>IF(G789=F789,"PASS","FAIL")</x:f>
        <x:v>PASS</x:v>
      </x:c>
      <x:c r="I789" s="38"/>
    </x:row>
    <x:row r="790">
      <x:c r="B790" s="11" t="str">
        <x:v>AU-0784</x:v>
      </x:c>
      <x:c r="C790" s="11" t="str">
        <x:v>physical source remains open</x:v>
      </x:c>
      <x:c r="D790" s="11" t="str">
        <x:v>AS-LANE-LN-01</x:v>
      </x:c>
      <x:c r="E790" s="11" t="b">
        <x:f>'Acceptance Sources'!K10="OPEN"</x:f>
        <x:v>1</x:v>
      </x:c>
      <x:c r="F790" s="29" t="b">
        <x:v>1</x:v>
      </x:c>
      <x:c r="G790" s="11" t="b">
        <x:f>'Acceptance Sources'!K10="OPEN"</x:f>
        <x:v>1</x:v>
      </x:c>
      <x:c r="H790" s="11" t="str">
        <x:f>IF(G790=F790,"PASS","FAIL")</x:f>
        <x:v>PASS</x:v>
      </x:c>
      <x:c r="I790" s="38"/>
    </x:row>
    <x:row r="791">
      <x:c r="B791" s="11" t="str">
        <x:v>AU-0785</x:v>
      </x:c>
      <x:c r="C791" s="11" t="str">
        <x:v>physical source remains open</x:v>
      </x:c>
      <x:c r="D791" s="11" t="str">
        <x:v>AS-LANE-LN-02</x:v>
      </x:c>
      <x:c r="E791" s="11" t="b">
        <x:f>'Acceptance Sources'!K11="OPEN"</x:f>
        <x:v>1</x:v>
      </x:c>
      <x:c r="F791" s="29" t="b">
        <x:v>1</x:v>
      </x:c>
      <x:c r="G791" s="11" t="b">
        <x:f>'Acceptance Sources'!K11="OPEN"</x:f>
        <x:v>1</x:v>
      </x:c>
      <x:c r="H791" s="11" t="str">
        <x:f>IF(G791=F791,"PASS","FAIL")</x:f>
        <x:v>PASS</x:v>
      </x:c>
      <x:c r="I791" s="38"/>
    </x:row>
    <x:row r="792">
      <x:c r="B792" s="11" t="str">
        <x:v>AU-0786</x:v>
      </x:c>
      <x:c r="C792" s="11" t="str">
        <x:v>physical source remains open</x:v>
      </x:c>
      <x:c r="D792" s="11" t="str">
        <x:v>AS-LANE-LN-03</x:v>
      </x:c>
      <x:c r="E792" s="11" t="b">
        <x:f>'Acceptance Sources'!K12="OPEN"</x:f>
        <x:v>1</x:v>
      </x:c>
      <x:c r="F792" s="29" t="b">
        <x:v>1</x:v>
      </x:c>
      <x:c r="G792" s="11" t="b">
        <x:f>'Acceptance Sources'!K12="OPEN"</x:f>
        <x:v>1</x:v>
      </x:c>
      <x:c r="H792" s="11" t="str">
        <x:f>IF(G792=F792,"PASS","FAIL")</x:f>
        <x:v>PASS</x:v>
      </x:c>
      <x:c r="I792" s="38"/>
    </x:row>
    <x:row r="793">
      <x:c r="B793" s="11" t="str">
        <x:v>AU-0787</x:v>
      </x:c>
      <x:c r="C793" s="11" t="str">
        <x:v>physical source remains open</x:v>
      </x:c>
      <x:c r="D793" s="11" t="str">
        <x:v>AS-LANE-LN-04</x:v>
      </x:c>
      <x:c r="E793" s="11" t="b">
        <x:f>'Acceptance Sources'!K13="OPEN"</x:f>
        <x:v>1</x:v>
      </x:c>
      <x:c r="F793" s="29" t="b">
        <x:v>1</x:v>
      </x:c>
      <x:c r="G793" s="11" t="b">
        <x:f>'Acceptance Sources'!K13="OPEN"</x:f>
        <x:v>1</x:v>
      </x:c>
      <x:c r="H793" s="11" t="str">
        <x:f>IF(G793=F793,"PASS","FAIL")</x:f>
        <x:v>PASS</x:v>
      </x:c>
      <x:c r="I793" s="38"/>
    </x:row>
    <x:row r="794">
      <x:c r="B794" s="11" t="str">
        <x:v>AU-0788</x:v>
      </x:c>
      <x:c r="C794" s="11" t="str">
        <x:v>physical source remains open</x:v>
      </x:c>
      <x:c r="D794" s="11" t="str">
        <x:v>AS-LANE-LN-05</x:v>
      </x:c>
      <x:c r="E794" s="11" t="b">
        <x:f>'Acceptance Sources'!K14="OPEN"</x:f>
        <x:v>1</x:v>
      </x:c>
      <x:c r="F794" s="29" t="b">
        <x:v>1</x:v>
      </x:c>
      <x:c r="G794" s="11" t="b">
        <x:f>'Acceptance Sources'!K14="OPEN"</x:f>
        <x:v>1</x:v>
      </x:c>
      <x:c r="H794" s="11" t="str">
        <x:f>IF(G794=F794,"PASS","FAIL")</x:f>
        <x:v>PASS</x:v>
      </x:c>
      <x:c r="I794" s="38"/>
    </x:row>
    <x:row r="795">
      <x:c r="B795" s="11" t="str">
        <x:v>AU-0789</x:v>
      </x:c>
      <x:c r="C795" s="11" t="str">
        <x:v>physical source remains open</x:v>
      </x:c>
      <x:c r="D795" s="11" t="str">
        <x:v>AS-LANE-LN-06</x:v>
      </x:c>
      <x:c r="E795" s="11" t="b">
        <x:f>'Acceptance Sources'!K15="OPEN"</x:f>
        <x:v>1</x:v>
      </x:c>
      <x:c r="F795" s="29" t="b">
        <x:v>1</x:v>
      </x:c>
      <x:c r="G795" s="11" t="b">
        <x:f>'Acceptance Sources'!K15="OPEN"</x:f>
        <x:v>1</x:v>
      </x:c>
      <x:c r="H795" s="11" t="str">
        <x:f>IF(G795=F795,"PASS","FAIL")</x:f>
        <x:v>PASS</x:v>
      </x:c>
      <x:c r="I795" s="38"/>
    </x:row>
    <x:row r="796">
      <x:c r="B796" s="11" t="str">
        <x:v>AU-0790</x:v>
      </x:c>
      <x:c r="C796" s="11" t="str">
        <x:v>physical source remains open</x:v>
      </x:c>
      <x:c r="D796" s="11" t="str">
        <x:v>AS-LANE-LN-07</x:v>
      </x:c>
      <x:c r="E796" s="11" t="b">
        <x:f>'Acceptance Sources'!K16="OPEN"</x:f>
        <x:v>1</x:v>
      </x:c>
      <x:c r="F796" s="29" t="b">
        <x:v>1</x:v>
      </x:c>
      <x:c r="G796" s="11" t="b">
        <x:f>'Acceptance Sources'!K16="OPEN"</x:f>
        <x:v>1</x:v>
      </x:c>
      <x:c r="H796" s="11" t="str">
        <x:f>IF(G796=F796,"PASS","FAIL")</x:f>
        <x:v>PASS</x:v>
      </x:c>
      <x:c r="I796" s="38"/>
    </x:row>
    <x:row r="797">
      <x:c r="B797" s="11" t="str">
        <x:v>AU-0791</x:v>
      </x:c>
      <x:c r="C797" s="11" t="str">
        <x:v>physical source remains open</x:v>
      </x:c>
      <x:c r="D797" s="11" t="str">
        <x:v>AS-LANE-LN-08</x:v>
      </x:c>
      <x:c r="E797" s="11" t="b">
        <x:f>'Acceptance Sources'!K17="OPEN"</x:f>
        <x:v>1</x:v>
      </x:c>
      <x:c r="F797" s="29" t="b">
        <x:v>1</x:v>
      </x:c>
      <x:c r="G797" s="11" t="b">
        <x:f>'Acceptance Sources'!K17="OPEN"</x:f>
        <x:v>1</x:v>
      </x:c>
      <x:c r="H797" s="11" t="str">
        <x:f>IF(G797=F797,"PASS","FAIL")</x:f>
        <x:v>PASS</x:v>
      </x:c>
      <x:c r="I797" s="38"/>
    </x:row>
    <x:row r="798">
      <x:c r="B798" s="11" t="str">
        <x:v>AU-0792</x:v>
      </x:c>
      <x:c r="C798" s="11" t="str">
        <x:v>physical source remains open</x:v>
      </x:c>
      <x:c r="D798" s="11" t="str">
        <x:v>AS-LANE-LN-09</x:v>
      </x:c>
      <x:c r="E798" s="11" t="b">
        <x:f>'Acceptance Sources'!K18="OPEN"</x:f>
        <x:v>1</x:v>
      </x:c>
      <x:c r="F798" s="29" t="b">
        <x:v>1</x:v>
      </x:c>
      <x:c r="G798" s="11" t="b">
        <x:f>'Acceptance Sources'!K18="OPEN"</x:f>
        <x:v>1</x:v>
      </x:c>
      <x:c r="H798" s="11" t="str">
        <x:f>IF(G798=F798,"PASS","FAIL")</x:f>
        <x:v>PASS</x:v>
      </x:c>
      <x:c r="I798" s="38"/>
    </x:row>
    <x:row r="799">
      <x:c r="B799" s="11" t="str">
        <x:v>AU-0793</x:v>
      </x:c>
      <x:c r="C799" s="11" t="str">
        <x:v>physical source remains open</x:v>
      </x:c>
      <x:c r="D799" s="11" t="str">
        <x:v>AS-LANE-LN-10</x:v>
      </x:c>
      <x:c r="E799" s="11" t="b">
        <x:f>'Acceptance Sources'!K19="OPEN"</x:f>
        <x:v>1</x:v>
      </x:c>
      <x:c r="F799" s="29" t="b">
        <x:v>1</x:v>
      </x:c>
      <x:c r="G799" s="11" t="b">
        <x:f>'Acceptance Sources'!K19="OPEN"</x:f>
        <x:v>1</x:v>
      </x:c>
      <x:c r="H799" s="11" t="str">
        <x:f>IF(G799=F799,"PASS","FAIL")</x:f>
        <x:v>PASS</x:v>
      </x:c>
      <x:c r="I799" s="38"/>
    </x:row>
    <x:row r="800">
      <x:c r="B800" s="11" t="str">
        <x:v>AU-0794</x:v>
      </x:c>
      <x:c r="C800" s="11" t="str">
        <x:v>physical source remains open</x:v>
      </x:c>
      <x:c r="D800" s="11" t="str">
        <x:v>AS-LANE-LN-11</x:v>
      </x:c>
      <x:c r="E800" s="11" t="b">
        <x:f>'Acceptance Sources'!K20="OPEN"</x:f>
        <x:v>1</x:v>
      </x:c>
      <x:c r="F800" s="29" t="b">
        <x:v>1</x:v>
      </x:c>
      <x:c r="G800" s="11" t="b">
        <x:f>'Acceptance Sources'!K20="OPEN"</x:f>
        <x:v>1</x:v>
      </x:c>
      <x:c r="H800" s="11" t="str">
        <x:f>IF(G800=F800,"PASS","FAIL")</x:f>
        <x:v>PASS</x:v>
      </x:c>
      <x:c r="I800" s="38"/>
    </x:row>
    <x:row r="801">
      <x:c r="B801" s="11" t="str">
        <x:v>AU-0795</x:v>
      </x:c>
      <x:c r="C801" s="11" t="str">
        <x:v>physical source remains open</x:v>
      </x:c>
      <x:c r="D801" s="11" t="str">
        <x:v>AS-LANE-LN-12</x:v>
      </x:c>
      <x:c r="E801" s="11" t="b">
        <x:f>'Acceptance Sources'!K21="OPEN"</x:f>
        <x:v>1</x:v>
      </x:c>
      <x:c r="F801" s="29" t="b">
        <x:v>1</x:v>
      </x:c>
      <x:c r="G801" s="11" t="b">
        <x:f>'Acceptance Sources'!K21="OPEN"</x:f>
        <x:v>1</x:v>
      </x:c>
      <x:c r="H801" s="11" t="str">
        <x:f>IF(G801=F801,"PASS","FAIL")</x:f>
        <x:v>PASS</x:v>
      </x:c>
      <x:c r="I801" s="38"/>
    </x:row>
    <x:row r="802">
      <x:c r="B802" s="11" t="str">
        <x:v>AU-0796</x:v>
      </x:c>
      <x:c r="C802" s="11" t="str">
        <x:v>physical source remains open</x:v>
      </x:c>
      <x:c r="D802" s="11" t="str">
        <x:v>AS-REF-SA1</x:v>
      </x:c>
      <x:c r="E802" s="11" t="b">
        <x:f>'Acceptance Sources'!K22="OPEN"</x:f>
        <x:v>1</x:v>
      </x:c>
      <x:c r="F802" s="29" t="b">
        <x:v>1</x:v>
      </x:c>
      <x:c r="G802" s="11" t="b">
        <x:f>'Acceptance Sources'!K22="OPEN"</x:f>
        <x:v>1</x:v>
      </x:c>
      <x:c r="H802" s="11" t="str">
        <x:f>IF(G802=F802,"PASS","FAIL")</x:f>
        <x:v>PASS</x:v>
      </x:c>
      <x:c r="I802" s="38"/>
    </x:row>
    <x:row r="803">
      <x:c r="B803" s="11" t="str">
        <x:v>AU-0797</x:v>
      </x:c>
      <x:c r="C803" s="11" t="str">
        <x:v>physical source remains open</x:v>
      </x:c>
      <x:c r="D803" s="11" t="str">
        <x:v>AS-REF-SA2</x:v>
      </x:c>
      <x:c r="E803" s="11" t="b">
        <x:f>'Acceptance Sources'!K23="OPEN"</x:f>
        <x:v>1</x:v>
      </x:c>
      <x:c r="F803" s="29" t="b">
        <x:v>1</x:v>
      </x:c>
      <x:c r="G803" s="11" t="b">
        <x:f>'Acceptance Sources'!K23="OPEN"</x:f>
        <x:v>1</x:v>
      </x:c>
      <x:c r="H803" s="11" t="str">
        <x:f>IF(G803=F803,"PASS","FAIL")</x:f>
        <x:v>PASS</x:v>
      </x:c>
      <x:c r="I803" s="38"/>
    </x:row>
    <x:row r="804">
      <x:c r="B804" s="11" t="str">
        <x:v>AU-0798</x:v>
      </x:c>
      <x:c r="C804" s="11" t="str">
        <x:v>physical source remains open</x:v>
      </x:c>
      <x:c r="D804" s="11" t="str">
        <x:v>AS-REF-SA3</x:v>
      </x:c>
      <x:c r="E804" s="11" t="b">
        <x:f>'Acceptance Sources'!K24="OPEN"</x:f>
        <x:v>1</x:v>
      </x:c>
      <x:c r="F804" s="29" t="b">
        <x:v>1</x:v>
      </x:c>
      <x:c r="G804" s="11" t="b">
        <x:f>'Acceptance Sources'!K24="OPEN"</x:f>
        <x:v>1</x:v>
      </x:c>
      <x:c r="H804" s="11" t="str">
        <x:f>IF(G804=F804,"PASS","FAIL")</x:f>
        <x:v>PASS</x:v>
      </x:c>
      <x:c r="I804" s="38"/>
    </x:row>
    <x:row r="805">
      <x:c r="B805" s="11" t="str">
        <x:v>AU-0799</x:v>
      </x:c>
      <x:c r="C805" s="11" t="str">
        <x:v>physical source remains open</x:v>
      </x:c>
      <x:c r="D805" s="11" t="str">
        <x:v>AS-REF-SA4</x:v>
      </x:c>
      <x:c r="E805" s="11" t="b">
        <x:f>'Acceptance Sources'!K25="OPEN"</x:f>
        <x:v>1</x:v>
      </x:c>
      <x:c r="F805" s="29" t="b">
        <x:v>1</x:v>
      </x:c>
      <x:c r="G805" s="11" t="b">
        <x:f>'Acceptance Sources'!K25="OPEN"</x:f>
        <x:v>1</x:v>
      </x:c>
      <x:c r="H805" s="11" t="str">
        <x:f>IF(G805=F805,"PASS","FAIL")</x:f>
        <x:v>PASS</x:v>
      </x:c>
      <x:c r="I805" s="38"/>
    </x:row>
    <x:row r="806">
      <x:c r="B806" s="11" t="str">
        <x:v>AU-0800</x:v>
      </x:c>
      <x:c r="C806" s="11" t="str">
        <x:v>physical source remains open</x:v>
      </x:c>
      <x:c r="D806" s="11" t="str">
        <x:v>AS-REF-SA5</x:v>
      </x:c>
      <x:c r="E806" s="11" t="b">
        <x:f>'Acceptance Sources'!K26="OPEN"</x:f>
        <x:v>1</x:v>
      </x:c>
      <x:c r="F806" s="29" t="b">
        <x:v>1</x:v>
      </x:c>
      <x:c r="G806" s="11" t="b">
        <x:f>'Acceptance Sources'!K26="OPEN"</x:f>
        <x:v>1</x:v>
      </x:c>
      <x:c r="H806" s="11" t="str">
        <x:f>IF(G806=F806,"PASS","FAIL")</x:f>
        <x:v>PASS</x:v>
      </x:c>
      <x:c r="I806" s="38"/>
    </x:row>
    <x:row r="807">
      <x:c r="B807" s="11" t="str">
        <x:v>AU-0801</x:v>
      </x:c>
      <x:c r="C807" s="11" t="str">
        <x:v>physical source remains open</x:v>
      </x:c>
      <x:c r="D807" s="11" t="str">
        <x:v>AS-REF-SA6</x:v>
      </x:c>
      <x:c r="E807" s="11" t="b">
        <x:f>'Acceptance Sources'!K27="OPEN"</x:f>
        <x:v>1</x:v>
      </x:c>
      <x:c r="F807" s="29" t="b">
        <x:v>1</x:v>
      </x:c>
      <x:c r="G807" s="11" t="b">
        <x:f>'Acceptance Sources'!K27="OPEN"</x:f>
        <x:v>1</x:v>
      </x:c>
      <x:c r="H807" s="11" t="str">
        <x:f>IF(G807=F807,"PASS","FAIL")</x:f>
        <x:v>PASS</x:v>
      </x:c>
      <x:c r="I807" s="38"/>
    </x:row>
    <x:row r="808">
      <x:c r="B808" s="11" t="str">
        <x:v>AU-0802</x:v>
      </x:c>
      <x:c r="C808" s="11" t="str">
        <x:v>physical source remains open</x:v>
      </x:c>
      <x:c r="D808" s="11" t="str">
        <x:v>AS-DENIAL-PTC-A</x:v>
      </x:c>
      <x:c r="E808" s="11" t="b">
        <x:f>'Acceptance Sources'!K28="OPEN"</x:f>
        <x:v>1</x:v>
      </x:c>
      <x:c r="F808" s="29" t="b">
        <x:v>1</x:v>
      </x:c>
      <x:c r="G808" s="11" t="b">
        <x:f>'Acceptance Sources'!K28="OPEN"</x:f>
        <x:v>1</x:v>
      </x:c>
      <x:c r="H808" s="11" t="str">
        <x:f>IF(G808=F808,"PASS","FAIL")</x:f>
        <x:v>PASS</x:v>
      </x:c>
      <x:c r="I808" s="38"/>
    </x:row>
    <x:row r="809">
      <x:c r="B809" s="11" t="str">
        <x:v>AU-0803</x:v>
      </x:c>
      <x:c r="C809" s="11" t="str">
        <x:v>physical source remains open</x:v>
      </x:c>
      <x:c r="D809" s="11" t="str">
        <x:v>AS-DENIAL-PTC-B</x:v>
      </x:c>
      <x:c r="E809" s="11" t="b">
        <x:f>'Acceptance Sources'!K29="OPEN"</x:f>
        <x:v>1</x:v>
      </x:c>
      <x:c r="F809" s="29" t="b">
        <x:v>1</x:v>
      </x:c>
      <x:c r="G809" s="11" t="b">
        <x:f>'Acceptance Sources'!K29="OPEN"</x:f>
        <x:v>1</x:v>
      </x:c>
      <x:c r="H809" s="11" t="str">
        <x:f>IF(G809=F809,"PASS","FAIL")</x:f>
        <x:v>PASS</x:v>
      </x:c>
      <x:c r="I809" s="38"/>
    </x:row>
    <x:row r="810">
      <x:c r="B810" s="11" t="str">
        <x:v>AU-0804</x:v>
      </x:c>
      <x:c r="C810" s="11" t="str">
        <x:v>physical source remains open</x:v>
      </x:c>
      <x:c r="D810" s="11" t="str">
        <x:v>AS-DENIAL-PTC-C</x:v>
      </x:c>
      <x:c r="E810" s="11" t="b">
        <x:f>'Acceptance Sources'!K30="OPEN"</x:f>
        <x:v>1</x:v>
      </x:c>
      <x:c r="F810" s="29" t="b">
        <x:v>1</x:v>
      </x:c>
      <x:c r="G810" s="11" t="b">
        <x:f>'Acceptance Sources'!K30="OPEN"</x:f>
        <x:v>1</x:v>
      </x:c>
      <x:c r="H810" s="11" t="str">
        <x:f>IF(G810=F810,"PASS","FAIL")</x:f>
        <x:v>PASS</x:v>
      </x:c>
      <x:c r="I810" s="38"/>
    </x:row>
    <x:row r="811">
      <x:c r="B811" s="11" t="str">
        <x:v>AU-0805</x:v>
      </x:c>
      <x:c r="C811" s="11" t="str">
        <x:v>physical source remains open</x:v>
      </x:c>
      <x:c r="D811" s="11" t="str">
        <x:v>AS-REPLAY-SA1</x:v>
      </x:c>
      <x:c r="E811" s="11" t="b">
        <x:f>'Acceptance Sources'!K31="OPEN"</x:f>
        <x:v>1</x:v>
      </x:c>
      <x:c r="F811" s="29" t="b">
        <x:v>1</x:v>
      </x:c>
      <x:c r="G811" s="11" t="b">
        <x:f>'Acceptance Sources'!K31="OPEN"</x:f>
        <x:v>1</x:v>
      </x:c>
      <x:c r="H811" s="11" t="str">
        <x:f>IF(G811=F811,"PASS","FAIL")</x:f>
        <x:v>PASS</x:v>
      </x:c>
      <x:c r="I811" s="38"/>
    </x:row>
    <x:row r="812">
      <x:c r="B812" s="11" t="str">
        <x:v>AU-0806</x:v>
      </x:c>
      <x:c r="C812" s="11" t="str">
        <x:v>physical source remains open</x:v>
      </x:c>
      <x:c r="D812" s="11" t="str">
        <x:v>AS-REPLAY-SA2</x:v>
      </x:c>
      <x:c r="E812" s="11" t="b">
        <x:f>'Acceptance Sources'!K32="OPEN"</x:f>
        <x:v>1</x:v>
      </x:c>
      <x:c r="F812" s="29" t="b">
        <x:v>1</x:v>
      </x:c>
      <x:c r="G812" s="11" t="b">
        <x:f>'Acceptance Sources'!K32="OPEN"</x:f>
        <x:v>1</x:v>
      </x:c>
      <x:c r="H812" s="11" t="str">
        <x:f>IF(G812=F812,"PASS","FAIL")</x:f>
        <x:v>PASS</x:v>
      </x:c>
      <x:c r="I812" s="38"/>
    </x:row>
    <x:row r="813">
      <x:c r="B813" s="11" t="str">
        <x:v>AU-0807</x:v>
      </x:c>
      <x:c r="C813" s="11" t="str">
        <x:v>physical source remains open</x:v>
      </x:c>
      <x:c r="D813" s="11" t="str">
        <x:v>AS-REPLAY-SA3</x:v>
      </x:c>
      <x:c r="E813" s="11" t="b">
        <x:f>'Acceptance Sources'!K33="OPEN"</x:f>
        <x:v>1</x:v>
      </x:c>
      <x:c r="F813" s="29" t="b">
        <x:v>1</x:v>
      </x:c>
      <x:c r="G813" s="11" t="b">
        <x:f>'Acceptance Sources'!K33="OPEN"</x:f>
        <x:v>1</x:v>
      </x:c>
      <x:c r="H813" s="11" t="str">
        <x:f>IF(G813=F813,"PASS","FAIL")</x:f>
        <x:v>PASS</x:v>
      </x:c>
      <x:c r="I813" s="38"/>
    </x:row>
    <x:row r="814">
      <x:c r="B814" s="11" t="str">
        <x:v>AU-0808</x:v>
      </x:c>
      <x:c r="C814" s="11" t="str">
        <x:v>physical source remains open</x:v>
      </x:c>
      <x:c r="D814" s="11" t="str">
        <x:v>AS-REPLAY-SA4</x:v>
      </x:c>
      <x:c r="E814" s="11" t="b">
        <x:f>'Acceptance Sources'!K34="OPEN"</x:f>
        <x:v>1</x:v>
      </x:c>
      <x:c r="F814" s="29" t="b">
        <x:v>1</x:v>
      </x:c>
      <x:c r="G814" s="11" t="b">
        <x:f>'Acceptance Sources'!K34="OPEN"</x:f>
        <x:v>1</x:v>
      </x:c>
      <x:c r="H814" s="11" t="str">
        <x:f>IF(G814=F814,"PASS","FAIL")</x:f>
        <x:v>PASS</x:v>
      </x:c>
      <x:c r="I814" s="38"/>
    </x:row>
    <x:row r="815">
      <x:c r="B815" s="11" t="str">
        <x:v>AU-0809</x:v>
      </x:c>
      <x:c r="C815" s="11" t="str">
        <x:v>physical source remains open</x:v>
      </x:c>
      <x:c r="D815" s="11" t="str">
        <x:v>AS-REPLAY-SA5</x:v>
      </x:c>
      <x:c r="E815" s="11" t="b">
        <x:f>'Acceptance Sources'!K35="OPEN"</x:f>
        <x:v>1</x:v>
      </x:c>
      <x:c r="F815" s="29" t="b">
        <x:v>1</x:v>
      </x:c>
      <x:c r="G815" s="11" t="b">
        <x:f>'Acceptance Sources'!K35="OPEN"</x:f>
        <x:v>1</x:v>
      </x:c>
      <x:c r="H815" s="11" t="str">
        <x:f>IF(G815=F815,"PASS","FAIL")</x:f>
        <x:v>PASS</x:v>
      </x:c>
      <x:c r="I815" s="38"/>
    </x:row>
    <x:row r="816">
      <x:c r="B816" s="11" t="str">
        <x:v>AU-0810</x:v>
      </x:c>
      <x:c r="C816" s="11" t="str">
        <x:v>physical source remains open</x:v>
      </x:c>
      <x:c r="D816" s="11" t="str">
        <x:v>AS-REPLAY-SA6</x:v>
      </x:c>
      <x:c r="E816" s="11" t="b">
        <x:f>'Acceptance Sources'!K36="OPEN"</x:f>
        <x:v>1</x:v>
      </x:c>
      <x:c r="F816" s="29" t="b">
        <x:v>1</x:v>
      </x:c>
      <x:c r="G816" s="11" t="b">
        <x:f>'Acceptance Sources'!K36="OPEN"</x:f>
        <x:v>1</x:v>
      </x:c>
      <x:c r="H816" s="11" t="str">
        <x:f>IF(G816=F816,"PASS","FAIL")</x:f>
        <x:v>PASS</x:v>
      </x:c>
      <x:c r="I816" s="38"/>
    </x:row>
    <x:row r="817">
      <x:c r="B817" s="11" t="str">
        <x:v>AU-0811</x:v>
      </x:c>
      <x:c r="C817" s="11" t="str">
        <x:v>physical source remains open</x:v>
      </x:c>
      <x:c r="D817" s="11" t="str">
        <x:v>AS-VAULT-PTC-A</x:v>
      </x:c>
      <x:c r="E817" s="11" t="b">
        <x:f>'Acceptance Sources'!K37="OPEN"</x:f>
        <x:v>1</x:v>
      </x:c>
      <x:c r="F817" s="29" t="b">
        <x:v>1</x:v>
      </x:c>
      <x:c r="G817" s="11" t="b">
        <x:f>'Acceptance Sources'!K37="OPEN"</x:f>
        <x:v>1</x:v>
      </x:c>
      <x:c r="H817" s="11" t="str">
        <x:f>IF(G817=F817,"PASS","FAIL")</x:f>
        <x:v>PASS</x:v>
      </x:c>
      <x:c r="I817" s="38"/>
    </x:row>
    <x:row r="818">
      <x:c r="B818" s="11" t="str">
        <x:v>AU-0812</x:v>
      </x:c>
      <x:c r="C818" s="11" t="str">
        <x:v>physical source remains open</x:v>
      </x:c>
      <x:c r="D818" s="11" t="str">
        <x:v>AS-VAULT-PTC-B</x:v>
      </x:c>
      <x:c r="E818" s="11" t="b">
        <x:f>'Acceptance Sources'!K38="OPEN"</x:f>
        <x:v>1</x:v>
      </x:c>
      <x:c r="F818" s="29" t="b">
        <x:v>1</x:v>
      </x:c>
      <x:c r="G818" s="11" t="b">
        <x:f>'Acceptance Sources'!K38="OPEN"</x:f>
        <x:v>1</x:v>
      </x:c>
      <x:c r="H818" s="11" t="str">
        <x:f>IF(G818=F818,"PASS","FAIL")</x:f>
        <x:v>PASS</x:v>
      </x:c>
      <x:c r="I818" s="38"/>
    </x:row>
    <x:row r="819">
      <x:c r="B819" s="11" t="str">
        <x:v>AU-0813</x:v>
      </x:c>
      <x:c r="C819" s="11" t="str">
        <x:v>physical source remains open</x:v>
      </x:c>
      <x:c r="D819" s="11" t="str">
        <x:v>AS-VAULT-PTC-C</x:v>
      </x:c>
      <x:c r="E819" s="11" t="b">
        <x:f>'Acceptance Sources'!K39="OPEN"</x:f>
        <x:v>1</x:v>
      </x:c>
      <x:c r="F819" s="29" t="b">
        <x:v>1</x:v>
      </x:c>
      <x:c r="G819" s="11" t="b">
        <x:f>'Acceptance Sources'!K39="OPEN"</x:f>
        <x:v>1</x:v>
      </x:c>
      <x:c r="H819" s="11" t="str">
        <x:f>IF(G819=F819,"PASS","FAIL")</x:f>
        <x:v>PASS</x:v>
      </x:c>
      <x:c r="I819" s="38"/>
    </x:row>
    <x:row r="820">
      <x:c r="B820" s="11" t="str">
        <x:v>AU-0814</x:v>
      </x:c>
      <x:c r="C820" s="11" t="str">
        <x:v>physical source remains open</x:v>
      </x:c>
      <x:c r="D820" s="11" t="str">
        <x:v>AS-DEST-PTC-A</x:v>
      </x:c>
      <x:c r="E820" s="11" t="b">
        <x:f>'Acceptance Sources'!K40="OPEN"</x:f>
        <x:v>1</x:v>
      </x:c>
      <x:c r="F820" s="29" t="b">
        <x:v>1</x:v>
      </x:c>
      <x:c r="G820" s="11" t="b">
        <x:f>'Acceptance Sources'!K40="OPEN"</x:f>
        <x:v>1</x:v>
      </x:c>
      <x:c r="H820" s="11" t="str">
        <x:f>IF(G820=F820,"PASS","FAIL")</x:f>
        <x:v>PASS</x:v>
      </x:c>
      <x:c r="I820" s="38"/>
    </x:row>
    <x:row r="821">
      <x:c r="B821" s="11" t="str">
        <x:v>AU-0815</x:v>
      </x:c>
      <x:c r="C821" s="11" t="str">
        <x:v>physical source remains open</x:v>
      </x:c>
      <x:c r="D821" s="11" t="str">
        <x:v>AS-DEST-PTC-B</x:v>
      </x:c>
      <x:c r="E821" s="11" t="b">
        <x:f>'Acceptance Sources'!K41="OPEN"</x:f>
        <x:v>1</x:v>
      </x:c>
      <x:c r="F821" s="29" t="b">
        <x:v>1</x:v>
      </x:c>
      <x:c r="G821" s="11" t="b">
        <x:f>'Acceptance Sources'!K41="OPEN"</x:f>
        <x:v>1</x:v>
      </x:c>
      <x:c r="H821" s="11" t="str">
        <x:f>IF(G821=F821,"PASS","FAIL")</x:f>
        <x:v>PASS</x:v>
      </x:c>
      <x:c r="I821" s="38"/>
    </x:row>
    <x:row r="822">
      <x:c r="B822" s="11" t="str">
        <x:v>AU-0816</x:v>
      </x:c>
      <x:c r="C822" s="11" t="str">
        <x:v>physical source remains open</x:v>
      </x:c>
      <x:c r="D822" s="11" t="str">
        <x:v>AS-DEST-PTC-C</x:v>
      </x:c>
      <x:c r="E822" s="11" t="b">
        <x:f>'Acceptance Sources'!K42="OPEN"</x:f>
        <x:v>1</x:v>
      </x:c>
      <x:c r="F822" s="29" t="b">
        <x:v>1</x:v>
      </x:c>
      <x:c r="G822" s="11" t="b">
        <x:f>'Acceptance Sources'!K42="OPEN"</x:f>
        <x:v>1</x:v>
      </x:c>
      <x:c r="H822" s="11" t="str">
        <x:f>IF(G822=F822,"PASS","FAIL")</x:f>
        <x:v>PASS</x:v>
      </x:c>
      <x:c r="I822" s="38"/>
    </x:row>
    <x:row r="823">
      <x:c r="B823" s="11" t="str">
        <x:v>AU-0817</x:v>
      </x:c>
      <x:c r="C823" s="11" t="str">
        <x:v>release planning gate</x:v>
      </x:c>
      <x:c r="D823" s="11" t="str">
        <x:v>PG-ART-001</x:v>
      </x:c>
      <x:c r="E823" s="11" t="b">
        <x:f>'Release Gates'!H7="PASS"</x:f>
        <x:v>1</x:v>
      </x:c>
      <x:c r="F823" s="29" t="b">
        <x:v>1</x:v>
      </x:c>
      <x:c r="G823" s="11" t="b">
        <x:f>'Release Gates'!H7="PASS"</x:f>
        <x:v>1</x:v>
      </x:c>
      <x:c r="H823" s="11" t="str">
        <x:f>IF(G823=F823,"PASS","FAIL")</x:f>
        <x:v>PASS</x:v>
      </x:c>
      <x:c r="I823" s="38"/>
    </x:row>
    <x:row r="824">
      <x:c r="B824" s="11" t="str">
        <x:v>AU-0818</x:v>
      </x:c>
      <x:c r="C824" s="11" t="str">
        <x:v>release planning gate</x:v>
      </x:c>
      <x:c r="D824" s="11" t="str">
        <x:v>PG-ART-002</x:v>
      </x:c>
      <x:c r="E824" s="11" t="b">
        <x:f>'Release Gates'!H8="PASS"</x:f>
        <x:v>1</x:v>
      </x:c>
      <x:c r="F824" s="29" t="b">
        <x:v>1</x:v>
      </x:c>
      <x:c r="G824" s="11" t="b">
        <x:f>'Release Gates'!H8="PASS"</x:f>
        <x:v>1</x:v>
      </x:c>
      <x:c r="H824" s="11" t="str">
        <x:f>IF(G824=F824,"PASS","FAIL")</x:f>
        <x:v>PASS</x:v>
      </x:c>
      <x:c r="I824" s="38"/>
    </x:row>
    <x:row r="825">
      <x:c r="B825" s="11" t="str">
        <x:v>AU-0819</x:v>
      </x:c>
      <x:c r="C825" s="11" t="str">
        <x:v>release planning gate</x:v>
      </x:c>
      <x:c r="D825" s="11" t="str">
        <x:v>PG-ART-003</x:v>
      </x:c>
      <x:c r="E825" s="11" t="b">
        <x:f>'Release Gates'!H9="PASS"</x:f>
        <x:v>1</x:v>
      </x:c>
      <x:c r="F825" s="29" t="b">
        <x:v>1</x:v>
      </x:c>
      <x:c r="G825" s="11" t="b">
        <x:f>'Release Gates'!H9="PASS"</x:f>
        <x:v>1</x:v>
      </x:c>
      <x:c r="H825" s="11" t="str">
        <x:f>IF(G825=F825,"PASS","FAIL")</x:f>
        <x:v>PASS</x:v>
      </x:c>
      <x:c r="I825" s="38"/>
    </x:row>
    <x:row r="826">
      <x:c r="B826" s="11" t="str">
        <x:v>AU-0820</x:v>
      </x:c>
      <x:c r="C826" s="11" t="str">
        <x:v>release planning gate</x:v>
      </x:c>
      <x:c r="D826" s="11" t="str">
        <x:v>PG-ART-004</x:v>
      </x:c>
      <x:c r="E826" s="11" t="b">
        <x:f>'Release Gates'!H10="PASS"</x:f>
        <x:v>1</x:v>
      </x:c>
      <x:c r="F826" s="29" t="b">
        <x:v>1</x:v>
      </x:c>
      <x:c r="G826" s="11" t="b">
        <x:f>'Release Gates'!H10="PASS"</x:f>
        <x:v>1</x:v>
      </x:c>
      <x:c r="H826" s="11" t="str">
        <x:f>IF(G826=F826,"PASS","FAIL")</x:f>
        <x:v>PASS</x:v>
      </x:c>
      <x:c r="I826" s="38"/>
    </x:row>
    <x:row r="827">
      <x:c r="B827" s="11" t="str">
        <x:v>AU-0821</x:v>
      </x:c>
      <x:c r="C827" s="11" t="str">
        <x:v>release planning gate</x:v>
      </x:c>
      <x:c r="D827" s="11" t="str">
        <x:v>PG-ART-005</x:v>
      </x:c>
      <x:c r="E827" s="11" t="b">
        <x:f>'Release Gates'!H11="PASS"</x:f>
        <x:v>1</x:v>
      </x:c>
      <x:c r="F827" s="29" t="b">
        <x:v>1</x:v>
      </x:c>
      <x:c r="G827" s="11" t="b">
        <x:f>'Release Gates'!H11="PASS"</x:f>
        <x:v>1</x:v>
      </x:c>
      <x:c r="H827" s="11" t="str">
        <x:f>IF(G827=F827,"PASS","FAIL")</x:f>
        <x:v>PASS</x:v>
      </x:c>
      <x:c r="I827" s="38"/>
    </x:row>
    <x:row r="828">
      <x:c r="B828" s="11" t="str">
        <x:v>AU-0822</x:v>
      </x:c>
      <x:c r="C828" s="11" t="str">
        <x:v>release planning gate</x:v>
      </x:c>
      <x:c r="D828" s="11" t="str">
        <x:v>PG-ART-006</x:v>
      </x:c>
      <x:c r="E828" s="11" t="b">
        <x:f>'Release Gates'!H12="PASS"</x:f>
        <x:v>1</x:v>
      </x:c>
      <x:c r="F828" s="29" t="b">
        <x:v>1</x:v>
      </x:c>
      <x:c r="G828" s="11" t="b">
        <x:f>'Release Gates'!H12="PASS"</x:f>
        <x:v>1</x:v>
      </x:c>
      <x:c r="H828" s="11" t="str">
        <x:f>IF(G828=F828,"PASS","FAIL")</x:f>
        <x:v>PASS</x:v>
      </x:c>
      <x:c r="I828" s="38"/>
    </x:row>
    <x:row r="829">
      <x:c r="B829" s="11" t="str">
        <x:v>AU-0823</x:v>
      </x:c>
      <x:c r="C829" s="11" t="str">
        <x:v>release planning gate</x:v>
      </x:c>
      <x:c r="D829" s="11" t="str">
        <x:v>PG-ART-007</x:v>
      </x:c>
      <x:c r="E829" s="11" t="b">
        <x:f>'Release Gates'!H13="PASS"</x:f>
        <x:v>1</x:v>
      </x:c>
      <x:c r="F829" s="29" t="b">
        <x:v>1</x:v>
      </x:c>
      <x:c r="G829" s="11" t="b">
        <x:f>'Release Gates'!H13="PASS"</x:f>
        <x:v>1</x:v>
      </x:c>
      <x:c r="H829" s="11" t="str">
        <x:f>IF(G829=F829,"PASS","FAIL")</x:f>
        <x:v>PASS</x:v>
      </x:c>
      <x:c r="I829" s="38"/>
    </x:row>
    <x:row r="830">
      <x:c r="B830" s="11" t="str">
        <x:v>AU-0824</x:v>
      </x:c>
      <x:c r="C830" s="11" t="str">
        <x:v>release planning gate</x:v>
      </x:c>
      <x:c r="D830" s="11" t="str">
        <x:v>PG-ART-008</x:v>
      </x:c>
      <x:c r="E830" s="11" t="b">
        <x:f>'Release Gates'!H14="PASS"</x:f>
        <x:v>1</x:v>
      </x:c>
      <x:c r="F830" s="29" t="b">
        <x:v>1</x:v>
      </x:c>
      <x:c r="G830" s="11" t="b">
        <x:f>'Release Gates'!H14="PASS"</x:f>
        <x:v>1</x:v>
      </x:c>
      <x:c r="H830" s="11" t="str">
        <x:f>IF(G830=F830,"PASS","FAIL")</x:f>
        <x:v>PASS</x:v>
      </x:c>
      <x:c r="I830" s="38"/>
    </x:row>
    <x:row r="831">
      <x:c r="B831" s="11" t="str">
        <x:v>AU-0825</x:v>
      </x:c>
      <x:c r="C831" s="11" t="str">
        <x:v>release planning gate</x:v>
      </x:c>
      <x:c r="D831" s="11" t="str">
        <x:v>PG-ART-009</x:v>
      </x:c>
      <x:c r="E831" s="11" t="b">
        <x:f>'Release Gates'!H15="PASS"</x:f>
        <x:v>1</x:v>
      </x:c>
      <x:c r="F831" s="29" t="b">
        <x:v>1</x:v>
      </x:c>
      <x:c r="G831" s="11" t="b">
        <x:f>'Release Gates'!H15="PASS"</x:f>
        <x:v>1</x:v>
      </x:c>
      <x:c r="H831" s="11" t="str">
        <x:f>IF(G831=F831,"PASS","FAIL")</x:f>
        <x:v>PASS</x:v>
      </x:c>
      <x:c r="I831" s="38"/>
    </x:row>
    <x:row r="832">
      <x:c r="B832" s="11" t="str">
        <x:v>AU-0826</x:v>
      </x:c>
      <x:c r="C832" s="11" t="str">
        <x:v>release planning gate</x:v>
      </x:c>
      <x:c r="D832" s="11" t="str">
        <x:v>PG-ART-010</x:v>
      </x:c>
      <x:c r="E832" s="11" t="b">
        <x:f>'Release Gates'!H16="PASS"</x:f>
        <x:v>1</x:v>
      </x:c>
      <x:c r="F832" s="29" t="b">
        <x:v>1</x:v>
      </x:c>
      <x:c r="G832" s="11" t="b">
        <x:f>'Release Gates'!H16="PASS"</x:f>
        <x:v>1</x:v>
      </x:c>
      <x:c r="H832" s="11" t="str">
        <x:f>IF(G832=F832,"PASS","FAIL")</x:f>
        <x:v>PASS</x:v>
      </x:c>
      <x:c r="I832" s="38"/>
    </x:row>
    <x:row r="833">
      <x:c r="B833" s="11" t="str">
        <x:v>AU-0827</x:v>
      </x:c>
      <x:c r="C833" s="11" t="str">
        <x:v>release planning gate</x:v>
      </x:c>
      <x:c r="D833" s="11" t="str">
        <x:v>PG-ART-011</x:v>
      </x:c>
      <x:c r="E833" s="11" t="b">
        <x:f>'Release Gates'!H17="PASS"</x:f>
        <x:v>1</x:v>
      </x:c>
      <x:c r="F833" s="29" t="b">
        <x:v>1</x:v>
      </x:c>
      <x:c r="G833" s="11" t="b">
        <x:f>'Release Gates'!H17="PASS"</x:f>
        <x:v>1</x:v>
      </x:c>
      <x:c r="H833" s="11" t="str">
        <x:f>IF(G833=F833,"PASS","FAIL")</x:f>
        <x:v>PASS</x:v>
      </x:c>
      <x:c r="I833" s="38"/>
    </x:row>
    <x:row r="834">
      <x:c r="B834" s="11" t="str">
        <x:v>AU-0828</x:v>
      </x:c>
      <x:c r="C834" s="11" t="str">
        <x:v>release planning gate</x:v>
      </x:c>
      <x:c r="D834" s="11" t="str">
        <x:v>PG-ART-012</x:v>
      </x:c>
      <x:c r="E834" s="11" t="b">
        <x:f>'Release Gates'!H18="PASS"</x:f>
        <x:v>1</x:v>
      </x:c>
      <x:c r="F834" s="29" t="b">
        <x:v>1</x:v>
      </x:c>
      <x:c r="G834" s="11" t="b">
        <x:f>'Release Gates'!H18="PASS"</x:f>
        <x:v>1</x:v>
      </x:c>
      <x:c r="H834" s="11" t="str">
        <x:f>IF(G834=F834,"PASS","FAIL")</x:f>
        <x:v>PASS</x:v>
      </x:c>
      <x:c r="I834" s="38"/>
    </x:row>
    <x:row r="835">
      <x:c r="B835" s="11" t="str">
        <x:v>AU-0829</x:v>
      </x:c>
      <x:c r="C835" s="11" t="str">
        <x:v>release planning gate</x:v>
      </x:c>
      <x:c r="D835" s="11" t="str">
        <x:v>PG-ART-013</x:v>
      </x:c>
      <x:c r="E835" s="11" t="b">
        <x:f>'Release Gates'!H19="PASS"</x:f>
        <x:v>1</x:v>
      </x:c>
      <x:c r="F835" s="29" t="b">
        <x:v>1</x:v>
      </x:c>
      <x:c r="G835" s="11" t="b">
        <x:f>'Release Gates'!H19="PASS"</x:f>
        <x:v>1</x:v>
      </x:c>
      <x:c r="H835" s="11" t="str">
        <x:f>IF(G835=F835,"PASS","FAIL")</x:f>
        <x:v>PASS</x:v>
      </x:c>
      <x:c r="I835" s="38"/>
    </x:row>
    <x:row r="836">
      <x:c r="B836" s="11" t="str">
        <x:v>AU-0830</x:v>
      </x:c>
      <x:c r="C836" s="11" t="str">
        <x:v>release planning gate</x:v>
      </x:c>
      <x:c r="D836" s="11" t="str">
        <x:v>PG-ART-014</x:v>
      </x:c>
      <x:c r="E836" s="11" t="b">
        <x:f>'Release Gates'!H20="PASS"</x:f>
        <x:v>1</x:v>
      </x:c>
      <x:c r="F836" s="29" t="b">
        <x:v>1</x:v>
      </x:c>
      <x:c r="G836" s="11" t="b">
        <x:f>'Release Gates'!H20="PASS"</x:f>
        <x:v>1</x:v>
      </x:c>
      <x:c r="H836" s="11" t="str">
        <x:f>IF(G836=F836,"PASS","FAIL")</x:f>
        <x:v>PASS</x:v>
      </x:c>
      <x:c r="I836" s="38"/>
    </x:row>
    <x:row r="837">
      <x:c r="B837" s="11" t="str">
        <x:v>AU-0831</x:v>
      </x:c>
      <x:c r="C837" s="11" t="str">
        <x:v>release planning gate</x:v>
      </x:c>
      <x:c r="D837" s="11" t="str">
        <x:v>PG-ART-015</x:v>
      </x:c>
      <x:c r="E837" s="11" t="b">
        <x:f>'Release Gates'!H21="PASS"</x:f>
        <x:v>1</x:v>
      </x:c>
      <x:c r="F837" s="29" t="b">
        <x:v>1</x:v>
      </x:c>
      <x:c r="G837" s="11" t="b">
        <x:f>'Release Gates'!H21="PASS"</x:f>
        <x:v>1</x:v>
      </x:c>
      <x:c r="H837" s="11" t="str">
        <x:f>IF(G837=F837,"PASS","FAIL")</x:f>
        <x:v>PASS</x:v>
      </x:c>
      <x:c r="I837" s="38"/>
    </x:row>
    <x:row r="838">
      <x:c r="B838" s="11" t="str">
        <x:v>AU-0832</x:v>
      </x:c>
      <x:c r="C838" s="11" t="str">
        <x:v>release planning gate</x:v>
      </x:c>
      <x:c r="D838" s="11" t="str">
        <x:v>PG-ART-016</x:v>
      </x:c>
      <x:c r="E838" s="11" t="b">
        <x:f>'Release Gates'!H22="PASS"</x:f>
        <x:v>1</x:v>
      </x:c>
      <x:c r="F838" s="29" t="b">
        <x:v>1</x:v>
      </x:c>
      <x:c r="G838" s="11" t="b">
        <x:f>'Release Gates'!H22="PASS"</x:f>
        <x:v>1</x:v>
      </x:c>
      <x:c r="H838" s="11" t="str">
        <x:f>IF(G838=F838,"PASS","FAIL")</x:f>
        <x:v>PASS</x:v>
      </x:c>
      <x:c r="I838" s="38"/>
    </x:row>
    <x:row r="839">
      <x:c r="B839" s="11" t="str">
        <x:v>AU-0833</x:v>
      </x:c>
      <x:c r="C839" s="11" t="str">
        <x:v>release planning gate</x:v>
      </x:c>
      <x:c r="D839" s="11" t="str">
        <x:v>PG-ART-017</x:v>
      </x:c>
      <x:c r="E839" s="11" t="b">
        <x:f>'Release Gates'!H23="PASS"</x:f>
        <x:v>1</x:v>
      </x:c>
      <x:c r="F839" s="29" t="b">
        <x:v>1</x:v>
      </x:c>
      <x:c r="G839" s="11" t="b">
        <x:f>'Release Gates'!H23="PASS"</x:f>
        <x:v>1</x:v>
      </x:c>
      <x:c r="H839" s="11" t="str">
        <x:f>IF(G839=F839,"PASS","FAIL")</x:f>
        <x:v>PASS</x:v>
      </x:c>
      <x:c r="I839" s="38"/>
    </x:row>
    <x:row r="840">
      <x:c r="B840" s="11" t="str">
        <x:v>AU-0834</x:v>
      </x:c>
      <x:c r="C840" s="11" t="str">
        <x:v>release planning gate</x:v>
      </x:c>
      <x:c r="D840" s="11" t="str">
        <x:v>PG-ART-018</x:v>
      </x:c>
      <x:c r="E840" s="11" t="b">
        <x:f>'Release Gates'!H24="PASS"</x:f>
        <x:v>1</x:v>
      </x:c>
      <x:c r="F840" s="29" t="b">
        <x:v>1</x:v>
      </x:c>
      <x:c r="G840" s="11" t="b">
        <x:f>'Release Gates'!H24="PASS"</x:f>
        <x:v>1</x:v>
      </x:c>
      <x:c r="H840" s="11" t="str">
        <x:f>IF(G840=F840,"PASS","FAIL")</x:f>
        <x:v>PASS</x:v>
      </x:c>
      <x:c r="I840" s="38"/>
    </x:row>
    <x:row r="841">
      <x:c r="B841" s="11" t="str">
        <x:v>AU-0835</x:v>
      </x:c>
      <x:c r="C841" s="11" t="str">
        <x:v>release planning gate</x:v>
      </x:c>
      <x:c r="D841" s="11" t="str">
        <x:v>PG-ART-019</x:v>
      </x:c>
      <x:c r="E841" s="11" t="b">
        <x:f>'Release Gates'!H25="PASS"</x:f>
        <x:v>1</x:v>
      </x:c>
      <x:c r="F841" s="29" t="b">
        <x:v>1</x:v>
      </x:c>
      <x:c r="G841" s="11" t="b">
        <x:f>'Release Gates'!H25="PASS"</x:f>
        <x:v>1</x:v>
      </x:c>
      <x:c r="H841" s="11" t="str">
        <x:f>IF(G841=F841,"PASS","FAIL")</x:f>
        <x:v>PASS</x:v>
      </x:c>
      <x:c r="I841" s="38"/>
    </x:row>
    <x:row r="842">
      <x:c r="B842" s="11" t="str">
        <x:v>AU-0836</x:v>
      </x:c>
      <x:c r="C842" s="11" t="str">
        <x:v>release planning gate</x:v>
      </x:c>
      <x:c r="D842" s="11" t="str">
        <x:v>PG-ART-020</x:v>
      </x:c>
      <x:c r="E842" s="11" t="b">
        <x:f>'Release Gates'!H26="PASS"</x:f>
        <x:v>1</x:v>
      </x:c>
      <x:c r="F842" s="29" t="b">
        <x:v>1</x:v>
      </x:c>
      <x:c r="G842" s="11" t="b">
        <x:f>'Release Gates'!H26="PASS"</x:f>
        <x:v>1</x:v>
      </x:c>
      <x:c r="H842" s="11" t="str">
        <x:f>IF(G842=F842,"PASS","FAIL")</x:f>
        <x:v>PASS</x:v>
      </x:c>
      <x:c r="I842" s="38"/>
    </x:row>
    <x:row r="843">
      <x:c r="B843" s="11" t="str">
        <x:v>AU-0837</x:v>
      </x:c>
      <x:c r="C843" s="11" t="str">
        <x:v>release planning gate</x:v>
      </x:c>
      <x:c r="D843" s="11" t="str">
        <x:v>PG-ART-021</x:v>
      </x:c>
      <x:c r="E843" s="11" t="b">
        <x:f>'Release Gates'!H27="PASS"</x:f>
        <x:v>1</x:v>
      </x:c>
      <x:c r="F843" s="29" t="b">
        <x:v>1</x:v>
      </x:c>
      <x:c r="G843" s="11" t="b">
        <x:f>'Release Gates'!H27="PASS"</x:f>
        <x:v>1</x:v>
      </x:c>
      <x:c r="H843" s="11" t="str">
        <x:f>IF(G843=F843,"PASS","FAIL")</x:f>
        <x:v>PASS</x:v>
      </x:c>
      <x:c r="I843" s="38"/>
    </x:row>
    <x:row r="844">
      <x:c r="B844" s="11" t="str">
        <x:v>AU-0838</x:v>
      </x:c>
      <x:c r="C844" s="11" t="str">
        <x:v>release planning gate</x:v>
      </x:c>
      <x:c r="D844" s="11" t="str">
        <x:v>PG-ART-022</x:v>
      </x:c>
      <x:c r="E844" s="11" t="b">
        <x:f>'Release Gates'!H28="PASS"</x:f>
        <x:v>1</x:v>
      </x:c>
      <x:c r="F844" s="29" t="b">
        <x:v>1</x:v>
      </x:c>
      <x:c r="G844" s="11" t="b">
        <x:f>'Release Gates'!H28="PASS"</x:f>
        <x:v>1</x:v>
      </x:c>
      <x:c r="H844" s="11" t="str">
        <x:f>IF(G844=F844,"PASS","FAIL")</x:f>
        <x:v>PASS</x:v>
      </x:c>
      <x:c r="I844" s="38"/>
    </x:row>
    <x:row r="845">
      <x:c r="B845" s="11" t="str">
        <x:v>AU-0839</x:v>
      </x:c>
      <x:c r="C845" s="11" t="str">
        <x:v>release planning gate</x:v>
      </x:c>
      <x:c r="D845" s="11" t="str">
        <x:v>PG-ART-023</x:v>
      </x:c>
      <x:c r="E845" s="11" t="b">
        <x:f>'Release Gates'!H29="PASS"</x:f>
        <x:v>1</x:v>
      </x:c>
      <x:c r="F845" s="29" t="b">
        <x:v>1</x:v>
      </x:c>
      <x:c r="G845" s="11" t="b">
        <x:f>'Release Gates'!H29="PASS"</x:f>
        <x:v>1</x:v>
      </x:c>
      <x:c r="H845" s="11" t="str">
        <x:f>IF(G845=F845,"PASS","FAIL")</x:f>
        <x:v>PASS</x:v>
      </x:c>
      <x:c r="I845" s="38"/>
    </x:row>
    <x:row r="846">
      <x:c r="B846" s="11" t="str">
        <x:v>AU-0840</x:v>
      </x:c>
      <x:c r="C846" s="11" t="str">
        <x:v>release planning gate</x:v>
      </x:c>
      <x:c r="D846" s="11" t="str">
        <x:v>PG-ART-024</x:v>
      </x:c>
      <x:c r="E846" s="11" t="b">
        <x:f>'Release Gates'!H30="PASS"</x:f>
        <x:v>1</x:v>
      </x:c>
      <x:c r="F846" s="29" t="b">
        <x:v>1</x:v>
      </x:c>
      <x:c r="G846" s="11" t="b">
        <x:f>'Release Gates'!H30="PASS"</x:f>
        <x:v>1</x:v>
      </x:c>
      <x:c r="H846" s="11" t="str">
        <x:f>IF(G846=F846,"PASS","FAIL")</x:f>
        <x:v>PASS</x:v>
      </x:c>
      <x:c r="I846" s="38"/>
    </x:row>
    <x:row r="847">
      <x:c r="B847" s="11" t="str">
        <x:v>AU-0841</x:v>
      </x:c>
      <x:c r="C847" s="11" t="str">
        <x:v>release planning gate</x:v>
      </x:c>
      <x:c r="D847" s="11" t="str">
        <x:v>PG-ART-025</x:v>
      </x:c>
      <x:c r="E847" s="11" t="b">
        <x:f>'Release Gates'!H31="PASS"</x:f>
        <x:v>1</x:v>
      </x:c>
      <x:c r="F847" s="29" t="b">
        <x:v>1</x:v>
      </x:c>
      <x:c r="G847" s="11" t="b">
        <x:f>'Release Gates'!H31="PASS"</x:f>
        <x:v>1</x:v>
      </x:c>
      <x:c r="H847" s="11" t="str">
        <x:f>IF(G847=F847,"PASS","FAIL")</x:f>
        <x:v>PASS</x:v>
      </x:c>
      <x:c r="I847" s="38"/>
    </x:row>
    <x:row r="848">
      <x:c r="B848" s="11" t="str">
        <x:v>AU-0842</x:v>
      </x:c>
      <x:c r="C848" s="11" t="str">
        <x:v>release planning gate</x:v>
      </x:c>
      <x:c r="D848" s="11" t="str">
        <x:v>PG-ART-026</x:v>
      </x:c>
      <x:c r="E848" s="11" t="b">
        <x:f>'Release Gates'!H32="PASS"</x:f>
        <x:v>1</x:v>
      </x:c>
      <x:c r="F848" s="29" t="b">
        <x:v>1</x:v>
      </x:c>
      <x:c r="G848" s="11" t="b">
        <x:f>'Release Gates'!H32="PASS"</x:f>
        <x:v>1</x:v>
      </x:c>
      <x:c r="H848" s="11" t="str">
        <x:f>IF(G848=F848,"PASS","FAIL")</x:f>
        <x:v>PASS</x:v>
      </x:c>
      <x:c r="I848" s="38"/>
    </x:row>
    <x:row r="849">
      <x:c r="B849" s="11" t="str">
        <x:v>AU-0843</x:v>
      </x:c>
      <x:c r="C849" s="11" t="str">
        <x:v>release planning gate</x:v>
      </x:c>
      <x:c r="D849" s="11" t="str">
        <x:v>PG-ART-027</x:v>
      </x:c>
      <x:c r="E849" s="11" t="b">
        <x:f>'Release Gates'!H33="PASS"</x:f>
        <x:v>1</x:v>
      </x:c>
      <x:c r="F849" s="29" t="b">
        <x:v>1</x:v>
      </x:c>
      <x:c r="G849" s="11" t="b">
        <x:f>'Release Gates'!H33="PASS"</x:f>
        <x:v>1</x:v>
      </x:c>
      <x:c r="H849" s="11" t="str">
        <x:f>IF(G849=F849,"PASS","FAIL")</x:f>
        <x:v>PASS</x:v>
      </x:c>
      <x:c r="I849" s="38"/>
    </x:row>
    <x:row r="850">
      <x:c r="B850" s="11" t="str">
        <x:v>AU-0844</x:v>
      </x:c>
      <x:c r="C850" s="11" t="str">
        <x:v>release planning gate</x:v>
      </x:c>
      <x:c r="D850" s="11" t="str">
        <x:v>PG-ART-028</x:v>
      </x:c>
      <x:c r="E850" s="11" t="b">
        <x:f>'Release Gates'!H34="PASS"</x:f>
        <x:v>1</x:v>
      </x:c>
      <x:c r="F850" s="29" t="b">
        <x:v>1</x:v>
      </x:c>
      <x:c r="G850" s="11" t="b">
        <x:f>'Release Gates'!H34="PASS"</x:f>
        <x:v>1</x:v>
      </x:c>
      <x:c r="H850" s="11" t="str">
        <x:f>IF(G850=F850,"PASS","FAIL")</x:f>
        <x:v>PASS</x:v>
      </x:c>
      <x:c r="I850" s="38"/>
    </x:row>
    <x:row r="851">
      <x:c r="B851" s="11" t="str">
        <x:v>AU-0845</x:v>
      </x:c>
      <x:c r="C851" s="11" t="str">
        <x:v>release planning gate</x:v>
      </x:c>
      <x:c r="D851" s="11" t="str">
        <x:v>PG-ART-029</x:v>
      </x:c>
      <x:c r="E851" s="11" t="b">
        <x:f>'Release Gates'!H35="PASS"</x:f>
        <x:v>1</x:v>
      </x:c>
      <x:c r="F851" s="29" t="b">
        <x:v>1</x:v>
      </x:c>
      <x:c r="G851" s="11" t="b">
        <x:f>'Release Gates'!H35="PASS"</x:f>
        <x:v>1</x:v>
      </x:c>
      <x:c r="H851" s="11" t="str">
        <x:f>IF(G851=F851,"PASS","FAIL")</x:f>
        <x:v>PASS</x:v>
      </x:c>
      <x:c r="I851" s="38"/>
    </x:row>
    <x:row r="852">
      <x:c r="B852" s="11" t="str">
        <x:v>AU-0846</x:v>
      </x:c>
      <x:c r="C852" s="11" t="str">
        <x:v>release planning gate</x:v>
      </x:c>
      <x:c r="D852" s="11" t="str">
        <x:v>PG-ART-030</x:v>
      </x:c>
      <x:c r="E852" s="11" t="b">
        <x:f>'Release Gates'!H36="PASS"</x:f>
        <x:v>1</x:v>
      </x:c>
      <x:c r="F852" s="29" t="b">
        <x:v>1</x:v>
      </x:c>
      <x:c r="G852" s="11" t="b">
        <x:f>'Release Gates'!H36="PASS"</x:f>
        <x:v>1</x:v>
      </x:c>
      <x:c r="H852" s="11" t="str">
        <x:f>IF(G852=F852,"PASS","FAIL")</x:f>
        <x:v>PASS</x:v>
      </x:c>
      <x:c r="I852" s="38"/>
    </x:row>
    <x:row r="853">
      <x:c r="B853" s="11" t="str">
        <x:v>AU-0847</x:v>
      </x:c>
      <x:c r="C853" s="11" t="str">
        <x:v>release planning gate</x:v>
      </x:c>
      <x:c r="D853" s="11" t="str">
        <x:v>PG-ART-031</x:v>
      </x:c>
      <x:c r="E853" s="11" t="b">
        <x:f>'Release Gates'!H37="PASS"</x:f>
        <x:v>1</x:v>
      </x:c>
      <x:c r="F853" s="29" t="b">
        <x:v>1</x:v>
      </x:c>
      <x:c r="G853" s="11" t="b">
        <x:f>'Release Gates'!H37="PASS"</x:f>
        <x:v>1</x:v>
      </x:c>
      <x:c r="H853" s="11" t="str">
        <x:f>IF(G853=F853,"PASS","FAIL")</x:f>
        <x:v>PASS</x:v>
      </x:c>
      <x:c r="I853" s="38"/>
    </x:row>
    <x:row r="854">
      <x:c r="B854" s="11" t="str">
        <x:v>AU-0848</x:v>
      </x:c>
      <x:c r="C854" s="11" t="str">
        <x:v>release planning gate</x:v>
      </x:c>
      <x:c r="D854" s="11" t="str">
        <x:v>PG-ART-032</x:v>
      </x:c>
      <x:c r="E854" s="11" t="b">
        <x:f>'Release Gates'!H38="PASS"</x:f>
        <x:v>1</x:v>
      </x:c>
      <x:c r="F854" s="29" t="b">
        <x:v>1</x:v>
      </x:c>
      <x:c r="G854" s="11" t="b">
        <x:f>'Release Gates'!H38="PASS"</x:f>
        <x:v>1</x:v>
      </x:c>
      <x:c r="H854" s="11" t="str">
        <x:f>IF(G854=F854,"PASS","FAIL")</x:f>
        <x:v>PASS</x:v>
      </x:c>
      <x:c r="I854" s="38"/>
    </x:row>
    <x:row r="855">
      <x:c r="B855" s="11" t="str">
        <x:v>AU-0849</x:v>
      </x:c>
      <x:c r="C855" s="11" t="str">
        <x:v>release planning gate</x:v>
      </x:c>
      <x:c r="D855" s="11" t="str">
        <x:v>PG-ART-033</x:v>
      </x:c>
      <x:c r="E855" s="11" t="b">
        <x:f>'Release Gates'!H39="PASS"</x:f>
        <x:v>1</x:v>
      </x:c>
      <x:c r="F855" s="29" t="b">
        <x:v>1</x:v>
      </x:c>
      <x:c r="G855" s="11" t="b">
        <x:f>'Release Gates'!H39="PASS"</x:f>
        <x:v>1</x:v>
      </x:c>
      <x:c r="H855" s="11" t="str">
        <x:f>IF(G855=F855,"PASS","FAIL")</x:f>
        <x:v>PASS</x:v>
      </x:c>
      <x:c r="I855" s="38"/>
    </x:row>
    <x:row r="856">
      <x:c r="B856" s="11" t="str">
        <x:v>AU-0850</x:v>
      </x:c>
      <x:c r="C856" s="11" t="str">
        <x:v>release planning gate</x:v>
      </x:c>
      <x:c r="D856" s="11" t="str">
        <x:v>PG-ART-034</x:v>
      </x:c>
      <x:c r="E856" s="11" t="b">
        <x:f>'Release Gates'!H40="PASS"</x:f>
        <x:v>1</x:v>
      </x:c>
      <x:c r="F856" s="29" t="b">
        <x:v>1</x:v>
      </x:c>
      <x:c r="G856" s="11" t="b">
        <x:f>'Release Gates'!H40="PASS"</x:f>
        <x:v>1</x:v>
      </x:c>
      <x:c r="H856" s="11" t="str">
        <x:f>IF(G856=F856,"PASS","FAIL")</x:f>
        <x:v>PASS</x:v>
      </x:c>
      <x:c r="I856" s="38"/>
    </x:row>
    <x:row r="857">
      <x:c r="B857" s="11" t="str">
        <x:v>AU-0851</x:v>
      </x:c>
      <x:c r="C857" s="11" t="str">
        <x:v>release planning gate</x:v>
      </x:c>
      <x:c r="D857" s="11" t="str">
        <x:v>PG-ART-035</x:v>
      </x:c>
      <x:c r="E857" s="11" t="b">
        <x:f>'Release Gates'!H41="PASS"</x:f>
        <x:v>1</x:v>
      </x:c>
      <x:c r="F857" s="29" t="b">
        <x:v>1</x:v>
      </x:c>
      <x:c r="G857" s="11" t="b">
        <x:f>'Release Gates'!H41="PASS"</x:f>
        <x:v>1</x:v>
      </x:c>
      <x:c r="H857" s="11" t="str">
        <x:f>IF(G857=F857,"PASS","FAIL")</x:f>
        <x:v>PASS</x:v>
      </x:c>
      <x:c r="I857" s="38"/>
    </x:row>
    <x:row r="858">
      <x:c r="B858" s="11" t="str">
        <x:v>AU-0852</x:v>
      </x:c>
      <x:c r="C858" s="11" t="str">
        <x:v>release planning gate</x:v>
      </x:c>
      <x:c r="D858" s="11" t="str">
        <x:v>PG-ART-036</x:v>
      </x:c>
      <x:c r="E858" s="11" t="b">
        <x:f>'Release Gates'!H42="PASS"</x:f>
        <x:v>1</x:v>
      </x:c>
      <x:c r="F858" s="29" t="b">
        <x:v>1</x:v>
      </x:c>
      <x:c r="G858" s="11" t="b">
        <x:f>'Release Gates'!H42="PASS"</x:f>
        <x:v>1</x:v>
      </x:c>
      <x:c r="H858" s="11" t="str">
        <x:f>IF(G858=F858,"PASS","FAIL")</x:f>
        <x:v>PASS</x:v>
      </x:c>
      <x:c r="I858" s="38"/>
    </x:row>
    <x:row r="859">
      <x:c r="B859" s="11" t="str">
        <x:v>AU-0853</x:v>
      </x:c>
      <x:c r="C859" s="11" t="str">
        <x:v>release planning gate</x:v>
      </x:c>
      <x:c r="D859" s="11" t="str">
        <x:v>PG-ART-037</x:v>
      </x:c>
      <x:c r="E859" s="11" t="b">
        <x:f>'Release Gates'!H43="PASS"</x:f>
        <x:v>1</x:v>
      </x:c>
      <x:c r="F859" s="29" t="b">
        <x:v>1</x:v>
      </x:c>
      <x:c r="G859" s="11" t="b">
        <x:f>'Release Gates'!H43="PASS"</x:f>
        <x:v>1</x:v>
      </x:c>
      <x:c r="H859" s="11" t="str">
        <x:f>IF(G859=F859,"PASS","FAIL")</x:f>
        <x:v>PASS</x:v>
      </x:c>
      <x:c r="I859" s="38"/>
    </x:row>
    <x:row r="860">
      <x:c r="B860" s="11" t="str">
        <x:v>AU-0854</x:v>
      </x:c>
      <x:c r="C860" s="11" t="str">
        <x:v>release planning gate</x:v>
      </x:c>
      <x:c r="D860" s="11" t="str">
        <x:v>PG-ART-038</x:v>
      </x:c>
      <x:c r="E860" s="11" t="b">
        <x:f>'Release Gates'!H44="PASS"</x:f>
        <x:v>1</x:v>
      </x:c>
      <x:c r="F860" s="29" t="b">
        <x:v>1</x:v>
      </x:c>
      <x:c r="G860" s="11" t="b">
        <x:f>'Release Gates'!H44="PASS"</x:f>
        <x:v>1</x:v>
      </x:c>
      <x:c r="H860" s="11" t="str">
        <x:f>IF(G860=F860,"PASS","FAIL")</x:f>
        <x:v>PASS</x:v>
      </x:c>
      <x:c r="I860" s="38"/>
    </x:row>
    <x:row r="861">
      <x:c r="B861" s="11" t="str">
        <x:v>AU-0855</x:v>
      </x:c>
      <x:c r="C861" s="11" t="str">
        <x:v>release planning gate</x:v>
      </x:c>
      <x:c r="D861" s="11" t="str">
        <x:v>PG-ART-039</x:v>
      </x:c>
      <x:c r="E861" s="11" t="b">
        <x:f>'Release Gates'!H45="PASS"</x:f>
        <x:v>1</x:v>
      </x:c>
      <x:c r="F861" s="29" t="b">
        <x:v>1</x:v>
      </x:c>
      <x:c r="G861" s="11" t="b">
        <x:f>'Release Gates'!H45="PASS"</x:f>
        <x:v>1</x:v>
      </x:c>
      <x:c r="H861" s="11" t="str">
        <x:f>IF(G861=F861,"PASS","FAIL")</x:f>
        <x:v>PASS</x:v>
      </x:c>
      <x:c r="I861" s="38"/>
    </x:row>
    <x:row r="862">
      <x:c r="B862" s="11" t="str">
        <x:v>AU-0856</x:v>
      </x:c>
      <x:c r="C862" s="11" t="str">
        <x:v>release planning gate</x:v>
      </x:c>
      <x:c r="D862" s="11" t="str">
        <x:v>PG-ART-040</x:v>
      </x:c>
      <x:c r="E862" s="11" t="b">
        <x:f>'Release Gates'!H46="PASS"</x:f>
        <x:v>1</x:v>
      </x:c>
      <x:c r="F862" s="29" t="b">
        <x:v>1</x:v>
      </x:c>
      <x:c r="G862" s="11" t="b">
        <x:f>'Release Gates'!H46="PASS"</x:f>
        <x:v>1</x:v>
      </x:c>
      <x:c r="H862" s="11" t="str">
        <x:f>IF(G862=F862,"PASS","FAIL")</x:f>
        <x:v>PASS</x:v>
      </x:c>
      <x:c r="I862" s="38"/>
    </x:row>
    <x:row r="863">
      <x:c r="B863" s="11" t="str">
        <x:v>AU-0857</x:v>
      </x:c>
      <x:c r="C863" s="11" t="str">
        <x:v>release planning gate</x:v>
      </x:c>
      <x:c r="D863" s="11" t="str">
        <x:v>PG-ART-041</x:v>
      </x:c>
      <x:c r="E863" s="11" t="b">
        <x:f>'Release Gates'!H47="PASS"</x:f>
        <x:v>1</x:v>
      </x:c>
      <x:c r="F863" s="29" t="b">
        <x:v>1</x:v>
      </x:c>
      <x:c r="G863" s="11" t="b">
        <x:f>'Release Gates'!H47="PASS"</x:f>
        <x:v>1</x:v>
      </x:c>
      <x:c r="H863" s="11" t="str">
        <x:f>IF(G863=F863,"PASS","FAIL")</x:f>
        <x:v>PASS</x:v>
      </x:c>
      <x:c r="I863" s="38"/>
    </x:row>
    <x:row r="864">
      <x:c r="B864" s="11" t="str">
        <x:v>AU-0858</x:v>
      </x:c>
      <x:c r="C864" s="11" t="str">
        <x:v>release planning gate</x:v>
      </x:c>
      <x:c r="D864" s="11" t="str">
        <x:v>PG-ART-042</x:v>
      </x:c>
      <x:c r="E864" s="11" t="b">
        <x:f>'Release Gates'!H48="PASS"</x:f>
        <x:v>1</x:v>
      </x:c>
      <x:c r="F864" s="29" t="b">
        <x:v>1</x:v>
      </x:c>
      <x:c r="G864" s="11" t="b">
        <x:f>'Release Gates'!H48="PASS"</x:f>
        <x:v>1</x:v>
      </x:c>
      <x:c r="H864" s="11" t="str">
        <x:f>IF(G864=F864,"PASS","FAIL")</x:f>
        <x:v>PASS</x:v>
      </x:c>
      <x:c r="I864" s="38"/>
    </x:row>
    <x:row r="865">
      <x:c r="B865" s="11" t="str">
        <x:v>AU-0859</x:v>
      </x:c>
      <x:c r="C865" s="11" t="str">
        <x:v>release planning gate</x:v>
      </x:c>
      <x:c r="D865" s="11" t="str">
        <x:v>PG-ART-043</x:v>
      </x:c>
      <x:c r="E865" s="11" t="b">
        <x:f>'Release Gates'!H49="PASS"</x:f>
        <x:v>1</x:v>
      </x:c>
      <x:c r="F865" s="29" t="b">
        <x:v>1</x:v>
      </x:c>
      <x:c r="G865" s="11" t="b">
        <x:f>'Release Gates'!H49="PASS"</x:f>
        <x:v>1</x:v>
      </x:c>
      <x:c r="H865" s="11" t="str">
        <x:f>IF(G865=F865,"PASS","FAIL")</x:f>
        <x:v>PASS</x:v>
      </x:c>
      <x:c r="I865" s="38"/>
    </x:row>
    <x:row r="866">
      <x:c r="B866" s="11" t="str">
        <x:v>AU-0860</x:v>
      </x:c>
      <x:c r="C866" s="11" t="str">
        <x:v>release planning gate</x:v>
      </x:c>
      <x:c r="D866" s="11" t="str">
        <x:v>PG-ART-044</x:v>
      </x:c>
      <x:c r="E866" s="11" t="b">
        <x:f>'Release Gates'!H50="PASS"</x:f>
        <x:v>1</x:v>
      </x:c>
      <x:c r="F866" s="29" t="b">
        <x:v>1</x:v>
      </x:c>
      <x:c r="G866" s="11" t="b">
        <x:f>'Release Gates'!H50="PASS"</x:f>
        <x:v>1</x:v>
      </x:c>
      <x:c r="H866" s="11" t="str">
        <x:f>IF(G866=F866,"PASS","FAIL")</x:f>
        <x:v>PASS</x:v>
      </x:c>
      <x:c r="I866" s="38"/>
    </x:row>
    <x:row r="867">
      <x:c r="B867" s="11" t="str">
        <x:v>AU-0861</x:v>
      </x:c>
      <x:c r="C867" s="11" t="str">
        <x:v>release planning gate</x:v>
      </x:c>
      <x:c r="D867" s="11" t="str">
        <x:v>PG-ART-045</x:v>
      </x:c>
      <x:c r="E867" s="11" t="b">
        <x:f>'Release Gates'!H51="PASS"</x:f>
        <x:v>1</x:v>
      </x:c>
      <x:c r="F867" s="29" t="b">
        <x:v>1</x:v>
      </x:c>
      <x:c r="G867" s="11" t="b">
        <x:f>'Release Gates'!H51="PASS"</x:f>
        <x:v>1</x:v>
      </x:c>
      <x:c r="H867" s="11" t="str">
        <x:f>IF(G867=F867,"PASS","FAIL")</x:f>
        <x:v>PASS</x:v>
      </x:c>
      <x:c r="I867" s="38"/>
    </x:row>
    <x:row r="868">
      <x:c r="B868" s="11" t="str">
        <x:v>AU-0862</x:v>
      </x:c>
      <x:c r="C868" s="11" t="str">
        <x:v>release planning gate</x:v>
      </x:c>
      <x:c r="D868" s="11" t="str">
        <x:v>PG-ART-046</x:v>
      </x:c>
      <x:c r="E868" s="11" t="b">
        <x:f>'Release Gates'!H52="PASS"</x:f>
        <x:v>1</x:v>
      </x:c>
      <x:c r="F868" s="29" t="b">
        <x:v>1</x:v>
      </x:c>
      <x:c r="G868" s="11" t="b">
        <x:f>'Release Gates'!H52="PASS"</x:f>
        <x:v>1</x:v>
      </x:c>
      <x:c r="H868" s="11" t="str">
        <x:f>IF(G868=F868,"PASS","FAIL")</x:f>
        <x:v>PASS</x:v>
      </x:c>
      <x:c r="I868" s="38"/>
    </x:row>
    <x:row r="869">
      <x:c r="B869" s="11" t="str">
        <x:v>AU-0863</x:v>
      </x:c>
      <x:c r="C869" s="11" t="str">
        <x:v>release planning gate</x:v>
      </x:c>
      <x:c r="D869" s="11" t="str">
        <x:v>PG-ART-047</x:v>
      </x:c>
      <x:c r="E869" s="11" t="b">
        <x:f>'Release Gates'!H53="PASS"</x:f>
        <x:v>1</x:v>
      </x:c>
      <x:c r="F869" s="29" t="b">
        <x:v>1</x:v>
      </x:c>
      <x:c r="G869" s="11" t="b">
        <x:f>'Release Gates'!H53="PASS"</x:f>
        <x:v>1</x:v>
      </x:c>
      <x:c r="H869" s="11" t="str">
        <x:f>IF(G869=F869,"PASS","FAIL")</x:f>
        <x:v>PASS</x:v>
      </x:c>
      <x:c r="I869" s="38"/>
    </x:row>
    <x:row r="870">
      <x:c r="B870" s="11" t="str">
        <x:v>AU-0864</x:v>
      </x:c>
      <x:c r="C870" s="11" t="str">
        <x:v>release planning gate</x:v>
      </x:c>
      <x:c r="D870" s="11" t="str">
        <x:v>PG-ART-048</x:v>
      </x:c>
      <x:c r="E870" s="11" t="b">
        <x:f>'Release Gates'!H54="PASS"</x:f>
        <x:v>1</x:v>
      </x:c>
      <x:c r="F870" s="29" t="b">
        <x:v>1</x:v>
      </x:c>
      <x:c r="G870" s="11" t="b">
        <x:f>'Release Gates'!H54="PASS"</x:f>
        <x:v>1</x:v>
      </x:c>
      <x:c r="H870" s="11" t="str">
        <x:f>IF(G870=F870,"PASS","FAIL")</x:f>
        <x:v>PASS</x:v>
      </x:c>
      <x:c r="I870" s="38"/>
    </x:row>
    <x:row r="871">
      <x:c r="B871" s="11" t="str">
        <x:v>AU-0865</x:v>
      </x:c>
      <x:c r="C871" s="11" t="str">
        <x:v>release planning gate</x:v>
      </x:c>
      <x:c r="D871" s="11" t="str">
        <x:v>PG-ART-049</x:v>
      </x:c>
      <x:c r="E871" s="11" t="b">
        <x:f>'Release Gates'!H55="PASS"</x:f>
        <x:v>1</x:v>
      </x:c>
      <x:c r="F871" s="29" t="b">
        <x:v>1</x:v>
      </x:c>
      <x:c r="G871" s="11" t="b">
        <x:f>'Release Gates'!H55="PASS"</x:f>
        <x:v>1</x:v>
      </x:c>
      <x:c r="H871" s="11" t="str">
        <x:f>IF(G871=F871,"PASS","FAIL")</x:f>
        <x:v>PASS</x:v>
      </x:c>
      <x:c r="I871" s="38"/>
    </x:row>
    <x:row r="872">
      <x:c r="B872" s="11" t="str">
        <x:v>AU-0866</x:v>
      </x:c>
      <x:c r="C872" s="11" t="str">
        <x:v>release planning gate</x:v>
      </x:c>
      <x:c r="D872" s="11" t="str">
        <x:v>PG-ART-050</x:v>
      </x:c>
      <x:c r="E872" s="11" t="b">
        <x:f>'Release Gates'!H56="PASS"</x:f>
        <x:v>1</x:v>
      </x:c>
      <x:c r="F872" s="29" t="b">
        <x:v>1</x:v>
      </x:c>
      <x:c r="G872" s="11" t="b">
        <x:f>'Release Gates'!H56="PASS"</x:f>
        <x:v>1</x:v>
      </x:c>
      <x:c r="H872" s="11" t="str">
        <x:f>IF(G872=F872,"PASS","FAIL")</x:f>
        <x:v>PASS</x:v>
      </x:c>
      <x:c r="I872" s="38"/>
    </x:row>
    <x:row r="873">
      <x:c r="B873" s="11" t="str">
        <x:v>AU-0867</x:v>
      </x:c>
      <x:c r="C873" s="11" t="str">
        <x:v>release planning gate</x:v>
      </x:c>
      <x:c r="D873" s="11" t="str">
        <x:v>PG-ART-051</x:v>
      </x:c>
      <x:c r="E873" s="11" t="b">
        <x:f>'Release Gates'!H57="PASS"</x:f>
        <x:v>1</x:v>
      </x:c>
      <x:c r="F873" s="29" t="b">
        <x:v>1</x:v>
      </x:c>
      <x:c r="G873" s="11" t="b">
        <x:f>'Release Gates'!H57="PASS"</x:f>
        <x:v>1</x:v>
      </x:c>
      <x:c r="H873" s="11" t="str">
        <x:f>IF(G873=F873,"PASS","FAIL")</x:f>
        <x:v>PASS</x:v>
      </x:c>
      <x:c r="I873" s="38"/>
    </x:row>
    <x:row r="874">
      <x:c r="B874" s="11" t="str">
        <x:v>AU-0868</x:v>
      </x:c>
      <x:c r="C874" s="11" t="str">
        <x:v>release planning gate</x:v>
      </x:c>
      <x:c r="D874" s="11" t="str">
        <x:v>PG-ART-052</x:v>
      </x:c>
      <x:c r="E874" s="11" t="b">
        <x:f>'Release Gates'!H58="PASS"</x:f>
        <x:v>1</x:v>
      </x:c>
      <x:c r="F874" s="29" t="b">
        <x:v>1</x:v>
      </x:c>
      <x:c r="G874" s="11" t="b">
        <x:f>'Release Gates'!H58="PASS"</x:f>
        <x:v>1</x:v>
      </x:c>
      <x:c r="H874" s="11" t="str">
        <x:f>IF(G874=F874,"PASS","FAIL")</x:f>
        <x:v>PASS</x:v>
      </x:c>
      <x:c r="I874" s="38"/>
    </x:row>
    <x:row r="875">
      <x:c r="B875" s="11" t="str">
        <x:v>AU-0869</x:v>
      </x:c>
      <x:c r="C875" s="11" t="str">
        <x:v>release planning gate</x:v>
      </x:c>
      <x:c r="D875" s="11" t="str">
        <x:v>PG-ART-053</x:v>
      </x:c>
      <x:c r="E875" s="11" t="b">
        <x:f>'Release Gates'!H59="PASS"</x:f>
        <x:v>1</x:v>
      </x:c>
      <x:c r="F875" s="29" t="b">
        <x:v>1</x:v>
      </x:c>
      <x:c r="G875" s="11" t="b">
        <x:f>'Release Gates'!H59="PASS"</x:f>
        <x:v>1</x:v>
      </x:c>
      <x:c r="H875" s="11" t="str">
        <x:f>IF(G875=F875,"PASS","FAIL")</x:f>
        <x:v>PASS</x:v>
      </x:c>
      <x:c r="I875" s="38"/>
    </x:row>
    <x:row r="876">
      <x:c r="B876" s="11" t="str">
        <x:v>AU-0870</x:v>
      </x:c>
      <x:c r="C876" s="11" t="str">
        <x:v>release planning gate</x:v>
      </x:c>
      <x:c r="D876" s="11" t="str">
        <x:v>PG-ART-054</x:v>
      </x:c>
      <x:c r="E876" s="11" t="b">
        <x:f>'Release Gates'!H60="PASS"</x:f>
        <x:v>1</x:v>
      </x:c>
      <x:c r="F876" s="29" t="b">
        <x:v>1</x:v>
      </x:c>
      <x:c r="G876" s="11" t="b">
        <x:f>'Release Gates'!H60="PASS"</x:f>
        <x:v>1</x:v>
      </x:c>
      <x:c r="H876" s="11" t="str">
        <x:f>IF(G876=F876,"PASS","FAIL")</x:f>
        <x:v>PASS</x:v>
      </x:c>
      <x:c r="I876" s="38"/>
    </x:row>
    <x:row r="877">
      <x:c r="B877" s="11" t="str">
        <x:v>AU-0871</x:v>
      </x:c>
      <x:c r="C877" s="11" t="str">
        <x:v>release planning gate</x:v>
      </x:c>
      <x:c r="D877" s="11" t="str">
        <x:v>PG-ART-055</x:v>
      </x:c>
      <x:c r="E877" s="11" t="b">
        <x:f>'Release Gates'!H61="PASS"</x:f>
        <x:v>1</x:v>
      </x:c>
      <x:c r="F877" s="29" t="b">
        <x:v>1</x:v>
      </x:c>
      <x:c r="G877" s="11" t="b">
        <x:f>'Release Gates'!H61="PASS"</x:f>
        <x:v>1</x:v>
      </x:c>
      <x:c r="H877" s="11" t="str">
        <x:f>IF(G877=F877,"PASS","FAIL")</x:f>
        <x:v>PASS</x:v>
      </x:c>
      <x:c r="I877" s="38"/>
    </x:row>
    <x:row r="878">
      <x:c r="B878" s="11" t="str">
        <x:v>AU-0872</x:v>
      </x:c>
      <x:c r="C878" s="11" t="str">
        <x:v>release planning gate</x:v>
      </x:c>
      <x:c r="D878" s="11" t="str">
        <x:v>PG-ART-056</x:v>
      </x:c>
      <x:c r="E878" s="11" t="b">
        <x:f>'Release Gates'!H62="PASS"</x:f>
        <x:v>1</x:v>
      </x:c>
      <x:c r="F878" s="29" t="b">
        <x:v>1</x:v>
      </x:c>
      <x:c r="G878" s="11" t="b">
        <x:f>'Release Gates'!H62="PASS"</x:f>
        <x:v>1</x:v>
      </x:c>
      <x:c r="H878" s="11" t="str">
        <x:f>IF(G878=F878,"PASS","FAIL")</x:f>
        <x:v>PASS</x:v>
      </x:c>
      <x:c r="I878" s="38"/>
    </x:row>
    <x:row r="879">
      <x:c r="B879" s="11" t="str">
        <x:v>AU-0873</x:v>
      </x:c>
      <x:c r="C879" s="11" t="str">
        <x:v>release planning gate</x:v>
      </x:c>
      <x:c r="D879" s="11" t="str">
        <x:v>PG-ART-057</x:v>
      </x:c>
      <x:c r="E879" s="11" t="b">
        <x:f>'Release Gates'!H63="PASS"</x:f>
        <x:v>1</x:v>
      </x:c>
      <x:c r="F879" s="29" t="b">
        <x:v>1</x:v>
      </x:c>
      <x:c r="G879" s="11" t="b">
        <x:f>'Release Gates'!H63="PASS"</x:f>
        <x:v>1</x:v>
      </x:c>
      <x:c r="H879" s="11" t="str">
        <x:f>IF(G879=F879,"PASS","FAIL")</x:f>
        <x:v>PASS</x:v>
      </x:c>
      <x:c r="I879" s="38"/>
    </x:row>
    <x:row r="880">
      <x:c r="B880" s="11" t="str">
        <x:v>AU-0874</x:v>
      </x:c>
      <x:c r="C880" s="11" t="str">
        <x:v>release planning gate</x:v>
      </x:c>
      <x:c r="D880" s="11" t="str">
        <x:v>PG-ART-058</x:v>
      </x:c>
      <x:c r="E880" s="11" t="b">
        <x:f>'Release Gates'!H64="PASS"</x:f>
        <x:v>1</x:v>
      </x:c>
      <x:c r="F880" s="29" t="b">
        <x:v>1</x:v>
      </x:c>
      <x:c r="G880" s="11" t="b">
        <x:f>'Release Gates'!H64="PASS"</x:f>
        <x:v>1</x:v>
      </x:c>
      <x:c r="H880" s="11" t="str">
        <x:f>IF(G880=F880,"PASS","FAIL")</x:f>
        <x:v>PASS</x:v>
      </x:c>
      <x:c r="I880" s="38"/>
    </x:row>
    <x:row r="881">
      <x:c r="B881" s="11" t="str">
        <x:v>AU-0875</x:v>
      </x:c>
      <x:c r="C881" s="11" t="str">
        <x:v>release planning gate</x:v>
      </x:c>
      <x:c r="D881" s="11" t="str">
        <x:v>PG-ART-059</x:v>
      </x:c>
      <x:c r="E881" s="11" t="b">
        <x:f>'Release Gates'!H65="PASS"</x:f>
        <x:v>1</x:v>
      </x:c>
      <x:c r="F881" s="29" t="b">
        <x:v>1</x:v>
      </x:c>
      <x:c r="G881" s="11" t="b">
        <x:f>'Release Gates'!H65="PASS"</x:f>
        <x:v>1</x:v>
      </x:c>
      <x:c r="H881" s="11" t="str">
        <x:f>IF(G881=F881,"PASS","FAIL")</x:f>
        <x:v>PASS</x:v>
      </x:c>
      <x:c r="I881" s="38"/>
    </x:row>
    <x:row r="882">
      <x:c r="B882" s="11" t="str">
        <x:v>AU-0876</x:v>
      </x:c>
      <x:c r="C882" s="11" t="str">
        <x:v>release planning gate</x:v>
      </x:c>
      <x:c r="D882" s="11" t="str">
        <x:v>PG-ART-060</x:v>
      </x:c>
      <x:c r="E882" s="11" t="b">
        <x:f>'Release Gates'!H66="PASS"</x:f>
        <x:v>1</x:v>
      </x:c>
      <x:c r="F882" s="29" t="b">
        <x:v>1</x:v>
      </x:c>
      <x:c r="G882" s="11" t="b">
        <x:f>'Release Gates'!H66="PASS"</x:f>
        <x:v>1</x:v>
      </x:c>
      <x:c r="H882" s="11" t="str">
        <x:f>IF(G882=F882,"PASS","FAIL")</x:f>
        <x:v>PASS</x:v>
      </x:c>
      <x:c r="I882" s="38"/>
    </x:row>
    <x:row r="883">
      <x:c r="B883" s="11" t="str">
        <x:v>AU-0877</x:v>
      </x:c>
      <x:c r="C883" s="11" t="str">
        <x:v>release planning gate</x:v>
      </x:c>
      <x:c r="D883" s="11" t="str">
        <x:v>PG-ART-061</x:v>
      </x:c>
      <x:c r="E883" s="11" t="b">
        <x:f>'Release Gates'!H67="PASS"</x:f>
        <x:v>1</x:v>
      </x:c>
      <x:c r="F883" s="29" t="b">
        <x:v>1</x:v>
      </x:c>
      <x:c r="G883" s="11" t="b">
        <x:f>'Release Gates'!H67="PASS"</x:f>
        <x:v>1</x:v>
      </x:c>
      <x:c r="H883" s="11" t="str">
        <x:f>IF(G883=F883,"PASS","FAIL")</x:f>
        <x:v>PASS</x:v>
      </x:c>
      <x:c r="I883" s="38"/>
    </x:row>
    <x:row r="884">
      <x:c r="B884" s="11" t="str">
        <x:v>AU-0878</x:v>
      </x:c>
      <x:c r="C884" s="11" t="str">
        <x:v>release planning gate</x:v>
      </x:c>
      <x:c r="D884" s="11" t="str">
        <x:v>PG-ART-062</x:v>
      </x:c>
      <x:c r="E884" s="11" t="b">
        <x:f>'Release Gates'!H68="PASS"</x:f>
        <x:v>1</x:v>
      </x:c>
      <x:c r="F884" s="29" t="b">
        <x:v>1</x:v>
      </x:c>
      <x:c r="G884" s="11" t="b">
        <x:f>'Release Gates'!H68="PASS"</x:f>
        <x:v>1</x:v>
      </x:c>
      <x:c r="H884" s="11" t="str">
        <x:f>IF(G884=F884,"PASS","FAIL")</x:f>
        <x:v>PASS</x:v>
      </x:c>
      <x:c r="I884" s="38"/>
    </x:row>
    <x:row r="885">
      <x:c r="B885" s="11" t="str">
        <x:v>AU-0879</x:v>
      </x:c>
      <x:c r="C885" s="11" t="str">
        <x:v>release planning gate</x:v>
      </x:c>
      <x:c r="D885" s="11" t="str">
        <x:v>PG-ART-063</x:v>
      </x:c>
      <x:c r="E885" s="11" t="b">
        <x:f>'Release Gates'!H69="PASS"</x:f>
        <x:v>1</x:v>
      </x:c>
      <x:c r="F885" s="29" t="b">
        <x:v>1</x:v>
      </x:c>
      <x:c r="G885" s="11" t="b">
        <x:f>'Release Gates'!H69="PASS"</x:f>
        <x:v>1</x:v>
      </x:c>
      <x:c r="H885" s="11" t="str">
        <x:f>IF(G885=F885,"PASS","FAIL")</x:f>
        <x:v>PASS</x:v>
      </x:c>
      <x:c r="I885" s="38"/>
    </x:row>
    <x:row r="886">
      <x:c r="B886" s="11" t="str">
        <x:v>AU-0880</x:v>
      </x:c>
      <x:c r="C886" s="11" t="str">
        <x:v>release planning gate</x:v>
      </x:c>
      <x:c r="D886" s="11" t="str">
        <x:v>PG-ART-064</x:v>
      </x:c>
      <x:c r="E886" s="11" t="b">
        <x:f>'Release Gates'!H70="PASS"</x:f>
        <x:v>1</x:v>
      </x:c>
      <x:c r="F886" s="29" t="b">
        <x:v>1</x:v>
      </x:c>
      <x:c r="G886" s="11" t="b">
        <x:f>'Release Gates'!H70="PASS"</x:f>
        <x:v>1</x:v>
      </x:c>
      <x:c r="H886" s="11" t="str">
        <x:f>IF(G886=F886,"PASS","FAIL")</x:f>
        <x:v>PASS</x:v>
      </x:c>
      <x:c r="I886" s="38"/>
    </x:row>
    <x:row r="887">
      <x:c r="B887" s="11" t="str">
        <x:v>AU-0881</x:v>
      </x:c>
      <x:c r="C887" s="11" t="str">
        <x:v>release planning gate</x:v>
      </x:c>
      <x:c r="D887" s="11" t="str">
        <x:v>PG-ART-065</x:v>
      </x:c>
      <x:c r="E887" s="11" t="b">
        <x:f>'Release Gates'!H71="PASS"</x:f>
        <x:v>1</x:v>
      </x:c>
      <x:c r="F887" s="29" t="b">
        <x:v>1</x:v>
      </x:c>
      <x:c r="G887" s="11" t="b">
        <x:f>'Release Gates'!H71="PASS"</x:f>
        <x:v>1</x:v>
      </x:c>
      <x:c r="H887" s="11" t="str">
        <x:f>IF(G887=F887,"PASS","FAIL")</x:f>
        <x:v>PASS</x:v>
      </x:c>
      <x:c r="I887" s="38"/>
    </x:row>
    <x:row r="888">
      <x:c r="B888" s="11" t="str">
        <x:v>AU-0882</x:v>
      </x:c>
      <x:c r="C888" s="11" t="str">
        <x:v>release planning gate</x:v>
      </x:c>
      <x:c r="D888" s="11" t="str">
        <x:v>PG-ART-066</x:v>
      </x:c>
      <x:c r="E888" s="11" t="b">
        <x:f>'Release Gates'!H72="PASS"</x:f>
        <x:v>1</x:v>
      </x:c>
      <x:c r="F888" s="29" t="b">
        <x:v>1</x:v>
      </x:c>
      <x:c r="G888" s="11" t="b">
        <x:f>'Release Gates'!H72="PASS"</x:f>
        <x:v>1</x:v>
      </x:c>
      <x:c r="H888" s="11" t="str">
        <x:f>IF(G888=F888,"PASS","FAIL")</x:f>
        <x:v>PASS</x:v>
      </x:c>
      <x:c r="I888" s="38"/>
    </x:row>
    <x:row r="889">
      <x:c r="B889" s="11" t="str">
        <x:v>AU-0883</x:v>
      </x:c>
      <x:c r="C889" s="11" t="str">
        <x:v>release planning gate</x:v>
      </x:c>
      <x:c r="D889" s="11" t="str">
        <x:v>PG-ART-067</x:v>
      </x:c>
      <x:c r="E889" s="11" t="b">
        <x:f>'Release Gates'!H73="PASS"</x:f>
        <x:v>1</x:v>
      </x:c>
      <x:c r="F889" s="29" t="b">
        <x:v>1</x:v>
      </x:c>
      <x:c r="G889" s="11" t="b">
        <x:f>'Release Gates'!H73="PASS"</x:f>
        <x:v>1</x:v>
      </x:c>
      <x:c r="H889" s="11" t="str">
        <x:f>IF(G889=F889,"PASS","FAIL")</x:f>
        <x:v>PASS</x:v>
      </x:c>
      <x:c r="I889" s="38"/>
    </x:row>
    <x:row r="890">
      <x:c r="B890" s="11" t="str">
        <x:v>AU-0884</x:v>
      </x:c>
      <x:c r="C890" s="11" t="str">
        <x:v>release planning gate</x:v>
      </x:c>
      <x:c r="D890" s="11" t="str">
        <x:v>PG-ART-068</x:v>
      </x:c>
      <x:c r="E890" s="11" t="b">
        <x:f>'Release Gates'!H74="PASS"</x:f>
        <x:v>1</x:v>
      </x:c>
      <x:c r="F890" s="29" t="b">
        <x:v>1</x:v>
      </x:c>
      <x:c r="G890" s="11" t="b">
        <x:f>'Release Gates'!H74="PASS"</x:f>
        <x:v>1</x:v>
      </x:c>
      <x:c r="H890" s="11" t="str">
        <x:f>IF(G890=F890,"PASS","FAIL")</x:f>
        <x:v>PASS</x:v>
      </x:c>
      <x:c r="I890" s="38"/>
    </x:row>
    <x:row r="891">
      <x:c r="B891" s="11" t="str">
        <x:v>AU-0885</x:v>
      </x:c>
      <x:c r="C891" s="11" t="str">
        <x:v>release planning gate</x:v>
      </x:c>
      <x:c r="D891" s="11" t="str">
        <x:v>PG-ART-069</x:v>
      </x:c>
      <x:c r="E891" s="11" t="b">
        <x:f>'Release Gates'!H75="PASS"</x:f>
        <x:v>1</x:v>
      </x:c>
      <x:c r="F891" s="29" t="b">
        <x:v>1</x:v>
      </x:c>
      <x:c r="G891" s="11" t="b">
        <x:f>'Release Gates'!H75="PASS"</x:f>
        <x:v>1</x:v>
      </x:c>
      <x:c r="H891" s="11" t="str">
        <x:f>IF(G891=F891,"PASS","FAIL")</x:f>
        <x:v>PASS</x:v>
      </x:c>
      <x:c r="I891" s="38"/>
    </x:row>
    <x:row r="892">
      <x:c r="B892" s="11" t="str">
        <x:v>AU-0886</x:v>
      </x:c>
      <x:c r="C892" s="11" t="str">
        <x:v>release planning gate</x:v>
      </x:c>
      <x:c r="D892" s="11" t="str">
        <x:v>PG-ART-070</x:v>
      </x:c>
      <x:c r="E892" s="11" t="b">
        <x:f>'Release Gates'!H76="PASS"</x:f>
        <x:v>1</x:v>
      </x:c>
      <x:c r="F892" s="29" t="b">
        <x:v>1</x:v>
      </x:c>
      <x:c r="G892" s="11" t="b">
        <x:f>'Release Gates'!H76="PASS"</x:f>
        <x:v>1</x:v>
      </x:c>
      <x:c r="H892" s="11" t="str">
        <x:f>IF(G892=F892,"PASS","FAIL")</x:f>
        <x:v>PASS</x:v>
      </x:c>
      <x:c r="I892" s="38"/>
    </x:row>
    <x:row r="893">
      <x:c r="B893" s="11" t="str">
        <x:v>AU-0887</x:v>
      </x:c>
      <x:c r="C893" s="11" t="str">
        <x:v>release planning gate</x:v>
      </x:c>
      <x:c r="D893" s="11" t="str">
        <x:v>PG-ART-071</x:v>
      </x:c>
      <x:c r="E893" s="11" t="b">
        <x:f>'Release Gates'!H77="PASS"</x:f>
        <x:v>1</x:v>
      </x:c>
      <x:c r="F893" s="29" t="b">
        <x:v>1</x:v>
      </x:c>
      <x:c r="G893" s="11" t="b">
        <x:f>'Release Gates'!H77="PASS"</x:f>
        <x:v>1</x:v>
      </x:c>
      <x:c r="H893" s="11" t="str">
        <x:f>IF(G893=F893,"PASS","FAIL")</x:f>
        <x:v>PASS</x:v>
      </x:c>
      <x:c r="I893" s="38"/>
    </x:row>
    <x:row r="894">
      <x:c r="B894" s="11" t="str">
        <x:v>AU-0888</x:v>
      </x:c>
      <x:c r="C894" s="11" t="str">
        <x:v>release planning gate</x:v>
      </x:c>
      <x:c r="D894" s="11" t="str">
        <x:v>PG-ART-072</x:v>
      </x:c>
      <x:c r="E894" s="11" t="b">
        <x:f>'Release Gates'!H78="PASS"</x:f>
        <x:v>1</x:v>
      </x:c>
      <x:c r="F894" s="29" t="b">
        <x:v>1</x:v>
      </x:c>
      <x:c r="G894" s="11" t="b">
        <x:f>'Release Gates'!H78="PASS"</x:f>
        <x:v>1</x:v>
      </x:c>
      <x:c r="H894" s="11" t="str">
        <x:f>IF(G894=F894,"PASS","FAIL")</x:f>
        <x:v>PASS</x:v>
      </x:c>
      <x:c r="I894" s="38"/>
    </x:row>
    <x:row r="895">
      <x:c r="B895" s="11" t="str">
        <x:v>AU-0889</x:v>
      </x:c>
      <x:c r="C895" s="11" t="str">
        <x:v>release planning gate</x:v>
      </x:c>
      <x:c r="D895" s="11" t="str">
        <x:v>PG-ST-01</x:v>
      </x:c>
      <x:c r="E895" s="11" t="b">
        <x:f>'Release Gates'!H79="PASS"</x:f>
        <x:v>1</x:v>
      </x:c>
      <x:c r="F895" s="29" t="b">
        <x:v>1</x:v>
      </x:c>
      <x:c r="G895" s="11" t="b">
        <x:f>'Release Gates'!H79="PASS"</x:f>
        <x:v>1</x:v>
      </x:c>
      <x:c r="H895" s="11" t="str">
        <x:f>IF(G895=F895,"PASS","FAIL")</x:f>
        <x:v>PASS</x:v>
      </x:c>
      <x:c r="I895" s="38"/>
    </x:row>
    <x:row r="896">
      <x:c r="B896" s="11" t="str">
        <x:v>AU-0890</x:v>
      </x:c>
      <x:c r="C896" s="11" t="str">
        <x:v>release planning gate</x:v>
      </x:c>
      <x:c r="D896" s="11" t="str">
        <x:v>PG-ST-02</x:v>
      </x:c>
      <x:c r="E896" s="11" t="b">
        <x:f>'Release Gates'!H80="PASS"</x:f>
        <x:v>1</x:v>
      </x:c>
      <x:c r="F896" s="29" t="b">
        <x:v>1</x:v>
      </x:c>
      <x:c r="G896" s="11" t="b">
        <x:f>'Release Gates'!H80="PASS"</x:f>
        <x:v>1</x:v>
      </x:c>
      <x:c r="H896" s="11" t="str">
        <x:f>IF(G896=F896,"PASS","FAIL")</x:f>
        <x:v>PASS</x:v>
      </x:c>
      <x:c r="I896" s="38"/>
    </x:row>
    <x:row r="897">
      <x:c r="B897" s="11" t="str">
        <x:v>AU-0891</x:v>
      </x:c>
      <x:c r="C897" s="11" t="str">
        <x:v>release planning gate</x:v>
      </x:c>
      <x:c r="D897" s="11" t="str">
        <x:v>PG-ST-03</x:v>
      </x:c>
      <x:c r="E897" s="11" t="b">
        <x:f>'Release Gates'!H81="PASS"</x:f>
        <x:v>1</x:v>
      </x:c>
      <x:c r="F897" s="29" t="b">
        <x:v>1</x:v>
      </x:c>
      <x:c r="G897" s="11" t="b">
        <x:f>'Release Gates'!H81="PASS"</x:f>
        <x:v>1</x:v>
      </x:c>
      <x:c r="H897" s="11" t="str">
        <x:f>IF(G897=F897,"PASS","FAIL")</x:f>
        <x:v>PASS</x:v>
      </x:c>
      <x:c r="I897" s="38"/>
    </x:row>
    <x:row r="898">
      <x:c r="B898" s="11" t="str">
        <x:v>AU-0892</x:v>
      </x:c>
      <x:c r="C898" s="11" t="str">
        <x:v>release planning gate</x:v>
      </x:c>
      <x:c r="D898" s="11" t="str">
        <x:v>PG-ST-04</x:v>
      </x:c>
      <x:c r="E898" s="11" t="b">
        <x:f>'Release Gates'!H82="PASS"</x:f>
        <x:v>1</x:v>
      </x:c>
      <x:c r="F898" s="29" t="b">
        <x:v>1</x:v>
      </x:c>
      <x:c r="G898" s="11" t="b">
        <x:f>'Release Gates'!H82="PASS"</x:f>
        <x:v>1</x:v>
      </x:c>
      <x:c r="H898" s="11" t="str">
        <x:f>IF(G898=F898,"PASS","FAIL")</x:f>
        <x:v>PASS</x:v>
      </x:c>
      <x:c r="I898" s="38"/>
    </x:row>
    <x:row r="899">
      <x:c r="B899" s="11" t="str">
        <x:v>AU-0893</x:v>
      </x:c>
      <x:c r="C899" s="11" t="str">
        <x:v>release planning gate</x:v>
      </x:c>
      <x:c r="D899" s="11" t="str">
        <x:v>PG-ST-05</x:v>
      </x:c>
      <x:c r="E899" s="11" t="b">
        <x:f>'Release Gates'!H83="PASS"</x:f>
        <x:v>1</x:v>
      </x:c>
      <x:c r="F899" s="29" t="b">
        <x:v>1</x:v>
      </x:c>
      <x:c r="G899" s="11" t="b">
        <x:f>'Release Gates'!H83="PASS"</x:f>
        <x:v>1</x:v>
      </x:c>
      <x:c r="H899" s="11" t="str">
        <x:f>IF(G899=F899,"PASS","FAIL")</x:f>
        <x:v>PASS</x:v>
      </x:c>
      <x:c r="I899" s="38"/>
    </x:row>
    <x:row r="900">
      <x:c r="B900" s="11" t="str">
        <x:v>AU-0894</x:v>
      </x:c>
      <x:c r="C900" s="11" t="str">
        <x:v>release planning gate</x:v>
      </x:c>
      <x:c r="D900" s="11" t="str">
        <x:v>PG-ST-06</x:v>
      </x:c>
      <x:c r="E900" s="11" t="b">
        <x:f>'Release Gates'!H84="PASS"</x:f>
        <x:v>1</x:v>
      </x:c>
      <x:c r="F900" s="29" t="b">
        <x:v>1</x:v>
      </x:c>
      <x:c r="G900" s="11" t="b">
        <x:f>'Release Gates'!H84="PASS"</x:f>
        <x:v>1</x:v>
      </x:c>
      <x:c r="H900" s="11" t="str">
        <x:f>IF(G900=F900,"PASS","FAIL")</x:f>
        <x:v>PASS</x:v>
      </x:c>
      <x:c r="I900" s="38"/>
    </x:row>
    <x:row r="901">
      <x:c r="B901" s="11" t="str">
        <x:v>AU-0895</x:v>
      </x:c>
      <x:c r="C901" s="11" t="str">
        <x:v>release planning gate</x:v>
      </x:c>
      <x:c r="D901" s="11" t="str">
        <x:v>PG-ST-07</x:v>
      </x:c>
      <x:c r="E901" s="11" t="b">
        <x:f>'Release Gates'!H85="PASS"</x:f>
        <x:v>1</x:v>
      </x:c>
      <x:c r="F901" s="29" t="b">
        <x:v>1</x:v>
      </x:c>
      <x:c r="G901" s="11" t="b">
        <x:f>'Release Gates'!H85="PASS"</x:f>
        <x:v>1</x:v>
      </x:c>
      <x:c r="H901" s="11" t="str">
        <x:f>IF(G901=F901,"PASS","FAIL")</x:f>
        <x:v>PASS</x:v>
      </x:c>
      <x:c r="I901" s="38"/>
    </x:row>
    <x:row r="902">
      <x:c r="B902" s="11" t="str">
        <x:v>AU-0896</x:v>
      </x:c>
      <x:c r="C902" s="11" t="str">
        <x:v>release planning gate</x:v>
      </x:c>
      <x:c r="D902" s="11" t="str">
        <x:v>PG-ST-08</x:v>
      </x:c>
      <x:c r="E902" s="11" t="b">
        <x:f>'Release Gates'!H86="PASS"</x:f>
        <x:v>1</x:v>
      </x:c>
      <x:c r="F902" s="29" t="b">
        <x:v>1</x:v>
      </x:c>
      <x:c r="G902" s="11" t="b">
        <x:f>'Release Gates'!H86="PASS"</x:f>
        <x:v>1</x:v>
      </x:c>
      <x:c r="H902" s="11" t="str">
        <x:f>IF(G902=F902,"PASS","FAIL")</x:f>
        <x:v>PASS</x:v>
      </x:c>
      <x:c r="I902" s="38"/>
    </x:row>
    <x:row r="903">
      <x:c r="B903" s="11" t="str">
        <x:v>AU-0897</x:v>
      </x:c>
      <x:c r="C903" s="11" t="str">
        <x:v>release planning gate</x:v>
      </x:c>
      <x:c r="D903" s="11" t="str">
        <x:v>PG-ST-09</x:v>
      </x:c>
      <x:c r="E903" s="11" t="b">
        <x:f>'Release Gates'!H87="PASS"</x:f>
        <x:v>1</x:v>
      </x:c>
      <x:c r="F903" s="29" t="b">
        <x:v>1</x:v>
      </x:c>
      <x:c r="G903" s="11" t="b">
        <x:f>'Release Gates'!H87="PASS"</x:f>
        <x:v>1</x:v>
      </x:c>
      <x:c r="H903" s="11" t="str">
        <x:f>IF(G903=F903,"PASS","FAIL")</x:f>
        <x:v>PASS</x:v>
      </x:c>
      <x:c r="I903" s="38"/>
    </x:row>
    <x:row r="904">
      <x:c r="B904" s="11" t="str">
        <x:v>AU-0898</x:v>
      </x:c>
      <x:c r="C904" s="11" t="str">
        <x:v>release planning gate</x:v>
      </x:c>
      <x:c r="D904" s="11" t="str">
        <x:v>PG-ST-10</x:v>
      </x:c>
      <x:c r="E904" s="11" t="b">
        <x:f>'Release Gates'!H88="PASS"</x:f>
        <x:v>1</x:v>
      </x:c>
      <x:c r="F904" s="29" t="b">
        <x:v>1</x:v>
      </x:c>
      <x:c r="G904" s="11" t="b">
        <x:f>'Release Gates'!H88="PASS"</x:f>
        <x:v>1</x:v>
      </x:c>
      <x:c r="H904" s="11" t="str">
        <x:f>IF(G904=F904,"PASS","FAIL")</x:f>
        <x:v>PASS</x:v>
      </x:c>
      <x:c r="I904" s="38"/>
    </x:row>
    <x:row r="905">
      <x:c r="B905" s="11" t="str">
        <x:v>AU-0899</x:v>
      </x:c>
      <x:c r="C905" s="11" t="str">
        <x:v>release planning gate</x:v>
      </x:c>
      <x:c r="D905" s="11" t="str">
        <x:v>PG-ST-11</x:v>
      </x:c>
      <x:c r="E905" s="11" t="b">
        <x:f>'Release Gates'!H89="PASS"</x:f>
        <x:v>1</x:v>
      </x:c>
      <x:c r="F905" s="29" t="b">
        <x:v>1</x:v>
      </x:c>
      <x:c r="G905" s="11" t="b">
        <x:f>'Release Gates'!H89="PASS"</x:f>
        <x:v>1</x:v>
      </x:c>
      <x:c r="H905" s="11" t="str">
        <x:f>IF(G905=F905,"PASS","FAIL")</x:f>
        <x:v>PASS</x:v>
      </x:c>
      <x:c r="I905" s="38"/>
    </x:row>
    <x:row r="906">
      <x:c r="B906" s="11" t="str">
        <x:v>AU-0900</x:v>
      </x:c>
      <x:c r="C906" s="11" t="str">
        <x:v>release planning gate</x:v>
      </x:c>
      <x:c r="D906" s="11" t="str">
        <x:v>PG-ST-12</x:v>
      </x:c>
      <x:c r="E906" s="11" t="b">
        <x:f>'Release Gates'!H90="PASS"</x:f>
        <x:v>1</x:v>
      </x:c>
      <x:c r="F906" s="29" t="b">
        <x:v>1</x:v>
      </x:c>
      <x:c r="G906" s="11" t="b">
        <x:f>'Release Gates'!H90="PASS"</x:f>
        <x:v>1</x:v>
      </x:c>
      <x:c r="H906" s="11" t="str">
        <x:f>IF(G906=F906,"PASS","FAIL")</x:f>
        <x:v>PASS</x:v>
      </x:c>
      <x:c r="I906" s="38"/>
    </x:row>
    <x:row r="907">
      <x:c r="B907" s="11" t="str">
        <x:v>AU-0901</x:v>
      </x:c>
      <x:c r="C907" s="11" t="str">
        <x:v>release planning gate</x:v>
      </x:c>
      <x:c r="D907" s="11" t="str">
        <x:v>PG-EVENT-SA1</x:v>
      </x:c>
      <x:c r="E907" s="11" t="b">
        <x:f>'Release Gates'!H91="PASS"</x:f>
        <x:v>1</x:v>
      </x:c>
      <x:c r="F907" s="29" t="b">
        <x:v>1</x:v>
      </x:c>
      <x:c r="G907" s="11" t="b">
        <x:f>'Release Gates'!H91="PASS"</x:f>
        <x:v>1</x:v>
      </x:c>
      <x:c r="H907" s="11" t="str">
        <x:f>IF(G907=F907,"PASS","FAIL")</x:f>
        <x:v>PASS</x:v>
      </x:c>
      <x:c r="I907" s="38"/>
    </x:row>
    <x:row r="908">
      <x:c r="B908" s="11" t="str">
        <x:v>AU-0902</x:v>
      </x:c>
      <x:c r="C908" s="11" t="str">
        <x:v>release planning gate</x:v>
      </x:c>
      <x:c r="D908" s="11" t="str">
        <x:v>PG-EVENT-SA2</x:v>
      </x:c>
      <x:c r="E908" s="11" t="b">
        <x:f>'Release Gates'!H92="PASS"</x:f>
        <x:v>1</x:v>
      </x:c>
      <x:c r="F908" s="29" t="b">
        <x:v>1</x:v>
      </x:c>
      <x:c r="G908" s="11" t="b">
        <x:f>'Release Gates'!H92="PASS"</x:f>
        <x:v>1</x:v>
      </x:c>
      <x:c r="H908" s="11" t="str">
        <x:f>IF(G908=F908,"PASS","FAIL")</x:f>
        <x:v>PASS</x:v>
      </x:c>
      <x:c r="I908" s="38"/>
    </x:row>
    <x:row r="909">
      <x:c r="B909" s="11" t="str">
        <x:v>AU-0903</x:v>
      </x:c>
      <x:c r="C909" s="11" t="str">
        <x:v>release planning gate</x:v>
      </x:c>
      <x:c r="D909" s="11" t="str">
        <x:v>PG-EVENT-SA3</x:v>
      </x:c>
      <x:c r="E909" s="11" t="b">
        <x:f>'Release Gates'!H93="PASS"</x:f>
        <x:v>1</x:v>
      </x:c>
      <x:c r="F909" s="29" t="b">
        <x:v>1</x:v>
      </x:c>
      <x:c r="G909" s="11" t="b">
        <x:f>'Release Gates'!H93="PASS"</x:f>
        <x:v>1</x:v>
      </x:c>
      <x:c r="H909" s="11" t="str">
        <x:f>IF(G909=F909,"PASS","FAIL")</x:f>
        <x:v>PASS</x:v>
      </x:c>
      <x:c r="I909" s="38"/>
    </x:row>
    <x:row r="910">
      <x:c r="B910" s="11" t="str">
        <x:v>AU-0904</x:v>
      </x:c>
      <x:c r="C910" s="11" t="str">
        <x:v>release planning gate</x:v>
      </x:c>
      <x:c r="D910" s="11" t="str">
        <x:v>PG-EVENT-SA4</x:v>
      </x:c>
      <x:c r="E910" s="11" t="b">
        <x:f>'Release Gates'!H94="PASS"</x:f>
        <x:v>1</x:v>
      </x:c>
      <x:c r="F910" s="29" t="b">
        <x:v>1</x:v>
      </x:c>
      <x:c r="G910" s="11" t="b">
        <x:f>'Release Gates'!H94="PASS"</x:f>
        <x:v>1</x:v>
      </x:c>
      <x:c r="H910" s="11" t="str">
        <x:f>IF(G910=F910,"PASS","FAIL")</x:f>
        <x:v>PASS</x:v>
      </x:c>
      <x:c r="I910" s="38"/>
    </x:row>
    <x:row r="911">
      <x:c r="B911" s="11" t="str">
        <x:v>AU-0905</x:v>
      </x:c>
      <x:c r="C911" s="11" t="str">
        <x:v>release planning gate</x:v>
      </x:c>
      <x:c r="D911" s="11" t="str">
        <x:v>PG-EVENT-SA5</x:v>
      </x:c>
      <x:c r="E911" s="11" t="b">
        <x:f>'Release Gates'!H95="PASS"</x:f>
        <x:v>1</x:v>
      </x:c>
      <x:c r="F911" s="29" t="b">
        <x:v>1</x:v>
      </x:c>
      <x:c r="G911" s="11" t="b">
        <x:f>'Release Gates'!H95="PASS"</x:f>
        <x:v>1</x:v>
      </x:c>
      <x:c r="H911" s="11" t="str">
        <x:f>IF(G911=F911,"PASS","FAIL")</x:f>
        <x:v>PASS</x:v>
      </x:c>
      <x:c r="I911" s="38"/>
    </x:row>
    <x:row r="912">
      <x:c r="B912" s="11" t="str">
        <x:v>AU-0906</x:v>
      </x:c>
      <x:c r="C912" s="11" t="str">
        <x:v>release planning gate</x:v>
      </x:c>
      <x:c r="D912" s="11" t="str">
        <x:v>PG-EVENT-SA6</x:v>
      </x:c>
      <x:c r="E912" s="11" t="b">
        <x:f>'Release Gates'!H96="PASS"</x:f>
        <x:v>1</x:v>
      </x:c>
      <x:c r="F912" s="29" t="b">
        <x:v>1</x:v>
      </x:c>
      <x:c r="G912" s="11" t="b">
        <x:f>'Release Gates'!H96="PASS"</x:f>
        <x:v>1</x:v>
      </x:c>
      <x:c r="H912" s="11" t="str">
        <x:f>IF(G912=F912,"PASS","FAIL")</x:f>
        <x:v>PASS</x:v>
      </x:c>
      <x:c r="I912" s="38"/>
    </x:row>
    <x:row r="913">
      <x:c r="B913" s="11" t="str">
        <x:v>AU-0907</x:v>
      </x:c>
      <x:c r="C913" s="11" t="str">
        <x:v>release planning gate</x:v>
      </x:c>
      <x:c r="D913" s="11" t="str">
        <x:v>PG-DRILL-PTC-A</x:v>
      </x:c>
      <x:c r="E913" s="11" t="b">
        <x:f>'Release Gates'!H97="PASS"</x:f>
        <x:v>1</x:v>
      </x:c>
      <x:c r="F913" s="29" t="b">
        <x:v>1</x:v>
      </x:c>
      <x:c r="G913" s="11" t="b">
        <x:f>'Release Gates'!H97="PASS"</x:f>
        <x:v>1</x:v>
      </x:c>
      <x:c r="H913" s="11" t="str">
        <x:f>IF(G913=F913,"PASS","FAIL")</x:f>
        <x:v>PASS</x:v>
      </x:c>
      <x:c r="I913" s="38"/>
    </x:row>
    <x:row r="914">
      <x:c r="B914" s="11" t="str">
        <x:v>AU-0908</x:v>
      </x:c>
      <x:c r="C914" s="11" t="str">
        <x:v>release planning gate</x:v>
      </x:c>
      <x:c r="D914" s="11" t="str">
        <x:v>PG-DRILL-PTC-B</x:v>
      </x:c>
      <x:c r="E914" s="11" t="b">
        <x:f>'Release Gates'!H98="PASS"</x:f>
        <x:v>1</x:v>
      </x:c>
      <x:c r="F914" s="29" t="b">
        <x:v>1</x:v>
      </x:c>
      <x:c r="G914" s="11" t="b">
        <x:f>'Release Gates'!H98="PASS"</x:f>
        <x:v>1</x:v>
      </x:c>
      <x:c r="H914" s="11" t="str">
        <x:f>IF(G914=F914,"PASS","FAIL")</x:f>
        <x:v>PASS</x:v>
      </x:c>
      <x:c r="I914" s="38"/>
    </x:row>
    <x:row r="915">
      <x:c r="B915" s="11" t="str">
        <x:v>AU-0909</x:v>
      </x:c>
      <x:c r="C915" s="11" t="str">
        <x:v>release planning gate</x:v>
      </x:c>
      <x:c r="D915" s="11" t="str">
        <x:v>PG-DRILL-PTC-C</x:v>
      </x:c>
      <x:c r="E915" s="11" t="b">
        <x:f>'Release Gates'!H99="PASS"</x:f>
        <x:v>1</x:v>
      </x:c>
      <x:c r="F915" s="29" t="b">
        <x:v>1</x:v>
      </x:c>
      <x:c r="G915" s="11" t="b">
        <x:f>'Release Gates'!H99="PASS"</x:f>
        <x:v>1</x:v>
      </x:c>
      <x:c r="H915" s="11" t="str">
        <x:f>IF(G915=F915,"PASS","FAIL")</x:f>
        <x:v>PASS</x:v>
      </x:c>
      <x:c r="I915" s="38"/>
    </x:row>
    <x:row r="916">
      <x:c r="B916" s="11" t="str">
        <x:v>AU-0910</x:v>
      </x:c>
      <x:c r="C916" s="11" t="str">
        <x:v>release planning gate</x:v>
      </x:c>
      <x:c r="D916" s="11" t="str">
        <x:v>PG-CUST-PTC-A</x:v>
      </x:c>
      <x:c r="E916" s="11" t="b">
        <x:f>'Release Gates'!H100="PASS"</x:f>
        <x:v>1</x:v>
      </x:c>
      <x:c r="F916" s="29" t="b">
        <x:v>1</x:v>
      </x:c>
      <x:c r="G916" s="11" t="b">
        <x:f>'Release Gates'!H100="PASS"</x:f>
        <x:v>1</x:v>
      </x:c>
      <x:c r="H916" s="11" t="str">
        <x:f>IF(G916=F916,"PASS","FAIL")</x:f>
        <x:v>PASS</x:v>
      </x:c>
      <x:c r="I916" s="38"/>
    </x:row>
    <x:row r="917">
      <x:c r="B917" s="11" t="str">
        <x:v>AU-0911</x:v>
      </x:c>
      <x:c r="C917" s="11" t="str">
        <x:v>release planning gate</x:v>
      </x:c>
      <x:c r="D917" s="11" t="str">
        <x:v>PG-CUST-PTC-B</x:v>
      </x:c>
      <x:c r="E917" s="11" t="b">
        <x:f>'Release Gates'!H101="PASS"</x:f>
        <x:v>1</x:v>
      </x:c>
      <x:c r="F917" s="29" t="b">
        <x:v>1</x:v>
      </x:c>
      <x:c r="G917" s="11" t="b">
        <x:f>'Release Gates'!H101="PASS"</x:f>
        <x:v>1</x:v>
      </x:c>
      <x:c r="H917" s="11" t="str">
        <x:f>IF(G917=F917,"PASS","FAIL")</x:f>
        <x:v>PASS</x:v>
      </x:c>
      <x:c r="I917" s="38"/>
    </x:row>
    <x:row r="918">
      <x:c r="B918" s="11" t="str">
        <x:v>AU-0912</x:v>
      </x:c>
      <x:c r="C918" s="11" t="str">
        <x:v>release planning gate</x:v>
      </x:c>
      <x:c r="D918" s="11" t="str">
        <x:v>PG-CUST-PTC-C</x:v>
      </x:c>
      <x:c r="E918" s="11" t="b">
        <x:f>'Release Gates'!H102="PASS"</x:f>
        <x:v>1</x:v>
      </x:c>
      <x:c r="F918" s="29" t="b">
        <x:v>1</x:v>
      </x:c>
      <x:c r="G918" s="11" t="b">
        <x:f>'Release Gates'!H102="PASS"</x:f>
        <x:v>1</x:v>
      </x:c>
      <x:c r="H918" s="11" t="str">
        <x:f>IF(G918=F918,"PASS","FAIL")</x:f>
        <x:v>PASS</x:v>
      </x:c>
      <x:c r="I918" s="38"/>
    </x:row>
    <x:row r="919">
      <x:c r="B919" s="11" t="str">
        <x:v>AU-0913</x:v>
      </x:c>
      <x:c r="C919" s="11" t="str">
        <x:v>release physical gate</x:v>
      </x:c>
      <x:c r="D919" s="11" t="str">
        <x:v>AS-SITE-PTC-A</x:v>
      </x:c>
      <x:c r="E919" s="11" t="b">
        <x:f>'Release Gates'!H103="OPEN"</x:f>
        <x:v>1</x:v>
      </x:c>
      <x:c r="F919" s="29" t="b">
        <x:v>1</x:v>
      </x:c>
      <x:c r="G919" s="11" t="b">
        <x:f>'Release Gates'!H103="OPEN"</x:f>
        <x:v>1</x:v>
      </x:c>
      <x:c r="H919" s="11" t="str">
        <x:f>IF(G919=F919,"PASS","FAIL")</x:f>
        <x:v>PASS</x:v>
      </x:c>
      <x:c r="I919" s="38"/>
    </x:row>
    <x:row r="920">
      <x:c r="B920" s="11" t="str">
        <x:v>AU-0914</x:v>
      </x:c>
      <x:c r="C920" s="11" t="str">
        <x:v>release physical gate</x:v>
      </x:c>
      <x:c r="D920" s="11" t="str">
        <x:v>AS-SITE-PTC-B</x:v>
      </x:c>
      <x:c r="E920" s="11" t="b">
        <x:f>'Release Gates'!H104="OPEN"</x:f>
        <x:v>1</x:v>
      </x:c>
      <x:c r="F920" s="29" t="b">
        <x:v>1</x:v>
      </x:c>
      <x:c r="G920" s="11" t="b">
        <x:f>'Release Gates'!H104="OPEN"</x:f>
        <x:v>1</x:v>
      </x:c>
      <x:c r="H920" s="11" t="str">
        <x:f>IF(G920=F920,"PASS","FAIL")</x:f>
        <x:v>PASS</x:v>
      </x:c>
      <x:c r="I920" s="38"/>
    </x:row>
    <x:row r="921">
      <x:c r="B921" s="11" t="str">
        <x:v>AU-0915</x:v>
      </x:c>
      <x:c r="C921" s="11" t="str">
        <x:v>release physical gate</x:v>
      </x:c>
      <x:c r="D921" s="11" t="str">
        <x:v>AS-SITE-PTC-C</x:v>
      </x:c>
      <x:c r="E921" s="11" t="b">
        <x:f>'Release Gates'!H105="OPEN"</x:f>
        <x:v>1</x:v>
      </x:c>
      <x:c r="F921" s="29" t="b">
        <x:v>1</x:v>
      </x:c>
      <x:c r="G921" s="11" t="b">
        <x:f>'Release Gates'!H105="OPEN"</x:f>
        <x:v>1</x:v>
      </x:c>
      <x:c r="H921" s="11" t="str">
        <x:f>IF(G921=F921,"PASS","FAIL")</x:f>
        <x:v>PASS</x:v>
      </x:c>
      <x:c r="I921" s="38"/>
    </x:row>
    <x:row r="922">
      <x:c r="B922" s="11" t="str">
        <x:v>AU-0916</x:v>
      </x:c>
      <x:c r="C922" s="11" t="str">
        <x:v>release physical gate</x:v>
      </x:c>
      <x:c r="D922" s="11" t="str">
        <x:v>AS-LANE-LN-01</x:v>
      </x:c>
      <x:c r="E922" s="11" t="b">
        <x:f>'Release Gates'!H106="OPEN"</x:f>
        <x:v>1</x:v>
      </x:c>
      <x:c r="F922" s="29" t="b">
        <x:v>1</x:v>
      </x:c>
      <x:c r="G922" s="11" t="b">
        <x:f>'Release Gates'!H106="OPEN"</x:f>
        <x:v>1</x:v>
      </x:c>
      <x:c r="H922" s="11" t="str">
        <x:f>IF(G922=F922,"PASS","FAIL")</x:f>
        <x:v>PASS</x:v>
      </x:c>
      <x:c r="I922" s="38"/>
    </x:row>
    <x:row r="923">
      <x:c r="B923" s="11" t="str">
        <x:v>AU-0917</x:v>
      </x:c>
      <x:c r="C923" s="11" t="str">
        <x:v>release physical gate</x:v>
      </x:c>
      <x:c r="D923" s="11" t="str">
        <x:v>AS-LANE-LN-02</x:v>
      </x:c>
      <x:c r="E923" s="11" t="b">
        <x:f>'Release Gates'!H107="OPEN"</x:f>
        <x:v>1</x:v>
      </x:c>
      <x:c r="F923" s="29" t="b">
        <x:v>1</x:v>
      </x:c>
      <x:c r="G923" s="11" t="b">
        <x:f>'Release Gates'!H107="OPEN"</x:f>
        <x:v>1</x:v>
      </x:c>
      <x:c r="H923" s="11" t="str">
        <x:f>IF(G923=F923,"PASS","FAIL")</x:f>
        <x:v>PASS</x:v>
      </x:c>
      <x:c r="I923" s="38"/>
    </x:row>
    <x:row r="924">
      <x:c r="B924" s="11" t="str">
        <x:v>AU-0918</x:v>
      </x:c>
      <x:c r="C924" s="11" t="str">
        <x:v>release physical gate</x:v>
      </x:c>
      <x:c r="D924" s="11" t="str">
        <x:v>AS-LANE-LN-03</x:v>
      </x:c>
      <x:c r="E924" s="11" t="b">
        <x:f>'Release Gates'!H108="OPEN"</x:f>
        <x:v>1</x:v>
      </x:c>
      <x:c r="F924" s="29" t="b">
        <x:v>1</x:v>
      </x:c>
      <x:c r="G924" s="11" t="b">
        <x:f>'Release Gates'!H108="OPEN"</x:f>
        <x:v>1</x:v>
      </x:c>
      <x:c r="H924" s="11" t="str">
        <x:f>IF(G924=F924,"PASS","FAIL")</x:f>
        <x:v>PASS</x:v>
      </x:c>
      <x:c r="I924" s="38"/>
    </x:row>
    <x:row r="925">
      <x:c r="B925" s="11" t="str">
        <x:v>AU-0919</x:v>
      </x:c>
      <x:c r="C925" s="11" t="str">
        <x:v>release physical gate</x:v>
      </x:c>
      <x:c r="D925" s="11" t="str">
        <x:v>AS-LANE-LN-04</x:v>
      </x:c>
      <x:c r="E925" s="11" t="b">
        <x:f>'Release Gates'!H109="OPEN"</x:f>
        <x:v>1</x:v>
      </x:c>
      <x:c r="F925" s="29" t="b">
        <x:v>1</x:v>
      </x:c>
      <x:c r="G925" s="11" t="b">
        <x:f>'Release Gates'!H109="OPEN"</x:f>
        <x:v>1</x:v>
      </x:c>
      <x:c r="H925" s="11" t="str">
        <x:f>IF(G925=F925,"PASS","FAIL")</x:f>
        <x:v>PASS</x:v>
      </x:c>
      <x:c r="I925" s="38"/>
    </x:row>
    <x:row r="926">
      <x:c r="B926" s="11" t="str">
        <x:v>AU-0920</x:v>
      </x:c>
      <x:c r="C926" s="11" t="str">
        <x:v>release physical gate</x:v>
      </x:c>
      <x:c r="D926" s="11" t="str">
        <x:v>AS-LANE-LN-05</x:v>
      </x:c>
      <x:c r="E926" s="11" t="b">
        <x:f>'Release Gates'!H110="OPEN"</x:f>
        <x:v>1</x:v>
      </x:c>
      <x:c r="F926" s="29" t="b">
        <x:v>1</x:v>
      </x:c>
      <x:c r="G926" s="11" t="b">
        <x:f>'Release Gates'!H110="OPEN"</x:f>
        <x:v>1</x:v>
      </x:c>
      <x:c r="H926" s="11" t="str">
        <x:f>IF(G926=F926,"PASS","FAIL")</x:f>
        <x:v>PASS</x:v>
      </x:c>
      <x:c r="I926" s="38"/>
    </x:row>
    <x:row r="927">
      <x:c r="B927" s="11" t="str">
        <x:v>AU-0921</x:v>
      </x:c>
      <x:c r="C927" s="11" t="str">
        <x:v>release physical gate</x:v>
      </x:c>
      <x:c r="D927" s="11" t="str">
        <x:v>AS-LANE-LN-06</x:v>
      </x:c>
      <x:c r="E927" s="11" t="b">
        <x:f>'Release Gates'!H111="OPEN"</x:f>
        <x:v>1</x:v>
      </x:c>
      <x:c r="F927" s="29" t="b">
        <x:v>1</x:v>
      </x:c>
      <x:c r="G927" s="11" t="b">
        <x:f>'Release Gates'!H111="OPEN"</x:f>
        <x:v>1</x:v>
      </x:c>
      <x:c r="H927" s="11" t="str">
        <x:f>IF(G927=F927,"PASS","FAIL")</x:f>
        <x:v>PASS</x:v>
      </x:c>
      <x:c r="I927" s="38"/>
    </x:row>
    <x:row r="928">
      <x:c r="B928" s="11" t="str">
        <x:v>AU-0922</x:v>
      </x:c>
      <x:c r="C928" s="11" t="str">
        <x:v>release physical gate</x:v>
      </x:c>
      <x:c r="D928" s="11" t="str">
        <x:v>AS-LANE-LN-07</x:v>
      </x:c>
      <x:c r="E928" s="11" t="b">
        <x:f>'Release Gates'!H112="OPEN"</x:f>
        <x:v>1</x:v>
      </x:c>
      <x:c r="F928" s="29" t="b">
        <x:v>1</x:v>
      </x:c>
      <x:c r="G928" s="11" t="b">
        <x:f>'Release Gates'!H112="OPEN"</x:f>
        <x:v>1</x:v>
      </x:c>
      <x:c r="H928" s="11" t="str">
        <x:f>IF(G928=F928,"PASS","FAIL")</x:f>
        <x:v>PASS</x:v>
      </x:c>
      <x:c r="I928" s="38"/>
    </x:row>
    <x:row r="929">
      <x:c r="B929" s="11" t="str">
        <x:v>AU-0923</x:v>
      </x:c>
      <x:c r="C929" s="11" t="str">
        <x:v>release physical gate</x:v>
      </x:c>
      <x:c r="D929" s="11" t="str">
        <x:v>AS-LANE-LN-08</x:v>
      </x:c>
      <x:c r="E929" s="11" t="b">
        <x:f>'Release Gates'!H113="OPEN"</x:f>
        <x:v>1</x:v>
      </x:c>
      <x:c r="F929" s="29" t="b">
        <x:v>1</x:v>
      </x:c>
      <x:c r="G929" s="11" t="b">
        <x:f>'Release Gates'!H113="OPEN"</x:f>
        <x:v>1</x:v>
      </x:c>
      <x:c r="H929" s="11" t="str">
        <x:f>IF(G929=F929,"PASS","FAIL")</x:f>
        <x:v>PASS</x:v>
      </x:c>
      <x:c r="I929" s="38"/>
    </x:row>
    <x:row r="930">
      <x:c r="B930" s="11" t="str">
        <x:v>AU-0924</x:v>
      </x:c>
      <x:c r="C930" s="11" t="str">
        <x:v>release physical gate</x:v>
      </x:c>
      <x:c r="D930" s="11" t="str">
        <x:v>AS-LANE-LN-09</x:v>
      </x:c>
      <x:c r="E930" s="11" t="b">
        <x:f>'Release Gates'!H114="OPEN"</x:f>
        <x:v>1</x:v>
      </x:c>
      <x:c r="F930" s="29" t="b">
        <x:v>1</x:v>
      </x:c>
      <x:c r="G930" s="11" t="b">
        <x:f>'Release Gates'!H114="OPEN"</x:f>
        <x:v>1</x:v>
      </x:c>
      <x:c r="H930" s="11" t="str">
        <x:f>IF(G930=F930,"PASS","FAIL")</x:f>
        <x:v>PASS</x:v>
      </x:c>
      <x:c r="I930" s="38"/>
    </x:row>
    <x:row r="931">
      <x:c r="B931" s="11" t="str">
        <x:v>AU-0925</x:v>
      </x:c>
      <x:c r="C931" s="11" t="str">
        <x:v>release physical gate</x:v>
      </x:c>
      <x:c r="D931" s="11" t="str">
        <x:v>AS-LANE-LN-10</x:v>
      </x:c>
      <x:c r="E931" s="11" t="b">
        <x:f>'Release Gates'!H115="OPEN"</x:f>
        <x:v>1</x:v>
      </x:c>
      <x:c r="F931" s="29" t="b">
        <x:v>1</x:v>
      </x:c>
      <x:c r="G931" s="11" t="b">
        <x:f>'Release Gates'!H115="OPEN"</x:f>
        <x:v>1</x:v>
      </x:c>
      <x:c r="H931" s="11" t="str">
        <x:f>IF(G931=F931,"PASS","FAIL")</x:f>
        <x:v>PASS</x:v>
      </x:c>
      <x:c r="I931" s="38"/>
    </x:row>
    <x:row r="932">
      <x:c r="B932" s="11" t="str">
        <x:v>AU-0926</x:v>
      </x:c>
      <x:c r="C932" s="11" t="str">
        <x:v>release physical gate</x:v>
      </x:c>
      <x:c r="D932" s="11" t="str">
        <x:v>AS-LANE-LN-11</x:v>
      </x:c>
      <x:c r="E932" s="11" t="b">
        <x:f>'Release Gates'!H116="OPEN"</x:f>
        <x:v>1</x:v>
      </x:c>
      <x:c r="F932" s="29" t="b">
        <x:v>1</x:v>
      </x:c>
      <x:c r="G932" s="11" t="b">
        <x:f>'Release Gates'!H116="OPEN"</x:f>
        <x:v>1</x:v>
      </x:c>
      <x:c r="H932" s="11" t="str">
        <x:f>IF(G932=F932,"PASS","FAIL")</x:f>
        <x:v>PASS</x:v>
      </x:c>
      <x:c r="I932" s="38"/>
    </x:row>
    <x:row r="933">
      <x:c r="B933" s="11" t="str">
        <x:v>AU-0927</x:v>
      </x:c>
      <x:c r="C933" s="11" t="str">
        <x:v>release physical gate</x:v>
      </x:c>
      <x:c r="D933" s="11" t="str">
        <x:v>AS-LANE-LN-12</x:v>
      </x:c>
      <x:c r="E933" s="11" t="b">
        <x:f>'Release Gates'!H117="OPEN"</x:f>
        <x:v>1</x:v>
      </x:c>
      <x:c r="F933" s="29" t="b">
        <x:v>1</x:v>
      </x:c>
      <x:c r="G933" s="11" t="b">
        <x:f>'Release Gates'!H117="OPEN"</x:f>
        <x:v>1</x:v>
      </x:c>
      <x:c r="H933" s="11" t="str">
        <x:f>IF(G933=F933,"PASS","FAIL")</x:f>
        <x:v>PASS</x:v>
      </x:c>
      <x:c r="I933" s="38"/>
    </x:row>
    <x:row r="934">
      <x:c r="B934" s="11" t="str">
        <x:v>AU-0928</x:v>
      </x:c>
      <x:c r="C934" s="11" t="str">
        <x:v>release physical gate</x:v>
      </x:c>
      <x:c r="D934" s="11" t="str">
        <x:v>AS-REF-SA1</x:v>
      </x:c>
      <x:c r="E934" s="11" t="b">
        <x:f>'Release Gates'!H118="OPEN"</x:f>
        <x:v>1</x:v>
      </x:c>
      <x:c r="F934" s="29" t="b">
        <x:v>1</x:v>
      </x:c>
      <x:c r="G934" s="11" t="b">
        <x:f>'Release Gates'!H118="OPEN"</x:f>
        <x:v>1</x:v>
      </x:c>
      <x:c r="H934" s="11" t="str">
        <x:f>IF(G934=F934,"PASS","FAIL")</x:f>
        <x:v>PASS</x:v>
      </x:c>
      <x:c r="I934" s="38"/>
    </x:row>
    <x:row r="935">
      <x:c r="B935" s="11" t="str">
        <x:v>AU-0929</x:v>
      </x:c>
      <x:c r="C935" s="11" t="str">
        <x:v>release physical gate</x:v>
      </x:c>
      <x:c r="D935" s="11" t="str">
        <x:v>AS-REF-SA2</x:v>
      </x:c>
      <x:c r="E935" s="11" t="b">
        <x:f>'Release Gates'!H119="OPEN"</x:f>
        <x:v>1</x:v>
      </x:c>
      <x:c r="F935" s="29" t="b">
        <x:v>1</x:v>
      </x:c>
      <x:c r="G935" s="11" t="b">
        <x:f>'Release Gates'!H119="OPEN"</x:f>
        <x:v>1</x:v>
      </x:c>
      <x:c r="H935" s="11" t="str">
        <x:f>IF(G935=F935,"PASS","FAIL")</x:f>
        <x:v>PASS</x:v>
      </x:c>
      <x:c r="I935" s="38"/>
    </x:row>
    <x:row r="936">
      <x:c r="B936" s="11" t="str">
        <x:v>AU-0930</x:v>
      </x:c>
      <x:c r="C936" s="11" t="str">
        <x:v>release physical gate</x:v>
      </x:c>
      <x:c r="D936" s="11" t="str">
        <x:v>AS-REF-SA3</x:v>
      </x:c>
      <x:c r="E936" s="11" t="b">
        <x:f>'Release Gates'!H120="OPEN"</x:f>
        <x:v>1</x:v>
      </x:c>
      <x:c r="F936" s="29" t="b">
        <x:v>1</x:v>
      </x:c>
      <x:c r="G936" s="11" t="b">
        <x:f>'Release Gates'!H120="OPEN"</x:f>
        <x:v>1</x:v>
      </x:c>
      <x:c r="H936" s="11" t="str">
        <x:f>IF(G936=F936,"PASS","FAIL")</x:f>
        <x:v>PASS</x:v>
      </x:c>
      <x:c r="I936" s="38"/>
    </x:row>
    <x:row r="937">
      <x:c r="B937" s="11" t="str">
        <x:v>AU-0931</x:v>
      </x:c>
      <x:c r="C937" s="11" t="str">
        <x:v>release physical gate</x:v>
      </x:c>
      <x:c r="D937" s="11" t="str">
        <x:v>AS-REF-SA4</x:v>
      </x:c>
      <x:c r="E937" s="11" t="b">
        <x:f>'Release Gates'!H121="OPEN"</x:f>
        <x:v>1</x:v>
      </x:c>
      <x:c r="F937" s="29" t="b">
        <x:v>1</x:v>
      </x:c>
      <x:c r="G937" s="11" t="b">
        <x:f>'Release Gates'!H121="OPEN"</x:f>
        <x:v>1</x:v>
      </x:c>
      <x:c r="H937" s="11" t="str">
        <x:f>IF(G937=F937,"PASS","FAIL")</x:f>
        <x:v>PASS</x:v>
      </x:c>
      <x:c r="I937" s="38"/>
    </x:row>
    <x:row r="938">
      <x:c r="B938" s="11" t="str">
        <x:v>AU-0932</x:v>
      </x:c>
      <x:c r="C938" s="11" t="str">
        <x:v>release physical gate</x:v>
      </x:c>
      <x:c r="D938" s="11" t="str">
        <x:v>AS-REF-SA5</x:v>
      </x:c>
      <x:c r="E938" s="11" t="b">
        <x:f>'Release Gates'!H122="OPEN"</x:f>
        <x:v>1</x:v>
      </x:c>
      <x:c r="F938" s="29" t="b">
        <x:v>1</x:v>
      </x:c>
      <x:c r="G938" s="11" t="b">
        <x:f>'Release Gates'!H122="OPEN"</x:f>
        <x:v>1</x:v>
      </x:c>
      <x:c r="H938" s="11" t="str">
        <x:f>IF(G938=F938,"PASS","FAIL")</x:f>
        <x:v>PASS</x:v>
      </x:c>
      <x:c r="I938" s="38"/>
    </x:row>
    <x:row r="939">
      <x:c r="B939" s="11" t="str">
        <x:v>AU-0933</x:v>
      </x:c>
      <x:c r="C939" s="11" t="str">
        <x:v>release physical gate</x:v>
      </x:c>
      <x:c r="D939" s="11" t="str">
        <x:v>AS-REF-SA6</x:v>
      </x:c>
      <x:c r="E939" s="11" t="b">
        <x:f>'Release Gates'!H123="OPEN"</x:f>
        <x:v>1</x:v>
      </x:c>
      <x:c r="F939" s="29" t="b">
        <x:v>1</x:v>
      </x:c>
      <x:c r="G939" s="11" t="b">
        <x:f>'Release Gates'!H123="OPEN"</x:f>
        <x:v>1</x:v>
      </x:c>
      <x:c r="H939" s="11" t="str">
        <x:f>IF(G939=F939,"PASS","FAIL")</x:f>
        <x:v>PASS</x:v>
      </x:c>
      <x:c r="I939" s="38"/>
    </x:row>
    <x:row r="940">
      <x:c r="B940" s="11" t="str">
        <x:v>AU-0934</x:v>
      </x:c>
      <x:c r="C940" s="11" t="str">
        <x:v>release physical gate</x:v>
      </x:c>
      <x:c r="D940" s="11" t="str">
        <x:v>AS-DENIAL-PTC-A</x:v>
      </x:c>
      <x:c r="E940" s="11" t="b">
        <x:f>'Release Gates'!H124="OPEN"</x:f>
        <x:v>1</x:v>
      </x:c>
      <x:c r="F940" s="29" t="b">
        <x:v>1</x:v>
      </x:c>
      <x:c r="G940" s="11" t="b">
        <x:f>'Release Gates'!H124="OPEN"</x:f>
        <x:v>1</x:v>
      </x:c>
      <x:c r="H940" s="11" t="str">
        <x:f>IF(G940=F940,"PASS","FAIL")</x:f>
        <x:v>PASS</x:v>
      </x:c>
      <x:c r="I940" s="38"/>
    </x:row>
    <x:row r="941">
      <x:c r="B941" s="11" t="str">
        <x:v>AU-0935</x:v>
      </x:c>
      <x:c r="C941" s="11" t="str">
        <x:v>release physical gate</x:v>
      </x:c>
      <x:c r="D941" s="11" t="str">
        <x:v>AS-DENIAL-PTC-B</x:v>
      </x:c>
      <x:c r="E941" s="11" t="b">
        <x:f>'Release Gates'!H125="OPEN"</x:f>
        <x:v>1</x:v>
      </x:c>
      <x:c r="F941" s="29" t="b">
        <x:v>1</x:v>
      </x:c>
      <x:c r="G941" s="11" t="b">
        <x:f>'Release Gates'!H125="OPEN"</x:f>
        <x:v>1</x:v>
      </x:c>
      <x:c r="H941" s="11" t="str">
        <x:f>IF(G941=F941,"PASS","FAIL")</x:f>
        <x:v>PASS</x:v>
      </x:c>
      <x:c r="I941" s="38"/>
    </x:row>
    <x:row r="942">
      <x:c r="B942" s="11" t="str">
        <x:v>AU-0936</x:v>
      </x:c>
      <x:c r="C942" s="11" t="str">
        <x:v>release physical gate</x:v>
      </x:c>
      <x:c r="D942" s="11" t="str">
        <x:v>AS-DENIAL-PTC-C</x:v>
      </x:c>
      <x:c r="E942" s="11" t="b">
        <x:f>'Release Gates'!H126="OPEN"</x:f>
        <x:v>1</x:v>
      </x:c>
      <x:c r="F942" s="29" t="b">
        <x:v>1</x:v>
      </x:c>
      <x:c r="G942" s="11" t="b">
        <x:f>'Release Gates'!H126="OPEN"</x:f>
        <x:v>1</x:v>
      </x:c>
      <x:c r="H942" s="11" t="str">
        <x:f>IF(G942=F942,"PASS","FAIL")</x:f>
        <x:v>PASS</x:v>
      </x:c>
      <x:c r="I942" s="38"/>
    </x:row>
    <x:row r="943">
      <x:c r="B943" s="11" t="str">
        <x:v>AU-0937</x:v>
      </x:c>
      <x:c r="C943" s="11" t="str">
        <x:v>release physical gate</x:v>
      </x:c>
      <x:c r="D943" s="11" t="str">
        <x:v>AS-REPLAY-SA1</x:v>
      </x:c>
      <x:c r="E943" s="11" t="b">
        <x:f>'Release Gates'!H127="OPEN"</x:f>
        <x:v>1</x:v>
      </x:c>
      <x:c r="F943" s="29" t="b">
        <x:v>1</x:v>
      </x:c>
      <x:c r="G943" s="11" t="b">
        <x:f>'Release Gates'!H127="OPEN"</x:f>
        <x:v>1</x:v>
      </x:c>
      <x:c r="H943" s="11" t="str">
        <x:f>IF(G943=F943,"PASS","FAIL")</x:f>
        <x:v>PASS</x:v>
      </x:c>
      <x:c r="I943" s="38"/>
    </x:row>
    <x:row r="944">
      <x:c r="B944" s="11" t="str">
        <x:v>AU-0938</x:v>
      </x:c>
      <x:c r="C944" s="11" t="str">
        <x:v>release physical gate</x:v>
      </x:c>
      <x:c r="D944" s="11" t="str">
        <x:v>AS-REPLAY-SA2</x:v>
      </x:c>
      <x:c r="E944" s="11" t="b">
        <x:f>'Release Gates'!H128="OPEN"</x:f>
        <x:v>1</x:v>
      </x:c>
      <x:c r="F944" s="29" t="b">
        <x:v>1</x:v>
      </x:c>
      <x:c r="G944" s="11" t="b">
        <x:f>'Release Gates'!H128="OPEN"</x:f>
        <x:v>1</x:v>
      </x:c>
      <x:c r="H944" s="11" t="str">
        <x:f>IF(G944=F944,"PASS","FAIL")</x:f>
        <x:v>PASS</x:v>
      </x:c>
      <x:c r="I944" s="38"/>
    </x:row>
    <x:row r="945">
      <x:c r="B945" s="11" t="str">
        <x:v>AU-0939</x:v>
      </x:c>
      <x:c r="C945" s="11" t="str">
        <x:v>release physical gate</x:v>
      </x:c>
      <x:c r="D945" s="11" t="str">
        <x:v>AS-REPLAY-SA3</x:v>
      </x:c>
      <x:c r="E945" s="11" t="b">
        <x:f>'Release Gates'!H129="OPEN"</x:f>
        <x:v>1</x:v>
      </x:c>
      <x:c r="F945" s="29" t="b">
        <x:v>1</x:v>
      </x:c>
      <x:c r="G945" s="11" t="b">
        <x:f>'Release Gates'!H129="OPEN"</x:f>
        <x:v>1</x:v>
      </x:c>
      <x:c r="H945" s="11" t="str">
        <x:f>IF(G945=F945,"PASS","FAIL")</x:f>
        <x:v>PASS</x:v>
      </x:c>
      <x:c r="I945" s="38"/>
    </x:row>
    <x:row r="946">
      <x:c r="B946" s="11" t="str">
        <x:v>AU-0940</x:v>
      </x:c>
      <x:c r="C946" s="11" t="str">
        <x:v>release physical gate</x:v>
      </x:c>
      <x:c r="D946" s="11" t="str">
        <x:v>AS-REPLAY-SA4</x:v>
      </x:c>
      <x:c r="E946" s="11" t="b">
        <x:f>'Release Gates'!H130="OPEN"</x:f>
        <x:v>1</x:v>
      </x:c>
      <x:c r="F946" s="29" t="b">
        <x:v>1</x:v>
      </x:c>
      <x:c r="G946" s="11" t="b">
        <x:f>'Release Gates'!H130="OPEN"</x:f>
        <x:v>1</x:v>
      </x:c>
      <x:c r="H946" s="11" t="str">
        <x:f>IF(G946=F946,"PASS","FAIL")</x:f>
        <x:v>PASS</x:v>
      </x:c>
      <x:c r="I946" s="38"/>
    </x:row>
    <x:row r="947">
      <x:c r="B947" s="11" t="str">
        <x:v>AU-0941</x:v>
      </x:c>
      <x:c r="C947" s="11" t="str">
        <x:v>release physical gate</x:v>
      </x:c>
      <x:c r="D947" s="11" t="str">
        <x:v>AS-REPLAY-SA5</x:v>
      </x:c>
      <x:c r="E947" s="11" t="b">
        <x:f>'Release Gates'!H131="OPEN"</x:f>
        <x:v>1</x:v>
      </x:c>
      <x:c r="F947" s="29" t="b">
        <x:v>1</x:v>
      </x:c>
      <x:c r="G947" s="11" t="b">
        <x:f>'Release Gates'!H131="OPEN"</x:f>
        <x:v>1</x:v>
      </x:c>
      <x:c r="H947" s="11" t="str">
        <x:f>IF(G947=F947,"PASS","FAIL")</x:f>
        <x:v>PASS</x:v>
      </x:c>
      <x:c r="I947" s="38"/>
    </x:row>
    <x:row r="948">
      <x:c r="B948" s="11" t="str">
        <x:v>AU-0942</x:v>
      </x:c>
      <x:c r="C948" s="11" t="str">
        <x:v>release physical gate</x:v>
      </x:c>
      <x:c r="D948" s="11" t="str">
        <x:v>AS-REPLAY-SA6</x:v>
      </x:c>
      <x:c r="E948" s="11" t="b">
        <x:f>'Release Gates'!H132="OPEN"</x:f>
        <x:v>1</x:v>
      </x:c>
      <x:c r="F948" s="29" t="b">
        <x:v>1</x:v>
      </x:c>
      <x:c r="G948" s="11" t="b">
        <x:f>'Release Gates'!H132="OPEN"</x:f>
        <x:v>1</x:v>
      </x:c>
      <x:c r="H948" s="11" t="str">
        <x:f>IF(G948=F948,"PASS","FAIL")</x:f>
        <x:v>PASS</x:v>
      </x:c>
      <x:c r="I948" s="38"/>
    </x:row>
    <x:row r="949">
      <x:c r="B949" s="11" t="str">
        <x:v>AU-0943</x:v>
      </x:c>
      <x:c r="C949" s="11" t="str">
        <x:v>release physical gate</x:v>
      </x:c>
      <x:c r="D949" s="11" t="str">
        <x:v>AS-VAULT-PTC-A</x:v>
      </x:c>
      <x:c r="E949" s="11" t="b">
        <x:f>'Release Gates'!H133="OPEN"</x:f>
        <x:v>1</x:v>
      </x:c>
      <x:c r="F949" s="29" t="b">
        <x:v>1</x:v>
      </x:c>
      <x:c r="G949" s="11" t="b">
        <x:f>'Release Gates'!H133="OPEN"</x:f>
        <x:v>1</x:v>
      </x:c>
      <x:c r="H949" s="11" t="str">
        <x:f>IF(G949=F949,"PASS","FAIL")</x:f>
        <x:v>PASS</x:v>
      </x:c>
      <x:c r="I949" s="38"/>
    </x:row>
    <x:row r="950">
      <x:c r="B950" s="11" t="str">
        <x:v>AU-0944</x:v>
      </x:c>
      <x:c r="C950" s="11" t="str">
        <x:v>release physical gate</x:v>
      </x:c>
      <x:c r="D950" s="11" t="str">
        <x:v>AS-VAULT-PTC-B</x:v>
      </x:c>
      <x:c r="E950" s="11" t="b">
        <x:f>'Release Gates'!H134="OPEN"</x:f>
        <x:v>1</x:v>
      </x:c>
      <x:c r="F950" s="29" t="b">
        <x:v>1</x:v>
      </x:c>
      <x:c r="G950" s="11" t="b">
        <x:f>'Release Gates'!H134="OPEN"</x:f>
        <x:v>1</x:v>
      </x:c>
      <x:c r="H950" s="11" t="str">
        <x:f>IF(G950=F950,"PASS","FAIL")</x:f>
        <x:v>PASS</x:v>
      </x:c>
      <x:c r="I950" s="38"/>
    </x:row>
    <x:row r="951">
      <x:c r="B951" s="11" t="str">
        <x:v>AU-0945</x:v>
      </x:c>
      <x:c r="C951" s="11" t="str">
        <x:v>release physical gate</x:v>
      </x:c>
      <x:c r="D951" s="11" t="str">
        <x:v>AS-VAULT-PTC-C</x:v>
      </x:c>
      <x:c r="E951" s="11" t="b">
        <x:f>'Release Gates'!H135="OPEN"</x:f>
        <x:v>1</x:v>
      </x:c>
      <x:c r="F951" s="29" t="b">
        <x:v>1</x:v>
      </x:c>
      <x:c r="G951" s="11" t="b">
        <x:f>'Release Gates'!H135="OPEN"</x:f>
        <x:v>1</x:v>
      </x:c>
      <x:c r="H951" s="11" t="str">
        <x:f>IF(G951=F951,"PASS","FAIL")</x:f>
        <x:v>PASS</x:v>
      </x:c>
      <x:c r="I951" s="38"/>
    </x:row>
    <x:row r="952">
      <x:c r="B952" s="11" t="str">
        <x:v>AU-0946</x:v>
      </x:c>
      <x:c r="C952" s="11" t="str">
        <x:v>release physical gate</x:v>
      </x:c>
      <x:c r="D952" s="11" t="str">
        <x:v>AS-DEST-PTC-A</x:v>
      </x:c>
      <x:c r="E952" s="11" t="b">
        <x:f>'Release Gates'!H136="OPEN"</x:f>
        <x:v>1</x:v>
      </x:c>
      <x:c r="F952" s="29" t="b">
        <x:v>1</x:v>
      </x:c>
      <x:c r="G952" s="11" t="b">
        <x:f>'Release Gates'!H136="OPEN"</x:f>
        <x:v>1</x:v>
      </x:c>
      <x:c r="H952" s="11" t="str">
        <x:f>IF(G952=F952,"PASS","FAIL")</x:f>
        <x:v>PASS</x:v>
      </x:c>
      <x:c r="I952" s="38"/>
    </x:row>
    <x:row r="953">
      <x:c r="B953" s="11" t="str">
        <x:v>AU-0947</x:v>
      </x:c>
      <x:c r="C953" s="11" t="str">
        <x:v>release physical gate</x:v>
      </x:c>
      <x:c r="D953" s="11" t="str">
        <x:v>AS-DEST-PTC-B</x:v>
      </x:c>
      <x:c r="E953" s="11" t="b">
        <x:f>'Release Gates'!H137="OPEN"</x:f>
        <x:v>1</x:v>
      </x:c>
      <x:c r="F953" s="29" t="b">
        <x:v>1</x:v>
      </x:c>
      <x:c r="G953" s="11" t="b">
        <x:f>'Release Gates'!H137="OPEN"</x:f>
        <x:v>1</x:v>
      </x:c>
      <x:c r="H953" s="11" t="str">
        <x:f>IF(G953=F953,"PASS","FAIL")</x:f>
        <x:v>PASS</x:v>
      </x:c>
      <x:c r="I953" s="38"/>
    </x:row>
    <x:row r="954">
      <x:c r="B954" s="11" t="str">
        <x:v>AU-0948</x:v>
      </x:c>
      <x:c r="C954" s="11" t="str">
        <x:v>release physical gate</x:v>
      </x:c>
      <x:c r="D954" s="11" t="str">
        <x:v>AS-DEST-PTC-C</x:v>
      </x:c>
      <x:c r="E954" s="11" t="b">
        <x:f>'Release Gates'!H138="OPEN"</x:f>
        <x:v>1</x:v>
      </x:c>
      <x:c r="F954" s="29" t="b">
        <x:v>1</x:v>
      </x:c>
      <x:c r="G954" s="11" t="b">
        <x:f>'Release Gates'!H138="OPEN"</x:f>
        <x:v>1</x:v>
      </x:c>
      <x:c r="H954" s="11" t="str">
        <x:f>IF(G954=F954,"PASS","FAIL")</x:f>
        <x:v>PASS</x:v>
      </x:c>
      <x:c r="I954" s="38"/>
    </x:row>
    <x:row r="955">
      <x:c r="B955" s="11" t="str">
        <x:v>AU-0949</x:v>
      </x:c>
      <x:c r="C955" s="11" t="str">
        <x:v>downstream gate blocked</x:v>
      </x:c>
      <x:c r="D955" s="11" t="str">
        <x:v>DG-01</x:v>
      </x:c>
      <x:c r="E955" s="11" t="b">
        <x:f>'Release Gates'!H139="BLOCKED"</x:f>
        <x:v>1</x:v>
      </x:c>
      <x:c r="F955" s="29" t="b">
        <x:v>1</x:v>
      </x:c>
      <x:c r="G955" s="11" t="b">
        <x:f>'Release Gates'!H139="BLOCKED"</x:f>
        <x:v>1</x:v>
      </x:c>
      <x:c r="H955" s="11" t="str">
        <x:f>IF(G955=F955,"PASS","FAIL")</x:f>
        <x:v>PASS</x:v>
      </x:c>
      <x:c r="I955" s="38"/>
    </x:row>
    <x:row r="956">
      <x:c r="B956" s="11" t="str">
        <x:v>AU-0950</x:v>
      </x:c>
      <x:c r="C956" s="11" t="str">
        <x:v>downstream gate blocked</x:v>
      </x:c>
      <x:c r="D956" s="11" t="str">
        <x:v>DG-02</x:v>
      </x:c>
      <x:c r="E956" s="11" t="b">
        <x:f>'Release Gates'!H140="BLOCKED"</x:f>
        <x:v>1</x:v>
      </x:c>
      <x:c r="F956" s="29" t="b">
        <x:v>1</x:v>
      </x:c>
      <x:c r="G956" s="11" t="b">
        <x:f>'Release Gates'!H140="BLOCKED"</x:f>
        <x:v>1</x:v>
      </x:c>
      <x:c r="H956" s="11" t="str">
        <x:f>IF(G956=F956,"PASS","FAIL")</x:f>
        <x:v>PASS</x:v>
      </x:c>
      <x:c r="I956" s="38"/>
    </x:row>
    <x:row r="957">
      <x:c r="B957" s="11" t="str">
        <x:v>AU-0951</x:v>
      </x:c>
      <x:c r="C957" s="11" t="str">
        <x:v>downstream gate blocked</x:v>
      </x:c>
      <x:c r="D957" s="11" t="str">
        <x:v>DG-03</x:v>
      </x:c>
      <x:c r="E957" s="11" t="b">
        <x:f>'Release Gates'!H141="BLOCKED"</x:f>
        <x:v>1</x:v>
      </x:c>
      <x:c r="F957" s="29" t="b">
        <x:v>1</x:v>
      </x:c>
      <x:c r="G957" s="11" t="b">
        <x:f>'Release Gates'!H141="BLOCKED"</x:f>
        <x:v>1</x:v>
      </x:c>
      <x:c r="H957" s="11" t="str">
        <x:f>IF(G957=F957,"PASS","FAIL")</x:f>
        <x:v>PASS</x:v>
      </x:c>
      <x:c r="I957" s="38"/>
    </x:row>
    <x:row r="958">
      <x:c r="B958" s="11" t="str">
        <x:v>AU-0952</x:v>
      </x:c>
      <x:c r="C958" s="11" t="str">
        <x:v>downstream gate blocked</x:v>
      </x:c>
      <x:c r="D958" s="11" t="str">
        <x:v>DG-04</x:v>
      </x:c>
      <x:c r="E958" s="11" t="b">
        <x:f>'Release Gates'!H142="BLOCKED"</x:f>
        <x:v>1</x:v>
      </x:c>
      <x:c r="F958" s="29" t="b">
        <x:v>1</x:v>
      </x:c>
      <x:c r="G958" s="11" t="b">
        <x:f>'Release Gates'!H142="BLOCKED"</x:f>
        <x:v>1</x:v>
      </x:c>
      <x:c r="H958" s="11" t="str">
        <x:f>IF(G958=F958,"PASS","FAIL")</x:f>
        <x:v>PASS</x:v>
      </x:c>
      <x:c r="I958" s="38"/>
    </x:row>
    <x:row r="959">
      <x:c r="B959" s="11" t="str">
        <x:v>AU-0953</x:v>
      </x:c>
      <x:c r="C959" s="11" t="str">
        <x:v>downstream gate blocked</x:v>
      </x:c>
      <x:c r="D959" s="11" t="str">
        <x:v>DG-05</x:v>
      </x:c>
      <x:c r="E959" s="11" t="b">
        <x:f>'Release Gates'!H143="BLOCKED"</x:f>
        <x:v>1</x:v>
      </x:c>
      <x:c r="F959" s="29" t="b">
        <x:v>1</x:v>
      </x:c>
      <x:c r="G959" s="11" t="b">
        <x:f>'Release Gates'!H143="BLOCKED"</x:f>
        <x:v>1</x:v>
      </x:c>
      <x:c r="H959" s="11" t="str">
        <x:f>IF(G959=F959,"PASS","FAIL")</x:f>
        <x:v>PASS</x:v>
      </x:c>
      <x:c r="I959" s="38"/>
    </x:row>
    <x:row r="960">
      <x:c r="B960" s="11" t="str">
        <x:v>AU-0954</x:v>
      </x:c>
      <x:c r="C960" s="11" t="str">
        <x:v>downstream gate blocked</x:v>
      </x:c>
      <x:c r="D960" s="11" t="str">
        <x:v>DG-06</x:v>
      </x:c>
      <x:c r="E960" s="11" t="b">
        <x:f>'Release Gates'!H144="BLOCKED"</x:f>
        <x:v>1</x:v>
      </x:c>
      <x:c r="F960" s="29" t="b">
        <x:v>1</x:v>
      </x:c>
      <x:c r="G960" s="11" t="b">
        <x:f>'Release Gates'!H144="BLOCKED"</x:f>
        <x:v>1</x:v>
      </x:c>
      <x:c r="H960" s="11" t="str">
        <x:f>IF(G960=F960,"PASS","FAIL")</x:f>
        <x:v>PASS</x:v>
      </x:c>
      <x:c r="I960" s="38"/>
    </x:row>
    <x:row r="961">
      <x:c r="B961" s="11" t="str">
        <x:v>AU-0955</x:v>
      </x:c>
      <x:c r="C961" s="11" t="str">
        <x:v>reference-body count</x:v>
      </x:c>
      <x:c r="D961" s="11" t="str">
        <x:v>all</x:v>
      </x:c>
      <x:c r="E961" s="11" t="b">
        <x:f>COUNTA('Article Register'!B7:B78)=72</x:f>
        <x:v>1</x:v>
      </x:c>
      <x:c r="F961" s="29" t="b">
        <x:v>1</x:v>
      </x:c>
      <x:c r="G961" s="11" t="b">
        <x:f>COUNTA('Article Register'!B7:B78)=72</x:f>
        <x:v>1</x:v>
      </x:c>
      <x:c r="H961" s="11" t="str">
        <x:f>IF(G961=F961,"PASS","FAIL")</x:f>
        <x:v>PASS</x:v>
      </x:c>
      <x:c r="I961" s="38"/>
    </x:row>
    <x:row r="962">
      <x:c r="B962" s="11" t="str">
        <x:v>AU-0956</x:v>
      </x:c>
      <x:c r="C962" s="11" t="str">
        <x:v>truth-module count</x:v>
      </x:c>
      <x:c r="D962" s="11" t="str">
        <x:v>all</x:v>
      </x:c>
      <x:c r="E962" s="11" t="b">
        <x:f>COUNTA('Truth Modules'!B7:B294)=288</x:f>
        <x:v>1</x:v>
      </x:c>
      <x:c r="F962" s="29" t="b">
        <x:v>1</x:v>
      </x:c>
      <x:c r="G962" s="11" t="b">
        <x:f>COUNTA('Truth Modules'!B7:B294)=288</x:f>
        <x:v>1</x:v>
      </x:c>
      <x:c r="H962" s="11" t="str">
        <x:f>IF(G962=F962,"PASS","FAIL")</x:f>
        <x:v>PASS</x:v>
      </x:c>
      <x:c r="I962" s="38"/>
    </x:row>
    <x:row r="963">
      <x:c r="B963" s="11" t="str">
        <x:v>AU-0957</x:v>
      </x:c>
      <x:c r="C963" s="11" t="str">
        <x:v>root A body balance</x:v>
      </x:c>
      <x:c r="D963" s="11" t="str">
        <x:v>all</x:v>
      </x:c>
      <x:c r="E963" s="11" t="b">
        <x:f>COUNTIFS('Article Register'!F7:F78,"A")='Controls'!$D$17</x:f>
        <x:v>1</x:v>
      </x:c>
      <x:c r="F963" s="29" t="b">
        <x:v>1</x:v>
      </x:c>
      <x:c r="G963" s="11" t="b">
        <x:f>COUNTIFS('Article Register'!F7:F78,"A")='Controls'!$D$17</x:f>
        <x:v>1</x:v>
      </x:c>
      <x:c r="H963" s="11" t="str">
        <x:f>IF(G963=F963,"PASS","FAIL")</x:f>
        <x:v>PASS</x:v>
      </x:c>
      <x:c r="I963" s="38"/>
    </x:row>
    <x:row r="964">
      <x:c r="B964" s="11" t="str">
        <x:v>AU-0958</x:v>
      </x:c>
      <x:c r="C964" s="11" t="str">
        <x:v>root B body balance</x:v>
      </x:c>
      <x:c r="D964" s="11" t="str">
        <x:v>all</x:v>
      </x:c>
      <x:c r="E964" s="11" t="b">
        <x:f>COUNTIFS('Article Register'!F7:F78,"B")='Controls'!$D$18</x:f>
        <x:v>1</x:v>
      </x:c>
      <x:c r="F964" s="29" t="b">
        <x:v>1</x:v>
      </x:c>
      <x:c r="G964" s="11" t="b">
        <x:f>COUNTIFS('Article Register'!F7:F78,"B")='Controls'!$D$18</x:f>
        <x:v>1</x:v>
      </x:c>
      <x:c r="H964" s="11" t="str">
        <x:f>IF(G964=F964,"PASS","FAIL")</x:f>
        <x:v>PASS</x:v>
      </x:c>
      <x:c r="I964" s="38"/>
    </x:row>
    <x:row r="965">
      <x:c r="B965" s="11" t="str">
        <x:v>AU-0959</x:v>
      </x:c>
      <x:c r="C965" s="11" t="str">
        <x:v>root A event balance</x:v>
      </x:c>
      <x:c r="D965" s="11" t="str">
        <x:v>all</x:v>
      </x:c>
      <x:c r="E965" s="11" t="b">
        <x:f>COUNTIFS('Lane Events'!H7:H126,"A")='Controls'!$D$19</x:f>
        <x:v>1</x:v>
      </x:c>
      <x:c r="F965" s="29" t="b">
        <x:v>1</x:v>
      </x:c>
      <x:c r="G965" s="11" t="b">
        <x:f>COUNTIFS('Lane Events'!H7:H126,"A")='Controls'!$D$19</x:f>
        <x:v>1</x:v>
      </x:c>
      <x:c r="H965" s="11" t="str">
        <x:f>IF(G965=F965,"PASS","FAIL")</x:f>
        <x:v>PASS</x:v>
      </x:c>
      <x:c r="I965" s="38"/>
    </x:row>
    <x:row r="966">
      <x:c r="B966" s="11" t="str">
        <x:v>AU-0960</x:v>
      </x:c>
      <x:c r="C966" s="11" t="str">
        <x:v>root B event balance</x:v>
      </x:c>
      <x:c r="D966" s="11" t="str">
        <x:v>all</x:v>
      </x:c>
      <x:c r="E966" s="11" t="b">
        <x:f>COUNTIFS('Lane Events'!H7:H126,"B")='Controls'!$D$20</x:f>
        <x:v>1</x:v>
      </x:c>
      <x:c r="F966" s="29" t="b">
        <x:v>1</x:v>
      </x:c>
      <x:c r="G966" s="11" t="b">
        <x:f>COUNTIFS('Lane Events'!H7:H126,"B")='Controls'!$D$20</x:f>
        <x:v>1</x:v>
      </x:c>
      <x:c r="H966" s="11" t="str">
        <x:f>IF(G966=F966,"PASS","FAIL")</x:f>
        <x:v>PASS</x:v>
      </x:c>
      <x:c r="I966" s="38"/>
    </x:row>
    <x:row r="967">
      <x:c r="B967" s="11" t="str">
        <x:v>AU-0961</x:v>
      </x:c>
      <x:c r="C967" s="11" t="str">
        <x:v>capital reconciliation</x:v>
      </x:c>
      <x:c r="D967" s="11" t="str">
        <x:v>all</x:v>
      </x:c>
      <x:c r="E967" s="11" t="b">
        <x:f>'Capital'!D28="PASS"</x:f>
        <x:v>1</x:v>
      </x:c>
      <x:c r="F967" s="29" t="b">
        <x:v>1</x:v>
      </x:c>
      <x:c r="G967" s="11" t="b">
        <x:f>'Capital'!D28="PASS"</x:f>
        <x:v>1</x:v>
      </x:c>
      <x:c r="H967" s="11" t="str">
        <x:f>IF(G967=F967,"PASS","FAIL")</x:f>
        <x:v>PASS</x:v>
      </x:c>
      <x:c r="I967" s="38"/>
    </x:row>
    <x:row r="968">
      <x:c r="B968" s="11" t="str">
        <x:v>AU-0962</x:v>
      </x:c>
      <x:c r="C968" s="11" t="str">
        <x:v>annual reconciliation</x:v>
      </x:c>
      <x:c r="D968" s="11" t="str">
        <x:v>all</x:v>
      </x:c>
      <x:c r="E968" s="11" t="b">
        <x:f>'Annual Support'!D17="PASS"</x:f>
        <x:v>1</x:v>
      </x:c>
      <x:c r="F968" s="29" t="b">
        <x:v>1</x:v>
      </x:c>
      <x:c r="G968" s="11" t="b">
        <x:f>'Annual Support'!D17="PASS"</x:f>
        <x:v>1</x:v>
      </x:c>
      <x:c r="H968" s="11" t="str">
        <x:f>IF(G968=F968,"PASS","FAIL")</x:f>
        <x:v>PASS</x:v>
      </x:c>
      <x:c r="I968" s="38"/>
    </x:row>
    <x:row r="969">
      <x:c r="B969" s="12" t="str">
        <x:v>AU-0963</x:v>
      </x:c>
      <x:c r="C969" s="12" t="str">
        <x:v>schedule limit</x:v>
      </x:c>
      <x:c r="D969" s="12" t="str">
        <x:v>all</x:v>
      </x:c>
      <x:c r="E969" s="12" t="b">
        <x:f>'Schedule'!D21="PASS"</x:f>
        <x:v>1</x:v>
      </x:c>
      <x:c r="F969" s="30" t="b">
        <x:v>1</x:v>
      </x:c>
      <x:c r="G969" s="12" t="b">
        <x:f>'Schedule'!D21="PASS"</x:f>
        <x:v>1</x:v>
      </x:c>
      <x:c r="H969" s="12" t="str">
        <x:f>IF(G969=F969,"PASS","FAIL")</x:f>
        <x:v>PASS</x:v>
      </x:c>
      <x:c r="I969" s="38"/>
    </x:row>
  </x:sheetData>
  <x:mergeCells>
    <x:mergeCell ref="B2:I2"/>
    <x:mergeCell ref="B3:I3"/>
  </x:mergeCells>
  <x:conditionalFormatting sqref="H7:H969">
    <x:cfRule type="containsText" dxfId="336" priority="1" operator="containsText" text="PASS"/>
    <x:cfRule type="containsText" dxfId="337" priority="2" operator="containsText" text="AUTHORIZED"/>
    <x:cfRule type="containsText" dxfId="338" priority="3" operator="containsText" text="DEFINED"/>
    <x:cfRule type="containsText" dxfId="339" priority="4" operator="containsText" text="READY"/>
    <x:cfRule type="containsText" dxfId="340" priority="5" operator="containsText" text="HOLD"/>
    <x:cfRule type="containsText" dxfId="341" priority="6" operator="containsText" text="OPEN"/>
    <x:cfRule type="containsText" dxfId="342" priority="7" operator="containsText" text="BLOCKED"/>
    <x:cfRule type="containsText" dxfId="343" priority="8" operator="containsText" text="PLANNING"/>
    <x:cfRule type="containsText" dxfId="344" priority="9" operator="containsText" text="QUARANTINE"/>
    <x:cfRule type="containsText" dxfId="345" priority="10" operator="containsText" text="INDETERMINATE"/>
    <x:cfRule type="containsText" dxfId="346" priority="11" operator="containsText" text="FAIL"/>
    <x:cfRule type="containsText" dxfId="347" priority="12" operator="containsText" text="REJECT"/>
    <x:cfRule type="containsText" dxfId="348" priority="13" operator="containsText" text="INVALID"/>
    <x:cfRule type="containsText" dxfId="349" priority="14" operator="containsText" text="STOP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40" hidden="0" customWidth="1"/>
    <x:col min="4" max="4" width="5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B2" s="37" t="str">
        <x:v>Workbook use and authority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39" t="str">
        <x:v>This workbook is a planning constitution. It contains no site, article, event, calibration or acceptance observation.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40"/>
      <x:c r="C4" s="40"/>
      <x:c r="D4" s="40"/>
      <x:c r="E4" s="40"/>
      <x:c r="F4" s="40"/>
      <x:c r="G4" s="40"/>
      <x:c r="H4" s="40"/>
      <x:c r="I4" s="40"/>
      <x:c r="J4" s="40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23" t="str">
        <x:v>Purpose</x:v>
      </x:c>
      <x:c r="C6" s="23" t="str">
        <x:v>Purpose</x:v>
      </x:c>
      <x:c r="D6" s="23" t="str">
        <x:v>Purpose</x:v>
      </x:c>
      <x:c r="E6" s="23" t="str">
        <x:v>Purpose</x:v>
      </x:c>
      <x:c r="F6" s="23" t="str">
        <x:v>Purpose</x:v>
      </x:c>
      <x:c r="G6" s="23" t="str">
        <x:v>Purpose</x:v>
      </x:c>
      <x:c r="H6" s="23" t="str">
        <x:v>Purpose</x:v>
      </x:c>
      <x:c r="I6" s="23" t="str">
        <x:v>Purpose</x:v>
      </x:c>
      <x:c r="J6" s="23" t="str">
        <x:v>Purpose</x:v>
      </x:c>
    </x:row>
    <x:row r="7">
      <x:c r="B7" s="42" t="str">
        <x:v>RSP-1 defines the manufactured reference inventory and the source records required to commission PTC-0. It distinguishes bodies, replaceable truth modules, failure-insertion apparatus, maximum credible source terms, safe-state timing, event cards, custody, retirement and physical acceptance.</x:v>
      </x:c>
      <x:c r="C7" s="38"/>
      <x:c r="D7" s="38"/>
      <x:c r="E7" s="38"/>
      <x:c r="F7" s="38"/>
      <x:c r="G7" s="38"/>
      <x:c r="H7" s="38"/>
      <x:c r="I7" s="38"/>
      <x:c r="J7" s="38"/>
    </x:row>
    <x:row r="8">
      <x:c r="B8" s="38"/>
      <x:c r="C8" s="38"/>
      <x:c r="D8" s="38"/>
      <x:c r="E8" s="38"/>
      <x:c r="F8" s="38"/>
      <x:c r="G8" s="38"/>
      <x:c r="H8" s="38"/>
      <x:c r="I8" s="38"/>
      <x:c r="J8" s="38"/>
    </x:row>
    <x:row r="9">
      <x:c r="B9" s="38"/>
      <x:c r="C9" s="38"/>
      <x:c r="D9" s="38"/>
      <x:c r="E9" s="38"/>
      <x:c r="F9" s="38"/>
      <x:c r="G9" s="38"/>
      <x:c r="H9" s="38"/>
      <x:c r="I9" s="38"/>
      <x:c r="J9" s="38"/>
    </x:row>
    <x:row r="10">
      <x:c r="B10" s="38"/>
      <x:c r="C10" s="38"/>
      <x:c r="D10" s="38"/>
      <x:c r="E10" s="38"/>
      <x:c r="F10" s="38"/>
      <x:c r="G10" s="38"/>
      <x:c r="H10" s="38"/>
      <x:c r="I10" s="38"/>
      <x:c r="J10" s="38"/>
    </x:row>
    <x:row r="11">
      <x:c r="B11" s="23" t="str">
        <x:v>Internal authorities</x:v>
      </x:c>
      <x:c r="C11" s="23" t="str">
        <x:v>Internal authorities</x:v>
      </x:c>
      <x:c r="D11" s="23" t="str">
        <x:v>Internal authorities</x:v>
      </x:c>
      <x:c r="E11" s="23" t="str">
        <x:v>Internal authorities</x:v>
      </x:c>
      <x:c r="F11" s="23" t="str">
        <x:v>Internal authorities</x:v>
      </x:c>
      <x:c r="G11" s="23" t="str">
        <x:v>Internal authorities</x:v>
      </x:c>
      <x:c r="H11" s="23" t="str">
        <x:v>Internal authorities</x:v>
      </x:c>
      <x:c r="I11" s="23" t="str">
        <x:v>Internal authorities</x:v>
      </x:c>
      <x:c r="J11" s="23" t="str">
        <x:v>Internal authorities</x:v>
      </x:c>
    </x:row>
    <x:row r="12">
      <x:c r="B12" s="9" t="str">
        <x:v>Authority</x:v>
      </x:c>
      <x:c r="C12" s="9" t="str">
        <x:v>Use</x:v>
      </x:c>
      <x:c r="D12" s="9" t="str">
        <x:v>Status</x:v>
      </x:c>
      <x:c r="E12" s="38"/>
      <x:c r="F12" s="38"/>
      <x:c r="G12" s="38"/>
      <x:c r="H12" s="38"/>
      <x:c r="I12" s="38"/>
      <x:c r="J12" s="38"/>
    </x:row>
    <x:row r="13">
      <x:c r="B13" s="11" t="str">
        <x:v>SDEC-1 full-scale execution campaign</x:v>
      </x:c>
      <x:c r="C13" s="11" t="str">
        <x:v>event thresholds, instruments and stopping law</x:v>
      </x:c>
      <x:c r="D13" s="11" t="str">
        <x:v>inherited planning boundary</x:v>
      </x:c>
      <x:c r="E13" s="38"/>
      <x:c r="F13" s="38"/>
      <x:c r="G13" s="38"/>
      <x:c r="H13" s="38"/>
      <x:c r="I13" s="38"/>
      <x:c r="J13" s="38"/>
    </x:row>
    <x:row r="14">
      <x:c r="B14" s="11" t="str">
        <x:v>PTC-0 public test complex constitution</x:v>
      </x:c>
      <x:c r="C14" s="11" t="str">
        <x:v>lanes, campuses, phase-zero classes and finance</x:v>
      </x:c>
      <x:c r="D14" s="11" t="str">
        <x:v>inherited planning boundary</x:v>
      </x:c>
      <x:c r="E14" s="38"/>
      <x:c r="F14" s="38"/>
      <x:c r="G14" s="38"/>
      <x:c r="H14" s="38"/>
      <x:c r="I14" s="38"/>
      <x:c r="J14" s="38"/>
    </x:row>
    <x:row r="15">
      <x:c r="B15" s="12" t="str">
        <x:v>RSP-1 source package</x:v>
      </x:c>
      <x:c r="C15" s="12" t="str">
        <x:v>articles, truth modules, source terms and acceptance packets</x:v>
      </x:c>
      <x:c r="D15" s="12" t="str">
        <x:v>current planning definition</x:v>
      </x:c>
      <x:c r="E15" s="38"/>
      <x:c r="F15" s="38"/>
      <x:c r="G15" s="38"/>
      <x:c r="H15" s="38"/>
      <x:c r="I15" s="38"/>
      <x:c r="J15" s="38"/>
    </x:row>
    <x:row r="16">
      <x:c r="B16" s="38"/>
      <x:c r="C16" s="38"/>
      <x:c r="D16" s="38"/>
      <x:c r="E16" s="38"/>
      <x:c r="F16" s="38"/>
      <x:c r="G16" s="38"/>
      <x:c r="H16" s="38"/>
      <x:c r="I16" s="38"/>
      <x:c r="J16" s="38"/>
    </x:row>
    <x:row r="17">
      <x:c r="B17" s="23" t="str">
        <x:v>Editing and interpretation</x:v>
      </x:c>
      <x:c r="C17" s="23" t="str">
        <x:v>Editing and interpretation</x:v>
      </x:c>
      <x:c r="D17" s="23" t="str">
        <x:v>Editing and interpretation</x:v>
      </x:c>
      <x:c r="E17" s="23" t="str">
        <x:v>Editing and interpretation</x:v>
      </x:c>
      <x:c r="F17" s="23" t="str">
        <x:v>Editing and interpretation</x:v>
      </x:c>
      <x:c r="G17" s="23" t="str">
        <x:v>Editing and interpretation</x:v>
      </x:c>
      <x:c r="H17" s="23" t="str">
        <x:v>Editing and interpretation</x:v>
      </x:c>
      <x:c r="I17" s="23" t="str">
        <x:v>Editing and interpretation</x:v>
      </x:c>
      <x:c r="J17" s="23" t="str">
        <x:v>Editing and interpretation</x:v>
      </x:c>
    </x:row>
    <x:row r="18">
      <x:c r="B18" s="42" t="str">
        <x:v>Blue entries are editable planning or source inputs. Calculated states update from those entries. A planning PASS means the required definition exists in the workbook. It does not mean the physical object exists. Physical-source cells begin at zero or blank and must be populated only from native accepted records. Audit is terminal and feeds no result. Reference bodies, truth modules and phase-zero events are excluded from the SDEC-1 inference population. Exterior rendering remains blocked.</x:v>
      </x:c>
      <x:c r="C18" s="38"/>
      <x:c r="D18" s="38"/>
      <x:c r="E18" s="38"/>
      <x:c r="F18" s="38"/>
      <x:c r="G18" s="38"/>
      <x:c r="H18" s="38"/>
      <x:c r="I18" s="38"/>
      <x:c r="J18" s="38"/>
    </x:row>
    <x:row r="19">
      <x:c r="B19" s="38"/>
      <x:c r="C19" s="38"/>
      <x:c r="D19" s="38"/>
      <x:c r="E19" s="38"/>
      <x:c r="F19" s="38"/>
      <x:c r="G19" s="38"/>
      <x:c r="H19" s="38"/>
      <x:c r="I19" s="38"/>
      <x:c r="J19" s="38"/>
    </x:row>
    <x:row r="20">
      <x:c r="B20" s="38"/>
      <x:c r="C20" s="38"/>
      <x:c r="D20" s="38"/>
      <x:c r="E20" s="38"/>
      <x:c r="F20" s="38"/>
      <x:c r="G20" s="38"/>
      <x:c r="H20" s="38"/>
      <x:c r="I20" s="38"/>
      <x:c r="J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</x:row>
    <x:row r="23">
      <x:c r="B23" s="38"/>
      <x:c r="C23" s="38"/>
      <x:c r="D23" s="38"/>
      <x:c r="E23" s="38"/>
      <x:c r="F23" s="38"/>
      <x:c r="G23" s="38"/>
      <x:c r="H23" s="38"/>
      <x:c r="I23" s="38"/>
      <x:c r="J23" s="38"/>
    </x:row>
    <x:row r="24">
      <x:c r="B24" s="38"/>
      <x:c r="C24" s="38"/>
      <x:c r="D24" s="38"/>
      <x:c r="E24" s="38"/>
      <x:c r="F24" s="38"/>
      <x:c r="G24" s="38"/>
      <x:c r="H24" s="38"/>
      <x:c r="I24" s="38"/>
      <x:c r="J24" s="38"/>
    </x:row>
    <x:row r="25">
      <x:c r="B25" s="38"/>
      <x:c r="C25" s="38"/>
      <x:c r="D25" s="38"/>
      <x:c r="E25" s="38"/>
      <x:c r="F25" s="38"/>
      <x:c r="G25" s="38"/>
      <x:c r="H25" s="38"/>
      <x:c r="I25" s="38"/>
      <x:c r="J25" s="38"/>
    </x:row>
    <x:row r="26">
      <x:c r="B26" s="23" t="str">
        <x:v>Workbook structure</x:v>
      </x:c>
      <x:c r="C26" s="23" t="str">
        <x:v>Workbook structure</x:v>
      </x:c>
      <x:c r="D26" s="23" t="str">
        <x:v>Workbook structure</x:v>
      </x:c>
      <x:c r="E26" s="23" t="str">
        <x:v>Workbook structure</x:v>
      </x:c>
      <x:c r="F26" s="23" t="str">
        <x:v>Workbook structure</x:v>
      </x:c>
      <x:c r="G26" s="23" t="str">
        <x:v>Workbook structure</x:v>
      </x:c>
      <x:c r="H26" s="23" t="str">
        <x:v>Workbook structure</x:v>
      </x:c>
      <x:c r="I26" s="23" t="str">
        <x:v>Workbook structure</x:v>
      </x:c>
      <x:c r="J26" s="23" t="str">
        <x:v>Workbook structure</x:v>
      </x:c>
    </x:row>
    <x:row r="27">
      <x:c r="B27" s="9" t="str">
        <x:v>Group</x:v>
      </x:c>
      <x:c r="C27" s="9" t="str">
        <x:v>Sheets</x:v>
      </x:c>
      <x:c r="D27" s="9" t="str">
        <x:v>Function</x:v>
      </x:c>
      <x:c r="E27" s="38"/>
      <x:c r="F27" s="38"/>
      <x:c r="G27" s="38"/>
      <x:c r="H27" s="38"/>
      <x:c r="I27" s="38"/>
      <x:c r="J27" s="38"/>
    </x:row>
    <x:row r="28">
      <x:c r="B28" s="11" t="str">
        <x:v>Output</x:v>
      </x:c>
      <x:c r="C28" s="11" t="str">
        <x:v>Summary</x:v>
      </x:c>
      <x:c r="D28" s="11" t="str">
        <x:v>package scale, cost and release state</x:v>
      </x:c>
      <x:c r="E28" s="38"/>
      <x:c r="F28" s="38"/>
      <x:c r="G28" s="38"/>
      <x:c r="H28" s="38"/>
      <x:c r="I28" s="38"/>
      <x:c r="J28" s="38"/>
    </x:row>
    <x:row r="29">
      <x:c r="B29" s="11" t="str">
        <x:v>Inputs</x:v>
      </x:c>
      <x:c r="C29" s="11" t="str">
        <x:v>Controls</x:v>
      </x:c>
      <x:c r="D29" s="11" t="str">
        <x:v>authoritative boundaries and source fields</x:v>
      </x:c>
      <x:c r="E29" s="38"/>
      <x:c r="F29" s="38"/>
      <x:c r="G29" s="38"/>
      <x:c r="H29" s="38"/>
      <x:c r="I29" s="38"/>
      <x:c r="J29" s="38"/>
    </x:row>
    <x:row r="30">
      <x:c r="B30" s="11" t="str">
        <x:v>Physical definitions</x:v>
      </x:c>
      <x:c r="C30" s="11" t="str">
        <x:v>Article Register through Safe State</x:v>
      </x:c>
      <x:c r="D30" s="11" t="str">
        <x:v>bodies, truth, hazards, events and termination</x:v>
      </x:c>
      <x:c r="E30" s="38"/>
      <x:c r="F30" s="38"/>
      <x:c r="G30" s="38"/>
      <x:c r="H30" s="38"/>
      <x:c r="I30" s="38"/>
      <x:c r="J30" s="38"/>
    </x:row>
    <x:row r="31">
      <x:c r="B31" s="11" t="str">
        <x:v>Institutional trials</x:v>
      </x:c>
      <x:c r="C31" s="11" t="str">
        <x:v>Campus Drills through Acceptance Sources</x:v>
      </x:c>
      <x:c r="D31" s="11" t="str">
        <x:v>denial, replay, custody and physical packets</x:v>
      </x:c>
      <x:c r="E31" s="38"/>
      <x:c r="F31" s="38"/>
      <x:c r="G31" s="38"/>
      <x:c r="H31" s="38"/>
      <x:c r="I31" s="38"/>
      <x:c r="J31" s="38"/>
    </x:row>
    <x:row r="32">
      <x:c r="B32" s="11" t="str">
        <x:v>Finance</x:v>
      </x:c>
      <x:c r="C32" s="11" t="str">
        <x:v>Capital and Annual Support</x:v>
      </x:c>
      <x:c r="D32" s="11" t="str">
        <x:v>allocation inside PTC-0</x:v>
      </x:c>
      <x:c r="E32" s="38"/>
      <x:c r="F32" s="38"/>
      <x:c r="G32" s="38"/>
      <x:c r="H32" s="38"/>
      <x:c r="I32" s="38"/>
      <x:c r="J32" s="38"/>
    </x:row>
    <x:row r="33">
      <x:c r="B33" s="11" t="str">
        <x:v>Program</x:v>
      </x:c>
      <x:c r="C33" s="11" t="str">
        <x:v>Schedule and Release Gates</x:v>
      </x:c>
      <x:c r="D33" s="11" t="str">
        <x:v>sequence and authority</x:v>
      </x:c>
      <x:c r="E33" s="38"/>
      <x:c r="F33" s="38"/>
      <x:c r="G33" s="38"/>
      <x:c r="H33" s="38"/>
      <x:c r="I33" s="38"/>
      <x:c r="J33" s="38"/>
    </x:row>
    <x:row r="34">
      <x:c r="B34" s="12" t="str">
        <x:v>Internal</x:v>
      </x:c>
      <x:c r="C34" s="12" t="str">
        <x:v>Audit</x:v>
      </x:c>
      <x:c r="D34" s="12" t="str">
        <x:v>one-way terminal checks</x:v>
      </x:c>
      <x:c r="E34" s="38"/>
      <x:c r="F34" s="38"/>
      <x:c r="G34" s="38"/>
      <x:c r="H34" s="38"/>
      <x:c r="I34" s="38"/>
      <x:c r="J34" s="38"/>
    </x:row>
  </x:sheetData>
  <x:mergeCells>
    <x:mergeCell ref="B2:J2"/>
    <x:mergeCell ref="B3:J3"/>
    <x:mergeCell ref="B6:J6"/>
    <x:mergeCell ref="B7:J9"/>
    <x:mergeCell ref="B11:J11"/>
    <x:mergeCell ref="B17:J17"/>
    <x:mergeCell ref="B18:J24"/>
    <x:mergeCell ref="B26:J26"/>
  </x:mergeCells>
  <x:pageMargins left="0.7" right="0.7" top="0.75" bottom="0.75" header="0.3" footer="0.3"/>
</x:worksheet>
</file>