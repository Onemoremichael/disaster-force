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4cae62320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2590b53bef43e2"/>
    <x:sheet xmlns:r="http://schemas.openxmlformats.org/officeDocument/2006/relationships" name="Controls" sheetId="2" r:id="Re835530929fd4248"/>
    <x:sheet xmlns:r="http://schemas.openxmlformats.org/officeDocument/2006/relationships" name="Entry Logic" sheetId="3" r:id="R723f98376a8a4a19"/>
    <x:sheet xmlns:r="http://schemas.openxmlformats.org/officeDocument/2006/relationships" name="Method Matrix" sheetId="4" r:id="Rd42079abee104a5e"/>
    <x:sheet xmlns:r="http://schemas.openxmlformats.org/officeDocument/2006/relationships" name="Truth Roots" sheetId="5" r:id="Rce2c5564405647b4"/>
    <x:sheet xmlns:r="http://schemas.openxmlformats.org/officeDocument/2006/relationships" name="Source Classes" sheetId="6" r:id="R9a56936efcc14404"/>
    <x:sheet xmlns:r="http://schemas.openxmlformats.org/officeDocument/2006/relationships" name="Scale Regimes" sheetId="7" r:id="Rc072f2a658134f9e"/>
    <x:sheet xmlns:r="http://schemas.openxmlformats.org/officeDocument/2006/relationships" name="Source Lots" sheetId="8" r:id="R7b98893e1b15471a"/>
    <x:sheet xmlns:r="http://schemas.openxmlformats.org/officeDocument/2006/relationships" name="Water Lots" sheetId="9" r:id="R40170e6ce8dc4b65"/>
    <x:sheet xmlns:r="http://schemas.openxmlformats.org/officeDocument/2006/relationships" name="Tracer Codes" sheetId="10" r:id="R7e4fe6ea79ca4f6b"/>
    <x:sheet xmlns:r="http://schemas.openxmlformats.org/officeDocument/2006/relationships" name="Initial Conditions" sheetId="11" r:id="Rf3991c36be474816"/>
    <x:sheet xmlns:r="http://schemas.openxmlformats.org/officeDocument/2006/relationships" name="Event Register" sheetId="12" r:id="R238f2f88213f4b4f"/>
    <x:sheet xmlns:r="http://schemas.openxmlformats.org/officeDocument/2006/relationships" name="Worked Cell" sheetId="13" r:id="Rb2dd65bed4c541bb"/>
    <x:sheet xmlns:r="http://schemas.openxmlformats.org/officeDocument/2006/relationships" name="Source Ledger" sheetId="14" r:id="Rabbc50c1f95845c7"/>
    <x:sheet xmlns:r="http://schemas.openxmlformats.org/officeDocument/2006/relationships" name="Water Ledger" sheetId="15" r:id="Rca4714afca7f4806"/>
    <x:sheet xmlns:r="http://schemas.openxmlformats.org/officeDocument/2006/relationships" name="Ancestry Ledger" sheetId="16" r:id="R09a43785a1564c40"/>
    <x:sheet xmlns:r="http://schemas.openxmlformats.org/officeDocument/2006/relationships" name="Pool Thermal" sheetId="17" r:id="R9f96b60629d24e71"/>
    <x:sheet xmlns:r="http://schemas.openxmlformats.org/officeDocument/2006/relationships" name="Control Elements" sheetId="18" r:id="R669bdb7b2bce447a"/>
    <x:sheet xmlns:r="http://schemas.openxmlformats.org/officeDocument/2006/relationships" name="Safeing Paths" sheetId="19" r:id="R078b5e2377cb4ae7"/>
    <x:sheet xmlns:r="http://schemas.openxmlformats.org/officeDocument/2006/relationships" name="Abort Matrix" sheetId="20" r:id="R60ed67a08802445e"/>
    <x:sheet xmlns:r="http://schemas.openxmlformats.org/officeDocument/2006/relationships" name="Denial Cases" sheetId="21" r:id="Rc790100a4a6742ef"/>
    <x:sheet xmlns:r="http://schemas.openxmlformats.org/officeDocument/2006/relationships" name="Calibration" sheetId="22" r:id="Rc9e1e0f566744acb"/>
    <x:sheet xmlns:r="http://schemas.openxmlformats.org/officeDocument/2006/relationships" name="Time Nodes" sheetId="23" r:id="R3593ccfa54f948b4"/>
    <x:sheet xmlns:r="http://schemas.openxmlformats.org/officeDocument/2006/relationships" name="Sample Custody" sheetId="24" r:id="R456f41e3e1dc404b"/>
    <x:sheet xmlns:r="http://schemas.openxmlformats.org/officeDocument/2006/relationships" name="Uncertainty" sheetId="25" r:id="R3892af7459574eab"/>
    <x:sheet xmlns:r="http://schemas.openxmlformats.org/officeDocument/2006/relationships" name="Trial Results" sheetId="26" r:id="R6c2cae4834ce4ddd"/>
    <x:sheet xmlns:r="http://schemas.openxmlformats.org/officeDocument/2006/relationships" name="Agreement" sheetId="27" r:id="Rd1c4c5d476c643c5"/>
    <x:sheet xmlns:r="http://schemas.openxmlformats.org/officeDocument/2006/relationships" name="Root Equivalence" sheetId="28" r:id="R99ca108680c64642"/>
    <x:sheet xmlns:r="http://schemas.openxmlformats.org/officeDocument/2006/relationships" name="Method Qualification" sheetId="29" r:id="Rd53263e0ad034b30"/>
    <x:sheet xmlns:r="http://schemas.openxmlformats.org/officeDocument/2006/relationships" name="Replay Ledger" sheetId="30" r:id="Rb8f9a206e8874817"/>
    <x:sheet xmlns:r="http://schemas.openxmlformats.org/officeDocument/2006/relationships" name="Reserve Ledger" sheetId="31" r:id="R3c6be8330d144c5b"/>
    <x:sheet xmlns:r="http://schemas.openxmlformats.org/officeDocument/2006/relationships" name="Source Budget" sheetId="32" r:id="R6d2471346b154271"/>
    <x:sheet xmlns:r="http://schemas.openxmlformats.org/officeDocument/2006/relationships" name="Water Budget" sheetId="33" r:id="R6c69bb9dc72e455b"/>
    <x:sheet xmlns:r="http://schemas.openxmlformats.org/officeDocument/2006/relationships" name="Evidence Budget" sheetId="34" r:id="R3d04f042552c40f6"/>
    <x:sheet xmlns:r="http://schemas.openxmlformats.org/officeDocument/2006/relationships" name="Evidence Objects" sheetId="35" r:id="R42737af2bd344aae"/>
    <x:sheet xmlns:r="http://schemas.openxmlformats.org/officeDocument/2006/relationships" name="Regression" sheetId="36" r:id="Rd859c9a3cdd34a14"/>
    <x:sheet xmlns:r="http://schemas.openxmlformats.org/officeDocument/2006/relationships" name="Technology Campaigns" sheetId="37" r:id="Rffba00b941b94ab3"/>
    <x:sheet xmlns:r="http://schemas.openxmlformats.org/officeDocument/2006/relationships" name="Schedule" sheetId="38" r:id="R2fc3689c006a45af"/>
    <x:sheet xmlns:r="http://schemas.openxmlformats.org/officeDocument/2006/relationships" name="Capacity" sheetId="39" r:id="R35c12d71a8f14a3b"/>
    <x:sheet xmlns:r="http://schemas.openxmlformats.org/officeDocument/2006/relationships" name="Workforce" sheetId="40" r:id="R0b7fc6af25cf4490"/>
    <x:sheet xmlns:r="http://schemas.openxmlformats.org/officeDocument/2006/relationships" name="Capital" sheetId="41" r:id="R631db3fb26fd4089"/>
    <x:sheet xmlns:r="http://schemas.openxmlformats.org/officeDocument/2006/relationships" name="Annual Support" sheetId="42" r:id="R18a33b107a914b2b"/>
    <x:sheet xmlns:r="http://schemas.openxmlformats.org/officeDocument/2006/relationships" name="Portfolio Boundary" sheetId="43" r:id="Ree3d9a02093b4779"/>
    <x:sheet xmlns:r="http://schemas.openxmlformats.org/officeDocument/2006/relationships" name="Authority" sheetId="44" r:id="R9f34c70fbbc34d97"/>
    <x:sheet xmlns:r="http://schemas.openxmlformats.org/officeDocument/2006/relationships" name="Release Gates" sheetId="45" r:id="R03474ce6c6e14793"/>
    <x:sheet xmlns:r="http://schemas.openxmlformats.org/officeDocument/2006/relationships" name="Audit" sheetId="46" r:id="R3c4644a0bb5d4a03"/>
    <x:sheet xmlns:r="http://schemas.openxmlformats.org/officeDocument/2006/relationships" name="Sources" sheetId="47" r:id="R14cd402d85f44a83"/>
    <x:sheet xmlns:r="http://schemas.openxmlformats.org/officeDocument/2006/relationships" name="ReadMe" sheetId="48" r:id="R1f5d3c93d3d6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6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9048612f04ac6" /><Relationship Type="http://schemas.openxmlformats.org/officeDocument/2006/relationships/theme" Target="/xl/theme/theme1.xml" Id="R978f654f9d1f4e7e" /><Relationship Type="http://schemas.openxmlformats.org/officeDocument/2006/relationships/sharedStrings" Target="/xl/sharedStrings.xml" Id="R6c97736d8cf14820" /><Relationship Type="http://schemas.openxmlformats.org/officeDocument/2006/relationships/worksheet" Target="/xl/worksheets/sheet1.xml" Id="R192590b53bef43e2" /><Relationship Type="http://schemas.openxmlformats.org/officeDocument/2006/relationships/worksheet" Target="/xl/worksheets/sheet2.xml" Id="Re835530929fd4248" /><Relationship Type="http://schemas.openxmlformats.org/officeDocument/2006/relationships/worksheet" Target="/xl/worksheets/sheet3.xml" Id="R723f98376a8a4a19" /><Relationship Type="http://schemas.openxmlformats.org/officeDocument/2006/relationships/worksheet" Target="/xl/worksheets/sheet4.xml" Id="Rd42079abee104a5e" /><Relationship Type="http://schemas.openxmlformats.org/officeDocument/2006/relationships/worksheet" Target="/xl/worksheets/sheet5.xml" Id="Rce2c5564405647b4" /><Relationship Type="http://schemas.openxmlformats.org/officeDocument/2006/relationships/worksheet" Target="/xl/worksheets/sheet6.xml" Id="R9a56936efcc14404" /><Relationship Type="http://schemas.openxmlformats.org/officeDocument/2006/relationships/worksheet" Target="/xl/worksheets/sheet7.xml" Id="Rc072f2a658134f9e" /><Relationship Type="http://schemas.openxmlformats.org/officeDocument/2006/relationships/worksheet" Target="/xl/worksheets/sheet8.xml" Id="R7b98893e1b15471a" /><Relationship Type="http://schemas.openxmlformats.org/officeDocument/2006/relationships/worksheet" Target="/xl/worksheets/sheet9.xml" Id="R40170e6ce8dc4b65" /><Relationship Type="http://schemas.openxmlformats.org/officeDocument/2006/relationships/worksheet" Target="/xl/worksheets/sheet10.xml" Id="R7e4fe6ea79ca4f6b" /><Relationship Type="http://schemas.openxmlformats.org/officeDocument/2006/relationships/worksheet" Target="/xl/worksheets/sheet11.xml" Id="Rf3991c36be474816" /><Relationship Type="http://schemas.openxmlformats.org/officeDocument/2006/relationships/worksheet" Target="/xl/worksheets/sheet12.xml" Id="R238f2f88213f4b4f" /><Relationship Type="http://schemas.openxmlformats.org/officeDocument/2006/relationships/worksheet" Target="/xl/worksheets/sheet13.xml" Id="Rb2dd65bed4c541bb" /><Relationship Type="http://schemas.openxmlformats.org/officeDocument/2006/relationships/worksheet" Target="/xl/worksheets/sheet14.xml" Id="Rabbc50c1f95845c7" /><Relationship Type="http://schemas.openxmlformats.org/officeDocument/2006/relationships/worksheet" Target="/xl/worksheets/sheet15.xml" Id="Rca4714afca7f4806" /><Relationship Type="http://schemas.openxmlformats.org/officeDocument/2006/relationships/worksheet" Target="/xl/worksheets/sheet16.xml" Id="R09a43785a1564c40" /><Relationship Type="http://schemas.openxmlformats.org/officeDocument/2006/relationships/worksheet" Target="/xl/worksheets/sheet17.xml" Id="R9f96b60629d24e71" /><Relationship Type="http://schemas.openxmlformats.org/officeDocument/2006/relationships/worksheet" Target="/xl/worksheets/sheet18.xml" Id="R669bdb7b2bce447a" /><Relationship Type="http://schemas.openxmlformats.org/officeDocument/2006/relationships/worksheet" Target="/xl/worksheets/sheet19.xml" Id="R078b5e2377cb4ae7" /><Relationship Type="http://schemas.openxmlformats.org/officeDocument/2006/relationships/worksheet" Target="/xl/worksheets/sheet20.xml" Id="R60ed67a08802445e" /><Relationship Type="http://schemas.openxmlformats.org/officeDocument/2006/relationships/worksheet" Target="/xl/worksheets/sheet21.xml" Id="Rc790100a4a6742ef" /><Relationship Type="http://schemas.openxmlformats.org/officeDocument/2006/relationships/worksheet" Target="/xl/worksheets/sheet22.xml" Id="Rc9e1e0f566744acb" /><Relationship Type="http://schemas.openxmlformats.org/officeDocument/2006/relationships/worksheet" Target="/xl/worksheets/sheet23.xml" Id="R3593ccfa54f948b4" /><Relationship Type="http://schemas.openxmlformats.org/officeDocument/2006/relationships/worksheet" Target="/xl/worksheets/sheet24.xml" Id="R456f41e3e1dc404b" /><Relationship Type="http://schemas.openxmlformats.org/officeDocument/2006/relationships/worksheet" Target="/xl/worksheets/sheet25.xml" Id="R3892af7459574eab" /><Relationship Type="http://schemas.openxmlformats.org/officeDocument/2006/relationships/worksheet" Target="/xl/worksheets/sheet26.xml" Id="R6c2cae4834ce4ddd" /><Relationship Type="http://schemas.openxmlformats.org/officeDocument/2006/relationships/worksheet" Target="/xl/worksheets/sheet27.xml" Id="Rd1c4c5d476c643c5" /><Relationship Type="http://schemas.openxmlformats.org/officeDocument/2006/relationships/worksheet" Target="/xl/worksheets/sheet28.xml" Id="R99ca108680c64642" /><Relationship Type="http://schemas.openxmlformats.org/officeDocument/2006/relationships/worksheet" Target="/xl/worksheets/sheet29.xml" Id="Rd53263e0ad034b30" /><Relationship Type="http://schemas.openxmlformats.org/officeDocument/2006/relationships/worksheet" Target="/xl/worksheets/sheet30.xml" Id="Rb8f9a206e8874817" /><Relationship Type="http://schemas.openxmlformats.org/officeDocument/2006/relationships/worksheet" Target="/xl/worksheets/sheet31.xml" Id="R3c6be8330d144c5b" /><Relationship Type="http://schemas.openxmlformats.org/officeDocument/2006/relationships/worksheet" Target="/xl/worksheets/sheet32.xml" Id="R6d2471346b154271" /><Relationship Type="http://schemas.openxmlformats.org/officeDocument/2006/relationships/worksheet" Target="/xl/worksheets/sheet33.xml" Id="R6c69bb9dc72e455b" /><Relationship Type="http://schemas.openxmlformats.org/officeDocument/2006/relationships/worksheet" Target="/xl/worksheets/sheet34.xml" Id="R3d04f042552c40f6" /><Relationship Type="http://schemas.openxmlformats.org/officeDocument/2006/relationships/worksheet" Target="/xl/worksheets/sheet35.xml" Id="R42737af2bd344aae" /><Relationship Type="http://schemas.openxmlformats.org/officeDocument/2006/relationships/worksheet" Target="/xl/worksheets/sheet36.xml" Id="Rd859c9a3cdd34a14" /><Relationship Type="http://schemas.openxmlformats.org/officeDocument/2006/relationships/worksheet" Target="/xl/worksheets/sheet37.xml" Id="Rffba00b941b94ab3" /><Relationship Type="http://schemas.openxmlformats.org/officeDocument/2006/relationships/worksheet" Target="/xl/worksheets/sheet38.xml" Id="R2fc3689c006a45af" /><Relationship Type="http://schemas.openxmlformats.org/officeDocument/2006/relationships/worksheet" Target="/xl/worksheets/sheet39.xml" Id="R35c12d71a8f14a3b" /><Relationship Type="http://schemas.openxmlformats.org/officeDocument/2006/relationships/worksheet" Target="/xl/worksheets/sheet40.xml" Id="R0b7fc6af25cf4490" /><Relationship Type="http://schemas.openxmlformats.org/officeDocument/2006/relationships/worksheet" Target="/xl/worksheets/sheet41.xml" Id="R631db3fb26fd4089" /><Relationship Type="http://schemas.openxmlformats.org/officeDocument/2006/relationships/worksheet" Target="/xl/worksheets/sheet42.xml" Id="R18a33b107a914b2b" /><Relationship Type="http://schemas.openxmlformats.org/officeDocument/2006/relationships/worksheet" Target="/xl/worksheets/sheet43.xml" Id="Ree3d9a02093b4779" /><Relationship Type="http://schemas.openxmlformats.org/officeDocument/2006/relationships/worksheet" Target="/xl/worksheets/sheet44.xml" Id="R9f34c70fbbc34d97" /><Relationship Type="http://schemas.openxmlformats.org/officeDocument/2006/relationships/worksheet" Target="/xl/worksheets/sheet45.xml" Id="R03474ce6c6e14793" /><Relationship Type="http://schemas.openxmlformats.org/officeDocument/2006/relationships/worksheet" Target="/xl/worksheets/sheet46.xml" Id="R3c4644a0bb5d4a03" /><Relationship Type="http://schemas.openxmlformats.org/officeDocument/2006/relationships/worksheet" Target="/xl/worksheets/sheet47.xml" Id="R14cd402d85f44a83" /><Relationship Type="http://schemas.openxmlformats.org/officeDocument/2006/relationships/worksheet" Target="/xl/worksheets/sheet48.xml" Id="R1f5d3c93d3d642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3" hidden="0" customWidth="1"/>
    <x:col min="3" max="3" width="83" hidden="0" customWidth="1"/>
    <x:col min="4" max="4" width="18" hidden="0" customWidth="1"/>
    <x:col min="6" max="6" width="32" hidden="0" customWidth="1"/>
    <x:col min="7" max="7" width="16" hidden="0" customWidth="1"/>
    <x:col min="8" max="8" width="16" hidden="0" customWidth="1"/>
    <x:col min="1" max="1" width="3" hidden="0" customWidth="1"/>
  </x:cols>
  <x:sheetData>
    <x:row r="2">
      <x:c r="B2" s="12" t="str">
        <x:v>RAS-1 | Quarter-source entry and coupled-ancestry safety case</x:v>
      </x:c>
      <x:c r="C2" s="13"/>
      <x:c r="D2" s="13"/>
      <x:c r="E2" s="13"/>
      <x:c r="F2" s="13"/>
      <x:c r="G2" s="13"/>
      <x:c r="H2" s="13"/>
    </x:row>
    <x:row r="3">
      <x:c r="B3" s="2" t="str">
        <x:v>A complete planning architecture for AM-05 and AM-06. Every physical and downstream authority remains open or blocked.</x:v>
      </x:c>
      <x:c r="C3" s="13"/>
      <x:c r="D3" s="13"/>
      <x:c r="E3" s="13"/>
      <x:c r="F3" s="13"/>
      <x:c r="G3" s="13"/>
      <x:c r="H3" s="13"/>
    </x:row>
    <x:row r="4">
      <x:c r="B4" s="13"/>
      <x:c r="C4" s="13"/>
      <x:c r="D4" s="13"/>
      <x:c r="E4" s="13"/>
      <x:c r="F4" s="13"/>
      <x:c r="G4" s="13"/>
      <x:c r="H4" s="13"/>
    </x:row>
    <x:row r="5">
      <x:c r="B5" s="13"/>
      <x:c r="C5" s="13"/>
      <x:c r="D5" s="13"/>
      <x:c r="E5" s="13"/>
      <x:c r="F5" s="13"/>
      <x:c r="G5" s="13"/>
      <x:c r="H5" s="13"/>
    </x:row>
    <x:row r="6" ht="24" customHeight="1">
      <x:c r="B6" s="6" t="str">
        <x:v>Campaign scale</x:v>
      </x:c>
      <x:c r="C6" s="6" t="str">
        <x:v>Value</x:v>
      </x:c>
      <x:c r="D6" s="6" t="str">
        <x:v>Unit</x:v>
      </x:c>
      <x:c r="E6" s="13"/>
      <x:c r="F6" s="6" t="str">
        <x:v>Authority state</x:v>
      </x:c>
      <x:c r="G6" s="6" t="str">
        <x:v>Count</x:v>
      </x:c>
      <x:c r="H6" s="6" t="str">
        <x:v>State</x:v>
      </x:c>
    </x:row>
    <x:row r="7">
      <x:c r="B7" s="13" t="str">
        <x:v>Base credits</x:v>
      </x:c>
      <x:c r="C7" s="13" t="n">
        <x:v>144</x:v>
      </x:c>
      <x:c r="D7" s="13" t="str">
        <x:v>credits</x:v>
      </x:c>
      <x:c r="E7" s="13"/>
      <x:c r="F7" s="13" t="str">
        <x:v>Planning audits</x:v>
      </x:c>
      <x:c r="G7" s="13" t="n">
        <x:v>21</x:v>
      </x:c>
      <x:c r="H7" s="13" t="str">
        <x:v>PASS</x:v>
      </x:c>
    </x:row>
    <x:row r="8">
      <x:c r="B8" s="13" t="str">
        <x:v>Reserve tokens</x:v>
      </x:c>
      <x:c r="C8" s="13" t="n">
        <x:v>29</x:v>
      </x:c>
      <x:c r="D8" s="13" t="str">
        <x:v>tokens</x:v>
      </x:c>
      <x:c r="E8" s="13"/>
      <x:c r="F8" s="13" t="str">
        <x:v>Physical trial results</x:v>
      </x:c>
      <x:c r="G8" s="13" t="n">
        <x:v>144</x:v>
      </x:c>
      <x:c r="H8" s="13" t="str">
        <x:v>OPEN</x:v>
      </x:c>
    </x:row>
    <x:row r="9">
      <x:c r="B9" s="13" t="str">
        <x:v>Source envelope</x:v>
      </x:c>
      <x:c r="C9" s="13" t="n">
        <x:v>55.2</x:v>
      </x:c>
      <x:c r="D9" s="13" t="str">
        <x:v>t</x:v>
      </x:c>
      <x:c r="E9" s="13"/>
      <x:c r="F9" s="13" t="str">
        <x:v>Method qualifications</x:v>
      </x:c>
      <x:c r="G9" s="13" t="n">
        <x:v>2</x:v>
      </x:c>
      <x:c r="H9" s="13" t="str">
        <x:v>OPEN</x:v>
      </x:c>
    </x:row>
    <x:row r="10">
      <x:c r="B10" s="13" t="str">
        <x:v>Water envelope</x:v>
      </x:c>
      <x:c r="C10" s="13" t="n">
        <x:v>1392</x:v>
      </x:c>
      <x:c r="D10" s="13" t="str">
        <x:v>m3</x:v>
      </x:c>
      <x:c r="E10" s="13"/>
      <x:c r="F10" s="13" t="str">
        <x:v>Outside-site replays</x:v>
      </x:c>
      <x:c r="G10" s="13" t="n">
        <x:v>24</x:v>
      </x:c>
      <x:c r="H10" s="13" t="str">
        <x:v>OPEN</x:v>
      </x:c>
    </x:row>
    <x:row r="11">
      <x:c r="B11" s="13" t="str">
        <x:v>Rig-day envelope</x:v>
      </x:c>
      <x:c r="C11" s="13" t="n">
        <x:v>771</x:v>
      </x:c>
      <x:c r="D11" s="13" t="str">
        <x:v>rig-days</x:v>
      </x:c>
      <x:c r="E11" s="13"/>
      <x:c r="F11" s="13" t="str">
        <x:v>Downstream releases</x:v>
      </x:c>
      <x:c r="G11" s="13" t="n">
        <x:v>8</x:v>
      </x:c>
      <x:c r="H11" s="13" t="str">
        <x:v>BLOCKED</x:v>
      </x:c>
    </x:row>
    <x:row r="12">
      <x:c r="B12" s="13" t="str">
        <x:v>Workforce</x:v>
      </x:c>
      <x:c r="C12" s="13" t="n">
        <x:v>512</x:v>
      </x:c>
      <x:c r="D12" s="13" t="str">
        <x:v>positions</x:v>
      </x:c>
      <x:c r="E12" s="13"/>
      <x:c r="F12" s="13"/>
      <x:c r="G12" s="13"/>
      <x:c r="H12" s="13"/>
    </x:row>
    <x:row r="13">
      <x:c r="B13" s="13" t="str">
        <x:v>Gross capital</x:v>
      </x:c>
      <x:c r="C13" s="13" t="n">
        <x:v>620</x:v>
      </x:c>
      <x:c r="D13" s="13" t="str">
        <x:v>USD M</x:v>
      </x:c>
      <x:c r="E13" s="13"/>
      <x:c r="F13" s="13"/>
      <x:c r="G13" s="13"/>
      <x:c r="H13" s="13"/>
    </x:row>
    <x:row r="14">
      <x:c r="B14" s="13" t="str">
        <x:v>Net capital</x:v>
      </x:c>
      <x:c r="C14" s="13" t="n">
        <x:v>60</x:v>
      </x:c>
      <x:c r="D14" s="13" t="str">
        <x:v>USD M</x:v>
      </x:c>
      <x:c r="E14" s="13"/>
      <x:c r="F14" s="13"/>
      <x:c r="G14" s="13"/>
      <x:c r="H14" s="13"/>
    </x:row>
    <x:row r="15">
      <x:c r="B15" s="13" t="str">
        <x:v>Gross annual support</x:v>
      </x:c>
      <x:c r="C15" s="13" t="n">
        <x:v>235</x:v>
      </x:c>
      <x:c r="D15" s="13" t="str">
        <x:v>USD M/year</x:v>
      </x:c>
      <x:c r="E15" s="13"/>
      <x:c r="F15" s="13"/>
      <x:c r="G15" s="13"/>
      <x:c r="H15" s="13"/>
    </x:row>
    <x:row r="16">
      <x:c r="B16" s="13" t="str">
        <x:v>Net annual support</x:v>
      </x:c>
      <x:c r="C16" s="13" t="n">
        <x:v>28</x:v>
      </x:c>
      <x:c r="D16" s="13" t="str">
        <x:v>USD M/year</x:v>
      </x:c>
      <x:c r="E16" s="13"/>
      <x:c r="F16" s="13"/>
      <x:c r="G16" s="13"/>
      <x:c r="H16" s="13"/>
    </x:row>
    <x:row r="17">
      <x:c r="B17" s="13"/>
      <x:c r="C17" s="13"/>
      <x:c r="D17" s="13"/>
      <x:c r="E17" s="13"/>
      <x:c r="F17" s="13"/>
      <x:c r="G17" s="13"/>
      <x:c r="H17" s="13"/>
    </x:row>
    <x:row r="18">
      <x:c r="B18" s="13"/>
      <x:c r="C18" s="13"/>
      <x:c r="D18" s="13"/>
      <x:c r="E18" s="13"/>
      <x:c r="F18" s="13"/>
      <x:c r="G18" s="13"/>
      <x:c r="H18" s="13"/>
    </x:row>
    <x:row r="19" ht="24" customHeight="1">
      <x:c r="B19" s="6" t="str">
        <x:v>First-principles finding</x:v>
      </x:c>
      <x:c r="C19" s="6" t="str">
        <x:v>Implication</x:v>
      </x:c>
      <x:c r="D19" s="13"/>
      <x:c r="E19" s="13"/>
      <x:c r="F19" s="13"/>
      <x:c r="G19" s="13"/>
      <x:c r="H19" s="13"/>
    </x:row>
    <x:row r="20" ht="54" customHeight="1">
      <x:c r="B20" s="14" t="str">
        <x:v>Quarter inventory is not quarter consequence.</x:v>
      </x:c>
      <x:c r="C20" s="14" t="str">
        <x:v>A 500 kg source may occupy the 25 m2 casualty area and retain the 58.5585 MW peak screen; reduced mass shortens duration first.</x:v>
      </x:c>
      <x:c r="D20" s="13"/>
      <x:c r="E20" s="13"/>
      <x:c r="F20" s="13"/>
      <x:c r="G20" s="13"/>
      <x:c r="H20" s="13"/>
    </x:row>
    <x:row r="21" ht="54" customHeight="1">
      <x:c r="B21" s="14" t="str">
        <x:v>Water is a second intervention inventory.</x:v>
      </x:c>
      <x:c r="C21" s="14" t="str">
        <x:v>AM-06 cannot pass unless source and water each close by origin, destination, uncertainty, sample and environmental route.</x:v>
      </x:c>
      <x:c r="D21" s="13"/>
      <x:c r="E21" s="13"/>
      <x:c r="F21" s="13"/>
      <x:c r="G21" s="13"/>
      <x:c r="H21" s="13"/>
    </x:row>
    <x:row r="22" ht="54" customHeight="1">
      <x:c r="B22" s="14" t="str">
        <x:v>A command is not a safe state.</x:v>
      </x:c>
      <x:c r="C22" s="14" t="str">
        <x:v>Twelve final elements each require primary, diverse, and manual or passive realization with direct state indication.</x:v>
      </x:c>
      <x:c r="D22" s="13"/>
      <x:c r="E22" s="13"/>
      <x:c r="F22" s="13"/>
      <x:c r="G22" s="13"/>
      <x:c r="H22" s="13"/>
    </x:row>
    <x:row r="23" ht="54" customHeight="1">
      <x:c r="B23" s="14" t="str">
        <x:v>Evidence cannot create authority by itself.</x:v>
      </x:c>
      <x:c r="C23" s="14" t="str">
        <x:v>Validity, credit, unlike-root agreement, remote replay and separated boards create only the narrow authority they name.</x:v>
      </x:c>
      <x:c r="D23" s="13"/>
      <x:c r="E23" s="13"/>
      <x:c r="F23" s="13"/>
      <x:c r="G23" s="13"/>
      <x:c r="H23" s="13"/>
    </x:row>
    <x:row r="24" ht="54" customHeight="1">
      <x:c r="B24" s="14" t="str">
        <x:v>Innovation is part of qualification.</x:v>
      </x:c>
      <x:c r="C24" s="14" t="str">
        <x:v>Fourteen technology campaigns are tied to evidence failures that current components cannot close.</x:v>
      </x:c>
      <x:c r="D24" s="13"/>
      <x:c r="E24" s="13"/>
      <x:c r="F24" s="13"/>
      <x:c r="G24" s="13"/>
      <x:c r="H24" s="13"/>
    </x:row>
  </x:sheetData>
  <x:conditionalFormatting sqref="H7:H11">
    <x:cfRule type="containsText" dxfId="256" priority="1" operator="containsText" text="FAIL"/>
    <x:cfRule type="containsText" dxfId="257" priority="2" operator="containsText" text="INVALID"/>
    <x:cfRule type="containsText" dxfId="258" priority="3" operator="containsText" text="BLOCKED"/>
    <x:cfRule type="containsText" dxfId="259" priority="4" operator="containsText" text="OPEN"/>
    <x:cfRule type="containsText" dxfId="260" priority="5" operator="containsText" text="GAP"/>
    <x:cfRule type="containsText" dxfId="261" priority="6" operator="containsText" text="DORMANT"/>
    <x:cfRule type="containsText" dxfId="262" priority="7" operator="containsText" text="PASS"/>
    <x:cfRule type="containsText" dxfId="263" priority="8" operator="containsText" text="VALI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50" hidden="0" customWidth="1"/>
    <x:col min="4" max="4" width="18" hidden="0" customWidth="1"/>
    <x:col min="5" max="5" width="23" hidden="0" customWidth="1"/>
    <x:col min="6" max="6" width="17" hidden="0" customWidth="1"/>
    <x:col min="7" max="7" width="20" hidden="0" customWidth="1"/>
    <x:col min="1" max="1" width="3" hidden="0" customWidth="1"/>
  </x:cols>
  <x:sheetData>
    <x:row r="2">
      <x:c r="B2" s="12" t="str">
        <x:v>RAS-1 controls</x:v>
      </x:c>
      <x:c r="C2" s="13"/>
      <x:c r="D2" s="13"/>
      <x:c r="E2" s="13"/>
      <x:c r="F2" s="13"/>
      <x:c r="G2" s="13"/>
    </x:row>
    <x:row r="3">
      <x:c r="B3" s="2" t="str">
        <x:v>Blue values are planning hypotheses. Physical acceptance and downstream authority begin at zero.</x:v>
      </x:c>
      <x:c r="C3" s="13"/>
      <x:c r="D3" s="13"/>
      <x:c r="E3" s="13"/>
      <x:c r="F3" s="13"/>
      <x:c r="G3" s="13"/>
    </x:row>
    <x:row r="4">
      <x:c r="B4" s="13"/>
      <x:c r="C4" s="13"/>
      <x:c r="D4" s="13"/>
      <x:c r="E4" s="13"/>
      <x:c r="F4" s="13"/>
      <x:c r="G4" s="13"/>
    </x:row>
    <x:row r="5">
      <x:c r="B5" s="13"/>
      <x:c r="C5" s="13"/>
      <x:c r="D5" s="13"/>
      <x:c r="E5" s="13"/>
      <x:c r="F5" s="13"/>
      <x:c r="G5" s="13"/>
    </x:row>
    <x:row r="6" ht="24" customHeight="1">
      <x:c r="B6" s="6" t="str">
        <x:v>ID</x:v>
      </x:c>
      <x:c r="C6" s="6" t="str">
        <x:v>Control</x:v>
      </x:c>
      <x:c r="D6" s="6" t="str">
        <x:v>Value</x:v>
      </x:c>
      <x:c r="E6" s="6" t="str">
        <x:v>Unit</x:v>
      </x:c>
      <x:c r="F6" s="6" t="str">
        <x:v>Class</x:v>
      </x:c>
      <x:c r="G6" s="6" t="str">
        <x:v>Internal authority</x:v>
      </x:c>
    </x:row>
    <x:row r="7">
      <x:c r="B7" s="13" t="str">
        <x:v>C01</x:v>
      </x:c>
      <x:c r="C7" s="13" t="str">
        <x:v>source-bearing methods</x:v>
      </x:c>
      <x:c r="D7" s="8" t="n">
        <x:v>2</x:v>
      </x:c>
      <x:c r="E7" s="13" t="str">
        <x:v>count</x:v>
      </x:c>
      <x:c r="F7" s="13" t="str">
        <x:v>design</x:v>
      </x:c>
      <x:c r="G7" s="13" t="str">
        <x:v>RAS-1</x:v>
      </x:c>
    </x:row>
    <x:row r="8">
      <x:c r="B8" s="13" t="str">
        <x:v>C02</x:v>
      </x:c>
      <x:c r="C8" s="13" t="str">
        <x:v>truth roots per method</x:v>
      </x:c>
      <x:c r="D8" s="8" t="n">
        <x:v>2</x:v>
      </x:c>
      <x:c r="E8" s="13" t="str">
        <x:v>roots</x:v>
      </x:c>
      <x:c r="F8" s="13" t="str">
        <x:v>design</x:v>
      </x:c>
      <x:c r="G8" s="13" t="str">
        <x:v>RAS-1</x:v>
      </x:c>
    </x:row>
    <x:row r="9">
      <x:c r="B9" s="13" t="str">
        <x:v>C03</x:v>
      </x:c>
      <x:c r="C9" s="13" t="str">
        <x:v>public rigs</x:v>
      </x:c>
      <x:c r="D9" s="8" t="n">
        <x:v>6</x:v>
      </x:c>
      <x:c r="E9" s="13" t="str">
        <x:v>rigs</x:v>
      </x:c>
      <x:c r="F9" s="13" t="str">
        <x:v>inherited</x:v>
      </x:c>
      <x:c r="G9" s="13" t="str">
        <x:v>RFP-1</x:v>
      </x:c>
    </x:row>
    <x:row r="10">
      <x:c r="B10" s="13" t="str">
        <x:v>C04</x:v>
      </x:c>
      <x:c r="C10" s="13" t="str">
        <x:v>source-entry classes</x:v>
      </x:c>
      <x:c r="D10" s="8" t="n">
        <x:v>6</x:v>
      </x:c>
      <x:c r="E10" s="13" t="str">
        <x:v>classes</x:v>
      </x:c>
      <x:c r="F10" s="13" t="str">
        <x:v>design</x:v>
      </x:c>
      <x:c r="G10" s="13" t="str">
        <x:v>RAS-1</x:v>
      </x:c>
    </x:row>
    <x:row r="11">
      <x:c r="B11" s="13" t="str">
        <x:v>C05</x:v>
      </x:c>
      <x:c r="C11" s="13" t="str">
        <x:v>required valid credits</x:v>
      </x:c>
      <x:c r="D11" s="8" t="n">
        <x:v>144</x:v>
      </x:c>
      <x:c r="E11" s="13" t="str">
        <x:v>credits</x:v>
      </x:c>
      <x:c r="F11" s="13" t="str">
        <x:v>derived</x:v>
      </x:c>
      <x:c r="G11" s="13" t="str">
        <x:v>RAS-1</x:v>
      </x:c>
    </x:row>
    <x:row r="12">
      <x:c r="B12" s="13" t="str">
        <x:v>C06</x:v>
      </x:c>
      <x:c r="C12" s="13" t="str">
        <x:v>invalid-attempt reserve</x:v>
      </x:c>
      <x:c r="D12" s="8" t="n">
        <x:v>29</x:v>
      </x:c>
      <x:c r="E12" s="13" t="str">
        <x:v>tokens</x:v>
      </x:c>
      <x:c r="F12" s="13" t="str">
        <x:v>derived</x:v>
      </x:c>
      <x:c r="G12" s="13" t="str">
        <x:v>RAS-1</x:v>
      </x:c>
    </x:row>
    <x:row r="13">
      <x:c r="B13" s="13" t="str">
        <x:v>C07</x:v>
      </x:c>
      <x:c r="C13" s="13" t="str">
        <x:v>source density</x:v>
      </x:c>
      <x:c r="D13" s="8" t="n">
        <x:v>800</x:v>
      </x:c>
      <x:c r="E13" s="13" t="str">
        <x:v>kg/m3</x:v>
      </x:c>
      <x:c r="F13" s="13" t="str">
        <x:v>inherited</x:v>
      </x:c>
      <x:c r="G13" s="13" t="str">
        <x:v>MCR-1</x:v>
      </x:c>
    </x:row>
    <x:row r="14">
      <x:c r="B14" s="13" t="str">
        <x:v>C08</x:v>
      </x:c>
      <x:c r="C14" s="13" t="str">
        <x:v>lower heating value</x:v>
      </x:c>
      <x:c r="D14" s="8" t="n">
        <x:v>42.588</x:v>
      </x:c>
      <x:c r="E14" s="13" t="str">
        <x:v>MJ/kg</x:v>
      </x:c>
      <x:c r="F14" s="13" t="str">
        <x:v>inherited</x:v>
      </x:c>
      <x:c r="G14" s="13" t="str">
        <x:v>RFA-1</x:v>
      </x:c>
    </x:row>
    <x:row r="15">
      <x:c r="B15" s="13" t="str">
        <x:v>C09</x:v>
      </x:c>
      <x:c r="C15" s="13" t="str">
        <x:v>dynamic viscosity</x:v>
      </x:c>
      <x:c r="D15" s="8" t="n">
        <x:v>0.004</x:v>
      </x:c>
      <x:c r="E15" s="13" t="str">
        <x:v>Pa s</x:v>
      </x:c>
      <x:c r="F15" s="13" t="str">
        <x:v>hypothesis</x:v>
      </x:c>
      <x:c r="G15" s="13" t="str">
        <x:v>RAS-1</x:v>
      </x:c>
    </x:row>
    <x:row r="16">
      <x:c r="B16" s="13" t="str">
        <x:v>C10</x:v>
      </x:c>
      <x:c r="C16" s="13" t="str">
        <x:v>surface tension</x:v>
      </x:c>
      <x:c r="D16" s="8" t="n">
        <x:v>0.025</x:v>
      </x:c>
      <x:c r="E16" s="13" t="str">
        <x:v>N/m</x:v>
      </x:c>
      <x:c r="F16" s="13" t="str">
        <x:v>hypothesis</x:v>
      </x:c>
      <x:c r="G16" s="13" t="str">
        <x:v>RAS-1</x:v>
      </x:c>
    </x:row>
    <x:row r="17">
      <x:c r="B17" s="13" t="str">
        <x:v>C11</x:v>
      </x:c>
      <x:c r="C17" s="13" t="str">
        <x:v>reference route diameter</x:v>
      </x:c>
      <x:c r="D17" s="8" t="n">
        <x:v>0.15</x:v>
      </x:c>
      <x:c r="E17" s="13" t="str">
        <x:v>m</x:v>
      </x:c>
      <x:c r="F17" s="13" t="str">
        <x:v>inherited</x:v>
      </x:c>
      <x:c r="G17" s="13" t="str">
        <x:v>SBD-1</x:v>
      </x:c>
    </x:row>
    <x:row r="18">
      <x:c r="B18" s="13" t="str">
        <x:v>C12</x:v>
      </x:c>
      <x:c r="C18" s="13" t="str">
        <x:v>registered source interval</x:v>
      </x:c>
      <x:c r="D18" s="8" t="n">
        <x:v>120</x:v>
      </x:c>
      <x:c r="E18" s="13" t="str">
        <x:v>s</x:v>
      </x:c>
      <x:c r="F18" s="13" t="str">
        <x:v>inherited</x:v>
      </x:c>
      <x:c r="G18" s="13" t="str">
        <x:v>RFE-1</x:v>
      </x:c>
    </x:row>
    <x:row r="19">
      <x:c r="B19" s="13" t="str">
        <x:v>C13</x:v>
      </x:c>
      <x:c r="C19" s="13" t="str">
        <x:v>quarter-source mass</x:v>
      </x:c>
      <x:c r="D19" s="8" t="n">
        <x:v>500</x:v>
      </x:c>
      <x:c r="E19" s="13" t="str">
        <x:v>kg</x:v>
      </x:c>
      <x:c r="F19" s="13" t="str">
        <x:v>inherited</x:v>
      </x:c>
      <x:c r="G19" s="13" t="str">
        <x:v>RAM-1</x:v>
      </x:c>
    </x:row>
    <x:row r="20">
      <x:c r="B20" s="13" t="str">
        <x:v>C14</x:v>
      </x:c>
      <x:c r="C20" s="13" t="str">
        <x:v>nominal quarter pool area</x:v>
      </x:c>
      <x:c r="D20" s="8" t="n">
        <x:v>6.25</x:v>
      </x:c>
      <x:c r="E20" s="13" t="str">
        <x:v>m2</x:v>
      </x:c>
      <x:c r="F20" s="13" t="str">
        <x:v>design</x:v>
      </x:c>
      <x:c r="G20" s="13" t="str">
        <x:v>RAS-1</x:v>
      </x:c>
    </x:row>
    <x:row r="21">
      <x:c r="B21" s="13" t="str">
        <x:v>C15</x:v>
      </x:c>
      <x:c r="C21" s="13" t="str">
        <x:v>casualty pool-area bound</x:v>
      </x:c>
      <x:c r="D21" s="8" t="n">
        <x:v>25</x:v>
      </x:c>
      <x:c r="E21" s="13" t="str">
        <x:v>m2</x:v>
      </x:c>
      <x:c r="F21" s="13" t="str">
        <x:v>inherited</x:v>
      </x:c>
      <x:c r="G21" s="13" t="str">
        <x:v>RFA-1</x:v>
      </x:c>
    </x:row>
    <x:row r="22">
      <x:c r="B22" s="13" t="str">
        <x:v>C16</x:v>
      </x:c>
      <x:c r="C22" s="13" t="str">
        <x:v>burning-flux screen</x:v>
      </x:c>
      <x:c r="D22" s="8" t="n">
        <x:v>0.055</x:v>
      </x:c>
      <x:c r="E22" s="13" t="str">
        <x:v>kg/m2/s</x:v>
      </x:c>
      <x:c r="F22" s="13" t="str">
        <x:v>inherited</x:v>
      </x:c>
      <x:c r="G22" s="13" t="str">
        <x:v>RFA-1</x:v>
      </x:c>
    </x:row>
    <x:row r="23">
      <x:c r="B23" s="13" t="str">
        <x:v>C17</x:v>
      </x:c>
      <x:c r="C23" s="13" t="str">
        <x:v>radiative fraction</x:v>
      </x:c>
      <x:c r="D23" s="8" t="n">
        <x:v>0.35</x:v>
      </x:c>
      <x:c r="E23" s="13" t="str">
        <x:v>ratio</x:v>
      </x:c>
      <x:c r="F23" s="13" t="str">
        <x:v>inherited</x:v>
      </x:c>
      <x:c r="G23" s="13" t="str">
        <x:v>RFA-1</x:v>
      </x:c>
    </x:row>
    <x:row r="24">
      <x:c r="B24" s="13" t="str">
        <x:v>C18</x:v>
      </x:c>
      <x:c r="C24" s="13" t="str">
        <x:v>water density</x:v>
      </x:c>
      <x:c r="D24" s="8" t="n">
        <x:v>1000</x:v>
      </x:c>
      <x:c r="E24" s="13" t="str">
        <x:v>kg/m3</x:v>
      </x:c>
      <x:c r="F24" s="13" t="str">
        <x:v>design</x:v>
      </x:c>
      <x:c r="G24" s="13" t="str">
        <x:v>RAS-1</x:v>
      </x:c>
    </x:row>
    <x:row r="25">
      <x:c r="B25" s="13" t="str">
        <x:v>C19</x:v>
      </x:c>
      <x:c r="C25" s="13" t="str">
        <x:v>nominal coupled-water rate</x:v>
      </x:c>
      <x:c r="D25" s="8" t="n">
        <x:v>1.2</x:v>
      </x:c>
      <x:c r="E25" s="13" t="str">
        <x:v>m3/min</x:v>
      </x:c>
      <x:c r="F25" s="13" t="str">
        <x:v>inherited</x:v>
      </x:c>
      <x:c r="G25" s="13" t="str">
        <x:v>RFA-1</x:v>
      </x:c>
    </x:row>
    <x:row r="26">
      <x:c r="B26" s="13" t="str">
        <x:v>C20</x:v>
      </x:c>
      <x:c r="C26" s="13" t="str">
        <x:v>bounding coupled-water rate</x:v>
      </x:c>
      <x:c r="D26" s="8" t="n">
        <x:v>2.4</x:v>
      </x:c>
      <x:c r="E26" s="13" t="str">
        <x:v>m3/min</x:v>
      </x:c>
      <x:c r="F26" s="13" t="str">
        <x:v>inherited</x:v>
      </x:c>
      <x:c r="G26" s="13" t="str">
        <x:v>RFA-1</x:v>
      </x:c>
    </x:row>
    <x:row r="27">
      <x:c r="B27" s="13" t="str">
        <x:v>C21</x:v>
      </x:c>
      <x:c r="C27" s="13" t="str">
        <x:v>coupled-water interval</x:v>
      </x:c>
      <x:c r="D27" s="8" t="n">
        <x:v>20</x:v>
      </x:c>
      <x:c r="E27" s="13" t="str">
        <x:v>min</x:v>
      </x:c>
      <x:c r="F27" s="13" t="str">
        <x:v>inherited</x:v>
      </x:c>
      <x:c r="G27" s="13" t="str">
        <x:v>RFA-1</x:v>
      </x:c>
    </x:row>
    <x:row r="28">
      <x:c r="B28" s="13" t="str">
        <x:v>C22</x:v>
      </x:c>
      <x:c r="C28" s="13" t="str">
        <x:v>native data rate</x:v>
      </x:c>
      <x:c r="D28" s="8" t="n">
        <x:v>53.40384</x:v>
      </x:c>
      <x:c r="E28" s="13" t="str">
        <x:v>MB/s</x:v>
      </x:c>
      <x:c r="F28" s="13" t="str">
        <x:v>inherited</x:v>
      </x:c>
      <x:c r="G28" s="13" t="str">
        <x:v>RFP-1</x:v>
      </x:c>
    </x:row>
    <x:row r="29">
      <x:c r="B29" s="13" t="str">
        <x:v>C23</x:v>
      </x:c>
      <x:c r="C29" s="13" t="str">
        <x:v>full-rate interval</x:v>
      </x:c>
      <x:c r="D29" s="8" t="n">
        <x:v>600</x:v>
      </x:c>
      <x:c r="E29" s="13" t="str">
        <x:v>s</x:v>
      </x:c>
      <x:c r="F29" s="13" t="str">
        <x:v>inherited</x:v>
      </x:c>
      <x:c r="G29" s="13" t="str">
        <x:v>RFP-1</x:v>
      </x:c>
    </x:row>
    <x:row r="30">
      <x:c r="B30" s="13" t="str">
        <x:v>C24</x:v>
      </x:c>
      <x:c r="C30" s="13" t="str">
        <x:v>tail interval</x:v>
      </x:c>
      <x:c r="D30" s="8" t="n">
        <x:v>21600</x:v>
      </x:c>
      <x:c r="E30" s="13" t="str">
        <x:v>s</x:v>
      </x:c>
      <x:c r="F30" s="13" t="str">
        <x:v>inherited</x:v>
      </x:c>
      <x:c r="G30" s="13" t="str">
        <x:v>RFP-1</x:v>
      </x:c>
    </x:row>
    <x:row r="31">
      <x:c r="B31" s="13" t="str">
        <x:v>C25</x:v>
      </x:c>
      <x:c r="C31" s="13" t="str">
        <x:v>tail fraction</x:v>
      </x:c>
      <x:c r="D31" s="8" t="n">
        <x:v>0.01</x:v>
      </x:c>
      <x:c r="E31" s="13" t="str">
        <x:v>ratio</x:v>
      </x:c>
      <x:c r="F31" s="13" t="str">
        <x:v>inherited</x:v>
      </x:c>
      <x:c r="G31" s="13" t="str">
        <x:v>RFP-1</x:v>
      </x:c>
    </x:row>
    <x:row r="32">
      <x:c r="B32" s="13" t="str">
        <x:v>C26</x:v>
      </x:c>
      <x:c r="C32" s="13" t="str">
        <x:v>native originals</x:v>
      </x:c>
      <x:c r="D32" s="8" t="n">
        <x:v>2</x:v>
      </x:c>
      <x:c r="E32" s="13" t="str">
        <x:v>count</x:v>
      </x:c>
      <x:c r="F32" s="13" t="str">
        <x:v>inherited</x:v>
      </x:c>
      <x:c r="G32" s="13" t="str">
        <x:v>RFP-1</x:v>
      </x:c>
    </x:row>
    <x:row r="33">
      <x:c r="B33" s="13" t="str">
        <x:v>C27</x:v>
      </x:c>
      <x:c r="C33" s="13" t="str">
        <x:v>custody factor</x:v>
      </x:c>
      <x:c r="D33" s="8" t="n">
        <x:v>1.35</x:v>
      </x:c>
      <x:c r="E33" s="13" t="str">
        <x:v>ratio</x:v>
      </x:c>
      <x:c r="F33" s="13" t="str">
        <x:v>inherited</x:v>
      </x:c>
      <x:c r="G33" s="13" t="str">
        <x:v>RFP-1</x:v>
      </x:c>
    </x:row>
    <x:row r="34">
      <x:c r="B34" s="13" t="str">
        <x:v>C28</x:v>
      </x:c>
      <x:c r="C34" s="13" t="str">
        <x:v>forensic overhead</x:v>
      </x:c>
      <x:c r="D34" s="8" t="n">
        <x:v>0.3</x:v>
      </x:c>
      <x:c r="E34" s="13" t="str">
        <x:v>ratio</x:v>
      </x:c>
      <x:c r="F34" s="13" t="str">
        <x:v>design</x:v>
      </x:c>
      <x:c r="G34" s="13" t="str">
        <x:v>RAS-1</x:v>
      </x:c>
    </x:row>
    <x:row r="35">
      <x:c r="B35" s="13" t="str">
        <x:v>C29</x:v>
      </x:c>
      <x:c r="C35" s="13" t="str">
        <x:v>qualification duration</x:v>
      </x:c>
      <x:c r="D35" s="8" t="n">
        <x:v>30</x:v>
      </x:c>
      <x:c r="E35" s="13" t="str">
        <x:v>months</x:v>
      </x:c>
      <x:c r="F35" s="13" t="str">
        <x:v>design</x:v>
      </x:c>
      <x:c r="G35" s="13" t="str">
        <x:v>RAS-1</x:v>
      </x:c>
    </x:row>
    <x:row r="36">
      <x:c r="B36" s="13" t="str">
        <x:v>C30</x:v>
      </x:c>
      <x:c r="C36" s="13" t="str">
        <x:v>ready-rig fraction</x:v>
      </x:c>
      <x:c r="D36" s="8" t="n">
        <x:v>0.6</x:v>
      </x:c>
      <x:c r="E36" s="13" t="str">
        <x:v>ratio</x:v>
      </x:c>
      <x:c r="F36" s="13" t="str">
        <x:v>design</x:v>
      </x:c>
      <x:c r="G36" s="13" t="str">
        <x:v>RAS-1</x:v>
      </x:c>
    </x:row>
    <x:row r="37">
      <x:c r="B37" s="13" t="str">
        <x:v>C31</x:v>
      </x:c>
      <x:c r="C37" s="13" t="str">
        <x:v>mission workforce</x:v>
      </x:c>
      <x:c r="D37" s="8" t="n">
        <x:v>512</x:v>
      </x:c>
      <x:c r="E37" s="13" t="str">
        <x:v>positions</x:v>
      </x:c>
      <x:c r="F37" s="13" t="str">
        <x:v>design</x:v>
      </x:c>
      <x:c r="G37" s="13" t="str">
        <x:v>RAS-1</x:v>
      </x:c>
    </x:row>
    <x:row r="38">
      <x:c r="B38" s="13" t="str">
        <x:v>C32</x:v>
      </x:c>
      <x:c r="C38" s="13" t="str">
        <x:v>gross capital</x:v>
      </x:c>
      <x:c r="D38" s="8" t="n">
        <x:v>620</x:v>
      </x:c>
      <x:c r="E38" s="13" t="str">
        <x:v>USD M</x:v>
      </x:c>
      <x:c r="F38" s="13" t="str">
        <x:v>design</x:v>
      </x:c>
      <x:c r="G38" s="13" t="str">
        <x:v>RAS-1</x:v>
      </x:c>
    </x:row>
    <x:row r="39">
      <x:c r="B39" s="13" t="str">
        <x:v>C33</x:v>
      </x:c>
      <x:c r="C39" s="13" t="str">
        <x:v>gross annual support</x:v>
      </x:c>
      <x:c r="D39" s="8" t="n">
        <x:v>235</x:v>
      </x:c>
      <x:c r="E39" s="13" t="str">
        <x:v>USD M/year</x:v>
      </x:c>
      <x:c r="F39" s="13" t="str">
        <x:v>design</x:v>
      </x:c>
      <x:c r="G39" s="13" t="str">
        <x:v>RAS-1</x:v>
      </x:c>
    </x:row>
    <x:row r="40">
      <x:c r="B40" s="13" t="str">
        <x:v>C34</x:v>
      </x:c>
      <x:c r="C40" s="13" t="str">
        <x:v>CISA capital share</x:v>
      </x:c>
      <x:c r="D40" s="8" t="n">
        <x:v>390</x:v>
      </x:c>
      <x:c r="E40" s="13" t="str">
        <x:v>USD M</x:v>
      </x:c>
      <x:c r="F40" s="13" t="str">
        <x:v>design</x:v>
      </x:c>
      <x:c r="G40" s="13" t="str">
        <x:v>RAS-1</x:v>
      </x:c>
    </x:row>
    <x:row r="41">
      <x:c r="B41" s="13" t="str">
        <x:v>C35</x:v>
      </x:c>
      <x:c r="C41" s="13" t="str">
        <x:v>shared capital share</x:v>
      </x:c>
      <x:c r="D41" s="8" t="n">
        <x:v>230</x:v>
      </x:c>
      <x:c r="E41" s="13" t="str">
        <x:v>USD M</x:v>
      </x:c>
      <x:c r="F41" s="13" t="str">
        <x:v>design</x:v>
      </x:c>
      <x:c r="G41" s="13" t="str">
        <x:v>RAS-1</x:v>
      </x:c>
    </x:row>
    <x:row r="42">
      <x:c r="B42" s="13" t="str">
        <x:v>C36</x:v>
      </x:c>
      <x:c r="C42" s="13" t="str">
        <x:v>CISA annual share</x:v>
      </x:c>
      <x:c r="D42" s="8" t="n">
        <x:v>154</x:v>
      </x:c>
      <x:c r="E42" s="13" t="str">
        <x:v>USD M/year</x:v>
      </x:c>
      <x:c r="F42" s="13" t="str">
        <x:v>design</x:v>
      </x:c>
      <x:c r="G42" s="13" t="str">
        <x:v>RAS-1</x:v>
      </x:c>
    </x:row>
    <x:row r="43">
      <x:c r="B43" s="13" t="str">
        <x:v>C37</x:v>
      </x:c>
      <x:c r="C43" s="13" t="str">
        <x:v>shared annual share</x:v>
      </x:c>
      <x:c r="D43" s="8" t="n">
        <x:v>81</x:v>
      </x:c>
      <x:c r="E43" s="13" t="str">
        <x:v>USD M/year</x:v>
      </x:c>
      <x:c r="F43" s="13" t="str">
        <x:v>design</x:v>
      </x:c>
      <x:c r="G43" s="13" t="str">
        <x:v>RAS-1</x:v>
      </x:c>
    </x:row>
    <x:row r="44">
      <x:c r="B44" s="13" t="str">
        <x:v>C38</x:v>
      </x:c>
      <x:c r="C44" s="13" t="str">
        <x:v>registered overlap capital</x:v>
      </x:c>
      <x:c r="D44" s="8" t="n">
        <x:v>560</x:v>
      </x:c>
      <x:c r="E44" s="13" t="str">
        <x:v>USD M</x:v>
      </x:c>
      <x:c r="F44" s="13" t="str">
        <x:v>design</x:v>
      </x:c>
      <x:c r="G44" s="13" t="str">
        <x:v>RAS-1</x:v>
      </x:c>
    </x:row>
    <x:row r="45">
      <x:c r="B45" s="13" t="str">
        <x:v>C39</x:v>
      </x:c>
      <x:c r="C45" s="13" t="str">
        <x:v>registered overlap annual</x:v>
      </x:c>
      <x:c r="D45" s="8" t="n">
        <x:v>207</x:v>
      </x:c>
      <x:c r="E45" s="13" t="str">
        <x:v>USD M/year</x:v>
      </x:c>
      <x:c r="F45" s="13" t="str">
        <x:v>design</x:v>
      </x:c>
      <x:c r="G45" s="13" t="str">
        <x:v>RAS-1</x:v>
      </x:c>
    </x:row>
    <x:row r="46">
      <x:c r="B46" s="13" t="str">
        <x:v>C40</x:v>
      </x:c>
      <x:c r="C46" s="13" t="str">
        <x:v>CISA overlap capital</x:v>
      </x:c>
      <x:c r="D46" s="8" t="n">
        <x:v>350</x:v>
      </x:c>
      <x:c r="E46" s="13" t="str">
        <x:v>USD M</x:v>
      </x:c>
      <x:c r="F46" s="13" t="str">
        <x:v>design</x:v>
      </x:c>
      <x:c r="G46" s="13" t="str">
        <x:v>RAS-1</x:v>
      </x:c>
    </x:row>
    <x:row r="47">
      <x:c r="B47" s="13" t="str">
        <x:v>C41</x:v>
      </x:c>
      <x:c r="C47" s="13" t="str">
        <x:v>CISA overlap annual</x:v>
      </x:c>
      <x:c r="D47" s="8" t="n">
        <x:v>136</x:v>
      </x:c>
      <x:c r="E47" s="13" t="str">
        <x:v>USD M/year</x:v>
      </x:c>
      <x:c r="F47" s="13" t="str">
        <x:v>design</x:v>
      </x:c>
      <x:c r="G47" s="13" t="str">
        <x:v>RAS-1</x:v>
      </x:c>
    </x:row>
    <x:row r="48">
      <x:c r="B48" s="13" t="str">
        <x:v>C42</x:v>
      </x:c>
      <x:c r="C48" s="13" t="str">
        <x:v>shared overlap capital</x:v>
      </x:c>
      <x:c r="D48" s="8" t="n">
        <x:v>210</x:v>
      </x:c>
      <x:c r="E48" s="13" t="str">
        <x:v>USD M</x:v>
      </x:c>
      <x:c r="F48" s="13" t="str">
        <x:v>design</x:v>
      </x:c>
      <x:c r="G48" s="13" t="str">
        <x:v>RAS-1</x:v>
      </x:c>
    </x:row>
    <x:row r="49">
      <x:c r="B49" s="13" t="str">
        <x:v>C43</x:v>
      </x:c>
      <x:c r="C49" s="13" t="str">
        <x:v>shared overlap annual</x:v>
      </x:c>
      <x:c r="D49" s="8" t="n">
        <x:v>71</x:v>
      </x:c>
      <x:c r="E49" s="13" t="str">
        <x:v>USD M/year</x:v>
      </x:c>
      <x:c r="F49" s="13" t="str">
        <x:v>design</x:v>
      </x:c>
      <x:c r="G49" s="13" t="str">
        <x:v>RAS-1</x:v>
      </x:c>
    </x:row>
    <x:row r="50">
      <x:c r="B50" s="13" t="str">
        <x:v>C44</x:v>
      </x:c>
      <x:c r="C50" s="13" t="str">
        <x:v>BRD-13R capital</x:v>
      </x:c>
      <x:c r="D50" s="8" t="n">
        <x:v>2395</x:v>
      </x:c>
      <x:c r="E50" s="13" t="str">
        <x:v>USD M</x:v>
      </x:c>
      <x:c r="F50" s="13" t="str">
        <x:v>inherited</x:v>
      </x:c>
      <x:c r="G50" s="13" t="str">
        <x:v>RAW-1</x:v>
      </x:c>
    </x:row>
    <x:row r="51">
      <x:c r="B51" s="13" t="str">
        <x:v>C45</x:v>
      </x:c>
      <x:c r="C51" s="13" t="str">
        <x:v>BRD-13R annual</x:v>
      </x:c>
      <x:c r="D51" s="8" t="n">
        <x:v>446</x:v>
      </x:c>
      <x:c r="E51" s="13" t="str">
        <x:v>USD M/year</x:v>
      </x:c>
      <x:c r="F51" s="13" t="str">
        <x:v>inherited</x:v>
      </x:c>
      <x:c r="G51" s="13" t="str">
        <x:v>RAW-1</x:v>
      </x:c>
    </x:row>
    <x:row r="52">
      <x:c r="B52" s="13" t="str">
        <x:v>C46</x:v>
      </x:c>
      <x:c r="C52" s="13" t="str">
        <x:v>BRD-13U capital</x:v>
      </x:c>
      <x:c r="D52" s="8" t="n">
        <x:v>3035</x:v>
      </x:c>
      <x:c r="E52" s="13" t="str">
        <x:v>USD M</x:v>
      </x:c>
      <x:c r="F52" s="13" t="str">
        <x:v>inherited</x:v>
      </x:c>
      <x:c r="G52" s="13" t="str">
        <x:v>RAW-1</x:v>
      </x:c>
    </x:row>
    <x:row r="53">
      <x:c r="B53" s="13" t="str">
        <x:v>C47</x:v>
      </x:c>
      <x:c r="C53" s="13" t="str">
        <x:v>BRD-13U annual</x:v>
      </x:c>
      <x:c r="D53" s="8" t="n">
        <x:v>609</x:v>
      </x:c>
      <x:c r="E53" s="13" t="str">
        <x:v>USD M/year</x:v>
      </x:c>
      <x:c r="F53" s="13" t="str">
        <x:v>inherited</x:v>
      </x:c>
      <x:c r="G53" s="13" t="str">
        <x:v>RAW-1</x:v>
      </x:c>
    </x:row>
    <x:row r="54">
      <x:c r="B54" s="13" t="str">
        <x:v>C48</x:v>
      </x:c>
      <x:c r="C54" s="13" t="str">
        <x:v>CISA parent capital</x:v>
      </x:c>
      <x:c r="D54" s="8" t="n">
        <x:v>960</x:v>
      </x:c>
      <x:c r="E54" s="13" t="str">
        <x:v>USD M</x:v>
      </x:c>
      <x:c r="F54" s="13" t="str">
        <x:v>inherited</x:v>
      </x:c>
      <x:c r="G54" s="13" t="str">
        <x:v>CISA-1</x:v>
      </x:c>
    </x:row>
    <x:row r="55">
      <x:c r="B55" s="13" t="str">
        <x:v>C49</x:v>
      </x:c>
      <x:c r="C55" s="13" t="str">
        <x:v>CISA parent annual</x:v>
      </x:c>
      <x:c r="D55" s="8" t="n">
        <x:v>260</x:v>
      </x:c>
      <x:c r="E55" s="13" t="str">
        <x:v>USD M/year</x:v>
      </x:c>
      <x:c r="F55" s="13" t="str">
        <x:v>inherited</x:v>
      </x:c>
      <x:c r="G55" s="13" t="str">
        <x:v>CISA-1</x:v>
      </x:c>
    </x:row>
    <x:row r="56">
      <x:c r="B56" s="13" t="str">
        <x:v>C50</x:v>
      </x:c>
      <x:c r="C56" s="13" t="str">
        <x:v>planning completion</x:v>
      </x:c>
      <x:c r="D56" s="8" t="n">
        <x:v>1</x:v>
      </x:c>
      <x:c r="E56" s="13" t="str">
        <x:v>binary</x:v>
      </x:c>
      <x:c r="F56" s="13" t="str">
        <x:v>design</x:v>
      </x:c>
      <x:c r="G56" s="13" t="str">
        <x:v>RAS-1</x:v>
      </x:c>
    </x:row>
    <x:row r="57">
      <x:c r="B57" s="13" t="str">
        <x:v>C51</x:v>
      </x:c>
      <x:c r="C57" s="13" t="str">
        <x:v>AM-05 release authority</x:v>
      </x:c>
      <x:c r="D57" s="8" t="n">
        <x:v>0</x:v>
      </x:c>
      <x:c r="E57" s="13" t="str">
        <x:v>binary</x:v>
      </x:c>
      <x:c r="F57" s="13" t="str">
        <x:v>authority</x:v>
      </x:c>
      <x:c r="G57" s="13" t="str">
        <x:v>downstream</x:v>
      </x:c>
    </x:row>
    <x:row r="58">
      <x:c r="B58" s="13" t="str">
        <x:v>C52</x:v>
      </x:c>
      <x:c r="C58" s="13" t="str">
        <x:v>AM-06 release authority</x:v>
      </x:c>
      <x:c r="D58" s="8" t="n">
        <x:v>0</x:v>
      </x:c>
      <x:c r="E58" s="13" t="str">
        <x:v>binary</x:v>
      </x:c>
      <x:c r="F58" s="13" t="str">
        <x:v>authority</x:v>
      </x:c>
      <x:c r="G58" s="13" t="str">
        <x:v>downstream</x:v>
      </x:c>
    </x:row>
    <x:row r="59">
      <x:c r="B59" s="13" t="str">
        <x:v>C53</x:v>
      </x:c>
      <x:c r="C59" s="13" t="str">
        <x:v>routine quarter-source authority</x:v>
      </x:c>
      <x:c r="D59" s="8" t="n">
        <x:v>0</x:v>
      </x:c>
      <x:c r="E59" s="13" t="str">
        <x:v>binary</x:v>
      </x:c>
      <x:c r="F59" s="13" t="str">
        <x:v>authority</x:v>
      </x:c>
      <x:c r="G59" s="13" t="str">
        <x:v>downstream</x:v>
      </x:c>
    </x:row>
    <x:row r="60">
      <x:c r="B60" s="13" t="str">
        <x:v>C54</x:v>
      </x:c>
      <x:c r="C60" s="13" t="str">
        <x:v>candidate article entry</x:v>
      </x:c>
      <x:c r="D60" s="8" t="n">
        <x:v>0</x:v>
      </x:c>
      <x:c r="E60" s="13" t="str">
        <x:v>binary</x:v>
      </x:c>
      <x:c r="F60" s="13" t="str">
        <x:v>authority</x:v>
      </x:c>
      <x:c r="G60" s="13" t="str">
        <x:v>downstream</x:v>
      </x:c>
    </x:row>
    <x:row r="61">
      <x:c r="B61" s="13" t="str">
        <x:v>C55</x:v>
      </x:c>
      <x:c r="C61" s="13" t="str">
        <x:v>AM-07 full-source authority</x:v>
      </x:c>
      <x:c r="D61" s="8" t="n">
        <x:v>0</x:v>
      </x:c>
      <x:c r="E61" s="13" t="str">
        <x:v>binary</x:v>
      </x:c>
      <x:c r="F61" s="13" t="str">
        <x:v>authority</x:v>
      </x:c>
      <x:c r="G61" s="13" t="str">
        <x:v>downstream</x:v>
      </x:c>
    </x:row>
    <x:row r="62">
      <x:c r="B62" s="13" t="str">
        <x:v>C56</x:v>
      </x:c>
      <x:c r="C62" s="13" t="str">
        <x:v>Root A campaign release</x:v>
      </x:c>
      <x:c r="D62" s="8" t="n">
        <x:v>0</x:v>
      </x:c>
      <x:c r="E62" s="13" t="str">
        <x:v>binary</x:v>
      </x:c>
      <x:c r="F62" s="13" t="str">
        <x:v>authority</x:v>
      </x:c>
      <x:c r="G62" s="13" t="str">
        <x:v>downstream</x:v>
      </x:c>
    </x:row>
    <x:row r="63">
      <x:c r="B63" s="13" t="str">
        <x:v>C57</x:v>
      </x:c>
      <x:c r="C63" s="13" t="str">
        <x:v>production release</x:v>
      </x:c>
      <x:c r="D63" s="8" t="n">
        <x:v>0</x:v>
      </x:c>
      <x:c r="E63" s="13" t="str">
        <x:v>binary</x:v>
      </x:c>
      <x:c r="F63" s="13" t="str">
        <x:v>authority</x:v>
      </x:c>
      <x:c r="G63" s="13" t="str">
        <x:v>downstream</x:v>
      </x:c>
    </x:row>
    <x:row r="64">
      <x:c r="B64" s="13" t="str">
        <x:v>C58</x:v>
      </x:c>
      <x:c r="C64" s="13" t="str">
        <x:v>exterior-rendering authority</x:v>
      </x:c>
      <x:c r="D64" s="8" t="n">
        <x:v>0</x:v>
      </x:c>
      <x:c r="E64" s="13" t="str">
        <x:v>binary</x:v>
      </x:c>
      <x:c r="F64" s="13" t="str">
        <x:v>authority</x:v>
      </x:c>
      <x:c r="G64" s="13" t="str">
        <x:v>downstream</x:v>
      </x:c>
    </x:row>
    <x:row r="65">
      <x:c r="B65" s="13" t="str">
        <x:v>C59</x:v>
      </x:c>
      <x:c r="C65" s="13" t="str">
        <x:v>terminal-source target</x:v>
      </x:c>
      <x:c r="D65" s="8" t="n">
        <x:v>30</x:v>
      </x:c>
      <x:c r="E65" s="13" t="str">
        <x:v>s</x:v>
      </x:c>
      <x:c r="F65" s="13" t="str">
        <x:v>inherited</x:v>
      </x:c>
      <x:c r="G65" s="13" t="str">
        <x:v>RFE-1</x:v>
      </x:c>
    </x:row>
    <x:row r="66">
      <x:c r="B66" s="13" t="str">
        <x:v>C60</x:v>
      </x:c>
      <x:c r="C66" s="13" t="str">
        <x:v>expanded source-closure ceiling</x:v>
      </x:c>
      <x:c r="D66" s="8" t="n">
        <x:v>5</x:v>
      </x:c>
      <x:c r="E66" s="13" t="str">
        <x:v>kg</x:v>
      </x:c>
      <x:c r="F66" s="13" t="str">
        <x:v>inherited</x:v>
      </x:c>
      <x:c r="G66" s="13" t="str">
        <x:v>RFP-1</x:v>
      </x:c>
    </x:row>
    <x:row r="67">
      <x:c r="B67" s="13" t="str">
        <x:v>C61</x:v>
      </x:c>
      <x:c r="C67" s="13" t="str">
        <x:v>unaccounted source ceiling</x:v>
      </x:c>
      <x:c r="D67" s="8" t="n">
        <x:v>2.5</x:v>
      </x:c>
      <x:c r="E67" s="13" t="str">
        <x:v>kg</x:v>
      </x:c>
      <x:c r="F67" s="13" t="str">
        <x:v>design</x:v>
      </x:c>
      <x:c r="G67" s="13" t="str">
        <x:v>RAS-1</x:v>
      </x:c>
    </x:row>
    <x:row r="68">
      <x:c r="B68" s="13" t="str">
        <x:v>C62</x:v>
      </x:c>
      <x:c r="C68" s="13" t="str">
        <x:v>environmental source ceiling</x:v>
      </x:c>
      <x:c r="D68" s="8" t="n">
        <x:v>0.5</x:v>
      </x:c>
      <x:c r="E68" s="13" t="str">
        <x:v>kg</x:v>
      </x:c>
      <x:c r="F68" s="13" t="str">
        <x:v>design</x:v>
      </x:c>
      <x:c r="G68" s="13" t="str">
        <x:v>RAS-1</x:v>
      </x:c>
    </x:row>
    <x:row r="69">
      <x:c r="B69" s="13" t="str">
        <x:v>C63</x:v>
      </x:c>
      <x:c r="C69" s="13" t="str">
        <x:v>water-closure ceiling</x:v>
      </x:c>
      <x:c r="D69" s="8" t="n">
        <x:v>0.0025</x:v>
      </x:c>
      <x:c r="E69" s="13" t="str">
        <x:v>ratio</x:v>
      </x:c>
      <x:c r="F69" s="13" t="str">
        <x:v>inherited</x:v>
      </x:c>
      <x:c r="G69" s="13" t="str">
        <x:v>RAW-1</x:v>
      </x:c>
    </x:row>
    <x:row r="70">
      <x:c r="B70" s="13" t="str">
        <x:v>C64</x:v>
      </x:c>
      <x:c r="C70" s="13" t="str">
        <x:v>minimum ancestry recovery</x:v>
      </x:c>
      <x:c r="D70" s="8" t="n">
        <x:v>0.995</x:v>
      </x:c>
      <x:c r="E70" s="13" t="str">
        <x:v>ratio</x:v>
      </x:c>
      <x:c r="F70" s="13" t="str">
        <x:v>inherited</x:v>
      </x:c>
      <x:c r="G70" s="13" t="str">
        <x:v>RAW-1</x:v>
      </x:c>
    </x:row>
    <x:row r="71">
      <x:c r="B71" s="13" t="str">
        <x:v>C65</x:v>
      </x:c>
      <x:c r="C71" s="13" t="str">
        <x:v>maximum ancestry cross-talk</x:v>
      </x:c>
      <x:c r="D71" s="8" t="n">
        <x:v>0.005</x:v>
      </x:c>
      <x:c r="E71" s="13" t="str">
        <x:v>ratio</x:v>
      </x:c>
      <x:c r="F71" s="13" t="str">
        <x:v>inherited</x:v>
      </x:c>
      <x:c r="G71" s="13" t="str">
        <x:v>RAW-1</x:v>
      </x:c>
    </x:row>
    <x:row r="72">
      <x:c r="B72" s="13" t="str">
        <x:v>C66</x:v>
      </x:c>
      <x:c r="C72" s="13" t="str">
        <x:v>maximum time error</x:v>
      </x:c>
      <x:c r="D72" s="8" t="n">
        <x:v>5</x:v>
      </x:c>
      <x:c r="E72" s="13" t="str">
        <x:v>microseconds</x:v>
      </x:c>
      <x:c r="F72" s="13" t="str">
        <x:v>inherited</x:v>
      </x:c>
      <x:c r="G72" s="13" t="str">
        <x:v>RAW-1</x:v>
      </x:c>
    </x:row>
    <x:row r="73">
      <x:c r="B73" s="13" t="str">
        <x:v>C67</x:v>
      </x:c>
      <x:c r="C73" s="13" t="str">
        <x:v>maximum normalized root gap</x:v>
      </x:c>
      <x:c r="D73" s="8" t="n">
        <x:v>0.25</x:v>
      </x:c>
      <x:c r="E73" s="13" t="str">
        <x:v>ratio</x:v>
      </x:c>
      <x:c r="F73" s="13" t="str">
        <x:v>inherited</x:v>
      </x:c>
      <x:c r="G73" s="13" t="str">
        <x:v>RAW-1</x:v>
      </x:c>
    </x:row>
    <x:row r="74">
      <x:c r="B74" s="13" t="str">
        <x:v>C68</x:v>
      </x:c>
      <x:c r="C74" s="13" t="str">
        <x:v>minimum accepted credits per method</x:v>
      </x:c>
      <x:c r="D74" s="8" t="n">
        <x:v>72</x:v>
      </x:c>
      <x:c r="E74" s="13" t="str">
        <x:v>credits</x:v>
      </x:c>
      <x:c r="F74" s="13" t="str">
        <x:v>design</x:v>
      </x:c>
      <x:c r="G74" s="13" t="str">
        <x:v>RAS-1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84" hidden="0" customWidth="1"/>
    <x:col min="5" max="5" width="30" hidden="0" customWidth="1"/>
    <x:col min="6" max="6" width="21" hidden="0" customWidth="1"/>
    <x:col min="7" max="7" width="14" hidden="0" customWidth="1"/>
    <x:col min="1" max="1" width="3" hidden="0" customWidth="1"/>
  </x:cols>
  <x:sheetData>
    <x:row r="2">
      <x:c r="B2" s="12" t="str">
        <x:v>Twelve conjunctive entry conditions</x:v>
      </x:c>
      <x:c r="C2" s="13"/>
      <x:c r="D2" s="13"/>
      <x:c r="E2" s="13"/>
      <x:c r="F2" s="13"/>
      <x:c r="G2" s="13"/>
    </x:row>
    <x:row r="3">
      <x:c r="B3" s="2" t="str">
        <x:v>Quarter-source entry is a new source state, not an automatic consequence of nonenergetic qualification.</x:v>
      </x:c>
      <x:c r="C3" s="13"/>
      <x:c r="D3" s="13"/>
      <x:c r="E3" s="13"/>
      <x:c r="F3" s="13"/>
      <x:c r="G3" s="13"/>
    </x:row>
    <x:row r="4">
      <x:c r="B4" s="13"/>
      <x:c r="C4" s="13"/>
      <x:c r="D4" s="13"/>
      <x:c r="E4" s="13"/>
      <x:c r="F4" s="13"/>
      <x:c r="G4" s="13"/>
    </x:row>
    <x:row r="5">
      <x:c r="B5" s="13"/>
      <x:c r="C5" s="13"/>
      <x:c r="D5" s="13"/>
      <x:c r="E5" s="13"/>
      <x:c r="F5" s="13"/>
      <x:c r="G5" s="13"/>
    </x:row>
    <x:row r="6" ht="24" customHeight="1">
      <x:c r="B6" s="6" t="str">
        <x:v>Condition</x:v>
      </x:c>
      <x:c r="C6" s="6" t="str">
        <x:v>Object</x:v>
      </x:c>
      <x:c r="D6" s="6" t="str">
        <x:v>Required evidence</x:v>
      </x:c>
      <x:c r="E6" s="6" t="str">
        <x:v>Authority</x:v>
      </x:c>
      <x:c r="F6" s="6" t="str">
        <x:v>Accepted UTC</x:v>
      </x:c>
      <x:c r="G6" s="6" t="str">
        <x:v>State</x:v>
      </x:c>
    </x:row>
    <x:row r="7" ht="42" customHeight="1">
      <x:c r="B7" s="13" t="str">
        <x:v>EL-01</x:v>
      </x:c>
      <x:c r="C7" s="13" t="str">
        <x:v>RAW-1 method status</x:v>
      </x:c>
      <x:c r="D7" s="14" t="str">
        <x:v>AM-00 through AM-04 accepted on both unlike roots</x:v>
      </x:c>
      <x:c r="E7" s="13" t="str">
        <x:v>separate physical authority</x:v>
      </x:c>
      <x:c r="F7" s="13" t="str"/>
      <x:c r="G7" s="13" t="str">
        <x:v>OPEN</x:v>
      </x:c>
    </x:row>
    <x:row r="8" ht="42" customHeight="1">
      <x:c r="B8" s="13" t="str">
        <x:v>EL-02</x:v>
      </x:c>
      <x:c r="C8" s="13" t="str">
        <x:v>rig state</x:v>
      </x:c>
      <x:c r="D8" s="14" t="str">
        <x:v>exact source train, casualty routes, safeing and evidence accepted</x:v>
      </x:c>
      <x:c r="E8" s="13" t="str">
        <x:v>configuration authority</x:v>
      </x:c>
      <x:c r="F8" s="13" t="str"/>
      <x:c r="G8" s="13" t="str">
        <x:v>OPEN</x:v>
      </x:c>
    </x:row>
    <x:row r="9" ht="42" customHeight="1">
      <x:c r="B9" s="13" t="str">
        <x:v>EL-03</x:v>
      </x:c>
      <x:c r="C9" s="13" t="str">
        <x:v>source package</x:v>
      </x:c>
      <x:c r="D9" s="14" t="str">
        <x:v>mass, composition, temperature, lot and terminal disposition accepted</x:v>
      </x:c>
      <x:c r="E9" s="13" t="str">
        <x:v>source authority</x:v>
      </x:c>
      <x:c r="F9" s="13" t="str"/>
      <x:c r="G9" s="13" t="str">
        <x:v>OPEN</x:v>
      </x:c>
    </x:row>
    <x:row r="10" ht="42" customHeight="1">
      <x:c r="B10" s="13" t="str">
        <x:v>EL-04</x:v>
      </x:c>
      <x:c r="C10" s="13" t="str">
        <x:v>neighbor state</x:v>
      </x:c>
      <x:c r="D10" s="14" t="str">
        <x:v>three adjacent pods physically inert and independently observed</x:v>
      </x:c>
      <x:c r="E10" s="13" t="str">
        <x:v>propagation authority</x:v>
      </x:c>
      <x:c r="F10" s="13" t="str"/>
      <x:c r="G10" s="13" t="str">
        <x:v>OPEN</x:v>
      </x:c>
    </x:row>
    <x:row r="11" ht="42" customHeight="1">
      <x:c r="B11" s="13" t="str">
        <x:v>EL-05</x:v>
      </x:c>
      <x:c r="C11" s="13" t="str">
        <x:v>normal destination</x:v>
      </x:c>
      <x:c r="D11" s="14" t="str">
        <x:v>15 m3 source sump and 40 m3 firewater vault available</x:v>
      </x:c>
      <x:c r="E11" s="13" t="str">
        <x:v>retention authority</x:v>
      </x:c>
      <x:c r="F11" s="13" t="str"/>
      <x:c r="G11" s="13" t="str">
        <x:v>OPEN</x:v>
      </x:c>
    </x:row>
    <x:row r="12" ht="42" customHeight="1">
      <x:c r="B12" s="13" t="str">
        <x:v>EL-06</x:v>
      </x:c>
      <x:c r="C12" s="13" t="str">
        <x:v>casualty destination</x:v>
      </x:c>
      <x:c r="D12" s="14" t="str">
        <x:v>50 m3 source and 120 m3 water receivers isolated and available</x:v>
      </x:c>
      <x:c r="E12" s="13" t="str">
        <x:v>public safety authority</x:v>
      </x:c>
      <x:c r="F12" s="13" t="str"/>
      <x:c r="G12" s="13" t="str">
        <x:v>OPEN</x:v>
      </x:c>
    </x:row>
    <x:row r="13" ht="42" customHeight="1">
      <x:c r="B13" s="13" t="str">
        <x:v>EL-07</x:v>
      </x:c>
      <x:c r="C13" s="13" t="str">
        <x:v>thermal field</x:v>
      </x:c>
      <x:c r="D13" s="14" t="str">
        <x:v>6.25 m2 nominal and 25 m2 casualty-area cases accepted</x:v>
      </x:c>
      <x:c r="E13" s="13" t="str">
        <x:v>thermal authority</x:v>
      </x:c>
      <x:c r="F13" s="13" t="str"/>
      <x:c r="G13" s="13" t="str">
        <x:v>OPEN</x:v>
      </x:c>
    </x:row>
    <x:row r="14" ht="42" customHeight="1">
      <x:c r="B14" s="13" t="str">
        <x:v>EL-08</x:v>
      </x:c>
      <x:c r="C14" s="13" t="str">
        <x:v>ancestry</x:v>
      </x:c>
      <x:c r="D14" s="14" t="str">
        <x:v>source, candidate water, public water and environment remain separable</x:v>
      </x:c>
      <x:c r="E14" s="13" t="str">
        <x:v>chemistry authority</x:v>
      </x:c>
      <x:c r="F14" s="13" t="str"/>
      <x:c r="G14" s="13" t="str">
        <x:v>OPEN</x:v>
      </x:c>
    </x:row>
    <x:row r="15" ht="42" customHeight="1">
      <x:c r="B15" s="13" t="str">
        <x:v>EL-09</x:v>
      </x:c>
      <x:c r="C15" s="13" t="str">
        <x:v>causal time</x:v>
      </x:c>
      <x:c r="D15" s="14" t="str">
        <x:v>source, ignition, water, public action and recovery order survives denial</x:v>
      </x:c>
      <x:c r="E15" s="13" t="str">
        <x:v>time authority</x:v>
      </x:c>
      <x:c r="F15" s="13" t="str"/>
      <x:c r="G15" s="13" t="str">
        <x:v>OPEN</x:v>
      </x:c>
    </x:row>
    <x:row r="16" ht="42" customHeight="1">
      <x:c r="B16" s="13" t="str">
        <x:v>EL-10</x:v>
      </x:c>
      <x:c r="C16" s="13" t="str">
        <x:v>recovery</x:v>
      </x:c>
      <x:c r="D16" s="14" t="str">
        <x:v>source and water ledgers, samples and serialized baseline close</x:v>
      </x:c>
      <x:c r="E16" s="13" t="str">
        <x:v>recovery authority</x:v>
      </x:c>
      <x:c r="F16" s="13" t="str"/>
      <x:c r="G16" s="13" t="str">
        <x:v>OPEN</x:v>
      </x:c>
    </x:row>
    <x:row r="17" ht="42" customHeight="1">
      <x:c r="B17" s="13" t="str">
        <x:v>EL-11</x:v>
      </x:c>
      <x:c r="C17" s="13" t="str">
        <x:v>outside-site replay</x:v>
      </x:c>
      <x:c r="D17" s="14" t="str">
        <x:v>another campus reproduces truth, uncertainty and disposition</x:v>
      </x:c>
      <x:c r="E17" s="13" t="str">
        <x:v>evidence authority</x:v>
      </x:c>
      <x:c r="F17" s="13" t="str"/>
      <x:c r="G17" s="13" t="str">
        <x:v>OPEN</x:v>
      </x:c>
    </x:row>
    <x:row r="18" ht="42" customHeight="1">
      <x:c r="B18" s="13" t="str">
        <x:v>EL-12</x:v>
      </x:c>
      <x:c r="C18" s="13" t="str">
        <x:v>entry decision</x:v>
      </x:c>
      <x:c r="D18" s="14" t="str">
        <x:v>AM-05 and AM-06 separately accepted; no inference to AM-07</x:v>
      </x:c>
      <x:c r="E18" s="13" t="str">
        <x:v>quarter-source board</x:v>
      </x:c>
      <x:c r="F18" s="13" t="str"/>
      <x:c r="G18" s="13" t="str">
        <x:v>OPEN</x:v>
      </x:c>
    </x:row>
  </x:sheetData>
  <x:conditionalFormatting sqref="G7:G18">
    <x:cfRule type="containsText" dxfId="0" priority="1" operator="containsText" text="FAIL"/>
    <x:cfRule type="containsText" dxfId="1" priority="2" operator="containsText" text="INVALID"/>
    <x:cfRule type="containsText" dxfId="2" priority="3" operator="containsText" text="BLOCKED"/>
    <x:cfRule type="containsText" dxfId="3" priority="4" operator="containsText" text="OPEN"/>
    <x:cfRule type="containsText" dxfId="4" priority="5" operator="containsText" text="GAP"/>
    <x:cfRule type="containsText" dxfId="5" priority="6" operator="containsText" text="DORMANT"/>
    <x:cfRule type="containsText" dxfId="6" priority="7" operator="containsText" text="PASS"/>
    <x:cfRule type="containsText" dxfId="7" priority="8" operator="containsText" text="VAL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8" hidden="0" customWidth="1"/>
    <x:col min="4" max="4" width="77" hidden="0" customWidth="1"/>
    <x:col min="5" max="5" width="34" hidden="0" customWidth="1"/>
    <x:col min="6" max="6" width="20" hidden="0" customWidth="1"/>
    <x:col min="7" max="7" width="19" hidden="0" customWidth="1"/>
    <x:col min="8" max="8" width="21" hidden="0" customWidth="1"/>
    <x:col min="9" max="9" width="14" hidden="0" customWidth="1"/>
    <x:col min="1" max="1" width="3" hidden="0" customWidth="1"/>
  </x:cols>
  <x:sheetData>
    <x:row r="2">
      <x:c r="B2" s="12" t="str">
        <x:v>Two source-bearing methods</x:v>
      </x:c>
      <x:c r="C2" s="13"/>
      <x:c r="D2" s="13"/>
      <x:c r="E2" s="13"/>
      <x:c r="F2" s="13"/>
      <x:c r="G2" s="13"/>
      <x:c r="H2" s="13"/>
      <x:c r="I2" s="13"/>
    </x:row>
    <x:row r="3">
      <x:c r="B3" s="2" t="str">
        <x:v>Neither method implies full-source or candidate-article authority.</x:v>
      </x:c>
      <x:c r="C3" s="13"/>
      <x:c r="D3" s="13"/>
      <x:c r="E3" s="13"/>
      <x:c r="F3" s="13"/>
      <x:c r="G3" s="13"/>
      <x:c r="H3" s="13"/>
      <x:c r="I3" s="13"/>
    </x:row>
    <x:row r="4">
      <x:c r="B4" s="13"/>
      <x:c r="C4" s="13"/>
      <x:c r="D4" s="13"/>
      <x:c r="E4" s="13"/>
      <x:c r="F4" s="13"/>
      <x:c r="G4" s="13"/>
      <x:c r="H4" s="13"/>
      <x:c r="I4" s="13"/>
    </x:row>
    <x:row r="5">
      <x:c r="B5" s="13"/>
      <x:c r="C5" s="13"/>
      <x:c r="D5" s="13"/>
      <x:c r="E5" s="13"/>
      <x:c r="F5" s="13"/>
      <x:c r="G5" s="13"/>
      <x:c r="H5" s="13"/>
      <x:c r="I5" s="13"/>
    </x:row>
    <x:row r="6" ht="24" customHeight="1">
      <x:c r="B6" s="6" t="str">
        <x:v>Method</x:v>
      </x:c>
      <x:c r="C6" s="6" t="str">
        <x:v>Name</x:v>
      </x:c>
      <x:c r="D6" s="6" t="str">
        <x:v>Qualification proposition</x:v>
      </x:c>
      <x:c r="E6" s="6" t="str">
        <x:v>Truth domain</x:v>
      </x:c>
      <x:c r="F6" s="6" t="str">
        <x:v>Source</x:v>
      </x:c>
      <x:c r="G6" s="6" t="str">
        <x:v>Ignition</x:v>
      </x:c>
      <x:c r="H6" s="6" t="str">
        <x:v>Accepted UTC</x:v>
      </x:c>
      <x:c r="I6" s="6" t="str">
        <x:v>State</x:v>
      </x:c>
    </x:row>
    <x:row r="7" ht="44" customHeight="1">
      <x:c r="B7" s="13" t="str">
        <x:v>AM-05</x:v>
      </x:c>
      <x:c r="C7" s="13" t="str">
        <x:v>unignited quarter-source custody</x:v>
      </x:c>
      <x:c r="D7" s="14" t="str">
        <x:v>terminate, capture and recover admitted source before ignition</x:v>
      </x:c>
      <x:c r="E7" s="13" t="str">
        <x:v>mass and source-state truth</x:v>
      </x:c>
      <x:c r="F7" s="13" t="str">
        <x:v>500 kg maximum</x:v>
      </x:c>
      <x:c r="G7" s="13" t="str">
        <x:v>no</x:v>
      </x:c>
      <x:c r="H7" s="13" t="str"/>
      <x:c r="I7" s="13" t="str">
        <x:v>OPEN</x:v>
      </x:c>
    </x:row>
    <x:row r="8" ht="44" customHeight="1">
      <x:c r="B8" s="13" t="str">
        <x:v>AM-06</x:v>
      </x:c>
      <x:c r="C8" s="13" t="str">
        <x:v>quarter-source fire and coupled ancestry</x:v>
      </x:c>
      <x:c r="D8" s="14" t="str">
        <x:v>create, observe, safely end and reconstruct source-fire-water coupling</x:v>
      </x:c>
      <x:c r="E8" s="13" t="str">
        <x:v>source, thermal and mixture truth</x:v>
      </x:c>
      <x:c r="F8" s="13" t="str">
        <x:v>500 kg maximum</x:v>
      </x:c>
      <x:c r="G8" s="13" t="str">
        <x:v>class dependent</x:v>
      </x:c>
      <x:c r="H8" s="13" t="str"/>
      <x:c r="I8" s="13" t="str">
        <x:v>OPEN</x:v>
      </x:c>
    </x:row>
  </x:sheetData>
  <x:conditionalFormatting sqref="I7:I8">
    <x:cfRule type="containsText" dxfId="8" priority="1" operator="containsText" text="FAIL"/>
    <x:cfRule type="containsText" dxfId="9" priority="2" operator="containsText" text="INVALID"/>
    <x:cfRule type="containsText" dxfId="10" priority="3" operator="containsText" text="BLOCKED"/>
    <x:cfRule type="containsText" dxfId="11" priority="4" operator="containsText" text="OPEN"/>
    <x:cfRule type="containsText" dxfId="12" priority="5" operator="containsText" text="GAP"/>
    <x:cfRule type="containsText" dxfId="13" priority="6" operator="containsText" text="DORMANT"/>
    <x:cfRule type="containsText" dxfId="14" priority="7" operator="containsText" text="PASS"/>
    <x:cfRule type="containsText" dxfId="15" priority="8" operator="containsText" text="VALI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12" hidden="0" customWidth="1"/>
    <x:col min="5" max="5" width="91" hidden="0" customWidth="1"/>
    <x:col min="6" max="6" width="33" hidden="0" customWidth="1"/>
    <x:col min="7" max="7" width="21" hidden="0" customWidth="1"/>
    <x:col min="8" max="8" width="14" hidden="0" customWidth="1"/>
    <x:col min="1" max="1" width="3" hidden="0" customWidth="1"/>
  </x:cols>
  <x:sheetData>
    <x:row r="2">
      <x:c r="B2" s="12" t="str">
        <x:v>Four physically unlike source-entry truth roots</x:v>
      </x:c>
      <x:c r="C2" s="13"/>
      <x:c r="D2" s="13"/>
      <x:c r="E2" s="13"/>
      <x:c r="F2" s="13"/>
      <x:c r="G2" s="13"/>
      <x:c r="H2" s="13"/>
    </x:row>
    <x:row r="3">
      <x:c r="B3" s="2" t="str">
        <x:v>No common reader, calibration, transform or supplier may carry both roots for one method.</x:v>
      </x:c>
      <x:c r="C3" s="13"/>
      <x:c r="D3" s="13"/>
      <x:c r="E3" s="13"/>
      <x:c r="F3" s="13"/>
      <x:c r="G3" s="13"/>
      <x:c r="H3" s="13"/>
    </x:row>
    <x:row r="4">
      <x:c r="B4" s="13"/>
      <x:c r="C4" s="13"/>
      <x:c r="D4" s="13"/>
      <x:c r="E4" s="13"/>
      <x:c r="F4" s="13"/>
      <x:c r="G4" s="13"/>
      <x:c r="H4" s="13"/>
    </x:row>
    <x:row r="5">
      <x:c r="B5" s="13"/>
      <x:c r="C5" s="13"/>
      <x:c r="D5" s="13"/>
      <x:c r="E5" s="13"/>
      <x:c r="F5" s="13"/>
      <x:c r="G5" s="13"/>
      <x:c r="H5" s="13"/>
    </x:row>
    <x:row r="6" ht="24" customHeight="1">
      <x:c r="B6" s="6" t="str">
        <x:v>Truth root</x:v>
      </x:c>
      <x:c r="C6" s="6" t="str">
        <x:v>Method</x:v>
      </x:c>
      <x:c r="D6" s="6" t="str">
        <x:v>Root</x:v>
      </x:c>
      <x:c r="E6" s="6" t="str">
        <x:v>Physical principle</x:v>
      </x:c>
      <x:c r="F6" s="6" t="str">
        <x:v>Role</x:v>
      </x:c>
      <x:c r="G6" s="6" t="str">
        <x:v>Accepted UTC</x:v>
      </x:c>
      <x:c r="H6" s="6" t="str">
        <x:v>State</x:v>
      </x:c>
    </x:row>
    <x:row r="7" ht="44" customHeight="1">
      <x:c r="B7" s="13" t="str">
        <x:v>AM-05-TR-A</x:v>
      </x:c>
      <x:c r="C7" s="13" t="str">
        <x:v>AM-05</x:v>
      </x:c>
      <x:c r="D7" s="13" t="str">
        <x:v>TR-A</x:v>
      </x:c>
      <x:c r="E7" s="14" t="str">
        <x:v>gravimetric source vessel, dispenser residual and receiving masses</x:v>
      </x:c>
      <x:c r="F7" s="13" t="str">
        <x:v>primary source-state root</x:v>
      </x:c>
      <x:c r="G7" s="13" t="str"/>
      <x:c r="H7" s="13" t="str">
        <x:v>OPEN</x:v>
      </x:c>
    </x:row>
    <x:row r="8" ht="44" customHeight="1">
      <x:c r="B8" s="13" t="str">
        <x:v>AM-05-TR-B</x:v>
      </x:c>
      <x:c r="C8" s="13" t="str">
        <x:v>AM-05</x:v>
      </x:c>
      <x:c r="D8" s="13" t="str">
        <x:v>TR-B</x:v>
      </x:c>
      <x:c r="E8" s="14" t="str">
        <x:v>geometric source tomography plus chemistry-tagged distributed inventory</x:v>
      </x:c>
      <x:c r="F8" s="13" t="str">
        <x:v>physically unlike source-state root</x:v>
      </x:c>
      <x:c r="G8" s="13" t="str"/>
      <x:c r="H8" s="13" t="str">
        <x:v>OPEN</x:v>
      </x:c>
    </x:row>
    <x:row r="9" ht="44" customHeight="1">
      <x:c r="B9" s="13" t="str">
        <x:v>AM-06-TR-A</x:v>
      </x:c>
      <x:c r="C9" s="13" t="str">
        <x:v>AM-06</x:v>
      </x:c>
      <x:c r="D9" s="13" t="str">
        <x:v>TR-A</x:v>
      </x:c>
      <x:c r="E9" s="14" t="str">
        <x:v>orthogonal optical source and water codes with fire-capable readers</x:v>
      </x:c>
      <x:c r="F9" s="13" t="str">
        <x:v>primary coupled-ancestry root</x:v>
      </x:c>
      <x:c r="G9" s="13" t="str"/>
      <x:c r="H9" s="13" t="str">
        <x:v>OPEN</x:v>
      </x:c>
    </x:row>
    <x:row r="10" ht="44" customHeight="1">
      <x:c r="B10" s="13" t="str">
        <x:v>AM-06-TR-B</x:v>
      </x:c>
      <x:c r="C10" s="13" t="str">
        <x:v>AM-06</x:v>
      </x:c>
      <x:c r="D10" s="13" t="str">
        <x:v>TR-B</x:v>
      </x:c>
      <x:c r="E10" s="14" t="str">
        <x:v>electrochemical codes, gravimetric phase separation and retained samples</x:v>
      </x:c>
      <x:c r="F10" s="13" t="str">
        <x:v>physically unlike coupled root</x:v>
      </x:c>
      <x:c r="G10" s="13" t="str"/>
      <x:c r="H10" s="13" t="str">
        <x:v>OPEN</x:v>
      </x:c>
    </x:row>
  </x:sheetData>
  <x:conditionalFormatting sqref="H7:H10">
    <x:cfRule type="containsText" dxfId="16" priority="1" operator="containsText" text="FAIL"/>
    <x:cfRule type="containsText" dxfId="17" priority="2" operator="containsText" text="INVALID"/>
    <x:cfRule type="containsText" dxfId="18" priority="3" operator="containsText" text="BLOCKED"/>
    <x:cfRule type="containsText" dxfId="19" priority="4" operator="containsText" text="OPEN"/>
    <x:cfRule type="containsText" dxfId="20" priority="5" operator="containsText" text="GAP"/>
    <x:cfRule type="containsText" dxfId="21" priority="6" operator="containsText" text="DORMANT"/>
    <x:cfRule type="containsText" dxfId="22" priority="7" operator="containsText" text="PASS"/>
    <x:cfRule type="containsText" dxfId="23" priority="8" operator="containsText" text="VALI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76" hidden="0" customWidth="1"/>
    <x:col min="5" max="5" width="16" hidden="0" customWidth="1"/>
    <x:col min="6" max="6" width="18" hidden="0" customWidth="1"/>
    <x:col min="7" max="7" width="19" hidden="0" customWidth="1"/>
    <x:col min="8" max="8" width="17" hidden="0" customWidth="1"/>
    <x:col min="9" max="9" width="24" hidden="0" customWidth="1"/>
    <x:col min="10" max="10" width="15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" max="1" width="3" hidden="0" customWidth="1"/>
  </x:cols>
  <x:sheetData>
    <x:row r="2">
      <x:c r="B2" s="12" t="str">
        <x:v>Six source-entry classes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B3" s="2" t="str">
        <x:v>AM-05 remains unignited. AM-06 adds the registered ignition opportunity in QE-02 through QE-06.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 ht="24" customHeight="1">
      <x:c r="B6" s="6" t="str">
        <x:v>Class</x:v>
      </x:c>
      <x:c r="C6" s="6" t="str">
        <x:v>Name</x:v>
      </x:c>
      <x:c r="D6" s="6" t="str">
        <x:v>Proposition</x:v>
      </x:c>
      <x:c r="E6" s="6" t="str">
        <x:v>Source kg</x:v>
      </x:c>
      <x:c r="F6" s="6" t="str">
        <x:v>Pool area m2</x:v>
      </x:c>
      <x:c r="G6" s="6" t="str">
        <x:v>AM-06 water m3</x:v>
      </x:c>
      <x:c r="H6" s="6" t="str">
        <x:v>Ignition</x:v>
      </x:c>
      <x:c r="I6" s="6" t="str">
        <x:v>Invalid-rate hypothesis</x:v>
      </x:c>
      <x:c r="J6" s="6" t="str">
        <x:v>Rig-days</x:v>
      </x:c>
      <x:c r="K6" s="6" t="str">
        <x:v>Base credits</x:v>
      </x:c>
      <x:c r="L6" s="6" t="str">
        <x:v>Reserve tokens</x:v>
      </x:c>
      <x:c r="M6" s="6" t="str">
        <x:v>Base source t</x:v>
      </x:c>
      <x:c r="N6" s="6" t="str">
        <x:v>Base rig-days</x:v>
      </x:c>
      <x:c r="O6" s="6" t="str">
        <x:v>Reserve rig-days</x:v>
      </x:c>
    </x:row>
    <x:row r="7" ht="42" customHeight="1">
      <x:c r="B7" s="13" t="str">
        <x:v>QE-01</x:v>
      </x:c>
      <x:c r="C7" s="13" t="str">
        <x:v>sealed datum</x:v>
      </x:c>
      <x:c r="D7" s="14" t="str">
        <x:v>no release; legitimate zero response</x:v>
      </x:c>
      <x:c r="E7" s="13" t="n">
        <x:v>0</x:v>
      </x:c>
      <x:c r="F7" s="13" t="n">
        <x:v>0</x:v>
      </x:c>
      <x:c r="G7" s="13" t="n">
        <x:v>0</x:v>
      </x:c>
      <x:c r="H7" s="13" t="str">
        <x:v>no</x:v>
      </x:c>
      <x:c r="I7" s="13" t="n">
        <x:v>0.08</x:v>
      </x:c>
      <x:c r="J7" s="13" t="n">
        <x:v>2</x:v>
      </x:c>
      <x:c r="K7" s="13" t="n">
        <x:v>24</x:v>
      </x:c>
      <x:c r="L7" s="13" t="n">
        <x:f>ROUNDUP(K7/(1-I7),0)-K7</x:f>
        <x:v>3</x:v>
      </x:c>
      <x:c r="M7" s="13" t="n">
        <x:f>E7*K7/1000</x:f>
        <x:v>0</x:v>
      </x:c>
      <x:c r="N7" s="13" t="n">
        <x:f>J7*K7</x:f>
        <x:v>48</x:v>
      </x:c>
      <x:c r="O7" s="13" t="n">
        <x:f>J7*L7</x:f>
        <x:v>6</x:v>
      </x:c>
    </x:row>
    <x:row r="8" ht="42" customHeight="1">
      <x:c r="B8" s="13" t="str">
        <x:v>QE-02</x:v>
      </x:c>
      <x:c r="C8" s="13" t="str">
        <x:v>low source</x:v>
      </x:c>
      <x:c r="D8" s="14" t="str">
        <x:v>100 kg controlled release</x:v>
      </x:c>
      <x:c r="E8" s="13" t="n">
        <x:v>100</x:v>
      </x:c>
      <x:c r="F8" s="13" t="n">
        <x:v>2.5</x:v>
      </x:c>
      <x:c r="G8" s="13" t="n">
        <x:v>0</x:v>
      </x:c>
      <x:c r="H8" s="13" t="str">
        <x:v>AM-06 only</x:v>
      </x:c>
      <x:c r="I8" s="13" t="n">
        <x:v>0.1</x:v>
      </x:c>
      <x:c r="J8" s="13" t="n">
        <x:v>3</x:v>
      </x:c>
      <x:c r="K8" s="13" t="n">
        <x:v>24</x:v>
      </x:c>
      <x:c r="L8" s="13" t="n">
        <x:f>ROUNDUP(K8/(1-I8),0)-K8</x:f>
        <x:v>3</x:v>
      </x:c>
      <x:c r="M8" s="13" t="n">
        <x:f>E8*K8/1000</x:f>
        <x:v>2.4</x:v>
      </x:c>
      <x:c r="N8" s="13" t="n">
        <x:f>J8*K8</x:f>
        <x:v>72</x:v>
      </x:c>
      <x:c r="O8" s="13" t="n">
        <x:f>J8*L8</x:f>
        <x:v>9</x:v>
      </x:c>
    </x:row>
    <x:row r="9" ht="42" customHeight="1">
      <x:c r="B9" s="13" t="str">
        <x:v>QE-03</x:v>
      </x:c>
      <x:c r="C9" s="13" t="str">
        <x:v>intermediate source</x:v>
      </x:c>
      <x:c r="D9" s="14" t="str">
        <x:v>250 kg controlled release</x:v>
      </x:c>
      <x:c r="E9" s="13" t="n">
        <x:v>250</x:v>
      </x:c>
      <x:c r="F9" s="13" t="n">
        <x:v>5</x:v>
      </x:c>
      <x:c r="G9" s="13" t="n">
        <x:v>0</x:v>
      </x:c>
      <x:c r="H9" s="13" t="str">
        <x:v>AM-06 only</x:v>
      </x:c>
      <x:c r="I9" s="13" t="n">
        <x:v>0.12</x:v>
      </x:c>
      <x:c r="J9" s="13" t="n">
        <x:v>3</x:v>
      </x:c>
      <x:c r="K9" s="13" t="n">
        <x:v>24</x:v>
      </x:c>
      <x:c r="L9" s="13" t="n">
        <x:f>ROUNDUP(K9/(1-I9),0)-K9</x:f>
        <x:v>4</x:v>
      </x:c>
      <x:c r="M9" s="13" t="n">
        <x:f>E9*K9/1000</x:f>
        <x:v>6</x:v>
      </x:c>
      <x:c r="N9" s="13" t="n">
        <x:f>J9*K9</x:f>
        <x:v>72</x:v>
      </x:c>
      <x:c r="O9" s="13" t="n">
        <x:f>J9*L9</x:f>
        <x:v>12</x:v>
      </x:c>
    </x:row>
    <x:row r="10" ht="42" customHeight="1">
      <x:c r="B10" s="13" t="str">
        <x:v>QE-04</x:v>
      </x:c>
      <x:c r="C10" s="13" t="str">
        <x:v>quarter source</x:v>
      </x:c>
      <x:c r="D10" s="14" t="str">
        <x:v>500 kg nominal-area terminal-source case</x:v>
      </x:c>
      <x:c r="E10" s="13" t="n">
        <x:v>500</x:v>
      </x:c>
      <x:c r="F10" s="13" t="n">
        <x:v>6.25</x:v>
      </x:c>
      <x:c r="G10" s="13" t="n">
        <x:v>0</x:v>
      </x:c>
      <x:c r="H10" s="13" t="str">
        <x:v>AM-06 only</x:v>
      </x:c>
      <x:c r="I10" s="13" t="n">
        <x:v>0.15</x:v>
      </x:c>
      <x:c r="J10" s="13" t="n">
        <x:v>4</x:v>
      </x:c>
      <x:c r="K10" s="13" t="n">
        <x:v>24</x:v>
      </x:c>
      <x:c r="L10" s="13" t="n">
        <x:f>ROUNDUP(K10/(1-I10),0)-K10</x:f>
        <x:v>5</x:v>
      </x:c>
      <x:c r="M10" s="13" t="n">
        <x:f>E10*K10/1000</x:f>
        <x:v>12</x:v>
      </x:c>
      <x:c r="N10" s="13" t="n">
        <x:f>J10*K10</x:f>
        <x:v>96</x:v>
      </x:c>
      <x:c r="O10" s="13" t="n">
        <x:f>J10*L10</x:f>
        <x:v>20</x:v>
      </x:c>
    </x:row>
    <x:row r="11" ht="42" customHeight="1">
      <x:c r="B11" s="13" t="str">
        <x:v>QE-05</x:v>
      </x:c>
      <x:c r="C11" s="13" t="str">
        <x:v>blind ancestry crossover</x:v>
      </x:c>
      <x:c r="D11" s="14" t="str">
        <x:v>500 kg nominal area with hidden source-water transfer</x:v>
      </x:c>
      <x:c r="E11" s="13" t="n">
        <x:v>500</x:v>
      </x:c>
      <x:c r="F11" s="13" t="n">
        <x:v>6.25</x:v>
      </x:c>
      <x:c r="G11" s="13" t="n">
        <x:v>24</x:v>
      </x:c>
      <x:c r="H11" s="13" t="str">
        <x:v>AM-06 only</x:v>
      </x:c>
      <x:c r="I11" s="13" t="n">
        <x:v>0.2</x:v>
      </x:c>
      <x:c r="J11" s="13" t="n">
        <x:v>6</x:v>
      </x:c>
      <x:c r="K11" s="13" t="n">
        <x:v>24</x:v>
      </x:c>
      <x:c r="L11" s="13" t="n">
        <x:f>ROUNDUP(K11/(1-I11),0)-K11</x:f>
        <x:v>6</x:v>
      </x:c>
      <x:c r="M11" s="13" t="n">
        <x:f>E11*K11/1000</x:f>
        <x:v>12</x:v>
      </x:c>
      <x:c r="N11" s="13" t="n">
        <x:f>J11*K11</x:f>
        <x:v>144</x:v>
      </x:c>
      <x:c r="O11" s="13" t="n">
        <x:f>J11*L11</x:f>
        <x:v>36</x:v>
      </x:c>
    </x:row>
    <x:row r="12" ht="42" customHeight="1">
      <x:c r="B12" s="13" t="str">
        <x:v>QE-06</x:v>
      </x:c>
      <x:c r="C12" s="13" t="str">
        <x:v>casualty-area denial and replay</x:v>
      </x:c>
      <x:c r="D12" s="14" t="str">
        <x:v>500 kg at 25 m2 bound; normal energy, network and primary time denied</x:v>
      </x:c>
      <x:c r="E12" s="13" t="n">
        <x:v>500</x:v>
      </x:c>
      <x:c r="F12" s="13" t="n">
        <x:v>25</x:v>
      </x:c>
      <x:c r="G12" s="13" t="n">
        <x:v>48</x:v>
      </x:c>
      <x:c r="H12" s="13" t="str">
        <x:v>AM-06 only</x:v>
      </x:c>
      <x:c r="I12" s="13" t="n">
        <x:v>0.25</x:v>
      </x:c>
      <x:c r="J12" s="13" t="n">
        <x:v>8</x:v>
      </x:c>
      <x:c r="K12" s="13" t="n">
        <x:v>24</x:v>
      </x:c>
      <x:c r="L12" s="13" t="n">
        <x:f>ROUNDUP(K12/(1-I12),0)-K12</x:f>
        <x:v>8</x:v>
      </x:c>
      <x:c r="M12" s="13" t="n">
        <x:f>E12*K12/1000</x:f>
        <x:v>12</x:v>
      </x:c>
      <x:c r="N12" s="13" t="n">
        <x:f>J12*K12</x:f>
        <x:v>192</x:v>
      </x:c>
      <x:c r="O12" s="13" t="n">
        <x:f>J12*L12</x:f>
        <x:v>64</x:v>
      </x:c>
    </x:row>
    <x:row r="13"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B14" s="11" t="str">
        <x:v>TOTAL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  <x:c r="K14" s="11" t="n">
        <x:f>SUM(K7:K12)</x:f>
        <x:v>144</x:v>
      </x:c>
      <x:c r="L14" s="11" t="n">
        <x:f>SUM(L7:L12)</x:f>
        <x:v>29</x:v>
      </x:c>
      <x:c r="M14" s="11" t="n">
        <x:f>SUM(M7:M12)</x:f>
        <x:v>44.4</x:v>
      </x:c>
      <x:c r="N14" s="11" t="n">
        <x:f>SUM(N7:N12)</x:f>
        <x:v>624</x:v>
      </x:c>
      <x:c r="O14" s="11" t="n">
        <x:f>SUM(O7:O12)</x:f>
        <x:v>147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4" hidden="0" customWidth="1"/>
    <x:col min="4" max="4" width="31" hidden="0" customWidth="1"/>
    <x:col min="5" max="5" width="20" hidden="0" customWidth="1"/>
    <x:col min="6" max="6" width="50" hidden="0" customWidth="1"/>
    <x:col min="7" max="7" width="66" hidden="0" customWidth="1"/>
    <x:col min="1" max="1" width="3" hidden="0" customWidth="1"/>
  </x:cols>
  <x:sheetData>
    <x:row r="2">
      <x:c r="B2" s="12" t="str">
        <x:v>Sixteen scale-effect controls</x:v>
      </x:c>
      <x:c r="C2" s="13"/>
      <x:c r="D2" s="13"/>
      <x:c r="E2" s="13"/>
      <x:c r="F2" s="13"/>
      <x:c r="G2" s="13"/>
    </x:row>
    <x:row r="3">
      <x:c r="B3" s="2" t="str">
        <x:v>Quarter-source work qualifies entry and methods. It does not establish full-source performance.</x:v>
      </x:c>
      <x:c r="C3" s="13"/>
      <x:c r="D3" s="13"/>
      <x:c r="E3" s="13"/>
      <x:c r="F3" s="13"/>
      <x:c r="G3" s="13"/>
    </x:row>
    <x:row r="4">
      <x:c r="B4" s="13"/>
      <x:c r="C4" s="13"/>
      <x:c r="D4" s="13"/>
      <x:c r="E4" s="13"/>
      <x:c r="F4" s="13"/>
      <x:c r="G4" s="13"/>
    </x:row>
    <x:row r="5">
      <x:c r="B5" s="13"/>
      <x:c r="C5" s="13"/>
      <x:c r="D5" s="13"/>
      <x:c r="E5" s="13"/>
      <x:c r="F5" s="13"/>
      <x:c r="G5" s="13"/>
    </x:row>
    <x:row r="6" ht="24" customHeight="1">
      <x:c r="B6" s="6" t="str">
        <x:v>Control</x:v>
      </x:c>
      <x:c r="C6" s="6" t="str">
        <x:v>Quantity</x:v>
      </x:c>
      <x:c r="D6" s="6" t="str">
        <x:v>Relationship</x:v>
      </x:c>
      <x:c r="E6" s="6" t="str">
        <x:v>Planning value</x:v>
      </x:c>
      <x:c r="F6" s="6" t="str">
        <x:v>Basis</x:v>
      </x:c>
      <x:c r="G6" s="6" t="str">
        <x:v>Limitation</x:v>
      </x:c>
    </x:row>
    <x:row r="7" ht="42" customHeight="1">
      <x:c r="B7" s="13" t="str">
        <x:v>SR-01</x:v>
      </x:c>
      <x:c r="C7" s="13" t="str">
        <x:v>inventory fraction</x:v>
      </x:c>
      <x:c r="D7" s="13" t="str">
        <x:v>m_q/m_full</x:v>
      </x:c>
      <x:c r="E7" s="13" t="n">
        <x:v>0.25</x:v>
      </x:c>
      <x:c r="F7" s="14" t="str">
        <x:v>exact only for admitted mass</x:v>
      </x:c>
      <x:c r="G7" s="14" t="str">
        <x:v>does not bound area or peak heat release</x:v>
      </x:c>
    </x:row>
    <x:row r="8" ht="42" customHeight="1">
      <x:c r="B8" s="13" t="str">
        <x:v>SR-02</x:v>
      </x:c>
      <x:c r="C8" s="13" t="str">
        <x:v>release-rate fraction</x:v>
      </x:c>
      <x:c r="D8" s="13" t="str">
        <x:v>m_dot_q/m_dot_full</x:v>
      </x:c>
      <x:c r="E8" s="13" t="n">
        <x:v>0.25</x:v>
      </x:c>
      <x:c r="F8" s="14" t="str">
        <x:v>if both use 120 s schedule</x:v>
      </x:c>
      <x:c r="G8" s="14" t="str">
        <x:v>changes route Reynolds and Froude regimes</x:v>
      </x:c>
    </x:row>
    <x:row r="9" ht="42" customHeight="1">
      <x:c r="B9" s="13" t="str">
        <x:v>SR-03</x:v>
      </x:c>
      <x:c r="C9" s="13" t="str">
        <x:v>nominal pool-area fraction</x:v>
      </x:c>
      <x:c r="D9" s="13" t="str">
        <x:v>A_q/A_full</x:v>
      </x:c>
      <x:c r="E9" s="13" t="n">
        <x:v>0.25</x:v>
      </x:c>
      <x:c r="F9" s="14" t="str">
        <x:v>6.25 m2 versus 25 m2</x:v>
      </x:c>
      <x:c r="G9" s="14" t="str">
        <x:v>must be physically constrained</x:v>
      </x:c>
    </x:row>
    <x:row r="10" ht="42" customHeight="1">
      <x:c r="B10" s="13" t="str">
        <x:v>SR-04</x:v>
      </x:c>
      <x:c r="C10" s="13" t="str">
        <x:v>casualty pool-area fraction</x:v>
      </x:c>
      <x:c r="D10" s="13" t="str">
        <x:v>A_bound/A_full</x:v>
      </x:c>
      <x:c r="E10" s="13" t="n">
        <x:v>1</x:v>
      </x:c>
      <x:c r="F10" s="14" t="str">
        <x:v>500 kg may still spread to 25 m2</x:v>
      </x:c>
      <x:c r="G10" s="14" t="str">
        <x:v>quarter mass does not imply quarter peak</x:v>
      </x:c>
    </x:row>
    <x:row r="11" ht="42" customHeight="1">
      <x:c r="B11" s="13" t="str">
        <x:v>SR-05</x:v>
      </x:c>
      <x:c r="C11" s="13" t="str">
        <x:v>nominal heat-release fraction</x:v>
      </x:c>
      <x:c r="D11" s="13" t="str">
        <x:v>Q_q/Q_full</x:v>
      </x:c>
      <x:c r="E11" s="13" t="n">
        <x:v>0.25</x:v>
      </x:c>
      <x:c r="F11" s="14" t="str">
        <x:v>constant burning flux and LHV</x:v>
      </x:c>
      <x:c r="G11" s="14" t="str">
        <x:v>valid only while nominal area holds</x:v>
      </x:c>
    </x:row>
    <x:row r="12" ht="42" customHeight="1">
      <x:c r="B12" s="13" t="str">
        <x:v>SR-06</x:v>
      </x:c>
      <x:c r="C12" s="13" t="str">
        <x:v>casualty heat-release fraction</x:v>
      </x:c>
      <x:c r="D12" s="13" t="str">
        <x:v>Q_bound/Q_full</x:v>
      </x:c>
      <x:c r="E12" s="13" t="n">
        <x:v>1</x:v>
      </x:c>
      <x:c r="F12" s="14" t="str">
        <x:v>same 25 m2 area</x:v>
      </x:c>
      <x:c r="G12" s="14" t="str">
        <x:v>duration, not peak, carries mass reduction</x:v>
      </x:c>
    </x:row>
    <x:row r="13" ht="42" customHeight="1">
      <x:c r="B13" s="13" t="str">
        <x:v>SR-07</x:v>
      </x:c>
      <x:c r="C13" s="13" t="str">
        <x:v>burn-duration fraction at 25 m2</x:v>
      </x:c>
      <x:c r="D13" s="13" t="str">
        <x:v>t_q/t_full</x:v>
      </x:c>
      <x:c r="E13" s="13" t="n">
        <x:v>0.25</x:v>
      </x:c>
      <x:c r="F13" s="14" t="str">
        <x:v>constant burning flux</x:v>
      </x:c>
      <x:c r="G13" s="14" t="str">
        <x:v>transient heat transfer may not scale linearly</x:v>
      </x:c>
    </x:row>
    <x:row r="14" ht="42" customHeight="1">
      <x:c r="B14" s="13" t="str">
        <x:v>SR-08</x:v>
      </x:c>
      <x:c r="C14" s="13" t="str">
        <x:v>route Reynolds fraction</x:v>
      </x:c>
      <x:c r="D14" s="13" t="str">
        <x:v>Re_q/Re_full</x:v>
      </x:c>
      <x:c r="E14" s="13" t="n">
        <x:v>0.25</x:v>
      </x:c>
      <x:c r="F14" s="14" t="str">
        <x:v>declared viscosity and equal route</x:v>
      </x:c>
      <x:c r="G14" s="14" t="str">
        <x:v>flow regime and loss coefficient require measurement</x:v>
      </x:c>
    </x:row>
    <x:row r="15" ht="42" customHeight="1">
      <x:c r="B15" s="13" t="str">
        <x:v>SR-09</x:v>
      </x:c>
      <x:c r="C15" s="13" t="str">
        <x:v>route Froude fraction</x:v>
      </x:c>
      <x:c r="D15" s="13" t="str">
        <x:v>Fr_q/Fr_full</x:v>
      </x:c>
      <x:c r="E15" s="13" t="n">
        <x:v>0.25</x:v>
      </x:c>
      <x:c r="F15" s="14" t="str">
        <x:v>equal gravity and diameter</x:v>
      </x:c>
      <x:c r="G15" s="14" t="str">
        <x:v>surface and drain behavior may change</x:v>
      </x:c>
    </x:row>
    <x:row r="16" ht="42" customHeight="1">
      <x:c r="B16" s="13" t="str">
        <x:v>SR-10</x:v>
      </x:c>
      <x:c r="C16" s="13" t="str">
        <x:v>route Weber fraction</x:v>
      </x:c>
      <x:c r="D16" s="13" t="str">
        <x:v>We_q/We_full</x:v>
      </x:c>
      <x:c r="E16" s="13" t="n">
        <x:v>0.0625</x:v>
      </x:c>
      <x:c r="F16" s="14" t="str">
        <x:v>velocity scales with mass rate</x:v>
      </x:c>
      <x:c r="G16" s="14" t="str">
        <x:v>atomization and breakup differ strongly</x:v>
      </x:c>
    </x:row>
    <x:row r="17" ht="42" customHeight="1">
      <x:c r="B17" s="13" t="str">
        <x:v>SR-11</x:v>
      </x:c>
      <x:c r="C17" s="13" t="str">
        <x:v>water-to-source mass ratio</x:v>
      </x:c>
      <x:c r="D17" s="13" t="str">
        <x:v>rho_w V_w/m_s</x:v>
      </x:c>
      <x:c r="E17" s="13" t="n">
        <x:v>96</x:v>
      </x:c>
      <x:c r="F17" s="14" t="str">
        <x:v>48 m3 at 1,000 kg/m3 over 500 kg source</x:v>
      </x:c>
      <x:c r="G17" s="14" t="str">
        <x:v>mixed inventory can exceed source mass by orders of magnitude</x:v>
      </x:c>
    </x:row>
    <x:row r="18" ht="42" customHeight="1">
      <x:c r="B18" s="13" t="str">
        <x:v>SR-12</x:v>
      </x:c>
      <x:c r="C18" s="13" t="str">
        <x:v>retention fraction</x:v>
      </x:c>
      <x:c r="D18" s="13" t="str">
        <x:v>V_water/V_vault</x:v>
      </x:c>
      <x:c r="E18" s="13" t="n">
        <x:v>0.4</x:v>
      </x:c>
      <x:c r="F18" s="14" t="str">
        <x:v>48 m3 versus 120 m3 casualty vault</x:v>
      </x:c>
      <x:c r="G18" s="14" t="str">
        <x:v>usable capacity requires measured starting state</x:v>
      </x:c>
    </x:row>
    <x:row r="19" ht="42" customHeight="1">
      <x:c r="B19" s="13" t="str">
        <x:v>SR-13</x:v>
      </x:c>
      <x:c r="C19" s="13" t="str">
        <x:v>time ratio</x:v>
      </x:c>
      <x:c r="D19" s="13" t="str">
        <x:v>terminal target/source interval</x:v>
      </x:c>
      <x:c r="E19" s="13" t="n">
        <x:v>0.25</x:v>
      </x:c>
      <x:c r="F19" s="14" t="str">
        <x:v>30 s versus 120 s</x:v>
      </x:c>
      <x:c r="G19" s="14" t="str">
        <x:v>external schedule end cannot satisfy candidate target</x:v>
      </x:c>
    </x:row>
    <x:row r="20" ht="42" customHeight="1">
      <x:c r="B20" s="13" t="str">
        <x:v>SR-14</x:v>
      </x:c>
      <x:c r="C20" s="13" t="str">
        <x:v>radiant standoff ratio</x:v>
      </x:c>
      <x:c r="D20" s="13" t="str">
        <x:v>r_q/r_full</x:v>
      </x:c>
      <x:c r="E20" s="13" t="n">
        <x:v>1</x:v>
      </x:c>
      <x:c r="F20" s="14" t="str">
        <x:v>casualty-area HRR equals full-area screen</x:v>
      </x:c>
      <x:c r="G20" s="14" t="str">
        <x:v>site exclusion cannot shrink on mass alone</x:v>
      </x:c>
    </x:row>
    <x:row r="21" ht="42" customHeight="1">
      <x:c r="B21" s="13" t="str">
        <x:v>SR-15</x:v>
      </x:c>
      <x:c r="C21" s="13" t="str">
        <x:v>ancestry recovery</x:v>
      </x:c>
      <x:c r="D21" s="13" t="str">
        <x:v>recovered code/admitted code</x:v>
      </x:c>
      <x:c r="E21" s="13" t="n">
        <x:v>0.995</x:v>
      </x:c>
      <x:c r="F21" s="14" t="str">
        <x:v>minimum accepted</x:v>
      </x:c>
      <x:c r="G21" s="14" t="str">
        <x:v>fractionation and reader loss remain explicit</x:v>
      </x:c>
    </x:row>
    <x:row r="22" ht="42" customHeight="1">
      <x:c r="B22" s="13" t="str">
        <x:v>SR-16</x:v>
      </x:c>
      <x:c r="C22" s="13" t="str">
        <x:v>extrapolation authority</x:v>
      </x:c>
      <x:c r="D22" s="13" t="str">
        <x:v>quarter result/full claim</x:v>
      </x:c>
      <x:c r="E22" s="13" t="n">
        <x:v>0</x:v>
      </x:c>
      <x:c r="F22" s="14" t="str">
        <x:v>no automatic extrapolation</x:v>
      </x:c>
      <x:c r="G22" s="14" t="str">
        <x:v>AM-07 requires separate physical evidence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20" hidden="0" customWidth="1"/>
    <x:col min="4" max="4" width="14" hidden="0" customWidth="1"/>
    <x:col min="5" max="5" width="14" hidden="0" customWidth="1"/>
    <x:col min="6" max="6" width="16" hidden="0" customWidth="1"/>
    <x:col min="7" max="7" width="28" hidden="0" customWidth="1"/>
    <x:col min="8" max="8" width="19" hidden="0" customWidth="1"/>
    <x:col min="9" max="9" width="18" hidden="0" customWidth="1"/>
    <x:col min="10" max="10" width="21" hidden="0" customWidth="1"/>
    <x:col min="11" max="11" width="14" hidden="0" customWidth="1"/>
    <x:col min="1" max="1" width="3" hidden="0" customWidth="1"/>
  </x:cols>
  <x:sheetData>
    <x:row r="2">
      <x:c r="B2" s="12" t="str">
        <x:v>Forty source lots under public custody</x:v>
      </x:c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B3" s="2" t="str">
        <x:v>Every method-root family owns six active, one reference, one destructive and two quarantine lots.</x:v>
      </x:c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</x:row>
    <x:row r="6" ht="24" customHeight="1">
      <x:c r="B6" s="6" t="str">
        <x:v>Source lot</x:v>
      </x:c>
      <x:c r="C6" s="6" t="str">
        <x:v>Truth root</x:v>
      </x:c>
      <x:c r="D6" s="6" t="str">
        <x:v>Method</x:v>
      </x:c>
      <x:c r="E6" s="6" t="str">
        <x:v>Serial</x:v>
      </x:c>
      <x:c r="F6" s="6" t="str">
        <x:v>Role</x:v>
      </x:c>
      <x:c r="G6" s="6" t="str">
        <x:v>Custody</x:v>
      </x:c>
      <x:c r="H6" s="6" t="str">
        <x:v>Density kg/m3</x:v>
      </x:c>
      <x:c r="I6" s="6" t="str">
        <x:v>LHV MJ/kg</x:v>
      </x:c>
      <x:c r="J6" s="6" t="str">
        <x:v>Accepted UTC</x:v>
      </x:c>
      <x:c r="K6" s="6" t="str">
        <x:v>State</x:v>
      </x:c>
    </x:row>
    <x:row r="7">
      <x:c r="B7" s="13" t="str">
        <x:v>RAS-S001</x:v>
      </x:c>
      <x:c r="C7" s="13" t="str">
        <x:v>AM-05-TR-A</x:v>
      </x:c>
      <x:c r="D7" s="13" t="str">
        <x:v>AM-05</x:v>
      </x:c>
      <x:c r="E7" s="13" t="str">
        <x:v>SL-01</x:v>
      </x:c>
      <x:c r="F7" s="13" t="str">
        <x:v>active</x:v>
      </x:c>
      <x:c r="G7" s="13" t="str">
        <x:v>RFP-A1</x:v>
      </x:c>
      <x:c r="H7" s="13" t="n">
        <x:v>800</x:v>
      </x:c>
      <x:c r="I7" s="13" t="n">
        <x:v>42.588</x:v>
      </x:c>
      <x:c r="J7" s="13" t="str"/>
      <x:c r="K7" s="13" t="str">
        <x:v>OPEN</x:v>
      </x:c>
    </x:row>
    <x:row r="8">
      <x:c r="B8" s="13" t="str">
        <x:v>RAS-S002</x:v>
      </x:c>
      <x:c r="C8" s="13" t="str">
        <x:v>AM-05-TR-A</x:v>
      </x:c>
      <x:c r="D8" s="13" t="str">
        <x:v>AM-05</x:v>
      </x:c>
      <x:c r="E8" s="13" t="str">
        <x:v>SL-02</x:v>
      </x:c>
      <x:c r="F8" s="13" t="str">
        <x:v>active</x:v>
      </x:c>
      <x:c r="G8" s="13" t="str">
        <x:v>RFP-A2</x:v>
      </x:c>
      <x:c r="H8" s="13" t="n">
        <x:v>800</x:v>
      </x:c>
      <x:c r="I8" s="13" t="n">
        <x:v>42.588</x:v>
      </x:c>
      <x:c r="J8" s="13" t="str"/>
      <x:c r="K8" s="13" t="str">
        <x:v>OPEN</x:v>
      </x:c>
    </x:row>
    <x:row r="9">
      <x:c r="B9" s="13" t="str">
        <x:v>RAS-S003</x:v>
      </x:c>
      <x:c r="C9" s="13" t="str">
        <x:v>AM-05-TR-A</x:v>
      </x:c>
      <x:c r="D9" s="13" t="str">
        <x:v>AM-05</x:v>
      </x:c>
      <x:c r="E9" s="13" t="str">
        <x:v>SL-03</x:v>
      </x:c>
      <x:c r="F9" s="13" t="str">
        <x:v>active</x:v>
      </x:c>
      <x:c r="G9" s="13" t="str">
        <x:v>RFP-B1</x:v>
      </x:c>
      <x:c r="H9" s="13" t="n">
        <x:v>800</x:v>
      </x:c>
      <x:c r="I9" s="13" t="n">
        <x:v>42.588</x:v>
      </x:c>
      <x:c r="J9" s="13" t="str"/>
      <x:c r="K9" s="13" t="str">
        <x:v>OPEN</x:v>
      </x:c>
    </x:row>
    <x:row r="10">
      <x:c r="B10" s="13" t="str">
        <x:v>RAS-S004</x:v>
      </x:c>
      <x:c r="C10" s="13" t="str">
        <x:v>AM-05-TR-A</x:v>
      </x:c>
      <x:c r="D10" s="13" t="str">
        <x:v>AM-05</x:v>
      </x:c>
      <x:c r="E10" s="13" t="str">
        <x:v>SL-04</x:v>
      </x:c>
      <x:c r="F10" s="13" t="str">
        <x:v>active</x:v>
      </x:c>
      <x:c r="G10" s="13" t="str">
        <x:v>RFP-B2</x:v>
      </x:c>
      <x:c r="H10" s="13" t="n">
        <x:v>800</x:v>
      </x:c>
      <x:c r="I10" s="13" t="n">
        <x:v>42.588</x:v>
      </x:c>
      <x:c r="J10" s="13" t="str"/>
      <x:c r="K10" s="13" t="str">
        <x:v>OPEN</x:v>
      </x:c>
    </x:row>
    <x:row r="11">
      <x:c r="B11" s="13" t="str">
        <x:v>RAS-S005</x:v>
      </x:c>
      <x:c r="C11" s="13" t="str">
        <x:v>AM-05-TR-A</x:v>
      </x:c>
      <x:c r="D11" s="13" t="str">
        <x:v>AM-05</x:v>
      </x:c>
      <x:c r="E11" s="13" t="str">
        <x:v>SL-05</x:v>
      </x:c>
      <x:c r="F11" s="13" t="str">
        <x:v>active</x:v>
      </x:c>
      <x:c r="G11" s="13" t="str">
        <x:v>RFP-C1</x:v>
      </x:c>
      <x:c r="H11" s="13" t="n">
        <x:v>800</x:v>
      </x:c>
      <x:c r="I11" s="13" t="n">
        <x:v>42.588</x:v>
      </x:c>
      <x:c r="J11" s="13" t="str"/>
      <x:c r="K11" s="13" t="str">
        <x:v>OPEN</x:v>
      </x:c>
    </x:row>
    <x:row r="12">
      <x:c r="B12" s="13" t="str">
        <x:v>RAS-S006</x:v>
      </x:c>
      <x:c r="C12" s="13" t="str">
        <x:v>AM-05-TR-A</x:v>
      </x:c>
      <x:c r="D12" s="13" t="str">
        <x:v>AM-05</x:v>
      </x:c>
      <x:c r="E12" s="13" t="str">
        <x:v>SL-06</x:v>
      </x:c>
      <x:c r="F12" s="13" t="str">
        <x:v>active</x:v>
      </x:c>
      <x:c r="G12" s="13" t="str">
        <x:v>RFP-C2</x:v>
      </x:c>
      <x:c r="H12" s="13" t="n">
        <x:v>800</x:v>
      </x:c>
      <x:c r="I12" s="13" t="n">
        <x:v>42.588</x:v>
      </x:c>
      <x:c r="J12" s="13" t="str"/>
      <x:c r="K12" s="13" t="str">
        <x:v>OPEN</x:v>
      </x:c>
    </x:row>
    <x:row r="13">
      <x:c r="B13" s="13" t="str">
        <x:v>RAS-S007</x:v>
      </x:c>
      <x:c r="C13" s="13" t="str">
        <x:v>AM-05-TR-A</x:v>
      </x:c>
      <x:c r="D13" s="13" t="str">
        <x:v>AM-05</x:v>
      </x:c>
      <x:c r="E13" s="13" t="str">
        <x:v>SL-07</x:v>
      </x:c>
      <x:c r="F13" s="13" t="str">
        <x:v>reference</x:v>
      </x:c>
      <x:c r="G13" s="13" t="str">
        <x:v>public source bank</x:v>
      </x:c>
      <x:c r="H13" s="13" t="n">
        <x:v>800</x:v>
      </x:c>
      <x:c r="I13" s="13" t="n">
        <x:v>42.588</x:v>
      </x:c>
      <x:c r="J13" s="13" t="str"/>
      <x:c r="K13" s="13" t="str">
        <x:v>OPEN</x:v>
      </x:c>
    </x:row>
    <x:row r="14">
      <x:c r="B14" s="13" t="str">
        <x:v>RAS-S008</x:v>
      </x:c>
      <x:c r="C14" s="13" t="str">
        <x:v>AM-05-TR-A</x:v>
      </x:c>
      <x:c r="D14" s="13" t="str">
        <x:v>AM-05</x:v>
      </x:c>
      <x:c r="E14" s="13" t="str">
        <x:v>SL-08</x:v>
      </x:c>
      <x:c r="F14" s="13" t="str">
        <x:v>destructive</x:v>
      </x:c>
      <x:c r="G14" s="13" t="str">
        <x:v>public source bank</x:v>
      </x:c>
      <x:c r="H14" s="13" t="n">
        <x:v>800</x:v>
      </x:c>
      <x:c r="I14" s="13" t="n">
        <x:v>42.588</x:v>
      </x:c>
      <x:c r="J14" s="13" t="str"/>
      <x:c r="K14" s="13" t="str">
        <x:v>OPEN</x:v>
      </x:c>
    </x:row>
    <x:row r="15">
      <x:c r="B15" s="13" t="str">
        <x:v>RAS-S009</x:v>
      </x:c>
      <x:c r="C15" s="13" t="str">
        <x:v>AM-05-TR-A</x:v>
      </x:c>
      <x:c r="D15" s="13" t="str">
        <x:v>AM-05</x:v>
      </x:c>
      <x:c r="E15" s="13" t="str">
        <x:v>SL-09</x:v>
      </x:c>
      <x:c r="F15" s="13" t="str">
        <x:v>quarantine</x:v>
      </x:c>
      <x:c r="G15" s="13" t="str">
        <x:v>public source bank</x:v>
      </x:c>
      <x:c r="H15" s="13" t="n">
        <x:v>800</x:v>
      </x:c>
      <x:c r="I15" s="13" t="n">
        <x:v>42.588</x:v>
      </x:c>
      <x:c r="J15" s="13" t="str"/>
      <x:c r="K15" s="13" t="str">
        <x:v>OPEN</x:v>
      </x:c>
    </x:row>
    <x:row r="16">
      <x:c r="B16" s="13" t="str">
        <x:v>RAS-S010</x:v>
      </x:c>
      <x:c r="C16" s="13" t="str">
        <x:v>AM-05-TR-A</x:v>
      </x:c>
      <x:c r="D16" s="13" t="str">
        <x:v>AM-05</x:v>
      </x:c>
      <x:c r="E16" s="13" t="str">
        <x:v>SL-10</x:v>
      </x:c>
      <x:c r="F16" s="13" t="str">
        <x:v>quarantine</x:v>
      </x:c>
      <x:c r="G16" s="13" t="str">
        <x:v>public source bank</x:v>
      </x:c>
      <x:c r="H16" s="13" t="n">
        <x:v>800</x:v>
      </x:c>
      <x:c r="I16" s="13" t="n">
        <x:v>42.588</x:v>
      </x:c>
      <x:c r="J16" s="13" t="str"/>
      <x:c r="K16" s="13" t="str">
        <x:v>OPEN</x:v>
      </x:c>
    </x:row>
    <x:row r="17">
      <x:c r="B17" s="13" t="str">
        <x:v>RAS-S011</x:v>
      </x:c>
      <x:c r="C17" s="13" t="str">
        <x:v>AM-05-TR-B</x:v>
      </x:c>
      <x:c r="D17" s="13" t="str">
        <x:v>AM-05</x:v>
      </x:c>
      <x:c r="E17" s="13" t="str">
        <x:v>SL-01</x:v>
      </x:c>
      <x:c r="F17" s="13" t="str">
        <x:v>active</x:v>
      </x:c>
      <x:c r="G17" s="13" t="str">
        <x:v>RFP-A1</x:v>
      </x:c>
      <x:c r="H17" s="13" t="n">
        <x:v>800</x:v>
      </x:c>
      <x:c r="I17" s="13" t="n">
        <x:v>42.588</x:v>
      </x:c>
      <x:c r="J17" s="13" t="str"/>
      <x:c r="K17" s="13" t="str">
        <x:v>OPEN</x:v>
      </x:c>
    </x:row>
    <x:row r="18">
      <x:c r="B18" s="13" t="str">
        <x:v>RAS-S012</x:v>
      </x:c>
      <x:c r="C18" s="13" t="str">
        <x:v>AM-05-TR-B</x:v>
      </x:c>
      <x:c r="D18" s="13" t="str">
        <x:v>AM-05</x:v>
      </x:c>
      <x:c r="E18" s="13" t="str">
        <x:v>SL-02</x:v>
      </x:c>
      <x:c r="F18" s="13" t="str">
        <x:v>active</x:v>
      </x:c>
      <x:c r="G18" s="13" t="str">
        <x:v>RFP-A2</x:v>
      </x:c>
      <x:c r="H18" s="13" t="n">
        <x:v>800</x:v>
      </x:c>
      <x:c r="I18" s="13" t="n">
        <x:v>42.588</x:v>
      </x:c>
      <x:c r="J18" s="13" t="str"/>
      <x:c r="K18" s="13" t="str">
        <x:v>OPEN</x:v>
      </x:c>
    </x:row>
    <x:row r="19">
      <x:c r="B19" s="13" t="str">
        <x:v>RAS-S013</x:v>
      </x:c>
      <x:c r="C19" s="13" t="str">
        <x:v>AM-05-TR-B</x:v>
      </x:c>
      <x:c r="D19" s="13" t="str">
        <x:v>AM-05</x:v>
      </x:c>
      <x:c r="E19" s="13" t="str">
        <x:v>SL-03</x:v>
      </x:c>
      <x:c r="F19" s="13" t="str">
        <x:v>active</x:v>
      </x:c>
      <x:c r="G19" s="13" t="str">
        <x:v>RFP-B1</x:v>
      </x:c>
      <x:c r="H19" s="13" t="n">
        <x:v>800</x:v>
      </x:c>
      <x:c r="I19" s="13" t="n">
        <x:v>42.588</x:v>
      </x:c>
      <x:c r="J19" s="13" t="str"/>
      <x:c r="K19" s="13" t="str">
        <x:v>OPEN</x:v>
      </x:c>
    </x:row>
    <x:row r="20">
      <x:c r="B20" s="13" t="str">
        <x:v>RAS-S014</x:v>
      </x:c>
      <x:c r="C20" s="13" t="str">
        <x:v>AM-05-TR-B</x:v>
      </x:c>
      <x:c r="D20" s="13" t="str">
        <x:v>AM-05</x:v>
      </x:c>
      <x:c r="E20" s="13" t="str">
        <x:v>SL-04</x:v>
      </x:c>
      <x:c r="F20" s="13" t="str">
        <x:v>active</x:v>
      </x:c>
      <x:c r="G20" s="13" t="str">
        <x:v>RFP-B2</x:v>
      </x:c>
      <x:c r="H20" s="13" t="n">
        <x:v>800</x:v>
      </x:c>
      <x:c r="I20" s="13" t="n">
        <x:v>42.588</x:v>
      </x:c>
      <x:c r="J20" s="13" t="str"/>
      <x:c r="K20" s="13" t="str">
        <x:v>OPEN</x:v>
      </x:c>
    </x:row>
    <x:row r="21">
      <x:c r="B21" s="13" t="str">
        <x:v>RAS-S015</x:v>
      </x:c>
      <x:c r="C21" s="13" t="str">
        <x:v>AM-05-TR-B</x:v>
      </x:c>
      <x:c r="D21" s="13" t="str">
        <x:v>AM-05</x:v>
      </x:c>
      <x:c r="E21" s="13" t="str">
        <x:v>SL-05</x:v>
      </x:c>
      <x:c r="F21" s="13" t="str">
        <x:v>active</x:v>
      </x:c>
      <x:c r="G21" s="13" t="str">
        <x:v>RFP-C1</x:v>
      </x:c>
      <x:c r="H21" s="13" t="n">
        <x:v>800</x:v>
      </x:c>
      <x:c r="I21" s="13" t="n">
        <x:v>42.588</x:v>
      </x:c>
      <x:c r="J21" s="13" t="str"/>
      <x:c r="K21" s="13" t="str">
        <x:v>OPEN</x:v>
      </x:c>
    </x:row>
    <x:row r="22">
      <x:c r="B22" s="13" t="str">
        <x:v>RAS-S016</x:v>
      </x:c>
      <x:c r="C22" s="13" t="str">
        <x:v>AM-05-TR-B</x:v>
      </x:c>
      <x:c r="D22" s="13" t="str">
        <x:v>AM-05</x:v>
      </x:c>
      <x:c r="E22" s="13" t="str">
        <x:v>SL-06</x:v>
      </x:c>
      <x:c r="F22" s="13" t="str">
        <x:v>active</x:v>
      </x:c>
      <x:c r="G22" s="13" t="str">
        <x:v>RFP-C2</x:v>
      </x:c>
      <x:c r="H22" s="13" t="n">
        <x:v>800</x:v>
      </x:c>
      <x:c r="I22" s="13" t="n">
        <x:v>42.588</x:v>
      </x:c>
      <x:c r="J22" s="13" t="str"/>
      <x:c r="K22" s="13" t="str">
        <x:v>OPEN</x:v>
      </x:c>
    </x:row>
    <x:row r="23">
      <x:c r="B23" s="13" t="str">
        <x:v>RAS-S017</x:v>
      </x:c>
      <x:c r="C23" s="13" t="str">
        <x:v>AM-05-TR-B</x:v>
      </x:c>
      <x:c r="D23" s="13" t="str">
        <x:v>AM-05</x:v>
      </x:c>
      <x:c r="E23" s="13" t="str">
        <x:v>SL-07</x:v>
      </x:c>
      <x:c r="F23" s="13" t="str">
        <x:v>reference</x:v>
      </x:c>
      <x:c r="G23" s="13" t="str">
        <x:v>public source bank</x:v>
      </x:c>
      <x:c r="H23" s="13" t="n">
        <x:v>800</x:v>
      </x:c>
      <x:c r="I23" s="13" t="n">
        <x:v>42.588</x:v>
      </x:c>
      <x:c r="J23" s="13" t="str"/>
      <x:c r="K23" s="13" t="str">
        <x:v>OPEN</x:v>
      </x:c>
    </x:row>
    <x:row r="24">
      <x:c r="B24" s="13" t="str">
        <x:v>RAS-S018</x:v>
      </x:c>
      <x:c r="C24" s="13" t="str">
        <x:v>AM-05-TR-B</x:v>
      </x:c>
      <x:c r="D24" s="13" t="str">
        <x:v>AM-05</x:v>
      </x:c>
      <x:c r="E24" s="13" t="str">
        <x:v>SL-08</x:v>
      </x:c>
      <x:c r="F24" s="13" t="str">
        <x:v>destructive</x:v>
      </x:c>
      <x:c r="G24" s="13" t="str">
        <x:v>public source bank</x:v>
      </x:c>
      <x:c r="H24" s="13" t="n">
        <x:v>800</x:v>
      </x:c>
      <x:c r="I24" s="13" t="n">
        <x:v>42.588</x:v>
      </x:c>
      <x:c r="J24" s="13" t="str"/>
      <x:c r="K24" s="13" t="str">
        <x:v>OPEN</x:v>
      </x:c>
    </x:row>
    <x:row r="25">
      <x:c r="B25" s="13" t="str">
        <x:v>RAS-S019</x:v>
      </x:c>
      <x:c r="C25" s="13" t="str">
        <x:v>AM-05-TR-B</x:v>
      </x:c>
      <x:c r="D25" s="13" t="str">
        <x:v>AM-05</x:v>
      </x:c>
      <x:c r="E25" s="13" t="str">
        <x:v>SL-09</x:v>
      </x:c>
      <x:c r="F25" s="13" t="str">
        <x:v>quarantine</x:v>
      </x:c>
      <x:c r="G25" s="13" t="str">
        <x:v>public source bank</x:v>
      </x:c>
      <x:c r="H25" s="13" t="n">
        <x:v>800</x:v>
      </x:c>
      <x:c r="I25" s="13" t="n">
        <x:v>42.588</x:v>
      </x:c>
      <x:c r="J25" s="13" t="str"/>
      <x:c r="K25" s="13" t="str">
        <x:v>OPEN</x:v>
      </x:c>
    </x:row>
    <x:row r="26">
      <x:c r="B26" s="13" t="str">
        <x:v>RAS-S020</x:v>
      </x:c>
      <x:c r="C26" s="13" t="str">
        <x:v>AM-05-TR-B</x:v>
      </x:c>
      <x:c r="D26" s="13" t="str">
        <x:v>AM-05</x:v>
      </x:c>
      <x:c r="E26" s="13" t="str">
        <x:v>SL-10</x:v>
      </x:c>
      <x:c r="F26" s="13" t="str">
        <x:v>quarantine</x:v>
      </x:c>
      <x:c r="G26" s="13" t="str">
        <x:v>public source bank</x:v>
      </x:c>
      <x:c r="H26" s="13" t="n">
        <x:v>800</x:v>
      </x:c>
      <x:c r="I26" s="13" t="n">
        <x:v>42.588</x:v>
      </x:c>
      <x:c r="J26" s="13" t="str"/>
      <x:c r="K26" s="13" t="str">
        <x:v>OPEN</x:v>
      </x:c>
    </x:row>
    <x:row r="27">
      <x:c r="B27" s="13" t="str">
        <x:v>RAS-S021</x:v>
      </x:c>
      <x:c r="C27" s="13" t="str">
        <x:v>AM-06-TR-A</x:v>
      </x:c>
      <x:c r="D27" s="13" t="str">
        <x:v>AM-06</x:v>
      </x:c>
      <x:c r="E27" s="13" t="str">
        <x:v>SL-01</x:v>
      </x:c>
      <x:c r="F27" s="13" t="str">
        <x:v>active</x:v>
      </x:c>
      <x:c r="G27" s="13" t="str">
        <x:v>RFP-A1</x:v>
      </x:c>
      <x:c r="H27" s="13" t="n">
        <x:v>800</x:v>
      </x:c>
      <x:c r="I27" s="13" t="n">
        <x:v>42.588</x:v>
      </x:c>
      <x:c r="J27" s="13" t="str"/>
      <x:c r="K27" s="13" t="str">
        <x:v>OPEN</x:v>
      </x:c>
    </x:row>
    <x:row r="28">
      <x:c r="B28" s="13" t="str">
        <x:v>RAS-S022</x:v>
      </x:c>
      <x:c r="C28" s="13" t="str">
        <x:v>AM-06-TR-A</x:v>
      </x:c>
      <x:c r="D28" s="13" t="str">
        <x:v>AM-06</x:v>
      </x:c>
      <x:c r="E28" s="13" t="str">
        <x:v>SL-02</x:v>
      </x:c>
      <x:c r="F28" s="13" t="str">
        <x:v>active</x:v>
      </x:c>
      <x:c r="G28" s="13" t="str">
        <x:v>RFP-A2</x:v>
      </x:c>
      <x:c r="H28" s="13" t="n">
        <x:v>800</x:v>
      </x:c>
      <x:c r="I28" s="13" t="n">
        <x:v>42.588</x:v>
      </x:c>
      <x:c r="J28" s="13" t="str"/>
      <x:c r="K28" s="13" t="str">
        <x:v>OPEN</x:v>
      </x:c>
    </x:row>
    <x:row r="29">
      <x:c r="B29" s="13" t="str">
        <x:v>RAS-S023</x:v>
      </x:c>
      <x:c r="C29" s="13" t="str">
        <x:v>AM-06-TR-A</x:v>
      </x:c>
      <x:c r="D29" s="13" t="str">
        <x:v>AM-06</x:v>
      </x:c>
      <x:c r="E29" s="13" t="str">
        <x:v>SL-03</x:v>
      </x:c>
      <x:c r="F29" s="13" t="str">
        <x:v>active</x:v>
      </x:c>
      <x:c r="G29" s="13" t="str">
        <x:v>RFP-B1</x:v>
      </x:c>
      <x:c r="H29" s="13" t="n">
        <x:v>800</x:v>
      </x:c>
      <x:c r="I29" s="13" t="n">
        <x:v>42.588</x:v>
      </x:c>
      <x:c r="J29" s="13" t="str"/>
      <x:c r="K29" s="13" t="str">
        <x:v>OPEN</x:v>
      </x:c>
    </x:row>
    <x:row r="30">
      <x:c r="B30" s="13" t="str">
        <x:v>RAS-S024</x:v>
      </x:c>
      <x:c r="C30" s="13" t="str">
        <x:v>AM-06-TR-A</x:v>
      </x:c>
      <x:c r="D30" s="13" t="str">
        <x:v>AM-06</x:v>
      </x:c>
      <x:c r="E30" s="13" t="str">
        <x:v>SL-04</x:v>
      </x:c>
      <x:c r="F30" s="13" t="str">
        <x:v>active</x:v>
      </x:c>
      <x:c r="G30" s="13" t="str">
        <x:v>RFP-B2</x:v>
      </x:c>
      <x:c r="H30" s="13" t="n">
        <x:v>800</x:v>
      </x:c>
      <x:c r="I30" s="13" t="n">
        <x:v>42.588</x:v>
      </x:c>
      <x:c r="J30" s="13" t="str"/>
      <x:c r="K30" s="13" t="str">
        <x:v>OPEN</x:v>
      </x:c>
    </x:row>
    <x:row r="31">
      <x:c r="B31" s="13" t="str">
        <x:v>RAS-S025</x:v>
      </x:c>
      <x:c r="C31" s="13" t="str">
        <x:v>AM-06-TR-A</x:v>
      </x:c>
      <x:c r="D31" s="13" t="str">
        <x:v>AM-06</x:v>
      </x:c>
      <x:c r="E31" s="13" t="str">
        <x:v>SL-05</x:v>
      </x:c>
      <x:c r="F31" s="13" t="str">
        <x:v>active</x:v>
      </x:c>
      <x:c r="G31" s="13" t="str">
        <x:v>RFP-C1</x:v>
      </x:c>
      <x:c r="H31" s="13" t="n">
        <x:v>800</x:v>
      </x:c>
      <x:c r="I31" s="13" t="n">
        <x:v>42.588</x:v>
      </x:c>
      <x:c r="J31" s="13" t="str"/>
      <x:c r="K31" s="13" t="str">
        <x:v>OPEN</x:v>
      </x:c>
    </x:row>
    <x:row r="32">
      <x:c r="B32" s="13" t="str">
        <x:v>RAS-S026</x:v>
      </x:c>
      <x:c r="C32" s="13" t="str">
        <x:v>AM-06-TR-A</x:v>
      </x:c>
      <x:c r="D32" s="13" t="str">
        <x:v>AM-06</x:v>
      </x:c>
      <x:c r="E32" s="13" t="str">
        <x:v>SL-06</x:v>
      </x:c>
      <x:c r="F32" s="13" t="str">
        <x:v>active</x:v>
      </x:c>
      <x:c r="G32" s="13" t="str">
        <x:v>RFP-C2</x:v>
      </x:c>
      <x:c r="H32" s="13" t="n">
        <x:v>800</x:v>
      </x:c>
      <x:c r="I32" s="13" t="n">
        <x:v>42.588</x:v>
      </x:c>
      <x:c r="J32" s="13" t="str"/>
      <x:c r="K32" s="13" t="str">
        <x:v>OPEN</x:v>
      </x:c>
    </x:row>
    <x:row r="33">
      <x:c r="B33" s="13" t="str">
        <x:v>RAS-S027</x:v>
      </x:c>
      <x:c r="C33" s="13" t="str">
        <x:v>AM-06-TR-A</x:v>
      </x:c>
      <x:c r="D33" s="13" t="str">
        <x:v>AM-06</x:v>
      </x:c>
      <x:c r="E33" s="13" t="str">
        <x:v>SL-07</x:v>
      </x:c>
      <x:c r="F33" s="13" t="str">
        <x:v>reference</x:v>
      </x:c>
      <x:c r="G33" s="13" t="str">
        <x:v>public source bank</x:v>
      </x:c>
      <x:c r="H33" s="13" t="n">
        <x:v>800</x:v>
      </x:c>
      <x:c r="I33" s="13" t="n">
        <x:v>42.588</x:v>
      </x:c>
      <x:c r="J33" s="13" t="str"/>
      <x:c r="K33" s="13" t="str">
        <x:v>OPEN</x:v>
      </x:c>
    </x:row>
    <x:row r="34">
      <x:c r="B34" s="13" t="str">
        <x:v>RAS-S028</x:v>
      </x:c>
      <x:c r="C34" s="13" t="str">
        <x:v>AM-06-TR-A</x:v>
      </x:c>
      <x:c r="D34" s="13" t="str">
        <x:v>AM-06</x:v>
      </x:c>
      <x:c r="E34" s="13" t="str">
        <x:v>SL-08</x:v>
      </x:c>
      <x:c r="F34" s="13" t="str">
        <x:v>destructive</x:v>
      </x:c>
      <x:c r="G34" s="13" t="str">
        <x:v>public source bank</x:v>
      </x:c>
      <x:c r="H34" s="13" t="n">
        <x:v>800</x:v>
      </x:c>
      <x:c r="I34" s="13" t="n">
        <x:v>42.588</x:v>
      </x:c>
      <x:c r="J34" s="13" t="str"/>
      <x:c r="K34" s="13" t="str">
        <x:v>OPEN</x:v>
      </x:c>
    </x:row>
    <x:row r="35">
      <x:c r="B35" s="13" t="str">
        <x:v>RAS-S029</x:v>
      </x:c>
      <x:c r="C35" s="13" t="str">
        <x:v>AM-06-TR-A</x:v>
      </x:c>
      <x:c r="D35" s="13" t="str">
        <x:v>AM-06</x:v>
      </x:c>
      <x:c r="E35" s="13" t="str">
        <x:v>SL-09</x:v>
      </x:c>
      <x:c r="F35" s="13" t="str">
        <x:v>quarantine</x:v>
      </x:c>
      <x:c r="G35" s="13" t="str">
        <x:v>public source bank</x:v>
      </x:c>
      <x:c r="H35" s="13" t="n">
        <x:v>800</x:v>
      </x:c>
      <x:c r="I35" s="13" t="n">
        <x:v>42.588</x:v>
      </x:c>
      <x:c r="J35" s="13" t="str"/>
      <x:c r="K35" s="13" t="str">
        <x:v>OPEN</x:v>
      </x:c>
    </x:row>
    <x:row r="36">
      <x:c r="B36" s="13" t="str">
        <x:v>RAS-S030</x:v>
      </x:c>
      <x:c r="C36" s="13" t="str">
        <x:v>AM-06-TR-A</x:v>
      </x:c>
      <x:c r="D36" s="13" t="str">
        <x:v>AM-06</x:v>
      </x:c>
      <x:c r="E36" s="13" t="str">
        <x:v>SL-10</x:v>
      </x:c>
      <x:c r="F36" s="13" t="str">
        <x:v>quarantine</x:v>
      </x:c>
      <x:c r="G36" s="13" t="str">
        <x:v>public source bank</x:v>
      </x:c>
      <x:c r="H36" s="13" t="n">
        <x:v>800</x:v>
      </x:c>
      <x:c r="I36" s="13" t="n">
        <x:v>42.588</x:v>
      </x:c>
      <x:c r="J36" s="13" t="str"/>
      <x:c r="K36" s="13" t="str">
        <x:v>OPEN</x:v>
      </x:c>
    </x:row>
    <x:row r="37">
      <x:c r="B37" s="13" t="str">
        <x:v>RAS-S031</x:v>
      </x:c>
      <x:c r="C37" s="13" t="str">
        <x:v>AM-06-TR-B</x:v>
      </x:c>
      <x:c r="D37" s="13" t="str">
        <x:v>AM-06</x:v>
      </x:c>
      <x:c r="E37" s="13" t="str">
        <x:v>SL-01</x:v>
      </x:c>
      <x:c r="F37" s="13" t="str">
        <x:v>active</x:v>
      </x:c>
      <x:c r="G37" s="13" t="str">
        <x:v>RFP-A1</x:v>
      </x:c>
      <x:c r="H37" s="13" t="n">
        <x:v>800</x:v>
      </x:c>
      <x:c r="I37" s="13" t="n">
        <x:v>42.588</x:v>
      </x:c>
      <x:c r="J37" s="13" t="str"/>
      <x:c r="K37" s="13" t="str">
        <x:v>OPEN</x:v>
      </x:c>
    </x:row>
    <x:row r="38">
      <x:c r="B38" s="13" t="str">
        <x:v>RAS-S032</x:v>
      </x:c>
      <x:c r="C38" s="13" t="str">
        <x:v>AM-06-TR-B</x:v>
      </x:c>
      <x:c r="D38" s="13" t="str">
        <x:v>AM-06</x:v>
      </x:c>
      <x:c r="E38" s="13" t="str">
        <x:v>SL-02</x:v>
      </x:c>
      <x:c r="F38" s="13" t="str">
        <x:v>active</x:v>
      </x:c>
      <x:c r="G38" s="13" t="str">
        <x:v>RFP-A2</x:v>
      </x:c>
      <x:c r="H38" s="13" t="n">
        <x:v>800</x:v>
      </x:c>
      <x:c r="I38" s="13" t="n">
        <x:v>42.588</x:v>
      </x:c>
      <x:c r="J38" s="13" t="str"/>
      <x:c r="K38" s="13" t="str">
        <x:v>OPEN</x:v>
      </x:c>
    </x:row>
    <x:row r="39">
      <x:c r="B39" s="13" t="str">
        <x:v>RAS-S033</x:v>
      </x:c>
      <x:c r="C39" s="13" t="str">
        <x:v>AM-06-TR-B</x:v>
      </x:c>
      <x:c r="D39" s="13" t="str">
        <x:v>AM-06</x:v>
      </x:c>
      <x:c r="E39" s="13" t="str">
        <x:v>SL-03</x:v>
      </x:c>
      <x:c r="F39" s="13" t="str">
        <x:v>active</x:v>
      </x:c>
      <x:c r="G39" s="13" t="str">
        <x:v>RFP-B1</x:v>
      </x:c>
      <x:c r="H39" s="13" t="n">
        <x:v>800</x:v>
      </x:c>
      <x:c r="I39" s="13" t="n">
        <x:v>42.588</x:v>
      </x:c>
      <x:c r="J39" s="13" t="str"/>
      <x:c r="K39" s="13" t="str">
        <x:v>OPEN</x:v>
      </x:c>
    </x:row>
    <x:row r="40">
      <x:c r="B40" s="13" t="str">
        <x:v>RAS-S034</x:v>
      </x:c>
      <x:c r="C40" s="13" t="str">
        <x:v>AM-06-TR-B</x:v>
      </x:c>
      <x:c r="D40" s="13" t="str">
        <x:v>AM-06</x:v>
      </x:c>
      <x:c r="E40" s="13" t="str">
        <x:v>SL-04</x:v>
      </x:c>
      <x:c r="F40" s="13" t="str">
        <x:v>active</x:v>
      </x:c>
      <x:c r="G40" s="13" t="str">
        <x:v>RFP-B2</x:v>
      </x:c>
      <x:c r="H40" s="13" t="n">
        <x:v>800</x:v>
      </x:c>
      <x:c r="I40" s="13" t="n">
        <x:v>42.588</x:v>
      </x:c>
      <x:c r="J40" s="13" t="str"/>
      <x:c r="K40" s="13" t="str">
        <x:v>OPEN</x:v>
      </x:c>
    </x:row>
    <x:row r="41">
      <x:c r="B41" s="13" t="str">
        <x:v>RAS-S035</x:v>
      </x:c>
      <x:c r="C41" s="13" t="str">
        <x:v>AM-06-TR-B</x:v>
      </x:c>
      <x:c r="D41" s="13" t="str">
        <x:v>AM-06</x:v>
      </x:c>
      <x:c r="E41" s="13" t="str">
        <x:v>SL-05</x:v>
      </x:c>
      <x:c r="F41" s="13" t="str">
        <x:v>active</x:v>
      </x:c>
      <x:c r="G41" s="13" t="str">
        <x:v>RFP-C1</x:v>
      </x:c>
      <x:c r="H41" s="13" t="n">
        <x:v>800</x:v>
      </x:c>
      <x:c r="I41" s="13" t="n">
        <x:v>42.588</x:v>
      </x:c>
      <x:c r="J41" s="13" t="str"/>
      <x:c r="K41" s="13" t="str">
        <x:v>OPEN</x:v>
      </x:c>
    </x:row>
    <x:row r="42">
      <x:c r="B42" s="13" t="str">
        <x:v>RAS-S036</x:v>
      </x:c>
      <x:c r="C42" s="13" t="str">
        <x:v>AM-06-TR-B</x:v>
      </x:c>
      <x:c r="D42" s="13" t="str">
        <x:v>AM-06</x:v>
      </x:c>
      <x:c r="E42" s="13" t="str">
        <x:v>SL-06</x:v>
      </x:c>
      <x:c r="F42" s="13" t="str">
        <x:v>active</x:v>
      </x:c>
      <x:c r="G42" s="13" t="str">
        <x:v>RFP-C2</x:v>
      </x:c>
      <x:c r="H42" s="13" t="n">
        <x:v>800</x:v>
      </x:c>
      <x:c r="I42" s="13" t="n">
        <x:v>42.588</x:v>
      </x:c>
      <x:c r="J42" s="13" t="str"/>
      <x:c r="K42" s="13" t="str">
        <x:v>OPEN</x:v>
      </x:c>
    </x:row>
    <x:row r="43">
      <x:c r="B43" s="13" t="str">
        <x:v>RAS-S037</x:v>
      </x:c>
      <x:c r="C43" s="13" t="str">
        <x:v>AM-06-TR-B</x:v>
      </x:c>
      <x:c r="D43" s="13" t="str">
        <x:v>AM-06</x:v>
      </x:c>
      <x:c r="E43" s="13" t="str">
        <x:v>SL-07</x:v>
      </x:c>
      <x:c r="F43" s="13" t="str">
        <x:v>reference</x:v>
      </x:c>
      <x:c r="G43" s="13" t="str">
        <x:v>public source bank</x:v>
      </x:c>
      <x:c r="H43" s="13" t="n">
        <x:v>800</x:v>
      </x:c>
      <x:c r="I43" s="13" t="n">
        <x:v>42.588</x:v>
      </x:c>
      <x:c r="J43" s="13" t="str"/>
      <x:c r="K43" s="13" t="str">
        <x:v>OPEN</x:v>
      </x:c>
    </x:row>
    <x:row r="44">
      <x:c r="B44" s="13" t="str">
        <x:v>RAS-S038</x:v>
      </x:c>
      <x:c r="C44" s="13" t="str">
        <x:v>AM-06-TR-B</x:v>
      </x:c>
      <x:c r="D44" s="13" t="str">
        <x:v>AM-06</x:v>
      </x:c>
      <x:c r="E44" s="13" t="str">
        <x:v>SL-08</x:v>
      </x:c>
      <x:c r="F44" s="13" t="str">
        <x:v>destructive</x:v>
      </x:c>
      <x:c r="G44" s="13" t="str">
        <x:v>public source bank</x:v>
      </x:c>
      <x:c r="H44" s="13" t="n">
        <x:v>800</x:v>
      </x:c>
      <x:c r="I44" s="13" t="n">
        <x:v>42.588</x:v>
      </x:c>
      <x:c r="J44" s="13" t="str"/>
      <x:c r="K44" s="13" t="str">
        <x:v>OPEN</x:v>
      </x:c>
    </x:row>
    <x:row r="45">
      <x:c r="B45" s="13" t="str">
        <x:v>RAS-S039</x:v>
      </x:c>
      <x:c r="C45" s="13" t="str">
        <x:v>AM-06-TR-B</x:v>
      </x:c>
      <x:c r="D45" s="13" t="str">
        <x:v>AM-06</x:v>
      </x:c>
      <x:c r="E45" s="13" t="str">
        <x:v>SL-09</x:v>
      </x:c>
      <x:c r="F45" s="13" t="str">
        <x:v>quarantine</x:v>
      </x:c>
      <x:c r="G45" s="13" t="str">
        <x:v>public source bank</x:v>
      </x:c>
      <x:c r="H45" s="13" t="n">
        <x:v>800</x:v>
      </x:c>
      <x:c r="I45" s="13" t="n">
        <x:v>42.588</x:v>
      </x:c>
      <x:c r="J45" s="13" t="str"/>
      <x:c r="K45" s="13" t="str">
        <x:v>OPEN</x:v>
      </x:c>
    </x:row>
    <x:row r="46">
      <x:c r="B46" s="13" t="str">
        <x:v>RAS-S040</x:v>
      </x:c>
      <x:c r="C46" s="13" t="str">
        <x:v>AM-06-TR-B</x:v>
      </x:c>
      <x:c r="D46" s="13" t="str">
        <x:v>AM-06</x:v>
      </x:c>
      <x:c r="E46" s="13" t="str">
        <x:v>SL-10</x:v>
      </x:c>
      <x:c r="F46" s="13" t="str">
        <x:v>quarantine</x:v>
      </x:c>
      <x:c r="G46" s="13" t="str">
        <x:v>public source bank</x:v>
      </x:c>
      <x:c r="H46" s="13" t="n">
        <x:v>800</x:v>
      </x:c>
      <x:c r="I46" s="13" t="n">
        <x:v>42.588</x:v>
      </x:c>
      <x:c r="J46" s="13" t="str"/>
      <x:c r="K46" s="13" t="str">
        <x:v>OPEN</x:v>
      </x:c>
    </x:row>
  </x:sheetData>
  <x:conditionalFormatting sqref="K7:K46">
    <x:cfRule type="containsText" dxfId="24" priority="1" operator="containsText" text="FAIL"/>
    <x:cfRule type="containsText" dxfId="25" priority="2" operator="containsText" text="INVALID"/>
    <x:cfRule type="containsText" dxfId="26" priority="3" operator="containsText" text="BLOCKED"/>
    <x:cfRule type="containsText" dxfId="27" priority="4" operator="containsText" text="OPEN"/>
    <x:cfRule type="containsText" dxfId="28" priority="5" operator="containsText" text="GAP"/>
    <x:cfRule type="containsText" dxfId="29" priority="6" operator="containsText" text="DORMANT"/>
    <x:cfRule type="containsText" dxfId="30" priority="7" operator="containsText" text="PASS"/>
    <x:cfRule type="containsText" dxfId="31" priority="8" operator="containsText" text="VALI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13" hidden="0" customWidth="1"/>
    <x:col min="5" max="5" width="28" hidden="0" customWidth="1"/>
    <x:col min="6" max="6" width="19" hidden="0" customWidth="1"/>
    <x:col min="7" max="7" width="29" hidden="0" customWidth="1"/>
    <x:col min="8" max="8" width="21" hidden="0" customWidth="1"/>
    <x:col min="9" max="9" width="14" hidden="0" customWidth="1"/>
    <x:col min="1" max="1" width="3" hidden="0" customWidth="1"/>
  </x:cols>
  <x:sheetData>
    <x:row r="2">
      <x:c r="B2" s="12" t="str">
        <x:v>Twenty-four water lots and references</x:v>
      </x:c>
      <x:c r="C2" s="13"/>
      <x:c r="D2" s="13"/>
      <x:c r="E2" s="13"/>
      <x:c r="F2" s="13"/>
      <x:c r="G2" s="13"/>
      <x:c r="H2" s="13"/>
      <x:c r="I2" s="13"/>
    </x:row>
    <x:row r="3">
      <x:c r="B3" s="2" t="str">
        <x:v>Normal and casualty water retain separate identities, measurements and samples.</x:v>
      </x:c>
      <x:c r="C3" s="13"/>
      <x:c r="D3" s="13"/>
      <x:c r="E3" s="13"/>
      <x:c r="F3" s="13"/>
      <x:c r="G3" s="13"/>
      <x:c r="H3" s="13"/>
      <x:c r="I3" s="13"/>
    </x:row>
    <x:row r="4">
      <x:c r="B4" s="13"/>
      <x:c r="C4" s="13"/>
      <x:c r="D4" s="13"/>
      <x:c r="E4" s="13"/>
      <x:c r="F4" s="13"/>
      <x:c r="G4" s="13"/>
      <x:c r="H4" s="13"/>
      <x:c r="I4" s="13"/>
    </x:row>
    <x:row r="5">
      <x:c r="B5" s="13"/>
      <x:c r="C5" s="13"/>
      <x:c r="D5" s="13"/>
      <x:c r="E5" s="13"/>
      <x:c r="F5" s="13"/>
      <x:c r="G5" s="13"/>
      <x:c r="H5" s="13"/>
      <x:c r="I5" s="13"/>
    </x:row>
    <x:row r="6" ht="24" customHeight="1">
      <x:c r="B6" s="6" t="str">
        <x:v>Water lot</x:v>
      </x:c>
      <x:c r="C6" s="6" t="str">
        <x:v>Rig</x:v>
      </x:c>
      <x:c r="D6" s="6" t="str">
        <x:v>Campus</x:v>
      </x:c>
      <x:c r="E6" s="6" t="str">
        <x:v>Role</x:v>
      </x:c>
      <x:c r="F6" s="6" t="str">
        <x:v>Density kg/m3</x:v>
      </x:c>
      <x:c r="G6" s="6" t="str">
        <x:v>Custody</x:v>
      </x:c>
      <x:c r="H6" s="6" t="str">
        <x:v>Accepted UTC</x:v>
      </x:c>
      <x:c r="I6" s="6" t="str">
        <x:v>State</x:v>
      </x:c>
    </x:row>
    <x:row r="7">
      <x:c r="B7" s="13" t="str">
        <x:v>RAS-W01</x:v>
      </x:c>
      <x:c r="C7" s="13" t="str">
        <x:v>RFP-A1</x:v>
      </x:c>
      <x:c r="D7" s="13" t="str">
        <x:v>PTC-A</x:v>
      </x:c>
      <x:c r="E7" s="13" t="str">
        <x:v>normal supply</x:v>
      </x:c>
      <x:c r="F7" s="13" t="n">
        <x:v>1000</x:v>
      </x:c>
      <x:c r="G7" s="13" t="str">
        <x:v>public water custody</x:v>
      </x:c>
      <x:c r="H7" s="13" t="str"/>
      <x:c r="I7" s="13" t="str">
        <x:v>OPEN</x:v>
      </x:c>
    </x:row>
    <x:row r="8">
      <x:c r="B8" s="13" t="str">
        <x:v>RAS-W02</x:v>
      </x:c>
      <x:c r="C8" s="13" t="str">
        <x:v>RFP-A1</x:v>
      </x:c>
      <x:c r="D8" s="13" t="str">
        <x:v>PTC-A</x:v>
      </x:c>
      <x:c r="E8" s="13" t="str">
        <x:v>normal return reference</x:v>
      </x:c>
      <x:c r="F8" s="13" t="n">
        <x:v>1000</x:v>
      </x:c>
      <x:c r="G8" s="13" t="str">
        <x:v>public water custody</x:v>
      </x:c>
      <x:c r="H8" s="13" t="str"/>
      <x:c r="I8" s="13" t="str">
        <x:v>OPEN</x:v>
      </x:c>
    </x:row>
    <x:row r="9">
      <x:c r="B9" s="13" t="str">
        <x:v>RAS-W03</x:v>
      </x:c>
      <x:c r="C9" s="13" t="str">
        <x:v>RFP-A1</x:v>
      </x:c>
      <x:c r="D9" s="13" t="str">
        <x:v>PTC-A</x:v>
      </x:c>
      <x:c r="E9" s="13" t="str">
        <x:v>casualty supply</x:v>
      </x:c>
      <x:c r="F9" s="13" t="n">
        <x:v>1000</x:v>
      </x:c>
      <x:c r="G9" s="13" t="str">
        <x:v>public safety custody</x:v>
      </x:c>
      <x:c r="H9" s="13" t="str"/>
      <x:c r="I9" s="13" t="str">
        <x:v>OPEN</x:v>
      </x:c>
    </x:row>
    <x:row r="10">
      <x:c r="B10" s="13" t="str">
        <x:v>RAS-W04</x:v>
      </x:c>
      <x:c r="C10" s="13" t="str">
        <x:v>RFP-A1</x:v>
      </x:c>
      <x:c r="D10" s="13" t="str">
        <x:v>PTC-A</x:v>
      </x:c>
      <x:c r="E10" s="13" t="str">
        <x:v>retained sample reference</x:v>
      </x:c>
      <x:c r="F10" s="13" t="n">
        <x:v>1000</x:v>
      </x:c>
      <x:c r="G10" s="13" t="str">
        <x:v>public water custody</x:v>
      </x:c>
      <x:c r="H10" s="13" t="str"/>
      <x:c r="I10" s="13" t="str">
        <x:v>OPEN</x:v>
      </x:c>
    </x:row>
    <x:row r="11">
      <x:c r="B11" s="13" t="str">
        <x:v>RAS-W05</x:v>
      </x:c>
      <x:c r="C11" s="13" t="str">
        <x:v>RFP-A2</x:v>
      </x:c>
      <x:c r="D11" s="13" t="str">
        <x:v>PTC-A</x:v>
      </x:c>
      <x:c r="E11" s="13" t="str">
        <x:v>normal supply</x:v>
      </x:c>
      <x:c r="F11" s="13" t="n">
        <x:v>1000</x:v>
      </x:c>
      <x:c r="G11" s="13" t="str">
        <x:v>public water custody</x:v>
      </x:c>
      <x:c r="H11" s="13" t="str"/>
      <x:c r="I11" s="13" t="str">
        <x:v>OPEN</x:v>
      </x:c>
    </x:row>
    <x:row r="12">
      <x:c r="B12" s="13" t="str">
        <x:v>RAS-W06</x:v>
      </x:c>
      <x:c r="C12" s="13" t="str">
        <x:v>RFP-A2</x:v>
      </x:c>
      <x:c r="D12" s="13" t="str">
        <x:v>PTC-A</x:v>
      </x:c>
      <x:c r="E12" s="13" t="str">
        <x:v>normal return reference</x:v>
      </x:c>
      <x:c r="F12" s="13" t="n">
        <x:v>1000</x:v>
      </x:c>
      <x:c r="G12" s="13" t="str">
        <x:v>public water custody</x:v>
      </x:c>
      <x:c r="H12" s="13" t="str"/>
      <x:c r="I12" s="13" t="str">
        <x:v>OPEN</x:v>
      </x:c>
    </x:row>
    <x:row r="13">
      <x:c r="B13" s="13" t="str">
        <x:v>RAS-W07</x:v>
      </x:c>
      <x:c r="C13" s="13" t="str">
        <x:v>RFP-A2</x:v>
      </x:c>
      <x:c r="D13" s="13" t="str">
        <x:v>PTC-A</x:v>
      </x:c>
      <x:c r="E13" s="13" t="str">
        <x:v>casualty supply</x:v>
      </x:c>
      <x:c r="F13" s="13" t="n">
        <x:v>1000</x:v>
      </x:c>
      <x:c r="G13" s="13" t="str">
        <x:v>public safety custody</x:v>
      </x:c>
      <x:c r="H13" s="13" t="str"/>
      <x:c r="I13" s="13" t="str">
        <x:v>OPEN</x:v>
      </x:c>
    </x:row>
    <x:row r="14">
      <x:c r="B14" s="13" t="str">
        <x:v>RAS-W08</x:v>
      </x:c>
      <x:c r="C14" s="13" t="str">
        <x:v>RFP-A2</x:v>
      </x:c>
      <x:c r="D14" s="13" t="str">
        <x:v>PTC-A</x:v>
      </x:c>
      <x:c r="E14" s="13" t="str">
        <x:v>retained sample reference</x:v>
      </x:c>
      <x:c r="F14" s="13" t="n">
        <x:v>1000</x:v>
      </x:c>
      <x:c r="G14" s="13" t="str">
        <x:v>public water custody</x:v>
      </x:c>
      <x:c r="H14" s="13" t="str"/>
      <x:c r="I14" s="13" t="str">
        <x:v>OPEN</x:v>
      </x:c>
    </x:row>
    <x:row r="15">
      <x:c r="B15" s="13" t="str">
        <x:v>RAS-W09</x:v>
      </x:c>
      <x:c r="C15" s="13" t="str">
        <x:v>RFP-B1</x:v>
      </x:c>
      <x:c r="D15" s="13" t="str">
        <x:v>PTC-B</x:v>
      </x:c>
      <x:c r="E15" s="13" t="str">
        <x:v>normal supply</x:v>
      </x:c>
      <x:c r="F15" s="13" t="n">
        <x:v>1000</x:v>
      </x:c>
      <x:c r="G15" s="13" t="str">
        <x:v>public water custody</x:v>
      </x:c>
      <x:c r="H15" s="13" t="str"/>
      <x:c r="I15" s="13" t="str">
        <x:v>OPEN</x:v>
      </x:c>
    </x:row>
    <x:row r="16">
      <x:c r="B16" s="13" t="str">
        <x:v>RAS-W10</x:v>
      </x:c>
      <x:c r="C16" s="13" t="str">
        <x:v>RFP-B1</x:v>
      </x:c>
      <x:c r="D16" s="13" t="str">
        <x:v>PTC-B</x:v>
      </x:c>
      <x:c r="E16" s="13" t="str">
        <x:v>normal return reference</x:v>
      </x:c>
      <x:c r="F16" s="13" t="n">
        <x:v>1000</x:v>
      </x:c>
      <x:c r="G16" s="13" t="str">
        <x:v>public water custody</x:v>
      </x:c>
      <x:c r="H16" s="13" t="str"/>
      <x:c r="I16" s="13" t="str">
        <x:v>OPEN</x:v>
      </x:c>
    </x:row>
    <x:row r="17">
      <x:c r="B17" s="13" t="str">
        <x:v>RAS-W11</x:v>
      </x:c>
      <x:c r="C17" s="13" t="str">
        <x:v>RFP-B1</x:v>
      </x:c>
      <x:c r="D17" s="13" t="str">
        <x:v>PTC-B</x:v>
      </x:c>
      <x:c r="E17" s="13" t="str">
        <x:v>casualty supply</x:v>
      </x:c>
      <x:c r="F17" s="13" t="n">
        <x:v>1000</x:v>
      </x:c>
      <x:c r="G17" s="13" t="str">
        <x:v>public safety custody</x:v>
      </x:c>
      <x:c r="H17" s="13" t="str"/>
      <x:c r="I17" s="13" t="str">
        <x:v>OPEN</x:v>
      </x:c>
    </x:row>
    <x:row r="18">
      <x:c r="B18" s="13" t="str">
        <x:v>RAS-W12</x:v>
      </x:c>
      <x:c r="C18" s="13" t="str">
        <x:v>RFP-B1</x:v>
      </x:c>
      <x:c r="D18" s="13" t="str">
        <x:v>PTC-B</x:v>
      </x:c>
      <x:c r="E18" s="13" t="str">
        <x:v>retained sample reference</x:v>
      </x:c>
      <x:c r="F18" s="13" t="n">
        <x:v>1000</x:v>
      </x:c>
      <x:c r="G18" s="13" t="str">
        <x:v>public water custody</x:v>
      </x:c>
      <x:c r="H18" s="13" t="str"/>
      <x:c r="I18" s="13" t="str">
        <x:v>OPEN</x:v>
      </x:c>
    </x:row>
    <x:row r="19">
      <x:c r="B19" s="13" t="str">
        <x:v>RAS-W13</x:v>
      </x:c>
      <x:c r="C19" s="13" t="str">
        <x:v>RFP-B2</x:v>
      </x:c>
      <x:c r="D19" s="13" t="str">
        <x:v>PTC-B</x:v>
      </x:c>
      <x:c r="E19" s="13" t="str">
        <x:v>normal supply</x:v>
      </x:c>
      <x:c r="F19" s="13" t="n">
        <x:v>1000</x:v>
      </x:c>
      <x:c r="G19" s="13" t="str">
        <x:v>public water custody</x:v>
      </x:c>
      <x:c r="H19" s="13" t="str"/>
      <x:c r="I19" s="13" t="str">
        <x:v>OPEN</x:v>
      </x:c>
    </x:row>
    <x:row r="20">
      <x:c r="B20" s="13" t="str">
        <x:v>RAS-W14</x:v>
      </x:c>
      <x:c r="C20" s="13" t="str">
        <x:v>RFP-B2</x:v>
      </x:c>
      <x:c r="D20" s="13" t="str">
        <x:v>PTC-B</x:v>
      </x:c>
      <x:c r="E20" s="13" t="str">
        <x:v>normal return reference</x:v>
      </x:c>
      <x:c r="F20" s="13" t="n">
        <x:v>1000</x:v>
      </x:c>
      <x:c r="G20" s="13" t="str">
        <x:v>public water custody</x:v>
      </x:c>
      <x:c r="H20" s="13" t="str"/>
      <x:c r="I20" s="13" t="str">
        <x:v>OPEN</x:v>
      </x:c>
    </x:row>
    <x:row r="21">
      <x:c r="B21" s="13" t="str">
        <x:v>RAS-W15</x:v>
      </x:c>
      <x:c r="C21" s="13" t="str">
        <x:v>RFP-B2</x:v>
      </x:c>
      <x:c r="D21" s="13" t="str">
        <x:v>PTC-B</x:v>
      </x:c>
      <x:c r="E21" s="13" t="str">
        <x:v>casualty supply</x:v>
      </x:c>
      <x:c r="F21" s="13" t="n">
        <x:v>1000</x:v>
      </x:c>
      <x:c r="G21" s="13" t="str">
        <x:v>public safety custody</x:v>
      </x:c>
      <x:c r="H21" s="13" t="str"/>
      <x:c r="I21" s="13" t="str">
        <x:v>OPEN</x:v>
      </x:c>
    </x:row>
    <x:row r="22">
      <x:c r="B22" s="13" t="str">
        <x:v>RAS-W16</x:v>
      </x:c>
      <x:c r="C22" s="13" t="str">
        <x:v>RFP-B2</x:v>
      </x:c>
      <x:c r="D22" s="13" t="str">
        <x:v>PTC-B</x:v>
      </x:c>
      <x:c r="E22" s="13" t="str">
        <x:v>retained sample reference</x:v>
      </x:c>
      <x:c r="F22" s="13" t="n">
        <x:v>1000</x:v>
      </x:c>
      <x:c r="G22" s="13" t="str">
        <x:v>public water custody</x:v>
      </x:c>
      <x:c r="H22" s="13" t="str"/>
      <x:c r="I22" s="13" t="str">
        <x:v>OPEN</x:v>
      </x:c>
    </x:row>
    <x:row r="23">
      <x:c r="B23" s="13" t="str">
        <x:v>RAS-W17</x:v>
      </x:c>
      <x:c r="C23" s="13" t="str">
        <x:v>RFP-C1</x:v>
      </x:c>
      <x:c r="D23" s="13" t="str">
        <x:v>PTC-C</x:v>
      </x:c>
      <x:c r="E23" s="13" t="str">
        <x:v>normal supply</x:v>
      </x:c>
      <x:c r="F23" s="13" t="n">
        <x:v>1000</x:v>
      </x:c>
      <x:c r="G23" s="13" t="str">
        <x:v>public water custody</x:v>
      </x:c>
      <x:c r="H23" s="13" t="str"/>
      <x:c r="I23" s="13" t="str">
        <x:v>OPEN</x:v>
      </x:c>
    </x:row>
    <x:row r="24">
      <x:c r="B24" s="13" t="str">
        <x:v>RAS-W18</x:v>
      </x:c>
      <x:c r="C24" s="13" t="str">
        <x:v>RFP-C1</x:v>
      </x:c>
      <x:c r="D24" s="13" t="str">
        <x:v>PTC-C</x:v>
      </x:c>
      <x:c r="E24" s="13" t="str">
        <x:v>normal return reference</x:v>
      </x:c>
      <x:c r="F24" s="13" t="n">
        <x:v>1000</x:v>
      </x:c>
      <x:c r="G24" s="13" t="str">
        <x:v>public water custody</x:v>
      </x:c>
      <x:c r="H24" s="13" t="str"/>
      <x:c r="I24" s="13" t="str">
        <x:v>OPEN</x:v>
      </x:c>
    </x:row>
    <x:row r="25">
      <x:c r="B25" s="13" t="str">
        <x:v>RAS-W19</x:v>
      </x:c>
      <x:c r="C25" s="13" t="str">
        <x:v>RFP-C1</x:v>
      </x:c>
      <x:c r="D25" s="13" t="str">
        <x:v>PTC-C</x:v>
      </x:c>
      <x:c r="E25" s="13" t="str">
        <x:v>casualty supply</x:v>
      </x:c>
      <x:c r="F25" s="13" t="n">
        <x:v>1000</x:v>
      </x:c>
      <x:c r="G25" s="13" t="str">
        <x:v>public safety custody</x:v>
      </x:c>
      <x:c r="H25" s="13" t="str"/>
      <x:c r="I25" s="13" t="str">
        <x:v>OPEN</x:v>
      </x:c>
    </x:row>
    <x:row r="26">
      <x:c r="B26" s="13" t="str">
        <x:v>RAS-W20</x:v>
      </x:c>
      <x:c r="C26" s="13" t="str">
        <x:v>RFP-C1</x:v>
      </x:c>
      <x:c r="D26" s="13" t="str">
        <x:v>PTC-C</x:v>
      </x:c>
      <x:c r="E26" s="13" t="str">
        <x:v>retained sample reference</x:v>
      </x:c>
      <x:c r="F26" s="13" t="n">
        <x:v>1000</x:v>
      </x:c>
      <x:c r="G26" s="13" t="str">
        <x:v>public water custody</x:v>
      </x:c>
      <x:c r="H26" s="13" t="str"/>
      <x:c r="I26" s="13" t="str">
        <x:v>OPEN</x:v>
      </x:c>
    </x:row>
    <x:row r="27">
      <x:c r="B27" s="13" t="str">
        <x:v>RAS-W21</x:v>
      </x:c>
      <x:c r="C27" s="13" t="str">
        <x:v>RFP-C2</x:v>
      </x:c>
      <x:c r="D27" s="13" t="str">
        <x:v>PTC-C</x:v>
      </x:c>
      <x:c r="E27" s="13" t="str">
        <x:v>normal supply</x:v>
      </x:c>
      <x:c r="F27" s="13" t="n">
        <x:v>1000</x:v>
      </x:c>
      <x:c r="G27" s="13" t="str">
        <x:v>public water custody</x:v>
      </x:c>
      <x:c r="H27" s="13" t="str"/>
      <x:c r="I27" s="13" t="str">
        <x:v>OPEN</x:v>
      </x:c>
    </x:row>
    <x:row r="28">
      <x:c r="B28" s="13" t="str">
        <x:v>RAS-W22</x:v>
      </x:c>
      <x:c r="C28" s="13" t="str">
        <x:v>RFP-C2</x:v>
      </x:c>
      <x:c r="D28" s="13" t="str">
        <x:v>PTC-C</x:v>
      </x:c>
      <x:c r="E28" s="13" t="str">
        <x:v>normal return reference</x:v>
      </x:c>
      <x:c r="F28" s="13" t="n">
        <x:v>1000</x:v>
      </x:c>
      <x:c r="G28" s="13" t="str">
        <x:v>public water custody</x:v>
      </x:c>
      <x:c r="H28" s="13" t="str"/>
      <x:c r="I28" s="13" t="str">
        <x:v>OPEN</x:v>
      </x:c>
    </x:row>
    <x:row r="29">
      <x:c r="B29" s="13" t="str">
        <x:v>RAS-W23</x:v>
      </x:c>
      <x:c r="C29" s="13" t="str">
        <x:v>RFP-C2</x:v>
      </x:c>
      <x:c r="D29" s="13" t="str">
        <x:v>PTC-C</x:v>
      </x:c>
      <x:c r="E29" s="13" t="str">
        <x:v>casualty supply</x:v>
      </x:c>
      <x:c r="F29" s="13" t="n">
        <x:v>1000</x:v>
      </x:c>
      <x:c r="G29" s="13" t="str">
        <x:v>public safety custody</x:v>
      </x:c>
      <x:c r="H29" s="13" t="str"/>
      <x:c r="I29" s="13" t="str">
        <x:v>OPEN</x:v>
      </x:c>
    </x:row>
    <x:row r="30">
      <x:c r="B30" s="13" t="str">
        <x:v>RAS-W24</x:v>
      </x:c>
      <x:c r="C30" s="13" t="str">
        <x:v>RFP-C2</x:v>
      </x:c>
      <x:c r="D30" s="13" t="str">
        <x:v>PTC-C</x:v>
      </x:c>
      <x:c r="E30" s="13" t="str">
        <x:v>retained sample reference</x:v>
      </x:c>
      <x:c r="F30" s="13" t="n">
        <x:v>1000</x:v>
      </x:c>
      <x:c r="G30" s="13" t="str">
        <x:v>public water custody</x:v>
      </x:c>
      <x:c r="H30" s="13" t="str"/>
      <x:c r="I30" s="13" t="str">
        <x:v>OPEN</x:v>
      </x:c>
    </x:row>
  </x:sheetData>
  <x:conditionalFormatting sqref="I7:I30">
    <x:cfRule type="containsText" dxfId="32" priority="1" operator="containsText" text="FAIL"/>
    <x:cfRule type="containsText" dxfId="33" priority="2" operator="containsText" text="INVALID"/>
    <x:cfRule type="containsText" dxfId="34" priority="3" operator="containsText" text="BLOCKED"/>
    <x:cfRule type="containsText" dxfId="35" priority="4" operator="containsText" text="OPEN"/>
    <x:cfRule type="containsText" dxfId="36" priority="5" operator="containsText" text="GAP"/>
    <x:cfRule type="containsText" dxfId="37" priority="6" operator="containsText" text="DORMANT"/>
    <x:cfRule type="containsText" dxfId="38" priority="7" operator="containsText" text="PASS"/>
    <x:cfRule type="containsText" dxfId="39" priority="8" operator="containsText" text="VALI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3" hidden="0" customWidth="1"/>
    <x:col min="4" max="4" width="28" hidden="0" customWidth="1"/>
    <x:col min="5" max="5" width="23" hidden="0" customWidth="1"/>
    <x:col min="6" max="6" width="48" hidden="0" customWidth="1"/>
    <x:col min="7" max="7" width="21" hidden="0" customWidth="1"/>
    <x:col min="8" max="8" width="21" hidden="0" customWidth="1"/>
    <x:col min="9" max="9" width="21" hidden="0" customWidth="1"/>
    <x:col min="10" max="10" width="14" hidden="0" customWidth="1"/>
    <x:col min="1" max="1" width="3" hidden="0" customWidth="1"/>
  </x:cols>
  <x:sheetData>
    <x:row r="2">
      <x:c r="B2" s="12" t="str">
        <x:v>Twelve site-native ancestry codes</x:v>
      </x:c>
      <x:c r="C2" s="13"/>
      <x:c r="D2" s="13"/>
      <x:c r="E2" s="13"/>
      <x:c r="F2" s="13"/>
      <x:c r="G2" s="13"/>
      <x:c r="H2" s="13"/>
      <x:c r="I2" s="13"/>
      <x:c r="J2" s="13"/>
    </x:row>
    <x:row r="3">
      <x:c r="B3" s="2" t="str">
        <x:v>Optical and electrochemical roots cannot share the decisive reader or calibration transform.</x:v>
      </x:c>
      <x:c r="C3" s="13"/>
      <x:c r="D3" s="13"/>
      <x:c r="E3" s="13"/>
      <x:c r="F3" s="13"/>
      <x:c r="G3" s="13"/>
      <x:c r="H3" s="13"/>
      <x:c r="I3" s="13"/>
      <x:c r="J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</x:row>
    <x:row r="6" ht="24" customHeight="1">
      <x:c r="B6" s="6" t="str">
        <x:v>Code</x:v>
      </x:c>
      <x:c r="C6" s="6" t="str">
        <x:v>Campus</x:v>
      </x:c>
      <x:c r="D6" s="6" t="str">
        <x:v>Domain</x:v>
      </x:c>
      <x:c r="E6" s="6" t="str">
        <x:v>Ancestry</x:v>
      </x:c>
      <x:c r="F6" s="6" t="str">
        <x:v>Reader principle</x:v>
      </x:c>
      <x:c r="G6" s="6" t="str">
        <x:v>Minimum recovery</x:v>
      </x:c>
      <x:c r="H6" s="6" t="str">
        <x:v>Maximum cross-talk</x:v>
      </x:c>
      <x:c r="I6" s="6" t="str">
        <x:v>Accepted UTC</x:v>
      </x:c>
      <x:c r="J6" s="6" t="str">
        <x:v>State</x:v>
      </x:c>
    </x:row>
    <x:row r="7">
      <x:c r="B7" s="13" t="str">
        <x:v>RAS-T01</x:v>
      </x:c>
      <x:c r="C7" s="13" t="str">
        <x:v>PTC-A</x:v>
      </x:c>
      <x:c r="D7" s="13" t="str">
        <x:v>source optical</x:v>
      </x:c>
      <x:c r="E7" s="13" t="str">
        <x:v>source ancestry</x:v>
      </x:c>
      <x:c r="F7" s="13" t="str">
        <x:v>spectroscopic reader</x:v>
      </x:c>
      <x:c r="G7" s="13" t="n">
        <x:v>0.995</x:v>
      </x:c>
      <x:c r="H7" s="13" t="n">
        <x:v>0.005</x:v>
      </x:c>
      <x:c r="I7" s="13" t="str"/>
      <x:c r="J7" s="13" t="str">
        <x:v>OPEN</x:v>
      </x:c>
    </x:row>
    <x:row r="8">
      <x:c r="B8" s="13" t="str">
        <x:v>RAS-T02</x:v>
      </x:c>
      <x:c r="C8" s="13" t="str">
        <x:v>PTC-A</x:v>
      </x:c>
      <x:c r="D8" s="13" t="str">
        <x:v>water optical</x:v>
      </x:c>
      <x:c r="E8" s="13" t="str">
        <x:v>water ancestry</x:v>
      </x:c>
      <x:c r="F8" s="13" t="str">
        <x:v>spectroscopic reader</x:v>
      </x:c>
      <x:c r="G8" s="13" t="n">
        <x:v>0.995</x:v>
      </x:c>
      <x:c r="H8" s="13" t="n">
        <x:v>0.005</x:v>
      </x:c>
      <x:c r="I8" s="13" t="str"/>
      <x:c r="J8" s="13" t="str">
        <x:v>OPEN</x:v>
      </x:c>
    </x:row>
    <x:row r="9">
      <x:c r="B9" s="13" t="str">
        <x:v>RAS-T03</x:v>
      </x:c>
      <x:c r="C9" s="13" t="str">
        <x:v>PTC-A</x:v>
      </x:c>
      <x:c r="D9" s="13" t="str">
        <x:v>source electrochemical</x:v>
      </x:c>
      <x:c r="E9" s="13" t="str">
        <x:v>source ancestry</x:v>
      </x:c>
      <x:c r="F9" s="13" t="str">
        <x:v>electrochemical reader and retained fraction</x:v>
      </x:c>
      <x:c r="G9" s="13" t="n">
        <x:v>0.995</x:v>
      </x:c>
      <x:c r="H9" s="13" t="n">
        <x:v>0.005</x:v>
      </x:c>
      <x:c r="I9" s="13" t="str"/>
      <x:c r="J9" s="13" t="str">
        <x:v>OPEN</x:v>
      </x:c>
    </x:row>
    <x:row r="10">
      <x:c r="B10" s="13" t="str">
        <x:v>RAS-T04</x:v>
      </x:c>
      <x:c r="C10" s="13" t="str">
        <x:v>PTC-A</x:v>
      </x:c>
      <x:c r="D10" s="13" t="str">
        <x:v>water electrochemical</x:v>
      </x:c>
      <x:c r="E10" s="13" t="str">
        <x:v>water ancestry</x:v>
      </x:c>
      <x:c r="F10" s="13" t="str">
        <x:v>electrochemical reader and retained fraction</x:v>
      </x:c>
      <x:c r="G10" s="13" t="n">
        <x:v>0.995</x:v>
      </x:c>
      <x:c r="H10" s="13" t="n">
        <x:v>0.005</x:v>
      </x:c>
      <x:c r="I10" s="13" t="str"/>
      <x:c r="J10" s="13" t="str">
        <x:v>OPEN</x:v>
      </x:c>
    </x:row>
    <x:row r="11">
      <x:c r="B11" s="13" t="str">
        <x:v>RAS-T05</x:v>
      </x:c>
      <x:c r="C11" s="13" t="str">
        <x:v>PTC-B</x:v>
      </x:c>
      <x:c r="D11" s="13" t="str">
        <x:v>source optical</x:v>
      </x:c>
      <x:c r="E11" s="13" t="str">
        <x:v>source ancestry</x:v>
      </x:c>
      <x:c r="F11" s="13" t="str">
        <x:v>spectroscopic reader</x:v>
      </x:c>
      <x:c r="G11" s="13" t="n">
        <x:v>0.995</x:v>
      </x:c>
      <x:c r="H11" s="13" t="n">
        <x:v>0.005</x:v>
      </x:c>
      <x:c r="I11" s="13" t="str"/>
      <x:c r="J11" s="13" t="str">
        <x:v>OPEN</x:v>
      </x:c>
    </x:row>
    <x:row r="12">
      <x:c r="B12" s="13" t="str">
        <x:v>RAS-T06</x:v>
      </x:c>
      <x:c r="C12" s="13" t="str">
        <x:v>PTC-B</x:v>
      </x:c>
      <x:c r="D12" s="13" t="str">
        <x:v>water optical</x:v>
      </x:c>
      <x:c r="E12" s="13" t="str">
        <x:v>water ancestry</x:v>
      </x:c>
      <x:c r="F12" s="13" t="str">
        <x:v>spectroscopic reader</x:v>
      </x:c>
      <x:c r="G12" s="13" t="n">
        <x:v>0.995</x:v>
      </x:c>
      <x:c r="H12" s="13" t="n">
        <x:v>0.005</x:v>
      </x:c>
      <x:c r="I12" s="13" t="str"/>
      <x:c r="J12" s="13" t="str">
        <x:v>OPEN</x:v>
      </x:c>
    </x:row>
    <x:row r="13">
      <x:c r="B13" s="13" t="str">
        <x:v>RAS-T07</x:v>
      </x:c>
      <x:c r="C13" s="13" t="str">
        <x:v>PTC-B</x:v>
      </x:c>
      <x:c r="D13" s="13" t="str">
        <x:v>source electrochemical</x:v>
      </x:c>
      <x:c r="E13" s="13" t="str">
        <x:v>source ancestry</x:v>
      </x:c>
      <x:c r="F13" s="13" t="str">
        <x:v>electrochemical reader and retained fraction</x:v>
      </x:c>
      <x:c r="G13" s="13" t="n">
        <x:v>0.995</x:v>
      </x:c>
      <x:c r="H13" s="13" t="n">
        <x:v>0.005</x:v>
      </x:c>
      <x:c r="I13" s="13" t="str"/>
      <x:c r="J13" s="13" t="str">
        <x:v>OPEN</x:v>
      </x:c>
    </x:row>
    <x:row r="14">
      <x:c r="B14" s="13" t="str">
        <x:v>RAS-T08</x:v>
      </x:c>
      <x:c r="C14" s="13" t="str">
        <x:v>PTC-B</x:v>
      </x:c>
      <x:c r="D14" s="13" t="str">
        <x:v>water electrochemical</x:v>
      </x:c>
      <x:c r="E14" s="13" t="str">
        <x:v>water ancestry</x:v>
      </x:c>
      <x:c r="F14" s="13" t="str">
        <x:v>electrochemical reader and retained fraction</x:v>
      </x:c>
      <x:c r="G14" s="13" t="n">
        <x:v>0.995</x:v>
      </x:c>
      <x:c r="H14" s="13" t="n">
        <x:v>0.005</x:v>
      </x:c>
      <x:c r="I14" s="13" t="str"/>
      <x:c r="J14" s="13" t="str">
        <x:v>OPEN</x:v>
      </x:c>
    </x:row>
    <x:row r="15">
      <x:c r="B15" s="13" t="str">
        <x:v>RAS-T09</x:v>
      </x:c>
      <x:c r="C15" s="13" t="str">
        <x:v>PTC-C</x:v>
      </x:c>
      <x:c r="D15" s="13" t="str">
        <x:v>source optical</x:v>
      </x:c>
      <x:c r="E15" s="13" t="str">
        <x:v>source ancestry</x:v>
      </x:c>
      <x:c r="F15" s="13" t="str">
        <x:v>spectroscopic reader</x:v>
      </x:c>
      <x:c r="G15" s="13" t="n">
        <x:v>0.995</x:v>
      </x:c>
      <x:c r="H15" s="13" t="n">
        <x:v>0.005</x:v>
      </x:c>
      <x:c r="I15" s="13" t="str"/>
      <x:c r="J15" s="13" t="str">
        <x:v>OPEN</x:v>
      </x:c>
    </x:row>
    <x:row r="16">
      <x:c r="B16" s="13" t="str">
        <x:v>RAS-T10</x:v>
      </x:c>
      <x:c r="C16" s="13" t="str">
        <x:v>PTC-C</x:v>
      </x:c>
      <x:c r="D16" s="13" t="str">
        <x:v>water optical</x:v>
      </x:c>
      <x:c r="E16" s="13" t="str">
        <x:v>water ancestry</x:v>
      </x:c>
      <x:c r="F16" s="13" t="str">
        <x:v>spectroscopic reader</x:v>
      </x:c>
      <x:c r="G16" s="13" t="n">
        <x:v>0.995</x:v>
      </x:c>
      <x:c r="H16" s="13" t="n">
        <x:v>0.005</x:v>
      </x:c>
      <x:c r="I16" s="13" t="str"/>
      <x:c r="J16" s="13" t="str">
        <x:v>OPEN</x:v>
      </x:c>
    </x:row>
    <x:row r="17">
      <x:c r="B17" s="13" t="str">
        <x:v>RAS-T11</x:v>
      </x:c>
      <x:c r="C17" s="13" t="str">
        <x:v>PTC-C</x:v>
      </x:c>
      <x:c r="D17" s="13" t="str">
        <x:v>source electrochemical</x:v>
      </x:c>
      <x:c r="E17" s="13" t="str">
        <x:v>source ancestry</x:v>
      </x:c>
      <x:c r="F17" s="13" t="str">
        <x:v>electrochemical reader and retained fraction</x:v>
      </x:c>
      <x:c r="G17" s="13" t="n">
        <x:v>0.995</x:v>
      </x:c>
      <x:c r="H17" s="13" t="n">
        <x:v>0.005</x:v>
      </x:c>
      <x:c r="I17" s="13" t="str"/>
      <x:c r="J17" s="13" t="str">
        <x:v>OPEN</x:v>
      </x:c>
    </x:row>
    <x:row r="18">
      <x:c r="B18" s="13" t="str">
        <x:v>RAS-T12</x:v>
      </x:c>
      <x:c r="C18" s="13" t="str">
        <x:v>PTC-C</x:v>
      </x:c>
      <x:c r="D18" s="13" t="str">
        <x:v>water electrochemical</x:v>
      </x:c>
      <x:c r="E18" s="13" t="str">
        <x:v>water ancestry</x:v>
      </x:c>
      <x:c r="F18" s="13" t="str">
        <x:v>electrochemical reader and retained fraction</x:v>
      </x:c>
      <x:c r="G18" s="13" t="n">
        <x:v>0.995</x:v>
      </x:c>
      <x:c r="H18" s="13" t="n">
        <x:v>0.005</x:v>
      </x:c>
      <x:c r="I18" s="13" t="str"/>
      <x:c r="J18" s="13" t="str">
        <x:v>OPEN</x:v>
      </x:c>
    </x:row>
  </x:sheetData>
  <x:conditionalFormatting sqref="J7:J18">
    <x:cfRule type="containsText" dxfId="40" priority="1" operator="containsText" text="FAIL"/>
    <x:cfRule type="containsText" dxfId="41" priority="2" operator="containsText" text="INVALID"/>
    <x:cfRule type="containsText" dxfId="42" priority="3" operator="containsText" text="BLOCKED"/>
    <x:cfRule type="containsText" dxfId="43" priority="4" operator="containsText" text="OPEN"/>
    <x:cfRule type="containsText" dxfId="44" priority="5" operator="containsText" text="GAP"/>
    <x:cfRule type="containsText" dxfId="45" priority="6" operator="containsText" text="DORMANT"/>
    <x:cfRule type="containsText" dxfId="46" priority="7" operator="containsText" text="PASS"/>
    <x:cfRule type="containsText" dxfId="47" priority="8" operator="containsText" text="VALI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20" hidden="0" customWidth="1"/>
    <x:col min="4" max="4" width="14" hidden="0" customWidth="1"/>
    <x:col min="5" max="5" width="14" hidden="0" customWidth="1"/>
    <x:col min="6" max="6" width="16" hidden="0" customWidth="1"/>
    <x:col min="7" max="7" width="19" hidden="0" customWidth="1"/>
    <x:col min="8" max="8" width="21" hidden="0" customWidth="1"/>
    <x:col min="9" max="9" width="48" hidden="0" customWidth="1"/>
    <x:col min="10" max="10" width="21" hidden="0" customWidth="1"/>
    <x:col min="11" max="11" width="14" hidden="0" customWidth="1"/>
    <x:col min="1" max="1" width="3" hidden="0" customWidth="1"/>
  </x:cols>
  <x:sheetData>
    <x:row r="2">
      <x:c r="B2" s="12" t="str">
        <x:v>Twenty-four method-root source envelopes</x:v>
      </x:c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B3" s="2" t="str">
        <x:v>Source mass, pool-area permission, water volume and denied services are fixed before event identity.</x:v>
      </x:c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</x:row>
    <x:row r="6" ht="24" customHeight="1">
      <x:c r="B6" s="6" t="str">
        <x:v>Envelope</x:v>
      </x:c>
      <x:c r="C6" s="6" t="str">
        <x:v>Truth root</x:v>
      </x:c>
      <x:c r="D6" s="6" t="str">
        <x:v>Method</x:v>
      </x:c>
      <x:c r="E6" s="6" t="str">
        <x:v>Class</x:v>
      </x:c>
      <x:c r="F6" s="6" t="str">
        <x:v>Source kg</x:v>
      </x:c>
      <x:c r="G6" s="6" t="str">
        <x:v>Area bound m2</x:v>
      </x:c>
      <x:c r="H6" s="6" t="str">
        <x:v>AM-06 water m3</x:v>
      </x:c>
      <x:c r="I6" s="6" t="str">
        <x:v>Service state</x:v>
      </x:c>
      <x:c r="J6" s="6" t="str">
        <x:v>Accepted UTC</x:v>
      </x:c>
      <x:c r="K6" s="6" t="str">
        <x:v>State</x:v>
      </x:c>
    </x:row>
    <x:row r="7" ht="40" customHeight="1">
      <x:c r="B7" s="13" t="str">
        <x:v>RAS-IC-01</x:v>
      </x:c>
      <x:c r="C7" s="13" t="str">
        <x:v>AM-05-TR-A</x:v>
      </x:c>
      <x:c r="D7" s="13" t="str">
        <x:v>AM-05</x:v>
      </x:c>
      <x:c r="E7" s="13" t="str">
        <x:v>QE-01</x:v>
      </x:c>
      <x:c r="F7" s="13" t="n">
        <x:v>0</x:v>
      </x:c>
      <x:c r="G7" s="13" t="n">
        <x:v>0</x:v>
      </x:c>
      <x:c r="H7" s="13" t="n">
        <x:v>0</x:v>
      </x:c>
      <x:c r="I7" s="14" t="str">
        <x:v>services normal</x:v>
      </x:c>
      <x:c r="J7" s="13" t="str"/>
      <x:c r="K7" s="13" t="str">
        <x:v>OPEN</x:v>
      </x:c>
    </x:row>
    <x:row r="8" ht="40" customHeight="1">
      <x:c r="B8" s="13" t="str">
        <x:v>RAS-IC-02</x:v>
      </x:c>
      <x:c r="C8" s="13" t="str">
        <x:v>AM-05-TR-A</x:v>
      </x:c>
      <x:c r="D8" s="13" t="str">
        <x:v>AM-05</x:v>
      </x:c>
      <x:c r="E8" s="13" t="str">
        <x:v>QE-02</x:v>
      </x:c>
      <x:c r="F8" s="13" t="n">
        <x:v>100</x:v>
      </x:c>
      <x:c r="G8" s="13" t="n">
        <x:v>2.5</x:v>
      </x:c>
      <x:c r="H8" s="13" t="n">
        <x:v>0</x:v>
      </x:c>
      <x:c r="I8" s="14" t="str">
        <x:v>services normal</x:v>
      </x:c>
      <x:c r="J8" s="13" t="str"/>
      <x:c r="K8" s="13" t="str">
        <x:v>OPEN</x:v>
      </x:c>
    </x:row>
    <x:row r="9" ht="40" customHeight="1">
      <x:c r="B9" s="13" t="str">
        <x:v>RAS-IC-03</x:v>
      </x:c>
      <x:c r="C9" s="13" t="str">
        <x:v>AM-05-TR-A</x:v>
      </x:c>
      <x:c r="D9" s="13" t="str">
        <x:v>AM-05</x:v>
      </x:c>
      <x:c r="E9" s="13" t="str">
        <x:v>QE-03</x:v>
      </x:c>
      <x:c r="F9" s="13" t="n">
        <x:v>250</x:v>
      </x:c>
      <x:c r="G9" s="13" t="n">
        <x:v>5</x:v>
      </x:c>
      <x:c r="H9" s="13" t="n">
        <x:v>0</x:v>
      </x:c>
      <x:c r="I9" s="14" t="str">
        <x:v>services normal</x:v>
      </x:c>
      <x:c r="J9" s="13" t="str"/>
      <x:c r="K9" s="13" t="str">
        <x:v>OPEN</x:v>
      </x:c>
    </x:row>
    <x:row r="10" ht="40" customHeight="1">
      <x:c r="B10" s="13" t="str">
        <x:v>RAS-IC-04</x:v>
      </x:c>
      <x:c r="C10" s="13" t="str">
        <x:v>AM-05-TR-A</x:v>
      </x:c>
      <x:c r="D10" s="13" t="str">
        <x:v>AM-05</x:v>
      </x:c>
      <x:c r="E10" s="13" t="str">
        <x:v>QE-04</x:v>
      </x:c>
      <x:c r="F10" s="13" t="n">
        <x:v>500</x:v>
      </x:c>
      <x:c r="G10" s="13" t="n">
        <x:v>6.25</x:v>
      </x:c>
      <x:c r="H10" s="13" t="n">
        <x:v>0</x:v>
      </x:c>
      <x:c r="I10" s="14" t="str">
        <x:v>services normal</x:v>
      </x:c>
      <x:c r="J10" s="13" t="str"/>
      <x:c r="K10" s="13" t="str">
        <x:v>OPEN</x:v>
      </x:c>
    </x:row>
    <x:row r="11" ht="40" customHeight="1">
      <x:c r="B11" s="13" t="str">
        <x:v>RAS-IC-05</x:v>
      </x:c>
      <x:c r="C11" s="13" t="str">
        <x:v>AM-05-TR-A</x:v>
      </x:c>
      <x:c r="D11" s="13" t="str">
        <x:v>AM-05</x:v>
      </x:c>
      <x:c r="E11" s="13" t="str">
        <x:v>QE-05</x:v>
      </x:c>
      <x:c r="F11" s="13" t="n">
        <x:v>500</x:v>
      </x:c>
      <x:c r="G11" s="13" t="n">
        <x:v>6.25</x:v>
      </x:c>
      <x:c r="H11" s="13" t="n">
        <x:v>24</x:v>
      </x:c>
      <x:c r="I11" s="14" t="str">
        <x:v>services normal</x:v>
      </x:c>
      <x:c r="J11" s="13" t="str"/>
      <x:c r="K11" s="13" t="str">
        <x:v>OPEN</x:v>
      </x:c>
    </x:row>
    <x:row r="12" ht="40" customHeight="1">
      <x:c r="B12" s="13" t="str">
        <x:v>RAS-IC-06</x:v>
      </x:c>
      <x:c r="C12" s="13" t="str">
        <x:v>AM-05-TR-A</x:v>
      </x:c>
      <x:c r="D12" s="13" t="str">
        <x:v>AM-05</x:v>
      </x:c>
      <x:c r="E12" s="13" t="str">
        <x:v>QE-06</x:v>
      </x:c>
      <x:c r="F12" s="13" t="n">
        <x:v>500</x:v>
      </x:c>
      <x:c r="G12" s="13" t="n">
        <x:v>25</x:v>
      </x:c>
      <x:c r="H12" s="13" t="n">
        <x:v>48</x:v>
      </x:c>
      <x:c r="I12" s="14" t="str">
        <x:v>normal energy, network and primary time absent</x:v>
      </x:c>
      <x:c r="J12" s="13" t="str"/>
      <x:c r="K12" s="13" t="str">
        <x:v>OPEN</x:v>
      </x:c>
    </x:row>
    <x:row r="13" ht="40" customHeight="1">
      <x:c r="B13" s="13" t="str">
        <x:v>RAS-IC-07</x:v>
      </x:c>
      <x:c r="C13" s="13" t="str">
        <x:v>AM-05-TR-B</x:v>
      </x:c>
      <x:c r="D13" s="13" t="str">
        <x:v>AM-05</x:v>
      </x:c>
      <x:c r="E13" s="13" t="str">
        <x:v>QE-01</x:v>
      </x:c>
      <x:c r="F13" s="13" t="n">
        <x:v>0</x:v>
      </x:c>
      <x:c r="G13" s="13" t="n">
        <x:v>0</x:v>
      </x:c>
      <x:c r="H13" s="13" t="n">
        <x:v>0</x:v>
      </x:c>
      <x:c r="I13" s="14" t="str">
        <x:v>services normal</x:v>
      </x:c>
      <x:c r="J13" s="13" t="str"/>
      <x:c r="K13" s="13" t="str">
        <x:v>OPEN</x:v>
      </x:c>
    </x:row>
    <x:row r="14" ht="40" customHeight="1">
      <x:c r="B14" s="13" t="str">
        <x:v>RAS-IC-08</x:v>
      </x:c>
      <x:c r="C14" s="13" t="str">
        <x:v>AM-05-TR-B</x:v>
      </x:c>
      <x:c r="D14" s="13" t="str">
        <x:v>AM-05</x:v>
      </x:c>
      <x:c r="E14" s="13" t="str">
        <x:v>QE-02</x:v>
      </x:c>
      <x:c r="F14" s="13" t="n">
        <x:v>100</x:v>
      </x:c>
      <x:c r="G14" s="13" t="n">
        <x:v>2.5</x:v>
      </x:c>
      <x:c r="H14" s="13" t="n">
        <x:v>0</x:v>
      </x:c>
      <x:c r="I14" s="14" t="str">
        <x:v>services normal</x:v>
      </x:c>
      <x:c r="J14" s="13" t="str"/>
      <x:c r="K14" s="13" t="str">
        <x:v>OPEN</x:v>
      </x:c>
    </x:row>
    <x:row r="15" ht="40" customHeight="1">
      <x:c r="B15" s="13" t="str">
        <x:v>RAS-IC-09</x:v>
      </x:c>
      <x:c r="C15" s="13" t="str">
        <x:v>AM-05-TR-B</x:v>
      </x:c>
      <x:c r="D15" s="13" t="str">
        <x:v>AM-05</x:v>
      </x:c>
      <x:c r="E15" s="13" t="str">
        <x:v>QE-03</x:v>
      </x:c>
      <x:c r="F15" s="13" t="n">
        <x:v>250</x:v>
      </x:c>
      <x:c r="G15" s="13" t="n">
        <x:v>5</x:v>
      </x:c>
      <x:c r="H15" s="13" t="n">
        <x:v>0</x:v>
      </x:c>
      <x:c r="I15" s="14" t="str">
        <x:v>services normal</x:v>
      </x:c>
      <x:c r="J15" s="13" t="str"/>
      <x:c r="K15" s="13" t="str">
        <x:v>OPEN</x:v>
      </x:c>
    </x:row>
    <x:row r="16" ht="40" customHeight="1">
      <x:c r="B16" s="13" t="str">
        <x:v>RAS-IC-10</x:v>
      </x:c>
      <x:c r="C16" s="13" t="str">
        <x:v>AM-05-TR-B</x:v>
      </x:c>
      <x:c r="D16" s="13" t="str">
        <x:v>AM-05</x:v>
      </x:c>
      <x:c r="E16" s="13" t="str">
        <x:v>QE-04</x:v>
      </x:c>
      <x:c r="F16" s="13" t="n">
        <x:v>500</x:v>
      </x:c>
      <x:c r="G16" s="13" t="n">
        <x:v>6.25</x:v>
      </x:c>
      <x:c r="H16" s="13" t="n">
        <x:v>0</x:v>
      </x:c>
      <x:c r="I16" s="14" t="str">
        <x:v>services normal</x:v>
      </x:c>
      <x:c r="J16" s="13" t="str"/>
      <x:c r="K16" s="13" t="str">
        <x:v>OPEN</x:v>
      </x:c>
    </x:row>
    <x:row r="17" ht="40" customHeight="1">
      <x:c r="B17" s="13" t="str">
        <x:v>RAS-IC-11</x:v>
      </x:c>
      <x:c r="C17" s="13" t="str">
        <x:v>AM-05-TR-B</x:v>
      </x:c>
      <x:c r="D17" s="13" t="str">
        <x:v>AM-05</x:v>
      </x:c>
      <x:c r="E17" s="13" t="str">
        <x:v>QE-05</x:v>
      </x:c>
      <x:c r="F17" s="13" t="n">
        <x:v>500</x:v>
      </x:c>
      <x:c r="G17" s="13" t="n">
        <x:v>6.25</x:v>
      </x:c>
      <x:c r="H17" s="13" t="n">
        <x:v>24</x:v>
      </x:c>
      <x:c r="I17" s="14" t="str">
        <x:v>services normal</x:v>
      </x:c>
      <x:c r="J17" s="13" t="str"/>
      <x:c r="K17" s="13" t="str">
        <x:v>OPEN</x:v>
      </x:c>
    </x:row>
    <x:row r="18" ht="40" customHeight="1">
      <x:c r="B18" s="13" t="str">
        <x:v>RAS-IC-12</x:v>
      </x:c>
      <x:c r="C18" s="13" t="str">
        <x:v>AM-05-TR-B</x:v>
      </x:c>
      <x:c r="D18" s="13" t="str">
        <x:v>AM-05</x:v>
      </x:c>
      <x:c r="E18" s="13" t="str">
        <x:v>QE-06</x:v>
      </x:c>
      <x:c r="F18" s="13" t="n">
        <x:v>500</x:v>
      </x:c>
      <x:c r="G18" s="13" t="n">
        <x:v>25</x:v>
      </x:c>
      <x:c r="H18" s="13" t="n">
        <x:v>48</x:v>
      </x:c>
      <x:c r="I18" s="14" t="str">
        <x:v>normal energy, network and primary time absent</x:v>
      </x:c>
      <x:c r="J18" s="13" t="str"/>
      <x:c r="K18" s="13" t="str">
        <x:v>OPEN</x:v>
      </x:c>
    </x:row>
    <x:row r="19" ht="40" customHeight="1">
      <x:c r="B19" s="13" t="str">
        <x:v>RAS-IC-13</x:v>
      </x:c>
      <x:c r="C19" s="13" t="str">
        <x:v>AM-06-TR-A</x:v>
      </x:c>
      <x:c r="D19" s="13" t="str">
        <x:v>AM-06</x:v>
      </x:c>
      <x:c r="E19" s="13" t="str">
        <x:v>QE-01</x:v>
      </x:c>
      <x:c r="F19" s="13" t="n">
        <x:v>0</x:v>
      </x:c>
      <x:c r="G19" s="13" t="n">
        <x:v>0</x:v>
      </x:c>
      <x:c r="H19" s="13" t="n">
        <x:v>0</x:v>
      </x:c>
      <x:c r="I19" s="14" t="str">
        <x:v>services normal</x:v>
      </x:c>
      <x:c r="J19" s="13" t="str"/>
      <x:c r="K19" s="13" t="str">
        <x:v>OPEN</x:v>
      </x:c>
    </x:row>
    <x:row r="20" ht="40" customHeight="1">
      <x:c r="B20" s="13" t="str">
        <x:v>RAS-IC-14</x:v>
      </x:c>
      <x:c r="C20" s="13" t="str">
        <x:v>AM-06-TR-A</x:v>
      </x:c>
      <x:c r="D20" s="13" t="str">
        <x:v>AM-06</x:v>
      </x:c>
      <x:c r="E20" s="13" t="str">
        <x:v>QE-02</x:v>
      </x:c>
      <x:c r="F20" s="13" t="n">
        <x:v>100</x:v>
      </x:c>
      <x:c r="G20" s="13" t="n">
        <x:v>2.5</x:v>
      </x:c>
      <x:c r="H20" s="13" t="n">
        <x:v>0</x:v>
      </x:c>
      <x:c r="I20" s="14" t="str">
        <x:v>services normal</x:v>
      </x:c>
      <x:c r="J20" s="13" t="str"/>
      <x:c r="K20" s="13" t="str">
        <x:v>OPEN</x:v>
      </x:c>
    </x:row>
    <x:row r="21" ht="40" customHeight="1">
      <x:c r="B21" s="13" t="str">
        <x:v>RAS-IC-15</x:v>
      </x:c>
      <x:c r="C21" s="13" t="str">
        <x:v>AM-06-TR-A</x:v>
      </x:c>
      <x:c r="D21" s="13" t="str">
        <x:v>AM-06</x:v>
      </x:c>
      <x:c r="E21" s="13" t="str">
        <x:v>QE-03</x:v>
      </x:c>
      <x:c r="F21" s="13" t="n">
        <x:v>250</x:v>
      </x:c>
      <x:c r="G21" s="13" t="n">
        <x:v>5</x:v>
      </x:c>
      <x:c r="H21" s="13" t="n">
        <x:v>0</x:v>
      </x:c>
      <x:c r="I21" s="14" t="str">
        <x:v>services normal</x:v>
      </x:c>
      <x:c r="J21" s="13" t="str"/>
      <x:c r="K21" s="13" t="str">
        <x:v>OPEN</x:v>
      </x:c>
    </x:row>
    <x:row r="22" ht="40" customHeight="1">
      <x:c r="B22" s="13" t="str">
        <x:v>RAS-IC-16</x:v>
      </x:c>
      <x:c r="C22" s="13" t="str">
        <x:v>AM-06-TR-A</x:v>
      </x:c>
      <x:c r="D22" s="13" t="str">
        <x:v>AM-06</x:v>
      </x:c>
      <x:c r="E22" s="13" t="str">
        <x:v>QE-04</x:v>
      </x:c>
      <x:c r="F22" s="13" t="n">
        <x:v>500</x:v>
      </x:c>
      <x:c r="G22" s="13" t="n">
        <x:v>6.25</x:v>
      </x:c>
      <x:c r="H22" s="13" t="n">
        <x:v>0</x:v>
      </x:c>
      <x:c r="I22" s="14" t="str">
        <x:v>services normal</x:v>
      </x:c>
      <x:c r="J22" s="13" t="str"/>
      <x:c r="K22" s="13" t="str">
        <x:v>OPEN</x:v>
      </x:c>
    </x:row>
    <x:row r="23" ht="40" customHeight="1">
      <x:c r="B23" s="13" t="str">
        <x:v>RAS-IC-17</x:v>
      </x:c>
      <x:c r="C23" s="13" t="str">
        <x:v>AM-06-TR-A</x:v>
      </x:c>
      <x:c r="D23" s="13" t="str">
        <x:v>AM-06</x:v>
      </x:c>
      <x:c r="E23" s="13" t="str">
        <x:v>QE-05</x:v>
      </x:c>
      <x:c r="F23" s="13" t="n">
        <x:v>500</x:v>
      </x:c>
      <x:c r="G23" s="13" t="n">
        <x:v>6.25</x:v>
      </x:c>
      <x:c r="H23" s="13" t="n">
        <x:v>24</x:v>
      </x:c>
      <x:c r="I23" s="14" t="str">
        <x:v>services normal</x:v>
      </x:c>
      <x:c r="J23" s="13" t="str"/>
      <x:c r="K23" s="13" t="str">
        <x:v>OPEN</x:v>
      </x:c>
    </x:row>
    <x:row r="24" ht="40" customHeight="1">
      <x:c r="B24" s="13" t="str">
        <x:v>RAS-IC-18</x:v>
      </x:c>
      <x:c r="C24" s="13" t="str">
        <x:v>AM-06-TR-A</x:v>
      </x:c>
      <x:c r="D24" s="13" t="str">
        <x:v>AM-06</x:v>
      </x:c>
      <x:c r="E24" s="13" t="str">
        <x:v>QE-06</x:v>
      </x:c>
      <x:c r="F24" s="13" t="n">
        <x:v>500</x:v>
      </x:c>
      <x:c r="G24" s="13" t="n">
        <x:v>25</x:v>
      </x:c>
      <x:c r="H24" s="13" t="n">
        <x:v>48</x:v>
      </x:c>
      <x:c r="I24" s="14" t="str">
        <x:v>normal energy, network and primary time absent</x:v>
      </x:c>
      <x:c r="J24" s="13" t="str"/>
      <x:c r="K24" s="13" t="str">
        <x:v>OPEN</x:v>
      </x:c>
    </x:row>
    <x:row r="25" ht="40" customHeight="1">
      <x:c r="B25" s="13" t="str">
        <x:v>RAS-IC-19</x:v>
      </x:c>
      <x:c r="C25" s="13" t="str">
        <x:v>AM-06-TR-B</x:v>
      </x:c>
      <x:c r="D25" s="13" t="str">
        <x:v>AM-06</x:v>
      </x:c>
      <x:c r="E25" s="13" t="str">
        <x:v>QE-01</x:v>
      </x:c>
      <x:c r="F25" s="13" t="n">
        <x:v>0</x:v>
      </x:c>
      <x:c r="G25" s="13" t="n">
        <x:v>0</x:v>
      </x:c>
      <x:c r="H25" s="13" t="n">
        <x:v>0</x:v>
      </x:c>
      <x:c r="I25" s="14" t="str">
        <x:v>services normal</x:v>
      </x:c>
      <x:c r="J25" s="13" t="str"/>
      <x:c r="K25" s="13" t="str">
        <x:v>OPEN</x:v>
      </x:c>
    </x:row>
    <x:row r="26" ht="40" customHeight="1">
      <x:c r="B26" s="13" t="str">
        <x:v>RAS-IC-20</x:v>
      </x:c>
      <x:c r="C26" s="13" t="str">
        <x:v>AM-06-TR-B</x:v>
      </x:c>
      <x:c r="D26" s="13" t="str">
        <x:v>AM-06</x:v>
      </x:c>
      <x:c r="E26" s="13" t="str">
        <x:v>QE-02</x:v>
      </x:c>
      <x:c r="F26" s="13" t="n">
        <x:v>100</x:v>
      </x:c>
      <x:c r="G26" s="13" t="n">
        <x:v>2.5</x:v>
      </x:c>
      <x:c r="H26" s="13" t="n">
        <x:v>0</x:v>
      </x:c>
      <x:c r="I26" s="14" t="str">
        <x:v>services normal</x:v>
      </x:c>
      <x:c r="J26" s="13" t="str"/>
      <x:c r="K26" s="13" t="str">
        <x:v>OPEN</x:v>
      </x:c>
    </x:row>
    <x:row r="27" ht="40" customHeight="1">
      <x:c r="B27" s="13" t="str">
        <x:v>RAS-IC-21</x:v>
      </x:c>
      <x:c r="C27" s="13" t="str">
        <x:v>AM-06-TR-B</x:v>
      </x:c>
      <x:c r="D27" s="13" t="str">
        <x:v>AM-06</x:v>
      </x:c>
      <x:c r="E27" s="13" t="str">
        <x:v>QE-03</x:v>
      </x:c>
      <x:c r="F27" s="13" t="n">
        <x:v>250</x:v>
      </x:c>
      <x:c r="G27" s="13" t="n">
        <x:v>5</x:v>
      </x:c>
      <x:c r="H27" s="13" t="n">
        <x:v>0</x:v>
      </x:c>
      <x:c r="I27" s="14" t="str">
        <x:v>services normal</x:v>
      </x:c>
      <x:c r="J27" s="13" t="str"/>
      <x:c r="K27" s="13" t="str">
        <x:v>OPEN</x:v>
      </x:c>
    </x:row>
    <x:row r="28" ht="40" customHeight="1">
      <x:c r="B28" s="13" t="str">
        <x:v>RAS-IC-22</x:v>
      </x:c>
      <x:c r="C28" s="13" t="str">
        <x:v>AM-06-TR-B</x:v>
      </x:c>
      <x:c r="D28" s="13" t="str">
        <x:v>AM-06</x:v>
      </x:c>
      <x:c r="E28" s="13" t="str">
        <x:v>QE-04</x:v>
      </x:c>
      <x:c r="F28" s="13" t="n">
        <x:v>500</x:v>
      </x:c>
      <x:c r="G28" s="13" t="n">
        <x:v>6.25</x:v>
      </x:c>
      <x:c r="H28" s="13" t="n">
        <x:v>0</x:v>
      </x:c>
      <x:c r="I28" s="14" t="str">
        <x:v>services normal</x:v>
      </x:c>
      <x:c r="J28" s="13" t="str"/>
      <x:c r="K28" s="13" t="str">
        <x:v>OPEN</x:v>
      </x:c>
    </x:row>
    <x:row r="29" ht="40" customHeight="1">
      <x:c r="B29" s="13" t="str">
        <x:v>RAS-IC-23</x:v>
      </x:c>
      <x:c r="C29" s="13" t="str">
        <x:v>AM-06-TR-B</x:v>
      </x:c>
      <x:c r="D29" s="13" t="str">
        <x:v>AM-06</x:v>
      </x:c>
      <x:c r="E29" s="13" t="str">
        <x:v>QE-05</x:v>
      </x:c>
      <x:c r="F29" s="13" t="n">
        <x:v>500</x:v>
      </x:c>
      <x:c r="G29" s="13" t="n">
        <x:v>6.25</x:v>
      </x:c>
      <x:c r="H29" s="13" t="n">
        <x:v>24</x:v>
      </x:c>
      <x:c r="I29" s="14" t="str">
        <x:v>services normal</x:v>
      </x:c>
      <x:c r="J29" s="13" t="str"/>
      <x:c r="K29" s="13" t="str">
        <x:v>OPEN</x:v>
      </x:c>
    </x:row>
    <x:row r="30" ht="40" customHeight="1">
      <x:c r="B30" s="13" t="str">
        <x:v>RAS-IC-24</x:v>
      </x:c>
      <x:c r="C30" s="13" t="str">
        <x:v>AM-06-TR-B</x:v>
      </x:c>
      <x:c r="D30" s="13" t="str">
        <x:v>AM-06</x:v>
      </x:c>
      <x:c r="E30" s="13" t="str">
        <x:v>QE-06</x:v>
      </x:c>
      <x:c r="F30" s="13" t="n">
        <x:v>500</x:v>
      </x:c>
      <x:c r="G30" s="13" t="n">
        <x:v>25</x:v>
      </x:c>
      <x:c r="H30" s="13" t="n">
        <x:v>48</x:v>
      </x:c>
      <x:c r="I30" s="14" t="str">
        <x:v>normal energy, network and primary time absent</x:v>
      </x:c>
      <x:c r="J30" s="13" t="str"/>
      <x:c r="K30" s="13" t="str">
        <x:v>OPEN</x:v>
      </x:c>
    </x:row>
  </x:sheetData>
  <x:conditionalFormatting sqref="K7:K30">
    <x:cfRule type="containsText" dxfId="48" priority="1" operator="containsText" text="FAIL"/>
    <x:cfRule type="containsText" dxfId="49" priority="2" operator="containsText" text="INVALID"/>
    <x:cfRule type="containsText" dxfId="50" priority="3" operator="containsText" text="BLOCKED"/>
    <x:cfRule type="containsText" dxfId="51" priority="4" operator="containsText" text="OPEN"/>
    <x:cfRule type="containsText" dxfId="52" priority="5" operator="containsText" text="GAP"/>
    <x:cfRule type="containsText" dxfId="53" priority="6" operator="containsText" text="DORMANT"/>
    <x:cfRule type="containsText" dxfId="54" priority="7" operator="containsText" text="PASS"/>
    <x:cfRule type="containsText" dxfId="55" priority="8" operator="containsText" text="VALI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6" hidden="0" customWidth="1"/>
    <x:col min="9" max="9" width="18" hidden="0" customWidth="1"/>
    <x:col min="10" max="10" width="18" hidden="0" customWidth="1"/>
    <x:col min="11" max="11" width="20" hidden="0" customWidth="1"/>
    <x:col min="12" max="12" width="31" hidden="0" customWidth="1"/>
    <x:col min="13" max="13" width="17" hidden="0" customWidth="1"/>
    <x:col min="14" max="14" width="14" hidden="0" customWidth="1"/>
    <x:col min="15" max="15" width="12" hidden="0" customWidth="1"/>
    <x:col min="16" max="16" width="15" hidden="0" customWidth="1"/>
    <x:col min="17" max="17" width="15" hidden="0" customWidth="1"/>
    <x:col min="18" max="18" width="21" hidden="0" customWidth="1"/>
    <x:col min="19" max="19" width="21" hidden="0" customWidth="1"/>
    <x:col min="20" max="20" width="15" hidden="0" customWidth="1"/>
    <x:col min="21" max="21" width="18" hidden="0" customWidth="1"/>
    <x:col min="22" max="22" width="14" hidden="0" customWidth="1"/>
    <x:col min="1" max="1" width="3" hidden="0" customWidth="1"/>
  </x:cols>
  <x:sheetData>
    <x:row r="2">
      <x:c r="B2" s="12" t="str">
        <x:v>One hundred forty-four source-entry events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3">
      <x:c r="B3" s="2" t="str">
        <x:v>Two methods cross unlike roots, six rigs and six classes. Physical fields remain blank.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</x:row>
    <x:row r="6" ht="24" customHeight="1">
      <x:c r="B6" s="6" t="str">
        <x:v>Event</x:v>
      </x:c>
      <x:c r="C6" s="6" t="str">
        <x:v>Method</x:v>
      </x:c>
      <x:c r="D6" s="6" t="str">
        <x:v>Truth root</x:v>
      </x:c>
      <x:c r="E6" s="6" t="str">
        <x:v>Rig</x:v>
      </x:c>
      <x:c r="F6" s="6" t="str">
        <x:v>Campus</x:v>
      </x:c>
      <x:c r="G6" s="6" t="str">
        <x:v>Class</x:v>
      </x:c>
      <x:c r="H6" s="6" t="str">
        <x:v>Source kg</x:v>
      </x:c>
      <x:c r="I6" s="6" t="str">
        <x:v>Area bound m2</x:v>
      </x:c>
      <x:c r="J6" s="6" t="str">
        <x:v>Ignition</x:v>
      </x:c>
      <x:c r="K6" s="6" t="str">
        <x:v>AM-06 water m3</x:v>
      </x:c>
      <x:c r="L6" s="6" t="str">
        <x:v>Denied services</x:v>
      </x:c>
      <x:c r="M6" s="6" t="str">
        <x:v>Replay campus</x:v>
      </x:c>
      <x:c r="N6" s="6" t="str">
        <x:v>Rig-days</x:v>
      </x:c>
      <x:c r="O6" s="6" t="str">
        <x:v>Order</x:v>
      </x:c>
      <x:c r="P6" s="6" t="str">
        <x:v>Source lot</x:v>
      </x:c>
      <x:c r="Q6" s="6" t="str">
        <x:v>Water lot</x:v>
      </x:c>
      <x:c r="R6" s="6" t="str">
        <x:v>Executed UTC</x:v>
      </x:c>
      <x:c r="S6" s="6" t="str">
        <x:v>Packet UTC</x:v>
      </x:c>
      <x:c r="T6" s="6" t="str">
        <x:v>Validity</x:v>
      </x:c>
      <x:c r="U6" s="6" t="str">
        <x:v>Credit accepted</x:v>
      </x:c>
      <x:c r="V6" s="6" t="str">
        <x:v>State</x:v>
      </x:c>
    </x:row>
    <x:row r="7">
      <x:c r="B7" s="13" t="str">
        <x:v>RAS-E001</x:v>
      </x:c>
      <x:c r="C7" s="13" t="str">
        <x:v>AM-05</x:v>
      </x:c>
      <x:c r="D7" s="13" t="str">
        <x:v>TR-A</x:v>
      </x:c>
      <x:c r="E7" s="13" t="str">
        <x:v>RFP-A1</x:v>
      </x:c>
      <x:c r="F7" s="13" t="str">
        <x:v>PTC-A</x:v>
      </x:c>
      <x:c r="G7" s="13" t="str">
        <x:v>QE-01</x:v>
      </x:c>
      <x:c r="H7" s="13" t="n">
        <x:v>0</x:v>
      </x:c>
      <x:c r="I7" s="13" t="n">
        <x:v>0</x:v>
      </x:c>
      <x:c r="J7" s="13" t="str">
        <x:v>PROHIBITED</x:v>
      </x:c>
      <x:c r="K7" s="13" t="n">
        <x:v>0</x:v>
      </x:c>
      <x:c r="L7" s="13" t="str">
        <x:v>NONE</x:v>
      </x:c>
      <x:c r="M7" s="13" t="str">
        <x:v>n.a.</x:v>
      </x:c>
      <x:c r="N7" s="13" t="n">
        <x:v>2</x:v>
      </x:c>
      <x:c r="O7" s="13" t="n">
        <x:v>1</x:v>
      </x:c>
      <x:c r="P7" s="13" t="str">
        <x:v>RAS-S001</x:v>
      </x:c>
      <x:c r="Q7" s="13" t="str">
        <x:v>RAS-W01</x:v>
      </x:c>
      <x:c r="R7" s="13" t="str"/>
      <x:c r="S7" s="13" t="str"/>
      <x:c r="T7" s="13" t="str"/>
      <x:c r="U7" s="13" t="str"/>
      <x:c r="V7" s="13" t="str">
        <x:f>IF(U7=1,IF(T7="VALID","PASS",IF(T7="INVALID","INVALID","OPEN")),"OPEN")</x:f>
        <x:v>OPEN</x:v>
      </x:c>
    </x:row>
    <x:row r="8">
      <x:c r="B8" s="13" t="str">
        <x:v>RAS-E002</x:v>
      </x:c>
      <x:c r="C8" s="13" t="str">
        <x:v>AM-05</x:v>
      </x:c>
      <x:c r="D8" s="13" t="str">
        <x:v>TR-A</x:v>
      </x:c>
      <x:c r="E8" s="13" t="str">
        <x:v>RFP-A1</x:v>
      </x:c>
      <x:c r="F8" s="13" t="str">
        <x:v>PTC-A</x:v>
      </x:c>
      <x:c r="G8" s="13" t="str">
        <x:v>QE-02</x:v>
      </x:c>
      <x:c r="H8" s="13" t="n">
        <x:v>100</x:v>
      </x:c>
      <x:c r="I8" s="13" t="n">
        <x:v>2.5</x:v>
      </x:c>
      <x:c r="J8" s="13" t="str">
        <x:v>PROHIBITED</x:v>
      </x:c>
      <x:c r="K8" s="13" t="n">
        <x:v>0</x:v>
      </x:c>
      <x:c r="L8" s="13" t="str">
        <x:v>NONE</x:v>
      </x:c>
      <x:c r="M8" s="13" t="str">
        <x:v>n.a.</x:v>
      </x:c>
      <x:c r="N8" s="13" t="n">
        <x:v>3</x:v>
      </x:c>
      <x:c r="O8" s="13" t="n">
        <x:v>3</x:v>
      </x:c>
      <x:c r="P8" s="13" t="str">
        <x:v>RAS-S001</x:v>
      </x:c>
      <x:c r="Q8" s="13" t="str">
        <x:v>RAS-W01</x:v>
      </x:c>
      <x:c r="R8" s="13" t="str"/>
      <x:c r="S8" s="13" t="str"/>
      <x:c r="T8" s="13" t="str"/>
      <x:c r="U8" s="13" t="str"/>
      <x:c r="V8" s="13" t="str">
        <x:f>IF(U8=1,IF(T8="VALID","PASS",IF(T8="INVALID","INVALID","OPEN")),"OPEN")</x:f>
        <x:v>OPEN</x:v>
      </x:c>
    </x:row>
    <x:row r="9">
      <x:c r="B9" s="13" t="str">
        <x:v>RAS-E003</x:v>
      </x:c>
      <x:c r="C9" s="13" t="str">
        <x:v>AM-05</x:v>
      </x:c>
      <x:c r="D9" s="13" t="str">
        <x:v>TR-A</x:v>
      </x:c>
      <x:c r="E9" s="13" t="str">
        <x:v>RFP-A1</x:v>
      </x:c>
      <x:c r="F9" s="13" t="str">
        <x:v>PTC-A</x:v>
      </x:c>
      <x:c r="G9" s="13" t="str">
        <x:v>QE-03</x:v>
      </x:c>
      <x:c r="H9" s="13" t="n">
        <x:v>250</x:v>
      </x:c>
      <x:c r="I9" s="13" t="n">
        <x:v>5</x:v>
      </x:c>
      <x:c r="J9" s="13" t="str">
        <x:v>PROHIBITED</x:v>
      </x:c>
      <x:c r="K9" s="13" t="n">
        <x:v>0</x:v>
      </x:c>
      <x:c r="L9" s="13" t="str">
        <x:v>NONE</x:v>
      </x:c>
      <x:c r="M9" s="13" t="str">
        <x:v>n.a.</x:v>
      </x:c>
      <x:c r="N9" s="13" t="n">
        <x:v>3</x:v>
      </x:c>
      <x:c r="O9" s="13" t="n">
        <x:v>5</x:v>
      </x:c>
      <x:c r="P9" s="13" t="str">
        <x:v>RAS-S001</x:v>
      </x:c>
      <x:c r="Q9" s="13" t="str">
        <x:v>RAS-W01</x:v>
      </x:c>
      <x:c r="R9" s="13" t="str"/>
      <x:c r="S9" s="13" t="str"/>
      <x:c r="T9" s="13" t="str"/>
      <x:c r="U9" s="13" t="str"/>
      <x:c r="V9" s="13" t="str">
        <x:f>IF(U9=1,IF(T9="VALID","PASS",IF(T9="INVALID","INVALID","OPEN")),"OPEN")</x:f>
        <x:v>OPEN</x:v>
      </x:c>
    </x:row>
    <x:row r="10">
      <x:c r="B10" s="13" t="str">
        <x:v>RAS-E004</x:v>
      </x:c>
      <x:c r="C10" s="13" t="str">
        <x:v>AM-05</x:v>
      </x:c>
      <x:c r="D10" s="13" t="str">
        <x:v>TR-A</x:v>
      </x:c>
      <x:c r="E10" s="13" t="str">
        <x:v>RFP-A1</x:v>
      </x:c>
      <x:c r="F10" s="13" t="str">
        <x:v>PTC-A</x:v>
      </x:c>
      <x:c r="G10" s="13" t="str">
        <x:v>QE-04</x:v>
      </x:c>
      <x:c r="H10" s="13" t="n">
        <x:v>500</x:v>
      </x:c>
      <x:c r="I10" s="13" t="n">
        <x:v>6.25</x:v>
      </x:c>
      <x:c r="J10" s="13" t="str">
        <x:v>PROHIBITED</x:v>
      </x:c>
      <x:c r="K10" s="13" t="n">
        <x:v>0</x:v>
      </x:c>
      <x:c r="L10" s="13" t="str">
        <x:v>NONE</x:v>
      </x:c>
      <x:c r="M10" s="13" t="str">
        <x:v>n.a.</x:v>
      </x:c>
      <x:c r="N10" s="13" t="n">
        <x:v>4</x:v>
      </x:c>
      <x:c r="O10" s="13" t="n">
        <x:v>7</x:v>
      </x:c>
      <x:c r="P10" s="13" t="str">
        <x:v>RAS-S001</x:v>
      </x:c>
      <x:c r="Q10" s="13" t="str">
        <x:v>RAS-W01</x:v>
      </x:c>
      <x:c r="R10" s="13" t="str"/>
      <x:c r="S10" s="13" t="str"/>
      <x:c r="T10" s="13" t="str"/>
      <x:c r="U10" s="13" t="str"/>
      <x:c r="V10" s="13" t="str">
        <x:f>IF(U10=1,IF(T10="VALID","PASS",IF(T10="INVALID","INVALID","OPEN")),"OPEN")</x:f>
        <x:v>OPEN</x:v>
      </x:c>
    </x:row>
    <x:row r="11">
      <x:c r="B11" s="13" t="str">
        <x:v>RAS-E005</x:v>
      </x:c>
      <x:c r="C11" s="13" t="str">
        <x:v>AM-05</x:v>
      </x:c>
      <x:c r="D11" s="13" t="str">
        <x:v>TR-A</x:v>
      </x:c>
      <x:c r="E11" s="13" t="str">
        <x:v>RFP-A1</x:v>
      </x:c>
      <x:c r="F11" s="13" t="str">
        <x:v>PTC-A</x:v>
      </x:c>
      <x:c r="G11" s="13" t="str">
        <x:v>QE-05</x:v>
      </x:c>
      <x:c r="H11" s="13" t="n">
        <x:v>500</x:v>
      </x:c>
      <x:c r="I11" s="13" t="n">
        <x:v>6.25</x:v>
      </x:c>
      <x:c r="J11" s="13" t="str">
        <x:v>PROHIBITED</x:v>
      </x:c>
      <x:c r="K11" s="13" t="n">
        <x:v>0</x:v>
      </x:c>
      <x:c r="L11" s="13" t="str">
        <x:v>NONE</x:v>
      </x:c>
      <x:c r="M11" s="13" t="str">
        <x:v>n.a.</x:v>
      </x:c>
      <x:c r="N11" s="13" t="n">
        <x:v>6</x:v>
      </x:c>
      <x:c r="O11" s="13" t="n">
        <x:v>9</x:v>
      </x:c>
      <x:c r="P11" s="13" t="str">
        <x:v>RAS-S001</x:v>
      </x:c>
      <x:c r="Q11" s="13" t="str">
        <x:v>RAS-W01</x:v>
      </x:c>
      <x:c r="R11" s="13" t="str"/>
      <x:c r="S11" s="13" t="str"/>
      <x:c r="T11" s="13" t="str"/>
      <x:c r="U11" s="13" t="str"/>
      <x:c r="V11" s="13" t="str">
        <x:f>IF(U11=1,IF(T11="VALID","PASS",IF(T11="INVALID","INVALID","OPEN")),"OPEN")</x:f>
        <x:v>OPEN</x:v>
      </x:c>
    </x:row>
    <x:row r="12">
      <x:c r="B12" s="13" t="str">
        <x:v>RAS-E006</x:v>
      </x:c>
      <x:c r="C12" s="13" t="str">
        <x:v>AM-05</x:v>
      </x:c>
      <x:c r="D12" s="13" t="str">
        <x:v>TR-A</x:v>
      </x:c>
      <x:c r="E12" s="13" t="str">
        <x:v>RFP-A1</x:v>
      </x:c>
      <x:c r="F12" s="13" t="str">
        <x:v>PTC-A</x:v>
      </x:c>
      <x:c r="G12" s="13" t="str">
        <x:v>QE-06</x:v>
      </x:c>
      <x:c r="H12" s="13" t="n">
        <x:v>500</x:v>
      </x:c>
      <x:c r="I12" s="13" t="n">
        <x:v>25</x:v>
      </x:c>
      <x:c r="J12" s="13" t="str">
        <x:v>PROHIBITED</x:v>
      </x:c>
      <x:c r="K12" s="13" t="n">
        <x:v>0</x:v>
      </x:c>
      <x:c r="L12" s="13" t="str">
        <x:v>ENERGY+NETWORK+PRIMARY TIME</x:v>
      </x:c>
      <x:c r="M12" s="13" t="str">
        <x:v>PTC-B</x:v>
      </x:c>
      <x:c r="N12" s="13" t="n">
        <x:v>8</x:v>
      </x:c>
      <x:c r="O12" s="13" t="n">
        <x:v>11</x:v>
      </x:c>
      <x:c r="P12" s="13" t="str">
        <x:v>RAS-S001</x:v>
      </x:c>
      <x:c r="Q12" s="13" t="str">
        <x:v>RAS-W01</x:v>
      </x:c>
      <x:c r="R12" s="13" t="str"/>
      <x:c r="S12" s="13" t="str"/>
      <x:c r="T12" s="13" t="str"/>
      <x:c r="U12" s="13" t="str"/>
      <x:c r="V12" s="13" t="str">
        <x:f>IF(U12=1,IF(T12="VALID","PASS",IF(T12="INVALID","INVALID","OPEN")),"OPEN")</x:f>
        <x:v>OPEN</x:v>
      </x:c>
    </x:row>
    <x:row r="13">
      <x:c r="B13" s="13" t="str">
        <x:v>RAS-E007</x:v>
      </x:c>
      <x:c r="C13" s="13" t="str">
        <x:v>AM-05</x:v>
      </x:c>
      <x:c r="D13" s="13" t="str">
        <x:v>TR-A</x:v>
      </x:c>
      <x:c r="E13" s="13" t="str">
        <x:v>RFP-A2</x:v>
      </x:c>
      <x:c r="F13" s="13" t="str">
        <x:v>PTC-A</x:v>
      </x:c>
      <x:c r="G13" s="13" t="str">
        <x:v>QE-01</x:v>
      </x:c>
      <x:c r="H13" s="13" t="n">
        <x:v>0</x:v>
      </x:c>
      <x:c r="I13" s="13" t="n">
        <x:v>0</x:v>
      </x:c>
      <x:c r="J13" s="13" t="str">
        <x:v>PROHIBITED</x:v>
      </x:c>
      <x:c r="K13" s="13" t="n">
        <x:v>0</x:v>
      </x:c>
      <x:c r="L13" s="13" t="str">
        <x:v>NONE</x:v>
      </x:c>
      <x:c r="M13" s="13" t="str">
        <x:v>n.a.</x:v>
      </x:c>
      <x:c r="N13" s="13" t="n">
        <x:v>2</x:v>
      </x:c>
      <x:c r="O13" s="13" t="n">
        <x:v>1</x:v>
      </x:c>
      <x:c r="P13" s="13" t="str">
        <x:v>RAS-S002</x:v>
      </x:c>
      <x:c r="Q13" s="13" t="str">
        <x:v>RAS-W05</x:v>
      </x:c>
      <x:c r="R13" s="13" t="str"/>
      <x:c r="S13" s="13" t="str"/>
      <x:c r="T13" s="13" t="str"/>
      <x:c r="U13" s="13" t="str"/>
      <x:c r="V13" s="13" t="str">
        <x:f>IF(U13=1,IF(T13="VALID","PASS",IF(T13="INVALID","INVALID","OPEN")),"OPEN")</x:f>
        <x:v>OPEN</x:v>
      </x:c>
    </x:row>
    <x:row r="14">
      <x:c r="B14" s="13" t="str">
        <x:v>RAS-E008</x:v>
      </x:c>
      <x:c r="C14" s="13" t="str">
        <x:v>AM-05</x:v>
      </x:c>
      <x:c r="D14" s="13" t="str">
        <x:v>TR-A</x:v>
      </x:c>
      <x:c r="E14" s="13" t="str">
        <x:v>RFP-A2</x:v>
      </x:c>
      <x:c r="F14" s="13" t="str">
        <x:v>PTC-A</x:v>
      </x:c>
      <x:c r="G14" s="13" t="str">
        <x:v>QE-02</x:v>
      </x:c>
      <x:c r="H14" s="13" t="n">
        <x:v>100</x:v>
      </x:c>
      <x:c r="I14" s="13" t="n">
        <x:v>2.5</x:v>
      </x:c>
      <x:c r="J14" s="13" t="str">
        <x:v>PROHIBITED</x:v>
      </x:c>
      <x:c r="K14" s="13" t="n">
        <x:v>0</x:v>
      </x:c>
      <x:c r="L14" s="13" t="str">
        <x:v>NONE</x:v>
      </x:c>
      <x:c r="M14" s="13" t="str">
        <x:v>n.a.</x:v>
      </x:c>
      <x:c r="N14" s="13" t="n">
        <x:v>3</x:v>
      </x:c>
      <x:c r="O14" s="13" t="n">
        <x:v>3</x:v>
      </x:c>
      <x:c r="P14" s="13" t="str">
        <x:v>RAS-S002</x:v>
      </x:c>
      <x:c r="Q14" s="13" t="str">
        <x:v>RAS-W05</x:v>
      </x:c>
      <x:c r="R14" s="13" t="str"/>
      <x:c r="S14" s="13" t="str"/>
      <x:c r="T14" s="13" t="str"/>
      <x:c r="U14" s="13" t="str"/>
      <x:c r="V14" s="13" t="str">
        <x:f>IF(U14=1,IF(T14="VALID","PASS",IF(T14="INVALID","INVALID","OPEN")),"OPEN")</x:f>
        <x:v>OPEN</x:v>
      </x:c>
    </x:row>
    <x:row r="15">
      <x:c r="B15" s="13" t="str">
        <x:v>RAS-E009</x:v>
      </x:c>
      <x:c r="C15" s="13" t="str">
        <x:v>AM-05</x:v>
      </x:c>
      <x:c r="D15" s="13" t="str">
        <x:v>TR-A</x:v>
      </x:c>
      <x:c r="E15" s="13" t="str">
        <x:v>RFP-A2</x:v>
      </x:c>
      <x:c r="F15" s="13" t="str">
        <x:v>PTC-A</x:v>
      </x:c>
      <x:c r="G15" s="13" t="str">
        <x:v>QE-03</x:v>
      </x:c>
      <x:c r="H15" s="13" t="n">
        <x:v>250</x:v>
      </x:c>
      <x:c r="I15" s="13" t="n">
        <x:v>5</x:v>
      </x:c>
      <x:c r="J15" s="13" t="str">
        <x:v>PROHIBITED</x:v>
      </x:c>
      <x:c r="K15" s="13" t="n">
        <x:v>0</x:v>
      </x:c>
      <x:c r="L15" s="13" t="str">
        <x:v>NONE</x:v>
      </x:c>
      <x:c r="M15" s="13" t="str">
        <x:v>n.a.</x:v>
      </x:c>
      <x:c r="N15" s="13" t="n">
        <x:v>3</x:v>
      </x:c>
      <x:c r="O15" s="13" t="n">
        <x:v>5</x:v>
      </x:c>
      <x:c r="P15" s="13" t="str">
        <x:v>RAS-S002</x:v>
      </x:c>
      <x:c r="Q15" s="13" t="str">
        <x:v>RAS-W05</x:v>
      </x:c>
      <x:c r="R15" s="13" t="str"/>
      <x:c r="S15" s="13" t="str"/>
      <x:c r="T15" s="13" t="str"/>
      <x:c r="U15" s="13" t="str"/>
      <x:c r="V15" s="13" t="str">
        <x:f>IF(U15=1,IF(T15="VALID","PASS",IF(T15="INVALID","INVALID","OPEN")),"OPEN")</x:f>
        <x:v>OPEN</x:v>
      </x:c>
    </x:row>
    <x:row r="16">
      <x:c r="B16" s="13" t="str">
        <x:v>RAS-E010</x:v>
      </x:c>
      <x:c r="C16" s="13" t="str">
        <x:v>AM-05</x:v>
      </x:c>
      <x:c r="D16" s="13" t="str">
        <x:v>TR-A</x:v>
      </x:c>
      <x:c r="E16" s="13" t="str">
        <x:v>RFP-A2</x:v>
      </x:c>
      <x:c r="F16" s="13" t="str">
        <x:v>PTC-A</x:v>
      </x:c>
      <x:c r="G16" s="13" t="str">
        <x:v>QE-04</x:v>
      </x:c>
      <x:c r="H16" s="13" t="n">
        <x:v>500</x:v>
      </x:c>
      <x:c r="I16" s="13" t="n">
        <x:v>6.25</x:v>
      </x:c>
      <x:c r="J16" s="13" t="str">
        <x:v>PROHIBITED</x:v>
      </x:c>
      <x:c r="K16" s="13" t="n">
        <x:v>0</x:v>
      </x:c>
      <x:c r="L16" s="13" t="str">
        <x:v>NONE</x:v>
      </x:c>
      <x:c r="M16" s="13" t="str">
        <x:v>n.a.</x:v>
      </x:c>
      <x:c r="N16" s="13" t="n">
        <x:v>4</x:v>
      </x:c>
      <x:c r="O16" s="13" t="n">
        <x:v>7</x:v>
      </x:c>
      <x:c r="P16" s="13" t="str">
        <x:v>RAS-S002</x:v>
      </x:c>
      <x:c r="Q16" s="13" t="str">
        <x:v>RAS-W05</x:v>
      </x:c>
      <x:c r="R16" s="13" t="str"/>
      <x:c r="S16" s="13" t="str"/>
      <x:c r="T16" s="13" t="str"/>
      <x:c r="U16" s="13" t="str"/>
      <x:c r="V16" s="13" t="str">
        <x:f>IF(U16=1,IF(T16="VALID","PASS",IF(T16="INVALID","INVALID","OPEN")),"OPEN")</x:f>
        <x:v>OPEN</x:v>
      </x:c>
    </x:row>
    <x:row r="17">
      <x:c r="B17" s="13" t="str">
        <x:v>RAS-E011</x:v>
      </x:c>
      <x:c r="C17" s="13" t="str">
        <x:v>AM-05</x:v>
      </x:c>
      <x:c r="D17" s="13" t="str">
        <x:v>TR-A</x:v>
      </x:c>
      <x:c r="E17" s="13" t="str">
        <x:v>RFP-A2</x:v>
      </x:c>
      <x:c r="F17" s="13" t="str">
        <x:v>PTC-A</x:v>
      </x:c>
      <x:c r="G17" s="13" t="str">
        <x:v>QE-05</x:v>
      </x:c>
      <x:c r="H17" s="13" t="n">
        <x:v>500</x:v>
      </x:c>
      <x:c r="I17" s="13" t="n">
        <x:v>6.25</x:v>
      </x:c>
      <x:c r="J17" s="13" t="str">
        <x:v>PROHIBITED</x:v>
      </x:c>
      <x:c r="K17" s="13" t="n">
        <x:v>0</x:v>
      </x:c>
      <x:c r="L17" s="13" t="str">
        <x:v>NONE</x:v>
      </x:c>
      <x:c r="M17" s="13" t="str">
        <x:v>n.a.</x:v>
      </x:c>
      <x:c r="N17" s="13" t="n">
        <x:v>6</x:v>
      </x:c>
      <x:c r="O17" s="13" t="n">
        <x:v>9</x:v>
      </x:c>
      <x:c r="P17" s="13" t="str">
        <x:v>RAS-S002</x:v>
      </x:c>
      <x:c r="Q17" s="13" t="str">
        <x:v>RAS-W05</x:v>
      </x:c>
      <x:c r="R17" s="13" t="str"/>
      <x:c r="S17" s="13" t="str"/>
      <x:c r="T17" s="13" t="str"/>
      <x:c r="U17" s="13" t="str"/>
      <x:c r="V17" s="13" t="str">
        <x:f>IF(U17=1,IF(T17="VALID","PASS",IF(T17="INVALID","INVALID","OPEN")),"OPEN")</x:f>
        <x:v>OPEN</x:v>
      </x:c>
    </x:row>
    <x:row r="18">
      <x:c r="B18" s="13" t="str">
        <x:v>RAS-E012</x:v>
      </x:c>
      <x:c r="C18" s="13" t="str">
        <x:v>AM-05</x:v>
      </x:c>
      <x:c r="D18" s="13" t="str">
        <x:v>TR-A</x:v>
      </x:c>
      <x:c r="E18" s="13" t="str">
        <x:v>RFP-A2</x:v>
      </x:c>
      <x:c r="F18" s="13" t="str">
        <x:v>PTC-A</x:v>
      </x:c>
      <x:c r="G18" s="13" t="str">
        <x:v>QE-06</x:v>
      </x:c>
      <x:c r="H18" s="13" t="n">
        <x:v>500</x:v>
      </x:c>
      <x:c r="I18" s="13" t="n">
        <x:v>25</x:v>
      </x:c>
      <x:c r="J18" s="13" t="str">
        <x:v>PROHIBITED</x:v>
      </x:c>
      <x:c r="K18" s="13" t="n">
        <x:v>0</x:v>
      </x:c>
      <x:c r="L18" s="13" t="str">
        <x:v>ENERGY+NETWORK+PRIMARY TIME</x:v>
      </x:c>
      <x:c r="M18" s="13" t="str">
        <x:v>PTC-B</x:v>
      </x:c>
      <x:c r="N18" s="13" t="n">
        <x:v>8</x:v>
      </x:c>
      <x:c r="O18" s="13" t="n">
        <x:v>11</x:v>
      </x:c>
      <x:c r="P18" s="13" t="str">
        <x:v>RAS-S002</x:v>
      </x:c>
      <x:c r="Q18" s="13" t="str">
        <x:v>RAS-W05</x:v>
      </x:c>
      <x:c r="R18" s="13" t="str"/>
      <x:c r="S18" s="13" t="str"/>
      <x:c r="T18" s="13" t="str"/>
      <x:c r="U18" s="13" t="str"/>
      <x:c r="V18" s="13" t="str">
        <x:f>IF(U18=1,IF(T18="VALID","PASS",IF(T18="INVALID","INVALID","OPEN")),"OPEN")</x:f>
        <x:v>OPEN</x:v>
      </x:c>
    </x:row>
    <x:row r="19">
      <x:c r="B19" s="13" t="str">
        <x:v>RAS-E013</x:v>
      </x:c>
      <x:c r="C19" s="13" t="str">
        <x:v>AM-05</x:v>
      </x:c>
      <x:c r="D19" s="13" t="str">
        <x:v>TR-A</x:v>
      </x:c>
      <x:c r="E19" s="13" t="str">
        <x:v>RFP-B1</x:v>
      </x:c>
      <x:c r="F19" s="13" t="str">
        <x:v>PTC-B</x:v>
      </x:c>
      <x:c r="G19" s="13" t="str">
        <x:v>QE-01</x:v>
      </x:c>
      <x:c r="H19" s="13" t="n">
        <x:v>0</x:v>
      </x:c>
      <x:c r="I19" s="13" t="n">
        <x:v>0</x:v>
      </x:c>
      <x:c r="J19" s="13" t="str">
        <x:v>PROHIBITED</x:v>
      </x:c>
      <x:c r="K19" s="13" t="n">
        <x:v>0</x:v>
      </x:c>
      <x:c r="L19" s="13" t="str">
        <x:v>NONE</x:v>
      </x:c>
      <x:c r="M19" s="13" t="str">
        <x:v>n.a.</x:v>
      </x:c>
      <x:c r="N19" s="13" t="n">
        <x:v>2</x:v>
      </x:c>
      <x:c r="O19" s="13" t="n">
        <x:v>1</x:v>
      </x:c>
      <x:c r="P19" s="13" t="str">
        <x:v>RAS-S003</x:v>
      </x:c>
      <x:c r="Q19" s="13" t="str">
        <x:v>RAS-W09</x:v>
      </x:c>
      <x:c r="R19" s="13" t="str"/>
      <x:c r="S19" s="13" t="str"/>
      <x:c r="T19" s="13" t="str"/>
      <x:c r="U19" s="13" t="str"/>
      <x:c r="V19" s="13" t="str">
        <x:f>IF(U19=1,IF(T19="VALID","PASS",IF(T19="INVALID","INVALID","OPEN")),"OPEN")</x:f>
        <x:v>OPEN</x:v>
      </x:c>
    </x:row>
    <x:row r="20">
      <x:c r="B20" s="13" t="str">
        <x:v>RAS-E014</x:v>
      </x:c>
      <x:c r="C20" s="13" t="str">
        <x:v>AM-05</x:v>
      </x:c>
      <x:c r="D20" s="13" t="str">
        <x:v>TR-A</x:v>
      </x:c>
      <x:c r="E20" s="13" t="str">
        <x:v>RFP-B1</x:v>
      </x:c>
      <x:c r="F20" s="13" t="str">
        <x:v>PTC-B</x:v>
      </x:c>
      <x:c r="G20" s="13" t="str">
        <x:v>QE-02</x:v>
      </x:c>
      <x:c r="H20" s="13" t="n">
        <x:v>100</x:v>
      </x:c>
      <x:c r="I20" s="13" t="n">
        <x:v>2.5</x:v>
      </x:c>
      <x:c r="J20" s="13" t="str">
        <x:v>PROHIBITED</x:v>
      </x:c>
      <x:c r="K20" s="13" t="n">
        <x:v>0</x:v>
      </x:c>
      <x:c r="L20" s="13" t="str">
        <x:v>NONE</x:v>
      </x:c>
      <x:c r="M20" s="13" t="str">
        <x:v>n.a.</x:v>
      </x:c>
      <x:c r="N20" s="13" t="n">
        <x:v>3</x:v>
      </x:c>
      <x:c r="O20" s="13" t="n">
        <x:v>3</x:v>
      </x:c>
      <x:c r="P20" s="13" t="str">
        <x:v>RAS-S003</x:v>
      </x:c>
      <x:c r="Q20" s="13" t="str">
        <x:v>RAS-W09</x:v>
      </x:c>
      <x:c r="R20" s="13" t="str"/>
      <x:c r="S20" s="13" t="str"/>
      <x:c r="T20" s="13" t="str"/>
      <x:c r="U20" s="13" t="str"/>
      <x:c r="V20" s="13" t="str">
        <x:f>IF(U20=1,IF(T20="VALID","PASS",IF(T20="INVALID","INVALID","OPEN")),"OPEN")</x:f>
        <x:v>OPEN</x:v>
      </x:c>
    </x:row>
    <x:row r="21">
      <x:c r="B21" s="13" t="str">
        <x:v>RAS-E015</x:v>
      </x:c>
      <x:c r="C21" s="13" t="str">
        <x:v>AM-05</x:v>
      </x:c>
      <x:c r="D21" s="13" t="str">
        <x:v>TR-A</x:v>
      </x:c>
      <x:c r="E21" s="13" t="str">
        <x:v>RFP-B1</x:v>
      </x:c>
      <x:c r="F21" s="13" t="str">
        <x:v>PTC-B</x:v>
      </x:c>
      <x:c r="G21" s="13" t="str">
        <x:v>QE-03</x:v>
      </x:c>
      <x:c r="H21" s="13" t="n">
        <x:v>250</x:v>
      </x:c>
      <x:c r="I21" s="13" t="n">
        <x:v>5</x:v>
      </x:c>
      <x:c r="J21" s="13" t="str">
        <x:v>PROHIBITED</x:v>
      </x:c>
      <x:c r="K21" s="13" t="n">
        <x:v>0</x:v>
      </x:c>
      <x:c r="L21" s="13" t="str">
        <x:v>NONE</x:v>
      </x:c>
      <x:c r="M21" s="13" t="str">
        <x:v>n.a.</x:v>
      </x:c>
      <x:c r="N21" s="13" t="n">
        <x:v>3</x:v>
      </x:c>
      <x:c r="O21" s="13" t="n">
        <x:v>5</x:v>
      </x:c>
      <x:c r="P21" s="13" t="str">
        <x:v>RAS-S003</x:v>
      </x:c>
      <x:c r="Q21" s="13" t="str">
        <x:v>RAS-W09</x:v>
      </x:c>
      <x:c r="R21" s="13" t="str"/>
      <x:c r="S21" s="13" t="str"/>
      <x:c r="T21" s="13" t="str"/>
      <x:c r="U21" s="13" t="str"/>
      <x:c r="V21" s="13" t="str">
        <x:f>IF(U21=1,IF(T21="VALID","PASS",IF(T21="INVALID","INVALID","OPEN")),"OPEN")</x:f>
        <x:v>OPEN</x:v>
      </x:c>
    </x:row>
    <x:row r="22">
      <x:c r="B22" s="13" t="str">
        <x:v>RAS-E016</x:v>
      </x:c>
      <x:c r="C22" s="13" t="str">
        <x:v>AM-05</x:v>
      </x:c>
      <x:c r="D22" s="13" t="str">
        <x:v>TR-A</x:v>
      </x:c>
      <x:c r="E22" s="13" t="str">
        <x:v>RFP-B1</x:v>
      </x:c>
      <x:c r="F22" s="13" t="str">
        <x:v>PTC-B</x:v>
      </x:c>
      <x:c r="G22" s="13" t="str">
        <x:v>QE-04</x:v>
      </x:c>
      <x:c r="H22" s="13" t="n">
        <x:v>500</x:v>
      </x:c>
      <x:c r="I22" s="13" t="n">
        <x:v>6.25</x:v>
      </x:c>
      <x:c r="J22" s="13" t="str">
        <x:v>PROHIBITED</x:v>
      </x:c>
      <x:c r="K22" s="13" t="n">
        <x:v>0</x:v>
      </x:c>
      <x:c r="L22" s="13" t="str">
        <x:v>NONE</x:v>
      </x:c>
      <x:c r="M22" s="13" t="str">
        <x:v>n.a.</x:v>
      </x:c>
      <x:c r="N22" s="13" t="n">
        <x:v>4</x:v>
      </x:c>
      <x:c r="O22" s="13" t="n">
        <x:v>7</x:v>
      </x:c>
      <x:c r="P22" s="13" t="str">
        <x:v>RAS-S003</x:v>
      </x:c>
      <x:c r="Q22" s="13" t="str">
        <x:v>RAS-W09</x:v>
      </x:c>
      <x:c r="R22" s="13" t="str"/>
      <x:c r="S22" s="13" t="str"/>
      <x:c r="T22" s="13" t="str"/>
      <x:c r="U22" s="13" t="str"/>
      <x:c r="V22" s="13" t="str">
        <x:f>IF(U22=1,IF(T22="VALID","PASS",IF(T22="INVALID","INVALID","OPEN")),"OPEN")</x:f>
        <x:v>OPEN</x:v>
      </x:c>
    </x:row>
    <x:row r="23">
      <x:c r="B23" s="13" t="str">
        <x:v>RAS-E017</x:v>
      </x:c>
      <x:c r="C23" s="13" t="str">
        <x:v>AM-05</x:v>
      </x:c>
      <x:c r="D23" s="13" t="str">
        <x:v>TR-A</x:v>
      </x:c>
      <x:c r="E23" s="13" t="str">
        <x:v>RFP-B1</x:v>
      </x:c>
      <x:c r="F23" s="13" t="str">
        <x:v>PTC-B</x:v>
      </x:c>
      <x:c r="G23" s="13" t="str">
        <x:v>QE-05</x:v>
      </x:c>
      <x:c r="H23" s="13" t="n">
        <x:v>500</x:v>
      </x:c>
      <x:c r="I23" s="13" t="n">
        <x:v>6.25</x:v>
      </x:c>
      <x:c r="J23" s="13" t="str">
        <x:v>PROHIBITED</x:v>
      </x:c>
      <x:c r="K23" s="13" t="n">
        <x:v>0</x:v>
      </x:c>
      <x:c r="L23" s="13" t="str">
        <x:v>NONE</x:v>
      </x:c>
      <x:c r="M23" s="13" t="str">
        <x:v>n.a.</x:v>
      </x:c>
      <x:c r="N23" s="13" t="n">
        <x:v>6</x:v>
      </x:c>
      <x:c r="O23" s="13" t="n">
        <x:v>9</x:v>
      </x:c>
      <x:c r="P23" s="13" t="str">
        <x:v>RAS-S003</x:v>
      </x:c>
      <x:c r="Q23" s="13" t="str">
        <x:v>RAS-W09</x:v>
      </x:c>
      <x:c r="R23" s="13" t="str"/>
      <x:c r="S23" s="13" t="str"/>
      <x:c r="T23" s="13" t="str"/>
      <x:c r="U23" s="13" t="str"/>
      <x:c r="V23" s="13" t="str">
        <x:f>IF(U23=1,IF(T23="VALID","PASS",IF(T23="INVALID","INVALID","OPEN")),"OPEN")</x:f>
        <x:v>OPEN</x:v>
      </x:c>
    </x:row>
    <x:row r="24">
      <x:c r="B24" s="13" t="str">
        <x:v>RAS-E018</x:v>
      </x:c>
      <x:c r="C24" s="13" t="str">
        <x:v>AM-05</x:v>
      </x:c>
      <x:c r="D24" s="13" t="str">
        <x:v>TR-A</x:v>
      </x:c>
      <x:c r="E24" s="13" t="str">
        <x:v>RFP-B1</x:v>
      </x:c>
      <x:c r="F24" s="13" t="str">
        <x:v>PTC-B</x:v>
      </x:c>
      <x:c r="G24" s="13" t="str">
        <x:v>QE-06</x:v>
      </x:c>
      <x:c r="H24" s="13" t="n">
        <x:v>500</x:v>
      </x:c>
      <x:c r="I24" s="13" t="n">
        <x:v>25</x:v>
      </x:c>
      <x:c r="J24" s="13" t="str">
        <x:v>PROHIBITED</x:v>
      </x:c>
      <x:c r="K24" s="13" t="n">
        <x:v>0</x:v>
      </x:c>
      <x:c r="L24" s="13" t="str">
        <x:v>ENERGY+NETWORK+PRIMARY TIME</x:v>
      </x:c>
      <x:c r="M24" s="13" t="str">
        <x:v>PTC-C</x:v>
      </x:c>
      <x:c r="N24" s="13" t="n">
        <x:v>8</x:v>
      </x:c>
      <x:c r="O24" s="13" t="n">
        <x:v>11</x:v>
      </x:c>
      <x:c r="P24" s="13" t="str">
        <x:v>RAS-S003</x:v>
      </x:c>
      <x:c r="Q24" s="13" t="str">
        <x:v>RAS-W09</x:v>
      </x:c>
      <x:c r="R24" s="13" t="str"/>
      <x:c r="S24" s="13" t="str"/>
      <x:c r="T24" s="13" t="str"/>
      <x:c r="U24" s="13" t="str"/>
      <x:c r="V24" s="13" t="str">
        <x:f>IF(U24=1,IF(T24="VALID","PASS",IF(T24="INVALID","INVALID","OPEN")),"OPEN")</x:f>
        <x:v>OPEN</x:v>
      </x:c>
    </x:row>
    <x:row r="25">
      <x:c r="B25" s="13" t="str">
        <x:v>RAS-E019</x:v>
      </x:c>
      <x:c r="C25" s="13" t="str">
        <x:v>AM-05</x:v>
      </x:c>
      <x:c r="D25" s="13" t="str">
        <x:v>TR-A</x:v>
      </x:c>
      <x:c r="E25" s="13" t="str">
        <x:v>RFP-B2</x:v>
      </x:c>
      <x:c r="F25" s="13" t="str">
        <x:v>PTC-B</x:v>
      </x:c>
      <x:c r="G25" s="13" t="str">
        <x:v>QE-01</x:v>
      </x:c>
      <x:c r="H25" s="13" t="n">
        <x:v>0</x:v>
      </x:c>
      <x:c r="I25" s="13" t="n">
        <x:v>0</x:v>
      </x:c>
      <x:c r="J25" s="13" t="str">
        <x:v>PROHIBITED</x:v>
      </x:c>
      <x:c r="K25" s="13" t="n">
        <x:v>0</x:v>
      </x:c>
      <x:c r="L25" s="13" t="str">
        <x:v>NONE</x:v>
      </x:c>
      <x:c r="M25" s="13" t="str">
        <x:v>n.a.</x:v>
      </x:c>
      <x:c r="N25" s="13" t="n">
        <x:v>2</x:v>
      </x:c>
      <x:c r="O25" s="13" t="n">
        <x:v>1</x:v>
      </x:c>
      <x:c r="P25" s="13" t="str">
        <x:v>RAS-S004</x:v>
      </x:c>
      <x:c r="Q25" s="13" t="str">
        <x:v>RAS-W13</x:v>
      </x:c>
      <x:c r="R25" s="13" t="str"/>
      <x:c r="S25" s="13" t="str"/>
      <x:c r="T25" s="13" t="str"/>
      <x:c r="U25" s="13" t="str"/>
      <x:c r="V25" s="13" t="str">
        <x:f>IF(U25=1,IF(T25="VALID","PASS",IF(T25="INVALID","INVALID","OPEN")),"OPEN")</x:f>
        <x:v>OPEN</x:v>
      </x:c>
    </x:row>
    <x:row r="26">
      <x:c r="B26" s="13" t="str">
        <x:v>RAS-E020</x:v>
      </x:c>
      <x:c r="C26" s="13" t="str">
        <x:v>AM-05</x:v>
      </x:c>
      <x:c r="D26" s="13" t="str">
        <x:v>TR-A</x:v>
      </x:c>
      <x:c r="E26" s="13" t="str">
        <x:v>RFP-B2</x:v>
      </x:c>
      <x:c r="F26" s="13" t="str">
        <x:v>PTC-B</x:v>
      </x:c>
      <x:c r="G26" s="13" t="str">
        <x:v>QE-02</x:v>
      </x:c>
      <x:c r="H26" s="13" t="n">
        <x:v>100</x:v>
      </x:c>
      <x:c r="I26" s="13" t="n">
        <x:v>2.5</x:v>
      </x:c>
      <x:c r="J26" s="13" t="str">
        <x:v>PROHIBITED</x:v>
      </x:c>
      <x:c r="K26" s="13" t="n">
        <x:v>0</x:v>
      </x:c>
      <x:c r="L26" s="13" t="str">
        <x:v>NONE</x:v>
      </x:c>
      <x:c r="M26" s="13" t="str">
        <x:v>n.a.</x:v>
      </x:c>
      <x:c r="N26" s="13" t="n">
        <x:v>3</x:v>
      </x:c>
      <x:c r="O26" s="13" t="n">
        <x:v>3</x:v>
      </x:c>
      <x:c r="P26" s="13" t="str">
        <x:v>RAS-S004</x:v>
      </x:c>
      <x:c r="Q26" s="13" t="str">
        <x:v>RAS-W13</x:v>
      </x:c>
      <x:c r="R26" s="13" t="str"/>
      <x:c r="S26" s="13" t="str"/>
      <x:c r="T26" s="13" t="str"/>
      <x:c r="U26" s="13" t="str"/>
      <x:c r="V26" s="13" t="str">
        <x:f>IF(U26=1,IF(T26="VALID","PASS",IF(T26="INVALID","INVALID","OPEN")),"OPEN")</x:f>
        <x:v>OPEN</x:v>
      </x:c>
    </x:row>
    <x:row r="27">
      <x:c r="B27" s="13" t="str">
        <x:v>RAS-E021</x:v>
      </x:c>
      <x:c r="C27" s="13" t="str">
        <x:v>AM-05</x:v>
      </x:c>
      <x:c r="D27" s="13" t="str">
        <x:v>TR-A</x:v>
      </x:c>
      <x:c r="E27" s="13" t="str">
        <x:v>RFP-B2</x:v>
      </x:c>
      <x:c r="F27" s="13" t="str">
        <x:v>PTC-B</x:v>
      </x:c>
      <x:c r="G27" s="13" t="str">
        <x:v>QE-03</x:v>
      </x:c>
      <x:c r="H27" s="13" t="n">
        <x:v>250</x:v>
      </x:c>
      <x:c r="I27" s="13" t="n">
        <x:v>5</x:v>
      </x:c>
      <x:c r="J27" s="13" t="str">
        <x:v>PROHIBITED</x:v>
      </x:c>
      <x:c r="K27" s="13" t="n">
        <x:v>0</x:v>
      </x:c>
      <x:c r="L27" s="13" t="str">
        <x:v>NONE</x:v>
      </x:c>
      <x:c r="M27" s="13" t="str">
        <x:v>n.a.</x:v>
      </x:c>
      <x:c r="N27" s="13" t="n">
        <x:v>3</x:v>
      </x:c>
      <x:c r="O27" s="13" t="n">
        <x:v>5</x:v>
      </x:c>
      <x:c r="P27" s="13" t="str">
        <x:v>RAS-S004</x:v>
      </x:c>
      <x:c r="Q27" s="13" t="str">
        <x:v>RAS-W13</x:v>
      </x:c>
      <x:c r="R27" s="13" t="str"/>
      <x:c r="S27" s="13" t="str"/>
      <x:c r="T27" s="13" t="str"/>
      <x:c r="U27" s="13" t="str"/>
      <x:c r="V27" s="13" t="str">
        <x:f>IF(U27=1,IF(T27="VALID","PASS",IF(T27="INVALID","INVALID","OPEN")),"OPEN")</x:f>
        <x:v>OPEN</x:v>
      </x:c>
    </x:row>
    <x:row r="28">
      <x:c r="B28" s="13" t="str">
        <x:v>RAS-E022</x:v>
      </x:c>
      <x:c r="C28" s="13" t="str">
        <x:v>AM-05</x:v>
      </x:c>
      <x:c r="D28" s="13" t="str">
        <x:v>TR-A</x:v>
      </x:c>
      <x:c r="E28" s="13" t="str">
        <x:v>RFP-B2</x:v>
      </x:c>
      <x:c r="F28" s="13" t="str">
        <x:v>PTC-B</x:v>
      </x:c>
      <x:c r="G28" s="13" t="str">
        <x:v>QE-04</x:v>
      </x:c>
      <x:c r="H28" s="13" t="n">
        <x:v>500</x:v>
      </x:c>
      <x:c r="I28" s="13" t="n">
        <x:v>6.25</x:v>
      </x:c>
      <x:c r="J28" s="13" t="str">
        <x:v>PROHIBITED</x:v>
      </x:c>
      <x:c r="K28" s="13" t="n">
        <x:v>0</x:v>
      </x:c>
      <x:c r="L28" s="13" t="str">
        <x:v>NONE</x:v>
      </x:c>
      <x:c r="M28" s="13" t="str">
        <x:v>n.a.</x:v>
      </x:c>
      <x:c r="N28" s="13" t="n">
        <x:v>4</x:v>
      </x:c>
      <x:c r="O28" s="13" t="n">
        <x:v>7</x:v>
      </x:c>
      <x:c r="P28" s="13" t="str">
        <x:v>RAS-S004</x:v>
      </x:c>
      <x:c r="Q28" s="13" t="str">
        <x:v>RAS-W13</x:v>
      </x:c>
      <x:c r="R28" s="13" t="str"/>
      <x:c r="S28" s="13" t="str"/>
      <x:c r="T28" s="13" t="str"/>
      <x:c r="U28" s="13" t="str"/>
      <x:c r="V28" s="13" t="str">
        <x:f>IF(U28=1,IF(T28="VALID","PASS",IF(T28="INVALID","INVALID","OPEN")),"OPEN")</x:f>
        <x:v>OPEN</x:v>
      </x:c>
    </x:row>
    <x:row r="29">
      <x:c r="B29" s="13" t="str">
        <x:v>RAS-E023</x:v>
      </x:c>
      <x:c r="C29" s="13" t="str">
        <x:v>AM-05</x:v>
      </x:c>
      <x:c r="D29" s="13" t="str">
        <x:v>TR-A</x:v>
      </x:c>
      <x:c r="E29" s="13" t="str">
        <x:v>RFP-B2</x:v>
      </x:c>
      <x:c r="F29" s="13" t="str">
        <x:v>PTC-B</x:v>
      </x:c>
      <x:c r="G29" s="13" t="str">
        <x:v>QE-05</x:v>
      </x:c>
      <x:c r="H29" s="13" t="n">
        <x:v>500</x:v>
      </x:c>
      <x:c r="I29" s="13" t="n">
        <x:v>6.25</x:v>
      </x:c>
      <x:c r="J29" s="13" t="str">
        <x:v>PROHIBITED</x:v>
      </x:c>
      <x:c r="K29" s="13" t="n">
        <x:v>0</x:v>
      </x:c>
      <x:c r="L29" s="13" t="str">
        <x:v>NONE</x:v>
      </x:c>
      <x:c r="M29" s="13" t="str">
        <x:v>n.a.</x:v>
      </x:c>
      <x:c r="N29" s="13" t="n">
        <x:v>6</x:v>
      </x:c>
      <x:c r="O29" s="13" t="n">
        <x:v>9</x:v>
      </x:c>
      <x:c r="P29" s="13" t="str">
        <x:v>RAS-S004</x:v>
      </x:c>
      <x:c r="Q29" s="13" t="str">
        <x:v>RAS-W13</x:v>
      </x:c>
      <x:c r="R29" s="13" t="str"/>
      <x:c r="S29" s="13" t="str"/>
      <x:c r="T29" s="13" t="str"/>
      <x:c r="U29" s="13" t="str"/>
      <x:c r="V29" s="13" t="str">
        <x:f>IF(U29=1,IF(T29="VALID","PASS",IF(T29="INVALID","INVALID","OPEN")),"OPEN")</x:f>
        <x:v>OPEN</x:v>
      </x:c>
    </x:row>
    <x:row r="30">
      <x:c r="B30" s="13" t="str">
        <x:v>RAS-E024</x:v>
      </x:c>
      <x:c r="C30" s="13" t="str">
        <x:v>AM-05</x:v>
      </x:c>
      <x:c r="D30" s="13" t="str">
        <x:v>TR-A</x:v>
      </x:c>
      <x:c r="E30" s="13" t="str">
        <x:v>RFP-B2</x:v>
      </x:c>
      <x:c r="F30" s="13" t="str">
        <x:v>PTC-B</x:v>
      </x:c>
      <x:c r="G30" s="13" t="str">
        <x:v>QE-06</x:v>
      </x:c>
      <x:c r="H30" s="13" t="n">
        <x:v>500</x:v>
      </x:c>
      <x:c r="I30" s="13" t="n">
        <x:v>25</x:v>
      </x:c>
      <x:c r="J30" s="13" t="str">
        <x:v>PROHIBITED</x:v>
      </x:c>
      <x:c r="K30" s="13" t="n">
        <x:v>0</x:v>
      </x:c>
      <x:c r="L30" s="13" t="str">
        <x:v>ENERGY+NETWORK+PRIMARY TIME</x:v>
      </x:c>
      <x:c r="M30" s="13" t="str">
        <x:v>PTC-C</x:v>
      </x:c>
      <x:c r="N30" s="13" t="n">
        <x:v>8</x:v>
      </x:c>
      <x:c r="O30" s="13" t="n">
        <x:v>11</x:v>
      </x:c>
      <x:c r="P30" s="13" t="str">
        <x:v>RAS-S004</x:v>
      </x:c>
      <x:c r="Q30" s="13" t="str">
        <x:v>RAS-W13</x:v>
      </x:c>
      <x:c r="R30" s="13" t="str"/>
      <x:c r="S30" s="13" t="str"/>
      <x:c r="T30" s="13" t="str"/>
      <x:c r="U30" s="13" t="str"/>
      <x:c r="V30" s="13" t="str">
        <x:f>IF(U30=1,IF(T30="VALID","PASS",IF(T30="INVALID","INVALID","OPEN")),"OPEN")</x:f>
        <x:v>OPEN</x:v>
      </x:c>
    </x:row>
    <x:row r="31">
      <x:c r="B31" s="13" t="str">
        <x:v>RAS-E025</x:v>
      </x:c>
      <x:c r="C31" s="13" t="str">
        <x:v>AM-05</x:v>
      </x:c>
      <x:c r="D31" s="13" t="str">
        <x:v>TR-A</x:v>
      </x:c>
      <x:c r="E31" s="13" t="str">
        <x:v>RFP-C1</x:v>
      </x:c>
      <x:c r="F31" s="13" t="str">
        <x:v>PTC-C</x:v>
      </x:c>
      <x:c r="G31" s="13" t="str">
        <x:v>QE-01</x:v>
      </x:c>
      <x:c r="H31" s="13" t="n">
        <x:v>0</x:v>
      </x:c>
      <x:c r="I31" s="13" t="n">
        <x:v>0</x:v>
      </x:c>
      <x:c r="J31" s="13" t="str">
        <x:v>PROHIBITED</x:v>
      </x:c>
      <x:c r="K31" s="13" t="n">
        <x:v>0</x:v>
      </x:c>
      <x:c r="L31" s="13" t="str">
        <x:v>NONE</x:v>
      </x:c>
      <x:c r="M31" s="13" t="str">
        <x:v>n.a.</x:v>
      </x:c>
      <x:c r="N31" s="13" t="n">
        <x:v>2</x:v>
      </x:c>
      <x:c r="O31" s="13" t="n">
        <x:v>1</x:v>
      </x:c>
      <x:c r="P31" s="13" t="str">
        <x:v>RAS-S005</x:v>
      </x:c>
      <x:c r="Q31" s="13" t="str">
        <x:v>RAS-W17</x:v>
      </x:c>
      <x:c r="R31" s="13" t="str"/>
      <x:c r="S31" s="13" t="str"/>
      <x:c r="T31" s="13" t="str"/>
      <x:c r="U31" s="13" t="str"/>
      <x:c r="V31" s="13" t="str">
        <x:f>IF(U31=1,IF(T31="VALID","PASS",IF(T31="INVALID","INVALID","OPEN")),"OPEN")</x:f>
        <x:v>OPEN</x:v>
      </x:c>
    </x:row>
    <x:row r="32">
      <x:c r="B32" s="13" t="str">
        <x:v>RAS-E026</x:v>
      </x:c>
      <x:c r="C32" s="13" t="str">
        <x:v>AM-05</x:v>
      </x:c>
      <x:c r="D32" s="13" t="str">
        <x:v>TR-A</x:v>
      </x:c>
      <x:c r="E32" s="13" t="str">
        <x:v>RFP-C1</x:v>
      </x:c>
      <x:c r="F32" s="13" t="str">
        <x:v>PTC-C</x:v>
      </x:c>
      <x:c r="G32" s="13" t="str">
        <x:v>QE-02</x:v>
      </x:c>
      <x:c r="H32" s="13" t="n">
        <x:v>100</x:v>
      </x:c>
      <x:c r="I32" s="13" t="n">
        <x:v>2.5</x:v>
      </x:c>
      <x:c r="J32" s="13" t="str">
        <x:v>PROHIBITED</x:v>
      </x:c>
      <x:c r="K32" s="13" t="n">
        <x:v>0</x:v>
      </x:c>
      <x:c r="L32" s="13" t="str">
        <x:v>NONE</x:v>
      </x:c>
      <x:c r="M32" s="13" t="str">
        <x:v>n.a.</x:v>
      </x:c>
      <x:c r="N32" s="13" t="n">
        <x:v>3</x:v>
      </x:c>
      <x:c r="O32" s="13" t="n">
        <x:v>3</x:v>
      </x:c>
      <x:c r="P32" s="13" t="str">
        <x:v>RAS-S005</x:v>
      </x:c>
      <x:c r="Q32" s="13" t="str">
        <x:v>RAS-W17</x:v>
      </x:c>
      <x:c r="R32" s="13" t="str"/>
      <x:c r="S32" s="13" t="str"/>
      <x:c r="T32" s="13" t="str"/>
      <x:c r="U32" s="13" t="str"/>
      <x:c r="V32" s="13" t="str">
        <x:f>IF(U32=1,IF(T32="VALID","PASS",IF(T32="INVALID","INVALID","OPEN")),"OPEN")</x:f>
        <x:v>OPEN</x:v>
      </x:c>
    </x:row>
    <x:row r="33">
      <x:c r="B33" s="13" t="str">
        <x:v>RAS-E027</x:v>
      </x:c>
      <x:c r="C33" s="13" t="str">
        <x:v>AM-05</x:v>
      </x:c>
      <x:c r="D33" s="13" t="str">
        <x:v>TR-A</x:v>
      </x:c>
      <x:c r="E33" s="13" t="str">
        <x:v>RFP-C1</x:v>
      </x:c>
      <x:c r="F33" s="13" t="str">
        <x:v>PTC-C</x:v>
      </x:c>
      <x:c r="G33" s="13" t="str">
        <x:v>QE-03</x:v>
      </x:c>
      <x:c r="H33" s="13" t="n">
        <x:v>250</x:v>
      </x:c>
      <x:c r="I33" s="13" t="n">
        <x:v>5</x:v>
      </x:c>
      <x:c r="J33" s="13" t="str">
        <x:v>PROHIBITED</x:v>
      </x:c>
      <x:c r="K33" s="13" t="n">
        <x:v>0</x:v>
      </x:c>
      <x:c r="L33" s="13" t="str">
        <x:v>NONE</x:v>
      </x:c>
      <x:c r="M33" s="13" t="str">
        <x:v>n.a.</x:v>
      </x:c>
      <x:c r="N33" s="13" t="n">
        <x:v>3</x:v>
      </x:c>
      <x:c r="O33" s="13" t="n">
        <x:v>5</x:v>
      </x:c>
      <x:c r="P33" s="13" t="str">
        <x:v>RAS-S005</x:v>
      </x:c>
      <x:c r="Q33" s="13" t="str">
        <x:v>RAS-W17</x:v>
      </x:c>
      <x:c r="R33" s="13" t="str"/>
      <x:c r="S33" s="13" t="str"/>
      <x:c r="T33" s="13" t="str"/>
      <x:c r="U33" s="13" t="str"/>
      <x:c r="V33" s="13" t="str">
        <x:f>IF(U33=1,IF(T33="VALID","PASS",IF(T33="INVALID","INVALID","OPEN")),"OPEN")</x:f>
        <x:v>OPEN</x:v>
      </x:c>
    </x:row>
    <x:row r="34">
      <x:c r="B34" s="13" t="str">
        <x:v>RAS-E028</x:v>
      </x:c>
      <x:c r="C34" s="13" t="str">
        <x:v>AM-05</x:v>
      </x:c>
      <x:c r="D34" s="13" t="str">
        <x:v>TR-A</x:v>
      </x:c>
      <x:c r="E34" s="13" t="str">
        <x:v>RFP-C1</x:v>
      </x:c>
      <x:c r="F34" s="13" t="str">
        <x:v>PTC-C</x:v>
      </x:c>
      <x:c r="G34" s="13" t="str">
        <x:v>QE-04</x:v>
      </x:c>
      <x:c r="H34" s="13" t="n">
        <x:v>500</x:v>
      </x:c>
      <x:c r="I34" s="13" t="n">
        <x:v>6.25</x:v>
      </x:c>
      <x:c r="J34" s="13" t="str">
        <x:v>PROHIBITED</x:v>
      </x:c>
      <x:c r="K34" s="13" t="n">
        <x:v>0</x:v>
      </x:c>
      <x:c r="L34" s="13" t="str">
        <x:v>NONE</x:v>
      </x:c>
      <x:c r="M34" s="13" t="str">
        <x:v>n.a.</x:v>
      </x:c>
      <x:c r="N34" s="13" t="n">
        <x:v>4</x:v>
      </x:c>
      <x:c r="O34" s="13" t="n">
        <x:v>7</x:v>
      </x:c>
      <x:c r="P34" s="13" t="str">
        <x:v>RAS-S005</x:v>
      </x:c>
      <x:c r="Q34" s="13" t="str">
        <x:v>RAS-W17</x:v>
      </x:c>
      <x:c r="R34" s="13" t="str"/>
      <x:c r="S34" s="13" t="str"/>
      <x:c r="T34" s="13" t="str"/>
      <x:c r="U34" s="13" t="str"/>
      <x:c r="V34" s="13" t="str">
        <x:f>IF(U34=1,IF(T34="VALID","PASS",IF(T34="INVALID","INVALID","OPEN")),"OPEN")</x:f>
        <x:v>OPEN</x:v>
      </x:c>
    </x:row>
    <x:row r="35">
      <x:c r="B35" s="13" t="str">
        <x:v>RAS-E029</x:v>
      </x:c>
      <x:c r="C35" s="13" t="str">
        <x:v>AM-05</x:v>
      </x:c>
      <x:c r="D35" s="13" t="str">
        <x:v>TR-A</x:v>
      </x:c>
      <x:c r="E35" s="13" t="str">
        <x:v>RFP-C1</x:v>
      </x:c>
      <x:c r="F35" s="13" t="str">
        <x:v>PTC-C</x:v>
      </x:c>
      <x:c r="G35" s="13" t="str">
        <x:v>QE-05</x:v>
      </x:c>
      <x:c r="H35" s="13" t="n">
        <x:v>500</x:v>
      </x:c>
      <x:c r="I35" s="13" t="n">
        <x:v>6.25</x:v>
      </x:c>
      <x:c r="J35" s="13" t="str">
        <x:v>PROHIBITED</x:v>
      </x:c>
      <x:c r="K35" s="13" t="n">
        <x:v>0</x:v>
      </x:c>
      <x:c r="L35" s="13" t="str">
        <x:v>NONE</x:v>
      </x:c>
      <x:c r="M35" s="13" t="str">
        <x:v>n.a.</x:v>
      </x:c>
      <x:c r="N35" s="13" t="n">
        <x:v>6</x:v>
      </x:c>
      <x:c r="O35" s="13" t="n">
        <x:v>9</x:v>
      </x:c>
      <x:c r="P35" s="13" t="str">
        <x:v>RAS-S005</x:v>
      </x:c>
      <x:c r="Q35" s="13" t="str">
        <x:v>RAS-W17</x:v>
      </x:c>
      <x:c r="R35" s="13" t="str"/>
      <x:c r="S35" s="13" t="str"/>
      <x:c r="T35" s="13" t="str"/>
      <x:c r="U35" s="13" t="str"/>
      <x:c r="V35" s="13" t="str">
        <x:f>IF(U35=1,IF(T35="VALID","PASS",IF(T35="INVALID","INVALID","OPEN")),"OPEN")</x:f>
        <x:v>OPEN</x:v>
      </x:c>
    </x:row>
    <x:row r="36">
      <x:c r="B36" s="13" t="str">
        <x:v>RAS-E030</x:v>
      </x:c>
      <x:c r="C36" s="13" t="str">
        <x:v>AM-05</x:v>
      </x:c>
      <x:c r="D36" s="13" t="str">
        <x:v>TR-A</x:v>
      </x:c>
      <x:c r="E36" s="13" t="str">
        <x:v>RFP-C1</x:v>
      </x:c>
      <x:c r="F36" s="13" t="str">
        <x:v>PTC-C</x:v>
      </x:c>
      <x:c r="G36" s="13" t="str">
        <x:v>QE-06</x:v>
      </x:c>
      <x:c r="H36" s="13" t="n">
        <x:v>500</x:v>
      </x:c>
      <x:c r="I36" s="13" t="n">
        <x:v>25</x:v>
      </x:c>
      <x:c r="J36" s="13" t="str">
        <x:v>PROHIBITED</x:v>
      </x:c>
      <x:c r="K36" s="13" t="n">
        <x:v>0</x:v>
      </x:c>
      <x:c r="L36" s="13" t="str">
        <x:v>ENERGY+NETWORK+PRIMARY TIME</x:v>
      </x:c>
      <x:c r="M36" s="13" t="str">
        <x:v>PTC-B</x:v>
      </x:c>
      <x:c r="N36" s="13" t="n">
        <x:v>8</x:v>
      </x:c>
      <x:c r="O36" s="13" t="n">
        <x:v>11</x:v>
      </x:c>
      <x:c r="P36" s="13" t="str">
        <x:v>RAS-S005</x:v>
      </x:c>
      <x:c r="Q36" s="13" t="str">
        <x:v>RAS-W17</x:v>
      </x:c>
      <x:c r="R36" s="13" t="str"/>
      <x:c r="S36" s="13" t="str"/>
      <x:c r="T36" s="13" t="str"/>
      <x:c r="U36" s="13" t="str"/>
      <x:c r="V36" s="13" t="str">
        <x:f>IF(U36=1,IF(T36="VALID","PASS",IF(T36="INVALID","INVALID","OPEN")),"OPEN")</x:f>
        <x:v>OPEN</x:v>
      </x:c>
    </x:row>
    <x:row r="37">
      <x:c r="B37" s="13" t="str">
        <x:v>RAS-E031</x:v>
      </x:c>
      <x:c r="C37" s="13" t="str">
        <x:v>AM-05</x:v>
      </x:c>
      <x:c r="D37" s="13" t="str">
        <x:v>TR-A</x:v>
      </x:c>
      <x:c r="E37" s="13" t="str">
        <x:v>RFP-C2</x:v>
      </x:c>
      <x:c r="F37" s="13" t="str">
        <x:v>PTC-C</x:v>
      </x:c>
      <x:c r="G37" s="13" t="str">
        <x:v>QE-01</x:v>
      </x:c>
      <x:c r="H37" s="13" t="n">
        <x:v>0</x:v>
      </x:c>
      <x:c r="I37" s="13" t="n">
        <x:v>0</x:v>
      </x:c>
      <x:c r="J37" s="13" t="str">
        <x:v>PROHIBITED</x:v>
      </x:c>
      <x:c r="K37" s="13" t="n">
        <x:v>0</x:v>
      </x:c>
      <x:c r="L37" s="13" t="str">
        <x:v>NONE</x:v>
      </x:c>
      <x:c r="M37" s="13" t="str">
        <x:v>n.a.</x:v>
      </x:c>
      <x:c r="N37" s="13" t="n">
        <x:v>2</x:v>
      </x:c>
      <x:c r="O37" s="13" t="n">
        <x:v>1</x:v>
      </x:c>
      <x:c r="P37" s="13" t="str">
        <x:v>RAS-S006</x:v>
      </x:c>
      <x:c r="Q37" s="13" t="str">
        <x:v>RAS-W21</x:v>
      </x:c>
      <x:c r="R37" s="13" t="str"/>
      <x:c r="S37" s="13" t="str"/>
      <x:c r="T37" s="13" t="str"/>
      <x:c r="U37" s="13" t="str"/>
      <x:c r="V37" s="13" t="str">
        <x:f>IF(U37=1,IF(T37="VALID","PASS",IF(T37="INVALID","INVALID","OPEN")),"OPEN")</x:f>
        <x:v>OPEN</x:v>
      </x:c>
    </x:row>
    <x:row r="38">
      <x:c r="B38" s="13" t="str">
        <x:v>RAS-E032</x:v>
      </x:c>
      <x:c r="C38" s="13" t="str">
        <x:v>AM-05</x:v>
      </x:c>
      <x:c r="D38" s="13" t="str">
        <x:v>TR-A</x:v>
      </x:c>
      <x:c r="E38" s="13" t="str">
        <x:v>RFP-C2</x:v>
      </x:c>
      <x:c r="F38" s="13" t="str">
        <x:v>PTC-C</x:v>
      </x:c>
      <x:c r="G38" s="13" t="str">
        <x:v>QE-02</x:v>
      </x:c>
      <x:c r="H38" s="13" t="n">
        <x:v>100</x:v>
      </x:c>
      <x:c r="I38" s="13" t="n">
        <x:v>2.5</x:v>
      </x:c>
      <x:c r="J38" s="13" t="str">
        <x:v>PROHIBITED</x:v>
      </x:c>
      <x:c r="K38" s="13" t="n">
        <x:v>0</x:v>
      </x:c>
      <x:c r="L38" s="13" t="str">
        <x:v>NONE</x:v>
      </x:c>
      <x:c r="M38" s="13" t="str">
        <x:v>n.a.</x:v>
      </x:c>
      <x:c r="N38" s="13" t="n">
        <x:v>3</x:v>
      </x:c>
      <x:c r="O38" s="13" t="n">
        <x:v>3</x:v>
      </x:c>
      <x:c r="P38" s="13" t="str">
        <x:v>RAS-S006</x:v>
      </x:c>
      <x:c r="Q38" s="13" t="str">
        <x:v>RAS-W21</x:v>
      </x:c>
      <x:c r="R38" s="13" t="str"/>
      <x:c r="S38" s="13" t="str"/>
      <x:c r="T38" s="13" t="str"/>
      <x:c r="U38" s="13" t="str"/>
      <x:c r="V38" s="13" t="str">
        <x:f>IF(U38=1,IF(T38="VALID","PASS",IF(T38="INVALID","INVALID","OPEN")),"OPEN")</x:f>
        <x:v>OPEN</x:v>
      </x:c>
    </x:row>
    <x:row r="39">
      <x:c r="B39" s="13" t="str">
        <x:v>RAS-E033</x:v>
      </x:c>
      <x:c r="C39" s="13" t="str">
        <x:v>AM-05</x:v>
      </x:c>
      <x:c r="D39" s="13" t="str">
        <x:v>TR-A</x:v>
      </x:c>
      <x:c r="E39" s="13" t="str">
        <x:v>RFP-C2</x:v>
      </x:c>
      <x:c r="F39" s="13" t="str">
        <x:v>PTC-C</x:v>
      </x:c>
      <x:c r="G39" s="13" t="str">
        <x:v>QE-03</x:v>
      </x:c>
      <x:c r="H39" s="13" t="n">
        <x:v>250</x:v>
      </x:c>
      <x:c r="I39" s="13" t="n">
        <x:v>5</x:v>
      </x:c>
      <x:c r="J39" s="13" t="str">
        <x:v>PROHIBITED</x:v>
      </x:c>
      <x:c r="K39" s="13" t="n">
        <x:v>0</x:v>
      </x:c>
      <x:c r="L39" s="13" t="str">
        <x:v>NONE</x:v>
      </x:c>
      <x:c r="M39" s="13" t="str">
        <x:v>n.a.</x:v>
      </x:c>
      <x:c r="N39" s="13" t="n">
        <x:v>3</x:v>
      </x:c>
      <x:c r="O39" s="13" t="n">
        <x:v>5</x:v>
      </x:c>
      <x:c r="P39" s="13" t="str">
        <x:v>RAS-S006</x:v>
      </x:c>
      <x:c r="Q39" s="13" t="str">
        <x:v>RAS-W21</x:v>
      </x:c>
      <x:c r="R39" s="13" t="str"/>
      <x:c r="S39" s="13" t="str"/>
      <x:c r="T39" s="13" t="str"/>
      <x:c r="U39" s="13" t="str"/>
      <x:c r="V39" s="13" t="str">
        <x:f>IF(U39=1,IF(T39="VALID","PASS",IF(T39="INVALID","INVALID","OPEN")),"OPEN")</x:f>
        <x:v>OPEN</x:v>
      </x:c>
    </x:row>
    <x:row r="40">
      <x:c r="B40" s="13" t="str">
        <x:v>RAS-E034</x:v>
      </x:c>
      <x:c r="C40" s="13" t="str">
        <x:v>AM-05</x:v>
      </x:c>
      <x:c r="D40" s="13" t="str">
        <x:v>TR-A</x:v>
      </x:c>
      <x:c r="E40" s="13" t="str">
        <x:v>RFP-C2</x:v>
      </x:c>
      <x:c r="F40" s="13" t="str">
        <x:v>PTC-C</x:v>
      </x:c>
      <x:c r="G40" s="13" t="str">
        <x:v>QE-04</x:v>
      </x:c>
      <x:c r="H40" s="13" t="n">
        <x:v>500</x:v>
      </x:c>
      <x:c r="I40" s="13" t="n">
        <x:v>6.25</x:v>
      </x:c>
      <x:c r="J40" s="13" t="str">
        <x:v>PROHIBITED</x:v>
      </x:c>
      <x:c r="K40" s="13" t="n">
        <x:v>0</x:v>
      </x:c>
      <x:c r="L40" s="13" t="str">
        <x:v>NONE</x:v>
      </x:c>
      <x:c r="M40" s="13" t="str">
        <x:v>n.a.</x:v>
      </x:c>
      <x:c r="N40" s="13" t="n">
        <x:v>4</x:v>
      </x:c>
      <x:c r="O40" s="13" t="n">
        <x:v>7</x:v>
      </x:c>
      <x:c r="P40" s="13" t="str">
        <x:v>RAS-S006</x:v>
      </x:c>
      <x:c r="Q40" s="13" t="str">
        <x:v>RAS-W21</x:v>
      </x:c>
      <x:c r="R40" s="13" t="str"/>
      <x:c r="S40" s="13" t="str"/>
      <x:c r="T40" s="13" t="str"/>
      <x:c r="U40" s="13" t="str"/>
      <x:c r="V40" s="13" t="str">
        <x:f>IF(U40=1,IF(T40="VALID","PASS",IF(T40="INVALID","INVALID","OPEN")),"OPEN")</x:f>
        <x:v>OPEN</x:v>
      </x:c>
    </x:row>
    <x:row r="41">
      <x:c r="B41" s="13" t="str">
        <x:v>RAS-E035</x:v>
      </x:c>
      <x:c r="C41" s="13" t="str">
        <x:v>AM-05</x:v>
      </x:c>
      <x:c r="D41" s="13" t="str">
        <x:v>TR-A</x:v>
      </x:c>
      <x:c r="E41" s="13" t="str">
        <x:v>RFP-C2</x:v>
      </x:c>
      <x:c r="F41" s="13" t="str">
        <x:v>PTC-C</x:v>
      </x:c>
      <x:c r="G41" s="13" t="str">
        <x:v>QE-05</x:v>
      </x:c>
      <x:c r="H41" s="13" t="n">
        <x:v>500</x:v>
      </x:c>
      <x:c r="I41" s="13" t="n">
        <x:v>6.25</x:v>
      </x:c>
      <x:c r="J41" s="13" t="str">
        <x:v>PROHIBITED</x:v>
      </x:c>
      <x:c r="K41" s="13" t="n">
        <x:v>0</x:v>
      </x:c>
      <x:c r="L41" s="13" t="str">
        <x:v>NONE</x:v>
      </x:c>
      <x:c r="M41" s="13" t="str">
        <x:v>n.a.</x:v>
      </x:c>
      <x:c r="N41" s="13" t="n">
        <x:v>6</x:v>
      </x:c>
      <x:c r="O41" s="13" t="n">
        <x:v>9</x:v>
      </x:c>
      <x:c r="P41" s="13" t="str">
        <x:v>RAS-S006</x:v>
      </x:c>
      <x:c r="Q41" s="13" t="str">
        <x:v>RAS-W21</x:v>
      </x:c>
      <x:c r="R41" s="13" t="str"/>
      <x:c r="S41" s="13" t="str"/>
      <x:c r="T41" s="13" t="str"/>
      <x:c r="U41" s="13" t="str"/>
      <x:c r="V41" s="13" t="str">
        <x:f>IF(U41=1,IF(T41="VALID","PASS",IF(T41="INVALID","INVALID","OPEN")),"OPEN")</x:f>
        <x:v>OPEN</x:v>
      </x:c>
    </x:row>
    <x:row r="42">
      <x:c r="B42" s="13" t="str">
        <x:v>RAS-E036</x:v>
      </x:c>
      <x:c r="C42" s="13" t="str">
        <x:v>AM-05</x:v>
      </x:c>
      <x:c r="D42" s="13" t="str">
        <x:v>TR-A</x:v>
      </x:c>
      <x:c r="E42" s="13" t="str">
        <x:v>RFP-C2</x:v>
      </x:c>
      <x:c r="F42" s="13" t="str">
        <x:v>PTC-C</x:v>
      </x:c>
      <x:c r="G42" s="13" t="str">
        <x:v>QE-06</x:v>
      </x:c>
      <x:c r="H42" s="13" t="n">
        <x:v>500</x:v>
      </x:c>
      <x:c r="I42" s="13" t="n">
        <x:v>25</x:v>
      </x:c>
      <x:c r="J42" s="13" t="str">
        <x:v>PROHIBITED</x:v>
      </x:c>
      <x:c r="K42" s="13" t="n">
        <x:v>0</x:v>
      </x:c>
      <x:c r="L42" s="13" t="str">
        <x:v>ENERGY+NETWORK+PRIMARY TIME</x:v>
      </x:c>
      <x:c r="M42" s="13" t="str">
        <x:v>PTC-B</x:v>
      </x:c>
      <x:c r="N42" s="13" t="n">
        <x:v>8</x:v>
      </x:c>
      <x:c r="O42" s="13" t="n">
        <x:v>11</x:v>
      </x:c>
      <x:c r="P42" s="13" t="str">
        <x:v>RAS-S006</x:v>
      </x:c>
      <x:c r="Q42" s="13" t="str">
        <x:v>RAS-W21</x:v>
      </x:c>
      <x:c r="R42" s="13" t="str"/>
      <x:c r="S42" s="13" t="str"/>
      <x:c r="T42" s="13" t="str"/>
      <x:c r="U42" s="13" t="str"/>
      <x:c r="V42" s="13" t="str">
        <x:f>IF(U42=1,IF(T42="VALID","PASS",IF(T42="INVALID","INVALID","OPEN")),"OPEN")</x:f>
        <x:v>OPEN</x:v>
      </x:c>
    </x:row>
    <x:row r="43">
      <x:c r="B43" s="13" t="str">
        <x:v>RAS-E037</x:v>
      </x:c>
      <x:c r="C43" s="13" t="str">
        <x:v>AM-05</x:v>
      </x:c>
      <x:c r="D43" s="13" t="str">
        <x:v>TR-B</x:v>
      </x:c>
      <x:c r="E43" s="13" t="str">
        <x:v>RFP-A1</x:v>
      </x:c>
      <x:c r="F43" s="13" t="str">
        <x:v>PTC-A</x:v>
      </x:c>
      <x:c r="G43" s="13" t="str">
        <x:v>QE-01</x:v>
      </x:c>
      <x:c r="H43" s="13" t="n">
        <x:v>0</x:v>
      </x:c>
      <x:c r="I43" s="13" t="n">
        <x:v>0</x:v>
      </x:c>
      <x:c r="J43" s="13" t="str">
        <x:v>PROHIBITED</x:v>
      </x:c>
      <x:c r="K43" s="13" t="n">
        <x:v>0</x:v>
      </x:c>
      <x:c r="L43" s="13" t="str">
        <x:v>NONE</x:v>
      </x:c>
      <x:c r="M43" s="13" t="str">
        <x:v>n.a.</x:v>
      </x:c>
      <x:c r="N43" s="13" t="n">
        <x:v>2</x:v>
      </x:c>
      <x:c r="O43" s="13" t="n">
        <x:v>2</x:v>
      </x:c>
      <x:c r="P43" s="13" t="str">
        <x:v>RAS-S011</x:v>
      </x:c>
      <x:c r="Q43" s="13" t="str">
        <x:v>RAS-W01</x:v>
      </x:c>
      <x:c r="R43" s="13" t="str"/>
      <x:c r="S43" s="13" t="str"/>
      <x:c r="T43" s="13" t="str"/>
      <x:c r="U43" s="13" t="str"/>
      <x:c r="V43" s="13" t="str">
        <x:f>IF(U43=1,IF(T43="VALID","PASS",IF(T43="INVALID","INVALID","OPEN")),"OPEN")</x:f>
        <x:v>OPEN</x:v>
      </x:c>
    </x:row>
    <x:row r="44">
      <x:c r="B44" s="13" t="str">
        <x:v>RAS-E038</x:v>
      </x:c>
      <x:c r="C44" s="13" t="str">
        <x:v>AM-05</x:v>
      </x:c>
      <x:c r="D44" s="13" t="str">
        <x:v>TR-B</x:v>
      </x:c>
      <x:c r="E44" s="13" t="str">
        <x:v>RFP-A1</x:v>
      </x:c>
      <x:c r="F44" s="13" t="str">
        <x:v>PTC-A</x:v>
      </x:c>
      <x:c r="G44" s="13" t="str">
        <x:v>QE-02</x:v>
      </x:c>
      <x:c r="H44" s="13" t="n">
        <x:v>100</x:v>
      </x:c>
      <x:c r="I44" s="13" t="n">
        <x:v>2.5</x:v>
      </x:c>
      <x:c r="J44" s="13" t="str">
        <x:v>PROHIBITED</x:v>
      </x:c>
      <x:c r="K44" s="13" t="n">
        <x:v>0</x:v>
      </x:c>
      <x:c r="L44" s="13" t="str">
        <x:v>NONE</x:v>
      </x:c>
      <x:c r="M44" s="13" t="str">
        <x:v>n.a.</x:v>
      </x:c>
      <x:c r="N44" s="13" t="n">
        <x:v>3</x:v>
      </x:c>
      <x:c r="O44" s="13" t="n">
        <x:v>4</x:v>
      </x:c>
      <x:c r="P44" s="13" t="str">
        <x:v>RAS-S011</x:v>
      </x:c>
      <x:c r="Q44" s="13" t="str">
        <x:v>RAS-W01</x:v>
      </x:c>
      <x:c r="R44" s="13" t="str"/>
      <x:c r="S44" s="13" t="str"/>
      <x:c r="T44" s="13" t="str"/>
      <x:c r="U44" s="13" t="str"/>
      <x:c r="V44" s="13" t="str">
        <x:f>IF(U44=1,IF(T44="VALID","PASS",IF(T44="INVALID","INVALID","OPEN")),"OPEN")</x:f>
        <x:v>OPEN</x:v>
      </x:c>
    </x:row>
    <x:row r="45">
      <x:c r="B45" s="13" t="str">
        <x:v>RAS-E039</x:v>
      </x:c>
      <x:c r="C45" s="13" t="str">
        <x:v>AM-05</x:v>
      </x:c>
      <x:c r="D45" s="13" t="str">
        <x:v>TR-B</x:v>
      </x:c>
      <x:c r="E45" s="13" t="str">
        <x:v>RFP-A1</x:v>
      </x:c>
      <x:c r="F45" s="13" t="str">
        <x:v>PTC-A</x:v>
      </x:c>
      <x:c r="G45" s="13" t="str">
        <x:v>QE-03</x:v>
      </x:c>
      <x:c r="H45" s="13" t="n">
        <x:v>250</x:v>
      </x:c>
      <x:c r="I45" s="13" t="n">
        <x:v>5</x:v>
      </x:c>
      <x:c r="J45" s="13" t="str">
        <x:v>PROHIBITED</x:v>
      </x:c>
      <x:c r="K45" s="13" t="n">
        <x:v>0</x:v>
      </x:c>
      <x:c r="L45" s="13" t="str">
        <x:v>NONE</x:v>
      </x:c>
      <x:c r="M45" s="13" t="str">
        <x:v>n.a.</x:v>
      </x:c>
      <x:c r="N45" s="13" t="n">
        <x:v>3</x:v>
      </x:c>
      <x:c r="O45" s="13" t="n">
        <x:v>6</x:v>
      </x:c>
      <x:c r="P45" s="13" t="str">
        <x:v>RAS-S011</x:v>
      </x:c>
      <x:c r="Q45" s="13" t="str">
        <x:v>RAS-W01</x:v>
      </x:c>
      <x:c r="R45" s="13" t="str"/>
      <x:c r="S45" s="13" t="str"/>
      <x:c r="T45" s="13" t="str"/>
      <x:c r="U45" s="13" t="str"/>
      <x:c r="V45" s="13" t="str">
        <x:f>IF(U45=1,IF(T45="VALID","PASS",IF(T45="INVALID","INVALID","OPEN")),"OPEN")</x:f>
        <x:v>OPEN</x:v>
      </x:c>
    </x:row>
    <x:row r="46">
      <x:c r="B46" s="13" t="str">
        <x:v>RAS-E040</x:v>
      </x:c>
      <x:c r="C46" s="13" t="str">
        <x:v>AM-05</x:v>
      </x:c>
      <x:c r="D46" s="13" t="str">
        <x:v>TR-B</x:v>
      </x:c>
      <x:c r="E46" s="13" t="str">
        <x:v>RFP-A1</x:v>
      </x:c>
      <x:c r="F46" s="13" t="str">
        <x:v>PTC-A</x:v>
      </x:c>
      <x:c r="G46" s="13" t="str">
        <x:v>QE-04</x:v>
      </x:c>
      <x:c r="H46" s="13" t="n">
        <x:v>500</x:v>
      </x:c>
      <x:c r="I46" s="13" t="n">
        <x:v>6.25</x:v>
      </x:c>
      <x:c r="J46" s="13" t="str">
        <x:v>PROHIBITED</x:v>
      </x:c>
      <x:c r="K46" s="13" t="n">
        <x:v>0</x:v>
      </x:c>
      <x:c r="L46" s="13" t="str">
        <x:v>NONE</x:v>
      </x:c>
      <x:c r="M46" s="13" t="str">
        <x:v>n.a.</x:v>
      </x:c>
      <x:c r="N46" s="13" t="n">
        <x:v>4</x:v>
      </x:c>
      <x:c r="O46" s="13" t="n">
        <x:v>8</x:v>
      </x:c>
      <x:c r="P46" s="13" t="str">
        <x:v>RAS-S011</x:v>
      </x:c>
      <x:c r="Q46" s="13" t="str">
        <x:v>RAS-W01</x:v>
      </x:c>
      <x:c r="R46" s="13" t="str"/>
      <x:c r="S46" s="13" t="str"/>
      <x:c r="T46" s="13" t="str"/>
      <x:c r="U46" s="13" t="str"/>
      <x:c r="V46" s="13" t="str">
        <x:f>IF(U46=1,IF(T46="VALID","PASS",IF(T46="INVALID","INVALID","OPEN")),"OPEN")</x:f>
        <x:v>OPEN</x:v>
      </x:c>
    </x:row>
    <x:row r="47">
      <x:c r="B47" s="13" t="str">
        <x:v>RAS-E041</x:v>
      </x:c>
      <x:c r="C47" s="13" t="str">
        <x:v>AM-05</x:v>
      </x:c>
      <x:c r="D47" s="13" t="str">
        <x:v>TR-B</x:v>
      </x:c>
      <x:c r="E47" s="13" t="str">
        <x:v>RFP-A1</x:v>
      </x:c>
      <x:c r="F47" s="13" t="str">
        <x:v>PTC-A</x:v>
      </x:c>
      <x:c r="G47" s="13" t="str">
        <x:v>QE-05</x:v>
      </x:c>
      <x:c r="H47" s="13" t="n">
        <x:v>500</x:v>
      </x:c>
      <x:c r="I47" s="13" t="n">
        <x:v>6.25</x:v>
      </x:c>
      <x:c r="J47" s="13" t="str">
        <x:v>PROHIBITED</x:v>
      </x:c>
      <x:c r="K47" s="13" t="n">
        <x:v>0</x:v>
      </x:c>
      <x:c r="L47" s="13" t="str">
        <x:v>NONE</x:v>
      </x:c>
      <x:c r="M47" s="13" t="str">
        <x:v>n.a.</x:v>
      </x:c>
      <x:c r="N47" s="13" t="n">
        <x:v>6</x:v>
      </x:c>
      <x:c r="O47" s="13" t="n">
        <x:v>10</x:v>
      </x:c>
      <x:c r="P47" s="13" t="str">
        <x:v>RAS-S011</x:v>
      </x:c>
      <x:c r="Q47" s="13" t="str">
        <x:v>RAS-W01</x:v>
      </x:c>
      <x:c r="R47" s="13" t="str"/>
      <x:c r="S47" s="13" t="str"/>
      <x:c r="T47" s="13" t="str"/>
      <x:c r="U47" s="13" t="str"/>
      <x:c r="V47" s="13" t="str">
        <x:f>IF(U47=1,IF(T47="VALID","PASS",IF(T47="INVALID","INVALID","OPEN")),"OPEN")</x:f>
        <x:v>OPEN</x:v>
      </x:c>
    </x:row>
    <x:row r="48">
      <x:c r="B48" s="13" t="str">
        <x:v>RAS-E042</x:v>
      </x:c>
      <x:c r="C48" s="13" t="str">
        <x:v>AM-05</x:v>
      </x:c>
      <x:c r="D48" s="13" t="str">
        <x:v>TR-B</x:v>
      </x:c>
      <x:c r="E48" s="13" t="str">
        <x:v>RFP-A1</x:v>
      </x:c>
      <x:c r="F48" s="13" t="str">
        <x:v>PTC-A</x:v>
      </x:c>
      <x:c r="G48" s="13" t="str">
        <x:v>QE-06</x:v>
      </x:c>
      <x:c r="H48" s="13" t="n">
        <x:v>500</x:v>
      </x:c>
      <x:c r="I48" s="13" t="n">
        <x:v>25</x:v>
      </x:c>
      <x:c r="J48" s="13" t="str">
        <x:v>PROHIBITED</x:v>
      </x:c>
      <x:c r="K48" s="13" t="n">
        <x:v>0</x:v>
      </x:c>
      <x:c r="L48" s="13" t="str">
        <x:v>ENERGY+NETWORK+PRIMARY TIME</x:v>
      </x:c>
      <x:c r="M48" s="13" t="str">
        <x:v>PTC-B</x:v>
      </x:c>
      <x:c r="N48" s="13" t="n">
        <x:v>8</x:v>
      </x:c>
      <x:c r="O48" s="13" t="n">
        <x:v>12</x:v>
      </x:c>
      <x:c r="P48" s="13" t="str">
        <x:v>RAS-S011</x:v>
      </x:c>
      <x:c r="Q48" s="13" t="str">
        <x:v>RAS-W01</x:v>
      </x:c>
      <x:c r="R48" s="13" t="str"/>
      <x:c r="S48" s="13" t="str"/>
      <x:c r="T48" s="13" t="str"/>
      <x:c r="U48" s="13" t="str"/>
      <x:c r="V48" s="13" t="str">
        <x:f>IF(U48=1,IF(T48="VALID","PASS",IF(T48="INVALID","INVALID","OPEN")),"OPEN")</x:f>
        <x:v>OPEN</x:v>
      </x:c>
    </x:row>
    <x:row r="49">
      <x:c r="B49" s="13" t="str">
        <x:v>RAS-E043</x:v>
      </x:c>
      <x:c r="C49" s="13" t="str">
        <x:v>AM-05</x:v>
      </x:c>
      <x:c r="D49" s="13" t="str">
        <x:v>TR-B</x:v>
      </x:c>
      <x:c r="E49" s="13" t="str">
        <x:v>RFP-A2</x:v>
      </x:c>
      <x:c r="F49" s="13" t="str">
        <x:v>PTC-A</x:v>
      </x:c>
      <x:c r="G49" s="13" t="str">
        <x:v>QE-01</x:v>
      </x:c>
      <x:c r="H49" s="13" t="n">
        <x:v>0</x:v>
      </x:c>
      <x:c r="I49" s="13" t="n">
        <x:v>0</x:v>
      </x:c>
      <x:c r="J49" s="13" t="str">
        <x:v>PROHIBITED</x:v>
      </x:c>
      <x:c r="K49" s="13" t="n">
        <x:v>0</x:v>
      </x:c>
      <x:c r="L49" s="13" t="str">
        <x:v>NONE</x:v>
      </x:c>
      <x:c r="M49" s="13" t="str">
        <x:v>n.a.</x:v>
      </x:c>
      <x:c r="N49" s="13" t="n">
        <x:v>2</x:v>
      </x:c>
      <x:c r="O49" s="13" t="n">
        <x:v>2</x:v>
      </x:c>
      <x:c r="P49" s="13" t="str">
        <x:v>RAS-S012</x:v>
      </x:c>
      <x:c r="Q49" s="13" t="str">
        <x:v>RAS-W05</x:v>
      </x:c>
      <x:c r="R49" s="13" t="str"/>
      <x:c r="S49" s="13" t="str"/>
      <x:c r="T49" s="13" t="str"/>
      <x:c r="U49" s="13" t="str"/>
      <x:c r="V49" s="13" t="str">
        <x:f>IF(U49=1,IF(T49="VALID","PASS",IF(T49="INVALID","INVALID","OPEN")),"OPEN")</x:f>
        <x:v>OPEN</x:v>
      </x:c>
    </x:row>
    <x:row r="50">
      <x:c r="B50" s="13" t="str">
        <x:v>RAS-E044</x:v>
      </x:c>
      <x:c r="C50" s="13" t="str">
        <x:v>AM-05</x:v>
      </x:c>
      <x:c r="D50" s="13" t="str">
        <x:v>TR-B</x:v>
      </x:c>
      <x:c r="E50" s="13" t="str">
        <x:v>RFP-A2</x:v>
      </x:c>
      <x:c r="F50" s="13" t="str">
        <x:v>PTC-A</x:v>
      </x:c>
      <x:c r="G50" s="13" t="str">
        <x:v>QE-02</x:v>
      </x:c>
      <x:c r="H50" s="13" t="n">
        <x:v>100</x:v>
      </x:c>
      <x:c r="I50" s="13" t="n">
        <x:v>2.5</x:v>
      </x:c>
      <x:c r="J50" s="13" t="str">
        <x:v>PROHIBITED</x:v>
      </x:c>
      <x:c r="K50" s="13" t="n">
        <x:v>0</x:v>
      </x:c>
      <x:c r="L50" s="13" t="str">
        <x:v>NONE</x:v>
      </x:c>
      <x:c r="M50" s="13" t="str">
        <x:v>n.a.</x:v>
      </x:c>
      <x:c r="N50" s="13" t="n">
        <x:v>3</x:v>
      </x:c>
      <x:c r="O50" s="13" t="n">
        <x:v>4</x:v>
      </x:c>
      <x:c r="P50" s="13" t="str">
        <x:v>RAS-S012</x:v>
      </x:c>
      <x:c r="Q50" s="13" t="str">
        <x:v>RAS-W05</x:v>
      </x:c>
      <x:c r="R50" s="13" t="str"/>
      <x:c r="S50" s="13" t="str"/>
      <x:c r="T50" s="13" t="str"/>
      <x:c r="U50" s="13" t="str"/>
      <x:c r="V50" s="13" t="str">
        <x:f>IF(U50=1,IF(T50="VALID","PASS",IF(T50="INVALID","INVALID","OPEN")),"OPEN")</x:f>
        <x:v>OPEN</x:v>
      </x:c>
    </x:row>
    <x:row r="51">
      <x:c r="B51" s="13" t="str">
        <x:v>RAS-E045</x:v>
      </x:c>
      <x:c r="C51" s="13" t="str">
        <x:v>AM-05</x:v>
      </x:c>
      <x:c r="D51" s="13" t="str">
        <x:v>TR-B</x:v>
      </x:c>
      <x:c r="E51" s="13" t="str">
        <x:v>RFP-A2</x:v>
      </x:c>
      <x:c r="F51" s="13" t="str">
        <x:v>PTC-A</x:v>
      </x:c>
      <x:c r="G51" s="13" t="str">
        <x:v>QE-03</x:v>
      </x:c>
      <x:c r="H51" s="13" t="n">
        <x:v>250</x:v>
      </x:c>
      <x:c r="I51" s="13" t="n">
        <x:v>5</x:v>
      </x:c>
      <x:c r="J51" s="13" t="str">
        <x:v>PROHIBITED</x:v>
      </x:c>
      <x:c r="K51" s="13" t="n">
        <x:v>0</x:v>
      </x:c>
      <x:c r="L51" s="13" t="str">
        <x:v>NONE</x:v>
      </x:c>
      <x:c r="M51" s="13" t="str">
        <x:v>n.a.</x:v>
      </x:c>
      <x:c r="N51" s="13" t="n">
        <x:v>3</x:v>
      </x:c>
      <x:c r="O51" s="13" t="n">
        <x:v>6</x:v>
      </x:c>
      <x:c r="P51" s="13" t="str">
        <x:v>RAS-S012</x:v>
      </x:c>
      <x:c r="Q51" s="13" t="str">
        <x:v>RAS-W05</x:v>
      </x:c>
      <x:c r="R51" s="13" t="str"/>
      <x:c r="S51" s="13" t="str"/>
      <x:c r="T51" s="13" t="str"/>
      <x:c r="U51" s="13" t="str"/>
      <x:c r="V51" s="13" t="str">
        <x:f>IF(U51=1,IF(T51="VALID","PASS",IF(T51="INVALID","INVALID","OPEN")),"OPEN")</x:f>
        <x:v>OPEN</x:v>
      </x:c>
    </x:row>
    <x:row r="52">
      <x:c r="B52" s="13" t="str">
        <x:v>RAS-E046</x:v>
      </x:c>
      <x:c r="C52" s="13" t="str">
        <x:v>AM-05</x:v>
      </x:c>
      <x:c r="D52" s="13" t="str">
        <x:v>TR-B</x:v>
      </x:c>
      <x:c r="E52" s="13" t="str">
        <x:v>RFP-A2</x:v>
      </x:c>
      <x:c r="F52" s="13" t="str">
        <x:v>PTC-A</x:v>
      </x:c>
      <x:c r="G52" s="13" t="str">
        <x:v>QE-04</x:v>
      </x:c>
      <x:c r="H52" s="13" t="n">
        <x:v>500</x:v>
      </x:c>
      <x:c r="I52" s="13" t="n">
        <x:v>6.25</x:v>
      </x:c>
      <x:c r="J52" s="13" t="str">
        <x:v>PROHIBITED</x:v>
      </x:c>
      <x:c r="K52" s="13" t="n">
        <x:v>0</x:v>
      </x:c>
      <x:c r="L52" s="13" t="str">
        <x:v>NONE</x:v>
      </x:c>
      <x:c r="M52" s="13" t="str">
        <x:v>n.a.</x:v>
      </x:c>
      <x:c r="N52" s="13" t="n">
        <x:v>4</x:v>
      </x:c>
      <x:c r="O52" s="13" t="n">
        <x:v>8</x:v>
      </x:c>
      <x:c r="P52" s="13" t="str">
        <x:v>RAS-S012</x:v>
      </x:c>
      <x:c r="Q52" s="13" t="str">
        <x:v>RAS-W05</x:v>
      </x:c>
      <x:c r="R52" s="13" t="str"/>
      <x:c r="S52" s="13" t="str"/>
      <x:c r="T52" s="13" t="str"/>
      <x:c r="U52" s="13" t="str"/>
      <x:c r="V52" s="13" t="str">
        <x:f>IF(U52=1,IF(T52="VALID","PASS",IF(T52="INVALID","INVALID","OPEN")),"OPEN")</x:f>
        <x:v>OPEN</x:v>
      </x:c>
    </x:row>
    <x:row r="53">
      <x:c r="B53" s="13" t="str">
        <x:v>RAS-E047</x:v>
      </x:c>
      <x:c r="C53" s="13" t="str">
        <x:v>AM-05</x:v>
      </x:c>
      <x:c r="D53" s="13" t="str">
        <x:v>TR-B</x:v>
      </x:c>
      <x:c r="E53" s="13" t="str">
        <x:v>RFP-A2</x:v>
      </x:c>
      <x:c r="F53" s="13" t="str">
        <x:v>PTC-A</x:v>
      </x:c>
      <x:c r="G53" s="13" t="str">
        <x:v>QE-05</x:v>
      </x:c>
      <x:c r="H53" s="13" t="n">
        <x:v>500</x:v>
      </x:c>
      <x:c r="I53" s="13" t="n">
        <x:v>6.25</x:v>
      </x:c>
      <x:c r="J53" s="13" t="str">
        <x:v>PROHIBITED</x:v>
      </x:c>
      <x:c r="K53" s="13" t="n">
        <x:v>0</x:v>
      </x:c>
      <x:c r="L53" s="13" t="str">
        <x:v>NONE</x:v>
      </x:c>
      <x:c r="M53" s="13" t="str">
        <x:v>n.a.</x:v>
      </x:c>
      <x:c r="N53" s="13" t="n">
        <x:v>6</x:v>
      </x:c>
      <x:c r="O53" s="13" t="n">
        <x:v>10</x:v>
      </x:c>
      <x:c r="P53" s="13" t="str">
        <x:v>RAS-S012</x:v>
      </x:c>
      <x:c r="Q53" s="13" t="str">
        <x:v>RAS-W05</x:v>
      </x:c>
      <x:c r="R53" s="13" t="str"/>
      <x:c r="S53" s="13" t="str"/>
      <x:c r="T53" s="13" t="str"/>
      <x:c r="U53" s="13" t="str"/>
      <x:c r="V53" s="13" t="str">
        <x:f>IF(U53=1,IF(T53="VALID","PASS",IF(T53="INVALID","INVALID","OPEN")),"OPEN")</x:f>
        <x:v>OPEN</x:v>
      </x:c>
    </x:row>
    <x:row r="54">
      <x:c r="B54" s="13" t="str">
        <x:v>RAS-E048</x:v>
      </x:c>
      <x:c r="C54" s="13" t="str">
        <x:v>AM-05</x:v>
      </x:c>
      <x:c r="D54" s="13" t="str">
        <x:v>TR-B</x:v>
      </x:c>
      <x:c r="E54" s="13" t="str">
        <x:v>RFP-A2</x:v>
      </x:c>
      <x:c r="F54" s="13" t="str">
        <x:v>PTC-A</x:v>
      </x:c>
      <x:c r="G54" s="13" t="str">
        <x:v>QE-06</x:v>
      </x:c>
      <x:c r="H54" s="13" t="n">
        <x:v>500</x:v>
      </x:c>
      <x:c r="I54" s="13" t="n">
        <x:v>25</x:v>
      </x:c>
      <x:c r="J54" s="13" t="str">
        <x:v>PROHIBITED</x:v>
      </x:c>
      <x:c r="K54" s="13" t="n">
        <x:v>0</x:v>
      </x:c>
      <x:c r="L54" s="13" t="str">
        <x:v>ENERGY+NETWORK+PRIMARY TIME</x:v>
      </x:c>
      <x:c r="M54" s="13" t="str">
        <x:v>PTC-B</x:v>
      </x:c>
      <x:c r="N54" s="13" t="n">
        <x:v>8</x:v>
      </x:c>
      <x:c r="O54" s="13" t="n">
        <x:v>12</x:v>
      </x:c>
      <x:c r="P54" s="13" t="str">
        <x:v>RAS-S012</x:v>
      </x:c>
      <x:c r="Q54" s="13" t="str">
        <x:v>RAS-W05</x:v>
      </x:c>
      <x:c r="R54" s="13" t="str"/>
      <x:c r="S54" s="13" t="str"/>
      <x:c r="T54" s="13" t="str"/>
      <x:c r="U54" s="13" t="str"/>
      <x:c r="V54" s="13" t="str">
        <x:f>IF(U54=1,IF(T54="VALID","PASS",IF(T54="INVALID","INVALID","OPEN")),"OPEN")</x:f>
        <x:v>OPEN</x:v>
      </x:c>
    </x:row>
    <x:row r="55">
      <x:c r="B55" s="13" t="str">
        <x:v>RAS-E049</x:v>
      </x:c>
      <x:c r="C55" s="13" t="str">
        <x:v>AM-05</x:v>
      </x:c>
      <x:c r="D55" s="13" t="str">
        <x:v>TR-B</x:v>
      </x:c>
      <x:c r="E55" s="13" t="str">
        <x:v>RFP-B1</x:v>
      </x:c>
      <x:c r="F55" s="13" t="str">
        <x:v>PTC-B</x:v>
      </x:c>
      <x:c r="G55" s="13" t="str">
        <x:v>QE-01</x:v>
      </x:c>
      <x:c r="H55" s="13" t="n">
        <x:v>0</x:v>
      </x:c>
      <x:c r="I55" s="13" t="n">
        <x:v>0</x:v>
      </x:c>
      <x:c r="J55" s="13" t="str">
        <x:v>PROHIBITED</x:v>
      </x:c>
      <x:c r="K55" s="13" t="n">
        <x:v>0</x:v>
      </x:c>
      <x:c r="L55" s="13" t="str">
        <x:v>NONE</x:v>
      </x:c>
      <x:c r="M55" s="13" t="str">
        <x:v>n.a.</x:v>
      </x:c>
      <x:c r="N55" s="13" t="n">
        <x:v>2</x:v>
      </x:c>
      <x:c r="O55" s="13" t="n">
        <x:v>2</x:v>
      </x:c>
      <x:c r="P55" s="13" t="str">
        <x:v>RAS-S013</x:v>
      </x:c>
      <x:c r="Q55" s="13" t="str">
        <x:v>RAS-W09</x:v>
      </x:c>
      <x:c r="R55" s="13" t="str"/>
      <x:c r="S55" s="13" t="str"/>
      <x:c r="T55" s="13" t="str"/>
      <x:c r="U55" s="13" t="str"/>
      <x:c r="V55" s="13" t="str">
        <x:f>IF(U55=1,IF(T55="VALID","PASS",IF(T55="INVALID","INVALID","OPEN")),"OPEN")</x:f>
        <x:v>OPEN</x:v>
      </x:c>
    </x:row>
    <x:row r="56">
      <x:c r="B56" s="13" t="str">
        <x:v>RAS-E050</x:v>
      </x:c>
      <x:c r="C56" s="13" t="str">
        <x:v>AM-05</x:v>
      </x:c>
      <x:c r="D56" s="13" t="str">
        <x:v>TR-B</x:v>
      </x:c>
      <x:c r="E56" s="13" t="str">
        <x:v>RFP-B1</x:v>
      </x:c>
      <x:c r="F56" s="13" t="str">
        <x:v>PTC-B</x:v>
      </x:c>
      <x:c r="G56" s="13" t="str">
        <x:v>QE-02</x:v>
      </x:c>
      <x:c r="H56" s="13" t="n">
        <x:v>100</x:v>
      </x:c>
      <x:c r="I56" s="13" t="n">
        <x:v>2.5</x:v>
      </x:c>
      <x:c r="J56" s="13" t="str">
        <x:v>PROHIBITED</x:v>
      </x:c>
      <x:c r="K56" s="13" t="n">
        <x:v>0</x:v>
      </x:c>
      <x:c r="L56" s="13" t="str">
        <x:v>NONE</x:v>
      </x:c>
      <x:c r="M56" s="13" t="str">
        <x:v>n.a.</x:v>
      </x:c>
      <x:c r="N56" s="13" t="n">
        <x:v>3</x:v>
      </x:c>
      <x:c r="O56" s="13" t="n">
        <x:v>4</x:v>
      </x:c>
      <x:c r="P56" s="13" t="str">
        <x:v>RAS-S013</x:v>
      </x:c>
      <x:c r="Q56" s="13" t="str">
        <x:v>RAS-W09</x:v>
      </x:c>
      <x:c r="R56" s="13" t="str"/>
      <x:c r="S56" s="13" t="str"/>
      <x:c r="T56" s="13" t="str"/>
      <x:c r="U56" s="13" t="str"/>
      <x:c r="V56" s="13" t="str">
        <x:f>IF(U56=1,IF(T56="VALID","PASS",IF(T56="INVALID","INVALID","OPEN")),"OPEN")</x:f>
        <x:v>OPEN</x:v>
      </x:c>
    </x:row>
    <x:row r="57">
      <x:c r="B57" s="13" t="str">
        <x:v>RAS-E051</x:v>
      </x:c>
      <x:c r="C57" s="13" t="str">
        <x:v>AM-05</x:v>
      </x:c>
      <x:c r="D57" s="13" t="str">
        <x:v>TR-B</x:v>
      </x:c>
      <x:c r="E57" s="13" t="str">
        <x:v>RFP-B1</x:v>
      </x:c>
      <x:c r="F57" s="13" t="str">
        <x:v>PTC-B</x:v>
      </x:c>
      <x:c r="G57" s="13" t="str">
        <x:v>QE-03</x:v>
      </x:c>
      <x:c r="H57" s="13" t="n">
        <x:v>250</x:v>
      </x:c>
      <x:c r="I57" s="13" t="n">
        <x:v>5</x:v>
      </x:c>
      <x:c r="J57" s="13" t="str">
        <x:v>PROHIBITED</x:v>
      </x:c>
      <x:c r="K57" s="13" t="n">
        <x:v>0</x:v>
      </x:c>
      <x:c r="L57" s="13" t="str">
        <x:v>NONE</x:v>
      </x:c>
      <x:c r="M57" s="13" t="str">
        <x:v>n.a.</x:v>
      </x:c>
      <x:c r="N57" s="13" t="n">
        <x:v>3</x:v>
      </x:c>
      <x:c r="O57" s="13" t="n">
        <x:v>6</x:v>
      </x:c>
      <x:c r="P57" s="13" t="str">
        <x:v>RAS-S013</x:v>
      </x:c>
      <x:c r="Q57" s="13" t="str">
        <x:v>RAS-W09</x:v>
      </x:c>
      <x:c r="R57" s="13" t="str"/>
      <x:c r="S57" s="13" t="str"/>
      <x:c r="T57" s="13" t="str"/>
      <x:c r="U57" s="13" t="str"/>
      <x:c r="V57" s="13" t="str">
        <x:f>IF(U57=1,IF(T57="VALID","PASS",IF(T57="INVALID","INVALID","OPEN")),"OPEN")</x:f>
        <x:v>OPEN</x:v>
      </x:c>
    </x:row>
    <x:row r="58">
      <x:c r="B58" s="13" t="str">
        <x:v>RAS-E052</x:v>
      </x:c>
      <x:c r="C58" s="13" t="str">
        <x:v>AM-05</x:v>
      </x:c>
      <x:c r="D58" s="13" t="str">
        <x:v>TR-B</x:v>
      </x:c>
      <x:c r="E58" s="13" t="str">
        <x:v>RFP-B1</x:v>
      </x:c>
      <x:c r="F58" s="13" t="str">
        <x:v>PTC-B</x:v>
      </x:c>
      <x:c r="G58" s="13" t="str">
        <x:v>QE-04</x:v>
      </x:c>
      <x:c r="H58" s="13" t="n">
        <x:v>500</x:v>
      </x:c>
      <x:c r="I58" s="13" t="n">
        <x:v>6.25</x:v>
      </x:c>
      <x:c r="J58" s="13" t="str">
        <x:v>PROHIBITED</x:v>
      </x:c>
      <x:c r="K58" s="13" t="n">
        <x:v>0</x:v>
      </x:c>
      <x:c r="L58" s="13" t="str">
        <x:v>NONE</x:v>
      </x:c>
      <x:c r="M58" s="13" t="str">
        <x:v>n.a.</x:v>
      </x:c>
      <x:c r="N58" s="13" t="n">
        <x:v>4</x:v>
      </x:c>
      <x:c r="O58" s="13" t="n">
        <x:v>8</x:v>
      </x:c>
      <x:c r="P58" s="13" t="str">
        <x:v>RAS-S013</x:v>
      </x:c>
      <x:c r="Q58" s="13" t="str">
        <x:v>RAS-W09</x:v>
      </x:c>
      <x:c r="R58" s="13" t="str"/>
      <x:c r="S58" s="13" t="str"/>
      <x:c r="T58" s="13" t="str"/>
      <x:c r="U58" s="13" t="str"/>
      <x:c r="V58" s="13" t="str">
        <x:f>IF(U58=1,IF(T58="VALID","PASS",IF(T58="INVALID","INVALID","OPEN")),"OPEN")</x:f>
        <x:v>OPEN</x:v>
      </x:c>
    </x:row>
    <x:row r="59">
      <x:c r="B59" s="13" t="str">
        <x:v>RAS-E053</x:v>
      </x:c>
      <x:c r="C59" s="13" t="str">
        <x:v>AM-05</x:v>
      </x:c>
      <x:c r="D59" s="13" t="str">
        <x:v>TR-B</x:v>
      </x:c>
      <x:c r="E59" s="13" t="str">
        <x:v>RFP-B1</x:v>
      </x:c>
      <x:c r="F59" s="13" t="str">
        <x:v>PTC-B</x:v>
      </x:c>
      <x:c r="G59" s="13" t="str">
        <x:v>QE-05</x:v>
      </x:c>
      <x:c r="H59" s="13" t="n">
        <x:v>500</x:v>
      </x:c>
      <x:c r="I59" s="13" t="n">
        <x:v>6.25</x:v>
      </x:c>
      <x:c r="J59" s="13" t="str">
        <x:v>PROHIBITED</x:v>
      </x:c>
      <x:c r="K59" s="13" t="n">
        <x:v>0</x:v>
      </x:c>
      <x:c r="L59" s="13" t="str">
        <x:v>NONE</x:v>
      </x:c>
      <x:c r="M59" s="13" t="str">
        <x:v>n.a.</x:v>
      </x:c>
      <x:c r="N59" s="13" t="n">
        <x:v>6</x:v>
      </x:c>
      <x:c r="O59" s="13" t="n">
        <x:v>10</x:v>
      </x:c>
      <x:c r="P59" s="13" t="str">
        <x:v>RAS-S013</x:v>
      </x:c>
      <x:c r="Q59" s="13" t="str">
        <x:v>RAS-W09</x:v>
      </x:c>
      <x:c r="R59" s="13" t="str"/>
      <x:c r="S59" s="13" t="str"/>
      <x:c r="T59" s="13" t="str"/>
      <x:c r="U59" s="13" t="str"/>
      <x:c r="V59" s="13" t="str">
        <x:f>IF(U59=1,IF(T59="VALID","PASS",IF(T59="INVALID","INVALID","OPEN")),"OPEN")</x:f>
        <x:v>OPEN</x:v>
      </x:c>
    </x:row>
    <x:row r="60">
      <x:c r="B60" s="13" t="str">
        <x:v>RAS-E054</x:v>
      </x:c>
      <x:c r="C60" s="13" t="str">
        <x:v>AM-05</x:v>
      </x:c>
      <x:c r="D60" s="13" t="str">
        <x:v>TR-B</x:v>
      </x:c>
      <x:c r="E60" s="13" t="str">
        <x:v>RFP-B1</x:v>
      </x:c>
      <x:c r="F60" s="13" t="str">
        <x:v>PTC-B</x:v>
      </x:c>
      <x:c r="G60" s="13" t="str">
        <x:v>QE-06</x:v>
      </x:c>
      <x:c r="H60" s="13" t="n">
        <x:v>500</x:v>
      </x:c>
      <x:c r="I60" s="13" t="n">
        <x:v>25</x:v>
      </x:c>
      <x:c r="J60" s="13" t="str">
        <x:v>PROHIBITED</x:v>
      </x:c>
      <x:c r="K60" s="13" t="n">
        <x:v>0</x:v>
      </x:c>
      <x:c r="L60" s="13" t="str">
        <x:v>ENERGY+NETWORK+PRIMARY TIME</x:v>
      </x:c>
      <x:c r="M60" s="13" t="str">
        <x:v>PTC-C</x:v>
      </x:c>
      <x:c r="N60" s="13" t="n">
        <x:v>8</x:v>
      </x:c>
      <x:c r="O60" s="13" t="n">
        <x:v>12</x:v>
      </x:c>
      <x:c r="P60" s="13" t="str">
        <x:v>RAS-S013</x:v>
      </x:c>
      <x:c r="Q60" s="13" t="str">
        <x:v>RAS-W09</x:v>
      </x:c>
      <x:c r="R60" s="13" t="str"/>
      <x:c r="S60" s="13" t="str"/>
      <x:c r="T60" s="13" t="str"/>
      <x:c r="U60" s="13" t="str"/>
      <x:c r="V60" s="13" t="str">
        <x:f>IF(U60=1,IF(T60="VALID","PASS",IF(T60="INVALID","INVALID","OPEN")),"OPEN")</x:f>
        <x:v>OPEN</x:v>
      </x:c>
    </x:row>
    <x:row r="61">
      <x:c r="B61" s="13" t="str">
        <x:v>RAS-E055</x:v>
      </x:c>
      <x:c r="C61" s="13" t="str">
        <x:v>AM-05</x:v>
      </x:c>
      <x:c r="D61" s="13" t="str">
        <x:v>TR-B</x:v>
      </x:c>
      <x:c r="E61" s="13" t="str">
        <x:v>RFP-B2</x:v>
      </x:c>
      <x:c r="F61" s="13" t="str">
        <x:v>PTC-B</x:v>
      </x:c>
      <x:c r="G61" s="13" t="str">
        <x:v>QE-01</x:v>
      </x:c>
      <x:c r="H61" s="13" t="n">
        <x:v>0</x:v>
      </x:c>
      <x:c r="I61" s="13" t="n">
        <x:v>0</x:v>
      </x:c>
      <x:c r="J61" s="13" t="str">
        <x:v>PROHIBITED</x:v>
      </x:c>
      <x:c r="K61" s="13" t="n">
        <x:v>0</x:v>
      </x:c>
      <x:c r="L61" s="13" t="str">
        <x:v>NONE</x:v>
      </x:c>
      <x:c r="M61" s="13" t="str">
        <x:v>n.a.</x:v>
      </x:c>
      <x:c r="N61" s="13" t="n">
        <x:v>2</x:v>
      </x:c>
      <x:c r="O61" s="13" t="n">
        <x:v>2</x:v>
      </x:c>
      <x:c r="P61" s="13" t="str">
        <x:v>RAS-S014</x:v>
      </x:c>
      <x:c r="Q61" s="13" t="str">
        <x:v>RAS-W13</x:v>
      </x:c>
      <x:c r="R61" s="13" t="str"/>
      <x:c r="S61" s="13" t="str"/>
      <x:c r="T61" s="13" t="str"/>
      <x:c r="U61" s="13" t="str"/>
      <x:c r="V61" s="13" t="str">
        <x:f>IF(U61=1,IF(T61="VALID","PASS",IF(T61="INVALID","INVALID","OPEN")),"OPEN")</x:f>
        <x:v>OPEN</x:v>
      </x:c>
    </x:row>
    <x:row r="62">
      <x:c r="B62" s="13" t="str">
        <x:v>RAS-E056</x:v>
      </x:c>
      <x:c r="C62" s="13" t="str">
        <x:v>AM-05</x:v>
      </x:c>
      <x:c r="D62" s="13" t="str">
        <x:v>TR-B</x:v>
      </x:c>
      <x:c r="E62" s="13" t="str">
        <x:v>RFP-B2</x:v>
      </x:c>
      <x:c r="F62" s="13" t="str">
        <x:v>PTC-B</x:v>
      </x:c>
      <x:c r="G62" s="13" t="str">
        <x:v>QE-02</x:v>
      </x:c>
      <x:c r="H62" s="13" t="n">
        <x:v>100</x:v>
      </x:c>
      <x:c r="I62" s="13" t="n">
        <x:v>2.5</x:v>
      </x:c>
      <x:c r="J62" s="13" t="str">
        <x:v>PROHIBITED</x:v>
      </x:c>
      <x:c r="K62" s="13" t="n">
        <x:v>0</x:v>
      </x:c>
      <x:c r="L62" s="13" t="str">
        <x:v>NONE</x:v>
      </x:c>
      <x:c r="M62" s="13" t="str">
        <x:v>n.a.</x:v>
      </x:c>
      <x:c r="N62" s="13" t="n">
        <x:v>3</x:v>
      </x:c>
      <x:c r="O62" s="13" t="n">
        <x:v>4</x:v>
      </x:c>
      <x:c r="P62" s="13" t="str">
        <x:v>RAS-S014</x:v>
      </x:c>
      <x:c r="Q62" s="13" t="str">
        <x:v>RAS-W13</x:v>
      </x:c>
      <x:c r="R62" s="13" t="str"/>
      <x:c r="S62" s="13" t="str"/>
      <x:c r="T62" s="13" t="str"/>
      <x:c r="U62" s="13" t="str"/>
      <x:c r="V62" s="13" t="str">
        <x:f>IF(U62=1,IF(T62="VALID","PASS",IF(T62="INVALID","INVALID","OPEN")),"OPEN")</x:f>
        <x:v>OPEN</x:v>
      </x:c>
    </x:row>
    <x:row r="63">
      <x:c r="B63" s="13" t="str">
        <x:v>RAS-E057</x:v>
      </x:c>
      <x:c r="C63" s="13" t="str">
        <x:v>AM-05</x:v>
      </x:c>
      <x:c r="D63" s="13" t="str">
        <x:v>TR-B</x:v>
      </x:c>
      <x:c r="E63" s="13" t="str">
        <x:v>RFP-B2</x:v>
      </x:c>
      <x:c r="F63" s="13" t="str">
        <x:v>PTC-B</x:v>
      </x:c>
      <x:c r="G63" s="13" t="str">
        <x:v>QE-03</x:v>
      </x:c>
      <x:c r="H63" s="13" t="n">
        <x:v>250</x:v>
      </x:c>
      <x:c r="I63" s="13" t="n">
        <x:v>5</x:v>
      </x:c>
      <x:c r="J63" s="13" t="str">
        <x:v>PROHIBITED</x:v>
      </x:c>
      <x:c r="K63" s="13" t="n">
        <x:v>0</x:v>
      </x:c>
      <x:c r="L63" s="13" t="str">
        <x:v>NONE</x:v>
      </x:c>
      <x:c r="M63" s="13" t="str">
        <x:v>n.a.</x:v>
      </x:c>
      <x:c r="N63" s="13" t="n">
        <x:v>3</x:v>
      </x:c>
      <x:c r="O63" s="13" t="n">
        <x:v>6</x:v>
      </x:c>
      <x:c r="P63" s="13" t="str">
        <x:v>RAS-S014</x:v>
      </x:c>
      <x:c r="Q63" s="13" t="str">
        <x:v>RAS-W13</x:v>
      </x:c>
      <x:c r="R63" s="13" t="str"/>
      <x:c r="S63" s="13" t="str"/>
      <x:c r="T63" s="13" t="str"/>
      <x:c r="U63" s="13" t="str"/>
      <x:c r="V63" s="13" t="str">
        <x:f>IF(U63=1,IF(T63="VALID","PASS",IF(T63="INVALID","INVALID","OPEN")),"OPEN")</x:f>
        <x:v>OPEN</x:v>
      </x:c>
    </x:row>
    <x:row r="64">
      <x:c r="B64" s="13" t="str">
        <x:v>RAS-E058</x:v>
      </x:c>
      <x:c r="C64" s="13" t="str">
        <x:v>AM-05</x:v>
      </x:c>
      <x:c r="D64" s="13" t="str">
        <x:v>TR-B</x:v>
      </x:c>
      <x:c r="E64" s="13" t="str">
        <x:v>RFP-B2</x:v>
      </x:c>
      <x:c r="F64" s="13" t="str">
        <x:v>PTC-B</x:v>
      </x:c>
      <x:c r="G64" s="13" t="str">
        <x:v>QE-04</x:v>
      </x:c>
      <x:c r="H64" s="13" t="n">
        <x:v>500</x:v>
      </x:c>
      <x:c r="I64" s="13" t="n">
        <x:v>6.25</x:v>
      </x:c>
      <x:c r="J64" s="13" t="str">
        <x:v>PROHIBITED</x:v>
      </x:c>
      <x:c r="K64" s="13" t="n">
        <x:v>0</x:v>
      </x:c>
      <x:c r="L64" s="13" t="str">
        <x:v>NONE</x:v>
      </x:c>
      <x:c r="M64" s="13" t="str">
        <x:v>n.a.</x:v>
      </x:c>
      <x:c r="N64" s="13" t="n">
        <x:v>4</x:v>
      </x:c>
      <x:c r="O64" s="13" t="n">
        <x:v>8</x:v>
      </x:c>
      <x:c r="P64" s="13" t="str">
        <x:v>RAS-S014</x:v>
      </x:c>
      <x:c r="Q64" s="13" t="str">
        <x:v>RAS-W13</x:v>
      </x:c>
      <x:c r="R64" s="13" t="str"/>
      <x:c r="S64" s="13" t="str"/>
      <x:c r="T64" s="13" t="str"/>
      <x:c r="U64" s="13" t="str"/>
      <x:c r="V64" s="13" t="str">
        <x:f>IF(U64=1,IF(T64="VALID","PASS",IF(T64="INVALID","INVALID","OPEN")),"OPEN")</x:f>
        <x:v>OPEN</x:v>
      </x:c>
    </x:row>
    <x:row r="65">
      <x:c r="B65" s="13" t="str">
        <x:v>RAS-E059</x:v>
      </x:c>
      <x:c r="C65" s="13" t="str">
        <x:v>AM-05</x:v>
      </x:c>
      <x:c r="D65" s="13" t="str">
        <x:v>TR-B</x:v>
      </x:c>
      <x:c r="E65" s="13" t="str">
        <x:v>RFP-B2</x:v>
      </x:c>
      <x:c r="F65" s="13" t="str">
        <x:v>PTC-B</x:v>
      </x:c>
      <x:c r="G65" s="13" t="str">
        <x:v>QE-05</x:v>
      </x:c>
      <x:c r="H65" s="13" t="n">
        <x:v>500</x:v>
      </x:c>
      <x:c r="I65" s="13" t="n">
        <x:v>6.25</x:v>
      </x:c>
      <x:c r="J65" s="13" t="str">
        <x:v>PROHIBITED</x:v>
      </x:c>
      <x:c r="K65" s="13" t="n">
        <x:v>0</x:v>
      </x:c>
      <x:c r="L65" s="13" t="str">
        <x:v>NONE</x:v>
      </x:c>
      <x:c r="M65" s="13" t="str">
        <x:v>n.a.</x:v>
      </x:c>
      <x:c r="N65" s="13" t="n">
        <x:v>6</x:v>
      </x:c>
      <x:c r="O65" s="13" t="n">
        <x:v>10</x:v>
      </x:c>
      <x:c r="P65" s="13" t="str">
        <x:v>RAS-S014</x:v>
      </x:c>
      <x:c r="Q65" s="13" t="str">
        <x:v>RAS-W13</x:v>
      </x:c>
      <x:c r="R65" s="13" t="str"/>
      <x:c r="S65" s="13" t="str"/>
      <x:c r="T65" s="13" t="str"/>
      <x:c r="U65" s="13" t="str"/>
      <x:c r="V65" s="13" t="str">
        <x:f>IF(U65=1,IF(T65="VALID","PASS",IF(T65="INVALID","INVALID","OPEN")),"OPEN")</x:f>
        <x:v>OPEN</x:v>
      </x:c>
    </x:row>
    <x:row r="66">
      <x:c r="B66" s="13" t="str">
        <x:v>RAS-E060</x:v>
      </x:c>
      <x:c r="C66" s="13" t="str">
        <x:v>AM-05</x:v>
      </x:c>
      <x:c r="D66" s="13" t="str">
        <x:v>TR-B</x:v>
      </x:c>
      <x:c r="E66" s="13" t="str">
        <x:v>RFP-B2</x:v>
      </x:c>
      <x:c r="F66" s="13" t="str">
        <x:v>PTC-B</x:v>
      </x:c>
      <x:c r="G66" s="13" t="str">
        <x:v>QE-06</x:v>
      </x:c>
      <x:c r="H66" s="13" t="n">
        <x:v>500</x:v>
      </x:c>
      <x:c r="I66" s="13" t="n">
        <x:v>25</x:v>
      </x:c>
      <x:c r="J66" s="13" t="str">
        <x:v>PROHIBITED</x:v>
      </x:c>
      <x:c r="K66" s="13" t="n">
        <x:v>0</x:v>
      </x:c>
      <x:c r="L66" s="13" t="str">
        <x:v>ENERGY+NETWORK+PRIMARY TIME</x:v>
      </x:c>
      <x:c r="M66" s="13" t="str">
        <x:v>PTC-C</x:v>
      </x:c>
      <x:c r="N66" s="13" t="n">
        <x:v>8</x:v>
      </x:c>
      <x:c r="O66" s="13" t="n">
        <x:v>12</x:v>
      </x:c>
      <x:c r="P66" s="13" t="str">
        <x:v>RAS-S014</x:v>
      </x:c>
      <x:c r="Q66" s="13" t="str">
        <x:v>RAS-W13</x:v>
      </x:c>
      <x:c r="R66" s="13" t="str"/>
      <x:c r="S66" s="13" t="str"/>
      <x:c r="T66" s="13" t="str"/>
      <x:c r="U66" s="13" t="str"/>
      <x:c r="V66" s="13" t="str">
        <x:f>IF(U66=1,IF(T66="VALID","PASS",IF(T66="INVALID","INVALID","OPEN")),"OPEN")</x:f>
        <x:v>OPEN</x:v>
      </x:c>
    </x:row>
    <x:row r="67">
      <x:c r="B67" s="13" t="str">
        <x:v>RAS-E061</x:v>
      </x:c>
      <x:c r="C67" s="13" t="str">
        <x:v>AM-05</x:v>
      </x:c>
      <x:c r="D67" s="13" t="str">
        <x:v>TR-B</x:v>
      </x:c>
      <x:c r="E67" s="13" t="str">
        <x:v>RFP-C1</x:v>
      </x:c>
      <x:c r="F67" s="13" t="str">
        <x:v>PTC-C</x:v>
      </x:c>
      <x:c r="G67" s="13" t="str">
        <x:v>QE-01</x:v>
      </x:c>
      <x:c r="H67" s="13" t="n">
        <x:v>0</x:v>
      </x:c>
      <x:c r="I67" s="13" t="n">
        <x:v>0</x:v>
      </x:c>
      <x:c r="J67" s="13" t="str">
        <x:v>PROHIBITED</x:v>
      </x:c>
      <x:c r="K67" s="13" t="n">
        <x:v>0</x:v>
      </x:c>
      <x:c r="L67" s="13" t="str">
        <x:v>NONE</x:v>
      </x:c>
      <x:c r="M67" s="13" t="str">
        <x:v>n.a.</x:v>
      </x:c>
      <x:c r="N67" s="13" t="n">
        <x:v>2</x:v>
      </x:c>
      <x:c r="O67" s="13" t="n">
        <x:v>2</x:v>
      </x:c>
      <x:c r="P67" s="13" t="str">
        <x:v>RAS-S015</x:v>
      </x:c>
      <x:c r="Q67" s="13" t="str">
        <x:v>RAS-W17</x:v>
      </x:c>
      <x:c r="R67" s="13" t="str"/>
      <x:c r="S67" s="13" t="str"/>
      <x:c r="T67" s="13" t="str"/>
      <x:c r="U67" s="13" t="str"/>
      <x:c r="V67" s="13" t="str">
        <x:f>IF(U67=1,IF(T67="VALID","PASS",IF(T67="INVALID","INVALID","OPEN")),"OPEN")</x:f>
        <x:v>OPEN</x:v>
      </x:c>
    </x:row>
    <x:row r="68">
      <x:c r="B68" s="13" t="str">
        <x:v>RAS-E062</x:v>
      </x:c>
      <x:c r="C68" s="13" t="str">
        <x:v>AM-05</x:v>
      </x:c>
      <x:c r="D68" s="13" t="str">
        <x:v>TR-B</x:v>
      </x:c>
      <x:c r="E68" s="13" t="str">
        <x:v>RFP-C1</x:v>
      </x:c>
      <x:c r="F68" s="13" t="str">
        <x:v>PTC-C</x:v>
      </x:c>
      <x:c r="G68" s="13" t="str">
        <x:v>QE-02</x:v>
      </x:c>
      <x:c r="H68" s="13" t="n">
        <x:v>100</x:v>
      </x:c>
      <x:c r="I68" s="13" t="n">
        <x:v>2.5</x:v>
      </x:c>
      <x:c r="J68" s="13" t="str">
        <x:v>PROHIBITED</x:v>
      </x:c>
      <x:c r="K68" s="13" t="n">
        <x:v>0</x:v>
      </x:c>
      <x:c r="L68" s="13" t="str">
        <x:v>NONE</x:v>
      </x:c>
      <x:c r="M68" s="13" t="str">
        <x:v>n.a.</x:v>
      </x:c>
      <x:c r="N68" s="13" t="n">
        <x:v>3</x:v>
      </x:c>
      <x:c r="O68" s="13" t="n">
        <x:v>4</x:v>
      </x:c>
      <x:c r="P68" s="13" t="str">
        <x:v>RAS-S015</x:v>
      </x:c>
      <x:c r="Q68" s="13" t="str">
        <x:v>RAS-W17</x:v>
      </x:c>
      <x:c r="R68" s="13" t="str"/>
      <x:c r="S68" s="13" t="str"/>
      <x:c r="T68" s="13" t="str"/>
      <x:c r="U68" s="13" t="str"/>
      <x:c r="V68" s="13" t="str">
        <x:f>IF(U68=1,IF(T68="VALID","PASS",IF(T68="INVALID","INVALID","OPEN")),"OPEN")</x:f>
        <x:v>OPEN</x:v>
      </x:c>
    </x:row>
    <x:row r="69">
      <x:c r="B69" s="13" t="str">
        <x:v>RAS-E063</x:v>
      </x:c>
      <x:c r="C69" s="13" t="str">
        <x:v>AM-05</x:v>
      </x:c>
      <x:c r="D69" s="13" t="str">
        <x:v>TR-B</x:v>
      </x:c>
      <x:c r="E69" s="13" t="str">
        <x:v>RFP-C1</x:v>
      </x:c>
      <x:c r="F69" s="13" t="str">
        <x:v>PTC-C</x:v>
      </x:c>
      <x:c r="G69" s="13" t="str">
        <x:v>QE-03</x:v>
      </x:c>
      <x:c r="H69" s="13" t="n">
        <x:v>250</x:v>
      </x:c>
      <x:c r="I69" s="13" t="n">
        <x:v>5</x:v>
      </x:c>
      <x:c r="J69" s="13" t="str">
        <x:v>PROHIBITED</x:v>
      </x:c>
      <x:c r="K69" s="13" t="n">
        <x:v>0</x:v>
      </x:c>
      <x:c r="L69" s="13" t="str">
        <x:v>NONE</x:v>
      </x:c>
      <x:c r="M69" s="13" t="str">
        <x:v>n.a.</x:v>
      </x:c>
      <x:c r="N69" s="13" t="n">
        <x:v>3</x:v>
      </x:c>
      <x:c r="O69" s="13" t="n">
        <x:v>6</x:v>
      </x:c>
      <x:c r="P69" s="13" t="str">
        <x:v>RAS-S015</x:v>
      </x:c>
      <x:c r="Q69" s="13" t="str">
        <x:v>RAS-W17</x:v>
      </x:c>
      <x:c r="R69" s="13" t="str"/>
      <x:c r="S69" s="13" t="str"/>
      <x:c r="T69" s="13" t="str"/>
      <x:c r="U69" s="13" t="str"/>
      <x:c r="V69" s="13" t="str">
        <x:f>IF(U69=1,IF(T69="VALID","PASS",IF(T69="INVALID","INVALID","OPEN")),"OPEN")</x:f>
        <x:v>OPEN</x:v>
      </x:c>
    </x:row>
    <x:row r="70">
      <x:c r="B70" s="13" t="str">
        <x:v>RAS-E064</x:v>
      </x:c>
      <x:c r="C70" s="13" t="str">
        <x:v>AM-05</x:v>
      </x:c>
      <x:c r="D70" s="13" t="str">
        <x:v>TR-B</x:v>
      </x:c>
      <x:c r="E70" s="13" t="str">
        <x:v>RFP-C1</x:v>
      </x:c>
      <x:c r="F70" s="13" t="str">
        <x:v>PTC-C</x:v>
      </x:c>
      <x:c r="G70" s="13" t="str">
        <x:v>QE-04</x:v>
      </x:c>
      <x:c r="H70" s="13" t="n">
        <x:v>500</x:v>
      </x:c>
      <x:c r="I70" s="13" t="n">
        <x:v>6.25</x:v>
      </x:c>
      <x:c r="J70" s="13" t="str">
        <x:v>PROHIBITED</x:v>
      </x:c>
      <x:c r="K70" s="13" t="n">
        <x:v>0</x:v>
      </x:c>
      <x:c r="L70" s="13" t="str">
        <x:v>NONE</x:v>
      </x:c>
      <x:c r="M70" s="13" t="str">
        <x:v>n.a.</x:v>
      </x:c>
      <x:c r="N70" s="13" t="n">
        <x:v>4</x:v>
      </x:c>
      <x:c r="O70" s="13" t="n">
        <x:v>8</x:v>
      </x:c>
      <x:c r="P70" s="13" t="str">
        <x:v>RAS-S015</x:v>
      </x:c>
      <x:c r="Q70" s="13" t="str">
        <x:v>RAS-W17</x:v>
      </x:c>
      <x:c r="R70" s="13" t="str"/>
      <x:c r="S70" s="13" t="str"/>
      <x:c r="T70" s="13" t="str"/>
      <x:c r="U70" s="13" t="str"/>
      <x:c r="V70" s="13" t="str">
        <x:f>IF(U70=1,IF(T70="VALID","PASS",IF(T70="INVALID","INVALID","OPEN")),"OPEN")</x:f>
        <x:v>OPEN</x:v>
      </x:c>
    </x:row>
    <x:row r="71">
      <x:c r="B71" s="13" t="str">
        <x:v>RAS-E065</x:v>
      </x:c>
      <x:c r="C71" s="13" t="str">
        <x:v>AM-05</x:v>
      </x:c>
      <x:c r="D71" s="13" t="str">
        <x:v>TR-B</x:v>
      </x:c>
      <x:c r="E71" s="13" t="str">
        <x:v>RFP-C1</x:v>
      </x:c>
      <x:c r="F71" s="13" t="str">
        <x:v>PTC-C</x:v>
      </x:c>
      <x:c r="G71" s="13" t="str">
        <x:v>QE-05</x:v>
      </x:c>
      <x:c r="H71" s="13" t="n">
        <x:v>500</x:v>
      </x:c>
      <x:c r="I71" s="13" t="n">
        <x:v>6.25</x:v>
      </x:c>
      <x:c r="J71" s="13" t="str">
        <x:v>PROHIBITED</x:v>
      </x:c>
      <x:c r="K71" s="13" t="n">
        <x:v>0</x:v>
      </x:c>
      <x:c r="L71" s="13" t="str">
        <x:v>NONE</x:v>
      </x:c>
      <x:c r="M71" s="13" t="str">
        <x:v>n.a.</x:v>
      </x:c>
      <x:c r="N71" s="13" t="n">
        <x:v>6</x:v>
      </x:c>
      <x:c r="O71" s="13" t="n">
        <x:v>10</x:v>
      </x:c>
      <x:c r="P71" s="13" t="str">
        <x:v>RAS-S015</x:v>
      </x:c>
      <x:c r="Q71" s="13" t="str">
        <x:v>RAS-W17</x:v>
      </x:c>
      <x:c r="R71" s="13" t="str"/>
      <x:c r="S71" s="13" t="str"/>
      <x:c r="T71" s="13" t="str"/>
      <x:c r="U71" s="13" t="str"/>
      <x:c r="V71" s="13" t="str">
        <x:f>IF(U71=1,IF(T71="VALID","PASS",IF(T71="INVALID","INVALID","OPEN")),"OPEN")</x:f>
        <x:v>OPEN</x:v>
      </x:c>
    </x:row>
    <x:row r="72">
      <x:c r="B72" s="13" t="str">
        <x:v>RAS-E066</x:v>
      </x:c>
      <x:c r="C72" s="13" t="str">
        <x:v>AM-05</x:v>
      </x:c>
      <x:c r="D72" s="13" t="str">
        <x:v>TR-B</x:v>
      </x:c>
      <x:c r="E72" s="13" t="str">
        <x:v>RFP-C1</x:v>
      </x:c>
      <x:c r="F72" s="13" t="str">
        <x:v>PTC-C</x:v>
      </x:c>
      <x:c r="G72" s="13" t="str">
        <x:v>QE-06</x:v>
      </x:c>
      <x:c r="H72" s="13" t="n">
        <x:v>500</x:v>
      </x:c>
      <x:c r="I72" s="13" t="n">
        <x:v>25</x:v>
      </x:c>
      <x:c r="J72" s="13" t="str">
        <x:v>PROHIBITED</x:v>
      </x:c>
      <x:c r="K72" s="13" t="n">
        <x:v>0</x:v>
      </x:c>
      <x:c r="L72" s="13" t="str">
        <x:v>ENERGY+NETWORK+PRIMARY TIME</x:v>
      </x:c>
      <x:c r="M72" s="13" t="str">
        <x:v>PTC-B</x:v>
      </x:c>
      <x:c r="N72" s="13" t="n">
        <x:v>8</x:v>
      </x:c>
      <x:c r="O72" s="13" t="n">
        <x:v>12</x:v>
      </x:c>
      <x:c r="P72" s="13" t="str">
        <x:v>RAS-S015</x:v>
      </x:c>
      <x:c r="Q72" s="13" t="str">
        <x:v>RAS-W17</x:v>
      </x:c>
      <x:c r="R72" s="13" t="str"/>
      <x:c r="S72" s="13" t="str"/>
      <x:c r="T72" s="13" t="str"/>
      <x:c r="U72" s="13" t="str"/>
      <x:c r="V72" s="13" t="str">
        <x:f>IF(U72=1,IF(T72="VALID","PASS",IF(T72="INVALID","INVALID","OPEN")),"OPEN")</x:f>
        <x:v>OPEN</x:v>
      </x:c>
    </x:row>
    <x:row r="73">
      <x:c r="B73" s="13" t="str">
        <x:v>RAS-E067</x:v>
      </x:c>
      <x:c r="C73" s="13" t="str">
        <x:v>AM-05</x:v>
      </x:c>
      <x:c r="D73" s="13" t="str">
        <x:v>TR-B</x:v>
      </x:c>
      <x:c r="E73" s="13" t="str">
        <x:v>RFP-C2</x:v>
      </x:c>
      <x:c r="F73" s="13" t="str">
        <x:v>PTC-C</x:v>
      </x:c>
      <x:c r="G73" s="13" t="str">
        <x:v>QE-01</x:v>
      </x:c>
      <x:c r="H73" s="13" t="n">
        <x:v>0</x:v>
      </x:c>
      <x:c r="I73" s="13" t="n">
        <x:v>0</x:v>
      </x:c>
      <x:c r="J73" s="13" t="str">
        <x:v>PROHIBITED</x:v>
      </x:c>
      <x:c r="K73" s="13" t="n">
        <x:v>0</x:v>
      </x:c>
      <x:c r="L73" s="13" t="str">
        <x:v>NONE</x:v>
      </x:c>
      <x:c r="M73" s="13" t="str">
        <x:v>n.a.</x:v>
      </x:c>
      <x:c r="N73" s="13" t="n">
        <x:v>2</x:v>
      </x:c>
      <x:c r="O73" s="13" t="n">
        <x:v>2</x:v>
      </x:c>
      <x:c r="P73" s="13" t="str">
        <x:v>RAS-S016</x:v>
      </x:c>
      <x:c r="Q73" s="13" t="str">
        <x:v>RAS-W21</x:v>
      </x:c>
      <x:c r="R73" s="13" t="str"/>
      <x:c r="S73" s="13" t="str"/>
      <x:c r="T73" s="13" t="str"/>
      <x:c r="U73" s="13" t="str"/>
      <x:c r="V73" s="13" t="str">
        <x:f>IF(U73=1,IF(T73="VALID","PASS",IF(T73="INVALID","INVALID","OPEN")),"OPEN")</x:f>
        <x:v>OPEN</x:v>
      </x:c>
    </x:row>
    <x:row r="74">
      <x:c r="B74" s="13" t="str">
        <x:v>RAS-E068</x:v>
      </x:c>
      <x:c r="C74" s="13" t="str">
        <x:v>AM-05</x:v>
      </x:c>
      <x:c r="D74" s="13" t="str">
        <x:v>TR-B</x:v>
      </x:c>
      <x:c r="E74" s="13" t="str">
        <x:v>RFP-C2</x:v>
      </x:c>
      <x:c r="F74" s="13" t="str">
        <x:v>PTC-C</x:v>
      </x:c>
      <x:c r="G74" s="13" t="str">
        <x:v>QE-02</x:v>
      </x:c>
      <x:c r="H74" s="13" t="n">
        <x:v>100</x:v>
      </x:c>
      <x:c r="I74" s="13" t="n">
        <x:v>2.5</x:v>
      </x:c>
      <x:c r="J74" s="13" t="str">
        <x:v>PROHIBITED</x:v>
      </x:c>
      <x:c r="K74" s="13" t="n">
        <x:v>0</x:v>
      </x:c>
      <x:c r="L74" s="13" t="str">
        <x:v>NONE</x:v>
      </x:c>
      <x:c r="M74" s="13" t="str">
        <x:v>n.a.</x:v>
      </x:c>
      <x:c r="N74" s="13" t="n">
        <x:v>3</x:v>
      </x:c>
      <x:c r="O74" s="13" t="n">
        <x:v>4</x:v>
      </x:c>
      <x:c r="P74" s="13" t="str">
        <x:v>RAS-S016</x:v>
      </x:c>
      <x:c r="Q74" s="13" t="str">
        <x:v>RAS-W21</x:v>
      </x:c>
      <x:c r="R74" s="13" t="str"/>
      <x:c r="S74" s="13" t="str"/>
      <x:c r="T74" s="13" t="str"/>
      <x:c r="U74" s="13" t="str"/>
      <x:c r="V74" s="13" t="str">
        <x:f>IF(U74=1,IF(T74="VALID","PASS",IF(T74="INVALID","INVALID","OPEN")),"OPEN")</x:f>
        <x:v>OPEN</x:v>
      </x:c>
    </x:row>
    <x:row r="75">
      <x:c r="B75" s="13" t="str">
        <x:v>RAS-E069</x:v>
      </x:c>
      <x:c r="C75" s="13" t="str">
        <x:v>AM-05</x:v>
      </x:c>
      <x:c r="D75" s="13" t="str">
        <x:v>TR-B</x:v>
      </x:c>
      <x:c r="E75" s="13" t="str">
        <x:v>RFP-C2</x:v>
      </x:c>
      <x:c r="F75" s="13" t="str">
        <x:v>PTC-C</x:v>
      </x:c>
      <x:c r="G75" s="13" t="str">
        <x:v>QE-03</x:v>
      </x:c>
      <x:c r="H75" s="13" t="n">
        <x:v>250</x:v>
      </x:c>
      <x:c r="I75" s="13" t="n">
        <x:v>5</x:v>
      </x:c>
      <x:c r="J75" s="13" t="str">
        <x:v>PROHIBITED</x:v>
      </x:c>
      <x:c r="K75" s="13" t="n">
        <x:v>0</x:v>
      </x:c>
      <x:c r="L75" s="13" t="str">
        <x:v>NONE</x:v>
      </x:c>
      <x:c r="M75" s="13" t="str">
        <x:v>n.a.</x:v>
      </x:c>
      <x:c r="N75" s="13" t="n">
        <x:v>3</x:v>
      </x:c>
      <x:c r="O75" s="13" t="n">
        <x:v>6</x:v>
      </x:c>
      <x:c r="P75" s="13" t="str">
        <x:v>RAS-S016</x:v>
      </x:c>
      <x:c r="Q75" s="13" t="str">
        <x:v>RAS-W21</x:v>
      </x:c>
      <x:c r="R75" s="13" t="str"/>
      <x:c r="S75" s="13" t="str"/>
      <x:c r="T75" s="13" t="str"/>
      <x:c r="U75" s="13" t="str"/>
      <x:c r="V75" s="13" t="str">
        <x:f>IF(U75=1,IF(T75="VALID","PASS",IF(T75="INVALID","INVALID","OPEN")),"OPEN")</x:f>
        <x:v>OPEN</x:v>
      </x:c>
    </x:row>
    <x:row r="76">
      <x:c r="B76" s="13" t="str">
        <x:v>RAS-E070</x:v>
      </x:c>
      <x:c r="C76" s="13" t="str">
        <x:v>AM-05</x:v>
      </x:c>
      <x:c r="D76" s="13" t="str">
        <x:v>TR-B</x:v>
      </x:c>
      <x:c r="E76" s="13" t="str">
        <x:v>RFP-C2</x:v>
      </x:c>
      <x:c r="F76" s="13" t="str">
        <x:v>PTC-C</x:v>
      </x:c>
      <x:c r="G76" s="13" t="str">
        <x:v>QE-04</x:v>
      </x:c>
      <x:c r="H76" s="13" t="n">
        <x:v>500</x:v>
      </x:c>
      <x:c r="I76" s="13" t="n">
        <x:v>6.25</x:v>
      </x:c>
      <x:c r="J76" s="13" t="str">
        <x:v>PROHIBITED</x:v>
      </x:c>
      <x:c r="K76" s="13" t="n">
        <x:v>0</x:v>
      </x:c>
      <x:c r="L76" s="13" t="str">
        <x:v>NONE</x:v>
      </x:c>
      <x:c r="M76" s="13" t="str">
        <x:v>n.a.</x:v>
      </x:c>
      <x:c r="N76" s="13" t="n">
        <x:v>4</x:v>
      </x:c>
      <x:c r="O76" s="13" t="n">
        <x:v>8</x:v>
      </x:c>
      <x:c r="P76" s="13" t="str">
        <x:v>RAS-S016</x:v>
      </x:c>
      <x:c r="Q76" s="13" t="str">
        <x:v>RAS-W21</x:v>
      </x:c>
      <x:c r="R76" s="13" t="str"/>
      <x:c r="S76" s="13" t="str"/>
      <x:c r="T76" s="13" t="str"/>
      <x:c r="U76" s="13" t="str"/>
      <x:c r="V76" s="13" t="str">
        <x:f>IF(U76=1,IF(T76="VALID","PASS",IF(T76="INVALID","INVALID","OPEN")),"OPEN")</x:f>
        <x:v>OPEN</x:v>
      </x:c>
    </x:row>
    <x:row r="77">
      <x:c r="B77" s="13" t="str">
        <x:v>RAS-E071</x:v>
      </x:c>
      <x:c r="C77" s="13" t="str">
        <x:v>AM-05</x:v>
      </x:c>
      <x:c r="D77" s="13" t="str">
        <x:v>TR-B</x:v>
      </x:c>
      <x:c r="E77" s="13" t="str">
        <x:v>RFP-C2</x:v>
      </x:c>
      <x:c r="F77" s="13" t="str">
        <x:v>PTC-C</x:v>
      </x:c>
      <x:c r="G77" s="13" t="str">
        <x:v>QE-05</x:v>
      </x:c>
      <x:c r="H77" s="13" t="n">
        <x:v>500</x:v>
      </x:c>
      <x:c r="I77" s="13" t="n">
        <x:v>6.25</x:v>
      </x:c>
      <x:c r="J77" s="13" t="str">
        <x:v>PROHIBITED</x:v>
      </x:c>
      <x:c r="K77" s="13" t="n">
        <x:v>0</x:v>
      </x:c>
      <x:c r="L77" s="13" t="str">
        <x:v>NONE</x:v>
      </x:c>
      <x:c r="M77" s="13" t="str">
        <x:v>n.a.</x:v>
      </x:c>
      <x:c r="N77" s="13" t="n">
        <x:v>6</x:v>
      </x:c>
      <x:c r="O77" s="13" t="n">
        <x:v>10</x:v>
      </x:c>
      <x:c r="P77" s="13" t="str">
        <x:v>RAS-S016</x:v>
      </x:c>
      <x:c r="Q77" s="13" t="str">
        <x:v>RAS-W21</x:v>
      </x:c>
      <x:c r="R77" s="13" t="str"/>
      <x:c r="S77" s="13" t="str"/>
      <x:c r="T77" s="13" t="str"/>
      <x:c r="U77" s="13" t="str"/>
      <x:c r="V77" s="13" t="str">
        <x:f>IF(U77=1,IF(T77="VALID","PASS",IF(T77="INVALID","INVALID","OPEN")),"OPEN")</x:f>
        <x:v>OPEN</x:v>
      </x:c>
    </x:row>
    <x:row r="78">
      <x:c r="B78" s="13" t="str">
        <x:v>RAS-E072</x:v>
      </x:c>
      <x:c r="C78" s="13" t="str">
        <x:v>AM-05</x:v>
      </x:c>
      <x:c r="D78" s="13" t="str">
        <x:v>TR-B</x:v>
      </x:c>
      <x:c r="E78" s="13" t="str">
        <x:v>RFP-C2</x:v>
      </x:c>
      <x:c r="F78" s="13" t="str">
        <x:v>PTC-C</x:v>
      </x:c>
      <x:c r="G78" s="13" t="str">
        <x:v>QE-06</x:v>
      </x:c>
      <x:c r="H78" s="13" t="n">
        <x:v>500</x:v>
      </x:c>
      <x:c r="I78" s="13" t="n">
        <x:v>25</x:v>
      </x:c>
      <x:c r="J78" s="13" t="str">
        <x:v>PROHIBITED</x:v>
      </x:c>
      <x:c r="K78" s="13" t="n">
        <x:v>0</x:v>
      </x:c>
      <x:c r="L78" s="13" t="str">
        <x:v>ENERGY+NETWORK+PRIMARY TIME</x:v>
      </x:c>
      <x:c r="M78" s="13" t="str">
        <x:v>PTC-B</x:v>
      </x:c>
      <x:c r="N78" s="13" t="n">
        <x:v>8</x:v>
      </x:c>
      <x:c r="O78" s="13" t="n">
        <x:v>12</x:v>
      </x:c>
      <x:c r="P78" s="13" t="str">
        <x:v>RAS-S016</x:v>
      </x:c>
      <x:c r="Q78" s="13" t="str">
        <x:v>RAS-W21</x:v>
      </x:c>
      <x:c r="R78" s="13" t="str"/>
      <x:c r="S78" s="13" t="str"/>
      <x:c r="T78" s="13" t="str"/>
      <x:c r="U78" s="13" t="str"/>
      <x:c r="V78" s="13" t="str">
        <x:f>IF(U78=1,IF(T78="VALID","PASS",IF(T78="INVALID","INVALID","OPEN")),"OPEN")</x:f>
        <x:v>OPEN</x:v>
      </x:c>
    </x:row>
    <x:row r="79">
      <x:c r="B79" s="13" t="str">
        <x:v>RAS-E073</x:v>
      </x:c>
      <x:c r="C79" s="13" t="str">
        <x:v>AM-06</x:v>
      </x:c>
      <x:c r="D79" s="13" t="str">
        <x:v>TR-A</x:v>
      </x:c>
      <x:c r="E79" s="13" t="str">
        <x:v>RFP-A1</x:v>
      </x:c>
      <x:c r="F79" s="13" t="str">
        <x:v>PTC-A</x:v>
      </x:c>
      <x:c r="G79" s="13" t="str">
        <x:v>QE-01</x:v>
      </x:c>
      <x:c r="H79" s="13" t="n">
        <x:v>0</x:v>
      </x:c>
      <x:c r="I79" s="13" t="n">
        <x:v>0</x:v>
      </x:c>
      <x:c r="J79" s="13" t="str">
        <x:v>PROHIBITED</x:v>
      </x:c>
      <x:c r="K79" s="13" t="n">
        <x:v>0</x:v>
      </x:c>
      <x:c r="L79" s="13" t="str">
        <x:v>NONE</x:v>
      </x:c>
      <x:c r="M79" s="13" t="str">
        <x:v>n.a.</x:v>
      </x:c>
      <x:c r="N79" s="13" t="n">
        <x:v>2</x:v>
      </x:c>
      <x:c r="O79" s="13" t="n">
        <x:v>1</x:v>
      </x:c>
      <x:c r="P79" s="13" t="str">
        <x:v>RAS-S021</x:v>
      </x:c>
      <x:c r="Q79" s="13" t="str">
        <x:v>RAS-W01</x:v>
      </x:c>
      <x:c r="R79" s="13" t="str"/>
      <x:c r="S79" s="13" t="str"/>
      <x:c r="T79" s="13" t="str"/>
      <x:c r="U79" s="13" t="str"/>
      <x:c r="V79" s="13" t="str">
        <x:f>IF(U79=1,IF(T79="VALID","PASS",IF(T79="INVALID","INVALID","OPEN")),"OPEN")</x:f>
        <x:v>OPEN</x:v>
      </x:c>
    </x:row>
    <x:row r="80">
      <x:c r="B80" s="13" t="str">
        <x:v>RAS-E074</x:v>
      </x:c>
      <x:c r="C80" s="13" t="str">
        <x:v>AM-06</x:v>
      </x:c>
      <x:c r="D80" s="13" t="str">
        <x:v>TR-A</x:v>
      </x:c>
      <x:c r="E80" s="13" t="str">
        <x:v>RFP-A1</x:v>
      </x:c>
      <x:c r="F80" s="13" t="str">
        <x:v>PTC-A</x:v>
      </x:c>
      <x:c r="G80" s="13" t="str">
        <x:v>QE-02</x:v>
      </x:c>
      <x:c r="H80" s="13" t="n">
        <x:v>100</x:v>
      </x:c>
      <x:c r="I80" s="13" t="n">
        <x:v>2.5</x:v>
      </x:c>
      <x:c r="J80" s="13" t="str">
        <x:v>OPPORTUNITY</x:v>
      </x:c>
      <x:c r="K80" s="13" t="n">
        <x:v>0</x:v>
      </x:c>
      <x:c r="L80" s="13" t="str">
        <x:v>NONE</x:v>
      </x:c>
      <x:c r="M80" s="13" t="str">
        <x:v>n.a.</x:v>
      </x:c>
      <x:c r="N80" s="13" t="n">
        <x:v>3</x:v>
      </x:c>
      <x:c r="O80" s="13" t="n">
        <x:v>3</x:v>
      </x:c>
      <x:c r="P80" s="13" t="str">
        <x:v>RAS-S021</x:v>
      </x:c>
      <x:c r="Q80" s="13" t="str">
        <x:v>RAS-W01</x:v>
      </x:c>
      <x:c r="R80" s="13" t="str"/>
      <x:c r="S80" s="13" t="str"/>
      <x:c r="T80" s="13" t="str"/>
      <x:c r="U80" s="13" t="str"/>
      <x:c r="V80" s="13" t="str">
        <x:f>IF(U80=1,IF(T80="VALID","PASS",IF(T80="INVALID","INVALID","OPEN")),"OPEN")</x:f>
        <x:v>OPEN</x:v>
      </x:c>
    </x:row>
    <x:row r="81">
      <x:c r="B81" s="13" t="str">
        <x:v>RAS-E075</x:v>
      </x:c>
      <x:c r="C81" s="13" t="str">
        <x:v>AM-06</x:v>
      </x:c>
      <x:c r="D81" s="13" t="str">
        <x:v>TR-A</x:v>
      </x:c>
      <x:c r="E81" s="13" t="str">
        <x:v>RFP-A1</x:v>
      </x:c>
      <x:c r="F81" s="13" t="str">
        <x:v>PTC-A</x:v>
      </x:c>
      <x:c r="G81" s="13" t="str">
        <x:v>QE-03</x:v>
      </x:c>
      <x:c r="H81" s="13" t="n">
        <x:v>250</x:v>
      </x:c>
      <x:c r="I81" s="13" t="n">
        <x:v>5</x:v>
      </x:c>
      <x:c r="J81" s="13" t="str">
        <x:v>OPPORTUNITY</x:v>
      </x:c>
      <x:c r="K81" s="13" t="n">
        <x:v>0</x:v>
      </x:c>
      <x:c r="L81" s="13" t="str">
        <x:v>NONE</x:v>
      </x:c>
      <x:c r="M81" s="13" t="str">
        <x:v>n.a.</x:v>
      </x:c>
      <x:c r="N81" s="13" t="n">
        <x:v>3</x:v>
      </x:c>
      <x:c r="O81" s="13" t="n">
        <x:v>5</x:v>
      </x:c>
      <x:c r="P81" s="13" t="str">
        <x:v>RAS-S021</x:v>
      </x:c>
      <x:c r="Q81" s="13" t="str">
        <x:v>RAS-W01</x:v>
      </x:c>
      <x:c r="R81" s="13" t="str"/>
      <x:c r="S81" s="13" t="str"/>
      <x:c r="T81" s="13" t="str"/>
      <x:c r="U81" s="13" t="str"/>
      <x:c r="V81" s="13" t="str">
        <x:f>IF(U81=1,IF(T81="VALID","PASS",IF(T81="INVALID","INVALID","OPEN")),"OPEN")</x:f>
        <x:v>OPEN</x:v>
      </x:c>
    </x:row>
    <x:row r="82">
      <x:c r="B82" s="13" t="str">
        <x:v>RAS-E076</x:v>
      </x:c>
      <x:c r="C82" s="13" t="str">
        <x:v>AM-06</x:v>
      </x:c>
      <x:c r="D82" s="13" t="str">
        <x:v>TR-A</x:v>
      </x:c>
      <x:c r="E82" s="13" t="str">
        <x:v>RFP-A1</x:v>
      </x:c>
      <x:c r="F82" s="13" t="str">
        <x:v>PTC-A</x:v>
      </x:c>
      <x:c r="G82" s="13" t="str">
        <x:v>QE-04</x:v>
      </x:c>
      <x:c r="H82" s="13" t="n">
        <x:v>500</x:v>
      </x:c>
      <x:c r="I82" s="13" t="n">
        <x:v>6.25</x:v>
      </x:c>
      <x:c r="J82" s="13" t="str">
        <x:v>OPPORTUNITY</x:v>
      </x:c>
      <x:c r="K82" s="13" t="n">
        <x:v>0</x:v>
      </x:c>
      <x:c r="L82" s="13" t="str">
        <x:v>NONE</x:v>
      </x:c>
      <x:c r="M82" s="13" t="str">
        <x:v>n.a.</x:v>
      </x:c>
      <x:c r="N82" s="13" t="n">
        <x:v>4</x:v>
      </x:c>
      <x:c r="O82" s="13" t="n">
        <x:v>7</x:v>
      </x:c>
      <x:c r="P82" s="13" t="str">
        <x:v>RAS-S021</x:v>
      </x:c>
      <x:c r="Q82" s="13" t="str">
        <x:v>RAS-W01</x:v>
      </x:c>
      <x:c r="R82" s="13" t="str"/>
      <x:c r="S82" s="13" t="str"/>
      <x:c r="T82" s="13" t="str"/>
      <x:c r="U82" s="13" t="str"/>
      <x:c r="V82" s="13" t="str">
        <x:f>IF(U82=1,IF(T82="VALID","PASS",IF(T82="INVALID","INVALID","OPEN")),"OPEN")</x:f>
        <x:v>OPEN</x:v>
      </x:c>
    </x:row>
    <x:row r="83">
      <x:c r="B83" s="13" t="str">
        <x:v>RAS-E077</x:v>
      </x:c>
      <x:c r="C83" s="13" t="str">
        <x:v>AM-06</x:v>
      </x:c>
      <x:c r="D83" s="13" t="str">
        <x:v>TR-A</x:v>
      </x:c>
      <x:c r="E83" s="13" t="str">
        <x:v>RFP-A1</x:v>
      </x:c>
      <x:c r="F83" s="13" t="str">
        <x:v>PTC-A</x:v>
      </x:c>
      <x:c r="G83" s="13" t="str">
        <x:v>QE-05</x:v>
      </x:c>
      <x:c r="H83" s="13" t="n">
        <x:v>500</x:v>
      </x:c>
      <x:c r="I83" s="13" t="n">
        <x:v>6.25</x:v>
      </x:c>
      <x:c r="J83" s="13" t="str">
        <x:v>OPPORTUNITY</x:v>
      </x:c>
      <x:c r="K83" s="13" t="n">
        <x:v>24</x:v>
      </x:c>
      <x:c r="L83" s="13" t="str">
        <x:v>NONE</x:v>
      </x:c>
      <x:c r="M83" s="13" t="str">
        <x:v>n.a.</x:v>
      </x:c>
      <x:c r="N83" s="13" t="n">
        <x:v>6</x:v>
      </x:c>
      <x:c r="O83" s="13" t="n">
        <x:v>9</x:v>
      </x:c>
      <x:c r="P83" s="13" t="str">
        <x:v>RAS-S021</x:v>
      </x:c>
      <x:c r="Q83" s="13" t="str">
        <x:v>RAS-W01</x:v>
      </x:c>
      <x:c r="R83" s="13" t="str"/>
      <x:c r="S83" s="13" t="str"/>
      <x:c r="T83" s="13" t="str"/>
      <x:c r="U83" s="13" t="str"/>
      <x:c r="V83" s="13" t="str">
        <x:f>IF(U83=1,IF(T83="VALID","PASS",IF(T83="INVALID","INVALID","OPEN")),"OPEN")</x:f>
        <x:v>OPEN</x:v>
      </x:c>
    </x:row>
    <x:row r="84">
      <x:c r="B84" s="13" t="str">
        <x:v>RAS-E078</x:v>
      </x:c>
      <x:c r="C84" s="13" t="str">
        <x:v>AM-06</x:v>
      </x:c>
      <x:c r="D84" s="13" t="str">
        <x:v>TR-A</x:v>
      </x:c>
      <x:c r="E84" s="13" t="str">
        <x:v>RFP-A1</x:v>
      </x:c>
      <x:c r="F84" s="13" t="str">
        <x:v>PTC-A</x:v>
      </x:c>
      <x:c r="G84" s="13" t="str">
        <x:v>QE-06</x:v>
      </x:c>
      <x:c r="H84" s="13" t="n">
        <x:v>500</x:v>
      </x:c>
      <x:c r="I84" s="13" t="n">
        <x:v>25</x:v>
      </x:c>
      <x:c r="J84" s="13" t="str">
        <x:v>OPPORTUNITY</x:v>
      </x:c>
      <x:c r="K84" s="13" t="n">
        <x:v>48</x:v>
      </x:c>
      <x:c r="L84" s="13" t="str">
        <x:v>ENERGY+NETWORK+PRIMARY TIME</x:v>
      </x:c>
      <x:c r="M84" s="13" t="str">
        <x:v>PTC-B</x:v>
      </x:c>
      <x:c r="N84" s="13" t="n">
        <x:v>8</x:v>
      </x:c>
      <x:c r="O84" s="13" t="n">
        <x:v>11</x:v>
      </x:c>
      <x:c r="P84" s="13" t="str">
        <x:v>RAS-S021</x:v>
      </x:c>
      <x:c r="Q84" s="13" t="str">
        <x:v>RAS-W01</x:v>
      </x:c>
      <x:c r="R84" s="13" t="str"/>
      <x:c r="S84" s="13" t="str"/>
      <x:c r="T84" s="13" t="str"/>
      <x:c r="U84" s="13" t="str"/>
      <x:c r="V84" s="13" t="str">
        <x:f>IF(U84=1,IF(T84="VALID","PASS",IF(T84="INVALID","INVALID","OPEN")),"OPEN")</x:f>
        <x:v>OPEN</x:v>
      </x:c>
    </x:row>
    <x:row r="85">
      <x:c r="B85" s="13" t="str">
        <x:v>RAS-E079</x:v>
      </x:c>
      <x:c r="C85" s="13" t="str">
        <x:v>AM-06</x:v>
      </x:c>
      <x:c r="D85" s="13" t="str">
        <x:v>TR-A</x:v>
      </x:c>
      <x:c r="E85" s="13" t="str">
        <x:v>RFP-A2</x:v>
      </x:c>
      <x:c r="F85" s="13" t="str">
        <x:v>PTC-A</x:v>
      </x:c>
      <x:c r="G85" s="13" t="str">
        <x:v>QE-01</x:v>
      </x:c>
      <x:c r="H85" s="13" t="n">
        <x:v>0</x:v>
      </x:c>
      <x:c r="I85" s="13" t="n">
        <x:v>0</x:v>
      </x:c>
      <x:c r="J85" s="13" t="str">
        <x:v>PROHIBITED</x:v>
      </x:c>
      <x:c r="K85" s="13" t="n">
        <x:v>0</x:v>
      </x:c>
      <x:c r="L85" s="13" t="str">
        <x:v>NONE</x:v>
      </x:c>
      <x:c r="M85" s="13" t="str">
        <x:v>n.a.</x:v>
      </x:c>
      <x:c r="N85" s="13" t="n">
        <x:v>2</x:v>
      </x:c>
      <x:c r="O85" s="13" t="n">
        <x:v>1</x:v>
      </x:c>
      <x:c r="P85" s="13" t="str">
        <x:v>RAS-S022</x:v>
      </x:c>
      <x:c r="Q85" s="13" t="str">
        <x:v>RAS-W05</x:v>
      </x:c>
      <x:c r="R85" s="13" t="str"/>
      <x:c r="S85" s="13" t="str"/>
      <x:c r="T85" s="13" t="str"/>
      <x:c r="U85" s="13" t="str"/>
      <x:c r="V85" s="13" t="str">
        <x:f>IF(U85=1,IF(T85="VALID","PASS",IF(T85="INVALID","INVALID","OPEN")),"OPEN")</x:f>
        <x:v>OPEN</x:v>
      </x:c>
    </x:row>
    <x:row r="86">
      <x:c r="B86" s="13" t="str">
        <x:v>RAS-E080</x:v>
      </x:c>
      <x:c r="C86" s="13" t="str">
        <x:v>AM-06</x:v>
      </x:c>
      <x:c r="D86" s="13" t="str">
        <x:v>TR-A</x:v>
      </x:c>
      <x:c r="E86" s="13" t="str">
        <x:v>RFP-A2</x:v>
      </x:c>
      <x:c r="F86" s="13" t="str">
        <x:v>PTC-A</x:v>
      </x:c>
      <x:c r="G86" s="13" t="str">
        <x:v>QE-02</x:v>
      </x:c>
      <x:c r="H86" s="13" t="n">
        <x:v>100</x:v>
      </x:c>
      <x:c r="I86" s="13" t="n">
        <x:v>2.5</x:v>
      </x:c>
      <x:c r="J86" s="13" t="str">
        <x:v>OPPORTUNITY</x:v>
      </x:c>
      <x:c r="K86" s="13" t="n">
        <x:v>0</x:v>
      </x:c>
      <x:c r="L86" s="13" t="str">
        <x:v>NONE</x:v>
      </x:c>
      <x:c r="M86" s="13" t="str">
        <x:v>n.a.</x:v>
      </x:c>
      <x:c r="N86" s="13" t="n">
        <x:v>3</x:v>
      </x:c>
      <x:c r="O86" s="13" t="n">
        <x:v>3</x:v>
      </x:c>
      <x:c r="P86" s="13" t="str">
        <x:v>RAS-S022</x:v>
      </x:c>
      <x:c r="Q86" s="13" t="str">
        <x:v>RAS-W05</x:v>
      </x:c>
      <x:c r="R86" s="13" t="str"/>
      <x:c r="S86" s="13" t="str"/>
      <x:c r="T86" s="13" t="str"/>
      <x:c r="U86" s="13" t="str"/>
      <x:c r="V86" s="13" t="str">
        <x:f>IF(U86=1,IF(T86="VALID","PASS",IF(T86="INVALID","INVALID","OPEN")),"OPEN")</x:f>
        <x:v>OPEN</x:v>
      </x:c>
    </x:row>
    <x:row r="87">
      <x:c r="B87" s="13" t="str">
        <x:v>RAS-E081</x:v>
      </x:c>
      <x:c r="C87" s="13" t="str">
        <x:v>AM-06</x:v>
      </x:c>
      <x:c r="D87" s="13" t="str">
        <x:v>TR-A</x:v>
      </x:c>
      <x:c r="E87" s="13" t="str">
        <x:v>RFP-A2</x:v>
      </x:c>
      <x:c r="F87" s="13" t="str">
        <x:v>PTC-A</x:v>
      </x:c>
      <x:c r="G87" s="13" t="str">
        <x:v>QE-03</x:v>
      </x:c>
      <x:c r="H87" s="13" t="n">
        <x:v>250</x:v>
      </x:c>
      <x:c r="I87" s="13" t="n">
        <x:v>5</x:v>
      </x:c>
      <x:c r="J87" s="13" t="str">
        <x:v>OPPORTUNITY</x:v>
      </x:c>
      <x:c r="K87" s="13" t="n">
        <x:v>0</x:v>
      </x:c>
      <x:c r="L87" s="13" t="str">
        <x:v>NONE</x:v>
      </x:c>
      <x:c r="M87" s="13" t="str">
        <x:v>n.a.</x:v>
      </x:c>
      <x:c r="N87" s="13" t="n">
        <x:v>3</x:v>
      </x:c>
      <x:c r="O87" s="13" t="n">
        <x:v>5</x:v>
      </x:c>
      <x:c r="P87" s="13" t="str">
        <x:v>RAS-S022</x:v>
      </x:c>
      <x:c r="Q87" s="13" t="str">
        <x:v>RAS-W05</x:v>
      </x:c>
      <x:c r="R87" s="13" t="str"/>
      <x:c r="S87" s="13" t="str"/>
      <x:c r="T87" s="13" t="str"/>
      <x:c r="U87" s="13" t="str"/>
      <x:c r="V87" s="13" t="str">
        <x:f>IF(U87=1,IF(T87="VALID","PASS",IF(T87="INVALID","INVALID","OPEN")),"OPEN")</x:f>
        <x:v>OPEN</x:v>
      </x:c>
    </x:row>
    <x:row r="88">
      <x:c r="B88" s="13" t="str">
        <x:v>RAS-E082</x:v>
      </x:c>
      <x:c r="C88" s="13" t="str">
        <x:v>AM-06</x:v>
      </x:c>
      <x:c r="D88" s="13" t="str">
        <x:v>TR-A</x:v>
      </x:c>
      <x:c r="E88" s="13" t="str">
        <x:v>RFP-A2</x:v>
      </x:c>
      <x:c r="F88" s="13" t="str">
        <x:v>PTC-A</x:v>
      </x:c>
      <x:c r="G88" s="13" t="str">
        <x:v>QE-04</x:v>
      </x:c>
      <x:c r="H88" s="13" t="n">
        <x:v>500</x:v>
      </x:c>
      <x:c r="I88" s="13" t="n">
        <x:v>6.25</x:v>
      </x:c>
      <x:c r="J88" s="13" t="str">
        <x:v>OPPORTUNITY</x:v>
      </x:c>
      <x:c r="K88" s="13" t="n">
        <x:v>0</x:v>
      </x:c>
      <x:c r="L88" s="13" t="str">
        <x:v>NONE</x:v>
      </x:c>
      <x:c r="M88" s="13" t="str">
        <x:v>n.a.</x:v>
      </x:c>
      <x:c r="N88" s="13" t="n">
        <x:v>4</x:v>
      </x:c>
      <x:c r="O88" s="13" t="n">
        <x:v>7</x:v>
      </x:c>
      <x:c r="P88" s="13" t="str">
        <x:v>RAS-S022</x:v>
      </x:c>
      <x:c r="Q88" s="13" t="str">
        <x:v>RAS-W05</x:v>
      </x:c>
      <x:c r="R88" s="13" t="str"/>
      <x:c r="S88" s="13" t="str"/>
      <x:c r="T88" s="13" t="str"/>
      <x:c r="U88" s="13" t="str"/>
      <x:c r="V88" s="13" t="str">
        <x:f>IF(U88=1,IF(T88="VALID","PASS",IF(T88="INVALID","INVALID","OPEN")),"OPEN")</x:f>
        <x:v>OPEN</x:v>
      </x:c>
    </x:row>
    <x:row r="89">
      <x:c r="B89" s="13" t="str">
        <x:v>RAS-E083</x:v>
      </x:c>
      <x:c r="C89" s="13" t="str">
        <x:v>AM-06</x:v>
      </x:c>
      <x:c r="D89" s="13" t="str">
        <x:v>TR-A</x:v>
      </x:c>
      <x:c r="E89" s="13" t="str">
        <x:v>RFP-A2</x:v>
      </x:c>
      <x:c r="F89" s="13" t="str">
        <x:v>PTC-A</x:v>
      </x:c>
      <x:c r="G89" s="13" t="str">
        <x:v>QE-05</x:v>
      </x:c>
      <x:c r="H89" s="13" t="n">
        <x:v>500</x:v>
      </x:c>
      <x:c r="I89" s="13" t="n">
        <x:v>6.25</x:v>
      </x:c>
      <x:c r="J89" s="13" t="str">
        <x:v>OPPORTUNITY</x:v>
      </x:c>
      <x:c r="K89" s="13" t="n">
        <x:v>24</x:v>
      </x:c>
      <x:c r="L89" s="13" t="str">
        <x:v>NONE</x:v>
      </x:c>
      <x:c r="M89" s="13" t="str">
        <x:v>n.a.</x:v>
      </x:c>
      <x:c r="N89" s="13" t="n">
        <x:v>6</x:v>
      </x:c>
      <x:c r="O89" s="13" t="n">
        <x:v>9</x:v>
      </x:c>
      <x:c r="P89" s="13" t="str">
        <x:v>RAS-S022</x:v>
      </x:c>
      <x:c r="Q89" s="13" t="str">
        <x:v>RAS-W05</x:v>
      </x:c>
      <x:c r="R89" s="13" t="str"/>
      <x:c r="S89" s="13" t="str"/>
      <x:c r="T89" s="13" t="str"/>
      <x:c r="U89" s="13" t="str"/>
      <x:c r="V89" s="13" t="str">
        <x:f>IF(U89=1,IF(T89="VALID","PASS",IF(T89="INVALID","INVALID","OPEN")),"OPEN")</x:f>
        <x:v>OPEN</x:v>
      </x:c>
    </x:row>
    <x:row r="90">
      <x:c r="B90" s="13" t="str">
        <x:v>RAS-E084</x:v>
      </x:c>
      <x:c r="C90" s="13" t="str">
        <x:v>AM-06</x:v>
      </x:c>
      <x:c r="D90" s="13" t="str">
        <x:v>TR-A</x:v>
      </x:c>
      <x:c r="E90" s="13" t="str">
        <x:v>RFP-A2</x:v>
      </x:c>
      <x:c r="F90" s="13" t="str">
        <x:v>PTC-A</x:v>
      </x:c>
      <x:c r="G90" s="13" t="str">
        <x:v>QE-06</x:v>
      </x:c>
      <x:c r="H90" s="13" t="n">
        <x:v>500</x:v>
      </x:c>
      <x:c r="I90" s="13" t="n">
        <x:v>25</x:v>
      </x:c>
      <x:c r="J90" s="13" t="str">
        <x:v>OPPORTUNITY</x:v>
      </x:c>
      <x:c r="K90" s="13" t="n">
        <x:v>48</x:v>
      </x:c>
      <x:c r="L90" s="13" t="str">
        <x:v>ENERGY+NETWORK+PRIMARY TIME</x:v>
      </x:c>
      <x:c r="M90" s="13" t="str">
        <x:v>PTC-B</x:v>
      </x:c>
      <x:c r="N90" s="13" t="n">
        <x:v>8</x:v>
      </x:c>
      <x:c r="O90" s="13" t="n">
        <x:v>11</x:v>
      </x:c>
      <x:c r="P90" s="13" t="str">
        <x:v>RAS-S022</x:v>
      </x:c>
      <x:c r="Q90" s="13" t="str">
        <x:v>RAS-W05</x:v>
      </x:c>
      <x:c r="R90" s="13" t="str"/>
      <x:c r="S90" s="13" t="str"/>
      <x:c r="T90" s="13" t="str"/>
      <x:c r="U90" s="13" t="str"/>
      <x:c r="V90" s="13" t="str">
        <x:f>IF(U90=1,IF(T90="VALID","PASS",IF(T90="INVALID","INVALID","OPEN")),"OPEN")</x:f>
        <x:v>OPEN</x:v>
      </x:c>
    </x:row>
    <x:row r="91">
      <x:c r="B91" s="13" t="str">
        <x:v>RAS-E085</x:v>
      </x:c>
      <x:c r="C91" s="13" t="str">
        <x:v>AM-06</x:v>
      </x:c>
      <x:c r="D91" s="13" t="str">
        <x:v>TR-A</x:v>
      </x:c>
      <x:c r="E91" s="13" t="str">
        <x:v>RFP-B1</x:v>
      </x:c>
      <x:c r="F91" s="13" t="str">
        <x:v>PTC-B</x:v>
      </x:c>
      <x:c r="G91" s="13" t="str">
        <x:v>QE-01</x:v>
      </x:c>
      <x:c r="H91" s="13" t="n">
        <x:v>0</x:v>
      </x:c>
      <x:c r="I91" s="13" t="n">
        <x:v>0</x:v>
      </x:c>
      <x:c r="J91" s="13" t="str">
        <x:v>PROHIBITED</x:v>
      </x:c>
      <x:c r="K91" s="13" t="n">
        <x:v>0</x:v>
      </x:c>
      <x:c r="L91" s="13" t="str">
        <x:v>NONE</x:v>
      </x:c>
      <x:c r="M91" s="13" t="str">
        <x:v>n.a.</x:v>
      </x:c>
      <x:c r="N91" s="13" t="n">
        <x:v>2</x:v>
      </x:c>
      <x:c r="O91" s="13" t="n">
        <x:v>1</x:v>
      </x:c>
      <x:c r="P91" s="13" t="str">
        <x:v>RAS-S023</x:v>
      </x:c>
      <x:c r="Q91" s="13" t="str">
        <x:v>RAS-W09</x:v>
      </x:c>
      <x:c r="R91" s="13" t="str"/>
      <x:c r="S91" s="13" t="str"/>
      <x:c r="T91" s="13" t="str"/>
      <x:c r="U91" s="13" t="str"/>
      <x:c r="V91" s="13" t="str">
        <x:f>IF(U91=1,IF(T91="VALID","PASS",IF(T91="INVALID","INVALID","OPEN")),"OPEN")</x:f>
        <x:v>OPEN</x:v>
      </x:c>
    </x:row>
    <x:row r="92">
      <x:c r="B92" s="13" t="str">
        <x:v>RAS-E086</x:v>
      </x:c>
      <x:c r="C92" s="13" t="str">
        <x:v>AM-06</x:v>
      </x:c>
      <x:c r="D92" s="13" t="str">
        <x:v>TR-A</x:v>
      </x:c>
      <x:c r="E92" s="13" t="str">
        <x:v>RFP-B1</x:v>
      </x:c>
      <x:c r="F92" s="13" t="str">
        <x:v>PTC-B</x:v>
      </x:c>
      <x:c r="G92" s="13" t="str">
        <x:v>QE-02</x:v>
      </x:c>
      <x:c r="H92" s="13" t="n">
        <x:v>100</x:v>
      </x:c>
      <x:c r="I92" s="13" t="n">
        <x:v>2.5</x:v>
      </x:c>
      <x:c r="J92" s="13" t="str">
        <x:v>OPPORTUNITY</x:v>
      </x:c>
      <x:c r="K92" s="13" t="n">
        <x:v>0</x:v>
      </x:c>
      <x:c r="L92" s="13" t="str">
        <x:v>NONE</x:v>
      </x:c>
      <x:c r="M92" s="13" t="str">
        <x:v>n.a.</x:v>
      </x:c>
      <x:c r="N92" s="13" t="n">
        <x:v>3</x:v>
      </x:c>
      <x:c r="O92" s="13" t="n">
        <x:v>3</x:v>
      </x:c>
      <x:c r="P92" s="13" t="str">
        <x:v>RAS-S023</x:v>
      </x:c>
      <x:c r="Q92" s="13" t="str">
        <x:v>RAS-W09</x:v>
      </x:c>
      <x:c r="R92" s="13" t="str"/>
      <x:c r="S92" s="13" t="str"/>
      <x:c r="T92" s="13" t="str"/>
      <x:c r="U92" s="13" t="str"/>
      <x:c r="V92" s="13" t="str">
        <x:f>IF(U92=1,IF(T92="VALID","PASS",IF(T92="INVALID","INVALID","OPEN")),"OPEN")</x:f>
        <x:v>OPEN</x:v>
      </x:c>
    </x:row>
    <x:row r="93">
      <x:c r="B93" s="13" t="str">
        <x:v>RAS-E087</x:v>
      </x:c>
      <x:c r="C93" s="13" t="str">
        <x:v>AM-06</x:v>
      </x:c>
      <x:c r="D93" s="13" t="str">
        <x:v>TR-A</x:v>
      </x:c>
      <x:c r="E93" s="13" t="str">
        <x:v>RFP-B1</x:v>
      </x:c>
      <x:c r="F93" s="13" t="str">
        <x:v>PTC-B</x:v>
      </x:c>
      <x:c r="G93" s="13" t="str">
        <x:v>QE-03</x:v>
      </x:c>
      <x:c r="H93" s="13" t="n">
        <x:v>250</x:v>
      </x:c>
      <x:c r="I93" s="13" t="n">
        <x:v>5</x:v>
      </x:c>
      <x:c r="J93" s="13" t="str">
        <x:v>OPPORTUNITY</x:v>
      </x:c>
      <x:c r="K93" s="13" t="n">
        <x:v>0</x:v>
      </x:c>
      <x:c r="L93" s="13" t="str">
        <x:v>NONE</x:v>
      </x:c>
      <x:c r="M93" s="13" t="str">
        <x:v>n.a.</x:v>
      </x:c>
      <x:c r="N93" s="13" t="n">
        <x:v>3</x:v>
      </x:c>
      <x:c r="O93" s="13" t="n">
        <x:v>5</x:v>
      </x:c>
      <x:c r="P93" s="13" t="str">
        <x:v>RAS-S023</x:v>
      </x:c>
      <x:c r="Q93" s="13" t="str">
        <x:v>RAS-W09</x:v>
      </x:c>
      <x:c r="R93" s="13" t="str"/>
      <x:c r="S93" s="13" t="str"/>
      <x:c r="T93" s="13" t="str"/>
      <x:c r="U93" s="13" t="str"/>
      <x:c r="V93" s="13" t="str">
        <x:f>IF(U93=1,IF(T93="VALID","PASS",IF(T93="INVALID","INVALID","OPEN")),"OPEN")</x:f>
        <x:v>OPEN</x:v>
      </x:c>
    </x:row>
    <x:row r="94">
      <x:c r="B94" s="13" t="str">
        <x:v>RAS-E088</x:v>
      </x:c>
      <x:c r="C94" s="13" t="str">
        <x:v>AM-06</x:v>
      </x:c>
      <x:c r="D94" s="13" t="str">
        <x:v>TR-A</x:v>
      </x:c>
      <x:c r="E94" s="13" t="str">
        <x:v>RFP-B1</x:v>
      </x:c>
      <x:c r="F94" s="13" t="str">
        <x:v>PTC-B</x:v>
      </x:c>
      <x:c r="G94" s="13" t="str">
        <x:v>QE-04</x:v>
      </x:c>
      <x:c r="H94" s="13" t="n">
        <x:v>500</x:v>
      </x:c>
      <x:c r="I94" s="13" t="n">
        <x:v>6.25</x:v>
      </x:c>
      <x:c r="J94" s="13" t="str">
        <x:v>OPPORTUNITY</x:v>
      </x:c>
      <x:c r="K94" s="13" t="n">
        <x:v>0</x:v>
      </x:c>
      <x:c r="L94" s="13" t="str">
        <x:v>NONE</x:v>
      </x:c>
      <x:c r="M94" s="13" t="str">
        <x:v>n.a.</x:v>
      </x:c>
      <x:c r="N94" s="13" t="n">
        <x:v>4</x:v>
      </x:c>
      <x:c r="O94" s="13" t="n">
        <x:v>7</x:v>
      </x:c>
      <x:c r="P94" s="13" t="str">
        <x:v>RAS-S023</x:v>
      </x:c>
      <x:c r="Q94" s="13" t="str">
        <x:v>RAS-W09</x:v>
      </x:c>
      <x:c r="R94" s="13" t="str"/>
      <x:c r="S94" s="13" t="str"/>
      <x:c r="T94" s="13" t="str"/>
      <x:c r="U94" s="13" t="str"/>
      <x:c r="V94" s="13" t="str">
        <x:f>IF(U94=1,IF(T94="VALID","PASS",IF(T94="INVALID","INVALID","OPEN")),"OPEN")</x:f>
        <x:v>OPEN</x:v>
      </x:c>
    </x:row>
    <x:row r="95">
      <x:c r="B95" s="13" t="str">
        <x:v>RAS-E089</x:v>
      </x:c>
      <x:c r="C95" s="13" t="str">
        <x:v>AM-06</x:v>
      </x:c>
      <x:c r="D95" s="13" t="str">
        <x:v>TR-A</x:v>
      </x:c>
      <x:c r="E95" s="13" t="str">
        <x:v>RFP-B1</x:v>
      </x:c>
      <x:c r="F95" s="13" t="str">
        <x:v>PTC-B</x:v>
      </x:c>
      <x:c r="G95" s="13" t="str">
        <x:v>QE-05</x:v>
      </x:c>
      <x:c r="H95" s="13" t="n">
        <x:v>500</x:v>
      </x:c>
      <x:c r="I95" s="13" t="n">
        <x:v>6.25</x:v>
      </x:c>
      <x:c r="J95" s="13" t="str">
        <x:v>OPPORTUNITY</x:v>
      </x:c>
      <x:c r="K95" s="13" t="n">
        <x:v>24</x:v>
      </x:c>
      <x:c r="L95" s="13" t="str">
        <x:v>NONE</x:v>
      </x:c>
      <x:c r="M95" s="13" t="str">
        <x:v>n.a.</x:v>
      </x:c>
      <x:c r="N95" s="13" t="n">
        <x:v>6</x:v>
      </x:c>
      <x:c r="O95" s="13" t="n">
        <x:v>9</x:v>
      </x:c>
      <x:c r="P95" s="13" t="str">
        <x:v>RAS-S023</x:v>
      </x:c>
      <x:c r="Q95" s="13" t="str">
        <x:v>RAS-W09</x:v>
      </x:c>
      <x:c r="R95" s="13" t="str"/>
      <x:c r="S95" s="13" t="str"/>
      <x:c r="T95" s="13" t="str"/>
      <x:c r="U95" s="13" t="str"/>
      <x:c r="V95" s="13" t="str">
        <x:f>IF(U95=1,IF(T95="VALID","PASS",IF(T95="INVALID","INVALID","OPEN")),"OPEN")</x:f>
        <x:v>OPEN</x:v>
      </x:c>
    </x:row>
    <x:row r="96">
      <x:c r="B96" s="13" t="str">
        <x:v>RAS-E090</x:v>
      </x:c>
      <x:c r="C96" s="13" t="str">
        <x:v>AM-06</x:v>
      </x:c>
      <x:c r="D96" s="13" t="str">
        <x:v>TR-A</x:v>
      </x:c>
      <x:c r="E96" s="13" t="str">
        <x:v>RFP-B1</x:v>
      </x:c>
      <x:c r="F96" s="13" t="str">
        <x:v>PTC-B</x:v>
      </x:c>
      <x:c r="G96" s="13" t="str">
        <x:v>QE-06</x:v>
      </x:c>
      <x:c r="H96" s="13" t="n">
        <x:v>500</x:v>
      </x:c>
      <x:c r="I96" s="13" t="n">
        <x:v>25</x:v>
      </x:c>
      <x:c r="J96" s="13" t="str">
        <x:v>OPPORTUNITY</x:v>
      </x:c>
      <x:c r="K96" s="13" t="n">
        <x:v>48</x:v>
      </x:c>
      <x:c r="L96" s="13" t="str">
        <x:v>ENERGY+NETWORK+PRIMARY TIME</x:v>
      </x:c>
      <x:c r="M96" s="13" t="str">
        <x:v>PTC-C</x:v>
      </x:c>
      <x:c r="N96" s="13" t="n">
        <x:v>8</x:v>
      </x:c>
      <x:c r="O96" s="13" t="n">
        <x:v>11</x:v>
      </x:c>
      <x:c r="P96" s="13" t="str">
        <x:v>RAS-S023</x:v>
      </x:c>
      <x:c r="Q96" s="13" t="str">
        <x:v>RAS-W09</x:v>
      </x:c>
      <x:c r="R96" s="13" t="str"/>
      <x:c r="S96" s="13" t="str"/>
      <x:c r="T96" s="13" t="str"/>
      <x:c r="U96" s="13" t="str"/>
      <x:c r="V96" s="13" t="str">
        <x:f>IF(U96=1,IF(T96="VALID","PASS",IF(T96="INVALID","INVALID","OPEN")),"OPEN")</x:f>
        <x:v>OPEN</x:v>
      </x:c>
    </x:row>
    <x:row r="97">
      <x:c r="B97" s="13" t="str">
        <x:v>RAS-E091</x:v>
      </x:c>
      <x:c r="C97" s="13" t="str">
        <x:v>AM-06</x:v>
      </x:c>
      <x:c r="D97" s="13" t="str">
        <x:v>TR-A</x:v>
      </x:c>
      <x:c r="E97" s="13" t="str">
        <x:v>RFP-B2</x:v>
      </x:c>
      <x:c r="F97" s="13" t="str">
        <x:v>PTC-B</x:v>
      </x:c>
      <x:c r="G97" s="13" t="str">
        <x:v>QE-01</x:v>
      </x:c>
      <x:c r="H97" s="13" t="n">
        <x:v>0</x:v>
      </x:c>
      <x:c r="I97" s="13" t="n">
        <x:v>0</x:v>
      </x:c>
      <x:c r="J97" s="13" t="str">
        <x:v>PROHIBITED</x:v>
      </x:c>
      <x:c r="K97" s="13" t="n">
        <x:v>0</x:v>
      </x:c>
      <x:c r="L97" s="13" t="str">
        <x:v>NONE</x:v>
      </x:c>
      <x:c r="M97" s="13" t="str">
        <x:v>n.a.</x:v>
      </x:c>
      <x:c r="N97" s="13" t="n">
        <x:v>2</x:v>
      </x:c>
      <x:c r="O97" s="13" t="n">
        <x:v>1</x:v>
      </x:c>
      <x:c r="P97" s="13" t="str">
        <x:v>RAS-S024</x:v>
      </x:c>
      <x:c r="Q97" s="13" t="str">
        <x:v>RAS-W13</x:v>
      </x:c>
      <x:c r="R97" s="13" t="str"/>
      <x:c r="S97" s="13" t="str"/>
      <x:c r="T97" s="13" t="str"/>
      <x:c r="U97" s="13" t="str"/>
      <x:c r="V97" s="13" t="str">
        <x:f>IF(U97=1,IF(T97="VALID","PASS",IF(T97="INVALID","INVALID","OPEN")),"OPEN")</x:f>
        <x:v>OPEN</x:v>
      </x:c>
    </x:row>
    <x:row r="98">
      <x:c r="B98" s="13" t="str">
        <x:v>RAS-E092</x:v>
      </x:c>
      <x:c r="C98" s="13" t="str">
        <x:v>AM-06</x:v>
      </x:c>
      <x:c r="D98" s="13" t="str">
        <x:v>TR-A</x:v>
      </x:c>
      <x:c r="E98" s="13" t="str">
        <x:v>RFP-B2</x:v>
      </x:c>
      <x:c r="F98" s="13" t="str">
        <x:v>PTC-B</x:v>
      </x:c>
      <x:c r="G98" s="13" t="str">
        <x:v>QE-02</x:v>
      </x:c>
      <x:c r="H98" s="13" t="n">
        <x:v>100</x:v>
      </x:c>
      <x:c r="I98" s="13" t="n">
        <x:v>2.5</x:v>
      </x:c>
      <x:c r="J98" s="13" t="str">
        <x:v>OPPORTUNITY</x:v>
      </x:c>
      <x:c r="K98" s="13" t="n">
        <x:v>0</x:v>
      </x:c>
      <x:c r="L98" s="13" t="str">
        <x:v>NONE</x:v>
      </x:c>
      <x:c r="M98" s="13" t="str">
        <x:v>n.a.</x:v>
      </x:c>
      <x:c r="N98" s="13" t="n">
        <x:v>3</x:v>
      </x:c>
      <x:c r="O98" s="13" t="n">
        <x:v>3</x:v>
      </x:c>
      <x:c r="P98" s="13" t="str">
        <x:v>RAS-S024</x:v>
      </x:c>
      <x:c r="Q98" s="13" t="str">
        <x:v>RAS-W13</x:v>
      </x:c>
      <x:c r="R98" s="13" t="str"/>
      <x:c r="S98" s="13" t="str"/>
      <x:c r="T98" s="13" t="str"/>
      <x:c r="U98" s="13" t="str"/>
      <x:c r="V98" s="13" t="str">
        <x:f>IF(U98=1,IF(T98="VALID","PASS",IF(T98="INVALID","INVALID","OPEN")),"OPEN")</x:f>
        <x:v>OPEN</x:v>
      </x:c>
    </x:row>
    <x:row r="99">
      <x:c r="B99" s="13" t="str">
        <x:v>RAS-E093</x:v>
      </x:c>
      <x:c r="C99" s="13" t="str">
        <x:v>AM-06</x:v>
      </x:c>
      <x:c r="D99" s="13" t="str">
        <x:v>TR-A</x:v>
      </x:c>
      <x:c r="E99" s="13" t="str">
        <x:v>RFP-B2</x:v>
      </x:c>
      <x:c r="F99" s="13" t="str">
        <x:v>PTC-B</x:v>
      </x:c>
      <x:c r="G99" s="13" t="str">
        <x:v>QE-03</x:v>
      </x:c>
      <x:c r="H99" s="13" t="n">
        <x:v>250</x:v>
      </x:c>
      <x:c r="I99" s="13" t="n">
        <x:v>5</x:v>
      </x:c>
      <x:c r="J99" s="13" t="str">
        <x:v>OPPORTUNITY</x:v>
      </x:c>
      <x:c r="K99" s="13" t="n">
        <x:v>0</x:v>
      </x:c>
      <x:c r="L99" s="13" t="str">
        <x:v>NONE</x:v>
      </x:c>
      <x:c r="M99" s="13" t="str">
        <x:v>n.a.</x:v>
      </x:c>
      <x:c r="N99" s="13" t="n">
        <x:v>3</x:v>
      </x:c>
      <x:c r="O99" s="13" t="n">
        <x:v>5</x:v>
      </x:c>
      <x:c r="P99" s="13" t="str">
        <x:v>RAS-S024</x:v>
      </x:c>
      <x:c r="Q99" s="13" t="str">
        <x:v>RAS-W13</x:v>
      </x:c>
      <x:c r="R99" s="13" t="str"/>
      <x:c r="S99" s="13" t="str"/>
      <x:c r="T99" s="13" t="str"/>
      <x:c r="U99" s="13" t="str"/>
      <x:c r="V99" s="13" t="str">
        <x:f>IF(U99=1,IF(T99="VALID","PASS",IF(T99="INVALID","INVALID","OPEN")),"OPEN")</x:f>
        <x:v>OPEN</x:v>
      </x:c>
    </x:row>
    <x:row r="100">
      <x:c r="B100" s="13" t="str">
        <x:v>RAS-E094</x:v>
      </x:c>
      <x:c r="C100" s="13" t="str">
        <x:v>AM-06</x:v>
      </x:c>
      <x:c r="D100" s="13" t="str">
        <x:v>TR-A</x:v>
      </x:c>
      <x:c r="E100" s="13" t="str">
        <x:v>RFP-B2</x:v>
      </x:c>
      <x:c r="F100" s="13" t="str">
        <x:v>PTC-B</x:v>
      </x:c>
      <x:c r="G100" s="13" t="str">
        <x:v>QE-04</x:v>
      </x:c>
      <x:c r="H100" s="13" t="n">
        <x:v>500</x:v>
      </x:c>
      <x:c r="I100" s="13" t="n">
        <x:v>6.25</x:v>
      </x:c>
      <x:c r="J100" s="13" t="str">
        <x:v>OPPORTUNITY</x:v>
      </x:c>
      <x:c r="K100" s="13" t="n">
        <x:v>0</x:v>
      </x:c>
      <x:c r="L100" s="13" t="str">
        <x:v>NONE</x:v>
      </x:c>
      <x:c r="M100" s="13" t="str">
        <x:v>n.a.</x:v>
      </x:c>
      <x:c r="N100" s="13" t="n">
        <x:v>4</x:v>
      </x:c>
      <x:c r="O100" s="13" t="n">
        <x:v>7</x:v>
      </x:c>
      <x:c r="P100" s="13" t="str">
        <x:v>RAS-S024</x:v>
      </x:c>
      <x:c r="Q100" s="13" t="str">
        <x:v>RAS-W13</x:v>
      </x:c>
      <x:c r="R100" s="13" t="str"/>
      <x:c r="S100" s="13" t="str"/>
      <x:c r="T100" s="13" t="str"/>
      <x:c r="U100" s="13" t="str"/>
      <x:c r="V100" s="13" t="str">
        <x:f>IF(U100=1,IF(T100="VALID","PASS",IF(T100="INVALID","INVALID","OPEN")),"OPEN")</x:f>
        <x:v>OPEN</x:v>
      </x:c>
    </x:row>
    <x:row r="101">
      <x:c r="B101" s="13" t="str">
        <x:v>RAS-E095</x:v>
      </x:c>
      <x:c r="C101" s="13" t="str">
        <x:v>AM-06</x:v>
      </x:c>
      <x:c r="D101" s="13" t="str">
        <x:v>TR-A</x:v>
      </x:c>
      <x:c r="E101" s="13" t="str">
        <x:v>RFP-B2</x:v>
      </x:c>
      <x:c r="F101" s="13" t="str">
        <x:v>PTC-B</x:v>
      </x:c>
      <x:c r="G101" s="13" t="str">
        <x:v>QE-05</x:v>
      </x:c>
      <x:c r="H101" s="13" t="n">
        <x:v>500</x:v>
      </x:c>
      <x:c r="I101" s="13" t="n">
        <x:v>6.25</x:v>
      </x:c>
      <x:c r="J101" s="13" t="str">
        <x:v>OPPORTUNITY</x:v>
      </x:c>
      <x:c r="K101" s="13" t="n">
        <x:v>24</x:v>
      </x:c>
      <x:c r="L101" s="13" t="str">
        <x:v>NONE</x:v>
      </x:c>
      <x:c r="M101" s="13" t="str">
        <x:v>n.a.</x:v>
      </x:c>
      <x:c r="N101" s="13" t="n">
        <x:v>6</x:v>
      </x:c>
      <x:c r="O101" s="13" t="n">
        <x:v>9</x:v>
      </x:c>
      <x:c r="P101" s="13" t="str">
        <x:v>RAS-S024</x:v>
      </x:c>
      <x:c r="Q101" s="13" t="str">
        <x:v>RAS-W13</x:v>
      </x:c>
      <x:c r="R101" s="13" t="str"/>
      <x:c r="S101" s="13" t="str"/>
      <x:c r="T101" s="13" t="str"/>
      <x:c r="U101" s="13" t="str"/>
      <x:c r="V101" s="13" t="str">
        <x:f>IF(U101=1,IF(T101="VALID","PASS",IF(T101="INVALID","INVALID","OPEN")),"OPEN")</x:f>
        <x:v>OPEN</x:v>
      </x:c>
    </x:row>
    <x:row r="102">
      <x:c r="B102" s="13" t="str">
        <x:v>RAS-E096</x:v>
      </x:c>
      <x:c r="C102" s="13" t="str">
        <x:v>AM-06</x:v>
      </x:c>
      <x:c r="D102" s="13" t="str">
        <x:v>TR-A</x:v>
      </x:c>
      <x:c r="E102" s="13" t="str">
        <x:v>RFP-B2</x:v>
      </x:c>
      <x:c r="F102" s="13" t="str">
        <x:v>PTC-B</x:v>
      </x:c>
      <x:c r="G102" s="13" t="str">
        <x:v>QE-06</x:v>
      </x:c>
      <x:c r="H102" s="13" t="n">
        <x:v>500</x:v>
      </x:c>
      <x:c r="I102" s="13" t="n">
        <x:v>25</x:v>
      </x:c>
      <x:c r="J102" s="13" t="str">
        <x:v>OPPORTUNITY</x:v>
      </x:c>
      <x:c r="K102" s="13" t="n">
        <x:v>48</x:v>
      </x:c>
      <x:c r="L102" s="13" t="str">
        <x:v>ENERGY+NETWORK+PRIMARY TIME</x:v>
      </x:c>
      <x:c r="M102" s="13" t="str">
        <x:v>PTC-C</x:v>
      </x:c>
      <x:c r="N102" s="13" t="n">
        <x:v>8</x:v>
      </x:c>
      <x:c r="O102" s="13" t="n">
        <x:v>11</x:v>
      </x:c>
      <x:c r="P102" s="13" t="str">
        <x:v>RAS-S024</x:v>
      </x:c>
      <x:c r="Q102" s="13" t="str">
        <x:v>RAS-W13</x:v>
      </x:c>
      <x:c r="R102" s="13" t="str"/>
      <x:c r="S102" s="13" t="str"/>
      <x:c r="T102" s="13" t="str"/>
      <x:c r="U102" s="13" t="str"/>
      <x:c r="V102" s="13" t="str">
        <x:f>IF(U102=1,IF(T102="VALID","PASS",IF(T102="INVALID","INVALID","OPEN")),"OPEN")</x:f>
        <x:v>OPEN</x:v>
      </x:c>
    </x:row>
    <x:row r="103">
      <x:c r="B103" s="13" t="str">
        <x:v>RAS-E097</x:v>
      </x:c>
      <x:c r="C103" s="13" t="str">
        <x:v>AM-06</x:v>
      </x:c>
      <x:c r="D103" s="13" t="str">
        <x:v>TR-A</x:v>
      </x:c>
      <x:c r="E103" s="13" t="str">
        <x:v>RFP-C1</x:v>
      </x:c>
      <x:c r="F103" s="13" t="str">
        <x:v>PTC-C</x:v>
      </x:c>
      <x:c r="G103" s="13" t="str">
        <x:v>QE-01</x:v>
      </x:c>
      <x:c r="H103" s="13" t="n">
        <x:v>0</x:v>
      </x:c>
      <x:c r="I103" s="13" t="n">
        <x:v>0</x:v>
      </x:c>
      <x:c r="J103" s="13" t="str">
        <x:v>PROHIBITED</x:v>
      </x:c>
      <x:c r="K103" s="13" t="n">
        <x:v>0</x:v>
      </x:c>
      <x:c r="L103" s="13" t="str">
        <x:v>NONE</x:v>
      </x:c>
      <x:c r="M103" s="13" t="str">
        <x:v>n.a.</x:v>
      </x:c>
      <x:c r="N103" s="13" t="n">
        <x:v>2</x:v>
      </x:c>
      <x:c r="O103" s="13" t="n">
        <x:v>1</x:v>
      </x:c>
      <x:c r="P103" s="13" t="str">
        <x:v>RAS-S025</x:v>
      </x:c>
      <x:c r="Q103" s="13" t="str">
        <x:v>RAS-W17</x:v>
      </x:c>
      <x:c r="R103" s="13" t="str"/>
      <x:c r="S103" s="13" t="str"/>
      <x:c r="T103" s="13" t="str"/>
      <x:c r="U103" s="13" t="str"/>
      <x:c r="V103" s="13" t="str">
        <x:f>IF(U103=1,IF(T103="VALID","PASS",IF(T103="INVALID","INVALID","OPEN")),"OPEN")</x:f>
        <x:v>OPEN</x:v>
      </x:c>
    </x:row>
    <x:row r="104">
      <x:c r="B104" s="13" t="str">
        <x:v>RAS-E098</x:v>
      </x:c>
      <x:c r="C104" s="13" t="str">
        <x:v>AM-06</x:v>
      </x:c>
      <x:c r="D104" s="13" t="str">
        <x:v>TR-A</x:v>
      </x:c>
      <x:c r="E104" s="13" t="str">
        <x:v>RFP-C1</x:v>
      </x:c>
      <x:c r="F104" s="13" t="str">
        <x:v>PTC-C</x:v>
      </x:c>
      <x:c r="G104" s="13" t="str">
        <x:v>QE-02</x:v>
      </x:c>
      <x:c r="H104" s="13" t="n">
        <x:v>100</x:v>
      </x:c>
      <x:c r="I104" s="13" t="n">
        <x:v>2.5</x:v>
      </x:c>
      <x:c r="J104" s="13" t="str">
        <x:v>OPPORTUNITY</x:v>
      </x:c>
      <x:c r="K104" s="13" t="n">
        <x:v>0</x:v>
      </x:c>
      <x:c r="L104" s="13" t="str">
        <x:v>NONE</x:v>
      </x:c>
      <x:c r="M104" s="13" t="str">
        <x:v>n.a.</x:v>
      </x:c>
      <x:c r="N104" s="13" t="n">
        <x:v>3</x:v>
      </x:c>
      <x:c r="O104" s="13" t="n">
        <x:v>3</x:v>
      </x:c>
      <x:c r="P104" s="13" t="str">
        <x:v>RAS-S025</x:v>
      </x:c>
      <x:c r="Q104" s="13" t="str">
        <x:v>RAS-W17</x:v>
      </x:c>
      <x:c r="R104" s="13" t="str"/>
      <x:c r="S104" s="13" t="str"/>
      <x:c r="T104" s="13" t="str"/>
      <x:c r="U104" s="13" t="str"/>
      <x:c r="V104" s="13" t="str">
        <x:f>IF(U104=1,IF(T104="VALID","PASS",IF(T104="INVALID","INVALID","OPEN")),"OPEN")</x:f>
        <x:v>OPEN</x:v>
      </x:c>
    </x:row>
    <x:row r="105">
      <x:c r="B105" s="13" t="str">
        <x:v>RAS-E099</x:v>
      </x:c>
      <x:c r="C105" s="13" t="str">
        <x:v>AM-06</x:v>
      </x:c>
      <x:c r="D105" s="13" t="str">
        <x:v>TR-A</x:v>
      </x:c>
      <x:c r="E105" s="13" t="str">
        <x:v>RFP-C1</x:v>
      </x:c>
      <x:c r="F105" s="13" t="str">
        <x:v>PTC-C</x:v>
      </x:c>
      <x:c r="G105" s="13" t="str">
        <x:v>QE-03</x:v>
      </x:c>
      <x:c r="H105" s="13" t="n">
        <x:v>250</x:v>
      </x:c>
      <x:c r="I105" s="13" t="n">
        <x:v>5</x:v>
      </x:c>
      <x:c r="J105" s="13" t="str">
        <x:v>OPPORTUNITY</x:v>
      </x:c>
      <x:c r="K105" s="13" t="n">
        <x:v>0</x:v>
      </x:c>
      <x:c r="L105" s="13" t="str">
        <x:v>NONE</x:v>
      </x:c>
      <x:c r="M105" s="13" t="str">
        <x:v>n.a.</x:v>
      </x:c>
      <x:c r="N105" s="13" t="n">
        <x:v>3</x:v>
      </x:c>
      <x:c r="O105" s="13" t="n">
        <x:v>5</x:v>
      </x:c>
      <x:c r="P105" s="13" t="str">
        <x:v>RAS-S025</x:v>
      </x:c>
      <x:c r="Q105" s="13" t="str">
        <x:v>RAS-W17</x:v>
      </x:c>
      <x:c r="R105" s="13" t="str"/>
      <x:c r="S105" s="13" t="str"/>
      <x:c r="T105" s="13" t="str"/>
      <x:c r="U105" s="13" t="str"/>
      <x:c r="V105" s="13" t="str">
        <x:f>IF(U105=1,IF(T105="VALID","PASS",IF(T105="INVALID","INVALID","OPEN")),"OPEN")</x:f>
        <x:v>OPEN</x:v>
      </x:c>
    </x:row>
    <x:row r="106">
      <x:c r="B106" s="13" t="str">
        <x:v>RAS-E100</x:v>
      </x:c>
      <x:c r="C106" s="13" t="str">
        <x:v>AM-06</x:v>
      </x:c>
      <x:c r="D106" s="13" t="str">
        <x:v>TR-A</x:v>
      </x:c>
      <x:c r="E106" s="13" t="str">
        <x:v>RFP-C1</x:v>
      </x:c>
      <x:c r="F106" s="13" t="str">
        <x:v>PTC-C</x:v>
      </x:c>
      <x:c r="G106" s="13" t="str">
        <x:v>QE-04</x:v>
      </x:c>
      <x:c r="H106" s="13" t="n">
        <x:v>500</x:v>
      </x:c>
      <x:c r="I106" s="13" t="n">
        <x:v>6.25</x:v>
      </x:c>
      <x:c r="J106" s="13" t="str">
        <x:v>OPPORTUNITY</x:v>
      </x:c>
      <x:c r="K106" s="13" t="n">
        <x:v>0</x:v>
      </x:c>
      <x:c r="L106" s="13" t="str">
        <x:v>NONE</x:v>
      </x:c>
      <x:c r="M106" s="13" t="str">
        <x:v>n.a.</x:v>
      </x:c>
      <x:c r="N106" s="13" t="n">
        <x:v>4</x:v>
      </x:c>
      <x:c r="O106" s="13" t="n">
        <x:v>7</x:v>
      </x:c>
      <x:c r="P106" s="13" t="str">
        <x:v>RAS-S025</x:v>
      </x:c>
      <x:c r="Q106" s="13" t="str">
        <x:v>RAS-W17</x:v>
      </x:c>
      <x:c r="R106" s="13" t="str"/>
      <x:c r="S106" s="13" t="str"/>
      <x:c r="T106" s="13" t="str"/>
      <x:c r="U106" s="13" t="str"/>
      <x:c r="V106" s="13" t="str">
        <x:f>IF(U106=1,IF(T106="VALID","PASS",IF(T106="INVALID","INVALID","OPEN")),"OPEN")</x:f>
        <x:v>OPEN</x:v>
      </x:c>
    </x:row>
    <x:row r="107">
      <x:c r="B107" s="13" t="str">
        <x:v>RAS-E101</x:v>
      </x:c>
      <x:c r="C107" s="13" t="str">
        <x:v>AM-06</x:v>
      </x:c>
      <x:c r="D107" s="13" t="str">
        <x:v>TR-A</x:v>
      </x:c>
      <x:c r="E107" s="13" t="str">
        <x:v>RFP-C1</x:v>
      </x:c>
      <x:c r="F107" s="13" t="str">
        <x:v>PTC-C</x:v>
      </x:c>
      <x:c r="G107" s="13" t="str">
        <x:v>QE-05</x:v>
      </x:c>
      <x:c r="H107" s="13" t="n">
        <x:v>500</x:v>
      </x:c>
      <x:c r="I107" s="13" t="n">
        <x:v>6.25</x:v>
      </x:c>
      <x:c r="J107" s="13" t="str">
        <x:v>OPPORTUNITY</x:v>
      </x:c>
      <x:c r="K107" s="13" t="n">
        <x:v>24</x:v>
      </x:c>
      <x:c r="L107" s="13" t="str">
        <x:v>NONE</x:v>
      </x:c>
      <x:c r="M107" s="13" t="str">
        <x:v>n.a.</x:v>
      </x:c>
      <x:c r="N107" s="13" t="n">
        <x:v>6</x:v>
      </x:c>
      <x:c r="O107" s="13" t="n">
        <x:v>9</x:v>
      </x:c>
      <x:c r="P107" s="13" t="str">
        <x:v>RAS-S025</x:v>
      </x:c>
      <x:c r="Q107" s="13" t="str">
        <x:v>RAS-W17</x:v>
      </x:c>
      <x:c r="R107" s="13" t="str"/>
      <x:c r="S107" s="13" t="str"/>
      <x:c r="T107" s="13" t="str"/>
      <x:c r="U107" s="13" t="str"/>
      <x:c r="V107" s="13" t="str">
        <x:f>IF(U107=1,IF(T107="VALID","PASS",IF(T107="INVALID","INVALID","OPEN")),"OPEN")</x:f>
        <x:v>OPEN</x:v>
      </x:c>
    </x:row>
    <x:row r="108">
      <x:c r="B108" s="13" t="str">
        <x:v>RAS-E102</x:v>
      </x:c>
      <x:c r="C108" s="13" t="str">
        <x:v>AM-06</x:v>
      </x:c>
      <x:c r="D108" s="13" t="str">
        <x:v>TR-A</x:v>
      </x:c>
      <x:c r="E108" s="13" t="str">
        <x:v>RFP-C1</x:v>
      </x:c>
      <x:c r="F108" s="13" t="str">
        <x:v>PTC-C</x:v>
      </x:c>
      <x:c r="G108" s="13" t="str">
        <x:v>QE-06</x:v>
      </x:c>
      <x:c r="H108" s="13" t="n">
        <x:v>500</x:v>
      </x:c>
      <x:c r="I108" s="13" t="n">
        <x:v>25</x:v>
      </x:c>
      <x:c r="J108" s="13" t="str">
        <x:v>OPPORTUNITY</x:v>
      </x:c>
      <x:c r="K108" s="13" t="n">
        <x:v>48</x:v>
      </x:c>
      <x:c r="L108" s="13" t="str">
        <x:v>ENERGY+NETWORK+PRIMARY TIME</x:v>
      </x:c>
      <x:c r="M108" s="13" t="str">
        <x:v>PTC-B</x:v>
      </x:c>
      <x:c r="N108" s="13" t="n">
        <x:v>8</x:v>
      </x:c>
      <x:c r="O108" s="13" t="n">
        <x:v>11</x:v>
      </x:c>
      <x:c r="P108" s="13" t="str">
        <x:v>RAS-S025</x:v>
      </x:c>
      <x:c r="Q108" s="13" t="str">
        <x:v>RAS-W17</x:v>
      </x:c>
      <x:c r="R108" s="13" t="str"/>
      <x:c r="S108" s="13" t="str"/>
      <x:c r="T108" s="13" t="str"/>
      <x:c r="U108" s="13" t="str"/>
      <x:c r="V108" s="13" t="str">
        <x:f>IF(U108=1,IF(T108="VALID","PASS",IF(T108="INVALID","INVALID","OPEN")),"OPEN")</x:f>
        <x:v>OPEN</x:v>
      </x:c>
    </x:row>
    <x:row r="109">
      <x:c r="B109" s="13" t="str">
        <x:v>RAS-E103</x:v>
      </x:c>
      <x:c r="C109" s="13" t="str">
        <x:v>AM-06</x:v>
      </x:c>
      <x:c r="D109" s="13" t="str">
        <x:v>TR-A</x:v>
      </x:c>
      <x:c r="E109" s="13" t="str">
        <x:v>RFP-C2</x:v>
      </x:c>
      <x:c r="F109" s="13" t="str">
        <x:v>PTC-C</x:v>
      </x:c>
      <x:c r="G109" s="13" t="str">
        <x:v>QE-01</x:v>
      </x:c>
      <x:c r="H109" s="13" t="n">
        <x:v>0</x:v>
      </x:c>
      <x:c r="I109" s="13" t="n">
        <x:v>0</x:v>
      </x:c>
      <x:c r="J109" s="13" t="str">
        <x:v>PROHIBITED</x:v>
      </x:c>
      <x:c r="K109" s="13" t="n">
        <x:v>0</x:v>
      </x:c>
      <x:c r="L109" s="13" t="str">
        <x:v>NONE</x:v>
      </x:c>
      <x:c r="M109" s="13" t="str">
        <x:v>n.a.</x:v>
      </x:c>
      <x:c r="N109" s="13" t="n">
        <x:v>2</x:v>
      </x:c>
      <x:c r="O109" s="13" t="n">
        <x:v>1</x:v>
      </x:c>
      <x:c r="P109" s="13" t="str">
        <x:v>RAS-S026</x:v>
      </x:c>
      <x:c r="Q109" s="13" t="str">
        <x:v>RAS-W21</x:v>
      </x:c>
      <x:c r="R109" s="13" t="str"/>
      <x:c r="S109" s="13" t="str"/>
      <x:c r="T109" s="13" t="str"/>
      <x:c r="U109" s="13" t="str"/>
      <x:c r="V109" s="13" t="str">
        <x:f>IF(U109=1,IF(T109="VALID","PASS",IF(T109="INVALID","INVALID","OPEN")),"OPEN")</x:f>
        <x:v>OPEN</x:v>
      </x:c>
    </x:row>
    <x:row r="110">
      <x:c r="B110" s="13" t="str">
        <x:v>RAS-E104</x:v>
      </x:c>
      <x:c r="C110" s="13" t="str">
        <x:v>AM-06</x:v>
      </x:c>
      <x:c r="D110" s="13" t="str">
        <x:v>TR-A</x:v>
      </x:c>
      <x:c r="E110" s="13" t="str">
        <x:v>RFP-C2</x:v>
      </x:c>
      <x:c r="F110" s="13" t="str">
        <x:v>PTC-C</x:v>
      </x:c>
      <x:c r="G110" s="13" t="str">
        <x:v>QE-02</x:v>
      </x:c>
      <x:c r="H110" s="13" t="n">
        <x:v>100</x:v>
      </x:c>
      <x:c r="I110" s="13" t="n">
        <x:v>2.5</x:v>
      </x:c>
      <x:c r="J110" s="13" t="str">
        <x:v>OPPORTUNITY</x:v>
      </x:c>
      <x:c r="K110" s="13" t="n">
        <x:v>0</x:v>
      </x:c>
      <x:c r="L110" s="13" t="str">
        <x:v>NONE</x:v>
      </x:c>
      <x:c r="M110" s="13" t="str">
        <x:v>n.a.</x:v>
      </x:c>
      <x:c r="N110" s="13" t="n">
        <x:v>3</x:v>
      </x:c>
      <x:c r="O110" s="13" t="n">
        <x:v>3</x:v>
      </x:c>
      <x:c r="P110" s="13" t="str">
        <x:v>RAS-S026</x:v>
      </x:c>
      <x:c r="Q110" s="13" t="str">
        <x:v>RAS-W21</x:v>
      </x:c>
      <x:c r="R110" s="13" t="str"/>
      <x:c r="S110" s="13" t="str"/>
      <x:c r="T110" s="13" t="str"/>
      <x:c r="U110" s="13" t="str"/>
      <x:c r="V110" s="13" t="str">
        <x:f>IF(U110=1,IF(T110="VALID","PASS",IF(T110="INVALID","INVALID","OPEN")),"OPEN")</x:f>
        <x:v>OPEN</x:v>
      </x:c>
    </x:row>
    <x:row r="111">
      <x:c r="B111" s="13" t="str">
        <x:v>RAS-E105</x:v>
      </x:c>
      <x:c r="C111" s="13" t="str">
        <x:v>AM-06</x:v>
      </x:c>
      <x:c r="D111" s="13" t="str">
        <x:v>TR-A</x:v>
      </x:c>
      <x:c r="E111" s="13" t="str">
        <x:v>RFP-C2</x:v>
      </x:c>
      <x:c r="F111" s="13" t="str">
        <x:v>PTC-C</x:v>
      </x:c>
      <x:c r="G111" s="13" t="str">
        <x:v>QE-03</x:v>
      </x:c>
      <x:c r="H111" s="13" t="n">
        <x:v>250</x:v>
      </x:c>
      <x:c r="I111" s="13" t="n">
        <x:v>5</x:v>
      </x:c>
      <x:c r="J111" s="13" t="str">
        <x:v>OPPORTUNITY</x:v>
      </x:c>
      <x:c r="K111" s="13" t="n">
        <x:v>0</x:v>
      </x:c>
      <x:c r="L111" s="13" t="str">
        <x:v>NONE</x:v>
      </x:c>
      <x:c r="M111" s="13" t="str">
        <x:v>n.a.</x:v>
      </x:c>
      <x:c r="N111" s="13" t="n">
        <x:v>3</x:v>
      </x:c>
      <x:c r="O111" s="13" t="n">
        <x:v>5</x:v>
      </x:c>
      <x:c r="P111" s="13" t="str">
        <x:v>RAS-S026</x:v>
      </x:c>
      <x:c r="Q111" s="13" t="str">
        <x:v>RAS-W21</x:v>
      </x:c>
      <x:c r="R111" s="13" t="str"/>
      <x:c r="S111" s="13" t="str"/>
      <x:c r="T111" s="13" t="str"/>
      <x:c r="U111" s="13" t="str"/>
      <x:c r="V111" s="13" t="str">
        <x:f>IF(U111=1,IF(T111="VALID","PASS",IF(T111="INVALID","INVALID","OPEN")),"OPEN")</x:f>
        <x:v>OPEN</x:v>
      </x:c>
    </x:row>
    <x:row r="112">
      <x:c r="B112" s="13" t="str">
        <x:v>RAS-E106</x:v>
      </x:c>
      <x:c r="C112" s="13" t="str">
        <x:v>AM-06</x:v>
      </x:c>
      <x:c r="D112" s="13" t="str">
        <x:v>TR-A</x:v>
      </x:c>
      <x:c r="E112" s="13" t="str">
        <x:v>RFP-C2</x:v>
      </x:c>
      <x:c r="F112" s="13" t="str">
        <x:v>PTC-C</x:v>
      </x:c>
      <x:c r="G112" s="13" t="str">
        <x:v>QE-04</x:v>
      </x:c>
      <x:c r="H112" s="13" t="n">
        <x:v>500</x:v>
      </x:c>
      <x:c r="I112" s="13" t="n">
        <x:v>6.25</x:v>
      </x:c>
      <x:c r="J112" s="13" t="str">
        <x:v>OPPORTUNITY</x:v>
      </x:c>
      <x:c r="K112" s="13" t="n">
        <x:v>0</x:v>
      </x:c>
      <x:c r="L112" s="13" t="str">
        <x:v>NONE</x:v>
      </x:c>
      <x:c r="M112" s="13" t="str">
        <x:v>n.a.</x:v>
      </x:c>
      <x:c r="N112" s="13" t="n">
        <x:v>4</x:v>
      </x:c>
      <x:c r="O112" s="13" t="n">
        <x:v>7</x:v>
      </x:c>
      <x:c r="P112" s="13" t="str">
        <x:v>RAS-S026</x:v>
      </x:c>
      <x:c r="Q112" s="13" t="str">
        <x:v>RAS-W21</x:v>
      </x:c>
      <x:c r="R112" s="13" t="str"/>
      <x:c r="S112" s="13" t="str"/>
      <x:c r="T112" s="13" t="str"/>
      <x:c r="U112" s="13" t="str"/>
      <x:c r="V112" s="13" t="str">
        <x:f>IF(U112=1,IF(T112="VALID","PASS",IF(T112="INVALID","INVALID","OPEN")),"OPEN")</x:f>
        <x:v>OPEN</x:v>
      </x:c>
    </x:row>
    <x:row r="113">
      <x:c r="B113" s="13" t="str">
        <x:v>RAS-E107</x:v>
      </x:c>
      <x:c r="C113" s="13" t="str">
        <x:v>AM-06</x:v>
      </x:c>
      <x:c r="D113" s="13" t="str">
        <x:v>TR-A</x:v>
      </x:c>
      <x:c r="E113" s="13" t="str">
        <x:v>RFP-C2</x:v>
      </x:c>
      <x:c r="F113" s="13" t="str">
        <x:v>PTC-C</x:v>
      </x:c>
      <x:c r="G113" s="13" t="str">
        <x:v>QE-05</x:v>
      </x:c>
      <x:c r="H113" s="13" t="n">
        <x:v>500</x:v>
      </x:c>
      <x:c r="I113" s="13" t="n">
        <x:v>6.25</x:v>
      </x:c>
      <x:c r="J113" s="13" t="str">
        <x:v>OPPORTUNITY</x:v>
      </x:c>
      <x:c r="K113" s="13" t="n">
        <x:v>24</x:v>
      </x:c>
      <x:c r="L113" s="13" t="str">
        <x:v>NONE</x:v>
      </x:c>
      <x:c r="M113" s="13" t="str">
        <x:v>n.a.</x:v>
      </x:c>
      <x:c r="N113" s="13" t="n">
        <x:v>6</x:v>
      </x:c>
      <x:c r="O113" s="13" t="n">
        <x:v>9</x:v>
      </x:c>
      <x:c r="P113" s="13" t="str">
        <x:v>RAS-S026</x:v>
      </x:c>
      <x:c r="Q113" s="13" t="str">
        <x:v>RAS-W21</x:v>
      </x:c>
      <x:c r="R113" s="13" t="str"/>
      <x:c r="S113" s="13" t="str"/>
      <x:c r="T113" s="13" t="str"/>
      <x:c r="U113" s="13" t="str"/>
      <x:c r="V113" s="13" t="str">
        <x:f>IF(U113=1,IF(T113="VALID","PASS",IF(T113="INVALID","INVALID","OPEN")),"OPEN")</x:f>
        <x:v>OPEN</x:v>
      </x:c>
    </x:row>
    <x:row r="114">
      <x:c r="B114" s="13" t="str">
        <x:v>RAS-E108</x:v>
      </x:c>
      <x:c r="C114" s="13" t="str">
        <x:v>AM-06</x:v>
      </x:c>
      <x:c r="D114" s="13" t="str">
        <x:v>TR-A</x:v>
      </x:c>
      <x:c r="E114" s="13" t="str">
        <x:v>RFP-C2</x:v>
      </x:c>
      <x:c r="F114" s="13" t="str">
        <x:v>PTC-C</x:v>
      </x:c>
      <x:c r="G114" s="13" t="str">
        <x:v>QE-06</x:v>
      </x:c>
      <x:c r="H114" s="13" t="n">
        <x:v>500</x:v>
      </x:c>
      <x:c r="I114" s="13" t="n">
        <x:v>25</x:v>
      </x:c>
      <x:c r="J114" s="13" t="str">
        <x:v>OPPORTUNITY</x:v>
      </x:c>
      <x:c r="K114" s="13" t="n">
        <x:v>48</x:v>
      </x:c>
      <x:c r="L114" s="13" t="str">
        <x:v>ENERGY+NETWORK+PRIMARY TIME</x:v>
      </x:c>
      <x:c r="M114" s="13" t="str">
        <x:v>PTC-B</x:v>
      </x:c>
      <x:c r="N114" s="13" t="n">
        <x:v>8</x:v>
      </x:c>
      <x:c r="O114" s="13" t="n">
        <x:v>11</x:v>
      </x:c>
      <x:c r="P114" s="13" t="str">
        <x:v>RAS-S026</x:v>
      </x:c>
      <x:c r="Q114" s="13" t="str">
        <x:v>RAS-W21</x:v>
      </x:c>
      <x:c r="R114" s="13" t="str"/>
      <x:c r="S114" s="13" t="str"/>
      <x:c r="T114" s="13" t="str"/>
      <x:c r="U114" s="13" t="str"/>
      <x:c r="V114" s="13" t="str">
        <x:f>IF(U114=1,IF(T114="VALID","PASS",IF(T114="INVALID","INVALID","OPEN")),"OPEN")</x:f>
        <x:v>OPEN</x:v>
      </x:c>
    </x:row>
    <x:row r="115">
      <x:c r="B115" s="13" t="str">
        <x:v>RAS-E109</x:v>
      </x:c>
      <x:c r="C115" s="13" t="str">
        <x:v>AM-06</x:v>
      </x:c>
      <x:c r="D115" s="13" t="str">
        <x:v>TR-B</x:v>
      </x:c>
      <x:c r="E115" s="13" t="str">
        <x:v>RFP-A1</x:v>
      </x:c>
      <x:c r="F115" s="13" t="str">
        <x:v>PTC-A</x:v>
      </x:c>
      <x:c r="G115" s="13" t="str">
        <x:v>QE-01</x:v>
      </x:c>
      <x:c r="H115" s="13" t="n">
        <x:v>0</x:v>
      </x:c>
      <x:c r="I115" s="13" t="n">
        <x:v>0</x:v>
      </x:c>
      <x:c r="J115" s="13" t="str">
        <x:v>PROHIBITED</x:v>
      </x:c>
      <x:c r="K115" s="13" t="n">
        <x:v>0</x:v>
      </x:c>
      <x:c r="L115" s="13" t="str">
        <x:v>NONE</x:v>
      </x:c>
      <x:c r="M115" s="13" t="str">
        <x:v>n.a.</x:v>
      </x:c>
      <x:c r="N115" s="13" t="n">
        <x:v>2</x:v>
      </x:c>
      <x:c r="O115" s="13" t="n">
        <x:v>2</x:v>
      </x:c>
      <x:c r="P115" s="13" t="str">
        <x:v>RAS-S031</x:v>
      </x:c>
      <x:c r="Q115" s="13" t="str">
        <x:v>RAS-W01</x:v>
      </x:c>
      <x:c r="R115" s="13" t="str"/>
      <x:c r="S115" s="13" t="str"/>
      <x:c r="T115" s="13" t="str"/>
      <x:c r="U115" s="13" t="str"/>
      <x:c r="V115" s="13" t="str">
        <x:f>IF(U115=1,IF(T115="VALID","PASS",IF(T115="INVALID","INVALID","OPEN")),"OPEN")</x:f>
        <x:v>OPEN</x:v>
      </x:c>
    </x:row>
    <x:row r="116">
      <x:c r="B116" s="13" t="str">
        <x:v>RAS-E110</x:v>
      </x:c>
      <x:c r="C116" s="13" t="str">
        <x:v>AM-06</x:v>
      </x:c>
      <x:c r="D116" s="13" t="str">
        <x:v>TR-B</x:v>
      </x:c>
      <x:c r="E116" s="13" t="str">
        <x:v>RFP-A1</x:v>
      </x:c>
      <x:c r="F116" s="13" t="str">
        <x:v>PTC-A</x:v>
      </x:c>
      <x:c r="G116" s="13" t="str">
        <x:v>QE-02</x:v>
      </x:c>
      <x:c r="H116" s="13" t="n">
        <x:v>100</x:v>
      </x:c>
      <x:c r="I116" s="13" t="n">
        <x:v>2.5</x:v>
      </x:c>
      <x:c r="J116" s="13" t="str">
        <x:v>OPPORTUNITY</x:v>
      </x:c>
      <x:c r="K116" s="13" t="n">
        <x:v>0</x:v>
      </x:c>
      <x:c r="L116" s="13" t="str">
        <x:v>NONE</x:v>
      </x:c>
      <x:c r="M116" s="13" t="str">
        <x:v>n.a.</x:v>
      </x:c>
      <x:c r="N116" s="13" t="n">
        <x:v>3</x:v>
      </x:c>
      <x:c r="O116" s="13" t="n">
        <x:v>4</x:v>
      </x:c>
      <x:c r="P116" s="13" t="str">
        <x:v>RAS-S031</x:v>
      </x:c>
      <x:c r="Q116" s="13" t="str">
        <x:v>RAS-W01</x:v>
      </x:c>
      <x:c r="R116" s="13" t="str"/>
      <x:c r="S116" s="13" t="str"/>
      <x:c r="T116" s="13" t="str"/>
      <x:c r="U116" s="13" t="str"/>
      <x:c r="V116" s="13" t="str">
        <x:f>IF(U116=1,IF(T116="VALID","PASS",IF(T116="INVALID","INVALID","OPEN")),"OPEN")</x:f>
        <x:v>OPEN</x:v>
      </x:c>
    </x:row>
    <x:row r="117">
      <x:c r="B117" s="13" t="str">
        <x:v>RAS-E111</x:v>
      </x:c>
      <x:c r="C117" s="13" t="str">
        <x:v>AM-06</x:v>
      </x:c>
      <x:c r="D117" s="13" t="str">
        <x:v>TR-B</x:v>
      </x:c>
      <x:c r="E117" s="13" t="str">
        <x:v>RFP-A1</x:v>
      </x:c>
      <x:c r="F117" s="13" t="str">
        <x:v>PTC-A</x:v>
      </x:c>
      <x:c r="G117" s="13" t="str">
        <x:v>QE-03</x:v>
      </x:c>
      <x:c r="H117" s="13" t="n">
        <x:v>250</x:v>
      </x:c>
      <x:c r="I117" s="13" t="n">
        <x:v>5</x:v>
      </x:c>
      <x:c r="J117" s="13" t="str">
        <x:v>OPPORTUNITY</x:v>
      </x:c>
      <x:c r="K117" s="13" t="n">
        <x:v>0</x:v>
      </x:c>
      <x:c r="L117" s="13" t="str">
        <x:v>NONE</x:v>
      </x:c>
      <x:c r="M117" s="13" t="str">
        <x:v>n.a.</x:v>
      </x:c>
      <x:c r="N117" s="13" t="n">
        <x:v>3</x:v>
      </x:c>
      <x:c r="O117" s="13" t="n">
        <x:v>6</x:v>
      </x:c>
      <x:c r="P117" s="13" t="str">
        <x:v>RAS-S031</x:v>
      </x:c>
      <x:c r="Q117" s="13" t="str">
        <x:v>RAS-W01</x:v>
      </x:c>
      <x:c r="R117" s="13" t="str"/>
      <x:c r="S117" s="13" t="str"/>
      <x:c r="T117" s="13" t="str"/>
      <x:c r="U117" s="13" t="str"/>
      <x:c r="V117" s="13" t="str">
        <x:f>IF(U117=1,IF(T117="VALID","PASS",IF(T117="INVALID","INVALID","OPEN")),"OPEN")</x:f>
        <x:v>OPEN</x:v>
      </x:c>
    </x:row>
    <x:row r="118">
      <x:c r="B118" s="13" t="str">
        <x:v>RAS-E112</x:v>
      </x:c>
      <x:c r="C118" s="13" t="str">
        <x:v>AM-06</x:v>
      </x:c>
      <x:c r="D118" s="13" t="str">
        <x:v>TR-B</x:v>
      </x:c>
      <x:c r="E118" s="13" t="str">
        <x:v>RFP-A1</x:v>
      </x:c>
      <x:c r="F118" s="13" t="str">
        <x:v>PTC-A</x:v>
      </x:c>
      <x:c r="G118" s="13" t="str">
        <x:v>QE-04</x:v>
      </x:c>
      <x:c r="H118" s="13" t="n">
        <x:v>500</x:v>
      </x:c>
      <x:c r="I118" s="13" t="n">
        <x:v>6.25</x:v>
      </x:c>
      <x:c r="J118" s="13" t="str">
        <x:v>OPPORTUNITY</x:v>
      </x:c>
      <x:c r="K118" s="13" t="n">
        <x:v>0</x:v>
      </x:c>
      <x:c r="L118" s="13" t="str">
        <x:v>NONE</x:v>
      </x:c>
      <x:c r="M118" s="13" t="str">
        <x:v>n.a.</x:v>
      </x:c>
      <x:c r="N118" s="13" t="n">
        <x:v>4</x:v>
      </x:c>
      <x:c r="O118" s="13" t="n">
        <x:v>8</x:v>
      </x:c>
      <x:c r="P118" s="13" t="str">
        <x:v>RAS-S031</x:v>
      </x:c>
      <x:c r="Q118" s="13" t="str">
        <x:v>RAS-W01</x:v>
      </x:c>
      <x:c r="R118" s="13" t="str"/>
      <x:c r="S118" s="13" t="str"/>
      <x:c r="T118" s="13" t="str"/>
      <x:c r="U118" s="13" t="str"/>
      <x:c r="V118" s="13" t="str">
        <x:f>IF(U118=1,IF(T118="VALID","PASS",IF(T118="INVALID","INVALID","OPEN")),"OPEN")</x:f>
        <x:v>OPEN</x:v>
      </x:c>
    </x:row>
    <x:row r="119">
      <x:c r="B119" s="13" t="str">
        <x:v>RAS-E113</x:v>
      </x:c>
      <x:c r="C119" s="13" t="str">
        <x:v>AM-06</x:v>
      </x:c>
      <x:c r="D119" s="13" t="str">
        <x:v>TR-B</x:v>
      </x:c>
      <x:c r="E119" s="13" t="str">
        <x:v>RFP-A1</x:v>
      </x:c>
      <x:c r="F119" s="13" t="str">
        <x:v>PTC-A</x:v>
      </x:c>
      <x:c r="G119" s="13" t="str">
        <x:v>QE-05</x:v>
      </x:c>
      <x:c r="H119" s="13" t="n">
        <x:v>500</x:v>
      </x:c>
      <x:c r="I119" s="13" t="n">
        <x:v>6.25</x:v>
      </x:c>
      <x:c r="J119" s="13" t="str">
        <x:v>OPPORTUNITY</x:v>
      </x:c>
      <x:c r="K119" s="13" t="n">
        <x:v>24</x:v>
      </x:c>
      <x:c r="L119" s="13" t="str">
        <x:v>NONE</x:v>
      </x:c>
      <x:c r="M119" s="13" t="str">
        <x:v>n.a.</x:v>
      </x:c>
      <x:c r="N119" s="13" t="n">
        <x:v>6</x:v>
      </x:c>
      <x:c r="O119" s="13" t="n">
        <x:v>10</x:v>
      </x:c>
      <x:c r="P119" s="13" t="str">
        <x:v>RAS-S031</x:v>
      </x:c>
      <x:c r="Q119" s="13" t="str">
        <x:v>RAS-W01</x:v>
      </x:c>
      <x:c r="R119" s="13" t="str"/>
      <x:c r="S119" s="13" t="str"/>
      <x:c r="T119" s="13" t="str"/>
      <x:c r="U119" s="13" t="str"/>
      <x:c r="V119" s="13" t="str">
        <x:f>IF(U119=1,IF(T119="VALID","PASS",IF(T119="INVALID","INVALID","OPEN")),"OPEN")</x:f>
        <x:v>OPEN</x:v>
      </x:c>
    </x:row>
    <x:row r="120">
      <x:c r="B120" s="13" t="str">
        <x:v>RAS-E114</x:v>
      </x:c>
      <x:c r="C120" s="13" t="str">
        <x:v>AM-06</x:v>
      </x:c>
      <x:c r="D120" s="13" t="str">
        <x:v>TR-B</x:v>
      </x:c>
      <x:c r="E120" s="13" t="str">
        <x:v>RFP-A1</x:v>
      </x:c>
      <x:c r="F120" s="13" t="str">
        <x:v>PTC-A</x:v>
      </x:c>
      <x:c r="G120" s="13" t="str">
        <x:v>QE-06</x:v>
      </x:c>
      <x:c r="H120" s="13" t="n">
        <x:v>500</x:v>
      </x:c>
      <x:c r="I120" s="13" t="n">
        <x:v>25</x:v>
      </x:c>
      <x:c r="J120" s="13" t="str">
        <x:v>OPPORTUNITY</x:v>
      </x:c>
      <x:c r="K120" s="13" t="n">
        <x:v>48</x:v>
      </x:c>
      <x:c r="L120" s="13" t="str">
        <x:v>ENERGY+NETWORK+PRIMARY TIME</x:v>
      </x:c>
      <x:c r="M120" s="13" t="str">
        <x:v>PTC-B</x:v>
      </x:c>
      <x:c r="N120" s="13" t="n">
        <x:v>8</x:v>
      </x:c>
      <x:c r="O120" s="13" t="n">
        <x:v>12</x:v>
      </x:c>
      <x:c r="P120" s="13" t="str">
        <x:v>RAS-S031</x:v>
      </x:c>
      <x:c r="Q120" s="13" t="str">
        <x:v>RAS-W01</x:v>
      </x:c>
      <x:c r="R120" s="13" t="str"/>
      <x:c r="S120" s="13" t="str"/>
      <x:c r="T120" s="13" t="str"/>
      <x:c r="U120" s="13" t="str"/>
      <x:c r="V120" s="13" t="str">
        <x:f>IF(U120=1,IF(T120="VALID","PASS",IF(T120="INVALID","INVALID","OPEN")),"OPEN")</x:f>
        <x:v>OPEN</x:v>
      </x:c>
    </x:row>
    <x:row r="121">
      <x:c r="B121" s="13" t="str">
        <x:v>RAS-E115</x:v>
      </x:c>
      <x:c r="C121" s="13" t="str">
        <x:v>AM-06</x:v>
      </x:c>
      <x:c r="D121" s="13" t="str">
        <x:v>TR-B</x:v>
      </x:c>
      <x:c r="E121" s="13" t="str">
        <x:v>RFP-A2</x:v>
      </x:c>
      <x:c r="F121" s="13" t="str">
        <x:v>PTC-A</x:v>
      </x:c>
      <x:c r="G121" s="13" t="str">
        <x:v>QE-01</x:v>
      </x:c>
      <x:c r="H121" s="13" t="n">
        <x:v>0</x:v>
      </x:c>
      <x:c r="I121" s="13" t="n">
        <x:v>0</x:v>
      </x:c>
      <x:c r="J121" s="13" t="str">
        <x:v>PROHIBITED</x:v>
      </x:c>
      <x:c r="K121" s="13" t="n">
        <x:v>0</x:v>
      </x:c>
      <x:c r="L121" s="13" t="str">
        <x:v>NONE</x:v>
      </x:c>
      <x:c r="M121" s="13" t="str">
        <x:v>n.a.</x:v>
      </x:c>
      <x:c r="N121" s="13" t="n">
        <x:v>2</x:v>
      </x:c>
      <x:c r="O121" s="13" t="n">
        <x:v>2</x:v>
      </x:c>
      <x:c r="P121" s="13" t="str">
        <x:v>RAS-S032</x:v>
      </x:c>
      <x:c r="Q121" s="13" t="str">
        <x:v>RAS-W05</x:v>
      </x:c>
      <x:c r="R121" s="13" t="str"/>
      <x:c r="S121" s="13" t="str"/>
      <x:c r="T121" s="13" t="str"/>
      <x:c r="U121" s="13" t="str"/>
      <x:c r="V121" s="13" t="str">
        <x:f>IF(U121=1,IF(T121="VALID","PASS",IF(T121="INVALID","INVALID","OPEN")),"OPEN")</x:f>
        <x:v>OPEN</x:v>
      </x:c>
    </x:row>
    <x:row r="122">
      <x:c r="B122" s="13" t="str">
        <x:v>RAS-E116</x:v>
      </x:c>
      <x:c r="C122" s="13" t="str">
        <x:v>AM-06</x:v>
      </x:c>
      <x:c r="D122" s="13" t="str">
        <x:v>TR-B</x:v>
      </x:c>
      <x:c r="E122" s="13" t="str">
        <x:v>RFP-A2</x:v>
      </x:c>
      <x:c r="F122" s="13" t="str">
        <x:v>PTC-A</x:v>
      </x:c>
      <x:c r="G122" s="13" t="str">
        <x:v>QE-02</x:v>
      </x:c>
      <x:c r="H122" s="13" t="n">
        <x:v>100</x:v>
      </x:c>
      <x:c r="I122" s="13" t="n">
        <x:v>2.5</x:v>
      </x:c>
      <x:c r="J122" s="13" t="str">
        <x:v>OPPORTUNITY</x:v>
      </x:c>
      <x:c r="K122" s="13" t="n">
        <x:v>0</x:v>
      </x:c>
      <x:c r="L122" s="13" t="str">
        <x:v>NONE</x:v>
      </x:c>
      <x:c r="M122" s="13" t="str">
        <x:v>n.a.</x:v>
      </x:c>
      <x:c r="N122" s="13" t="n">
        <x:v>3</x:v>
      </x:c>
      <x:c r="O122" s="13" t="n">
        <x:v>4</x:v>
      </x:c>
      <x:c r="P122" s="13" t="str">
        <x:v>RAS-S032</x:v>
      </x:c>
      <x:c r="Q122" s="13" t="str">
        <x:v>RAS-W05</x:v>
      </x:c>
      <x:c r="R122" s="13" t="str"/>
      <x:c r="S122" s="13" t="str"/>
      <x:c r="T122" s="13" t="str"/>
      <x:c r="U122" s="13" t="str"/>
      <x:c r="V122" s="13" t="str">
        <x:f>IF(U122=1,IF(T122="VALID","PASS",IF(T122="INVALID","INVALID","OPEN")),"OPEN")</x:f>
        <x:v>OPEN</x:v>
      </x:c>
    </x:row>
    <x:row r="123">
      <x:c r="B123" s="13" t="str">
        <x:v>RAS-E117</x:v>
      </x:c>
      <x:c r="C123" s="13" t="str">
        <x:v>AM-06</x:v>
      </x:c>
      <x:c r="D123" s="13" t="str">
        <x:v>TR-B</x:v>
      </x:c>
      <x:c r="E123" s="13" t="str">
        <x:v>RFP-A2</x:v>
      </x:c>
      <x:c r="F123" s="13" t="str">
        <x:v>PTC-A</x:v>
      </x:c>
      <x:c r="G123" s="13" t="str">
        <x:v>QE-03</x:v>
      </x:c>
      <x:c r="H123" s="13" t="n">
        <x:v>250</x:v>
      </x:c>
      <x:c r="I123" s="13" t="n">
        <x:v>5</x:v>
      </x:c>
      <x:c r="J123" s="13" t="str">
        <x:v>OPPORTUNITY</x:v>
      </x:c>
      <x:c r="K123" s="13" t="n">
        <x:v>0</x:v>
      </x:c>
      <x:c r="L123" s="13" t="str">
        <x:v>NONE</x:v>
      </x:c>
      <x:c r="M123" s="13" t="str">
        <x:v>n.a.</x:v>
      </x:c>
      <x:c r="N123" s="13" t="n">
        <x:v>3</x:v>
      </x:c>
      <x:c r="O123" s="13" t="n">
        <x:v>6</x:v>
      </x:c>
      <x:c r="P123" s="13" t="str">
        <x:v>RAS-S032</x:v>
      </x:c>
      <x:c r="Q123" s="13" t="str">
        <x:v>RAS-W05</x:v>
      </x:c>
      <x:c r="R123" s="13" t="str"/>
      <x:c r="S123" s="13" t="str"/>
      <x:c r="T123" s="13" t="str"/>
      <x:c r="U123" s="13" t="str"/>
      <x:c r="V123" s="13" t="str">
        <x:f>IF(U123=1,IF(T123="VALID","PASS",IF(T123="INVALID","INVALID","OPEN")),"OPEN")</x:f>
        <x:v>OPEN</x:v>
      </x:c>
    </x:row>
    <x:row r="124">
      <x:c r="B124" s="13" t="str">
        <x:v>RAS-E118</x:v>
      </x:c>
      <x:c r="C124" s="13" t="str">
        <x:v>AM-06</x:v>
      </x:c>
      <x:c r="D124" s="13" t="str">
        <x:v>TR-B</x:v>
      </x:c>
      <x:c r="E124" s="13" t="str">
        <x:v>RFP-A2</x:v>
      </x:c>
      <x:c r="F124" s="13" t="str">
        <x:v>PTC-A</x:v>
      </x:c>
      <x:c r="G124" s="13" t="str">
        <x:v>QE-04</x:v>
      </x:c>
      <x:c r="H124" s="13" t="n">
        <x:v>500</x:v>
      </x:c>
      <x:c r="I124" s="13" t="n">
        <x:v>6.25</x:v>
      </x:c>
      <x:c r="J124" s="13" t="str">
        <x:v>OPPORTUNITY</x:v>
      </x:c>
      <x:c r="K124" s="13" t="n">
        <x:v>0</x:v>
      </x:c>
      <x:c r="L124" s="13" t="str">
        <x:v>NONE</x:v>
      </x:c>
      <x:c r="M124" s="13" t="str">
        <x:v>n.a.</x:v>
      </x:c>
      <x:c r="N124" s="13" t="n">
        <x:v>4</x:v>
      </x:c>
      <x:c r="O124" s="13" t="n">
        <x:v>8</x:v>
      </x:c>
      <x:c r="P124" s="13" t="str">
        <x:v>RAS-S032</x:v>
      </x:c>
      <x:c r="Q124" s="13" t="str">
        <x:v>RAS-W05</x:v>
      </x:c>
      <x:c r="R124" s="13" t="str"/>
      <x:c r="S124" s="13" t="str"/>
      <x:c r="T124" s="13" t="str"/>
      <x:c r="U124" s="13" t="str"/>
      <x:c r="V124" s="13" t="str">
        <x:f>IF(U124=1,IF(T124="VALID","PASS",IF(T124="INVALID","INVALID","OPEN")),"OPEN")</x:f>
        <x:v>OPEN</x:v>
      </x:c>
    </x:row>
    <x:row r="125">
      <x:c r="B125" s="13" t="str">
        <x:v>RAS-E119</x:v>
      </x:c>
      <x:c r="C125" s="13" t="str">
        <x:v>AM-06</x:v>
      </x:c>
      <x:c r="D125" s="13" t="str">
        <x:v>TR-B</x:v>
      </x:c>
      <x:c r="E125" s="13" t="str">
        <x:v>RFP-A2</x:v>
      </x:c>
      <x:c r="F125" s="13" t="str">
        <x:v>PTC-A</x:v>
      </x:c>
      <x:c r="G125" s="13" t="str">
        <x:v>QE-05</x:v>
      </x:c>
      <x:c r="H125" s="13" t="n">
        <x:v>500</x:v>
      </x:c>
      <x:c r="I125" s="13" t="n">
        <x:v>6.25</x:v>
      </x:c>
      <x:c r="J125" s="13" t="str">
        <x:v>OPPORTUNITY</x:v>
      </x:c>
      <x:c r="K125" s="13" t="n">
        <x:v>24</x:v>
      </x:c>
      <x:c r="L125" s="13" t="str">
        <x:v>NONE</x:v>
      </x:c>
      <x:c r="M125" s="13" t="str">
        <x:v>n.a.</x:v>
      </x:c>
      <x:c r="N125" s="13" t="n">
        <x:v>6</x:v>
      </x:c>
      <x:c r="O125" s="13" t="n">
        <x:v>10</x:v>
      </x:c>
      <x:c r="P125" s="13" t="str">
        <x:v>RAS-S032</x:v>
      </x:c>
      <x:c r="Q125" s="13" t="str">
        <x:v>RAS-W05</x:v>
      </x:c>
      <x:c r="R125" s="13" t="str"/>
      <x:c r="S125" s="13" t="str"/>
      <x:c r="T125" s="13" t="str"/>
      <x:c r="U125" s="13" t="str"/>
      <x:c r="V125" s="13" t="str">
        <x:f>IF(U125=1,IF(T125="VALID","PASS",IF(T125="INVALID","INVALID","OPEN")),"OPEN")</x:f>
        <x:v>OPEN</x:v>
      </x:c>
    </x:row>
    <x:row r="126">
      <x:c r="B126" s="13" t="str">
        <x:v>RAS-E120</x:v>
      </x:c>
      <x:c r="C126" s="13" t="str">
        <x:v>AM-06</x:v>
      </x:c>
      <x:c r="D126" s="13" t="str">
        <x:v>TR-B</x:v>
      </x:c>
      <x:c r="E126" s="13" t="str">
        <x:v>RFP-A2</x:v>
      </x:c>
      <x:c r="F126" s="13" t="str">
        <x:v>PTC-A</x:v>
      </x:c>
      <x:c r="G126" s="13" t="str">
        <x:v>QE-06</x:v>
      </x:c>
      <x:c r="H126" s="13" t="n">
        <x:v>500</x:v>
      </x:c>
      <x:c r="I126" s="13" t="n">
        <x:v>25</x:v>
      </x:c>
      <x:c r="J126" s="13" t="str">
        <x:v>OPPORTUNITY</x:v>
      </x:c>
      <x:c r="K126" s="13" t="n">
        <x:v>48</x:v>
      </x:c>
      <x:c r="L126" s="13" t="str">
        <x:v>ENERGY+NETWORK+PRIMARY TIME</x:v>
      </x:c>
      <x:c r="M126" s="13" t="str">
        <x:v>PTC-B</x:v>
      </x:c>
      <x:c r="N126" s="13" t="n">
        <x:v>8</x:v>
      </x:c>
      <x:c r="O126" s="13" t="n">
        <x:v>12</x:v>
      </x:c>
      <x:c r="P126" s="13" t="str">
        <x:v>RAS-S032</x:v>
      </x:c>
      <x:c r="Q126" s="13" t="str">
        <x:v>RAS-W05</x:v>
      </x:c>
      <x:c r="R126" s="13" t="str"/>
      <x:c r="S126" s="13" t="str"/>
      <x:c r="T126" s="13" t="str"/>
      <x:c r="U126" s="13" t="str"/>
      <x:c r="V126" s="13" t="str">
        <x:f>IF(U126=1,IF(T126="VALID","PASS",IF(T126="INVALID","INVALID","OPEN")),"OPEN")</x:f>
        <x:v>OPEN</x:v>
      </x:c>
    </x:row>
    <x:row r="127">
      <x:c r="B127" s="13" t="str">
        <x:v>RAS-E121</x:v>
      </x:c>
      <x:c r="C127" s="13" t="str">
        <x:v>AM-06</x:v>
      </x:c>
      <x:c r="D127" s="13" t="str">
        <x:v>TR-B</x:v>
      </x:c>
      <x:c r="E127" s="13" t="str">
        <x:v>RFP-B1</x:v>
      </x:c>
      <x:c r="F127" s="13" t="str">
        <x:v>PTC-B</x:v>
      </x:c>
      <x:c r="G127" s="13" t="str">
        <x:v>QE-01</x:v>
      </x:c>
      <x:c r="H127" s="13" t="n">
        <x:v>0</x:v>
      </x:c>
      <x:c r="I127" s="13" t="n">
        <x:v>0</x:v>
      </x:c>
      <x:c r="J127" s="13" t="str">
        <x:v>PROHIBITED</x:v>
      </x:c>
      <x:c r="K127" s="13" t="n">
        <x:v>0</x:v>
      </x:c>
      <x:c r="L127" s="13" t="str">
        <x:v>NONE</x:v>
      </x:c>
      <x:c r="M127" s="13" t="str">
        <x:v>n.a.</x:v>
      </x:c>
      <x:c r="N127" s="13" t="n">
        <x:v>2</x:v>
      </x:c>
      <x:c r="O127" s="13" t="n">
        <x:v>2</x:v>
      </x:c>
      <x:c r="P127" s="13" t="str">
        <x:v>RAS-S033</x:v>
      </x:c>
      <x:c r="Q127" s="13" t="str">
        <x:v>RAS-W09</x:v>
      </x:c>
      <x:c r="R127" s="13" t="str"/>
      <x:c r="S127" s="13" t="str"/>
      <x:c r="T127" s="13" t="str"/>
      <x:c r="U127" s="13" t="str"/>
      <x:c r="V127" s="13" t="str">
        <x:f>IF(U127=1,IF(T127="VALID","PASS",IF(T127="INVALID","INVALID","OPEN")),"OPEN")</x:f>
        <x:v>OPEN</x:v>
      </x:c>
    </x:row>
    <x:row r="128">
      <x:c r="B128" s="13" t="str">
        <x:v>RAS-E122</x:v>
      </x:c>
      <x:c r="C128" s="13" t="str">
        <x:v>AM-06</x:v>
      </x:c>
      <x:c r="D128" s="13" t="str">
        <x:v>TR-B</x:v>
      </x:c>
      <x:c r="E128" s="13" t="str">
        <x:v>RFP-B1</x:v>
      </x:c>
      <x:c r="F128" s="13" t="str">
        <x:v>PTC-B</x:v>
      </x:c>
      <x:c r="G128" s="13" t="str">
        <x:v>QE-02</x:v>
      </x:c>
      <x:c r="H128" s="13" t="n">
        <x:v>100</x:v>
      </x:c>
      <x:c r="I128" s="13" t="n">
        <x:v>2.5</x:v>
      </x:c>
      <x:c r="J128" s="13" t="str">
        <x:v>OPPORTUNITY</x:v>
      </x:c>
      <x:c r="K128" s="13" t="n">
        <x:v>0</x:v>
      </x:c>
      <x:c r="L128" s="13" t="str">
        <x:v>NONE</x:v>
      </x:c>
      <x:c r="M128" s="13" t="str">
        <x:v>n.a.</x:v>
      </x:c>
      <x:c r="N128" s="13" t="n">
        <x:v>3</x:v>
      </x:c>
      <x:c r="O128" s="13" t="n">
        <x:v>4</x:v>
      </x:c>
      <x:c r="P128" s="13" t="str">
        <x:v>RAS-S033</x:v>
      </x:c>
      <x:c r="Q128" s="13" t="str">
        <x:v>RAS-W09</x:v>
      </x:c>
      <x:c r="R128" s="13" t="str"/>
      <x:c r="S128" s="13" t="str"/>
      <x:c r="T128" s="13" t="str"/>
      <x:c r="U128" s="13" t="str"/>
      <x:c r="V128" s="13" t="str">
        <x:f>IF(U128=1,IF(T128="VALID","PASS",IF(T128="INVALID","INVALID","OPEN")),"OPEN")</x:f>
        <x:v>OPEN</x:v>
      </x:c>
    </x:row>
    <x:row r="129">
      <x:c r="B129" s="13" t="str">
        <x:v>RAS-E123</x:v>
      </x:c>
      <x:c r="C129" s="13" t="str">
        <x:v>AM-06</x:v>
      </x:c>
      <x:c r="D129" s="13" t="str">
        <x:v>TR-B</x:v>
      </x:c>
      <x:c r="E129" s="13" t="str">
        <x:v>RFP-B1</x:v>
      </x:c>
      <x:c r="F129" s="13" t="str">
        <x:v>PTC-B</x:v>
      </x:c>
      <x:c r="G129" s="13" t="str">
        <x:v>QE-03</x:v>
      </x:c>
      <x:c r="H129" s="13" t="n">
        <x:v>250</x:v>
      </x:c>
      <x:c r="I129" s="13" t="n">
        <x:v>5</x:v>
      </x:c>
      <x:c r="J129" s="13" t="str">
        <x:v>OPPORTUNITY</x:v>
      </x:c>
      <x:c r="K129" s="13" t="n">
        <x:v>0</x:v>
      </x:c>
      <x:c r="L129" s="13" t="str">
        <x:v>NONE</x:v>
      </x:c>
      <x:c r="M129" s="13" t="str">
        <x:v>n.a.</x:v>
      </x:c>
      <x:c r="N129" s="13" t="n">
        <x:v>3</x:v>
      </x:c>
      <x:c r="O129" s="13" t="n">
        <x:v>6</x:v>
      </x:c>
      <x:c r="P129" s="13" t="str">
        <x:v>RAS-S033</x:v>
      </x:c>
      <x:c r="Q129" s="13" t="str">
        <x:v>RAS-W09</x:v>
      </x:c>
      <x:c r="R129" s="13" t="str"/>
      <x:c r="S129" s="13" t="str"/>
      <x:c r="T129" s="13" t="str"/>
      <x:c r="U129" s="13" t="str"/>
      <x:c r="V129" s="13" t="str">
        <x:f>IF(U129=1,IF(T129="VALID","PASS",IF(T129="INVALID","INVALID","OPEN")),"OPEN")</x:f>
        <x:v>OPEN</x:v>
      </x:c>
    </x:row>
    <x:row r="130">
      <x:c r="B130" s="13" t="str">
        <x:v>RAS-E124</x:v>
      </x:c>
      <x:c r="C130" s="13" t="str">
        <x:v>AM-06</x:v>
      </x:c>
      <x:c r="D130" s="13" t="str">
        <x:v>TR-B</x:v>
      </x:c>
      <x:c r="E130" s="13" t="str">
        <x:v>RFP-B1</x:v>
      </x:c>
      <x:c r="F130" s="13" t="str">
        <x:v>PTC-B</x:v>
      </x:c>
      <x:c r="G130" s="13" t="str">
        <x:v>QE-04</x:v>
      </x:c>
      <x:c r="H130" s="13" t="n">
        <x:v>500</x:v>
      </x:c>
      <x:c r="I130" s="13" t="n">
        <x:v>6.25</x:v>
      </x:c>
      <x:c r="J130" s="13" t="str">
        <x:v>OPPORTUNITY</x:v>
      </x:c>
      <x:c r="K130" s="13" t="n">
        <x:v>0</x:v>
      </x:c>
      <x:c r="L130" s="13" t="str">
        <x:v>NONE</x:v>
      </x:c>
      <x:c r="M130" s="13" t="str">
        <x:v>n.a.</x:v>
      </x:c>
      <x:c r="N130" s="13" t="n">
        <x:v>4</x:v>
      </x:c>
      <x:c r="O130" s="13" t="n">
        <x:v>8</x:v>
      </x:c>
      <x:c r="P130" s="13" t="str">
        <x:v>RAS-S033</x:v>
      </x:c>
      <x:c r="Q130" s="13" t="str">
        <x:v>RAS-W09</x:v>
      </x:c>
      <x:c r="R130" s="13" t="str"/>
      <x:c r="S130" s="13" t="str"/>
      <x:c r="T130" s="13" t="str"/>
      <x:c r="U130" s="13" t="str"/>
      <x:c r="V130" s="13" t="str">
        <x:f>IF(U130=1,IF(T130="VALID","PASS",IF(T130="INVALID","INVALID","OPEN")),"OPEN")</x:f>
        <x:v>OPEN</x:v>
      </x:c>
    </x:row>
    <x:row r="131">
      <x:c r="B131" s="13" t="str">
        <x:v>RAS-E125</x:v>
      </x:c>
      <x:c r="C131" s="13" t="str">
        <x:v>AM-06</x:v>
      </x:c>
      <x:c r="D131" s="13" t="str">
        <x:v>TR-B</x:v>
      </x:c>
      <x:c r="E131" s="13" t="str">
        <x:v>RFP-B1</x:v>
      </x:c>
      <x:c r="F131" s="13" t="str">
        <x:v>PTC-B</x:v>
      </x:c>
      <x:c r="G131" s="13" t="str">
        <x:v>QE-05</x:v>
      </x:c>
      <x:c r="H131" s="13" t="n">
        <x:v>500</x:v>
      </x:c>
      <x:c r="I131" s="13" t="n">
        <x:v>6.25</x:v>
      </x:c>
      <x:c r="J131" s="13" t="str">
        <x:v>OPPORTUNITY</x:v>
      </x:c>
      <x:c r="K131" s="13" t="n">
        <x:v>24</x:v>
      </x:c>
      <x:c r="L131" s="13" t="str">
        <x:v>NONE</x:v>
      </x:c>
      <x:c r="M131" s="13" t="str">
        <x:v>n.a.</x:v>
      </x:c>
      <x:c r="N131" s="13" t="n">
        <x:v>6</x:v>
      </x:c>
      <x:c r="O131" s="13" t="n">
        <x:v>10</x:v>
      </x:c>
      <x:c r="P131" s="13" t="str">
        <x:v>RAS-S033</x:v>
      </x:c>
      <x:c r="Q131" s="13" t="str">
        <x:v>RAS-W09</x:v>
      </x:c>
      <x:c r="R131" s="13" t="str"/>
      <x:c r="S131" s="13" t="str"/>
      <x:c r="T131" s="13" t="str"/>
      <x:c r="U131" s="13" t="str"/>
      <x:c r="V131" s="13" t="str">
        <x:f>IF(U131=1,IF(T131="VALID","PASS",IF(T131="INVALID","INVALID","OPEN")),"OPEN")</x:f>
        <x:v>OPEN</x:v>
      </x:c>
    </x:row>
    <x:row r="132">
      <x:c r="B132" s="13" t="str">
        <x:v>RAS-E126</x:v>
      </x:c>
      <x:c r="C132" s="13" t="str">
        <x:v>AM-06</x:v>
      </x:c>
      <x:c r="D132" s="13" t="str">
        <x:v>TR-B</x:v>
      </x:c>
      <x:c r="E132" s="13" t="str">
        <x:v>RFP-B1</x:v>
      </x:c>
      <x:c r="F132" s="13" t="str">
        <x:v>PTC-B</x:v>
      </x:c>
      <x:c r="G132" s="13" t="str">
        <x:v>QE-06</x:v>
      </x:c>
      <x:c r="H132" s="13" t="n">
        <x:v>500</x:v>
      </x:c>
      <x:c r="I132" s="13" t="n">
        <x:v>25</x:v>
      </x:c>
      <x:c r="J132" s="13" t="str">
        <x:v>OPPORTUNITY</x:v>
      </x:c>
      <x:c r="K132" s="13" t="n">
        <x:v>48</x:v>
      </x:c>
      <x:c r="L132" s="13" t="str">
        <x:v>ENERGY+NETWORK+PRIMARY TIME</x:v>
      </x:c>
      <x:c r="M132" s="13" t="str">
        <x:v>PTC-C</x:v>
      </x:c>
      <x:c r="N132" s="13" t="n">
        <x:v>8</x:v>
      </x:c>
      <x:c r="O132" s="13" t="n">
        <x:v>12</x:v>
      </x:c>
      <x:c r="P132" s="13" t="str">
        <x:v>RAS-S033</x:v>
      </x:c>
      <x:c r="Q132" s="13" t="str">
        <x:v>RAS-W09</x:v>
      </x:c>
      <x:c r="R132" s="13" t="str"/>
      <x:c r="S132" s="13" t="str"/>
      <x:c r="T132" s="13" t="str"/>
      <x:c r="U132" s="13" t="str"/>
      <x:c r="V132" s="13" t="str">
        <x:f>IF(U132=1,IF(T132="VALID","PASS",IF(T132="INVALID","INVALID","OPEN")),"OPEN")</x:f>
        <x:v>OPEN</x:v>
      </x:c>
    </x:row>
    <x:row r="133">
      <x:c r="B133" s="13" t="str">
        <x:v>RAS-E127</x:v>
      </x:c>
      <x:c r="C133" s="13" t="str">
        <x:v>AM-06</x:v>
      </x:c>
      <x:c r="D133" s="13" t="str">
        <x:v>TR-B</x:v>
      </x:c>
      <x:c r="E133" s="13" t="str">
        <x:v>RFP-B2</x:v>
      </x:c>
      <x:c r="F133" s="13" t="str">
        <x:v>PTC-B</x:v>
      </x:c>
      <x:c r="G133" s="13" t="str">
        <x:v>QE-01</x:v>
      </x:c>
      <x:c r="H133" s="13" t="n">
        <x:v>0</x:v>
      </x:c>
      <x:c r="I133" s="13" t="n">
        <x:v>0</x:v>
      </x:c>
      <x:c r="J133" s="13" t="str">
        <x:v>PROHIBITED</x:v>
      </x:c>
      <x:c r="K133" s="13" t="n">
        <x:v>0</x:v>
      </x:c>
      <x:c r="L133" s="13" t="str">
        <x:v>NONE</x:v>
      </x:c>
      <x:c r="M133" s="13" t="str">
        <x:v>n.a.</x:v>
      </x:c>
      <x:c r="N133" s="13" t="n">
        <x:v>2</x:v>
      </x:c>
      <x:c r="O133" s="13" t="n">
        <x:v>2</x:v>
      </x:c>
      <x:c r="P133" s="13" t="str">
        <x:v>RAS-S034</x:v>
      </x:c>
      <x:c r="Q133" s="13" t="str">
        <x:v>RAS-W13</x:v>
      </x:c>
      <x:c r="R133" s="13" t="str"/>
      <x:c r="S133" s="13" t="str"/>
      <x:c r="T133" s="13" t="str"/>
      <x:c r="U133" s="13" t="str"/>
      <x:c r="V133" s="13" t="str">
        <x:f>IF(U133=1,IF(T133="VALID","PASS",IF(T133="INVALID","INVALID","OPEN")),"OPEN")</x:f>
        <x:v>OPEN</x:v>
      </x:c>
    </x:row>
    <x:row r="134">
      <x:c r="B134" s="13" t="str">
        <x:v>RAS-E128</x:v>
      </x:c>
      <x:c r="C134" s="13" t="str">
        <x:v>AM-06</x:v>
      </x:c>
      <x:c r="D134" s="13" t="str">
        <x:v>TR-B</x:v>
      </x:c>
      <x:c r="E134" s="13" t="str">
        <x:v>RFP-B2</x:v>
      </x:c>
      <x:c r="F134" s="13" t="str">
        <x:v>PTC-B</x:v>
      </x:c>
      <x:c r="G134" s="13" t="str">
        <x:v>QE-02</x:v>
      </x:c>
      <x:c r="H134" s="13" t="n">
        <x:v>100</x:v>
      </x:c>
      <x:c r="I134" s="13" t="n">
        <x:v>2.5</x:v>
      </x:c>
      <x:c r="J134" s="13" t="str">
        <x:v>OPPORTUNITY</x:v>
      </x:c>
      <x:c r="K134" s="13" t="n">
        <x:v>0</x:v>
      </x:c>
      <x:c r="L134" s="13" t="str">
        <x:v>NONE</x:v>
      </x:c>
      <x:c r="M134" s="13" t="str">
        <x:v>n.a.</x:v>
      </x:c>
      <x:c r="N134" s="13" t="n">
        <x:v>3</x:v>
      </x:c>
      <x:c r="O134" s="13" t="n">
        <x:v>4</x:v>
      </x:c>
      <x:c r="P134" s="13" t="str">
        <x:v>RAS-S034</x:v>
      </x:c>
      <x:c r="Q134" s="13" t="str">
        <x:v>RAS-W13</x:v>
      </x:c>
      <x:c r="R134" s="13" t="str"/>
      <x:c r="S134" s="13" t="str"/>
      <x:c r="T134" s="13" t="str"/>
      <x:c r="U134" s="13" t="str"/>
      <x:c r="V134" s="13" t="str">
        <x:f>IF(U134=1,IF(T134="VALID","PASS",IF(T134="INVALID","INVALID","OPEN")),"OPEN")</x:f>
        <x:v>OPEN</x:v>
      </x:c>
    </x:row>
    <x:row r="135">
      <x:c r="B135" s="13" t="str">
        <x:v>RAS-E129</x:v>
      </x:c>
      <x:c r="C135" s="13" t="str">
        <x:v>AM-06</x:v>
      </x:c>
      <x:c r="D135" s="13" t="str">
        <x:v>TR-B</x:v>
      </x:c>
      <x:c r="E135" s="13" t="str">
        <x:v>RFP-B2</x:v>
      </x:c>
      <x:c r="F135" s="13" t="str">
        <x:v>PTC-B</x:v>
      </x:c>
      <x:c r="G135" s="13" t="str">
        <x:v>QE-03</x:v>
      </x:c>
      <x:c r="H135" s="13" t="n">
        <x:v>250</x:v>
      </x:c>
      <x:c r="I135" s="13" t="n">
        <x:v>5</x:v>
      </x:c>
      <x:c r="J135" s="13" t="str">
        <x:v>OPPORTUNITY</x:v>
      </x:c>
      <x:c r="K135" s="13" t="n">
        <x:v>0</x:v>
      </x:c>
      <x:c r="L135" s="13" t="str">
        <x:v>NONE</x:v>
      </x:c>
      <x:c r="M135" s="13" t="str">
        <x:v>n.a.</x:v>
      </x:c>
      <x:c r="N135" s="13" t="n">
        <x:v>3</x:v>
      </x:c>
      <x:c r="O135" s="13" t="n">
        <x:v>6</x:v>
      </x:c>
      <x:c r="P135" s="13" t="str">
        <x:v>RAS-S034</x:v>
      </x:c>
      <x:c r="Q135" s="13" t="str">
        <x:v>RAS-W13</x:v>
      </x:c>
      <x:c r="R135" s="13" t="str"/>
      <x:c r="S135" s="13" t="str"/>
      <x:c r="T135" s="13" t="str"/>
      <x:c r="U135" s="13" t="str"/>
      <x:c r="V135" s="13" t="str">
        <x:f>IF(U135=1,IF(T135="VALID","PASS",IF(T135="INVALID","INVALID","OPEN")),"OPEN")</x:f>
        <x:v>OPEN</x:v>
      </x:c>
    </x:row>
    <x:row r="136">
      <x:c r="B136" s="13" t="str">
        <x:v>RAS-E130</x:v>
      </x:c>
      <x:c r="C136" s="13" t="str">
        <x:v>AM-06</x:v>
      </x:c>
      <x:c r="D136" s="13" t="str">
        <x:v>TR-B</x:v>
      </x:c>
      <x:c r="E136" s="13" t="str">
        <x:v>RFP-B2</x:v>
      </x:c>
      <x:c r="F136" s="13" t="str">
        <x:v>PTC-B</x:v>
      </x:c>
      <x:c r="G136" s="13" t="str">
        <x:v>QE-04</x:v>
      </x:c>
      <x:c r="H136" s="13" t="n">
        <x:v>500</x:v>
      </x:c>
      <x:c r="I136" s="13" t="n">
        <x:v>6.25</x:v>
      </x:c>
      <x:c r="J136" s="13" t="str">
        <x:v>OPPORTUNITY</x:v>
      </x:c>
      <x:c r="K136" s="13" t="n">
        <x:v>0</x:v>
      </x:c>
      <x:c r="L136" s="13" t="str">
        <x:v>NONE</x:v>
      </x:c>
      <x:c r="M136" s="13" t="str">
        <x:v>n.a.</x:v>
      </x:c>
      <x:c r="N136" s="13" t="n">
        <x:v>4</x:v>
      </x:c>
      <x:c r="O136" s="13" t="n">
        <x:v>8</x:v>
      </x:c>
      <x:c r="P136" s="13" t="str">
        <x:v>RAS-S034</x:v>
      </x:c>
      <x:c r="Q136" s="13" t="str">
        <x:v>RAS-W13</x:v>
      </x:c>
      <x:c r="R136" s="13" t="str"/>
      <x:c r="S136" s="13" t="str"/>
      <x:c r="T136" s="13" t="str"/>
      <x:c r="U136" s="13" t="str"/>
      <x:c r="V136" s="13" t="str">
        <x:f>IF(U136=1,IF(T136="VALID","PASS",IF(T136="INVALID","INVALID","OPEN")),"OPEN")</x:f>
        <x:v>OPEN</x:v>
      </x:c>
    </x:row>
    <x:row r="137">
      <x:c r="B137" s="13" t="str">
        <x:v>RAS-E131</x:v>
      </x:c>
      <x:c r="C137" s="13" t="str">
        <x:v>AM-06</x:v>
      </x:c>
      <x:c r="D137" s="13" t="str">
        <x:v>TR-B</x:v>
      </x:c>
      <x:c r="E137" s="13" t="str">
        <x:v>RFP-B2</x:v>
      </x:c>
      <x:c r="F137" s="13" t="str">
        <x:v>PTC-B</x:v>
      </x:c>
      <x:c r="G137" s="13" t="str">
        <x:v>QE-05</x:v>
      </x:c>
      <x:c r="H137" s="13" t="n">
        <x:v>500</x:v>
      </x:c>
      <x:c r="I137" s="13" t="n">
        <x:v>6.25</x:v>
      </x:c>
      <x:c r="J137" s="13" t="str">
        <x:v>OPPORTUNITY</x:v>
      </x:c>
      <x:c r="K137" s="13" t="n">
        <x:v>24</x:v>
      </x:c>
      <x:c r="L137" s="13" t="str">
        <x:v>NONE</x:v>
      </x:c>
      <x:c r="M137" s="13" t="str">
        <x:v>n.a.</x:v>
      </x:c>
      <x:c r="N137" s="13" t="n">
        <x:v>6</x:v>
      </x:c>
      <x:c r="O137" s="13" t="n">
        <x:v>10</x:v>
      </x:c>
      <x:c r="P137" s="13" t="str">
        <x:v>RAS-S034</x:v>
      </x:c>
      <x:c r="Q137" s="13" t="str">
        <x:v>RAS-W13</x:v>
      </x:c>
      <x:c r="R137" s="13" t="str"/>
      <x:c r="S137" s="13" t="str"/>
      <x:c r="T137" s="13" t="str"/>
      <x:c r="U137" s="13" t="str"/>
      <x:c r="V137" s="13" t="str">
        <x:f>IF(U137=1,IF(T137="VALID","PASS",IF(T137="INVALID","INVALID","OPEN")),"OPEN")</x:f>
        <x:v>OPEN</x:v>
      </x:c>
    </x:row>
    <x:row r="138">
      <x:c r="B138" s="13" t="str">
        <x:v>RAS-E132</x:v>
      </x:c>
      <x:c r="C138" s="13" t="str">
        <x:v>AM-06</x:v>
      </x:c>
      <x:c r="D138" s="13" t="str">
        <x:v>TR-B</x:v>
      </x:c>
      <x:c r="E138" s="13" t="str">
        <x:v>RFP-B2</x:v>
      </x:c>
      <x:c r="F138" s="13" t="str">
        <x:v>PTC-B</x:v>
      </x:c>
      <x:c r="G138" s="13" t="str">
        <x:v>QE-06</x:v>
      </x:c>
      <x:c r="H138" s="13" t="n">
        <x:v>500</x:v>
      </x:c>
      <x:c r="I138" s="13" t="n">
        <x:v>25</x:v>
      </x:c>
      <x:c r="J138" s="13" t="str">
        <x:v>OPPORTUNITY</x:v>
      </x:c>
      <x:c r="K138" s="13" t="n">
        <x:v>48</x:v>
      </x:c>
      <x:c r="L138" s="13" t="str">
        <x:v>ENERGY+NETWORK+PRIMARY TIME</x:v>
      </x:c>
      <x:c r="M138" s="13" t="str">
        <x:v>PTC-C</x:v>
      </x:c>
      <x:c r="N138" s="13" t="n">
        <x:v>8</x:v>
      </x:c>
      <x:c r="O138" s="13" t="n">
        <x:v>12</x:v>
      </x:c>
      <x:c r="P138" s="13" t="str">
        <x:v>RAS-S034</x:v>
      </x:c>
      <x:c r="Q138" s="13" t="str">
        <x:v>RAS-W13</x:v>
      </x:c>
      <x:c r="R138" s="13" t="str"/>
      <x:c r="S138" s="13" t="str"/>
      <x:c r="T138" s="13" t="str"/>
      <x:c r="U138" s="13" t="str"/>
      <x:c r="V138" s="13" t="str">
        <x:f>IF(U138=1,IF(T138="VALID","PASS",IF(T138="INVALID","INVALID","OPEN")),"OPEN")</x:f>
        <x:v>OPEN</x:v>
      </x:c>
    </x:row>
    <x:row r="139">
      <x:c r="B139" s="13" t="str">
        <x:v>RAS-E133</x:v>
      </x:c>
      <x:c r="C139" s="13" t="str">
        <x:v>AM-06</x:v>
      </x:c>
      <x:c r="D139" s="13" t="str">
        <x:v>TR-B</x:v>
      </x:c>
      <x:c r="E139" s="13" t="str">
        <x:v>RFP-C1</x:v>
      </x:c>
      <x:c r="F139" s="13" t="str">
        <x:v>PTC-C</x:v>
      </x:c>
      <x:c r="G139" s="13" t="str">
        <x:v>QE-01</x:v>
      </x:c>
      <x:c r="H139" s="13" t="n">
        <x:v>0</x:v>
      </x:c>
      <x:c r="I139" s="13" t="n">
        <x:v>0</x:v>
      </x:c>
      <x:c r="J139" s="13" t="str">
        <x:v>PROHIBITED</x:v>
      </x:c>
      <x:c r="K139" s="13" t="n">
        <x:v>0</x:v>
      </x:c>
      <x:c r="L139" s="13" t="str">
        <x:v>NONE</x:v>
      </x:c>
      <x:c r="M139" s="13" t="str">
        <x:v>n.a.</x:v>
      </x:c>
      <x:c r="N139" s="13" t="n">
        <x:v>2</x:v>
      </x:c>
      <x:c r="O139" s="13" t="n">
        <x:v>2</x:v>
      </x:c>
      <x:c r="P139" s="13" t="str">
        <x:v>RAS-S035</x:v>
      </x:c>
      <x:c r="Q139" s="13" t="str">
        <x:v>RAS-W17</x:v>
      </x:c>
      <x:c r="R139" s="13" t="str"/>
      <x:c r="S139" s="13" t="str"/>
      <x:c r="T139" s="13" t="str"/>
      <x:c r="U139" s="13" t="str"/>
      <x:c r="V139" s="13" t="str">
        <x:f>IF(U139=1,IF(T139="VALID","PASS",IF(T139="INVALID","INVALID","OPEN")),"OPEN")</x:f>
        <x:v>OPEN</x:v>
      </x:c>
    </x:row>
    <x:row r="140">
      <x:c r="B140" s="13" t="str">
        <x:v>RAS-E134</x:v>
      </x:c>
      <x:c r="C140" s="13" t="str">
        <x:v>AM-06</x:v>
      </x:c>
      <x:c r="D140" s="13" t="str">
        <x:v>TR-B</x:v>
      </x:c>
      <x:c r="E140" s="13" t="str">
        <x:v>RFP-C1</x:v>
      </x:c>
      <x:c r="F140" s="13" t="str">
        <x:v>PTC-C</x:v>
      </x:c>
      <x:c r="G140" s="13" t="str">
        <x:v>QE-02</x:v>
      </x:c>
      <x:c r="H140" s="13" t="n">
        <x:v>100</x:v>
      </x:c>
      <x:c r="I140" s="13" t="n">
        <x:v>2.5</x:v>
      </x:c>
      <x:c r="J140" s="13" t="str">
        <x:v>OPPORTUNITY</x:v>
      </x:c>
      <x:c r="K140" s="13" t="n">
        <x:v>0</x:v>
      </x:c>
      <x:c r="L140" s="13" t="str">
        <x:v>NONE</x:v>
      </x:c>
      <x:c r="M140" s="13" t="str">
        <x:v>n.a.</x:v>
      </x:c>
      <x:c r="N140" s="13" t="n">
        <x:v>3</x:v>
      </x:c>
      <x:c r="O140" s="13" t="n">
        <x:v>4</x:v>
      </x:c>
      <x:c r="P140" s="13" t="str">
        <x:v>RAS-S035</x:v>
      </x:c>
      <x:c r="Q140" s="13" t="str">
        <x:v>RAS-W17</x:v>
      </x:c>
      <x:c r="R140" s="13" t="str"/>
      <x:c r="S140" s="13" t="str"/>
      <x:c r="T140" s="13" t="str"/>
      <x:c r="U140" s="13" t="str"/>
      <x:c r="V140" s="13" t="str">
        <x:f>IF(U140=1,IF(T140="VALID","PASS",IF(T140="INVALID","INVALID","OPEN")),"OPEN")</x:f>
        <x:v>OPEN</x:v>
      </x:c>
    </x:row>
    <x:row r="141">
      <x:c r="B141" s="13" t="str">
        <x:v>RAS-E135</x:v>
      </x:c>
      <x:c r="C141" s="13" t="str">
        <x:v>AM-06</x:v>
      </x:c>
      <x:c r="D141" s="13" t="str">
        <x:v>TR-B</x:v>
      </x:c>
      <x:c r="E141" s="13" t="str">
        <x:v>RFP-C1</x:v>
      </x:c>
      <x:c r="F141" s="13" t="str">
        <x:v>PTC-C</x:v>
      </x:c>
      <x:c r="G141" s="13" t="str">
        <x:v>QE-03</x:v>
      </x:c>
      <x:c r="H141" s="13" t="n">
        <x:v>250</x:v>
      </x:c>
      <x:c r="I141" s="13" t="n">
        <x:v>5</x:v>
      </x:c>
      <x:c r="J141" s="13" t="str">
        <x:v>OPPORTUNITY</x:v>
      </x:c>
      <x:c r="K141" s="13" t="n">
        <x:v>0</x:v>
      </x:c>
      <x:c r="L141" s="13" t="str">
        <x:v>NONE</x:v>
      </x:c>
      <x:c r="M141" s="13" t="str">
        <x:v>n.a.</x:v>
      </x:c>
      <x:c r="N141" s="13" t="n">
        <x:v>3</x:v>
      </x:c>
      <x:c r="O141" s="13" t="n">
        <x:v>6</x:v>
      </x:c>
      <x:c r="P141" s="13" t="str">
        <x:v>RAS-S035</x:v>
      </x:c>
      <x:c r="Q141" s="13" t="str">
        <x:v>RAS-W17</x:v>
      </x:c>
      <x:c r="R141" s="13" t="str"/>
      <x:c r="S141" s="13" t="str"/>
      <x:c r="T141" s="13" t="str"/>
      <x:c r="U141" s="13" t="str"/>
      <x:c r="V141" s="13" t="str">
        <x:f>IF(U141=1,IF(T141="VALID","PASS",IF(T141="INVALID","INVALID","OPEN")),"OPEN")</x:f>
        <x:v>OPEN</x:v>
      </x:c>
    </x:row>
    <x:row r="142">
      <x:c r="B142" s="13" t="str">
        <x:v>RAS-E136</x:v>
      </x:c>
      <x:c r="C142" s="13" t="str">
        <x:v>AM-06</x:v>
      </x:c>
      <x:c r="D142" s="13" t="str">
        <x:v>TR-B</x:v>
      </x:c>
      <x:c r="E142" s="13" t="str">
        <x:v>RFP-C1</x:v>
      </x:c>
      <x:c r="F142" s="13" t="str">
        <x:v>PTC-C</x:v>
      </x:c>
      <x:c r="G142" s="13" t="str">
        <x:v>QE-04</x:v>
      </x:c>
      <x:c r="H142" s="13" t="n">
        <x:v>500</x:v>
      </x:c>
      <x:c r="I142" s="13" t="n">
        <x:v>6.25</x:v>
      </x:c>
      <x:c r="J142" s="13" t="str">
        <x:v>OPPORTUNITY</x:v>
      </x:c>
      <x:c r="K142" s="13" t="n">
        <x:v>0</x:v>
      </x:c>
      <x:c r="L142" s="13" t="str">
        <x:v>NONE</x:v>
      </x:c>
      <x:c r="M142" s="13" t="str">
        <x:v>n.a.</x:v>
      </x:c>
      <x:c r="N142" s="13" t="n">
        <x:v>4</x:v>
      </x:c>
      <x:c r="O142" s="13" t="n">
        <x:v>8</x:v>
      </x:c>
      <x:c r="P142" s="13" t="str">
        <x:v>RAS-S035</x:v>
      </x:c>
      <x:c r="Q142" s="13" t="str">
        <x:v>RAS-W17</x:v>
      </x:c>
      <x:c r="R142" s="13" t="str"/>
      <x:c r="S142" s="13" t="str"/>
      <x:c r="T142" s="13" t="str"/>
      <x:c r="U142" s="13" t="str"/>
      <x:c r="V142" s="13" t="str">
        <x:f>IF(U142=1,IF(T142="VALID","PASS",IF(T142="INVALID","INVALID","OPEN")),"OPEN")</x:f>
        <x:v>OPEN</x:v>
      </x:c>
    </x:row>
    <x:row r="143">
      <x:c r="B143" s="13" t="str">
        <x:v>RAS-E137</x:v>
      </x:c>
      <x:c r="C143" s="13" t="str">
        <x:v>AM-06</x:v>
      </x:c>
      <x:c r="D143" s="13" t="str">
        <x:v>TR-B</x:v>
      </x:c>
      <x:c r="E143" s="13" t="str">
        <x:v>RFP-C1</x:v>
      </x:c>
      <x:c r="F143" s="13" t="str">
        <x:v>PTC-C</x:v>
      </x:c>
      <x:c r="G143" s="13" t="str">
        <x:v>QE-05</x:v>
      </x:c>
      <x:c r="H143" s="13" t="n">
        <x:v>500</x:v>
      </x:c>
      <x:c r="I143" s="13" t="n">
        <x:v>6.25</x:v>
      </x:c>
      <x:c r="J143" s="13" t="str">
        <x:v>OPPORTUNITY</x:v>
      </x:c>
      <x:c r="K143" s="13" t="n">
        <x:v>24</x:v>
      </x:c>
      <x:c r="L143" s="13" t="str">
        <x:v>NONE</x:v>
      </x:c>
      <x:c r="M143" s="13" t="str">
        <x:v>n.a.</x:v>
      </x:c>
      <x:c r="N143" s="13" t="n">
        <x:v>6</x:v>
      </x:c>
      <x:c r="O143" s="13" t="n">
        <x:v>10</x:v>
      </x:c>
      <x:c r="P143" s="13" t="str">
        <x:v>RAS-S035</x:v>
      </x:c>
      <x:c r="Q143" s="13" t="str">
        <x:v>RAS-W17</x:v>
      </x:c>
      <x:c r="R143" s="13" t="str"/>
      <x:c r="S143" s="13" t="str"/>
      <x:c r="T143" s="13" t="str"/>
      <x:c r="U143" s="13" t="str"/>
      <x:c r="V143" s="13" t="str">
        <x:f>IF(U143=1,IF(T143="VALID","PASS",IF(T143="INVALID","INVALID","OPEN")),"OPEN")</x:f>
        <x:v>OPEN</x:v>
      </x:c>
    </x:row>
    <x:row r="144">
      <x:c r="B144" s="13" t="str">
        <x:v>RAS-E138</x:v>
      </x:c>
      <x:c r="C144" s="13" t="str">
        <x:v>AM-06</x:v>
      </x:c>
      <x:c r="D144" s="13" t="str">
        <x:v>TR-B</x:v>
      </x:c>
      <x:c r="E144" s="13" t="str">
        <x:v>RFP-C1</x:v>
      </x:c>
      <x:c r="F144" s="13" t="str">
        <x:v>PTC-C</x:v>
      </x:c>
      <x:c r="G144" s="13" t="str">
        <x:v>QE-06</x:v>
      </x:c>
      <x:c r="H144" s="13" t="n">
        <x:v>500</x:v>
      </x:c>
      <x:c r="I144" s="13" t="n">
        <x:v>25</x:v>
      </x:c>
      <x:c r="J144" s="13" t="str">
        <x:v>OPPORTUNITY</x:v>
      </x:c>
      <x:c r="K144" s="13" t="n">
        <x:v>48</x:v>
      </x:c>
      <x:c r="L144" s="13" t="str">
        <x:v>ENERGY+NETWORK+PRIMARY TIME</x:v>
      </x:c>
      <x:c r="M144" s="13" t="str">
        <x:v>PTC-B</x:v>
      </x:c>
      <x:c r="N144" s="13" t="n">
        <x:v>8</x:v>
      </x:c>
      <x:c r="O144" s="13" t="n">
        <x:v>12</x:v>
      </x:c>
      <x:c r="P144" s="13" t="str">
        <x:v>RAS-S035</x:v>
      </x:c>
      <x:c r="Q144" s="13" t="str">
        <x:v>RAS-W17</x:v>
      </x:c>
      <x:c r="R144" s="13" t="str"/>
      <x:c r="S144" s="13" t="str"/>
      <x:c r="T144" s="13" t="str"/>
      <x:c r="U144" s="13" t="str"/>
      <x:c r="V144" s="13" t="str">
        <x:f>IF(U144=1,IF(T144="VALID","PASS",IF(T144="INVALID","INVALID","OPEN")),"OPEN")</x:f>
        <x:v>OPEN</x:v>
      </x:c>
    </x:row>
    <x:row r="145">
      <x:c r="B145" s="13" t="str">
        <x:v>RAS-E139</x:v>
      </x:c>
      <x:c r="C145" s="13" t="str">
        <x:v>AM-06</x:v>
      </x:c>
      <x:c r="D145" s="13" t="str">
        <x:v>TR-B</x:v>
      </x:c>
      <x:c r="E145" s="13" t="str">
        <x:v>RFP-C2</x:v>
      </x:c>
      <x:c r="F145" s="13" t="str">
        <x:v>PTC-C</x:v>
      </x:c>
      <x:c r="G145" s="13" t="str">
        <x:v>QE-01</x:v>
      </x:c>
      <x:c r="H145" s="13" t="n">
        <x:v>0</x:v>
      </x:c>
      <x:c r="I145" s="13" t="n">
        <x:v>0</x:v>
      </x:c>
      <x:c r="J145" s="13" t="str">
        <x:v>PROHIBITED</x:v>
      </x:c>
      <x:c r="K145" s="13" t="n">
        <x:v>0</x:v>
      </x:c>
      <x:c r="L145" s="13" t="str">
        <x:v>NONE</x:v>
      </x:c>
      <x:c r="M145" s="13" t="str">
        <x:v>n.a.</x:v>
      </x:c>
      <x:c r="N145" s="13" t="n">
        <x:v>2</x:v>
      </x:c>
      <x:c r="O145" s="13" t="n">
        <x:v>2</x:v>
      </x:c>
      <x:c r="P145" s="13" t="str">
        <x:v>RAS-S036</x:v>
      </x:c>
      <x:c r="Q145" s="13" t="str">
        <x:v>RAS-W21</x:v>
      </x:c>
      <x:c r="R145" s="13" t="str"/>
      <x:c r="S145" s="13" t="str"/>
      <x:c r="T145" s="13" t="str"/>
      <x:c r="U145" s="13" t="str"/>
      <x:c r="V145" s="13" t="str">
        <x:f>IF(U145=1,IF(T145="VALID","PASS",IF(T145="INVALID","INVALID","OPEN")),"OPEN")</x:f>
        <x:v>OPEN</x:v>
      </x:c>
    </x:row>
    <x:row r="146">
      <x:c r="B146" s="13" t="str">
        <x:v>RAS-E140</x:v>
      </x:c>
      <x:c r="C146" s="13" t="str">
        <x:v>AM-06</x:v>
      </x:c>
      <x:c r="D146" s="13" t="str">
        <x:v>TR-B</x:v>
      </x:c>
      <x:c r="E146" s="13" t="str">
        <x:v>RFP-C2</x:v>
      </x:c>
      <x:c r="F146" s="13" t="str">
        <x:v>PTC-C</x:v>
      </x:c>
      <x:c r="G146" s="13" t="str">
        <x:v>QE-02</x:v>
      </x:c>
      <x:c r="H146" s="13" t="n">
        <x:v>100</x:v>
      </x:c>
      <x:c r="I146" s="13" t="n">
        <x:v>2.5</x:v>
      </x:c>
      <x:c r="J146" s="13" t="str">
        <x:v>OPPORTUNITY</x:v>
      </x:c>
      <x:c r="K146" s="13" t="n">
        <x:v>0</x:v>
      </x:c>
      <x:c r="L146" s="13" t="str">
        <x:v>NONE</x:v>
      </x:c>
      <x:c r="M146" s="13" t="str">
        <x:v>n.a.</x:v>
      </x:c>
      <x:c r="N146" s="13" t="n">
        <x:v>3</x:v>
      </x:c>
      <x:c r="O146" s="13" t="n">
        <x:v>4</x:v>
      </x:c>
      <x:c r="P146" s="13" t="str">
        <x:v>RAS-S036</x:v>
      </x:c>
      <x:c r="Q146" s="13" t="str">
        <x:v>RAS-W21</x:v>
      </x:c>
      <x:c r="R146" s="13" t="str"/>
      <x:c r="S146" s="13" t="str"/>
      <x:c r="T146" s="13" t="str"/>
      <x:c r="U146" s="13" t="str"/>
      <x:c r="V146" s="13" t="str">
        <x:f>IF(U146=1,IF(T146="VALID","PASS",IF(T146="INVALID","INVALID","OPEN")),"OPEN")</x:f>
        <x:v>OPEN</x:v>
      </x:c>
    </x:row>
    <x:row r="147">
      <x:c r="B147" s="13" t="str">
        <x:v>RAS-E141</x:v>
      </x:c>
      <x:c r="C147" s="13" t="str">
        <x:v>AM-06</x:v>
      </x:c>
      <x:c r="D147" s="13" t="str">
        <x:v>TR-B</x:v>
      </x:c>
      <x:c r="E147" s="13" t="str">
        <x:v>RFP-C2</x:v>
      </x:c>
      <x:c r="F147" s="13" t="str">
        <x:v>PTC-C</x:v>
      </x:c>
      <x:c r="G147" s="13" t="str">
        <x:v>QE-03</x:v>
      </x:c>
      <x:c r="H147" s="13" t="n">
        <x:v>250</x:v>
      </x:c>
      <x:c r="I147" s="13" t="n">
        <x:v>5</x:v>
      </x:c>
      <x:c r="J147" s="13" t="str">
        <x:v>OPPORTUNITY</x:v>
      </x:c>
      <x:c r="K147" s="13" t="n">
        <x:v>0</x:v>
      </x:c>
      <x:c r="L147" s="13" t="str">
        <x:v>NONE</x:v>
      </x:c>
      <x:c r="M147" s="13" t="str">
        <x:v>n.a.</x:v>
      </x:c>
      <x:c r="N147" s="13" t="n">
        <x:v>3</x:v>
      </x:c>
      <x:c r="O147" s="13" t="n">
        <x:v>6</x:v>
      </x:c>
      <x:c r="P147" s="13" t="str">
        <x:v>RAS-S036</x:v>
      </x:c>
      <x:c r="Q147" s="13" t="str">
        <x:v>RAS-W21</x:v>
      </x:c>
      <x:c r="R147" s="13" t="str"/>
      <x:c r="S147" s="13" t="str"/>
      <x:c r="T147" s="13" t="str"/>
      <x:c r="U147" s="13" t="str"/>
      <x:c r="V147" s="13" t="str">
        <x:f>IF(U147=1,IF(T147="VALID","PASS",IF(T147="INVALID","INVALID","OPEN")),"OPEN")</x:f>
        <x:v>OPEN</x:v>
      </x:c>
    </x:row>
    <x:row r="148">
      <x:c r="B148" s="13" t="str">
        <x:v>RAS-E142</x:v>
      </x:c>
      <x:c r="C148" s="13" t="str">
        <x:v>AM-06</x:v>
      </x:c>
      <x:c r="D148" s="13" t="str">
        <x:v>TR-B</x:v>
      </x:c>
      <x:c r="E148" s="13" t="str">
        <x:v>RFP-C2</x:v>
      </x:c>
      <x:c r="F148" s="13" t="str">
        <x:v>PTC-C</x:v>
      </x:c>
      <x:c r="G148" s="13" t="str">
        <x:v>QE-04</x:v>
      </x:c>
      <x:c r="H148" s="13" t="n">
        <x:v>500</x:v>
      </x:c>
      <x:c r="I148" s="13" t="n">
        <x:v>6.25</x:v>
      </x:c>
      <x:c r="J148" s="13" t="str">
        <x:v>OPPORTUNITY</x:v>
      </x:c>
      <x:c r="K148" s="13" t="n">
        <x:v>0</x:v>
      </x:c>
      <x:c r="L148" s="13" t="str">
        <x:v>NONE</x:v>
      </x:c>
      <x:c r="M148" s="13" t="str">
        <x:v>n.a.</x:v>
      </x:c>
      <x:c r="N148" s="13" t="n">
        <x:v>4</x:v>
      </x:c>
      <x:c r="O148" s="13" t="n">
        <x:v>8</x:v>
      </x:c>
      <x:c r="P148" s="13" t="str">
        <x:v>RAS-S036</x:v>
      </x:c>
      <x:c r="Q148" s="13" t="str">
        <x:v>RAS-W21</x:v>
      </x:c>
      <x:c r="R148" s="13" t="str"/>
      <x:c r="S148" s="13" t="str"/>
      <x:c r="T148" s="13" t="str"/>
      <x:c r="U148" s="13" t="str"/>
      <x:c r="V148" s="13" t="str">
        <x:f>IF(U148=1,IF(T148="VALID","PASS",IF(T148="INVALID","INVALID","OPEN")),"OPEN")</x:f>
        <x:v>OPEN</x:v>
      </x:c>
    </x:row>
    <x:row r="149">
      <x:c r="B149" s="13" t="str">
        <x:v>RAS-E143</x:v>
      </x:c>
      <x:c r="C149" s="13" t="str">
        <x:v>AM-06</x:v>
      </x:c>
      <x:c r="D149" s="13" t="str">
        <x:v>TR-B</x:v>
      </x:c>
      <x:c r="E149" s="13" t="str">
        <x:v>RFP-C2</x:v>
      </x:c>
      <x:c r="F149" s="13" t="str">
        <x:v>PTC-C</x:v>
      </x:c>
      <x:c r="G149" s="13" t="str">
        <x:v>QE-05</x:v>
      </x:c>
      <x:c r="H149" s="13" t="n">
        <x:v>500</x:v>
      </x:c>
      <x:c r="I149" s="13" t="n">
        <x:v>6.25</x:v>
      </x:c>
      <x:c r="J149" s="13" t="str">
        <x:v>OPPORTUNITY</x:v>
      </x:c>
      <x:c r="K149" s="13" t="n">
        <x:v>24</x:v>
      </x:c>
      <x:c r="L149" s="13" t="str">
        <x:v>NONE</x:v>
      </x:c>
      <x:c r="M149" s="13" t="str">
        <x:v>n.a.</x:v>
      </x:c>
      <x:c r="N149" s="13" t="n">
        <x:v>6</x:v>
      </x:c>
      <x:c r="O149" s="13" t="n">
        <x:v>10</x:v>
      </x:c>
      <x:c r="P149" s="13" t="str">
        <x:v>RAS-S036</x:v>
      </x:c>
      <x:c r="Q149" s="13" t="str">
        <x:v>RAS-W21</x:v>
      </x:c>
      <x:c r="R149" s="13" t="str"/>
      <x:c r="S149" s="13" t="str"/>
      <x:c r="T149" s="13" t="str"/>
      <x:c r="U149" s="13" t="str"/>
      <x:c r="V149" s="13" t="str">
        <x:f>IF(U149=1,IF(T149="VALID","PASS",IF(T149="INVALID","INVALID","OPEN")),"OPEN")</x:f>
        <x:v>OPEN</x:v>
      </x:c>
    </x:row>
    <x:row r="150">
      <x:c r="B150" s="13" t="str">
        <x:v>RAS-E144</x:v>
      </x:c>
      <x:c r="C150" s="13" t="str">
        <x:v>AM-06</x:v>
      </x:c>
      <x:c r="D150" s="13" t="str">
        <x:v>TR-B</x:v>
      </x:c>
      <x:c r="E150" s="13" t="str">
        <x:v>RFP-C2</x:v>
      </x:c>
      <x:c r="F150" s="13" t="str">
        <x:v>PTC-C</x:v>
      </x:c>
      <x:c r="G150" s="13" t="str">
        <x:v>QE-06</x:v>
      </x:c>
      <x:c r="H150" s="13" t="n">
        <x:v>500</x:v>
      </x:c>
      <x:c r="I150" s="13" t="n">
        <x:v>25</x:v>
      </x:c>
      <x:c r="J150" s="13" t="str">
        <x:v>OPPORTUNITY</x:v>
      </x:c>
      <x:c r="K150" s="13" t="n">
        <x:v>48</x:v>
      </x:c>
      <x:c r="L150" s="13" t="str">
        <x:v>ENERGY+NETWORK+PRIMARY TIME</x:v>
      </x:c>
      <x:c r="M150" s="13" t="str">
        <x:v>PTC-B</x:v>
      </x:c>
      <x:c r="N150" s="13" t="n">
        <x:v>8</x:v>
      </x:c>
      <x:c r="O150" s="13" t="n">
        <x:v>12</x:v>
      </x:c>
      <x:c r="P150" s="13" t="str">
        <x:v>RAS-S036</x:v>
      </x:c>
      <x:c r="Q150" s="13" t="str">
        <x:v>RAS-W21</x:v>
      </x:c>
      <x:c r="R150" s="13" t="str"/>
      <x:c r="S150" s="13" t="str"/>
      <x:c r="T150" s="13" t="str"/>
      <x:c r="U150" s="13" t="str"/>
      <x:c r="V150" s="13" t="str">
        <x:f>IF(U150=1,IF(T150="VALID","PASS",IF(T150="INVALID","INVALID","OPEN")),"OPEN")</x:f>
        <x:v>OPEN</x:v>
      </x:c>
    </x:row>
  </x:sheetData>
  <x:conditionalFormatting sqref="V7:V150">
    <x:cfRule type="containsText" dxfId="56" priority="1" operator="containsText" text="FAIL"/>
    <x:cfRule type="containsText" dxfId="57" priority="2" operator="containsText" text="INVALID"/>
    <x:cfRule type="containsText" dxfId="58" priority="3" operator="containsText" text="BLOCKED"/>
    <x:cfRule type="containsText" dxfId="59" priority="4" operator="containsText" text="OPEN"/>
    <x:cfRule type="containsText" dxfId="60" priority="5" operator="containsText" text="GAP"/>
    <x:cfRule type="containsText" dxfId="61" priority="6" operator="containsText" text="DORMANT"/>
    <x:cfRule type="containsText" dxfId="62" priority="7" operator="containsText" text="PASS"/>
    <x:cfRule type="containsText" dxfId="63" priority="8" operator="containsText" text="VALI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6" hidden="0" customWidth="1"/>
    <x:col min="9" max="9" width="18" hidden="0" customWidth="1"/>
    <x:col min="10" max="10" width="18" hidden="0" customWidth="1"/>
    <x:col min="11" max="11" width="16" hidden="0" customWidth="1"/>
    <x:col min="12" max="12" width="31" hidden="0" customWidth="1"/>
    <x:col min="13" max="13" width="17" hidden="0" customWidth="1"/>
    <x:col min="14" max="14" width="14" hidden="0" customWidth="1"/>
    <x:col min="15" max="15" width="12" hidden="0" customWidth="1"/>
    <x:col min="16" max="16" width="14" hidden="0" customWidth="1"/>
    <x:col min="1" max="1" width="3" hidden="0" customWidth="1"/>
  </x:cols>
  <x:sheetData>
    <x:row r="2">
      <x:c r="B2" s="12" t="str">
        <x:v>Complete AM-06 × RFP-B1 entry cell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>
      <x:c r="B3" s="2" t="str">
        <x:v>Both truth roots and all six classes remain visible without claiming physical execution.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</x:row>
    <x:row r="6" ht="24" customHeight="1">
      <x:c r="B6" s="6" t="str">
        <x:v>Event</x:v>
      </x:c>
      <x:c r="C6" s="6" t="str">
        <x:v>Method</x:v>
      </x:c>
      <x:c r="D6" s="6" t="str">
        <x:v>Truth root</x:v>
      </x:c>
      <x:c r="E6" s="6" t="str">
        <x:v>Rig</x:v>
      </x:c>
      <x:c r="F6" s="6" t="str">
        <x:v>Campus</x:v>
      </x:c>
      <x:c r="G6" s="6" t="str">
        <x:v>Class</x:v>
      </x:c>
      <x:c r="H6" s="6" t="str">
        <x:v>Source kg</x:v>
      </x:c>
      <x:c r="I6" s="6" t="str">
        <x:v>Area bound m2</x:v>
      </x:c>
      <x:c r="J6" s="6" t="str">
        <x:v>Ignition</x:v>
      </x:c>
      <x:c r="K6" s="6" t="str">
        <x:v>Water m3</x:v>
      </x:c>
      <x:c r="L6" s="6" t="str">
        <x:v>Denied services</x:v>
      </x:c>
      <x:c r="M6" s="6" t="str">
        <x:v>Replay campus</x:v>
      </x:c>
      <x:c r="N6" s="6" t="str">
        <x:v>Rig-days</x:v>
      </x:c>
      <x:c r="O6" s="6" t="str">
        <x:v>Order</x:v>
      </x:c>
      <x:c r="P6" s="6" t="str">
        <x:v>State</x:v>
      </x:c>
    </x:row>
    <x:row r="7">
      <x:c r="B7" s="13" t="str">
        <x:v>RAS-E085</x:v>
      </x:c>
      <x:c r="C7" s="13" t="str">
        <x:v>AM-06</x:v>
      </x:c>
      <x:c r="D7" s="13" t="str">
        <x:v>TR-A</x:v>
      </x:c>
      <x:c r="E7" s="13" t="str">
        <x:v>RFP-B1</x:v>
      </x:c>
      <x:c r="F7" s="13" t="str">
        <x:v>PTC-B</x:v>
      </x:c>
      <x:c r="G7" s="13" t="str">
        <x:v>QE-01</x:v>
      </x:c>
      <x:c r="H7" s="13" t="n">
        <x:v>0</x:v>
      </x:c>
      <x:c r="I7" s="13" t="n">
        <x:v>0</x:v>
      </x:c>
      <x:c r="J7" s="13" t="str">
        <x:v>PROHIBITED</x:v>
      </x:c>
      <x:c r="K7" s="13" t="n">
        <x:v>0</x:v>
      </x:c>
      <x:c r="L7" s="13" t="str">
        <x:v>NONE</x:v>
      </x:c>
      <x:c r="M7" s="13" t="str">
        <x:v>n.a.</x:v>
      </x:c>
      <x:c r="N7" s="13" t="n">
        <x:v>2</x:v>
      </x:c>
      <x:c r="O7" s="13" t="n">
        <x:v>1</x:v>
      </x:c>
      <x:c r="P7" s="13" t="str">
        <x:v>OPEN</x:v>
      </x:c>
    </x:row>
    <x:row r="8">
      <x:c r="B8" s="13" t="str">
        <x:v>RAS-E086</x:v>
      </x:c>
      <x:c r="C8" s="13" t="str">
        <x:v>AM-06</x:v>
      </x:c>
      <x:c r="D8" s="13" t="str">
        <x:v>TR-A</x:v>
      </x:c>
      <x:c r="E8" s="13" t="str">
        <x:v>RFP-B1</x:v>
      </x:c>
      <x:c r="F8" s="13" t="str">
        <x:v>PTC-B</x:v>
      </x:c>
      <x:c r="G8" s="13" t="str">
        <x:v>QE-02</x:v>
      </x:c>
      <x:c r="H8" s="13" t="n">
        <x:v>100</x:v>
      </x:c>
      <x:c r="I8" s="13" t="n">
        <x:v>2.5</x:v>
      </x:c>
      <x:c r="J8" s="13" t="str">
        <x:v>OPPORTUNITY</x:v>
      </x:c>
      <x:c r="K8" s="13" t="n">
        <x:v>0</x:v>
      </x:c>
      <x:c r="L8" s="13" t="str">
        <x:v>NONE</x:v>
      </x:c>
      <x:c r="M8" s="13" t="str">
        <x:v>n.a.</x:v>
      </x:c>
      <x:c r="N8" s="13" t="n">
        <x:v>3</x:v>
      </x:c>
      <x:c r="O8" s="13" t="n">
        <x:v>3</x:v>
      </x:c>
      <x:c r="P8" s="13" t="str">
        <x:v>OPEN</x:v>
      </x:c>
    </x:row>
    <x:row r="9">
      <x:c r="B9" s="13" t="str">
        <x:v>RAS-E087</x:v>
      </x:c>
      <x:c r="C9" s="13" t="str">
        <x:v>AM-06</x:v>
      </x:c>
      <x:c r="D9" s="13" t="str">
        <x:v>TR-A</x:v>
      </x:c>
      <x:c r="E9" s="13" t="str">
        <x:v>RFP-B1</x:v>
      </x:c>
      <x:c r="F9" s="13" t="str">
        <x:v>PTC-B</x:v>
      </x:c>
      <x:c r="G9" s="13" t="str">
        <x:v>QE-03</x:v>
      </x:c>
      <x:c r="H9" s="13" t="n">
        <x:v>250</x:v>
      </x:c>
      <x:c r="I9" s="13" t="n">
        <x:v>5</x:v>
      </x:c>
      <x:c r="J9" s="13" t="str">
        <x:v>OPPORTUNITY</x:v>
      </x:c>
      <x:c r="K9" s="13" t="n">
        <x:v>0</x:v>
      </x:c>
      <x:c r="L9" s="13" t="str">
        <x:v>NONE</x:v>
      </x:c>
      <x:c r="M9" s="13" t="str">
        <x:v>n.a.</x:v>
      </x:c>
      <x:c r="N9" s="13" t="n">
        <x:v>3</x:v>
      </x:c>
      <x:c r="O9" s="13" t="n">
        <x:v>5</x:v>
      </x:c>
      <x:c r="P9" s="13" t="str">
        <x:v>OPEN</x:v>
      </x:c>
    </x:row>
    <x:row r="10">
      <x:c r="B10" s="13" t="str">
        <x:v>RAS-E088</x:v>
      </x:c>
      <x:c r="C10" s="13" t="str">
        <x:v>AM-06</x:v>
      </x:c>
      <x:c r="D10" s="13" t="str">
        <x:v>TR-A</x:v>
      </x:c>
      <x:c r="E10" s="13" t="str">
        <x:v>RFP-B1</x:v>
      </x:c>
      <x:c r="F10" s="13" t="str">
        <x:v>PTC-B</x:v>
      </x:c>
      <x:c r="G10" s="13" t="str">
        <x:v>QE-04</x:v>
      </x:c>
      <x:c r="H10" s="13" t="n">
        <x:v>500</x:v>
      </x:c>
      <x:c r="I10" s="13" t="n">
        <x:v>6.25</x:v>
      </x:c>
      <x:c r="J10" s="13" t="str">
        <x:v>OPPORTUNITY</x:v>
      </x:c>
      <x:c r="K10" s="13" t="n">
        <x:v>0</x:v>
      </x:c>
      <x:c r="L10" s="13" t="str">
        <x:v>NONE</x:v>
      </x:c>
      <x:c r="M10" s="13" t="str">
        <x:v>n.a.</x:v>
      </x:c>
      <x:c r="N10" s="13" t="n">
        <x:v>4</x:v>
      </x:c>
      <x:c r="O10" s="13" t="n">
        <x:v>7</x:v>
      </x:c>
      <x:c r="P10" s="13" t="str">
        <x:v>OPEN</x:v>
      </x:c>
    </x:row>
    <x:row r="11">
      <x:c r="B11" s="13" t="str">
        <x:v>RAS-E089</x:v>
      </x:c>
      <x:c r="C11" s="13" t="str">
        <x:v>AM-06</x:v>
      </x:c>
      <x:c r="D11" s="13" t="str">
        <x:v>TR-A</x:v>
      </x:c>
      <x:c r="E11" s="13" t="str">
        <x:v>RFP-B1</x:v>
      </x:c>
      <x:c r="F11" s="13" t="str">
        <x:v>PTC-B</x:v>
      </x:c>
      <x:c r="G11" s="13" t="str">
        <x:v>QE-05</x:v>
      </x:c>
      <x:c r="H11" s="13" t="n">
        <x:v>500</x:v>
      </x:c>
      <x:c r="I11" s="13" t="n">
        <x:v>6.25</x:v>
      </x:c>
      <x:c r="J11" s="13" t="str">
        <x:v>OPPORTUNITY</x:v>
      </x:c>
      <x:c r="K11" s="13" t="n">
        <x:v>24</x:v>
      </x:c>
      <x:c r="L11" s="13" t="str">
        <x:v>NONE</x:v>
      </x:c>
      <x:c r="M11" s="13" t="str">
        <x:v>n.a.</x:v>
      </x:c>
      <x:c r="N11" s="13" t="n">
        <x:v>6</x:v>
      </x:c>
      <x:c r="O11" s="13" t="n">
        <x:v>9</x:v>
      </x:c>
      <x:c r="P11" s="13" t="str">
        <x:v>OPEN</x:v>
      </x:c>
    </x:row>
    <x:row r="12">
      <x:c r="B12" s="13" t="str">
        <x:v>RAS-E090</x:v>
      </x:c>
      <x:c r="C12" s="13" t="str">
        <x:v>AM-06</x:v>
      </x:c>
      <x:c r="D12" s="13" t="str">
        <x:v>TR-A</x:v>
      </x:c>
      <x:c r="E12" s="13" t="str">
        <x:v>RFP-B1</x:v>
      </x:c>
      <x:c r="F12" s="13" t="str">
        <x:v>PTC-B</x:v>
      </x:c>
      <x:c r="G12" s="13" t="str">
        <x:v>QE-06</x:v>
      </x:c>
      <x:c r="H12" s="13" t="n">
        <x:v>500</x:v>
      </x:c>
      <x:c r="I12" s="13" t="n">
        <x:v>25</x:v>
      </x:c>
      <x:c r="J12" s="13" t="str">
        <x:v>OPPORTUNITY</x:v>
      </x:c>
      <x:c r="K12" s="13" t="n">
        <x:v>48</x:v>
      </x:c>
      <x:c r="L12" s="13" t="str">
        <x:v>ENERGY+NETWORK+PRIMARY TIME</x:v>
      </x:c>
      <x:c r="M12" s="13" t="str">
        <x:v>PTC-C</x:v>
      </x:c>
      <x:c r="N12" s="13" t="n">
        <x:v>8</x:v>
      </x:c>
      <x:c r="O12" s="13" t="n">
        <x:v>11</x:v>
      </x:c>
      <x:c r="P12" s="13" t="str">
        <x:v>OPEN</x:v>
      </x:c>
    </x:row>
    <x:row r="13">
      <x:c r="B13" s="13" t="str">
        <x:v>RAS-E121</x:v>
      </x:c>
      <x:c r="C13" s="13" t="str">
        <x:v>AM-06</x:v>
      </x:c>
      <x:c r="D13" s="13" t="str">
        <x:v>TR-B</x:v>
      </x:c>
      <x:c r="E13" s="13" t="str">
        <x:v>RFP-B1</x:v>
      </x:c>
      <x:c r="F13" s="13" t="str">
        <x:v>PTC-B</x:v>
      </x:c>
      <x:c r="G13" s="13" t="str">
        <x:v>QE-01</x:v>
      </x:c>
      <x:c r="H13" s="13" t="n">
        <x:v>0</x:v>
      </x:c>
      <x:c r="I13" s="13" t="n">
        <x:v>0</x:v>
      </x:c>
      <x:c r="J13" s="13" t="str">
        <x:v>PROHIBITED</x:v>
      </x:c>
      <x:c r="K13" s="13" t="n">
        <x:v>0</x:v>
      </x:c>
      <x:c r="L13" s="13" t="str">
        <x:v>NONE</x:v>
      </x:c>
      <x:c r="M13" s="13" t="str">
        <x:v>n.a.</x:v>
      </x:c>
      <x:c r="N13" s="13" t="n">
        <x:v>2</x:v>
      </x:c>
      <x:c r="O13" s="13" t="n">
        <x:v>2</x:v>
      </x:c>
      <x:c r="P13" s="13" t="str">
        <x:v>OPEN</x:v>
      </x:c>
    </x:row>
    <x:row r="14">
      <x:c r="B14" s="13" t="str">
        <x:v>RAS-E122</x:v>
      </x:c>
      <x:c r="C14" s="13" t="str">
        <x:v>AM-06</x:v>
      </x:c>
      <x:c r="D14" s="13" t="str">
        <x:v>TR-B</x:v>
      </x:c>
      <x:c r="E14" s="13" t="str">
        <x:v>RFP-B1</x:v>
      </x:c>
      <x:c r="F14" s="13" t="str">
        <x:v>PTC-B</x:v>
      </x:c>
      <x:c r="G14" s="13" t="str">
        <x:v>QE-02</x:v>
      </x:c>
      <x:c r="H14" s="13" t="n">
        <x:v>100</x:v>
      </x:c>
      <x:c r="I14" s="13" t="n">
        <x:v>2.5</x:v>
      </x:c>
      <x:c r="J14" s="13" t="str">
        <x:v>OPPORTUNITY</x:v>
      </x:c>
      <x:c r="K14" s="13" t="n">
        <x:v>0</x:v>
      </x:c>
      <x:c r="L14" s="13" t="str">
        <x:v>NONE</x:v>
      </x:c>
      <x:c r="M14" s="13" t="str">
        <x:v>n.a.</x:v>
      </x:c>
      <x:c r="N14" s="13" t="n">
        <x:v>3</x:v>
      </x:c>
      <x:c r="O14" s="13" t="n">
        <x:v>4</x:v>
      </x:c>
      <x:c r="P14" s="13" t="str">
        <x:v>OPEN</x:v>
      </x:c>
    </x:row>
    <x:row r="15">
      <x:c r="B15" s="13" t="str">
        <x:v>RAS-E123</x:v>
      </x:c>
      <x:c r="C15" s="13" t="str">
        <x:v>AM-06</x:v>
      </x:c>
      <x:c r="D15" s="13" t="str">
        <x:v>TR-B</x:v>
      </x:c>
      <x:c r="E15" s="13" t="str">
        <x:v>RFP-B1</x:v>
      </x:c>
      <x:c r="F15" s="13" t="str">
        <x:v>PTC-B</x:v>
      </x:c>
      <x:c r="G15" s="13" t="str">
        <x:v>QE-03</x:v>
      </x:c>
      <x:c r="H15" s="13" t="n">
        <x:v>250</x:v>
      </x:c>
      <x:c r="I15" s="13" t="n">
        <x:v>5</x:v>
      </x:c>
      <x:c r="J15" s="13" t="str">
        <x:v>OPPORTUNITY</x:v>
      </x:c>
      <x:c r="K15" s="13" t="n">
        <x:v>0</x:v>
      </x:c>
      <x:c r="L15" s="13" t="str">
        <x:v>NONE</x:v>
      </x:c>
      <x:c r="M15" s="13" t="str">
        <x:v>n.a.</x:v>
      </x:c>
      <x:c r="N15" s="13" t="n">
        <x:v>3</x:v>
      </x:c>
      <x:c r="O15" s="13" t="n">
        <x:v>6</x:v>
      </x:c>
      <x:c r="P15" s="13" t="str">
        <x:v>OPEN</x:v>
      </x:c>
    </x:row>
    <x:row r="16">
      <x:c r="B16" s="13" t="str">
        <x:v>RAS-E124</x:v>
      </x:c>
      <x:c r="C16" s="13" t="str">
        <x:v>AM-06</x:v>
      </x:c>
      <x:c r="D16" s="13" t="str">
        <x:v>TR-B</x:v>
      </x:c>
      <x:c r="E16" s="13" t="str">
        <x:v>RFP-B1</x:v>
      </x:c>
      <x:c r="F16" s="13" t="str">
        <x:v>PTC-B</x:v>
      </x:c>
      <x:c r="G16" s="13" t="str">
        <x:v>QE-04</x:v>
      </x:c>
      <x:c r="H16" s="13" t="n">
        <x:v>500</x:v>
      </x:c>
      <x:c r="I16" s="13" t="n">
        <x:v>6.25</x:v>
      </x:c>
      <x:c r="J16" s="13" t="str">
        <x:v>OPPORTUNITY</x:v>
      </x:c>
      <x:c r="K16" s="13" t="n">
        <x:v>0</x:v>
      </x:c>
      <x:c r="L16" s="13" t="str">
        <x:v>NONE</x:v>
      </x:c>
      <x:c r="M16" s="13" t="str">
        <x:v>n.a.</x:v>
      </x:c>
      <x:c r="N16" s="13" t="n">
        <x:v>4</x:v>
      </x:c>
      <x:c r="O16" s="13" t="n">
        <x:v>8</x:v>
      </x:c>
      <x:c r="P16" s="13" t="str">
        <x:v>OPEN</x:v>
      </x:c>
    </x:row>
    <x:row r="17">
      <x:c r="B17" s="13" t="str">
        <x:v>RAS-E125</x:v>
      </x:c>
      <x:c r="C17" s="13" t="str">
        <x:v>AM-06</x:v>
      </x:c>
      <x:c r="D17" s="13" t="str">
        <x:v>TR-B</x:v>
      </x:c>
      <x:c r="E17" s="13" t="str">
        <x:v>RFP-B1</x:v>
      </x:c>
      <x:c r="F17" s="13" t="str">
        <x:v>PTC-B</x:v>
      </x:c>
      <x:c r="G17" s="13" t="str">
        <x:v>QE-05</x:v>
      </x:c>
      <x:c r="H17" s="13" t="n">
        <x:v>500</x:v>
      </x:c>
      <x:c r="I17" s="13" t="n">
        <x:v>6.25</x:v>
      </x:c>
      <x:c r="J17" s="13" t="str">
        <x:v>OPPORTUNITY</x:v>
      </x:c>
      <x:c r="K17" s="13" t="n">
        <x:v>24</x:v>
      </x:c>
      <x:c r="L17" s="13" t="str">
        <x:v>NONE</x:v>
      </x:c>
      <x:c r="M17" s="13" t="str">
        <x:v>n.a.</x:v>
      </x:c>
      <x:c r="N17" s="13" t="n">
        <x:v>6</x:v>
      </x:c>
      <x:c r="O17" s="13" t="n">
        <x:v>10</x:v>
      </x:c>
      <x:c r="P17" s="13" t="str">
        <x:v>OPEN</x:v>
      </x:c>
    </x:row>
    <x:row r="18">
      <x:c r="B18" s="13" t="str">
        <x:v>RAS-E126</x:v>
      </x:c>
      <x:c r="C18" s="13" t="str">
        <x:v>AM-06</x:v>
      </x:c>
      <x:c r="D18" s="13" t="str">
        <x:v>TR-B</x:v>
      </x:c>
      <x:c r="E18" s="13" t="str">
        <x:v>RFP-B1</x:v>
      </x:c>
      <x:c r="F18" s="13" t="str">
        <x:v>PTC-B</x:v>
      </x:c>
      <x:c r="G18" s="13" t="str">
        <x:v>QE-06</x:v>
      </x:c>
      <x:c r="H18" s="13" t="n">
        <x:v>500</x:v>
      </x:c>
      <x:c r="I18" s="13" t="n">
        <x:v>25</x:v>
      </x:c>
      <x:c r="J18" s="13" t="str">
        <x:v>OPPORTUNITY</x:v>
      </x:c>
      <x:c r="K18" s="13" t="n">
        <x:v>48</x:v>
      </x:c>
      <x:c r="L18" s="13" t="str">
        <x:v>ENERGY+NETWORK+PRIMARY TIME</x:v>
      </x:c>
      <x:c r="M18" s="13" t="str">
        <x:v>PTC-C</x:v>
      </x:c>
      <x:c r="N18" s="13" t="n">
        <x:v>8</x:v>
      </x:c>
      <x:c r="O18" s="13" t="n">
        <x:v>12</x:v>
      </x:c>
      <x:c r="P18" s="13" t="str">
        <x:v>OPEN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3" hidden="0" customWidth="1"/>
    <x:col min="7" max="7" width="16" hidden="0" customWidth="1"/>
    <x:col min="8" max="8" width="17" hidden="0" customWidth="1"/>
    <x:col min="9" max="9" width="18" hidden="0" customWidth="1"/>
    <x:col min="10" max="10" width="19" hidden="0" customWidth="1"/>
    <x:col min="11" max="11" width="19" hidden="0" customWidth="1"/>
    <x:col min="12" max="12" width="19" hidden="0" customWidth="1"/>
    <x:col min="13" max="13" width="23" hidden="0" customWidth="1"/>
    <x:col min="14" max="14" width="17" hidden="0" customWidth="1"/>
    <x:col min="15" max="15" width="17" hidden="0" customWidth="1"/>
    <x:col min="16" max="16" width="17" hidden="0" customWidth="1"/>
    <x:col min="17" max="17" width="23" hidden="0" customWidth="1"/>
    <x:col min="18" max="18" width="15" hidden="0" customWidth="1"/>
    <x:col min="19" max="19" width="14" hidden="0" customWidth="1"/>
    <x:col min="1" max="1" width="3" hidden="0" customWidth="1"/>
  </x:cols>
  <x:sheetData>
    <x:row r="2">
      <x:c r="B2" s="12" t="str">
        <x:v>Source mass closure for every event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</x:row>
    <x:row r="3">
      <x:c r="B3" s="2" t="str">
        <x:v>Admitted mass and every destination remain blank until measured. A valid zero remains numeric.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</x:row>
    <x:row r="6" ht="24" customHeight="1">
      <x:c r="B6" s="6" t="str">
        <x:v>Ledger</x:v>
      </x:c>
      <x:c r="C6" s="6" t="str">
        <x:v>Event</x:v>
      </x:c>
      <x:c r="D6" s="6" t="str">
        <x:v>Method</x:v>
      </x:c>
      <x:c r="E6" s="6" t="str">
        <x:v>Truth root</x:v>
      </x:c>
      <x:c r="F6" s="6" t="str">
        <x:v>Rig</x:v>
      </x:c>
      <x:c r="G6" s="6" t="str">
        <x:v>Planned kg</x:v>
      </x:c>
      <x:c r="H6" s="6" t="str">
        <x:v>Admitted kg</x:v>
      </x:c>
      <x:c r="I6" s="6" t="str">
        <x:v>Source residual</x:v>
      </x:c>
      <x:c r="J6" s="6" t="str">
        <x:v>Normal receiver</x:v>
      </x:c>
      <x:c r="K6" s="6" t="str">
        <x:v>Casualty receiver</x:v>
      </x:c>
      <x:c r="L6" s="6" t="str">
        <x:v>Surface or route</x:v>
      </x:c>
      <x:c r="M6" s="6" t="str">
        <x:v>Burned vapor or sample</x:v>
      </x:c>
      <x:c r="N6" s="6" t="str">
        <x:v>Environment</x:v>
      </x:c>
      <x:c r="O6" s="6" t="str">
        <x:v>Accounted</x:v>
      </x:c>
      <x:c r="P6" s="6" t="str">
        <x:v>Discrepancy</x:v>
      </x:c>
      <x:c r="Q6" s="6" t="str">
        <x:v>Expanded uncertainty</x:v>
      </x:c>
      <x:c r="R6" s="6" t="str">
        <x:v>Accepted</x:v>
      </x:c>
      <x:c r="S6" s="6" t="str">
        <x:v>State</x:v>
      </x:c>
    </x:row>
    <x:row r="7">
      <x:c r="B7" s="13" t="str">
        <x:v>RAS-SL-001</x:v>
      </x:c>
      <x:c r="C7" s="13" t="str">
        <x:v>RAS-E001</x:v>
      </x:c>
      <x:c r="D7" s="13" t="str">
        <x:v>AM-05</x:v>
      </x:c>
      <x:c r="E7" s="13" t="str">
        <x:v>TR-A</x:v>
      </x:c>
      <x:c r="F7" s="13" t="str">
        <x:v>RFP-A1</x:v>
      </x:c>
      <x:c r="G7" s="13" t="n">
        <x:v>0</x:v>
      </x:c>
      <x:c r="H7" s="13" t="str"/>
      <x:c r="I7" s="13" t="str"/>
      <x:c r="J7" s="13" t="str"/>
      <x:c r="K7" s="13" t="str"/>
      <x:c r="L7" s="13" t="str"/>
      <x:c r="M7" s="13" t="str"/>
      <x:c r="N7" s="13" t="str"/>
      <x:c r="O7" s="13" t="str">
        <x:f>IF(COUNT(I7:N7)&lt;6,"",SUM(I7:N7))</x:f>
      </x:c>
      <x:c r="P7" s="13" t="str">
        <x:f>IF(COUNT(H7,O7)&lt;2,"",H7-O7)</x:f>
      </x:c>
      <x:c r="Q7" s="13" t="str"/>
      <x:c r="R7" s="13" t="str"/>
      <x:c r="S7" s="13" t="str">
        <x:f>IF(R7=1,IF(COUNT(P7,Q7,N7)=3,IF(AND(ABS(P7)&lt;='Controls'!$D$67,Q7&lt;='Controls'!$D$66,N7&lt;='Controls'!$D$68),"PASS","FAIL"),"FAIL"),"OPEN")</x:f>
        <x:v>OPEN</x:v>
      </x:c>
    </x:row>
    <x:row r="8">
      <x:c r="B8" s="13" t="str">
        <x:v>RAS-SL-002</x:v>
      </x:c>
      <x:c r="C8" s="13" t="str">
        <x:v>RAS-E002</x:v>
      </x:c>
      <x:c r="D8" s="13" t="str">
        <x:v>AM-05</x:v>
      </x:c>
      <x:c r="E8" s="13" t="str">
        <x:v>TR-A</x:v>
      </x:c>
      <x:c r="F8" s="13" t="str">
        <x:v>RFP-A1</x:v>
      </x:c>
      <x:c r="G8" s="13" t="n">
        <x:v>100</x:v>
      </x:c>
      <x:c r="H8" s="13" t="str"/>
      <x:c r="I8" s="13" t="str"/>
      <x:c r="J8" s="13" t="str"/>
      <x:c r="K8" s="13" t="str"/>
      <x:c r="L8" s="13" t="str"/>
      <x:c r="M8" s="13" t="str"/>
      <x:c r="N8" s="13" t="str"/>
      <x:c r="O8" s="13" t="str">
        <x:f>IF(COUNT(I8:N8)&lt;6,"",SUM(I8:N8))</x:f>
      </x:c>
      <x:c r="P8" s="13" t="str">
        <x:f>IF(COUNT(H8,O8)&lt;2,"",H8-O8)</x:f>
      </x:c>
      <x:c r="Q8" s="13" t="str"/>
      <x:c r="R8" s="13" t="str"/>
      <x:c r="S8" s="13" t="str">
        <x:f>IF(R8=1,IF(COUNT(P8,Q8,N8)=3,IF(AND(ABS(P8)&lt;='Controls'!$D$67,Q8&lt;='Controls'!$D$66,N8&lt;='Controls'!$D$68),"PASS","FAIL"),"FAIL"),"OPEN")</x:f>
        <x:v>OPEN</x:v>
      </x:c>
    </x:row>
    <x:row r="9">
      <x:c r="B9" s="13" t="str">
        <x:v>RAS-SL-003</x:v>
      </x:c>
      <x:c r="C9" s="13" t="str">
        <x:v>RAS-E003</x:v>
      </x:c>
      <x:c r="D9" s="13" t="str">
        <x:v>AM-05</x:v>
      </x:c>
      <x:c r="E9" s="13" t="str">
        <x:v>TR-A</x:v>
      </x:c>
      <x:c r="F9" s="13" t="str">
        <x:v>RFP-A1</x:v>
      </x:c>
      <x:c r="G9" s="13" t="n">
        <x:v>250</x:v>
      </x:c>
      <x:c r="H9" s="13" t="str"/>
      <x:c r="I9" s="13" t="str"/>
      <x:c r="J9" s="13" t="str"/>
      <x:c r="K9" s="13" t="str"/>
      <x:c r="L9" s="13" t="str"/>
      <x:c r="M9" s="13" t="str"/>
      <x:c r="N9" s="13" t="str"/>
      <x:c r="O9" s="13" t="str">
        <x:f>IF(COUNT(I9:N9)&lt;6,"",SUM(I9:N9))</x:f>
      </x:c>
      <x:c r="P9" s="13" t="str">
        <x:f>IF(COUNT(H9,O9)&lt;2,"",H9-O9)</x:f>
      </x:c>
      <x:c r="Q9" s="13" t="str"/>
      <x:c r="R9" s="13" t="str"/>
      <x:c r="S9" s="13" t="str">
        <x:f>IF(R9=1,IF(COUNT(P9,Q9,N9)=3,IF(AND(ABS(P9)&lt;='Controls'!$D$67,Q9&lt;='Controls'!$D$66,N9&lt;='Controls'!$D$68),"PASS","FAIL"),"FAIL"),"OPEN")</x:f>
        <x:v>OPEN</x:v>
      </x:c>
    </x:row>
    <x:row r="10">
      <x:c r="B10" s="13" t="str">
        <x:v>RAS-SL-004</x:v>
      </x:c>
      <x:c r="C10" s="13" t="str">
        <x:v>RAS-E004</x:v>
      </x:c>
      <x:c r="D10" s="13" t="str">
        <x:v>AM-05</x:v>
      </x:c>
      <x:c r="E10" s="13" t="str">
        <x:v>TR-A</x:v>
      </x:c>
      <x:c r="F10" s="13" t="str">
        <x:v>RFP-A1</x:v>
      </x:c>
      <x:c r="G10" s="13" t="n">
        <x:v>500</x:v>
      </x:c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str">
        <x:f>IF(COUNT(I10:N10)&lt;6,"",SUM(I10:N10))</x:f>
      </x:c>
      <x:c r="P10" s="13" t="str">
        <x:f>IF(COUNT(H10,O10)&lt;2,"",H10-O10)</x:f>
      </x:c>
      <x:c r="Q10" s="13" t="str"/>
      <x:c r="R10" s="13" t="str"/>
      <x:c r="S10" s="13" t="str">
        <x:f>IF(R10=1,IF(COUNT(P10,Q10,N10)=3,IF(AND(ABS(P10)&lt;='Controls'!$D$67,Q10&lt;='Controls'!$D$66,N10&lt;='Controls'!$D$68),"PASS","FAIL"),"FAIL"),"OPEN")</x:f>
        <x:v>OPEN</x:v>
      </x:c>
    </x:row>
    <x:row r="11">
      <x:c r="B11" s="13" t="str">
        <x:v>RAS-SL-005</x:v>
      </x:c>
      <x:c r="C11" s="13" t="str">
        <x:v>RAS-E005</x:v>
      </x:c>
      <x:c r="D11" s="13" t="str">
        <x:v>AM-05</x:v>
      </x:c>
      <x:c r="E11" s="13" t="str">
        <x:v>TR-A</x:v>
      </x:c>
      <x:c r="F11" s="13" t="str">
        <x:v>RFP-A1</x:v>
      </x:c>
      <x:c r="G11" s="13" t="n">
        <x:v>500</x:v>
      </x:c>
      <x:c r="H11" s="13" t="str"/>
      <x:c r="I11" s="13" t="str"/>
      <x:c r="J11" s="13" t="str"/>
      <x:c r="K11" s="13" t="str"/>
      <x:c r="L11" s="13" t="str"/>
      <x:c r="M11" s="13" t="str"/>
      <x:c r="N11" s="13" t="str"/>
      <x:c r="O11" s="13" t="str">
        <x:f>IF(COUNT(I11:N11)&lt;6,"",SUM(I11:N11))</x:f>
      </x:c>
      <x:c r="P11" s="13" t="str">
        <x:f>IF(COUNT(H11,O11)&lt;2,"",H11-O11)</x:f>
      </x:c>
      <x:c r="Q11" s="13" t="str"/>
      <x:c r="R11" s="13" t="str"/>
      <x:c r="S11" s="13" t="str">
        <x:f>IF(R11=1,IF(COUNT(P11,Q11,N11)=3,IF(AND(ABS(P11)&lt;='Controls'!$D$67,Q11&lt;='Controls'!$D$66,N11&lt;='Controls'!$D$68),"PASS","FAIL"),"FAIL"),"OPEN")</x:f>
        <x:v>OPEN</x:v>
      </x:c>
    </x:row>
    <x:row r="12">
      <x:c r="B12" s="13" t="str">
        <x:v>RAS-SL-006</x:v>
      </x:c>
      <x:c r="C12" s="13" t="str">
        <x:v>RAS-E006</x:v>
      </x:c>
      <x:c r="D12" s="13" t="str">
        <x:v>AM-05</x:v>
      </x:c>
      <x:c r="E12" s="13" t="str">
        <x:v>TR-A</x:v>
      </x:c>
      <x:c r="F12" s="13" t="str">
        <x:v>RFP-A1</x:v>
      </x:c>
      <x:c r="G12" s="13" t="n">
        <x:v>500</x:v>
      </x:c>
      <x:c r="H12" s="13" t="str"/>
      <x:c r="I12" s="13" t="str"/>
      <x:c r="J12" s="13" t="str"/>
      <x:c r="K12" s="13" t="str"/>
      <x:c r="L12" s="13" t="str"/>
      <x:c r="M12" s="13" t="str"/>
      <x:c r="N12" s="13" t="str"/>
      <x:c r="O12" s="13" t="str">
        <x:f>IF(COUNT(I12:N12)&lt;6,"",SUM(I12:N12))</x:f>
      </x:c>
      <x:c r="P12" s="13" t="str">
        <x:f>IF(COUNT(H12,O12)&lt;2,"",H12-O12)</x:f>
      </x:c>
      <x:c r="Q12" s="13" t="str"/>
      <x:c r="R12" s="13" t="str"/>
      <x:c r="S12" s="13" t="str">
        <x:f>IF(R12=1,IF(COUNT(P12,Q12,N12)=3,IF(AND(ABS(P12)&lt;='Controls'!$D$67,Q12&lt;='Controls'!$D$66,N12&lt;='Controls'!$D$68),"PASS","FAIL"),"FAIL"),"OPEN")</x:f>
        <x:v>OPEN</x:v>
      </x:c>
    </x:row>
    <x:row r="13">
      <x:c r="B13" s="13" t="str">
        <x:v>RAS-SL-007</x:v>
      </x:c>
      <x:c r="C13" s="13" t="str">
        <x:v>RAS-E007</x:v>
      </x:c>
      <x:c r="D13" s="13" t="str">
        <x:v>AM-05</x:v>
      </x:c>
      <x:c r="E13" s="13" t="str">
        <x:v>TR-A</x:v>
      </x:c>
      <x:c r="F13" s="13" t="str">
        <x:v>RFP-A2</x:v>
      </x:c>
      <x:c r="G13" s="13" t="n">
        <x:v>0</x:v>
      </x:c>
      <x:c r="H13" s="13" t="str"/>
      <x:c r="I13" s="13" t="str"/>
      <x:c r="J13" s="13" t="str"/>
      <x:c r="K13" s="13" t="str"/>
      <x:c r="L13" s="13" t="str"/>
      <x:c r="M13" s="13" t="str"/>
      <x:c r="N13" s="13" t="str"/>
      <x:c r="O13" s="13" t="str">
        <x:f>IF(COUNT(I13:N13)&lt;6,"",SUM(I13:N13))</x:f>
      </x:c>
      <x:c r="P13" s="13" t="str">
        <x:f>IF(COUNT(H13,O13)&lt;2,"",H13-O13)</x:f>
      </x:c>
      <x:c r="Q13" s="13" t="str"/>
      <x:c r="R13" s="13" t="str"/>
      <x:c r="S13" s="13" t="str">
        <x:f>IF(R13=1,IF(COUNT(P13,Q13,N13)=3,IF(AND(ABS(P13)&lt;='Controls'!$D$67,Q13&lt;='Controls'!$D$66,N13&lt;='Controls'!$D$68),"PASS","FAIL"),"FAIL"),"OPEN")</x:f>
        <x:v>OPEN</x:v>
      </x:c>
    </x:row>
    <x:row r="14">
      <x:c r="B14" s="13" t="str">
        <x:v>RAS-SL-008</x:v>
      </x:c>
      <x:c r="C14" s="13" t="str">
        <x:v>RAS-E008</x:v>
      </x:c>
      <x:c r="D14" s="13" t="str">
        <x:v>AM-05</x:v>
      </x:c>
      <x:c r="E14" s="13" t="str">
        <x:v>TR-A</x:v>
      </x:c>
      <x:c r="F14" s="13" t="str">
        <x:v>RFP-A2</x:v>
      </x:c>
      <x:c r="G14" s="13" t="n">
        <x:v>100</x:v>
      </x:c>
      <x:c r="H14" s="13" t="str"/>
      <x:c r="I14" s="13" t="str"/>
      <x:c r="J14" s="13" t="str"/>
      <x:c r="K14" s="13" t="str"/>
      <x:c r="L14" s="13" t="str"/>
      <x:c r="M14" s="13" t="str"/>
      <x:c r="N14" s="13" t="str"/>
      <x:c r="O14" s="13" t="str">
        <x:f>IF(COUNT(I14:N14)&lt;6,"",SUM(I14:N14))</x:f>
      </x:c>
      <x:c r="P14" s="13" t="str">
        <x:f>IF(COUNT(H14,O14)&lt;2,"",H14-O14)</x:f>
      </x:c>
      <x:c r="Q14" s="13" t="str"/>
      <x:c r="R14" s="13" t="str"/>
      <x:c r="S14" s="13" t="str">
        <x:f>IF(R14=1,IF(COUNT(P14,Q14,N14)=3,IF(AND(ABS(P14)&lt;='Controls'!$D$67,Q14&lt;='Controls'!$D$66,N14&lt;='Controls'!$D$68),"PASS","FAIL"),"FAIL"),"OPEN")</x:f>
        <x:v>OPEN</x:v>
      </x:c>
    </x:row>
    <x:row r="15">
      <x:c r="B15" s="13" t="str">
        <x:v>RAS-SL-009</x:v>
      </x:c>
      <x:c r="C15" s="13" t="str">
        <x:v>RAS-E009</x:v>
      </x:c>
      <x:c r="D15" s="13" t="str">
        <x:v>AM-05</x:v>
      </x:c>
      <x:c r="E15" s="13" t="str">
        <x:v>TR-A</x:v>
      </x:c>
      <x:c r="F15" s="13" t="str">
        <x:v>RFP-A2</x:v>
      </x:c>
      <x:c r="G15" s="13" t="n">
        <x:v>250</x:v>
      </x:c>
      <x:c r="H15" s="13" t="str"/>
      <x:c r="I15" s="13" t="str"/>
      <x:c r="J15" s="13" t="str"/>
      <x:c r="K15" s="13" t="str"/>
      <x:c r="L15" s="13" t="str"/>
      <x:c r="M15" s="13" t="str"/>
      <x:c r="N15" s="13" t="str"/>
      <x:c r="O15" s="13" t="str">
        <x:f>IF(COUNT(I15:N15)&lt;6,"",SUM(I15:N15))</x:f>
      </x:c>
      <x:c r="P15" s="13" t="str">
        <x:f>IF(COUNT(H15,O15)&lt;2,"",H15-O15)</x:f>
      </x:c>
      <x:c r="Q15" s="13" t="str"/>
      <x:c r="R15" s="13" t="str"/>
      <x:c r="S15" s="13" t="str">
        <x:f>IF(R15=1,IF(COUNT(P15,Q15,N15)=3,IF(AND(ABS(P15)&lt;='Controls'!$D$67,Q15&lt;='Controls'!$D$66,N15&lt;='Controls'!$D$68),"PASS","FAIL"),"FAIL"),"OPEN")</x:f>
        <x:v>OPEN</x:v>
      </x:c>
    </x:row>
    <x:row r="16">
      <x:c r="B16" s="13" t="str">
        <x:v>RAS-SL-010</x:v>
      </x:c>
      <x:c r="C16" s="13" t="str">
        <x:v>RAS-E010</x:v>
      </x:c>
      <x:c r="D16" s="13" t="str">
        <x:v>AM-05</x:v>
      </x:c>
      <x:c r="E16" s="13" t="str">
        <x:v>TR-A</x:v>
      </x:c>
      <x:c r="F16" s="13" t="str">
        <x:v>RFP-A2</x:v>
      </x:c>
      <x:c r="G16" s="13" t="n">
        <x:v>500</x:v>
      </x:c>
      <x:c r="H16" s="13" t="str"/>
      <x:c r="I16" s="13" t="str"/>
      <x:c r="J16" s="13" t="str"/>
      <x:c r="K16" s="13" t="str"/>
      <x:c r="L16" s="13" t="str"/>
      <x:c r="M16" s="13" t="str"/>
      <x:c r="N16" s="13" t="str"/>
      <x:c r="O16" s="13" t="str">
        <x:f>IF(COUNT(I16:N16)&lt;6,"",SUM(I16:N16))</x:f>
      </x:c>
      <x:c r="P16" s="13" t="str">
        <x:f>IF(COUNT(H16,O16)&lt;2,"",H16-O16)</x:f>
      </x:c>
      <x:c r="Q16" s="13" t="str"/>
      <x:c r="R16" s="13" t="str"/>
      <x:c r="S16" s="13" t="str">
        <x:f>IF(R16=1,IF(COUNT(P16,Q16,N16)=3,IF(AND(ABS(P16)&lt;='Controls'!$D$67,Q16&lt;='Controls'!$D$66,N16&lt;='Controls'!$D$68),"PASS","FAIL"),"FAIL"),"OPEN")</x:f>
        <x:v>OPEN</x:v>
      </x:c>
    </x:row>
    <x:row r="17">
      <x:c r="B17" s="13" t="str">
        <x:v>RAS-SL-011</x:v>
      </x:c>
      <x:c r="C17" s="13" t="str">
        <x:v>RAS-E011</x:v>
      </x:c>
      <x:c r="D17" s="13" t="str">
        <x:v>AM-05</x:v>
      </x:c>
      <x:c r="E17" s="13" t="str">
        <x:v>TR-A</x:v>
      </x:c>
      <x:c r="F17" s="13" t="str">
        <x:v>RFP-A2</x:v>
      </x:c>
      <x:c r="G17" s="13" t="n">
        <x:v>500</x:v>
      </x:c>
      <x:c r="H17" s="13" t="str"/>
      <x:c r="I17" s="13" t="str"/>
      <x:c r="J17" s="13" t="str"/>
      <x:c r="K17" s="13" t="str"/>
      <x:c r="L17" s="13" t="str"/>
      <x:c r="M17" s="13" t="str"/>
      <x:c r="N17" s="13" t="str"/>
      <x:c r="O17" s="13" t="str">
        <x:f>IF(COUNT(I17:N17)&lt;6,"",SUM(I17:N17))</x:f>
      </x:c>
      <x:c r="P17" s="13" t="str">
        <x:f>IF(COUNT(H17,O17)&lt;2,"",H17-O17)</x:f>
      </x:c>
      <x:c r="Q17" s="13" t="str"/>
      <x:c r="R17" s="13" t="str"/>
      <x:c r="S17" s="13" t="str">
        <x:f>IF(R17=1,IF(COUNT(P17,Q17,N17)=3,IF(AND(ABS(P17)&lt;='Controls'!$D$67,Q17&lt;='Controls'!$D$66,N17&lt;='Controls'!$D$68),"PASS","FAIL"),"FAIL"),"OPEN")</x:f>
        <x:v>OPEN</x:v>
      </x:c>
    </x:row>
    <x:row r="18">
      <x:c r="B18" s="13" t="str">
        <x:v>RAS-SL-012</x:v>
      </x:c>
      <x:c r="C18" s="13" t="str">
        <x:v>RAS-E012</x:v>
      </x:c>
      <x:c r="D18" s="13" t="str">
        <x:v>AM-05</x:v>
      </x:c>
      <x:c r="E18" s="13" t="str">
        <x:v>TR-A</x:v>
      </x:c>
      <x:c r="F18" s="13" t="str">
        <x:v>RFP-A2</x:v>
      </x:c>
      <x:c r="G18" s="13" t="n">
        <x:v>500</x:v>
      </x:c>
      <x:c r="H18" s="13" t="str"/>
      <x:c r="I18" s="13" t="str"/>
      <x:c r="J18" s="13" t="str"/>
      <x:c r="K18" s="13" t="str"/>
      <x:c r="L18" s="13" t="str"/>
      <x:c r="M18" s="13" t="str"/>
      <x:c r="N18" s="13" t="str"/>
      <x:c r="O18" s="13" t="str">
        <x:f>IF(COUNT(I18:N18)&lt;6,"",SUM(I18:N18))</x:f>
      </x:c>
      <x:c r="P18" s="13" t="str">
        <x:f>IF(COUNT(H18,O18)&lt;2,"",H18-O18)</x:f>
      </x:c>
      <x:c r="Q18" s="13" t="str"/>
      <x:c r="R18" s="13" t="str"/>
      <x:c r="S18" s="13" t="str">
        <x:f>IF(R18=1,IF(COUNT(P18,Q18,N18)=3,IF(AND(ABS(P18)&lt;='Controls'!$D$67,Q18&lt;='Controls'!$D$66,N18&lt;='Controls'!$D$68),"PASS","FAIL"),"FAIL"),"OPEN")</x:f>
        <x:v>OPEN</x:v>
      </x:c>
    </x:row>
    <x:row r="19">
      <x:c r="B19" s="13" t="str">
        <x:v>RAS-SL-013</x:v>
      </x:c>
      <x:c r="C19" s="13" t="str">
        <x:v>RAS-E013</x:v>
      </x:c>
      <x:c r="D19" s="13" t="str">
        <x:v>AM-05</x:v>
      </x:c>
      <x:c r="E19" s="13" t="str">
        <x:v>TR-A</x:v>
      </x:c>
      <x:c r="F19" s="13" t="str">
        <x:v>RFP-B1</x:v>
      </x:c>
      <x:c r="G19" s="13" t="n">
        <x:v>0</x:v>
      </x:c>
      <x:c r="H19" s="13" t="str"/>
      <x:c r="I19" s="13" t="str"/>
      <x:c r="J19" s="13" t="str"/>
      <x:c r="K19" s="13" t="str"/>
      <x:c r="L19" s="13" t="str"/>
      <x:c r="M19" s="13" t="str"/>
      <x:c r="N19" s="13" t="str"/>
      <x:c r="O19" s="13" t="str">
        <x:f>IF(COUNT(I19:N19)&lt;6,"",SUM(I19:N19))</x:f>
      </x:c>
      <x:c r="P19" s="13" t="str">
        <x:f>IF(COUNT(H19,O19)&lt;2,"",H19-O19)</x:f>
      </x:c>
      <x:c r="Q19" s="13" t="str"/>
      <x:c r="R19" s="13" t="str"/>
      <x:c r="S19" s="13" t="str">
        <x:f>IF(R19=1,IF(COUNT(P19,Q19,N19)=3,IF(AND(ABS(P19)&lt;='Controls'!$D$67,Q19&lt;='Controls'!$D$66,N19&lt;='Controls'!$D$68),"PASS","FAIL"),"FAIL"),"OPEN")</x:f>
        <x:v>OPEN</x:v>
      </x:c>
    </x:row>
    <x:row r="20">
      <x:c r="B20" s="13" t="str">
        <x:v>RAS-SL-014</x:v>
      </x:c>
      <x:c r="C20" s="13" t="str">
        <x:v>RAS-E014</x:v>
      </x:c>
      <x:c r="D20" s="13" t="str">
        <x:v>AM-05</x:v>
      </x:c>
      <x:c r="E20" s="13" t="str">
        <x:v>TR-A</x:v>
      </x:c>
      <x:c r="F20" s="13" t="str">
        <x:v>RFP-B1</x:v>
      </x:c>
      <x:c r="G20" s="13" t="n">
        <x:v>100</x:v>
      </x:c>
      <x:c r="H20" s="13" t="str"/>
      <x:c r="I20" s="13" t="str"/>
      <x:c r="J20" s="13" t="str"/>
      <x:c r="K20" s="13" t="str"/>
      <x:c r="L20" s="13" t="str"/>
      <x:c r="M20" s="13" t="str"/>
      <x:c r="N20" s="13" t="str"/>
      <x:c r="O20" s="13" t="str">
        <x:f>IF(COUNT(I20:N20)&lt;6,"",SUM(I20:N20))</x:f>
      </x:c>
      <x:c r="P20" s="13" t="str">
        <x:f>IF(COUNT(H20,O20)&lt;2,"",H20-O20)</x:f>
      </x:c>
      <x:c r="Q20" s="13" t="str"/>
      <x:c r="R20" s="13" t="str"/>
      <x:c r="S20" s="13" t="str">
        <x:f>IF(R20=1,IF(COUNT(P20,Q20,N20)=3,IF(AND(ABS(P20)&lt;='Controls'!$D$67,Q20&lt;='Controls'!$D$66,N20&lt;='Controls'!$D$68),"PASS","FAIL"),"FAIL"),"OPEN")</x:f>
        <x:v>OPEN</x:v>
      </x:c>
    </x:row>
    <x:row r="21">
      <x:c r="B21" s="13" t="str">
        <x:v>RAS-SL-015</x:v>
      </x:c>
      <x:c r="C21" s="13" t="str">
        <x:v>RAS-E015</x:v>
      </x:c>
      <x:c r="D21" s="13" t="str">
        <x:v>AM-05</x:v>
      </x:c>
      <x:c r="E21" s="13" t="str">
        <x:v>TR-A</x:v>
      </x:c>
      <x:c r="F21" s="13" t="str">
        <x:v>RFP-B1</x:v>
      </x:c>
      <x:c r="G21" s="13" t="n">
        <x:v>250</x:v>
      </x:c>
      <x:c r="H21" s="13" t="str"/>
      <x:c r="I21" s="13" t="str"/>
      <x:c r="J21" s="13" t="str"/>
      <x:c r="K21" s="13" t="str"/>
      <x:c r="L21" s="13" t="str"/>
      <x:c r="M21" s="13" t="str"/>
      <x:c r="N21" s="13" t="str"/>
      <x:c r="O21" s="13" t="str">
        <x:f>IF(COUNT(I21:N21)&lt;6,"",SUM(I21:N21))</x:f>
      </x:c>
      <x:c r="P21" s="13" t="str">
        <x:f>IF(COUNT(H21,O21)&lt;2,"",H21-O21)</x:f>
      </x:c>
      <x:c r="Q21" s="13" t="str"/>
      <x:c r="R21" s="13" t="str"/>
      <x:c r="S21" s="13" t="str">
        <x:f>IF(R21=1,IF(COUNT(P21,Q21,N21)=3,IF(AND(ABS(P21)&lt;='Controls'!$D$67,Q21&lt;='Controls'!$D$66,N21&lt;='Controls'!$D$68),"PASS","FAIL"),"FAIL"),"OPEN")</x:f>
        <x:v>OPEN</x:v>
      </x:c>
    </x:row>
    <x:row r="22">
      <x:c r="B22" s="13" t="str">
        <x:v>RAS-SL-016</x:v>
      </x:c>
      <x:c r="C22" s="13" t="str">
        <x:v>RAS-E016</x:v>
      </x:c>
      <x:c r="D22" s="13" t="str">
        <x:v>AM-05</x:v>
      </x:c>
      <x:c r="E22" s="13" t="str">
        <x:v>TR-A</x:v>
      </x:c>
      <x:c r="F22" s="13" t="str">
        <x:v>RFP-B1</x:v>
      </x:c>
      <x:c r="G22" s="13" t="n">
        <x:v>500</x:v>
      </x:c>
      <x:c r="H22" s="13" t="str"/>
      <x:c r="I22" s="13" t="str"/>
      <x:c r="J22" s="13" t="str"/>
      <x:c r="K22" s="13" t="str"/>
      <x:c r="L22" s="13" t="str"/>
      <x:c r="M22" s="13" t="str"/>
      <x:c r="N22" s="13" t="str"/>
      <x:c r="O22" s="13" t="str">
        <x:f>IF(COUNT(I22:N22)&lt;6,"",SUM(I22:N22))</x:f>
      </x:c>
      <x:c r="P22" s="13" t="str">
        <x:f>IF(COUNT(H22,O22)&lt;2,"",H22-O22)</x:f>
      </x:c>
      <x:c r="Q22" s="13" t="str"/>
      <x:c r="R22" s="13" t="str"/>
      <x:c r="S22" s="13" t="str">
        <x:f>IF(R22=1,IF(COUNT(P22,Q22,N22)=3,IF(AND(ABS(P22)&lt;='Controls'!$D$67,Q22&lt;='Controls'!$D$66,N22&lt;='Controls'!$D$68),"PASS","FAIL"),"FAIL"),"OPEN")</x:f>
        <x:v>OPEN</x:v>
      </x:c>
    </x:row>
    <x:row r="23">
      <x:c r="B23" s="13" t="str">
        <x:v>RAS-SL-017</x:v>
      </x:c>
      <x:c r="C23" s="13" t="str">
        <x:v>RAS-E017</x:v>
      </x:c>
      <x:c r="D23" s="13" t="str">
        <x:v>AM-05</x:v>
      </x:c>
      <x:c r="E23" s="13" t="str">
        <x:v>TR-A</x:v>
      </x:c>
      <x:c r="F23" s="13" t="str">
        <x:v>RFP-B1</x:v>
      </x:c>
      <x:c r="G23" s="13" t="n">
        <x:v>500</x:v>
      </x:c>
      <x:c r="H23" s="13" t="str"/>
      <x:c r="I23" s="13" t="str"/>
      <x:c r="J23" s="13" t="str"/>
      <x:c r="K23" s="13" t="str"/>
      <x:c r="L23" s="13" t="str"/>
      <x:c r="M23" s="13" t="str"/>
      <x:c r="N23" s="13" t="str"/>
      <x:c r="O23" s="13" t="str">
        <x:f>IF(COUNT(I23:N23)&lt;6,"",SUM(I23:N23))</x:f>
      </x:c>
      <x:c r="P23" s="13" t="str">
        <x:f>IF(COUNT(H23,O23)&lt;2,"",H23-O23)</x:f>
      </x:c>
      <x:c r="Q23" s="13" t="str"/>
      <x:c r="R23" s="13" t="str"/>
      <x:c r="S23" s="13" t="str">
        <x:f>IF(R23=1,IF(COUNT(P23,Q23,N23)=3,IF(AND(ABS(P23)&lt;='Controls'!$D$67,Q23&lt;='Controls'!$D$66,N23&lt;='Controls'!$D$68),"PASS","FAIL"),"FAIL"),"OPEN")</x:f>
        <x:v>OPEN</x:v>
      </x:c>
    </x:row>
    <x:row r="24">
      <x:c r="B24" s="13" t="str">
        <x:v>RAS-SL-018</x:v>
      </x:c>
      <x:c r="C24" s="13" t="str">
        <x:v>RAS-E018</x:v>
      </x:c>
      <x:c r="D24" s="13" t="str">
        <x:v>AM-05</x:v>
      </x:c>
      <x:c r="E24" s="13" t="str">
        <x:v>TR-A</x:v>
      </x:c>
      <x:c r="F24" s="13" t="str">
        <x:v>RFP-B1</x:v>
      </x:c>
      <x:c r="G24" s="13" t="n">
        <x:v>500</x:v>
      </x:c>
      <x:c r="H24" s="13" t="str"/>
      <x:c r="I24" s="13" t="str"/>
      <x:c r="J24" s="13" t="str"/>
      <x:c r="K24" s="13" t="str"/>
      <x:c r="L24" s="13" t="str"/>
      <x:c r="M24" s="13" t="str"/>
      <x:c r="N24" s="13" t="str"/>
      <x:c r="O24" s="13" t="str">
        <x:f>IF(COUNT(I24:N24)&lt;6,"",SUM(I24:N24))</x:f>
      </x:c>
      <x:c r="P24" s="13" t="str">
        <x:f>IF(COUNT(H24,O24)&lt;2,"",H24-O24)</x:f>
      </x:c>
      <x:c r="Q24" s="13" t="str"/>
      <x:c r="R24" s="13" t="str"/>
      <x:c r="S24" s="13" t="str">
        <x:f>IF(R24=1,IF(COUNT(P24,Q24,N24)=3,IF(AND(ABS(P24)&lt;='Controls'!$D$67,Q24&lt;='Controls'!$D$66,N24&lt;='Controls'!$D$68),"PASS","FAIL"),"FAIL"),"OPEN")</x:f>
        <x:v>OPEN</x:v>
      </x:c>
    </x:row>
    <x:row r="25">
      <x:c r="B25" s="13" t="str">
        <x:v>RAS-SL-019</x:v>
      </x:c>
      <x:c r="C25" s="13" t="str">
        <x:v>RAS-E019</x:v>
      </x:c>
      <x:c r="D25" s="13" t="str">
        <x:v>AM-05</x:v>
      </x:c>
      <x:c r="E25" s="13" t="str">
        <x:v>TR-A</x:v>
      </x:c>
      <x:c r="F25" s="13" t="str">
        <x:v>RFP-B2</x:v>
      </x:c>
      <x:c r="G25" s="13" t="n">
        <x:v>0</x:v>
      </x:c>
      <x:c r="H25" s="13" t="str"/>
      <x:c r="I25" s="13" t="str"/>
      <x:c r="J25" s="13" t="str"/>
      <x:c r="K25" s="13" t="str"/>
      <x:c r="L25" s="13" t="str"/>
      <x:c r="M25" s="13" t="str"/>
      <x:c r="N25" s="13" t="str"/>
      <x:c r="O25" s="13" t="str">
        <x:f>IF(COUNT(I25:N25)&lt;6,"",SUM(I25:N25))</x:f>
      </x:c>
      <x:c r="P25" s="13" t="str">
        <x:f>IF(COUNT(H25,O25)&lt;2,"",H25-O25)</x:f>
      </x:c>
      <x:c r="Q25" s="13" t="str"/>
      <x:c r="R25" s="13" t="str"/>
      <x:c r="S25" s="13" t="str">
        <x:f>IF(R25=1,IF(COUNT(P25,Q25,N25)=3,IF(AND(ABS(P25)&lt;='Controls'!$D$67,Q25&lt;='Controls'!$D$66,N25&lt;='Controls'!$D$68),"PASS","FAIL"),"FAIL"),"OPEN")</x:f>
        <x:v>OPEN</x:v>
      </x:c>
    </x:row>
    <x:row r="26">
      <x:c r="B26" s="13" t="str">
        <x:v>RAS-SL-020</x:v>
      </x:c>
      <x:c r="C26" s="13" t="str">
        <x:v>RAS-E020</x:v>
      </x:c>
      <x:c r="D26" s="13" t="str">
        <x:v>AM-05</x:v>
      </x:c>
      <x:c r="E26" s="13" t="str">
        <x:v>TR-A</x:v>
      </x:c>
      <x:c r="F26" s="13" t="str">
        <x:v>RFP-B2</x:v>
      </x:c>
      <x:c r="G26" s="13" t="n">
        <x:v>100</x:v>
      </x:c>
      <x:c r="H26" s="13" t="str"/>
      <x:c r="I26" s="13" t="str"/>
      <x:c r="J26" s="13" t="str"/>
      <x:c r="K26" s="13" t="str"/>
      <x:c r="L26" s="13" t="str"/>
      <x:c r="M26" s="13" t="str"/>
      <x:c r="N26" s="13" t="str"/>
      <x:c r="O26" s="13" t="str">
        <x:f>IF(COUNT(I26:N26)&lt;6,"",SUM(I26:N26))</x:f>
      </x:c>
      <x:c r="P26" s="13" t="str">
        <x:f>IF(COUNT(H26,O26)&lt;2,"",H26-O26)</x:f>
      </x:c>
      <x:c r="Q26" s="13" t="str"/>
      <x:c r="R26" s="13" t="str"/>
      <x:c r="S26" s="13" t="str">
        <x:f>IF(R26=1,IF(COUNT(P26,Q26,N26)=3,IF(AND(ABS(P26)&lt;='Controls'!$D$67,Q26&lt;='Controls'!$D$66,N26&lt;='Controls'!$D$68),"PASS","FAIL"),"FAIL"),"OPEN")</x:f>
        <x:v>OPEN</x:v>
      </x:c>
    </x:row>
    <x:row r="27">
      <x:c r="B27" s="13" t="str">
        <x:v>RAS-SL-021</x:v>
      </x:c>
      <x:c r="C27" s="13" t="str">
        <x:v>RAS-E021</x:v>
      </x:c>
      <x:c r="D27" s="13" t="str">
        <x:v>AM-05</x:v>
      </x:c>
      <x:c r="E27" s="13" t="str">
        <x:v>TR-A</x:v>
      </x:c>
      <x:c r="F27" s="13" t="str">
        <x:v>RFP-B2</x:v>
      </x:c>
      <x:c r="G27" s="13" t="n">
        <x:v>250</x:v>
      </x:c>
      <x:c r="H27" s="13" t="str"/>
      <x:c r="I27" s="13" t="str"/>
      <x:c r="J27" s="13" t="str"/>
      <x:c r="K27" s="13" t="str"/>
      <x:c r="L27" s="13" t="str"/>
      <x:c r="M27" s="13" t="str"/>
      <x:c r="N27" s="13" t="str"/>
      <x:c r="O27" s="13" t="str">
        <x:f>IF(COUNT(I27:N27)&lt;6,"",SUM(I27:N27))</x:f>
      </x:c>
      <x:c r="P27" s="13" t="str">
        <x:f>IF(COUNT(H27,O27)&lt;2,"",H27-O27)</x:f>
      </x:c>
      <x:c r="Q27" s="13" t="str"/>
      <x:c r="R27" s="13" t="str"/>
      <x:c r="S27" s="13" t="str">
        <x:f>IF(R27=1,IF(COUNT(P27,Q27,N27)=3,IF(AND(ABS(P27)&lt;='Controls'!$D$67,Q27&lt;='Controls'!$D$66,N27&lt;='Controls'!$D$68),"PASS","FAIL"),"FAIL"),"OPEN")</x:f>
        <x:v>OPEN</x:v>
      </x:c>
    </x:row>
    <x:row r="28">
      <x:c r="B28" s="13" t="str">
        <x:v>RAS-SL-022</x:v>
      </x:c>
      <x:c r="C28" s="13" t="str">
        <x:v>RAS-E022</x:v>
      </x:c>
      <x:c r="D28" s="13" t="str">
        <x:v>AM-05</x:v>
      </x:c>
      <x:c r="E28" s="13" t="str">
        <x:v>TR-A</x:v>
      </x:c>
      <x:c r="F28" s="13" t="str">
        <x:v>RFP-B2</x:v>
      </x:c>
      <x:c r="G28" s="13" t="n">
        <x:v>500</x:v>
      </x:c>
      <x:c r="H28" s="13" t="str"/>
      <x:c r="I28" s="13" t="str"/>
      <x:c r="J28" s="13" t="str"/>
      <x:c r="K28" s="13" t="str"/>
      <x:c r="L28" s="13" t="str"/>
      <x:c r="M28" s="13" t="str"/>
      <x:c r="N28" s="13" t="str"/>
      <x:c r="O28" s="13" t="str">
        <x:f>IF(COUNT(I28:N28)&lt;6,"",SUM(I28:N28))</x:f>
      </x:c>
      <x:c r="P28" s="13" t="str">
        <x:f>IF(COUNT(H28,O28)&lt;2,"",H28-O28)</x:f>
      </x:c>
      <x:c r="Q28" s="13" t="str"/>
      <x:c r="R28" s="13" t="str"/>
      <x:c r="S28" s="13" t="str">
        <x:f>IF(R28=1,IF(COUNT(P28,Q28,N28)=3,IF(AND(ABS(P28)&lt;='Controls'!$D$67,Q28&lt;='Controls'!$D$66,N28&lt;='Controls'!$D$68),"PASS","FAIL"),"FAIL"),"OPEN")</x:f>
        <x:v>OPEN</x:v>
      </x:c>
    </x:row>
    <x:row r="29">
      <x:c r="B29" s="13" t="str">
        <x:v>RAS-SL-023</x:v>
      </x:c>
      <x:c r="C29" s="13" t="str">
        <x:v>RAS-E023</x:v>
      </x:c>
      <x:c r="D29" s="13" t="str">
        <x:v>AM-05</x:v>
      </x:c>
      <x:c r="E29" s="13" t="str">
        <x:v>TR-A</x:v>
      </x:c>
      <x:c r="F29" s="13" t="str">
        <x:v>RFP-B2</x:v>
      </x:c>
      <x:c r="G29" s="13" t="n">
        <x:v>500</x:v>
      </x:c>
      <x:c r="H29" s="13" t="str"/>
      <x:c r="I29" s="13" t="str"/>
      <x:c r="J29" s="13" t="str"/>
      <x:c r="K29" s="13" t="str"/>
      <x:c r="L29" s="13" t="str"/>
      <x:c r="M29" s="13" t="str"/>
      <x:c r="N29" s="13" t="str"/>
      <x:c r="O29" s="13" t="str">
        <x:f>IF(COUNT(I29:N29)&lt;6,"",SUM(I29:N29))</x:f>
      </x:c>
      <x:c r="P29" s="13" t="str">
        <x:f>IF(COUNT(H29,O29)&lt;2,"",H29-O29)</x:f>
      </x:c>
      <x:c r="Q29" s="13" t="str"/>
      <x:c r="R29" s="13" t="str"/>
      <x:c r="S29" s="13" t="str">
        <x:f>IF(R29=1,IF(COUNT(P29,Q29,N29)=3,IF(AND(ABS(P29)&lt;='Controls'!$D$67,Q29&lt;='Controls'!$D$66,N29&lt;='Controls'!$D$68),"PASS","FAIL"),"FAIL"),"OPEN")</x:f>
        <x:v>OPEN</x:v>
      </x:c>
    </x:row>
    <x:row r="30">
      <x:c r="B30" s="13" t="str">
        <x:v>RAS-SL-024</x:v>
      </x:c>
      <x:c r="C30" s="13" t="str">
        <x:v>RAS-E024</x:v>
      </x:c>
      <x:c r="D30" s="13" t="str">
        <x:v>AM-05</x:v>
      </x:c>
      <x:c r="E30" s="13" t="str">
        <x:v>TR-A</x:v>
      </x:c>
      <x:c r="F30" s="13" t="str">
        <x:v>RFP-B2</x:v>
      </x:c>
      <x:c r="G30" s="13" t="n">
        <x:v>500</x:v>
      </x:c>
      <x:c r="H30" s="13" t="str"/>
      <x:c r="I30" s="13" t="str"/>
      <x:c r="J30" s="13" t="str"/>
      <x:c r="K30" s="13" t="str"/>
      <x:c r="L30" s="13" t="str"/>
      <x:c r="M30" s="13" t="str"/>
      <x:c r="N30" s="13" t="str"/>
      <x:c r="O30" s="13" t="str">
        <x:f>IF(COUNT(I30:N30)&lt;6,"",SUM(I30:N30))</x:f>
      </x:c>
      <x:c r="P30" s="13" t="str">
        <x:f>IF(COUNT(H30,O30)&lt;2,"",H30-O30)</x:f>
      </x:c>
      <x:c r="Q30" s="13" t="str"/>
      <x:c r="R30" s="13" t="str"/>
      <x:c r="S30" s="13" t="str">
        <x:f>IF(R30=1,IF(COUNT(P30,Q30,N30)=3,IF(AND(ABS(P30)&lt;='Controls'!$D$67,Q30&lt;='Controls'!$D$66,N30&lt;='Controls'!$D$68),"PASS","FAIL"),"FAIL"),"OPEN")</x:f>
        <x:v>OPEN</x:v>
      </x:c>
    </x:row>
    <x:row r="31">
      <x:c r="B31" s="13" t="str">
        <x:v>RAS-SL-025</x:v>
      </x:c>
      <x:c r="C31" s="13" t="str">
        <x:v>RAS-E025</x:v>
      </x:c>
      <x:c r="D31" s="13" t="str">
        <x:v>AM-05</x:v>
      </x:c>
      <x:c r="E31" s="13" t="str">
        <x:v>TR-A</x:v>
      </x:c>
      <x:c r="F31" s="13" t="str">
        <x:v>RFP-C1</x:v>
      </x:c>
      <x:c r="G31" s="13" t="n">
        <x:v>0</x:v>
      </x:c>
      <x:c r="H31" s="13" t="str"/>
      <x:c r="I31" s="13" t="str"/>
      <x:c r="J31" s="13" t="str"/>
      <x:c r="K31" s="13" t="str"/>
      <x:c r="L31" s="13" t="str"/>
      <x:c r="M31" s="13" t="str"/>
      <x:c r="N31" s="13" t="str"/>
      <x:c r="O31" s="13" t="str">
        <x:f>IF(COUNT(I31:N31)&lt;6,"",SUM(I31:N31))</x:f>
      </x:c>
      <x:c r="P31" s="13" t="str">
        <x:f>IF(COUNT(H31,O31)&lt;2,"",H31-O31)</x:f>
      </x:c>
      <x:c r="Q31" s="13" t="str"/>
      <x:c r="R31" s="13" t="str"/>
      <x:c r="S31" s="13" t="str">
        <x:f>IF(R31=1,IF(COUNT(P31,Q31,N31)=3,IF(AND(ABS(P31)&lt;='Controls'!$D$67,Q31&lt;='Controls'!$D$66,N31&lt;='Controls'!$D$68),"PASS","FAIL"),"FAIL"),"OPEN")</x:f>
        <x:v>OPEN</x:v>
      </x:c>
    </x:row>
    <x:row r="32">
      <x:c r="B32" s="13" t="str">
        <x:v>RAS-SL-026</x:v>
      </x:c>
      <x:c r="C32" s="13" t="str">
        <x:v>RAS-E026</x:v>
      </x:c>
      <x:c r="D32" s="13" t="str">
        <x:v>AM-05</x:v>
      </x:c>
      <x:c r="E32" s="13" t="str">
        <x:v>TR-A</x:v>
      </x:c>
      <x:c r="F32" s="13" t="str">
        <x:v>RFP-C1</x:v>
      </x:c>
      <x:c r="G32" s="13" t="n">
        <x:v>100</x:v>
      </x:c>
      <x:c r="H32" s="13" t="str"/>
      <x:c r="I32" s="13" t="str"/>
      <x:c r="J32" s="13" t="str"/>
      <x:c r="K32" s="13" t="str"/>
      <x:c r="L32" s="13" t="str"/>
      <x:c r="M32" s="13" t="str"/>
      <x:c r="N32" s="13" t="str"/>
      <x:c r="O32" s="13" t="str">
        <x:f>IF(COUNT(I32:N32)&lt;6,"",SUM(I32:N32))</x:f>
      </x:c>
      <x:c r="P32" s="13" t="str">
        <x:f>IF(COUNT(H32,O32)&lt;2,"",H32-O32)</x:f>
      </x:c>
      <x:c r="Q32" s="13" t="str"/>
      <x:c r="R32" s="13" t="str"/>
      <x:c r="S32" s="13" t="str">
        <x:f>IF(R32=1,IF(COUNT(P32,Q32,N32)=3,IF(AND(ABS(P32)&lt;='Controls'!$D$67,Q32&lt;='Controls'!$D$66,N32&lt;='Controls'!$D$68),"PASS","FAIL"),"FAIL"),"OPEN")</x:f>
        <x:v>OPEN</x:v>
      </x:c>
    </x:row>
    <x:row r="33">
      <x:c r="B33" s="13" t="str">
        <x:v>RAS-SL-027</x:v>
      </x:c>
      <x:c r="C33" s="13" t="str">
        <x:v>RAS-E027</x:v>
      </x:c>
      <x:c r="D33" s="13" t="str">
        <x:v>AM-05</x:v>
      </x:c>
      <x:c r="E33" s="13" t="str">
        <x:v>TR-A</x:v>
      </x:c>
      <x:c r="F33" s="13" t="str">
        <x:v>RFP-C1</x:v>
      </x:c>
      <x:c r="G33" s="13" t="n">
        <x:v>250</x:v>
      </x:c>
      <x:c r="H33" s="13" t="str"/>
      <x:c r="I33" s="13" t="str"/>
      <x:c r="J33" s="13" t="str"/>
      <x:c r="K33" s="13" t="str"/>
      <x:c r="L33" s="13" t="str"/>
      <x:c r="M33" s="13" t="str"/>
      <x:c r="N33" s="13" t="str"/>
      <x:c r="O33" s="13" t="str">
        <x:f>IF(COUNT(I33:N33)&lt;6,"",SUM(I33:N33))</x:f>
      </x:c>
      <x:c r="P33" s="13" t="str">
        <x:f>IF(COUNT(H33,O33)&lt;2,"",H33-O33)</x:f>
      </x:c>
      <x:c r="Q33" s="13" t="str"/>
      <x:c r="R33" s="13" t="str"/>
      <x:c r="S33" s="13" t="str">
        <x:f>IF(R33=1,IF(COUNT(P33,Q33,N33)=3,IF(AND(ABS(P33)&lt;='Controls'!$D$67,Q33&lt;='Controls'!$D$66,N33&lt;='Controls'!$D$68),"PASS","FAIL"),"FAIL"),"OPEN")</x:f>
        <x:v>OPEN</x:v>
      </x:c>
    </x:row>
    <x:row r="34">
      <x:c r="B34" s="13" t="str">
        <x:v>RAS-SL-028</x:v>
      </x:c>
      <x:c r="C34" s="13" t="str">
        <x:v>RAS-E028</x:v>
      </x:c>
      <x:c r="D34" s="13" t="str">
        <x:v>AM-05</x:v>
      </x:c>
      <x:c r="E34" s="13" t="str">
        <x:v>TR-A</x:v>
      </x:c>
      <x:c r="F34" s="13" t="str">
        <x:v>RFP-C1</x:v>
      </x:c>
      <x:c r="G34" s="13" t="n">
        <x:v>500</x:v>
      </x:c>
      <x:c r="H34" s="13" t="str"/>
      <x:c r="I34" s="13" t="str"/>
      <x:c r="J34" s="13" t="str"/>
      <x:c r="K34" s="13" t="str"/>
      <x:c r="L34" s="13" t="str"/>
      <x:c r="M34" s="13" t="str"/>
      <x:c r="N34" s="13" t="str"/>
      <x:c r="O34" s="13" t="str">
        <x:f>IF(COUNT(I34:N34)&lt;6,"",SUM(I34:N34))</x:f>
      </x:c>
      <x:c r="P34" s="13" t="str">
        <x:f>IF(COUNT(H34,O34)&lt;2,"",H34-O34)</x:f>
      </x:c>
      <x:c r="Q34" s="13" t="str"/>
      <x:c r="R34" s="13" t="str"/>
      <x:c r="S34" s="13" t="str">
        <x:f>IF(R34=1,IF(COUNT(P34,Q34,N34)=3,IF(AND(ABS(P34)&lt;='Controls'!$D$67,Q34&lt;='Controls'!$D$66,N34&lt;='Controls'!$D$68),"PASS","FAIL"),"FAIL"),"OPEN")</x:f>
        <x:v>OPEN</x:v>
      </x:c>
    </x:row>
    <x:row r="35">
      <x:c r="B35" s="13" t="str">
        <x:v>RAS-SL-029</x:v>
      </x:c>
      <x:c r="C35" s="13" t="str">
        <x:v>RAS-E029</x:v>
      </x:c>
      <x:c r="D35" s="13" t="str">
        <x:v>AM-05</x:v>
      </x:c>
      <x:c r="E35" s="13" t="str">
        <x:v>TR-A</x:v>
      </x:c>
      <x:c r="F35" s="13" t="str">
        <x:v>RFP-C1</x:v>
      </x:c>
      <x:c r="G35" s="13" t="n">
        <x:v>500</x:v>
      </x:c>
      <x:c r="H35" s="13" t="str"/>
      <x:c r="I35" s="13" t="str"/>
      <x:c r="J35" s="13" t="str"/>
      <x:c r="K35" s="13" t="str"/>
      <x:c r="L35" s="13" t="str"/>
      <x:c r="M35" s="13" t="str"/>
      <x:c r="N35" s="13" t="str"/>
      <x:c r="O35" s="13" t="str">
        <x:f>IF(COUNT(I35:N35)&lt;6,"",SUM(I35:N35))</x:f>
      </x:c>
      <x:c r="P35" s="13" t="str">
        <x:f>IF(COUNT(H35,O35)&lt;2,"",H35-O35)</x:f>
      </x:c>
      <x:c r="Q35" s="13" t="str"/>
      <x:c r="R35" s="13" t="str"/>
      <x:c r="S35" s="13" t="str">
        <x:f>IF(R35=1,IF(COUNT(P35,Q35,N35)=3,IF(AND(ABS(P35)&lt;='Controls'!$D$67,Q35&lt;='Controls'!$D$66,N35&lt;='Controls'!$D$68),"PASS","FAIL"),"FAIL"),"OPEN")</x:f>
        <x:v>OPEN</x:v>
      </x:c>
    </x:row>
    <x:row r="36">
      <x:c r="B36" s="13" t="str">
        <x:v>RAS-SL-030</x:v>
      </x:c>
      <x:c r="C36" s="13" t="str">
        <x:v>RAS-E030</x:v>
      </x:c>
      <x:c r="D36" s="13" t="str">
        <x:v>AM-05</x:v>
      </x:c>
      <x:c r="E36" s="13" t="str">
        <x:v>TR-A</x:v>
      </x:c>
      <x:c r="F36" s="13" t="str">
        <x:v>RFP-C1</x:v>
      </x:c>
      <x:c r="G36" s="13" t="n">
        <x:v>500</x:v>
      </x:c>
      <x:c r="H36" s="13" t="str"/>
      <x:c r="I36" s="13" t="str"/>
      <x:c r="J36" s="13" t="str"/>
      <x:c r="K36" s="13" t="str"/>
      <x:c r="L36" s="13" t="str"/>
      <x:c r="M36" s="13" t="str"/>
      <x:c r="N36" s="13" t="str"/>
      <x:c r="O36" s="13" t="str">
        <x:f>IF(COUNT(I36:N36)&lt;6,"",SUM(I36:N36))</x:f>
      </x:c>
      <x:c r="P36" s="13" t="str">
        <x:f>IF(COUNT(H36,O36)&lt;2,"",H36-O36)</x:f>
      </x:c>
      <x:c r="Q36" s="13" t="str"/>
      <x:c r="R36" s="13" t="str"/>
      <x:c r="S36" s="13" t="str">
        <x:f>IF(R36=1,IF(COUNT(P36,Q36,N36)=3,IF(AND(ABS(P36)&lt;='Controls'!$D$67,Q36&lt;='Controls'!$D$66,N36&lt;='Controls'!$D$68),"PASS","FAIL"),"FAIL"),"OPEN")</x:f>
        <x:v>OPEN</x:v>
      </x:c>
    </x:row>
    <x:row r="37">
      <x:c r="B37" s="13" t="str">
        <x:v>RAS-SL-031</x:v>
      </x:c>
      <x:c r="C37" s="13" t="str">
        <x:v>RAS-E031</x:v>
      </x:c>
      <x:c r="D37" s="13" t="str">
        <x:v>AM-05</x:v>
      </x:c>
      <x:c r="E37" s="13" t="str">
        <x:v>TR-A</x:v>
      </x:c>
      <x:c r="F37" s="13" t="str">
        <x:v>RFP-C2</x:v>
      </x:c>
      <x:c r="G37" s="13" t="n">
        <x:v>0</x:v>
      </x:c>
      <x:c r="H37" s="13" t="str"/>
      <x:c r="I37" s="13" t="str"/>
      <x:c r="J37" s="13" t="str"/>
      <x:c r="K37" s="13" t="str"/>
      <x:c r="L37" s="13" t="str"/>
      <x:c r="M37" s="13" t="str"/>
      <x:c r="N37" s="13" t="str"/>
      <x:c r="O37" s="13" t="str">
        <x:f>IF(COUNT(I37:N37)&lt;6,"",SUM(I37:N37))</x:f>
      </x:c>
      <x:c r="P37" s="13" t="str">
        <x:f>IF(COUNT(H37,O37)&lt;2,"",H37-O37)</x:f>
      </x:c>
      <x:c r="Q37" s="13" t="str"/>
      <x:c r="R37" s="13" t="str"/>
      <x:c r="S37" s="13" t="str">
        <x:f>IF(R37=1,IF(COUNT(P37,Q37,N37)=3,IF(AND(ABS(P37)&lt;='Controls'!$D$67,Q37&lt;='Controls'!$D$66,N37&lt;='Controls'!$D$68),"PASS","FAIL"),"FAIL"),"OPEN")</x:f>
        <x:v>OPEN</x:v>
      </x:c>
    </x:row>
    <x:row r="38">
      <x:c r="B38" s="13" t="str">
        <x:v>RAS-SL-032</x:v>
      </x:c>
      <x:c r="C38" s="13" t="str">
        <x:v>RAS-E032</x:v>
      </x:c>
      <x:c r="D38" s="13" t="str">
        <x:v>AM-05</x:v>
      </x:c>
      <x:c r="E38" s="13" t="str">
        <x:v>TR-A</x:v>
      </x:c>
      <x:c r="F38" s="13" t="str">
        <x:v>RFP-C2</x:v>
      </x:c>
      <x:c r="G38" s="13" t="n">
        <x:v>100</x:v>
      </x:c>
      <x:c r="H38" s="13" t="str"/>
      <x:c r="I38" s="13" t="str"/>
      <x:c r="J38" s="13" t="str"/>
      <x:c r="K38" s="13" t="str"/>
      <x:c r="L38" s="13" t="str"/>
      <x:c r="M38" s="13" t="str"/>
      <x:c r="N38" s="13" t="str"/>
      <x:c r="O38" s="13" t="str">
        <x:f>IF(COUNT(I38:N38)&lt;6,"",SUM(I38:N38))</x:f>
      </x:c>
      <x:c r="P38" s="13" t="str">
        <x:f>IF(COUNT(H38,O38)&lt;2,"",H38-O38)</x:f>
      </x:c>
      <x:c r="Q38" s="13" t="str"/>
      <x:c r="R38" s="13" t="str"/>
      <x:c r="S38" s="13" t="str">
        <x:f>IF(R38=1,IF(COUNT(P38,Q38,N38)=3,IF(AND(ABS(P38)&lt;='Controls'!$D$67,Q38&lt;='Controls'!$D$66,N38&lt;='Controls'!$D$68),"PASS","FAIL"),"FAIL"),"OPEN")</x:f>
        <x:v>OPEN</x:v>
      </x:c>
    </x:row>
    <x:row r="39">
      <x:c r="B39" s="13" t="str">
        <x:v>RAS-SL-033</x:v>
      </x:c>
      <x:c r="C39" s="13" t="str">
        <x:v>RAS-E033</x:v>
      </x:c>
      <x:c r="D39" s="13" t="str">
        <x:v>AM-05</x:v>
      </x:c>
      <x:c r="E39" s="13" t="str">
        <x:v>TR-A</x:v>
      </x:c>
      <x:c r="F39" s="13" t="str">
        <x:v>RFP-C2</x:v>
      </x:c>
      <x:c r="G39" s="13" t="n">
        <x:v>250</x:v>
      </x:c>
      <x:c r="H39" s="13" t="str"/>
      <x:c r="I39" s="13" t="str"/>
      <x:c r="J39" s="13" t="str"/>
      <x:c r="K39" s="13" t="str"/>
      <x:c r="L39" s="13" t="str"/>
      <x:c r="M39" s="13" t="str"/>
      <x:c r="N39" s="13" t="str"/>
      <x:c r="O39" s="13" t="str">
        <x:f>IF(COUNT(I39:N39)&lt;6,"",SUM(I39:N39))</x:f>
      </x:c>
      <x:c r="P39" s="13" t="str">
        <x:f>IF(COUNT(H39,O39)&lt;2,"",H39-O39)</x:f>
      </x:c>
      <x:c r="Q39" s="13" t="str"/>
      <x:c r="R39" s="13" t="str"/>
      <x:c r="S39" s="13" t="str">
        <x:f>IF(R39=1,IF(COUNT(P39,Q39,N39)=3,IF(AND(ABS(P39)&lt;='Controls'!$D$67,Q39&lt;='Controls'!$D$66,N39&lt;='Controls'!$D$68),"PASS","FAIL"),"FAIL"),"OPEN")</x:f>
        <x:v>OPEN</x:v>
      </x:c>
    </x:row>
    <x:row r="40">
      <x:c r="B40" s="13" t="str">
        <x:v>RAS-SL-034</x:v>
      </x:c>
      <x:c r="C40" s="13" t="str">
        <x:v>RAS-E034</x:v>
      </x:c>
      <x:c r="D40" s="13" t="str">
        <x:v>AM-05</x:v>
      </x:c>
      <x:c r="E40" s="13" t="str">
        <x:v>TR-A</x:v>
      </x:c>
      <x:c r="F40" s="13" t="str">
        <x:v>RFP-C2</x:v>
      </x:c>
      <x:c r="G40" s="13" t="n">
        <x:v>500</x:v>
      </x:c>
      <x:c r="H40" s="13" t="str"/>
      <x:c r="I40" s="13" t="str"/>
      <x:c r="J40" s="13" t="str"/>
      <x:c r="K40" s="13" t="str"/>
      <x:c r="L40" s="13" t="str"/>
      <x:c r="M40" s="13" t="str"/>
      <x:c r="N40" s="13" t="str"/>
      <x:c r="O40" s="13" t="str">
        <x:f>IF(COUNT(I40:N40)&lt;6,"",SUM(I40:N40))</x:f>
      </x:c>
      <x:c r="P40" s="13" t="str">
        <x:f>IF(COUNT(H40,O40)&lt;2,"",H40-O40)</x:f>
      </x:c>
      <x:c r="Q40" s="13" t="str"/>
      <x:c r="R40" s="13" t="str"/>
      <x:c r="S40" s="13" t="str">
        <x:f>IF(R40=1,IF(COUNT(P40,Q40,N40)=3,IF(AND(ABS(P40)&lt;='Controls'!$D$67,Q40&lt;='Controls'!$D$66,N40&lt;='Controls'!$D$68),"PASS","FAIL"),"FAIL"),"OPEN")</x:f>
        <x:v>OPEN</x:v>
      </x:c>
    </x:row>
    <x:row r="41">
      <x:c r="B41" s="13" t="str">
        <x:v>RAS-SL-035</x:v>
      </x:c>
      <x:c r="C41" s="13" t="str">
        <x:v>RAS-E035</x:v>
      </x:c>
      <x:c r="D41" s="13" t="str">
        <x:v>AM-05</x:v>
      </x:c>
      <x:c r="E41" s="13" t="str">
        <x:v>TR-A</x:v>
      </x:c>
      <x:c r="F41" s="13" t="str">
        <x:v>RFP-C2</x:v>
      </x:c>
      <x:c r="G41" s="13" t="n">
        <x:v>500</x:v>
      </x:c>
      <x:c r="H41" s="13" t="str"/>
      <x:c r="I41" s="13" t="str"/>
      <x:c r="J41" s="13" t="str"/>
      <x:c r="K41" s="13" t="str"/>
      <x:c r="L41" s="13" t="str"/>
      <x:c r="M41" s="13" t="str"/>
      <x:c r="N41" s="13" t="str"/>
      <x:c r="O41" s="13" t="str">
        <x:f>IF(COUNT(I41:N41)&lt;6,"",SUM(I41:N41))</x:f>
      </x:c>
      <x:c r="P41" s="13" t="str">
        <x:f>IF(COUNT(H41,O41)&lt;2,"",H41-O41)</x:f>
      </x:c>
      <x:c r="Q41" s="13" t="str"/>
      <x:c r="R41" s="13" t="str"/>
      <x:c r="S41" s="13" t="str">
        <x:f>IF(R41=1,IF(COUNT(P41,Q41,N41)=3,IF(AND(ABS(P41)&lt;='Controls'!$D$67,Q41&lt;='Controls'!$D$66,N41&lt;='Controls'!$D$68),"PASS","FAIL"),"FAIL"),"OPEN")</x:f>
        <x:v>OPEN</x:v>
      </x:c>
    </x:row>
    <x:row r="42">
      <x:c r="B42" s="13" t="str">
        <x:v>RAS-SL-036</x:v>
      </x:c>
      <x:c r="C42" s="13" t="str">
        <x:v>RAS-E036</x:v>
      </x:c>
      <x:c r="D42" s="13" t="str">
        <x:v>AM-05</x:v>
      </x:c>
      <x:c r="E42" s="13" t="str">
        <x:v>TR-A</x:v>
      </x:c>
      <x:c r="F42" s="13" t="str">
        <x:v>RFP-C2</x:v>
      </x:c>
      <x:c r="G42" s="13" t="n">
        <x:v>500</x:v>
      </x:c>
      <x:c r="H42" s="13" t="str"/>
      <x:c r="I42" s="13" t="str"/>
      <x:c r="J42" s="13" t="str"/>
      <x:c r="K42" s="13" t="str"/>
      <x:c r="L42" s="13" t="str"/>
      <x:c r="M42" s="13" t="str"/>
      <x:c r="N42" s="13" t="str"/>
      <x:c r="O42" s="13" t="str">
        <x:f>IF(COUNT(I42:N42)&lt;6,"",SUM(I42:N42))</x:f>
      </x:c>
      <x:c r="P42" s="13" t="str">
        <x:f>IF(COUNT(H42,O42)&lt;2,"",H42-O42)</x:f>
      </x:c>
      <x:c r="Q42" s="13" t="str"/>
      <x:c r="R42" s="13" t="str"/>
      <x:c r="S42" s="13" t="str">
        <x:f>IF(R42=1,IF(COUNT(P42,Q42,N42)=3,IF(AND(ABS(P42)&lt;='Controls'!$D$67,Q42&lt;='Controls'!$D$66,N42&lt;='Controls'!$D$68),"PASS","FAIL"),"FAIL"),"OPEN")</x:f>
        <x:v>OPEN</x:v>
      </x:c>
    </x:row>
    <x:row r="43">
      <x:c r="B43" s="13" t="str">
        <x:v>RAS-SL-037</x:v>
      </x:c>
      <x:c r="C43" s="13" t="str">
        <x:v>RAS-E037</x:v>
      </x:c>
      <x:c r="D43" s="13" t="str">
        <x:v>AM-05</x:v>
      </x:c>
      <x:c r="E43" s="13" t="str">
        <x:v>TR-B</x:v>
      </x:c>
      <x:c r="F43" s="13" t="str">
        <x:v>RFP-A1</x:v>
      </x:c>
      <x:c r="G43" s="13" t="n">
        <x:v>0</x:v>
      </x:c>
      <x:c r="H43" s="13" t="str"/>
      <x:c r="I43" s="13" t="str"/>
      <x:c r="J43" s="13" t="str"/>
      <x:c r="K43" s="13" t="str"/>
      <x:c r="L43" s="13" t="str"/>
      <x:c r="M43" s="13" t="str"/>
      <x:c r="N43" s="13" t="str"/>
      <x:c r="O43" s="13" t="str">
        <x:f>IF(COUNT(I43:N43)&lt;6,"",SUM(I43:N43))</x:f>
      </x:c>
      <x:c r="P43" s="13" t="str">
        <x:f>IF(COUNT(H43,O43)&lt;2,"",H43-O43)</x:f>
      </x:c>
      <x:c r="Q43" s="13" t="str"/>
      <x:c r="R43" s="13" t="str"/>
      <x:c r="S43" s="13" t="str">
        <x:f>IF(R43=1,IF(COUNT(P43,Q43,N43)=3,IF(AND(ABS(P43)&lt;='Controls'!$D$67,Q43&lt;='Controls'!$D$66,N43&lt;='Controls'!$D$68),"PASS","FAIL"),"FAIL"),"OPEN")</x:f>
        <x:v>OPEN</x:v>
      </x:c>
    </x:row>
    <x:row r="44">
      <x:c r="B44" s="13" t="str">
        <x:v>RAS-SL-038</x:v>
      </x:c>
      <x:c r="C44" s="13" t="str">
        <x:v>RAS-E038</x:v>
      </x:c>
      <x:c r="D44" s="13" t="str">
        <x:v>AM-05</x:v>
      </x:c>
      <x:c r="E44" s="13" t="str">
        <x:v>TR-B</x:v>
      </x:c>
      <x:c r="F44" s="13" t="str">
        <x:v>RFP-A1</x:v>
      </x:c>
      <x:c r="G44" s="13" t="n">
        <x:v>100</x:v>
      </x:c>
      <x:c r="H44" s="13" t="str"/>
      <x:c r="I44" s="13" t="str"/>
      <x:c r="J44" s="13" t="str"/>
      <x:c r="K44" s="13" t="str"/>
      <x:c r="L44" s="13" t="str"/>
      <x:c r="M44" s="13" t="str"/>
      <x:c r="N44" s="13" t="str"/>
      <x:c r="O44" s="13" t="str">
        <x:f>IF(COUNT(I44:N44)&lt;6,"",SUM(I44:N44))</x:f>
      </x:c>
      <x:c r="P44" s="13" t="str">
        <x:f>IF(COUNT(H44,O44)&lt;2,"",H44-O44)</x:f>
      </x:c>
      <x:c r="Q44" s="13" t="str"/>
      <x:c r="R44" s="13" t="str"/>
      <x:c r="S44" s="13" t="str">
        <x:f>IF(R44=1,IF(COUNT(P44,Q44,N44)=3,IF(AND(ABS(P44)&lt;='Controls'!$D$67,Q44&lt;='Controls'!$D$66,N44&lt;='Controls'!$D$68),"PASS","FAIL"),"FAIL"),"OPEN")</x:f>
        <x:v>OPEN</x:v>
      </x:c>
    </x:row>
    <x:row r="45">
      <x:c r="B45" s="13" t="str">
        <x:v>RAS-SL-039</x:v>
      </x:c>
      <x:c r="C45" s="13" t="str">
        <x:v>RAS-E039</x:v>
      </x:c>
      <x:c r="D45" s="13" t="str">
        <x:v>AM-05</x:v>
      </x:c>
      <x:c r="E45" s="13" t="str">
        <x:v>TR-B</x:v>
      </x:c>
      <x:c r="F45" s="13" t="str">
        <x:v>RFP-A1</x:v>
      </x:c>
      <x:c r="G45" s="13" t="n">
        <x:v>250</x:v>
      </x:c>
      <x:c r="H45" s="13" t="str"/>
      <x:c r="I45" s="13" t="str"/>
      <x:c r="J45" s="13" t="str"/>
      <x:c r="K45" s="13" t="str"/>
      <x:c r="L45" s="13" t="str"/>
      <x:c r="M45" s="13" t="str"/>
      <x:c r="N45" s="13" t="str"/>
      <x:c r="O45" s="13" t="str">
        <x:f>IF(COUNT(I45:N45)&lt;6,"",SUM(I45:N45))</x:f>
      </x:c>
      <x:c r="P45" s="13" t="str">
        <x:f>IF(COUNT(H45,O45)&lt;2,"",H45-O45)</x:f>
      </x:c>
      <x:c r="Q45" s="13" t="str"/>
      <x:c r="R45" s="13" t="str"/>
      <x:c r="S45" s="13" t="str">
        <x:f>IF(R45=1,IF(COUNT(P45,Q45,N45)=3,IF(AND(ABS(P45)&lt;='Controls'!$D$67,Q45&lt;='Controls'!$D$66,N45&lt;='Controls'!$D$68),"PASS","FAIL"),"FAIL"),"OPEN")</x:f>
        <x:v>OPEN</x:v>
      </x:c>
    </x:row>
    <x:row r="46">
      <x:c r="B46" s="13" t="str">
        <x:v>RAS-SL-040</x:v>
      </x:c>
      <x:c r="C46" s="13" t="str">
        <x:v>RAS-E040</x:v>
      </x:c>
      <x:c r="D46" s="13" t="str">
        <x:v>AM-05</x:v>
      </x:c>
      <x:c r="E46" s="13" t="str">
        <x:v>TR-B</x:v>
      </x:c>
      <x:c r="F46" s="13" t="str">
        <x:v>RFP-A1</x:v>
      </x:c>
      <x:c r="G46" s="13" t="n">
        <x:v>500</x:v>
      </x:c>
      <x:c r="H46" s="13" t="str"/>
      <x:c r="I46" s="13" t="str"/>
      <x:c r="J46" s="13" t="str"/>
      <x:c r="K46" s="13" t="str"/>
      <x:c r="L46" s="13" t="str"/>
      <x:c r="M46" s="13" t="str"/>
      <x:c r="N46" s="13" t="str"/>
      <x:c r="O46" s="13" t="str">
        <x:f>IF(COUNT(I46:N46)&lt;6,"",SUM(I46:N46))</x:f>
      </x:c>
      <x:c r="P46" s="13" t="str">
        <x:f>IF(COUNT(H46,O46)&lt;2,"",H46-O46)</x:f>
      </x:c>
      <x:c r="Q46" s="13" t="str"/>
      <x:c r="R46" s="13" t="str"/>
      <x:c r="S46" s="13" t="str">
        <x:f>IF(R46=1,IF(COUNT(P46,Q46,N46)=3,IF(AND(ABS(P46)&lt;='Controls'!$D$67,Q46&lt;='Controls'!$D$66,N46&lt;='Controls'!$D$68),"PASS","FAIL"),"FAIL"),"OPEN")</x:f>
        <x:v>OPEN</x:v>
      </x:c>
    </x:row>
    <x:row r="47">
      <x:c r="B47" s="13" t="str">
        <x:v>RAS-SL-041</x:v>
      </x:c>
      <x:c r="C47" s="13" t="str">
        <x:v>RAS-E041</x:v>
      </x:c>
      <x:c r="D47" s="13" t="str">
        <x:v>AM-05</x:v>
      </x:c>
      <x:c r="E47" s="13" t="str">
        <x:v>TR-B</x:v>
      </x:c>
      <x:c r="F47" s="13" t="str">
        <x:v>RFP-A1</x:v>
      </x:c>
      <x:c r="G47" s="13" t="n">
        <x:v>500</x:v>
      </x:c>
      <x:c r="H47" s="13" t="str"/>
      <x:c r="I47" s="13" t="str"/>
      <x:c r="J47" s="13" t="str"/>
      <x:c r="K47" s="13" t="str"/>
      <x:c r="L47" s="13" t="str"/>
      <x:c r="M47" s="13" t="str"/>
      <x:c r="N47" s="13" t="str"/>
      <x:c r="O47" s="13" t="str">
        <x:f>IF(COUNT(I47:N47)&lt;6,"",SUM(I47:N47))</x:f>
      </x:c>
      <x:c r="P47" s="13" t="str">
        <x:f>IF(COUNT(H47,O47)&lt;2,"",H47-O47)</x:f>
      </x:c>
      <x:c r="Q47" s="13" t="str"/>
      <x:c r="R47" s="13" t="str"/>
      <x:c r="S47" s="13" t="str">
        <x:f>IF(R47=1,IF(COUNT(P47,Q47,N47)=3,IF(AND(ABS(P47)&lt;='Controls'!$D$67,Q47&lt;='Controls'!$D$66,N47&lt;='Controls'!$D$68),"PASS","FAIL"),"FAIL"),"OPEN")</x:f>
        <x:v>OPEN</x:v>
      </x:c>
    </x:row>
    <x:row r="48">
      <x:c r="B48" s="13" t="str">
        <x:v>RAS-SL-042</x:v>
      </x:c>
      <x:c r="C48" s="13" t="str">
        <x:v>RAS-E042</x:v>
      </x:c>
      <x:c r="D48" s="13" t="str">
        <x:v>AM-05</x:v>
      </x:c>
      <x:c r="E48" s="13" t="str">
        <x:v>TR-B</x:v>
      </x:c>
      <x:c r="F48" s="13" t="str">
        <x:v>RFP-A1</x:v>
      </x:c>
      <x:c r="G48" s="13" t="n">
        <x:v>500</x:v>
      </x:c>
      <x:c r="H48" s="13" t="str"/>
      <x:c r="I48" s="13" t="str"/>
      <x:c r="J48" s="13" t="str"/>
      <x:c r="K48" s="13" t="str"/>
      <x:c r="L48" s="13" t="str"/>
      <x:c r="M48" s="13" t="str"/>
      <x:c r="N48" s="13" t="str"/>
      <x:c r="O48" s="13" t="str">
        <x:f>IF(COUNT(I48:N48)&lt;6,"",SUM(I48:N48))</x:f>
      </x:c>
      <x:c r="P48" s="13" t="str">
        <x:f>IF(COUNT(H48,O48)&lt;2,"",H48-O48)</x:f>
      </x:c>
      <x:c r="Q48" s="13" t="str"/>
      <x:c r="R48" s="13" t="str"/>
      <x:c r="S48" s="13" t="str">
        <x:f>IF(R48=1,IF(COUNT(P48,Q48,N48)=3,IF(AND(ABS(P48)&lt;='Controls'!$D$67,Q48&lt;='Controls'!$D$66,N48&lt;='Controls'!$D$68),"PASS","FAIL"),"FAIL"),"OPEN")</x:f>
        <x:v>OPEN</x:v>
      </x:c>
    </x:row>
    <x:row r="49">
      <x:c r="B49" s="13" t="str">
        <x:v>RAS-SL-043</x:v>
      </x:c>
      <x:c r="C49" s="13" t="str">
        <x:v>RAS-E043</x:v>
      </x:c>
      <x:c r="D49" s="13" t="str">
        <x:v>AM-05</x:v>
      </x:c>
      <x:c r="E49" s="13" t="str">
        <x:v>TR-B</x:v>
      </x:c>
      <x:c r="F49" s="13" t="str">
        <x:v>RFP-A2</x:v>
      </x:c>
      <x:c r="G49" s="13" t="n">
        <x:v>0</x:v>
      </x:c>
      <x:c r="H49" s="13" t="str"/>
      <x:c r="I49" s="13" t="str"/>
      <x:c r="J49" s="13" t="str"/>
      <x:c r="K49" s="13" t="str"/>
      <x:c r="L49" s="13" t="str"/>
      <x:c r="M49" s="13" t="str"/>
      <x:c r="N49" s="13" t="str"/>
      <x:c r="O49" s="13" t="str">
        <x:f>IF(COUNT(I49:N49)&lt;6,"",SUM(I49:N49))</x:f>
      </x:c>
      <x:c r="P49" s="13" t="str">
        <x:f>IF(COUNT(H49,O49)&lt;2,"",H49-O49)</x:f>
      </x:c>
      <x:c r="Q49" s="13" t="str"/>
      <x:c r="R49" s="13" t="str"/>
      <x:c r="S49" s="13" t="str">
        <x:f>IF(R49=1,IF(COUNT(P49,Q49,N49)=3,IF(AND(ABS(P49)&lt;='Controls'!$D$67,Q49&lt;='Controls'!$D$66,N49&lt;='Controls'!$D$68),"PASS","FAIL"),"FAIL"),"OPEN")</x:f>
        <x:v>OPEN</x:v>
      </x:c>
    </x:row>
    <x:row r="50">
      <x:c r="B50" s="13" t="str">
        <x:v>RAS-SL-044</x:v>
      </x:c>
      <x:c r="C50" s="13" t="str">
        <x:v>RAS-E044</x:v>
      </x:c>
      <x:c r="D50" s="13" t="str">
        <x:v>AM-05</x:v>
      </x:c>
      <x:c r="E50" s="13" t="str">
        <x:v>TR-B</x:v>
      </x:c>
      <x:c r="F50" s="13" t="str">
        <x:v>RFP-A2</x:v>
      </x:c>
      <x:c r="G50" s="13" t="n">
        <x:v>100</x:v>
      </x:c>
      <x:c r="H50" s="13" t="str"/>
      <x:c r="I50" s="13" t="str"/>
      <x:c r="J50" s="13" t="str"/>
      <x:c r="K50" s="13" t="str"/>
      <x:c r="L50" s="13" t="str"/>
      <x:c r="M50" s="13" t="str"/>
      <x:c r="N50" s="13" t="str"/>
      <x:c r="O50" s="13" t="str">
        <x:f>IF(COUNT(I50:N50)&lt;6,"",SUM(I50:N50))</x:f>
      </x:c>
      <x:c r="P50" s="13" t="str">
        <x:f>IF(COUNT(H50,O50)&lt;2,"",H50-O50)</x:f>
      </x:c>
      <x:c r="Q50" s="13" t="str"/>
      <x:c r="R50" s="13" t="str"/>
      <x:c r="S50" s="13" t="str">
        <x:f>IF(R50=1,IF(COUNT(P50,Q50,N50)=3,IF(AND(ABS(P50)&lt;='Controls'!$D$67,Q50&lt;='Controls'!$D$66,N50&lt;='Controls'!$D$68),"PASS","FAIL"),"FAIL"),"OPEN")</x:f>
        <x:v>OPEN</x:v>
      </x:c>
    </x:row>
    <x:row r="51">
      <x:c r="B51" s="13" t="str">
        <x:v>RAS-SL-045</x:v>
      </x:c>
      <x:c r="C51" s="13" t="str">
        <x:v>RAS-E045</x:v>
      </x:c>
      <x:c r="D51" s="13" t="str">
        <x:v>AM-05</x:v>
      </x:c>
      <x:c r="E51" s="13" t="str">
        <x:v>TR-B</x:v>
      </x:c>
      <x:c r="F51" s="13" t="str">
        <x:v>RFP-A2</x:v>
      </x:c>
      <x:c r="G51" s="13" t="n">
        <x:v>250</x:v>
      </x:c>
      <x:c r="H51" s="13" t="str"/>
      <x:c r="I51" s="13" t="str"/>
      <x:c r="J51" s="13" t="str"/>
      <x:c r="K51" s="13" t="str"/>
      <x:c r="L51" s="13" t="str"/>
      <x:c r="M51" s="13" t="str"/>
      <x:c r="N51" s="13" t="str"/>
      <x:c r="O51" s="13" t="str">
        <x:f>IF(COUNT(I51:N51)&lt;6,"",SUM(I51:N51))</x:f>
      </x:c>
      <x:c r="P51" s="13" t="str">
        <x:f>IF(COUNT(H51,O51)&lt;2,"",H51-O51)</x:f>
      </x:c>
      <x:c r="Q51" s="13" t="str"/>
      <x:c r="R51" s="13" t="str"/>
      <x:c r="S51" s="13" t="str">
        <x:f>IF(R51=1,IF(COUNT(P51,Q51,N51)=3,IF(AND(ABS(P51)&lt;='Controls'!$D$67,Q51&lt;='Controls'!$D$66,N51&lt;='Controls'!$D$68),"PASS","FAIL"),"FAIL"),"OPEN")</x:f>
        <x:v>OPEN</x:v>
      </x:c>
    </x:row>
    <x:row r="52">
      <x:c r="B52" s="13" t="str">
        <x:v>RAS-SL-046</x:v>
      </x:c>
      <x:c r="C52" s="13" t="str">
        <x:v>RAS-E046</x:v>
      </x:c>
      <x:c r="D52" s="13" t="str">
        <x:v>AM-05</x:v>
      </x:c>
      <x:c r="E52" s="13" t="str">
        <x:v>TR-B</x:v>
      </x:c>
      <x:c r="F52" s="13" t="str">
        <x:v>RFP-A2</x:v>
      </x:c>
      <x:c r="G52" s="13" t="n">
        <x:v>500</x:v>
      </x:c>
      <x:c r="H52" s="13" t="str"/>
      <x:c r="I52" s="13" t="str"/>
      <x:c r="J52" s="13" t="str"/>
      <x:c r="K52" s="13" t="str"/>
      <x:c r="L52" s="13" t="str"/>
      <x:c r="M52" s="13" t="str"/>
      <x:c r="N52" s="13" t="str"/>
      <x:c r="O52" s="13" t="str">
        <x:f>IF(COUNT(I52:N52)&lt;6,"",SUM(I52:N52))</x:f>
      </x:c>
      <x:c r="P52" s="13" t="str">
        <x:f>IF(COUNT(H52,O52)&lt;2,"",H52-O52)</x:f>
      </x:c>
      <x:c r="Q52" s="13" t="str"/>
      <x:c r="R52" s="13" t="str"/>
      <x:c r="S52" s="13" t="str">
        <x:f>IF(R52=1,IF(COUNT(P52,Q52,N52)=3,IF(AND(ABS(P52)&lt;='Controls'!$D$67,Q52&lt;='Controls'!$D$66,N52&lt;='Controls'!$D$68),"PASS","FAIL"),"FAIL"),"OPEN")</x:f>
        <x:v>OPEN</x:v>
      </x:c>
    </x:row>
    <x:row r="53">
      <x:c r="B53" s="13" t="str">
        <x:v>RAS-SL-047</x:v>
      </x:c>
      <x:c r="C53" s="13" t="str">
        <x:v>RAS-E047</x:v>
      </x:c>
      <x:c r="D53" s="13" t="str">
        <x:v>AM-05</x:v>
      </x:c>
      <x:c r="E53" s="13" t="str">
        <x:v>TR-B</x:v>
      </x:c>
      <x:c r="F53" s="13" t="str">
        <x:v>RFP-A2</x:v>
      </x:c>
      <x:c r="G53" s="13" t="n">
        <x:v>500</x:v>
      </x:c>
      <x:c r="H53" s="13" t="str"/>
      <x:c r="I53" s="13" t="str"/>
      <x:c r="J53" s="13" t="str"/>
      <x:c r="K53" s="13" t="str"/>
      <x:c r="L53" s="13" t="str"/>
      <x:c r="M53" s="13" t="str"/>
      <x:c r="N53" s="13" t="str"/>
      <x:c r="O53" s="13" t="str">
        <x:f>IF(COUNT(I53:N53)&lt;6,"",SUM(I53:N53))</x:f>
      </x:c>
      <x:c r="P53" s="13" t="str">
        <x:f>IF(COUNT(H53,O53)&lt;2,"",H53-O53)</x:f>
      </x:c>
      <x:c r="Q53" s="13" t="str"/>
      <x:c r="R53" s="13" t="str"/>
      <x:c r="S53" s="13" t="str">
        <x:f>IF(R53=1,IF(COUNT(P53,Q53,N53)=3,IF(AND(ABS(P53)&lt;='Controls'!$D$67,Q53&lt;='Controls'!$D$66,N53&lt;='Controls'!$D$68),"PASS","FAIL"),"FAIL"),"OPEN")</x:f>
        <x:v>OPEN</x:v>
      </x:c>
    </x:row>
    <x:row r="54">
      <x:c r="B54" s="13" t="str">
        <x:v>RAS-SL-048</x:v>
      </x:c>
      <x:c r="C54" s="13" t="str">
        <x:v>RAS-E048</x:v>
      </x:c>
      <x:c r="D54" s="13" t="str">
        <x:v>AM-05</x:v>
      </x:c>
      <x:c r="E54" s="13" t="str">
        <x:v>TR-B</x:v>
      </x:c>
      <x:c r="F54" s="13" t="str">
        <x:v>RFP-A2</x:v>
      </x:c>
      <x:c r="G54" s="13" t="n">
        <x:v>500</x:v>
      </x:c>
      <x:c r="H54" s="13" t="str"/>
      <x:c r="I54" s="13" t="str"/>
      <x:c r="J54" s="13" t="str"/>
      <x:c r="K54" s="13" t="str"/>
      <x:c r="L54" s="13" t="str"/>
      <x:c r="M54" s="13" t="str"/>
      <x:c r="N54" s="13" t="str"/>
      <x:c r="O54" s="13" t="str">
        <x:f>IF(COUNT(I54:N54)&lt;6,"",SUM(I54:N54))</x:f>
      </x:c>
      <x:c r="P54" s="13" t="str">
        <x:f>IF(COUNT(H54,O54)&lt;2,"",H54-O54)</x:f>
      </x:c>
      <x:c r="Q54" s="13" t="str"/>
      <x:c r="R54" s="13" t="str"/>
      <x:c r="S54" s="13" t="str">
        <x:f>IF(R54=1,IF(COUNT(P54,Q54,N54)=3,IF(AND(ABS(P54)&lt;='Controls'!$D$67,Q54&lt;='Controls'!$D$66,N54&lt;='Controls'!$D$68),"PASS","FAIL"),"FAIL"),"OPEN")</x:f>
        <x:v>OPEN</x:v>
      </x:c>
    </x:row>
    <x:row r="55">
      <x:c r="B55" s="13" t="str">
        <x:v>RAS-SL-049</x:v>
      </x:c>
      <x:c r="C55" s="13" t="str">
        <x:v>RAS-E049</x:v>
      </x:c>
      <x:c r="D55" s="13" t="str">
        <x:v>AM-05</x:v>
      </x:c>
      <x:c r="E55" s="13" t="str">
        <x:v>TR-B</x:v>
      </x:c>
      <x:c r="F55" s="13" t="str">
        <x:v>RFP-B1</x:v>
      </x:c>
      <x:c r="G55" s="13" t="n">
        <x:v>0</x:v>
      </x:c>
      <x:c r="H55" s="13" t="str"/>
      <x:c r="I55" s="13" t="str"/>
      <x:c r="J55" s="13" t="str"/>
      <x:c r="K55" s="13" t="str"/>
      <x:c r="L55" s="13" t="str"/>
      <x:c r="M55" s="13" t="str"/>
      <x:c r="N55" s="13" t="str"/>
      <x:c r="O55" s="13" t="str">
        <x:f>IF(COUNT(I55:N55)&lt;6,"",SUM(I55:N55))</x:f>
      </x:c>
      <x:c r="P55" s="13" t="str">
        <x:f>IF(COUNT(H55,O55)&lt;2,"",H55-O55)</x:f>
      </x:c>
      <x:c r="Q55" s="13" t="str"/>
      <x:c r="R55" s="13" t="str"/>
      <x:c r="S55" s="13" t="str">
        <x:f>IF(R55=1,IF(COUNT(P55,Q55,N55)=3,IF(AND(ABS(P55)&lt;='Controls'!$D$67,Q55&lt;='Controls'!$D$66,N55&lt;='Controls'!$D$68),"PASS","FAIL"),"FAIL"),"OPEN")</x:f>
        <x:v>OPEN</x:v>
      </x:c>
    </x:row>
    <x:row r="56">
      <x:c r="B56" s="13" t="str">
        <x:v>RAS-SL-050</x:v>
      </x:c>
      <x:c r="C56" s="13" t="str">
        <x:v>RAS-E050</x:v>
      </x:c>
      <x:c r="D56" s="13" t="str">
        <x:v>AM-05</x:v>
      </x:c>
      <x:c r="E56" s="13" t="str">
        <x:v>TR-B</x:v>
      </x:c>
      <x:c r="F56" s="13" t="str">
        <x:v>RFP-B1</x:v>
      </x:c>
      <x:c r="G56" s="13" t="n">
        <x:v>100</x:v>
      </x:c>
      <x:c r="H56" s="13" t="str"/>
      <x:c r="I56" s="13" t="str"/>
      <x:c r="J56" s="13" t="str"/>
      <x:c r="K56" s="13" t="str"/>
      <x:c r="L56" s="13" t="str"/>
      <x:c r="M56" s="13" t="str"/>
      <x:c r="N56" s="13" t="str"/>
      <x:c r="O56" s="13" t="str">
        <x:f>IF(COUNT(I56:N56)&lt;6,"",SUM(I56:N56))</x:f>
      </x:c>
      <x:c r="P56" s="13" t="str">
        <x:f>IF(COUNT(H56,O56)&lt;2,"",H56-O56)</x:f>
      </x:c>
      <x:c r="Q56" s="13" t="str"/>
      <x:c r="R56" s="13" t="str"/>
      <x:c r="S56" s="13" t="str">
        <x:f>IF(R56=1,IF(COUNT(P56,Q56,N56)=3,IF(AND(ABS(P56)&lt;='Controls'!$D$67,Q56&lt;='Controls'!$D$66,N56&lt;='Controls'!$D$68),"PASS","FAIL"),"FAIL"),"OPEN")</x:f>
        <x:v>OPEN</x:v>
      </x:c>
    </x:row>
    <x:row r="57">
      <x:c r="B57" s="13" t="str">
        <x:v>RAS-SL-051</x:v>
      </x:c>
      <x:c r="C57" s="13" t="str">
        <x:v>RAS-E051</x:v>
      </x:c>
      <x:c r="D57" s="13" t="str">
        <x:v>AM-05</x:v>
      </x:c>
      <x:c r="E57" s="13" t="str">
        <x:v>TR-B</x:v>
      </x:c>
      <x:c r="F57" s="13" t="str">
        <x:v>RFP-B1</x:v>
      </x:c>
      <x:c r="G57" s="13" t="n">
        <x:v>250</x:v>
      </x:c>
      <x:c r="H57" s="13" t="str"/>
      <x:c r="I57" s="13" t="str"/>
      <x:c r="J57" s="13" t="str"/>
      <x:c r="K57" s="13" t="str"/>
      <x:c r="L57" s="13" t="str"/>
      <x:c r="M57" s="13" t="str"/>
      <x:c r="N57" s="13" t="str"/>
      <x:c r="O57" s="13" t="str">
        <x:f>IF(COUNT(I57:N57)&lt;6,"",SUM(I57:N57))</x:f>
      </x:c>
      <x:c r="P57" s="13" t="str">
        <x:f>IF(COUNT(H57,O57)&lt;2,"",H57-O57)</x:f>
      </x:c>
      <x:c r="Q57" s="13" t="str"/>
      <x:c r="R57" s="13" t="str"/>
      <x:c r="S57" s="13" t="str">
        <x:f>IF(R57=1,IF(COUNT(P57,Q57,N57)=3,IF(AND(ABS(P57)&lt;='Controls'!$D$67,Q57&lt;='Controls'!$D$66,N57&lt;='Controls'!$D$68),"PASS","FAIL"),"FAIL"),"OPEN")</x:f>
        <x:v>OPEN</x:v>
      </x:c>
    </x:row>
    <x:row r="58">
      <x:c r="B58" s="13" t="str">
        <x:v>RAS-SL-052</x:v>
      </x:c>
      <x:c r="C58" s="13" t="str">
        <x:v>RAS-E052</x:v>
      </x:c>
      <x:c r="D58" s="13" t="str">
        <x:v>AM-05</x:v>
      </x:c>
      <x:c r="E58" s="13" t="str">
        <x:v>TR-B</x:v>
      </x:c>
      <x:c r="F58" s="13" t="str">
        <x:v>RFP-B1</x:v>
      </x:c>
      <x:c r="G58" s="13" t="n">
        <x:v>500</x:v>
      </x:c>
      <x:c r="H58" s="13" t="str"/>
      <x:c r="I58" s="13" t="str"/>
      <x:c r="J58" s="13" t="str"/>
      <x:c r="K58" s="13" t="str"/>
      <x:c r="L58" s="13" t="str"/>
      <x:c r="M58" s="13" t="str"/>
      <x:c r="N58" s="13" t="str"/>
      <x:c r="O58" s="13" t="str">
        <x:f>IF(COUNT(I58:N58)&lt;6,"",SUM(I58:N58))</x:f>
      </x:c>
      <x:c r="P58" s="13" t="str">
        <x:f>IF(COUNT(H58,O58)&lt;2,"",H58-O58)</x:f>
      </x:c>
      <x:c r="Q58" s="13" t="str"/>
      <x:c r="R58" s="13" t="str"/>
      <x:c r="S58" s="13" t="str">
        <x:f>IF(R58=1,IF(COUNT(P58,Q58,N58)=3,IF(AND(ABS(P58)&lt;='Controls'!$D$67,Q58&lt;='Controls'!$D$66,N58&lt;='Controls'!$D$68),"PASS","FAIL"),"FAIL"),"OPEN")</x:f>
        <x:v>OPEN</x:v>
      </x:c>
    </x:row>
    <x:row r="59">
      <x:c r="B59" s="13" t="str">
        <x:v>RAS-SL-053</x:v>
      </x:c>
      <x:c r="C59" s="13" t="str">
        <x:v>RAS-E053</x:v>
      </x:c>
      <x:c r="D59" s="13" t="str">
        <x:v>AM-05</x:v>
      </x:c>
      <x:c r="E59" s="13" t="str">
        <x:v>TR-B</x:v>
      </x:c>
      <x:c r="F59" s="13" t="str">
        <x:v>RFP-B1</x:v>
      </x:c>
      <x:c r="G59" s="13" t="n">
        <x:v>500</x:v>
      </x:c>
      <x:c r="H59" s="13" t="str"/>
      <x:c r="I59" s="13" t="str"/>
      <x:c r="J59" s="13" t="str"/>
      <x:c r="K59" s="13" t="str"/>
      <x:c r="L59" s="13" t="str"/>
      <x:c r="M59" s="13" t="str"/>
      <x:c r="N59" s="13" t="str"/>
      <x:c r="O59" s="13" t="str">
        <x:f>IF(COUNT(I59:N59)&lt;6,"",SUM(I59:N59))</x:f>
      </x:c>
      <x:c r="P59" s="13" t="str">
        <x:f>IF(COUNT(H59,O59)&lt;2,"",H59-O59)</x:f>
      </x:c>
      <x:c r="Q59" s="13" t="str"/>
      <x:c r="R59" s="13" t="str"/>
      <x:c r="S59" s="13" t="str">
        <x:f>IF(R59=1,IF(COUNT(P59,Q59,N59)=3,IF(AND(ABS(P59)&lt;='Controls'!$D$67,Q59&lt;='Controls'!$D$66,N59&lt;='Controls'!$D$68),"PASS","FAIL"),"FAIL"),"OPEN")</x:f>
        <x:v>OPEN</x:v>
      </x:c>
    </x:row>
    <x:row r="60">
      <x:c r="B60" s="13" t="str">
        <x:v>RAS-SL-054</x:v>
      </x:c>
      <x:c r="C60" s="13" t="str">
        <x:v>RAS-E054</x:v>
      </x:c>
      <x:c r="D60" s="13" t="str">
        <x:v>AM-05</x:v>
      </x:c>
      <x:c r="E60" s="13" t="str">
        <x:v>TR-B</x:v>
      </x:c>
      <x:c r="F60" s="13" t="str">
        <x:v>RFP-B1</x:v>
      </x:c>
      <x:c r="G60" s="13" t="n">
        <x:v>500</x:v>
      </x:c>
      <x:c r="H60" s="13" t="str"/>
      <x:c r="I60" s="13" t="str"/>
      <x:c r="J60" s="13" t="str"/>
      <x:c r="K60" s="13" t="str"/>
      <x:c r="L60" s="13" t="str"/>
      <x:c r="M60" s="13" t="str"/>
      <x:c r="N60" s="13" t="str"/>
      <x:c r="O60" s="13" t="str">
        <x:f>IF(COUNT(I60:N60)&lt;6,"",SUM(I60:N60))</x:f>
      </x:c>
      <x:c r="P60" s="13" t="str">
        <x:f>IF(COUNT(H60,O60)&lt;2,"",H60-O60)</x:f>
      </x:c>
      <x:c r="Q60" s="13" t="str"/>
      <x:c r="R60" s="13" t="str"/>
      <x:c r="S60" s="13" t="str">
        <x:f>IF(R60=1,IF(COUNT(P60,Q60,N60)=3,IF(AND(ABS(P60)&lt;='Controls'!$D$67,Q60&lt;='Controls'!$D$66,N60&lt;='Controls'!$D$68),"PASS","FAIL"),"FAIL"),"OPEN")</x:f>
        <x:v>OPEN</x:v>
      </x:c>
    </x:row>
    <x:row r="61">
      <x:c r="B61" s="13" t="str">
        <x:v>RAS-SL-055</x:v>
      </x:c>
      <x:c r="C61" s="13" t="str">
        <x:v>RAS-E055</x:v>
      </x:c>
      <x:c r="D61" s="13" t="str">
        <x:v>AM-05</x:v>
      </x:c>
      <x:c r="E61" s="13" t="str">
        <x:v>TR-B</x:v>
      </x:c>
      <x:c r="F61" s="13" t="str">
        <x:v>RFP-B2</x:v>
      </x:c>
      <x:c r="G61" s="13" t="n">
        <x:v>0</x:v>
      </x:c>
      <x:c r="H61" s="13" t="str"/>
      <x:c r="I61" s="13" t="str"/>
      <x:c r="J61" s="13" t="str"/>
      <x:c r="K61" s="13" t="str"/>
      <x:c r="L61" s="13" t="str"/>
      <x:c r="M61" s="13" t="str"/>
      <x:c r="N61" s="13" t="str"/>
      <x:c r="O61" s="13" t="str">
        <x:f>IF(COUNT(I61:N61)&lt;6,"",SUM(I61:N61))</x:f>
      </x:c>
      <x:c r="P61" s="13" t="str">
        <x:f>IF(COUNT(H61,O61)&lt;2,"",H61-O61)</x:f>
      </x:c>
      <x:c r="Q61" s="13" t="str"/>
      <x:c r="R61" s="13" t="str"/>
      <x:c r="S61" s="13" t="str">
        <x:f>IF(R61=1,IF(COUNT(P61,Q61,N61)=3,IF(AND(ABS(P61)&lt;='Controls'!$D$67,Q61&lt;='Controls'!$D$66,N61&lt;='Controls'!$D$68),"PASS","FAIL"),"FAIL"),"OPEN")</x:f>
        <x:v>OPEN</x:v>
      </x:c>
    </x:row>
    <x:row r="62">
      <x:c r="B62" s="13" t="str">
        <x:v>RAS-SL-056</x:v>
      </x:c>
      <x:c r="C62" s="13" t="str">
        <x:v>RAS-E056</x:v>
      </x:c>
      <x:c r="D62" s="13" t="str">
        <x:v>AM-05</x:v>
      </x:c>
      <x:c r="E62" s="13" t="str">
        <x:v>TR-B</x:v>
      </x:c>
      <x:c r="F62" s="13" t="str">
        <x:v>RFP-B2</x:v>
      </x:c>
      <x:c r="G62" s="13" t="n">
        <x:v>100</x:v>
      </x:c>
      <x:c r="H62" s="13" t="str"/>
      <x:c r="I62" s="13" t="str"/>
      <x:c r="J62" s="13" t="str"/>
      <x:c r="K62" s="13" t="str"/>
      <x:c r="L62" s="13" t="str"/>
      <x:c r="M62" s="13" t="str"/>
      <x:c r="N62" s="13" t="str"/>
      <x:c r="O62" s="13" t="str">
        <x:f>IF(COUNT(I62:N62)&lt;6,"",SUM(I62:N62))</x:f>
      </x:c>
      <x:c r="P62" s="13" t="str">
        <x:f>IF(COUNT(H62,O62)&lt;2,"",H62-O62)</x:f>
      </x:c>
      <x:c r="Q62" s="13" t="str"/>
      <x:c r="R62" s="13" t="str"/>
      <x:c r="S62" s="13" t="str">
        <x:f>IF(R62=1,IF(COUNT(P62,Q62,N62)=3,IF(AND(ABS(P62)&lt;='Controls'!$D$67,Q62&lt;='Controls'!$D$66,N62&lt;='Controls'!$D$68),"PASS","FAIL"),"FAIL"),"OPEN")</x:f>
        <x:v>OPEN</x:v>
      </x:c>
    </x:row>
    <x:row r="63">
      <x:c r="B63" s="13" t="str">
        <x:v>RAS-SL-057</x:v>
      </x:c>
      <x:c r="C63" s="13" t="str">
        <x:v>RAS-E057</x:v>
      </x:c>
      <x:c r="D63" s="13" t="str">
        <x:v>AM-05</x:v>
      </x:c>
      <x:c r="E63" s="13" t="str">
        <x:v>TR-B</x:v>
      </x:c>
      <x:c r="F63" s="13" t="str">
        <x:v>RFP-B2</x:v>
      </x:c>
      <x:c r="G63" s="13" t="n">
        <x:v>250</x:v>
      </x:c>
      <x:c r="H63" s="13" t="str"/>
      <x:c r="I63" s="13" t="str"/>
      <x:c r="J63" s="13" t="str"/>
      <x:c r="K63" s="13" t="str"/>
      <x:c r="L63" s="13" t="str"/>
      <x:c r="M63" s="13" t="str"/>
      <x:c r="N63" s="13" t="str"/>
      <x:c r="O63" s="13" t="str">
        <x:f>IF(COUNT(I63:N63)&lt;6,"",SUM(I63:N63))</x:f>
      </x:c>
      <x:c r="P63" s="13" t="str">
        <x:f>IF(COUNT(H63,O63)&lt;2,"",H63-O63)</x:f>
      </x:c>
      <x:c r="Q63" s="13" t="str"/>
      <x:c r="R63" s="13" t="str"/>
      <x:c r="S63" s="13" t="str">
        <x:f>IF(R63=1,IF(COUNT(P63,Q63,N63)=3,IF(AND(ABS(P63)&lt;='Controls'!$D$67,Q63&lt;='Controls'!$D$66,N63&lt;='Controls'!$D$68),"PASS","FAIL"),"FAIL"),"OPEN")</x:f>
        <x:v>OPEN</x:v>
      </x:c>
    </x:row>
    <x:row r="64">
      <x:c r="B64" s="13" t="str">
        <x:v>RAS-SL-058</x:v>
      </x:c>
      <x:c r="C64" s="13" t="str">
        <x:v>RAS-E058</x:v>
      </x:c>
      <x:c r="D64" s="13" t="str">
        <x:v>AM-05</x:v>
      </x:c>
      <x:c r="E64" s="13" t="str">
        <x:v>TR-B</x:v>
      </x:c>
      <x:c r="F64" s="13" t="str">
        <x:v>RFP-B2</x:v>
      </x:c>
      <x:c r="G64" s="13" t="n">
        <x:v>500</x:v>
      </x:c>
      <x:c r="H64" s="13" t="str"/>
      <x:c r="I64" s="13" t="str"/>
      <x:c r="J64" s="13" t="str"/>
      <x:c r="K64" s="13" t="str"/>
      <x:c r="L64" s="13" t="str"/>
      <x:c r="M64" s="13" t="str"/>
      <x:c r="N64" s="13" t="str"/>
      <x:c r="O64" s="13" t="str">
        <x:f>IF(COUNT(I64:N64)&lt;6,"",SUM(I64:N64))</x:f>
      </x:c>
      <x:c r="P64" s="13" t="str">
        <x:f>IF(COUNT(H64,O64)&lt;2,"",H64-O64)</x:f>
      </x:c>
      <x:c r="Q64" s="13" t="str"/>
      <x:c r="R64" s="13" t="str"/>
      <x:c r="S64" s="13" t="str">
        <x:f>IF(R64=1,IF(COUNT(P64,Q64,N64)=3,IF(AND(ABS(P64)&lt;='Controls'!$D$67,Q64&lt;='Controls'!$D$66,N64&lt;='Controls'!$D$68),"PASS","FAIL"),"FAIL"),"OPEN")</x:f>
        <x:v>OPEN</x:v>
      </x:c>
    </x:row>
    <x:row r="65">
      <x:c r="B65" s="13" t="str">
        <x:v>RAS-SL-059</x:v>
      </x:c>
      <x:c r="C65" s="13" t="str">
        <x:v>RAS-E059</x:v>
      </x:c>
      <x:c r="D65" s="13" t="str">
        <x:v>AM-05</x:v>
      </x:c>
      <x:c r="E65" s="13" t="str">
        <x:v>TR-B</x:v>
      </x:c>
      <x:c r="F65" s="13" t="str">
        <x:v>RFP-B2</x:v>
      </x:c>
      <x:c r="G65" s="13" t="n">
        <x:v>500</x:v>
      </x:c>
      <x:c r="H65" s="13" t="str"/>
      <x:c r="I65" s="13" t="str"/>
      <x:c r="J65" s="13" t="str"/>
      <x:c r="K65" s="13" t="str"/>
      <x:c r="L65" s="13" t="str"/>
      <x:c r="M65" s="13" t="str"/>
      <x:c r="N65" s="13" t="str"/>
      <x:c r="O65" s="13" t="str">
        <x:f>IF(COUNT(I65:N65)&lt;6,"",SUM(I65:N65))</x:f>
      </x:c>
      <x:c r="P65" s="13" t="str">
        <x:f>IF(COUNT(H65,O65)&lt;2,"",H65-O65)</x:f>
      </x:c>
      <x:c r="Q65" s="13" t="str"/>
      <x:c r="R65" s="13" t="str"/>
      <x:c r="S65" s="13" t="str">
        <x:f>IF(R65=1,IF(COUNT(P65,Q65,N65)=3,IF(AND(ABS(P65)&lt;='Controls'!$D$67,Q65&lt;='Controls'!$D$66,N65&lt;='Controls'!$D$68),"PASS","FAIL"),"FAIL"),"OPEN")</x:f>
        <x:v>OPEN</x:v>
      </x:c>
    </x:row>
    <x:row r="66">
      <x:c r="B66" s="13" t="str">
        <x:v>RAS-SL-060</x:v>
      </x:c>
      <x:c r="C66" s="13" t="str">
        <x:v>RAS-E060</x:v>
      </x:c>
      <x:c r="D66" s="13" t="str">
        <x:v>AM-05</x:v>
      </x:c>
      <x:c r="E66" s="13" t="str">
        <x:v>TR-B</x:v>
      </x:c>
      <x:c r="F66" s="13" t="str">
        <x:v>RFP-B2</x:v>
      </x:c>
      <x:c r="G66" s="13" t="n">
        <x:v>500</x:v>
      </x:c>
      <x:c r="H66" s="13" t="str"/>
      <x:c r="I66" s="13" t="str"/>
      <x:c r="J66" s="13" t="str"/>
      <x:c r="K66" s="13" t="str"/>
      <x:c r="L66" s="13" t="str"/>
      <x:c r="M66" s="13" t="str"/>
      <x:c r="N66" s="13" t="str"/>
      <x:c r="O66" s="13" t="str">
        <x:f>IF(COUNT(I66:N66)&lt;6,"",SUM(I66:N66))</x:f>
      </x:c>
      <x:c r="P66" s="13" t="str">
        <x:f>IF(COUNT(H66,O66)&lt;2,"",H66-O66)</x:f>
      </x:c>
      <x:c r="Q66" s="13" t="str"/>
      <x:c r="R66" s="13" t="str"/>
      <x:c r="S66" s="13" t="str">
        <x:f>IF(R66=1,IF(COUNT(P66,Q66,N66)=3,IF(AND(ABS(P66)&lt;='Controls'!$D$67,Q66&lt;='Controls'!$D$66,N66&lt;='Controls'!$D$68),"PASS","FAIL"),"FAIL"),"OPEN")</x:f>
        <x:v>OPEN</x:v>
      </x:c>
    </x:row>
    <x:row r="67">
      <x:c r="B67" s="13" t="str">
        <x:v>RAS-SL-061</x:v>
      </x:c>
      <x:c r="C67" s="13" t="str">
        <x:v>RAS-E061</x:v>
      </x:c>
      <x:c r="D67" s="13" t="str">
        <x:v>AM-05</x:v>
      </x:c>
      <x:c r="E67" s="13" t="str">
        <x:v>TR-B</x:v>
      </x:c>
      <x:c r="F67" s="13" t="str">
        <x:v>RFP-C1</x:v>
      </x:c>
      <x:c r="G67" s="13" t="n">
        <x:v>0</x:v>
      </x:c>
      <x:c r="H67" s="13" t="str"/>
      <x:c r="I67" s="13" t="str"/>
      <x:c r="J67" s="13" t="str"/>
      <x:c r="K67" s="13" t="str"/>
      <x:c r="L67" s="13" t="str"/>
      <x:c r="M67" s="13" t="str"/>
      <x:c r="N67" s="13" t="str"/>
      <x:c r="O67" s="13" t="str">
        <x:f>IF(COUNT(I67:N67)&lt;6,"",SUM(I67:N67))</x:f>
      </x:c>
      <x:c r="P67" s="13" t="str">
        <x:f>IF(COUNT(H67,O67)&lt;2,"",H67-O67)</x:f>
      </x:c>
      <x:c r="Q67" s="13" t="str"/>
      <x:c r="R67" s="13" t="str"/>
      <x:c r="S67" s="13" t="str">
        <x:f>IF(R67=1,IF(COUNT(P67,Q67,N67)=3,IF(AND(ABS(P67)&lt;='Controls'!$D$67,Q67&lt;='Controls'!$D$66,N67&lt;='Controls'!$D$68),"PASS","FAIL"),"FAIL"),"OPEN")</x:f>
        <x:v>OPEN</x:v>
      </x:c>
    </x:row>
    <x:row r="68">
      <x:c r="B68" s="13" t="str">
        <x:v>RAS-SL-062</x:v>
      </x:c>
      <x:c r="C68" s="13" t="str">
        <x:v>RAS-E062</x:v>
      </x:c>
      <x:c r="D68" s="13" t="str">
        <x:v>AM-05</x:v>
      </x:c>
      <x:c r="E68" s="13" t="str">
        <x:v>TR-B</x:v>
      </x:c>
      <x:c r="F68" s="13" t="str">
        <x:v>RFP-C1</x:v>
      </x:c>
      <x:c r="G68" s="13" t="n">
        <x:v>100</x:v>
      </x:c>
      <x:c r="H68" s="13" t="str"/>
      <x:c r="I68" s="13" t="str"/>
      <x:c r="J68" s="13" t="str"/>
      <x:c r="K68" s="13" t="str"/>
      <x:c r="L68" s="13" t="str"/>
      <x:c r="M68" s="13" t="str"/>
      <x:c r="N68" s="13" t="str"/>
      <x:c r="O68" s="13" t="str">
        <x:f>IF(COUNT(I68:N68)&lt;6,"",SUM(I68:N68))</x:f>
      </x:c>
      <x:c r="P68" s="13" t="str">
        <x:f>IF(COUNT(H68,O68)&lt;2,"",H68-O68)</x:f>
      </x:c>
      <x:c r="Q68" s="13" t="str"/>
      <x:c r="R68" s="13" t="str"/>
      <x:c r="S68" s="13" t="str">
        <x:f>IF(R68=1,IF(COUNT(P68,Q68,N68)=3,IF(AND(ABS(P68)&lt;='Controls'!$D$67,Q68&lt;='Controls'!$D$66,N68&lt;='Controls'!$D$68),"PASS","FAIL"),"FAIL"),"OPEN")</x:f>
        <x:v>OPEN</x:v>
      </x:c>
    </x:row>
    <x:row r="69">
      <x:c r="B69" s="13" t="str">
        <x:v>RAS-SL-063</x:v>
      </x:c>
      <x:c r="C69" s="13" t="str">
        <x:v>RAS-E063</x:v>
      </x:c>
      <x:c r="D69" s="13" t="str">
        <x:v>AM-05</x:v>
      </x:c>
      <x:c r="E69" s="13" t="str">
        <x:v>TR-B</x:v>
      </x:c>
      <x:c r="F69" s="13" t="str">
        <x:v>RFP-C1</x:v>
      </x:c>
      <x:c r="G69" s="13" t="n">
        <x:v>250</x:v>
      </x:c>
      <x:c r="H69" s="13" t="str"/>
      <x:c r="I69" s="13" t="str"/>
      <x:c r="J69" s="13" t="str"/>
      <x:c r="K69" s="13" t="str"/>
      <x:c r="L69" s="13" t="str"/>
      <x:c r="M69" s="13" t="str"/>
      <x:c r="N69" s="13" t="str"/>
      <x:c r="O69" s="13" t="str">
        <x:f>IF(COUNT(I69:N69)&lt;6,"",SUM(I69:N69))</x:f>
      </x:c>
      <x:c r="P69" s="13" t="str">
        <x:f>IF(COUNT(H69,O69)&lt;2,"",H69-O69)</x:f>
      </x:c>
      <x:c r="Q69" s="13" t="str"/>
      <x:c r="R69" s="13" t="str"/>
      <x:c r="S69" s="13" t="str">
        <x:f>IF(R69=1,IF(COUNT(P69,Q69,N69)=3,IF(AND(ABS(P69)&lt;='Controls'!$D$67,Q69&lt;='Controls'!$D$66,N69&lt;='Controls'!$D$68),"PASS","FAIL"),"FAIL"),"OPEN")</x:f>
        <x:v>OPEN</x:v>
      </x:c>
    </x:row>
    <x:row r="70">
      <x:c r="B70" s="13" t="str">
        <x:v>RAS-SL-064</x:v>
      </x:c>
      <x:c r="C70" s="13" t="str">
        <x:v>RAS-E064</x:v>
      </x:c>
      <x:c r="D70" s="13" t="str">
        <x:v>AM-05</x:v>
      </x:c>
      <x:c r="E70" s="13" t="str">
        <x:v>TR-B</x:v>
      </x:c>
      <x:c r="F70" s="13" t="str">
        <x:v>RFP-C1</x:v>
      </x:c>
      <x:c r="G70" s="13" t="n">
        <x:v>500</x:v>
      </x:c>
      <x:c r="H70" s="13" t="str"/>
      <x:c r="I70" s="13" t="str"/>
      <x:c r="J70" s="13" t="str"/>
      <x:c r="K70" s="13" t="str"/>
      <x:c r="L70" s="13" t="str"/>
      <x:c r="M70" s="13" t="str"/>
      <x:c r="N70" s="13" t="str"/>
      <x:c r="O70" s="13" t="str">
        <x:f>IF(COUNT(I70:N70)&lt;6,"",SUM(I70:N70))</x:f>
      </x:c>
      <x:c r="P70" s="13" t="str">
        <x:f>IF(COUNT(H70,O70)&lt;2,"",H70-O70)</x:f>
      </x:c>
      <x:c r="Q70" s="13" t="str"/>
      <x:c r="R70" s="13" t="str"/>
      <x:c r="S70" s="13" t="str">
        <x:f>IF(R70=1,IF(COUNT(P70,Q70,N70)=3,IF(AND(ABS(P70)&lt;='Controls'!$D$67,Q70&lt;='Controls'!$D$66,N70&lt;='Controls'!$D$68),"PASS","FAIL"),"FAIL"),"OPEN")</x:f>
        <x:v>OPEN</x:v>
      </x:c>
    </x:row>
    <x:row r="71">
      <x:c r="B71" s="13" t="str">
        <x:v>RAS-SL-065</x:v>
      </x:c>
      <x:c r="C71" s="13" t="str">
        <x:v>RAS-E065</x:v>
      </x:c>
      <x:c r="D71" s="13" t="str">
        <x:v>AM-05</x:v>
      </x:c>
      <x:c r="E71" s="13" t="str">
        <x:v>TR-B</x:v>
      </x:c>
      <x:c r="F71" s="13" t="str">
        <x:v>RFP-C1</x:v>
      </x:c>
      <x:c r="G71" s="13" t="n">
        <x:v>500</x:v>
      </x:c>
      <x:c r="H71" s="13" t="str"/>
      <x:c r="I71" s="13" t="str"/>
      <x:c r="J71" s="13" t="str"/>
      <x:c r="K71" s="13" t="str"/>
      <x:c r="L71" s="13" t="str"/>
      <x:c r="M71" s="13" t="str"/>
      <x:c r="N71" s="13" t="str"/>
      <x:c r="O71" s="13" t="str">
        <x:f>IF(COUNT(I71:N71)&lt;6,"",SUM(I71:N71))</x:f>
      </x:c>
      <x:c r="P71" s="13" t="str">
        <x:f>IF(COUNT(H71,O71)&lt;2,"",H71-O71)</x:f>
      </x:c>
      <x:c r="Q71" s="13" t="str"/>
      <x:c r="R71" s="13" t="str"/>
      <x:c r="S71" s="13" t="str">
        <x:f>IF(R71=1,IF(COUNT(P71,Q71,N71)=3,IF(AND(ABS(P71)&lt;='Controls'!$D$67,Q71&lt;='Controls'!$D$66,N71&lt;='Controls'!$D$68),"PASS","FAIL"),"FAIL"),"OPEN")</x:f>
        <x:v>OPEN</x:v>
      </x:c>
    </x:row>
    <x:row r="72">
      <x:c r="B72" s="13" t="str">
        <x:v>RAS-SL-066</x:v>
      </x:c>
      <x:c r="C72" s="13" t="str">
        <x:v>RAS-E066</x:v>
      </x:c>
      <x:c r="D72" s="13" t="str">
        <x:v>AM-05</x:v>
      </x:c>
      <x:c r="E72" s="13" t="str">
        <x:v>TR-B</x:v>
      </x:c>
      <x:c r="F72" s="13" t="str">
        <x:v>RFP-C1</x:v>
      </x:c>
      <x:c r="G72" s="13" t="n">
        <x:v>500</x:v>
      </x:c>
      <x:c r="H72" s="13" t="str"/>
      <x:c r="I72" s="13" t="str"/>
      <x:c r="J72" s="13" t="str"/>
      <x:c r="K72" s="13" t="str"/>
      <x:c r="L72" s="13" t="str"/>
      <x:c r="M72" s="13" t="str"/>
      <x:c r="N72" s="13" t="str"/>
      <x:c r="O72" s="13" t="str">
        <x:f>IF(COUNT(I72:N72)&lt;6,"",SUM(I72:N72))</x:f>
      </x:c>
      <x:c r="P72" s="13" t="str">
        <x:f>IF(COUNT(H72,O72)&lt;2,"",H72-O72)</x:f>
      </x:c>
      <x:c r="Q72" s="13" t="str"/>
      <x:c r="R72" s="13" t="str"/>
      <x:c r="S72" s="13" t="str">
        <x:f>IF(R72=1,IF(COUNT(P72,Q72,N72)=3,IF(AND(ABS(P72)&lt;='Controls'!$D$67,Q72&lt;='Controls'!$D$66,N72&lt;='Controls'!$D$68),"PASS","FAIL"),"FAIL"),"OPEN")</x:f>
        <x:v>OPEN</x:v>
      </x:c>
    </x:row>
    <x:row r="73">
      <x:c r="B73" s="13" t="str">
        <x:v>RAS-SL-067</x:v>
      </x:c>
      <x:c r="C73" s="13" t="str">
        <x:v>RAS-E067</x:v>
      </x:c>
      <x:c r="D73" s="13" t="str">
        <x:v>AM-05</x:v>
      </x:c>
      <x:c r="E73" s="13" t="str">
        <x:v>TR-B</x:v>
      </x:c>
      <x:c r="F73" s="13" t="str">
        <x:v>RFP-C2</x:v>
      </x:c>
      <x:c r="G73" s="13" t="n">
        <x:v>0</x:v>
      </x:c>
      <x:c r="H73" s="13" t="str"/>
      <x:c r="I73" s="13" t="str"/>
      <x:c r="J73" s="13" t="str"/>
      <x:c r="K73" s="13" t="str"/>
      <x:c r="L73" s="13" t="str"/>
      <x:c r="M73" s="13" t="str"/>
      <x:c r="N73" s="13" t="str"/>
      <x:c r="O73" s="13" t="str">
        <x:f>IF(COUNT(I73:N73)&lt;6,"",SUM(I73:N73))</x:f>
      </x:c>
      <x:c r="P73" s="13" t="str">
        <x:f>IF(COUNT(H73,O73)&lt;2,"",H73-O73)</x:f>
      </x:c>
      <x:c r="Q73" s="13" t="str"/>
      <x:c r="R73" s="13" t="str"/>
      <x:c r="S73" s="13" t="str">
        <x:f>IF(R73=1,IF(COUNT(P73,Q73,N73)=3,IF(AND(ABS(P73)&lt;='Controls'!$D$67,Q73&lt;='Controls'!$D$66,N73&lt;='Controls'!$D$68),"PASS","FAIL"),"FAIL"),"OPEN")</x:f>
        <x:v>OPEN</x:v>
      </x:c>
    </x:row>
    <x:row r="74">
      <x:c r="B74" s="13" t="str">
        <x:v>RAS-SL-068</x:v>
      </x:c>
      <x:c r="C74" s="13" t="str">
        <x:v>RAS-E068</x:v>
      </x:c>
      <x:c r="D74" s="13" t="str">
        <x:v>AM-05</x:v>
      </x:c>
      <x:c r="E74" s="13" t="str">
        <x:v>TR-B</x:v>
      </x:c>
      <x:c r="F74" s="13" t="str">
        <x:v>RFP-C2</x:v>
      </x:c>
      <x:c r="G74" s="13" t="n">
        <x:v>100</x:v>
      </x:c>
      <x:c r="H74" s="13" t="str"/>
      <x:c r="I74" s="13" t="str"/>
      <x:c r="J74" s="13" t="str"/>
      <x:c r="K74" s="13" t="str"/>
      <x:c r="L74" s="13" t="str"/>
      <x:c r="M74" s="13" t="str"/>
      <x:c r="N74" s="13" t="str"/>
      <x:c r="O74" s="13" t="str">
        <x:f>IF(COUNT(I74:N74)&lt;6,"",SUM(I74:N74))</x:f>
      </x:c>
      <x:c r="P74" s="13" t="str">
        <x:f>IF(COUNT(H74,O74)&lt;2,"",H74-O74)</x:f>
      </x:c>
      <x:c r="Q74" s="13" t="str"/>
      <x:c r="R74" s="13" t="str"/>
      <x:c r="S74" s="13" t="str">
        <x:f>IF(R74=1,IF(COUNT(P74,Q74,N74)=3,IF(AND(ABS(P74)&lt;='Controls'!$D$67,Q74&lt;='Controls'!$D$66,N74&lt;='Controls'!$D$68),"PASS","FAIL"),"FAIL"),"OPEN")</x:f>
        <x:v>OPEN</x:v>
      </x:c>
    </x:row>
    <x:row r="75">
      <x:c r="B75" s="13" t="str">
        <x:v>RAS-SL-069</x:v>
      </x:c>
      <x:c r="C75" s="13" t="str">
        <x:v>RAS-E069</x:v>
      </x:c>
      <x:c r="D75" s="13" t="str">
        <x:v>AM-05</x:v>
      </x:c>
      <x:c r="E75" s="13" t="str">
        <x:v>TR-B</x:v>
      </x:c>
      <x:c r="F75" s="13" t="str">
        <x:v>RFP-C2</x:v>
      </x:c>
      <x:c r="G75" s="13" t="n">
        <x:v>250</x:v>
      </x:c>
      <x:c r="H75" s="13" t="str"/>
      <x:c r="I75" s="13" t="str"/>
      <x:c r="J75" s="13" t="str"/>
      <x:c r="K75" s="13" t="str"/>
      <x:c r="L75" s="13" t="str"/>
      <x:c r="M75" s="13" t="str"/>
      <x:c r="N75" s="13" t="str"/>
      <x:c r="O75" s="13" t="str">
        <x:f>IF(COUNT(I75:N75)&lt;6,"",SUM(I75:N75))</x:f>
      </x:c>
      <x:c r="P75" s="13" t="str">
        <x:f>IF(COUNT(H75,O75)&lt;2,"",H75-O75)</x:f>
      </x:c>
      <x:c r="Q75" s="13" t="str"/>
      <x:c r="R75" s="13" t="str"/>
      <x:c r="S75" s="13" t="str">
        <x:f>IF(R75=1,IF(COUNT(P75,Q75,N75)=3,IF(AND(ABS(P75)&lt;='Controls'!$D$67,Q75&lt;='Controls'!$D$66,N75&lt;='Controls'!$D$68),"PASS","FAIL"),"FAIL"),"OPEN")</x:f>
        <x:v>OPEN</x:v>
      </x:c>
    </x:row>
    <x:row r="76">
      <x:c r="B76" s="13" t="str">
        <x:v>RAS-SL-070</x:v>
      </x:c>
      <x:c r="C76" s="13" t="str">
        <x:v>RAS-E070</x:v>
      </x:c>
      <x:c r="D76" s="13" t="str">
        <x:v>AM-05</x:v>
      </x:c>
      <x:c r="E76" s="13" t="str">
        <x:v>TR-B</x:v>
      </x:c>
      <x:c r="F76" s="13" t="str">
        <x:v>RFP-C2</x:v>
      </x:c>
      <x:c r="G76" s="13" t="n">
        <x:v>500</x:v>
      </x:c>
      <x:c r="H76" s="13" t="str"/>
      <x:c r="I76" s="13" t="str"/>
      <x:c r="J76" s="13" t="str"/>
      <x:c r="K76" s="13" t="str"/>
      <x:c r="L76" s="13" t="str"/>
      <x:c r="M76" s="13" t="str"/>
      <x:c r="N76" s="13" t="str"/>
      <x:c r="O76" s="13" t="str">
        <x:f>IF(COUNT(I76:N76)&lt;6,"",SUM(I76:N76))</x:f>
      </x:c>
      <x:c r="P76" s="13" t="str">
        <x:f>IF(COUNT(H76,O76)&lt;2,"",H76-O76)</x:f>
      </x:c>
      <x:c r="Q76" s="13" t="str"/>
      <x:c r="R76" s="13" t="str"/>
      <x:c r="S76" s="13" t="str">
        <x:f>IF(R76=1,IF(COUNT(P76,Q76,N76)=3,IF(AND(ABS(P76)&lt;='Controls'!$D$67,Q76&lt;='Controls'!$D$66,N76&lt;='Controls'!$D$68),"PASS","FAIL"),"FAIL"),"OPEN")</x:f>
        <x:v>OPEN</x:v>
      </x:c>
    </x:row>
    <x:row r="77">
      <x:c r="B77" s="13" t="str">
        <x:v>RAS-SL-071</x:v>
      </x:c>
      <x:c r="C77" s="13" t="str">
        <x:v>RAS-E071</x:v>
      </x:c>
      <x:c r="D77" s="13" t="str">
        <x:v>AM-05</x:v>
      </x:c>
      <x:c r="E77" s="13" t="str">
        <x:v>TR-B</x:v>
      </x:c>
      <x:c r="F77" s="13" t="str">
        <x:v>RFP-C2</x:v>
      </x:c>
      <x:c r="G77" s="13" t="n">
        <x:v>500</x:v>
      </x:c>
      <x:c r="H77" s="13" t="str"/>
      <x:c r="I77" s="13" t="str"/>
      <x:c r="J77" s="13" t="str"/>
      <x:c r="K77" s="13" t="str"/>
      <x:c r="L77" s="13" t="str"/>
      <x:c r="M77" s="13" t="str"/>
      <x:c r="N77" s="13" t="str"/>
      <x:c r="O77" s="13" t="str">
        <x:f>IF(COUNT(I77:N77)&lt;6,"",SUM(I77:N77))</x:f>
      </x:c>
      <x:c r="P77" s="13" t="str">
        <x:f>IF(COUNT(H77,O77)&lt;2,"",H77-O77)</x:f>
      </x:c>
      <x:c r="Q77" s="13" t="str"/>
      <x:c r="R77" s="13" t="str"/>
      <x:c r="S77" s="13" t="str">
        <x:f>IF(R77=1,IF(COUNT(P77,Q77,N77)=3,IF(AND(ABS(P77)&lt;='Controls'!$D$67,Q77&lt;='Controls'!$D$66,N77&lt;='Controls'!$D$68),"PASS","FAIL"),"FAIL"),"OPEN")</x:f>
        <x:v>OPEN</x:v>
      </x:c>
    </x:row>
    <x:row r="78">
      <x:c r="B78" s="13" t="str">
        <x:v>RAS-SL-072</x:v>
      </x:c>
      <x:c r="C78" s="13" t="str">
        <x:v>RAS-E072</x:v>
      </x:c>
      <x:c r="D78" s="13" t="str">
        <x:v>AM-05</x:v>
      </x:c>
      <x:c r="E78" s="13" t="str">
        <x:v>TR-B</x:v>
      </x:c>
      <x:c r="F78" s="13" t="str">
        <x:v>RFP-C2</x:v>
      </x:c>
      <x:c r="G78" s="13" t="n">
        <x:v>500</x:v>
      </x:c>
      <x:c r="H78" s="13" t="str"/>
      <x:c r="I78" s="13" t="str"/>
      <x:c r="J78" s="13" t="str"/>
      <x:c r="K78" s="13" t="str"/>
      <x:c r="L78" s="13" t="str"/>
      <x:c r="M78" s="13" t="str"/>
      <x:c r="N78" s="13" t="str"/>
      <x:c r="O78" s="13" t="str">
        <x:f>IF(COUNT(I78:N78)&lt;6,"",SUM(I78:N78))</x:f>
      </x:c>
      <x:c r="P78" s="13" t="str">
        <x:f>IF(COUNT(H78,O78)&lt;2,"",H78-O78)</x:f>
      </x:c>
      <x:c r="Q78" s="13" t="str"/>
      <x:c r="R78" s="13" t="str"/>
      <x:c r="S78" s="13" t="str">
        <x:f>IF(R78=1,IF(COUNT(P78,Q78,N78)=3,IF(AND(ABS(P78)&lt;='Controls'!$D$67,Q78&lt;='Controls'!$D$66,N78&lt;='Controls'!$D$68),"PASS","FAIL"),"FAIL"),"OPEN")</x:f>
        <x:v>OPEN</x:v>
      </x:c>
    </x:row>
    <x:row r="79">
      <x:c r="B79" s="13" t="str">
        <x:v>RAS-SL-073</x:v>
      </x:c>
      <x:c r="C79" s="13" t="str">
        <x:v>RAS-E073</x:v>
      </x:c>
      <x:c r="D79" s="13" t="str">
        <x:v>AM-06</x:v>
      </x:c>
      <x:c r="E79" s="13" t="str">
        <x:v>TR-A</x:v>
      </x:c>
      <x:c r="F79" s="13" t="str">
        <x:v>RFP-A1</x:v>
      </x:c>
      <x:c r="G79" s="13" t="n">
        <x:v>0</x:v>
      </x:c>
      <x:c r="H79" s="13" t="str"/>
      <x:c r="I79" s="13" t="str"/>
      <x:c r="J79" s="13" t="str"/>
      <x:c r="K79" s="13" t="str"/>
      <x:c r="L79" s="13" t="str"/>
      <x:c r="M79" s="13" t="str"/>
      <x:c r="N79" s="13" t="str"/>
      <x:c r="O79" s="13" t="str">
        <x:f>IF(COUNT(I79:N79)&lt;6,"",SUM(I79:N79))</x:f>
      </x:c>
      <x:c r="P79" s="13" t="str">
        <x:f>IF(COUNT(H79,O79)&lt;2,"",H79-O79)</x:f>
      </x:c>
      <x:c r="Q79" s="13" t="str"/>
      <x:c r="R79" s="13" t="str"/>
      <x:c r="S79" s="13" t="str">
        <x:f>IF(R79=1,IF(COUNT(P79,Q79,N79)=3,IF(AND(ABS(P79)&lt;='Controls'!$D$67,Q79&lt;='Controls'!$D$66,N79&lt;='Controls'!$D$68),"PASS","FAIL"),"FAIL"),"OPEN")</x:f>
        <x:v>OPEN</x:v>
      </x:c>
    </x:row>
    <x:row r="80">
      <x:c r="B80" s="13" t="str">
        <x:v>RAS-SL-074</x:v>
      </x:c>
      <x:c r="C80" s="13" t="str">
        <x:v>RAS-E074</x:v>
      </x:c>
      <x:c r="D80" s="13" t="str">
        <x:v>AM-06</x:v>
      </x:c>
      <x:c r="E80" s="13" t="str">
        <x:v>TR-A</x:v>
      </x:c>
      <x:c r="F80" s="13" t="str">
        <x:v>RFP-A1</x:v>
      </x:c>
      <x:c r="G80" s="13" t="n">
        <x:v>100</x:v>
      </x:c>
      <x:c r="H80" s="13" t="str"/>
      <x:c r="I80" s="13" t="str"/>
      <x:c r="J80" s="13" t="str"/>
      <x:c r="K80" s="13" t="str"/>
      <x:c r="L80" s="13" t="str"/>
      <x:c r="M80" s="13" t="str"/>
      <x:c r="N80" s="13" t="str"/>
      <x:c r="O80" s="13" t="str">
        <x:f>IF(COUNT(I80:N80)&lt;6,"",SUM(I80:N80))</x:f>
      </x:c>
      <x:c r="P80" s="13" t="str">
        <x:f>IF(COUNT(H80,O80)&lt;2,"",H80-O80)</x:f>
      </x:c>
      <x:c r="Q80" s="13" t="str"/>
      <x:c r="R80" s="13" t="str"/>
      <x:c r="S80" s="13" t="str">
        <x:f>IF(R80=1,IF(COUNT(P80,Q80,N80)=3,IF(AND(ABS(P80)&lt;='Controls'!$D$67,Q80&lt;='Controls'!$D$66,N80&lt;='Controls'!$D$68),"PASS","FAIL"),"FAIL"),"OPEN")</x:f>
        <x:v>OPEN</x:v>
      </x:c>
    </x:row>
    <x:row r="81">
      <x:c r="B81" s="13" t="str">
        <x:v>RAS-SL-075</x:v>
      </x:c>
      <x:c r="C81" s="13" t="str">
        <x:v>RAS-E075</x:v>
      </x:c>
      <x:c r="D81" s="13" t="str">
        <x:v>AM-06</x:v>
      </x:c>
      <x:c r="E81" s="13" t="str">
        <x:v>TR-A</x:v>
      </x:c>
      <x:c r="F81" s="13" t="str">
        <x:v>RFP-A1</x:v>
      </x:c>
      <x:c r="G81" s="13" t="n">
        <x:v>250</x:v>
      </x:c>
      <x:c r="H81" s="13" t="str"/>
      <x:c r="I81" s="13" t="str"/>
      <x:c r="J81" s="13" t="str"/>
      <x:c r="K81" s="13" t="str"/>
      <x:c r="L81" s="13" t="str"/>
      <x:c r="M81" s="13" t="str"/>
      <x:c r="N81" s="13" t="str"/>
      <x:c r="O81" s="13" t="str">
        <x:f>IF(COUNT(I81:N81)&lt;6,"",SUM(I81:N81))</x:f>
      </x:c>
      <x:c r="P81" s="13" t="str">
        <x:f>IF(COUNT(H81,O81)&lt;2,"",H81-O81)</x:f>
      </x:c>
      <x:c r="Q81" s="13" t="str"/>
      <x:c r="R81" s="13" t="str"/>
      <x:c r="S81" s="13" t="str">
        <x:f>IF(R81=1,IF(COUNT(P81,Q81,N81)=3,IF(AND(ABS(P81)&lt;='Controls'!$D$67,Q81&lt;='Controls'!$D$66,N81&lt;='Controls'!$D$68),"PASS","FAIL"),"FAIL"),"OPEN")</x:f>
        <x:v>OPEN</x:v>
      </x:c>
    </x:row>
    <x:row r="82">
      <x:c r="B82" s="13" t="str">
        <x:v>RAS-SL-076</x:v>
      </x:c>
      <x:c r="C82" s="13" t="str">
        <x:v>RAS-E076</x:v>
      </x:c>
      <x:c r="D82" s="13" t="str">
        <x:v>AM-06</x:v>
      </x:c>
      <x:c r="E82" s="13" t="str">
        <x:v>TR-A</x:v>
      </x:c>
      <x:c r="F82" s="13" t="str">
        <x:v>RFP-A1</x:v>
      </x:c>
      <x:c r="G82" s="13" t="n">
        <x:v>500</x:v>
      </x:c>
      <x:c r="H82" s="13" t="str"/>
      <x:c r="I82" s="13" t="str"/>
      <x:c r="J82" s="13" t="str"/>
      <x:c r="K82" s="13" t="str"/>
      <x:c r="L82" s="13" t="str"/>
      <x:c r="M82" s="13" t="str"/>
      <x:c r="N82" s="13" t="str"/>
      <x:c r="O82" s="13" t="str">
        <x:f>IF(COUNT(I82:N82)&lt;6,"",SUM(I82:N82))</x:f>
      </x:c>
      <x:c r="P82" s="13" t="str">
        <x:f>IF(COUNT(H82,O82)&lt;2,"",H82-O82)</x:f>
      </x:c>
      <x:c r="Q82" s="13" t="str"/>
      <x:c r="R82" s="13" t="str"/>
      <x:c r="S82" s="13" t="str">
        <x:f>IF(R82=1,IF(COUNT(P82,Q82,N82)=3,IF(AND(ABS(P82)&lt;='Controls'!$D$67,Q82&lt;='Controls'!$D$66,N82&lt;='Controls'!$D$68),"PASS","FAIL"),"FAIL"),"OPEN")</x:f>
        <x:v>OPEN</x:v>
      </x:c>
    </x:row>
    <x:row r="83">
      <x:c r="B83" s="13" t="str">
        <x:v>RAS-SL-077</x:v>
      </x:c>
      <x:c r="C83" s="13" t="str">
        <x:v>RAS-E077</x:v>
      </x:c>
      <x:c r="D83" s="13" t="str">
        <x:v>AM-06</x:v>
      </x:c>
      <x:c r="E83" s="13" t="str">
        <x:v>TR-A</x:v>
      </x:c>
      <x:c r="F83" s="13" t="str">
        <x:v>RFP-A1</x:v>
      </x:c>
      <x:c r="G83" s="13" t="n">
        <x:v>500</x:v>
      </x:c>
      <x:c r="H83" s="13" t="str"/>
      <x:c r="I83" s="13" t="str"/>
      <x:c r="J83" s="13" t="str"/>
      <x:c r="K83" s="13" t="str"/>
      <x:c r="L83" s="13" t="str"/>
      <x:c r="M83" s="13" t="str"/>
      <x:c r="N83" s="13" t="str"/>
      <x:c r="O83" s="13" t="str">
        <x:f>IF(COUNT(I83:N83)&lt;6,"",SUM(I83:N83))</x:f>
      </x:c>
      <x:c r="P83" s="13" t="str">
        <x:f>IF(COUNT(H83,O83)&lt;2,"",H83-O83)</x:f>
      </x:c>
      <x:c r="Q83" s="13" t="str"/>
      <x:c r="R83" s="13" t="str"/>
      <x:c r="S83" s="13" t="str">
        <x:f>IF(R83=1,IF(COUNT(P83,Q83,N83)=3,IF(AND(ABS(P83)&lt;='Controls'!$D$67,Q83&lt;='Controls'!$D$66,N83&lt;='Controls'!$D$68),"PASS","FAIL"),"FAIL"),"OPEN")</x:f>
        <x:v>OPEN</x:v>
      </x:c>
    </x:row>
    <x:row r="84">
      <x:c r="B84" s="13" t="str">
        <x:v>RAS-SL-078</x:v>
      </x:c>
      <x:c r="C84" s="13" t="str">
        <x:v>RAS-E078</x:v>
      </x:c>
      <x:c r="D84" s="13" t="str">
        <x:v>AM-06</x:v>
      </x:c>
      <x:c r="E84" s="13" t="str">
        <x:v>TR-A</x:v>
      </x:c>
      <x:c r="F84" s="13" t="str">
        <x:v>RFP-A1</x:v>
      </x:c>
      <x:c r="G84" s="13" t="n">
        <x:v>500</x:v>
      </x:c>
      <x:c r="H84" s="13" t="str"/>
      <x:c r="I84" s="13" t="str"/>
      <x:c r="J84" s="13" t="str"/>
      <x:c r="K84" s="13" t="str"/>
      <x:c r="L84" s="13" t="str"/>
      <x:c r="M84" s="13" t="str"/>
      <x:c r="N84" s="13" t="str"/>
      <x:c r="O84" s="13" t="str">
        <x:f>IF(COUNT(I84:N84)&lt;6,"",SUM(I84:N84))</x:f>
      </x:c>
      <x:c r="P84" s="13" t="str">
        <x:f>IF(COUNT(H84,O84)&lt;2,"",H84-O84)</x:f>
      </x:c>
      <x:c r="Q84" s="13" t="str"/>
      <x:c r="R84" s="13" t="str"/>
      <x:c r="S84" s="13" t="str">
        <x:f>IF(R84=1,IF(COUNT(P84,Q84,N84)=3,IF(AND(ABS(P84)&lt;='Controls'!$D$67,Q84&lt;='Controls'!$D$66,N84&lt;='Controls'!$D$68),"PASS","FAIL"),"FAIL"),"OPEN")</x:f>
        <x:v>OPEN</x:v>
      </x:c>
    </x:row>
    <x:row r="85">
      <x:c r="B85" s="13" t="str">
        <x:v>RAS-SL-079</x:v>
      </x:c>
      <x:c r="C85" s="13" t="str">
        <x:v>RAS-E079</x:v>
      </x:c>
      <x:c r="D85" s="13" t="str">
        <x:v>AM-06</x:v>
      </x:c>
      <x:c r="E85" s="13" t="str">
        <x:v>TR-A</x:v>
      </x:c>
      <x:c r="F85" s="13" t="str">
        <x:v>RFP-A2</x:v>
      </x:c>
      <x:c r="G85" s="13" t="n">
        <x:v>0</x:v>
      </x:c>
      <x:c r="H85" s="13" t="str"/>
      <x:c r="I85" s="13" t="str"/>
      <x:c r="J85" s="13" t="str"/>
      <x:c r="K85" s="13" t="str"/>
      <x:c r="L85" s="13" t="str"/>
      <x:c r="M85" s="13" t="str"/>
      <x:c r="N85" s="13" t="str"/>
      <x:c r="O85" s="13" t="str">
        <x:f>IF(COUNT(I85:N85)&lt;6,"",SUM(I85:N85))</x:f>
      </x:c>
      <x:c r="P85" s="13" t="str">
        <x:f>IF(COUNT(H85,O85)&lt;2,"",H85-O85)</x:f>
      </x:c>
      <x:c r="Q85" s="13" t="str"/>
      <x:c r="R85" s="13" t="str"/>
      <x:c r="S85" s="13" t="str">
        <x:f>IF(R85=1,IF(COUNT(P85,Q85,N85)=3,IF(AND(ABS(P85)&lt;='Controls'!$D$67,Q85&lt;='Controls'!$D$66,N85&lt;='Controls'!$D$68),"PASS","FAIL"),"FAIL"),"OPEN")</x:f>
        <x:v>OPEN</x:v>
      </x:c>
    </x:row>
    <x:row r="86">
      <x:c r="B86" s="13" t="str">
        <x:v>RAS-SL-080</x:v>
      </x:c>
      <x:c r="C86" s="13" t="str">
        <x:v>RAS-E080</x:v>
      </x:c>
      <x:c r="D86" s="13" t="str">
        <x:v>AM-06</x:v>
      </x:c>
      <x:c r="E86" s="13" t="str">
        <x:v>TR-A</x:v>
      </x:c>
      <x:c r="F86" s="13" t="str">
        <x:v>RFP-A2</x:v>
      </x:c>
      <x:c r="G86" s="13" t="n">
        <x:v>100</x:v>
      </x:c>
      <x:c r="H86" s="13" t="str"/>
      <x:c r="I86" s="13" t="str"/>
      <x:c r="J86" s="13" t="str"/>
      <x:c r="K86" s="13" t="str"/>
      <x:c r="L86" s="13" t="str"/>
      <x:c r="M86" s="13" t="str"/>
      <x:c r="N86" s="13" t="str"/>
      <x:c r="O86" s="13" t="str">
        <x:f>IF(COUNT(I86:N86)&lt;6,"",SUM(I86:N86))</x:f>
      </x:c>
      <x:c r="P86" s="13" t="str">
        <x:f>IF(COUNT(H86,O86)&lt;2,"",H86-O86)</x:f>
      </x:c>
      <x:c r="Q86" s="13" t="str"/>
      <x:c r="R86" s="13" t="str"/>
      <x:c r="S86" s="13" t="str">
        <x:f>IF(R86=1,IF(COUNT(P86,Q86,N86)=3,IF(AND(ABS(P86)&lt;='Controls'!$D$67,Q86&lt;='Controls'!$D$66,N86&lt;='Controls'!$D$68),"PASS","FAIL"),"FAIL"),"OPEN")</x:f>
        <x:v>OPEN</x:v>
      </x:c>
    </x:row>
    <x:row r="87">
      <x:c r="B87" s="13" t="str">
        <x:v>RAS-SL-081</x:v>
      </x:c>
      <x:c r="C87" s="13" t="str">
        <x:v>RAS-E081</x:v>
      </x:c>
      <x:c r="D87" s="13" t="str">
        <x:v>AM-06</x:v>
      </x:c>
      <x:c r="E87" s="13" t="str">
        <x:v>TR-A</x:v>
      </x:c>
      <x:c r="F87" s="13" t="str">
        <x:v>RFP-A2</x:v>
      </x:c>
      <x:c r="G87" s="13" t="n">
        <x:v>250</x:v>
      </x:c>
      <x:c r="H87" s="13" t="str"/>
      <x:c r="I87" s="13" t="str"/>
      <x:c r="J87" s="13" t="str"/>
      <x:c r="K87" s="13" t="str"/>
      <x:c r="L87" s="13" t="str"/>
      <x:c r="M87" s="13" t="str"/>
      <x:c r="N87" s="13" t="str"/>
      <x:c r="O87" s="13" t="str">
        <x:f>IF(COUNT(I87:N87)&lt;6,"",SUM(I87:N87))</x:f>
      </x:c>
      <x:c r="P87" s="13" t="str">
        <x:f>IF(COUNT(H87,O87)&lt;2,"",H87-O87)</x:f>
      </x:c>
      <x:c r="Q87" s="13" t="str"/>
      <x:c r="R87" s="13" t="str"/>
      <x:c r="S87" s="13" t="str">
        <x:f>IF(R87=1,IF(COUNT(P87,Q87,N87)=3,IF(AND(ABS(P87)&lt;='Controls'!$D$67,Q87&lt;='Controls'!$D$66,N87&lt;='Controls'!$D$68),"PASS","FAIL"),"FAIL"),"OPEN")</x:f>
        <x:v>OPEN</x:v>
      </x:c>
    </x:row>
    <x:row r="88">
      <x:c r="B88" s="13" t="str">
        <x:v>RAS-SL-082</x:v>
      </x:c>
      <x:c r="C88" s="13" t="str">
        <x:v>RAS-E082</x:v>
      </x:c>
      <x:c r="D88" s="13" t="str">
        <x:v>AM-06</x:v>
      </x:c>
      <x:c r="E88" s="13" t="str">
        <x:v>TR-A</x:v>
      </x:c>
      <x:c r="F88" s="13" t="str">
        <x:v>RFP-A2</x:v>
      </x:c>
      <x:c r="G88" s="13" t="n">
        <x:v>500</x:v>
      </x:c>
      <x:c r="H88" s="13" t="str"/>
      <x:c r="I88" s="13" t="str"/>
      <x:c r="J88" s="13" t="str"/>
      <x:c r="K88" s="13" t="str"/>
      <x:c r="L88" s="13" t="str"/>
      <x:c r="M88" s="13" t="str"/>
      <x:c r="N88" s="13" t="str"/>
      <x:c r="O88" s="13" t="str">
        <x:f>IF(COUNT(I88:N88)&lt;6,"",SUM(I88:N88))</x:f>
      </x:c>
      <x:c r="P88" s="13" t="str">
        <x:f>IF(COUNT(H88,O88)&lt;2,"",H88-O88)</x:f>
      </x:c>
      <x:c r="Q88" s="13" t="str"/>
      <x:c r="R88" s="13" t="str"/>
      <x:c r="S88" s="13" t="str">
        <x:f>IF(R88=1,IF(COUNT(P88,Q88,N88)=3,IF(AND(ABS(P88)&lt;='Controls'!$D$67,Q88&lt;='Controls'!$D$66,N88&lt;='Controls'!$D$68),"PASS","FAIL"),"FAIL"),"OPEN")</x:f>
        <x:v>OPEN</x:v>
      </x:c>
    </x:row>
    <x:row r="89">
      <x:c r="B89" s="13" t="str">
        <x:v>RAS-SL-083</x:v>
      </x:c>
      <x:c r="C89" s="13" t="str">
        <x:v>RAS-E083</x:v>
      </x:c>
      <x:c r="D89" s="13" t="str">
        <x:v>AM-06</x:v>
      </x:c>
      <x:c r="E89" s="13" t="str">
        <x:v>TR-A</x:v>
      </x:c>
      <x:c r="F89" s="13" t="str">
        <x:v>RFP-A2</x:v>
      </x:c>
      <x:c r="G89" s="13" t="n">
        <x:v>500</x:v>
      </x:c>
      <x:c r="H89" s="13" t="str"/>
      <x:c r="I89" s="13" t="str"/>
      <x:c r="J89" s="13" t="str"/>
      <x:c r="K89" s="13" t="str"/>
      <x:c r="L89" s="13" t="str"/>
      <x:c r="M89" s="13" t="str"/>
      <x:c r="N89" s="13" t="str"/>
      <x:c r="O89" s="13" t="str">
        <x:f>IF(COUNT(I89:N89)&lt;6,"",SUM(I89:N89))</x:f>
      </x:c>
      <x:c r="P89" s="13" t="str">
        <x:f>IF(COUNT(H89,O89)&lt;2,"",H89-O89)</x:f>
      </x:c>
      <x:c r="Q89" s="13" t="str"/>
      <x:c r="R89" s="13" t="str"/>
      <x:c r="S89" s="13" t="str">
        <x:f>IF(R89=1,IF(COUNT(P89,Q89,N89)=3,IF(AND(ABS(P89)&lt;='Controls'!$D$67,Q89&lt;='Controls'!$D$66,N89&lt;='Controls'!$D$68),"PASS","FAIL"),"FAIL"),"OPEN")</x:f>
        <x:v>OPEN</x:v>
      </x:c>
    </x:row>
    <x:row r="90">
      <x:c r="B90" s="13" t="str">
        <x:v>RAS-SL-084</x:v>
      </x:c>
      <x:c r="C90" s="13" t="str">
        <x:v>RAS-E084</x:v>
      </x:c>
      <x:c r="D90" s="13" t="str">
        <x:v>AM-06</x:v>
      </x:c>
      <x:c r="E90" s="13" t="str">
        <x:v>TR-A</x:v>
      </x:c>
      <x:c r="F90" s="13" t="str">
        <x:v>RFP-A2</x:v>
      </x:c>
      <x:c r="G90" s="13" t="n">
        <x:v>500</x:v>
      </x:c>
      <x:c r="H90" s="13" t="str"/>
      <x:c r="I90" s="13" t="str"/>
      <x:c r="J90" s="13" t="str"/>
      <x:c r="K90" s="13" t="str"/>
      <x:c r="L90" s="13" t="str"/>
      <x:c r="M90" s="13" t="str"/>
      <x:c r="N90" s="13" t="str"/>
      <x:c r="O90" s="13" t="str">
        <x:f>IF(COUNT(I90:N90)&lt;6,"",SUM(I90:N90))</x:f>
      </x:c>
      <x:c r="P90" s="13" t="str">
        <x:f>IF(COUNT(H90,O90)&lt;2,"",H90-O90)</x:f>
      </x:c>
      <x:c r="Q90" s="13" t="str"/>
      <x:c r="R90" s="13" t="str"/>
      <x:c r="S90" s="13" t="str">
        <x:f>IF(R90=1,IF(COUNT(P90,Q90,N90)=3,IF(AND(ABS(P90)&lt;='Controls'!$D$67,Q90&lt;='Controls'!$D$66,N90&lt;='Controls'!$D$68),"PASS","FAIL"),"FAIL"),"OPEN")</x:f>
        <x:v>OPEN</x:v>
      </x:c>
    </x:row>
    <x:row r="91">
      <x:c r="B91" s="13" t="str">
        <x:v>RAS-SL-085</x:v>
      </x:c>
      <x:c r="C91" s="13" t="str">
        <x:v>RAS-E085</x:v>
      </x:c>
      <x:c r="D91" s="13" t="str">
        <x:v>AM-06</x:v>
      </x:c>
      <x:c r="E91" s="13" t="str">
        <x:v>TR-A</x:v>
      </x:c>
      <x:c r="F91" s="13" t="str">
        <x:v>RFP-B1</x:v>
      </x:c>
      <x:c r="G91" s="13" t="n">
        <x:v>0</x:v>
      </x:c>
      <x:c r="H91" s="13" t="str"/>
      <x:c r="I91" s="13" t="str"/>
      <x:c r="J91" s="13" t="str"/>
      <x:c r="K91" s="13" t="str"/>
      <x:c r="L91" s="13" t="str"/>
      <x:c r="M91" s="13" t="str"/>
      <x:c r="N91" s="13" t="str"/>
      <x:c r="O91" s="13" t="str">
        <x:f>IF(COUNT(I91:N91)&lt;6,"",SUM(I91:N91))</x:f>
      </x:c>
      <x:c r="P91" s="13" t="str">
        <x:f>IF(COUNT(H91,O91)&lt;2,"",H91-O91)</x:f>
      </x:c>
      <x:c r="Q91" s="13" t="str"/>
      <x:c r="R91" s="13" t="str"/>
      <x:c r="S91" s="13" t="str">
        <x:f>IF(R91=1,IF(COUNT(P91,Q91,N91)=3,IF(AND(ABS(P91)&lt;='Controls'!$D$67,Q91&lt;='Controls'!$D$66,N91&lt;='Controls'!$D$68),"PASS","FAIL"),"FAIL"),"OPEN")</x:f>
        <x:v>OPEN</x:v>
      </x:c>
    </x:row>
    <x:row r="92">
      <x:c r="B92" s="13" t="str">
        <x:v>RAS-SL-086</x:v>
      </x:c>
      <x:c r="C92" s="13" t="str">
        <x:v>RAS-E086</x:v>
      </x:c>
      <x:c r="D92" s="13" t="str">
        <x:v>AM-06</x:v>
      </x:c>
      <x:c r="E92" s="13" t="str">
        <x:v>TR-A</x:v>
      </x:c>
      <x:c r="F92" s="13" t="str">
        <x:v>RFP-B1</x:v>
      </x:c>
      <x:c r="G92" s="13" t="n">
        <x:v>100</x:v>
      </x:c>
      <x:c r="H92" s="13" t="str"/>
      <x:c r="I92" s="13" t="str"/>
      <x:c r="J92" s="13" t="str"/>
      <x:c r="K92" s="13" t="str"/>
      <x:c r="L92" s="13" t="str"/>
      <x:c r="M92" s="13" t="str"/>
      <x:c r="N92" s="13" t="str"/>
      <x:c r="O92" s="13" t="str">
        <x:f>IF(COUNT(I92:N92)&lt;6,"",SUM(I92:N92))</x:f>
      </x:c>
      <x:c r="P92" s="13" t="str">
        <x:f>IF(COUNT(H92,O92)&lt;2,"",H92-O92)</x:f>
      </x:c>
      <x:c r="Q92" s="13" t="str"/>
      <x:c r="R92" s="13" t="str"/>
      <x:c r="S92" s="13" t="str">
        <x:f>IF(R92=1,IF(COUNT(P92,Q92,N92)=3,IF(AND(ABS(P92)&lt;='Controls'!$D$67,Q92&lt;='Controls'!$D$66,N92&lt;='Controls'!$D$68),"PASS","FAIL"),"FAIL"),"OPEN")</x:f>
        <x:v>OPEN</x:v>
      </x:c>
    </x:row>
    <x:row r="93">
      <x:c r="B93" s="13" t="str">
        <x:v>RAS-SL-087</x:v>
      </x:c>
      <x:c r="C93" s="13" t="str">
        <x:v>RAS-E087</x:v>
      </x:c>
      <x:c r="D93" s="13" t="str">
        <x:v>AM-06</x:v>
      </x:c>
      <x:c r="E93" s="13" t="str">
        <x:v>TR-A</x:v>
      </x:c>
      <x:c r="F93" s="13" t="str">
        <x:v>RFP-B1</x:v>
      </x:c>
      <x:c r="G93" s="13" t="n">
        <x:v>250</x:v>
      </x:c>
      <x:c r="H93" s="13" t="str"/>
      <x:c r="I93" s="13" t="str"/>
      <x:c r="J93" s="13" t="str"/>
      <x:c r="K93" s="13" t="str"/>
      <x:c r="L93" s="13" t="str"/>
      <x:c r="M93" s="13" t="str"/>
      <x:c r="N93" s="13" t="str"/>
      <x:c r="O93" s="13" t="str">
        <x:f>IF(COUNT(I93:N93)&lt;6,"",SUM(I93:N93))</x:f>
      </x:c>
      <x:c r="P93" s="13" t="str">
        <x:f>IF(COUNT(H93,O93)&lt;2,"",H93-O93)</x:f>
      </x:c>
      <x:c r="Q93" s="13" t="str"/>
      <x:c r="R93" s="13" t="str"/>
      <x:c r="S93" s="13" t="str">
        <x:f>IF(R93=1,IF(COUNT(P93,Q93,N93)=3,IF(AND(ABS(P93)&lt;='Controls'!$D$67,Q93&lt;='Controls'!$D$66,N93&lt;='Controls'!$D$68),"PASS","FAIL"),"FAIL"),"OPEN")</x:f>
        <x:v>OPEN</x:v>
      </x:c>
    </x:row>
    <x:row r="94">
      <x:c r="B94" s="13" t="str">
        <x:v>RAS-SL-088</x:v>
      </x:c>
      <x:c r="C94" s="13" t="str">
        <x:v>RAS-E088</x:v>
      </x:c>
      <x:c r="D94" s="13" t="str">
        <x:v>AM-06</x:v>
      </x:c>
      <x:c r="E94" s="13" t="str">
        <x:v>TR-A</x:v>
      </x:c>
      <x:c r="F94" s="13" t="str">
        <x:v>RFP-B1</x:v>
      </x:c>
      <x:c r="G94" s="13" t="n">
        <x:v>500</x:v>
      </x:c>
      <x:c r="H94" s="13" t="str"/>
      <x:c r="I94" s="13" t="str"/>
      <x:c r="J94" s="13" t="str"/>
      <x:c r="K94" s="13" t="str"/>
      <x:c r="L94" s="13" t="str"/>
      <x:c r="M94" s="13" t="str"/>
      <x:c r="N94" s="13" t="str"/>
      <x:c r="O94" s="13" t="str">
        <x:f>IF(COUNT(I94:N94)&lt;6,"",SUM(I94:N94))</x:f>
      </x:c>
      <x:c r="P94" s="13" t="str">
        <x:f>IF(COUNT(H94,O94)&lt;2,"",H94-O94)</x:f>
      </x:c>
      <x:c r="Q94" s="13" t="str"/>
      <x:c r="R94" s="13" t="str"/>
      <x:c r="S94" s="13" t="str">
        <x:f>IF(R94=1,IF(COUNT(P94,Q94,N94)=3,IF(AND(ABS(P94)&lt;='Controls'!$D$67,Q94&lt;='Controls'!$D$66,N94&lt;='Controls'!$D$68),"PASS","FAIL"),"FAIL"),"OPEN")</x:f>
        <x:v>OPEN</x:v>
      </x:c>
    </x:row>
    <x:row r="95">
      <x:c r="B95" s="13" t="str">
        <x:v>RAS-SL-089</x:v>
      </x:c>
      <x:c r="C95" s="13" t="str">
        <x:v>RAS-E089</x:v>
      </x:c>
      <x:c r="D95" s="13" t="str">
        <x:v>AM-06</x:v>
      </x:c>
      <x:c r="E95" s="13" t="str">
        <x:v>TR-A</x:v>
      </x:c>
      <x:c r="F95" s="13" t="str">
        <x:v>RFP-B1</x:v>
      </x:c>
      <x:c r="G95" s="13" t="n">
        <x:v>500</x:v>
      </x:c>
      <x:c r="H95" s="13" t="str"/>
      <x:c r="I95" s="13" t="str"/>
      <x:c r="J95" s="13" t="str"/>
      <x:c r="K95" s="13" t="str"/>
      <x:c r="L95" s="13" t="str"/>
      <x:c r="M95" s="13" t="str"/>
      <x:c r="N95" s="13" t="str"/>
      <x:c r="O95" s="13" t="str">
        <x:f>IF(COUNT(I95:N95)&lt;6,"",SUM(I95:N95))</x:f>
      </x:c>
      <x:c r="P95" s="13" t="str">
        <x:f>IF(COUNT(H95,O95)&lt;2,"",H95-O95)</x:f>
      </x:c>
      <x:c r="Q95" s="13" t="str"/>
      <x:c r="R95" s="13" t="str"/>
      <x:c r="S95" s="13" t="str">
        <x:f>IF(R95=1,IF(COUNT(P95,Q95,N95)=3,IF(AND(ABS(P95)&lt;='Controls'!$D$67,Q95&lt;='Controls'!$D$66,N95&lt;='Controls'!$D$68),"PASS","FAIL"),"FAIL"),"OPEN")</x:f>
        <x:v>OPEN</x:v>
      </x:c>
    </x:row>
    <x:row r="96">
      <x:c r="B96" s="13" t="str">
        <x:v>RAS-SL-090</x:v>
      </x:c>
      <x:c r="C96" s="13" t="str">
        <x:v>RAS-E090</x:v>
      </x:c>
      <x:c r="D96" s="13" t="str">
        <x:v>AM-06</x:v>
      </x:c>
      <x:c r="E96" s="13" t="str">
        <x:v>TR-A</x:v>
      </x:c>
      <x:c r="F96" s="13" t="str">
        <x:v>RFP-B1</x:v>
      </x:c>
      <x:c r="G96" s="13" t="n">
        <x:v>500</x:v>
      </x:c>
      <x:c r="H96" s="13" t="str"/>
      <x:c r="I96" s="13" t="str"/>
      <x:c r="J96" s="13" t="str"/>
      <x:c r="K96" s="13" t="str"/>
      <x:c r="L96" s="13" t="str"/>
      <x:c r="M96" s="13" t="str"/>
      <x:c r="N96" s="13" t="str"/>
      <x:c r="O96" s="13" t="str">
        <x:f>IF(COUNT(I96:N96)&lt;6,"",SUM(I96:N96))</x:f>
      </x:c>
      <x:c r="P96" s="13" t="str">
        <x:f>IF(COUNT(H96,O96)&lt;2,"",H96-O96)</x:f>
      </x:c>
      <x:c r="Q96" s="13" t="str"/>
      <x:c r="R96" s="13" t="str"/>
      <x:c r="S96" s="13" t="str">
        <x:f>IF(R96=1,IF(COUNT(P96,Q96,N96)=3,IF(AND(ABS(P96)&lt;='Controls'!$D$67,Q96&lt;='Controls'!$D$66,N96&lt;='Controls'!$D$68),"PASS","FAIL"),"FAIL"),"OPEN")</x:f>
        <x:v>OPEN</x:v>
      </x:c>
    </x:row>
    <x:row r="97">
      <x:c r="B97" s="13" t="str">
        <x:v>RAS-SL-091</x:v>
      </x:c>
      <x:c r="C97" s="13" t="str">
        <x:v>RAS-E091</x:v>
      </x:c>
      <x:c r="D97" s="13" t="str">
        <x:v>AM-06</x:v>
      </x:c>
      <x:c r="E97" s="13" t="str">
        <x:v>TR-A</x:v>
      </x:c>
      <x:c r="F97" s="13" t="str">
        <x:v>RFP-B2</x:v>
      </x:c>
      <x:c r="G97" s="13" t="n">
        <x:v>0</x:v>
      </x:c>
      <x:c r="H97" s="13" t="str"/>
      <x:c r="I97" s="13" t="str"/>
      <x:c r="J97" s="13" t="str"/>
      <x:c r="K97" s="13" t="str"/>
      <x:c r="L97" s="13" t="str"/>
      <x:c r="M97" s="13" t="str"/>
      <x:c r="N97" s="13" t="str"/>
      <x:c r="O97" s="13" t="str">
        <x:f>IF(COUNT(I97:N97)&lt;6,"",SUM(I97:N97))</x:f>
      </x:c>
      <x:c r="P97" s="13" t="str">
        <x:f>IF(COUNT(H97,O97)&lt;2,"",H97-O97)</x:f>
      </x:c>
      <x:c r="Q97" s="13" t="str"/>
      <x:c r="R97" s="13" t="str"/>
      <x:c r="S97" s="13" t="str">
        <x:f>IF(R97=1,IF(COUNT(P97,Q97,N97)=3,IF(AND(ABS(P97)&lt;='Controls'!$D$67,Q97&lt;='Controls'!$D$66,N97&lt;='Controls'!$D$68),"PASS","FAIL"),"FAIL"),"OPEN")</x:f>
        <x:v>OPEN</x:v>
      </x:c>
    </x:row>
    <x:row r="98">
      <x:c r="B98" s="13" t="str">
        <x:v>RAS-SL-092</x:v>
      </x:c>
      <x:c r="C98" s="13" t="str">
        <x:v>RAS-E092</x:v>
      </x:c>
      <x:c r="D98" s="13" t="str">
        <x:v>AM-06</x:v>
      </x:c>
      <x:c r="E98" s="13" t="str">
        <x:v>TR-A</x:v>
      </x:c>
      <x:c r="F98" s="13" t="str">
        <x:v>RFP-B2</x:v>
      </x:c>
      <x:c r="G98" s="13" t="n">
        <x:v>100</x:v>
      </x:c>
      <x:c r="H98" s="13" t="str"/>
      <x:c r="I98" s="13" t="str"/>
      <x:c r="J98" s="13" t="str"/>
      <x:c r="K98" s="13" t="str"/>
      <x:c r="L98" s="13" t="str"/>
      <x:c r="M98" s="13" t="str"/>
      <x:c r="N98" s="13" t="str"/>
      <x:c r="O98" s="13" t="str">
        <x:f>IF(COUNT(I98:N98)&lt;6,"",SUM(I98:N98))</x:f>
      </x:c>
      <x:c r="P98" s="13" t="str">
        <x:f>IF(COUNT(H98,O98)&lt;2,"",H98-O98)</x:f>
      </x:c>
      <x:c r="Q98" s="13" t="str"/>
      <x:c r="R98" s="13" t="str"/>
      <x:c r="S98" s="13" t="str">
        <x:f>IF(R98=1,IF(COUNT(P98,Q98,N98)=3,IF(AND(ABS(P98)&lt;='Controls'!$D$67,Q98&lt;='Controls'!$D$66,N98&lt;='Controls'!$D$68),"PASS","FAIL"),"FAIL"),"OPEN")</x:f>
        <x:v>OPEN</x:v>
      </x:c>
    </x:row>
    <x:row r="99">
      <x:c r="B99" s="13" t="str">
        <x:v>RAS-SL-093</x:v>
      </x:c>
      <x:c r="C99" s="13" t="str">
        <x:v>RAS-E093</x:v>
      </x:c>
      <x:c r="D99" s="13" t="str">
        <x:v>AM-06</x:v>
      </x:c>
      <x:c r="E99" s="13" t="str">
        <x:v>TR-A</x:v>
      </x:c>
      <x:c r="F99" s="13" t="str">
        <x:v>RFP-B2</x:v>
      </x:c>
      <x:c r="G99" s="13" t="n">
        <x:v>250</x:v>
      </x:c>
      <x:c r="H99" s="13" t="str"/>
      <x:c r="I99" s="13" t="str"/>
      <x:c r="J99" s="13" t="str"/>
      <x:c r="K99" s="13" t="str"/>
      <x:c r="L99" s="13" t="str"/>
      <x:c r="M99" s="13" t="str"/>
      <x:c r="N99" s="13" t="str"/>
      <x:c r="O99" s="13" t="str">
        <x:f>IF(COUNT(I99:N99)&lt;6,"",SUM(I99:N99))</x:f>
      </x:c>
      <x:c r="P99" s="13" t="str">
        <x:f>IF(COUNT(H99,O99)&lt;2,"",H99-O99)</x:f>
      </x:c>
      <x:c r="Q99" s="13" t="str"/>
      <x:c r="R99" s="13" t="str"/>
      <x:c r="S99" s="13" t="str">
        <x:f>IF(R99=1,IF(COUNT(P99,Q99,N99)=3,IF(AND(ABS(P99)&lt;='Controls'!$D$67,Q99&lt;='Controls'!$D$66,N99&lt;='Controls'!$D$68),"PASS","FAIL"),"FAIL"),"OPEN")</x:f>
        <x:v>OPEN</x:v>
      </x:c>
    </x:row>
    <x:row r="100">
      <x:c r="B100" s="13" t="str">
        <x:v>RAS-SL-094</x:v>
      </x:c>
      <x:c r="C100" s="13" t="str">
        <x:v>RAS-E094</x:v>
      </x:c>
      <x:c r="D100" s="13" t="str">
        <x:v>AM-06</x:v>
      </x:c>
      <x:c r="E100" s="13" t="str">
        <x:v>TR-A</x:v>
      </x:c>
      <x:c r="F100" s="13" t="str">
        <x:v>RFP-B2</x:v>
      </x:c>
      <x:c r="G100" s="13" t="n">
        <x:v>500</x:v>
      </x:c>
      <x:c r="H100" s="13" t="str"/>
      <x:c r="I100" s="13" t="str"/>
      <x:c r="J100" s="13" t="str"/>
      <x:c r="K100" s="13" t="str"/>
      <x:c r="L100" s="13" t="str"/>
      <x:c r="M100" s="13" t="str"/>
      <x:c r="N100" s="13" t="str"/>
      <x:c r="O100" s="13" t="str">
        <x:f>IF(COUNT(I100:N100)&lt;6,"",SUM(I100:N100))</x:f>
      </x:c>
      <x:c r="P100" s="13" t="str">
        <x:f>IF(COUNT(H100,O100)&lt;2,"",H100-O100)</x:f>
      </x:c>
      <x:c r="Q100" s="13" t="str"/>
      <x:c r="R100" s="13" t="str"/>
      <x:c r="S100" s="13" t="str">
        <x:f>IF(R100=1,IF(COUNT(P100,Q100,N100)=3,IF(AND(ABS(P100)&lt;='Controls'!$D$67,Q100&lt;='Controls'!$D$66,N100&lt;='Controls'!$D$68),"PASS","FAIL"),"FAIL"),"OPEN")</x:f>
        <x:v>OPEN</x:v>
      </x:c>
    </x:row>
    <x:row r="101">
      <x:c r="B101" s="13" t="str">
        <x:v>RAS-SL-095</x:v>
      </x:c>
      <x:c r="C101" s="13" t="str">
        <x:v>RAS-E095</x:v>
      </x:c>
      <x:c r="D101" s="13" t="str">
        <x:v>AM-06</x:v>
      </x:c>
      <x:c r="E101" s="13" t="str">
        <x:v>TR-A</x:v>
      </x:c>
      <x:c r="F101" s="13" t="str">
        <x:v>RFP-B2</x:v>
      </x:c>
      <x:c r="G101" s="13" t="n">
        <x:v>500</x:v>
      </x:c>
      <x:c r="H101" s="13" t="str"/>
      <x:c r="I101" s="13" t="str"/>
      <x:c r="J101" s="13" t="str"/>
      <x:c r="K101" s="13" t="str"/>
      <x:c r="L101" s="13" t="str"/>
      <x:c r="M101" s="13" t="str"/>
      <x:c r="N101" s="13" t="str"/>
      <x:c r="O101" s="13" t="str">
        <x:f>IF(COUNT(I101:N101)&lt;6,"",SUM(I101:N101))</x:f>
      </x:c>
      <x:c r="P101" s="13" t="str">
        <x:f>IF(COUNT(H101,O101)&lt;2,"",H101-O101)</x:f>
      </x:c>
      <x:c r="Q101" s="13" t="str"/>
      <x:c r="R101" s="13" t="str"/>
      <x:c r="S101" s="13" t="str">
        <x:f>IF(R101=1,IF(COUNT(P101,Q101,N101)=3,IF(AND(ABS(P101)&lt;='Controls'!$D$67,Q101&lt;='Controls'!$D$66,N101&lt;='Controls'!$D$68),"PASS","FAIL"),"FAIL"),"OPEN")</x:f>
        <x:v>OPEN</x:v>
      </x:c>
    </x:row>
    <x:row r="102">
      <x:c r="B102" s="13" t="str">
        <x:v>RAS-SL-096</x:v>
      </x:c>
      <x:c r="C102" s="13" t="str">
        <x:v>RAS-E096</x:v>
      </x:c>
      <x:c r="D102" s="13" t="str">
        <x:v>AM-06</x:v>
      </x:c>
      <x:c r="E102" s="13" t="str">
        <x:v>TR-A</x:v>
      </x:c>
      <x:c r="F102" s="13" t="str">
        <x:v>RFP-B2</x:v>
      </x:c>
      <x:c r="G102" s="13" t="n">
        <x:v>500</x:v>
      </x:c>
      <x:c r="H102" s="13" t="str"/>
      <x:c r="I102" s="13" t="str"/>
      <x:c r="J102" s="13" t="str"/>
      <x:c r="K102" s="13" t="str"/>
      <x:c r="L102" s="13" t="str"/>
      <x:c r="M102" s="13" t="str"/>
      <x:c r="N102" s="13" t="str"/>
      <x:c r="O102" s="13" t="str">
        <x:f>IF(COUNT(I102:N102)&lt;6,"",SUM(I102:N102))</x:f>
      </x:c>
      <x:c r="P102" s="13" t="str">
        <x:f>IF(COUNT(H102,O102)&lt;2,"",H102-O102)</x:f>
      </x:c>
      <x:c r="Q102" s="13" t="str"/>
      <x:c r="R102" s="13" t="str"/>
      <x:c r="S102" s="13" t="str">
        <x:f>IF(R102=1,IF(COUNT(P102,Q102,N102)=3,IF(AND(ABS(P102)&lt;='Controls'!$D$67,Q102&lt;='Controls'!$D$66,N102&lt;='Controls'!$D$68),"PASS","FAIL"),"FAIL"),"OPEN")</x:f>
        <x:v>OPEN</x:v>
      </x:c>
    </x:row>
    <x:row r="103">
      <x:c r="B103" s="13" t="str">
        <x:v>RAS-SL-097</x:v>
      </x:c>
      <x:c r="C103" s="13" t="str">
        <x:v>RAS-E097</x:v>
      </x:c>
      <x:c r="D103" s="13" t="str">
        <x:v>AM-06</x:v>
      </x:c>
      <x:c r="E103" s="13" t="str">
        <x:v>TR-A</x:v>
      </x:c>
      <x:c r="F103" s="13" t="str">
        <x:v>RFP-C1</x:v>
      </x:c>
      <x:c r="G103" s="13" t="n">
        <x:v>0</x:v>
      </x:c>
      <x:c r="H103" s="13" t="str"/>
      <x:c r="I103" s="13" t="str"/>
      <x:c r="J103" s="13" t="str"/>
      <x:c r="K103" s="13" t="str"/>
      <x:c r="L103" s="13" t="str"/>
      <x:c r="M103" s="13" t="str"/>
      <x:c r="N103" s="13" t="str"/>
      <x:c r="O103" s="13" t="str">
        <x:f>IF(COUNT(I103:N103)&lt;6,"",SUM(I103:N103))</x:f>
      </x:c>
      <x:c r="P103" s="13" t="str">
        <x:f>IF(COUNT(H103,O103)&lt;2,"",H103-O103)</x:f>
      </x:c>
      <x:c r="Q103" s="13" t="str"/>
      <x:c r="R103" s="13" t="str"/>
      <x:c r="S103" s="13" t="str">
        <x:f>IF(R103=1,IF(COUNT(P103,Q103,N103)=3,IF(AND(ABS(P103)&lt;='Controls'!$D$67,Q103&lt;='Controls'!$D$66,N103&lt;='Controls'!$D$68),"PASS","FAIL"),"FAIL"),"OPEN")</x:f>
        <x:v>OPEN</x:v>
      </x:c>
    </x:row>
    <x:row r="104">
      <x:c r="B104" s="13" t="str">
        <x:v>RAS-SL-098</x:v>
      </x:c>
      <x:c r="C104" s="13" t="str">
        <x:v>RAS-E098</x:v>
      </x:c>
      <x:c r="D104" s="13" t="str">
        <x:v>AM-06</x:v>
      </x:c>
      <x:c r="E104" s="13" t="str">
        <x:v>TR-A</x:v>
      </x:c>
      <x:c r="F104" s="13" t="str">
        <x:v>RFP-C1</x:v>
      </x:c>
      <x:c r="G104" s="13" t="n">
        <x:v>100</x:v>
      </x:c>
      <x:c r="H104" s="13" t="str"/>
      <x:c r="I104" s="13" t="str"/>
      <x:c r="J104" s="13" t="str"/>
      <x:c r="K104" s="13" t="str"/>
      <x:c r="L104" s="13" t="str"/>
      <x:c r="M104" s="13" t="str"/>
      <x:c r="N104" s="13" t="str"/>
      <x:c r="O104" s="13" t="str">
        <x:f>IF(COUNT(I104:N104)&lt;6,"",SUM(I104:N104))</x:f>
      </x:c>
      <x:c r="P104" s="13" t="str">
        <x:f>IF(COUNT(H104,O104)&lt;2,"",H104-O104)</x:f>
      </x:c>
      <x:c r="Q104" s="13" t="str"/>
      <x:c r="R104" s="13" t="str"/>
      <x:c r="S104" s="13" t="str">
        <x:f>IF(R104=1,IF(COUNT(P104,Q104,N104)=3,IF(AND(ABS(P104)&lt;='Controls'!$D$67,Q104&lt;='Controls'!$D$66,N104&lt;='Controls'!$D$68),"PASS","FAIL"),"FAIL"),"OPEN")</x:f>
        <x:v>OPEN</x:v>
      </x:c>
    </x:row>
    <x:row r="105">
      <x:c r="B105" s="13" t="str">
        <x:v>RAS-SL-099</x:v>
      </x:c>
      <x:c r="C105" s="13" t="str">
        <x:v>RAS-E099</x:v>
      </x:c>
      <x:c r="D105" s="13" t="str">
        <x:v>AM-06</x:v>
      </x:c>
      <x:c r="E105" s="13" t="str">
        <x:v>TR-A</x:v>
      </x:c>
      <x:c r="F105" s="13" t="str">
        <x:v>RFP-C1</x:v>
      </x:c>
      <x:c r="G105" s="13" t="n">
        <x:v>250</x:v>
      </x:c>
      <x:c r="H105" s="13" t="str"/>
      <x:c r="I105" s="13" t="str"/>
      <x:c r="J105" s="13" t="str"/>
      <x:c r="K105" s="13" t="str"/>
      <x:c r="L105" s="13" t="str"/>
      <x:c r="M105" s="13" t="str"/>
      <x:c r="N105" s="13" t="str"/>
      <x:c r="O105" s="13" t="str">
        <x:f>IF(COUNT(I105:N105)&lt;6,"",SUM(I105:N105))</x:f>
      </x:c>
      <x:c r="P105" s="13" t="str">
        <x:f>IF(COUNT(H105,O105)&lt;2,"",H105-O105)</x:f>
      </x:c>
      <x:c r="Q105" s="13" t="str"/>
      <x:c r="R105" s="13" t="str"/>
      <x:c r="S105" s="13" t="str">
        <x:f>IF(R105=1,IF(COUNT(P105,Q105,N105)=3,IF(AND(ABS(P105)&lt;='Controls'!$D$67,Q105&lt;='Controls'!$D$66,N105&lt;='Controls'!$D$68),"PASS","FAIL"),"FAIL"),"OPEN")</x:f>
        <x:v>OPEN</x:v>
      </x:c>
    </x:row>
    <x:row r="106">
      <x:c r="B106" s="13" t="str">
        <x:v>RAS-SL-100</x:v>
      </x:c>
      <x:c r="C106" s="13" t="str">
        <x:v>RAS-E100</x:v>
      </x:c>
      <x:c r="D106" s="13" t="str">
        <x:v>AM-06</x:v>
      </x:c>
      <x:c r="E106" s="13" t="str">
        <x:v>TR-A</x:v>
      </x:c>
      <x:c r="F106" s="13" t="str">
        <x:v>RFP-C1</x:v>
      </x:c>
      <x:c r="G106" s="13" t="n">
        <x:v>500</x:v>
      </x:c>
      <x:c r="H106" s="13" t="str"/>
      <x:c r="I106" s="13" t="str"/>
      <x:c r="J106" s="13" t="str"/>
      <x:c r="K106" s="13" t="str"/>
      <x:c r="L106" s="13" t="str"/>
      <x:c r="M106" s="13" t="str"/>
      <x:c r="N106" s="13" t="str"/>
      <x:c r="O106" s="13" t="str">
        <x:f>IF(COUNT(I106:N106)&lt;6,"",SUM(I106:N106))</x:f>
      </x:c>
      <x:c r="P106" s="13" t="str">
        <x:f>IF(COUNT(H106,O106)&lt;2,"",H106-O106)</x:f>
      </x:c>
      <x:c r="Q106" s="13" t="str"/>
      <x:c r="R106" s="13" t="str"/>
      <x:c r="S106" s="13" t="str">
        <x:f>IF(R106=1,IF(COUNT(P106,Q106,N106)=3,IF(AND(ABS(P106)&lt;='Controls'!$D$67,Q106&lt;='Controls'!$D$66,N106&lt;='Controls'!$D$68),"PASS","FAIL"),"FAIL"),"OPEN")</x:f>
        <x:v>OPEN</x:v>
      </x:c>
    </x:row>
    <x:row r="107">
      <x:c r="B107" s="13" t="str">
        <x:v>RAS-SL-101</x:v>
      </x:c>
      <x:c r="C107" s="13" t="str">
        <x:v>RAS-E101</x:v>
      </x:c>
      <x:c r="D107" s="13" t="str">
        <x:v>AM-06</x:v>
      </x:c>
      <x:c r="E107" s="13" t="str">
        <x:v>TR-A</x:v>
      </x:c>
      <x:c r="F107" s="13" t="str">
        <x:v>RFP-C1</x:v>
      </x:c>
      <x:c r="G107" s="13" t="n">
        <x:v>500</x:v>
      </x:c>
      <x:c r="H107" s="13" t="str"/>
      <x:c r="I107" s="13" t="str"/>
      <x:c r="J107" s="13" t="str"/>
      <x:c r="K107" s="13" t="str"/>
      <x:c r="L107" s="13" t="str"/>
      <x:c r="M107" s="13" t="str"/>
      <x:c r="N107" s="13" t="str"/>
      <x:c r="O107" s="13" t="str">
        <x:f>IF(COUNT(I107:N107)&lt;6,"",SUM(I107:N107))</x:f>
      </x:c>
      <x:c r="P107" s="13" t="str">
        <x:f>IF(COUNT(H107,O107)&lt;2,"",H107-O107)</x:f>
      </x:c>
      <x:c r="Q107" s="13" t="str"/>
      <x:c r="R107" s="13" t="str"/>
      <x:c r="S107" s="13" t="str">
        <x:f>IF(R107=1,IF(COUNT(P107,Q107,N107)=3,IF(AND(ABS(P107)&lt;='Controls'!$D$67,Q107&lt;='Controls'!$D$66,N107&lt;='Controls'!$D$68),"PASS","FAIL"),"FAIL"),"OPEN")</x:f>
        <x:v>OPEN</x:v>
      </x:c>
    </x:row>
    <x:row r="108">
      <x:c r="B108" s="13" t="str">
        <x:v>RAS-SL-102</x:v>
      </x:c>
      <x:c r="C108" s="13" t="str">
        <x:v>RAS-E102</x:v>
      </x:c>
      <x:c r="D108" s="13" t="str">
        <x:v>AM-06</x:v>
      </x:c>
      <x:c r="E108" s="13" t="str">
        <x:v>TR-A</x:v>
      </x:c>
      <x:c r="F108" s="13" t="str">
        <x:v>RFP-C1</x:v>
      </x:c>
      <x:c r="G108" s="13" t="n">
        <x:v>500</x:v>
      </x:c>
      <x:c r="H108" s="13" t="str"/>
      <x:c r="I108" s="13" t="str"/>
      <x:c r="J108" s="13" t="str"/>
      <x:c r="K108" s="13" t="str"/>
      <x:c r="L108" s="13" t="str"/>
      <x:c r="M108" s="13" t="str"/>
      <x:c r="N108" s="13" t="str"/>
      <x:c r="O108" s="13" t="str">
        <x:f>IF(COUNT(I108:N108)&lt;6,"",SUM(I108:N108))</x:f>
      </x:c>
      <x:c r="P108" s="13" t="str">
        <x:f>IF(COUNT(H108,O108)&lt;2,"",H108-O108)</x:f>
      </x:c>
      <x:c r="Q108" s="13" t="str"/>
      <x:c r="R108" s="13" t="str"/>
      <x:c r="S108" s="13" t="str">
        <x:f>IF(R108=1,IF(COUNT(P108,Q108,N108)=3,IF(AND(ABS(P108)&lt;='Controls'!$D$67,Q108&lt;='Controls'!$D$66,N108&lt;='Controls'!$D$68),"PASS","FAIL"),"FAIL"),"OPEN")</x:f>
        <x:v>OPEN</x:v>
      </x:c>
    </x:row>
    <x:row r="109">
      <x:c r="B109" s="13" t="str">
        <x:v>RAS-SL-103</x:v>
      </x:c>
      <x:c r="C109" s="13" t="str">
        <x:v>RAS-E103</x:v>
      </x:c>
      <x:c r="D109" s="13" t="str">
        <x:v>AM-06</x:v>
      </x:c>
      <x:c r="E109" s="13" t="str">
        <x:v>TR-A</x:v>
      </x:c>
      <x:c r="F109" s="13" t="str">
        <x:v>RFP-C2</x:v>
      </x:c>
      <x:c r="G109" s="13" t="n">
        <x:v>0</x:v>
      </x:c>
      <x:c r="H109" s="13" t="str"/>
      <x:c r="I109" s="13" t="str"/>
      <x:c r="J109" s="13" t="str"/>
      <x:c r="K109" s="13" t="str"/>
      <x:c r="L109" s="13" t="str"/>
      <x:c r="M109" s="13" t="str"/>
      <x:c r="N109" s="13" t="str"/>
      <x:c r="O109" s="13" t="str">
        <x:f>IF(COUNT(I109:N109)&lt;6,"",SUM(I109:N109))</x:f>
      </x:c>
      <x:c r="P109" s="13" t="str">
        <x:f>IF(COUNT(H109,O109)&lt;2,"",H109-O109)</x:f>
      </x:c>
      <x:c r="Q109" s="13" t="str"/>
      <x:c r="R109" s="13" t="str"/>
      <x:c r="S109" s="13" t="str">
        <x:f>IF(R109=1,IF(COUNT(P109,Q109,N109)=3,IF(AND(ABS(P109)&lt;='Controls'!$D$67,Q109&lt;='Controls'!$D$66,N109&lt;='Controls'!$D$68),"PASS","FAIL"),"FAIL"),"OPEN")</x:f>
        <x:v>OPEN</x:v>
      </x:c>
    </x:row>
    <x:row r="110">
      <x:c r="B110" s="13" t="str">
        <x:v>RAS-SL-104</x:v>
      </x:c>
      <x:c r="C110" s="13" t="str">
        <x:v>RAS-E104</x:v>
      </x:c>
      <x:c r="D110" s="13" t="str">
        <x:v>AM-06</x:v>
      </x:c>
      <x:c r="E110" s="13" t="str">
        <x:v>TR-A</x:v>
      </x:c>
      <x:c r="F110" s="13" t="str">
        <x:v>RFP-C2</x:v>
      </x:c>
      <x:c r="G110" s="13" t="n">
        <x:v>100</x:v>
      </x:c>
      <x:c r="H110" s="13" t="str"/>
      <x:c r="I110" s="13" t="str"/>
      <x:c r="J110" s="13" t="str"/>
      <x:c r="K110" s="13" t="str"/>
      <x:c r="L110" s="13" t="str"/>
      <x:c r="M110" s="13" t="str"/>
      <x:c r="N110" s="13" t="str"/>
      <x:c r="O110" s="13" t="str">
        <x:f>IF(COUNT(I110:N110)&lt;6,"",SUM(I110:N110))</x:f>
      </x:c>
      <x:c r="P110" s="13" t="str">
        <x:f>IF(COUNT(H110,O110)&lt;2,"",H110-O110)</x:f>
      </x:c>
      <x:c r="Q110" s="13" t="str"/>
      <x:c r="R110" s="13" t="str"/>
      <x:c r="S110" s="13" t="str">
        <x:f>IF(R110=1,IF(COUNT(P110,Q110,N110)=3,IF(AND(ABS(P110)&lt;='Controls'!$D$67,Q110&lt;='Controls'!$D$66,N110&lt;='Controls'!$D$68),"PASS","FAIL"),"FAIL"),"OPEN")</x:f>
        <x:v>OPEN</x:v>
      </x:c>
    </x:row>
    <x:row r="111">
      <x:c r="B111" s="13" t="str">
        <x:v>RAS-SL-105</x:v>
      </x:c>
      <x:c r="C111" s="13" t="str">
        <x:v>RAS-E105</x:v>
      </x:c>
      <x:c r="D111" s="13" t="str">
        <x:v>AM-06</x:v>
      </x:c>
      <x:c r="E111" s="13" t="str">
        <x:v>TR-A</x:v>
      </x:c>
      <x:c r="F111" s="13" t="str">
        <x:v>RFP-C2</x:v>
      </x:c>
      <x:c r="G111" s="13" t="n">
        <x:v>250</x:v>
      </x:c>
      <x:c r="H111" s="13" t="str"/>
      <x:c r="I111" s="13" t="str"/>
      <x:c r="J111" s="13" t="str"/>
      <x:c r="K111" s="13" t="str"/>
      <x:c r="L111" s="13" t="str"/>
      <x:c r="M111" s="13" t="str"/>
      <x:c r="N111" s="13" t="str"/>
      <x:c r="O111" s="13" t="str">
        <x:f>IF(COUNT(I111:N111)&lt;6,"",SUM(I111:N111))</x:f>
      </x:c>
      <x:c r="P111" s="13" t="str">
        <x:f>IF(COUNT(H111,O111)&lt;2,"",H111-O111)</x:f>
      </x:c>
      <x:c r="Q111" s="13" t="str"/>
      <x:c r="R111" s="13" t="str"/>
      <x:c r="S111" s="13" t="str">
        <x:f>IF(R111=1,IF(COUNT(P111,Q111,N111)=3,IF(AND(ABS(P111)&lt;='Controls'!$D$67,Q111&lt;='Controls'!$D$66,N111&lt;='Controls'!$D$68),"PASS","FAIL"),"FAIL"),"OPEN")</x:f>
        <x:v>OPEN</x:v>
      </x:c>
    </x:row>
    <x:row r="112">
      <x:c r="B112" s="13" t="str">
        <x:v>RAS-SL-106</x:v>
      </x:c>
      <x:c r="C112" s="13" t="str">
        <x:v>RAS-E106</x:v>
      </x:c>
      <x:c r="D112" s="13" t="str">
        <x:v>AM-06</x:v>
      </x:c>
      <x:c r="E112" s="13" t="str">
        <x:v>TR-A</x:v>
      </x:c>
      <x:c r="F112" s="13" t="str">
        <x:v>RFP-C2</x:v>
      </x:c>
      <x:c r="G112" s="13" t="n">
        <x:v>500</x:v>
      </x:c>
      <x:c r="H112" s="13" t="str"/>
      <x:c r="I112" s="13" t="str"/>
      <x:c r="J112" s="13" t="str"/>
      <x:c r="K112" s="13" t="str"/>
      <x:c r="L112" s="13" t="str"/>
      <x:c r="M112" s="13" t="str"/>
      <x:c r="N112" s="13" t="str"/>
      <x:c r="O112" s="13" t="str">
        <x:f>IF(COUNT(I112:N112)&lt;6,"",SUM(I112:N112))</x:f>
      </x:c>
      <x:c r="P112" s="13" t="str">
        <x:f>IF(COUNT(H112,O112)&lt;2,"",H112-O112)</x:f>
      </x:c>
      <x:c r="Q112" s="13" t="str"/>
      <x:c r="R112" s="13" t="str"/>
      <x:c r="S112" s="13" t="str">
        <x:f>IF(R112=1,IF(COUNT(P112,Q112,N112)=3,IF(AND(ABS(P112)&lt;='Controls'!$D$67,Q112&lt;='Controls'!$D$66,N112&lt;='Controls'!$D$68),"PASS","FAIL"),"FAIL"),"OPEN")</x:f>
        <x:v>OPEN</x:v>
      </x:c>
    </x:row>
    <x:row r="113">
      <x:c r="B113" s="13" t="str">
        <x:v>RAS-SL-107</x:v>
      </x:c>
      <x:c r="C113" s="13" t="str">
        <x:v>RAS-E107</x:v>
      </x:c>
      <x:c r="D113" s="13" t="str">
        <x:v>AM-06</x:v>
      </x:c>
      <x:c r="E113" s="13" t="str">
        <x:v>TR-A</x:v>
      </x:c>
      <x:c r="F113" s="13" t="str">
        <x:v>RFP-C2</x:v>
      </x:c>
      <x:c r="G113" s="13" t="n">
        <x:v>500</x:v>
      </x:c>
      <x:c r="H113" s="13" t="str"/>
      <x:c r="I113" s="13" t="str"/>
      <x:c r="J113" s="13" t="str"/>
      <x:c r="K113" s="13" t="str"/>
      <x:c r="L113" s="13" t="str"/>
      <x:c r="M113" s="13" t="str"/>
      <x:c r="N113" s="13" t="str"/>
      <x:c r="O113" s="13" t="str">
        <x:f>IF(COUNT(I113:N113)&lt;6,"",SUM(I113:N113))</x:f>
      </x:c>
      <x:c r="P113" s="13" t="str">
        <x:f>IF(COUNT(H113,O113)&lt;2,"",H113-O113)</x:f>
      </x:c>
      <x:c r="Q113" s="13" t="str"/>
      <x:c r="R113" s="13" t="str"/>
      <x:c r="S113" s="13" t="str">
        <x:f>IF(R113=1,IF(COUNT(P113,Q113,N113)=3,IF(AND(ABS(P113)&lt;='Controls'!$D$67,Q113&lt;='Controls'!$D$66,N113&lt;='Controls'!$D$68),"PASS","FAIL"),"FAIL"),"OPEN")</x:f>
        <x:v>OPEN</x:v>
      </x:c>
    </x:row>
    <x:row r="114">
      <x:c r="B114" s="13" t="str">
        <x:v>RAS-SL-108</x:v>
      </x:c>
      <x:c r="C114" s="13" t="str">
        <x:v>RAS-E108</x:v>
      </x:c>
      <x:c r="D114" s="13" t="str">
        <x:v>AM-06</x:v>
      </x:c>
      <x:c r="E114" s="13" t="str">
        <x:v>TR-A</x:v>
      </x:c>
      <x:c r="F114" s="13" t="str">
        <x:v>RFP-C2</x:v>
      </x:c>
      <x:c r="G114" s="13" t="n">
        <x:v>500</x:v>
      </x:c>
      <x:c r="H114" s="13" t="str"/>
      <x:c r="I114" s="13" t="str"/>
      <x:c r="J114" s="13" t="str"/>
      <x:c r="K114" s="13" t="str"/>
      <x:c r="L114" s="13" t="str"/>
      <x:c r="M114" s="13" t="str"/>
      <x:c r="N114" s="13" t="str"/>
      <x:c r="O114" s="13" t="str">
        <x:f>IF(COUNT(I114:N114)&lt;6,"",SUM(I114:N114))</x:f>
      </x:c>
      <x:c r="P114" s="13" t="str">
        <x:f>IF(COUNT(H114,O114)&lt;2,"",H114-O114)</x:f>
      </x:c>
      <x:c r="Q114" s="13" t="str"/>
      <x:c r="R114" s="13" t="str"/>
      <x:c r="S114" s="13" t="str">
        <x:f>IF(R114=1,IF(COUNT(P114,Q114,N114)=3,IF(AND(ABS(P114)&lt;='Controls'!$D$67,Q114&lt;='Controls'!$D$66,N114&lt;='Controls'!$D$68),"PASS","FAIL"),"FAIL"),"OPEN")</x:f>
        <x:v>OPEN</x:v>
      </x:c>
    </x:row>
    <x:row r="115">
      <x:c r="B115" s="13" t="str">
        <x:v>RAS-SL-109</x:v>
      </x:c>
      <x:c r="C115" s="13" t="str">
        <x:v>RAS-E109</x:v>
      </x:c>
      <x:c r="D115" s="13" t="str">
        <x:v>AM-06</x:v>
      </x:c>
      <x:c r="E115" s="13" t="str">
        <x:v>TR-B</x:v>
      </x:c>
      <x:c r="F115" s="13" t="str">
        <x:v>RFP-A1</x:v>
      </x:c>
      <x:c r="G115" s="13" t="n">
        <x:v>0</x:v>
      </x:c>
      <x:c r="H115" s="13" t="str"/>
      <x:c r="I115" s="13" t="str"/>
      <x:c r="J115" s="13" t="str"/>
      <x:c r="K115" s="13" t="str"/>
      <x:c r="L115" s="13" t="str"/>
      <x:c r="M115" s="13" t="str"/>
      <x:c r="N115" s="13" t="str"/>
      <x:c r="O115" s="13" t="str">
        <x:f>IF(COUNT(I115:N115)&lt;6,"",SUM(I115:N115))</x:f>
      </x:c>
      <x:c r="P115" s="13" t="str">
        <x:f>IF(COUNT(H115,O115)&lt;2,"",H115-O115)</x:f>
      </x:c>
      <x:c r="Q115" s="13" t="str"/>
      <x:c r="R115" s="13" t="str"/>
      <x:c r="S115" s="13" t="str">
        <x:f>IF(R115=1,IF(COUNT(P115,Q115,N115)=3,IF(AND(ABS(P115)&lt;='Controls'!$D$67,Q115&lt;='Controls'!$D$66,N115&lt;='Controls'!$D$68),"PASS","FAIL"),"FAIL"),"OPEN")</x:f>
        <x:v>OPEN</x:v>
      </x:c>
    </x:row>
    <x:row r="116">
      <x:c r="B116" s="13" t="str">
        <x:v>RAS-SL-110</x:v>
      </x:c>
      <x:c r="C116" s="13" t="str">
        <x:v>RAS-E110</x:v>
      </x:c>
      <x:c r="D116" s="13" t="str">
        <x:v>AM-06</x:v>
      </x:c>
      <x:c r="E116" s="13" t="str">
        <x:v>TR-B</x:v>
      </x:c>
      <x:c r="F116" s="13" t="str">
        <x:v>RFP-A1</x:v>
      </x:c>
      <x:c r="G116" s="13" t="n">
        <x:v>100</x:v>
      </x:c>
      <x:c r="H116" s="13" t="str"/>
      <x:c r="I116" s="13" t="str"/>
      <x:c r="J116" s="13" t="str"/>
      <x:c r="K116" s="13" t="str"/>
      <x:c r="L116" s="13" t="str"/>
      <x:c r="M116" s="13" t="str"/>
      <x:c r="N116" s="13" t="str"/>
      <x:c r="O116" s="13" t="str">
        <x:f>IF(COUNT(I116:N116)&lt;6,"",SUM(I116:N116))</x:f>
      </x:c>
      <x:c r="P116" s="13" t="str">
        <x:f>IF(COUNT(H116,O116)&lt;2,"",H116-O116)</x:f>
      </x:c>
      <x:c r="Q116" s="13" t="str"/>
      <x:c r="R116" s="13" t="str"/>
      <x:c r="S116" s="13" t="str">
        <x:f>IF(R116=1,IF(COUNT(P116,Q116,N116)=3,IF(AND(ABS(P116)&lt;='Controls'!$D$67,Q116&lt;='Controls'!$D$66,N116&lt;='Controls'!$D$68),"PASS","FAIL"),"FAIL"),"OPEN")</x:f>
        <x:v>OPEN</x:v>
      </x:c>
    </x:row>
    <x:row r="117">
      <x:c r="B117" s="13" t="str">
        <x:v>RAS-SL-111</x:v>
      </x:c>
      <x:c r="C117" s="13" t="str">
        <x:v>RAS-E111</x:v>
      </x:c>
      <x:c r="D117" s="13" t="str">
        <x:v>AM-06</x:v>
      </x:c>
      <x:c r="E117" s="13" t="str">
        <x:v>TR-B</x:v>
      </x:c>
      <x:c r="F117" s="13" t="str">
        <x:v>RFP-A1</x:v>
      </x:c>
      <x:c r="G117" s="13" t="n">
        <x:v>250</x:v>
      </x:c>
      <x:c r="H117" s="13" t="str"/>
      <x:c r="I117" s="13" t="str"/>
      <x:c r="J117" s="13" t="str"/>
      <x:c r="K117" s="13" t="str"/>
      <x:c r="L117" s="13" t="str"/>
      <x:c r="M117" s="13" t="str"/>
      <x:c r="N117" s="13" t="str"/>
      <x:c r="O117" s="13" t="str">
        <x:f>IF(COUNT(I117:N117)&lt;6,"",SUM(I117:N117))</x:f>
      </x:c>
      <x:c r="P117" s="13" t="str">
        <x:f>IF(COUNT(H117,O117)&lt;2,"",H117-O117)</x:f>
      </x:c>
      <x:c r="Q117" s="13" t="str"/>
      <x:c r="R117" s="13" t="str"/>
      <x:c r="S117" s="13" t="str">
        <x:f>IF(R117=1,IF(COUNT(P117,Q117,N117)=3,IF(AND(ABS(P117)&lt;='Controls'!$D$67,Q117&lt;='Controls'!$D$66,N117&lt;='Controls'!$D$68),"PASS","FAIL"),"FAIL"),"OPEN")</x:f>
        <x:v>OPEN</x:v>
      </x:c>
    </x:row>
    <x:row r="118">
      <x:c r="B118" s="13" t="str">
        <x:v>RAS-SL-112</x:v>
      </x:c>
      <x:c r="C118" s="13" t="str">
        <x:v>RAS-E112</x:v>
      </x:c>
      <x:c r="D118" s="13" t="str">
        <x:v>AM-06</x:v>
      </x:c>
      <x:c r="E118" s="13" t="str">
        <x:v>TR-B</x:v>
      </x:c>
      <x:c r="F118" s="13" t="str">
        <x:v>RFP-A1</x:v>
      </x:c>
      <x:c r="G118" s="13" t="n">
        <x:v>500</x:v>
      </x:c>
      <x:c r="H118" s="13" t="str"/>
      <x:c r="I118" s="13" t="str"/>
      <x:c r="J118" s="13" t="str"/>
      <x:c r="K118" s="13" t="str"/>
      <x:c r="L118" s="13" t="str"/>
      <x:c r="M118" s="13" t="str"/>
      <x:c r="N118" s="13" t="str"/>
      <x:c r="O118" s="13" t="str">
        <x:f>IF(COUNT(I118:N118)&lt;6,"",SUM(I118:N118))</x:f>
      </x:c>
      <x:c r="P118" s="13" t="str">
        <x:f>IF(COUNT(H118,O118)&lt;2,"",H118-O118)</x:f>
      </x:c>
      <x:c r="Q118" s="13" t="str"/>
      <x:c r="R118" s="13" t="str"/>
      <x:c r="S118" s="13" t="str">
        <x:f>IF(R118=1,IF(COUNT(P118,Q118,N118)=3,IF(AND(ABS(P118)&lt;='Controls'!$D$67,Q118&lt;='Controls'!$D$66,N118&lt;='Controls'!$D$68),"PASS","FAIL"),"FAIL"),"OPEN")</x:f>
        <x:v>OPEN</x:v>
      </x:c>
    </x:row>
    <x:row r="119">
      <x:c r="B119" s="13" t="str">
        <x:v>RAS-SL-113</x:v>
      </x:c>
      <x:c r="C119" s="13" t="str">
        <x:v>RAS-E113</x:v>
      </x:c>
      <x:c r="D119" s="13" t="str">
        <x:v>AM-06</x:v>
      </x:c>
      <x:c r="E119" s="13" t="str">
        <x:v>TR-B</x:v>
      </x:c>
      <x:c r="F119" s="13" t="str">
        <x:v>RFP-A1</x:v>
      </x:c>
      <x:c r="G119" s="13" t="n">
        <x:v>500</x:v>
      </x:c>
      <x:c r="H119" s="13" t="str"/>
      <x:c r="I119" s="13" t="str"/>
      <x:c r="J119" s="13" t="str"/>
      <x:c r="K119" s="13" t="str"/>
      <x:c r="L119" s="13" t="str"/>
      <x:c r="M119" s="13" t="str"/>
      <x:c r="N119" s="13" t="str"/>
      <x:c r="O119" s="13" t="str">
        <x:f>IF(COUNT(I119:N119)&lt;6,"",SUM(I119:N119))</x:f>
      </x:c>
      <x:c r="P119" s="13" t="str">
        <x:f>IF(COUNT(H119,O119)&lt;2,"",H119-O119)</x:f>
      </x:c>
      <x:c r="Q119" s="13" t="str"/>
      <x:c r="R119" s="13" t="str"/>
      <x:c r="S119" s="13" t="str">
        <x:f>IF(R119=1,IF(COUNT(P119,Q119,N119)=3,IF(AND(ABS(P119)&lt;='Controls'!$D$67,Q119&lt;='Controls'!$D$66,N119&lt;='Controls'!$D$68),"PASS","FAIL"),"FAIL"),"OPEN")</x:f>
        <x:v>OPEN</x:v>
      </x:c>
    </x:row>
    <x:row r="120">
      <x:c r="B120" s="13" t="str">
        <x:v>RAS-SL-114</x:v>
      </x:c>
      <x:c r="C120" s="13" t="str">
        <x:v>RAS-E114</x:v>
      </x:c>
      <x:c r="D120" s="13" t="str">
        <x:v>AM-06</x:v>
      </x:c>
      <x:c r="E120" s="13" t="str">
        <x:v>TR-B</x:v>
      </x:c>
      <x:c r="F120" s="13" t="str">
        <x:v>RFP-A1</x:v>
      </x:c>
      <x:c r="G120" s="13" t="n">
        <x:v>500</x:v>
      </x:c>
      <x:c r="H120" s="13" t="str"/>
      <x:c r="I120" s="13" t="str"/>
      <x:c r="J120" s="13" t="str"/>
      <x:c r="K120" s="13" t="str"/>
      <x:c r="L120" s="13" t="str"/>
      <x:c r="M120" s="13" t="str"/>
      <x:c r="N120" s="13" t="str"/>
      <x:c r="O120" s="13" t="str">
        <x:f>IF(COUNT(I120:N120)&lt;6,"",SUM(I120:N120))</x:f>
      </x:c>
      <x:c r="P120" s="13" t="str">
        <x:f>IF(COUNT(H120,O120)&lt;2,"",H120-O120)</x:f>
      </x:c>
      <x:c r="Q120" s="13" t="str"/>
      <x:c r="R120" s="13" t="str"/>
      <x:c r="S120" s="13" t="str">
        <x:f>IF(R120=1,IF(COUNT(P120,Q120,N120)=3,IF(AND(ABS(P120)&lt;='Controls'!$D$67,Q120&lt;='Controls'!$D$66,N120&lt;='Controls'!$D$68),"PASS","FAIL"),"FAIL"),"OPEN")</x:f>
        <x:v>OPEN</x:v>
      </x:c>
    </x:row>
    <x:row r="121">
      <x:c r="B121" s="13" t="str">
        <x:v>RAS-SL-115</x:v>
      </x:c>
      <x:c r="C121" s="13" t="str">
        <x:v>RAS-E115</x:v>
      </x:c>
      <x:c r="D121" s="13" t="str">
        <x:v>AM-06</x:v>
      </x:c>
      <x:c r="E121" s="13" t="str">
        <x:v>TR-B</x:v>
      </x:c>
      <x:c r="F121" s="13" t="str">
        <x:v>RFP-A2</x:v>
      </x:c>
      <x:c r="G121" s="13" t="n">
        <x:v>0</x:v>
      </x:c>
      <x:c r="H121" s="13" t="str"/>
      <x:c r="I121" s="13" t="str"/>
      <x:c r="J121" s="13" t="str"/>
      <x:c r="K121" s="13" t="str"/>
      <x:c r="L121" s="13" t="str"/>
      <x:c r="M121" s="13" t="str"/>
      <x:c r="N121" s="13" t="str"/>
      <x:c r="O121" s="13" t="str">
        <x:f>IF(COUNT(I121:N121)&lt;6,"",SUM(I121:N121))</x:f>
      </x:c>
      <x:c r="P121" s="13" t="str">
        <x:f>IF(COUNT(H121,O121)&lt;2,"",H121-O121)</x:f>
      </x:c>
      <x:c r="Q121" s="13" t="str"/>
      <x:c r="R121" s="13" t="str"/>
      <x:c r="S121" s="13" t="str">
        <x:f>IF(R121=1,IF(COUNT(P121,Q121,N121)=3,IF(AND(ABS(P121)&lt;='Controls'!$D$67,Q121&lt;='Controls'!$D$66,N121&lt;='Controls'!$D$68),"PASS","FAIL"),"FAIL"),"OPEN")</x:f>
        <x:v>OPEN</x:v>
      </x:c>
    </x:row>
    <x:row r="122">
      <x:c r="B122" s="13" t="str">
        <x:v>RAS-SL-116</x:v>
      </x:c>
      <x:c r="C122" s="13" t="str">
        <x:v>RAS-E116</x:v>
      </x:c>
      <x:c r="D122" s="13" t="str">
        <x:v>AM-06</x:v>
      </x:c>
      <x:c r="E122" s="13" t="str">
        <x:v>TR-B</x:v>
      </x:c>
      <x:c r="F122" s="13" t="str">
        <x:v>RFP-A2</x:v>
      </x:c>
      <x:c r="G122" s="13" t="n">
        <x:v>100</x:v>
      </x:c>
      <x:c r="H122" s="13" t="str"/>
      <x:c r="I122" s="13" t="str"/>
      <x:c r="J122" s="13" t="str"/>
      <x:c r="K122" s="13" t="str"/>
      <x:c r="L122" s="13" t="str"/>
      <x:c r="M122" s="13" t="str"/>
      <x:c r="N122" s="13" t="str"/>
      <x:c r="O122" s="13" t="str">
        <x:f>IF(COUNT(I122:N122)&lt;6,"",SUM(I122:N122))</x:f>
      </x:c>
      <x:c r="P122" s="13" t="str">
        <x:f>IF(COUNT(H122,O122)&lt;2,"",H122-O122)</x:f>
      </x:c>
      <x:c r="Q122" s="13" t="str"/>
      <x:c r="R122" s="13" t="str"/>
      <x:c r="S122" s="13" t="str">
        <x:f>IF(R122=1,IF(COUNT(P122,Q122,N122)=3,IF(AND(ABS(P122)&lt;='Controls'!$D$67,Q122&lt;='Controls'!$D$66,N122&lt;='Controls'!$D$68),"PASS","FAIL"),"FAIL"),"OPEN")</x:f>
        <x:v>OPEN</x:v>
      </x:c>
    </x:row>
    <x:row r="123">
      <x:c r="B123" s="13" t="str">
        <x:v>RAS-SL-117</x:v>
      </x:c>
      <x:c r="C123" s="13" t="str">
        <x:v>RAS-E117</x:v>
      </x:c>
      <x:c r="D123" s="13" t="str">
        <x:v>AM-06</x:v>
      </x:c>
      <x:c r="E123" s="13" t="str">
        <x:v>TR-B</x:v>
      </x:c>
      <x:c r="F123" s="13" t="str">
        <x:v>RFP-A2</x:v>
      </x:c>
      <x:c r="G123" s="13" t="n">
        <x:v>250</x:v>
      </x:c>
      <x:c r="H123" s="13" t="str"/>
      <x:c r="I123" s="13" t="str"/>
      <x:c r="J123" s="13" t="str"/>
      <x:c r="K123" s="13" t="str"/>
      <x:c r="L123" s="13" t="str"/>
      <x:c r="M123" s="13" t="str"/>
      <x:c r="N123" s="13" t="str"/>
      <x:c r="O123" s="13" t="str">
        <x:f>IF(COUNT(I123:N123)&lt;6,"",SUM(I123:N123))</x:f>
      </x:c>
      <x:c r="P123" s="13" t="str">
        <x:f>IF(COUNT(H123,O123)&lt;2,"",H123-O123)</x:f>
      </x:c>
      <x:c r="Q123" s="13" t="str"/>
      <x:c r="R123" s="13" t="str"/>
      <x:c r="S123" s="13" t="str">
        <x:f>IF(R123=1,IF(COUNT(P123,Q123,N123)=3,IF(AND(ABS(P123)&lt;='Controls'!$D$67,Q123&lt;='Controls'!$D$66,N123&lt;='Controls'!$D$68),"PASS","FAIL"),"FAIL"),"OPEN")</x:f>
        <x:v>OPEN</x:v>
      </x:c>
    </x:row>
    <x:row r="124">
      <x:c r="B124" s="13" t="str">
        <x:v>RAS-SL-118</x:v>
      </x:c>
      <x:c r="C124" s="13" t="str">
        <x:v>RAS-E118</x:v>
      </x:c>
      <x:c r="D124" s="13" t="str">
        <x:v>AM-06</x:v>
      </x:c>
      <x:c r="E124" s="13" t="str">
        <x:v>TR-B</x:v>
      </x:c>
      <x:c r="F124" s="13" t="str">
        <x:v>RFP-A2</x:v>
      </x:c>
      <x:c r="G124" s="13" t="n">
        <x:v>500</x:v>
      </x:c>
      <x:c r="H124" s="13" t="str"/>
      <x:c r="I124" s="13" t="str"/>
      <x:c r="J124" s="13" t="str"/>
      <x:c r="K124" s="13" t="str"/>
      <x:c r="L124" s="13" t="str"/>
      <x:c r="M124" s="13" t="str"/>
      <x:c r="N124" s="13" t="str"/>
      <x:c r="O124" s="13" t="str">
        <x:f>IF(COUNT(I124:N124)&lt;6,"",SUM(I124:N124))</x:f>
      </x:c>
      <x:c r="P124" s="13" t="str">
        <x:f>IF(COUNT(H124,O124)&lt;2,"",H124-O124)</x:f>
      </x:c>
      <x:c r="Q124" s="13" t="str"/>
      <x:c r="R124" s="13" t="str"/>
      <x:c r="S124" s="13" t="str">
        <x:f>IF(R124=1,IF(COUNT(P124,Q124,N124)=3,IF(AND(ABS(P124)&lt;='Controls'!$D$67,Q124&lt;='Controls'!$D$66,N124&lt;='Controls'!$D$68),"PASS","FAIL"),"FAIL"),"OPEN")</x:f>
        <x:v>OPEN</x:v>
      </x:c>
    </x:row>
    <x:row r="125">
      <x:c r="B125" s="13" t="str">
        <x:v>RAS-SL-119</x:v>
      </x:c>
      <x:c r="C125" s="13" t="str">
        <x:v>RAS-E119</x:v>
      </x:c>
      <x:c r="D125" s="13" t="str">
        <x:v>AM-06</x:v>
      </x:c>
      <x:c r="E125" s="13" t="str">
        <x:v>TR-B</x:v>
      </x:c>
      <x:c r="F125" s="13" t="str">
        <x:v>RFP-A2</x:v>
      </x:c>
      <x:c r="G125" s="13" t="n">
        <x:v>500</x:v>
      </x:c>
      <x:c r="H125" s="13" t="str"/>
      <x:c r="I125" s="13" t="str"/>
      <x:c r="J125" s="13" t="str"/>
      <x:c r="K125" s="13" t="str"/>
      <x:c r="L125" s="13" t="str"/>
      <x:c r="M125" s="13" t="str"/>
      <x:c r="N125" s="13" t="str"/>
      <x:c r="O125" s="13" t="str">
        <x:f>IF(COUNT(I125:N125)&lt;6,"",SUM(I125:N125))</x:f>
      </x:c>
      <x:c r="P125" s="13" t="str">
        <x:f>IF(COUNT(H125,O125)&lt;2,"",H125-O125)</x:f>
      </x:c>
      <x:c r="Q125" s="13" t="str"/>
      <x:c r="R125" s="13" t="str"/>
      <x:c r="S125" s="13" t="str">
        <x:f>IF(R125=1,IF(COUNT(P125,Q125,N125)=3,IF(AND(ABS(P125)&lt;='Controls'!$D$67,Q125&lt;='Controls'!$D$66,N125&lt;='Controls'!$D$68),"PASS","FAIL"),"FAIL"),"OPEN")</x:f>
        <x:v>OPEN</x:v>
      </x:c>
    </x:row>
    <x:row r="126">
      <x:c r="B126" s="13" t="str">
        <x:v>RAS-SL-120</x:v>
      </x:c>
      <x:c r="C126" s="13" t="str">
        <x:v>RAS-E120</x:v>
      </x:c>
      <x:c r="D126" s="13" t="str">
        <x:v>AM-06</x:v>
      </x:c>
      <x:c r="E126" s="13" t="str">
        <x:v>TR-B</x:v>
      </x:c>
      <x:c r="F126" s="13" t="str">
        <x:v>RFP-A2</x:v>
      </x:c>
      <x:c r="G126" s="13" t="n">
        <x:v>500</x:v>
      </x:c>
      <x:c r="H126" s="13" t="str"/>
      <x:c r="I126" s="13" t="str"/>
      <x:c r="J126" s="13" t="str"/>
      <x:c r="K126" s="13" t="str"/>
      <x:c r="L126" s="13" t="str"/>
      <x:c r="M126" s="13" t="str"/>
      <x:c r="N126" s="13" t="str"/>
      <x:c r="O126" s="13" t="str">
        <x:f>IF(COUNT(I126:N126)&lt;6,"",SUM(I126:N126))</x:f>
      </x:c>
      <x:c r="P126" s="13" t="str">
        <x:f>IF(COUNT(H126,O126)&lt;2,"",H126-O126)</x:f>
      </x:c>
      <x:c r="Q126" s="13" t="str"/>
      <x:c r="R126" s="13" t="str"/>
      <x:c r="S126" s="13" t="str">
        <x:f>IF(R126=1,IF(COUNT(P126,Q126,N126)=3,IF(AND(ABS(P126)&lt;='Controls'!$D$67,Q126&lt;='Controls'!$D$66,N126&lt;='Controls'!$D$68),"PASS","FAIL"),"FAIL"),"OPEN")</x:f>
        <x:v>OPEN</x:v>
      </x:c>
    </x:row>
    <x:row r="127">
      <x:c r="B127" s="13" t="str">
        <x:v>RAS-SL-121</x:v>
      </x:c>
      <x:c r="C127" s="13" t="str">
        <x:v>RAS-E121</x:v>
      </x:c>
      <x:c r="D127" s="13" t="str">
        <x:v>AM-06</x:v>
      </x:c>
      <x:c r="E127" s="13" t="str">
        <x:v>TR-B</x:v>
      </x:c>
      <x:c r="F127" s="13" t="str">
        <x:v>RFP-B1</x:v>
      </x:c>
      <x:c r="G127" s="13" t="n">
        <x:v>0</x:v>
      </x:c>
      <x:c r="H127" s="13" t="str"/>
      <x:c r="I127" s="13" t="str"/>
      <x:c r="J127" s="13" t="str"/>
      <x:c r="K127" s="13" t="str"/>
      <x:c r="L127" s="13" t="str"/>
      <x:c r="M127" s="13" t="str"/>
      <x:c r="N127" s="13" t="str"/>
      <x:c r="O127" s="13" t="str">
        <x:f>IF(COUNT(I127:N127)&lt;6,"",SUM(I127:N127))</x:f>
      </x:c>
      <x:c r="P127" s="13" t="str">
        <x:f>IF(COUNT(H127,O127)&lt;2,"",H127-O127)</x:f>
      </x:c>
      <x:c r="Q127" s="13" t="str"/>
      <x:c r="R127" s="13" t="str"/>
      <x:c r="S127" s="13" t="str">
        <x:f>IF(R127=1,IF(COUNT(P127,Q127,N127)=3,IF(AND(ABS(P127)&lt;='Controls'!$D$67,Q127&lt;='Controls'!$D$66,N127&lt;='Controls'!$D$68),"PASS","FAIL"),"FAIL"),"OPEN")</x:f>
        <x:v>OPEN</x:v>
      </x:c>
    </x:row>
    <x:row r="128">
      <x:c r="B128" s="13" t="str">
        <x:v>RAS-SL-122</x:v>
      </x:c>
      <x:c r="C128" s="13" t="str">
        <x:v>RAS-E122</x:v>
      </x:c>
      <x:c r="D128" s="13" t="str">
        <x:v>AM-06</x:v>
      </x:c>
      <x:c r="E128" s="13" t="str">
        <x:v>TR-B</x:v>
      </x:c>
      <x:c r="F128" s="13" t="str">
        <x:v>RFP-B1</x:v>
      </x:c>
      <x:c r="G128" s="13" t="n">
        <x:v>100</x:v>
      </x:c>
      <x:c r="H128" s="13" t="str"/>
      <x:c r="I128" s="13" t="str"/>
      <x:c r="J128" s="13" t="str"/>
      <x:c r="K128" s="13" t="str"/>
      <x:c r="L128" s="13" t="str"/>
      <x:c r="M128" s="13" t="str"/>
      <x:c r="N128" s="13" t="str"/>
      <x:c r="O128" s="13" t="str">
        <x:f>IF(COUNT(I128:N128)&lt;6,"",SUM(I128:N128))</x:f>
      </x:c>
      <x:c r="P128" s="13" t="str">
        <x:f>IF(COUNT(H128,O128)&lt;2,"",H128-O128)</x:f>
      </x:c>
      <x:c r="Q128" s="13" t="str"/>
      <x:c r="R128" s="13" t="str"/>
      <x:c r="S128" s="13" t="str">
        <x:f>IF(R128=1,IF(COUNT(P128,Q128,N128)=3,IF(AND(ABS(P128)&lt;='Controls'!$D$67,Q128&lt;='Controls'!$D$66,N128&lt;='Controls'!$D$68),"PASS","FAIL"),"FAIL"),"OPEN")</x:f>
        <x:v>OPEN</x:v>
      </x:c>
    </x:row>
    <x:row r="129">
      <x:c r="B129" s="13" t="str">
        <x:v>RAS-SL-123</x:v>
      </x:c>
      <x:c r="C129" s="13" t="str">
        <x:v>RAS-E123</x:v>
      </x:c>
      <x:c r="D129" s="13" t="str">
        <x:v>AM-06</x:v>
      </x:c>
      <x:c r="E129" s="13" t="str">
        <x:v>TR-B</x:v>
      </x:c>
      <x:c r="F129" s="13" t="str">
        <x:v>RFP-B1</x:v>
      </x:c>
      <x:c r="G129" s="13" t="n">
        <x:v>250</x:v>
      </x:c>
      <x:c r="H129" s="13" t="str"/>
      <x:c r="I129" s="13" t="str"/>
      <x:c r="J129" s="13" t="str"/>
      <x:c r="K129" s="13" t="str"/>
      <x:c r="L129" s="13" t="str"/>
      <x:c r="M129" s="13" t="str"/>
      <x:c r="N129" s="13" t="str"/>
      <x:c r="O129" s="13" t="str">
        <x:f>IF(COUNT(I129:N129)&lt;6,"",SUM(I129:N129))</x:f>
      </x:c>
      <x:c r="P129" s="13" t="str">
        <x:f>IF(COUNT(H129,O129)&lt;2,"",H129-O129)</x:f>
      </x:c>
      <x:c r="Q129" s="13" t="str"/>
      <x:c r="R129" s="13" t="str"/>
      <x:c r="S129" s="13" t="str">
        <x:f>IF(R129=1,IF(COUNT(P129,Q129,N129)=3,IF(AND(ABS(P129)&lt;='Controls'!$D$67,Q129&lt;='Controls'!$D$66,N129&lt;='Controls'!$D$68),"PASS","FAIL"),"FAIL"),"OPEN")</x:f>
        <x:v>OPEN</x:v>
      </x:c>
    </x:row>
    <x:row r="130">
      <x:c r="B130" s="13" t="str">
        <x:v>RAS-SL-124</x:v>
      </x:c>
      <x:c r="C130" s="13" t="str">
        <x:v>RAS-E124</x:v>
      </x:c>
      <x:c r="D130" s="13" t="str">
        <x:v>AM-06</x:v>
      </x:c>
      <x:c r="E130" s="13" t="str">
        <x:v>TR-B</x:v>
      </x:c>
      <x:c r="F130" s="13" t="str">
        <x:v>RFP-B1</x:v>
      </x:c>
      <x:c r="G130" s="13" t="n">
        <x:v>500</x:v>
      </x:c>
      <x:c r="H130" s="13" t="str"/>
      <x:c r="I130" s="13" t="str"/>
      <x:c r="J130" s="13" t="str"/>
      <x:c r="K130" s="13" t="str"/>
      <x:c r="L130" s="13" t="str"/>
      <x:c r="M130" s="13" t="str"/>
      <x:c r="N130" s="13" t="str"/>
      <x:c r="O130" s="13" t="str">
        <x:f>IF(COUNT(I130:N130)&lt;6,"",SUM(I130:N130))</x:f>
      </x:c>
      <x:c r="P130" s="13" t="str">
        <x:f>IF(COUNT(H130,O130)&lt;2,"",H130-O130)</x:f>
      </x:c>
      <x:c r="Q130" s="13" t="str"/>
      <x:c r="R130" s="13" t="str"/>
      <x:c r="S130" s="13" t="str">
        <x:f>IF(R130=1,IF(COUNT(P130,Q130,N130)=3,IF(AND(ABS(P130)&lt;='Controls'!$D$67,Q130&lt;='Controls'!$D$66,N130&lt;='Controls'!$D$68),"PASS","FAIL"),"FAIL"),"OPEN")</x:f>
        <x:v>OPEN</x:v>
      </x:c>
    </x:row>
    <x:row r="131">
      <x:c r="B131" s="13" t="str">
        <x:v>RAS-SL-125</x:v>
      </x:c>
      <x:c r="C131" s="13" t="str">
        <x:v>RAS-E125</x:v>
      </x:c>
      <x:c r="D131" s="13" t="str">
        <x:v>AM-06</x:v>
      </x:c>
      <x:c r="E131" s="13" t="str">
        <x:v>TR-B</x:v>
      </x:c>
      <x:c r="F131" s="13" t="str">
        <x:v>RFP-B1</x:v>
      </x:c>
      <x:c r="G131" s="13" t="n">
        <x:v>500</x:v>
      </x:c>
      <x:c r="H131" s="13" t="str"/>
      <x:c r="I131" s="13" t="str"/>
      <x:c r="J131" s="13" t="str"/>
      <x:c r="K131" s="13" t="str"/>
      <x:c r="L131" s="13" t="str"/>
      <x:c r="M131" s="13" t="str"/>
      <x:c r="N131" s="13" t="str"/>
      <x:c r="O131" s="13" t="str">
        <x:f>IF(COUNT(I131:N131)&lt;6,"",SUM(I131:N131))</x:f>
      </x:c>
      <x:c r="P131" s="13" t="str">
        <x:f>IF(COUNT(H131,O131)&lt;2,"",H131-O131)</x:f>
      </x:c>
      <x:c r="Q131" s="13" t="str"/>
      <x:c r="R131" s="13" t="str"/>
      <x:c r="S131" s="13" t="str">
        <x:f>IF(R131=1,IF(COUNT(P131,Q131,N131)=3,IF(AND(ABS(P131)&lt;='Controls'!$D$67,Q131&lt;='Controls'!$D$66,N131&lt;='Controls'!$D$68),"PASS","FAIL"),"FAIL"),"OPEN")</x:f>
        <x:v>OPEN</x:v>
      </x:c>
    </x:row>
    <x:row r="132">
      <x:c r="B132" s="13" t="str">
        <x:v>RAS-SL-126</x:v>
      </x:c>
      <x:c r="C132" s="13" t="str">
        <x:v>RAS-E126</x:v>
      </x:c>
      <x:c r="D132" s="13" t="str">
        <x:v>AM-06</x:v>
      </x:c>
      <x:c r="E132" s="13" t="str">
        <x:v>TR-B</x:v>
      </x:c>
      <x:c r="F132" s="13" t="str">
        <x:v>RFP-B1</x:v>
      </x:c>
      <x:c r="G132" s="13" t="n">
        <x:v>500</x:v>
      </x:c>
      <x:c r="H132" s="13" t="str"/>
      <x:c r="I132" s="13" t="str"/>
      <x:c r="J132" s="13" t="str"/>
      <x:c r="K132" s="13" t="str"/>
      <x:c r="L132" s="13" t="str"/>
      <x:c r="M132" s="13" t="str"/>
      <x:c r="N132" s="13" t="str"/>
      <x:c r="O132" s="13" t="str">
        <x:f>IF(COUNT(I132:N132)&lt;6,"",SUM(I132:N132))</x:f>
      </x:c>
      <x:c r="P132" s="13" t="str">
        <x:f>IF(COUNT(H132,O132)&lt;2,"",H132-O132)</x:f>
      </x:c>
      <x:c r="Q132" s="13" t="str"/>
      <x:c r="R132" s="13" t="str"/>
      <x:c r="S132" s="13" t="str">
        <x:f>IF(R132=1,IF(COUNT(P132,Q132,N132)=3,IF(AND(ABS(P132)&lt;='Controls'!$D$67,Q132&lt;='Controls'!$D$66,N132&lt;='Controls'!$D$68),"PASS","FAIL"),"FAIL"),"OPEN")</x:f>
        <x:v>OPEN</x:v>
      </x:c>
    </x:row>
    <x:row r="133">
      <x:c r="B133" s="13" t="str">
        <x:v>RAS-SL-127</x:v>
      </x:c>
      <x:c r="C133" s="13" t="str">
        <x:v>RAS-E127</x:v>
      </x:c>
      <x:c r="D133" s="13" t="str">
        <x:v>AM-06</x:v>
      </x:c>
      <x:c r="E133" s="13" t="str">
        <x:v>TR-B</x:v>
      </x:c>
      <x:c r="F133" s="13" t="str">
        <x:v>RFP-B2</x:v>
      </x:c>
      <x:c r="G133" s="13" t="n">
        <x:v>0</x:v>
      </x:c>
      <x:c r="H133" s="13" t="str"/>
      <x:c r="I133" s="13" t="str"/>
      <x:c r="J133" s="13" t="str"/>
      <x:c r="K133" s="13" t="str"/>
      <x:c r="L133" s="13" t="str"/>
      <x:c r="M133" s="13" t="str"/>
      <x:c r="N133" s="13" t="str"/>
      <x:c r="O133" s="13" t="str">
        <x:f>IF(COUNT(I133:N133)&lt;6,"",SUM(I133:N133))</x:f>
      </x:c>
      <x:c r="P133" s="13" t="str">
        <x:f>IF(COUNT(H133,O133)&lt;2,"",H133-O133)</x:f>
      </x:c>
      <x:c r="Q133" s="13" t="str"/>
      <x:c r="R133" s="13" t="str"/>
      <x:c r="S133" s="13" t="str">
        <x:f>IF(R133=1,IF(COUNT(P133,Q133,N133)=3,IF(AND(ABS(P133)&lt;='Controls'!$D$67,Q133&lt;='Controls'!$D$66,N133&lt;='Controls'!$D$68),"PASS","FAIL"),"FAIL"),"OPEN")</x:f>
        <x:v>OPEN</x:v>
      </x:c>
    </x:row>
    <x:row r="134">
      <x:c r="B134" s="13" t="str">
        <x:v>RAS-SL-128</x:v>
      </x:c>
      <x:c r="C134" s="13" t="str">
        <x:v>RAS-E128</x:v>
      </x:c>
      <x:c r="D134" s="13" t="str">
        <x:v>AM-06</x:v>
      </x:c>
      <x:c r="E134" s="13" t="str">
        <x:v>TR-B</x:v>
      </x:c>
      <x:c r="F134" s="13" t="str">
        <x:v>RFP-B2</x:v>
      </x:c>
      <x:c r="G134" s="13" t="n">
        <x:v>100</x:v>
      </x:c>
      <x:c r="H134" s="13" t="str"/>
      <x:c r="I134" s="13" t="str"/>
      <x:c r="J134" s="13" t="str"/>
      <x:c r="K134" s="13" t="str"/>
      <x:c r="L134" s="13" t="str"/>
      <x:c r="M134" s="13" t="str"/>
      <x:c r="N134" s="13" t="str"/>
      <x:c r="O134" s="13" t="str">
        <x:f>IF(COUNT(I134:N134)&lt;6,"",SUM(I134:N134))</x:f>
      </x:c>
      <x:c r="P134" s="13" t="str">
        <x:f>IF(COUNT(H134,O134)&lt;2,"",H134-O134)</x:f>
      </x:c>
      <x:c r="Q134" s="13" t="str"/>
      <x:c r="R134" s="13" t="str"/>
      <x:c r="S134" s="13" t="str">
        <x:f>IF(R134=1,IF(COUNT(P134,Q134,N134)=3,IF(AND(ABS(P134)&lt;='Controls'!$D$67,Q134&lt;='Controls'!$D$66,N134&lt;='Controls'!$D$68),"PASS","FAIL"),"FAIL"),"OPEN")</x:f>
        <x:v>OPEN</x:v>
      </x:c>
    </x:row>
    <x:row r="135">
      <x:c r="B135" s="13" t="str">
        <x:v>RAS-SL-129</x:v>
      </x:c>
      <x:c r="C135" s="13" t="str">
        <x:v>RAS-E129</x:v>
      </x:c>
      <x:c r="D135" s="13" t="str">
        <x:v>AM-06</x:v>
      </x:c>
      <x:c r="E135" s="13" t="str">
        <x:v>TR-B</x:v>
      </x:c>
      <x:c r="F135" s="13" t="str">
        <x:v>RFP-B2</x:v>
      </x:c>
      <x:c r="G135" s="13" t="n">
        <x:v>250</x:v>
      </x:c>
      <x:c r="H135" s="13" t="str"/>
      <x:c r="I135" s="13" t="str"/>
      <x:c r="J135" s="13" t="str"/>
      <x:c r="K135" s="13" t="str"/>
      <x:c r="L135" s="13" t="str"/>
      <x:c r="M135" s="13" t="str"/>
      <x:c r="N135" s="13" t="str"/>
      <x:c r="O135" s="13" t="str">
        <x:f>IF(COUNT(I135:N135)&lt;6,"",SUM(I135:N135))</x:f>
      </x:c>
      <x:c r="P135" s="13" t="str">
        <x:f>IF(COUNT(H135,O135)&lt;2,"",H135-O135)</x:f>
      </x:c>
      <x:c r="Q135" s="13" t="str"/>
      <x:c r="R135" s="13" t="str"/>
      <x:c r="S135" s="13" t="str">
        <x:f>IF(R135=1,IF(COUNT(P135,Q135,N135)=3,IF(AND(ABS(P135)&lt;='Controls'!$D$67,Q135&lt;='Controls'!$D$66,N135&lt;='Controls'!$D$68),"PASS","FAIL"),"FAIL"),"OPEN")</x:f>
        <x:v>OPEN</x:v>
      </x:c>
    </x:row>
    <x:row r="136">
      <x:c r="B136" s="13" t="str">
        <x:v>RAS-SL-130</x:v>
      </x:c>
      <x:c r="C136" s="13" t="str">
        <x:v>RAS-E130</x:v>
      </x:c>
      <x:c r="D136" s="13" t="str">
        <x:v>AM-06</x:v>
      </x:c>
      <x:c r="E136" s="13" t="str">
        <x:v>TR-B</x:v>
      </x:c>
      <x:c r="F136" s="13" t="str">
        <x:v>RFP-B2</x:v>
      </x:c>
      <x:c r="G136" s="13" t="n">
        <x:v>500</x:v>
      </x:c>
      <x:c r="H136" s="13" t="str"/>
      <x:c r="I136" s="13" t="str"/>
      <x:c r="J136" s="13" t="str"/>
      <x:c r="K136" s="13" t="str"/>
      <x:c r="L136" s="13" t="str"/>
      <x:c r="M136" s="13" t="str"/>
      <x:c r="N136" s="13" t="str"/>
      <x:c r="O136" s="13" t="str">
        <x:f>IF(COUNT(I136:N136)&lt;6,"",SUM(I136:N136))</x:f>
      </x:c>
      <x:c r="P136" s="13" t="str">
        <x:f>IF(COUNT(H136,O136)&lt;2,"",H136-O136)</x:f>
      </x:c>
      <x:c r="Q136" s="13" t="str"/>
      <x:c r="R136" s="13" t="str"/>
      <x:c r="S136" s="13" t="str">
        <x:f>IF(R136=1,IF(COUNT(P136,Q136,N136)=3,IF(AND(ABS(P136)&lt;='Controls'!$D$67,Q136&lt;='Controls'!$D$66,N136&lt;='Controls'!$D$68),"PASS","FAIL"),"FAIL"),"OPEN")</x:f>
        <x:v>OPEN</x:v>
      </x:c>
    </x:row>
    <x:row r="137">
      <x:c r="B137" s="13" t="str">
        <x:v>RAS-SL-131</x:v>
      </x:c>
      <x:c r="C137" s="13" t="str">
        <x:v>RAS-E131</x:v>
      </x:c>
      <x:c r="D137" s="13" t="str">
        <x:v>AM-06</x:v>
      </x:c>
      <x:c r="E137" s="13" t="str">
        <x:v>TR-B</x:v>
      </x:c>
      <x:c r="F137" s="13" t="str">
        <x:v>RFP-B2</x:v>
      </x:c>
      <x:c r="G137" s="13" t="n">
        <x:v>500</x:v>
      </x:c>
      <x:c r="H137" s="13" t="str"/>
      <x:c r="I137" s="13" t="str"/>
      <x:c r="J137" s="13" t="str"/>
      <x:c r="K137" s="13" t="str"/>
      <x:c r="L137" s="13" t="str"/>
      <x:c r="M137" s="13" t="str"/>
      <x:c r="N137" s="13" t="str"/>
      <x:c r="O137" s="13" t="str">
        <x:f>IF(COUNT(I137:N137)&lt;6,"",SUM(I137:N137))</x:f>
      </x:c>
      <x:c r="P137" s="13" t="str">
        <x:f>IF(COUNT(H137,O137)&lt;2,"",H137-O137)</x:f>
      </x:c>
      <x:c r="Q137" s="13" t="str"/>
      <x:c r="R137" s="13" t="str"/>
      <x:c r="S137" s="13" t="str">
        <x:f>IF(R137=1,IF(COUNT(P137,Q137,N137)=3,IF(AND(ABS(P137)&lt;='Controls'!$D$67,Q137&lt;='Controls'!$D$66,N137&lt;='Controls'!$D$68),"PASS","FAIL"),"FAIL"),"OPEN")</x:f>
        <x:v>OPEN</x:v>
      </x:c>
    </x:row>
    <x:row r="138">
      <x:c r="B138" s="13" t="str">
        <x:v>RAS-SL-132</x:v>
      </x:c>
      <x:c r="C138" s="13" t="str">
        <x:v>RAS-E132</x:v>
      </x:c>
      <x:c r="D138" s="13" t="str">
        <x:v>AM-06</x:v>
      </x:c>
      <x:c r="E138" s="13" t="str">
        <x:v>TR-B</x:v>
      </x:c>
      <x:c r="F138" s="13" t="str">
        <x:v>RFP-B2</x:v>
      </x:c>
      <x:c r="G138" s="13" t="n">
        <x:v>500</x:v>
      </x:c>
      <x:c r="H138" s="13" t="str"/>
      <x:c r="I138" s="13" t="str"/>
      <x:c r="J138" s="13" t="str"/>
      <x:c r="K138" s="13" t="str"/>
      <x:c r="L138" s="13" t="str"/>
      <x:c r="M138" s="13" t="str"/>
      <x:c r="N138" s="13" t="str"/>
      <x:c r="O138" s="13" t="str">
        <x:f>IF(COUNT(I138:N138)&lt;6,"",SUM(I138:N138))</x:f>
      </x:c>
      <x:c r="P138" s="13" t="str">
        <x:f>IF(COUNT(H138,O138)&lt;2,"",H138-O138)</x:f>
      </x:c>
      <x:c r="Q138" s="13" t="str"/>
      <x:c r="R138" s="13" t="str"/>
      <x:c r="S138" s="13" t="str">
        <x:f>IF(R138=1,IF(COUNT(P138,Q138,N138)=3,IF(AND(ABS(P138)&lt;='Controls'!$D$67,Q138&lt;='Controls'!$D$66,N138&lt;='Controls'!$D$68),"PASS","FAIL"),"FAIL"),"OPEN")</x:f>
        <x:v>OPEN</x:v>
      </x:c>
    </x:row>
    <x:row r="139">
      <x:c r="B139" s="13" t="str">
        <x:v>RAS-SL-133</x:v>
      </x:c>
      <x:c r="C139" s="13" t="str">
        <x:v>RAS-E133</x:v>
      </x:c>
      <x:c r="D139" s="13" t="str">
        <x:v>AM-06</x:v>
      </x:c>
      <x:c r="E139" s="13" t="str">
        <x:v>TR-B</x:v>
      </x:c>
      <x:c r="F139" s="13" t="str">
        <x:v>RFP-C1</x:v>
      </x:c>
      <x:c r="G139" s="13" t="n">
        <x:v>0</x:v>
      </x:c>
      <x:c r="H139" s="13" t="str"/>
      <x:c r="I139" s="13" t="str"/>
      <x:c r="J139" s="13" t="str"/>
      <x:c r="K139" s="13" t="str"/>
      <x:c r="L139" s="13" t="str"/>
      <x:c r="M139" s="13" t="str"/>
      <x:c r="N139" s="13" t="str"/>
      <x:c r="O139" s="13" t="str">
        <x:f>IF(COUNT(I139:N139)&lt;6,"",SUM(I139:N139))</x:f>
      </x:c>
      <x:c r="P139" s="13" t="str">
        <x:f>IF(COUNT(H139,O139)&lt;2,"",H139-O139)</x:f>
      </x:c>
      <x:c r="Q139" s="13" t="str"/>
      <x:c r="R139" s="13" t="str"/>
      <x:c r="S139" s="13" t="str">
        <x:f>IF(R139=1,IF(COUNT(P139,Q139,N139)=3,IF(AND(ABS(P139)&lt;='Controls'!$D$67,Q139&lt;='Controls'!$D$66,N139&lt;='Controls'!$D$68),"PASS","FAIL"),"FAIL"),"OPEN")</x:f>
        <x:v>OPEN</x:v>
      </x:c>
    </x:row>
    <x:row r="140">
      <x:c r="B140" s="13" t="str">
        <x:v>RAS-SL-134</x:v>
      </x:c>
      <x:c r="C140" s="13" t="str">
        <x:v>RAS-E134</x:v>
      </x:c>
      <x:c r="D140" s="13" t="str">
        <x:v>AM-06</x:v>
      </x:c>
      <x:c r="E140" s="13" t="str">
        <x:v>TR-B</x:v>
      </x:c>
      <x:c r="F140" s="13" t="str">
        <x:v>RFP-C1</x:v>
      </x:c>
      <x:c r="G140" s="13" t="n">
        <x:v>100</x:v>
      </x:c>
      <x:c r="H140" s="13" t="str"/>
      <x:c r="I140" s="13" t="str"/>
      <x:c r="J140" s="13" t="str"/>
      <x:c r="K140" s="13" t="str"/>
      <x:c r="L140" s="13" t="str"/>
      <x:c r="M140" s="13" t="str"/>
      <x:c r="N140" s="13" t="str"/>
      <x:c r="O140" s="13" t="str">
        <x:f>IF(COUNT(I140:N140)&lt;6,"",SUM(I140:N140))</x:f>
      </x:c>
      <x:c r="P140" s="13" t="str">
        <x:f>IF(COUNT(H140,O140)&lt;2,"",H140-O140)</x:f>
      </x:c>
      <x:c r="Q140" s="13" t="str"/>
      <x:c r="R140" s="13" t="str"/>
      <x:c r="S140" s="13" t="str">
        <x:f>IF(R140=1,IF(COUNT(P140,Q140,N140)=3,IF(AND(ABS(P140)&lt;='Controls'!$D$67,Q140&lt;='Controls'!$D$66,N140&lt;='Controls'!$D$68),"PASS","FAIL"),"FAIL"),"OPEN")</x:f>
        <x:v>OPEN</x:v>
      </x:c>
    </x:row>
    <x:row r="141">
      <x:c r="B141" s="13" t="str">
        <x:v>RAS-SL-135</x:v>
      </x:c>
      <x:c r="C141" s="13" t="str">
        <x:v>RAS-E135</x:v>
      </x:c>
      <x:c r="D141" s="13" t="str">
        <x:v>AM-06</x:v>
      </x:c>
      <x:c r="E141" s="13" t="str">
        <x:v>TR-B</x:v>
      </x:c>
      <x:c r="F141" s="13" t="str">
        <x:v>RFP-C1</x:v>
      </x:c>
      <x:c r="G141" s="13" t="n">
        <x:v>250</x:v>
      </x:c>
      <x:c r="H141" s="13" t="str"/>
      <x:c r="I141" s="13" t="str"/>
      <x:c r="J141" s="13" t="str"/>
      <x:c r="K141" s="13" t="str"/>
      <x:c r="L141" s="13" t="str"/>
      <x:c r="M141" s="13" t="str"/>
      <x:c r="N141" s="13" t="str"/>
      <x:c r="O141" s="13" t="str">
        <x:f>IF(COUNT(I141:N141)&lt;6,"",SUM(I141:N141))</x:f>
      </x:c>
      <x:c r="P141" s="13" t="str">
        <x:f>IF(COUNT(H141,O141)&lt;2,"",H141-O141)</x:f>
      </x:c>
      <x:c r="Q141" s="13" t="str"/>
      <x:c r="R141" s="13" t="str"/>
      <x:c r="S141" s="13" t="str">
        <x:f>IF(R141=1,IF(COUNT(P141,Q141,N141)=3,IF(AND(ABS(P141)&lt;='Controls'!$D$67,Q141&lt;='Controls'!$D$66,N141&lt;='Controls'!$D$68),"PASS","FAIL"),"FAIL"),"OPEN")</x:f>
        <x:v>OPEN</x:v>
      </x:c>
    </x:row>
    <x:row r="142">
      <x:c r="B142" s="13" t="str">
        <x:v>RAS-SL-136</x:v>
      </x:c>
      <x:c r="C142" s="13" t="str">
        <x:v>RAS-E136</x:v>
      </x:c>
      <x:c r="D142" s="13" t="str">
        <x:v>AM-06</x:v>
      </x:c>
      <x:c r="E142" s="13" t="str">
        <x:v>TR-B</x:v>
      </x:c>
      <x:c r="F142" s="13" t="str">
        <x:v>RFP-C1</x:v>
      </x:c>
      <x:c r="G142" s="13" t="n">
        <x:v>500</x:v>
      </x:c>
      <x:c r="H142" s="13" t="str"/>
      <x:c r="I142" s="13" t="str"/>
      <x:c r="J142" s="13" t="str"/>
      <x:c r="K142" s="13" t="str"/>
      <x:c r="L142" s="13" t="str"/>
      <x:c r="M142" s="13" t="str"/>
      <x:c r="N142" s="13" t="str"/>
      <x:c r="O142" s="13" t="str">
        <x:f>IF(COUNT(I142:N142)&lt;6,"",SUM(I142:N142))</x:f>
      </x:c>
      <x:c r="P142" s="13" t="str">
        <x:f>IF(COUNT(H142,O142)&lt;2,"",H142-O142)</x:f>
      </x:c>
      <x:c r="Q142" s="13" t="str"/>
      <x:c r="R142" s="13" t="str"/>
      <x:c r="S142" s="13" t="str">
        <x:f>IF(R142=1,IF(COUNT(P142,Q142,N142)=3,IF(AND(ABS(P142)&lt;='Controls'!$D$67,Q142&lt;='Controls'!$D$66,N142&lt;='Controls'!$D$68),"PASS","FAIL"),"FAIL"),"OPEN")</x:f>
        <x:v>OPEN</x:v>
      </x:c>
    </x:row>
    <x:row r="143">
      <x:c r="B143" s="13" t="str">
        <x:v>RAS-SL-137</x:v>
      </x:c>
      <x:c r="C143" s="13" t="str">
        <x:v>RAS-E137</x:v>
      </x:c>
      <x:c r="D143" s="13" t="str">
        <x:v>AM-06</x:v>
      </x:c>
      <x:c r="E143" s="13" t="str">
        <x:v>TR-B</x:v>
      </x:c>
      <x:c r="F143" s="13" t="str">
        <x:v>RFP-C1</x:v>
      </x:c>
      <x:c r="G143" s="13" t="n">
        <x:v>500</x:v>
      </x:c>
      <x:c r="H143" s="13" t="str"/>
      <x:c r="I143" s="13" t="str"/>
      <x:c r="J143" s="13" t="str"/>
      <x:c r="K143" s="13" t="str"/>
      <x:c r="L143" s="13" t="str"/>
      <x:c r="M143" s="13" t="str"/>
      <x:c r="N143" s="13" t="str"/>
      <x:c r="O143" s="13" t="str">
        <x:f>IF(COUNT(I143:N143)&lt;6,"",SUM(I143:N143))</x:f>
      </x:c>
      <x:c r="P143" s="13" t="str">
        <x:f>IF(COUNT(H143,O143)&lt;2,"",H143-O143)</x:f>
      </x:c>
      <x:c r="Q143" s="13" t="str"/>
      <x:c r="R143" s="13" t="str"/>
      <x:c r="S143" s="13" t="str">
        <x:f>IF(R143=1,IF(COUNT(P143,Q143,N143)=3,IF(AND(ABS(P143)&lt;='Controls'!$D$67,Q143&lt;='Controls'!$D$66,N143&lt;='Controls'!$D$68),"PASS","FAIL"),"FAIL"),"OPEN")</x:f>
        <x:v>OPEN</x:v>
      </x:c>
    </x:row>
    <x:row r="144">
      <x:c r="B144" s="13" t="str">
        <x:v>RAS-SL-138</x:v>
      </x:c>
      <x:c r="C144" s="13" t="str">
        <x:v>RAS-E138</x:v>
      </x:c>
      <x:c r="D144" s="13" t="str">
        <x:v>AM-06</x:v>
      </x:c>
      <x:c r="E144" s="13" t="str">
        <x:v>TR-B</x:v>
      </x:c>
      <x:c r="F144" s="13" t="str">
        <x:v>RFP-C1</x:v>
      </x:c>
      <x:c r="G144" s="13" t="n">
        <x:v>500</x:v>
      </x:c>
      <x:c r="H144" s="13" t="str"/>
      <x:c r="I144" s="13" t="str"/>
      <x:c r="J144" s="13" t="str"/>
      <x:c r="K144" s="13" t="str"/>
      <x:c r="L144" s="13" t="str"/>
      <x:c r="M144" s="13" t="str"/>
      <x:c r="N144" s="13" t="str"/>
      <x:c r="O144" s="13" t="str">
        <x:f>IF(COUNT(I144:N144)&lt;6,"",SUM(I144:N144))</x:f>
      </x:c>
      <x:c r="P144" s="13" t="str">
        <x:f>IF(COUNT(H144,O144)&lt;2,"",H144-O144)</x:f>
      </x:c>
      <x:c r="Q144" s="13" t="str"/>
      <x:c r="R144" s="13" t="str"/>
      <x:c r="S144" s="13" t="str">
        <x:f>IF(R144=1,IF(COUNT(P144,Q144,N144)=3,IF(AND(ABS(P144)&lt;='Controls'!$D$67,Q144&lt;='Controls'!$D$66,N144&lt;='Controls'!$D$68),"PASS","FAIL"),"FAIL"),"OPEN")</x:f>
        <x:v>OPEN</x:v>
      </x:c>
    </x:row>
    <x:row r="145">
      <x:c r="B145" s="13" t="str">
        <x:v>RAS-SL-139</x:v>
      </x:c>
      <x:c r="C145" s="13" t="str">
        <x:v>RAS-E139</x:v>
      </x:c>
      <x:c r="D145" s="13" t="str">
        <x:v>AM-06</x:v>
      </x:c>
      <x:c r="E145" s="13" t="str">
        <x:v>TR-B</x:v>
      </x:c>
      <x:c r="F145" s="13" t="str">
        <x:v>RFP-C2</x:v>
      </x:c>
      <x:c r="G145" s="13" t="n">
        <x:v>0</x:v>
      </x:c>
      <x:c r="H145" s="13" t="str"/>
      <x:c r="I145" s="13" t="str"/>
      <x:c r="J145" s="13" t="str"/>
      <x:c r="K145" s="13" t="str"/>
      <x:c r="L145" s="13" t="str"/>
      <x:c r="M145" s="13" t="str"/>
      <x:c r="N145" s="13" t="str"/>
      <x:c r="O145" s="13" t="str">
        <x:f>IF(COUNT(I145:N145)&lt;6,"",SUM(I145:N145))</x:f>
      </x:c>
      <x:c r="P145" s="13" t="str">
        <x:f>IF(COUNT(H145,O145)&lt;2,"",H145-O145)</x:f>
      </x:c>
      <x:c r="Q145" s="13" t="str"/>
      <x:c r="R145" s="13" t="str"/>
      <x:c r="S145" s="13" t="str">
        <x:f>IF(R145=1,IF(COUNT(P145,Q145,N145)=3,IF(AND(ABS(P145)&lt;='Controls'!$D$67,Q145&lt;='Controls'!$D$66,N145&lt;='Controls'!$D$68),"PASS","FAIL"),"FAIL"),"OPEN")</x:f>
        <x:v>OPEN</x:v>
      </x:c>
    </x:row>
    <x:row r="146">
      <x:c r="B146" s="13" t="str">
        <x:v>RAS-SL-140</x:v>
      </x:c>
      <x:c r="C146" s="13" t="str">
        <x:v>RAS-E140</x:v>
      </x:c>
      <x:c r="D146" s="13" t="str">
        <x:v>AM-06</x:v>
      </x:c>
      <x:c r="E146" s="13" t="str">
        <x:v>TR-B</x:v>
      </x:c>
      <x:c r="F146" s="13" t="str">
        <x:v>RFP-C2</x:v>
      </x:c>
      <x:c r="G146" s="13" t="n">
        <x:v>100</x:v>
      </x:c>
      <x:c r="H146" s="13" t="str"/>
      <x:c r="I146" s="13" t="str"/>
      <x:c r="J146" s="13" t="str"/>
      <x:c r="K146" s="13" t="str"/>
      <x:c r="L146" s="13" t="str"/>
      <x:c r="M146" s="13" t="str"/>
      <x:c r="N146" s="13" t="str"/>
      <x:c r="O146" s="13" t="str">
        <x:f>IF(COUNT(I146:N146)&lt;6,"",SUM(I146:N146))</x:f>
      </x:c>
      <x:c r="P146" s="13" t="str">
        <x:f>IF(COUNT(H146,O146)&lt;2,"",H146-O146)</x:f>
      </x:c>
      <x:c r="Q146" s="13" t="str"/>
      <x:c r="R146" s="13" t="str"/>
      <x:c r="S146" s="13" t="str">
        <x:f>IF(R146=1,IF(COUNT(P146,Q146,N146)=3,IF(AND(ABS(P146)&lt;='Controls'!$D$67,Q146&lt;='Controls'!$D$66,N146&lt;='Controls'!$D$68),"PASS","FAIL"),"FAIL"),"OPEN")</x:f>
        <x:v>OPEN</x:v>
      </x:c>
    </x:row>
    <x:row r="147">
      <x:c r="B147" s="13" t="str">
        <x:v>RAS-SL-141</x:v>
      </x:c>
      <x:c r="C147" s="13" t="str">
        <x:v>RAS-E141</x:v>
      </x:c>
      <x:c r="D147" s="13" t="str">
        <x:v>AM-06</x:v>
      </x:c>
      <x:c r="E147" s="13" t="str">
        <x:v>TR-B</x:v>
      </x:c>
      <x:c r="F147" s="13" t="str">
        <x:v>RFP-C2</x:v>
      </x:c>
      <x:c r="G147" s="13" t="n">
        <x:v>250</x:v>
      </x:c>
      <x:c r="H147" s="13" t="str"/>
      <x:c r="I147" s="13" t="str"/>
      <x:c r="J147" s="13" t="str"/>
      <x:c r="K147" s="13" t="str"/>
      <x:c r="L147" s="13" t="str"/>
      <x:c r="M147" s="13" t="str"/>
      <x:c r="N147" s="13" t="str"/>
      <x:c r="O147" s="13" t="str">
        <x:f>IF(COUNT(I147:N147)&lt;6,"",SUM(I147:N147))</x:f>
      </x:c>
      <x:c r="P147" s="13" t="str">
        <x:f>IF(COUNT(H147,O147)&lt;2,"",H147-O147)</x:f>
      </x:c>
      <x:c r="Q147" s="13" t="str"/>
      <x:c r="R147" s="13" t="str"/>
      <x:c r="S147" s="13" t="str">
        <x:f>IF(R147=1,IF(COUNT(P147,Q147,N147)=3,IF(AND(ABS(P147)&lt;='Controls'!$D$67,Q147&lt;='Controls'!$D$66,N147&lt;='Controls'!$D$68),"PASS","FAIL"),"FAIL"),"OPEN")</x:f>
        <x:v>OPEN</x:v>
      </x:c>
    </x:row>
    <x:row r="148">
      <x:c r="B148" s="13" t="str">
        <x:v>RAS-SL-142</x:v>
      </x:c>
      <x:c r="C148" s="13" t="str">
        <x:v>RAS-E142</x:v>
      </x:c>
      <x:c r="D148" s="13" t="str">
        <x:v>AM-06</x:v>
      </x:c>
      <x:c r="E148" s="13" t="str">
        <x:v>TR-B</x:v>
      </x:c>
      <x:c r="F148" s="13" t="str">
        <x:v>RFP-C2</x:v>
      </x:c>
      <x:c r="G148" s="13" t="n">
        <x:v>500</x:v>
      </x:c>
      <x:c r="H148" s="13" t="str"/>
      <x:c r="I148" s="13" t="str"/>
      <x:c r="J148" s="13" t="str"/>
      <x:c r="K148" s="13" t="str"/>
      <x:c r="L148" s="13" t="str"/>
      <x:c r="M148" s="13" t="str"/>
      <x:c r="N148" s="13" t="str"/>
      <x:c r="O148" s="13" t="str">
        <x:f>IF(COUNT(I148:N148)&lt;6,"",SUM(I148:N148))</x:f>
      </x:c>
      <x:c r="P148" s="13" t="str">
        <x:f>IF(COUNT(H148,O148)&lt;2,"",H148-O148)</x:f>
      </x:c>
      <x:c r="Q148" s="13" t="str"/>
      <x:c r="R148" s="13" t="str"/>
      <x:c r="S148" s="13" t="str">
        <x:f>IF(R148=1,IF(COUNT(P148,Q148,N148)=3,IF(AND(ABS(P148)&lt;='Controls'!$D$67,Q148&lt;='Controls'!$D$66,N148&lt;='Controls'!$D$68),"PASS","FAIL"),"FAIL"),"OPEN")</x:f>
        <x:v>OPEN</x:v>
      </x:c>
    </x:row>
    <x:row r="149">
      <x:c r="B149" s="13" t="str">
        <x:v>RAS-SL-143</x:v>
      </x:c>
      <x:c r="C149" s="13" t="str">
        <x:v>RAS-E143</x:v>
      </x:c>
      <x:c r="D149" s="13" t="str">
        <x:v>AM-06</x:v>
      </x:c>
      <x:c r="E149" s="13" t="str">
        <x:v>TR-B</x:v>
      </x:c>
      <x:c r="F149" s="13" t="str">
        <x:v>RFP-C2</x:v>
      </x:c>
      <x:c r="G149" s="13" t="n">
        <x:v>500</x:v>
      </x:c>
      <x:c r="H149" s="13" t="str"/>
      <x:c r="I149" s="13" t="str"/>
      <x:c r="J149" s="13" t="str"/>
      <x:c r="K149" s="13" t="str"/>
      <x:c r="L149" s="13" t="str"/>
      <x:c r="M149" s="13" t="str"/>
      <x:c r="N149" s="13" t="str"/>
      <x:c r="O149" s="13" t="str">
        <x:f>IF(COUNT(I149:N149)&lt;6,"",SUM(I149:N149))</x:f>
      </x:c>
      <x:c r="P149" s="13" t="str">
        <x:f>IF(COUNT(H149,O149)&lt;2,"",H149-O149)</x:f>
      </x:c>
      <x:c r="Q149" s="13" t="str"/>
      <x:c r="R149" s="13" t="str"/>
      <x:c r="S149" s="13" t="str">
        <x:f>IF(R149=1,IF(COUNT(P149,Q149,N149)=3,IF(AND(ABS(P149)&lt;='Controls'!$D$67,Q149&lt;='Controls'!$D$66,N149&lt;='Controls'!$D$68),"PASS","FAIL"),"FAIL"),"OPEN")</x:f>
        <x:v>OPEN</x:v>
      </x:c>
    </x:row>
    <x:row r="150">
      <x:c r="B150" s="13" t="str">
        <x:v>RAS-SL-144</x:v>
      </x:c>
      <x:c r="C150" s="13" t="str">
        <x:v>RAS-E144</x:v>
      </x:c>
      <x:c r="D150" s="13" t="str">
        <x:v>AM-06</x:v>
      </x:c>
      <x:c r="E150" s="13" t="str">
        <x:v>TR-B</x:v>
      </x:c>
      <x:c r="F150" s="13" t="str">
        <x:v>RFP-C2</x:v>
      </x:c>
      <x:c r="G150" s="13" t="n">
        <x:v>500</x:v>
      </x:c>
      <x:c r="H150" s="13" t="str"/>
      <x:c r="I150" s="13" t="str"/>
      <x:c r="J150" s="13" t="str"/>
      <x:c r="K150" s="13" t="str"/>
      <x:c r="L150" s="13" t="str"/>
      <x:c r="M150" s="13" t="str"/>
      <x:c r="N150" s="13" t="str"/>
      <x:c r="O150" s="13" t="str">
        <x:f>IF(COUNT(I150:N150)&lt;6,"",SUM(I150:N150))</x:f>
      </x:c>
      <x:c r="P150" s="13" t="str">
        <x:f>IF(COUNT(H150,O150)&lt;2,"",H150-O150)</x:f>
      </x:c>
      <x:c r="Q150" s="13" t="str"/>
      <x:c r="R150" s="13" t="str"/>
      <x:c r="S150" s="13" t="str">
        <x:f>IF(R150=1,IF(COUNT(P150,Q150,N150)=3,IF(AND(ABS(P150)&lt;='Controls'!$D$67,Q150&lt;='Controls'!$D$66,N150&lt;='Controls'!$D$68),"PASS","FAIL"),"FAIL"),"OPEN")</x:f>
        <x:v>OPEN</x:v>
      </x:c>
    </x:row>
  </x:sheetData>
  <x:conditionalFormatting sqref="S7:S150">
    <x:cfRule type="containsText" dxfId="64" priority="1" operator="containsText" text="FAIL"/>
    <x:cfRule type="containsText" dxfId="65" priority="2" operator="containsText" text="INVALID"/>
    <x:cfRule type="containsText" dxfId="66" priority="3" operator="containsText" text="BLOCKED"/>
    <x:cfRule type="containsText" dxfId="67" priority="4" operator="containsText" text="OPEN"/>
    <x:cfRule type="containsText" dxfId="68" priority="5" operator="containsText" text="GAP"/>
    <x:cfRule type="containsText" dxfId="69" priority="6" operator="containsText" text="DORMANT"/>
    <x:cfRule type="containsText" dxfId="70" priority="7" operator="containsText" text="PASS"/>
    <x:cfRule type="containsText" dxfId="71" priority="8" operator="containsText" text="VALI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5" hidden="0" customWidth="1"/>
    <x:col min="4" max="4" width="14" hidden="0" customWidth="1"/>
    <x:col min="5" max="5" width="13" hidden="0" customWidth="1"/>
    <x:col min="6" max="6" width="17" hidden="0" customWidth="1"/>
    <x:col min="7" max="7" width="16" hidden="0" customWidth="1"/>
    <x:col min="8" max="8" width="17" hidden="0" customWidth="1"/>
    <x:col min="9" max="9" width="16" hidden="0" customWidth="1"/>
    <x:col min="10" max="10" width="18" hidden="0" customWidth="1"/>
    <x:col min="11" max="11" width="19" hidden="0" customWidth="1"/>
    <x:col min="12" max="12" width="17" hidden="0" customWidth="1"/>
    <x:col min="13" max="13" width="18" hidden="0" customWidth="1"/>
    <x:col min="14" max="14" width="17" hidden="0" customWidth="1"/>
    <x:col min="15" max="15" width="17" hidden="0" customWidth="1"/>
    <x:col min="16" max="16" width="18" hidden="0" customWidth="1"/>
    <x:col min="17" max="17" width="15" hidden="0" customWidth="1"/>
    <x:col min="18" max="18" width="14" hidden="0" customWidth="1"/>
    <x:col min="1" max="1" width="3" hidden="0" customWidth="1"/>
  </x:cols>
  <x:sheetData>
    <x:row r="2">
      <x:c r="B2" s="12" t="str">
        <x:v>Water custody for every event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B3" s="2" t="str">
        <x:v>AM-05 has a measured zero-water state. AM-06 retains normal, casualty and environmental ancestry separately.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</x:row>
    <x:row r="6" ht="24" customHeight="1">
      <x:c r="B6" s="6" t="str">
        <x:v>Ledger</x:v>
      </x:c>
      <x:c r="C6" s="6" t="str">
        <x:v>Event</x:v>
      </x:c>
      <x:c r="D6" s="6" t="str">
        <x:v>Method</x:v>
      </x:c>
      <x:c r="E6" s="6" t="str">
        <x:v>Rig</x:v>
      </x:c>
      <x:c r="F6" s="6" t="str">
        <x:v>Planned m3</x:v>
      </x:c>
      <x:c r="G6" s="6" t="str">
        <x:v>Initial m3</x:v>
      </x:c>
      <x:c r="H6" s="6" t="str">
        <x:v>Supplied m3</x:v>
      </x:c>
      <x:c r="I6" s="6" t="str">
        <x:v>Return m3</x:v>
      </x:c>
      <x:c r="J6" s="6" t="str">
        <x:v>Normal storage</x:v>
      </x:c>
      <x:c r="K6" s="6" t="str">
        <x:v>Casualty custody</x:v>
      </x:c>
      <x:c r="L6" s="6" t="str">
        <x:v>Environment</x:v>
      </x:c>
      <x:c r="M6" s="6" t="str">
        <x:v>Vapor or sample</x:v>
      </x:c>
      <x:c r="N6" s="6" t="str">
        <x:v>Accounted</x:v>
      </x:c>
      <x:c r="O6" s="6" t="str">
        <x:v>Discrepancy</x:v>
      </x:c>
      <x:c r="P6" s="6" t="str">
        <x:v>Relative error</x:v>
      </x:c>
      <x:c r="Q6" s="6" t="str">
        <x:v>Accepted</x:v>
      </x:c>
      <x:c r="R6" s="6" t="str">
        <x:v>State</x:v>
      </x:c>
    </x:row>
    <x:row r="7">
      <x:c r="B7" s="13" t="str">
        <x:v>RAS-WL-001</x:v>
      </x:c>
      <x:c r="C7" s="13" t="str">
        <x:v>RAS-E001</x:v>
      </x:c>
      <x:c r="D7" s="13" t="str">
        <x:v>AM-05</x:v>
      </x:c>
      <x:c r="E7" s="13" t="str">
        <x:v>RFP-A1</x:v>
      </x:c>
      <x:c r="F7" s="13" t="n">
        <x:v>0</x:v>
      </x:c>
      <x:c r="G7" s="13" t="str"/>
      <x:c r="H7" s="13" t="str"/>
      <x:c r="I7" s="13" t="str"/>
      <x:c r="J7" s="13" t="str"/>
      <x:c r="K7" s="13" t="str"/>
      <x:c r="L7" s="13" t="str"/>
      <x:c r="M7" s="13" t="str"/>
      <x:c r="N7" s="13" t="str">
        <x:f>IF(COUNT(I7:M7)&lt;5,"",SUM(I7:M7))</x:f>
      </x:c>
      <x:c r="O7" s="13" t="str">
        <x:f>IF(COUNT(G7,H7,N7)&lt;3,"",G7+H7-N7)</x:f>
      </x:c>
      <x:c r="P7" s="13" t="str">
        <x:f>IF(COUNT(O7)=0,"",IF(G7+H7=0,IF(O7=0,0,999),ABS(O7)/(G7+H7)))</x:f>
      </x:c>
      <x:c r="Q7" s="13" t="str"/>
      <x:c r="R7" s="13" t="str">
        <x:f>IF(Q7=1,IF(AND(COUNT(P7)=1,P7&lt;='Controls'!$D$69),"PASS","FAIL"),"OPEN")</x:f>
        <x:v>OPEN</x:v>
      </x:c>
    </x:row>
    <x:row r="8">
      <x:c r="B8" s="13" t="str">
        <x:v>RAS-WL-002</x:v>
      </x:c>
      <x:c r="C8" s="13" t="str">
        <x:v>RAS-E002</x:v>
      </x:c>
      <x:c r="D8" s="13" t="str">
        <x:v>AM-05</x:v>
      </x:c>
      <x:c r="E8" s="13" t="str">
        <x:v>RFP-A1</x:v>
      </x:c>
      <x:c r="F8" s="13" t="n">
        <x:v>0</x:v>
      </x:c>
      <x:c r="G8" s="13" t="str"/>
      <x:c r="H8" s="13" t="str"/>
      <x:c r="I8" s="13" t="str"/>
      <x:c r="J8" s="13" t="str"/>
      <x:c r="K8" s="13" t="str"/>
      <x:c r="L8" s="13" t="str"/>
      <x:c r="M8" s="13" t="str"/>
      <x:c r="N8" s="13" t="str">
        <x:f>IF(COUNT(I8:M8)&lt;5,"",SUM(I8:M8))</x:f>
      </x:c>
      <x:c r="O8" s="13" t="str">
        <x:f>IF(COUNT(G8,H8,N8)&lt;3,"",G8+H8-N8)</x:f>
      </x:c>
      <x:c r="P8" s="13" t="str">
        <x:f>IF(COUNT(O8)=0,"",IF(G8+H8=0,IF(O8=0,0,999),ABS(O8)/(G8+H8)))</x:f>
      </x:c>
      <x:c r="Q8" s="13" t="str"/>
      <x:c r="R8" s="13" t="str">
        <x:f>IF(Q8=1,IF(AND(COUNT(P8)=1,P8&lt;='Controls'!$D$69),"PASS","FAIL"),"OPEN")</x:f>
        <x:v>OPEN</x:v>
      </x:c>
    </x:row>
    <x:row r="9">
      <x:c r="B9" s="13" t="str">
        <x:v>RAS-WL-003</x:v>
      </x:c>
      <x:c r="C9" s="13" t="str">
        <x:v>RAS-E003</x:v>
      </x:c>
      <x:c r="D9" s="13" t="str">
        <x:v>AM-05</x:v>
      </x:c>
      <x:c r="E9" s="13" t="str">
        <x:v>RFP-A1</x:v>
      </x:c>
      <x:c r="F9" s="13" t="n">
        <x:v>0</x:v>
      </x:c>
      <x:c r="G9" s="13" t="str"/>
      <x:c r="H9" s="13" t="str"/>
      <x:c r="I9" s="13" t="str"/>
      <x:c r="J9" s="13" t="str"/>
      <x:c r="K9" s="13" t="str"/>
      <x:c r="L9" s="13" t="str"/>
      <x:c r="M9" s="13" t="str"/>
      <x:c r="N9" s="13" t="str">
        <x:f>IF(COUNT(I9:M9)&lt;5,"",SUM(I9:M9))</x:f>
      </x:c>
      <x:c r="O9" s="13" t="str">
        <x:f>IF(COUNT(G9,H9,N9)&lt;3,"",G9+H9-N9)</x:f>
      </x:c>
      <x:c r="P9" s="13" t="str">
        <x:f>IF(COUNT(O9)=0,"",IF(G9+H9=0,IF(O9=0,0,999),ABS(O9)/(G9+H9)))</x:f>
      </x:c>
      <x:c r="Q9" s="13" t="str"/>
      <x:c r="R9" s="13" t="str">
        <x:f>IF(Q9=1,IF(AND(COUNT(P9)=1,P9&lt;='Controls'!$D$69),"PASS","FAIL"),"OPEN")</x:f>
        <x:v>OPEN</x:v>
      </x:c>
    </x:row>
    <x:row r="10">
      <x:c r="B10" s="13" t="str">
        <x:v>RAS-WL-004</x:v>
      </x:c>
      <x:c r="C10" s="13" t="str">
        <x:v>RAS-E004</x:v>
      </x:c>
      <x:c r="D10" s="13" t="str">
        <x:v>AM-05</x:v>
      </x:c>
      <x:c r="E10" s="13" t="str">
        <x:v>RFP-A1</x:v>
      </x:c>
      <x:c r="F10" s="13" t="n">
        <x:v>0</x:v>
      </x:c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>
        <x:f>IF(COUNT(I10:M10)&lt;5,"",SUM(I10:M10))</x:f>
      </x:c>
      <x:c r="O10" s="13" t="str">
        <x:f>IF(COUNT(G10,H10,N10)&lt;3,"",G10+H10-N10)</x:f>
      </x:c>
      <x:c r="P10" s="13" t="str">
        <x:f>IF(COUNT(O10)=0,"",IF(G10+H10=0,IF(O10=0,0,999),ABS(O10)/(G10+H10)))</x:f>
      </x:c>
      <x:c r="Q10" s="13" t="str"/>
      <x:c r="R10" s="13" t="str">
        <x:f>IF(Q10=1,IF(AND(COUNT(P10)=1,P10&lt;='Controls'!$D$69),"PASS","FAIL"),"OPEN")</x:f>
        <x:v>OPEN</x:v>
      </x:c>
    </x:row>
    <x:row r="11">
      <x:c r="B11" s="13" t="str">
        <x:v>RAS-WL-005</x:v>
      </x:c>
      <x:c r="C11" s="13" t="str">
        <x:v>RAS-E005</x:v>
      </x:c>
      <x:c r="D11" s="13" t="str">
        <x:v>AM-05</x:v>
      </x:c>
      <x:c r="E11" s="13" t="str">
        <x:v>RFP-A1</x:v>
      </x:c>
      <x:c r="F11" s="13" t="n">
        <x:v>0</x:v>
      </x:c>
      <x:c r="G11" s="13" t="str"/>
      <x:c r="H11" s="13" t="str"/>
      <x:c r="I11" s="13" t="str"/>
      <x:c r="J11" s="13" t="str"/>
      <x:c r="K11" s="13" t="str"/>
      <x:c r="L11" s="13" t="str"/>
      <x:c r="M11" s="13" t="str"/>
      <x:c r="N11" s="13" t="str">
        <x:f>IF(COUNT(I11:M11)&lt;5,"",SUM(I11:M11))</x:f>
      </x:c>
      <x:c r="O11" s="13" t="str">
        <x:f>IF(COUNT(G11,H11,N11)&lt;3,"",G11+H11-N11)</x:f>
      </x:c>
      <x:c r="P11" s="13" t="str">
        <x:f>IF(COUNT(O11)=0,"",IF(G11+H11=0,IF(O11=0,0,999),ABS(O11)/(G11+H11)))</x:f>
      </x:c>
      <x:c r="Q11" s="13" t="str"/>
      <x:c r="R11" s="13" t="str">
        <x:f>IF(Q11=1,IF(AND(COUNT(P11)=1,P11&lt;='Controls'!$D$69),"PASS","FAIL"),"OPEN")</x:f>
        <x:v>OPEN</x:v>
      </x:c>
    </x:row>
    <x:row r="12">
      <x:c r="B12" s="13" t="str">
        <x:v>RAS-WL-006</x:v>
      </x:c>
      <x:c r="C12" s="13" t="str">
        <x:v>RAS-E006</x:v>
      </x:c>
      <x:c r="D12" s="13" t="str">
        <x:v>AM-05</x:v>
      </x:c>
      <x:c r="E12" s="13" t="str">
        <x:v>RFP-A1</x:v>
      </x:c>
      <x:c r="F12" s="13" t="n">
        <x:v>0</x:v>
      </x:c>
      <x:c r="G12" s="13" t="str"/>
      <x:c r="H12" s="13" t="str"/>
      <x:c r="I12" s="13" t="str"/>
      <x:c r="J12" s="13" t="str"/>
      <x:c r="K12" s="13" t="str"/>
      <x:c r="L12" s="13" t="str"/>
      <x:c r="M12" s="13" t="str"/>
      <x:c r="N12" s="13" t="str">
        <x:f>IF(COUNT(I12:M12)&lt;5,"",SUM(I12:M12))</x:f>
      </x:c>
      <x:c r="O12" s="13" t="str">
        <x:f>IF(COUNT(G12,H12,N12)&lt;3,"",G12+H12-N12)</x:f>
      </x:c>
      <x:c r="P12" s="13" t="str">
        <x:f>IF(COUNT(O12)=0,"",IF(G12+H12=0,IF(O12=0,0,999),ABS(O12)/(G12+H12)))</x:f>
      </x:c>
      <x:c r="Q12" s="13" t="str"/>
      <x:c r="R12" s="13" t="str">
        <x:f>IF(Q12=1,IF(AND(COUNT(P12)=1,P12&lt;='Controls'!$D$69),"PASS","FAIL"),"OPEN")</x:f>
        <x:v>OPEN</x:v>
      </x:c>
    </x:row>
    <x:row r="13">
      <x:c r="B13" s="13" t="str">
        <x:v>RAS-WL-007</x:v>
      </x:c>
      <x:c r="C13" s="13" t="str">
        <x:v>RAS-E007</x:v>
      </x:c>
      <x:c r="D13" s="13" t="str">
        <x:v>AM-05</x:v>
      </x:c>
      <x:c r="E13" s="13" t="str">
        <x:v>RFP-A2</x:v>
      </x:c>
      <x:c r="F13" s="13" t="n">
        <x:v>0</x:v>
      </x:c>
      <x:c r="G13" s="13" t="str"/>
      <x:c r="H13" s="13" t="str"/>
      <x:c r="I13" s="13" t="str"/>
      <x:c r="J13" s="13" t="str"/>
      <x:c r="K13" s="13" t="str"/>
      <x:c r="L13" s="13" t="str"/>
      <x:c r="M13" s="13" t="str"/>
      <x:c r="N13" s="13" t="str">
        <x:f>IF(COUNT(I13:M13)&lt;5,"",SUM(I13:M13))</x:f>
      </x:c>
      <x:c r="O13" s="13" t="str">
        <x:f>IF(COUNT(G13,H13,N13)&lt;3,"",G13+H13-N13)</x:f>
      </x:c>
      <x:c r="P13" s="13" t="str">
        <x:f>IF(COUNT(O13)=0,"",IF(G13+H13=0,IF(O13=0,0,999),ABS(O13)/(G13+H13)))</x:f>
      </x:c>
      <x:c r="Q13" s="13" t="str"/>
      <x:c r="R13" s="13" t="str">
        <x:f>IF(Q13=1,IF(AND(COUNT(P13)=1,P13&lt;='Controls'!$D$69),"PASS","FAIL"),"OPEN")</x:f>
        <x:v>OPEN</x:v>
      </x:c>
    </x:row>
    <x:row r="14">
      <x:c r="B14" s="13" t="str">
        <x:v>RAS-WL-008</x:v>
      </x:c>
      <x:c r="C14" s="13" t="str">
        <x:v>RAS-E008</x:v>
      </x:c>
      <x:c r="D14" s="13" t="str">
        <x:v>AM-05</x:v>
      </x:c>
      <x:c r="E14" s="13" t="str">
        <x:v>RFP-A2</x:v>
      </x:c>
      <x:c r="F14" s="13" t="n">
        <x:v>0</x:v>
      </x:c>
      <x:c r="G14" s="13" t="str"/>
      <x:c r="H14" s="13" t="str"/>
      <x:c r="I14" s="13" t="str"/>
      <x:c r="J14" s="13" t="str"/>
      <x:c r="K14" s="13" t="str"/>
      <x:c r="L14" s="13" t="str"/>
      <x:c r="M14" s="13" t="str"/>
      <x:c r="N14" s="13" t="str">
        <x:f>IF(COUNT(I14:M14)&lt;5,"",SUM(I14:M14))</x:f>
      </x:c>
      <x:c r="O14" s="13" t="str">
        <x:f>IF(COUNT(G14,H14,N14)&lt;3,"",G14+H14-N14)</x:f>
      </x:c>
      <x:c r="P14" s="13" t="str">
        <x:f>IF(COUNT(O14)=0,"",IF(G14+H14=0,IF(O14=0,0,999),ABS(O14)/(G14+H14)))</x:f>
      </x:c>
      <x:c r="Q14" s="13" t="str"/>
      <x:c r="R14" s="13" t="str">
        <x:f>IF(Q14=1,IF(AND(COUNT(P14)=1,P14&lt;='Controls'!$D$69),"PASS","FAIL"),"OPEN")</x:f>
        <x:v>OPEN</x:v>
      </x:c>
    </x:row>
    <x:row r="15">
      <x:c r="B15" s="13" t="str">
        <x:v>RAS-WL-009</x:v>
      </x:c>
      <x:c r="C15" s="13" t="str">
        <x:v>RAS-E009</x:v>
      </x:c>
      <x:c r="D15" s="13" t="str">
        <x:v>AM-05</x:v>
      </x:c>
      <x:c r="E15" s="13" t="str">
        <x:v>RFP-A2</x:v>
      </x:c>
      <x:c r="F15" s="13" t="n">
        <x:v>0</x:v>
      </x:c>
      <x:c r="G15" s="13" t="str"/>
      <x:c r="H15" s="13" t="str"/>
      <x:c r="I15" s="13" t="str"/>
      <x:c r="J15" s="13" t="str"/>
      <x:c r="K15" s="13" t="str"/>
      <x:c r="L15" s="13" t="str"/>
      <x:c r="M15" s="13" t="str"/>
      <x:c r="N15" s="13" t="str">
        <x:f>IF(COUNT(I15:M15)&lt;5,"",SUM(I15:M15))</x:f>
      </x:c>
      <x:c r="O15" s="13" t="str">
        <x:f>IF(COUNT(G15,H15,N15)&lt;3,"",G15+H15-N15)</x:f>
      </x:c>
      <x:c r="P15" s="13" t="str">
        <x:f>IF(COUNT(O15)=0,"",IF(G15+H15=0,IF(O15=0,0,999),ABS(O15)/(G15+H15)))</x:f>
      </x:c>
      <x:c r="Q15" s="13" t="str"/>
      <x:c r="R15" s="13" t="str">
        <x:f>IF(Q15=1,IF(AND(COUNT(P15)=1,P15&lt;='Controls'!$D$69),"PASS","FAIL"),"OPEN")</x:f>
        <x:v>OPEN</x:v>
      </x:c>
    </x:row>
    <x:row r="16">
      <x:c r="B16" s="13" t="str">
        <x:v>RAS-WL-010</x:v>
      </x:c>
      <x:c r="C16" s="13" t="str">
        <x:v>RAS-E010</x:v>
      </x:c>
      <x:c r="D16" s="13" t="str">
        <x:v>AM-05</x:v>
      </x:c>
      <x:c r="E16" s="13" t="str">
        <x:v>RFP-A2</x:v>
      </x:c>
      <x:c r="F16" s="13" t="n">
        <x:v>0</x:v>
      </x:c>
      <x:c r="G16" s="13" t="str"/>
      <x:c r="H16" s="13" t="str"/>
      <x:c r="I16" s="13" t="str"/>
      <x:c r="J16" s="13" t="str"/>
      <x:c r="K16" s="13" t="str"/>
      <x:c r="L16" s="13" t="str"/>
      <x:c r="M16" s="13" t="str"/>
      <x:c r="N16" s="13" t="str">
        <x:f>IF(COUNT(I16:M16)&lt;5,"",SUM(I16:M16))</x:f>
      </x:c>
      <x:c r="O16" s="13" t="str">
        <x:f>IF(COUNT(G16,H16,N16)&lt;3,"",G16+H16-N16)</x:f>
      </x:c>
      <x:c r="P16" s="13" t="str">
        <x:f>IF(COUNT(O16)=0,"",IF(G16+H16=0,IF(O16=0,0,999),ABS(O16)/(G16+H16)))</x:f>
      </x:c>
      <x:c r="Q16" s="13" t="str"/>
      <x:c r="R16" s="13" t="str">
        <x:f>IF(Q16=1,IF(AND(COUNT(P16)=1,P16&lt;='Controls'!$D$69),"PASS","FAIL"),"OPEN")</x:f>
        <x:v>OPEN</x:v>
      </x:c>
    </x:row>
    <x:row r="17">
      <x:c r="B17" s="13" t="str">
        <x:v>RAS-WL-011</x:v>
      </x:c>
      <x:c r="C17" s="13" t="str">
        <x:v>RAS-E011</x:v>
      </x:c>
      <x:c r="D17" s="13" t="str">
        <x:v>AM-05</x:v>
      </x:c>
      <x:c r="E17" s="13" t="str">
        <x:v>RFP-A2</x:v>
      </x:c>
      <x:c r="F17" s="13" t="n">
        <x:v>0</x:v>
      </x:c>
      <x:c r="G17" s="13" t="str"/>
      <x:c r="H17" s="13" t="str"/>
      <x:c r="I17" s="13" t="str"/>
      <x:c r="J17" s="13" t="str"/>
      <x:c r="K17" s="13" t="str"/>
      <x:c r="L17" s="13" t="str"/>
      <x:c r="M17" s="13" t="str"/>
      <x:c r="N17" s="13" t="str">
        <x:f>IF(COUNT(I17:M17)&lt;5,"",SUM(I17:M17))</x:f>
      </x:c>
      <x:c r="O17" s="13" t="str">
        <x:f>IF(COUNT(G17,H17,N17)&lt;3,"",G17+H17-N17)</x:f>
      </x:c>
      <x:c r="P17" s="13" t="str">
        <x:f>IF(COUNT(O17)=0,"",IF(G17+H17=0,IF(O17=0,0,999),ABS(O17)/(G17+H17)))</x:f>
      </x:c>
      <x:c r="Q17" s="13" t="str"/>
      <x:c r="R17" s="13" t="str">
        <x:f>IF(Q17=1,IF(AND(COUNT(P17)=1,P17&lt;='Controls'!$D$69),"PASS","FAIL"),"OPEN")</x:f>
        <x:v>OPEN</x:v>
      </x:c>
    </x:row>
    <x:row r="18">
      <x:c r="B18" s="13" t="str">
        <x:v>RAS-WL-012</x:v>
      </x:c>
      <x:c r="C18" s="13" t="str">
        <x:v>RAS-E012</x:v>
      </x:c>
      <x:c r="D18" s="13" t="str">
        <x:v>AM-05</x:v>
      </x:c>
      <x:c r="E18" s="13" t="str">
        <x:v>RFP-A2</x:v>
      </x:c>
      <x:c r="F18" s="13" t="n">
        <x:v>0</x:v>
      </x:c>
      <x:c r="G18" s="13" t="str"/>
      <x:c r="H18" s="13" t="str"/>
      <x:c r="I18" s="13" t="str"/>
      <x:c r="J18" s="13" t="str"/>
      <x:c r="K18" s="13" t="str"/>
      <x:c r="L18" s="13" t="str"/>
      <x:c r="M18" s="13" t="str"/>
      <x:c r="N18" s="13" t="str">
        <x:f>IF(COUNT(I18:M18)&lt;5,"",SUM(I18:M18))</x:f>
      </x:c>
      <x:c r="O18" s="13" t="str">
        <x:f>IF(COUNT(G18,H18,N18)&lt;3,"",G18+H18-N18)</x:f>
      </x:c>
      <x:c r="P18" s="13" t="str">
        <x:f>IF(COUNT(O18)=0,"",IF(G18+H18=0,IF(O18=0,0,999),ABS(O18)/(G18+H18)))</x:f>
      </x:c>
      <x:c r="Q18" s="13" t="str"/>
      <x:c r="R18" s="13" t="str">
        <x:f>IF(Q18=1,IF(AND(COUNT(P18)=1,P18&lt;='Controls'!$D$69),"PASS","FAIL"),"OPEN")</x:f>
        <x:v>OPEN</x:v>
      </x:c>
    </x:row>
    <x:row r="19">
      <x:c r="B19" s="13" t="str">
        <x:v>RAS-WL-013</x:v>
      </x:c>
      <x:c r="C19" s="13" t="str">
        <x:v>RAS-E013</x:v>
      </x:c>
      <x:c r="D19" s="13" t="str">
        <x:v>AM-05</x:v>
      </x:c>
      <x:c r="E19" s="13" t="str">
        <x:v>RFP-B1</x:v>
      </x:c>
      <x:c r="F19" s="13" t="n">
        <x:v>0</x:v>
      </x:c>
      <x:c r="G19" s="13" t="str"/>
      <x:c r="H19" s="13" t="str"/>
      <x:c r="I19" s="13" t="str"/>
      <x:c r="J19" s="13" t="str"/>
      <x:c r="K19" s="13" t="str"/>
      <x:c r="L19" s="13" t="str"/>
      <x:c r="M19" s="13" t="str"/>
      <x:c r="N19" s="13" t="str">
        <x:f>IF(COUNT(I19:M19)&lt;5,"",SUM(I19:M19))</x:f>
      </x:c>
      <x:c r="O19" s="13" t="str">
        <x:f>IF(COUNT(G19,H19,N19)&lt;3,"",G19+H19-N19)</x:f>
      </x:c>
      <x:c r="P19" s="13" t="str">
        <x:f>IF(COUNT(O19)=0,"",IF(G19+H19=0,IF(O19=0,0,999),ABS(O19)/(G19+H19)))</x:f>
      </x:c>
      <x:c r="Q19" s="13" t="str"/>
      <x:c r="R19" s="13" t="str">
        <x:f>IF(Q19=1,IF(AND(COUNT(P19)=1,P19&lt;='Controls'!$D$69),"PASS","FAIL"),"OPEN")</x:f>
        <x:v>OPEN</x:v>
      </x:c>
    </x:row>
    <x:row r="20">
      <x:c r="B20" s="13" t="str">
        <x:v>RAS-WL-014</x:v>
      </x:c>
      <x:c r="C20" s="13" t="str">
        <x:v>RAS-E014</x:v>
      </x:c>
      <x:c r="D20" s="13" t="str">
        <x:v>AM-05</x:v>
      </x:c>
      <x:c r="E20" s="13" t="str">
        <x:v>RFP-B1</x:v>
      </x:c>
      <x:c r="F20" s="13" t="n">
        <x:v>0</x:v>
      </x:c>
      <x:c r="G20" s="13" t="str"/>
      <x:c r="H20" s="13" t="str"/>
      <x:c r="I20" s="13" t="str"/>
      <x:c r="J20" s="13" t="str"/>
      <x:c r="K20" s="13" t="str"/>
      <x:c r="L20" s="13" t="str"/>
      <x:c r="M20" s="13" t="str"/>
      <x:c r="N20" s="13" t="str">
        <x:f>IF(COUNT(I20:M20)&lt;5,"",SUM(I20:M20))</x:f>
      </x:c>
      <x:c r="O20" s="13" t="str">
        <x:f>IF(COUNT(G20,H20,N20)&lt;3,"",G20+H20-N20)</x:f>
      </x:c>
      <x:c r="P20" s="13" t="str">
        <x:f>IF(COUNT(O20)=0,"",IF(G20+H20=0,IF(O20=0,0,999),ABS(O20)/(G20+H20)))</x:f>
      </x:c>
      <x:c r="Q20" s="13" t="str"/>
      <x:c r="R20" s="13" t="str">
        <x:f>IF(Q20=1,IF(AND(COUNT(P20)=1,P20&lt;='Controls'!$D$69),"PASS","FAIL"),"OPEN")</x:f>
        <x:v>OPEN</x:v>
      </x:c>
    </x:row>
    <x:row r="21">
      <x:c r="B21" s="13" t="str">
        <x:v>RAS-WL-015</x:v>
      </x:c>
      <x:c r="C21" s="13" t="str">
        <x:v>RAS-E015</x:v>
      </x:c>
      <x:c r="D21" s="13" t="str">
        <x:v>AM-05</x:v>
      </x:c>
      <x:c r="E21" s="13" t="str">
        <x:v>RFP-B1</x:v>
      </x:c>
      <x:c r="F21" s="13" t="n">
        <x:v>0</x:v>
      </x:c>
      <x:c r="G21" s="13" t="str"/>
      <x:c r="H21" s="13" t="str"/>
      <x:c r="I21" s="13" t="str"/>
      <x:c r="J21" s="13" t="str"/>
      <x:c r="K21" s="13" t="str"/>
      <x:c r="L21" s="13" t="str"/>
      <x:c r="M21" s="13" t="str"/>
      <x:c r="N21" s="13" t="str">
        <x:f>IF(COUNT(I21:M21)&lt;5,"",SUM(I21:M21))</x:f>
      </x:c>
      <x:c r="O21" s="13" t="str">
        <x:f>IF(COUNT(G21,H21,N21)&lt;3,"",G21+H21-N21)</x:f>
      </x:c>
      <x:c r="P21" s="13" t="str">
        <x:f>IF(COUNT(O21)=0,"",IF(G21+H21=0,IF(O21=0,0,999),ABS(O21)/(G21+H21)))</x:f>
      </x:c>
      <x:c r="Q21" s="13" t="str"/>
      <x:c r="R21" s="13" t="str">
        <x:f>IF(Q21=1,IF(AND(COUNT(P21)=1,P21&lt;='Controls'!$D$69),"PASS","FAIL"),"OPEN")</x:f>
        <x:v>OPEN</x:v>
      </x:c>
    </x:row>
    <x:row r="22">
      <x:c r="B22" s="13" t="str">
        <x:v>RAS-WL-016</x:v>
      </x:c>
      <x:c r="C22" s="13" t="str">
        <x:v>RAS-E016</x:v>
      </x:c>
      <x:c r="D22" s="13" t="str">
        <x:v>AM-05</x:v>
      </x:c>
      <x:c r="E22" s="13" t="str">
        <x:v>RFP-B1</x:v>
      </x:c>
      <x:c r="F22" s="13" t="n">
        <x:v>0</x:v>
      </x:c>
      <x:c r="G22" s="13" t="str"/>
      <x:c r="H22" s="13" t="str"/>
      <x:c r="I22" s="13" t="str"/>
      <x:c r="J22" s="13" t="str"/>
      <x:c r="K22" s="13" t="str"/>
      <x:c r="L22" s="13" t="str"/>
      <x:c r="M22" s="13" t="str"/>
      <x:c r="N22" s="13" t="str">
        <x:f>IF(COUNT(I22:M22)&lt;5,"",SUM(I22:M22))</x:f>
      </x:c>
      <x:c r="O22" s="13" t="str">
        <x:f>IF(COUNT(G22,H22,N22)&lt;3,"",G22+H22-N22)</x:f>
      </x:c>
      <x:c r="P22" s="13" t="str">
        <x:f>IF(COUNT(O22)=0,"",IF(G22+H22=0,IF(O22=0,0,999),ABS(O22)/(G22+H22)))</x:f>
      </x:c>
      <x:c r="Q22" s="13" t="str"/>
      <x:c r="R22" s="13" t="str">
        <x:f>IF(Q22=1,IF(AND(COUNT(P22)=1,P22&lt;='Controls'!$D$69),"PASS","FAIL"),"OPEN")</x:f>
        <x:v>OPEN</x:v>
      </x:c>
    </x:row>
    <x:row r="23">
      <x:c r="B23" s="13" t="str">
        <x:v>RAS-WL-017</x:v>
      </x:c>
      <x:c r="C23" s="13" t="str">
        <x:v>RAS-E017</x:v>
      </x:c>
      <x:c r="D23" s="13" t="str">
        <x:v>AM-05</x:v>
      </x:c>
      <x:c r="E23" s="13" t="str">
        <x:v>RFP-B1</x:v>
      </x:c>
      <x:c r="F23" s="13" t="n">
        <x:v>0</x:v>
      </x:c>
      <x:c r="G23" s="13" t="str"/>
      <x:c r="H23" s="13" t="str"/>
      <x:c r="I23" s="13" t="str"/>
      <x:c r="J23" s="13" t="str"/>
      <x:c r="K23" s="13" t="str"/>
      <x:c r="L23" s="13" t="str"/>
      <x:c r="M23" s="13" t="str"/>
      <x:c r="N23" s="13" t="str">
        <x:f>IF(COUNT(I23:M23)&lt;5,"",SUM(I23:M23))</x:f>
      </x:c>
      <x:c r="O23" s="13" t="str">
        <x:f>IF(COUNT(G23,H23,N23)&lt;3,"",G23+H23-N23)</x:f>
      </x:c>
      <x:c r="P23" s="13" t="str">
        <x:f>IF(COUNT(O23)=0,"",IF(G23+H23=0,IF(O23=0,0,999),ABS(O23)/(G23+H23)))</x:f>
      </x:c>
      <x:c r="Q23" s="13" t="str"/>
      <x:c r="R23" s="13" t="str">
        <x:f>IF(Q23=1,IF(AND(COUNT(P23)=1,P23&lt;='Controls'!$D$69),"PASS","FAIL"),"OPEN")</x:f>
        <x:v>OPEN</x:v>
      </x:c>
    </x:row>
    <x:row r="24">
      <x:c r="B24" s="13" t="str">
        <x:v>RAS-WL-018</x:v>
      </x:c>
      <x:c r="C24" s="13" t="str">
        <x:v>RAS-E018</x:v>
      </x:c>
      <x:c r="D24" s="13" t="str">
        <x:v>AM-05</x:v>
      </x:c>
      <x:c r="E24" s="13" t="str">
        <x:v>RFP-B1</x:v>
      </x:c>
      <x:c r="F24" s="13" t="n">
        <x:v>0</x:v>
      </x:c>
      <x:c r="G24" s="13" t="str"/>
      <x:c r="H24" s="13" t="str"/>
      <x:c r="I24" s="13" t="str"/>
      <x:c r="J24" s="13" t="str"/>
      <x:c r="K24" s="13" t="str"/>
      <x:c r="L24" s="13" t="str"/>
      <x:c r="M24" s="13" t="str"/>
      <x:c r="N24" s="13" t="str">
        <x:f>IF(COUNT(I24:M24)&lt;5,"",SUM(I24:M24))</x:f>
      </x:c>
      <x:c r="O24" s="13" t="str">
        <x:f>IF(COUNT(G24,H24,N24)&lt;3,"",G24+H24-N24)</x:f>
      </x:c>
      <x:c r="P24" s="13" t="str">
        <x:f>IF(COUNT(O24)=0,"",IF(G24+H24=0,IF(O24=0,0,999),ABS(O24)/(G24+H24)))</x:f>
      </x:c>
      <x:c r="Q24" s="13" t="str"/>
      <x:c r="R24" s="13" t="str">
        <x:f>IF(Q24=1,IF(AND(COUNT(P24)=1,P24&lt;='Controls'!$D$69),"PASS","FAIL"),"OPEN")</x:f>
        <x:v>OPEN</x:v>
      </x:c>
    </x:row>
    <x:row r="25">
      <x:c r="B25" s="13" t="str">
        <x:v>RAS-WL-019</x:v>
      </x:c>
      <x:c r="C25" s="13" t="str">
        <x:v>RAS-E019</x:v>
      </x:c>
      <x:c r="D25" s="13" t="str">
        <x:v>AM-05</x:v>
      </x:c>
      <x:c r="E25" s="13" t="str">
        <x:v>RFP-B2</x:v>
      </x:c>
      <x:c r="F25" s="13" t="n">
        <x:v>0</x:v>
      </x:c>
      <x:c r="G25" s="13" t="str"/>
      <x:c r="H25" s="13" t="str"/>
      <x:c r="I25" s="13" t="str"/>
      <x:c r="J25" s="13" t="str"/>
      <x:c r="K25" s="13" t="str"/>
      <x:c r="L25" s="13" t="str"/>
      <x:c r="M25" s="13" t="str"/>
      <x:c r="N25" s="13" t="str">
        <x:f>IF(COUNT(I25:M25)&lt;5,"",SUM(I25:M25))</x:f>
      </x:c>
      <x:c r="O25" s="13" t="str">
        <x:f>IF(COUNT(G25,H25,N25)&lt;3,"",G25+H25-N25)</x:f>
      </x:c>
      <x:c r="P25" s="13" t="str">
        <x:f>IF(COUNT(O25)=0,"",IF(G25+H25=0,IF(O25=0,0,999),ABS(O25)/(G25+H25)))</x:f>
      </x:c>
      <x:c r="Q25" s="13" t="str"/>
      <x:c r="R25" s="13" t="str">
        <x:f>IF(Q25=1,IF(AND(COUNT(P25)=1,P25&lt;='Controls'!$D$69),"PASS","FAIL"),"OPEN")</x:f>
        <x:v>OPEN</x:v>
      </x:c>
    </x:row>
    <x:row r="26">
      <x:c r="B26" s="13" t="str">
        <x:v>RAS-WL-020</x:v>
      </x:c>
      <x:c r="C26" s="13" t="str">
        <x:v>RAS-E020</x:v>
      </x:c>
      <x:c r="D26" s="13" t="str">
        <x:v>AM-05</x:v>
      </x:c>
      <x:c r="E26" s="13" t="str">
        <x:v>RFP-B2</x:v>
      </x:c>
      <x:c r="F26" s="13" t="n">
        <x:v>0</x:v>
      </x:c>
      <x:c r="G26" s="13" t="str"/>
      <x:c r="H26" s="13" t="str"/>
      <x:c r="I26" s="13" t="str"/>
      <x:c r="J26" s="13" t="str"/>
      <x:c r="K26" s="13" t="str"/>
      <x:c r="L26" s="13" t="str"/>
      <x:c r="M26" s="13" t="str"/>
      <x:c r="N26" s="13" t="str">
        <x:f>IF(COUNT(I26:M26)&lt;5,"",SUM(I26:M26))</x:f>
      </x:c>
      <x:c r="O26" s="13" t="str">
        <x:f>IF(COUNT(G26,H26,N26)&lt;3,"",G26+H26-N26)</x:f>
      </x:c>
      <x:c r="P26" s="13" t="str">
        <x:f>IF(COUNT(O26)=0,"",IF(G26+H26=0,IF(O26=0,0,999),ABS(O26)/(G26+H26)))</x:f>
      </x:c>
      <x:c r="Q26" s="13" t="str"/>
      <x:c r="R26" s="13" t="str">
        <x:f>IF(Q26=1,IF(AND(COUNT(P26)=1,P26&lt;='Controls'!$D$69),"PASS","FAIL"),"OPEN")</x:f>
        <x:v>OPEN</x:v>
      </x:c>
    </x:row>
    <x:row r="27">
      <x:c r="B27" s="13" t="str">
        <x:v>RAS-WL-021</x:v>
      </x:c>
      <x:c r="C27" s="13" t="str">
        <x:v>RAS-E021</x:v>
      </x:c>
      <x:c r="D27" s="13" t="str">
        <x:v>AM-05</x:v>
      </x:c>
      <x:c r="E27" s="13" t="str">
        <x:v>RFP-B2</x:v>
      </x:c>
      <x:c r="F27" s="13" t="n">
        <x:v>0</x:v>
      </x:c>
      <x:c r="G27" s="13" t="str"/>
      <x:c r="H27" s="13" t="str"/>
      <x:c r="I27" s="13" t="str"/>
      <x:c r="J27" s="13" t="str"/>
      <x:c r="K27" s="13" t="str"/>
      <x:c r="L27" s="13" t="str"/>
      <x:c r="M27" s="13" t="str"/>
      <x:c r="N27" s="13" t="str">
        <x:f>IF(COUNT(I27:M27)&lt;5,"",SUM(I27:M27))</x:f>
      </x:c>
      <x:c r="O27" s="13" t="str">
        <x:f>IF(COUNT(G27,H27,N27)&lt;3,"",G27+H27-N27)</x:f>
      </x:c>
      <x:c r="P27" s="13" t="str">
        <x:f>IF(COUNT(O27)=0,"",IF(G27+H27=0,IF(O27=0,0,999),ABS(O27)/(G27+H27)))</x:f>
      </x:c>
      <x:c r="Q27" s="13" t="str"/>
      <x:c r="R27" s="13" t="str">
        <x:f>IF(Q27=1,IF(AND(COUNT(P27)=1,P27&lt;='Controls'!$D$69),"PASS","FAIL"),"OPEN")</x:f>
        <x:v>OPEN</x:v>
      </x:c>
    </x:row>
    <x:row r="28">
      <x:c r="B28" s="13" t="str">
        <x:v>RAS-WL-022</x:v>
      </x:c>
      <x:c r="C28" s="13" t="str">
        <x:v>RAS-E022</x:v>
      </x:c>
      <x:c r="D28" s="13" t="str">
        <x:v>AM-05</x:v>
      </x:c>
      <x:c r="E28" s="13" t="str">
        <x:v>RFP-B2</x:v>
      </x:c>
      <x:c r="F28" s="13" t="n">
        <x:v>0</x:v>
      </x:c>
      <x:c r="G28" s="13" t="str"/>
      <x:c r="H28" s="13" t="str"/>
      <x:c r="I28" s="13" t="str"/>
      <x:c r="J28" s="13" t="str"/>
      <x:c r="K28" s="13" t="str"/>
      <x:c r="L28" s="13" t="str"/>
      <x:c r="M28" s="13" t="str"/>
      <x:c r="N28" s="13" t="str">
        <x:f>IF(COUNT(I28:M28)&lt;5,"",SUM(I28:M28))</x:f>
      </x:c>
      <x:c r="O28" s="13" t="str">
        <x:f>IF(COUNT(G28,H28,N28)&lt;3,"",G28+H28-N28)</x:f>
      </x:c>
      <x:c r="P28" s="13" t="str">
        <x:f>IF(COUNT(O28)=0,"",IF(G28+H28=0,IF(O28=0,0,999),ABS(O28)/(G28+H28)))</x:f>
      </x:c>
      <x:c r="Q28" s="13" t="str"/>
      <x:c r="R28" s="13" t="str">
        <x:f>IF(Q28=1,IF(AND(COUNT(P28)=1,P28&lt;='Controls'!$D$69),"PASS","FAIL"),"OPEN")</x:f>
        <x:v>OPEN</x:v>
      </x:c>
    </x:row>
    <x:row r="29">
      <x:c r="B29" s="13" t="str">
        <x:v>RAS-WL-023</x:v>
      </x:c>
      <x:c r="C29" s="13" t="str">
        <x:v>RAS-E023</x:v>
      </x:c>
      <x:c r="D29" s="13" t="str">
        <x:v>AM-05</x:v>
      </x:c>
      <x:c r="E29" s="13" t="str">
        <x:v>RFP-B2</x:v>
      </x:c>
      <x:c r="F29" s="13" t="n">
        <x:v>0</x:v>
      </x:c>
      <x:c r="G29" s="13" t="str"/>
      <x:c r="H29" s="13" t="str"/>
      <x:c r="I29" s="13" t="str"/>
      <x:c r="J29" s="13" t="str"/>
      <x:c r="K29" s="13" t="str"/>
      <x:c r="L29" s="13" t="str"/>
      <x:c r="M29" s="13" t="str"/>
      <x:c r="N29" s="13" t="str">
        <x:f>IF(COUNT(I29:M29)&lt;5,"",SUM(I29:M29))</x:f>
      </x:c>
      <x:c r="O29" s="13" t="str">
        <x:f>IF(COUNT(G29,H29,N29)&lt;3,"",G29+H29-N29)</x:f>
      </x:c>
      <x:c r="P29" s="13" t="str">
        <x:f>IF(COUNT(O29)=0,"",IF(G29+H29=0,IF(O29=0,0,999),ABS(O29)/(G29+H29)))</x:f>
      </x:c>
      <x:c r="Q29" s="13" t="str"/>
      <x:c r="R29" s="13" t="str">
        <x:f>IF(Q29=1,IF(AND(COUNT(P29)=1,P29&lt;='Controls'!$D$69),"PASS","FAIL"),"OPEN")</x:f>
        <x:v>OPEN</x:v>
      </x:c>
    </x:row>
    <x:row r="30">
      <x:c r="B30" s="13" t="str">
        <x:v>RAS-WL-024</x:v>
      </x:c>
      <x:c r="C30" s="13" t="str">
        <x:v>RAS-E024</x:v>
      </x:c>
      <x:c r="D30" s="13" t="str">
        <x:v>AM-05</x:v>
      </x:c>
      <x:c r="E30" s="13" t="str">
        <x:v>RFP-B2</x:v>
      </x:c>
      <x:c r="F30" s="13" t="n">
        <x:v>0</x:v>
      </x:c>
      <x:c r="G30" s="13" t="str"/>
      <x:c r="H30" s="13" t="str"/>
      <x:c r="I30" s="13" t="str"/>
      <x:c r="J30" s="13" t="str"/>
      <x:c r="K30" s="13" t="str"/>
      <x:c r="L30" s="13" t="str"/>
      <x:c r="M30" s="13" t="str"/>
      <x:c r="N30" s="13" t="str">
        <x:f>IF(COUNT(I30:M30)&lt;5,"",SUM(I30:M30))</x:f>
      </x:c>
      <x:c r="O30" s="13" t="str">
        <x:f>IF(COUNT(G30,H30,N30)&lt;3,"",G30+H30-N30)</x:f>
      </x:c>
      <x:c r="P30" s="13" t="str">
        <x:f>IF(COUNT(O30)=0,"",IF(G30+H30=0,IF(O30=0,0,999),ABS(O30)/(G30+H30)))</x:f>
      </x:c>
      <x:c r="Q30" s="13" t="str"/>
      <x:c r="R30" s="13" t="str">
        <x:f>IF(Q30=1,IF(AND(COUNT(P30)=1,P30&lt;='Controls'!$D$69),"PASS","FAIL"),"OPEN")</x:f>
        <x:v>OPEN</x:v>
      </x:c>
    </x:row>
    <x:row r="31">
      <x:c r="B31" s="13" t="str">
        <x:v>RAS-WL-025</x:v>
      </x:c>
      <x:c r="C31" s="13" t="str">
        <x:v>RAS-E025</x:v>
      </x:c>
      <x:c r="D31" s="13" t="str">
        <x:v>AM-05</x:v>
      </x:c>
      <x:c r="E31" s="13" t="str">
        <x:v>RFP-C1</x:v>
      </x:c>
      <x:c r="F31" s="13" t="n">
        <x:v>0</x:v>
      </x:c>
      <x:c r="G31" s="13" t="str"/>
      <x:c r="H31" s="13" t="str"/>
      <x:c r="I31" s="13" t="str"/>
      <x:c r="J31" s="13" t="str"/>
      <x:c r="K31" s="13" t="str"/>
      <x:c r="L31" s="13" t="str"/>
      <x:c r="M31" s="13" t="str"/>
      <x:c r="N31" s="13" t="str">
        <x:f>IF(COUNT(I31:M31)&lt;5,"",SUM(I31:M31))</x:f>
      </x:c>
      <x:c r="O31" s="13" t="str">
        <x:f>IF(COUNT(G31,H31,N31)&lt;3,"",G31+H31-N31)</x:f>
      </x:c>
      <x:c r="P31" s="13" t="str">
        <x:f>IF(COUNT(O31)=0,"",IF(G31+H31=0,IF(O31=0,0,999),ABS(O31)/(G31+H31)))</x:f>
      </x:c>
      <x:c r="Q31" s="13" t="str"/>
      <x:c r="R31" s="13" t="str">
        <x:f>IF(Q31=1,IF(AND(COUNT(P31)=1,P31&lt;='Controls'!$D$69),"PASS","FAIL"),"OPEN")</x:f>
        <x:v>OPEN</x:v>
      </x:c>
    </x:row>
    <x:row r="32">
      <x:c r="B32" s="13" t="str">
        <x:v>RAS-WL-026</x:v>
      </x:c>
      <x:c r="C32" s="13" t="str">
        <x:v>RAS-E026</x:v>
      </x:c>
      <x:c r="D32" s="13" t="str">
        <x:v>AM-05</x:v>
      </x:c>
      <x:c r="E32" s="13" t="str">
        <x:v>RFP-C1</x:v>
      </x:c>
      <x:c r="F32" s="13" t="n">
        <x:v>0</x:v>
      </x:c>
      <x:c r="G32" s="13" t="str"/>
      <x:c r="H32" s="13" t="str"/>
      <x:c r="I32" s="13" t="str"/>
      <x:c r="J32" s="13" t="str"/>
      <x:c r="K32" s="13" t="str"/>
      <x:c r="L32" s="13" t="str"/>
      <x:c r="M32" s="13" t="str"/>
      <x:c r="N32" s="13" t="str">
        <x:f>IF(COUNT(I32:M32)&lt;5,"",SUM(I32:M32))</x:f>
      </x:c>
      <x:c r="O32" s="13" t="str">
        <x:f>IF(COUNT(G32,H32,N32)&lt;3,"",G32+H32-N32)</x:f>
      </x:c>
      <x:c r="P32" s="13" t="str">
        <x:f>IF(COUNT(O32)=0,"",IF(G32+H32=0,IF(O32=0,0,999),ABS(O32)/(G32+H32)))</x:f>
      </x:c>
      <x:c r="Q32" s="13" t="str"/>
      <x:c r="R32" s="13" t="str">
        <x:f>IF(Q32=1,IF(AND(COUNT(P32)=1,P32&lt;='Controls'!$D$69),"PASS","FAIL"),"OPEN")</x:f>
        <x:v>OPEN</x:v>
      </x:c>
    </x:row>
    <x:row r="33">
      <x:c r="B33" s="13" t="str">
        <x:v>RAS-WL-027</x:v>
      </x:c>
      <x:c r="C33" s="13" t="str">
        <x:v>RAS-E027</x:v>
      </x:c>
      <x:c r="D33" s="13" t="str">
        <x:v>AM-05</x:v>
      </x:c>
      <x:c r="E33" s="13" t="str">
        <x:v>RFP-C1</x:v>
      </x:c>
      <x:c r="F33" s="13" t="n">
        <x:v>0</x:v>
      </x:c>
      <x:c r="G33" s="13" t="str"/>
      <x:c r="H33" s="13" t="str"/>
      <x:c r="I33" s="13" t="str"/>
      <x:c r="J33" s="13" t="str"/>
      <x:c r="K33" s="13" t="str"/>
      <x:c r="L33" s="13" t="str"/>
      <x:c r="M33" s="13" t="str"/>
      <x:c r="N33" s="13" t="str">
        <x:f>IF(COUNT(I33:M33)&lt;5,"",SUM(I33:M33))</x:f>
      </x:c>
      <x:c r="O33" s="13" t="str">
        <x:f>IF(COUNT(G33,H33,N33)&lt;3,"",G33+H33-N33)</x:f>
      </x:c>
      <x:c r="P33" s="13" t="str">
        <x:f>IF(COUNT(O33)=0,"",IF(G33+H33=0,IF(O33=0,0,999),ABS(O33)/(G33+H33)))</x:f>
      </x:c>
      <x:c r="Q33" s="13" t="str"/>
      <x:c r="R33" s="13" t="str">
        <x:f>IF(Q33=1,IF(AND(COUNT(P33)=1,P33&lt;='Controls'!$D$69),"PASS","FAIL"),"OPEN")</x:f>
        <x:v>OPEN</x:v>
      </x:c>
    </x:row>
    <x:row r="34">
      <x:c r="B34" s="13" t="str">
        <x:v>RAS-WL-028</x:v>
      </x:c>
      <x:c r="C34" s="13" t="str">
        <x:v>RAS-E028</x:v>
      </x:c>
      <x:c r="D34" s="13" t="str">
        <x:v>AM-05</x:v>
      </x:c>
      <x:c r="E34" s="13" t="str">
        <x:v>RFP-C1</x:v>
      </x:c>
      <x:c r="F34" s="13" t="n">
        <x:v>0</x:v>
      </x:c>
      <x:c r="G34" s="13" t="str"/>
      <x:c r="H34" s="13" t="str"/>
      <x:c r="I34" s="13" t="str"/>
      <x:c r="J34" s="13" t="str"/>
      <x:c r="K34" s="13" t="str"/>
      <x:c r="L34" s="13" t="str"/>
      <x:c r="M34" s="13" t="str"/>
      <x:c r="N34" s="13" t="str">
        <x:f>IF(COUNT(I34:M34)&lt;5,"",SUM(I34:M34))</x:f>
      </x:c>
      <x:c r="O34" s="13" t="str">
        <x:f>IF(COUNT(G34,H34,N34)&lt;3,"",G34+H34-N34)</x:f>
      </x:c>
      <x:c r="P34" s="13" t="str">
        <x:f>IF(COUNT(O34)=0,"",IF(G34+H34=0,IF(O34=0,0,999),ABS(O34)/(G34+H34)))</x:f>
      </x:c>
      <x:c r="Q34" s="13" t="str"/>
      <x:c r="R34" s="13" t="str">
        <x:f>IF(Q34=1,IF(AND(COUNT(P34)=1,P34&lt;='Controls'!$D$69),"PASS","FAIL"),"OPEN")</x:f>
        <x:v>OPEN</x:v>
      </x:c>
    </x:row>
    <x:row r="35">
      <x:c r="B35" s="13" t="str">
        <x:v>RAS-WL-029</x:v>
      </x:c>
      <x:c r="C35" s="13" t="str">
        <x:v>RAS-E029</x:v>
      </x:c>
      <x:c r="D35" s="13" t="str">
        <x:v>AM-05</x:v>
      </x:c>
      <x:c r="E35" s="13" t="str">
        <x:v>RFP-C1</x:v>
      </x:c>
      <x:c r="F35" s="13" t="n">
        <x:v>0</x:v>
      </x:c>
      <x:c r="G35" s="13" t="str"/>
      <x:c r="H35" s="13" t="str"/>
      <x:c r="I35" s="13" t="str"/>
      <x:c r="J35" s="13" t="str"/>
      <x:c r="K35" s="13" t="str"/>
      <x:c r="L35" s="13" t="str"/>
      <x:c r="M35" s="13" t="str"/>
      <x:c r="N35" s="13" t="str">
        <x:f>IF(COUNT(I35:M35)&lt;5,"",SUM(I35:M35))</x:f>
      </x:c>
      <x:c r="O35" s="13" t="str">
        <x:f>IF(COUNT(G35,H35,N35)&lt;3,"",G35+H35-N35)</x:f>
      </x:c>
      <x:c r="P35" s="13" t="str">
        <x:f>IF(COUNT(O35)=0,"",IF(G35+H35=0,IF(O35=0,0,999),ABS(O35)/(G35+H35)))</x:f>
      </x:c>
      <x:c r="Q35" s="13" t="str"/>
      <x:c r="R35" s="13" t="str">
        <x:f>IF(Q35=1,IF(AND(COUNT(P35)=1,P35&lt;='Controls'!$D$69),"PASS","FAIL"),"OPEN")</x:f>
        <x:v>OPEN</x:v>
      </x:c>
    </x:row>
    <x:row r="36">
      <x:c r="B36" s="13" t="str">
        <x:v>RAS-WL-030</x:v>
      </x:c>
      <x:c r="C36" s="13" t="str">
        <x:v>RAS-E030</x:v>
      </x:c>
      <x:c r="D36" s="13" t="str">
        <x:v>AM-05</x:v>
      </x:c>
      <x:c r="E36" s="13" t="str">
        <x:v>RFP-C1</x:v>
      </x:c>
      <x:c r="F36" s="13" t="n">
        <x:v>0</x:v>
      </x:c>
      <x:c r="G36" s="13" t="str"/>
      <x:c r="H36" s="13" t="str"/>
      <x:c r="I36" s="13" t="str"/>
      <x:c r="J36" s="13" t="str"/>
      <x:c r="K36" s="13" t="str"/>
      <x:c r="L36" s="13" t="str"/>
      <x:c r="M36" s="13" t="str"/>
      <x:c r="N36" s="13" t="str">
        <x:f>IF(COUNT(I36:M36)&lt;5,"",SUM(I36:M36))</x:f>
      </x:c>
      <x:c r="O36" s="13" t="str">
        <x:f>IF(COUNT(G36,H36,N36)&lt;3,"",G36+H36-N36)</x:f>
      </x:c>
      <x:c r="P36" s="13" t="str">
        <x:f>IF(COUNT(O36)=0,"",IF(G36+H36=0,IF(O36=0,0,999),ABS(O36)/(G36+H36)))</x:f>
      </x:c>
      <x:c r="Q36" s="13" t="str"/>
      <x:c r="R36" s="13" t="str">
        <x:f>IF(Q36=1,IF(AND(COUNT(P36)=1,P36&lt;='Controls'!$D$69),"PASS","FAIL"),"OPEN")</x:f>
        <x:v>OPEN</x:v>
      </x:c>
    </x:row>
    <x:row r="37">
      <x:c r="B37" s="13" t="str">
        <x:v>RAS-WL-031</x:v>
      </x:c>
      <x:c r="C37" s="13" t="str">
        <x:v>RAS-E031</x:v>
      </x:c>
      <x:c r="D37" s="13" t="str">
        <x:v>AM-05</x:v>
      </x:c>
      <x:c r="E37" s="13" t="str">
        <x:v>RFP-C2</x:v>
      </x:c>
      <x:c r="F37" s="13" t="n">
        <x:v>0</x:v>
      </x:c>
      <x:c r="G37" s="13" t="str"/>
      <x:c r="H37" s="13" t="str"/>
      <x:c r="I37" s="13" t="str"/>
      <x:c r="J37" s="13" t="str"/>
      <x:c r="K37" s="13" t="str"/>
      <x:c r="L37" s="13" t="str"/>
      <x:c r="M37" s="13" t="str"/>
      <x:c r="N37" s="13" t="str">
        <x:f>IF(COUNT(I37:M37)&lt;5,"",SUM(I37:M37))</x:f>
      </x:c>
      <x:c r="O37" s="13" t="str">
        <x:f>IF(COUNT(G37,H37,N37)&lt;3,"",G37+H37-N37)</x:f>
      </x:c>
      <x:c r="P37" s="13" t="str">
        <x:f>IF(COUNT(O37)=0,"",IF(G37+H37=0,IF(O37=0,0,999),ABS(O37)/(G37+H37)))</x:f>
      </x:c>
      <x:c r="Q37" s="13" t="str"/>
      <x:c r="R37" s="13" t="str">
        <x:f>IF(Q37=1,IF(AND(COUNT(P37)=1,P37&lt;='Controls'!$D$69),"PASS","FAIL"),"OPEN")</x:f>
        <x:v>OPEN</x:v>
      </x:c>
    </x:row>
    <x:row r="38">
      <x:c r="B38" s="13" t="str">
        <x:v>RAS-WL-032</x:v>
      </x:c>
      <x:c r="C38" s="13" t="str">
        <x:v>RAS-E032</x:v>
      </x:c>
      <x:c r="D38" s="13" t="str">
        <x:v>AM-05</x:v>
      </x:c>
      <x:c r="E38" s="13" t="str">
        <x:v>RFP-C2</x:v>
      </x:c>
      <x:c r="F38" s="13" t="n">
        <x:v>0</x:v>
      </x:c>
      <x:c r="G38" s="13" t="str"/>
      <x:c r="H38" s="13" t="str"/>
      <x:c r="I38" s="13" t="str"/>
      <x:c r="J38" s="13" t="str"/>
      <x:c r="K38" s="13" t="str"/>
      <x:c r="L38" s="13" t="str"/>
      <x:c r="M38" s="13" t="str"/>
      <x:c r="N38" s="13" t="str">
        <x:f>IF(COUNT(I38:M38)&lt;5,"",SUM(I38:M38))</x:f>
      </x:c>
      <x:c r="O38" s="13" t="str">
        <x:f>IF(COUNT(G38,H38,N38)&lt;3,"",G38+H38-N38)</x:f>
      </x:c>
      <x:c r="P38" s="13" t="str">
        <x:f>IF(COUNT(O38)=0,"",IF(G38+H38=0,IF(O38=0,0,999),ABS(O38)/(G38+H38)))</x:f>
      </x:c>
      <x:c r="Q38" s="13" t="str"/>
      <x:c r="R38" s="13" t="str">
        <x:f>IF(Q38=1,IF(AND(COUNT(P38)=1,P38&lt;='Controls'!$D$69),"PASS","FAIL"),"OPEN")</x:f>
        <x:v>OPEN</x:v>
      </x:c>
    </x:row>
    <x:row r="39">
      <x:c r="B39" s="13" t="str">
        <x:v>RAS-WL-033</x:v>
      </x:c>
      <x:c r="C39" s="13" t="str">
        <x:v>RAS-E033</x:v>
      </x:c>
      <x:c r="D39" s="13" t="str">
        <x:v>AM-05</x:v>
      </x:c>
      <x:c r="E39" s="13" t="str">
        <x:v>RFP-C2</x:v>
      </x:c>
      <x:c r="F39" s="13" t="n">
        <x:v>0</x:v>
      </x:c>
      <x:c r="G39" s="13" t="str"/>
      <x:c r="H39" s="13" t="str"/>
      <x:c r="I39" s="13" t="str"/>
      <x:c r="J39" s="13" t="str"/>
      <x:c r="K39" s="13" t="str"/>
      <x:c r="L39" s="13" t="str"/>
      <x:c r="M39" s="13" t="str"/>
      <x:c r="N39" s="13" t="str">
        <x:f>IF(COUNT(I39:M39)&lt;5,"",SUM(I39:M39))</x:f>
      </x:c>
      <x:c r="O39" s="13" t="str">
        <x:f>IF(COUNT(G39,H39,N39)&lt;3,"",G39+H39-N39)</x:f>
      </x:c>
      <x:c r="P39" s="13" t="str">
        <x:f>IF(COUNT(O39)=0,"",IF(G39+H39=0,IF(O39=0,0,999),ABS(O39)/(G39+H39)))</x:f>
      </x:c>
      <x:c r="Q39" s="13" t="str"/>
      <x:c r="R39" s="13" t="str">
        <x:f>IF(Q39=1,IF(AND(COUNT(P39)=1,P39&lt;='Controls'!$D$69),"PASS","FAIL"),"OPEN")</x:f>
        <x:v>OPEN</x:v>
      </x:c>
    </x:row>
    <x:row r="40">
      <x:c r="B40" s="13" t="str">
        <x:v>RAS-WL-034</x:v>
      </x:c>
      <x:c r="C40" s="13" t="str">
        <x:v>RAS-E034</x:v>
      </x:c>
      <x:c r="D40" s="13" t="str">
        <x:v>AM-05</x:v>
      </x:c>
      <x:c r="E40" s="13" t="str">
        <x:v>RFP-C2</x:v>
      </x:c>
      <x:c r="F40" s="13" t="n">
        <x:v>0</x:v>
      </x:c>
      <x:c r="G40" s="13" t="str"/>
      <x:c r="H40" s="13" t="str"/>
      <x:c r="I40" s="13" t="str"/>
      <x:c r="J40" s="13" t="str"/>
      <x:c r="K40" s="13" t="str"/>
      <x:c r="L40" s="13" t="str"/>
      <x:c r="M40" s="13" t="str"/>
      <x:c r="N40" s="13" t="str">
        <x:f>IF(COUNT(I40:M40)&lt;5,"",SUM(I40:M40))</x:f>
      </x:c>
      <x:c r="O40" s="13" t="str">
        <x:f>IF(COUNT(G40,H40,N40)&lt;3,"",G40+H40-N40)</x:f>
      </x:c>
      <x:c r="P40" s="13" t="str">
        <x:f>IF(COUNT(O40)=0,"",IF(G40+H40=0,IF(O40=0,0,999),ABS(O40)/(G40+H40)))</x:f>
      </x:c>
      <x:c r="Q40" s="13" t="str"/>
      <x:c r="R40" s="13" t="str">
        <x:f>IF(Q40=1,IF(AND(COUNT(P40)=1,P40&lt;='Controls'!$D$69),"PASS","FAIL"),"OPEN")</x:f>
        <x:v>OPEN</x:v>
      </x:c>
    </x:row>
    <x:row r="41">
      <x:c r="B41" s="13" t="str">
        <x:v>RAS-WL-035</x:v>
      </x:c>
      <x:c r="C41" s="13" t="str">
        <x:v>RAS-E035</x:v>
      </x:c>
      <x:c r="D41" s="13" t="str">
        <x:v>AM-05</x:v>
      </x:c>
      <x:c r="E41" s="13" t="str">
        <x:v>RFP-C2</x:v>
      </x:c>
      <x:c r="F41" s="13" t="n">
        <x:v>0</x:v>
      </x:c>
      <x:c r="G41" s="13" t="str"/>
      <x:c r="H41" s="13" t="str"/>
      <x:c r="I41" s="13" t="str"/>
      <x:c r="J41" s="13" t="str"/>
      <x:c r="K41" s="13" t="str"/>
      <x:c r="L41" s="13" t="str"/>
      <x:c r="M41" s="13" t="str"/>
      <x:c r="N41" s="13" t="str">
        <x:f>IF(COUNT(I41:M41)&lt;5,"",SUM(I41:M41))</x:f>
      </x:c>
      <x:c r="O41" s="13" t="str">
        <x:f>IF(COUNT(G41,H41,N41)&lt;3,"",G41+H41-N41)</x:f>
      </x:c>
      <x:c r="P41" s="13" t="str">
        <x:f>IF(COUNT(O41)=0,"",IF(G41+H41=0,IF(O41=0,0,999),ABS(O41)/(G41+H41)))</x:f>
      </x:c>
      <x:c r="Q41" s="13" t="str"/>
      <x:c r="R41" s="13" t="str">
        <x:f>IF(Q41=1,IF(AND(COUNT(P41)=1,P41&lt;='Controls'!$D$69),"PASS","FAIL"),"OPEN")</x:f>
        <x:v>OPEN</x:v>
      </x:c>
    </x:row>
    <x:row r="42">
      <x:c r="B42" s="13" t="str">
        <x:v>RAS-WL-036</x:v>
      </x:c>
      <x:c r="C42" s="13" t="str">
        <x:v>RAS-E036</x:v>
      </x:c>
      <x:c r="D42" s="13" t="str">
        <x:v>AM-05</x:v>
      </x:c>
      <x:c r="E42" s="13" t="str">
        <x:v>RFP-C2</x:v>
      </x:c>
      <x:c r="F42" s="13" t="n">
        <x:v>0</x:v>
      </x:c>
      <x:c r="G42" s="13" t="str"/>
      <x:c r="H42" s="13" t="str"/>
      <x:c r="I42" s="13" t="str"/>
      <x:c r="J42" s="13" t="str"/>
      <x:c r="K42" s="13" t="str"/>
      <x:c r="L42" s="13" t="str"/>
      <x:c r="M42" s="13" t="str"/>
      <x:c r="N42" s="13" t="str">
        <x:f>IF(COUNT(I42:M42)&lt;5,"",SUM(I42:M42))</x:f>
      </x:c>
      <x:c r="O42" s="13" t="str">
        <x:f>IF(COUNT(G42,H42,N42)&lt;3,"",G42+H42-N42)</x:f>
      </x:c>
      <x:c r="P42" s="13" t="str">
        <x:f>IF(COUNT(O42)=0,"",IF(G42+H42=0,IF(O42=0,0,999),ABS(O42)/(G42+H42)))</x:f>
      </x:c>
      <x:c r="Q42" s="13" t="str"/>
      <x:c r="R42" s="13" t="str">
        <x:f>IF(Q42=1,IF(AND(COUNT(P42)=1,P42&lt;='Controls'!$D$69),"PASS","FAIL"),"OPEN")</x:f>
        <x:v>OPEN</x:v>
      </x:c>
    </x:row>
    <x:row r="43">
      <x:c r="B43" s="13" t="str">
        <x:v>RAS-WL-037</x:v>
      </x:c>
      <x:c r="C43" s="13" t="str">
        <x:v>RAS-E037</x:v>
      </x:c>
      <x:c r="D43" s="13" t="str">
        <x:v>AM-05</x:v>
      </x:c>
      <x:c r="E43" s="13" t="str">
        <x:v>RFP-A1</x:v>
      </x:c>
      <x:c r="F43" s="13" t="n">
        <x:v>0</x:v>
      </x:c>
      <x:c r="G43" s="13" t="str"/>
      <x:c r="H43" s="13" t="str"/>
      <x:c r="I43" s="13" t="str"/>
      <x:c r="J43" s="13" t="str"/>
      <x:c r="K43" s="13" t="str"/>
      <x:c r="L43" s="13" t="str"/>
      <x:c r="M43" s="13" t="str"/>
      <x:c r="N43" s="13" t="str">
        <x:f>IF(COUNT(I43:M43)&lt;5,"",SUM(I43:M43))</x:f>
      </x:c>
      <x:c r="O43" s="13" t="str">
        <x:f>IF(COUNT(G43,H43,N43)&lt;3,"",G43+H43-N43)</x:f>
      </x:c>
      <x:c r="P43" s="13" t="str">
        <x:f>IF(COUNT(O43)=0,"",IF(G43+H43=0,IF(O43=0,0,999),ABS(O43)/(G43+H43)))</x:f>
      </x:c>
      <x:c r="Q43" s="13" t="str"/>
      <x:c r="R43" s="13" t="str">
        <x:f>IF(Q43=1,IF(AND(COUNT(P43)=1,P43&lt;='Controls'!$D$69),"PASS","FAIL"),"OPEN")</x:f>
        <x:v>OPEN</x:v>
      </x:c>
    </x:row>
    <x:row r="44">
      <x:c r="B44" s="13" t="str">
        <x:v>RAS-WL-038</x:v>
      </x:c>
      <x:c r="C44" s="13" t="str">
        <x:v>RAS-E038</x:v>
      </x:c>
      <x:c r="D44" s="13" t="str">
        <x:v>AM-05</x:v>
      </x:c>
      <x:c r="E44" s="13" t="str">
        <x:v>RFP-A1</x:v>
      </x:c>
      <x:c r="F44" s="13" t="n">
        <x:v>0</x:v>
      </x:c>
      <x:c r="G44" s="13" t="str"/>
      <x:c r="H44" s="13" t="str"/>
      <x:c r="I44" s="13" t="str"/>
      <x:c r="J44" s="13" t="str"/>
      <x:c r="K44" s="13" t="str"/>
      <x:c r="L44" s="13" t="str"/>
      <x:c r="M44" s="13" t="str"/>
      <x:c r="N44" s="13" t="str">
        <x:f>IF(COUNT(I44:M44)&lt;5,"",SUM(I44:M44))</x:f>
      </x:c>
      <x:c r="O44" s="13" t="str">
        <x:f>IF(COUNT(G44,H44,N44)&lt;3,"",G44+H44-N44)</x:f>
      </x:c>
      <x:c r="P44" s="13" t="str">
        <x:f>IF(COUNT(O44)=0,"",IF(G44+H44=0,IF(O44=0,0,999),ABS(O44)/(G44+H44)))</x:f>
      </x:c>
      <x:c r="Q44" s="13" t="str"/>
      <x:c r="R44" s="13" t="str">
        <x:f>IF(Q44=1,IF(AND(COUNT(P44)=1,P44&lt;='Controls'!$D$69),"PASS","FAIL"),"OPEN")</x:f>
        <x:v>OPEN</x:v>
      </x:c>
    </x:row>
    <x:row r="45">
      <x:c r="B45" s="13" t="str">
        <x:v>RAS-WL-039</x:v>
      </x:c>
      <x:c r="C45" s="13" t="str">
        <x:v>RAS-E039</x:v>
      </x:c>
      <x:c r="D45" s="13" t="str">
        <x:v>AM-05</x:v>
      </x:c>
      <x:c r="E45" s="13" t="str">
        <x:v>RFP-A1</x:v>
      </x:c>
      <x:c r="F45" s="13" t="n">
        <x:v>0</x:v>
      </x:c>
      <x:c r="G45" s="13" t="str"/>
      <x:c r="H45" s="13" t="str"/>
      <x:c r="I45" s="13" t="str"/>
      <x:c r="J45" s="13" t="str"/>
      <x:c r="K45" s="13" t="str"/>
      <x:c r="L45" s="13" t="str"/>
      <x:c r="M45" s="13" t="str"/>
      <x:c r="N45" s="13" t="str">
        <x:f>IF(COUNT(I45:M45)&lt;5,"",SUM(I45:M45))</x:f>
      </x:c>
      <x:c r="O45" s="13" t="str">
        <x:f>IF(COUNT(G45,H45,N45)&lt;3,"",G45+H45-N45)</x:f>
      </x:c>
      <x:c r="P45" s="13" t="str">
        <x:f>IF(COUNT(O45)=0,"",IF(G45+H45=0,IF(O45=0,0,999),ABS(O45)/(G45+H45)))</x:f>
      </x:c>
      <x:c r="Q45" s="13" t="str"/>
      <x:c r="R45" s="13" t="str">
        <x:f>IF(Q45=1,IF(AND(COUNT(P45)=1,P45&lt;='Controls'!$D$69),"PASS","FAIL"),"OPEN")</x:f>
        <x:v>OPEN</x:v>
      </x:c>
    </x:row>
    <x:row r="46">
      <x:c r="B46" s="13" t="str">
        <x:v>RAS-WL-040</x:v>
      </x:c>
      <x:c r="C46" s="13" t="str">
        <x:v>RAS-E040</x:v>
      </x:c>
      <x:c r="D46" s="13" t="str">
        <x:v>AM-05</x:v>
      </x:c>
      <x:c r="E46" s="13" t="str">
        <x:v>RFP-A1</x:v>
      </x:c>
      <x:c r="F46" s="13" t="n">
        <x:v>0</x:v>
      </x:c>
      <x:c r="G46" s="13" t="str"/>
      <x:c r="H46" s="13" t="str"/>
      <x:c r="I46" s="13" t="str"/>
      <x:c r="J46" s="13" t="str"/>
      <x:c r="K46" s="13" t="str"/>
      <x:c r="L46" s="13" t="str"/>
      <x:c r="M46" s="13" t="str"/>
      <x:c r="N46" s="13" t="str">
        <x:f>IF(COUNT(I46:M46)&lt;5,"",SUM(I46:M46))</x:f>
      </x:c>
      <x:c r="O46" s="13" t="str">
        <x:f>IF(COUNT(G46,H46,N46)&lt;3,"",G46+H46-N46)</x:f>
      </x:c>
      <x:c r="P46" s="13" t="str">
        <x:f>IF(COUNT(O46)=0,"",IF(G46+H46=0,IF(O46=0,0,999),ABS(O46)/(G46+H46)))</x:f>
      </x:c>
      <x:c r="Q46" s="13" t="str"/>
      <x:c r="R46" s="13" t="str">
        <x:f>IF(Q46=1,IF(AND(COUNT(P46)=1,P46&lt;='Controls'!$D$69),"PASS","FAIL"),"OPEN")</x:f>
        <x:v>OPEN</x:v>
      </x:c>
    </x:row>
    <x:row r="47">
      <x:c r="B47" s="13" t="str">
        <x:v>RAS-WL-041</x:v>
      </x:c>
      <x:c r="C47" s="13" t="str">
        <x:v>RAS-E041</x:v>
      </x:c>
      <x:c r="D47" s="13" t="str">
        <x:v>AM-05</x:v>
      </x:c>
      <x:c r="E47" s="13" t="str">
        <x:v>RFP-A1</x:v>
      </x:c>
      <x:c r="F47" s="13" t="n">
        <x:v>0</x:v>
      </x:c>
      <x:c r="G47" s="13" t="str"/>
      <x:c r="H47" s="13" t="str"/>
      <x:c r="I47" s="13" t="str"/>
      <x:c r="J47" s="13" t="str"/>
      <x:c r="K47" s="13" t="str"/>
      <x:c r="L47" s="13" t="str"/>
      <x:c r="M47" s="13" t="str"/>
      <x:c r="N47" s="13" t="str">
        <x:f>IF(COUNT(I47:M47)&lt;5,"",SUM(I47:M47))</x:f>
      </x:c>
      <x:c r="O47" s="13" t="str">
        <x:f>IF(COUNT(G47,H47,N47)&lt;3,"",G47+H47-N47)</x:f>
      </x:c>
      <x:c r="P47" s="13" t="str">
        <x:f>IF(COUNT(O47)=0,"",IF(G47+H47=0,IF(O47=0,0,999),ABS(O47)/(G47+H47)))</x:f>
      </x:c>
      <x:c r="Q47" s="13" t="str"/>
      <x:c r="R47" s="13" t="str">
        <x:f>IF(Q47=1,IF(AND(COUNT(P47)=1,P47&lt;='Controls'!$D$69),"PASS","FAIL"),"OPEN")</x:f>
        <x:v>OPEN</x:v>
      </x:c>
    </x:row>
    <x:row r="48">
      <x:c r="B48" s="13" t="str">
        <x:v>RAS-WL-042</x:v>
      </x:c>
      <x:c r="C48" s="13" t="str">
        <x:v>RAS-E042</x:v>
      </x:c>
      <x:c r="D48" s="13" t="str">
        <x:v>AM-05</x:v>
      </x:c>
      <x:c r="E48" s="13" t="str">
        <x:v>RFP-A1</x:v>
      </x:c>
      <x:c r="F48" s="13" t="n">
        <x:v>0</x:v>
      </x:c>
      <x:c r="G48" s="13" t="str"/>
      <x:c r="H48" s="13" t="str"/>
      <x:c r="I48" s="13" t="str"/>
      <x:c r="J48" s="13" t="str"/>
      <x:c r="K48" s="13" t="str"/>
      <x:c r="L48" s="13" t="str"/>
      <x:c r="M48" s="13" t="str"/>
      <x:c r="N48" s="13" t="str">
        <x:f>IF(COUNT(I48:M48)&lt;5,"",SUM(I48:M48))</x:f>
      </x:c>
      <x:c r="O48" s="13" t="str">
        <x:f>IF(COUNT(G48,H48,N48)&lt;3,"",G48+H48-N48)</x:f>
      </x:c>
      <x:c r="P48" s="13" t="str">
        <x:f>IF(COUNT(O48)=0,"",IF(G48+H48=0,IF(O48=0,0,999),ABS(O48)/(G48+H48)))</x:f>
      </x:c>
      <x:c r="Q48" s="13" t="str"/>
      <x:c r="R48" s="13" t="str">
        <x:f>IF(Q48=1,IF(AND(COUNT(P48)=1,P48&lt;='Controls'!$D$69),"PASS","FAIL"),"OPEN")</x:f>
        <x:v>OPEN</x:v>
      </x:c>
    </x:row>
    <x:row r="49">
      <x:c r="B49" s="13" t="str">
        <x:v>RAS-WL-043</x:v>
      </x:c>
      <x:c r="C49" s="13" t="str">
        <x:v>RAS-E043</x:v>
      </x:c>
      <x:c r="D49" s="13" t="str">
        <x:v>AM-05</x:v>
      </x:c>
      <x:c r="E49" s="13" t="str">
        <x:v>RFP-A2</x:v>
      </x:c>
      <x:c r="F49" s="13" t="n">
        <x:v>0</x:v>
      </x:c>
      <x:c r="G49" s="13" t="str"/>
      <x:c r="H49" s="13" t="str"/>
      <x:c r="I49" s="13" t="str"/>
      <x:c r="J49" s="13" t="str"/>
      <x:c r="K49" s="13" t="str"/>
      <x:c r="L49" s="13" t="str"/>
      <x:c r="M49" s="13" t="str"/>
      <x:c r="N49" s="13" t="str">
        <x:f>IF(COUNT(I49:M49)&lt;5,"",SUM(I49:M49))</x:f>
      </x:c>
      <x:c r="O49" s="13" t="str">
        <x:f>IF(COUNT(G49,H49,N49)&lt;3,"",G49+H49-N49)</x:f>
      </x:c>
      <x:c r="P49" s="13" t="str">
        <x:f>IF(COUNT(O49)=0,"",IF(G49+H49=0,IF(O49=0,0,999),ABS(O49)/(G49+H49)))</x:f>
      </x:c>
      <x:c r="Q49" s="13" t="str"/>
      <x:c r="R49" s="13" t="str">
        <x:f>IF(Q49=1,IF(AND(COUNT(P49)=1,P49&lt;='Controls'!$D$69),"PASS","FAIL"),"OPEN")</x:f>
        <x:v>OPEN</x:v>
      </x:c>
    </x:row>
    <x:row r="50">
      <x:c r="B50" s="13" t="str">
        <x:v>RAS-WL-044</x:v>
      </x:c>
      <x:c r="C50" s="13" t="str">
        <x:v>RAS-E044</x:v>
      </x:c>
      <x:c r="D50" s="13" t="str">
        <x:v>AM-05</x:v>
      </x:c>
      <x:c r="E50" s="13" t="str">
        <x:v>RFP-A2</x:v>
      </x:c>
      <x:c r="F50" s="13" t="n">
        <x:v>0</x:v>
      </x:c>
      <x:c r="G50" s="13" t="str"/>
      <x:c r="H50" s="13" t="str"/>
      <x:c r="I50" s="13" t="str"/>
      <x:c r="J50" s="13" t="str"/>
      <x:c r="K50" s="13" t="str"/>
      <x:c r="L50" s="13" t="str"/>
      <x:c r="M50" s="13" t="str"/>
      <x:c r="N50" s="13" t="str">
        <x:f>IF(COUNT(I50:M50)&lt;5,"",SUM(I50:M50))</x:f>
      </x:c>
      <x:c r="O50" s="13" t="str">
        <x:f>IF(COUNT(G50,H50,N50)&lt;3,"",G50+H50-N50)</x:f>
      </x:c>
      <x:c r="P50" s="13" t="str">
        <x:f>IF(COUNT(O50)=0,"",IF(G50+H50=0,IF(O50=0,0,999),ABS(O50)/(G50+H50)))</x:f>
      </x:c>
      <x:c r="Q50" s="13" t="str"/>
      <x:c r="R50" s="13" t="str">
        <x:f>IF(Q50=1,IF(AND(COUNT(P50)=1,P50&lt;='Controls'!$D$69),"PASS","FAIL"),"OPEN")</x:f>
        <x:v>OPEN</x:v>
      </x:c>
    </x:row>
    <x:row r="51">
      <x:c r="B51" s="13" t="str">
        <x:v>RAS-WL-045</x:v>
      </x:c>
      <x:c r="C51" s="13" t="str">
        <x:v>RAS-E045</x:v>
      </x:c>
      <x:c r="D51" s="13" t="str">
        <x:v>AM-05</x:v>
      </x:c>
      <x:c r="E51" s="13" t="str">
        <x:v>RFP-A2</x:v>
      </x:c>
      <x:c r="F51" s="13" t="n">
        <x:v>0</x:v>
      </x:c>
      <x:c r="G51" s="13" t="str"/>
      <x:c r="H51" s="13" t="str"/>
      <x:c r="I51" s="13" t="str"/>
      <x:c r="J51" s="13" t="str"/>
      <x:c r="K51" s="13" t="str"/>
      <x:c r="L51" s="13" t="str"/>
      <x:c r="M51" s="13" t="str"/>
      <x:c r="N51" s="13" t="str">
        <x:f>IF(COUNT(I51:M51)&lt;5,"",SUM(I51:M51))</x:f>
      </x:c>
      <x:c r="O51" s="13" t="str">
        <x:f>IF(COUNT(G51,H51,N51)&lt;3,"",G51+H51-N51)</x:f>
      </x:c>
      <x:c r="P51" s="13" t="str">
        <x:f>IF(COUNT(O51)=0,"",IF(G51+H51=0,IF(O51=0,0,999),ABS(O51)/(G51+H51)))</x:f>
      </x:c>
      <x:c r="Q51" s="13" t="str"/>
      <x:c r="R51" s="13" t="str">
        <x:f>IF(Q51=1,IF(AND(COUNT(P51)=1,P51&lt;='Controls'!$D$69),"PASS","FAIL"),"OPEN")</x:f>
        <x:v>OPEN</x:v>
      </x:c>
    </x:row>
    <x:row r="52">
      <x:c r="B52" s="13" t="str">
        <x:v>RAS-WL-046</x:v>
      </x:c>
      <x:c r="C52" s="13" t="str">
        <x:v>RAS-E046</x:v>
      </x:c>
      <x:c r="D52" s="13" t="str">
        <x:v>AM-05</x:v>
      </x:c>
      <x:c r="E52" s="13" t="str">
        <x:v>RFP-A2</x:v>
      </x:c>
      <x:c r="F52" s="13" t="n">
        <x:v>0</x:v>
      </x:c>
      <x:c r="G52" s="13" t="str"/>
      <x:c r="H52" s="13" t="str"/>
      <x:c r="I52" s="13" t="str"/>
      <x:c r="J52" s="13" t="str"/>
      <x:c r="K52" s="13" t="str"/>
      <x:c r="L52" s="13" t="str"/>
      <x:c r="M52" s="13" t="str"/>
      <x:c r="N52" s="13" t="str">
        <x:f>IF(COUNT(I52:M52)&lt;5,"",SUM(I52:M52))</x:f>
      </x:c>
      <x:c r="O52" s="13" t="str">
        <x:f>IF(COUNT(G52,H52,N52)&lt;3,"",G52+H52-N52)</x:f>
      </x:c>
      <x:c r="P52" s="13" t="str">
        <x:f>IF(COUNT(O52)=0,"",IF(G52+H52=0,IF(O52=0,0,999),ABS(O52)/(G52+H52)))</x:f>
      </x:c>
      <x:c r="Q52" s="13" t="str"/>
      <x:c r="R52" s="13" t="str">
        <x:f>IF(Q52=1,IF(AND(COUNT(P52)=1,P52&lt;='Controls'!$D$69),"PASS","FAIL"),"OPEN")</x:f>
        <x:v>OPEN</x:v>
      </x:c>
    </x:row>
    <x:row r="53">
      <x:c r="B53" s="13" t="str">
        <x:v>RAS-WL-047</x:v>
      </x:c>
      <x:c r="C53" s="13" t="str">
        <x:v>RAS-E047</x:v>
      </x:c>
      <x:c r="D53" s="13" t="str">
        <x:v>AM-05</x:v>
      </x:c>
      <x:c r="E53" s="13" t="str">
        <x:v>RFP-A2</x:v>
      </x:c>
      <x:c r="F53" s="13" t="n">
        <x:v>0</x:v>
      </x:c>
      <x:c r="G53" s="13" t="str"/>
      <x:c r="H53" s="13" t="str"/>
      <x:c r="I53" s="13" t="str"/>
      <x:c r="J53" s="13" t="str"/>
      <x:c r="K53" s="13" t="str"/>
      <x:c r="L53" s="13" t="str"/>
      <x:c r="M53" s="13" t="str"/>
      <x:c r="N53" s="13" t="str">
        <x:f>IF(COUNT(I53:M53)&lt;5,"",SUM(I53:M53))</x:f>
      </x:c>
      <x:c r="O53" s="13" t="str">
        <x:f>IF(COUNT(G53,H53,N53)&lt;3,"",G53+H53-N53)</x:f>
      </x:c>
      <x:c r="P53" s="13" t="str">
        <x:f>IF(COUNT(O53)=0,"",IF(G53+H53=0,IF(O53=0,0,999),ABS(O53)/(G53+H53)))</x:f>
      </x:c>
      <x:c r="Q53" s="13" t="str"/>
      <x:c r="R53" s="13" t="str">
        <x:f>IF(Q53=1,IF(AND(COUNT(P53)=1,P53&lt;='Controls'!$D$69),"PASS","FAIL"),"OPEN")</x:f>
        <x:v>OPEN</x:v>
      </x:c>
    </x:row>
    <x:row r="54">
      <x:c r="B54" s="13" t="str">
        <x:v>RAS-WL-048</x:v>
      </x:c>
      <x:c r="C54" s="13" t="str">
        <x:v>RAS-E048</x:v>
      </x:c>
      <x:c r="D54" s="13" t="str">
        <x:v>AM-05</x:v>
      </x:c>
      <x:c r="E54" s="13" t="str">
        <x:v>RFP-A2</x:v>
      </x:c>
      <x:c r="F54" s="13" t="n">
        <x:v>0</x:v>
      </x:c>
      <x:c r="G54" s="13" t="str"/>
      <x:c r="H54" s="13" t="str"/>
      <x:c r="I54" s="13" t="str"/>
      <x:c r="J54" s="13" t="str"/>
      <x:c r="K54" s="13" t="str"/>
      <x:c r="L54" s="13" t="str"/>
      <x:c r="M54" s="13" t="str"/>
      <x:c r="N54" s="13" t="str">
        <x:f>IF(COUNT(I54:M54)&lt;5,"",SUM(I54:M54))</x:f>
      </x:c>
      <x:c r="O54" s="13" t="str">
        <x:f>IF(COUNT(G54,H54,N54)&lt;3,"",G54+H54-N54)</x:f>
      </x:c>
      <x:c r="P54" s="13" t="str">
        <x:f>IF(COUNT(O54)=0,"",IF(G54+H54=0,IF(O54=0,0,999),ABS(O54)/(G54+H54)))</x:f>
      </x:c>
      <x:c r="Q54" s="13" t="str"/>
      <x:c r="R54" s="13" t="str">
        <x:f>IF(Q54=1,IF(AND(COUNT(P54)=1,P54&lt;='Controls'!$D$69),"PASS","FAIL"),"OPEN")</x:f>
        <x:v>OPEN</x:v>
      </x:c>
    </x:row>
    <x:row r="55">
      <x:c r="B55" s="13" t="str">
        <x:v>RAS-WL-049</x:v>
      </x:c>
      <x:c r="C55" s="13" t="str">
        <x:v>RAS-E049</x:v>
      </x:c>
      <x:c r="D55" s="13" t="str">
        <x:v>AM-05</x:v>
      </x:c>
      <x:c r="E55" s="13" t="str">
        <x:v>RFP-B1</x:v>
      </x:c>
      <x:c r="F55" s="13" t="n">
        <x:v>0</x:v>
      </x:c>
      <x:c r="G55" s="13" t="str"/>
      <x:c r="H55" s="13" t="str"/>
      <x:c r="I55" s="13" t="str"/>
      <x:c r="J55" s="13" t="str"/>
      <x:c r="K55" s="13" t="str"/>
      <x:c r="L55" s="13" t="str"/>
      <x:c r="M55" s="13" t="str"/>
      <x:c r="N55" s="13" t="str">
        <x:f>IF(COUNT(I55:M55)&lt;5,"",SUM(I55:M55))</x:f>
      </x:c>
      <x:c r="O55" s="13" t="str">
        <x:f>IF(COUNT(G55,H55,N55)&lt;3,"",G55+H55-N55)</x:f>
      </x:c>
      <x:c r="P55" s="13" t="str">
        <x:f>IF(COUNT(O55)=0,"",IF(G55+H55=0,IF(O55=0,0,999),ABS(O55)/(G55+H55)))</x:f>
      </x:c>
      <x:c r="Q55" s="13" t="str"/>
      <x:c r="R55" s="13" t="str">
        <x:f>IF(Q55=1,IF(AND(COUNT(P55)=1,P55&lt;='Controls'!$D$69),"PASS","FAIL"),"OPEN")</x:f>
        <x:v>OPEN</x:v>
      </x:c>
    </x:row>
    <x:row r="56">
      <x:c r="B56" s="13" t="str">
        <x:v>RAS-WL-050</x:v>
      </x:c>
      <x:c r="C56" s="13" t="str">
        <x:v>RAS-E050</x:v>
      </x:c>
      <x:c r="D56" s="13" t="str">
        <x:v>AM-05</x:v>
      </x:c>
      <x:c r="E56" s="13" t="str">
        <x:v>RFP-B1</x:v>
      </x:c>
      <x:c r="F56" s="13" t="n">
        <x:v>0</x:v>
      </x:c>
      <x:c r="G56" s="13" t="str"/>
      <x:c r="H56" s="13" t="str"/>
      <x:c r="I56" s="13" t="str"/>
      <x:c r="J56" s="13" t="str"/>
      <x:c r="K56" s="13" t="str"/>
      <x:c r="L56" s="13" t="str"/>
      <x:c r="M56" s="13" t="str"/>
      <x:c r="N56" s="13" t="str">
        <x:f>IF(COUNT(I56:M56)&lt;5,"",SUM(I56:M56))</x:f>
      </x:c>
      <x:c r="O56" s="13" t="str">
        <x:f>IF(COUNT(G56,H56,N56)&lt;3,"",G56+H56-N56)</x:f>
      </x:c>
      <x:c r="P56" s="13" t="str">
        <x:f>IF(COUNT(O56)=0,"",IF(G56+H56=0,IF(O56=0,0,999),ABS(O56)/(G56+H56)))</x:f>
      </x:c>
      <x:c r="Q56" s="13" t="str"/>
      <x:c r="R56" s="13" t="str">
        <x:f>IF(Q56=1,IF(AND(COUNT(P56)=1,P56&lt;='Controls'!$D$69),"PASS","FAIL"),"OPEN")</x:f>
        <x:v>OPEN</x:v>
      </x:c>
    </x:row>
    <x:row r="57">
      <x:c r="B57" s="13" t="str">
        <x:v>RAS-WL-051</x:v>
      </x:c>
      <x:c r="C57" s="13" t="str">
        <x:v>RAS-E051</x:v>
      </x:c>
      <x:c r="D57" s="13" t="str">
        <x:v>AM-05</x:v>
      </x:c>
      <x:c r="E57" s="13" t="str">
        <x:v>RFP-B1</x:v>
      </x:c>
      <x:c r="F57" s="13" t="n">
        <x:v>0</x:v>
      </x:c>
      <x:c r="G57" s="13" t="str"/>
      <x:c r="H57" s="13" t="str"/>
      <x:c r="I57" s="13" t="str"/>
      <x:c r="J57" s="13" t="str"/>
      <x:c r="K57" s="13" t="str"/>
      <x:c r="L57" s="13" t="str"/>
      <x:c r="M57" s="13" t="str"/>
      <x:c r="N57" s="13" t="str">
        <x:f>IF(COUNT(I57:M57)&lt;5,"",SUM(I57:M57))</x:f>
      </x:c>
      <x:c r="O57" s="13" t="str">
        <x:f>IF(COUNT(G57,H57,N57)&lt;3,"",G57+H57-N57)</x:f>
      </x:c>
      <x:c r="P57" s="13" t="str">
        <x:f>IF(COUNT(O57)=0,"",IF(G57+H57=0,IF(O57=0,0,999),ABS(O57)/(G57+H57)))</x:f>
      </x:c>
      <x:c r="Q57" s="13" t="str"/>
      <x:c r="R57" s="13" t="str">
        <x:f>IF(Q57=1,IF(AND(COUNT(P57)=1,P57&lt;='Controls'!$D$69),"PASS","FAIL"),"OPEN")</x:f>
        <x:v>OPEN</x:v>
      </x:c>
    </x:row>
    <x:row r="58">
      <x:c r="B58" s="13" t="str">
        <x:v>RAS-WL-052</x:v>
      </x:c>
      <x:c r="C58" s="13" t="str">
        <x:v>RAS-E052</x:v>
      </x:c>
      <x:c r="D58" s="13" t="str">
        <x:v>AM-05</x:v>
      </x:c>
      <x:c r="E58" s="13" t="str">
        <x:v>RFP-B1</x:v>
      </x:c>
      <x:c r="F58" s="13" t="n">
        <x:v>0</x:v>
      </x:c>
      <x:c r="G58" s="13" t="str"/>
      <x:c r="H58" s="13" t="str"/>
      <x:c r="I58" s="13" t="str"/>
      <x:c r="J58" s="13" t="str"/>
      <x:c r="K58" s="13" t="str"/>
      <x:c r="L58" s="13" t="str"/>
      <x:c r="M58" s="13" t="str"/>
      <x:c r="N58" s="13" t="str">
        <x:f>IF(COUNT(I58:M58)&lt;5,"",SUM(I58:M58))</x:f>
      </x:c>
      <x:c r="O58" s="13" t="str">
        <x:f>IF(COUNT(G58,H58,N58)&lt;3,"",G58+H58-N58)</x:f>
      </x:c>
      <x:c r="P58" s="13" t="str">
        <x:f>IF(COUNT(O58)=0,"",IF(G58+H58=0,IF(O58=0,0,999),ABS(O58)/(G58+H58)))</x:f>
      </x:c>
      <x:c r="Q58" s="13" t="str"/>
      <x:c r="R58" s="13" t="str">
        <x:f>IF(Q58=1,IF(AND(COUNT(P58)=1,P58&lt;='Controls'!$D$69),"PASS","FAIL"),"OPEN")</x:f>
        <x:v>OPEN</x:v>
      </x:c>
    </x:row>
    <x:row r="59">
      <x:c r="B59" s="13" t="str">
        <x:v>RAS-WL-053</x:v>
      </x:c>
      <x:c r="C59" s="13" t="str">
        <x:v>RAS-E053</x:v>
      </x:c>
      <x:c r="D59" s="13" t="str">
        <x:v>AM-05</x:v>
      </x:c>
      <x:c r="E59" s="13" t="str">
        <x:v>RFP-B1</x:v>
      </x:c>
      <x:c r="F59" s="13" t="n">
        <x:v>0</x:v>
      </x:c>
      <x:c r="G59" s="13" t="str"/>
      <x:c r="H59" s="13" t="str"/>
      <x:c r="I59" s="13" t="str"/>
      <x:c r="J59" s="13" t="str"/>
      <x:c r="K59" s="13" t="str"/>
      <x:c r="L59" s="13" t="str"/>
      <x:c r="M59" s="13" t="str"/>
      <x:c r="N59" s="13" t="str">
        <x:f>IF(COUNT(I59:M59)&lt;5,"",SUM(I59:M59))</x:f>
      </x:c>
      <x:c r="O59" s="13" t="str">
        <x:f>IF(COUNT(G59,H59,N59)&lt;3,"",G59+H59-N59)</x:f>
      </x:c>
      <x:c r="P59" s="13" t="str">
        <x:f>IF(COUNT(O59)=0,"",IF(G59+H59=0,IF(O59=0,0,999),ABS(O59)/(G59+H59)))</x:f>
      </x:c>
      <x:c r="Q59" s="13" t="str"/>
      <x:c r="R59" s="13" t="str">
        <x:f>IF(Q59=1,IF(AND(COUNT(P59)=1,P59&lt;='Controls'!$D$69),"PASS","FAIL"),"OPEN")</x:f>
        <x:v>OPEN</x:v>
      </x:c>
    </x:row>
    <x:row r="60">
      <x:c r="B60" s="13" t="str">
        <x:v>RAS-WL-054</x:v>
      </x:c>
      <x:c r="C60" s="13" t="str">
        <x:v>RAS-E054</x:v>
      </x:c>
      <x:c r="D60" s="13" t="str">
        <x:v>AM-05</x:v>
      </x:c>
      <x:c r="E60" s="13" t="str">
        <x:v>RFP-B1</x:v>
      </x:c>
      <x:c r="F60" s="13" t="n">
        <x:v>0</x:v>
      </x:c>
      <x:c r="G60" s="13" t="str"/>
      <x:c r="H60" s="13" t="str"/>
      <x:c r="I60" s="13" t="str"/>
      <x:c r="J60" s="13" t="str"/>
      <x:c r="K60" s="13" t="str"/>
      <x:c r="L60" s="13" t="str"/>
      <x:c r="M60" s="13" t="str"/>
      <x:c r="N60" s="13" t="str">
        <x:f>IF(COUNT(I60:M60)&lt;5,"",SUM(I60:M60))</x:f>
      </x:c>
      <x:c r="O60" s="13" t="str">
        <x:f>IF(COUNT(G60,H60,N60)&lt;3,"",G60+H60-N60)</x:f>
      </x:c>
      <x:c r="P60" s="13" t="str">
        <x:f>IF(COUNT(O60)=0,"",IF(G60+H60=0,IF(O60=0,0,999),ABS(O60)/(G60+H60)))</x:f>
      </x:c>
      <x:c r="Q60" s="13" t="str"/>
      <x:c r="R60" s="13" t="str">
        <x:f>IF(Q60=1,IF(AND(COUNT(P60)=1,P60&lt;='Controls'!$D$69),"PASS","FAIL"),"OPEN")</x:f>
        <x:v>OPEN</x:v>
      </x:c>
    </x:row>
    <x:row r="61">
      <x:c r="B61" s="13" t="str">
        <x:v>RAS-WL-055</x:v>
      </x:c>
      <x:c r="C61" s="13" t="str">
        <x:v>RAS-E055</x:v>
      </x:c>
      <x:c r="D61" s="13" t="str">
        <x:v>AM-05</x:v>
      </x:c>
      <x:c r="E61" s="13" t="str">
        <x:v>RFP-B2</x:v>
      </x:c>
      <x:c r="F61" s="13" t="n">
        <x:v>0</x:v>
      </x:c>
      <x:c r="G61" s="13" t="str"/>
      <x:c r="H61" s="13" t="str"/>
      <x:c r="I61" s="13" t="str"/>
      <x:c r="J61" s="13" t="str"/>
      <x:c r="K61" s="13" t="str"/>
      <x:c r="L61" s="13" t="str"/>
      <x:c r="M61" s="13" t="str"/>
      <x:c r="N61" s="13" t="str">
        <x:f>IF(COUNT(I61:M61)&lt;5,"",SUM(I61:M61))</x:f>
      </x:c>
      <x:c r="O61" s="13" t="str">
        <x:f>IF(COUNT(G61,H61,N61)&lt;3,"",G61+H61-N61)</x:f>
      </x:c>
      <x:c r="P61" s="13" t="str">
        <x:f>IF(COUNT(O61)=0,"",IF(G61+H61=0,IF(O61=0,0,999),ABS(O61)/(G61+H61)))</x:f>
      </x:c>
      <x:c r="Q61" s="13" t="str"/>
      <x:c r="R61" s="13" t="str">
        <x:f>IF(Q61=1,IF(AND(COUNT(P61)=1,P61&lt;='Controls'!$D$69),"PASS","FAIL"),"OPEN")</x:f>
        <x:v>OPEN</x:v>
      </x:c>
    </x:row>
    <x:row r="62">
      <x:c r="B62" s="13" t="str">
        <x:v>RAS-WL-056</x:v>
      </x:c>
      <x:c r="C62" s="13" t="str">
        <x:v>RAS-E056</x:v>
      </x:c>
      <x:c r="D62" s="13" t="str">
        <x:v>AM-05</x:v>
      </x:c>
      <x:c r="E62" s="13" t="str">
        <x:v>RFP-B2</x:v>
      </x:c>
      <x:c r="F62" s="13" t="n">
        <x:v>0</x:v>
      </x:c>
      <x:c r="G62" s="13" t="str"/>
      <x:c r="H62" s="13" t="str"/>
      <x:c r="I62" s="13" t="str"/>
      <x:c r="J62" s="13" t="str"/>
      <x:c r="K62" s="13" t="str"/>
      <x:c r="L62" s="13" t="str"/>
      <x:c r="M62" s="13" t="str"/>
      <x:c r="N62" s="13" t="str">
        <x:f>IF(COUNT(I62:M62)&lt;5,"",SUM(I62:M62))</x:f>
      </x:c>
      <x:c r="O62" s="13" t="str">
        <x:f>IF(COUNT(G62,H62,N62)&lt;3,"",G62+H62-N62)</x:f>
      </x:c>
      <x:c r="P62" s="13" t="str">
        <x:f>IF(COUNT(O62)=0,"",IF(G62+H62=0,IF(O62=0,0,999),ABS(O62)/(G62+H62)))</x:f>
      </x:c>
      <x:c r="Q62" s="13" t="str"/>
      <x:c r="R62" s="13" t="str">
        <x:f>IF(Q62=1,IF(AND(COUNT(P62)=1,P62&lt;='Controls'!$D$69),"PASS","FAIL"),"OPEN")</x:f>
        <x:v>OPEN</x:v>
      </x:c>
    </x:row>
    <x:row r="63">
      <x:c r="B63" s="13" t="str">
        <x:v>RAS-WL-057</x:v>
      </x:c>
      <x:c r="C63" s="13" t="str">
        <x:v>RAS-E057</x:v>
      </x:c>
      <x:c r="D63" s="13" t="str">
        <x:v>AM-05</x:v>
      </x:c>
      <x:c r="E63" s="13" t="str">
        <x:v>RFP-B2</x:v>
      </x:c>
      <x:c r="F63" s="13" t="n">
        <x:v>0</x:v>
      </x:c>
      <x:c r="G63" s="13" t="str"/>
      <x:c r="H63" s="13" t="str"/>
      <x:c r="I63" s="13" t="str"/>
      <x:c r="J63" s="13" t="str"/>
      <x:c r="K63" s="13" t="str"/>
      <x:c r="L63" s="13" t="str"/>
      <x:c r="M63" s="13" t="str"/>
      <x:c r="N63" s="13" t="str">
        <x:f>IF(COUNT(I63:M63)&lt;5,"",SUM(I63:M63))</x:f>
      </x:c>
      <x:c r="O63" s="13" t="str">
        <x:f>IF(COUNT(G63,H63,N63)&lt;3,"",G63+H63-N63)</x:f>
      </x:c>
      <x:c r="P63" s="13" t="str">
        <x:f>IF(COUNT(O63)=0,"",IF(G63+H63=0,IF(O63=0,0,999),ABS(O63)/(G63+H63)))</x:f>
      </x:c>
      <x:c r="Q63" s="13" t="str"/>
      <x:c r="R63" s="13" t="str">
        <x:f>IF(Q63=1,IF(AND(COUNT(P63)=1,P63&lt;='Controls'!$D$69),"PASS","FAIL"),"OPEN")</x:f>
        <x:v>OPEN</x:v>
      </x:c>
    </x:row>
    <x:row r="64">
      <x:c r="B64" s="13" t="str">
        <x:v>RAS-WL-058</x:v>
      </x:c>
      <x:c r="C64" s="13" t="str">
        <x:v>RAS-E058</x:v>
      </x:c>
      <x:c r="D64" s="13" t="str">
        <x:v>AM-05</x:v>
      </x:c>
      <x:c r="E64" s="13" t="str">
        <x:v>RFP-B2</x:v>
      </x:c>
      <x:c r="F64" s="13" t="n">
        <x:v>0</x:v>
      </x:c>
      <x:c r="G64" s="13" t="str"/>
      <x:c r="H64" s="13" t="str"/>
      <x:c r="I64" s="13" t="str"/>
      <x:c r="J64" s="13" t="str"/>
      <x:c r="K64" s="13" t="str"/>
      <x:c r="L64" s="13" t="str"/>
      <x:c r="M64" s="13" t="str"/>
      <x:c r="N64" s="13" t="str">
        <x:f>IF(COUNT(I64:M64)&lt;5,"",SUM(I64:M64))</x:f>
      </x:c>
      <x:c r="O64" s="13" t="str">
        <x:f>IF(COUNT(G64,H64,N64)&lt;3,"",G64+H64-N64)</x:f>
      </x:c>
      <x:c r="P64" s="13" t="str">
        <x:f>IF(COUNT(O64)=0,"",IF(G64+H64=0,IF(O64=0,0,999),ABS(O64)/(G64+H64)))</x:f>
      </x:c>
      <x:c r="Q64" s="13" t="str"/>
      <x:c r="R64" s="13" t="str">
        <x:f>IF(Q64=1,IF(AND(COUNT(P64)=1,P64&lt;='Controls'!$D$69),"PASS","FAIL"),"OPEN")</x:f>
        <x:v>OPEN</x:v>
      </x:c>
    </x:row>
    <x:row r="65">
      <x:c r="B65" s="13" t="str">
        <x:v>RAS-WL-059</x:v>
      </x:c>
      <x:c r="C65" s="13" t="str">
        <x:v>RAS-E059</x:v>
      </x:c>
      <x:c r="D65" s="13" t="str">
        <x:v>AM-05</x:v>
      </x:c>
      <x:c r="E65" s="13" t="str">
        <x:v>RFP-B2</x:v>
      </x:c>
      <x:c r="F65" s="13" t="n">
        <x:v>0</x:v>
      </x:c>
      <x:c r="G65" s="13" t="str"/>
      <x:c r="H65" s="13" t="str"/>
      <x:c r="I65" s="13" t="str"/>
      <x:c r="J65" s="13" t="str"/>
      <x:c r="K65" s="13" t="str"/>
      <x:c r="L65" s="13" t="str"/>
      <x:c r="M65" s="13" t="str"/>
      <x:c r="N65" s="13" t="str">
        <x:f>IF(COUNT(I65:M65)&lt;5,"",SUM(I65:M65))</x:f>
      </x:c>
      <x:c r="O65" s="13" t="str">
        <x:f>IF(COUNT(G65,H65,N65)&lt;3,"",G65+H65-N65)</x:f>
      </x:c>
      <x:c r="P65" s="13" t="str">
        <x:f>IF(COUNT(O65)=0,"",IF(G65+H65=0,IF(O65=0,0,999),ABS(O65)/(G65+H65)))</x:f>
      </x:c>
      <x:c r="Q65" s="13" t="str"/>
      <x:c r="R65" s="13" t="str">
        <x:f>IF(Q65=1,IF(AND(COUNT(P65)=1,P65&lt;='Controls'!$D$69),"PASS","FAIL"),"OPEN")</x:f>
        <x:v>OPEN</x:v>
      </x:c>
    </x:row>
    <x:row r="66">
      <x:c r="B66" s="13" t="str">
        <x:v>RAS-WL-060</x:v>
      </x:c>
      <x:c r="C66" s="13" t="str">
        <x:v>RAS-E060</x:v>
      </x:c>
      <x:c r="D66" s="13" t="str">
        <x:v>AM-05</x:v>
      </x:c>
      <x:c r="E66" s="13" t="str">
        <x:v>RFP-B2</x:v>
      </x:c>
      <x:c r="F66" s="13" t="n">
        <x:v>0</x:v>
      </x:c>
      <x:c r="G66" s="13" t="str"/>
      <x:c r="H66" s="13" t="str"/>
      <x:c r="I66" s="13" t="str"/>
      <x:c r="J66" s="13" t="str"/>
      <x:c r="K66" s="13" t="str"/>
      <x:c r="L66" s="13" t="str"/>
      <x:c r="M66" s="13" t="str"/>
      <x:c r="N66" s="13" t="str">
        <x:f>IF(COUNT(I66:M66)&lt;5,"",SUM(I66:M66))</x:f>
      </x:c>
      <x:c r="O66" s="13" t="str">
        <x:f>IF(COUNT(G66,H66,N66)&lt;3,"",G66+H66-N66)</x:f>
      </x:c>
      <x:c r="P66" s="13" t="str">
        <x:f>IF(COUNT(O66)=0,"",IF(G66+H66=0,IF(O66=0,0,999),ABS(O66)/(G66+H66)))</x:f>
      </x:c>
      <x:c r="Q66" s="13" t="str"/>
      <x:c r="R66" s="13" t="str">
        <x:f>IF(Q66=1,IF(AND(COUNT(P66)=1,P66&lt;='Controls'!$D$69),"PASS","FAIL"),"OPEN")</x:f>
        <x:v>OPEN</x:v>
      </x:c>
    </x:row>
    <x:row r="67">
      <x:c r="B67" s="13" t="str">
        <x:v>RAS-WL-061</x:v>
      </x:c>
      <x:c r="C67" s="13" t="str">
        <x:v>RAS-E061</x:v>
      </x:c>
      <x:c r="D67" s="13" t="str">
        <x:v>AM-05</x:v>
      </x:c>
      <x:c r="E67" s="13" t="str">
        <x:v>RFP-C1</x:v>
      </x:c>
      <x:c r="F67" s="13" t="n">
        <x:v>0</x:v>
      </x:c>
      <x:c r="G67" s="13" t="str"/>
      <x:c r="H67" s="13" t="str"/>
      <x:c r="I67" s="13" t="str"/>
      <x:c r="J67" s="13" t="str"/>
      <x:c r="K67" s="13" t="str"/>
      <x:c r="L67" s="13" t="str"/>
      <x:c r="M67" s="13" t="str"/>
      <x:c r="N67" s="13" t="str">
        <x:f>IF(COUNT(I67:M67)&lt;5,"",SUM(I67:M67))</x:f>
      </x:c>
      <x:c r="O67" s="13" t="str">
        <x:f>IF(COUNT(G67,H67,N67)&lt;3,"",G67+H67-N67)</x:f>
      </x:c>
      <x:c r="P67" s="13" t="str">
        <x:f>IF(COUNT(O67)=0,"",IF(G67+H67=0,IF(O67=0,0,999),ABS(O67)/(G67+H67)))</x:f>
      </x:c>
      <x:c r="Q67" s="13" t="str"/>
      <x:c r="R67" s="13" t="str">
        <x:f>IF(Q67=1,IF(AND(COUNT(P67)=1,P67&lt;='Controls'!$D$69),"PASS","FAIL"),"OPEN")</x:f>
        <x:v>OPEN</x:v>
      </x:c>
    </x:row>
    <x:row r="68">
      <x:c r="B68" s="13" t="str">
        <x:v>RAS-WL-062</x:v>
      </x:c>
      <x:c r="C68" s="13" t="str">
        <x:v>RAS-E062</x:v>
      </x:c>
      <x:c r="D68" s="13" t="str">
        <x:v>AM-05</x:v>
      </x:c>
      <x:c r="E68" s="13" t="str">
        <x:v>RFP-C1</x:v>
      </x:c>
      <x:c r="F68" s="13" t="n">
        <x:v>0</x:v>
      </x:c>
      <x:c r="G68" s="13" t="str"/>
      <x:c r="H68" s="13" t="str"/>
      <x:c r="I68" s="13" t="str"/>
      <x:c r="J68" s="13" t="str"/>
      <x:c r="K68" s="13" t="str"/>
      <x:c r="L68" s="13" t="str"/>
      <x:c r="M68" s="13" t="str"/>
      <x:c r="N68" s="13" t="str">
        <x:f>IF(COUNT(I68:M68)&lt;5,"",SUM(I68:M68))</x:f>
      </x:c>
      <x:c r="O68" s="13" t="str">
        <x:f>IF(COUNT(G68,H68,N68)&lt;3,"",G68+H68-N68)</x:f>
      </x:c>
      <x:c r="P68" s="13" t="str">
        <x:f>IF(COUNT(O68)=0,"",IF(G68+H68=0,IF(O68=0,0,999),ABS(O68)/(G68+H68)))</x:f>
      </x:c>
      <x:c r="Q68" s="13" t="str"/>
      <x:c r="R68" s="13" t="str">
        <x:f>IF(Q68=1,IF(AND(COUNT(P68)=1,P68&lt;='Controls'!$D$69),"PASS","FAIL"),"OPEN")</x:f>
        <x:v>OPEN</x:v>
      </x:c>
    </x:row>
    <x:row r="69">
      <x:c r="B69" s="13" t="str">
        <x:v>RAS-WL-063</x:v>
      </x:c>
      <x:c r="C69" s="13" t="str">
        <x:v>RAS-E063</x:v>
      </x:c>
      <x:c r="D69" s="13" t="str">
        <x:v>AM-05</x:v>
      </x:c>
      <x:c r="E69" s="13" t="str">
        <x:v>RFP-C1</x:v>
      </x:c>
      <x:c r="F69" s="13" t="n">
        <x:v>0</x:v>
      </x:c>
      <x:c r="G69" s="13" t="str"/>
      <x:c r="H69" s="13" t="str"/>
      <x:c r="I69" s="13" t="str"/>
      <x:c r="J69" s="13" t="str"/>
      <x:c r="K69" s="13" t="str"/>
      <x:c r="L69" s="13" t="str"/>
      <x:c r="M69" s="13" t="str"/>
      <x:c r="N69" s="13" t="str">
        <x:f>IF(COUNT(I69:M69)&lt;5,"",SUM(I69:M69))</x:f>
      </x:c>
      <x:c r="O69" s="13" t="str">
        <x:f>IF(COUNT(G69,H69,N69)&lt;3,"",G69+H69-N69)</x:f>
      </x:c>
      <x:c r="P69" s="13" t="str">
        <x:f>IF(COUNT(O69)=0,"",IF(G69+H69=0,IF(O69=0,0,999),ABS(O69)/(G69+H69)))</x:f>
      </x:c>
      <x:c r="Q69" s="13" t="str"/>
      <x:c r="R69" s="13" t="str">
        <x:f>IF(Q69=1,IF(AND(COUNT(P69)=1,P69&lt;='Controls'!$D$69),"PASS","FAIL"),"OPEN")</x:f>
        <x:v>OPEN</x:v>
      </x:c>
    </x:row>
    <x:row r="70">
      <x:c r="B70" s="13" t="str">
        <x:v>RAS-WL-064</x:v>
      </x:c>
      <x:c r="C70" s="13" t="str">
        <x:v>RAS-E064</x:v>
      </x:c>
      <x:c r="D70" s="13" t="str">
        <x:v>AM-05</x:v>
      </x:c>
      <x:c r="E70" s="13" t="str">
        <x:v>RFP-C1</x:v>
      </x:c>
      <x:c r="F70" s="13" t="n">
        <x:v>0</x:v>
      </x:c>
      <x:c r="G70" s="13" t="str"/>
      <x:c r="H70" s="13" t="str"/>
      <x:c r="I70" s="13" t="str"/>
      <x:c r="J70" s="13" t="str"/>
      <x:c r="K70" s="13" t="str"/>
      <x:c r="L70" s="13" t="str"/>
      <x:c r="M70" s="13" t="str"/>
      <x:c r="N70" s="13" t="str">
        <x:f>IF(COUNT(I70:M70)&lt;5,"",SUM(I70:M70))</x:f>
      </x:c>
      <x:c r="O70" s="13" t="str">
        <x:f>IF(COUNT(G70,H70,N70)&lt;3,"",G70+H70-N70)</x:f>
      </x:c>
      <x:c r="P70" s="13" t="str">
        <x:f>IF(COUNT(O70)=0,"",IF(G70+H70=0,IF(O70=0,0,999),ABS(O70)/(G70+H70)))</x:f>
      </x:c>
      <x:c r="Q70" s="13" t="str"/>
      <x:c r="R70" s="13" t="str">
        <x:f>IF(Q70=1,IF(AND(COUNT(P70)=1,P70&lt;='Controls'!$D$69),"PASS","FAIL"),"OPEN")</x:f>
        <x:v>OPEN</x:v>
      </x:c>
    </x:row>
    <x:row r="71">
      <x:c r="B71" s="13" t="str">
        <x:v>RAS-WL-065</x:v>
      </x:c>
      <x:c r="C71" s="13" t="str">
        <x:v>RAS-E065</x:v>
      </x:c>
      <x:c r="D71" s="13" t="str">
        <x:v>AM-05</x:v>
      </x:c>
      <x:c r="E71" s="13" t="str">
        <x:v>RFP-C1</x:v>
      </x:c>
      <x:c r="F71" s="13" t="n">
        <x:v>0</x:v>
      </x:c>
      <x:c r="G71" s="13" t="str"/>
      <x:c r="H71" s="13" t="str"/>
      <x:c r="I71" s="13" t="str"/>
      <x:c r="J71" s="13" t="str"/>
      <x:c r="K71" s="13" t="str"/>
      <x:c r="L71" s="13" t="str"/>
      <x:c r="M71" s="13" t="str"/>
      <x:c r="N71" s="13" t="str">
        <x:f>IF(COUNT(I71:M71)&lt;5,"",SUM(I71:M71))</x:f>
      </x:c>
      <x:c r="O71" s="13" t="str">
        <x:f>IF(COUNT(G71,H71,N71)&lt;3,"",G71+H71-N71)</x:f>
      </x:c>
      <x:c r="P71" s="13" t="str">
        <x:f>IF(COUNT(O71)=0,"",IF(G71+H71=0,IF(O71=0,0,999),ABS(O71)/(G71+H71)))</x:f>
      </x:c>
      <x:c r="Q71" s="13" t="str"/>
      <x:c r="R71" s="13" t="str">
        <x:f>IF(Q71=1,IF(AND(COUNT(P71)=1,P71&lt;='Controls'!$D$69),"PASS","FAIL"),"OPEN")</x:f>
        <x:v>OPEN</x:v>
      </x:c>
    </x:row>
    <x:row r="72">
      <x:c r="B72" s="13" t="str">
        <x:v>RAS-WL-066</x:v>
      </x:c>
      <x:c r="C72" s="13" t="str">
        <x:v>RAS-E066</x:v>
      </x:c>
      <x:c r="D72" s="13" t="str">
        <x:v>AM-05</x:v>
      </x:c>
      <x:c r="E72" s="13" t="str">
        <x:v>RFP-C1</x:v>
      </x:c>
      <x:c r="F72" s="13" t="n">
        <x:v>0</x:v>
      </x:c>
      <x:c r="G72" s="13" t="str"/>
      <x:c r="H72" s="13" t="str"/>
      <x:c r="I72" s="13" t="str"/>
      <x:c r="J72" s="13" t="str"/>
      <x:c r="K72" s="13" t="str"/>
      <x:c r="L72" s="13" t="str"/>
      <x:c r="M72" s="13" t="str"/>
      <x:c r="N72" s="13" t="str">
        <x:f>IF(COUNT(I72:M72)&lt;5,"",SUM(I72:M72))</x:f>
      </x:c>
      <x:c r="O72" s="13" t="str">
        <x:f>IF(COUNT(G72,H72,N72)&lt;3,"",G72+H72-N72)</x:f>
      </x:c>
      <x:c r="P72" s="13" t="str">
        <x:f>IF(COUNT(O72)=0,"",IF(G72+H72=0,IF(O72=0,0,999),ABS(O72)/(G72+H72)))</x:f>
      </x:c>
      <x:c r="Q72" s="13" t="str"/>
      <x:c r="R72" s="13" t="str">
        <x:f>IF(Q72=1,IF(AND(COUNT(P72)=1,P72&lt;='Controls'!$D$69),"PASS","FAIL"),"OPEN")</x:f>
        <x:v>OPEN</x:v>
      </x:c>
    </x:row>
    <x:row r="73">
      <x:c r="B73" s="13" t="str">
        <x:v>RAS-WL-067</x:v>
      </x:c>
      <x:c r="C73" s="13" t="str">
        <x:v>RAS-E067</x:v>
      </x:c>
      <x:c r="D73" s="13" t="str">
        <x:v>AM-05</x:v>
      </x:c>
      <x:c r="E73" s="13" t="str">
        <x:v>RFP-C2</x:v>
      </x:c>
      <x:c r="F73" s="13" t="n">
        <x:v>0</x:v>
      </x:c>
      <x:c r="G73" s="13" t="str"/>
      <x:c r="H73" s="13" t="str"/>
      <x:c r="I73" s="13" t="str"/>
      <x:c r="J73" s="13" t="str"/>
      <x:c r="K73" s="13" t="str"/>
      <x:c r="L73" s="13" t="str"/>
      <x:c r="M73" s="13" t="str"/>
      <x:c r="N73" s="13" t="str">
        <x:f>IF(COUNT(I73:M73)&lt;5,"",SUM(I73:M73))</x:f>
      </x:c>
      <x:c r="O73" s="13" t="str">
        <x:f>IF(COUNT(G73,H73,N73)&lt;3,"",G73+H73-N73)</x:f>
      </x:c>
      <x:c r="P73" s="13" t="str">
        <x:f>IF(COUNT(O73)=0,"",IF(G73+H73=0,IF(O73=0,0,999),ABS(O73)/(G73+H73)))</x:f>
      </x:c>
      <x:c r="Q73" s="13" t="str"/>
      <x:c r="R73" s="13" t="str">
        <x:f>IF(Q73=1,IF(AND(COUNT(P73)=1,P73&lt;='Controls'!$D$69),"PASS","FAIL"),"OPEN")</x:f>
        <x:v>OPEN</x:v>
      </x:c>
    </x:row>
    <x:row r="74">
      <x:c r="B74" s="13" t="str">
        <x:v>RAS-WL-068</x:v>
      </x:c>
      <x:c r="C74" s="13" t="str">
        <x:v>RAS-E068</x:v>
      </x:c>
      <x:c r="D74" s="13" t="str">
        <x:v>AM-05</x:v>
      </x:c>
      <x:c r="E74" s="13" t="str">
        <x:v>RFP-C2</x:v>
      </x:c>
      <x:c r="F74" s="13" t="n">
        <x:v>0</x:v>
      </x:c>
      <x:c r="G74" s="13" t="str"/>
      <x:c r="H74" s="13" t="str"/>
      <x:c r="I74" s="13" t="str"/>
      <x:c r="J74" s="13" t="str"/>
      <x:c r="K74" s="13" t="str"/>
      <x:c r="L74" s="13" t="str"/>
      <x:c r="M74" s="13" t="str"/>
      <x:c r="N74" s="13" t="str">
        <x:f>IF(COUNT(I74:M74)&lt;5,"",SUM(I74:M74))</x:f>
      </x:c>
      <x:c r="O74" s="13" t="str">
        <x:f>IF(COUNT(G74,H74,N74)&lt;3,"",G74+H74-N74)</x:f>
      </x:c>
      <x:c r="P74" s="13" t="str">
        <x:f>IF(COUNT(O74)=0,"",IF(G74+H74=0,IF(O74=0,0,999),ABS(O74)/(G74+H74)))</x:f>
      </x:c>
      <x:c r="Q74" s="13" t="str"/>
      <x:c r="R74" s="13" t="str">
        <x:f>IF(Q74=1,IF(AND(COUNT(P74)=1,P74&lt;='Controls'!$D$69),"PASS","FAIL"),"OPEN")</x:f>
        <x:v>OPEN</x:v>
      </x:c>
    </x:row>
    <x:row r="75">
      <x:c r="B75" s="13" t="str">
        <x:v>RAS-WL-069</x:v>
      </x:c>
      <x:c r="C75" s="13" t="str">
        <x:v>RAS-E069</x:v>
      </x:c>
      <x:c r="D75" s="13" t="str">
        <x:v>AM-05</x:v>
      </x:c>
      <x:c r="E75" s="13" t="str">
        <x:v>RFP-C2</x:v>
      </x:c>
      <x:c r="F75" s="13" t="n">
        <x:v>0</x:v>
      </x:c>
      <x:c r="G75" s="13" t="str"/>
      <x:c r="H75" s="13" t="str"/>
      <x:c r="I75" s="13" t="str"/>
      <x:c r="J75" s="13" t="str"/>
      <x:c r="K75" s="13" t="str"/>
      <x:c r="L75" s="13" t="str"/>
      <x:c r="M75" s="13" t="str"/>
      <x:c r="N75" s="13" t="str">
        <x:f>IF(COUNT(I75:M75)&lt;5,"",SUM(I75:M75))</x:f>
      </x:c>
      <x:c r="O75" s="13" t="str">
        <x:f>IF(COUNT(G75,H75,N75)&lt;3,"",G75+H75-N75)</x:f>
      </x:c>
      <x:c r="P75" s="13" t="str">
        <x:f>IF(COUNT(O75)=0,"",IF(G75+H75=0,IF(O75=0,0,999),ABS(O75)/(G75+H75)))</x:f>
      </x:c>
      <x:c r="Q75" s="13" t="str"/>
      <x:c r="R75" s="13" t="str">
        <x:f>IF(Q75=1,IF(AND(COUNT(P75)=1,P75&lt;='Controls'!$D$69),"PASS","FAIL"),"OPEN")</x:f>
        <x:v>OPEN</x:v>
      </x:c>
    </x:row>
    <x:row r="76">
      <x:c r="B76" s="13" t="str">
        <x:v>RAS-WL-070</x:v>
      </x:c>
      <x:c r="C76" s="13" t="str">
        <x:v>RAS-E070</x:v>
      </x:c>
      <x:c r="D76" s="13" t="str">
        <x:v>AM-05</x:v>
      </x:c>
      <x:c r="E76" s="13" t="str">
        <x:v>RFP-C2</x:v>
      </x:c>
      <x:c r="F76" s="13" t="n">
        <x:v>0</x:v>
      </x:c>
      <x:c r="G76" s="13" t="str"/>
      <x:c r="H76" s="13" t="str"/>
      <x:c r="I76" s="13" t="str"/>
      <x:c r="J76" s="13" t="str"/>
      <x:c r="K76" s="13" t="str"/>
      <x:c r="L76" s="13" t="str"/>
      <x:c r="M76" s="13" t="str"/>
      <x:c r="N76" s="13" t="str">
        <x:f>IF(COUNT(I76:M76)&lt;5,"",SUM(I76:M76))</x:f>
      </x:c>
      <x:c r="O76" s="13" t="str">
        <x:f>IF(COUNT(G76,H76,N76)&lt;3,"",G76+H76-N76)</x:f>
      </x:c>
      <x:c r="P76" s="13" t="str">
        <x:f>IF(COUNT(O76)=0,"",IF(G76+H76=0,IF(O76=0,0,999),ABS(O76)/(G76+H76)))</x:f>
      </x:c>
      <x:c r="Q76" s="13" t="str"/>
      <x:c r="R76" s="13" t="str">
        <x:f>IF(Q76=1,IF(AND(COUNT(P76)=1,P76&lt;='Controls'!$D$69),"PASS","FAIL"),"OPEN")</x:f>
        <x:v>OPEN</x:v>
      </x:c>
    </x:row>
    <x:row r="77">
      <x:c r="B77" s="13" t="str">
        <x:v>RAS-WL-071</x:v>
      </x:c>
      <x:c r="C77" s="13" t="str">
        <x:v>RAS-E071</x:v>
      </x:c>
      <x:c r="D77" s="13" t="str">
        <x:v>AM-05</x:v>
      </x:c>
      <x:c r="E77" s="13" t="str">
        <x:v>RFP-C2</x:v>
      </x:c>
      <x:c r="F77" s="13" t="n">
        <x:v>0</x:v>
      </x:c>
      <x:c r="G77" s="13" t="str"/>
      <x:c r="H77" s="13" t="str"/>
      <x:c r="I77" s="13" t="str"/>
      <x:c r="J77" s="13" t="str"/>
      <x:c r="K77" s="13" t="str"/>
      <x:c r="L77" s="13" t="str"/>
      <x:c r="M77" s="13" t="str"/>
      <x:c r="N77" s="13" t="str">
        <x:f>IF(COUNT(I77:M77)&lt;5,"",SUM(I77:M77))</x:f>
      </x:c>
      <x:c r="O77" s="13" t="str">
        <x:f>IF(COUNT(G77,H77,N77)&lt;3,"",G77+H77-N77)</x:f>
      </x:c>
      <x:c r="P77" s="13" t="str">
        <x:f>IF(COUNT(O77)=0,"",IF(G77+H77=0,IF(O77=0,0,999),ABS(O77)/(G77+H77)))</x:f>
      </x:c>
      <x:c r="Q77" s="13" t="str"/>
      <x:c r="R77" s="13" t="str">
        <x:f>IF(Q77=1,IF(AND(COUNT(P77)=1,P77&lt;='Controls'!$D$69),"PASS","FAIL"),"OPEN")</x:f>
        <x:v>OPEN</x:v>
      </x:c>
    </x:row>
    <x:row r="78">
      <x:c r="B78" s="13" t="str">
        <x:v>RAS-WL-072</x:v>
      </x:c>
      <x:c r="C78" s="13" t="str">
        <x:v>RAS-E072</x:v>
      </x:c>
      <x:c r="D78" s="13" t="str">
        <x:v>AM-05</x:v>
      </x:c>
      <x:c r="E78" s="13" t="str">
        <x:v>RFP-C2</x:v>
      </x:c>
      <x:c r="F78" s="13" t="n">
        <x:v>0</x:v>
      </x:c>
      <x:c r="G78" s="13" t="str"/>
      <x:c r="H78" s="13" t="str"/>
      <x:c r="I78" s="13" t="str"/>
      <x:c r="J78" s="13" t="str"/>
      <x:c r="K78" s="13" t="str"/>
      <x:c r="L78" s="13" t="str"/>
      <x:c r="M78" s="13" t="str"/>
      <x:c r="N78" s="13" t="str">
        <x:f>IF(COUNT(I78:M78)&lt;5,"",SUM(I78:M78))</x:f>
      </x:c>
      <x:c r="O78" s="13" t="str">
        <x:f>IF(COUNT(G78,H78,N78)&lt;3,"",G78+H78-N78)</x:f>
      </x:c>
      <x:c r="P78" s="13" t="str">
        <x:f>IF(COUNT(O78)=0,"",IF(G78+H78=0,IF(O78=0,0,999),ABS(O78)/(G78+H78)))</x:f>
      </x:c>
      <x:c r="Q78" s="13" t="str"/>
      <x:c r="R78" s="13" t="str">
        <x:f>IF(Q78=1,IF(AND(COUNT(P78)=1,P78&lt;='Controls'!$D$69),"PASS","FAIL"),"OPEN")</x:f>
        <x:v>OPEN</x:v>
      </x:c>
    </x:row>
    <x:row r="79">
      <x:c r="B79" s="13" t="str">
        <x:v>RAS-WL-073</x:v>
      </x:c>
      <x:c r="C79" s="13" t="str">
        <x:v>RAS-E073</x:v>
      </x:c>
      <x:c r="D79" s="13" t="str">
        <x:v>AM-06</x:v>
      </x:c>
      <x:c r="E79" s="13" t="str">
        <x:v>RFP-A1</x:v>
      </x:c>
      <x:c r="F79" s="13" t="n">
        <x:v>0</x:v>
      </x:c>
      <x:c r="G79" s="13" t="str"/>
      <x:c r="H79" s="13" t="str"/>
      <x:c r="I79" s="13" t="str"/>
      <x:c r="J79" s="13" t="str"/>
      <x:c r="K79" s="13" t="str"/>
      <x:c r="L79" s="13" t="str"/>
      <x:c r="M79" s="13" t="str"/>
      <x:c r="N79" s="13" t="str">
        <x:f>IF(COUNT(I79:M79)&lt;5,"",SUM(I79:M79))</x:f>
      </x:c>
      <x:c r="O79" s="13" t="str">
        <x:f>IF(COUNT(G79,H79,N79)&lt;3,"",G79+H79-N79)</x:f>
      </x:c>
      <x:c r="P79" s="13" t="str">
        <x:f>IF(COUNT(O79)=0,"",IF(G79+H79=0,IF(O79=0,0,999),ABS(O79)/(G79+H79)))</x:f>
      </x:c>
      <x:c r="Q79" s="13" t="str"/>
      <x:c r="R79" s="13" t="str">
        <x:f>IF(Q79=1,IF(AND(COUNT(P79)=1,P79&lt;='Controls'!$D$69),"PASS","FAIL"),"OPEN")</x:f>
        <x:v>OPEN</x:v>
      </x:c>
    </x:row>
    <x:row r="80">
      <x:c r="B80" s="13" t="str">
        <x:v>RAS-WL-074</x:v>
      </x:c>
      <x:c r="C80" s="13" t="str">
        <x:v>RAS-E074</x:v>
      </x:c>
      <x:c r="D80" s="13" t="str">
        <x:v>AM-06</x:v>
      </x:c>
      <x:c r="E80" s="13" t="str">
        <x:v>RFP-A1</x:v>
      </x:c>
      <x:c r="F80" s="13" t="n">
        <x:v>0</x:v>
      </x:c>
      <x:c r="G80" s="13" t="str"/>
      <x:c r="H80" s="13" t="str"/>
      <x:c r="I80" s="13" t="str"/>
      <x:c r="J80" s="13" t="str"/>
      <x:c r="K80" s="13" t="str"/>
      <x:c r="L80" s="13" t="str"/>
      <x:c r="M80" s="13" t="str"/>
      <x:c r="N80" s="13" t="str">
        <x:f>IF(COUNT(I80:M80)&lt;5,"",SUM(I80:M80))</x:f>
      </x:c>
      <x:c r="O80" s="13" t="str">
        <x:f>IF(COUNT(G80,H80,N80)&lt;3,"",G80+H80-N80)</x:f>
      </x:c>
      <x:c r="P80" s="13" t="str">
        <x:f>IF(COUNT(O80)=0,"",IF(G80+H80=0,IF(O80=0,0,999),ABS(O80)/(G80+H80)))</x:f>
      </x:c>
      <x:c r="Q80" s="13" t="str"/>
      <x:c r="R80" s="13" t="str">
        <x:f>IF(Q80=1,IF(AND(COUNT(P80)=1,P80&lt;='Controls'!$D$69),"PASS","FAIL"),"OPEN")</x:f>
        <x:v>OPEN</x:v>
      </x:c>
    </x:row>
    <x:row r="81">
      <x:c r="B81" s="13" t="str">
        <x:v>RAS-WL-075</x:v>
      </x:c>
      <x:c r="C81" s="13" t="str">
        <x:v>RAS-E075</x:v>
      </x:c>
      <x:c r="D81" s="13" t="str">
        <x:v>AM-06</x:v>
      </x:c>
      <x:c r="E81" s="13" t="str">
        <x:v>RFP-A1</x:v>
      </x:c>
      <x:c r="F81" s="13" t="n">
        <x:v>0</x:v>
      </x:c>
      <x:c r="G81" s="13" t="str"/>
      <x:c r="H81" s="13" t="str"/>
      <x:c r="I81" s="13" t="str"/>
      <x:c r="J81" s="13" t="str"/>
      <x:c r="K81" s="13" t="str"/>
      <x:c r="L81" s="13" t="str"/>
      <x:c r="M81" s="13" t="str"/>
      <x:c r="N81" s="13" t="str">
        <x:f>IF(COUNT(I81:M81)&lt;5,"",SUM(I81:M81))</x:f>
      </x:c>
      <x:c r="O81" s="13" t="str">
        <x:f>IF(COUNT(G81,H81,N81)&lt;3,"",G81+H81-N81)</x:f>
      </x:c>
      <x:c r="P81" s="13" t="str">
        <x:f>IF(COUNT(O81)=0,"",IF(G81+H81=0,IF(O81=0,0,999),ABS(O81)/(G81+H81)))</x:f>
      </x:c>
      <x:c r="Q81" s="13" t="str"/>
      <x:c r="R81" s="13" t="str">
        <x:f>IF(Q81=1,IF(AND(COUNT(P81)=1,P81&lt;='Controls'!$D$69),"PASS","FAIL"),"OPEN")</x:f>
        <x:v>OPEN</x:v>
      </x:c>
    </x:row>
    <x:row r="82">
      <x:c r="B82" s="13" t="str">
        <x:v>RAS-WL-076</x:v>
      </x:c>
      <x:c r="C82" s="13" t="str">
        <x:v>RAS-E076</x:v>
      </x:c>
      <x:c r="D82" s="13" t="str">
        <x:v>AM-06</x:v>
      </x:c>
      <x:c r="E82" s="13" t="str">
        <x:v>RFP-A1</x:v>
      </x:c>
      <x:c r="F82" s="13" t="n">
        <x:v>0</x:v>
      </x:c>
      <x:c r="G82" s="13" t="str"/>
      <x:c r="H82" s="13" t="str"/>
      <x:c r="I82" s="13" t="str"/>
      <x:c r="J82" s="13" t="str"/>
      <x:c r="K82" s="13" t="str"/>
      <x:c r="L82" s="13" t="str"/>
      <x:c r="M82" s="13" t="str"/>
      <x:c r="N82" s="13" t="str">
        <x:f>IF(COUNT(I82:M82)&lt;5,"",SUM(I82:M82))</x:f>
      </x:c>
      <x:c r="O82" s="13" t="str">
        <x:f>IF(COUNT(G82,H82,N82)&lt;3,"",G82+H82-N82)</x:f>
      </x:c>
      <x:c r="P82" s="13" t="str">
        <x:f>IF(COUNT(O82)=0,"",IF(G82+H82=0,IF(O82=0,0,999),ABS(O82)/(G82+H82)))</x:f>
      </x:c>
      <x:c r="Q82" s="13" t="str"/>
      <x:c r="R82" s="13" t="str">
        <x:f>IF(Q82=1,IF(AND(COUNT(P82)=1,P82&lt;='Controls'!$D$69),"PASS","FAIL"),"OPEN")</x:f>
        <x:v>OPEN</x:v>
      </x:c>
    </x:row>
    <x:row r="83">
      <x:c r="B83" s="13" t="str">
        <x:v>RAS-WL-077</x:v>
      </x:c>
      <x:c r="C83" s="13" t="str">
        <x:v>RAS-E077</x:v>
      </x:c>
      <x:c r="D83" s="13" t="str">
        <x:v>AM-06</x:v>
      </x:c>
      <x:c r="E83" s="13" t="str">
        <x:v>RFP-A1</x:v>
      </x:c>
      <x:c r="F83" s="13" t="n">
        <x:v>24</x:v>
      </x:c>
      <x:c r="G83" s="13" t="str"/>
      <x:c r="H83" s="13" t="str"/>
      <x:c r="I83" s="13" t="str"/>
      <x:c r="J83" s="13" t="str"/>
      <x:c r="K83" s="13" t="str"/>
      <x:c r="L83" s="13" t="str"/>
      <x:c r="M83" s="13" t="str"/>
      <x:c r="N83" s="13" t="str">
        <x:f>IF(COUNT(I83:M83)&lt;5,"",SUM(I83:M83))</x:f>
      </x:c>
      <x:c r="O83" s="13" t="str">
        <x:f>IF(COUNT(G83,H83,N83)&lt;3,"",G83+H83-N83)</x:f>
      </x:c>
      <x:c r="P83" s="13" t="str">
        <x:f>IF(COUNT(O83)=0,"",IF(G83+H83=0,IF(O83=0,0,999),ABS(O83)/(G83+H83)))</x:f>
      </x:c>
      <x:c r="Q83" s="13" t="str"/>
      <x:c r="R83" s="13" t="str">
        <x:f>IF(Q83=1,IF(AND(COUNT(P83)=1,P83&lt;='Controls'!$D$69),"PASS","FAIL"),"OPEN")</x:f>
        <x:v>OPEN</x:v>
      </x:c>
    </x:row>
    <x:row r="84">
      <x:c r="B84" s="13" t="str">
        <x:v>RAS-WL-078</x:v>
      </x:c>
      <x:c r="C84" s="13" t="str">
        <x:v>RAS-E078</x:v>
      </x:c>
      <x:c r="D84" s="13" t="str">
        <x:v>AM-06</x:v>
      </x:c>
      <x:c r="E84" s="13" t="str">
        <x:v>RFP-A1</x:v>
      </x:c>
      <x:c r="F84" s="13" t="n">
        <x:v>48</x:v>
      </x:c>
      <x:c r="G84" s="13" t="str"/>
      <x:c r="H84" s="13" t="str"/>
      <x:c r="I84" s="13" t="str"/>
      <x:c r="J84" s="13" t="str"/>
      <x:c r="K84" s="13" t="str"/>
      <x:c r="L84" s="13" t="str"/>
      <x:c r="M84" s="13" t="str"/>
      <x:c r="N84" s="13" t="str">
        <x:f>IF(COUNT(I84:M84)&lt;5,"",SUM(I84:M84))</x:f>
      </x:c>
      <x:c r="O84" s="13" t="str">
        <x:f>IF(COUNT(G84,H84,N84)&lt;3,"",G84+H84-N84)</x:f>
      </x:c>
      <x:c r="P84" s="13" t="str">
        <x:f>IF(COUNT(O84)=0,"",IF(G84+H84=0,IF(O84=0,0,999),ABS(O84)/(G84+H84)))</x:f>
      </x:c>
      <x:c r="Q84" s="13" t="str"/>
      <x:c r="R84" s="13" t="str">
        <x:f>IF(Q84=1,IF(AND(COUNT(P84)=1,P84&lt;='Controls'!$D$69),"PASS","FAIL"),"OPEN")</x:f>
        <x:v>OPEN</x:v>
      </x:c>
    </x:row>
    <x:row r="85">
      <x:c r="B85" s="13" t="str">
        <x:v>RAS-WL-079</x:v>
      </x:c>
      <x:c r="C85" s="13" t="str">
        <x:v>RAS-E079</x:v>
      </x:c>
      <x:c r="D85" s="13" t="str">
        <x:v>AM-06</x:v>
      </x:c>
      <x:c r="E85" s="13" t="str">
        <x:v>RFP-A2</x:v>
      </x:c>
      <x:c r="F85" s="13" t="n">
        <x:v>0</x:v>
      </x:c>
      <x:c r="G85" s="13" t="str"/>
      <x:c r="H85" s="13" t="str"/>
      <x:c r="I85" s="13" t="str"/>
      <x:c r="J85" s="13" t="str"/>
      <x:c r="K85" s="13" t="str"/>
      <x:c r="L85" s="13" t="str"/>
      <x:c r="M85" s="13" t="str"/>
      <x:c r="N85" s="13" t="str">
        <x:f>IF(COUNT(I85:M85)&lt;5,"",SUM(I85:M85))</x:f>
      </x:c>
      <x:c r="O85" s="13" t="str">
        <x:f>IF(COUNT(G85,H85,N85)&lt;3,"",G85+H85-N85)</x:f>
      </x:c>
      <x:c r="P85" s="13" t="str">
        <x:f>IF(COUNT(O85)=0,"",IF(G85+H85=0,IF(O85=0,0,999),ABS(O85)/(G85+H85)))</x:f>
      </x:c>
      <x:c r="Q85" s="13" t="str"/>
      <x:c r="R85" s="13" t="str">
        <x:f>IF(Q85=1,IF(AND(COUNT(P85)=1,P85&lt;='Controls'!$D$69),"PASS","FAIL"),"OPEN")</x:f>
        <x:v>OPEN</x:v>
      </x:c>
    </x:row>
    <x:row r="86">
      <x:c r="B86" s="13" t="str">
        <x:v>RAS-WL-080</x:v>
      </x:c>
      <x:c r="C86" s="13" t="str">
        <x:v>RAS-E080</x:v>
      </x:c>
      <x:c r="D86" s="13" t="str">
        <x:v>AM-06</x:v>
      </x:c>
      <x:c r="E86" s="13" t="str">
        <x:v>RFP-A2</x:v>
      </x:c>
      <x:c r="F86" s="13" t="n">
        <x:v>0</x:v>
      </x:c>
      <x:c r="G86" s="13" t="str"/>
      <x:c r="H86" s="13" t="str"/>
      <x:c r="I86" s="13" t="str"/>
      <x:c r="J86" s="13" t="str"/>
      <x:c r="K86" s="13" t="str"/>
      <x:c r="L86" s="13" t="str"/>
      <x:c r="M86" s="13" t="str"/>
      <x:c r="N86" s="13" t="str">
        <x:f>IF(COUNT(I86:M86)&lt;5,"",SUM(I86:M86))</x:f>
      </x:c>
      <x:c r="O86" s="13" t="str">
        <x:f>IF(COUNT(G86,H86,N86)&lt;3,"",G86+H86-N86)</x:f>
      </x:c>
      <x:c r="P86" s="13" t="str">
        <x:f>IF(COUNT(O86)=0,"",IF(G86+H86=0,IF(O86=0,0,999),ABS(O86)/(G86+H86)))</x:f>
      </x:c>
      <x:c r="Q86" s="13" t="str"/>
      <x:c r="R86" s="13" t="str">
        <x:f>IF(Q86=1,IF(AND(COUNT(P86)=1,P86&lt;='Controls'!$D$69),"PASS","FAIL"),"OPEN")</x:f>
        <x:v>OPEN</x:v>
      </x:c>
    </x:row>
    <x:row r="87">
      <x:c r="B87" s="13" t="str">
        <x:v>RAS-WL-081</x:v>
      </x:c>
      <x:c r="C87" s="13" t="str">
        <x:v>RAS-E081</x:v>
      </x:c>
      <x:c r="D87" s="13" t="str">
        <x:v>AM-06</x:v>
      </x:c>
      <x:c r="E87" s="13" t="str">
        <x:v>RFP-A2</x:v>
      </x:c>
      <x:c r="F87" s="13" t="n">
        <x:v>0</x:v>
      </x:c>
      <x:c r="G87" s="13" t="str"/>
      <x:c r="H87" s="13" t="str"/>
      <x:c r="I87" s="13" t="str"/>
      <x:c r="J87" s="13" t="str"/>
      <x:c r="K87" s="13" t="str"/>
      <x:c r="L87" s="13" t="str"/>
      <x:c r="M87" s="13" t="str"/>
      <x:c r="N87" s="13" t="str">
        <x:f>IF(COUNT(I87:M87)&lt;5,"",SUM(I87:M87))</x:f>
      </x:c>
      <x:c r="O87" s="13" t="str">
        <x:f>IF(COUNT(G87,H87,N87)&lt;3,"",G87+H87-N87)</x:f>
      </x:c>
      <x:c r="P87" s="13" t="str">
        <x:f>IF(COUNT(O87)=0,"",IF(G87+H87=0,IF(O87=0,0,999),ABS(O87)/(G87+H87)))</x:f>
      </x:c>
      <x:c r="Q87" s="13" t="str"/>
      <x:c r="R87" s="13" t="str">
        <x:f>IF(Q87=1,IF(AND(COUNT(P87)=1,P87&lt;='Controls'!$D$69),"PASS","FAIL"),"OPEN")</x:f>
        <x:v>OPEN</x:v>
      </x:c>
    </x:row>
    <x:row r="88">
      <x:c r="B88" s="13" t="str">
        <x:v>RAS-WL-082</x:v>
      </x:c>
      <x:c r="C88" s="13" t="str">
        <x:v>RAS-E082</x:v>
      </x:c>
      <x:c r="D88" s="13" t="str">
        <x:v>AM-06</x:v>
      </x:c>
      <x:c r="E88" s="13" t="str">
        <x:v>RFP-A2</x:v>
      </x:c>
      <x:c r="F88" s="13" t="n">
        <x:v>0</x:v>
      </x:c>
      <x:c r="G88" s="13" t="str"/>
      <x:c r="H88" s="13" t="str"/>
      <x:c r="I88" s="13" t="str"/>
      <x:c r="J88" s="13" t="str"/>
      <x:c r="K88" s="13" t="str"/>
      <x:c r="L88" s="13" t="str"/>
      <x:c r="M88" s="13" t="str"/>
      <x:c r="N88" s="13" t="str">
        <x:f>IF(COUNT(I88:M88)&lt;5,"",SUM(I88:M88))</x:f>
      </x:c>
      <x:c r="O88" s="13" t="str">
        <x:f>IF(COUNT(G88,H88,N88)&lt;3,"",G88+H88-N88)</x:f>
      </x:c>
      <x:c r="P88" s="13" t="str">
        <x:f>IF(COUNT(O88)=0,"",IF(G88+H88=0,IF(O88=0,0,999),ABS(O88)/(G88+H88)))</x:f>
      </x:c>
      <x:c r="Q88" s="13" t="str"/>
      <x:c r="R88" s="13" t="str">
        <x:f>IF(Q88=1,IF(AND(COUNT(P88)=1,P88&lt;='Controls'!$D$69),"PASS","FAIL"),"OPEN")</x:f>
        <x:v>OPEN</x:v>
      </x:c>
    </x:row>
    <x:row r="89">
      <x:c r="B89" s="13" t="str">
        <x:v>RAS-WL-083</x:v>
      </x:c>
      <x:c r="C89" s="13" t="str">
        <x:v>RAS-E083</x:v>
      </x:c>
      <x:c r="D89" s="13" t="str">
        <x:v>AM-06</x:v>
      </x:c>
      <x:c r="E89" s="13" t="str">
        <x:v>RFP-A2</x:v>
      </x:c>
      <x:c r="F89" s="13" t="n">
        <x:v>24</x:v>
      </x:c>
      <x:c r="G89" s="13" t="str"/>
      <x:c r="H89" s="13" t="str"/>
      <x:c r="I89" s="13" t="str"/>
      <x:c r="J89" s="13" t="str"/>
      <x:c r="K89" s="13" t="str"/>
      <x:c r="L89" s="13" t="str"/>
      <x:c r="M89" s="13" t="str"/>
      <x:c r="N89" s="13" t="str">
        <x:f>IF(COUNT(I89:M89)&lt;5,"",SUM(I89:M89))</x:f>
      </x:c>
      <x:c r="O89" s="13" t="str">
        <x:f>IF(COUNT(G89,H89,N89)&lt;3,"",G89+H89-N89)</x:f>
      </x:c>
      <x:c r="P89" s="13" t="str">
        <x:f>IF(COUNT(O89)=0,"",IF(G89+H89=0,IF(O89=0,0,999),ABS(O89)/(G89+H89)))</x:f>
      </x:c>
      <x:c r="Q89" s="13" t="str"/>
      <x:c r="R89" s="13" t="str">
        <x:f>IF(Q89=1,IF(AND(COUNT(P89)=1,P89&lt;='Controls'!$D$69),"PASS","FAIL"),"OPEN")</x:f>
        <x:v>OPEN</x:v>
      </x:c>
    </x:row>
    <x:row r="90">
      <x:c r="B90" s="13" t="str">
        <x:v>RAS-WL-084</x:v>
      </x:c>
      <x:c r="C90" s="13" t="str">
        <x:v>RAS-E084</x:v>
      </x:c>
      <x:c r="D90" s="13" t="str">
        <x:v>AM-06</x:v>
      </x:c>
      <x:c r="E90" s="13" t="str">
        <x:v>RFP-A2</x:v>
      </x:c>
      <x:c r="F90" s="13" t="n">
        <x:v>48</x:v>
      </x:c>
      <x:c r="G90" s="13" t="str"/>
      <x:c r="H90" s="13" t="str"/>
      <x:c r="I90" s="13" t="str"/>
      <x:c r="J90" s="13" t="str"/>
      <x:c r="K90" s="13" t="str"/>
      <x:c r="L90" s="13" t="str"/>
      <x:c r="M90" s="13" t="str"/>
      <x:c r="N90" s="13" t="str">
        <x:f>IF(COUNT(I90:M90)&lt;5,"",SUM(I90:M90))</x:f>
      </x:c>
      <x:c r="O90" s="13" t="str">
        <x:f>IF(COUNT(G90,H90,N90)&lt;3,"",G90+H90-N90)</x:f>
      </x:c>
      <x:c r="P90" s="13" t="str">
        <x:f>IF(COUNT(O90)=0,"",IF(G90+H90=0,IF(O90=0,0,999),ABS(O90)/(G90+H90)))</x:f>
      </x:c>
      <x:c r="Q90" s="13" t="str"/>
      <x:c r="R90" s="13" t="str">
        <x:f>IF(Q90=1,IF(AND(COUNT(P90)=1,P90&lt;='Controls'!$D$69),"PASS","FAIL"),"OPEN")</x:f>
        <x:v>OPEN</x:v>
      </x:c>
    </x:row>
    <x:row r="91">
      <x:c r="B91" s="13" t="str">
        <x:v>RAS-WL-085</x:v>
      </x:c>
      <x:c r="C91" s="13" t="str">
        <x:v>RAS-E085</x:v>
      </x:c>
      <x:c r="D91" s="13" t="str">
        <x:v>AM-06</x:v>
      </x:c>
      <x:c r="E91" s="13" t="str">
        <x:v>RFP-B1</x:v>
      </x:c>
      <x:c r="F91" s="13" t="n">
        <x:v>0</x:v>
      </x:c>
      <x:c r="G91" s="13" t="str"/>
      <x:c r="H91" s="13" t="str"/>
      <x:c r="I91" s="13" t="str"/>
      <x:c r="J91" s="13" t="str"/>
      <x:c r="K91" s="13" t="str"/>
      <x:c r="L91" s="13" t="str"/>
      <x:c r="M91" s="13" t="str"/>
      <x:c r="N91" s="13" t="str">
        <x:f>IF(COUNT(I91:M91)&lt;5,"",SUM(I91:M91))</x:f>
      </x:c>
      <x:c r="O91" s="13" t="str">
        <x:f>IF(COUNT(G91,H91,N91)&lt;3,"",G91+H91-N91)</x:f>
      </x:c>
      <x:c r="P91" s="13" t="str">
        <x:f>IF(COUNT(O91)=0,"",IF(G91+H91=0,IF(O91=0,0,999),ABS(O91)/(G91+H91)))</x:f>
      </x:c>
      <x:c r="Q91" s="13" t="str"/>
      <x:c r="R91" s="13" t="str">
        <x:f>IF(Q91=1,IF(AND(COUNT(P91)=1,P91&lt;='Controls'!$D$69),"PASS","FAIL"),"OPEN")</x:f>
        <x:v>OPEN</x:v>
      </x:c>
    </x:row>
    <x:row r="92">
      <x:c r="B92" s="13" t="str">
        <x:v>RAS-WL-086</x:v>
      </x:c>
      <x:c r="C92" s="13" t="str">
        <x:v>RAS-E086</x:v>
      </x:c>
      <x:c r="D92" s="13" t="str">
        <x:v>AM-06</x:v>
      </x:c>
      <x:c r="E92" s="13" t="str">
        <x:v>RFP-B1</x:v>
      </x:c>
      <x:c r="F92" s="13" t="n">
        <x:v>0</x:v>
      </x:c>
      <x:c r="G92" s="13" t="str"/>
      <x:c r="H92" s="13" t="str"/>
      <x:c r="I92" s="13" t="str"/>
      <x:c r="J92" s="13" t="str"/>
      <x:c r="K92" s="13" t="str"/>
      <x:c r="L92" s="13" t="str"/>
      <x:c r="M92" s="13" t="str"/>
      <x:c r="N92" s="13" t="str">
        <x:f>IF(COUNT(I92:M92)&lt;5,"",SUM(I92:M92))</x:f>
      </x:c>
      <x:c r="O92" s="13" t="str">
        <x:f>IF(COUNT(G92,H92,N92)&lt;3,"",G92+H92-N92)</x:f>
      </x:c>
      <x:c r="P92" s="13" t="str">
        <x:f>IF(COUNT(O92)=0,"",IF(G92+H92=0,IF(O92=0,0,999),ABS(O92)/(G92+H92)))</x:f>
      </x:c>
      <x:c r="Q92" s="13" t="str"/>
      <x:c r="R92" s="13" t="str">
        <x:f>IF(Q92=1,IF(AND(COUNT(P92)=1,P92&lt;='Controls'!$D$69),"PASS","FAIL"),"OPEN")</x:f>
        <x:v>OPEN</x:v>
      </x:c>
    </x:row>
    <x:row r="93">
      <x:c r="B93" s="13" t="str">
        <x:v>RAS-WL-087</x:v>
      </x:c>
      <x:c r="C93" s="13" t="str">
        <x:v>RAS-E087</x:v>
      </x:c>
      <x:c r="D93" s="13" t="str">
        <x:v>AM-06</x:v>
      </x:c>
      <x:c r="E93" s="13" t="str">
        <x:v>RFP-B1</x:v>
      </x:c>
      <x:c r="F93" s="13" t="n">
        <x:v>0</x:v>
      </x:c>
      <x:c r="G93" s="13" t="str"/>
      <x:c r="H93" s="13" t="str"/>
      <x:c r="I93" s="13" t="str"/>
      <x:c r="J93" s="13" t="str"/>
      <x:c r="K93" s="13" t="str"/>
      <x:c r="L93" s="13" t="str"/>
      <x:c r="M93" s="13" t="str"/>
      <x:c r="N93" s="13" t="str">
        <x:f>IF(COUNT(I93:M93)&lt;5,"",SUM(I93:M93))</x:f>
      </x:c>
      <x:c r="O93" s="13" t="str">
        <x:f>IF(COUNT(G93,H93,N93)&lt;3,"",G93+H93-N93)</x:f>
      </x:c>
      <x:c r="P93" s="13" t="str">
        <x:f>IF(COUNT(O93)=0,"",IF(G93+H93=0,IF(O93=0,0,999),ABS(O93)/(G93+H93)))</x:f>
      </x:c>
      <x:c r="Q93" s="13" t="str"/>
      <x:c r="R93" s="13" t="str">
        <x:f>IF(Q93=1,IF(AND(COUNT(P93)=1,P93&lt;='Controls'!$D$69),"PASS","FAIL"),"OPEN")</x:f>
        <x:v>OPEN</x:v>
      </x:c>
    </x:row>
    <x:row r="94">
      <x:c r="B94" s="13" t="str">
        <x:v>RAS-WL-088</x:v>
      </x:c>
      <x:c r="C94" s="13" t="str">
        <x:v>RAS-E088</x:v>
      </x:c>
      <x:c r="D94" s="13" t="str">
        <x:v>AM-06</x:v>
      </x:c>
      <x:c r="E94" s="13" t="str">
        <x:v>RFP-B1</x:v>
      </x:c>
      <x:c r="F94" s="13" t="n">
        <x:v>0</x:v>
      </x:c>
      <x:c r="G94" s="13" t="str"/>
      <x:c r="H94" s="13" t="str"/>
      <x:c r="I94" s="13" t="str"/>
      <x:c r="J94" s="13" t="str"/>
      <x:c r="K94" s="13" t="str"/>
      <x:c r="L94" s="13" t="str"/>
      <x:c r="M94" s="13" t="str"/>
      <x:c r="N94" s="13" t="str">
        <x:f>IF(COUNT(I94:M94)&lt;5,"",SUM(I94:M94))</x:f>
      </x:c>
      <x:c r="O94" s="13" t="str">
        <x:f>IF(COUNT(G94,H94,N94)&lt;3,"",G94+H94-N94)</x:f>
      </x:c>
      <x:c r="P94" s="13" t="str">
        <x:f>IF(COUNT(O94)=0,"",IF(G94+H94=0,IF(O94=0,0,999),ABS(O94)/(G94+H94)))</x:f>
      </x:c>
      <x:c r="Q94" s="13" t="str"/>
      <x:c r="R94" s="13" t="str">
        <x:f>IF(Q94=1,IF(AND(COUNT(P94)=1,P94&lt;='Controls'!$D$69),"PASS","FAIL"),"OPEN")</x:f>
        <x:v>OPEN</x:v>
      </x:c>
    </x:row>
    <x:row r="95">
      <x:c r="B95" s="13" t="str">
        <x:v>RAS-WL-089</x:v>
      </x:c>
      <x:c r="C95" s="13" t="str">
        <x:v>RAS-E089</x:v>
      </x:c>
      <x:c r="D95" s="13" t="str">
        <x:v>AM-06</x:v>
      </x:c>
      <x:c r="E95" s="13" t="str">
        <x:v>RFP-B1</x:v>
      </x:c>
      <x:c r="F95" s="13" t="n">
        <x:v>24</x:v>
      </x:c>
      <x:c r="G95" s="13" t="str"/>
      <x:c r="H95" s="13" t="str"/>
      <x:c r="I95" s="13" t="str"/>
      <x:c r="J95" s="13" t="str"/>
      <x:c r="K95" s="13" t="str"/>
      <x:c r="L95" s="13" t="str"/>
      <x:c r="M95" s="13" t="str"/>
      <x:c r="N95" s="13" t="str">
        <x:f>IF(COUNT(I95:M95)&lt;5,"",SUM(I95:M95))</x:f>
      </x:c>
      <x:c r="O95" s="13" t="str">
        <x:f>IF(COUNT(G95,H95,N95)&lt;3,"",G95+H95-N95)</x:f>
      </x:c>
      <x:c r="P95" s="13" t="str">
        <x:f>IF(COUNT(O95)=0,"",IF(G95+H95=0,IF(O95=0,0,999),ABS(O95)/(G95+H95)))</x:f>
      </x:c>
      <x:c r="Q95" s="13" t="str"/>
      <x:c r="R95" s="13" t="str">
        <x:f>IF(Q95=1,IF(AND(COUNT(P95)=1,P95&lt;='Controls'!$D$69),"PASS","FAIL"),"OPEN")</x:f>
        <x:v>OPEN</x:v>
      </x:c>
    </x:row>
    <x:row r="96">
      <x:c r="B96" s="13" t="str">
        <x:v>RAS-WL-090</x:v>
      </x:c>
      <x:c r="C96" s="13" t="str">
        <x:v>RAS-E090</x:v>
      </x:c>
      <x:c r="D96" s="13" t="str">
        <x:v>AM-06</x:v>
      </x:c>
      <x:c r="E96" s="13" t="str">
        <x:v>RFP-B1</x:v>
      </x:c>
      <x:c r="F96" s="13" t="n">
        <x:v>48</x:v>
      </x:c>
      <x:c r="G96" s="13" t="str"/>
      <x:c r="H96" s="13" t="str"/>
      <x:c r="I96" s="13" t="str"/>
      <x:c r="J96" s="13" t="str"/>
      <x:c r="K96" s="13" t="str"/>
      <x:c r="L96" s="13" t="str"/>
      <x:c r="M96" s="13" t="str"/>
      <x:c r="N96" s="13" t="str">
        <x:f>IF(COUNT(I96:M96)&lt;5,"",SUM(I96:M96))</x:f>
      </x:c>
      <x:c r="O96" s="13" t="str">
        <x:f>IF(COUNT(G96,H96,N96)&lt;3,"",G96+H96-N96)</x:f>
      </x:c>
      <x:c r="P96" s="13" t="str">
        <x:f>IF(COUNT(O96)=0,"",IF(G96+H96=0,IF(O96=0,0,999),ABS(O96)/(G96+H96)))</x:f>
      </x:c>
      <x:c r="Q96" s="13" t="str"/>
      <x:c r="R96" s="13" t="str">
        <x:f>IF(Q96=1,IF(AND(COUNT(P96)=1,P96&lt;='Controls'!$D$69),"PASS","FAIL"),"OPEN")</x:f>
        <x:v>OPEN</x:v>
      </x:c>
    </x:row>
    <x:row r="97">
      <x:c r="B97" s="13" t="str">
        <x:v>RAS-WL-091</x:v>
      </x:c>
      <x:c r="C97" s="13" t="str">
        <x:v>RAS-E091</x:v>
      </x:c>
      <x:c r="D97" s="13" t="str">
        <x:v>AM-06</x:v>
      </x:c>
      <x:c r="E97" s="13" t="str">
        <x:v>RFP-B2</x:v>
      </x:c>
      <x:c r="F97" s="13" t="n">
        <x:v>0</x:v>
      </x:c>
      <x:c r="G97" s="13" t="str"/>
      <x:c r="H97" s="13" t="str"/>
      <x:c r="I97" s="13" t="str"/>
      <x:c r="J97" s="13" t="str"/>
      <x:c r="K97" s="13" t="str"/>
      <x:c r="L97" s="13" t="str"/>
      <x:c r="M97" s="13" t="str"/>
      <x:c r="N97" s="13" t="str">
        <x:f>IF(COUNT(I97:M97)&lt;5,"",SUM(I97:M97))</x:f>
      </x:c>
      <x:c r="O97" s="13" t="str">
        <x:f>IF(COUNT(G97,H97,N97)&lt;3,"",G97+H97-N97)</x:f>
      </x:c>
      <x:c r="P97" s="13" t="str">
        <x:f>IF(COUNT(O97)=0,"",IF(G97+H97=0,IF(O97=0,0,999),ABS(O97)/(G97+H97)))</x:f>
      </x:c>
      <x:c r="Q97" s="13" t="str"/>
      <x:c r="R97" s="13" t="str">
        <x:f>IF(Q97=1,IF(AND(COUNT(P97)=1,P97&lt;='Controls'!$D$69),"PASS","FAIL"),"OPEN")</x:f>
        <x:v>OPEN</x:v>
      </x:c>
    </x:row>
    <x:row r="98">
      <x:c r="B98" s="13" t="str">
        <x:v>RAS-WL-092</x:v>
      </x:c>
      <x:c r="C98" s="13" t="str">
        <x:v>RAS-E092</x:v>
      </x:c>
      <x:c r="D98" s="13" t="str">
        <x:v>AM-06</x:v>
      </x:c>
      <x:c r="E98" s="13" t="str">
        <x:v>RFP-B2</x:v>
      </x:c>
      <x:c r="F98" s="13" t="n">
        <x:v>0</x:v>
      </x:c>
      <x:c r="G98" s="13" t="str"/>
      <x:c r="H98" s="13" t="str"/>
      <x:c r="I98" s="13" t="str"/>
      <x:c r="J98" s="13" t="str"/>
      <x:c r="K98" s="13" t="str"/>
      <x:c r="L98" s="13" t="str"/>
      <x:c r="M98" s="13" t="str"/>
      <x:c r="N98" s="13" t="str">
        <x:f>IF(COUNT(I98:M98)&lt;5,"",SUM(I98:M98))</x:f>
      </x:c>
      <x:c r="O98" s="13" t="str">
        <x:f>IF(COUNT(G98,H98,N98)&lt;3,"",G98+H98-N98)</x:f>
      </x:c>
      <x:c r="P98" s="13" t="str">
        <x:f>IF(COUNT(O98)=0,"",IF(G98+H98=0,IF(O98=0,0,999),ABS(O98)/(G98+H98)))</x:f>
      </x:c>
      <x:c r="Q98" s="13" t="str"/>
      <x:c r="R98" s="13" t="str">
        <x:f>IF(Q98=1,IF(AND(COUNT(P98)=1,P98&lt;='Controls'!$D$69),"PASS","FAIL"),"OPEN")</x:f>
        <x:v>OPEN</x:v>
      </x:c>
    </x:row>
    <x:row r="99">
      <x:c r="B99" s="13" t="str">
        <x:v>RAS-WL-093</x:v>
      </x:c>
      <x:c r="C99" s="13" t="str">
        <x:v>RAS-E093</x:v>
      </x:c>
      <x:c r="D99" s="13" t="str">
        <x:v>AM-06</x:v>
      </x:c>
      <x:c r="E99" s="13" t="str">
        <x:v>RFP-B2</x:v>
      </x:c>
      <x:c r="F99" s="13" t="n">
        <x:v>0</x:v>
      </x:c>
      <x:c r="G99" s="13" t="str"/>
      <x:c r="H99" s="13" t="str"/>
      <x:c r="I99" s="13" t="str"/>
      <x:c r="J99" s="13" t="str"/>
      <x:c r="K99" s="13" t="str"/>
      <x:c r="L99" s="13" t="str"/>
      <x:c r="M99" s="13" t="str"/>
      <x:c r="N99" s="13" t="str">
        <x:f>IF(COUNT(I99:M99)&lt;5,"",SUM(I99:M99))</x:f>
      </x:c>
      <x:c r="O99" s="13" t="str">
        <x:f>IF(COUNT(G99,H99,N99)&lt;3,"",G99+H99-N99)</x:f>
      </x:c>
      <x:c r="P99" s="13" t="str">
        <x:f>IF(COUNT(O99)=0,"",IF(G99+H99=0,IF(O99=0,0,999),ABS(O99)/(G99+H99)))</x:f>
      </x:c>
      <x:c r="Q99" s="13" t="str"/>
      <x:c r="R99" s="13" t="str">
        <x:f>IF(Q99=1,IF(AND(COUNT(P99)=1,P99&lt;='Controls'!$D$69),"PASS","FAIL"),"OPEN")</x:f>
        <x:v>OPEN</x:v>
      </x:c>
    </x:row>
    <x:row r="100">
      <x:c r="B100" s="13" t="str">
        <x:v>RAS-WL-094</x:v>
      </x:c>
      <x:c r="C100" s="13" t="str">
        <x:v>RAS-E094</x:v>
      </x:c>
      <x:c r="D100" s="13" t="str">
        <x:v>AM-06</x:v>
      </x:c>
      <x:c r="E100" s="13" t="str">
        <x:v>RFP-B2</x:v>
      </x:c>
      <x:c r="F100" s="13" t="n">
        <x:v>0</x:v>
      </x:c>
      <x:c r="G100" s="13" t="str"/>
      <x:c r="H100" s="13" t="str"/>
      <x:c r="I100" s="13" t="str"/>
      <x:c r="J100" s="13" t="str"/>
      <x:c r="K100" s="13" t="str"/>
      <x:c r="L100" s="13" t="str"/>
      <x:c r="M100" s="13" t="str"/>
      <x:c r="N100" s="13" t="str">
        <x:f>IF(COUNT(I100:M100)&lt;5,"",SUM(I100:M100))</x:f>
      </x:c>
      <x:c r="O100" s="13" t="str">
        <x:f>IF(COUNT(G100,H100,N100)&lt;3,"",G100+H100-N100)</x:f>
      </x:c>
      <x:c r="P100" s="13" t="str">
        <x:f>IF(COUNT(O100)=0,"",IF(G100+H100=0,IF(O100=0,0,999),ABS(O100)/(G100+H100)))</x:f>
      </x:c>
      <x:c r="Q100" s="13" t="str"/>
      <x:c r="R100" s="13" t="str">
        <x:f>IF(Q100=1,IF(AND(COUNT(P100)=1,P100&lt;='Controls'!$D$69),"PASS","FAIL"),"OPEN")</x:f>
        <x:v>OPEN</x:v>
      </x:c>
    </x:row>
    <x:row r="101">
      <x:c r="B101" s="13" t="str">
        <x:v>RAS-WL-095</x:v>
      </x:c>
      <x:c r="C101" s="13" t="str">
        <x:v>RAS-E095</x:v>
      </x:c>
      <x:c r="D101" s="13" t="str">
        <x:v>AM-06</x:v>
      </x:c>
      <x:c r="E101" s="13" t="str">
        <x:v>RFP-B2</x:v>
      </x:c>
      <x:c r="F101" s="13" t="n">
        <x:v>24</x:v>
      </x:c>
      <x:c r="G101" s="13" t="str"/>
      <x:c r="H101" s="13" t="str"/>
      <x:c r="I101" s="13" t="str"/>
      <x:c r="J101" s="13" t="str"/>
      <x:c r="K101" s="13" t="str"/>
      <x:c r="L101" s="13" t="str"/>
      <x:c r="M101" s="13" t="str"/>
      <x:c r="N101" s="13" t="str">
        <x:f>IF(COUNT(I101:M101)&lt;5,"",SUM(I101:M101))</x:f>
      </x:c>
      <x:c r="O101" s="13" t="str">
        <x:f>IF(COUNT(G101,H101,N101)&lt;3,"",G101+H101-N101)</x:f>
      </x:c>
      <x:c r="P101" s="13" t="str">
        <x:f>IF(COUNT(O101)=0,"",IF(G101+H101=0,IF(O101=0,0,999),ABS(O101)/(G101+H101)))</x:f>
      </x:c>
      <x:c r="Q101" s="13" t="str"/>
      <x:c r="R101" s="13" t="str">
        <x:f>IF(Q101=1,IF(AND(COUNT(P101)=1,P101&lt;='Controls'!$D$69),"PASS","FAIL"),"OPEN")</x:f>
        <x:v>OPEN</x:v>
      </x:c>
    </x:row>
    <x:row r="102">
      <x:c r="B102" s="13" t="str">
        <x:v>RAS-WL-096</x:v>
      </x:c>
      <x:c r="C102" s="13" t="str">
        <x:v>RAS-E096</x:v>
      </x:c>
      <x:c r="D102" s="13" t="str">
        <x:v>AM-06</x:v>
      </x:c>
      <x:c r="E102" s="13" t="str">
        <x:v>RFP-B2</x:v>
      </x:c>
      <x:c r="F102" s="13" t="n">
        <x:v>48</x:v>
      </x:c>
      <x:c r="G102" s="13" t="str"/>
      <x:c r="H102" s="13" t="str"/>
      <x:c r="I102" s="13" t="str"/>
      <x:c r="J102" s="13" t="str"/>
      <x:c r="K102" s="13" t="str"/>
      <x:c r="L102" s="13" t="str"/>
      <x:c r="M102" s="13" t="str"/>
      <x:c r="N102" s="13" t="str">
        <x:f>IF(COUNT(I102:M102)&lt;5,"",SUM(I102:M102))</x:f>
      </x:c>
      <x:c r="O102" s="13" t="str">
        <x:f>IF(COUNT(G102,H102,N102)&lt;3,"",G102+H102-N102)</x:f>
      </x:c>
      <x:c r="P102" s="13" t="str">
        <x:f>IF(COUNT(O102)=0,"",IF(G102+H102=0,IF(O102=0,0,999),ABS(O102)/(G102+H102)))</x:f>
      </x:c>
      <x:c r="Q102" s="13" t="str"/>
      <x:c r="R102" s="13" t="str">
        <x:f>IF(Q102=1,IF(AND(COUNT(P102)=1,P102&lt;='Controls'!$D$69),"PASS","FAIL"),"OPEN")</x:f>
        <x:v>OPEN</x:v>
      </x:c>
    </x:row>
    <x:row r="103">
      <x:c r="B103" s="13" t="str">
        <x:v>RAS-WL-097</x:v>
      </x:c>
      <x:c r="C103" s="13" t="str">
        <x:v>RAS-E097</x:v>
      </x:c>
      <x:c r="D103" s="13" t="str">
        <x:v>AM-06</x:v>
      </x:c>
      <x:c r="E103" s="13" t="str">
        <x:v>RFP-C1</x:v>
      </x:c>
      <x:c r="F103" s="13" t="n">
        <x:v>0</x:v>
      </x:c>
      <x:c r="G103" s="13" t="str"/>
      <x:c r="H103" s="13" t="str"/>
      <x:c r="I103" s="13" t="str"/>
      <x:c r="J103" s="13" t="str"/>
      <x:c r="K103" s="13" t="str"/>
      <x:c r="L103" s="13" t="str"/>
      <x:c r="M103" s="13" t="str"/>
      <x:c r="N103" s="13" t="str">
        <x:f>IF(COUNT(I103:M103)&lt;5,"",SUM(I103:M103))</x:f>
      </x:c>
      <x:c r="O103" s="13" t="str">
        <x:f>IF(COUNT(G103,H103,N103)&lt;3,"",G103+H103-N103)</x:f>
      </x:c>
      <x:c r="P103" s="13" t="str">
        <x:f>IF(COUNT(O103)=0,"",IF(G103+H103=0,IF(O103=0,0,999),ABS(O103)/(G103+H103)))</x:f>
      </x:c>
      <x:c r="Q103" s="13" t="str"/>
      <x:c r="R103" s="13" t="str">
        <x:f>IF(Q103=1,IF(AND(COUNT(P103)=1,P103&lt;='Controls'!$D$69),"PASS","FAIL"),"OPEN")</x:f>
        <x:v>OPEN</x:v>
      </x:c>
    </x:row>
    <x:row r="104">
      <x:c r="B104" s="13" t="str">
        <x:v>RAS-WL-098</x:v>
      </x:c>
      <x:c r="C104" s="13" t="str">
        <x:v>RAS-E098</x:v>
      </x:c>
      <x:c r="D104" s="13" t="str">
        <x:v>AM-06</x:v>
      </x:c>
      <x:c r="E104" s="13" t="str">
        <x:v>RFP-C1</x:v>
      </x:c>
      <x:c r="F104" s="13" t="n">
        <x:v>0</x:v>
      </x:c>
      <x:c r="G104" s="13" t="str"/>
      <x:c r="H104" s="13" t="str"/>
      <x:c r="I104" s="13" t="str"/>
      <x:c r="J104" s="13" t="str"/>
      <x:c r="K104" s="13" t="str"/>
      <x:c r="L104" s="13" t="str"/>
      <x:c r="M104" s="13" t="str"/>
      <x:c r="N104" s="13" t="str">
        <x:f>IF(COUNT(I104:M104)&lt;5,"",SUM(I104:M104))</x:f>
      </x:c>
      <x:c r="O104" s="13" t="str">
        <x:f>IF(COUNT(G104,H104,N104)&lt;3,"",G104+H104-N104)</x:f>
      </x:c>
      <x:c r="P104" s="13" t="str">
        <x:f>IF(COUNT(O104)=0,"",IF(G104+H104=0,IF(O104=0,0,999),ABS(O104)/(G104+H104)))</x:f>
      </x:c>
      <x:c r="Q104" s="13" t="str"/>
      <x:c r="R104" s="13" t="str">
        <x:f>IF(Q104=1,IF(AND(COUNT(P104)=1,P104&lt;='Controls'!$D$69),"PASS","FAIL"),"OPEN")</x:f>
        <x:v>OPEN</x:v>
      </x:c>
    </x:row>
    <x:row r="105">
      <x:c r="B105" s="13" t="str">
        <x:v>RAS-WL-099</x:v>
      </x:c>
      <x:c r="C105" s="13" t="str">
        <x:v>RAS-E099</x:v>
      </x:c>
      <x:c r="D105" s="13" t="str">
        <x:v>AM-06</x:v>
      </x:c>
      <x:c r="E105" s="13" t="str">
        <x:v>RFP-C1</x:v>
      </x:c>
      <x:c r="F105" s="13" t="n">
        <x:v>0</x:v>
      </x:c>
      <x:c r="G105" s="13" t="str"/>
      <x:c r="H105" s="13" t="str"/>
      <x:c r="I105" s="13" t="str"/>
      <x:c r="J105" s="13" t="str"/>
      <x:c r="K105" s="13" t="str"/>
      <x:c r="L105" s="13" t="str"/>
      <x:c r="M105" s="13" t="str"/>
      <x:c r="N105" s="13" t="str">
        <x:f>IF(COUNT(I105:M105)&lt;5,"",SUM(I105:M105))</x:f>
      </x:c>
      <x:c r="O105" s="13" t="str">
        <x:f>IF(COUNT(G105,H105,N105)&lt;3,"",G105+H105-N105)</x:f>
      </x:c>
      <x:c r="P105" s="13" t="str">
        <x:f>IF(COUNT(O105)=0,"",IF(G105+H105=0,IF(O105=0,0,999),ABS(O105)/(G105+H105)))</x:f>
      </x:c>
      <x:c r="Q105" s="13" t="str"/>
      <x:c r="R105" s="13" t="str">
        <x:f>IF(Q105=1,IF(AND(COUNT(P105)=1,P105&lt;='Controls'!$D$69),"PASS","FAIL"),"OPEN")</x:f>
        <x:v>OPEN</x:v>
      </x:c>
    </x:row>
    <x:row r="106">
      <x:c r="B106" s="13" t="str">
        <x:v>RAS-WL-100</x:v>
      </x:c>
      <x:c r="C106" s="13" t="str">
        <x:v>RAS-E100</x:v>
      </x:c>
      <x:c r="D106" s="13" t="str">
        <x:v>AM-06</x:v>
      </x:c>
      <x:c r="E106" s="13" t="str">
        <x:v>RFP-C1</x:v>
      </x:c>
      <x:c r="F106" s="13" t="n">
        <x:v>0</x:v>
      </x:c>
      <x:c r="G106" s="13" t="str"/>
      <x:c r="H106" s="13" t="str"/>
      <x:c r="I106" s="13" t="str"/>
      <x:c r="J106" s="13" t="str"/>
      <x:c r="K106" s="13" t="str"/>
      <x:c r="L106" s="13" t="str"/>
      <x:c r="M106" s="13" t="str"/>
      <x:c r="N106" s="13" t="str">
        <x:f>IF(COUNT(I106:M106)&lt;5,"",SUM(I106:M106))</x:f>
      </x:c>
      <x:c r="O106" s="13" t="str">
        <x:f>IF(COUNT(G106,H106,N106)&lt;3,"",G106+H106-N106)</x:f>
      </x:c>
      <x:c r="P106" s="13" t="str">
        <x:f>IF(COUNT(O106)=0,"",IF(G106+H106=0,IF(O106=0,0,999),ABS(O106)/(G106+H106)))</x:f>
      </x:c>
      <x:c r="Q106" s="13" t="str"/>
      <x:c r="R106" s="13" t="str">
        <x:f>IF(Q106=1,IF(AND(COUNT(P106)=1,P106&lt;='Controls'!$D$69),"PASS","FAIL"),"OPEN")</x:f>
        <x:v>OPEN</x:v>
      </x:c>
    </x:row>
    <x:row r="107">
      <x:c r="B107" s="13" t="str">
        <x:v>RAS-WL-101</x:v>
      </x:c>
      <x:c r="C107" s="13" t="str">
        <x:v>RAS-E101</x:v>
      </x:c>
      <x:c r="D107" s="13" t="str">
        <x:v>AM-06</x:v>
      </x:c>
      <x:c r="E107" s="13" t="str">
        <x:v>RFP-C1</x:v>
      </x:c>
      <x:c r="F107" s="13" t="n">
        <x:v>24</x:v>
      </x:c>
      <x:c r="G107" s="13" t="str"/>
      <x:c r="H107" s="13" t="str"/>
      <x:c r="I107" s="13" t="str"/>
      <x:c r="J107" s="13" t="str"/>
      <x:c r="K107" s="13" t="str"/>
      <x:c r="L107" s="13" t="str"/>
      <x:c r="M107" s="13" t="str"/>
      <x:c r="N107" s="13" t="str">
        <x:f>IF(COUNT(I107:M107)&lt;5,"",SUM(I107:M107))</x:f>
      </x:c>
      <x:c r="O107" s="13" t="str">
        <x:f>IF(COUNT(G107,H107,N107)&lt;3,"",G107+H107-N107)</x:f>
      </x:c>
      <x:c r="P107" s="13" t="str">
        <x:f>IF(COUNT(O107)=0,"",IF(G107+H107=0,IF(O107=0,0,999),ABS(O107)/(G107+H107)))</x:f>
      </x:c>
      <x:c r="Q107" s="13" t="str"/>
      <x:c r="R107" s="13" t="str">
        <x:f>IF(Q107=1,IF(AND(COUNT(P107)=1,P107&lt;='Controls'!$D$69),"PASS","FAIL"),"OPEN")</x:f>
        <x:v>OPEN</x:v>
      </x:c>
    </x:row>
    <x:row r="108">
      <x:c r="B108" s="13" t="str">
        <x:v>RAS-WL-102</x:v>
      </x:c>
      <x:c r="C108" s="13" t="str">
        <x:v>RAS-E102</x:v>
      </x:c>
      <x:c r="D108" s="13" t="str">
        <x:v>AM-06</x:v>
      </x:c>
      <x:c r="E108" s="13" t="str">
        <x:v>RFP-C1</x:v>
      </x:c>
      <x:c r="F108" s="13" t="n">
        <x:v>48</x:v>
      </x:c>
      <x:c r="G108" s="13" t="str"/>
      <x:c r="H108" s="13" t="str"/>
      <x:c r="I108" s="13" t="str"/>
      <x:c r="J108" s="13" t="str"/>
      <x:c r="K108" s="13" t="str"/>
      <x:c r="L108" s="13" t="str"/>
      <x:c r="M108" s="13" t="str"/>
      <x:c r="N108" s="13" t="str">
        <x:f>IF(COUNT(I108:M108)&lt;5,"",SUM(I108:M108))</x:f>
      </x:c>
      <x:c r="O108" s="13" t="str">
        <x:f>IF(COUNT(G108,H108,N108)&lt;3,"",G108+H108-N108)</x:f>
      </x:c>
      <x:c r="P108" s="13" t="str">
        <x:f>IF(COUNT(O108)=0,"",IF(G108+H108=0,IF(O108=0,0,999),ABS(O108)/(G108+H108)))</x:f>
      </x:c>
      <x:c r="Q108" s="13" t="str"/>
      <x:c r="R108" s="13" t="str">
        <x:f>IF(Q108=1,IF(AND(COUNT(P108)=1,P108&lt;='Controls'!$D$69),"PASS","FAIL"),"OPEN")</x:f>
        <x:v>OPEN</x:v>
      </x:c>
    </x:row>
    <x:row r="109">
      <x:c r="B109" s="13" t="str">
        <x:v>RAS-WL-103</x:v>
      </x:c>
      <x:c r="C109" s="13" t="str">
        <x:v>RAS-E103</x:v>
      </x:c>
      <x:c r="D109" s="13" t="str">
        <x:v>AM-06</x:v>
      </x:c>
      <x:c r="E109" s="13" t="str">
        <x:v>RFP-C2</x:v>
      </x:c>
      <x:c r="F109" s="13" t="n">
        <x:v>0</x:v>
      </x:c>
      <x:c r="G109" s="13" t="str"/>
      <x:c r="H109" s="13" t="str"/>
      <x:c r="I109" s="13" t="str"/>
      <x:c r="J109" s="13" t="str"/>
      <x:c r="K109" s="13" t="str"/>
      <x:c r="L109" s="13" t="str"/>
      <x:c r="M109" s="13" t="str"/>
      <x:c r="N109" s="13" t="str">
        <x:f>IF(COUNT(I109:M109)&lt;5,"",SUM(I109:M109))</x:f>
      </x:c>
      <x:c r="O109" s="13" t="str">
        <x:f>IF(COUNT(G109,H109,N109)&lt;3,"",G109+H109-N109)</x:f>
      </x:c>
      <x:c r="P109" s="13" t="str">
        <x:f>IF(COUNT(O109)=0,"",IF(G109+H109=0,IF(O109=0,0,999),ABS(O109)/(G109+H109)))</x:f>
      </x:c>
      <x:c r="Q109" s="13" t="str"/>
      <x:c r="R109" s="13" t="str">
        <x:f>IF(Q109=1,IF(AND(COUNT(P109)=1,P109&lt;='Controls'!$D$69),"PASS","FAIL"),"OPEN")</x:f>
        <x:v>OPEN</x:v>
      </x:c>
    </x:row>
    <x:row r="110">
      <x:c r="B110" s="13" t="str">
        <x:v>RAS-WL-104</x:v>
      </x:c>
      <x:c r="C110" s="13" t="str">
        <x:v>RAS-E104</x:v>
      </x:c>
      <x:c r="D110" s="13" t="str">
        <x:v>AM-06</x:v>
      </x:c>
      <x:c r="E110" s="13" t="str">
        <x:v>RFP-C2</x:v>
      </x:c>
      <x:c r="F110" s="13" t="n">
        <x:v>0</x:v>
      </x:c>
      <x:c r="G110" s="13" t="str"/>
      <x:c r="H110" s="13" t="str"/>
      <x:c r="I110" s="13" t="str"/>
      <x:c r="J110" s="13" t="str"/>
      <x:c r="K110" s="13" t="str"/>
      <x:c r="L110" s="13" t="str"/>
      <x:c r="M110" s="13" t="str"/>
      <x:c r="N110" s="13" t="str">
        <x:f>IF(COUNT(I110:M110)&lt;5,"",SUM(I110:M110))</x:f>
      </x:c>
      <x:c r="O110" s="13" t="str">
        <x:f>IF(COUNT(G110,H110,N110)&lt;3,"",G110+H110-N110)</x:f>
      </x:c>
      <x:c r="P110" s="13" t="str">
        <x:f>IF(COUNT(O110)=0,"",IF(G110+H110=0,IF(O110=0,0,999),ABS(O110)/(G110+H110)))</x:f>
      </x:c>
      <x:c r="Q110" s="13" t="str"/>
      <x:c r="R110" s="13" t="str">
        <x:f>IF(Q110=1,IF(AND(COUNT(P110)=1,P110&lt;='Controls'!$D$69),"PASS","FAIL"),"OPEN")</x:f>
        <x:v>OPEN</x:v>
      </x:c>
    </x:row>
    <x:row r="111">
      <x:c r="B111" s="13" t="str">
        <x:v>RAS-WL-105</x:v>
      </x:c>
      <x:c r="C111" s="13" t="str">
        <x:v>RAS-E105</x:v>
      </x:c>
      <x:c r="D111" s="13" t="str">
        <x:v>AM-06</x:v>
      </x:c>
      <x:c r="E111" s="13" t="str">
        <x:v>RFP-C2</x:v>
      </x:c>
      <x:c r="F111" s="13" t="n">
        <x:v>0</x:v>
      </x:c>
      <x:c r="G111" s="13" t="str"/>
      <x:c r="H111" s="13" t="str"/>
      <x:c r="I111" s="13" t="str"/>
      <x:c r="J111" s="13" t="str"/>
      <x:c r="K111" s="13" t="str"/>
      <x:c r="L111" s="13" t="str"/>
      <x:c r="M111" s="13" t="str"/>
      <x:c r="N111" s="13" t="str">
        <x:f>IF(COUNT(I111:M111)&lt;5,"",SUM(I111:M111))</x:f>
      </x:c>
      <x:c r="O111" s="13" t="str">
        <x:f>IF(COUNT(G111,H111,N111)&lt;3,"",G111+H111-N111)</x:f>
      </x:c>
      <x:c r="P111" s="13" t="str">
        <x:f>IF(COUNT(O111)=0,"",IF(G111+H111=0,IF(O111=0,0,999),ABS(O111)/(G111+H111)))</x:f>
      </x:c>
      <x:c r="Q111" s="13" t="str"/>
      <x:c r="R111" s="13" t="str">
        <x:f>IF(Q111=1,IF(AND(COUNT(P111)=1,P111&lt;='Controls'!$D$69),"PASS","FAIL"),"OPEN")</x:f>
        <x:v>OPEN</x:v>
      </x:c>
    </x:row>
    <x:row r="112">
      <x:c r="B112" s="13" t="str">
        <x:v>RAS-WL-106</x:v>
      </x:c>
      <x:c r="C112" s="13" t="str">
        <x:v>RAS-E106</x:v>
      </x:c>
      <x:c r="D112" s="13" t="str">
        <x:v>AM-06</x:v>
      </x:c>
      <x:c r="E112" s="13" t="str">
        <x:v>RFP-C2</x:v>
      </x:c>
      <x:c r="F112" s="13" t="n">
        <x:v>0</x:v>
      </x:c>
      <x:c r="G112" s="13" t="str"/>
      <x:c r="H112" s="13" t="str"/>
      <x:c r="I112" s="13" t="str"/>
      <x:c r="J112" s="13" t="str"/>
      <x:c r="K112" s="13" t="str"/>
      <x:c r="L112" s="13" t="str"/>
      <x:c r="M112" s="13" t="str"/>
      <x:c r="N112" s="13" t="str">
        <x:f>IF(COUNT(I112:M112)&lt;5,"",SUM(I112:M112))</x:f>
      </x:c>
      <x:c r="O112" s="13" t="str">
        <x:f>IF(COUNT(G112,H112,N112)&lt;3,"",G112+H112-N112)</x:f>
      </x:c>
      <x:c r="P112" s="13" t="str">
        <x:f>IF(COUNT(O112)=0,"",IF(G112+H112=0,IF(O112=0,0,999),ABS(O112)/(G112+H112)))</x:f>
      </x:c>
      <x:c r="Q112" s="13" t="str"/>
      <x:c r="R112" s="13" t="str">
        <x:f>IF(Q112=1,IF(AND(COUNT(P112)=1,P112&lt;='Controls'!$D$69),"PASS","FAIL"),"OPEN")</x:f>
        <x:v>OPEN</x:v>
      </x:c>
    </x:row>
    <x:row r="113">
      <x:c r="B113" s="13" t="str">
        <x:v>RAS-WL-107</x:v>
      </x:c>
      <x:c r="C113" s="13" t="str">
        <x:v>RAS-E107</x:v>
      </x:c>
      <x:c r="D113" s="13" t="str">
        <x:v>AM-06</x:v>
      </x:c>
      <x:c r="E113" s="13" t="str">
        <x:v>RFP-C2</x:v>
      </x:c>
      <x:c r="F113" s="13" t="n">
        <x:v>24</x:v>
      </x:c>
      <x:c r="G113" s="13" t="str"/>
      <x:c r="H113" s="13" t="str"/>
      <x:c r="I113" s="13" t="str"/>
      <x:c r="J113" s="13" t="str"/>
      <x:c r="K113" s="13" t="str"/>
      <x:c r="L113" s="13" t="str"/>
      <x:c r="M113" s="13" t="str"/>
      <x:c r="N113" s="13" t="str">
        <x:f>IF(COUNT(I113:M113)&lt;5,"",SUM(I113:M113))</x:f>
      </x:c>
      <x:c r="O113" s="13" t="str">
        <x:f>IF(COUNT(G113,H113,N113)&lt;3,"",G113+H113-N113)</x:f>
      </x:c>
      <x:c r="P113" s="13" t="str">
        <x:f>IF(COUNT(O113)=0,"",IF(G113+H113=0,IF(O113=0,0,999),ABS(O113)/(G113+H113)))</x:f>
      </x:c>
      <x:c r="Q113" s="13" t="str"/>
      <x:c r="R113" s="13" t="str">
        <x:f>IF(Q113=1,IF(AND(COUNT(P113)=1,P113&lt;='Controls'!$D$69),"PASS","FAIL"),"OPEN")</x:f>
        <x:v>OPEN</x:v>
      </x:c>
    </x:row>
    <x:row r="114">
      <x:c r="B114" s="13" t="str">
        <x:v>RAS-WL-108</x:v>
      </x:c>
      <x:c r="C114" s="13" t="str">
        <x:v>RAS-E108</x:v>
      </x:c>
      <x:c r="D114" s="13" t="str">
        <x:v>AM-06</x:v>
      </x:c>
      <x:c r="E114" s="13" t="str">
        <x:v>RFP-C2</x:v>
      </x:c>
      <x:c r="F114" s="13" t="n">
        <x:v>48</x:v>
      </x:c>
      <x:c r="G114" s="13" t="str"/>
      <x:c r="H114" s="13" t="str"/>
      <x:c r="I114" s="13" t="str"/>
      <x:c r="J114" s="13" t="str"/>
      <x:c r="K114" s="13" t="str"/>
      <x:c r="L114" s="13" t="str"/>
      <x:c r="M114" s="13" t="str"/>
      <x:c r="N114" s="13" t="str">
        <x:f>IF(COUNT(I114:M114)&lt;5,"",SUM(I114:M114))</x:f>
      </x:c>
      <x:c r="O114" s="13" t="str">
        <x:f>IF(COUNT(G114,H114,N114)&lt;3,"",G114+H114-N114)</x:f>
      </x:c>
      <x:c r="P114" s="13" t="str">
        <x:f>IF(COUNT(O114)=0,"",IF(G114+H114=0,IF(O114=0,0,999),ABS(O114)/(G114+H114)))</x:f>
      </x:c>
      <x:c r="Q114" s="13" t="str"/>
      <x:c r="R114" s="13" t="str">
        <x:f>IF(Q114=1,IF(AND(COUNT(P114)=1,P114&lt;='Controls'!$D$69),"PASS","FAIL"),"OPEN")</x:f>
        <x:v>OPEN</x:v>
      </x:c>
    </x:row>
    <x:row r="115">
      <x:c r="B115" s="13" t="str">
        <x:v>RAS-WL-109</x:v>
      </x:c>
      <x:c r="C115" s="13" t="str">
        <x:v>RAS-E109</x:v>
      </x:c>
      <x:c r="D115" s="13" t="str">
        <x:v>AM-06</x:v>
      </x:c>
      <x:c r="E115" s="13" t="str">
        <x:v>RFP-A1</x:v>
      </x:c>
      <x:c r="F115" s="13" t="n">
        <x:v>0</x:v>
      </x:c>
      <x:c r="G115" s="13" t="str"/>
      <x:c r="H115" s="13" t="str"/>
      <x:c r="I115" s="13" t="str"/>
      <x:c r="J115" s="13" t="str"/>
      <x:c r="K115" s="13" t="str"/>
      <x:c r="L115" s="13" t="str"/>
      <x:c r="M115" s="13" t="str"/>
      <x:c r="N115" s="13" t="str">
        <x:f>IF(COUNT(I115:M115)&lt;5,"",SUM(I115:M115))</x:f>
      </x:c>
      <x:c r="O115" s="13" t="str">
        <x:f>IF(COUNT(G115,H115,N115)&lt;3,"",G115+H115-N115)</x:f>
      </x:c>
      <x:c r="P115" s="13" t="str">
        <x:f>IF(COUNT(O115)=0,"",IF(G115+H115=0,IF(O115=0,0,999),ABS(O115)/(G115+H115)))</x:f>
      </x:c>
      <x:c r="Q115" s="13" t="str"/>
      <x:c r="R115" s="13" t="str">
        <x:f>IF(Q115=1,IF(AND(COUNT(P115)=1,P115&lt;='Controls'!$D$69),"PASS","FAIL"),"OPEN")</x:f>
        <x:v>OPEN</x:v>
      </x:c>
    </x:row>
    <x:row r="116">
      <x:c r="B116" s="13" t="str">
        <x:v>RAS-WL-110</x:v>
      </x:c>
      <x:c r="C116" s="13" t="str">
        <x:v>RAS-E110</x:v>
      </x:c>
      <x:c r="D116" s="13" t="str">
        <x:v>AM-06</x:v>
      </x:c>
      <x:c r="E116" s="13" t="str">
        <x:v>RFP-A1</x:v>
      </x:c>
      <x:c r="F116" s="13" t="n">
        <x:v>0</x:v>
      </x:c>
      <x:c r="G116" s="13" t="str"/>
      <x:c r="H116" s="13" t="str"/>
      <x:c r="I116" s="13" t="str"/>
      <x:c r="J116" s="13" t="str"/>
      <x:c r="K116" s="13" t="str"/>
      <x:c r="L116" s="13" t="str"/>
      <x:c r="M116" s="13" t="str"/>
      <x:c r="N116" s="13" t="str">
        <x:f>IF(COUNT(I116:M116)&lt;5,"",SUM(I116:M116))</x:f>
      </x:c>
      <x:c r="O116" s="13" t="str">
        <x:f>IF(COUNT(G116,H116,N116)&lt;3,"",G116+H116-N116)</x:f>
      </x:c>
      <x:c r="P116" s="13" t="str">
        <x:f>IF(COUNT(O116)=0,"",IF(G116+H116=0,IF(O116=0,0,999),ABS(O116)/(G116+H116)))</x:f>
      </x:c>
      <x:c r="Q116" s="13" t="str"/>
      <x:c r="R116" s="13" t="str">
        <x:f>IF(Q116=1,IF(AND(COUNT(P116)=1,P116&lt;='Controls'!$D$69),"PASS","FAIL"),"OPEN")</x:f>
        <x:v>OPEN</x:v>
      </x:c>
    </x:row>
    <x:row r="117">
      <x:c r="B117" s="13" t="str">
        <x:v>RAS-WL-111</x:v>
      </x:c>
      <x:c r="C117" s="13" t="str">
        <x:v>RAS-E111</x:v>
      </x:c>
      <x:c r="D117" s="13" t="str">
        <x:v>AM-06</x:v>
      </x:c>
      <x:c r="E117" s="13" t="str">
        <x:v>RFP-A1</x:v>
      </x:c>
      <x:c r="F117" s="13" t="n">
        <x:v>0</x:v>
      </x:c>
      <x:c r="G117" s="13" t="str"/>
      <x:c r="H117" s="13" t="str"/>
      <x:c r="I117" s="13" t="str"/>
      <x:c r="J117" s="13" t="str"/>
      <x:c r="K117" s="13" t="str"/>
      <x:c r="L117" s="13" t="str"/>
      <x:c r="M117" s="13" t="str"/>
      <x:c r="N117" s="13" t="str">
        <x:f>IF(COUNT(I117:M117)&lt;5,"",SUM(I117:M117))</x:f>
      </x:c>
      <x:c r="O117" s="13" t="str">
        <x:f>IF(COUNT(G117,H117,N117)&lt;3,"",G117+H117-N117)</x:f>
      </x:c>
      <x:c r="P117" s="13" t="str">
        <x:f>IF(COUNT(O117)=0,"",IF(G117+H117=0,IF(O117=0,0,999),ABS(O117)/(G117+H117)))</x:f>
      </x:c>
      <x:c r="Q117" s="13" t="str"/>
      <x:c r="R117" s="13" t="str">
        <x:f>IF(Q117=1,IF(AND(COUNT(P117)=1,P117&lt;='Controls'!$D$69),"PASS","FAIL"),"OPEN")</x:f>
        <x:v>OPEN</x:v>
      </x:c>
    </x:row>
    <x:row r="118">
      <x:c r="B118" s="13" t="str">
        <x:v>RAS-WL-112</x:v>
      </x:c>
      <x:c r="C118" s="13" t="str">
        <x:v>RAS-E112</x:v>
      </x:c>
      <x:c r="D118" s="13" t="str">
        <x:v>AM-06</x:v>
      </x:c>
      <x:c r="E118" s="13" t="str">
        <x:v>RFP-A1</x:v>
      </x:c>
      <x:c r="F118" s="13" t="n">
        <x:v>0</x:v>
      </x:c>
      <x:c r="G118" s="13" t="str"/>
      <x:c r="H118" s="13" t="str"/>
      <x:c r="I118" s="13" t="str"/>
      <x:c r="J118" s="13" t="str"/>
      <x:c r="K118" s="13" t="str"/>
      <x:c r="L118" s="13" t="str"/>
      <x:c r="M118" s="13" t="str"/>
      <x:c r="N118" s="13" t="str">
        <x:f>IF(COUNT(I118:M118)&lt;5,"",SUM(I118:M118))</x:f>
      </x:c>
      <x:c r="O118" s="13" t="str">
        <x:f>IF(COUNT(G118,H118,N118)&lt;3,"",G118+H118-N118)</x:f>
      </x:c>
      <x:c r="P118" s="13" t="str">
        <x:f>IF(COUNT(O118)=0,"",IF(G118+H118=0,IF(O118=0,0,999),ABS(O118)/(G118+H118)))</x:f>
      </x:c>
      <x:c r="Q118" s="13" t="str"/>
      <x:c r="R118" s="13" t="str">
        <x:f>IF(Q118=1,IF(AND(COUNT(P118)=1,P118&lt;='Controls'!$D$69),"PASS","FAIL"),"OPEN")</x:f>
        <x:v>OPEN</x:v>
      </x:c>
    </x:row>
    <x:row r="119">
      <x:c r="B119" s="13" t="str">
        <x:v>RAS-WL-113</x:v>
      </x:c>
      <x:c r="C119" s="13" t="str">
        <x:v>RAS-E113</x:v>
      </x:c>
      <x:c r="D119" s="13" t="str">
        <x:v>AM-06</x:v>
      </x:c>
      <x:c r="E119" s="13" t="str">
        <x:v>RFP-A1</x:v>
      </x:c>
      <x:c r="F119" s="13" t="n">
        <x:v>24</x:v>
      </x:c>
      <x:c r="G119" s="13" t="str"/>
      <x:c r="H119" s="13" t="str"/>
      <x:c r="I119" s="13" t="str"/>
      <x:c r="J119" s="13" t="str"/>
      <x:c r="K119" s="13" t="str"/>
      <x:c r="L119" s="13" t="str"/>
      <x:c r="M119" s="13" t="str"/>
      <x:c r="N119" s="13" t="str">
        <x:f>IF(COUNT(I119:M119)&lt;5,"",SUM(I119:M119))</x:f>
      </x:c>
      <x:c r="O119" s="13" t="str">
        <x:f>IF(COUNT(G119,H119,N119)&lt;3,"",G119+H119-N119)</x:f>
      </x:c>
      <x:c r="P119" s="13" t="str">
        <x:f>IF(COUNT(O119)=0,"",IF(G119+H119=0,IF(O119=0,0,999),ABS(O119)/(G119+H119)))</x:f>
      </x:c>
      <x:c r="Q119" s="13" t="str"/>
      <x:c r="R119" s="13" t="str">
        <x:f>IF(Q119=1,IF(AND(COUNT(P119)=1,P119&lt;='Controls'!$D$69),"PASS","FAIL"),"OPEN")</x:f>
        <x:v>OPEN</x:v>
      </x:c>
    </x:row>
    <x:row r="120">
      <x:c r="B120" s="13" t="str">
        <x:v>RAS-WL-114</x:v>
      </x:c>
      <x:c r="C120" s="13" t="str">
        <x:v>RAS-E114</x:v>
      </x:c>
      <x:c r="D120" s="13" t="str">
        <x:v>AM-06</x:v>
      </x:c>
      <x:c r="E120" s="13" t="str">
        <x:v>RFP-A1</x:v>
      </x:c>
      <x:c r="F120" s="13" t="n">
        <x:v>48</x:v>
      </x:c>
      <x:c r="G120" s="13" t="str"/>
      <x:c r="H120" s="13" t="str"/>
      <x:c r="I120" s="13" t="str"/>
      <x:c r="J120" s="13" t="str"/>
      <x:c r="K120" s="13" t="str"/>
      <x:c r="L120" s="13" t="str"/>
      <x:c r="M120" s="13" t="str"/>
      <x:c r="N120" s="13" t="str">
        <x:f>IF(COUNT(I120:M120)&lt;5,"",SUM(I120:M120))</x:f>
      </x:c>
      <x:c r="O120" s="13" t="str">
        <x:f>IF(COUNT(G120,H120,N120)&lt;3,"",G120+H120-N120)</x:f>
      </x:c>
      <x:c r="P120" s="13" t="str">
        <x:f>IF(COUNT(O120)=0,"",IF(G120+H120=0,IF(O120=0,0,999),ABS(O120)/(G120+H120)))</x:f>
      </x:c>
      <x:c r="Q120" s="13" t="str"/>
      <x:c r="R120" s="13" t="str">
        <x:f>IF(Q120=1,IF(AND(COUNT(P120)=1,P120&lt;='Controls'!$D$69),"PASS","FAIL"),"OPEN")</x:f>
        <x:v>OPEN</x:v>
      </x:c>
    </x:row>
    <x:row r="121">
      <x:c r="B121" s="13" t="str">
        <x:v>RAS-WL-115</x:v>
      </x:c>
      <x:c r="C121" s="13" t="str">
        <x:v>RAS-E115</x:v>
      </x:c>
      <x:c r="D121" s="13" t="str">
        <x:v>AM-06</x:v>
      </x:c>
      <x:c r="E121" s="13" t="str">
        <x:v>RFP-A2</x:v>
      </x:c>
      <x:c r="F121" s="13" t="n">
        <x:v>0</x:v>
      </x:c>
      <x:c r="G121" s="13" t="str"/>
      <x:c r="H121" s="13" t="str"/>
      <x:c r="I121" s="13" t="str"/>
      <x:c r="J121" s="13" t="str"/>
      <x:c r="K121" s="13" t="str"/>
      <x:c r="L121" s="13" t="str"/>
      <x:c r="M121" s="13" t="str"/>
      <x:c r="N121" s="13" t="str">
        <x:f>IF(COUNT(I121:M121)&lt;5,"",SUM(I121:M121))</x:f>
      </x:c>
      <x:c r="O121" s="13" t="str">
        <x:f>IF(COUNT(G121,H121,N121)&lt;3,"",G121+H121-N121)</x:f>
      </x:c>
      <x:c r="P121" s="13" t="str">
        <x:f>IF(COUNT(O121)=0,"",IF(G121+H121=0,IF(O121=0,0,999),ABS(O121)/(G121+H121)))</x:f>
      </x:c>
      <x:c r="Q121" s="13" t="str"/>
      <x:c r="R121" s="13" t="str">
        <x:f>IF(Q121=1,IF(AND(COUNT(P121)=1,P121&lt;='Controls'!$D$69),"PASS","FAIL"),"OPEN")</x:f>
        <x:v>OPEN</x:v>
      </x:c>
    </x:row>
    <x:row r="122">
      <x:c r="B122" s="13" t="str">
        <x:v>RAS-WL-116</x:v>
      </x:c>
      <x:c r="C122" s="13" t="str">
        <x:v>RAS-E116</x:v>
      </x:c>
      <x:c r="D122" s="13" t="str">
        <x:v>AM-06</x:v>
      </x:c>
      <x:c r="E122" s="13" t="str">
        <x:v>RFP-A2</x:v>
      </x:c>
      <x:c r="F122" s="13" t="n">
        <x:v>0</x:v>
      </x:c>
      <x:c r="G122" s="13" t="str"/>
      <x:c r="H122" s="13" t="str"/>
      <x:c r="I122" s="13" t="str"/>
      <x:c r="J122" s="13" t="str"/>
      <x:c r="K122" s="13" t="str"/>
      <x:c r="L122" s="13" t="str"/>
      <x:c r="M122" s="13" t="str"/>
      <x:c r="N122" s="13" t="str">
        <x:f>IF(COUNT(I122:M122)&lt;5,"",SUM(I122:M122))</x:f>
      </x:c>
      <x:c r="O122" s="13" t="str">
        <x:f>IF(COUNT(G122,H122,N122)&lt;3,"",G122+H122-N122)</x:f>
      </x:c>
      <x:c r="P122" s="13" t="str">
        <x:f>IF(COUNT(O122)=0,"",IF(G122+H122=0,IF(O122=0,0,999),ABS(O122)/(G122+H122)))</x:f>
      </x:c>
      <x:c r="Q122" s="13" t="str"/>
      <x:c r="R122" s="13" t="str">
        <x:f>IF(Q122=1,IF(AND(COUNT(P122)=1,P122&lt;='Controls'!$D$69),"PASS","FAIL"),"OPEN")</x:f>
        <x:v>OPEN</x:v>
      </x:c>
    </x:row>
    <x:row r="123">
      <x:c r="B123" s="13" t="str">
        <x:v>RAS-WL-117</x:v>
      </x:c>
      <x:c r="C123" s="13" t="str">
        <x:v>RAS-E117</x:v>
      </x:c>
      <x:c r="D123" s="13" t="str">
        <x:v>AM-06</x:v>
      </x:c>
      <x:c r="E123" s="13" t="str">
        <x:v>RFP-A2</x:v>
      </x:c>
      <x:c r="F123" s="13" t="n">
        <x:v>0</x:v>
      </x:c>
      <x:c r="G123" s="13" t="str"/>
      <x:c r="H123" s="13" t="str"/>
      <x:c r="I123" s="13" t="str"/>
      <x:c r="J123" s="13" t="str"/>
      <x:c r="K123" s="13" t="str"/>
      <x:c r="L123" s="13" t="str"/>
      <x:c r="M123" s="13" t="str"/>
      <x:c r="N123" s="13" t="str">
        <x:f>IF(COUNT(I123:M123)&lt;5,"",SUM(I123:M123))</x:f>
      </x:c>
      <x:c r="O123" s="13" t="str">
        <x:f>IF(COUNT(G123,H123,N123)&lt;3,"",G123+H123-N123)</x:f>
      </x:c>
      <x:c r="P123" s="13" t="str">
        <x:f>IF(COUNT(O123)=0,"",IF(G123+H123=0,IF(O123=0,0,999),ABS(O123)/(G123+H123)))</x:f>
      </x:c>
      <x:c r="Q123" s="13" t="str"/>
      <x:c r="R123" s="13" t="str">
        <x:f>IF(Q123=1,IF(AND(COUNT(P123)=1,P123&lt;='Controls'!$D$69),"PASS","FAIL"),"OPEN")</x:f>
        <x:v>OPEN</x:v>
      </x:c>
    </x:row>
    <x:row r="124">
      <x:c r="B124" s="13" t="str">
        <x:v>RAS-WL-118</x:v>
      </x:c>
      <x:c r="C124" s="13" t="str">
        <x:v>RAS-E118</x:v>
      </x:c>
      <x:c r="D124" s="13" t="str">
        <x:v>AM-06</x:v>
      </x:c>
      <x:c r="E124" s="13" t="str">
        <x:v>RFP-A2</x:v>
      </x:c>
      <x:c r="F124" s="13" t="n">
        <x:v>0</x:v>
      </x:c>
      <x:c r="G124" s="13" t="str"/>
      <x:c r="H124" s="13" t="str"/>
      <x:c r="I124" s="13" t="str"/>
      <x:c r="J124" s="13" t="str"/>
      <x:c r="K124" s="13" t="str"/>
      <x:c r="L124" s="13" t="str"/>
      <x:c r="M124" s="13" t="str"/>
      <x:c r="N124" s="13" t="str">
        <x:f>IF(COUNT(I124:M124)&lt;5,"",SUM(I124:M124))</x:f>
      </x:c>
      <x:c r="O124" s="13" t="str">
        <x:f>IF(COUNT(G124,H124,N124)&lt;3,"",G124+H124-N124)</x:f>
      </x:c>
      <x:c r="P124" s="13" t="str">
        <x:f>IF(COUNT(O124)=0,"",IF(G124+H124=0,IF(O124=0,0,999),ABS(O124)/(G124+H124)))</x:f>
      </x:c>
      <x:c r="Q124" s="13" t="str"/>
      <x:c r="R124" s="13" t="str">
        <x:f>IF(Q124=1,IF(AND(COUNT(P124)=1,P124&lt;='Controls'!$D$69),"PASS","FAIL"),"OPEN")</x:f>
        <x:v>OPEN</x:v>
      </x:c>
    </x:row>
    <x:row r="125">
      <x:c r="B125" s="13" t="str">
        <x:v>RAS-WL-119</x:v>
      </x:c>
      <x:c r="C125" s="13" t="str">
        <x:v>RAS-E119</x:v>
      </x:c>
      <x:c r="D125" s="13" t="str">
        <x:v>AM-06</x:v>
      </x:c>
      <x:c r="E125" s="13" t="str">
        <x:v>RFP-A2</x:v>
      </x:c>
      <x:c r="F125" s="13" t="n">
        <x:v>24</x:v>
      </x:c>
      <x:c r="G125" s="13" t="str"/>
      <x:c r="H125" s="13" t="str"/>
      <x:c r="I125" s="13" t="str"/>
      <x:c r="J125" s="13" t="str"/>
      <x:c r="K125" s="13" t="str"/>
      <x:c r="L125" s="13" t="str"/>
      <x:c r="M125" s="13" t="str"/>
      <x:c r="N125" s="13" t="str">
        <x:f>IF(COUNT(I125:M125)&lt;5,"",SUM(I125:M125))</x:f>
      </x:c>
      <x:c r="O125" s="13" t="str">
        <x:f>IF(COUNT(G125,H125,N125)&lt;3,"",G125+H125-N125)</x:f>
      </x:c>
      <x:c r="P125" s="13" t="str">
        <x:f>IF(COUNT(O125)=0,"",IF(G125+H125=0,IF(O125=0,0,999),ABS(O125)/(G125+H125)))</x:f>
      </x:c>
      <x:c r="Q125" s="13" t="str"/>
      <x:c r="R125" s="13" t="str">
        <x:f>IF(Q125=1,IF(AND(COUNT(P125)=1,P125&lt;='Controls'!$D$69),"PASS","FAIL"),"OPEN")</x:f>
        <x:v>OPEN</x:v>
      </x:c>
    </x:row>
    <x:row r="126">
      <x:c r="B126" s="13" t="str">
        <x:v>RAS-WL-120</x:v>
      </x:c>
      <x:c r="C126" s="13" t="str">
        <x:v>RAS-E120</x:v>
      </x:c>
      <x:c r="D126" s="13" t="str">
        <x:v>AM-06</x:v>
      </x:c>
      <x:c r="E126" s="13" t="str">
        <x:v>RFP-A2</x:v>
      </x:c>
      <x:c r="F126" s="13" t="n">
        <x:v>48</x:v>
      </x:c>
      <x:c r="G126" s="13" t="str"/>
      <x:c r="H126" s="13" t="str"/>
      <x:c r="I126" s="13" t="str"/>
      <x:c r="J126" s="13" t="str"/>
      <x:c r="K126" s="13" t="str"/>
      <x:c r="L126" s="13" t="str"/>
      <x:c r="M126" s="13" t="str"/>
      <x:c r="N126" s="13" t="str">
        <x:f>IF(COUNT(I126:M126)&lt;5,"",SUM(I126:M126))</x:f>
      </x:c>
      <x:c r="O126" s="13" t="str">
        <x:f>IF(COUNT(G126,H126,N126)&lt;3,"",G126+H126-N126)</x:f>
      </x:c>
      <x:c r="P126" s="13" t="str">
        <x:f>IF(COUNT(O126)=0,"",IF(G126+H126=0,IF(O126=0,0,999),ABS(O126)/(G126+H126)))</x:f>
      </x:c>
      <x:c r="Q126" s="13" t="str"/>
      <x:c r="R126" s="13" t="str">
        <x:f>IF(Q126=1,IF(AND(COUNT(P126)=1,P126&lt;='Controls'!$D$69),"PASS","FAIL"),"OPEN")</x:f>
        <x:v>OPEN</x:v>
      </x:c>
    </x:row>
    <x:row r="127">
      <x:c r="B127" s="13" t="str">
        <x:v>RAS-WL-121</x:v>
      </x:c>
      <x:c r="C127" s="13" t="str">
        <x:v>RAS-E121</x:v>
      </x:c>
      <x:c r="D127" s="13" t="str">
        <x:v>AM-06</x:v>
      </x:c>
      <x:c r="E127" s="13" t="str">
        <x:v>RFP-B1</x:v>
      </x:c>
      <x:c r="F127" s="13" t="n">
        <x:v>0</x:v>
      </x:c>
      <x:c r="G127" s="13" t="str"/>
      <x:c r="H127" s="13" t="str"/>
      <x:c r="I127" s="13" t="str"/>
      <x:c r="J127" s="13" t="str"/>
      <x:c r="K127" s="13" t="str"/>
      <x:c r="L127" s="13" t="str"/>
      <x:c r="M127" s="13" t="str"/>
      <x:c r="N127" s="13" t="str">
        <x:f>IF(COUNT(I127:M127)&lt;5,"",SUM(I127:M127))</x:f>
      </x:c>
      <x:c r="O127" s="13" t="str">
        <x:f>IF(COUNT(G127,H127,N127)&lt;3,"",G127+H127-N127)</x:f>
      </x:c>
      <x:c r="P127" s="13" t="str">
        <x:f>IF(COUNT(O127)=0,"",IF(G127+H127=0,IF(O127=0,0,999),ABS(O127)/(G127+H127)))</x:f>
      </x:c>
      <x:c r="Q127" s="13" t="str"/>
      <x:c r="R127" s="13" t="str">
        <x:f>IF(Q127=1,IF(AND(COUNT(P127)=1,P127&lt;='Controls'!$D$69),"PASS","FAIL"),"OPEN")</x:f>
        <x:v>OPEN</x:v>
      </x:c>
    </x:row>
    <x:row r="128">
      <x:c r="B128" s="13" t="str">
        <x:v>RAS-WL-122</x:v>
      </x:c>
      <x:c r="C128" s="13" t="str">
        <x:v>RAS-E122</x:v>
      </x:c>
      <x:c r="D128" s="13" t="str">
        <x:v>AM-06</x:v>
      </x:c>
      <x:c r="E128" s="13" t="str">
        <x:v>RFP-B1</x:v>
      </x:c>
      <x:c r="F128" s="13" t="n">
        <x:v>0</x:v>
      </x:c>
      <x:c r="G128" s="13" t="str"/>
      <x:c r="H128" s="13" t="str"/>
      <x:c r="I128" s="13" t="str"/>
      <x:c r="J128" s="13" t="str"/>
      <x:c r="K128" s="13" t="str"/>
      <x:c r="L128" s="13" t="str"/>
      <x:c r="M128" s="13" t="str"/>
      <x:c r="N128" s="13" t="str">
        <x:f>IF(COUNT(I128:M128)&lt;5,"",SUM(I128:M128))</x:f>
      </x:c>
      <x:c r="O128" s="13" t="str">
        <x:f>IF(COUNT(G128,H128,N128)&lt;3,"",G128+H128-N128)</x:f>
      </x:c>
      <x:c r="P128" s="13" t="str">
        <x:f>IF(COUNT(O128)=0,"",IF(G128+H128=0,IF(O128=0,0,999),ABS(O128)/(G128+H128)))</x:f>
      </x:c>
      <x:c r="Q128" s="13" t="str"/>
      <x:c r="R128" s="13" t="str">
        <x:f>IF(Q128=1,IF(AND(COUNT(P128)=1,P128&lt;='Controls'!$D$69),"PASS","FAIL"),"OPEN")</x:f>
        <x:v>OPEN</x:v>
      </x:c>
    </x:row>
    <x:row r="129">
      <x:c r="B129" s="13" t="str">
        <x:v>RAS-WL-123</x:v>
      </x:c>
      <x:c r="C129" s="13" t="str">
        <x:v>RAS-E123</x:v>
      </x:c>
      <x:c r="D129" s="13" t="str">
        <x:v>AM-06</x:v>
      </x:c>
      <x:c r="E129" s="13" t="str">
        <x:v>RFP-B1</x:v>
      </x:c>
      <x:c r="F129" s="13" t="n">
        <x:v>0</x:v>
      </x:c>
      <x:c r="G129" s="13" t="str"/>
      <x:c r="H129" s="13" t="str"/>
      <x:c r="I129" s="13" t="str"/>
      <x:c r="J129" s="13" t="str"/>
      <x:c r="K129" s="13" t="str"/>
      <x:c r="L129" s="13" t="str"/>
      <x:c r="M129" s="13" t="str"/>
      <x:c r="N129" s="13" t="str">
        <x:f>IF(COUNT(I129:M129)&lt;5,"",SUM(I129:M129))</x:f>
      </x:c>
      <x:c r="O129" s="13" t="str">
        <x:f>IF(COUNT(G129,H129,N129)&lt;3,"",G129+H129-N129)</x:f>
      </x:c>
      <x:c r="P129" s="13" t="str">
        <x:f>IF(COUNT(O129)=0,"",IF(G129+H129=0,IF(O129=0,0,999),ABS(O129)/(G129+H129)))</x:f>
      </x:c>
      <x:c r="Q129" s="13" t="str"/>
      <x:c r="R129" s="13" t="str">
        <x:f>IF(Q129=1,IF(AND(COUNT(P129)=1,P129&lt;='Controls'!$D$69),"PASS","FAIL"),"OPEN")</x:f>
        <x:v>OPEN</x:v>
      </x:c>
    </x:row>
    <x:row r="130">
      <x:c r="B130" s="13" t="str">
        <x:v>RAS-WL-124</x:v>
      </x:c>
      <x:c r="C130" s="13" t="str">
        <x:v>RAS-E124</x:v>
      </x:c>
      <x:c r="D130" s="13" t="str">
        <x:v>AM-06</x:v>
      </x:c>
      <x:c r="E130" s="13" t="str">
        <x:v>RFP-B1</x:v>
      </x:c>
      <x:c r="F130" s="13" t="n">
        <x:v>0</x:v>
      </x:c>
      <x:c r="G130" s="13" t="str"/>
      <x:c r="H130" s="13" t="str"/>
      <x:c r="I130" s="13" t="str"/>
      <x:c r="J130" s="13" t="str"/>
      <x:c r="K130" s="13" t="str"/>
      <x:c r="L130" s="13" t="str"/>
      <x:c r="M130" s="13" t="str"/>
      <x:c r="N130" s="13" t="str">
        <x:f>IF(COUNT(I130:M130)&lt;5,"",SUM(I130:M130))</x:f>
      </x:c>
      <x:c r="O130" s="13" t="str">
        <x:f>IF(COUNT(G130,H130,N130)&lt;3,"",G130+H130-N130)</x:f>
      </x:c>
      <x:c r="P130" s="13" t="str">
        <x:f>IF(COUNT(O130)=0,"",IF(G130+H130=0,IF(O130=0,0,999),ABS(O130)/(G130+H130)))</x:f>
      </x:c>
      <x:c r="Q130" s="13" t="str"/>
      <x:c r="R130" s="13" t="str">
        <x:f>IF(Q130=1,IF(AND(COUNT(P130)=1,P130&lt;='Controls'!$D$69),"PASS","FAIL"),"OPEN")</x:f>
        <x:v>OPEN</x:v>
      </x:c>
    </x:row>
    <x:row r="131">
      <x:c r="B131" s="13" t="str">
        <x:v>RAS-WL-125</x:v>
      </x:c>
      <x:c r="C131" s="13" t="str">
        <x:v>RAS-E125</x:v>
      </x:c>
      <x:c r="D131" s="13" t="str">
        <x:v>AM-06</x:v>
      </x:c>
      <x:c r="E131" s="13" t="str">
        <x:v>RFP-B1</x:v>
      </x:c>
      <x:c r="F131" s="13" t="n">
        <x:v>24</x:v>
      </x:c>
      <x:c r="G131" s="13" t="str"/>
      <x:c r="H131" s="13" t="str"/>
      <x:c r="I131" s="13" t="str"/>
      <x:c r="J131" s="13" t="str"/>
      <x:c r="K131" s="13" t="str"/>
      <x:c r="L131" s="13" t="str"/>
      <x:c r="M131" s="13" t="str"/>
      <x:c r="N131" s="13" t="str">
        <x:f>IF(COUNT(I131:M131)&lt;5,"",SUM(I131:M131))</x:f>
      </x:c>
      <x:c r="O131" s="13" t="str">
        <x:f>IF(COUNT(G131,H131,N131)&lt;3,"",G131+H131-N131)</x:f>
      </x:c>
      <x:c r="P131" s="13" t="str">
        <x:f>IF(COUNT(O131)=0,"",IF(G131+H131=0,IF(O131=0,0,999),ABS(O131)/(G131+H131)))</x:f>
      </x:c>
      <x:c r="Q131" s="13" t="str"/>
      <x:c r="R131" s="13" t="str">
        <x:f>IF(Q131=1,IF(AND(COUNT(P131)=1,P131&lt;='Controls'!$D$69),"PASS","FAIL"),"OPEN")</x:f>
        <x:v>OPEN</x:v>
      </x:c>
    </x:row>
    <x:row r="132">
      <x:c r="B132" s="13" t="str">
        <x:v>RAS-WL-126</x:v>
      </x:c>
      <x:c r="C132" s="13" t="str">
        <x:v>RAS-E126</x:v>
      </x:c>
      <x:c r="D132" s="13" t="str">
        <x:v>AM-06</x:v>
      </x:c>
      <x:c r="E132" s="13" t="str">
        <x:v>RFP-B1</x:v>
      </x:c>
      <x:c r="F132" s="13" t="n">
        <x:v>48</x:v>
      </x:c>
      <x:c r="G132" s="13" t="str"/>
      <x:c r="H132" s="13" t="str"/>
      <x:c r="I132" s="13" t="str"/>
      <x:c r="J132" s="13" t="str"/>
      <x:c r="K132" s="13" t="str"/>
      <x:c r="L132" s="13" t="str"/>
      <x:c r="M132" s="13" t="str"/>
      <x:c r="N132" s="13" t="str">
        <x:f>IF(COUNT(I132:M132)&lt;5,"",SUM(I132:M132))</x:f>
      </x:c>
      <x:c r="O132" s="13" t="str">
        <x:f>IF(COUNT(G132,H132,N132)&lt;3,"",G132+H132-N132)</x:f>
      </x:c>
      <x:c r="P132" s="13" t="str">
        <x:f>IF(COUNT(O132)=0,"",IF(G132+H132=0,IF(O132=0,0,999),ABS(O132)/(G132+H132)))</x:f>
      </x:c>
      <x:c r="Q132" s="13" t="str"/>
      <x:c r="R132" s="13" t="str">
        <x:f>IF(Q132=1,IF(AND(COUNT(P132)=1,P132&lt;='Controls'!$D$69),"PASS","FAIL"),"OPEN")</x:f>
        <x:v>OPEN</x:v>
      </x:c>
    </x:row>
    <x:row r="133">
      <x:c r="B133" s="13" t="str">
        <x:v>RAS-WL-127</x:v>
      </x:c>
      <x:c r="C133" s="13" t="str">
        <x:v>RAS-E127</x:v>
      </x:c>
      <x:c r="D133" s="13" t="str">
        <x:v>AM-06</x:v>
      </x:c>
      <x:c r="E133" s="13" t="str">
        <x:v>RFP-B2</x:v>
      </x:c>
      <x:c r="F133" s="13" t="n">
        <x:v>0</x:v>
      </x:c>
      <x:c r="G133" s="13" t="str"/>
      <x:c r="H133" s="13" t="str"/>
      <x:c r="I133" s="13" t="str"/>
      <x:c r="J133" s="13" t="str"/>
      <x:c r="K133" s="13" t="str"/>
      <x:c r="L133" s="13" t="str"/>
      <x:c r="M133" s="13" t="str"/>
      <x:c r="N133" s="13" t="str">
        <x:f>IF(COUNT(I133:M133)&lt;5,"",SUM(I133:M133))</x:f>
      </x:c>
      <x:c r="O133" s="13" t="str">
        <x:f>IF(COUNT(G133,H133,N133)&lt;3,"",G133+H133-N133)</x:f>
      </x:c>
      <x:c r="P133" s="13" t="str">
        <x:f>IF(COUNT(O133)=0,"",IF(G133+H133=0,IF(O133=0,0,999),ABS(O133)/(G133+H133)))</x:f>
      </x:c>
      <x:c r="Q133" s="13" t="str"/>
      <x:c r="R133" s="13" t="str">
        <x:f>IF(Q133=1,IF(AND(COUNT(P133)=1,P133&lt;='Controls'!$D$69),"PASS","FAIL"),"OPEN")</x:f>
        <x:v>OPEN</x:v>
      </x:c>
    </x:row>
    <x:row r="134">
      <x:c r="B134" s="13" t="str">
        <x:v>RAS-WL-128</x:v>
      </x:c>
      <x:c r="C134" s="13" t="str">
        <x:v>RAS-E128</x:v>
      </x:c>
      <x:c r="D134" s="13" t="str">
        <x:v>AM-06</x:v>
      </x:c>
      <x:c r="E134" s="13" t="str">
        <x:v>RFP-B2</x:v>
      </x:c>
      <x:c r="F134" s="13" t="n">
        <x:v>0</x:v>
      </x:c>
      <x:c r="G134" s="13" t="str"/>
      <x:c r="H134" s="13" t="str"/>
      <x:c r="I134" s="13" t="str"/>
      <x:c r="J134" s="13" t="str"/>
      <x:c r="K134" s="13" t="str"/>
      <x:c r="L134" s="13" t="str"/>
      <x:c r="M134" s="13" t="str"/>
      <x:c r="N134" s="13" t="str">
        <x:f>IF(COUNT(I134:M134)&lt;5,"",SUM(I134:M134))</x:f>
      </x:c>
      <x:c r="O134" s="13" t="str">
        <x:f>IF(COUNT(G134,H134,N134)&lt;3,"",G134+H134-N134)</x:f>
      </x:c>
      <x:c r="P134" s="13" t="str">
        <x:f>IF(COUNT(O134)=0,"",IF(G134+H134=0,IF(O134=0,0,999),ABS(O134)/(G134+H134)))</x:f>
      </x:c>
      <x:c r="Q134" s="13" t="str"/>
      <x:c r="R134" s="13" t="str">
        <x:f>IF(Q134=1,IF(AND(COUNT(P134)=1,P134&lt;='Controls'!$D$69),"PASS","FAIL"),"OPEN")</x:f>
        <x:v>OPEN</x:v>
      </x:c>
    </x:row>
    <x:row r="135">
      <x:c r="B135" s="13" t="str">
        <x:v>RAS-WL-129</x:v>
      </x:c>
      <x:c r="C135" s="13" t="str">
        <x:v>RAS-E129</x:v>
      </x:c>
      <x:c r="D135" s="13" t="str">
        <x:v>AM-06</x:v>
      </x:c>
      <x:c r="E135" s="13" t="str">
        <x:v>RFP-B2</x:v>
      </x:c>
      <x:c r="F135" s="13" t="n">
        <x:v>0</x:v>
      </x:c>
      <x:c r="G135" s="13" t="str"/>
      <x:c r="H135" s="13" t="str"/>
      <x:c r="I135" s="13" t="str"/>
      <x:c r="J135" s="13" t="str"/>
      <x:c r="K135" s="13" t="str"/>
      <x:c r="L135" s="13" t="str"/>
      <x:c r="M135" s="13" t="str"/>
      <x:c r="N135" s="13" t="str">
        <x:f>IF(COUNT(I135:M135)&lt;5,"",SUM(I135:M135))</x:f>
      </x:c>
      <x:c r="O135" s="13" t="str">
        <x:f>IF(COUNT(G135,H135,N135)&lt;3,"",G135+H135-N135)</x:f>
      </x:c>
      <x:c r="P135" s="13" t="str">
        <x:f>IF(COUNT(O135)=0,"",IF(G135+H135=0,IF(O135=0,0,999),ABS(O135)/(G135+H135)))</x:f>
      </x:c>
      <x:c r="Q135" s="13" t="str"/>
      <x:c r="R135" s="13" t="str">
        <x:f>IF(Q135=1,IF(AND(COUNT(P135)=1,P135&lt;='Controls'!$D$69),"PASS","FAIL"),"OPEN")</x:f>
        <x:v>OPEN</x:v>
      </x:c>
    </x:row>
    <x:row r="136">
      <x:c r="B136" s="13" t="str">
        <x:v>RAS-WL-130</x:v>
      </x:c>
      <x:c r="C136" s="13" t="str">
        <x:v>RAS-E130</x:v>
      </x:c>
      <x:c r="D136" s="13" t="str">
        <x:v>AM-06</x:v>
      </x:c>
      <x:c r="E136" s="13" t="str">
        <x:v>RFP-B2</x:v>
      </x:c>
      <x:c r="F136" s="13" t="n">
        <x:v>0</x:v>
      </x:c>
      <x:c r="G136" s="13" t="str"/>
      <x:c r="H136" s="13" t="str"/>
      <x:c r="I136" s="13" t="str"/>
      <x:c r="J136" s="13" t="str"/>
      <x:c r="K136" s="13" t="str"/>
      <x:c r="L136" s="13" t="str"/>
      <x:c r="M136" s="13" t="str"/>
      <x:c r="N136" s="13" t="str">
        <x:f>IF(COUNT(I136:M136)&lt;5,"",SUM(I136:M136))</x:f>
      </x:c>
      <x:c r="O136" s="13" t="str">
        <x:f>IF(COUNT(G136,H136,N136)&lt;3,"",G136+H136-N136)</x:f>
      </x:c>
      <x:c r="P136" s="13" t="str">
        <x:f>IF(COUNT(O136)=0,"",IF(G136+H136=0,IF(O136=0,0,999),ABS(O136)/(G136+H136)))</x:f>
      </x:c>
      <x:c r="Q136" s="13" t="str"/>
      <x:c r="R136" s="13" t="str">
        <x:f>IF(Q136=1,IF(AND(COUNT(P136)=1,P136&lt;='Controls'!$D$69),"PASS","FAIL"),"OPEN")</x:f>
        <x:v>OPEN</x:v>
      </x:c>
    </x:row>
    <x:row r="137">
      <x:c r="B137" s="13" t="str">
        <x:v>RAS-WL-131</x:v>
      </x:c>
      <x:c r="C137" s="13" t="str">
        <x:v>RAS-E131</x:v>
      </x:c>
      <x:c r="D137" s="13" t="str">
        <x:v>AM-06</x:v>
      </x:c>
      <x:c r="E137" s="13" t="str">
        <x:v>RFP-B2</x:v>
      </x:c>
      <x:c r="F137" s="13" t="n">
        <x:v>24</x:v>
      </x:c>
      <x:c r="G137" s="13" t="str"/>
      <x:c r="H137" s="13" t="str"/>
      <x:c r="I137" s="13" t="str"/>
      <x:c r="J137" s="13" t="str"/>
      <x:c r="K137" s="13" t="str"/>
      <x:c r="L137" s="13" t="str"/>
      <x:c r="M137" s="13" t="str"/>
      <x:c r="N137" s="13" t="str">
        <x:f>IF(COUNT(I137:M137)&lt;5,"",SUM(I137:M137))</x:f>
      </x:c>
      <x:c r="O137" s="13" t="str">
        <x:f>IF(COUNT(G137,H137,N137)&lt;3,"",G137+H137-N137)</x:f>
      </x:c>
      <x:c r="P137" s="13" t="str">
        <x:f>IF(COUNT(O137)=0,"",IF(G137+H137=0,IF(O137=0,0,999),ABS(O137)/(G137+H137)))</x:f>
      </x:c>
      <x:c r="Q137" s="13" t="str"/>
      <x:c r="R137" s="13" t="str">
        <x:f>IF(Q137=1,IF(AND(COUNT(P137)=1,P137&lt;='Controls'!$D$69),"PASS","FAIL"),"OPEN")</x:f>
        <x:v>OPEN</x:v>
      </x:c>
    </x:row>
    <x:row r="138">
      <x:c r="B138" s="13" t="str">
        <x:v>RAS-WL-132</x:v>
      </x:c>
      <x:c r="C138" s="13" t="str">
        <x:v>RAS-E132</x:v>
      </x:c>
      <x:c r="D138" s="13" t="str">
        <x:v>AM-06</x:v>
      </x:c>
      <x:c r="E138" s="13" t="str">
        <x:v>RFP-B2</x:v>
      </x:c>
      <x:c r="F138" s="13" t="n">
        <x:v>48</x:v>
      </x:c>
      <x:c r="G138" s="13" t="str"/>
      <x:c r="H138" s="13" t="str"/>
      <x:c r="I138" s="13" t="str"/>
      <x:c r="J138" s="13" t="str"/>
      <x:c r="K138" s="13" t="str"/>
      <x:c r="L138" s="13" t="str"/>
      <x:c r="M138" s="13" t="str"/>
      <x:c r="N138" s="13" t="str">
        <x:f>IF(COUNT(I138:M138)&lt;5,"",SUM(I138:M138))</x:f>
      </x:c>
      <x:c r="O138" s="13" t="str">
        <x:f>IF(COUNT(G138,H138,N138)&lt;3,"",G138+H138-N138)</x:f>
      </x:c>
      <x:c r="P138" s="13" t="str">
        <x:f>IF(COUNT(O138)=0,"",IF(G138+H138=0,IF(O138=0,0,999),ABS(O138)/(G138+H138)))</x:f>
      </x:c>
      <x:c r="Q138" s="13" t="str"/>
      <x:c r="R138" s="13" t="str">
        <x:f>IF(Q138=1,IF(AND(COUNT(P138)=1,P138&lt;='Controls'!$D$69),"PASS","FAIL"),"OPEN")</x:f>
        <x:v>OPEN</x:v>
      </x:c>
    </x:row>
    <x:row r="139">
      <x:c r="B139" s="13" t="str">
        <x:v>RAS-WL-133</x:v>
      </x:c>
      <x:c r="C139" s="13" t="str">
        <x:v>RAS-E133</x:v>
      </x:c>
      <x:c r="D139" s="13" t="str">
        <x:v>AM-06</x:v>
      </x:c>
      <x:c r="E139" s="13" t="str">
        <x:v>RFP-C1</x:v>
      </x:c>
      <x:c r="F139" s="13" t="n">
        <x:v>0</x:v>
      </x:c>
      <x:c r="G139" s="13" t="str"/>
      <x:c r="H139" s="13" t="str"/>
      <x:c r="I139" s="13" t="str"/>
      <x:c r="J139" s="13" t="str"/>
      <x:c r="K139" s="13" t="str"/>
      <x:c r="L139" s="13" t="str"/>
      <x:c r="M139" s="13" t="str"/>
      <x:c r="N139" s="13" t="str">
        <x:f>IF(COUNT(I139:M139)&lt;5,"",SUM(I139:M139))</x:f>
      </x:c>
      <x:c r="O139" s="13" t="str">
        <x:f>IF(COUNT(G139,H139,N139)&lt;3,"",G139+H139-N139)</x:f>
      </x:c>
      <x:c r="P139" s="13" t="str">
        <x:f>IF(COUNT(O139)=0,"",IF(G139+H139=0,IF(O139=0,0,999),ABS(O139)/(G139+H139)))</x:f>
      </x:c>
      <x:c r="Q139" s="13" t="str"/>
      <x:c r="R139" s="13" t="str">
        <x:f>IF(Q139=1,IF(AND(COUNT(P139)=1,P139&lt;='Controls'!$D$69),"PASS","FAIL"),"OPEN")</x:f>
        <x:v>OPEN</x:v>
      </x:c>
    </x:row>
    <x:row r="140">
      <x:c r="B140" s="13" t="str">
        <x:v>RAS-WL-134</x:v>
      </x:c>
      <x:c r="C140" s="13" t="str">
        <x:v>RAS-E134</x:v>
      </x:c>
      <x:c r="D140" s="13" t="str">
        <x:v>AM-06</x:v>
      </x:c>
      <x:c r="E140" s="13" t="str">
        <x:v>RFP-C1</x:v>
      </x:c>
      <x:c r="F140" s="13" t="n">
        <x:v>0</x:v>
      </x:c>
      <x:c r="G140" s="13" t="str"/>
      <x:c r="H140" s="13" t="str"/>
      <x:c r="I140" s="13" t="str"/>
      <x:c r="J140" s="13" t="str"/>
      <x:c r="K140" s="13" t="str"/>
      <x:c r="L140" s="13" t="str"/>
      <x:c r="M140" s="13" t="str"/>
      <x:c r="N140" s="13" t="str">
        <x:f>IF(COUNT(I140:M140)&lt;5,"",SUM(I140:M140))</x:f>
      </x:c>
      <x:c r="O140" s="13" t="str">
        <x:f>IF(COUNT(G140,H140,N140)&lt;3,"",G140+H140-N140)</x:f>
      </x:c>
      <x:c r="P140" s="13" t="str">
        <x:f>IF(COUNT(O140)=0,"",IF(G140+H140=0,IF(O140=0,0,999),ABS(O140)/(G140+H140)))</x:f>
      </x:c>
      <x:c r="Q140" s="13" t="str"/>
      <x:c r="R140" s="13" t="str">
        <x:f>IF(Q140=1,IF(AND(COUNT(P140)=1,P140&lt;='Controls'!$D$69),"PASS","FAIL"),"OPEN")</x:f>
        <x:v>OPEN</x:v>
      </x:c>
    </x:row>
    <x:row r="141">
      <x:c r="B141" s="13" t="str">
        <x:v>RAS-WL-135</x:v>
      </x:c>
      <x:c r="C141" s="13" t="str">
        <x:v>RAS-E135</x:v>
      </x:c>
      <x:c r="D141" s="13" t="str">
        <x:v>AM-06</x:v>
      </x:c>
      <x:c r="E141" s="13" t="str">
        <x:v>RFP-C1</x:v>
      </x:c>
      <x:c r="F141" s="13" t="n">
        <x:v>0</x:v>
      </x:c>
      <x:c r="G141" s="13" t="str"/>
      <x:c r="H141" s="13" t="str"/>
      <x:c r="I141" s="13" t="str"/>
      <x:c r="J141" s="13" t="str"/>
      <x:c r="K141" s="13" t="str"/>
      <x:c r="L141" s="13" t="str"/>
      <x:c r="M141" s="13" t="str"/>
      <x:c r="N141" s="13" t="str">
        <x:f>IF(COUNT(I141:M141)&lt;5,"",SUM(I141:M141))</x:f>
      </x:c>
      <x:c r="O141" s="13" t="str">
        <x:f>IF(COUNT(G141,H141,N141)&lt;3,"",G141+H141-N141)</x:f>
      </x:c>
      <x:c r="P141" s="13" t="str">
        <x:f>IF(COUNT(O141)=0,"",IF(G141+H141=0,IF(O141=0,0,999),ABS(O141)/(G141+H141)))</x:f>
      </x:c>
      <x:c r="Q141" s="13" t="str"/>
      <x:c r="R141" s="13" t="str">
        <x:f>IF(Q141=1,IF(AND(COUNT(P141)=1,P141&lt;='Controls'!$D$69),"PASS","FAIL"),"OPEN")</x:f>
        <x:v>OPEN</x:v>
      </x:c>
    </x:row>
    <x:row r="142">
      <x:c r="B142" s="13" t="str">
        <x:v>RAS-WL-136</x:v>
      </x:c>
      <x:c r="C142" s="13" t="str">
        <x:v>RAS-E136</x:v>
      </x:c>
      <x:c r="D142" s="13" t="str">
        <x:v>AM-06</x:v>
      </x:c>
      <x:c r="E142" s="13" t="str">
        <x:v>RFP-C1</x:v>
      </x:c>
      <x:c r="F142" s="13" t="n">
        <x:v>0</x:v>
      </x:c>
      <x:c r="G142" s="13" t="str"/>
      <x:c r="H142" s="13" t="str"/>
      <x:c r="I142" s="13" t="str"/>
      <x:c r="J142" s="13" t="str"/>
      <x:c r="K142" s="13" t="str"/>
      <x:c r="L142" s="13" t="str"/>
      <x:c r="M142" s="13" t="str"/>
      <x:c r="N142" s="13" t="str">
        <x:f>IF(COUNT(I142:M142)&lt;5,"",SUM(I142:M142))</x:f>
      </x:c>
      <x:c r="O142" s="13" t="str">
        <x:f>IF(COUNT(G142,H142,N142)&lt;3,"",G142+H142-N142)</x:f>
      </x:c>
      <x:c r="P142" s="13" t="str">
        <x:f>IF(COUNT(O142)=0,"",IF(G142+H142=0,IF(O142=0,0,999),ABS(O142)/(G142+H142)))</x:f>
      </x:c>
      <x:c r="Q142" s="13" t="str"/>
      <x:c r="R142" s="13" t="str">
        <x:f>IF(Q142=1,IF(AND(COUNT(P142)=1,P142&lt;='Controls'!$D$69),"PASS","FAIL"),"OPEN")</x:f>
        <x:v>OPEN</x:v>
      </x:c>
    </x:row>
    <x:row r="143">
      <x:c r="B143" s="13" t="str">
        <x:v>RAS-WL-137</x:v>
      </x:c>
      <x:c r="C143" s="13" t="str">
        <x:v>RAS-E137</x:v>
      </x:c>
      <x:c r="D143" s="13" t="str">
        <x:v>AM-06</x:v>
      </x:c>
      <x:c r="E143" s="13" t="str">
        <x:v>RFP-C1</x:v>
      </x:c>
      <x:c r="F143" s="13" t="n">
        <x:v>24</x:v>
      </x:c>
      <x:c r="G143" s="13" t="str"/>
      <x:c r="H143" s="13" t="str"/>
      <x:c r="I143" s="13" t="str"/>
      <x:c r="J143" s="13" t="str"/>
      <x:c r="K143" s="13" t="str"/>
      <x:c r="L143" s="13" t="str"/>
      <x:c r="M143" s="13" t="str"/>
      <x:c r="N143" s="13" t="str">
        <x:f>IF(COUNT(I143:M143)&lt;5,"",SUM(I143:M143))</x:f>
      </x:c>
      <x:c r="O143" s="13" t="str">
        <x:f>IF(COUNT(G143,H143,N143)&lt;3,"",G143+H143-N143)</x:f>
      </x:c>
      <x:c r="P143" s="13" t="str">
        <x:f>IF(COUNT(O143)=0,"",IF(G143+H143=0,IF(O143=0,0,999),ABS(O143)/(G143+H143)))</x:f>
      </x:c>
      <x:c r="Q143" s="13" t="str"/>
      <x:c r="R143" s="13" t="str">
        <x:f>IF(Q143=1,IF(AND(COUNT(P143)=1,P143&lt;='Controls'!$D$69),"PASS","FAIL"),"OPEN")</x:f>
        <x:v>OPEN</x:v>
      </x:c>
    </x:row>
    <x:row r="144">
      <x:c r="B144" s="13" t="str">
        <x:v>RAS-WL-138</x:v>
      </x:c>
      <x:c r="C144" s="13" t="str">
        <x:v>RAS-E138</x:v>
      </x:c>
      <x:c r="D144" s="13" t="str">
        <x:v>AM-06</x:v>
      </x:c>
      <x:c r="E144" s="13" t="str">
        <x:v>RFP-C1</x:v>
      </x:c>
      <x:c r="F144" s="13" t="n">
        <x:v>48</x:v>
      </x:c>
      <x:c r="G144" s="13" t="str"/>
      <x:c r="H144" s="13" t="str"/>
      <x:c r="I144" s="13" t="str"/>
      <x:c r="J144" s="13" t="str"/>
      <x:c r="K144" s="13" t="str"/>
      <x:c r="L144" s="13" t="str"/>
      <x:c r="M144" s="13" t="str"/>
      <x:c r="N144" s="13" t="str">
        <x:f>IF(COUNT(I144:M144)&lt;5,"",SUM(I144:M144))</x:f>
      </x:c>
      <x:c r="O144" s="13" t="str">
        <x:f>IF(COUNT(G144,H144,N144)&lt;3,"",G144+H144-N144)</x:f>
      </x:c>
      <x:c r="P144" s="13" t="str">
        <x:f>IF(COUNT(O144)=0,"",IF(G144+H144=0,IF(O144=0,0,999),ABS(O144)/(G144+H144)))</x:f>
      </x:c>
      <x:c r="Q144" s="13" t="str"/>
      <x:c r="R144" s="13" t="str">
        <x:f>IF(Q144=1,IF(AND(COUNT(P144)=1,P144&lt;='Controls'!$D$69),"PASS","FAIL"),"OPEN")</x:f>
        <x:v>OPEN</x:v>
      </x:c>
    </x:row>
    <x:row r="145">
      <x:c r="B145" s="13" t="str">
        <x:v>RAS-WL-139</x:v>
      </x:c>
      <x:c r="C145" s="13" t="str">
        <x:v>RAS-E139</x:v>
      </x:c>
      <x:c r="D145" s="13" t="str">
        <x:v>AM-06</x:v>
      </x:c>
      <x:c r="E145" s="13" t="str">
        <x:v>RFP-C2</x:v>
      </x:c>
      <x:c r="F145" s="13" t="n">
        <x:v>0</x:v>
      </x:c>
      <x:c r="G145" s="13" t="str"/>
      <x:c r="H145" s="13" t="str"/>
      <x:c r="I145" s="13" t="str"/>
      <x:c r="J145" s="13" t="str"/>
      <x:c r="K145" s="13" t="str"/>
      <x:c r="L145" s="13" t="str"/>
      <x:c r="M145" s="13" t="str"/>
      <x:c r="N145" s="13" t="str">
        <x:f>IF(COUNT(I145:M145)&lt;5,"",SUM(I145:M145))</x:f>
      </x:c>
      <x:c r="O145" s="13" t="str">
        <x:f>IF(COUNT(G145,H145,N145)&lt;3,"",G145+H145-N145)</x:f>
      </x:c>
      <x:c r="P145" s="13" t="str">
        <x:f>IF(COUNT(O145)=0,"",IF(G145+H145=0,IF(O145=0,0,999),ABS(O145)/(G145+H145)))</x:f>
      </x:c>
      <x:c r="Q145" s="13" t="str"/>
      <x:c r="R145" s="13" t="str">
        <x:f>IF(Q145=1,IF(AND(COUNT(P145)=1,P145&lt;='Controls'!$D$69),"PASS","FAIL"),"OPEN")</x:f>
        <x:v>OPEN</x:v>
      </x:c>
    </x:row>
    <x:row r="146">
      <x:c r="B146" s="13" t="str">
        <x:v>RAS-WL-140</x:v>
      </x:c>
      <x:c r="C146" s="13" t="str">
        <x:v>RAS-E140</x:v>
      </x:c>
      <x:c r="D146" s="13" t="str">
        <x:v>AM-06</x:v>
      </x:c>
      <x:c r="E146" s="13" t="str">
        <x:v>RFP-C2</x:v>
      </x:c>
      <x:c r="F146" s="13" t="n">
        <x:v>0</x:v>
      </x:c>
      <x:c r="G146" s="13" t="str"/>
      <x:c r="H146" s="13" t="str"/>
      <x:c r="I146" s="13" t="str"/>
      <x:c r="J146" s="13" t="str"/>
      <x:c r="K146" s="13" t="str"/>
      <x:c r="L146" s="13" t="str"/>
      <x:c r="M146" s="13" t="str"/>
      <x:c r="N146" s="13" t="str">
        <x:f>IF(COUNT(I146:M146)&lt;5,"",SUM(I146:M146))</x:f>
      </x:c>
      <x:c r="O146" s="13" t="str">
        <x:f>IF(COUNT(G146,H146,N146)&lt;3,"",G146+H146-N146)</x:f>
      </x:c>
      <x:c r="P146" s="13" t="str">
        <x:f>IF(COUNT(O146)=0,"",IF(G146+H146=0,IF(O146=0,0,999),ABS(O146)/(G146+H146)))</x:f>
      </x:c>
      <x:c r="Q146" s="13" t="str"/>
      <x:c r="R146" s="13" t="str">
        <x:f>IF(Q146=1,IF(AND(COUNT(P146)=1,P146&lt;='Controls'!$D$69),"PASS","FAIL"),"OPEN")</x:f>
        <x:v>OPEN</x:v>
      </x:c>
    </x:row>
    <x:row r="147">
      <x:c r="B147" s="13" t="str">
        <x:v>RAS-WL-141</x:v>
      </x:c>
      <x:c r="C147" s="13" t="str">
        <x:v>RAS-E141</x:v>
      </x:c>
      <x:c r="D147" s="13" t="str">
        <x:v>AM-06</x:v>
      </x:c>
      <x:c r="E147" s="13" t="str">
        <x:v>RFP-C2</x:v>
      </x:c>
      <x:c r="F147" s="13" t="n">
        <x:v>0</x:v>
      </x:c>
      <x:c r="G147" s="13" t="str"/>
      <x:c r="H147" s="13" t="str"/>
      <x:c r="I147" s="13" t="str"/>
      <x:c r="J147" s="13" t="str"/>
      <x:c r="K147" s="13" t="str"/>
      <x:c r="L147" s="13" t="str"/>
      <x:c r="M147" s="13" t="str"/>
      <x:c r="N147" s="13" t="str">
        <x:f>IF(COUNT(I147:M147)&lt;5,"",SUM(I147:M147))</x:f>
      </x:c>
      <x:c r="O147" s="13" t="str">
        <x:f>IF(COUNT(G147,H147,N147)&lt;3,"",G147+H147-N147)</x:f>
      </x:c>
      <x:c r="P147" s="13" t="str">
        <x:f>IF(COUNT(O147)=0,"",IF(G147+H147=0,IF(O147=0,0,999),ABS(O147)/(G147+H147)))</x:f>
      </x:c>
      <x:c r="Q147" s="13" t="str"/>
      <x:c r="R147" s="13" t="str">
        <x:f>IF(Q147=1,IF(AND(COUNT(P147)=1,P147&lt;='Controls'!$D$69),"PASS","FAIL"),"OPEN")</x:f>
        <x:v>OPEN</x:v>
      </x:c>
    </x:row>
    <x:row r="148">
      <x:c r="B148" s="13" t="str">
        <x:v>RAS-WL-142</x:v>
      </x:c>
      <x:c r="C148" s="13" t="str">
        <x:v>RAS-E142</x:v>
      </x:c>
      <x:c r="D148" s="13" t="str">
        <x:v>AM-06</x:v>
      </x:c>
      <x:c r="E148" s="13" t="str">
        <x:v>RFP-C2</x:v>
      </x:c>
      <x:c r="F148" s="13" t="n">
        <x:v>0</x:v>
      </x:c>
      <x:c r="G148" s="13" t="str"/>
      <x:c r="H148" s="13" t="str"/>
      <x:c r="I148" s="13" t="str"/>
      <x:c r="J148" s="13" t="str"/>
      <x:c r="K148" s="13" t="str"/>
      <x:c r="L148" s="13" t="str"/>
      <x:c r="M148" s="13" t="str"/>
      <x:c r="N148" s="13" t="str">
        <x:f>IF(COUNT(I148:M148)&lt;5,"",SUM(I148:M148))</x:f>
      </x:c>
      <x:c r="O148" s="13" t="str">
        <x:f>IF(COUNT(G148,H148,N148)&lt;3,"",G148+H148-N148)</x:f>
      </x:c>
      <x:c r="P148" s="13" t="str">
        <x:f>IF(COUNT(O148)=0,"",IF(G148+H148=0,IF(O148=0,0,999),ABS(O148)/(G148+H148)))</x:f>
      </x:c>
      <x:c r="Q148" s="13" t="str"/>
      <x:c r="R148" s="13" t="str">
        <x:f>IF(Q148=1,IF(AND(COUNT(P148)=1,P148&lt;='Controls'!$D$69),"PASS","FAIL"),"OPEN")</x:f>
        <x:v>OPEN</x:v>
      </x:c>
    </x:row>
    <x:row r="149">
      <x:c r="B149" s="13" t="str">
        <x:v>RAS-WL-143</x:v>
      </x:c>
      <x:c r="C149" s="13" t="str">
        <x:v>RAS-E143</x:v>
      </x:c>
      <x:c r="D149" s="13" t="str">
        <x:v>AM-06</x:v>
      </x:c>
      <x:c r="E149" s="13" t="str">
        <x:v>RFP-C2</x:v>
      </x:c>
      <x:c r="F149" s="13" t="n">
        <x:v>24</x:v>
      </x:c>
      <x:c r="G149" s="13" t="str"/>
      <x:c r="H149" s="13" t="str"/>
      <x:c r="I149" s="13" t="str"/>
      <x:c r="J149" s="13" t="str"/>
      <x:c r="K149" s="13" t="str"/>
      <x:c r="L149" s="13" t="str"/>
      <x:c r="M149" s="13" t="str"/>
      <x:c r="N149" s="13" t="str">
        <x:f>IF(COUNT(I149:M149)&lt;5,"",SUM(I149:M149))</x:f>
      </x:c>
      <x:c r="O149" s="13" t="str">
        <x:f>IF(COUNT(G149,H149,N149)&lt;3,"",G149+H149-N149)</x:f>
      </x:c>
      <x:c r="P149" s="13" t="str">
        <x:f>IF(COUNT(O149)=0,"",IF(G149+H149=0,IF(O149=0,0,999),ABS(O149)/(G149+H149)))</x:f>
      </x:c>
      <x:c r="Q149" s="13" t="str"/>
      <x:c r="R149" s="13" t="str">
        <x:f>IF(Q149=1,IF(AND(COUNT(P149)=1,P149&lt;='Controls'!$D$69),"PASS","FAIL"),"OPEN")</x:f>
        <x:v>OPEN</x:v>
      </x:c>
    </x:row>
    <x:row r="150">
      <x:c r="B150" s="13" t="str">
        <x:v>RAS-WL-144</x:v>
      </x:c>
      <x:c r="C150" s="13" t="str">
        <x:v>RAS-E144</x:v>
      </x:c>
      <x:c r="D150" s="13" t="str">
        <x:v>AM-06</x:v>
      </x:c>
      <x:c r="E150" s="13" t="str">
        <x:v>RFP-C2</x:v>
      </x:c>
      <x:c r="F150" s="13" t="n">
        <x:v>48</x:v>
      </x:c>
      <x:c r="G150" s="13" t="str"/>
      <x:c r="H150" s="13" t="str"/>
      <x:c r="I150" s="13" t="str"/>
      <x:c r="J150" s="13" t="str"/>
      <x:c r="K150" s="13" t="str"/>
      <x:c r="L150" s="13" t="str"/>
      <x:c r="M150" s="13" t="str"/>
      <x:c r="N150" s="13" t="str">
        <x:f>IF(COUNT(I150:M150)&lt;5,"",SUM(I150:M150))</x:f>
      </x:c>
      <x:c r="O150" s="13" t="str">
        <x:f>IF(COUNT(G150,H150,N150)&lt;3,"",G150+H150-N150)</x:f>
      </x:c>
      <x:c r="P150" s="13" t="str">
        <x:f>IF(COUNT(O150)=0,"",IF(G150+H150=0,IF(O150=0,0,999),ABS(O150)/(G150+H150)))</x:f>
      </x:c>
      <x:c r="Q150" s="13" t="str"/>
      <x:c r="R150" s="13" t="str">
        <x:f>IF(Q150=1,IF(AND(COUNT(P150)=1,P150&lt;='Controls'!$D$69),"PASS","FAIL"),"OPEN")</x:f>
        <x:v>OPEN</x:v>
      </x:c>
    </x:row>
  </x:sheetData>
  <x:conditionalFormatting sqref="R7:R150">
    <x:cfRule type="containsText" dxfId="72" priority="1" operator="containsText" text="FAIL"/>
    <x:cfRule type="containsText" dxfId="73" priority="2" operator="containsText" text="INVALID"/>
    <x:cfRule type="containsText" dxfId="74" priority="3" operator="containsText" text="BLOCKED"/>
    <x:cfRule type="containsText" dxfId="75" priority="4" operator="containsText" text="OPEN"/>
    <x:cfRule type="containsText" dxfId="76" priority="5" operator="containsText" text="GAP"/>
    <x:cfRule type="containsText" dxfId="77" priority="6" operator="containsText" text="DORMANT"/>
    <x:cfRule type="containsText" dxfId="78" priority="7" operator="containsText" text="PASS"/>
    <x:cfRule type="containsText" dxfId="79" priority="8" operator="containsText" text="VALI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3" hidden="0" customWidth="1"/>
    <x:col min="7" max="7" width="23" hidden="0" customWidth="1"/>
    <x:col min="8" max="8" width="23" hidden="0" customWidth="1"/>
    <x:col min="9" max="9" width="17" hidden="0" customWidth="1"/>
    <x:col min="10" max="10" width="20" hidden="0" customWidth="1"/>
    <x:col min="11" max="11" width="20" hidden="0" customWidth="1"/>
    <x:col min="12" max="12" width="17" hidden="0" customWidth="1"/>
    <x:col min="13" max="13" width="15" hidden="0" customWidth="1"/>
    <x:col min="14" max="14" width="14" hidden="0" customWidth="1"/>
    <x:col min="1" max="1" width="3" hidden="0" customWidth="1"/>
  </x:cols>
  <x:sheetData>
    <x:row r="2">
      <x:c r="B2" s="12" t="str">
        <x:v>Source and water ancestry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B3" s="2" t="str">
        <x:v>Two code families retain unlike reader principles; mixed volume never substitutes for origin.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</x:row>
    <x:row r="6" ht="24" customHeight="1">
      <x:c r="B6" s="6" t="str">
        <x:v>Ledger</x:v>
      </x:c>
      <x:c r="C6" s="6" t="str">
        <x:v>Event</x:v>
      </x:c>
      <x:c r="D6" s="6" t="str">
        <x:v>Method</x:v>
      </x:c>
      <x:c r="E6" s="6" t="str">
        <x:v>Truth root</x:v>
      </x:c>
      <x:c r="F6" s="6" t="str">
        <x:v>Rig</x:v>
      </x:c>
      <x:c r="G6" s="6" t="str">
        <x:v>Source-code recovery</x:v>
      </x:c>
      <x:c r="H6" s="6" t="str">
        <x:v>Water-code recovery</x:v>
      </x:c>
      <x:c r="I6" s="6" t="str">
        <x:v>Cross-talk</x:v>
      </x:c>
      <x:c r="J6" s="6" t="str">
        <x:v>Source in water kg</x:v>
      </x:c>
      <x:c r="K6" s="6" t="str">
        <x:v>Water in source kg</x:v>
      </x:c>
      <x:c r="L6" s="6" t="str">
        <x:v>Background</x:v>
      </x:c>
      <x:c r="M6" s="6" t="str">
        <x:v>Accepted</x:v>
      </x:c>
      <x:c r="N6" s="6" t="str">
        <x:v>State</x:v>
      </x:c>
    </x:row>
    <x:row r="7">
      <x:c r="B7" s="13" t="str">
        <x:v>RAS-AL-001</x:v>
      </x:c>
      <x:c r="C7" s="13" t="str">
        <x:v>RAS-E001</x:v>
      </x:c>
      <x:c r="D7" s="13" t="str">
        <x:v>AM-05</x:v>
      </x:c>
      <x:c r="E7" s="13" t="str">
        <x:v>TR-A</x:v>
      </x:c>
      <x:c r="F7" s="13" t="str">
        <x:v>RFP-A1</x:v>
      </x:c>
      <x:c r="G7" s="13" t="str"/>
      <x:c r="H7" s="13" t="str"/>
      <x:c r="I7" s="13" t="str"/>
      <x:c r="J7" s="13" t="str"/>
      <x:c r="K7" s="13" t="str"/>
      <x:c r="L7" s="13" t="str"/>
      <x:c r="M7" s="13" t="str"/>
      <x:c r="N7" s="13" t="str">
        <x:f>IF(M7=1,IF(AND(COUNT(G7,I7)=2,G7&gt;='Controls'!$D$70,IF(D7="AM-06",AND(COUNT(H7)=1,H7&gt;='Controls'!$D$70),1),I7&lt;='Controls'!$D$71),"PASS","FAIL"),"OPEN")</x:f>
        <x:v>OPEN</x:v>
      </x:c>
    </x:row>
    <x:row r="8">
      <x:c r="B8" s="13" t="str">
        <x:v>RAS-AL-002</x:v>
      </x:c>
      <x:c r="C8" s="13" t="str">
        <x:v>RAS-E002</x:v>
      </x:c>
      <x:c r="D8" s="13" t="str">
        <x:v>AM-05</x:v>
      </x:c>
      <x:c r="E8" s="13" t="str">
        <x:v>TR-A</x:v>
      </x:c>
      <x:c r="F8" s="13" t="str">
        <x:v>RFP-A1</x:v>
      </x:c>
      <x:c r="G8" s="13" t="str"/>
      <x:c r="H8" s="13" t="str"/>
      <x:c r="I8" s="13" t="str"/>
      <x:c r="J8" s="13" t="str"/>
      <x:c r="K8" s="13" t="str"/>
      <x:c r="L8" s="13" t="str"/>
      <x:c r="M8" s="13" t="str"/>
      <x:c r="N8" s="13" t="str">
        <x:f>IF(M8=1,IF(AND(COUNT(G8,I8)=2,G8&gt;='Controls'!$D$70,IF(D8="AM-06",AND(COUNT(H8)=1,H8&gt;='Controls'!$D$70),1),I8&lt;='Controls'!$D$71),"PASS","FAIL"),"OPEN")</x:f>
        <x:v>OPEN</x:v>
      </x:c>
    </x:row>
    <x:row r="9">
      <x:c r="B9" s="13" t="str">
        <x:v>RAS-AL-003</x:v>
      </x:c>
      <x:c r="C9" s="13" t="str">
        <x:v>RAS-E003</x:v>
      </x:c>
      <x:c r="D9" s="13" t="str">
        <x:v>AM-05</x:v>
      </x:c>
      <x:c r="E9" s="13" t="str">
        <x:v>TR-A</x:v>
      </x:c>
      <x:c r="F9" s="13" t="str">
        <x:v>RFP-A1</x:v>
      </x:c>
      <x:c r="G9" s="13" t="str"/>
      <x:c r="H9" s="13" t="str"/>
      <x:c r="I9" s="13" t="str"/>
      <x:c r="J9" s="13" t="str"/>
      <x:c r="K9" s="13" t="str"/>
      <x:c r="L9" s="13" t="str"/>
      <x:c r="M9" s="13" t="str"/>
      <x:c r="N9" s="13" t="str">
        <x:f>IF(M9=1,IF(AND(COUNT(G9,I9)=2,G9&gt;='Controls'!$D$70,IF(D9="AM-06",AND(COUNT(H9)=1,H9&gt;='Controls'!$D$70),1),I9&lt;='Controls'!$D$71),"PASS","FAIL"),"OPEN")</x:f>
        <x:v>OPEN</x:v>
      </x:c>
    </x:row>
    <x:row r="10">
      <x:c r="B10" s="13" t="str">
        <x:v>RAS-AL-004</x:v>
      </x:c>
      <x:c r="C10" s="13" t="str">
        <x:v>RAS-E004</x:v>
      </x:c>
      <x:c r="D10" s="13" t="str">
        <x:v>AM-05</x:v>
      </x:c>
      <x:c r="E10" s="13" t="str">
        <x:v>TR-A</x:v>
      </x:c>
      <x:c r="F10" s="13" t="str">
        <x:v>RFP-A1</x:v>
      </x:c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>
        <x:f>IF(M10=1,IF(AND(COUNT(G10,I10)=2,G10&gt;='Controls'!$D$70,IF(D10="AM-06",AND(COUNT(H10)=1,H10&gt;='Controls'!$D$70),1),I10&lt;='Controls'!$D$71),"PASS","FAIL"),"OPEN")</x:f>
        <x:v>OPEN</x:v>
      </x:c>
    </x:row>
    <x:row r="11">
      <x:c r="B11" s="13" t="str">
        <x:v>RAS-AL-005</x:v>
      </x:c>
      <x:c r="C11" s="13" t="str">
        <x:v>RAS-E005</x:v>
      </x:c>
      <x:c r="D11" s="13" t="str">
        <x:v>AM-05</x:v>
      </x:c>
      <x:c r="E11" s="13" t="str">
        <x:v>TR-A</x:v>
      </x:c>
      <x:c r="F11" s="13" t="str">
        <x:v>RFP-A1</x:v>
      </x:c>
      <x:c r="G11" s="13" t="str"/>
      <x:c r="H11" s="13" t="str"/>
      <x:c r="I11" s="13" t="str"/>
      <x:c r="J11" s="13" t="str"/>
      <x:c r="K11" s="13" t="str"/>
      <x:c r="L11" s="13" t="str"/>
      <x:c r="M11" s="13" t="str"/>
      <x:c r="N11" s="13" t="str">
        <x:f>IF(M11=1,IF(AND(COUNT(G11,I11)=2,G11&gt;='Controls'!$D$70,IF(D11="AM-06",AND(COUNT(H11)=1,H11&gt;='Controls'!$D$70),1),I11&lt;='Controls'!$D$71),"PASS","FAIL"),"OPEN")</x:f>
        <x:v>OPEN</x:v>
      </x:c>
    </x:row>
    <x:row r="12">
      <x:c r="B12" s="13" t="str">
        <x:v>RAS-AL-006</x:v>
      </x:c>
      <x:c r="C12" s="13" t="str">
        <x:v>RAS-E006</x:v>
      </x:c>
      <x:c r="D12" s="13" t="str">
        <x:v>AM-05</x:v>
      </x:c>
      <x:c r="E12" s="13" t="str">
        <x:v>TR-A</x:v>
      </x:c>
      <x:c r="F12" s="13" t="str">
        <x:v>RFP-A1</x:v>
      </x:c>
      <x:c r="G12" s="13" t="str"/>
      <x:c r="H12" s="13" t="str"/>
      <x:c r="I12" s="13" t="str"/>
      <x:c r="J12" s="13" t="str"/>
      <x:c r="K12" s="13" t="str"/>
      <x:c r="L12" s="13" t="str"/>
      <x:c r="M12" s="13" t="str"/>
      <x:c r="N12" s="13" t="str">
        <x:f>IF(M12=1,IF(AND(COUNT(G12,I12)=2,G12&gt;='Controls'!$D$70,IF(D12="AM-06",AND(COUNT(H12)=1,H12&gt;='Controls'!$D$70),1),I12&lt;='Controls'!$D$71),"PASS","FAIL"),"OPEN")</x:f>
        <x:v>OPEN</x:v>
      </x:c>
    </x:row>
    <x:row r="13">
      <x:c r="B13" s="13" t="str">
        <x:v>RAS-AL-007</x:v>
      </x:c>
      <x:c r="C13" s="13" t="str">
        <x:v>RAS-E007</x:v>
      </x:c>
      <x:c r="D13" s="13" t="str">
        <x:v>AM-05</x:v>
      </x:c>
      <x:c r="E13" s="13" t="str">
        <x:v>TR-A</x:v>
      </x:c>
      <x:c r="F13" s="13" t="str">
        <x:v>RFP-A2</x:v>
      </x:c>
      <x:c r="G13" s="13" t="str"/>
      <x:c r="H13" s="13" t="str"/>
      <x:c r="I13" s="13" t="str"/>
      <x:c r="J13" s="13" t="str"/>
      <x:c r="K13" s="13" t="str"/>
      <x:c r="L13" s="13" t="str"/>
      <x:c r="M13" s="13" t="str"/>
      <x:c r="N13" s="13" t="str">
        <x:f>IF(M13=1,IF(AND(COUNT(G13,I13)=2,G13&gt;='Controls'!$D$70,IF(D13="AM-06",AND(COUNT(H13)=1,H13&gt;='Controls'!$D$70),1),I13&lt;='Controls'!$D$71),"PASS","FAIL"),"OPEN")</x:f>
        <x:v>OPEN</x:v>
      </x:c>
    </x:row>
    <x:row r="14">
      <x:c r="B14" s="13" t="str">
        <x:v>RAS-AL-008</x:v>
      </x:c>
      <x:c r="C14" s="13" t="str">
        <x:v>RAS-E008</x:v>
      </x:c>
      <x:c r="D14" s="13" t="str">
        <x:v>AM-05</x:v>
      </x:c>
      <x:c r="E14" s="13" t="str">
        <x:v>TR-A</x:v>
      </x:c>
      <x:c r="F14" s="13" t="str">
        <x:v>RFP-A2</x:v>
      </x:c>
      <x:c r="G14" s="13" t="str"/>
      <x:c r="H14" s="13" t="str"/>
      <x:c r="I14" s="13" t="str"/>
      <x:c r="J14" s="13" t="str"/>
      <x:c r="K14" s="13" t="str"/>
      <x:c r="L14" s="13" t="str"/>
      <x:c r="M14" s="13" t="str"/>
      <x:c r="N14" s="13" t="str">
        <x:f>IF(M14=1,IF(AND(COUNT(G14,I14)=2,G14&gt;='Controls'!$D$70,IF(D14="AM-06",AND(COUNT(H14)=1,H14&gt;='Controls'!$D$70),1),I14&lt;='Controls'!$D$71),"PASS","FAIL"),"OPEN")</x:f>
        <x:v>OPEN</x:v>
      </x:c>
    </x:row>
    <x:row r="15">
      <x:c r="B15" s="13" t="str">
        <x:v>RAS-AL-009</x:v>
      </x:c>
      <x:c r="C15" s="13" t="str">
        <x:v>RAS-E009</x:v>
      </x:c>
      <x:c r="D15" s="13" t="str">
        <x:v>AM-05</x:v>
      </x:c>
      <x:c r="E15" s="13" t="str">
        <x:v>TR-A</x:v>
      </x:c>
      <x:c r="F15" s="13" t="str">
        <x:v>RFP-A2</x:v>
      </x:c>
      <x:c r="G15" s="13" t="str"/>
      <x:c r="H15" s="13" t="str"/>
      <x:c r="I15" s="13" t="str"/>
      <x:c r="J15" s="13" t="str"/>
      <x:c r="K15" s="13" t="str"/>
      <x:c r="L15" s="13" t="str"/>
      <x:c r="M15" s="13" t="str"/>
      <x:c r="N15" s="13" t="str">
        <x:f>IF(M15=1,IF(AND(COUNT(G15,I15)=2,G15&gt;='Controls'!$D$70,IF(D15="AM-06",AND(COUNT(H15)=1,H15&gt;='Controls'!$D$70),1),I15&lt;='Controls'!$D$71),"PASS","FAIL"),"OPEN")</x:f>
        <x:v>OPEN</x:v>
      </x:c>
    </x:row>
    <x:row r="16">
      <x:c r="B16" s="13" t="str">
        <x:v>RAS-AL-010</x:v>
      </x:c>
      <x:c r="C16" s="13" t="str">
        <x:v>RAS-E010</x:v>
      </x:c>
      <x:c r="D16" s="13" t="str">
        <x:v>AM-05</x:v>
      </x:c>
      <x:c r="E16" s="13" t="str">
        <x:v>TR-A</x:v>
      </x:c>
      <x:c r="F16" s="13" t="str">
        <x:v>RFP-A2</x:v>
      </x:c>
      <x:c r="G16" s="13" t="str"/>
      <x:c r="H16" s="13" t="str"/>
      <x:c r="I16" s="13" t="str"/>
      <x:c r="J16" s="13" t="str"/>
      <x:c r="K16" s="13" t="str"/>
      <x:c r="L16" s="13" t="str"/>
      <x:c r="M16" s="13" t="str"/>
      <x:c r="N16" s="13" t="str">
        <x:f>IF(M16=1,IF(AND(COUNT(G16,I16)=2,G16&gt;='Controls'!$D$70,IF(D16="AM-06",AND(COUNT(H16)=1,H16&gt;='Controls'!$D$70),1),I16&lt;='Controls'!$D$71),"PASS","FAIL"),"OPEN")</x:f>
        <x:v>OPEN</x:v>
      </x:c>
    </x:row>
    <x:row r="17">
      <x:c r="B17" s="13" t="str">
        <x:v>RAS-AL-011</x:v>
      </x:c>
      <x:c r="C17" s="13" t="str">
        <x:v>RAS-E011</x:v>
      </x:c>
      <x:c r="D17" s="13" t="str">
        <x:v>AM-05</x:v>
      </x:c>
      <x:c r="E17" s="13" t="str">
        <x:v>TR-A</x:v>
      </x:c>
      <x:c r="F17" s="13" t="str">
        <x:v>RFP-A2</x:v>
      </x:c>
      <x:c r="G17" s="13" t="str"/>
      <x:c r="H17" s="13" t="str"/>
      <x:c r="I17" s="13" t="str"/>
      <x:c r="J17" s="13" t="str"/>
      <x:c r="K17" s="13" t="str"/>
      <x:c r="L17" s="13" t="str"/>
      <x:c r="M17" s="13" t="str"/>
      <x:c r="N17" s="13" t="str">
        <x:f>IF(M17=1,IF(AND(COUNT(G17,I17)=2,G17&gt;='Controls'!$D$70,IF(D17="AM-06",AND(COUNT(H17)=1,H17&gt;='Controls'!$D$70),1),I17&lt;='Controls'!$D$71),"PASS","FAIL"),"OPEN")</x:f>
        <x:v>OPEN</x:v>
      </x:c>
    </x:row>
    <x:row r="18">
      <x:c r="B18" s="13" t="str">
        <x:v>RAS-AL-012</x:v>
      </x:c>
      <x:c r="C18" s="13" t="str">
        <x:v>RAS-E012</x:v>
      </x:c>
      <x:c r="D18" s="13" t="str">
        <x:v>AM-05</x:v>
      </x:c>
      <x:c r="E18" s="13" t="str">
        <x:v>TR-A</x:v>
      </x:c>
      <x:c r="F18" s="13" t="str">
        <x:v>RFP-A2</x:v>
      </x:c>
      <x:c r="G18" s="13" t="str"/>
      <x:c r="H18" s="13" t="str"/>
      <x:c r="I18" s="13" t="str"/>
      <x:c r="J18" s="13" t="str"/>
      <x:c r="K18" s="13" t="str"/>
      <x:c r="L18" s="13" t="str"/>
      <x:c r="M18" s="13" t="str"/>
      <x:c r="N18" s="13" t="str">
        <x:f>IF(M18=1,IF(AND(COUNT(G18,I18)=2,G18&gt;='Controls'!$D$70,IF(D18="AM-06",AND(COUNT(H18)=1,H18&gt;='Controls'!$D$70),1),I18&lt;='Controls'!$D$71),"PASS","FAIL"),"OPEN")</x:f>
        <x:v>OPEN</x:v>
      </x:c>
    </x:row>
    <x:row r="19">
      <x:c r="B19" s="13" t="str">
        <x:v>RAS-AL-013</x:v>
      </x:c>
      <x:c r="C19" s="13" t="str">
        <x:v>RAS-E013</x:v>
      </x:c>
      <x:c r="D19" s="13" t="str">
        <x:v>AM-05</x:v>
      </x:c>
      <x:c r="E19" s="13" t="str">
        <x:v>TR-A</x:v>
      </x:c>
      <x:c r="F19" s="13" t="str">
        <x:v>RFP-B1</x:v>
      </x:c>
      <x:c r="G19" s="13" t="str"/>
      <x:c r="H19" s="13" t="str"/>
      <x:c r="I19" s="13" t="str"/>
      <x:c r="J19" s="13" t="str"/>
      <x:c r="K19" s="13" t="str"/>
      <x:c r="L19" s="13" t="str"/>
      <x:c r="M19" s="13" t="str"/>
      <x:c r="N19" s="13" t="str">
        <x:f>IF(M19=1,IF(AND(COUNT(G19,I19)=2,G19&gt;='Controls'!$D$70,IF(D19="AM-06",AND(COUNT(H19)=1,H19&gt;='Controls'!$D$70),1),I19&lt;='Controls'!$D$71),"PASS","FAIL"),"OPEN")</x:f>
        <x:v>OPEN</x:v>
      </x:c>
    </x:row>
    <x:row r="20">
      <x:c r="B20" s="13" t="str">
        <x:v>RAS-AL-014</x:v>
      </x:c>
      <x:c r="C20" s="13" t="str">
        <x:v>RAS-E014</x:v>
      </x:c>
      <x:c r="D20" s="13" t="str">
        <x:v>AM-05</x:v>
      </x:c>
      <x:c r="E20" s="13" t="str">
        <x:v>TR-A</x:v>
      </x:c>
      <x:c r="F20" s="13" t="str">
        <x:v>RFP-B1</x:v>
      </x:c>
      <x:c r="G20" s="13" t="str"/>
      <x:c r="H20" s="13" t="str"/>
      <x:c r="I20" s="13" t="str"/>
      <x:c r="J20" s="13" t="str"/>
      <x:c r="K20" s="13" t="str"/>
      <x:c r="L20" s="13" t="str"/>
      <x:c r="M20" s="13" t="str"/>
      <x:c r="N20" s="13" t="str">
        <x:f>IF(M20=1,IF(AND(COUNT(G20,I20)=2,G20&gt;='Controls'!$D$70,IF(D20="AM-06",AND(COUNT(H20)=1,H20&gt;='Controls'!$D$70),1),I20&lt;='Controls'!$D$71),"PASS","FAIL"),"OPEN")</x:f>
        <x:v>OPEN</x:v>
      </x:c>
    </x:row>
    <x:row r="21">
      <x:c r="B21" s="13" t="str">
        <x:v>RAS-AL-015</x:v>
      </x:c>
      <x:c r="C21" s="13" t="str">
        <x:v>RAS-E015</x:v>
      </x:c>
      <x:c r="D21" s="13" t="str">
        <x:v>AM-05</x:v>
      </x:c>
      <x:c r="E21" s="13" t="str">
        <x:v>TR-A</x:v>
      </x:c>
      <x:c r="F21" s="13" t="str">
        <x:v>RFP-B1</x:v>
      </x:c>
      <x:c r="G21" s="13" t="str"/>
      <x:c r="H21" s="13" t="str"/>
      <x:c r="I21" s="13" t="str"/>
      <x:c r="J21" s="13" t="str"/>
      <x:c r="K21" s="13" t="str"/>
      <x:c r="L21" s="13" t="str"/>
      <x:c r="M21" s="13" t="str"/>
      <x:c r="N21" s="13" t="str">
        <x:f>IF(M21=1,IF(AND(COUNT(G21,I21)=2,G21&gt;='Controls'!$D$70,IF(D21="AM-06",AND(COUNT(H21)=1,H21&gt;='Controls'!$D$70),1),I21&lt;='Controls'!$D$71),"PASS","FAIL"),"OPEN")</x:f>
        <x:v>OPEN</x:v>
      </x:c>
    </x:row>
    <x:row r="22">
      <x:c r="B22" s="13" t="str">
        <x:v>RAS-AL-016</x:v>
      </x:c>
      <x:c r="C22" s="13" t="str">
        <x:v>RAS-E016</x:v>
      </x:c>
      <x:c r="D22" s="13" t="str">
        <x:v>AM-05</x:v>
      </x:c>
      <x:c r="E22" s="13" t="str">
        <x:v>TR-A</x:v>
      </x:c>
      <x:c r="F22" s="13" t="str">
        <x:v>RFP-B1</x:v>
      </x:c>
      <x:c r="G22" s="13" t="str"/>
      <x:c r="H22" s="13" t="str"/>
      <x:c r="I22" s="13" t="str"/>
      <x:c r="J22" s="13" t="str"/>
      <x:c r="K22" s="13" t="str"/>
      <x:c r="L22" s="13" t="str"/>
      <x:c r="M22" s="13" t="str"/>
      <x:c r="N22" s="13" t="str">
        <x:f>IF(M22=1,IF(AND(COUNT(G22,I22)=2,G22&gt;='Controls'!$D$70,IF(D22="AM-06",AND(COUNT(H22)=1,H22&gt;='Controls'!$D$70),1),I22&lt;='Controls'!$D$71),"PASS","FAIL"),"OPEN")</x:f>
        <x:v>OPEN</x:v>
      </x:c>
    </x:row>
    <x:row r="23">
      <x:c r="B23" s="13" t="str">
        <x:v>RAS-AL-017</x:v>
      </x:c>
      <x:c r="C23" s="13" t="str">
        <x:v>RAS-E017</x:v>
      </x:c>
      <x:c r="D23" s="13" t="str">
        <x:v>AM-05</x:v>
      </x:c>
      <x:c r="E23" s="13" t="str">
        <x:v>TR-A</x:v>
      </x:c>
      <x:c r="F23" s="13" t="str">
        <x:v>RFP-B1</x:v>
      </x:c>
      <x:c r="G23" s="13" t="str"/>
      <x:c r="H23" s="13" t="str"/>
      <x:c r="I23" s="13" t="str"/>
      <x:c r="J23" s="13" t="str"/>
      <x:c r="K23" s="13" t="str"/>
      <x:c r="L23" s="13" t="str"/>
      <x:c r="M23" s="13" t="str"/>
      <x:c r="N23" s="13" t="str">
        <x:f>IF(M23=1,IF(AND(COUNT(G23,I23)=2,G23&gt;='Controls'!$D$70,IF(D23="AM-06",AND(COUNT(H23)=1,H23&gt;='Controls'!$D$70),1),I23&lt;='Controls'!$D$71),"PASS","FAIL"),"OPEN")</x:f>
        <x:v>OPEN</x:v>
      </x:c>
    </x:row>
    <x:row r="24">
      <x:c r="B24" s="13" t="str">
        <x:v>RAS-AL-018</x:v>
      </x:c>
      <x:c r="C24" s="13" t="str">
        <x:v>RAS-E018</x:v>
      </x:c>
      <x:c r="D24" s="13" t="str">
        <x:v>AM-05</x:v>
      </x:c>
      <x:c r="E24" s="13" t="str">
        <x:v>TR-A</x:v>
      </x:c>
      <x:c r="F24" s="13" t="str">
        <x:v>RFP-B1</x:v>
      </x:c>
      <x:c r="G24" s="13" t="str"/>
      <x:c r="H24" s="13" t="str"/>
      <x:c r="I24" s="13" t="str"/>
      <x:c r="J24" s="13" t="str"/>
      <x:c r="K24" s="13" t="str"/>
      <x:c r="L24" s="13" t="str"/>
      <x:c r="M24" s="13" t="str"/>
      <x:c r="N24" s="13" t="str">
        <x:f>IF(M24=1,IF(AND(COUNT(G24,I24)=2,G24&gt;='Controls'!$D$70,IF(D24="AM-06",AND(COUNT(H24)=1,H24&gt;='Controls'!$D$70),1),I24&lt;='Controls'!$D$71),"PASS","FAIL"),"OPEN")</x:f>
        <x:v>OPEN</x:v>
      </x:c>
    </x:row>
    <x:row r="25">
      <x:c r="B25" s="13" t="str">
        <x:v>RAS-AL-019</x:v>
      </x:c>
      <x:c r="C25" s="13" t="str">
        <x:v>RAS-E019</x:v>
      </x:c>
      <x:c r="D25" s="13" t="str">
        <x:v>AM-05</x:v>
      </x:c>
      <x:c r="E25" s="13" t="str">
        <x:v>TR-A</x:v>
      </x:c>
      <x:c r="F25" s="13" t="str">
        <x:v>RFP-B2</x:v>
      </x:c>
      <x:c r="G25" s="13" t="str"/>
      <x:c r="H25" s="13" t="str"/>
      <x:c r="I25" s="13" t="str"/>
      <x:c r="J25" s="13" t="str"/>
      <x:c r="K25" s="13" t="str"/>
      <x:c r="L25" s="13" t="str"/>
      <x:c r="M25" s="13" t="str"/>
      <x:c r="N25" s="13" t="str">
        <x:f>IF(M25=1,IF(AND(COUNT(G25,I25)=2,G25&gt;='Controls'!$D$70,IF(D25="AM-06",AND(COUNT(H25)=1,H25&gt;='Controls'!$D$70),1),I25&lt;='Controls'!$D$71),"PASS","FAIL"),"OPEN")</x:f>
        <x:v>OPEN</x:v>
      </x:c>
    </x:row>
    <x:row r="26">
      <x:c r="B26" s="13" t="str">
        <x:v>RAS-AL-020</x:v>
      </x:c>
      <x:c r="C26" s="13" t="str">
        <x:v>RAS-E020</x:v>
      </x:c>
      <x:c r="D26" s="13" t="str">
        <x:v>AM-05</x:v>
      </x:c>
      <x:c r="E26" s="13" t="str">
        <x:v>TR-A</x:v>
      </x:c>
      <x:c r="F26" s="13" t="str">
        <x:v>RFP-B2</x:v>
      </x:c>
      <x:c r="G26" s="13" t="str"/>
      <x:c r="H26" s="13" t="str"/>
      <x:c r="I26" s="13" t="str"/>
      <x:c r="J26" s="13" t="str"/>
      <x:c r="K26" s="13" t="str"/>
      <x:c r="L26" s="13" t="str"/>
      <x:c r="M26" s="13" t="str"/>
      <x:c r="N26" s="13" t="str">
        <x:f>IF(M26=1,IF(AND(COUNT(G26,I26)=2,G26&gt;='Controls'!$D$70,IF(D26="AM-06",AND(COUNT(H26)=1,H26&gt;='Controls'!$D$70),1),I26&lt;='Controls'!$D$71),"PASS","FAIL"),"OPEN")</x:f>
        <x:v>OPEN</x:v>
      </x:c>
    </x:row>
    <x:row r="27">
      <x:c r="B27" s="13" t="str">
        <x:v>RAS-AL-021</x:v>
      </x:c>
      <x:c r="C27" s="13" t="str">
        <x:v>RAS-E021</x:v>
      </x:c>
      <x:c r="D27" s="13" t="str">
        <x:v>AM-05</x:v>
      </x:c>
      <x:c r="E27" s="13" t="str">
        <x:v>TR-A</x:v>
      </x:c>
      <x:c r="F27" s="13" t="str">
        <x:v>RFP-B2</x:v>
      </x:c>
      <x:c r="G27" s="13" t="str"/>
      <x:c r="H27" s="13" t="str"/>
      <x:c r="I27" s="13" t="str"/>
      <x:c r="J27" s="13" t="str"/>
      <x:c r="K27" s="13" t="str"/>
      <x:c r="L27" s="13" t="str"/>
      <x:c r="M27" s="13" t="str"/>
      <x:c r="N27" s="13" t="str">
        <x:f>IF(M27=1,IF(AND(COUNT(G27,I27)=2,G27&gt;='Controls'!$D$70,IF(D27="AM-06",AND(COUNT(H27)=1,H27&gt;='Controls'!$D$70),1),I27&lt;='Controls'!$D$71),"PASS","FAIL"),"OPEN")</x:f>
        <x:v>OPEN</x:v>
      </x:c>
    </x:row>
    <x:row r="28">
      <x:c r="B28" s="13" t="str">
        <x:v>RAS-AL-022</x:v>
      </x:c>
      <x:c r="C28" s="13" t="str">
        <x:v>RAS-E022</x:v>
      </x:c>
      <x:c r="D28" s="13" t="str">
        <x:v>AM-05</x:v>
      </x:c>
      <x:c r="E28" s="13" t="str">
        <x:v>TR-A</x:v>
      </x:c>
      <x:c r="F28" s="13" t="str">
        <x:v>RFP-B2</x:v>
      </x:c>
      <x:c r="G28" s="13" t="str"/>
      <x:c r="H28" s="13" t="str"/>
      <x:c r="I28" s="13" t="str"/>
      <x:c r="J28" s="13" t="str"/>
      <x:c r="K28" s="13" t="str"/>
      <x:c r="L28" s="13" t="str"/>
      <x:c r="M28" s="13" t="str"/>
      <x:c r="N28" s="13" t="str">
        <x:f>IF(M28=1,IF(AND(COUNT(G28,I28)=2,G28&gt;='Controls'!$D$70,IF(D28="AM-06",AND(COUNT(H28)=1,H28&gt;='Controls'!$D$70),1),I28&lt;='Controls'!$D$71),"PASS","FAIL"),"OPEN")</x:f>
        <x:v>OPEN</x:v>
      </x:c>
    </x:row>
    <x:row r="29">
      <x:c r="B29" s="13" t="str">
        <x:v>RAS-AL-023</x:v>
      </x:c>
      <x:c r="C29" s="13" t="str">
        <x:v>RAS-E023</x:v>
      </x:c>
      <x:c r="D29" s="13" t="str">
        <x:v>AM-05</x:v>
      </x:c>
      <x:c r="E29" s="13" t="str">
        <x:v>TR-A</x:v>
      </x:c>
      <x:c r="F29" s="13" t="str">
        <x:v>RFP-B2</x:v>
      </x:c>
      <x:c r="G29" s="13" t="str"/>
      <x:c r="H29" s="13" t="str"/>
      <x:c r="I29" s="13" t="str"/>
      <x:c r="J29" s="13" t="str"/>
      <x:c r="K29" s="13" t="str"/>
      <x:c r="L29" s="13" t="str"/>
      <x:c r="M29" s="13" t="str"/>
      <x:c r="N29" s="13" t="str">
        <x:f>IF(M29=1,IF(AND(COUNT(G29,I29)=2,G29&gt;='Controls'!$D$70,IF(D29="AM-06",AND(COUNT(H29)=1,H29&gt;='Controls'!$D$70),1),I29&lt;='Controls'!$D$71),"PASS","FAIL"),"OPEN")</x:f>
        <x:v>OPEN</x:v>
      </x:c>
    </x:row>
    <x:row r="30">
      <x:c r="B30" s="13" t="str">
        <x:v>RAS-AL-024</x:v>
      </x:c>
      <x:c r="C30" s="13" t="str">
        <x:v>RAS-E024</x:v>
      </x:c>
      <x:c r="D30" s="13" t="str">
        <x:v>AM-05</x:v>
      </x:c>
      <x:c r="E30" s="13" t="str">
        <x:v>TR-A</x:v>
      </x:c>
      <x:c r="F30" s="13" t="str">
        <x:v>RFP-B2</x:v>
      </x:c>
      <x:c r="G30" s="13" t="str"/>
      <x:c r="H30" s="13" t="str"/>
      <x:c r="I30" s="13" t="str"/>
      <x:c r="J30" s="13" t="str"/>
      <x:c r="K30" s="13" t="str"/>
      <x:c r="L30" s="13" t="str"/>
      <x:c r="M30" s="13" t="str"/>
      <x:c r="N30" s="13" t="str">
        <x:f>IF(M30=1,IF(AND(COUNT(G30,I30)=2,G30&gt;='Controls'!$D$70,IF(D30="AM-06",AND(COUNT(H30)=1,H30&gt;='Controls'!$D$70),1),I30&lt;='Controls'!$D$71),"PASS","FAIL"),"OPEN")</x:f>
        <x:v>OPEN</x:v>
      </x:c>
    </x:row>
    <x:row r="31">
      <x:c r="B31" s="13" t="str">
        <x:v>RAS-AL-025</x:v>
      </x:c>
      <x:c r="C31" s="13" t="str">
        <x:v>RAS-E025</x:v>
      </x:c>
      <x:c r="D31" s="13" t="str">
        <x:v>AM-05</x:v>
      </x:c>
      <x:c r="E31" s="13" t="str">
        <x:v>TR-A</x:v>
      </x:c>
      <x:c r="F31" s="13" t="str">
        <x:v>RFP-C1</x:v>
      </x:c>
      <x:c r="G31" s="13" t="str"/>
      <x:c r="H31" s="13" t="str"/>
      <x:c r="I31" s="13" t="str"/>
      <x:c r="J31" s="13" t="str"/>
      <x:c r="K31" s="13" t="str"/>
      <x:c r="L31" s="13" t="str"/>
      <x:c r="M31" s="13" t="str"/>
      <x:c r="N31" s="13" t="str">
        <x:f>IF(M31=1,IF(AND(COUNT(G31,I31)=2,G31&gt;='Controls'!$D$70,IF(D31="AM-06",AND(COUNT(H31)=1,H31&gt;='Controls'!$D$70),1),I31&lt;='Controls'!$D$71),"PASS","FAIL"),"OPEN")</x:f>
        <x:v>OPEN</x:v>
      </x:c>
    </x:row>
    <x:row r="32">
      <x:c r="B32" s="13" t="str">
        <x:v>RAS-AL-026</x:v>
      </x:c>
      <x:c r="C32" s="13" t="str">
        <x:v>RAS-E026</x:v>
      </x:c>
      <x:c r="D32" s="13" t="str">
        <x:v>AM-05</x:v>
      </x:c>
      <x:c r="E32" s="13" t="str">
        <x:v>TR-A</x:v>
      </x:c>
      <x:c r="F32" s="13" t="str">
        <x:v>RFP-C1</x:v>
      </x:c>
      <x:c r="G32" s="13" t="str"/>
      <x:c r="H32" s="13" t="str"/>
      <x:c r="I32" s="13" t="str"/>
      <x:c r="J32" s="13" t="str"/>
      <x:c r="K32" s="13" t="str"/>
      <x:c r="L32" s="13" t="str"/>
      <x:c r="M32" s="13" t="str"/>
      <x:c r="N32" s="13" t="str">
        <x:f>IF(M32=1,IF(AND(COUNT(G32,I32)=2,G32&gt;='Controls'!$D$70,IF(D32="AM-06",AND(COUNT(H32)=1,H32&gt;='Controls'!$D$70),1),I32&lt;='Controls'!$D$71),"PASS","FAIL"),"OPEN")</x:f>
        <x:v>OPEN</x:v>
      </x:c>
    </x:row>
    <x:row r="33">
      <x:c r="B33" s="13" t="str">
        <x:v>RAS-AL-027</x:v>
      </x:c>
      <x:c r="C33" s="13" t="str">
        <x:v>RAS-E027</x:v>
      </x:c>
      <x:c r="D33" s="13" t="str">
        <x:v>AM-05</x:v>
      </x:c>
      <x:c r="E33" s="13" t="str">
        <x:v>TR-A</x:v>
      </x:c>
      <x:c r="F33" s="13" t="str">
        <x:v>RFP-C1</x:v>
      </x:c>
      <x:c r="G33" s="13" t="str"/>
      <x:c r="H33" s="13" t="str"/>
      <x:c r="I33" s="13" t="str"/>
      <x:c r="J33" s="13" t="str"/>
      <x:c r="K33" s="13" t="str"/>
      <x:c r="L33" s="13" t="str"/>
      <x:c r="M33" s="13" t="str"/>
      <x:c r="N33" s="13" t="str">
        <x:f>IF(M33=1,IF(AND(COUNT(G33,I33)=2,G33&gt;='Controls'!$D$70,IF(D33="AM-06",AND(COUNT(H33)=1,H33&gt;='Controls'!$D$70),1),I33&lt;='Controls'!$D$71),"PASS","FAIL"),"OPEN")</x:f>
        <x:v>OPEN</x:v>
      </x:c>
    </x:row>
    <x:row r="34">
      <x:c r="B34" s="13" t="str">
        <x:v>RAS-AL-028</x:v>
      </x:c>
      <x:c r="C34" s="13" t="str">
        <x:v>RAS-E028</x:v>
      </x:c>
      <x:c r="D34" s="13" t="str">
        <x:v>AM-05</x:v>
      </x:c>
      <x:c r="E34" s="13" t="str">
        <x:v>TR-A</x:v>
      </x:c>
      <x:c r="F34" s="13" t="str">
        <x:v>RFP-C1</x:v>
      </x:c>
      <x:c r="G34" s="13" t="str"/>
      <x:c r="H34" s="13" t="str"/>
      <x:c r="I34" s="13" t="str"/>
      <x:c r="J34" s="13" t="str"/>
      <x:c r="K34" s="13" t="str"/>
      <x:c r="L34" s="13" t="str"/>
      <x:c r="M34" s="13" t="str"/>
      <x:c r="N34" s="13" t="str">
        <x:f>IF(M34=1,IF(AND(COUNT(G34,I34)=2,G34&gt;='Controls'!$D$70,IF(D34="AM-06",AND(COUNT(H34)=1,H34&gt;='Controls'!$D$70),1),I34&lt;='Controls'!$D$71),"PASS","FAIL"),"OPEN")</x:f>
        <x:v>OPEN</x:v>
      </x:c>
    </x:row>
    <x:row r="35">
      <x:c r="B35" s="13" t="str">
        <x:v>RAS-AL-029</x:v>
      </x:c>
      <x:c r="C35" s="13" t="str">
        <x:v>RAS-E029</x:v>
      </x:c>
      <x:c r="D35" s="13" t="str">
        <x:v>AM-05</x:v>
      </x:c>
      <x:c r="E35" s="13" t="str">
        <x:v>TR-A</x:v>
      </x:c>
      <x:c r="F35" s="13" t="str">
        <x:v>RFP-C1</x:v>
      </x:c>
      <x:c r="G35" s="13" t="str"/>
      <x:c r="H35" s="13" t="str"/>
      <x:c r="I35" s="13" t="str"/>
      <x:c r="J35" s="13" t="str"/>
      <x:c r="K35" s="13" t="str"/>
      <x:c r="L35" s="13" t="str"/>
      <x:c r="M35" s="13" t="str"/>
      <x:c r="N35" s="13" t="str">
        <x:f>IF(M35=1,IF(AND(COUNT(G35,I35)=2,G35&gt;='Controls'!$D$70,IF(D35="AM-06",AND(COUNT(H35)=1,H35&gt;='Controls'!$D$70),1),I35&lt;='Controls'!$D$71),"PASS","FAIL"),"OPEN")</x:f>
        <x:v>OPEN</x:v>
      </x:c>
    </x:row>
    <x:row r="36">
      <x:c r="B36" s="13" t="str">
        <x:v>RAS-AL-030</x:v>
      </x:c>
      <x:c r="C36" s="13" t="str">
        <x:v>RAS-E030</x:v>
      </x:c>
      <x:c r="D36" s="13" t="str">
        <x:v>AM-05</x:v>
      </x:c>
      <x:c r="E36" s="13" t="str">
        <x:v>TR-A</x:v>
      </x:c>
      <x:c r="F36" s="13" t="str">
        <x:v>RFP-C1</x:v>
      </x:c>
      <x:c r="G36" s="13" t="str"/>
      <x:c r="H36" s="13" t="str"/>
      <x:c r="I36" s="13" t="str"/>
      <x:c r="J36" s="13" t="str"/>
      <x:c r="K36" s="13" t="str"/>
      <x:c r="L36" s="13" t="str"/>
      <x:c r="M36" s="13" t="str"/>
      <x:c r="N36" s="13" t="str">
        <x:f>IF(M36=1,IF(AND(COUNT(G36,I36)=2,G36&gt;='Controls'!$D$70,IF(D36="AM-06",AND(COUNT(H36)=1,H36&gt;='Controls'!$D$70),1),I36&lt;='Controls'!$D$71),"PASS","FAIL"),"OPEN")</x:f>
        <x:v>OPEN</x:v>
      </x:c>
    </x:row>
    <x:row r="37">
      <x:c r="B37" s="13" t="str">
        <x:v>RAS-AL-031</x:v>
      </x:c>
      <x:c r="C37" s="13" t="str">
        <x:v>RAS-E031</x:v>
      </x:c>
      <x:c r="D37" s="13" t="str">
        <x:v>AM-05</x:v>
      </x:c>
      <x:c r="E37" s="13" t="str">
        <x:v>TR-A</x:v>
      </x:c>
      <x:c r="F37" s="13" t="str">
        <x:v>RFP-C2</x:v>
      </x:c>
      <x:c r="G37" s="13" t="str"/>
      <x:c r="H37" s="13" t="str"/>
      <x:c r="I37" s="13" t="str"/>
      <x:c r="J37" s="13" t="str"/>
      <x:c r="K37" s="13" t="str"/>
      <x:c r="L37" s="13" t="str"/>
      <x:c r="M37" s="13" t="str"/>
      <x:c r="N37" s="13" t="str">
        <x:f>IF(M37=1,IF(AND(COUNT(G37,I37)=2,G37&gt;='Controls'!$D$70,IF(D37="AM-06",AND(COUNT(H37)=1,H37&gt;='Controls'!$D$70),1),I37&lt;='Controls'!$D$71),"PASS","FAIL"),"OPEN")</x:f>
        <x:v>OPEN</x:v>
      </x:c>
    </x:row>
    <x:row r="38">
      <x:c r="B38" s="13" t="str">
        <x:v>RAS-AL-032</x:v>
      </x:c>
      <x:c r="C38" s="13" t="str">
        <x:v>RAS-E032</x:v>
      </x:c>
      <x:c r="D38" s="13" t="str">
        <x:v>AM-05</x:v>
      </x:c>
      <x:c r="E38" s="13" t="str">
        <x:v>TR-A</x:v>
      </x:c>
      <x:c r="F38" s="13" t="str">
        <x:v>RFP-C2</x:v>
      </x:c>
      <x:c r="G38" s="13" t="str"/>
      <x:c r="H38" s="13" t="str"/>
      <x:c r="I38" s="13" t="str"/>
      <x:c r="J38" s="13" t="str"/>
      <x:c r="K38" s="13" t="str"/>
      <x:c r="L38" s="13" t="str"/>
      <x:c r="M38" s="13" t="str"/>
      <x:c r="N38" s="13" t="str">
        <x:f>IF(M38=1,IF(AND(COUNT(G38,I38)=2,G38&gt;='Controls'!$D$70,IF(D38="AM-06",AND(COUNT(H38)=1,H38&gt;='Controls'!$D$70),1),I38&lt;='Controls'!$D$71),"PASS","FAIL"),"OPEN")</x:f>
        <x:v>OPEN</x:v>
      </x:c>
    </x:row>
    <x:row r="39">
      <x:c r="B39" s="13" t="str">
        <x:v>RAS-AL-033</x:v>
      </x:c>
      <x:c r="C39" s="13" t="str">
        <x:v>RAS-E033</x:v>
      </x:c>
      <x:c r="D39" s="13" t="str">
        <x:v>AM-05</x:v>
      </x:c>
      <x:c r="E39" s="13" t="str">
        <x:v>TR-A</x:v>
      </x:c>
      <x:c r="F39" s="13" t="str">
        <x:v>RFP-C2</x:v>
      </x:c>
      <x:c r="G39" s="13" t="str"/>
      <x:c r="H39" s="13" t="str"/>
      <x:c r="I39" s="13" t="str"/>
      <x:c r="J39" s="13" t="str"/>
      <x:c r="K39" s="13" t="str"/>
      <x:c r="L39" s="13" t="str"/>
      <x:c r="M39" s="13" t="str"/>
      <x:c r="N39" s="13" t="str">
        <x:f>IF(M39=1,IF(AND(COUNT(G39,I39)=2,G39&gt;='Controls'!$D$70,IF(D39="AM-06",AND(COUNT(H39)=1,H39&gt;='Controls'!$D$70),1),I39&lt;='Controls'!$D$71),"PASS","FAIL"),"OPEN")</x:f>
        <x:v>OPEN</x:v>
      </x:c>
    </x:row>
    <x:row r="40">
      <x:c r="B40" s="13" t="str">
        <x:v>RAS-AL-034</x:v>
      </x:c>
      <x:c r="C40" s="13" t="str">
        <x:v>RAS-E034</x:v>
      </x:c>
      <x:c r="D40" s="13" t="str">
        <x:v>AM-05</x:v>
      </x:c>
      <x:c r="E40" s="13" t="str">
        <x:v>TR-A</x:v>
      </x:c>
      <x:c r="F40" s="13" t="str">
        <x:v>RFP-C2</x:v>
      </x:c>
      <x:c r="G40" s="13" t="str"/>
      <x:c r="H40" s="13" t="str"/>
      <x:c r="I40" s="13" t="str"/>
      <x:c r="J40" s="13" t="str"/>
      <x:c r="K40" s="13" t="str"/>
      <x:c r="L40" s="13" t="str"/>
      <x:c r="M40" s="13" t="str"/>
      <x:c r="N40" s="13" t="str">
        <x:f>IF(M40=1,IF(AND(COUNT(G40,I40)=2,G40&gt;='Controls'!$D$70,IF(D40="AM-06",AND(COUNT(H40)=1,H40&gt;='Controls'!$D$70),1),I40&lt;='Controls'!$D$71),"PASS","FAIL"),"OPEN")</x:f>
        <x:v>OPEN</x:v>
      </x:c>
    </x:row>
    <x:row r="41">
      <x:c r="B41" s="13" t="str">
        <x:v>RAS-AL-035</x:v>
      </x:c>
      <x:c r="C41" s="13" t="str">
        <x:v>RAS-E035</x:v>
      </x:c>
      <x:c r="D41" s="13" t="str">
        <x:v>AM-05</x:v>
      </x:c>
      <x:c r="E41" s="13" t="str">
        <x:v>TR-A</x:v>
      </x:c>
      <x:c r="F41" s="13" t="str">
        <x:v>RFP-C2</x:v>
      </x:c>
      <x:c r="G41" s="13" t="str"/>
      <x:c r="H41" s="13" t="str"/>
      <x:c r="I41" s="13" t="str"/>
      <x:c r="J41" s="13" t="str"/>
      <x:c r="K41" s="13" t="str"/>
      <x:c r="L41" s="13" t="str"/>
      <x:c r="M41" s="13" t="str"/>
      <x:c r="N41" s="13" t="str">
        <x:f>IF(M41=1,IF(AND(COUNT(G41,I41)=2,G41&gt;='Controls'!$D$70,IF(D41="AM-06",AND(COUNT(H41)=1,H41&gt;='Controls'!$D$70),1),I41&lt;='Controls'!$D$71),"PASS","FAIL"),"OPEN")</x:f>
        <x:v>OPEN</x:v>
      </x:c>
    </x:row>
    <x:row r="42">
      <x:c r="B42" s="13" t="str">
        <x:v>RAS-AL-036</x:v>
      </x:c>
      <x:c r="C42" s="13" t="str">
        <x:v>RAS-E036</x:v>
      </x:c>
      <x:c r="D42" s="13" t="str">
        <x:v>AM-05</x:v>
      </x:c>
      <x:c r="E42" s="13" t="str">
        <x:v>TR-A</x:v>
      </x:c>
      <x:c r="F42" s="13" t="str">
        <x:v>RFP-C2</x:v>
      </x:c>
      <x:c r="G42" s="13" t="str"/>
      <x:c r="H42" s="13" t="str"/>
      <x:c r="I42" s="13" t="str"/>
      <x:c r="J42" s="13" t="str"/>
      <x:c r="K42" s="13" t="str"/>
      <x:c r="L42" s="13" t="str"/>
      <x:c r="M42" s="13" t="str"/>
      <x:c r="N42" s="13" t="str">
        <x:f>IF(M42=1,IF(AND(COUNT(G42,I42)=2,G42&gt;='Controls'!$D$70,IF(D42="AM-06",AND(COUNT(H42)=1,H42&gt;='Controls'!$D$70),1),I42&lt;='Controls'!$D$71),"PASS","FAIL"),"OPEN")</x:f>
        <x:v>OPEN</x:v>
      </x:c>
    </x:row>
    <x:row r="43">
      <x:c r="B43" s="13" t="str">
        <x:v>RAS-AL-037</x:v>
      </x:c>
      <x:c r="C43" s="13" t="str">
        <x:v>RAS-E037</x:v>
      </x:c>
      <x:c r="D43" s="13" t="str">
        <x:v>AM-05</x:v>
      </x:c>
      <x:c r="E43" s="13" t="str">
        <x:v>TR-B</x:v>
      </x:c>
      <x:c r="F43" s="13" t="str">
        <x:v>RFP-A1</x:v>
      </x:c>
      <x:c r="G43" s="13" t="str"/>
      <x:c r="H43" s="13" t="str"/>
      <x:c r="I43" s="13" t="str"/>
      <x:c r="J43" s="13" t="str"/>
      <x:c r="K43" s="13" t="str"/>
      <x:c r="L43" s="13" t="str"/>
      <x:c r="M43" s="13" t="str"/>
      <x:c r="N43" s="13" t="str">
        <x:f>IF(M43=1,IF(AND(COUNT(G43,I43)=2,G43&gt;='Controls'!$D$70,IF(D43="AM-06",AND(COUNT(H43)=1,H43&gt;='Controls'!$D$70),1),I43&lt;='Controls'!$D$71),"PASS","FAIL"),"OPEN")</x:f>
        <x:v>OPEN</x:v>
      </x:c>
    </x:row>
    <x:row r="44">
      <x:c r="B44" s="13" t="str">
        <x:v>RAS-AL-038</x:v>
      </x:c>
      <x:c r="C44" s="13" t="str">
        <x:v>RAS-E038</x:v>
      </x:c>
      <x:c r="D44" s="13" t="str">
        <x:v>AM-05</x:v>
      </x:c>
      <x:c r="E44" s="13" t="str">
        <x:v>TR-B</x:v>
      </x:c>
      <x:c r="F44" s="13" t="str">
        <x:v>RFP-A1</x:v>
      </x:c>
      <x:c r="G44" s="13" t="str"/>
      <x:c r="H44" s="13" t="str"/>
      <x:c r="I44" s="13" t="str"/>
      <x:c r="J44" s="13" t="str"/>
      <x:c r="K44" s="13" t="str"/>
      <x:c r="L44" s="13" t="str"/>
      <x:c r="M44" s="13" t="str"/>
      <x:c r="N44" s="13" t="str">
        <x:f>IF(M44=1,IF(AND(COUNT(G44,I44)=2,G44&gt;='Controls'!$D$70,IF(D44="AM-06",AND(COUNT(H44)=1,H44&gt;='Controls'!$D$70),1),I44&lt;='Controls'!$D$71),"PASS","FAIL"),"OPEN")</x:f>
        <x:v>OPEN</x:v>
      </x:c>
    </x:row>
    <x:row r="45">
      <x:c r="B45" s="13" t="str">
        <x:v>RAS-AL-039</x:v>
      </x:c>
      <x:c r="C45" s="13" t="str">
        <x:v>RAS-E039</x:v>
      </x:c>
      <x:c r="D45" s="13" t="str">
        <x:v>AM-05</x:v>
      </x:c>
      <x:c r="E45" s="13" t="str">
        <x:v>TR-B</x:v>
      </x:c>
      <x:c r="F45" s="13" t="str">
        <x:v>RFP-A1</x:v>
      </x:c>
      <x:c r="G45" s="13" t="str"/>
      <x:c r="H45" s="13" t="str"/>
      <x:c r="I45" s="13" t="str"/>
      <x:c r="J45" s="13" t="str"/>
      <x:c r="K45" s="13" t="str"/>
      <x:c r="L45" s="13" t="str"/>
      <x:c r="M45" s="13" t="str"/>
      <x:c r="N45" s="13" t="str">
        <x:f>IF(M45=1,IF(AND(COUNT(G45,I45)=2,G45&gt;='Controls'!$D$70,IF(D45="AM-06",AND(COUNT(H45)=1,H45&gt;='Controls'!$D$70),1),I45&lt;='Controls'!$D$71),"PASS","FAIL"),"OPEN")</x:f>
        <x:v>OPEN</x:v>
      </x:c>
    </x:row>
    <x:row r="46">
      <x:c r="B46" s="13" t="str">
        <x:v>RAS-AL-040</x:v>
      </x:c>
      <x:c r="C46" s="13" t="str">
        <x:v>RAS-E040</x:v>
      </x:c>
      <x:c r="D46" s="13" t="str">
        <x:v>AM-05</x:v>
      </x:c>
      <x:c r="E46" s="13" t="str">
        <x:v>TR-B</x:v>
      </x:c>
      <x:c r="F46" s="13" t="str">
        <x:v>RFP-A1</x:v>
      </x:c>
      <x:c r="G46" s="13" t="str"/>
      <x:c r="H46" s="13" t="str"/>
      <x:c r="I46" s="13" t="str"/>
      <x:c r="J46" s="13" t="str"/>
      <x:c r="K46" s="13" t="str"/>
      <x:c r="L46" s="13" t="str"/>
      <x:c r="M46" s="13" t="str"/>
      <x:c r="N46" s="13" t="str">
        <x:f>IF(M46=1,IF(AND(COUNT(G46,I46)=2,G46&gt;='Controls'!$D$70,IF(D46="AM-06",AND(COUNT(H46)=1,H46&gt;='Controls'!$D$70),1),I46&lt;='Controls'!$D$71),"PASS","FAIL"),"OPEN")</x:f>
        <x:v>OPEN</x:v>
      </x:c>
    </x:row>
    <x:row r="47">
      <x:c r="B47" s="13" t="str">
        <x:v>RAS-AL-041</x:v>
      </x:c>
      <x:c r="C47" s="13" t="str">
        <x:v>RAS-E041</x:v>
      </x:c>
      <x:c r="D47" s="13" t="str">
        <x:v>AM-05</x:v>
      </x:c>
      <x:c r="E47" s="13" t="str">
        <x:v>TR-B</x:v>
      </x:c>
      <x:c r="F47" s="13" t="str">
        <x:v>RFP-A1</x:v>
      </x:c>
      <x:c r="G47" s="13" t="str"/>
      <x:c r="H47" s="13" t="str"/>
      <x:c r="I47" s="13" t="str"/>
      <x:c r="J47" s="13" t="str"/>
      <x:c r="K47" s="13" t="str"/>
      <x:c r="L47" s="13" t="str"/>
      <x:c r="M47" s="13" t="str"/>
      <x:c r="N47" s="13" t="str">
        <x:f>IF(M47=1,IF(AND(COUNT(G47,I47)=2,G47&gt;='Controls'!$D$70,IF(D47="AM-06",AND(COUNT(H47)=1,H47&gt;='Controls'!$D$70),1),I47&lt;='Controls'!$D$71),"PASS","FAIL"),"OPEN")</x:f>
        <x:v>OPEN</x:v>
      </x:c>
    </x:row>
    <x:row r="48">
      <x:c r="B48" s="13" t="str">
        <x:v>RAS-AL-042</x:v>
      </x:c>
      <x:c r="C48" s="13" t="str">
        <x:v>RAS-E042</x:v>
      </x:c>
      <x:c r="D48" s="13" t="str">
        <x:v>AM-05</x:v>
      </x:c>
      <x:c r="E48" s="13" t="str">
        <x:v>TR-B</x:v>
      </x:c>
      <x:c r="F48" s="13" t="str">
        <x:v>RFP-A1</x:v>
      </x:c>
      <x:c r="G48" s="13" t="str"/>
      <x:c r="H48" s="13" t="str"/>
      <x:c r="I48" s="13" t="str"/>
      <x:c r="J48" s="13" t="str"/>
      <x:c r="K48" s="13" t="str"/>
      <x:c r="L48" s="13" t="str"/>
      <x:c r="M48" s="13" t="str"/>
      <x:c r="N48" s="13" t="str">
        <x:f>IF(M48=1,IF(AND(COUNT(G48,I48)=2,G48&gt;='Controls'!$D$70,IF(D48="AM-06",AND(COUNT(H48)=1,H48&gt;='Controls'!$D$70),1),I48&lt;='Controls'!$D$71),"PASS","FAIL"),"OPEN")</x:f>
        <x:v>OPEN</x:v>
      </x:c>
    </x:row>
    <x:row r="49">
      <x:c r="B49" s="13" t="str">
        <x:v>RAS-AL-043</x:v>
      </x:c>
      <x:c r="C49" s="13" t="str">
        <x:v>RAS-E043</x:v>
      </x:c>
      <x:c r="D49" s="13" t="str">
        <x:v>AM-05</x:v>
      </x:c>
      <x:c r="E49" s="13" t="str">
        <x:v>TR-B</x:v>
      </x:c>
      <x:c r="F49" s="13" t="str">
        <x:v>RFP-A2</x:v>
      </x:c>
      <x:c r="G49" s="13" t="str"/>
      <x:c r="H49" s="13" t="str"/>
      <x:c r="I49" s="13" t="str"/>
      <x:c r="J49" s="13" t="str"/>
      <x:c r="K49" s="13" t="str"/>
      <x:c r="L49" s="13" t="str"/>
      <x:c r="M49" s="13" t="str"/>
      <x:c r="N49" s="13" t="str">
        <x:f>IF(M49=1,IF(AND(COUNT(G49,I49)=2,G49&gt;='Controls'!$D$70,IF(D49="AM-06",AND(COUNT(H49)=1,H49&gt;='Controls'!$D$70),1),I49&lt;='Controls'!$D$71),"PASS","FAIL"),"OPEN")</x:f>
        <x:v>OPEN</x:v>
      </x:c>
    </x:row>
    <x:row r="50">
      <x:c r="B50" s="13" t="str">
        <x:v>RAS-AL-044</x:v>
      </x:c>
      <x:c r="C50" s="13" t="str">
        <x:v>RAS-E044</x:v>
      </x:c>
      <x:c r="D50" s="13" t="str">
        <x:v>AM-05</x:v>
      </x:c>
      <x:c r="E50" s="13" t="str">
        <x:v>TR-B</x:v>
      </x:c>
      <x:c r="F50" s="13" t="str">
        <x:v>RFP-A2</x:v>
      </x:c>
      <x:c r="G50" s="13" t="str"/>
      <x:c r="H50" s="13" t="str"/>
      <x:c r="I50" s="13" t="str"/>
      <x:c r="J50" s="13" t="str"/>
      <x:c r="K50" s="13" t="str"/>
      <x:c r="L50" s="13" t="str"/>
      <x:c r="M50" s="13" t="str"/>
      <x:c r="N50" s="13" t="str">
        <x:f>IF(M50=1,IF(AND(COUNT(G50,I50)=2,G50&gt;='Controls'!$D$70,IF(D50="AM-06",AND(COUNT(H50)=1,H50&gt;='Controls'!$D$70),1),I50&lt;='Controls'!$D$71),"PASS","FAIL"),"OPEN")</x:f>
        <x:v>OPEN</x:v>
      </x:c>
    </x:row>
    <x:row r="51">
      <x:c r="B51" s="13" t="str">
        <x:v>RAS-AL-045</x:v>
      </x:c>
      <x:c r="C51" s="13" t="str">
        <x:v>RAS-E045</x:v>
      </x:c>
      <x:c r="D51" s="13" t="str">
        <x:v>AM-05</x:v>
      </x:c>
      <x:c r="E51" s="13" t="str">
        <x:v>TR-B</x:v>
      </x:c>
      <x:c r="F51" s="13" t="str">
        <x:v>RFP-A2</x:v>
      </x:c>
      <x:c r="G51" s="13" t="str"/>
      <x:c r="H51" s="13" t="str"/>
      <x:c r="I51" s="13" t="str"/>
      <x:c r="J51" s="13" t="str"/>
      <x:c r="K51" s="13" t="str"/>
      <x:c r="L51" s="13" t="str"/>
      <x:c r="M51" s="13" t="str"/>
      <x:c r="N51" s="13" t="str">
        <x:f>IF(M51=1,IF(AND(COUNT(G51,I51)=2,G51&gt;='Controls'!$D$70,IF(D51="AM-06",AND(COUNT(H51)=1,H51&gt;='Controls'!$D$70),1),I51&lt;='Controls'!$D$71),"PASS","FAIL"),"OPEN")</x:f>
        <x:v>OPEN</x:v>
      </x:c>
    </x:row>
    <x:row r="52">
      <x:c r="B52" s="13" t="str">
        <x:v>RAS-AL-046</x:v>
      </x:c>
      <x:c r="C52" s="13" t="str">
        <x:v>RAS-E046</x:v>
      </x:c>
      <x:c r="D52" s="13" t="str">
        <x:v>AM-05</x:v>
      </x:c>
      <x:c r="E52" s="13" t="str">
        <x:v>TR-B</x:v>
      </x:c>
      <x:c r="F52" s="13" t="str">
        <x:v>RFP-A2</x:v>
      </x:c>
      <x:c r="G52" s="13" t="str"/>
      <x:c r="H52" s="13" t="str"/>
      <x:c r="I52" s="13" t="str"/>
      <x:c r="J52" s="13" t="str"/>
      <x:c r="K52" s="13" t="str"/>
      <x:c r="L52" s="13" t="str"/>
      <x:c r="M52" s="13" t="str"/>
      <x:c r="N52" s="13" t="str">
        <x:f>IF(M52=1,IF(AND(COUNT(G52,I52)=2,G52&gt;='Controls'!$D$70,IF(D52="AM-06",AND(COUNT(H52)=1,H52&gt;='Controls'!$D$70),1),I52&lt;='Controls'!$D$71),"PASS","FAIL"),"OPEN")</x:f>
        <x:v>OPEN</x:v>
      </x:c>
    </x:row>
    <x:row r="53">
      <x:c r="B53" s="13" t="str">
        <x:v>RAS-AL-047</x:v>
      </x:c>
      <x:c r="C53" s="13" t="str">
        <x:v>RAS-E047</x:v>
      </x:c>
      <x:c r="D53" s="13" t="str">
        <x:v>AM-05</x:v>
      </x:c>
      <x:c r="E53" s="13" t="str">
        <x:v>TR-B</x:v>
      </x:c>
      <x:c r="F53" s="13" t="str">
        <x:v>RFP-A2</x:v>
      </x:c>
      <x:c r="G53" s="13" t="str"/>
      <x:c r="H53" s="13" t="str"/>
      <x:c r="I53" s="13" t="str"/>
      <x:c r="J53" s="13" t="str"/>
      <x:c r="K53" s="13" t="str"/>
      <x:c r="L53" s="13" t="str"/>
      <x:c r="M53" s="13" t="str"/>
      <x:c r="N53" s="13" t="str">
        <x:f>IF(M53=1,IF(AND(COUNT(G53,I53)=2,G53&gt;='Controls'!$D$70,IF(D53="AM-06",AND(COUNT(H53)=1,H53&gt;='Controls'!$D$70),1),I53&lt;='Controls'!$D$71),"PASS","FAIL"),"OPEN")</x:f>
        <x:v>OPEN</x:v>
      </x:c>
    </x:row>
    <x:row r="54">
      <x:c r="B54" s="13" t="str">
        <x:v>RAS-AL-048</x:v>
      </x:c>
      <x:c r="C54" s="13" t="str">
        <x:v>RAS-E048</x:v>
      </x:c>
      <x:c r="D54" s="13" t="str">
        <x:v>AM-05</x:v>
      </x:c>
      <x:c r="E54" s="13" t="str">
        <x:v>TR-B</x:v>
      </x:c>
      <x:c r="F54" s="13" t="str">
        <x:v>RFP-A2</x:v>
      </x:c>
      <x:c r="G54" s="13" t="str"/>
      <x:c r="H54" s="13" t="str"/>
      <x:c r="I54" s="13" t="str"/>
      <x:c r="J54" s="13" t="str"/>
      <x:c r="K54" s="13" t="str"/>
      <x:c r="L54" s="13" t="str"/>
      <x:c r="M54" s="13" t="str"/>
      <x:c r="N54" s="13" t="str">
        <x:f>IF(M54=1,IF(AND(COUNT(G54,I54)=2,G54&gt;='Controls'!$D$70,IF(D54="AM-06",AND(COUNT(H54)=1,H54&gt;='Controls'!$D$70),1),I54&lt;='Controls'!$D$71),"PASS","FAIL"),"OPEN")</x:f>
        <x:v>OPEN</x:v>
      </x:c>
    </x:row>
    <x:row r="55">
      <x:c r="B55" s="13" t="str">
        <x:v>RAS-AL-049</x:v>
      </x:c>
      <x:c r="C55" s="13" t="str">
        <x:v>RAS-E049</x:v>
      </x:c>
      <x:c r="D55" s="13" t="str">
        <x:v>AM-05</x:v>
      </x:c>
      <x:c r="E55" s="13" t="str">
        <x:v>TR-B</x:v>
      </x:c>
      <x:c r="F55" s="13" t="str">
        <x:v>RFP-B1</x:v>
      </x:c>
      <x:c r="G55" s="13" t="str"/>
      <x:c r="H55" s="13" t="str"/>
      <x:c r="I55" s="13" t="str"/>
      <x:c r="J55" s="13" t="str"/>
      <x:c r="K55" s="13" t="str"/>
      <x:c r="L55" s="13" t="str"/>
      <x:c r="M55" s="13" t="str"/>
      <x:c r="N55" s="13" t="str">
        <x:f>IF(M55=1,IF(AND(COUNT(G55,I55)=2,G55&gt;='Controls'!$D$70,IF(D55="AM-06",AND(COUNT(H55)=1,H55&gt;='Controls'!$D$70),1),I55&lt;='Controls'!$D$71),"PASS","FAIL"),"OPEN")</x:f>
        <x:v>OPEN</x:v>
      </x:c>
    </x:row>
    <x:row r="56">
      <x:c r="B56" s="13" t="str">
        <x:v>RAS-AL-050</x:v>
      </x:c>
      <x:c r="C56" s="13" t="str">
        <x:v>RAS-E050</x:v>
      </x:c>
      <x:c r="D56" s="13" t="str">
        <x:v>AM-05</x:v>
      </x:c>
      <x:c r="E56" s="13" t="str">
        <x:v>TR-B</x:v>
      </x:c>
      <x:c r="F56" s="13" t="str">
        <x:v>RFP-B1</x:v>
      </x:c>
      <x:c r="G56" s="13" t="str"/>
      <x:c r="H56" s="13" t="str"/>
      <x:c r="I56" s="13" t="str"/>
      <x:c r="J56" s="13" t="str"/>
      <x:c r="K56" s="13" t="str"/>
      <x:c r="L56" s="13" t="str"/>
      <x:c r="M56" s="13" t="str"/>
      <x:c r="N56" s="13" t="str">
        <x:f>IF(M56=1,IF(AND(COUNT(G56,I56)=2,G56&gt;='Controls'!$D$70,IF(D56="AM-06",AND(COUNT(H56)=1,H56&gt;='Controls'!$D$70),1),I56&lt;='Controls'!$D$71),"PASS","FAIL"),"OPEN")</x:f>
        <x:v>OPEN</x:v>
      </x:c>
    </x:row>
    <x:row r="57">
      <x:c r="B57" s="13" t="str">
        <x:v>RAS-AL-051</x:v>
      </x:c>
      <x:c r="C57" s="13" t="str">
        <x:v>RAS-E051</x:v>
      </x:c>
      <x:c r="D57" s="13" t="str">
        <x:v>AM-05</x:v>
      </x:c>
      <x:c r="E57" s="13" t="str">
        <x:v>TR-B</x:v>
      </x:c>
      <x:c r="F57" s="13" t="str">
        <x:v>RFP-B1</x:v>
      </x:c>
      <x:c r="G57" s="13" t="str"/>
      <x:c r="H57" s="13" t="str"/>
      <x:c r="I57" s="13" t="str"/>
      <x:c r="J57" s="13" t="str"/>
      <x:c r="K57" s="13" t="str"/>
      <x:c r="L57" s="13" t="str"/>
      <x:c r="M57" s="13" t="str"/>
      <x:c r="N57" s="13" t="str">
        <x:f>IF(M57=1,IF(AND(COUNT(G57,I57)=2,G57&gt;='Controls'!$D$70,IF(D57="AM-06",AND(COUNT(H57)=1,H57&gt;='Controls'!$D$70),1),I57&lt;='Controls'!$D$71),"PASS","FAIL"),"OPEN")</x:f>
        <x:v>OPEN</x:v>
      </x:c>
    </x:row>
    <x:row r="58">
      <x:c r="B58" s="13" t="str">
        <x:v>RAS-AL-052</x:v>
      </x:c>
      <x:c r="C58" s="13" t="str">
        <x:v>RAS-E052</x:v>
      </x:c>
      <x:c r="D58" s="13" t="str">
        <x:v>AM-05</x:v>
      </x:c>
      <x:c r="E58" s="13" t="str">
        <x:v>TR-B</x:v>
      </x:c>
      <x:c r="F58" s="13" t="str">
        <x:v>RFP-B1</x:v>
      </x:c>
      <x:c r="G58" s="13" t="str"/>
      <x:c r="H58" s="13" t="str"/>
      <x:c r="I58" s="13" t="str"/>
      <x:c r="J58" s="13" t="str"/>
      <x:c r="K58" s="13" t="str"/>
      <x:c r="L58" s="13" t="str"/>
      <x:c r="M58" s="13" t="str"/>
      <x:c r="N58" s="13" t="str">
        <x:f>IF(M58=1,IF(AND(COUNT(G58,I58)=2,G58&gt;='Controls'!$D$70,IF(D58="AM-06",AND(COUNT(H58)=1,H58&gt;='Controls'!$D$70),1),I58&lt;='Controls'!$D$71),"PASS","FAIL"),"OPEN")</x:f>
        <x:v>OPEN</x:v>
      </x:c>
    </x:row>
    <x:row r="59">
      <x:c r="B59" s="13" t="str">
        <x:v>RAS-AL-053</x:v>
      </x:c>
      <x:c r="C59" s="13" t="str">
        <x:v>RAS-E053</x:v>
      </x:c>
      <x:c r="D59" s="13" t="str">
        <x:v>AM-05</x:v>
      </x:c>
      <x:c r="E59" s="13" t="str">
        <x:v>TR-B</x:v>
      </x:c>
      <x:c r="F59" s="13" t="str">
        <x:v>RFP-B1</x:v>
      </x:c>
      <x:c r="G59" s="13" t="str"/>
      <x:c r="H59" s="13" t="str"/>
      <x:c r="I59" s="13" t="str"/>
      <x:c r="J59" s="13" t="str"/>
      <x:c r="K59" s="13" t="str"/>
      <x:c r="L59" s="13" t="str"/>
      <x:c r="M59" s="13" t="str"/>
      <x:c r="N59" s="13" t="str">
        <x:f>IF(M59=1,IF(AND(COUNT(G59,I59)=2,G59&gt;='Controls'!$D$70,IF(D59="AM-06",AND(COUNT(H59)=1,H59&gt;='Controls'!$D$70),1),I59&lt;='Controls'!$D$71),"PASS","FAIL"),"OPEN")</x:f>
        <x:v>OPEN</x:v>
      </x:c>
    </x:row>
    <x:row r="60">
      <x:c r="B60" s="13" t="str">
        <x:v>RAS-AL-054</x:v>
      </x:c>
      <x:c r="C60" s="13" t="str">
        <x:v>RAS-E054</x:v>
      </x:c>
      <x:c r="D60" s="13" t="str">
        <x:v>AM-05</x:v>
      </x:c>
      <x:c r="E60" s="13" t="str">
        <x:v>TR-B</x:v>
      </x:c>
      <x:c r="F60" s="13" t="str">
        <x:v>RFP-B1</x:v>
      </x:c>
      <x:c r="G60" s="13" t="str"/>
      <x:c r="H60" s="13" t="str"/>
      <x:c r="I60" s="13" t="str"/>
      <x:c r="J60" s="13" t="str"/>
      <x:c r="K60" s="13" t="str"/>
      <x:c r="L60" s="13" t="str"/>
      <x:c r="M60" s="13" t="str"/>
      <x:c r="N60" s="13" t="str">
        <x:f>IF(M60=1,IF(AND(COUNT(G60,I60)=2,G60&gt;='Controls'!$D$70,IF(D60="AM-06",AND(COUNT(H60)=1,H60&gt;='Controls'!$D$70),1),I60&lt;='Controls'!$D$71),"PASS","FAIL"),"OPEN")</x:f>
        <x:v>OPEN</x:v>
      </x:c>
    </x:row>
    <x:row r="61">
      <x:c r="B61" s="13" t="str">
        <x:v>RAS-AL-055</x:v>
      </x:c>
      <x:c r="C61" s="13" t="str">
        <x:v>RAS-E055</x:v>
      </x:c>
      <x:c r="D61" s="13" t="str">
        <x:v>AM-05</x:v>
      </x:c>
      <x:c r="E61" s="13" t="str">
        <x:v>TR-B</x:v>
      </x:c>
      <x:c r="F61" s="13" t="str">
        <x:v>RFP-B2</x:v>
      </x:c>
      <x:c r="G61" s="13" t="str"/>
      <x:c r="H61" s="13" t="str"/>
      <x:c r="I61" s="13" t="str"/>
      <x:c r="J61" s="13" t="str"/>
      <x:c r="K61" s="13" t="str"/>
      <x:c r="L61" s="13" t="str"/>
      <x:c r="M61" s="13" t="str"/>
      <x:c r="N61" s="13" t="str">
        <x:f>IF(M61=1,IF(AND(COUNT(G61,I61)=2,G61&gt;='Controls'!$D$70,IF(D61="AM-06",AND(COUNT(H61)=1,H61&gt;='Controls'!$D$70),1),I61&lt;='Controls'!$D$71),"PASS","FAIL"),"OPEN")</x:f>
        <x:v>OPEN</x:v>
      </x:c>
    </x:row>
    <x:row r="62">
      <x:c r="B62" s="13" t="str">
        <x:v>RAS-AL-056</x:v>
      </x:c>
      <x:c r="C62" s="13" t="str">
        <x:v>RAS-E056</x:v>
      </x:c>
      <x:c r="D62" s="13" t="str">
        <x:v>AM-05</x:v>
      </x:c>
      <x:c r="E62" s="13" t="str">
        <x:v>TR-B</x:v>
      </x:c>
      <x:c r="F62" s="13" t="str">
        <x:v>RFP-B2</x:v>
      </x:c>
      <x:c r="G62" s="13" t="str"/>
      <x:c r="H62" s="13" t="str"/>
      <x:c r="I62" s="13" t="str"/>
      <x:c r="J62" s="13" t="str"/>
      <x:c r="K62" s="13" t="str"/>
      <x:c r="L62" s="13" t="str"/>
      <x:c r="M62" s="13" t="str"/>
      <x:c r="N62" s="13" t="str">
        <x:f>IF(M62=1,IF(AND(COUNT(G62,I62)=2,G62&gt;='Controls'!$D$70,IF(D62="AM-06",AND(COUNT(H62)=1,H62&gt;='Controls'!$D$70),1),I62&lt;='Controls'!$D$71),"PASS","FAIL"),"OPEN")</x:f>
        <x:v>OPEN</x:v>
      </x:c>
    </x:row>
    <x:row r="63">
      <x:c r="B63" s="13" t="str">
        <x:v>RAS-AL-057</x:v>
      </x:c>
      <x:c r="C63" s="13" t="str">
        <x:v>RAS-E057</x:v>
      </x:c>
      <x:c r="D63" s="13" t="str">
        <x:v>AM-05</x:v>
      </x:c>
      <x:c r="E63" s="13" t="str">
        <x:v>TR-B</x:v>
      </x:c>
      <x:c r="F63" s="13" t="str">
        <x:v>RFP-B2</x:v>
      </x:c>
      <x:c r="G63" s="13" t="str"/>
      <x:c r="H63" s="13" t="str"/>
      <x:c r="I63" s="13" t="str"/>
      <x:c r="J63" s="13" t="str"/>
      <x:c r="K63" s="13" t="str"/>
      <x:c r="L63" s="13" t="str"/>
      <x:c r="M63" s="13" t="str"/>
      <x:c r="N63" s="13" t="str">
        <x:f>IF(M63=1,IF(AND(COUNT(G63,I63)=2,G63&gt;='Controls'!$D$70,IF(D63="AM-06",AND(COUNT(H63)=1,H63&gt;='Controls'!$D$70),1),I63&lt;='Controls'!$D$71),"PASS","FAIL"),"OPEN")</x:f>
        <x:v>OPEN</x:v>
      </x:c>
    </x:row>
    <x:row r="64">
      <x:c r="B64" s="13" t="str">
        <x:v>RAS-AL-058</x:v>
      </x:c>
      <x:c r="C64" s="13" t="str">
        <x:v>RAS-E058</x:v>
      </x:c>
      <x:c r="D64" s="13" t="str">
        <x:v>AM-05</x:v>
      </x:c>
      <x:c r="E64" s="13" t="str">
        <x:v>TR-B</x:v>
      </x:c>
      <x:c r="F64" s="13" t="str">
        <x:v>RFP-B2</x:v>
      </x:c>
      <x:c r="G64" s="13" t="str"/>
      <x:c r="H64" s="13" t="str"/>
      <x:c r="I64" s="13" t="str"/>
      <x:c r="J64" s="13" t="str"/>
      <x:c r="K64" s="13" t="str"/>
      <x:c r="L64" s="13" t="str"/>
      <x:c r="M64" s="13" t="str"/>
      <x:c r="N64" s="13" t="str">
        <x:f>IF(M64=1,IF(AND(COUNT(G64,I64)=2,G64&gt;='Controls'!$D$70,IF(D64="AM-06",AND(COUNT(H64)=1,H64&gt;='Controls'!$D$70),1),I64&lt;='Controls'!$D$71),"PASS","FAIL"),"OPEN")</x:f>
        <x:v>OPEN</x:v>
      </x:c>
    </x:row>
    <x:row r="65">
      <x:c r="B65" s="13" t="str">
        <x:v>RAS-AL-059</x:v>
      </x:c>
      <x:c r="C65" s="13" t="str">
        <x:v>RAS-E059</x:v>
      </x:c>
      <x:c r="D65" s="13" t="str">
        <x:v>AM-05</x:v>
      </x:c>
      <x:c r="E65" s="13" t="str">
        <x:v>TR-B</x:v>
      </x:c>
      <x:c r="F65" s="13" t="str">
        <x:v>RFP-B2</x:v>
      </x:c>
      <x:c r="G65" s="13" t="str"/>
      <x:c r="H65" s="13" t="str"/>
      <x:c r="I65" s="13" t="str"/>
      <x:c r="J65" s="13" t="str"/>
      <x:c r="K65" s="13" t="str"/>
      <x:c r="L65" s="13" t="str"/>
      <x:c r="M65" s="13" t="str"/>
      <x:c r="N65" s="13" t="str">
        <x:f>IF(M65=1,IF(AND(COUNT(G65,I65)=2,G65&gt;='Controls'!$D$70,IF(D65="AM-06",AND(COUNT(H65)=1,H65&gt;='Controls'!$D$70),1),I65&lt;='Controls'!$D$71),"PASS","FAIL"),"OPEN")</x:f>
        <x:v>OPEN</x:v>
      </x:c>
    </x:row>
    <x:row r="66">
      <x:c r="B66" s="13" t="str">
        <x:v>RAS-AL-060</x:v>
      </x:c>
      <x:c r="C66" s="13" t="str">
        <x:v>RAS-E060</x:v>
      </x:c>
      <x:c r="D66" s="13" t="str">
        <x:v>AM-05</x:v>
      </x:c>
      <x:c r="E66" s="13" t="str">
        <x:v>TR-B</x:v>
      </x:c>
      <x:c r="F66" s="13" t="str">
        <x:v>RFP-B2</x:v>
      </x:c>
      <x:c r="G66" s="13" t="str"/>
      <x:c r="H66" s="13" t="str"/>
      <x:c r="I66" s="13" t="str"/>
      <x:c r="J66" s="13" t="str"/>
      <x:c r="K66" s="13" t="str"/>
      <x:c r="L66" s="13" t="str"/>
      <x:c r="M66" s="13" t="str"/>
      <x:c r="N66" s="13" t="str">
        <x:f>IF(M66=1,IF(AND(COUNT(G66,I66)=2,G66&gt;='Controls'!$D$70,IF(D66="AM-06",AND(COUNT(H66)=1,H66&gt;='Controls'!$D$70),1),I66&lt;='Controls'!$D$71),"PASS","FAIL"),"OPEN")</x:f>
        <x:v>OPEN</x:v>
      </x:c>
    </x:row>
    <x:row r="67">
      <x:c r="B67" s="13" t="str">
        <x:v>RAS-AL-061</x:v>
      </x:c>
      <x:c r="C67" s="13" t="str">
        <x:v>RAS-E061</x:v>
      </x:c>
      <x:c r="D67" s="13" t="str">
        <x:v>AM-05</x:v>
      </x:c>
      <x:c r="E67" s="13" t="str">
        <x:v>TR-B</x:v>
      </x:c>
      <x:c r="F67" s="13" t="str">
        <x:v>RFP-C1</x:v>
      </x:c>
      <x:c r="G67" s="13" t="str"/>
      <x:c r="H67" s="13" t="str"/>
      <x:c r="I67" s="13" t="str"/>
      <x:c r="J67" s="13" t="str"/>
      <x:c r="K67" s="13" t="str"/>
      <x:c r="L67" s="13" t="str"/>
      <x:c r="M67" s="13" t="str"/>
      <x:c r="N67" s="13" t="str">
        <x:f>IF(M67=1,IF(AND(COUNT(G67,I67)=2,G67&gt;='Controls'!$D$70,IF(D67="AM-06",AND(COUNT(H67)=1,H67&gt;='Controls'!$D$70),1),I67&lt;='Controls'!$D$71),"PASS","FAIL"),"OPEN")</x:f>
        <x:v>OPEN</x:v>
      </x:c>
    </x:row>
    <x:row r="68">
      <x:c r="B68" s="13" t="str">
        <x:v>RAS-AL-062</x:v>
      </x:c>
      <x:c r="C68" s="13" t="str">
        <x:v>RAS-E062</x:v>
      </x:c>
      <x:c r="D68" s="13" t="str">
        <x:v>AM-05</x:v>
      </x:c>
      <x:c r="E68" s="13" t="str">
        <x:v>TR-B</x:v>
      </x:c>
      <x:c r="F68" s="13" t="str">
        <x:v>RFP-C1</x:v>
      </x:c>
      <x:c r="G68" s="13" t="str"/>
      <x:c r="H68" s="13" t="str"/>
      <x:c r="I68" s="13" t="str"/>
      <x:c r="J68" s="13" t="str"/>
      <x:c r="K68" s="13" t="str"/>
      <x:c r="L68" s="13" t="str"/>
      <x:c r="M68" s="13" t="str"/>
      <x:c r="N68" s="13" t="str">
        <x:f>IF(M68=1,IF(AND(COUNT(G68,I68)=2,G68&gt;='Controls'!$D$70,IF(D68="AM-06",AND(COUNT(H68)=1,H68&gt;='Controls'!$D$70),1),I68&lt;='Controls'!$D$71),"PASS","FAIL"),"OPEN")</x:f>
        <x:v>OPEN</x:v>
      </x:c>
    </x:row>
    <x:row r="69">
      <x:c r="B69" s="13" t="str">
        <x:v>RAS-AL-063</x:v>
      </x:c>
      <x:c r="C69" s="13" t="str">
        <x:v>RAS-E063</x:v>
      </x:c>
      <x:c r="D69" s="13" t="str">
        <x:v>AM-05</x:v>
      </x:c>
      <x:c r="E69" s="13" t="str">
        <x:v>TR-B</x:v>
      </x:c>
      <x:c r="F69" s="13" t="str">
        <x:v>RFP-C1</x:v>
      </x:c>
      <x:c r="G69" s="13" t="str"/>
      <x:c r="H69" s="13" t="str"/>
      <x:c r="I69" s="13" t="str"/>
      <x:c r="J69" s="13" t="str"/>
      <x:c r="K69" s="13" t="str"/>
      <x:c r="L69" s="13" t="str"/>
      <x:c r="M69" s="13" t="str"/>
      <x:c r="N69" s="13" t="str">
        <x:f>IF(M69=1,IF(AND(COUNT(G69,I69)=2,G69&gt;='Controls'!$D$70,IF(D69="AM-06",AND(COUNT(H69)=1,H69&gt;='Controls'!$D$70),1),I69&lt;='Controls'!$D$71),"PASS","FAIL"),"OPEN")</x:f>
        <x:v>OPEN</x:v>
      </x:c>
    </x:row>
    <x:row r="70">
      <x:c r="B70" s="13" t="str">
        <x:v>RAS-AL-064</x:v>
      </x:c>
      <x:c r="C70" s="13" t="str">
        <x:v>RAS-E064</x:v>
      </x:c>
      <x:c r="D70" s="13" t="str">
        <x:v>AM-05</x:v>
      </x:c>
      <x:c r="E70" s="13" t="str">
        <x:v>TR-B</x:v>
      </x:c>
      <x:c r="F70" s="13" t="str">
        <x:v>RFP-C1</x:v>
      </x:c>
      <x:c r="G70" s="13" t="str"/>
      <x:c r="H70" s="13" t="str"/>
      <x:c r="I70" s="13" t="str"/>
      <x:c r="J70" s="13" t="str"/>
      <x:c r="K70" s="13" t="str"/>
      <x:c r="L70" s="13" t="str"/>
      <x:c r="M70" s="13" t="str"/>
      <x:c r="N70" s="13" t="str">
        <x:f>IF(M70=1,IF(AND(COUNT(G70,I70)=2,G70&gt;='Controls'!$D$70,IF(D70="AM-06",AND(COUNT(H70)=1,H70&gt;='Controls'!$D$70),1),I70&lt;='Controls'!$D$71),"PASS","FAIL"),"OPEN")</x:f>
        <x:v>OPEN</x:v>
      </x:c>
    </x:row>
    <x:row r="71">
      <x:c r="B71" s="13" t="str">
        <x:v>RAS-AL-065</x:v>
      </x:c>
      <x:c r="C71" s="13" t="str">
        <x:v>RAS-E065</x:v>
      </x:c>
      <x:c r="D71" s="13" t="str">
        <x:v>AM-05</x:v>
      </x:c>
      <x:c r="E71" s="13" t="str">
        <x:v>TR-B</x:v>
      </x:c>
      <x:c r="F71" s="13" t="str">
        <x:v>RFP-C1</x:v>
      </x:c>
      <x:c r="G71" s="13" t="str"/>
      <x:c r="H71" s="13" t="str"/>
      <x:c r="I71" s="13" t="str"/>
      <x:c r="J71" s="13" t="str"/>
      <x:c r="K71" s="13" t="str"/>
      <x:c r="L71" s="13" t="str"/>
      <x:c r="M71" s="13" t="str"/>
      <x:c r="N71" s="13" t="str">
        <x:f>IF(M71=1,IF(AND(COUNT(G71,I71)=2,G71&gt;='Controls'!$D$70,IF(D71="AM-06",AND(COUNT(H71)=1,H71&gt;='Controls'!$D$70),1),I71&lt;='Controls'!$D$71),"PASS","FAIL"),"OPEN")</x:f>
        <x:v>OPEN</x:v>
      </x:c>
    </x:row>
    <x:row r="72">
      <x:c r="B72" s="13" t="str">
        <x:v>RAS-AL-066</x:v>
      </x:c>
      <x:c r="C72" s="13" t="str">
        <x:v>RAS-E066</x:v>
      </x:c>
      <x:c r="D72" s="13" t="str">
        <x:v>AM-05</x:v>
      </x:c>
      <x:c r="E72" s="13" t="str">
        <x:v>TR-B</x:v>
      </x:c>
      <x:c r="F72" s="13" t="str">
        <x:v>RFP-C1</x:v>
      </x:c>
      <x:c r="G72" s="13" t="str"/>
      <x:c r="H72" s="13" t="str"/>
      <x:c r="I72" s="13" t="str"/>
      <x:c r="J72" s="13" t="str"/>
      <x:c r="K72" s="13" t="str"/>
      <x:c r="L72" s="13" t="str"/>
      <x:c r="M72" s="13" t="str"/>
      <x:c r="N72" s="13" t="str">
        <x:f>IF(M72=1,IF(AND(COUNT(G72,I72)=2,G72&gt;='Controls'!$D$70,IF(D72="AM-06",AND(COUNT(H72)=1,H72&gt;='Controls'!$D$70),1),I72&lt;='Controls'!$D$71),"PASS","FAIL"),"OPEN")</x:f>
        <x:v>OPEN</x:v>
      </x:c>
    </x:row>
    <x:row r="73">
      <x:c r="B73" s="13" t="str">
        <x:v>RAS-AL-067</x:v>
      </x:c>
      <x:c r="C73" s="13" t="str">
        <x:v>RAS-E067</x:v>
      </x:c>
      <x:c r="D73" s="13" t="str">
        <x:v>AM-05</x:v>
      </x:c>
      <x:c r="E73" s="13" t="str">
        <x:v>TR-B</x:v>
      </x:c>
      <x:c r="F73" s="13" t="str">
        <x:v>RFP-C2</x:v>
      </x:c>
      <x:c r="G73" s="13" t="str"/>
      <x:c r="H73" s="13" t="str"/>
      <x:c r="I73" s="13" t="str"/>
      <x:c r="J73" s="13" t="str"/>
      <x:c r="K73" s="13" t="str"/>
      <x:c r="L73" s="13" t="str"/>
      <x:c r="M73" s="13" t="str"/>
      <x:c r="N73" s="13" t="str">
        <x:f>IF(M73=1,IF(AND(COUNT(G73,I73)=2,G73&gt;='Controls'!$D$70,IF(D73="AM-06",AND(COUNT(H73)=1,H73&gt;='Controls'!$D$70),1),I73&lt;='Controls'!$D$71),"PASS","FAIL"),"OPEN")</x:f>
        <x:v>OPEN</x:v>
      </x:c>
    </x:row>
    <x:row r="74">
      <x:c r="B74" s="13" t="str">
        <x:v>RAS-AL-068</x:v>
      </x:c>
      <x:c r="C74" s="13" t="str">
        <x:v>RAS-E068</x:v>
      </x:c>
      <x:c r="D74" s="13" t="str">
        <x:v>AM-05</x:v>
      </x:c>
      <x:c r="E74" s="13" t="str">
        <x:v>TR-B</x:v>
      </x:c>
      <x:c r="F74" s="13" t="str">
        <x:v>RFP-C2</x:v>
      </x:c>
      <x:c r="G74" s="13" t="str"/>
      <x:c r="H74" s="13" t="str"/>
      <x:c r="I74" s="13" t="str"/>
      <x:c r="J74" s="13" t="str"/>
      <x:c r="K74" s="13" t="str"/>
      <x:c r="L74" s="13" t="str"/>
      <x:c r="M74" s="13" t="str"/>
      <x:c r="N74" s="13" t="str">
        <x:f>IF(M74=1,IF(AND(COUNT(G74,I74)=2,G74&gt;='Controls'!$D$70,IF(D74="AM-06",AND(COUNT(H74)=1,H74&gt;='Controls'!$D$70),1),I74&lt;='Controls'!$D$71),"PASS","FAIL"),"OPEN")</x:f>
        <x:v>OPEN</x:v>
      </x:c>
    </x:row>
    <x:row r="75">
      <x:c r="B75" s="13" t="str">
        <x:v>RAS-AL-069</x:v>
      </x:c>
      <x:c r="C75" s="13" t="str">
        <x:v>RAS-E069</x:v>
      </x:c>
      <x:c r="D75" s="13" t="str">
        <x:v>AM-05</x:v>
      </x:c>
      <x:c r="E75" s="13" t="str">
        <x:v>TR-B</x:v>
      </x:c>
      <x:c r="F75" s="13" t="str">
        <x:v>RFP-C2</x:v>
      </x:c>
      <x:c r="G75" s="13" t="str"/>
      <x:c r="H75" s="13" t="str"/>
      <x:c r="I75" s="13" t="str"/>
      <x:c r="J75" s="13" t="str"/>
      <x:c r="K75" s="13" t="str"/>
      <x:c r="L75" s="13" t="str"/>
      <x:c r="M75" s="13" t="str"/>
      <x:c r="N75" s="13" t="str">
        <x:f>IF(M75=1,IF(AND(COUNT(G75,I75)=2,G75&gt;='Controls'!$D$70,IF(D75="AM-06",AND(COUNT(H75)=1,H75&gt;='Controls'!$D$70),1),I75&lt;='Controls'!$D$71),"PASS","FAIL"),"OPEN")</x:f>
        <x:v>OPEN</x:v>
      </x:c>
    </x:row>
    <x:row r="76">
      <x:c r="B76" s="13" t="str">
        <x:v>RAS-AL-070</x:v>
      </x:c>
      <x:c r="C76" s="13" t="str">
        <x:v>RAS-E070</x:v>
      </x:c>
      <x:c r="D76" s="13" t="str">
        <x:v>AM-05</x:v>
      </x:c>
      <x:c r="E76" s="13" t="str">
        <x:v>TR-B</x:v>
      </x:c>
      <x:c r="F76" s="13" t="str">
        <x:v>RFP-C2</x:v>
      </x:c>
      <x:c r="G76" s="13" t="str"/>
      <x:c r="H76" s="13" t="str"/>
      <x:c r="I76" s="13" t="str"/>
      <x:c r="J76" s="13" t="str"/>
      <x:c r="K76" s="13" t="str"/>
      <x:c r="L76" s="13" t="str"/>
      <x:c r="M76" s="13" t="str"/>
      <x:c r="N76" s="13" t="str">
        <x:f>IF(M76=1,IF(AND(COUNT(G76,I76)=2,G76&gt;='Controls'!$D$70,IF(D76="AM-06",AND(COUNT(H76)=1,H76&gt;='Controls'!$D$70),1),I76&lt;='Controls'!$D$71),"PASS","FAIL"),"OPEN")</x:f>
        <x:v>OPEN</x:v>
      </x:c>
    </x:row>
    <x:row r="77">
      <x:c r="B77" s="13" t="str">
        <x:v>RAS-AL-071</x:v>
      </x:c>
      <x:c r="C77" s="13" t="str">
        <x:v>RAS-E071</x:v>
      </x:c>
      <x:c r="D77" s="13" t="str">
        <x:v>AM-05</x:v>
      </x:c>
      <x:c r="E77" s="13" t="str">
        <x:v>TR-B</x:v>
      </x:c>
      <x:c r="F77" s="13" t="str">
        <x:v>RFP-C2</x:v>
      </x:c>
      <x:c r="G77" s="13" t="str"/>
      <x:c r="H77" s="13" t="str"/>
      <x:c r="I77" s="13" t="str"/>
      <x:c r="J77" s="13" t="str"/>
      <x:c r="K77" s="13" t="str"/>
      <x:c r="L77" s="13" t="str"/>
      <x:c r="M77" s="13" t="str"/>
      <x:c r="N77" s="13" t="str">
        <x:f>IF(M77=1,IF(AND(COUNT(G77,I77)=2,G77&gt;='Controls'!$D$70,IF(D77="AM-06",AND(COUNT(H77)=1,H77&gt;='Controls'!$D$70),1),I77&lt;='Controls'!$D$71),"PASS","FAIL"),"OPEN")</x:f>
        <x:v>OPEN</x:v>
      </x:c>
    </x:row>
    <x:row r="78">
      <x:c r="B78" s="13" t="str">
        <x:v>RAS-AL-072</x:v>
      </x:c>
      <x:c r="C78" s="13" t="str">
        <x:v>RAS-E072</x:v>
      </x:c>
      <x:c r="D78" s="13" t="str">
        <x:v>AM-05</x:v>
      </x:c>
      <x:c r="E78" s="13" t="str">
        <x:v>TR-B</x:v>
      </x:c>
      <x:c r="F78" s="13" t="str">
        <x:v>RFP-C2</x:v>
      </x:c>
      <x:c r="G78" s="13" t="str"/>
      <x:c r="H78" s="13" t="str"/>
      <x:c r="I78" s="13" t="str"/>
      <x:c r="J78" s="13" t="str"/>
      <x:c r="K78" s="13" t="str"/>
      <x:c r="L78" s="13" t="str"/>
      <x:c r="M78" s="13" t="str"/>
      <x:c r="N78" s="13" t="str">
        <x:f>IF(M78=1,IF(AND(COUNT(G78,I78)=2,G78&gt;='Controls'!$D$70,IF(D78="AM-06",AND(COUNT(H78)=1,H78&gt;='Controls'!$D$70),1),I78&lt;='Controls'!$D$71),"PASS","FAIL"),"OPEN")</x:f>
        <x:v>OPEN</x:v>
      </x:c>
    </x:row>
    <x:row r="79">
      <x:c r="B79" s="13" t="str">
        <x:v>RAS-AL-073</x:v>
      </x:c>
      <x:c r="C79" s="13" t="str">
        <x:v>RAS-E073</x:v>
      </x:c>
      <x:c r="D79" s="13" t="str">
        <x:v>AM-06</x:v>
      </x:c>
      <x:c r="E79" s="13" t="str">
        <x:v>TR-A</x:v>
      </x:c>
      <x:c r="F79" s="13" t="str">
        <x:v>RFP-A1</x:v>
      </x:c>
      <x:c r="G79" s="13" t="str"/>
      <x:c r="H79" s="13" t="str"/>
      <x:c r="I79" s="13" t="str"/>
      <x:c r="J79" s="13" t="str"/>
      <x:c r="K79" s="13" t="str"/>
      <x:c r="L79" s="13" t="str"/>
      <x:c r="M79" s="13" t="str"/>
      <x:c r="N79" s="13" t="str">
        <x:f>IF(M79=1,IF(AND(COUNT(G79,I79)=2,G79&gt;='Controls'!$D$70,IF(D79="AM-06",AND(COUNT(H79)=1,H79&gt;='Controls'!$D$70),1),I79&lt;='Controls'!$D$71),"PASS","FAIL"),"OPEN")</x:f>
        <x:v>OPEN</x:v>
      </x:c>
    </x:row>
    <x:row r="80">
      <x:c r="B80" s="13" t="str">
        <x:v>RAS-AL-074</x:v>
      </x:c>
      <x:c r="C80" s="13" t="str">
        <x:v>RAS-E074</x:v>
      </x:c>
      <x:c r="D80" s="13" t="str">
        <x:v>AM-06</x:v>
      </x:c>
      <x:c r="E80" s="13" t="str">
        <x:v>TR-A</x:v>
      </x:c>
      <x:c r="F80" s="13" t="str">
        <x:v>RFP-A1</x:v>
      </x:c>
      <x:c r="G80" s="13" t="str"/>
      <x:c r="H80" s="13" t="str"/>
      <x:c r="I80" s="13" t="str"/>
      <x:c r="J80" s="13" t="str"/>
      <x:c r="K80" s="13" t="str"/>
      <x:c r="L80" s="13" t="str"/>
      <x:c r="M80" s="13" t="str"/>
      <x:c r="N80" s="13" t="str">
        <x:f>IF(M80=1,IF(AND(COUNT(G80,I80)=2,G80&gt;='Controls'!$D$70,IF(D80="AM-06",AND(COUNT(H80)=1,H80&gt;='Controls'!$D$70),1),I80&lt;='Controls'!$D$71),"PASS","FAIL"),"OPEN")</x:f>
        <x:v>OPEN</x:v>
      </x:c>
    </x:row>
    <x:row r="81">
      <x:c r="B81" s="13" t="str">
        <x:v>RAS-AL-075</x:v>
      </x:c>
      <x:c r="C81" s="13" t="str">
        <x:v>RAS-E075</x:v>
      </x:c>
      <x:c r="D81" s="13" t="str">
        <x:v>AM-06</x:v>
      </x:c>
      <x:c r="E81" s="13" t="str">
        <x:v>TR-A</x:v>
      </x:c>
      <x:c r="F81" s="13" t="str">
        <x:v>RFP-A1</x:v>
      </x:c>
      <x:c r="G81" s="13" t="str"/>
      <x:c r="H81" s="13" t="str"/>
      <x:c r="I81" s="13" t="str"/>
      <x:c r="J81" s="13" t="str"/>
      <x:c r="K81" s="13" t="str"/>
      <x:c r="L81" s="13" t="str"/>
      <x:c r="M81" s="13" t="str"/>
      <x:c r="N81" s="13" t="str">
        <x:f>IF(M81=1,IF(AND(COUNT(G81,I81)=2,G81&gt;='Controls'!$D$70,IF(D81="AM-06",AND(COUNT(H81)=1,H81&gt;='Controls'!$D$70),1),I81&lt;='Controls'!$D$71),"PASS","FAIL"),"OPEN")</x:f>
        <x:v>OPEN</x:v>
      </x:c>
    </x:row>
    <x:row r="82">
      <x:c r="B82" s="13" t="str">
        <x:v>RAS-AL-076</x:v>
      </x:c>
      <x:c r="C82" s="13" t="str">
        <x:v>RAS-E076</x:v>
      </x:c>
      <x:c r="D82" s="13" t="str">
        <x:v>AM-06</x:v>
      </x:c>
      <x:c r="E82" s="13" t="str">
        <x:v>TR-A</x:v>
      </x:c>
      <x:c r="F82" s="13" t="str">
        <x:v>RFP-A1</x:v>
      </x:c>
      <x:c r="G82" s="13" t="str"/>
      <x:c r="H82" s="13" t="str"/>
      <x:c r="I82" s="13" t="str"/>
      <x:c r="J82" s="13" t="str"/>
      <x:c r="K82" s="13" t="str"/>
      <x:c r="L82" s="13" t="str"/>
      <x:c r="M82" s="13" t="str"/>
      <x:c r="N82" s="13" t="str">
        <x:f>IF(M82=1,IF(AND(COUNT(G82,I82)=2,G82&gt;='Controls'!$D$70,IF(D82="AM-06",AND(COUNT(H82)=1,H82&gt;='Controls'!$D$70),1),I82&lt;='Controls'!$D$71),"PASS","FAIL"),"OPEN")</x:f>
        <x:v>OPEN</x:v>
      </x:c>
    </x:row>
    <x:row r="83">
      <x:c r="B83" s="13" t="str">
        <x:v>RAS-AL-077</x:v>
      </x:c>
      <x:c r="C83" s="13" t="str">
        <x:v>RAS-E077</x:v>
      </x:c>
      <x:c r="D83" s="13" t="str">
        <x:v>AM-06</x:v>
      </x:c>
      <x:c r="E83" s="13" t="str">
        <x:v>TR-A</x:v>
      </x:c>
      <x:c r="F83" s="13" t="str">
        <x:v>RFP-A1</x:v>
      </x:c>
      <x:c r="G83" s="13" t="str"/>
      <x:c r="H83" s="13" t="str"/>
      <x:c r="I83" s="13" t="str"/>
      <x:c r="J83" s="13" t="str"/>
      <x:c r="K83" s="13" t="str"/>
      <x:c r="L83" s="13" t="str"/>
      <x:c r="M83" s="13" t="str"/>
      <x:c r="N83" s="13" t="str">
        <x:f>IF(M83=1,IF(AND(COUNT(G83,I83)=2,G83&gt;='Controls'!$D$70,IF(D83="AM-06",AND(COUNT(H83)=1,H83&gt;='Controls'!$D$70),1),I83&lt;='Controls'!$D$71),"PASS","FAIL"),"OPEN")</x:f>
        <x:v>OPEN</x:v>
      </x:c>
    </x:row>
    <x:row r="84">
      <x:c r="B84" s="13" t="str">
        <x:v>RAS-AL-078</x:v>
      </x:c>
      <x:c r="C84" s="13" t="str">
        <x:v>RAS-E078</x:v>
      </x:c>
      <x:c r="D84" s="13" t="str">
        <x:v>AM-06</x:v>
      </x:c>
      <x:c r="E84" s="13" t="str">
        <x:v>TR-A</x:v>
      </x:c>
      <x:c r="F84" s="13" t="str">
        <x:v>RFP-A1</x:v>
      </x:c>
      <x:c r="G84" s="13" t="str"/>
      <x:c r="H84" s="13" t="str"/>
      <x:c r="I84" s="13" t="str"/>
      <x:c r="J84" s="13" t="str"/>
      <x:c r="K84" s="13" t="str"/>
      <x:c r="L84" s="13" t="str"/>
      <x:c r="M84" s="13" t="str"/>
      <x:c r="N84" s="13" t="str">
        <x:f>IF(M84=1,IF(AND(COUNT(G84,I84)=2,G84&gt;='Controls'!$D$70,IF(D84="AM-06",AND(COUNT(H84)=1,H84&gt;='Controls'!$D$70),1),I84&lt;='Controls'!$D$71),"PASS","FAIL"),"OPEN")</x:f>
        <x:v>OPEN</x:v>
      </x:c>
    </x:row>
    <x:row r="85">
      <x:c r="B85" s="13" t="str">
        <x:v>RAS-AL-079</x:v>
      </x:c>
      <x:c r="C85" s="13" t="str">
        <x:v>RAS-E079</x:v>
      </x:c>
      <x:c r="D85" s="13" t="str">
        <x:v>AM-06</x:v>
      </x:c>
      <x:c r="E85" s="13" t="str">
        <x:v>TR-A</x:v>
      </x:c>
      <x:c r="F85" s="13" t="str">
        <x:v>RFP-A2</x:v>
      </x:c>
      <x:c r="G85" s="13" t="str"/>
      <x:c r="H85" s="13" t="str"/>
      <x:c r="I85" s="13" t="str"/>
      <x:c r="J85" s="13" t="str"/>
      <x:c r="K85" s="13" t="str"/>
      <x:c r="L85" s="13" t="str"/>
      <x:c r="M85" s="13" t="str"/>
      <x:c r="N85" s="13" t="str">
        <x:f>IF(M85=1,IF(AND(COUNT(G85,I85)=2,G85&gt;='Controls'!$D$70,IF(D85="AM-06",AND(COUNT(H85)=1,H85&gt;='Controls'!$D$70),1),I85&lt;='Controls'!$D$71),"PASS","FAIL"),"OPEN")</x:f>
        <x:v>OPEN</x:v>
      </x:c>
    </x:row>
    <x:row r="86">
      <x:c r="B86" s="13" t="str">
        <x:v>RAS-AL-080</x:v>
      </x:c>
      <x:c r="C86" s="13" t="str">
        <x:v>RAS-E080</x:v>
      </x:c>
      <x:c r="D86" s="13" t="str">
        <x:v>AM-06</x:v>
      </x:c>
      <x:c r="E86" s="13" t="str">
        <x:v>TR-A</x:v>
      </x:c>
      <x:c r="F86" s="13" t="str">
        <x:v>RFP-A2</x:v>
      </x:c>
      <x:c r="G86" s="13" t="str"/>
      <x:c r="H86" s="13" t="str"/>
      <x:c r="I86" s="13" t="str"/>
      <x:c r="J86" s="13" t="str"/>
      <x:c r="K86" s="13" t="str"/>
      <x:c r="L86" s="13" t="str"/>
      <x:c r="M86" s="13" t="str"/>
      <x:c r="N86" s="13" t="str">
        <x:f>IF(M86=1,IF(AND(COUNT(G86,I86)=2,G86&gt;='Controls'!$D$70,IF(D86="AM-06",AND(COUNT(H86)=1,H86&gt;='Controls'!$D$70),1),I86&lt;='Controls'!$D$71),"PASS","FAIL"),"OPEN")</x:f>
        <x:v>OPEN</x:v>
      </x:c>
    </x:row>
    <x:row r="87">
      <x:c r="B87" s="13" t="str">
        <x:v>RAS-AL-081</x:v>
      </x:c>
      <x:c r="C87" s="13" t="str">
        <x:v>RAS-E081</x:v>
      </x:c>
      <x:c r="D87" s="13" t="str">
        <x:v>AM-06</x:v>
      </x:c>
      <x:c r="E87" s="13" t="str">
        <x:v>TR-A</x:v>
      </x:c>
      <x:c r="F87" s="13" t="str">
        <x:v>RFP-A2</x:v>
      </x:c>
      <x:c r="G87" s="13" t="str"/>
      <x:c r="H87" s="13" t="str"/>
      <x:c r="I87" s="13" t="str"/>
      <x:c r="J87" s="13" t="str"/>
      <x:c r="K87" s="13" t="str"/>
      <x:c r="L87" s="13" t="str"/>
      <x:c r="M87" s="13" t="str"/>
      <x:c r="N87" s="13" t="str">
        <x:f>IF(M87=1,IF(AND(COUNT(G87,I87)=2,G87&gt;='Controls'!$D$70,IF(D87="AM-06",AND(COUNT(H87)=1,H87&gt;='Controls'!$D$70),1),I87&lt;='Controls'!$D$71),"PASS","FAIL"),"OPEN")</x:f>
        <x:v>OPEN</x:v>
      </x:c>
    </x:row>
    <x:row r="88">
      <x:c r="B88" s="13" t="str">
        <x:v>RAS-AL-082</x:v>
      </x:c>
      <x:c r="C88" s="13" t="str">
        <x:v>RAS-E082</x:v>
      </x:c>
      <x:c r="D88" s="13" t="str">
        <x:v>AM-06</x:v>
      </x:c>
      <x:c r="E88" s="13" t="str">
        <x:v>TR-A</x:v>
      </x:c>
      <x:c r="F88" s="13" t="str">
        <x:v>RFP-A2</x:v>
      </x:c>
      <x:c r="G88" s="13" t="str"/>
      <x:c r="H88" s="13" t="str"/>
      <x:c r="I88" s="13" t="str"/>
      <x:c r="J88" s="13" t="str"/>
      <x:c r="K88" s="13" t="str"/>
      <x:c r="L88" s="13" t="str"/>
      <x:c r="M88" s="13" t="str"/>
      <x:c r="N88" s="13" t="str">
        <x:f>IF(M88=1,IF(AND(COUNT(G88,I88)=2,G88&gt;='Controls'!$D$70,IF(D88="AM-06",AND(COUNT(H88)=1,H88&gt;='Controls'!$D$70),1),I88&lt;='Controls'!$D$71),"PASS","FAIL"),"OPEN")</x:f>
        <x:v>OPEN</x:v>
      </x:c>
    </x:row>
    <x:row r="89">
      <x:c r="B89" s="13" t="str">
        <x:v>RAS-AL-083</x:v>
      </x:c>
      <x:c r="C89" s="13" t="str">
        <x:v>RAS-E083</x:v>
      </x:c>
      <x:c r="D89" s="13" t="str">
        <x:v>AM-06</x:v>
      </x:c>
      <x:c r="E89" s="13" t="str">
        <x:v>TR-A</x:v>
      </x:c>
      <x:c r="F89" s="13" t="str">
        <x:v>RFP-A2</x:v>
      </x:c>
      <x:c r="G89" s="13" t="str"/>
      <x:c r="H89" s="13" t="str"/>
      <x:c r="I89" s="13" t="str"/>
      <x:c r="J89" s="13" t="str"/>
      <x:c r="K89" s="13" t="str"/>
      <x:c r="L89" s="13" t="str"/>
      <x:c r="M89" s="13" t="str"/>
      <x:c r="N89" s="13" t="str">
        <x:f>IF(M89=1,IF(AND(COUNT(G89,I89)=2,G89&gt;='Controls'!$D$70,IF(D89="AM-06",AND(COUNT(H89)=1,H89&gt;='Controls'!$D$70),1),I89&lt;='Controls'!$D$71),"PASS","FAIL"),"OPEN")</x:f>
        <x:v>OPEN</x:v>
      </x:c>
    </x:row>
    <x:row r="90">
      <x:c r="B90" s="13" t="str">
        <x:v>RAS-AL-084</x:v>
      </x:c>
      <x:c r="C90" s="13" t="str">
        <x:v>RAS-E084</x:v>
      </x:c>
      <x:c r="D90" s="13" t="str">
        <x:v>AM-06</x:v>
      </x:c>
      <x:c r="E90" s="13" t="str">
        <x:v>TR-A</x:v>
      </x:c>
      <x:c r="F90" s="13" t="str">
        <x:v>RFP-A2</x:v>
      </x:c>
      <x:c r="G90" s="13" t="str"/>
      <x:c r="H90" s="13" t="str"/>
      <x:c r="I90" s="13" t="str"/>
      <x:c r="J90" s="13" t="str"/>
      <x:c r="K90" s="13" t="str"/>
      <x:c r="L90" s="13" t="str"/>
      <x:c r="M90" s="13" t="str"/>
      <x:c r="N90" s="13" t="str">
        <x:f>IF(M90=1,IF(AND(COUNT(G90,I90)=2,G90&gt;='Controls'!$D$70,IF(D90="AM-06",AND(COUNT(H90)=1,H90&gt;='Controls'!$D$70),1),I90&lt;='Controls'!$D$71),"PASS","FAIL"),"OPEN")</x:f>
        <x:v>OPEN</x:v>
      </x:c>
    </x:row>
    <x:row r="91">
      <x:c r="B91" s="13" t="str">
        <x:v>RAS-AL-085</x:v>
      </x:c>
      <x:c r="C91" s="13" t="str">
        <x:v>RAS-E085</x:v>
      </x:c>
      <x:c r="D91" s="13" t="str">
        <x:v>AM-06</x:v>
      </x:c>
      <x:c r="E91" s="13" t="str">
        <x:v>TR-A</x:v>
      </x:c>
      <x:c r="F91" s="13" t="str">
        <x:v>RFP-B1</x:v>
      </x:c>
      <x:c r="G91" s="13" t="str"/>
      <x:c r="H91" s="13" t="str"/>
      <x:c r="I91" s="13" t="str"/>
      <x:c r="J91" s="13" t="str"/>
      <x:c r="K91" s="13" t="str"/>
      <x:c r="L91" s="13" t="str"/>
      <x:c r="M91" s="13" t="str"/>
      <x:c r="N91" s="13" t="str">
        <x:f>IF(M91=1,IF(AND(COUNT(G91,I91)=2,G91&gt;='Controls'!$D$70,IF(D91="AM-06",AND(COUNT(H91)=1,H91&gt;='Controls'!$D$70),1),I91&lt;='Controls'!$D$71),"PASS","FAIL"),"OPEN")</x:f>
        <x:v>OPEN</x:v>
      </x:c>
    </x:row>
    <x:row r="92">
      <x:c r="B92" s="13" t="str">
        <x:v>RAS-AL-086</x:v>
      </x:c>
      <x:c r="C92" s="13" t="str">
        <x:v>RAS-E086</x:v>
      </x:c>
      <x:c r="D92" s="13" t="str">
        <x:v>AM-06</x:v>
      </x:c>
      <x:c r="E92" s="13" t="str">
        <x:v>TR-A</x:v>
      </x:c>
      <x:c r="F92" s="13" t="str">
        <x:v>RFP-B1</x:v>
      </x:c>
      <x:c r="G92" s="13" t="str"/>
      <x:c r="H92" s="13" t="str"/>
      <x:c r="I92" s="13" t="str"/>
      <x:c r="J92" s="13" t="str"/>
      <x:c r="K92" s="13" t="str"/>
      <x:c r="L92" s="13" t="str"/>
      <x:c r="M92" s="13" t="str"/>
      <x:c r="N92" s="13" t="str">
        <x:f>IF(M92=1,IF(AND(COUNT(G92,I92)=2,G92&gt;='Controls'!$D$70,IF(D92="AM-06",AND(COUNT(H92)=1,H92&gt;='Controls'!$D$70),1),I92&lt;='Controls'!$D$71),"PASS","FAIL"),"OPEN")</x:f>
        <x:v>OPEN</x:v>
      </x:c>
    </x:row>
    <x:row r="93">
      <x:c r="B93" s="13" t="str">
        <x:v>RAS-AL-087</x:v>
      </x:c>
      <x:c r="C93" s="13" t="str">
        <x:v>RAS-E087</x:v>
      </x:c>
      <x:c r="D93" s="13" t="str">
        <x:v>AM-06</x:v>
      </x:c>
      <x:c r="E93" s="13" t="str">
        <x:v>TR-A</x:v>
      </x:c>
      <x:c r="F93" s="13" t="str">
        <x:v>RFP-B1</x:v>
      </x:c>
      <x:c r="G93" s="13" t="str"/>
      <x:c r="H93" s="13" t="str"/>
      <x:c r="I93" s="13" t="str"/>
      <x:c r="J93" s="13" t="str"/>
      <x:c r="K93" s="13" t="str"/>
      <x:c r="L93" s="13" t="str"/>
      <x:c r="M93" s="13" t="str"/>
      <x:c r="N93" s="13" t="str">
        <x:f>IF(M93=1,IF(AND(COUNT(G93,I93)=2,G93&gt;='Controls'!$D$70,IF(D93="AM-06",AND(COUNT(H93)=1,H93&gt;='Controls'!$D$70),1),I93&lt;='Controls'!$D$71),"PASS","FAIL"),"OPEN")</x:f>
        <x:v>OPEN</x:v>
      </x:c>
    </x:row>
    <x:row r="94">
      <x:c r="B94" s="13" t="str">
        <x:v>RAS-AL-088</x:v>
      </x:c>
      <x:c r="C94" s="13" t="str">
        <x:v>RAS-E088</x:v>
      </x:c>
      <x:c r="D94" s="13" t="str">
        <x:v>AM-06</x:v>
      </x:c>
      <x:c r="E94" s="13" t="str">
        <x:v>TR-A</x:v>
      </x:c>
      <x:c r="F94" s="13" t="str">
        <x:v>RFP-B1</x:v>
      </x:c>
      <x:c r="G94" s="13" t="str"/>
      <x:c r="H94" s="13" t="str"/>
      <x:c r="I94" s="13" t="str"/>
      <x:c r="J94" s="13" t="str"/>
      <x:c r="K94" s="13" t="str"/>
      <x:c r="L94" s="13" t="str"/>
      <x:c r="M94" s="13" t="str"/>
      <x:c r="N94" s="13" t="str">
        <x:f>IF(M94=1,IF(AND(COUNT(G94,I94)=2,G94&gt;='Controls'!$D$70,IF(D94="AM-06",AND(COUNT(H94)=1,H94&gt;='Controls'!$D$70),1),I94&lt;='Controls'!$D$71),"PASS","FAIL"),"OPEN")</x:f>
        <x:v>OPEN</x:v>
      </x:c>
    </x:row>
    <x:row r="95">
      <x:c r="B95" s="13" t="str">
        <x:v>RAS-AL-089</x:v>
      </x:c>
      <x:c r="C95" s="13" t="str">
        <x:v>RAS-E089</x:v>
      </x:c>
      <x:c r="D95" s="13" t="str">
        <x:v>AM-06</x:v>
      </x:c>
      <x:c r="E95" s="13" t="str">
        <x:v>TR-A</x:v>
      </x:c>
      <x:c r="F95" s="13" t="str">
        <x:v>RFP-B1</x:v>
      </x:c>
      <x:c r="G95" s="13" t="str"/>
      <x:c r="H95" s="13" t="str"/>
      <x:c r="I95" s="13" t="str"/>
      <x:c r="J95" s="13" t="str"/>
      <x:c r="K95" s="13" t="str"/>
      <x:c r="L95" s="13" t="str"/>
      <x:c r="M95" s="13" t="str"/>
      <x:c r="N95" s="13" t="str">
        <x:f>IF(M95=1,IF(AND(COUNT(G95,I95)=2,G95&gt;='Controls'!$D$70,IF(D95="AM-06",AND(COUNT(H95)=1,H95&gt;='Controls'!$D$70),1),I95&lt;='Controls'!$D$71),"PASS","FAIL"),"OPEN")</x:f>
        <x:v>OPEN</x:v>
      </x:c>
    </x:row>
    <x:row r="96">
      <x:c r="B96" s="13" t="str">
        <x:v>RAS-AL-090</x:v>
      </x:c>
      <x:c r="C96" s="13" t="str">
        <x:v>RAS-E090</x:v>
      </x:c>
      <x:c r="D96" s="13" t="str">
        <x:v>AM-06</x:v>
      </x:c>
      <x:c r="E96" s="13" t="str">
        <x:v>TR-A</x:v>
      </x:c>
      <x:c r="F96" s="13" t="str">
        <x:v>RFP-B1</x:v>
      </x:c>
      <x:c r="G96" s="13" t="str"/>
      <x:c r="H96" s="13" t="str"/>
      <x:c r="I96" s="13" t="str"/>
      <x:c r="J96" s="13" t="str"/>
      <x:c r="K96" s="13" t="str"/>
      <x:c r="L96" s="13" t="str"/>
      <x:c r="M96" s="13" t="str"/>
      <x:c r="N96" s="13" t="str">
        <x:f>IF(M96=1,IF(AND(COUNT(G96,I96)=2,G96&gt;='Controls'!$D$70,IF(D96="AM-06",AND(COUNT(H96)=1,H96&gt;='Controls'!$D$70),1),I96&lt;='Controls'!$D$71),"PASS","FAIL"),"OPEN")</x:f>
        <x:v>OPEN</x:v>
      </x:c>
    </x:row>
    <x:row r="97">
      <x:c r="B97" s="13" t="str">
        <x:v>RAS-AL-091</x:v>
      </x:c>
      <x:c r="C97" s="13" t="str">
        <x:v>RAS-E091</x:v>
      </x:c>
      <x:c r="D97" s="13" t="str">
        <x:v>AM-06</x:v>
      </x:c>
      <x:c r="E97" s="13" t="str">
        <x:v>TR-A</x:v>
      </x:c>
      <x:c r="F97" s="13" t="str">
        <x:v>RFP-B2</x:v>
      </x:c>
      <x:c r="G97" s="13" t="str"/>
      <x:c r="H97" s="13" t="str"/>
      <x:c r="I97" s="13" t="str"/>
      <x:c r="J97" s="13" t="str"/>
      <x:c r="K97" s="13" t="str"/>
      <x:c r="L97" s="13" t="str"/>
      <x:c r="M97" s="13" t="str"/>
      <x:c r="N97" s="13" t="str">
        <x:f>IF(M97=1,IF(AND(COUNT(G97,I97)=2,G97&gt;='Controls'!$D$70,IF(D97="AM-06",AND(COUNT(H97)=1,H97&gt;='Controls'!$D$70),1),I97&lt;='Controls'!$D$71),"PASS","FAIL"),"OPEN")</x:f>
        <x:v>OPEN</x:v>
      </x:c>
    </x:row>
    <x:row r="98">
      <x:c r="B98" s="13" t="str">
        <x:v>RAS-AL-092</x:v>
      </x:c>
      <x:c r="C98" s="13" t="str">
        <x:v>RAS-E092</x:v>
      </x:c>
      <x:c r="D98" s="13" t="str">
        <x:v>AM-06</x:v>
      </x:c>
      <x:c r="E98" s="13" t="str">
        <x:v>TR-A</x:v>
      </x:c>
      <x:c r="F98" s="13" t="str">
        <x:v>RFP-B2</x:v>
      </x:c>
      <x:c r="G98" s="13" t="str"/>
      <x:c r="H98" s="13" t="str"/>
      <x:c r="I98" s="13" t="str"/>
      <x:c r="J98" s="13" t="str"/>
      <x:c r="K98" s="13" t="str"/>
      <x:c r="L98" s="13" t="str"/>
      <x:c r="M98" s="13" t="str"/>
      <x:c r="N98" s="13" t="str">
        <x:f>IF(M98=1,IF(AND(COUNT(G98,I98)=2,G98&gt;='Controls'!$D$70,IF(D98="AM-06",AND(COUNT(H98)=1,H98&gt;='Controls'!$D$70),1),I98&lt;='Controls'!$D$71),"PASS","FAIL"),"OPEN")</x:f>
        <x:v>OPEN</x:v>
      </x:c>
    </x:row>
    <x:row r="99">
      <x:c r="B99" s="13" t="str">
        <x:v>RAS-AL-093</x:v>
      </x:c>
      <x:c r="C99" s="13" t="str">
        <x:v>RAS-E093</x:v>
      </x:c>
      <x:c r="D99" s="13" t="str">
        <x:v>AM-06</x:v>
      </x:c>
      <x:c r="E99" s="13" t="str">
        <x:v>TR-A</x:v>
      </x:c>
      <x:c r="F99" s="13" t="str">
        <x:v>RFP-B2</x:v>
      </x:c>
      <x:c r="G99" s="13" t="str"/>
      <x:c r="H99" s="13" t="str"/>
      <x:c r="I99" s="13" t="str"/>
      <x:c r="J99" s="13" t="str"/>
      <x:c r="K99" s="13" t="str"/>
      <x:c r="L99" s="13" t="str"/>
      <x:c r="M99" s="13" t="str"/>
      <x:c r="N99" s="13" t="str">
        <x:f>IF(M99=1,IF(AND(COUNT(G99,I99)=2,G99&gt;='Controls'!$D$70,IF(D99="AM-06",AND(COUNT(H99)=1,H99&gt;='Controls'!$D$70),1),I99&lt;='Controls'!$D$71),"PASS","FAIL"),"OPEN")</x:f>
        <x:v>OPEN</x:v>
      </x:c>
    </x:row>
    <x:row r="100">
      <x:c r="B100" s="13" t="str">
        <x:v>RAS-AL-094</x:v>
      </x:c>
      <x:c r="C100" s="13" t="str">
        <x:v>RAS-E094</x:v>
      </x:c>
      <x:c r="D100" s="13" t="str">
        <x:v>AM-06</x:v>
      </x:c>
      <x:c r="E100" s="13" t="str">
        <x:v>TR-A</x:v>
      </x:c>
      <x:c r="F100" s="13" t="str">
        <x:v>RFP-B2</x:v>
      </x:c>
      <x:c r="G100" s="13" t="str"/>
      <x:c r="H100" s="13" t="str"/>
      <x:c r="I100" s="13" t="str"/>
      <x:c r="J100" s="13" t="str"/>
      <x:c r="K100" s="13" t="str"/>
      <x:c r="L100" s="13" t="str"/>
      <x:c r="M100" s="13" t="str"/>
      <x:c r="N100" s="13" t="str">
        <x:f>IF(M100=1,IF(AND(COUNT(G100,I100)=2,G100&gt;='Controls'!$D$70,IF(D100="AM-06",AND(COUNT(H100)=1,H100&gt;='Controls'!$D$70),1),I100&lt;='Controls'!$D$71),"PASS","FAIL"),"OPEN")</x:f>
        <x:v>OPEN</x:v>
      </x:c>
    </x:row>
    <x:row r="101">
      <x:c r="B101" s="13" t="str">
        <x:v>RAS-AL-095</x:v>
      </x:c>
      <x:c r="C101" s="13" t="str">
        <x:v>RAS-E095</x:v>
      </x:c>
      <x:c r="D101" s="13" t="str">
        <x:v>AM-06</x:v>
      </x:c>
      <x:c r="E101" s="13" t="str">
        <x:v>TR-A</x:v>
      </x:c>
      <x:c r="F101" s="13" t="str">
        <x:v>RFP-B2</x:v>
      </x:c>
      <x:c r="G101" s="13" t="str"/>
      <x:c r="H101" s="13" t="str"/>
      <x:c r="I101" s="13" t="str"/>
      <x:c r="J101" s="13" t="str"/>
      <x:c r="K101" s="13" t="str"/>
      <x:c r="L101" s="13" t="str"/>
      <x:c r="M101" s="13" t="str"/>
      <x:c r="N101" s="13" t="str">
        <x:f>IF(M101=1,IF(AND(COUNT(G101,I101)=2,G101&gt;='Controls'!$D$70,IF(D101="AM-06",AND(COUNT(H101)=1,H101&gt;='Controls'!$D$70),1),I101&lt;='Controls'!$D$71),"PASS","FAIL"),"OPEN")</x:f>
        <x:v>OPEN</x:v>
      </x:c>
    </x:row>
    <x:row r="102">
      <x:c r="B102" s="13" t="str">
        <x:v>RAS-AL-096</x:v>
      </x:c>
      <x:c r="C102" s="13" t="str">
        <x:v>RAS-E096</x:v>
      </x:c>
      <x:c r="D102" s="13" t="str">
        <x:v>AM-06</x:v>
      </x:c>
      <x:c r="E102" s="13" t="str">
        <x:v>TR-A</x:v>
      </x:c>
      <x:c r="F102" s="13" t="str">
        <x:v>RFP-B2</x:v>
      </x:c>
      <x:c r="G102" s="13" t="str"/>
      <x:c r="H102" s="13" t="str"/>
      <x:c r="I102" s="13" t="str"/>
      <x:c r="J102" s="13" t="str"/>
      <x:c r="K102" s="13" t="str"/>
      <x:c r="L102" s="13" t="str"/>
      <x:c r="M102" s="13" t="str"/>
      <x:c r="N102" s="13" t="str">
        <x:f>IF(M102=1,IF(AND(COUNT(G102,I102)=2,G102&gt;='Controls'!$D$70,IF(D102="AM-06",AND(COUNT(H102)=1,H102&gt;='Controls'!$D$70),1),I102&lt;='Controls'!$D$71),"PASS","FAIL"),"OPEN")</x:f>
        <x:v>OPEN</x:v>
      </x:c>
    </x:row>
    <x:row r="103">
      <x:c r="B103" s="13" t="str">
        <x:v>RAS-AL-097</x:v>
      </x:c>
      <x:c r="C103" s="13" t="str">
        <x:v>RAS-E097</x:v>
      </x:c>
      <x:c r="D103" s="13" t="str">
        <x:v>AM-06</x:v>
      </x:c>
      <x:c r="E103" s="13" t="str">
        <x:v>TR-A</x:v>
      </x:c>
      <x:c r="F103" s="13" t="str">
        <x:v>RFP-C1</x:v>
      </x:c>
      <x:c r="G103" s="13" t="str"/>
      <x:c r="H103" s="13" t="str"/>
      <x:c r="I103" s="13" t="str"/>
      <x:c r="J103" s="13" t="str"/>
      <x:c r="K103" s="13" t="str"/>
      <x:c r="L103" s="13" t="str"/>
      <x:c r="M103" s="13" t="str"/>
      <x:c r="N103" s="13" t="str">
        <x:f>IF(M103=1,IF(AND(COUNT(G103,I103)=2,G103&gt;='Controls'!$D$70,IF(D103="AM-06",AND(COUNT(H103)=1,H103&gt;='Controls'!$D$70),1),I103&lt;='Controls'!$D$71),"PASS","FAIL"),"OPEN")</x:f>
        <x:v>OPEN</x:v>
      </x:c>
    </x:row>
    <x:row r="104">
      <x:c r="B104" s="13" t="str">
        <x:v>RAS-AL-098</x:v>
      </x:c>
      <x:c r="C104" s="13" t="str">
        <x:v>RAS-E098</x:v>
      </x:c>
      <x:c r="D104" s="13" t="str">
        <x:v>AM-06</x:v>
      </x:c>
      <x:c r="E104" s="13" t="str">
        <x:v>TR-A</x:v>
      </x:c>
      <x:c r="F104" s="13" t="str">
        <x:v>RFP-C1</x:v>
      </x:c>
      <x:c r="G104" s="13" t="str"/>
      <x:c r="H104" s="13" t="str"/>
      <x:c r="I104" s="13" t="str"/>
      <x:c r="J104" s="13" t="str"/>
      <x:c r="K104" s="13" t="str"/>
      <x:c r="L104" s="13" t="str"/>
      <x:c r="M104" s="13" t="str"/>
      <x:c r="N104" s="13" t="str">
        <x:f>IF(M104=1,IF(AND(COUNT(G104,I104)=2,G104&gt;='Controls'!$D$70,IF(D104="AM-06",AND(COUNT(H104)=1,H104&gt;='Controls'!$D$70),1),I104&lt;='Controls'!$D$71),"PASS","FAIL"),"OPEN")</x:f>
        <x:v>OPEN</x:v>
      </x:c>
    </x:row>
    <x:row r="105">
      <x:c r="B105" s="13" t="str">
        <x:v>RAS-AL-099</x:v>
      </x:c>
      <x:c r="C105" s="13" t="str">
        <x:v>RAS-E099</x:v>
      </x:c>
      <x:c r="D105" s="13" t="str">
        <x:v>AM-06</x:v>
      </x:c>
      <x:c r="E105" s="13" t="str">
        <x:v>TR-A</x:v>
      </x:c>
      <x:c r="F105" s="13" t="str">
        <x:v>RFP-C1</x:v>
      </x:c>
      <x:c r="G105" s="13" t="str"/>
      <x:c r="H105" s="13" t="str"/>
      <x:c r="I105" s="13" t="str"/>
      <x:c r="J105" s="13" t="str"/>
      <x:c r="K105" s="13" t="str"/>
      <x:c r="L105" s="13" t="str"/>
      <x:c r="M105" s="13" t="str"/>
      <x:c r="N105" s="13" t="str">
        <x:f>IF(M105=1,IF(AND(COUNT(G105,I105)=2,G105&gt;='Controls'!$D$70,IF(D105="AM-06",AND(COUNT(H105)=1,H105&gt;='Controls'!$D$70),1),I105&lt;='Controls'!$D$71),"PASS","FAIL"),"OPEN")</x:f>
        <x:v>OPEN</x:v>
      </x:c>
    </x:row>
    <x:row r="106">
      <x:c r="B106" s="13" t="str">
        <x:v>RAS-AL-100</x:v>
      </x:c>
      <x:c r="C106" s="13" t="str">
        <x:v>RAS-E100</x:v>
      </x:c>
      <x:c r="D106" s="13" t="str">
        <x:v>AM-06</x:v>
      </x:c>
      <x:c r="E106" s="13" t="str">
        <x:v>TR-A</x:v>
      </x:c>
      <x:c r="F106" s="13" t="str">
        <x:v>RFP-C1</x:v>
      </x:c>
      <x:c r="G106" s="13" t="str"/>
      <x:c r="H106" s="13" t="str"/>
      <x:c r="I106" s="13" t="str"/>
      <x:c r="J106" s="13" t="str"/>
      <x:c r="K106" s="13" t="str"/>
      <x:c r="L106" s="13" t="str"/>
      <x:c r="M106" s="13" t="str"/>
      <x:c r="N106" s="13" t="str">
        <x:f>IF(M106=1,IF(AND(COUNT(G106,I106)=2,G106&gt;='Controls'!$D$70,IF(D106="AM-06",AND(COUNT(H106)=1,H106&gt;='Controls'!$D$70),1),I106&lt;='Controls'!$D$71),"PASS","FAIL"),"OPEN")</x:f>
        <x:v>OPEN</x:v>
      </x:c>
    </x:row>
    <x:row r="107">
      <x:c r="B107" s="13" t="str">
        <x:v>RAS-AL-101</x:v>
      </x:c>
      <x:c r="C107" s="13" t="str">
        <x:v>RAS-E101</x:v>
      </x:c>
      <x:c r="D107" s="13" t="str">
        <x:v>AM-06</x:v>
      </x:c>
      <x:c r="E107" s="13" t="str">
        <x:v>TR-A</x:v>
      </x:c>
      <x:c r="F107" s="13" t="str">
        <x:v>RFP-C1</x:v>
      </x:c>
      <x:c r="G107" s="13" t="str"/>
      <x:c r="H107" s="13" t="str"/>
      <x:c r="I107" s="13" t="str"/>
      <x:c r="J107" s="13" t="str"/>
      <x:c r="K107" s="13" t="str"/>
      <x:c r="L107" s="13" t="str"/>
      <x:c r="M107" s="13" t="str"/>
      <x:c r="N107" s="13" t="str">
        <x:f>IF(M107=1,IF(AND(COUNT(G107,I107)=2,G107&gt;='Controls'!$D$70,IF(D107="AM-06",AND(COUNT(H107)=1,H107&gt;='Controls'!$D$70),1),I107&lt;='Controls'!$D$71),"PASS","FAIL"),"OPEN")</x:f>
        <x:v>OPEN</x:v>
      </x:c>
    </x:row>
    <x:row r="108">
      <x:c r="B108" s="13" t="str">
        <x:v>RAS-AL-102</x:v>
      </x:c>
      <x:c r="C108" s="13" t="str">
        <x:v>RAS-E102</x:v>
      </x:c>
      <x:c r="D108" s="13" t="str">
        <x:v>AM-06</x:v>
      </x:c>
      <x:c r="E108" s="13" t="str">
        <x:v>TR-A</x:v>
      </x:c>
      <x:c r="F108" s="13" t="str">
        <x:v>RFP-C1</x:v>
      </x:c>
      <x:c r="G108" s="13" t="str"/>
      <x:c r="H108" s="13" t="str"/>
      <x:c r="I108" s="13" t="str"/>
      <x:c r="J108" s="13" t="str"/>
      <x:c r="K108" s="13" t="str"/>
      <x:c r="L108" s="13" t="str"/>
      <x:c r="M108" s="13" t="str"/>
      <x:c r="N108" s="13" t="str">
        <x:f>IF(M108=1,IF(AND(COUNT(G108,I108)=2,G108&gt;='Controls'!$D$70,IF(D108="AM-06",AND(COUNT(H108)=1,H108&gt;='Controls'!$D$70),1),I108&lt;='Controls'!$D$71),"PASS","FAIL"),"OPEN")</x:f>
        <x:v>OPEN</x:v>
      </x:c>
    </x:row>
    <x:row r="109">
      <x:c r="B109" s="13" t="str">
        <x:v>RAS-AL-103</x:v>
      </x:c>
      <x:c r="C109" s="13" t="str">
        <x:v>RAS-E103</x:v>
      </x:c>
      <x:c r="D109" s="13" t="str">
        <x:v>AM-06</x:v>
      </x:c>
      <x:c r="E109" s="13" t="str">
        <x:v>TR-A</x:v>
      </x:c>
      <x:c r="F109" s="13" t="str">
        <x:v>RFP-C2</x:v>
      </x:c>
      <x:c r="G109" s="13" t="str"/>
      <x:c r="H109" s="13" t="str"/>
      <x:c r="I109" s="13" t="str"/>
      <x:c r="J109" s="13" t="str"/>
      <x:c r="K109" s="13" t="str"/>
      <x:c r="L109" s="13" t="str"/>
      <x:c r="M109" s="13" t="str"/>
      <x:c r="N109" s="13" t="str">
        <x:f>IF(M109=1,IF(AND(COUNT(G109,I109)=2,G109&gt;='Controls'!$D$70,IF(D109="AM-06",AND(COUNT(H109)=1,H109&gt;='Controls'!$D$70),1),I109&lt;='Controls'!$D$71),"PASS","FAIL"),"OPEN")</x:f>
        <x:v>OPEN</x:v>
      </x:c>
    </x:row>
    <x:row r="110">
      <x:c r="B110" s="13" t="str">
        <x:v>RAS-AL-104</x:v>
      </x:c>
      <x:c r="C110" s="13" t="str">
        <x:v>RAS-E104</x:v>
      </x:c>
      <x:c r="D110" s="13" t="str">
        <x:v>AM-06</x:v>
      </x:c>
      <x:c r="E110" s="13" t="str">
        <x:v>TR-A</x:v>
      </x:c>
      <x:c r="F110" s="13" t="str">
        <x:v>RFP-C2</x:v>
      </x:c>
      <x:c r="G110" s="13" t="str"/>
      <x:c r="H110" s="13" t="str"/>
      <x:c r="I110" s="13" t="str"/>
      <x:c r="J110" s="13" t="str"/>
      <x:c r="K110" s="13" t="str"/>
      <x:c r="L110" s="13" t="str"/>
      <x:c r="M110" s="13" t="str"/>
      <x:c r="N110" s="13" t="str">
        <x:f>IF(M110=1,IF(AND(COUNT(G110,I110)=2,G110&gt;='Controls'!$D$70,IF(D110="AM-06",AND(COUNT(H110)=1,H110&gt;='Controls'!$D$70),1),I110&lt;='Controls'!$D$71),"PASS","FAIL"),"OPEN")</x:f>
        <x:v>OPEN</x:v>
      </x:c>
    </x:row>
    <x:row r="111">
      <x:c r="B111" s="13" t="str">
        <x:v>RAS-AL-105</x:v>
      </x:c>
      <x:c r="C111" s="13" t="str">
        <x:v>RAS-E105</x:v>
      </x:c>
      <x:c r="D111" s="13" t="str">
        <x:v>AM-06</x:v>
      </x:c>
      <x:c r="E111" s="13" t="str">
        <x:v>TR-A</x:v>
      </x:c>
      <x:c r="F111" s="13" t="str">
        <x:v>RFP-C2</x:v>
      </x:c>
      <x:c r="G111" s="13" t="str"/>
      <x:c r="H111" s="13" t="str"/>
      <x:c r="I111" s="13" t="str"/>
      <x:c r="J111" s="13" t="str"/>
      <x:c r="K111" s="13" t="str"/>
      <x:c r="L111" s="13" t="str"/>
      <x:c r="M111" s="13" t="str"/>
      <x:c r="N111" s="13" t="str">
        <x:f>IF(M111=1,IF(AND(COUNT(G111,I111)=2,G111&gt;='Controls'!$D$70,IF(D111="AM-06",AND(COUNT(H111)=1,H111&gt;='Controls'!$D$70),1),I111&lt;='Controls'!$D$71),"PASS","FAIL"),"OPEN")</x:f>
        <x:v>OPEN</x:v>
      </x:c>
    </x:row>
    <x:row r="112">
      <x:c r="B112" s="13" t="str">
        <x:v>RAS-AL-106</x:v>
      </x:c>
      <x:c r="C112" s="13" t="str">
        <x:v>RAS-E106</x:v>
      </x:c>
      <x:c r="D112" s="13" t="str">
        <x:v>AM-06</x:v>
      </x:c>
      <x:c r="E112" s="13" t="str">
        <x:v>TR-A</x:v>
      </x:c>
      <x:c r="F112" s="13" t="str">
        <x:v>RFP-C2</x:v>
      </x:c>
      <x:c r="G112" s="13" t="str"/>
      <x:c r="H112" s="13" t="str"/>
      <x:c r="I112" s="13" t="str"/>
      <x:c r="J112" s="13" t="str"/>
      <x:c r="K112" s="13" t="str"/>
      <x:c r="L112" s="13" t="str"/>
      <x:c r="M112" s="13" t="str"/>
      <x:c r="N112" s="13" t="str">
        <x:f>IF(M112=1,IF(AND(COUNT(G112,I112)=2,G112&gt;='Controls'!$D$70,IF(D112="AM-06",AND(COUNT(H112)=1,H112&gt;='Controls'!$D$70),1),I112&lt;='Controls'!$D$71),"PASS","FAIL"),"OPEN")</x:f>
        <x:v>OPEN</x:v>
      </x:c>
    </x:row>
    <x:row r="113">
      <x:c r="B113" s="13" t="str">
        <x:v>RAS-AL-107</x:v>
      </x:c>
      <x:c r="C113" s="13" t="str">
        <x:v>RAS-E107</x:v>
      </x:c>
      <x:c r="D113" s="13" t="str">
        <x:v>AM-06</x:v>
      </x:c>
      <x:c r="E113" s="13" t="str">
        <x:v>TR-A</x:v>
      </x:c>
      <x:c r="F113" s="13" t="str">
        <x:v>RFP-C2</x:v>
      </x:c>
      <x:c r="G113" s="13" t="str"/>
      <x:c r="H113" s="13" t="str"/>
      <x:c r="I113" s="13" t="str"/>
      <x:c r="J113" s="13" t="str"/>
      <x:c r="K113" s="13" t="str"/>
      <x:c r="L113" s="13" t="str"/>
      <x:c r="M113" s="13" t="str"/>
      <x:c r="N113" s="13" t="str">
        <x:f>IF(M113=1,IF(AND(COUNT(G113,I113)=2,G113&gt;='Controls'!$D$70,IF(D113="AM-06",AND(COUNT(H113)=1,H113&gt;='Controls'!$D$70),1),I113&lt;='Controls'!$D$71),"PASS","FAIL"),"OPEN")</x:f>
        <x:v>OPEN</x:v>
      </x:c>
    </x:row>
    <x:row r="114">
      <x:c r="B114" s="13" t="str">
        <x:v>RAS-AL-108</x:v>
      </x:c>
      <x:c r="C114" s="13" t="str">
        <x:v>RAS-E108</x:v>
      </x:c>
      <x:c r="D114" s="13" t="str">
        <x:v>AM-06</x:v>
      </x:c>
      <x:c r="E114" s="13" t="str">
        <x:v>TR-A</x:v>
      </x:c>
      <x:c r="F114" s="13" t="str">
        <x:v>RFP-C2</x:v>
      </x:c>
      <x:c r="G114" s="13" t="str"/>
      <x:c r="H114" s="13" t="str"/>
      <x:c r="I114" s="13" t="str"/>
      <x:c r="J114" s="13" t="str"/>
      <x:c r="K114" s="13" t="str"/>
      <x:c r="L114" s="13" t="str"/>
      <x:c r="M114" s="13" t="str"/>
      <x:c r="N114" s="13" t="str">
        <x:f>IF(M114=1,IF(AND(COUNT(G114,I114)=2,G114&gt;='Controls'!$D$70,IF(D114="AM-06",AND(COUNT(H114)=1,H114&gt;='Controls'!$D$70),1),I114&lt;='Controls'!$D$71),"PASS","FAIL"),"OPEN")</x:f>
        <x:v>OPEN</x:v>
      </x:c>
    </x:row>
    <x:row r="115">
      <x:c r="B115" s="13" t="str">
        <x:v>RAS-AL-109</x:v>
      </x:c>
      <x:c r="C115" s="13" t="str">
        <x:v>RAS-E109</x:v>
      </x:c>
      <x:c r="D115" s="13" t="str">
        <x:v>AM-06</x:v>
      </x:c>
      <x:c r="E115" s="13" t="str">
        <x:v>TR-B</x:v>
      </x:c>
      <x:c r="F115" s="13" t="str">
        <x:v>RFP-A1</x:v>
      </x:c>
      <x:c r="G115" s="13" t="str"/>
      <x:c r="H115" s="13" t="str"/>
      <x:c r="I115" s="13" t="str"/>
      <x:c r="J115" s="13" t="str"/>
      <x:c r="K115" s="13" t="str"/>
      <x:c r="L115" s="13" t="str"/>
      <x:c r="M115" s="13" t="str"/>
      <x:c r="N115" s="13" t="str">
        <x:f>IF(M115=1,IF(AND(COUNT(G115,I115)=2,G115&gt;='Controls'!$D$70,IF(D115="AM-06",AND(COUNT(H115)=1,H115&gt;='Controls'!$D$70),1),I115&lt;='Controls'!$D$71),"PASS","FAIL"),"OPEN")</x:f>
        <x:v>OPEN</x:v>
      </x:c>
    </x:row>
    <x:row r="116">
      <x:c r="B116" s="13" t="str">
        <x:v>RAS-AL-110</x:v>
      </x:c>
      <x:c r="C116" s="13" t="str">
        <x:v>RAS-E110</x:v>
      </x:c>
      <x:c r="D116" s="13" t="str">
        <x:v>AM-06</x:v>
      </x:c>
      <x:c r="E116" s="13" t="str">
        <x:v>TR-B</x:v>
      </x:c>
      <x:c r="F116" s="13" t="str">
        <x:v>RFP-A1</x:v>
      </x:c>
      <x:c r="G116" s="13" t="str"/>
      <x:c r="H116" s="13" t="str"/>
      <x:c r="I116" s="13" t="str"/>
      <x:c r="J116" s="13" t="str"/>
      <x:c r="K116" s="13" t="str"/>
      <x:c r="L116" s="13" t="str"/>
      <x:c r="M116" s="13" t="str"/>
      <x:c r="N116" s="13" t="str">
        <x:f>IF(M116=1,IF(AND(COUNT(G116,I116)=2,G116&gt;='Controls'!$D$70,IF(D116="AM-06",AND(COUNT(H116)=1,H116&gt;='Controls'!$D$70),1),I116&lt;='Controls'!$D$71),"PASS","FAIL"),"OPEN")</x:f>
        <x:v>OPEN</x:v>
      </x:c>
    </x:row>
    <x:row r="117">
      <x:c r="B117" s="13" t="str">
        <x:v>RAS-AL-111</x:v>
      </x:c>
      <x:c r="C117" s="13" t="str">
        <x:v>RAS-E111</x:v>
      </x:c>
      <x:c r="D117" s="13" t="str">
        <x:v>AM-06</x:v>
      </x:c>
      <x:c r="E117" s="13" t="str">
        <x:v>TR-B</x:v>
      </x:c>
      <x:c r="F117" s="13" t="str">
        <x:v>RFP-A1</x:v>
      </x:c>
      <x:c r="G117" s="13" t="str"/>
      <x:c r="H117" s="13" t="str"/>
      <x:c r="I117" s="13" t="str"/>
      <x:c r="J117" s="13" t="str"/>
      <x:c r="K117" s="13" t="str"/>
      <x:c r="L117" s="13" t="str"/>
      <x:c r="M117" s="13" t="str"/>
      <x:c r="N117" s="13" t="str">
        <x:f>IF(M117=1,IF(AND(COUNT(G117,I117)=2,G117&gt;='Controls'!$D$70,IF(D117="AM-06",AND(COUNT(H117)=1,H117&gt;='Controls'!$D$70),1),I117&lt;='Controls'!$D$71),"PASS","FAIL"),"OPEN")</x:f>
        <x:v>OPEN</x:v>
      </x:c>
    </x:row>
    <x:row r="118">
      <x:c r="B118" s="13" t="str">
        <x:v>RAS-AL-112</x:v>
      </x:c>
      <x:c r="C118" s="13" t="str">
        <x:v>RAS-E112</x:v>
      </x:c>
      <x:c r="D118" s="13" t="str">
        <x:v>AM-06</x:v>
      </x:c>
      <x:c r="E118" s="13" t="str">
        <x:v>TR-B</x:v>
      </x:c>
      <x:c r="F118" s="13" t="str">
        <x:v>RFP-A1</x:v>
      </x:c>
      <x:c r="G118" s="13" t="str"/>
      <x:c r="H118" s="13" t="str"/>
      <x:c r="I118" s="13" t="str"/>
      <x:c r="J118" s="13" t="str"/>
      <x:c r="K118" s="13" t="str"/>
      <x:c r="L118" s="13" t="str"/>
      <x:c r="M118" s="13" t="str"/>
      <x:c r="N118" s="13" t="str">
        <x:f>IF(M118=1,IF(AND(COUNT(G118,I118)=2,G118&gt;='Controls'!$D$70,IF(D118="AM-06",AND(COUNT(H118)=1,H118&gt;='Controls'!$D$70),1),I118&lt;='Controls'!$D$71),"PASS","FAIL"),"OPEN")</x:f>
        <x:v>OPEN</x:v>
      </x:c>
    </x:row>
    <x:row r="119">
      <x:c r="B119" s="13" t="str">
        <x:v>RAS-AL-113</x:v>
      </x:c>
      <x:c r="C119" s="13" t="str">
        <x:v>RAS-E113</x:v>
      </x:c>
      <x:c r="D119" s="13" t="str">
        <x:v>AM-06</x:v>
      </x:c>
      <x:c r="E119" s="13" t="str">
        <x:v>TR-B</x:v>
      </x:c>
      <x:c r="F119" s="13" t="str">
        <x:v>RFP-A1</x:v>
      </x:c>
      <x:c r="G119" s="13" t="str"/>
      <x:c r="H119" s="13" t="str"/>
      <x:c r="I119" s="13" t="str"/>
      <x:c r="J119" s="13" t="str"/>
      <x:c r="K119" s="13" t="str"/>
      <x:c r="L119" s="13" t="str"/>
      <x:c r="M119" s="13" t="str"/>
      <x:c r="N119" s="13" t="str">
        <x:f>IF(M119=1,IF(AND(COUNT(G119,I119)=2,G119&gt;='Controls'!$D$70,IF(D119="AM-06",AND(COUNT(H119)=1,H119&gt;='Controls'!$D$70),1),I119&lt;='Controls'!$D$71),"PASS","FAIL"),"OPEN")</x:f>
        <x:v>OPEN</x:v>
      </x:c>
    </x:row>
    <x:row r="120">
      <x:c r="B120" s="13" t="str">
        <x:v>RAS-AL-114</x:v>
      </x:c>
      <x:c r="C120" s="13" t="str">
        <x:v>RAS-E114</x:v>
      </x:c>
      <x:c r="D120" s="13" t="str">
        <x:v>AM-06</x:v>
      </x:c>
      <x:c r="E120" s="13" t="str">
        <x:v>TR-B</x:v>
      </x:c>
      <x:c r="F120" s="13" t="str">
        <x:v>RFP-A1</x:v>
      </x:c>
      <x:c r="G120" s="13" t="str"/>
      <x:c r="H120" s="13" t="str"/>
      <x:c r="I120" s="13" t="str"/>
      <x:c r="J120" s="13" t="str"/>
      <x:c r="K120" s="13" t="str"/>
      <x:c r="L120" s="13" t="str"/>
      <x:c r="M120" s="13" t="str"/>
      <x:c r="N120" s="13" t="str">
        <x:f>IF(M120=1,IF(AND(COUNT(G120,I120)=2,G120&gt;='Controls'!$D$70,IF(D120="AM-06",AND(COUNT(H120)=1,H120&gt;='Controls'!$D$70),1),I120&lt;='Controls'!$D$71),"PASS","FAIL"),"OPEN")</x:f>
        <x:v>OPEN</x:v>
      </x:c>
    </x:row>
    <x:row r="121">
      <x:c r="B121" s="13" t="str">
        <x:v>RAS-AL-115</x:v>
      </x:c>
      <x:c r="C121" s="13" t="str">
        <x:v>RAS-E115</x:v>
      </x:c>
      <x:c r="D121" s="13" t="str">
        <x:v>AM-06</x:v>
      </x:c>
      <x:c r="E121" s="13" t="str">
        <x:v>TR-B</x:v>
      </x:c>
      <x:c r="F121" s="13" t="str">
        <x:v>RFP-A2</x:v>
      </x:c>
      <x:c r="G121" s="13" t="str"/>
      <x:c r="H121" s="13" t="str"/>
      <x:c r="I121" s="13" t="str"/>
      <x:c r="J121" s="13" t="str"/>
      <x:c r="K121" s="13" t="str"/>
      <x:c r="L121" s="13" t="str"/>
      <x:c r="M121" s="13" t="str"/>
      <x:c r="N121" s="13" t="str">
        <x:f>IF(M121=1,IF(AND(COUNT(G121,I121)=2,G121&gt;='Controls'!$D$70,IF(D121="AM-06",AND(COUNT(H121)=1,H121&gt;='Controls'!$D$70),1),I121&lt;='Controls'!$D$71),"PASS","FAIL"),"OPEN")</x:f>
        <x:v>OPEN</x:v>
      </x:c>
    </x:row>
    <x:row r="122">
      <x:c r="B122" s="13" t="str">
        <x:v>RAS-AL-116</x:v>
      </x:c>
      <x:c r="C122" s="13" t="str">
        <x:v>RAS-E116</x:v>
      </x:c>
      <x:c r="D122" s="13" t="str">
        <x:v>AM-06</x:v>
      </x:c>
      <x:c r="E122" s="13" t="str">
        <x:v>TR-B</x:v>
      </x:c>
      <x:c r="F122" s="13" t="str">
        <x:v>RFP-A2</x:v>
      </x:c>
      <x:c r="G122" s="13" t="str"/>
      <x:c r="H122" s="13" t="str"/>
      <x:c r="I122" s="13" t="str"/>
      <x:c r="J122" s="13" t="str"/>
      <x:c r="K122" s="13" t="str"/>
      <x:c r="L122" s="13" t="str"/>
      <x:c r="M122" s="13" t="str"/>
      <x:c r="N122" s="13" t="str">
        <x:f>IF(M122=1,IF(AND(COUNT(G122,I122)=2,G122&gt;='Controls'!$D$70,IF(D122="AM-06",AND(COUNT(H122)=1,H122&gt;='Controls'!$D$70),1),I122&lt;='Controls'!$D$71),"PASS","FAIL"),"OPEN")</x:f>
        <x:v>OPEN</x:v>
      </x:c>
    </x:row>
    <x:row r="123">
      <x:c r="B123" s="13" t="str">
        <x:v>RAS-AL-117</x:v>
      </x:c>
      <x:c r="C123" s="13" t="str">
        <x:v>RAS-E117</x:v>
      </x:c>
      <x:c r="D123" s="13" t="str">
        <x:v>AM-06</x:v>
      </x:c>
      <x:c r="E123" s="13" t="str">
        <x:v>TR-B</x:v>
      </x:c>
      <x:c r="F123" s="13" t="str">
        <x:v>RFP-A2</x:v>
      </x:c>
      <x:c r="G123" s="13" t="str"/>
      <x:c r="H123" s="13" t="str"/>
      <x:c r="I123" s="13" t="str"/>
      <x:c r="J123" s="13" t="str"/>
      <x:c r="K123" s="13" t="str"/>
      <x:c r="L123" s="13" t="str"/>
      <x:c r="M123" s="13" t="str"/>
      <x:c r="N123" s="13" t="str">
        <x:f>IF(M123=1,IF(AND(COUNT(G123,I123)=2,G123&gt;='Controls'!$D$70,IF(D123="AM-06",AND(COUNT(H123)=1,H123&gt;='Controls'!$D$70),1),I123&lt;='Controls'!$D$71),"PASS","FAIL"),"OPEN")</x:f>
        <x:v>OPEN</x:v>
      </x:c>
    </x:row>
    <x:row r="124">
      <x:c r="B124" s="13" t="str">
        <x:v>RAS-AL-118</x:v>
      </x:c>
      <x:c r="C124" s="13" t="str">
        <x:v>RAS-E118</x:v>
      </x:c>
      <x:c r="D124" s="13" t="str">
        <x:v>AM-06</x:v>
      </x:c>
      <x:c r="E124" s="13" t="str">
        <x:v>TR-B</x:v>
      </x:c>
      <x:c r="F124" s="13" t="str">
        <x:v>RFP-A2</x:v>
      </x:c>
      <x:c r="G124" s="13" t="str"/>
      <x:c r="H124" s="13" t="str"/>
      <x:c r="I124" s="13" t="str"/>
      <x:c r="J124" s="13" t="str"/>
      <x:c r="K124" s="13" t="str"/>
      <x:c r="L124" s="13" t="str"/>
      <x:c r="M124" s="13" t="str"/>
      <x:c r="N124" s="13" t="str">
        <x:f>IF(M124=1,IF(AND(COUNT(G124,I124)=2,G124&gt;='Controls'!$D$70,IF(D124="AM-06",AND(COUNT(H124)=1,H124&gt;='Controls'!$D$70),1),I124&lt;='Controls'!$D$71),"PASS","FAIL"),"OPEN")</x:f>
        <x:v>OPEN</x:v>
      </x:c>
    </x:row>
    <x:row r="125">
      <x:c r="B125" s="13" t="str">
        <x:v>RAS-AL-119</x:v>
      </x:c>
      <x:c r="C125" s="13" t="str">
        <x:v>RAS-E119</x:v>
      </x:c>
      <x:c r="D125" s="13" t="str">
        <x:v>AM-06</x:v>
      </x:c>
      <x:c r="E125" s="13" t="str">
        <x:v>TR-B</x:v>
      </x:c>
      <x:c r="F125" s="13" t="str">
        <x:v>RFP-A2</x:v>
      </x:c>
      <x:c r="G125" s="13" t="str"/>
      <x:c r="H125" s="13" t="str"/>
      <x:c r="I125" s="13" t="str"/>
      <x:c r="J125" s="13" t="str"/>
      <x:c r="K125" s="13" t="str"/>
      <x:c r="L125" s="13" t="str"/>
      <x:c r="M125" s="13" t="str"/>
      <x:c r="N125" s="13" t="str">
        <x:f>IF(M125=1,IF(AND(COUNT(G125,I125)=2,G125&gt;='Controls'!$D$70,IF(D125="AM-06",AND(COUNT(H125)=1,H125&gt;='Controls'!$D$70),1),I125&lt;='Controls'!$D$71),"PASS","FAIL"),"OPEN")</x:f>
        <x:v>OPEN</x:v>
      </x:c>
    </x:row>
    <x:row r="126">
      <x:c r="B126" s="13" t="str">
        <x:v>RAS-AL-120</x:v>
      </x:c>
      <x:c r="C126" s="13" t="str">
        <x:v>RAS-E120</x:v>
      </x:c>
      <x:c r="D126" s="13" t="str">
        <x:v>AM-06</x:v>
      </x:c>
      <x:c r="E126" s="13" t="str">
        <x:v>TR-B</x:v>
      </x:c>
      <x:c r="F126" s="13" t="str">
        <x:v>RFP-A2</x:v>
      </x:c>
      <x:c r="G126" s="13" t="str"/>
      <x:c r="H126" s="13" t="str"/>
      <x:c r="I126" s="13" t="str"/>
      <x:c r="J126" s="13" t="str"/>
      <x:c r="K126" s="13" t="str"/>
      <x:c r="L126" s="13" t="str"/>
      <x:c r="M126" s="13" t="str"/>
      <x:c r="N126" s="13" t="str">
        <x:f>IF(M126=1,IF(AND(COUNT(G126,I126)=2,G126&gt;='Controls'!$D$70,IF(D126="AM-06",AND(COUNT(H126)=1,H126&gt;='Controls'!$D$70),1),I126&lt;='Controls'!$D$71),"PASS","FAIL"),"OPEN")</x:f>
        <x:v>OPEN</x:v>
      </x:c>
    </x:row>
    <x:row r="127">
      <x:c r="B127" s="13" t="str">
        <x:v>RAS-AL-121</x:v>
      </x:c>
      <x:c r="C127" s="13" t="str">
        <x:v>RAS-E121</x:v>
      </x:c>
      <x:c r="D127" s="13" t="str">
        <x:v>AM-06</x:v>
      </x:c>
      <x:c r="E127" s="13" t="str">
        <x:v>TR-B</x:v>
      </x:c>
      <x:c r="F127" s="13" t="str">
        <x:v>RFP-B1</x:v>
      </x:c>
      <x:c r="G127" s="13" t="str"/>
      <x:c r="H127" s="13" t="str"/>
      <x:c r="I127" s="13" t="str"/>
      <x:c r="J127" s="13" t="str"/>
      <x:c r="K127" s="13" t="str"/>
      <x:c r="L127" s="13" t="str"/>
      <x:c r="M127" s="13" t="str"/>
      <x:c r="N127" s="13" t="str">
        <x:f>IF(M127=1,IF(AND(COUNT(G127,I127)=2,G127&gt;='Controls'!$D$70,IF(D127="AM-06",AND(COUNT(H127)=1,H127&gt;='Controls'!$D$70),1),I127&lt;='Controls'!$D$71),"PASS","FAIL"),"OPEN")</x:f>
        <x:v>OPEN</x:v>
      </x:c>
    </x:row>
    <x:row r="128">
      <x:c r="B128" s="13" t="str">
        <x:v>RAS-AL-122</x:v>
      </x:c>
      <x:c r="C128" s="13" t="str">
        <x:v>RAS-E122</x:v>
      </x:c>
      <x:c r="D128" s="13" t="str">
        <x:v>AM-06</x:v>
      </x:c>
      <x:c r="E128" s="13" t="str">
        <x:v>TR-B</x:v>
      </x:c>
      <x:c r="F128" s="13" t="str">
        <x:v>RFP-B1</x:v>
      </x:c>
      <x:c r="G128" s="13" t="str"/>
      <x:c r="H128" s="13" t="str"/>
      <x:c r="I128" s="13" t="str"/>
      <x:c r="J128" s="13" t="str"/>
      <x:c r="K128" s="13" t="str"/>
      <x:c r="L128" s="13" t="str"/>
      <x:c r="M128" s="13" t="str"/>
      <x:c r="N128" s="13" t="str">
        <x:f>IF(M128=1,IF(AND(COUNT(G128,I128)=2,G128&gt;='Controls'!$D$70,IF(D128="AM-06",AND(COUNT(H128)=1,H128&gt;='Controls'!$D$70),1),I128&lt;='Controls'!$D$71),"PASS","FAIL"),"OPEN")</x:f>
        <x:v>OPEN</x:v>
      </x:c>
    </x:row>
    <x:row r="129">
      <x:c r="B129" s="13" t="str">
        <x:v>RAS-AL-123</x:v>
      </x:c>
      <x:c r="C129" s="13" t="str">
        <x:v>RAS-E123</x:v>
      </x:c>
      <x:c r="D129" s="13" t="str">
        <x:v>AM-06</x:v>
      </x:c>
      <x:c r="E129" s="13" t="str">
        <x:v>TR-B</x:v>
      </x:c>
      <x:c r="F129" s="13" t="str">
        <x:v>RFP-B1</x:v>
      </x:c>
      <x:c r="G129" s="13" t="str"/>
      <x:c r="H129" s="13" t="str"/>
      <x:c r="I129" s="13" t="str"/>
      <x:c r="J129" s="13" t="str"/>
      <x:c r="K129" s="13" t="str"/>
      <x:c r="L129" s="13" t="str"/>
      <x:c r="M129" s="13" t="str"/>
      <x:c r="N129" s="13" t="str">
        <x:f>IF(M129=1,IF(AND(COUNT(G129,I129)=2,G129&gt;='Controls'!$D$70,IF(D129="AM-06",AND(COUNT(H129)=1,H129&gt;='Controls'!$D$70),1),I129&lt;='Controls'!$D$71),"PASS","FAIL"),"OPEN")</x:f>
        <x:v>OPEN</x:v>
      </x:c>
    </x:row>
    <x:row r="130">
      <x:c r="B130" s="13" t="str">
        <x:v>RAS-AL-124</x:v>
      </x:c>
      <x:c r="C130" s="13" t="str">
        <x:v>RAS-E124</x:v>
      </x:c>
      <x:c r="D130" s="13" t="str">
        <x:v>AM-06</x:v>
      </x:c>
      <x:c r="E130" s="13" t="str">
        <x:v>TR-B</x:v>
      </x:c>
      <x:c r="F130" s="13" t="str">
        <x:v>RFP-B1</x:v>
      </x:c>
      <x:c r="G130" s="13" t="str"/>
      <x:c r="H130" s="13" t="str"/>
      <x:c r="I130" s="13" t="str"/>
      <x:c r="J130" s="13" t="str"/>
      <x:c r="K130" s="13" t="str"/>
      <x:c r="L130" s="13" t="str"/>
      <x:c r="M130" s="13" t="str"/>
      <x:c r="N130" s="13" t="str">
        <x:f>IF(M130=1,IF(AND(COUNT(G130,I130)=2,G130&gt;='Controls'!$D$70,IF(D130="AM-06",AND(COUNT(H130)=1,H130&gt;='Controls'!$D$70),1),I130&lt;='Controls'!$D$71),"PASS","FAIL"),"OPEN")</x:f>
        <x:v>OPEN</x:v>
      </x:c>
    </x:row>
    <x:row r="131">
      <x:c r="B131" s="13" t="str">
        <x:v>RAS-AL-125</x:v>
      </x:c>
      <x:c r="C131" s="13" t="str">
        <x:v>RAS-E125</x:v>
      </x:c>
      <x:c r="D131" s="13" t="str">
        <x:v>AM-06</x:v>
      </x:c>
      <x:c r="E131" s="13" t="str">
        <x:v>TR-B</x:v>
      </x:c>
      <x:c r="F131" s="13" t="str">
        <x:v>RFP-B1</x:v>
      </x:c>
      <x:c r="G131" s="13" t="str"/>
      <x:c r="H131" s="13" t="str"/>
      <x:c r="I131" s="13" t="str"/>
      <x:c r="J131" s="13" t="str"/>
      <x:c r="K131" s="13" t="str"/>
      <x:c r="L131" s="13" t="str"/>
      <x:c r="M131" s="13" t="str"/>
      <x:c r="N131" s="13" t="str">
        <x:f>IF(M131=1,IF(AND(COUNT(G131,I131)=2,G131&gt;='Controls'!$D$70,IF(D131="AM-06",AND(COUNT(H131)=1,H131&gt;='Controls'!$D$70),1),I131&lt;='Controls'!$D$71),"PASS","FAIL"),"OPEN")</x:f>
        <x:v>OPEN</x:v>
      </x:c>
    </x:row>
    <x:row r="132">
      <x:c r="B132" s="13" t="str">
        <x:v>RAS-AL-126</x:v>
      </x:c>
      <x:c r="C132" s="13" t="str">
        <x:v>RAS-E126</x:v>
      </x:c>
      <x:c r="D132" s="13" t="str">
        <x:v>AM-06</x:v>
      </x:c>
      <x:c r="E132" s="13" t="str">
        <x:v>TR-B</x:v>
      </x:c>
      <x:c r="F132" s="13" t="str">
        <x:v>RFP-B1</x:v>
      </x:c>
      <x:c r="G132" s="13" t="str"/>
      <x:c r="H132" s="13" t="str"/>
      <x:c r="I132" s="13" t="str"/>
      <x:c r="J132" s="13" t="str"/>
      <x:c r="K132" s="13" t="str"/>
      <x:c r="L132" s="13" t="str"/>
      <x:c r="M132" s="13" t="str"/>
      <x:c r="N132" s="13" t="str">
        <x:f>IF(M132=1,IF(AND(COUNT(G132,I132)=2,G132&gt;='Controls'!$D$70,IF(D132="AM-06",AND(COUNT(H132)=1,H132&gt;='Controls'!$D$70),1),I132&lt;='Controls'!$D$71),"PASS","FAIL"),"OPEN")</x:f>
        <x:v>OPEN</x:v>
      </x:c>
    </x:row>
    <x:row r="133">
      <x:c r="B133" s="13" t="str">
        <x:v>RAS-AL-127</x:v>
      </x:c>
      <x:c r="C133" s="13" t="str">
        <x:v>RAS-E127</x:v>
      </x:c>
      <x:c r="D133" s="13" t="str">
        <x:v>AM-06</x:v>
      </x:c>
      <x:c r="E133" s="13" t="str">
        <x:v>TR-B</x:v>
      </x:c>
      <x:c r="F133" s="13" t="str">
        <x:v>RFP-B2</x:v>
      </x:c>
      <x:c r="G133" s="13" t="str"/>
      <x:c r="H133" s="13" t="str"/>
      <x:c r="I133" s="13" t="str"/>
      <x:c r="J133" s="13" t="str"/>
      <x:c r="K133" s="13" t="str"/>
      <x:c r="L133" s="13" t="str"/>
      <x:c r="M133" s="13" t="str"/>
      <x:c r="N133" s="13" t="str">
        <x:f>IF(M133=1,IF(AND(COUNT(G133,I133)=2,G133&gt;='Controls'!$D$70,IF(D133="AM-06",AND(COUNT(H133)=1,H133&gt;='Controls'!$D$70),1),I133&lt;='Controls'!$D$71),"PASS","FAIL"),"OPEN")</x:f>
        <x:v>OPEN</x:v>
      </x:c>
    </x:row>
    <x:row r="134">
      <x:c r="B134" s="13" t="str">
        <x:v>RAS-AL-128</x:v>
      </x:c>
      <x:c r="C134" s="13" t="str">
        <x:v>RAS-E128</x:v>
      </x:c>
      <x:c r="D134" s="13" t="str">
        <x:v>AM-06</x:v>
      </x:c>
      <x:c r="E134" s="13" t="str">
        <x:v>TR-B</x:v>
      </x:c>
      <x:c r="F134" s="13" t="str">
        <x:v>RFP-B2</x:v>
      </x:c>
      <x:c r="G134" s="13" t="str"/>
      <x:c r="H134" s="13" t="str"/>
      <x:c r="I134" s="13" t="str"/>
      <x:c r="J134" s="13" t="str"/>
      <x:c r="K134" s="13" t="str"/>
      <x:c r="L134" s="13" t="str"/>
      <x:c r="M134" s="13" t="str"/>
      <x:c r="N134" s="13" t="str">
        <x:f>IF(M134=1,IF(AND(COUNT(G134,I134)=2,G134&gt;='Controls'!$D$70,IF(D134="AM-06",AND(COUNT(H134)=1,H134&gt;='Controls'!$D$70),1),I134&lt;='Controls'!$D$71),"PASS","FAIL"),"OPEN")</x:f>
        <x:v>OPEN</x:v>
      </x:c>
    </x:row>
    <x:row r="135">
      <x:c r="B135" s="13" t="str">
        <x:v>RAS-AL-129</x:v>
      </x:c>
      <x:c r="C135" s="13" t="str">
        <x:v>RAS-E129</x:v>
      </x:c>
      <x:c r="D135" s="13" t="str">
        <x:v>AM-06</x:v>
      </x:c>
      <x:c r="E135" s="13" t="str">
        <x:v>TR-B</x:v>
      </x:c>
      <x:c r="F135" s="13" t="str">
        <x:v>RFP-B2</x:v>
      </x:c>
      <x:c r="G135" s="13" t="str"/>
      <x:c r="H135" s="13" t="str"/>
      <x:c r="I135" s="13" t="str"/>
      <x:c r="J135" s="13" t="str"/>
      <x:c r="K135" s="13" t="str"/>
      <x:c r="L135" s="13" t="str"/>
      <x:c r="M135" s="13" t="str"/>
      <x:c r="N135" s="13" t="str">
        <x:f>IF(M135=1,IF(AND(COUNT(G135,I135)=2,G135&gt;='Controls'!$D$70,IF(D135="AM-06",AND(COUNT(H135)=1,H135&gt;='Controls'!$D$70),1),I135&lt;='Controls'!$D$71),"PASS","FAIL"),"OPEN")</x:f>
        <x:v>OPEN</x:v>
      </x:c>
    </x:row>
    <x:row r="136">
      <x:c r="B136" s="13" t="str">
        <x:v>RAS-AL-130</x:v>
      </x:c>
      <x:c r="C136" s="13" t="str">
        <x:v>RAS-E130</x:v>
      </x:c>
      <x:c r="D136" s="13" t="str">
        <x:v>AM-06</x:v>
      </x:c>
      <x:c r="E136" s="13" t="str">
        <x:v>TR-B</x:v>
      </x:c>
      <x:c r="F136" s="13" t="str">
        <x:v>RFP-B2</x:v>
      </x:c>
      <x:c r="G136" s="13" t="str"/>
      <x:c r="H136" s="13" t="str"/>
      <x:c r="I136" s="13" t="str"/>
      <x:c r="J136" s="13" t="str"/>
      <x:c r="K136" s="13" t="str"/>
      <x:c r="L136" s="13" t="str"/>
      <x:c r="M136" s="13" t="str"/>
      <x:c r="N136" s="13" t="str">
        <x:f>IF(M136=1,IF(AND(COUNT(G136,I136)=2,G136&gt;='Controls'!$D$70,IF(D136="AM-06",AND(COUNT(H136)=1,H136&gt;='Controls'!$D$70),1),I136&lt;='Controls'!$D$71),"PASS","FAIL"),"OPEN")</x:f>
        <x:v>OPEN</x:v>
      </x:c>
    </x:row>
    <x:row r="137">
      <x:c r="B137" s="13" t="str">
        <x:v>RAS-AL-131</x:v>
      </x:c>
      <x:c r="C137" s="13" t="str">
        <x:v>RAS-E131</x:v>
      </x:c>
      <x:c r="D137" s="13" t="str">
        <x:v>AM-06</x:v>
      </x:c>
      <x:c r="E137" s="13" t="str">
        <x:v>TR-B</x:v>
      </x:c>
      <x:c r="F137" s="13" t="str">
        <x:v>RFP-B2</x:v>
      </x:c>
      <x:c r="G137" s="13" t="str"/>
      <x:c r="H137" s="13" t="str"/>
      <x:c r="I137" s="13" t="str"/>
      <x:c r="J137" s="13" t="str"/>
      <x:c r="K137" s="13" t="str"/>
      <x:c r="L137" s="13" t="str"/>
      <x:c r="M137" s="13" t="str"/>
      <x:c r="N137" s="13" t="str">
        <x:f>IF(M137=1,IF(AND(COUNT(G137,I137)=2,G137&gt;='Controls'!$D$70,IF(D137="AM-06",AND(COUNT(H137)=1,H137&gt;='Controls'!$D$70),1),I137&lt;='Controls'!$D$71),"PASS","FAIL"),"OPEN")</x:f>
        <x:v>OPEN</x:v>
      </x:c>
    </x:row>
    <x:row r="138">
      <x:c r="B138" s="13" t="str">
        <x:v>RAS-AL-132</x:v>
      </x:c>
      <x:c r="C138" s="13" t="str">
        <x:v>RAS-E132</x:v>
      </x:c>
      <x:c r="D138" s="13" t="str">
        <x:v>AM-06</x:v>
      </x:c>
      <x:c r="E138" s="13" t="str">
        <x:v>TR-B</x:v>
      </x:c>
      <x:c r="F138" s="13" t="str">
        <x:v>RFP-B2</x:v>
      </x:c>
      <x:c r="G138" s="13" t="str"/>
      <x:c r="H138" s="13" t="str"/>
      <x:c r="I138" s="13" t="str"/>
      <x:c r="J138" s="13" t="str"/>
      <x:c r="K138" s="13" t="str"/>
      <x:c r="L138" s="13" t="str"/>
      <x:c r="M138" s="13" t="str"/>
      <x:c r="N138" s="13" t="str">
        <x:f>IF(M138=1,IF(AND(COUNT(G138,I138)=2,G138&gt;='Controls'!$D$70,IF(D138="AM-06",AND(COUNT(H138)=1,H138&gt;='Controls'!$D$70),1),I138&lt;='Controls'!$D$71),"PASS","FAIL"),"OPEN")</x:f>
        <x:v>OPEN</x:v>
      </x:c>
    </x:row>
    <x:row r="139">
      <x:c r="B139" s="13" t="str">
        <x:v>RAS-AL-133</x:v>
      </x:c>
      <x:c r="C139" s="13" t="str">
        <x:v>RAS-E133</x:v>
      </x:c>
      <x:c r="D139" s="13" t="str">
        <x:v>AM-06</x:v>
      </x:c>
      <x:c r="E139" s="13" t="str">
        <x:v>TR-B</x:v>
      </x:c>
      <x:c r="F139" s="13" t="str">
        <x:v>RFP-C1</x:v>
      </x:c>
      <x:c r="G139" s="13" t="str"/>
      <x:c r="H139" s="13" t="str"/>
      <x:c r="I139" s="13" t="str"/>
      <x:c r="J139" s="13" t="str"/>
      <x:c r="K139" s="13" t="str"/>
      <x:c r="L139" s="13" t="str"/>
      <x:c r="M139" s="13" t="str"/>
      <x:c r="N139" s="13" t="str">
        <x:f>IF(M139=1,IF(AND(COUNT(G139,I139)=2,G139&gt;='Controls'!$D$70,IF(D139="AM-06",AND(COUNT(H139)=1,H139&gt;='Controls'!$D$70),1),I139&lt;='Controls'!$D$71),"PASS","FAIL"),"OPEN")</x:f>
        <x:v>OPEN</x:v>
      </x:c>
    </x:row>
    <x:row r="140">
      <x:c r="B140" s="13" t="str">
        <x:v>RAS-AL-134</x:v>
      </x:c>
      <x:c r="C140" s="13" t="str">
        <x:v>RAS-E134</x:v>
      </x:c>
      <x:c r="D140" s="13" t="str">
        <x:v>AM-06</x:v>
      </x:c>
      <x:c r="E140" s="13" t="str">
        <x:v>TR-B</x:v>
      </x:c>
      <x:c r="F140" s="13" t="str">
        <x:v>RFP-C1</x:v>
      </x:c>
      <x:c r="G140" s="13" t="str"/>
      <x:c r="H140" s="13" t="str"/>
      <x:c r="I140" s="13" t="str"/>
      <x:c r="J140" s="13" t="str"/>
      <x:c r="K140" s="13" t="str"/>
      <x:c r="L140" s="13" t="str"/>
      <x:c r="M140" s="13" t="str"/>
      <x:c r="N140" s="13" t="str">
        <x:f>IF(M140=1,IF(AND(COUNT(G140,I140)=2,G140&gt;='Controls'!$D$70,IF(D140="AM-06",AND(COUNT(H140)=1,H140&gt;='Controls'!$D$70),1),I140&lt;='Controls'!$D$71),"PASS","FAIL"),"OPEN")</x:f>
        <x:v>OPEN</x:v>
      </x:c>
    </x:row>
    <x:row r="141">
      <x:c r="B141" s="13" t="str">
        <x:v>RAS-AL-135</x:v>
      </x:c>
      <x:c r="C141" s="13" t="str">
        <x:v>RAS-E135</x:v>
      </x:c>
      <x:c r="D141" s="13" t="str">
        <x:v>AM-06</x:v>
      </x:c>
      <x:c r="E141" s="13" t="str">
        <x:v>TR-B</x:v>
      </x:c>
      <x:c r="F141" s="13" t="str">
        <x:v>RFP-C1</x:v>
      </x:c>
      <x:c r="G141" s="13" t="str"/>
      <x:c r="H141" s="13" t="str"/>
      <x:c r="I141" s="13" t="str"/>
      <x:c r="J141" s="13" t="str"/>
      <x:c r="K141" s="13" t="str"/>
      <x:c r="L141" s="13" t="str"/>
      <x:c r="M141" s="13" t="str"/>
      <x:c r="N141" s="13" t="str">
        <x:f>IF(M141=1,IF(AND(COUNT(G141,I141)=2,G141&gt;='Controls'!$D$70,IF(D141="AM-06",AND(COUNT(H141)=1,H141&gt;='Controls'!$D$70),1),I141&lt;='Controls'!$D$71),"PASS","FAIL"),"OPEN")</x:f>
        <x:v>OPEN</x:v>
      </x:c>
    </x:row>
    <x:row r="142">
      <x:c r="B142" s="13" t="str">
        <x:v>RAS-AL-136</x:v>
      </x:c>
      <x:c r="C142" s="13" t="str">
        <x:v>RAS-E136</x:v>
      </x:c>
      <x:c r="D142" s="13" t="str">
        <x:v>AM-06</x:v>
      </x:c>
      <x:c r="E142" s="13" t="str">
        <x:v>TR-B</x:v>
      </x:c>
      <x:c r="F142" s="13" t="str">
        <x:v>RFP-C1</x:v>
      </x:c>
      <x:c r="G142" s="13" t="str"/>
      <x:c r="H142" s="13" t="str"/>
      <x:c r="I142" s="13" t="str"/>
      <x:c r="J142" s="13" t="str"/>
      <x:c r="K142" s="13" t="str"/>
      <x:c r="L142" s="13" t="str"/>
      <x:c r="M142" s="13" t="str"/>
      <x:c r="N142" s="13" t="str">
        <x:f>IF(M142=1,IF(AND(COUNT(G142,I142)=2,G142&gt;='Controls'!$D$70,IF(D142="AM-06",AND(COUNT(H142)=1,H142&gt;='Controls'!$D$70),1),I142&lt;='Controls'!$D$71),"PASS","FAIL"),"OPEN")</x:f>
        <x:v>OPEN</x:v>
      </x:c>
    </x:row>
    <x:row r="143">
      <x:c r="B143" s="13" t="str">
        <x:v>RAS-AL-137</x:v>
      </x:c>
      <x:c r="C143" s="13" t="str">
        <x:v>RAS-E137</x:v>
      </x:c>
      <x:c r="D143" s="13" t="str">
        <x:v>AM-06</x:v>
      </x:c>
      <x:c r="E143" s="13" t="str">
        <x:v>TR-B</x:v>
      </x:c>
      <x:c r="F143" s="13" t="str">
        <x:v>RFP-C1</x:v>
      </x:c>
      <x:c r="G143" s="13" t="str"/>
      <x:c r="H143" s="13" t="str"/>
      <x:c r="I143" s="13" t="str"/>
      <x:c r="J143" s="13" t="str"/>
      <x:c r="K143" s="13" t="str"/>
      <x:c r="L143" s="13" t="str"/>
      <x:c r="M143" s="13" t="str"/>
      <x:c r="N143" s="13" t="str">
        <x:f>IF(M143=1,IF(AND(COUNT(G143,I143)=2,G143&gt;='Controls'!$D$70,IF(D143="AM-06",AND(COUNT(H143)=1,H143&gt;='Controls'!$D$70),1),I143&lt;='Controls'!$D$71),"PASS","FAIL"),"OPEN")</x:f>
        <x:v>OPEN</x:v>
      </x:c>
    </x:row>
    <x:row r="144">
      <x:c r="B144" s="13" t="str">
        <x:v>RAS-AL-138</x:v>
      </x:c>
      <x:c r="C144" s="13" t="str">
        <x:v>RAS-E138</x:v>
      </x:c>
      <x:c r="D144" s="13" t="str">
        <x:v>AM-06</x:v>
      </x:c>
      <x:c r="E144" s="13" t="str">
        <x:v>TR-B</x:v>
      </x:c>
      <x:c r="F144" s="13" t="str">
        <x:v>RFP-C1</x:v>
      </x:c>
      <x:c r="G144" s="13" t="str"/>
      <x:c r="H144" s="13" t="str"/>
      <x:c r="I144" s="13" t="str"/>
      <x:c r="J144" s="13" t="str"/>
      <x:c r="K144" s="13" t="str"/>
      <x:c r="L144" s="13" t="str"/>
      <x:c r="M144" s="13" t="str"/>
      <x:c r="N144" s="13" t="str">
        <x:f>IF(M144=1,IF(AND(COUNT(G144,I144)=2,G144&gt;='Controls'!$D$70,IF(D144="AM-06",AND(COUNT(H144)=1,H144&gt;='Controls'!$D$70),1),I144&lt;='Controls'!$D$71),"PASS","FAIL"),"OPEN")</x:f>
        <x:v>OPEN</x:v>
      </x:c>
    </x:row>
    <x:row r="145">
      <x:c r="B145" s="13" t="str">
        <x:v>RAS-AL-139</x:v>
      </x:c>
      <x:c r="C145" s="13" t="str">
        <x:v>RAS-E139</x:v>
      </x:c>
      <x:c r="D145" s="13" t="str">
        <x:v>AM-06</x:v>
      </x:c>
      <x:c r="E145" s="13" t="str">
        <x:v>TR-B</x:v>
      </x:c>
      <x:c r="F145" s="13" t="str">
        <x:v>RFP-C2</x:v>
      </x:c>
      <x:c r="G145" s="13" t="str"/>
      <x:c r="H145" s="13" t="str"/>
      <x:c r="I145" s="13" t="str"/>
      <x:c r="J145" s="13" t="str"/>
      <x:c r="K145" s="13" t="str"/>
      <x:c r="L145" s="13" t="str"/>
      <x:c r="M145" s="13" t="str"/>
      <x:c r="N145" s="13" t="str">
        <x:f>IF(M145=1,IF(AND(COUNT(G145,I145)=2,G145&gt;='Controls'!$D$70,IF(D145="AM-06",AND(COUNT(H145)=1,H145&gt;='Controls'!$D$70),1),I145&lt;='Controls'!$D$71),"PASS","FAIL"),"OPEN")</x:f>
        <x:v>OPEN</x:v>
      </x:c>
    </x:row>
    <x:row r="146">
      <x:c r="B146" s="13" t="str">
        <x:v>RAS-AL-140</x:v>
      </x:c>
      <x:c r="C146" s="13" t="str">
        <x:v>RAS-E140</x:v>
      </x:c>
      <x:c r="D146" s="13" t="str">
        <x:v>AM-06</x:v>
      </x:c>
      <x:c r="E146" s="13" t="str">
        <x:v>TR-B</x:v>
      </x:c>
      <x:c r="F146" s="13" t="str">
        <x:v>RFP-C2</x:v>
      </x:c>
      <x:c r="G146" s="13" t="str"/>
      <x:c r="H146" s="13" t="str"/>
      <x:c r="I146" s="13" t="str"/>
      <x:c r="J146" s="13" t="str"/>
      <x:c r="K146" s="13" t="str"/>
      <x:c r="L146" s="13" t="str"/>
      <x:c r="M146" s="13" t="str"/>
      <x:c r="N146" s="13" t="str">
        <x:f>IF(M146=1,IF(AND(COUNT(G146,I146)=2,G146&gt;='Controls'!$D$70,IF(D146="AM-06",AND(COUNT(H146)=1,H146&gt;='Controls'!$D$70),1),I146&lt;='Controls'!$D$71),"PASS","FAIL"),"OPEN")</x:f>
        <x:v>OPEN</x:v>
      </x:c>
    </x:row>
    <x:row r="147">
      <x:c r="B147" s="13" t="str">
        <x:v>RAS-AL-141</x:v>
      </x:c>
      <x:c r="C147" s="13" t="str">
        <x:v>RAS-E141</x:v>
      </x:c>
      <x:c r="D147" s="13" t="str">
        <x:v>AM-06</x:v>
      </x:c>
      <x:c r="E147" s="13" t="str">
        <x:v>TR-B</x:v>
      </x:c>
      <x:c r="F147" s="13" t="str">
        <x:v>RFP-C2</x:v>
      </x:c>
      <x:c r="G147" s="13" t="str"/>
      <x:c r="H147" s="13" t="str"/>
      <x:c r="I147" s="13" t="str"/>
      <x:c r="J147" s="13" t="str"/>
      <x:c r="K147" s="13" t="str"/>
      <x:c r="L147" s="13" t="str"/>
      <x:c r="M147" s="13" t="str"/>
      <x:c r="N147" s="13" t="str">
        <x:f>IF(M147=1,IF(AND(COUNT(G147,I147)=2,G147&gt;='Controls'!$D$70,IF(D147="AM-06",AND(COUNT(H147)=1,H147&gt;='Controls'!$D$70),1),I147&lt;='Controls'!$D$71),"PASS","FAIL"),"OPEN")</x:f>
        <x:v>OPEN</x:v>
      </x:c>
    </x:row>
    <x:row r="148">
      <x:c r="B148" s="13" t="str">
        <x:v>RAS-AL-142</x:v>
      </x:c>
      <x:c r="C148" s="13" t="str">
        <x:v>RAS-E142</x:v>
      </x:c>
      <x:c r="D148" s="13" t="str">
        <x:v>AM-06</x:v>
      </x:c>
      <x:c r="E148" s="13" t="str">
        <x:v>TR-B</x:v>
      </x:c>
      <x:c r="F148" s="13" t="str">
        <x:v>RFP-C2</x:v>
      </x:c>
      <x:c r="G148" s="13" t="str"/>
      <x:c r="H148" s="13" t="str"/>
      <x:c r="I148" s="13" t="str"/>
      <x:c r="J148" s="13" t="str"/>
      <x:c r="K148" s="13" t="str"/>
      <x:c r="L148" s="13" t="str"/>
      <x:c r="M148" s="13" t="str"/>
      <x:c r="N148" s="13" t="str">
        <x:f>IF(M148=1,IF(AND(COUNT(G148,I148)=2,G148&gt;='Controls'!$D$70,IF(D148="AM-06",AND(COUNT(H148)=1,H148&gt;='Controls'!$D$70),1),I148&lt;='Controls'!$D$71),"PASS","FAIL"),"OPEN")</x:f>
        <x:v>OPEN</x:v>
      </x:c>
    </x:row>
    <x:row r="149">
      <x:c r="B149" s="13" t="str">
        <x:v>RAS-AL-143</x:v>
      </x:c>
      <x:c r="C149" s="13" t="str">
        <x:v>RAS-E143</x:v>
      </x:c>
      <x:c r="D149" s="13" t="str">
        <x:v>AM-06</x:v>
      </x:c>
      <x:c r="E149" s="13" t="str">
        <x:v>TR-B</x:v>
      </x:c>
      <x:c r="F149" s="13" t="str">
        <x:v>RFP-C2</x:v>
      </x:c>
      <x:c r="G149" s="13" t="str"/>
      <x:c r="H149" s="13" t="str"/>
      <x:c r="I149" s="13" t="str"/>
      <x:c r="J149" s="13" t="str"/>
      <x:c r="K149" s="13" t="str"/>
      <x:c r="L149" s="13" t="str"/>
      <x:c r="M149" s="13" t="str"/>
      <x:c r="N149" s="13" t="str">
        <x:f>IF(M149=1,IF(AND(COUNT(G149,I149)=2,G149&gt;='Controls'!$D$70,IF(D149="AM-06",AND(COUNT(H149)=1,H149&gt;='Controls'!$D$70),1),I149&lt;='Controls'!$D$71),"PASS","FAIL"),"OPEN")</x:f>
        <x:v>OPEN</x:v>
      </x:c>
    </x:row>
    <x:row r="150">
      <x:c r="B150" s="13" t="str">
        <x:v>RAS-AL-144</x:v>
      </x:c>
      <x:c r="C150" s="13" t="str">
        <x:v>RAS-E144</x:v>
      </x:c>
      <x:c r="D150" s="13" t="str">
        <x:v>AM-06</x:v>
      </x:c>
      <x:c r="E150" s="13" t="str">
        <x:v>TR-B</x:v>
      </x:c>
      <x:c r="F150" s="13" t="str">
        <x:v>RFP-C2</x:v>
      </x:c>
      <x:c r="G150" s="13" t="str"/>
      <x:c r="H150" s="13" t="str"/>
      <x:c r="I150" s="13" t="str"/>
      <x:c r="J150" s="13" t="str"/>
      <x:c r="K150" s="13" t="str"/>
      <x:c r="L150" s="13" t="str"/>
      <x:c r="M150" s="13" t="str"/>
      <x:c r="N150" s="13" t="str">
        <x:f>IF(M150=1,IF(AND(COUNT(G150,I150)=2,G150&gt;='Controls'!$D$70,IF(D150="AM-06",AND(COUNT(H150)=1,H150&gt;='Controls'!$D$70),1),I150&lt;='Controls'!$D$71),"PASS","FAIL"),"OPEN")</x:f>
        <x:v>OPEN</x:v>
      </x:c>
    </x:row>
  </x:sheetData>
  <x:conditionalFormatting sqref="N7:N150">
    <x:cfRule type="containsText" dxfId="80" priority="1" operator="containsText" text="FAIL"/>
    <x:cfRule type="containsText" dxfId="81" priority="2" operator="containsText" text="INVALID"/>
    <x:cfRule type="containsText" dxfId="82" priority="3" operator="containsText" text="BLOCKED"/>
    <x:cfRule type="containsText" dxfId="83" priority="4" operator="containsText" text="OPEN"/>
    <x:cfRule type="containsText" dxfId="84" priority="5" operator="containsText" text="GAP"/>
    <x:cfRule type="containsText" dxfId="85" priority="6" operator="containsText" text="DORMANT"/>
    <x:cfRule type="containsText" dxfId="86" priority="7" operator="containsText" text="PASS"/>
    <x:cfRule type="containsText" dxfId="87" priority="8" operator="containsText" text="VALI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8" hidden="0" customWidth="1"/>
    <x:col min="7" max="7" width="20" hidden="0" customWidth="1"/>
    <x:col min="8" max="8" width="17" hidden="0" customWidth="1"/>
    <x:col min="9" max="9" width="17" hidden="0" customWidth="1"/>
    <x:col min="10" max="10" width="21" hidden="0" customWidth="1"/>
    <x:col min="11" max="11" width="23" hidden="0" customWidth="1"/>
    <x:col min="12" max="12" width="20" hidden="0" customWidth="1"/>
    <x:col min="13" max="13" width="24" hidden="0" customWidth="1"/>
    <x:col min="14" max="14" width="15" hidden="0" customWidth="1"/>
    <x:col min="15" max="15" width="14" hidden="0" customWidth="1"/>
    <x:col min="1" max="1" width="3" hidden="0" customWidth="1"/>
  </x:cols>
  <x:sheetData>
    <x:row r="2">
      <x:c r="B2" s="12" t="str">
        <x:v>Pool, heat and terminal-source state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B3" s="2" t="str">
        <x:v>A 500 kg event retains the 25 m2 casualty-area peak screen when physical spread reaches that bound.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 ht="24" customHeight="1">
      <x:c r="B6" s="6" t="str">
        <x:v>Ledger</x:v>
      </x:c>
      <x:c r="C6" s="6" t="str">
        <x:v>Event</x:v>
      </x:c>
      <x:c r="D6" s="6" t="str">
        <x:v>Method</x:v>
      </x:c>
      <x:c r="E6" s="6" t="str">
        <x:v>Class</x:v>
      </x:c>
      <x:c r="F6" s="6" t="str">
        <x:v>Area bound m2</x:v>
      </x:c>
      <x:c r="G6" s="6" t="str">
        <x:v>Observed area m2</x:v>
      </x:c>
      <x:c r="H6" s="6" t="str">
        <x:v>HRR MW</x:v>
      </x:c>
      <x:c r="I6" s="6" t="str">
        <x:v>Radiant MW</x:v>
      </x:c>
      <x:c r="J6" s="6" t="str">
        <x:v>Notional burn min</x:v>
      </x:c>
      <x:c r="K6" s="6" t="str">
        <x:v>Boundary flux kW/m2</x:v>
      </x:c>
      <x:c r="L6" s="6" t="str">
        <x:v>Terminal source s</x:v>
      </x:c>
      <x:c r="M6" s="6" t="str">
        <x:v>Intervention class</x:v>
      </x:c>
      <x:c r="N6" s="6" t="str">
        <x:v>Accepted</x:v>
      </x:c>
      <x:c r="O6" s="6" t="str">
        <x:v>State</x:v>
      </x:c>
    </x:row>
    <x:row r="7">
      <x:c r="B7" s="13" t="str">
        <x:v>RAS-PT-001</x:v>
      </x:c>
      <x:c r="C7" s="13" t="str">
        <x:v>RAS-E001</x:v>
      </x:c>
      <x:c r="D7" s="13" t="str">
        <x:v>AM-05</x:v>
      </x:c>
      <x:c r="E7" s="13" t="str">
        <x:v>QE-01</x:v>
      </x:c>
      <x:c r="F7" s="13" t="n">
        <x:v>0</x:v>
      </x:c>
      <x:c r="G7" s="13" t="str"/>
      <x:c r="H7" s="13" t="str">
        <x:f>IF(COUNT(G7)=0,"",IF(D7="AM-06",G7*'Controls'!$D$22*'Controls'!$D$14,0))</x:f>
      </x:c>
      <x:c r="I7" s="13" t="str">
        <x:f>IF(COUNT(H7)=0,"",H7*'Controls'!$D$23)</x:f>
      </x:c>
      <x:c r="J7" s="13" t="str">
        <x:f>IF(OR(COUNT(G7)=0,G7=0),"",'Event Register'!H7/(G7*'Controls'!$D$22)/60)</x:f>
      </x:c>
      <x:c r="K7" s="13" t="str"/>
      <x:c r="L7" s="13" t="str"/>
      <x:c r="M7" s="13" t="str"/>
      <x:c r="N7" s="13" t="str"/>
      <x:c r="O7" s="13" t="str">
        <x:f>IF(N7=1,IF(AND(COUNT(G7,L7)=2,G7&lt;=F7,L7&lt;='Controls'!$D$65,IF(D7="AM-06",AND(COUNT(K7)=1,K7&lt;=1.6),1)),"PASS","FAIL"),"OPEN")</x:f>
        <x:v>OPEN</x:v>
      </x:c>
    </x:row>
    <x:row r="8">
      <x:c r="B8" s="13" t="str">
        <x:v>RAS-PT-002</x:v>
      </x:c>
      <x:c r="C8" s="13" t="str">
        <x:v>RAS-E002</x:v>
      </x:c>
      <x:c r="D8" s="13" t="str">
        <x:v>AM-05</x:v>
      </x:c>
      <x:c r="E8" s="13" t="str">
        <x:v>QE-02</x:v>
      </x:c>
      <x:c r="F8" s="13" t="n">
        <x:v>2.5</x:v>
      </x:c>
      <x:c r="G8" s="13" t="str"/>
      <x:c r="H8" s="13" t="str">
        <x:f>IF(COUNT(G8)=0,"",IF(D8="AM-06",G8*'Controls'!$D$22*'Controls'!$D$14,0))</x:f>
      </x:c>
      <x:c r="I8" s="13" t="str">
        <x:f>IF(COUNT(H8)=0,"",H8*'Controls'!$D$23)</x:f>
      </x:c>
      <x:c r="J8" s="13" t="str">
        <x:f>IF(OR(COUNT(G8)=0,G8=0),"",'Event Register'!H8/(G8*'Controls'!$D$22)/60)</x:f>
      </x:c>
      <x:c r="K8" s="13" t="str"/>
      <x:c r="L8" s="13" t="str"/>
      <x:c r="M8" s="13" t="str"/>
      <x:c r="N8" s="13" t="str"/>
      <x:c r="O8" s="13" t="str">
        <x:f>IF(N8=1,IF(AND(COUNT(G8,L8)=2,G8&lt;=F8,L8&lt;='Controls'!$D$65,IF(D8="AM-06",AND(COUNT(K8)=1,K8&lt;=1.6),1)),"PASS","FAIL"),"OPEN")</x:f>
        <x:v>OPEN</x:v>
      </x:c>
    </x:row>
    <x:row r="9">
      <x:c r="B9" s="13" t="str">
        <x:v>RAS-PT-003</x:v>
      </x:c>
      <x:c r="C9" s="13" t="str">
        <x:v>RAS-E003</x:v>
      </x:c>
      <x:c r="D9" s="13" t="str">
        <x:v>AM-05</x:v>
      </x:c>
      <x:c r="E9" s="13" t="str">
        <x:v>QE-03</x:v>
      </x:c>
      <x:c r="F9" s="13" t="n">
        <x:v>5</x:v>
      </x:c>
      <x:c r="G9" s="13" t="str"/>
      <x:c r="H9" s="13" t="str">
        <x:f>IF(COUNT(G9)=0,"",IF(D9="AM-06",G9*'Controls'!$D$22*'Controls'!$D$14,0))</x:f>
      </x:c>
      <x:c r="I9" s="13" t="str">
        <x:f>IF(COUNT(H9)=0,"",H9*'Controls'!$D$23)</x:f>
      </x:c>
      <x:c r="J9" s="13" t="str">
        <x:f>IF(OR(COUNT(G9)=0,G9=0),"",'Event Register'!H9/(G9*'Controls'!$D$22)/60)</x:f>
      </x:c>
      <x:c r="K9" s="13" t="str"/>
      <x:c r="L9" s="13" t="str"/>
      <x:c r="M9" s="13" t="str"/>
      <x:c r="N9" s="13" t="str"/>
      <x:c r="O9" s="13" t="str">
        <x:f>IF(N9=1,IF(AND(COUNT(G9,L9)=2,G9&lt;=F9,L9&lt;='Controls'!$D$65,IF(D9="AM-06",AND(COUNT(K9)=1,K9&lt;=1.6),1)),"PASS","FAIL"),"OPEN")</x:f>
        <x:v>OPEN</x:v>
      </x:c>
    </x:row>
    <x:row r="10">
      <x:c r="B10" s="13" t="str">
        <x:v>RAS-PT-004</x:v>
      </x:c>
      <x:c r="C10" s="13" t="str">
        <x:v>RAS-E004</x:v>
      </x:c>
      <x:c r="D10" s="13" t="str">
        <x:v>AM-05</x:v>
      </x:c>
      <x:c r="E10" s="13" t="str">
        <x:v>QE-04</x:v>
      </x:c>
      <x:c r="F10" s="13" t="n">
        <x:v>6.25</x:v>
      </x:c>
      <x:c r="G10" s="13" t="str"/>
      <x:c r="H10" s="13" t="str">
        <x:f>IF(COUNT(G10)=0,"",IF(D10="AM-06",G10*'Controls'!$D$22*'Controls'!$D$14,0))</x:f>
      </x:c>
      <x:c r="I10" s="13" t="str">
        <x:f>IF(COUNT(H10)=0,"",H10*'Controls'!$D$23)</x:f>
      </x:c>
      <x:c r="J10" s="13" t="str">
        <x:f>IF(OR(COUNT(G10)=0,G10=0),"",'Event Register'!H10/(G10*'Controls'!$D$22)/60)</x:f>
      </x:c>
      <x:c r="K10" s="13" t="str"/>
      <x:c r="L10" s="13" t="str"/>
      <x:c r="M10" s="13" t="str"/>
      <x:c r="N10" s="13" t="str"/>
      <x:c r="O10" s="13" t="str">
        <x:f>IF(N10=1,IF(AND(COUNT(G10,L10)=2,G10&lt;=F10,L10&lt;='Controls'!$D$65,IF(D10="AM-06",AND(COUNT(K10)=1,K10&lt;=1.6),1)),"PASS","FAIL"),"OPEN")</x:f>
        <x:v>OPEN</x:v>
      </x:c>
    </x:row>
    <x:row r="11">
      <x:c r="B11" s="13" t="str">
        <x:v>RAS-PT-005</x:v>
      </x:c>
      <x:c r="C11" s="13" t="str">
        <x:v>RAS-E005</x:v>
      </x:c>
      <x:c r="D11" s="13" t="str">
        <x:v>AM-05</x:v>
      </x:c>
      <x:c r="E11" s="13" t="str">
        <x:v>QE-05</x:v>
      </x:c>
      <x:c r="F11" s="13" t="n">
        <x:v>6.25</x:v>
      </x:c>
      <x:c r="G11" s="13" t="str"/>
      <x:c r="H11" s="13" t="str">
        <x:f>IF(COUNT(G11)=0,"",IF(D11="AM-06",G11*'Controls'!$D$22*'Controls'!$D$14,0))</x:f>
      </x:c>
      <x:c r="I11" s="13" t="str">
        <x:f>IF(COUNT(H11)=0,"",H11*'Controls'!$D$23)</x:f>
      </x:c>
      <x:c r="J11" s="13" t="str">
        <x:f>IF(OR(COUNT(G11)=0,G11=0),"",'Event Register'!H11/(G11*'Controls'!$D$22)/60)</x:f>
      </x:c>
      <x:c r="K11" s="13" t="str"/>
      <x:c r="L11" s="13" t="str"/>
      <x:c r="M11" s="13" t="str"/>
      <x:c r="N11" s="13" t="str"/>
      <x:c r="O11" s="13" t="str">
        <x:f>IF(N11=1,IF(AND(COUNT(G11,L11)=2,G11&lt;=F11,L11&lt;='Controls'!$D$65,IF(D11="AM-06",AND(COUNT(K11)=1,K11&lt;=1.6),1)),"PASS","FAIL"),"OPEN")</x:f>
        <x:v>OPEN</x:v>
      </x:c>
    </x:row>
    <x:row r="12">
      <x:c r="B12" s="13" t="str">
        <x:v>RAS-PT-006</x:v>
      </x:c>
      <x:c r="C12" s="13" t="str">
        <x:v>RAS-E006</x:v>
      </x:c>
      <x:c r="D12" s="13" t="str">
        <x:v>AM-05</x:v>
      </x:c>
      <x:c r="E12" s="13" t="str">
        <x:v>QE-06</x:v>
      </x:c>
      <x:c r="F12" s="13" t="n">
        <x:v>25</x:v>
      </x:c>
      <x:c r="G12" s="13" t="str"/>
      <x:c r="H12" s="13" t="str">
        <x:f>IF(COUNT(G12)=0,"",IF(D12="AM-06",G12*'Controls'!$D$22*'Controls'!$D$14,0))</x:f>
      </x:c>
      <x:c r="I12" s="13" t="str">
        <x:f>IF(COUNT(H12)=0,"",H12*'Controls'!$D$23)</x:f>
      </x:c>
      <x:c r="J12" s="13" t="str">
        <x:f>IF(OR(COUNT(G12)=0,G12=0),"",'Event Register'!H12/(G12*'Controls'!$D$22)/60)</x:f>
      </x:c>
      <x:c r="K12" s="13" t="str"/>
      <x:c r="L12" s="13" t="str"/>
      <x:c r="M12" s="13" t="str"/>
      <x:c r="N12" s="13" t="str"/>
      <x:c r="O12" s="13" t="str">
        <x:f>IF(N12=1,IF(AND(COUNT(G12,L12)=2,G12&lt;=F12,L12&lt;='Controls'!$D$65,IF(D12="AM-06",AND(COUNT(K12)=1,K12&lt;=1.6),1)),"PASS","FAIL"),"OPEN")</x:f>
        <x:v>OPEN</x:v>
      </x:c>
    </x:row>
    <x:row r="13">
      <x:c r="B13" s="13" t="str">
        <x:v>RAS-PT-007</x:v>
      </x:c>
      <x:c r="C13" s="13" t="str">
        <x:v>RAS-E007</x:v>
      </x:c>
      <x:c r="D13" s="13" t="str">
        <x:v>AM-05</x:v>
      </x:c>
      <x:c r="E13" s="13" t="str">
        <x:v>QE-01</x:v>
      </x:c>
      <x:c r="F13" s="13" t="n">
        <x:v>0</x:v>
      </x:c>
      <x:c r="G13" s="13" t="str"/>
      <x:c r="H13" s="13" t="str">
        <x:f>IF(COUNT(G13)=0,"",IF(D13="AM-06",G13*'Controls'!$D$22*'Controls'!$D$14,0))</x:f>
      </x:c>
      <x:c r="I13" s="13" t="str">
        <x:f>IF(COUNT(H13)=0,"",H13*'Controls'!$D$23)</x:f>
      </x:c>
      <x:c r="J13" s="13" t="str">
        <x:f>IF(OR(COUNT(G13)=0,G13=0),"",'Event Register'!H13/(G13*'Controls'!$D$22)/60)</x:f>
      </x:c>
      <x:c r="K13" s="13" t="str"/>
      <x:c r="L13" s="13" t="str"/>
      <x:c r="M13" s="13" t="str"/>
      <x:c r="N13" s="13" t="str"/>
      <x:c r="O13" s="13" t="str">
        <x:f>IF(N13=1,IF(AND(COUNT(G13,L13)=2,G13&lt;=F13,L13&lt;='Controls'!$D$65,IF(D13="AM-06",AND(COUNT(K13)=1,K13&lt;=1.6),1)),"PASS","FAIL"),"OPEN")</x:f>
        <x:v>OPEN</x:v>
      </x:c>
    </x:row>
    <x:row r="14">
      <x:c r="B14" s="13" t="str">
        <x:v>RAS-PT-008</x:v>
      </x:c>
      <x:c r="C14" s="13" t="str">
        <x:v>RAS-E008</x:v>
      </x:c>
      <x:c r="D14" s="13" t="str">
        <x:v>AM-05</x:v>
      </x:c>
      <x:c r="E14" s="13" t="str">
        <x:v>QE-02</x:v>
      </x:c>
      <x:c r="F14" s="13" t="n">
        <x:v>2.5</x:v>
      </x:c>
      <x:c r="G14" s="13" t="str"/>
      <x:c r="H14" s="13" t="str">
        <x:f>IF(COUNT(G14)=0,"",IF(D14="AM-06",G14*'Controls'!$D$22*'Controls'!$D$14,0))</x:f>
      </x:c>
      <x:c r="I14" s="13" t="str">
        <x:f>IF(COUNT(H14)=0,"",H14*'Controls'!$D$23)</x:f>
      </x:c>
      <x:c r="J14" s="13" t="str">
        <x:f>IF(OR(COUNT(G14)=0,G14=0),"",'Event Register'!H14/(G14*'Controls'!$D$22)/60)</x:f>
      </x:c>
      <x:c r="K14" s="13" t="str"/>
      <x:c r="L14" s="13" t="str"/>
      <x:c r="M14" s="13" t="str"/>
      <x:c r="N14" s="13" t="str"/>
      <x:c r="O14" s="13" t="str">
        <x:f>IF(N14=1,IF(AND(COUNT(G14,L14)=2,G14&lt;=F14,L14&lt;='Controls'!$D$65,IF(D14="AM-06",AND(COUNT(K14)=1,K14&lt;=1.6),1)),"PASS","FAIL"),"OPEN")</x:f>
        <x:v>OPEN</x:v>
      </x:c>
    </x:row>
    <x:row r="15">
      <x:c r="B15" s="13" t="str">
        <x:v>RAS-PT-009</x:v>
      </x:c>
      <x:c r="C15" s="13" t="str">
        <x:v>RAS-E009</x:v>
      </x:c>
      <x:c r="D15" s="13" t="str">
        <x:v>AM-05</x:v>
      </x:c>
      <x:c r="E15" s="13" t="str">
        <x:v>QE-03</x:v>
      </x:c>
      <x:c r="F15" s="13" t="n">
        <x:v>5</x:v>
      </x:c>
      <x:c r="G15" s="13" t="str"/>
      <x:c r="H15" s="13" t="str">
        <x:f>IF(COUNT(G15)=0,"",IF(D15="AM-06",G15*'Controls'!$D$22*'Controls'!$D$14,0))</x:f>
      </x:c>
      <x:c r="I15" s="13" t="str">
        <x:f>IF(COUNT(H15)=0,"",H15*'Controls'!$D$23)</x:f>
      </x:c>
      <x:c r="J15" s="13" t="str">
        <x:f>IF(OR(COUNT(G15)=0,G15=0),"",'Event Register'!H15/(G15*'Controls'!$D$22)/60)</x:f>
      </x:c>
      <x:c r="K15" s="13" t="str"/>
      <x:c r="L15" s="13" t="str"/>
      <x:c r="M15" s="13" t="str"/>
      <x:c r="N15" s="13" t="str"/>
      <x:c r="O15" s="13" t="str">
        <x:f>IF(N15=1,IF(AND(COUNT(G15,L15)=2,G15&lt;=F15,L15&lt;='Controls'!$D$65,IF(D15="AM-06",AND(COUNT(K15)=1,K15&lt;=1.6),1)),"PASS","FAIL"),"OPEN")</x:f>
        <x:v>OPEN</x:v>
      </x:c>
    </x:row>
    <x:row r="16">
      <x:c r="B16" s="13" t="str">
        <x:v>RAS-PT-010</x:v>
      </x:c>
      <x:c r="C16" s="13" t="str">
        <x:v>RAS-E010</x:v>
      </x:c>
      <x:c r="D16" s="13" t="str">
        <x:v>AM-05</x:v>
      </x:c>
      <x:c r="E16" s="13" t="str">
        <x:v>QE-04</x:v>
      </x:c>
      <x:c r="F16" s="13" t="n">
        <x:v>6.25</x:v>
      </x:c>
      <x:c r="G16" s="13" t="str"/>
      <x:c r="H16" s="13" t="str">
        <x:f>IF(COUNT(G16)=0,"",IF(D16="AM-06",G16*'Controls'!$D$22*'Controls'!$D$14,0))</x:f>
      </x:c>
      <x:c r="I16" s="13" t="str">
        <x:f>IF(COUNT(H16)=0,"",H16*'Controls'!$D$23)</x:f>
      </x:c>
      <x:c r="J16" s="13" t="str">
        <x:f>IF(OR(COUNT(G16)=0,G16=0),"",'Event Register'!H16/(G16*'Controls'!$D$22)/60)</x:f>
      </x:c>
      <x:c r="K16" s="13" t="str"/>
      <x:c r="L16" s="13" t="str"/>
      <x:c r="M16" s="13" t="str"/>
      <x:c r="N16" s="13" t="str"/>
      <x:c r="O16" s="13" t="str">
        <x:f>IF(N16=1,IF(AND(COUNT(G16,L16)=2,G16&lt;=F16,L16&lt;='Controls'!$D$65,IF(D16="AM-06",AND(COUNT(K16)=1,K16&lt;=1.6),1)),"PASS","FAIL"),"OPEN")</x:f>
        <x:v>OPEN</x:v>
      </x:c>
    </x:row>
    <x:row r="17">
      <x:c r="B17" s="13" t="str">
        <x:v>RAS-PT-011</x:v>
      </x:c>
      <x:c r="C17" s="13" t="str">
        <x:v>RAS-E011</x:v>
      </x:c>
      <x:c r="D17" s="13" t="str">
        <x:v>AM-05</x:v>
      </x:c>
      <x:c r="E17" s="13" t="str">
        <x:v>QE-05</x:v>
      </x:c>
      <x:c r="F17" s="13" t="n">
        <x:v>6.25</x:v>
      </x:c>
      <x:c r="G17" s="13" t="str"/>
      <x:c r="H17" s="13" t="str">
        <x:f>IF(COUNT(G17)=0,"",IF(D17="AM-06",G17*'Controls'!$D$22*'Controls'!$D$14,0))</x:f>
      </x:c>
      <x:c r="I17" s="13" t="str">
        <x:f>IF(COUNT(H17)=0,"",H17*'Controls'!$D$23)</x:f>
      </x:c>
      <x:c r="J17" s="13" t="str">
        <x:f>IF(OR(COUNT(G17)=0,G17=0),"",'Event Register'!H17/(G17*'Controls'!$D$22)/60)</x:f>
      </x:c>
      <x:c r="K17" s="13" t="str"/>
      <x:c r="L17" s="13" t="str"/>
      <x:c r="M17" s="13" t="str"/>
      <x:c r="N17" s="13" t="str"/>
      <x:c r="O17" s="13" t="str">
        <x:f>IF(N17=1,IF(AND(COUNT(G17,L17)=2,G17&lt;=F17,L17&lt;='Controls'!$D$65,IF(D17="AM-06",AND(COUNT(K17)=1,K17&lt;=1.6),1)),"PASS","FAIL"),"OPEN")</x:f>
        <x:v>OPEN</x:v>
      </x:c>
    </x:row>
    <x:row r="18">
      <x:c r="B18" s="13" t="str">
        <x:v>RAS-PT-012</x:v>
      </x:c>
      <x:c r="C18" s="13" t="str">
        <x:v>RAS-E012</x:v>
      </x:c>
      <x:c r="D18" s="13" t="str">
        <x:v>AM-05</x:v>
      </x:c>
      <x:c r="E18" s="13" t="str">
        <x:v>QE-06</x:v>
      </x:c>
      <x:c r="F18" s="13" t="n">
        <x:v>25</x:v>
      </x:c>
      <x:c r="G18" s="13" t="str"/>
      <x:c r="H18" s="13" t="str">
        <x:f>IF(COUNT(G18)=0,"",IF(D18="AM-06",G18*'Controls'!$D$22*'Controls'!$D$14,0))</x:f>
      </x:c>
      <x:c r="I18" s="13" t="str">
        <x:f>IF(COUNT(H18)=0,"",H18*'Controls'!$D$23)</x:f>
      </x:c>
      <x:c r="J18" s="13" t="str">
        <x:f>IF(OR(COUNT(G18)=0,G18=0),"",'Event Register'!H18/(G18*'Controls'!$D$22)/60)</x:f>
      </x:c>
      <x:c r="K18" s="13" t="str"/>
      <x:c r="L18" s="13" t="str"/>
      <x:c r="M18" s="13" t="str"/>
      <x:c r="N18" s="13" t="str"/>
      <x:c r="O18" s="13" t="str">
        <x:f>IF(N18=1,IF(AND(COUNT(G18,L18)=2,G18&lt;=F18,L18&lt;='Controls'!$D$65,IF(D18="AM-06",AND(COUNT(K18)=1,K18&lt;=1.6),1)),"PASS","FAIL"),"OPEN")</x:f>
        <x:v>OPEN</x:v>
      </x:c>
    </x:row>
    <x:row r="19">
      <x:c r="B19" s="13" t="str">
        <x:v>RAS-PT-013</x:v>
      </x:c>
      <x:c r="C19" s="13" t="str">
        <x:v>RAS-E013</x:v>
      </x:c>
      <x:c r="D19" s="13" t="str">
        <x:v>AM-05</x:v>
      </x:c>
      <x:c r="E19" s="13" t="str">
        <x:v>QE-01</x:v>
      </x:c>
      <x:c r="F19" s="13" t="n">
        <x:v>0</x:v>
      </x:c>
      <x:c r="G19" s="13" t="str"/>
      <x:c r="H19" s="13" t="str">
        <x:f>IF(COUNT(G19)=0,"",IF(D19="AM-06",G19*'Controls'!$D$22*'Controls'!$D$14,0))</x:f>
      </x:c>
      <x:c r="I19" s="13" t="str">
        <x:f>IF(COUNT(H19)=0,"",H19*'Controls'!$D$23)</x:f>
      </x:c>
      <x:c r="J19" s="13" t="str">
        <x:f>IF(OR(COUNT(G19)=0,G19=0),"",'Event Register'!H19/(G19*'Controls'!$D$22)/60)</x:f>
      </x:c>
      <x:c r="K19" s="13" t="str"/>
      <x:c r="L19" s="13" t="str"/>
      <x:c r="M19" s="13" t="str"/>
      <x:c r="N19" s="13" t="str"/>
      <x:c r="O19" s="13" t="str">
        <x:f>IF(N19=1,IF(AND(COUNT(G19,L19)=2,G19&lt;=F19,L19&lt;='Controls'!$D$65,IF(D19="AM-06",AND(COUNT(K19)=1,K19&lt;=1.6),1)),"PASS","FAIL"),"OPEN")</x:f>
        <x:v>OPEN</x:v>
      </x:c>
    </x:row>
    <x:row r="20">
      <x:c r="B20" s="13" t="str">
        <x:v>RAS-PT-014</x:v>
      </x:c>
      <x:c r="C20" s="13" t="str">
        <x:v>RAS-E014</x:v>
      </x:c>
      <x:c r="D20" s="13" t="str">
        <x:v>AM-05</x:v>
      </x:c>
      <x:c r="E20" s="13" t="str">
        <x:v>QE-02</x:v>
      </x:c>
      <x:c r="F20" s="13" t="n">
        <x:v>2.5</x:v>
      </x:c>
      <x:c r="G20" s="13" t="str"/>
      <x:c r="H20" s="13" t="str">
        <x:f>IF(COUNT(G20)=0,"",IF(D20="AM-06",G20*'Controls'!$D$22*'Controls'!$D$14,0))</x:f>
      </x:c>
      <x:c r="I20" s="13" t="str">
        <x:f>IF(COUNT(H20)=0,"",H20*'Controls'!$D$23)</x:f>
      </x:c>
      <x:c r="J20" s="13" t="str">
        <x:f>IF(OR(COUNT(G20)=0,G20=0),"",'Event Register'!H20/(G20*'Controls'!$D$22)/60)</x:f>
      </x:c>
      <x:c r="K20" s="13" t="str"/>
      <x:c r="L20" s="13" t="str"/>
      <x:c r="M20" s="13" t="str"/>
      <x:c r="N20" s="13" t="str"/>
      <x:c r="O20" s="13" t="str">
        <x:f>IF(N20=1,IF(AND(COUNT(G20,L20)=2,G20&lt;=F20,L20&lt;='Controls'!$D$65,IF(D20="AM-06",AND(COUNT(K20)=1,K20&lt;=1.6),1)),"PASS","FAIL"),"OPEN")</x:f>
        <x:v>OPEN</x:v>
      </x:c>
    </x:row>
    <x:row r="21">
      <x:c r="B21" s="13" t="str">
        <x:v>RAS-PT-015</x:v>
      </x:c>
      <x:c r="C21" s="13" t="str">
        <x:v>RAS-E015</x:v>
      </x:c>
      <x:c r="D21" s="13" t="str">
        <x:v>AM-05</x:v>
      </x:c>
      <x:c r="E21" s="13" t="str">
        <x:v>QE-03</x:v>
      </x:c>
      <x:c r="F21" s="13" t="n">
        <x:v>5</x:v>
      </x:c>
      <x:c r="G21" s="13" t="str"/>
      <x:c r="H21" s="13" t="str">
        <x:f>IF(COUNT(G21)=0,"",IF(D21="AM-06",G21*'Controls'!$D$22*'Controls'!$D$14,0))</x:f>
      </x:c>
      <x:c r="I21" s="13" t="str">
        <x:f>IF(COUNT(H21)=0,"",H21*'Controls'!$D$23)</x:f>
      </x:c>
      <x:c r="J21" s="13" t="str">
        <x:f>IF(OR(COUNT(G21)=0,G21=0),"",'Event Register'!H21/(G21*'Controls'!$D$22)/60)</x:f>
      </x:c>
      <x:c r="K21" s="13" t="str"/>
      <x:c r="L21" s="13" t="str"/>
      <x:c r="M21" s="13" t="str"/>
      <x:c r="N21" s="13" t="str"/>
      <x:c r="O21" s="13" t="str">
        <x:f>IF(N21=1,IF(AND(COUNT(G21,L21)=2,G21&lt;=F21,L21&lt;='Controls'!$D$65,IF(D21="AM-06",AND(COUNT(K21)=1,K21&lt;=1.6),1)),"PASS","FAIL"),"OPEN")</x:f>
        <x:v>OPEN</x:v>
      </x:c>
    </x:row>
    <x:row r="22">
      <x:c r="B22" s="13" t="str">
        <x:v>RAS-PT-016</x:v>
      </x:c>
      <x:c r="C22" s="13" t="str">
        <x:v>RAS-E016</x:v>
      </x:c>
      <x:c r="D22" s="13" t="str">
        <x:v>AM-05</x:v>
      </x:c>
      <x:c r="E22" s="13" t="str">
        <x:v>QE-04</x:v>
      </x:c>
      <x:c r="F22" s="13" t="n">
        <x:v>6.25</x:v>
      </x:c>
      <x:c r="G22" s="13" t="str"/>
      <x:c r="H22" s="13" t="str">
        <x:f>IF(COUNT(G22)=0,"",IF(D22="AM-06",G22*'Controls'!$D$22*'Controls'!$D$14,0))</x:f>
      </x:c>
      <x:c r="I22" s="13" t="str">
        <x:f>IF(COUNT(H22)=0,"",H22*'Controls'!$D$23)</x:f>
      </x:c>
      <x:c r="J22" s="13" t="str">
        <x:f>IF(OR(COUNT(G22)=0,G22=0),"",'Event Register'!H22/(G22*'Controls'!$D$22)/60)</x:f>
      </x:c>
      <x:c r="K22" s="13" t="str"/>
      <x:c r="L22" s="13" t="str"/>
      <x:c r="M22" s="13" t="str"/>
      <x:c r="N22" s="13" t="str"/>
      <x:c r="O22" s="13" t="str">
        <x:f>IF(N22=1,IF(AND(COUNT(G22,L22)=2,G22&lt;=F22,L22&lt;='Controls'!$D$65,IF(D22="AM-06",AND(COUNT(K22)=1,K22&lt;=1.6),1)),"PASS","FAIL"),"OPEN")</x:f>
        <x:v>OPEN</x:v>
      </x:c>
    </x:row>
    <x:row r="23">
      <x:c r="B23" s="13" t="str">
        <x:v>RAS-PT-017</x:v>
      </x:c>
      <x:c r="C23" s="13" t="str">
        <x:v>RAS-E017</x:v>
      </x:c>
      <x:c r="D23" s="13" t="str">
        <x:v>AM-05</x:v>
      </x:c>
      <x:c r="E23" s="13" t="str">
        <x:v>QE-05</x:v>
      </x:c>
      <x:c r="F23" s="13" t="n">
        <x:v>6.25</x:v>
      </x:c>
      <x:c r="G23" s="13" t="str"/>
      <x:c r="H23" s="13" t="str">
        <x:f>IF(COUNT(G23)=0,"",IF(D23="AM-06",G23*'Controls'!$D$22*'Controls'!$D$14,0))</x:f>
      </x:c>
      <x:c r="I23" s="13" t="str">
        <x:f>IF(COUNT(H23)=0,"",H23*'Controls'!$D$23)</x:f>
      </x:c>
      <x:c r="J23" s="13" t="str">
        <x:f>IF(OR(COUNT(G23)=0,G23=0),"",'Event Register'!H23/(G23*'Controls'!$D$22)/60)</x:f>
      </x:c>
      <x:c r="K23" s="13" t="str"/>
      <x:c r="L23" s="13" t="str"/>
      <x:c r="M23" s="13" t="str"/>
      <x:c r="N23" s="13" t="str"/>
      <x:c r="O23" s="13" t="str">
        <x:f>IF(N23=1,IF(AND(COUNT(G23,L23)=2,G23&lt;=F23,L23&lt;='Controls'!$D$65,IF(D23="AM-06",AND(COUNT(K23)=1,K23&lt;=1.6),1)),"PASS","FAIL"),"OPEN")</x:f>
        <x:v>OPEN</x:v>
      </x:c>
    </x:row>
    <x:row r="24">
      <x:c r="B24" s="13" t="str">
        <x:v>RAS-PT-018</x:v>
      </x:c>
      <x:c r="C24" s="13" t="str">
        <x:v>RAS-E018</x:v>
      </x:c>
      <x:c r="D24" s="13" t="str">
        <x:v>AM-05</x:v>
      </x:c>
      <x:c r="E24" s="13" t="str">
        <x:v>QE-06</x:v>
      </x:c>
      <x:c r="F24" s="13" t="n">
        <x:v>25</x:v>
      </x:c>
      <x:c r="G24" s="13" t="str"/>
      <x:c r="H24" s="13" t="str">
        <x:f>IF(COUNT(G24)=0,"",IF(D24="AM-06",G24*'Controls'!$D$22*'Controls'!$D$14,0))</x:f>
      </x:c>
      <x:c r="I24" s="13" t="str">
        <x:f>IF(COUNT(H24)=0,"",H24*'Controls'!$D$23)</x:f>
      </x:c>
      <x:c r="J24" s="13" t="str">
        <x:f>IF(OR(COUNT(G24)=0,G24=0),"",'Event Register'!H24/(G24*'Controls'!$D$22)/60)</x:f>
      </x:c>
      <x:c r="K24" s="13" t="str"/>
      <x:c r="L24" s="13" t="str"/>
      <x:c r="M24" s="13" t="str"/>
      <x:c r="N24" s="13" t="str"/>
      <x:c r="O24" s="13" t="str">
        <x:f>IF(N24=1,IF(AND(COUNT(G24,L24)=2,G24&lt;=F24,L24&lt;='Controls'!$D$65,IF(D24="AM-06",AND(COUNT(K24)=1,K24&lt;=1.6),1)),"PASS","FAIL"),"OPEN")</x:f>
        <x:v>OPEN</x:v>
      </x:c>
    </x:row>
    <x:row r="25">
      <x:c r="B25" s="13" t="str">
        <x:v>RAS-PT-019</x:v>
      </x:c>
      <x:c r="C25" s="13" t="str">
        <x:v>RAS-E019</x:v>
      </x:c>
      <x:c r="D25" s="13" t="str">
        <x:v>AM-05</x:v>
      </x:c>
      <x:c r="E25" s="13" t="str">
        <x:v>QE-01</x:v>
      </x:c>
      <x:c r="F25" s="13" t="n">
        <x:v>0</x:v>
      </x:c>
      <x:c r="G25" s="13" t="str"/>
      <x:c r="H25" s="13" t="str">
        <x:f>IF(COUNT(G25)=0,"",IF(D25="AM-06",G25*'Controls'!$D$22*'Controls'!$D$14,0))</x:f>
      </x:c>
      <x:c r="I25" s="13" t="str">
        <x:f>IF(COUNT(H25)=0,"",H25*'Controls'!$D$23)</x:f>
      </x:c>
      <x:c r="J25" s="13" t="str">
        <x:f>IF(OR(COUNT(G25)=0,G25=0),"",'Event Register'!H25/(G25*'Controls'!$D$22)/60)</x:f>
      </x:c>
      <x:c r="K25" s="13" t="str"/>
      <x:c r="L25" s="13" t="str"/>
      <x:c r="M25" s="13" t="str"/>
      <x:c r="N25" s="13" t="str"/>
      <x:c r="O25" s="13" t="str">
        <x:f>IF(N25=1,IF(AND(COUNT(G25,L25)=2,G25&lt;=F25,L25&lt;='Controls'!$D$65,IF(D25="AM-06",AND(COUNT(K25)=1,K25&lt;=1.6),1)),"PASS","FAIL"),"OPEN")</x:f>
        <x:v>OPEN</x:v>
      </x:c>
    </x:row>
    <x:row r="26">
      <x:c r="B26" s="13" t="str">
        <x:v>RAS-PT-020</x:v>
      </x:c>
      <x:c r="C26" s="13" t="str">
        <x:v>RAS-E020</x:v>
      </x:c>
      <x:c r="D26" s="13" t="str">
        <x:v>AM-05</x:v>
      </x:c>
      <x:c r="E26" s="13" t="str">
        <x:v>QE-02</x:v>
      </x:c>
      <x:c r="F26" s="13" t="n">
        <x:v>2.5</x:v>
      </x:c>
      <x:c r="G26" s="13" t="str"/>
      <x:c r="H26" s="13" t="str">
        <x:f>IF(COUNT(G26)=0,"",IF(D26="AM-06",G26*'Controls'!$D$22*'Controls'!$D$14,0))</x:f>
      </x:c>
      <x:c r="I26" s="13" t="str">
        <x:f>IF(COUNT(H26)=0,"",H26*'Controls'!$D$23)</x:f>
      </x:c>
      <x:c r="J26" s="13" t="str">
        <x:f>IF(OR(COUNT(G26)=0,G26=0),"",'Event Register'!H26/(G26*'Controls'!$D$22)/60)</x:f>
      </x:c>
      <x:c r="K26" s="13" t="str"/>
      <x:c r="L26" s="13" t="str"/>
      <x:c r="M26" s="13" t="str"/>
      <x:c r="N26" s="13" t="str"/>
      <x:c r="O26" s="13" t="str">
        <x:f>IF(N26=1,IF(AND(COUNT(G26,L26)=2,G26&lt;=F26,L26&lt;='Controls'!$D$65,IF(D26="AM-06",AND(COUNT(K26)=1,K26&lt;=1.6),1)),"PASS","FAIL"),"OPEN")</x:f>
        <x:v>OPEN</x:v>
      </x:c>
    </x:row>
    <x:row r="27">
      <x:c r="B27" s="13" t="str">
        <x:v>RAS-PT-021</x:v>
      </x:c>
      <x:c r="C27" s="13" t="str">
        <x:v>RAS-E021</x:v>
      </x:c>
      <x:c r="D27" s="13" t="str">
        <x:v>AM-05</x:v>
      </x:c>
      <x:c r="E27" s="13" t="str">
        <x:v>QE-03</x:v>
      </x:c>
      <x:c r="F27" s="13" t="n">
        <x:v>5</x:v>
      </x:c>
      <x:c r="G27" s="13" t="str"/>
      <x:c r="H27" s="13" t="str">
        <x:f>IF(COUNT(G27)=0,"",IF(D27="AM-06",G27*'Controls'!$D$22*'Controls'!$D$14,0))</x:f>
      </x:c>
      <x:c r="I27" s="13" t="str">
        <x:f>IF(COUNT(H27)=0,"",H27*'Controls'!$D$23)</x:f>
      </x:c>
      <x:c r="J27" s="13" t="str">
        <x:f>IF(OR(COUNT(G27)=0,G27=0),"",'Event Register'!H27/(G27*'Controls'!$D$22)/60)</x:f>
      </x:c>
      <x:c r="K27" s="13" t="str"/>
      <x:c r="L27" s="13" t="str"/>
      <x:c r="M27" s="13" t="str"/>
      <x:c r="N27" s="13" t="str"/>
      <x:c r="O27" s="13" t="str">
        <x:f>IF(N27=1,IF(AND(COUNT(G27,L27)=2,G27&lt;=F27,L27&lt;='Controls'!$D$65,IF(D27="AM-06",AND(COUNT(K27)=1,K27&lt;=1.6),1)),"PASS","FAIL"),"OPEN")</x:f>
        <x:v>OPEN</x:v>
      </x:c>
    </x:row>
    <x:row r="28">
      <x:c r="B28" s="13" t="str">
        <x:v>RAS-PT-022</x:v>
      </x:c>
      <x:c r="C28" s="13" t="str">
        <x:v>RAS-E022</x:v>
      </x:c>
      <x:c r="D28" s="13" t="str">
        <x:v>AM-05</x:v>
      </x:c>
      <x:c r="E28" s="13" t="str">
        <x:v>QE-04</x:v>
      </x:c>
      <x:c r="F28" s="13" t="n">
        <x:v>6.25</x:v>
      </x:c>
      <x:c r="G28" s="13" t="str"/>
      <x:c r="H28" s="13" t="str">
        <x:f>IF(COUNT(G28)=0,"",IF(D28="AM-06",G28*'Controls'!$D$22*'Controls'!$D$14,0))</x:f>
      </x:c>
      <x:c r="I28" s="13" t="str">
        <x:f>IF(COUNT(H28)=0,"",H28*'Controls'!$D$23)</x:f>
      </x:c>
      <x:c r="J28" s="13" t="str">
        <x:f>IF(OR(COUNT(G28)=0,G28=0),"",'Event Register'!H28/(G28*'Controls'!$D$22)/60)</x:f>
      </x:c>
      <x:c r="K28" s="13" t="str"/>
      <x:c r="L28" s="13" t="str"/>
      <x:c r="M28" s="13" t="str"/>
      <x:c r="N28" s="13" t="str"/>
      <x:c r="O28" s="13" t="str">
        <x:f>IF(N28=1,IF(AND(COUNT(G28,L28)=2,G28&lt;=F28,L28&lt;='Controls'!$D$65,IF(D28="AM-06",AND(COUNT(K28)=1,K28&lt;=1.6),1)),"PASS","FAIL"),"OPEN")</x:f>
        <x:v>OPEN</x:v>
      </x:c>
    </x:row>
    <x:row r="29">
      <x:c r="B29" s="13" t="str">
        <x:v>RAS-PT-023</x:v>
      </x:c>
      <x:c r="C29" s="13" t="str">
        <x:v>RAS-E023</x:v>
      </x:c>
      <x:c r="D29" s="13" t="str">
        <x:v>AM-05</x:v>
      </x:c>
      <x:c r="E29" s="13" t="str">
        <x:v>QE-05</x:v>
      </x:c>
      <x:c r="F29" s="13" t="n">
        <x:v>6.25</x:v>
      </x:c>
      <x:c r="G29" s="13" t="str"/>
      <x:c r="H29" s="13" t="str">
        <x:f>IF(COUNT(G29)=0,"",IF(D29="AM-06",G29*'Controls'!$D$22*'Controls'!$D$14,0))</x:f>
      </x:c>
      <x:c r="I29" s="13" t="str">
        <x:f>IF(COUNT(H29)=0,"",H29*'Controls'!$D$23)</x:f>
      </x:c>
      <x:c r="J29" s="13" t="str">
        <x:f>IF(OR(COUNT(G29)=0,G29=0),"",'Event Register'!H29/(G29*'Controls'!$D$22)/60)</x:f>
      </x:c>
      <x:c r="K29" s="13" t="str"/>
      <x:c r="L29" s="13" t="str"/>
      <x:c r="M29" s="13" t="str"/>
      <x:c r="N29" s="13" t="str"/>
      <x:c r="O29" s="13" t="str">
        <x:f>IF(N29=1,IF(AND(COUNT(G29,L29)=2,G29&lt;=F29,L29&lt;='Controls'!$D$65,IF(D29="AM-06",AND(COUNT(K29)=1,K29&lt;=1.6),1)),"PASS","FAIL"),"OPEN")</x:f>
        <x:v>OPEN</x:v>
      </x:c>
    </x:row>
    <x:row r="30">
      <x:c r="B30" s="13" t="str">
        <x:v>RAS-PT-024</x:v>
      </x:c>
      <x:c r="C30" s="13" t="str">
        <x:v>RAS-E024</x:v>
      </x:c>
      <x:c r="D30" s="13" t="str">
        <x:v>AM-05</x:v>
      </x:c>
      <x:c r="E30" s="13" t="str">
        <x:v>QE-06</x:v>
      </x:c>
      <x:c r="F30" s="13" t="n">
        <x:v>25</x:v>
      </x:c>
      <x:c r="G30" s="13" t="str"/>
      <x:c r="H30" s="13" t="str">
        <x:f>IF(COUNT(G30)=0,"",IF(D30="AM-06",G30*'Controls'!$D$22*'Controls'!$D$14,0))</x:f>
      </x:c>
      <x:c r="I30" s="13" t="str">
        <x:f>IF(COUNT(H30)=0,"",H30*'Controls'!$D$23)</x:f>
      </x:c>
      <x:c r="J30" s="13" t="str">
        <x:f>IF(OR(COUNT(G30)=0,G30=0),"",'Event Register'!H30/(G30*'Controls'!$D$22)/60)</x:f>
      </x:c>
      <x:c r="K30" s="13" t="str"/>
      <x:c r="L30" s="13" t="str"/>
      <x:c r="M30" s="13" t="str"/>
      <x:c r="N30" s="13" t="str"/>
      <x:c r="O30" s="13" t="str">
        <x:f>IF(N30=1,IF(AND(COUNT(G30,L30)=2,G30&lt;=F30,L30&lt;='Controls'!$D$65,IF(D30="AM-06",AND(COUNT(K30)=1,K30&lt;=1.6),1)),"PASS","FAIL"),"OPEN")</x:f>
        <x:v>OPEN</x:v>
      </x:c>
    </x:row>
    <x:row r="31">
      <x:c r="B31" s="13" t="str">
        <x:v>RAS-PT-025</x:v>
      </x:c>
      <x:c r="C31" s="13" t="str">
        <x:v>RAS-E025</x:v>
      </x:c>
      <x:c r="D31" s="13" t="str">
        <x:v>AM-05</x:v>
      </x:c>
      <x:c r="E31" s="13" t="str">
        <x:v>QE-01</x:v>
      </x:c>
      <x:c r="F31" s="13" t="n">
        <x:v>0</x:v>
      </x:c>
      <x:c r="G31" s="13" t="str"/>
      <x:c r="H31" s="13" t="str">
        <x:f>IF(COUNT(G31)=0,"",IF(D31="AM-06",G31*'Controls'!$D$22*'Controls'!$D$14,0))</x:f>
      </x:c>
      <x:c r="I31" s="13" t="str">
        <x:f>IF(COUNT(H31)=0,"",H31*'Controls'!$D$23)</x:f>
      </x:c>
      <x:c r="J31" s="13" t="str">
        <x:f>IF(OR(COUNT(G31)=0,G31=0),"",'Event Register'!H31/(G31*'Controls'!$D$22)/60)</x:f>
      </x:c>
      <x:c r="K31" s="13" t="str"/>
      <x:c r="L31" s="13" t="str"/>
      <x:c r="M31" s="13" t="str"/>
      <x:c r="N31" s="13" t="str"/>
      <x:c r="O31" s="13" t="str">
        <x:f>IF(N31=1,IF(AND(COUNT(G31,L31)=2,G31&lt;=F31,L31&lt;='Controls'!$D$65,IF(D31="AM-06",AND(COUNT(K31)=1,K31&lt;=1.6),1)),"PASS","FAIL"),"OPEN")</x:f>
        <x:v>OPEN</x:v>
      </x:c>
    </x:row>
    <x:row r="32">
      <x:c r="B32" s="13" t="str">
        <x:v>RAS-PT-026</x:v>
      </x:c>
      <x:c r="C32" s="13" t="str">
        <x:v>RAS-E026</x:v>
      </x:c>
      <x:c r="D32" s="13" t="str">
        <x:v>AM-05</x:v>
      </x:c>
      <x:c r="E32" s="13" t="str">
        <x:v>QE-02</x:v>
      </x:c>
      <x:c r="F32" s="13" t="n">
        <x:v>2.5</x:v>
      </x:c>
      <x:c r="G32" s="13" t="str"/>
      <x:c r="H32" s="13" t="str">
        <x:f>IF(COUNT(G32)=0,"",IF(D32="AM-06",G32*'Controls'!$D$22*'Controls'!$D$14,0))</x:f>
      </x:c>
      <x:c r="I32" s="13" t="str">
        <x:f>IF(COUNT(H32)=0,"",H32*'Controls'!$D$23)</x:f>
      </x:c>
      <x:c r="J32" s="13" t="str">
        <x:f>IF(OR(COUNT(G32)=0,G32=0),"",'Event Register'!H32/(G32*'Controls'!$D$22)/60)</x:f>
      </x:c>
      <x:c r="K32" s="13" t="str"/>
      <x:c r="L32" s="13" t="str"/>
      <x:c r="M32" s="13" t="str"/>
      <x:c r="N32" s="13" t="str"/>
      <x:c r="O32" s="13" t="str">
        <x:f>IF(N32=1,IF(AND(COUNT(G32,L32)=2,G32&lt;=F32,L32&lt;='Controls'!$D$65,IF(D32="AM-06",AND(COUNT(K32)=1,K32&lt;=1.6),1)),"PASS","FAIL"),"OPEN")</x:f>
        <x:v>OPEN</x:v>
      </x:c>
    </x:row>
    <x:row r="33">
      <x:c r="B33" s="13" t="str">
        <x:v>RAS-PT-027</x:v>
      </x:c>
      <x:c r="C33" s="13" t="str">
        <x:v>RAS-E027</x:v>
      </x:c>
      <x:c r="D33" s="13" t="str">
        <x:v>AM-05</x:v>
      </x:c>
      <x:c r="E33" s="13" t="str">
        <x:v>QE-03</x:v>
      </x:c>
      <x:c r="F33" s="13" t="n">
        <x:v>5</x:v>
      </x:c>
      <x:c r="G33" s="13" t="str"/>
      <x:c r="H33" s="13" t="str">
        <x:f>IF(COUNT(G33)=0,"",IF(D33="AM-06",G33*'Controls'!$D$22*'Controls'!$D$14,0))</x:f>
      </x:c>
      <x:c r="I33" s="13" t="str">
        <x:f>IF(COUNT(H33)=0,"",H33*'Controls'!$D$23)</x:f>
      </x:c>
      <x:c r="J33" s="13" t="str">
        <x:f>IF(OR(COUNT(G33)=0,G33=0),"",'Event Register'!H33/(G33*'Controls'!$D$22)/60)</x:f>
      </x:c>
      <x:c r="K33" s="13" t="str"/>
      <x:c r="L33" s="13" t="str"/>
      <x:c r="M33" s="13" t="str"/>
      <x:c r="N33" s="13" t="str"/>
      <x:c r="O33" s="13" t="str">
        <x:f>IF(N33=1,IF(AND(COUNT(G33,L33)=2,G33&lt;=F33,L33&lt;='Controls'!$D$65,IF(D33="AM-06",AND(COUNT(K33)=1,K33&lt;=1.6),1)),"PASS","FAIL"),"OPEN")</x:f>
        <x:v>OPEN</x:v>
      </x:c>
    </x:row>
    <x:row r="34">
      <x:c r="B34" s="13" t="str">
        <x:v>RAS-PT-028</x:v>
      </x:c>
      <x:c r="C34" s="13" t="str">
        <x:v>RAS-E028</x:v>
      </x:c>
      <x:c r="D34" s="13" t="str">
        <x:v>AM-05</x:v>
      </x:c>
      <x:c r="E34" s="13" t="str">
        <x:v>QE-04</x:v>
      </x:c>
      <x:c r="F34" s="13" t="n">
        <x:v>6.25</x:v>
      </x:c>
      <x:c r="G34" s="13" t="str"/>
      <x:c r="H34" s="13" t="str">
        <x:f>IF(COUNT(G34)=0,"",IF(D34="AM-06",G34*'Controls'!$D$22*'Controls'!$D$14,0))</x:f>
      </x:c>
      <x:c r="I34" s="13" t="str">
        <x:f>IF(COUNT(H34)=0,"",H34*'Controls'!$D$23)</x:f>
      </x:c>
      <x:c r="J34" s="13" t="str">
        <x:f>IF(OR(COUNT(G34)=0,G34=0),"",'Event Register'!H34/(G34*'Controls'!$D$22)/60)</x:f>
      </x:c>
      <x:c r="K34" s="13" t="str"/>
      <x:c r="L34" s="13" t="str"/>
      <x:c r="M34" s="13" t="str"/>
      <x:c r="N34" s="13" t="str"/>
      <x:c r="O34" s="13" t="str">
        <x:f>IF(N34=1,IF(AND(COUNT(G34,L34)=2,G34&lt;=F34,L34&lt;='Controls'!$D$65,IF(D34="AM-06",AND(COUNT(K34)=1,K34&lt;=1.6),1)),"PASS","FAIL"),"OPEN")</x:f>
        <x:v>OPEN</x:v>
      </x:c>
    </x:row>
    <x:row r="35">
      <x:c r="B35" s="13" t="str">
        <x:v>RAS-PT-029</x:v>
      </x:c>
      <x:c r="C35" s="13" t="str">
        <x:v>RAS-E029</x:v>
      </x:c>
      <x:c r="D35" s="13" t="str">
        <x:v>AM-05</x:v>
      </x:c>
      <x:c r="E35" s="13" t="str">
        <x:v>QE-05</x:v>
      </x:c>
      <x:c r="F35" s="13" t="n">
        <x:v>6.25</x:v>
      </x:c>
      <x:c r="G35" s="13" t="str"/>
      <x:c r="H35" s="13" t="str">
        <x:f>IF(COUNT(G35)=0,"",IF(D35="AM-06",G35*'Controls'!$D$22*'Controls'!$D$14,0))</x:f>
      </x:c>
      <x:c r="I35" s="13" t="str">
        <x:f>IF(COUNT(H35)=0,"",H35*'Controls'!$D$23)</x:f>
      </x:c>
      <x:c r="J35" s="13" t="str">
        <x:f>IF(OR(COUNT(G35)=0,G35=0),"",'Event Register'!H35/(G35*'Controls'!$D$22)/60)</x:f>
      </x:c>
      <x:c r="K35" s="13" t="str"/>
      <x:c r="L35" s="13" t="str"/>
      <x:c r="M35" s="13" t="str"/>
      <x:c r="N35" s="13" t="str"/>
      <x:c r="O35" s="13" t="str">
        <x:f>IF(N35=1,IF(AND(COUNT(G35,L35)=2,G35&lt;=F35,L35&lt;='Controls'!$D$65,IF(D35="AM-06",AND(COUNT(K35)=1,K35&lt;=1.6),1)),"PASS","FAIL"),"OPEN")</x:f>
        <x:v>OPEN</x:v>
      </x:c>
    </x:row>
    <x:row r="36">
      <x:c r="B36" s="13" t="str">
        <x:v>RAS-PT-030</x:v>
      </x:c>
      <x:c r="C36" s="13" t="str">
        <x:v>RAS-E030</x:v>
      </x:c>
      <x:c r="D36" s="13" t="str">
        <x:v>AM-05</x:v>
      </x:c>
      <x:c r="E36" s="13" t="str">
        <x:v>QE-06</x:v>
      </x:c>
      <x:c r="F36" s="13" t="n">
        <x:v>25</x:v>
      </x:c>
      <x:c r="G36" s="13" t="str"/>
      <x:c r="H36" s="13" t="str">
        <x:f>IF(COUNT(G36)=0,"",IF(D36="AM-06",G36*'Controls'!$D$22*'Controls'!$D$14,0))</x:f>
      </x:c>
      <x:c r="I36" s="13" t="str">
        <x:f>IF(COUNT(H36)=0,"",H36*'Controls'!$D$23)</x:f>
      </x:c>
      <x:c r="J36" s="13" t="str">
        <x:f>IF(OR(COUNT(G36)=0,G36=0),"",'Event Register'!H36/(G36*'Controls'!$D$22)/60)</x:f>
      </x:c>
      <x:c r="K36" s="13" t="str"/>
      <x:c r="L36" s="13" t="str"/>
      <x:c r="M36" s="13" t="str"/>
      <x:c r="N36" s="13" t="str"/>
      <x:c r="O36" s="13" t="str">
        <x:f>IF(N36=1,IF(AND(COUNT(G36,L36)=2,G36&lt;=F36,L36&lt;='Controls'!$D$65,IF(D36="AM-06",AND(COUNT(K36)=1,K36&lt;=1.6),1)),"PASS","FAIL"),"OPEN")</x:f>
        <x:v>OPEN</x:v>
      </x:c>
    </x:row>
    <x:row r="37">
      <x:c r="B37" s="13" t="str">
        <x:v>RAS-PT-031</x:v>
      </x:c>
      <x:c r="C37" s="13" t="str">
        <x:v>RAS-E031</x:v>
      </x:c>
      <x:c r="D37" s="13" t="str">
        <x:v>AM-05</x:v>
      </x:c>
      <x:c r="E37" s="13" t="str">
        <x:v>QE-01</x:v>
      </x:c>
      <x:c r="F37" s="13" t="n">
        <x:v>0</x:v>
      </x:c>
      <x:c r="G37" s="13" t="str"/>
      <x:c r="H37" s="13" t="str">
        <x:f>IF(COUNT(G37)=0,"",IF(D37="AM-06",G37*'Controls'!$D$22*'Controls'!$D$14,0))</x:f>
      </x:c>
      <x:c r="I37" s="13" t="str">
        <x:f>IF(COUNT(H37)=0,"",H37*'Controls'!$D$23)</x:f>
      </x:c>
      <x:c r="J37" s="13" t="str">
        <x:f>IF(OR(COUNT(G37)=0,G37=0),"",'Event Register'!H37/(G37*'Controls'!$D$22)/60)</x:f>
      </x:c>
      <x:c r="K37" s="13" t="str"/>
      <x:c r="L37" s="13" t="str"/>
      <x:c r="M37" s="13" t="str"/>
      <x:c r="N37" s="13" t="str"/>
      <x:c r="O37" s="13" t="str">
        <x:f>IF(N37=1,IF(AND(COUNT(G37,L37)=2,G37&lt;=F37,L37&lt;='Controls'!$D$65,IF(D37="AM-06",AND(COUNT(K37)=1,K37&lt;=1.6),1)),"PASS","FAIL"),"OPEN")</x:f>
        <x:v>OPEN</x:v>
      </x:c>
    </x:row>
    <x:row r="38">
      <x:c r="B38" s="13" t="str">
        <x:v>RAS-PT-032</x:v>
      </x:c>
      <x:c r="C38" s="13" t="str">
        <x:v>RAS-E032</x:v>
      </x:c>
      <x:c r="D38" s="13" t="str">
        <x:v>AM-05</x:v>
      </x:c>
      <x:c r="E38" s="13" t="str">
        <x:v>QE-02</x:v>
      </x:c>
      <x:c r="F38" s="13" t="n">
        <x:v>2.5</x:v>
      </x:c>
      <x:c r="G38" s="13" t="str"/>
      <x:c r="H38" s="13" t="str">
        <x:f>IF(COUNT(G38)=0,"",IF(D38="AM-06",G38*'Controls'!$D$22*'Controls'!$D$14,0))</x:f>
      </x:c>
      <x:c r="I38" s="13" t="str">
        <x:f>IF(COUNT(H38)=0,"",H38*'Controls'!$D$23)</x:f>
      </x:c>
      <x:c r="J38" s="13" t="str">
        <x:f>IF(OR(COUNT(G38)=0,G38=0),"",'Event Register'!H38/(G38*'Controls'!$D$22)/60)</x:f>
      </x:c>
      <x:c r="K38" s="13" t="str"/>
      <x:c r="L38" s="13" t="str"/>
      <x:c r="M38" s="13" t="str"/>
      <x:c r="N38" s="13" t="str"/>
      <x:c r="O38" s="13" t="str">
        <x:f>IF(N38=1,IF(AND(COUNT(G38,L38)=2,G38&lt;=F38,L38&lt;='Controls'!$D$65,IF(D38="AM-06",AND(COUNT(K38)=1,K38&lt;=1.6),1)),"PASS","FAIL"),"OPEN")</x:f>
        <x:v>OPEN</x:v>
      </x:c>
    </x:row>
    <x:row r="39">
      <x:c r="B39" s="13" t="str">
        <x:v>RAS-PT-033</x:v>
      </x:c>
      <x:c r="C39" s="13" t="str">
        <x:v>RAS-E033</x:v>
      </x:c>
      <x:c r="D39" s="13" t="str">
        <x:v>AM-05</x:v>
      </x:c>
      <x:c r="E39" s="13" t="str">
        <x:v>QE-03</x:v>
      </x:c>
      <x:c r="F39" s="13" t="n">
        <x:v>5</x:v>
      </x:c>
      <x:c r="G39" s="13" t="str"/>
      <x:c r="H39" s="13" t="str">
        <x:f>IF(COUNT(G39)=0,"",IF(D39="AM-06",G39*'Controls'!$D$22*'Controls'!$D$14,0))</x:f>
      </x:c>
      <x:c r="I39" s="13" t="str">
        <x:f>IF(COUNT(H39)=0,"",H39*'Controls'!$D$23)</x:f>
      </x:c>
      <x:c r="J39" s="13" t="str">
        <x:f>IF(OR(COUNT(G39)=0,G39=0),"",'Event Register'!H39/(G39*'Controls'!$D$22)/60)</x:f>
      </x:c>
      <x:c r="K39" s="13" t="str"/>
      <x:c r="L39" s="13" t="str"/>
      <x:c r="M39" s="13" t="str"/>
      <x:c r="N39" s="13" t="str"/>
      <x:c r="O39" s="13" t="str">
        <x:f>IF(N39=1,IF(AND(COUNT(G39,L39)=2,G39&lt;=F39,L39&lt;='Controls'!$D$65,IF(D39="AM-06",AND(COUNT(K39)=1,K39&lt;=1.6),1)),"PASS","FAIL"),"OPEN")</x:f>
        <x:v>OPEN</x:v>
      </x:c>
    </x:row>
    <x:row r="40">
      <x:c r="B40" s="13" t="str">
        <x:v>RAS-PT-034</x:v>
      </x:c>
      <x:c r="C40" s="13" t="str">
        <x:v>RAS-E034</x:v>
      </x:c>
      <x:c r="D40" s="13" t="str">
        <x:v>AM-05</x:v>
      </x:c>
      <x:c r="E40" s="13" t="str">
        <x:v>QE-04</x:v>
      </x:c>
      <x:c r="F40" s="13" t="n">
        <x:v>6.25</x:v>
      </x:c>
      <x:c r="G40" s="13" t="str"/>
      <x:c r="H40" s="13" t="str">
        <x:f>IF(COUNT(G40)=0,"",IF(D40="AM-06",G40*'Controls'!$D$22*'Controls'!$D$14,0))</x:f>
      </x:c>
      <x:c r="I40" s="13" t="str">
        <x:f>IF(COUNT(H40)=0,"",H40*'Controls'!$D$23)</x:f>
      </x:c>
      <x:c r="J40" s="13" t="str">
        <x:f>IF(OR(COUNT(G40)=0,G40=0),"",'Event Register'!H40/(G40*'Controls'!$D$22)/60)</x:f>
      </x:c>
      <x:c r="K40" s="13" t="str"/>
      <x:c r="L40" s="13" t="str"/>
      <x:c r="M40" s="13" t="str"/>
      <x:c r="N40" s="13" t="str"/>
      <x:c r="O40" s="13" t="str">
        <x:f>IF(N40=1,IF(AND(COUNT(G40,L40)=2,G40&lt;=F40,L40&lt;='Controls'!$D$65,IF(D40="AM-06",AND(COUNT(K40)=1,K40&lt;=1.6),1)),"PASS","FAIL"),"OPEN")</x:f>
        <x:v>OPEN</x:v>
      </x:c>
    </x:row>
    <x:row r="41">
      <x:c r="B41" s="13" t="str">
        <x:v>RAS-PT-035</x:v>
      </x:c>
      <x:c r="C41" s="13" t="str">
        <x:v>RAS-E035</x:v>
      </x:c>
      <x:c r="D41" s="13" t="str">
        <x:v>AM-05</x:v>
      </x:c>
      <x:c r="E41" s="13" t="str">
        <x:v>QE-05</x:v>
      </x:c>
      <x:c r="F41" s="13" t="n">
        <x:v>6.25</x:v>
      </x:c>
      <x:c r="G41" s="13" t="str"/>
      <x:c r="H41" s="13" t="str">
        <x:f>IF(COUNT(G41)=0,"",IF(D41="AM-06",G41*'Controls'!$D$22*'Controls'!$D$14,0))</x:f>
      </x:c>
      <x:c r="I41" s="13" t="str">
        <x:f>IF(COUNT(H41)=0,"",H41*'Controls'!$D$23)</x:f>
      </x:c>
      <x:c r="J41" s="13" t="str">
        <x:f>IF(OR(COUNT(G41)=0,G41=0),"",'Event Register'!H41/(G41*'Controls'!$D$22)/60)</x:f>
      </x:c>
      <x:c r="K41" s="13" t="str"/>
      <x:c r="L41" s="13" t="str"/>
      <x:c r="M41" s="13" t="str"/>
      <x:c r="N41" s="13" t="str"/>
      <x:c r="O41" s="13" t="str">
        <x:f>IF(N41=1,IF(AND(COUNT(G41,L41)=2,G41&lt;=F41,L41&lt;='Controls'!$D$65,IF(D41="AM-06",AND(COUNT(K41)=1,K41&lt;=1.6),1)),"PASS","FAIL"),"OPEN")</x:f>
        <x:v>OPEN</x:v>
      </x:c>
    </x:row>
    <x:row r="42">
      <x:c r="B42" s="13" t="str">
        <x:v>RAS-PT-036</x:v>
      </x:c>
      <x:c r="C42" s="13" t="str">
        <x:v>RAS-E036</x:v>
      </x:c>
      <x:c r="D42" s="13" t="str">
        <x:v>AM-05</x:v>
      </x:c>
      <x:c r="E42" s="13" t="str">
        <x:v>QE-06</x:v>
      </x:c>
      <x:c r="F42" s="13" t="n">
        <x:v>25</x:v>
      </x:c>
      <x:c r="G42" s="13" t="str"/>
      <x:c r="H42" s="13" t="str">
        <x:f>IF(COUNT(G42)=0,"",IF(D42="AM-06",G42*'Controls'!$D$22*'Controls'!$D$14,0))</x:f>
      </x:c>
      <x:c r="I42" s="13" t="str">
        <x:f>IF(COUNT(H42)=0,"",H42*'Controls'!$D$23)</x:f>
      </x:c>
      <x:c r="J42" s="13" t="str">
        <x:f>IF(OR(COUNT(G42)=0,G42=0),"",'Event Register'!H42/(G42*'Controls'!$D$22)/60)</x:f>
      </x:c>
      <x:c r="K42" s="13" t="str"/>
      <x:c r="L42" s="13" t="str"/>
      <x:c r="M42" s="13" t="str"/>
      <x:c r="N42" s="13" t="str"/>
      <x:c r="O42" s="13" t="str">
        <x:f>IF(N42=1,IF(AND(COUNT(G42,L42)=2,G42&lt;=F42,L42&lt;='Controls'!$D$65,IF(D42="AM-06",AND(COUNT(K42)=1,K42&lt;=1.6),1)),"PASS","FAIL"),"OPEN")</x:f>
        <x:v>OPEN</x:v>
      </x:c>
    </x:row>
    <x:row r="43">
      <x:c r="B43" s="13" t="str">
        <x:v>RAS-PT-037</x:v>
      </x:c>
      <x:c r="C43" s="13" t="str">
        <x:v>RAS-E037</x:v>
      </x:c>
      <x:c r="D43" s="13" t="str">
        <x:v>AM-05</x:v>
      </x:c>
      <x:c r="E43" s="13" t="str">
        <x:v>QE-01</x:v>
      </x:c>
      <x:c r="F43" s="13" t="n">
        <x:v>0</x:v>
      </x:c>
      <x:c r="G43" s="13" t="str"/>
      <x:c r="H43" s="13" t="str">
        <x:f>IF(COUNT(G43)=0,"",IF(D43="AM-06",G43*'Controls'!$D$22*'Controls'!$D$14,0))</x:f>
      </x:c>
      <x:c r="I43" s="13" t="str">
        <x:f>IF(COUNT(H43)=0,"",H43*'Controls'!$D$23)</x:f>
      </x:c>
      <x:c r="J43" s="13" t="str">
        <x:f>IF(OR(COUNT(G43)=0,G43=0),"",'Event Register'!H43/(G43*'Controls'!$D$22)/60)</x:f>
      </x:c>
      <x:c r="K43" s="13" t="str"/>
      <x:c r="L43" s="13" t="str"/>
      <x:c r="M43" s="13" t="str"/>
      <x:c r="N43" s="13" t="str"/>
      <x:c r="O43" s="13" t="str">
        <x:f>IF(N43=1,IF(AND(COUNT(G43,L43)=2,G43&lt;=F43,L43&lt;='Controls'!$D$65,IF(D43="AM-06",AND(COUNT(K43)=1,K43&lt;=1.6),1)),"PASS","FAIL"),"OPEN")</x:f>
        <x:v>OPEN</x:v>
      </x:c>
    </x:row>
    <x:row r="44">
      <x:c r="B44" s="13" t="str">
        <x:v>RAS-PT-038</x:v>
      </x:c>
      <x:c r="C44" s="13" t="str">
        <x:v>RAS-E038</x:v>
      </x:c>
      <x:c r="D44" s="13" t="str">
        <x:v>AM-05</x:v>
      </x:c>
      <x:c r="E44" s="13" t="str">
        <x:v>QE-02</x:v>
      </x:c>
      <x:c r="F44" s="13" t="n">
        <x:v>2.5</x:v>
      </x:c>
      <x:c r="G44" s="13" t="str"/>
      <x:c r="H44" s="13" t="str">
        <x:f>IF(COUNT(G44)=0,"",IF(D44="AM-06",G44*'Controls'!$D$22*'Controls'!$D$14,0))</x:f>
      </x:c>
      <x:c r="I44" s="13" t="str">
        <x:f>IF(COUNT(H44)=0,"",H44*'Controls'!$D$23)</x:f>
      </x:c>
      <x:c r="J44" s="13" t="str">
        <x:f>IF(OR(COUNT(G44)=0,G44=0),"",'Event Register'!H44/(G44*'Controls'!$D$22)/60)</x:f>
      </x:c>
      <x:c r="K44" s="13" t="str"/>
      <x:c r="L44" s="13" t="str"/>
      <x:c r="M44" s="13" t="str"/>
      <x:c r="N44" s="13" t="str"/>
      <x:c r="O44" s="13" t="str">
        <x:f>IF(N44=1,IF(AND(COUNT(G44,L44)=2,G44&lt;=F44,L44&lt;='Controls'!$D$65,IF(D44="AM-06",AND(COUNT(K44)=1,K44&lt;=1.6),1)),"PASS","FAIL"),"OPEN")</x:f>
        <x:v>OPEN</x:v>
      </x:c>
    </x:row>
    <x:row r="45">
      <x:c r="B45" s="13" t="str">
        <x:v>RAS-PT-039</x:v>
      </x:c>
      <x:c r="C45" s="13" t="str">
        <x:v>RAS-E039</x:v>
      </x:c>
      <x:c r="D45" s="13" t="str">
        <x:v>AM-05</x:v>
      </x:c>
      <x:c r="E45" s="13" t="str">
        <x:v>QE-03</x:v>
      </x:c>
      <x:c r="F45" s="13" t="n">
        <x:v>5</x:v>
      </x:c>
      <x:c r="G45" s="13" t="str"/>
      <x:c r="H45" s="13" t="str">
        <x:f>IF(COUNT(G45)=0,"",IF(D45="AM-06",G45*'Controls'!$D$22*'Controls'!$D$14,0))</x:f>
      </x:c>
      <x:c r="I45" s="13" t="str">
        <x:f>IF(COUNT(H45)=0,"",H45*'Controls'!$D$23)</x:f>
      </x:c>
      <x:c r="J45" s="13" t="str">
        <x:f>IF(OR(COUNT(G45)=0,G45=0),"",'Event Register'!H45/(G45*'Controls'!$D$22)/60)</x:f>
      </x:c>
      <x:c r="K45" s="13" t="str"/>
      <x:c r="L45" s="13" t="str"/>
      <x:c r="M45" s="13" t="str"/>
      <x:c r="N45" s="13" t="str"/>
      <x:c r="O45" s="13" t="str">
        <x:f>IF(N45=1,IF(AND(COUNT(G45,L45)=2,G45&lt;=F45,L45&lt;='Controls'!$D$65,IF(D45="AM-06",AND(COUNT(K45)=1,K45&lt;=1.6),1)),"PASS","FAIL"),"OPEN")</x:f>
        <x:v>OPEN</x:v>
      </x:c>
    </x:row>
    <x:row r="46">
      <x:c r="B46" s="13" t="str">
        <x:v>RAS-PT-040</x:v>
      </x:c>
      <x:c r="C46" s="13" t="str">
        <x:v>RAS-E040</x:v>
      </x:c>
      <x:c r="D46" s="13" t="str">
        <x:v>AM-05</x:v>
      </x:c>
      <x:c r="E46" s="13" t="str">
        <x:v>QE-04</x:v>
      </x:c>
      <x:c r="F46" s="13" t="n">
        <x:v>6.25</x:v>
      </x:c>
      <x:c r="G46" s="13" t="str"/>
      <x:c r="H46" s="13" t="str">
        <x:f>IF(COUNT(G46)=0,"",IF(D46="AM-06",G46*'Controls'!$D$22*'Controls'!$D$14,0))</x:f>
      </x:c>
      <x:c r="I46" s="13" t="str">
        <x:f>IF(COUNT(H46)=0,"",H46*'Controls'!$D$23)</x:f>
      </x:c>
      <x:c r="J46" s="13" t="str">
        <x:f>IF(OR(COUNT(G46)=0,G46=0),"",'Event Register'!H46/(G46*'Controls'!$D$22)/60)</x:f>
      </x:c>
      <x:c r="K46" s="13" t="str"/>
      <x:c r="L46" s="13" t="str"/>
      <x:c r="M46" s="13" t="str"/>
      <x:c r="N46" s="13" t="str"/>
      <x:c r="O46" s="13" t="str">
        <x:f>IF(N46=1,IF(AND(COUNT(G46,L46)=2,G46&lt;=F46,L46&lt;='Controls'!$D$65,IF(D46="AM-06",AND(COUNT(K46)=1,K46&lt;=1.6),1)),"PASS","FAIL"),"OPEN")</x:f>
        <x:v>OPEN</x:v>
      </x:c>
    </x:row>
    <x:row r="47">
      <x:c r="B47" s="13" t="str">
        <x:v>RAS-PT-041</x:v>
      </x:c>
      <x:c r="C47" s="13" t="str">
        <x:v>RAS-E041</x:v>
      </x:c>
      <x:c r="D47" s="13" t="str">
        <x:v>AM-05</x:v>
      </x:c>
      <x:c r="E47" s="13" t="str">
        <x:v>QE-05</x:v>
      </x:c>
      <x:c r="F47" s="13" t="n">
        <x:v>6.25</x:v>
      </x:c>
      <x:c r="G47" s="13" t="str"/>
      <x:c r="H47" s="13" t="str">
        <x:f>IF(COUNT(G47)=0,"",IF(D47="AM-06",G47*'Controls'!$D$22*'Controls'!$D$14,0))</x:f>
      </x:c>
      <x:c r="I47" s="13" t="str">
        <x:f>IF(COUNT(H47)=0,"",H47*'Controls'!$D$23)</x:f>
      </x:c>
      <x:c r="J47" s="13" t="str">
        <x:f>IF(OR(COUNT(G47)=0,G47=0),"",'Event Register'!H47/(G47*'Controls'!$D$22)/60)</x:f>
      </x:c>
      <x:c r="K47" s="13" t="str"/>
      <x:c r="L47" s="13" t="str"/>
      <x:c r="M47" s="13" t="str"/>
      <x:c r="N47" s="13" t="str"/>
      <x:c r="O47" s="13" t="str">
        <x:f>IF(N47=1,IF(AND(COUNT(G47,L47)=2,G47&lt;=F47,L47&lt;='Controls'!$D$65,IF(D47="AM-06",AND(COUNT(K47)=1,K47&lt;=1.6),1)),"PASS","FAIL"),"OPEN")</x:f>
        <x:v>OPEN</x:v>
      </x:c>
    </x:row>
    <x:row r="48">
      <x:c r="B48" s="13" t="str">
        <x:v>RAS-PT-042</x:v>
      </x:c>
      <x:c r="C48" s="13" t="str">
        <x:v>RAS-E042</x:v>
      </x:c>
      <x:c r="D48" s="13" t="str">
        <x:v>AM-05</x:v>
      </x:c>
      <x:c r="E48" s="13" t="str">
        <x:v>QE-06</x:v>
      </x:c>
      <x:c r="F48" s="13" t="n">
        <x:v>25</x:v>
      </x:c>
      <x:c r="G48" s="13" t="str"/>
      <x:c r="H48" s="13" t="str">
        <x:f>IF(COUNT(G48)=0,"",IF(D48="AM-06",G48*'Controls'!$D$22*'Controls'!$D$14,0))</x:f>
      </x:c>
      <x:c r="I48" s="13" t="str">
        <x:f>IF(COUNT(H48)=0,"",H48*'Controls'!$D$23)</x:f>
      </x:c>
      <x:c r="J48" s="13" t="str">
        <x:f>IF(OR(COUNT(G48)=0,G48=0),"",'Event Register'!H48/(G48*'Controls'!$D$22)/60)</x:f>
      </x:c>
      <x:c r="K48" s="13" t="str"/>
      <x:c r="L48" s="13" t="str"/>
      <x:c r="M48" s="13" t="str"/>
      <x:c r="N48" s="13" t="str"/>
      <x:c r="O48" s="13" t="str">
        <x:f>IF(N48=1,IF(AND(COUNT(G48,L48)=2,G48&lt;=F48,L48&lt;='Controls'!$D$65,IF(D48="AM-06",AND(COUNT(K48)=1,K48&lt;=1.6),1)),"PASS","FAIL"),"OPEN")</x:f>
        <x:v>OPEN</x:v>
      </x:c>
    </x:row>
    <x:row r="49">
      <x:c r="B49" s="13" t="str">
        <x:v>RAS-PT-043</x:v>
      </x:c>
      <x:c r="C49" s="13" t="str">
        <x:v>RAS-E043</x:v>
      </x:c>
      <x:c r="D49" s="13" t="str">
        <x:v>AM-05</x:v>
      </x:c>
      <x:c r="E49" s="13" t="str">
        <x:v>QE-01</x:v>
      </x:c>
      <x:c r="F49" s="13" t="n">
        <x:v>0</x:v>
      </x:c>
      <x:c r="G49" s="13" t="str"/>
      <x:c r="H49" s="13" t="str">
        <x:f>IF(COUNT(G49)=0,"",IF(D49="AM-06",G49*'Controls'!$D$22*'Controls'!$D$14,0))</x:f>
      </x:c>
      <x:c r="I49" s="13" t="str">
        <x:f>IF(COUNT(H49)=0,"",H49*'Controls'!$D$23)</x:f>
      </x:c>
      <x:c r="J49" s="13" t="str">
        <x:f>IF(OR(COUNT(G49)=0,G49=0),"",'Event Register'!H49/(G49*'Controls'!$D$22)/60)</x:f>
      </x:c>
      <x:c r="K49" s="13" t="str"/>
      <x:c r="L49" s="13" t="str"/>
      <x:c r="M49" s="13" t="str"/>
      <x:c r="N49" s="13" t="str"/>
      <x:c r="O49" s="13" t="str">
        <x:f>IF(N49=1,IF(AND(COUNT(G49,L49)=2,G49&lt;=F49,L49&lt;='Controls'!$D$65,IF(D49="AM-06",AND(COUNT(K49)=1,K49&lt;=1.6),1)),"PASS","FAIL"),"OPEN")</x:f>
        <x:v>OPEN</x:v>
      </x:c>
    </x:row>
    <x:row r="50">
      <x:c r="B50" s="13" t="str">
        <x:v>RAS-PT-044</x:v>
      </x:c>
      <x:c r="C50" s="13" t="str">
        <x:v>RAS-E044</x:v>
      </x:c>
      <x:c r="D50" s="13" t="str">
        <x:v>AM-05</x:v>
      </x:c>
      <x:c r="E50" s="13" t="str">
        <x:v>QE-02</x:v>
      </x:c>
      <x:c r="F50" s="13" t="n">
        <x:v>2.5</x:v>
      </x:c>
      <x:c r="G50" s="13" t="str"/>
      <x:c r="H50" s="13" t="str">
        <x:f>IF(COUNT(G50)=0,"",IF(D50="AM-06",G50*'Controls'!$D$22*'Controls'!$D$14,0))</x:f>
      </x:c>
      <x:c r="I50" s="13" t="str">
        <x:f>IF(COUNT(H50)=0,"",H50*'Controls'!$D$23)</x:f>
      </x:c>
      <x:c r="J50" s="13" t="str">
        <x:f>IF(OR(COUNT(G50)=0,G50=0),"",'Event Register'!H50/(G50*'Controls'!$D$22)/60)</x:f>
      </x:c>
      <x:c r="K50" s="13" t="str"/>
      <x:c r="L50" s="13" t="str"/>
      <x:c r="M50" s="13" t="str"/>
      <x:c r="N50" s="13" t="str"/>
      <x:c r="O50" s="13" t="str">
        <x:f>IF(N50=1,IF(AND(COUNT(G50,L50)=2,G50&lt;=F50,L50&lt;='Controls'!$D$65,IF(D50="AM-06",AND(COUNT(K50)=1,K50&lt;=1.6),1)),"PASS","FAIL"),"OPEN")</x:f>
        <x:v>OPEN</x:v>
      </x:c>
    </x:row>
    <x:row r="51">
      <x:c r="B51" s="13" t="str">
        <x:v>RAS-PT-045</x:v>
      </x:c>
      <x:c r="C51" s="13" t="str">
        <x:v>RAS-E045</x:v>
      </x:c>
      <x:c r="D51" s="13" t="str">
        <x:v>AM-05</x:v>
      </x:c>
      <x:c r="E51" s="13" t="str">
        <x:v>QE-03</x:v>
      </x:c>
      <x:c r="F51" s="13" t="n">
        <x:v>5</x:v>
      </x:c>
      <x:c r="G51" s="13" t="str"/>
      <x:c r="H51" s="13" t="str">
        <x:f>IF(COUNT(G51)=0,"",IF(D51="AM-06",G51*'Controls'!$D$22*'Controls'!$D$14,0))</x:f>
      </x:c>
      <x:c r="I51" s="13" t="str">
        <x:f>IF(COUNT(H51)=0,"",H51*'Controls'!$D$23)</x:f>
      </x:c>
      <x:c r="J51" s="13" t="str">
        <x:f>IF(OR(COUNT(G51)=0,G51=0),"",'Event Register'!H51/(G51*'Controls'!$D$22)/60)</x:f>
      </x:c>
      <x:c r="K51" s="13" t="str"/>
      <x:c r="L51" s="13" t="str"/>
      <x:c r="M51" s="13" t="str"/>
      <x:c r="N51" s="13" t="str"/>
      <x:c r="O51" s="13" t="str">
        <x:f>IF(N51=1,IF(AND(COUNT(G51,L51)=2,G51&lt;=F51,L51&lt;='Controls'!$D$65,IF(D51="AM-06",AND(COUNT(K51)=1,K51&lt;=1.6),1)),"PASS","FAIL"),"OPEN")</x:f>
        <x:v>OPEN</x:v>
      </x:c>
    </x:row>
    <x:row r="52">
      <x:c r="B52" s="13" t="str">
        <x:v>RAS-PT-046</x:v>
      </x:c>
      <x:c r="C52" s="13" t="str">
        <x:v>RAS-E046</x:v>
      </x:c>
      <x:c r="D52" s="13" t="str">
        <x:v>AM-05</x:v>
      </x:c>
      <x:c r="E52" s="13" t="str">
        <x:v>QE-04</x:v>
      </x:c>
      <x:c r="F52" s="13" t="n">
        <x:v>6.25</x:v>
      </x:c>
      <x:c r="G52" s="13" t="str"/>
      <x:c r="H52" s="13" t="str">
        <x:f>IF(COUNT(G52)=0,"",IF(D52="AM-06",G52*'Controls'!$D$22*'Controls'!$D$14,0))</x:f>
      </x:c>
      <x:c r="I52" s="13" t="str">
        <x:f>IF(COUNT(H52)=0,"",H52*'Controls'!$D$23)</x:f>
      </x:c>
      <x:c r="J52" s="13" t="str">
        <x:f>IF(OR(COUNT(G52)=0,G52=0),"",'Event Register'!H52/(G52*'Controls'!$D$22)/60)</x:f>
      </x:c>
      <x:c r="K52" s="13" t="str"/>
      <x:c r="L52" s="13" t="str"/>
      <x:c r="M52" s="13" t="str"/>
      <x:c r="N52" s="13" t="str"/>
      <x:c r="O52" s="13" t="str">
        <x:f>IF(N52=1,IF(AND(COUNT(G52,L52)=2,G52&lt;=F52,L52&lt;='Controls'!$D$65,IF(D52="AM-06",AND(COUNT(K52)=1,K52&lt;=1.6),1)),"PASS","FAIL"),"OPEN")</x:f>
        <x:v>OPEN</x:v>
      </x:c>
    </x:row>
    <x:row r="53">
      <x:c r="B53" s="13" t="str">
        <x:v>RAS-PT-047</x:v>
      </x:c>
      <x:c r="C53" s="13" t="str">
        <x:v>RAS-E047</x:v>
      </x:c>
      <x:c r="D53" s="13" t="str">
        <x:v>AM-05</x:v>
      </x:c>
      <x:c r="E53" s="13" t="str">
        <x:v>QE-05</x:v>
      </x:c>
      <x:c r="F53" s="13" t="n">
        <x:v>6.25</x:v>
      </x:c>
      <x:c r="G53" s="13" t="str"/>
      <x:c r="H53" s="13" t="str">
        <x:f>IF(COUNT(G53)=0,"",IF(D53="AM-06",G53*'Controls'!$D$22*'Controls'!$D$14,0))</x:f>
      </x:c>
      <x:c r="I53" s="13" t="str">
        <x:f>IF(COUNT(H53)=0,"",H53*'Controls'!$D$23)</x:f>
      </x:c>
      <x:c r="J53" s="13" t="str">
        <x:f>IF(OR(COUNT(G53)=0,G53=0),"",'Event Register'!H53/(G53*'Controls'!$D$22)/60)</x:f>
      </x:c>
      <x:c r="K53" s="13" t="str"/>
      <x:c r="L53" s="13" t="str"/>
      <x:c r="M53" s="13" t="str"/>
      <x:c r="N53" s="13" t="str"/>
      <x:c r="O53" s="13" t="str">
        <x:f>IF(N53=1,IF(AND(COUNT(G53,L53)=2,G53&lt;=F53,L53&lt;='Controls'!$D$65,IF(D53="AM-06",AND(COUNT(K53)=1,K53&lt;=1.6),1)),"PASS","FAIL"),"OPEN")</x:f>
        <x:v>OPEN</x:v>
      </x:c>
    </x:row>
    <x:row r="54">
      <x:c r="B54" s="13" t="str">
        <x:v>RAS-PT-048</x:v>
      </x:c>
      <x:c r="C54" s="13" t="str">
        <x:v>RAS-E048</x:v>
      </x:c>
      <x:c r="D54" s="13" t="str">
        <x:v>AM-05</x:v>
      </x:c>
      <x:c r="E54" s="13" t="str">
        <x:v>QE-06</x:v>
      </x:c>
      <x:c r="F54" s="13" t="n">
        <x:v>25</x:v>
      </x:c>
      <x:c r="G54" s="13" t="str"/>
      <x:c r="H54" s="13" t="str">
        <x:f>IF(COUNT(G54)=0,"",IF(D54="AM-06",G54*'Controls'!$D$22*'Controls'!$D$14,0))</x:f>
      </x:c>
      <x:c r="I54" s="13" t="str">
        <x:f>IF(COUNT(H54)=0,"",H54*'Controls'!$D$23)</x:f>
      </x:c>
      <x:c r="J54" s="13" t="str">
        <x:f>IF(OR(COUNT(G54)=0,G54=0),"",'Event Register'!H54/(G54*'Controls'!$D$22)/60)</x:f>
      </x:c>
      <x:c r="K54" s="13" t="str"/>
      <x:c r="L54" s="13" t="str"/>
      <x:c r="M54" s="13" t="str"/>
      <x:c r="N54" s="13" t="str"/>
      <x:c r="O54" s="13" t="str">
        <x:f>IF(N54=1,IF(AND(COUNT(G54,L54)=2,G54&lt;=F54,L54&lt;='Controls'!$D$65,IF(D54="AM-06",AND(COUNT(K54)=1,K54&lt;=1.6),1)),"PASS","FAIL"),"OPEN")</x:f>
        <x:v>OPEN</x:v>
      </x:c>
    </x:row>
    <x:row r="55">
      <x:c r="B55" s="13" t="str">
        <x:v>RAS-PT-049</x:v>
      </x:c>
      <x:c r="C55" s="13" t="str">
        <x:v>RAS-E049</x:v>
      </x:c>
      <x:c r="D55" s="13" t="str">
        <x:v>AM-05</x:v>
      </x:c>
      <x:c r="E55" s="13" t="str">
        <x:v>QE-01</x:v>
      </x:c>
      <x:c r="F55" s="13" t="n">
        <x:v>0</x:v>
      </x:c>
      <x:c r="G55" s="13" t="str"/>
      <x:c r="H55" s="13" t="str">
        <x:f>IF(COUNT(G55)=0,"",IF(D55="AM-06",G55*'Controls'!$D$22*'Controls'!$D$14,0))</x:f>
      </x:c>
      <x:c r="I55" s="13" t="str">
        <x:f>IF(COUNT(H55)=0,"",H55*'Controls'!$D$23)</x:f>
      </x:c>
      <x:c r="J55" s="13" t="str">
        <x:f>IF(OR(COUNT(G55)=0,G55=0),"",'Event Register'!H55/(G55*'Controls'!$D$22)/60)</x:f>
      </x:c>
      <x:c r="K55" s="13" t="str"/>
      <x:c r="L55" s="13" t="str"/>
      <x:c r="M55" s="13" t="str"/>
      <x:c r="N55" s="13" t="str"/>
      <x:c r="O55" s="13" t="str">
        <x:f>IF(N55=1,IF(AND(COUNT(G55,L55)=2,G55&lt;=F55,L55&lt;='Controls'!$D$65,IF(D55="AM-06",AND(COUNT(K55)=1,K55&lt;=1.6),1)),"PASS","FAIL"),"OPEN")</x:f>
        <x:v>OPEN</x:v>
      </x:c>
    </x:row>
    <x:row r="56">
      <x:c r="B56" s="13" t="str">
        <x:v>RAS-PT-050</x:v>
      </x:c>
      <x:c r="C56" s="13" t="str">
        <x:v>RAS-E050</x:v>
      </x:c>
      <x:c r="D56" s="13" t="str">
        <x:v>AM-05</x:v>
      </x:c>
      <x:c r="E56" s="13" t="str">
        <x:v>QE-02</x:v>
      </x:c>
      <x:c r="F56" s="13" t="n">
        <x:v>2.5</x:v>
      </x:c>
      <x:c r="G56" s="13" t="str"/>
      <x:c r="H56" s="13" t="str">
        <x:f>IF(COUNT(G56)=0,"",IF(D56="AM-06",G56*'Controls'!$D$22*'Controls'!$D$14,0))</x:f>
      </x:c>
      <x:c r="I56" s="13" t="str">
        <x:f>IF(COUNT(H56)=0,"",H56*'Controls'!$D$23)</x:f>
      </x:c>
      <x:c r="J56" s="13" t="str">
        <x:f>IF(OR(COUNT(G56)=0,G56=0),"",'Event Register'!H56/(G56*'Controls'!$D$22)/60)</x:f>
      </x:c>
      <x:c r="K56" s="13" t="str"/>
      <x:c r="L56" s="13" t="str"/>
      <x:c r="M56" s="13" t="str"/>
      <x:c r="N56" s="13" t="str"/>
      <x:c r="O56" s="13" t="str">
        <x:f>IF(N56=1,IF(AND(COUNT(G56,L56)=2,G56&lt;=F56,L56&lt;='Controls'!$D$65,IF(D56="AM-06",AND(COUNT(K56)=1,K56&lt;=1.6),1)),"PASS","FAIL"),"OPEN")</x:f>
        <x:v>OPEN</x:v>
      </x:c>
    </x:row>
    <x:row r="57">
      <x:c r="B57" s="13" t="str">
        <x:v>RAS-PT-051</x:v>
      </x:c>
      <x:c r="C57" s="13" t="str">
        <x:v>RAS-E051</x:v>
      </x:c>
      <x:c r="D57" s="13" t="str">
        <x:v>AM-05</x:v>
      </x:c>
      <x:c r="E57" s="13" t="str">
        <x:v>QE-03</x:v>
      </x:c>
      <x:c r="F57" s="13" t="n">
        <x:v>5</x:v>
      </x:c>
      <x:c r="G57" s="13" t="str"/>
      <x:c r="H57" s="13" t="str">
        <x:f>IF(COUNT(G57)=0,"",IF(D57="AM-06",G57*'Controls'!$D$22*'Controls'!$D$14,0))</x:f>
      </x:c>
      <x:c r="I57" s="13" t="str">
        <x:f>IF(COUNT(H57)=0,"",H57*'Controls'!$D$23)</x:f>
      </x:c>
      <x:c r="J57" s="13" t="str">
        <x:f>IF(OR(COUNT(G57)=0,G57=0),"",'Event Register'!H57/(G57*'Controls'!$D$22)/60)</x:f>
      </x:c>
      <x:c r="K57" s="13" t="str"/>
      <x:c r="L57" s="13" t="str"/>
      <x:c r="M57" s="13" t="str"/>
      <x:c r="N57" s="13" t="str"/>
      <x:c r="O57" s="13" t="str">
        <x:f>IF(N57=1,IF(AND(COUNT(G57,L57)=2,G57&lt;=F57,L57&lt;='Controls'!$D$65,IF(D57="AM-06",AND(COUNT(K57)=1,K57&lt;=1.6),1)),"PASS","FAIL"),"OPEN")</x:f>
        <x:v>OPEN</x:v>
      </x:c>
    </x:row>
    <x:row r="58">
      <x:c r="B58" s="13" t="str">
        <x:v>RAS-PT-052</x:v>
      </x:c>
      <x:c r="C58" s="13" t="str">
        <x:v>RAS-E052</x:v>
      </x:c>
      <x:c r="D58" s="13" t="str">
        <x:v>AM-05</x:v>
      </x:c>
      <x:c r="E58" s="13" t="str">
        <x:v>QE-04</x:v>
      </x:c>
      <x:c r="F58" s="13" t="n">
        <x:v>6.25</x:v>
      </x:c>
      <x:c r="G58" s="13" t="str"/>
      <x:c r="H58" s="13" t="str">
        <x:f>IF(COUNT(G58)=0,"",IF(D58="AM-06",G58*'Controls'!$D$22*'Controls'!$D$14,0))</x:f>
      </x:c>
      <x:c r="I58" s="13" t="str">
        <x:f>IF(COUNT(H58)=0,"",H58*'Controls'!$D$23)</x:f>
      </x:c>
      <x:c r="J58" s="13" t="str">
        <x:f>IF(OR(COUNT(G58)=0,G58=0),"",'Event Register'!H58/(G58*'Controls'!$D$22)/60)</x:f>
      </x:c>
      <x:c r="K58" s="13" t="str"/>
      <x:c r="L58" s="13" t="str"/>
      <x:c r="M58" s="13" t="str"/>
      <x:c r="N58" s="13" t="str"/>
      <x:c r="O58" s="13" t="str">
        <x:f>IF(N58=1,IF(AND(COUNT(G58,L58)=2,G58&lt;=F58,L58&lt;='Controls'!$D$65,IF(D58="AM-06",AND(COUNT(K58)=1,K58&lt;=1.6),1)),"PASS","FAIL"),"OPEN")</x:f>
        <x:v>OPEN</x:v>
      </x:c>
    </x:row>
    <x:row r="59">
      <x:c r="B59" s="13" t="str">
        <x:v>RAS-PT-053</x:v>
      </x:c>
      <x:c r="C59" s="13" t="str">
        <x:v>RAS-E053</x:v>
      </x:c>
      <x:c r="D59" s="13" t="str">
        <x:v>AM-05</x:v>
      </x:c>
      <x:c r="E59" s="13" t="str">
        <x:v>QE-05</x:v>
      </x:c>
      <x:c r="F59" s="13" t="n">
        <x:v>6.25</x:v>
      </x:c>
      <x:c r="G59" s="13" t="str"/>
      <x:c r="H59" s="13" t="str">
        <x:f>IF(COUNT(G59)=0,"",IF(D59="AM-06",G59*'Controls'!$D$22*'Controls'!$D$14,0))</x:f>
      </x:c>
      <x:c r="I59" s="13" t="str">
        <x:f>IF(COUNT(H59)=0,"",H59*'Controls'!$D$23)</x:f>
      </x:c>
      <x:c r="J59" s="13" t="str">
        <x:f>IF(OR(COUNT(G59)=0,G59=0),"",'Event Register'!H59/(G59*'Controls'!$D$22)/60)</x:f>
      </x:c>
      <x:c r="K59" s="13" t="str"/>
      <x:c r="L59" s="13" t="str"/>
      <x:c r="M59" s="13" t="str"/>
      <x:c r="N59" s="13" t="str"/>
      <x:c r="O59" s="13" t="str">
        <x:f>IF(N59=1,IF(AND(COUNT(G59,L59)=2,G59&lt;=F59,L59&lt;='Controls'!$D$65,IF(D59="AM-06",AND(COUNT(K59)=1,K59&lt;=1.6),1)),"PASS","FAIL"),"OPEN")</x:f>
        <x:v>OPEN</x:v>
      </x:c>
    </x:row>
    <x:row r="60">
      <x:c r="B60" s="13" t="str">
        <x:v>RAS-PT-054</x:v>
      </x:c>
      <x:c r="C60" s="13" t="str">
        <x:v>RAS-E054</x:v>
      </x:c>
      <x:c r="D60" s="13" t="str">
        <x:v>AM-05</x:v>
      </x:c>
      <x:c r="E60" s="13" t="str">
        <x:v>QE-06</x:v>
      </x:c>
      <x:c r="F60" s="13" t="n">
        <x:v>25</x:v>
      </x:c>
      <x:c r="G60" s="13" t="str"/>
      <x:c r="H60" s="13" t="str">
        <x:f>IF(COUNT(G60)=0,"",IF(D60="AM-06",G60*'Controls'!$D$22*'Controls'!$D$14,0))</x:f>
      </x:c>
      <x:c r="I60" s="13" t="str">
        <x:f>IF(COUNT(H60)=0,"",H60*'Controls'!$D$23)</x:f>
      </x:c>
      <x:c r="J60" s="13" t="str">
        <x:f>IF(OR(COUNT(G60)=0,G60=0),"",'Event Register'!H60/(G60*'Controls'!$D$22)/60)</x:f>
      </x:c>
      <x:c r="K60" s="13" t="str"/>
      <x:c r="L60" s="13" t="str"/>
      <x:c r="M60" s="13" t="str"/>
      <x:c r="N60" s="13" t="str"/>
      <x:c r="O60" s="13" t="str">
        <x:f>IF(N60=1,IF(AND(COUNT(G60,L60)=2,G60&lt;=F60,L60&lt;='Controls'!$D$65,IF(D60="AM-06",AND(COUNT(K60)=1,K60&lt;=1.6),1)),"PASS","FAIL"),"OPEN")</x:f>
        <x:v>OPEN</x:v>
      </x:c>
    </x:row>
    <x:row r="61">
      <x:c r="B61" s="13" t="str">
        <x:v>RAS-PT-055</x:v>
      </x:c>
      <x:c r="C61" s="13" t="str">
        <x:v>RAS-E055</x:v>
      </x:c>
      <x:c r="D61" s="13" t="str">
        <x:v>AM-05</x:v>
      </x:c>
      <x:c r="E61" s="13" t="str">
        <x:v>QE-01</x:v>
      </x:c>
      <x:c r="F61" s="13" t="n">
        <x:v>0</x:v>
      </x:c>
      <x:c r="G61" s="13" t="str"/>
      <x:c r="H61" s="13" t="str">
        <x:f>IF(COUNT(G61)=0,"",IF(D61="AM-06",G61*'Controls'!$D$22*'Controls'!$D$14,0))</x:f>
      </x:c>
      <x:c r="I61" s="13" t="str">
        <x:f>IF(COUNT(H61)=0,"",H61*'Controls'!$D$23)</x:f>
      </x:c>
      <x:c r="J61" s="13" t="str">
        <x:f>IF(OR(COUNT(G61)=0,G61=0),"",'Event Register'!H61/(G61*'Controls'!$D$22)/60)</x:f>
      </x:c>
      <x:c r="K61" s="13" t="str"/>
      <x:c r="L61" s="13" t="str"/>
      <x:c r="M61" s="13" t="str"/>
      <x:c r="N61" s="13" t="str"/>
      <x:c r="O61" s="13" t="str">
        <x:f>IF(N61=1,IF(AND(COUNT(G61,L61)=2,G61&lt;=F61,L61&lt;='Controls'!$D$65,IF(D61="AM-06",AND(COUNT(K61)=1,K61&lt;=1.6),1)),"PASS","FAIL"),"OPEN")</x:f>
        <x:v>OPEN</x:v>
      </x:c>
    </x:row>
    <x:row r="62">
      <x:c r="B62" s="13" t="str">
        <x:v>RAS-PT-056</x:v>
      </x:c>
      <x:c r="C62" s="13" t="str">
        <x:v>RAS-E056</x:v>
      </x:c>
      <x:c r="D62" s="13" t="str">
        <x:v>AM-05</x:v>
      </x:c>
      <x:c r="E62" s="13" t="str">
        <x:v>QE-02</x:v>
      </x:c>
      <x:c r="F62" s="13" t="n">
        <x:v>2.5</x:v>
      </x:c>
      <x:c r="G62" s="13" t="str"/>
      <x:c r="H62" s="13" t="str">
        <x:f>IF(COUNT(G62)=0,"",IF(D62="AM-06",G62*'Controls'!$D$22*'Controls'!$D$14,0))</x:f>
      </x:c>
      <x:c r="I62" s="13" t="str">
        <x:f>IF(COUNT(H62)=0,"",H62*'Controls'!$D$23)</x:f>
      </x:c>
      <x:c r="J62" s="13" t="str">
        <x:f>IF(OR(COUNT(G62)=0,G62=0),"",'Event Register'!H62/(G62*'Controls'!$D$22)/60)</x:f>
      </x:c>
      <x:c r="K62" s="13" t="str"/>
      <x:c r="L62" s="13" t="str"/>
      <x:c r="M62" s="13" t="str"/>
      <x:c r="N62" s="13" t="str"/>
      <x:c r="O62" s="13" t="str">
        <x:f>IF(N62=1,IF(AND(COUNT(G62,L62)=2,G62&lt;=F62,L62&lt;='Controls'!$D$65,IF(D62="AM-06",AND(COUNT(K62)=1,K62&lt;=1.6),1)),"PASS","FAIL"),"OPEN")</x:f>
        <x:v>OPEN</x:v>
      </x:c>
    </x:row>
    <x:row r="63">
      <x:c r="B63" s="13" t="str">
        <x:v>RAS-PT-057</x:v>
      </x:c>
      <x:c r="C63" s="13" t="str">
        <x:v>RAS-E057</x:v>
      </x:c>
      <x:c r="D63" s="13" t="str">
        <x:v>AM-05</x:v>
      </x:c>
      <x:c r="E63" s="13" t="str">
        <x:v>QE-03</x:v>
      </x:c>
      <x:c r="F63" s="13" t="n">
        <x:v>5</x:v>
      </x:c>
      <x:c r="G63" s="13" t="str"/>
      <x:c r="H63" s="13" t="str">
        <x:f>IF(COUNT(G63)=0,"",IF(D63="AM-06",G63*'Controls'!$D$22*'Controls'!$D$14,0))</x:f>
      </x:c>
      <x:c r="I63" s="13" t="str">
        <x:f>IF(COUNT(H63)=0,"",H63*'Controls'!$D$23)</x:f>
      </x:c>
      <x:c r="J63" s="13" t="str">
        <x:f>IF(OR(COUNT(G63)=0,G63=0),"",'Event Register'!H63/(G63*'Controls'!$D$22)/60)</x:f>
      </x:c>
      <x:c r="K63" s="13" t="str"/>
      <x:c r="L63" s="13" t="str"/>
      <x:c r="M63" s="13" t="str"/>
      <x:c r="N63" s="13" t="str"/>
      <x:c r="O63" s="13" t="str">
        <x:f>IF(N63=1,IF(AND(COUNT(G63,L63)=2,G63&lt;=F63,L63&lt;='Controls'!$D$65,IF(D63="AM-06",AND(COUNT(K63)=1,K63&lt;=1.6),1)),"PASS","FAIL"),"OPEN")</x:f>
        <x:v>OPEN</x:v>
      </x:c>
    </x:row>
    <x:row r="64">
      <x:c r="B64" s="13" t="str">
        <x:v>RAS-PT-058</x:v>
      </x:c>
      <x:c r="C64" s="13" t="str">
        <x:v>RAS-E058</x:v>
      </x:c>
      <x:c r="D64" s="13" t="str">
        <x:v>AM-05</x:v>
      </x:c>
      <x:c r="E64" s="13" t="str">
        <x:v>QE-04</x:v>
      </x:c>
      <x:c r="F64" s="13" t="n">
        <x:v>6.25</x:v>
      </x:c>
      <x:c r="G64" s="13" t="str"/>
      <x:c r="H64" s="13" t="str">
        <x:f>IF(COUNT(G64)=0,"",IF(D64="AM-06",G64*'Controls'!$D$22*'Controls'!$D$14,0))</x:f>
      </x:c>
      <x:c r="I64" s="13" t="str">
        <x:f>IF(COUNT(H64)=0,"",H64*'Controls'!$D$23)</x:f>
      </x:c>
      <x:c r="J64" s="13" t="str">
        <x:f>IF(OR(COUNT(G64)=0,G64=0),"",'Event Register'!H64/(G64*'Controls'!$D$22)/60)</x:f>
      </x:c>
      <x:c r="K64" s="13" t="str"/>
      <x:c r="L64" s="13" t="str"/>
      <x:c r="M64" s="13" t="str"/>
      <x:c r="N64" s="13" t="str"/>
      <x:c r="O64" s="13" t="str">
        <x:f>IF(N64=1,IF(AND(COUNT(G64,L64)=2,G64&lt;=F64,L64&lt;='Controls'!$D$65,IF(D64="AM-06",AND(COUNT(K64)=1,K64&lt;=1.6),1)),"PASS","FAIL"),"OPEN")</x:f>
        <x:v>OPEN</x:v>
      </x:c>
    </x:row>
    <x:row r="65">
      <x:c r="B65" s="13" t="str">
        <x:v>RAS-PT-059</x:v>
      </x:c>
      <x:c r="C65" s="13" t="str">
        <x:v>RAS-E059</x:v>
      </x:c>
      <x:c r="D65" s="13" t="str">
        <x:v>AM-05</x:v>
      </x:c>
      <x:c r="E65" s="13" t="str">
        <x:v>QE-05</x:v>
      </x:c>
      <x:c r="F65" s="13" t="n">
        <x:v>6.25</x:v>
      </x:c>
      <x:c r="G65" s="13" t="str"/>
      <x:c r="H65" s="13" t="str">
        <x:f>IF(COUNT(G65)=0,"",IF(D65="AM-06",G65*'Controls'!$D$22*'Controls'!$D$14,0))</x:f>
      </x:c>
      <x:c r="I65" s="13" t="str">
        <x:f>IF(COUNT(H65)=0,"",H65*'Controls'!$D$23)</x:f>
      </x:c>
      <x:c r="J65" s="13" t="str">
        <x:f>IF(OR(COUNT(G65)=0,G65=0),"",'Event Register'!H65/(G65*'Controls'!$D$22)/60)</x:f>
      </x:c>
      <x:c r="K65" s="13" t="str"/>
      <x:c r="L65" s="13" t="str"/>
      <x:c r="M65" s="13" t="str"/>
      <x:c r="N65" s="13" t="str"/>
      <x:c r="O65" s="13" t="str">
        <x:f>IF(N65=1,IF(AND(COUNT(G65,L65)=2,G65&lt;=F65,L65&lt;='Controls'!$D$65,IF(D65="AM-06",AND(COUNT(K65)=1,K65&lt;=1.6),1)),"PASS","FAIL"),"OPEN")</x:f>
        <x:v>OPEN</x:v>
      </x:c>
    </x:row>
    <x:row r="66">
      <x:c r="B66" s="13" t="str">
        <x:v>RAS-PT-060</x:v>
      </x:c>
      <x:c r="C66" s="13" t="str">
        <x:v>RAS-E060</x:v>
      </x:c>
      <x:c r="D66" s="13" t="str">
        <x:v>AM-05</x:v>
      </x:c>
      <x:c r="E66" s="13" t="str">
        <x:v>QE-06</x:v>
      </x:c>
      <x:c r="F66" s="13" t="n">
        <x:v>25</x:v>
      </x:c>
      <x:c r="G66" s="13" t="str"/>
      <x:c r="H66" s="13" t="str">
        <x:f>IF(COUNT(G66)=0,"",IF(D66="AM-06",G66*'Controls'!$D$22*'Controls'!$D$14,0))</x:f>
      </x:c>
      <x:c r="I66" s="13" t="str">
        <x:f>IF(COUNT(H66)=0,"",H66*'Controls'!$D$23)</x:f>
      </x:c>
      <x:c r="J66" s="13" t="str">
        <x:f>IF(OR(COUNT(G66)=0,G66=0),"",'Event Register'!H66/(G66*'Controls'!$D$22)/60)</x:f>
      </x:c>
      <x:c r="K66" s="13" t="str"/>
      <x:c r="L66" s="13" t="str"/>
      <x:c r="M66" s="13" t="str"/>
      <x:c r="N66" s="13" t="str"/>
      <x:c r="O66" s="13" t="str">
        <x:f>IF(N66=1,IF(AND(COUNT(G66,L66)=2,G66&lt;=F66,L66&lt;='Controls'!$D$65,IF(D66="AM-06",AND(COUNT(K66)=1,K66&lt;=1.6),1)),"PASS","FAIL"),"OPEN")</x:f>
        <x:v>OPEN</x:v>
      </x:c>
    </x:row>
    <x:row r="67">
      <x:c r="B67" s="13" t="str">
        <x:v>RAS-PT-061</x:v>
      </x:c>
      <x:c r="C67" s="13" t="str">
        <x:v>RAS-E061</x:v>
      </x:c>
      <x:c r="D67" s="13" t="str">
        <x:v>AM-05</x:v>
      </x:c>
      <x:c r="E67" s="13" t="str">
        <x:v>QE-01</x:v>
      </x:c>
      <x:c r="F67" s="13" t="n">
        <x:v>0</x:v>
      </x:c>
      <x:c r="G67" s="13" t="str"/>
      <x:c r="H67" s="13" t="str">
        <x:f>IF(COUNT(G67)=0,"",IF(D67="AM-06",G67*'Controls'!$D$22*'Controls'!$D$14,0))</x:f>
      </x:c>
      <x:c r="I67" s="13" t="str">
        <x:f>IF(COUNT(H67)=0,"",H67*'Controls'!$D$23)</x:f>
      </x:c>
      <x:c r="J67" s="13" t="str">
        <x:f>IF(OR(COUNT(G67)=0,G67=0),"",'Event Register'!H67/(G67*'Controls'!$D$22)/60)</x:f>
      </x:c>
      <x:c r="K67" s="13" t="str"/>
      <x:c r="L67" s="13" t="str"/>
      <x:c r="M67" s="13" t="str"/>
      <x:c r="N67" s="13" t="str"/>
      <x:c r="O67" s="13" t="str">
        <x:f>IF(N67=1,IF(AND(COUNT(G67,L67)=2,G67&lt;=F67,L67&lt;='Controls'!$D$65,IF(D67="AM-06",AND(COUNT(K67)=1,K67&lt;=1.6),1)),"PASS","FAIL"),"OPEN")</x:f>
        <x:v>OPEN</x:v>
      </x:c>
    </x:row>
    <x:row r="68">
      <x:c r="B68" s="13" t="str">
        <x:v>RAS-PT-062</x:v>
      </x:c>
      <x:c r="C68" s="13" t="str">
        <x:v>RAS-E062</x:v>
      </x:c>
      <x:c r="D68" s="13" t="str">
        <x:v>AM-05</x:v>
      </x:c>
      <x:c r="E68" s="13" t="str">
        <x:v>QE-02</x:v>
      </x:c>
      <x:c r="F68" s="13" t="n">
        <x:v>2.5</x:v>
      </x:c>
      <x:c r="G68" s="13" t="str"/>
      <x:c r="H68" s="13" t="str">
        <x:f>IF(COUNT(G68)=0,"",IF(D68="AM-06",G68*'Controls'!$D$22*'Controls'!$D$14,0))</x:f>
      </x:c>
      <x:c r="I68" s="13" t="str">
        <x:f>IF(COUNT(H68)=0,"",H68*'Controls'!$D$23)</x:f>
      </x:c>
      <x:c r="J68" s="13" t="str">
        <x:f>IF(OR(COUNT(G68)=0,G68=0),"",'Event Register'!H68/(G68*'Controls'!$D$22)/60)</x:f>
      </x:c>
      <x:c r="K68" s="13" t="str"/>
      <x:c r="L68" s="13" t="str"/>
      <x:c r="M68" s="13" t="str"/>
      <x:c r="N68" s="13" t="str"/>
      <x:c r="O68" s="13" t="str">
        <x:f>IF(N68=1,IF(AND(COUNT(G68,L68)=2,G68&lt;=F68,L68&lt;='Controls'!$D$65,IF(D68="AM-06",AND(COUNT(K68)=1,K68&lt;=1.6),1)),"PASS","FAIL"),"OPEN")</x:f>
        <x:v>OPEN</x:v>
      </x:c>
    </x:row>
    <x:row r="69">
      <x:c r="B69" s="13" t="str">
        <x:v>RAS-PT-063</x:v>
      </x:c>
      <x:c r="C69" s="13" t="str">
        <x:v>RAS-E063</x:v>
      </x:c>
      <x:c r="D69" s="13" t="str">
        <x:v>AM-05</x:v>
      </x:c>
      <x:c r="E69" s="13" t="str">
        <x:v>QE-03</x:v>
      </x:c>
      <x:c r="F69" s="13" t="n">
        <x:v>5</x:v>
      </x:c>
      <x:c r="G69" s="13" t="str"/>
      <x:c r="H69" s="13" t="str">
        <x:f>IF(COUNT(G69)=0,"",IF(D69="AM-06",G69*'Controls'!$D$22*'Controls'!$D$14,0))</x:f>
      </x:c>
      <x:c r="I69" s="13" t="str">
        <x:f>IF(COUNT(H69)=0,"",H69*'Controls'!$D$23)</x:f>
      </x:c>
      <x:c r="J69" s="13" t="str">
        <x:f>IF(OR(COUNT(G69)=0,G69=0),"",'Event Register'!H69/(G69*'Controls'!$D$22)/60)</x:f>
      </x:c>
      <x:c r="K69" s="13" t="str"/>
      <x:c r="L69" s="13" t="str"/>
      <x:c r="M69" s="13" t="str"/>
      <x:c r="N69" s="13" t="str"/>
      <x:c r="O69" s="13" t="str">
        <x:f>IF(N69=1,IF(AND(COUNT(G69,L69)=2,G69&lt;=F69,L69&lt;='Controls'!$D$65,IF(D69="AM-06",AND(COUNT(K69)=1,K69&lt;=1.6),1)),"PASS","FAIL"),"OPEN")</x:f>
        <x:v>OPEN</x:v>
      </x:c>
    </x:row>
    <x:row r="70">
      <x:c r="B70" s="13" t="str">
        <x:v>RAS-PT-064</x:v>
      </x:c>
      <x:c r="C70" s="13" t="str">
        <x:v>RAS-E064</x:v>
      </x:c>
      <x:c r="D70" s="13" t="str">
        <x:v>AM-05</x:v>
      </x:c>
      <x:c r="E70" s="13" t="str">
        <x:v>QE-04</x:v>
      </x:c>
      <x:c r="F70" s="13" t="n">
        <x:v>6.25</x:v>
      </x:c>
      <x:c r="G70" s="13" t="str"/>
      <x:c r="H70" s="13" t="str">
        <x:f>IF(COUNT(G70)=0,"",IF(D70="AM-06",G70*'Controls'!$D$22*'Controls'!$D$14,0))</x:f>
      </x:c>
      <x:c r="I70" s="13" t="str">
        <x:f>IF(COUNT(H70)=0,"",H70*'Controls'!$D$23)</x:f>
      </x:c>
      <x:c r="J70" s="13" t="str">
        <x:f>IF(OR(COUNT(G70)=0,G70=0),"",'Event Register'!H70/(G70*'Controls'!$D$22)/60)</x:f>
      </x:c>
      <x:c r="K70" s="13" t="str"/>
      <x:c r="L70" s="13" t="str"/>
      <x:c r="M70" s="13" t="str"/>
      <x:c r="N70" s="13" t="str"/>
      <x:c r="O70" s="13" t="str">
        <x:f>IF(N70=1,IF(AND(COUNT(G70,L70)=2,G70&lt;=F70,L70&lt;='Controls'!$D$65,IF(D70="AM-06",AND(COUNT(K70)=1,K70&lt;=1.6),1)),"PASS","FAIL"),"OPEN")</x:f>
        <x:v>OPEN</x:v>
      </x:c>
    </x:row>
    <x:row r="71">
      <x:c r="B71" s="13" t="str">
        <x:v>RAS-PT-065</x:v>
      </x:c>
      <x:c r="C71" s="13" t="str">
        <x:v>RAS-E065</x:v>
      </x:c>
      <x:c r="D71" s="13" t="str">
        <x:v>AM-05</x:v>
      </x:c>
      <x:c r="E71" s="13" t="str">
        <x:v>QE-05</x:v>
      </x:c>
      <x:c r="F71" s="13" t="n">
        <x:v>6.25</x:v>
      </x:c>
      <x:c r="G71" s="13" t="str"/>
      <x:c r="H71" s="13" t="str">
        <x:f>IF(COUNT(G71)=0,"",IF(D71="AM-06",G71*'Controls'!$D$22*'Controls'!$D$14,0))</x:f>
      </x:c>
      <x:c r="I71" s="13" t="str">
        <x:f>IF(COUNT(H71)=0,"",H71*'Controls'!$D$23)</x:f>
      </x:c>
      <x:c r="J71" s="13" t="str">
        <x:f>IF(OR(COUNT(G71)=0,G71=0),"",'Event Register'!H71/(G71*'Controls'!$D$22)/60)</x:f>
      </x:c>
      <x:c r="K71" s="13" t="str"/>
      <x:c r="L71" s="13" t="str"/>
      <x:c r="M71" s="13" t="str"/>
      <x:c r="N71" s="13" t="str"/>
      <x:c r="O71" s="13" t="str">
        <x:f>IF(N71=1,IF(AND(COUNT(G71,L71)=2,G71&lt;=F71,L71&lt;='Controls'!$D$65,IF(D71="AM-06",AND(COUNT(K71)=1,K71&lt;=1.6),1)),"PASS","FAIL"),"OPEN")</x:f>
        <x:v>OPEN</x:v>
      </x:c>
    </x:row>
    <x:row r="72">
      <x:c r="B72" s="13" t="str">
        <x:v>RAS-PT-066</x:v>
      </x:c>
      <x:c r="C72" s="13" t="str">
        <x:v>RAS-E066</x:v>
      </x:c>
      <x:c r="D72" s="13" t="str">
        <x:v>AM-05</x:v>
      </x:c>
      <x:c r="E72" s="13" t="str">
        <x:v>QE-06</x:v>
      </x:c>
      <x:c r="F72" s="13" t="n">
        <x:v>25</x:v>
      </x:c>
      <x:c r="G72" s="13" t="str"/>
      <x:c r="H72" s="13" t="str">
        <x:f>IF(COUNT(G72)=0,"",IF(D72="AM-06",G72*'Controls'!$D$22*'Controls'!$D$14,0))</x:f>
      </x:c>
      <x:c r="I72" s="13" t="str">
        <x:f>IF(COUNT(H72)=0,"",H72*'Controls'!$D$23)</x:f>
      </x:c>
      <x:c r="J72" s="13" t="str">
        <x:f>IF(OR(COUNT(G72)=0,G72=0),"",'Event Register'!H72/(G72*'Controls'!$D$22)/60)</x:f>
      </x:c>
      <x:c r="K72" s="13" t="str"/>
      <x:c r="L72" s="13" t="str"/>
      <x:c r="M72" s="13" t="str"/>
      <x:c r="N72" s="13" t="str"/>
      <x:c r="O72" s="13" t="str">
        <x:f>IF(N72=1,IF(AND(COUNT(G72,L72)=2,G72&lt;=F72,L72&lt;='Controls'!$D$65,IF(D72="AM-06",AND(COUNT(K72)=1,K72&lt;=1.6),1)),"PASS","FAIL"),"OPEN")</x:f>
        <x:v>OPEN</x:v>
      </x:c>
    </x:row>
    <x:row r="73">
      <x:c r="B73" s="13" t="str">
        <x:v>RAS-PT-067</x:v>
      </x:c>
      <x:c r="C73" s="13" t="str">
        <x:v>RAS-E067</x:v>
      </x:c>
      <x:c r="D73" s="13" t="str">
        <x:v>AM-05</x:v>
      </x:c>
      <x:c r="E73" s="13" t="str">
        <x:v>QE-01</x:v>
      </x:c>
      <x:c r="F73" s="13" t="n">
        <x:v>0</x:v>
      </x:c>
      <x:c r="G73" s="13" t="str"/>
      <x:c r="H73" s="13" t="str">
        <x:f>IF(COUNT(G73)=0,"",IF(D73="AM-06",G73*'Controls'!$D$22*'Controls'!$D$14,0))</x:f>
      </x:c>
      <x:c r="I73" s="13" t="str">
        <x:f>IF(COUNT(H73)=0,"",H73*'Controls'!$D$23)</x:f>
      </x:c>
      <x:c r="J73" s="13" t="str">
        <x:f>IF(OR(COUNT(G73)=0,G73=0),"",'Event Register'!H73/(G73*'Controls'!$D$22)/60)</x:f>
      </x:c>
      <x:c r="K73" s="13" t="str"/>
      <x:c r="L73" s="13" t="str"/>
      <x:c r="M73" s="13" t="str"/>
      <x:c r="N73" s="13" t="str"/>
      <x:c r="O73" s="13" t="str">
        <x:f>IF(N73=1,IF(AND(COUNT(G73,L73)=2,G73&lt;=F73,L73&lt;='Controls'!$D$65,IF(D73="AM-06",AND(COUNT(K73)=1,K73&lt;=1.6),1)),"PASS","FAIL"),"OPEN")</x:f>
        <x:v>OPEN</x:v>
      </x:c>
    </x:row>
    <x:row r="74">
      <x:c r="B74" s="13" t="str">
        <x:v>RAS-PT-068</x:v>
      </x:c>
      <x:c r="C74" s="13" t="str">
        <x:v>RAS-E068</x:v>
      </x:c>
      <x:c r="D74" s="13" t="str">
        <x:v>AM-05</x:v>
      </x:c>
      <x:c r="E74" s="13" t="str">
        <x:v>QE-02</x:v>
      </x:c>
      <x:c r="F74" s="13" t="n">
        <x:v>2.5</x:v>
      </x:c>
      <x:c r="G74" s="13" t="str"/>
      <x:c r="H74" s="13" t="str">
        <x:f>IF(COUNT(G74)=0,"",IF(D74="AM-06",G74*'Controls'!$D$22*'Controls'!$D$14,0))</x:f>
      </x:c>
      <x:c r="I74" s="13" t="str">
        <x:f>IF(COUNT(H74)=0,"",H74*'Controls'!$D$23)</x:f>
      </x:c>
      <x:c r="J74" s="13" t="str">
        <x:f>IF(OR(COUNT(G74)=0,G74=0),"",'Event Register'!H74/(G74*'Controls'!$D$22)/60)</x:f>
      </x:c>
      <x:c r="K74" s="13" t="str"/>
      <x:c r="L74" s="13" t="str"/>
      <x:c r="M74" s="13" t="str"/>
      <x:c r="N74" s="13" t="str"/>
      <x:c r="O74" s="13" t="str">
        <x:f>IF(N74=1,IF(AND(COUNT(G74,L74)=2,G74&lt;=F74,L74&lt;='Controls'!$D$65,IF(D74="AM-06",AND(COUNT(K74)=1,K74&lt;=1.6),1)),"PASS","FAIL"),"OPEN")</x:f>
        <x:v>OPEN</x:v>
      </x:c>
    </x:row>
    <x:row r="75">
      <x:c r="B75" s="13" t="str">
        <x:v>RAS-PT-069</x:v>
      </x:c>
      <x:c r="C75" s="13" t="str">
        <x:v>RAS-E069</x:v>
      </x:c>
      <x:c r="D75" s="13" t="str">
        <x:v>AM-05</x:v>
      </x:c>
      <x:c r="E75" s="13" t="str">
        <x:v>QE-03</x:v>
      </x:c>
      <x:c r="F75" s="13" t="n">
        <x:v>5</x:v>
      </x:c>
      <x:c r="G75" s="13" t="str"/>
      <x:c r="H75" s="13" t="str">
        <x:f>IF(COUNT(G75)=0,"",IF(D75="AM-06",G75*'Controls'!$D$22*'Controls'!$D$14,0))</x:f>
      </x:c>
      <x:c r="I75" s="13" t="str">
        <x:f>IF(COUNT(H75)=0,"",H75*'Controls'!$D$23)</x:f>
      </x:c>
      <x:c r="J75" s="13" t="str">
        <x:f>IF(OR(COUNT(G75)=0,G75=0),"",'Event Register'!H75/(G75*'Controls'!$D$22)/60)</x:f>
      </x:c>
      <x:c r="K75" s="13" t="str"/>
      <x:c r="L75" s="13" t="str"/>
      <x:c r="M75" s="13" t="str"/>
      <x:c r="N75" s="13" t="str"/>
      <x:c r="O75" s="13" t="str">
        <x:f>IF(N75=1,IF(AND(COUNT(G75,L75)=2,G75&lt;=F75,L75&lt;='Controls'!$D$65,IF(D75="AM-06",AND(COUNT(K75)=1,K75&lt;=1.6),1)),"PASS","FAIL"),"OPEN")</x:f>
        <x:v>OPEN</x:v>
      </x:c>
    </x:row>
    <x:row r="76">
      <x:c r="B76" s="13" t="str">
        <x:v>RAS-PT-070</x:v>
      </x:c>
      <x:c r="C76" s="13" t="str">
        <x:v>RAS-E070</x:v>
      </x:c>
      <x:c r="D76" s="13" t="str">
        <x:v>AM-05</x:v>
      </x:c>
      <x:c r="E76" s="13" t="str">
        <x:v>QE-04</x:v>
      </x:c>
      <x:c r="F76" s="13" t="n">
        <x:v>6.25</x:v>
      </x:c>
      <x:c r="G76" s="13" t="str"/>
      <x:c r="H76" s="13" t="str">
        <x:f>IF(COUNT(G76)=0,"",IF(D76="AM-06",G76*'Controls'!$D$22*'Controls'!$D$14,0))</x:f>
      </x:c>
      <x:c r="I76" s="13" t="str">
        <x:f>IF(COUNT(H76)=0,"",H76*'Controls'!$D$23)</x:f>
      </x:c>
      <x:c r="J76" s="13" t="str">
        <x:f>IF(OR(COUNT(G76)=0,G76=0),"",'Event Register'!H76/(G76*'Controls'!$D$22)/60)</x:f>
      </x:c>
      <x:c r="K76" s="13" t="str"/>
      <x:c r="L76" s="13" t="str"/>
      <x:c r="M76" s="13" t="str"/>
      <x:c r="N76" s="13" t="str"/>
      <x:c r="O76" s="13" t="str">
        <x:f>IF(N76=1,IF(AND(COUNT(G76,L76)=2,G76&lt;=F76,L76&lt;='Controls'!$D$65,IF(D76="AM-06",AND(COUNT(K76)=1,K76&lt;=1.6),1)),"PASS","FAIL"),"OPEN")</x:f>
        <x:v>OPEN</x:v>
      </x:c>
    </x:row>
    <x:row r="77">
      <x:c r="B77" s="13" t="str">
        <x:v>RAS-PT-071</x:v>
      </x:c>
      <x:c r="C77" s="13" t="str">
        <x:v>RAS-E071</x:v>
      </x:c>
      <x:c r="D77" s="13" t="str">
        <x:v>AM-05</x:v>
      </x:c>
      <x:c r="E77" s="13" t="str">
        <x:v>QE-05</x:v>
      </x:c>
      <x:c r="F77" s="13" t="n">
        <x:v>6.25</x:v>
      </x:c>
      <x:c r="G77" s="13" t="str"/>
      <x:c r="H77" s="13" t="str">
        <x:f>IF(COUNT(G77)=0,"",IF(D77="AM-06",G77*'Controls'!$D$22*'Controls'!$D$14,0))</x:f>
      </x:c>
      <x:c r="I77" s="13" t="str">
        <x:f>IF(COUNT(H77)=0,"",H77*'Controls'!$D$23)</x:f>
      </x:c>
      <x:c r="J77" s="13" t="str">
        <x:f>IF(OR(COUNT(G77)=0,G77=0),"",'Event Register'!H77/(G77*'Controls'!$D$22)/60)</x:f>
      </x:c>
      <x:c r="K77" s="13" t="str"/>
      <x:c r="L77" s="13" t="str"/>
      <x:c r="M77" s="13" t="str"/>
      <x:c r="N77" s="13" t="str"/>
      <x:c r="O77" s="13" t="str">
        <x:f>IF(N77=1,IF(AND(COUNT(G77,L77)=2,G77&lt;=F77,L77&lt;='Controls'!$D$65,IF(D77="AM-06",AND(COUNT(K77)=1,K77&lt;=1.6),1)),"PASS","FAIL"),"OPEN")</x:f>
        <x:v>OPEN</x:v>
      </x:c>
    </x:row>
    <x:row r="78">
      <x:c r="B78" s="13" t="str">
        <x:v>RAS-PT-072</x:v>
      </x:c>
      <x:c r="C78" s="13" t="str">
        <x:v>RAS-E072</x:v>
      </x:c>
      <x:c r="D78" s="13" t="str">
        <x:v>AM-05</x:v>
      </x:c>
      <x:c r="E78" s="13" t="str">
        <x:v>QE-06</x:v>
      </x:c>
      <x:c r="F78" s="13" t="n">
        <x:v>25</x:v>
      </x:c>
      <x:c r="G78" s="13" t="str"/>
      <x:c r="H78" s="13" t="str">
        <x:f>IF(COUNT(G78)=0,"",IF(D78="AM-06",G78*'Controls'!$D$22*'Controls'!$D$14,0))</x:f>
      </x:c>
      <x:c r="I78" s="13" t="str">
        <x:f>IF(COUNT(H78)=0,"",H78*'Controls'!$D$23)</x:f>
      </x:c>
      <x:c r="J78" s="13" t="str">
        <x:f>IF(OR(COUNT(G78)=0,G78=0),"",'Event Register'!H78/(G78*'Controls'!$D$22)/60)</x:f>
      </x:c>
      <x:c r="K78" s="13" t="str"/>
      <x:c r="L78" s="13" t="str"/>
      <x:c r="M78" s="13" t="str"/>
      <x:c r="N78" s="13" t="str"/>
      <x:c r="O78" s="13" t="str">
        <x:f>IF(N78=1,IF(AND(COUNT(G78,L78)=2,G78&lt;=F78,L78&lt;='Controls'!$D$65,IF(D78="AM-06",AND(COUNT(K78)=1,K78&lt;=1.6),1)),"PASS","FAIL"),"OPEN")</x:f>
        <x:v>OPEN</x:v>
      </x:c>
    </x:row>
    <x:row r="79">
      <x:c r="B79" s="13" t="str">
        <x:v>RAS-PT-073</x:v>
      </x:c>
      <x:c r="C79" s="13" t="str">
        <x:v>RAS-E073</x:v>
      </x:c>
      <x:c r="D79" s="13" t="str">
        <x:v>AM-06</x:v>
      </x:c>
      <x:c r="E79" s="13" t="str">
        <x:v>QE-01</x:v>
      </x:c>
      <x:c r="F79" s="13" t="n">
        <x:v>0</x:v>
      </x:c>
      <x:c r="G79" s="13" t="str"/>
      <x:c r="H79" s="13" t="str">
        <x:f>IF(COUNT(G79)=0,"",IF(D79="AM-06",G79*'Controls'!$D$22*'Controls'!$D$14,0))</x:f>
      </x:c>
      <x:c r="I79" s="13" t="str">
        <x:f>IF(COUNT(H79)=0,"",H79*'Controls'!$D$23)</x:f>
      </x:c>
      <x:c r="J79" s="13" t="str">
        <x:f>IF(OR(COUNT(G79)=0,G79=0),"",'Event Register'!H79/(G79*'Controls'!$D$22)/60)</x:f>
      </x:c>
      <x:c r="K79" s="13" t="str"/>
      <x:c r="L79" s="13" t="str"/>
      <x:c r="M79" s="13" t="str"/>
      <x:c r="N79" s="13" t="str"/>
      <x:c r="O79" s="13" t="str">
        <x:f>IF(N79=1,IF(AND(COUNT(G79,L79)=2,G79&lt;=F79,L79&lt;='Controls'!$D$65,IF(D79="AM-06",AND(COUNT(K79)=1,K79&lt;=1.6),1)),"PASS","FAIL"),"OPEN")</x:f>
        <x:v>OPEN</x:v>
      </x:c>
    </x:row>
    <x:row r="80">
      <x:c r="B80" s="13" t="str">
        <x:v>RAS-PT-074</x:v>
      </x:c>
      <x:c r="C80" s="13" t="str">
        <x:v>RAS-E074</x:v>
      </x:c>
      <x:c r="D80" s="13" t="str">
        <x:v>AM-06</x:v>
      </x:c>
      <x:c r="E80" s="13" t="str">
        <x:v>QE-02</x:v>
      </x:c>
      <x:c r="F80" s="13" t="n">
        <x:v>2.5</x:v>
      </x:c>
      <x:c r="G80" s="13" t="str"/>
      <x:c r="H80" s="13" t="str">
        <x:f>IF(COUNT(G80)=0,"",IF(D80="AM-06",G80*'Controls'!$D$22*'Controls'!$D$14,0))</x:f>
      </x:c>
      <x:c r="I80" s="13" t="str">
        <x:f>IF(COUNT(H80)=0,"",H80*'Controls'!$D$23)</x:f>
      </x:c>
      <x:c r="J80" s="13" t="str">
        <x:f>IF(OR(COUNT(G80)=0,G80=0),"",'Event Register'!H80/(G80*'Controls'!$D$22)/60)</x:f>
      </x:c>
      <x:c r="K80" s="13" t="str"/>
      <x:c r="L80" s="13" t="str"/>
      <x:c r="M80" s="13" t="str"/>
      <x:c r="N80" s="13" t="str"/>
      <x:c r="O80" s="13" t="str">
        <x:f>IF(N80=1,IF(AND(COUNT(G80,L80)=2,G80&lt;=F80,L80&lt;='Controls'!$D$65,IF(D80="AM-06",AND(COUNT(K80)=1,K80&lt;=1.6),1)),"PASS","FAIL"),"OPEN")</x:f>
        <x:v>OPEN</x:v>
      </x:c>
    </x:row>
    <x:row r="81">
      <x:c r="B81" s="13" t="str">
        <x:v>RAS-PT-075</x:v>
      </x:c>
      <x:c r="C81" s="13" t="str">
        <x:v>RAS-E075</x:v>
      </x:c>
      <x:c r="D81" s="13" t="str">
        <x:v>AM-06</x:v>
      </x:c>
      <x:c r="E81" s="13" t="str">
        <x:v>QE-03</x:v>
      </x:c>
      <x:c r="F81" s="13" t="n">
        <x:v>5</x:v>
      </x:c>
      <x:c r="G81" s="13" t="str"/>
      <x:c r="H81" s="13" t="str">
        <x:f>IF(COUNT(G81)=0,"",IF(D81="AM-06",G81*'Controls'!$D$22*'Controls'!$D$14,0))</x:f>
      </x:c>
      <x:c r="I81" s="13" t="str">
        <x:f>IF(COUNT(H81)=0,"",H81*'Controls'!$D$23)</x:f>
      </x:c>
      <x:c r="J81" s="13" t="str">
        <x:f>IF(OR(COUNT(G81)=0,G81=0),"",'Event Register'!H81/(G81*'Controls'!$D$22)/60)</x:f>
      </x:c>
      <x:c r="K81" s="13" t="str"/>
      <x:c r="L81" s="13" t="str"/>
      <x:c r="M81" s="13" t="str"/>
      <x:c r="N81" s="13" t="str"/>
      <x:c r="O81" s="13" t="str">
        <x:f>IF(N81=1,IF(AND(COUNT(G81,L81)=2,G81&lt;=F81,L81&lt;='Controls'!$D$65,IF(D81="AM-06",AND(COUNT(K81)=1,K81&lt;=1.6),1)),"PASS","FAIL"),"OPEN")</x:f>
        <x:v>OPEN</x:v>
      </x:c>
    </x:row>
    <x:row r="82">
      <x:c r="B82" s="13" t="str">
        <x:v>RAS-PT-076</x:v>
      </x:c>
      <x:c r="C82" s="13" t="str">
        <x:v>RAS-E076</x:v>
      </x:c>
      <x:c r="D82" s="13" t="str">
        <x:v>AM-06</x:v>
      </x:c>
      <x:c r="E82" s="13" t="str">
        <x:v>QE-04</x:v>
      </x:c>
      <x:c r="F82" s="13" t="n">
        <x:v>6.25</x:v>
      </x:c>
      <x:c r="G82" s="13" t="str"/>
      <x:c r="H82" s="13" t="str">
        <x:f>IF(COUNT(G82)=0,"",IF(D82="AM-06",G82*'Controls'!$D$22*'Controls'!$D$14,0))</x:f>
      </x:c>
      <x:c r="I82" s="13" t="str">
        <x:f>IF(COUNT(H82)=0,"",H82*'Controls'!$D$23)</x:f>
      </x:c>
      <x:c r="J82" s="13" t="str">
        <x:f>IF(OR(COUNT(G82)=0,G82=0),"",'Event Register'!H82/(G82*'Controls'!$D$22)/60)</x:f>
      </x:c>
      <x:c r="K82" s="13" t="str"/>
      <x:c r="L82" s="13" t="str"/>
      <x:c r="M82" s="13" t="str"/>
      <x:c r="N82" s="13" t="str"/>
      <x:c r="O82" s="13" t="str">
        <x:f>IF(N82=1,IF(AND(COUNT(G82,L82)=2,G82&lt;=F82,L82&lt;='Controls'!$D$65,IF(D82="AM-06",AND(COUNT(K82)=1,K82&lt;=1.6),1)),"PASS","FAIL"),"OPEN")</x:f>
        <x:v>OPEN</x:v>
      </x:c>
    </x:row>
    <x:row r="83">
      <x:c r="B83" s="13" t="str">
        <x:v>RAS-PT-077</x:v>
      </x:c>
      <x:c r="C83" s="13" t="str">
        <x:v>RAS-E077</x:v>
      </x:c>
      <x:c r="D83" s="13" t="str">
        <x:v>AM-06</x:v>
      </x:c>
      <x:c r="E83" s="13" t="str">
        <x:v>QE-05</x:v>
      </x:c>
      <x:c r="F83" s="13" t="n">
        <x:v>6.25</x:v>
      </x:c>
      <x:c r="G83" s="13" t="str"/>
      <x:c r="H83" s="13" t="str">
        <x:f>IF(COUNT(G83)=0,"",IF(D83="AM-06",G83*'Controls'!$D$22*'Controls'!$D$14,0))</x:f>
      </x:c>
      <x:c r="I83" s="13" t="str">
        <x:f>IF(COUNT(H83)=0,"",H83*'Controls'!$D$23)</x:f>
      </x:c>
      <x:c r="J83" s="13" t="str">
        <x:f>IF(OR(COUNT(G83)=0,G83=0),"",'Event Register'!H83/(G83*'Controls'!$D$22)/60)</x:f>
      </x:c>
      <x:c r="K83" s="13" t="str"/>
      <x:c r="L83" s="13" t="str"/>
      <x:c r="M83" s="13" t="str"/>
      <x:c r="N83" s="13" t="str"/>
      <x:c r="O83" s="13" t="str">
        <x:f>IF(N83=1,IF(AND(COUNT(G83,L83)=2,G83&lt;=F83,L83&lt;='Controls'!$D$65,IF(D83="AM-06",AND(COUNT(K83)=1,K83&lt;=1.6),1)),"PASS","FAIL"),"OPEN")</x:f>
        <x:v>OPEN</x:v>
      </x:c>
    </x:row>
    <x:row r="84">
      <x:c r="B84" s="13" t="str">
        <x:v>RAS-PT-078</x:v>
      </x:c>
      <x:c r="C84" s="13" t="str">
        <x:v>RAS-E078</x:v>
      </x:c>
      <x:c r="D84" s="13" t="str">
        <x:v>AM-06</x:v>
      </x:c>
      <x:c r="E84" s="13" t="str">
        <x:v>QE-06</x:v>
      </x:c>
      <x:c r="F84" s="13" t="n">
        <x:v>25</x:v>
      </x:c>
      <x:c r="G84" s="13" t="str"/>
      <x:c r="H84" s="13" t="str">
        <x:f>IF(COUNT(G84)=0,"",IF(D84="AM-06",G84*'Controls'!$D$22*'Controls'!$D$14,0))</x:f>
      </x:c>
      <x:c r="I84" s="13" t="str">
        <x:f>IF(COUNT(H84)=0,"",H84*'Controls'!$D$23)</x:f>
      </x:c>
      <x:c r="J84" s="13" t="str">
        <x:f>IF(OR(COUNT(G84)=0,G84=0),"",'Event Register'!H84/(G84*'Controls'!$D$22)/60)</x:f>
      </x:c>
      <x:c r="K84" s="13" t="str"/>
      <x:c r="L84" s="13" t="str"/>
      <x:c r="M84" s="13" t="str"/>
      <x:c r="N84" s="13" t="str"/>
      <x:c r="O84" s="13" t="str">
        <x:f>IF(N84=1,IF(AND(COUNT(G84,L84)=2,G84&lt;=F84,L84&lt;='Controls'!$D$65,IF(D84="AM-06",AND(COUNT(K84)=1,K84&lt;=1.6),1)),"PASS","FAIL"),"OPEN")</x:f>
        <x:v>OPEN</x:v>
      </x:c>
    </x:row>
    <x:row r="85">
      <x:c r="B85" s="13" t="str">
        <x:v>RAS-PT-079</x:v>
      </x:c>
      <x:c r="C85" s="13" t="str">
        <x:v>RAS-E079</x:v>
      </x:c>
      <x:c r="D85" s="13" t="str">
        <x:v>AM-06</x:v>
      </x:c>
      <x:c r="E85" s="13" t="str">
        <x:v>QE-01</x:v>
      </x:c>
      <x:c r="F85" s="13" t="n">
        <x:v>0</x:v>
      </x:c>
      <x:c r="G85" s="13" t="str"/>
      <x:c r="H85" s="13" t="str">
        <x:f>IF(COUNT(G85)=0,"",IF(D85="AM-06",G85*'Controls'!$D$22*'Controls'!$D$14,0))</x:f>
      </x:c>
      <x:c r="I85" s="13" t="str">
        <x:f>IF(COUNT(H85)=0,"",H85*'Controls'!$D$23)</x:f>
      </x:c>
      <x:c r="J85" s="13" t="str">
        <x:f>IF(OR(COUNT(G85)=0,G85=0),"",'Event Register'!H85/(G85*'Controls'!$D$22)/60)</x:f>
      </x:c>
      <x:c r="K85" s="13" t="str"/>
      <x:c r="L85" s="13" t="str"/>
      <x:c r="M85" s="13" t="str"/>
      <x:c r="N85" s="13" t="str"/>
      <x:c r="O85" s="13" t="str">
        <x:f>IF(N85=1,IF(AND(COUNT(G85,L85)=2,G85&lt;=F85,L85&lt;='Controls'!$D$65,IF(D85="AM-06",AND(COUNT(K85)=1,K85&lt;=1.6),1)),"PASS","FAIL"),"OPEN")</x:f>
        <x:v>OPEN</x:v>
      </x:c>
    </x:row>
    <x:row r="86">
      <x:c r="B86" s="13" t="str">
        <x:v>RAS-PT-080</x:v>
      </x:c>
      <x:c r="C86" s="13" t="str">
        <x:v>RAS-E080</x:v>
      </x:c>
      <x:c r="D86" s="13" t="str">
        <x:v>AM-06</x:v>
      </x:c>
      <x:c r="E86" s="13" t="str">
        <x:v>QE-02</x:v>
      </x:c>
      <x:c r="F86" s="13" t="n">
        <x:v>2.5</x:v>
      </x:c>
      <x:c r="G86" s="13" t="str"/>
      <x:c r="H86" s="13" t="str">
        <x:f>IF(COUNT(G86)=0,"",IF(D86="AM-06",G86*'Controls'!$D$22*'Controls'!$D$14,0))</x:f>
      </x:c>
      <x:c r="I86" s="13" t="str">
        <x:f>IF(COUNT(H86)=0,"",H86*'Controls'!$D$23)</x:f>
      </x:c>
      <x:c r="J86" s="13" t="str">
        <x:f>IF(OR(COUNT(G86)=0,G86=0),"",'Event Register'!H86/(G86*'Controls'!$D$22)/60)</x:f>
      </x:c>
      <x:c r="K86" s="13" t="str"/>
      <x:c r="L86" s="13" t="str"/>
      <x:c r="M86" s="13" t="str"/>
      <x:c r="N86" s="13" t="str"/>
      <x:c r="O86" s="13" t="str">
        <x:f>IF(N86=1,IF(AND(COUNT(G86,L86)=2,G86&lt;=F86,L86&lt;='Controls'!$D$65,IF(D86="AM-06",AND(COUNT(K86)=1,K86&lt;=1.6),1)),"PASS","FAIL"),"OPEN")</x:f>
        <x:v>OPEN</x:v>
      </x:c>
    </x:row>
    <x:row r="87">
      <x:c r="B87" s="13" t="str">
        <x:v>RAS-PT-081</x:v>
      </x:c>
      <x:c r="C87" s="13" t="str">
        <x:v>RAS-E081</x:v>
      </x:c>
      <x:c r="D87" s="13" t="str">
        <x:v>AM-06</x:v>
      </x:c>
      <x:c r="E87" s="13" t="str">
        <x:v>QE-03</x:v>
      </x:c>
      <x:c r="F87" s="13" t="n">
        <x:v>5</x:v>
      </x:c>
      <x:c r="G87" s="13" t="str"/>
      <x:c r="H87" s="13" t="str">
        <x:f>IF(COUNT(G87)=0,"",IF(D87="AM-06",G87*'Controls'!$D$22*'Controls'!$D$14,0))</x:f>
      </x:c>
      <x:c r="I87" s="13" t="str">
        <x:f>IF(COUNT(H87)=0,"",H87*'Controls'!$D$23)</x:f>
      </x:c>
      <x:c r="J87" s="13" t="str">
        <x:f>IF(OR(COUNT(G87)=0,G87=0),"",'Event Register'!H87/(G87*'Controls'!$D$22)/60)</x:f>
      </x:c>
      <x:c r="K87" s="13" t="str"/>
      <x:c r="L87" s="13" t="str"/>
      <x:c r="M87" s="13" t="str"/>
      <x:c r="N87" s="13" t="str"/>
      <x:c r="O87" s="13" t="str">
        <x:f>IF(N87=1,IF(AND(COUNT(G87,L87)=2,G87&lt;=F87,L87&lt;='Controls'!$D$65,IF(D87="AM-06",AND(COUNT(K87)=1,K87&lt;=1.6),1)),"PASS","FAIL"),"OPEN")</x:f>
        <x:v>OPEN</x:v>
      </x:c>
    </x:row>
    <x:row r="88">
      <x:c r="B88" s="13" t="str">
        <x:v>RAS-PT-082</x:v>
      </x:c>
      <x:c r="C88" s="13" t="str">
        <x:v>RAS-E082</x:v>
      </x:c>
      <x:c r="D88" s="13" t="str">
        <x:v>AM-06</x:v>
      </x:c>
      <x:c r="E88" s="13" t="str">
        <x:v>QE-04</x:v>
      </x:c>
      <x:c r="F88" s="13" t="n">
        <x:v>6.25</x:v>
      </x:c>
      <x:c r="G88" s="13" t="str"/>
      <x:c r="H88" s="13" t="str">
        <x:f>IF(COUNT(G88)=0,"",IF(D88="AM-06",G88*'Controls'!$D$22*'Controls'!$D$14,0))</x:f>
      </x:c>
      <x:c r="I88" s="13" t="str">
        <x:f>IF(COUNT(H88)=0,"",H88*'Controls'!$D$23)</x:f>
      </x:c>
      <x:c r="J88" s="13" t="str">
        <x:f>IF(OR(COUNT(G88)=0,G88=0),"",'Event Register'!H88/(G88*'Controls'!$D$22)/60)</x:f>
      </x:c>
      <x:c r="K88" s="13" t="str"/>
      <x:c r="L88" s="13" t="str"/>
      <x:c r="M88" s="13" t="str"/>
      <x:c r="N88" s="13" t="str"/>
      <x:c r="O88" s="13" t="str">
        <x:f>IF(N88=1,IF(AND(COUNT(G88,L88)=2,G88&lt;=F88,L88&lt;='Controls'!$D$65,IF(D88="AM-06",AND(COUNT(K88)=1,K88&lt;=1.6),1)),"PASS","FAIL"),"OPEN")</x:f>
        <x:v>OPEN</x:v>
      </x:c>
    </x:row>
    <x:row r="89">
      <x:c r="B89" s="13" t="str">
        <x:v>RAS-PT-083</x:v>
      </x:c>
      <x:c r="C89" s="13" t="str">
        <x:v>RAS-E083</x:v>
      </x:c>
      <x:c r="D89" s="13" t="str">
        <x:v>AM-06</x:v>
      </x:c>
      <x:c r="E89" s="13" t="str">
        <x:v>QE-05</x:v>
      </x:c>
      <x:c r="F89" s="13" t="n">
        <x:v>6.25</x:v>
      </x:c>
      <x:c r="G89" s="13" t="str"/>
      <x:c r="H89" s="13" t="str">
        <x:f>IF(COUNT(G89)=0,"",IF(D89="AM-06",G89*'Controls'!$D$22*'Controls'!$D$14,0))</x:f>
      </x:c>
      <x:c r="I89" s="13" t="str">
        <x:f>IF(COUNT(H89)=0,"",H89*'Controls'!$D$23)</x:f>
      </x:c>
      <x:c r="J89" s="13" t="str">
        <x:f>IF(OR(COUNT(G89)=0,G89=0),"",'Event Register'!H89/(G89*'Controls'!$D$22)/60)</x:f>
      </x:c>
      <x:c r="K89" s="13" t="str"/>
      <x:c r="L89" s="13" t="str"/>
      <x:c r="M89" s="13" t="str"/>
      <x:c r="N89" s="13" t="str"/>
      <x:c r="O89" s="13" t="str">
        <x:f>IF(N89=1,IF(AND(COUNT(G89,L89)=2,G89&lt;=F89,L89&lt;='Controls'!$D$65,IF(D89="AM-06",AND(COUNT(K89)=1,K89&lt;=1.6),1)),"PASS","FAIL"),"OPEN")</x:f>
        <x:v>OPEN</x:v>
      </x:c>
    </x:row>
    <x:row r="90">
      <x:c r="B90" s="13" t="str">
        <x:v>RAS-PT-084</x:v>
      </x:c>
      <x:c r="C90" s="13" t="str">
        <x:v>RAS-E084</x:v>
      </x:c>
      <x:c r="D90" s="13" t="str">
        <x:v>AM-06</x:v>
      </x:c>
      <x:c r="E90" s="13" t="str">
        <x:v>QE-06</x:v>
      </x:c>
      <x:c r="F90" s="13" t="n">
        <x:v>25</x:v>
      </x:c>
      <x:c r="G90" s="13" t="str"/>
      <x:c r="H90" s="13" t="str">
        <x:f>IF(COUNT(G90)=0,"",IF(D90="AM-06",G90*'Controls'!$D$22*'Controls'!$D$14,0))</x:f>
      </x:c>
      <x:c r="I90" s="13" t="str">
        <x:f>IF(COUNT(H90)=0,"",H90*'Controls'!$D$23)</x:f>
      </x:c>
      <x:c r="J90" s="13" t="str">
        <x:f>IF(OR(COUNT(G90)=0,G90=0),"",'Event Register'!H90/(G90*'Controls'!$D$22)/60)</x:f>
      </x:c>
      <x:c r="K90" s="13" t="str"/>
      <x:c r="L90" s="13" t="str"/>
      <x:c r="M90" s="13" t="str"/>
      <x:c r="N90" s="13" t="str"/>
      <x:c r="O90" s="13" t="str">
        <x:f>IF(N90=1,IF(AND(COUNT(G90,L90)=2,G90&lt;=F90,L90&lt;='Controls'!$D$65,IF(D90="AM-06",AND(COUNT(K90)=1,K90&lt;=1.6),1)),"PASS","FAIL"),"OPEN")</x:f>
        <x:v>OPEN</x:v>
      </x:c>
    </x:row>
    <x:row r="91">
      <x:c r="B91" s="13" t="str">
        <x:v>RAS-PT-085</x:v>
      </x:c>
      <x:c r="C91" s="13" t="str">
        <x:v>RAS-E085</x:v>
      </x:c>
      <x:c r="D91" s="13" t="str">
        <x:v>AM-06</x:v>
      </x:c>
      <x:c r="E91" s="13" t="str">
        <x:v>QE-01</x:v>
      </x:c>
      <x:c r="F91" s="13" t="n">
        <x:v>0</x:v>
      </x:c>
      <x:c r="G91" s="13" t="str"/>
      <x:c r="H91" s="13" t="str">
        <x:f>IF(COUNT(G91)=0,"",IF(D91="AM-06",G91*'Controls'!$D$22*'Controls'!$D$14,0))</x:f>
      </x:c>
      <x:c r="I91" s="13" t="str">
        <x:f>IF(COUNT(H91)=0,"",H91*'Controls'!$D$23)</x:f>
      </x:c>
      <x:c r="J91" s="13" t="str">
        <x:f>IF(OR(COUNT(G91)=0,G91=0),"",'Event Register'!H91/(G91*'Controls'!$D$22)/60)</x:f>
      </x:c>
      <x:c r="K91" s="13" t="str"/>
      <x:c r="L91" s="13" t="str"/>
      <x:c r="M91" s="13" t="str"/>
      <x:c r="N91" s="13" t="str"/>
      <x:c r="O91" s="13" t="str">
        <x:f>IF(N91=1,IF(AND(COUNT(G91,L91)=2,G91&lt;=F91,L91&lt;='Controls'!$D$65,IF(D91="AM-06",AND(COUNT(K91)=1,K91&lt;=1.6),1)),"PASS","FAIL"),"OPEN")</x:f>
        <x:v>OPEN</x:v>
      </x:c>
    </x:row>
    <x:row r="92">
      <x:c r="B92" s="13" t="str">
        <x:v>RAS-PT-086</x:v>
      </x:c>
      <x:c r="C92" s="13" t="str">
        <x:v>RAS-E086</x:v>
      </x:c>
      <x:c r="D92" s="13" t="str">
        <x:v>AM-06</x:v>
      </x:c>
      <x:c r="E92" s="13" t="str">
        <x:v>QE-02</x:v>
      </x:c>
      <x:c r="F92" s="13" t="n">
        <x:v>2.5</x:v>
      </x:c>
      <x:c r="G92" s="13" t="str"/>
      <x:c r="H92" s="13" t="str">
        <x:f>IF(COUNT(G92)=0,"",IF(D92="AM-06",G92*'Controls'!$D$22*'Controls'!$D$14,0))</x:f>
      </x:c>
      <x:c r="I92" s="13" t="str">
        <x:f>IF(COUNT(H92)=0,"",H92*'Controls'!$D$23)</x:f>
      </x:c>
      <x:c r="J92" s="13" t="str">
        <x:f>IF(OR(COUNT(G92)=0,G92=0),"",'Event Register'!H92/(G92*'Controls'!$D$22)/60)</x:f>
      </x:c>
      <x:c r="K92" s="13" t="str"/>
      <x:c r="L92" s="13" t="str"/>
      <x:c r="M92" s="13" t="str"/>
      <x:c r="N92" s="13" t="str"/>
      <x:c r="O92" s="13" t="str">
        <x:f>IF(N92=1,IF(AND(COUNT(G92,L92)=2,G92&lt;=F92,L92&lt;='Controls'!$D$65,IF(D92="AM-06",AND(COUNT(K92)=1,K92&lt;=1.6),1)),"PASS","FAIL"),"OPEN")</x:f>
        <x:v>OPEN</x:v>
      </x:c>
    </x:row>
    <x:row r="93">
      <x:c r="B93" s="13" t="str">
        <x:v>RAS-PT-087</x:v>
      </x:c>
      <x:c r="C93" s="13" t="str">
        <x:v>RAS-E087</x:v>
      </x:c>
      <x:c r="D93" s="13" t="str">
        <x:v>AM-06</x:v>
      </x:c>
      <x:c r="E93" s="13" t="str">
        <x:v>QE-03</x:v>
      </x:c>
      <x:c r="F93" s="13" t="n">
        <x:v>5</x:v>
      </x:c>
      <x:c r="G93" s="13" t="str"/>
      <x:c r="H93" s="13" t="str">
        <x:f>IF(COUNT(G93)=0,"",IF(D93="AM-06",G93*'Controls'!$D$22*'Controls'!$D$14,0))</x:f>
      </x:c>
      <x:c r="I93" s="13" t="str">
        <x:f>IF(COUNT(H93)=0,"",H93*'Controls'!$D$23)</x:f>
      </x:c>
      <x:c r="J93" s="13" t="str">
        <x:f>IF(OR(COUNT(G93)=0,G93=0),"",'Event Register'!H93/(G93*'Controls'!$D$22)/60)</x:f>
      </x:c>
      <x:c r="K93" s="13" t="str"/>
      <x:c r="L93" s="13" t="str"/>
      <x:c r="M93" s="13" t="str"/>
      <x:c r="N93" s="13" t="str"/>
      <x:c r="O93" s="13" t="str">
        <x:f>IF(N93=1,IF(AND(COUNT(G93,L93)=2,G93&lt;=F93,L93&lt;='Controls'!$D$65,IF(D93="AM-06",AND(COUNT(K93)=1,K93&lt;=1.6),1)),"PASS","FAIL"),"OPEN")</x:f>
        <x:v>OPEN</x:v>
      </x:c>
    </x:row>
    <x:row r="94">
      <x:c r="B94" s="13" t="str">
        <x:v>RAS-PT-088</x:v>
      </x:c>
      <x:c r="C94" s="13" t="str">
        <x:v>RAS-E088</x:v>
      </x:c>
      <x:c r="D94" s="13" t="str">
        <x:v>AM-06</x:v>
      </x:c>
      <x:c r="E94" s="13" t="str">
        <x:v>QE-04</x:v>
      </x:c>
      <x:c r="F94" s="13" t="n">
        <x:v>6.25</x:v>
      </x:c>
      <x:c r="G94" s="13" t="str"/>
      <x:c r="H94" s="13" t="str">
        <x:f>IF(COUNT(G94)=0,"",IF(D94="AM-06",G94*'Controls'!$D$22*'Controls'!$D$14,0))</x:f>
      </x:c>
      <x:c r="I94" s="13" t="str">
        <x:f>IF(COUNT(H94)=0,"",H94*'Controls'!$D$23)</x:f>
      </x:c>
      <x:c r="J94" s="13" t="str">
        <x:f>IF(OR(COUNT(G94)=0,G94=0),"",'Event Register'!H94/(G94*'Controls'!$D$22)/60)</x:f>
      </x:c>
      <x:c r="K94" s="13" t="str"/>
      <x:c r="L94" s="13" t="str"/>
      <x:c r="M94" s="13" t="str"/>
      <x:c r="N94" s="13" t="str"/>
      <x:c r="O94" s="13" t="str">
        <x:f>IF(N94=1,IF(AND(COUNT(G94,L94)=2,G94&lt;=F94,L94&lt;='Controls'!$D$65,IF(D94="AM-06",AND(COUNT(K94)=1,K94&lt;=1.6),1)),"PASS","FAIL"),"OPEN")</x:f>
        <x:v>OPEN</x:v>
      </x:c>
    </x:row>
    <x:row r="95">
      <x:c r="B95" s="13" t="str">
        <x:v>RAS-PT-089</x:v>
      </x:c>
      <x:c r="C95" s="13" t="str">
        <x:v>RAS-E089</x:v>
      </x:c>
      <x:c r="D95" s="13" t="str">
        <x:v>AM-06</x:v>
      </x:c>
      <x:c r="E95" s="13" t="str">
        <x:v>QE-05</x:v>
      </x:c>
      <x:c r="F95" s="13" t="n">
        <x:v>6.25</x:v>
      </x:c>
      <x:c r="G95" s="13" t="str"/>
      <x:c r="H95" s="13" t="str">
        <x:f>IF(COUNT(G95)=0,"",IF(D95="AM-06",G95*'Controls'!$D$22*'Controls'!$D$14,0))</x:f>
      </x:c>
      <x:c r="I95" s="13" t="str">
        <x:f>IF(COUNT(H95)=0,"",H95*'Controls'!$D$23)</x:f>
      </x:c>
      <x:c r="J95" s="13" t="str">
        <x:f>IF(OR(COUNT(G95)=0,G95=0),"",'Event Register'!H95/(G95*'Controls'!$D$22)/60)</x:f>
      </x:c>
      <x:c r="K95" s="13" t="str"/>
      <x:c r="L95" s="13" t="str"/>
      <x:c r="M95" s="13" t="str"/>
      <x:c r="N95" s="13" t="str"/>
      <x:c r="O95" s="13" t="str">
        <x:f>IF(N95=1,IF(AND(COUNT(G95,L95)=2,G95&lt;=F95,L95&lt;='Controls'!$D$65,IF(D95="AM-06",AND(COUNT(K95)=1,K95&lt;=1.6),1)),"PASS","FAIL"),"OPEN")</x:f>
        <x:v>OPEN</x:v>
      </x:c>
    </x:row>
    <x:row r="96">
      <x:c r="B96" s="13" t="str">
        <x:v>RAS-PT-090</x:v>
      </x:c>
      <x:c r="C96" s="13" t="str">
        <x:v>RAS-E090</x:v>
      </x:c>
      <x:c r="D96" s="13" t="str">
        <x:v>AM-06</x:v>
      </x:c>
      <x:c r="E96" s="13" t="str">
        <x:v>QE-06</x:v>
      </x:c>
      <x:c r="F96" s="13" t="n">
        <x:v>25</x:v>
      </x:c>
      <x:c r="G96" s="13" t="str"/>
      <x:c r="H96" s="13" t="str">
        <x:f>IF(COUNT(G96)=0,"",IF(D96="AM-06",G96*'Controls'!$D$22*'Controls'!$D$14,0))</x:f>
      </x:c>
      <x:c r="I96" s="13" t="str">
        <x:f>IF(COUNT(H96)=0,"",H96*'Controls'!$D$23)</x:f>
      </x:c>
      <x:c r="J96" s="13" t="str">
        <x:f>IF(OR(COUNT(G96)=0,G96=0),"",'Event Register'!H96/(G96*'Controls'!$D$22)/60)</x:f>
      </x:c>
      <x:c r="K96" s="13" t="str"/>
      <x:c r="L96" s="13" t="str"/>
      <x:c r="M96" s="13" t="str"/>
      <x:c r="N96" s="13" t="str"/>
      <x:c r="O96" s="13" t="str">
        <x:f>IF(N96=1,IF(AND(COUNT(G96,L96)=2,G96&lt;=F96,L96&lt;='Controls'!$D$65,IF(D96="AM-06",AND(COUNT(K96)=1,K96&lt;=1.6),1)),"PASS","FAIL"),"OPEN")</x:f>
        <x:v>OPEN</x:v>
      </x:c>
    </x:row>
    <x:row r="97">
      <x:c r="B97" s="13" t="str">
        <x:v>RAS-PT-091</x:v>
      </x:c>
      <x:c r="C97" s="13" t="str">
        <x:v>RAS-E091</x:v>
      </x:c>
      <x:c r="D97" s="13" t="str">
        <x:v>AM-06</x:v>
      </x:c>
      <x:c r="E97" s="13" t="str">
        <x:v>QE-01</x:v>
      </x:c>
      <x:c r="F97" s="13" t="n">
        <x:v>0</x:v>
      </x:c>
      <x:c r="G97" s="13" t="str"/>
      <x:c r="H97" s="13" t="str">
        <x:f>IF(COUNT(G97)=0,"",IF(D97="AM-06",G97*'Controls'!$D$22*'Controls'!$D$14,0))</x:f>
      </x:c>
      <x:c r="I97" s="13" t="str">
        <x:f>IF(COUNT(H97)=0,"",H97*'Controls'!$D$23)</x:f>
      </x:c>
      <x:c r="J97" s="13" t="str">
        <x:f>IF(OR(COUNT(G97)=0,G97=0),"",'Event Register'!H97/(G97*'Controls'!$D$22)/60)</x:f>
      </x:c>
      <x:c r="K97" s="13" t="str"/>
      <x:c r="L97" s="13" t="str"/>
      <x:c r="M97" s="13" t="str"/>
      <x:c r="N97" s="13" t="str"/>
      <x:c r="O97" s="13" t="str">
        <x:f>IF(N97=1,IF(AND(COUNT(G97,L97)=2,G97&lt;=F97,L97&lt;='Controls'!$D$65,IF(D97="AM-06",AND(COUNT(K97)=1,K97&lt;=1.6),1)),"PASS","FAIL"),"OPEN")</x:f>
        <x:v>OPEN</x:v>
      </x:c>
    </x:row>
    <x:row r="98">
      <x:c r="B98" s="13" t="str">
        <x:v>RAS-PT-092</x:v>
      </x:c>
      <x:c r="C98" s="13" t="str">
        <x:v>RAS-E092</x:v>
      </x:c>
      <x:c r="D98" s="13" t="str">
        <x:v>AM-06</x:v>
      </x:c>
      <x:c r="E98" s="13" t="str">
        <x:v>QE-02</x:v>
      </x:c>
      <x:c r="F98" s="13" t="n">
        <x:v>2.5</x:v>
      </x:c>
      <x:c r="G98" s="13" t="str"/>
      <x:c r="H98" s="13" t="str">
        <x:f>IF(COUNT(G98)=0,"",IF(D98="AM-06",G98*'Controls'!$D$22*'Controls'!$D$14,0))</x:f>
      </x:c>
      <x:c r="I98" s="13" t="str">
        <x:f>IF(COUNT(H98)=0,"",H98*'Controls'!$D$23)</x:f>
      </x:c>
      <x:c r="J98" s="13" t="str">
        <x:f>IF(OR(COUNT(G98)=0,G98=0),"",'Event Register'!H98/(G98*'Controls'!$D$22)/60)</x:f>
      </x:c>
      <x:c r="K98" s="13" t="str"/>
      <x:c r="L98" s="13" t="str"/>
      <x:c r="M98" s="13" t="str"/>
      <x:c r="N98" s="13" t="str"/>
      <x:c r="O98" s="13" t="str">
        <x:f>IF(N98=1,IF(AND(COUNT(G98,L98)=2,G98&lt;=F98,L98&lt;='Controls'!$D$65,IF(D98="AM-06",AND(COUNT(K98)=1,K98&lt;=1.6),1)),"PASS","FAIL"),"OPEN")</x:f>
        <x:v>OPEN</x:v>
      </x:c>
    </x:row>
    <x:row r="99">
      <x:c r="B99" s="13" t="str">
        <x:v>RAS-PT-093</x:v>
      </x:c>
      <x:c r="C99" s="13" t="str">
        <x:v>RAS-E093</x:v>
      </x:c>
      <x:c r="D99" s="13" t="str">
        <x:v>AM-06</x:v>
      </x:c>
      <x:c r="E99" s="13" t="str">
        <x:v>QE-03</x:v>
      </x:c>
      <x:c r="F99" s="13" t="n">
        <x:v>5</x:v>
      </x:c>
      <x:c r="G99" s="13" t="str"/>
      <x:c r="H99" s="13" t="str">
        <x:f>IF(COUNT(G99)=0,"",IF(D99="AM-06",G99*'Controls'!$D$22*'Controls'!$D$14,0))</x:f>
      </x:c>
      <x:c r="I99" s="13" t="str">
        <x:f>IF(COUNT(H99)=0,"",H99*'Controls'!$D$23)</x:f>
      </x:c>
      <x:c r="J99" s="13" t="str">
        <x:f>IF(OR(COUNT(G99)=0,G99=0),"",'Event Register'!H99/(G99*'Controls'!$D$22)/60)</x:f>
      </x:c>
      <x:c r="K99" s="13" t="str"/>
      <x:c r="L99" s="13" t="str"/>
      <x:c r="M99" s="13" t="str"/>
      <x:c r="N99" s="13" t="str"/>
      <x:c r="O99" s="13" t="str">
        <x:f>IF(N99=1,IF(AND(COUNT(G99,L99)=2,G99&lt;=F99,L99&lt;='Controls'!$D$65,IF(D99="AM-06",AND(COUNT(K99)=1,K99&lt;=1.6),1)),"PASS","FAIL"),"OPEN")</x:f>
        <x:v>OPEN</x:v>
      </x:c>
    </x:row>
    <x:row r="100">
      <x:c r="B100" s="13" t="str">
        <x:v>RAS-PT-094</x:v>
      </x:c>
      <x:c r="C100" s="13" t="str">
        <x:v>RAS-E094</x:v>
      </x:c>
      <x:c r="D100" s="13" t="str">
        <x:v>AM-06</x:v>
      </x:c>
      <x:c r="E100" s="13" t="str">
        <x:v>QE-04</x:v>
      </x:c>
      <x:c r="F100" s="13" t="n">
        <x:v>6.25</x:v>
      </x:c>
      <x:c r="G100" s="13" t="str"/>
      <x:c r="H100" s="13" t="str">
        <x:f>IF(COUNT(G100)=0,"",IF(D100="AM-06",G100*'Controls'!$D$22*'Controls'!$D$14,0))</x:f>
      </x:c>
      <x:c r="I100" s="13" t="str">
        <x:f>IF(COUNT(H100)=0,"",H100*'Controls'!$D$23)</x:f>
      </x:c>
      <x:c r="J100" s="13" t="str">
        <x:f>IF(OR(COUNT(G100)=0,G100=0),"",'Event Register'!H100/(G100*'Controls'!$D$22)/60)</x:f>
      </x:c>
      <x:c r="K100" s="13" t="str"/>
      <x:c r="L100" s="13" t="str"/>
      <x:c r="M100" s="13" t="str"/>
      <x:c r="N100" s="13" t="str"/>
      <x:c r="O100" s="13" t="str">
        <x:f>IF(N100=1,IF(AND(COUNT(G100,L100)=2,G100&lt;=F100,L100&lt;='Controls'!$D$65,IF(D100="AM-06",AND(COUNT(K100)=1,K100&lt;=1.6),1)),"PASS","FAIL"),"OPEN")</x:f>
        <x:v>OPEN</x:v>
      </x:c>
    </x:row>
    <x:row r="101">
      <x:c r="B101" s="13" t="str">
        <x:v>RAS-PT-095</x:v>
      </x:c>
      <x:c r="C101" s="13" t="str">
        <x:v>RAS-E095</x:v>
      </x:c>
      <x:c r="D101" s="13" t="str">
        <x:v>AM-06</x:v>
      </x:c>
      <x:c r="E101" s="13" t="str">
        <x:v>QE-05</x:v>
      </x:c>
      <x:c r="F101" s="13" t="n">
        <x:v>6.25</x:v>
      </x:c>
      <x:c r="G101" s="13" t="str"/>
      <x:c r="H101" s="13" t="str">
        <x:f>IF(COUNT(G101)=0,"",IF(D101="AM-06",G101*'Controls'!$D$22*'Controls'!$D$14,0))</x:f>
      </x:c>
      <x:c r="I101" s="13" t="str">
        <x:f>IF(COUNT(H101)=0,"",H101*'Controls'!$D$23)</x:f>
      </x:c>
      <x:c r="J101" s="13" t="str">
        <x:f>IF(OR(COUNT(G101)=0,G101=0),"",'Event Register'!H101/(G101*'Controls'!$D$22)/60)</x:f>
      </x:c>
      <x:c r="K101" s="13" t="str"/>
      <x:c r="L101" s="13" t="str"/>
      <x:c r="M101" s="13" t="str"/>
      <x:c r="N101" s="13" t="str"/>
      <x:c r="O101" s="13" t="str">
        <x:f>IF(N101=1,IF(AND(COUNT(G101,L101)=2,G101&lt;=F101,L101&lt;='Controls'!$D$65,IF(D101="AM-06",AND(COUNT(K101)=1,K101&lt;=1.6),1)),"PASS","FAIL"),"OPEN")</x:f>
        <x:v>OPEN</x:v>
      </x:c>
    </x:row>
    <x:row r="102">
      <x:c r="B102" s="13" t="str">
        <x:v>RAS-PT-096</x:v>
      </x:c>
      <x:c r="C102" s="13" t="str">
        <x:v>RAS-E096</x:v>
      </x:c>
      <x:c r="D102" s="13" t="str">
        <x:v>AM-06</x:v>
      </x:c>
      <x:c r="E102" s="13" t="str">
        <x:v>QE-06</x:v>
      </x:c>
      <x:c r="F102" s="13" t="n">
        <x:v>25</x:v>
      </x:c>
      <x:c r="G102" s="13" t="str"/>
      <x:c r="H102" s="13" t="str">
        <x:f>IF(COUNT(G102)=0,"",IF(D102="AM-06",G102*'Controls'!$D$22*'Controls'!$D$14,0))</x:f>
      </x:c>
      <x:c r="I102" s="13" t="str">
        <x:f>IF(COUNT(H102)=0,"",H102*'Controls'!$D$23)</x:f>
      </x:c>
      <x:c r="J102" s="13" t="str">
        <x:f>IF(OR(COUNT(G102)=0,G102=0),"",'Event Register'!H102/(G102*'Controls'!$D$22)/60)</x:f>
      </x:c>
      <x:c r="K102" s="13" t="str"/>
      <x:c r="L102" s="13" t="str"/>
      <x:c r="M102" s="13" t="str"/>
      <x:c r="N102" s="13" t="str"/>
      <x:c r="O102" s="13" t="str">
        <x:f>IF(N102=1,IF(AND(COUNT(G102,L102)=2,G102&lt;=F102,L102&lt;='Controls'!$D$65,IF(D102="AM-06",AND(COUNT(K102)=1,K102&lt;=1.6),1)),"PASS","FAIL"),"OPEN")</x:f>
        <x:v>OPEN</x:v>
      </x:c>
    </x:row>
    <x:row r="103">
      <x:c r="B103" s="13" t="str">
        <x:v>RAS-PT-097</x:v>
      </x:c>
      <x:c r="C103" s="13" t="str">
        <x:v>RAS-E097</x:v>
      </x:c>
      <x:c r="D103" s="13" t="str">
        <x:v>AM-06</x:v>
      </x:c>
      <x:c r="E103" s="13" t="str">
        <x:v>QE-01</x:v>
      </x:c>
      <x:c r="F103" s="13" t="n">
        <x:v>0</x:v>
      </x:c>
      <x:c r="G103" s="13" t="str"/>
      <x:c r="H103" s="13" t="str">
        <x:f>IF(COUNT(G103)=0,"",IF(D103="AM-06",G103*'Controls'!$D$22*'Controls'!$D$14,0))</x:f>
      </x:c>
      <x:c r="I103" s="13" t="str">
        <x:f>IF(COUNT(H103)=0,"",H103*'Controls'!$D$23)</x:f>
      </x:c>
      <x:c r="J103" s="13" t="str">
        <x:f>IF(OR(COUNT(G103)=0,G103=0),"",'Event Register'!H103/(G103*'Controls'!$D$22)/60)</x:f>
      </x:c>
      <x:c r="K103" s="13" t="str"/>
      <x:c r="L103" s="13" t="str"/>
      <x:c r="M103" s="13" t="str"/>
      <x:c r="N103" s="13" t="str"/>
      <x:c r="O103" s="13" t="str">
        <x:f>IF(N103=1,IF(AND(COUNT(G103,L103)=2,G103&lt;=F103,L103&lt;='Controls'!$D$65,IF(D103="AM-06",AND(COUNT(K103)=1,K103&lt;=1.6),1)),"PASS","FAIL"),"OPEN")</x:f>
        <x:v>OPEN</x:v>
      </x:c>
    </x:row>
    <x:row r="104">
      <x:c r="B104" s="13" t="str">
        <x:v>RAS-PT-098</x:v>
      </x:c>
      <x:c r="C104" s="13" t="str">
        <x:v>RAS-E098</x:v>
      </x:c>
      <x:c r="D104" s="13" t="str">
        <x:v>AM-06</x:v>
      </x:c>
      <x:c r="E104" s="13" t="str">
        <x:v>QE-02</x:v>
      </x:c>
      <x:c r="F104" s="13" t="n">
        <x:v>2.5</x:v>
      </x:c>
      <x:c r="G104" s="13" t="str"/>
      <x:c r="H104" s="13" t="str">
        <x:f>IF(COUNT(G104)=0,"",IF(D104="AM-06",G104*'Controls'!$D$22*'Controls'!$D$14,0))</x:f>
      </x:c>
      <x:c r="I104" s="13" t="str">
        <x:f>IF(COUNT(H104)=0,"",H104*'Controls'!$D$23)</x:f>
      </x:c>
      <x:c r="J104" s="13" t="str">
        <x:f>IF(OR(COUNT(G104)=0,G104=0),"",'Event Register'!H104/(G104*'Controls'!$D$22)/60)</x:f>
      </x:c>
      <x:c r="K104" s="13" t="str"/>
      <x:c r="L104" s="13" t="str"/>
      <x:c r="M104" s="13" t="str"/>
      <x:c r="N104" s="13" t="str"/>
      <x:c r="O104" s="13" t="str">
        <x:f>IF(N104=1,IF(AND(COUNT(G104,L104)=2,G104&lt;=F104,L104&lt;='Controls'!$D$65,IF(D104="AM-06",AND(COUNT(K104)=1,K104&lt;=1.6),1)),"PASS","FAIL"),"OPEN")</x:f>
        <x:v>OPEN</x:v>
      </x:c>
    </x:row>
    <x:row r="105">
      <x:c r="B105" s="13" t="str">
        <x:v>RAS-PT-099</x:v>
      </x:c>
      <x:c r="C105" s="13" t="str">
        <x:v>RAS-E099</x:v>
      </x:c>
      <x:c r="D105" s="13" t="str">
        <x:v>AM-06</x:v>
      </x:c>
      <x:c r="E105" s="13" t="str">
        <x:v>QE-03</x:v>
      </x:c>
      <x:c r="F105" s="13" t="n">
        <x:v>5</x:v>
      </x:c>
      <x:c r="G105" s="13" t="str"/>
      <x:c r="H105" s="13" t="str">
        <x:f>IF(COUNT(G105)=0,"",IF(D105="AM-06",G105*'Controls'!$D$22*'Controls'!$D$14,0))</x:f>
      </x:c>
      <x:c r="I105" s="13" t="str">
        <x:f>IF(COUNT(H105)=0,"",H105*'Controls'!$D$23)</x:f>
      </x:c>
      <x:c r="J105" s="13" t="str">
        <x:f>IF(OR(COUNT(G105)=0,G105=0),"",'Event Register'!H105/(G105*'Controls'!$D$22)/60)</x:f>
      </x:c>
      <x:c r="K105" s="13" t="str"/>
      <x:c r="L105" s="13" t="str"/>
      <x:c r="M105" s="13" t="str"/>
      <x:c r="N105" s="13" t="str"/>
      <x:c r="O105" s="13" t="str">
        <x:f>IF(N105=1,IF(AND(COUNT(G105,L105)=2,G105&lt;=F105,L105&lt;='Controls'!$D$65,IF(D105="AM-06",AND(COUNT(K105)=1,K105&lt;=1.6),1)),"PASS","FAIL"),"OPEN")</x:f>
        <x:v>OPEN</x:v>
      </x:c>
    </x:row>
    <x:row r="106">
      <x:c r="B106" s="13" t="str">
        <x:v>RAS-PT-100</x:v>
      </x:c>
      <x:c r="C106" s="13" t="str">
        <x:v>RAS-E100</x:v>
      </x:c>
      <x:c r="D106" s="13" t="str">
        <x:v>AM-06</x:v>
      </x:c>
      <x:c r="E106" s="13" t="str">
        <x:v>QE-04</x:v>
      </x:c>
      <x:c r="F106" s="13" t="n">
        <x:v>6.25</x:v>
      </x:c>
      <x:c r="G106" s="13" t="str"/>
      <x:c r="H106" s="13" t="str">
        <x:f>IF(COUNT(G106)=0,"",IF(D106="AM-06",G106*'Controls'!$D$22*'Controls'!$D$14,0))</x:f>
      </x:c>
      <x:c r="I106" s="13" t="str">
        <x:f>IF(COUNT(H106)=0,"",H106*'Controls'!$D$23)</x:f>
      </x:c>
      <x:c r="J106" s="13" t="str">
        <x:f>IF(OR(COUNT(G106)=0,G106=0),"",'Event Register'!H106/(G106*'Controls'!$D$22)/60)</x:f>
      </x:c>
      <x:c r="K106" s="13" t="str"/>
      <x:c r="L106" s="13" t="str"/>
      <x:c r="M106" s="13" t="str"/>
      <x:c r="N106" s="13" t="str"/>
      <x:c r="O106" s="13" t="str">
        <x:f>IF(N106=1,IF(AND(COUNT(G106,L106)=2,G106&lt;=F106,L106&lt;='Controls'!$D$65,IF(D106="AM-06",AND(COUNT(K106)=1,K106&lt;=1.6),1)),"PASS","FAIL"),"OPEN")</x:f>
        <x:v>OPEN</x:v>
      </x:c>
    </x:row>
    <x:row r="107">
      <x:c r="B107" s="13" t="str">
        <x:v>RAS-PT-101</x:v>
      </x:c>
      <x:c r="C107" s="13" t="str">
        <x:v>RAS-E101</x:v>
      </x:c>
      <x:c r="D107" s="13" t="str">
        <x:v>AM-06</x:v>
      </x:c>
      <x:c r="E107" s="13" t="str">
        <x:v>QE-05</x:v>
      </x:c>
      <x:c r="F107" s="13" t="n">
        <x:v>6.25</x:v>
      </x:c>
      <x:c r="G107" s="13" t="str"/>
      <x:c r="H107" s="13" t="str">
        <x:f>IF(COUNT(G107)=0,"",IF(D107="AM-06",G107*'Controls'!$D$22*'Controls'!$D$14,0))</x:f>
      </x:c>
      <x:c r="I107" s="13" t="str">
        <x:f>IF(COUNT(H107)=0,"",H107*'Controls'!$D$23)</x:f>
      </x:c>
      <x:c r="J107" s="13" t="str">
        <x:f>IF(OR(COUNT(G107)=0,G107=0),"",'Event Register'!H107/(G107*'Controls'!$D$22)/60)</x:f>
      </x:c>
      <x:c r="K107" s="13" t="str"/>
      <x:c r="L107" s="13" t="str"/>
      <x:c r="M107" s="13" t="str"/>
      <x:c r="N107" s="13" t="str"/>
      <x:c r="O107" s="13" t="str">
        <x:f>IF(N107=1,IF(AND(COUNT(G107,L107)=2,G107&lt;=F107,L107&lt;='Controls'!$D$65,IF(D107="AM-06",AND(COUNT(K107)=1,K107&lt;=1.6),1)),"PASS","FAIL"),"OPEN")</x:f>
        <x:v>OPEN</x:v>
      </x:c>
    </x:row>
    <x:row r="108">
      <x:c r="B108" s="13" t="str">
        <x:v>RAS-PT-102</x:v>
      </x:c>
      <x:c r="C108" s="13" t="str">
        <x:v>RAS-E102</x:v>
      </x:c>
      <x:c r="D108" s="13" t="str">
        <x:v>AM-06</x:v>
      </x:c>
      <x:c r="E108" s="13" t="str">
        <x:v>QE-06</x:v>
      </x:c>
      <x:c r="F108" s="13" t="n">
        <x:v>25</x:v>
      </x:c>
      <x:c r="G108" s="13" t="str"/>
      <x:c r="H108" s="13" t="str">
        <x:f>IF(COUNT(G108)=0,"",IF(D108="AM-06",G108*'Controls'!$D$22*'Controls'!$D$14,0))</x:f>
      </x:c>
      <x:c r="I108" s="13" t="str">
        <x:f>IF(COUNT(H108)=0,"",H108*'Controls'!$D$23)</x:f>
      </x:c>
      <x:c r="J108" s="13" t="str">
        <x:f>IF(OR(COUNT(G108)=0,G108=0),"",'Event Register'!H108/(G108*'Controls'!$D$22)/60)</x:f>
      </x:c>
      <x:c r="K108" s="13" t="str"/>
      <x:c r="L108" s="13" t="str"/>
      <x:c r="M108" s="13" t="str"/>
      <x:c r="N108" s="13" t="str"/>
      <x:c r="O108" s="13" t="str">
        <x:f>IF(N108=1,IF(AND(COUNT(G108,L108)=2,G108&lt;=F108,L108&lt;='Controls'!$D$65,IF(D108="AM-06",AND(COUNT(K108)=1,K108&lt;=1.6),1)),"PASS","FAIL"),"OPEN")</x:f>
        <x:v>OPEN</x:v>
      </x:c>
    </x:row>
    <x:row r="109">
      <x:c r="B109" s="13" t="str">
        <x:v>RAS-PT-103</x:v>
      </x:c>
      <x:c r="C109" s="13" t="str">
        <x:v>RAS-E103</x:v>
      </x:c>
      <x:c r="D109" s="13" t="str">
        <x:v>AM-06</x:v>
      </x:c>
      <x:c r="E109" s="13" t="str">
        <x:v>QE-01</x:v>
      </x:c>
      <x:c r="F109" s="13" t="n">
        <x:v>0</x:v>
      </x:c>
      <x:c r="G109" s="13" t="str"/>
      <x:c r="H109" s="13" t="str">
        <x:f>IF(COUNT(G109)=0,"",IF(D109="AM-06",G109*'Controls'!$D$22*'Controls'!$D$14,0))</x:f>
      </x:c>
      <x:c r="I109" s="13" t="str">
        <x:f>IF(COUNT(H109)=0,"",H109*'Controls'!$D$23)</x:f>
      </x:c>
      <x:c r="J109" s="13" t="str">
        <x:f>IF(OR(COUNT(G109)=0,G109=0),"",'Event Register'!H109/(G109*'Controls'!$D$22)/60)</x:f>
      </x:c>
      <x:c r="K109" s="13" t="str"/>
      <x:c r="L109" s="13" t="str"/>
      <x:c r="M109" s="13" t="str"/>
      <x:c r="N109" s="13" t="str"/>
      <x:c r="O109" s="13" t="str">
        <x:f>IF(N109=1,IF(AND(COUNT(G109,L109)=2,G109&lt;=F109,L109&lt;='Controls'!$D$65,IF(D109="AM-06",AND(COUNT(K109)=1,K109&lt;=1.6),1)),"PASS","FAIL"),"OPEN")</x:f>
        <x:v>OPEN</x:v>
      </x:c>
    </x:row>
    <x:row r="110">
      <x:c r="B110" s="13" t="str">
        <x:v>RAS-PT-104</x:v>
      </x:c>
      <x:c r="C110" s="13" t="str">
        <x:v>RAS-E104</x:v>
      </x:c>
      <x:c r="D110" s="13" t="str">
        <x:v>AM-06</x:v>
      </x:c>
      <x:c r="E110" s="13" t="str">
        <x:v>QE-02</x:v>
      </x:c>
      <x:c r="F110" s="13" t="n">
        <x:v>2.5</x:v>
      </x:c>
      <x:c r="G110" s="13" t="str"/>
      <x:c r="H110" s="13" t="str">
        <x:f>IF(COUNT(G110)=0,"",IF(D110="AM-06",G110*'Controls'!$D$22*'Controls'!$D$14,0))</x:f>
      </x:c>
      <x:c r="I110" s="13" t="str">
        <x:f>IF(COUNT(H110)=0,"",H110*'Controls'!$D$23)</x:f>
      </x:c>
      <x:c r="J110" s="13" t="str">
        <x:f>IF(OR(COUNT(G110)=0,G110=0),"",'Event Register'!H110/(G110*'Controls'!$D$22)/60)</x:f>
      </x:c>
      <x:c r="K110" s="13" t="str"/>
      <x:c r="L110" s="13" t="str"/>
      <x:c r="M110" s="13" t="str"/>
      <x:c r="N110" s="13" t="str"/>
      <x:c r="O110" s="13" t="str">
        <x:f>IF(N110=1,IF(AND(COUNT(G110,L110)=2,G110&lt;=F110,L110&lt;='Controls'!$D$65,IF(D110="AM-06",AND(COUNT(K110)=1,K110&lt;=1.6),1)),"PASS","FAIL"),"OPEN")</x:f>
        <x:v>OPEN</x:v>
      </x:c>
    </x:row>
    <x:row r="111">
      <x:c r="B111" s="13" t="str">
        <x:v>RAS-PT-105</x:v>
      </x:c>
      <x:c r="C111" s="13" t="str">
        <x:v>RAS-E105</x:v>
      </x:c>
      <x:c r="D111" s="13" t="str">
        <x:v>AM-06</x:v>
      </x:c>
      <x:c r="E111" s="13" t="str">
        <x:v>QE-03</x:v>
      </x:c>
      <x:c r="F111" s="13" t="n">
        <x:v>5</x:v>
      </x:c>
      <x:c r="G111" s="13" t="str"/>
      <x:c r="H111" s="13" t="str">
        <x:f>IF(COUNT(G111)=0,"",IF(D111="AM-06",G111*'Controls'!$D$22*'Controls'!$D$14,0))</x:f>
      </x:c>
      <x:c r="I111" s="13" t="str">
        <x:f>IF(COUNT(H111)=0,"",H111*'Controls'!$D$23)</x:f>
      </x:c>
      <x:c r="J111" s="13" t="str">
        <x:f>IF(OR(COUNT(G111)=0,G111=0),"",'Event Register'!H111/(G111*'Controls'!$D$22)/60)</x:f>
      </x:c>
      <x:c r="K111" s="13" t="str"/>
      <x:c r="L111" s="13" t="str"/>
      <x:c r="M111" s="13" t="str"/>
      <x:c r="N111" s="13" t="str"/>
      <x:c r="O111" s="13" t="str">
        <x:f>IF(N111=1,IF(AND(COUNT(G111,L111)=2,G111&lt;=F111,L111&lt;='Controls'!$D$65,IF(D111="AM-06",AND(COUNT(K111)=1,K111&lt;=1.6),1)),"PASS","FAIL"),"OPEN")</x:f>
        <x:v>OPEN</x:v>
      </x:c>
    </x:row>
    <x:row r="112">
      <x:c r="B112" s="13" t="str">
        <x:v>RAS-PT-106</x:v>
      </x:c>
      <x:c r="C112" s="13" t="str">
        <x:v>RAS-E106</x:v>
      </x:c>
      <x:c r="D112" s="13" t="str">
        <x:v>AM-06</x:v>
      </x:c>
      <x:c r="E112" s="13" t="str">
        <x:v>QE-04</x:v>
      </x:c>
      <x:c r="F112" s="13" t="n">
        <x:v>6.25</x:v>
      </x:c>
      <x:c r="G112" s="13" t="str"/>
      <x:c r="H112" s="13" t="str">
        <x:f>IF(COUNT(G112)=0,"",IF(D112="AM-06",G112*'Controls'!$D$22*'Controls'!$D$14,0))</x:f>
      </x:c>
      <x:c r="I112" s="13" t="str">
        <x:f>IF(COUNT(H112)=0,"",H112*'Controls'!$D$23)</x:f>
      </x:c>
      <x:c r="J112" s="13" t="str">
        <x:f>IF(OR(COUNT(G112)=0,G112=0),"",'Event Register'!H112/(G112*'Controls'!$D$22)/60)</x:f>
      </x:c>
      <x:c r="K112" s="13" t="str"/>
      <x:c r="L112" s="13" t="str"/>
      <x:c r="M112" s="13" t="str"/>
      <x:c r="N112" s="13" t="str"/>
      <x:c r="O112" s="13" t="str">
        <x:f>IF(N112=1,IF(AND(COUNT(G112,L112)=2,G112&lt;=F112,L112&lt;='Controls'!$D$65,IF(D112="AM-06",AND(COUNT(K112)=1,K112&lt;=1.6),1)),"PASS","FAIL"),"OPEN")</x:f>
        <x:v>OPEN</x:v>
      </x:c>
    </x:row>
    <x:row r="113">
      <x:c r="B113" s="13" t="str">
        <x:v>RAS-PT-107</x:v>
      </x:c>
      <x:c r="C113" s="13" t="str">
        <x:v>RAS-E107</x:v>
      </x:c>
      <x:c r="D113" s="13" t="str">
        <x:v>AM-06</x:v>
      </x:c>
      <x:c r="E113" s="13" t="str">
        <x:v>QE-05</x:v>
      </x:c>
      <x:c r="F113" s="13" t="n">
        <x:v>6.25</x:v>
      </x:c>
      <x:c r="G113" s="13" t="str"/>
      <x:c r="H113" s="13" t="str">
        <x:f>IF(COUNT(G113)=0,"",IF(D113="AM-06",G113*'Controls'!$D$22*'Controls'!$D$14,0))</x:f>
      </x:c>
      <x:c r="I113" s="13" t="str">
        <x:f>IF(COUNT(H113)=0,"",H113*'Controls'!$D$23)</x:f>
      </x:c>
      <x:c r="J113" s="13" t="str">
        <x:f>IF(OR(COUNT(G113)=0,G113=0),"",'Event Register'!H113/(G113*'Controls'!$D$22)/60)</x:f>
      </x:c>
      <x:c r="K113" s="13" t="str"/>
      <x:c r="L113" s="13" t="str"/>
      <x:c r="M113" s="13" t="str"/>
      <x:c r="N113" s="13" t="str"/>
      <x:c r="O113" s="13" t="str">
        <x:f>IF(N113=1,IF(AND(COUNT(G113,L113)=2,G113&lt;=F113,L113&lt;='Controls'!$D$65,IF(D113="AM-06",AND(COUNT(K113)=1,K113&lt;=1.6),1)),"PASS","FAIL"),"OPEN")</x:f>
        <x:v>OPEN</x:v>
      </x:c>
    </x:row>
    <x:row r="114">
      <x:c r="B114" s="13" t="str">
        <x:v>RAS-PT-108</x:v>
      </x:c>
      <x:c r="C114" s="13" t="str">
        <x:v>RAS-E108</x:v>
      </x:c>
      <x:c r="D114" s="13" t="str">
        <x:v>AM-06</x:v>
      </x:c>
      <x:c r="E114" s="13" t="str">
        <x:v>QE-06</x:v>
      </x:c>
      <x:c r="F114" s="13" t="n">
        <x:v>25</x:v>
      </x:c>
      <x:c r="G114" s="13" t="str"/>
      <x:c r="H114" s="13" t="str">
        <x:f>IF(COUNT(G114)=0,"",IF(D114="AM-06",G114*'Controls'!$D$22*'Controls'!$D$14,0))</x:f>
      </x:c>
      <x:c r="I114" s="13" t="str">
        <x:f>IF(COUNT(H114)=0,"",H114*'Controls'!$D$23)</x:f>
      </x:c>
      <x:c r="J114" s="13" t="str">
        <x:f>IF(OR(COUNT(G114)=0,G114=0),"",'Event Register'!H114/(G114*'Controls'!$D$22)/60)</x:f>
      </x:c>
      <x:c r="K114" s="13" t="str"/>
      <x:c r="L114" s="13" t="str"/>
      <x:c r="M114" s="13" t="str"/>
      <x:c r="N114" s="13" t="str"/>
      <x:c r="O114" s="13" t="str">
        <x:f>IF(N114=1,IF(AND(COUNT(G114,L114)=2,G114&lt;=F114,L114&lt;='Controls'!$D$65,IF(D114="AM-06",AND(COUNT(K114)=1,K114&lt;=1.6),1)),"PASS","FAIL"),"OPEN")</x:f>
        <x:v>OPEN</x:v>
      </x:c>
    </x:row>
    <x:row r="115">
      <x:c r="B115" s="13" t="str">
        <x:v>RAS-PT-109</x:v>
      </x:c>
      <x:c r="C115" s="13" t="str">
        <x:v>RAS-E109</x:v>
      </x:c>
      <x:c r="D115" s="13" t="str">
        <x:v>AM-06</x:v>
      </x:c>
      <x:c r="E115" s="13" t="str">
        <x:v>QE-01</x:v>
      </x:c>
      <x:c r="F115" s="13" t="n">
        <x:v>0</x:v>
      </x:c>
      <x:c r="G115" s="13" t="str"/>
      <x:c r="H115" s="13" t="str">
        <x:f>IF(COUNT(G115)=0,"",IF(D115="AM-06",G115*'Controls'!$D$22*'Controls'!$D$14,0))</x:f>
      </x:c>
      <x:c r="I115" s="13" t="str">
        <x:f>IF(COUNT(H115)=0,"",H115*'Controls'!$D$23)</x:f>
      </x:c>
      <x:c r="J115" s="13" t="str">
        <x:f>IF(OR(COUNT(G115)=0,G115=0),"",'Event Register'!H115/(G115*'Controls'!$D$22)/60)</x:f>
      </x:c>
      <x:c r="K115" s="13" t="str"/>
      <x:c r="L115" s="13" t="str"/>
      <x:c r="M115" s="13" t="str"/>
      <x:c r="N115" s="13" t="str"/>
      <x:c r="O115" s="13" t="str">
        <x:f>IF(N115=1,IF(AND(COUNT(G115,L115)=2,G115&lt;=F115,L115&lt;='Controls'!$D$65,IF(D115="AM-06",AND(COUNT(K115)=1,K115&lt;=1.6),1)),"PASS","FAIL"),"OPEN")</x:f>
        <x:v>OPEN</x:v>
      </x:c>
    </x:row>
    <x:row r="116">
      <x:c r="B116" s="13" t="str">
        <x:v>RAS-PT-110</x:v>
      </x:c>
      <x:c r="C116" s="13" t="str">
        <x:v>RAS-E110</x:v>
      </x:c>
      <x:c r="D116" s="13" t="str">
        <x:v>AM-06</x:v>
      </x:c>
      <x:c r="E116" s="13" t="str">
        <x:v>QE-02</x:v>
      </x:c>
      <x:c r="F116" s="13" t="n">
        <x:v>2.5</x:v>
      </x:c>
      <x:c r="G116" s="13" t="str"/>
      <x:c r="H116" s="13" t="str">
        <x:f>IF(COUNT(G116)=0,"",IF(D116="AM-06",G116*'Controls'!$D$22*'Controls'!$D$14,0))</x:f>
      </x:c>
      <x:c r="I116" s="13" t="str">
        <x:f>IF(COUNT(H116)=0,"",H116*'Controls'!$D$23)</x:f>
      </x:c>
      <x:c r="J116" s="13" t="str">
        <x:f>IF(OR(COUNT(G116)=0,G116=0),"",'Event Register'!H116/(G116*'Controls'!$D$22)/60)</x:f>
      </x:c>
      <x:c r="K116" s="13" t="str"/>
      <x:c r="L116" s="13" t="str"/>
      <x:c r="M116" s="13" t="str"/>
      <x:c r="N116" s="13" t="str"/>
      <x:c r="O116" s="13" t="str">
        <x:f>IF(N116=1,IF(AND(COUNT(G116,L116)=2,G116&lt;=F116,L116&lt;='Controls'!$D$65,IF(D116="AM-06",AND(COUNT(K116)=1,K116&lt;=1.6),1)),"PASS","FAIL"),"OPEN")</x:f>
        <x:v>OPEN</x:v>
      </x:c>
    </x:row>
    <x:row r="117">
      <x:c r="B117" s="13" t="str">
        <x:v>RAS-PT-111</x:v>
      </x:c>
      <x:c r="C117" s="13" t="str">
        <x:v>RAS-E111</x:v>
      </x:c>
      <x:c r="D117" s="13" t="str">
        <x:v>AM-06</x:v>
      </x:c>
      <x:c r="E117" s="13" t="str">
        <x:v>QE-03</x:v>
      </x:c>
      <x:c r="F117" s="13" t="n">
        <x:v>5</x:v>
      </x:c>
      <x:c r="G117" s="13" t="str"/>
      <x:c r="H117" s="13" t="str">
        <x:f>IF(COUNT(G117)=0,"",IF(D117="AM-06",G117*'Controls'!$D$22*'Controls'!$D$14,0))</x:f>
      </x:c>
      <x:c r="I117" s="13" t="str">
        <x:f>IF(COUNT(H117)=0,"",H117*'Controls'!$D$23)</x:f>
      </x:c>
      <x:c r="J117" s="13" t="str">
        <x:f>IF(OR(COUNT(G117)=0,G117=0),"",'Event Register'!H117/(G117*'Controls'!$D$22)/60)</x:f>
      </x:c>
      <x:c r="K117" s="13" t="str"/>
      <x:c r="L117" s="13" t="str"/>
      <x:c r="M117" s="13" t="str"/>
      <x:c r="N117" s="13" t="str"/>
      <x:c r="O117" s="13" t="str">
        <x:f>IF(N117=1,IF(AND(COUNT(G117,L117)=2,G117&lt;=F117,L117&lt;='Controls'!$D$65,IF(D117="AM-06",AND(COUNT(K117)=1,K117&lt;=1.6),1)),"PASS","FAIL"),"OPEN")</x:f>
        <x:v>OPEN</x:v>
      </x:c>
    </x:row>
    <x:row r="118">
      <x:c r="B118" s="13" t="str">
        <x:v>RAS-PT-112</x:v>
      </x:c>
      <x:c r="C118" s="13" t="str">
        <x:v>RAS-E112</x:v>
      </x:c>
      <x:c r="D118" s="13" t="str">
        <x:v>AM-06</x:v>
      </x:c>
      <x:c r="E118" s="13" t="str">
        <x:v>QE-04</x:v>
      </x:c>
      <x:c r="F118" s="13" t="n">
        <x:v>6.25</x:v>
      </x:c>
      <x:c r="G118" s="13" t="str"/>
      <x:c r="H118" s="13" t="str">
        <x:f>IF(COUNT(G118)=0,"",IF(D118="AM-06",G118*'Controls'!$D$22*'Controls'!$D$14,0))</x:f>
      </x:c>
      <x:c r="I118" s="13" t="str">
        <x:f>IF(COUNT(H118)=0,"",H118*'Controls'!$D$23)</x:f>
      </x:c>
      <x:c r="J118" s="13" t="str">
        <x:f>IF(OR(COUNT(G118)=0,G118=0),"",'Event Register'!H118/(G118*'Controls'!$D$22)/60)</x:f>
      </x:c>
      <x:c r="K118" s="13" t="str"/>
      <x:c r="L118" s="13" t="str"/>
      <x:c r="M118" s="13" t="str"/>
      <x:c r="N118" s="13" t="str"/>
      <x:c r="O118" s="13" t="str">
        <x:f>IF(N118=1,IF(AND(COUNT(G118,L118)=2,G118&lt;=F118,L118&lt;='Controls'!$D$65,IF(D118="AM-06",AND(COUNT(K118)=1,K118&lt;=1.6),1)),"PASS","FAIL"),"OPEN")</x:f>
        <x:v>OPEN</x:v>
      </x:c>
    </x:row>
    <x:row r="119">
      <x:c r="B119" s="13" t="str">
        <x:v>RAS-PT-113</x:v>
      </x:c>
      <x:c r="C119" s="13" t="str">
        <x:v>RAS-E113</x:v>
      </x:c>
      <x:c r="D119" s="13" t="str">
        <x:v>AM-06</x:v>
      </x:c>
      <x:c r="E119" s="13" t="str">
        <x:v>QE-05</x:v>
      </x:c>
      <x:c r="F119" s="13" t="n">
        <x:v>6.25</x:v>
      </x:c>
      <x:c r="G119" s="13" t="str"/>
      <x:c r="H119" s="13" t="str">
        <x:f>IF(COUNT(G119)=0,"",IF(D119="AM-06",G119*'Controls'!$D$22*'Controls'!$D$14,0))</x:f>
      </x:c>
      <x:c r="I119" s="13" t="str">
        <x:f>IF(COUNT(H119)=0,"",H119*'Controls'!$D$23)</x:f>
      </x:c>
      <x:c r="J119" s="13" t="str">
        <x:f>IF(OR(COUNT(G119)=0,G119=0),"",'Event Register'!H119/(G119*'Controls'!$D$22)/60)</x:f>
      </x:c>
      <x:c r="K119" s="13" t="str"/>
      <x:c r="L119" s="13" t="str"/>
      <x:c r="M119" s="13" t="str"/>
      <x:c r="N119" s="13" t="str"/>
      <x:c r="O119" s="13" t="str">
        <x:f>IF(N119=1,IF(AND(COUNT(G119,L119)=2,G119&lt;=F119,L119&lt;='Controls'!$D$65,IF(D119="AM-06",AND(COUNT(K119)=1,K119&lt;=1.6),1)),"PASS","FAIL"),"OPEN")</x:f>
        <x:v>OPEN</x:v>
      </x:c>
    </x:row>
    <x:row r="120">
      <x:c r="B120" s="13" t="str">
        <x:v>RAS-PT-114</x:v>
      </x:c>
      <x:c r="C120" s="13" t="str">
        <x:v>RAS-E114</x:v>
      </x:c>
      <x:c r="D120" s="13" t="str">
        <x:v>AM-06</x:v>
      </x:c>
      <x:c r="E120" s="13" t="str">
        <x:v>QE-06</x:v>
      </x:c>
      <x:c r="F120" s="13" t="n">
        <x:v>25</x:v>
      </x:c>
      <x:c r="G120" s="13" t="str"/>
      <x:c r="H120" s="13" t="str">
        <x:f>IF(COUNT(G120)=0,"",IF(D120="AM-06",G120*'Controls'!$D$22*'Controls'!$D$14,0))</x:f>
      </x:c>
      <x:c r="I120" s="13" t="str">
        <x:f>IF(COUNT(H120)=0,"",H120*'Controls'!$D$23)</x:f>
      </x:c>
      <x:c r="J120" s="13" t="str">
        <x:f>IF(OR(COUNT(G120)=0,G120=0),"",'Event Register'!H120/(G120*'Controls'!$D$22)/60)</x:f>
      </x:c>
      <x:c r="K120" s="13" t="str"/>
      <x:c r="L120" s="13" t="str"/>
      <x:c r="M120" s="13" t="str"/>
      <x:c r="N120" s="13" t="str"/>
      <x:c r="O120" s="13" t="str">
        <x:f>IF(N120=1,IF(AND(COUNT(G120,L120)=2,G120&lt;=F120,L120&lt;='Controls'!$D$65,IF(D120="AM-06",AND(COUNT(K120)=1,K120&lt;=1.6),1)),"PASS","FAIL"),"OPEN")</x:f>
        <x:v>OPEN</x:v>
      </x:c>
    </x:row>
    <x:row r="121">
      <x:c r="B121" s="13" t="str">
        <x:v>RAS-PT-115</x:v>
      </x:c>
      <x:c r="C121" s="13" t="str">
        <x:v>RAS-E115</x:v>
      </x:c>
      <x:c r="D121" s="13" t="str">
        <x:v>AM-06</x:v>
      </x:c>
      <x:c r="E121" s="13" t="str">
        <x:v>QE-01</x:v>
      </x:c>
      <x:c r="F121" s="13" t="n">
        <x:v>0</x:v>
      </x:c>
      <x:c r="G121" s="13" t="str"/>
      <x:c r="H121" s="13" t="str">
        <x:f>IF(COUNT(G121)=0,"",IF(D121="AM-06",G121*'Controls'!$D$22*'Controls'!$D$14,0))</x:f>
      </x:c>
      <x:c r="I121" s="13" t="str">
        <x:f>IF(COUNT(H121)=0,"",H121*'Controls'!$D$23)</x:f>
      </x:c>
      <x:c r="J121" s="13" t="str">
        <x:f>IF(OR(COUNT(G121)=0,G121=0),"",'Event Register'!H121/(G121*'Controls'!$D$22)/60)</x:f>
      </x:c>
      <x:c r="K121" s="13" t="str"/>
      <x:c r="L121" s="13" t="str"/>
      <x:c r="M121" s="13" t="str"/>
      <x:c r="N121" s="13" t="str"/>
      <x:c r="O121" s="13" t="str">
        <x:f>IF(N121=1,IF(AND(COUNT(G121,L121)=2,G121&lt;=F121,L121&lt;='Controls'!$D$65,IF(D121="AM-06",AND(COUNT(K121)=1,K121&lt;=1.6),1)),"PASS","FAIL"),"OPEN")</x:f>
        <x:v>OPEN</x:v>
      </x:c>
    </x:row>
    <x:row r="122">
      <x:c r="B122" s="13" t="str">
        <x:v>RAS-PT-116</x:v>
      </x:c>
      <x:c r="C122" s="13" t="str">
        <x:v>RAS-E116</x:v>
      </x:c>
      <x:c r="D122" s="13" t="str">
        <x:v>AM-06</x:v>
      </x:c>
      <x:c r="E122" s="13" t="str">
        <x:v>QE-02</x:v>
      </x:c>
      <x:c r="F122" s="13" t="n">
        <x:v>2.5</x:v>
      </x:c>
      <x:c r="G122" s="13" t="str"/>
      <x:c r="H122" s="13" t="str">
        <x:f>IF(COUNT(G122)=0,"",IF(D122="AM-06",G122*'Controls'!$D$22*'Controls'!$D$14,0))</x:f>
      </x:c>
      <x:c r="I122" s="13" t="str">
        <x:f>IF(COUNT(H122)=0,"",H122*'Controls'!$D$23)</x:f>
      </x:c>
      <x:c r="J122" s="13" t="str">
        <x:f>IF(OR(COUNT(G122)=0,G122=0),"",'Event Register'!H122/(G122*'Controls'!$D$22)/60)</x:f>
      </x:c>
      <x:c r="K122" s="13" t="str"/>
      <x:c r="L122" s="13" t="str"/>
      <x:c r="M122" s="13" t="str"/>
      <x:c r="N122" s="13" t="str"/>
      <x:c r="O122" s="13" t="str">
        <x:f>IF(N122=1,IF(AND(COUNT(G122,L122)=2,G122&lt;=F122,L122&lt;='Controls'!$D$65,IF(D122="AM-06",AND(COUNT(K122)=1,K122&lt;=1.6),1)),"PASS","FAIL"),"OPEN")</x:f>
        <x:v>OPEN</x:v>
      </x:c>
    </x:row>
    <x:row r="123">
      <x:c r="B123" s="13" t="str">
        <x:v>RAS-PT-117</x:v>
      </x:c>
      <x:c r="C123" s="13" t="str">
        <x:v>RAS-E117</x:v>
      </x:c>
      <x:c r="D123" s="13" t="str">
        <x:v>AM-06</x:v>
      </x:c>
      <x:c r="E123" s="13" t="str">
        <x:v>QE-03</x:v>
      </x:c>
      <x:c r="F123" s="13" t="n">
        <x:v>5</x:v>
      </x:c>
      <x:c r="G123" s="13" t="str"/>
      <x:c r="H123" s="13" t="str">
        <x:f>IF(COUNT(G123)=0,"",IF(D123="AM-06",G123*'Controls'!$D$22*'Controls'!$D$14,0))</x:f>
      </x:c>
      <x:c r="I123" s="13" t="str">
        <x:f>IF(COUNT(H123)=0,"",H123*'Controls'!$D$23)</x:f>
      </x:c>
      <x:c r="J123" s="13" t="str">
        <x:f>IF(OR(COUNT(G123)=0,G123=0),"",'Event Register'!H123/(G123*'Controls'!$D$22)/60)</x:f>
      </x:c>
      <x:c r="K123" s="13" t="str"/>
      <x:c r="L123" s="13" t="str"/>
      <x:c r="M123" s="13" t="str"/>
      <x:c r="N123" s="13" t="str"/>
      <x:c r="O123" s="13" t="str">
        <x:f>IF(N123=1,IF(AND(COUNT(G123,L123)=2,G123&lt;=F123,L123&lt;='Controls'!$D$65,IF(D123="AM-06",AND(COUNT(K123)=1,K123&lt;=1.6),1)),"PASS","FAIL"),"OPEN")</x:f>
        <x:v>OPEN</x:v>
      </x:c>
    </x:row>
    <x:row r="124">
      <x:c r="B124" s="13" t="str">
        <x:v>RAS-PT-118</x:v>
      </x:c>
      <x:c r="C124" s="13" t="str">
        <x:v>RAS-E118</x:v>
      </x:c>
      <x:c r="D124" s="13" t="str">
        <x:v>AM-06</x:v>
      </x:c>
      <x:c r="E124" s="13" t="str">
        <x:v>QE-04</x:v>
      </x:c>
      <x:c r="F124" s="13" t="n">
        <x:v>6.25</x:v>
      </x:c>
      <x:c r="G124" s="13" t="str"/>
      <x:c r="H124" s="13" t="str">
        <x:f>IF(COUNT(G124)=0,"",IF(D124="AM-06",G124*'Controls'!$D$22*'Controls'!$D$14,0))</x:f>
      </x:c>
      <x:c r="I124" s="13" t="str">
        <x:f>IF(COUNT(H124)=0,"",H124*'Controls'!$D$23)</x:f>
      </x:c>
      <x:c r="J124" s="13" t="str">
        <x:f>IF(OR(COUNT(G124)=0,G124=0),"",'Event Register'!H124/(G124*'Controls'!$D$22)/60)</x:f>
      </x:c>
      <x:c r="K124" s="13" t="str"/>
      <x:c r="L124" s="13" t="str"/>
      <x:c r="M124" s="13" t="str"/>
      <x:c r="N124" s="13" t="str"/>
      <x:c r="O124" s="13" t="str">
        <x:f>IF(N124=1,IF(AND(COUNT(G124,L124)=2,G124&lt;=F124,L124&lt;='Controls'!$D$65,IF(D124="AM-06",AND(COUNT(K124)=1,K124&lt;=1.6),1)),"PASS","FAIL"),"OPEN")</x:f>
        <x:v>OPEN</x:v>
      </x:c>
    </x:row>
    <x:row r="125">
      <x:c r="B125" s="13" t="str">
        <x:v>RAS-PT-119</x:v>
      </x:c>
      <x:c r="C125" s="13" t="str">
        <x:v>RAS-E119</x:v>
      </x:c>
      <x:c r="D125" s="13" t="str">
        <x:v>AM-06</x:v>
      </x:c>
      <x:c r="E125" s="13" t="str">
        <x:v>QE-05</x:v>
      </x:c>
      <x:c r="F125" s="13" t="n">
        <x:v>6.25</x:v>
      </x:c>
      <x:c r="G125" s="13" t="str"/>
      <x:c r="H125" s="13" t="str">
        <x:f>IF(COUNT(G125)=0,"",IF(D125="AM-06",G125*'Controls'!$D$22*'Controls'!$D$14,0))</x:f>
      </x:c>
      <x:c r="I125" s="13" t="str">
        <x:f>IF(COUNT(H125)=0,"",H125*'Controls'!$D$23)</x:f>
      </x:c>
      <x:c r="J125" s="13" t="str">
        <x:f>IF(OR(COUNT(G125)=0,G125=0),"",'Event Register'!H125/(G125*'Controls'!$D$22)/60)</x:f>
      </x:c>
      <x:c r="K125" s="13" t="str"/>
      <x:c r="L125" s="13" t="str"/>
      <x:c r="M125" s="13" t="str"/>
      <x:c r="N125" s="13" t="str"/>
      <x:c r="O125" s="13" t="str">
        <x:f>IF(N125=1,IF(AND(COUNT(G125,L125)=2,G125&lt;=F125,L125&lt;='Controls'!$D$65,IF(D125="AM-06",AND(COUNT(K125)=1,K125&lt;=1.6),1)),"PASS","FAIL"),"OPEN")</x:f>
        <x:v>OPEN</x:v>
      </x:c>
    </x:row>
    <x:row r="126">
      <x:c r="B126" s="13" t="str">
        <x:v>RAS-PT-120</x:v>
      </x:c>
      <x:c r="C126" s="13" t="str">
        <x:v>RAS-E120</x:v>
      </x:c>
      <x:c r="D126" s="13" t="str">
        <x:v>AM-06</x:v>
      </x:c>
      <x:c r="E126" s="13" t="str">
        <x:v>QE-06</x:v>
      </x:c>
      <x:c r="F126" s="13" t="n">
        <x:v>25</x:v>
      </x:c>
      <x:c r="G126" s="13" t="str"/>
      <x:c r="H126" s="13" t="str">
        <x:f>IF(COUNT(G126)=0,"",IF(D126="AM-06",G126*'Controls'!$D$22*'Controls'!$D$14,0))</x:f>
      </x:c>
      <x:c r="I126" s="13" t="str">
        <x:f>IF(COUNT(H126)=0,"",H126*'Controls'!$D$23)</x:f>
      </x:c>
      <x:c r="J126" s="13" t="str">
        <x:f>IF(OR(COUNT(G126)=0,G126=0),"",'Event Register'!H126/(G126*'Controls'!$D$22)/60)</x:f>
      </x:c>
      <x:c r="K126" s="13" t="str"/>
      <x:c r="L126" s="13" t="str"/>
      <x:c r="M126" s="13" t="str"/>
      <x:c r="N126" s="13" t="str"/>
      <x:c r="O126" s="13" t="str">
        <x:f>IF(N126=1,IF(AND(COUNT(G126,L126)=2,G126&lt;=F126,L126&lt;='Controls'!$D$65,IF(D126="AM-06",AND(COUNT(K126)=1,K126&lt;=1.6),1)),"PASS","FAIL"),"OPEN")</x:f>
        <x:v>OPEN</x:v>
      </x:c>
    </x:row>
    <x:row r="127">
      <x:c r="B127" s="13" t="str">
        <x:v>RAS-PT-121</x:v>
      </x:c>
      <x:c r="C127" s="13" t="str">
        <x:v>RAS-E121</x:v>
      </x:c>
      <x:c r="D127" s="13" t="str">
        <x:v>AM-06</x:v>
      </x:c>
      <x:c r="E127" s="13" t="str">
        <x:v>QE-01</x:v>
      </x:c>
      <x:c r="F127" s="13" t="n">
        <x:v>0</x:v>
      </x:c>
      <x:c r="G127" s="13" t="str"/>
      <x:c r="H127" s="13" t="str">
        <x:f>IF(COUNT(G127)=0,"",IF(D127="AM-06",G127*'Controls'!$D$22*'Controls'!$D$14,0))</x:f>
      </x:c>
      <x:c r="I127" s="13" t="str">
        <x:f>IF(COUNT(H127)=0,"",H127*'Controls'!$D$23)</x:f>
      </x:c>
      <x:c r="J127" s="13" t="str">
        <x:f>IF(OR(COUNT(G127)=0,G127=0),"",'Event Register'!H127/(G127*'Controls'!$D$22)/60)</x:f>
      </x:c>
      <x:c r="K127" s="13" t="str"/>
      <x:c r="L127" s="13" t="str"/>
      <x:c r="M127" s="13" t="str"/>
      <x:c r="N127" s="13" t="str"/>
      <x:c r="O127" s="13" t="str">
        <x:f>IF(N127=1,IF(AND(COUNT(G127,L127)=2,G127&lt;=F127,L127&lt;='Controls'!$D$65,IF(D127="AM-06",AND(COUNT(K127)=1,K127&lt;=1.6),1)),"PASS","FAIL"),"OPEN")</x:f>
        <x:v>OPEN</x:v>
      </x:c>
    </x:row>
    <x:row r="128">
      <x:c r="B128" s="13" t="str">
        <x:v>RAS-PT-122</x:v>
      </x:c>
      <x:c r="C128" s="13" t="str">
        <x:v>RAS-E122</x:v>
      </x:c>
      <x:c r="D128" s="13" t="str">
        <x:v>AM-06</x:v>
      </x:c>
      <x:c r="E128" s="13" t="str">
        <x:v>QE-02</x:v>
      </x:c>
      <x:c r="F128" s="13" t="n">
        <x:v>2.5</x:v>
      </x:c>
      <x:c r="G128" s="13" t="str"/>
      <x:c r="H128" s="13" t="str">
        <x:f>IF(COUNT(G128)=0,"",IF(D128="AM-06",G128*'Controls'!$D$22*'Controls'!$D$14,0))</x:f>
      </x:c>
      <x:c r="I128" s="13" t="str">
        <x:f>IF(COUNT(H128)=0,"",H128*'Controls'!$D$23)</x:f>
      </x:c>
      <x:c r="J128" s="13" t="str">
        <x:f>IF(OR(COUNT(G128)=0,G128=0),"",'Event Register'!H128/(G128*'Controls'!$D$22)/60)</x:f>
      </x:c>
      <x:c r="K128" s="13" t="str"/>
      <x:c r="L128" s="13" t="str"/>
      <x:c r="M128" s="13" t="str"/>
      <x:c r="N128" s="13" t="str"/>
      <x:c r="O128" s="13" t="str">
        <x:f>IF(N128=1,IF(AND(COUNT(G128,L128)=2,G128&lt;=F128,L128&lt;='Controls'!$D$65,IF(D128="AM-06",AND(COUNT(K128)=1,K128&lt;=1.6),1)),"PASS","FAIL"),"OPEN")</x:f>
        <x:v>OPEN</x:v>
      </x:c>
    </x:row>
    <x:row r="129">
      <x:c r="B129" s="13" t="str">
        <x:v>RAS-PT-123</x:v>
      </x:c>
      <x:c r="C129" s="13" t="str">
        <x:v>RAS-E123</x:v>
      </x:c>
      <x:c r="D129" s="13" t="str">
        <x:v>AM-06</x:v>
      </x:c>
      <x:c r="E129" s="13" t="str">
        <x:v>QE-03</x:v>
      </x:c>
      <x:c r="F129" s="13" t="n">
        <x:v>5</x:v>
      </x:c>
      <x:c r="G129" s="13" t="str"/>
      <x:c r="H129" s="13" t="str">
        <x:f>IF(COUNT(G129)=0,"",IF(D129="AM-06",G129*'Controls'!$D$22*'Controls'!$D$14,0))</x:f>
      </x:c>
      <x:c r="I129" s="13" t="str">
        <x:f>IF(COUNT(H129)=0,"",H129*'Controls'!$D$23)</x:f>
      </x:c>
      <x:c r="J129" s="13" t="str">
        <x:f>IF(OR(COUNT(G129)=0,G129=0),"",'Event Register'!H129/(G129*'Controls'!$D$22)/60)</x:f>
      </x:c>
      <x:c r="K129" s="13" t="str"/>
      <x:c r="L129" s="13" t="str"/>
      <x:c r="M129" s="13" t="str"/>
      <x:c r="N129" s="13" t="str"/>
      <x:c r="O129" s="13" t="str">
        <x:f>IF(N129=1,IF(AND(COUNT(G129,L129)=2,G129&lt;=F129,L129&lt;='Controls'!$D$65,IF(D129="AM-06",AND(COUNT(K129)=1,K129&lt;=1.6),1)),"PASS","FAIL"),"OPEN")</x:f>
        <x:v>OPEN</x:v>
      </x:c>
    </x:row>
    <x:row r="130">
      <x:c r="B130" s="13" t="str">
        <x:v>RAS-PT-124</x:v>
      </x:c>
      <x:c r="C130" s="13" t="str">
        <x:v>RAS-E124</x:v>
      </x:c>
      <x:c r="D130" s="13" t="str">
        <x:v>AM-06</x:v>
      </x:c>
      <x:c r="E130" s="13" t="str">
        <x:v>QE-04</x:v>
      </x:c>
      <x:c r="F130" s="13" t="n">
        <x:v>6.25</x:v>
      </x:c>
      <x:c r="G130" s="13" t="str"/>
      <x:c r="H130" s="13" t="str">
        <x:f>IF(COUNT(G130)=0,"",IF(D130="AM-06",G130*'Controls'!$D$22*'Controls'!$D$14,0))</x:f>
      </x:c>
      <x:c r="I130" s="13" t="str">
        <x:f>IF(COUNT(H130)=0,"",H130*'Controls'!$D$23)</x:f>
      </x:c>
      <x:c r="J130" s="13" t="str">
        <x:f>IF(OR(COUNT(G130)=0,G130=0),"",'Event Register'!H130/(G130*'Controls'!$D$22)/60)</x:f>
      </x:c>
      <x:c r="K130" s="13" t="str"/>
      <x:c r="L130" s="13" t="str"/>
      <x:c r="M130" s="13" t="str"/>
      <x:c r="N130" s="13" t="str"/>
      <x:c r="O130" s="13" t="str">
        <x:f>IF(N130=1,IF(AND(COUNT(G130,L130)=2,G130&lt;=F130,L130&lt;='Controls'!$D$65,IF(D130="AM-06",AND(COUNT(K130)=1,K130&lt;=1.6),1)),"PASS","FAIL"),"OPEN")</x:f>
        <x:v>OPEN</x:v>
      </x:c>
    </x:row>
    <x:row r="131">
      <x:c r="B131" s="13" t="str">
        <x:v>RAS-PT-125</x:v>
      </x:c>
      <x:c r="C131" s="13" t="str">
        <x:v>RAS-E125</x:v>
      </x:c>
      <x:c r="D131" s="13" t="str">
        <x:v>AM-06</x:v>
      </x:c>
      <x:c r="E131" s="13" t="str">
        <x:v>QE-05</x:v>
      </x:c>
      <x:c r="F131" s="13" t="n">
        <x:v>6.25</x:v>
      </x:c>
      <x:c r="G131" s="13" t="str"/>
      <x:c r="H131" s="13" t="str">
        <x:f>IF(COUNT(G131)=0,"",IF(D131="AM-06",G131*'Controls'!$D$22*'Controls'!$D$14,0))</x:f>
      </x:c>
      <x:c r="I131" s="13" t="str">
        <x:f>IF(COUNT(H131)=0,"",H131*'Controls'!$D$23)</x:f>
      </x:c>
      <x:c r="J131" s="13" t="str">
        <x:f>IF(OR(COUNT(G131)=0,G131=0),"",'Event Register'!H131/(G131*'Controls'!$D$22)/60)</x:f>
      </x:c>
      <x:c r="K131" s="13" t="str"/>
      <x:c r="L131" s="13" t="str"/>
      <x:c r="M131" s="13" t="str"/>
      <x:c r="N131" s="13" t="str"/>
      <x:c r="O131" s="13" t="str">
        <x:f>IF(N131=1,IF(AND(COUNT(G131,L131)=2,G131&lt;=F131,L131&lt;='Controls'!$D$65,IF(D131="AM-06",AND(COUNT(K131)=1,K131&lt;=1.6),1)),"PASS","FAIL"),"OPEN")</x:f>
        <x:v>OPEN</x:v>
      </x:c>
    </x:row>
    <x:row r="132">
      <x:c r="B132" s="13" t="str">
        <x:v>RAS-PT-126</x:v>
      </x:c>
      <x:c r="C132" s="13" t="str">
        <x:v>RAS-E126</x:v>
      </x:c>
      <x:c r="D132" s="13" t="str">
        <x:v>AM-06</x:v>
      </x:c>
      <x:c r="E132" s="13" t="str">
        <x:v>QE-06</x:v>
      </x:c>
      <x:c r="F132" s="13" t="n">
        <x:v>25</x:v>
      </x:c>
      <x:c r="G132" s="13" t="str"/>
      <x:c r="H132" s="13" t="str">
        <x:f>IF(COUNT(G132)=0,"",IF(D132="AM-06",G132*'Controls'!$D$22*'Controls'!$D$14,0))</x:f>
      </x:c>
      <x:c r="I132" s="13" t="str">
        <x:f>IF(COUNT(H132)=0,"",H132*'Controls'!$D$23)</x:f>
      </x:c>
      <x:c r="J132" s="13" t="str">
        <x:f>IF(OR(COUNT(G132)=0,G132=0),"",'Event Register'!H132/(G132*'Controls'!$D$22)/60)</x:f>
      </x:c>
      <x:c r="K132" s="13" t="str"/>
      <x:c r="L132" s="13" t="str"/>
      <x:c r="M132" s="13" t="str"/>
      <x:c r="N132" s="13" t="str"/>
      <x:c r="O132" s="13" t="str">
        <x:f>IF(N132=1,IF(AND(COUNT(G132,L132)=2,G132&lt;=F132,L132&lt;='Controls'!$D$65,IF(D132="AM-06",AND(COUNT(K132)=1,K132&lt;=1.6),1)),"PASS","FAIL"),"OPEN")</x:f>
        <x:v>OPEN</x:v>
      </x:c>
    </x:row>
    <x:row r="133">
      <x:c r="B133" s="13" t="str">
        <x:v>RAS-PT-127</x:v>
      </x:c>
      <x:c r="C133" s="13" t="str">
        <x:v>RAS-E127</x:v>
      </x:c>
      <x:c r="D133" s="13" t="str">
        <x:v>AM-06</x:v>
      </x:c>
      <x:c r="E133" s="13" t="str">
        <x:v>QE-01</x:v>
      </x:c>
      <x:c r="F133" s="13" t="n">
        <x:v>0</x:v>
      </x:c>
      <x:c r="G133" s="13" t="str"/>
      <x:c r="H133" s="13" t="str">
        <x:f>IF(COUNT(G133)=0,"",IF(D133="AM-06",G133*'Controls'!$D$22*'Controls'!$D$14,0))</x:f>
      </x:c>
      <x:c r="I133" s="13" t="str">
        <x:f>IF(COUNT(H133)=0,"",H133*'Controls'!$D$23)</x:f>
      </x:c>
      <x:c r="J133" s="13" t="str">
        <x:f>IF(OR(COUNT(G133)=0,G133=0),"",'Event Register'!H133/(G133*'Controls'!$D$22)/60)</x:f>
      </x:c>
      <x:c r="K133" s="13" t="str"/>
      <x:c r="L133" s="13" t="str"/>
      <x:c r="M133" s="13" t="str"/>
      <x:c r="N133" s="13" t="str"/>
      <x:c r="O133" s="13" t="str">
        <x:f>IF(N133=1,IF(AND(COUNT(G133,L133)=2,G133&lt;=F133,L133&lt;='Controls'!$D$65,IF(D133="AM-06",AND(COUNT(K133)=1,K133&lt;=1.6),1)),"PASS","FAIL"),"OPEN")</x:f>
        <x:v>OPEN</x:v>
      </x:c>
    </x:row>
    <x:row r="134">
      <x:c r="B134" s="13" t="str">
        <x:v>RAS-PT-128</x:v>
      </x:c>
      <x:c r="C134" s="13" t="str">
        <x:v>RAS-E128</x:v>
      </x:c>
      <x:c r="D134" s="13" t="str">
        <x:v>AM-06</x:v>
      </x:c>
      <x:c r="E134" s="13" t="str">
        <x:v>QE-02</x:v>
      </x:c>
      <x:c r="F134" s="13" t="n">
        <x:v>2.5</x:v>
      </x:c>
      <x:c r="G134" s="13" t="str"/>
      <x:c r="H134" s="13" t="str">
        <x:f>IF(COUNT(G134)=0,"",IF(D134="AM-06",G134*'Controls'!$D$22*'Controls'!$D$14,0))</x:f>
      </x:c>
      <x:c r="I134" s="13" t="str">
        <x:f>IF(COUNT(H134)=0,"",H134*'Controls'!$D$23)</x:f>
      </x:c>
      <x:c r="J134" s="13" t="str">
        <x:f>IF(OR(COUNT(G134)=0,G134=0),"",'Event Register'!H134/(G134*'Controls'!$D$22)/60)</x:f>
      </x:c>
      <x:c r="K134" s="13" t="str"/>
      <x:c r="L134" s="13" t="str"/>
      <x:c r="M134" s="13" t="str"/>
      <x:c r="N134" s="13" t="str"/>
      <x:c r="O134" s="13" t="str">
        <x:f>IF(N134=1,IF(AND(COUNT(G134,L134)=2,G134&lt;=F134,L134&lt;='Controls'!$D$65,IF(D134="AM-06",AND(COUNT(K134)=1,K134&lt;=1.6),1)),"PASS","FAIL"),"OPEN")</x:f>
        <x:v>OPEN</x:v>
      </x:c>
    </x:row>
    <x:row r="135">
      <x:c r="B135" s="13" t="str">
        <x:v>RAS-PT-129</x:v>
      </x:c>
      <x:c r="C135" s="13" t="str">
        <x:v>RAS-E129</x:v>
      </x:c>
      <x:c r="D135" s="13" t="str">
        <x:v>AM-06</x:v>
      </x:c>
      <x:c r="E135" s="13" t="str">
        <x:v>QE-03</x:v>
      </x:c>
      <x:c r="F135" s="13" t="n">
        <x:v>5</x:v>
      </x:c>
      <x:c r="G135" s="13" t="str"/>
      <x:c r="H135" s="13" t="str">
        <x:f>IF(COUNT(G135)=0,"",IF(D135="AM-06",G135*'Controls'!$D$22*'Controls'!$D$14,0))</x:f>
      </x:c>
      <x:c r="I135" s="13" t="str">
        <x:f>IF(COUNT(H135)=0,"",H135*'Controls'!$D$23)</x:f>
      </x:c>
      <x:c r="J135" s="13" t="str">
        <x:f>IF(OR(COUNT(G135)=0,G135=0),"",'Event Register'!H135/(G135*'Controls'!$D$22)/60)</x:f>
      </x:c>
      <x:c r="K135" s="13" t="str"/>
      <x:c r="L135" s="13" t="str"/>
      <x:c r="M135" s="13" t="str"/>
      <x:c r="N135" s="13" t="str"/>
      <x:c r="O135" s="13" t="str">
        <x:f>IF(N135=1,IF(AND(COUNT(G135,L135)=2,G135&lt;=F135,L135&lt;='Controls'!$D$65,IF(D135="AM-06",AND(COUNT(K135)=1,K135&lt;=1.6),1)),"PASS","FAIL"),"OPEN")</x:f>
        <x:v>OPEN</x:v>
      </x:c>
    </x:row>
    <x:row r="136">
      <x:c r="B136" s="13" t="str">
        <x:v>RAS-PT-130</x:v>
      </x:c>
      <x:c r="C136" s="13" t="str">
        <x:v>RAS-E130</x:v>
      </x:c>
      <x:c r="D136" s="13" t="str">
        <x:v>AM-06</x:v>
      </x:c>
      <x:c r="E136" s="13" t="str">
        <x:v>QE-04</x:v>
      </x:c>
      <x:c r="F136" s="13" t="n">
        <x:v>6.25</x:v>
      </x:c>
      <x:c r="G136" s="13" t="str"/>
      <x:c r="H136" s="13" t="str">
        <x:f>IF(COUNT(G136)=0,"",IF(D136="AM-06",G136*'Controls'!$D$22*'Controls'!$D$14,0))</x:f>
      </x:c>
      <x:c r="I136" s="13" t="str">
        <x:f>IF(COUNT(H136)=0,"",H136*'Controls'!$D$23)</x:f>
      </x:c>
      <x:c r="J136" s="13" t="str">
        <x:f>IF(OR(COUNT(G136)=0,G136=0),"",'Event Register'!H136/(G136*'Controls'!$D$22)/60)</x:f>
      </x:c>
      <x:c r="K136" s="13" t="str"/>
      <x:c r="L136" s="13" t="str"/>
      <x:c r="M136" s="13" t="str"/>
      <x:c r="N136" s="13" t="str"/>
      <x:c r="O136" s="13" t="str">
        <x:f>IF(N136=1,IF(AND(COUNT(G136,L136)=2,G136&lt;=F136,L136&lt;='Controls'!$D$65,IF(D136="AM-06",AND(COUNT(K136)=1,K136&lt;=1.6),1)),"PASS","FAIL"),"OPEN")</x:f>
        <x:v>OPEN</x:v>
      </x:c>
    </x:row>
    <x:row r="137">
      <x:c r="B137" s="13" t="str">
        <x:v>RAS-PT-131</x:v>
      </x:c>
      <x:c r="C137" s="13" t="str">
        <x:v>RAS-E131</x:v>
      </x:c>
      <x:c r="D137" s="13" t="str">
        <x:v>AM-06</x:v>
      </x:c>
      <x:c r="E137" s="13" t="str">
        <x:v>QE-05</x:v>
      </x:c>
      <x:c r="F137" s="13" t="n">
        <x:v>6.25</x:v>
      </x:c>
      <x:c r="G137" s="13" t="str"/>
      <x:c r="H137" s="13" t="str">
        <x:f>IF(COUNT(G137)=0,"",IF(D137="AM-06",G137*'Controls'!$D$22*'Controls'!$D$14,0))</x:f>
      </x:c>
      <x:c r="I137" s="13" t="str">
        <x:f>IF(COUNT(H137)=0,"",H137*'Controls'!$D$23)</x:f>
      </x:c>
      <x:c r="J137" s="13" t="str">
        <x:f>IF(OR(COUNT(G137)=0,G137=0),"",'Event Register'!H137/(G137*'Controls'!$D$22)/60)</x:f>
      </x:c>
      <x:c r="K137" s="13" t="str"/>
      <x:c r="L137" s="13" t="str"/>
      <x:c r="M137" s="13" t="str"/>
      <x:c r="N137" s="13" t="str"/>
      <x:c r="O137" s="13" t="str">
        <x:f>IF(N137=1,IF(AND(COUNT(G137,L137)=2,G137&lt;=F137,L137&lt;='Controls'!$D$65,IF(D137="AM-06",AND(COUNT(K137)=1,K137&lt;=1.6),1)),"PASS","FAIL"),"OPEN")</x:f>
        <x:v>OPEN</x:v>
      </x:c>
    </x:row>
    <x:row r="138">
      <x:c r="B138" s="13" t="str">
        <x:v>RAS-PT-132</x:v>
      </x:c>
      <x:c r="C138" s="13" t="str">
        <x:v>RAS-E132</x:v>
      </x:c>
      <x:c r="D138" s="13" t="str">
        <x:v>AM-06</x:v>
      </x:c>
      <x:c r="E138" s="13" t="str">
        <x:v>QE-06</x:v>
      </x:c>
      <x:c r="F138" s="13" t="n">
        <x:v>25</x:v>
      </x:c>
      <x:c r="G138" s="13" t="str"/>
      <x:c r="H138" s="13" t="str">
        <x:f>IF(COUNT(G138)=0,"",IF(D138="AM-06",G138*'Controls'!$D$22*'Controls'!$D$14,0))</x:f>
      </x:c>
      <x:c r="I138" s="13" t="str">
        <x:f>IF(COUNT(H138)=0,"",H138*'Controls'!$D$23)</x:f>
      </x:c>
      <x:c r="J138" s="13" t="str">
        <x:f>IF(OR(COUNT(G138)=0,G138=0),"",'Event Register'!H138/(G138*'Controls'!$D$22)/60)</x:f>
      </x:c>
      <x:c r="K138" s="13" t="str"/>
      <x:c r="L138" s="13" t="str"/>
      <x:c r="M138" s="13" t="str"/>
      <x:c r="N138" s="13" t="str"/>
      <x:c r="O138" s="13" t="str">
        <x:f>IF(N138=1,IF(AND(COUNT(G138,L138)=2,G138&lt;=F138,L138&lt;='Controls'!$D$65,IF(D138="AM-06",AND(COUNT(K138)=1,K138&lt;=1.6),1)),"PASS","FAIL"),"OPEN")</x:f>
        <x:v>OPEN</x:v>
      </x:c>
    </x:row>
    <x:row r="139">
      <x:c r="B139" s="13" t="str">
        <x:v>RAS-PT-133</x:v>
      </x:c>
      <x:c r="C139" s="13" t="str">
        <x:v>RAS-E133</x:v>
      </x:c>
      <x:c r="D139" s="13" t="str">
        <x:v>AM-06</x:v>
      </x:c>
      <x:c r="E139" s="13" t="str">
        <x:v>QE-01</x:v>
      </x:c>
      <x:c r="F139" s="13" t="n">
        <x:v>0</x:v>
      </x:c>
      <x:c r="G139" s="13" t="str"/>
      <x:c r="H139" s="13" t="str">
        <x:f>IF(COUNT(G139)=0,"",IF(D139="AM-06",G139*'Controls'!$D$22*'Controls'!$D$14,0))</x:f>
      </x:c>
      <x:c r="I139" s="13" t="str">
        <x:f>IF(COUNT(H139)=0,"",H139*'Controls'!$D$23)</x:f>
      </x:c>
      <x:c r="J139" s="13" t="str">
        <x:f>IF(OR(COUNT(G139)=0,G139=0),"",'Event Register'!H139/(G139*'Controls'!$D$22)/60)</x:f>
      </x:c>
      <x:c r="K139" s="13" t="str"/>
      <x:c r="L139" s="13" t="str"/>
      <x:c r="M139" s="13" t="str"/>
      <x:c r="N139" s="13" t="str"/>
      <x:c r="O139" s="13" t="str">
        <x:f>IF(N139=1,IF(AND(COUNT(G139,L139)=2,G139&lt;=F139,L139&lt;='Controls'!$D$65,IF(D139="AM-06",AND(COUNT(K139)=1,K139&lt;=1.6),1)),"PASS","FAIL"),"OPEN")</x:f>
        <x:v>OPEN</x:v>
      </x:c>
    </x:row>
    <x:row r="140">
      <x:c r="B140" s="13" t="str">
        <x:v>RAS-PT-134</x:v>
      </x:c>
      <x:c r="C140" s="13" t="str">
        <x:v>RAS-E134</x:v>
      </x:c>
      <x:c r="D140" s="13" t="str">
        <x:v>AM-06</x:v>
      </x:c>
      <x:c r="E140" s="13" t="str">
        <x:v>QE-02</x:v>
      </x:c>
      <x:c r="F140" s="13" t="n">
        <x:v>2.5</x:v>
      </x:c>
      <x:c r="G140" s="13" t="str"/>
      <x:c r="H140" s="13" t="str">
        <x:f>IF(COUNT(G140)=0,"",IF(D140="AM-06",G140*'Controls'!$D$22*'Controls'!$D$14,0))</x:f>
      </x:c>
      <x:c r="I140" s="13" t="str">
        <x:f>IF(COUNT(H140)=0,"",H140*'Controls'!$D$23)</x:f>
      </x:c>
      <x:c r="J140" s="13" t="str">
        <x:f>IF(OR(COUNT(G140)=0,G140=0),"",'Event Register'!H140/(G140*'Controls'!$D$22)/60)</x:f>
      </x:c>
      <x:c r="K140" s="13" t="str"/>
      <x:c r="L140" s="13" t="str"/>
      <x:c r="M140" s="13" t="str"/>
      <x:c r="N140" s="13" t="str"/>
      <x:c r="O140" s="13" t="str">
        <x:f>IF(N140=1,IF(AND(COUNT(G140,L140)=2,G140&lt;=F140,L140&lt;='Controls'!$D$65,IF(D140="AM-06",AND(COUNT(K140)=1,K140&lt;=1.6),1)),"PASS","FAIL"),"OPEN")</x:f>
        <x:v>OPEN</x:v>
      </x:c>
    </x:row>
    <x:row r="141">
      <x:c r="B141" s="13" t="str">
        <x:v>RAS-PT-135</x:v>
      </x:c>
      <x:c r="C141" s="13" t="str">
        <x:v>RAS-E135</x:v>
      </x:c>
      <x:c r="D141" s="13" t="str">
        <x:v>AM-06</x:v>
      </x:c>
      <x:c r="E141" s="13" t="str">
        <x:v>QE-03</x:v>
      </x:c>
      <x:c r="F141" s="13" t="n">
        <x:v>5</x:v>
      </x:c>
      <x:c r="G141" s="13" t="str"/>
      <x:c r="H141" s="13" t="str">
        <x:f>IF(COUNT(G141)=0,"",IF(D141="AM-06",G141*'Controls'!$D$22*'Controls'!$D$14,0))</x:f>
      </x:c>
      <x:c r="I141" s="13" t="str">
        <x:f>IF(COUNT(H141)=0,"",H141*'Controls'!$D$23)</x:f>
      </x:c>
      <x:c r="J141" s="13" t="str">
        <x:f>IF(OR(COUNT(G141)=0,G141=0),"",'Event Register'!H141/(G141*'Controls'!$D$22)/60)</x:f>
      </x:c>
      <x:c r="K141" s="13" t="str"/>
      <x:c r="L141" s="13" t="str"/>
      <x:c r="M141" s="13" t="str"/>
      <x:c r="N141" s="13" t="str"/>
      <x:c r="O141" s="13" t="str">
        <x:f>IF(N141=1,IF(AND(COUNT(G141,L141)=2,G141&lt;=F141,L141&lt;='Controls'!$D$65,IF(D141="AM-06",AND(COUNT(K141)=1,K141&lt;=1.6),1)),"PASS","FAIL"),"OPEN")</x:f>
        <x:v>OPEN</x:v>
      </x:c>
    </x:row>
    <x:row r="142">
      <x:c r="B142" s="13" t="str">
        <x:v>RAS-PT-136</x:v>
      </x:c>
      <x:c r="C142" s="13" t="str">
        <x:v>RAS-E136</x:v>
      </x:c>
      <x:c r="D142" s="13" t="str">
        <x:v>AM-06</x:v>
      </x:c>
      <x:c r="E142" s="13" t="str">
        <x:v>QE-04</x:v>
      </x:c>
      <x:c r="F142" s="13" t="n">
        <x:v>6.25</x:v>
      </x:c>
      <x:c r="G142" s="13" t="str"/>
      <x:c r="H142" s="13" t="str">
        <x:f>IF(COUNT(G142)=0,"",IF(D142="AM-06",G142*'Controls'!$D$22*'Controls'!$D$14,0))</x:f>
      </x:c>
      <x:c r="I142" s="13" t="str">
        <x:f>IF(COUNT(H142)=0,"",H142*'Controls'!$D$23)</x:f>
      </x:c>
      <x:c r="J142" s="13" t="str">
        <x:f>IF(OR(COUNT(G142)=0,G142=0),"",'Event Register'!H142/(G142*'Controls'!$D$22)/60)</x:f>
      </x:c>
      <x:c r="K142" s="13" t="str"/>
      <x:c r="L142" s="13" t="str"/>
      <x:c r="M142" s="13" t="str"/>
      <x:c r="N142" s="13" t="str"/>
      <x:c r="O142" s="13" t="str">
        <x:f>IF(N142=1,IF(AND(COUNT(G142,L142)=2,G142&lt;=F142,L142&lt;='Controls'!$D$65,IF(D142="AM-06",AND(COUNT(K142)=1,K142&lt;=1.6),1)),"PASS","FAIL"),"OPEN")</x:f>
        <x:v>OPEN</x:v>
      </x:c>
    </x:row>
    <x:row r="143">
      <x:c r="B143" s="13" t="str">
        <x:v>RAS-PT-137</x:v>
      </x:c>
      <x:c r="C143" s="13" t="str">
        <x:v>RAS-E137</x:v>
      </x:c>
      <x:c r="D143" s="13" t="str">
        <x:v>AM-06</x:v>
      </x:c>
      <x:c r="E143" s="13" t="str">
        <x:v>QE-05</x:v>
      </x:c>
      <x:c r="F143" s="13" t="n">
        <x:v>6.25</x:v>
      </x:c>
      <x:c r="G143" s="13" t="str"/>
      <x:c r="H143" s="13" t="str">
        <x:f>IF(COUNT(G143)=0,"",IF(D143="AM-06",G143*'Controls'!$D$22*'Controls'!$D$14,0))</x:f>
      </x:c>
      <x:c r="I143" s="13" t="str">
        <x:f>IF(COUNT(H143)=0,"",H143*'Controls'!$D$23)</x:f>
      </x:c>
      <x:c r="J143" s="13" t="str">
        <x:f>IF(OR(COUNT(G143)=0,G143=0),"",'Event Register'!H143/(G143*'Controls'!$D$22)/60)</x:f>
      </x:c>
      <x:c r="K143" s="13" t="str"/>
      <x:c r="L143" s="13" t="str"/>
      <x:c r="M143" s="13" t="str"/>
      <x:c r="N143" s="13" t="str"/>
      <x:c r="O143" s="13" t="str">
        <x:f>IF(N143=1,IF(AND(COUNT(G143,L143)=2,G143&lt;=F143,L143&lt;='Controls'!$D$65,IF(D143="AM-06",AND(COUNT(K143)=1,K143&lt;=1.6),1)),"PASS","FAIL"),"OPEN")</x:f>
        <x:v>OPEN</x:v>
      </x:c>
    </x:row>
    <x:row r="144">
      <x:c r="B144" s="13" t="str">
        <x:v>RAS-PT-138</x:v>
      </x:c>
      <x:c r="C144" s="13" t="str">
        <x:v>RAS-E138</x:v>
      </x:c>
      <x:c r="D144" s="13" t="str">
        <x:v>AM-06</x:v>
      </x:c>
      <x:c r="E144" s="13" t="str">
        <x:v>QE-06</x:v>
      </x:c>
      <x:c r="F144" s="13" t="n">
        <x:v>25</x:v>
      </x:c>
      <x:c r="G144" s="13" t="str"/>
      <x:c r="H144" s="13" t="str">
        <x:f>IF(COUNT(G144)=0,"",IF(D144="AM-06",G144*'Controls'!$D$22*'Controls'!$D$14,0))</x:f>
      </x:c>
      <x:c r="I144" s="13" t="str">
        <x:f>IF(COUNT(H144)=0,"",H144*'Controls'!$D$23)</x:f>
      </x:c>
      <x:c r="J144" s="13" t="str">
        <x:f>IF(OR(COUNT(G144)=0,G144=0),"",'Event Register'!H144/(G144*'Controls'!$D$22)/60)</x:f>
      </x:c>
      <x:c r="K144" s="13" t="str"/>
      <x:c r="L144" s="13" t="str"/>
      <x:c r="M144" s="13" t="str"/>
      <x:c r="N144" s="13" t="str"/>
      <x:c r="O144" s="13" t="str">
        <x:f>IF(N144=1,IF(AND(COUNT(G144,L144)=2,G144&lt;=F144,L144&lt;='Controls'!$D$65,IF(D144="AM-06",AND(COUNT(K144)=1,K144&lt;=1.6),1)),"PASS","FAIL"),"OPEN")</x:f>
        <x:v>OPEN</x:v>
      </x:c>
    </x:row>
    <x:row r="145">
      <x:c r="B145" s="13" t="str">
        <x:v>RAS-PT-139</x:v>
      </x:c>
      <x:c r="C145" s="13" t="str">
        <x:v>RAS-E139</x:v>
      </x:c>
      <x:c r="D145" s="13" t="str">
        <x:v>AM-06</x:v>
      </x:c>
      <x:c r="E145" s="13" t="str">
        <x:v>QE-01</x:v>
      </x:c>
      <x:c r="F145" s="13" t="n">
        <x:v>0</x:v>
      </x:c>
      <x:c r="G145" s="13" t="str"/>
      <x:c r="H145" s="13" t="str">
        <x:f>IF(COUNT(G145)=0,"",IF(D145="AM-06",G145*'Controls'!$D$22*'Controls'!$D$14,0))</x:f>
      </x:c>
      <x:c r="I145" s="13" t="str">
        <x:f>IF(COUNT(H145)=0,"",H145*'Controls'!$D$23)</x:f>
      </x:c>
      <x:c r="J145" s="13" t="str">
        <x:f>IF(OR(COUNT(G145)=0,G145=0),"",'Event Register'!H145/(G145*'Controls'!$D$22)/60)</x:f>
      </x:c>
      <x:c r="K145" s="13" t="str"/>
      <x:c r="L145" s="13" t="str"/>
      <x:c r="M145" s="13" t="str"/>
      <x:c r="N145" s="13" t="str"/>
      <x:c r="O145" s="13" t="str">
        <x:f>IF(N145=1,IF(AND(COUNT(G145,L145)=2,G145&lt;=F145,L145&lt;='Controls'!$D$65,IF(D145="AM-06",AND(COUNT(K145)=1,K145&lt;=1.6),1)),"PASS","FAIL"),"OPEN")</x:f>
        <x:v>OPEN</x:v>
      </x:c>
    </x:row>
    <x:row r="146">
      <x:c r="B146" s="13" t="str">
        <x:v>RAS-PT-140</x:v>
      </x:c>
      <x:c r="C146" s="13" t="str">
        <x:v>RAS-E140</x:v>
      </x:c>
      <x:c r="D146" s="13" t="str">
        <x:v>AM-06</x:v>
      </x:c>
      <x:c r="E146" s="13" t="str">
        <x:v>QE-02</x:v>
      </x:c>
      <x:c r="F146" s="13" t="n">
        <x:v>2.5</x:v>
      </x:c>
      <x:c r="G146" s="13" t="str"/>
      <x:c r="H146" s="13" t="str">
        <x:f>IF(COUNT(G146)=0,"",IF(D146="AM-06",G146*'Controls'!$D$22*'Controls'!$D$14,0))</x:f>
      </x:c>
      <x:c r="I146" s="13" t="str">
        <x:f>IF(COUNT(H146)=0,"",H146*'Controls'!$D$23)</x:f>
      </x:c>
      <x:c r="J146" s="13" t="str">
        <x:f>IF(OR(COUNT(G146)=0,G146=0),"",'Event Register'!H146/(G146*'Controls'!$D$22)/60)</x:f>
      </x:c>
      <x:c r="K146" s="13" t="str"/>
      <x:c r="L146" s="13" t="str"/>
      <x:c r="M146" s="13" t="str"/>
      <x:c r="N146" s="13" t="str"/>
      <x:c r="O146" s="13" t="str">
        <x:f>IF(N146=1,IF(AND(COUNT(G146,L146)=2,G146&lt;=F146,L146&lt;='Controls'!$D$65,IF(D146="AM-06",AND(COUNT(K146)=1,K146&lt;=1.6),1)),"PASS","FAIL"),"OPEN")</x:f>
        <x:v>OPEN</x:v>
      </x:c>
    </x:row>
    <x:row r="147">
      <x:c r="B147" s="13" t="str">
        <x:v>RAS-PT-141</x:v>
      </x:c>
      <x:c r="C147" s="13" t="str">
        <x:v>RAS-E141</x:v>
      </x:c>
      <x:c r="D147" s="13" t="str">
        <x:v>AM-06</x:v>
      </x:c>
      <x:c r="E147" s="13" t="str">
        <x:v>QE-03</x:v>
      </x:c>
      <x:c r="F147" s="13" t="n">
        <x:v>5</x:v>
      </x:c>
      <x:c r="G147" s="13" t="str"/>
      <x:c r="H147" s="13" t="str">
        <x:f>IF(COUNT(G147)=0,"",IF(D147="AM-06",G147*'Controls'!$D$22*'Controls'!$D$14,0))</x:f>
      </x:c>
      <x:c r="I147" s="13" t="str">
        <x:f>IF(COUNT(H147)=0,"",H147*'Controls'!$D$23)</x:f>
      </x:c>
      <x:c r="J147" s="13" t="str">
        <x:f>IF(OR(COUNT(G147)=0,G147=0),"",'Event Register'!H147/(G147*'Controls'!$D$22)/60)</x:f>
      </x:c>
      <x:c r="K147" s="13" t="str"/>
      <x:c r="L147" s="13" t="str"/>
      <x:c r="M147" s="13" t="str"/>
      <x:c r="N147" s="13" t="str"/>
      <x:c r="O147" s="13" t="str">
        <x:f>IF(N147=1,IF(AND(COUNT(G147,L147)=2,G147&lt;=F147,L147&lt;='Controls'!$D$65,IF(D147="AM-06",AND(COUNT(K147)=1,K147&lt;=1.6),1)),"PASS","FAIL"),"OPEN")</x:f>
        <x:v>OPEN</x:v>
      </x:c>
    </x:row>
    <x:row r="148">
      <x:c r="B148" s="13" t="str">
        <x:v>RAS-PT-142</x:v>
      </x:c>
      <x:c r="C148" s="13" t="str">
        <x:v>RAS-E142</x:v>
      </x:c>
      <x:c r="D148" s="13" t="str">
        <x:v>AM-06</x:v>
      </x:c>
      <x:c r="E148" s="13" t="str">
        <x:v>QE-04</x:v>
      </x:c>
      <x:c r="F148" s="13" t="n">
        <x:v>6.25</x:v>
      </x:c>
      <x:c r="G148" s="13" t="str"/>
      <x:c r="H148" s="13" t="str">
        <x:f>IF(COUNT(G148)=0,"",IF(D148="AM-06",G148*'Controls'!$D$22*'Controls'!$D$14,0))</x:f>
      </x:c>
      <x:c r="I148" s="13" t="str">
        <x:f>IF(COUNT(H148)=0,"",H148*'Controls'!$D$23)</x:f>
      </x:c>
      <x:c r="J148" s="13" t="str">
        <x:f>IF(OR(COUNT(G148)=0,G148=0),"",'Event Register'!H148/(G148*'Controls'!$D$22)/60)</x:f>
      </x:c>
      <x:c r="K148" s="13" t="str"/>
      <x:c r="L148" s="13" t="str"/>
      <x:c r="M148" s="13" t="str"/>
      <x:c r="N148" s="13" t="str"/>
      <x:c r="O148" s="13" t="str">
        <x:f>IF(N148=1,IF(AND(COUNT(G148,L148)=2,G148&lt;=F148,L148&lt;='Controls'!$D$65,IF(D148="AM-06",AND(COUNT(K148)=1,K148&lt;=1.6),1)),"PASS","FAIL"),"OPEN")</x:f>
        <x:v>OPEN</x:v>
      </x:c>
    </x:row>
    <x:row r="149">
      <x:c r="B149" s="13" t="str">
        <x:v>RAS-PT-143</x:v>
      </x:c>
      <x:c r="C149" s="13" t="str">
        <x:v>RAS-E143</x:v>
      </x:c>
      <x:c r="D149" s="13" t="str">
        <x:v>AM-06</x:v>
      </x:c>
      <x:c r="E149" s="13" t="str">
        <x:v>QE-05</x:v>
      </x:c>
      <x:c r="F149" s="13" t="n">
        <x:v>6.25</x:v>
      </x:c>
      <x:c r="G149" s="13" t="str"/>
      <x:c r="H149" s="13" t="str">
        <x:f>IF(COUNT(G149)=0,"",IF(D149="AM-06",G149*'Controls'!$D$22*'Controls'!$D$14,0))</x:f>
      </x:c>
      <x:c r="I149" s="13" t="str">
        <x:f>IF(COUNT(H149)=0,"",H149*'Controls'!$D$23)</x:f>
      </x:c>
      <x:c r="J149" s="13" t="str">
        <x:f>IF(OR(COUNT(G149)=0,G149=0),"",'Event Register'!H149/(G149*'Controls'!$D$22)/60)</x:f>
      </x:c>
      <x:c r="K149" s="13" t="str"/>
      <x:c r="L149" s="13" t="str"/>
      <x:c r="M149" s="13" t="str"/>
      <x:c r="N149" s="13" t="str"/>
      <x:c r="O149" s="13" t="str">
        <x:f>IF(N149=1,IF(AND(COUNT(G149,L149)=2,G149&lt;=F149,L149&lt;='Controls'!$D$65,IF(D149="AM-06",AND(COUNT(K149)=1,K149&lt;=1.6),1)),"PASS","FAIL"),"OPEN")</x:f>
        <x:v>OPEN</x:v>
      </x:c>
    </x:row>
    <x:row r="150">
      <x:c r="B150" s="13" t="str">
        <x:v>RAS-PT-144</x:v>
      </x:c>
      <x:c r="C150" s="13" t="str">
        <x:v>RAS-E144</x:v>
      </x:c>
      <x:c r="D150" s="13" t="str">
        <x:v>AM-06</x:v>
      </x:c>
      <x:c r="E150" s="13" t="str">
        <x:v>QE-06</x:v>
      </x:c>
      <x:c r="F150" s="13" t="n">
        <x:v>25</x:v>
      </x:c>
      <x:c r="G150" s="13" t="str"/>
      <x:c r="H150" s="13" t="str">
        <x:f>IF(COUNT(G150)=0,"",IF(D150="AM-06",G150*'Controls'!$D$22*'Controls'!$D$14,0))</x:f>
      </x:c>
      <x:c r="I150" s="13" t="str">
        <x:f>IF(COUNT(H150)=0,"",H150*'Controls'!$D$23)</x:f>
      </x:c>
      <x:c r="J150" s="13" t="str">
        <x:f>IF(OR(COUNT(G150)=0,G150=0),"",'Event Register'!H150/(G150*'Controls'!$D$22)/60)</x:f>
      </x:c>
      <x:c r="K150" s="13" t="str"/>
      <x:c r="L150" s="13" t="str"/>
      <x:c r="M150" s="13" t="str"/>
      <x:c r="N150" s="13" t="str"/>
      <x:c r="O150" s="13" t="str">
        <x:f>IF(N150=1,IF(AND(COUNT(G150,L150)=2,G150&lt;=F150,L150&lt;='Controls'!$D$65,IF(D150="AM-06",AND(COUNT(K150)=1,K150&lt;=1.6),1)),"PASS","FAIL"),"OPEN")</x:f>
        <x:v>OPEN</x:v>
      </x:c>
    </x:row>
  </x:sheetData>
  <x:conditionalFormatting sqref="O7:O150">
    <x:cfRule type="containsText" dxfId="88" priority="1" operator="containsText" text="FAIL"/>
    <x:cfRule type="containsText" dxfId="89" priority="2" operator="containsText" text="INVALID"/>
    <x:cfRule type="containsText" dxfId="90" priority="3" operator="containsText" text="BLOCKED"/>
    <x:cfRule type="containsText" dxfId="91" priority="4" operator="containsText" text="OPEN"/>
    <x:cfRule type="containsText" dxfId="92" priority="5" operator="containsText" text="GAP"/>
    <x:cfRule type="containsText" dxfId="93" priority="6" operator="containsText" text="DORMANT"/>
    <x:cfRule type="containsText" dxfId="94" priority="7" operator="containsText" text="PASS"/>
    <x:cfRule type="containsText" dxfId="95" priority="8" operator="containsText" text="VALI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42" hidden="0" customWidth="1"/>
    <x:col min="4" max="4" width="16" hidden="0" customWidth="1"/>
    <x:col min="5" max="5" width="29" hidden="0" customWidth="1"/>
    <x:col min="6" max="6" width="42" hidden="0" customWidth="1"/>
    <x:col min="7" max="7" width="15" hidden="0" customWidth="1"/>
    <x:col min="8" max="8" width="21" hidden="0" customWidth="1"/>
    <x:col min="9" max="9" width="14" hidden="0" customWidth="1"/>
    <x:col min="1" max="1" width="3" hidden="0" customWidth="1"/>
  </x:cols>
  <x:sheetData>
    <x:row r="2">
      <x:c r="B2" s="12" t="str">
        <x:v>Twelve final control elements</x:v>
      </x:c>
      <x:c r="C2" s="13"/>
      <x:c r="D2" s="13"/>
      <x:c r="E2" s="13"/>
      <x:c r="F2" s="13"/>
      <x:c r="G2" s="13"/>
      <x:c r="H2" s="13"/>
      <x:c r="I2" s="13"/>
    </x:row>
    <x:row r="3">
      <x:c r="B3" s="2" t="str">
        <x:v>Final elements are defined by safe state and motive energy; commands are not credited as physical action.</x:v>
      </x:c>
      <x:c r="C3" s="13"/>
      <x:c r="D3" s="13"/>
      <x:c r="E3" s="13"/>
      <x:c r="F3" s="13"/>
      <x:c r="G3" s="13"/>
      <x:c r="H3" s="13"/>
      <x:c r="I3" s="13"/>
    </x:row>
    <x:row r="4">
      <x:c r="B4" s="13"/>
      <x:c r="C4" s="13"/>
      <x:c r="D4" s="13"/>
      <x:c r="E4" s="13"/>
      <x:c r="F4" s="13"/>
      <x:c r="G4" s="13"/>
      <x:c r="H4" s="13"/>
      <x:c r="I4" s="13"/>
    </x:row>
    <x:row r="5">
      <x:c r="B5" s="13"/>
      <x:c r="C5" s="13"/>
      <x:c r="D5" s="13"/>
      <x:c r="E5" s="13"/>
      <x:c r="F5" s="13"/>
      <x:c r="G5" s="13"/>
      <x:c r="H5" s="13"/>
      <x:c r="I5" s="13"/>
    </x:row>
    <x:row r="6" ht="24" customHeight="1">
      <x:c r="B6" s="6" t="str">
        <x:v>Element</x:v>
      </x:c>
      <x:c r="C6" s="6" t="str">
        <x:v>Function</x:v>
      </x:c>
      <x:c r="D6" s="6" t="str">
        <x:v>Normal state</x:v>
      </x:c>
      <x:c r="E6" s="6" t="str">
        <x:v>Fail state</x:v>
      </x:c>
      <x:c r="F6" s="6" t="str">
        <x:v>Motive energy</x:v>
      </x:c>
      <x:c r="G6" s="6" t="str">
        <x:v>Target s</x:v>
      </x:c>
      <x:c r="H6" s="6" t="str">
        <x:v>Accepted UTC</x:v>
      </x:c>
      <x:c r="I6" s="6" t="str">
        <x:v>State</x:v>
      </x:c>
    </x:row>
    <x:row r="7" ht="38" customHeight="1">
      <x:c r="B7" s="13" t="str">
        <x:v>FCE-01</x:v>
      </x:c>
      <x:c r="C7" s="14" t="str">
        <x:v>source inlet isolation</x:v>
      </x:c>
      <x:c r="D7" s="13" t="str">
        <x:v>OPEN</x:v>
      </x:c>
      <x:c r="E7" s="14" t="str">
        <x:v>closed</x:v>
      </x:c>
      <x:c r="F7" s="14" t="str">
        <x:v>spring and stored pneumatic energy</x:v>
      </x:c>
      <x:c r="G7" s="13" t="n">
        <x:v>2</x:v>
      </x:c>
      <x:c r="H7" s="13" t="str"/>
      <x:c r="I7" s="13" t="str">
        <x:v>OPEN</x:v>
      </x:c>
    </x:row>
    <x:row r="8" ht="38" customHeight="1">
      <x:c r="B8" s="13" t="str">
        <x:v>FCE-02</x:v>
      </x:c>
      <x:c r="C8" s="14" t="str">
        <x:v>dispenser isolation</x:v>
      </x:c>
      <x:c r="D8" s="13" t="str">
        <x:v>OPEN</x:v>
      </x:c>
      <x:c r="E8" s="14" t="str">
        <x:v>closed</x:v>
      </x:c>
      <x:c r="F8" s="14" t="str">
        <x:v>spring</x:v>
      </x:c>
      <x:c r="G8" s="13" t="n">
        <x:v>2</x:v>
      </x:c>
      <x:c r="H8" s="13" t="str"/>
      <x:c r="I8" s="13" t="str">
        <x:v>OPEN</x:v>
      </x:c>
    </x:row>
    <x:row r="9" ht="38" customHeight="1">
      <x:c r="B9" s="13" t="str">
        <x:v>FCE-03</x:v>
      </x:c>
      <x:c r="C9" s="14" t="str">
        <x:v>gravity source diversion</x:v>
      </x:c>
      <x:c r="D9" s="13" t="str">
        <x:v>NORMAL</x:v>
      </x:c>
      <x:c r="E9" s="14" t="str">
        <x:v>casualty receiver</x:v>
      </x:c>
      <x:c r="F9" s="14" t="str">
        <x:v>gravity</x:v>
      </x:c>
      <x:c r="G9" s="13" t="n">
        <x:v>5</x:v>
      </x:c>
      <x:c r="H9" s="13" t="str"/>
      <x:c r="I9" s="13" t="str">
        <x:v>OPEN</x:v>
      </x:c>
    </x:row>
    <x:row r="10" ht="38" customHeight="1">
      <x:c r="B10" s="13" t="str">
        <x:v>FCE-04</x:v>
      </x:c>
      <x:c r="C10" s="14" t="str">
        <x:v>normal source receiver isolation</x:v>
      </x:c>
      <x:c r="D10" s="13" t="str">
        <x:v>OPEN</x:v>
      </x:c>
      <x:c r="E10" s="14" t="str">
        <x:v>closed</x:v>
      </x:c>
      <x:c r="F10" s="14" t="str">
        <x:v>spring</x:v>
      </x:c>
      <x:c r="G10" s="13" t="n">
        <x:v>3</x:v>
      </x:c>
      <x:c r="H10" s="13" t="str"/>
      <x:c r="I10" s="13" t="str">
        <x:v>OPEN</x:v>
      </x:c>
    </x:row>
    <x:row r="11" ht="38" customHeight="1">
      <x:c r="B11" s="13" t="str">
        <x:v>FCE-05</x:v>
      </x:c>
      <x:c r="C11" s="14" t="str">
        <x:v>casualty source diversion</x:v>
      </x:c>
      <x:c r="D11" s="13" t="str">
        <x:v>STANDBY</x:v>
      </x:c>
      <x:c r="E11" s="14" t="str">
        <x:v>open to casualty receiver</x:v>
      </x:c>
      <x:c r="F11" s="14" t="str">
        <x:v>gravity and stored pneumatic energy</x:v>
      </x:c>
      <x:c r="G11" s="13" t="n">
        <x:v>5</x:v>
      </x:c>
      <x:c r="H11" s="13" t="str"/>
      <x:c r="I11" s="13" t="str">
        <x:v>OPEN</x:v>
      </x:c>
    </x:row>
    <x:row r="12" ht="38" customHeight="1">
      <x:c r="B12" s="13" t="str">
        <x:v>FCE-06</x:v>
      </x:c>
      <x:c r="C12" s="14" t="str">
        <x:v>ignition energy removal</x:v>
      </x:c>
      <x:c r="D12" s="13" t="str">
        <x:v>AVAILABLE</x:v>
      </x:c>
      <x:c r="E12" s="14" t="str">
        <x:v>de-energized</x:v>
      </x:c>
      <x:c r="F12" s="14" t="str">
        <x:v>spring-open contactor</x:v>
      </x:c>
      <x:c r="G12" s="13" t="n">
        <x:v>1</x:v>
      </x:c>
      <x:c r="H12" s="13" t="str"/>
      <x:c r="I12" s="13" t="str">
        <x:v>OPEN</x:v>
      </x:c>
    </x:row>
    <x:row r="13" ht="38" customHeight="1">
      <x:c r="B13" s="13" t="str">
        <x:v>FCE-07</x:v>
      </x:c>
      <x:c r="C13" s="14" t="str">
        <x:v>candidate and public-water isolation</x:v>
      </x:c>
      <x:c r="D13" s="13" t="str">
        <x:v>OPEN</x:v>
      </x:c>
      <x:c r="E13" s="14" t="str">
        <x:v>closed</x:v>
      </x:c>
      <x:c r="F13" s="14" t="str">
        <x:v>spring</x:v>
      </x:c>
      <x:c r="G13" s="13" t="n">
        <x:v>2</x:v>
      </x:c>
      <x:c r="H13" s="13" t="str"/>
      <x:c r="I13" s="13" t="str">
        <x:v>OPEN</x:v>
      </x:c>
    </x:row>
    <x:row r="14" ht="38" customHeight="1">
      <x:c r="B14" s="13" t="str">
        <x:v>FCE-08</x:v>
      </x:c>
      <x:c r="C14" s="14" t="str">
        <x:v>casualty water diversion</x:v>
      </x:c>
      <x:c r="D14" s="13" t="str">
        <x:v>STANDBY</x:v>
      </x:c>
      <x:c r="E14" s="14" t="str">
        <x:v>open to casualty receiver</x:v>
      </x:c>
      <x:c r="F14" s="14" t="str">
        <x:v>gravity</x:v>
      </x:c>
      <x:c r="G14" s="13" t="n">
        <x:v>5</x:v>
      </x:c>
      <x:c r="H14" s="13" t="str"/>
      <x:c r="I14" s="13" t="str">
        <x:v>OPEN</x:v>
      </x:c>
    </x:row>
    <x:row r="15" ht="38" customHeight="1">
      <x:c r="B15" s="13" t="str">
        <x:v>FCE-09</x:v>
      </x:c>
      <x:c r="C15" s="14" t="str">
        <x:v>normal electrical isolation</x:v>
      </x:c>
      <x:c r="D15" s="13" t="str">
        <x:v>ENERGIZED</x:v>
      </x:c>
      <x:c r="E15" s="14" t="str">
        <x:v>isolated</x:v>
      </x:c>
      <x:c r="F15" s="14" t="str">
        <x:v>spring-open breaker</x:v>
      </x:c>
      <x:c r="G15" s="13" t="n">
        <x:v>1</x:v>
      </x:c>
      <x:c r="H15" s="13" t="str"/>
      <x:c r="I15" s="13" t="str">
        <x:v>OPEN</x:v>
      </x:c>
    </x:row>
    <x:row r="16" ht="38" customHeight="1">
      <x:c r="B16" s="13" t="str">
        <x:v>FCE-10</x:v>
      </x:c>
      <x:c r="C16" s="14" t="str">
        <x:v>independent safety energy</x:v>
      </x:c>
      <x:c r="D16" s="13" t="str">
        <x:v>AVAILABLE</x:v>
      </x:c>
      <x:c r="E16" s="14" t="str">
        <x:v>maintained</x:v>
      </x:c>
      <x:c r="F16" s="14" t="str">
        <x:v>stored pneumatic plus local battery</x:v>
      </x:c>
      <x:c r="G16" s="13" t="n">
        <x:v>30</x:v>
      </x:c>
      <x:c r="H16" s="13" t="str"/>
      <x:c r="I16" s="13" t="str">
        <x:v>OPEN</x:v>
      </x:c>
    </x:row>
    <x:row r="17" ht="38" customHeight="1">
      <x:c r="B17" s="13" t="str">
        <x:v>FCE-11</x:v>
      </x:c>
      <x:c r="C17" s="14" t="str">
        <x:v>environmental boundary and vent</x:v>
      </x:c>
      <x:c r="D17" s="13" t="str">
        <x:v>CLOSED</x:v>
      </x:c>
      <x:c r="E17" s="14" t="str">
        <x:v>contained safe vent</x:v>
      </x:c>
      <x:c r="F17" s="14" t="str">
        <x:v>passive geometry</x:v>
      </x:c>
      <x:c r="G17" s="13" t="n">
        <x:v>10</x:v>
      </x:c>
      <x:c r="H17" s="13" t="str"/>
      <x:c r="I17" s="13" t="str">
        <x:v>OPEN</x:v>
      </x:c>
    </x:row>
    <x:row r="18" ht="38" customHeight="1">
      <x:c r="B18" s="13" t="str">
        <x:v>FCE-12</x:v>
      </x:c>
      <x:c r="C18" s="14" t="str">
        <x:v>evidence safe-state latch</x:v>
      </x:c>
      <x:c r="D18" s="13" t="str">
        <x:v>ARMED</x:v>
      </x:c>
      <x:c r="E18" s="14" t="str">
        <x:v>latched and locally readable</x:v>
      </x:c>
      <x:c r="F18" s="14" t="str">
        <x:v>mechanical memory plus isolated recorder</x:v>
      </x:c>
      <x:c r="G18" s="13" t="n">
        <x:v>1</x:v>
      </x:c>
      <x:c r="H18" s="13" t="str"/>
      <x:c r="I18" s="13" t="str">
        <x:v>OPEN</x:v>
      </x:c>
    </x:row>
  </x:sheetData>
  <x:conditionalFormatting sqref="I7:I18">
    <x:cfRule type="containsText" dxfId="96" priority="1" operator="containsText" text="FAIL"/>
    <x:cfRule type="containsText" dxfId="97" priority="2" operator="containsText" text="INVALID"/>
    <x:cfRule type="containsText" dxfId="98" priority="3" operator="containsText" text="BLOCKED"/>
    <x:cfRule type="containsText" dxfId="99" priority="4" operator="containsText" text="OPEN"/>
    <x:cfRule type="containsText" dxfId="100" priority="5" operator="containsText" text="GAP"/>
    <x:cfRule type="containsText" dxfId="101" priority="6" operator="containsText" text="DORMANT"/>
    <x:cfRule type="containsText" dxfId="102" priority="7" operator="containsText" text="PASS"/>
    <x:cfRule type="containsText" dxfId="103" priority="8" operator="containsText" text="VALI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9" hidden="0" customWidth="1"/>
    <x:col min="3" max="3" width="15" hidden="0" customWidth="1"/>
    <x:col min="4" max="4" width="18" hidden="0" customWidth="1"/>
    <x:col min="5" max="5" width="58" hidden="0" customWidth="1"/>
    <x:col min="6" max="6" width="29" hidden="0" customWidth="1"/>
    <x:col min="7" max="7" width="15" hidden="0" customWidth="1"/>
    <x:col min="8" max="8" width="21" hidden="0" customWidth="1"/>
    <x:col min="9" max="9" width="14" hidden="0" customWidth="1"/>
    <x:col min="1" max="1" width="3" hidden="0" customWidth="1"/>
  </x:cols>
  <x:sheetData>
    <x:row r="2">
      <x:c r="B2" s="12" t="str">
        <x:v>Thirty-six independent safeing paths</x:v>
      </x:c>
      <x:c r="C2" s="13"/>
      <x:c r="D2" s="13"/>
      <x:c r="E2" s="13"/>
      <x:c r="F2" s="13"/>
      <x:c r="G2" s="13"/>
      <x:c r="H2" s="13"/>
      <x:c r="I2" s="13"/>
    </x:row>
    <x:row r="3">
      <x:c r="B3" s="2" t="str">
        <x:v>Each final element receives primary, diverse, and manual or passive realization.</x:v>
      </x:c>
      <x:c r="C3" s="13"/>
      <x:c r="D3" s="13"/>
      <x:c r="E3" s="13"/>
      <x:c r="F3" s="13"/>
      <x:c r="G3" s="13"/>
      <x:c r="H3" s="13"/>
      <x:c r="I3" s="13"/>
    </x:row>
    <x:row r="4">
      <x:c r="B4" s="13"/>
      <x:c r="C4" s="13"/>
      <x:c r="D4" s="13"/>
      <x:c r="E4" s="13"/>
      <x:c r="F4" s="13"/>
      <x:c r="G4" s="13"/>
      <x:c r="H4" s="13"/>
      <x:c r="I4" s="13"/>
    </x:row>
    <x:row r="5">
      <x:c r="B5" s="13"/>
      <x:c r="C5" s="13"/>
      <x:c r="D5" s="13"/>
      <x:c r="E5" s="13"/>
      <x:c r="F5" s="13"/>
      <x:c r="G5" s="13"/>
      <x:c r="H5" s="13"/>
      <x:c r="I5" s="13"/>
    </x:row>
    <x:row r="6" ht="24" customHeight="1">
      <x:c r="B6" s="6" t="str">
        <x:v>Path</x:v>
      </x:c>
      <x:c r="C6" s="6" t="str">
        <x:v>Element</x:v>
      </x:c>
      <x:c r="D6" s="6" t="str">
        <x:v>Path class</x:v>
      </x:c>
      <x:c r="E6" s="6" t="str">
        <x:v>Principle</x:v>
      </x:c>
      <x:c r="F6" s="6" t="str">
        <x:v>Safe state</x:v>
      </x:c>
      <x:c r="G6" s="6" t="str">
        <x:v>Target s</x:v>
      </x:c>
      <x:c r="H6" s="6" t="str">
        <x:v>Accepted UTC</x:v>
      </x:c>
      <x:c r="I6" s="6" t="str">
        <x:v>State</x:v>
      </x:c>
    </x:row>
    <x:row r="7" ht="36" customHeight="1">
      <x:c r="B7" s="13" t="str">
        <x:v>FCE-01-P</x:v>
      </x:c>
      <x:c r="C7" s="13" t="str">
        <x:v>FCE-01</x:v>
      </x:c>
      <x:c r="D7" s="13" t="str">
        <x:v>primary</x:v>
      </x:c>
      <x:c r="E7" s="14" t="str">
        <x:v>registered command and final-state sensor</x:v>
      </x:c>
      <x:c r="F7" s="13" t="str">
        <x:v>closed</x:v>
      </x:c>
      <x:c r="G7" s="13" t="n">
        <x:v>2</x:v>
      </x:c>
      <x:c r="H7" s="13" t="str"/>
      <x:c r="I7" s="13" t="str">
        <x:v>OPEN</x:v>
      </x:c>
    </x:row>
    <x:row r="8" ht="36" customHeight="1">
      <x:c r="B8" s="13" t="str">
        <x:v>FCE-01-D</x:v>
      </x:c>
      <x:c r="C8" s="13" t="str">
        <x:v>FCE-01</x:v>
      </x:c>
      <x:c r="D8" s="13" t="str">
        <x:v>diverse</x:v>
      </x:c>
      <x:c r="E8" s="14" t="str">
        <x:v>independent local trip and unlike final-state indication</x:v>
      </x:c>
      <x:c r="F8" s="13" t="str">
        <x:v>closed</x:v>
      </x:c>
      <x:c r="G8" s="13" t="n">
        <x:v>2</x:v>
      </x:c>
      <x:c r="H8" s="13" t="str"/>
      <x:c r="I8" s="13" t="str">
        <x:v>OPEN</x:v>
      </x:c>
    </x:row>
    <x:row r="9" ht="36" customHeight="1">
      <x:c r="B9" s="13" t="str">
        <x:v>FCE-01-M</x:v>
      </x:c>
      <x:c r="C9" s="13" t="str">
        <x:v>FCE-01</x:v>
      </x:c>
      <x:c r="D9" s="13" t="str">
        <x:v>manual/passive</x:v>
      </x:c>
      <x:c r="E9" s="14" t="str">
        <x:v>field action or passive state without network dependence</x:v>
      </x:c>
      <x:c r="F9" s="13" t="str">
        <x:v>closed</x:v>
      </x:c>
      <x:c r="G9" s="13" t="n">
        <x:v>2</x:v>
      </x:c>
      <x:c r="H9" s="13" t="str"/>
      <x:c r="I9" s="13" t="str">
        <x:v>OPEN</x:v>
      </x:c>
    </x:row>
    <x:row r="10" ht="36" customHeight="1">
      <x:c r="B10" s="13" t="str">
        <x:v>FCE-02-P</x:v>
      </x:c>
      <x:c r="C10" s="13" t="str">
        <x:v>FCE-02</x:v>
      </x:c>
      <x:c r="D10" s="13" t="str">
        <x:v>primary</x:v>
      </x:c>
      <x:c r="E10" s="14" t="str">
        <x:v>registered command and final-state sensor</x:v>
      </x:c>
      <x:c r="F10" s="13" t="str">
        <x:v>closed</x:v>
      </x:c>
      <x:c r="G10" s="13" t="n">
        <x:v>2</x:v>
      </x:c>
      <x:c r="H10" s="13" t="str"/>
      <x:c r="I10" s="13" t="str">
        <x:v>OPEN</x:v>
      </x:c>
    </x:row>
    <x:row r="11" ht="36" customHeight="1">
      <x:c r="B11" s="13" t="str">
        <x:v>FCE-02-D</x:v>
      </x:c>
      <x:c r="C11" s="13" t="str">
        <x:v>FCE-02</x:v>
      </x:c>
      <x:c r="D11" s="13" t="str">
        <x:v>diverse</x:v>
      </x:c>
      <x:c r="E11" s="14" t="str">
        <x:v>independent local trip and unlike final-state indication</x:v>
      </x:c>
      <x:c r="F11" s="13" t="str">
        <x:v>closed</x:v>
      </x:c>
      <x:c r="G11" s="13" t="n">
        <x:v>2</x:v>
      </x:c>
      <x:c r="H11" s="13" t="str"/>
      <x:c r="I11" s="13" t="str">
        <x:v>OPEN</x:v>
      </x:c>
    </x:row>
    <x:row r="12" ht="36" customHeight="1">
      <x:c r="B12" s="13" t="str">
        <x:v>FCE-02-M</x:v>
      </x:c>
      <x:c r="C12" s="13" t="str">
        <x:v>FCE-02</x:v>
      </x:c>
      <x:c r="D12" s="13" t="str">
        <x:v>manual/passive</x:v>
      </x:c>
      <x:c r="E12" s="14" t="str">
        <x:v>field action or passive state without network dependence</x:v>
      </x:c>
      <x:c r="F12" s="13" t="str">
        <x:v>closed</x:v>
      </x:c>
      <x:c r="G12" s="13" t="n">
        <x:v>2</x:v>
      </x:c>
      <x:c r="H12" s="13" t="str"/>
      <x:c r="I12" s="13" t="str">
        <x:v>OPEN</x:v>
      </x:c>
    </x:row>
    <x:row r="13" ht="36" customHeight="1">
      <x:c r="B13" s="13" t="str">
        <x:v>FCE-03-P</x:v>
      </x:c>
      <x:c r="C13" s="13" t="str">
        <x:v>FCE-03</x:v>
      </x:c>
      <x:c r="D13" s="13" t="str">
        <x:v>primary</x:v>
      </x:c>
      <x:c r="E13" s="14" t="str">
        <x:v>registered command and final-state sensor</x:v>
      </x:c>
      <x:c r="F13" s="13" t="str">
        <x:v>casualty receiver</x:v>
      </x:c>
      <x:c r="G13" s="13" t="n">
        <x:v>5</x:v>
      </x:c>
      <x:c r="H13" s="13" t="str"/>
      <x:c r="I13" s="13" t="str">
        <x:v>OPEN</x:v>
      </x:c>
    </x:row>
    <x:row r="14" ht="36" customHeight="1">
      <x:c r="B14" s="13" t="str">
        <x:v>FCE-03-D</x:v>
      </x:c>
      <x:c r="C14" s="13" t="str">
        <x:v>FCE-03</x:v>
      </x:c>
      <x:c r="D14" s="13" t="str">
        <x:v>diverse</x:v>
      </x:c>
      <x:c r="E14" s="14" t="str">
        <x:v>independent local trip and unlike final-state indication</x:v>
      </x:c>
      <x:c r="F14" s="13" t="str">
        <x:v>casualty receiver</x:v>
      </x:c>
      <x:c r="G14" s="13" t="n">
        <x:v>5</x:v>
      </x:c>
      <x:c r="H14" s="13" t="str"/>
      <x:c r="I14" s="13" t="str">
        <x:v>OPEN</x:v>
      </x:c>
    </x:row>
    <x:row r="15" ht="36" customHeight="1">
      <x:c r="B15" s="13" t="str">
        <x:v>FCE-03-M</x:v>
      </x:c>
      <x:c r="C15" s="13" t="str">
        <x:v>FCE-03</x:v>
      </x:c>
      <x:c r="D15" s="13" t="str">
        <x:v>manual/passive</x:v>
      </x:c>
      <x:c r="E15" s="14" t="str">
        <x:v>field action or passive state without network dependence</x:v>
      </x:c>
      <x:c r="F15" s="13" t="str">
        <x:v>casualty receiver</x:v>
      </x:c>
      <x:c r="G15" s="13" t="n">
        <x:v>5</x:v>
      </x:c>
      <x:c r="H15" s="13" t="str"/>
      <x:c r="I15" s="13" t="str">
        <x:v>OPEN</x:v>
      </x:c>
    </x:row>
    <x:row r="16" ht="36" customHeight="1">
      <x:c r="B16" s="13" t="str">
        <x:v>FCE-04-P</x:v>
      </x:c>
      <x:c r="C16" s="13" t="str">
        <x:v>FCE-04</x:v>
      </x:c>
      <x:c r="D16" s="13" t="str">
        <x:v>primary</x:v>
      </x:c>
      <x:c r="E16" s="14" t="str">
        <x:v>registered command and final-state sensor</x:v>
      </x:c>
      <x:c r="F16" s="13" t="str">
        <x:v>closed</x:v>
      </x:c>
      <x:c r="G16" s="13" t="n">
        <x:v>3</x:v>
      </x:c>
      <x:c r="H16" s="13" t="str"/>
      <x:c r="I16" s="13" t="str">
        <x:v>OPEN</x:v>
      </x:c>
    </x:row>
    <x:row r="17" ht="36" customHeight="1">
      <x:c r="B17" s="13" t="str">
        <x:v>FCE-04-D</x:v>
      </x:c>
      <x:c r="C17" s="13" t="str">
        <x:v>FCE-04</x:v>
      </x:c>
      <x:c r="D17" s="13" t="str">
        <x:v>diverse</x:v>
      </x:c>
      <x:c r="E17" s="14" t="str">
        <x:v>independent local trip and unlike final-state indication</x:v>
      </x:c>
      <x:c r="F17" s="13" t="str">
        <x:v>closed</x:v>
      </x:c>
      <x:c r="G17" s="13" t="n">
        <x:v>3</x:v>
      </x:c>
      <x:c r="H17" s="13" t="str"/>
      <x:c r="I17" s="13" t="str">
        <x:v>OPEN</x:v>
      </x:c>
    </x:row>
    <x:row r="18" ht="36" customHeight="1">
      <x:c r="B18" s="13" t="str">
        <x:v>FCE-04-M</x:v>
      </x:c>
      <x:c r="C18" s="13" t="str">
        <x:v>FCE-04</x:v>
      </x:c>
      <x:c r="D18" s="13" t="str">
        <x:v>manual/passive</x:v>
      </x:c>
      <x:c r="E18" s="14" t="str">
        <x:v>field action or passive state without network dependence</x:v>
      </x:c>
      <x:c r="F18" s="13" t="str">
        <x:v>closed</x:v>
      </x:c>
      <x:c r="G18" s="13" t="n">
        <x:v>3</x:v>
      </x:c>
      <x:c r="H18" s="13" t="str"/>
      <x:c r="I18" s="13" t="str">
        <x:v>OPEN</x:v>
      </x:c>
    </x:row>
    <x:row r="19" ht="36" customHeight="1">
      <x:c r="B19" s="13" t="str">
        <x:v>FCE-05-P</x:v>
      </x:c>
      <x:c r="C19" s="13" t="str">
        <x:v>FCE-05</x:v>
      </x:c>
      <x:c r="D19" s="13" t="str">
        <x:v>primary</x:v>
      </x:c>
      <x:c r="E19" s="14" t="str">
        <x:v>registered command and final-state sensor</x:v>
      </x:c>
      <x:c r="F19" s="13" t="str">
        <x:v>open to casualty receiver</x:v>
      </x:c>
      <x:c r="G19" s="13" t="n">
        <x:v>5</x:v>
      </x:c>
      <x:c r="H19" s="13" t="str"/>
      <x:c r="I19" s="13" t="str">
        <x:v>OPEN</x:v>
      </x:c>
    </x:row>
    <x:row r="20" ht="36" customHeight="1">
      <x:c r="B20" s="13" t="str">
        <x:v>FCE-05-D</x:v>
      </x:c>
      <x:c r="C20" s="13" t="str">
        <x:v>FCE-05</x:v>
      </x:c>
      <x:c r="D20" s="13" t="str">
        <x:v>diverse</x:v>
      </x:c>
      <x:c r="E20" s="14" t="str">
        <x:v>independent local trip and unlike final-state indication</x:v>
      </x:c>
      <x:c r="F20" s="13" t="str">
        <x:v>open to casualty receiver</x:v>
      </x:c>
      <x:c r="G20" s="13" t="n">
        <x:v>5</x:v>
      </x:c>
      <x:c r="H20" s="13" t="str"/>
      <x:c r="I20" s="13" t="str">
        <x:v>OPEN</x:v>
      </x:c>
    </x:row>
    <x:row r="21" ht="36" customHeight="1">
      <x:c r="B21" s="13" t="str">
        <x:v>FCE-05-M</x:v>
      </x:c>
      <x:c r="C21" s="13" t="str">
        <x:v>FCE-05</x:v>
      </x:c>
      <x:c r="D21" s="13" t="str">
        <x:v>manual/passive</x:v>
      </x:c>
      <x:c r="E21" s="14" t="str">
        <x:v>field action or passive state without network dependence</x:v>
      </x:c>
      <x:c r="F21" s="13" t="str">
        <x:v>open to casualty receiver</x:v>
      </x:c>
      <x:c r="G21" s="13" t="n">
        <x:v>5</x:v>
      </x:c>
      <x:c r="H21" s="13" t="str"/>
      <x:c r="I21" s="13" t="str">
        <x:v>OPEN</x:v>
      </x:c>
    </x:row>
    <x:row r="22" ht="36" customHeight="1">
      <x:c r="B22" s="13" t="str">
        <x:v>FCE-06-P</x:v>
      </x:c>
      <x:c r="C22" s="13" t="str">
        <x:v>FCE-06</x:v>
      </x:c>
      <x:c r="D22" s="13" t="str">
        <x:v>primary</x:v>
      </x:c>
      <x:c r="E22" s="14" t="str">
        <x:v>registered command and final-state sensor</x:v>
      </x:c>
      <x:c r="F22" s="13" t="str">
        <x:v>de-energized</x:v>
      </x:c>
      <x:c r="G22" s="13" t="n">
        <x:v>1</x:v>
      </x:c>
      <x:c r="H22" s="13" t="str"/>
      <x:c r="I22" s="13" t="str">
        <x:v>OPEN</x:v>
      </x:c>
    </x:row>
    <x:row r="23" ht="36" customHeight="1">
      <x:c r="B23" s="13" t="str">
        <x:v>FCE-06-D</x:v>
      </x:c>
      <x:c r="C23" s="13" t="str">
        <x:v>FCE-06</x:v>
      </x:c>
      <x:c r="D23" s="13" t="str">
        <x:v>diverse</x:v>
      </x:c>
      <x:c r="E23" s="14" t="str">
        <x:v>independent local trip and unlike final-state indication</x:v>
      </x:c>
      <x:c r="F23" s="13" t="str">
        <x:v>de-energized</x:v>
      </x:c>
      <x:c r="G23" s="13" t="n">
        <x:v>1</x:v>
      </x:c>
      <x:c r="H23" s="13" t="str"/>
      <x:c r="I23" s="13" t="str">
        <x:v>OPEN</x:v>
      </x:c>
    </x:row>
    <x:row r="24" ht="36" customHeight="1">
      <x:c r="B24" s="13" t="str">
        <x:v>FCE-06-M</x:v>
      </x:c>
      <x:c r="C24" s="13" t="str">
        <x:v>FCE-06</x:v>
      </x:c>
      <x:c r="D24" s="13" t="str">
        <x:v>manual/passive</x:v>
      </x:c>
      <x:c r="E24" s="14" t="str">
        <x:v>field action or passive state without network dependence</x:v>
      </x:c>
      <x:c r="F24" s="13" t="str">
        <x:v>de-energized</x:v>
      </x:c>
      <x:c r="G24" s="13" t="n">
        <x:v>1</x:v>
      </x:c>
      <x:c r="H24" s="13" t="str"/>
      <x:c r="I24" s="13" t="str">
        <x:v>OPEN</x:v>
      </x:c>
    </x:row>
    <x:row r="25" ht="36" customHeight="1">
      <x:c r="B25" s="13" t="str">
        <x:v>FCE-07-P</x:v>
      </x:c>
      <x:c r="C25" s="13" t="str">
        <x:v>FCE-07</x:v>
      </x:c>
      <x:c r="D25" s="13" t="str">
        <x:v>primary</x:v>
      </x:c>
      <x:c r="E25" s="14" t="str">
        <x:v>registered command and final-state sensor</x:v>
      </x:c>
      <x:c r="F25" s="13" t="str">
        <x:v>closed</x:v>
      </x:c>
      <x:c r="G25" s="13" t="n">
        <x:v>2</x:v>
      </x:c>
      <x:c r="H25" s="13" t="str"/>
      <x:c r="I25" s="13" t="str">
        <x:v>OPEN</x:v>
      </x:c>
    </x:row>
    <x:row r="26" ht="36" customHeight="1">
      <x:c r="B26" s="13" t="str">
        <x:v>FCE-07-D</x:v>
      </x:c>
      <x:c r="C26" s="13" t="str">
        <x:v>FCE-07</x:v>
      </x:c>
      <x:c r="D26" s="13" t="str">
        <x:v>diverse</x:v>
      </x:c>
      <x:c r="E26" s="14" t="str">
        <x:v>independent local trip and unlike final-state indication</x:v>
      </x:c>
      <x:c r="F26" s="13" t="str">
        <x:v>closed</x:v>
      </x:c>
      <x:c r="G26" s="13" t="n">
        <x:v>2</x:v>
      </x:c>
      <x:c r="H26" s="13" t="str"/>
      <x:c r="I26" s="13" t="str">
        <x:v>OPEN</x:v>
      </x:c>
    </x:row>
    <x:row r="27" ht="36" customHeight="1">
      <x:c r="B27" s="13" t="str">
        <x:v>FCE-07-M</x:v>
      </x:c>
      <x:c r="C27" s="13" t="str">
        <x:v>FCE-07</x:v>
      </x:c>
      <x:c r="D27" s="13" t="str">
        <x:v>manual/passive</x:v>
      </x:c>
      <x:c r="E27" s="14" t="str">
        <x:v>field action or passive state without network dependence</x:v>
      </x:c>
      <x:c r="F27" s="13" t="str">
        <x:v>closed</x:v>
      </x:c>
      <x:c r="G27" s="13" t="n">
        <x:v>2</x:v>
      </x:c>
      <x:c r="H27" s="13" t="str"/>
      <x:c r="I27" s="13" t="str">
        <x:v>OPEN</x:v>
      </x:c>
    </x:row>
    <x:row r="28" ht="36" customHeight="1">
      <x:c r="B28" s="13" t="str">
        <x:v>FCE-08-P</x:v>
      </x:c>
      <x:c r="C28" s="13" t="str">
        <x:v>FCE-08</x:v>
      </x:c>
      <x:c r="D28" s="13" t="str">
        <x:v>primary</x:v>
      </x:c>
      <x:c r="E28" s="14" t="str">
        <x:v>registered command and final-state sensor</x:v>
      </x:c>
      <x:c r="F28" s="13" t="str">
        <x:v>open to casualty receiver</x:v>
      </x:c>
      <x:c r="G28" s="13" t="n">
        <x:v>5</x:v>
      </x:c>
      <x:c r="H28" s="13" t="str"/>
      <x:c r="I28" s="13" t="str">
        <x:v>OPEN</x:v>
      </x:c>
    </x:row>
    <x:row r="29" ht="36" customHeight="1">
      <x:c r="B29" s="13" t="str">
        <x:v>FCE-08-D</x:v>
      </x:c>
      <x:c r="C29" s="13" t="str">
        <x:v>FCE-08</x:v>
      </x:c>
      <x:c r="D29" s="13" t="str">
        <x:v>diverse</x:v>
      </x:c>
      <x:c r="E29" s="14" t="str">
        <x:v>independent local trip and unlike final-state indication</x:v>
      </x:c>
      <x:c r="F29" s="13" t="str">
        <x:v>open to casualty receiver</x:v>
      </x:c>
      <x:c r="G29" s="13" t="n">
        <x:v>5</x:v>
      </x:c>
      <x:c r="H29" s="13" t="str"/>
      <x:c r="I29" s="13" t="str">
        <x:v>OPEN</x:v>
      </x:c>
    </x:row>
    <x:row r="30" ht="36" customHeight="1">
      <x:c r="B30" s="13" t="str">
        <x:v>FCE-08-M</x:v>
      </x:c>
      <x:c r="C30" s="13" t="str">
        <x:v>FCE-08</x:v>
      </x:c>
      <x:c r="D30" s="13" t="str">
        <x:v>manual/passive</x:v>
      </x:c>
      <x:c r="E30" s="14" t="str">
        <x:v>field action or passive state without network dependence</x:v>
      </x:c>
      <x:c r="F30" s="13" t="str">
        <x:v>open to casualty receiver</x:v>
      </x:c>
      <x:c r="G30" s="13" t="n">
        <x:v>5</x:v>
      </x:c>
      <x:c r="H30" s="13" t="str"/>
      <x:c r="I30" s="13" t="str">
        <x:v>OPEN</x:v>
      </x:c>
    </x:row>
    <x:row r="31" ht="36" customHeight="1">
      <x:c r="B31" s="13" t="str">
        <x:v>FCE-09-P</x:v>
      </x:c>
      <x:c r="C31" s="13" t="str">
        <x:v>FCE-09</x:v>
      </x:c>
      <x:c r="D31" s="13" t="str">
        <x:v>primary</x:v>
      </x:c>
      <x:c r="E31" s="14" t="str">
        <x:v>registered command and final-state sensor</x:v>
      </x:c>
      <x:c r="F31" s="13" t="str">
        <x:v>isolated</x:v>
      </x:c>
      <x:c r="G31" s="13" t="n">
        <x:v>1</x:v>
      </x:c>
      <x:c r="H31" s="13" t="str"/>
      <x:c r="I31" s="13" t="str">
        <x:v>OPEN</x:v>
      </x:c>
    </x:row>
    <x:row r="32" ht="36" customHeight="1">
      <x:c r="B32" s="13" t="str">
        <x:v>FCE-09-D</x:v>
      </x:c>
      <x:c r="C32" s="13" t="str">
        <x:v>FCE-09</x:v>
      </x:c>
      <x:c r="D32" s="13" t="str">
        <x:v>diverse</x:v>
      </x:c>
      <x:c r="E32" s="14" t="str">
        <x:v>independent local trip and unlike final-state indication</x:v>
      </x:c>
      <x:c r="F32" s="13" t="str">
        <x:v>isolated</x:v>
      </x:c>
      <x:c r="G32" s="13" t="n">
        <x:v>1</x:v>
      </x:c>
      <x:c r="H32" s="13" t="str"/>
      <x:c r="I32" s="13" t="str">
        <x:v>OPEN</x:v>
      </x:c>
    </x:row>
    <x:row r="33" ht="36" customHeight="1">
      <x:c r="B33" s="13" t="str">
        <x:v>FCE-09-M</x:v>
      </x:c>
      <x:c r="C33" s="13" t="str">
        <x:v>FCE-09</x:v>
      </x:c>
      <x:c r="D33" s="13" t="str">
        <x:v>manual/passive</x:v>
      </x:c>
      <x:c r="E33" s="14" t="str">
        <x:v>field action or passive state without network dependence</x:v>
      </x:c>
      <x:c r="F33" s="13" t="str">
        <x:v>isolated</x:v>
      </x:c>
      <x:c r="G33" s="13" t="n">
        <x:v>1</x:v>
      </x:c>
      <x:c r="H33" s="13" t="str"/>
      <x:c r="I33" s="13" t="str">
        <x:v>OPEN</x:v>
      </x:c>
    </x:row>
    <x:row r="34" ht="36" customHeight="1">
      <x:c r="B34" s="13" t="str">
        <x:v>FCE-10-P</x:v>
      </x:c>
      <x:c r="C34" s="13" t="str">
        <x:v>FCE-10</x:v>
      </x:c>
      <x:c r="D34" s="13" t="str">
        <x:v>primary</x:v>
      </x:c>
      <x:c r="E34" s="14" t="str">
        <x:v>registered command and final-state sensor</x:v>
      </x:c>
      <x:c r="F34" s="13" t="str">
        <x:v>maintained</x:v>
      </x:c>
      <x:c r="G34" s="13" t="n">
        <x:v>30</x:v>
      </x:c>
      <x:c r="H34" s="13" t="str"/>
      <x:c r="I34" s="13" t="str">
        <x:v>OPEN</x:v>
      </x:c>
    </x:row>
    <x:row r="35" ht="36" customHeight="1">
      <x:c r="B35" s="13" t="str">
        <x:v>FCE-10-D</x:v>
      </x:c>
      <x:c r="C35" s="13" t="str">
        <x:v>FCE-10</x:v>
      </x:c>
      <x:c r="D35" s="13" t="str">
        <x:v>diverse</x:v>
      </x:c>
      <x:c r="E35" s="14" t="str">
        <x:v>independent local trip and unlike final-state indication</x:v>
      </x:c>
      <x:c r="F35" s="13" t="str">
        <x:v>maintained</x:v>
      </x:c>
      <x:c r="G35" s="13" t="n">
        <x:v>30</x:v>
      </x:c>
      <x:c r="H35" s="13" t="str"/>
      <x:c r="I35" s="13" t="str">
        <x:v>OPEN</x:v>
      </x:c>
    </x:row>
    <x:row r="36" ht="36" customHeight="1">
      <x:c r="B36" s="13" t="str">
        <x:v>FCE-10-M</x:v>
      </x:c>
      <x:c r="C36" s="13" t="str">
        <x:v>FCE-10</x:v>
      </x:c>
      <x:c r="D36" s="13" t="str">
        <x:v>manual/passive</x:v>
      </x:c>
      <x:c r="E36" s="14" t="str">
        <x:v>field action or passive state without network dependence</x:v>
      </x:c>
      <x:c r="F36" s="13" t="str">
        <x:v>maintained</x:v>
      </x:c>
      <x:c r="G36" s="13" t="n">
        <x:v>30</x:v>
      </x:c>
      <x:c r="H36" s="13" t="str"/>
      <x:c r="I36" s="13" t="str">
        <x:v>OPEN</x:v>
      </x:c>
    </x:row>
    <x:row r="37" ht="36" customHeight="1">
      <x:c r="B37" s="13" t="str">
        <x:v>FCE-11-P</x:v>
      </x:c>
      <x:c r="C37" s="13" t="str">
        <x:v>FCE-11</x:v>
      </x:c>
      <x:c r="D37" s="13" t="str">
        <x:v>primary</x:v>
      </x:c>
      <x:c r="E37" s="14" t="str">
        <x:v>registered command and final-state sensor</x:v>
      </x:c>
      <x:c r="F37" s="13" t="str">
        <x:v>contained safe vent</x:v>
      </x:c>
      <x:c r="G37" s="13" t="n">
        <x:v>10</x:v>
      </x:c>
      <x:c r="H37" s="13" t="str"/>
      <x:c r="I37" s="13" t="str">
        <x:v>OPEN</x:v>
      </x:c>
    </x:row>
    <x:row r="38" ht="36" customHeight="1">
      <x:c r="B38" s="13" t="str">
        <x:v>FCE-11-D</x:v>
      </x:c>
      <x:c r="C38" s="13" t="str">
        <x:v>FCE-11</x:v>
      </x:c>
      <x:c r="D38" s="13" t="str">
        <x:v>diverse</x:v>
      </x:c>
      <x:c r="E38" s="14" t="str">
        <x:v>independent local trip and unlike final-state indication</x:v>
      </x:c>
      <x:c r="F38" s="13" t="str">
        <x:v>contained safe vent</x:v>
      </x:c>
      <x:c r="G38" s="13" t="n">
        <x:v>10</x:v>
      </x:c>
      <x:c r="H38" s="13" t="str"/>
      <x:c r="I38" s="13" t="str">
        <x:v>OPEN</x:v>
      </x:c>
    </x:row>
    <x:row r="39" ht="36" customHeight="1">
      <x:c r="B39" s="13" t="str">
        <x:v>FCE-11-M</x:v>
      </x:c>
      <x:c r="C39" s="13" t="str">
        <x:v>FCE-11</x:v>
      </x:c>
      <x:c r="D39" s="13" t="str">
        <x:v>manual/passive</x:v>
      </x:c>
      <x:c r="E39" s="14" t="str">
        <x:v>field action or passive state without network dependence</x:v>
      </x:c>
      <x:c r="F39" s="13" t="str">
        <x:v>contained safe vent</x:v>
      </x:c>
      <x:c r="G39" s="13" t="n">
        <x:v>10</x:v>
      </x:c>
      <x:c r="H39" s="13" t="str"/>
      <x:c r="I39" s="13" t="str">
        <x:v>OPEN</x:v>
      </x:c>
    </x:row>
    <x:row r="40" ht="36" customHeight="1">
      <x:c r="B40" s="13" t="str">
        <x:v>FCE-12-P</x:v>
      </x:c>
      <x:c r="C40" s="13" t="str">
        <x:v>FCE-12</x:v>
      </x:c>
      <x:c r="D40" s="13" t="str">
        <x:v>primary</x:v>
      </x:c>
      <x:c r="E40" s="14" t="str">
        <x:v>registered command and final-state sensor</x:v>
      </x:c>
      <x:c r="F40" s="13" t="str">
        <x:v>latched and locally readable</x:v>
      </x:c>
      <x:c r="G40" s="13" t="n">
        <x:v>1</x:v>
      </x:c>
      <x:c r="H40" s="13" t="str"/>
      <x:c r="I40" s="13" t="str">
        <x:v>OPEN</x:v>
      </x:c>
    </x:row>
    <x:row r="41" ht="36" customHeight="1">
      <x:c r="B41" s="13" t="str">
        <x:v>FCE-12-D</x:v>
      </x:c>
      <x:c r="C41" s="13" t="str">
        <x:v>FCE-12</x:v>
      </x:c>
      <x:c r="D41" s="13" t="str">
        <x:v>diverse</x:v>
      </x:c>
      <x:c r="E41" s="14" t="str">
        <x:v>independent local trip and unlike final-state indication</x:v>
      </x:c>
      <x:c r="F41" s="13" t="str">
        <x:v>latched and locally readable</x:v>
      </x:c>
      <x:c r="G41" s="13" t="n">
        <x:v>1</x:v>
      </x:c>
      <x:c r="H41" s="13" t="str"/>
      <x:c r="I41" s="13" t="str">
        <x:v>OPEN</x:v>
      </x:c>
    </x:row>
    <x:row r="42" ht="36" customHeight="1">
      <x:c r="B42" s="13" t="str">
        <x:v>FCE-12-M</x:v>
      </x:c>
      <x:c r="C42" s="13" t="str">
        <x:v>FCE-12</x:v>
      </x:c>
      <x:c r="D42" s="13" t="str">
        <x:v>manual/passive</x:v>
      </x:c>
      <x:c r="E42" s="14" t="str">
        <x:v>field action or passive state without network dependence</x:v>
      </x:c>
      <x:c r="F42" s="13" t="str">
        <x:v>latched and locally readable</x:v>
      </x:c>
      <x:c r="G42" s="13" t="n">
        <x:v>1</x:v>
      </x:c>
      <x:c r="H42" s="13" t="str"/>
      <x:c r="I42" s="13" t="str">
        <x:v>OPEN</x:v>
      </x:c>
    </x:row>
  </x:sheetData>
  <x:conditionalFormatting sqref="I7:I42">
    <x:cfRule type="containsText" dxfId="104" priority="1" operator="containsText" text="FAIL"/>
    <x:cfRule type="containsText" dxfId="105" priority="2" operator="containsText" text="INVALID"/>
    <x:cfRule type="containsText" dxfId="106" priority="3" operator="containsText" text="BLOCKED"/>
    <x:cfRule type="containsText" dxfId="107" priority="4" operator="containsText" text="OPEN"/>
    <x:cfRule type="containsText" dxfId="108" priority="5" operator="containsText" text="GAP"/>
    <x:cfRule type="containsText" dxfId="109" priority="6" operator="containsText" text="DORMANT"/>
    <x:cfRule type="containsText" dxfId="110" priority="7" operator="containsText" text="PASS"/>
    <x:cfRule type="containsText" dxfId="111" priority="8" operator="containsText" text="VALI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9" hidden="0" customWidth="1"/>
    <x:col min="4" max="4" width="20" hidden="0" customWidth="1"/>
    <x:col min="5" max="5" width="78" hidden="0" customWidth="1"/>
    <x:col min="6" max="6" width="21" hidden="0" customWidth="1"/>
    <x:col min="7" max="7" width="14" hidden="0" customWidth="1"/>
    <x:col min="1" max="1" width="3" hidden="0" customWidth="1"/>
  </x:cols>
  <x:sheetData>
    <x:row r="2">
      <x:c r="B2" s="12" t="str">
        <x:v>Twenty mandatory abort conditions</x:v>
      </x:c>
      <x:c r="C2" s="13"/>
      <x:c r="D2" s="13"/>
      <x:c r="E2" s="13"/>
      <x:c r="F2" s="13"/>
      <x:c r="G2" s="13"/>
    </x:row>
    <x:row r="3">
      <x:c r="B3" s="2" t="str">
        <x:v>Public safety intervention always outranks schedule or evidence credit.</x:v>
      </x:c>
      <x:c r="C3" s="13"/>
      <x:c r="D3" s="13"/>
      <x:c r="E3" s="13"/>
      <x:c r="F3" s="13"/>
      <x:c r="G3" s="13"/>
    </x:row>
    <x:row r="4">
      <x:c r="B4" s="13"/>
      <x:c r="C4" s="13"/>
      <x:c r="D4" s="13"/>
      <x:c r="E4" s="13"/>
      <x:c r="F4" s="13"/>
      <x:c r="G4" s="13"/>
    </x:row>
    <x:row r="5">
      <x:c r="B5" s="13"/>
      <x:c r="C5" s="13"/>
      <x:c r="D5" s="13"/>
      <x:c r="E5" s="13"/>
      <x:c r="F5" s="13"/>
      <x:c r="G5" s="13"/>
    </x:row>
    <x:row r="6" ht="24" customHeight="1">
      <x:c r="B6" s="6" t="str">
        <x:v>Abort</x:v>
      </x:c>
      <x:c r="C6" s="6" t="str">
        <x:v>Trigger</x:v>
      </x:c>
      <x:c r="D6" s="6" t="str">
        <x:v>Phase</x:v>
      </x:c>
      <x:c r="E6" s="6" t="str">
        <x:v>Required disposition</x:v>
      </x:c>
      <x:c r="F6" s="6" t="str">
        <x:v>Accepted UTC</x:v>
      </x:c>
      <x:c r="G6" s="6" t="str">
        <x:v>State</x:v>
      </x:c>
    </x:row>
    <x:row r="7" ht="39" customHeight="1">
      <x:c r="B7" s="13" t="str">
        <x:v>AB-01</x:v>
      </x:c>
      <x:c r="C7" s="14" t="str">
        <x:v>source mass exceeds class ceiling</x:v>
      </x:c>
      <x:c r="D7" s="13" t="str">
        <x:v>pre-admission</x:v>
      </x:c>
      <x:c r="E7" s="14" t="str">
        <x:v>isolate inlet; retain in source vessel</x:v>
      </x:c>
      <x:c r="F7" s="13" t="str"/>
      <x:c r="G7" s="13" t="str">
        <x:v>OPEN</x:v>
      </x:c>
    </x:row>
    <x:row r="8" ht="39" customHeight="1">
      <x:c r="B8" s="13" t="str">
        <x:v>AB-02</x:v>
      </x:c>
      <x:c r="C8" s="14" t="str">
        <x:v>source identity or lot mismatch</x:v>
      </x:c>
      <x:c r="D8" s="13" t="str">
        <x:v>pre-admission</x:v>
      </x:c>
      <x:c r="E8" s="14" t="str">
        <x:v>deny dispense; quarantine lot</x:v>
      </x:c>
      <x:c r="F8" s="13" t="str"/>
      <x:c r="G8" s="13" t="str">
        <x:v>OPEN</x:v>
      </x:c>
    </x:row>
    <x:row r="9" ht="39" customHeight="1">
      <x:c r="B9" s="13" t="str">
        <x:v>AB-03</x:v>
      </x:c>
      <x:c r="C9" s="14" t="str">
        <x:v>neighbor not independently inert</x:v>
      </x:c>
      <x:c r="D9" s="13" t="str">
        <x:v>pre-admission</x:v>
      </x:c>
      <x:c r="E9" s="14" t="str">
        <x:v>deny source entry</x:v>
      </x:c>
      <x:c r="F9" s="13" t="str"/>
      <x:c r="G9" s="13" t="str">
        <x:v>OPEN</x:v>
      </x:c>
    </x:row>
    <x:row r="10" ht="39" customHeight="1">
      <x:c r="B10" s="13" t="str">
        <x:v>AB-04</x:v>
      </x:c>
      <x:c r="C10" s="14" t="str">
        <x:v>normal source receiver unavailable</x:v>
      </x:c>
      <x:c r="D10" s="13" t="str">
        <x:v>pre-admission</x:v>
      </x:c>
      <x:c r="E10" s="14" t="str">
        <x:v>deny source entry</x:v>
      </x:c>
      <x:c r="F10" s="13" t="str"/>
      <x:c r="G10" s="13" t="str">
        <x:v>OPEN</x:v>
      </x:c>
    </x:row>
    <x:row r="11" ht="39" customHeight="1">
      <x:c r="B11" s="13" t="str">
        <x:v>AB-05</x:v>
      </x:c>
      <x:c r="C11" s="14" t="str">
        <x:v>casualty source receiver unavailable</x:v>
      </x:c>
      <x:c r="D11" s="13" t="str">
        <x:v>pre-admission</x:v>
      </x:c>
      <x:c r="E11" s="14" t="str">
        <x:v>deny source entry</x:v>
      </x:c>
      <x:c r="F11" s="13" t="str"/>
      <x:c r="G11" s="13" t="str">
        <x:v>OPEN</x:v>
      </x:c>
    </x:row>
    <x:row r="12" ht="39" customHeight="1">
      <x:c r="B12" s="13" t="str">
        <x:v>AB-06</x:v>
      </x:c>
      <x:c r="C12" s="14" t="str">
        <x:v>normal or casualty water receiver unavailable</x:v>
      </x:c>
      <x:c r="D12" s="13" t="str">
        <x:v>pre-admission</x:v>
      </x:c>
      <x:c r="E12" s="14" t="str">
        <x:v>deny AM-06 entry</x:v>
      </x:c>
      <x:c r="F12" s="13" t="str"/>
      <x:c r="G12" s="13" t="str">
        <x:v>OPEN</x:v>
      </x:c>
    </x:row>
    <x:row r="13" ht="39" customHeight="1">
      <x:c r="B13" s="13" t="str">
        <x:v>AB-07</x:v>
      </x:c>
      <x:c r="C13" s="14" t="str">
        <x:v>truth root, time root or recorder absent</x:v>
      </x:c>
      <x:c r="D13" s="13" t="str">
        <x:v>pre-admission</x:v>
      </x:c>
      <x:c r="E13" s="14" t="str">
        <x:v>deny credit; preserve dry rehearsal only</x:v>
      </x:c>
      <x:c r="F13" s="13" t="str"/>
      <x:c r="G13" s="13" t="str">
        <x:v>OPEN</x:v>
      </x:c>
    </x:row>
    <x:row r="14" ht="39" customHeight="1">
      <x:c r="B14" s="13" t="str">
        <x:v>AB-08</x:v>
      </x:c>
      <x:c r="C14" s="14" t="str">
        <x:v>uncommanded source release</x:v>
      </x:c>
      <x:c r="D14" s="13" t="str">
        <x:v>admission</x:v>
      </x:c>
      <x:c r="E14" s="14" t="str">
        <x:v>close inlet; divert to casualty receiver</x:v>
      </x:c>
      <x:c r="F14" s="13" t="str"/>
      <x:c r="G14" s="13" t="str">
        <x:v>OPEN</x:v>
      </x:c>
    </x:row>
    <x:row r="15" ht="39" customHeight="1">
      <x:c r="B15" s="13" t="str">
        <x:v>AB-09</x:v>
      </x:c>
      <x:c r="C15" s="14" t="str">
        <x:v>source rate beyond registered envelope</x:v>
      </x:c>
      <x:c r="D15" s="13" t="str">
        <x:v>admission</x:v>
      </x:c>
      <x:c r="E15" s="14" t="str">
        <x:v>close inlet; gravity drain</x:v>
      </x:c>
      <x:c r="F15" s="13" t="str"/>
      <x:c r="G15" s="13" t="str">
        <x:v>OPEN</x:v>
      </x:c>
    </x:row>
    <x:row r="16" ht="39" customHeight="1">
      <x:c r="B16" s="13" t="str">
        <x:v>AB-10</x:v>
      </x:c>
      <x:c r="C16" s="14" t="str">
        <x:v>observed pool exceeds class area</x:v>
      </x:c>
      <x:c r="D16" s="13" t="str">
        <x:v>active</x:v>
      </x:c>
      <x:c r="E16" s="14" t="str">
        <x:v>remove ignition; divert; activate registered water path</x:v>
      </x:c>
      <x:c r="F16" s="13" t="str"/>
      <x:c r="G16" s="13" t="str">
        <x:v>OPEN</x:v>
      </x:c>
    </x:row>
    <x:row r="17" ht="39" customHeight="1">
      <x:c r="B17" s="13" t="str">
        <x:v>AB-11</x:v>
      </x:c>
      <x:c r="C17" s="14" t="str">
        <x:v>thermal boundary exceeds 1.6 kW/m2</x:v>
      </x:c>
      <x:c r="D17" s="13" t="str">
        <x:v>active</x:v>
      </x:c>
      <x:c r="E17" s="14" t="str">
        <x:v>remove ignition; isolate source; casualty water path</x:v>
      </x:c>
      <x:c r="F17" s="13" t="str"/>
      <x:c r="G17" s="13" t="str">
        <x:v>OPEN</x:v>
      </x:c>
    </x:row>
    <x:row r="18" ht="39" customHeight="1">
      <x:c r="B18" s="13" t="str">
        <x:v>AB-12</x:v>
      </x:c>
      <x:c r="C18" s="14" t="str">
        <x:v>terminal source exceeds 30 s</x:v>
      </x:c>
      <x:c r="D18" s="13" t="str">
        <x:v>active</x:v>
      </x:c>
      <x:c r="E18" s="14" t="str">
        <x:v>diverse isolation and casualty source diversion</x:v>
      </x:c>
      <x:c r="F18" s="13" t="str"/>
      <x:c r="G18" s="13" t="str">
        <x:v>OPEN</x:v>
      </x:c>
    </x:row>
    <x:row r="19" ht="39" customHeight="1">
      <x:c r="B19" s="13" t="str">
        <x:v>AB-13</x:v>
      </x:c>
      <x:c r="C19" s="14" t="str">
        <x:v>source ancestry recovery below 0.995</x:v>
      </x:c>
      <x:c r="D19" s="13" t="str">
        <x:v>active/recovery</x:v>
      </x:c>
      <x:c r="E19" s="14" t="str">
        <x:v>invalidate credit; retain all inventories</x:v>
      </x:c>
      <x:c r="F19" s="13" t="str"/>
      <x:c r="G19" s="13" t="str">
        <x:v>OPEN</x:v>
      </x:c>
    </x:row>
    <x:row r="20" ht="39" customHeight="1">
      <x:c r="B20" s="13" t="str">
        <x:v>AB-14</x:v>
      </x:c>
      <x:c r="C20" s="14" t="str">
        <x:v>water ancestry recovery below 0.995</x:v>
      </x:c>
      <x:c r="D20" s="13" t="str">
        <x:v>active/recovery</x:v>
      </x:c>
      <x:c r="E20" s="14" t="str">
        <x:v>invalidate AM-06 credit; retain all inventories</x:v>
      </x:c>
      <x:c r="F20" s="13" t="str"/>
      <x:c r="G20" s="13" t="str">
        <x:v>OPEN</x:v>
      </x:c>
    </x:row>
    <x:row r="21" ht="39" customHeight="1">
      <x:c r="B21" s="13" t="str">
        <x:v>AB-15</x:v>
      </x:c>
      <x:c r="C21" s="14" t="str">
        <x:v>ancestry cross-talk exceeds 0.005</x:v>
      </x:c>
      <x:c r="D21" s="13" t="str">
        <x:v>active/recovery</x:v>
      </x:c>
      <x:c r="E21" s="14" t="str">
        <x:v>invalidate credit; invoke retained samples</x:v>
      </x:c>
      <x:c r="F21" s="13" t="str"/>
      <x:c r="G21" s="13" t="str">
        <x:v>OPEN</x:v>
      </x:c>
    </x:row>
    <x:row r="22" ht="39" customHeight="1">
      <x:c r="B22" s="13" t="str">
        <x:v>AB-16</x:v>
      </x:c>
      <x:c r="C22" s="14" t="str">
        <x:v>source discrepancy exceeds 2.5 kg</x:v>
      </x:c>
      <x:c r="D22" s="13" t="str">
        <x:v>recovery</x:v>
      </x:c>
      <x:c r="E22" s="14" t="str">
        <x:v>hold site; expand search and sampling</x:v>
      </x:c>
      <x:c r="F22" s="13" t="str"/>
      <x:c r="G22" s="13" t="str">
        <x:v>OPEN</x:v>
      </x:c>
    </x:row>
    <x:row r="23" ht="39" customHeight="1">
      <x:c r="B23" s="13" t="str">
        <x:v>AB-17</x:v>
      </x:c>
      <x:c r="C23" s="14" t="str">
        <x:v>expanded source uncertainty exceeds 5 kg</x:v>
      </x:c>
      <x:c r="D23" s="13" t="str">
        <x:v>recovery</x:v>
      </x:c>
      <x:c r="E23" s="14" t="str">
        <x:v>invalidate credit; recalibrate</x:v>
      </x:c>
      <x:c r="F23" s="13" t="str"/>
      <x:c r="G23" s="13" t="str">
        <x:v>OPEN</x:v>
      </x:c>
    </x:row>
    <x:row r="24" ht="39" customHeight="1">
      <x:c r="B24" s="13" t="str">
        <x:v>AB-18</x:v>
      </x:c>
      <x:c r="C24" s="14" t="str">
        <x:v>water relative error exceeds 0.0025</x:v>
      </x:c>
      <x:c r="D24" s="13" t="str">
        <x:v>recovery</x:v>
      </x:c>
      <x:c r="E24" s="14" t="str">
        <x:v>invalidate credit; hold effluent</x:v>
      </x:c>
      <x:c r="F24" s="13" t="str"/>
      <x:c r="G24" s="13" t="str">
        <x:v>OPEN</x:v>
      </x:c>
    </x:row>
    <x:row r="25" ht="39" customHeight="1">
      <x:c r="B25" s="13" t="str">
        <x:v>AB-19</x:v>
      </x:c>
      <x:c r="C25" s="14" t="str">
        <x:v>primary time or network lost</x:v>
      </x:c>
      <x:c r="D25" s="13" t="str">
        <x:v>any</x:v>
      </x:c>
      <x:c r="E25" s="14" t="str">
        <x:v>continue local safeing; QE-06 only may retain credit</x:v>
      </x:c>
      <x:c r="F25" s="13" t="str"/>
      <x:c r="G25" s="13" t="str">
        <x:v>OPEN</x:v>
      </x:c>
    </x:row>
    <x:row r="26" ht="39" customHeight="1">
      <x:c r="B26" s="13" t="str">
        <x:v>AB-20</x:v>
      </x:c>
      <x:c r="C26" s="14" t="str">
        <x:v>public intervention occurs</x:v>
      </x:c>
      <x:c r="D26" s="13" t="str">
        <x:v>any</x:v>
      </x:c>
      <x:c r="E26" s="14" t="str">
        <x:v>protect life; record action as adverse evidence; no automatic credit</x:v>
      </x:c>
      <x:c r="F26" s="13" t="str"/>
      <x:c r="G26" s="13" t="str">
        <x:v>OPEN</x:v>
      </x:c>
    </x:row>
  </x:sheetData>
  <x:conditionalFormatting sqref="G7:G26">
    <x:cfRule type="containsText" dxfId="112" priority="1" operator="containsText" text="FAIL"/>
    <x:cfRule type="containsText" dxfId="113" priority="2" operator="containsText" text="INVALID"/>
    <x:cfRule type="containsText" dxfId="114" priority="3" operator="containsText" text="BLOCKED"/>
    <x:cfRule type="containsText" dxfId="115" priority="4" operator="containsText" text="OPEN"/>
    <x:cfRule type="containsText" dxfId="116" priority="5" operator="containsText" text="GAP"/>
    <x:cfRule type="containsText" dxfId="117" priority="6" operator="containsText" text="DORMANT"/>
    <x:cfRule type="containsText" dxfId="118" priority="7" operator="containsText" text="PASS"/>
    <x:cfRule type="containsText" dxfId="119" priority="8" operator="containsText" text="VALI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5" hidden="0" customWidth="1"/>
    <x:col min="4" max="4" width="58" hidden="0" customWidth="1"/>
    <x:col min="5" max="5" width="33" hidden="0" customWidth="1"/>
    <x:col min="6" max="6" width="21" hidden="0" customWidth="1"/>
    <x:col min="7" max="7" width="14" hidden="0" customWidth="1"/>
    <x:col min="1" max="1" width="3" hidden="0" customWidth="1"/>
  </x:cols>
  <x:sheetData>
    <x:row r="2">
      <x:c r="B2" s="12" t="str">
        <x:v>Twelve explicit denial cases</x:v>
      </x:c>
      <x:c r="C2" s="13"/>
      <x:c r="D2" s="13"/>
      <x:c r="E2" s="13"/>
      <x:c r="F2" s="13"/>
      <x:c r="G2" s="13"/>
    </x:row>
    <x:row r="3">
      <x:c r="B3" s="2" t="str">
        <x:v>QE-06 combines energy, network and primary-time denial; other denials are injected across the campaign.</x:v>
      </x:c>
      <x:c r="C3" s="13"/>
      <x:c r="D3" s="13"/>
      <x:c r="E3" s="13"/>
      <x:c r="F3" s="13"/>
      <x:c r="G3" s="13"/>
    </x:row>
    <x:row r="4">
      <x:c r="B4" s="13"/>
      <x:c r="C4" s="13"/>
      <x:c r="D4" s="13"/>
      <x:c r="E4" s="13"/>
      <x:c r="F4" s="13"/>
      <x:c r="G4" s="13"/>
    </x:row>
    <x:row r="5">
      <x:c r="B5" s="13"/>
      <x:c r="C5" s="13"/>
      <x:c r="D5" s="13"/>
      <x:c r="E5" s="13"/>
      <x:c r="F5" s="13"/>
      <x:c r="G5" s="13"/>
    </x:row>
    <x:row r="6" ht="24" customHeight="1">
      <x:c r="B6" s="6" t="str">
        <x:v>Denial</x:v>
      </x:c>
      <x:c r="C6" s="6" t="str">
        <x:v>Removed service</x:v>
      </x:c>
      <x:c r="D6" s="6" t="str">
        <x:v>Independent substitute</x:v>
      </x:c>
      <x:c r="E6" s="6" t="str">
        <x:v>Observed consequence</x:v>
      </x:c>
      <x:c r="F6" s="6" t="str">
        <x:v>Accepted UTC</x:v>
      </x:c>
      <x:c r="G6" s="6" t="str">
        <x:v>State</x:v>
      </x:c>
    </x:row>
    <x:row r="7" ht="38" customHeight="1">
      <x:c r="B7" s="13" t="str">
        <x:v>DN-01</x:v>
      </x:c>
      <x:c r="C7" s="13" t="str">
        <x:v>normal electrical energy</x:v>
      </x:c>
      <x:c r="D7" s="14" t="str">
        <x:v>local stored energy and passive route</x:v>
      </x:c>
      <x:c r="E7" s="13" t="str">
        <x:v>final state and time</x:v>
      </x:c>
      <x:c r="F7" s="13" t="str"/>
      <x:c r="G7" s="13" t="str">
        <x:v>OPEN</x:v>
      </x:c>
    </x:row>
    <x:row r="8" ht="38" customHeight="1">
      <x:c r="B8" s="13" t="str">
        <x:v>DN-02</x:v>
      </x:c>
      <x:c r="C8" s="13" t="str">
        <x:v>campus network</x:v>
      </x:c>
      <x:c r="D8" s="14" t="str">
        <x:v>local recorder and custody seal</x:v>
      </x:c>
      <x:c r="E8" s="13" t="str">
        <x:v>packet completeness</x:v>
      </x:c>
      <x:c r="F8" s="13" t="str"/>
      <x:c r="G8" s="13" t="str">
        <x:v>OPEN</x:v>
      </x:c>
    </x:row>
    <x:row r="9" ht="38" customHeight="1">
      <x:c r="B9" s="13" t="str">
        <x:v>DN-03</x:v>
      </x:c>
      <x:c r="C9" s="13" t="str">
        <x:v>primary time root</x:v>
      </x:c>
      <x:c r="D9" s="14" t="str">
        <x:v>unlike local time root</x:v>
      </x:c>
      <x:c r="E9" s="13" t="str">
        <x:v>causal order</x:v>
      </x:c>
      <x:c r="F9" s="13" t="str"/>
      <x:c r="G9" s="13" t="str">
        <x:v>OPEN</x:v>
      </x:c>
    </x:row>
    <x:row r="10" ht="38" customHeight="1">
      <x:c r="B10" s="13" t="str">
        <x:v>DN-04</x:v>
      </x:c>
      <x:c r="C10" s="13" t="str">
        <x:v>primary source reader</x:v>
      </x:c>
      <x:c r="D10" s="14" t="str">
        <x:v>unlike source root</x:v>
      </x:c>
      <x:c r="E10" s="13" t="str">
        <x:v>source closure</x:v>
      </x:c>
      <x:c r="F10" s="13" t="str"/>
      <x:c r="G10" s="13" t="str">
        <x:v>OPEN</x:v>
      </x:c>
    </x:row>
    <x:row r="11" ht="38" customHeight="1">
      <x:c r="B11" s="13" t="str">
        <x:v>DN-05</x:v>
      </x:c>
      <x:c r="C11" s="13" t="str">
        <x:v>primary water reader</x:v>
      </x:c>
      <x:c r="D11" s="14" t="str">
        <x:v>unlike water root</x:v>
      </x:c>
      <x:c r="E11" s="13" t="str">
        <x:v>water closure</x:v>
      </x:c>
      <x:c r="F11" s="13" t="str"/>
      <x:c r="G11" s="13" t="str">
        <x:v>OPEN</x:v>
      </x:c>
    </x:row>
    <x:row r="12" ht="38" customHeight="1">
      <x:c r="B12" s="13" t="str">
        <x:v>DN-06</x:v>
      </x:c>
      <x:c r="C12" s="13" t="str">
        <x:v>normal source destination</x:v>
      </x:c>
      <x:c r="D12" s="14" t="str">
        <x:v>50 m3 casualty receiver</x:v>
      </x:c>
      <x:c r="E12" s="13" t="str">
        <x:v>source custody</x:v>
      </x:c>
      <x:c r="F12" s="13" t="str"/>
      <x:c r="G12" s="13" t="str">
        <x:v>OPEN</x:v>
      </x:c>
    </x:row>
    <x:row r="13" ht="38" customHeight="1">
      <x:c r="B13" s="13" t="str">
        <x:v>DN-07</x:v>
      </x:c>
      <x:c r="C13" s="13" t="str">
        <x:v>normal water destination</x:v>
      </x:c>
      <x:c r="D13" s="14" t="str">
        <x:v>120 m3 casualty receiver</x:v>
      </x:c>
      <x:c r="E13" s="13" t="str">
        <x:v>water custody</x:v>
      </x:c>
      <x:c r="F13" s="13" t="str"/>
      <x:c r="G13" s="13" t="str">
        <x:v>OPEN</x:v>
      </x:c>
    </x:row>
    <x:row r="14" ht="38" customHeight="1">
      <x:c r="B14" s="13" t="str">
        <x:v>DN-08</x:v>
      </x:c>
      <x:c r="C14" s="13" t="str">
        <x:v>registered command path</x:v>
      </x:c>
      <x:c r="D14" s="14" t="str">
        <x:v>diverse local trip</x:v>
      </x:c>
      <x:c r="E14" s="13" t="str">
        <x:v>safe-state time</x:v>
      </x:c>
      <x:c r="F14" s="13" t="str"/>
      <x:c r="G14" s="13" t="str">
        <x:v>OPEN</x:v>
      </x:c>
    </x:row>
    <x:row r="15" ht="38" customHeight="1">
      <x:c r="B15" s="13" t="str">
        <x:v>DN-09</x:v>
      </x:c>
      <x:c r="C15" s="13" t="str">
        <x:v>one environmental sensor</x:v>
      </x:c>
      <x:c r="D15" s="14" t="str">
        <x:v>independent boundary array</x:v>
      </x:c>
      <x:c r="E15" s="13" t="str">
        <x:v>boundary condition</x:v>
      </x:c>
      <x:c r="F15" s="13" t="str"/>
      <x:c r="G15" s="13" t="str">
        <x:v>OPEN</x:v>
      </x:c>
    </x:row>
    <x:row r="16" ht="38" customHeight="1">
      <x:c r="B16" s="13" t="str">
        <x:v>DN-10</x:v>
      </x:c>
      <x:c r="C16" s="13" t="str">
        <x:v>one evidence original</x:v>
      </x:c>
      <x:c r="D16" s="14" t="str">
        <x:v>second native original</x:v>
      </x:c>
      <x:c r="E16" s="13" t="str">
        <x:v>record integrity</x:v>
      </x:c>
      <x:c r="F16" s="13" t="str"/>
      <x:c r="G16" s="13" t="str">
        <x:v>OPEN</x:v>
      </x:c>
    </x:row>
    <x:row r="17" ht="38" customHeight="1">
      <x:c r="B17" s="13" t="str">
        <x:v>DN-11</x:v>
      </x:c>
      <x:c r="C17" s="13" t="str">
        <x:v>one campus analysis chain</x:v>
      </x:c>
      <x:c r="D17" s="14" t="str">
        <x:v>remote campus replay</x:v>
      </x:c>
      <x:c r="E17" s="13" t="str">
        <x:v>reproducibility</x:v>
      </x:c>
      <x:c r="F17" s="13" t="str"/>
      <x:c r="G17" s="13" t="str">
        <x:v>OPEN</x:v>
      </x:c>
    </x:row>
    <x:row r="18" ht="38" customHeight="1">
      <x:c r="B18" s="13" t="str">
        <x:v>DN-12</x:v>
      </x:c>
      <x:c r="C18" s="13" t="str">
        <x:v>operator interpretation</x:v>
      </x:c>
      <x:c r="D18" s="14" t="str">
        <x:v>machine-readable state and board review</x:v>
      </x:c>
      <x:c r="E18" s="13" t="str">
        <x:v>release decision</x:v>
      </x:c>
      <x:c r="F18" s="13" t="str"/>
      <x:c r="G18" s="13" t="str">
        <x:v>OPEN</x:v>
      </x:c>
    </x:row>
  </x:sheetData>
  <x:conditionalFormatting sqref="G7:G18">
    <x:cfRule type="containsText" dxfId="120" priority="1" operator="containsText" text="FAIL"/>
    <x:cfRule type="containsText" dxfId="121" priority="2" operator="containsText" text="INVALID"/>
    <x:cfRule type="containsText" dxfId="122" priority="3" operator="containsText" text="BLOCKED"/>
    <x:cfRule type="containsText" dxfId="123" priority="4" operator="containsText" text="OPEN"/>
    <x:cfRule type="containsText" dxfId="124" priority="5" operator="containsText" text="GAP"/>
    <x:cfRule type="containsText" dxfId="125" priority="6" operator="containsText" text="DORMANT"/>
    <x:cfRule type="containsText" dxfId="126" priority="7" operator="containsText" text="PASS"/>
    <x:cfRule type="containsText" dxfId="127" priority="8" operator="containsText" text="VALI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4" hidden="0" customWidth="1"/>
    <x:col min="4" max="4" width="24" hidden="0" customWidth="1"/>
    <x:col min="5" max="5" width="58" hidden="0" customWidth="1"/>
    <x:col min="6" max="6" width="21" hidden="0" customWidth="1"/>
    <x:col min="7" max="7" width="21" hidden="0" customWidth="1"/>
    <x:col min="8" max="8" width="14" hidden="0" customWidth="1"/>
    <x:col min="1" max="1" width="3" hidden="0" customWidth="1"/>
  </x:cols>
  <x:sheetData>
    <x:row r="2">
      <x:c r="B2" s="12" t="str">
        <x:v>Forty-eight calibration families</x:v>
      </x:c>
      <x:c r="C2" s="13"/>
      <x:c r="D2" s="13"/>
      <x:c r="E2" s="13"/>
      <x:c r="F2" s="13"/>
      <x:c r="G2" s="13"/>
      <x:c r="H2" s="13"/>
    </x:row>
    <x:row r="3">
      <x:c r="B3" s="2" t="str">
        <x:v>Every rig calibrates all decisive domains before and after its qualification cell.</x:v>
      </x:c>
      <x:c r="C3" s="13"/>
      <x:c r="D3" s="13"/>
      <x:c r="E3" s="13"/>
      <x:c r="F3" s="13"/>
      <x:c r="G3" s="13"/>
      <x:c r="H3" s="13"/>
    </x:row>
    <x:row r="4">
      <x:c r="B4" s="13"/>
      <x:c r="C4" s="13"/>
      <x:c r="D4" s="13"/>
      <x:c r="E4" s="13"/>
      <x:c r="F4" s="13"/>
      <x:c r="G4" s="13"/>
      <x:c r="H4" s="13"/>
    </x:row>
    <x:row r="5">
      <x:c r="B5" s="13"/>
      <x:c r="C5" s="13"/>
      <x:c r="D5" s="13"/>
      <x:c r="E5" s="13"/>
      <x:c r="F5" s="13"/>
      <x:c r="G5" s="13"/>
      <x:c r="H5" s="13"/>
    </x:row>
    <x:row r="6" ht="24" customHeight="1">
      <x:c r="B6" s="6" t="str">
        <x:v>Calibration</x:v>
      </x:c>
      <x:c r="C6" s="6" t="str">
        <x:v>Rig</x:v>
      </x:c>
      <x:c r="D6" s="6" t="str">
        <x:v>Family</x:v>
      </x:c>
      <x:c r="E6" s="6" t="str">
        <x:v>Method</x:v>
      </x:c>
      <x:c r="F6" s="6" t="str">
        <x:v>Before UTC</x:v>
      </x:c>
      <x:c r="G6" s="6" t="str">
        <x:v>After UTC</x:v>
      </x:c>
      <x:c r="H6" s="6" t="str">
        <x:v>State</x:v>
      </x:c>
    </x:row>
    <x:row r="7" ht="36" customHeight="1">
      <x:c r="B7" s="13" t="str">
        <x:v>RAS-CAL-01</x:v>
      </x:c>
      <x:c r="C7" s="13" t="str">
        <x:v>RFP-A1</x:v>
      </x:c>
      <x:c r="D7" s="13" t="str">
        <x:v>source mass</x:v>
      </x:c>
      <x:c r="E7" s="14" t="str">
        <x:v>traceable reference before and after cell</x:v>
      </x:c>
      <x:c r="F7" s="13" t="str"/>
      <x:c r="G7" s="13" t="str"/>
      <x:c r="H7" s="13" t="str">
        <x:v>OPEN</x:v>
      </x:c>
    </x:row>
    <x:row r="8" ht="36" customHeight="1">
      <x:c r="B8" s="13" t="str">
        <x:v>RAS-CAL-02</x:v>
      </x:c>
      <x:c r="C8" s="13" t="str">
        <x:v>RFP-A1</x:v>
      </x:c>
      <x:c r="D8" s="13" t="str">
        <x:v>water volume</x:v>
      </x:c>
      <x:c r="E8" s="14" t="str">
        <x:v>traceable reference before and after cell</x:v>
      </x:c>
      <x:c r="F8" s="13" t="str"/>
      <x:c r="G8" s="13" t="str"/>
      <x:c r="H8" s="13" t="str">
        <x:v>OPEN</x:v>
      </x:c>
    </x:row>
    <x:row r="9" ht="36" customHeight="1">
      <x:c r="B9" s="13" t="str">
        <x:v>RAS-CAL-03</x:v>
      </x:c>
      <x:c r="C9" s="13" t="str">
        <x:v>RFP-A1</x:v>
      </x:c>
      <x:c r="D9" s="13" t="str">
        <x:v>source ancestry</x:v>
      </x:c>
      <x:c r="E9" s="14" t="str">
        <x:v>retained standard and zero blank</x:v>
      </x:c>
      <x:c r="F9" s="13" t="str"/>
      <x:c r="G9" s="13" t="str"/>
      <x:c r="H9" s="13" t="str">
        <x:v>OPEN</x:v>
      </x:c>
    </x:row>
    <x:row r="10" ht="36" customHeight="1">
      <x:c r="B10" s="13" t="str">
        <x:v>RAS-CAL-04</x:v>
      </x:c>
      <x:c r="C10" s="13" t="str">
        <x:v>RFP-A1</x:v>
      </x:c>
      <x:c r="D10" s="13" t="str">
        <x:v>water ancestry</x:v>
      </x:c>
      <x:c r="E10" s="14" t="str">
        <x:v>retained standard and zero blank</x:v>
      </x:c>
      <x:c r="F10" s="13" t="str"/>
      <x:c r="G10" s="13" t="str"/>
      <x:c r="H10" s="13" t="str">
        <x:v>OPEN</x:v>
      </x:c>
    </x:row>
    <x:row r="11" ht="36" customHeight="1">
      <x:c r="B11" s="13" t="str">
        <x:v>RAS-CAL-05</x:v>
      </x:c>
      <x:c r="C11" s="13" t="str">
        <x:v>RFP-A1</x:v>
      </x:c>
      <x:c r="D11" s="13" t="str">
        <x:v>thermal field</x:v>
      </x:c>
      <x:c r="E11" s="14" t="str">
        <x:v>traceable reference before and after cell</x:v>
      </x:c>
      <x:c r="F11" s="13" t="str"/>
      <x:c r="G11" s="13" t="str"/>
      <x:c r="H11" s="13" t="str">
        <x:v>OPEN</x:v>
      </x:c>
    </x:row>
    <x:row r="12" ht="36" customHeight="1">
      <x:c r="B12" s="13" t="str">
        <x:v>RAS-CAL-06</x:v>
      </x:c>
      <x:c r="C12" s="13" t="str">
        <x:v>RFP-A1</x:v>
      </x:c>
      <x:c r="D12" s="13" t="str">
        <x:v>boundary flux</x:v>
      </x:c>
      <x:c r="E12" s="14" t="str">
        <x:v>traceable reference before and after cell</x:v>
      </x:c>
      <x:c r="F12" s="13" t="str"/>
      <x:c r="G12" s="13" t="str"/>
      <x:c r="H12" s="13" t="str">
        <x:v>OPEN</x:v>
      </x:c>
    </x:row>
    <x:row r="13" ht="36" customHeight="1">
      <x:c r="B13" s="13" t="str">
        <x:v>RAS-CAL-07</x:v>
      </x:c>
      <x:c r="C13" s="13" t="str">
        <x:v>RFP-A1</x:v>
      </x:c>
      <x:c r="D13" s="13" t="str">
        <x:v>final-state time</x:v>
      </x:c>
      <x:c r="E13" s="14" t="str">
        <x:v>two-way time transfer and local pulse</x:v>
      </x:c>
      <x:c r="F13" s="13" t="str"/>
      <x:c r="G13" s="13" t="str"/>
      <x:c r="H13" s="13" t="str">
        <x:v>OPEN</x:v>
      </x:c>
    </x:row>
    <x:row r="14" ht="36" customHeight="1">
      <x:c r="B14" s="13" t="str">
        <x:v>RAS-CAL-08</x:v>
      </x:c>
      <x:c r="C14" s="13" t="str">
        <x:v>RFP-A1</x:v>
      </x:c>
      <x:c r="D14" s="13" t="str">
        <x:v>local evidence time</x:v>
      </x:c>
      <x:c r="E14" s="14" t="str">
        <x:v>two-way time transfer and local pulse</x:v>
      </x:c>
      <x:c r="F14" s="13" t="str"/>
      <x:c r="G14" s="13" t="str"/>
      <x:c r="H14" s="13" t="str">
        <x:v>OPEN</x:v>
      </x:c>
    </x:row>
    <x:row r="15" ht="36" customHeight="1">
      <x:c r="B15" s="13" t="str">
        <x:v>RAS-CAL-09</x:v>
      </x:c>
      <x:c r="C15" s="13" t="str">
        <x:v>RFP-A2</x:v>
      </x:c>
      <x:c r="D15" s="13" t="str">
        <x:v>source mass</x:v>
      </x:c>
      <x:c r="E15" s="14" t="str">
        <x:v>traceable reference before and after cell</x:v>
      </x:c>
      <x:c r="F15" s="13" t="str"/>
      <x:c r="G15" s="13" t="str"/>
      <x:c r="H15" s="13" t="str">
        <x:v>OPEN</x:v>
      </x:c>
    </x:row>
    <x:row r="16" ht="36" customHeight="1">
      <x:c r="B16" s="13" t="str">
        <x:v>RAS-CAL-10</x:v>
      </x:c>
      <x:c r="C16" s="13" t="str">
        <x:v>RFP-A2</x:v>
      </x:c>
      <x:c r="D16" s="13" t="str">
        <x:v>water volume</x:v>
      </x:c>
      <x:c r="E16" s="14" t="str">
        <x:v>traceable reference before and after cell</x:v>
      </x:c>
      <x:c r="F16" s="13" t="str"/>
      <x:c r="G16" s="13" t="str"/>
      <x:c r="H16" s="13" t="str">
        <x:v>OPEN</x:v>
      </x:c>
    </x:row>
    <x:row r="17" ht="36" customHeight="1">
      <x:c r="B17" s="13" t="str">
        <x:v>RAS-CAL-11</x:v>
      </x:c>
      <x:c r="C17" s="13" t="str">
        <x:v>RFP-A2</x:v>
      </x:c>
      <x:c r="D17" s="13" t="str">
        <x:v>source ancestry</x:v>
      </x:c>
      <x:c r="E17" s="14" t="str">
        <x:v>retained standard and zero blank</x:v>
      </x:c>
      <x:c r="F17" s="13" t="str"/>
      <x:c r="G17" s="13" t="str"/>
      <x:c r="H17" s="13" t="str">
        <x:v>OPEN</x:v>
      </x:c>
    </x:row>
    <x:row r="18" ht="36" customHeight="1">
      <x:c r="B18" s="13" t="str">
        <x:v>RAS-CAL-12</x:v>
      </x:c>
      <x:c r="C18" s="13" t="str">
        <x:v>RFP-A2</x:v>
      </x:c>
      <x:c r="D18" s="13" t="str">
        <x:v>water ancestry</x:v>
      </x:c>
      <x:c r="E18" s="14" t="str">
        <x:v>retained standard and zero blank</x:v>
      </x:c>
      <x:c r="F18" s="13" t="str"/>
      <x:c r="G18" s="13" t="str"/>
      <x:c r="H18" s="13" t="str">
        <x:v>OPEN</x:v>
      </x:c>
    </x:row>
    <x:row r="19" ht="36" customHeight="1">
      <x:c r="B19" s="13" t="str">
        <x:v>RAS-CAL-13</x:v>
      </x:c>
      <x:c r="C19" s="13" t="str">
        <x:v>RFP-A2</x:v>
      </x:c>
      <x:c r="D19" s="13" t="str">
        <x:v>thermal field</x:v>
      </x:c>
      <x:c r="E19" s="14" t="str">
        <x:v>traceable reference before and after cell</x:v>
      </x:c>
      <x:c r="F19" s="13" t="str"/>
      <x:c r="G19" s="13" t="str"/>
      <x:c r="H19" s="13" t="str">
        <x:v>OPEN</x:v>
      </x:c>
    </x:row>
    <x:row r="20" ht="36" customHeight="1">
      <x:c r="B20" s="13" t="str">
        <x:v>RAS-CAL-14</x:v>
      </x:c>
      <x:c r="C20" s="13" t="str">
        <x:v>RFP-A2</x:v>
      </x:c>
      <x:c r="D20" s="13" t="str">
        <x:v>boundary flux</x:v>
      </x:c>
      <x:c r="E20" s="14" t="str">
        <x:v>traceable reference before and after cell</x:v>
      </x:c>
      <x:c r="F20" s="13" t="str"/>
      <x:c r="G20" s="13" t="str"/>
      <x:c r="H20" s="13" t="str">
        <x:v>OPEN</x:v>
      </x:c>
    </x:row>
    <x:row r="21" ht="36" customHeight="1">
      <x:c r="B21" s="13" t="str">
        <x:v>RAS-CAL-15</x:v>
      </x:c>
      <x:c r="C21" s="13" t="str">
        <x:v>RFP-A2</x:v>
      </x:c>
      <x:c r="D21" s="13" t="str">
        <x:v>final-state time</x:v>
      </x:c>
      <x:c r="E21" s="14" t="str">
        <x:v>two-way time transfer and local pulse</x:v>
      </x:c>
      <x:c r="F21" s="13" t="str"/>
      <x:c r="G21" s="13" t="str"/>
      <x:c r="H21" s="13" t="str">
        <x:v>OPEN</x:v>
      </x:c>
    </x:row>
    <x:row r="22" ht="36" customHeight="1">
      <x:c r="B22" s="13" t="str">
        <x:v>RAS-CAL-16</x:v>
      </x:c>
      <x:c r="C22" s="13" t="str">
        <x:v>RFP-A2</x:v>
      </x:c>
      <x:c r="D22" s="13" t="str">
        <x:v>local evidence time</x:v>
      </x:c>
      <x:c r="E22" s="14" t="str">
        <x:v>two-way time transfer and local pulse</x:v>
      </x:c>
      <x:c r="F22" s="13" t="str"/>
      <x:c r="G22" s="13" t="str"/>
      <x:c r="H22" s="13" t="str">
        <x:v>OPEN</x:v>
      </x:c>
    </x:row>
    <x:row r="23" ht="36" customHeight="1">
      <x:c r="B23" s="13" t="str">
        <x:v>RAS-CAL-17</x:v>
      </x:c>
      <x:c r="C23" s="13" t="str">
        <x:v>RFP-B1</x:v>
      </x:c>
      <x:c r="D23" s="13" t="str">
        <x:v>source mass</x:v>
      </x:c>
      <x:c r="E23" s="14" t="str">
        <x:v>traceable reference before and after cell</x:v>
      </x:c>
      <x:c r="F23" s="13" t="str"/>
      <x:c r="G23" s="13" t="str"/>
      <x:c r="H23" s="13" t="str">
        <x:v>OPEN</x:v>
      </x:c>
    </x:row>
    <x:row r="24" ht="36" customHeight="1">
      <x:c r="B24" s="13" t="str">
        <x:v>RAS-CAL-18</x:v>
      </x:c>
      <x:c r="C24" s="13" t="str">
        <x:v>RFP-B1</x:v>
      </x:c>
      <x:c r="D24" s="13" t="str">
        <x:v>water volume</x:v>
      </x:c>
      <x:c r="E24" s="14" t="str">
        <x:v>traceable reference before and after cell</x:v>
      </x:c>
      <x:c r="F24" s="13" t="str"/>
      <x:c r="G24" s="13" t="str"/>
      <x:c r="H24" s="13" t="str">
        <x:v>OPEN</x:v>
      </x:c>
    </x:row>
    <x:row r="25" ht="36" customHeight="1">
      <x:c r="B25" s="13" t="str">
        <x:v>RAS-CAL-19</x:v>
      </x:c>
      <x:c r="C25" s="13" t="str">
        <x:v>RFP-B1</x:v>
      </x:c>
      <x:c r="D25" s="13" t="str">
        <x:v>source ancestry</x:v>
      </x:c>
      <x:c r="E25" s="14" t="str">
        <x:v>retained standard and zero blank</x:v>
      </x:c>
      <x:c r="F25" s="13" t="str"/>
      <x:c r="G25" s="13" t="str"/>
      <x:c r="H25" s="13" t="str">
        <x:v>OPEN</x:v>
      </x:c>
    </x:row>
    <x:row r="26" ht="36" customHeight="1">
      <x:c r="B26" s="13" t="str">
        <x:v>RAS-CAL-20</x:v>
      </x:c>
      <x:c r="C26" s="13" t="str">
        <x:v>RFP-B1</x:v>
      </x:c>
      <x:c r="D26" s="13" t="str">
        <x:v>water ancestry</x:v>
      </x:c>
      <x:c r="E26" s="14" t="str">
        <x:v>retained standard and zero blank</x:v>
      </x:c>
      <x:c r="F26" s="13" t="str"/>
      <x:c r="G26" s="13" t="str"/>
      <x:c r="H26" s="13" t="str">
        <x:v>OPEN</x:v>
      </x:c>
    </x:row>
    <x:row r="27" ht="36" customHeight="1">
      <x:c r="B27" s="13" t="str">
        <x:v>RAS-CAL-21</x:v>
      </x:c>
      <x:c r="C27" s="13" t="str">
        <x:v>RFP-B1</x:v>
      </x:c>
      <x:c r="D27" s="13" t="str">
        <x:v>thermal field</x:v>
      </x:c>
      <x:c r="E27" s="14" t="str">
        <x:v>traceable reference before and after cell</x:v>
      </x:c>
      <x:c r="F27" s="13" t="str"/>
      <x:c r="G27" s="13" t="str"/>
      <x:c r="H27" s="13" t="str">
        <x:v>OPEN</x:v>
      </x:c>
    </x:row>
    <x:row r="28" ht="36" customHeight="1">
      <x:c r="B28" s="13" t="str">
        <x:v>RAS-CAL-22</x:v>
      </x:c>
      <x:c r="C28" s="13" t="str">
        <x:v>RFP-B1</x:v>
      </x:c>
      <x:c r="D28" s="13" t="str">
        <x:v>boundary flux</x:v>
      </x:c>
      <x:c r="E28" s="14" t="str">
        <x:v>traceable reference before and after cell</x:v>
      </x:c>
      <x:c r="F28" s="13" t="str"/>
      <x:c r="G28" s="13" t="str"/>
      <x:c r="H28" s="13" t="str">
        <x:v>OPEN</x:v>
      </x:c>
    </x:row>
    <x:row r="29" ht="36" customHeight="1">
      <x:c r="B29" s="13" t="str">
        <x:v>RAS-CAL-23</x:v>
      </x:c>
      <x:c r="C29" s="13" t="str">
        <x:v>RFP-B1</x:v>
      </x:c>
      <x:c r="D29" s="13" t="str">
        <x:v>final-state time</x:v>
      </x:c>
      <x:c r="E29" s="14" t="str">
        <x:v>two-way time transfer and local pulse</x:v>
      </x:c>
      <x:c r="F29" s="13" t="str"/>
      <x:c r="G29" s="13" t="str"/>
      <x:c r="H29" s="13" t="str">
        <x:v>OPEN</x:v>
      </x:c>
    </x:row>
    <x:row r="30" ht="36" customHeight="1">
      <x:c r="B30" s="13" t="str">
        <x:v>RAS-CAL-24</x:v>
      </x:c>
      <x:c r="C30" s="13" t="str">
        <x:v>RFP-B1</x:v>
      </x:c>
      <x:c r="D30" s="13" t="str">
        <x:v>local evidence time</x:v>
      </x:c>
      <x:c r="E30" s="14" t="str">
        <x:v>two-way time transfer and local pulse</x:v>
      </x:c>
      <x:c r="F30" s="13" t="str"/>
      <x:c r="G30" s="13" t="str"/>
      <x:c r="H30" s="13" t="str">
        <x:v>OPEN</x:v>
      </x:c>
    </x:row>
    <x:row r="31" ht="36" customHeight="1">
      <x:c r="B31" s="13" t="str">
        <x:v>RAS-CAL-25</x:v>
      </x:c>
      <x:c r="C31" s="13" t="str">
        <x:v>RFP-B2</x:v>
      </x:c>
      <x:c r="D31" s="13" t="str">
        <x:v>source mass</x:v>
      </x:c>
      <x:c r="E31" s="14" t="str">
        <x:v>traceable reference before and after cell</x:v>
      </x:c>
      <x:c r="F31" s="13" t="str"/>
      <x:c r="G31" s="13" t="str"/>
      <x:c r="H31" s="13" t="str">
        <x:v>OPEN</x:v>
      </x:c>
    </x:row>
    <x:row r="32" ht="36" customHeight="1">
      <x:c r="B32" s="13" t="str">
        <x:v>RAS-CAL-26</x:v>
      </x:c>
      <x:c r="C32" s="13" t="str">
        <x:v>RFP-B2</x:v>
      </x:c>
      <x:c r="D32" s="13" t="str">
        <x:v>water volume</x:v>
      </x:c>
      <x:c r="E32" s="14" t="str">
        <x:v>traceable reference before and after cell</x:v>
      </x:c>
      <x:c r="F32" s="13" t="str"/>
      <x:c r="G32" s="13" t="str"/>
      <x:c r="H32" s="13" t="str">
        <x:v>OPEN</x:v>
      </x:c>
    </x:row>
    <x:row r="33" ht="36" customHeight="1">
      <x:c r="B33" s="13" t="str">
        <x:v>RAS-CAL-27</x:v>
      </x:c>
      <x:c r="C33" s="13" t="str">
        <x:v>RFP-B2</x:v>
      </x:c>
      <x:c r="D33" s="13" t="str">
        <x:v>source ancestry</x:v>
      </x:c>
      <x:c r="E33" s="14" t="str">
        <x:v>retained standard and zero blank</x:v>
      </x:c>
      <x:c r="F33" s="13" t="str"/>
      <x:c r="G33" s="13" t="str"/>
      <x:c r="H33" s="13" t="str">
        <x:v>OPEN</x:v>
      </x:c>
    </x:row>
    <x:row r="34" ht="36" customHeight="1">
      <x:c r="B34" s="13" t="str">
        <x:v>RAS-CAL-28</x:v>
      </x:c>
      <x:c r="C34" s="13" t="str">
        <x:v>RFP-B2</x:v>
      </x:c>
      <x:c r="D34" s="13" t="str">
        <x:v>water ancestry</x:v>
      </x:c>
      <x:c r="E34" s="14" t="str">
        <x:v>retained standard and zero blank</x:v>
      </x:c>
      <x:c r="F34" s="13" t="str"/>
      <x:c r="G34" s="13" t="str"/>
      <x:c r="H34" s="13" t="str">
        <x:v>OPEN</x:v>
      </x:c>
    </x:row>
    <x:row r="35" ht="36" customHeight="1">
      <x:c r="B35" s="13" t="str">
        <x:v>RAS-CAL-29</x:v>
      </x:c>
      <x:c r="C35" s="13" t="str">
        <x:v>RFP-B2</x:v>
      </x:c>
      <x:c r="D35" s="13" t="str">
        <x:v>thermal field</x:v>
      </x:c>
      <x:c r="E35" s="14" t="str">
        <x:v>traceable reference before and after cell</x:v>
      </x:c>
      <x:c r="F35" s="13" t="str"/>
      <x:c r="G35" s="13" t="str"/>
      <x:c r="H35" s="13" t="str">
        <x:v>OPEN</x:v>
      </x:c>
    </x:row>
    <x:row r="36" ht="36" customHeight="1">
      <x:c r="B36" s="13" t="str">
        <x:v>RAS-CAL-30</x:v>
      </x:c>
      <x:c r="C36" s="13" t="str">
        <x:v>RFP-B2</x:v>
      </x:c>
      <x:c r="D36" s="13" t="str">
        <x:v>boundary flux</x:v>
      </x:c>
      <x:c r="E36" s="14" t="str">
        <x:v>traceable reference before and after cell</x:v>
      </x:c>
      <x:c r="F36" s="13" t="str"/>
      <x:c r="G36" s="13" t="str"/>
      <x:c r="H36" s="13" t="str">
        <x:v>OPEN</x:v>
      </x:c>
    </x:row>
    <x:row r="37" ht="36" customHeight="1">
      <x:c r="B37" s="13" t="str">
        <x:v>RAS-CAL-31</x:v>
      </x:c>
      <x:c r="C37" s="13" t="str">
        <x:v>RFP-B2</x:v>
      </x:c>
      <x:c r="D37" s="13" t="str">
        <x:v>final-state time</x:v>
      </x:c>
      <x:c r="E37" s="14" t="str">
        <x:v>two-way time transfer and local pulse</x:v>
      </x:c>
      <x:c r="F37" s="13" t="str"/>
      <x:c r="G37" s="13" t="str"/>
      <x:c r="H37" s="13" t="str">
        <x:v>OPEN</x:v>
      </x:c>
    </x:row>
    <x:row r="38" ht="36" customHeight="1">
      <x:c r="B38" s="13" t="str">
        <x:v>RAS-CAL-32</x:v>
      </x:c>
      <x:c r="C38" s="13" t="str">
        <x:v>RFP-B2</x:v>
      </x:c>
      <x:c r="D38" s="13" t="str">
        <x:v>local evidence time</x:v>
      </x:c>
      <x:c r="E38" s="14" t="str">
        <x:v>two-way time transfer and local pulse</x:v>
      </x:c>
      <x:c r="F38" s="13" t="str"/>
      <x:c r="G38" s="13" t="str"/>
      <x:c r="H38" s="13" t="str">
        <x:v>OPEN</x:v>
      </x:c>
    </x:row>
    <x:row r="39" ht="36" customHeight="1">
      <x:c r="B39" s="13" t="str">
        <x:v>RAS-CAL-33</x:v>
      </x:c>
      <x:c r="C39" s="13" t="str">
        <x:v>RFP-C1</x:v>
      </x:c>
      <x:c r="D39" s="13" t="str">
        <x:v>source mass</x:v>
      </x:c>
      <x:c r="E39" s="14" t="str">
        <x:v>traceable reference before and after cell</x:v>
      </x:c>
      <x:c r="F39" s="13" t="str"/>
      <x:c r="G39" s="13" t="str"/>
      <x:c r="H39" s="13" t="str">
        <x:v>OPEN</x:v>
      </x:c>
    </x:row>
    <x:row r="40" ht="36" customHeight="1">
      <x:c r="B40" s="13" t="str">
        <x:v>RAS-CAL-34</x:v>
      </x:c>
      <x:c r="C40" s="13" t="str">
        <x:v>RFP-C1</x:v>
      </x:c>
      <x:c r="D40" s="13" t="str">
        <x:v>water volume</x:v>
      </x:c>
      <x:c r="E40" s="14" t="str">
        <x:v>traceable reference before and after cell</x:v>
      </x:c>
      <x:c r="F40" s="13" t="str"/>
      <x:c r="G40" s="13" t="str"/>
      <x:c r="H40" s="13" t="str">
        <x:v>OPEN</x:v>
      </x:c>
    </x:row>
    <x:row r="41" ht="36" customHeight="1">
      <x:c r="B41" s="13" t="str">
        <x:v>RAS-CAL-35</x:v>
      </x:c>
      <x:c r="C41" s="13" t="str">
        <x:v>RFP-C1</x:v>
      </x:c>
      <x:c r="D41" s="13" t="str">
        <x:v>source ancestry</x:v>
      </x:c>
      <x:c r="E41" s="14" t="str">
        <x:v>retained standard and zero blank</x:v>
      </x:c>
      <x:c r="F41" s="13" t="str"/>
      <x:c r="G41" s="13" t="str"/>
      <x:c r="H41" s="13" t="str">
        <x:v>OPEN</x:v>
      </x:c>
    </x:row>
    <x:row r="42" ht="36" customHeight="1">
      <x:c r="B42" s="13" t="str">
        <x:v>RAS-CAL-36</x:v>
      </x:c>
      <x:c r="C42" s="13" t="str">
        <x:v>RFP-C1</x:v>
      </x:c>
      <x:c r="D42" s="13" t="str">
        <x:v>water ancestry</x:v>
      </x:c>
      <x:c r="E42" s="14" t="str">
        <x:v>retained standard and zero blank</x:v>
      </x:c>
      <x:c r="F42" s="13" t="str"/>
      <x:c r="G42" s="13" t="str"/>
      <x:c r="H42" s="13" t="str">
        <x:v>OPEN</x:v>
      </x:c>
    </x:row>
    <x:row r="43" ht="36" customHeight="1">
      <x:c r="B43" s="13" t="str">
        <x:v>RAS-CAL-37</x:v>
      </x:c>
      <x:c r="C43" s="13" t="str">
        <x:v>RFP-C1</x:v>
      </x:c>
      <x:c r="D43" s="13" t="str">
        <x:v>thermal field</x:v>
      </x:c>
      <x:c r="E43" s="14" t="str">
        <x:v>traceable reference before and after cell</x:v>
      </x:c>
      <x:c r="F43" s="13" t="str"/>
      <x:c r="G43" s="13" t="str"/>
      <x:c r="H43" s="13" t="str">
        <x:v>OPEN</x:v>
      </x:c>
    </x:row>
    <x:row r="44" ht="36" customHeight="1">
      <x:c r="B44" s="13" t="str">
        <x:v>RAS-CAL-38</x:v>
      </x:c>
      <x:c r="C44" s="13" t="str">
        <x:v>RFP-C1</x:v>
      </x:c>
      <x:c r="D44" s="13" t="str">
        <x:v>boundary flux</x:v>
      </x:c>
      <x:c r="E44" s="14" t="str">
        <x:v>traceable reference before and after cell</x:v>
      </x:c>
      <x:c r="F44" s="13" t="str"/>
      <x:c r="G44" s="13" t="str"/>
      <x:c r="H44" s="13" t="str">
        <x:v>OPEN</x:v>
      </x:c>
    </x:row>
    <x:row r="45" ht="36" customHeight="1">
      <x:c r="B45" s="13" t="str">
        <x:v>RAS-CAL-39</x:v>
      </x:c>
      <x:c r="C45" s="13" t="str">
        <x:v>RFP-C1</x:v>
      </x:c>
      <x:c r="D45" s="13" t="str">
        <x:v>final-state time</x:v>
      </x:c>
      <x:c r="E45" s="14" t="str">
        <x:v>two-way time transfer and local pulse</x:v>
      </x:c>
      <x:c r="F45" s="13" t="str"/>
      <x:c r="G45" s="13" t="str"/>
      <x:c r="H45" s="13" t="str">
        <x:v>OPEN</x:v>
      </x:c>
    </x:row>
    <x:row r="46" ht="36" customHeight="1">
      <x:c r="B46" s="13" t="str">
        <x:v>RAS-CAL-40</x:v>
      </x:c>
      <x:c r="C46" s="13" t="str">
        <x:v>RFP-C1</x:v>
      </x:c>
      <x:c r="D46" s="13" t="str">
        <x:v>local evidence time</x:v>
      </x:c>
      <x:c r="E46" s="14" t="str">
        <x:v>two-way time transfer and local pulse</x:v>
      </x:c>
      <x:c r="F46" s="13" t="str"/>
      <x:c r="G46" s="13" t="str"/>
      <x:c r="H46" s="13" t="str">
        <x:v>OPEN</x:v>
      </x:c>
    </x:row>
    <x:row r="47" ht="36" customHeight="1">
      <x:c r="B47" s="13" t="str">
        <x:v>RAS-CAL-41</x:v>
      </x:c>
      <x:c r="C47" s="13" t="str">
        <x:v>RFP-C2</x:v>
      </x:c>
      <x:c r="D47" s="13" t="str">
        <x:v>source mass</x:v>
      </x:c>
      <x:c r="E47" s="14" t="str">
        <x:v>traceable reference before and after cell</x:v>
      </x:c>
      <x:c r="F47" s="13" t="str"/>
      <x:c r="G47" s="13" t="str"/>
      <x:c r="H47" s="13" t="str">
        <x:v>OPEN</x:v>
      </x:c>
    </x:row>
    <x:row r="48" ht="36" customHeight="1">
      <x:c r="B48" s="13" t="str">
        <x:v>RAS-CAL-42</x:v>
      </x:c>
      <x:c r="C48" s="13" t="str">
        <x:v>RFP-C2</x:v>
      </x:c>
      <x:c r="D48" s="13" t="str">
        <x:v>water volume</x:v>
      </x:c>
      <x:c r="E48" s="14" t="str">
        <x:v>traceable reference before and after cell</x:v>
      </x:c>
      <x:c r="F48" s="13" t="str"/>
      <x:c r="G48" s="13" t="str"/>
      <x:c r="H48" s="13" t="str">
        <x:v>OPEN</x:v>
      </x:c>
    </x:row>
    <x:row r="49" ht="36" customHeight="1">
      <x:c r="B49" s="13" t="str">
        <x:v>RAS-CAL-43</x:v>
      </x:c>
      <x:c r="C49" s="13" t="str">
        <x:v>RFP-C2</x:v>
      </x:c>
      <x:c r="D49" s="13" t="str">
        <x:v>source ancestry</x:v>
      </x:c>
      <x:c r="E49" s="14" t="str">
        <x:v>retained standard and zero blank</x:v>
      </x:c>
      <x:c r="F49" s="13" t="str"/>
      <x:c r="G49" s="13" t="str"/>
      <x:c r="H49" s="13" t="str">
        <x:v>OPEN</x:v>
      </x:c>
    </x:row>
    <x:row r="50" ht="36" customHeight="1">
      <x:c r="B50" s="13" t="str">
        <x:v>RAS-CAL-44</x:v>
      </x:c>
      <x:c r="C50" s="13" t="str">
        <x:v>RFP-C2</x:v>
      </x:c>
      <x:c r="D50" s="13" t="str">
        <x:v>water ancestry</x:v>
      </x:c>
      <x:c r="E50" s="14" t="str">
        <x:v>retained standard and zero blank</x:v>
      </x:c>
      <x:c r="F50" s="13" t="str"/>
      <x:c r="G50" s="13" t="str"/>
      <x:c r="H50" s="13" t="str">
        <x:v>OPEN</x:v>
      </x:c>
    </x:row>
    <x:row r="51" ht="36" customHeight="1">
      <x:c r="B51" s="13" t="str">
        <x:v>RAS-CAL-45</x:v>
      </x:c>
      <x:c r="C51" s="13" t="str">
        <x:v>RFP-C2</x:v>
      </x:c>
      <x:c r="D51" s="13" t="str">
        <x:v>thermal field</x:v>
      </x:c>
      <x:c r="E51" s="14" t="str">
        <x:v>traceable reference before and after cell</x:v>
      </x:c>
      <x:c r="F51" s="13" t="str"/>
      <x:c r="G51" s="13" t="str"/>
      <x:c r="H51" s="13" t="str">
        <x:v>OPEN</x:v>
      </x:c>
    </x:row>
    <x:row r="52" ht="36" customHeight="1">
      <x:c r="B52" s="13" t="str">
        <x:v>RAS-CAL-46</x:v>
      </x:c>
      <x:c r="C52" s="13" t="str">
        <x:v>RFP-C2</x:v>
      </x:c>
      <x:c r="D52" s="13" t="str">
        <x:v>boundary flux</x:v>
      </x:c>
      <x:c r="E52" s="14" t="str">
        <x:v>traceable reference before and after cell</x:v>
      </x:c>
      <x:c r="F52" s="13" t="str"/>
      <x:c r="G52" s="13" t="str"/>
      <x:c r="H52" s="13" t="str">
        <x:v>OPEN</x:v>
      </x:c>
    </x:row>
    <x:row r="53" ht="36" customHeight="1">
      <x:c r="B53" s="13" t="str">
        <x:v>RAS-CAL-47</x:v>
      </x:c>
      <x:c r="C53" s="13" t="str">
        <x:v>RFP-C2</x:v>
      </x:c>
      <x:c r="D53" s="13" t="str">
        <x:v>final-state time</x:v>
      </x:c>
      <x:c r="E53" s="14" t="str">
        <x:v>two-way time transfer and local pulse</x:v>
      </x:c>
      <x:c r="F53" s="13" t="str"/>
      <x:c r="G53" s="13" t="str"/>
      <x:c r="H53" s="13" t="str">
        <x:v>OPEN</x:v>
      </x:c>
    </x:row>
    <x:row r="54" ht="36" customHeight="1">
      <x:c r="B54" s="13" t="str">
        <x:v>RAS-CAL-48</x:v>
      </x:c>
      <x:c r="C54" s="13" t="str">
        <x:v>RFP-C2</x:v>
      </x:c>
      <x:c r="D54" s="13" t="str">
        <x:v>local evidence time</x:v>
      </x:c>
      <x:c r="E54" s="14" t="str">
        <x:v>two-way time transfer and local pulse</x:v>
      </x:c>
      <x:c r="F54" s="13" t="str"/>
      <x:c r="G54" s="13" t="str"/>
      <x:c r="H54" s="13" t="str">
        <x:v>OPEN</x:v>
      </x:c>
    </x:row>
  </x:sheetData>
  <x:conditionalFormatting sqref="H7:H54">
    <x:cfRule type="containsText" dxfId="128" priority="1" operator="containsText" text="FAIL"/>
    <x:cfRule type="containsText" dxfId="129" priority="2" operator="containsText" text="INVALID"/>
    <x:cfRule type="containsText" dxfId="130" priority="3" operator="containsText" text="BLOCKED"/>
    <x:cfRule type="containsText" dxfId="131" priority="4" operator="containsText" text="OPEN"/>
    <x:cfRule type="containsText" dxfId="132" priority="5" operator="containsText" text="GAP"/>
    <x:cfRule type="containsText" dxfId="133" priority="6" operator="containsText" text="DORMANT"/>
    <x:cfRule type="containsText" dxfId="134" priority="7" operator="containsText" text="PASS"/>
    <x:cfRule type="containsText" dxfId="135" priority="8" operator="containsText" text="VALI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24" hidden="0" customWidth="1"/>
    <x:col min="5" max="5" width="57" hidden="0" customWidth="1"/>
    <x:col min="6" max="6" width="21" hidden="0" customWidth="1"/>
    <x:col min="7" max="7" width="21" hidden="0" customWidth="1"/>
    <x:col min="8" max="8" width="14" hidden="0" customWidth="1"/>
    <x:col min="1" max="1" width="3" hidden="0" customWidth="1"/>
  </x:cols>
  <x:sheetData>
    <x:row r="2">
      <x:c r="B2" s="12" t="str">
        <x:v>Twenty-four causal-time nodes</x:v>
      </x:c>
      <x:c r="C2" s="13"/>
      <x:c r="D2" s="13"/>
      <x:c r="E2" s="13"/>
      <x:c r="F2" s="13"/>
      <x:c r="G2" s="13"/>
      <x:c r="H2" s="13"/>
    </x:row>
    <x:row r="3">
      <x:c r="B3" s="2" t="str">
        <x:v>Causal order remains reconstructable when the campus network and primary time root are absent.</x:v>
      </x:c>
      <x:c r="C3" s="13"/>
      <x:c r="D3" s="13"/>
      <x:c r="E3" s="13"/>
      <x:c r="F3" s="13"/>
      <x:c r="G3" s="13"/>
      <x:c r="H3" s="13"/>
    </x:row>
    <x:row r="4">
      <x:c r="B4" s="13"/>
      <x:c r="C4" s="13"/>
      <x:c r="D4" s="13"/>
      <x:c r="E4" s="13"/>
      <x:c r="F4" s="13"/>
      <x:c r="G4" s="13"/>
      <x:c r="H4" s="13"/>
    </x:row>
    <x:row r="5">
      <x:c r="B5" s="13"/>
      <x:c r="C5" s="13"/>
      <x:c r="D5" s="13"/>
      <x:c r="E5" s="13"/>
      <x:c r="F5" s="13"/>
      <x:c r="G5" s="13"/>
      <x:c r="H5" s="13"/>
    </x:row>
    <x:row r="6" ht="24" customHeight="1">
      <x:c r="B6" s="6" t="str">
        <x:v>Node</x:v>
      </x:c>
      <x:c r="C6" s="6" t="str">
        <x:v>Rig</x:v>
      </x:c>
      <x:c r="D6" s="6" t="str">
        <x:v>Domain</x:v>
      </x:c>
      <x:c r="E6" s="6" t="str">
        <x:v>Principle</x:v>
      </x:c>
      <x:c r="F6" s="6" t="str">
        <x:v>Maximum error us</x:v>
      </x:c>
      <x:c r="G6" s="6" t="str">
        <x:v>Accepted UTC</x:v>
      </x:c>
      <x:c r="H6" s="6" t="str">
        <x:v>State</x:v>
      </x:c>
    </x:row>
    <x:row r="7" ht="36" customHeight="1">
      <x:c r="B7" s="13" t="str">
        <x:v>RAS-TN-01</x:v>
      </x:c>
      <x:c r="C7" s="13" t="str">
        <x:v>RFP-A1</x:v>
      </x:c>
      <x:c r="D7" s="13" t="str">
        <x:v>registered primary</x:v>
      </x:c>
      <x:c r="E7" s="14" t="str">
        <x:v>signed local epoch plus pulse train</x:v>
      </x:c>
      <x:c r="F7" s="13" t="str">
        <x:v>'Controls'!$D$72</x:v>
      </x:c>
      <x:c r="G7" s="13" t="str"/>
      <x:c r="H7" s="13" t="str">
        <x:v>OPEN</x:v>
      </x:c>
    </x:row>
    <x:row r="8" ht="36" customHeight="1">
      <x:c r="B8" s="13" t="str">
        <x:v>RAS-TN-02</x:v>
      </x:c>
      <x:c r="C8" s="13" t="str">
        <x:v>RFP-A1</x:v>
      </x:c>
      <x:c r="D8" s="13" t="str">
        <x:v>unlike local</x:v>
      </x:c>
      <x:c r="E8" s="14" t="str">
        <x:v>signed local epoch plus pulse train</x:v>
      </x:c>
      <x:c r="F8" s="13" t="str">
        <x:v>'Controls'!$D$72</x:v>
      </x:c>
      <x:c r="G8" s="13" t="str"/>
      <x:c r="H8" s="13" t="str">
        <x:v>OPEN</x:v>
      </x:c>
    </x:row>
    <x:row r="9" ht="36" customHeight="1">
      <x:c r="B9" s="13" t="str">
        <x:v>RAS-TN-03</x:v>
      </x:c>
      <x:c r="C9" s="13" t="str">
        <x:v>RFP-A1</x:v>
      </x:c>
      <x:c r="D9" s="13" t="str">
        <x:v>evidence recorder</x:v>
      </x:c>
      <x:c r="E9" s="14" t="str">
        <x:v>signed local epoch plus pulse train</x:v>
      </x:c>
      <x:c r="F9" s="13" t="str">
        <x:v>'Controls'!$D$72</x:v>
      </x:c>
      <x:c r="G9" s="13" t="str"/>
      <x:c r="H9" s="13" t="str">
        <x:v>OPEN</x:v>
      </x:c>
    </x:row>
    <x:row r="10" ht="36" customHeight="1">
      <x:c r="B10" s="13" t="str">
        <x:v>RAS-TN-04</x:v>
      </x:c>
      <x:c r="C10" s="13" t="str">
        <x:v>RFP-A1</x:v>
      </x:c>
      <x:c r="D10" s="13" t="str">
        <x:v>safe-state latch</x:v>
      </x:c>
      <x:c r="E10" s="14" t="str">
        <x:v>physical transition memory</x:v>
      </x:c>
      <x:c r="F10" s="13" t="str">
        <x:v>'Controls'!$D$72</x:v>
      </x:c>
      <x:c r="G10" s="13" t="str"/>
      <x:c r="H10" s="13" t="str">
        <x:v>OPEN</x:v>
      </x:c>
    </x:row>
    <x:row r="11" ht="36" customHeight="1">
      <x:c r="B11" s="13" t="str">
        <x:v>RAS-TN-05</x:v>
      </x:c>
      <x:c r="C11" s="13" t="str">
        <x:v>RFP-A2</x:v>
      </x:c>
      <x:c r="D11" s="13" t="str">
        <x:v>registered primary</x:v>
      </x:c>
      <x:c r="E11" s="14" t="str">
        <x:v>signed local epoch plus pulse train</x:v>
      </x:c>
      <x:c r="F11" s="13" t="str">
        <x:v>'Controls'!$D$72</x:v>
      </x:c>
      <x:c r="G11" s="13" t="str"/>
      <x:c r="H11" s="13" t="str">
        <x:v>OPEN</x:v>
      </x:c>
    </x:row>
    <x:row r="12" ht="36" customHeight="1">
      <x:c r="B12" s="13" t="str">
        <x:v>RAS-TN-06</x:v>
      </x:c>
      <x:c r="C12" s="13" t="str">
        <x:v>RFP-A2</x:v>
      </x:c>
      <x:c r="D12" s="13" t="str">
        <x:v>unlike local</x:v>
      </x:c>
      <x:c r="E12" s="14" t="str">
        <x:v>signed local epoch plus pulse train</x:v>
      </x:c>
      <x:c r="F12" s="13" t="str">
        <x:v>'Controls'!$D$72</x:v>
      </x:c>
      <x:c r="G12" s="13" t="str"/>
      <x:c r="H12" s="13" t="str">
        <x:v>OPEN</x:v>
      </x:c>
    </x:row>
    <x:row r="13" ht="36" customHeight="1">
      <x:c r="B13" s="13" t="str">
        <x:v>RAS-TN-07</x:v>
      </x:c>
      <x:c r="C13" s="13" t="str">
        <x:v>RFP-A2</x:v>
      </x:c>
      <x:c r="D13" s="13" t="str">
        <x:v>evidence recorder</x:v>
      </x:c>
      <x:c r="E13" s="14" t="str">
        <x:v>signed local epoch plus pulse train</x:v>
      </x:c>
      <x:c r="F13" s="13" t="str">
        <x:v>'Controls'!$D$72</x:v>
      </x:c>
      <x:c r="G13" s="13" t="str"/>
      <x:c r="H13" s="13" t="str">
        <x:v>OPEN</x:v>
      </x:c>
    </x:row>
    <x:row r="14" ht="36" customHeight="1">
      <x:c r="B14" s="13" t="str">
        <x:v>RAS-TN-08</x:v>
      </x:c>
      <x:c r="C14" s="13" t="str">
        <x:v>RFP-A2</x:v>
      </x:c>
      <x:c r="D14" s="13" t="str">
        <x:v>safe-state latch</x:v>
      </x:c>
      <x:c r="E14" s="14" t="str">
        <x:v>physical transition memory</x:v>
      </x:c>
      <x:c r="F14" s="13" t="str">
        <x:v>'Controls'!$D$72</x:v>
      </x:c>
      <x:c r="G14" s="13" t="str"/>
      <x:c r="H14" s="13" t="str">
        <x:v>OPEN</x:v>
      </x:c>
    </x:row>
    <x:row r="15" ht="36" customHeight="1">
      <x:c r="B15" s="13" t="str">
        <x:v>RAS-TN-09</x:v>
      </x:c>
      <x:c r="C15" s="13" t="str">
        <x:v>RFP-B1</x:v>
      </x:c>
      <x:c r="D15" s="13" t="str">
        <x:v>registered primary</x:v>
      </x:c>
      <x:c r="E15" s="14" t="str">
        <x:v>signed local epoch plus pulse train</x:v>
      </x:c>
      <x:c r="F15" s="13" t="str">
        <x:v>'Controls'!$D$72</x:v>
      </x:c>
      <x:c r="G15" s="13" t="str"/>
      <x:c r="H15" s="13" t="str">
        <x:v>OPEN</x:v>
      </x:c>
    </x:row>
    <x:row r="16" ht="36" customHeight="1">
      <x:c r="B16" s="13" t="str">
        <x:v>RAS-TN-10</x:v>
      </x:c>
      <x:c r="C16" s="13" t="str">
        <x:v>RFP-B1</x:v>
      </x:c>
      <x:c r="D16" s="13" t="str">
        <x:v>unlike local</x:v>
      </x:c>
      <x:c r="E16" s="14" t="str">
        <x:v>signed local epoch plus pulse train</x:v>
      </x:c>
      <x:c r="F16" s="13" t="str">
        <x:v>'Controls'!$D$72</x:v>
      </x:c>
      <x:c r="G16" s="13" t="str"/>
      <x:c r="H16" s="13" t="str">
        <x:v>OPEN</x:v>
      </x:c>
    </x:row>
    <x:row r="17" ht="36" customHeight="1">
      <x:c r="B17" s="13" t="str">
        <x:v>RAS-TN-11</x:v>
      </x:c>
      <x:c r="C17" s="13" t="str">
        <x:v>RFP-B1</x:v>
      </x:c>
      <x:c r="D17" s="13" t="str">
        <x:v>evidence recorder</x:v>
      </x:c>
      <x:c r="E17" s="14" t="str">
        <x:v>signed local epoch plus pulse train</x:v>
      </x:c>
      <x:c r="F17" s="13" t="str">
        <x:v>'Controls'!$D$72</x:v>
      </x:c>
      <x:c r="G17" s="13" t="str"/>
      <x:c r="H17" s="13" t="str">
        <x:v>OPEN</x:v>
      </x:c>
    </x:row>
    <x:row r="18" ht="36" customHeight="1">
      <x:c r="B18" s="13" t="str">
        <x:v>RAS-TN-12</x:v>
      </x:c>
      <x:c r="C18" s="13" t="str">
        <x:v>RFP-B1</x:v>
      </x:c>
      <x:c r="D18" s="13" t="str">
        <x:v>safe-state latch</x:v>
      </x:c>
      <x:c r="E18" s="14" t="str">
        <x:v>physical transition memory</x:v>
      </x:c>
      <x:c r="F18" s="13" t="str">
        <x:v>'Controls'!$D$72</x:v>
      </x:c>
      <x:c r="G18" s="13" t="str"/>
      <x:c r="H18" s="13" t="str">
        <x:v>OPEN</x:v>
      </x:c>
    </x:row>
    <x:row r="19" ht="36" customHeight="1">
      <x:c r="B19" s="13" t="str">
        <x:v>RAS-TN-13</x:v>
      </x:c>
      <x:c r="C19" s="13" t="str">
        <x:v>RFP-B2</x:v>
      </x:c>
      <x:c r="D19" s="13" t="str">
        <x:v>registered primary</x:v>
      </x:c>
      <x:c r="E19" s="14" t="str">
        <x:v>signed local epoch plus pulse train</x:v>
      </x:c>
      <x:c r="F19" s="13" t="str">
        <x:v>'Controls'!$D$72</x:v>
      </x:c>
      <x:c r="G19" s="13" t="str"/>
      <x:c r="H19" s="13" t="str">
        <x:v>OPEN</x:v>
      </x:c>
    </x:row>
    <x:row r="20" ht="36" customHeight="1">
      <x:c r="B20" s="13" t="str">
        <x:v>RAS-TN-14</x:v>
      </x:c>
      <x:c r="C20" s="13" t="str">
        <x:v>RFP-B2</x:v>
      </x:c>
      <x:c r="D20" s="13" t="str">
        <x:v>unlike local</x:v>
      </x:c>
      <x:c r="E20" s="14" t="str">
        <x:v>signed local epoch plus pulse train</x:v>
      </x:c>
      <x:c r="F20" s="13" t="str">
        <x:v>'Controls'!$D$72</x:v>
      </x:c>
      <x:c r="G20" s="13" t="str"/>
      <x:c r="H20" s="13" t="str">
        <x:v>OPEN</x:v>
      </x:c>
    </x:row>
    <x:row r="21" ht="36" customHeight="1">
      <x:c r="B21" s="13" t="str">
        <x:v>RAS-TN-15</x:v>
      </x:c>
      <x:c r="C21" s="13" t="str">
        <x:v>RFP-B2</x:v>
      </x:c>
      <x:c r="D21" s="13" t="str">
        <x:v>evidence recorder</x:v>
      </x:c>
      <x:c r="E21" s="14" t="str">
        <x:v>signed local epoch plus pulse train</x:v>
      </x:c>
      <x:c r="F21" s="13" t="str">
        <x:v>'Controls'!$D$72</x:v>
      </x:c>
      <x:c r="G21" s="13" t="str"/>
      <x:c r="H21" s="13" t="str">
        <x:v>OPEN</x:v>
      </x:c>
    </x:row>
    <x:row r="22" ht="36" customHeight="1">
      <x:c r="B22" s="13" t="str">
        <x:v>RAS-TN-16</x:v>
      </x:c>
      <x:c r="C22" s="13" t="str">
        <x:v>RFP-B2</x:v>
      </x:c>
      <x:c r="D22" s="13" t="str">
        <x:v>safe-state latch</x:v>
      </x:c>
      <x:c r="E22" s="14" t="str">
        <x:v>physical transition memory</x:v>
      </x:c>
      <x:c r="F22" s="13" t="str">
        <x:v>'Controls'!$D$72</x:v>
      </x:c>
      <x:c r="G22" s="13" t="str"/>
      <x:c r="H22" s="13" t="str">
        <x:v>OPEN</x:v>
      </x:c>
    </x:row>
    <x:row r="23" ht="36" customHeight="1">
      <x:c r="B23" s="13" t="str">
        <x:v>RAS-TN-17</x:v>
      </x:c>
      <x:c r="C23" s="13" t="str">
        <x:v>RFP-C1</x:v>
      </x:c>
      <x:c r="D23" s="13" t="str">
        <x:v>registered primary</x:v>
      </x:c>
      <x:c r="E23" s="14" t="str">
        <x:v>signed local epoch plus pulse train</x:v>
      </x:c>
      <x:c r="F23" s="13" t="str">
        <x:v>'Controls'!$D$72</x:v>
      </x:c>
      <x:c r="G23" s="13" t="str"/>
      <x:c r="H23" s="13" t="str">
        <x:v>OPEN</x:v>
      </x:c>
    </x:row>
    <x:row r="24" ht="36" customHeight="1">
      <x:c r="B24" s="13" t="str">
        <x:v>RAS-TN-18</x:v>
      </x:c>
      <x:c r="C24" s="13" t="str">
        <x:v>RFP-C1</x:v>
      </x:c>
      <x:c r="D24" s="13" t="str">
        <x:v>unlike local</x:v>
      </x:c>
      <x:c r="E24" s="14" t="str">
        <x:v>signed local epoch plus pulse train</x:v>
      </x:c>
      <x:c r="F24" s="13" t="str">
        <x:v>'Controls'!$D$72</x:v>
      </x:c>
      <x:c r="G24" s="13" t="str"/>
      <x:c r="H24" s="13" t="str">
        <x:v>OPEN</x:v>
      </x:c>
    </x:row>
    <x:row r="25" ht="36" customHeight="1">
      <x:c r="B25" s="13" t="str">
        <x:v>RAS-TN-19</x:v>
      </x:c>
      <x:c r="C25" s="13" t="str">
        <x:v>RFP-C1</x:v>
      </x:c>
      <x:c r="D25" s="13" t="str">
        <x:v>evidence recorder</x:v>
      </x:c>
      <x:c r="E25" s="14" t="str">
        <x:v>signed local epoch plus pulse train</x:v>
      </x:c>
      <x:c r="F25" s="13" t="str">
        <x:v>'Controls'!$D$72</x:v>
      </x:c>
      <x:c r="G25" s="13" t="str"/>
      <x:c r="H25" s="13" t="str">
        <x:v>OPEN</x:v>
      </x:c>
    </x:row>
    <x:row r="26" ht="36" customHeight="1">
      <x:c r="B26" s="13" t="str">
        <x:v>RAS-TN-20</x:v>
      </x:c>
      <x:c r="C26" s="13" t="str">
        <x:v>RFP-C1</x:v>
      </x:c>
      <x:c r="D26" s="13" t="str">
        <x:v>safe-state latch</x:v>
      </x:c>
      <x:c r="E26" s="14" t="str">
        <x:v>physical transition memory</x:v>
      </x:c>
      <x:c r="F26" s="13" t="str">
        <x:v>'Controls'!$D$72</x:v>
      </x:c>
      <x:c r="G26" s="13" t="str"/>
      <x:c r="H26" s="13" t="str">
        <x:v>OPEN</x:v>
      </x:c>
    </x:row>
    <x:row r="27" ht="36" customHeight="1">
      <x:c r="B27" s="13" t="str">
        <x:v>RAS-TN-21</x:v>
      </x:c>
      <x:c r="C27" s="13" t="str">
        <x:v>RFP-C2</x:v>
      </x:c>
      <x:c r="D27" s="13" t="str">
        <x:v>registered primary</x:v>
      </x:c>
      <x:c r="E27" s="14" t="str">
        <x:v>signed local epoch plus pulse train</x:v>
      </x:c>
      <x:c r="F27" s="13" t="str">
        <x:v>'Controls'!$D$72</x:v>
      </x:c>
      <x:c r="G27" s="13" t="str"/>
      <x:c r="H27" s="13" t="str">
        <x:v>OPEN</x:v>
      </x:c>
    </x:row>
    <x:row r="28" ht="36" customHeight="1">
      <x:c r="B28" s="13" t="str">
        <x:v>RAS-TN-22</x:v>
      </x:c>
      <x:c r="C28" s="13" t="str">
        <x:v>RFP-C2</x:v>
      </x:c>
      <x:c r="D28" s="13" t="str">
        <x:v>unlike local</x:v>
      </x:c>
      <x:c r="E28" s="14" t="str">
        <x:v>signed local epoch plus pulse train</x:v>
      </x:c>
      <x:c r="F28" s="13" t="str">
        <x:v>'Controls'!$D$72</x:v>
      </x:c>
      <x:c r="G28" s="13" t="str"/>
      <x:c r="H28" s="13" t="str">
        <x:v>OPEN</x:v>
      </x:c>
    </x:row>
    <x:row r="29" ht="36" customHeight="1">
      <x:c r="B29" s="13" t="str">
        <x:v>RAS-TN-23</x:v>
      </x:c>
      <x:c r="C29" s="13" t="str">
        <x:v>RFP-C2</x:v>
      </x:c>
      <x:c r="D29" s="13" t="str">
        <x:v>evidence recorder</x:v>
      </x:c>
      <x:c r="E29" s="14" t="str">
        <x:v>signed local epoch plus pulse train</x:v>
      </x:c>
      <x:c r="F29" s="13" t="str">
        <x:v>'Controls'!$D$72</x:v>
      </x:c>
      <x:c r="G29" s="13" t="str"/>
      <x:c r="H29" s="13" t="str">
        <x:v>OPEN</x:v>
      </x:c>
    </x:row>
    <x:row r="30" ht="36" customHeight="1">
      <x:c r="B30" s="13" t="str">
        <x:v>RAS-TN-24</x:v>
      </x:c>
      <x:c r="C30" s="13" t="str">
        <x:v>RFP-C2</x:v>
      </x:c>
      <x:c r="D30" s="13" t="str">
        <x:v>safe-state latch</x:v>
      </x:c>
      <x:c r="E30" s="14" t="str">
        <x:v>physical transition memory</x:v>
      </x:c>
      <x:c r="F30" s="13" t="str">
        <x:v>'Controls'!$D$72</x:v>
      </x:c>
      <x:c r="G30" s="13" t="str"/>
      <x:c r="H30" s="13" t="str">
        <x:v>OPEN</x:v>
      </x:c>
    </x:row>
  </x:sheetData>
  <x:conditionalFormatting sqref="H7:H30">
    <x:cfRule type="containsText" dxfId="136" priority="1" operator="containsText" text="FAIL"/>
    <x:cfRule type="containsText" dxfId="137" priority="2" operator="containsText" text="INVALID"/>
    <x:cfRule type="containsText" dxfId="138" priority="3" operator="containsText" text="BLOCKED"/>
    <x:cfRule type="containsText" dxfId="139" priority="4" operator="containsText" text="OPEN"/>
    <x:cfRule type="containsText" dxfId="140" priority="5" operator="containsText" text="GAP"/>
    <x:cfRule type="containsText" dxfId="141" priority="6" operator="containsText" text="DORMANT"/>
    <x:cfRule type="containsText" dxfId="142" priority="7" operator="containsText" text="PASS"/>
    <x:cfRule type="containsText" dxfId="143" priority="8" operator="containsText" text="VALID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58" hidden="0" customWidth="1"/>
    <x:col min="7" max="7" width="43" hidden="0" customWidth="1"/>
    <x:col min="8" max="8" width="21" hidden="0" customWidth="1"/>
    <x:col min="9" max="9" width="14" hidden="0" customWidth="1"/>
    <x:col min="1" max="1" width="3" hidden="0" customWidth="1"/>
  </x:cols>
  <x:sheetData>
    <x:row r="2">
      <x:c r="B2" s="12" t="str">
        <x:v>Seventy-two retained-sample plans</x:v>
      </x:c>
      <x:c r="C2" s="13"/>
      <x:c r="D2" s="13"/>
      <x:c r="E2" s="13"/>
      <x:c r="F2" s="13"/>
      <x:c r="G2" s="13"/>
      <x:c r="H2" s="13"/>
      <x:c r="I2" s="13"/>
    </x:row>
    <x:row r="3">
      <x:c r="B3" s="2" t="str">
        <x:v>Source and water samples are serialized separately for each rig-class cell.</x:v>
      </x:c>
      <x:c r="C3" s="13"/>
      <x:c r="D3" s="13"/>
      <x:c r="E3" s="13"/>
      <x:c r="F3" s="13"/>
      <x:c r="G3" s="13"/>
      <x:c r="H3" s="13"/>
      <x:c r="I3" s="13"/>
    </x:row>
    <x:row r="4">
      <x:c r="B4" s="13"/>
      <x:c r="C4" s="13"/>
      <x:c r="D4" s="13"/>
      <x:c r="E4" s="13"/>
      <x:c r="F4" s="13"/>
      <x:c r="G4" s="13"/>
      <x:c r="H4" s="13"/>
      <x:c r="I4" s="13"/>
    </x:row>
    <x:row r="5">
      <x:c r="B5" s="13"/>
      <x:c r="C5" s="13"/>
      <x:c r="D5" s="13"/>
      <x:c r="E5" s="13"/>
      <x:c r="F5" s="13"/>
      <x:c r="G5" s="13"/>
      <x:c r="H5" s="13"/>
      <x:c r="I5" s="13"/>
    </x:row>
    <x:row r="6" ht="24" customHeight="1">
      <x:c r="B6" s="6" t="str">
        <x:v>Plan</x:v>
      </x:c>
      <x:c r="C6" s="6" t="str">
        <x:v>Rig</x:v>
      </x:c>
      <x:c r="D6" s="6" t="str">
        <x:v>Class</x:v>
      </x:c>
      <x:c r="E6" s="6" t="str">
        <x:v>Medium</x:v>
      </x:c>
      <x:c r="F6" s="6" t="str">
        <x:v>Locations</x:v>
      </x:c>
      <x:c r="G6" s="6" t="str">
        <x:v>Retention</x:v>
      </x:c>
      <x:c r="H6" s="6" t="str">
        <x:v>Accepted UTC</x:v>
      </x:c>
      <x:c r="I6" s="6" t="str">
        <x:v>State</x:v>
      </x:c>
    </x:row>
    <x:row r="7" ht="38" customHeight="1">
      <x:c r="B7" s="13" t="str">
        <x:v>RAS-SC-001</x:v>
      </x:c>
      <x:c r="C7" s="13" t="str">
        <x:v>RFP-A1</x:v>
      </x:c>
      <x:c r="D7" s="13" t="str">
        <x:v>QE-01</x:v>
      </x:c>
      <x:c r="E7" s="13" t="str">
        <x:v>source</x:v>
      </x:c>
      <x:c r="F7" s="14" t="str">
        <x:v>pre/post vessel, receiver, surface, environment</x:v>
      </x:c>
      <x:c r="G7" s="14" t="str">
        <x:v>two sealed aliquots plus one archive</x:v>
      </x:c>
      <x:c r="H7" s="13" t="str"/>
      <x:c r="I7" s="13" t="str">
        <x:v>OPEN</x:v>
      </x:c>
    </x:row>
    <x:row r="8" ht="38" customHeight="1">
      <x:c r="B8" s="13" t="str">
        <x:v>RAS-SC-002</x:v>
      </x:c>
      <x:c r="C8" s="13" t="str">
        <x:v>RFP-A1</x:v>
      </x:c>
      <x:c r="D8" s="13" t="str">
        <x:v>QE-01</x:v>
      </x:c>
      <x:c r="E8" s="13" t="str">
        <x:v>water</x:v>
      </x:c>
      <x:c r="F8" s="14" t="str">
        <x:v>supply, return, receiver, environment</x:v>
      </x:c>
      <x:c r="G8" s="14" t="str">
        <x:v>two sealed aliquots plus one archive</x:v>
      </x:c>
      <x:c r="H8" s="13" t="str"/>
      <x:c r="I8" s="13" t="str">
        <x:v>OPEN</x:v>
      </x:c>
    </x:row>
    <x:row r="9" ht="38" customHeight="1">
      <x:c r="B9" s="13" t="str">
        <x:v>RAS-SC-003</x:v>
      </x:c>
      <x:c r="C9" s="13" t="str">
        <x:v>RFP-A1</x:v>
      </x:c>
      <x:c r="D9" s="13" t="str">
        <x:v>QE-02</x:v>
      </x:c>
      <x:c r="E9" s="13" t="str">
        <x:v>source</x:v>
      </x:c>
      <x:c r="F9" s="14" t="str">
        <x:v>pre/post vessel, receiver, surface, environment</x:v>
      </x:c>
      <x:c r="G9" s="14" t="str">
        <x:v>two sealed aliquots plus one archive</x:v>
      </x:c>
      <x:c r="H9" s="13" t="str"/>
      <x:c r="I9" s="13" t="str">
        <x:v>OPEN</x:v>
      </x:c>
    </x:row>
    <x:row r="10" ht="38" customHeight="1">
      <x:c r="B10" s="13" t="str">
        <x:v>RAS-SC-004</x:v>
      </x:c>
      <x:c r="C10" s="13" t="str">
        <x:v>RFP-A1</x:v>
      </x:c>
      <x:c r="D10" s="13" t="str">
        <x:v>QE-02</x:v>
      </x:c>
      <x:c r="E10" s="13" t="str">
        <x:v>water</x:v>
      </x:c>
      <x:c r="F10" s="14" t="str">
        <x:v>supply, return, receiver, environment</x:v>
      </x:c>
      <x:c r="G10" s="14" t="str">
        <x:v>two sealed aliquots plus one archive</x:v>
      </x:c>
      <x:c r="H10" s="13" t="str"/>
      <x:c r="I10" s="13" t="str">
        <x:v>OPEN</x:v>
      </x:c>
    </x:row>
    <x:row r="11" ht="38" customHeight="1">
      <x:c r="B11" s="13" t="str">
        <x:v>RAS-SC-005</x:v>
      </x:c>
      <x:c r="C11" s="13" t="str">
        <x:v>RFP-A1</x:v>
      </x:c>
      <x:c r="D11" s="13" t="str">
        <x:v>QE-03</x:v>
      </x:c>
      <x:c r="E11" s="13" t="str">
        <x:v>source</x:v>
      </x:c>
      <x:c r="F11" s="14" t="str">
        <x:v>pre/post vessel, receiver, surface, environment</x:v>
      </x:c>
      <x:c r="G11" s="14" t="str">
        <x:v>two sealed aliquots plus one archive</x:v>
      </x:c>
      <x:c r="H11" s="13" t="str"/>
      <x:c r="I11" s="13" t="str">
        <x:v>OPEN</x:v>
      </x:c>
    </x:row>
    <x:row r="12" ht="38" customHeight="1">
      <x:c r="B12" s="13" t="str">
        <x:v>RAS-SC-006</x:v>
      </x:c>
      <x:c r="C12" s="13" t="str">
        <x:v>RFP-A1</x:v>
      </x:c>
      <x:c r="D12" s="13" t="str">
        <x:v>QE-03</x:v>
      </x:c>
      <x:c r="E12" s="13" t="str">
        <x:v>water</x:v>
      </x:c>
      <x:c r="F12" s="14" t="str">
        <x:v>supply, return, receiver, environment</x:v>
      </x:c>
      <x:c r="G12" s="14" t="str">
        <x:v>two sealed aliquots plus one archive</x:v>
      </x:c>
      <x:c r="H12" s="13" t="str"/>
      <x:c r="I12" s="13" t="str">
        <x:v>OPEN</x:v>
      </x:c>
    </x:row>
    <x:row r="13" ht="38" customHeight="1">
      <x:c r="B13" s="13" t="str">
        <x:v>RAS-SC-007</x:v>
      </x:c>
      <x:c r="C13" s="13" t="str">
        <x:v>RFP-A1</x:v>
      </x:c>
      <x:c r="D13" s="13" t="str">
        <x:v>QE-04</x:v>
      </x:c>
      <x:c r="E13" s="13" t="str">
        <x:v>source</x:v>
      </x:c>
      <x:c r="F13" s="14" t="str">
        <x:v>pre/post vessel, receiver, surface, environment</x:v>
      </x:c>
      <x:c r="G13" s="14" t="str">
        <x:v>two sealed aliquots plus one archive</x:v>
      </x:c>
      <x:c r="H13" s="13" t="str"/>
      <x:c r="I13" s="13" t="str">
        <x:v>OPEN</x:v>
      </x:c>
    </x:row>
    <x:row r="14" ht="38" customHeight="1">
      <x:c r="B14" s="13" t="str">
        <x:v>RAS-SC-008</x:v>
      </x:c>
      <x:c r="C14" s="13" t="str">
        <x:v>RFP-A1</x:v>
      </x:c>
      <x:c r="D14" s="13" t="str">
        <x:v>QE-04</x:v>
      </x:c>
      <x:c r="E14" s="13" t="str">
        <x:v>water</x:v>
      </x:c>
      <x:c r="F14" s="14" t="str">
        <x:v>supply, return, receiver, environment</x:v>
      </x:c>
      <x:c r="G14" s="14" t="str">
        <x:v>two sealed aliquots plus one archive</x:v>
      </x:c>
      <x:c r="H14" s="13" t="str"/>
      <x:c r="I14" s="13" t="str">
        <x:v>OPEN</x:v>
      </x:c>
    </x:row>
    <x:row r="15" ht="38" customHeight="1">
      <x:c r="B15" s="13" t="str">
        <x:v>RAS-SC-009</x:v>
      </x:c>
      <x:c r="C15" s="13" t="str">
        <x:v>RFP-A1</x:v>
      </x:c>
      <x:c r="D15" s="13" t="str">
        <x:v>QE-05</x:v>
      </x:c>
      <x:c r="E15" s="13" t="str">
        <x:v>source</x:v>
      </x:c>
      <x:c r="F15" s="14" t="str">
        <x:v>pre/post vessel, receiver, surface, environment</x:v>
      </x:c>
      <x:c r="G15" s="14" t="str">
        <x:v>two sealed aliquots plus one archive</x:v>
      </x:c>
      <x:c r="H15" s="13" t="str"/>
      <x:c r="I15" s="13" t="str">
        <x:v>OPEN</x:v>
      </x:c>
    </x:row>
    <x:row r="16" ht="38" customHeight="1">
      <x:c r="B16" s="13" t="str">
        <x:v>RAS-SC-010</x:v>
      </x:c>
      <x:c r="C16" s="13" t="str">
        <x:v>RFP-A1</x:v>
      </x:c>
      <x:c r="D16" s="13" t="str">
        <x:v>QE-05</x:v>
      </x:c>
      <x:c r="E16" s="13" t="str">
        <x:v>water</x:v>
      </x:c>
      <x:c r="F16" s="14" t="str">
        <x:v>supply, return, receiver, environment</x:v>
      </x:c>
      <x:c r="G16" s="14" t="str">
        <x:v>two sealed aliquots plus one archive</x:v>
      </x:c>
      <x:c r="H16" s="13" t="str"/>
      <x:c r="I16" s="13" t="str">
        <x:v>OPEN</x:v>
      </x:c>
    </x:row>
    <x:row r="17" ht="38" customHeight="1">
      <x:c r="B17" s="13" t="str">
        <x:v>RAS-SC-011</x:v>
      </x:c>
      <x:c r="C17" s="13" t="str">
        <x:v>RFP-A1</x:v>
      </x:c>
      <x:c r="D17" s="13" t="str">
        <x:v>QE-06</x:v>
      </x:c>
      <x:c r="E17" s="13" t="str">
        <x:v>source</x:v>
      </x:c>
      <x:c r="F17" s="14" t="str">
        <x:v>pre/post vessel, receiver, surface, environment</x:v>
      </x:c>
      <x:c r="G17" s="14" t="str">
        <x:v>two sealed aliquots plus one archive</x:v>
      </x:c>
      <x:c r="H17" s="13" t="str"/>
      <x:c r="I17" s="13" t="str">
        <x:v>OPEN</x:v>
      </x:c>
    </x:row>
    <x:row r="18" ht="38" customHeight="1">
      <x:c r="B18" s="13" t="str">
        <x:v>RAS-SC-012</x:v>
      </x:c>
      <x:c r="C18" s="13" t="str">
        <x:v>RFP-A1</x:v>
      </x:c>
      <x:c r="D18" s="13" t="str">
        <x:v>QE-06</x:v>
      </x:c>
      <x:c r="E18" s="13" t="str">
        <x:v>water</x:v>
      </x:c>
      <x:c r="F18" s="14" t="str">
        <x:v>supply, return, receiver, environment</x:v>
      </x:c>
      <x:c r="G18" s="14" t="str">
        <x:v>two sealed aliquots plus one archive</x:v>
      </x:c>
      <x:c r="H18" s="13" t="str"/>
      <x:c r="I18" s="13" t="str">
        <x:v>OPEN</x:v>
      </x:c>
    </x:row>
    <x:row r="19" ht="38" customHeight="1">
      <x:c r="B19" s="13" t="str">
        <x:v>RAS-SC-013</x:v>
      </x:c>
      <x:c r="C19" s="13" t="str">
        <x:v>RFP-A2</x:v>
      </x:c>
      <x:c r="D19" s="13" t="str">
        <x:v>QE-01</x:v>
      </x:c>
      <x:c r="E19" s="13" t="str">
        <x:v>source</x:v>
      </x:c>
      <x:c r="F19" s="14" t="str">
        <x:v>pre/post vessel, receiver, surface, environment</x:v>
      </x:c>
      <x:c r="G19" s="14" t="str">
        <x:v>two sealed aliquots plus one archive</x:v>
      </x:c>
      <x:c r="H19" s="13" t="str"/>
      <x:c r="I19" s="13" t="str">
        <x:v>OPEN</x:v>
      </x:c>
    </x:row>
    <x:row r="20" ht="38" customHeight="1">
      <x:c r="B20" s="13" t="str">
        <x:v>RAS-SC-014</x:v>
      </x:c>
      <x:c r="C20" s="13" t="str">
        <x:v>RFP-A2</x:v>
      </x:c>
      <x:c r="D20" s="13" t="str">
        <x:v>QE-01</x:v>
      </x:c>
      <x:c r="E20" s="13" t="str">
        <x:v>water</x:v>
      </x:c>
      <x:c r="F20" s="14" t="str">
        <x:v>supply, return, receiver, environment</x:v>
      </x:c>
      <x:c r="G20" s="14" t="str">
        <x:v>two sealed aliquots plus one archive</x:v>
      </x:c>
      <x:c r="H20" s="13" t="str"/>
      <x:c r="I20" s="13" t="str">
        <x:v>OPEN</x:v>
      </x:c>
    </x:row>
    <x:row r="21" ht="38" customHeight="1">
      <x:c r="B21" s="13" t="str">
        <x:v>RAS-SC-015</x:v>
      </x:c>
      <x:c r="C21" s="13" t="str">
        <x:v>RFP-A2</x:v>
      </x:c>
      <x:c r="D21" s="13" t="str">
        <x:v>QE-02</x:v>
      </x:c>
      <x:c r="E21" s="13" t="str">
        <x:v>source</x:v>
      </x:c>
      <x:c r="F21" s="14" t="str">
        <x:v>pre/post vessel, receiver, surface, environment</x:v>
      </x:c>
      <x:c r="G21" s="14" t="str">
        <x:v>two sealed aliquots plus one archive</x:v>
      </x:c>
      <x:c r="H21" s="13" t="str"/>
      <x:c r="I21" s="13" t="str">
        <x:v>OPEN</x:v>
      </x:c>
    </x:row>
    <x:row r="22" ht="38" customHeight="1">
      <x:c r="B22" s="13" t="str">
        <x:v>RAS-SC-016</x:v>
      </x:c>
      <x:c r="C22" s="13" t="str">
        <x:v>RFP-A2</x:v>
      </x:c>
      <x:c r="D22" s="13" t="str">
        <x:v>QE-02</x:v>
      </x:c>
      <x:c r="E22" s="13" t="str">
        <x:v>water</x:v>
      </x:c>
      <x:c r="F22" s="14" t="str">
        <x:v>supply, return, receiver, environment</x:v>
      </x:c>
      <x:c r="G22" s="14" t="str">
        <x:v>two sealed aliquots plus one archive</x:v>
      </x:c>
      <x:c r="H22" s="13" t="str"/>
      <x:c r="I22" s="13" t="str">
        <x:v>OPEN</x:v>
      </x:c>
    </x:row>
    <x:row r="23" ht="38" customHeight="1">
      <x:c r="B23" s="13" t="str">
        <x:v>RAS-SC-017</x:v>
      </x:c>
      <x:c r="C23" s="13" t="str">
        <x:v>RFP-A2</x:v>
      </x:c>
      <x:c r="D23" s="13" t="str">
        <x:v>QE-03</x:v>
      </x:c>
      <x:c r="E23" s="13" t="str">
        <x:v>source</x:v>
      </x:c>
      <x:c r="F23" s="14" t="str">
        <x:v>pre/post vessel, receiver, surface, environment</x:v>
      </x:c>
      <x:c r="G23" s="14" t="str">
        <x:v>two sealed aliquots plus one archive</x:v>
      </x:c>
      <x:c r="H23" s="13" t="str"/>
      <x:c r="I23" s="13" t="str">
        <x:v>OPEN</x:v>
      </x:c>
    </x:row>
    <x:row r="24" ht="38" customHeight="1">
      <x:c r="B24" s="13" t="str">
        <x:v>RAS-SC-018</x:v>
      </x:c>
      <x:c r="C24" s="13" t="str">
        <x:v>RFP-A2</x:v>
      </x:c>
      <x:c r="D24" s="13" t="str">
        <x:v>QE-03</x:v>
      </x:c>
      <x:c r="E24" s="13" t="str">
        <x:v>water</x:v>
      </x:c>
      <x:c r="F24" s="14" t="str">
        <x:v>supply, return, receiver, environment</x:v>
      </x:c>
      <x:c r="G24" s="14" t="str">
        <x:v>two sealed aliquots plus one archive</x:v>
      </x:c>
      <x:c r="H24" s="13" t="str"/>
      <x:c r="I24" s="13" t="str">
        <x:v>OPEN</x:v>
      </x:c>
    </x:row>
    <x:row r="25" ht="38" customHeight="1">
      <x:c r="B25" s="13" t="str">
        <x:v>RAS-SC-019</x:v>
      </x:c>
      <x:c r="C25" s="13" t="str">
        <x:v>RFP-A2</x:v>
      </x:c>
      <x:c r="D25" s="13" t="str">
        <x:v>QE-04</x:v>
      </x:c>
      <x:c r="E25" s="13" t="str">
        <x:v>source</x:v>
      </x:c>
      <x:c r="F25" s="14" t="str">
        <x:v>pre/post vessel, receiver, surface, environment</x:v>
      </x:c>
      <x:c r="G25" s="14" t="str">
        <x:v>two sealed aliquots plus one archive</x:v>
      </x:c>
      <x:c r="H25" s="13" t="str"/>
      <x:c r="I25" s="13" t="str">
        <x:v>OPEN</x:v>
      </x:c>
    </x:row>
    <x:row r="26" ht="38" customHeight="1">
      <x:c r="B26" s="13" t="str">
        <x:v>RAS-SC-020</x:v>
      </x:c>
      <x:c r="C26" s="13" t="str">
        <x:v>RFP-A2</x:v>
      </x:c>
      <x:c r="D26" s="13" t="str">
        <x:v>QE-04</x:v>
      </x:c>
      <x:c r="E26" s="13" t="str">
        <x:v>water</x:v>
      </x:c>
      <x:c r="F26" s="14" t="str">
        <x:v>supply, return, receiver, environment</x:v>
      </x:c>
      <x:c r="G26" s="14" t="str">
        <x:v>two sealed aliquots plus one archive</x:v>
      </x:c>
      <x:c r="H26" s="13" t="str"/>
      <x:c r="I26" s="13" t="str">
        <x:v>OPEN</x:v>
      </x:c>
    </x:row>
    <x:row r="27" ht="38" customHeight="1">
      <x:c r="B27" s="13" t="str">
        <x:v>RAS-SC-021</x:v>
      </x:c>
      <x:c r="C27" s="13" t="str">
        <x:v>RFP-A2</x:v>
      </x:c>
      <x:c r="D27" s="13" t="str">
        <x:v>QE-05</x:v>
      </x:c>
      <x:c r="E27" s="13" t="str">
        <x:v>source</x:v>
      </x:c>
      <x:c r="F27" s="14" t="str">
        <x:v>pre/post vessel, receiver, surface, environment</x:v>
      </x:c>
      <x:c r="G27" s="14" t="str">
        <x:v>two sealed aliquots plus one archive</x:v>
      </x:c>
      <x:c r="H27" s="13" t="str"/>
      <x:c r="I27" s="13" t="str">
        <x:v>OPEN</x:v>
      </x:c>
    </x:row>
    <x:row r="28" ht="38" customHeight="1">
      <x:c r="B28" s="13" t="str">
        <x:v>RAS-SC-022</x:v>
      </x:c>
      <x:c r="C28" s="13" t="str">
        <x:v>RFP-A2</x:v>
      </x:c>
      <x:c r="D28" s="13" t="str">
        <x:v>QE-05</x:v>
      </x:c>
      <x:c r="E28" s="13" t="str">
        <x:v>water</x:v>
      </x:c>
      <x:c r="F28" s="14" t="str">
        <x:v>supply, return, receiver, environment</x:v>
      </x:c>
      <x:c r="G28" s="14" t="str">
        <x:v>two sealed aliquots plus one archive</x:v>
      </x:c>
      <x:c r="H28" s="13" t="str"/>
      <x:c r="I28" s="13" t="str">
        <x:v>OPEN</x:v>
      </x:c>
    </x:row>
    <x:row r="29" ht="38" customHeight="1">
      <x:c r="B29" s="13" t="str">
        <x:v>RAS-SC-023</x:v>
      </x:c>
      <x:c r="C29" s="13" t="str">
        <x:v>RFP-A2</x:v>
      </x:c>
      <x:c r="D29" s="13" t="str">
        <x:v>QE-06</x:v>
      </x:c>
      <x:c r="E29" s="13" t="str">
        <x:v>source</x:v>
      </x:c>
      <x:c r="F29" s="14" t="str">
        <x:v>pre/post vessel, receiver, surface, environment</x:v>
      </x:c>
      <x:c r="G29" s="14" t="str">
        <x:v>two sealed aliquots plus one archive</x:v>
      </x:c>
      <x:c r="H29" s="13" t="str"/>
      <x:c r="I29" s="13" t="str">
        <x:v>OPEN</x:v>
      </x:c>
    </x:row>
    <x:row r="30" ht="38" customHeight="1">
      <x:c r="B30" s="13" t="str">
        <x:v>RAS-SC-024</x:v>
      </x:c>
      <x:c r="C30" s="13" t="str">
        <x:v>RFP-A2</x:v>
      </x:c>
      <x:c r="D30" s="13" t="str">
        <x:v>QE-06</x:v>
      </x:c>
      <x:c r="E30" s="13" t="str">
        <x:v>water</x:v>
      </x:c>
      <x:c r="F30" s="14" t="str">
        <x:v>supply, return, receiver, environment</x:v>
      </x:c>
      <x:c r="G30" s="14" t="str">
        <x:v>two sealed aliquots plus one archive</x:v>
      </x:c>
      <x:c r="H30" s="13" t="str"/>
      <x:c r="I30" s="13" t="str">
        <x:v>OPEN</x:v>
      </x:c>
    </x:row>
    <x:row r="31" ht="38" customHeight="1">
      <x:c r="B31" s="13" t="str">
        <x:v>RAS-SC-025</x:v>
      </x:c>
      <x:c r="C31" s="13" t="str">
        <x:v>RFP-B1</x:v>
      </x:c>
      <x:c r="D31" s="13" t="str">
        <x:v>QE-01</x:v>
      </x:c>
      <x:c r="E31" s="13" t="str">
        <x:v>source</x:v>
      </x:c>
      <x:c r="F31" s="14" t="str">
        <x:v>pre/post vessel, receiver, surface, environment</x:v>
      </x:c>
      <x:c r="G31" s="14" t="str">
        <x:v>two sealed aliquots plus one archive</x:v>
      </x:c>
      <x:c r="H31" s="13" t="str"/>
      <x:c r="I31" s="13" t="str">
        <x:v>OPEN</x:v>
      </x:c>
    </x:row>
    <x:row r="32" ht="38" customHeight="1">
      <x:c r="B32" s="13" t="str">
        <x:v>RAS-SC-026</x:v>
      </x:c>
      <x:c r="C32" s="13" t="str">
        <x:v>RFP-B1</x:v>
      </x:c>
      <x:c r="D32" s="13" t="str">
        <x:v>QE-01</x:v>
      </x:c>
      <x:c r="E32" s="13" t="str">
        <x:v>water</x:v>
      </x:c>
      <x:c r="F32" s="14" t="str">
        <x:v>supply, return, receiver, environment</x:v>
      </x:c>
      <x:c r="G32" s="14" t="str">
        <x:v>two sealed aliquots plus one archive</x:v>
      </x:c>
      <x:c r="H32" s="13" t="str"/>
      <x:c r="I32" s="13" t="str">
        <x:v>OPEN</x:v>
      </x:c>
    </x:row>
    <x:row r="33" ht="38" customHeight="1">
      <x:c r="B33" s="13" t="str">
        <x:v>RAS-SC-027</x:v>
      </x:c>
      <x:c r="C33" s="13" t="str">
        <x:v>RFP-B1</x:v>
      </x:c>
      <x:c r="D33" s="13" t="str">
        <x:v>QE-02</x:v>
      </x:c>
      <x:c r="E33" s="13" t="str">
        <x:v>source</x:v>
      </x:c>
      <x:c r="F33" s="14" t="str">
        <x:v>pre/post vessel, receiver, surface, environment</x:v>
      </x:c>
      <x:c r="G33" s="14" t="str">
        <x:v>two sealed aliquots plus one archive</x:v>
      </x:c>
      <x:c r="H33" s="13" t="str"/>
      <x:c r="I33" s="13" t="str">
        <x:v>OPEN</x:v>
      </x:c>
    </x:row>
    <x:row r="34" ht="38" customHeight="1">
      <x:c r="B34" s="13" t="str">
        <x:v>RAS-SC-028</x:v>
      </x:c>
      <x:c r="C34" s="13" t="str">
        <x:v>RFP-B1</x:v>
      </x:c>
      <x:c r="D34" s="13" t="str">
        <x:v>QE-02</x:v>
      </x:c>
      <x:c r="E34" s="13" t="str">
        <x:v>water</x:v>
      </x:c>
      <x:c r="F34" s="14" t="str">
        <x:v>supply, return, receiver, environment</x:v>
      </x:c>
      <x:c r="G34" s="14" t="str">
        <x:v>two sealed aliquots plus one archive</x:v>
      </x:c>
      <x:c r="H34" s="13" t="str"/>
      <x:c r="I34" s="13" t="str">
        <x:v>OPEN</x:v>
      </x:c>
    </x:row>
    <x:row r="35" ht="38" customHeight="1">
      <x:c r="B35" s="13" t="str">
        <x:v>RAS-SC-029</x:v>
      </x:c>
      <x:c r="C35" s="13" t="str">
        <x:v>RFP-B1</x:v>
      </x:c>
      <x:c r="D35" s="13" t="str">
        <x:v>QE-03</x:v>
      </x:c>
      <x:c r="E35" s="13" t="str">
        <x:v>source</x:v>
      </x:c>
      <x:c r="F35" s="14" t="str">
        <x:v>pre/post vessel, receiver, surface, environment</x:v>
      </x:c>
      <x:c r="G35" s="14" t="str">
        <x:v>two sealed aliquots plus one archive</x:v>
      </x:c>
      <x:c r="H35" s="13" t="str"/>
      <x:c r="I35" s="13" t="str">
        <x:v>OPEN</x:v>
      </x:c>
    </x:row>
    <x:row r="36" ht="38" customHeight="1">
      <x:c r="B36" s="13" t="str">
        <x:v>RAS-SC-030</x:v>
      </x:c>
      <x:c r="C36" s="13" t="str">
        <x:v>RFP-B1</x:v>
      </x:c>
      <x:c r="D36" s="13" t="str">
        <x:v>QE-03</x:v>
      </x:c>
      <x:c r="E36" s="13" t="str">
        <x:v>water</x:v>
      </x:c>
      <x:c r="F36" s="14" t="str">
        <x:v>supply, return, receiver, environment</x:v>
      </x:c>
      <x:c r="G36" s="14" t="str">
        <x:v>two sealed aliquots plus one archive</x:v>
      </x:c>
      <x:c r="H36" s="13" t="str"/>
      <x:c r="I36" s="13" t="str">
        <x:v>OPEN</x:v>
      </x:c>
    </x:row>
    <x:row r="37" ht="38" customHeight="1">
      <x:c r="B37" s="13" t="str">
        <x:v>RAS-SC-031</x:v>
      </x:c>
      <x:c r="C37" s="13" t="str">
        <x:v>RFP-B1</x:v>
      </x:c>
      <x:c r="D37" s="13" t="str">
        <x:v>QE-04</x:v>
      </x:c>
      <x:c r="E37" s="13" t="str">
        <x:v>source</x:v>
      </x:c>
      <x:c r="F37" s="14" t="str">
        <x:v>pre/post vessel, receiver, surface, environment</x:v>
      </x:c>
      <x:c r="G37" s="14" t="str">
        <x:v>two sealed aliquots plus one archive</x:v>
      </x:c>
      <x:c r="H37" s="13" t="str"/>
      <x:c r="I37" s="13" t="str">
        <x:v>OPEN</x:v>
      </x:c>
    </x:row>
    <x:row r="38" ht="38" customHeight="1">
      <x:c r="B38" s="13" t="str">
        <x:v>RAS-SC-032</x:v>
      </x:c>
      <x:c r="C38" s="13" t="str">
        <x:v>RFP-B1</x:v>
      </x:c>
      <x:c r="D38" s="13" t="str">
        <x:v>QE-04</x:v>
      </x:c>
      <x:c r="E38" s="13" t="str">
        <x:v>water</x:v>
      </x:c>
      <x:c r="F38" s="14" t="str">
        <x:v>supply, return, receiver, environment</x:v>
      </x:c>
      <x:c r="G38" s="14" t="str">
        <x:v>two sealed aliquots plus one archive</x:v>
      </x:c>
      <x:c r="H38" s="13" t="str"/>
      <x:c r="I38" s="13" t="str">
        <x:v>OPEN</x:v>
      </x:c>
    </x:row>
    <x:row r="39" ht="38" customHeight="1">
      <x:c r="B39" s="13" t="str">
        <x:v>RAS-SC-033</x:v>
      </x:c>
      <x:c r="C39" s="13" t="str">
        <x:v>RFP-B1</x:v>
      </x:c>
      <x:c r="D39" s="13" t="str">
        <x:v>QE-05</x:v>
      </x:c>
      <x:c r="E39" s="13" t="str">
        <x:v>source</x:v>
      </x:c>
      <x:c r="F39" s="14" t="str">
        <x:v>pre/post vessel, receiver, surface, environment</x:v>
      </x:c>
      <x:c r="G39" s="14" t="str">
        <x:v>two sealed aliquots plus one archive</x:v>
      </x:c>
      <x:c r="H39" s="13" t="str"/>
      <x:c r="I39" s="13" t="str">
        <x:v>OPEN</x:v>
      </x:c>
    </x:row>
    <x:row r="40" ht="38" customHeight="1">
      <x:c r="B40" s="13" t="str">
        <x:v>RAS-SC-034</x:v>
      </x:c>
      <x:c r="C40" s="13" t="str">
        <x:v>RFP-B1</x:v>
      </x:c>
      <x:c r="D40" s="13" t="str">
        <x:v>QE-05</x:v>
      </x:c>
      <x:c r="E40" s="13" t="str">
        <x:v>water</x:v>
      </x:c>
      <x:c r="F40" s="14" t="str">
        <x:v>supply, return, receiver, environment</x:v>
      </x:c>
      <x:c r="G40" s="14" t="str">
        <x:v>two sealed aliquots plus one archive</x:v>
      </x:c>
      <x:c r="H40" s="13" t="str"/>
      <x:c r="I40" s="13" t="str">
        <x:v>OPEN</x:v>
      </x:c>
    </x:row>
    <x:row r="41" ht="38" customHeight="1">
      <x:c r="B41" s="13" t="str">
        <x:v>RAS-SC-035</x:v>
      </x:c>
      <x:c r="C41" s="13" t="str">
        <x:v>RFP-B1</x:v>
      </x:c>
      <x:c r="D41" s="13" t="str">
        <x:v>QE-06</x:v>
      </x:c>
      <x:c r="E41" s="13" t="str">
        <x:v>source</x:v>
      </x:c>
      <x:c r="F41" s="14" t="str">
        <x:v>pre/post vessel, receiver, surface, environment</x:v>
      </x:c>
      <x:c r="G41" s="14" t="str">
        <x:v>two sealed aliquots plus one archive</x:v>
      </x:c>
      <x:c r="H41" s="13" t="str"/>
      <x:c r="I41" s="13" t="str">
        <x:v>OPEN</x:v>
      </x:c>
    </x:row>
    <x:row r="42" ht="38" customHeight="1">
      <x:c r="B42" s="13" t="str">
        <x:v>RAS-SC-036</x:v>
      </x:c>
      <x:c r="C42" s="13" t="str">
        <x:v>RFP-B1</x:v>
      </x:c>
      <x:c r="D42" s="13" t="str">
        <x:v>QE-06</x:v>
      </x:c>
      <x:c r="E42" s="13" t="str">
        <x:v>water</x:v>
      </x:c>
      <x:c r="F42" s="14" t="str">
        <x:v>supply, return, receiver, environment</x:v>
      </x:c>
      <x:c r="G42" s="14" t="str">
        <x:v>two sealed aliquots plus one archive</x:v>
      </x:c>
      <x:c r="H42" s="13" t="str"/>
      <x:c r="I42" s="13" t="str">
        <x:v>OPEN</x:v>
      </x:c>
    </x:row>
    <x:row r="43" ht="38" customHeight="1">
      <x:c r="B43" s="13" t="str">
        <x:v>RAS-SC-037</x:v>
      </x:c>
      <x:c r="C43" s="13" t="str">
        <x:v>RFP-B2</x:v>
      </x:c>
      <x:c r="D43" s="13" t="str">
        <x:v>QE-01</x:v>
      </x:c>
      <x:c r="E43" s="13" t="str">
        <x:v>source</x:v>
      </x:c>
      <x:c r="F43" s="14" t="str">
        <x:v>pre/post vessel, receiver, surface, environment</x:v>
      </x:c>
      <x:c r="G43" s="14" t="str">
        <x:v>two sealed aliquots plus one archive</x:v>
      </x:c>
      <x:c r="H43" s="13" t="str"/>
      <x:c r="I43" s="13" t="str">
        <x:v>OPEN</x:v>
      </x:c>
    </x:row>
    <x:row r="44" ht="38" customHeight="1">
      <x:c r="B44" s="13" t="str">
        <x:v>RAS-SC-038</x:v>
      </x:c>
      <x:c r="C44" s="13" t="str">
        <x:v>RFP-B2</x:v>
      </x:c>
      <x:c r="D44" s="13" t="str">
        <x:v>QE-01</x:v>
      </x:c>
      <x:c r="E44" s="13" t="str">
        <x:v>water</x:v>
      </x:c>
      <x:c r="F44" s="14" t="str">
        <x:v>supply, return, receiver, environment</x:v>
      </x:c>
      <x:c r="G44" s="14" t="str">
        <x:v>two sealed aliquots plus one archive</x:v>
      </x:c>
      <x:c r="H44" s="13" t="str"/>
      <x:c r="I44" s="13" t="str">
        <x:v>OPEN</x:v>
      </x:c>
    </x:row>
    <x:row r="45" ht="38" customHeight="1">
      <x:c r="B45" s="13" t="str">
        <x:v>RAS-SC-039</x:v>
      </x:c>
      <x:c r="C45" s="13" t="str">
        <x:v>RFP-B2</x:v>
      </x:c>
      <x:c r="D45" s="13" t="str">
        <x:v>QE-02</x:v>
      </x:c>
      <x:c r="E45" s="13" t="str">
        <x:v>source</x:v>
      </x:c>
      <x:c r="F45" s="14" t="str">
        <x:v>pre/post vessel, receiver, surface, environment</x:v>
      </x:c>
      <x:c r="G45" s="14" t="str">
        <x:v>two sealed aliquots plus one archive</x:v>
      </x:c>
      <x:c r="H45" s="13" t="str"/>
      <x:c r="I45" s="13" t="str">
        <x:v>OPEN</x:v>
      </x:c>
    </x:row>
    <x:row r="46" ht="38" customHeight="1">
      <x:c r="B46" s="13" t="str">
        <x:v>RAS-SC-040</x:v>
      </x:c>
      <x:c r="C46" s="13" t="str">
        <x:v>RFP-B2</x:v>
      </x:c>
      <x:c r="D46" s="13" t="str">
        <x:v>QE-02</x:v>
      </x:c>
      <x:c r="E46" s="13" t="str">
        <x:v>water</x:v>
      </x:c>
      <x:c r="F46" s="14" t="str">
        <x:v>supply, return, receiver, environment</x:v>
      </x:c>
      <x:c r="G46" s="14" t="str">
        <x:v>two sealed aliquots plus one archive</x:v>
      </x:c>
      <x:c r="H46" s="13" t="str"/>
      <x:c r="I46" s="13" t="str">
        <x:v>OPEN</x:v>
      </x:c>
    </x:row>
    <x:row r="47" ht="38" customHeight="1">
      <x:c r="B47" s="13" t="str">
        <x:v>RAS-SC-041</x:v>
      </x:c>
      <x:c r="C47" s="13" t="str">
        <x:v>RFP-B2</x:v>
      </x:c>
      <x:c r="D47" s="13" t="str">
        <x:v>QE-03</x:v>
      </x:c>
      <x:c r="E47" s="13" t="str">
        <x:v>source</x:v>
      </x:c>
      <x:c r="F47" s="14" t="str">
        <x:v>pre/post vessel, receiver, surface, environment</x:v>
      </x:c>
      <x:c r="G47" s="14" t="str">
        <x:v>two sealed aliquots plus one archive</x:v>
      </x:c>
      <x:c r="H47" s="13" t="str"/>
      <x:c r="I47" s="13" t="str">
        <x:v>OPEN</x:v>
      </x:c>
    </x:row>
    <x:row r="48" ht="38" customHeight="1">
      <x:c r="B48" s="13" t="str">
        <x:v>RAS-SC-042</x:v>
      </x:c>
      <x:c r="C48" s="13" t="str">
        <x:v>RFP-B2</x:v>
      </x:c>
      <x:c r="D48" s="13" t="str">
        <x:v>QE-03</x:v>
      </x:c>
      <x:c r="E48" s="13" t="str">
        <x:v>water</x:v>
      </x:c>
      <x:c r="F48" s="14" t="str">
        <x:v>supply, return, receiver, environment</x:v>
      </x:c>
      <x:c r="G48" s="14" t="str">
        <x:v>two sealed aliquots plus one archive</x:v>
      </x:c>
      <x:c r="H48" s="13" t="str"/>
      <x:c r="I48" s="13" t="str">
        <x:v>OPEN</x:v>
      </x:c>
    </x:row>
    <x:row r="49" ht="38" customHeight="1">
      <x:c r="B49" s="13" t="str">
        <x:v>RAS-SC-043</x:v>
      </x:c>
      <x:c r="C49" s="13" t="str">
        <x:v>RFP-B2</x:v>
      </x:c>
      <x:c r="D49" s="13" t="str">
        <x:v>QE-04</x:v>
      </x:c>
      <x:c r="E49" s="13" t="str">
        <x:v>source</x:v>
      </x:c>
      <x:c r="F49" s="14" t="str">
        <x:v>pre/post vessel, receiver, surface, environment</x:v>
      </x:c>
      <x:c r="G49" s="14" t="str">
        <x:v>two sealed aliquots plus one archive</x:v>
      </x:c>
      <x:c r="H49" s="13" t="str"/>
      <x:c r="I49" s="13" t="str">
        <x:v>OPEN</x:v>
      </x:c>
    </x:row>
    <x:row r="50" ht="38" customHeight="1">
      <x:c r="B50" s="13" t="str">
        <x:v>RAS-SC-044</x:v>
      </x:c>
      <x:c r="C50" s="13" t="str">
        <x:v>RFP-B2</x:v>
      </x:c>
      <x:c r="D50" s="13" t="str">
        <x:v>QE-04</x:v>
      </x:c>
      <x:c r="E50" s="13" t="str">
        <x:v>water</x:v>
      </x:c>
      <x:c r="F50" s="14" t="str">
        <x:v>supply, return, receiver, environment</x:v>
      </x:c>
      <x:c r="G50" s="14" t="str">
        <x:v>two sealed aliquots plus one archive</x:v>
      </x:c>
      <x:c r="H50" s="13" t="str"/>
      <x:c r="I50" s="13" t="str">
        <x:v>OPEN</x:v>
      </x:c>
    </x:row>
    <x:row r="51" ht="38" customHeight="1">
      <x:c r="B51" s="13" t="str">
        <x:v>RAS-SC-045</x:v>
      </x:c>
      <x:c r="C51" s="13" t="str">
        <x:v>RFP-B2</x:v>
      </x:c>
      <x:c r="D51" s="13" t="str">
        <x:v>QE-05</x:v>
      </x:c>
      <x:c r="E51" s="13" t="str">
        <x:v>source</x:v>
      </x:c>
      <x:c r="F51" s="14" t="str">
        <x:v>pre/post vessel, receiver, surface, environment</x:v>
      </x:c>
      <x:c r="G51" s="14" t="str">
        <x:v>two sealed aliquots plus one archive</x:v>
      </x:c>
      <x:c r="H51" s="13" t="str"/>
      <x:c r="I51" s="13" t="str">
        <x:v>OPEN</x:v>
      </x:c>
    </x:row>
    <x:row r="52" ht="38" customHeight="1">
      <x:c r="B52" s="13" t="str">
        <x:v>RAS-SC-046</x:v>
      </x:c>
      <x:c r="C52" s="13" t="str">
        <x:v>RFP-B2</x:v>
      </x:c>
      <x:c r="D52" s="13" t="str">
        <x:v>QE-05</x:v>
      </x:c>
      <x:c r="E52" s="13" t="str">
        <x:v>water</x:v>
      </x:c>
      <x:c r="F52" s="14" t="str">
        <x:v>supply, return, receiver, environment</x:v>
      </x:c>
      <x:c r="G52" s="14" t="str">
        <x:v>two sealed aliquots plus one archive</x:v>
      </x:c>
      <x:c r="H52" s="13" t="str"/>
      <x:c r="I52" s="13" t="str">
        <x:v>OPEN</x:v>
      </x:c>
    </x:row>
    <x:row r="53" ht="38" customHeight="1">
      <x:c r="B53" s="13" t="str">
        <x:v>RAS-SC-047</x:v>
      </x:c>
      <x:c r="C53" s="13" t="str">
        <x:v>RFP-B2</x:v>
      </x:c>
      <x:c r="D53" s="13" t="str">
        <x:v>QE-06</x:v>
      </x:c>
      <x:c r="E53" s="13" t="str">
        <x:v>source</x:v>
      </x:c>
      <x:c r="F53" s="14" t="str">
        <x:v>pre/post vessel, receiver, surface, environment</x:v>
      </x:c>
      <x:c r="G53" s="14" t="str">
        <x:v>two sealed aliquots plus one archive</x:v>
      </x:c>
      <x:c r="H53" s="13" t="str"/>
      <x:c r="I53" s="13" t="str">
        <x:v>OPEN</x:v>
      </x:c>
    </x:row>
    <x:row r="54" ht="38" customHeight="1">
      <x:c r="B54" s="13" t="str">
        <x:v>RAS-SC-048</x:v>
      </x:c>
      <x:c r="C54" s="13" t="str">
        <x:v>RFP-B2</x:v>
      </x:c>
      <x:c r="D54" s="13" t="str">
        <x:v>QE-06</x:v>
      </x:c>
      <x:c r="E54" s="13" t="str">
        <x:v>water</x:v>
      </x:c>
      <x:c r="F54" s="14" t="str">
        <x:v>supply, return, receiver, environment</x:v>
      </x:c>
      <x:c r="G54" s="14" t="str">
        <x:v>two sealed aliquots plus one archive</x:v>
      </x:c>
      <x:c r="H54" s="13" t="str"/>
      <x:c r="I54" s="13" t="str">
        <x:v>OPEN</x:v>
      </x:c>
    </x:row>
    <x:row r="55" ht="38" customHeight="1">
      <x:c r="B55" s="13" t="str">
        <x:v>RAS-SC-049</x:v>
      </x:c>
      <x:c r="C55" s="13" t="str">
        <x:v>RFP-C1</x:v>
      </x:c>
      <x:c r="D55" s="13" t="str">
        <x:v>QE-01</x:v>
      </x:c>
      <x:c r="E55" s="13" t="str">
        <x:v>source</x:v>
      </x:c>
      <x:c r="F55" s="14" t="str">
        <x:v>pre/post vessel, receiver, surface, environment</x:v>
      </x:c>
      <x:c r="G55" s="14" t="str">
        <x:v>two sealed aliquots plus one archive</x:v>
      </x:c>
      <x:c r="H55" s="13" t="str"/>
      <x:c r="I55" s="13" t="str">
        <x:v>OPEN</x:v>
      </x:c>
    </x:row>
    <x:row r="56" ht="38" customHeight="1">
      <x:c r="B56" s="13" t="str">
        <x:v>RAS-SC-050</x:v>
      </x:c>
      <x:c r="C56" s="13" t="str">
        <x:v>RFP-C1</x:v>
      </x:c>
      <x:c r="D56" s="13" t="str">
        <x:v>QE-01</x:v>
      </x:c>
      <x:c r="E56" s="13" t="str">
        <x:v>water</x:v>
      </x:c>
      <x:c r="F56" s="14" t="str">
        <x:v>supply, return, receiver, environment</x:v>
      </x:c>
      <x:c r="G56" s="14" t="str">
        <x:v>two sealed aliquots plus one archive</x:v>
      </x:c>
      <x:c r="H56" s="13" t="str"/>
      <x:c r="I56" s="13" t="str">
        <x:v>OPEN</x:v>
      </x:c>
    </x:row>
    <x:row r="57" ht="38" customHeight="1">
      <x:c r="B57" s="13" t="str">
        <x:v>RAS-SC-051</x:v>
      </x:c>
      <x:c r="C57" s="13" t="str">
        <x:v>RFP-C1</x:v>
      </x:c>
      <x:c r="D57" s="13" t="str">
        <x:v>QE-02</x:v>
      </x:c>
      <x:c r="E57" s="13" t="str">
        <x:v>source</x:v>
      </x:c>
      <x:c r="F57" s="14" t="str">
        <x:v>pre/post vessel, receiver, surface, environment</x:v>
      </x:c>
      <x:c r="G57" s="14" t="str">
        <x:v>two sealed aliquots plus one archive</x:v>
      </x:c>
      <x:c r="H57" s="13" t="str"/>
      <x:c r="I57" s="13" t="str">
        <x:v>OPEN</x:v>
      </x:c>
    </x:row>
    <x:row r="58" ht="38" customHeight="1">
      <x:c r="B58" s="13" t="str">
        <x:v>RAS-SC-052</x:v>
      </x:c>
      <x:c r="C58" s="13" t="str">
        <x:v>RFP-C1</x:v>
      </x:c>
      <x:c r="D58" s="13" t="str">
        <x:v>QE-02</x:v>
      </x:c>
      <x:c r="E58" s="13" t="str">
        <x:v>water</x:v>
      </x:c>
      <x:c r="F58" s="14" t="str">
        <x:v>supply, return, receiver, environment</x:v>
      </x:c>
      <x:c r="G58" s="14" t="str">
        <x:v>two sealed aliquots plus one archive</x:v>
      </x:c>
      <x:c r="H58" s="13" t="str"/>
      <x:c r="I58" s="13" t="str">
        <x:v>OPEN</x:v>
      </x:c>
    </x:row>
    <x:row r="59" ht="38" customHeight="1">
      <x:c r="B59" s="13" t="str">
        <x:v>RAS-SC-053</x:v>
      </x:c>
      <x:c r="C59" s="13" t="str">
        <x:v>RFP-C1</x:v>
      </x:c>
      <x:c r="D59" s="13" t="str">
        <x:v>QE-03</x:v>
      </x:c>
      <x:c r="E59" s="13" t="str">
        <x:v>source</x:v>
      </x:c>
      <x:c r="F59" s="14" t="str">
        <x:v>pre/post vessel, receiver, surface, environment</x:v>
      </x:c>
      <x:c r="G59" s="14" t="str">
        <x:v>two sealed aliquots plus one archive</x:v>
      </x:c>
      <x:c r="H59" s="13" t="str"/>
      <x:c r="I59" s="13" t="str">
        <x:v>OPEN</x:v>
      </x:c>
    </x:row>
    <x:row r="60" ht="38" customHeight="1">
      <x:c r="B60" s="13" t="str">
        <x:v>RAS-SC-054</x:v>
      </x:c>
      <x:c r="C60" s="13" t="str">
        <x:v>RFP-C1</x:v>
      </x:c>
      <x:c r="D60" s="13" t="str">
        <x:v>QE-03</x:v>
      </x:c>
      <x:c r="E60" s="13" t="str">
        <x:v>water</x:v>
      </x:c>
      <x:c r="F60" s="14" t="str">
        <x:v>supply, return, receiver, environment</x:v>
      </x:c>
      <x:c r="G60" s="14" t="str">
        <x:v>two sealed aliquots plus one archive</x:v>
      </x:c>
      <x:c r="H60" s="13" t="str"/>
      <x:c r="I60" s="13" t="str">
        <x:v>OPEN</x:v>
      </x:c>
    </x:row>
    <x:row r="61" ht="38" customHeight="1">
      <x:c r="B61" s="13" t="str">
        <x:v>RAS-SC-055</x:v>
      </x:c>
      <x:c r="C61" s="13" t="str">
        <x:v>RFP-C1</x:v>
      </x:c>
      <x:c r="D61" s="13" t="str">
        <x:v>QE-04</x:v>
      </x:c>
      <x:c r="E61" s="13" t="str">
        <x:v>source</x:v>
      </x:c>
      <x:c r="F61" s="14" t="str">
        <x:v>pre/post vessel, receiver, surface, environment</x:v>
      </x:c>
      <x:c r="G61" s="14" t="str">
        <x:v>two sealed aliquots plus one archive</x:v>
      </x:c>
      <x:c r="H61" s="13" t="str"/>
      <x:c r="I61" s="13" t="str">
        <x:v>OPEN</x:v>
      </x:c>
    </x:row>
    <x:row r="62" ht="38" customHeight="1">
      <x:c r="B62" s="13" t="str">
        <x:v>RAS-SC-056</x:v>
      </x:c>
      <x:c r="C62" s="13" t="str">
        <x:v>RFP-C1</x:v>
      </x:c>
      <x:c r="D62" s="13" t="str">
        <x:v>QE-04</x:v>
      </x:c>
      <x:c r="E62" s="13" t="str">
        <x:v>water</x:v>
      </x:c>
      <x:c r="F62" s="14" t="str">
        <x:v>supply, return, receiver, environment</x:v>
      </x:c>
      <x:c r="G62" s="14" t="str">
        <x:v>two sealed aliquots plus one archive</x:v>
      </x:c>
      <x:c r="H62" s="13" t="str"/>
      <x:c r="I62" s="13" t="str">
        <x:v>OPEN</x:v>
      </x:c>
    </x:row>
    <x:row r="63" ht="38" customHeight="1">
      <x:c r="B63" s="13" t="str">
        <x:v>RAS-SC-057</x:v>
      </x:c>
      <x:c r="C63" s="13" t="str">
        <x:v>RFP-C1</x:v>
      </x:c>
      <x:c r="D63" s="13" t="str">
        <x:v>QE-05</x:v>
      </x:c>
      <x:c r="E63" s="13" t="str">
        <x:v>source</x:v>
      </x:c>
      <x:c r="F63" s="14" t="str">
        <x:v>pre/post vessel, receiver, surface, environment</x:v>
      </x:c>
      <x:c r="G63" s="14" t="str">
        <x:v>two sealed aliquots plus one archive</x:v>
      </x:c>
      <x:c r="H63" s="13" t="str"/>
      <x:c r="I63" s="13" t="str">
        <x:v>OPEN</x:v>
      </x:c>
    </x:row>
    <x:row r="64" ht="38" customHeight="1">
      <x:c r="B64" s="13" t="str">
        <x:v>RAS-SC-058</x:v>
      </x:c>
      <x:c r="C64" s="13" t="str">
        <x:v>RFP-C1</x:v>
      </x:c>
      <x:c r="D64" s="13" t="str">
        <x:v>QE-05</x:v>
      </x:c>
      <x:c r="E64" s="13" t="str">
        <x:v>water</x:v>
      </x:c>
      <x:c r="F64" s="14" t="str">
        <x:v>supply, return, receiver, environment</x:v>
      </x:c>
      <x:c r="G64" s="14" t="str">
        <x:v>two sealed aliquots plus one archive</x:v>
      </x:c>
      <x:c r="H64" s="13" t="str"/>
      <x:c r="I64" s="13" t="str">
        <x:v>OPEN</x:v>
      </x:c>
    </x:row>
    <x:row r="65" ht="38" customHeight="1">
      <x:c r="B65" s="13" t="str">
        <x:v>RAS-SC-059</x:v>
      </x:c>
      <x:c r="C65" s="13" t="str">
        <x:v>RFP-C1</x:v>
      </x:c>
      <x:c r="D65" s="13" t="str">
        <x:v>QE-06</x:v>
      </x:c>
      <x:c r="E65" s="13" t="str">
        <x:v>source</x:v>
      </x:c>
      <x:c r="F65" s="14" t="str">
        <x:v>pre/post vessel, receiver, surface, environment</x:v>
      </x:c>
      <x:c r="G65" s="14" t="str">
        <x:v>two sealed aliquots plus one archive</x:v>
      </x:c>
      <x:c r="H65" s="13" t="str"/>
      <x:c r="I65" s="13" t="str">
        <x:v>OPEN</x:v>
      </x:c>
    </x:row>
    <x:row r="66" ht="38" customHeight="1">
      <x:c r="B66" s="13" t="str">
        <x:v>RAS-SC-060</x:v>
      </x:c>
      <x:c r="C66" s="13" t="str">
        <x:v>RFP-C1</x:v>
      </x:c>
      <x:c r="D66" s="13" t="str">
        <x:v>QE-06</x:v>
      </x:c>
      <x:c r="E66" s="13" t="str">
        <x:v>water</x:v>
      </x:c>
      <x:c r="F66" s="14" t="str">
        <x:v>supply, return, receiver, environment</x:v>
      </x:c>
      <x:c r="G66" s="14" t="str">
        <x:v>two sealed aliquots plus one archive</x:v>
      </x:c>
      <x:c r="H66" s="13" t="str"/>
      <x:c r="I66" s="13" t="str">
        <x:v>OPEN</x:v>
      </x:c>
    </x:row>
    <x:row r="67" ht="38" customHeight="1">
      <x:c r="B67" s="13" t="str">
        <x:v>RAS-SC-061</x:v>
      </x:c>
      <x:c r="C67" s="13" t="str">
        <x:v>RFP-C2</x:v>
      </x:c>
      <x:c r="D67" s="13" t="str">
        <x:v>QE-01</x:v>
      </x:c>
      <x:c r="E67" s="13" t="str">
        <x:v>source</x:v>
      </x:c>
      <x:c r="F67" s="14" t="str">
        <x:v>pre/post vessel, receiver, surface, environment</x:v>
      </x:c>
      <x:c r="G67" s="14" t="str">
        <x:v>two sealed aliquots plus one archive</x:v>
      </x:c>
      <x:c r="H67" s="13" t="str"/>
      <x:c r="I67" s="13" t="str">
        <x:v>OPEN</x:v>
      </x:c>
    </x:row>
    <x:row r="68" ht="38" customHeight="1">
      <x:c r="B68" s="13" t="str">
        <x:v>RAS-SC-062</x:v>
      </x:c>
      <x:c r="C68" s="13" t="str">
        <x:v>RFP-C2</x:v>
      </x:c>
      <x:c r="D68" s="13" t="str">
        <x:v>QE-01</x:v>
      </x:c>
      <x:c r="E68" s="13" t="str">
        <x:v>water</x:v>
      </x:c>
      <x:c r="F68" s="14" t="str">
        <x:v>supply, return, receiver, environment</x:v>
      </x:c>
      <x:c r="G68" s="14" t="str">
        <x:v>two sealed aliquots plus one archive</x:v>
      </x:c>
      <x:c r="H68" s="13" t="str"/>
      <x:c r="I68" s="13" t="str">
        <x:v>OPEN</x:v>
      </x:c>
    </x:row>
    <x:row r="69" ht="38" customHeight="1">
      <x:c r="B69" s="13" t="str">
        <x:v>RAS-SC-063</x:v>
      </x:c>
      <x:c r="C69" s="13" t="str">
        <x:v>RFP-C2</x:v>
      </x:c>
      <x:c r="D69" s="13" t="str">
        <x:v>QE-02</x:v>
      </x:c>
      <x:c r="E69" s="13" t="str">
        <x:v>source</x:v>
      </x:c>
      <x:c r="F69" s="14" t="str">
        <x:v>pre/post vessel, receiver, surface, environment</x:v>
      </x:c>
      <x:c r="G69" s="14" t="str">
        <x:v>two sealed aliquots plus one archive</x:v>
      </x:c>
      <x:c r="H69" s="13" t="str"/>
      <x:c r="I69" s="13" t="str">
        <x:v>OPEN</x:v>
      </x:c>
    </x:row>
    <x:row r="70" ht="38" customHeight="1">
      <x:c r="B70" s="13" t="str">
        <x:v>RAS-SC-064</x:v>
      </x:c>
      <x:c r="C70" s="13" t="str">
        <x:v>RFP-C2</x:v>
      </x:c>
      <x:c r="D70" s="13" t="str">
        <x:v>QE-02</x:v>
      </x:c>
      <x:c r="E70" s="13" t="str">
        <x:v>water</x:v>
      </x:c>
      <x:c r="F70" s="14" t="str">
        <x:v>supply, return, receiver, environment</x:v>
      </x:c>
      <x:c r="G70" s="14" t="str">
        <x:v>two sealed aliquots plus one archive</x:v>
      </x:c>
      <x:c r="H70" s="13" t="str"/>
      <x:c r="I70" s="13" t="str">
        <x:v>OPEN</x:v>
      </x:c>
    </x:row>
    <x:row r="71" ht="38" customHeight="1">
      <x:c r="B71" s="13" t="str">
        <x:v>RAS-SC-065</x:v>
      </x:c>
      <x:c r="C71" s="13" t="str">
        <x:v>RFP-C2</x:v>
      </x:c>
      <x:c r="D71" s="13" t="str">
        <x:v>QE-03</x:v>
      </x:c>
      <x:c r="E71" s="13" t="str">
        <x:v>source</x:v>
      </x:c>
      <x:c r="F71" s="14" t="str">
        <x:v>pre/post vessel, receiver, surface, environment</x:v>
      </x:c>
      <x:c r="G71" s="14" t="str">
        <x:v>two sealed aliquots plus one archive</x:v>
      </x:c>
      <x:c r="H71" s="13" t="str"/>
      <x:c r="I71" s="13" t="str">
        <x:v>OPEN</x:v>
      </x:c>
    </x:row>
    <x:row r="72" ht="38" customHeight="1">
      <x:c r="B72" s="13" t="str">
        <x:v>RAS-SC-066</x:v>
      </x:c>
      <x:c r="C72" s="13" t="str">
        <x:v>RFP-C2</x:v>
      </x:c>
      <x:c r="D72" s="13" t="str">
        <x:v>QE-03</x:v>
      </x:c>
      <x:c r="E72" s="13" t="str">
        <x:v>water</x:v>
      </x:c>
      <x:c r="F72" s="14" t="str">
        <x:v>supply, return, receiver, environment</x:v>
      </x:c>
      <x:c r="G72" s="14" t="str">
        <x:v>two sealed aliquots plus one archive</x:v>
      </x:c>
      <x:c r="H72" s="13" t="str"/>
      <x:c r="I72" s="13" t="str">
        <x:v>OPEN</x:v>
      </x:c>
    </x:row>
    <x:row r="73" ht="38" customHeight="1">
      <x:c r="B73" s="13" t="str">
        <x:v>RAS-SC-067</x:v>
      </x:c>
      <x:c r="C73" s="13" t="str">
        <x:v>RFP-C2</x:v>
      </x:c>
      <x:c r="D73" s="13" t="str">
        <x:v>QE-04</x:v>
      </x:c>
      <x:c r="E73" s="13" t="str">
        <x:v>source</x:v>
      </x:c>
      <x:c r="F73" s="14" t="str">
        <x:v>pre/post vessel, receiver, surface, environment</x:v>
      </x:c>
      <x:c r="G73" s="14" t="str">
        <x:v>two sealed aliquots plus one archive</x:v>
      </x:c>
      <x:c r="H73" s="13" t="str"/>
      <x:c r="I73" s="13" t="str">
        <x:v>OPEN</x:v>
      </x:c>
    </x:row>
    <x:row r="74" ht="38" customHeight="1">
      <x:c r="B74" s="13" t="str">
        <x:v>RAS-SC-068</x:v>
      </x:c>
      <x:c r="C74" s="13" t="str">
        <x:v>RFP-C2</x:v>
      </x:c>
      <x:c r="D74" s="13" t="str">
        <x:v>QE-04</x:v>
      </x:c>
      <x:c r="E74" s="13" t="str">
        <x:v>water</x:v>
      </x:c>
      <x:c r="F74" s="14" t="str">
        <x:v>supply, return, receiver, environment</x:v>
      </x:c>
      <x:c r="G74" s="14" t="str">
        <x:v>two sealed aliquots plus one archive</x:v>
      </x:c>
      <x:c r="H74" s="13" t="str"/>
      <x:c r="I74" s="13" t="str">
        <x:v>OPEN</x:v>
      </x:c>
    </x:row>
    <x:row r="75" ht="38" customHeight="1">
      <x:c r="B75" s="13" t="str">
        <x:v>RAS-SC-069</x:v>
      </x:c>
      <x:c r="C75" s="13" t="str">
        <x:v>RFP-C2</x:v>
      </x:c>
      <x:c r="D75" s="13" t="str">
        <x:v>QE-05</x:v>
      </x:c>
      <x:c r="E75" s="13" t="str">
        <x:v>source</x:v>
      </x:c>
      <x:c r="F75" s="14" t="str">
        <x:v>pre/post vessel, receiver, surface, environment</x:v>
      </x:c>
      <x:c r="G75" s="14" t="str">
        <x:v>two sealed aliquots plus one archive</x:v>
      </x:c>
      <x:c r="H75" s="13" t="str"/>
      <x:c r="I75" s="13" t="str">
        <x:v>OPEN</x:v>
      </x:c>
    </x:row>
    <x:row r="76" ht="38" customHeight="1">
      <x:c r="B76" s="13" t="str">
        <x:v>RAS-SC-070</x:v>
      </x:c>
      <x:c r="C76" s="13" t="str">
        <x:v>RFP-C2</x:v>
      </x:c>
      <x:c r="D76" s="13" t="str">
        <x:v>QE-05</x:v>
      </x:c>
      <x:c r="E76" s="13" t="str">
        <x:v>water</x:v>
      </x:c>
      <x:c r="F76" s="14" t="str">
        <x:v>supply, return, receiver, environment</x:v>
      </x:c>
      <x:c r="G76" s="14" t="str">
        <x:v>two sealed aliquots plus one archive</x:v>
      </x:c>
      <x:c r="H76" s="13" t="str"/>
      <x:c r="I76" s="13" t="str">
        <x:v>OPEN</x:v>
      </x:c>
    </x:row>
    <x:row r="77" ht="38" customHeight="1">
      <x:c r="B77" s="13" t="str">
        <x:v>RAS-SC-071</x:v>
      </x:c>
      <x:c r="C77" s="13" t="str">
        <x:v>RFP-C2</x:v>
      </x:c>
      <x:c r="D77" s="13" t="str">
        <x:v>QE-06</x:v>
      </x:c>
      <x:c r="E77" s="13" t="str">
        <x:v>source</x:v>
      </x:c>
      <x:c r="F77" s="14" t="str">
        <x:v>pre/post vessel, receiver, surface, environment</x:v>
      </x:c>
      <x:c r="G77" s="14" t="str">
        <x:v>two sealed aliquots plus one archive</x:v>
      </x:c>
      <x:c r="H77" s="13" t="str"/>
      <x:c r="I77" s="13" t="str">
        <x:v>OPEN</x:v>
      </x:c>
    </x:row>
    <x:row r="78" ht="38" customHeight="1">
      <x:c r="B78" s="13" t="str">
        <x:v>RAS-SC-072</x:v>
      </x:c>
      <x:c r="C78" s="13" t="str">
        <x:v>RFP-C2</x:v>
      </x:c>
      <x:c r="D78" s="13" t="str">
        <x:v>QE-06</x:v>
      </x:c>
      <x:c r="E78" s="13" t="str">
        <x:v>water</x:v>
      </x:c>
      <x:c r="F78" s="14" t="str">
        <x:v>supply, return, receiver, environment</x:v>
      </x:c>
      <x:c r="G78" s="14" t="str">
        <x:v>two sealed aliquots plus one archive</x:v>
      </x:c>
      <x:c r="H78" s="13" t="str"/>
      <x:c r="I78" s="13" t="str">
        <x:v>OPEN</x:v>
      </x:c>
    </x:row>
  </x:sheetData>
  <x:conditionalFormatting sqref="I7:I78">
    <x:cfRule type="containsText" dxfId="144" priority="1" operator="containsText" text="FAIL"/>
    <x:cfRule type="containsText" dxfId="145" priority="2" operator="containsText" text="INVALID"/>
    <x:cfRule type="containsText" dxfId="146" priority="3" operator="containsText" text="BLOCKED"/>
    <x:cfRule type="containsText" dxfId="147" priority="4" operator="containsText" text="OPEN"/>
    <x:cfRule type="containsText" dxfId="148" priority="5" operator="containsText" text="GAP"/>
    <x:cfRule type="containsText" dxfId="149" priority="6" operator="containsText" text="DORMANT"/>
    <x:cfRule type="containsText" dxfId="150" priority="7" operator="containsText" text="PASS"/>
    <x:cfRule type="containsText" dxfId="151" priority="8" operator="containsText" text="VALID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2" hidden="0" customWidth="1"/>
    <x:col min="5" max="5" width="14" hidden="0" customWidth="1"/>
    <x:col min="6" max="6" width="20" hidden="0" customWidth="1"/>
    <x:col min="7" max="7" width="19" hidden="0" customWidth="1"/>
    <x:col min="8" max="8" width="17" hidden="0" customWidth="1"/>
    <x:col min="9" max="9" width="22" hidden="0" customWidth="1"/>
    <x:col min="10" max="10" width="16" hidden="0" customWidth="1"/>
    <x:col min="11" max="11" width="17" hidden="0" customWidth="1"/>
    <x:col min="12" max="12" width="15" hidden="0" customWidth="1"/>
    <x:col min="13" max="13" width="14" hidden="0" customWidth="1"/>
    <x:col min="1" max="1" width="3" hidden="0" customWidth="1"/>
  </x:cols>
  <x:sheetData>
    <x:row r="2">
      <x:c r="B2" s="12" t="str">
        <x:v>Twenty-four method-root-class uncertainty budgets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B3" s="2" t="str">
        <x:v>Components remain blank until calibrated; expanded uncertainty is root-specific and cannot be copied between methods.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</x:row>
    <x:row r="6" ht="24" customHeight="1">
      <x:c r="B6" s="6" t="str">
        <x:v>Budget</x:v>
      </x:c>
      <x:c r="C6" s="6" t="str">
        <x:v>Method</x:v>
      </x:c>
      <x:c r="D6" s="6" t="str">
        <x:v>Root</x:v>
      </x:c>
      <x:c r="E6" s="6" t="str">
        <x:v>Class</x:v>
      </x:c>
      <x:c r="F6" s="6" t="str">
        <x:v>Source mass kg</x:v>
      </x:c>
      <x:c r="G6" s="6" t="str">
        <x:v>Destination kg</x:v>
      </x:c>
      <x:c r="H6" s="6" t="str">
        <x:v>Ancestry kg</x:v>
      </x:c>
      <x:c r="I6" s="6" t="str">
        <x:v>Thermal/time kg eq</x:v>
      </x:c>
      <x:c r="J6" s="6" t="str">
        <x:v>RSS kg</x:v>
      </x:c>
      <x:c r="K6" s="6" t="str">
        <x:v>Tolerance kg</x:v>
      </x:c>
      <x:c r="L6" s="6" t="str">
        <x:v>Accepted</x:v>
      </x:c>
      <x:c r="M6" s="6" t="str">
        <x:v>State</x:v>
      </x:c>
      <x:c r="N6" s="13"/>
    </x:row>
    <x:row r="7">
      <x:c r="B7" s="13" t="str">
        <x:v>RAS-U-01</x:v>
      </x:c>
      <x:c r="C7" s="13" t="str">
        <x:v>AM-05</x:v>
      </x:c>
      <x:c r="D7" s="13" t="str">
        <x:v>TR-A</x:v>
      </x:c>
      <x:c r="E7" s="13" t="str">
        <x:v>QE-01</x:v>
      </x:c>
      <x:c r="F7" s="13" t="str"/>
      <x:c r="G7" s="13" t="str"/>
      <x:c r="H7" s="13" t="str"/>
      <x:c r="I7" s="13" t="str"/>
      <x:c r="J7" s="13" t="str">
        <x:f>IF(COUNT(F7:I7)&lt;4,"",SQRT(SUMSQ(F7:I7))*2)</x:f>
      </x:c>
      <x:c r="K7" s="13" t="n">
        <x:v>5</x:v>
      </x:c>
      <x:c r="L7" s="13" t="str"/>
      <x:c r="M7" s="13" t="str">
        <x:f>IF(L7=1,IF(AND(COUNT(J7)=1,J7&lt;=K7),"PASS","FAIL"),"OPEN")</x:f>
        <x:v>OPEN</x:v>
      </x:c>
      <x:c r="N7" s="13" t="str">
        <x:v>OPEN</x:v>
      </x:c>
    </x:row>
    <x:row r="8">
      <x:c r="B8" s="13" t="str">
        <x:v>RAS-U-02</x:v>
      </x:c>
      <x:c r="C8" s="13" t="str">
        <x:v>AM-05</x:v>
      </x:c>
      <x:c r="D8" s="13" t="str">
        <x:v>TR-A</x:v>
      </x:c>
      <x:c r="E8" s="13" t="str">
        <x:v>QE-02</x:v>
      </x:c>
      <x:c r="F8" s="13" t="str"/>
      <x:c r="G8" s="13" t="str"/>
      <x:c r="H8" s="13" t="str"/>
      <x:c r="I8" s="13" t="str"/>
      <x:c r="J8" s="13" t="str">
        <x:f>IF(COUNT(F8:I8)&lt;4,"",SQRT(SUMSQ(F8:I8))*2)</x:f>
      </x:c>
      <x:c r="K8" s="13" t="n">
        <x:v>5</x:v>
      </x:c>
      <x:c r="L8" s="13" t="str"/>
      <x:c r="M8" s="13" t="str">
        <x:f>IF(L8=1,IF(AND(COUNT(J8)=1,J8&lt;=K8),"PASS","FAIL"),"OPEN")</x:f>
        <x:v>OPEN</x:v>
      </x:c>
      <x:c r="N8" s="13" t="str">
        <x:v>OPEN</x:v>
      </x:c>
    </x:row>
    <x:row r="9">
      <x:c r="B9" s="13" t="str">
        <x:v>RAS-U-03</x:v>
      </x:c>
      <x:c r="C9" s="13" t="str">
        <x:v>AM-05</x:v>
      </x:c>
      <x:c r="D9" s="13" t="str">
        <x:v>TR-A</x:v>
      </x:c>
      <x:c r="E9" s="13" t="str">
        <x:v>QE-03</x:v>
      </x:c>
      <x:c r="F9" s="13" t="str"/>
      <x:c r="G9" s="13" t="str"/>
      <x:c r="H9" s="13" t="str"/>
      <x:c r="I9" s="13" t="str"/>
      <x:c r="J9" s="13" t="str">
        <x:f>IF(COUNT(F9:I9)&lt;4,"",SQRT(SUMSQ(F9:I9))*2)</x:f>
      </x:c>
      <x:c r="K9" s="13" t="n">
        <x:v>5</x:v>
      </x:c>
      <x:c r="L9" s="13" t="str"/>
      <x:c r="M9" s="13" t="str">
        <x:f>IF(L9=1,IF(AND(COUNT(J9)=1,J9&lt;=K9),"PASS","FAIL"),"OPEN")</x:f>
        <x:v>OPEN</x:v>
      </x:c>
      <x:c r="N9" s="13" t="str">
        <x:v>OPEN</x:v>
      </x:c>
    </x:row>
    <x:row r="10">
      <x:c r="B10" s="13" t="str">
        <x:v>RAS-U-04</x:v>
      </x:c>
      <x:c r="C10" s="13" t="str">
        <x:v>AM-05</x:v>
      </x:c>
      <x:c r="D10" s="13" t="str">
        <x:v>TR-A</x:v>
      </x:c>
      <x:c r="E10" s="13" t="str">
        <x:v>QE-04</x:v>
      </x:c>
      <x:c r="F10" s="13" t="str"/>
      <x:c r="G10" s="13" t="str"/>
      <x:c r="H10" s="13" t="str"/>
      <x:c r="I10" s="13" t="str"/>
      <x:c r="J10" s="13" t="str">
        <x:f>IF(COUNT(F10:I10)&lt;4,"",SQRT(SUMSQ(F10:I10))*2)</x:f>
      </x:c>
      <x:c r="K10" s="13" t="n">
        <x:v>5</x:v>
      </x:c>
      <x:c r="L10" s="13" t="str"/>
      <x:c r="M10" s="13" t="str">
        <x:f>IF(L10=1,IF(AND(COUNT(J10)=1,J10&lt;=K10),"PASS","FAIL"),"OPEN")</x:f>
        <x:v>OPEN</x:v>
      </x:c>
      <x:c r="N10" s="13" t="str">
        <x:v>OPEN</x:v>
      </x:c>
    </x:row>
    <x:row r="11">
      <x:c r="B11" s="13" t="str">
        <x:v>RAS-U-05</x:v>
      </x:c>
      <x:c r="C11" s="13" t="str">
        <x:v>AM-05</x:v>
      </x:c>
      <x:c r="D11" s="13" t="str">
        <x:v>TR-A</x:v>
      </x:c>
      <x:c r="E11" s="13" t="str">
        <x:v>QE-05</x:v>
      </x:c>
      <x:c r="F11" s="13" t="str"/>
      <x:c r="G11" s="13" t="str"/>
      <x:c r="H11" s="13" t="str"/>
      <x:c r="I11" s="13" t="str"/>
      <x:c r="J11" s="13" t="str">
        <x:f>IF(COUNT(F11:I11)&lt;4,"",SQRT(SUMSQ(F11:I11))*2)</x:f>
      </x:c>
      <x:c r="K11" s="13" t="n">
        <x:v>5</x:v>
      </x:c>
      <x:c r="L11" s="13" t="str"/>
      <x:c r="M11" s="13" t="str">
        <x:f>IF(L11=1,IF(AND(COUNT(J11)=1,J11&lt;=K11),"PASS","FAIL"),"OPEN")</x:f>
        <x:v>OPEN</x:v>
      </x:c>
      <x:c r="N11" s="13" t="str">
        <x:v>OPEN</x:v>
      </x:c>
    </x:row>
    <x:row r="12">
      <x:c r="B12" s="13" t="str">
        <x:v>RAS-U-06</x:v>
      </x:c>
      <x:c r="C12" s="13" t="str">
        <x:v>AM-05</x:v>
      </x:c>
      <x:c r="D12" s="13" t="str">
        <x:v>TR-A</x:v>
      </x:c>
      <x:c r="E12" s="13" t="str">
        <x:v>QE-06</x:v>
      </x:c>
      <x:c r="F12" s="13" t="str"/>
      <x:c r="G12" s="13" t="str"/>
      <x:c r="H12" s="13" t="str"/>
      <x:c r="I12" s="13" t="str"/>
      <x:c r="J12" s="13" t="str">
        <x:f>IF(COUNT(F12:I12)&lt;4,"",SQRT(SUMSQ(F12:I12))*2)</x:f>
      </x:c>
      <x:c r="K12" s="13" t="n">
        <x:v>5</x:v>
      </x:c>
      <x:c r="L12" s="13" t="str"/>
      <x:c r="M12" s="13" t="str">
        <x:f>IF(L12=1,IF(AND(COUNT(J12)=1,J12&lt;=K12),"PASS","FAIL"),"OPEN")</x:f>
        <x:v>OPEN</x:v>
      </x:c>
      <x:c r="N12" s="13" t="str">
        <x:v>OPEN</x:v>
      </x:c>
    </x:row>
    <x:row r="13">
      <x:c r="B13" s="13" t="str">
        <x:v>RAS-U-07</x:v>
      </x:c>
      <x:c r="C13" s="13" t="str">
        <x:v>AM-05</x:v>
      </x:c>
      <x:c r="D13" s="13" t="str">
        <x:v>TR-B</x:v>
      </x:c>
      <x:c r="E13" s="13" t="str">
        <x:v>QE-01</x:v>
      </x:c>
      <x:c r="F13" s="13" t="str"/>
      <x:c r="G13" s="13" t="str"/>
      <x:c r="H13" s="13" t="str"/>
      <x:c r="I13" s="13" t="str"/>
      <x:c r="J13" s="13" t="str">
        <x:f>IF(COUNT(F13:I13)&lt;4,"",SQRT(SUMSQ(F13:I13))*2)</x:f>
      </x:c>
      <x:c r="K13" s="13" t="n">
        <x:v>5</x:v>
      </x:c>
      <x:c r="L13" s="13" t="str"/>
      <x:c r="M13" s="13" t="str">
        <x:f>IF(L13=1,IF(AND(COUNT(J13)=1,J13&lt;=K13),"PASS","FAIL"),"OPEN")</x:f>
        <x:v>OPEN</x:v>
      </x:c>
      <x:c r="N13" s="13" t="str">
        <x:v>OPEN</x:v>
      </x:c>
    </x:row>
    <x:row r="14">
      <x:c r="B14" s="13" t="str">
        <x:v>RAS-U-08</x:v>
      </x:c>
      <x:c r="C14" s="13" t="str">
        <x:v>AM-05</x:v>
      </x:c>
      <x:c r="D14" s="13" t="str">
        <x:v>TR-B</x:v>
      </x:c>
      <x:c r="E14" s="13" t="str">
        <x:v>QE-02</x:v>
      </x:c>
      <x:c r="F14" s="13" t="str"/>
      <x:c r="G14" s="13" t="str"/>
      <x:c r="H14" s="13" t="str"/>
      <x:c r="I14" s="13" t="str"/>
      <x:c r="J14" s="13" t="str">
        <x:f>IF(COUNT(F14:I14)&lt;4,"",SQRT(SUMSQ(F14:I14))*2)</x:f>
      </x:c>
      <x:c r="K14" s="13" t="n">
        <x:v>5</x:v>
      </x:c>
      <x:c r="L14" s="13" t="str"/>
      <x:c r="M14" s="13" t="str">
        <x:f>IF(L14=1,IF(AND(COUNT(J14)=1,J14&lt;=K14),"PASS","FAIL"),"OPEN")</x:f>
        <x:v>OPEN</x:v>
      </x:c>
      <x:c r="N14" s="13" t="str">
        <x:v>OPEN</x:v>
      </x:c>
    </x:row>
    <x:row r="15">
      <x:c r="B15" s="13" t="str">
        <x:v>RAS-U-09</x:v>
      </x:c>
      <x:c r="C15" s="13" t="str">
        <x:v>AM-05</x:v>
      </x:c>
      <x:c r="D15" s="13" t="str">
        <x:v>TR-B</x:v>
      </x:c>
      <x:c r="E15" s="13" t="str">
        <x:v>QE-03</x:v>
      </x:c>
      <x:c r="F15" s="13" t="str"/>
      <x:c r="G15" s="13" t="str"/>
      <x:c r="H15" s="13" t="str"/>
      <x:c r="I15" s="13" t="str"/>
      <x:c r="J15" s="13" t="str">
        <x:f>IF(COUNT(F15:I15)&lt;4,"",SQRT(SUMSQ(F15:I15))*2)</x:f>
      </x:c>
      <x:c r="K15" s="13" t="n">
        <x:v>5</x:v>
      </x:c>
      <x:c r="L15" s="13" t="str"/>
      <x:c r="M15" s="13" t="str">
        <x:f>IF(L15=1,IF(AND(COUNT(J15)=1,J15&lt;=K15),"PASS","FAIL"),"OPEN")</x:f>
        <x:v>OPEN</x:v>
      </x:c>
      <x:c r="N15" s="13" t="str">
        <x:v>OPEN</x:v>
      </x:c>
    </x:row>
    <x:row r="16">
      <x:c r="B16" s="13" t="str">
        <x:v>RAS-U-10</x:v>
      </x:c>
      <x:c r="C16" s="13" t="str">
        <x:v>AM-05</x:v>
      </x:c>
      <x:c r="D16" s="13" t="str">
        <x:v>TR-B</x:v>
      </x:c>
      <x:c r="E16" s="13" t="str">
        <x:v>QE-04</x:v>
      </x:c>
      <x:c r="F16" s="13" t="str"/>
      <x:c r="G16" s="13" t="str"/>
      <x:c r="H16" s="13" t="str"/>
      <x:c r="I16" s="13" t="str"/>
      <x:c r="J16" s="13" t="str">
        <x:f>IF(COUNT(F16:I16)&lt;4,"",SQRT(SUMSQ(F16:I16))*2)</x:f>
      </x:c>
      <x:c r="K16" s="13" t="n">
        <x:v>5</x:v>
      </x:c>
      <x:c r="L16" s="13" t="str"/>
      <x:c r="M16" s="13" t="str">
        <x:f>IF(L16=1,IF(AND(COUNT(J16)=1,J16&lt;=K16),"PASS","FAIL"),"OPEN")</x:f>
        <x:v>OPEN</x:v>
      </x:c>
      <x:c r="N16" s="13" t="str">
        <x:v>OPEN</x:v>
      </x:c>
    </x:row>
    <x:row r="17">
      <x:c r="B17" s="13" t="str">
        <x:v>RAS-U-11</x:v>
      </x:c>
      <x:c r="C17" s="13" t="str">
        <x:v>AM-05</x:v>
      </x:c>
      <x:c r="D17" s="13" t="str">
        <x:v>TR-B</x:v>
      </x:c>
      <x:c r="E17" s="13" t="str">
        <x:v>QE-05</x:v>
      </x:c>
      <x:c r="F17" s="13" t="str"/>
      <x:c r="G17" s="13" t="str"/>
      <x:c r="H17" s="13" t="str"/>
      <x:c r="I17" s="13" t="str"/>
      <x:c r="J17" s="13" t="str">
        <x:f>IF(COUNT(F17:I17)&lt;4,"",SQRT(SUMSQ(F17:I17))*2)</x:f>
      </x:c>
      <x:c r="K17" s="13" t="n">
        <x:v>5</x:v>
      </x:c>
      <x:c r="L17" s="13" t="str"/>
      <x:c r="M17" s="13" t="str">
        <x:f>IF(L17=1,IF(AND(COUNT(J17)=1,J17&lt;=K17),"PASS","FAIL"),"OPEN")</x:f>
        <x:v>OPEN</x:v>
      </x:c>
      <x:c r="N17" s="13" t="str">
        <x:v>OPEN</x:v>
      </x:c>
    </x:row>
    <x:row r="18">
      <x:c r="B18" s="13" t="str">
        <x:v>RAS-U-12</x:v>
      </x:c>
      <x:c r="C18" s="13" t="str">
        <x:v>AM-05</x:v>
      </x:c>
      <x:c r="D18" s="13" t="str">
        <x:v>TR-B</x:v>
      </x:c>
      <x:c r="E18" s="13" t="str">
        <x:v>QE-06</x:v>
      </x:c>
      <x:c r="F18" s="13" t="str"/>
      <x:c r="G18" s="13" t="str"/>
      <x:c r="H18" s="13" t="str"/>
      <x:c r="I18" s="13" t="str"/>
      <x:c r="J18" s="13" t="str">
        <x:f>IF(COUNT(F18:I18)&lt;4,"",SQRT(SUMSQ(F18:I18))*2)</x:f>
      </x:c>
      <x:c r="K18" s="13" t="n">
        <x:v>5</x:v>
      </x:c>
      <x:c r="L18" s="13" t="str"/>
      <x:c r="M18" s="13" t="str">
        <x:f>IF(L18=1,IF(AND(COUNT(J18)=1,J18&lt;=K18),"PASS","FAIL"),"OPEN")</x:f>
        <x:v>OPEN</x:v>
      </x:c>
      <x:c r="N18" s="13" t="str">
        <x:v>OPEN</x:v>
      </x:c>
    </x:row>
    <x:row r="19">
      <x:c r="B19" s="13" t="str">
        <x:v>RAS-U-13</x:v>
      </x:c>
      <x:c r="C19" s="13" t="str">
        <x:v>AM-06</x:v>
      </x:c>
      <x:c r="D19" s="13" t="str">
        <x:v>TR-A</x:v>
      </x:c>
      <x:c r="E19" s="13" t="str">
        <x:v>QE-01</x:v>
      </x:c>
      <x:c r="F19" s="13" t="str"/>
      <x:c r="G19" s="13" t="str"/>
      <x:c r="H19" s="13" t="str"/>
      <x:c r="I19" s="13" t="str"/>
      <x:c r="J19" s="13" t="str">
        <x:f>IF(COUNT(F19:I19)&lt;4,"",SQRT(SUMSQ(F19:I19))*2)</x:f>
      </x:c>
      <x:c r="K19" s="13" t="n">
        <x:v>6</x:v>
      </x:c>
      <x:c r="L19" s="13" t="str"/>
      <x:c r="M19" s="13" t="str">
        <x:f>IF(L19=1,IF(AND(COUNT(J19)=1,J19&lt;=K19),"PASS","FAIL"),"OPEN")</x:f>
        <x:v>OPEN</x:v>
      </x:c>
      <x:c r="N19" s="13" t="str">
        <x:v>OPEN</x:v>
      </x:c>
    </x:row>
    <x:row r="20">
      <x:c r="B20" s="13" t="str">
        <x:v>RAS-U-14</x:v>
      </x:c>
      <x:c r="C20" s="13" t="str">
        <x:v>AM-06</x:v>
      </x:c>
      <x:c r="D20" s="13" t="str">
        <x:v>TR-A</x:v>
      </x:c>
      <x:c r="E20" s="13" t="str">
        <x:v>QE-02</x:v>
      </x:c>
      <x:c r="F20" s="13" t="str"/>
      <x:c r="G20" s="13" t="str"/>
      <x:c r="H20" s="13" t="str"/>
      <x:c r="I20" s="13" t="str"/>
      <x:c r="J20" s="13" t="str">
        <x:f>IF(COUNT(F20:I20)&lt;4,"",SQRT(SUMSQ(F20:I20))*2)</x:f>
      </x:c>
      <x:c r="K20" s="13" t="n">
        <x:v>6</x:v>
      </x:c>
      <x:c r="L20" s="13" t="str"/>
      <x:c r="M20" s="13" t="str">
        <x:f>IF(L20=1,IF(AND(COUNT(J20)=1,J20&lt;=K20),"PASS","FAIL"),"OPEN")</x:f>
        <x:v>OPEN</x:v>
      </x:c>
      <x:c r="N20" s="13" t="str">
        <x:v>OPEN</x:v>
      </x:c>
    </x:row>
    <x:row r="21">
      <x:c r="B21" s="13" t="str">
        <x:v>RAS-U-15</x:v>
      </x:c>
      <x:c r="C21" s="13" t="str">
        <x:v>AM-06</x:v>
      </x:c>
      <x:c r="D21" s="13" t="str">
        <x:v>TR-A</x:v>
      </x:c>
      <x:c r="E21" s="13" t="str">
        <x:v>QE-03</x:v>
      </x:c>
      <x:c r="F21" s="13" t="str"/>
      <x:c r="G21" s="13" t="str"/>
      <x:c r="H21" s="13" t="str"/>
      <x:c r="I21" s="13" t="str"/>
      <x:c r="J21" s="13" t="str">
        <x:f>IF(COUNT(F21:I21)&lt;4,"",SQRT(SUMSQ(F21:I21))*2)</x:f>
      </x:c>
      <x:c r="K21" s="13" t="n">
        <x:v>6</x:v>
      </x:c>
      <x:c r="L21" s="13" t="str"/>
      <x:c r="M21" s="13" t="str">
        <x:f>IF(L21=1,IF(AND(COUNT(J21)=1,J21&lt;=K21),"PASS","FAIL"),"OPEN")</x:f>
        <x:v>OPEN</x:v>
      </x:c>
      <x:c r="N21" s="13" t="str">
        <x:v>OPEN</x:v>
      </x:c>
    </x:row>
    <x:row r="22">
      <x:c r="B22" s="13" t="str">
        <x:v>RAS-U-16</x:v>
      </x:c>
      <x:c r="C22" s="13" t="str">
        <x:v>AM-06</x:v>
      </x:c>
      <x:c r="D22" s="13" t="str">
        <x:v>TR-A</x:v>
      </x:c>
      <x:c r="E22" s="13" t="str">
        <x:v>QE-04</x:v>
      </x:c>
      <x:c r="F22" s="13" t="str"/>
      <x:c r="G22" s="13" t="str"/>
      <x:c r="H22" s="13" t="str"/>
      <x:c r="I22" s="13" t="str"/>
      <x:c r="J22" s="13" t="str">
        <x:f>IF(COUNT(F22:I22)&lt;4,"",SQRT(SUMSQ(F22:I22))*2)</x:f>
      </x:c>
      <x:c r="K22" s="13" t="n">
        <x:v>6</x:v>
      </x:c>
      <x:c r="L22" s="13" t="str"/>
      <x:c r="M22" s="13" t="str">
        <x:f>IF(L22=1,IF(AND(COUNT(J22)=1,J22&lt;=K22),"PASS","FAIL"),"OPEN")</x:f>
        <x:v>OPEN</x:v>
      </x:c>
      <x:c r="N22" s="13" t="str">
        <x:v>OPEN</x:v>
      </x:c>
    </x:row>
    <x:row r="23">
      <x:c r="B23" s="13" t="str">
        <x:v>RAS-U-17</x:v>
      </x:c>
      <x:c r="C23" s="13" t="str">
        <x:v>AM-06</x:v>
      </x:c>
      <x:c r="D23" s="13" t="str">
        <x:v>TR-A</x:v>
      </x:c>
      <x:c r="E23" s="13" t="str">
        <x:v>QE-05</x:v>
      </x:c>
      <x:c r="F23" s="13" t="str"/>
      <x:c r="G23" s="13" t="str"/>
      <x:c r="H23" s="13" t="str"/>
      <x:c r="I23" s="13" t="str"/>
      <x:c r="J23" s="13" t="str">
        <x:f>IF(COUNT(F23:I23)&lt;4,"",SQRT(SUMSQ(F23:I23))*2)</x:f>
      </x:c>
      <x:c r="K23" s="13" t="n">
        <x:v>6</x:v>
      </x:c>
      <x:c r="L23" s="13" t="str"/>
      <x:c r="M23" s="13" t="str">
        <x:f>IF(L23=1,IF(AND(COUNT(J23)=1,J23&lt;=K23),"PASS","FAIL"),"OPEN")</x:f>
        <x:v>OPEN</x:v>
      </x:c>
      <x:c r="N23" s="13" t="str">
        <x:v>OPEN</x:v>
      </x:c>
    </x:row>
    <x:row r="24">
      <x:c r="B24" s="13" t="str">
        <x:v>RAS-U-18</x:v>
      </x:c>
      <x:c r="C24" s="13" t="str">
        <x:v>AM-06</x:v>
      </x:c>
      <x:c r="D24" s="13" t="str">
        <x:v>TR-A</x:v>
      </x:c>
      <x:c r="E24" s="13" t="str">
        <x:v>QE-06</x:v>
      </x:c>
      <x:c r="F24" s="13" t="str"/>
      <x:c r="G24" s="13" t="str"/>
      <x:c r="H24" s="13" t="str"/>
      <x:c r="I24" s="13" t="str"/>
      <x:c r="J24" s="13" t="str">
        <x:f>IF(COUNT(F24:I24)&lt;4,"",SQRT(SUMSQ(F24:I24))*2)</x:f>
      </x:c>
      <x:c r="K24" s="13" t="n">
        <x:v>6</x:v>
      </x:c>
      <x:c r="L24" s="13" t="str"/>
      <x:c r="M24" s="13" t="str">
        <x:f>IF(L24=1,IF(AND(COUNT(J24)=1,J24&lt;=K24),"PASS","FAIL"),"OPEN")</x:f>
        <x:v>OPEN</x:v>
      </x:c>
      <x:c r="N24" s="13" t="str">
        <x:v>OPEN</x:v>
      </x:c>
    </x:row>
    <x:row r="25">
      <x:c r="B25" s="13" t="str">
        <x:v>RAS-U-19</x:v>
      </x:c>
      <x:c r="C25" s="13" t="str">
        <x:v>AM-06</x:v>
      </x:c>
      <x:c r="D25" s="13" t="str">
        <x:v>TR-B</x:v>
      </x:c>
      <x:c r="E25" s="13" t="str">
        <x:v>QE-01</x:v>
      </x:c>
      <x:c r="F25" s="13" t="str"/>
      <x:c r="G25" s="13" t="str"/>
      <x:c r="H25" s="13" t="str"/>
      <x:c r="I25" s="13" t="str"/>
      <x:c r="J25" s="13" t="str">
        <x:f>IF(COUNT(F25:I25)&lt;4,"",SQRT(SUMSQ(F25:I25))*2)</x:f>
      </x:c>
      <x:c r="K25" s="13" t="n">
        <x:v>6</x:v>
      </x:c>
      <x:c r="L25" s="13" t="str"/>
      <x:c r="M25" s="13" t="str">
        <x:f>IF(L25=1,IF(AND(COUNT(J25)=1,J25&lt;=K25),"PASS","FAIL"),"OPEN")</x:f>
        <x:v>OPEN</x:v>
      </x:c>
      <x:c r="N25" s="13" t="str">
        <x:v>OPEN</x:v>
      </x:c>
    </x:row>
    <x:row r="26">
      <x:c r="B26" s="13" t="str">
        <x:v>RAS-U-20</x:v>
      </x:c>
      <x:c r="C26" s="13" t="str">
        <x:v>AM-06</x:v>
      </x:c>
      <x:c r="D26" s="13" t="str">
        <x:v>TR-B</x:v>
      </x:c>
      <x:c r="E26" s="13" t="str">
        <x:v>QE-02</x:v>
      </x:c>
      <x:c r="F26" s="13" t="str"/>
      <x:c r="G26" s="13" t="str"/>
      <x:c r="H26" s="13" t="str"/>
      <x:c r="I26" s="13" t="str"/>
      <x:c r="J26" s="13" t="str">
        <x:f>IF(COUNT(F26:I26)&lt;4,"",SQRT(SUMSQ(F26:I26))*2)</x:f>
      </x:c>
      <x:c r="K26" s="13" t="n">
        <x:v>6</x:v>
      </x:c>
      <x:c r="L26" s="13" t="str"/>
      <x:c r="M26" s="13" t="str">
        <x:f>IF(L26=1,IF(AND(COUNT(J26)=1,J26&lt;=K26),"PASS","FAIL"),"OPEN")</x:f>
        <x:v>OPEN</x:v>
      </x:c>
      <x:c r="N26" s="13" t="str">
        <x:v>OPEN</x:v>
      </x:c>
    </x:row>
    <x:row r="27">
      <x:c r="B27" s="13" t="str">
        <x:v>RAS-U-21</x:v>
      </x:c>
      <x:c r="C27" s="13" t="str">
        <x:v>AM-06</x:v>
      </x:c>
      <x:c r="D27" s="13" t="str">
        <x:v>TR-B</x:v>
      </x:c>
      <x:c r="E27" s="13" t="str">
        <x:v>QE-03</x:v>
      </x:c>
      <x:c r="F27" s="13" t="str"/>
      <x:c r="G27" s="13" t="str"/>
      <x:c r="H27" s="13" t="str"/>
      <x:c r="I27" s="13" t="str"/>
      <x:c r="J27" s="13" t="str">
        <x:f>IF(COUNT(F27:I27)&lt;4,"",SQRT(SUMSQ(F27:I27))*2)</x:f>
      </x:c>
      <x:c r="K27" s="13" t="n">
        <x:v>6</x:v>
      </x:c>
      <x:c r="L27" s="13" t="str"/>
      <x:c r="M27" s="13" t="str">
        <x:f>IF(L27=1,IF(AND(COUNT(J27)=1,J27&lt;=K27),"PASS","FAIL"),"OPEN")</x:f>
        <x:v>OPEN</x:v>
      </x:c>
      <x:c r="N27" s="13" t="str">
        <x:v>OPEN</x:v>
      </x:c>
    </x:row>
    <x:row r="28">
      <x:c r="B28" s="13" t="str">
        <x:v>RAS-U-22</x:v>
      </x:c>
      <x:c r="C28" s="13" t="str">
        <x:v>AM-06</x:v>
      </x:c>
      <x:c r="D28" s="13" t="str">
        <x:v>TR-B</x:v>
      </x:c>
      <x:c r="E28" s="13" t="str">
        <x:v>QE-04</x:v>
      </x:c>
      <x:c r="F28" s="13" t="str"/>
      <x:c r="G28" s="13" t="str"/>
      <x:c r="H28" s="13" t="str"/>
      <x:c r="I28" s="13" t="str"/>
      <x:c r="J28" s="13" t="str">
        <x:f>IF(COUNT(F28:I28)&lt;4,"",SQRT(SUMSQ(F28:I28))*2)</x:f>
      </x:c>
      <x:c r="K28" s="13" t="n">
        <x:v>6</x:v>
      </x:c>
      <x:c r="L28" s="13" t="str"/>
      <x:c r="M28" s="13" t="str">
        <x:f>IF(L28=1,IF(AND(COUNT(J28)=1,J28&lt;=K28),"PASS","FAIL"),"OPEN")</x:f>
        <x:v>OPEN</x:v>
      </x:c>
      <x:c r="N28" s="13" t="str">
        <x:v>OPEN</x:v>
      </x:c>
    </x:row>
    <x:row r="29">
      <x:c r="B29" s="13" t="str">
        <x:v>RAS-U-23</x:v>
      </x:c>
      <x:c r="C29" s="13" t="str">
        <x:v>AM-06</x:v>
      </x:c>
      <x:c r="D29" s="13" t="str">
        <x:v>TR-B</x:v>
      </x:c>
      <x:c r="E29" s="13" t="str">
        <x:v>QE-05</x:v>
      </x:c>
      <x:c r="F29" s="13" t="str"/>
      <x:c r="G29" s="13" t="str"/>
      <x:c r="H29" s="13" t="str"/>
      <x:c r="I29" s="13" t="str"/>
      <x:c r="J29" s="13" t="str">
        <x:f>IF(COUNT(F29:I29)&lt;4,"",SQRT(SUMSQ(F29:I29))*2)</x:f>
      </x:c>
      <x:c r="K29" s="13" t="n">
        <x:v>6</x:v>
      </x:c>
      <x:c r="L29" s="13" t="str"/>
      <x:c r="M29" s="13" t="str">
        <x:f>IF(L29=1,IF(AND(COUNT(J29)=1,J29&lt;=K29),"PASS","FAIL"),"OPEN")</x:f>
        <x:v>OPEN</x:v>
      </x:c>
      <x:c r="N29" s="13" t="str">
        <x:v>OPEN</x:v>
      </x:c>
    </x:row>
    <x:row r="30">
      <x:c r="B30" s="13" t="str">
        <x:v>RAS-U-24</x:v>
      </x:c>
      <x:c r="C30" s="13" t="str">
        <x:v>AM-06</x:v>
      </x:c>
      <x:c r="D30" s="13" t="str">
        <x:v>TR-B</x:v>
      </x:c>
      <x:c r="E30" s="13" t="str">
        <x:v>QE-06</x:v>
      </x:c>
      <x:c r="F30" s="13" t="str"/>
      <x:c r="G30" s="13" t="str"/>
      <x:c r="H30" s="13" t="str"/>
      <x:c r="I30" s="13" t="str"/>
      <x:c r="J30" s="13" t="str">
        <x:f>IF(COUNT(F30:I30)&lt;4,"",SQRT(SUMSQ(F30:I30))*2)</x:f>
      </x:c>
      <x:c r="K30" s="13" t="n">
        <x:v>6</x:v>
      </x:c>
      <x:c r="L30" s="13" t="str"/>
      <x:c r="M30" s="13" t="str">
        <x:f>IF(L30=1,IF(AND(COUNT(J30)=1,J30&lt;=K30),"PASS","FAIL"),"OPEN")</x:f>
        <x:v>OPEN</x:v>
      </x:c>
      <x:c r="N30" s="13" t="str">
        <x:v>OPEN</x:v>
      </x:c>
    </x:row>
  </x:sheetData>
  <x:conditionalFormatting sqref="M7:M30">
    <x:cfRule type="containsText" dxfId="152" priority="1" operator="containsText" text="FAIL"/>
    <x:cfRule type="containsText" dxfId="153" priority="2" operator="containsText" text="INVALID"/>
    <x:cfRule type="containsText" dxfId="154" priority="3" operator="containsText" text="BLOCKED"/>
    <x:cfRule type="containsText" dxfId="155" priority="4" operator="containsText" text="OPEN"/>
    <x:cfRule type="containsText" dxfId="156" priority="5" operator="containsText" text="GAP"/>
    <x:cfRule type="containsText" dxfId="157" priority="6" operator="containsText" text="DORMANT"/>
    <x:cfRule type="containsText" dxfId="158" priority="7" operator="containsText" text="PASS"/>
    <x:cfRule type="containsText" dxfId="159" priority="8" operator="containsText" text="VALID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5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7" hidden="0" customWidth="1"/>
    <x:col min="11" max="11" width="16" hidden="0" customWidth="1"/>
    <x:col min="12" max="12" width="17" hidden="0" customWidth="1"/>
    <x:col min="13" max="13" width="16" hidden="0" customWidth="1"/>
    <x:col min="14" max="14" width="14" hidden="0" customWidth="1"/>
    <x:col min="1" max="1" width="3" hidden="0" customWidth="1"/>
  </x:cols>
  <x:sheetData>
    <x:row r="2">
      <x:c r="B2" s="12" t="str">
        <x:v>One hundred forty-four qualification results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B3" s="2" t="str">
        <x:v>A result cannot pass until source, water, ancestry, thermal, validity and independent board review all pass.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 ht="24" customHeight="1">
      <x:c r="B6" s="6" t="str">
        <x:v>Trial</x:v>
      </x:c>
      <x:c r="C6" s="6" t="str">
        <x:v>Event</x:v>
      </x:c>
      <x:c r="D6" s="6" t="str">
        <x:v>Method</x:v>
      </x:c>
      <x:c r="E6" s="6" t="str">
        <x:v>Root</x:v>
      </x:c>
      <x:c r="F6" s="6" t="str">
        <x:v>Rig</x:v>
      </x:c>
      <x:c r="G6" s="6" t="str">
        <x:v>Class</x:v>
      </x:c>
      <x:c r="H6" s="6" t="str">
        <x:v>Source state</x:v>
      </x:c>
      <x:c r="I6" s="6" t="str">
        <x:v>Water state</x:v>
      </x:c>
      <x:c r="J6" s="6" t="str">
        <x:v>Ancestry state</x:v>
      </x:c>
      <x:c r="K6" s="6" t="str">
        <x:v>Thermal state</x:v>
      </x:c>
      <x:c r="L6" s="6" t="str">
        <x:v>Event validity</x:v>
      </x:c>
      <x:c r="M6" s="6" t="str">
        <x:v>Board review</x:v>
      </x:c>
      <x:c r="N6" s="6" t="str">
        <x:v>State</x:v>
      </x:c>
      <x:c r="O6" s="13"/>
    </x:row>
    <x:row r="7">
      <x:c r="B7" s="13" t="str">
        <x:v>RAS-TR-001</x:v>
      </x:c>
      <x:c r="C7" s="13" t="str">
        <x:v>RAS-E001</x:v>
      </x:c>
      <x:c r="D7" s="13" t="str">
        <x:v>AM-05</x:v>
      </x:c>
      <x:c r="E7" s="13" t="str">
        <x:v>TR-A</x:v>
      </x:c>
      <x:c r="F7" s="13" t="str">
        <x:v>RFP-A1</x:v>
      </x:c>
      <x:c r="G7" s="13" t="str">
        <x:v>QE-01</x:v>
      </x:c>
      <x:c r="H7" s="13" t="str">
        <x:f>'Source Ledger'!S7</x:f>
        <x:v>OPEN</x:v>
      </x:c>
      <x:c r="I7" s="13" t="str">
        <x:f>'Water Ledger'!R7</x:f>
        <x:v>OPEN</x:v>
      </x:c>
      <x:c r="J7" s="13" t="str">
        <x:f>'Ancestry Ledger'!N7</x:f>
        <x:v>OPEN</x:v>
      </x:c>
      <x:c r="K7" s="13" t="str">
        <x:f>'Pool Thermal'!O7</x:f>
        <x:v>OPEN</x:v>
      </x:c>
      <x:c r="L7" s="13" t="n">
        <x:f>'Event Register'!T7</x:f>
        <x:v>0</x:v>
      </x:c>
      <x:c r="M7" s="13" t="str"/>
      <x:c r="N7" s="13" t="str">
        <x:f>IF(M7=1,IF(AND(H7="PASS",I7="PASS",J7="PASS",K7="PASS",L7="VALID"),"PASS","FAIL"),"OPEN")</x:f>
        <x:v>OPEN</x:v>
      </x:c>
      <x:c r="O7" s="13" t="str">
        <x:v>OPEN</x:v>
      </x:c>
    </x:row>
    <x:row r="8">
      <x:c r="B8" s="13" t="str">
        <x:v>RAS-TR-002</x:v>
      </x:c>
      <x:c r="C8" s="13" t="str">
        <x:v>RAS-E002</x:v>
      </x:c>
      <x:c r="D8" s="13" t="str">
        <x:v>AM-05</x:v>
      </x:c>
      <x:c r="E8" s="13" t="str">
        <x:v>TR-A</x:v>
      </x:c>
      <x:c r="F8" s="13" t="str">
        <x:v>RFP-A1</x:v>
      </x:c>
      <x:c r="G8" s="13" t="str">
        <x:v>QE-02</x:v>
      </x:c>
      <x:c r="H8" s="13" t="str">
        <x:f>'Source Ledger'!S8</x:f>
        <x:v>OPEN</x:v>
      </x:c>
      <x:c r="I8" s="13" t="str">
        <x:f>'Water Ledger'!R8</x:f>
        <x:v>OPEN</x:v>
      </x:c>
      <x:c r="J8" s="13" t="str">
        <x:f>'Ancestry Ledger'!N8</x:f>
        <x:v>OPEN</x:v>
      </x:c>
      <x:c r="K8" s="13" t="str">
        <x:f>'Pool Thermal'!O8</x:f>
        <x:v>OPEN</x:v>
      </x:c>
      <x:c r="L8" s="13" t="n">
        <x:f>'Event Register'!T8</x:f>
        <x:v>0</x:v>
      </x:c>
      <x:c r="M8" s="13" t="str"/>
      <x:c r="N8" s="13" t="str">
        <x:f>IF(M8=1,IF(AND(H8="PASS",I8="PASS",J8="PASS",K8="PASS",L8="VALID"),"PASS","FAIL"),"OPEN")</x:f>
        <x:v>OPEN</x:v>
      </x:c>
      <x:c r="O8" s="13" t="str">
        <x:v>OPEN</x:v>
      </x:c>
    </x:row>
    <x:row r="9">
      <x:c r="B9" s="13" t="str">
        <x:v>RAS-TR-003</x:v>
      </x:c>
      <x:c r="C9" s="13" t="str">
        <x:v>RAS-E003</x:v>
      </x:c>
      <x:c r="D9" s="13" t="str">
        <x:v>AM-05</x:v>
      </x:c>
      <x:c r="E9" s="13" t="str">
        <x:v>TR-A</x:v>
      </x:c>
      <x:c r="F9" s="13" t="str">
        <x:v>RFP-A1</x:v>
      </x:c>
      <x:c r="G9" s="13" t="str">
        <x:v>QE-03</x:v>
      </x:c>
      <x:c r="H9" s="13" t="str">
        <x:f>'Source Ledger'!S9</x:f>
        <x:v>OPEN</x:v>
      </x:c>
      <x:c r="I9" s="13" t="str">
        <x:f>'Water Ledger'!R9</x:f>
        <x:v>OPEN</x:v>
      </x:c>
      <x:c r="J9" s="13" t="str">
        <x:f>'Ancestry Ledger'!N9</x:f>
        <x:v>OPEN</x:v>
      </x:c>
      <x:c r="K9" s="13" t="str">
        <x:f>'Pool Thermal'!O9</x:f>
        <x:v>OPEN</x:v>
      </x:c>
      <x:c r="L9" s="13" t="n">
        <x:f>'Event Register'!T9</x:f>
        <x:v>0</x:v>
      </x:c>
      <x:c r="M9" s="13" t="str"/>
      <x:c r="N9" s="13" t="str">
        <x:f>IF(M9=1,IF(AND(H9="PASS",I9="PASS",J9="PASS",K9="PASS",L9="VALID"),"PASS","FAIL"),"OPEN")</x:f>
        <x:v>OPEN</x:v>
      </x:c>
      <x:c r="O9" s="13" t="str">
        <x:v>OPEN</x:v>
      </x:c>
    </x:row>
    <x:row r="10">
      <x:c r="B10" s="13" t="str">
        <x:v>RAS-TR-004</x:v>
      </x:c>
      <x:c r="C10" s="13" t="str">
        <x:v>RAS-E004</x:v>
      </x:c>
      <x:c r="D10" s="13" t="str">
        <x:v>AM-05</x:v>
      </x:c>
      <x:c r="E10" s="13" t="str">
        <x:v>TR-A</x:v>
      </x:c>
      <x:c r="F10" s="13" t="str">
        <x:v>RFP-A1</x:v>
      </x:c>
      <x:c r="G10" s="13" t="str">
        <x:v>QE-04</x:v>
      </x:c>
      <x:c r="H10" s="13" t="str">
        <x:f>'Source Ledger'!S10</x:f>
        <x:v>OPEN</x:v>
      </x:c>
      <x:c r="I10" s="13" t="str">
        <x:f>'Water Ledger'!R10</x:f>
        <x:v>OPEN</x:v>
      </x:c>
      <x:c r="J10" s="13" t="str">
        <x:f>'Ancestry Ledger'!N10</x:f>
        <x:v>OPEN</x:v>
      </x:c>
      <x:c r="K10" s="13" t="str">
        <x:f>'Pool Thermal'!O10</x:f>
        <x:v>OPEN</x:v>
      </x:c>
      <x:c r="L10" s="13" t="n">
        <x:f>'Event Register'!T10</x:f>
        <x:v>0</x:v>
      </x:c>
      <x:c r="M10" s="13" t="str"/>
      <x:c r="N10" s="13" t="str">
        <x:f>IF(M10=1,IF(AND(H10="PASS",I10="PASS",J10="PASS",K10="PASS",L10="VALID"),"PASS","FAIL"),"OPEN")</x:f>
        <x:v>OPEN</x:v>
      </x:c>
      <x:c r="O10" s="13" t="str">
        <x:v>OPEN</x:v>
      </x:c>
    </x:row>
    <x:row r="11">
      <x:c r="B11" s="13" t="str">
        <x:v>RAS-TR-005</x:v>
      </x:c>
      <x:c r="C11" s="13" t="str">
        <x:v>RAS-E005</x:v>
      </x:c>
      <x:c r="D11" s="13" t="str">
        <x:v>AM-05</x:v>
      </x:c>
      <x:c r="E11" s="13" t="str">
        <x:v>TR-A</x:v>
      </x:c>
      <x:c r="F11" s="13" t="str">
        <x:v>RFP-A1</x:v>
      </x:c>
      <x:c r="G11" s="13" t="str">
        <x:v>QE-05</x:v>
      </x:c>
      <x:c r="H11" s="13" t="str">
        <x:f>'Source Ledger'!S11</x:f>
        <x:v>OPEN</x:v>
      </x:c>
      <x:c r="I11" s="13" t="str">
        <x:f>'Water Ledger'!R11</x:f>
        <x:v>OPEN</x:v>
      </x:c>
      <x:c r="J11" s="13" t="str">
        <x:f>'Ancestry Ledger'!N11</x:f>
        <x:v>OPEN</x:v>
      </x:c>
      <x:c r="K11" s="13" t="str">
        <x:f>'Pool Thermal'!O11</x:f>
        <x:v>OPEN</x:v>
      </x:c>
      <x:c r="L11" s="13" t="n">
        <x:f>'Event Register'!T11</x:f>
        <x:v>0</x:v>
      </x:c>
      <x:c r="M11" s="13" t="str"/>
      <x:c r="N11" s="13" t="str">
        <x:f>IF(M11=1,IF(AND(H11="PASS",I11="PASS",J11="PASS",K11="PASS",L11="VALID"),"PASS","FAIL"),"OPEN")</x:f>
        <x:v>OPEN</x:v>
      </x:c>
      <x:c r="O11" s="13" t="str">
        <x:v>OPEN</x:v>
      </x:c>
    </x:row>
    <x:row r="12">
      <x:c r="B12" s="13" t="str">
        <x:v>RAS-TR-006</x:v>
      </x:c>
      <x:c r="C12" s="13" t="str">
        <x:v>RAS-E006</x:v>
      </x:c>
      <x:c r="D12" s="13" t="str">
        <x:v>AM-05</x:v>
      </x:c>
      <x:c r="E12" s="13" t="str">
        <x:v>TR-A</x:v>
      </x:c>
      <x:c r="F12" s="13" t="str">
        <x:v>RFP-A1</x:v>
      </x:c>
      <x:c r="G12" s="13" t="str">
        <x:v>QE-06</x:v>
      </x:c>
      <x:c r="H12" s="13" t="str">
        <x:f>'Source Ledger'!S12</x:f>
        <x:v>OPEN</x:v>
      </x:c>
      <x:c r="I12" s="13" t="str">
        <x:f>'Water Ledger'!R12</x:f>
        <x:v>OPEN</x:v>
      </x:c>
      <x:c r="J12" s="13" t="str">
        <x:f>'Ancestry Ledger'!N12</x:f>
        <x:v>OPEN</x:v>
      </x:c>
      <x:c r="K12" s="13" t="str">
        <x:f>'Pool Thermal'!O12</x:f>
        <x:v>OPEN</x:v>
      </x:c>
      <x:c r="L12" s="13" t="n">
        <x:f>'Event Register'!T12</x:f>
        <x:v>0</x:v>
      </x:c>
      <x:c r="M12" s="13" t="str"/>
      <x:c r="N12" s="13" t="str">
        <x:f>IF(M12=1,IF(AND(H12="PASS",I12="PASS",J12="PASS",K12="PASS",L12="VALID"),"PASS","FAIL"),"OPEN")</x:f>
        <x:v>OPEN</x:v>
      </x:c>
      <x:c r="O12" s="13" t="str">
        <x:v>OPEN</x:v>
      </x:c>
    </x:row>
    <x:row r="13">
      <x:c r="B13" s="13" t="str">
        <x:v>RAS-TR-007</x:v>
      </x:c>
      <x:c r="C13" s="13" t="str">
        <x:v>RAS-E007</x:v>
      </x:c>
      <x:c r="D13" s="13" t="str">
        <x:v>AM-05</x:v>
      </x:c>
      <x:c r="E13" s="13" t="str">
        <x:v>TR-A</x:v>
      </x:c>
      <x:c r="F13" s="13" t="str">
        <x:v>RFP-A2</x:v>
      </x:c>
      <x:c r="G13" s="13" t="str">
        <x:v>QE-01</x:v>
      </x:c>
      <x:c r="H13" s="13" t="str">
        <x:f>'Source Ledger'!S13</x:f>
        <x:v>OPEN</x:v>
      </x:c>
      <x:c r="I13" s="13" t="str">
        <x:f>'Water Ledger'!R13</x:f>
        <x:v>OPEN</x:v>
      </x:c>
      <x:c r="J13" s="13" t="str">
        <x:f>'Ancestry Ledger'!N13</x:f>
        <x:v>OPEN</x:v>
      </x:c>
      <x:c r="K13" s="13" t="str">
        <x:f>'Pool Thermal'!O13</x:f>
        <x:v>OPEN</x:v>
      </x:c>
      <x:c r="L13" s="13" t="n">
        <x:f>'Event Register'!T13</x:f>
        <x:v>0</x:v>
      </x:c>
      <x:c r="M13" s="13" t="str"/>
      <x:c r="N13" s="13" t="str">
        <x:f>IF(M13=1,IF(AND(H13="PASS",I13="PASS",J13="PASS",K13="PASS",L13="VALID"),"PASS","FAIL"),"OPEN")</x:f>
        <x:v>OPEN</x:v>
      </x:c>
      <x:c r="O13" s="13" t="str">
        <x:v>OPEN</x:v>
      </x:c>
    </x:row>
    <x:row r="14">
      <x:c r="B14" s="13" t="str">
        <x:v>RAS-TR-008</x:v>
      </x:c>
      <x:c r="C14" s="13" t="str">
        <x:v>RAS-E008</x:v>
      </x:c>
      <x:c r="D14" s="13" t="str">
        <x:v>AM-05</x:v>
      </x:c>
      <x:c r="E14" s="13" t="str">
        <x:v>TR-A</x:v>
      </x:c>
      <x:c r="F14" s="13" t="str">
        <x:v>RFP-A2</x:v>
      </x:c>
      <x:c r="G14" s="13" t="str">
        <x:v>QE-02</x:v>
      </x:c>
      <x:c r="H14" s="13" t="str">
        <x:f>'Source Ledger'!S14</x:f>
        <x:v>OPEN</x:v>
      </x:c>
      <x:c r="I14" s="13" t="str">
        <x:f>'Water Ledger'!R14</x:f>
        <x:v>OPEN</x:v>
      </x:c>
      <x:c r="J14" s="13" t="str">
        <x:f>'Ancestry Ledger'!N14</x:f>
        <x:v>OPEN</x:v>
      </x:c>
      <x:c r="K14" s="13" t="str">
        <x:f>'Pool Thermal'!O14</x:f>
        <x:v>OPEN</x:v>
      </x:c>
      <x:c r="L14" s="13" t="n">
        <x:f>'Event Register'!T14</x:f>
        <x:v>0</x:v>
      </x:c>
      <x:c r="M14" s="13" t="str"/>
      <x:c r="N14" s="13" t="str">
        <x:f>IF(M14=1,IF(AND(H14="PASS",I14="PASS",J14="PASS",K14="PASS",L14="VALID"),"PASS","FAIL"),"OPEN")</x:f>
        <x:v>OPEN</x:v>
      </x:c>
      <x:c r="O14" s="13" t="str">
        <x:v>OPEN</x:v>
      </x:c>
    </x:row>
    <x:row r="15">
      <x:c r="B15" s="13" t="str">
        <x:v>RAS-TR-009</x:v>
      </x:c>
      <x:c r="C15" s="13" t="str">
        <x:v>RAS-E009</x:v>
      </x:c>
      <x:c r="D15" s="13" t="str">
        <x:v>AM-05</x:v>
      </x:c>
      <x:c r="E15" s="13" t="str">
        <x:v>TR-A</x:v>
      </x:c>
      <x:c r="F15" s="13" t="str">
        <x:v>RFP-A2</x:v>
      </x:c>
      <x:c r="G15" s="13" t="str">
        <x:v>QE-03</x:v>
      </x:c>
      <x:c r="H15" s="13" t="str">
        <x:f>'Source Ledger'!S15</x:f>
        <x:v>OPEN</x:v>
      </x:c>
      <x:c r="I15" s="13" t="str">
        <x:f>'Water Ledger'!R15</x:f>
        <x:v>OPEN</x:v>
      </x:c>
      <x:c r="J15" s="13" t="str">
        <x:f>'Ancestry Ledger'!N15</x:f>
        <x:v>OPEN</x:v>
      </x:c>
      <x:c r="K15" s="13" t="str">
        <x:f>'Pool Thermal'!O15</x:f>
        <x:v>OPEN</x:v>
      </x:c>
      <x:c r="L15" s="13" t="n">
        <x:f>'Event Register'!T15</x:f>
        <x:v>0</x:v>
      </x:c>
      <x:c r="M15" s="13" t="str"/>
      <x:c r="N15" s="13" t="str">
        <x:f>IF(M15=1,IF(AND(H15="PASS",I15="PASS",J15="PASS",K15="PASS",L15="VALID"),"PASS","FAIL"),"OPEN")</x:f>
        <x:v>OPEN</x:v>
      </x:c>
      <x:c r="O15" s="13" t="str">
        <x:v>OPEN</x:v>
      </x:c>
    </x:row>
    <x:row r="16">
      <x:c r="B16" s="13" t="str">
        <x:v>RAS-TR-010</x:v>
      </x:c>
      <x:c r="C16" s="13" t="str">
        <x:v>RAS-E010</x:v>
      </x:c>
      <x:c r="D16" s="13" t="str">
        <x:v>AM-05</x:v>
      </x:c>
      <x:c r="E16" s="13" t="str">
        <x:v>TR-A</x:v>
      </x:c>
      <x:c r="F16" s="13" t="str">
        <x:v>RFP-A2</x:v>
      </x:c>
      <x:c r="G16" s="13" t="str">
        <x:v>QE-04</x:v>
      </x:c>
      <x:c r="H16" s="13" t="str">
        <x:f>'Source Ledger'!S16</x:f>
        <x:v>OPEN</x:v>
      </x:c>
      <x:c r="I16" s="13" t="str">
        <x:f>'Water Ledger'!R16</x:f>
        <x:v>OPEN</x:v>
      </x:c>
      <x:c r="J16" s="13" t="str">
        <x:f>'Ancestry Ledger'!N16</x:f>
        <x:v>OPEN</x:v>
      </x:c>
      <x:c r="K16" s="13" t="str">
        <x:f>'Pool Thermal'!O16</x:f>
        <x:v>OPEN</x:v>
      </x:c>
      <x:c r="L16" s="13" t="n">
        <x:f>'Event Register'!T16</x:f>
        <x:v>0</x:v>
      </x:c>
      <x:c r="M16" s="13" t="str"/>
      <x:c r="N16" s="13" t="str">
        <x:f>IF(M16=1,IF(AND(H16="PASS",I16="PASS",J16="PASS",K16="PASS",L16="VALID"),"PASS","FAIL"),"OPEN")</x:f>
        <x:v>OPEN</x:v>
      </x:c>
      <x:c r="O16" s="13" t="str">
        <x:v>OPEN</x:v>
      </x:c>
    </x:row>
    <x:row r="17">
      <x:c r="B17" s="13" t="str">
        <x:v>RAS-TR-011</x:v>
      </x:c>
      <x:c r="C17" s="13" t="str">
        <x:v>RAS-E011</x:v>
      </x:c>
      <x:c r="D17" s="13" t="str">
        <x:v>AM-05</x:v>
      </x:c>
      <x:c r="E17" s="13" t="str">
        <x:v>TR-A</x:v>
      </x:c>
      <x:c r="F17" s="13" t="str">
        <x:v>RFP-A2</x:v>
      </x:c>
      <x:c r="G17" s="13" t="str">
        <x:v>QE-05</x:v>
      </x:c>
      <x:c r="H17" s="13" t="str">
        <x:f>'Source Ledger'!S17</x:f>
        <x:v>OPEN</x:v>
      </x:c>
      <x:c r="I17" s="13" t="str">
        <x:f>'Water Ledger'!R17</x:f>
        <x:v>OPEN</x:v>
      </x:c>
      <x:c r="J17" s="13" t="str">
        <x:f>'Ancestry Ledger'!N17</x:f>
        <x:v>OPEN</x:v>
      </x:c>
      <x:c r="K17" s="13" t="str">
        <x:f>'Pool Thermal'!O17</x:f>
        <x:v>OPEN</x:v>
      </x:c>
      <x:c r="L17" s="13" t="n">
        <x:f>'Event Register'!T17</x:f>
        <x:v>0</x:v>
      </x:c>
      <x:c r="M17" s="13" t="str"/>
      <x:c r="N17" s="13" t="str">
        <x:f>IF(M17=1,IF(AND(H17="PASS",I17="PASS",J17="PASS",K17="PASS",L17="VALID"),"PASS","FAIL"),"OPEN")</x:f>
        <x:v>OPEN</x:v>
      </x:c>
      <x:c r="O17" s="13" t="str">
        <x:v>OPEN</x:v>
      </x:c>
    </x:row>
    <x:row r="18">
      <x:c r="B18" s="13" t="str">
        <x:v>RAS-TR-012</x:v>
      </x:c>
      <x:c r="C18" s="13" t="str">
        <x:v>RAS-E012</x:v>
      </x:c>
      <x:c r="D18" s="13" t="str">
        <x:v>AM-05</x:v>
      </x:c>
      <x:c r="E18" s="13" t="str">
        <x:v>TR-A</x:v>
      </x:c>
      <x:c r="F18" s="13" t="str">
        <x:v>RFP-A2</x:v>
      </x:c>
      <x:c r="G18" s="13" t="str">
        <x:v>QE-06</x:v>
      </x:c>
      <x:c r="H18" s="13" t="str">
        <x:f>'Source Ledger'!S18</x:f>
        <x:v>OPEN</x:v>
      </x:c>
      <x:c r="I18" s="13" t="str">
        <x:f>'Water Ledger'!R18</x:f>
        <x:v>OPEN</x:v>
      </x:c>
      <x:c r="J18" s="13" t="str">
        <x:f>'Ancestry Ledger'!N18</x:f>
        <x:v>OPEN</x:v>
      </x:c>
      <x:c r="K18" s="13" t="str">
        <x:f>'Pool Thermal'!O18</x:f>
        <x:v>OPEN</x:v>
      </x:c>
      <x:c r="L18" s="13" t="n">
        <x:f>'Event Register'!T18</x:f>
        <x:v>0</x:v>
      </x:c>
      <x:c r="M18" s="13" t="str"/>
      <x:c r="N18" s="13" t="str">
        <x:f>IF(M18=1,IF(AND(H18="PASS",I18="PASS",J18="PASS",K18="PASS",L18="VALID"),"PASS","FAIL"),"OPEN")</x:f>
        <x:v>OPEN</x:v>
      </x:c>
      <x:c r="O18" s="13" t="str">
        <x:v>OPEN</x:v>
      </x:c>
    </x:row>
    <x:row r="19">
      <x:c r="B19" s="13" t="str">
        <x:v>RAS-TR-013</x:v>
      </x:c>
      <x:c r="C19" s="13" t="str">
        <x:v>RAS-E013</x:v>
      </x:c>
      <x:c r="D19" s="13" t="str">
        <x:v>AM-05</x:v>
      </x:c>
      <x:c r="E19" s="13" t="str">
        <x:v>TR-A</x:v>
      </x:c>
      <x:c r="F19" s="13" t="str">
        <x:v>RFP-B1</x:v>
      </x:c>
      <x:c r="G19" s="13" t="str">
        <x:v>QE-01</x:v>
      </x:c>
      <x:c r="H19" s="13" t="str">
        <x:f>'Source Ledger'!S19</x:f>
        <x:v>OPEN</x:v>
      </x:c>
      <x:c r="I19" s="13" t="str">
        <x:f>'Water Ledger'!R19</x:f>
        <x:v>OPEN</x:v>
      </x:c>
      <x:c r="J19" s="13" t="str">
        <x:f>'Ancestry Ledger'!N19</x:f>
        <x:v>OPEN</x:v>
      </x:c>
      <x:c r="K19" s="13" t="str">
        <x:f>'Pool Thermal'!O19</x:f>
        <x:v>OPEN</x:v>
      </x:c>
      <x:c r="L19" s="13" t="n">
        <x:f>'Event Register'!T19</x:f>
        <x:v>0</x:v>
      </x:c>
      <x:c r="M19" s="13" t="str"/>
      <x:c r="N19" s="13" t="str">
        <x:f>IF(M19=1,IF(AND(H19="PASS",I19="PASS",J19="PASS",K19="PASS",L19="VALID"),"PASS","FAIL"),"OPEN")</x:f>
        <x:v>OPEN</x:v>
      </x:c>
      <x:c r="O19" s="13" t="str">
        <x:v>OPEN</x:v>
      </x:c>
    </x:row>
    <x:row r="20">
      <x:c r="B20" s="13" t="str">
        <x:v>RAS-TR-014</x:v>
      </x:c>
      <x:c r="C20" s="13" t="str">
        <x:v>RAS-E014</x:v>
      </x:c>
      <x:c r="D20" s="13" t="str">
        <x:v>AM-05</x:v>
      </x:c>
      <x:c r="E20" s="13" t="str">
        <x:v>TR-A</x:v>
      </x:c>
      <x:c r="F20" s="13" t="str">
        <x:v>RFP-B1</x:v>
      </x:c>
      <x:c r="G20" s="13" t="str">
        <x:v>QE-02</x:v>
      </x:c>
      <x:c r="H20" s="13" t="str">
        <x:f>'Source Ledger'!S20</x:f>
        <x:v>OPEN</x:v>
      </x:c>
      <x:c r="I20" s="13" t="str">
        <x:f>'Water Ledger'!R20</x:f>
        <x:v>OPEN</x:v>
      </x:c>
      <x:c r="J20" s="13" t="str">
        <x:f>'Ancestry Ledger'!N20</x:f>
        <x:v>OPEN</x:v>
      </x:c>
      <x:c r="K20" s="13" t="str">
        <x:f>'Pool Thermal'!O20</x:f>
        <x:v>OPEN</x:v>
      </x:c>
      <x:c r="L20" s="13" t="n">
        <x:f>'Event Register'!T20</x:f>
        <x:v>0</x:v>
      </x:c>
      <x:c r="M20" s="13" t="str"/>
      <x:c r="N20" s="13" t="str">
        <x:f>IF(M20=1,IF(AND(H20="PASS",I20="PASS",J20="PASS",K20="PASS",L20="VALID"),"PASS","FAIL"),"OPEN")</x:f>
        <x:v>OPEN</x:v>
      </x:c>
      <x:c r="O20" s="13" t="str">
        <x:v>OPEN</x:v>
      </x:c>
    </x:row>
    <x:row r="21">
      <x:c r="B21" s="13" t="str">
        <x:v>RAS-TR-015</x:v>
      </x:c>
      <x:c r="C21" s="13" t="str">
        <x:v>RAS-E015</x:v>
      </x:c>
      <x:c r="D21" s="13" t="str">
        <x:v>AM-05</x:v>
      </x:c>
      <x:c r="E21" s="13" t="str">
        <x:v>TR-A</x:v>
      </x:c>
      <x:c r="F21" s="13" t="str">
        <x:v>RFP-B1</x:v>
      </x:c>
      <x:c r="G21" s="13" t="str">
        <x:v>QE-03</x:v>
      </x:c>
      <x:c r="H21" s="13" t="str">
        <x:f>'Source Ledger'!S21</x:f>
        <x:v>OPEN</x:v>
      </x:c>
      <x:c r="I21" s="13" t="str">
        <x:f>'Water Ledger'!R21</x:f>
        <x:v>OPEN</x:v>
      </x:c>
      <x:c r="J21" s="13" t="str">
        <x:f>'Ancestry Ledger'!N21</x:f>
        <x:v>OPEN</x:v>
      </x:c>
      <x:c r="K21" s="13" t="str">
        <x:f>'Pool Thermal'!O21</x:f>
        <x:v>OPEN</x:v>
      </x:c>
      <x:c r="L21" s="13" t="n">
        <x:f>'Event Register'!T21</x:f>
        <x:v>0</x:v>
      </x:c>
      <x:c r="M21" s="13" t="str"/>
      <x:c r="N21" s="13" t="str">
        <x:f>IF(M21=1,IF(AND(H21="PASS",I21="PASS",J21="PASS",K21="PASS",L21="VALID"),"PASS","FAIL"),"OPEN")</x:f>
        <x:v>OPEN</x:v>
      </x:c>
      <x:c r="O21" s="13" t="str">
        <x:v>OPEN</x:v>
      </x:c>
    </x:row>
    <x:row r="22">
      <x:c r="B22" s="13" t="str">
        <x:v>RAS-TR-016</x:v>
      </x:c>
      <x:c r="C22" s="13" t="str">
        <x:v>RAS-E016</x:v>
      </x:c>
      <x:c r="D22" s="13" t="str">
        <x:v>AM-05</x:v>
      </x:c>
      <x:c r="E22" s="13" t="str">
        <x:v>TR-A</x:v>
      </x:c>
      <x:c r="F22" s="13" t="str">
        <x:v>RFP-B1</x:v>
      </x:c>
      <x:c r="G22" s="13" t="str">
        <x:v>QE-04</x:v>
      </x:c>
      <x:c r="H22" s="13" t="str">
        <x:f>'Source Ledger'!S22</x:f>
        <x:v>OPEN</x:v>
      </x:c>
      <x:c r="I22" s="13" t="str">
        <x:f>'Water Ledger'!R22</x:f>
        <x:v>OPEN</x:v>
      </x:c>
      <x:c r="J22" s="13" t="str">
        <x:f>'Ancestry Ledger'!N22</x:f>
        <x:v>OPEN</x:v>
      </x:c>
      <x:c r="K22" s="13" t="str">
        <x:f>'Pool Thermal'!O22</x:f>
        <x:v>OPEN</x:v>
      </x:c>
      <x:c r="L22" s="13" t="n">
        <x:f>'Event Register'!T22</x:f>
        <x:v>0</x:v>
      </x:c>
      <x:c r="M22" s="13" t="str"/>
      <x:c r="N22" s="13" t="str">
        <x:f>IF(M22=1,IF(AND(H22="PASS",I22="PASS",J22="PASS",K22="PASS",L22="VALID"),"PASS","FAIL"),"OPEN")</x:f>
        <x:v>OPEN</x:v>
      </x:c>
      <x:c r="O22" s="13" t="str">
        <x:v>OPEN</x:v>
      </x:c>
    </x:row>
    <x:row r="23">
      <x:c r="B23" s="13" t="str">
        <x:v>RAS-TR-017</x:v>
      </x:c>
      <x:c r="C23" s="13" t="str">
        <x:v>RAS-E017</x:v>
      </x:c>
      <x:c r="D23" s="13" t="str">
        <x:v>AM-05</x:v>
      </x:c>
      <x:c r="E23" s="13" t="str">
        <x:v>TR-A</x:v>
      </x:c>
      <x:c r="F23" s="13" t="str">
        <x:v>RFP-B1</x:v>
      </x:c>
      <x:c r="G23" s="13" t="str">
        <x:v>QE-05</x:v>
      </x:c>
      <x:c r="H23" s="13" t="str">
        <x:f>'Source Ledger'!S23</x:f>
        <x:v>OPEN</x:v>
      </x:c>
      <x:c r="I23" s="13" t="str">
        <x:f>'Water Ledger'!R23</x:f>
        <x:v>OPEN</x:v>
      </x:c>
      <x:c r="J23" s="13" t="str">
        <x:f>'Ancestry Ledger'!N23</x:f>
        <x:v>OPEN</x:v>
      </x:c>
      <x:c r="K23" s="13" t="str">
        <x:f>'Pool Thermal'!O23</x:f>
        <x:v>OPEN</x:v>
      </x:c>
      <x:c r="L23" s="13" t="n">
        <x:f>'Event Register'!T23</x:f>
        <x:v>0</x:v>
      </x:c>
      <x:c r="M23" s="13" t="str"/>
      <x:c r="N23" s="13" t="str">
        <x:f>IF(M23=1,IF(AND(H23="PASS",I23="PASS",J23="PASS",K23="PASS",L23="VALID"),"PASS","FAIL"),"OPEN")</x:f>
        <x:v>OPEN</x:v>
      </x:c>
      <x:c r="O23" s="13" t="str">
        <x:v>OPEN</x:v>
      </x:c>
    </x:row>
    <x:row r="24">
      <x:c r="B24" s="13" t="str">
        <x:v>RAS-TR-018</x:v>
      </x:c>
      <x:c r="C24" s="13" t="str">
        <x:v>RAS-E018</x:v>
      </x:c>
      <x:c r="D24" s="13" t="str">
        <x:v>AM-05</x:v>
      </x:c>
      <x:c r="E24" s="13" t="str">
        <x:v>TR-A</x:v>
      </x:c>
      <x:c r="F24" s="13" t="str">
        <x:v>RFP-B1</x:v>
      </x:c>
      <x:c r="G24" s="13" t="str">
        <x:v>QE-06</x:v>
      </x:c>
      <x:c r="H24" s="13" t="str">
        <x:f>'Source Ledger'!S24</x:f>
        <x:v>OPEN</x:v>
      </x:c>
      <x:c r="I24" s="13" t="str">
        <x:f>'Water Ledger'!R24</x:f>
        <x:v>OPEN</x:v>
      </x:c>
      <x:c r="J24" s="13" t="str">
        <x:f>'Ancestry Ledger'!N24</x:f>
        <x:v>OPEN</x:v>
      </x:c>
      <x:c r="K24" s="13" t="str">
        <x:f>'Pool Thermal'!O24</x:f>
        <x:v>OPEN</x:v>
      </x:c>
      <x:c r="L24" s="13" t="n">
        <x:f>'Event Register'!T24</x:f>
        <x:v>0</x:v>
      </x:c>
      <x:c r="M24" s="13" t="str"/>
      <x:c r="N24" s="13" t="str">
        <x:f>IF(M24=1,IF(AND(H24="PASS",I24="PASS",J24="PASS",K24="PASS",L24="VALID"),"PASS","FAIL"),"OPEN")</x:f>
        <x:v>OPEN</x:v>
      </x:c>
      <x:c r="O24" s="13" t="str">
        <x:v>OPEN</x:v>
      </x:c>
    </x:row>
    <x:row r="25">
      <x:c r="B25" s="13" t="str">
        <x:v>RAS-TR-019</x:v>
      </x:c>
      <x:c r="C25" s="13" t="str">
        <x:v>RAS-E019</x:v>
      </x:c>
      <x:c r="D25" s="13" t="str">
        <x:v>AM-05</x:v>
      </x:c>
      <x:c r="E25" s="13" t="str">
        <x:v>TR-A</x:v>
      </x:c>
      <x:c r="F25" s="13" t="str">
        <x:v>RFP-B2</x:v>
      </x:c>
      <x:c r="G25" s="13" t="str">
        <x:v>QE-01</x:v>
      </x:c>
      <x:c r="H25" s="13" t="str">
        <x:f>'Source Ledger'!S25</x:f>
        <x:v>OPEN</x:v>
      </x:c>
      <x:c r="I25" s="13" t="str">
        <x:f>'Water Ledger'!R25</x:f>
        <x:v>OPEN</x:v>
      </x:c>
      <x:c r="J25" s="13" t="str">
        <x:f>'Ancestry Ledger'!N25</x:f>
        <x:v>OPEN</x:v>
      </x:c>
      <x:c r="K25" s="13" t="str">
        <x:f>'Pool Thermal'!O25</x:f>
        <x:v>OPEN</x:v>
      </x:c>
      <x:c r="L25" s="13" t="n">
        <x:f>'Event Register'!T25</x:f>
        <x:v>0</x:v>
      </x:c>
      <x:c r="M25" s="13" t="str"/>
      <x:c r="N25" s="13" t="str">
        <x:f>IF(M25=1,IF(AND(H25="PASS",I25="PASS",J25="PASS",K25="PASS",L25="VALID"),"PASS","FAIL"),"OPEN")</x:f>
        <x:v>OPEN</x:v>
      </x:c>
      <x:c r="O25" s="13" t="str">
        <x:v>OPEN</x:v>
      </x:c>
    </x:row>
    <x:row r="26">
      <x:c r="B26" s="13" t="str">
        <x:v>RAS-TR-020</x:v>
      </x:c>
      <x:c r="C26" s="13" t="str">
        <x:v>RAS-E020</x:v>
      </x:c>
      <x:c r="D26" s="13" t="str">
        <x:v>AM-05</x:v>
      </x:c>
      <x:c r="E26" s="13" t="str">
        <x:v>TR-A</x:v>
      </x:c>
      <x:c r="F26" s="13" t="str">
        <x:v>RFP-B2</x:v>
      </x:c>
      <x:c r="G26" s="13" t="str">
        <x:v>QE-02</x:v>
      </x:c>
      <x:c r="H26" s="13" t="str">
        <x:f>'Source Ledger'!S26</x:f>
        <x:v>OPEN</x:v>
      </x:c>
      <x:c r="I26" s="13" t="str">
        <x:f>'Water Ledger'!R26</x:f>
        <x:v>OPEN</x:v>
      </x:c>
      <x:c r="J26" s="13" t="str">
        <x:f>'Ancestry Ledger'!N26</x:f>
        <x:v>OPEN</x:v>
      </x:c>
      <x:c r="K26" s="13" t="str">
        <x:f>'Pool Thermal'!O26</x:f>
        <x:v>OPEN</x:v>
      </x:c>
      <x:c r="L26" s="13" t="n">
        <x:f>'Event Register'!T26</x:f>
        <x:v>0</x:v>
      </x:c>
      <x:c r="M26" s="13" t="str"/>
      <x:c r="N26" s="13" t="str">
        <x:f>IF(M26=1,IF(AND(H26="PASS",I26="PASS",J26="PASS",K26="PASS",L26="VALID"),"PASS","FAIL"),"OPEN")</x:f>
        <x:v>OPEN</x:v>
      </x:c>
      <x:c r="O26" s="13" t="str">
        <x:v>OPEN</x:v>
      </x:c>
    </x:row>
    <x:row r="27">
      <x:c r="B27" s="13" t="str">
        <x:v>RAS-TR-021</x:v>
      </x:c>
      <x:c r="C27" s="13" t="str">
        <x:v>RAS-E021</x:v>
      </x:c>
      <x:c r="D27" s="13" t="str">
        <x:v>AM-05</x:v>
      </x:c>
      <x:c r="E27" s="13" t="str">
        <x:v>TR-A</x:v>
      </x:c>
      <x:c r="F27" s="13" t="str">
        <x:v>RFP-B2</x:v>
      </x:c>
      <x:c r="G27" s="13" t="str">
        <x:v>QE-03</x:v>
      </x:c>
      <x:c r="H27" s="13" t="str">
        <x:f>'Source Ledger'!S27</x:f>
        <x:v>OPEN</x:v>
      </x:c>
      <x:c r="I27" s="13" t="str">
        <x:f>'Water Ledger'!R27</x:f>
        <x:v>OPEN</x:v>
      </x:c>
      <x:c r="J27" s="13" t="str">
        <x:f>'Ancestry Ledger'!N27</x:f>
        <x:v>OPEN</x:v>
      </x:c>
      <x:c r="K27" s="13" t="str">
        <x:f>'Pool Thermal'!O27</x:f>
        <x:v>OPEN</x:v>
      </x:c>
      <x:c r="L27" s="13" t="n">
        <x:f>'Event Register'!T27</x:f>
        <x:v>0</x:v>
      </x:c>
      <x:c r="M27" s="13" t="str"/>
      <x:c r="N27" s="13" t="str">
        <x:f>IF(M27=1,IF(AND(H27="PASS",I27="PASS",J27="PASS",K27="PASS",L27="VALID"),"PASS","FAIL"),"OPEN")</x:f>
        <x:v>OPEN</x:v>
      </x:c>
      <x:c r="O27" s="13" t="str">
        <x:v>OPEN</x:v>
      </x:c>
    </x:row>
    <x:row r="28">
      <x:c r="B28" s="13" t="str">
        <x:v>RAS-TR-022</x:v>
      </x:c>
      <x:c r="C28" s="13" t="str">
        <x:v>RAS-E022</x:v>
      </x:c>
      <x:c r="D28" s="13" t="str">
        <x:v>AM-05</x:v>
      </x:c>
      <x:c r="E28" s="13" t="str">
        <x:v>TR-A</x:v>
      </x:c>
      <x:c r="F28" s="13" t="str">
        <x:v>RFP-B2</x:v>
      </x:c>
      <x:c r="G28" s="13" t="str">
        <x:v>QE-04</x:v>
      </x:c>
      <x:c r="H28" s="13" t="str">
        <x:f>'Source Ledger'!S28</x:f>
        <x:v>OPEN</x:v>
      </x:c>
      <x:c r="I28" s="13" t="str">
        <x:f>'Water Ledger'!R28</x:f>
        <x:v>OPEN</x:v>
      </x:c>
      <x:c r="J28" s="13" t="str">
        <x:f>'Ancestry Ledger'!N28</x:f>
        <x:v>OPEN</x:v>
      </x:c>
      <x:c r="K28" s="13" t="str">
        <x:f>'Pool Thermal'!O28</x:f>
        <x:v>OPEN</x:v>
      </x:c>
      <x:c r="L28" s="13" t="n">
        <x:f>'Event Register'!T28</x:f>
        <x:v>0</x:v>
      </x:c>
      <x:c r="M28" s="13" t="str"/>
      <x:c r="N28" s="13" t="str">
        <x:f>IF(M28=1,IF(AND(H28="PASS",I28="PASS",J28="PASS",K28="PASS",L28="VALID"),"PASS","FAIL"),"OPEN")</x:f>
        <x:v>OPEN</x:v>
      </x:c>
      <x:c r="O28" s="13" t="str">
        <x:v>OPEN</x:v>
      </x:c>
    </x:row>
    <x:row r="29">
      <x:c r="B29" s="13" t="str">
        <x:v>RAS-TR-023</x:v>
      </x:c>
      <x:c r="C29" s="13" t="str">
        <x:v>RAS-E023</x:v>
      </x:c>
      <x:c r="D29" s="13" t="str">
        <x:v>AM-05</x:v>
      </x:c>
      <x:c r="E29" s="13" t="str">
        <x:v>TR-A</x:v>
      </x:c>
      <x:c r="F29" s="13" t="str">
        <x:v>RFP-B2</x:v>
      </x:c>
      <x:c r="G29" s="13" t="str">
        <x:v>QE-05</x:v>
      </x:c>
      <x:c r="H29" s="13" t="str">
        <x:f>'Source Ledger'!S29</x:f>
        <x:v>OPEN</x:v>
      </x:c>
      <x:c r="I29" s="13" t="str">
        <x:f>'Water Ledger'!R29</x:f>
        <x:v>OPEN</x:v>
      </x:c>
      <x:c r="J29" s="13" t="str">
        <x:f>'Ancestry Ledger'!N29</x:f>
        <x:v>OPEN</x:v>
      </x:c>
      <x:c r="K29" s="13" t="str">
        <x:f>'Pool Thermal'!O29</x:f>
        <x:v>OPEN</x:v>
      </x:c>
      <x:c r="L29" s="13" t="n">
        <x:f>'Event Register'!T29</x:f>
        <x:v>0</x:v>
      </x:c>
      <x:c r="M29" s="13" t="str"/>
      <x:c r="N29" s="13" t="str">
        <x:f>IF(M29=1,IF(AND(H29="PASS",I29="PASS",J29="PASS",K29="PASS",L29="VALID"),"PASS","FAIL"),"OPEN")</x:f>
        <x:v>OPEN</x:v>
      </x:c>
      <x:c r="O29" s="13" t="str">
        <x:v>OPEN</x:v>
      </x:c>
    </x:row>
    <x:row r="30">
      <x:c r="B30" s="13" t="str">
        <x:v>RAS-TR-024</x:v>
      </x:c>
      <x:c r="C30" s="13" t="str">
        <x:v>RAS-E024</x:v>
      </x:c>
      <x:c r="D30" s="13" t="str">
        <x:v>AM-05</x:v>
      </x:c>
      <x:c r="E30" s="13" t="str">
        <x:v>TR-A</x:v>
      </x:c>
      <x:c r="F30" s="13" t="str">
        <x:v>RFP-B2</x:v>
      </x:c>
      <x:c r="G30" s="13" t="str">
        <x:v>QE-06</x:v>
      </x:c>
      <x:c r="H30" s="13" t="str">
        <x:f>'Source Ledger'!S30</x:f>
        <x:v>OPEN</x:v>
      </x:c>
      <x:c r="I30" s="13" t="str">
        <x:f>'Water Ledger'!R30</x:f>
        <x:v>OPEN</x:v>
      </x:c>
      <x:c r="J30" s="13" t="str">
        <x:f>'Ancestry Ledger'!N30</x:f>
        <x:v>OPEN</x:v>
      </x:c>
      <x:c r="K30" s="13" t="str">
        <x:f>'Pool Thermal'!O30</x:f>
        <x:v>OPEN</x:v>
      </x:c>
      <x:c r="L30" s="13" t="n">
        <x:f>'Event Register'!T30</x:f>
        <x:v>0</x:v>
      </x:c>
      <x:c r="M30" s="13" t="str"/>
      <x:c r="N30" s="13" t="str">
        <x:f>IF(M30=1,IF(AND(H30="PASS",I30="PASS",J30="PASS",K30="PASS",L30="VALID"),"PASS","FAIL"),"OPEN")</x:f>
        <x:v>OPEN</x:v>
      </x:c>
      <x:c r="O30" s="13" t="str">
        <x:v>OPEN</x:v>
      </x:c>
    </x:row>
    <x:row r="31">
      <x:c r="B31" s="13" t="str">
        <x:v>RAS-TR-025</x:v>
      </x:c>
      <x:c r="C31" s="13" t="str">
        <x:v>RAS-E025</x:v>
      </x:c>
      <x:c r="D31" s="13" t="str">
        <x:v>AM-05</x:v>
      </x:c>
      <x:c r="E31" s="13" t="str">
        <x:v>TR-A</x:v>
      </x:c>
      <x:c r="F31" s="13" t="str">
        <x:v>RFP-C1</x:v>
      </x:c>
      <x:c r="G31" s="13" t="str">
        <x:v>QE-01</x:v>
      </x:c>
      <x:c r="H31" s="13" t="str">
        <x:f>'Source Ledger'!S31</x:f>
        <x:v>OPEN</x:v>
      </x:c>
      <x:c r="I31" s="13" t="str">
        <x:f>'Water Ledger'!R31</x:f>
        <x:v>OPEN</x:v>
      </x:c>
      <x:c r="J31" s="13" t="str">
        <x:f>'Ancestry Ledger'!N31</x:f>
        <x:v>OPEN</x:v>
      </x:c>
      <x:c r="K31" s="13" t="str">
        <x:f>'Pool Thermal'!O31</x:f>
        <x:v>OPEN</x:v>
      </x:c>
      <x:c r="L31" s="13" t="n">
        <x:f>'Event Register'!T31</x:f>
        <x:v>0</x:v>
      </x:c>
      <x:c r="M31" s="13" t="str"/>
      <x:c r="N31" s="13" t="str">
        <x:f>IF(M31=1,IF(AND(H31="PASS",I31="PASS",J31="PASS",K31="PASS",L31="VALID"),"PASS","FAIL"),"OPEN")</x:f>
        <x:v>OPEN</x:v>
      </x:c>
      <x:c r="O31" s="13" t="str">
        <x:v>OPEN</x:v>
      </x:c>
    </x:row>
    <x:row r="32">
      <x:c r="B32" s="13" t="str">
        <x:v>RAS-TR-026</x:v>
      </x:c>
      <x:c r="C32" s="13" t="str">
        <x:v>RAS-E026</x:v>
      </x:c>
      <x:c r="D32" s="13" t="str">
        <x:v>AM-05</x:v>
      </x:c>
      <x:c r="E32" s="13" t="str">
        <x:v>TR-A</x:v>
      </x:c>
      <x:c r="F32" s="13" t="str">
        <x:v>RFP-C1</x:v>
      </x:c>
      <x:c r="G32" s="13" t="str">
        <x:v>QE-02</x:v>
      </x:c>
      <x:c r="H32" s="13" t="str">
        <x:f>'Source Ledger'!S32</x:f>
        <x:v>OPEN</x:v>
      </x:c>
      <x:c r="I32" s="13" t="str">
        <x:f>'Water Ledger'!R32</x:f>
        <x:v>OPEN</x:v>
      </x:c>
      <x:c r="J32" s="13" t="str">
        <x:f>'Ancestry Ledger'!N32</x:f>
        <x:v>OPEN</x:v>
      </x:c>
      <x:c r="K32" s="13" t="str">
        <x:f>'Pool Thermal'!O32</x:f>
        <x:v>OPEN</x:v>
      </x:c>
      <x:c r="L32" s="13" t="n">
        <x:f>'Event Register'!T32</x:f>
        <x:v>0</x:v>
      </x:c>
      <x:c r="M32" s="13" t="str"/>
      <x:c r="N32" s="13" t="str">
        <x:f>IF(M32=1,IF(AND(H32="PASS",I32="PASS",J32="PASS",K32="PASS",L32="VALID"),"PASS","FAIL"),"OPEN")</x:f>
        <x:v>OPEN</x:v>
      </x:c>
      <x:c r="O32" s="13" t="str">
        <x:v>OPEN</x:v>
      </x:c>
    </x:row>
    <x:row r="33">
      <x:c r="B33" s="13" t="str">
        <x:v>RAS-TR-027</x:v>
      </x:c>
      <x:c r="C33" s="13" t="str">
        <x:v>RAS-E027</x:v>
      </x:c>
      <x:c r="D33" s="13" t="str">
        <x:v>AM-05</x:v>
      </x:c>
      <x:c r="E33" s="13" t="str">
        <x:v>TR-A</x:v>
      </x:c>
      <x:c r="F33" s="13" t="str">
        <x:v>RFP-C1</x:v>
      </x:c>
      <x:c r="G33" s="13" t="str">
        <x:v>QE-03</x:v>
      </x:c>
      <x:c r="H33" s="13" t="str">
        <x:f>'Source Ledger'!S33</x:f>
        <x:v>OPEN</x:v>
      </x:c>
      <x:c r="I33" s="13" t="str">
        <x:f>'Water Ledger'!R33</x:f>
        <x:v>OPEN</x:v>
      </x:c>
      <x:c r="J33" s="13" t="str">
        <x:f>'Ancestry Ledger'!N33</x:f>
        <x:v>OPEN</x:v>
      </x:c>
      <x:c r="K33" s="13" t="str">
        <x:f>'Pool Thermal'!O33</x:f>
        <x:v>OPEN</x:v>
      </x:c>
      <x:c r="L33" s="13" t="n">
        <x:f>'Event Register'!T33</x:f>
        <x:v>0</x:v>
      </x:c>
      <x:c r="M33" s="13" t="str"/>
      <x:c r="N33" s="13" t="str">
        <x:f>IF(M33=1,IF(AND(H33="PASS",I33="PASS",J33="PASS",K33="PASS",L33="VALID"),"PASS","FAIL"),"OPEN")</x:f>
        <x:v>OPEN</x:v>
      </x:c>
      <x:c r="O33" s="13" t="str">
        <x:v>OPEN</x:v>
      </x:c>
    </x:row>
    <x:row r="34">
      <x:c r="B34" s="13" t="str">
        <x:v>RAS-TR-028</x:v>
      </x:c>
      <x:c r="C34" s="13" t="str">
        <x:v>RAS-E028</x:v>
      </x:c>
      <x:c r="D34" s="13" t="str">
        <x:v>AM-05</x:v>
      </x:c>
      <x:c r="E34" s="13" t="str">
        <x:v>TR-A</x:v>
      </x:c>
      <x:c r="F34" s="13" t="str">
        <x:v>RFP-C1</x:v>
      </x:c>
      <x:c r="G34" s="13" t="str">
        <x:v>QE-04</x:v>
      </x:c>
      <x:c r="H34" s="13" t="str">
        <x:f>'Source Ledger'!S34</x:f>
        <x:v>OPEN</x:v>
      </x:c>
      <x:c r="I34" s="13" t="str">
        <x:f>'Water Ledger'!R34</x:f>
        <x:v>OPEN</x:v>
      </x:c>
      <x:c r="J34" s="13" t="str">
        <x:f>'Ancestry Ledger'!N34</x:f>
        <x:v>OPEN</x:v>
      </x:c>
      <x:c r="K34" s="13" t="str">
        <x:f>'Pool Thermal'!O34</x:f>
        <x:v>OPEN</x:v>
      </x:c>
      <x:c r="L34" s="13" t="n">
        <x:f>'Event Register'!T34</x:f>
        <x:v>0</x:v>
      </x:c>
      <x:c r="M34" s="13" t="str"/>
      <x:c r="N34" s="13" t="str">
        <x:f>IF(M34=1,IF(AND(H34="PASS",I34="PASS",J34="PASS",K34="PASS",L34="VALID"),"PASS","FAIL"),"OPEN")</x:f>
        <x:v>OPEN</x:v>
      </x:c>
      <x:c r="O34" s="13" t="str">
        <x:v>OPEN</x:v>
      </x:c>
    </x:row>
    <x:row r="35">
      <x:c r="B35" s="13" t="str">
        <x:v>RAS-TR-029</x:v>
      </x:c>
      <x:c r="C35" s="13" t="str">
        <x:v>RAS-E029</x:v>
      </x:c>
      <x:c r="D35" s="13" t="str">
        <x:v>AM-05</x:v>
      </x:c>
      <x:c r="E35" s="13" t="str">
        <x:v>TR-A</x:v>
      </x:c>
      <x:c r="F35" s="13" t="str">
        <x:v>RFP-C1</x:v>
      </x:c>
      <x:c r="G35" s="13" t="str">
        <x:v>QE-05</x:v>
      </x:c>
      <x:c r="H35" s="13" t="str">
        <x:f>'Source Ledger'!S35</x:f>
        <x:v>OPEN</x:v>
      </x:c>
      <x:c r="I35" s="13" t="str">
        <x:f>'Water Ledger'!R35</x:f>
        <x:v>OPEN</x:v>
      </x:c>
      <x:c r="J35" s="13" t="str">
        <x:f>'Ancestry Ledger'!N35</x:f>
        <x:v>OPEN</x:v>
      </x:c>
      <x:c r="K35" s="13" t="str">
        <x:f>'Pool Thermal'!O35</x:f>
        <x:v>OPEN</x:v>
      </x:c>
      <x:c r="L35" s="13" t="n">
        <x:f>'Event Register'!T35</x:f>
        <x:v>0</x:v>
      </x:c>
      <x:c r="M35" s="13" t="str"/>
      <x:c r="N35" s="13" t="str">
        <x:f>IF(M35=1,IF(AND(H35="PASS",I35="PASS",J35="PASS",K35="PASS",L35="VALID"),"PASS","FAIL"),"OPEN")</x:f>
        <x:v>OPEN</x:v>
      </x:c>
      <x:c r="O35" s="13" t="str">
        <x:v>OPEN</x:v>
      </x:c>
    </x:row>
    <x:row r="36">
      <x:c r="B36" s="13" t="str">
        <x:v>RAS-TR-030</x:v>
      </x:c>
      <x:c r="C36" s="13" t="str">
        <x:v>RAS-E030</x:v>
      </x:c>
      <x:c r="D36" s="13" t="str">
        <x:v>AM-05</x:v>
      </x:c>
      <x:c r="E36" s="13" t="str">
        <x:v>TR-A</x:v>
      </x:c>
      <x:c r="F36" s="13" t="str">
        <x:v>RFP-C1</x:v>
      </x:c>
      <x:c r="G36" s="13" t="str">
        <x:v>QE-06</x:v>
      </x:c>
      <x:c r="H36" s="13" t="str">
        <x:f>'Source Ledger'!S36</x:f>
        <x:v>OPEN</x:v>
      </x:c>
      <x:c r="I36" s="13" t="str">
        <x:f>'Water Ledger'!R36</x:f>
        <x:v>OPEN</x:v>
      </x:c>
      <x:c r="J36" s="13" t="str">
        <x:f>'Ancestry Ledger'!N36</x:f>
        <x:v>OPEN</x:v>
      </x:c>
      <x:c r="K36" s="13" t="str">
        <x:f>'Pool Thermal'!O36</x:f>
        <x:v>OPEN</x:v>
      </x:c>
      <x:c r="L36" s="13" t="n">
        <x:f>'Event Register'!T36</x:f>
        <x:v>0</x:v>
      </x:c>
      <x:c r="M36" s="13" t="str"/>
      <x:c r="N36" s="13" t="str">
        <x:f>IF(M36=1,IF(AND(H36="PASS",I36="PASS",J36="PASS",K36="PASS",L36="VALID"),"PASS","FAIL"),"OPEN")</x:f>
        <x:v>OPEN</x:v>
      </x:c>
      <x:c r="O36" s="13" t="str">
        <x:v>OPEN</x:v>
      </x:c>
    </x:row>
    <x:row r="37">
      <x:c r="B37" s="13" t="str">
        <x:v>RAS-TR-031</x:v>
      </x:c>
      <x:c r="C37" s="13" t="str">
        <x:v>RAS-E031</x:v>
      </x:c>
      <x:c r="D37" s="13" t="str">
        <x:v>AM-05</x:v>
      </x:c>
      <x:c r="E37" s="13" t="str">
        <x:v>TR-A</x:v>
      </x:c>
      <x:c r="F37" s="13" t="str">
        <x:v>RFP-C2</x:v>
      </x:c>
      <x:c r="G37" s="13" t="str">
        <x:v>QE-01</x:v>
      </x:c>
      <x:c r="H37" s="13" t="str">
        <x:f>'Source Ledger'!S37</x:f>
        <x:v>OPEN</x:v>
      </x:c>
      <x:c r="I37" s="13" t="str">
        <x:f>'Water Ledger'!R37</x:f>
        <x:v>OPEN</x:v>
      </x:c>
      <x:c r="J37" s="13" t="str">
        <x:f>'Ancestry Ledger'!N37</x:f>
        <x:v>OPEN</x:v>
      </x:c>
      <x:c r="K37" s="13" t="str">
        <x:f>'Pool Thermal'!O37</x:f>
        <x:v>OPEN</x:v>
      </x:c>
      <x:c r="L37" s="13" t="n">
        <x:f>'Event Register'!T37</x:f>
        <x:v>0</x:v>
      </x:c>
      <x:c r="M37" s="13" t="str"/>
      <x:c r="N37" s="13" t="str">
        <x:f>IF(M37=1,IF(AND(H37="PASS",I37="PASS",J37="PASS",K37="PASS",L37="VALID"),"PASS","FAIL"),"OPEN")</x:f>
        <x:v>OPEN</x:v>
      </x:c>
      <x:c r="O37" s="13" t="str">
        <x:v>OPEN</x:v>
      </x:c>
    </x:row>
    <x:row r="38">
      <x:c r="B38" s="13" t="str">
        <x:v>RAS-TR-032</x:v>
      </x:c>
      <x:c r="C38" s="13" t="str">
        <x:v>RAS-E032</x:v>
      </x:c>
      <x:c r="D38" s="13" t="str">
        <x:v>AM-05</x:v>
      </x:c>
      <x:c r="E38" s="13" t="str">
        <x:v>TR-A</x:v>
      </x:c>
      <x:c r="F38" s="13" t="str">
        <x:v>RFP-C2</x:v>
      </x:c>
      <x:c r="G38" s="13" t="str">
        <x:v>QE-02</x:v>
      </x:c>
      <x:c r="H38" s="13" t="str">
        <x:f>'Source Ledger'!S38</x:f>
        <x:v>OPEN</x:v>
      </x:c>
      <x:c r="I38" s="13" t="str">
        <x:f>'Water Ledger'!R38</x:f>
        <x:v>OPEN</x:v>
      </x:c>
      <x:c r="J38" s="13" t="str">
        <x:f>'Ancestry Ledger'!N38</x:f>
        <x:v>OPEN</x:v>
      </x:c>
      <x:c r="K38" s="13" t="str">
        <x:f>'Pool Thermal'!O38</x:f>
        <x:v>OPEN</x:v>
      </x:c>
      <x:c r="L38" s="13" t="n">
        <x:f>'Event Register'!T38</x:f>
        <x:v>0</x:v>
      </x:c>
      <x:c r="M38" s="13" t="str"/>
      <x:c r="N38" s="13" t="str">
        <x:f>IF(M38=1,IF(AND(H38="PASS",I38="PASS",J38="PASS",K38="PASS",L38="VALID"),"PASS","FAIL"),"OPEN")</x:f>
        <x:v>OPEN</x:v>
      </x:c>
      <x:c r="O38" s="13" t="str">
        <x:v>OPEN</x:v>
      </x:c>
    </x:row>
    <x:row r="39">
      <x:c r="B39" s="13" t="str">
        <x:v>RAS-TR-033</x:v>
      </x:c>
      <x:c r="C39" s="13" t="str">
        <x:v>RAS-E033</x:v>
      </x:c>
      <x:c r="D39" s="13" t="str">
        <x:v>AM-05</x:v>
      </x:c>
      <x:c r="E39" s="13" t="str">
        <x:v>TR-A</x:v>
      </x:c>
      <x:c r="F39" s="13" t="str">
        <x:v>RFP-C2</x:v>
      </x:c>
      <x:c r="G39" s="13" t="str">
        <x:v>QE-03</x:v>
      </x:c>
      <x:c r="H39" s="13" t="str">
        <x:f>'Source Ledger'!S39</x:f>
        <x:v>OPEN</x:v>
      </x:c>
      <x:c r="I39" s="13" t="str">
        <x:f>'Water Ledger'!R39</x:f>
        <x:v>OPEN</x:v>
      </x:c>
      <x:c r="J39" s="13" t="str">
        <x:f>'Ancestry Ledger'!N39</x:f>
        <x:v>OPEN</x:v>
      </x:c>
      <x:c r="K39" s="13" t="str">
        <x:f>'Pool Thermal'!O39</x:f>
        <x:v>OPEN</x:v>
      </x:c>
      <x:c r="L39" s="13" t="n">
        <x:f>'Event Register'!T39</x:f>
        <x:v>0</x:v>
      </x:c>
      <x:c r="M39" s="13" t="str"/>
      <x:c r="N39" s="13" t="str">
        <x:f>IF(M39=1,IF(AND(H39="PASS",I39="PASS",J39="PASS",K39="PASS",L39="VALID"),"PASS","FAIL"),"OPEN")</x:f>
        <x:v>OPEN</x:v>
      </x:c>
      <x:c r="O39" s="13" t="str">
        <x:v>OPEN</x:v>
      </x:c>
    </x:row>
    <x:row r="40">
      <x:c r="B40" s="13" t="str">
        <x:v>RAS-TR-034</x:v>
      </x:c>
      <x:c r="C40" s="13" t="str">
        <x:v>RAS-E034</x:v>
      </x:c>
      <x:c r="D40" s="13" t="str">
        <x:v>AM-05</x:v>
      </x:c>
      <x:c r="E40" s="13" t="str">
        <x:v>TR-A</x:v>
      </x:c>
      <x:c r="F40" s="13" t="str">
        <x:v>RFP-C2</x:v>
      </x:c>
      <x:c r="G40" s="13" t="str">
        <x:v>QE-04</x:v>
      </x:c>
      <x:c r="H40" s="13" t="str">
        <x:f>'Source Ledger'!S40</x:f>
        <x:v>OPEN</x:v>
      </x:c>
      <x:c r="I40" s="13" t="str">
        <x:f>'Water Ledger'!R40</x:f>
        <x:v>OPEN</x:v>
      </x:c>
      <x:c r="J40" s="13" t="str">
        <x:f>'Ancestry Ledger'!N40</x:f>
        <x:v>OPEN</x:v>
      </x:c>
      <x:c r="K40" s="13" t="str">
        <x:f>'Pool Thermal'!O40</x:f>
        <x:v>OPEN</x:v>
      </x:c>
      <x:c r="L40" s="13" t="n">
        <x:f>'Event Register'!T40</x:f>
        <x:v>0</x:v>
      </x:c>
      <x:c r="M40" s="13" t="str"/>
      <x:c r="N40" s="13" t="str">
        <x:f>IF(M40=1,IF(AND(H40="PASS",I40="PASS",J40="PASS",K40="PASS",L40="VALID"),"PASS","FAIL"),"OPEN")</x:f>
        <x:v>OPEN</x:v>
      </x:c>
      <x:c r="O40" s="13" t="str">
        <x:v>OPEN</x:v>
      </x:c>
    </x:row>
    <x:row r="41">
      <x:c r="B41" s="13" t="str">
        <x:v>RAS-TR-035</x:v>
      </x:c>
      <x:c r="C41" s="13" t="str">
        <x:v>RAS-E035</x:v>
      </x:c>
      <x:c r="D41" s="13" t="str">
        <x:v>AM-05</x:v>
      </x:c>
      <x:c r="E41" s="13" t="str">
        <x:v>TR-A</x:v>
      </x:c>
      <x:c r="F41" s="13" t="str">
        <x:v>RFP-C2</x:v>
      </x:c>
      <x:c r="G41" s="13" t="str">
        <x:v>QE-05</x:v>
      </x:c>
      <x:c r="H41" s="13" t="str">
        <x:f>'Source Ledger'!S41</x:f>
        <x:v>OPEN</x:v>
      </x:c>
      <x:c r="I41" s="13" t="str">
        <x:f>'Water Ledger'!R41</x:f>
        <x:v>OPEN</x:v>
      </x:c>
      <x:c r="J41" s="13" t="str">
        <x:f>'Ancestry Ledger'!N41</x:f>
        <x:v>OPEN</x:v>
      </x:c>
      <x:c r="K41" s="13" t="str">
        <x:f>'Pool Thermal'!O41</x:f>
        <x:v>OPEN</x:v>
      </x:c>
      <x:c r="L41" s="13" t="n">
        <x:f>'Event Register'!T41</x:f>
        <x:v>0</x:v>
      </x:c>
      <x:c r="M41" s="13" t="str"/>
      <x:c r="N41" s="13" t="str">
        <x:f>IF(M41=1,IF(AND(H41="PASS",I41="PASS",J41="PASS",K41="PASS",L41="VALID"),"PASS","FAIL"),"OPEN")</x:f>
        <x:v>OPEN</x:v>
      </x:c>
      <x:c r="O41" s="13" t="str">
        <x:v>OPEN</x:v>
      </x:c>
    </x:row>
    <x:row r="42">
      <x:c r="B42" s="13" t="str">
        <x:v>RAS-TR-036</x:v>
      </x:c>
      <x:c r="C42" s="13" t="str">
        <x:v>RAS-E036</x:v>
      </x:c>
      <x:c r="D42" s="13" t="str">
        <x:v>AM-05</x:v>
      </x:c>
      <x:c r="E42" s="13" t="str">
        <x:v>TR-A</x:v>
      </x:c>
      <x:c r="F42" s="13" t="str">
        <x:v>RFP-C2</x:v>
      </x:c>
      <x:c r="G42" s="13" t="str">
        <x:v>QE-06</x:v>
      </x:c>
      <x:c r="H42" s="13" t="str">
        <x:f>'Source Ledger'!S42</x:f>
        <x:v>OPEN</x:v>
      </x:c>
      <x:c r="I42" s="13" t="str">
        <x:f>'Water Ledger'!R42</x:f>
        <x:v>OPEN</x:v>
      </x:c>
      <x:c r="J42" s="13" t="str">
        <x:f>'Ancestry Ledger'!N42</x:f>
        <x:v>OPEN</x:v>
      </x:c>
      <x:c r="K42" s="13" t="str">
        <x:f>'Pool Thermal'!O42</x:f>
        <x:v>OPEN</x:v>
      </x:c>
      <x:c r="L42" s="13" t="n">
        <x:f>'Event Register'!T42</x:f>
        <x:v>0</x:v>
      </x:c>
      <x:c r="M42" s="13" t="str"/>
      <x:c r="N42" s="13" t="str">
        <x:f>IF(M42=1,IF(AND(H42="PASS",I42="PASS",J42="PASS",K42="PASS",L42="VALID"),"PASS","FAIL"),"OPEN")</x:f>
        <x:v>OPEN</x:v>
      </x:c>
      <x:c r="O42" s="13" t="str">
        <x:v>OPEN</x:v>
      </x:c>
    </x:row>
    <x:row r="43">
      <x:c r="B43" s="13" t="str">
        <x:v>RAS-TR-037</x:v>
      </x:c>
      <x:c r="C43" s="13" t="str">
        <x:v>RAS-E037</x:v>
      </x:c>
      <x:c r="D43" s="13" t="str">
        <x:v>AM-05</x:v>
      </x:c>
      <x:c r="E43" s="13" t="str">
        <x:v>TR-B</x:v>
      </x:c>
      <x:c r="F43" s="13" t="str">
        <x:v>RFP-A1</x:v>
      </x:c>
      <x:c r="G43" s="13" t="str">
        <x:v>QE-01</x:v>
      </x:c>
      <x:c r="H43" s="13" t="str">
        <x:f>'Source Ledger'!S43</x:f>
        <x:v>OPEN</x:v>
      </x:c>
      <x:c r="I43" s="13" t="str">
        <x:f>'Water Ledger'!R43</x:f>
        <x:v>OPEN</x:v>
      </x:c>
      <x:c r="J43" s="13" t="str">
        <x:f>'Ancestry Ledger'!N43</x:f>
        <x:v>OPEN</x:v>
      </x:c>
      <x:c r="K43" s="13" t="str">
        <x:f>'Pool Thermal'!O43</x:f>
        <x:v>OPEN</x:v>
      </x:c>
      <x:c r="L43" s="13" t="n">
        <x:f>'Event Register'!T43</x:f>
        <x:v>0</x:v>
      </x:c>
      <x:c r="M43" s="13" t="str"/>
      <x:c r="N43" s="13" t="str">
        <x:f>IF(M43=1,IF(AND(H43="PASS",I43="PASS",J43="PASS",K43="PASS",L43="VALID"),"PASS","FAIL"),"OPEN")</x:f>
        <x:v>OPEN</x:v>
      </x:c>
      <x:c r="O43" s="13" t="str">
        <x:v>OPEN</x:v>
      </x:c>
    </x:row>
    <x:row r="44">
      <x:c r="B44" s="13" t="str">
        <x:v>RAS-TR-038</x:v>
      </x:c>
      <x:c r="C44" s="13" t="str">
        <x:v>RAS-E038</x:v>
      </x:c>
      <x:c r="D44" s="13" t="str">
        <x:v>AM-05</x:v>
      </x:c>
      <x:c r="E44" s="13" t="str">
        <x:v>TR-B</x:v>
      </x:c>
      <x:c r="F44" s="13" t="str">
        <x:v>RFP-A1</x:v>
      </x:c>
      <x:c r="G44" s="13" t="str">
        <x:v>QE-02</x:v>
      </x:c>
      <x:c r="H44" s="13" t="str">
        <x:f>'Source Ledger'!S44</x:f>
        <x:v>OPEN</x:v>
      </x:c>
      <x:c r="I44" s="13" t="str">
        <x:f>'Water Ledger'!R44</x:f>
        <x:v>OPEN</x:v>
      </x:c>
      <x:c r="J44" s="13" t="str">
        <x:f>'Ancestry Ledger'!N44</x:f>
        <x:v>OPEN</x:v>
      </x:c>
      <x:c r="K44" s="13" t="str">
        <x:f>'Pool Thermal'!O44</x:f>
        <x:v>OPEN</x:v>
      </x:c>
      <x:c r="L44" s="13" t="n">
        <x:f>'Event Register'!T44</x:f>
        <x:v>0</x:v>
      </x:c>
      <x:c r="M44" s="13" t="str"/>
      <x:c r="N44" s="13" t="str">
        <x:f>IF(M44=1,IF(AND(H44="PASS",I44="PASS",J44="PASS",K44="PASS",L44="VALID"),"PASS","FAIL"),"OPEN")</x:f>
        <x:v>OPEN</x:v>
      </x:c>
      <x:c r="O44" s="13" t="str">
        <x:v>OPEN</x:v>
      </x:c>
    </x:row>
    <x:row r="45">
      <x:c r="B45" s="13" t="str">
        <x:v>RAS-TR-039</x:v>
      </x:c>
      <x:c r="C45" s="13" t="str">
        <x:v>RAS-E039</x:v>
      </x:c>
      <x:c r="D45" s="13" t="str">
        <x:v>AM-05</x:v>
      </x:c>
      <x:c r="E45" s="13" t="str">
        <x:v>TR-B</x:v>
      </x:c>
      <x:c r="F45" s="13" t="str">
        <x:v>RFP-A1</x:v>
      </x:c>
      <x:c r="G45" s="13" t="str">
        <x:v>QE-03</x:v>
      </x:c>
      <x:c r="H45" s="13" t="str">
        <x:f>'Source Ledger'!S45</x:f>
        <x:v>OPEN</x:v>
      </x:c>
      <x:c r="I45" s="13" t="str">
        <x:f>'Water Ledger'!R45</x:f>
        <x:v>OPEN</x:v>
      </x:c>
      <x:c r="J45" s="13" t="str">
        <x:f>'Ancestry Ledger'!N45</x:f>
        <x:v>OPEN</x:v>
      </x:c>
      <x:c r="K45" s="13" t="str">
        <x:f>'Pool Thermal'!O45</x:f>
        <x:v>OPEN</x:v>
      </x:c>
      <x:c r="L45" s="13" t="n">
        <x:f>'Event Register'!T45</x:f>
        <x:v>0</x:v>
      </x:c>
      <x:c r="M45" s="13" t="str"/>
      <x:c r="N45" s="13" t="str">
        <x:f>IF(M45=1,IF(AND(H45="PASS",I45="PASS",J45="PASS",K45="PASS",L45="VALID"),"PASS","FAIL"),"OPEN")</x:f>
        <x:v>OPEN</x:v>
      </x:c>
      <x:c r="O45" s="13" t="str">
        <x:v>OPEN</x:v>
      </x:c>
    </x:row>
    <x:row r="46">
      <x:c r="B46" s="13" t="str">
        <x:v>RAS-TR-040</x:v>
      </x:c>
      <x:c r="C46" s="13" t="str">
        <x:v>RAS-E040</x:v>
      </x:c>
      <x:c r="D46" s="13" t="str">
        <x:v>AM-05</x:v>
      </x:c>
      <x:c r="E46" s="13" t="str">
        <x:v>TR-B</x:v>
      </x:c>
      <x:c r="F46" s="13" t="str">
        <x:v>RFP-A1</x:v>
      </x:c>
      <x:c r="G46" s="13" t="str">
        <x:v>QE-04</x:v>
      </x:c>
      <x:c r="H46" s="13" t="str">
        <x:f>'Source Ledger'!S46</x:f>
        <x:v>OPEN</x:v>
      </x:c>
      <x:c r="I46" s="13" t="str">
        <x:f>'Water Ledger'!R46</x:f>
        <x:v>OPEN</x:v>
      </x:c>
      <x:c r="J46" s="13" t="str">
        <x:f>'Ancestry Ledger'!N46</x:f>
        <x:v>OPEN</x:v>
      </x:c>
      <x:c r="K46" s="13" t="str">
        <x:f>'Pool Thermal'!O46</x:f>
        <x:v>OPEN</x:v>
      </x:c>
      <x:c r="L46" s="13" t="n">
        <x:f>'Event Register'!T46</x:f>
        <x:v>0</x:v>
      </x:c>
      <x:c r="M46" s="13" t="str"/>
      <x:c r="N46" s="13" t="str">
        <x:f>IF(M46=1,IF(AND(H46="PASS",I46="PASS",J46="PASS",K46="PASS",L46="VALID"),"PASS","FAIL"),"OPEN")</x:f>
        <x:v>OPEN</x:v>
      </x:c>
      <x:c r="O46" s="13" t="str">
        <x:v>OPEN</x:v>
      </x:c>
    </x:row>
    <x:row r="47">
      <x:c r="B47" s="13" t="str">
        <x:v>RAS-TR-041</x:v>
      </x:c>
      <x:c r="C47" s="13" t="str">
        <x:v>RAS-E041</x:v>
      </x:c>
      <x:c r="D47" s="13" t="str">
        <x:v>AM-05</x:v>
      </x:c>
      <x:c r="E47" s="13" t="str">
        <x:v>TR-B</x:v>
      </x:c>
      <x:c r="F47" s="13" t="str">
        <x:v>RFP-A1</x:v>
      </x:c>
      <x:c r="G47" s="13" t="str">
        <x:v>QE-05</x:v>
      </x:c>
      <x:c r="H47" s="13" t="str">
        <x:f>'Source Ledger'!S47</x:f>
        <x:v>OPEN</x:v>
      </x:c>
      <x:c r="I47" s="13" t="str">
        <x:f>'Water Ledger'!R47</x:f>
        <x:v>OPEN</x:v>
      </x:c>
      <x:c r="J47" s="13" t="str">
        <x:f>'Ancestry Ledger'!N47</x:f>
        <x:v>OPEN</x:v>
      </x:c>
      <x:c r="K47" s="13" t="str">
        <x:f>'Pool Thermal'!O47</x:f>
        <x:v>OPEN</x:v>
      </x:c>
      <x:c r="L47" s="13" t="n">
        <x:f>'Event Register'!T47</x:f>
        <x:v>0</x:v>
      </x:c>
      <x:c r="M47" s="13" t="str"/>
      <x:c r="N47" s="13" t="str">
        <x:f>IF(M47=1,IF(AND(H47="PASS",I47="PASS",J47="PASS",K47="PASS",L47="VALID"),"PASS","FAIL"),"OPEN")</x:f>
        <x:v>OPEN</x:v>
      </x:c>
      <x:c r="O47" s="13" t="str">
        <x:v>OPEN</x:v>
      </x:c>
    </x:row>
    <x:row r="48">
      <x:c r="B48" s="13" t="str">
        <x:v>RAS-TR-042</x:v>
      </x:c>
      <x:c r="C48" s="13" t="str">
        <x:v>RAS-E042</x:v>
      </x:c>
      <x:c r="D48" s="13" t="str">
        <x:v>AM-05</x:v>
      </x:c>
      <x:c r="E48" s="13" t="str">
        <x:v>TR-B</x:v>
      </x:c>
      <x:c r="F48" s="13" t="str">
        <x:v>RFP-A1</x:v>
      </x:c>
      <x:c r="G48" s="13" t="str">
        <x:v>QE-06</x:v>
      </x:c>
      <x:c r="H48" s="13" t="str">
        <x:f>'Source Ledger'!S48</x:f>
        <x:v>OPEN</x:v>
      </x:c>
      <x:c r="I48" s="13" t="str">
        <x:f>'Water Ledger'!R48</x:f>
        <x:v>OPEN</x:v>
      </x:c>
      <x:c r="J48" s="13" t="str">
        <x:f>'Ancestry Ledger'!N48</x:f>
        <x:v>OPEN</x:v>
      </x:c>
      <x:c r="K48" s="13" t="str">
        <x:f>'Pool Thermal'!O48</x:f>
        <x:v>OPEN</x:v>
      </x:c>
      <x:c r="L48" s="13" t="n">
        <x:f>'Event Register'!T48</x:f>
        <x:v>0</x:v>
      </x:c>
      <x:c r="M48" s="13" t="str"/>
      <x:c r="N48" s="13" t="str">
        <x:f>IF(M48=1,IF(AND(H48="PASS",I48="PASS",J48="PASS",K48="PASS",L48="VALID"),"PASS","FAIL"),"OPEN")</x:f>
        <x:v>OPEN</x:v>
      </x:c>
      <x:c r="O48" s="13" t="str">
        <x:v>OPEN</x:v>
      </x:c>
    </x:row>
    <x:row r="49">
      <x:c r="B49" s="13" t="str">
        <x:v>RAS-TR-043</x:v>
      </x:c>
      <x:c r="C49" s="13" t="str">
        <x:v>RAS-E043</x:v>
      </x:c>
      <x:c r="D49" s="13" t="str">
        <x:v>AM-05</x:v>
      </x:c>
      <x:c r="E49" s="13" t="str">
        <x:v>TR-B</x:v>
      </x:c>
      <x:c r="F49" s="13" t="str">
        <x:v>RFP-A2</x:v>
      </x:c>
      <x:c r="G49" s="13" t="str">
        <x:v>QE-01</x:v>
      </x:c>
      <x:c r="H49" s="13" t="str">
        <x:f>'Source Ledger'!S49</x:f>
        <x:v>OPEN</x:v>
      </x:c>
      <x:c r="I49" s="13" t="str">
        <x:f>'Water Ledger'!R49</x:f>
        <x:v>OPEN</x:v>
      </x:c>
      <x:c r="J49" s="13" t="str">
        <x:f>'Ancestry Ledger'!N49</x:f>
        <x:v>OPEN</x:v>
      </x:c>
      <x:c r="K49" s="13" t="str">
        <x:f>'Pool Thermal'!O49</x:f>
        <x:v>OPEN</x:v>
      </x:c>
      <x:c r="L49" s="13" t="n">
        <x:f>'Event Register'!T49</x:f>
        <x:v>0</x:v>
      </x:c>
      <x:c r="M49" s="13" t="str"/>
      <x:c r="N49" s="13" t="str">
        <x:f>IF(M49=1,IF(AND(H49="PASS",I49="PASS",J49="PASS",K49="PASS",L49="VALID"),"PASS","FAIL"),"OPEN")</x:f>
        <x:v>OPEN</x:v>
      </x:c>
      <x:c r="O49" s="13" t="str">
        <x:v>OPEN</x:v>
      </x:c>
    </x:row>
    <x:row r="50">
      <x:c r="B50" s="13" t="str">
        <x:v>RAS-TR-044</x:v>
      </x:c>
      <x:c r="C50" s="13" t="str">
        <x:v>RAS-E044</x:v>
      </x:c>
      <x:c r="D50" s="13" t="str">
        <x:v>AM-05</x:v>
      </x:c>
      <x:c r="E50" s="13" t="str">
        <x:v>TR-B</x:v>
      </x:c>
      <x:c r="F50" s="13" t="str">
        <x:v>RFP-A2</x:v>
      </x:c>
      <x:c r="G50" s="13" t="str">
        <x:v>QE-02</x:v>
      </x:c>
      <x:c r="H50" s="13" t="str">
        <x:f>'Source Ledger'!S50</x:f>
        <x:v>OPEN</x:v>
      </x:c>
      <x:c r="I50" s="13" t="str">
        <x:f>'Water Ledger'!R50</x:f>
        <x:v>OPEN</x:v>
      </x:c>
      <x:c r="J50" s="13" t="str">
        <x:f>'Ancestry Ledger'!N50</x:f>
        <x:v>OPEN</x:v>
      </x:c>
      <x:c r="K50" s="13" t="str">
        <x:f>'Pool Thermal'!O50</x:f>
        <x:v>OPEN</x:v>
      </x:c>
      <x:c r="L50" s="13" t="n">
        <x:f>'Event Register'!T50</x:f>
        <x:v>0</x:v>
      </x:c>
      <x:c r="M50" s="13" t="str"/>
      <x:c r="N50" s="13" t="str">
        <x:f>IF(M50=1,IF(AND(H50="PASS",I50="PASS",J50="PASS",K50="PASS",L50="VALID"),"PASS","FAIL"),"OPEN")</x:f>
        <x:v>OPEN</x:v>
      </x:c>
      <x:c r="O50" s="13" t="str">
        <x:v>OPEN</x:v>
      </x:c>
    </x:row>
    <x:row r="51">
      <x:c r="B51" s="13" t="str">
        <x:v>RAS-TR-045</x:v>
      </x:c>
      <x:c r="C51" s="13" t="str">
        <x:v>RAS-E045</x:v>
      </x:c>
      <x:c r="D51" s="13" t="str">
        <x:v>AM-05</x:v>
      </x:c>
      <x:c r="E51" s="13" t="str">
        <x:v>TR-B</x:v>
      </x:c>
      <x:c r="F51" s="13" t="str">
        <x:v>RFP-A2</x:v>
      </x:c>
      <x:c r="G51" s="13" t="str">
        <x:v>QE-03</x:v>
      </x:c>
      <x:c r="H51" s="13" t="str">
        <x:f>'Source Ledger'!S51</x:f>
        <x:v>OPEN</x:v>
      </x:c>
      <x:c r="I51" s="13" t="str">
        <x:f>'Water Ledger'!R51</x:f>
        <x:v>OPEN</x:v>
      </x:c>
      <x:c r="J51" s="13" t="str">
        <x:f>'Ancestry Ledger'!N51</x:f>
        <x:v>OPEN</x:v>
      </x:c>
      <x:c r="K51" s="13" t="str">
        <x:f>'Pool Thermal'!O51</x:f>
        <x:v>OPEN</x:v>
      </x:c>
      <x:c r="L51" s="13" t="n">
        <x:f>'Event Register'!T51</x:f>
        <x:v>0</x:v>
      </x:c>
      <x:c r="M51" s="13" t="str"/>
      <x:c r="N51" s="13" t="str">
        <x:f>IF(M51=1,IF(AND(H51="PASS",I51="PASS",J51="PASS",K51="PASS",L51="VALID"),"PASS","FAIL"),"OPEN")</x:f>
        <x:v>OPEN</x:v>
      </x:c>
      <x:c r="O51" s="13" t="str">
        <x:v>OPEN</x:v>
      </x:c>
    </x:row>
    <x:row r="52">
      <x:c r="B52" s="13" t="str">
        <x:v>RAS-TR-046</x:v>
      </x:c>
      <x:c r="C52" s="13" t="str">
        <x:v>RAS-E046</x:v>
      </x:c>
      <x:c r="D52" s="13" t="str">
        <x:v>AM-05</x:v>
      </x:c>
      <x:c r="E52" s="13" t="str">
        <x:v>TR-B</x:v>
      </x:c>
      <x:c r="F52" s="13" t="str">
        <x:v>RFP-A2</x:v>
      </x:c>
      <x:c r="G52" s="13" t="str">
        <x:v>QE-04</x:v>
      </x:c>
      <x:c r="H52" s="13" t="str">
        <x:f>'Source Ledger'!S52</x:f>
        <x:v>OPEN</x:v>
      </x:c>
      <x:c r="I52" s="13" t="str">
        <x:f>'Water Ledger'!R52</x:f>
        <x:v>OPEN</x:v>
      </x:c>
      <x:c r="J52" s="13" t="str">
        <x:f>'Ancestry Ledger'!N52</x:f>
        <x:v>OPEN</x:v>
      </x:c>
      <x:c r="K52" s="13" t="str">
        <x:f>'Pool Thermal'!O52</x:f>
        <x:v>OPEN</x:v>
      </x:c>
      <x:c r="L52" s="13" t="n">
        <x:f>'Event Register'!T52</x:f>
        <x:v>0</x:v>
      </x:c>
      <x:c r="M52" s="13" t="str"/>
      <x:c r="N52" s="13" t="str">
        <x:f>IF(M52=1,IF(AND(H52="PASS",I52="PASS",J52="PASS",K52="PASS",L52="VALID"),"PASS","FAIL"),"OPEN")</x:f>
        <x:v>OPEN</x:v>
      </x:c>
      <x:c r="O52" s="13" t="str">
        <x:v>OPEN</x:v>
      </x:c>
    </x:row>
    <x:row r="53">
      <x:c r="B53" s="13" t="str">
        <x:v>RAS-TR-047</x:v>
      </x:c>
      <x:c r="C53" s="13" t="str">
        <x:v>RAS-E047</x:v>
      </x:c>
      <x:c r="D53" s="13" t="str">
        <x:v>AM-05</x:v>
      </x:c>
      <x:c r="E53" s="13" t="str">
        <x:v>TR-B</x:v>
      </x:c>
      <x:c r="F53" s="13" t="str">
        <x:v>RFP-A2</x:v>
      </x:c>
      <x:c r="G53" s="13" t="str">
        <x:v>QE-05</x:v>
      </x:c>
      <x:c r="H53" s="13" t="str">
        <x:f>'Source Ledger'!S53</x:f>
        <x:v>OPEN</x:v>
      </x:c>
      <x:c r="I53" s="13" t="str">
        <x:f>'Water Ledger'!R53</x:f>
        <x:v>OPEN</x:v>
      </x:c>
      <x:c r="J53" s="13" t="str">
        <x:f>'Ancestry Ledger'!N53</x:f>
        <x:v>OPEN</x:v>
      </x:c>
      <x:c r="K53" s="13" t="str">
        <x:f>'Pool Thermal'!O53</x:f>
        <x:v>OPEN</x:v>
      </x:c>
      <x:c r="L53" s="13" t="n">
        <x:f>'Event Register'!T53</x:f>
        <x:v>0</x:v>
      </x:c>
      <x:c r="M53" s="13" t="str"/>
      <x:c r="N53" s="13" t="str">
        <x:f>IF(M53=1,IF(AND(H53="PASS",I53="PASS",J53="PASS",K53="PASS",L53="VALID"),"PASS","FAIL"),"OPEN")</x:f>
        <x:v>OPEN</x:v>
      </x:c>
      <x:c r="O53" s="13" t="str">
        <x:v>OPEN</x:v>
      </x:c>
    </x:row>
    <x:row r="54">
      <x:c r="B54" s="13" t="str">
        <x:v>RAS-TR-048</x:v>
      </x:c>
      <x:c r="C54" s="13" t="str">
        <x:v>RAS-E048</x:v>
      </x:c>
      <x:c r="D54" s="13" t="str">
        <x:v>AM-05</x:v>
      </x:c>
      <x:c r="E54" s="13" t="str">
        <x:v>TR-B</x:v>
      </x:c>
      <x:c r="F54" s="13" t="str">
        <x:v>RFP-A2</x:v>
      </x:c>
      <x:c r="G54" s="13" t="str">
        <x:v>QE-06</x:v>
      </x:c>
      <x:c r="H54" s="13" t="str">
        <x:f>'Source Ledger'!S54</x:f>
        <x:v>OPEN</x:v>
      </x:c>
      <x:c r="I54" s="13" t="str">
        <x:f>'Water Ledger'!R54</x:f>
        <x:v>OPEN</x:v>
      </x:c>
      <x:c r="J54" s="13" t="str">
        <x:f>'Ancestry Ledger'!N54</x:f>
        <x:v>OPEN</x:v>
      </x:c>
      <x:c r="K54" s="13" t="str">
        <x:f>'Pool Thermal'!O54</x:f>
        <x:v>OPEN</x:v>
      </x:c>
      <x:c r="L54" s="13" t="n">
        <x:f>'Event Register'!T54</x:f>
        <x:v>0</x:v>
      </x:c>
      <x:c r="M54" s="13" t="str"/>
      <x:c r="N54" s="13" t="str">
        <x:f>IF(M54=1,IF(AND(H54="PASS",I54="PASS",J54="PASS",K54="PASS",L54="VALID"),"PASS","FAIL"),"OPEN")</x:f>
        <x:v>OPEN</x:v>
      </x:c>
      <x:c r="O54" s="13" t="str">
        <x:v>OPEN</x:v>
      </x:c>
    </x:row>
    <x:row r="55">
      <x:c r="B55" s="13" t="str">
        <x:v>RAS-TR-049</x:v>
      </x:c>
      <x:c r="C55" s="13" t="str">
        <x:v>RAS-E049</x:v>
      </x:c>
      <x:c r="D55" s="13" t="str">
        <x:v>AM-05</x:v>
      </x:c>
      <x:c r="E55" s="13" t="str">
        <x:v>TR-B</x:v>
      </x:c>
      <x:c r="F55" s="13" t="str">
        <x:v>RFP-B1</x:v>
      </x:c>
      <x:c r="G55" s="13" t="str">
        <x:v>QE-01</x:v>
      </x:c>
      <x:c r="H55" s="13" t="str">
        <x:f>'Source Ledger'!S55</x:f>
        <x:v>OPEN</x:v>
      </x:c>
      <x:c r="I55" s="13" t="str">
        <x:f>'Water Ledger'!R55</x:f>
        <x:v>OPEN</x:v>
      </x:c>
      <x:c r="J55" s="13" t="str">
        <x:f>'Ancestry Ledger'!N55</x:f>
        <x:v>OPEN</x:v>
      </x:c>
      <x:c r="K55" s="13" t="str">
        <x:f>'Pool Thermal'!O55</x:f>
        <x:v>OPEN</x:v>
      </x:c>
      <x:c r="L55" s="13" t="n">
        <x:f>'Event Register'!T55</x:f>
        <x:v>0</x:v>
      </x:c>
      <x:c r="M55" s="13" t="str"/>
      <x:c r="N55" s="13" t="str">
        <x:f>IF(M55=1,IF(AND(H55="PASS",I55="PASS",J55="PASS",K55="PASS",L55="VALID"),"PASS","FAIL"),"OPEN")</x:f>
        <x:v>OPEN</x:v>
      </x:c>
      <x:c r="O55" s="13" t="str">
        <x:v>OPEN</x:v>
      </x:c>
    </x:row>
    <x:row r="56">
      <x:c r="B56" s="13" t="str">
        <x:v>RAS-TR-050</x:v>
      </x:c>
      <x:c r="C56" s="13" t="str">
        <x:v>RAS-E050</x:v>
      </x:c>
      <x:c r="D56" s="13" t="str">
        <x:v>AM-05</x:v>
      </x:c>
      <x:c r="E56" s="13" t="str">
        <x:v>TR-B</x:v>
      </x:c>
      <x:c r="F56" s="13" t="str">
        <x:v>RFP-B1</x:v>
      </x:c>
      <x:c r="G56" s="13" t="str">
        <x:v>QE-02</x:v>
      </x:c>
      <x:c r="H56" s="13" t="str">
        <x:f>'Source Ledger'!S56</x:f>
        <x:v>OPEN</x:v>
      </x:c>
      <x:c r="I56" s="13" t="str">
        <x:f>'Water Ledger'!R56</x:f>
        <x:v>OPEN</x:v>
      </x:c>
      <x:c r="J56" s="13" t="str">
        <x:f>'Ancestry Ledger'!N56</x:f>
        <x:v>OPEN</x:v>
      </x:c>
      <x:c r="K56" s="13" t="str">
        <x:f>'Pool Thermal'!O56</x:f>
        <x:v>OPEN</x:v>
      </x:c>
      <x:c r="L56" s="13" t="n">
        <x:f>'Event Register'!T56</x:f>
        <x:v>0</x:v>
      </x:c>
      <x:c r="M56" s="13" t="str"/>
      <x:c r="N56" s="13" t="str">
        <x:f>IF(M56=1,IF(AND(H56="PASS",I56="PASS",J56="PASS",K56="PASS",L56="VALID"),"PASS","FAIL"),"OPEN")</x:f>
        <x:v>OPEN</x:v>
      </x:c>
      <x:c r="O56" s="13" t="str">
        <x:v>OPEN</x:v>
      </x:c>
    </x:row>
    <x:row r="57">
      <x:c r="B57" s="13" t="str">
        <x:v>RAS-TR-051</x:v>
      </x:c>
      <x:c r="C57" s="13" t="str">
        <x:v>RAS-E051</x:v>
      </x:c>
      <x:c r="D57" s="13" t="str">
        <x:v>AM-05</x:v>
      </x:c>
      <x:c r="E57" s="13" t="str">
        <x:v>TR-B</x:v>
      </x:c>
      <x:c r="F57" s="13" t="str">
        <x:v>RFP-B1</x:v>
      </x:c>
      <x:c r="G57" s="13" t="str">
        <x:v>QE-03</x:v>
      </x:c>
      <x:c r="H57" s="13" t="str">
        <x:f>'Source Ledger'!S57</x:f>
        <x:v>OPEN</x:v>
      </x:c>
      <x:c r="I57" s="13" t="str">
        <x:f>'Water Ledger'!R57</x:f>
        <x:v>OPEN</x:v>
      </x:c>
      <x:c r="J57" s="13" t="str">
        <x:f>'Ancestry Ledger'!N57</x:f>
        <x:v>OPEN</x:v>
      </x:c>
      <x:c r="K57" s="13" t="str">
        <x:f>'Pool Thermal'!O57</x:f>
        <x:v>OPEN</x:v>
      </x:c>
      <x:c r="L57" s="13" t="n">
        <x:f>'Event Register'!T57</x:f>
        <x:v>0</x:v>
      </x:c>
      <x:c r="M57" s="13" t="str"/>
      <x:c r="N57" s="13" t="str">
        <x:f>IF(M57=1,IF(AND(H57="PASS",I57="PASS",J57="PASS",K57="PASS",L57="VALID"),"PASS","FAIL"),"OPEN")</x:f>
        <x:v>OPEN</x:v>
      </x:c>
      <x:c r="O57" s="13" t="str">
        <x:v>OPEN</x:v>
      </x:c>
    </x:row>
    <x:row r="58">
      <x:c r="B58" s="13" t="str">
        <x:v>RAS-TR-052</x:v>
      </x:c>
      <x:c r="C58" s="13" t="str">
        <x:v>RAS-E052</x:v>
      </x:c>
      <x:c r="D58" s="13" t="str">
        <x:v>AM-05</x:v>
      </x:c>
      <x:c r="E58" s="13" t="str">
        <x:v>TR-B</x:v>
      </x:c>
      <x:c r="F58" s="13" t="str">
        <x:v>RFP-B1</x:v>
      </x:c>
      <x:c r="G58" s="13" t="str">
        <x:v>QE-04</x:v>
      </x:c>
      <x:c r="H58" s="13" t="str">
        <x:f>'Source Ledger'!S58</x:f>
        <x:v>OPEN</x:v>
      </x:c>
      <x:c r="I58" s="13" t="str">
        <x:f>'Water Ledger'!R58</x:f>
        <x:v>OPEN</x:v>
      </x:c>
      <x:c r="J58" s="13" t="str">
        <x:f>'Ancestry Ledger'!N58</x:f>
        <x:v>OPEN</x:v>
      </x:c>
      <x:c r="K58" s="13" t="str">
        <x:f>'Pool Thermal'!O58</x:f>
        <x:v>OPEN</x:v>
      </x:c>
      <x:c r="L58" s="13" t="n">
        <x:f>'Event Register'!T58</x:f>
        <x:v>0</x:v>
      </x:c>
      <x:c r="M58" s="13" t="str"/>
      <x:c r="N58" s="13" t="str">
        <x:f>IF(M58=1,IF(AND(H58="PASS",I58="PASS",J58="PASS",K58="PASS",L58="VALID"),"PASS","FAIL"),"OPEN")</x:f>
        <x:v>OPEN</x:v>
      </x:c>
      <x:c r="O58" s="13" t="str">
        <x:v>OPEN</x:v>
      </x:c>
    </x:row>
    <x:row r="59">
      <x:c r="B59" s="13" t="str">
        <x:v>RAS-TR-053</x:v>
      </x:c>
      <x:c r="C59" s="13" t="str">
        <x:v>RAS-E053</x:v>
      </x:c>
      <x:c r="D59" s="13" t="str">
        <x:v>AM-05</x:v>
      </x:c>
      <x:c r="E59" s="13" t="str">
        <x:v>TR-B</x:v>
      </x:c>
      <x:c r="F59" s="13" t="str">
        <x:v>RFP-B1</x:v>
      </x:c>
      <x:c r="G59" s="13" t="str">
        <x:v>QE-05</x:v>
      </x:c>
      <x:c r="H59" s="13" t="str">
        <x:f>'Source Ledger'!S59</x:f>
        <x:v>OPEN</x:v>
      </x:c>
      <x:c r="I59" s="13" t="str">
        <x:f>'Water Ledger'!R59</x:f>
        <x:v>OPEN</x:v>
      </x:c>
      <x:c r="J59" s="13" t="str">
        <x:f>'Ancestry Ledger'!N59</x:f>
        <x:v>OPEN</x:v>
      </x:c>
      <x:c r="K59" s="13" t="str">
        <x:f>'Pool Thermal'!O59</x:f>
        <x:v>OPEN</x:v>
      </x:c>
      <x:c r="L59" s="13" t="n">
        <x:f>'Event Register'!T59</x:f>
        <x:v>0</x:v>
      </x:c>
      <x:c r="M59" s="13" t="str"/>
      <x:c r="N59" s="13" t="str">
        <x:f>IF(M59=1,IF(AND(H59="PASS",I59="PASS",J59="PASS",K59="PASS",L59="VALID"),"PASS","FAIL"),"OPEN")</x:f>
        <x:v>OPEN</x:v>
      </x:c>
      <x:c r="O59" s="13" t="str">
        <x:v>OPEN</x:v>
      </x:c>
    </x:row>
    <x:row r="60">
      <x:c r="B60" s="13" t="str">
        <x:v>RAS-TR-054</x:v>
      </x:c>
      <x:c r="C60" s="13" t="str">
        <x:v>RAS-E054</x:v>
      </x:c>
      <x:c r="D60" s="13" t="str">
        <x:v>AM-05</x:v>
      </x:c>
      <x:c r="E60" s="13" t="str">
        <x:v>TR-B</x:v>
      </x:c>
      <x:c r="F60" s="13" t="str">
        <x:v>RFP-B1</x:v>
      </x:c>
      <x:c r="G60" s="13" t="str">
        <x:v>QE-06</x:v>
      </x:c>
      <x:c r="H60" s="13" t="str">
        <x:f>'Source Ledger'!S60</x:f>
        <x:v>OPEN</x:v>
      </x:c>
      <x:c r="I60" s="13" t="str">
        <x:f>'Water Ledger'!R60</x:f>
        <x:v>OPEN</x:v>
      </x:c>
      <x:c r="J60" s="13" t="str">
        <x:f>'Ancestry Ledger'!N60</x:f>
        <x:v>OPEN</x:v>
      </x:c>
      <x:c r="K60" s="13" t="str">
        <x:f>'Pool Thermal'!O60</x:f>
        <x:v>OPEN</x:v>
      </x:c>
      <x:c r="L60" s="13" t="n">
        <x:f>'Event Register'!T60</x:f>
        <x:v>0</x:v>
      </x:c>
      <x:c r="M60" s="13" t="str"/>
      <x:c r="N60" s="13" t="str">
        <x:f>IF(M60=1,IF(AND(H60="PASS",I60="PASS",J60="PASS",K60="PASS",L60="VALID"),"PASS","FAIL"),"OPEN")</x:f>
        <x:v>OPEN</x:v>
      </x:c>
      <x:c r="O60" s="13" t="str">
        <x:v>OPEN</x:v>
      </x:c>
    </x:row>
    <x:row r="61">
      <x:c r="B61" s="13" t="str">
        <x:v>RAS-TR-055</x:v>
      </x:c>
      <x:c r="C61" s="13" t="str">
        <x:v>RAS-E055</x:v>
      </x:c>
      <x:c r="D61" s="13" t="str">
        <x:v>AM-05</x:v>
      </x:c>
      <x:c r="E61" s="13" t="str">
        <x:v>TR-B</x:v>
      </x:c>
      <x:c r="F61" s="13" t="str">
        <x:v>RFP-B2</x:v>
      </x:c>
      <x:c r="G61" s="13" t="str">
        <x:v>QE-01</x:v>
      </x:c>
      <x:c r="H61" s="13" t="str">
        <x:f>'Source Ledger'!S61</x:f>
        <x:v>OPEN</x:v>
      </x:c>
      <x:c r="I61" s="13" t="str">
        <x:f>'Water Ledger'!R61</x:f>
        <x:v>OPEN</x:v>
      </x:c>
      <x:c r="J61" s="13" t="str">
        <x:f>'Ancestry Ledger'!N61</x:f>
        <x:v>OPEN</x:v>
      </x:c>
      <x:c r="K61" s="13" t="str">
        <x:f>'Pool Thermal'!O61</x:f>
        <x:v>OPEN</x:v>
      </x:c>
      <x:c r="L61" s="13" t="n">
        <x:f>'Event Register'!T61</x:f>
        <x:v>0</x:v>
      </x:c>
      <x:c r="M61" s="13" t="str"/>
      <x:c r="N61" s="13" t="str">
        <x:f>IF(M61=1,IF(AND(H61="PASS",I61="PASS",J61="PASS",K61="PASS",L61="VALID"),"PASS","FAIL"),"OPEN")</x:f>
        <x:v>OPEN</x:v>
      </x:c>
      <x:c r="O61" s="13" t="str">
        <x:v>OPEN</x:v>
      </x:c>
    </x:row>
    <x:row r="62">
      <x:c r="B62" s="13" t="str">
        <x:v>RAS-TR-056</x:v>
      </x:c>
      <x:c r="C62" s="13" t="str">
        <x:v>RAS-E056</x:v>
      </x:c>
      <x:c r="D62" s="13" t="str">
        <x:v>AM-05</x:v>
      </x:c>
      <x:c r="E62" s="13" t="str">
        <x:v>TR-B</x:v>
      </x:c>
      <x:c r="F62" s="13" t="str">
        <x:v>RFP-B2</x:v>
      </x:c>
      <x:c r="G62" s="13" t="str">
        <x:v>QE-02</x:v>
      </x:c>
      <x:c r="H62" s="13" t="str">
        <x:f>'Source Ledger'!S62</x:f>
        <x:v>OPEN</x:v>
      </x:c>
      <x:c r="I62" s="13" t="str">
        <x:f>'Water Ledger'!R62</x:f>
        <x:v>OPEN</x:v>
      </x:c>
      <x:c r="J62" s="13" t="str">
        <x:f>'Ancestry Ledger'!N62</x:f>
        <x:v>OPEN</x:v>
      </x:c>
      <x:c r="K62" s="13" t="str">
        <x:f>'Pool Thermal'!O62</x:f>
        <x:v>OPEN</x:v>
      </x:c>
      <x:c r="L62" s="13" t="n">
        <x:f>'Event Register'!T62</x:f>
        <x:v>0</x:v>
      </x:c>
      <x:c r="M62" s="13" t="str"/>
      <x:c r="N62" s="13" t="str">
        <x:f>IF(M62=1,IF(AND(H62="PASS",I62="PASS",J62="PASS",K62="PASS",L62="VALID"),"PASS","FAIL"),"OPEN")</x:f>
        <x:v>OPEN</x:v>
      </x:c>
      <x:c r="O62" s="13" t="str">
        <x:v>OPEN</x:v>
      </x:c>
    </x:row>
    <x:row r="63">
      <x:c r="B63" s="13" t="str">
        <x:v>RAS-TR-057</x:v>
      </x:c>
      <x:c r="C63" s="13" t="str">
        <x:v>RAS-E057</x:v>
      </x:c>
      <x:c r="D63" s="13" t="str">
        <x:v>AM-05</x:v>
      </x:c>
      <x:c r="E63" s="13" t="str">
        <x:v>TR-B</x:v>
      </x:c>
      <x:c r="F63" s="13" t="str">
        <x:v>RFP-B2</x:v>
      </x:c>
      <x:c r="G63" s="13" t="str">
        <x:v>QE-03</x:v>
      </x:c>
      <x:c r="H63" s="13" t="str">
        <x:f>'Source Ledger'!S63</x:f>
        <x:v>OPEN</x:v>
      </x:c>
      <x:c r="I63" s="13" t="str">
        <x:f>'Water Ledger'!R63</x:f>
        <x:v>OPEN</x:v>
      </x:c>
      <x:c r="J63" s="13" t="str">
        <x:f>'Ancestry Ledger'!N63</x:f>
        <x:v>OPEN</x:v>
      </x:c>
      <x:c r="K63" s="13" t="str">
        <x:f>'Pool Thermal'!O63</x:f>
        <x:v>OPEN</x:v>
      </x:c>
      <x:c r="L63" s="13" t="n">
        <x:f>'Event Register'!T63</x:f>
        <x:v>0</x:v>
      </x:c>
      <x:c r="M63" s="13" t="str"/>
      <x:c r="N63" s="13" t="str">
        <x:f>IF(M63=1,IF(AND(H63="PASS",I63="PASS",J63="PASS",K63="PASS",L63="VALID"),"PASS","FAIL"),"OPEN")</x:f>
        <x:v>OPEN</x:v>
      </x:c>
      <x:c r="O63" s="13" t="str">
        <x:v>OPEN</x:v>
      </x:c>
    </x:row>
    <x:row r="64">
      <x:c r="B64" s="13" t="str">
        <x:v>RAS-TR-058</x:v>
      </x:c>
      <x:c r="C64" s="13" t="str">
        <x:v>RAS-E058</x:v>
      </x:c>
      <x:c r="D64" s="13" t="str">
        <x:v>AM-05</x:v>
      </x:c>
      <x:c r="E64" s="13" t="str">
        <x:v>TR-B</x:v>
      </x:c>
      <x:c r="F64" s="13" t="str">
        <x:v>RFP-B2</x:v>
      </x:c>
      <x:c r="G64" s="13" t="str">
        <x:v>QE-04</x:v>
      </x:c>
      <x:c r="H64" s="13" t="str">
        <x:f>'Source Ledger'!S64</x:f>
        <x:v>OPEN</x:v>
      </x:c>
      <x:c r="I64" s="13" t="str">
        <x:f>'Water Ledger'!R64</x:f>
        <x:v>OPEN</x:v>
      </x:c>
      <x:c r="J64" s="13" t="str">
        <x:f>'Ancestry Ledger'!N64</x:f>
        <x:v>OPEN</x:v>
      </x:c>
      <x:c r="K64" s="13" t="str">
        <x:f>'Pool Thermal'!O64</x:f>
        <x:v>OPEN</x:v>
      </x:c>
      <x:c r="L64" s="13" t="n">
        <x:f>'Event Register'!T64</x:f>
        <x:v>0</x:v>
      </x:c>
      <x:c r="M64" s="13" t="str"/>
      <x:c r="N64" s="13" t="str">
        <x:f>IF(M64=1,IF(AND(H64="PASS",I64="PASS",J64="PASS",K64="PASS",L64="VALID"),"PASS","FAIL"),"OPEN")</x:f>
        <x:v>OPEN</x:v>
      </x:c>
      <x:c r="O64" s="13" t="str">
        <x:v>OPEN</x:v>
      </x:c>
    </x:row>
    <x:row r="65">
      <x:c r="B65" s="13" t="str">
        <x:v>RAS-TR-059</x:v>
      </x:c>
      <x:c r="C65" s="13" t="str">
        <x:v>RAS-E059</x:v>
      </x:c>
      <x:c r="D65" s="13" t="str">
        <x:v>AM-05</x:v>
      </x:c>
      <x:c r="E65" s="13" t="str">
        <x:v>TR-B</x:v>
      </x:c>
      <x:c r="F65" s="13" t="str">
        <x:v>RFP-B2</x:v>
      </x:c>
      <x:c r="G65" s="13" t="str">
        <x:v>QE-05</x:v>
      </x:c>
      <x:c r="H65" s="13" t="str">
        <x:f>'Source Ledger'!S65</x:f>
        <x:v>OPEN</x:v>
      </x:c>
      <x:c r="I65" s="13" t="str">
        <x:f>'Water Ledger'!R65</x:f>
        <x:v>OPEN</x:v>
      </x:c>
      <x:c r="J65" s="13" t="str">
        <x:f>'Ancestry Ledger'!N65</x:f>
        <x:v>OPEN</x:v>
      </x:c>
      <x:c r="K65" s="13" t="str">
        <x:f>'Pool Thermal'!O65</x:f>
        <x:v>OPEN</x:v>
      </x:c>
      <x:c r="L65" s="13" t="n">
        <x:f>'Event Register'!T65</x:f>
        <x:v>0</x:v>
      </x:c>
      <x:c r="M65" s="13" t="str"/>
      <x:c r="N65" s="13" t="str">
        <x:f>IF(M65=1,IF(AND(H65="PASS",I65="PASS",J65="PASS",K65="PASS",L65="VALID"),"PASS","FAIL"),"OPEN")</x:f>
        <x:v>OPEN</x:v>
      </x:c>
      <x:c r="O65" s="13" t="str">
        <x:v>OPEN</x:v>
      </x:c>
    </x:row>
    <x:row r="66">
      <x:c r="B66" s="13" t="str">
        <x:v>RAS-TR-060</x:v>
      </x:c>
      <x:c r="C66" s="13" t="str">
        <x:v>RAS-E060</x:v>
      </x:c>
      <x:c r="D66" s="13" t="str">
        <x:v>AM-05</x:v>
      </x:c>
      <x:c r="E66" s="13" t="str">
        <x:v>TR-B</x:v>
      </x:c>
      <x:c r="F66" s="13" t="str">
        <x:v>RFP-B2</x:v>
      </x:c>
      <x:c r="G66" s="13" t="str">
        <x:v>QE-06</x:v>
      </x:c>
      <x:c r="H66" s="13" t="str">
        <x:f>'Source Ledger'!S66</x:f>
        <x:v>OPEN</x:v>
      </x:c>
      <x:c r="I66" s="13" t="str">
        <x:f>'Water Ledger'!R66</x:f>
        <x:v>OPEN</x:v>
      </x:c>
      <x:c r="J66" s="13" t="str">
        <x:f>'Ancestry Ledger'!N66</x:f>
        <x:v>OPEN</x:v>
      </x:c>
      <x:c r="K66" s="13" t="str">
        <x:f>'Pool Thermal'!O66</x:f>
        <x:v>OPEN</x:v>
      </x:c>
      <x:c r="L66" s="13" t="n">
        <x:f>'Event Register'!T66</x:f>
        <x:v>0</x:v>
      </x:c>
      <x:c r="M66" s="13" t="str"/>
      <x:c r="N66" s="13" t="str">
        <x:f>IF(M66=1,IF(AND(H66="PASS",I66="PASS",J66="PASS",K66="PASS",L66="VALID"),"PASS","FAIL"),"OPEN")</x:f>
        <x:v>OPEN</x:v>
      </x:c>
      <x:c r="O66" s="13" t="str">
        <x:v>OPEN</x:v>
      </x:c>
    </x:row>
    <x:row r="67">
      <x:c r="B67" s="13" t="str">
        <x:v>RAS-TR-061</x:v>
      </x:c>
      <x:c r="C67" s="13" t="str">
        <x:v>RAS-E061</x:v>
      </x:c>
      <x:c r="D67" s="13" t="str">
        <x:v>AM-05</x:v>
      </x:c>
      <x:c r="E67" s="13" t="str">
        <x:v>TR-B</x:v>
      </x:c>
      <x:c r="F67" s="13" t="str">
        <x:v>RFP-C1</x:v>
      </x:c>
      <x:c r="G67" s="13" t="str">
        <x:v>QE-01</x:v>
      </x:c>
      <x:c r="H67" s="13" t="str">
        <x:f>'Source Ledger'!S67</x:f>
        <x:v>OPEN</x:v>
      </x:c>
      <x:c r="I67" s="13" t="str">
        <x:f>'Water Ledger'!R67</x:f>
        <x:v>OPEN</x:v>
      </x:c>
      <x:c r="J67" s="13" t="str">
        <x:f>'Ancestry Ledger'!N67</x:f>
        <x:v>OPEN</x:v>
      </x:c>
      <x:c r="K67" s="13" t="str">
        <x:f>'Pool Thermal'!O67</x:f>
        <x:v>OPEN</x:v>
      </x:c>
      <x:c r="L67" s="13" t="n">
        <x:f>'Event Register'!T67</x:f>
        <x:v>0</x:v>
      </x:c>
      <x:c r="M67" s="13" t="str"/>
      <x:c r="N67" s="13" t="str">
        <x:f>IF(M67=1,IF(AND(H67="PASS",I67="PASS",J67="PASS",K67="PASS",L67="VALID"),"PASS","FAIL"),"OPEN")</x:f>
        <x:v>OPEN</x:v>
      </x:c>
      <x:c r="O67" s="13" t="str">
        <x:v>OPEN</x:v>
      </x:c>
    </x:row>
    <x:row r="68">
      <x:c r="B68" s="13" t="str">
        <x:v>RAS-TR-062</x:v>
      </x:c>
      <x:c r="C68" s="13" t="str">
        <x:v>RAS-E062</x:v>
      </x:c>
      <x:c r="D68" s="13" t="str">
        <x:v>AM-05</x:v>
      </x:c>
      <x:c r="E68" s="13" t="str">
        <x:v>TR-B</x:v>
      </x:c>
      <x:c r="F68" s="13" t="str">
        <x:v>RFP-C1</x:v>
      </x:c>
      <x:c r="G68" s="13" t="str">
        <x:v>QE-02</x:v>
      </x:c>
      <x:c r="H68" s="13" t="str">
        <x:f>'Source Ledger'!S68</x:f>
        <x:v>OPEN</x:v>
      </x:c>
      <x:c r="I68" s="13" t="str">
        <x:f>'Water Ledger'!R68</x:f>
        <x:v>OPEN</x:v>
      </x:c>
      <x:c r="J68" s="13" t="str">
        <x:f>'Ancestry Ledger'!N68</x:f>
        <x:v>OPEN</x:v>
      </x:c>
      <x:c r="K68" s="13" t="str">
        <x:f>'Pool Thermal'!O68</x:f>
        <x:v>OPEN</x:v>
      </x:c>
      <x:c r="L68" s="13" t="n">
        <x:f>'Event Register'!T68</x:f>
        <x:v>0</x:v>
      </x:c>
      <x:c r="M68" s="13" t="str"/>
      <x:c r="N68" s="13" t="str">
        <x:f>IF(M68=1,IF(AND(H68="PASS",I68="PASS",J68="PASS",K68="PASS",L68="VALID"),"PASS","FAIL"),"OPEN")</x:f>
        <x:v>OPEN</x:v>
      </x:c>
      <x:c r="O68" s="13" t="str">
        <x:v>OPEN</x:v>
      </x:c>
    </x:row>
    <x:row r="69">
      <x:c r="B69" s="13" t="str">
        <x:v>RAS-TR-063</x:v>
      </x:c>
      <x:c r="C69" s="13" t="str">
        <x:v>RAS-E063</x:v>
      </x:c>
      <x:c r="D69" s="13" t="str">
        <x:v>AM-05</x:v>
      </x:c>
      <x:c r="E69" s="13" t="str">
        <x:v>TR-B</x:v>
      </x:c>
      <x:c r="F69" s="13" t="str">
        <x:v>RFP-C1</x:v>
      </x:c>
      <x:c r="G69" s="13" t="str">
        <x:v>QE-03</x:v>
      </x:c>
      <x:c r="H69" s="13" t="str">
        <x:f>'Source Ledger'!S69</x:f>
        <x:v>OPEN</x:v>
      </x:c>
      <x:c r="I69" s="13" t="str">
        <x:f>'Water Ledger'!R69</x:f>
        <x:v>OPEN</x:v>
      </x:c>
      <x:c r="J69" s="13" t="str">
        <x:f>'Ancestry Ledger'!N69</x:f>
        <x:v>OPEN</x:v>
      </x:c>
      <x:c r="K69" s="13" t="str">
        <x:f>'Pool Thermal'!O69</x:f>
        <x:v>OPEN</x:v>
      </x:c>
      <x:c r="L69" s="13" t="n">
        <x:f>'Event Register'!T69</x:f>
        <x:v>0</x:v>
      </x:c>
      <x:c r="M69" s="13" t="str"/>
      <x:c r="N69" s="13" t="str">
        <x:f>IF(M69=1,IF(AND(H69="PASS",I69="PASS",J69="PASS",K69="PASS",L69="VALID"),"PASS","FAIL"),"OPEN")</x:f>
        <x:v>OPEN</x:v>
      </x:c>
      <x:c r="O69" s="13" t="str">
        <x:v>OPEN</x:v>
      </x:c>
    </x:row>
    <x:row r="70">
      <x:c r="B70" s="13" t="str">
        <x:v>RAS-TR-064</x:v>
      </x:c>
      <x:c r="C70" s="13" t="str">
        <x:v>RAS-E064</x:v>
      </x:c>
      <x:c r="D70" s="13" t="str">
        <x:v>AM-05</x:v>
      </x:c>
      <x:c r="E70" s="13" t="str">
        <x:v>TR-B</x:v>
      </x:c>
      <x:c r="F70" s="13" t="str">
        <x:v>RFP-C1</x:v>
      </x:c>
      <x:c r="G70" s="13" t="str">
        <x:v>QE-04</x:v>
      </x:c>
      <x:c r="H70" s="13" t="str">
        <x:f>'Source Ledger'!S70</x:f>
        <x:v>OPEN</x:v>
      </x:c>
      <x:c r="I70" s="13" t="str">
        <x:f>'Water Ledger'!R70</x:f>
        <x:v>OPEN</x:v>
      </x:c>
      <x:c r="J70" s="13" t="str">
        <x:f>'Ancestry Ledger'!N70</x:f>
        <x:v>OPEN</x:v>
      </x:c>
      <x:c r="K70" s="13" t="str">
        <x:f>'Pool Thermal'!O70</x:f>
        <x:v>OPEN</x:v>
      </x:c>
      <x:c r="L70" s="13" t="n">
        <x:f>'Event Register'!T70</x:f>
        <x:v>0</x:v>
      </x:c>
      <x:c r="M70" s="13" t="str"/>
      <x:c r="N70" s="13" t="str">
        <x:f>IF(M70=1,IF(AND(H70="PASS",I70="PASS",J70="PASS",K70="PASS",L70="VALID"),"PASS","FAIL"),"OPEN")</x:f>
        <x:v>OPEN</x:v>
      </x:c>
      <x:c r="O70" s="13" t="str">
        <x:v>OPEN</x:v>
      </x:c>
    </x:row>
    <x:row r="71">
      <x:c r="B71" s="13" t="str">
        <x:v>RAS-TR-065</x:v>
      </x:c>
      <x:c r="C71" s="13" t="str">
        <x:v>RAS-E065</x:v>
      </x:c>
      <x:c r="D71" s="13" t="str">
        <x:v>AM-05</x:v>
      </x:c>
      <x:c r="E71" s="13" t="str">
        <x:v>TR-B</x:v>
      </x:c>
      <x:c r="F71" s="13" t="str">
        <x:v>RFP-C1</x:v>
      </x:c>
      <x:c r="G71" s="13" t="str">
        <x:v>QE-05</x:v>
      </x:c>
      <x:c r="H71" s="13" t="str">
        <x:f>'Source Ledger'!S71</x:f>
        <x:v>OPEN</x:v>
      </x:c>
      <x:c r="I71" s="13" t="str">
        <x:f>'Water Ledger'!R71</x:f>
        <x:v>OPEN</x:v>
      </x:c>
      <x:c r="J71" s="13" t="str">
        <x:f>'Ancestry Ledger'!N71</x:f>
        <x:v>OPEN</x:v>
      </x:c>
      <x:c r="K71" s="13" t="str">
        <x:f>'Pool Thermal'!O71</x:f>
        <x:v>OPEN</x:v>
      </x:c>
      <x:c r="L71" s="13" t="n">
        <x:f>'Event Register'!T71</x:f>
        <x:v>0</x:v>
      </x:c>
      <x:c r="M71" s="13" t="str"/>
      <x:c r="N71" s="13" t="str">
        <x:f>IF(M71=1,IF(AND(H71="PASS",I71="PASS",J71="PASS",K71="PASS",L71="VALID"),"PASS","FAIL"),"OPEN")</x:f>
        <x:v>OPEN</x:v>
      </x:c>
      <x:c r="O71" s="13" t="str">
        <x:v>OPEN</x:v>
      </x:c>
    </x:row>
    <x:row r="72">
      <x:c r="B72" s="13" t="str">
        <x:v>RAS-TR-066</x:v>
      </x:c>
      <x:c r="C72" s="13" t="str">
        <x:v>RAS-E066</x:v>
      </x:c>
      <x:c r="D72" s="13" t="str">
        <x:v>AM-05</x:v>
      </x:c>
      <x:c r="E72" s="13" t="str">
        <x:v>TR-B</x:v>
      </x:c>
      <x:c r="F72" s="13" t="str">
        <x:v>RFP-C1</x:v>
      </x:c>
      <x:c r="G72" s="13" t="str">
        <x:v>QE-06</x:v>
      </x:c>
      <x:c r="H72" s="13" t="str">
        <x:f>'Source Ledger'!S72</x:f>
        <x:v>OPEN</x:v>
      </x:c>
      <x:c r="I72" s="13" t="str">
        <x:f>'Water Ledger'!R72</x:f>
        <x:v>OPEN</x:v>
      </x:c>
      <x:c r="J72" s="13" t="str">
        <x:f>'Ancestry Ledger'!N72</x:f>
        <x:v>OPEN</x:v>
      </x:c>
      <x:c r="K72" s="13" t="str">
        <x:f>'Pool Thermal'!O72</x:f>
        <x:v>OPEN</x:v>
      </x:c>
      <x:c r="L72" s="13" t="n">
        <x:f>'Event Register'!T72</x:f>
        <x:v>0</x:v>
      </x:c>
      <x:c r="M72" s="13" t="str"/>
      <x:c r="N72" s="13" t="str">
        <x:f>IF(M72=1,IF(AND(H72="PASS",I72="PASS",J72="PASS",K72="PASS",L72="VALID"),"PASS","FAIL"),"OPEN")</x:f>
        <x:v>OPEN</x:v>
      </x:c>
      <x:c r="O72" s="13" t="str">
        <x:v>OPEN</x:v>
      </x:c>
    </x:row>
    <x:row r="73">
      <x:c r="B73" s="13" t="str">
        <x:v>RAS-TR-067</x:v>
      </x:c>
      <x:c r="C73" s="13" t="str">
        <x:v>RAS-E067</x:v>
      </x:c>
      <x:c r="D73" s="13" t="str">
        <x:v>AM-05</x:v>
      </x:c>
      <x:c r="E73" s="13" t="str">
        <x:v>TR-B</x:v>
      </x:c>
      <x:c r="F73" s="13" t="str">
        <x:v>RFP-C2</x:v>
      </x:c>
      <x:c r="G73" s="13" t="str">
        <x:v>QE-01</x:v>
      </x:c>
      <x:c r="H73" s="13" t="str">
        <x:f>'Source Ledger'!S73</x:f>
        <x:v>OPEN</x:v>
      </x:c>
      <x:c r="I73" s="13" t="str">
        <x:f>'Water Ledger'!R73</x:f>
        <x:v>OPEN</x:v>
      </x:c>
      <x:c r="J73" s="13" t="str">
        <x:f>'Ancestry Ledger'!N73</x:f>
        <x:v>OPEN</x:v>
      </x:c>
      <x:c r="K73" s="13" t="str">
        <x:f>'Pool Thermal'!O73</x:f>
        <x:v>OPEN</x:v>
      </x:c>
      <x:c r="L73" s="13" t="n">
        <x:f>'Event Register'!T73</x:f>
        <x:v>0</x:v>
      </x:c>
      <x:c r="M73" s="13" t="str"/>
      <x:c r="N73" s="13" t="str">
        <x:f>IF(M73=1,IF(AND(H73="PASS",I73="PASS",J73="PASS",K73="PASS",L73="VALID"),"PASS","FAIL"),"OPEN")</x:f>
        <x:v>OPEN</x:v>
      </x:c>
      <x:c r="O73" s="13" t="str">
        <x:v>OPEN</x:v>
      </x:c>
    </x:row>
    <x:row r="74">
      <x:c r="B74" s="13" t="str">
        <x:v>RAS-TR-068</x:v>
      </x:c>
      <x:c r="C74" s="13" t="str">
        <x:v>RAS-E068</x:v>
      </x:c>
      <x:c r="D74" s="13" t="str">
        <x:v>AM-05</x:v>
      </x:c>
      <x:c r="E74" s="13" t="str">
        <x:v>TR-B</x:v>
      </x:c>
      <x:c r="F74" s="13" t="str">
        <x:v>RFP-C2</x:v>
      </x:c>
      <x:c r="G74" s="13" t="str">
        <x:v>QE-02</x:v>
      </x:c>
      <x:c r="H74" s="13" t="str">
        <x:f>'Source Ledger'!S74</x:f>
        <x:v>OPEN</x:v>
      </x:c>
      <x:c r="I74" s="13" t="str">
        <x:f>'Water Ledger'!R74</x:f>
        <x:v>OPEN</x:v>
      </x:c>
      <x:c r="J74" s="13" t="str">
        <x:f>'Ancestry Ledger'!N74</x:f>
        <x:v>OPEN</x:v>
      </x:c>
      <x:c r="K74" s="13" t="str">
        <x:f>'Pool Thermal'!O74</x:f>
        <x:v>OPEN</x:v>
      </x:c>
      <x:c r="L74" s="13" t="n">
        <x:f>'Event Register'!T74</x:f>
        <x:v>0</x:v>
      </x:c>
      <x:c r="M74" s="13" t="str"/>
      <x:c r="N74" s="13" t="str">
        <x:f>IF(M74=1,IF(AND(H74="PASS",I74="PASS",J74="PASS",K74="PASS",L74="VALID"),"PASS","FAIL"),"OPEN")</x:f>
        <x:v>OPEN</x:v>
      </x:c>
      <x:c r="O74" s="13" t="str">
        <x:v>OPEN</x:v>
      </x:c>
    </x:row>
    <x:row r="75">
      <x:c r="B75" s="13" t="str">
        <x:v>RAS-TR-069</x:v>
      </x:c>
      <x:c r="C75" s="13" t="str">
        <x:v>RAS-E069</x:v>
      </x:c>
      <x:c r="D75" s="13" t="str">
        <x:v>AM-05</x:v>
      </x:c>
      <x:c r="E75" s="13" t="str">
        <x:v>TR-B</x:v>
      </x:c>
      <x:c r="F75" s="13" t="str">
        <x:v>RFP-C2</x:v>
      </x:c>
      <x:c r="G75" s="13" t="str">
        <x:v>QE-03</x:v>
      </x:c>
      <x:c r="H75" s="13" t="str">
        <x:f>'Source Ledger'!S75</x:f>
        <x:v>OPEN</x:v>
      </x:c>
      <x:c r="I75" s="13" t="str">
        <x:f>'Water Ledger'!R75</x:f>
        <x:v>OPEN</x:v>
      </x:c>
      <x:c r="J75" s="13" t="str">
        <x:f>'Ancestry Ledger'!N75</x:f>
        <x:v>OPEN</x:v>
      </x:c>
      <x:c r="K75" s="13" t="str">
        <x:f>'Pool Thermal'!O75</x:f>
        <x:v>OPEN</x:v>
      </x:c>
      <x:c r="L75" s="13" t="n">
        <x:f>'Event Register'!T75</x:f>
        <x:v>0</x:v>
      </x:c>
      <x:c r="M75" s="13" t="str"/>
      <x:c r="N75" s="13" t="str">
        <x:f>IF(M75=1,IF(AND(H75="PASS",I75="PASS",J75="PASS",K75="PASS",L75="VALID"),"PASS","FAIL"),"OPEN")</x:f>
        <x:v>OPEN</x:v>
      </x:c>
      <x:c r="O75" s="13" t="str">
        <x:v>OPEN</x:v>
      </x:c>
    </x:row>
    <x:row r="76">
      <x:c r="B76" s="13" t="str">
        <x:v>RAS-TR-070</x:v>
      </x:c>
      <x:c r="C76" s="13" t="str">
        <x:v>RAS-E070</x:v>
      </x:c>
      <x:c r="D76" s="13" t="str">
        <x:v>AM-05</x:v>
      </x:c>
      <x:c r="E76" s="13" t="str">
        <x:v>TR-B</x:v>
      </x:c>
      <x:c r="F76" s="13" t="str">
        <x:v>RFP-C2</x:v>
      </x:c>
      <x:c r="G76" s="13" t="str">
        <x:v>QE-04</x:v>
      </x:c>
      <x:c r="H76" s="13" t="str">
        <x:f>'Source Ledger'!S76</x:f>
        <x:v>OPEN</x:v>
      </x:c>
      <x:c r="I76" s="13" t="str">
        <x:f>'Water Ledger'!R76</x:f>
        <x:v>OPEN</x:v>
      </x:c>
      <x:c r="J76" s="13" t="str">
        <x:f>'Ancestry Ledger'!N76</x:f>
        <x:v>OPEN</x:v>
      </x:c>
      <x:c r="K76" s="13" t="str">
        <x:f>'Pool Thermal'!O76</x:f>
        <x:v>OPEN</x:v>
      </x:c>
      <x:c r="L76" s="13" t="n">
        <x:f>'Event Register'!T76</x:f>
        <x:v>0</x:v>
      </x:c>
      <x:c r="M76" s="13" t="str"/>
      <x:c r="N76" s="13" t="str">
        <x:f>IF(M76=1,IF(AND(H76="PASS",I76="PASS",J76="PASS",K76="PASS",L76="VALID"),"PASS","FAIL"),"OPEN")</x:f>
        <x:v>OPEN</x:v>
      </x:c>
      <x:c r="O76" s="13" t="str">
        <x:v>OPEN</x:v>
      </x:c>
    </x:row>
    <x:row r="77">
      <x:c r="B77" s="13" t="str">
        <x:v>RAS-TR-071</x:v>
      </x:c>
      <x:c r="C77" s="13" t="str">
        <x:v>RAS-E071</x:v>
      </x:c>
      <x:c r="D77" s="13" t="str">
        <x:v>AM-05</x:v>
      </x:c>
      <x:c r="E77" s="13" t="str">
        <x:v>TR-B</x:v>
      </x:c>
      <x:c r="F77" s="13" t="str">
        <x:v>RFP-C2</x:v>
      </x:c>
      <x:c r="G77" s="13" t="str">
        <x:v>QE-05</x:v>
      </x:c>
      <x:c r="H77" s="13" t="str">
        <x:f>'Source Ledger'!S77</x:f>
        <x:v>OPEN</x:v>
      </x:c>
      <x:c r="I77" s="13" t="str">
        <x:f>'Water Ledger'!R77</x:f>
        <x:v>OPEN</x:v>
      </x:c>
      <x:c r="J77" s="13" t="str">
        <x:f>'Ancestry Ledger'!N77</x:f>
        <x:v>OPEN</x:v>
      </x:c>
      <x:c r="K77" s="13" t="str">
        <x:f>'Pool Thermal'!O77</x:f>
        <x:v>OPEN</x:v>
      </x:c>
      <x:c r="L77" s="13" t="n">
        <x:f>'Event Register'!T77</x:f>
        <x:v>0</x:v>
      </x:c>
      <x:c r="M77" s="13" t="str"/>
      <x:c r="N77" s="13" t="str">
        <x:f>IF(M77=1,IF(AND(H77="PASS",I77="PASS",J77="PASS",K77="PASS",L77="VALID"),"PASS","FAIL"),"OPEN")</x:f>
        <x:v>OPEN</x:v>
      </x:c>
      <x:c r="O77" s="13" t="str">
        <x:v>OPEN</x:v>
      </x:c>
    </x:row>
    <x:row r="78">
      <x:c r="B78" s="13" t="str">
        <x:v>RAS-TR-072</x:v>
      </x:c>
      <x:c r="C78" s="13" t="str">
        <x:v>RAS-E072</x:v>
      </x:c>
      <x:c r="D78" s="13" t="str">
        <x:v>AM-05</x:v>
      </x:c>
      <x:c r="E78" s="13" t="str">
        <x:v>TR-B</x:v>
      </x:c>
      <x:c r="F78" s="13" t="str">
        <x:v>RFP-C2</x:v>
      </x:c>
      <x:c r="G78" s="13" t="str">
        <x:v>QE-06</x:v>
      </x:c>
      <x:c r="H78" s="13" t="str">
        <x:f>'Source Ledger'!S78</x:f>
        <x:v>OPEN</x:v>
      </x:c>
      <x:c r="I78" s="13" t="str">
        <x:f>'Water Ledger'!R78</x:f>
        <x:v>OPEN</x:v>
      </x:c>
      <x:c r="J78" s="13" t="str">
        <x:f>'Ancestry Ledger'!N78</x:f>
        <x:v>OPEN</x:v>
      </x:c>
      <x:c r="K78" s="13" t="str">
        <x:f>'Pool Thermal'!O78</x:f>
        <x:v>OPEN</x:v>
      </x:c>
      <x:c r="L78" s="13" t="n">
        <x:f>'Event Register'!T78</x:f>
        <x:v>0</x:v>
      </x:c>
      <x:c r="M78" s="13" t="str"/>
      <x:c r="N78" s="13" t="str">
        <x:f>IF(M78=1,IF(AND(H78="PASS",I78="PASS",J78="PASS",K78="PASS",L78="VALID"),"PASS","FAIL"),"OPEN")</x:f>
        <x:v>OPEN</x:v>
      </x:c>
      <x:c r="O78" s="13" t="str">
        <x:v>OPEN</x:v>
      </x:c>
    </x:row>
    <x:row r="79">
      <x:c r="B79" s="13" t="str">
        <x:v>RAS-TR-073</x:v>
      </x:c>
      <x:c r="C79" s="13" t="str">
        <x:v>RAS-E073</x:v>
      </x:c>
      <x:c r="D79" s="13" t="str">
        <x:v>AM-06</x:v>
      </x:c>
      <x:c r="E79" s="13" t="str">
        <x:v>TR-A</x:v>
      </x:c>
      <x:c r="F79" s="13" t="str">
        <x:v>RFP-A1</x:v>
      </x:c>
      <x:c r="G79" s="13" t="str">
        <x:v>QE-01</x:v>
      </x:c>
      <x:c r="H79" s="13" t="str">
        <x:f>'Source Ledger'!S79</x:f>
        <x:v>OPEN</x:v>
      </x:c>
      <x:c r="I79" s="13" t="str">
        <x:f>'Water Ledger'!R79</x:f>
        <x:v>OPEN</x:v>
      </x:c>
      <x:c r="J79" s="13" t="str">
        <x:f>'Ancestry Ledger'!N79</x:f>
        <x:v>OPEN</x:v>
      </x:c>
      <x:c r="K79" s="13" t="str">
        <x:f>'Pool Thermal'!O79</x:f>
        <x:v>OPEN</x:v>
      </x:c>
      <x:c r="L79" s="13" t="n">
        <x:f>'Event Register'!T79</x:f>
        <x:v>0</x:v>
      </x:c>
      <x:c r="M79" s="13" t="str"/>
      <x:c r="N79" s="13" t="str">
        <x:f>IF(M79=1,IF(AND(H79="PASS",I79="PASS",J79="PASS",K79="PASS",L79="VALID"),"PASS","FAIL"),"OPEN")</x:f>
        <x:v>OPEN</x:v>
      </x:c>
      <x:c r="O79" s="13" t="str">
        <x:v>OPEN</x:v>
      </x:c>
    </x:row>
    <x:row r="80">
      <x:c r="B80" s="13" t="str">
        <x:v>RAS-TR-074</x:v>
      </x:c>
      <x:c r="C80" s="13" t="str">
        <x:v>RAS-E074</x:v>
      </x:c>
      <x:c r="D80" s="13" t="str">
        <x:v>AM-06</x:v>
      </x:c>
      <x:c r="E80" s="13" t="str">
        <x:v>TR-A</x:v>
      </x:c>
      <x:c r="F80" s="13" t="str">
        <x:v>RFP-A1</x:v>
      </x:c>
      <x:c r="G80" s="13" t="str">
        <x:v>QE-02</x:v>
      </x:c>
      <x:c r="H80" s="13" t="str">
        <x:f>'Source Ledger'!S80</x:f>
        <x:v>OPEN</x:v>
      </x:c>
      <x:c r="I80" s="13" t="str">
        <x:f>'Water Ledger'!R80</x:f>
        <x:v>OPEN</x:v>
      </x:c>
      <x:c r="J80" s="13" t="str">
        <x:f>'Ancestry Ledger'!N80</x:f>
        <x:v>OPEN</x:v>
      </x:c>
      <x:c r="K80" s="13" t="str">
        <x:f>'Pool Thermal'!O80</x:f>
        <x:v>OPEN</x:v>
      </x:c>
      <x:c r="L80" s="13" t="n">
        <x:f>'Event Register'!T80</x:f>
        <x:v>0</x:v>
      </x:c>
      <x:c r="M80" s="13" t="str"/>
      <x:c r="N80" s="13" t="str">
        <x:f>IF(M80=1,IF(AND(H80="PASS",I80="PASS",J80="PASS",K80="PASS",L80="VALID"),"PASS","FAIL"),"OPEN")</x:f>
        <x:v>OPEN</x:v>
      </x:c>
      <x:c r="O80" s="13" t="str">
        <x:v>OPEN</x:v>
      </x:c>
    </x:row>
    <x:row r="81">
      <x:c r="B81" s="13" t="str">
        <x:v>RAS-TR-075</x:v>
      </x:c>
      <x:c r="C81" s="13" t="str">
        <x:v>RAS-E075</x:v>
      </x:c>
      <x:c r="D81" s="13" t="str">
        <x:v>AM-06</x:v>
      </x:c>
      <x:c r="E81" s="13" t="str">
        <x:v>TR-A</x:v>
      </x:c>
      <x:c r="F81" s="13" t="str">
        <x:v>RFP-A1</x:v>
      </x:c>
      <x:c r="G81" s="13" t="str">
        <x:v>QE-03</x:v>
      </x:c>
      <x:c r="H81" s="13" t="str">
        <x:f>'Source Ledger'!S81</x:f>
        <x:v>OPEN</x:v>
      </x:c>
      <x:c r="I81" s="13" t="str">
        <x:f>'Water Ledger'!R81</x:f>
        <x:v>OPEN</x:v>
      </x:c>
      <x:c r="J81" s="13" t="str">
        <x:f>'Ancestry Ledger'!N81</x:f>
        <x:v>OPEN</x:v>
      </x:c>
      <x:c r="K81" s="13" t="str">
        <x:f>'Pool Thermal'!O81</x:f>
        <x:v>OPEN</x:v>
      </x:c>
      <x:c r="L81" s="13" t="n">
        <x:f>'Event Register'!T81</x:f>
        <x:v>0</x:v>
      </x:c>
      <x:c r="M81" s="13" t="str"/>
      <x:c r="N81" s="13" t="str">
        <x:f>IF(M81=1,IF(AND(H81="PASS",I81="PASS",J81="PASS",K81="PASS",L81="VALID"),"PASS","FAIL"),"OPEN")</x:f>
        <x:v>OPEN</x:v>
      </x:c>
      <x:c r="O81" s="13" t="str">
        <x:v>OPEN</x:v>
      </x:c>
    </x:row>
    <x:row r="82">
      <x:c r="B82" s="13" t="str">
        <x:v>RAS-TR-076</x:v>
      </x:c>
      <x:c r="C82" s="13" t="str">
        <x:v>RAS-E076</x:v>
      </x:c>
      <x:c r="D82" s="13" t="str">
        <x:v>AM-06</x:v>
      </x:c>
      <x:c r="E82" s="13" t="str">
        <x:v>TR-A</x:v>
      </x:c>
      <x:c r="F82" s="13" t="str">
        <x:v>RFP-A1</x:v>
      </x:c>
      <x:c r="G82" s="13" t="str">
        <x:v>QE-04</x:v>
      </x:c>
      <x:c r="H82" s="13" t="str">
        <x:f>'Source Ledger'!S82</x:f>
        <x:v>OPEN</x:v>
      </x:c>
      <x:c r="I82" s="13" t="str">
        <x:f>'Water Ledger'!R82</x:f>
        <x:v>OPEN</x:v>
      </x:c>
      <x:c r="J82" s="13" t="str">
        <x:f>'Ancestry Ledger'!N82</x:f>
        <x:v>OPEN</x:v>
      </x:c>
      <x:c r="K82" s="13" t="str">
        <x:f>'Pool Thermal'!O82</x:f>
        <x:v>OPEN</x:v>
      </x:c>
      <x:c r="L82" s="13" t="n">
        <x:f>'Event Register'!T82</x:f>
        <x:v>0</x:v>
      </x:c>
      <x:c r="M82" s="13" t="str"/>
      <x:c r="N82" s="13" t="str">
        <x:f>IF(M82=1,IF(AND(H82="PASS",I82="PASS",J82="PASS",K82="PASS",L82="VALID"),"PASS","FAIL"),"OPEN")</x:f>
        <x:v>OPEN</x:v>
      </x:c>
      <x:c r="O82" s="13" t="str">
        <x:v>OPEN</x:v>
      </x:c>
    </x:row>
    <x:row r="83">
      <x:c r="B83" s="13" t="str">
        <x:v>RAS-TR-077</x:v>
      </x:c>
      <x:c r="C83" s="13" t="str">
        <x:v>RAS-E077</x:v>
      </x:c>
      <x:c r="D83" s="13" t="str">
        <x:v>AM-06</x:v>
      </x:c>
      <x:c r="E83" s="13" t="str">
        <x:v>TR-A</x:v>
      </x:c>
      <x:c r="F83" s="13" t="str">
        <x:v>RFP-A1</x:v>
      </x:c>
      <x:c r="G83" s="13" t="str">
        <x:v>QE-05</x:v>
      </x:c>
      <x:c r="H83" s="13" t="str">
        <x:f>'Source Ledger'!S83</x:f>
        <x:v>OPEN</x:v>
      </x:c>
      <x:c r="I83" s="13" t="str">
        <x:f>'Water Ledger'!R83</x:f>
        <x:v>OPEN</x:v>
      </x:c>
      <x:c r="J83" s="13" t="str">
        <x:f>'Ancestry Ledger'!N83</x:f>
        <x:v>OPEN</x:v>
      </x:c>
      <x:c r="K83" s="13" t="str">
        <x:f>'Pool Thermal'!O83</x:f>
        <x:v>OPEN</x:v>
      </x:c>
      <x:c r="L83" s="13" t="n">
        <x:f>'Event Register'!T83</x:f>
        <x:v>0</x:v>
      </x:c>
      <x:c r="M83" s="13" t="str"/>
      <x:c r="N83" s="13" t="str">
        <x:f>IF(M83=1,IF(AND(H83="PASS",I83="PASS",J83="PASS",K83="PASS",L83="VALID"),"PASS","FAIL"),"OPEN")</x:f>
        <x:v>OPEN</x:v>
      </x:c>
      <x:c r="O83" s="13" t="str">
        <x:v>OPEN</x:v>
      </x:c>
    </x:row>
    <x:row r="84">
      <x:c r="B84" s="13" t="str">
        <x:v>RAS-TR-078</x:v>
      </x:c>
      <x:c r="C84" s="13" t="str">
        <x:v>RAS-E078</x:v>
      </x:c>
      <x:c r="D84" s="13" t="str">
        <x:v>AM-06</x:v>
      </x:c>
      <x:c r="E84" s="13" t="str">
        <x:v>TR-A</x:v>
      </x:c>
      <x:c r="F84" s="13" t="str">
        <x:v>RFP-A1</x:v>
      </x:c>
      <x:c r="G84" s="13" t="str">
        <x:v>QE-06</x:v>
      </x:c>
      <x:c r="H84" s="13" t="str">
        <x:f>'Source Ledger'!S84</x:f>
        <x:v>OPEN</x:v>
      </x:c>
      <x:c r="I84" s="13" t="str">
        <x:f>'Water Ledger'!R84</x:f>
        <x:v>OPEN</x:v>
      </x:c>
      <x:c r="J84" s="13" t="str">
        <x:f>'Ancestry Ledger'!N84</x:f>
        <x:v>OPEN</x:v>
      </x:c>
      <x:c r="K84" s="13" t="str">
        <x:f>'Pool Thermal'!O84</x:f>
        <x:v>OPEN</x:v>
      </x:c>
      <x:c r="L84" s="13" t="n">
        <x:f>'Event Register'!T84</x:f>
        <x:v>0</x:v>
      </x:c>
      <x:c r="M84" s="13" t="str"/>
      <x:c r="N84" s="13" t="str">
        <x:f>IF(M84=1,IF(AND(H84="PASS",I84="PASS",J84="PASS",K84="PASS",L84="VALID"),"PASS","FAIL"),"OPEN")</x:f>
        <x:v>OPEN</x:v>
      </x:c>
      <x:c r="O84" s="13" t="str">
        <x:v>OPEN</x:v>
      </x:c>
    </x:row>
    <x:row r="85">
      <x:c r="B85" s="13" t="str">
        <x:v>RAS-TR-079</x:v>
      </x:c>
      <x:c r="C85" s="13" t="str">
        <x:v>RAS-E079</x:v>
      </x:c>
      <x:c r="D85" s="13" t="str">
        <x:v>AM-06</x:v>
      </x:c>
      <x:c r="E85" s="13" t="str">
        <x:v>TR-A</x:v>
      </x:c>
      <x:c r="F85" s="13" t="str">
        <x:v>RFP-A2</x:v>
      </x:c>
      <x:c r="G85" s="13" t="str">
        <x:v>QE-01</x:v>
      </x:c>
      <x:c r="H85" s="13" t="str">
        <x:f>'Source Ledger'!S85</x:f>
        <x:v>OPEN</x:v>
      </x:c>
      <x:c r="I85" s="13" t="str">
        <x:f>'Water Ledger'!R85</x:f>
        <x:v>OPEN</x:v>
      </x:c>
      <x:c r="J85" s="13" t="str">
        <x:f>'Ancestry Ledger'!N85</x:f>
        <x:v>OPEN</x:v>
      </x:c>
      <x:c r="K85" s="13" t="str">
        <x:f>'Pool Thermal'!O85</x:f>
        <x:v>OPEN</x:v>
      </x:c>
      <x:c r="L85" s="13" t="n">
        <x:f>'Event Register'!T85</x:f>
        <x:v>0</x:v>
      </x:c>
      <x:c r="M85" s="13" t="str"/>
      <x:c r="N85" s="13" t="str">
        <x:f>IF(M85=1,IF(AND(H85="PASS",I85="PASS",J85="PASS",K85="PASS",L85="VALID"),"PASS","FAIL"),"OPEN")</x:f>
        <x:v>OPEN</x:v>
      </x:c>
      <x:c r="O85" s="13" t="str">
        <x:v>OPEN</x:v>
      </x:c>
    </x:row>
    <x:row r="86">
      <x:c r="B86" s="13" t="str">
        <x:v>RAS-TR-080</x:v>
      </x:c>
      <x:c r="C86" s="13" t="str">
        <x:v>RAS-E080</x:v>
      </x:c>
      <x:c r="D86" s="13" t="str">
        <x:v>AM-06</x:v>
      </x:c>
      <x:c r="E86" s="13" t="str">
        <x:v>TR-A</x:v>
      </x:c>
      <x:c r="F86" s="13" t="str">
        <x:v>RFP-A2</x:v>
      </x:c>
      <x:c r="G86" s="13" t="str">
        <x:v>QE-02</x:v>
      </x:c>
      <x:c r="H86" s="13" t="str">
        <x:f>'Source Ledger'!S86</x:f>
        <x:v>OPEN</x:v>
      </x:c>
      <x:c r="I86" s="13" t="str">
        <x:f>'Water Ledger'!R86</x:f>
        <x:v>OPEN</x:v>
      </x:c>
      <x:c r="J86" s="13" t="str">
        <x:f>'Ancestry Ledger'!N86</x:f>
        <x:v>OPEN</x:v>
      </x:c>
      <x:c r="K86" s="13" t="str">
        <x:f>'Pool Thermal'!O86</x:f>
        <x:v>OPEN</x:v>
      </x:c>
      <x:c r="L86" s="13" t="n">
        <x:f>'Event Register'!T86</x:f>
        <x:v>0</x:v>
      </x:c>
      <x:c r="M86" s="13" t="str"/>
      <x:c r="N86" s="13" t="str">
        <x:f>IF(M86=1,IF(AND(H86="PASS",I86="PASS",J86="PASS",K86="PASS",L86="VALID"),"PASS","FAIL"),"OPEN")</x:f>
        <x:v>OPEN</x:v>
      </x:c>
      <x:c r="O86" s="13" t="str">
        <x:v>OPEN</x:v>
      </x:c>
    </x:row>
    <x:row r="87">
      <x:c r="B87" s="13" t="str">
        <x:v>RAS-TR-081</x:v>
      </x:c>
      <x:c r="C87" s="13" t="str">
        <x:v>RAS-E081</x:v>
      </x:c>
      <x:c r="D87" s="13" t="str">
        <x:v>AM-06</x:v>
      </x:c>
      <x:c r="E87" s="13" t="str">
        <x:v>TR-A</x:v>
      </x:c>
      <x:c r="F87" s="13" t="str">
        <x:v>RFP-A2</x:v>
      </x:c>
      <x:c r="G87" s="13" t="str">
        <x:v>QE-03</x:v>
      </x:c>
      <x:c r="H87" s="13" t="str">
        <x:f>'Source Ledger'!S87</x:f>
        <x:v>OPEN</x:v>
      </x:c>
      <x:c r="I87" s="13" t="str">
        <x:f>'Water Ledger'!R87</x:f>
        <x:v>OPEN</x:v>
      </x:c>
      <x:c r="J87" s="13" t="str">
        <x:f>'Ancestry Ledger'!N87</x:f>
        <x:v>OPEN</x:v>
      </x:c>
      <x:c r="K87" s="13" t="str">
        <x:f>'Pool Thermal'!O87</x:f>
        <x:v>OPEN</x:v>
      </x:c>
      <x:c r="L87" s="13" t="n">
        <x:f>'Event Register'!T87</x:f>
        <x:v>0</x:v>
      </x:c>
      <x:c r="M87" s="13" t="str"/>
      <x:c r="N87" s="13" t="str">
        <x:f>IF(M87=1,IF(AND(H87="PASS",I87="PASS",J87="PASS",K87="PASS",L87="VALID"),"PASS","FAIL"),"OPEN")</x:f>
        <x:v>OPEN</x:v>
      </x:c>
      <x:c r="O87" s="13" t="str">
        <x:v>OPEN</x:v>
      </x:c>
    </x:row>
    <x:row r="88">
      <x:c r="B88" s="13" t="str">
        <x:v>RAS-TR-082</x:v>
      </x:c>
      <x:c r="C88" s="13" t="str">
        <x:v>RAS-E082</x:v>
      </x:c>
      <x:c r="D88" s="13" t="str">
        <x:v>AM-06</x:v>
      </x:c>
      <x:c r="E88" s="13" t="str">
        <x:v>TR-A</x:v>
      </x:c>
      <x:c r="F88" s="13" t="str">
        <x:v>RFP-A2</x:v>
      </x:c>
      <x:c r="G88" s="13" t="str">
        <x:v>QE-04</x:v>
      </x:c>
      <x:c r="H88" s="13" t="str">
        <x:f>'Source Ledger'!S88</x:f>
        <x:v>OPEN</x:v>
      </x:c>
      <x:c r="I88" s="13" t="str">
        <x:f>'Water Ledger'!R88</x:f>
        <x:v>OPEN</x:v>
      </x:c>
      <x:c r="J88" s="13" t="str">
        <x:f>'Ancestry Ledger'!N88</x:f>
        <x:v>OPEN</x:v>
      </x:c>
      <x:c r="K88" s="13" t="str">
        <x:f>'Pool Thermal'!O88</x:f>
        <x:v>OPEN</x:v>
      </x:c>
      <x:c r="L88" s="13" t="n">
        <x:f>'Event Register'!T88</x:f>
        <x:v>0</x:v>
      </x:c>
      <x:c r="M88" s="13" t="str"/>
      <x:c r="N88" s="13" t="str">
        <x:f>IF(M88=1,IF(AND(H88="PASS",I88="PASS",J88="PASS",K88="PASS",L88="VALID"),"PASS","FAIL"),"OPEN")</x:f>
        <x:v>OPEN</x:v>
      </x:c>
      <x:c r="O88" s="13" t="str">
        <x:v>OPEN</x:v>
      </x:c>
    </x:row>
    <x:row r="89">
      <x:c r="B89" s="13" t="str">
        <x:v>RAS-TR-083</x:v>
      </x:c>
      <x:c r="C89" s="13" t="str">
        <x:v>RAS-E083</x:v>
      </x:c>
      <x:c r="D89" s="13" t="str">
        <x:v>AM-06</x:v>
      </x:c>
      <x:c r="E89" s="13" t="str">
        <x:v>TR-A</x:v>
      </x:c>
      <x:c r="F89" s="13" t="str">
        <x:v>RFP-A2</x:v>
      </x:c>
      <x:c r="G89" s="13" t="str">
        <x:v>QE-05</x:v>
      </x:c>
      <x:c r="H89" s="13" t="str">
        <x:f>'Source Ledger'!S89</x:f>
        <x:v>OPEN</x:v>
      </x:c>
      <x:c r="I89" s="13" t="str">
        <x:f>'Water Ledger'!R89</x:f>
        <x:v>OPEN</x:v>
      </x:c>
      <x:c r="J89" s="13" t="str">
        <x:f>'Ancestry Ledger'!N89</x:f>
        <x:v>OPEN</x:v>
      </x:c>
      <x:c r="K89" s="13" t="str">
        <x:f>'Pool Thermal'!O89</x:f>
        <x:v>OPEN</x:v>
      </x:c>
      <x:c r="L89" s="13" t="n">
        <x:f>'Event Register'!T89</x:f>
        <x:v>0</x:v>
      </x:c>
      <x:c r="M89" s="13" t="str"/>
      <x:c r="N89" s="13" t="str">
        <x:f>IF(M89=1,IF(AND(H89="PASS",I89="PASS",J89="PASS",K89="PASS",L89="VALID"),"PASS","FAIL"),"OPEN")</x:f>
        <x:v>OPEN</x:v>
      </x:c>
      <x:c r="O89" s="13" t="str">
        <x:v>OPEN</x:v>
      </x:c>
    </x:row>
    <x:row r="90">
      <x:c r="B90" s="13" t="str">
        <x:v>RAS-TR-084</x:v>
      </x:c>
      <x:c r="C90" s="13" t="str">
        <x:v>RAS-E084</x:v>
      </x:c>
      <x:c r="D90" s="13" t="str">
        <x:v>AM-06</x:v>
      </x:c>
      <x:c r="E90" s="13" t="str">
        <x:v>TR-A</x:v>
      </x:c>
      <x:c r="F90" s="13" t="str">
        <x:v>RFP-A2</x:v>
      </x:c>
      <x:c r="G90" s="13" t="str">
        <x:v>QE-06</x:v>
      </x:c>
      <x:c r="H90" s="13" t="str">
        <x:f>'Source Ledger'!S90</x:f>
        <x:v>OPEN</x:v>
      </x:c>
      <x:c r="I90" s="13" t="str">
        <x:f>'Water Ledger'!R90</x:f>
        <x:v>OPEN</x:v>
      </x:c>
      <x:c r="J90" s="13" t="str">
        <x:f>'Ancestry Ledger'!N90</x:f>
        <x:v>OPEN</x:v>
      </x:c>
      <x:c r="K90" s="13" t="str">
        <x:f>'Pool Thermal'!O90</x:f>
        <x:v>OPEN</x:v>
      </x:c>
      <x:c r="L90" s="13" t="n">
        <x:f>'Event Register'!T90</x:f>
        <x:v>0</x:v>
      </x:c>
      <x:c r="M90" s="13" t="str"/>
      <x:c r="N90" s="13" t="str">
        <x:f>IF(M90=1,IF(AND(H90="PASS",I90="PASS",J90="PASS",K90="PASS",L90="VALID"),"PASS","FAIL"),"OPEN")</x:f>
        <x:v>OPEN</x:v>
      </x:c>
      <x:c r="O90" s="13" t="str">
        <x:v>OPEN</x:v>
      </x:c>
    </x:row>
    <x:row r="91">
      <x:c r="B91" s="13" t="str">
        <x:v>RAS-TR-085</x:v>
      </x:c>
      <x:c r="C91" s="13" t="str">
        <x:v>RAS-E085</x:v>
      </x:c>
      <x:c r="D91" s="13" t="str">
        <x:v>AM-06</x:v>
      </x:c>
      <x:c r="E91" s="13" t="str">
        <x:v>TR-A</x:v>
      </x:c>
      <x:c r="F91" s="13" t="str">
        <x:v>RFP-B1</x:v>
      </x:c>
      <x:c r="G91" s="13" t="str">
        <x:v>QE-01</x:v>
      </x:c>
      <x:c r="H91" s="13" t="str">
        <x:f>'Source Ledger'!S91</x:f>
        <x:v>OPEN</x:v>
      </x:c>
      <x:c r="I91" s="13" t="str">
        <x:f>'Water Ledger'!R91</x:f>
        <x:v>OPEN</x:v>
      </x:c>
      <x:c r="J91" s="13" t="str">
        <x:f>'Ancestry Ledger'!N91</x:f>
        <x:v>OPEN</x:v>
      </x:c>
      <x:c r="K91" s="13" t="str">
        <x:f>'Pool Thermal'!O91</x:f>
        <x:v>OPEN</x:v>
      </x:c>
      <x:c r="L91" s="13" t="n">
        <x:f>'Event Register'!T91</x:f>
        <x:v>0</x:v>
      </x:c>
      <x:c r="M91" s="13" t="str"/>
      <x:c r="N91" s="13" t="str">
        <x:f>IF(M91=1,IF(AND(H91="PASS",I91="PASS",J91="PASS",K91="PASS",L91="VALID"),"PASS","FAIL"),"OPEN")</x:f>
        <x:v>OPEN</x:v>
      </x:c>
      <x:c r="O91" s="13" t="str">
        <x:v>OPEN</x:v>
      </x:c>
    </x:row>
    <x:row r="92">
      <x:c r="B92" s="13" t="str">
        <x:v>RAS-TR-086</x:v>
      </x:c>
      <x:c r="C92" s="13" t="str">
        <x:v>RAS-E086</x:v>
      </x:c>
      <x:c r="D92" s="13" t="str">
        <x:v>AM-06</x:v>
      </x:c>
      <x:c r="E92" s="13" t="str">
        <x:v>TR-A</x:v>
      </x:c>
      <x:c r="F92" s="13" t="str">
        <x:v>RFP-B1</x:v>
      </x:c>
      <x:c r="G92" s="13" t="str">
        <x:v>QE-02</x:v>
      </x:c>
      <x:c r="H92" s="13" t="str">
        <x:f>'Source Ledger'!S92</x:f>
        <x:v>OPEN</x:v>
      </x:c>
      <x:c r="I92" s="13" t="str">
        <x:f>'Water Ledger'!R92</x:f>
        <x:v>OPEN</x:v>
      </x:c>
      <x:c r="J92" s="13" t="str">
        <x:f>'Ancestry Ledger'!N92</x:f>
        <x:v>OPEN</x:v>
      </x:c>
      <x:c r="K92" s="13" t="str">
        <x:f>'Pool Thermal'!O92</x:f>
        <x:v>OPEN</x:v>
      </x:c>
      <x:c r="L92" s="13" t="n">
        <x:f>'Event Register'!T92</x:f>
        <x:v>0</x:v>
      </x:c>
      <x:c r="M92" s="13" t="str"/>
      <x:c r="N92" s="13" t="str">
        <x:f>IF(M92=1,IF(AND(H92="PASS",I92="PASS",J92="PASS",K92="PASS",L92="VALID"),"PASS","FAIL"),"OPEN")</x:f>
        <x:v>OPEN</x:v>
      </x:c>
      <x:c r="O92" s="13" t="str">
        <x:v>OPEN</x:v>
      </x:c>
    </x:row>
    <x:row r="93">
      <x:c r="B93" s="13" t="str">
        <x:v>RAS-TR-087</x:v>
      </x:c>
      <x:c r="C93" s="13" t="str">
        <x:v>RAS-E087</x:v>
      </x:c>
      <x:c r="D93" s="13" t="str">
        <x:v>AM-06</x:v>
      </x:c>
      <x:c r="E93" s="13" t="str">
        <x:v>TR-A</x:v>
      </x:c>
      <x:c r="F93" s="13" t="str">
        <x:v>RFP-B1</x:v>
      </x:c>
      <x:c r="G93" s="13" t="str">
        <x:v>QE-03</x:v>
      </x:c>
      <x:c r="H93" s="13" t="str">
        <x:f>'Source Ledger'!S93</x:f>
        <x:v>OPEN</x:v>
      </x:c>
      <x:c r="I93" s="13" t="str">
        <x:f>'Water Ledger'!R93</x:f>
        <x:v>OPEN</x:v>
      </x:c>
      <x:c r="J93" s="13" t="str">
        <x:f>'Ancestry Ledger'!N93</x:f>
        <x:v>OPEN</x:v>
      </x:c>
      <x:c r="K93" s="13" t="str">
        <x:f>'Pool Thermal'!O93</x:f>
        <x:v>OPEN</x:v>
      </x:c>
      <x:c r="L93" s="13" t="n">
        <x:f>'Event Register'!T93</x:f>
        <x:v>0</x:v>
      </x:c>
      <x:c r="M93" s="13" t="str"/>
      <x:c r="N93" s="13" t="str">
        <x:f>IF(M93=1,IF(AND(H93="PASS",I93="PASS",J93="PASS",K93="PASS",L93="VALID"),"PASS","FAIL"),"OPEN")</x:f>
        <x:v>OPEN</x:v>
      </x:c>
      <x:c r="O93" s="13" t="str">
        <x:v>OPEN</x:v>
      </x:c>
    </x:row>
    <x:row r="94">
      <x:c r="B94" s="13" t="str">
        <x:v>RAS-TR-088</x:v>
      </x:c>
      <x:c r="C94" s="13" t="str">
        <x:v>RAS-E088</x:v>
      </x:c>
      <x:c r="D94" s="13" t="str">
        <x:v>AM-06</x:v>
      </x:c>
      <x:c r="E94" s="13" t="str">
        <x:v>TR-A</x:v>
      </x:c>
      <x:c r="F94" s="13" t="str">
        <x:v>RFP-B1</x:v>
      </x:c>
      <x:c r="G94" s="13" t="str">
        <x:v>QE-04</x:v>
      </x:c>
      <x:c r="H94" s="13" t="str">
        <x:f>'Source Ledger'!S94</x:f>
        <x:v>OPEN</x:v>
      </x:c>
      <x:c r="I94" s="13" t="str">
        <x:f>'Water Ledger'!R94</x:f>
        <x:v>OPEN</x:v>
      </x:c>
      <x:c r="J94" s="13" t="str">
        <x:f>'Ancestry Ledger'!N94</x:f>
        <x:v>OPEN</x:v>
      </x:c>
      <x:c r="K94" s="13" t="str">
        <x:f>'Pool Thermal'!O94</x:f>
        <x:v>OPEN</x:v>
      </x:c>
      <x:c r="L94" s="13" t="n">
        <x:f>'Event Register'!T94</x:f>
        <x:v>0</x:v>
      </x:c>
      <x:c r="M94" s="13" t="str"/>
      <x:c r="N94" s="13" t="str">
        <x:f>IF(M94=1,IF(AND(H94="PASS",I94="PASS",J94="PASS",K94="PASS",L94="VALID"),"PASS","FAIL"),"OPEN")</x:f>
        <x:v>OPEN</x:v>
      </x:c>
      <x:c r="O94" s="13" t="str">
        <x:v>OPEN</x:v>
      </x:c>
    </x:row>
    <x:row r="95">
      <x:c r="B95" s="13" t="str">
        <x:v>RAS-TR-089</x:v>
      </x:c>
      <x:c r="C95" s="13" t="str">
        <x:v>RAS-E089</x:v>
      </x:c>
      <x:c r="D95" s="13" t="str">
        <x:v>AM-06</x:v>
      </x:c>
      <x:c r="E95" s="13" t="str">
        <x:v>TR-A</x:v>
      </x:c>
      <x:c r="F95" s="13" t="str">
        <x:v>RFP-B1</x:v>
      </x:c>
      <x:c r="G95" s="13" t="str">
        <x:v>QE-05</x:v>
      </x:c>
      <x:c r="H95" s="13" t="str">
        <x:f>'Source Ledger'!S95</x:f>
        <x:v>OPEN</x:v>
      </x:c>
      <x:c r="I95" s="13" t="str">
        <x:f>'Water Ledger'!R95</x:f>
        <x:v>OPEN</x:v>
      </x:c>
      <x:c r="J95" s="13" t="str">
        <x:f>'Ancestry Ledger'!N95</x:f>
        <x:v>OPEN</x:v>
      </x:c>
      <x:c r="K95" s="13" t="str">
        <x:f>'Pool Thermal'!O95</x:f>
        <x:v>OPEN</x:v>
      </x:c>
      <x:c r="L95" s="13" t="n">
        <x:f>'Event Register'!T95</x:f>
        <x:v>0</x:v>
      </x:c>
      <x:c r="M95" s="13" t="str"/>
      <x:c r="N95" s="13" t="str">
        <x:f>IF(M95=1,IF(AND(H95="PASS",I95="PASS",J95="PASS",K95="PASS",L95="VALID"),"PASS","FAIL"),"OPEN")</x:f>
        <x:v>OPEN</x:v>
      </x:c>
      <x:c r="O95" s="13" t="str">
        <x:v>OPEN</x:v>
      </x:c>
    </x:row>
    <x:row r="96">
      <x:c r="B96" s="13" t="str">
        <x:v>RAS-TR-090</x:v>
      </x:c>
      <x:c r="C96" s="13" t="str">
        <x:v>RAS-E090</x:v>
      </x:c>
      <x:c r="D96" s="13" t="str">
        <x:v>AM-06</x:v>
      </x:c>
      <x:c r="E96" s="13" t="str">
        <x:v>TR-A</x:v>
      </x:c>
      <x:c r="F96" s="13" t="str">
        <x:v>RFP-B1</x:v>
      </x:c>
      <x:c r="G96" s="13" t="str">
        <x:v>QE-06</x:v>
      </x:c>
      <x:c r="H96" s="13" t="str">
        <x:f>'Source Ledger'!S96</x:f>
        <x:v>OPEN</x:v>
      </x:c>
      <x:c r="I96" s="13" t="str">
        <x:f>'Water Ledger'!R96</x:f>
        <x:v>OPEN</x:v>
      </x:c>
      <x:c r="J96" s="13" t="str">
        <x:f>'Ancestry Ledger'!N96</x:f>
        <x:v>OPEN</x:v>
      </x:c>
      <x:c r="K96" s="13" t="str">
        <x:f>'Pool Thermal'!O96</x:f>
        <x:v>OPEN</x:v>
      </x:c>
      <x:c r="L96" s="13" t="n">
        <x:f>'Event Register'!T96</x:f>
        <x:v>0</x:v>
      </x:c>
      <x:c r="M96" s="13" t="str"/>
      <x:c r="N96" s="13" t="str">
        <x:f>IF(M96=1,IF(AND(H96="PASS",I96="PASS",J96="PASS",K96="PASS",L96="VALID"),"PASS","FAIL"),"OPEN")</x:f>
        <x:v>OPEN</x:v>
      </x:c>
      <x:c r="O96" s="13" t="str">
        <x:v>OPEN</x:v>
      </x:c>
    </x:row>
    <x:row r="97">
      <x:c r="B97" s="13" t="str">
        <x:v>RAS-TR-091</x:v>
      </x:c>
      <x:c r="C97" s="13" t="str">
        <x:v>RAS-E091</x:v>
      </x:c>
      <x:c r="D97" s="13" t="str">
        <x:v>AM-06</x:v>
      </x:c>
      <x:c r="E97" s="13" t="str">
        <x:v>TR-A</x:v>
      </x:c>
      <x:c r="F97" s="13" t="str">
        <x:v>RFP-B2</x:v>
      </x:c>
      <x:c r="G97" s="13" t="str">
        <x:v>QE-01</x:v>
      </x:c>
      <x:c r="H97" s="13" t="str">
        <x:f>'Source Ledger'!S97</x:f>
        <x:v>OPEN</x:v>
      </x:c>
      <x:c r="I97" s="13" t="str">
        <x:f>'Water Ledger'!R97</x:f>
        <x:v>OPEN</x:v>
      </x:c>
      <x:c r="J97" s="13" t="str">
        <x:f>'Ancestry Ledger'!N97</x:f>
        <x:v>OPEN</x:v>
      </x:c>
      <x:c r="K97" s="13" t="str">
        <x:f>'Pool Thermal'!O97</x:f>
        <x:v>OPEN</x:v>
      </x:c>
      <x:c r="L97" s="13" t="n">
        <x:f>'Event Register'!T97</x:f>
        <x:v>0</x:v>
      </x:c>
      <x:c r="M97" s="13" t="str"/>
      <x:c r="N97" s="13" t="str">
        <x:f>IF(M97=1,IF(AND(H97="PASS",I97="PASS",J97="PASS",K97="PASS",L97="VALID"),"PASS","FAIL"),"OPEN")</x:f>
        <x:v>OPEN</x:v>
      </x:c>
      <x:c r="O97" s="13" t="str">
        <x:v>OPEN</x:v>
      </x:c>
    </x:row>
    <x:row r="98">
      <x:c r="B98" s="13" t="str">
        <x:v>RAS-TR-092</x:v>
      </x:c>
      <x:c r="C98" s="13" t="str">
        <x:v>RAS-E092</x:v>
      </x:c>
      <x:c r="D98" s="13" t="str">
        <x:v>AM-06</x:v>
      </x:c>
      <x:c r="E98" s="13" t="str">
        <x:v>TR-A</x:v>
      </x:c>
      <x:c r="F98" s="13" t="str">
        <x:v>RFP-B2</x:v>
      </x:c>
      <x:c r="G98" s="13" t="str">
        <x:v>QE-02</x:v>
      </x:c>
      <x:c r="H98" s="13" t="str">
        <x:f>'Source Ledger'!S98</x:f>
        <x:v>OPEN</x:v>
      </x:c>
      <x:c r="I98" s="13" t="str">
        <x:f>'Water Ledger'!R98</x:f>
        <x:v>OPEN</x:v>
      </x:c>
      <x:c r="J98" s="13" t="str">
        <x:f>'Ancestry Ledger'!N98</x:f>
        <x:v>OPEN</x:v>
      </x:c>
      <x:c r="K98" s="13" t="str">
        <x:f>'Pool Thermal'!O98</x:f>
        <x:v>OPEN</x:v>
      </x:c>
      <x:c r="L98" s="13" t="n">
        <x:f>'Event Register'!T98</x:f>
        <x:v>0</x:v>
      </x:c>
      <x:c r="M98" s="13" t="str"/>
      <x:c r="N98" s="13" t="str">
        <x:f>IF(M98=1,IF(AND(H98="PASS",I98="PASS",J98="PASS",K98="PASS",L98="VALID"),"PASS","FAIL"),"OPEN")</x:f>
        <x:v>OPEN</x:v>
      </x:c>
      <x:c r="O98" s="13" t="str">
        <x:v>OPEN</x:v>
      </x:c>
    </x:row>
    <x:row r="99">
      <x:c r="B99" s="13" t="str">
        <x:v>RAS-TR-093</x:v>
      </x:c>
      <x:c r="C99" s="13" t="str">
        <x:v>RAS-E093</x:v>
      </x:c>
      <x:c r="D99" s="13" t="str">
        <x:v>AM-06</x:v>
      </x:c>
      <x:c r="E99" s="13" t="str">
        <x:v>TR-A</x:v>
      </x:c>
      <x:c r="F99" s="13" t="str">
        <x:v>RFP-B2</x:v>
      </x:c>
      <x:c r="G99" s="13" t="str">
        <x:v>QE-03</x:v>
      </x:c>
      <x:c r="H99" s="13" t="str">
        <x:f>'Source Ledger'!S99</x:f>
        <x:v>OPEN</x:v>
      </x:c>
      <x:c r="I99" s="13" t="str">
        <x:f>'Water Ledger'!R99</x:f>
        <x:v>OPEN</x:v>
      </x:c>
      <x:c r="J99" s="13" t="str">
        <x:f>'Ancestry Ledger'!N99</x:f>
        <x:v>OPEN</x:v>
      </x:c>
      <x:c r="K99" s="13" t="str">
        <x:f>'Pool Thermal'!O99</x:f>
        <x:v>OPEN</x:v>
      </x:c>
      <x:c r="L99" s="13" t="n">
        <x:f>'Event Register'!T99</x:f>
        <x:v>0</x:v>
      </x:c>
      <x:c r="M99" s="13" t="str"/>
      <x:c r="N99" s="13" t="str">
        <x:f>IF(M99=1,IF(AND(H99="PASS",I99="PASS",J99="PASS",K99="PASS",L99="VALID"),"PASS","FAIL"),"OPEN")</x:f>
        <x:v>OPEN</x:v>
      </x:c>
      <x:c r="O99" s="13" t="str">
        <x:v>OPEN</x:v>
      </x:c>
    </x:row>
    <x:row r="100">
      <x:c r="B100" s="13" t="str">
        <x:v>RAS-TR-094</x:v>
      </x:c>
      <x:c r="C100" s="13" t="str">
        <x:v>RAS-E094</x:v>
      </x:c>
      <x:c r="D100" s="13" t="str">
        <x:v>AM-06</x:v>
      </x:c>
      <x:c r="E100" s="13" t="str">
        <x:v>TR-A</x:v>
      </x:c>
      <x:c r="F100" s="13" t="str">
        <x:v>RFP-B2</x:v>
      </x:c>
      <x:c r="G100" s="13" t="str">
        <x:v>QE-04</x:v>
      </x:c>
      <x:c r="H100" s="13" t="str">
        <x:f>'Source Ledger'!S100</x:f>
        <x:v>OPEN</x:v>
      </x:c>
      <x:c r="I100" s="13" t="str">
        <x:f>'Water Ledger'!R100</x:f>
        <x:v>OPEN</x:v>
      </x:c>
      <x:c r="J100" s="13" t="str">
        <x:f>'Ancestry Ledger'!N100</x:f>
        <x:v>OPEN</x:v>
      </x:c>
      <x:c r="K100" s="13" t="str">
        <x:f>'Pool Thermal'!O100</x:f>
        <x:v>OPEN</x:v>
      </x:c>
      <x:c r="L100" s="13" t="n">
        <x:f>'Event Register'!T100</x:f>
        <x:v>0</x:v>
      </x:c>
      <x:c r="M100" s="13" t="str"/>
      <x:c r="N100" s="13" t="str">
        <x:f>IF(M100=1,IF(AND(H100="PASS",I100="PASS",J100="PASS",K100="PASS",L100="VALID"),"PASS","FAIL"),"OPEN")</x:f>
        <x:v>OPEN</x:v>
      </x:c>
      <x:c r="O100" s="13" t="str">
        <x:v>OPEN</x:v>
      </x:c>
    </x:row>
    <x:row r="101">
      <x:c r="B101" s="13" t="str">
        <x:v>RAS-TR-095</x:v>
      </x:c>
      <x:c r="C101" s="13" t="str">
        <x:v>RAS-E095</x:v>
      </x:c>
      <x:c r="D101" s="13" t="str">
        <x:v>AM-06</x:v>
      </x:c>
      <x:c r="E101" s="13" t="str">
        <x:v>TR-A</x:v>
      </x:c>
      <x:c r="F101" s="13" t="str">
        <x:v>RFP-B2</x:v>
      </x:c>
      <x:c r="G101" s="13" t="str">
        <x:v>QE-05</x:v>
      </x:c>
      <x:c r="H101" s="13" t="str">
        <x:f>'Source Ledger'!S101</x:f>
        <x:v>OPEN</x:v>
      </x:c>
      <x:c r="I101" s="13" t="str">
        <x:f>'Water Ledger'!R101</x:f>
        <x:v>OPEN</x:v>
      </x:c>
      <x:c r="J101" s="13" t="str">
        <x:f>'Ancestry Ledger'!N101</x:f>
        <x:v>OPEN</x:v>
      </x:c>
      <x:c r="K101" s="13" t="str">
        <x:f>'Pool Thermal'!O101</x:f>
        <x:v>OPEN</x:v>
      </x:c>
      <x:c r="L101" s="13" t="n">
        <x:f>'Event Register'!T101</x:f>
        <x:v>0</x:v>
      </x:c>
      <x:c r="M101" s="13" t="str"/>
      <x:c r="N101" s="13" t="str">
        <x:f>IF(M101=1,IF(AND(H101="PASS",I101="PASS",J101="PASS",K101="PASS",L101="VALID"),"PASS","FAIL"),"OPEN")</x:f>
        <x:v>OPEN</x:v>
      </x:c>
      <x:c r="O101" s="13" t="str">
        <x:v>OPEN</x:v>
      </x:c>
    </x:row>
    <x:row r="102">
      <x:c r="B102" s="13" t="str">
        <x:v>RAS-TR-096</x:v>
      </x:c>
      <x:c r="C102" s="13" t="str">
        <x:v>RAS-E096</x:v>
      </x:c>
      <x:c r="D102" s="13" t="str">
        <x:v>AM-06</x:v>
      </x:c>
      <x:c r="E102" s="13" t="str">
        <x:v>TR-A</x:v>
      </x:c>
      <x:c r="F102" s="13" t="str">
        <x:v>RFP-B2</x:v>
      </x:c>
      <x:c r="G102" s="13" t="str">
        <x:v>QE-06</x:v>
      </x:c>
      <x:c r="H102" s="13" t="str">
        <x:f>'Source Ledger'!S102</x:f>
        <x:v>OPEN</x:v>
      </x:c>
      <x:c r="I102" s="13" t="str">
        <x:f>'Water Ledger'!R102</x:f>
        <x:v>OPEN</x:v>
      </x:c>
      <x:c r="J102" s="13" t="str">
        <x:f>'Ancestry Ledger'!N102</x:f>
        <x:v>OPEN</x:v>
      </x:c>
      <x:c r="K102" s="13" t="str">
        <x:f>'Pool Thermal'!O102</x:f>
        <x:v>OPEN</x:v>
      </x:c>
      <x:c r="L102" s="13" t="n">
        <x:f>'Event Register'!T102</x:f>
        <x:v>0</x:v>
      </x:c>
      <x:c r="M102" s="13" t="str"/>
      <x:c r="N102" s="13" t="str">
        <x:f>IF(M102=1,IF(AND(H102="PASS",I102="PASS",J102="PASS",K102="PASS",L102="VALID"),"PASS","FAIL"),"OPEN")</x:f>
        <x:v>OPEN</x:v>
      </x:c>
      <x:c r="O102" s="13" t="str">
        <x:v>OPEN</x:v>
      </x:c>
    </x:row>
    <x:row r="103">
      <x:c r="B103" s="13" t="str">
        <x:v>RAS-TR-097</x:v>
      </x:c>
      <x:c r="C103" s="13" t="str">
        <x:v>RAS-E097</x:v>
      </x:c>
      <x:c r="D103" s="13" t="str">
        <x:v>AM-06</x:v>
      </x:c>
      <x:c r="E103" s="13" t="str">
        <x:v>TR-A</x:v>
      </x:c>
      <x:c r="F103" s="13" t="str">
        <x:v>RFP-C1</x:v>
      </x:c>
      <x:c r="G103" s="13" t="str">
        <x:v>QE-01</x:v>
      </x:c>
      <x:c r="H103" s="13" t="str">
        <x:f>'Source Ledger'!S103</x:f>
        <x:v>OPEN</x:v>
      </x:c>
      <x:c r="I103" s="13" t="str">
        <x:f>'Water Ledger'!R103</x:f>
        <x:v>OPEN</x:v>
      </x:c>
      <x:c r="J103" s="13" t="str">
        <x:f>'Ancestry Ledger'!N103</x:f>
        <x:v>OPEN</x:v>
      </x:c>
      <x:c r="K103" s="13" t="str">
        <x:f>'Pool Thermal'!O103</x:f>
        <x:v>OPEN</x:v>
      </x:c>
      <x:c r="L103" s="13" t="n">
        <x:f>'Event Register'!T103</x:f>
        <x:v>0</x:v>
      </x:c>
      <x:c r="M103" s="13" t="str"/>
      <x:c r="N103" s="13" t="str">
        <x:f>IF(M103=1,IF(AND(H103="PASS",I103="PASS",J103="PASS",K103="PASS",L103="VALID"),"PASS","FAIL"),"OPEN")</x:f>
        <x:v>OPEN</x:v>
      </x:c>
      <x:c r="O103" s="13" t="str">
        <x:v>OPEN</x:v>
      </x:c>
    </x:row>
    <x:row r="104">
      <x:c r="B104" s="13" t="str">
        <x:v>RAS-TR-098</x:v>
      </x:c>
      <x:c r="C104" s="13" t="str">
        <x:v>RAS-E098</x:v>
      </x:c>
      <x:c r="D104" s="13" t="str">
        <x:v>AM-06</x:v>
      </x:c>
      <x:c r="E104" s="13" t="str">
        <x:v>TR-A</x:v>
      </x:c>
      <x:c r="F104" s="13" t="str">
        <x:v>RFP-C1</x:v>
      </x:c>
      <x:c r="G104" s="13" t="str">
        <x:v>QE-02</x:v>
      </x:c>
      <x:c r="H104" s="13" t="str">
        <x:f>'Source Ledger'!S104</x:f>
        <x:v>OPEN</x:v>
      </x:c>
      <x:c r="I104" s="13" t="str">
        <x:f>'Water Ledger'!R104</x:f>
        <x:v>OPEN</x:v>
      </x:c>
      <x:c r="J104" s="13" t="str">
        <x:f>'Ancestry Ledger'!N104</x:f>
        <x:v>OPEN</x:v>
      </x:c>
      <x:c r="K104" s="13" t="str">
        <x:f>'Pool Thermal'!O104</x:f>
        <x:v>OPEN</x:v>
      </x:c>
      <x:c r="L104" s="13" t="n">
        <x:f>'Event Register'!T104</x:f>
        <x:v>0</x:v>
      </x:c>
      <x:c r="M104" s="13" t="str"/>
      <x:c r="N104" s="13" t="str">
        <x:f>IF(M104=1,IF(AND(H104="PASS",I104="PASS",J104="PASS",K104="PASS",L104="VALID"),"PASS","FAIL"),"OPEN")</x:f>
        <x:v>OPEN</x:v>
      </x:c>
      <x:c r="O104" s="13" t="str">
        <x:v>OPEN</x:v>
      </x:c>
    </x:row>
    <x:row r="105">
      <x:c r="B105" s="13" t="str">
        <x:v>RAS-TR-099</x:v>
      </x:c>
      <x:c r="C105" s="13" t="str">
        <x:v>RAS-E099</x:v>
      </x:c>
      <x:c r="D105" s="13" t="str">
        <x:v>AM-06</x:v>
      </x:c>
      <x:c r="E105" s="13" t="str">
        <x:v>TR-A</x:v>
      </x:c>
      <x:c r="F105" s="13" t="str">
        <x:v>RFP-C1</x:v>
      </x:c>
      <x:c r="G105" s="13" t="str">
        <x:v>QE-03</x:v>
      </x:c>
      <x:c r="H105" s="13" t="str">
        <x:f>'Source Ledger'!S105</x:f>
        <x:v>OPEN</x:v>
      </x:c>
      <x:c r="I105" s="13" t="str">
        <x:f>'Water Ledger'!R105</x:f>
        <x:v>OPEN</x:v>
      </x:c>
      <x:c r="J105" s="13" t="str">
        <x:f>'Ancestry Ledger'!N105</x:f>
        <x:v>OPEN</x:v>
      </x:c>
      <x:c r="K105" s="13" t="str">
        <x:f>'Pool Thermal'!O105</x:f>
        <x:v>OPEN</x:v>
      </x:c>
      <x:c r="L105" s="13" t="n">
        <x:f>'Event Register'!T105</x:f>
        <x:v>0</x:v>
      </x:c>
      <x:c r="M105" s="13" t="str"/>
      <x:c r="N105" s="13" t="str">
        <x:f>IF(M105=1,IF(AND(H105="PASS",I105="PASS",J105="PASS",K105="PASS",L105="VALID"),"PASS","FAIL"),"OPEN")</x:f>
        <x:v>OPEN</x:v>
      </x:c>
      <x:c r="O105" s="13" t="str">
        <x:v>OPEN</x:v>
      </x:c>
    </x:row>
    <x:row r="106">
      <x:c r="B106" s="13" t="str">
        <x:v>RAS-TR-100</x:v>
      </x:c>
      <x:c r="C106" s="13" t="str">
        <x:v>RAS-E100</x:v>
      </x:c>
      <x:c r="D106" s="13" t="str">
        <x:v>AM-06</x:v>
      </x:c>
      <x:c r="E106" s="13" t="str">
        <x:v>TR-A</x:v>
      </x:c>
      <x:c r="F106" s="13" t="str">
        <x:v>RFP-C1</x:v>
      </x:c>
      <x:c r="G106" s="13" t="str">
        <x:v>QE-04</x:v>
      </x:c>
      <x:c r="H106" s="13" t="str">
        <x:f>'Source Ledger'!S106</x:f>
        <x:v>OPEN</x:v>
      </x:c>
      <x:c r="I106" s="13" t="str">
        <x:f>'Water Ledger'!R106</x:f>
        <x:v>OPEN</x:v>
      </x:c>
      <x:c r="J106" s="13" t="str">
        <x:f>'Ancestry Ledger'!N106</x:f>
        <x:v>OPEN</x:v>
      </x:c>
      <x:c r="K106" s="13" t="str">
        <x:f>'Pool Thermal'!O106</x:f>
        <x:v>OPEN</x:v>
      </x:c>
      <x:c r="L106" s="13" t="n">
        <x:f>'Event Register'!T106</x:f>
        <x:v>0</x:v>
      </x:c>
      <x:c r="M106" s="13" t="str"/>
      <x:c r="N106" s="13" t="str">
        <x:f>IF(M106=1,IF(AND(H106="PASS",I106="PASS",J106="PASS",K106="PASS",L106="VALID"),"PASS","FAIL"),"OPEN")</x:f>
        <x:v>OPEN</x:v>
      </x:c>
      <x:c r="O106" s="13" t="str">
        <x:v>OPEN</x:v>
      </x:c>
    </x:row>
    <x:row r="107">
      <x:c r="B107" s="13" t="str">
        <x:v>RAS-TR-101</x:v>
      </x:c>
      <x:c r="C107" s="13" t="str">
        <x:v>RAS-E101</x:v>
      </x:c>
      <x:c r="D107" s="13" t="str">
        <x:v>AM-06</x:v>
      </x:c>
      <x:c r="E107" s="13" t="str">
        <x:v>TR-A</x:v>
      </x:c>
      <x:c r="F107" s="13" t="str">
        <x:v>RFP-C1</x:v>
      </x:c>
      <x:c r="G107" s="13" t="str">
        <x:v>QE-05</x:v>
      </x:c>
      <x:c r="H107" s="13" t="str">
        <x:f>'Source Ledger'!S107</x:f>
        <x:v>OPEN</x:v>
      </x:c>
      <x:c r="I107" s="13" t="str">
        <x:f>'Water Ledger'!R107</x:f>
        <x:v>OPEN</x:v>
      </x:c>
      <x:c r="J107" s="13" t="str">
        <x:f>'Ancestry Ledger'!N107</x:f>
        <x:v>OPEN</x:v>
      </x:c>
      <x:c r="K107" s="13" t="str">
        <x:f>'Pool Thermal'!O107</x:f>
        <x:v>OPEN</x:v>
      </x:c>
      <x:c r="L107" s="13" t="n">
        <x:f>'Event Register'!T107</x:f>
        <x:v>0</x:v>
      </x:c>
      <x:c r="M107" s="13" t="str"/>
      <x:c r="N107" s="13" t="str">
        <x:f>IF(M107=1,IF(AND(H107="PASS",I107="PASS",J107="PASS",K107="PASS",L107="VALID"),"PASS","FAIL"),"OPEN")</x:f>
        <x:v>OPEN</x:v>
      </x:c>
      <x:c r="O107" s="13" t="str">
        <x:v>OPEN</x:v>
      </x:c>
    </x:row>
    <x:row r="108">
      <x:c r="B108" s="13" t="str">
        <x:v>RAS-TR-102</x:v>
      </x:c>
      <x:c r="C108" s="13" t="str">
        <x:v>RAS-E102</x:v>
      </x:c>
      <x:c r="D108" s="13" t="str">
        <x:v>AM-06</x:v>
      </x:c>
      <x:c r="E108" s="13" t="str">
        <x:v>TR-A</x:v>
      </x:c>
      <x:c r="F108" s="13" t="str">
        <x:v>RFP-C1</x:v>
      </x:c>
      <x:c r="G108" s="13" t="str">
        <x:v>QE-06</x:v>
      </x:c>
      <x:c r="H108" s="13" t="str">
        <x:f>'Source Ledger'!S108</x:f>
        <x:v>OPEN</x:v>
      </x:c>
      <x:c r="I108" s="13" t="str">
        <x:f>'Water Ledger'!R108</x:f>
        <x:v>OPEN</x:v>
      </x:c>
      <x:c r="J108" s="13" t="str">
        <x:f>'Ancestry Ledger'!N108</x:f>
        <x:v>OPEN</x:v>
      </x:c>
      <x:c r="K108" s="13" t="str">
        <x:f>'Pool Thermal'!O108</x:f>
        <x:v>OPEN</x:v>
      </x:c>
      <x:c r="L108" s="13" t="n">
        <x:f>'Event Register'!T108</x:f>
        <x:v>0</x:v>
      </x:c>
      <x:c r="M108" s="13" t="str"/>
      <x:c r="N108" s="13" t="str">
        <x:f>IF(M108=1,IF(AND(H108="PASS",I108="PASS",J108="PASS",K108="PASS",L108="VALID"),"PASS","FAIL"),"OPEN")</x:f>
        <x:v>OPEN</x:v>
      </x:c>
      <x:c r="O108" s="13" t="str">
        <x:v>OPEN</x:v>
      </x:c>
    </x:row>
    <x:row r="109">
      <x:c r="B109" s="13" t="str">
        <x:v>RAS-TR-103</x:v>
      </x:c>
      <x:c r="C109" s="13" t="str">
        <x:v>RAS-E103</x:v>
      </x:c>
      <x:c r="D109" s="13" t="str">
        <x:v>AM-06</x:v>
      </x:c>
      <x:c r="E109" s="13" t="str">
        <x:v>TR-A</x:v>
      </x:c>
      <x:c r="F109" s="13" t="str">
        <x:v>RFP-C2</x:v>
      </x:c>
      <x:c r="G109" s="13" t="str">
        <x:v>QE-01</x:v>
      </x:c>
      <x:c r="H109" s="13" t="str">
        <x:f>'Source Ledger'!S109</x:f>
        <x:v>OPEN</x:v>
      </x:c>
      <x:c r="I109" s="13" t="str">
        <x:f>'Water Ledger'!R109</x:f>
        <x:v>OPEN</x:v>
      </x:c>
      <x:c r="J109" s="13" t="str">
        <x:f>'Ancestry Ledger'!N109</x:f>
        <x:v>OPEN</x:v>
      </x:c>
      <x:c r="K109" s="13" t="str">
        <x:f>'Pool Thermal'!O109</x:f>
        <x:v>OPEN</x:v>
      </x:c>
      <x:c r="L109" s="13" t="n">
        <x:f>'Event Register'!T109</x:f>
        <x:v>0</x:v>
      </x:c>
      <x:c r="M109" s="13" t="str"/>
      <x:c r="N109" s="13" t="str">
        <x:f>IF(M109=1,IF(AND(H109="PASS",I109="PASS",J109="PASS",K109="PASS",L109="VALID"),"PASS","FAIL"),"OPEN")</x:f>
        <x:v>OPEN</x:v>
      </x:c>
      <x:c r="O109" s="13" t="str">
        <x:v>OPEN</x:v>
      </x:c>
    </x:row>
    <x:row r="110">
      <x:c r="B110" s="13" t="str">
        <x:v>RAS-TR-104</x:v>
      </x:c>
      <x:c r="C110" s="13" t="str">
        <x:v>RAS-E104</x:v>
      </x:c>
      <x:c r="D110" s="13" t="str">
        <x:v>AM-06</x:v>
      </x:c>
      <x:c r="E110" s="13" t="str">
        <x:v>TR-A</x:v>
      </x:c>
      <x:c r="F110" s="13" t="str">
        <x:v>RFP-C2</x:v>
      </x:c>
      <x:c r="G110" s="13" t="str">
        <x:v>QE-02</x:v>
      </x:c>
      <x:c r="H110" s="13" t="str">
        <x:f>'Source Ledger'!S110</x:f>
        <x:v>OPEN</x:v>
      </x:c>
      <x:c r="I110" s="13" t="str">
        <x:f>'Water Ledger'!R110</x:f>
        <x:v>OPEN</x:v>
      </x:c>
      <x:c r="J110" s="13" t="str">
        <x:f>'Ancestry Ledger'!N110</x:f>
        <x:v>OPEN</x:v>
      </x:c>
      <x:c r="K110" s="13" t="str">
        <x:f>'Pool Thermal'!O110</x:f>
        <x:v>OPEN</x:v>
      </x:c>
      <x:c r="L110" s="13" t="n">
        <x:f>'Event Register'!T110</x:f>
        <x:v>0</x:v>
      </x:c>
      <x:c r="M110" s="13" t="str"/>
      <x:c r="N110" s="13" t="str">
        <x:f>IF(M110=1,IF(AND(H110="PASS",I110="PASS",J110="PASS",K110="PASS",L110="VALID"),"PASS","FAIL"),"OPEN")</x:f>
        <x:v>OPEN</x:v>
      </x:c>
      <x:c r="O110" s="13" t="str">
        <x:v>OPEN</x:v>
      </x:c>
    </x:row>
    <x:row r="111">
      <x:c r="B111" s="13" t="str">
        <x:v>RAS-TR-105</x:v>
      </x:c>
      <x:c r="C111" s="13" t="str">
        <x:v>RAS-E105</x:v>
      </x:c>
      <x:c r="D111" s="13" t="str">
        <x:v>AM-06</x:v>
      </x:c>
      <x:c r="E111" s="13" t="str">
        <x:v>TR-A</x:v>
      </x:c>
      <x:c r="F111" s="13" t="str">
        <x:v>RFP-C2</x:v>
      </x:c>
      <x:c r="G111" s="13" t="str">
        <x:v>QE-03</x:v>
      </x:c>
      <x:c r="H111" s="13" t="str">
        <x:f>'Source Ledger'!S111</x:f>
        <x:v>OPEN</x:v>
      </x:c>
      <x:c r="I111" s="13" t="str">
        <x:f>'Water Ledger'!R111</x:f>
        <x:v>OPEN</x:v>
      </x:c>
      <x:c r="J111" s="13" t="str">
        <x:f>'Ancestry Ledger'!N111</x:f>
        <x:v>OPEN</x:v>
      </x:c>
      <x:c r="K111" s="13" t="str">
        <x:f>'Pool Thermal'!O111</x:f>
        <x:v>OPEN</x:v>
      </x:c>
      <x:c r="L111" s="13" t="n">
        <x:f>'Event Register'!T111</x:f>
        <x:v>0</x:v>
      </x:c>
      <x:c r="M111" s="13" t="str"/>
      <x:c r="N111" s="13" t="str">
        <x:f>IF(M111=1,IF(AND(H111="PASS",I111="PASS",J111="PASS",K111="PASS",L111="VALID"),"PASS","FAIL"),"OPEN")</x:f>
        <x:v>OPEN</x:v>
      </x:c>
      <x:c r="O111" s="13" t="str">
        <x:v>OPEN</x:v>
      </x:c>
    </x:row>
    <x:row r="112">
      <x:c r="B112" s="13" t="str">
        <x:v>RAS-TR-106</x:v>
      </x:c>
      <x:c r="C112" s="13" t="str">
        <x:v>RAS-E106</x:v>
      </x:c>
      <x:c r="D112" s="13" t="str">
        <x:v>AM-06</x:v>
      </x:c>
      <x:c r="E112" s="13" t="str">
        <x:v>TR-A</x:v>
      </x:c>
      <x:c r="F112" s="13" t="str">
        <x:v>RFP-C2</x:v>
      </x:c>
      <x:c r="G112" s="13" t="str">
        <x:v>QE-04</x:v>
      </x:c>
      <x:c r="H112" s="13" t="str">
        <x:f>'Source Ledger'!S112</x:f>
        <x:v>OPEN</x:v>
      </x:c>
      <x:c r="I112" s="13" t="str">
        <x:f>'Water Ledger'!R112</x:f>
        <x:v>OPEN</x:v>
      </x:c>
      <x:c r="J112" s="13" t="str">
        <x:f>'Ancestry Ledger'!N112</x:f>
        <x:v>OPEN</x:v>
      </x:c>
      <x:c r="K112" s="13" t="str">
        <x:f>'Pool Thermal'!O112</x:f>
        <x:v>OPEN</x:v>
      </x:c>
      <x:c r="L112" s="13" t="n">
        <x:f>'Event Register'!T112</x:f>
        <x:v>0</x:v>
      </x:c>
      <x:c r="M112" s="13" t="str"/>
      <x:c r="N112" s="13" t="str">
        <x:f>IF(M112=1,IF(AND(H112="PASS",I112="PASS",J112="PASS",K112="PASS",L112="VALID"),"PASS","FAIL"),"OPEN")</x:f>
        <x:v>OPEN</x:v>
      </x:c>
      <x:c r="O112" s="13" t="str">
        <x:v>OPEN</x:v>
      </x:c>
    </x:row>
    <x:row r="113">
      <x:c r="B113" s="13" t="str">
        <x:v>RAS-TR-107</x:v>
      </x:c>
      <x:c r="C113" s="13" t="str">
        <x:v>RAS-E107</x:v>
      </x:c>
      <x:c r="D113" s="13" t="str">
        <x:v>AM-06</x:v>
      </x:c>
      <x:c r="E113" s="13" t="str">
        <x:v>TR-A</x:v>
      </x:c>
      <x:c r="F113" s="13" t="str">
        <x:v>RFP-C2</x:v>
      </x:c>
      <x:c r="G113" s="13" t="str">
        <x:v>QE-05</x:v>
      </x:c>
      <x:c r="H113" s="13" t="str">
        <x:f>'Source Ledger'!S113</x:f>
        <x:v>OPEN</x:v>
      </x:c>
      <x:c r="I113" s="13" t="str">
        <x:f>'Water Ledger'!R113</x:f>
        <x:v>OPEN</x:v>
      </x:c>
      <x:c r="J113" s="13" t="str">
        <x:f>'Ancestry Ledger'!N113</x:f>
        <x:v>OPEN</x:v>
      </x:c>
      <x:c r="K113" s="13" t="str">
        <x:f>'Pool Thermal'!O113</x:f>
        <x:v>OPEN</x:v>
      </x:c>
      <x:c r="L113" s="13" t="n">
        <x:f>'Event Register'!T113</x:f>
        <x:v>0</x:v>
      </x:c>
      <x:c r="M113" s="13" t="str"/>
      <x:c r="N113" s="13" t="str">
        <x:f>IF(M113=1,IF(AND(H113="PASS",I113="PASS",J113="PASS",K113="PASS",L113="VALID"),"PASS","FAIL"),"OPEN")</x:f>
        <x:v>OPEN</x:v>
      </x:c>
      <x:c r="O113" s="13" t="str">
        <x:v>OPEN</x:v>
      </x:c>
    </x:row>
    <x:row r="114">
      <x:c r="B114" s="13" t="str">
        <x:v>RAS-TR-108</x:v>
      </x:c>
      <x:c r="C114" s="13" t="str">
        <x:v>RAS-E108</x:v>
      </x:c>
      <x:c r="D114" s="13" t="str">
        <x:v>AM-06</x:v>
      </x:c>
      <x:c r="E114" s="13" t="str">
        <x:v>TR-A</x:v>
      </x:c>
      <x:c r="F114" s="13" t="str">
        <x:v>RFP-C2</x:v>
      </x:c>
      <x:c r="G114" s="13" t="str">
        <x:v>QE-06</x:v>
      </x:c>
      <x:c r="H114" s="13" t="str">
        <x:f>'Source Ledger'!S114</x:f>
        <x:v>OPEN</x:v>
      </x:c>
      <x:c r="I114" s="13" t="str">
        <x:f>'Water Ledger'!R114</x:f>
        <x:v>OPEN</x:v>
      </x:c>
      <x:c r="J114" s="13" t="str">
        <x:f>'Ancestry Ledger'!N114</x:f>
        <x:v>OPEN</x:v>
      </x:c>
      <x:c r="K114" s="13" t="str">
        <x:f>'Pool Thermal'!O114</x:f>
        <x:v>OPEN</x:v>
      </x:c>
      <x:c r="L114" s="13" t="n">
        <x:f>'Event Register'!T114</x:f>
        <x:v>0</x:v>
      </x:c>
      <x:c r="M114" s="13" t="str"/>
      <x:c r="N114" s="13" t="str">
        <x:f>IF(M114=1,IF(AND(H114="PASS",I114="PASS",J114="PASS",K114="PASS",L114="VALID"),"PASS","FAIL"),"OPEN")</x:f>
        <x:v>OPEN</x:v>
      </x:c>
      <x:c r="O114" s="13" t="str">
        <x:v>OPEN</x:v>
      </x:c>
    </x:row>
    <x:row r="115">
      <x:c r="B115" s="13" t="str">
        <x:v>RAS-TR-109</x:v>
      </x:c>
      <x:c r="C115" s="13" t="str">
        <x:v>RAS-E109</x:v>
      </x:c>
      <x:c r="D115" s="13" t="str">
        <x:v>AM-06</x:v>
      </x:c>
      <x:c r="E115" s="13" t="str">
        <x:v>TR-B</x:v>
      </x:c>
      <x:c r="F115" s="13" t="str">
        <x:v>RFP-A1</x:v>
      </x:c>
      <x:c r="G115" s="13" t="str">
        <x:v>QE-01</x:v>
      </x:c>
      <x:c r="H115" s="13" t="str">
        <x:f>'Source Ledger'!S115</x:f>
        <x:v>OPEN</x:v>
      </x:c>
      <x:c r="I115" s="13" t="str">
        <x:f>'Water Ledger'!R115</x:f>
        <x:v>OPEN</x:v>
      </x:c>
      <x:c r="J115" s="13" t="str">
        <x:f>'Ancestry Ledger'!N115</x:f>
        <x:v>OPEN</x:v>
      </x:c>
      <x:c r="K115" s="13" t="str">
        <x:f>'Pool Thermal'!O115</x:f>
        <x:v>OPEN</x:v>
      </x:c>
      <x:c r="L115" s="13" t="n">
        <x:f>'Event Register'!T115</x:f>
        <x:v>0</x:v>
      </x:c>
      <x:c r="M115" s="13" t="str"/>
      <x:c r="N115" s="13" t="str">
        <x:f>IF(M115=1,IF(AND(H115="PASS",I115="PASS",J115="PASS",K115="PASS",L115="VALID"),"PASS","FAIL"),"OPEN")</x:f>
        <x:v>OPEN</x:v>
      </x:c>
      <x:c r="O115" s="13" t="str">
        <x:v>OPEN</x:v>
      </x:c>
    </x:row>
    <x:row r="116">
      <x:c r="B116" s="13" t="str">
        <x:v>RAS-TR-110</x:v>
      </x:c>
      <x:c r="C116" s="13" t="str">
        <x:v>RAS-E110</x:v>
      </x:c>
      <x:c r="D116" s="13" t="str">
        <x:v>AM-06</x:v>
      </x:c>
      <x:c r="E116" s="13" t="str">
        <x:v>TR-B</x:v>
      </x:c>
      <x:c r="F116" s="13" t="str">
        <x:v>RFP-A1</x:v>
      </x:c>
      <x:c r="G116" s="13" t="str">
        <x:v>QE-02</x:v>
      </x:c>
      <x:c r="H116" s="13" t="str">
        <x:f>'Source Ledger'!S116</x:f>
        <x:v>OPEN</x:v>
      </x:c>
      <x:c r="I116" s="13" t="str">
        <x:f>'Water Ledger'!R116</x:f>
        <x:v>OPEN</x:v>
      </x:c>
      <x:c r="J116" s="13" t="str">
        <x:f>'Ancestry Ledger'!N116</x:f>
        <x:v>OPEN</x:v>
      </x:c>
      <x:c r="K116" s="13" t="str">
        <x:f>'Pool Thermal'!O116</x:f>
        <x:v>OPEN</x:v>
      </x:c>
      <x:c r="L116" s="13" t="n">
        <x:f>'Event Register'!T116</x:f>
        <x:v>0</x:v>
      </x:c>
      <x:c r="M116" s="13" t="str"/>
      <x:c r="N116" s="13" t="str">
        <x:f>IF(M116=1,IF(AND(H116="PASS",I116="PASS",J116="PASS",K116="PASS",L116="VALID"),"PASS","FAIL"),"OPEN")</x:f>
        <x:v>OPEN</x:v>
      </x:c>
      <x:c r="O116" s="13" t="str">
        <x:v>OPEN</x:v>
      </x:c>
    </x:row>
    <x:row r="117">
      <x:c r="B117" s="13" t="str">
        <x:v>RAS-TR-111</x:v>
      </x:c>
      <x:c r="C117" s="13" t="str">
        <x:v>RAS-E111</x:v>
      </x:c>
      <x:c r="D117" s="13" t="str">
        <x:v>AM-06</x:v>
      </x:c>
      <x:c r="E117" s="13" t="str">
        <x:v>TR-B</x:v>
      </x:c>
      <x:c r="F117" s="13" t="str">
        <x:v>RFP-A1</x:v>
      </x:c>
      <x:c r="G117" s="13" t="str">
        <x:v>QE-03</x:v>
      </x:c>
      <x:c r="H117" s="13" t="str">
        <x:f>'Source Ledger'!S117</x:f>
        <x:v>OPEN</x:v>
      </x:c>
      <x:c r="I117" s="13" t="str">
        <x:f>'Water Ledger'!R117</x:f>
        <x:v>OPEN</x:v>
      </x:c>
      <x:c r="J117" s="13" t="str">
        <x:f>'Ancestry Ledger'!N117</x:f>
        <x:v>OPEN</x:v>
      </x:c>
      <x:c r="K117" s="13" t="str">
        <x:f>'Pool Thermal'!O117</x:f>
        <x:v>OPEN</x:v>
      </x:c>
      <x:c r="L117" s="13" t="n">
        <x:f>'Event Register'!T117</x:f>
        <x:v>0</x:v>
      </x:c>
      <x:c r="M117" s="13" t="str"/>
      <x:c r="N117" s="13" t="str">
        <x:f>IF(M117=1,IF(AND(H117="PASS",I117="PASS",J117="PASS",K117="PASS",L117="VALID"),"PASS","FAIL"),"OPEN")</x:f>
        <x:v>OPEN</x:v>
      </x:c>
      <x:c r="O117" s="13" t="str">
        <x:v>OPEN</x:v>
      </x:c>
    </x:row>
    <x:row r="118">
      <x:c r="B118" s="13" t="str">
        <x:v>RAS-TR-112</x:v>
      </x:c>
      <x:c r="C118" s="13" t="str">
        <x:v>RAS-E112</x:v>
      </x:c>
      <x:c r="D118" s="13" t="str">
        <x:v>AM-06</x:v>
      </x:c>
      <x:c r="E118" s="13" t="str">
        <x:v>TR-B</x:v>
      </x:c>
      <x:c r="F118" s="13" t="str">
        <x:v>RFP-A1</x:v>
      </x:c>
      <x:c r="G118" s="13" t="str">
        <x:v>QE-04</x:v>
      </x:c>
      <x:c r="H118" s="13" t="str">
        <x:f>'Source Ledger'!S118</x:f>
        <x:v>OPEN</x:v>
      </x:c>
      <x:c r="I118" s="13" t="str">
        <x:f>'Water Ledger'!R118</x:f>
        <x:v>OPEN</x:v>
      </x:c>
      <x:c r="J118" s="13" t="str">
        <x:f>'Ancestry Ledger'!N118</x:f>
        <x:v>OPEN</x:v>
      </x:c>
      <x:c r="K118" s="13" t="str">
        <x:f>'Pool Thermal'!O118</x:f>
        <x:v>OPEN</x:v>
      </x:c>
      <x:c r="L118" s="13" t="n">
        <x:f>'Event Register'!T118</x:f>
        <x:v>0</x:v>
      </x:c>
      <x:c r="M118" s="13" t="str"/>
      <x:c r="N118" s="13" t="str">
        <x:f>IF(M118=1,IF(AND(H118="PASS",I118="PASS",J118="PASS",K118="PASS",L118="VALID"),"PASS","FAIL"),"OPEN")</x:f>
        <x:v>OPEN</x:v>
      </x:c>
      <x:c r="O118" s="13" t="str">
        <x:v>OPEN</x:v>
      </x:c>
    </x:row>
    <x:row r="119">
      <x:c r="B119" s="13" t="str">
        <x:v>RAS-TR-113</x:v>
      </x:c>
      <x:c r="C119" s="13" t="str">
        <x:v>RAS-E113</x:v>
      </x:c>
      <x:c r="D119" s="13" t="str">
        <x:v>AM-06</x:v>
      </x:c>
      <x:c r="E119" s="13" t="str">
        <x:v>TR-B</x:v>
      </x:c>
      <x:c r="F119" s="13" t="str">
        <x:v>RFP-A1</x:v>
      </x:c>
      <x:c r="G119" s="13" t="str">
        <x:v>QE-05</x:v>
      </x:c>
      <x:c r="H119" s="13" t="str">
        <x:f>'Source Ledger'!S119</x:f>
        <x:v>OPEN</x:v>
      </x:c>
      <x:c r="I119" s="13" t="str">
        <x:f>'Water Ledger'!R119</x:f>
        <x:v>OPEN</x:v>
      </x:c>
      <x:c r="J119" s="13" t="str">
        <x:f>'Ancestry Ledger'!N119</x:f>
        <x:v>OPEN</x:v>
      </x:c>
      <x:c r="K119" s="13" t="str">
        <x:f>'Pool Thermal'!O119</x:f>
        <x:v>OPEN</x:v>
      </x:c>
      <x:c r="L119" s="13" t="n">
        <x:f>'Event Register'!T119</x:f>
        <x:v>0</x:v>
      </x:c>
      <x:c r="M119" s="13" t="str"/>
      <x:c r="N119" s="13" t="str">
        <x:f>IF(M119=1,IF(AND(H119="PASS",I119="PASS",J119="PASS",K119="PASS",L119="VALID"),"PASS","FAIL"),"OPEN")</x:f>
        <x:v>OPEN</x:v>
      </x:c>
      <x:c r="O119" s="13" t="str">
        <x:v>OPEN</x:v>
      </x:c>
    </x:row>
    <x:row r="120">
      <x:c r="B120" s="13" t="str">
        <x:v>RAS-TR-114</x:v>
      </x:c>
      <x:c r="C120" s="13" t="str">
        <x:v>RAS-E114</x:v>
      </x:c>
      <x:c r="D120" s="13" t="str">
        <x:v>AM-06</x:v>
      </x:c>
      <x:c r="E120" s="13" t="str">
        <x:v>TR-B</x:v>
      </x:c>
      <x:c r="F120" s="13" t="str">
        <x:v>RFP-A1</x:v>
      </x:c>
      <x:c r="G120" s="13" t="str">
        <x:v>QE-06</x:v>
      </x:c>
      <x:c r="H120" s="13" t="str">
        <x:f>'Source Ledger'!S120</x:f>
        <x:v>OPEN</x:v>
      </x:c>
      <x:c r="I120" s="13" t="str">
        <x:f>'Water Ledger'!R120</x:f>
        <x:v>OPEN</x:v>
      </x:c>
      <x:c r="J120" s="13" t="str">
        <x:f>'Ancestry Ledger'!N120</x:f>
        <x:v>OPEN</x:v>
      </x:c>
      <x:c r="K120" s="13" t="str">
        <x:f>'Pool Thermal'!O120</x:f>
        <x:v>OPEN</x:v>
      </x:c>
      <x:c r="L120" s="13" t="n">
        <x:f>'Event Register'!T120</x:f>
        <x:v>0</x:v>
      </x:c>
      <x:c r="M120" s="13" t="str"/>
      <x:c r="N120" s="13" t="str">
        <x:f>IF(M120=1,IF(AND(H120="PASS",I120="PASS",J120="PASS",K120="PASS",L120="VALID"),"PASS","FAIL"),"OPEN")</x:f>
        <x:v>OPEN</x:v>
      </x:c>
      <x:c r="O120" s="13" t="str">
        <x:v>OPEN</x:v>
      </x:c>
    </x:row>
    <x:row r="121">
      <x:c r="B121" s="13" t="str">
        <x:v>RAS-TR-115</x:v>
      </x:c>
      <x:c r="C121" s="13" t="str">
        <x:v>RAS-E115</x:v>
      </x:c>
      <x:c r="D121" s="13" t="str">
        <x:v>AM-06</x:v>
      </x:c>
      <x:c r="E121" s="13" t="str">
        <x:v>TR-B</x:v>
      </x:c>
      <x:c r="F121" s="13" t="str">
        <x:v>RFP-A2</x:v>
      </x:c>
      <x:c r="G121" s="13" t="str">
        <x:v>QE-01</x:v>
      </x:c>
      <x:c r="H121" s="13" t="str">
        <x:f>'Source Ledger'!S121</x:f>
        <x:v>OPEN</x:v>
      </x:c>
      <x:c r="I121" s="13" t="str">
        <x:f>'Water Ledger'!R121</x:f>
        <x:v>OPEN</x:v>
      </x:c>
      <x:c r="J121" s="13" t="str">
        <x:f>'Ancestry Ledger'!N121</x:f>
        <x:v>OPEN</x:v>
      </x:c>
      <x:c r="K121" s="13" t="str">
        <x:f>'Pool Thermal'!O121</x:f>
        <x:v>OPEN</x:v>
      </x:c>
      <x:c r="L121" s="13" t="n">
        <x:f>'Event Register'!T121</x:f>
        <x:v>0</x:v>
      </x:c>
      <x:c r="M121" s="13" t="str"/>
      <x:c r="N121" s="13" t="str">
        <x:f>IF(M121=1,IF(AND(H121="PASS",I121="PASS",J121="PASS",K121="PASS",L121="VALID"),"PASS","FAIL"),"OPEN")</x:f>
        <x:v>OPEN</x:v>
      </x:c>
      <x:c r="O121" s="13" t="str">
        <x:v>OPEN</x:v>
      </x:c>
    </x:row>
    <x:row r="122">
      <x:c r="B122" s="13" t="str">
        <x:v>RAS-TR-116</x:v>
      </x:c>
      <x:c r="C122" s="13" t="str">
        <x:v>RAS-E116</x:v>
      </x:c>
      <x:c r="D122" s="13" t="str">
        <x:v>AM-06</x:v>
      </x:c>
      <x:c r="E122" s="13" t="str">
        <x:v>TR-B</x:v>
      </x:c>
      <x:c r="F122" s="13" t="str">
        <x:v>RFP-A2</x:v>
      </x:c>
      <x:c r="G122" s="13" t="str">
        <x:v>QE-02</x:v>
      </x:c>
      <x:c r="H122" s="13" t="str">
        <x:f>'Source Ledger'!S122</x:f>
        <x:v>OPEN</x:v>
      </x:c>
      <x:c r="I122" s="13" t="str">
        <x:f>'Water Ledger'!R122</x:f>
        <x:v>OPEN</x:v>
      </x:c>
      <x:c r="J122" s="13" t="str">
        <x:f>'Ancestry Ledger'!N122</x:f>
        <x:v>OPEN</x:v>
      </x:c>
      <x:c r="K122" s="13" t="str">
        <x:f>'Pool Thermal'!O122</x:f>
        <x:v>OPEN</x:v>
      </x:c>
      <x:c r="L122" s="13" t="n">
        <x:f>'Event Register'!T122</x:f>
        <x:v>0</x:v>
      </x:c>
      <x:c r="M122" s="13" t="str"/>
      <x:c r="N122" s="13" t="str">
        <x:f>IF(M122=1,IF(AND(H122="PASS",I122="PASS",J122="PASS",K122="PASS",L122="VALID"),"PASS","FAIL"),"OPEN")</x:f>
        <x:v>OPEN</x:v>
      </x:c>
      <x:c r="O122" s="13" t="str">
        <x:v>OPEN</x:v>
      </x:c>
    </x:row>
    <x:row r="123">
      <x:c r="B123" s="13" t="str">
        <x:v>RAS-TR-117</x:v>
      </x:c>
      <x:c r="C123" s="13" t="str">
        <x:v>RAS-E117</x:v>
      </x:c>
      <x:c r="D123" s="13" t="str">
        <x:v>AM-06</x:v>
      </x:c>
      <x:c r="E123" s="13" t="str">
        <x:v>TR-B</x:v>
      </x:c>
      <x:c r="F123" s="13" t="str">
        <x:v>RFP-A2</x:v>
      </x:c>
      <x:c r="G123" s="13" t="str">
        <x:v>QE-03</x:v>
      </x:c>
      <x:c r="H123" s="13" t="str">
        <x:f>'Source Ledger'!S123</x:f>
        <x:v>OPEN</x:v>
      </x:c>
      <x:c r="I123" s="13" t="str">
        <x:f>'Water Ledger'!R123</x:f>
        <x:v>OPEN</x:v>
      </x:c>
      <x:c r="J123" s="13" t="str">
        <x:f>'Ancestry Ledger'!N123</x:f>
        <x:v>OPEN</x:v>
      </x:c>
      <x:c r="K123" s="13" t="str">
        <x:f>'Pool Thermal'!O123</x:f>
        <x:v>OPEN</x:v>
      </x:c>
      <x:c r="L123" s="13" t="n">
        <x:f>'Event Register'!T123</x:f>
        <x:v>0</x:v>
      </x:c>
      <x:c r="M123" s="13" t="str"/>
      <x:c r="N123" s="13" t="str">
        <x:f>IF(M123=1,IF(AND(H123="PASS",I123="PASS",J123="PASS",K123="PASS",L123="VALID"),"PASS","FAIL"),"OPEN")</x:f>
        <x:v>OPEN</x:v>
      </x:c>
      <x:c r="O123" s="13" t="str">
        <x:v>OPEN</x:v>
      </x:c>
    </x:row>
    <x:row r="124">
      <x:c r="B124" s="13" t="str">
        <x:v>RAS-TR-118</x:v>
      </x:c>
      <x:c r="C124" s="13" t="str">
        <x:v>RAS-E118</x:v>
      </x:c>
      <x:c r="D124" s="13" t="str">
        <x:v>AM-06</x:v>
      </x:c>
      <x:c r="E124" s="13" t="str">
        <x:v>TR-B</x:v>
      </x:c>
      <x:c r="F124" s="13" t="str">
        <x:v>RFP-A2</x:v>
      </x:c>
      <x:c r="G124" s="13" t="str">
        <x:v>QE-04</x:v>
      </x:c>
      <x:c r="H124" s="13" t="str">
        <x:f>'Source Ledger'!S124</x:f>
        <x:v>OPEN</x:v>
      </x:c>
      <x:c r="I124" s="13" t="str">
        <x:f>'Water Ledger'!R124</x:f>
        <x:v>OPEN</x:v>
      </x:c>
      <x:c r="J124" s="13" t="str">
        <x:f>'Ancestry Ledger'!N124</x:f>
        <x:v>OPEN</x:v>
      </x:c>
      <x:c r="K124" s="13" t="str">
        <x:f>'Pool Thermal'!O124</x:f>
        <x:v>OPEN</x:v>
      </x:c>
      <x:c r="L124" s="13" t="n">
        <x:f>'Event Register'!T124</x:f>
        <x:v>0</x:v>
      </x:c>
      <x:c r="M124" s="13" t="str"/>
      <x:c r="N124" s="13" t="str">
        <x:f>IF(M124=1,IF(AND(H124="PASS",I124="PASS",J124="PASS",K124="PASS",L124="VALID"),"PASS","FAIL"),"OPEN")</x:f>
        <x:v>OPEN</x:v>
      </x:c>
      <x:c r="O124" s="13" t="str">
        <x:v>OPEN</x:v>
      </x:c>
    </x:row>
    <x:row r="125">
      <x:c r="B125" s="13" t="str">
        <x:v>RAS-TR-119</x:v>
      </x:c>
      <x:c r="C125" s="13" t="str">
        <x:v>RAS-E119</x:v>
      </x:c>
      <x:c r="D125" s="13" t="str">
        <x:v>AM-06</x:v>
      </x:c>
      <x:c r="E125" s="13" t="str">
        <x:v>TR-B</x:v>
      </x:c>
      <x:c r="F125" s="13" t="str">
        <x:v>RFP-A2</x:v>
      </x:c>
      <x:c r="G125" s="13" t="str">
        <x:v>QE-05</x:v>
      </x:c>
      <x:c r="H125" s="13" t="str">
        <x:f>'Source Ledger'!S125</x:f>
        <x:v>OPEN</x:v>
      </x:c>
      <x:c r="I125" s="13" t="str">
        <x:f>'Water Ledger'!R125</x:f>
        <x:v>OPEN</x:v>
      </x:c>
      <x:c r="J125" s="13" t="str">
        <x:f>'Ancestry Ledger'!N125</x:f>
        <x:v>OPEN</x:v>
      </x:c>
      <x:c r="K125" s="13" t="str">
        <x:f>'Pool Thermal'!O125</x:f>
        <x:v>OPEN</x:v>
      </x:c>
      <x:c r="L125" s="13" t="n">
        <x:f>'Event Register'!T125</x:f>
        <x:v>0</x:v>
      </x:c>
      <x:c r="M125" s="13" t="str"/>
      <x:c r="N125" s="13" t="str">
        <x:f>IF(M125=1,IF(AND(H125="PASS",I125="PASS",J125="PASS",K125="PASS",L125="VALID"),"PASS","FAIL"),"OPEN")</x:f>
        <x:v>OPEN</x:v>
      </x:c>
      <x:c r="O125" s="13" t="str">
        <x:v>OPEN</x:v>
      </x:c>
    </x:row>
    <x:row r="126">
      <x:c r="B126" s="13" t="str">
        <x:v>RAS-TR-120</x:v>
      </x:c>
      <x:c r="C126" s="13" t="str">
        <x:v>RAS-E120</x:v>
      </x:c>
      <x:c r="D126" s="13" t="str">
        <x:v>AM-06</x:v>
      </x:c>
      <x:c r="E126" s="13" t="str">
        <x:v>TR-B</x:v>
      </x:c>
      <x:c r="F126" s="13" t="str">
        <x:v>RFP-A2</x:v>
      </x:c>
      <x:c r="G126" s="13" t="str">
        <x:v>QE-06</x:v>
      </x:c>
      <x:c r="H126" s="13" t="str">
        <x:f>'Source Ledger'!S126</x:f>
        <x:v>OPEN</x:v>
      </x:c>
      <x:c r="I126" s="13" t="str">
        <x:f>'Water Ledger'!R126</x:f>
        <x:v>OPEN</x:v>
      </x:c>
      <x:c r="J126" s="13" t="str">
        <x:f>'Ancestry Ledger'!N126</x:f>
        <x:v>OPEN</x:v>
      </x:c>
      <x:c r="K126" s="13" t="str">
        <x:f>'Pool Thermal'!O126</x:f>
        <x:v>OPEN</x:v>
      </x:c>
      <x:c r="L126" s="13" t="n">
        <x:f>'Event Register'!T126</x:f>
        <x:v>0</x:v>
      </x:c>
      <x:c r="M126" s="13" t="str"/>
      <x:c r="N126" s="13" t="str">
        <x:f>IF(M126=1,IF(AND(H126="PASS",I126="PASS",J126="PASS",K126="PASS",L126="VALID"),"PASS","FAIL"),"OPEN")</x:f>
        <x:v>OPEN</x:v>
      </x:c>
      <x:c r="O126" s="13" t="str">
        <x:v>OPEN</x:v>
      </x:c>
    </x:row>
    <x:row r="127">
      <x:c r="B127" s="13" t="str">
        <x:v>RAS-TR-121</x:v>
      </x:c>
      <x:c r="C127" s="13" t="str">
        <x:v>RAS-E121</x:v>
      </x:c>
      <x:c r="D127" s="13" t="str">
        <x:v>AM-06</x:v>
      </x:c>
      <x:c r="E127" s="13" t="str">
        <x:v>TR-B</x:v>
      </x:c>
      <x:c r="F127" s="13" t="str">
        <x:v>RFP-B1</x:v>
      </x:c>
      <x:c r="G127" s="13" t="str">
        <x:v>QE-01</x:v>
      </x:c>
      <x:c r="H127" s="13" t="str">
        <x:f>'Source Ledger'!S127</x:f>
        <x:v>OPEN</x:v>
      </x:c>
      <x:c r="I127" s="13" t="str">
        <x:f>'Water Ledger'!R127</x:f>
        <x:v>OPEN</x:v>
      </x:c>
      <x:c r="J127" s="13" t="str">
        <x:f>'Ancestry Ledger'!N127</x:f>
        <x:v>OPEN</x:v>
      </x:c>
      <x:c r="K127" s="13" t="str">
        <x:f>'Pool Thermal'!O127</x:f>
        <x:v>OPEN</x:v>
      </x:c>
      <x:c r="L127" s="13" t="n">
        <x:f>'Event Register'!T127</x:f>
        <x:v>0</x:v>
      </x:c>
      <x:c r="M127" s="13" t="str"/>
      <x:c r="N127" s="13" t="str">
        <x:f>IF(M127=1,IF(AND(H127="PASS",I127="PASS",J127="PASS",K127="PASS",L127="VALID"),"PASS","FAIL"),"OPEN")</x:f>
        <x:v>OPEN</x:v>
      </x:c>
      <x:c r="O127" s="13" t="str">
        <x:v>OPEN</x:v>
      </x:c>
    </x:row>
    <x:row r="128">
      <x:c r="B128" s="13" t="str">
        <x:v>RAS-TR-122</x:v>
      </x:c>
      <x:c r="C128" s="13" t="str">
        <x:v>RAS-E122</x:v>
      </x:c>
      <x:c r="D128" s="13" t="str">
        <x:v>AM-06</x:v>
      </x:c>
      <x:c r="E128" s="13" t="str">
        <x:v>TR-B</x:v>
      </x:c>
      <x:c r="F128" s="13" t="str">
        <x:v>RFP-B1</x:v>
      </x:c>
      <x:c r="G128" s="13" t="str">
        <x:v>QE-02</x:v>
      </x:c>
      <x:c r="H128" s="13" t="str">
        <x:f>'Source Ledger'!S128</x:f>
        <x:v>OPEN</x:v>
      </x:c>
      <x:c r="I128" s="13" t="str">
        <x:f>'Water Ledger'!R128</x:f>
        <x:v>OPEN</x:v>
      </x:c>
      <x:c r="J128" s="13" t="str">
        <x:f>'Ancestry Ledger'!N128</x:f>
        <x:v>OPEN</x:v>
      </x:c>
      <x:c r="K128" s="13" t="str">
        <x:f>'Pool Thermal'!O128</x:f>
        <x:v>OPEN</x:v>
      </x:c>
      <x:c r="L128" s="13" t="n">
        <x:f>'Event Register'!T128</x:f>
        <x:v>0</x:v>
      </x:c>
      <x:c r="M128" s="13" t="str"/>
      <x:c r="N128" s="13" t="str">
        <x:f>IF(M128=1,IF(AND(H128="PASS",I128="PASS",J128="PASS",K128="PASS",L128="VALID"),"PASS","FAIL"),"OPEN")</x:f>
        <x:v>OPEN</x:v>
      </x:c>
      <x:c r="O128" s="13" t="str">
        <x:v>OPEN</x:v>
      </x:c>
    </x:row>
    <x:row r="129">
      <x:c r="B129" s="13" t="str">
        <x:v>RAS-TR-123</x:v>
      </x:c>
      <x:c r="C129" s="13" t="str">
        <x:v>RAS-E123</x:v>
      </x:c>
      <x:c r="D129" s="13" t="str">
        <x:v>AM-06</x:v>
      </x:c>
      <x:c r="E129" s="13" t="str">
        <x:v>TR-B</x:v>
      </x:c>
      <x:c r="F129" s="13" t="str">
        <x:v>RFP-B1</x:v>
      </x:c>
      <x:c r="G129" s="13" t="str">
        <x:v>QE-03</x:v>
      </x:c>
      <x:c r="H129" s="13" t="str">
        <x:f>'Source Ledger'!S129</x:f>
        <x:v>OPEN</x:v>
      </x:c>
      <x:c r="I129" s="13" t="str">
        <x:f>'Water Ledger'!R129</x:f>
        <x:v>OPEN</x:v>
      </x:c>
      <x:c r="J129" s="13" t="str">
        <x:f>'Ancestry Ledger'!N129</x:f>
        <x:v>OPEN</x:v>
      </x:c>
      <x:c r="K129" s="13" t="str">
        <x:f>'Pool Thermal'!O129</x:f>
        <x:v>OPEN</x:v>
      </x:c>
      <x:c r="L129" s="13" t="n">
        <x:f>'Event Register'!T129</x:f>
        <x:v>0</x:v>
      </x:c>
      <x:c r="M129" s="13" t="str"/>
      <x:c r="N129" s="13" t="str">
        <x:f>IF(M129=1,IF(AND(H129="PASS",I129="PASS",J129="PASS",K129="PASS",L129="VALID"),"PASS","FAIL"),"OPEN")</x:f>
        <x:v>OPEN</x:v>
      </x:c>
      <x:c r="O129" s="13" t="str">
        <x:v>OPEN</x:v>
      </x:c>
    </x:row>
    <x:row r="130">
      <x:c r="B130" s="13" t="str">
        <x:v>RAS-TR-124</x:v>
      </x:c>
      <x:c r="C130" s="13" t="str">
        <x:v>RAS-E124</x:v>
      </x:c>
      <x:c r="D130" s="13" t="str">
        <x:v>AM-06</x:v>
      </x:c>
      <x:c r="E130" s="13" t="str">
        <x:v>TR-B</x:v>
      </x:c>
      <x:c r="F130" s="13" t="str">
        <x:v>RFP-B1</x:v>
      </x:c>
      <x:c r="G130" s="13" t="str">
        <x:v>QE-04</x:v>
      </x:c>
      <x:c r="H130" s="13" t="str">
        <x:f>'Source Ledger'!S130</x:f>
        <x:v>OPEN</x:v>
      </x:c>
      <x:c r="I130" s="13" t="str">
        <x:f>'Water Ledger'!R130</x:f>
        <x:v>OPEN</x:v>
      </x:c>
      <x:c r="J130" s="13" t="str">
        <x:f>'Ancestry Ledger'!N130</x:f>
        <x:v>OPEN</x:v>
      </x:c>
      <x:c r="K130" s="13" t="str">
        <x:f>'Pool Thermal'!O130</x:f>
        <x:v>OPEN</x:v>
      </x:c>
      <x:c r="L130" s="13" t="n">
        <x:f>'Event Register'!T130</x:f>
        <x:v>0</x:v>
      </x:c>
      <x:c r="M130" s="13" t="str"/>
      <x:c r="N130" s="13" t="str">
        <x:f>IF(M130=1,IF(AND(H130="PASS",I130="PASS",J130="PASS",K130="PASS",L130="VALID"),"PASS","FAIL"),"OPEN")</x:f>
        <x:v>OPEN</x:v>
      </x:c>
      <x:c r="O130" s="13" t="str">
        <x:v>OPEN</x:v>
      </x:c>
    </x:row>
    <x:row r="131">
      <x:c r="B131" s="13" t="str">
        <x:v>RAS-TR-125</x:v>
      </x:c>
      <x:c r="C131" s="13" t="str">
        <x:v>RAS-E125</x:v>
      </x:c>
      <x:c r="D131" s="13" t="str">
        <x:v>AM-06</x:v>
      </x:c>
      <x:c r="E131" s="13" t="str">
        <x:v>TR-B</x:v>
      </x:c>
      <x:c r="F131" s="13" t="str">
        <x:v>RFP-B1</x:v>
      </x:c>
      <x:c r="G131" s="13" t="str">
        <x:v>QE-05</x:v>
      </x:c>
      <x:c r="H131" s="13" t="str">
        <x:f>'Source Ledger'!S131</x:f>
        <x:v>OPEN</x:v>
      </x:c>
      <x:c r="I131" s="13" t="str">
        <x:f>'Water Ledger'!R131</x:f>
        <x:v>OPEN</x:v>
      </x:c>
      <x:c r="J131" s="13" t="str">
        <x:f>'Ancestry Ledger'!N131</x:f>
        <x:v>OPEN</x:v>
      </x:c>
      <x:c r="K131" s="13" t="str">
        <x:f>'Pool Thermal'!O131</x:f>
        <x:v>OPEN</x:v>
      </x:c>
      <x:c r="L131" s="13" t="n">
        <x:f>'Event Register'!T131</x:f>
        <x:v>0</x:v>
      </x:c>
      <x:c r="M131" s="13" t="str"/>
      <x:c r="N131" s="13" t="str">
        <x:f>IF(M131=1,IF(AND(H131="PASS",I131="PASS",J131="PASS",K131="PASS",L131="VALID"),"PASS","FAIL"),"OPEN")</x:f>
        <x:v>OPEN</x:v>
      </x:c>
      <x:c r="O131" s="13" t="str">
        <x:v>OPEN</x:v>
      </x:c>
    </x:row>
    <x:row r="132">
      <x:c r="B132" s="13" t="str">
        <x:v>RAS-TR-126</x:v>
      </x:c>
      <x:c r="C132" s="13" t="str">
        <x:v>RAS-E126</x:v>
      </x:c>
      <x:c r="D132" s="13" t="str">
        <x:v>AM-06</x:v>
      </x:c>
      <x:c r="E132" s="13" t="str">
        <x:v>TR-B</x:v>
      </x:c>
      <x:c r="F132" s="13" t="str">
        <x:v>RFP-B1</x:v>
      </x:c>
      <x:c r="G132" s="13" t="str">
        <x:v>QE-06</x:v>
      </x:c>
      <x:c r="H132" s="13" t="str">
        <x:f>'Source Ledger'!S132</x:f>
        <x:v>OPEN</x:v>
      </x:c>
      <x:c r="I132" s="13" t="str">
        <x:f>'Water Ledger'!R132</x:f>
        <x:v>OPEN</x:v>
      </x:c>
      <x:c r="J132" s="13" t="str">
        <x:f>'Ancestry Ledger'!N132</x:f>
        <x:v>OPEN</x:v>
      </x:c>
      <x:c r="K132" s="13" t="str">
        <x:f>'Pool Thermal'!O132</x:f>
        <x:v>OPEN</x:v>
      </x:c>
      <x:c r="L132" s="13" t="n">
        <x:f>'Event Register'!T132</x:f>
        <x:v>0</x:v>
      </x:c>
      <x:c r="M132" s="13" t="str"/>
      <x:c r="N132" s="13" t="str">
        <x:f>IF(M132=1,IF(AND(H132="PASS",I132="PASS",J132="PASS",K132="PASS",L132="VALID"),"PASS","FAIL"),"OPEN")</x:f>
        <x:v>OPEN</x:v>
      </x:c>
      <x:c r="O132" s="13" t="str">
        <x:v>OPEN</x:v>
      </x:c>
    </x:row>
    <x:row r="133">
      <x:c r="B133" s="13" t="str">
        <x:v>RAS-TR-127</x:v>
      </x:c>
      <x:c r="C133" s="13" t="str">
        <x:v>RAS-E127</x:v>
      </x:c>
      <x:c r="D133" s="13" t="str">
        <x:v>AM-06</x:v>
      </x:c>
      <x:c r="E133" s="13" t="str">
        <x:v>TR-B</x:v>
      </x:c>
      <x:c r="F133" s="13" t="str">
        <x:v>RFP-B2</x:v>
      </x:c>
      <x:c r="G133" s="13" t="str">
        <x:v>QE-01</x:v>
      </x:c>
      <x:c r="H133" s="13" t="str">
        <x:f>'Source Ledger'!S133</x:f>
        <x:v>OPEN</x:v>
      </x:c>
      <x:c r="I133" s="13" t="str">
        <x:f>'Water Ledger'!R133</x:f>
        <x:v>OPEN</x:v>
      </x:c>
      <x:c r="J133" s="13" t="str">
        <x:f>'Ancestry Ledger'!N133</x:f>
        <x:v>OPEN</x:v>
      </x:c>
      <x:c r="K133" s="13" t="str">
        <x:f>'Pool Thermal'!O133</x:f>
        <x:v>OPEN</x:v>
      </x:c>
      <x:c r="L133" s="13" t="n">
        <x:f>'Event Register'!T133</x:f>
        <x:v>0</x:v>
      </x:c>
      <x:c r="M133" s="13" t="str"/>
      <x:c r="N133" s="13" t="str">
        <x:f>IF(M133=1,IF(AND(H133="PASS",I133="PASS",J133="PASS",K133="PASS",L133="VALID"),"PASS","FAIL"),"OPEN")</x:f>
        <x:v>OPEN</x:v>
      </x:c>
      <x:c r="O133" s="13" t="str">
        <x:v>OPEN</x:v>
      </x:c>
    </x:row>
    <x:row r="134">
      <x:c r="B134" s="13" t="str">
        <x:v>RAS-TR-128</x:v>
      </x:c>
      <x:c r="C134" s="13" t="str">
        <x:v>RAS-E128</x:v>
      </x:c>
      <x:c r="D134" s="13" t="str">
        <x:v>AM-06</x:v>
      </x:c>
      <x:c r="E134" s="13" t="str">
        <x:v>TR-B</x:v>
      </x:c>
      <x:c r="F134" s="13" t="str">
        <x:v>RFP-B2</x:v>
      </x:c>
      <x:c r="G134" s="13" t="str">
        <x:v>QE-02</x:v>
      </x:c>
      <x:c r="H134" s="13" t="str">
        <x:f>'Source Ledger'!S134</x:f>
        <x:v>OPEN</x:v>
      </x:c>
      <x:c r="I134" s="13" t="str">
        <x:f>'Water Ledger'!R134</x:f>
        <x:v>OPEN</x:v>
      </x:c>
      <x:c r="J134" s="13" t="str">
        <x:f>'Ancestry Ledger'!N134</x:f>
        <x:v>OPEN</x:v>
      </x:c>
      <x:c r="K134" s="13" t="str">
        <x:f>'Pool Thermal'!O134</x:f>
        <x:v>OPEN</x:v>
      </x:c>
      <x:c r="L134" s="13" t="n">
        <x:f>'Event Register'!T134</x:f>
        <x:v>0</x:v>
      </x:c>
      <x:c r="M134" s="13" t="str"/>
      <x:c r="N134" s="13" t="str">
        <x:f>IF(M134=1,IF(AND(H134="PASS",I134="PASS",J134="PASS",K134="PASS",L134="VALID"),"PASS","FAIL"),"OPEN")</x:f>
        <x:v>OPEN</x:v>
      </x:c>
      <x:c r="O134" s="13" t="str">
        <x:v>OPEN</x:v>
      </x:c>
    </x:row>
    <x:row r="135">
      <x:c r="B135" s="13" t="str">
        <x:v>RAS-TR-129</x:v>
      </x:c>
      <x:c r="C135" s="13" t="str">
        <x:v>RAS-E129</x:v>
      </x:c>
      <x:c r="D135" s="13" t="str">
        <x:v>AM-06</x:v>
      </x:c>
      <x:c r="E135" s="13" t="str">
        <x:v>TR-B</x:v>
      </x:c>
      <x:c r="F135" s="13" t="str">
        <x:v>RFP-B2</x:v>
      </x:c>
      <x:c r="G135" s="13" t="str">
        <x:v>QE-03</x:v>
      </x:c>
      <x:c r="H135" s="13" t="str">
        <x:f>'Source Ledger'!S135</x:f>
        <x:v>OPEN</x:v>
      </x:c>
      <x:c r="I135" s="13" t="str">
        <x:f>'Water Ledger'!R135</x:f>
        <x:v>OPEN</x:v>
      </x:c>
      <x:c r="J135" s="13" t="str">
        <x:f>'Ancestry Ledger'!N135</x:f>
        <x:v>OPEN</x:v>
      </x:c>
      <x:c r="K135" s="13" t="str">
        <x:f>'Pool Thermal'!O135</x:f>
        <x:v>OPEN</x:v>
      </x:c>
      <x:c r="L135" s="13" t="n">
        <x:f>'Event Register'!T135</x:f>
        <x:v>0</x:v>
      </x:c>
      <x:c r="M135" s="13" t="str"/>
      <x:c r="N135" s="13" t="str">
        <x:f>IF(M135=1,IF(AND(H135="PASS",I135="PASS",J135="PASS",K135="PASS",L135="VALID"),"PASS","FAIL"),"OPEN")</x:f>
        <x:v>OPEN</x:v>
      </x:c>
      <x:c r="O135" s="13" t="str">
        <x:v>OPEN</x:v>
      </x:c>
    </x:row>
    <x:row r="136">
      <x:c r="B136" s="13" t="str">
        <x:v>RAS-TR-130</x:v>
      </x:c>
      <x:c r="C136" s="13" t="str">
        <x:v>RAS-E130</x:v>
      </x:c>
      <x:c r="D136" s="13" t="str">
        <x:v>AM-06</x:v>
      </x:c>
      <x:c r="E136" s="13" t="str">
        <x:v>TR-B</x:v>
      </x:c>
      <x:c r="F136" s="13" t="str">
        <x:v>RFP-B2</x:v>
      </x:c>
      <x:c r="G136" s="13" t="str">
        <x:v>QE-04</x:v>
      </x:c>
      <x:c r="H136" s="13" t="str">
        <x:f>'Source Ledger'!S136</x:f>
        <x:v>OPEN</x:v>
      </x:c>
      <x:c r="I136" s="13" t="str">
        <x:f>'Water Ledger'!R136</x:f>
        <x:v>OPEN</x:v>
      </x:c>
      <x:c r="J136" s="13" t="str">
        <x:f>'Ancestry Ledger'!N136</x:f>
        <x:v>OPEN</x:v>
      </x:c>
      <x:c r="K136" s="13" t="str">
        <x:f>'Pool Thermal'!O136</x:f>
        <x:v>OPEN</x:v>
      </x:c>
      <x:c r="L136" s="13" t="n">
        <x:f>'Event Register'!T136</x:f>
        <x:v>0</x:v>
      </x:c>
      <x:c r="M136" s="13" t="str"/>
      <x:c r="N136" s="13" t="str">
        <x:f>IF(M136=1,IF(AND(H136="PASS",I136="PASS",J136="PASS",K136="PASS",L136="VALID"),"PASS","FAIL"),"OPEN")</x:f>
        <x:v>OPEN</x:v>
      </x:c>
      <x:c r="O136" s="13" t="str">
        <x:v>OPEN</x:v>
      </x:c>
    </x:row>
    <x:row r="137">
      <x:c r="B137" s="13" t="str">
        <x:v>RAS-TR-131</x:v>
      </x:c>
      <x:c r="C137" s="13" t="str">
        <x:v>RAS-E131</x:v>
      </x:c>
      <x:c r="D137" s="13" t="str">
        <x:v>AM-06</x:v>
      </x:c>
      <x:c r="E137" s="13" t="str">
        <x:v>TR-B</x:v>
      </x:c>
      <x:c r="F137" s="13" t="str">
        <x:v>RFP-B2</x:v>
      </x:c>
      <x:c r="G137" s="13" t="str">
        <x:v>QE-05</x:v>
      </x:c>
      <x:c r="H137" s="13" t="str">
        <x:f>'Source Ledger'!S137</x:f>
        <x:v>OPEN</x:v>
      </x:c>
      <x:c r="I137" s="13" t="str">
        <x:f>'Water Ledger'!R137</x:f>
        <x:v>OPEN</x:v>
      </x:c>
      <x:c r="J137" s="13" t="str">
        <x:f>'Ancestry Ledger'!N137</x:f>
        <x:v>OPEN</x:v>
      </x:c>
      <x:c r="K137" s="13" t="str">
        <x:f>'Pool Thermal'!O137</x:f>
        <x:v>OPEN</x:v>
      </x:c>
      <x:c r="L137" s="13" t="n">
        <x:f>'Event Register'!T137</x:f>
        <x:v>0</x:v>
      </x:c>
      <x:c r="M137" s="13" t="str"/>
      <x:c r="N137" s="13" t="str">
        <x:f>IF(M137=1,IF(AND(H137="PASS",I137="PASS",J137="PASS",K137="PASS",L137="VALID"),"PASS","FAIL"),"OPEN")</x:f>
        <x:v>OPEN</x:v>
      </x:c>
      <x:c r="O137" s="13" t="str">
        <x:v>OPEN</x:v>
      </x:c>
    </x:row>
    <x:row r="138">
      <x:c r="B138" s="13" t="str">
        <x:v>RAS-TR-132</x:v>
      </x:c>
      <x:c r="C138" s="13" t="str">
        <x:v>RAS-E132</x:v>
      </x:c>
      <x:c r="D138" s="13" t="str">
        <x:v>AM-06</x:v>
      </x:c>
      <x:c r="E138" s="13" t="str">
        <x:v>TR-B</x:v>
      </x:c>
      <x:c r="F138" s="13" t="str">
        <x:v>RFP-B2</x:v>
      </x:c>
      <x:c r="G138" s="13" t="str">
        <x:v>QE-06</x:v>
      </x:c>
      <x:c r="H138" s="13" t="str">
        <x:f>'Source Ledger'!S138</x:f>
        <x:v>OPEN</x:v>
      </x:c>
      <x:c r="I138" s="13" t="str">
        <x:f>'Water Ledger'!R138</x:f>
        <x:v>OPEN</x:v>
      </x:c>
      <x:c r="J138" s="13" t="str">
        <x:f>'Ancestry Ledger'!N138</x:f>
        <x:v>OPEN</x:v>
      </x:c>
      <x:c r="K138" s="13" t="str">
        <x:f>'Pool Thermal'!O138</x:f>
        <x:v>OPEN</x:v>
      </x:c>
      <x:c r="L138" s="13" t="n">
        <x:f>'Event Register'!T138</x:f>
        <x:v>0</x:v>
      </x:c>
      <x:c r="M138" s="13" t="str"/>
      <x:c r="N138" s="13" t="str">
        <x:f>IF(M138=1,IF(AND(H138="PASS",I138="PASS",J138="PASS",K138="PASS",L138="VALID"),"PASS","FAIL"),"OPEN")</x:f>
        <x:v>OPEN</x:v>
      </x:c>
      <x:c r="O138" s="13" t="str">
        <x:v>OPEN</x:v>
      </x:c>
    </x:row>
    <x:row r="139">
      <x:c r="B139" s="13" t="str">
        <x:v>RAS-TR-133</x:v>
      </x:c>
      <x:c r="C139" s="13" t="str">
        <x:v>RAS-E133</x:v>
      </x:c>
      <x:c r="D139" s="13" t="str">
        <x:v>AM-06</x:v>
      </x:c>
      <x:c r="E139" s="13" t="str">
        <x:v>TR-B</x:v>
      </x:c>
      <x:c r="F139" s="13" t="str">
        <x:v>RFP-C1</x:v>
      </x:c>
      <x:c r="G139" s="13" t="str">
        <x:v>QE-01</x:v>
      </x:c>
      <x:c r="H139" s="13" t="str">
        <x:f>'Source Ledger'!S139</x:f>
        <x:v>OPEN</x:v>
      </x:c>
      <x:c r="I139" s="13" t="str">
        <x:f>'Water Ledger'!R139</x:f>
        <x:v>OPEN</x:v>
      </x:c>
      <x:c r="J139" s="13" t="str">
        <x:f>'Ancestry Ledger'!N139</x:f>
        <x:v>OPEN</x:v>
      </x:c>
      <x:c r="K139" s="13" t="str">
        <x:f>'Pool Thermal'!O139</x:f>
        <x:v>OPEN</x:v>
      </x:c>
      <x:c r="L139" s="13" t="n">
        <x:f>'Event Register'!T139</x:f>
        <x:v>0</x:v>
      </x:c>
      <x:c r="M139" s="13" t="str"/>
      <x:c r="N139" s="13" t="str">
        <x:f>IF(M139=1,IF(AND(H139="PASS",I139="PASS",J139="PASS",K139="PASS",L139="VALID"),"PASS","FAIL"),"OPEN")</x:f>
        <x:v>OPEN</x:v>
      </x:c>
      <x:c r="O139" s="13" t="str">
        <x:v>OPEN</x:v>
      </x:c>
    </x:row>
    <x:row r="140">
      <x:c r="B140" s="13" t="str">
        <x:v>RAS-TR-134</x:v>
      </x:c>
      <x:c r="C140" s="13" t="str">
        <x:v>RAS-E134</x:v>
      </x:c>
      <x:c r="D140" s="13" t="str">
        <x:v>AM-06</x:v>
      </x:c>
      <x:c r="E140" s="13" t="str">
        <x:v>TR-B</x:v>
      </x:c>
      <x:c r="F140" s="13" t="str">
        <x:v>RFP-C1</x:v>
      </x:c>
      <x:c r="G140" s="13" t="str">
        <x:v>QE-02</x:v>
      </x:c>
      <x:c r="H140" s="13" t="str">
        <x:f>'Source Ledger'!S140</x:f>
        <x:v>OPEN</x:v>
      </x:c>
      <x:c r="I140" s="13" t="str">
        <x:f>'Water Ledger'!R140</x:f>
        <x:v>OPEN</x:v>
      </x:c>
      <x:c r="J140" s="13" t="str">
        <x:f>'Ancestry Ledger'!N140</x:f>
        <x:v>OPEN</x:v>
      </x:c>
      <x:c r="K140" s="13" t="str">
        <x:f>'Pool Thermal'!O140</x:f>
        <x:v>OPEN</x:v>
      </x:c>
      <x:c r="L140" s="13" t="n">
        <x:f>'Event Register'!T140</x:f>
        <x:v>0</x:v>
      </x:c>
      <x:c r="M140" s="13" t="str"/>
      <x:c r="N140" s="13" t="str">
        <x:f>IF(M140=1,IF(AND(H140="PASS",I140="PASS",J140="PASS",K140="PASS",L140="VALID"),"PASS","FAIL"),"OPEN")</x:f>
        <x:v>OPEN</x:v>
      </x:c>
      <x:c r="O140" s="13" t="str">
        <x:v>OPEN</x:v>
      </x:c>
    </x:row>
    <x:row r="141">
      <x:c r="B141" s="13" t="str">
        <x:v>RAS-TR-135</x:v>
      </x:c>
      <x:c r="C141" s="13" t="str">
        <x:v>RAS-E135</x:v>
      </x:c>
      <x:c r="D141" s="13" t="str">
        <x:v>AM-06</x:v>
      </x:c>
      <x:c r="E141" s="13" t="str">
        <x:v>TR-B</x:v>
      </x:c>
      <x:c r="F141" s="13" t="str">
        <x:v>RFP-C1</x:v>
      </x:c>
      <x:c r="G141" s="13" t="str">
        <x:v>QE-03</x:v>
      </x:c>
      <x:c r="H141" s="13" t="str">
        <x:f>'Source Ledger'!S141</x:f>
        <x:v>OPEN</x:v>
      </x:c>
      <x:c r="I141" s="13" t="str">
        <x:f>'Water Ledger'!R141</x:f>
        <x:v>OPEN</x:v>
      </x:c>
      <x:c r="J141" s="13" t="str">
        <x:f>'Ancestry Ledger'!N141</x:f>
        <x:v>OPEN</x:v>
      </x:c>
      <x:c r="K141" s="13" t="str">
        <x:f>'Pool Thermal'!O141</x:f>
        <x:v>OPEN</x:v>
      </x:c>
      <x:c r="L141" s="13" t="n">
        <x:f>'Event Register'!T141</x:f>
        <x:v>0</x:v>
      </x:c>
      <x:c r="M141" s="13" t="str"/>
      <x:c r="N141" s="13" t="str">
        <x:f>IF(M141=1,IF(AND(H141="PASS",I141="PASS",J141="PASS",K141="PASS",L141="VALID"),"PASS","FAIL"),"OPEN")</x:f>
        <x:v>OPEN</x:v>
      </x:c>
      <x:c r="O141" s="13" t="str">
        <x:v>OPEN</x:v>
      </x:c>
    </x:row>
    <x:row r="142">
      <x:c r="B142" s="13" t="str">
        <x:v>RAS-TR-136</x:v>
      </x:c>
      <x:c r="C142" s="13" t="str">
        <x:v>RAS-E136</x:v>
      </x:c>
      <x:c r="D142" s="13" t="str">
        <x:v>AM-06</x:v>
      </x:c>
      <x:c r="E142" s="13" t="str">
        <x:v>TR-B</x:v>
      </x:c>
      <x:c r="F142" s="13" t="str">
        <x:v>RFP-C1</x:v>
      </x:c>
      <x:c r="G142" s="13" t="str">
        <x:v>QE-04</x:v>
      </x:c>
      <x:c r="H142" s="13" t="str">
        <x:f>'Source Ledger'!S142</x:f>
        <x:v>OPEN</x:v>
      </x:c>
      <x:c r="I142" s="13" t="str">
        <x:f>'Water Ledger'!R142</x:f>
        <x:v>OPEN</x:v>
      </x:c>
      <x:c r="J142" s="13" t="str">
        <x:f>'Ancestry Ledger'!N142</x:f>
        <x:v>OPEN</x:v>
      </x:c>
      <x:c r="K142" s="13" t="str">
        <x:f>'Pool Thermal'!O142</x:f>
        <x:v>OPEN</x:v>
      </x:c>
      <x:c r="L142" s="13" t="n">
        <x:f>'Event Register'!T142</x:f>
        <x:v>0</x:v>
      </x:c>
      <x:c r="M142" s="13" t="str"/>
      <x:c r="N142" s="13" t="str">
        <x:f>IF(M142=1,IF(AND(H142="PASS",I142="PASS",J142="PASS",K142="PASS",L142="VALID"),"PASS","FAIL"),"OPEN")</x:f>
        <x:v>OPEN</x:v>
      </x:c>
      <x:c r="O142" s="13" t="str">
        <x:v>OPEN</x:v>
      </x:c>
    </x:row>
    <x:row r="143">
      <x:c r="B143" s="13" t="str">
        <x:v>RAS-TR-137</x:v>
      </x:c>
      <x:c r="C143" s="13" t="str">
        <x:v>RAS-E137</x:v>
      </x:c>
      <x:c r="D143" s="13" t="str">
        <x:v>AM-06</x:v>
      </x:c>
      <x:c r="E143" s="13" t="str">
        <x:v>TR-B</x:v>
      </x:c>
      <x:c r="F143" s="13" t="str">
        <x:v>RFP-C1</x:v>
      </x:c>
      <x:c r="G143" s="13" t="str">
        <x:v>QE-05</x:v>
      </x:c>
      <x:c r="H143" s="13" t="str">
        <x:f>'Source Ledger'!S143</x:f>
        <x:v>OPEN</x:v>
      </x:c>
      <x:c r="I143" s="13" t="str">
        <x:f>'Water Ledger'!R143</x:f>
        <x:v>OPEN</x:v>
      </x:c>
      <x:c r="J143" s="13" t="str">
        <x:f>'Ancestry Ledger'!N143</x:f>
        <x:v>OPEN</x:v>
      </x:c>
      <x:c r="K143" s="13" t="str">
        <x:f>'Pool Thermal'!O143</x:f>
        <x:v>OPEN</x:v>
      </x:c>
      <x:c r="L143" s="13" t="n">
        <x:f>'Event Register'!T143</x:f>
        <x:v>0</x:v>
      </x:c>
      <x:c r="M143" s="13" t="str"/>
      <x:c r="N143" s="13" t="str">
        <x:f>IF(M143=1,IF(AND(H143="PASS",I143="PASS",J143="PASS",K143="PASS",L143="VALID"),"PASS","FAIL"),"OPEN")</x:f>
        <x:v>OPEN</x:v>
      </x:c>
      <x:c r="O143" s="13" t="str">
        <x:v>OPEN</x:v>
      </x:c>
    </x:row>
    <x:row r="144">
      <x:c r="B144" s="13" t="str">
        <x:v>RAS-TR-138</x:v>
      </x:c>
      <x:c r="C144" s="13" t="str">
        <x:v>RAS-E138</x:v>
      </x:c>
      <x:c r="D144" s="13" t="str">
        <x:v>AM-06</x:v>
      </x:c>
      <x:c r="E144" s="13" t="str">
        <x:v>TR-B</x:v>
      </x:c>
      <x:c r="F144" s="13" t="str">
        <x:v>RFP-C1</x:v>
      </x:c>
      <x:c r="G144" s="13" t="str">
        <x:v>QE-06</x:v>
      </x:c>
      <x:c r="H144" s="13" t="str">
        <x:f>'Source Ledger'!S144</x:f>
        <x:v>OPEN</x:v>
      </x:c>
      <x:c r="I144" s="13" t="str">
        <x:f>'Water Ledger'!R144</x:f>
        <x:v>OPEN</x:v>
      </x:c>
      <x:c r="J144" s="13" t="str">
        <x:f>'Ancestry Ledger'!N144</x:f>
        <x:v>OPEN</x:v>
      </x:c>
      <x:c r="K144" s="13" t="str">
        <x:f>'Pool Thermal'!O144</x:f>
        <x:v>OPEN</x:v>
      </x:c>
      <x:c r="L144" s="13" t="n">
        <x:f>'Event Register'!T144</x:f>
        <x:v>0</x:v>
      </x:c>
      <x:c r="M144" s="13" t="str"/>
      <x:c r="N144" s="13" t="str">
        <x:f>IF(M144=1,IF(AND(H144="PASS",I144="PASS",J144="PASS",K144="PASS",L144="VALID"),"PASS","FAIL"),"OPEN")</x:f>
        <x:v>OPEN</x:v>
      </x:c>
      <x:c r="O144" s="13" t="str">
        <x:v>OPEN</x:v>
      </x:c>
    </x:row>
    <x:row r="145">
      <x:c r="B145" s="13" t="str">
        <x:v>RAS-TR-139</x:v>
      </x:c>
      <x:c r="C145" s="13" t="str">
        <x:v>RAS-E139</x:v>
      </x:c>
      <x:c r="D145" s="13" t="str">
        <x:v>AM-06</x:v>
      </x:c>
      <x:c r="E145" s="13" t="str">
        <x:v>TR-B</x:v>
      </x:c>
      <x:c r="F145" s="13" t="str">
        <x:v>RFP-C2</x:v>
      </x:c>
      <x:c r="G145" s="13" t="str">
        <x:v>QE-01</x:v>
      </x:c>
      <x:c r="H145" s="13" t="str">
        <x:f>'Source Ledger'!S145</x:f>
        <x:v>OPEN</x:v>
      </x:c>
      <x:c r="I145" s="13" t="str">
        <x:f>'Water Ledger'!R145</x:f>
        <x:v>OPEN</x:v>
      </x:c>
      <x:c r="J145" s="13" t="str">
        <x:f>'Ancestry Ledger'!N145</x:f>
        <x:v>OPEN</x:v>
      </x:c>
      <x:c r="K145" s="13" t="str">
        <x:f>'Pool Thermal'!O145</x:f>
        <x:v>OPEN</x:v>
      </x:c>
      <x:c r="L145" s="13" t="n">
        <x:f>'Event Register'!T145</x:f>
        <x:v>0</x:v>
      </x:c>
      <x:c r="M145" s="13" t="str"/>
      <x:c r="N145" s="13" t="str">
        <x:f>IF(M145=1,IF(AND(H145="PASS",I145="PASS",J145="PASS",K145="PASS",L145="VALID"),"PASS","FAIL"),"OPEN")</x:f>
        <x:v>OPEN</x:v>
      </x:c>
      <x:c r="O145" s="13" t="str">
        <x:v>OPEN</x:v>
      </x:c>
    </x:row>
    <x:row r="146">
      <x:c r="B146" s="13" t="str">
        <x:v>RAS-TR-140</x:v>
      </x:c>
      <x:c r="C146" s="13" t="str">
        <x:v>RAS-E140</x:v>
      </x:c>
      <x:c r="D146" s="13" t="str">
        <x:v>AM-06</x:v>
      </x:c>
      <x:c r="E146" s="13" t="str">
        <x:v>TR-B</x:v>
      </x:c>
      <x:c r="F146" s="13" t="str">
        <x:v>RFP-C2</x:v>
      </x:c>
      <x:c r="G146" s="13" t="str">
        <x:v>QE-02</x:v>
      </x:c>
      <x:c r="H146" s="13" t="str">
        <x:f>'Source Ledger'!S146</x:f>
        <x:v>OPEN</x:v>
      </x:c>
      <x:c r="I146" s="13" t="str">
        <x:f>'Water Ledger'!R146</x:f>
        <x:v>OPEN</x:v>
      </x:c>
      <x:c r="J146" s="13" t="str">
        <x:f>'Ancestry Ledger'!N146</x:f>
        <x:v>OPEN</x:v>
      </x:c>
      <x:c r="K146" s="13" t="str">
        <x:f>'Pool Thermal'!O146</x:f>
        <x:v>OPEN</x:v>
      </x:c>
      <x:c r="L146" s="13" t="n">
        <x:f>'Event Register'!T146</x:f>
        <x:v>0</x:v>
      </x:c>
      <x:c r="M146" s="13" t="str"/>
      <x:c r="N146" s="13" t="str">
        <x:f>IF(M146=1,IF(AND(H146="PASS",I146="PASS",J146="PASS",K146="PASS",L146="VALID"),"PASS","FAIL"),"OPEN")</x:f>
        <x:v>OPEN</x:v>
      </x:c>
      <x:c r="O146" s="13" t="str">
        <x:v>OPEN</x:v>
      </x:c>
    </x:row>
    <x:row r="147">
      <x:c r="B147" s="13" t="str">
        <x:v>RAS-TR-141</x:v>
      </x:c>
      <x:c r="C147" s="13" t="str">
        <x:v>RAS-E141</x:v>
      </x:c>
      <x:c r="D147" s="13" t="str">
        <x:v>AM-06</x:v>
      </x:c>
      <x:c r="E147" s="13" t="str">
        <x:v>TR-B</x:v>
      </x:c>
      <x:c r="F147" s="13" t="str">
        <x:v>RFP-C2</x:v>
      </x:c>
      <x:c r="G147" s="13" t="str">
        <x:v>QE-03</x:v>
      </x:c>
      <x:c r="H147" s="13" t="str">
        <x:f>'Source Ledger'!S147</x:f>
        <x:v>OPEN</x:v>
      </x:c>
      <x:c r="I147" s="13" t="str">
        <x:f>'Water Ledger'!R147</x:f>
        <x:v>OPEN</x:v>
      </x:c>
      <x:c r="J147" s="13" t="str">
        <x:f>'Ancestry Ledger'!N147</x:f>
        <x:v>OPEN</x:v>
      </x:c>
      <x:c r="K147" s="13" t="str">
        <x:f>'Pool Thermal'!O147</x:f>
        <x:v>OPEN</x:v>
      </x:c>
      <x:c r="L147" s="13" t="n">
        <x:f>'Event Register'!T147</x:f>
        <x:v>0</x:v>
      </x:c>
      <x:c r="M147" s="13" t="str"/>
      <x:c r="N147" s="13" t="str">
        <x:f>IF(M147=1,IF(AND(H147="PASS",I147="PASS",J147="PASS",K147="PASS",L147="VALID"),"PASS","FAIL"),"OPEN")</x:f>
        <x:v>OPEN</x:v>
      </x:c>
      <x:c r="O147" s="13" t="str">
        <x:v>OPEN</x:v>
      </x:c>
    </x:row>
    <x:row r="148">
      <x:c r="B148" s="13" t="str">
        <x:v>RAS-TR-142</x:v>
      </x:c>
      <x:c r="C148" s="13" t="str">
        <x:v>RAS-E142</x:v>
      </x:c>
      <x:c r="D148" s="13" t="str">
        <x:v>AM-06</x:v>
      </x:c>
      <x:c r="E148" s="13" t="str">
        <x:v>TR-B</x:v>
      </x:c>
      <x:c r="F148" s="13" t="str">
        <x:v>RFP-C2</x:v>
      </x:c>
      <x:c r="G148" s="13" t="str">
        <x:v>QE-04</x:v>
      </x:c>
      <x:c r="H148" s="13" t="str">
        <x:f>'Source Ledger'!S148</x:f>
        <x:v>OPEN</x:v>
      </x:c>
      <x:c r="I148" s="13" t="str">
        <x:f>'Water Ledger'!R148</x:f>
        <x:v>OPEN</x:v>
      </x:c>
      <x:c r="J148" s="13" t="str">
        <x:f>'Ancestry Ledger'!N148</x:f>
        <x:v>OPEN</x:v>
      </x:c>
      <x:c r="K148" s="13" t="str">
        <x:f>'Pool Thermal'!O148</x:f>
        <x:v>OPEN</x:v>
      </x:c>
      <x:c r="L148" s="13" t="n">
        <x:f>'Event Register'!T148</x:f>
        <x:v>0</x:v>
      </x:c>
      <x:c r="M148" s="13" t="str"/>
      <x:c r="N148" s="13" t="str">
        <x:f>IF(M148=1,IF(AND(H148="PASS",I148="PASS",J148="PASS",K148="PASS",L148="VALID"),"PASS","FAIL"),"OPEN")</x:f>
        <x:v>OPEN</x:v>
      </x:c>
      <x:c r="O148" s="13" t="str">
        <x:v>OPEN</x:v>
      </x:c>
    </x:row>
    <x:row r="149">
      <x:c r="B149" s="13" t="str">
        <x:v>RAS-TR-143</x:v>
      </x:c>
      <x:c r="C149" s="13" t="str">
        <x:v>RAS-E143</x:v>
      </x:c>
      <x:c r="D149" s="13" t="str">
        <x:v>AM-06</x:v>
      </x:c>
      <x:c r="E149" s="13" t="str">
        <x:v>TR-B</x:v>
      </x:c>
      <x:c r="F149" s="13" t="str">
        <x:v>RFP-C2</x:v>
      </x:c>
      <x:c r="G149" s="13" t="str">
        <x:v>QE-05</x:v>
      </x:c>
      <x:c r="H149" s="13" t="str">
        <x:f>'Source Ledger'!S149</x:f>
        <x:v>OPEN</x:v>
      </x:c>
      <x:c r="I149" s="13" t="str">
        <x:f>'Water Ledger'!R149</x:f>
        <x:v>OPEN</x:v>
      </x:c>
      <x:c r="J149" s="13" t="str">
        <x:f>'Ancestry Ledger'!N149</x:f>
        <x:v>OPEN</x:v>
      </x:c>
      <x:c r="K149" s="13" t="str">
        <x:f>'Pool Thermal'!O149</x:f>
        <x:v>OPEN</x:v>
      </x:c>
      <x:c r="L149" s="13" t="n">
        <x:f>'Event Register'!T149</x:f>
        <x:v>0</x:v>
      </x:c>
      <x:c r="M149" s="13" t="str"/>
      <x:c r="N149" s="13" t="str">
        <x:f>IF(M149=1,IF(AND(H149="PASS",I149="PASS",J149="PASS",K149="PASS",L149="VALID"),"PASS","FAIL"),"OPEN")</x:f>
        <x:v>OPEN</x:v>
      </x:c>
      <x:c r="O149" s="13" t="str">
        <x:v>OPEN</x:v>
      </x:c>
    </x:row>
    <x:row r="150">
      <x:c r="B150" s="13" t="str">
        <x:v>RAS-TR-144</x:v>
      </x:c>
      <x:c r="C150" s="13" t="str">
        <x:v>RAS-E144</x:v>
      </x:c>
      <x:c r="D150" s="13" t="str">
        <x:v>AM-06</x:v>
      </x:c>
      <x:c r="E150" s="13" t="str">
        <x:v>TR-B</x:v>
      </x:c>
      <x:c r="F150" s="13" t="str">
        <x:v>RFP-C2</x:v>
      </x:c>
      <x:c r="G150" s="13" t="str">
        <x:v>QE-06</x:v>
      </x:c>
      <x:c r="H150" s="13" t="str">
        <x:f>'Source Ledger'!S150</x:f>
        <x:v>OPEN</x:v>
      </x:c>
      <x:c r="I150" s="13" t="str">
        <x:f>'Water Ledger'!R150</x:f>
        <x:v>OPEN</x:v>
      </x:c>
      <x:c r="J150" s="13" t="str">
        <x:f>'Ancestry Ledger'!N150</x:f>
        <x:v>OPEN</x:v>
      </x:c>
      <x:c r="K150" s="13" t="str">
        <x:f>'Pool Thermal'!O150</x:f>
        <x:v>OPEN</x:v>
      </x:c>
      <x:c r="L150" s="13" t="n">
        <x:f>'Event Register'!T150</x:f>
        <x:v>0</x:v>
      </x:c>
      <x:c r="M150" s="13" t="str"/>
      <x:c r="N150" s="13" t="str">
        <x:f>IF(M150=1,IF(AND(H150="PASS",I150="PASS",J150="PASS",K150="PASS",L150="VALID"),"PASS","FAIL"),"OPEN")</x:f>
        <x:v>OPEN</x:v>
      </x:c>
      <x:c r="O150" s="13" t="str">
        <x:v>OPEN</x:v>
      </x:c>
    </x:row>
  </x:sheetData>
  <x:conditionalFormatting sqref="N7:N150">
    <x:cfRule type="containsText" dxfId="160" priority="1" operator="containsText" text="FAIL"/>
    <x:cfRule type="containsText" dxfId="161" priority="2" operator="containsText" text="INVALID"/>
    <x:cfRule type="containsText" dxfId="162" priority="3" operator="containsText" text="BLOCKED"/>
    <x:cfRule type="containsText" dxfId="163" priority="4" operator="containsText" text="OPEN"/>
    <x:cfRule type="containsText" dxfId="164" priority="5" operator="containsText" text="GAP"/>
    <x:cfRule type="containsText" dxfId="165" priority="6" operator="containsText" text="DORMANT"/>
    <x:cfRule type="containsText" dxfId="166" priority="7" operator="containsText" text="PASS"/>
    <x:cfRule type="containsText" dxfId="167" priority="8" operator="containsText" text="VALID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9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24" hidden="0" customWidth="1"/>
    <x:col min="8" max="8" width="24" hidden="0" customWidth="1"/>
    <x:col min="9" max="9" width="19" hidden="0" customWidth="1"/>
    <x:col min="10" max="10" width="17" hidden="0" customWidth="1"/>
    <x:col min="11" max="11" width="15" hidden="0" customWidth="1"/>
    <x:col min="12" max="12" width="14" hidden="0" customWidth="1"/>
    <x:col min="1" max="1" width="3" hidden="0" customWidth="1"/>
  </x:cols>
  <x:sheetData>
    <x:row r="2">
      <x:c r="B2" s="12" t="str">
        <x:v>Twelve within-rig unlike-root agreements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B3" s="2" t="str">
        <x:v>Both roots must independently pass all six classes before their normalized gap is judged.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24" customHeight="1">
      <x:c r="B6" s="6" t="str">
        <x:v>Cell</x:v>
      </x:c>
      <x:c r="C6" s="6" t="str">
        <x:v>Method</x:v>
      </x:c>
      <x:c r="D6" s="6" t="str">
        <x:v>Rig</x:v>
      </x:c>
      <x:c r="E6" s="6" t="str">
        <x:v>TR-A passes</x:v>
      </x:c>
      <x:c r="F6" s="6" t="str">
        <x:v>TR-B passes</x:v>
      </x:c>
      <x:c r="G6" s="6" t="str">
        <x:v>TR-A mean discrepancy kg</x:v>
      </x:c>
      <x:c r="H6" s="6" t="str">
        <x:v>TR-B mean discrepancy kg</x:v>
      </x:c>
      <x:c r="I6" s="6" t="str">
        <x:v>Normalized gap</x:v>
      </x:c>
      <x:c r="J6" s="6" t="str">
        <x:v>Maximum gap</x:v>
      </x:c>
      <x:c r="K6" s="6" t="str">
        <x:v>Accepted</x:v>
      </x:c>
      <x:c r="L6" s="6" t="str">
        <x:v>State</x:v>
      </x:c>
    </x:row>
    <x:row r="7">
      <x:c r="B7" s="13" t="str">
        <x:v>AM-05-RFP-A1</x:v>
      </x:c>
      <x:c r="C7" s="13" t="str">
        <x:v>AM-05</x:v>
      </x:c>
      <x:c r="D7" s="13" t="str">
        <x:v>RFP-A1</x:v>
      </x:c>
      <x:c r="E7" s="13" t="n">
        <x:f>COUNTIFS('Trial Results'!$D$7:$D$150,C7,'Trial Results'!$E$7:$E$150,"TR-A",'Trial Results'!$F$7:$F$150,D7,'Trial Results'!$N$7:$N$150,"PASS")</x:f>
        <x:v>0</x:v>
      </x:c>
      <x:c r="F7" s="13" t="n">
        <x:f>COUNTIFS('Trial Results'!$D$7:$D$150,C7,'Trial Results'!$E$7:$E$150,"TR-B",'Trial Results'!$F$7:$F$150,D7,'Trial Results'!$N$7:$N$150,"PASS")</x:f>
        <x:v>0</x:v>
      </x:c>
      <x:c r="G7" s="13" t="str">
        <x:f>IF(E7&lt;6,"",AVERAGEIFS('Source Ledger'!$P$7:$P$150,'Source Ledger'!$D$7:$D$150,C7,'Source Ledger'!$E$7:$E$150,"TR-A",'Source Ledger'!$F$7:$F$150,D7))</x:f>
      </x:c>
      <x:c r="H7" s="13" t="str">
        <x:f>IF(F7&lt;6,"",AVERAGEIFS('Source Ledger'!$P$7:$P$150,'Source Ledger'!$D$7:$D$150,C7,'Source Ledger'!$E$7:$E$150,"TR-B",'Source Ledger'!$F$7:$F$150,D7))</x:f>
      </x:c>
      <x:c r="I7" s="13" t="str">
        <x:f>IF(COUNT(G7,H7)&lt;2,"",ABS(G7-H7)/'Controls'!$D$66)</x:f>
      </x:c>
      <x:c r="J7" s="13" t="n">
        <x:v>0.25</x:v>
      </x:c>
      <x:c r="K7" s="13" t="str"/>
      <x:c r="L7" s="13" t="str">
        <x:f>IF(K7=1,IF(AND(E7=6,F7=6,COUNT(I7)=1,I7&lt;=J7),"PASS","FAIL"),"OPEN")</x:f>
        <x:v>OPEN</x:v>
      </x:c>
    </x:row>
    <x:row r="8">
      <x:c r="B8" s="13" t="str">
        <x:v>AM-05-RFP-A2</x:v>
      </x:c>
      <x:c r="C8" s="13" t="str">
        <x:v>AM-05</x:v>
      </x:c>
      <x:c r="D8" s="13" t="str">
        <x:v>RFP-A2</x:v>
      </x:c>
      <x:c r="E8" s="13" t="n">
        <x:f>COUNTIFS('Trial Results'!$D$7:$D$150,C8,'Trial Results'!$E$7:$E$150,"TR-A",'Trial Results'!$F$7:$F$150,D8,'Trial Results'!$N$7:$N$150,"PASS")</x:f>
        <x:v>0</x:v>
      </x:c>
      <x:c r="F8" s="13" t="n">
        <x:f>COUNTIFS('Trial Results'!$D$7:$D$150,C8,'Trial Results'!$E$7:$E$150,"TR-B",'Trial Results'!$F$7:$F$150,D8,'Trial Results'!$N$7:$N$150,"PASS")</x:f>
        <x:v>0</x:v>
      </x:c>
      <x:c r="G8" s="13" t="str">
        <x:f>IF(E8&lt;6,"",AVERAGEIFS('Source Ledger'!$P$7:$P$150,'Source Ledger'!$D$7:$D$150,C8,'Source Ledger'!$E$7:$E$150,"TR-A",'Source Ledger'!$F$7:$F$150,D8))</x:f>
      </x:c>
      <x:c r="H8" s="13" t="str">
        <x:f>IF(F8&lt;6,"",AVERAGEIFS('Source Ledger'!$P$7:$P$150,'Source Ledger'!$D$7:$D$150,C8,'Source Ledger'!$E$7:$E$150,"TR-B",'Source Ledger'!$F$7:$F$150,D8))</x:f>
      </x:c>
      <x:c r="I8" s="13" t="str">
        <x:f>IF(COUNT(G8,H8)&lt;2,"",ABS(G8-H8)/'Controls'!$D$66)</x:f>
      </x:c>
      <x:c r="J8" s="13" t="n">
        <x:v>0.25</x:v>
      </x:c>
      <x:c r="K8" s="13" t="str"/>
      <x:c r="L8" s="13" t="str">
        <x:f>IF(K8=1,IF(AND(E8=6,F8=6,COUNT(I8)=1,I8&lt;=J8),"PASS","FAIL"),"OPEN")</x:f>
        <x:v>OPEN</x:v>
      </x:c>
    </x:row>
    <x:row r="9">
      <x:c r="B9" s="13" t="str">
        <x:v>AM-05-RFP-B1</x:v>
      </x:c>
      <x:c r="C9" s="13" t="str">
        <x:v>AM-05</x:v>
      </x:c>
      <x:c r="D9" s="13" t="str">
        <x:v>RFP-B1</x:v>
      </x:c>
      <x:c r="E9" s="13" t="n">
        <x:f>COUNTIFS('Trial Results'!$D$7:$D$150,C9,'Trial Results'!$E$7:$E$150,"TR-A",'Trial Results'!$F$7:$F$150,D9,'Trial Results'!$N$7:$N$150,"PASS")</x:f>
        <x:v>0</x:v>
      </x:c>
      <x:c r="F9" s="13" t="n">
        <x:f>COUNTIFS('Trial Results'!$D$7:$D$150,C9,'Trial Results'!$E$7:$E$150,"TR-B",'Trial Results'!$F$7:$F$150,D9,'Trial Results'!$N$7:$N$150,"PASS")</x:f>
        <x:v>0</x:v>
      </x:c>
      <x:c r="G9" s="13" t="str">
        <x:f>IF(E9&lt;6,"",AVERAGEIFS('Source Ledger'!$P$7:$P$150,'Source Ledger'!$D$7:$D$150,C9,'Source Ledger'!$E$7:$E$150,"TR-A",'Source Ledger'!$F$7:$F$150,D9))</x:f>
      </x:c>
      <x:c r="H9" s="13" t="str">
        <x:f>IF(F9&lt;6,"",AVERAGEIFS('Source Ledger'!$P$7:$P$150,'Source Ledger'!$D$7:$D$150,C9,'Source Ledger'!$E$7:$E$150,"TR-B",'Source Ledger'!$F$7:$F$150,D9))</x:f>
      </x:c>
      <x:c r="I9" s="13" t="str">
        <x:f>IF(COUNT(G9,H9)&lt;2,"",ABS(G9-H9)/'Controls'!$D$66)</x:f>
      </x:c>
      <x:c r="J9" s="13" t="n">
        <x:v>0.25</x:v>
      </x:c>
      <x:c r="K9" s="13" t="str"/>
      <x:c r="L9" s="13" t="str">
        <x:f>IF(K9=1,IF(AND(E9=6,F9=6,COUNT(I9)=1,I9&lt;=J9),"PASS","FAIL"),"OPEN")</x:f>
        <x:v>OPEN</x:v>
      </x:c>
    </x:row>
    <x:row r="10">
      <x:c r="B10" s="13" t="str">
        <x:v>AM-05-RFP-B2</x:v>
      </x:c>
      <x:c r="C10" s="13" t="str">
        <x:v>AM-05</x:v>
      </x:c>
      <x:c r="D10" s="13" t="str">
        <x:v>RFP-B2</x:v>
      </x:c>
      <x:c r="E10" s="13" t="n">
        <x:f>COUNTIFS('Trial Results'!$D$7:$D$150,C10,'Trial Results'!$E$7:$E$150,"TR-A",'Trial Results'!$F$7:$F$150,D10,'Trial Results'!$N$7:$N$150,"PASS")</x:f>
        <x:v>0</x:v>
      </x:c>
      <x:c r="F10" s="13" t="n">
        <x:f>COUNTIFS('Trial Results'!$D$7:$D$150,C10,'Trial Results'!$E$7:$E$150,"TR-B",'Trial Results'!$F$7:$F$150,D10,'Trial Results'!$N$7:$N$150,"PASS")</x:f>
        <x:v>0</x:v>
      </x:c>
      <x:c r="G10" s="13" t="str">
        <x:f>IF(E10&lt;6,"",AVERAGEIFS('Source Ledger'!$P$7:$P$150,'Source Ledger'!$D$7:$D$150,C10,'Source Ledger'!$E$7:$E$150,"TR-A",'Source Ledger'!$F$7:$F$150,D10))</x:f>
      </x:c>
      <x:c r="H10" s="13" t="str">
        <x:f>IF(F10&lt;6,"",AVERAGEIFS('Source Ledger'!$P$7:$P$150,'Source Ledger'!$D$7:$D$150,C10,'Source Ledger'!$E$7:$E$150,"TR-B",'Source Ledger'!$F$7:$F$150,D10))</x:f>
      </x:c>
      <x:c r="I10" s="13" t="str">
        <x:f>IF(COUNT(G10,H10)&lt;2,"",ABS(G10-H10)/'Controls'!$D$66)</x:f>
      </x:c>
      <x:c r="J10" s="13" t="n">
        <x:v>0.25</x:v>
      </x:c>
      <x:c r="K10" s="13" t="str"/>
      <x:c r="L10" s="13" t="str">
        <x:f>IF(K10=1,IF(AND(E10=6,F10=6,COUNT(I10)=1,I10&lt;=J10),"PASS","FAIL"),"OPEN")</x:f>
        <x:v>OPEN</x:v>
      </x:c>
    </x:row>
    <x:row r="11">
      <x:c r="B11" s="13" t="str">
        <x:v>AM-05-RFP-C1</x:v>
      </x:c>
      <x:c r="C11" s="13" t="str">
        <x:v>AM-05</x:v>
      </x:c>
      <x:c r="D11" s="13" t="str">
        <x:v>RFP-C1</x:v>
      </x:c>
      <x:c r="E11" s="13" t="n">
        <x:f>COUNTIFS('Trial Results'!$D$7:$D$150,C11,'Trial Results'!$E$7:$E$150,"TR-A",'Trial Results'!$F$7:$F$150,D11,'Trial Results'!$N$7:$N$150,"PASS")</x:f>
        <x:v>0</x:v>
      </x:c>
      <x:c r="F11" s="13" t="n">
        <x:f>COUNTIFS('Trial Results'!$D$7:$D$150,C11,'Trial Results'!$E$7:$E$150,"TR-B",'Trial Results'!$F$7:$F$150,D11,'Trial Results'!$N$7:$N$150,"PASS")</x:f>
        <x:v>0</x:v>
      </x:c>
      <x:c r="G11" s="13" t="str">
        <x:f>IF(E11&lt;6,"",AVERAGEIFS('Source Ledger'!$P$7:$P$150,'Source Ledger'!$D$7:$D$150,C11,'Source Ledger'!$E$7:$E$150,"TR-A",'Source Ledger'!$F$7:$F$150,D11))</x:f>
      </x:c>
      <x:c r="H11" s="13" t="str">
        <x:f>IF(F11&lt;6,"",AVERAGEIFS('Source Ledger'!$P$7:$P$150,'Source Ledger'!$D$7:$D$150,C11,'Source Ledger'!$E$7:$E$150,"TR-B",'Source Ledger'!$F$7:$F$150,D11))</x:f>
      </x:c>
      <x:c r="I11" s="13" t="str">
        <x:f>IF(COUNT(G11,H11)&lt;2,"",ABS(G11-H11)/'Controls'!$D$66)</x:f>
      </x:c>
      <x:c r="J11" s="13" t="n">
        <x:v>0.25</x:v>
      </x:c>
      <x:c r="K11" s="13" t="str"/>
      <x:c r="L11" s="13" t="str">
        <x:f>IF(K11=1,IF(AND(E11=6,F11=6,COUNT(I11)=1,I11&lt;=J11),"PASS","FAIL"),"OPEN")</x:f>
        <x:v>OPEN</x:v>
      </x:c>
    </x:row>
    <x:row r="12">
      <x:c r="B12" s="13" t="str">
        <x:v>AM-05-RFP-C2</x:v>
      </x:c>
      <x:c r="C12" s="13" t="str">
        <x:v>AM-05</x:v>
      </x:c>
      <x:c r="D12" s="13" t="str">
        <x:v>RFP-C2</x:v>
      </x:c>
      <x:c r="E12" s="13" t="n">
        <x:f>COUNTIFS('Trial Results'!$D$7:$D$150,C12,'Trial Results'!$E$7:$E$150,"TR-A",'Trial Results'!$F$7:$F$150,D12,'Trial Results'!$N$7:$N$150,"PASS")</x:f>
        <x:v>0</x:v>
      </x:c>
      <x:c r="F12" s="13" t="n">
        <x:f>COUNTIFS('Trial Results'!$D$7:$D$150,C12,'Trial Results'!$E$7:$E$150,"TR-B",'Trial Results'!$F$7:$F$150,D12,'Trial Results'!$N$7:$N$150,"PASS")</x:f>
        <x:v>0</x:v>
      </x:c>
      <x:c r="G12" s="13" t="str">
        <x:f>IF(E12&lt;6,"",AVERAGEIFS('Source Ledger'!$P$7:$P$150,'Source Ledger'!$D$7:$D$150,C12,'Source Ledger'!$E$7:$E$150,"TR-A",'Source Ledger'!$F$7:$F$150,D12))</x:f>
      </x:c>
      <x:c r="H12" s="13" t="str">
        <x:f>IF(F12&lt;6,"",AVERAGEIFS('Source Ledger'!$P$7:$P$150,'Source Ledger'!$D$7:$D$150,C12,'Source Ledger'!$E$7:$E$150,"TR-B",'Source Ledger'!$F$7:$F$150,D12))</x:f>
      </x:c>
      <x:c r="I12" s="13" t="str">
        <x:f>IF(COUNT(G12,H12)&lt;2,"",ABS(G12-H12)/'Controls'!$D$66)</x:f>
      </x:c>
      <x:c r="J12" s="13" t="n">
        <x:v>0.25</x:v>
      </x:c>
      <x:c r="K12" s="13" t="str"/>
      <x:c r="L12" s="13" t="str">
        <x:f>IF(K12=1,IF(AND(E12=6,F12=6,COUNT(I12)=1,I12&lt;=J12),"PASS","FAIL"),"OPEN")</x:f>
        <x:v>OPEN</x:v>
      </x:c>
    </x:row>
    <x:row r="13">
      <x:c r="B13" s="13" t="str">
        <x:v>AM-06-RFP-A1</x:v>
      </x:c>
      <x:c r="C13" s="13" t="str">
        <x:v>AM-06</x:v>
      </x:c>
      <x:c r="D13" s="13" t="str">
        <x:v>RFP-A1</x:v>
      </x:c>
      <x:c r="E13" s="13" t="n">
        <x:f>COUNTIFS('Trial Results'!$D$7:$D$150,C13,'Trial Results'!$E$7:$E$150,"TR-A",'Trial Results'!$F$7:$F$150,D13,'Trial Results'!$N$7:$N$150,"PASS")</x:f>
        <x:v>0</x:v>
      </x:c>
      <x:c r="F13" s="13" t="n">
        <x:f>COUNTIFS('Trial Results'!$D$7:$D$150,C13,'Trial Results'!$E$7:$E$150,"TR-B",'Trial Results'!$F$7:$F$150,D13,'Trial Results'!$N$7:$N$150,"PASS")</x:f>
        <x:v>0</x:v>
      </x:c>
      <x:c r="G13" s="13" t="str">
        <x:f>IF(E13&lt;6,"",AVERAGEIFS('Source Ledger'!$P$7:$P$150,'Source Ledger'!$D$7:$D$150,C13,'Source Ledger'!$E$7:$E$150,"TR-A",'Source Ledger'!$F$7:$F$150,D13))</x:f>
      </x:c>
      <x:c r="H13" s="13" t="str">
        <x:f>IF(F13&lt;6,"",AVERAGEIFS('Source Ledger'!$P$7:$P$150,'Source Ledger'!$D$7:$D$150,C13,'Source Ledger'!$E$7:$E$150,"TR-B",'Source Ledger'!$F$7:$F$150,D13))</x:f>
      </x:c>
      <x:c r="I13" s="13" t="str">
        <x:f>IF(COUNT(G13,H13)&lt;2,"",ABS(G13-H13)/'Controls'!$D$66)</x:f>
      </x:c>
      <x:c r="J13" s="13" t="n">
        <x:v>0.25</x:v>
      </x:c>
      <x:c r="K13" s="13" t="str"/>
      <x:c r="L13" s="13" t="str">
        <x:f>IF(K13=1,IF(AND(E13=6,F13=6,COUNT(I13)=1,I13&lt;=J13),"PASS","FAIL"),"OPEN")</x:f>
        <x:v>OPEN</x:v>
      </x:c>
    </x:row>
    <x:row r="14">
      <x:c r="B14" s="13" t="str">
        <x:v>AM-06-RFP-A2</x:v>
      </x:c>
      <x:c r="C14" s="13" t="str">
        <x:v>AM-06</x:v>
      </x:c>
      <x:c r="D14" s="13" t="str">
        <x:v>RFP-A2</x:v>
      </x:c>
      <x:c r="E14" s="13" t="n">
        <x:f>COUNTIFS('Trial Results'!$D$7:$D$150,C14,'Trial Results'!$E$7:$E$150,"TR-A",'Trial Results'!$F$7:$F$150,D14,'Trial Results'!$N$7:$N$150,"PASS")</x:f>
        <x:v>0</x:v>
      </x:c>
      <x:c r="F14" s="13" t="n">
        <x:f>COUNTIFS('Trial Results'!$D$7:$D$150,C14,'Trial Results'!$E$7:$E$150,"TR-B",'Trial Results'!$F$7:$F$150,D14,'Trial Results'!$N$7:$N$150,"PASS")</x:f>
        <x:v>0</x:v>
      </x:c>
      <x:c r="G14" s="13" t="str">
        <x:f>IF(E14&lt;6,"",AVERAGEIFS('Source Ledger'!$P$7:$P$150,'Source Ledger'!$D$7:$D$150,C14,'Source Ledger'!$E$7:$E$150,"TR-A",'Source Ledger'!$F$7:$F$150,D14))</x:f>
      </x:c>
      <x:c r="H14" s="13" t="str">
        <x:f>IF(F14&lt;6,"",AVERAGEIFS('Source Ledger'!$P$7:$P$150,'Source Ledger'!$D$7:$D$150,C14,'Source Ledger'!$E$7:$E$150,"TR-B",'Source Ledger'!$F$7:$F$150,D14))</x:f>
      </x:c>
      <x:c r="I14" s="13" t="str">
        <x:f>IF(COUNT(G14,H14)&lt;2,"",ABS(G14-H14)/'Controls'!$D$66)</x:f>
      </x:c>
      <x:c r="J14" s="13" t="n">
        <x:v>0.25</x:v>
      </x:c>
      <x:c r="K14" s="13" t="str"/>
      <x:c r="L14" s="13" t="str">
        <x:f>IF(K14=1,IF(AND(E14=6,F14=6,COUNT(I14)=1,I14&lt;=J14),"PASS","FAIL"),"OPEN")</x:f>
        <x:v>OPEN</x:v>
      </x:c>
    </x:row>
    <x:row r="15">
      <x:c r="B15" s="13" t="str">
        <x:v>AM-06-RFP-B1</x:v>
      </x:c>
      <x:c r="C15" s="13" t="str">
        <x:v>AM-06</x:v>
      </x:c>
      <x:c r="D15" s="13" t="str">
        <x:v>RFP-B1</x:v>
      </x:c>
      <x:c r="E15" s="13" t="n">
        <x:f>COUNTIFS('Trial Results'!$D$7:$D$150,C15,'Trial Results'!$E$7:$E$150,"TR-A",'Trial Results'!$F$7:$F$150,D15,'Trial Results'!$N$7:$N$150,"PASS")</x:f>
        <x:v>0</x:v>
      </x:c>
      <x:c r="F15" s="13" t="n">
        <x:f>COUNTIFS('Trial Results'!$D$7:$D$150,C15,'Trial Results'!$E$7:$E$150,"TR-B",'Trial Results'!$F$7:$F$150,D15,'Trial Results'!$N$7:$N$150,"PASS")</x:f>
        <x:v>0</x:v>
      </x:c>
      <x:c r="G15" s="13" t="str">
        <x:f>IF(E15&lt;6,"",AVERAGEIFS('Source Ledger'!$P$7:$P$150,'Source Ledger'!$D$7:$D$150,C15,'Source Ledger'!$E$7:$E$150,"TR-A",'Source Ledger'!$F$7:$F$150,D15))</x:f>
      </x:c>
      <x:c r="H15" s="13" t="str">
        <x:f>IF(F15&lt;6,"",AVERAGEIFS('Source Ledger'!$P$7:$P$150,'Source Ledger'!$D$7:$D$150,C15,'Source Ledger'!$E$7:$E$150,"TR-B",'Source Ledger'!$F$7:$F$150,D15))</x:f>
      </x:c>
      <x:c r="I15" s="13" t="str">
        <x:f>IF(COUNT(G15,H15)&lt;2,"",ABS(G15-H15)/'Controls'!$D$66)</x:f>
      </x:c>
      <x:c r="J15" s="13" t="n">
        <x:v>0.25</x:v>
      </x:c>
      <x:c r="K15" s="13" t="str"/>
      <x:c r="L15" s="13" t="str">
        <x:f>IF(K15=1,IF(AND(E15=6,F15=6,COUNT(I15)=1,I15&lt;=J15),"PASS","FAIL"),"OPEN")</x:f>
        <x:v>OPEN</x:v>
      </x:c>
    </x:row>
    <x:row r="16">
      <x:c r="B16" s="13" t="str">
        <x:v>AM-06-RFP-B2</x:v>
      </x:c>
      <x:c r="C16" s="13" t="str">
        <x:v>AM-06</x:v>
      </x:c>
      <x:c r="D16" s="13" t="str">
        <x:v>RFP-B2</x:v>
      </x:c>
      <x:c r="E16" s="13" t="n">
        <x:f>COUNTIFS('Trial Results'!$D$7:$D$150,C16,'Trial Results'!$E$7:$E$150,"TR-A",'Trial Results'!$F$7:$F$150,D16,'Trial Results'!$N$7:$N$150,"PASS")</x:f>
        <x:v>0</x:v>
      </x:c>
      <x:c r="F16" s="13" t="n">
        <x:f>COUNTIFS('Trial Results'!$D$7:$D$150,C16,'Trial Results'!$E$7:$E$150,"TR-B",'Trial Results'!$F$7:$F$150,D16,'Trial Results'!$N$7:$N$150,"PASS")</x:f>
        <x:v>0</x:v>
      </x:c>
      <x:c r="G16" s="13" t="str">
        <x:f>IF(E16&lt;6,"",AVERAGEIFS('Source Ledger'!$P$7:$P$150,'Source Ledger'!$D$7:$D$150,C16,'Source Ledger'!$E$7:$E$150,"TR-A",'Source Ledger'!$F$7:$F$150,D16))</x:f>
      </x:c>
      <x:c r="H16" s="13" t="str">
        <x:f>IF(F16&lt;6,"",AVERAGEIFS('Source Ledger'!$P$7:$P$150,'Source Ledger'!$D$7:$D$150,C16,'Source Ledger'!$E$7:$E$150,"TR-B",'Source Ledger'!$F$7:$F$150,D16))</x:f>
      </x:c>
      <x:c r="I16" s="13" t="str">
        <x:f>IF(COUNT(G16,H16)&lt;2,"",ABS(G16-H16)/'Controls'!$D$66)</x:f>
      </x:c>
      <x:c r="J16" s="13" t="n">
        <x:v>0.25</x:v>
      </x:c>
      <x:c r="K16" s="13" t="str"/>
      <x:c r="L16" s="13" t="str">
        <x:f>IF(K16=1,IF(AND(E16=6,F16=6,COUNT(I16)=1,I16&lt;=J16),"PASS","FAIL"),"OPEN")</x:f>
        <x:v>OPEN</x:v>
      </x:c>
    </x:row>
    <x:row r="17">
      <x:c r="B17" s="13" t="str">
        <x:v>AM-06-RFP-C1</x:v>
      </x:c>
      <x:c r="C17" s="13" t="str">
        <x:v>AM-06</x:v>
      </x:c>
      <x:c r="D17" s="13" t="str">
        <x:v>RFP-C1</x:v>
      </x:c>
      <x:c r="E17" s="13" t="n">
        <x:f>COUNTIFS('Trial Results'!$D$7:$D$150,C17,'Trial Results'!$E$7:$E$150,"TR-A",'Trial Results'!$F$7:$F$150,D17,'Trial Results'!$N$7:$N$150,"PASS")</x:f>
        <x:v>0</x:v>
      </x:c>
      <x:c r="F17" s="13" t="n">
        <x:f>COUNTIFS('Trial Results'!$D$7:$D$150,C17,'Trial Results'!$E$7:$E$150,"TR-B",'Trial Results'!$F$7:$F$150,D17,'Trial Results'!$N$7:$N$150,"PASS")</x:f>
        <x:v>0</x:v>
      </x:c>
      <x:c r="G17" s="13" t="str">
        <x:f>IF(E17&lt;6,"",AVERAGEIFS('Source Ledger'!$P$7:$P$150,'Source Ledger'!$D$7:$D$150,C17,'Source Ledger'!$E$7:$E$150,"TR-A",'Source Ledger'!$F$7:$F$150,D17))</x:f>
      </x:c>
      <x:c r="H17" s="13" t="str">
        <x:f>IF(F17&lt;6,"",AVERAGEIFS('Source Ledger'!$P$7:$P$150,'Source Ledger'!$D$7:$D$150,C17,'Source Ledger'!$E$7:$E$150,"TR-B",'Source Ledger'!$F$7:$F$150,D17))</x:f>
      </x:c>
      <x:c r="I17" s="13" t="str">
        <x:f>IF(COUNT(G17,H17)&lt;2,"",ABS(G17-H17)/'Controls'!$D$66)</x:f>
      </x:c>
      <x:c r="J17" s="13" t="n">
        <x:v>0.25</x:v>
      </x:c>
      <x:c r="K17" s="13" t="str"/>
      <x:c r="L17" s="13" t="str">
        <x:f>IF(K17=1,IF(AND(E17=6,F17=6,COUNT(I17)=1,I17&lt;=J17),"PASS","FAIL"),"OPEN")</x:f>
        <x:v>OPEN</x:v>
      </x:c>
    </x:row>
    <x:row r="18">
      <x:c r="B18" s="13" t="str">
        <x:v>AM-06-RFP-C2</x:v>
      </x:c>
      <x:c r="C18" s="13" t="str">
        <x:v>AM-06</x:v>
      </x:c>
      <x:c r="D18" s="13" t="str">
        <x:v>RFP-C2</x:v>
      </x:c>
      <x:c r="E18" s="13" t="n">
        <x:f>COUNTIFS('Trial Results'!$D$7:$D$150,C18,'Trial Results'!$E$7:$E$150,"TR-A",'Trial Results'!$F$7:$F$150,D18,'Trial Results'!$N$7:$N$150,"PASS")</x:f>
        <x:v>0</x:v>
      </x:c>
      <x:c r="F18" s="13" t="n">
        <x:f>COUNTIFS('Trial Results'!$D$7:$D$150,C18,'Trial Results'!$E$7:$E$150,"TR-B",'Trial Results'!$F$7:$F$150,D18,'Trial Results'!$N$7:$N$150,"PASS")</x:f>
        <x:v>0</x:v>
      </x:c>
      <x:c r="G18" s="13" t="str">
        <x:f>IF(E18&lt;6,"",AVERAGEIFS('Source Ledger'!$P$7:$P$150,'Source Ledger'!$D$7:$D$150,C18,'Source Ledger'!$E$7:$E$150,"TR-A",'Source Ledger'!$F$7:$F$150,D18))</x:f>
      </x:c>
      <x:c r="H18" s="13" t="str">
        <x:f>IF(F18&lt;6,"",AVERAGEIFS('Source Ledger'!$P$7:$P$150,'Source Ledger'!$D$7:$D$150,C18,'Source Ledger'!$E$7:$E$150,"TR-B",'Source Ledger'!$F$7:$F$150,D18))</x:f>
      </x:c>
      <x:c r="I18" s="13" t="str">
        <x:f>IF(COUNT(G18,H18)&lt;2,"",ABS(G18-H18)/'Controls'!$D$66)</x:f>
      </x:c>
      <x:c r="J18" s="13" t="n">
        <x:v>0.25</x:v>
      </x:c>
      <x:c r="K18" s="13" t="str"/>
      <x:c r="L18" s="13" t="str">
        <x:f>IF(K18=1,IF(AND(E18=6,F18=6,COUNT(I18)=1,I18&lt;=J18),"PASS","FAIL"),"OPEN")</x:f>
        <x:v>OPEN</x:v>
      </x:c>
    </x:row>
  </x:sheetData>
  <x:conditionalFormatting sqref="L7:L18">
    <x:cfRule type="containsText" dxfId="168" priority="1" operator="containsText" text="FAIL"/>
    <x:cfRule type="containsText" dxfId="169" priority="2" operator="containsText" text="INVALID"/>
    <x:cfRule type="containsText" dxfId="170" priority="3" operator="containsText" text="BLOCKED"/>
    <x:cfRule type="containsText" dxfId="171" priority="4" operator="containsText" text="OPEN"/>
    <x:cfRule type="containsText" dxfId="172" priority="5" operator="containsText" text="GAP"/>
    <x:cfRule type="containsText" dxfId="173" priority="6" operator="containsText" text="DORMANT"/>
    <x:cfRule type="containsText" dxfId="174" priority="7" operator="containsText" text="PASS"/>
    <x:cfRule type="containsText" dxfId="175" priority="8" operator="containsText" text="VALID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9" hidden="0" customWidth="1"/>
    <x:col min="3" max="3" width="14" hidden="0" customWidth="1"/>
    <x:col min="4" max="4" width="12" hidden="0" customWidth="1"/>
    <x:col min="5" max="5" width="18" hidden="0" customWidth="1"/>
    <x:col min="6" max="6" width="19" hidden="0" customWidth="1"/>
    <x:col min="7" max="7" width="19" hidden="0" customWidth="1"/>
    <x:col min="8" max="8" width="19" hidden="0" customWidth="1"/>
    <x:col min="9" max="9" width="28" hidden="0" customWidth="1"/>
    <x:col min="10" max="10" width="14" hidden="0" customWidth="1"/>
    <x:col min="11" max="11" width="15" hidden="0" customWidth="1"/>
    <x:col min="12" max="12" width="14" hidden="0" customWidth="1"/>
    <x:col min="1" max="1" width="3" hidden="0" customWidth="1"/>
  </x:cols>
  <x:sheetData>
    <x:row r="2">
      <x:c r="B2" s="12" t="str">
        <x:v>Four cross-campus root-equivalence decisions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B3" s="2" t="str">
        <x:v>A root must deliver thirty-six accepted class credits with controlled campus spread.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24" customHeight="1">
      <x:c r="B6" s="6" t="str">
        <x:v>Cell</x:v>
      </x:c>
      <x:c r="C6" s="6" t="str">
        <x:v>Method</x:v>
      </x:c>
      <x:c r="D6" s="6" t="str">
        <x:v>Root</x:v>
      </x:c>
      <x:c r="E6" s="6" t="str">
        <x:v>Accepted credits</x:v>
      </x:c>
      <x:c r="F6" s="6" t="str">
        <x:v>PTC-A mean kg</x:v>
      </x:c>
      <x:c r="G6" s="6" t="str">
        <x:v>PTC-B mean kg</x:v>
      </x:c>
      <x:c r="H6" s="6" t="str">
        <x:v>PTC-C mean kg</x:v>
      </x:c>
      <x:c r="I6" s="6" t="str">
        <x:v>Maximum normalized spread</x:v>
      </x:c>
      <x:c r="J6" s="6" t="str">
        <x:v>Limit</x:v>
      </x:c>
      <x:c r="K6" s="6" t="str">
        <x:v>Accepted</x:v>
      </x:c>
      <x:c r="L6" s="6" t="str">
        <x:v>State</x:v>
      </x:c>
    </x:row>
    <x:row r="7">
      <x:c r="B7" s="13" t="str">
        <x:v>AM-05-TR-A</x:v>
      </x:c>
      <x:c r="C7" s="13" t="str">
        <x:v>AM-05</x:v>
      </x:c>
      <x:c r="D7" s="13" t="str">
        <x:v>TR-A</x:v>
      </x:c>
      <x:c r="E7" s="13" t="n">
        <x:f>COUNTIFS('Trial Results'!$D$7:$D$150,C7,'Trial Results'!$E$7:$E$150,D7,'Trial Results'!$N$7:$N$150,"PASS")</x:f>
        <x:v>0</x:v>
      </x:c>
      <x:c r="F7" s="13" t="str">
        <x:f>IF(E7&lt;36,"",AVERAGEIFS('Source Ledger'!$P$7:$P$150,'Source Ledger'!$D$7:$D$150,C7,'Source Ledger'!$E$7:$E$150,D7,'Source Ledger'!$F$7:$F$150,"RFP-A*"))</x:f>
      </x:c>
      <x:c r="G7" s="13" t="str">
        <x:f>IF(E7&lt;36,"",AVERAGEIFS('Source Ledger'!$P$7:$P$150,'Source Ledger'!$D$7:$D$150,C7,'Source Ledger'!$E$7:$E$150,D7,'Source Ledger'!$F$7:$F$150,"RFP-B*"))</x:f>
      </x:c>
      <x:c r="H7" s="13" t="str">
        <x:f>IF(E7&lt;36,"",AVERAGEIFS('Source Ledger'!$P$7:$P$150,'Source Ledger'!$D$7:$D$150,C7,'Source Ledger'!$E$7:$E$150,D7,'Source Ledger'!$F$7:$F$150,"RFP-C*"))</x:f>
      </x:c>
      <x:c r="I7" s="13" t="str">
        <x:f>IF(COUNT(F7:H7)&lt;3,"",(MAX(F7:H7)-MIN(F7:H7))/'Controls'!$D$66)</x:f>
      </x:c>
      <x:c r="J7" s="13" t="str"/>
      <x:c r="K7" s="13" t="str">
        <x:v>OPEN</x:v>
      </x:c>
      <x:c r="L7" s="13" t="str">
        <x:f>IF(K7=1,IF(AND(E7=36,COUNT(I7)=1,I7&lt;=J7),"PASS","FAIL"),"OPEN")</x:f>
        <x:v>OPEN</x:v>
      </x:c>
    </x:row>
    <x:row r="8">
      <x:c r="B8" s="13" t="str">
        <x:v>AM-05-TR-B</x:v>
      </x:c>
      <x:c r="C8" s="13" t="str">
        <x:v>AM-05</x:v>
      </x:c>
      <x:c r="D8" s="13" t="str">
        <x:v>TR-B</x:v>
      </x:c>
      <x:c r="E8" s="13" t="n">
        <x:f>COUNTIFS('Trial Results'!$D$7:$D$150,C8,'Trial Results'!$E$7:$E$150,D8,'Trial Results'!$N$7:$N$150,"PASS")</x:f>
        <x:v>0</x:v>
      </x:c>
      <x:c r="F8" s="13" t="str">
        <x:f>IF(E8&lt;36,"",AVERAGEIFS('Source Ledger'!$P$7:$P$150,'Source Ledger'!$D$7:$D$150,C8,'Source Ledger'!$E$7:$E$150,D8,'Source Ledger'!$F$7:$F$150,"RFP-A*"))</x:f>
      </x:c>
      <x:c r="G8" s="13" t="str">
        <x:f>IF(E8&lt;36,"",AVERAGEIFS('Source Ledger'!$P$7:$P$150,'Source Ledger'!$D$7:$D$150,C8,'Source Ledger'!$E$7:$E$150,D8,'Source Ledger'!$F$7:$F$150,"RFP-B*"))</x:f>
      </x:c>
      <x:c r="H8" s="13" t="str">
        <x:f>IF(E8&lt;36,"",AVERAGEIFS('Source Ledger'!$P$7:$P$150,'Source Ledger'!$D$7:$D$150,C8,'Source Ledger'!$E$7:$E$150,D8,'Source Ledger'!$F$7:$F$150,"RFP-C*"))</x:f>
      </x:c>
      <x:c r="I8" s="13" t="str">
        <x:f>IF(COUNT(F8:H8)&lt;3,"",(MAX(F8:H8)-MIN(F8:H8))/'Controls'!$D$66)</x:f>
      </x:c>
      <x:c r="J8" s="13" t="str"/>
      <x:c r="K8" s="13" t="str">
        <x:v>OPEN</x:v>
      </x:c>
      <x:c r="L8" s="13" t="str">
        <x:f>IF(K8=1,IF(AND(E8=36,COUNT(I8)=1,I8&lt;=J8),"PASS","FAIL"),"OPEN")</x:f>
        <x:v>OPEN</x:v>
      </x:c>
    </x:row>
    <x:row r="9">
      <x:c r="B9" s="13" t="str">
        <x:v>AM-06-TR-A</x:v>
      </x:c>
      <x:c r="C9" s="13" t="str">
        <x:v>AM-06</x:v>
      </x:c>
      <x:c r="D9" s="13" t="str">
        <x:v>TR-A</x:v>
      </x:c>
      <x:c r="E9" s="13" t="n">
        <x:f>COUNTIFS('Trial Results'!$D$7:$D$150,C9,'Trial Results'!$E$7:$E$150,D9,'Trial Results'!$N$7:$N$150,"PASS")</x:f>
        <x:v>0</x:v>
      </x:c>
      <x:c r="F9" s="13" t="str">
        <x:f>IF(E9&lt;36,"",AVERAGEIFS('Source Ledger'!$P$7:$P$150,'Source Ledger'!$D$7:$D$150,C9,'Source Ledger'!$E$7:$E$150,D9,'Source Ledger'!$F$7:$F$150,"RFP-A*"))</x:f>
      </x:c>
      <x:c r="G9" s="13" t="str">
        <x:f>IF(E9&lt;36,"",AVERAGEIFS('Source Ledger'!$P$7:$P$150,'Source Ledger'!$D$7:$D$150,C9,'Source Ledger'!$E$7:$E$150,D9,'Source Ledger'!$F$7:$F$150,"RFP-B*"))</x:f>
      </x:c>
      <x:c r="H9" s="13" t="str">
        <x:f>IF(E9&lt;36,"",AVERAGEIFS('Source Ledger'!$P$7:$P$150,'Source Ledger'!$D$7:$D$150,C9,'Source Ledger'!$E$7:$E$150,D9,'Source Ledger'!$F$7:$F$150,"RFP-C*"))</x:f>
      </x:c>
      <x:c r="I9" s="13" t="str">
        <x:f>IF(COUNT(F9:H9)&lt;3,"",(MAX(F9:H9)-MIN(F9:H9))/'Controls'!$D$66)</x:f>
      </x:c>
      <x:c r="J9" s="13" t="str"/>
      <x:c r="K9" s="13" t="str">
        <x:v>OPEN</x:v>
      </x:c>
      <x:c r="L9" s="13" t="str">
        <x:f>IF(K9=1,IF(AND(E9=36,COUNT(I9)=1,I9&lt;=J9),"PASS","FAIL"),"OPEN")</x:f>
        <x:v>OPEN</x:v>
      </x:c>
    </x:row>
    <x:row r="10">
      <x:c r="B10" s="13" t="str">
        <x:v>AM-06-TR-B</x:v>
      </x:c>
      <x:c r="C10" s="13" t="str">
        <x:v>AM-06</x:v>
      </x:c>
      <x:c r="D10" s="13" t="str">
        <x:v>TR-B</x:v>
      </x:c>
      <x:c r="E10" s="13" t="n">
        <x:f>COUNTIFS('Trial Results'!$D$7:$D$150,C10,'Trial Results'!$E$7:$E$150,D10,'Trial Results'!$N$7:$N$150,"PASS")</x:f>
        <x:v>0</x:v>
      </x:c>
      <x:c r="F10" s="13" t="str">
        <x:f>IF(E10&lt;36,"",AVERAGEIFS('Source Ledger'!$P$7:$P$150,'Source Ledger'!$D$7:$D$150,C10,'Source Ledger'!$E$7:$E$150,D10,'Source Ledger'!$F$7:$F$150,"RFP-A*"))</x:f>
      </x:c>
      <x:c r="G10" s="13" t="str">
        <x:f>IF(E10&lt;36,"",AVERAGEIFS('Source Ledger'!$P$7:$P$150,'Source Ledger'!$D$7:$D$150,C10,'Source Ledger'!$E$7:$E$150,D10,'Source Ledger'!$F$7:$F$150,"RFP-B*"))</x:f>
      </x:c>
      <x:c r="H10" s="13" t="str">
        <x:f>IF(E10&lt;36,"",AVERAGEIFS('Source Ledger'!$P$7:$P$150,'Source Ledger'!$D$7:$D$150,C10,'Source Ledger'!$E$7:$E$150,D10,'Source Ledger'!$F$7:$F$150,"RFP-C*"))</x:f>
      </x:c>
      <x:c r="I10" s="13" t="str">
        <x:f>IF(COUNT(F10:H10)&lt;3,"",(MAX(F10:H10)-MIN(F10:H10))/'Controls'!$D$66)</x:f>
      </x:c>
      <x:c r="J10" s="13" t="str"/>
      <x:c r="K10" s="13" t="str">
        <x:v>OPEN</x:v>
      </x:c>
      <x:c r="L10" s="13" t="str">
        <x:f>IF(K10=1,IF(AND(E10=36,COUNT(I10)=1,I10&lt;=J10),"PASS","FAIL"),"OPEN")</x:f>
        <x:v>OPEN</x:v>
      </x:c>
    </x:row>
  </x:sheetData>
  <x:conditionalFormatting sqref="L7:L10">
    <x:cfRule type="containsText" dxfId="176" priority="1" operator="containsText" text="FAIL"/>
    <x:cfRule type="containsText" dxfId="177" priority="2" operator="containsText" text="INVALID"/>
    <x:cfRule type="containsText" dxfId="178" priority="3" operator="containsText" text="BLOCKED"/>
    <x:cfRule type="containsText" dxfId="179" priority="4" operator="containsText" text="OPEN"/>
    <x:cfRule type="containsText" dxfId="180" priority="5" operator="containsText" text="GAP"/>
    <x:cfRule type="containsText" dxfId="181" priority="6" operator="containsText" text="DORMANT"/>
    <x:cfRule type="containsText" dxfId="182" priority="7" operator="containsText" text="PASS"/>
    <x:cfRule type="containsText" dxfId="183" priority="8" operator="containsText" text="VALID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9" hidden="0" customWidth="1"/>
    <x:col min="8" max="8" width="18" hidden="0" customWidth="1"/>
    <x:col min="9" max="9" width="22" hidden="0" customWidth="1"/>
    <x:col min="10" max="10" width="17" hidden="0" customWidth="1"/>
    <x:col min="11" max="11" width="14" hidden="0" customWidth="1"/>
    <x:col min="1" max="1" width="3" hidden="0" customWidth="1"/>
  </x:cols>
  <x:sheetData>
    <x:row r="2">
      <x:c r="B2" s="12" t="str">
        <x:v>Two method-level qualification decisions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B3" s="2" t="str">
        <x:v>AM-05 and AM-06 are accepted separately; neither row confers full-source or candidate-entry authority.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24" customHeight="1">
      <x:c r="B6" s="6" t="str">
        <x:v>Method</x:v>
      </x:c>
      <x:c r="C6" s="6" t="str">
        <x:v>Required credits</x:v>
      </x:c>
      <x:c r="D6" s="6" t="str">
        <x:v>Passed credits</x:v>
      </x:c>
      <x:c r="E6" s="6" t="str">
        <x:v>Agreement passes</x:v>
      </x:c>
      <x:c r="F6" s="6" t="str">
        <x:v>Root-equivalence passes</x:v>
      </x:c>
      <x:c r="G6" s="6" t="str">
        <x:v>Calibration passes</x:v>
      </x:c>
      <x:c r="H6" s="6" t="str">
        <x:v>Time-node passes</x:v>
      </x:c>
      <x:c r="I6" s="6" t="str">
        <x:v>Evidence-object passes</x:v>
      </x:c>
      <x:c r="J6" s="6" t="str">
        <x:v>Board accepted</x:v>
      </x:c>
      <x:c r="K6" s="6" t="str">
        <x:v>State</x:v>
      </x:c>
      <x:c r="L6" s="13"/>
    </x:row>
    <x:row r="7">
      <x:c r="B7" s="13" t="str">
        <x:v>AM-05</x:v>
      </x:c>
      <x:c r="C7" s="13" t="n">
        <x:v>72</x:v>
      </x:c>
      <x:c r="D7" s="13" t="n">
        <x:f>COUNTIFS('Trial Results'!$D$7:$D$150,B7,'Trial Results'!$N$7:$N$150,"PASS")</x:f>
        <x:v>0</x:v>
      </x:c>
      <x:c r="E7" s="13" t="n">
        <x:f>COUNTIFS('Agreement'!$C$7:$C$18,B7,'Agreement'!$L$7:$L$18,"PASS")</x:f>
        <x:v>0</x:v>
      </x:c>
      <x:c r="F7" s="13" t="n">
        <x:f>COUNTIFS('Root Equivalence'!$C$7:$C$10,B7,'Root Equivalence'!$L$7:$L$10,"PASS")</x:f>
        <x:v>0</x:v>
      </x:c>
      <x:c r="G7" s="13" t="n">
        <x:f>COUNTIF('Calibration'!$H$7:$H$54,"PASS")</x:f>
        <x:v>0</x:v>
      </x:c>
      <x:c r="H7" s="13" t="n">
        <x:f>COUNTIF('Time Nodes'!$H$7:$H$30,"PASS")</x:f>
        <x:v>0</x:v>
      </x:c>
      <x:c r="I7" s="13" t="n">
        <x:f>COUNTIF('Evidence Objects'!$I$7:$I$18,"PASS")</x:f>
        <x:v>0</x:v>
      </x:c>
      <x:c r="J7" s="13" t="str"/>
      <x:c r="K7" s="13" t="str">
        <x:f>IF(J7=1,IF(AND(D7=C7,E7=6,F7=2,G7=48,H7=24,I7=12),"PASS","FAIL"),"OPEN")</x:f>
        <x:v>OPEN</x:v>
      </x:c>
      <x:c r="L7" s="13" t="str">
        <x:v>OPEN</x:v>
      </x:c>
    </x:row>
    <x:row r="8">
      <x:c r="B8" s="13" t="str">
        <x:v>AM-06</x:v>
      </x:c>
      <x:c r="C8" s="13" t="n">
        <x:v>72</x:v>
      </x:c>
      <x:c r="D8" s="13" t="n">
        <x:f>COUNTIFS('Trial Results'!$D$7:$D$150,B8,'Trial Results'!$N$7:$N$150,"PASS")</x:f>
        <x:v>0</x:v>
      </x:c>
      <x:c r="E8" s="13" t="n">
        <x:f>COUNTIFS('Agreement'!$C$7:$C$18,B8,'Agreement'!$L$7:$L$18,"PASS")</x:f>
        <x:v>0</x:v>
      </x:c>
      <x:c r="F8" s="13" t="n">
        <x:f>COUNTIFS('Root Equivalence'!$C$7:$C$10,B8,'Root Equivalence'!$L$7:$L$10,"PASS")</x:f>
        <x:v>0</x:v>
      </x:c>
      <x:c r="G8" s="13" t="n">
        <x:f>COUNTIF('Calibration'!$H$7:$H$54,"PASS")</x:f>
        <x:v>0</x:v>
      </x:c>
      <x:c r="H8" s="13" t="n">
        <x:f>COUNTIF('Time Nodes'!$H$7:$H$30,"PASS")</x:f>
        <x:v>0</x:v>
      </x:c>
      <x:c r="I8" s="13" t="n">
        <x:f>COUNTIF('Evidence Objects'!$I$7:$I$18,"PASS")</x:f>
        <x:v>0</x:v>
      </x:c>
      <x:c r="J8" s="13" t="str"/>
      <x:c r="K8" s="13" t="str">
        <x:f>IF(J8=1,IF(AND(D8=C8,E8=6,F8=2,G8=48,H8=24,I8=12),"PASS","FAIL"),"OPEN")</x:f>
        <x:v>OPEN</x:v>
      </x:c>
      <x:c r="L8" s="13" t="str">
        <x:v>OPEN</x:v>
      </x:c>
    </x:row>
  </x:sheetData>
  <x:conditionalFormatting sqref="K7:K8">
    <x:cfRule type="containsText" dxfId="184" priority="1" operator="containsText" text="FAIL"/>
    <x:cfRule type="containsText" dxfId="185" priority="2" operator="containsText" text="INVALID"/>
    <x:cfRule type="containsText" dxfId="186" priority="3" operator="containsText" text="BLOCKED"/>
    <x:cfRule type="containsText" dxfId="187" priority="4" operator="containsText" text="OPEN"/>
    <x:cfRule type="containsText" dxfId="188" priority="5" operator="containsText" text="GAP"/>
    <x:cfRule type="containsText" dxfId="189" priority="6" operator="containsText" text="DORMANT"/>
    <x:cfRule type="containsText" dxfId="190" priority="7" operator="containsText" text="PASS"/>
    <x:cfRule type="containsText" dxfId="191" priority="8" operator="containsText" text="VALID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5" hidden="0" customWidth="1"/>
    <x:col min="4" max="4" width="14" hidden="0" customWidth="1"/>
    <x:col min="5" max="5" width="12" hidden="0" customWidth="1"/>
    <x:col min="6" max="6" width="14" hidden="0" customWidth="1"/>
    <x:col min="7" max="7" width="18" hidden="0" customWidth="1"/>
    <x:col min="8" max="8" width="19" hidden="0" customWidth="1"/>
    <x:col min="9" max="9" width="19" hidden="0" customWidth="1"/>
    <x:col min="10" max="10" width="16" hidden="0" customWidth="1"/>
    <x:col min="11" max="11" width="14" hidden="0" customWidth="1"/>
    <x:col min="12" max="12" width="15" hidden="0" customWidth="1"/>
    <x:col min="13" max="13" width="14" hidden="0" customWidth="1"/>
    <x:col min="1" max="1" width="3" hidden="0" customWidth="1"/>
  </x:cols>
  <x:sheetData>
    <x:row r="2">
      <x:c r="B2" s="12" t="str">
        <x:v>Twenty-four outside-site casualty replays</x:v>
      </x:c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B3" s="2" t="str">
        <x:v>The receiving campus reconstructs the sealed packet without the originating campus analysis chain.</x:v>
      </x:c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</x:row>
    <x:row r="5"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</x:row>
    <x:row r="6" ht="24" customHeight="1">
      <x:c r="B6" s="6" t="str">
        <x:v>Replay</x:v>
      </x:c>
      <x:c r="C6" s="6" t="str">
        <x:v>Event</x:v>
      </x:c>
      <x:c r="D6" s="6" t="str">
        <x:v>Method</x:v>
      </x:c>
      <x:c r="E6" s="6" t="str">
        <x:v>Root</x:v>
      </x:c>
      <x:c r="F6" s="6" t="str">
        <x:v>Origin rig</x:v>
      </x:c>
      <x:c r="G6" s="6" t="str">
        <x:v>Replay campus</x:v>
      </x:c>
      <x:c r="H6" s="6" t="str">
        <x:v>Origin result</x:v>
      </x:c>
      <x:c r="I6" s="6" t="str">
        <x:v>Remote result</x:v>
      </x:c>
      <x:c r="J6" s="6" t="str">
        <x:v>Agreement</x:v>
      </x:c>
      <x:c r="K6" s="6" t="str">
        <x:v>Required</x:v>
      </x:c>
      <x:c r="L6" s="6" t="str">
        <x:v>Accepted</x:v>
      </x:c>
      <x:c r="M6" s="6" t="str">
        <x:v>State</x:v>
      </x:c>
    </x:row>
    <x:row r="7">
      <x:c r="B7" s="13" t="str">
        <x:v>RAS-RP-01</x:v>
      </x:c>
      <x:c r="C7" s="13" t="str">
        <x:v>RAS-E006</x:v>
      </x:c>
      <x:c r="D7" s="13" t="str">
        <x:v>AM-05</x:v>
      </x:c>
      <x:c r="E7" s="13" t="str">
        <x:v>TR-A</x:v>
      </x:c>
      <x:c r="F7" s="13" t="str">
        <x:v>RFP-A1</x:v>
      </x:c>
      <x:c r="G7" s="13" t="str">
        <x:v>PTC-B</x:v>
      </x:c>
      <x:c r="H7" s="13" t="str"/>
      <x:c r="I7" s="13" t="str"/>
      <x:c r="J7" s="13" t="str">
        <x:f>IF(OR(H7="",I7=""),"",IF(H7=I7,1,0))</x:f>
      </x:c>
      <x:c r="K7" s="13" t="n">
        <x:v>0.995</x:v>
      </x:c>
      <x:c r="L7" s="13" t="str"/>
      <x:c r="M7" s="13" t="str">
        <x:f>IF(L7=1,IF(AND(COUNT(J7)=1,J7&gt;=K7),"PASS","FAIL"),"OPEN")</x:f>
        <x:v>OPEN</x:v>
      </x:c>
    </x:row>
    <x:row r="8">
      <x:c r="B8" s="13" t="str">
        <x:v>RAS-RP-02</x:v>
      </x:c>
      <x:c r="C8" s="13" t="str">
        <x:v>RAS-E012</x:v>
      </x:c>
      <x:c r="D8" s="13" t="str">
        <x:v>AM-05</x:v>
      </x:c>
      <x:c r="E8" s="13" t="str">
        <x:v>TR-A</x:v>
      </x:c>
      <x:c r="F8" s="13" t="str">
        <x:v>RFP-A2</x:v>
      </x:c>
      <x:c r="G8" s="13" t="str">
        <x:v>PTC-B</x:v>
      </x:c>
      <x:c r="H8" s="13" t="str"/>
      <x:c r="I8" s="13" t="str"/>
      <x:c r="J8" s="13" t="str">
        <x:f>IF(OR(H8="",I8=""),"",IF(H8=I8,1,0))</x:f>
      </x:c>
      <x:c r="K8" s="13" t="n">
        <x:v>0.995</x:v>
      </x:c>
      <x:c r="L8" s="13" t="str"/>
      <x:c r="M8" s="13" t="str">
        <x:f>IF(L8=1,IF(AND(COUNT(J8)=1,J8&gt;=K8),"PASS","FAIL"),"OPEN")</x:f>
        <x:v>OPEN</x:v>
      </x:c>
    </x:row>
    <x:row r="9">
      <x:c r="B9" s="13" t="str">
        <x:v>RAS-RP-03</x:v>
      </x:c>
      <x:c r="C9" s="13" t="str">
        <x:v>RAS-E018</x:v>
      </x:c>
      <x:c r="D9" s="13" t="str">
        <x:v>AM-05</x:v>
      </x:c>
      <x:c r="E9" s="13" t="str">
        <x:v>TR-A</x:v>
      </x:c>
      <x:c r="F9" s="13" t="str">
        <x:v>RFP-B1</x:v>
      </x:c>
      <x:c r="G9" s="13" t="str">
        <x:v>PTC-C</x:v>
      </x:c>
      <x:c r="H9" s="13" t="str"/>
      <x:c r="I9" s="13" t="str"/>
      <x:c r="J9" s="13" t="str">
        <x:f>IF(OR(H9="",I9=""),"",IF(H9=I9,1,0))</x:f>
      </x:c>
      <x:c r="K9" s="13" t="n">
        <x:v>0.995</x:v>
      </x:c>
      <x:c r="L9" s="13" t="str"/>
      <x:c r="M9" s="13" t="str">
        <x:f>IF(L9=1,IF(AND(COUNT(J9)=1,J9&gt;=K9),"PASS","FAIL"),"OPEN")</x:f>
        <x:v>OPEN</x:v>
      </x:c>
    </x:row>
    <x:row r="10">
      <x:c r="B10" s="13" t="str">
        <x:v>RAS-RP-04</x:v>
      </x:c>
      <x:c r="C10" s="13" t="str">
        <x:v>RAS-E024</x:v>
      </x:c>
      <x:c r="D10" s="13" t="str">
        <x:v>AM-05</x:v>
      </x:c>
      <x:c r="E10" s="13" t="str">
        <x:v>TR-A</x:v>
      </x:c>
      <x:c r="F10" s="13" t="str">
        <x:v>RFP-B2</x:v>
      </x:c>
      <x:c r="G10" s="13" t="str">
        <x:v>PTC-C</x:v>
      </x:c>
      <x:c r="H10" s="13" t="str"/>
      <x:c r="I10" s="13" t="str"/>
      <x:c r="J10" s="13" t="str">
        <x:f>IF(OR(H10="",I10=""),"",IF(H10=I10,1,0))</x:f>
      </x:c>
      <x:c r="K10" s="13" t="n">
        <x:v>0.995</x:v>
      </x:c>
      <x:c r="L10" s="13" t="str"/>
      <x:c r="M10" s="13" t="str">
        <x:f>IF(L10=1,IF(AND(COUNT(J10)=1,J10&gt;=K10),"PASS","FAIL"),"OPEN")</x:f>
        <x:v>OPEN</x:v>
      </x:c>
    </x:row>
    <x:row r="11">
      <x:c r="B11" s="13" t="str">
        <x:v>RAS-RP-05</x:v>
      </x:c>
      <x:c r="C11" s="13" t="str">
        <x:v>RAS-E030</x:v>
      </x:c>
      <x:c r="D11" s="13" t="str">
        <x:v>AM-05</x:v>
      </x:c>
      <x:c r="E11" s="13" t="str">
        <x:v>TR-A</x:v>
      </x:c>
      <x:c r="F11" s="13" t="str">
        <x:v>RFP-C1</x:v>
      </x:c>
      <x:c r="G11" s="13" t="str">
        <x:v>PTC-B</x:v>
      </x:c>
      <x:c r="H11" s="13" t="str"/>
      <x:c r="I11" s="13" t="str"/>
      <x:c r="J11" s="13" t="str">
        <x:f>IF(OR(H11="",I11=""),"",IF(H11=I11,1,0))</x:f>
      </x:c>
      <x:c r="K11" s="13" t="n">
        <x:v>0.995</x:v>
      </x:c>
      <x:c r="L11" s="13" t="str"/>
      <x:c r="M11" s="13" t="str">
        <x:f>IF(L11=1,IF(AND(COUNT(J11)=1,J11&gt;=K11),"PASS","FAIL"),"OPEN")</x:f>
        <x:v>OPEN</x:v>
      </x:c>
    </x:row>
    <x:row r="12">
      <x:c r="B12" s="13" t="str">
        <x:v>RAS-RP-06</x:v>
      </x:c>
      <x:c r="C12" s="13" t="str">
        <x:v>RAS-E036</x:v>
      </x:c>
      <x:c r="D12" s="13" t="str">
        <x:v>AM-05</x:v>
      </x:c>
      <x:c r="E12" s="13" t="str">
        <x:v>TR-A</x:v>
      </x:c>
      <x:c r="F12" s="13" t="str">
        <x:v>RFP-C2</x:v>
      </x:c>
      <x:c r="G12" s="13" t="str">
        <x:v>PTC-B</x:v>
      </x:c>
      <x:c r="H12" s="13" t="str"/>
      <x:c r="I12" s="13" t="str"/>
      <x:c r="J12" s="13" t="str">
        <x:f>IF(OR(H12="",I12=""),"",IF(H12=I12,1,0))</x:f>
      </x:c>
      <x:c r="K12" s="13" t="n">
        <x:v>0.995</x:v>
      </x:c>
      <x:c r="L12" s="13" t="str"/>
      <x:c r="M12" s="13" t="str">
        <x:f>IF(L12=1,IF(AND(COUNT(J12)=1,J12&gt;=K12),"PASS","FAIL"),"OPEN")</x:f>
        <x:v>OPEN</x:v>
      </x:c>
    </x:row>
    <x:row r="13">
      <x:c r="B13" s="13" t="str">
        <x:v>RAS-RP-07</x:v>
      </x:c>
      <x:c r="C13" s="13" t="str">
        <x:v>RAS-E042</x:v>
      </x:c>
      <x:c r="D13" s="13" t="str">
        <x:v>AM-05</x:v>
      </x:c>
      <x:c r="E13" s="13" t="str">
        <x:v>TR-B</x:v>
      </x:c>
      <x:c r="F13" s="13" t="str">
        <x:v>RFP-A1</x:v>
      </x:c>
      <x:c r="G13" s="13" t="str">
        <x:v>PTC-B</x:v>
      </x:c>
      <x:c r="H13" s="13" t="str"/>
      <x:c r="I13" s="13" t="str"/>
      <x:c r="J13" s="13" t="str">
        <x:f>IF(OR(H13="",I13=""),"",IF(H13=I13,1,0))</x:f>
      </x:c>
      <x:c r="K13" s="13" t="n">
        <x:v>0.995</x:v>
      </x:c>
      <x:c r="L13" s="13" t="str"/>
      <x:c r="M13" s="13" t="str">
        <x:f>IF(L13=1,IF(AND(COUNT(J13)=1,J13&gt;=K13),"PASS","FAIL"),"OPEN")</x:f>
        <x:v>OPEN</x:v>
      </x:c>
    </x:row>
    <x:row r="14">
      <x:c r="B14" s="13" t="str">
        <x:v>RAS-RP-08</x:v>
      </x:c>
      <x:c r="C14" s="13" t="str">
        <x:v>RAS-E048</x:v>
      </x:c>
      <x:c r="D14" s="13" t="str">
        <x:v>AM-05</x:v>
      </x:c>
      <x:c r="E14" s="13" t="str">
        <x:v>TR-B</x:v>
      </x:c>
      <x:c r="F14" s="13" t="str">
        <x:v>RFP-A2</x:v>
      </x:c>
      <x:c r="G14" s="13" t="str">
        <x:v>PTC-B</x:v>
      </x:c>
      <x:c r="H14" s="13" t="str"/>
      <x:c r="I14" s="13" t="str"/>
      <x:c r="J14" s="13" t="str">
        <x:f>IF(OR(H14="",I14=""),"",IF(H14=I14,1,0))</x:f>
      </x:c>
      <x:c r="K14" s="13" t="n">
        <x:v>0.995</x:v>
      </x:c>
      <x:c r="L14" s="13" t="str"/>
      <x:c r="M14" s="13" t="str">
        <x:f>IF(L14=1,IF(AND(COUNT(J14)=1,J14&gt;=K14),"PASS","FAIL"),"OPEN")</x:f>
        <x:v>OPEN</x:v>
      </x:c>
    </x:row>
    <x:row r="15">
      <x:c r="B15" s="13" t="str">
        <x:v>RAS-RP-09</x:v>
      </x:c>
      <x:c r="C15" s="13" t="str">
        <x:v>RAS-E054</x:v>
      </x:c>
      <x:c r="D15" s="13" t="str">
        <x:v>AM-05</x:v>
      </x:c>
      <x:c r="E15" s="13" t="str">
        <x:v>TR-B</x:v>
      </x:c>
      <x:c r="F15" s="13" t="str">
        <x:v>RFP-B1</x:v>
      </x:c>
      <x:c r="G15" s="13" t="str">
        <x:v>PTC-C</x:v>
      </x:c>
      <x:c r="H15" s="13" t="str"/>
      <x:c r="I15" s="13" t="str"/>
      <x:c r="J15" s="13" t="str">
        <x:f>IF(OR(H15="",I15=""),"",IF(H15=I15,1,0))</x:f>
      </x:c>
      <x:c r="K15" s="13" t="n">
        <x:v>0.995</x:v>
      </x:c>
      <x:c r="L15" s="13" t="str"/>
      <x:c r="M15" s="13" t="str">
        <x:f>IF(L15=1,IF(AND(COUNT(J15)=1,J15&gt;=K15),"PASS","FAIL"),"OPEN")</x:f>
        <x:v>OPEN</x:v>
      </x:c>
    </x:row>
    <x:row r="16">
      <x:c r="B16" s="13" t="str">
        <x:v>RAS-RP-10</x:v>
      </x:c>
      <x:c r="C16" s="13" t="str">
        <x:v>RAS-E060</x:v>
      </x:c>
      <x:c r="D16" s="13" t="str">
        <x:v>AM-05</x:v>
      </x:c>
      <x:c r="E16" s="13" t="str">
        <x:v>TR-B</x:v>
      </x:c>
      <x:c r="F16" s="13" t="str">
        <x:v>RFP-B2</x:v>
      </x:c>
      <x:c r="G16" s="13" t="str">
        <x:v>PTC-C</x:v>
      </x:c>
      <x:c r="H16" s="13" t="str"/>
      <x:c r="I16" s="13" t="str"/>
      <x:c r="J16" s="13" t="str">
        <x:f>IF(OR(H16="",I16=""),"",IF(H16=I16,1,0))</x:f>
      </x:c>
      <x:c r="K16" s="13" t="n">
        <x:v>0.995</x:v>
      </x:c>
      <x:c r="L16" s="13" t="str"/>
      <x:c r="M16" s="13" t="str">
        <x:f>IF(L16=1,IF(AND(COUNT(J16)=1,J16&gt;=K16),"PASS","FAIL"),"OPEN")</x:f>
        <x:v>OPEN</x:v>
      </x:c>
    </x:row>
    <x:row r="17">
      <x:c r="B17" s="13" t="str">
        <x:v>RAS-RP-11</x:v>
      </x:c>
      <x:c r="C17" s="13" t="str">
        <x:v>RAS-E066</x:v>
      </x:c>
      <x:c r="D17" s="13" t="str">
        <x:v>AM-05</x:v>
      </x:c>
      <x:c r="E17" s="13" t="str">
        <x:v>TR-B</x:v>
      </x:c>
      <x:c r="F17" s="13" t="str">
        <x:v>RFP-C1</x:v>
      </x:c>
      <x:c r="G17" s="13" t="str">
        <x:v>PTC-B</x:v>
      </x:c>
      <x:c r="H17" s="13" t="str"/>
      <x:c r="I17" s="13" t="str"/>
      <x:c r="J17" s="13" t="str">
        <x:f>IF(OR(H17="",I17=""),"",IF(H17=I17,1,0))</x:f>
      </x:c>
      <x:c r="K17" s="13" t="n">
        <x:v>0.995</x:v>
      </x:c>
      <x:c r="L17" s="13" t="str"/>
      <x:c r="M17" s="13" t="str">
        <x:f>IF(L17=1,IF(AND(COUNT(J17)=1,J17&gt;=K17),"PASS","FAIL"),"OPEN")</x:f>
        <x:v>OPEN</x:v>
      </x:c>
    </x:row>
    <x:row r="18">
      <x:c r="B18" s="13" t="str">
        <x:v>RAS-RP-12</x:v>
      </x:c>
      <x:c r="C18" s="13" t="str">
        <x:v>RAS-E072</x:v>
      </x:c>
      <x:c r="D18" s="13" t="str">
        <x:v>AM-05</x:v>
      </x:c>
      <x:c r="E18" s="13" t="str">
        <x:v>TR-B</x:v>
      </x:c>
      <x:c r="F18" s="13" t="str">
        <x:v>RFP-C2</x:v>
      </x:c>
      <x:c r="G18" s="13" t="str">
        <x:v>PTC-B</x:v>
      </x:c>
      <x:c r="H18" s="13" t="str"/>
      <x:c r="I18" s="13" t="str"/>
      <x:c r="J18" s="13" t="str">
        <x:f>IF(OR(H18="",I18=""),"",IF(H18=I18,1,0))</x:f>
      </x:c>
      <x:c r="K18" s="13" t="n">
        <x:v>0.995</x:v>
      </x:c>
      <x:c r="L18" s="13" t="str"/>
      <x:c r="M18" s="13" t="str">
        <x:f>IF(L18=1,IF(AND(COUNT(J18)=1,J18&gt;=K18),"PASS","FAIL"),"OPEN")</x:f>
        <x:v>OPEN</x:v>
      </x:c>
    </x:row>
    <x:row r="19">
      <x:c r="B19" s="13" t="str">
        <x:v>RAS-RP-13</x:v>
      </x:c>
      <x:c r="C19" s="13" t="str">
        <x:v>RAS-E078</x:v>
      </x:c>
      <x:c r="D19" s="13" t="str">
        <x:v>AM-06</x:v>
      </x:c>
      <x:c r="E19" s="13" t="str">
        <x:v>TR-A</x:v>
      </x:c>
      <x:c r="F19" s="13" t="str">
        <x:v>RFP-A1</x:v>
      </x:c>
      <x:c r="G19" s="13" t="str">
        <x:v>PTC-B</x:v>
      </x:c>
      <x:c r="H19" s="13" t="str"/>
      <x:c r="I19" s="13" t="str"/>
      <x:c r="J19" s="13" t="str">
        <x:f>IF(OR(H19="",I19=""),"",IF(H19=I19,1,0))</x:f>
      </x:c>
      <x:c r="K19" s="13" t="n">
        <x:v>0.995</x:v>
      </x:c>
      <x:c r="L19" s="13" t="str"/>
      <x:c r="M19" s="13" t="str">
        <x:f>IF(L19=1,IF(AND(COUNT(J19)=1,J19&gt;=K19),"PASS","FAIL"),"OPEN")</x:f>
        <x:v>OPEN</x:v>
      </x:c>
    </x:row>
    <x:row r="20">
      <x:c r="B20" s="13" t="str">
        <x:v>RAS-RP-14</x:v>
      </x:c>
      <x:c r="C20" s="13" t="str">
        <x:v>RAS-E084</x:v>
      </x:c>
      <x:c r="D20" s="13" t="str">
        <x:v>AM-06</x:v>
      </x:c>
      <x:c r="E20" s="13" t="str">
        <x:v>TR-A</x:v>
      </x:c>
      <x:c r="F20" s="13" t="str">
        <x:v>RFP-A2</x:v>
      </x:c>
      <x:c r="G20" s="13" t="str">
        <x:v>PTC-B</x:v>
      </x:c>
      <x:c r="H20" s="13" t="str"/>
      <x:c r="I20" s="13" t="str"/>
      <x:c r="J20" s="13" t="str">
        <x:f>IF(OR(H20="",I20=""),"",IF(H20=I20,1,0))</x:f>
      </x:c>
      <x:c r="K20" s="13" t="n">
        <x:v>0.995</x:v>
      </x:c>
      <x:c r="L20" s="13" t="str"/>
      <x:c r="M20" s="13" t="str">
        <x:f>IF(L20=1,IF(AND(COUNT(J20)=1,J20&gt;=K20),"PASS","FAIL"),"OPEN")</x:f>
        <x:v>OPEN</x:v>
      </x:c>
    </x:row>
    <x:row r="21">
      <x:c r="B21" s="13" t="str">
        <x:v>RAS-RP-15</x:v>
      </x:c>
      <x:c r="C21" s="13" t="str">
        <x:v>RAS-E090</x:v>
      </x:c>
      <x:c r="D21" s="13" t="str">
        <x:v>AM-06</x:v>
      </x:c>
      <x:c r="E21" s="13" t="str">
        <x:v>TR-A</x:v>
      </x:c>
      <x:c r="F21" s="13" t="str">
        <x:v>RFP-B1</x:v>
      </x:c>
      <x:c r="G21" s="13" t="str">
        <x:v>PTC-C</x:v>
      </x:c>
      <x:c r="H21" s="13" t="str"/>
      <x:c r="I21" s="13" t="str"/>
      <x:c r="J21" s="13" t="str">
        <x:f>IF(OR(H21="",I21=""),"",IF(H21=I21,1,0))</x:f>
      </x:c>
      <x:c r="K21" s="13" t="n">
        <x:v>0.995</x:v>
      </x:c>
      <x:c r="L21" s="13" t="str"/>
      <x:c r="M21" s="13" t="str">
        <x:f>IF(L21=1,IF(AND(COUNT(J21)=1,J21&gt;=K21),"PASS","FAIL"),"OPEN")</x:f>
        <x:v>OPEN</x:v>
      </x:c>
    </x:row>
    <x:row r="22">
      <x:c r="B22" s="13" t="str">
        <x:v>RAS-RP-16</x:v>
      </x:c>
      <x:c r="C22" s="13" t="str">
        <x:v>RAS-E096</x:v>
      </x:c>
      <x:c r="D22" s="13" t="str">
        <x:v>AM-06</x:v>
      </x:c>
      <x:c r="E22" s="13" t="str">
        <x:v>TR-A</x:v>
      </x:c>
      <x:c r="F22" s="13" t="str">
        <x:v>RFP-B2</x:v>
      </x:c>
      <x:c r="G22" s="13" t="str">
        <x:v>PTC-C</x:v>
      </x:c>
      <x:c r="H22" s="13" t="str"/>
      <x:c r="I22" s="13" t="str"/>
      <x:c r="J22" s="13" t="str">
        <x:f>IF(OR(H22="",I22=""),"",IF(H22=I22,1,0))</x:f>
      </x:c>
      <x:c r="K22" s="13" t="n">
        <x:v>0.995</x:v>
      </x:c>
      <x:c r="L22" s="13" t="str"/>
      <x:c r="M22" s="13" t="str">
        <x:f>IF(L22=1,IF(AND(COUNT(J22)=1,J22&gt;=K22),"PASS","FAIL"),"OPEN")</x:f>
        <x:v>OPEN</x:v>
      </x:c>
    </x:row>
    <x:row r="23">
      <x:c r="B23" s="13" t="str">
        <x:v>RAS-RP-17</x:v>
      </x:c>
      <x:c r="C23" s="13" t="str">
        <x:v>RAS-E102</x:v>
      </x:c>
      <x:c r="D23" s="13" t="str">
        <x:v>AM-06</x:v>
      </x:c>
      <x:c r="E23" s="13" t="str">
        <x:v>TR-A</x:v>
      </x:c>
      <x:c r="F23" s="13" t="str">
        <x:v>RFP-C1</x:v>
      </x:c>
      <x:c r="G23" s="13" t="str">
        <x:v>PTC-B</x:v>
      </x:c>
      <x:c r="H23" s="13" t="str"/>
      <x:c r="I23" s="13" t="str"/>
      <x:c r="J23" s="13" t="str">
        <x:f>IF(OR(H23="",I23=""),"",IF(H23=I23,1,0))</x:f>
      </x:c>
      <x:c r="K23" s="13" t="n">
        <x:v>0.995</x:v>
      </x:c>
      <x:c r="L23" s="13" t="str"/>
      <x:c r="M23" s="13" t="str">
        <x:f>IF(L23=1,IF(AND(COUNT(J23)=1,J23&gt;=K23),"PASS","FAIL"),"OPEN")</x:f>
        <x:v>OPEN</x:v>
      </x:c>
    </x:row>
    <x:row r="24">
      <x:c r="B24" s="13" t="str">
        <x:v>RAS-RP-18</x:v>
      </x:c>
      <x:c r="C24" s="13" t="str">
        <x:v>RAS-E108</x:v>
      </x:c>
      <x:c r="D24" s="13" t="str">
        <x:v>AM-06</x:v>
      </x:c>
      <x:c r="E24" s="13" t="str">
        <x:v>TR-A</x:v>
      </x:c>
      <x:c r="F24" s="13" t="str">
        <x:v>RFP-C2</x:v>
      </x:c>
      <x:c r="G24" s="13" t="str">
        <x:v>PTC-B</x:v>
      </x:c>
      <x:c r="H24" s="13" t="str"/>
      <x:c r="I24" s="13" t="str"/>
      <x:c r="J24" s="13" t="str">
        <x:f>IF(OR(H24="",I24=""),"",IF(H24=I24,1,0))</x:f>
      </x:c>
      <x:c r="K24" s="13" t="n">
        <x:v>0.995</x:v>
      </x:c>
      <x:c r="L24" s="13" t="str"/>
      <x:c r="M24" s="13" t="str">
        <x:f>IF(L24=1,IF(AND(COUNT(J24)=1,J24&gt;=K24),"PASS","FAIL"),"OPEN")</x:f>
        <x:v>OPEN</x:v>
      </x:c>
    </x:row>
    <x:row r="25">
      <x:c r="B25" s="13" t="str">
        <x:v>RAS-RP-19</x:v>
      </x:c>
      <x:c r="C25" s="13" t="str">
        <x:v>RAS-E114</x:v>
      </x:c>
      <x:c r="D25" s="13" t="str">
        <x:v>AM-06</x:v>
      </x:c>
      <x:c r="E25" s="13" t="str">
        <x:v>TR-B</x:v>
      </x:c>
      <x:c r="F25" s="13" t="str">
        <x:v>RFP-A1</x:v>
      </x:c>
      <x:c r="G25" s="13" t="str">
        <x:v>PTC-B</x:v>
      </x:c>
      <x:c r="H25" s="13" t="str"/>
      <x:c r="I25" s="13" t="str"/>
      <x:c r="J25" s="13" t="str">
        <x:f>IF(OR(H25="",I25=""),"",IF(H25=I25,1,0))</x:f>
      </x:c>
      <x:c r="K25" s="13" t="n">
        <x:v>0.995</x:v>
      </x:c>
      <x:c r="L25" s="13" t="str"/>
      <x:c r="M25" s="13" t="str">
        <x:f>IF(L25=1,IF(AND(COUNT(J25)=1,J25&gt;=K25),"PASS","FAIL"),"OPEN")</x:f>
        <x:v>OPEN</x:v>
      </x:c>
    </x:row>
    <x:row r="26">
      <x:c r="B26" s="13" t="str">
        <x:v>RAS-RP-20</x:v>
      </x:c>
      <x:c r="C26" s="13" t="str">
        <x:v>RAS-E120</x:v>
      </x:c>
      <x:c r="D26" s="13" t="str">
        <x:v>AM-06</x:v>
      </x:c>
      <x:c r="E26" s="13" t="str">
        <x:v>TR-B</x:v>
      </x:c>
      <x:c r="F26" s="13" t="str">
        <x:v>RFP-A2</x:v>
      </x:c>
      <x:c r="G26" s="13" t="str">
        <x:v>PTC-B</x:v>
      </x:c>
      <x:c r="H26" s="13" t="str"/>
      <x:c r="I26" s="13" t="str"/>
      <x:c r="J26" s="13" t="str">
        <x:f>IF(OR(H26="",I26=""),"",IF(H26=I26,1,0))</x:f>
      </x:c>
      <x:c r="K26" s="13" t="n">
        <x:v>0.995</x:v>
      </x:c>
      <x:c r="L26" s="13" t="str"/>
      <x:c r="M26" s="13" t="str">
        <x:f>IF(L26=1,IF(AND(COUNT(J26)=1,J26&gt;=K26),"PASS","FAIL"),"OPEN")</x:f>
        <x:v>OPEN</x:v>
      </x:c>
    </x:row>
    <x:row r="27">
      <x:c r="B27" s="13" t="str">
        <x:v>RAS-RP-21</x:v>
      </x:c>
      <x:c r="C27" s="13" t="str">
        <x:v>RAS-E126</x:v>
      </x:c>
      <x:c r="D27" s="13" t="str">
        <x:v>AM-06</x:v>
      </x:c>
      <x:c r="E27" s="13" t="str">
        <x:v>TR-B</x:v>
      </x:c>
      <x:c r="F27" s="13" t="str">
        <x:v>RFP-B1</x:v>
      </x:c>
      <x:c r="G27" s="13" t="str">
        <x:v>PTC-C</x:v>
      </x:c>
      <x:c r="H27" s="13" t="str"/>
      <x:c r="I27" s="13" t="str"/>
      <x:c r="J27" s="13" t="str">
        <x:f>IF(OR(H27="",I27=""),"",IF(H27=I27,1,0))</x:f>
      </x:c>
      <x:c r="K27" s="13" t="n">
        <x:v>0.995</x:v>
      </x:c>
      <x:c r="L27" s="13" t="str"/>
      <x:c r="M27" s="13" t="str">
        <x:f>IF(L27=1,IF(AND(COUNT(J27)=1,J27&gt;=K27),"PASS","FAIL"),"OPEN")</x:f>
        <x:v>OPEN</x:v>
      </x:c>
    </x:row>
    <x:row r="28">
      <x:c r="B28" s="13" t="str">
        <x:v>RAS-RP-22</x:v>
      </x:c>
      <x:c r="C28" s="13" t="str">
        <x:v>RAS-E132</x:v>
      </x:c>
      <x:c r="D28" s="13" t="str">
        <x:v>AM-06</x:v>
      </x:c>
      <x:c r="E28" s="13" t="str">
        <x:v>TR-B</x:v>
      </x:c>
      <x:c r="F28" s="13" t="str">
        <x:v>RFP-B2</x:v>
      </x:c>
      <x:c r="G28" s="13" t="str">
        <x:v>PTC-C</x:v>
      </x:c>
      <x:c r="H28" s="13" t="str"/>
      <x:c r="I28" s="13" t="str"/>
      <x:c r="J28" s="13" t="str">
        <x:f>IF(OR(H28="",I28=""),"",IF(H28=I28,1,0))</x:f>
      </x:c>
      <x:c r="K28" s="13" t="n">
        <x:v>0.995</x:v>
      </x:c>
      <x:c r="L28" s="13" t="str"/>
      <x:c r="M28" s="13" t="str">
        <x:f>IF(L28=1,IF(AND(COUNT(J28)=1,J28&gt;=K28),"PASS","FAIL"),"OPEN")</x:f>
        <x:v>OPEN</x:v>
      </x:c>
    </x:row>
    <x:row r="29">
      <x:c r="B29" s="13" t="str">
        <x:v>RAS-RP-23</x:v>
      </x:c>
      <x:c r="C29" s="13" t="str">
        <x:v>RAS-E138</x:v>
      </x:c>
      <x:c r="D29" s="13" t="str">
        <x:v>AM-06</x:v>
      </x:c>
      <x:c r="E29" s="13" t="str">
        <x:v>TR-B</x:v>
      </x:c>
      <x:c r="F29" s="13" t="str">
        <x:v>RFP-C1</x:v>
      </x:c>
      <x:c r="G29" s="13" t="str">
        <x:v>PTC-B</x:v>
      </x:c>
      <x:c r="H29" s="13" t="str"/>
      <x:c r="I29" s="13" t="str"/>
      <x:c r="J29" s="13" t="str">
        <x:f>IF(OR(H29="",I29=""),"",IF(H29=I29,1,0))</x:f>
      </x:c>
      <x:c r="K29" s="13" t="n">
        <x:v>0.995</x:v>
      </x:c>
      <x:c r="L29" s="13" t="str"/>
      <x:c r="M29" s="13" t="str">
        <x:f>IF(L29=1,IF(AND(COUNT(J29)=1,J29&gt;=K29),"PASS","FAIL"),"OPEN")</x:f>
        <x:v>OPEN</x:v>
      </x:c>
    </x:row>
    <x:row r="30">
      <x:c r="B30" s="13" t="str">
        <x:v>RAS-RP-24</x:v>
      </x:c>
      <x:c r="C30" s="13" t="str">
        <x:v>RAS-E144</x:v>
      </x:c>
      <x:c r="D30" s="13" t="str">
        <x:v>AM-06</x:v>
      </x:c>
      <x:c r="E30" s="13" t="str">
        <x:v>TR-B</x:v>
      </x:c>
      <x:c r="F30" s="13" t="str">
        <x:v>RFP-C2</x:v>
      </x:c>
      <x:c r="G30" s="13" t="str">
        <x:v>PTC-B</x:v>
      </x:c>
      <x:c r="H30" s="13" t="str"/>
      <x:c r="I30" s="13" t="str"/>
      <x:c r="J30" s="13" t="str">
        <x:f>IF(OR(H30="",I30=""),"",IF(H30=I30,1,0))</x:f>
      </x:c>
      <x:c r="K30" s="13" t="n">
        <x:v>0.995</x:v>
      </x:c>
      <x:c r="L30" s="13" t="str"/>
      <x:c r="M30" s="13" t="str">
        <x:f>IF(L30=1,IF(AND(COUNT(J30)=1,J30&gt;=K30),"PASS","FAIL"),"OPEN")</x:f>
        <x:v>OPEN</x:v>
      </x:c>
    </x:row>
  </x:sheetData>
  <x:conditionalFormatting sqref="M7:M30">
    <x:cfRule type="containsText" dxfId="192" priority="1" operator="containsText" text="FAIL"/>
    <x:cfRule type="containsText" dxfId="193" priority="2" operator="containsText" text="INVALID"/>
    <x:cfRule type="containsText" dxfId="194" priority="3" operator="containsText" text="BLOCKED"/>
    <x:cfRule type="containsText" dxfId="195" priority="4" operator="containsText" text="OPEN"/>
    <x:cfRule type="containsText" dxfId="196" priority="5" operator="containsText" text="GAP"/>
    <x:cfRule type="containsText" dxfId="197" priority="6" operator="containsText" text="DORMANT"/>
    <x:cfRule type="containsText" dxfId="198" priority="7" operator="containsText" text="PASS"/>
    <x:cfRule type="containsText" dxfId="199" priority="8" operator="containsText" text="VALID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20" hidden="0" customWidth="1"/>
    <x:col min="5" max="5" width="16" hidden="0" customWidth="1"/>
    <x:col min="6" max="6" width="22" hidden="0" customWidth="1"/>
    <x:col min="7" max="7" width="16" hidden="0" customWidth="1"/>
    <x:col min="8" max="8" width="55" hidden="0" customWidth="1"/>
    <x:col min="9" max="9" width="14" hidden="0" customWidth="1"/>
    <x:col min="1" max="1" width="3" hidden="0" customWidth="1"/>
  </x:cols>
  <x:sheetData>
    <x:row r="2">
      <x:c r="B2" s="12" t="str">
        <x:v>Twenty-nine invalid-attempt reserve tokens</x:v>
      </x:c>
      <x:c r="C2" s="13"/>
      <x:c r="D2" s="13"/>
      <x:c r="E2" s="13"/>
      <x:c r="F2" s="13"/>
      <x:c r="G2" s="13"/>
      <x:c r="H2" s="13"/>
      <x:c r="I2" s="13"/>
    </x:row>
    <x:row r="3">
      <x:c r="B3" s="2" t="str">
        <x:v>Reserve is class-specific and dormant; it cannot compensate for a failed valid event.</x:v>
      </x:c>
      <x:c r="C3" s="13"/>
      <x:c r="D3" s="13"/>
      <x:c r="E3" s="13"/>
      <x:c r="F3" s="13"/>
      <x:c r="G3" s="13"/>
      <x:c r="H3" s="13"/>
      <x:c r="I3" s="13"/>
    </x:row>
    <x:row r="4">
      <x:c r="B4" s="13"/>
      <x:c r="C4" s="13"/>
      <x:c r="D4" s="13"/>
      <x:c r="E4" s="13"/>
      <x:c r="F4" s="13"/>
      <x:c r="G4" s="13"/>
      <x:c r="H4" s="13"/>
      <x:c r="I4" s="13"/>
    </x:row>
    <x:row r="5">
      <x:c r="B5" s="13"/>
      <x:c r="C5" s="13"/>
      <x:c r="D5" s="13"/>
      <x:c r="E5" s="13"/>
      <x:c r="F5" s="13"/>
      <x:c r="G5" s="13"/>
      <x:c r="H5" s="13"/>
      <x:c r="I5" s="13"/>
    </x:row>
    <x:row r="6" ht="24" customHeight="1">
      <x:c r="B6" s="6" t="str">
        <x:v>Token</x:v>
      </x:c>
      <x:c r="C6" s="6" t="str">
        <x:v>Class</x:v>
      </x:c>
      <x:c r="D6" s="6" t="str">
        <x:v>Within-class token</x:v>
      </x:c>
      <x:c r="E6" s="6" t="str">
        <x:v>Source kg</x:v>
      </x:c>
      <x:c r="F6" s="6" t="str">
        <x:v>Worst-case water m3</x:v>
      </x:c>
      <x:c r="G6" s="6" t="str">
        <x:v>Rig-days</x:v>
      </x:c>
      <x:c r="H6" s="6" t="str">
        <x:v>Rule</x:v>
      </x:c>
      <x:c r="I6" s="6" t="str">
        <x:v>State</x:v>
      </x:c>
    </x:row>
    <x:row r="7" ht="36" customHeight="1">
      <x:c r="B7" s="13" t="str">
        <x:v>RAS-RV-01</x:v>
      </x:c>
      <x:c r="C7" s="13" t="str">
        <x:v>QE-01</x:v>
      </x:c>
      <x:c r="D7" s="13" t="n">
        <x:v>1</x:v>
      </x:c>
      <x:c r="E7" s="13" t="n">
        <x:v>0</x:v>
      </x:c>
      <x:c r="F7" s="13" t="n">
        <x:v>0</x:v>
      </x:c>
      <x:c r="G7" s="13" t="n">
        <x:v>2</x:v>
      </x:c>
      <x:c r="H7" s="14" t="str">
        <x:v>unassigned until a base attempt is invalid</x:v>
      </x:c>
      <x:c r="I7" s="13" t="str">
        <x:v>DORMANT</x:v>
      </x:c>
    </x:row>
    <x:row r="8" ht="36" customHeight="1">
      <x:c r="B8" s="13" t="str">
        <x:v>RAS-RV-02</x:v>
      </x:c>
      <x:c r="C8" s="13" t="str">
        <x:v>QE-01</x:v>
      </x:c>
      <x:c r="D8" s="13" t="n">
        <x:v>2</x:v>
      </x:c>
      <x:c r="E8" s="13" t="n">
        <x:v>0</x:v>
      </x:c>
      <x:c r="F8" s="13" t="n">
        <x:v>0</x:v>
      </x:c>
      <x:c r="G8" s="13" t="n">
        <x:v>2</x:v>
      </x:c>
      <x:c r="H8" s="14" t="str">
        <x:v>unassigned until a base attempt is invalid</x:v>
      </x:c>
      <x:c r="I8" s="13" t="str">
        <x:v>DORMANT</x:v>
      </x:c>
    </x:row>
    <x:row r="9" ht="36" customHeight="1">
      <x:c r="B9" s="13" t="str">
        <x:v>RAS-RV-03</x:v>
      </x:c>
      <x:c r="C9" s="13" t="str">
        <x:v>QE-01</x:v>
      </x:c>
      <x:c r="D9" s="13" t="n">
        <x:v>3</x:v>
      </x:c>
      <x:c r="E9" s="13" t="n">
        <x:v>0</x:v>
      </x:c>
      <x:c r="F9" s="13" t="n">
        <x:v>0</x:v>
      </x:c>
      <x:c r="G9" s="13" t="n">
        <x:v>2</x:v>
      </x:c>
      <x:c r="H9" s="14" t="str">
        <x:v>unassigned until a base attempt is invalid</x:v>
      </x:c>
      <x:c r="I9" s="13" t="str">
        <x:v>DORMANT</x:v>
      </x:c>
    </x:row>
    <x:row r="10" ht="36" customHeight="1">
      <x:c r="B10" s="13" t="str">
        <x:v>RAS-RV-04</x:v>
      </x:c>
      <x:c r="C10" s="13" t="str">
        <x:v>QE-02</x:v>
      </x:c>
      <x:c r="D10" s="13" t="n">
        <x:v>1</x:v>
      </x:c>
      <x:c r="E10" s="13" t="n">
        <x:v>100</x:v>
      </x:c>
      <x:c r="F10" s="13" t="n">
        <x:v>0</x:v>
      </x:c>
      <x:c r="G10" s="13" t="n">
        <x:v>3</x:v>
      </x:c>
      <x:c r="H10" s="14" t="str">
        <x:v>unassigned until a base attempt is invalid</x:v>
      </x:c>
      <x:c r="I10" s="13" t="str">
        <x:v>DORMANT</x:v>
      </x:c>
    </x:row>
    <x:row r="11" ht="36" customHeight="1">
      <x:c r="B11" s="13" t="str">
        <x:v>RAS-RV-05</x:v>
      </x:c>
      <x:c r="C11" s="13" t="str">
        <x:v>QE-02</x:v>
      </x:c>
      <x:c r="D11" s="13" t="n">
        <x:v>2</x:v>
      </x:c>
      <x:c r="E11" s="13" t="n">
        <x:v>100</x:v>
      </x:c>
      <x:c r="F11" s="13" t="n">
        <x:v>0</x:v>
      </x:c>
      <x:c r="G11" s="13" t="n">
        <x:v>3</x:v>
      </x:c>
      <x:c r="H11" s="14" t="str">
        <x:v>unassigned until a base attempt is invalid</x:v>
      </x:c>
      <x:c r="I11" s="13" t="str">
        <x:v>DORMANT</x:v>
      </x:c>
    </x:row>
    <x:row r="12" ht="36" customHeight="1">
      <x:c r="B12" s="13" t="str">
        <x:v>RAS-RV-06</x:v>
      </x:c>
      <x:c r="C12" s="13" t="str">
        <x:v>QE-02</x:v>
      </x:c>
      <x:c r="D12" s="13" t="n">
        <x:v>3</x:v>
      </x:c>
      <x:c r="E12" s="13" t="n">
        <x:v>100</x:v>
      </x:c>
      <x:c r="F12" s="13" t="n">
        <x:v>0</x:v>
      </x:c>
      <x:c r="G12" s="13" t="n">
        <x:v>3</x:v>
      </x:c>
      <x:c r="H12" s="14" t="str">
        <x:v>unassigned until a base attempt is invalid</x:v>
      </x:c>
      <x:c r="I12" s="13" t="str">
        <x:v>DORMANT</x:v>
      </x:c>
    </x:row>
    <x:row r="13" ht="36" customHeight="1">
      <x:c r="B13" s="13" t="str">
        <x:v>RAS-RV-07</x:v>
      </x:c>
      <x:c r="C13" s="13" t="str">
        <x:v>QE-03</x:v>
      </x:c>
      <x:c r="D13" s="13" t="n">
        <x:v>1</x:v>
      </x:c>
      <x:c r="E13" s="13" t="n">
        <x:v>250</x:v>
      </x:c>
      <x:c r="F13" s="13" t="n">
        <x:v>0</x:v>
      </x:c>
      <x:c r="G13" s="13" t="n">
        <x:v>3</x:v>
      </x:c>
      <x:c r="H13" s="14" t="str">
        <x:v>unassigned until a base attempt is invalid</x:v>
      </x:c>
      <x:c r="I13" s="13" t="str">
        <x:v>DORMANT</x:v>
      </x:c>
    </x:row>
    <x:row r="14" ht="36" customHeight="1">
      <x:c r="B14" s="13" t="str">
        <x:v>RAS-RV-08</x:v>
      </x:c>
      <x:c r="C14" s="13" t="str">
        <x:v>QE-03</x:v>
      </x:c>
      <x:c r="D14" s="13" t="n">
        <x:v>2</x:v>
      </x:c>
      <x:c r="E14" s="13" t="n">
        <x:v>250</x:v>
      </x:c>
      <x:c r="F14" s="13" t="n">
        <x:v>0</x:v>
      </x:c>
      <x:c r="G14" s="13" t="n">
        <x:v>3</x:v>
      </x:c>
      <x:c r="H14" s="14" t="str">
        <x:v>unassigned until a base attempt is invalid</x:v>
      </x:c>
      <x:c r="I14" s="13" t="str">
        <x:v>DORMANT</x:v>
      </x:c>
    </x:row>
    <x:row r="15" ht="36" customHeight="1">
      <x:c r="B15" s="13" t="str">
        <x:v>RAS-RV-09</x:v>
      </x:c>
      <x:c r="C15" s="13" t="str">
        <x:v>QE-03</x:v>
      </x:c>
      <x:c r="D15" s="13" t="n">
        <x:v>3</x:v>
      </x:c>
      <x:c r="E15" s="13" t="n">
        <x:v>250</x:v>
      </x:c>
      <x:c r="F15" s="13" t="n">
        <x:v>0</x:v>
      </x:c>
      <x:c r="G15" s="13" t="n">
        <x:v>3</x:v>
      </x:c>
      <x:c r="H15" s="14" t="str">
        <x:v>unassigned until a base attempt is invalid</x:v>
      </x:c>
      <x:c r="I15" s="13" t="str">
        <x:v>DORMANT</x:v>
      </x:c>
    </x:row>
    <x:row r="16" ht="36" customHeight="1">
      <x:c r="B16" s="13" t="str">
        <x:v>RAS-RV-10</x:v>
      </x:c>
      <x:c r="C16" s="13" t="str">
        <x:v>QE-03</x:v>
      </x:c>
      <x:c r="D16" s="13" t="n">
        <x:v>4</x:v>
      </x:c>
      <x:c r="E16" s="13" t="n">
        <x:v>250</x:v>
      </x:c>
      <x:c r="F16" s="13" t="n">
        <x:v>0</x:v>
      </x:c>
      <x:c r="G16" s="13" t="n">
        <x:v>3</x:v>
      </x:c>
      <x:c r="H16" s="14" t="str">
        <x:v>unassigned until a base attempt is invalid</x:v>
      </x:c>
      <x:c r="I16" s="13" t="str">
        <x:v>DORMANT</x:v>
      </x:c>
    </x:row>
    <x:row r="17" ht="36" customHeight="1">
      <x:c r="B17" s="13" t="str">
        <x:v>RAS-RV-11</x:v>
      </x:c>
      <x:c r="C17" s="13" t="str">
        <x:v>QE-04</x:v>
      </x:c>
      <x:c r="D17" s="13" t="n">
        <x:v>1</x:v>
      </x:c>
      <x:c r="E17" s="13" t="n">
        <x:v>500</x:v>
      </x:c>
      <x:c r="F17" s="13" t="n">
        <x:v>0</x:v>
      </x:c>
      <x:c r="G17" s="13" t="n">
        <x:v>4</x:v>
      </x:c>
      <x:c r="H17" s="14" t="str">
        <x:v>unassigned until a base attempt is invalid</x:v>
      </x:c>
      <x:c r="I17" s="13" t="str">
        <x:v>DORMANT</x:v>
      </x:c>
    </x:row>
    <x:row r="18" ht="36" customHeight="1">
      <x:c r="B18" s="13" t="str">
        <x:v>RAS-RV-12</x:v>
      </x:c>
      <x:c r="C18" s="13" t="str">
        <x:v>QE-04</x:v>
      </x:c>
      <x:c r="D18" s="13" t="n">
        <x:v>2</x:v>
      </x:c>
      <x:c r="E18" s="13" t="n">
        <x:v>500</x:v>
      </x:c>
      <x:c r="F18" s="13" t="n">
        <x:v>0</x:v>
      </x:c>
      <x:c r="G18" s="13" t="n">
        <x:v>4</x:v>
      </x:c>
      <x:c r="H18" s="14" t="str">
        <x:v>unassigned until a base attempt is invalid</x:v>
      </x:c>
      <x:c r="I18" s="13" t="str">
        <x:v>DORMANT</x:v>
      </x:c>
    </x:row>
    <x:row r="19" ht="36" customHeight="1">
      <x:c r="B19" s="13" t="str">
        <x:v>RAS-RV-13</x:v>
      </x:c>
      <x:c r="C19" s="13" t="str">
        <x:v>QE-04</x:v>
      </x:c>
      <x:c r="D19" s="13" t="n">
        <x:v>3</x:v>
      </x:c>
      <x:c r="E19" s="13" t="n">
        <x:v>500</x:v>
      </x:c>
      <x:c r="F19" s="13" t="n">
        <x:v>0</x:v>
      </x:c>
      <x:c r="G19" s="13" t="n">
        <x:v>4</x:v>
      </x:c>
      <x:c r="H19" s="14" t="str">
        <x:v>unassigned until a base attempt is invalid</x:v>
      </x:c>
      <x:c r="I19" s="13" t="str">
        <x:v>DORMANT</x:v>
      </x:c>
    </x:row>
    <x:row r="20" ht="36" customHeight="1">
      <x:c r="B20" s="13" t="str">
        <x:v>RAS-RV-14</x:v>
      </x:c>
      <x:c r="C20" s="13" t="str">
        <x:v>QE-04</x:v>
      </x:c>
      <x:c r="D20" s="13" t="n">
        <x:v>4</x:v>
      </x:c>
      <x:c r="E20" s="13" t="n">
        <x:v>500</x:v>
      </x:c>
      <x:c r="F20" s="13" t="n">
        <x:v>0</x:v>
      </x:c>
      <x:c r="G20" s="13" t="n">
        <x:v>4</x:v>
      </x:c>
      <x:c r="H20" s="14" t="str">
        <x:v>unassigned until a base attempt is invalid</x:v>
      </x:c>
      <x:c r="I20" s="13" t="str">
        <x:v>DORMANT</x:v>
      </x:c>
    </x:row>
    <x:row r="21" ht="36" customHeight="1">
      <x:c r="B21" s="13" t="str">
        <x:v>RAS-RV-15</x:v>
      </x:c>
      <x:c r="C21" s="13" t="str">
        <x:v>QE-04</x:v>
      </x:c>
      <x:c r="D21" s="13" t="n">
        <x:v>5</x:v>
      </x:c>
      <x:c r="E21" s="13" t="n">
        <x:v>500</x:v>
      </x:c>
      <x:c r="F21" s="13" t="n">
        <x:v>0</x:v>
      </x:c>
      <x:c r="G21" s="13" t="n">
        <x:v>4</x:v>
      </x:c>
      <x:c r="H21" s="14" t="str">
        <x:v>unassigned until a base attempt is invalid</x:v>
      </x:c>
      <x:c r="I21" s="13" t="str">
        <x:v>DORMANT</x:v>
      </x:c>
    </x:row>
    <x:row r="22" ht="36" customHeight="1">
      <x:c r="B22" s="13" t="str">
        <x:v>RAS-RV-16</x:v>
      </x:c>
      <x:c r="C22" s="13" t="str">
        <x:v>QE-05</x:v>
      </x:c>
      <x:c r="D22" s="13" t="n">
        <x:v>1</x:v>
      </x:c>
      <x:c r="E22" s="13" t="n">
        <x:v>500</x:v>
      </x:c>
      <x:c r="F22" s="13" t="n">
        <x:v>24</x:v>
      </x:c>
      <x:c r="G22" s="13" t="n">
        <x:v>6</x:v>
      </x:c>
      <x:c r="H22" s="14" t="str">
        <x:v>unassigned until a base attempt is invalid</x:v>
      </x:c>
      <x:c r="I22" s="13" t="str">
        <x:v>DORMANT</x:v>
      </x:c>
    </x:row>
    <x:row r="23" ht="36" customHeight="1">
      <x:c r="B23" s="13" t="str">
        <x:v>RAS-RV-17</x:v>
      </x:c>
      <x:c r="C23" s="13" t="str">
        <x:v>QE-05</x:v>
      </x:c>
      <x:c r="D23" s="13" t="n">
        <x:v>2</x:v>
      </x:c>
      <x:c r="E23" s="13" t="n">
        <x:v>500</x:v>
      </x:c>
      <x:c r="F23" s="13" t="n">
        <x:v>24</x:v>
      </x:c>
      <x:c r="G23" s="13" t="n">
        <x:v>6</x:v>
      </x:c>
      <x:c r="H23" s="14" t="str">
        <x:v>unassigned until a base attempt is invalid</x:v>
      </x:c>
      <x:c r="I23" s="13" t="str">
        <x:v>DORMANT</x:v>
      </x:c>
    </x:row>
    <x:row r="24" ht="36" customHeight="1">
      <x:c r="B24" s="13" t="str">
        <x:v>RAS-RV-18</x:v>
      </x:c>
      <x:c r="C24" s="13" t="str">
        <x:v>QE-05</x:v>
      </x:c>
      <x:c r="D24" s="13" t="n">
        <x:v>3</x:v>
      </x:c>
      <x:c r="E24" s="13" t="n">
        <x:v>500</x:v>
      </x:c>
      <x:c r="F24" s="13" t="n">
        <x:v>24</x:v>
      </x:c>
      <x:c r="G24" s="13" t="n">
        <x:v>6</x:v>
      </x:c>
      <x:c r="H24" s="14" t="str">
        <x:v>unassigned until a base attempt is invalid</x:v>
      </x:c>
      <x:c r="I24" s="13" t="str">
        <x:v>DORMANT</x:v>
      </x:c>
    </x:row>
    <x:row r="25" ht="36" customHeight="1">
      <x:c r="B25" s="13" t="str">
        <x:v>RAS-RV-19</x:v>
      </x:c>
      <x:c r="C25" s="13" t="str">
        <x:v>QE-05</x:v>
      </x:c>
      <x:c r="D25" s="13" t="n">
        <x:v>4</x:v>
      </x:c>
      <x:c r="E25" s="13" t="n">
        <x:v>500</x:v>
      </x:c>
      <x:c r="F25" s="13" t="n">
        <x:v>24</x:v>
      </x:c>
      <x:c r="G25" s="13" t="n">
        <x:v>6</x:v>
      </x:c>
      <x:c r="H25" s="14" t="str">
        <x:v>unassigned until a base attempt is invalid</x:v>
      </x:c>
      <x:c r="I25" s="13" t="str">
        <x:v>DORMANT</x:v>
      </x:c>
    </x:row>
    <x:row r="26" ht="36" customHeight="1">
      <x:c r="B26" s="13" t="str">
        <x:v>RAS-RV-20</x:v>
      </x:c>
      <x:c r="C26" s="13" t="str">
        <x:v>QE-05</x:v>
      </x:c>
      <x:c r="D26" s="13" t="n">
        <x:v>5</x:v>
      </x:c>
      <x:c r="E26" s="13" t="n">
        <x:v>500</x:v>
      </x:c>
      <x:c r="F26" s="13" t="n">
        <x:v>24</x:v>
      </x:c>
      <x:c r="G26" s="13" t="n">
        <x:v>6</x:v>
      </x:c>
      <x:c r="H26" s="14" t="str">
        <x:v>unassigned until a base attempt is invalid</x:v>
      </x:c>
      <x:c r="I26" s="13" t="str">
        <x:v>DORMANT</x:v>
      </x:c>
    </x:row>
    <x:row r="27" ht="36" customHeight="1">
      <x:c r="B27" s="13" t="str">
        <x:v>RAS-RV-21</x:v>
      </x:c>
      <x:c r="C27" s="13" t="str">
        <x:v>QE-05</x:v>
      </x:c>
      <x:c r="D27" s="13" t="n">
        <x:v>6</x:v>
      </x:c>
      <x:c r="E27" s="13" t="n">
        <x:v>500</x:v>
      </x:c>
      <x:c r="F27" s="13" t="n">
        <x:v>24</x:v>
      </x:c>
      <x:c r="G27" s="13" t="n">
        <x:v>6</x:v>
      </x:c>
      <x:c r="H27" s="14" t="str">
        <x:v>unassigned until a base attempt is invalid</x:v>
      </x:c>
      <x:c r="I27" s="13" t="str">
        <x:v>DORMANT</x:v>
      </x:c>
    </x:row>
    <x:row r="28" ht="36" customHeight="1">
      <x:c r="B28" s="13" t="str">
        <x:v>RAS-RV-22</x:v>
      </x:c>
      <x:c r="C28" s="13" t="str">
        <x:v>QE-06</x:v>
      </x:c>
      <x:c r="D28" s="13" t="n">
        <x:v>1</x:v>
      </x:c>
      <x:c r="E28" s="13" t="n">
        <x:v>500</x:v>
      </x:c>
      <x:c r="F28" s="13" t="n">
        <x:v>48</x:v>
      </x:c>
      <x:c r="G28" s="13" t="n">
        <x:v>8</x:v>
      </x:c>
      <x:c r="H28" s="14" t="str">
        <x:v>unassigned until a base attempt is invalid</x:v>
      </x:c>
      <x:c r="I28" s="13" t="str">
        <x:v>DORMANT</x:v>
      </x:c>
    </x:row>
    <x:row r="29" ht="36" customHeight="1">
      <x:c r="B29" s="13" t="str">
        <x:v>RAS-RV-23</x:v>
      </x:c>
      <x:c r="C29" s="13" t="str">
        <x:v>QE-06</x:v>
      </x:c>
      <x:c r="D29" s="13" t="n">
        <x:v>2</x:v>
      </x:c>
      <x:c r="E29" s="13" t="n">
        <x:v>500</x:v>
      </x:c>
      <x:c r="F29" s="13" t="n">
        <x:v>48</x:v>
      </x:c>
      <x:c r="G29" s="13" t="n">
        <x:v>8</x:v>
      </x:c>
      <x:c r="H29" s="14" t="str">
        <x:v>unassigned until a base attempt is invalid</x:v>
      </x:c>
      <x:c r="I29" s="13" t="str">
        <x:v>DORMANT</x:v>
      </x:c>
    </x:row>
    <x:row r="30" ht="36" customHeight="1">
      <x:c r="B30" s="13" t="str">
        <x:v>RAS-RV-24</x:v>
      </x:c>
      <x:c r="C30" s="13" t="str">
        <x:v>QE-06</x:v>
      </x:c>
      <x:c r="D30" s="13" t="n">
        <x:v>3</x:v>
      </x:c>
      <x:c r="E30" s="13" t="n">
        <x:v>500</x:v>
      </x:c>
      <x:c r="F30" s="13" t="n">
        <x:v>48</x:v>
      </x:c>
      <x:c r="G30" s="13" t="n">
        <x:v>8</x:v>
      </x:c>
      <x:c r="H30" s="14" t="str">
        <x:v>unassigned until a base attempt is invalid</x:v>
      </x:c>
      <x:c r="I30" s="13" t="str">
        <x:v>DORMANT</x:v>
      </x:c>
    </x:row>
    <x:row r="31" ht="36" customHeight="1">
      <x:c r="B31" s="13" t="str">
        <x:v>RAS-RV-25</x:v>
      </x:c>
      <x:c r="C31" s="13" t="str">
        <x:v>QE-06</x:v>
      </x:c>
      <x:c r="D31" s="13" t="n">
        <x:v>4</x:v>
      </x:c>
      <x:c r="E31" s="13" t="n">
        <x:v>500</x:v>
      </x:c>
      <x:c r="F31" s="13" t="n">
        <x:v>48</x:v>
      </x:c>
      <x:c r="G31" s="13" t="n">
        <x:v>8</x:v>
      </x:c>
      <x:c r="H31" s="14" t="str">
        <x:v>unassigned until a base attempt is invalid</x:v>
      </x:c>
      <x:c r="I31" s="13" t="str">
        <x:v>DORMANT</x:v>
      </x:c>
    </x:row>
    <x:row r="32" ht="36" customHeight="1">
      <x:c r="B32" s="13" t="str">
        <x:v>RAS-RV-26</x:v>
      </x:c>
      <x:c r="C32" s="13" t="str">
        <x:v>QE-06</x:v>
      </x:c>
      <x:c r="D32" s="13" t="n">
        <x:v>5</x:v>
      </x:c>
      <x:c r="E32" s="13" t="n">
        <x:v>500</x:v>
      </x:c>
      <x:c r="F32" s="13" t="n">
        <x:v>48</x:v>
      </x:c>
      <x:c r="G32" s="13" t="n">
        <x:v>8</x:v>
      </x:c>
      <x:c r="H32" s="14" t="str">
        <x:v>unassigned until a base attempt is invalid</x:v>
      </x:c>
      <x:c r="I32" s="13" t="str">
        <x:v>DORMANT</x:v>
      </x:c>
    </x:row>
    <x:row r="33" ht="36" customHeight="1">
      <x:c r="B33" s="13" t="str">
        <x:v>RAS-RV-27</x:v>
      </x:c>
      <x:c r="C33" s="13" t="str">
        <x:v>QE-06</x:v>
      </x:c>
      <x:c r="D33" s="13" t="n">
        <x:v>6</x:v>
      </x:c>
      <x:c r="E33" s="13" t="n">
        <x:v>500</x:v>
      </x:c>
      <x:c r="F33" s="13" t="n">
        <x:v>48</x:v>
      </x:c>
      <x:c r="G33" s="13" t="n">
        <x:v>8</x:v>
      </x:c>
      <x:c r="H33" s="14" t="str">
        <x:v>unassigned until a base attempt is invalid</x:v>
      </x:c>
      <x:c r="I33" s="13" t="str">
        <x:v>DORMANT</x:v>
      </x:c>
    </x:row>
    <x:row r="34" ht="36" customHeight="1">
      <x:c r="B34" s="13" t="str">
        <x:v>RAS-RV-28</x:v>
      </x:c>
      <x:c r="C34" s="13" t="str">
        <x:v>QE-06</x:v>
      </x:c>
      <x:c r="D34" s="13" t="n">
        <x:v>7</x:v>
      </x:c>
      <x:c r="E34" s="13" t="n">
        <x:v>500</x:v>
      </x:c>
      <x:c r="F34" s="13" t="n">
        <x:v>48</x:v>
      </x:c>
      <x:c r="G34" s="13" t="n">
        <x:v>8</x:v>
      </x:c>
      <x:c r="H34" s="14" t="str">
        <x:v>unassigned until a base attempt is invalid</x:v>
      </x:c>
      <x:c r="I34" s="13" t="str">
        <x:v>DORMANT</x:v>
      </x:c>
    </x:row>
    <x:row r="35" ht="36" customHeight="1">
      <x:c r="B35" s="13" t="str">
        <x:v>RAS-RV-29</x:v>
      </x:c>
      <x:c r="C35" s="13" t="str">
        <x:v>QE-06</x:v>
      </x:c>
      <x:c r="D35" s="13" t="n">
        <x:v>8</x:v>
      </x:c>
      <x:c r="E35" s="13" t="n">
        <x:v>500</x:v>
      </x:c>
      <x:c r="F35" s="13" t="n">
        <x:v>48</x:v>
      </x:c>
      <x:c r="G35" s="13" t="n">
        <x:v>8</x:v>
      </x:c>
      <x:c r="H35" s="14" t="str">
        <x:v>unassigned until a base attempt is invalid</x:v>
      </x:c>
      <x:c r="I35" s="13" t="str">
        <x:v>DORMANT</x:v>
      </x:c>
    </x:row>
  </x:sheetData>
  <x:conditionalFormatting sqref="I7:I35">
    <x:cfRule type="containsText" dxfId="200" priority="1" operator="containsText" text="FAIL"/>
    <x:cfRule type="containsText" dxfId="201" priority="2" operator="containsText" text="INVALID"/>
    <x:cfRule type="containsText" dxfId="202" priority="3" operator="containsText" text="BLOCKED"/>
    <x:cfRule type="containsText" dxfId="203" priority="4" operator="containsText" text="OPEN"/>
    <x:cfRule type="containsText" dxfId="204" priority="5" operator="containsText" text="GAP"/>
    <x:cfRule type="containsText" dxfId="205" priority="6" operator="containsText" text="DORMANT"/>
    <x:cfRule type="containsText" dxfId="206" priority="7" operator="containsText" text="PASS"/>
    <x:cfRule type="containsText" dxfId="207" priority="8" operator="containsText" text="VALID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2" hidden="0" customWidth="1"/>
    <x:col min="4" max="4" width="18" hidden="0" customWidth="1"/>
    <x:col min="5" max="5" width="14" hidden="0" customWidth="1"/>
    <x:col min="6" max="6" width="72" hidden="0" customWidth="1"/>
    <x:col min="1" max="1" width="3" hidden="0" customWidth="1"/>
  </x:cols>
  <x:sheetData>
    <x:row r="2">
      <x:c r="B2" s="12" t="str">
        <x:v>Source and thermal envelope</x:v>
      </x:c>
      <x:c r="C2" s="13"/>
      <x:c r="D2" s="13"/>
      <x:c r="E2" s="13"/>
      <x:c r="F2" s="13"/>
    </x:row>
    <x:row r="3">
      <x:c r="B3" s="2" t="str">
        <x:v>Mass reduction changes duration before it changes an unconstrained peak consequence.</x:v>
      </x:c>
      <x:c r="C3" s="13"/>
      <x:c r="D3" s="13"/>
      <x:c r="E3" s="13"/>
      <x:c r="F3" s="13"/>
    </x:row>
    <x:row r="4">
      <x:c r="B4" s="13"/>
      <x:c r="C4" s="13"/>
      <x:c r="D4" s="13"/>
      <x:c r="E4" s="13"/>
      <x:c r="F4" s="13"/>
    </x:row>
    <x:row r="5">
      <x:c r="B5" s="13"/>
      <x:c r="C5" s="13"/>
      <x:c r="D5" s="13"/>
      <x:c r="E5" s="13"/>
      <x:c r="F5" s="13"/>
    </x:row>
    <x:row r="6" ht="24" customHeight="1">
      <x:c r="B6" s="6" t="str">
        <x:v>Item</x:v>
      </x:c>
      <x:c r="C6" s="6" t="str">
        <x:v>Quantity</x:v>
      </x:c>
      <x:c r="D6" s="6" t="str">
        <x:v>Value</x:v>
      </x:c>
      <x:c r="E6" s="6" t="str">
        <x:v>Unit</x:v>
      </x:c>
      <x:c r="F6" s="6" t="str">
        <x:v>Interpretation</x:v>
      </x:c>
    </x:row>
    <x:row r="7" ht="38" customHeight="1">
      <x:c r="B7" s="13" t="str">
        <x:v>SB-01</x:v>
      </x:c>
      <x:c r="C7" s="13" t="str">
        <x:v>base source</x:v>
      </x:c>
      <x:c r="D7" s="13" t="n">
        <x:f>SUM('Source Classes'!M7:M12)</x:f>
        <x:v>44.4</x:v>
      </x:c>
      <x:c r="E7" s="13" t="str">
        <x:v>t</x:v>
      </x:c>
      <x:c r="F7" s="14" t="str">
        <x:v>44.4 t scheduled across 144 base events</x:v>
      </x:c>
    </x:row>
    <x:row r="8" ht="38" customHeight="1">
      <x:c r="B8" s="13" t="str">
        <x:v>SB-02</x:v>
      </x:c>
      <x:c r="C8" s="13" t="str">
        <x:v>reserve source</x:v>
      </x:c>
      <x:c r="D8" s="13" t="n">
        <x:f>SUMPRODUCT('Source Classes'!E7:E12,'Source Classes'!L7:L12)/1000</x:f>
        <x:v>10.8</x:v>
      </x:c>
      <x:c r="E8" s="13" t="str">
        <x:v>t</x:v>
      </x:c>
      <x:c r="F8" s="14" t="str">
        <x:v>10.8 t worst-case if all reserve tokens activate</x:v>
      </x:c>
    </x:row>
    <x:row r="9" ht="38" customHeight="1">
      <x:c r="B9" s="13" t="str">
        <x:v>SB-03</x:v>
      </x:c>
      <x:c r="C9" s="13" t="str">
        <x:v>total source envelope</x:v>
      </x:c>
      <x:c r="D9" s="13" t="n">
        <x:f>D7+D8</x:f>
        <x:v>55.2</x:v>
      </x:c>
      <x:c r="E9" s="13" t="str">
        <x:v>t</x:v>
      </x:c>
      <x:c r="F9" s="14" t="str">
        <x:v>planning custody envelope</x:v>
      </x:c>
    </x:row>
    <x:row r="10" ht="38" customHeight="1">
      <x:c r="B10" s="13" t="str">
        <x:v>SB-04</x:v>
      </x:c>
      <x:c r="C10" s="13" t="str">
        <x:v>quarter-source chemical energy</x:v>
      </x:c>
      <x:c r="D10" s="13" t="n">
        <x:f>'Controls'!$D$19*'Controls'!$D$14/1000</x:f>
        <x:v>21.294</x:v>
      </x:c>
      <x:c r="E10" s="13" t="str">
        <x:v>GJ</x:v>
      </x:c>
      <x:c r="F10" s="14" t="str">
        <x:v>500 kg times lower heating value</x:v>
      </x:c>
    </x:row>
    <x:row r="11" ht="38" customHeight="1">
      <x:c r="B11" s="13" t="str">
        <x:v>SB-05</x:v>
      </x:c>
      <x:c r="C11" s="13" t="str">
        <x:v>nominal AM-06 peak heat release</x:v>
      </x:c>
      <x:c r="D11" s="13" t="n">
        <x:f>'Controls'!$D$20*'Controls'!$D$22*'Controls'!$D$14</x:f>
        <x:v>14.639625</x:v>
      </x:c>
      <x:c r="E11" s="13" t="str">
        <x:v>MW</x:v>
      </x:c>
      <x:c r="F11" s="14" t="str">
        <x:v>6.25 m2 nominal area</x:v>
      </x:c>
    </x:row>
    <x:row r="12" ht="38" customHeight="1">
      <x:c r="B12" s="13" t="str">
        <x:v>SB-06</x:v>
      </x:c>
      <x:c r="C12" s="13" t="str">
        <x:v>casualty-area AM-06 peak heat release</x:v>
      </x:c>
      <x:c r="D12" s="13" t="n">
        <x:f>'Controls'!$D$21*'Controls'!$D$22*'Controls'!$D$14</x:f>
        <x:v>58.5585</x:v>
      </x:c>
      <x:c r="E12" s="13" t="str">
        <x:v>MW</x:v>
      </x:c>
      <x:c r="F12" s="14" t="str">
        <x:v>25 m2 area; equal to full-source peak screen</x:v>
      </x:c>
    </x:row>
    <x:row r="13" ht="38" customHeight="1">
      <x:c r="B13" s="13" t="str">
        <x:v>SB-07</x:v>
      </x:c>
      <x:c r="C13" s="13" t="str">
        <x:v>nominal radiative output</x:v>
      </x:c>
      <x:c r="D13" s="13" t="n">
        <x:f>D11*'Controls'!D23</x:f>
        <x:v>5.12386875</x:v>
      </x:c>
      <x:c r="E13" s="13" t="str">
        <x:v>MW</x:v>
      </x:c>
      <x:c r="F13" s="14" t="str">
        <x:v>nominal peak times radiative fraction</x:v>
      </x:c>
    </x:row>
    <x:row r="14" ht="38" customHeight="1">
      <x:c r="B14" s="13" t="str">
        <x:v>SB-08</x:v>
      </x:c>
      <x:c r="C14" s="13" t="str">
        <x:v>casualty-area radiative output</x:v>
      </x:c>
      <x:c r="D14" s="13" t="n">
        <x:f>D12*'Controls'!D23</x:f>
        <x:v>20.495475</x:v>
      </x:c>
      <x:c r="E14" s="13" t="str">
        <x:v>MW</x:v>
      </x:c>
      <x:c r="F14" s="14" t="str">
        <x:v>area-bound peak times radiative fraction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2" hidden="0" customWidth="1"/>
    <x:col min="4" max="4" width="18" hidden="0" customWidth="1"/>
    <x:col min="5" max="5" width="16" hidden="0" customWidth="1"/>
    <x:col min="6" max="6" width="68" hidden="0" customWidth="1"/>
    <x:col min="1" max="1" width="3" hidden="0" customWidth="1"/>
  </x:cols>
  <x:sheetData>
    <x:row r="2">
      <x:c r="B2" s="12" t="str">
        <x:v>Coupled-water envelope</x:v>
      </x:c>
      <x:c r="C2" s="13"/>
      <x:c r="D2" s="13"/>
      <x:c r="E2" s="13"/>
      <x:c r="F2" s="13"/>
    </x:row>
    <x:row r="3">
      <x:c r="B3" s="2" t="str">
        <x:v>Water is an intervention inventory with its own origin, destination, samples and environmental disposition.</x:v>
      </x:c>
      <x:c r="C3" s="13"/>
      <x:c r="D3" s="13"/>
      <x:c r="E3" s="13"/>
      <x:c r="F3" s="13"/>
    </x:row>
    <x:row r="4">
      <x:c r="B4" s="13"/>
      <x:c r="C4" s="13"/>
      <x:c r="D4" s="13"/>
      <x:c r="E4" s="13"/>
      <x:c r="F4" s="13"/>
    </x:row>
    <x:row r="5">
      <x:c r="B5" s="13"/>
      <x:c r="C5" s="13"/>
      <x:c r="D5" s="13"/>
      <x:c r="E5" s="13"/>
      <x:c r="F5" s="13"/>
    </x:row>
    <x:row r="6" ht="24" customHeight="1">
      <x:c r="B6" s="6" t="str">
        <x:v>Item</x:v>
      </x:c>
      <x:c r="C6" s="6" t="str">
        <x:v>Quantity</x:v>
      </x:c>
      <x:c r="D6" s="6" t="str">
        <x:v>Value</x:v>
      </x:c>
      <x:c r="E6" s="6" t="str">
        <x:v>Unit</x:v>
      </x:c>
      <x:c r="F6" s="6" t="str">
        <x:v>Interpretation</x:v>
      </x:c>
    </x:row>
    <x:row r="7" ht="38" customHeight="1">
      <x:c r="B7" s="13" t="str">
        <x:v>WB-01</x:v>
      </x:c>
      <x:c r="C7" s="13" t="str">
        <x:v>AM-06 base water</x:v>
      </x:c>
      <x:c r="D7" s="13" t="n">
        <x:v>864</x:v>
      </x:c>
      <x:c r="E7" s="13" t="str">
        <x:v>m3</x:v>
      </x:c>
      <x:c r="F7" s="14" t="str">
        <x:v>24 QE-05 plus 24 QE-06 events</x:v>
      </x:c>
    </x:row>
    <x:row r="8" ht="38" customHeight="1">
      <x:c r="B8" s="13" t="str">
        <x:v>WB-02</x:v>
      </x:c>
      <x:c r="C8" s="13" t="str">
        <x:v>reserve water envelope</x:v>
      </x:c>
      <x:c r="D8" s="13" t="n">
        <x:v>528</x:v>
      </x:c>
      <x:c r="E8" s="13" t="str">
        <x:v>m3</x:v>
      </x:c>
      <x:c r="F8" s="14" t="str">
        <x:v>six QE-05 and eight QE-06 reserve tokens</x:v>
      </x:c>
    </x:row>
    <x:row r="9" ht="38" customHeight="1">
      <x:c r="B9" s="13" t="str">
        <x:v>WB-03</x:v>
      </x:c>
      <x:c r="C9" s="13" t="str">
        <x:v>total campaign envelope</x:v>
      </x:c>
      <x:c r="D9" s="13" t="n">
        <x:f>D7+D8</x:f>
        <x:v>1392</x:v>
      </x:c>
      <x:c r="E9" s="13" t="str">
        <x:v>m3</x:v>
      </x:c>
      <x:c r="F9" s="14" t="str">
        <x:v>base plus fully activated reserve</x:v>
      </x:c>
    </x:row>
    <x:row r="10" ht="38" customHeight="1">
      <x:c r="B10" s="13" t="str">
        <x:v>WB-04</x:v>
      </x:c>
      <x:c r="C10" s="13" t="str">
        <x:v>normal firewater vault</x:v>
      </x:c>
      <x:c r="D10" s="13" t="n">
        <x:v>40</x:v>
      </x:c>
      <x:c r="E10" s="13" t="str">
        <x:v>m3</x:v>
      </x:c>
      <x:c r="F10" s="14" t="str">
        <x:v>per source train</x:v>
      </x:c>
    </x:row>
    <x:row r="11" ht="38" customHeight="1">
      <x:c r="B11" s="13" t="str">
        <x:v>WB-05</x:v>
      </x:c>
      <x:c r="C11" s="13" t="str">
        <x:v>casualty water receiver</x:v>
      </x:c>
      <x:c r="D11" s="13" t="n">
        <x:v>120</x:v>
      </x:c>
      <x:c r="E11" s="13" t="str">
        <x:v>m3</x:v>
      </x:c>
      <x:c r="F11" s="14" t="str">
        <x:v>per source train</x:v>
      </x:c>
    </x:row>
    <x:row r="12" ht="38" customHeight="1">
      <x:c r="B12" s="13" t="str">
        <x:v>WB-06</x:v>
      </x:c>
      <x:c r="C12" s="13" t="str">
        <x:v>QE-05 receiver utilization</x:v>
      </x:c>
      <x:c r="D12" s="13" t="n">
        <x:f>24/D11</x:f>
        <x:v>0.2</x:v>
      </x:c>
      <x:c r="E12" s="13" t="str">
        <x:v>ratio</x:v>
      </x:c>
      <x:c r="F12" s="14" t="str">
        <x:v>nominal coupled-water volume</x:v>
      </x:c>
    </x:row>
    <x:row r="13" ht="38" customHeight="1">
      <x:c r="B13" s="13" t="str">
        <x:v>WB-07</x:v>
      </x:c>
      <x:c r="C13" s="13" t="str">
        <x:v>QE-06 receiver utilization</x:v>
      </x:c>
      <x:c r="D13" s="13" t="n">
        <x:f>48/D11</x:f>
        <x:v>0.4</x:v>
      </x:c>
      <x:c r="E13" s="13" t="str">
        <x:v>ratio</x:v>
      </x:c>
      <x:c r="F13" s="14" t="str">
        <x:v>bounding coupled-water volume</x:v>
      </x:c>
    </x:row>
    <x:row r="14" ht="38" customHeight="1">
      <x:c r="B14" s="13" t="str">
        <x:v>WB-08</x:v>
      </x:c>
      <x:c r="C14" s="13" t="str">
        <x:v>bounding application rate</x:v>
      </x:c>
      <x:c r="D14" s="13" t="n">
        <x:v>2.4</x:v>
      </x:c>
      <x:c r="E14" s="13" t="str">
        <x:v>m3/min</x:v>
      </x:c>
      <x:c r="F14" s="14" t="str">
        <x:v>screening rate retained from RFA-1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52" hidden="0" customWidth="1"/>
    <x:col min="4" max="4" width="22" hidden="0" customWidth="1"/>
    <x:col min="5" max="5" width="18" hidden="0" customWidth="1"/>
    <x:col min="1" max="1" width="3" hidden="0" customWidth="1"/>
  </x:cols>
  <x:sheetData>
    <x:row r="2">
      <x:c r="B2" s="12" t="str">
        <x:v>Evidence volume and custody envelope</x:v>
      </x:c>
      <x:c r="C2" s="13"/>
      <x:c r="D2" s="13"/>
      <x:c r="E2" s="13"/>
    </x:row>
    <x:row r="3">
      <x:c r="B3" s="2" t="str">
        <x:v>The evidence system preserves native-rate originals, a long tail, two custody copies and replayable packets.</x:v>
      </x:c>
      <x:c r="C3" s="13"/>
      <x:c r="D3" s="13"/>
      <x:c r="E3" s="13"/>
    </x:row>
    <x:row r="4">
      <x:c r="B4" s="13"/>
      <x:c r="C4" s="13"/>
      <x:c r="D4" s="13"/>
      <x:c r="E4" s="13"/>
    </x:row>
    <x:row r="5">
      <x:c r="B5" s="13"/>
      <x:c r="C5" s="13"/>
      <x:c r="D5" s="13"/>
      <x:c r="E5" s="13"/>
    </x:row>
    <x:row r="6" ht="24" customHeight="1">
      <x:c r="B6" s="6" t="str">
        <x:v>Item</x:v>
      </x:c>
      <x:c r="C6" s="6" t="str">
        <x:v>Quantity</x:v>
      </x:c>
      <x:c r="D6" s="6" t="str">
        <x:v>Value</x:v>
      </x:c>
      <x:c r="E6" s="6" t="str">
        <x:v>Unit</x:v>
      </x:c>
    </x:row>
    <x:row r="7">
      <x:c r="B7" s="13" t="str">
        <x:v>EB-01</x:v>
      </x:c>
      <x:c r="C7" s="13" t="str">
        <x:v>full-rate data</x:v>
      </x:c>
      <x:c r="D7" s="13" t="n">
        <x:f>'Controls'!$D$28*'Controls'!$D$29/1000</x:f>
        <x:v>32.042304</x:v>
      </x:c>
      <x:c r="E7" s="13" t="str">
        <x:v>GB/event</x:v>
      </x:c>
    </x:row>
    <x:row r="8">
      <x:c r="B8" s="13" t="str">
        <x:v>EB-02</x:v>
      </x:c>
      <x:c r="C8" s="13" t="str">
        <x:v>tail data</x:v>
      </x:c>
      <x:c r="D8" s="13" t="n">
        <x:f>'Controls'!$D$28*'Controls'!$D$30*'Controls'!$D$31/1000</x:f>
        <x:v>11.53522944</x:v>
      </x:c>
      <x:c r="E8" s="13" t="str">
        <x:v>GB/event</x:v>
      </x:c>
    </x:row>
    <x:row r="9">
      <x:c r="B9" s="13" t="str">
        <x:v>EB-03</x:v>
      </x:c>
      <x:c r="C9" s="13" t="str">
        <x:v>two native originals with custody</x:v>
      </x:c>
      <x:c r="D9" s="13" t="n">
        <x:f>(D7+D8)*'Controls'!D32*'Controls'!D33</x:f>
        <x:v>117.65934028800001</x:v>
      </x:c>
      <x:c r="E9" s="13" t="str">
        <x:v>GB/event</x:v>
      </x:c>
    </x:row>
    <x:row r="10">
      <x:c r="B10" s="13" t="str">
        <x:v>EB-04</x:v>
      </x:c>
      <x:c r="C10" s="13" t="str">
        <x:v>base event evidence</x:v>
      </x:c>
      <x:c r="D10" s="13" t="n">
        <x:f>D9*'Controls'!D11/1000</x:f>
        <x:v>16.942945001472</x:v>
      </x:c>
      <x:c r="E10" s="13" t="str">
        <x:v>TB</x:v>
      </x:c>
    </x:row>
    <x:row r="11">
      <x:c r="B11" s="13" t="str">
        <x:v>EB-05</x:v>
      </x:c>
      <x:c r="C11" s="13" t="str">
        <x:v>base plus reserve with forensic overhead</x:v>
      </x:c>
      <x:c r="D11" s="13" t="n">
        <x:f>D9*('Controls'!D11+'Controls'!D12)*(1+'Controls'!D34)/1000</x:f>
        <x:v>26.461585630771204</x:v>
      </x:c>
      <x:c r="E11" s="13" t="str">
        <x:v>TB</x:v>
      </x:c>
    </x:row>
    <x:row r="12">
      <x:c r="B12" s="13" t="str">
        <x:v>EB-06</x:v>
      </x:c>
      <x:c r="C12" s="13" t="str">
        <x:v>sealed packet count</x:v>
      </x:c>
      <x:c r="D12" s="13" t="n">
        <x:v>144</x:v>
      </x:c>
      <x:c r="E12" s="13" t="str">
        <x:v>packets</x:v>
      </x:c>
    </x:row>
    <x:row r="13">
      <x:c r="B13" s="13" t="str">
        <x:v>EB-07</x:v>
      </x:c>
      <x:c r="C13" s="13" t="str">
        <x:v>outside-site replay count</x:v>
      </x:c>
      <x:c r="D13" s="13" t="n">
        <x:v>24</x:v>
      </x:c>
      <x:c r="E13" s="13" t="str">
        <x:v>packets</x:v>
      </x:c>
    </x:row>
    <x:row r="14">
      <x:c r="B14" s="13" t="str">
        <x:v>EB-08</x:v>
      </x:c>
      <x:c r="C14" s="13" t="str">
        <x:v>retained sample plans</x:v>
      </x:c>
      <x:c r="D14" s="13" t="n">
        <x:v>72</x:v>
      </x:c>
      <x:c r="E14" s="13" t="str">
        <x:v>plans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64" hidden="0" customWidth="1"/>
    <x:col min="5" max="5" width="29" hidden="0" customWidth="1"/>
    <x:col min="6" max="6" width="21" hidden="0" customWidth="1"/>
    <x:col min="7" max="7" width="14" hidden="0" customWidth="1"/>
    <x:col min="8" max="8" width="24" hidden="0" customWidth="1"/>
    <x:col min="9" max="9" width="25" hidden="0" customWidth="1"/>
    <x:col min="1" max="1" width="3" hidden="0" customWidth="1"/>
  </x:cols>
  <x:sheetData>
    <x:row r="2">
      <x:c r="B2" s="12" t="str">
        <x:v>Twelve required evidence objects</x:v>
      </x:c>
      <x:c r="C2" s="13"/>
      <x:c r="D2" s="13"/>
      <x:c r="E2" s="13"/>
      <x:c r="F2" s="13"/>
      <x:c r="G2" s="13"/>
      <x:c r="H2" s="13"/>
      <x:c r="I2" s="13"/>
    </x:row>
    <x:row r="3">
      <x:c r="B3" s="2" t="str">
        <x:v>No derived dashboard can replace a missing native ledger, sample, final-state record or board disposition.</x:v>
      </x:c>
      <x:c r="C3" s="13"/>
      <x:c r="D3" s="13"/>
      <x:c r="E3" s="13"/>
      <x:c r="F3" s="13"/>
      <x:c r="G3" s="13"/>
      <x:c r="H3" s="13"/>
      <x:c r="I3" s="13"/>
    </x:row>
    <x:row r="4">
      <x:c r="B4" s="13"/>
      <x:c r="C4" s="13"/>
      <x:c r="D4" s="13"/>
      <x:c r="E4" s="13"/>
      <x:c r="F4" s="13"/>
      <x:c r="G4" s="13"/>
      <x:c r="H4" s="13"/>
      <x:c r="I4" s="13"/>
    </x:row>
    <x:row r="5">
      <x:c r="B5" s="13"/>
      <x:c r="C5" s="13"/>
      <x:c r="D5" s="13"/>
      <x:c r="E5" s="13"/>
      <x:c r="F5" s="13"/>
      <x:c r="G5" s="13"/>
      <x:c r="H5" s="13"/>
      <x:c r="I5" s="13"/>
    </x:row>
    <x:row r="6" ht="24" customHeight="1">
      <x:c r="B6" s="6" t="str">
        <x:v>Object</x:v>
      </x:c>
      <x:c r="C6" s="6" t="str">
        <x:v>Artifact</x:v>
      </x:c>
      <x:c r="D6" s="6" t="str">
        <x:v>Required content</x:v>
      </x:c>
      <x:c r="E6" s="6" t="str">
        <x:v>Authority</x:v>
      </x:c>
      <x:c r="F6" s="6" t="str">
        <x:v>Accepted UTC</x:v>
      </x:c>
      <x:c r="G6" s="6" t="str">
        <x:v>State</x:v>
      </x:c>
      <x:c r="H6" s="6" t="str">
        <x:v>Hash</x:v>
      </x:c>
      <x:c r="I6" s="6" t="str">
        <x:v>Custodian</x:v>
      </x:c>
    </x:row>
    <x:row r="7" ht="38" customHeight="1">
      <x:c r="B7" s="13" t="str">
        <x:v>EO-01</x:v>
      </x:c>
      <x:c r="C7" s="13" t="str">
        <x:v>source mass ledger</x:v>
      </x:c>
      <x:c r="D7" s="14" t="str">
        <x:v>native measurements and all destinations</x:v>
      </x:c>
      <x:c r="E7" s="13" t="str">
        <x:v>source authority</x:v>
      </x:c>
      <x:c r="F7" s="13" t="str"/>
      <x:c r="G7" s="13" t="str">
        <x:v>OPEN</x:v>
      </x:c>
      <x:c r="H7" s="13" t="str"/>
      <x:c r="I7" s="13" t="str"/>
    </x:row>
    <x:row r="8" ht="38" customHeight="1">
      <x:c r="B8" s="13" t="str">
        <x:v>EO-02</x:v>
      </x:c>
      <x:c r="C8" s="13" t="str">
        <x:v>water mass ledger</x:v>
      </x:c>
      <x:c r="D8" s="14" t="str">
        <x:v>supply, return, receivers and environment</x:v>
      </x:c>
      <x:c r="E8" s="13" t="str">
        <x:v>water authority</x:v>
      </x:c>
      <x:c r="F8" s="13" t="str"/>
      <x:c r="G8" s="13" t="str">
        <x:v>OPEN</x:v>
      </x:c>
      <x:c r="H8" s="13" t="str"/>
      <x:c r="I8" s="13" t="str"/>
    </x:row>
    <x:row r="9" ht="38" customHeight="1">
      <x:c r="B9" s="13" t="str">
        <x:v>EO-03</x:v>
      </x:c>
      <x:c r="C9" s="13" t="str">
        <x:v>source ancestry graph</x:v>
      </x:c>
      <x:c r="D9" s="14" t="str">
        <x:v>code recovery, cross-talk and retained samples</x:v>
      </x:c>
      <x:c r="E9" s="13" t="str">
        <x:v>chemistry authority</x:v>
      </x:c>
      <x:c r="F9" s="13" t="str"/>
      <x:c r="G9" s="13" t="str">
        <x:v>OPEN</x:v>
      </x:c>
      <x:c r="H9" s="13" t="str"/>
      <x:c r="I9" s="13" t="str"/>
    </x:row>
    <x:row r="10" ht="38" customHeight="1">
      <x:c r="B10" s="13" t="str">
        <x:v>EO-04</x:v>
      </x:c>
      <x:c r="C10" s="13" t="str">
        <x:v>water ancestry graph</x:v>
      </x:c>
      <x:c r="D10" s="14" t="str">
        <x:v>candidate and public-water origin and destination</x:v>
      </x:c>
      <x:c r="E10" s="13" t="str">
        <x:v>chemistry authority</x:v>
      </x:c>
      <x:c r="F10" s="13" t="str"/>
      <x:c r="G10" s="13" t="str">
        <x:v>OPEN</x:v>
      </x:c>
      <x:c r="H10" s="13" t="str"/>
      <x:c r="I10" s="13" t="str"/>
    </x:row>
    <x:row r="11" ht="38" customHeight="1">
      <x:c r="B11" s="13" t="str">
        <x:v>EO-05</x:v>
      </x:c>
      <x:c r="C11" s="13" t="str">
        <x:v>thermal field</x:v>
      </x:c>
      <x:c r="D11" s="14" t="str">
        <x:v>pool area, heat release and boundary flux</x:v>
      </x:c>
      <x:c r="E11" s="13" t="str">
        <x:v>thermal authority</x:v>
      </x:c>
      <x:c r="F11" s="13" t="str"/>
      <x:c r="G11" s="13" t="str">
        <x:v>OPEN</x:v>
      </x:c>
      <x:c r="H11" s="13" t="str"/>
      <x:c r="I11" s="13" t="str"/>
    </x:row>
    <x:row r="12" ht="38" customHeight="1">
      <x:c r="B12" s="13" t="str">
        <x:v>EO-06</x:v>
      </x:c>
      <x:c r="C12" s="13" t="str">
        <x:v>safe-state chronicle</x:v>
      </x:c>
      <x:c r="D12" s="14" t="str">
        <x:v>final-state transitions and terminal-source time</x:v>
      </x:c>
      <x:c r="E12" s="13" t="str">
        <x:v>configuration authority</x:v>
      </x:c>
      <x:c r="F12" s="13" t="str"/>
      <x:c r="G12" s="13" t="str">
        <x:v>OPEN</x:v>
      </x:c>
      <x:c r="H12" s="13" t="str"/>
      <x:c r="I12" s="13" t="str"/>
    </x:row>
    <x:row r="13" ht="38" customHeight="1">
      <x:c r="B13" s="13" t="str">
        <x:v>EO-07</x:v>
      </x:c>
      <x:c r="C13" s="13" t="str">
        <x:v>denial chronicle</x:v>
      </x:c>
      <x:c r="D13" s="14" t="str">
        <x:v>removed services and independent substitutes</x:v>
      </x:c>
      <x:c r="E13" s="13" t="str">
        <x:v>denial authority</x:v>
      </x:c>
      <x:c r="F13" s="13" t="str"/>
      <x:c r="G13" s="13" t="str">
        <x:v>OPEN</x:v>
      </x:c>
      <x:c r="H13" s="13" t="str"/>
      <x:c r="I13" s="13" t="str"/>
    </x:row>
    <x:row r="14" ht="38" customHeight="1">
      <x:c r="B14" s="13" t="str">
        <x:v>EO-08</x:v>
      </x:c>
      <x:c r="C14" s="13" t="str">
        <x:v>calibration bookends</x:v>
      </x:c>
      <x:c r="D14" s="14" t="str">
        <x:v>before and after standards</x:v>
      </x:c>
      <x:c r="E14" s="13" t="str">
        <x:v>metrology authority</x:v>
      </x:c>
      <x:c r="F14" s="13" t="str"/>
      <x:c r="G14" s="13" t="str">
        <x:v>OPEN</x:v>
      </x:c>
      <x:c r="H14" s="13" t="str"/>
      <x:c r="I14" s="13" t="str"/>
    </x:row>
    <x:row r="15" ht="38" customHeight="1">
      <x:c r="B15" s="13" t="str">
        <x:v>EO-09</x:v>
      </x:c>
      <x:c r="C15" s="13" t="str">
        <x:v>sample chain</x:v>
      </x:c>
      <x:c r="D15" s="14" t="str">
        <x:v>sealed aliquots, holders and transfers</x:v>
      </x:c>
      <x:c r="E15" s="13" t="str">
        <x:v>custody authority</x:v>
      </x:c>
      <x:c r="F15" s="13" t="str"/>
      <x:c r="G15" s="13" t="str">
        <x:v>OPEN</x:v>
      </x:c>
      <x:c r="H15" s="13" t="str"/>
      <x:c r="I15" s="13" t="str"/>
    </x:row>
    <x:row r="16" ht="38" customHeight="1">
      <x:c r="B16" s="13" t="str">
        <x:v>EO-10</x:v>
      </x:c>
      <x:c r="C16" s="13" t="str">
        <x:v>two native originals</x:v>
      </x:c>
      <x:c r="D16" s="14" t="str">
        <x:v>signed native-rate copies</x:v>
      </x:c>
      <x:c r="E16" s="13" t="str">
        <x:v>evidence authority</x:v>
      </x:c>
      <x:c r="F16" s="13" t="str"/>
      <x:c r="G16" s="13" t="str">
        <x:v>OPEN</x:v>
      </x:c>
      <x:c r="H16" s="13" t="str"/>
      <x:c r="I16" s="13" t="str"/>
    </x:row>
    <x:row r="17" ht="38" customHeight="1">
      <x:c r="B17" s="13" t="str">
        <x:v>EO-11</x:v>
      </x:c>
      <x:c r="C17" s="13" t="str">
        <x:v>remote replay packet</x:v>
      </x:c>
      <x:c r="D17" s="14" t="str">
        <x:v>sealed machine-readable reconstruction object</x:v>
      </x:c>
      <x:c r="E17" s="13" t="str">
        <x:v>replay authority</x:v>
      </x:c>
      <x:c r="F17" s="13" t="str"/>
      <x:c r="G17" s="13" t="str">
        <x:v>OPEN</x:v>
      </x:c>
      <x:c r="H17" s="13" t="str"/>
      <x:c r="I17" s="13" t="str"/>
    </x:row>
    <x:row r="18" ht="38" customHeight="1">
      <x:c r="B18" s="13" t="str">
        <x:v>EO-12</x:v>
      </x:c>
      <x:c r="C18" s="13" t="str">
        <x:v>board disposition</x:v>
      </x:c>
      <x:c r="D18" s="14" t="str">
        <x:v>validity, credit and stated non-authorities</x:v>
      </x:c>
      <x:c r="E18" s="13" t="str">
        <x:v>quarter-source board</x:v>
      </x:c>
      <x:c r="F18" s="13" t="str"/>
      <x:c r="G18" s="13" t="str">
        <x:v>OPEN</x:v>
      </x:c>
      <x:c r="H18" s="13" t="str"/>
      <x:c r="I18" s="13" t="str"/>
    </x:row>
  </x:sheetData>
  <x:conditionalFormatting sqref="G7:G18">
    <x:cfRule type="containsText" dxfId="208" priority="1" operator="containsText" text="FAIL"/>
    <x:cfRule type="containsText" dxfId="209" priority="2" operator="containsText" text="INVALID"/>
    <x:cfRule type="containsText" dxfId="210" priority="3" operator="containsText" text="BLOCKED"/>
    <x:cfRule type="containsText" dxfId="211" priority="4" operator="containsText" text="OPEN"/>
    <x:cfRule type="containsText" dxfId="212" priority="5" operator="containsText" text="GAP"/>
    <x:cfRule type="containsText" dxfId="213" priority="6" operator="containsText" text="DORMANT"/>
    <x:cfRule type="containsText" dxfId="214" priority="7" operator="containsText" text="PASS"/>
    <x:cfRule type="containsText" dxfId="215" priority="8" operator="containsText" text="VALID"/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5" hidden="0" customWidth="1"/>
    <x:col min="4" max="4" width="72" hidden="0" customWidth="1"/>
    <x:col min="5" max="5" width="27" hidden="0" customWidth="1"/>
    <x:col min="6" max="6" width="14" hidden="0" customWidth="1"/>
    <x:col min="1" max="1" width="3" hidden="0" customWidth="1"/>
  </x:cols>
  <x:sheetData>
    <x:row r="2">
      <x:c r="B2" s="12" t="str">
        <x:v>Sixteen analytical regression tests</x:v>
      </x:c>
      <x:c r="C2" s="13"/>
      <x:c r="D2" s="13"/>
      <x:c r="E2" s="13"/>
      <x:c r="F2" s="13"/>
    </x:row>
    <x:row r="3">
      <x:c r="B3" s="2" t="str">
        <x:v>The suite emphasizes zero-versus-blank semantics, exact thresholds, adverse direction and forbidden extrapolation.</x:v>
      </x:c>
      <x:c r="C3" s="13"/>
      <x:c r="D3" s="13"/>
      <x:c r="E3" s="13"/>
      <x:c r="F3" s="13"/>
    </x:row>
    <x:row r="4">
      <x:c r="B4" s="13"/>
      <x:c r="C4" s="13"/>
      <x:c r="D4" s="13"/>
      <x:c r="E4" s="13"/>
      <x:c r="F4" s="13"/>
    </x:row>
    <x:row r="5">
      <x:c r="B5" s="13"/>
      <x:c r="C5" s="13"/>
      <x:c r="D5" s="13"/>
      <x:c r="E5" s="13"/>
      <x:c r="F5" s="13"/>
    </x:row>
    <x:row r="6" ht="24" customHeight="1">
      <x:c r="B6" s="6" t="str">
        <x:v>Test</x:v>
      </x:c>
      <x:c r="C6" s="6" t="str">
        <x:v>Case</x:v>
      </x:c>
      <x:c r="D6" s="6" t="str">
        <x:v>Expected</x:v>
      </x:c>
      <x:c r="E6" s="6" t="str">
        <x:v>Observed</x:v>
      </x:c>
      <x:c r="F6" s="6" t="str">
        <x:v>State</x:v>
      </x:c>
    </x:row>
    <x:row r="7" ht="36" customHeight="1">
      <x:c r="B7" s="13" t="str">
        <x:v>RG-01</x:v>
      </x:c>
      <x:c r="C7" s="13" t="str">
        <x:v>zero-source datum</x:v>
      </x:c>
      <x:c r="D7" s="14" t="str">
        <x:v>QE-01 reports numeric zero, not blank</x:v>
      </x:c>
      <x:c r="E7" s="13" t="str"/>
      <x:c r="F7" s="13" t="str">
        <x:v>OPEN</x:v>
      </x:c>
    </x:row>
    <x:row r="8" ht="36" customHeight="1">
      <x:c r="B8" s="13" t="str">
        <x:v>RG-02</x:v>
      </x:c>
      <x:c r="C8" s="13" t="str">
        <x:v>zero-water AM-05</x:v>
      </x:c>
      <x:c r="D8" s="14" t="str">
        <x:v>measured zero closes water ledger</x:v>
      </x:c>
      <x:c r="E8" s="13" t="str"/>
      <x:c r="F8" s="13" t="str">
        <x:v>OPEN</x:v>
      </x:c>
    </x:row>
    <x:row r="9" ht="36" customHeight="1">
      <x:c r="B9" s="13" t="str">
        <x:v>RG-03</x:v>
      </x:c>
      <x:c r="C9" s="13" t="str">
        <x:v>missing accepted source field</x:v>
      </x:c>
      <x:c r="D9" s="14" t="str">
        <x:v>acceptance yields FAIL</x:v>
      </x:c>
      <x:c r="E9" s="13" t="str"/>
      <x:c r="F9" s="13" t="str">
        <x:v>OPEN</x:v>
      </x:c>
    </x:row>
    <x:row r="10" ht="36" customHeight="1">
      <x:c r="B10" s="13" t="str">
        <x:v>RG-04</x:v>
      </x:c>
      <x:c r="C10" s="13" t="str">
        <x:v>missing AM-06 boundary flux</x:v>
      </x:c>
      <x:c r="D10" s="14" t="str">
        <x:v>acceptance yields FAIL</x:v>
      </x:c>
      <x:c r="E10" s="13" t="str"/>
      <x:c r="F10" s="13" t="str">
        <x:v>OPEN</x:v>
      </x:c>
    </x:row>
    <x:row r="11" ht="36" customHeight="1">
      <x:c r="B11" s="13" t="str">
        <x:v>RG-05</x:v>
      </x:c>
      <x:c r="C11" s="13" t="str">
        <x:v>source discrepancy limit</x:v>
      </x:c>
      <x:c r="D11" s="14" t="str">
        <x:v>2.5 kg passes; greater fails</x:v>
      </x:c>
      <x:c r="E11" s="13" t="str"/>
      <x:c r="F11" s="13" t="str">
        <x:v>OPEN</x:v>
      </x:c>
    </x:row>
    <x:row r="12" ht="36" customHeight="1">
      <x:c r="B12" s="13" t="str">
        <x:v>RG-06</x:v>
      </x:c>
      <x:c r="C12" s="13" t="str">
        <x:v>source uncertainty limit</x:v>
      </x:c>
      <x:c r="D12" s="14" t="str">
        <x:v>5 kg passes; greater fails</x:v>
      </x:c>
      <x:c r="E12" s="13" t="str"/>
      <x:c r="F12" s="13" t="str">
        <x:v>OPEN</x:v>
      </x:c>
    </x:row>
    <x:row r="13" ht="36" customHeight="1">
      <x:c r="B13" s="13" t="str">
        <x:v>RG-07</x:v>
      </x:c>
      <x:c r="C13" s="13" t="str">
        <x:v>environment source limit</x:v>
      </x:c>
      <x:c r="D13" s="14" t="str">
        <x:v>0.5 kg passes; greater fails</x:v>
      </x:c>
      <x:c r="E13" s="13" t="str"/>
      <x:c r="F13" s="13" t="str">
        <x:v>OPEN</x:v>
      </x:c>
    </x:row>
    <x:row r="14" ht="36" customHeight="1">
      <x:c r="B14" s="13" t="str">
        <x:v>RG-08</x:v>
      </x:c>
      <x:c r="C14" s="13" t="str">
        <x:v>water closure limit</x:v>
      </x:c>
      <x:c r="D14" s="14" t="str">
        <x:v>0.0025 passes; greater fails</x:v>
      </x:c>
      <x:c r="E14" s="13" t="str"/>
      <x:c r="F14" s="13" t="str">
        <x:v>OPEN</x:v>
      </x:c>
    </x:row>
    <x:row r="15" ht="36" customHeight="1">
      <x:c r="B15" s="13" t="str">
        <x:v>RG-09</x:v>
      </x:c>
      <x:c r="C15" s="13" t="str">
        <x:v>ancestry recovery limit</x:v>
      </x:c>
      <x:c r="D15" s="14" t="str">
        <x:v>0.995 passes; lower fails</x:v>
      </x:c>
      <x:c r="E15" s="13" t="str"/>
      <x:c r="F15" s="13" t="str">
        <x:v>OPEN</x:v>
      </x:c>
    </x:row>
    <x:row r="16" ht="36" customHeight="1">
      <x:c r="B16" s="13" t="str">
        <x:v>RG-10</x:v>
      </x:c>
      <x:c r="C16" s="13" t="str">
        <x:v>ancestry cross-talk limit</x:v>
      </x:c>
      <x:c r="D16" s="14" t="str">
        <x:v>0.005 passes; greater fails</x:v>
      </x:c>
      <x:c r="E16" s="13" t="str"/>
      <x:c r="F16" s="13" t="str">
        <x:v>OPEN</x:v>
      </x:c>
    </x:row>
    <x:row r="17" ht="36" customHeight="1">
      <x:c r="B17" s="13" t="str">
        <x:v>RG-11</x:v>
      </x:c>
      <x:c r="C17" s="13" t="str">
        <x:v>terminal-source limit</x:v>
      </x:c>
      <x:c r="D17" s="14" t="str">
        <x:v>30 s passes; greater fails</x:v>
      </x:c>
      <x:c r="E17" s="13" t="str"/>
      <x:c r="F17" s="13" t="str">
        <x:v>OPEN</x:v>
      </x:c>
    </x:row>
    <x:row r="18" ht="36" customHeight="1">
      <x:c r="B18" s="13" t="str">
        <x:v>RG-12</x:v>
      </x:c>
      <x:c r="C18" s="13" t="str">
        <x:v>pool-area class bound</x:v>
      </x:c>
      <x:c r="D18" s="14" t="str">
        <x:v>class area passes; greater fails</x:v>
      </x:c>
      <x:c r="E18" s="13" t="str"/>
      <x:c r="F18" s="13" t="str">
        <x:v>OPEN</x:v>
      </x:c>
    </x:row>
    <x:row r="19" ht="36" customHeight="1">
      <x:c r="B19" s="13" t="str">
        <x:v>RG-13</x:v>
      </x:c>
      <x:c r="C19" s="13" t="str">
        <x:v>quarter nominal peak</x:v>
      </x:c>
      <x:c r="D19" s="14" t="str">
        <x:v>14.639625 MW</x:v>
      </x:c>
      <x:c r="E19" s="13" t="str"/>
      <x:c r="F19" s="13" t="str">
        <x:v>OPEN</x:v>
      </x:c>
    </x:row>
    <x:row r="20" ht="36" customHeight="1">
      <x:c r="B20" s="13" t="str">
        <x:v>RG-14</x:v>
      </x:c>
      <x:c r="C20" s="13" t="str">
        <x:v>quarter casualty-area peak</x:v>
      </x:c>
      <x:c r="D20" s="14" t="str">
        <x:v>58.5585 MW</x:v>
      </x:c>
      <x:c r="E20" s="13" t="str"/>
      <x:c r="F20" s="13" t="str">
        <x:v>OPEN</x:v>
      </x:c>
    </x:row>
    <x:row r="21" ht="36" customHeight="1">
      <x:c r="B21" s="13" t="str">
        <x:v>RG-15</x:v>
      </x:c>
      <x:c r="C21" s="13" t="str">
        <x:v>invalid is not failed</x:v>
      </x:c>
      <x:c r="D21" s="14" t="str">
        <x:v>reserve activates only after invalid attempt</x:v>
      </x:c>
      <x:c r="E21" s="13" t="str"/>
      <x:c r="F21" s="13" t="str">
        <x:v>OPEN</x:v>
      </x:c>
    </x:row>
    <x:row r="22" ht="36" customHeight="1">
      <x:c r="B22" s="13" t="str">
        <x:v>RG-16</x:v>
      </x:c>
      <x:c r="C22" s="13" t="str">
        <x:v>no full-source inference</x:v>
      </x:c>
      <x:c r="D22" s="14" t="str">
        <x:v>all quarter gates leave AM-07 at zero</x:v>
      </x:c>
      <x:c r="E22" s="13" t="str"/>
      <x:c r="F22" s="13" t="str">
        <x:v>OPEN</x:v>
      </x:c>
    </x:row>
  </x:sheetData>
  <x:conditionalFormatting sqref="F7:F22">
    <x:cfRule type="containsText" dxfId="216" priority="1" operator="containsText" text="FAIL"/>
    <x:cfRule type="containsText" dxfId="217" priority="2" operator="containsText" text="INVALID"/>
    <x:cfRule type="containsText" dxfId="218" priority="3" operator="containsText" text="BLOCKED"/>
    <x:cfRule type="containsText" dxfId="219" priority="4" operator="containsText" text="OPEN"/>
    <x:cfRule type="containsText" dxfId="220" priority="5" operator="containsText" text="GAP"/>
    <x:cfRule type="containsText" dxfId="221" priority="6" operator="containsText" text="DORMANT"/>
    <x:cfRule type="containsText" dxfId="222" priority="7" operator="containsText" text="PASS"/>
    <x:cfRule type="containsText" dxfId="223" priority="8" operator="containsText" text="VALID"/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3" hidden="0" customWidth="1"/>
    <x:col min="4" max="4" width="72" hidden="0" customWidth="1"/>
    <x:col min="5" max="5" width="14" hidden="0" customWidth="1"/>
    <x:col min="6" max="6" width="21" hidden="0" customWidth="1"/>
    <x:col min="7" max="7" width="34" hidden="0" customWidth="1"/>
    <x:col min="8" max="8" width="14" hidden="0" customWidth="1"/>
    <x:col min="1" max="1" width="3" hidden="0" customWidth="1"/>
  </x:cols>
  <x:sheetData>
    <x:row r="2">
      <x:c r="B2" s="12" t="str">
        <x:v>Fourteen mission-driven technology campaigns</x:v>
      </x:c>
      <x:c r="C2" s="13"/>
      <x:c r="D2" s="13"/>
      <x:c r="E2" s="13"/>
      <x:c r="F2" s="13"/>
      <x:c r="G2" s="13"/>
      <x:c r="H2" s="13"/>
    </x:row>
    <x:row r="3">
      <x:c r="B3" s="2" t="str">
        <x:v>Research authority is tied to measurable failure closure, not novelty alone.</x:v>
      </x:c>
      <x:c r="C3" s="13"/>
      <x:c r="D3" s="13"/>
      <x:c r="E3" s="13"/>
      <x:c r="F3" s="13"/>
      <x:c r="G3" s="13"/>
      <x:c r="H3" s="13"/>
    </x:row>
    <x:row r="4">
      <x:c r="B4" s="13"/>
      <x:c r="C4" s="13"/>
      <x:c r="D4" s="13"/>
      <x:c r="E4" s="13"/>
      <x:c r="F4" s="13"/>
      <x:c r="G4" s="13"/>
      <x:c r="H4" s="13"/>
    </x:row>
    <x:row r="5">
      <x:c r="B5" s="13"/>
      <x:c r="C5" s="13"/>
      <x:c r="D5" s="13"/>
      <x:c r="E5" s="13"/>
      <x:c r="F5" s="13"/>
      <x:c r="G5" s="13"/>
      <x:c r="H5" s="13"/>
    </x:row>
    <x:row r="6" ht="24" customHeight="1">
      <x:c r="B6" s="6" t="str">
        <x:v>Campaign</x:v>
      </x:c>
      <x:c r="C6" s="6" t="str">
        <x:v>Technology</x:v>
      </x:c>
      <x:c r="D6" s="6" t="str">
        <x:v>Required advance</x:v>
      </x:c>
      <x:c r="E6" s="6" t="str">
        <x:v>Start TRL</x:v>
      </x:c>
      <x:c r="F6" s="6" t="str">
        <x:v>Portfolio USD M</x:v>
      </x:c>
      <x:c r="G6" s="6" t="str">
        <x:v>Decision object</x:v>
      </x:c>
      <x:c r="H6" s="6" t="str">
        <x:v>State</x:v>
      </x:c>
    </x:row>
    <x:row r="7" ht="40" customHeight="1">
      <x:c r="B7" s="13" t="str">
        <x:v>TC-01</x:v>
      </x:c>
      <x:c r="C7" s="13" t="str">
        <x:v>fire-capable multimodal source tomography</x:v>
      </x:c>
      <x:c r="D7" s="14" t="str">
        <x:v>continuous inventory field through smoke, spray and conductive structures</x:v>
      </x:c>
      <x:c r="E7" s="13" t="n">
        <x:v>5</x:v>
      </x:c>
      <x:c r="F7" s="13" t="n">
        <x:v>125</x:v>
      </x:c>
      <x:c r="G7" s="13" t="str">
        <x:v>quarter-source evidence object</x:v>
      </x:c>
      <x:c r="H7" s="13" t="str">
        <x:v>OPEN</x:v>
      </x:c>
    </x:row>
    <x:row r="8" ht="40" customHeight="1">
      <x:c r="B8" s="13" t="str">
        <x:v>TC-02</x:v>
      </x:c>
      <x:c r="C8" s="13" t="str">
        <x:v>orthogonal source-water molecular codes</x:v>
      </x:c>
      <x:c r="D8" s="14" t="str">
        <x:v>separate source, candidate water, public water and environment</x:v>
      </x:c>
      <x:c r="E8" s="13" t="n">
        <x:v>5</x:v>
      </x:c>
      <x:c r="F8" s="13" t="n">
        <x:v>90</x:v>
      </x:c>
      <x:c r="G8" s="13" t="str">
        <x:v>quarter-source evidence object</x:v>
      </x:c>
      <x:c r="H8" s="13" t="str">
        <x:v>OPEN</x:v>
      </x:c>
    </x:row>
    <x:row r="9" ht="40" customHeight="1">
      <x:c r="B9" s="13" t="str">
        <x:v>TC-03</x:v>
      </x:c>
      <x:c r="C9" s="13" t="str">
        <x:v>high-temperature electrochemical ancestry readers</x:v>
      </x:c>
      <x:c r="D9" s="14" t="str">
        <x:v>unlike second truth root at drains and receivers</x:v>
      </x:c>
      <x:c r="E9" s="13" t="n">
        <x:v>4</x:v>
      </x:c>
      <x:c r="F9" s="13" t="n">
        <x:v>80</x:v>
      </x:c>
      <x:c r="G9" s="13" t="str">
        <x:v>quarter-source evidence object</x:v>
      </x:c>
      <x:c r="H9" s="13" t="str">
        <x:v>OPEN</x:v>
      </x:c>
    </x:row>
    <x:row r="10" ht="40" customHeight="1">
      <x:c r="B10" s="13" t="str">
        <x:v>TC-04</x:v>
      </x:c>
      <x:c r="C10" s="13" t="str">
        <x:v>self-calibrating mass and volume nodes</x:v>
      </x:c>
      <x:c r="D10" s="14" t="str">
        <x:v>survive vibration, heat and denial without remote correction</x:v>
      </x:c>
      <x:c r="E10" s="13" t="n">
        <x:v>6</x:v>
      </x:c>
      <x:c r="F10" s="13" t="n">
        <x:v>55</x:v>
      </x:c>
      <x:c r="G10" s="13" t="str">
        <x:v>quarter-source evidence object</x:v>
      </x:c>
      <x:c r="H10" s="13" t="str">
        <x:v>OPEN</x:v>
      </x:c>
    </x:row>
    <x:row r="11" ht="40" customHeight="1">
      <x:c r="B11" s="13" t="str">
        <x:v>TC-05</x:v>
      </x:c>
      <x:c r="C11" s="13" t="str">
        <x:v>passive high-rate source diversion</x:v>
      </x:c>
      <x:c r="D11" s="14" t="str">
        <x:v>reach casualty receiver without electric or network command</x:v>
      </x:c>
      <x:c r="E11" s="13" t="n">
        <x:v>6</x:v>
      </x:c>
      <x:c r="F11" s="13" t="n">
        <x:v>65</x:v>
      </x:c>
      <x:c r="G11" s="13" t="str">
        <x:v>quarter-source evidence object</x:v>
      </x:c>
      <x:c r="H11" s="13" t="str">
        <x:v>OPEN</x:v>
      </x:c>
    </x:row>
    <x:row r="12" ht="40" customHeight="1">
      <x:c r="B12" s="13" t="str">
        <x:v>TC-06</x:v>
      </x:c>
      <x:c r="C12" s="13" t="str">
        <x:v>selective phase-separation receiver</x:v>
      </x:c>
      <x:c r="D12" s="14" t="str">
        <x:v>recover source from water while preserving measurable ancestry</x:v>
      </x:c>
      <x:c r="E12" s="13" t="n">
        <x:v>3</x:v>
      </x:c>
      <x:c r="F12" s="13" t="n">
        <x:v>110</x:v>
      </x:c>
      <x:c r="G12" s="13" t="str">
        <x:v>quarter-source evidence object</x:v>
      </x:c>
      <x:c r="H12" s="13" t="str">
        <x:v>OPEN</x:v>
      </x:c>
    </x:row>
    <x:row r="13" ht="40" customHeight="1">
      <x:c r="B13" s="13" t="str">
        <x:v>TC-07</x:v>
      </x:c>
      <x:c r="C13" s="13" t="str">
        <x:v>distributed pool-edge sensing skin</x:v>
      </x:c>
      <x:c r="D13" s="14" t="str">
        <x:v>resolve area and edge growth beneath obscuration</x:v>
      </x:c>
      <x:c r="E13" s="13" t="n">
        <x:v>5</x:v>
      </x:c>
      <x:c r="F13" s="13" t="n">
        <x:v>70</x:v>
      </x:c>
      <x:c r="G13" s="13" t="str">
        <x:v>quarter-source evidence object</x:v>
      </x:c>
      <x:c r="H13" s="13" t="str">
        <x:v>OPEN</x:v>
      </x:c>
    </x:row>
    <x:row r="14" ht="40" customHeight="1">
      <x:c r="B14" s="13" t="str">
        <x:v>TC-08</x:v>
      </x:c>
      <x:c r="C14" s="13" t="str">
        <x:v>radiant and convective boundary fabric</x:v>
      </x:c>
      <x:c r="D14" s="14" t="str">
        <x:v>map site consequence in real time</x:v>
      </x:c>
      <x:c r="E14" s="13" t="n">
        <x:v>6</x:v>
      </x:c>
      <x:c r="F14" s="13" t="n">
        <x:v>45</x:v>
      </x:c>
      <x:c r="G14" s="13" t="str">
        <x:v>quarter-source evidence object</x:v>
      </x:c>
      <x:c r="H14" s="13" t="str">
        <x:v>OPEN</x:v>
      </x:c>
    </x:row>
    <x:row r="15" ht="40" customHeight="1">
      <x:c r="B15" s="13" t="str">
        <x:v>TC-09</x:v>
      </x:c>
      <x:c r="C15" s="13" t="str">
        <x:v>mechanically latched final-state memory</x:v>
      </x:c>
      <x:c r="D15" s="14" t="str">
        <x:v>show valve and breaker truth after total energy loss</x:v>
      </x:c>
      <x:c r="E15" s="13" t="n">
        <x:v>7</x:v>
      </x:c>
      <x:c r="F15" s="13" t="n">
        <x:v>30</x:v>
      </x:c>
      <x:c r="G15" s="13" t="str">
        <x:v>quarter-source evidence object</x:v>
      </x:c>
      <x:c r="H15" s="13" t="str">
        <x:v>OPEN</x:v>
      </x:c>
    </x:row>
    <x:row r="16" ht="40" customHeight="1">
      <x:c r="B16" s="13" t="str">
        <x:v>TC-10</x:v>
      </x:c>
      <x:c r="C16" s="13" t="str">
        <x:v>causal local time fabric</x:v>
      </x:c>
      <x:c r="D16" s="14" t="str">
        <x:v>preserve microsecond order without primary time or network</x:v>
      </x:c>
      <x:c r="E16" s="13" t="n">
        <x:v>6</x:v>
      </x:c>
      <x:c r="F16" s="13" t="n">
        <x:v>40</x:v>
      </x:c>
      <x:c r="G16" s="13" t="str">
        <x:v>quarter-source evidence object</x:v>
      </x:c>
      <x:c r="H16" s="13" t="str">
        <x:v>OPEN</x:v>
      </x:c>
    </x:row>
    <x:row r="17" ht="40" customHeight="1">
      <x:c r="B17" s="13" t="str">
        <x:v>TC-11</x:v>
      </x:c>
      <x:c r="C17" s="13" t="str">
        <x:v>fire-hardened native-rate evidence vault</x:v>
      </x:c>
      <x:c r="D17" s="14" t="str">
        <x:v>two signed originals and sealed packet formation</x:v>
      </x:c>
      <x:c r="E17" s="13" t="n">
        <x:v>6</x:v>
      </x:c>
      <x:c r="F17" s="13" t="n">
        <x:v>60</x:v>
      </x:c>
      <x:c r="G17" s="13" t="str">
        <x:v>quarter-source evidence object</x:v>
      </x:c>
      <x:c r="H17" s="13" t="str">
        <x:v>OPEN</x:v>
      </x:c>
    </x:row>
    <x:row r="18" ht="40" customHeight="1">
      <x:c r="B18" s="13" t="str">
        <x:v>TC-12</x:v>
      </x:c>
      <x:c r="C18" s="13" t="str">
        <x:v>autonomous contamination search swarm</x:v>
      </x:c>
      <x:c r="D18" s="14" t="str">
        <x:v>find source on surfaces, drains and environmental routes</x:v>
      </x:c>
      <x:c r="E18" s="13" t="n">
        <x:v>3</x:v>
      </x:c>
      <x:c r="F18" s="13" t="n">
        <x:v>95</x:v>
      </x:c>
      <x:c r="G18" s="13" t="str">
        <x:v>quarter-source evidence object</x:v>
      </x:c>
      <x:c r="H18" s="13" t="str">
        <x:v>OPEN</x:v>
      </x:c>
    </x:row>
    <x:row r="19" ht="40" customHeight="1">
      <x:c r="B19" s="13" t="str">
        <x:v>TC-13</x:v>
      </x:c>
      <x:c r="C19" s="13" t="str">
        <x:v>machine-verifiable safety-case compiler</x:v>
      </x:c>
      <x:c r="D19" s="14" t="str">
        <x:v>bind event identity, calibration, ledgers, samples and decision</x:v>
      </x:c>
      <x:c r="E19" s="13" t="n">
        <x:v>5</x:v>
      </x:c>
      <x:c r="F19" s="13" t="n">
        <x:v>55</x:v>
      </x:c>
      <x:c r="G19" s="13" t="str">
        <x:v>quarter-source evidence object</x:v>
      </x:c>
      <x:c r="H19" s="13" t="str">
        <x:v>OPEN</x:v>
      </x:c>
    </x:row>
    <x:row r="20" ht="40" customHeight="1">
      <x:c r="B20" s="13" t="str">
        <x:v>TC-14</x:v>
      </x:c>
      <x:c r="C20" s="13" t="str">
        <x:v>rapid reversible containment liner</x:v>
      </x:c>
      <x:c r="D20" s="14" t="str">
        <x:v>bound pool area and route source without hidden retained mass</x:v>
      </x:c>
      <x:c r="E20" s="13" t="n">
        <x:v>4</x:v>
      </x:c>
      <x:c r="F20" s="13" t="n">
        <x:v>85</x:v>
      </x:c>
      <x:c r="G20" s="13" t="str">
        <x:v>quarter-source evidence object</x:v>
      </x:c>
      <x:c r="H20" s="13" t="str">
        <x:v>OPEN</x:v>
      </x:c>
    </x:row>
  </x:sheetData>
  <x:conditionalFormatting sqref="H7:H20">
    <x:cfRule type="containsText" dxfId="224" priority="1" operator="containsText" text="FAIL"/>
    <x:cfRule type="containsText" dxfId="225" priority="2" operator="containsText" text="INVALID"/>
    <x:cfRule type="containsText" dxfId="226" priority="3" operator="containsText" text="BLOCKED"/>
    <x:cfRule type="containsText" dxfId="227" priority="4" operator="containsText" text="OPEN"/>
    <x:cfRule type="containsText" dxfId="228" priority="5" operator="containsText" text="GAP"/>
    <x:cfRule type="containsText" dxfId="229" priority="6" operator="containsText" text="DORMANT"/>
    <x:cfRule type="containsText" dxfId="230" priority="7" operator="containsText" text="PASS"/>
    <x:cfRule type="containsText" dxfId="231" priority="8" operator="containsText" text="VALID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55" hidden="0" customWidth="1"/>
    <x:col min="4" max="4" width="16" hidden="0" customWidth="1"/>
    <x:col min="5" max="5" width="16" hidden="0" customWidth="1"/>
    <x:col min="6" max="6" width="67" hidden="0" customWidth="1"/>
    <x:col min="1" max="1" width="3" hidden="0" customWidth="1"/>
  </x:cols>
  <x:sheetData>
    <x:row r="2">
      <x:c r="B2" s="12" t="str">
        <x:v>Thirty-month qualification sequence</x:v>
      </x:c>
      <x:c r="C2" s="13"/>
      <x:c r="D2" s="13"/>
      <x:c r="E2" s="13"/>
      <x:c r="F2" s="13"/>
    </x:row>
    <x:row r="3">
      <x:c r="B3" s="2" t="str">
        <x:v>Later classes overlap only after their predecessor has delivered a valid evidence packet; schedule does not waive gates.</x:v>
      </x:c>
      <x:c r="C3" s="13"/>
      <x:c r="D3" s="13"/>
      <x:c r="E3" s="13"/>
      <x:c r="F3" s="13"/>
    </x:row>
    <x:row r="4">
      <x:c r="B4" s="13"/>
      <x:c r="C4" s="13"/>
      <x:c r="D4" s="13"/>
      <x:c r="E4" s="13"/>
      <x:c r="F4" s="13"/>
    </x:row>
    <x:row r="5">
      <x:c r="B5" s="13"/>
      <x:c r="C5" s="13"/>
      <x:c r="D5" s="13"/>
      <x:c r="E5" s="13"/>
      <x:c r="F5" s="13"/>
    </x:row>
    <x:row r="6" ht="24" customHeight="1">
      <x:c r="B6" s="6" t="str">
        <x:v>Work package</x:v>
      </x:c>
      <x:c r="C6" s="6" t="str">
        <x:v>Activity</x:v>
      </x:c>
      <x:c r="D6" s="6" t="str">
        <x:v>Start month</x:v>
      </x:c>
      <x:c r="E6" s="6" t="str">
        <x:v>End month</x:v>
      </x:c>
      <x:c r="F6" s="6" t="str">
        <x:v>Exit object</x:v>
      </x:c>
    </x:row>
    <x:row r="7" ht="38" customHeight="1">
      <x:c r="B7" s="13" t="str">
        <x:v>WP-01</x:v>
      </x:c>
      <x:c r="C7" s="14" t="str">
        <x:v>design freeze and hazard decomposition</x:v>
      </x:c>
      <x:c r="D7" s="13" t="n">
        <x:v>1</x:v>
      </x:c>
      <x:c r="E7" s="13" t="n">
        <x:v>3</x:v>
      </x:c>
      <x:c r="F7" s="14" t="str">
        <x:v>registered RAS-1 baseline</x:v>
      </x:c>
    </x:row>
    <x:row r="8" ht="38" customHeight="1">
      <x:c r="B8" s="13" t="str">
        <x:v>WP-02</x:v>
      </x:c>
      <x:c r="C8" s="14" t="str">
        <x:v>source, water and tracer lot qualification</x:v>
      </x:c>
      <x:c r="D8" s="13" t="n">
        <x:v>2</x:v>
      </x:c>
      <x:c r="E8" s="13" t="n">
        <x:v>8</x:v>
      </x:c>
      <x:c r="F8" s="14" t="str">
        <x:v>accepted lots and retained standards</x:v>
      </x:c>
    </x:row>
    <x:row r="9" ht="38" customHeight="1">
      <x:c r="B9" s="13" t="str">
        <x:v>WP-03</x:v>
      </x:c>
      <x:c r="C9" s="14" t="str">
        <x:v>control-element and safeing realization</x:v>
      </x:c>
      <x:c r="D9" s="13" t="n">
        <x:v>3</x:v>
      </x:c>
      <x:c r="E9" s="13" t="n">
        <x:v>10</x:v>
      </x:c>
      <x:c r="F9" s="14" t="str">
        <x:v>twelve accepted final elements</x:v>
      </x:c>
    </x:row>
    <x:row r="10" ht="38" customHeight="1">
      <x:c r="B10" s="13" t="str">
        <x:v>WP-04</x:v>
      </x:c>
      <x:c r="C10" s="14" t="str">
        <x:v>metrology and causal-time acceptance</x:v>
      </x:c>
      <x:c r="D10" s="13" t="n">
        <x:v>4</x:v>
      </x:c>
      <x:c r="E10" s="13" t="n">
        <x:v>10</x:v>
      </x:c>
      <x:c r="F10" s="14" t="str">
        <x:v>forty-eight calibrations and twenty-four time nodes</x:v>
      </x:c>
    </x:row>
    <x:row r="11" ht="38" customHeight="1">
      <x:c r="B11" s="13" t="str">
        <x:v>WP-05</x:v>
      </x:c>
      <x:c r="C11" s="14" t="str">
        <x:v>QE-01 sealed datum campaign</x:v>
      </x:c>
      <x:c r="D11" s="13" t="n">
        <x:v>8</x:v>
      </x:c>
      <x:c r="E11" s="13" t="n">
        <x:v>11</x:v>
      </x:c>
      <x:c r="F11" s="14" t="str">
        <x:v>twenty-four valid credits</x:v>
      </x:c>
    </x:row>
    <x:row r="12" ht="38" customHeight="1">
      <x:c r="B12" s="13" t="str">
        <x:v>WP-06</x:v>
      </x:c>
      <x:c r="C12" s="14" t="str">
        <x:v>QE-02 low-source campaign</x:v>
      </x:c>
      <x:c r="D12" s="13" t="n">
        <x:v>10</x:v>
      </x:c>
      <x:c r="E12" s="13" t="n">
        <x:v>14</x:v>
      </x:c>
      <x:c r="F12" s="14" t="str">
        <x:v>twenty-four valid credits</x:v>
      </x:c>
    </x:row>
    <x:row r="13" ht="38" customHeight="1">
      <x:c r="B13" s="13" t="str">
        <x:v>WP-07</x:v>
      </x:c>
      <x:c r="C13" s="14" t="str">
        <x:v>QE-03 intermediate campaign</x:v>
      </x:c>
      <x:c r="D13" s="13" t="n">
        <x:v>13</x:v>
      </x:c>
      <x:c r="E13" s="13" t="n">
        <x:v>17</x:v>
      </x:c>
      <x:c r="F13" s="14" t="str">
        <x:v>twenty-four valid credits</x:v>
      </x:c>
    </x:row>
    <x:row r="14" ht="38" customHeight="1">
      <x:c r="B14" s="13" t="str">
        <x:v>WP-08</x:v>
      </x:c>
      <x:c r="C14" s="14" t="str">
        <x:v>QE-04 nominal quarter-source campaign</x:v>
      </x:c>
      <x:c r="D14" s="13" t="n">
        <x:v>16</x:v>
      </x:c>
      <x:c r="E14" s="13" t="n">
        <x:v>21</x:v>
      </x:c>
      <x:c r="F14" s="14" t="str">
        <x:v>twenty-four valid credits</x:v>
      </x:c>
    </x:row>
    <x:row r="15" ht="38" customHeight="1">
      <x:c r="B15" s="13" t="str">
        <x:v>WP-09</x:v>
      </x:c>
      <x:c r="C15" s="14" t="str">
        <x:v>QE-05 blind ancestry crossover</x:v>
      </x:c>
      <x:c r="D15" s="13" t="n">
        <x:v>19</x:v>
      </x:c>
      <x:c r="E15" s="13" t="n">
        <x:v>25</x:v>
      </x:c>
      <x:c r="F15" s="14" t="str">
        <x:v>twenty-four valid credits</x:v>
      </x:c>
    </x:row>
    <x:row r="16" ht="38" customHeight="1">
      <x:c r="B16" s="13" t="str">
        <x:v>WP-10</x:v>
      </x:c>
      <x:c r="C16" s="14" t="str">
        <x:v>QE-06 casualty-area denial and replay</x:v>
      </x:c>
      <x:c r="D16" s="13" t="n">
        <x:v>22</x:v>
      </x:c>
      <x:c r="E16" s="13" t="n">
        <x:v>28</x:v>
      </x:c>
      <x:c r="F16" s="14" t="str">
        <x:v>twenty-four valid credits and twenty-four replays</x:v>
      </x:c>
    </x:row>
    <x:row r="17" ht="38" customHeight="1">
      <x:c r="B17" s="13" t="str">
        <x:v>WP-11</x:v>
      </x:c>
      <x:c r="C17" s="14" t="str">
        <x:v>unlike-root and cross-campus adjudication</x:v>
      </x:c>
      <x:c r="D17" s="13" t="n">
        <x:v>25</x:v>
      </x:c>
      <x:c r="E17" s="13" t="n">
        <x:v>29</x:v>
      </x:c>
      <x:c r="F17" s="14" t="str">
        <x:v>twelve agreements and four equivalence decisions</x:v>
      </x:c>
    </x:row>
    <x:row r="18" ht="38" customHeight="1">
      <x:c r="B18" s="13" t="str">
        <x:v>WP-12</x:v>
      </x:c>
      <x:c r="C18" s="14" t="str">
        <x:v>quarter-source board and archive</x:v>
      </x:c>
      <x:c r="D18" s="13" t="n">
        <x:v>29</x:v>
      </x:c>
      <x:c r="E18" s="13" t="n">
        <x:v>30</x:v>
      </x:c>
      <x:c r="F18" s="14" t="str">
        <x:v>separate AM-05 and AM-06 dispositions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3" hidden="0" customWidth="1"/>
    <x:col min="4" max="4" width="16" hidden="0" customWidth="1"/>
    <x:col min="5" max="5" width="17" hidden="0" customWidth="1"/>
    <x:col min="6" max="6" width="19" hidden="0" customWidth="1"/>
    <x:col min="7" max="7" width="24" hidden="0" customWidth="1"/>
    <x:col min="8" max="8" width="17" hidden="0" customWidth="1"/>
    <x:col min="9" max="9" width="14" hidden="0" customWidth="1"/>
    <x:col min="1" max="1" width="3" hidden="0" customWidth="1"/>
  </x:cols>
  <x:sheetData>
    <x:row r="2">
      <x:c r="B2" s="12" t="str">
        <x:v>Six-rig capacity envelope</x:v>
      </x:c>
      <x:c r="C2" s="13"/>
      <x:c r="D2" s="13"/>
      <x:c r="E2" s="13"/>
      <x:c r="F2" s="13"/>
      <x:c r="G2" s="13"/>
      <x:c r="H2" s="13"/>
      <x:c r="I2" s="13"/>
    </x:row>
    <x:row r="3">
      <x:c r="B3" s="2" t="str">
        <x:v>Base work is balanced exactly; reserve rig-days are allocated as contingency rotations, not as earned credits.</x:v>
      </x:c>
      <x:c r="C3" s="13"/>
      <x:c r="D3" s="13"/>
      <x:c r="E3" s="13"/>
      <x:c r="F3" s="13"/>
      <x:c r="G3" s="13"/>
      <x:c r="H3" s="13"/>
      <x:c r="I3" s="13"/>
    </x:row>
    <x:row r="4">
      <x:c r="B4" s="13"/>
      <x:c r="C4" s="13"/>
      <x:c r="D4" s="13"/>
      <x:c r="E4" s="13"/>
      <x:c r="F4" s="13"/>
      <x:c r="G4" s="13"/>
      <x:c r="H4" s="13"/>
      <x:c r="I4" s="13"/>
    </x:row>
    <x:row r="5">
      <x:c r="B5" s="13"/>
      <x:c r="C5" s="13"/>
      <x:c r="D5" s="13"/>
      <x:c r="E5" s="13"/>
      <x:c r="F5" s="13"/>
      <x:c r="G5" s="13"/>
      <x:c r="H5" s="13"/>
      <x:c r="I5" s="13"/>
    </x:row>
    <x:row r="6" ht="24" customHeight="1">
      <x:c r="B6" s="6" t="str">
        <x:v>Rig</x:v>
      </x:c>
      <x:c r="C6" s="6" t="str">
        <x:v>Campus</x:v>
      </x:c>
      <x:c r="D6" s="6" t="str">
        <x:v>Base events</x:v>
      </x:c>
      <x:c r="E6" s="6" t="str">
        <x:v>Base rig-days</x:v>
      </x:c>
      <x:c r="F6" s="6" t="str">
        <x:v>Reserve rig-days</x:v>
      </x:c>
      <x:c r="G6" s="6" t="str">
        <x:v>Total envelope rig-days</x:v>
      </x:c>
      <x:c r="H6" s="6" t="str">
        <x:v>Ready fraction</x:v>
      </x:c>
      <x:c r="I6" s="6" t="str">
        <x:v>State</x:v>
      </x:c>
    </x:row>
    <x:row r="7">
      <x:c r="B7" s="13" t="str">
        <x:v>RFP-A1</x:v>
      </x:c>
      <x:c r="C7" s="13" t="str">
        <x:v>PTC-A</x:v>
      </x:c>
      <x:c r="D7" s="13" t="n">
        <x:v>24</x:v>
      </x:c>
      <x:c r="E7" s="13" t="n">
        <x:v>104</x:v>
      </x:c>
      <x:c r="F7" s="13" t="n">
        <x:v>25</x:v>
      </x:c>
      <x:c r="G7" s="13" t="n">
        <x:v>129</x:v>
      </x:c>
      <x:c r="H7" s="13" t="n">
        <x:v>0.6</x:v>
      </x:c>
      <x:c r="I7" s="13" t="str">
        <x:v>OPEN</x:v>
      </x:c>
    </x:row>
    <x:row r="8">
      <x:c r="B8" s="13" t="str">
        <x:v>RFP-A2</x:v>
      </x:c>
      <x:c r="C8" s="13" t="str">
        <x:v>PTC-A</x:v>
      </x:c>
      <x:c r="D8" s="13" t="n">
        <x:v>24</x:v>
      </x:c>
      <x:c r="E8" s="13" t="n">
        <x:v>104</x:v>
      </x:c>
      <x:c r="F8" s="13" t="n">
        <x:v>25</x:v>
      </x:c>
      <x:c r="G8" s="13" t="n">
        <x:v>129</x:v>
      </x:c>
      <x:c r="H8" s="13" t="n">
        <x:v>0.6</x:v>
      </x:c>
      <x:c r="I8" s="13" t="str">
        <x:v>OPEN</x:v>
      </x:c>
    </x:row>
    <x:row r="9">
      <x:c r="B9" s="13" t="str">
        <x:v>RFP-B1</x:v>
      </x:c>
      <x:c r="C9" s="13" t="str">
        <x:v>PTC-B</x:v>
      </x:c>
      <x:c r="D9" s="13" t="n">
        <x:v>24</x:v>
      </x:c>
      <x:c r="E9" s="13" t="n">
        <x:v>104</x:v>
      </x:c>
      <x:c r="F9" s="13" t="n">
        <x:v>25</x:v>
      </x:c>
      <x:c r="G9" s="13" t="n">
        <x:v>129</x:v>
      </x:c>
      <x:c r="H9" s="13" t="n">
        <x:v>0.6</x:v>
      </x:c>
      <x:c r="I9" s="13" t="str">
        <x:v>OPEN</x:v>
      </x:c>
    </x:row>
    <x:row r="10">
      <x:c r="B10" s="13" t="str">
        <x:v>RFP-B2</x:v>
      </x:c>
      <x:c r="C10" s="13" t="str">
        <x:v>PTC-B</x:v>
      </x:c>
      <x:c r="D10" s="13" t="n">
        <x:v>24</x:v>
      </x:c>
      <x:c r="E10" s="13" t="n">
        <x:v>104</x:v>
      </x:c>
      <x:c r="F10" s="13" t="n">
        <x:v>24</x:v>
      </x:c>
      <x:c r="G10" s="13" t="n">
        <x:v>128</x:v>
      </x:c>
      <x:c r="H10" s="13" t="n">
        <x:v>0.6</x:v>
      </x:c>
      <x:c r="I10" s="13" t="str">
        <x:v>OPEN</x:v>
      </x:c>
    </x:row>
    <x:row r="11">
      <x:c r="B11" s="13" t="str">
        <x:v>RFP-C1</x:v>
      </x:c>
      <x:c r="C11" s="13" t="str">
        <x:v>PTC-C</x:v>
      </x:c>
      <x:c r="D11" s="13" t="n">
        <x:v>24</x:v>
      </x:c>
      <x:c r="E11" s="13" t="n">
        <x:v>104</x:v>
      </x:c>
      <x:c r="F11" s="13" t="n">
        <x:v>24</x:v>
      </x:c>
      <x:c r="G11" s="13" t="n">
        <x:v>128</x:v>
      </x:c>
      <x:c r="H11" s="13" t="n">
        <x:v>0.6</x:v>
      </x:c>
      <x:c r="I11" s="13" t="str">
        <x:v>OPEN</x:v>
      </x:c>
    </x:row>
    <x:row r="12">
      <x:c r="B12" s="13" t="str">
        <x:v>RFP-C2</x:v>
      </x:c>
      <x:c r="C12" s="13" t="str">
        <x:v>PTC-C</x:v>
      </x:c>
      <x:c r="D12" s="13" t="n">
        <x:v>24</x:v>
      </x:c>
      <x:c r="E12" s="13" t="n">
        <x:v>104</x:v>
      </x:c>
      <x:c r="F12" s="13" t="n">
        <x:v>24</x:v>
      </x:c>
      <x:c r="G12" s="13" t="n">
        <x:v>128</x:v>
      </x:c>
      <x:c r="H12" s="13" t="n">
        <x:v>0.6</x:v>
      </x:c>
      <x:c r="I12" s="13" t="str">
        <x:v>OPEN</x:v>
      </x:c>
    </x:row>
  </x:sheetData>
  <x:conditionalFormatting sqref="I7:I12">
    <x:cfRule type="containsText" dxfId="232" priority="1" operator="containsText" text="FAIL"/>
    <x:cfRule type="containsText" dxfId="233" priority="2" operator="containsText" text="INVALID"/>
    <x:cfRule type="containsText" dxfId="234" priority="3" operator="containsText" text="BLOCKED"/>
    <x:cfRule type="containsText" dxfId="235" priority="4" operator="containsText" text="OPEN"/>
    <x:cfRule type="containsText" dxfId="236" priority="5" operator="containsText" text="GAP"/>
    <x:cfRule type="containsText" dxfId="237" priority="6" operator="containsText" text="DORMANT"/>
    <x:cfRule type="containsText" dxfId="238" priority="7" operator="containsText" text="PASS"/>
    <x:cfRule type="containsText" dxfId="239" priority="8" operator="containsText" text="VALID"/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4" hidden="0" customWidth="1"/>
    <x:col min="4" max="4" width="16" hidden="0" customWidth="1"/>
    <x:col min="5" max="5" width="76" hidden="0" customWidth="1"/>
    <x:col min="1" max="1" width="3" hidden="0" customWidth="1"/>
  </x:cols>
  <x:sheetData>
    <x:row r="2">
      <x:c r="B2" s="12" t="str">
        <x:v>Five hundred twelve mission positions</x:v>
      </x:c>
      <x:c r="C2" s="13"/>
      <x:c r="D2" s="13"/>
      <x:c r="E2" s="13"/>
    </x:row>
    <x:row r="3">
      <x:c r="B3" s="2" t="str">
        <x:v>The workforce is organized around independent truth, safe physical action and public custody—not around inherited contractors.</x:v>
      </x:c>
      <x:c r="C3" s="13"/>
      <x:c r="D3" s="13"/>
      <x:c r="E3" s="13"/>
    </x:row>
    <x:row r="4">
      <x:c r="B4" s="13"/>
      <x:c r="C4" s="13"/>
      <x:c r="D4" s="13"/>
      <x:c r="E4" s="13"/>
    </x:row>
    <x:row r="5">
      <x:c r="B5" s="13"/>
      <x:c r="C5" s="13"/>
      <x:c r="D5" s="13"/>
      <x:c r="E5" s="13"/>
    </x:row>
    <x:row r="6" ht="24" customHeight="1">
      <x:c r="B6" s="6" t="str">
        <x:v>Line</x:v>
      </x:c>
      <x:c r="C6" s="6" t="str">
        <x:v>Function</x:v>
      </x:c>
      <x:c r="D6" s="6" t="str">
        <x:v>Positions</x:v>
      </x:c>
      <x:c r="E6" s="6" t="str">
        <x:v>Accountability</x:v>
      </x:c>
    </x:row>
    <x:row r="7" ht="38" customHeight="1">
      <x:c r="B7" s="13" t="str">
        <x:v>WF-01</x:v>
      </x:c>
      <x:c r="C7" s="13" t="str">
        <x:v>source systems and custody</x:v>
      </x:c>
      <x:c r="D7" s="13" t="n">
        <x:v>72</x:v>
      </x:c>
      <x:c r="E7" s="14" t="str">
        <x:v>source lots, admission, recovery and terminal disposition</x:v>
      </x:c>
    </x:row>
    <x:row r="8" ht="38" customHeight="1">
      <x:c r="B8" s="13" t="str">
        <x:v>WF-02</x:v>
      </x:c>
      <x:c r="C8" s="13" t="str">
        <x:v>fire, thermal and environmental science</x:v>
      </x:c>
      <x:c r="D8" s="13" t="n">
        <x:v>66</x:v>
      </x:c>
      <x:c r="E8" s="14" t="str">
        <x:v>ignition, pool field, heat and environmental boundary</x:v>
      </x:c>
    </x:row>
    <x:row r="9" ht="38" customHeight="1">
      <x:c r="B9" s="13" t="str">
        <x:v>WF-03</x:v>
      </x:c>
      <x:c r="C9" s="13" t="str">
        <x:v>water systems and phase recovery</x:v>
      </x:c>
      <x:c r="D9" s="13" t="n">
        <x:v>54</x:v>
      </x:c>
      <x:c r="E9" s="14" t="str">
        <x:v>water custody, receivers and separation</x:v>
      </x:c>
    </x:row>
    <x:row r="10" ht="38" customHeight="1">
      <x:c r="B10" s="13" t="str">
        <x:v>WF-04</x:v>
      </x:c>
      <x:c r="C10" s="13" t="str">
        <x:v>metrology and uncertainty</x:v>
      </x:c>
      <x:c r="D10" s="13" t="n">
        <x:v>48</x:v>
      </x:c>
      <x:c r="E10" s="14" t="str">
        <x:v>unlike roots, calibration and uncertainty</x:v>
      </x:c>
    </x:row>
    <x:row r="11" ht="38" customHeight="1">
      <x:c r="B11" s="13" t="str">
        <x:v>WF-05</x:v>
      </x:c>
      <x:c r="C11" s="13" t="str">
        <x:v>controls and functional safety</x:v>
      </x:c>
      <x:c r="D11" s="13" t="n">
        <x:v>62</x:v>
      </x:c>
      <x:c r="E11" s="14" t="str">
        <x:v>final elements, paths and denial logic</x:v>
      </x:c>
    </x:row>
    <x:row r="12" ht="38" customHeight="1">
      <x:c r="B12" s="13" t="str">
        <x:v>WF-06</x:v>
      </x:c>
      <x:c r="C12" s="13" t="str">
        <x:v>evidence, software and causal time</x:v>
      </x:c>
      <x:c r="D12" s="13" t="n">
        <x:v>58</x:v>
      </x:c>
      <x:c r="E12" s="14" t="str">
        <x:v>native records, time, packets and replay</x:v>
      </x:c>
    </x:row>
    <x:row r="13" ht="38" customHeight="1">
      <x:c r="B13" s="13" t="str">
        <x:v>WF-07</x:v>
      </x:c>
      <x:c r="C13" s="13" t="str">
        <x:v>test operations and maintenance</x:v>
      </x:c>
      <x:c r="D13" s="13" t="n">
        <x:v>78</x:v>
      </x:c>
      <x:c r="E13" s="14" t="str">
        <x:v>six-rig execution and readiness</x:v>
      </x:c>
    </x:row>
    <x:row r="14" ht="38" customHeight="1">
      <x:c r="B14" s="13" t="str">
        <x:v>WF-08</x:v>
      </x:c>
      <x:c r="C14" s="13" t="str">
        <x:v>public safety and environmental health</x:v>
      </x:c>
      <x:c r="D14" s="13" t="n">
        <x:v>28</x:v>
      </x:c>
      <x:c r="E14" s="14" t="str">
        <x:v>abort authority, exposure and remediation</x:v>
      </x:c>
    </x:row>
    <x:row r="15" ht="38" customHeight="1">
      <x:c r="B15" s="13" t="str">
        <x:v>WF-09</x:v>
      </x:c>
      <x:c r="C15" s="13" t="str">
        <x:v>independent adjudication and audit</x:v>
      </x:c>
      <x:c r="D15" s="13" t="n">
        <x:v>22</x:v>
      </x:c>
      <x:c r="E15" s="14" t="str">
        <x:v>validity, credit and stated non-authorities</x:v>
      </x:c>
    </x:row>
    <x:row r="16" ht="38" customHeight="1">
      <x:c r="B16" s="13" t="str">
        <x:v>WF-10</x:v>
      </x:c>
      <x:c r="C16" s="13" t="str">
        <x:v>program, acquisition and administration</x:v>
      </x:c>
      <x:c r="D16" s="13" t="n">
        <x:v>24</x:v>
      </x:c>
      <x:c r="E16" s="14" t="str">
        <x:v>portfolio integration and contracts</x:v>
      </x:c>
    </x:row>
    <x:row r="17">
      <x:c r="B17" s="13"/>
      <x:c r="C17" s="13"/>
      <x:c r="D17" s="13"/>
      <x:c r="E17" s="13"/>
    </x:row>
    <x:row r="18">
      <x:c r="B18" s="11" t="str">
        <x:v>TOTAL</x:v>
      </x:c>
      <x:c r="C18" s="11" t="str"/>
      <x:c r="D18" s="11" t="n">
        <x:v>512</x:v>
      </x:c>
      <x:c r="E18" s="11" t="str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58" hidden="0" customWidth="1"/>
    <x:col min="4" max="4" width="18" hidden="0" customWidth="1"/>
    <x:col min="5" max="5" width="18" hidden="0" customWidth="1"/>
    <x:col min="1" max="1" width="3" hidden="0" customWidth="1"/>
  </x:cols>
  <x:sheetData>
    <x:row r="2">
      <x:c r="B2" s="12" t="str">
        <x:v>Gross capital by object</x:v>
      </x:c>
      <x:c r="C2" s="13"/>
      <x:c r="D2" s="13"/>
      <x:c r="E2" s="13"/>
    </x:row>
    <x:row r="3">
      <x:c r="B3" s="2" t="str">
        <x:v>Capital is an incremental-composition view before registered overlap is removed at the portfolio boundary.</x:v>
      </x:c>
      <x:c r="C3" s="13"/>
      <x:c r="D3" s="13"/>
      <x:c r="E3" s="13"/>
    </x:row>
    <x:row r="4">
      <x:c r="B4" s="13"/>
      <x:c r="C4" s="13"/>
      <x:c r="D4" s="13"/>
      <x:c r="E4" s="13"/>
    </x:row>
    <x:row r="5">
      <x:c r="B5" s="13"/>
      <x:c r="C5" s="13"/>
      <x:c r="D5" s="13"/>
      <x:c r="E5" s="13"/>
    </x:row>
    <x:row r="6" ht="24" customHeight="1">
      <x:c r="B6" s="6" t="str">
        <x:v>Line</x:v>
      </x:c>
      <x:c r="C6" s="6" t="str">
        <x:v>Object</x:v>
      </x:c>
      <x:c r="D6" s="6" t="str">
        <x:v>USD M</x:v>
      </x:c>
      <x:c r="E6" s="6" t="str">
        <x:v>Ownership</x:v>
      </x:c>
    </x:row>
    <x:row r="7">
      <x:c r="B7" s="13" t="str">
        <x:v>CAP-01</x:v>
      </x:c>
      <x:c r="C7" s="13" t="str">
        <x:v>source vessels, dispensers and receivers</x:v>
      </x:c>
      <x:c r="D7" s="13" t="n">
        <x:v>88</x:v>
      </x:c>
      <x:c r="E7" s="13" t="str">
        <x:v>CISA</x:v>
      </x:c>
    </x:row>
    <x:row r="8">
      <x:c r="B8" s="13" t="str">
        <x:v>CAP-02</x:v>
      </x:c>
      <x:c r="C8" s="13" t="str">
        <x:v>water supply, casualty receivers and separation</x:v>
      </x:c>
      <x:c r="D8" s="13" t="n">
        <x:v>58</x:v>
      </x:c>
      <x:c r="E8" s="13" t="str">
        <x:v>CISA</x:v>
      </x:c>
    </x:row>
    <x:row r="9">
      <x:c r="B9" s="13" t="str">
        <x:v>CAP-03</x:v>
      </x:c>
      <x:c r="C9" s="13" t="str">
        <x:v>thermal field and environmental boundary</x:v>
      </x:c>
      <x:c r="D9" s="13" t="n">
        <x:v>46</x:v>
      </x:c>
      <x:c r="E9" s="13" t="str">
        <x:v>CISA</x:v>
      </x:c>
    </x:row>
    <x:row r="10">
      <x:c r="B10" s="13" t="str">
        <x:v>CAP-04</x:v>
      </x:c>
      <x:c r="C10" s="13" t="str">
        <x:v>controls, safeing and independent energy</x:v>
      </x:c>
      <x:c r="D10" s="13" t="n">
        <x:v>72</x:v>
      </x:c>
      <x:c r="E10" s="13" t="str">
        <x:v>CISA</x:v>
      </x:c>
    </x:row>
    <x:row r="11">
      <x:c r="B11" s="13" t="str">
        <x:v>CAP-05</x:v>
      </x:c>
      <x:c r="C11" s="13" t="str">
        <x:v>truth-root metrology and calibration</x:v>
      </x:c>
      <x:c r="D11" s="13" t="n">
        <x:v>64</x:v>
      </x:c>
      <x:c r="E11" s="13" t="str">
        <x:v>CISA</x:v>
      </x:c>
    </x:row>
    <x:row r="12">
      <x:c r="B12" s="13" t="str">
        <x:v>CAP-06</x:v>
      </x:c>
      <x:c r="C12" s="13" t="str">
        <x:v>causal time and native evidence</x:v>
      </x:c>
      <x:c r="D12" s="13" t="n">
        <x:v>62</x:v>
      </x:c>
      <x:c r="E12" s="13" t="str">
        <x:v>CISA</x:v>
      </x:c>
    </x:row>
    <x:row r="13">
      <x:c r="B13" s="13" t="str">
        <x:v>CAP-07</x:v>
      </x:c>
      <x:c r="C13" s="13" t="str">
        <x:v>containment cells and reversible liners</x:v>
      </x:c>
      <x:c r="D13" s="13" t="n">
        <x:v>54</x:v>
      </x:c>
      <x:c r="E13" s="13" t="str">
        <x:v>CISA</x:v>
      </x:c>
    </x:row>
    <x:row r="14">
      <x:c r="B14" s="13" t="str">
        <x:v>CAP-08</x:v>
      </x:c>
      <x:c r="C14" s="13" t="str">
        <x:v>campus civil works and utilities</x:v>
      </x:c>
      <x:c r="D14" s="13" t="n">
        <x:v>78</x:v>
      </x:c>
      <x:c r="E14" s="13" t="str">
        <x:v>shared</x:v>
      </x:c>
    </x:row>
    <x:row r="15">
      <x:c r="B15" s="13" t="str">
        <x:v>CAP-09</x:v>
      </x:c>
      <x:c r="C15" s="13" t="str">
        <x:v>remote replay and secure archive</x:v>
      </x:c>
      <x:c r="D15" s="13" t="n">
        <x:v>38</x:v>
      </x:c>
      <x:c r="E15" s="13" t="str">
        <x:v>shared</x:v>
      </x:c>
    </x:row>
    <x:row r="16">
      <x:c r="B16" s="13" t="str">
        <x:v>CAP-10</x:v>
      </x:c>
      <x:c r="C16" s="13" t="str">
        <x:v>technology prototypes and toolchain</x:v>
      </x:c>
      <x:c r="D16" s="13" t="n">
        <x:v>36</x:v>
      </x:c>
      <x:c r="E16" s="13" t="str">
        <x:v>shared</x:v>
      </x:c>
    </x:row>
    <x:row r="17">
      <x:c r="B17" s="13" t="str">
        <x:v>CAP-11</x:v>
      </x:c>
      <x:c r="C17" s="13" t="str">
        <x:v>spares, standards and retained samples</x:v>
      </x:c>
      <x:c r="D17" s="13" t="n">
        <x:v>12</x:v>
      </x:c>
      <x:c r="E17" s="13" t="str">
        <x:v>shared</x:v>
      </x:c>
    </x:row>
    <x:row r="18">
      <x:c r="B18" s="13" t="str">
        <x:v>CAP-12</x:v>
      </x:c>
      <x:c r="C18" s="13" t="str">
        <x:v>integration reserve</x:v>
      </x:c>
      <x:c r="D18" s="13" t="n">
        <x:v>12</x:v>
      </x:c>
      <x:c r="E18" s="13" t="str">
        <x:v>shared</x:v>
      </x:c>
    </x:row>
    <x:row r="19">
      <x:c r="B19" s="11" t="str">
        <x:v>TOTAL</x:v>
      </x:c>
      <x:c r="C19" s="11" t="str"/>
      <x:c r="D19" s="11" t="n">
        <x:v>620</x:v>
      </x:c>
      <x:c r="E19" s="11" t="str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60" hidden="0" customWidth="1"/>
    <x:col min="4" max="4" width="21" hidden="0" customWidth="1"/>
    <x:col min="5" max="5" width="18" hidden="0" customWidth="1"/>
    <x:col min="1" max="1" width="3" hidden="0" customWidth="1"/>
  </x:cols>
  <x:sheetData>
    <x:row r="2">
      <x:c r="B2" s="12" t="str">
        <x:v>Gross annual support</x:v>
      </x:c>
      <x:c r="C2" s="13"/>
      <x:c r="D2" s="13"/>
      <x:c r="E2" s="13"/>
    </x:row>
    <x:row r="3">
      <x:c r="B3" s="2" t="str">
        <x:v>Annual support is an incremental-composition view before overlap removal.</x:v>
      </x:c>
      <x:c r="C3" s="13"/>
      <x:c r="D3" s="13"/>
      <x:c r="E3" s="13"/>
    </x:row>
    <x:row r="4">
      <x:c r="B4" s="13"/>
      <x:c r="C4" s="13"/>
      <x:c r="D4" s="13"/>
      <x:c r="E4" s="13"/>
    </x:row>
    <x:row r="5">
      <x:c r="B5" s="13"/>
      <x:c r="C5" s="13"/>
      <x:c r="D5" s="13"/>
      <x:c r="E5" s="13"/>
    </x:row>
    <x:row r="6" ht="24" customHeight="1">
      <x:c r="B6" s="6" t="str">
        <x:v>Line</x:v>
      </x:c>
      <x:c r="C6" s="6" t="str">
        <x:v>Object</x:v>
      </x:c>
      <x:c r="D6" s="6" t="str">
        <x:v>USD M/year</x:v>
      </x:c>
      <x:c r="E6" s="6" t="str">
        <x:v>Ownership</x:v>
      </x:c>
    </x:row>
    <x:row r="7">
      <x:c r="B7" s="13" t="str">
        <x:v>ANN-01</x:v>
      </x:c>
      <x:c r="C7" s="13" t="str">
        <x:v>workforce and benefits</x:v>
      </x:c>
      <x:c r="D7" s="13" t="n">
        <x:v>112</x:v>
      </x:c>
      <x:c r="E7" s="13" t="str">
        <x:v>shared</x:v>
      </x:c>
    </x:row>
    <x:row r="8">
      <x:c r="B8" s="13" t="str">
        <x:v>ANN-02</x:v>
      </x:c>
      <x:c r="C8" s="13" t="str">
        <x:v>source and water consumables</x:v>
      </x:c>
      <x:c r="D8" s="13" t="n">
        <x:v>24</x:v>
      </x:c>
      <x:c r="E8" s="13" t="str">
        <x:v>CISA</x:v>
      </x:c>
    </x:row>
    <x:row r="9">
      <x:c r="B9" s="13" t="str">
        <x:v>ANN-03</x:v>
      </x:c>
      <x:c r="C9" s="13" t="str">
        <x:v>rig operations and maintenance</x:v>
      </x:c>
      <x:c r="D9" s="13" t="n">
        <x:v>28</x:v>
      </x:c>
      <x:c r="E9" s="13" t="str">
        <x:v>CISA</x:v>
      </x:c>
    </x:row>
    <x:row r="10">
      <x:c r="B10" s="13" t="str">
        <x:v>ANN-04</x:v>
      </x:c>
      <x:c r="C10" s="13" t="str">
        <x:v>calibration, samples and standards</x:v>
      </x:c>
      <x:c r="D10" s="13" t="n">
        <x:v>16</x:v>
      </x:c>
      <x:c r="E10" s="13" t="str">
        <x:v>CISA</x:v>
      </x:c>
    </x:row>
    <x:row r="11">
      <x:c r="B11" s="13" t="str">
        <x:v>ANN-05</x:v>
      </x:c>
      <x:c r="C11" s="13" t="str">
        <x:v>evidence compute, storage and replay</x:v>
      </x:c>
      <x:c r="D11" s="13" t="n">
        <x:v>12</x:v>
      </x:c>
      <x:c r="E11" s="13" t="str">
        <x:v>CISA</x:v>
      </x:c>
    </x:row>
    <x:row r="12">
      <x:c r="B12" s="13" t="str">
        <x:v>ANN-06</x:v>
      </x:c>
      <x:c r="C12" s="13" t="str">
        <x:v>technology campaigns</x:v>
      </x:c>
      <x:c r="D12" s="13" t="n">
        <x:v>18</x:v>
      </x:c>
      <x:c r="E12" s="13" t="str">
        <x:v>shared</x:v>
      </x:c>
    </x:row>
    <x:row r="13">
      <x:c r="B13" s="13" t="str">
        <x:v>ANN-07</x:v>
      </x:c>
      <x:c r="C13" s="13" t="str">
        <x:v>public safety and environmental monitoring</x:v>
      </x:c>
      <x:c r="D13" s="13" t="n">
        <x:v>7</x:v>
      </x:c>
      <x:c r="E13" s="13" t="str">
        <x:v>shared</x:v>
      </x:c>
    </x:row>
    <x:row r="14">
      <x:c r="B14" s="13" t="str">
        <x:v>ANN-08</x:v>
      </x:c>
      <x:c r="C14" s="13" t="str">
        <x:v>independent board and audit</x:v>
      </x:c>
      <x:c r="D14" s="13" t="n">
        <x:v>5</x:v>
      </x:c>
      <x:c r="E14" s="13" t="str">
        <x:v>shared</x:v>
      </x:c>
    </x:row>
    <x:row r="15">
      <x:c r="B15" s="13" t="str">
        <x:v>ANN-09</x:v>
      </x:c>
      <x:c r="C15" s="13" t="str">
        <x:v>campus utilities and security</x:v>
      </x:c>
      <x:c r="D15" s="13" t="n">
        <x:v>8</x:v>
      </x:c>
      <x:c r="E15" s="13" t="str">
        <x:v>shared</x:v>
      </x:c>
    </x:row>
    <x:row r="16">
      <x:c r="B16" s="13" t="str">
        <x:v>ANN-10</x:v>
      </x:c>
      <x:c r="C16" s="13" t="str">
        <x:v>annual contingency</x:v>
      </x:c>
      <x:c r="D16" s="13" t="n">
        <x:v>5</x:v>
      </x:c>
      <x:c r="E16" s="13" t="str">
        <x:v>shared</x:v>
      </x:c>
    </x:row>
    <x:row r="17">
      <x:c r="B17" s="11" t="str">
        <x:v>TOTAL</x:v>
      </x:c>
      <x:c r="C17" s="11" t="str"/>
      <x:c r="D17" s="11" t="n">
        <x:v>235</x:v>
      </x:c>
      <x:c r="E17" s="11" t="str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2" hidden="0" customWidth="1"/>
    <x:col min="4" max="4" width="18" hidden="0" customWidth="1"/>
    <x:col min="5" max="5" width="18" hidden="0" customWidth="1"/>
    <x:col min="6" max="6" width="56" hidden="0" customWidth="1"/>
    <x:col min="1" max="1" width="3" hidden="0" customWidth="1"/>
  </x:cols>
  <x:sheetData>
    <x:row r="2">
      <x:c r="B2" s="12" t="str">
        <x:v>Registered portfolio boundary</x:v>
      </x:c>
      <x:c r="C2" s="13"/>
      <x:c r="D2" s="13"/>
      <x:c r="E2" s="13"/>
      <x:c r="F2" s="13"/>
    </x:row>
    <x:row r="3">
      <x:c r="B3" s="2" t="str">
        <x:v>Gross figures describe composition. Net figures alone extend the registered Department portfolio.</x:v>
      </x:c>
      <x:c r="C3" s="13"/>
      <x:c r="D3" s="13"/>
      <x:c r="E3" s="13"/>
      <x:c r="F3" s="13"/>
    </x:row>
    <x:row r="4">
      <x:c r="B4" s="13"/>
      <x:c r="C4" s="13"/>
      <x:c r="D4" s="13"/>
      <x:c r="E4" s="13"/>
      <x:c r="F4" s="13"/>
    </x:row>
    <x:row r="5">
      <x:c r="B5" s="13"/>
      <x:c r="C5" s="13"/>
      <x:c r="D5" s="13"/>
      <x:c r="E5" s="13"/>
      <x:c r="F5" s="13"/>
    </x:row>
    <x:row r="6" ht="24" customHeight="1">
      <x:c r="B6" s="6" t="str">
        <x:v>Item</x:v>
      </x:c>
      <x:c r="C6" s="6" t="str">
        <x:v>Boundary object</x:v>
      </x:c>
      <x:c r="D6" s="6" t="str">
        <x:v>Value</x:v>
      </x:c>
      <x:c r="E6" s="6" t="str">
        <x:v>Unit</x:v>
      </x:c>
      <x:c r="F6" s="6" t="str">
        <x:v>Treatment</x:v>
      </x:c>
    </x:row>
    <x:row r="7" ht="35" customHeight="1">
      <x:c r="B7" s="13" t="str">
        <x:v>PB-01</x:v>
      </x:c>
      <x:c r="C7" s="13" t="str">
        <x:v>RAS-1 gross capital</x:v>
      </x:c>
      <x:c r="D7" s="13" t="n">
        <x:f>'Controls'!$D$38</x:f>
        <x:v>620</x:v>
      </x:c>
      <x:c r="E7" s="13" t="str">
        <x:v>USD M</x:v>
      </x:c>
      <x:c r="F7" s="14" t="str">
        <x:v>new composition</x:v>
      </x:c>
    </x:row>
    <x:row r="8" ht="35" customHeight="1">
      <x:c r="B8" s="13" t="str">
        <x:v>PB-02</x:v>
      </x:c>
      <x:c r="C8" s="13" t="str">
        <x:v>registered overlap capital</x:v>
      </x:c>
      <x:c r="D8" s="13" t="n">
        <x:f>'Controls'!$D$44</x:f>
        <x:v>560</x:v>
      </x:c>
      <x:c r="E8" s="13" t="str">
        <x:v>USD M</x:v>
      </x:c>
      <x:c r="F8" s="14" t="str">
        <x:v>already represented in prior baselines</x:v>
      </x:c>
    </x:row>
    <x:row r="9" ht="35" customHeight="1">
      <x:c r="B9" s="13" t="str">
        <x:v>PB-03</x:v>
      </x:c>
      <x:c r="C9" s="13" t="str">
        <x:v>RAS-1 net capital</x:v>
      </x:c>
      <x:c r="D9" s="13" t="n">
        <x:f>D7-D8</x:f>
        <x:v>60</x:v>
      </x:c>
      <x:c r="E9" s="13" t="str">
        <x:v>USD M</x:v>
      </x:c>
      <x:c r="F9" s="14" t="str">
        <x:v>PB-01 minus PB-02</x:v>
      </x:c>
    </x:row>
    <x:row r="10" ht="35" customHeight="1">
      <x:c r="B10" s="13" t="str">
        <x:v>PB-04</x:v>
      </x:c>
      <x:c r="C10" s="13" t="str">
        <x:v>RAS-1 gross annual</x:v>
      </x:c>
      <x:c r="D10" s="13" t="n">
        <x:f>'Controls'!$D$39</x:f>
        <x:v>235</x:v>
      </x:c>
      <x:c r="E10" s="13" t="str">
        <x:v>USD M/year</x:v>
      </x:c>
      <x:c r="F10" s="14" t="str">
        <x:v>new composition</x:v>
      </x:c>
    </x:row>
    <x:row r="11" ht="35" customHeight="1">
      <x:c r="B11" s="13" t="str">
        <x:v>PB-05</x:v>
      </x:c>
      <x:c r="C11" s="13" t="str">
        <x:v>registered overlap annual</x:v>
      </x:c>
      <x:c r="D11" s="13" t="n">
        <x:f>'Controls'!$D$45</x:f>
        <x:v>207</x:v>
      </x:c>
      <x:c r="E11" s="13" t="str">
        <x:v>USD M/year</x:v>
      </x:c>
      <x:c r="F11" s="14" t="str">
        <x:v>already represented in prior baselines</x:v>
      </x:c>
    </x:row>
    <x:row r="12" ht="35" customHeight="1">
      <x:c r="B12" s="13" t="str">
        <x:v>PB-06</x:v>
      </x:c>
      <x:c r="C12" s="13" t="str">
        <x:v>RAS-1 net annual</x:v>
      </x:c>
      <x:c r="D12" s="13" t="n">
        <x:f>D10-D11</x:f>
        <x:v>28</x:v>
      </x:c>
      <x:c r="E12" s="13" t="str">
        <x:v>USD M/year</x:v>
      </x:c>
      <x:c r="F12" s="14" t="str">
        <x:v>PB-04 minus PB-05</x:v>
      </x:c>
    </x:row>
    <x:row r="13" ht="35" customHeight="1">
      <x:c r="B13" s="13" t="str">
        <x:v>PB-07</x:v>
      </x:c>
      <x:c r="C13" s="13" t="str">
        <x:v>CISA gross capital</x:v>
      </x:c>
      <x:c r="D13" s="13" t="n">
        <x:f>'Controls'!$D$40</x:f>
        <x:v>390</x:v>
      </x:c>
      <x:c r="E13" s="13" t="str">
        <x:v>USD M</x:v>
      </x:c>
      <x:c r="F13" s="14" t="str">
        <x:v>mission-specific composition</x:v>
      </x:c>
    </x:row>
    <x:row r="14" ht="35" customHeight="1">
      <x:c r="B14" s="13" t="str">
        <x:v>PB-08</x:v>
      </x:c>
      <x:c r="C14" s="13" t="str">
        <x:v>CISA overlap capital</x:v>
      </x:c>
      <x:c r="D14" s="13" t="n">
        <x:f>'Controls'!$D$46</x:f>
        <x:v>350</x:v>
      </x:c>
      <x:c r="E14" s="13" t="str">
        <x:v>USD M</x:v>
      </x:c>
      <x:c r="F14" s="14" t="str">
        <x:v>registered overlap</x:v>
      </x:c>
    </x:row>
    <x:row r="15" ht="35" customHeight="1">
      <x:c r="B15" s="13" t="str">
        <x:v>PB-09</x:v>
      </x:c>
      <x:c r="C15" s="13" t="str">
        <x:v>CISA net capital</x:v>
      </x:c>
      <x:c r="D15" s="13" t="n">
        <x:f>D13-D14</x:f>
        <x:v>40</x:v>
      </x:c>
      <x:c r="E15" s="13" t="str">
        <x:v>USD M</x:v>
      </x:c>
      <x:c r="F15" s="14" t="str">
        <x:v>increment after overlap</x:v>
      </x:c>
    </x:row>
    <x:row r="16" ht="35" customHeight="1">
      <x:c r="B16" s="13" t="str">
        <x:v>PB-10</x:v>
      </x:c>
      <x:c r="C16" s="13" t="str">
        <x:v>shared gross capital</x:v>
      </x:c>
      <x:c r="D16" s="13" t="n">
        <x:f>'Controls'!$D$41</x:f>
        <x:v>230</x:v>
      </x:c>
      <x:c r="E16" s="13" t="str">
        <x:v>USD M</x:v>
      </x:c>
      <x:c r="F16" s="14" t="str">
        <x:v>campus/common composition</x:v>
      </x:c>
    </x:row>
    <x:row r="17" ht="35" customHeight="1">
      <x:c r="B17" s="13" t="str">
        <x:v>PB-11</x:v>
      </x:c>
      <x:c r="C17" s="13" t="str">
        <x:v>shared overlap capital</x:v>
      </x:c>
      <x:c r="D17" s="13" t="n">
        <x:f>'Controls'!$D$48</x:f>
        <x:v>210</x:v>
      </x:c>
      <x:c r="E17" s="13" t="str">
        <x:v>USD M</x:v>
      </x:c>
      <x:c r="F17" s="14" t="str">
        <x:v>registered overlap</x:v>
      </x:c>
    </x:row>
    <x:row r="18" ht="35" customHeight="1">
      <x:c r="B18" s="13" t="str">
        <x:v>PB-12</x:v>
      </x:c>
      <x:c r="C18" s="13" t="str">
        <x:v>shared net capital</x:v>
      </x:c>
      <x:c r="D18" s="13" t="n">
        <x:f>D16-D17</x:f>
        <x:v>20</x:v>
      </x:c>
      <x:c r="E18" s="13" t="str">
        <x:v>USD M</x:v>
      </x:c>
      <x:c r="F18" s="14" t="str">
        <x:v>increment after overlap</x:v>
      </x:c>
    </x:row>
    <x:row r="19" ht="35" customHeight="1">
      <x:c r="B19" s="13" t="str">
        <x:v>PB-13</x:v>
      </x:c>
      <x:c r="C19" s="13" t="str">
        <x:v>CISA gross annual</x:v>
      </x:c>
      <x:c r="D19" s="13" t="n">
        <x:f>'Controls'!$D$42</x:f>
        <x:v>154</x:v>
      </x:c>
      <x:c r="E19" s="13" t="str">
        <x:v>USD M/year</x:v>
      </x:c>
      <x:c r="F19" s="14" t="str">
        <x:v>mission-specific composition</x:v>
      </x:c>
    </x:row>
    <x:row r="20" ht="35" customHeight="1">
      <x:c r="B20" s="13" t="str">
        <x:v>PB-14</x:v>
      </x:c>
      <x:c r="C20" s="13" t="str">
        <x:v>CISA overlap annual</x:v>
      </x:c>
      <x:c r="D20" s="13" t="n">
        <x:f>'Controls'!$D$47</x:f>
        <x:v>136</x:v>
      </x:c>
      <x:c r="E20" s="13" t="str">
        <x:v>USD M/year</x:v>
      </x:c>
      <x:c r="F20" s="14" t="str">
        <x:v>registered overlap</x:v>
      </x:c>
    </x:row>
    <x:row r="21" ht="35" customHeight="1">
      <x:c r="B21" s="13" t="str">
        <x:v>PB-15</x:v>
      </x:c>
      <x:c r="C21" s="13" t="str">
        <x:v>CISA net annual</x:v>
      </x:c>
      <x:c r="D21" s="13" t="n">
        <x:f>D19-D20</x:f>
        <x:v>18</x:v>
      </x:c>
      <x:c r="E21" s="13" t="str">
        <x:v>USD M/year</x:v>
      </x:c>
      <x:c r="F21" s="14" t="str">
        <x:v>increment after overlap</x:v>
      </x:c>
    </x:row>
    <x:row r="22" ht="35" customHeight="1">
      <x:c r="B22" s="13" t="str">
        <x:v>PB-16</x:v>
      </x:c>
      <x:c r="C22" s="13" t="str">
        <x:v>shared gross annual</x:v>
      </x:c>
      <x:c r="D22" s="13" t="n">
        <x:f>'Controls'!$D$43</x:f>
        <x:v>81</x:v>
      </x:c>
      <x:c r="E22" s="13" t="str">
        <x:v>USD M/year</x:v>
      </x:c>
      <x:c r="F22" s="14" t="str">
        <x:v>shared composition</x:v>
      </x:c>
    </x:row>
    <x:row r="23" ht="35" customHeight="1">
      <x:c r="B23" s="13" t="str">
        <x:v>PB-17</x:v>
      </x:c>
      <x:c r="C23" s="13" t="str">
        <x:v>shared overlap annual</x:v>
      </x:c>
      <x:c r="D23" s="13" t="n">
        <x:f>'Controls'!$D$49</x:f>
        <x:v>71</x:v>
      </x:c>
      <x:c r="E23" s="13" t="str">
        <x:v>USD M/year</x:v>
      </x:c>
      <x:c r="F23" s="14" t="str">
        <x:v>registered overlap</x:v>
      </x:c>
    </x:row>
    <x:row r="24" ht="35" customHeight="1">
      <x:c r="B24" s="13" t="str">
        <x:v>PB-18</x:v>
      </x:c>
      <x:c r="C24" s="13" t="str">
        <x:v>shared net annual</x:v>
      </x:c>
      <x:c r="D24" s="13" t="n">
        <x:f>D22-D23</x:f>
        <x:v>10</x:v>
      </x:c>
      <x:c r="E24" s="13" t="str">
        <x:v>USD M/year</x:v>
      </x:c>
      <x:c r="F24" s="14" t="str">
        <x:v>increment after overlap</x:v>
      </x:c>
    </x:row>
    <x:row r="25" ht="35" customHeight="1">
      <x:c r="B25" s="13" t="str">
        <x:v>PB-19</x:v>
      </x:c>
      <x:c r="C25" s="13" t="str">
        <x:v>BRD-14R credited capital</x:v>
      </x:c>
      <x:c r="D25" s="13" t="n">
        <x:f>'Controls'!$D$50+D15</x:f>
        <x:v>2435</x:v>
      </x:c>
      <x:c r="E25" s="13" t="str">
        <x:v>USD M</x:v>
      </x:c>
      <x:c r="F25" s="14" t="str">
        <x:v>prior credited boundary plus CISA net capital</x:v>
      </x:c>
    </x:row>
    <x:row r="26" ht="35" customHeight="1">
      <x:c r="B26" s="13" t="str">
        <x:v>PB-20</x:v>
      </x:c>
      <x:c r="C26" s="13" t="str">
        <x:v>BRD-14R credited annual</x:v>
      </x:c>
      <x:c r="D26" s="13" t="n">
        <x:f>'Controls'!$D$51+D21</x:f>
        <x:v>464</x:v>
      </x:c>
      <x:c r="E26" s="13" t="str">
        <x:v>USD M/year</x:v>
      </x:c>
      <x:c r="F26" s="14" t="str">
        <x:v>prior credited boundary plus CISA net annual</x:v>
      </x:c>
    </x:row>
    <x:row r="27" ht="35" customHeight="1">
      <x:c r="B27" s="13" t="str">
        <x:v>PB-21</x:v>
      </x:c>
      <x:c r="C27" s="13" t="str">
        <x:v>BRD-14U uncredited capital</x:v>
      </x:c>
      <x:c r="D27" s="13" t="n">
        <x:f>'Controls'!$D$52+D9</x:f>
        <x:v>3095</x:v>
      </x:c>
      <x:c r="E27" s="13" t="str">
        <x:v>USD M</x:v>
      </x:c>
      <x:c r="F27" s="14" t="str">
        <x:v>prior uncredited boundary plus total net capital</x:v>
      </x:c>
    </x:row>
    <x:row r="28" ht="35" customHeight="1">
      <x:c r="B28" s="13" t="str">
        <x:v>PB-22</x:v>
      </x:c>
      <x:c r="C28" s="13" t="str">
        <x:v>BRD-14U uncredited annual</x:v>
      </x:c>
      <x:c r="D28" s="13" t="n">
        <x:f>'Controls'!$D$53+D12</x:f>
        <x:v>637</x:v>
      </x:c>
      <x:c r="E28" s="13" t="str">
        <x:v>USD M/year</x:v>
      </x:c>
      <x:c r="F28" s="14" t="str">
        <x:v>prior uncredited boundary plus total net annual</x:v>
      </x:c>
    </x:row>
    <x:row r="29" ht="35" customHeight="1">
      <x:c r="B29" s="13" t="str">
        <x:v>PB-23</x:v>
      </x:c>
      <x:c r="C29" s="13" t="str">
        <x:v>thirty-month gross exposure</x:v>
      </x:c>
      <x:c r="D29" s="13" t="n">
        <x:f>'Controls'!$D$38+'Controls'!$D$35/12*'Controls'!$D$39</x:f>
        <x:v>1207.5</x:v>
      </x:c>
      <x:c r="E29" s="13" t="str">
        <x:v>USD M</x:v>
      </x:c>
      <x:c r="F29" s="14" t="str">
        <x:v>gross capital plus 2.5 years gross annual support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58" hidden="0" customWidth="1"/>
    <x:col min="5" max="5" width="47" hidden="0" customWidth="1"/>
    <x:col min="1" max="1" width="3" hidden="0" customWidth="1"/>
  </x:cols>
  <x:sheetData>
    <x:row r="2">
      <x:c r="B2" s="12" t="str">
        <x:v>Ten separated decision authorities</x:v>
      </x:c>
      <x:c r="C2" s="13"/>
      <x:c r="D2" s="13"/>
      <x:c r="E2" s="13"/>
    </x:row>
    <x:row r="3">
      <x:c r="B3" s="2" t="str">
        <x:v>No single program office controls source release, safety action, evidence custody, validity and qualification.</x:v>
      </x:c>
      <x:c r="C3" s="13"/>
      <x:c r="D3" s="13"/>
      <x:c r="E3" s="13"/>
    </x:row>
    <x:row r="4">
      <x:c r="B4" s="13"/>
      <x:c r="C4" s="13"/>
      <x:c r="D4" s="13"/>
      <x:c r="E4" s="13"/>
    </x:row>
    <x:row r="5">
      <x:c r="B5" s="13"/>
      <x:c r="C5" s="13"/>
      <x:c r="D5" s="13"/>
      <x:c r="E5" s="13"/>
    </x:row>
    <x:row r="6" ht="24" customHeight="1">
      <x:c r="B6" s="6" t="str">
        <x:v>Authority</x:v>
      </x:c>
      <x:c r="C6" s="6" t="str">
        <x:v>Holder</x:v>
      </x:c>
      <x:c r="D6" s="6" t="str">
        <x:v>Decision right</x:v>
      </x:c>
      <x:c r="E6" s="6" t="str">
        <x:v>Separation</x:v>
      </x:c>
    </x:row>
    <x:row r="7" ht="38" customHeight="1">
      <x:c r="B7" s="13" t="str">
        <x:v>AU-01</x:v>
      </x:c>
      <x:c r="C7" s="13" t="str">
        <x:v>event safety controller</x:v>
      </x:c>
      <x:c r="D7" s="14" t="str">
        <x:v>stop or safe any event</x:v>
      </x:c>
      <x:c r="E7" s="14" t="str">
        <x:v>independent of test director</x:v>
      </x:c>
    </x:row>
    <x:row r="8" ht="38" customHeight="1">
      <x:c r="B8" s="13" t="str">
        <x:v>AU-02</x:v>
      </x:c>
      <x:c r="C8" s="13" t="str">
        <x:v>source custodian</x:v>
      </x:c>
      <x:c r="D8" s="14" t="str">
        <x:v>release, quarantine and final source disposition</x:v>
      </x:c>
      <x:c r="E8" s="14" t="str">
        <x:v>separate from method team</x:v>
      </x:c>
    </x:row>
    <x:row r="9" ht="38" customHeight="1">
      <x:c r="B9" s="13" t="str">
        <x:v>AU-03</x:v>
      </x:c>
      <x:c r="C9" s="13" t="str">
        <x:v>water custodian</x:v>
      </x:c>
      <x:c r="D9" s="14" t="str">
        <x:v>water identity, receiver and environmental disposition</x:v>
      </x:c>
      <x:c r="E9" s="14" t="str">
        <x:v>separate from source custodian</x:v>
      </x:c>
    </x:row>
    <x:row r="10" ht="38" customHeight="1">
      <x:c r="B10" s="13" t="str">
        <x:v>AU-04</x:v>
      </x:c>
      <x:c r="C10" s="13" t="str">
        <x:v>metrology authority</x:v>
      </x:c>
      <x:c r="D10" s="14" t="str">
        <x:v>calibration, uncertainty and unlike-root integrity</x:v>
      </x:c>
      <x:c r="E10" s="14" t="str">
        <x:v>independent technical line</x:v>
      </x:c>
    </x:row>
    <x:row r="11" ht="38" customHeight="1">
      <x:c r="B11" s="13" t="str">
        <x:v>AU-05</x:v>
      </x:c>
      <x:c r="C11" s="13" t="str">
        <x:v>evidence custodian</x:v>
      </x:c>
      <x:c r="D11" s="14" t="str">
        <x:v>native originals, packet seal and replay release</x:v>
      </x:c>
      <x:c r="E11" s="14" t="str">
        <x:v>cannot grant method credit</x:v>
      </x:c>
    </x:row>
    <x:row r="12" ht="38" customHeight="1">
      <x:c r="B12" s="13" t="str">
        <x:v>AU-06</x:v>
      </x:c>
      <x:c r="C12" s="13" t="str">
        <x:v>validity board</x:v>
      </x:c>
      <x:c r="D12" s="14" t="str">
        <x:v>declare event valid or invalid</x:v>
      </x:c>
      <x:c r="E12" s="14" t="str">
        <x:v>cannot alter measured results</x:v>
      </x:c>
    </x:row>
    <x:row r="13" ht="38" customHeight="1">
      <x:c r="B13" s="13" t="str">
        <x:v>AU-07</x:v>
      </x:c>
      <x:c r="C13" s="13" t="str">
        <x:v>credit board</x:v>
      </x:c>
      <x:c r="D13" s="14" t="str">
        <x:v>accept or reject valid event credit</x:v>
      </x:c>
      <x:c r="E13" s="14" t="str">
        <x:v>cannot relabel failed as invalid</x:v>
      </x:c>
    </x:row>
    <x:row r="14" ht="38" customHeight="1">
      <x:c r="B14" s="13" t="str">
        <x:v>AU-08</x:v>
      </x:c>
      <x:c r="C14" s="13" t="str">
        <x:v>quarter-source board</x:v>
      </x:c>
      <x:c r="D14" s="14" t="str">
        <x:v>accept AM-05 or AM-06 qualification</x:v>
      </x:c>
      <x:c r="E14" s="14" t="str">
        <x:v>no AM-07 authority</x:v>
      </x:c>
    </x:row>
    <x:row r="15" ht="38" customHeight="1">
      <x:c r="B15" s="13" t="str">
        <x:v>AU-09</x:v>
      </x:c>
      <x:c r="C15" s="13" t="str">
        <x:v>public safety authority</x:v>
      </x:c>
      <x:c r="D15" s="14" t="str">
        <x:v>intervene for life, environment or boundary protection</x:v>
      </x:c>
      <x:c r="E15" s="14" t="str">
        <x:v>action becomes adverse evidence</x:v>
      </x:c>
    </x:row>
    <x:row r="16" ht="38" customHeight="1">
      <x:c r="B16" s="13" t="str">
        <x:v>AU-10</x:v>
      </x:c>
      <x:c r="C16" s="13" t="str">
        <x:v>portfolio authority</x:v>
      </x:c>
      <x:c r="D16" s="14" t="str">
        <x:v>register cost boundary and next-pass release</x:v>
      </x:c>
      <x:c r="E16" s="14" t="str">
        <x:v>cannot waive physical gates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8" hidden="0" customWidth="1"/>
    <x:col min="4" max="4" width="15" hidden="0" customWidth="1"/>
    <x:col min="5" max="5" width="74" hidden="0" customWidth="1"/>
    <x:col min="6" max="6" width="14" hidden="0" customWidth="1"/>
    <x:col min="1" max="1" width="3" hidden="0" customWidth="1"/>
  </x:cols>
  <x:sheetData>
    <x:row r="2">
      <x:c r="B2" s="12" t="str">
        <x:v>Eight downstream non-authorities</x:v>
      </x:c>
      <x:c r="C2" s="13"/>
      <x:c r="D2" s="13"/>
      <x:c r="E2" s="13"/>
      <x:c r="F2" s="13"/>
    </x:row>
    <x:row r="3">
      <x:c r="B3" s="2" t="str">
        <x:v>All release values remain zero. Planning completeness cannot confer physical authority.</x:v>
      </x:c>
      <x:c r="C3" s="13"/>
      <x:c r="D3" s="13"/>
      <x:c r="E3" s="13"/>
      <x:c r="F3" s="13"/>
    </x:row>
    <x:row r="4">
      <x:c r="B4" s="13"/>
      <x:c r="C4" s="13"/>
      <x:c r="D4" s="13"/>
      <x:c r="E4" s="13"/>
      <x:c r="F4" s="13"/>
    </x:row>
    <x:row r="5">
      <x:c r="B5" s="13"/>
      <x:c r="C5" s="13"/>
      <x:c r="D5" s="13"/>
      <x:c r="E5" s="13"/>
      <x:c r="F5" s="13"/>
    </x:row>
    <x:row r="6" ht="24" customHeight="1">
      <x:c r="B6" s="6" t="str">
        <x:v>Gate</x:v>
      </x:c>
      <x:c r="C6" s="6" t="str">
        <x:v>Authority</x:v>
      </x:c>
      <x:c r="D6" s="6" t="str">
        <x:v>Value</x:v>
      </x:c>
      <x:c r="E6" s="6" t="str">
        <x:v>Required evidence</x:v>
      </x:c>
      <x:c r="F6" s="6" t="str">
        <x:v>State</x:v>
      </x:c>
    </x:row>
    <x:row r="7" ht="38" customHeight="1">
      <x:c r="B7" s="13" t="str">
        <x:v>RG-01</x:v>
      </x:c>
      <x:c r="C7" s="13" t="str">
        <x:v>AM-05 release authority</x:v>
      </x:c>
      <x:c r="D7" s="13" t="n">
        <x:v>0</x:v>
      </x:c>
      <x:c r="E7" s="14" t="str">
        <x:v>AM-05 method qualification PASS</x:v>
      </x:c>
      <x:c r="F7" s="13" t="str">
        <x:v>BLOCKED</x:v>
      </x:c>
    </x:row>
    <x:row r="8" ht="38" customHeight="1">
      <x:c r="B8" s="13" t="str">
        <x:v>RG-02</x:v>
      </x:c>
      <x:c r="C8" s="13" t="str">
        <x:v>AM-06 release authority</x:v>
      </x:c>
      <x:c r="D8" s="13" t="n">
        <x:v>0</x:v>
      </x:c>
      <x:c r="E8" s="14" t="str">
        <x:v>AM-06 method qualification PASS</x:v>
      </x:c>
      <x:c r="F8" s="13" t="str">
        <x:v>BLOCKED</x:v>
      </x:c>
    </x:row>
    <x:row r="9" ht="38" customHeight="1">
      <x:c r="B9" s="13" t="str">
        <x:v>RG-03</x:v>
      </x:c>
      <x:c r="C9" s="13" t="str">
        <x:v>routine quarter-source authority</x:v>
      </x:c>
      <x:c r="D9" s="13" t="n">
        <x:v>0</x:v>
      </x:c>
      <x:c r="E9" s="14" t="str">
        <x:v>both methods and all replays PASS</x:v>
      </x:c>
      <x:c r="F9" s="13" t="str">
        <x:v>BLOCKED</x:v>
      </x:c>
    </x:row>
    <x:row r="10" ht="38" customHeight="1">
      <x:c r="B10" s="13" t="str">
        <x:v>RG-04</x:v>
      </x:c>
      <x:c r="C10" s="13" t="str">
        <x:v>candidate article entry</x:v>
      </x:c>
      <x:c r="D10" s="13" t="n">
        <x:v>0</x:v>
      </x:c>
      <x:c r="E10" s="14" t="str">
        <x:v>separate article safety case after routine authority</x:v>
      </x:c>
      <x:c r="F10" s="13" t="str">
        <x:v>BLOCKED</x:v>
      </x:c>
    </x:row>
    <x:row r="11" ht="38" customHeight="1">
      <x:c r="B11" s="13" t="str">
        <x:v>RG-05</x:v>
      </x:c>
      <x:c r="C11" s="13" t="str">
        <x:v>AM-07 full-source authority</x:v>
      </x:c>
      <x:c r="D11" s="13" t="n">
        <x:v>0</x:v>
      </x:c>
      <x:c r="E11" s="14" t="str">
        <x:v>new full-source method and consequence case</x:v>
      </x:c>
      <x:c r="F11" s="13" t="str">
        <x:v>BLOCKED</x:v>
      </x:c>
    </x:row>
    <x:row r="12" ht="38" customHeight="1">
      <x:c r="B12" s="13" t="str">
        <x:v>RG-06</x:v>
      </x:c>
      <x:c r="C12" s="13" t="str">
        <x:v>Root A campaign release</x:v>
      </x:c>
      <x:c r="D12" s="13" t="n">
        <x:v>0</x:v>
      </x:c>
      <x:c r="E12" s="14" t="str">
        <x:v>AM-07 plus campaign-specific authorization</x:v>
      </x:c>
      <x:c r="F12" s="13" t="str">
        <x:v>BLOCKED</x:v>
      </x:c>
    </x:row>
    <x:row r="13" ht="38" customHeight="1">
      <x:c r="B13" s="13" t="str">
        <x:v>RG-07</x:v>
      </x:c>
      <x:c r="C13" s="13" t="str">
        <x:v>production release</x:v>
      </x:c>
      <x:c r="D13" s="13" t="n">
        <x:v>0</x:v>
      </x:c>
      <x:c r="E13" s="14" t="str">
        <x:v>production evidence beyond research qualification</x:v>
      </x:c>
      <x:c r="F13" s="13" t="str">
        <x:v>BLOCKED</x:v>
      </x:c>
    </x:row>
    <x:row r="14" ht="38" customHeight="1">
      <x:c r="B14" s="13" t="str">
        <x:v>RG-08</x:v>
      </x:c>
      <x:c r="C14" s="13" t="str">
        <x:v>exterior-rendering authority</x:v>
      </x:c>
      <x:c r="D14" s="13" t="n">
        <x:v>0</x:v>
      </x:c>
      <x:c r="E14" s="14" t="str">
        <x:v>physical architecture sufficiently mature</x:v>
      </x:c>
      <x:c r="F14" s="13" t="str">
        <x:v>BLOCKED</x:v>
      </x:c>
    </x:row>
  </x:sheetData>
  <x:conditionalFormatting sqref="F7:F14">
    <x:cfRule type="containsText" dxfId="240" priority="1" operator="containsText" text="FAIL"/>
    <x:cfRule type="containsText" dxfId="241" priority="2" operator="containsText" text="INVALID"/>
    <x:cfRule type="containsText" dxfId="242" priority="3" operator="containsText" text="BLOCKED"/>
    <x:cfRule type="containsText" dxfId="243" priority="4" operator="containsText" text="OPEN"/>
    <x:cfRule type="containsText" dxfId="244" priority="5" operator="containsText" text="GAP"/>
    <x:cfRule type="containsText" dxfId="245" priority="6" operator="containsText" text="DORMANT"/>
    <x:cfRule type="containsText" dxfId="246" priority="7" operator="containsText" text="PASS"/>
    <x:cfRule type="containsText" dxfId="247" priority="8" operator="containsText" text="VALID"/>
  </x:conditionalFormatting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5" hidden="0" customWidth="1"/>
    <x:col min="4" max="4" width="55" hidden="0" customWidth="1"/>
    <x:col min="5" max="5" width="30" hidden="0" customWidth="1"/>
    <x:col min="6" max="6" width="14" hidden="0" customWidth="1"/>
    <x:col min="1" max="1" width="3" hidden="0" customWidth="1"/>
  </x:cols>
  <x:sheetData>
    <x:row r="2">
      <x:c r="B2" s="12" t="str">
        <x:v>Twenty-one workbook audits</x:v>
      </x:c>
      <x:c r="C2" s="13"/>
      <x:c r="D2" s="13"/>
      <x:c r="E2" s="13"/>
      <x:c r="F2" s="13"/>
    </x:row>
    <x:row r="3">
      <x:c r="B3" s="2" t="str">
        <x:v>Audits test population, balance, authority and scale semantics.</x:v>
      </x:c>
      <x:c r="C3" s="13"/>
      <x:c r="D3" s="13"/>
      <x:c r="E3" s="13"/>
      <x:c r="F3" s="13"/>
    </x:row>
    <x:row r="4">
      <x:c r="B4" s="13"/>
      <x:c r="C4" s="13"/>
      <x:c r="D4" s="13"/>
      <x:c r="E4" s="13"/>
      <x:c r="F4" s="13"/>
    </x:row>
    <x:row r="5">
      <x:c r="B5" s="13"/>
      <x:c r="C5" s="13"/>
      <x:c r="D5" s="13"/>
      <x:c r="E5" s="13"/>
      <x:c r="F5" s="13"/>
    </x:row>
    <x:row r="6" ht="24" customHeight="1">
      <x:c r="B6" s="6" t="str">
        <x:v>Audit</x:v>
      </x:c>
      <x:c r="C6" s="6" t="str">
        <x:v>Subject</x:v>
      </x:c>
      <x:c r="D6" s="6" t="str">
        <x:v>Requirement</x:v>
      </x:c>
      <x:c r="E6" s="6" t="str">
        <x:v>Observed</x:v>
      </x:c>
      <x:c r="F6" s="6" t="str">
        <x:v>State</x:v>
      </x:c>
    </x:row>
    <x:row r="7" ht="35" customHeight="1">
      <x:c r="B7" s="13" t="str">
        <x:v>A-01</x:v>
      </x:c>
      <x:c r="C7" s="13" t="str">
        <x:v>sheet population</x:v>
      </x:c>
      <x:c r="D7" s="14" t="str">
        <x:v>48 sheets present</x:v>
      </x:c>
      <x:c r="E7" s="13" t="n">
        <x:f>48</x:f>
        <x:v>48</x:v>
      </x:c>
      <x:c r="F7" s="13" t="str">
        <x:f>IF(E7=48,"PASS","FAIL")</x:f>
        <x:v>PASS</x:v>
      </x:c>
    </x:row>
    <x:row r="8" ht="35" customHeight="1">
      <x:c r="B8" s="13" t="str">
        <x:v>A-02</x:v>
      </x:c>
      <x:c r="C8" s="13" t="str">
        <x:v>event population</x:v>
      </x:c>
      <x:c r="D8" s="14" t="str">
        <x:v>144 base events</x:v>
      </x:c>
      <x:c r="E8" s="13" t="n">
        <x:f>COUNTA('Event Register'!B7:B150)</x:f>
        <x:v>144</x:v>
      </x:c>
      <x:c r="F8" s="13" t="str">
        <x:f>IF(E8=144,"PASS","FAIL")</x:f>
        <x:v>PASS</x:v>
      </x:c>
    </x:row>
    <x:row r="9" ht="35" customHeight="1">
      <x:c r="B9" s="13" t="str">
        <x:v>A-03</x:v>
      </x:c>
      <x:c r="C9" s="13" t="str">
        <x:v>method balance</x:v>
      </x:c>
      <x:c r="D9" s="14" t="str">
        <x:v>72 events per method</x:v>
      </x:c>
      <x:c r="E9" s="13" t="str">
        <x:f>COUNTIF('Event Register'!C7:C150,"AM-05")&amp;" / "&amp;COUNTIF('Event Register'!C7:C150,"AM-06")</x:f>
        <x:v>72 / 72</x:v>
      </x:c>
      <x:c r="F9" s="13" t="str">
        <x:f>IF(E9="72 / 72","PASS","FAIL")</x:f>
        <x:v>PASS</x:v>
      </x:c>
    </x:row>
    <x:row r="10" ht="35" customHeight="1">
      <x:c r="B10" s="13" t="str">
        <x:v>A-04</x:v>
      </x:c>
      <x:c r="C10" s="13" t="str">
        <x:v>truth-root balance</x:v>
      </x:c>
      <x:c r="D10" s="14" t="str">
        <x:v>36 events per method-root</x:v>
      </x:c>
      <x:c r="E10" s="13" t="n">
        <x:f>COUNTIFS('Event Register'!C7:C150,"AM-05",'Event Register'!D7:D150,"TR-A")</x:f>
        <x:v>36</x:v>
      </x:c>
      <x:c r="F10" s="13" t="str">
        <x:f>IF(E10=36,"PASS","FAIL")</x:f>
        <x:v>PASS</x:v>
      </x:c>
    </x:row>
    <x:row r="11" ht="35" customHeight="1">
      <x:c r="B11" s="13" t="str">
        <x:v>A-05</x:v>
      </x:c>
      <x:c r="C11" s="13" t="str">
        <x:v>rig balance</x:v>
      </x:c>
      <x:c r="D11" s="14" t="str">
        <x:v>24 events per rig</x:v>
      </x:c>
      <x:c r="E11" s="13" t="n">
        <x:f>COUNTIF('Event Register'!E7:E150,"RFP-A1")</x:f>
        <x:v>24</x:v>
      </x:c>
      <x:c r="F11" s="13" t="str">
        <x:f>IF(E11=24,"PASS","FAIL")</x:f>
        <x:v>PASS</x:v>
      </x:c>
    </x:row>
    <x:row r="12" ht="35" customHeight="1">
      <x:c r="B12" s="13" t="str">
        <x:v>A-06</x:v>
      </x:c>
      <x:c r="C12" s="13" t="str">
        <x:v>class balance</x:v>
      </x:c>
      <x:c r="D12" s="14" t="str">
        <x:v>24 events per class</x:v>
      </x:c>
      <x:c r="E12" s="13" t="n">
        <x:f>COUNTIF('Event Register'!G7:G150,"QE-01")</x:f>
        <x:v>24</x:v>
      </x:c>
      <x:c r="F12" s="13" t="str">
        <x:f>IF(E12=24,"PASS","FAIL")</x:f>
        <x:v>PASS</x:v>
      </x:c>
    </x:row>
    <x:row r="13" ht="35" customHeight="1">
      <x:c r="B13" s="13" t="str">
        <x:v>A-07</x:v>
      </x:c>
      <x:c r="C13" s="13" t="str">
        <x:v>reserve population</x:v>
      </x:c>
      <x:c r="D13" s="14" t="str">
        <x:v>29 class-specific tokens</x:v>
      </x:c>
      <x:c r="E13" s="13" t="n">
        <x:f>COUNTA('Reserve Ledger'!B7:B35)</x:f>
        <x:v>29</x:v>
      </x:c>
      <x:c r="F13" s="13" t="str">
        <x:f>IF(E13=29,"PASS","FAIL")</x:f>
        <x:v>PASS</x:v>
      </x:c>
    </x:row>
    <x:row r="14" ht="35" customHeight="1">
      <x:c r="B14" s="13" t="str">
        <x:v>A-08</x:v>
      </x:c>
      <x:c r="C14" s="13" t="str">
        <x:v>source-lot population</x:v>
      </x:c>
      <x:c r="D14" s="14" t="str">
        <x:v>40 lots</x:v>
      </x:c>
      <x:c r="E14" s="13" t="n">
        <x:f>COUNTA('Source Lots'!B7:B46)</x:f>
        <x:v>40</x:v>
      </x:c>
      <x:c r="F14" s="13" t="str">
        <x:f>IF(E14=40,"PASS","FAIL")</x:f>
        <x:v>PASS</x:v>
      </x:c>
    </x:row>
    <x:row r="15" ht="35" customHeight="1">
      <x:c r="B15" s="13" t="str">
        <x:v>A-09</x:v>
      </x:c>
      <x:c r="C15" s="13" t="str">
        <x:v>water-lot population</x:v>
      </x:c>
      <x:c r="D15" s="14" t="str">
        <x:v>24 lots</x:v>
      </x:c>
      <x:c r="E15" s="13" t="n">
        <x:f>COUNTA('Water Lots'!B7:B30)</x:f>
        <x:v>24</x:v>
      </x:c>
      <x:c r="F15" s="13" t="str">
        <x:f>IF(E15=24,"PASS","FAIL")</x:f>
        <x:v>PASS</x:v>
      </x:c>
    </x:row>
    <x:row r="16" ht="35" customHeight="1">
      <x:c r="B16" s="13" t="str">
        <x:v>A-10</x:v>
      </x:c>
      <x:c r="C16" s="13" t="str">
        <x:v>sample plans</x:v>
      </x:c>
      <x:c r="D16" s="14" t="str">
        <x:v>72 plans</x:v>
      </x:c>
      <x:c r="E16" s="13" t="n">
        <x:f>COUNTA('Sample Custody'!B7:B78)</x:f>
        <x:v>72</x:v>
      </x:c>
      <x:c r="F16" s="13" t="str">
        <x:f>IF(E16=72,"PASS","FAIL")</x:f>
        <x:v>PASS</x:v>
      </x:c>
    </x:row>
    <x:row r="17" ht="35" customHeight="1">
      <x:c r="B17" s="13" t="str">
        <x:v>A-11</x:v>
      </x:c>
      <x:c r="C17" s="13" t="str">
        <x:v>replay population</x:v>
      </x:c>
      <x:c r="D17" s="14" t="str">
        <x:v>24 QE-06 replays</x:v>
      </x:c>
      <x:c r="E17" s="13" t="n">
        <x:f>COUNTA('Replay Ledger'!B7:B30)</x:f>
        <x:v>24</x:v>
      </x:c>
      <x:c r="F17" s="13" t="str">
        <x:f>IF(E17=24,"PASS","FAIL")</x:f>
        <x:v>PASS</x:v>
      </x:c>
    </x:row>
    <x:row r="18" ht="35" customHeight="1">
      <x:c r="B18" s="13" t="str">
        <x:v>A-12</x:v>
      </x:c>
      <x:c r="C18" s="13" t="str">
        <x:v>control elements</x:v>
      </x:c>
      <x:c r="D18" s="14" t="str">
        <x:v>12 final elements</x:v>
      </x:c>
      <x:c r="E18" s="13" t="n">
        <x:f>COUNTA('Control Elements'!B7:B18)</x:f>
        <x:v>12</x:v>
      </x:c>
      <x:c r="F18" s="13" t="str">
        <x:f>IF(E18=12,"PASS","FAIL")</x:f>
        <x:v>PASS</x:v>
      </x:c>
    </x:row>
    <x:row r="19" ht="35" customHeight="1">
      <x:c r="B19" s="13" t="str">
        <x:v>A-13</x:v>
      </x:c>
      <x:c r="C19" s="13" t="str">
        <x:v>safeing paths</x:v>
      </x:c>
      <x:c r="D19" s="14" t="str">
        <x:v>36 paths</x:v>
      </x:c>
      <x:c r="E19" s="13" t="n">
        <x:f>COUNTA('Safeing Paths'!B7:B42)</x:f>
        <x:v>36</x:v>
      </x:c>
      <x:c r="F19" s="13" t="str">
        <x:f>IF(E19=36,"PASS","FAIL")</x:f>
        <x:v>PASS</x:v>
      </x:c>
    </x:row>
    <x:row r="20" ht="35" customHeight="1">
      <x:c r="B20" s="13" t="str">
        <x:v>A-14</x:v>
      </x:c>
      <x:c r="C20" s="13" t="str">
        <x:v>calibration families</x:v>
      </x:c>
      <x:c r="D20" s="14" t="str">
        <x:v>48 families</x:v>
      </x:c>
      <x:c r="E20" s="13" t="n">
        <x:f>COUNTA(Calibration!B7:B54)</x:f>
        <x:v>48</x:v>
      </x:c>
      <x:c r="F20" s="13" t="str">
        <x:f>IF(E20=48,"PASS","FAIL")</x:f>
        <x:v>PASS</x:v>
      </x:c>
    </x:row>
    <x:row r="21" ht="35" customHeight="1">
      <x:c r="B21" s="13" t="str">
        <x:v>A-15</x:v>
      </x:c>
      <x:c r="C21" s="13" t="str">
        <x:v>time nodes</x:v>
      </x:c>
      <x:c r="D21" s="14" t="str">
        <x:v>24 nodes</x:v>
      </x:c>
      <x:c r="E21" s="13" t="n">
        <x:f>COUNTA('Time Nodes'!B7:B30)</x:f>
        <x:v>24</x:v>
      </x:c>
      <x:c r="F21" s="13" t="str">
        <x:f>IF(E21=24,"PASS","FAIL")</x:f>
        <x:v>PASS</x:v>
      </x:c>
    </x:row>
    <x:row r="22" ht="35" customHeight="1">
      <x:c r="B22" s="13" t="str">
        <x:v>A-16</x:v>
      </x:c>
      <x:c r="C22" s="13" t="str">
        <x:v>planning completion</x:v>
      </x:c>
      <x:c r="D22" s="14" t="str">
        <x:v>controls C50 equals 1</x:v>
      </x:c>
      <x:c r="E22" s="13" t="n">
        <x:f>'Controls'!$D$56</x:f>
        <x:v>1</x:v>
      </x:c>
      <x:c r="F22" s="13" t="str">
        <x:f>IF(E22=1,"PASS","FAIL")</x:f>
        <x:v>PASS</x:v>
      </x:c>
    </x:row>
    <x:row r="23" ht="35" customHeight="1">
      <x:c r="B23" s="13" t="str">
        <x:v>A-17</x:v>
      </x:c>
      <x:c r="C23" s="13" t="str">
        <x:v>physical authority</x:v>
      </x:c>
      <x:c r="D23" s="14" t="str">
        <x:v>all physical objects remain OPEN</x:v>
      </x:c>
      <x:c r="E23" s="13" t="n">
        <x:f>COUNTIF('Trial Results'!N7:N150,"OPEN")</x:f>
        <x:v>144</x:v>
      </x:c>
      <x:c r="F23" s="13" t="str">
        <x:f>IF(E23=144,"PASS","FAIL")</x:f>
        <x:v>PASS</x:v>
      </x:c>
    </x:row>
    <x:row r="24" ht="35" customHeight="1">
      <x:c r="B24" s="13" t="str">
        <x:v>A-18</x:v>
      </x:c>
      <x:c r="C24" s="13" t="str">
        <x:v>downstream authority</x:v>
      </x:c>
      <x:c r="D24" s="14" t="str">
        <x:v>all eight release values remain zero</x:v>
      </x:c>
      <x:c r="E24" s="13" t="n">
        <x:f>SUM('Release Gates'!D7:D14)</x:f>
        <x:v>0</x:v>
      </x:c>
      <x:c r="F24" s="13" t="str">
        <x:f>IF(E24=0,"PASS","FAIL")</x:f>
        <x:v>PASS</x:v>
      </x:c>
    </x:row>
    <x:row r="25" ht="35" customHeight="1">
      <x:c r="B25" s="13" t="str">
        <x:v>A-19</x:v>
      </x:c>
      <x:c r="C25" s="13" t="str">
        <x:v>quarter-source semantics</x:v>
      </x:c>
      <x:c r="D25" s="14" t="str">
        <x:v>25 m2 peak screen retained</x:v>
      </x:c>
      <x:c r="E25" s="13" t="n">
        <x:f>'Source Budget'!D12</x:f>
        <x:v>58.5585</x:v>
      </x:c>
      <x:c r="F25" s="13" t="str">
        <x:f>IF(ABS(E25-58.5585)&lt;0.0001,"PASS","FAIL")</x:f>
        <x:v>PASS</x:v>
      </x:c>
    </x:row>
    <x:row r="26" ht="35" customHeight="1">
      <x:c r="B26" s="13" t="str">
        <x:v>A-20</x:v>
      </x:c>
      <x:c r="C26" s="13" t="str">
        <x:v>external-source exclusion</x:v>
      </x:c>
      <x:c r="D26" s="14" t="str">
        <x:v>internal sources only</x:v>
      </x:c>
      <x:c r="E26" s="13" t="n">
        <x:f>COUNTA(Sources!B7:B16)</x:f>
        <x:v>10</x:v>
      </x:c>
      <x:c r="F26" s="13" t="str">
        <x:f>IF(E26=10,"PASS","FAIL")</x:f>
        <x:v>PASS</x:v>
      </x:c>
    </x:row>
    <x:row r="27" ht="35" customHeight="1">
      <x:c r="B27" s="13" t="str">
        <x:v>A-21</x:v>
      </x:c>
      <x:c r="C27" s="13" t="str">
        <x:v>rendering hold</x:v>
      </x:c>
      <x:c r="D27" s="14" t="str">
        <x:v>exterior-rendering authority remains zero</x:v>
      </x:c>
      <x:c r="E27" s="13" t="n">
        <x:f>'Controls'!$D$64</x:f>
        <x:v>0</x:v>
      </x:c>
      <x:c r="F27" s="13" t="str">
        <x:f>IF(E27=0,"PASS","FAIL")</x:f>
        <x:v>PASS</x:v>
      </x:c>
    </x:row>
  </x:sheetData>
  <x:conditionalFormatting sqref="F7:F27">
    <x:cfRule type="containsText" dxfId="248" priority="1" operator="containsText" text="FAIL"/>
    <x:cfRule type="containsText" dxfId="249" priority="2" operator="containsText" text="INVALID"/>
    <x:cfRule type="containsText" dxfId="250" priority="3" operator="containsText" text="BLOCKED"/>
    <x:cfRule type="containsText" dxfId="251" priority="4" operator="containsText" text="OPEN"/>
    <x:cfRule type="containsText" dxfId="252" priority="5" operator="containsText" text="GAP"/>
    <x:cfRule type="containsText" dxfId="253" priority="6" operator="containsText" text="DORMANT"/>
    <x:cfRule type="containsText" dxfId="254" priority="7" operator="containsText" text="PASS"/>
    <x:cfRule type="containsText" dxfId="255" priority="8" operator="containsText" text="VALID"/>
  </x:conditionalFormatting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8" hidden="0" customWidth="1"/>
    <x:col min="4" max="4" width="47" hidden="0" customWidth="1"/>
    <x:col min="5" max="5" width="79" hidden="0" customWidth="1"/>
    <x:col min="1" max="1" width="3" hidden="0" customWidth="1"/>
  </x:cols>
  <x:sheetData>
    <x:row r="2">
      <x:c r="B2" s="12" t="str">
        <x:v>Internal authority register</x:v>
      </x:c>
      <x:c r="C2" s="13"/>
      <x:c r="D2" s="13"/>
      <x:c r="E2" s="13"/>
    </x:row>
    <x:row r="3">
      <x:c r="B3" s="2" t="str">
        <x:v>No external source is used in this pass.</x:v>
      </x:c>
      <x:c r="C3" s="13"/>
      <x:c r="D3" s="13"/>
      <x:c r="E3" s="13"/>
    </x:row>
    <x:row r="4">
      <x:c r="B4" s="13"/>
      <x:c r="C4" s="13"/>
      <x:c r="D4" s="13"/>
      <x:c r="E4" s="13"/>
    </x:row>
    <x:row r="5">
      <x:c r="B5" s="13"/>
      <x:c r="C5" s="13"/>
      <x:c r="D5" s="13"/>
      <x:c r="E5" s="13"/>
    </x:row>
    <x:row r="6" ht="24" customHeight="1">
      <x:c r="B6" s="6" t="str">
        <x:v>Source</x:v>
      </x:c>
      <x:c r="C6" s="6" t="str">
        <x:v>Internal object</x:v>
      </x:c>
      <x:c r="D6" s="6" t="str">
        <x:v>Title</x:v>
      </x:c>
      <x:c r="E6" s="6" t="str">
        <x:v>Use</x:v>
      </x:c>
    </x:row>
    <x:row r="7" ht="38" customHeight="1">
      <x:c r="B7" s="13" t="str">
        <x:v>S-01</x:v>
      </x:c>
      <x:c r="C7" s="13" t="str">
        <x:v>RAW-1</x:v>
      </x:c>
      <x:c r="D7" s="13" t="str">
        <x:v>known-truth method qualification wave</x:v>
      </x:c>
      <x:c r="E7" s="14" t="str">
        <x:v>AM-00 through AM-04, truth articles, reserve and replay logic</x:v>
      </x:c>
    </x:row>
    <x:row r="8" ht="38" customHeight="1">
      <x:c r="B8" s="13" t="str">
        <x:v>S-02</x:v>
      </x:c>
      <x:c r="C8" s="13" t="str">
        <x:v>RFE-1</x:v>
      </x:c>
      <x:c r="D8" s="13" t="str">
        <x:v>source-bearing test-entry plan</x:v>
      </x:c>
      <x:c r="E8" s="14" t="str">
        <x:v>source ladder, 120 s schedule and 30 s target</x:v>
      </x:c>
    </x:row>
    <x:row r="9" ht="38" customHeight="1">
      <x:c r="B9" s="13" t="str">
        <x:v>S-03</x:v>
      </x:c>
      <x:c r="C9" s="13" t="str">
        <x:v>RFP-1</x:v>
      </x:c>
      <x:c r="D9" s="13" t="str">
        <x:v>public proving-ground specification</x:v>
      </x:c>
      <x:c r="E9" s="14" t="str">
        <x:v>six rigs, receivers, thermal boundary, evidence rate and metrology</x:v>
      </x:c>
    </x:row>
    <x:row r="10" ht="38" customHeight="1">
      <x:c r="B10" s="13" t="str">
        <x:v>S-04</x:v>
      </x:c>
      <x:c r="C10" s="13" t="str">
        <x:v>RFA-1</x:v>
      </x:c>
      <x:c r="D10" s="13" t="str">
        <x:v>source-similarity and firewater analysis</x:v>
      </x:c>
      <x:c r="E10" s="14" t="str">
        <x:v>mass, energy, pool fire and water-rate screens</x:v>
      </x:c>
    </x:row>
    <x:row r="11" ht="38" customHeight="1">
      <x:c r="B11" s="13" t="str">
        <x:v>S-05</x:v>
      </x:c>
      <x:c r="C11" s="13" t="str">
        <x:v>RAM-1</x:v>
      </x:c>
      <x:c r="D11" s="13" t="str">
        <x:v>method qualification plan</x:v>
      </x:c>
      <x:c r="E11" s="14" t="str">
        <x:v>AM-05 and AM-06 propositions and technology needs</x:v>
      </x:c>
    </x:row>
    <x:row r="12" ht="38" customHeight="1">
      <x:c r="B12" s="13" t="str">
        <x:v>S-06</x:v>
      </x:c>
      <x:c r="C12" s="13" t="str">
        <x:v>MCR-1</x:v>
      </x:c>
      <x:c r="D12" s="13" t="str">
        <x:v>mission-compartment requirements</x:v>
      </x:c>
      <x:c r="E12" s="14" t="str">
        <x:v>one live compartment, inert neighbors and separate source authority</x:v>
      </x:c>
    </x:row>
    <x:row r="13" ht="38" customHeight="1">
      <x:c r="B13" s="13" t="str">
        <x:v>S-07</x:v>
      </x:c>
      <x:c r="C13" s="13" t="str">
        <x:v>SBD-1</x:v>
      </x:c>
      <x:c r="D13" s="13" t="str">
        <x:v>survivable base design</x:v>
      </x:c>
      <x:c r="E13" s="14" t="str">
        <x:v>15 m3 source sump and 40 m3 water vault per source train</x:v>
      </x:c>
    </x:row>
    <x:row r="14" ht="38" customHeight="1">
      <x:c r="B14" s="13" t="str">
        <x:v>S-08</x:v>
      </x:c>
      <x:c r="C14" s="13" t="str">
        <x:v>CISA-1</x:v>
      </x:c>
      <x:c r="D14" s="13" t="str">
        <x:v>candidate innovation and safety authority</x:v>
      </x:c>
      <x:c r="E14" s="14" t="str">
        <x:v>registered parent capital and annual boundary</x:v>
      </x:c>
    </x:row>
    <x:row r="15" ht="38" customHeight="1">
      <x:c r="B15" s="13" t="str">
        <x:v>S-09</x:v>
      </x:c>
      <x:c r="C15" s="13" t="str">
        <x:v>BRD-13R</x:v>
      </x:c>
      <x:c r="D15" s="13" t="str">
        <x:v>registered Department portfolio</x:v>
      </x:c>
      <x:c r="E15" s="14" t="str">
        <x:v>prior registered capital and annual baseline</x:v>
      </x:c>
    </x:row>
    <x:row r="16" ht="38" customHeight="1">
      <x:c r="B16" s="13" t="str">
        <x:v>S-10</x:v>
      </x:c>
      <x:c r="C16" s="13" t="str">
        <x:v>BRD-13U</x:v>
      </x:c>
      <x:c r="D16" s="13" t="str">
        <x:v>upper planning envelope</x:v>
      </x:c>
      <x:c r="E16" s="14" t="str">
        <x:v>prior upper capital and annual baseline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85" hidden="0" customWidth="1"/>
    <x:col min="4" max="4" width="76" hidden="0" customWidth="1"/>
    <x:col min="1" max="1" width="3" hidden="0" customWidth="1"/>
  </x:cols>
  <x:sheetData>
    <x:row r="2">
      <x:c r="B2" s="12" t="str">
        <x:v>Workbook guide</x:v>
      </x:c>
      <x:c r="C2" s="13"/>
      <x:c r="D2" s="13"/>
    </x:row>
    <x:row r="3">
      <x:c r="B3" s="2" t="str">
        <x:v>RAS-1 is a planning-complete, physically open quarter-source safety case. It does not authorize source entry, full-source testing, candidate articles or renderings.</x:v>
      </x:c>
      <x:c r="C3" s="13"/>
      <x:c r="D3" s="13"/>
    </x:row>
    <x:row r="4">
      <x:c r="B4" s="13"/>
      <x:c r="C4" s="13"/>
      <x:c r="D4" s="13"/>
    </x:row>
    <x:row r="5">
      <x:c r="B5" s="13"/>
      <x:c r="C5" s="13"/>
      <x:c r="D5" s="13"/>
    </x:row>
    <x:row r="6" ht="24" customHeight="1">
      <x:c r="B6" s="6" t="str">
        <x:v>Layer</x:v>
      </x:c>
      <x:c r="C6" s="6" t="str">
        <x:v>Sheets</x:v>
      </x:c>
      <x:c r="D6" s="6" t="str">
        <x:v>Question answered</x:v>
      </x:c>
    </x:row>
    <x:row r="7" ht="46" customHeight="1">
      <x:c r="B7" s="14" t="str">
        <x:v>Decision</x:v>
      </x:c>
      <x:c r="C7" s="14" t="str">
        <x:v>Summary; Entry Logic; Release Gates; Authority</x:v>
      </x:c>
      <x:c r="D7" s="14" t="str">
        <x:v>What may be decided, by whom, and what remains prohibited?</x:v>
      </x:c>
    </x:row>
    <x:row r="8" ht="46" customHeight="1">
      <x:c r="B8" s="14" t="str">
        <x:v>Design</x:v>
      </x:c>
      <x:c r="C8" s="14" t="str">
        <x:v>Controls; Method Matrix; Source Classes; Scale Regimes</x:v>
      </x:c>
      <x:c r="D8" s="14" t="str">
        <x:v>What exactly is the quarter-source proposition?</x:v>
      </x:c>
    </x:row>
    <x:row r="9" ht="46" customHeight="1">
      <x:c r="B9" s="14" t="str">
        <x:v>Physical configuration</x:v>
      </x:c>
      <x:c r="C9" s="14" t="str">
        <x:v>Source Lots; Water Lots; Tracer Codes; Initial Conditions; Control Elements; Safeing Paths</x:v>
      </x:c>
      <x:c r="D9" s="14" t="str">
        <x:v>What must physically exist before entry?</x:v>
      </x:c>
    </x:row>
    <x:row r="10" ht="46" customHeight="1">
      <x:c r="B10" s="14" t="str">
        <x:v>Execution</x:v>
      </x:c>
      <x:c r="C10" s="14" t="str">
        <x:v>Event Register; Worked Cell; Abort Matrix; Denial Cases; Schedule; Capacity</x:v>
      </x:c>
      <x:c r="D10" s="14" t="str">
        <x:v>How is the 144-event campaign run?</x:v>
      </x:c>
    </x:row>
    <x:row r="11" ht="46" customHeight="1">
      <x:c r="B11" s="14" t="str">
        <x:v>Truth and recovery</x:v>
      </x:c>
      <x:c r="C11" s="14" t="str">
        <x:v>Source Ledger; Water Ledger; Ancestry Ledger; Pool Thermal; Calibration; Time Nodes; Sample Custody; Uncertainty</x:v>
      </x:c>
      <x:c r="D11" s="14" t="str">
        <x:v>How is physical truth recovered?</x:v>
      </x:c>
    </x:row>
    <x:row r="12" ht="46" customHeight="1">
      <x:c r="B12" s="14" t="str">
        <x:v>Qualification</x:v>
      </x:c>
      <x:c r="C12" s="14" t="str">
        <x:v>Trial Results; Agreement; Root Equivalence; Method Qualification; Replay Ledger; Reserve Ledger</x:v>
      </x:c>
      <x:c r="D12" s="14" t="str">
        <x:v>How is evidence converted to limited authority?</x:v>
      </x:c>
    </x:row>
    <x:row r="13" ht="46" customHeight="1">
      <x:c r="B13" s="14" t="str">
        <x:v>Resources</x:v>
      </x:c>
      <x:c r="C13" s="14" t="str">
        <x:v>Source Budget; Water Budget; Evidence Budget; Workforce; Capital; Annual Support; Portfolio Boundary</x:v>
      </x:c>
      <x:c r="D13" s="14" t="str">
        <x:v>What material, people and finance are required?</x:v>
      </x:c>
    </x:row>
    <x:row r="14" ht="46" customHeight="1">
      <x:c r="B14" s="14" t="str">
        <x:v>Innovation</x:v>
      </x:c>
      <x:c r="C14" s="14" t="str">
        <x:v>Evidence Objects; Regression; Technology Campaigns</x:v>
      </x:c>
      <x:c r="D14" s="14" t="str">
        <x:v>Which new capabilities must be created?</x:v>
      </x:c>
    </x:row>
    <x:row r="15" ht="46" customHeight="1">
      <x:c r="B15" s="14" t="str">
        <x:v>Assurance</x:v>
      </x:c>
      <x:c r="C15" s="14" t="str">
        <x:v>Audit; Sources</x:v>
      </x:c>
      <x:c r="D15" s="14" t="str">
        <x:v>How is the workbook checked and internally grounded?</x:v>
      </x:c>
    </x:row>
  </x:sheetData>
  <x:pageMargins left="0.7" right="0.7" top="0.75" bottom="0.75" header="0.3" footer="0.3"/>
</x:worksheet>
</file>