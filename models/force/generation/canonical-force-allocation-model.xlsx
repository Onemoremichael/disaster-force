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fd1739999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Summary" sheetId="1" r:id="R9aa9d5290e7b4246"/>
    <x:sheet xmlns:r="http://schemas.openxmlformats.org/officeDocument/2006/relationships" name="01 Assumptions" sheetId="2" r:id="R42aa86287d014607"/>
    <x:sheet xmlns:r="http://schemas.openxmlformats.org/officeDocument/2006/relationships" name="02 Formation Inputs" sheetId="3" r:id="Ra55d264ab62d4af5"/>
    <x:sheet xmlns:r="http://schemas.openxmlformats.org/officeDocument/2006/relationships" name="03 Campaign Demand" sheetId="4" r:id="R716fbaab5e504db9"/>
    <x:sheet xmlns:r="http://schemas.openxmlformats.org/officeDocument/2006/relationships" name="04 Inventory" sheetId="5" r:id="R8bac0ea6f3ac4c3c"/>
    <x:sheet xmlns:r="http://schemas.openxmlformats.org/officeDocument/2006/relationships" name="05 Workforce" sheetId="6" r:id="R326d6775c8a04635"/>
    <x:sheet xmlns:r="http://schemas.openxmlformats.org/officeDocument/2006/relationships" name="06 Capital" sheetId="7" r:id="Rd4658efdaba54775"/>
    <x:sheet xmlns:r="http://schemas.openxmlformats.org/officeDocument/2006/relationships" name="07 Annual Ops" sheetId="8" r:id="Re4a7d23f1c8d48e8"/>
    <x:sheet xmlns:r="http://schemas.openxmlformats.org/officeDocument/2006/relationships" name="08 Enabler Screens" sheetId="9" r:id="R7f526477e2ad464b"/>
    <x:sheet xmlns:r="http://schemas.openxmlformats.org/officeDocument/2006/relationships" name="09 Baseline Bridge" sheetId="10" r:id="R5fa9c9af649d476e"/>
    <x:sheet xmlns:r="http://schemas.openxmlformats.org/officeDocument/2006/relationships" name="10 Sources &amp; Gates" sheetId="11" r:id="Ra1917a425a634132"/>
    <x:sheet xmlns:r="http://schemas.openxmlformats.org/officeDocument/2006/relationships" name="11 Integrity" sheetId="12" r:id="R63eeb542162b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-"/>
    <x:numFmt numFmtId="201" formatCode="0%"/>
    <x:numFmt numFmtId="202" formatCode="$0.000"/>
    <x:numFmt numFmtId="203" formatCode="0.0%"/>
    <x:numFmt numFmtId="204" formatCode="$#,##0.0"/>
    <x:numFmt numFmtId="205" formatCode="#,##0.0;[Red](#,##0.0);-"/>
    <x:numFmt numFmtId="206" formatCode="$#,##0.0;[Red]($#,##0.0);-"/>
    <x:numFmt numFmtId="207" formatCode="#,##0"/>
    <x:numFmt numFmtId="208" formatCode="0.00"/>
    <x:numFmt numFmtId="209" formatCode="$#,##0"/>
  </x:numFmts>
  <x:fonts count="10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  <x:font>
      <x:sz val="10"/>
      <x:color rgb="FF1F6B3B"/>
      <x:name val="Arial"/>
    </x:font>
    <x:font>
      <x:b/>
      <x:sz val="10"/>
      <x:color rgb="FF17212B"/>
      <x:name val="Arial"/>
    </x:font>
    <x:font>
      <x:b/>
      <x:sz val="10"/>
      <x:color rgb="FF1F6B3B"/>
      <x:name val="Arial"/>
    </x:font>
    <x:font>
      <x:b/>
      <x:sz val="14"/>
      <x:color rgb="FF17324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  <x:fill>
      <x:patternFill patternType="solid">
        <x:fgColor rgb="FFFFF1CC"/>
      </x:patternFill>
    </x:fill>
    <x:fill>
      <x:patternFill patternType="solid">
        <x:fgColor rgb="FFE5F1E8"/>
      </x:patternFill>
    </x:fill>
    <x:fill>
      <x:patternFill patternType="solid">
        <x:fgColor rgb="FFF8DDDD"/>
      </x:patternFill>
    </x:fill>
  </x:fills>
  <x:borders count="3">
    <x:border/>
    <x:border>
      <x:bottom style="medium">
        <x:color rgb="FF17324D"/>
      </x:bottom>
    </x:border>
    <x:border>
      <x:bottom style="medium">
        <x:color rgb="FFFFFFF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202" fontId="5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3" fontId="5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204" fontId="6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4" fontId="6" fillId="0" borderId="0" xfId="0" applyNumberFormat="1" applyFont="1" applyFill="1" applyBorder="1" applyAlignment="1">
      <x:alignment vertical="top" wrapText="1"/>
    </x:xf>
    <x:xf numFmtId="206" fontId="6" fillId="0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206" fontId="6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206" fontId="7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 wrapText="1"/>
    </x:xf>
    <x:xf numFmtId="207" fontId="6" fillId="0" borderId="0" xfId="0" applyNumberFormat="1" applyFont="1" applyFill="1" applyBorder="1" applyAlignment="1">
      <x:alignment vertical="top"/>
    </x:xf>
    <x:xf numFmtId="203" fontId="6" fillId="0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7" fontId="6" fillId="0" borderId="0" xfId="0" applyNumberFormat="1" applyFont="1" applyFill="1" applyBorder="1" applyAlignment="1">
      <x:alignment vertical="top" wrapText="1"/>
    </x:xf>
    <x:xf numFmtId="203" fontId="6" fillId="0" borderId="0" xfId="0" applyNumberFormat="1" applyFont="1" applyFill="1" applyBorder="1" applyAlignment="1">
      <x:alignment vertical="top" wrapText="1"/>
    </x:xf>
    <x:xf numFmtId="205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0" fontId="8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208" fontId="9" fillId="5" borderId="0" xfId="0" applyNumberFormat="1" applyFont="1" applyFill="1" applyBorder="1" applyAlignment="1">
      <x:alignment horizontal="center"/>
    </x:xf>
    <x:xf numFmtId="209" fontId="9" fillId="5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06c8a92d14460" /><Relationship Type="http://schemas.openxmlformats.org/officeDocument/2006/relationships/theme" Target="/xl/theme/theme1.xml" Id="Ra8742f1e64d149a2" /><Relationship Type="http://schemas.openxmlformats.org/officeDocument/2006/relationships/sharedStrings" Target="/xl/sharedStrings.xml" Id="Rb4fb85dc1d5b4187" /><Relationship Type="http://schemas.openxmlformats.org/officeDocument/2006/relationships/worksheet" Target="/xl/worksheets/sheet1.xml" Id="R9aa9d5290e7b4246" /><Relationship Type="http://schemas.openxmlformats.org/officeDocument/2006/relationships/worksheet" Target="/xl/worksheets/sheet2.xml" Id="R42aa86287d014607" /><Relationship Type="http://schemas.openxmlformats.org/officeDocument/2006/relationships/worksheet" Target="/xl/worksheets/sheet3.xml" Id="Ra55d264ab62d4af5" /><Relationship Type="http://schemas.openxmlformats.org/officeDocument/2006/relationships/worksheet" Target="/xl/worksheets/sheet4.xml" Id="R716fbaab5e504db9" /><Relationship Type="http://schemas.openxmlformats.org/officeDocument/2006/relationships/worksheet" Target="/xl/worksheets/sheet5.xml" Id="R8bac0ea6f3ac4c3c" /><Relationship Type="http://schemas.openxmlformats.org/officeDocument/2006/relationships/worksheet" Target="/xl/worksheets/sheet6.xml" Id="R326d6775c8a04635" /><Relationship Type="http://schemas.openxmlformats.org/officeDocument/2006/relationships/worksheet" Target="/xl/worksheets/sheet7.xml" Id="Rd4658efdaba54775" /><Relationship Type="http://schemas.openxmlformats.org/officeDocument/2006/relationships/worksheet" Target="/xl/worksheets/sheet8.xml" Id="Re4a7d23f1c8d48e8" /><Relationship Type="http://schemas.openxmlformats.org/officeDocument/2006/relationships/worksheet" Target="/xl/worksheets/sheet9.xml" Id="R7f526477e2ad464b" /><Relationship Type="http://schemas.openxmlformats.org/officeDocument/2006/relationships/worksheet" Target="/xl/worksheets/sheet10.xml" Id="R5fa9c9af649d476e" /><Relationship Type="http://schemas.openxmlformats.org/officeDocument/2006/relationships/worksheet" Target="/xl/worksheets/sheet11.xml" Id="Ra1917a425a634132" /><Relationship Type="http://schemas.openxmlformats.org/officeDocument/2006/relationships/worksheet" Target="/xl/worksheets/sheet12.xml" Id="R63eeb542162b4089" /></Relationships>
</file>

<file path=xl/tables/table1.xml><?xml version="1.0" encoding="utf-8"?>
<x:table xmlns:x="http://schemas.openxmlformats.org/spreadsheetml/2006/main" id="1" name="ControlTable" displayName="ControlTable" ref="C5:E32" headerRowCount="1" totalsRowCount="0" totalsRowShown="0">
  <x:tableColumns count="3">
    <x:tableColumn id="1" name="Control"/>
    <x:tableColumn id="2" name="Reference value"/>
    <x:tableColumn id="3" name="Basis /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ationInputTable" displayName="FormationInputTable" ref="C5:X53" headerRowCount="1" totalsRowCount="0" totalsRowShown="0">
  <x:tableColumns count="22">
    <x:tableColumn id="1" name="ID"/>
    <x:tableColumn id="2" name="Generating service"/>
    <x:tableColumn id="3" name="Formation family"/>
    <x:tableColumn id="4" name="Lineage"/>
    <x:tableColumn id="5" name="Gross on-duty people"/>
    <x:tableColumn id="6" name="Shared people credit"/>
    <x:tableColumn id="7" name="Net new on-duty people"/>
    <x:tableColumn id="8" name="Crew sets"/>
    <x:tableColumn id="9" name="Material avail."/>
    <x:tableColumn id="10" name="Personnel avail."/>
    <x:tableColumn id="11" name="Movement avail."/>
    <x:tableColumn id="12" name="Reception avail."/>
    <x:tableColumn id="13" name="Sustainment avail."/>
    <x:tableColumn id="14" name="Early share"/>
    <x:tableColumn id="15" name="Deployable mass t"/>
    <x:tableColumn id="16" name="Supply t/day"/>
    <x:tableColumn id="17" name="Gross unit capital $B"/>
    <x:tableColumn id="18" name="Shared capital credit $B"/>
    <x:tableColumn id="19" name="Net unit capital $B"/>
    <x:tableColumn id="20" name="O&amp;M rate"/>
    <x:tableColumn id="21" name="Authority / boundary"/>
    <x:tableColumn id="22" name="Inpu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mpaignDemandTable" displayName="CampaignDemandTable" ref="C5:R53" headerRowCount="1" totalsRowCount="0" totalsRowShown="0">
  <x:tableColumns count="16">
    <x:tableColumn id="1" name="ID"/>
    <x:tableColumn id="2" name="Formation family"/>
    <x:tableColumn id="3" name="C1"/>
    <x:tableColumn id="4" name="C2"/>
    <x:tableColumn id="5" name="C3"/>
    <x:tableColumn id="6" name="M1"/>
    <x:tableColumn id="7" name="M2"/>
    <x:tableColumn id="8" name="M3"/>
    <x:tableColumn id="9" name="M4"/>
    <x:tableColumn id="10" name="M5"/>
    <x:tableColumn id="11" name="G1"/>
    <x:tableColumn id="12" name="G2"/>
    <x:tableColumn id="13" name="Total demand"/>
    <x:tableColumn id="14" name="Global demand"/>
    <x:tableColumn id="15" name="Lineage"/>
    <x:tableColumn id="16" name="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ventoryTable" displayName="InventoryTable" ref="C5:M53" headerRowCount="1" totalsRowCount="0" totalsRowShown="0">
  <x:tableColumns count="11">
    <x:tableColumn id="1" name="ID"/>
    <x:tableColumn id="2" name="Formation family"/>
    <x:tableColumn id="3" name="Demand"/>
    <x:tableColumn id="4" name="With reserve"/>
    <x:tableColumn id="5" name="Readiness bottleneck"/>
    <x:tableColumn id="6" name="Readiness inventory"/>
    <x:tableColumn id="7" name="Global floor"/>
    <x:tableColumn id="8" name="Selected inventory"/>
    <x:tableColumn id="9" name="Ready capacity"/>
    <x:tableColumn id="10" name="Margin"/>
    <x:tableColumn id="11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forceTable" displayName="WorkforceTable" ref="C5:V53" headerRowCount="1" totalsRowCount="0" totalsRowShown="0">
  <x:tableColumns count="20">
    <x:tableColumn id="1" name="ID"/>
    <x:tableColumn id="2" name="Service"/>
    <x:tableColumn id="3" name="Formation"/>
    <x:tableColumn id="4" name="Inventory"/>
    <x:tableColumn id="5" name="Net people"/>
    <x:tableColumn id="6" name="Crew sets"/>
    <x:tableColumn id="7" name="Direct billets"/>
    <x:tableColumn id="8" name="Permanent share"/>
    <x:tableColumn id="9" name="Reserve share"/>
    <x:tableColumn id="10" name="State share"/>
    <x:tableColumn id="11" name="Industry share"/>
    <x:tableColumn id="12" name="Partner share"/>
    <x:tableColumn id="13" name="Permanent billets"/>
    <x:tableColumn id="14" name="Reserve billets"/>
    <x:tableColumn id="15" name="State billets"/>
    <x:tableColumn id="16" name="Industry billets"/>
    <x:tableColumn id="17" name="Partner billets"/>
    <x:tableColumn id="18" name="Annual personnel $B"/>
    <x:tableColumn id="19" name="Lineage"/>
    <x:tableColumn id="20" name="Mix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rmationCapitalTable" displayName="FormationCapitalTable" ref="C5:L53" headerRowCount="1" totalsRowCount="0" totalsRowShown="0">
  <x:tableColumns count="10">
    <x:tableColumn id="1" name="ID / line"/>
    <x:tableColumn id="2" name="Category"/>
    <x:tableColumn id="3" name="Formation / common system"/>
    <x:tableColumn id="4" name="Inventory"/>
    <x:tableColumn id="5" name="Gross $B"/>
    <x:tableColumn id="6" name="Shared credit $B"/>
    <x:tableColumn id="7" name="Net pre-reserve $B"/>
    <x:tableColumn id="8" name="Reserve $B"/>
    <x:tableColumn id="9" name="Total $B"/>
    <x:tableColumn id="10" name="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nnualOperationsTable" displayName="AnnualOperationsTable" ref="C5:K53" headerRowCount="1" totalsRowCount="0" totalsRowShown="0">
  <x:tableColumns count="9">
    <x:tableColumn id="1" name="ID"/>
    <x:tableColumn id="2" name="Formation"/>
    <x:tableColumn id="3" name="Lineage"/>
    <x:tableColumn id="4" name="Inventory"/>
    <x:tableColumn id="5" name="Net capital $B"/>
    <x:tableColumn id="6" name="O&amp;M rate"/>
    <x:tableColumn id="7" name="Annual O&amp;M $B"/>
    <x:tableColumn id="8" name="Annual people $B"/>
    <x:tableColumn id="9" name="Incremental total $B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mpaignEnablerTable" displayName="CampaignEnablerTable" ref="C5:N15" headerRowCount="1" totalsRowCount="0" totalsRowShown="0">
  <x:tableColumns count="12">
    <x:tableColumn id="1" name="Campaign"/>
    <x:tableColumn id="2" name="Deployed people"/>
    <x:tableColumn id="3" name="Dry mass t"/>
    <x:tableColumn id="4" name="Supply t/day"/>
    <x:tableColumn id="5" name="J-TOC qty"/>
    <x:tableColumn id="6" name="Base capacity"/>
    <x:tableColumn id="7" name="Base margin"/>
    <x:tableColumn id="8" name="J-TSC qty"/>
    <x:tableColumn id="9" name="Sustain capacity t/day"/>
    <x:tableColumn id="10" name="Sustain margin"/>
    <x:tableColumn id="11" name="Reception"/>
    <x:tableColumn id="12" name="Sustainm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Table" displayName="SourceTable" ref="C5:E13" headerRowCount="1" totalsRowCount="0" totalsRowShown="0">
  <x:tableColumns count="3">
    <x:tableColumn id="1" name="ID"/>
    <x:tableColumn id="2" name="Repository authority"/>
    <x:tableColumn id="3" name="U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eGateTable" displayName="EvidenceGateTable" ref="C17:G29" headerRowCount="1" totalsRowCount="0" totalsRowShown="0">
  <x:tableColumns count="5">
    <x:tableColumn id="1" name="Gate"/>
    <x:tableColumn id="2" name="Question"/>
    <x:tableColumn id="3" name="Admission evidence"/>
    <x:tableColumn id="4" name="State"/>
    <x:tableColumn id="5" name="Blocks rendering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tegrityTable" displayName="IntegrityTable" ref="C5:F19" headerRowCount="1" totalsRowCount="0" totalsRowShown="0">
  <x:tableColumns count="4">
    <x:tableColumn id="1" name="Check"/>
    <x:tableColumn id="2" name="Expected"/>
    <x:tableColumn id="3" name="Actual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08b8c8c2f148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f4dc0e682c4a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816b64f3a34a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05063ccb3243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663a13cdfa4c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07163a63c54a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3411b15c7b4a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20f90afb3347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b7df84ae82413f" /><Relationship Type="http://schemas.openxmlformats.org/officeDocument/2006/relationships/table" Target="/xl/tables/table10.xml" Id="R150c72572df2459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90a1a02d3a0494e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3" max="3" width="34" hidden="0" customWidth="1"/>
    <x:col min="4" max="4" width="18" hidden="0" customWidth="1"/>
    <x:col min="6" max="6" width="30" hidden="0" customWidth="1"/>
    <x:col min="7" max="7" width="38" hidden="0" customWidth="1"/>
    <x:col min="8" max="8" width="42" hidden="0" customWidth="1"/>
    <x:col min="9" max="9" width="43" hidden="0" customWidth="1"/>
    <x:col min="10" max="10" width="39" hidden="0" customWidth="1"/>
    <x:col min="11" max="11" width="14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Canonical Force Allocation — Decision View</x:v>
      </x:c>
      <x:c r="D2" s="1"/>
      <x:c r="E2" s="1"/>
      <x:c r="F2" s="1"/>
      <x:c r="G2" s="1"/>
      <x:c r="H2" s="1"/>
      <x:c r="I2" s="1"/>
      <x:c r="J2" s="1"/>
      <x:c r="K2" s="1"/>
    </x:row>
    <x:row r="3">
      <x:c r="C3" s="3" t="str">
        <x:v>Pass 58 sizes all forty-eight families, preserves predecessor lineage, and reveals the enabling capacity required by the mature architecture.</x:v>
      </x:c>
      <x:c r="D3" s="3"/>
      <x:c r="E3" s="3"/>
      <x:c r="F3" s="3"/>
      <x:c r="G3" s="3"/>
      <x:c r="H3" s="3"/>
      <x:c r="I3" s="3"/>
      <x:c r="J3" s="3"/>
      <x:c r="K3" s="3"/>
    </x:row>
    <x:row r="5">
      <x:c r="C5" s="51" t="str">
        <x:v>Canonical families</x:v>
      </x:c>
      <x:c r="D5" s="54" t="n">
        <x:f>COUNTA('02 Formation Inputs'!C6:C53)</x:f>
        <x:v>48</x:v>
      </x:c>
      <x:c r="F5" s="9" t="str">
        <x:v>Judgment</x:v>
      </x:c>
      <x:c r="G5" s="9" t="str">
        <x:v>Finding</x:v>
      </x:c>
      <x:c r="H5" s="9" t="str">
        <x:v>Meaning</x:v>
      </x:c>
      <x:c r="I5" s="9" t="str">
        <x:v>Immediate decision</x:v>
      </x:c>
      <x:c r="J5" s="9" t="str">
        <x:v>Evidence boundary</x:v>
      </x:c>
      <x:c r="K5" s="9" t="str">
        <x:v>Status</x:v>
      </x:c>
    </x:row>
    <x:row r="6" ht="82" customHeight="1">
      <x:c r="C6" s="51" t="str">
        <x:v>Formation commitments</x:v>
      </x:c>
      <x:c r="D6" s="54" t="n">
        <x:f>SUM('03 Campaign Demand'!O6:O53)</x:f>
        <x:v>2420</x:v>
      </x:c>
      <x:c r="F6" s="14" t="str">
        <x:v>The mature force is materially larger than Pass 23.</x:v>
      </x:c>
      <x:c r="G6" s="14" t="str">
        <x:v>Fifteen absent families add commitments, crews and net capital after explicit credits.</x:v>
      </x:c>
      <x:c r="H6" s="14" t="str">
        <x:v>The earlier headline described a transitional architecture, not the registered force.</x:v>
      </x:c>
      <x:c r="I6" s="14" t="str">
        <x:v>Use the canonical successor for research sequencing; retain Pass 23 as lineage.</x:v>
      </x:c>
      <x:c r="J6" s="14" t="str">
        <x:v>The added coefficients are declared design hypotheses.</x:v>
      </x:c>
      <x:c r="K6" s="29" t="str">
        <x:v>PROVISIONAL</x:v>
      </x:c>
    </x:row>
    <x:row r="7" ht="82" customHeight="1">
      <x:c r="C7" s="51" t="str">
        <x:v>Capital $T</x:v>
      </x:c>
      <x:c r="D7" s="55" t="n">
        <x:f>'06 Capital'!K65/1000</x:f>
        <x:v>15.178917599999998</x:v>
      </x:c>
      <x:c r="F7" s="14" t="str">
        <x:v>Civil mobility is a force-generation problem.</x:v>
      </x:c>
      <x:c r="G7" s="14" t="str">
        <x:v>Household collection and transfer nodes dominate incremental billet demand.</x:v>
      </x:c>
      <x:c r="H7" s="14" t="str">
        <x:v>Vehicles alone do not deliver origin-to-admission continuity.</x:v>
      </x:c>
      <x:c r="I7" s="14" t="str">
        <x:v>Configure occupation rosters and receiver interfaces before platform selection.</x:v>
      </x:c>
      <x:c r="J7" s="14" t="str">
        <x:v>NCAC-35 is a proxy, not a national staffing estimate.</x:v>
      </x:c>
      <x:c r="K7" s="29" t="str">
        <x:v>OPEN</x:v>
      </x:c>
    </x:row>
    <x:row r="8" ht="82" customHeight="1">
      <x:c r="C8" s="51" t="str">
        <x:v>Increase from Pass 23 $T</x:v>
      </x:c>
      <x:c r="D8" s="55" t="n">
        <x:f>('06 Capital'!K65-'01 Assumptions'!D24)/1000</x:f>
        <x:v>3.129917599999999</x:v>
      </x:c>
      <x:c r="F8" s="14" t="str">
        <x:v>Shared capacity reduces duplication but does not erase work.</x:v>
      </x:c>
      <x:c r="G8" s="14" t="str">
        <x:v>NUPS, carriers, bases and crews receive visible credits; the remaining net burden still grows.</x:v>
      </x:c>
      <x:c r="H8" s="14" t="str">
        <x:v>A common platform can be counted once only if its simultaneous allocation is proven.</x:v>
      </x:c>
      <x:c r="I8" s="14" t="str">
        <x:v>Build item-level shared-capacity ledgers and covariance tests.</x:v>
      </x:c>
      <x:c r="J8" s="14" t="str">
        <x:v>Credits are assumptions pending WBS and occupation evidence.</x:v>
      </x:c>
      <x:c r="K8" s="29" t="str">
        <x:v>OPEN</x:v>
      </x:c>
    </x:row>
    <x:row r="9" ht="82" customHeight="1">
      <x:c r="C9" s="51" t="str">
        <x:v>Affiliated workforce M</x:v>
      </x:c>
      <x:c r="D9" s="55" t="n">
        <x:f>'05 Workforce'!D62/1000000</x:f>
        <x:v>10.484235438</x:v>
      </x:c>
      <x:c r="F9" s="14" t="str">
        <x:v>Inherited entry capacity no longer closes automatically.</x:v>
      </x:c>
      <x:c r="G9" s="14" t="str">
        <x:v>The enlarged early-mass, reception and sustainment screens expose campaign failures.</x:v>
      </x:c>
      <x:c r="H9" s="14" t="str">
        <x:v>Force projection must grow with the mission formations it serves.</x:v>
      </x:c>
      <x:c r="I9" s="14" t="str">
        <x:v>Rebuild the deployment enterprise around the canonical package matrix.</x:v>
      </x:c>
      <x:c r="J9" s="14" t="str">
        <x:v>Aggregate throughput is not a routed fleet model.</x:v>
      </x:c>
      <x:c r="K9" s="29" t="str">
        <x:v>OPEN</x:v>
      </x:c>
    </x:row>
    <x:row r="10" ht="82" customHeight="1">
      <x:c r="C10" s="51" t="str">
        <x:v>Mature annual operations $B</x:v>
      </x:c>
      <x:c r="D10" s="56" t="n">
        <x:f>'07 Annual Ops'!D62</x:f>
        <x:v>1736.41782438</x:v>
      </x:c>
      <x:c r="F10" s="14" t="str">
        <x:v>The financial result is a planning successor, not a cost estimate.</x:v>
      </x:c>
      <x:c r="G10" s="14" t="str">
        <x:v>Capital bridges from the predecessor; annual operations add only incremental people and O&amp;M.</x:v>
      </x:c>
      <x:c r="H10" s="14" t="str">
        <x:v>The model is fit for portfolio choice, not appropriation.</x:v>
      </x:c>
      <x:c r="I10" s="14" t="str">
        <x:v>Commission independent cost and industrial-base estimates after configurations mature.</x:v>
      </x:c>
      <x:c r="J10" s="14" t="str">
        <x:v>No escalation, schedule, learning or confidence analysis.</x:v>
      </x:c>
      <x:c r="K10" s="29" t="str">
        <x:v>HOLD</x:v>
      </x:c>
    </x:row>
    <x:row r="11">
      <x:c r="C11" s="51" t="str">
        <x:v>Rendering status</x:v>
      </x:c>
      <x:c r="D11" s="57" t="str">
        <x:v>BLOCKED</x:v>
      </x:c>
    </x:row>
    <x:row r="15" ht="50" customHeight="1">
      <x:c r="C15" s="58" t="str">
        <x:v>Read this model</x:v>
      </x:c>
      <x:c r="D15" s="58" t="str">
        <x:v>Question</x:v>
      </x:c>
      <x:c r="E15" s="58" t="str">
        <x:v>Primary sheet</x:v>
      </x:c>
      <x:c r="F15" s="58" t="str">
        <x:v>Question</x:v>
      </x:c>
      <x:c r="G15" s="58" t="str">
        <x:v>Primary sheet</x:v>
      </x:c>
      <x:c r="H15" s="58" t="str">
        <x:v>Question</x:v>
      </x:c>
      <x:c r="I15" s="58" t="str">
        <x:v>Primary sheet</x:v>
      </x:c>
    </x:row>
    <x:row r="16" ht="50" customHeight="1">
      <x:c r="C16" s="14" t="str">
        <x:v>Scope</x:v>
      </x:c>
      <x:c r="D16" s="14" t="str">
        <x:v>Which forty-eight family obligations must the Department generate?</x:v>
      </x:c>
      <x:c r="E16" s="14" t="str">
        <x:v>02 Formation Inputs</x:v>
      </x:c>
      <x:c r="F16" s="14" t="str">
        <x:v>How many simultaneous formation equivalents and owned units follow?</x:v>
      </x:c>
      <x:c r="G16" s="14" t="str">
        <x:v>03 Campaign Demand → 04 Inventory</x:v>
      </x:c>
      <x:c r="H16" s="14" t="str">
        <x:v>What people, capital and enabling gaps remain?</x:v>
      </x:c>
      <x:c r="I16" s="14" t="str">
        <x:v>05 Workforce → 09 Baseline Bridge</x:v>
      </x:c>
    </x:row>
    <x:row r="17" ht="50" customHeight="1">
      <x:c r="C17" s="14" t="str">
        <x:v>Boundary</x:v>
      </x:c>
      <x:c r="D17" s="14" t="str">
        <x:v>Blue cells are declared inputs; green cells are linked calculations.</x:v>
      </x:c>
      <x:c r="E17" s="14" t="str">
        <x:v>Shared credits stay visible.</x:v>
      </x:c>
      <x:c r="F17" s="14" t="str">
        <x:v>Ten campaigns are held from Pass 23.</x:v>
      </x:c>
      <x:c r="G17" s="14" t="str">
        <x:v>No output conversion implies equivalence.</x:v>
      </x:c>
      <x:c r="H17" s="14" t="str">
        <x:v>Renderings remain blocked.</x:v>
      </x:c>
      <x:c r="I17" s="14" t="str">
        <x:v>All evidence gates remain open.</x:v>
      </x:c>
    </x:row>
    <x:row r="18" ht="50" customHeight="1">
      <x:c r="C18" s="14" t="str">
        <x:v>Next</x:v>
      </x:c>
      <x:c r="D18" s="14" t="str">
        <x:v>Calibrate service-deficit curves.</x:v>
      </x:c>
      <x:c r="E18" s="14" t="str">
        <x:v>Configure missing families.</x:v>
      </x:c>
      <x:c r="F18" s="14" t="str">
        <x:v>Prove occupation and equipment credits.</x:v>
      </x:c>
      <x:c r="G18" s="14" t="str">
        <x:v>Route the strategic movement problem.</x:v>
      </x:c>
      <x:c r="H18" s="14" t="str">
        <x:v>Independent cost and industrial analysis.</x:v>
      </x:c>
      <x:c r="I18" s="14" t="str">
        <x:v>Do not render platforms yet.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4" hidden="0" customWidth="1"/>
    <x:col min="4" max="4" width="20" hidden="0" customWidth="1"/>
    <x:col min="5" max="5" width="72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Canonical Allocation Controls</x:v>
      </x:c>
      <x:c r="D2" s="1"/>
      <x:c r="E2" s="1"/>
      <x:c r="F2" s="1"/>
      <x:c r="G2" s="1"/>
      <x:c r="H2" s="1"/>
      <x:c r="I2" s="1"/>
    </x:row>
    <x:row r="3">
      <x:c r="C3" s="3" t="str">
        <x:v>Blue values are declared design-study inputs. They are transparent hypotheses, not estimates or appropriations.</x:v>
      </x:c>
      <x:c r="D3" s="3"/>
      <x:c r="E3" s="3"/>
      <x:c r="F3" s="3"/>
      <x:c r="G3" s="3"/>
      <x:c r="H3" s="3"/>
      <x:c r="I3" s="3"/>
    </x:row>
    <x:row r="5">
      <x:c r="C5" s="9" t="str">
        <x:v>Control</x:v>
      </x:c>
      <x:c r="D5" s="9" t="str">
        <x:v>Reference value</x:v>
      </x:c>
      <x:c r="E5" s="9" t="str">
        <x:v>Basis / boundary</x:v>
      </x:c>
    </x:row>
    <x:row r="6">
      <x:c r="C6" s="11" t="str">
        <x:v>Inventory reserve</x:v>
      </x:c>
      <x:c r="D6" s="13" t="n">
        <x:v>0.2</x:v>
      </x:c>
      <x:c r="E6" s="14" t="str">
        <x:v>Applied before the weakest complete-readiness factor</x:v>
      </x:c>
    </x:row>
    <x:row r="7">
      <x:c r="C7" s="11" t="str">
        <x:v>Global duplicate multiplier</x:v>
      </x:c>
      <x:c r="D7" s="13" t="n">
        <x:v>1.5</x:v>
      </x:c>
      <x:c r="E7" s="14" t="str">
        <x:v>Minimum inventory for the two global campaign packages</x:v>
      </x:c>
    </x:row>
    <x:row r="8">
      <x:c r="C8" s="11" t="str">
        <x:v>Institutional depth</x:v>
      </x:c>
      <x:c r="D8" s="13" t="n">
        <x:v>0.12</x:v>
      </x:c>
      <x:c r="E8" s="14" t="str">
        <x:v>School, depot, doctrine, test and replacement billets outside formations</x:v>
      </x:c>
    </x:row>
    <x:row r="9">
      <x:c r="C9" s="11" t="str">
        <x:v>Prepositioned early mass</x:v>
      </x:c>
      <x:c r="D9" s="13" t="n">
        <x:v>0.25</x:v>
      </x:c>
      <x:c r="E9" s="14" t="str">
        <x:v>Share of early requirement already at prepared sites</x:v>
      </x:c>
    </x:row>
    <x:row r="10">
      <x:c r="C10" s="11" t="str">
        <x:v>Air throughput t/day</x:v>
      </x:c>
      <x:c r="D10" s="13" t="n">
        <x:v>53627</x:v>
      </x:c>
      <x:c r="E10" s="14" t="str">
        <x:v>Pass 24 effective national screen</x:v>
      </x:c>
    </x:row>
    <x:row r="11">
      <x:c r="C11" s="11" t="str">
        <x:v>Ocean throughput t/day</x:v>
      </x:c>
      <x:c r="D11" s="13" t="n">
        <x:v>198800</x:v>
      </x:c>
      <x:c r="E11" s="14" t="str">
        <x:v>Pass 24 effective national screen</x:v>
      </x:c>
    </x:row>
    <x:row r="12">
      <x:c r="C12" s="11" t="str">
        <x:v>Land/rail throughput t/day</x:v>
      </x:c>
      <x:c r="D12" s="13" t="n">
        <x:v>394400</x:v>
      </x:c>
      <x:c r="E12" s="14" t="str">
        <x:v>Pass 24 effective national screen</x:v>
      </x:c>
    </x:row>
    <x:row r="13">
      <x:c r="C13" s="11" t="str">
        <x:v>Inland-water throughput t/day</x:v>
      </x:c>
      <x:c r="D13" s="13" t="n">
        <x:v>174150</x:v>
      </x:c>
      <x:c r="E13" s="14" t="str">
        <x:v>Pass 24 effective national screen</x:v>
      </x:c>
    </x:row>
    <x:row r="14">
      <x:c r="C14" s="11" t="str">
        <x:v>J-TOC base capacity people</x:v>
      </x:c>
      <x:c r="D14" s="13" t="n">
        <x:v>52800</x:v>
      </x:c>
      <x:c r="E14" s="14" t="str">
        <x:v>Eight 8,250-person modules at 80% availability</x:v>
      </x:c>
    </x:row>
    <x:row r="15">
      <x:c r="C15" s="11" t="str">
        <x:v>J-TSC onward capacity t/day</x:v>
      </x:c>
      <x:c r="D15" s="13" t="n">
        <x:v>18000</x:v>
      </x:c>
      <x:c r="E15" s="14" t="str">
        <x:v>Illustrative Pass 24 gross capacity per formation</x:v>
      </x:c>
    </x:row>
    <x:row r="16">
      <x:c r="C16" s="11" t="str">
        <x:v>Theater route factor</x:v>
      </x:c>
      <x:c r="D16" s="13" t="n">
        <x:v>0.7</x:v>
      </x:c>
      <x:c r="E16" s="14" t="str">
        <x:v>Declared degraded onward/sustainment factor</x:v>
      </x:c>
    </x:row>
    <x:row r="17">
      <x:c r="C17" s="11" t="str">
        <x:v>NUPS common capital $B</x:v>
      </x:c>
      <x:c r="D17" s="13" t="n">
        <x:v>1698</x:v>
      </x:c>
      <x:c r="E17" s="14" t="str">
        <x:v>Held once; embedded plant credits prevent child-line duplication</x:v>
      </x:c>
    </x:row>
    <x:row r="18">
      <x:c r="C18" s="11" t="str">
        <x:v>Bases/depots/ranges $B</x:v>
      </x:c>
      <x:c r="D18" s="13" t="n">
        <x:v>650</x:v>
      </x:c>
      <x:c r="E18" s="14" t="str">
        <x:v>Pass 23 common line held once</x:v>
      </x:c>
    </x:row>
    <x:row r="19">
      <x:c r="C19" s="11" t="str">
        <x:v>Science/technology/proving $B</x:v>
      </x:c>
      <x:c r="D19" s="13" t="n">
        <x:v>1500</x:v>
      </x:c>
      <x:c r="E19" s="14" t="str">
        <x:v>Pass 23 common line held once</x:v>
      </x:c>
    </x:row>
    <x:row r="20">
      <x:c r="C20" s="11" t="str">
        <x:v>Education/workforce $B</x:v>
      </x:c>
      <x:c r="D20" s="13" t="n">
        <x:v>350</x:v>
      </x:c>
      <x:c r="E20" s="14" t="str">
        <x:v>Pass 23 common line held once</x:v>
      </x:c>
    </x:row>
    <x:row r="21">
      <x:c r="C21" s="11" t="str">
        <x:v>Information/common digital $B</x:v>
      </x:c>
      <x:c r="D21" s="13" t="n">
        <x:v>400</x:v>
      </x:c>
      <x:c r="E21" s="14" t="str">
        <x:v>Pass 23 common line held once</x:v>
      </x:c>
    </x:row>
    <x:row r="22">
      <x:c r="C22" s="11" t="str">
        <x:v>Strategic industry/materials $B</x:v>
      </x:c>
      <x:c r="D22" s="13" t="n">
        <x:v>500</x:v>
      </x:c>
      <x:c r="E22" s="14" t="str">
        <x:v>Pass 23 common line held once</x:v>
      </x:c>
    </x:row>
    <x:row r="23">
      <x:c r="C23" s="11" t="str">
        <x:v>Capital program reserve</x:v>
      </x:c>
      <x:c r="D23" s="13" t="n">
        <x:v>0.2</x:v>
      </x:c>
      <x:c r="E23" s="14" t="str">
        <x:v>Applied to formation and common capital</x:v>
      </x:c>
    </x:row>
    <x:row r="24">
      <x:c r="C24" s="11" t="str">
        <x:v>Pass 23 capital $B</x:v>
      </x:c>
      <x:c r="D24" s="13" t="n">
        <x:v>12049</x:v>
      </x:c>
      <x:c r="E24" s="14" t="str">
        <x:v>Published predecessor headline</x:v>
      </x:c>
    </x:row>
    <x:row r="25">
      <x:c r="C25" s="11" t="str">
        <x:v>Pass 23 annual operations $B</x:v>
      </x:c>
      <x:c r="D25" s="13" t="n">
        <x:v>858</x:v>
      </x:c>
      <x:c r="E25" s="14" t="str">
        <x:v>Published predecessor headline</x:v>
      </x:c>
    </x:row>
    <x:row r="26">
      <x:c r="C26" s="11" t="str">
        <x:v>Pass 23 workforce</x:v>
      </x:c>
      <x:c r="D26" s="13" t="n">
        <x:v>3944955.95</x:v>
      </x:c>
      <x:c r="E26" s="14" t="str">
        <x:v>Published predecessor affiliated billet-equivalents</x:v>
      </x:c>
    </x:row>
    <x:row r="27">
      <x:c r="C27" s="11" t="str">
        <x:v>NUPS integrated workforce</x:v>
      </x:c>
      <x:c r="D27" s="13" t="n">
        <x:v>198197.55</x:v>
      </x:c>
      <x:c r="E27" s="14" t="str">
        <x:v>Held once as common utility enterprise</x:v>
      </x:c>
    </x:row>
    <x:row r="28">
      <x:c r="C28" s="11" t="str">
        <x:v>Permanent billet-year $</x:v>
      </x:c>
      <x:c r="D28" s="13" t="n">
        <x:v>160000</x:v>
      </x:c>
      <x:c r="E28" s="14" t="str">
        <x:v>Loaded planning factor</x:v>
      </x:c>
    </x:row>
    <x:row r="29">
      <x:c r="C29" s="11" t="str">
        <x:v>Reserve billet-year $</x:v>
      </x:c>
      <x:c r="D29" s="13" t="n">
        <x:v>50000</x:v>
      </x:c>
      <x:c r="E29" s="14" t="str">
        <x:v>Loaded planning factor</x:v>
      </x:c>
    </x:row>
    <x:row r="30">
      <x:c r="C30" s="11" t="str">
        <x:v>State/territorial billet-year $</x:v>
      </x:c>
      <x:c r="D30" s="13" t="n">
        <x:v>55000</x:v>
      </x:c>
      <x:c r="E30" s="14" t="str">
        <x:v>Loaded planning factor</x:v>
      </x:c>
    </x:row>
    <x:row r="31">
      <x:c r="C31" s="11" t="str">
        <x:v>Certified-industry billet-year $</x:v>
      </x:c>
      <x:c r="D31" s="13" t="n">
        <x:v>90000</x:v>
      </x:c>
      <x:c r="E31" s="14" t="str">
        <x:v>Loaded planning factor</x:v>
      </x:c>
    </x:row>
    <x:row r="32">
      <x:c r="C32" s="11" t="str">
        <x:v>Partner/allied billet-year $</x:v>
      </x:c>
      <x:c r="D32" s="13" t="n">
        <x:v>20000</x:v>
      </x:c>
      <x:c r="E32" s="14" t="str">
        <x:v>Loaded planning factor</x:v>
      </x:c>
    </x:row>
  </x:sheetData>
  <x:pageMargins left="0.7" right="0.7" top="0.75" bottom="0.75" header="0.3" footer="0.3"/>
  <x:tableParts count="1">
    <x:tablePart xmlns:r="http://schemas.openxmlformats.org/officeDocument/2006/relationships" r:id="R4c08b8c8c2f1480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3" max="3" width="12" hidden="0" customWidth="1"/>
    <x:col min="4" max="4" width="25" hidden="0" customWidth="1"/>
    <x:col min="5" max="5" width="31" hidden="0" customWidth="1"/>
    <x:col min="6" max="6" width="22" hidden="0" customWidth="1"/>
    <x:col min="7" max="7" width="16" hidden="0" customWidth="1"/>
    <x:col min="8" max="8" width="16" hidden="0" customWidth="1"/>
    <x:col min="9" max="9" width="18" hidden="0" customWidth="1"/>
    <x:col min="10" max="10" width="11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1" hidden="0" customWidth="1"/>
    <x:col min="17" max="17" width="17" hidden="0" customWidth="1"/>
    <x:col min="18" max="18" width="14" hidden="0" customWidth="1"/>
    <x:col min="19" max="19" width="18" hidden="0" customWidth="1"/>
    <x:col min="20" max="20" width="20" hidden="0" customWidth="1"/>
    <x:col min="21" max="21" width="18" hidden="0" customWidth="1"/>
    <x:col min="22" max="22" width="11" hidden="0" customWidth="1"/>
    <x:col min="23" max="23" width="48" hidden="0" customWidth="1"/>
    <x:col min="24" max="24" width="14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Canonical Formation Inputs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>
      <x:c r="C3" s="3" t="str">
        <x:v>Forty-eight canonical families. Shared credits are explicit deductions from gross people and capital, never silent netting.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5" ht="35" customHeight="1">
      <x:c r="C5" s="9" t="str">
        <x:v>ID</x:v>
      </x:c>
      <x:c r="D5" s="9" t="str">
        <x:v>Generating service</x:v>
      </x:c>
      <x:c r="E5" s="9" t="str">
        <x:v>Formation family</x:v>
      </x:c>
      <x:c r="F5" s="9" t="str">
        <x:v>Lineage</x:v>
      </x:c>
      <x:c r="G5" s="9" t="str">
        <x:v>Gross on-duty people</x:v>
      </x:c>
      <x:c r="H5" s="9" t="str">
        <x:v>Shared people credit</x:v>
      </x:c>
      <x:c r="I5" s="9" t="str">
        <x:v>Net new on-duty people</x:v>
      </x:c>
      <x:c r="J5" s="9" t="str">
        <x:v>Crew sets</x:v>
      </x:c>
      <x:c r="K5" s="9" t="str">
        <x:v>Material avail.</x:v>
      </x:c>
      <x:c r="L5" s="9" t="str">
        <x:v>Personnel avail.</x:v>
      </x:c>
      <x:c r="M5" s="9" t="str">
        <x:v>Movement avail.</x:v>
      </x:c>
      <x:c r="N5" s="9" t="str">
        <x:v>Reception avail.</x:v>
      </x:c>
      <x:c r="O5" s="9" t="str">
        <x:v>Sustainment avail.</x:v>
      </x:c>
      <x:c r="P5" s="9" t="str">
        <x:v>Early share</x:v>
      </x:c>
      <x:c r="Q5" s="9" t="str">
        <x:v>Deployable mass t</x:v>
      </x:c>
      <x:c r="R5" s="9" t="str">
        <x:v>Supply t/day</x:v>
      </x:c>
      <x:c r="S5" s="9" t="str">
        <x:v>Gross unit capital $B</x:v>
      </x:c>
      <x:c r="T5" s="9" t="str">
        <x:v>Shared capital credit $B</x:v>
      </x:c>
      <x:c r="U5" s="9" t="str">
        <x:v>Net unit capital $B</x:v>
      </x:c>
      <x:c r="V5" s="9" t="str">
        <x:v>O&amp;M rate</x:v>
      </x:c>
      <x:c r="W5" s="9" t="str">
        <x:v>Authority / boundary</x:v>
      </x:c>
      <x:c r="X5" s="9" t="str">
        <x:v>Input status</x:v>
      </x:c>
    </x:row>
    <x:row r="6" ht="35" customHeight="1">
      <x:c r="C6" s="11" t="str">
        <x:v>J-CIE</x:v>
      </x:c>
      <x:c r="D6" s="11" t="str">
        <x:v>Joint</x:v>
      </x:c>
      <x:c r="E6" s="14" t="str">
        <x:v>Civil integration and effects group</x:v>
      </x:c>
      <x:c r="F6" s="22" t="str">
        <x:v>Pass 23 retained</x:v>
      </x:c>
      <x:c r="G6" s="23" t="n">
        <x:v>120</x:v>
      </x:c>
      <x:c r="H6" s="23" t="n">
        <x:v>0</x:v>
      </x:c>
      <x:c r="I6" s="24" t="n">
        <x:f>G6-H6</x:f>
        <x:v>120</x:v>
      </x:c>
      <x:c r="J6" s="23" t="n">
        <x:v>2.5</x:v>
      </x:c>
      <x:c r="K6" s="25" t="n">
        <x:v>0.82</x:v>
      </x:c>
      <x:c r="L6" s="25" t="n">
        <x:v>0.8</x:v>
      </x:c>
      <x:c r="M6" s="25" t="n">
        <x:v>0.78</x:v>
      </x:c>
      <x:c r="N6" s="25" t="n">
        <x:v>0.8</x:v>
      </x:c>
      <x:c r="O6" s="25" t="n">
        <x:v>0.82</x:v>
      </x:c>
      <x:c r="P6" s="25" t="n">
        <x:v>0.65</x:v>
      </x:c>
      <x:c r="Q6" s="23" t="n">
        <x:v>2200</x:v>
      </x:c>
      <x:c r="R6" s="23" t="n">
        <x:v>45</x:v>
      </x:c>
      <x:c r="S6" s="26" t="n">
        <x:v>0.25</x:v>
      </x:c>
      <x:c r="T6" s="26" t="n">
        <x:v>0</x:v>
      </x:c>
      <x:c r="U6" s="27" t="n">
        <x:f>S6-T6</x:f>
        <x:v>0.25</x:v>
      </x:c>
      <x:c r="V6" s="28" t="n">
        <x:v>0.045</x:v>
      </x:c>
      <x:c r="W6" s="14" t="str">
        <x:v>Pass 23 quantitative line</x:v>
      </x:c>
      <x:c r="X6" s="29" t="str">
        <x:v>INHERITED</x:v>
      </x:c>
    </x:row>
    <x:row r="7" ht="35" customHeight="1">
      <x:c r="C7" s="11" t="str">
        <x:v>J-TOC</x:v>
      </x:c>
      <x:c r="D7" s="11" t="str">
        <x:v>Joint</x:v>
      </x:c>
      <x:c r="E7" s="14" t="str">
        <x:v>Theater-opening command</x:v>
      </x:c>
      <x:c r="F7" s="22" t="str">
        <x:v>Pass 23 retained</x:v>
      </x:c>
      <x:c r="G7" s="23" t="n">
        <x:v>600</x:v>
      </x:c>
      <x:c r="H7" s="23" t="n">
        <x:v>0</x:v>
      </x:c>
      <x:c r="I7" s="24" t="n">
        <x:f>G7-H7</x:f>
        <x:v>600</x:v>
      </x:c>
      <x:c r="J7" s="23" t="n">
        <x:v>2.5</x:v>
      </x:c>
      <x:c r="K7" s="25" t="n">
        <x:v>0.82</x:v>
      </x:c>
      <x:c r="L7" s="25" t="n">
        <x:v>0.8</x:v>
      </x:c>
      <x:c r="M7" s="25" t="n">
        <x:v>0.78</x:v>
      </x:c>
      <x:c r="N7" s="25" t="n">
        <x:v>0.8</x:v>
      </x:c>
      <x:c r="O7" s="25" t="n">
        <x:v>0.82</x:v>
      </x:c>
      <x:c r="P7" s="25" t="n">
        <x:v>0.65</x:v>
      </x:c>
      <x:c r="Q7" s="23" t="n">
        <x:v>2200</x:v>
      </x:c>
      <x:c r="R7" s="23" t="n">
        <x:v>45</x:v>
      </x:c>
      <x:c r="S7" s="26" t="n">
        <x:v>1.2</x:v>
      </x:c>
      <x:c r="T7" s="26" t="n">
        <x:v>0</x:v>
      </x:c>
      <x:c r="U7" s="27" t="n">
        <x:f>S7-T7</x:f>
        <x:v>1.2</x:v>
      </x:c>
      <x:c r="V7" s="28" t="n">
        <x:v>0.045</x:v>
      </x:c>
      <x:c r="W7" s="14" t="str">
        <x:v>Pass 23 quantitative line</x:v>
      </x:c>
      <x:c r="X7" s="29" t="str">
        <x:v>INHERITED</x:v>
      </x:c>
    </x:row>
    <x:row r="8" ht="35" customHeight="1">
      <x:c r="C8" s="11" t="str">
        <x:v>J-TSC</x:v>
      </x:c>
      <x:c r="D8" s="11" t="str">
        <x:v>Joint</x:v>
      </x:c>
      <x:c r="E8" s="14" t="str">
        <x:v>Theater sustainment command</x:v>
      </x:c>
      <x:c r="F8" s="22" t="str">
        <x:v>Pass 23 retained</x:v>
      </x:c>
      <x:c r="G8" s="23" t="n">
        <x:v>900</x:v>
      </x:c>
      <x:c r="H8" s="23" t="n">
        <x:v>0</x:v>
      </x:c>
      <x:c r="I8" s="24" t="n">
        <x:f>G8-H8</x:f>
        <x:v>900</x:v>
      </x:c>
      <x:c r="J8" s="23" t="n">
        <x:v>2.5</x:v>
      </x:c>
      <x:c r="K8" s="25" t="n">
        <x:v>0.82</x:v>
      </x:c>
      <x:c r="L8" s="25" t="n">
        <x:v>0.8</x:v>
      </x:c>
      <x:c r="M8" s="25" t="n">
        <x:v>0.78</x:v>
      </x:c>
      <x:c r="N8" s="25" t="n">
        <x:v>0.8</x:v>
      </x:c>
      <x:c r="O8" s="25" t="n">
        <x:v>0.82</x:v>
      </x:c>
      <x:c r="P8" s="25" t="n">
        <x:v>0.65</x:v>
      </x:c>
      <x:c r="Q8" s="23" t="n">
        <x:v>2200</x:v>
      </x:c>
      <x:c r="R8" s="23" t="n">
        <x:v>45</x:v>
      </x:c>
      <x:c r="S8" s="26" t="n">
        <x:v>1.5</x:v>
      </x:c>
      <x:c r="T8" s="26" t="n">
        <x:v>0</x:v>
      </x:c>
      <x:c r="U8" s="27" t="n">
        <x:f>S8-T8</x:f>
        <x:v>1.5</x:v>
      </x:c>
      <x:c r="V8" s="28" t="n">
        <x:v>0.045</x:v>
      </x:c>
      <x:c r="W8" s="14" t="str">
        <x:v>Pass 23 quantitative line</x:v>
      </x:c>
      <x:c r="X8" s="29" t="str">
        <x:v>INHERITED</x:v>
      </x:c>
    </x:row>
    <x:row r="9" ht="35" customHeight="1">
      <x:c r="C9" s="11" t="str">
        <x:v>J-RRG</x:v>
      </x:c>
      <x:c r="D9" s="11" t="str">
        <x:v>Joint</x:v>
      </x:c>
      <x:c r="E9" s="14" t="str">
        <x:v>Replacement and reconstitution group</x:v>
      </x:c>
      <x:c r="F9" s="22" t="str">
        <x:v>Pass 23 retained</x:v>
      </x:c>
      <x:c r="G9" s="23" t="n">
        <x:v>400</x:v>
      </x:c>
      <x:c r="H9" s="23" t="n">
        <x:v>0</x:v>
      </x:c>
      <x:c r="I9" s="24" t="n">
        <x:f>G9-H9</x:f>
        <x:v>400</x:v>
      </x:c>
      <x:c r="J9" s="23" t="n">
        <x:v>2.5</x:v>
      </x:c>
      <x:c r="K9" s="25" t="n">
        <x:v>0.82</x:v>
      </x:c>
      <x:c r="L9" s="25" t="n">
        <x:v>0.8</x:v>
      </x:c>
      <x:c r="M9" s="25" t="n">
        <x:v>0.78</x:v>
      </x:c>
      <x:c r="N9" s="25" t="n">
        <x:v>0.8</x:v>
      </x:c>
      <x:c r="O9" s="25" t="n">
        <x:v>0.82</x:v>
      </x:c>
      <x:c r="P9" s="25" t="n">
        <x:v>0.65</x:v>
      </x:c>
      <x:c r="Q9" s="23" t="n">
        <x:v>2200</x:v>
      </x:c>
      <x:c r="R9" s="23" t="n">
        <x:v>45</x:v>
      </x:c>
      <x:c r="S9" s="26" t="n">
        <x:v>0.8</x:v>
      </x:c>
      <x:c r="T9" s="26" t="n">
        <x:v>0</x:v>
      </x:c>
      <x:c r="U9" s="27" t="n">
        <x:f>S9-T9</x:f>
        <x:v>0.8</x:v>
      </x:c>
      <x:c r="V9" s="28" t="n">
        <x:v>0.045</x:v>
      </x:c>
      <x:c r="W9" s="14" t="str">
        <x:v>Pass 23 quantitative line</x:v>
      </x:c>
      <x:c r="X9" s="29" t="str">
        <x:v>INHERITED</x:v>
      </x:c>
    </x:row>
    <x:row r="10" ht="35" customHeight="1">
      <x:c r="C10" s="11" t="str">
        <x:v>J-TDG</x:v>
      </x:c>
      <x:c r="D10" s="11" t="str">
        <x:v>Joint</x:v>
      </x:c>
      <x:c r="E10" s="14" t="str">
        <x:v>Transfer and demobilization group</x:v>
      </x:c>
      <x:c r="F10" s="22" t="str">
        <x:v>Pass 23 retained</x:v>
      </x:c>
      <x:c r="G10" s="23" t="n">
        <x:v>150</x:v>
      </x:c>
      <x:c r="H10" s="23" t="n">
        <x:v>0</x:v>
      </x:c>
      <x:c r="I10" s="24" t="n">
        <x:f>G10-H10</x:f>
        <x:v>150</x:v>
      </x:c>
      <x:c r="J10" s="23" t="n">
        <x:v>2.5</x:v>
      </x:c>
      <x:c r="K10" s="25" t="n">
        <x:v>0.82</x:v>
      </x:c>
      <x:c r="L10" s="25" t="n">
        <x:v>0.8</x:v>
      </x:c>
      <x:c r="M10" s="25" t="n">
        <x:v>0.78</x:v>
      </x:c>
      <x:c r="N10" s="25" t="n">
        <x:v>0.8</x:v>
      </x:c>
      <x:c r="O10" s="25" t="n">
        <x:v>0.82</x:v>
      </x:c>
      <x:c r="P10" s="25" t="n">
        <x:v>0.65</x:v>
      </x:c>
      <x:c r="Q10" s="23" t="n">
        <x:v>2200</x:v>
      </x:c>
      <x:c r="R10" s="23" t="n">
        <x:v>45</x:v>
      </x:c>
      <x:c r="S10" s="26" t="n">
        <x:v>0.3</x:v>
      </x:c>
      <x:c r="T10" s="26" t="n">
        <x:v>0</x:v>
      </x:c>
      <x:c r="U10" s="27" t="n">
        <x:f>S10-T10</x:f>
        <x:v>0.3</x:v>
      </x:c>
      <x:c r="V10" s="28" t="n">
        <x:v>0.045</x:v>
      </x:c>
      <x:c r="W10" s="14" t="str">
        <x:v>Pass 23 quantitative line</x:v>
      </x:c>
      <x:c r="X10" s="29" t="str">
        <x:v>INHERITED</x:v>
      </x:c>
    </x:row>
    <x:row r="11" ht="35" customHeight="1">
      <x:c r="C11" s="11" t="str">
        <x:v>L-ROG</x:v>
      </x:c>
      <x:c r="D11" s="11" t="str">
        <x:v>Land Engineering</x:v>
      </x:c>
      <x:c r="E11" s="14" t="str">
        <x:v>Access and route-opening group</x:v>
      </x:c>
      <x:c r="F11" s="22" t="str">
        <x:v>Pass 23 retained</x:v>
      </x:c>
      <x:c r="G11" s="23" t="n">
        <x:v>350</x:v>
      </x:c>
      <x:c r="H11" s="23" t="n">
        <x:v>0</x:v>
      </x:c>
      <x:c r="I11" s="24" t="n">
        <x:f>G11-H11</x:f>
        <x:v>350</x:v>
      </x:c>
      <x:c r="J11" s="23" t="n">
        <x:v>2.6</x:v>
      </x:c>
      <x:c r="K11" s="25" t="n">
        <x:v>0.76</x:v>
      </x:c>
      <x:c r="L11" s="25" t="n">
        <x:v>0.74</x:v>
      </x:c>
      <x:c r="M11" s="25" t="n">
        <x:v>0.7</x:v>
      </x:c>
      <x:c r="N11" s="25" t="n">
        <x:v>0.74</x:v>
      </x:c>
      <x:c r="O11" s="25" t="n">
        <x:v>0.75</x:v>
      </x:c>
      <x:c r="P11" s="25" t="n">
        <x:v>0.45</x:v>
      </x:c>
      <x:c r="Q11" s="23" t="n">
        <x:v>9000</x:v>
      </x:c>
      <x:c r="R11" s="23" t="n">
        <x:v>90</x:v>
      </x:c>
      <x:c r="S11" s="26" t="n">
        <x:v>1.2</x:v>
      </x:c>
      <x:c r="T11" s="26" t="n">
        <x:v>0</x:v>
      </x:c>
      <x:c r="U11" s="27" t="n">
        <x:f>S11-T11</x:f>
        <x:v>1.2</x:v>
      </x:c>
      <x:c r="V11" s="28" t="n">
        <x:v>0.05</x:v>
      </x:c>
      <x:c r="W11" s="14" t="str">
        <x:v>Pass 23 quantitative line</x:v>
      </x:c>
      <x:c r="X11" s="29" t="str">
        <x:v>INHERITED</x:v>
      </x:c>
    </x:row>
    <x:row r="12" ht="35" customHeight="1">
      <x:c r="C12" s="11" t="str">
        <x:v>L-HCG</x:v>
      </x:c>
      <x:c r="D12" s="11" t="str">
        <x:v>Land Engineering</x:v>
      </x:c>
      <x:c r="E12" s="14" t="str">
        <x:v>Flood and hydraulic-control group</x:v>
      </x:c>
      <x:c r="F12" s="22" t="str">
        <x:v>Pass 23 retained</x:v>
      </x:c>
      <x:c r="G12" s="23" t="n">
        <x:v>500</x:v>
      </x:c>
      <x:c r="H12" s="23" t="n">
        <x:v>0</x:v>
      </x:c>
      <x:c r="I12" s="24" t="n">
        <x:f>G12-H12</x:f>
        <x:v>500</x:v>
      </x:c>
      <x:c r="J12" s="23" t="n">
        <x:v>2.6</x:v>
      </x:c>
      <x:c r="K12" s="25" t="n">
        <x:v>0.76</x:v>
      </x:c>
      <x:c r="L12" s="25" t="n">
        <x:v>0.74</x:v>
      </x:c>
      <x:c r="M12" s="25" t="n">
        <x:v>0.7</x:v>
      </x:c>
      <x:c r="N12" s="25" t="n">
        <x:v>0.74</x:v>
      </x:c>
      <x:c r="O12" s="25" t="n">
        <x:v>0.75</x:v>
      </x:c>
      <x:c r="P12" s="25" t="n">
        <x:v>0.45</x:v>
      </x:c>
      <x:c r="Q12" s="23" t="n">
        <x:v>9000</x:v>
      </x:c>
      <x:c r="R12" s="23" t="n">
        <x:v>90</x:v>
      </x:c>
      <x:c r="S12" s="26" t="n">
        <x:v>1.8</x:v>
      </x:c>
      <x:c r="T12" s="26" t="n">
        <x:v>0</x:v>
      </x:c>
      <x:c r="U12" s="27" t="n">
        <x:f>S12-T12</x:f>
        <x:v>1.8</x:v>
      </x:c>
      <x:c r="V12" s="28" t="n">
        <x:v>0.05</x:v>
      </x:c>
      <x:c r="W12" s="14" t="str">
        <x:v>Pass 23 quantitative line</x:v>
      </x:c>
      <x:c r="X12" s="29" t="str">
        <x:v>INHERITED</x:v>
      </x:c>
    </x:row>
    <x:row r="13" ht="35" customHeight="1">
      <x:c r="C13" s="11" t="str">
        <x:v>L-DMG</x:v>
      </x:c>
      <x:c r="D13" s="11" t="str">
        <x:v>Land Engineering</x:v>
      </x:c>
      <x:c r="E13" s="14" t="str">
        <x:v>Debris and materials group</x:v>
      </x:c>
      <x:c r="F13" s="22" t="str">
        <x:v>Pass 23 retained</x:v>
      </x:c>
      <x:c r="G13" s="23" t="n">
        <x:v>400</x:v>
      </x:c>
      <x:c r="H13" s="23" t="n">
        <x:v>0</x:v>
      </x:c>
      <x:c r="I13" s="24" t="n">
        <x:f>G13-H13</x:f>
        <x:v>400</x:v>
      </x:c>
      <x:c r="J13" s="23" t="n">
        <x:v>2.6</x:v>
      </x:c>
      <x:c r="K13" s="25" t="n">
        <x:v>0.76</x:v>
      </x:c>
      <x:c r="L13" s="25" t="n">
        <x:v>0.74</x:v>
      </x:c>
      <x:c r="M13" s="25" t="n">
        <x:v>0.7</x:v>
      </x:c>
      <x:c r="N13" s="25" t="n">
        <x:v>0.74</x:v>
      </x:c>
      <x:c r="O13" s="25" t="n">
        <x:v>0.75</x:v>
      </x:c>
      <x:c r="P13" s="25" t="n">
        <x:v>0.45</x:v>
      </x:c>
      <x:c r="Q13" s="23" t="n">
        <x:v>9000</x:v>
      </x:c>
      <x:c r="R13" s="23" t="n">
        <x:v>90</x:v>
      </x:c>
      <x:c r="S13" s="26" t="n">
        <x:v>1.4</x:v>
      </x:c>
      <x:c r="T13" s="26" t="n">
        <x:v>0</x:v>
      </x:c>
      <x:c r="U13" s="27" t="n">
        <x:f>S13-T13</x:f>
        <x:v>1.4</x:v>
      </x:c>
      <x:c r="V13" s="28" t="n">
        <x:v>0.05</x:v>
      </x:c>
      <x:c r="W13" s="14" t="str">
        <x:v>Pass 23 quantitative line</x:v>
      </x:c>
      <x:c r="X13" s="29" t="str">
        <x:v>INHERITED</x:v>
      </x:c>
    </x:row>
    <x:row r="14" ht="35" customHeight="1">
      <x:c r="C14" s="11" t="str">
        <x:v>L-TWG</x:v>
      </x:c>
      <x:c r="D14" s="11" t="str">
        <x:v>Land Engineering</x:v>
      </x:c>
      <x:c r="E14" s="14" t="str">
        <x:v>Temporary works and crossing group</x:v>
      </x:c>
      <x:c r="F14" s="22" t="str">
        <x:v>Pass 23 retained</x:v>
      </x:c>
      <x:c r="G14" s="23" t="n">
        <x:v>350</x:v>
      </x:c>
      <x:c r="H14" s="23" t="n">
        <x:v>0</x:v>
      </x:c>
      <x:c r="I14" s="24" t="n">
        <x:f>G14-H14</x:f>
        <x:v>350</x:v>
      </x:c>
      <x:c r="J14" s="23" t="n">
        <x:v>2.6</x:v>
      </x:c>
      <x:c r="K14" s="25" t="n">
        <x:v>0.76</x:v>
      </x:c>
      <x:c r="L14" s="25" t="n">
        <x:v>0.74</x:v>
      </x:c>
      <x:c r="M14" s="25" t="n">
        <x:v>0.7</x:v>
      </x:c>
      <x:c r="N14" s="25" t="n">
        <x:v>0.74</x:v>
      </x:c>
      <x:c r="O14" s="25" t="n">
        <x:v>0.75</x:v>
      </x:c>
      <x:c r="P14" s="25" t="n">
        <x:v>0.45</x:v>
      </x:c>
      <x:c r="Q14" s="23" t="n">
        <x:v>9000</x:v>
      </x:c>
      <x:c r="R14" s="23" t="n">
        <x:v>90</x:v>
      </x:c>
      <x:c r="S14" s="26" t="n">
        <x:v>1.2</x:v>
      </x:c>
      <x:c r="T14" s="26" t="n">
        <x:v>0</x:v>
      </x:c>
      <x:c r="U14" s="27" t="n">
        <x:f>S14-T14</x:f>
        <x:v>1.2</x:v>
      </x:c>
      <x:c r="V14" s="28" t="n">
        <x:v>0.05</x:v>
      </x:c>
      <x:c r="W14" s="14" t="str">
        <x:v>Pass 23 quantitative line</x:v>
      </x:c>
      <x:c r="X14" s="29" t="str">
        <x:v>INHERITED</x:v>
      </x:c>
    </x:row>
    <x:row r="15" ht="35" customHeight="1">
      <x:c r="C15" s="11" t="str">
        <x:v>L-GFG</x:v>
      </x:c>
      <x:c r="D15" s="11" t="str">
        <x:v>Land Engineering</x:v>
      </x:c>
      <x:c r="E15" s="14" t="str">
        <x:v>Ground fire and landscape group</x:v>
      </x:c>
      <x:c r="F15" s="22" t="str">
        <x:v>Pass 23 retained</x:v>
      </x:c>
      <x:c r="G15" s="23" t="n">
        <x:v>450</x:v>
      </x:c>
      <x:c r="H15" s="23" t="n">
        <x:v>0</x:v>
      </x:c>
      <x:c r="I15" s="24" t="n">
        <x:f>G15-H15</x:f>
        <x:v>450</x:v>
      </x:c>
      <x:c r="J15" s="23" t="n">
        <x:v>2.6</x:v>
      </x:c>
      <x:c r="K15" s="25" t="n">
        <x:v>0.76</x:v>
      </x:c>
      <x:c r="L15" s="25" t="n">
        <x:v>0.74</x:v>
      </x:c>
      <x:c r="M15" s="25" t="n">
        <x:v>0.7</x:v>
      </x:c>
      <x:c r="N15" s="25" t="n">
        <x:v>0.74</x:v>
      </x:c>
      <x:c r="O15" s="25" t="n">
        <x:v>0.75</x:v>
      </x:c>
      <x:c r="P15" s="25" t="n">
        <x:v>0.45</x:v>
      </x:c>
      <x:c r="Q15" s="23" t="n">
        <x:v>9000</x:v>
      </x:c>
      <x:c r="R15" s="23" t="n">
        <x:v>90</x:v>
      </x:c>
      <x:c r="S15" s="26" t="n">
        <x:v>1</x:v>
      </x:c>
      <x:c r="T15" s="26" t="n">
        <x:v>0</x:v>
      </x:c>
      <x:c r="U15" s="27" t="n">
        <x:f>S15-T15</x:f>
        <x:v>1</x:v>
      </x:c>
      <x:c r="V15" s="28" t="n">
        <x:v>0.05</x:v>
      </x:c>
      <x:c r="W15" s="14" t="str">
        <x:v>Pass 23 quantitative line</x:v>
      </x:c>
      <x:c r="X15" s="29" t="str">
        <x:v>INHERITED</x:v>
      </x:c>
    </x:row>
    <x:row r="16" ht="35" customHeight="1">
      <x:c r="C16" s="11" t="str">
        <x:v>A-SMW</x:v>
      </x:c>
      <x:c r="D16" s="11" t="str">
        <x:v>Air Response</x:v>
      </x:c>
      <x:c r="E16" s="14" t="str">
        <x:v>Strategic mobility wing</x:v>
      </x:c>
      <x:c r="F16" s="22" t="str">
        <x:v>Pass 23 retained</x:v>
      </x:c>
      <x:c r="G16" s="23" t="n">
        <x:v>900</x:v>
      </x:c>
      <x:c r="H16" s="23" t="n">
        <x:v>0</x:v>
      </x:c>
      <x:c r="I16" s="24" t="n">
        <x:f>G16-H16</x:f>
        <x:v>900</x:v>
      </x:c>
      <x:c r="J16" s="23" t="n">
        <x:v>3</x:v>
      </x:c>
      <x:c r="K16" s="25" t="n">
        <x:v>0.7</x:v>
      </x:c>
      <x:c r="L16" s="25" t="n">
        <x:v>0.72</x:v>
      </x:c>
      <x:c r="M16" s="25" t="n">
        <x:v>0.65</x:v>
      </x:c>
      <x:c r="N16" s="25" t="n">
        <x:v>0.75</x:v>
      </x:c>
      <x:c r="O16" s="25" t="n">
        <x:v>0.72</x:v>
      </x:c>
      <x:c r="P16" s="25" t="n">
        <x:v>0.75</x:v>
      </x:c>
      <x:c r="Q16" s="23" t="n">
        <x:v>5000</x:v>
      </x:c>
      <x:c r="R16" s="23" t="n">
        <x:v>100</x:v>
      </x:c>
      <x:c r="S16" s="26" t="n">
        <x:v>8</x:v>
      </x:c>
      <x:c r="T16" s="26" t="n">
        <x:v>0</x:v>
      </x:c>
      <x:c r="U16" s="27" t="n">
        <x:f>S16-T16</x:f>
        <x:v>8</x:v>
      </x:c>
      <x:c r="V16" s="28" t="n">
        <x:v>0.07</x:v>
      </x:c>
      <x:c r="W16" s="14" t="str">
        <x:v>Pass 23 quantitative line</x:v>
      </x:c>
      <x:c r="X16" s="29" t="str">
        <x:v>INHERITED</x:v>
      </x:c>
    </x:row>
    <x:row r="17" ht="35" customHeight="1">
      <x:c r="C17" s="11" t="str">
        <x:v>A-AAG</x:v>
      </x:c>
      <x:c r="D17" s="11" t="str">
        <x:v>Air Response</x:v>
      </x:c>
      <x:c r="E17" s="14" t="str">
        <x:v>Austere air-access group</x:v>
      </x:c>
      <x:c r="F17" s="22" t="str">
        <x:v>Pass 23 retained</x:v>
      </x:c>
      <x:c r="G17" s="23" t="n">
        <x:v>350</x:v>
      </x:c>
      <x:c r="H17" s="23" t="n">
        <x:v>0</x:v>
      </x:c>
      <x:c r="I17" s="24" t="n">
        <x:f>G17-H17</x:f>
        <x:v>350</x:v>
      </x:c>
      <x:c r="J17" s="23" t="n">
        <x:v>3</x:v>
      </x:c>
      <x:c r="K17" s="25" t="n">
        <x:v>0.7</x:v>
      </x:c>
      <x:c r="L17" s="25" t="n">
        <x:v>0.72</x:v>
      </x:c>
      <x:c r="M17" s="25" t="n">
        <x:v>0.65</x:v>
      </x:c>
      <x:c r="N17" s="25" t="n">
        <x:v>0.75</x:v>
      </x:c>
      <x:c r="O17" s="25" t="n">
        <x:v>0.72</x:v>
      </x:c>
      <x:c r="P17" s="25" t="n">
        <x:v>0.75</x:v>
      </x:c>
      <x:c r="Q17" s="23" t="n">
        <x:v>5000</x:v>
      </x:c>
      <x:c r="R17" s="23" t="n">
        <x:v>100</x:v>
      </x:c>
      <x:c r="S17" s="26" t="n">
        <x:v>2.5</x:v>
      </x:c>
      <x:c r="T17" s="26" t="n">
        <x:v>0</x:v>
      </x:c>
      <x:c r="U17" s="27" t="n">
        <x:f>S17-T17</x:f>
        <x:v>2.5</x:v>
      </x:c>
      <x:c r="V17" s="28" t="n">
        <x:v>0.07</x:v>
      </x:c>
      <x:c r="W17" s="14" t="str">
        <x:v>Pass 23 quantitative line</x:v>
      </x:c>
      <x:c r="X17" s="29" t="str">
        <x:v>INHERITED</x:v>
      </x:c>
    </x:row>
    <x:row r="18" ht="35" customHeight="1">
      <x:c r="C18" s="11" t="str">
        <x:v>A-AHW</x:v>
      </x:c>
      <x:c r="D18" s="11" t="str">
        <x:v>Air Response</x:v>
      </x:c>
      <x:c r="E18" s="14" t="str">
        <x:v>Aerial hazard-control wing</x:v>
      </x:c>
      <x:c r="F18" s="22" t="str">
        <x:v>Pass 23 retained</x:v>
      </x:c>
      <x:c r="G18" s="23" t="n">
        <x:v>600</x:v>
      </x:c>
      <x:c r="H18" s="23" t="n">
        <x:v>0</x:v>
      </x:c>
      <x:c r="I18" s="24" t="n">
        <x:f>G18-H18</x:f>
        <x:v>600</x:v>
      </x:c>
      <x:c r="J18" s="23" t="n">
        <x:v>3</x:v>
      </x:c>
      <x:c r="K18" s="25" t="n">
        <x:v>0.7</x:v>
      </x:c>
      <x:c r="L18" s="25" t="n">
        <x:v>0.72</x:v>
      </x:c>
      <x:c r="M18" s="25" t="n">
        <x:v>0.65</x:v>
      </x:c>
      <x:c r="N18" s="25" t="n">
        <x:v>0.75</x:v>
      </x:c>
      <x:c r="O18" s="25" t="n">
        <x:v>0.72</x:v>
      </x:c>
      <x:c r="P18" s="25" t="n">
        <x:v>0.75</x:v>
      </x:c>
      <x:c r="Q18" s="23" t="n">
        <x:v>5000</x:v>
      </x:c>
      <x:c r="R18" s="23" t="n">
        <x:v>100</x:v>
      </x:c>
      <x:c r="S18" s="26" t="n">
        <x:v>6</x:v>
      </x:c>
      <x:c r="T18" s="26" t="n">
        <x:v>0</x:v>
      </x:c>
      <x:c r="U18" s="27" t="n">
        <x:f>S18-T18</x:f>
        <x:v>6</x:v>
      </x:c>
      <x:c r="V18" s="28" t="n">
        <x:v>0.07</x:v>
      </x:c>
      <x:c r="W18" s="14" t="str">
        <x:v>Pass 23 quantitative line</x:v>
      </x:c>
      <x:c r="X18" s="29" t="str">
        <x:v>INHERITED</x:v>
      </x:c>
    </x:row>
    <x:row r="19" ht="35" customHeight="1">
      <x:c r="C19" s="11" t="str">
        <x:v>A-TDG</x:v>
      </x:c>
      <x:c r="D19" s="11" t="str">
        <x:v>Air Response</x:v>
      </x:c>
      <x:c r="E19" s="14" t="str">
        <x:v>Tactical distribution group</x:v>
      </x:c>
      <x:c r="F19" s="22" t="str">
        <x:v>Pass 23 retained</x:v>
      </x:c>
      <x:c r="G19" s="23" t="n">
        <x:v>450</x:v>
      </x:c>
      <x:c r="H19" s="23" t="n">
        <x:v>0</x:v>
      </x:c>
      <x:c r="I19" s="24" t="n">
        <x:f>G19-H19</x:f>
        <x:v>450</x:v>
      </x:c>
      <x:c r="J19" s="23" t="n">
        <x:v>3</x:v>
      </x:c>
      <x:c r="K19" s="25" t="n">
        <x:v>0.7</x:v>
      </x:c>
      <x:c r="L19" s="25" t="n">
        <x:v>0.72</x:v>
      </x:c>
      <x:c r="M19" s="25" t="n">
        <x:v>0.65</x:v>
      </x:c>
      <x:c r="N19" s="25" t="n">
        <x:v>0.75</x:v>
      </x:c>
      <x:c r="O19" s="25" t="n">
        <x:v>0.72</x:v>
      </x:c>
      <x:c r="P19" s="25" t="n">
        <x:v>0.75</x:v>
      </x:c>
      <x:c r="Q19" s="23" t="n">
        <x:v>5000</x:v>
      </x:c>
      <x:c r="R19" s="23" t="n">
        <x:v>100</x:v>
      </x:c>
      <x:c r="S19" s="26" t="n">
        <x:v>3</x:v>
      </x:c>
      <x:c r="T19" s="26" t="n">
        <x:v>0</x:v>
      </x:c>
      <x:c r="U19" s="27" t="n">
        <x:f>S19-T19</x:f>
        <x:v>3</x:v>
      </x:c>
      <x:c r="V19" s="28" t="n">
        <x:v>0.07</x:v>
      </x:c>
      <x:c r="W19" s="14" t="str">
        <x:v>Pass 23 quantitative line</x:v>
      </x:c>
      <x:c r="X19" s="29" t="str">
        <x:v>INHERITED</x:v>
      </x:c>
    </x:row>
    <x:row r="20" ht="35" customHeight="1">
      <x:c r="C20" s="11" t="str">
        <x:v>A-SRG</x:v>
      </x:c>
      <x:c r="D20" s="11" t="str">
        <x:v>Air Response</x:v>
      </x:c>
      <x:c r="E20" s="14" t="str">
        <x:v>Air sensing and relay group</x:v>
      </x:c>
      <x:c r="F20" s="22" t="str">
        <x:v>Pass 23 retained</x:v>
      </x:c>
      <x:c r="G20" s="23" t="n">
        <x:v>180</x:v>
      </x:c>
      <x:c r="H20" s="23" t="n">
        <x:v>0</x:v>
      </x:c>
      <x:c r="I20" s="24" t="n">
        <x:f>G20-H20</x:f>
        <x:v>180</x:v>
      </x:c>
      <x:c r="J20" s="23" t="n">
        <x:v>3</x:v>
      </x:c>
      <x:c r="K20" s="25" t="n">
        <x:v>0.7</x:v>
      </x:c>
      <x:c r="L20" s="25" t="n">
        <x:v>0.72</x:v>
      </x:c>
      <x:c r="M20" s="25" t="n">
        <x:v>0.65</x:v>
      </x:c>
      <x:c r="N20" s="25" t="n">
        <x:v>0.75</x:v>
      </x:c>
      <x:c r="O20" s="25" t="n">
        <x:v>0.72</x:v>
      </x:c>
      <x:c r="P20" s="25" t="n">
        <x:v>0.75</x:v>
      </x:c>
      <x:c r="Q20" s="23" t="n">
        <x:v>5000</x:v>
      </x:c>
      <x:c r="R20" s="23" t="n">
        <x:v>100</x:v>
      </x:c>
      <x:c r="S20" s="26" t="n">
        <x:v>1.2</x:v>
      </x:c>
      <x:c r="T20" s="26" t="n">
        <x:v>0</x:v>
      </x:c>
      <x:c r="U20" s="27" t="n">
        <x:f>S20-T20</x:f>
        <x:v>1.2</x:v>
      </x:c>
      <x:c r="V20" s="28" t="n">
        <x:v>0.07</x:v>
      </x:c>
      <x:c r="W20" s="14" t="str">
        <x:v>Pass 23 quantitative line</x:v>
      </x:c>
      <x:c r="X20" s="29" t="str">
        <x:v>INHERITED</x:v>
      </x:c>
    </x:row>
    <x:row r="21" ht="35" customHeight="1">
      <x:c r="C21" s="11" t="str">
        <x:v>A-AMG</x:v>
      </x:c>
      <x:c r="D21" s="11" t="str">
        <x:v>Air Response</x:v>
      </x:c>
      <x:c r="E21" s="14" t="str">
        <x:v>Aeromedical movement group</x:v>
      </x:c>
      <x:c r="F21" s="22" t="str">
        <x:v>Pass 23 retained</x:v>
      </x:c>
      <x:c r="G21" s="23" t="n">
        <x:v>300</x:v>
      </x:c>
      <x:c r="H21" s="23" t="n">
        <x:v>0</x:v>
      </x:c>
      <x:c r="I21" s="24" t="n">
        <x:f>G21-H21</x:f>
        <x:v>300</x:v>
      </x:c>
      <x:c r="J21" s="23" t="n">
        <x:v>3</x:v>
      </x:c>
      <x:c r="K21" s="25" t="n">
        <x:v>0.7</x:v>
      </x:c>
      <x:c r="L21" s="25" t="n">
        <x:v>0.72</x:v>
      </x:c>
      <x:c r="M21" s="25" t="n">
        <x:v>0.65</x:v>
      </x:c>
      <x:c r="N21" s="25" t="n">
        <x:v>0.75</x:v>
      </x:c>
      <x:c r="O21" s="25" t="n">
        <x:v>0.72</x:v>
      </x:c>
      <x:c r="P21" s="25" t="n">
        <x:v>0.75</x:v>
      </x:c>
      <x:c r="Q21" s="23" t="n">
        <x:v>5000</x:v>
      </x:c>
      <x:c r="R21" s="23" t="n">
        <x:v>100</x:v>
      </x:c>
      <x:c r="S21" s="26" t="n">
        <x:v>2.5</x:v>
      </x:c>
      <x:c r="T21" s="26" t="n">
        <x:v>0</x:v>
      </x:c>
      <x:c r="U21" s="27" t="n">
        <x:f>S21-T21</x:f>
        <x:v>2.5</x:v>
      </x:c>
      <x:c r="V21" s="28" t="n">
        <x:v>0.07</x:v>
      </x:c>
      <x:c r="W21" s="14" t="str">
        <x:v>Pass 23 quantitative line</x:v>
      </x:c>
      <x:c r="X21" s="29" t="str">
        <x:v>INHERITED</x:v>
      </x:c>
    </x:row>
    <x:row r="22" ht="35" customHeight="1">
      <x:c r="C22" s="11" t="str">
        <x:v>M-POG</x:v>
      </x:c>
      <x:c r="D22" s="11" t="str">
        <x:v>Maritime Response</x:v>
      </x:c>
      <x:c r="E22" s="14" t="str">
        <x:v>Port-opening group</x:v>
      </x:c>
      <x:c r="F22" s="22" t="str">
        <x:v>Pass 23 retained</x:v>
      </x:c>
      <x:c r="G22" s="23" t="n">
        <x:v>450</x:v>
      </x:c>
      <x:c r="H22" s="23" t="n">
        <x:v>0</x:v>
      </x:c>
      <x:c r="I22" s="24" t="n">
        <x:f>G22-H22</x:f>
        <x:v>450</x:v>
      </x:c>
      <x:c r="J22" s="23" t="n">
        <x:v>3</x:v>
      </x:c>
      <x:c r="K22" s="25" t="n">
        <x:v>0.7</x:v>
      </x:c>
      <x:c r="L22" s="25" t="n">
        <x:v>0.72</x:v>
      </x:c>
      <x:c r="M22" s="25" t="n">
        <x:v>0.65</x:v>
      </x:c>
      <x:c r="N22" s="25" t="n">
        <x:v>0.68</x:v>
      </x:c>
      <x:c r="O22" s="25" t="n">
        <x:v>0.7</x:v>
      </x:c>
      <x:c r="P22" s="25" t="n">
        <x:v>0.35</x:v>
      </x:c>
      <x:c r="Q22" s="23" t="n">
        <x:v>8000</x:v>
      </x:c>
      <x:c r="R22" s="23" t="n">
        <x:v>120</x:v>
      </x:c>
      <x:c r="S22" s="26" t="n">
        <x:v>3</x:v>
      </x:c>
      <x:c r="T22" s="26" t="n">
        <x:v>0</x:v>
      </x:c>
      <x:c r="U22" s="27" t="n">
        <x:f>S22-T22</x:f>
        <x:v>3</x:v>
      </x:c>
      <x:c r="V22" s="28" t="n">
        <x:v>0.065</x:v>
      </x:c>
      <x:c r="W22" s="14" t="str">
        <x:v>Pass 23 quantitative line</x:v>
      </x:c>
      <x:c r="X22" s="29" t="str">
        <x:v>INHERITED</x:v>
      </x:c>
    </x:row>
    <x:row r="23" ht="35" customHeight="1">
      <x:c r="C23" s="11" t="str">
        <x:v>M-LAG</x:v>
      </x:c>
      <x:c r="D23" s="11" t="str">
        <x:v>Maritime Response</x:v>
      </x:c>
      <x:c r="E23" s="14" t="str">
        <x:v>Littoral-access group</x:v>
      </x:c>
      <x:c r="F23" s="22" t="str">
        <x:v>Pass 23 retained</x:v>
      </x:c>
      <x:c r="G23" s="23" t="n">
        <x:v>350</x:v>
      </x:c>
      <x:c r="H23" s="23" t="n">
        <x:v>0</x:v>
      </x:c>
      <x:c r="I23" s="24" t="n">
        <x:f>G23-H23</x:f>
        <x:v>350</x:v>
      </x:c>
      <x:c r="J23" s="23" t="n">
        <x:v>3</x:v>
      </x:c>
      <x:c r="K23" s="25" t="n">
        <x:v>0.7</x:v>
      </x:c>
      <x:c r="L23" s="25" t="n">
        <x:v>0.72</x:v>
      </x:c>
      <x:c r="M23" s="25" t="n">
        <x:v>0.65</x:v>
      </x:c>
      <x:c r="N23" s="25" t="n">
        <x:v>0.68</x:v>
      </x:c>
      <x:c r="O23" s="25" t="n">
        <x:v>0.7</x:v>
      </x:c>
      <x:c r="P23" s="25" t="n">
        <x:v>0.35</x:v>
      </x:c>
      <x:c r="Q23" s="23" t="n">
        <x:v>8000</x:v>
      </x:c>
      <x:c r="R23" s="23" t="n">
        <x:v>120</x:v>
      </x:c>
      <x:c r="S23" s="26" t="n">
        <x:v>2</x:v>
      </x:c>
      <x:c r="T23" s="26" t="n">
        <x:v>0</x:v>
      </x:c>
      <x:c r="U23" s="27" t="n">
        <x:f>S23-T23</x:f>
        <x:v>2</x:v>
      </x:c>
      <x:c r="V23" s="28" t="n">
        <x:v>0.065</x:v>
      </x:c>
      <x:c r="W23" s="14" t="str">
        <x:v>Pass 23 quantitative line</x:v>
      </x:c>
      <x:c r="X23" s="29" t="str">
        <x:v>INHERITED</x:v>
      </x:c>
    </x:row>
    <x:row r="24" ht="35" customHeight="1">
      <x:c r="C24" s="11" t="str">
        <x:v>M-IWG</x:v>
      </x:c>
      <x:c r="D24" s="11" t="str">
        <x:v>Maritime Response</x:v>
      </x:c>
      <x:c r="E24" s="14" t="str">
        <x:v>Inland-waterway group</x:v>
      </x:c>
      <x:c r="F24" s="22" t="str">
        <x:v>Pass 23 retained</x:v>
      </x:c>
      <x:c r="G24" s="23" t="n">
        <x:v>250</x:v>
      </x:c>
      <x:c r="H24" s="23" t="n">
        <x:v>0</x:v>
      </x:c>
      <x:c r="I24" s="24" t="n">
        <x:f>G24-H24</x:f>
        <x:v>250</x:v>
      </x:c>
      <x:c r="J24" s="23" t="n">
        <x:v>3</x:v>
      </x:c>
      <x:c r="K24" s="25" t="n">
        <x:v>0.7</x:v>
      </x:c>
      <x:c r="L24" s="25" t="n">
        <x:v>0.72</x:v>
      </x:c>
      <x:c r="M24" s="25" t="n">
        <x:v>0.65</x:v>
      </x:c>
      <x:c r="N24" s="25" t="n">
        <x:v>0.68</x:v>
      </x:c>
      <x:c r="O24" s="25" t="n">
        <x:v>0.7</x:v>
      </x:c>
      <x:c r="P24" s="25" t="n">
        <x:v>0.35</x:v>
      </x:c>
      <x:c r="Q24" s="23" t="n">
        <x:v>8000</x:v>
      </x:c>
      <x:c r="R24" s="23" t="n">
        <x:v>120</x:v>
      </x:c>
      <x:c r="S24" s="26" t="n">
        <x:v>1.5</x:v>
      </x:c>
      <x:c r="T24" s="26" t="n">
        <x:v>0</x:v>
      </x:c>
      <x:c r="U24" s="27" t="n">
        <x:f>S24-T24</x:f>
        <x:v>1.5</x:v>
      </x:c>
      <x:c r="V24" s="28" t="n">
        <x:v>0.065</x:v>
      </x:c>
      <x:c r="W24" s="14" t="str">
        <x:v>Pass 23 quantitative line</x:v>
      </x:c>
      <x:c r="X24" s="29" t="str">
        <x:v>INHERITED</x:v>
      </x:c>
    </x:row>
    <x:row r="25" ht="35" customHeight="1">
      <x:c r="C25" s="11" t="str">
        <x:v>M-OSG</x:v>
      </x:c>
      <x:c r="D25" s="11" t="str">
        <x:v>Maritime Response</x:v>
      </x:c>
      <x:c r="E25" s="14" t="str">
        <x:v>Offshore-support group</x:v>
      </x:c>
      <x:c r="F25" s="22" t="str">
        <x:v>Pass 23 retained</x:v>
      </x:c>
      <x:c r="G25" s="23" t="n">
        <x:v>700</x:v>
      </x:c>
      <x:c r="H25" s="23" t="n">
        <x:v>0</x:v>
      </x:c>
      <x:c r="I25" s="24" t="n">
        <x:f>G25-H25</x:f>
        <x:v>700</x:v>
      </x:c>
      <x:c r="J25" s="23" t="n">
        <x:v>3</x:v>
      </x:c>
      <x:c r="K25" s="25" t="n">
        <x:v>0.7</x:v>
      </x:c>
      <x:c r="L25" s="25" t="n">
        <x:v>0.72</x:v>
      </x:c>
      <x:c r="M25" s="25" t="n">
        <x:v>0.65</x:v>
      </x:c>
      <x:c r="N25" s="25" t="n">
        <x:v>0.68</x:v>
      </x:c>
      <x:c r="O25" s="25" t="n">
        <x:v>0.7</x:v>
      </x:c>
      <x:c r="P25" s="25" t="n">
        <x:v>0.35</x:v>
      </x:c>
      <x:c r="Q25" s="23" t="n">
        <x:v>8000</x:v>
      </x:c>
      <x:c r="R25" s="23" t="n">
        <x:v>120</x:v>
      </x:c>
      <x:c r="S25" s="26" t="n">
        <x:v>7</x:v>
      </x:c>
      <x:c r="T25" s="26" t="n">
        <x:v>0</x:v>
      </x:c>
      <x:c r="U25" s="27" t="n">
        <x:f>S25-T25</x:f>
        <x:v>7</x:v>
      </x:c>
      <x:c r="V25" s="28" t="n">
        <x:v>0.065</x:v>
      </x:c>
      <x:c r="W25" s="14" t="str">
        <x:v>Pass 23 quantitative line</x:v>
      </x:c>
      <x:c r="X25" s="29" t="str">
        <x:v>INHERITED</x:v>
      </x:c>
    </x:row>
    <x:row r="26" ht="35" customHeight="1">
      <x:c r="C26" s="11" t="str">
        <x:v>M-SSG</x:v>
      </x:c>
      <x:c r="D26" s="11" t="str">
        <x:v>Maritime Response</x:v>
      </x:c>
      <x:c r="E26" s="14" t="str">
        <x:v>Ocean sustainment group</x:v>
      </x:c>
      <x:c r="F26" s="22" t="str">
        <x:v>Pass 23 retained</x:v>
      </x:c>
      <x:c r="G26" s="23" t="n">
        <x:v>650</x:v>
      </x:c>
      <x:c r="H26" s="23" t="n">
        <x:v>0</x:v>
      </x:c>
      <x:c r="I26" s="24" t="n">
        <x:f>G26-H26</x:f>
        <x:v>650</x:v>
      </x:c>
      <x:c r="J26" s="23" t="n">
        <x:v>3</x:v>
      </x:c>
      <x:c r="K26" s="25" t="n">
        <x:v>0.7</x:v>
      </x:c>
      <x:c r="L26" s="25" t="n">
        <x:v>0.72</x:v>
      </x:c>
      <x:c r="M26" s="25" t="n">
        <x:v>0.65</x:v>
      </x:c>
      <x:c r="N26" s="25" t="n">
        <x:v>0.68</x:v>
      </x:c>
      <x:c r="O26" s="25" t="n">
        <x:v>0.7</x:v>
      </x:c>
      <x:c r="P26" s="25" t="n">
        <x:v>0.35</x:v>
      </x:c>
      <x:c r="Q26" s="23" t="n">
        <x:v>8000</x:v>
      </x:c>
      <x:c r="R26" s="23" t="n">
        <x:v>120</x:v>
      </x:c>
      <x:c r="S26" s="26" t="n">
        <x:v>9</x:v>
      </x:c>
      <x:c r="T26" s="26" t="n">
        <x:v>0</x:v>
      </x:c>
      <x:c r="U26" s="27" t="n">
        <x:f>S26-T26</x:f>
        <x:v>9</x:v>
      </x:c>
      <x:c r="V26" s="28" t="n">
        <x:v>0.065</x:v>
      </x:c>
      <x:c r="W26" s="14" t="str">
        <x:v>Pass 23 quantitative line</x:v>
      </x:c>
      <x:c r="X26" s="29" t="str">
        <x:v>INHERITED</x:v>
      </x:c>
    </x:row>
    <x:row r="27" ht="35" customHeight="1">
      <x:c r="C27" s="11" t="str">
        <x:v>I-CUG</x:v>
      </x:c>
      <x:c r="D27" s="11" t="str">
        <x:v>Infrastructure Restoration</x:v>
      </x:c>
      <x:c r="E27" s="14" t="str">
        <x:v>Communications utility group</x:v>
      </x:c>
      <x:c r="F27" s="22" t="str">
        <x:v>Pass 23 retained</x:v>
      </x:c>
      <x:c r="G27" s="23" t="n">
        <x:v>250</x:v>
      </x:c>
      <x:c r="H27" s="23" t="n">
        <x:v>0</x:v>
      </x:c>
      <x:c r="I27" s="24" t="n">
        <x:f>G27-H27</x:f>
        <x:v>250</x:v>
      </x:c>
      <x:c r="J27" s="23" t="n">
        <x:v>3</x:v>
      </x:c>
      <x:c r="K27" s="25" t="n">
        <x:v>0.78</x:v>
      </x:c>
      <x:c r="L27" s="25" t="n">
        <x:v>0.74</x:v>
      </x:c>
      <x:c r="M27" s="25" t="n">
        <x:v>0.7</x:v>
      </x:c>
      <x:c r="N27" s="25" t="n">
        <x:v>0.72</x:v>
      </x:c>
      <x:c r="O27" s="25" t="n">
        <x:v>0.75</x:v>
      </x:c>
      <x:c r="P27" s="25" t="n">
        <x:v>0.4</x:v>
      </x:c>
      <x:c r="Q27" s="23" t="n">
        <x:v>12000</x:v>
      </x:c>
      <x:c r="R27" s="23" t="n">
        <x:v>110</x:v>
      </x:c>
      <x:c r="S27" s="26" t="n">
        <x:v>1</x:v>
      </x:c>
      <x:c r="T27" s="26" t="n">
        <x:v>0</x:v>
      </x:c>
      <x:c r="U27" s="27" t="n">
        <x:f>S27-T27</x:f>
        <x:v>1</x:v>
      </x:c>
      <x:c r="V27" s="28" t="n">
        <x:v>0.05</x:v>
      </x:c>
      <x:c r="W27" s="14" t="str">
        <x:v>Pass 23 quantitative line</x:v>
      </x:c>
      <x:c r="X27" s="29" t="str">
        <x:v>INHERITED</x:v>
      </x:c>
    </x:row>
    <x:row r="28" ht="35" customHeight="1">
      <x:c r="C28" s="11" t="str">
        <x:v>I-TSG</x:v>
      </x:c>
      <x:c r="D28" s="11" t="str">
        <x:v>Infrastructure Restoration</x:v>
      </x:c>
      <x:c r="E28" s="14" t="str">
        <x:v>Thermal safety group</x:v>
      </x:c>
      <x:c r="F28" s="22" t="str">
        <x:v>Pass 23 retained</x:v>
      </x:c>
      <x:c r="G28" s="23" t="n">
        <x:v>250</x:v>
      </x:c>
      <x:c r="H28" s="23" t="n">
        <x:v>0</x:v>
      </x:c>
      <x:c r="I28" s="24" t="n">
        <x:f>G28-H28</x:f>
        <x:v>250</x:v>
      </x:c>
      <x:c r="J28" s="23" t="n">
        <x:v>3</x:v>
      </x:c>
      <x:c r="K28" s="25" t="n">
        <x:v>0.78</x:v>
      </x:c>
      <x:c r="L28" s="25" t="n">
        <x:v>0.74</x:v>
      </x:c>
      <x:c r="M28" s="25" t="n">
        <x:v>0.7</x:v>
      </x:c>
      <x:c r="N28" s="25" t="n">
        <x:v>0.72</x:v>
      </x:c>
      <x:c r="O28" s="25" t="n">
        <x:v>0.75</x:v>
      </x:c>
      <x:c r="P28" s="25" t="n">
        <x:v>0.4</x:v>
      </x:c>
      <x:c r="Q28" s="23" t="n">
        <x:v>12000</x:v>
      </x:c>
      <x:c r="R28" s="23" t="n">
        <x:v>110</x:v>
      </x:c>
      <x:c r="S28" s="26" t="n">
        <x:v>0.8</x:v>
      </x:c>
      <x:c r="T28" s="26" t="n">
        <x:v>0</x:v>
      </x:c>
      <x:c r="U28" s="27" t="n">
        <x:f>S28-T28</x:f>
        <x:v>0.8</x:v>
      </x:c>
      <x:c r="V28" s="28" t="n">
        <x:v>0.05</x:v>
      </x:c>
      <x:c r="W28" s="14" t="str">
        <x:v>Pass 23 quantitative line</x:v>
      </x:c>
      <x:c r="X28" s="29" t="str">
        <x:v>INHERITED</x:v>
      </x:c>
    </x:row>
    <x:row r="29" ht="35" customHeight="1">
      <x:c r="C29" s="11" t="str">
        <x:v>I-URG</x:v>
      </x:c>
      <x:c r="D29" s="11" t="str">
        <x:v>Infrastructure Restoration</x:v>
      </x:c>
      <x:c r="E29" s="14" t="str">
        <x:v>Utility reconstruction group</x:v>
      </x:c>
      <x:c r="F29" s="22" t="str">
        <x:v>Pass 23 retained</x:v>
      </x:c>
      <x:c r="G29" s="23" t="n">
        <x:v>450</x:v>
      </x:c>
      <x:c r="H29" s="23" t="n">
        <x:v>0</x:v>
      </x:c>
      <x:c r="I29" s="24" t="n">
        <x:f>G29-H29</x:f>
        <x:v>450</x:v>
      </x:c>
      <x:c r="J29" s="23" t="n">
        <x:v>3</x:v>
      </x:c>
      <x:c r="K29" s="25" t="n">
        <x:v>0.78</x:v>
      </x:c>
      <x:c r="L29" s="25" t="n">
        <x:v>0.74</x:v>
      </x:c>
      <x:c r="M29" s="25" t="n">
        <x:v>0.7</x:v>
      </x:c>
      <x:c r="N29" s="25" t="n">
        <x:v>0.72</x:v>
      </x:c>
      <x:c r="O29" s="25" t="n">
        <x:v>0.75</x:v>
      </x:c>
      <x:c r="P29" s="25" t="n">
        <x:v>0.4</x:v>
      </x:c>
      <x:c r="Q29" s="23" t="n">
        <x:v>12000</x:v>
      </x:c>
      <x:c r="R29" s="23" t="n">
        <x:v>110</x:v>
      </x:c>
      <x:c r="S29" s="26" t="n">
        <x:v>2</x:v>
      </x:c>
      <x:c r="T29" s="26" t="n">
        <x:v>0</x:v>
      </x:c>
      <x:c r="U29" s="27" t="n">
        <x:f>S29-T29</x:f>
        <x:v>2</x:v>
      </x:c>
      <x:c r="V29" s="28" t="n">
        <x:v>0.05</x:v>
      </x:c>
      <x:c r="W29" s="14" t="str">
        <x:v>Pass 23 quantitative line</x:v>
      </x:c>
      <x:c r="X29" s="29" t="str">
        <x:v>INHERITED</x:v>
      </x:c>
    </x:row>
    <x:row r="30" ht="35" customHeight="1">
      <x:c r="C30" s="11" t="str">
        <x:v>H-CHC</x:v>
      </x:c>
      <x:c r="D30" s="11" t="str">
        <x:v>Health Protection</x:v>
      </x:c>
      <x:c r="E30" s="14" t="str">
        <x:v>Community health continuity group</x:v>
      </x:c>
      <x:c r="F30" s="22" t="str">
        <x:v>Pass 23 retained</x:v>
      </x:c>
      <x:c r="G30" s="23" t="n">
        <x:v>500</x:v>
      </x:c>
      <x:c r="H30" s="23" t="n">
        <x:v>0</x:v>
      </x:c>
      <x:c r="I30" s="24" t="n">
        <x:f>G30-H30</x:f>
        <x:v>500</x:v>
      </x:c>
      <x:c r="J30" s="23" t="n">
        <x:v>3.4</x:v>
      </x:c>
      <x:c r="K30" s="25" t="n">
        <x:v>0.75</x:v>
      </x:c>
      <x:c r="L30" s="25" t="n">
        <x:v>0.7</x:v>
      </x:c>
      <x:c r="M30" s="25" t="n">
        <x:v>0.68</x:v>
      </x:c>
      <x:c r="N30" s="25" t="n">
        <x:v>0.65</x:v>
      </x:c>
      <x:c r="O30" s="25" t="n">
        <x:v>0.72</x:v>
      </x:c>
      <x:c r="P30" s="25" t="n">
        <x:v>0.7</x:v>
      </x:c>
      <x:c r="Q30" s="23" t="n">
        <x:v>5000</x:v>
      </x:c>
      <x:c r="R30" s="23" t="n">
        <x:v>55</x:v>
      </x:c>
      <x:c r="S30" s="26" t="n">
        <x:v>1.2</x:v>
      </x:c>
      <x:c r="T30" s="26" t="n">
        <x:v>0</x:v>
      </x:c>
      <x:c r="U30" s="27" t="n">
        <x:f>S30-T30</x:f>
        <x:v>1.2</x:v>
      </x:c>
      <x:c r="V30" s="28" t="n">
        <x:v>0.055</x:v>
      </x:c>
      <x:c r="W30" s="14" t="str">
        <x:v>Pass 23 quantitative line</x:v>
      </x:c>
      <x:c r="X30" s="29" t="str">
        <x:v>INHERITED</x:v>
      </x:c>
    </x:row>
    <x:row r="31" ht="35" customHeight="1">
      <x:c r="C31" s="11" t="str">
        <x:v>H-MAC</x:v>
      </x:c>
      <x:c r="D31" s="11" t="str">
        <x:v>Health Protection</x:v>
      </x:c>
      <x:c r="E31" s="14" t="str">
        <x:v>Mobile acute-care group</x:v>
      </x:c>
      <x:c r="F31" s="22" t="str">
        <x:v>Pass 23 retained</x:v>
      </x:c>
      <x:c r="G31" s="23" t="n">
        <x:v>600</x:v>
      </x:c>
      <x:c r="H31" s="23" t="n">
        <x:v>0</x:v>
      </x:c>
      <x:c r="I31" s="24" t="n">
        <x:f>G31-H31</x:f>
        <x:v>600</x:v>
      </x:c>
      <x:c r="J31" s="23" t="n">
        <x:v>3.4</x:v>
      </x:c>
      <x:c r="K31" s="25" t="n">
        <x:v>0.75</x:v>
      </x:c>
      <x:c r="L31" s="25" t="n">
        <x:v>0.7</x:v>
      </x:c>
      <x:c r="M31" s="25" t="n">
        <x:v>0.68</x:v>
      </x:c>
      <x:c r="N31" s="25" t="n">
        <x:v>0.65</x:v>
      </x:c>
      <x:c r="O31" s="25" t="n">
        <x:v>0.72</x:v>
      </x:c>
      <x:c r="P31" s="25" t="n">
        <x:v>0.7</x:v>
      </x:c>
      <x:c r="Q31" s="23" t="n">
        <x:v>5000</x:v>
      </x:c>
      <x:c r="R31" s="23" t="n">
        <x:v>55</x:v>
      </x:c>
      <x:c r="S31" s="26" t="n">
        <x:v>2.5</x:v>
      </x:c>
      <x:c r="T31" s="26" t="n">
        <x:v>0</x:v>
      </x:c>
      <x:c r="U31" s="27" t="n">
        <x:f>S31-T31</x:f>
        <x:v>2.5</x:v>
      </x:c>
      <x:c r="V31" s="28" t="n">
        <x:v>0.055</x:v>
      </x:c>
      <x:c r="W31" s="14" t="str">
        <x:v>Pass 23 quantitative line</x:v>
      </x:c>
      <x:c r="X31" s="29" t="str">
        <x:v>INHERITED</x:v>
      </x:c>
    </x:row>
    <x:row r="32" ht="35" customHeight="1">
      <x:c r="C32" s="11" t="str">
        <x:v>H-PHC</x:v>
      </x:c>
      <x:c r="D32" s="11" t="str">
        <x:v>Health Protection</x:v>
      </x:c>
      <x:c r="E32" s="14" t="str">
        <x:v>Public-health control group</x:v>
      </x:c>
      <x:c r="F32" s="22" t="str">
        <x:v>Pass 23 retained</x:v>
      </x:c>
      <x:c r="G32" s="23" t="n">
        <x:v>250</x:v>
      </x:c>
      <x:c r="H32" s="23" t="n">
        <x:v>0</x:v>
      </x:c>
      <x:c r="I32" s="24" t="n">
        <x:f>G32-H32</x:f>
        <x:v>250</x:v>
      </x:c>
      <x:c r="J32" s="23" t="n">
        <x:v>3.4</x:v>
      </x:c>
      <x:c r="K32" s="25" t="n">
        <x:v>0.75</x:v>
      </x:c>
      <x:c r="L32" s="25" t="n">
        <x:v>0.7</x:v>
      </x:c>
      <x:c r="M32" s="25" t="n">
        <x:v>0.68</x:v>
      </x:c>
      <x:c r="N32" s="25" t="n">
        <x:v>0.65</x:v>
      </x:c>
      <x:c r="O32" s="25" t="n">
        <x:v>0.72</x:v>
      </x:c>
      <x:c r="P32" s="25" t="n">
        <x:v>0.7</x:v>
      </x:c>
      <x:c r="Q32" s="23" t="n">
        <x:v>5000</x:v>
      </x:c>
      <x:c r="R32" s="23" t="n">
        <x:v>55</x:v>
      </x:c>
      <x:c r="S32" s="26" t="n">
        <x:v>1</x:v>
      </x:c>
      <x:c r="T32" s="26" t="n">
        <x:v>0</x:v>
      </x:c>
      <x:c r="U32" s="27" t="n">
        <x:f>S32-T32</x:f>
        <x:v>1</x:v>
      </x:c>
      <x:c r="V32" s="28" t="n">
        <x:v>0.055</x:v>
      </x:c>
      <x:c r="W32" s="14" t="str">
        <x:v>Pass 23 quantitative line</x:v>
      </x:c>
      <x:c r="X32" s="29" t="str">
        <x:v>INHERITED</x:v>
      </x:c>
    </x:row>
    <x:row r="33" ht="35" customHeight="1">
      <x:c r="C33" s="11" t="str">
        <x:v>H-HWR</x:v>
      </x:c>
      <x:c r="D33" s="11" t="str">
        <x:v>Health Protection</x:v>
      </x:c>
      <x:c r="E33" s="14" t="str">
        <x:v>Health workforce replacement group</x:v>
      </x:c>
      <x:c r="F33" s="22" t="str">
        <x:v>Pass 23 retained</x:v>
      </x:c>
      <x:c r="G33" s="23" t="n">
        <x:v>550</x:v>
      </x:c>
      <x:c r="H33" s="23" t="n">
        <x:v>0</x:v>
      </x:c>
      <x:c r="I33" s="24" t="n">
        <x:f>G33-H33</x:f>
        <x:v>550</x:v>
      </x:c>
      <x:c r="J33" s="23" t="n">
        <x:v>3.4</x:v>
      </x:c>
      <x:c r="K33" s="25" t="n">
        <x:v>0.75</x:v>
      </x:c>
      <x:c r="L33" s="25" t="n">
        <x:v>0.7</x:v>
      </x:c>
      <x:c r="M33" s="25" t="n">
        <x:v>0.68</x:v>
      </x:c>
      <x:c r="N33" s="25" t="n">
        <x:v>0.65</x:v>
      </x:c>
      <x:c r="O33" s="25" t="n">
        <x:v>0.72</x:v>
      </x:c>
      <x:c r="P33" s="25" t="n">
        <x:v>0.7</x:v>
      </x:c>
      <x:c r="Q33" s="23" t="n">
        <x:v>5000</x:v>
      </x:c>
      <x:c r="R33" s="23" t="n">
        <x:v>55</x:v>
      </x:c>
      <x:c r="S33" s="26" t="n">
        <x:v>0.8</x:v>
      </x:c>
      <x:c r="T33" s="26" t="n">
        <x:v>0</x:v>
      </x:c>
      <x:c r="U33" s="27" t="n">
        <x:f>S33-T33</x:f>
        <x:v>0.8</x:v>
      </x:c>
      <x:c r="V33" s="28" t="n">
        <x:v>0.055</x:v>
      </x:c>
      <x:c r="W33" s="14" t="str">
        <x:v>Pass 23 quantitative line</x:v>
      </x:c>
      <x:c r="X33" s="29" t="str">
        <x:v>INHERITED</x:v>
      </x:c>
    </x:row>
    <x:row r="34" ht="35" customHeight="1">
      <x:c r="C34" s="11" t="str">
        <x:v>C-PSG</x:v>
      </x:c>
      <x:c r="D34" s="11" t="str">
        <x:v>Community Stabilization</x:v>
      </x:c>
      <x:c r="E34" s="14" t="str">
        <x:v>Population support group</x:v>
      </x:c>
      <x:c r="F34" s="22" t="str">
        <x:v>Pass 23 retained</x:v>
      </x:c>
      <x:c r="G34" s="23" t="n">
        <x:v>450</x:v>
      </x:c>
      <x:c r="H34" s="23" t="n">
        <x:v>0</x:v>
      </x:c>
      <x:c r="I34" s="24" t="n">
        <x:f>G34-H34</x:f>
        <x:v>450</x:v>
      </x:c>
      <x:c r="J34" s="23" t="n">
        <x:v>2.5</x:v>
      </x:c>
      <x:c r="K34" s="25" t="n">
        <x:v>0.82</x:v>
      </x:c>
      <x:c r="L34" s="25" t="n">
        <x:v>0.78</x:v>
      </x:c>
      <x:c r="M34" s="25" t="n">
        <x:v>0.75</x:v>
      </x:c>
      <x:c r="N34" s="25" t="n">
        <x:v>0.8</x:v>
      </x:c>
      <x:c r="O34" s="25" t="n">
        <x:v>0.82</x:v>
      </x:c>
      <x:c r="P34" s="25" t="n">
        <x:v>0.65</x:v>
      </x:c>
      <x:c r="Q34" s="23" t="n">
        <x:v>4500</x:v>
      </x:c>
      <x:c r="R34" s="23" t="n">
        <x:v>75</x:v>
      </x:c>
      <x:c r="S34" s="26" t="n">
        <x:v>0.6</x:v>
      </x:c>
      <x:c r="T34" s="26" t="n">
        <x:v>0</x:v>
      </x:c>
      <x:c r="U34" s="27" t="n">
        <x:f>S34-T34</x:f>
        <x:v>0.6</x:v>
      </x:c>
      <x:c r="V34" s="28" t="n">
        <x:v>0.05</x:v>
      </x:c>
      <x:c r="W34" s="14" t="str">
        <x:v>Pass 23 quantitative line</x:v>
      </x:c>
      <x:c r="X34" s="29" t="str">
        <x:v>INHERITED</x:v>
      </x:c>
    </x:row>
    <x:row r="35" ht="35" customHeight="1">
      <x:c r="C35" s="11" t="str">
        <x:v>C-EGG</x:v>
      </x:c>
      <x:c r="D35" s="11" t="str">
        <x:v>Community Stabilization</x:v>
      </x:c>
      <x:c r="E35" s="14" t="str">
        <x:v>Essential-goods group</x:v>
      </x:c>
      <x:c r="F35" s="22" t="str">
        <x:v>Pass 23 retained</x:v>
      </x:c>
      <x:c r="G35" s="23" t="n">
        <x:v>350</x:v>
      </x:c>
      <x:c r="H35" s="23" t="n">
        <x:v>0</x:v>
      </x:c>
      <x:c r="I35" s="24" t="n">
        <x:f>G35-H35</x:f>
        <x:v>350</x:v>
      </x:c>
      <x:c r="J35" s="23" t="n">
        <x:v>2.5</x:v>
      </x:c>
      <x:c r="K35" s="25" t="n">
        <x:v>0.82</x:v>
      </x:c>
      <x:c r="L35" s="25" t="n">
        <x:v>0.78</x:v>
      </x:c>
      <x:c r="M35" s="25" t="n">
        <x:v>0.75</x:v>
      </x:c>
      <x:c r="N35" s="25" t="n">
        <x:v>0.8</x:v>
      </x:c>
      <x:c r="O35" s="25" t="n">
        <x:v>0.82</x:v>
      </x:c>
      <x:c r="P35" s="25" t="n">
        <x:v>0.65</x:v>
      </x:c>
      <x:c r="Q35" s="23" t="n">
        <x:v>4500</x:v>
      </x:c>
      <x:c r="R35" s="23" t="n">
        <x:v>75</x:v>
      </x:c>
      <x:c r="S35" s="26" t="n">
        <x:v>0.5</x:v>
      </x:c>
      <x:c r="T35" s="26" t="n">
        <x:v>0</x:v>
      </x:c>
      <x:c r="U35" s="27" t="n">
        <x:f>S35-T35</x:f>
        <x:v>0.5</x:v>
      </x:c>
      <x:c r="V35" s="28" t="n">
        <x:v>0.05</x:v>
      </x:c>
      <x:c r="W35" s="14" t="str">
        <x:v>Pass 23 quantitative line</x:v>
      </x:c>
      <x:c r="X35" s="29" t="str">
        <x:v>INHERITED</x:v>
      </x:c>
    </x:row>
    <x:row r="36" ht="35" customHeight="1">
      <x:c r="C36" s="11" t="str">
        <x:v>C-CAG</x:v>
      </x:c>
      <x:c r="D36" s="11" t="str">
        <x:v>Community Stabilization</x:v>
      </x:c>
      <x:c r="E36" s="14" t="str">
        <x:v>Civil access group</x:v>
      </x:c>
      <x:c r="F36" s="22" t="str">
        <x:v>Pass 23 retained</x:v>
      </x:c>
      <x:c r="G36" s="23" t="n">
        <x:v>180</x:v>
      </x:c>
      <x:c r="H36" s="23" t="n">
        <x:v>0</x:v>
      </x:c>
      <x:c r="I36" s="24" t="n">
        <x:f>G36-H36</x:f>
        <x:v>180</x:v>
      </x:c>
      <x:c r="J36" s="23" t="n">
        <x:v>2.5</x:v>
      </x:c>
      <x:c r="K36" s="25" t="n">
        <x:v>0.82</x:v>
      </x:c>
      <x:c r="L36" s="25" t="n">
        <x:v>0.78</x:v>
      </x:c>
      <x:c r="M36" s="25" t="n">
        <x:v>0.75</x:v>
      </x:c>
      <x:c r="N36" s="25" t="n">
        <x:v>0.8</x:v>
      </x:c>
      <x:c r="O36" s="25" t="n">
        <x:v>0.82</x:v>
      </x:c>
      <x:c r="P36" s="25" t="n">
        <x:v>0.65</x:v>
      </x:c>
      <x:c r="Q36" s="23" t="n">
        <x:v>4500</x:v>
      </x:c>
      <x:c r="R36" s="23" t="n">
        <x:v>75</x:v>
      </x:c>
      <x:c r="S36" s="26" t="n">
        <x:v>0.3</x:v>
      </x:c>
      <x:c r="T36" s="26" t="n">
        <x:v>0</x:v>
      </x:c>
      <x:c r="U36" s="27" t="n">
        <x:f>S36-T36</x:f>
        <x:v>0.3</x:v>
      </x:c>
      <x:c r="V36" s="28" t="n">
        <x:v>0.05</x:v>
      </x:c>
      <x:c r="W36" s="14" t="str">
        <x:v>Pass 23 quantitative line</x:v>
      </x:c>
      <x:c r="X36" s="29" t="str">
        <x:v>INHERITED</x:v>
      </x:c>
    </x:row>
    <x:row r="37" ht="35" customHeight="1">
      <x:c r="C37" s="11" t="str">
        <x:v>C-DTG</x:v>
      </x:c>
      <x:c r="D37" s="11" t="str">
        <x:v>Community Stabilization</x:v>
      </x:c>
      <x:c r="E37" s="14" t="str">
        <x:v>Displacement transition group</x:v>
      </x:c>
      <x:c r="F37" s="22" t="str">
        <x:v>Pass 23 retained</x:v>
      </x:c>
      <x:c r="G37" s="23" t="n">
        <x:v>300</x:v>
      </x:c>
      <x:c r="H37" s="23" t="n">
        <x:v>0</x:v>
      </x:c>
      <x:c r="I37" s="24" t="n">
        <x:f>G37-H37</x:f>
        <x:v>300</x:v>
      </x:c>
      <x:c r="J37" s="23" t="n">
        <x:v>2.5</x:v>
      </x:c>
      <x:c r="K37" s="25" t="n">
        <x:v>0.82</x:v>
      </x:c>
      <x:c r="L37" s="25" t="n">
        <x:v>0.78</x:v>
      </x:c>
      <x:c r="M37" s="25" t="n">
        <x:v>0.75</x:v>
      </x:c>
      <x:c r="N37" s="25" t="n">
        <x:v>0.8</x:v>
      </x:c>
      <x:c r="O37" s="25" t="n">
        <x:v>0.82</x:v>
      </x:c>
      <x:c r="P37" s="25" t="n">
        <x:v>0.65</x:v>
      </x:c>
      <x:c r="Q37" s="23" t="n">
        <x:v>4500</x:v>
      </x:c>
      <x:c r="R37" s="23" t="n">
        <x:v>75</x:v>
      </x:c>
      <x:c r="S37" s="26" t="n">
        <x:v>0.4</x:v>
      </x:c>
      <x:c r="T37" s="26" t="n">
        <x:v>0</x:v>
      </x:c>
      <x:c r="U37" s="27" t="n">
        <x:f>S37-T37</x:f>
        <x:v>0.4</x:v>
      </x:c>
      <x:c r="V37" s="28" t="n">
        <x:v>0.05</x:v>
      </x:c>
      <x:c r="W37" s="14" t="str">
        <x:v>Pass 23 quantitative line</x:v>
      </x:c>
      <x:c r="X37" s="29" t="str">
        <x:v>INHERITED</x:v>
      </x:c>
    </x:row>
    <x:row r="38" ht="35" customHeight="1">
      <x:c r="C38" s="11" t="str">
        <x:v>C-CIG</x:v>
      </x:c>
      <x:c r="D38" s="11" t="str">
        <x:v>Community Stabilization</x:v>
      </x:c>
      <x:c r="E38" s="14" t="str">
        <x:v>Community institutions group</x:v>
      </x:c>
      <x:c r="F38" s="22" t="str">
        <x:v>Pass 23 retained</x:v>
      </x:c>
      <x:c r="G38" s="23" t="n">
        <x:v>250</x:v>
      </x:c>
      <x:c r="H38" s="23" t="n">
        <x:v>0</x:v>
      </x:c>
      <x:c r="I38" s="24" t="n">
        <x:f>G38-H38</x:f>
        <x:v>250</x:v>
      </x:c>
      <x:c r="J38" s="23" t="n">
        <x:v>2.5</x:v>
      </x:c>
      <x:c r="K38" s="25" t="n">
        <x:v>0.82</x:v>
      </x:c>
      <x:c r="L38" s="25" t="n">
        <x:v>0.78</x:v>
      </x:c>
      <x:c r="M38" s="25" t="n">
        <x:v>0.75</x:v>
      </x:c>
      <x:c r="N38" s="25" t="n">
        <x:v>0.8</x:v>
      </x:c>
      <x:c r="O38" s="25" t="n">
        <x:v>0.82</x:v>
      </x:c>
      <x:c r="P38" s="25" t="n">
        <x:v>0.65</x:v>
      </x:c>
      <x:c r="Q38" s="23" t="n">
        <x:v>4500</x:v>
      </x:c>
      <x:c r="R38" s="23" t="n">
        <x:v>75</x:v>
      </x:c>
      <x:c r="S38" s="26" t="n">
        <x:v>0.4</x:v>
      </x:c>
      <x:c r="T38" s="26" t="n">
        <x:v>0</x:v>
      </x:c>
      <x:c r="U38" s="27" t="n">
        <x:f>S38-T38</x:f>
        <x:v>0.4</x:v>
      </x:c>
      <x:c r="V38" s="28" t="n">
        <x:v>0.05</x:v>
      </x:c>
      <x:c r="W38" s="14" t="str">
        <x:v>Pass 23 quantitative line</x:v>
      </x:c>
      <x:c r="X38" s="29" t="str">
        <x:v>INHERITED</x:v>
      </x:c>
    </x:row>
    <x:row r="39" ht="35" customHeight="1">
      <x:c r="C39" s="11" t="str">
        <x:v>J-RIG</x:v>
      </x:c>
      <x:c r="D39" s="11" t="str">
        <x:v>Joint</x:v>
      </x:c>
      <x:c r="E39" s="14" t="str">
        <x:v>Resilience information group</x:v>
      </x:c>
      <x:c r="F39" s="22" t="str">
        <x:v>Pass 58 canonical addition</x:v>
      </x:c>
      <x:c r="G39" s="23" t="n">
        <x:v>420</x:v>
      </x:c>
      <x:c r="H39" s="23" t="n">
        <x:v>60</x:v>
      </x:c>
      <x:c r="I39" s="24" t="n">
        <x:f>G39-H39</x:f>
        <x:v>360</x:v>
      </x:c>
      <x:c r="J39" s="23" t="n">
        <x:v>2.5</x:v>
      </x:c>
      <x:c r="K39" s="25" t="n">
        <x:v>0.82</x:v>
      </x:c>
      <x:c r="L39" s="25" t="n">
        <x:v>0.8</x:v>
      </x:c>
      <x:c r="M39" s="25" t="n">
        <x:v>0.78</x:v>
      </x:c>
      <x:c r="N39" s="25" t="n">
        <x:v>0.8</x:v>
      </x:c>
      <x:c r="O39" s="25" t="n">
        <x:v>0.82</x:v>
      </x:c>
      <x:c r="P39" s="25" t="n">
        <x:v>0.65</x:v>
      </x:c>
      <x:c r="Q39" s="23" t="n">
        <x:v>2800</x:v>
      </x:c>
      <x:c r="R39" s="23" t="n">
        <x:v>35</x:v>
      </x:c>
      <x:c r="S39" s="26" t="n">
        <x:v>1.2</x:v>
      </x:c>
      <x:c r="T39" s="26" t="n">
        <x:v>0.3</x:v>
      </x:c>
      <x:c r="U39" s="27" t="n">
        <x:f>S39-T39</x:f>
        <x:v>0.8999999999999999</x:v>
      </x:c>
      <x:c r="V39" s="28" t="n">
        <x:v>0.05</x:v>
      </x:c>
      <x:c r="W39" s="14" t="str">
        <x:v>Pass 57 registry; bounded design hypothesis</x:v>
      </x:c>
      <x:c r="X39" s="29" t="str">
        <x:v>DECLARED</x:v>
      </x:c>
    </x:row>
    <x:row r="40" ht="35" customHeight="1">
      <x:c r="C40" s="11" t="str">
        <x:v>M-MPG</x:v>
      </x:c>
      <x:c r="D40" s="11" t="str">
        <x:v>Maritime Response</x:v>
      </x:c>
      <x:c r="E40" s="14" t="str">
        <x:v>Maritime production group</x:v>
      </x:c>
      <x:c r="F40" s="22" t="str">
        <x:v>Pass 58 canonical addition</x:v>
      </x:c>
      <x:c r="G40" s="23" t="n">
        <x:v>1100</x:v>
      </x:c>
      <x:c r="H40" s="23" t="n">
        <x:v>200</x:v>
      </x:c>
      <x:c r="I40" s="24" t="n">
        <x:f>G40-H40</x:f>
        <x:v>900</x:v>
      </x:c>
      <x:c r="J40" s="23" t="n">
        <x:v>3</x:v>
      </x:c>
      <x:c r="K40" s="25" t="n">
        <x:v>0.7</x:v>
      </x:c>
      <x:c r="L40" s="25" t="n">
        <x:v>0.72</x:v>
      </x:c>
      <x:c r="M40" s="25" t="n">
        <x:v>0.65</x:v>
      </x:c>
      <x:c r="N40" s="25" t="n">
        <x:v>0.68</x:v>
      </x:c>
      <x:c r="O40" s="25" t="n">
        <x:v>0.7</x:v>
      </x:c>
      <x:c r="P40" s="25" t="n">
        <x:v>0.35</x:v>
      </x:c>
      <x:c r="Q40" s="23" t="n">
        <x:v>28000</x:v>
      </x:c>
      <x:c r="R40" s="23" t="n">
        <x:v>50</x:v>
      </x:c>
      <x:c r="S40" s="26" t="n">
        <x:v>7</x:v>
      </x:c>
      <x:c r="T40" s="26" t="n">
        <x:v>5.5</x:v>
      </x:c>
      <x:c r="U40" s="27" t="n">
        <x:f>S40-T40</x:f>
        <x:v>1.5</x:v>
      </x:c>
      <x:c r="V40" s="28" t="n">
        <x:v>0.065</x:v>
      </x:c>
      <x:c r="W40" s="14" t="str">
        <x:v>N-WES/Pass 57 proxy; embedded plant credit</x:v>
      </x:c>
      <x:c r="X40" s="29" t="str">
        <x:v>DECLARED</x:v>
      </x:c>
    </x:row>
    <x:row r="41" ht="35" customHeight="1">
      <x:c r="C41" s="11" t="str">
        <x:v>I-WRG</x:v>
      </x:c>
      <x:c r="D41" s="11" t="str">
        <x:v>Infrastructure Restoration</x:v>
      </x:c>
      <x:c r="E41" s="14" t="str">
        <x:v>Water restoration group</x:v>
      </x:c>
      <x:c r="F41" s="22" t="str">
        <x:v>Pass 58 canonical addition</x:v>
      </x:c>
      <x:c r="G41" s="23" t="n">
        <x:v>2720</x:v>
      </x:c>
      <x:c r="H41" s="23" t="n">
        <x:v>600</x:v>
      </x:c>
      <x:c r="I41" s="24" t="n">
        <x:f>G41-H41</x:f>
        <x:v>2120</x:v>
      </x:c>
      <x:c r="J41" s="23" t="n">
        <x:v>3</x:v>
      </x:c>
      <x:c r="K41" s="25" t="n">
        <x:v>0.78</x:v>
      </x:c>
      <x:c r="L41" s="25" t="n">
        <x:v>0.74</x:v>
      </x:c>
      <x:c r="M41" s="25" t="n">
        <x:v>0.7</x:v>
      </x:c>
      <x:c r="N41" s="25" t="n">
        <x:v>0.72</x:v>
      </x:c>
      <x:c r="O41" s="25" t="n">
        <x:v>0.75</x:v>
      </x:c>
      <x:c r="P41" s="25" t="n">
        <x:v>0.4</x:v>
      </x:c>
      <x:c r="Q41" s="23" t="n">
        <x:v>23516</x:v>
      </x:c>
      <x:c r="R41" s="23" t="n">
        <x:v>65</x:v>
      </x:c>
      <x:c r="S41" s="26" t="n">
        <x:v>4</x:v>
      </x:c>
      <x:c r="T41" s="26" t="n">
        <x:v>2.5</x:v>
      </x:c>
      <x:c r="U41" s="27" t="n">
        <x:f>S41-T41</x:f>
        <x:v>1.5</x:v>
      </x:c>
      <x:c r="V41" s="28" t="n">
        <x:v>0.055</x:v>
      </x:c>
      <x:c r="W41" s="14" t="str">
        <x:v>WRG-50 configuration; NUPS embedded credit</x:v>
      </x:c>
      <x:c r="X41" s="29" t="str">
        <x:v>DECLARED</x:v>
      </x:c>
    </x:row>
    <x:row r="42" ht="35" customHeight="1">
      <x:c r="C42" s="11" t="str">
        <x:v>I-PRG</x:v>
      </x:c>
      <x:c r="D42" s="11" t="str">
        <x:v>Infrastructure Restoration</x:v>
      </x:c>
      <x:c r="E42" s="14" t="str">
        <x:v>Power restoration group</x:v>
      </x:c>
      <x:c r="F42" s="22" t="str">
        <x:v>Pass 58 canonical addition</x:v>
      </x:c>
      <x:c r="G42" s="23" t="n">
        <x:v>2796</x:v>
      </x:c>
      <x:c r="H42" s="23" t="n">
        <x:v>596</x:v>
      </x:c>
      <x:c r="I42" s="24" t="n">
        <x:f>G42-H42</x:f>
        <x:v>2200</x:v>
      </x:c>
      <x:c r="J42" s="23" t="n">
        <x:v>3</x:v>
      </x:c>
      <x:c r="K42" s="25" t="n">
        <x:v>0.78</x:v>
      </x:c>
      <x:c r="L42" s="25" t="n">
        <x:v>0.74</x:v>
      </x:c>
      <x:c r="M42" s="25" t="n">
        <x:v>0.7</x:v>
      </x:c>
      <x:c r="N42" s="25" t="n">
        <x:v>0.72</x:v>
      </x:c>
      <x:c r="O42" s="25" t="n">
        <x:v>0.75</x:v>
      </x:c>
      <x:c r="P42" s="25" t="n">
        <x:v>0.4</x:v>
      </x:c>
      <x:c r="Q42" s="23" t="n">
        <x:v>18332</x:v>
      </x:c>
      <x:c r="R42" s="23" t="n">
        <x:v>80</x:v>
      </x:c>
      <x:c r="S42" s="26" t="n">
        <x:v>5</x:v>
      </x:c>
      <x:c r="T42" s="26" t="n">
        <x:v>3</x:v>
      </x:c>
      <x:c r="U42" s="27" t="n">
        <x:f>S42-T42</x:f>
        <x:v>2</x:v>
      </x:c>
      <x:c r="V42" s="28" t="n">
        <x:v>0.06</x:v>
      </x:c>
      <x:c r="W42" s="14" t="str">
        <x:v>PRG-100 configuration; NUPS embedded credit</x:v>
      </x:c>
      <x:c r="X42" s="29" t="str">
        <x:v>DECLARED</x:v>
      </x:c>
    </x:row>
    <x:row r="43" ht="35" customHeight="1">
      <x:c r="C43" s="11" t="str">
        <x:v>I-GBG</x:v>
      </x:c>
      <x:c r="D43" s="11" t="str">
        <x:v>Infrastructure Restoration</x:v>
      </x:c>
      <x:c r="E43" s="14" t="str">
        <x:v>Grid bridge group</x:v>
      </x:c>
      <x:c r="F43" s="22" t="str">
        <x:v>Pass 58 canonical addition</x:v>
      </x:c>
      <x:c r="G43" s="23" t="n">
        <x:v>1800</x:v>
      </x:c>
      <x:c r="H43" s="23" t="n">
        <x:v>400</x:v>
      </x:c>
      <x:c r="I43" s="24" t="n">
        <x:f>G43-H43</x:f>
        <x:v>1400</x:v>
      </x:c>
      <x:c r="J43" s="23" t="n">
        <x:v>3</x:v>
      </x:c>
      <x:c r="K43" s="25" t="n">
        <x:v>0.78</x:v>
      </x:c>
      <x:c r="L43" s="25" t="n">
        <x:v>0.74</x:v>
      </x:c>
      <x:c r="M43" s="25" t="n">
        <x:v>0.7</x:v>
      </x:c>
      <x:c r="N43" s="25" t="n">
        <x:v>0.72</x:v>
      </x:c>
      <x:c r="O43" s="25" t="n">
        <x:v>0.75</x:v>
      </x:c>
      <x:c r="P43" s="25" t="n">
        <x:v>0.4</x:v>
      </x:c>
      <x:c r="Q43" s="23" t="n">
        <x:v>15000</x:v>
      </x:c>
      <x:c r="R43" s="23" t="n">
        <x:v>55</x:v>
      </x:c>
      <x:c r="S43" s="26" t="n">
        <x:v>3</x:v>
      </x:c>
      <x:c r="T43" s="26" t="n">
        <x:v>1.5</x:v>
      </x:c>
      <x:c r="U43" s="27" t="n">
        <x:f>S43-T43</x:f>
        <x:v>1.5</x:v>
      </x:c>
      <x:c r="V43" s="28" t="n">
        <x:v>0.055</x:v>
      </x:c>
      <x:c r="W43" s="14" t="str">
        <x:v>Pass 57 system proxy; NUPS embedded credit</x:v>
      </x:c>
      <x:c r="X43" s="29" t="str">
        <x:v>DECLARED</x:v>
      </x:c>
    </x:row>
    <x:row r="44" ht="35" customHeight="1">
      <x:c r="C44" s="11" t="str">
        <x:v>H-THC</x:v>
      </x:c>
      <x:c r="D44" s="11" t="str">
        <x:v>Health Protection</x:v>
      </x:c>
      <x:c r="E44" s="14" t="str">
        <x:v>Theater hospital command</x:v>
      </x:c>
      <x:c r="F44" s="22" t="str">
        <x:v>Pass 58 canonical addition</x:v>
      </x:c>
      <x:c r="G44" s="23" t="n">
        <x:v>900</x:v>
      </x:c>
      <x:c r="H44" s="23" t="n">
        <x:v>0</x:v>
      </x:c>
      <x:c r="I44" s="24" t="n">
        <x:f>G44-H44</x:f>
        <x:v>900</x:v>
      </x:c>
      <x:c r="J44" s="23" t="n">
        <x:v>3.4</x:v>
      </x:c>
      <x:c r="K44" s="25" t="n">
        <x:v>0.75</x:v>
      </x:c>
      <x:c r="L44" s="25" t="n">
        <x:v>0.7</x:v>
      </x:c>
      <x:c r="M44" s="25" t="n">
        <x:v>0.68</x:v>
      </x:c>
      <x:c r="N44" s="25" t="n">
        <x:v>0.65</x:v>
      </x:c>
      <x:c r="O44" s="25" t="n">
        <x:v>0.72</x:v>
      </x:c>
      <x:c r="P44" s="25" t="n">
        <x:v>0.7</x:v>
      </x:c>
      <x:c r="Q44" s="23" t="n">
        <x:v>3500</x:v>
      </x:c>
      <x:c r="R44" s="23" t="n">
        <x:v>30</x:v>
      </x:c>
      <x:c r="S44" s="26" t="n">
        <x:v>1.5</x:v>
      </x:c>
      <x:c r="T44" s="26" t="n">
        <x:v>0</x:v>
      </x:c>
      <x:c r="U44" s="27" t="n">
        <x:f>S44-T44</x:f>
        <x:v>1.5</x:v>
      </x:c>
      <x:c r="V44" s="28" t="n">
        <x:v>0.05</x:v>
      </x:c>
      <x:c r="W44" s="14" t="str">
        <x:v>Pass 57 bounded design hypothesis</x:v>
      </x:c>
      <x:c r="X44" s="29" t="str">
        <x:v>DECLARED</x:v>
      </x:c>
    </x:row>
    <x:row r="45" ht="35" customHeight="1">
      <x:c r="C45" s="11" t="str">
        <x:v>H-PMG</x:v>
      </x:c>
      <x:c r="D45" s="11" t="str">
        <x:v>Health Protection</x:v>
      </x:c>
      <x:c r="E45" s="14" t="str">
        <x:v>Patient movement group</x:v>
      </x:c>
      <x:c r="F45" s="22" t="str">
        <x:v>Pass 58 canonical addition</x:v>
      </x:c>
      <x:c r="G45" s="23" t="n">
        <x:v>650</x:v>
      </x:c>
      <x:c r="H45" s="23" t="n">
        <x:v>200</x:v>
      </x:c>
      <x:c r="I45" s="24" t="n">
        <x:f>G45-H45</x:f>
        <x:v>450</x:v>
      </x:c>
      <x:c r="J45" s="23" t="n">
        <x:v>3.4</x:v>
      </x:c>
      <x:c r="K45" s="25" t="n">
        <x:v>0.75</x:v>
      </x:c>
      <x:c r="L45" s="25" t="n">
        <x:v>0.7</x:v>
      </x:c>
      <x:c r="M45" s="25" t="n">
        <x:v>0.68</x:v>
      </x:c>
      <x:c r="N45" s="25" t="n">
        <x:v>0.65</x:v>
      </x:c>
      <x:c r="O45" s="25" t="n">
        <x:v>0.72</x:v>
      </x:c>
      <x:c r="P45" s="25" t="n">
        <x:v>0.7</x:v>
      </x:c>
      <x:c r="Q45" s="23" t="n">
        <x:v>5500</x:v>
      </x:c>
      <x:c r="R45" s="23" t="n">
        <x:v>40</x:v>
      </x:c>
      <x:c r="S45" s="26" t="n">
        <x:v>2.5</x:v>
      </x:c>
      <x:c r="T45" s="26" t="n">
        <x:v>1.5</x:v>
      </x:c>
      <x:c r="U45" s="27" t="n">
        <x:f>S45-T45</x:f>
        <x:v>1</x:v>
      </x:c>
      <x:c r="V45" s="28" t="n">
        <x:v>0.06</x:v>
      </x:c>
      <x:c r="W45" s="14" t="str">
        <x:v>Pass 57 and civil mobility; shared carrier credit</x:v>
      </x:c>
      <x:c r="X45" s="29" t="str">
        <x:v>DECLARED</x:v>
      </x:c>
    </x:row>
    <x:row r="46" ht="35" customHeight="1">
      <x:c r="C46" s="11" t="str">
        <x:v>C-ERG</x:v>
      </x:c>
      <x:c r="D46" s="11" t="str">
        <x:v>Community Stabilization</x:v>
      </x:c>
      <x:c r="E46" s="14" t="str">
        <x:v>Economic restart group</x:v>
      </x:c>
      <x:c r="F46" s="22" t="str">
        <x:v>Pass 58 canonical addition</x:v>
      </x:c>
      <x:c r="G46" s="23" t="n">
        <x:v>350</x:v>
      </x:c>
      <x:c r="H46" s="23" t="n">
        <x:v>0</x:v>
      </x:c>
      <x:c r="I46" s="24" t="n">
        <x:f>G46-H46</x:f>
        <x:v>350</x:v>
      </x:c>
      <x:c r="J46" s="23" t="n">
        <x:v>2.5</x:v>
      </x:c>
      <x:c r="K46" s="25" t="n">
        <x:v>0.82</x:v>
      </x:c>
      <x:c r="L46" s="25" t="n">
        <x:v>0.78</x:v>
      </x:c>
      <x:c r="M46" s="25" t="n">
        <x:v>0.75</x:v>
      </x:c>
      <x:c r="N46" s="25" t="n">
        <x:v>0.8</x:v>
      </x:c>
      <x:c r="O46" s="25" t="n">
        <x:v>0.82</x:v>
      </x:c>
      <x:c r="P46" s="25" t="n">
        <x:v>0.65</x:v>
      </x:c>
      <x:c r="Q46" s="23" t="n">
        <x:v>2500</x:v>
      </x:c>
      <x:c r="R46" s="23" t="n">
        <x:v>30</x:v>
      </x:c>
      <x:c r="S46" s="26" t="n">
        <x:v>0.35</x:v>
      </x:c>
      <x:c r="T46" s="26" t="n">
        <x:v>0</x:v>
      </x:c>
      <x:c r="U46" s="27" t="n">
        <x:f>S46-T46</x:f>
        <x:v>0.35</x:v>
      </x:c>
      <x:c r="V46" s="28" t="n">
        <x:v>0.05</x:v>
      </x:c>
      <x:c r="W46" s="14" t="str">
        <x:v>Pass 57 bounded design hypothesis</x:v>
      </x:c>
      <x:c r="X46" s="29" t="str">
        <x:v>DECLARED</x:v>
      </x:c>
    </x:row>
    <x:row r="47" ht="35" customHeight="1">
      <x:c r="C47" s="11" t="str">
        <x:v>CM-HCG</x:v>
      </x:c>
      <x:c r="D47" s="11" t="str">
        <x:v>Civil Mobility and Continuity</x:v>
      </x:c>
      <x:c r="E47" s="14" t="str">
        <x:v>Household collection group</x:v>
      </x:c>
      <x:c r="F47" s="22" t="str">
        <x:v>Pass 58 canonical addition</x:v>
      </x:c>
      <x:c r="G47" s="23" t="n">
        <x:v>7587</x:v>
      </x:c>
      <x:c r="H47" s="23" t="n">
        <x:v>2000</x:v>
      </x:c>
      <x:c r="I47" s="24" t="n">
        <x:f>G47-H47</x:f>
        <x:v>5587</x:v>
      </x:c>
      <x:c r="J47" s="23" t="n">
        <x:v>3.4</x:v>
      </x:c>
      <x:c r="K47" s="25" t="n">
        <x:v>0.75</x:v>
      </x:c>
      <x:c r="L47" s="25" t="n">
        <x:v>0.7</x:v>
      </x:c>
      <x:c r="M47" s="25" t="n">
        <x:v>0.68</x:v>
      </x:c>
      <x:c r="N47" s="25" t="n">
        <x:v>0.65</x:v>
      </x:c>
      <x:c r="O47" s="25" t="n">
        <x:v>0.72</x:v>
      </x:c>
      <x:c r="P47" s="25" t="n">
        <x:v>0.7</x:v>
      </x:c>
      <x:c r="Q47" s="23" t="n">
        <x:v>6388</x:v>
      </x:c>
      <x:c r="R47" s="23" t="n">
        <x:v>45</x:v>
      </x:c>
      <x:c r="S47" s="26" t="n">
        <x:v>6.866</x:v>
      </x:c>
      <x:c r="T47" s="26" t="n">
        <x:v>0</x:v>
      </x:c>
      <x:c r="U47" s="27" t="n">
        <x:f>S47-T47</x:f>
        <x:v>6.866</x:v>
      </x:c>
      <x:c r="V47" s="28" t="n">
        <x:v>0.065</x:v>
      </x:c>
      <x:c r="W47" s="14" t="str">
        <x:v>NCAC-35 A2 proxy; shared district-service crew credit</x:v>
      </x:c>
      <x:c r="X47" s="29" t="str">
        <x:v>DECLARED</x:v>
      </x:c>
    </x:row>
    <x:row r="48" ht="35" customHeight="1">
      <x:c r="C48" s="11" t="str">
        <x:v>CM-CTN</x:v>
      </x:c>
      <x:c r="D48" s="11" t="str">
        <x:v>Civil Mobility and Continuity</x:v>
      </x:c>
      <x:c r="E48" s="14" t="str">
        <x:v>Continuity transfer-node group</x:v>
      </x:c>
      <x:c r="F48" s="22" t="str">
        <x:v>Pass 58 canonical addition</x:v>
      </x:c>
      <x:c r="G48" s="23" t="n">
        <x:v>2289</x:v>
      </x:c>
      <x:c r="H48" s="23" t="n">
        <x:v>489</x:v>
      </x:c>
      <x:c r="I48" s="24" t="n">
        <x:f>G48-H48</x:f>
        <x:v>1800</x:v>
      </x:c>
      <x:c r="J48" s="23" t="n">
        <x:v>3</x:v>
      </x:c>
      <x:c r="K48" s="25" t="n">
        <x:v>0.75</x:v>
      </x:c>
      <x:c r="L48" s="25" t="n">
        <x:v>0.7</x:v>
      </x:c>
      <x:c r="M48" s="25" t="n">
        <x:v>0.68</x:v>
      </x:c>
      <x:c r="N48" s="25" t="n">
        <x:v>0.65</x:v>
      </x:c>
      <x:c r="O48" s="25" t="n">
        <x:v>0.72</x:v>
      </x:c>
      <x:c r="P48" s="25" t="n">
        <x:v>0.7</x:v>
      </x:c>
      <x:c r="Q48" s="23" t="n">
        <x:v>4513</x:v>
      </x:c>
      <x:c r="R48" s="23" t="n">
        <x:v>35</x:v>
      </x:c>
      <x:c r="S48" s="26" t="n">
        <x:v>3</x:v>
      </x:c>
      <x:c r="T48" s="26" t="n">
        <x:v>1</x:v>
      </x:c>
      <x:c r="U48" s="27" t="n">
        <x:f>S48-T48</x:f>
        <x:v>2</x:v>
      </x:c>
      <x:c r="V48" s="28" t="n">
        <x:v>0.06</x:v>
      </x:c>
      <x:c r="W48" s="14" t="str">
        <x:v>CTN-10 proxy; shared utility/base credit</x:v>
      </x:c>
      <x:c r="X48" s="29" t="str">
        <x:v>DECLARED</x:v>
      </x:c>
    </x:row>
    <x:row r="49" ht="35" customHeight="1">
      <x:c r="C49" s="11" t="str">
        <x:v>CM-RMG</x:v>
      </x:c>
      <x:c r="D49" s="11" t="str">
        <x:v>Civil Mobility and Continuity</x:v>
      </x:c>
      <x:c r="E49" s="14" t="str">
        <x:v>Civil road-mobility group</x:v>
      </x:c>
      <x:c r="F49" s="22" t="str">
        <x:v>Pass 58 canonical addition</x:v>
      </x:c>
      <x:c r="G49" s="23" t="n">
        <x:v>900</x:v>
      </x:c>
      <x:c r="H49" s="23" t="n">
        <x:v>250</x:v>
      </x:c>
      <x:c r="I49" s="24" t="n">
        <x:f>G49-H49</x:f>
        <x:v>650</x:v>
      </x:c>
      <x:c r="J49" s="23" t="n">
        <x:v>3</x:v>
      </x:c>
      <x:c r="K49" s="25" t="n">
        <x:v>0.75</x:v>
      </x:c>
      <x:c r="L49" s="25" t="n">
        <x:v>0.7</x:v>
      </x:c>
      <x:c r="M49" s="25" t="n">
        <x:v>0.65</x:v>
      </x:c>
      <x:c r="N49" s="25" t="n">
        <x:v>0.7</x:v>
      </x:c>
      <x:c r="O49" s="25" t="n">
        <x:v>0.72</x:v>
      </x:c>
      <x:c r="P49" s="25" t="n">
        <x:v>0.7</x:v>
      </x:c>
      <x:c r="Q49" s="23" t="n">
        <x:v>5000</x:v>
      </x:c>
      <x:c r="R49" s="23" t="n">
        <x:v>45</x:v>
      </x:c>
      <x:c r="S49" s="26" t="n">
        <x:v>3.5</x:v>
      </x:c>
      <x:c r="T49" s="26" t="n">
        <x:v>2</x:v>
      </x:c>
      <x:c r="U49" s="27" t="n">
        <x:f>S49-T49</x:f>
        <x:v>1.5</x:v>
      </x:c>
      <x:c r="V49" s="28" t="n">
        <x:v>0.065</x:v>
      </x:c>
      <x:c r="W49" s="14" t="str">
        <x:v>NCMF architecture; shared road fleet credit</x:v>
      </x:c>
      <x:c r="X49" s="29" t="str">
        <x:v>DECLARED</x:v>
      </x:c>
    </x:row>
    <x:row r="50" ht="35" customHeight="1">
      <x:c r="C50" s="11" t="str">
        <x:v>CM-RLG</x:v>
      </x:c>
      <x:c r="D50" s="11" t="str">
        <x:v>Civil Mobility and Continuity</x:v>
      </x:c>
      <x:c r="E50" s="14" t="str">
        <x:v>Civil rail-mobility group</x:v>
      </x:c>
      <x:c r="F50" s="22" t="str">
        <x:v>Pass 58 canonical addition</x:v>
      </x:c>
      <x:c r="G50" s="23" t="n">
        <x:v>500</x:v>
      </x:c>
      <x:c r="H50" s="23" t="n">
        <x:v>100</x:v>
      </x:c>
      <x:c r="I50" s="24" t="n">
        <x:f>G50-H50</x:f>
        <x:v>400</x:v>
      </x:c>
      <x:c r="J50" s="23" t="n">
        <x:v>3</x:v>
      </x:c>
      <x:c r="K50" s="25" t="n">
        <x:v>0.75</x:v>
      </x:c>
      <x:c r="L50" s="25" t="n">
        <x:v>0.7</x:v>
      </x:c>
      <x:c r="M50" s="25" t="n">
        <x:v>0.65</x:v>
      </x:c>
      <x:c r="N50" s="25" t="n">
        <x:v>0.7</x:v>
      </x:c>
      <x:c r="O50" s="25" t="n">
        <x:v>0.72</x:v>
      </x:c>
      <x:c r="P50" s="25" t="n">
        <x:v>0.6</x:v>
      </x:c>
      <x:c r="Q50" s="23" t="n">
        <x:v>8000</x:v>
      </x:c>
      <x:c r="R50" s="23" t="n">
        <x:v>40</x:v>
      </x:c>
      <x:c r="S50" s="26" t="n">
        <x:v>6</x:v>
      </x:c>
      <x:c r="T50" s="26" t="n">
        <x:v>4</x:v>
      </x:c>
      <x:c r="U50" s="27" t="n">
        <x:f>S50-T50</x:f>
        <x:v>2</x:v>
      </x:c>
      <x:c r="V50" s="28" t="n">
        <x:v>0.065</x:v>
      </x:c>
      <x:c r="W50" s="14" t="str">
        <x:v>NCMF architecture; shared rail stock credit</x:v>
      </x:c>
      <x:c r="X50" s="29" t="str">
        <x:v>DECLARED</x:v>
      </x:c>
    </x:row>
    <x:row r="51" ht="35" customHeight="1">
      <x:c r="C51" s="11" t="str">
        <x:v>CM-AMG</x:v>
      </x:c>
      <x:c r="D51" s="11" t="str">
        <x:v>Civil Mobility and Continuity</x:v>
      </x:c>
      <x:c r="E51" s="14" t="str">
        <x:v>Civil air-mobility group</x:v>
      </x:c>
      <x:c r="F51" s="22" t="str">
        <x:v>Pass 58 canonical addition</x:v>
      </x:c>
      <x:c r="G51" s="23" t="n">
        <x:v>600</x:v>
      </x:c>
      <x:c r="H51" s="23" t="n">
        <x:v>200</x:v>
      </x:c>
      <x:c r="I51" s="24" t="n">
        <x:f>G51-H51</x:f>
        <x:v>400</x:v>
      </x:c>
      <x:c r="J51" s="23" t="n">
        <x:v>3</x:v>
      </x:c>
      <x:c r="K51" s="25" t="n">
        <x:v>0.7</x:v>
      </x:c>
      <x:c r="L51" s="25" t="n">
        <x:v>0.72</x:v>
      </x:c>
      <x:c r="M51" s="25" t="n">
        <x:v>0.65</x:v>
      </x:c>
      <x:c r="N51" s="25" t="n">
        <x:v>0.7</x:v>
      </x:c>
      <x:c r="O51" s="25" t="n">
        <x:v>0.72</x:v>
      </x:c>
      <x:c r="P51" s="25" t="n">
        <x:v>0.75</x:v>
      </x:c>
      <x:c r="Q51" s="23" t="n">
        <x:v>6000</x:v>
      </x:c>
      <x:c r="R51" s="23" t="n">
        <x:v>55</x:v>
      </x:c>
      <x:c r="S51" s="26" t="n">
        <x:v>8</x:v>
      </x:c>
      <x:c r="T51" s="26" t="n">
        <x:v>5</x:v>
      </x:c>
      <x:c r="U51" s="27" t="n">
        <x:f>S51-T51</x:f>
        <x:v>3</x:v>
      </x:c>
      <x:c r="V51" s="28" t="n">
        <x:v>0.075</x:v>
      </x:c>
      <x:c r="W51" s="14" t="str">
        <x:v>NCMF architecture; shared strategic air credit</x:v>
      </x:c>
      <x:c r="X51" s="29" t="str">
        <x:v>DECLARED</x:v>
      </x:c>
    </x:row>
    <x:row r="52" ht="35" customHeight="1">
      <x:c r="C52" s="11" t="str">
        <x:v>CM-WMG</x:v>
      </x:c>
      <x:c r="D52" s="11" t="str">
        <x:v>Civil Mobility and Continuity</x:v>
      </x:c>
      <x:c r="E52" s="14" t="str">
        <x:v>Civil water-mobility group</x:v>
      </x:c>
      <x:c r="F52" s="22" t="str">
        <x:v>Pass 58 canonical addition</x:v>
      </x:c>
      <x:c r="G52" s="23" t="n">
        <x:v>500</x:v>
      </x:c>
      <x:c r="H52" s="23" t="n">
        <x:v>100</x:v>
      </x:c>
      <x:c r="I52" s="24" t="n">
        <x:f>G52-H52</x:f>
        <x:v>400</x:v>
      </x:c>
      <x:c r="J52" s="23" t="n">
        <x:v>3</x:v>
      </x:c>
      <x:c r="K52" s="25" t="n">
        <x:v>0.7</x:v>
      </x:c>
      <x:c r="L52" s="25" t="n">
        <x:v>0.72</x:v>
      </x:c>
      <x:c r="M52" s="25" t="n">
        <x:v>0.65</x:v>
      </x:c>
      <x:c r="N52" s="25" t="n">
        <x:v>0.68</x:v>
      </x:c>
      <x:c r="O52" s="25" t="n">
        <x:v>0.7</x:v>
      </x:c>
      <x:c r="P52" s="25" t="n">
        <x:v>0.5</x:v>
      </x:c>
      <x:c r="Q52" s="23" t="n">
        <x:v>9000</x:v>
      </x:c>
      <x:c r="R52" s="23" t="n">
        <x:v>50</x:v>
      </x:c>
      <x:c r="S52" s="26" t="n">
        <x:v>5</x:v>
      </x:c>
      <x:c r="T52" s="26" t="n">
        <x:v>3</x:v>
      </x:c>
      <x:c r="U52" s="27" t="n">
        <x:f>S52-T52</x:f>
        <x:v>2</x:v>
      </x:c>
      <x:c r="V52" s="28" t="n">
        <x:v>0.07</x:v>
      </x:c>
      <x:c r="W52" s="14" t="str">
        <x:v>NCMF architecture; shared maritime credit</x:v>
      </x:c>
      <x:c r="X52" s="29" t="str">
        <x:v>DECLARED</x:v>
      </x:c>
    </x:row>
    <x:row r="53" ht="35" customHeight="1">
      <x:c r="C53" s="11" t="str">
        <x:v>CM-RDC</x:v>
      </x:c>
      <x:c r="D53" s="11" t="str">
        <x:v>Civil Mobility and Continuity</x:v>
      </x:c>
      <x:c r="E53" s="14" t="str">
        <x:v>Return and durable-continuity group</x:v>
      </x:c>
      <x:c r="F53" s="22" t="str">
        <x:v>Pass 58 canonical addition</x:v>
      </x:c>
      <x:c r="G53" s="23" t="n">
        <x:v>450</x:v>
      </x:c>
      <x:c r="H53" s="23" t="n">
        <x:v>50</x:v>
      </x:c>
      <x:c r="I53" s="24" t="n">
        <x:f>G53-H53</x:f>
        <x:v>400</x:v>
      </x:c>
      <x:c r="J53" s="23" t="n">
        <x:v>2.5</x:v>
      </x:c>
      <x:c r="K53" s="25" t="n">
        <x:v>0.82</x:v>
      </x:c>
      <x:c r="L53" s="25" t="n">
        <x:v>0.78</x:v>
      </x:c>
      <x:c r="M53" s="25" t="n">
        <x:v>0.75</x:v>
      </x:c>
      <x:c r="N53" s="25" t="n">
        <x:v>0.8</x:v>
      </x:c>
      <x:c r="O53" s="25" t="n">
        <x:v>0.82</x:v>
      </x:c>
      <x:c r="P53" s="25" t="n">
        <x:v>0.5</x:v>
      </x:c>
      <x:c r="Q53" s="23" t="n">
        <x:v>1800</x:v>
      </x:c>
      <x:c r="R53" s="23" t="n">
        <x:v>25</x:v>
      </x:c>
      <x:c r="S53" s="26" t="n">
        <x:v>0.5</x:v>
      </x:c>
      <x:c r="T53" s="26" t="n">
        <x:v>0.1</x:v>
      </x:c>
      <x:c r="U53" s="27" t="n">
        <x:f>S53-T53</x:f>
        <x:v>0.4</x:v>
      </x:c>
      <x:c r="V53" s="28" t="n">
        <x:v>0.05</x:v>
      </x:c>
      <x:c r="W53" s="14" t="str">
        <x:v>Pass 57 bounded design hypothesis</x:v>
      </x:c>
      <x:c r="X53" s="29" t="str">
        <x:v>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48f4dc0e682c4af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2" hidden="0" customWidth="1"/>
    <x:col min="4" max="4" width="31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14" hidden="0" customWidth="1"/>
    <x:col min="16" max="16" width="14" hidden="0" customWidth="1"/>
    <x:col min="17" max="17" width="23" hidden="0" customWidth="1"/>
    <x:col min="18" max="18" width="48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Ten-Campaign Canonical Package Matrix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C3" s="3" t="str">
        <x:v>Quantities are simultaneous formation-equivalent planning coefficients. Different family outputs are not additive service units.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5" ht="34" customHeight="1">
      <x:c r="C5" s="9" t="str">
        <x:v>ID</x:v>
      </x:c>
      <x:c r="D5" s="9" t="str">
        <x:v>Formation family</x:v>
      </x:c>
      <x:c r="E5" s="9" t="str">
        <x:v>C1</x:v>
      </x:c>
      <x:c r="F5" s="9" t="str">
        <x:v>C2</x:v>
      </x:c>
      <x:c r="G5" s="9" t="str">
        <x:v>C3</x:v>
      </x:c>
      <x:c r="H5" s="9" t="str">
        <x:v>M1</x:v>
      </x:c>
      <x:c r="I5" s="9" t="str">
        <x:v>M2</x:v>
      </x:c>
      <x:c r="J5" s="9" t="str">
        <x:v>M3</x:v>
      </x:c>
      <x:c r="K5" s="9" t="str">
        <x:v>M4</x:v>
      </x:c>
      <x:c r="L5" s="9" t="str">
        <x:v>M5</x:v>
      </x:c>
      <x:c r="M5" s="9" t="str">
        <x:v>G1</x:v>
      </x:c>
      <x:c r="N5" s="9" t="str">
        <x:v>G2</x:v>
      </x:c>
      <x:c r="O5" s="9" t="str">
        <x:v>Total demand</x:v>
      </x:c>
      <x:c r="P5" s="9" t="str">
        <x:v>Global demand</x:v>
      </x:c>
      <x:c r="Q5" s="9" t="str">
        <x:v>Lineage</x:v>
      </x:c>
      <x:c r="R5" s="9" t="str">
        <x:v>Boundary</x:v>
      </x:c>
    </x:row>
    <x:row r="6" ht="34" customHeight="1">
      <x:c r="C6" s="11" t="str">
        <x:v>J-CIE</x:v>
      </x:c>
      <x:c r="D6" s="11" t="str">
        <x:v>Civil integration and effects group</x:v>
      </x:c>
      <x:c r="E6" s="12" t="n">
        <x:v>4</x:v>
      </x:c>
      <x:c r="F6" s="12" t="n">
        <x:v>4</x:v>
      </x:c>
      <x:c r="G6" s="12" t="n">
        <x:v>5</x:v>
      </x:c>
      <x:c r="H6" s="12" t="n">
        <x:v>2</x:v>
      </x:c>
      <x:c r="I6" s="12" t="n">
        <x:v>2</x:v>
      </x:c>
      <x:c r="J6" s="12" t="n">
        <x:v>3</x:v>
      </x:c>
      <x:c r="K6" s="12" t="n">
        <x:v>3</x:v>
      </x:c>
      <x:c r="L6" s="12" t="n">
        <x:v>3</x:v>
      </x:c>
      <x:c r="M6" s="12" t="n">
        <x:v>4</x:v>
      </x:c>
      <x:c r="N6" s="12" t="n">
        <x:v>4</x:v>
      </x:c>
      <x:c r="O6" s="15" t="n">
        <x:f>SUM(E6:N6)</x:f>
        <x:v>34</x:v>
      </x:c>
      <x:c r="P6" s="15" t="n">
        <x:f>SUM(M6:N6)</x:f>
        <x:v>8</x:v>
      </x:c>
      <x:c r="Q6" s="14" t="str">
        <x:v>Pass 23 retained</x:v>
      </x:c>
      <x:c r="R6" s="14" t="str">
        <x:v>Inherited Pass 23 package</x:v>
      </x:c>
    </x:row>
    <x:row r="7" ht="34" customHeight="1">
      <x:c r="C7" s="11" t="str">
        <x:v>J-TOC</x:v>
      </x:c>
      <x:c r="D7" s="11" t="str">
        <x:v>Theater-opening command</x:v>
      </x:c>
      <x:c r="E7" s="12" t="n">
        <x:v>2</x:v>
      </x:c>
      <x:c r="F7" s="12" t="n">
        <x:v>3</x:v>
      </x:c>
      <x:c r="G7" s="12" t="n">
        <x:v>4</x:v>
      </x:c>
      <x:c r="H7" s="12" t="n">
        <x:v>1</x:v>
      </x:c>
      <x:c r="I7" s="12" t="n">
        <x:v>1</x:v>
      </x:c>
      <x:c r="J7" s="12" t="n">
        <x:v>2</x:v>
      </x:c>
      <x:c r="K7" s="12" t="n">
        <x:v>2</x:v>
      </x:c>
      <x:c r="L7" s="12" t="n">
        <x:v>2</x:v>
      </x:c>
      <x:c r="M7" s="12" t="n">
        <x:v>3</x:v>
      </x:c>
      <x:c r="N7" s="12" t="n">
        <x:v>3</x:v>
      </x:c>
      <x:c r="O7" s="15" t="n">
        <x:f>SUM(E7:N7)</x:f>
        <x:v>23</x:v>
      </x:c>
      <x:c r="P7" s="15" t="n">
        <x:f>SUM(M7:N7)</x:f>
        <x:v>6</x:v>
      </x:c>
      <x:c r="Q7" s="14" t="str">
        <x:v>Pass 23 retained</x:v>
      </x:c>
      <x:c r="R7" s="14" t="str">
        <x:v>Inherited Pass 23 package</x:v>
      </x:c>
    </x:row>
    <x:row r="8" ht="34" customHeight="1">
      <x:c r="C8" s="11" t="str">
        <x:v>J-TSC</x:v>
      </x:c>
      <x:c r="D8" s="11" t="str">
        <x:v>Theater sustainment command</x:v>
      </x:c>
      <x:c r="E8" s="12" t="n">
        <x:v>3</x:v>
      </x:c>
      <x:c r="F8" s="12" t="n">
        <x:v>4</x:v>
      </x:c>
      <x:c r="G8" s="12" t="n">
        <x:v>5</x:v>
      </x:c>
      <x:c r="H8" s="12" t="n">
        <x:v>2</x:v>
      </x:c>
      <x:c r="I8" s="12" t="n">
        <x:v>2</x:v>
      </x:c>
      <x:c r="J8" s="12" t="n">
        <x:v>3</x:v>
      </x:c>
      <x:c r="K8" s="12" t="n">
        <x:v>3</x:v>
      </x:c>
      <x:c r="L8" s="12" t="n">
        <x:v>3</x:v>
      </x:c>
      <x:c r="M8" s="12" t="n">
        <x:v>4</x:v>
      </x:c>
      <x:c r="N8" s="12" t="n">
        <x:v>4</x:v>
      </x:c>
      <x:c r="O8" s="15" t="n">
        <x:f>SUM(E8:N8)</x:f>
        <x:v>33</x:v>
      </x:c>
      <x:c r="P8" s="15" t="n">
        <x:f>SUM(M8:N8)</x:f>
        <x:v>8</x:v>
      </x:c>
      <x:c r="Q8" s="14" t="str">
        <x:v>Pass 23 retained</x:v>
      </x:c>
      <x:c r="R8" s="14" t="str">
        <x:v>Inherited Pass 23 package</x:v>
      </x:c>
    </x:row>
    <x:row r="9" ht="34" customHeight="1">
      <x:c r="C9" s="11" t="str">
        <x:v>J-RRG</x:v>
      </x:c>
      <x:c r="D9" s="11" t="str">
        <x:v>Replacement and reconstitution group</x:v>
      </x:c>
      <x:c r="E9" s="12" t="n">
        <x:v>3</x:v>
      </x:c>
      <x:c r="F9" s="12" t="n">
        <x:v>4</x:v>
      </x:c>
      <x:c r="G9" s="12" t="n">
        <x:v>5</x:v>
      </x:c>
      <x:c r="H9" s="12" t="n">
        <x:v>2</x:v>
      </x:c>
      <x:c r="I9" s="12" t="n">
        <x:v>2</x:v>
      </x:c>
      <x:c r="J9" s="12" t="n">
        <x:v>3</x:v>
      </x:c>
      <x:c r="K9" s="12" t="n">
        <x:v>3</x:v>
      </x:c>
      <x:c r="L9" s="12" t="n">
        <x:v>3</x:v>
      </x:c>
      <x:c r="M9" s="12" t="n">
        <x:v>4</x:v>
      </x:c>
      <x:c r="N9" s="12" t="n">
        <x:v>4</x:v>
      </x:c>
      <x:c r="O9" s="15" t="n">
        <x:f>SUM(E9:N9)</x:f>
        <x:v>33</x:v>
      </x:c>
      <x:c r="P9" s="15" t="n">
        <x:f>SUM(M9:N9)</x:f>
        <x:v>8</x:v>
      </x:c>
      <x:c r="Q9" s="14" t="str">
        <x:v>Pass 23 retained</x:v>
      </x:c>
      <x:c r="R9" s="14" t="str">
        <x:v>Inherited Pass 23 package</x:v>
      </x:c>
    </x:row>
    <x:row r="10" ht="34" customHeight="1">
      <x:c r="C10" s="11" t="str">
        <x:v>J-TDG</x:v>
      </x:c>
      <x:c r="D10" s="11" t="str">
        <x:v>Transfer and demobilization group</x:v>
      </x:c>
      <x:c r="E10" s="12" t="n">
        <x:v>2</x:v>
      </x:c>
      <x:c r="F10" s="12" t="n">
        <x:v>3</x:v>
      </x:c>
      <x:c r="G10" s="12" t="n">
        <x:v>4</x:v>
      </x:c>
      <x:c r="H10" s="12" t="n">
        <x:v>1</x:v>
      </x:c>
      <x:c r="I10" s="12" t="n">
        <x:v>1</x:v>
      </x:c>
      <x:c r="J10" s="12" t="n">
        <x:v>2</x:v>
      </x:c>
      <x:c r="K10" s="12" t="n">
        <x:v>2</x:v>
      </x:c>
      <x:c r="L10" s="12" t="n">
        <x:v>2</x:v>
      </x:c>
      <x:c r="M10" s="12" t="n">
        <x:v>3</x:v>
      </x:c>
      <x:c r="N10" s="12" t="n">
        <x:v>3</x:v>
      </x:c>
      <x:c r="O10" s="15" t="n">
        <x:f>SUM(E10:N10)</x:f>
        <x:v>23</x:v>
      </x:c>
      <x:c r="P10" s="15" t="n">
        <x:f>SUM(M10:N10)</x:f>
        <x:v>6</x:v>
      </x:c>
      <x:c r="Q10" s="14" t="str">
        <x:v>Pass 23 retained</x:v>
      </x:c>
      <x:c r="R10" s="14" t="str">
        <x:v>Inherited Pass 23 package</x:v>
      </x:c>
    </x:row>
    <x:row r="11" ht="34" customHeight="1">
      <x:c r="C11" s="11" t="str">
        <x:v>L-ROG</x:v>
      </x:c>
      <x:c r="D11" s="11" t="str">
        <x:v>Access and route-opening group</x:v>
      </x:c>
      <x:c r="E11" s="12" t="n">
        <x:v>4</x:v>
      </x:c>
      <x:c r="F11" s="12" t="n">
        <x:v>8</x:v>
      </x:c>
      <x:c r="G11" s="12" t="n">
        <x:v>12</x:v>
      </x:c>
      <x:c r="H11" s="12" t="n">
        <x:v>4</x:v>
      </x:c>
      <x:c r="I11" s="12" t="n">
        <x:v>2</x:v>
      </x:c>
      <x:c r="J11" s="12" t="n">
        <x:v>8</x:v>
      </x:c>
      <x:c r="K11" s="12" t="n">
        <x:v>10</x:v>
      </x:c>
      <x:c r="L11" s="12" t="n">
        <x:v>4</x:v>
      </x:c>
      <x:c r="M11" s="12" t="n">
        <x:v>10</x:v>
      </x:c>
      <x:c r="N11" s="12" t="n">
        <x:v>8</x:v>
      </x:c>
      <x:c r="O11" s="15" t="n">
        <x:f>SUM(E11:N11)</x:f>
        <x:v>70</x:v>
      </x:c>
      <x:c r="P11" s="15" t="n">
        <x:f>SUM(M11:N11)</x:f>
        <x:v>18</x:v>
      </x:c>
      <x:c r="Q11" s="14" t="str">
        <x:v>Pass 23 retained</x:v>
      </x:c>
      <x:c r="R11" s="14" t="str">
        <x:v>Inherited Pass 23 package</x:v>
      </x:c>
    </x:row>
    <x:row r="12" ht="34" customHeight="1">
      <x:c r="C12" s="11" t="str">
        <x:v>L-HCG</x:v>
      </x:c>
      <x:c r="D12" s="11" t="str">
        <x:v>Flood and hydraulic-control group</x:v>
      </x:c>
      <x:c r="E12" s="12" t="n">
        <x:v>1</x:v>
      </x:c>
      <x:c r="F12" s="12" t="n">
        <x:v>10</x:v>
      </x:c>
      <x:c r="G12" s="12" t="n">
        <x:v>6</x:v>
      </x:c>
      <x:c r="H12" s="12" t="n">
        <x:v>0</x:v>
      </x:c>
      <x:c r="I12" s="12" t="n">
        <x:v>0</x:v>
      </x:c>
      <x:c r="J12" s="12" t="n">
        <x:v>12</x:v>
      </x:c>
      <x:c r="K12" s="12" t="n">
        <x:v>3</x:v>
      </x:c>
      <x:c r="L12" s="12" t="n">
        <x:v>2</x:v>
      </x:c>
      <x:c r="M12" s="12" t="n">
        <x:v>4</x:v>
      </x:c>
      <x:c r="N12" s="12" t="n">
        <x:v>12</x:v>
      </x:c>
      <x:c r="O12" s="15" t="n">
        <x:f>SUM(E12:N12)</x:f>
        <x:v>50</x:v>
      </x:c>
      <x:c r="P12" s="15" t="n">
        <x:f>SUM(M12:N12)</x:f>
        <x:v>16</x:v>
      </x:c>
      <x:c r="Q12" s="14" t="str">
        <x:v>Pass 23 retained</x:v>
      </x:c>
      <x:c r="R12" s="14" t="str">
        <x:v>Inherited Pass 23 package</x:v>
      </x:c>
    </x:row>
    <x:row r="13" ht="34" customHeight="1">
      <x:c r="C13" s="11" t="str">
        <x:v>L-DMG</x:v>
      </x:c>
      <x:c r="D13" s="11" t="str">
        <x:v>Debris and materials group</x:v>
      </x:c>
      <x:c r="E13" s="12" t="n">
        <x:v>2</x:v>
      </x:c>
      <x:c r="F13" s="12" t="n">
        <x:v>8</x:v>
      </x:c>
      <x:c r="G13" s="12" t="n">
        <x:v>12</x:v>
      </x:c>
      <x:c r="H13" s="12" t="n">
        <x:v>2</x:v>
      </x:c>
      <x:c r="I13" s="12" t="n">
        <x:v>1</x:v>
      </x:c>
      <x:c r="J13" s="12" t="n">
        <x:v>8</x:v>
      </x:c>
      <x:c r="K13" s="12" t="n">
        <x:v>12</x:v>
      </x:c>
      <x:c r="L13" s="12" t="n">
        <x:v>2</x:v>
      </x:c>
      <x:c r="M13" s="12" t="n">
        <x:v>10</x:v>
      </x:c>
      <x:c r="N13" s="12" t="n">
        <x:v>8</x:v>
      </x:c>
      <x:c r="O13" s="15" t="n">
        <x:f>SUM(E13:N13)</x:f>
        <x:v>65</x:v>
      </x:c>
      <x:c r="P13" s="15" t="n">
        <x:f>SUM(M13:N13)</x:f>
        <x:v>18</x:v>
      </x:c>
      <x:c r="Q13" s="14" t="str">
        <x:v>Pass 23 retained</x:v>
      </x:c>
      <x:c r="R13" s="14" t="str">
        <x:v>Inherited Pass 23 package</x:v>
      </x:c>
    </x:row>
    <x:row r="14" ht="34" customHeight="1">
      <x:c r="C14" s="11" t="str">
        <x:v>L-TWG</x:v>
      </x:c>
      <x:c r="D14" s="11" t="str">
        <x:v>Temporary works and crossing group</x:v>
      </x:c>
      <x:c r="E14" s="12" t="n">
        <x:v>3</x:v>
      </x:c>
      <x:c r="F14" s="12" t="n">
        <x:v>6</x:v>
      </x:c>
      <x:c r="G14" s="12" t="n">
        <x:v>10</x:v>
      </x:c>
      <x:c r="H14" s="12" t="n">
        <x:v>1</x:v>
      </x:c>
      <x:c r="I14" s="12" t="n">
        <x:v>1</x:v>
      </x:c>
      <x:c r="J14" s="12" t="n">
        <x:v>6</x:v>
      </x:c>
      <x:c r="K14" s="12" t="n">
        <x:v>8</x:v>
      </x:c>
      <x:c r="L14" s="12" t="n">
        <x:v>4</x:v>
      </x:c>
      <x:c r="M14" s="12" t="n">
        <x:v>8</x:v>
      </x:c>
      <x:c r="N14" s="12" t="n">
        <x:v>6</x:v>
      </x:c>
      <x:c r="O14" s="15" t="n">
        <x:f>SUM(E14:N14)</x:f>
        <x:v>53</x:v>
      </x:c>
      <x:c r="P14" s="15" t="n">
        <x:f>SUM(M14:N14)</x:f>
        <x:v>14</x:v>
      </x:c>
      <x:c r="Q14" s="14" t="str">
        <x:v>Pass 23 retained</x:v>
      </x:c>
      <x:c r="R14" s="14" t="str">
        <x:v>Inherited Pass 23 package</x:v>
      </x:c>
    </x:row>
    <x:row r="15" ht="34" customHeight="1">
      <x:c r="C15" s="11" t="str">
        <x:v>L-GFG</x:v>
      </x:c>
      <x:c r="D15" s="11" t="str">
        <x:v>Ground fire and landscape group</x:v>
      </x:c>
      <x:c r="E15" s="12" t="n">
        <x:v>2</x:v>
      </x:c>
      <x:c r="F15" s="12" t="n">
        <x:v>3</x:v>
      </x:c>
      <x:c r="G15" s="12" t="n">
        <x:v>4</x:v>
      </x:c>
      <x:c r="H15" s="12" t="n">
        <x:v>12</x:v>
      </x:c>
      <x:c r="I15" s="12" t="n">
        <x:v>3</x:v>
      </x:c>
      <x:c r="J15" s="12" t="n">
        <x:v>1</x:v>
      </x:c>
      <x:c r="K15" s="12" t="n">
        <x:v>2</x:v>
      </x:c>
      <x:c r="L15" s="12" t="n">
        <x:v>2</x:v>
      </x:c>
      <x:c r="M15" s="12" t="n">
        <x:v>2</x:v>
      </x:c>
      <x:c r="N15" s="12" t="n">
        <x:v>2</x:v>
      </x:c>
      <x:c r="O15" s="15" t="n">
        <x:f>SUM(E15:N15)</x:f>
        <x:v>33</x:v>
      </x:c>
      <x:c r="P15" s="15" t="n">
        <x:f>SUM(M15:N15)</x:f>
        <x:v>4</x:v>
      </x:c>
      <x:c r="Q15" s="14" t="str">
        <x:v>Pass 23 retained</x:v>
      </x:c>
      <x:c r="R15" s="14" t="str">
        <x:v>Inherited Pass 23 package</x:v>
      </x:c>
    </x:row>
    <x:row r="16" ht="34" customHeight="1">
      <x:c r="C16" s="11" t="str">
        <x:v>A-SMW</x:v>
      </x:c>
      <x:c r="D16" s="11" t="str">
        <x:v>Strategic mobility wing</x:v>
      </x:c>
      <x:c r="E16" s="12" t="n">
        <x:v>2</x:v>
      </x:c>
      <x:c r="F16" s="12" t="n">
        <x:v>3</x:v>
      </x:c>
      <x:c r="G16" s="12" t="n">
        <x:v>4</x:v>
      </x:c>
      <x:c r="H16" s="12" t="n">
        <x:v>2</x:v>
      </x:c>
      <x:c r="I16" s="12" t="n">
        <x:v>2</x:v>
      </x:c>
      <x:c r="J16" s="12" t="n">
        <x:v>2</x:v>
      </x:c>
      <x:c r="K16" s="12" t="n">
        <x:v>3</x:v>
      </x:c>
      <x:c r="L16" s="12" t="n">
        <x:v>3</x:v>
      </x:c>
      <x:c r="M16" s="12" t="n">
        <x:v>5</x:v>
      </x:c>
      <x:c r="N16" s="12" t="n">
        <x:v>5</x:v>
      </x:c>
      <x:c r="O16" s="15" t="n">
        <x:f>SUM(E16:N16)</x:f>
        <x:v>31</x:v>
      </x:c>
      <x:c r="P16" s="15" t="n">
        <x:f>SUM(M16:N16)</x:f>
        <x:v>10</x:v>
      </x:c>
      <x:c r="Q16" s="14" t="str">
        <x:v>Pass 23 retained</x:v>
      </x:c>
      <x:c r="R16" s="14" t="str">
        <x:v>Inherited Pass 23 package</x:v>
      </x:c>
    </x:row>
    <x:row r="17" ht="34" customHeight="1">
      <x:c r="C17" s="11" t="str">
        <x:v>A-AAG</x:v>
      </x:c>
      <x:c r="D17" s="11" t="str">
        <x:v>Austere air-access group</x:v>
      </x:c>
      <x:c r="E17" s="12" t="n">
        <x:v>2</x:v>
      </x:c>
      <x:c r="F17" s="12" t="n">
        <x:v>4</x:v>
      </x:c>
      <x:c r="G17" s="12" t="n">
        <x:v>6</x:v>
      </x:c>
      <x:c r="H17" s="12" t="n">
        <x:v>3</x:v>
      </x:c>
      <x:c r="I17" s="12" t="n">
        <x:v>2</x:v>
      </x:c>
      <x:c r="J17" s="12" t="n">
        <x:v>2</x:v>
      </x:c>
      <x:c r="K17" s="12" t="n">
        <x:v>4</x:v>
      </x:c>
      <x:c r="L17" s="12" t="n">
        <x:v>3</x:v>
      </x:c>
      <x:c r="M17" s="12" t="n">
        <x:v>5</x:v>
      </x:c>
      <x:c r="N17" s="12" t="n">
        <x:v>5</x:v>
      </x:c>
      <x:c r="O17" s="15" t="n">
        <x:f>SUM(E17:N17)</x:f>
        <x:v>36</x:v>
      </x:c>
      <x:c r="P17" s="15" t="n">
        <x:f>SUM(M17:N17)</x:f>
        <x:v>10</x:v>
      </x:c>
      <x:c r="Q17" s="14" t="str">
        <x:v>Pass 23 retained</x:v>
      </x:c>
      <x:c r="R17" s="14" t="str">
        <x:v>Inherited Pass 23 package</x:v>
      </x:c>
    </x:row>
    <x:row r="18" ht="34" customHeight="1">
      <x:c r="C18" s="11" t="str">
        <x:v>A-AHW</x:v>
      </x:c>
      <x:c r="D18" s="11" t="str">
        <x:v>Aerial hazard-control wing</x:v>
      </x:c>
      <x:c r="E18" s="12" t="n">
        <x:v>1</x:v>
      </x:c>
      <x:c r="F18" s="12" t="n">
        <x:v>2</x:v>
      </x:c>
      <x:c r="G18" s="12" t="n">
        <x:v>2</x:v>
      </x:c>
      <x:c r="H18" s="12" t="n">
        <x:v>10</x:v>
      </x:c>
      <x:c r="I18" s="12" t="n">
        <x:v>2</x:v>
      </x:c>
      <x:c r="J18" s="12" t="n">
        <x:v>0</x:v>
      </x:c>
      <x:c r="K18" s="12" t="n">
        <x:v>1</x:v>
      </x:c>
      <x:c r="L18" s="12" t="n">
        <x:v>1</x:v>
      </x:c>
      <x:c r="M18" s="12" t="n">
        <x:v>2</x:v>
      </x:c>
      <x:c r="N18" s="12" t="n">
        <x:v>1</x:v>
      </x:c>
      <x:c r="O18" s="15" t="n">
        <x:f>SUM(E18:N18)</x:f>
        <x:v>22</x:v>
      </x:c>
      <x:c r="P18" s="15" t="n">
        <x:f>SUM(M18:N18)</x:f>
        <x:v>3</x:v>
      </x:c>
      <x:c r="Q18" s="14" t="str">
        <x:v>Pass 23 retained</x:v>
      </x:c>
      <x:c r="R18" s="14" t="str">
        <x:v>Inherited Pass 23 package</x:v>
      </x:c>
    </x:row>
    <x:row r="19" ht="34" customHeight="1">
      <x:c r="C19" s="11" t="str">
        <x:v>A-TDG</x:v>
      </x:c>
      <x:c r="D19" s="11" t="str">
        <x:v>Tactical distribution group</x:v>
      </x:c>
      <x:c r="E19" s="12" t="n">
        <x:v>4</x:v>
      </x:c>
      <x:c r="F19" s="12" t="n">
        <x:v>6</x:v>
      </x:c>
      <x:c r="G19" s="12" t="n">
        <x:v>8</x:v>
      </x:c>
      <x:c r="H19" s="12" t="n">
        <x:v>5</x:v>
      </x:c>
      <x:c r="I19" s="12" t="n">
        <x:v>4</x:v>
      </x:c>
      <x:c r="J19" s="12" t="n">
        <x:v>4</x:v>
      </x:c>
      <x:c r="K19" s="12" t="n">
        <x:v>6</x:v>
      </x:c>
      <x:c r="L19" s="12" t="n">
        <x:v>5</x:v>
      </x:c>
      <x:c r="M19" s="12" t="n">
        <x:v>8</x:v>
      </x:c>
      <x:c r="N19" s="12" t="n">
        <x:v>8</x:v>
      </x:c>
      <x:c r="O19" s="15" t="n">
        <x:f>SUM(E19:N19)</x:f>
        <x:v>58</x:v>
      </x:c>
      <x:c r="P19" s="15" t="n">
        <x:f>SUM(M19:N19)</x:f>
        <x:v>16</x:v>
      </x:c>
      <x:c r="Q19" s="14" t="str">
        <x:v>Pass 23 retained</x:v>
      </x:c>
      <x:c r="R19" s="14" t="str">
        <x:v>Inherited Pass 23 package</x:v>
      </x:c>
    </x:row>
    <x:row r="20" ht="34" customHeight="1">
      <x:c r="C20" s="11" t="str">
        <x:v>A-SRG</x:v>
      </x:c>
      <x:c r="D20" s="11" t="str">
        <x:v>Air sensing and relay group</x:v>
      </x:c>
      <x:c r="E20" s="12" t="n">
        <x:v>3</x:v>
      </x:c>
      <x:c r="F20" s="12" t="n">
        <x:v>4</x:v>
      </x:c>
      <x:c r="G20" s="12" t="n">
        <x:v>5</x:v>
      </x:c>
      <x:c r="H20" s="12" t="n">
        <x:v>5</x:v>
      </x:c>
      <x:c r="I20" s="12" t="n">
        <x:v>3</x:v>
      </x:c>
      <x:c r="J20" s="12" t="n">
        <x:v>3</x:v>
      </x:c>
      <x:c r="K20" s="12" t="n">
        <x:v>4</x:v>
      </x:c>
      <x:c r="L20" s="12" t="n">
        <x:v>3</x:v>
      </x:c>
      <x:c r="M20" s="12" t="n">
        <x:v>5</x:v>
      </x:c>
      <x:c r="N20" s="12" t="n">
        <x:v>5</x:v>
      </x:c>
      <x:c r="O20" s="15" t="n">
        <x:f>SUM(E20:N20)</x:f>
        <x:v>40</x:v>
      </x:c>
      <x:c r="P20" s="15" t="n">
        <x:f>SUM(M20:N20)</x:f>
        <x:v>10</x:v>
      </x:c>
      <x:c r="Q20" s="14" t="str">
        <x:v>Pass 23 retained</x:v>
      </x:c>
      <x:c r="R20" s="14" t="str">
        <x:v>Inherited Pass 23 package</x:v>
      </x:c>
    </x:row>
    <x:row r="21" ht="34" customHeight="1">
      <x:c r="C21" s="11" t="str">
        <x:v>A-AMG</x:v>
      </x:c>
      <x:c r="D21" s="11" t="str">
        <x:v>Aeromedical movement group</x:v>
      </x:c>
      <x:c r="E21" s="12" t="n">
        <x:v>2</x:v>
      </x:c>
      <x:c r="F21" s="12" t="n">
        <x:v>3</x:v>
      </x:c>
      <x:c r="G21" s="12" t="n">
        <x:v>5</x:v>
      </x:c>
      <x:c r="H21" s="12" t="n">
        <x:v>2</x:v>
      </x:c>
      <x:c r="I21" s="12" t="n">
        <x:v>3</x:v>
      </x:c>
      <x:c r="J21" s="12" t="n">
        <x:v>2</x:v>
      </x:c>
      <x:c r="K21" s="12" t="n">
        <x:v>3</x:v>
      </x:c>
      <x:c r="L21" s="12" t="n">
        <x:v>2</x:v>
      </x:c>
      <x:c r="M21" s="12" t="n">
        <x:v>5</x:v>
      </x:c>
      <x:c r="N21" s="12" t="n">
        <x:v>4</x:v>
      </x:c>
      <x:c r="O21" s="15" t="n">
        <x:f>SUM(E21:N21)</x:f>
        <x:v>31</x:v>
      </x:c>
      <x:c r="P21" s="15" t="n">
        <x:f>SUM(M21:N21)</x:f>
        <x:v>9</x:v>
      </x:c>
      <x:c r="Q21" s="14" t="str">
        <x:v>Pass 23 retained</x:v>
      </x:c>
      <x:c r="R21" s="14" t="str">
        <x:v>Inherited Pass 23 package</x:v>
      </x:c>
    </x:row>
    <x:row r="22" ht="34" customHeight="1">
      <x:c r="C22" s="11" t="str">
        <x:v>M-POG</x:v>
      </x:c>
      <x:c r="D22" s="11" t="str">
        <x:v>Port-opening group</x:v>
      </x:c>
      <x:c r="E22" s="12" t="n">
        <x:v>1</x:v>
      </x:c>
      <x:c r="F22" s="12" t="n">
        <x:v>5</x:v>
      </x:c>
      <x:c r="G22" s="12" t="n">
        <x:v>8</x:v>
      </x:c>
      <x:c r="H22" s="12" t="n">
        <x:v>0</x:v>
      </x:c>
      <x:c r="I22" s="12" t="n">
        <x:v>0</x:v>
      </x:c>
      <x:c r="J22" s="12" t="n">
        <x:v>1</x:v>
      </x:c>
      <x:c r="K22" s="12" t="n">
        <x:v>1</x:v>
      </x:c>
      <x:c r="L22" s="12" t="n">
        <x:v>2</x:v>
      </x:c>
      <x:c r="M22" s="12" t="n">
        <x:v>8</x:v>
      </x:c>
      <x:c r="N22" s="12" t="n">
        <x:v>6</x:v>
      </x:c>
      <x:c r="O22" s="15" t="n">
        <x:f>SUM(E22:N22)</x:f>
        <x:v>32</x:v>
      </x:c>
      <x:c r="P22" s="15" t="n">
        <x:f>SUM(M22:N22)</x:f>
        <x:v>14</x:v>
      </x:c>
      <x:c r="Q22" s="14" t="str">
        <x:v>Pass 23 retained</x:v>
      </x:c>
      <x:c r="R22" s="14" t="str">
        <x:v>Inherited Pass 23 package</x:v>
      </x:c>
    </x:row>
    <x:row r="23" ht="34" customHeight="1">
      <x:c r="C23" s="11" t="str">
        <x:v>M-LAG</x:v>
      </x:c>
      <x:c r="D23" s="11" t="str">
        <x:v>Littoral-access group</x:v>
      </x:c>
      <x:c r="E23" s="12" t="n">
        <x:v>1</x:v>
      </x:c>
      <x:c r="F23" s="12" t="n">
        <x:v>6</x:v>
      </x:c>
      <x:c r="G23" s="12" t="n">
        <x:v>8</x:v>
      </x:c>
      <x:c r="H23" s="12" t="n">
        <x:v>0</x:v>
      </x:c>
      <x:c r="I23" s="12" t="n">
        <x:v>0</x:v>
      </x:c>
      <x:c r="J23" s="12" t="n">
        <x:v>2</x:v>
      </x:c>
      <x:c r="K23" s="12" t="n">
        <x:v>1</x:v>
      </x:c>
      <x:c r="L23" s="12" t="n">
        <x:v>3</x:v>
      </x:c>
      <x:c r="M23" s="12" t="n">
        <x:v>8</x:v>
      </x:c>
      <x:c r="N23" s="12" t="n">
        <x:v>8</x:v>
      </x:c>
      <x:c r="O23" s="15" t="n">
        <x:f>SUM(E23:N23)</x:f>
        <x:v>37</x:v>
      </x:c>
      <x:c r="P23" s="15" t="n">
        <x:f>SUM(M23:N23)</x:f>
        <x:v>16</x:v>
      </x:c>
      <x:c r="Q23" s="14" t="str">
        <x:v>Pass 23 retained</x:v>
      </x:c>
      <x:c r="R23" s="14" t="str">
        <x:v>Inherited Pass 23 package</x:v>
      </x:c>
    </x:row>
    <x:row r="24" ht="34" customHeight="1">
      <x:c r="C24" s="11" t="str">
        <x:v>M-IWG</x:v>
      </x:c>
      <x:c r="D24" s="11" t="str">
        <x:v>Inland-waterway group</x:v>
      </x:c>
      <x:c r="E24" s="12" t="n">
        <x:v>2</x:v>
      </x:c>
      <x:c r="F24" s="12" t="n">
        <x:v>3</x:v>
      </x:c>
      <x:c r="G24" s="12" t="n">
        <x:v>2</x:v>
      </x:c>
      <x:c r="H24" s="12" t="n">
        <x:v>0</x:v>
      </x:c>
      <x:c r="I24" s="12" t="n">
        <x:v>0</x:v>
      </x:c>
      <x:c r="J24" s="12" t="n">
        <x:v>8</x:v>
      </x:c>
      <x:c r="K24" s="12" t="n">
        <x:v>3</x:v>
      </x:c>
      <x:c r="L24" s="12" t="n">
        <x:v>4</x:v>
      </x:c>
      <x:c r="M24" s="12" t="n">
        <x:v>1</x:v>
      </x:c>
      <x:c r="N24" s="12" t="n">
        <x:v>6</x:v>
      </x:c>
      <x:c r="O24" s="15" t="n">
        <x:f>SUM(E24:N24)</x:f>
        <x:v>29</x:v>
      </x:c>
      <x:c r="P24" s="15" t="n">
        <x:f>SUM(M24:N24)</x:f>
        <x:v>7</x:v>
      </x:c>
      <x:c r="Q24" s="14" t="str">
        <x:v>Pass 23 retained</x:v>
      </x:c>
      <x:c r="R24" s="14" t="str">
        <x:v>Inherited Pass 23 package</x:v>
      </x:c>
    </x:row>
    <x:row r="25" ht="34" customHeight="1">
      <x:c r="C25" s="11" t="str">
        <x:v>M-OSG</x:v>
      </x:c>
      <x:c r="D25" s="11" t="str">
        <x:v>Offshore-support group</x:v>
      </x:c>
      <x:c r="E25" s="12" t="n">
        <x:v>1</x:v>
      </x:c>
      <x:c r="F25" s="12" t="n">
        <x:v>3</x:v>
      </x:c>
      <x:c r="G25" s="12" t="n">
        <x:v>4</x:v>
      </x:c>
      <x:c r="H25" s="12" t="n">
        <x:v>0</x:v>
      </x:c>
      <x:c r="I25" s="12" t="n">
        <x:v>0</x:v>
      </x:c>
      <x:c r="J25" s="12" t="n">
        <x:v>1</x:v>
      </x:c>
      <x:c r="K25" s="12" t="n">
        <x:v>1</x:v>
      </x:c>
      <x:c r="L25" s="12" t="n">
        <x:v>3</x:v>
      </x:c>
      <x:c r="M25" s="12" t="n">
        <x:v>6</x:v>
      </x:c>
      <x:c r="N25" s="12" t="n">
        <x:v>5</x:v>
      </x:c>
      <x:c r="O25" s="15" t="n">
        <x:f>SUM(E25:N25)</x:f>
        <x:v>24</x:v>
      </x:c>
      <x:c r="P25" s="15" t="n">
        <x:f>SUM(M25:N25)</x:f>
        <x:v>11</x:v>
      </x:c>
      <x:c r="Q25" s="14" t="str">
        <x:v>Pass 23 retained</x:v>
      </x:c>
      <x:c r="R25" s="14" t="str">
        <x:v>Inherited Pass 23 package</x:v>
      </x:c>
    </x:row>
    <x:row r="26" ht="34" customHeight="1">
      <x:c r="C26" s="11" t="str">
        <x:v>M-SSG</x:v>
      </x:c>
      <x:c r="D26" s="11" t="str">
        <x:v>Ocean sustainment group</x:v>
      </x:c>
      <x:c r="E26" s="12" t="n">
        <x:v>2</x:v>
      </x:c>
      <x:c r="F26" s="12" t="n">
        <x:v>4</x:v>
      </x:c>
      <x:c r="G26" s="12" t="n">
        <x:v>6</x:v>
      </x:c>
      <x:c r="H26" s="12" t="n">
        <x:v>1</x:v>
      </x:c>
      <x:c r="I26" s="12" t="n">
        <x:v>1</x:v>
      </x:c>
      <x:c r="J26" s="12" t="n">
        <x:v>2</x:v>
      </x:c>
      <x:c r="K26" s="12" t="n">
        <x:v>2</x:v>
      </x:c>
      <x:c r="L26" s="12" t="n">
        <x:v>4</x:v>
      </x:c>
      <x:c r="M26" s="12" t="n">
        <x:v>8</x:v>
      </x:c>
      <x:c r="N26" s="12" t="n">
        <x:v>8</x:v>
      </x:c>
      <x:c r="O26" s="15" t="n">
        <x:f>SUM(E26:N26)</x:f>
        <x:v>38</x:v>
      </x:c>
      <x:c r="P26" s="15" t="n">
        <x:f>SUM(M26:N26)</x:f>
        <x:v>16</x:v>
      </x:c>
      <x:c r="Q26" s="14" t="str">
        <x:v>Pass 23 retained</x:v>
      </x:c>
      <x:c r="R26" s="14" t="str">
        <x:v>Inherited Pass 23 package</x:v>
      </x:c>
    </x:row>
    <x:row r="27" ht="34" customHeight="1">
      <x:c r="C27" s="11" t="str">
        <x:v>I-CUG</x:v>
      </x:c>
      <x:c r="D27" s="11" t="str">
        <x:v>Communications utility group</x:v>
      </x:c>
      <x:c r="E27" s="12" t="n">
        <x:v>6</x:v>
      </x:c>
      <x:c r="F27" s="12" t="n">
        <x:v>6</x:v>
      </x:c>
      <x:c r="G27" s="12" t="n">
        <x:v>8</x:v>
      </x:c>
      <x:c r="H27" s="12" t="n">
        <x:v>4</x:v>
      </x:c>
      <x:c r="I27" s="12" t="n">
        <x:v>4</x:v>
      </x:c>
      <x:c r="J27" s="12" t="n">
        <x:v>5</x:v>
      </x:c>
      <x:c r="K27" s="12" t="n">
        <x:v>5</x:v>
      </x:c>
      <x:c r="L27" s="12" t="n">
        <x:v>5</x:v>
      </x:c>
      <x:c r="M27" s="12" t="n">
        <x:v>8</x:v>
      </x:c>
      <x:c r="N27" s="12" t="n">
        <x:v>8</x:v>
      </x:c>
      <x:c r="O27" s="15" t="n">
        <x:f>SUM(E27:N27)</x:f>
        <x:v>59</x:v>
      </x:c>
      <x:c r="P27" s="15" t="n">
        <x:f>SUM(M27:N27)</x:f>
        <x:v>16</x:v>
      </x:c>
      <x:c r="Q27" s="14" t="str">
        <x:v>Pass 23 retained</x:v>
      </x:c>
      <x:c r="R27" s="14" t="str">
        <x:v>Inherited Pass 23 package</x:v>
      </x:c>
    </x:row>
    <x:row r="28" ht="34" customHeight="1">
      <x:c r="C28" s="11" t="str">
        <x:v>I-TSG</x:v>
      </x:c>
      <x:c r="D28" s="11" t="str">
        <x:v>Thermal safety group</x:v>
      </x:c>
      <x:c r="E28" s="12" t="n">
        <x:v>12</x:v>
      </x:c>
      <x:c r="F28" s="12" t="n">
        <x:v>6</x:v>
      </x:c>
      <x:c r="G28" s="12" t="n">
        <x:v>8</x:v>
      </x:c>
      <x:c r="H28" s="12" t="n">
        <x:v>4</x:v>
      </x:c>
      <x:c r="I28" s="12" t="n">
        <x:v>10</x:v>
      </x:c>
      <x:c r="J28" s="12" t="n">
        <x:v>3</x:v>
      </x:c>
      <x:c r="K28" s="12" t="n">
        <x:v>4</x:v>
      </x:c>
      <x:c r="L28" s="12" t="n">
        <x:v>5</x:v>
      </x:c>
      <x:c r="M28" s="12" t="n">
        <x:v>6</x:v>
      </x:c>
      <x:c r="N28" s="12" t="n">
        <x:v>5</x:v>
      </x:c>
      <x:c r="O28" s="15" t="n">
        <x:f>SUM(E28:N28)</x:f>
        <x:v>63</x:v>
      </x:c>
      <x:c r="P28" s="15" t="n">
        <x:f>SUM(M28:N28)</x:f>
        <x:v>11</x:v>
      </x:c>
      <x:c r="Q28" s="14" t="str">
        <x:v>Pass 23 retained</x:v>
      </x:c>
      <x:c r="R28" s="14" t="str">
        <x:v>Inherited Pass 23 package</x:v>
      </x:c>
    </x:row>
    <x:row r="29" ht="34" customHeight="1">
      <x:c r="C29" s="11" t="str">
        <x:v>I-URG</x:v>
      </x:c>
      <x:c r="D29" s="11" t="str">
        <x:v>Utility reconstruction group</x:v>
      </x:c>
      <x:c r="E29" s="12" t="n">
        <x:v>8</x:v>
      </x:c>
      <x:c r="F29" s="12" t="n">
        <x:v>8</x:v>
      </x:c>
      <x:c r="G29" s="12" t="n">
        <x:v>12</x:v>
      </x:c>
      <x:c r="H29" s="12" t="n">
        <x:v>3</x:v>
      </x:c>
      <x:c r="I29" s="12" t="n">
        <x:v>4</x:v>
      </x:c>
      <x:c r="J29" s="12" t="n">
        <x:v>6</x:v>
      </x:c>
      <x:c r="K29" s="12" t="n">
        <x:v>8</x:v>
      </x:c>
      <x:c r="L29" s="12" t="n">
        <x:v>6</x:v>
      </x:c>
      <x:c r="M29" s="12" t="n">
        <x:v>10</x:v>
      </x:c>
      <x:c r="N29" s="12" t="n">
        <x:v>8</x:v>
      </x:c>
      <x:c r="O29" s="15" t="n">
        <x:f>SUM(E29:N29)</x:f>
        <x:v>73</x:v>
      </x:c>
      <x:c r="P29" s="15" t="n">
        <x:f>SUM(M29:N29)</x:f>
        <x:v>18</x:v>
      </x:c>
      <x:c r="Q29" s="14" t="str">
        <x:v>Pass 23 retained</x:v>
      </x:c>
      <x:c r="R29" s="14" t="str">
        <x:v>Inherited Pass 23 package</x:v>
      </x:c>
    </x:row>
    <x:row r="30" ht="34" customHeight="1">
      <x:c r="C30" s="11" t="str">
        <x:v>H-CHC</x:v>
      </x:c>
      <x:c r="D30" s="11" t="str">
        <x:v>Community health continuity group</x:v>
      </x:c>
      <x:c r="E30" s="12" t="n">
        <x:v>8</x:v>
      </x:c>
      <x:c r="F30" s="12" t="n">
        <x:v>8</x:v>
      </x:c>
      <x:c r="G30" s="12" t="n">
        <x:v>10</x:v>
      </x:c>
      <x:c r="H30" s="12" t="n">
        <x:v>4</x:v>
      </x:c>
      <x:c r="I30" s="12" t="n">
        <x:v>8</x:v>
      </x:c>
      <x:c r="J30" s="12" t="n">
        <x:v>5</x:v>
      </x:c>
      <x:c r="K30" s="12" t="n">
        <x:v>6</x:v>
      </x:c>
      <x:c r="L30" s="12" t="n">
        <x:v>6</x:v>
      </x:c>
      <x:c r="M30" s="12" t="n">
        <x:v>10</x:v>
      </x:c>
      <x:c r="N30" s="12" t="n">
        <x:v>10</x:v>
      </x:c>
      <x:c r="O30" s="15" t="n">
        <x:f>SUM(E30:N30)</x:f>
        <x:v>75</x:v>
      </x:c>
      <x:c r="P30" s="15" t="n">
        <x:f>SUM(M30:N30)</x:f>
        <x:v>20</x:v>
      </x:c>
      <x:c r="Q30" s="14" t="str">
        <x:v>Pass 23 retained</x:v>
      </x:c>
      <x:c r="R30" s="14" t="str">
        <x:v>Inherited Pass 23 package</x:v>
      </x:c>
    </x:row>
    <x:row r="31" ht="34" customHeight="1">
      <x:c r="C31" s="11" t="str">
        <x:v>H-MAC</x:v>
      </x:c>
      <x:c r="D31" s="11" t="str">
        <x:v>Mobile acute-care group</x:v>
      </x:c>
      <x:c r="E31" s="12" t="n">
        <x:v>4</x:v>
      </x:c>
      <x:c r="F31" s="12" t="n">
        <x:v>5</x:v>
      </x:c>
      <x:c r="G31" s="12" t="n">
        <x:v>8</x:v>
      </x:c>
      <x:c r="H31" s="12" t="n">
        <x:v>3</x:v>
      </x:c>
      <x:c r="I31" s="12" t="n">
        <x:v>4</x:v>
      </x:c>
      <x:c r="J31" s="12" t="n">
        <x:v>3</x:v>
      </x:c>
      <x:c r="K31" s="12" t="n">
        <x:v>5</x:v>
      </x:c>
      <x:c r="L31" s="12" t="n">
        <x:v>3</x:v>
      </x:c>
      <x:c r="M31" s="12" t="n">
        <x:v>8</x:v>
      </x:c>
      <x:c r="N31" s="12" t="n">
        <x:v>6</x:v>
      </x:c>
      <x:c r="O31" s="15" t="n">
        <x:f>SUM(E31:N31)</x:f>
        <x:v>49</x:v>
      </x:c>
      <x:c r="P31" s="15" t="n">
        <x:f>SUM(M31:N31)</x:f>
        <x:v>14</x:v>
      </x:c>
      <x:c r="Q31" s="14" t="str">
        <x:v>Pass 23 retained</x:v>
      </x:c>
      <x:c r="R31" s="14" t="str">
        <x:v>Inherited Pass 23 package</x:v>
      </x:c>
    </x:row>
    <x:row r="32" ht="34" customHeight="1">
      <x:c r="C32" s="11" t="str">
        <x:v>H-PHC</x:v>
      </x:c>
      <x:c r="D32" s="11" t="str">
        <x:v>Public-health control group</x:v>
      </x:c>
      <x:c r="E32" s="12" t="n">
        <x:v>4</x:v>
      </x:c>
      <x:c r="F32" s="12" t="n">
        <x:v>4</x:v>
      </x:c>
      <x:c r="G32" s="12" t="n">
        <x:v>5</x:v>
      </x:c>
      <x:c r="H32" s="12" t="n">
        <x:v>3</x:v>
      </x:c>
      <x:c r="I32" s="12" t="n">
        <x:v>4</x:v>
      </x:c>
      <x:c r="J32" s="12" t="n">
        <x:v>3</x:v>
      </x:c>
      <x:c r="K32" s="12" t="n">
        <x:v>3</x:v>
      </x:c>
      <x:c r="L32" s="12" t="n">
        <x:v>4</x:v>
      </x:c>
      <x:c r="M32" s="12" t="n">
        <x:v>6</x:v>
      </x:c>
      <x:c r="N32" s="12" t="n">
        <x:v>6</x:v>
      </x:c>
      <x:c r="O32" s="15" t="n">
        <x:f>SUM(E32:N32)</x:f>
        <x:v>42</x:v>
      </x:c>
      <x:c r="P32" s="15" t="n">
        <x:f>SUM(M32:N32)</x:f>
        <x:v>12</x:v>
      </x:c>
      <x:c r="Q32" s="14" t="str">
        <x:v>Pass 23 retained</x:v>
      </x:c>
      <x:c r="R32" s="14" t="str">
        <x:v>Inherited Pass 23 package</x:v>
      </x:c>
    </x:row>
    <x:row r="33" ht="34" customHeight="1">
      <x:c r="C33" s="11" t="str">
        <x:v>H-HWR</x:v>
      </x:c>
      <x:c r="D33" s="11" t="str">
        <x:v>Health workforce replacement group</x:v>
      </x:c>
      <x:c r="E33" s="12" t="n">
        <x:v>8</x:v>
      </x:c>
      <x:c r="F33" s="12" t="n">
        <x:v>8</x:v>
      </x:c>
      <x:c r="G33" s="12" t="n">
        <x:v>10</x:v>
      </x:c>
      <x:c r="H33" s="12" t="n">
        <x:v>4</x:v>
      </x:c>
      <x:c r="I33" s="12" t="n">
        <x:v>8</x:v>
      </x:c>
      <x:c r="J33" s="12" t="n">
        <x:v>5</x:v>
      </x:c>
      <x:c r="K33" s="12" t="n">
        <x:v>6</x:v>
      </x:c>
      <x:c r="L33" s="12" t="n">
        <x:v>6</x:v>
      </x:c>
      <x:c r="M33" s="12" t="n">
        <x:v>10</x:v>
      </x:c>
      <x:c r="N33" s="12" t="n">
        <x:v>10</x:v>
      </x:c>
      <x:c r="O33" s="15" t="n">
        <x:f>SUM(E33:N33)</x:f>
        <x:v>75</x:v>
      </x:c>
      <x:c r="P33" s="15" t="n">
        <x:f>SUM(M33:N33)</x:f>
        <x:v>20</x:v>
      </x:c>
      <x:c r="Q33" s="14" t="str">
        <x:v>Pass 23 retained</x:v>
      </x:c>
      <x:c r="R33" s="14" t="str">
        <x:v>Inherited Pass 23 package</x:v>
      </x:c>
    </x:row>
    <x:row r="34" ht="34" customHeight="1">
      <x:c r="C34" s="11" t="str">
        <x:v>C-PSG</x:v>
      </x:c>
      <x:c r="D34" s="11" t="str">
        <x:v>Population support group</x:v>
      </x:c>
      <x:c r="E34" s="12" t="n">
        <x:v>10</x:v>
      </x:c>
      <x:c r="F34" s="12" t="n">
        <x:v>14</x:v>
      </x:c>
      <x:c r="G34" s="12" t="n">
        <x:v>16</x:v>
      </x:c>
      <x:c r="H34" s="12" t="n">
        <x:v>4</x:v>
      </x:c>
      <x:c r="I34" s="12" t="n">
        <x:v>8</x:v>
      </x:c>
      <x:c r="J34" s="12" t="n">
        <x:v>8</x:v>
      </x:c>
      <x:c r="K34" s="12" t="n">
        <x:v>10</x:v>
      </x:c>
      <x:c r="L34" s="12" t="n">
        <x:v>8</x:v>
      </x:c>
      <x:c r="M34" s="12" t="n">
        <x:v>14</x:v>
      </x:c>
      <x:c r="N34" s="12" t="n">
        <x:v>16</x:v>
      </x:c>
      <x:c r="O34" s="15" t="n">
        <x:f>SUM(E34:N34)</x:f>
        <x:v>108</x:v>
      </x:c>
      <x:c r="P34" s="15" t="n">
        <x:f>SUM(M34:N34)</x:f>
        <x:v>30</x:v>
      </x:c>
      <x:c r="Q34" s="14" t="str">
        <x:v>Pass 23 retained</x:v>
      </x:c>
      <x:c r="R34" s="14" t="str">
        <x:v>Inherited Pass 23 package</x:v>
      </x:c>
    </x:row>
    <x:row r="35" ht="34" customHeight="1">
      <x:c r="C35" s="11" t="str">
        <x:v>C-EGG</x:v>
      </x:c>
      <x:c r="D35" s="11" t="str">
        <x:v>Essential-goods group</x:v>
      </x:c>
      <x:c r="E35" s="12" t="n">
        <x:v>10</x:v>
      </x:c>
      <x:c r="F35" s="12" t="n">
        <x:v>14</x:v>
      </x:c>
      <x:c r="G35" s="12" t="n">
        <x:v>16</x:v>
      </x:c>
      <x:c r="H35" s="12" t="n">
        <x:v>4</x:v>
      </x:c>
      <x:c r="I35" s="12" t="n">
        <x:v>8</x:v>
      </x:c>
      <x:c r="J35" s="12" t="n">
        <x:v>8</x:v>
      </x:c>
      <x:c r="K35" s="12" t="n">
        <x:v>10</x:v>
      </x:c>
      <x:c r="L35" s="12" t="n">
        <x:v>8</x:v>
      </x:c>
      <x:c r="M35" s="12" t="n">
        <x:v>14</x:v>
      </x:c>
      <x:c r="N35" s="12" t="n">
        <x:v>16</x:v>
      </x:c>
      <x:c r="O35" s="15" t="n">
        <x:f>SUM(E35:N35)</x:f>
        <x:v>108</x:v>
      </x:c>
      <x:c r="P35" s="15" t="n">
        <x:f>SUM(M35:N35)</x:f>
        <x:v>30</x:v>
      </x:c>
      <x:c r="Q35" s="14" t="str">
        <x:v>Pass 23 retained</x:v>
      </x:c>
      <x:c r="R35" s="14" t="str">
        <x:v>Inherited Pass 23 package</x:v>
      </x:c>
    </x:row>
    <x:row r="36" ht="34" customHeight="1">
      <x:c r="C36" s="11" t="str">
        <x:v>C-CAG</x:v>
      </x:c>
      <x:c r="D36" s="11" t="str">
        <x:v>Civil access group</x:v>
      </x:c>
      <x:c r="E36" s="12" t="n">
        <x:v>8</x:v>
      </x:c>
      <x:c r="F36" s="12" t="n">
        <x:v>10</x:v>
      </x:c>
      <x:c r="G36" s="12" t="n">
        <x:v>12</x:v>
      </x:c>
      <x:c r="H36" s="12" t="n">
        <x:v>4</x:v>
      </x:c>
      <x:c r="I36" s="12" t="n">
        <x:v>6</x:v>
      </x:c>
      <x:c r="J36" s="12" t="n">
        <x:v>6</x:v>
      </x:c>
      <x:c r="K36" s="12" t="n">
        <x:v>8</x:v>
      </x:c>
      <x:c r="L36" s="12" t="n">
        <x:v>6</x:v>
      </x:c>
      <x:c r="M36" s="12" t="n">
        <x:v>10</x:v>
      </x:c>
      <x:c r="N36" s="12" t="n">
        <x:v>12</x:v>
      </x:c>
      <x:c r="O36" s="15" t="n">
        <x:f>SUM(E36:N36)</x:f>
        <x:v>82</x:v>
      </x:c>
      <x:c r="P36" s="15" t="n">
        <x:f>SUM(M36:N36)</x:f>
        <x:v>22</x:v>
      </x:c>
      <x:c r="Q36" s="14" t="str">
        <x:v>Pass 23 retained</x:v>
      </x:c>
      <x:c r="R36" s="14" t="str">
        <x:v>Inherited Pass 23 package</x:v>
      </x:c>
    </x:row>
    <x:row r="37" ht="34" customHeight="1">
      <x:c r="C37" s="11" t="str">
        <x:v>C-DTG</x:v>
      </x:c>
      <x:c r="D37" s="11" t="str">
        <x:v>Displacement transition group</x:v>
      </x:c>
      <x:c r="E37" s="12" t="n">
        <x:v>6</x:v>
      </x:c>
      <x:c r="F37" s="12" t="n">
        <x:v>10</x:v>
      </x:c>
      <x:c r="G37" s="12" t="n">
        <x:v>12</x:v>
      </x:c>
      <x:c r="H37" s="12" t="n">
        <x:v>2</x:v>
      </x:c>
      <x:c r="I37" s="12" t="n">
        <x:v>6</x:v>
      </x:c>
      <x:c r="J37" s="12" t="n">
        <x:v>5</x:v>
      </x:c>
      <x:c r="K37" s="12" t="n">
        <x:v>8</x:v>
      </x:c>
      <x:c r="L37" s="12" t="n">
        <x:v>6</x:v>
      </x:c>
      <x:c r="M37" s="12" t="n">
        <x:v>10</x:v>
      </x:c>
      <x:c r="N37" s="12" t="n">
        <x:v>14</x:v>
      </x:c>
      <x:c r="O37" s="15" t="n">
        <x:f>SUM(E37:N37)</x:f>
        <x:v>79</x:v>
      </x:c>
      <x:c r="P37" s="15" t="n">
        <x:f>SUM(M37:N37)</x:f>
        <x:v>24</x:v>
      </x:c>
      <x:c r="Q37" s="14" t="str">
        <x:v>Pass 23 retained</x:v>
      </x:c>
      <x:c r="R37" s="14" t="str">
        <x:v>Inherited Pass 23 package</x:v>
      </x:c>
    </x:row>
    <x:row r="38" ht="34" customHeight="1">
      <x:c r="C38" s="11" t="str">
        <x:v>C-CIG</x:v>
      </x:c>
      <x:c r="D38" s="11" t="str">
        <x:v>Community institutions group</x:v>
      </x:c>
      <x:c r="E38" s="12" t="n">
        <x:v>6</x:v>
      </x:c>
      <x:c r="F38" s="12" t="n">
        <x:v>8</x:v>
      </x:c>
      <x:c r="G38" s="12" t="n">
        <x:v>10</x:v>
      </x:c>
      <x:c r="H38" s="12" t="n">
        <x:v>3</x:v>
      </x:c>
      <x:c r="I38" s="12" t="n">
        <x:v>5</x:v>
      </x:c>
      <x:c r="J38" s="12" t="n">
        <x:v>5</x:v>
      </x:c>
      <x:c r="K38" s="12" t="n">
        <x:v>6</x:v>
      </x:c>
      <x:c r="L38" s="12" t="n">
        <x:v>5</x:v>
      </x:c>
      <x:c r="M38" s="12" t="n">
        <x:v>8</x:v>
      </x:c>
      <x:c r="N38" s="12" t="n">
        <x:v>10</x:v>
      </x:c>
      <x:c r="O38" s="15" t="n">
        <x:f>SUM(E38:N38)</x:f>
        <x:v>66</x:v>
      </x:c>
      <x:c r="P38" s="15" t="n">
        <x:f>SUM(M38:N38)</x:f>
        <x:v>18</x:v>
      </x:c>
      <x:c r="Q38" s="14" t="str">
        <x:v>Pass 23 retained</x:v>
      </x:c>
      <x:c r="R38" s="14" t="str">
        <x:v>Inherited Pass 23 package</x:v>
      </x:c>
    </x:row>
    <x:row r="39" ht="34" customHeight="1">
      <x:c r="C39" s="11" t="str">
        <x:v>J-RIG</x:v>
      </x:c>
      <x:c r="D39" s="11" t="str">
        <x:v>Resilience information group</x:v>
      </x:c>
      <x:c r="E39" s="12" t="n">
        <x:v>6</x:v>
      </x:c>
      <x:c r="F39" s="12" t="n">
        <x:v>6</x:v>
      </x:c>
      <x:c r="G39" s="12" t="n">
        <x:v>8</x:v>
      </x:c>
      <x:c r="H39" s="12" t="n">
        <x:v>4</x:v>
      </x:c>
      <x:c r="I39" s="12" t="n">
        <x:v>4</x:v>
      </x:c>
      <x:c r="J39" s="12" t="n">
        <x:v>5</x:v>
      </x:c>
      <x:c r="K39" s="12" t="n">
        <x:v>5</x:v>
      </x:c>
      <x:c r="L39" s="12" t="n">
        <x:v>5</x:v>
      </x:c>
      <x:c r="M39" s="12" t="n">
        <x:v>8</x:v>
      </x:c>
      <x:c r="N39" s="12" t="n">
        <x:v>8</x:v>
      </x:c>
      <x:c r="O39" s="15" t="n">
        <x:f>SUM(E39:N39)</x:f>
        <x:v>59</x:v>
      </x:c>
      <x:c r="P39" s="15" t="n">
        <x:f>SUM(M39:N39)</x:f>
        <x:v>16</x:v>
      </x:c>
      <x:c r="Q39" s="14" t="str">
        <x:v>Pass 58 canonical addition</x:v>
      </x:c>
      <x:c r="R39" s="14" t="str">
        <x:v>Declared effect-based package; calibrate with service-deficit curves</x:v>
      </x:c>
    </x:row>
    <x:row r="40" ht="34" customHeight="1">
      <x:c r="C40" s="11" t="str">
        <x:v>M-MPG</x:v>
      </x:c>
      <x:c r="D40" s="11" t="str">
        <x:v>Maritime production group</x:v>
      </x:c>
      <x:c r="E40" s="12" t="n">
        <x:v>2</x:v>
      </x:c>
      <x:c r="F40" s="12" t="n">
        <x:v>4</x:v>
      </x:c>
      <x:c r="G40" s="12" t="n">
        <x:v>4</x:v>
      </x:c>
      <x:c r="H40" s="12" t="n">
        <x:v>1</x:v>
      </x:c>
      <x:c r="I40" s="12" t="n">
        <x:v>2</x:v>
      </x:c>
      <x:c r="J40" s="12" t="n">
        <x:v>2</x:v>
      </x:c>
      <x:c r="K40" s="12" t="n">
        <x:v>1</x:v>
      </x:c>
      <x:c r="L40" s="12" t="n">
        <x:v>4</x:v>
      </x:c>
      <x:c r="M40" s="12" t="n">
        <x:v>4</x:v>
      </x:c>
      <x:c r="N40" s="12" t="n">
        <x:v>4</x:v>
      </x:c>
      <x:c r="O40" s="15" t="n">
        <x:f>SUM(E40:N40)</x:f>
        <x:v>28</x:v>
      </x:c>
      <x:c r="P40" s="15" t="n">
        <x:f>SUM(M40:N40)</x:f>
        <x:v>8</x:v>
      </x:c>
      <x:c r="Q40" s="14" t="str">
        <x:v>Pass 58 canonical addition</x:v>
      </x:c>
      <x:c r="R40" s="14" t="str">
        <x:v>Declared effect-based package; calibrate with service-deficit curves</x:v>
      </x:c>
    </x:row>
    <x:row r="41" ht="34" customHeight="1">
      <x:c r="C41" s="11" t="str">
        <x:v>I-WRG</x:v>
      </x:c>
      <x:c r="D41" s="11" t="str">
        <x:v>Water restoration group</x:v>
      </x:c>
      <x:c r="E41" s="12" t="n">
        <x:v>6</x:v>
      </x:c>
      <x:c r="F41" s="12" t="n">
        <x:v>6</x:v>
      </x:c>
      <x:c r="G41" s="12" t="n">
        <x:v>8</x:v>
      </x:c>
      <x:c r="H41" s="12" t="n">
        <x:v>2</x:v>
      </x:c>
      <x:c r="I41" s="12" t="n">
        <x:v>2</x:v>
      </x:c>
      <x:c r="J41" s="12" t="n">
        <x:v>4</x:v>
      </x:c>
      <x:c r="K41" s="12" t="n">
        <x:v>3</x:v>
      </x:c>
      <x:c r="L41" s="12" t="n">
        <x:v>8</x:v>
      </x:c>
      <x:c r="M41" s="12" t="n">
        <x:v>8</x:v>
      </x:c>
      <x:c r="N41" s="12" t="n">
        <x:v>7</x:v>
      </x:c>
      <x:c r="O41" s="15" t="n">
        <x:f>SUM(E41:N41)</x:f>
        <x:v>54</x:v>
      </x:c>
      <x:c r="P41" s="15" t="n">
        <x:f>SUM(M41:N41)</x:f>
        <x:v>15</x:v>
      </x:c>
      <x:c r="Q41" s="14" t="str">
        <x:v>Pass 58 canonical addition</x:v>
      </x:c>
      <x:c r="R41" s="14" t="str">
        <x:v>Declared effect-based package; calibrate with service-deficit curves</x:v>
      </x:c>
    </x:row>
    <x:row r="42" ht="34" customHeight="1">
      <x:c r="C42" s="11" t="str">
        <x:v>I-PRG</x:v>
      </x:c>
      <x:c r="D42" s="11" t="str">
        <x:v>Power restoration group</x:v>
      </x:c>
      <x:c r="E42" s="12" t="n">
        <x:v>8</x:v>
      </x:c>
      <x:c r="F42" s="12" t="n">
        <x:v>6</x:v>
      </x:c>
      <x:c r="G42" s="12" t="n">
        <x:v>10</x:v>
      </x:c>
      <x:c r="H42" s="12" t="n">
        <x:v>3</x:v>
      </x:c>
      <x:c r="I42" s="12" t="n">
        <x:v>6</x:v>
      </x:c>
      <x:c r="J42" s="12" t="n">
        <x:v>5</x:v>
      </x:c>
      <x:c r="K42" s="12" t="n">
        <x:v>4</x:v>
      </x:c>
      <x:c r="L42" s="12" t="n">
        <x:v>6</x:v>
      </x:c>
      <x:c r="M42" s="12" t="n">
        <x:v>8</x:v>
      </x:c>
      <x:c r="N42" s="12" t="n">
        <x:v>7</x:v>
      </x:c>
      <x:c r="O42" s="15" t="n">
        <x:f>SUM(E42:N42)</x:f>
        <x:v>63</x:v>
      </x:c>
      <x:c r="P42" s="15" t="n">
        <x:f>SUM(M42:N42)</x:f>
        <x:v>15</x:v>
      </x:c>
      <x:c r="Q42" s="14" t="str">
        <x:v>Pass 58 canonical addition</x:v>
      </x:c>
      <x:c r="R42" s="14" t="str">
        <x:v>Declared effect-based package; calibrate with service-deficit curves</x:v>
      </x:c>
    </x:row>
    <x:row r="43" ht="34" customHeight="1">
      <x:c r="C43" s="11" t="str">
        <x:v>I-GBG</x:v>
      </x:c>
      <x:c r="D43" s="11" t="str">
        <x:v>Grid bridge group</x:v>
      </x:c>
      <x:c r="E43" s="12" t="n">
        <x:v>6</x:v>
      </x:c>
      <x:c r="F43" s="12" t="n">
        <x:v>5</x:v>
      </x:c>
      <x:c r="G43" s="12" t="n">
        <x:v>8</x:v>
      </x:c>
      <x:c r="H43" s="12" t="n">
        <x:v>2</x:v>
      </x:c>
      <x:c r="I43" s="12" t="n">
        <x:v>5</x:v>
      </x:c>
      <x:c r="J43" s="12" t="n">
        <x:v>4</x:v>
      </x:c>
      <x:c r="K43" s="12" t="n">
        <x:v>3</x:v>
      </x:c>
      <x:c r="L43" s="12" t="n">
        <x:v>4</x:v>
      </x:c>
      <x:c r="M43" s="12" t="n">
        <x:v>6</x:v>
      </x:c>
      <x:c r="N43" s="12" t="n">
        <x:v>5</x:v>
      </x:c>
      <x:c r="O43" s="15" t="n">
        <x:f>SUM(E43:N43)</x:f>
        <x:v>48</x:v>
      </x:c>
      <x:c r="P43" s="15" t="n">
        <x:f>SUM(M43:N43)</x:f>
        <x:v>11</x:v>
      </x:c>
      <x:c r="Q43" s="14" t="str">
        <x:v>Pass 58 canonical addition</x:v>
      </x:c>
      <x:c r="R43" s="14" t="str">
        <x:v>Declared effect-based package; calibrate with service-deficit curves</x:v>
      </x:c>
    </x:row>
    <x:row r="44" ht="34" customHeight="1">
      <x:c r="C44" s="11" t="str">
        <x:v>H-THC</x:v>
      </x:c>
      <x:c r="D44" s="11" t="str">
        <x:v>Theater hospital command</x:v>
      </x:c>
      <x:c r="E44" s="12" t="n">
        <x:v>2</x:v>
      </x:c>
      <x:c r="F44" s="12" t="n">
        <x:v>3</x:v>
      </x:c>
      <x:c r="G44" s="12" t="n">
        <x:v>4</x:v>
      </x:c>
      <x:c r="H44" s="12" t="n">
        <x:v>2</x:v>
      </x:c>
      <x:c r="I44" s="12" t="n">
        <x:v>2</x:v>
      </x:c>
      <x:c r="J44" s="12" t="n">
        <x:v>2</x:v>
      </x:c>
      <x:c r="K44" s="12" t="n">
        <x:v>3</x:v>
      </x:c>
      <x:c r="L44" s="12" t="n">
        <x:v>2</x:v>
      </x:c>
      <x:c r="M44" s="12" t="n">
        <x:v>4</x:v>
      </x:c>
      <x:c r="N44" s="12" t="n">
        <x:v>4</x:v>
      </x:c>
      <x:c r="O44" s="15" t="n">
        <x:f>SUM(E44:N44)</x:f>
        <x:v>28</x:v>
      </x:c>
      <x:c r="P44" s="15" t="n">
        <x:f>SUM(M44:N44)</x:f>
        <x:v>8</x:v>
      </x:c>
      <x:c r="Q44" s="14" t="str">
        <x:v>Pass 58 canonical addition</x:v>
      </x:c>
      <x:c r="R44" s="14" t="str">
        <x:v>Declared effect-based package; calibrate with service-deficit curves</x:v>
      </x:c>
    </x:row>
    <x:row r="45" ht="34" customHeight="1">
      <x:c r="C45" s="11" t="str">
        <x:v>H-PMG</x:v>
      </x:c>
      <x:c r="D45" s="11" t="str">
        <x:v>Patient movement group</x:v>
      </x:c>
      <x:c r="E45" s="12" t="n">
        <x:v>4</x:v>
      </x:c>
      <x:c r="F45" s="12" t="n">
        <x:v>5</x:v>
      </x:c>
      <x:c r="G45" s="12" t="n">
        <x:v>8</x:v>
      </x:c>
      <x:c r="H45" s="12" t="n">
        <x:v>3</x:v>
      </x:c>
      <x:c r="I45" s="12" t="n">
        <x:v>4</x:v>
      </x:c>
      <x:c r="J45" s="12" t="n">
        <x:v>3</x:v>
      </x:c>
      <x:c r="K45" s="12" t="n">
        <x:v>5</x:v>
      </x:c>
      <x:c r="L45" s="12" t="n">
        <x:v>3</x:v>
      </x:c>
      <x:c r="M45" s="12" t="n">
        <x:v>8</x:v>
      </x:c>
      <x:c r="N45" s="12" t="n">
        <x:v>6</x:v>
      </x:c>
      <x:c r="O45" s="15" t="n">
        <x:f>SUM(E45:N45)</x:f>
        <x:v>49</x:v>
      </x:c>
      <x:c r="P45" s="15" t="n">
        <x:f>SUM(M45:N45)</x:f>
        <x:v>14</x:v>
      </x:c>
      <x:c r="Q45" s="14" t="str">
        <x:v>Pass 58 canonical addition</x:v>
      </x:c>
      <x:c r="R45" s="14" t="str">
        <x:v>Declared effect-based package; calibrate with service-deficit curves</x:v>
      </x:c>
    </x:row>
    <x:row r="46" ht="34" customHeight="1">
      <x:c r="C46" s="11" t="str">
        <x:v>C-ERG</x:v>
      </x:c>
      <x:c r="D46" s="11" t="str">
        <x:v>Economic restart group</x:v>
      </x:c>
      <x:c r="E46" s="12" t="n">
        <x:v>4</x:v>
      </x:c>
      <x:c r="F46" s="12" t="n">
        <x:v>6</x:v>
      </x:c>
      <x:c r="G46" s="12" t="n">
        <x:v>8</x:v>
      </x:c>
      <x:c r="H46" s="12" t="n">
        <x:v>3</x:v>
      </x:c>
      <x:c r="I46" s="12" t="n">
        <x:v>4</x:v>
      </x:c>
      <x:c r="J46" s="12" t="n">
        <x:v>4</x:v>
      </x:c>
      <x:c r="K46" s="12" t="n">
        <x:v>5</x:v>
      </x:c>
      <x:c r="L46" s="12" t="n">
        <x:v>5</x:v>
      </x:c>
      <x:c r="M46" s="12" t="n">
        <x:v>8</x:v>
      </x:c>
      <x:c r="N46" s="12" t="n">
        <x:v>8</x:v>
      </x:c>
      <x:c r="O46" s="15" t="n">
        <x:f>SUM(E46:N46)</x:f>
        <x:v>55</x:v>
      </x:c>
      <x:c r="P46" s="15" t="n">
        <x:f>SUM(M46:N46)</x:f>
        <x:v>16</x:v>
      </x:c>
      <x:c r="Q46" s="14" t="str">
        <x:v>Pass 58 canonical addition</x:v>
      </x:c>
      <x:c r="R46" s="14" t="str">
        <x:v>Declared effect-based package; calibrate with service-deficit curves</x:v>
      </x:c>
    </x:row>
    <x:row r="47" ht="34" customHeight="1">
      <x:c r="C47" s="11" t="str">
        <x:v>CM-HCG</x:v>
      </x:c>
      <x:c r="D47" s="11" t="str">
        <x:v>Household collection group</x:v>
      </x:c>
      <x:c r="E47" s="12" t="n">
        <x:v>6</x:v>
      </x:c>
      <x:c r="F47" s="12" t="n">
        <x:v>8</x:v>
      </x:c>
      <x:c r="G47" s="12" t="n">
        <x:v>10</x:v>
      </x:c>
      <x:c r="H47" s="12" t="n">
        <x:v>3</x:v>
      </x:c>
      <x:c r="I47" s="12" t="n">
        <x:v>6</x:v>
      </x:c>
      <x:c r="J47" s="12" t="n">
        <x:v>5</x:v>
      </x:c>
      <x:c r="K47" s="12" t="n">
        <x:v>6</x:v>
      </x:c>
      <x:c r="L47" s="12" t="n">
        <x:v>5</x:v>
      </x:c>
      <x:c r="M47" s="12" t="n">
        <x:v>10</x:v>
      </x:c>
      <x:c r="N47" s="12" t="n">
        <x:v>10</x:v>
      </x:c>
      <x:c r="O47" s="15" t="n">
        <x:f>SUM(E47:N47)</x:f>
        <x:v>69</x:v>
      </x:c>
      <x:c r="P47" s="15" t="n">
        <x:f>SUM(M47:N47)</x:f>
        <x:v>20</x:v>
      </x:c>
      <x:c r="Q47" s="14" t="str">
        <x:v>Pass 58 canonical addition</x:v>
      </x:c>
      <x:c r="R47" s="14" t="str">
        <x:v>Declared effect-based package; calibrate with service-deficit curves</x:v>
      </x:c>
    </x:row>
    <x:row r="48" ht="34" customHeight="1">
      <x:c r="C48" s="11" t="str">
        <x:v>CM-CTN</x:v>
      </x:c>
      <x:c r="D48" s="11" t="str">
        <x:v>Continuity transfer-node group</x:v>
      </x:c>
      <x:c r="E48" s="12" t="n">
        <x:v>4</x:v>
      </x:c>
      <x:c r="F48" s="12" t="n">
        <x:v>6</x:v>
      </x:c>
      <x:c r="G48" s="12" t="n">
        <x:v>8</x:v>
      </x:c>
      <x:c r="H48" s="12" t="n">
        <x:v>3</x:v>
      </x:c>
      <x:c r="I48" s="12" t="n">
        <x:v>4</x:v>
      </x:c>
      <x:c r="J48" s="12" t="n">
        <x:v>4</x:v>
      </x:c>
      <x:c r="K48" s="12" t="n">
        <x:v>5</x:v>
      </x:c>
      <x:c r="L48" s="12" t="n">
        <x:v>4</x:v>
      </x:c>
      <x:c r="M48" s="12" t="n">
        <x:v>8</x:v>
      </x:c>
      <x:c r="N48" s="12" t="n">
        <x:v>8</x:v>
      </x:c>
      <x:c r="O48" s="15" t="n">
        <x:f>SUM(E48:N48)</x:f>
        <x:v>54</x:v>
      </x:c>
      <x:c r="P48" s="15" t="n">
        <x:f>SUM(M48:N48)</x:f>
        <x:v>16</x:v>
      </x:c>
      <x:c r="Q48" s="14" t="str">
        <x:v>Pass 58 canonical addition</x:v>
      </x:c>
      <x:c r="R48" s="14" t="str">
        <x:v>Declared effect-based package; calibrate with service-deficit curves</x:v>
      </x:c>
    </x:row>
    <x:row r="49" ht="34" customHeight="1">
      <x:c r="C49" s="11" t="str">
        <x:v>CM-RMG</x:v>
      </x:c>
      <x:c r="D49" s="11" t="str">
        <x:v>Civil road-mobility group</x:v>
      </x:c>
      <x:c r="E49" s="12" t="n">
        <x:v>8</x:v>
      </x:c>
      <x:c r="F49" s="12" t="n">
        <x:v>10</x:v>
      </x:c>
      <x:c r="G49" s="12" t="n">
        <x:v>12</x:v>
      </x:c>
      <x:c r="H49" s="12" t="n">
        <x:v>4</x:v>
      </x:c>
      <x:c r="I49" s="12" t="n">
        <x:v>8</x:v>
      </x:c>
      <x:c r="J49" s="12" t="n">
        <x:v>6</x:v>
      </x:c>
      <x:c r="K49" s="12" t="n">
        <x:v>8</x:v>
      </x:c>
      <x:c r="L49" s="12" t="n">
        <x:v>6</x:v>
      </x:c>
      <x:c r="M49" s="12" t="n">
        <x:v>12</x:v>
      </x:c>
      <x:c r="N49" s="12" t="n">
        <x:v>12</x:v>
      </x:c>
      <x:c r="O49" s="15" t="n">
        <x:f>SUM(E49:N49)</x:f>
        <x:v>86</x:v>
      </x:c>
      <x:c r="P49" s="15" t="n">
        <x:f>SUM(M49:N49)</x:f>
        <x:v>24</x:v>
      </x:c>
      <x:c r="Q49" s="14" t="str">
        <x:v>Pass 58 canonical addition</x:v>
      </x:c>
      <x:c r="R49" s="14" t="str">
        <x:v>Declared effect-based package; calibrate with service-deficit curves</x:v>
      </x:c>
    </x:row>
    <x:row r="50" ht="34" customHeight="1">
      <x:c r="C50" s="11" t="str">
        <x:v>CM-RLG</x:v>
      </x:c>
      <x:c r="D50" s="11" t="str">
        <x:v>Civil rail-mobility group</x:v>
      </x:c>
      <x:c r="E50" s="12" t="n">
        <x:v>3</x:v>
      </x:c>
      <x:c r="F50" s="12" t="n">
        <x:v>4</x:v>
      </x:c>
      <x:c r="G50" s="12" t="n">
        <x:v>5</x:v>
      </x:c>
      <x:c r="H50" s="12" t="n">
        <x:v>1</x:v>
      </x:c>
      <x:c r="I50" s="12" t="n">
        <x:v>2</x:v>
      </x:c>
      <x:c r="J50" s="12" t="n">
        <x:v>2</x:v>
      </x:c>
      <x:c r="K50" s="12" t="n">
        <x:v>3</x:v>
      </x:c>
      <x:c r="L50" s="12" t="n">
        <x:v>2</x:v>
      </x:c>
      <x:c r="M50" s="12" t="n">
        <x:v>5</x:v>
      </x:c>
      <x:c r="N50" s="12" t="n">
        <x:v>5</x:v>
      </x:c>
      <x:c r="O50" s="15" t="n">
        <x:f>SUM(E50:N50)</x:f>
        <x:v>32</x:v>
      </x:c>
      <x:c r="P50" s="15" t="n">
        <x:f>SUM(M50:N50)</x:f>
        <x:v>10</x:v>
      </x:c>
      <x:c r="Q50" s="14" t="str">
        <x:v>Pass 58 canonical addition</x:v>
      </x:c>
      <x:c r="R50" s="14" t="str">
        <x:v>Declared effect-based package; calibrate with service-deficit curves</x:v>
      </x:c>
    </x:row>
    <x:row r="51" ht="34" customHeight="1">
      <x:c r="C51" s="11" t="str">
        <x:v>CM-AMG</x:v>
      </x:c>
      <x:c r="D51" s="11" t="str">
        <x:v>Civil air-mobility group</x:v>
      </x:c>
      <x:c r="E51" s="12" t="n">
        <x:v>2</x:v>
      </x:c>
      <x:c r="F51" s="12" t="n">
        <x:v>3</x:v>
      </x:c>
      <x:c r="G51" s="12" t="n">
        <x:v>4</x:v>
      </x:c>
      <x:c r="H51" s="12" t="n">
        <x:v>2</x:v>
      </x:c>
      <x:c r="I51" s="12" t="n">
        <x:v>2</x:v>
      </x:c>
      <x:c r="J51" s="12" t="n">
        <x:v>2</x:v>
      </x:c>
      <x:c r="K51" s="12" t="n">
        <x:v>3</x:v>
      </x:c>
      <x:c r="L51" s="12" t="n">
        <x:v>3</x:v>
      </x:c>
      <x:c r="M51" s="12" t="n">
        <x:v>5</x:v>
      </x:c>
      <x:c r="N51" s="12" t="n">
        <x:v>5</x:v>
      </x:c>
      <x:c r="O51" s="15" t="n">
        <x:f>SUM(E51:N51)</x:f>
        <x:v>31</x:v>
      </x:c>
      <x:c r="P51" s="15" t="n">
        <x:f>SUM(M51:N51)</x:f>
        <x:v>10</x:v>
      </x:c>
      <x:c r="Q51" s="14" t="str">
        <x:v>Pass 58 canonical addition</x:v>
      </x:c>
      <x:c r="R51" s="14" t="str">
        <x:v>Declared effect-based package; calibrate with service-deficit curves</x:v>
      </x:c>
    </x:row>
    <x:row r="52" ht="34" customHeight="1">
      <x:c r="C52" s="11" t="str">
        <x:v>CM-WMG</x:v>
      </x:c>
      <x:c r="D52" s="11" t="str">
        <x:v>Civil water-mobility group</x:v>
      </x:c>
      <x:c r="E52" s="12" t="n">
        <x:v>2</x:v>
      </x:c>
      <x:c r="F52" s="12" t="n">
        <x:v>4</x:v>
      </x:c>
      <x:c r="G52" s="12" t="n">
        <x:v>5</x:v>
      </x:c>
      <x:c r="H52" s="12" t="n">
        <x:v>1</x:v>
      </x:c>
      <x:c r="I52" s="12" t="n">
        <x:v>1</x:v>
      </x:c>
      <x:c r="J52" s="12" t="n">
        <x:v>3</x:v>
      </x:c>
      <x:c r="K52" s="12" t="n">
        <x:v>2</x:v>
      </x:c>
      <x:c r="L52" s="12" t="n">
        <x:v>3</x:v>
      </x:c>
      <x:c r="M52" s="12" t="n">
        <x:v>5</x:v>
      </x:c>
      <x:c r="N52" s="12" t="n">
        <x:v>6</x:v>
      </x:c>
      <x:c r="O52" s="15" t="n">
        <x:f>SUM(E52:N52)</x:f>
        <x:v>32</x:v>
      </x:c>
      <x:c r="P52" s="15" t="n">
        <x:f>SUM(M52:N52)</x:f>
        <x:v>11</x:v>
      </x:c>
      <x:c r="Q52" s="14" t="str">
        <x:v>Pass 58 canonical addition</x:v>
      </x:c>
      <x:c r="R52" s="14" t="str">
        <x:v>Declared effect-based package; calibrate with service-deficit curves</x:v>
      </x:c>
    </x:row>
    <x:row r="53" ht="34" customHeight="1">
      <x:c r="C53" s="11" t="str">
        <x:v>CM-RDC</x:v>
      </x:c>
      <x:c r="D53" s="11" t="str">
        <x:v>Return and durable-continuity group</x:v>
      </x:c>
      <x:c r="E53" s="12" t="n">
        <x:v>4</x:v>
      </x:c>
      <x:c r="F53" s="12" t="n">
        <x:v>6</x:v>
      </x:c>
      <x:c r="G53" s="12" t="n">
        <x:v>8</x:v>
      </x:c>
      <x:c r="H53" s="12" t="n">
        <x:v>3</x:v>
      </x:c>
      <x:c r="I53" s="12" t="n">
        <x:v>5</x:v>
      </x:c>
      <x:c r="J53" s="12" t="n">
        <x:v>4</x:v>
      </x:c>
      <x:c r="K53" s="12" t="n">
        <x:v>5</x:v>
      </x:c>
      <x:c r="L53" s="12" t="n">
        <x:v>5</x:v>
      </x:c>
      <x:c r="M53" s="12" t="n">
        <x:v>8</x:v>
      </x:c>
      <x:c r="N53" s="12" t="n">
        <x:v>10</x:v>
      </x:c>
      <x:c r="O53" s="15" t="n">
        <x:f>SUM(E53:N53)</x:f>
        <x:v>58</x:v>
      </x:c>
      <x:c r="P53" s="15" t="n">
        <x:f>SUM(M53:N53)</x:f>
        <x:v>18</x:v>
      </x:c>
      <x:c r="Q53" s="14" t="str">
        <x:v>Pass 58 canonical addition</x:v>
      </x:c>
      <x:c r="R53" s="14" t="str">
        <x:v>Declared effect-based package; calibrate with service-deficit curves</x:v>
      </x:c>
    </x:row>
  </x:sheetData>
  <x:pageMargins left="0.7" right="0.7" top="0.75" bottom="0.75" header="0.3" footer="0.3"/>
  <x:tableParts count="1">
    <x:tablePart xmlns:r="http://schemas.openxmlformats.org/officeDocument/2006/relationships" r:id="Rd5816b64f3a34a5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2" hidden="0" customWidth="1"/>
    <x:col min="4" max="4" width="31" hidden="0" customWidth="1"/>
    <x:col min="5" max="5" width="13" hidden="0" customWidth="1"/>
    <x:col min="6" max="6" width="14" hidden="0" customWidth="1"/>
    <x:col min="7" max="7" width="15" hidden="0" customWidth="1"/>
    <x:col min="8" max="8" width="16" hidden="0" customWidth="1"/>
    <x:col min="9" max="9" width="13" hidden="0" customWidth="1"/>
    <x:col min="10" max="10" width="17" hidden="0" customWidth="1"/>
    <x:col min="11" max="11" width="14" hidden="0" customWidth="1"/>
    <x:col min="12" max="12" width="13" hidden="0" customWidth="1"/>
    <x:col min="13" max="13" width="12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Canonical Owned Inventory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C3" s="3" t="str">
        <x:v>Owned inventory is the maximum of complete-readiness and global-duplicate floors; availability factors are joint capacity fractions, not independent probabilities.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>
      <x:c r="C5" s="9" t="str">
        <x:v>ID</x:v>
      </x:c>
      <x:c r="D5" s="9" t="str">
        <x:v>Formation family</x:v>
      </x:c>
      <x:c r="E5" s="9" t="str">
        <x:v>Demand</x:v>
      </x:c>
      <x:c r="F5" s="9" t="str">
        <x:v>With reserve</x:v>
      </x:c>
      <x:c r="G5" s="9" t="str">
        <x:v>Readiness bottleneck</x:v>
      </x:c>
      <x:c r="H5" s="9" t="str">
        <x:v>Readiness inventory</x:v>
      </x:c>
      <x:c r="I5" s="9" t="str">
        <x:v>Global floor</x:v>
      </x:c>
      <x:c r="J5" s="9" t="str">
        <x:v>Selected inventory</x:v>
      </x:c>
      <x:c r="K5" s="9" t="str">
        <x:v>Ready capacity</x:v>
      </x:c>
      <x:c r="L5" s="9" t="str">
        <x:v>Margin</x:v>
      </x:c>
      <x:c r="M5" s="9" t="str">
        <x:v>Status</x:v>
      </x:c>
    </x:row>
    <x:row r="6">
      <x:c r="C6" s="15" t="str">
        <x:f>'02 Formation Inputs'!C6</x:f>
        <x:v>J-CIE</x:v>
      </x:c>
      <x:c r="D6" s="15" t="str">
        <x:f>'02 Formation Inputs'!E6</x:f>
        <x:v>Civil integration and effects group</x:v>
      </x:c>
      <x:c r="E6" s="15" t="n">
        <x:f>'03 Campaign Demand'!O6</x:f>
        <x:v>34</x:v>
      </x:c>
      <x:c r="F6" s="31" t="n">
        <x:f>E6*(1+'01 Assumptions'!$D$6)</x:f>
        <x:v>40.8</x:v>
      </x:c>
      <x:c r="G6" s="31" t="n">
        <x:f>MIN('02 Formation Inputs'!K6:O6)</x:f>
        <x:v>0.78</x:v>
      </x:c>
      <x:c r="H6" s="31" t="n">
        <x:f>CEILING(F6/G6,1)</x:f>
        <x:v>53</x:v>
      </x:c>
      <x:c r="I6" s="31" t="n">
        <x:f>CEILING('03 Campaign Demand'!P6*'01 Assumptions'!$D$7,1)</x:f>
        <x:v>12</x:v>
      </x:c>
      <x:c r="J6" s="31" t="n">
        <x:f>MAX(H6:I6)</x:f>
        <x:v>53</x:v>
      </x:c>
      <x:c r="K6" s="31" t="n">
        <x:f>J6*G6</x:f>
        <x:v>41.34</x:v>
      </x:c>
      <x:c r="L6" s="31" t="n">
        <x:f>K6-F6</x:f>
        <x:v>0.5400000000000063</x:v>
      </x:c>
      <x:c r="M6" s="15" t="str">
        <x:f>IF(L6&gt;=0,"PASS","FAIL")</x:f>
        <x:v>PASS</x:v>
      </x:c>
    </x:row>
    <x:row r="7">
      <x:c r="C7" s="15" t="str">
        <x:f>'02 Formation Inputs'!C7</x:f>
        <x:v>J-TOC</x:v>
      </x:c>
      <x:c r="D7" s="15" t="str">
        <x:f>'02 Formation Inputs'!E7</x:f>
        <x:v>Theater-opening command</x:v>
      </x:c>
      <x:c r="E7" s="15" t="n">
        <x:f>'03 Campaign Demand'!O7</x:f>
        <x:v>23</x:v>
      </x:c>
      <x:c r="F7" s="31" t="n">
        <x:f>E7*(1+'01 Assumptions'!$D$6)</x:f>
        <x:v>27.599999999999998</x:v>
      </x:c>
      <x:c r="G7" s="31" t="n">
        <x:f>MIN('02 Formation Inputs'!K7:O7)</x:f>
        <x:v>0.78</x:v>
      </x:c>
      <x:c r="H7" s="31" t="n">
        <x:f>CEILING(F7/G7,1)</x:f>
        <x:v>36</x:v>
      </x:c>
      <x:c r="I7" s="31" t="n">
        <x:f>CEILING('03 Campaign Demand'!P7*'01 Assumptions'!$D$7,1)</x:f>
        <x:v>9</x:v>
      </x:c>
      <x:c r="J7" s="31" t="n">
        <x:f>MAX(H7:I7)</x:f>
        <x:v>36</x:v>
      </x:c>
      <x:c r="K7" s="31" t="n">
        <x:f>J7*G7</x:f>
        <x:v>28.080000000000002</x:v>
      </x:c>
      <x:c r="L7" s="31" t="n">
        <x:f>K7-F7</x:f>
        <x:v>0.480000000000004</x:v>
      </x:c>
      <x:c r="M7" s="15" t="str">
        <x:f>IF(L7&gt;=0,"PASS","FAIL")</x:f>
        <x:v>PASS</x:v>
      </x:c>
    </x:row>
    <x:row r="8">
      <x:c r="C8" s="15" t="str">
        <x:f>'02 Formation Inputs'!C8</x:f>
        <x:v>J-TSC</x:v>
      </x:c>
      <x:c r="D8" s="15" t="str">
        <x:f>'02 Formation Inputs'!E8</x:f>
        <x:v>Theater sustainment command</x:v>
      </x:c>
      <x:c r="E8" s="15" t="n">
        <x:f>'03 Campaign Demand'!O8</x:f>
        <x:v>33</x:v>
      </x:c>
      <x:c r="F8" s="31" t="n">
        <x:f>E8*(1+'01 Assumptions'!$D$6)</x:f>
        <x:v>39.6</x:v>
      </x:c>
      <x:c r="G8" s="31" t="n">
        <x:f>MIN('02 Formation Inputs'!K8:O8)</x:f>
        <x:v>0.78</x:v>
      </x:c>
      <x:c r="H8" s="31" t="n">
        <x:f>CEILING(F8/G8,1)</x:f>
        <x:v>51</x:v>
      </x:c>
      <x:c r="I8" s="31" t="n">
        <x:f>CEILING('03 Campaign Demand'!P8*'01 Assumptions'!$D$7,1)</x:f>
        <x:v>12</x:v>
      </x:c>
      <x:c r="J8" s="31" t="n">
        <x:f>MAX(H8:I8)</x:f>
        <x:v>51</x:v>
      </x:c>
      <x:c r="K8" s="31" t="n">
        <x:f>J8*G8</x:f>
        <x:v>39.78</x:v>
      </x:c>
      <x:c r="L8" s="31" t="n">
        <x:f>K8-F8</x:f>
        <x:v>0.17999999999999972</x:v>
      </x:c>
      <x:c r="M8" s="15" t="str">
        <x:f>IF(L8&gt;=0,"PASS","FAIL")</x:f>
        <x:v>PASS</x:v>
      </x:c>
    </x:row>
    <x:row r="9">
      <x:c r="C9" s="15" t="str">
        <x:f>'02 Formation Inputs'!C9</x:f>
        <x:v>J-RRG</x:v>
      </x:c>
      <x:c r="D9" s="15" t="str">
        <x:f>'02 Formation Inputs'!E9</x:f>
        <x:v>Replacement and reconstitution group</x:v>
      </x:c>
      <x:c r="E9" s="15" t="n">
        <x:f>'03 Campaign Demand'!O9</x:f>
        <x:v>33</x:v>
      </x:c>
      <x:c r="F9" s="31" t="n">
        <x:f>E9*(1+'01 Assumptions'!$D$6)</x:f>
        <x:v>39.6</x:v>
      </x:c>
      <x:c r="G9" s="31" t="n">
        <x:f>MIN('02 Formation Inputs'!K9:O9)</x:f>
        <x:v>0.78</x:v>
      </x:c>
      <x:c r="H9" s="31" t="n">
        <x:f>CEILING(F9/G9,1)</x:f>
        <x:v>51</x:v>
      </x:c>
      <x:c r="I9" s="31" t="n">
        <x:f>CEILING('03 Campaign Demand'!P9*'01 Assumptions'!$D$7,1)</x:f>
        <x:v>12</x:v>
      </x:c>
      <x:c r="J9" s="31" t="n">
        <x:f>MAX(H9:I9)</x:f>
        <x:v>51</x:v>
      </x:c>
      <x:c r="K9" s="31" t="n">
        <x:f>J9*G9</x:f>
        <x:v>39.78</x:v>
      </x:c>
      <x:c r="L9" s="31" t="n">
        <x:f>K9-F9</x:f>
        <x:v>0.17999999999999972</x:v>
      </x:c>
      <x:c r="M9" s="15" t="str">
        <x:f>IF(L9&gt;=0,"PASS","FAIL")</x:f>
        <x:v>PASS</x:v>
      </x:c>
    </x:row>
    <x:row r="10">
      <x:c r="C10" s="15" t="str">
        <x:f>'02 Formation Inputs'!C10</x:f>
        <x:v>J-TDG</x:v>
      </x:c>
      <x:c r="D10" s="15" t="str">
        <x:f>'02 Formation Inputs'!E10</x:f>
        <x:v>Transfer and demobilization group</x:v>
      </x:c>
      <x:c r="E10" s="15" t="n">
        <x:f>'03 Campaign Demand'!O10</x:f>
        <x:v>23</x:v>
      </x:c>
      <x:c r="F10" s="31" t="n">
        <x:f>E10*(1+'01 Assumptions'!$D$6)</x:f>
        <x:v>27.599999999999998</x:v>
      </x:c>
      <x:c r="G10" s="31" t="n">
        <x:f>MIN('02 Formation Inputs'!K10:O10)</x:f>
        <x:v>0.78</x:v>
      </x:c>
      <x:c r="H10" s="31" t="n">
        <x:f>CEILING(F10/G10,1)</x:f>
        <x:v>36</x:v>
      </x:c>
      <x:c r="I10" s="31" t="n">
        <x:f>CEILING('03 Campaign Demand'!P10*'01 Assumptions'!$D$7,1)</x:f>
        <x:v>9</x:v>
      </x:c>
      <x:c r="J10" s="31" t="n">
        <x:f>MAX(H10:I10)</x:f>
        <x:v>36</x:v>
      </x:c>
      <x:c r="K10" s="31" t="n">
        <x:f>J10*G10</x:f>
        <x:v>28.080000000000002</x:v>
      </x:c>
      <x:c r="L10" s="31" t="n">
        <x:f>K10-F10</x:f>
        <x:v>0.480000000000004</x:v>
      </x:c>
      <x:c r="M10" s="15" t="str">
        <x:f>IF(L10&gt;=0,"PASS","FAIL")</x:f>
        <x:v>PASS</x:v>
      </x:c>
    </x:row>
    <x:row r="11">
      <x:c r="C11" s="15" t="str">
        <x:f>'02 Formation Inputs'!C11</x:f>
        <x:v>L-ROG</x:v>
      </x:c>
      <x:c r="D11" s="15" t="str">
        <x:f>'02 Formation Inputs'!E11</x:f>
        <x:v>Access and route-opening group</x:v>
      </x:c>
      <x:c r="E11" s="15" t="n">
        <x:f>'03 Campaign Demand'!O11</x:f>
        <x:v>70</x:v>
      </x:c>
      <x:c r="F11" s="31" t="n">
        <x:f>E11*(1+'01 Assumptions'!$D$6)</x:f>
        <x:v>84</x:v>
      </x:c>
      <x:c r="G11" s="31" t="n">
        <x:f>MIN('02 Formation Inputs'!K11:O11)</x:f>
        <x:v>0.7</x:v>
      </x:c>
      <x:c r="H11" s="31" t="n">
        <x:f>CEILING(F11/G11,1)</x:f>
        <x:v>121</x:v>
      </x:c>
      <x:c r="I11" s="31" t="n">
        <x:f>CEILING('03 Campaign Demand'!P11*'01 Assumptions'!$D$7,1)</x:f>
        <x:v>27</x:v>
      </x:c>
      <x:c r="J11" s="31" t="n">
        <x:f>MAX(H11:I11)</x:f>
        <x:v>121</x:v>
      </x:c>
      <x:c r="K11" s="31" t="n">
        <x:f>J11*G11</x:f>
        <x:v>84.69999999999999</x:v>
      </x:c>
      <x:c r="L11" s="31" t="n">
        <x:f>K11-F11</x:f>
        <x:v>0.6999999999999886</x:v>
      </x:c>
      <x:c r="M11" s="15" t="str">
        <x:f>IF(L11&gt;=0,"PASS","FAIL")</x:f>
        <x:v>PASS</x:v>
      </x:c>
    </x:row>
    <x:row r="12">
      <x:c r="C12" s="15" t="str">
        <x:f>'02 Formation Inputs'!C12</x:f>
        <x:v>L-HCG</x:v>
      </x:c>
      <x:c r="D12" s="15" t="str">
        <x:f>'02 Formation Inputs'!E12</x:f>
        <x:v>Flood and hydraulic-control group</x:v>
      </x:c>
      <x:c r="E12" s="15" t="n">
        <x:f>'03 Campaign Demand'!O12</x:f>
        <x:v>50</x:v>
      </x:c>
      <x:c r="F12" s="31" t="n">
        <x:f>E12*(1+'01 Assumptions'!$D$6)</x:f>
        <x:v>60</x:v>
      </x:c>
      <x:c r="G12" s="31" t="n">
        <x:f>MIN('02 Formation Inputs'!K12:O12)</x:f>
        <x:v>0.7</x:v>
      </x:c>
      <x:c r="H12" s="31" t="n">
        <x:f>CEILING(F12/G12,1)</x:f>
        <x:v>86</x:v>
      </x:c>
      <x:c r="I12" s="31" t="n">
        <x:f>CEILING('03 Campaign Demand'!P12*'01 Assumptions'!$D$7,1)</x:f>
        <x:v>24</x:v>
      </x:c>
      <x:c r="J12" s="31" t="n">
        <x:f>MAX(H12:I12)</x:f>
        <x:v>86</x:v>
      </x:c>
      <x:c r="K12" s="31" t="n">
        <x:f>J12*G12</x:f>
        <x:v>60.199999999999996</x:v>
      </x:c>
      <x:c r="L12" s="31" t="n">
        <x:f>K12-F12</x:f>
        <x:v>0.19999999999999574</x:v>
      </x:c>
      <x:c r="M12" s="15" t="str">
        <x:f>IF(L12&gt;=0,"PASS","FAIL")</x:f>
        <x:v>PASS</x:v>
      </x:c>
    </x:row>
    <x:row r="13">
      <x:c r="C13" s="15" t="str">
        <x:f>'02 Formation Inputs'!C13</x:f>
        <x:v>L-DMG</x:v>
      </x:c>
      <x:c r="D13" s="15" t="str">
        <x:f>'02 Formation Inputs'!E13</x:f>
        <x:v>Debris and materials group</x:v>
      </x:c>
      <x:c r="E13" s="15" t="n">
        <x:f>'03 Campaign Demand'!O13</x:f>
        <x:v>65</x:v>
      </x:c>
      <x:c r="F13" s="31" t="n">
        <x:f>E13*(1+'01 Assumptions'!$D$6)</x:f>
        <x:v>78</x:v>
      </x:c>
      <x:c r="G13" s="31" t="n">
        <x:f>MIN('02 Formation Inputs'!K13:O13)</x:f>
        <x:v>0.7</x:v>
      </x:c>
      <x:c r="H13" s="31" t="n">
        <x:f>CEILING(F13/G13,1)</x:f>
        <x:v>112</x:v>
      </x:c>
      <x:c r="I13" s="31" t="n">
        <x:f>CEILING('03 Campaign Demand'!P13*'01 Assumptions'!$D$7,1)</x:f>
        <x:v>27</x:v>
      </x:c>
      <x:c r="J13" s="31" t="n">
        <x:f>MAX(H13:I13)</x:f>
        <x:v>112</x:v>
      </x:c>
      <x:c r="K13" s="31" t="n">
        <x:f>J13*G13</x:f>
        <x:v>78.39999999999999</x:v>
      </x:c>
      <x:c r="L13" s="31" t="n">
        <x:f>K13-F13</x:f>
        <x:v>0.3999999999999915</x:v>
      </x:c>
      <x:c r="M13" s="15" t="str">
        <x:f>IF(L13&gt;=0,"PASS","FAIL")</x:f>
        <x:v>PASS</x:v>
      </x:c>
    </x:row>
    <x:row r="14">
      <x:c r="C14" s="15" t="str">
        <x:f>'02 Formation Inputs'!C14</x:f>
        <x:v>L-TWG</x:v>
      </x:c>
      <x:c r="D14" s="15" t="str">
        <x:f>'02 Formation Inputs'!E14</x:f>
        <x:v>Temporary works and crossing group</x:v>
      </x:c>
      <x:c r="E14" s="15" t="n">
        <x:f>'03 Campaign Demand'!O14</x:f>
        <x:v>53</x:v>
      </x:c>
      <x:c r="F14" s="31" t="n">
        <x:f>E14*(1+'01 Assumptions'!$D$6)</x:f>
        <x:v>63.599999999999994</x:v>
      </x:c>
      <x:c r="G14" s="31" t="n">
        <x:f>MIN('02 Formation Inputs'!K14:O14)</x:f>
        <x:v>0.7</x:v>
      </x:c>
      <x:c r="H14" s="31" t="n">
        <x:f>CEILING(F14/G14,1)</x:f>
        <x:v>91</x:v>
      </x:c>
      <x:c r="I14" s="31" t="n">
        <x:f>CEILING('03 Campaign Demand'!P14*'01 Assumptions'!$D$7,1)</x:f>
        <x:v>21</x:v>
      </x:c>
      <x:c r="J14" s="31" t="n">
        <x:f>MAX(H14:I14)</x:f>
        <x:v>91</x:v>
      </x:c>
      <x:c r="K14" s="31" t="n">
        <x:f>J14*G14</x:f>
        <x:v>63.699999999999996</x:v>
      </x:c>
      <x:c r="L14" s="31" t="n">
        <x:f>K14-F14</x:f>
        <x:v>0.10000000000000142</x:v>
      </x:c>
      <x:c r="M14" s="15" t="str">
        <x:f>IF(L14&gt;=0,"PASS","FAIL")</x:f>
        <x:v>PASS</x:v>
      </x:c>
    </x:row>
    <x:row r="15">
      <x:c r="C15" s="15" t="str">
        <x:f>'02 Formation Inputs'!C15</x:f>
        <x:v>L-GFG</x:v>
      </x:c>
      <x:c r="D15" s="15" t="str">
        <x:f>'02 Formation Inputs'!E15</x:f>
        <x:v>Ground fire and landscape group</x:v>
      </x:c>
      <x:c r="E15" s="15" t="n">
        <x:f>'03 Campaign Demand'!O15</x:f>
        <x:v>33</x:v>
      </x:c>
      <x:c r="F15" s="31" t="n">
        <x:f>E15*(1+'01 Assumptions'!$D$6)</x:f>
        <x:v>39.6</x:v>
      </x:c>
      <x:c r="G15" s="31" t="n">
        <x:f>MIN('02 Formation Inputs'!K15:O15)</x:f>
        <x:v>0.7</x:v>
      </x:c>
      <x:c r="H15" s="31" t="n">
        <x:f>CEILING(F15/G15,1)</x:f>
        <x:v>57</x:v>
      </x:c>
      <x:c r="I15" s="31" t="n">
        <x:f>CEILING('03 Campaign Demand'!P15*'01 Assumptions'!$D$7,1)</x:f>
        <x:v>6</x:v>
      </x:c>
      <x:c r="J15" s="31" t="n">
        <x:f>MAX(H15:I15)</x:f>
        <x:v>57</x:v>
      </x:c>
      <x:c r="K15" s="31" t="n">
        <x:f>J15*G15</x:f>
        <x:v>39.9</x:v>
      </x:c>
      <x:c r="L15" s="31" t="n">
        <x:f>K15-F15</x:f>
        <x:v>0.29999999999999716</x:v>
      </x:c>
      <x:c r="M15" s="15" t="str">
        <x:f>IF(L15&gt;=0,"PASS","FAIL")</x:f>
        <x:v>PASS</x:v>
      </x:c>
    </x:row>
    <x:row r="16">
      <x:c r="C16" s="15" t="str">
        <x:f>'02 Formation Inputs'!C16</x:f>
        <x:v>A-SMW</x:v>
      </x:c>
      <x:c r="D16" s="15" t="str">
        <x:f>'02 Formation Inputs'!E16</x:f>
        <x:v>Strategic mobility wing</x:v>
      </x:c>
      <x:c r="E16" s="15" t="n">
        <x:f>'03 Campaign Demand'!O16</x:f>
        <x:v>31</x:v>
      </x:c>
      <x:c r="F16" s="31" t="n">
        <x:f>E16*(1+'01 Assumptions'!$D$6)</x:f>
        <x:v>37.199999999999996</x:v>
      </x:c>
      <x:c r="G16" s="31" t="n">
        <x:f>MIN('02 Formation Inputs'!K16:O16)</x:f>
        <x:v>0.65</x:v>
      </x:c>
      <x:c r="H16" s="31" t="n">
        <x:f>CEILING(F16/G16,1)</x:f>
        <x:v>58</x:v>
      </x:c>
      <x:c r="I16" s="31" t="n">
        <x:f>CEILING('03 Campaign Demand'!P16*'01 Assumptions'!$D$7,1)</x:f>
        <x:v>15</x:v>
      </x:c>
      <x:c r="J16" s="31" t="n">
        <x:f>MAX(H16:I16)</x:f>
        <x:v>58</x:v>
      </x:c>
      <x:c r="K16" s="31" t="n">
        <x:f>J16*G16</x:f>
        <x:v>37.7</x:v>
      </x:c>
      <x:c r="L16" s="31" t="n">
        <x:f>K16-F16</x:f>
        <x:v>0.5000000000000071</x:v>
      </x:c>
      <x:c r="M16" s="15" t="str">
        <x:f>IF(L16&gt;=0,"PASS","FAIL")</x:f>
        <x:v>PASS</x:v>
      </x:c>
    </x:row>
    <x:row r="17">
      <x:c r="C17" s="15" t="str">
        <x:f>'02 Formation Inputs'!C17</x:f>
        <x:v>A-AAG</x:v>
      </x:c>
      <x:c r="D17" s="15" t="str">
        <x:f>'02 Formation Inputs'!E17</x:f>
        <x:v>Austere air-access group</x:v>
      </x:c>
      <x:c r="E17" s="15" t="n">
        <x:f>'03 Campaign Demand'!O17</x:f>
        <x:v>36</x:v>
      </x:c>
      <x:c r="F17" s="31" t="n">
        <x:f>E17*(1+'01 Assumptions'!$D$6)</x:f>
        <x:v>43.199999999999996</x:v>
      </x:c>
      <x:c r="G17" s="31" t="n">
        <x:f>MIN('02 Formation Inputs'!K17:O17)</x:f>
        <x:v>0.65</x:v>
      </x:c>
      <x:c r="H17" s="31" t="n">
        <x:f>CEILING(F17/G17,1)</x:f>
        <x:v>67</x:v>
      </x:c>
      <x:c r="I17" s="31" t="n">
        <x:f>CEILING('03 Campaign Demand'!P17*'01 Assumptions'!$D$7,1)</x:f>
        <x:v>15</x:v>
      </x:c>
      <x:c r="J17" s="31" t="n">
        <x:f>MAX(H17:I17)</x:f>
        <x:v>67</x:v>
      </x:c>
      <x:c r="K17" s="31" t="n">
        <x:f>J17*G17</x:f>
        <x:v>43.550000000000004</x:v>
      </x:c>
      <x:c r="L17" s="31" t="n">
        <x:f>K17-F17</x:f>
        <x:v>0.3500000000000085</x:v>
      </x:c>
      <x:c r="M17" s="15" t="str">
        <x:f>IF(L17&gt;=0,"PASS","FAIL")</x:f>
        <x:v>PASS</x:v>
      </x:c>
    </x:row>
    <x:row r="18">
      <x:c r="C18" s="15" t="str">
        <x:f>'02 Formation Inputs'!C18</x:f>
        <x:v>A-AHW</x:v>
      </x:c>
      <x:c r="D18" s="15" t="str">
        <x:f>'02 Formation Inputs'!E18</x:f>
        <x:v>Aerial hazard-control wing</x:v>
      </x:c>
      <x:c r="E18" s="15" t="n">
        <x:f>'03 Campaign Demand'!O18</x:f>
        <x:v>22</x:v>
      </x:c>
      <x:c r="F18" s="31" t="n">
        <x:f>E18*(1+'01 Assumptions'!$D$6)</x:f>
        <x:v>26.4</x:v>
      </x:c>
      <x:c r="G18" s="31" t="n">
        <x:f>MIN('02 Formation Inputs'!K18:O18)</x:f>
        <x:v>0.65</x:v>
      </x:c>
      <x:c r="H18" s="31" t="n">
        <x:f>CEILING(F18/G18,1)</x:f>
        <x:v>41</x:v>
      </x:c>
      <x:c r="I18" s="31" t="n">
        <x:f>CEILING('03 Campaign Demand'!P18*'01 Assumptions'!$D$7,1)</x:f>
        <x:v>5</x:v>
      </x:c>
      <x:c r="J18" s="31" t="n">
        <x:f>MAX(H18:I18)</x:f>
        <x:v>41</x:v>
      </x:c>
      <x:c r="K18" s="31" t="n">
        <x:f>J18*G18</x:f>
        <x:v>26.650000000000002</x:v>
      </x:c>
      <x:c r="L18" s="31" t="n">
        <x:f>K18-F18</x:f>
        <x:v>0.25000000000000355</x:v>
      </x:c>
      <x:c r="M18" s="15" t="str">
        <x:f>IF(L18&gt;=0,"PASS","FAIL")</x:f>
        <x:v>PASS</x:v>
      </x:c>
    </x:row>
    <x:row r="19">
      <x:c r="C19" s="15" t="str">
        <x:f>'02 Formation Inputs'!C19</x:f>
        <x:v>A-TDG</x:v>
      </x:c>
      <x:c r="D19" s="15" t="str">
        <x:f>'02 Formation Inputs'!E19</x:f>
        <x:v>Tactical distribution group</x:v>
      </x:c>
      <x:c r="E19" s="15" t="n">
        <x:f>'03 Campaign Demand'!O19</x:f>
        <x:v>58</x:v>
      </x:c>
      <x:c r="F19" s="31" t="n">
        <x:f>E19*(1+'01 Assumptions'!$D$6)</x:f>
        <x:v>69.6</x:v>
      </x:c>
      <x:c r="G19" s="31" t="n">
        <x:f>MIN('02 Formation Inputs'!K19:O19)</x:f>
        <x:v>0.65</x:v>
      </x:c>
      <x:c r="H19" s="31" t="n">
        <x:f>CEILING(F19/G19,1)</x:f>
        <x:v>108</x:v>
      </x:c>
      <x:c r="I19" s="31" t="n">
        <x:f>CEILING('03 Campaign Demand'!P19*'01 Assumptions'!$D$7,1)</x:f>
        <x:v>24</x:v>
      </x:c>
      <x:c r="J19" s="31" t="n">
        <x:f>MAX(H19:I19)</x:f>
        <x:v>108</x:v>
      </x:c>
      <x:c r="K19" s="31" t="n">
        <x:f>J19*G19</x:f>
        <x:v>70.2</x:v>
      </x:c>
      <x:c r="L19" s="31" t="n">
        <x:f>K19-F19</x:f>
        <x:v>0.6000000000000085</x:v>
      </x:c>
      <x:c r="M19" s="15" t="str">
        <x:f>IF(L19&gt;=0,"PASS","FAIL")</x:f>
        <x:v>PASS</x:v>
      </x:c>
    </x:row>
    <x:row r="20">
      <x:c r="C20" s="15" t="str">
        <x:f>'02 Formation Inputs'!C20</x:f>
        <x:v>A-SRG</x:v>
      </x:c>
      <x:c r="D20" s="15" t="str">
        <x:f>'02 Formation Inputs'!E20</x:f>
        <x:v>Air sensing and relay group</x:v>
      </x:c>
      <x:c r="E20" s="15" t="n">
        <x:f>'03 Campaign Demand'!O20</x:f>
        <x:v>40</x:v>
      </x:c>
      <x:c r="F20" s="31" t="n">
        <x:f>E20*(1+'01 Assumptions'!$D$6)</x:f>
        <x:v>48</x:v>
      </x:c>
      <x:c r="G20" s="31" t="n">
        <x:f>MIN('02 Formation Inputs'!K20:O20)</x:f>
        <x:v>0.65</x:v>
      </x:c>
      <x:c r="H20" s="31" t="n">
        <x:f>CEILING(F20/G20,1)</x:f>
        <x:v>74</x:v>
      </x:c>
      <x:c r="I20" s="31" t="n">
        <x:f>CEILING('03 Campaign Demand'!P20*'01 Assumptions'!$D$7,1)</x:f>
        <x:v>15</x:v>
      </x:c>
      <x:c r="J20" s="31" t="n">
        <x:f>MAX(H20:I20)</x:f>
        <x:v>74</x:v>
      </x:c>
      <x:c r="K20" s="31" t="n">
        <x:f>J20*G20</x:f>
        <x:v>48.1</x:v>
      </x:c>
      <x:c r="L20" s="31" t="n">
        <x:f>K20-F20</x:f>
        <x:v>0.10000000000000142</x:v>
      </x:c>
      <x:c r="M20" s="15" t="str">
        <x:f>IF(L20&gt;=0,"PASS","FAIL")</x:f>
        <x:v>PASS</x:v>
      </x:c>
    </x:row>
    <x:row r="21">
      <x:c r="C21" s="15" t="str">
        <x:f>'02 Formation Inputs'!C21</x:f>
        <x:v>A-AMG</x:v>
      </x:c>
      <x:c r="D21" s="15" t="str">
        <x:f>'02 Formation Inputs'!E21</x:f>
        <x:v>Aeromedical movement group</x:v>
      </x:c>
      <x:c r="E21" s="15" t="n">
        <x:f>'03 Campaign Demand'!O21</x:f>
        <x:v>31</x:v>
      </x:c>
      <x:c r="F21" s="31" t="n">
        <x:f>E21*(1+'01 Assumptions'!$D$6)</x:f>
        <x:v>37.199999999999996</x:v>
      </x:c>
      <x:c r="G21" s="31" t="n">
        <x:f>MIN('02 Formation Inputs'!K21:O21)</x:f>
        <x:v>0.65</x:v>
      </x:c>
      <x:c r="H21" s="31" t="n">
        <x:f>CEILING(F21/G21,1)</x:f>
        <x:v>58</x:v>
      </x:c>
      <x:c r="I21" s="31" t="n">
        <x:f>CEILING('03 Campaign Demand'!P21*'01 Assumptions'!$D$7,1)</x:f>
        <x:v>14</x:v>
      </x:c>
      <x:c r="J21" s="31" t="n">
        <x:f>MAX(H21:I21)</x:f>
        <x:v>58</x:v>
      </x:c>
      <x:c r="K21" s="31" t="n">
        <x:f>J21*G21</x:f>
        <x:v>37.7</x:v>
      </x:c>
      <x:c r="L21" s="31" t="n">
        <x:f>K21-F21</x:f>
        <x:v>0.5000000000000071</x:v>
      </x:c>
      <x:c r="M21" s="15" t="str">
        <x:f>IF(L21&gt;=0,"PASS","FAIL")</x:f>
        <x:v>PASS</x:v>
      </x:c>
    </x:row>
    <x:row r="22">
      <x:c r="C22" s="15" t="str">
        <x:f>'02 Formation Inputs'!C22</x:f>
        <x:v>M-POG</x:v>
      </x:c>
      <x:c r="D22" s="15" t="str">
        <x:f>'02 Formation Inputs'!E22</x:f>
        <x:v>Port-opening group</x:v>
      </x:c>
      <x:c r="E22" s="15" t="n">
        <x:f>'03 Campaign Demand'!O22</x:f>
        <x:v>32</x:v>
      </x:c>
      <x:c r="F22" s="31" t="n">
        <x:f>E22*(1+'01 Assumptions'!$D$6)</x:f>
        <x:v>38.4</x:v>
      </x:c>
      <x:c r="G22" s="31" t="n">
        <x:f>MIN('02 Formation Inputs'!K22:O22)</x:f>
        <x:v>0.65</x:v>
      </x:c>
      <x:c r="H22" s="31" t="n">
        <x:f>CEILING(F22/G22,1)</x:f>
        <x:v>60</x:v>
      </x:c>
      <x:c r="I22" s="31" t="n">
        <x:f>CEILING('03 Campaign Demand'!P22*'01 Assumptions'!$D$7,1)</x:f>
        <x:v>21</x:v>
      </x:c>
      <x:c r="J22" s="31" t="n">
        <x:f>MAX(H22:I22)</x:f>
        <x:v>60</x:v>
      </x:c>
      <x:c r="K22" s="31" t="n">
        <x:f>J22*G22</x:f>
        <x:v>39</x:v>
      </x:c>
      <x:c r="L22" s="31" t="n">
        <x:f>K22-F22</x:f>
        <x:v>0.6000000000000014</x:v>
      </x:c>
      <x:c r="M22" s="15" t="str">
        <x:f>IF(L22&gt;=0,"PASS","FAIL")</x:f>
        <x:v>PASS</x:v>
      </x:c>
    </x:row>
    <x:row r="23">
      <x:c r="C23" s="15" t="str">
        <x:f>'02 Formation Inputs'!C23</x:f>
        <x:v>M-LAG</x:v>
      </x:c>
      <x:c r="D23" s="15" t="str">
        <x:f>'02 Formation Inputs'!E23</x:f>
        <x:v>Littoral-access group</x:v>
      </x:c>
      <x:c r="E23" s="15" t="n">
        <x:f>'03 Campaign Demand'!O23</x:f>
        <x:v>37</x:v>
      </x:c>
      <x:c r="F23" s="31" t="n">
        <x:f>E23*(1+'01 Assumptions'!$D$6)</x:f>
        <x:v>44.4</x:v>
      </x:c>
      <x:c r="G23" s="31" t="n">
        <x:f>MIN('02 Formation Inputs'!K23:O23)</x:f>
        <x:v>0.65</x:v>
      </x:c>
      <x:c r="H23" s="31" t="n">
        <x:f>CEILING(F23/G23,1)</x:f>
        <x:v>69</x:v>
      </x:c>
      <x:c r="I23" s="31" t="n">
        <x:f>CEILING('03 Campaign Demand'!P23*'01 Assumptions'!$D$7,1)</x:f>
        <x:v>24</x:v>
      </x:c>
      <x:c r="J23" s="31" t="n">
        <x:f>MAX(H23:I23)</x:f>
        <x:v>69</x:v>
      </x:c>
      <x:c r="K23" s="31" t="n">
        <x:f>J23*G23</x:f>
        <x:v>44.85</x:v>
      </x:c>
      <x:c r="L23" s="31" t="n">
        <x:f>K23-F23</x:f>
        <x:v>0.45000000000000284</x:v>
      </x:c>
      <x:c r="M23" s="15" t="str">
        <x:f>IF(L23&gt;=0,"PASS","FAIL")</x:f>
        <x:v>PASS</x:v>
      </x:c>
    </x:row>
    <x:row r="24">
      <x:c r="C24" s="15" t="str">
        <x:f>'02 Formation Inputs'!C24</x:f>
        <x:v>M-IWG</x:v>
      </x:c>
      <x:c r="D24" s="15" t="str">
        <x:f>'02 Formation Inputs'!E24</x:f>
        <x:v>Inland-waterway group</x:v>
      </x:c>
      <x:c r="E24" s="15" t="n">
        <x:f>'03 Campaign Demand'!O24</x:f>
        <x:v>29</x:v>
      </x:c>
      <x:c r="F24" s="31" t="n">
        <x:f>E24*(1+'01 Assumptions'!$D$6)</x:f>
        <x:v>34.8</x:v>
      </x:c>
      <x:c r="G24" s="31" t="n">
        <x:f>MIN('02 Formation Inputs'!K24:O24)</x:f>
        <x:v>0.65</x:v>
      </x:c>
      <x:c r="H24" s="31" t="n">
        <x:f>CEILING(F24/G24,1)</x:f>
        <x:v>54</x:v>
      </x:c>
      <x:c r="I24" s="31" t="n">
        <x:f>CEILING('03 Campaign Demand'!P24*'01 Assumptions'!$D$7,1)</x:f>
        <x:v>11</x:v>
      </x:c>
      <x:c r="J24" s="31" t="n">
        <x:f>MAX(H24:I24)</x:f>
        <x:v>54</x:v>
      </x:c>
      <x:c r="K24" s="31" t="n">
        <x:f>J24*G24</x:f>
        <x:v>35.1</x:v>
      </x:c>
      <x:c r="L24" s="31" t="n">
        <x:f>K24-F24</x:f>
        <x:v>0.30000000000000426</x:v>
      </x:c>
      <x:c r="M24" s="15" t="str">
        <x:f>IF(L24&gt;=0,"PASS","FAIL")</x:f>
        <x:v>PASS</x:v>
      </x:c>
    </x:row>
    <x:row r="25">
      <x:c r="C25" s="15" t="str">
        <x:f>'02 Formation Inputs'!C25</x:f>
        <x:v>M-OSG</x:v>
      </x:c>
      <x:c r="D25" s="15" t="str">
        <x:f>'02 Formation Inputs'!E25</x:f>
        <x:v>Offshore-support group</x:v>
      </x:c>
      <x:c r="E25" s="15" t="n">
        <x:f>'03 Campaign Demand'!O25</x:f>
        <x:v>24</x:v>
      </x:c>
      <x:c r="F25" s="31" t="n">
        <x:f>E25*(1+'01 Assumptions'!$D$6)</x:f>
        <x:v>28.799999999999997</x:v>
      </x:c>
      <x:c r="G25" s="31" t="n">
        <x:f>MIN('02 Formation Inputs'!K25:O25)</x:f>
        <x:v>0.65</x:v>
      </x:c>
      <x:c r="H25" s="31" t="n">
        <x:f>CEILING(F25/G25,1)</x:f>
        <x:v>45</x:v>
      </x:c>
      <x:c r="I25" s="31" t="n">
        <x:f>CEILING('03 Campaign Demand'!P25*'01 Assumptions'!$D$7,1)</x:f>
        <x:v>17</x:v>
      </x:c>
      <x:c r="J25" s="31" t="n">
        <x:f>MAX(H25:I25)</x:f>
        <x:v>45</x:v>
      </x:c>
      <x:c r="K25" s="31" t="n">
        <x:f>J25*G25</x:f>
        <x:v>29.25</x:v>
      </x:c>
      <x:c r="L25" s="31" t="n">
        <x:f>K25-F25</x:f>
        <x:v>0.45000000000000284</x:v>
      </x:c>
      <x:c r="M25" s="15" t="str">
        <x:f>IF(L25&gt;=0,"PASS","FAIL")</x:f>
        <x:v>PASS</x:v>
      </x:c>
    </x:row>
    <x:row r="26">
      <x:c r="C26" s="15" t="str">
        <x:f>'02 Formation Inputs'!C26</x:f>
        <x:v>M-SSG</x:v>
      </x:c>
      <x:c r="D26" s="15" t="str">
        <x:f>'02 Formation Inputs'!E26</x:f>
        <x:v>Ocean sustainment group</x:v>
      </x:c>
      <x:c r="E26" s="15" t="n">
        <x:f>'03 Campaign Demand'!O26</x:f>
        <x:v>38</x:v>
      </x:c>
      <x:c r="F26" s="31" t="n">
        <x:f>E26*(1+'01 Assumptions'!$D$6)</x:f>
        <x:v>45.6</x:v>
      </x:c>
      <x:c r="G26" s="31" t="n">
        <x:f>MIN('02 Formation Inputs'!K26:O26)</x:f>
        <x:v>0.65</x:v>
      </x:c>
      <x:c r="H26" s="31" t="n">
        <x:f>CEILING(F26/G26,1)</x:f>
        <x:v>71</x:v>
      </x:c>
      <x:c r="I26" s="31" t="n">
        <x:f>CEILING('03 Campaign Demand'!P26*'01 Assumptions'!$D$7,1)</x:f>
        <x:v>24</x:v>
      </x:c>
      <x:c r="J26" s="31" t="n">
        <x:f>MAX(H26:I26)</x:f>
        <x:v>71</x:v>
      </x:c>
      <x:c r="K26" s="31" t="n">
        <x:f>J26*G26</x:f>
        <x:v>46.15</x:v>
      </x:c>
      <x:c r="L26" s="31" t="n">
        <x:f>K26-F26</x:f>
        <x:v>0.5499999999999972</x:v>
      </x:c>
      <x:c r="M26" s="15" t="str">
        <x:f>IF(L26&gt;=0,"PASS","FAIL")</x:f>
        <x:v>PASS</x:v>
      </x:c>
    </x:row>
    <x:row r="27">
      <x:c r="C27" s="15" t="str">
        <x:f>'02 Formation Inputs'!C27</x:f>
        <x:v>I-CUG</x:v>
      </x:c>
      <x:c r="D27" s="15" t="str">
        <x:f>'02 Formation Inputs'!E27</x:f>
        <x:v>Communications utility group</x:v>
      </x:c>
      <x:c r="E27" s="15" t="n">
        <x:f>'03 Campaign Demand'!O27</x:f>
        <x:v>59</x:v>
      </x:c>
      <x:c r="F27" s="31" t="n">
        <x:f>E27*(1+'01 Assumptions'!$D$6)</x:f>
        <x:v>70.8</x:v>
      </x:c>
      <x:c r="G27" s="31" t="n">
        <x:f>MIN('02 Formation Inputs'!K27:O27)</x:f>
        <x:v>0.7</x:v>
      </x:c>
      <x:c r="H27" s="31" t="n">
        <x:f>CEILING(F27/G27,1)</x:f>
        <x:v>102</x:v>
      </x:c>
      <x:c r="I27" s="31" t="n">
        <x:f>CEILING('03 Campaign Demand'!P27*'01 Assumptions'!$D$7,1)</x:f>
        <x:v>24</x:v>
      </x:c>
      <x:c r="J27" s="31" t="n">
        <x:f>MAX(H27:I27)</x:f>
        <x:v>102</x:v>
      </x:c>
      <x:c r="K27" s="31" t="n">
        <x:f>J27*G27</x:f>
        <x:v>71.39999999999999</x:v>
      </x:c>
      <x:c r="L27" s="31" t="n">
        <x:f>K27-F27</x:f>
        <x:v>0.5999999999999943</x:v>
      </x:c>
      <x:c r="M27" s="15" t="str">
        <x:f>IF(L27&gt;=0,"PASS","FAIL")</x:f>
        <x:v>PASS</x:v>
      </x:c>
    </x:row>
    <x:row r="28">
      <x:c r="C28" s="15" t="str">
        <x:f>'02 Formation Inputs'!C28</x:f>
        <x:v>I-TSG</x:v>
      </x:c>
      <x:c r="D28" s="15" t="str">
        <x:f>'02 Formation Inputs'!E28</x:f>
        <x:v>Thermal safety group</x:v>
      </x:c>
      <x:c r="E28" s="15" t="n">
        <x:f>'03 Campaign Demand'!O28</x:f>
        <x:v>63</x:v>
      </x:c>
      <x:c r="F28" s="31" t="n">
        <x:f>E28*(1+'01 Assumptions'!$D$6)</x:f>
        <x:v>75.6</x:v>
      </x:c>
      <x:c r="G28" s="31" t="n">
        <x:f>MIN('02 Formation Inputs'!K28:O28)</x:f>
        <x:v>0.7</x:v>
      </x:c>
      <x:c r="H28" s="31" t="n">
        <x:f>CEILING(F28/G28,1)</x:f>
        <x:v>108</x:v>
      </x:c>
      <x:c r="I28" s="31" t="n">
        <x:f>CEILING('03 Campaign Demand'!P28*'01 Assumptions'!$D$7,1)</x:f>
        <x:v>17</x:v>
      </x:c>
      <x:c r="J28" s="31" t="n">
        <x:f>MAX(H28:I28)</x:f>
        <x:v>108</x:v>
      </x:c>
      <x:c r="K28" s="31" t="n">
        <x:f>J28*G28</x:f>
        <x:v>75.6</x:v>
      </x:c>
      <x:c r="L28" s="31" t="n">
        <x:f>K28-F28</x:f>
        <x:v>0</x:v>
      </x:c>
      <x:c r="M28" s="15" t="str">
        <x:f>IF(L28&gt;=0,"PASS","FAIL")</x:f>
        <x:v>PASS</x:v>
      </x:c>
    </x:row>
    <x:row r="29">
      <x:c r="C29" s="15" t="str">
        <x:f>'02 Formation Inputs'!C29</x:f>
        <x:v>I-URG</x:v>
      </x:c>
      <x:c r="D29" s="15" t="str">
        <x:f>'02 Formation Inputs'!E29</x:f>
        <x:v>Utility reconstruction group</x:v>
      </x:c>
      <x:c r="E29" s="15" t="n">
        <x:f>'03 Campaign Demand'!O29</x:f>
        <x:v>73</x:v>
      </x:c>
      <x:c r="F29" s="31" t="n">
        <x:f>E29*(1+'01 Assumptions'!$D$6)</x:f>
        <x:v>87.6</x:v>
      </x:c>
      <x:c r="G29" s="31" t="n">
        <x:f>MIN('02 Formation Inputs'!K29:O29)</x:f>
        <x:v>0.7</x:v>
      </x:c>
      <x:c r="H29" s="31" t="n">
        <x:f>CEILING(F29/G29,1)</x:f>
        <x:v>126</x:v>
      </x:c>
      <x:c r="I29" s="31" t="n">
        <x:f>CEILING('03 Campaign Demand'!P29*'01 Assumptions'!$D$7,1)</x:f>
        <x:v>27</x:v>
      </x:c>
      <x:c r="J29" s="31" t="n">
        <x:f>MAX(H29:I29)</x:f>
        <x:v>126</x:v>
      </x:c>
      <x:c r="K29" s="31" t="n">
        <x:f>J29*G29</x:f>
        <x:v>88.19999999999999</x:v>
      </x:c>
      <x:c r="L29" s="31" t="n">
        <x:f>K29-F29</x:f>
        <x:v>0.5999999999999943</x:v>
      </x:c>
      <x:c r="M29" s="15" t="str">
        <x:f>IF(L29&gt;=0,"PASS","FAIL")</x:f>
        <x:v>PASS</x:v>
      </x:c>
    </x:row>
    <x:row r="30">
      <x:c r="C30" s="15" t="str">
        <x:f>'02 Formation Inputs'!C30</x:f>
        <x:v>H-CHC</x:v>
      </x:c>
      <x:c r="D30" s="15" t="str">
        <x:f>'02 Formation Inputs'!E30</x:f>
        <x:v>Community health continuity group</x:v>
      </x:c>
      <x:c r="E30" s="15" t="n">
        <x:f>'03 Campaign Demand'!O30</x:f>
        <x:v>75</x:v>
      </x:c>
      <x:c r="F30" s="31" t="n">
        <x:f>E30*(1+'01 Assumptions'!$D$6)</x:f>
        <x:v>90</x:v>
      </x:c>
      <x:c r="G30" s="31" t="n">
        <x:f>MIN('02 Formation Inputs'!K30:O30)</x:f>
        <x:v>0.65</x:v>
      </x:c>
      <x:c r="H30" s="31" t="n">
        <x:f>CEILING(F30/G30,1)</x:f>
        <x:v>139</x:v>
      </x:c>
      <x:c r="I30" s="31" t="n">
        <x:f>CEILING('03 Campaign Demand'!P30*'01 Assumptions'!$D$7,1)</x:f>
        <x:v>30</x:v>
      </x:c>
      <x:c r="J30" s="31" t="n">
        <x:f>MAX(H30:I30)</x:f>
        <x:v>139</x:v>
      </x:c>
      <x:c r="K30" s="31" t="n">
        <x:f>J30*G30</x:f>
        <x:v>90.35000000000001</x:v>
      </x:c>
      <x:c r="L30" s="31" t="n">
        <x:f>K30-F30</x:f>
        <x:v>0.3500000000000085</x:v>
      </x:c>
      <x:c r="M30" s="15" t="str">
        <x:f>IF(L30&gt;=0,"PASS","FAIL")</x:f>
        <x:v>PASS</x:v>
      </x:c>
    </x:row>
    <x:row r="31">
      <x:c r="C31" s="15" t="str">
        <x:f>'02 Formation Inputs'!C31</x:f>
        <x:v>H-MAC</x:v>
      </x:c>
      <x:c r="D31" s="15" t="str">
        <x:f>'02 Formation Inputs'!E31</x:f>
        <x:v>Mobile acute-care group</x:v>
      </x:c>
      <x:c r="E31" s="15" t="n">
        <x:f>'03 Campaign Demand'!O31</x:f>
        <x:v>49</x:v>
      </x:c>
      <x:c r="F31" s="31" t="n">
        <x:f>E31*(1+'01 Assumptions'!$D$6)</x:f>
        <x:v>58.8</x:v>
      </x:c>
      <x:c r="G31" s="31" t="n">
        <x:f>MIN('02 Formation Inputs'!K31:O31)</x:f>
        <x:v>0.65</x:v>
      </x:c>
      <x:c r="H31" s="31" t="n">
        <x:f>CEILING(F31/G31,1)</x:f>
        <x:v>91</x:v>
      </x:c>
      <x:c r="I31" s="31" t="n">
        <x:f>CEILING('03 Campaign Demand'!P31*'01 Assumptions'!$D$7,1)</x:f>
        <x:v>21</x:v>
      </x:c>
      <x:c r="J31" s="31" t="n">
        <x:f>MAX(H31:I31)</x:f>
        <x:v>91</x:v>
      </x:c>
      <x:c r="K31" s="31" t="n">
        <x:f>J31*G31</x:f>
        <x:v>59.15</x:v>
      </x:c>
      <x:c r="L31" s="31" t="n">
        <x:f>K31-F31</x:f>
        <x:v>0.3500000000000014</x:v>
      </x:c>
      <x:c r="M31" s="15" t="str">
        <x:f>IF(L31&gt;=0,"PASS","FAIL")</x:f>
        <x:v>PASS</x:v>
      </x:c>
    </x:row>
    <x:row r="32">
      <x:c r="C32" s="15" t="str">
        <x:f>'02 Formation Inputs'!C32</x:f>
        <x:v>H-PHC</x:v>
      </x:c>
      <x:c r="D32" s="15" t="str">
        <x:f>'02 Formation Inputs'!E32</x:f>
        <x:v>Public-health control group</x:v>
      </x:c>
      <x:c r="E32" s="15" t="n">
        <x:f>'03 Campaign Demand'!O32</x:f>
        <x:v>42</x:v>
      </x:c>
      <x:c r="F32" s="31" t="n">
        <x:f>E32*(1+'01 Assumptions'!$D$6)</x:f>
        <x:v>50.4</x:v>
      </x:c>
      <x:c r="G32" s="31" t="n">
        <x:f>MIN('02 Formation Inputs'!K32:O32)</x:f>
        <x:v>0.65</x:v>
      </x:c>
      <x:c r="H32" s="31" t="n">
        <x:f>CEILING(F32/G32,1)</x:f>
        <x:v>78</x:v>
      </x:c>
      <x:c r="I32" s="31" t="n">
        <x:f>CEILING('03 Campaign Demand'!P32*'01 Assumptions'!$D$7,1)</x:f>
        <x:v>18</x:v>
      </x:c>
      <x:c r="J32" s="31" t="n">
        <x:f>MAX(H32:I32)</x:f>
        <x:v>78</x:v>
      </x:c>
      <x:c r="K32" s="31" t="n">
        <x:f>J32*G32</x:f>
        <x:v>50.7</x:v>
      </x:c>
      <x:c r="L32" s="31" t="n">
        <x:f>K32-F32</x:f>
        <x:v>0.30000000000000426</x:v>
      </x:c>
      <x:c r="M32" s="15" t="str">
        <x:f>IF(L32&gt;=0,"PASS","FAIL")</x:f>
        <x:v>PASS</x:v>
      </x:c>
    </x:row>
    <x:row r="33">
      <x:c r="C33" s="15" t="str">
        <x:f>'02 Formation Inputs'!C33</x:f>
        <x:v>H-HWR</x:v>
      </x:c>
      <x:c r="D33" s="15" t="str">
        <x:f>'02 Formation Inputs'!E33</x:f>
        <x:v>Health workforce replacement group</x:v>
      </x:c>
      <x:c r="E33" s="15" t="n">
        <x:f>'03 Campaign Demand'!O33</x:f>
        <x:v>75</x:v>
      </x:c>
      <x:c r="F33" s="31" t="n">
        <x:f>E33*(1+'01 Assumptions'!$D$6)</x:f>
        <x:v>90</x:v>
      </x:c>
      <x:c r="G33" s="31" t="n">
        <x:f>MIN('02 Formation Inputs'!K33:O33)</x:f>
        <x:v>0.65</x:v>
      </x:c>
      <x:c r="H33" s="31" t="n">
        <x:f>CEILING(F33/G33,1)</x:f>
        <x:v>139</x:v>
      </x:c>
      <x:c r="I33" s="31" t="n">
        <x:f>CEILING('03 Campaign Demand'!P33*'01 Assumptions'!$D$7,1)</x:f>
        <x:v>30</x:v>
      </x:c>
      <x:c r="J33" s="31" t="n">
        <x:f>MAX(H33:I33)</x:f>
        <x:v>139</x:v>
      </x:c>
      <x:c r="K33" s="31" t="n">
        <x:f>J33*G33</x:f>
        <x:v>90.35000000000001</x:v>
      </x:c>
      <x:c r="L33" s="31" t="n">
        <x:f>K33-F33</x:f>
        <x:v>0.3500000000000085</x:v>
      </x:c>
      <x:c r="M33" s="15" t="str">
        <x:f>IF(L33&gt;=0,"PASS","FAIL")</x:f>
        <x:v>PASS</x:v>
      </x:c>
    </x:row>
    <x:row r="34">
      <x:c r="C34" s="15" t="str">
        <x:f>'02 Formation Inputs'!C34</x:f>
        <x:v>C-PSG</x:v>
      </x:c>
      <x:c r="D34" s="15" t="str">
        <x:f>'02 Formation Inputs'!E34</x:f>
        <x:v>Population support group</x:v>
      </x:c>
      <x:c r="E34" s="15" t="n">
        <x:f>'03 Campaign Demand'!O34</x:f>
        <x:v>108</x:v>
      </x:c>
      <x:c r="F34" s="31" t="n">
        <x:f>E34*(1+'01 Assumptions'!$D$6)</x:f>
        <x:v>129.6</x:v>
      </x:c>
      <x:c r="G34" s="31" t="n">
        <x:f>MIN('02 Formation Inputs'!K34:O34)</x:f>
        <x:v>0.75</x:v>
      </x:c>
      <x:c r="H34" s="31" t="n">
        <x:f>CEILING(F34/G34,1)</x:f>
        <x:v>173</x:v>
      </x:c>
      <x:c r="I34" s="31" t="n">
        <x:f>CEILING('03 Campaign Demand'!P34*'01 Assumptions'!$D$7,1)</x:f>
        <x:v>45</x:v>
      </x:c>
      <x:c r="J34" s="31" t="n">
        <x:f>MAX(H34:I34)</x:f>
        <x:v>173</x:v>
      </x:c>
      <x:c r="K34" s="31" t="n">
        <x:f>J34*G34</x:f>
        <x:v>129.75</x:v>
      </x:c>
      <x:c r="L34" s="31" t="n">
        <x:f>K34-F34</x:f>
        <x:v>0.15000000000000568</x:v>
      </x:c>
      <x:c r="M34" s="15" t="str">
        <x:f>IF(L34&gt;=0,"PASS","FAIL")</x:f>
        <x:v>PASS</x:v>
      </x:c>
    </x:row>
    <x:row r="35">
      <x:c r="C35" s="15" t="str">
        <x:f>'02 Formation Inputs'!C35</x:f>
        <x:v>C-EGG</x:v>
      </x:c>
      <x:c r="D35" s="15" t="str">
        <x:f>'02 Formation Inputs'!E35</x:f>
        <x:v>Essential-goods group</x:v>
      </x:c>
      <x:c r="E35" s="15" t="n">
        <x:f>'03 Campaign Demand'!O35</x:f>
        <x:v>108</x:v>
      </x:c>
      <x:c r="F35" s="31" t="n">
        <x:f>E35*(1+'01 Assumptions'!$D$6)</x:f>
        <x:v>129.6</x:v>
      </x:c>
      <x:c r="G35" s="31" t="n">
        <x:f>MIN('02 Formation Inputs'!K35:O35)</x:f>
        <x:v>0.75</x:v>
      </x:c>
      <x:c r="H35" s="31" t="n">
        <x:f>CEILING(F35/G35,1)</x:f>
        <x:v>173</x:v>
      </x:c>
      <x:c r="I35" s="31" t="n">
        <x:f>CEILING('03 Campaign Demand'!P35*'01 Assumptions'!$D$7,1)</x:f>
        <x:v>45</x:v>
      </x:c>
      <x:c r="J35" s="31" t="n">
        <x:f>MAX(H35:I35)</x:f>
        <x:v>173</x:v>
      </x:c>
      <x:c r="K35" s="31" t="n">
        <x:f>J35*G35</x:f>
        <x:v>129.75</x:v>
      </x:c>
      <x:c r="L35" s="31" t="n">
        <x:f>K35-F35</x:f>
        <x:v>0.15000000000000568</x:v>
      </x:c>
      <x:c r="M35" s="15" t="str">
        <x:f>IF(L35&gt;=0,"PASS","FAIL")</x:f>
        <x:v>PASS</x:v>
      </x:c>
    </x:row>
    <x:row r="36">
      <x:c r="C36" s="15" t="str">
        <x:f>'02 Formation Inputs'!C36</x:f>
        <x:v>C-CAG</x:v>
      </x:c>
      <x:c r="D36" s="15" t="str">
        <x:f>'02 Formation Inputs'!E36</x:f>
        <x:v>Civil access group</x:v>
      </x:c>
      <x:c r="E36" s="15" t="n">
        <x:f>'03 Campaign Demand'!O36</x:f>
        <x:v>82</x:v>
      </x:c>
      <x:c r="F36" s="31" t="n">
        <x:f>E36*(1+'01 Assumptions'!$D$6)</x:f>
        <x:v>98.39999999999999</x:v>
      </x:c>
      <x:c r="G36" s="31" t="n">
        <x:f>MIN('02 Formation Inputs'!K36:O36)</x:f>
        <x:v>0.75</x:v>
      </x:c>
      <x:c r="H36" s="31" t="n">
        <x:f>CEILING(F36/G36,1)</x:f>
        <x:v>132</x:v>
      </x:c>
      <x:c r="I36" s="31" t="n">
        <x:f>CEILING('03 Campaign Demand'!P36*'01 Assumptions'!$D$7,1)</x:f>
        <x:v>33</x:v>
      </x:c>
      <x:c r="J36" s="31" t="n">
        <x:f>MAX(H36:I36)</x:f>
        <x:v>132</x:v>
      </x:c>
      <x:c r="K36" s="31" t="n">
        <x:f>J36*G36</x:f>
        <x:v>99</x:v>
      </x:c>
      <x:c r="L36" s="31" t="n">
        <x:f>K36-F36</x:f>
        <x:v>0.6000000000000085</x:v>
      </x:c>
      <x:c r="M36" s="15" t="str">
        <x:f>IF(L36&gt;=0,"PASS","FAIL")</x:f>
        <x:v>PASS</x:v>
      </x:c>
    </x:row>
    <x:row r="37">
      <x:c r="C37" s="15" t="str">
        <x:f>'02 Formation Inputs'!C37</x:f>
        <x:v>C-DTG</x:v>
      </x:c>
      <x:c r="D37" s="15" t="str">
        <x:f>'02 Formation Inputs'!E37</x:f>
        <x:v>Displacement transition group</x:v>
      </x:c>
      <x:c r="E37" s="15" t="n">
        <x:f>'03 Campaign Demand'!O37</x:f>
        <x:v>79</x:v>
      </x:c>
      <x:c r="F37" s="31" t="n">
        <x:f>E37*(1+'01 Assumptions'!$D$6)</x:f>
        <x:v>94.8</x:v>
      </x:c>
      <x:c r="G37" s="31" t="n">
        <x:f>MIN('02 Formation Inputs'!K37:O37)</x:f>
        <x:v>0.75</x:v>
      </x:c>
      <x:c r="H37" s="31" t="n">
        <x:f>CEILING(F37/G37,1)</x:f>
        <x:v>127</x:v>
      </x:c>
      <x:c r="I37" s="31" t="n">
        <x:f>CEILING('03 Campaign Demand'!P37*'01 Assumptions'!$D$7,1)</x:f>
        <x:v>36</x:v>
      </x:c>
      <x:c r="J37" s="31" t="n">
        <x:f>MAX(H37:I37)</x:f>
        <x:v>127</x:v>
      </x:c>
      <x:c r="K37" s="31" t="n">
        <x:f>J37*G37</x:f>
        <x:v>95.25</x:v>
      </x:c>
      <x:c r="L37" s="31" t="n">
        <x:f>K37-F37</x:f>
        <x:v>0.45000000000000284</x:v>
      </x:c>
      <x:c r="M37" s="15" t="str">
        <x:f>IF(L37&gt;=0,"PASS","FAIL")</x:f>
        <x:v>PASS</x:v>
      </x:c>
    </x:row>
    <x:row r="38">
      <x:c r="C38" s="15" t="str">
        <x:f>'02 Formation Inputs'!C38</x:f>
        <x:v>C-CIG</x:v>
      </x:c>
      <x:c r="D38" s="15" t="str">
        <x:f>'02 Formation Inputs'!E38</x:f>
        <x:v>Community institutions group</x:v>
      </x:c>
      <x:c r="E38" s="15" t="n">
        <x:f>'03 Campaign Demand'!O38</x:f>
        <x:v>66</x:v>
      </x:c>
      <x:c r="F38" s="31" t="n">
        <x:f>E38*(1+'01 Assumptions'!$D$6)</x:f>
        <x:v>79.2</x:v>
      </x:c>
      <x:c r="G38" s="31" t="n">
        <x:f>MIN('02 Formation Inputs'!K38:O38)</x:f>
        <x:v>0.75</x:v>
      </x:c>
      <x:c r="H38" s="31" t="n">
        <x:f>CEILING(F38/G38,1)</x:f>
        <x:v>106</x:v>
      </x:c>
      <x:c r="I38" s="31" t="n">
        <x:f>CEILING('03 Campaign Demand'!P38*'01 Assumptions'!$D$7,1)</x:f>
        <x:v>27</x:v>
      </x:c>
      <x:c r="J38" s="31" t="n">
        <x:f>MAX(H38:I38)</x:f>
        <x:v>106</x:v>
      </x:c>
      <x:c r="K38" s="31" t="n">
        <x:f>J38*G38</x:f>
        <x:v>79.5</x:v>
      </x:c>
      <x:c r="L38" s="31" t="n">
        <x:f>K38-F38</x:f>
        <x:v>0.29999999999999716</x:v>
      </x:c>
      <x:c r="M38" s="15" t="str">
        <x:f>IF(L38&gt;=0,"PASS","FAIL")</x:f>
        <x:v>PASS</x:v>
      </x:c>
    </x:row>
    <x:row r="39">
      <x:c r="C39" s="15" t="str">
        <x:f>'02 Formation Inputs'!C39</x:f>
        <x:v>J-RIG</x:v>
      </x:c>
      <x:c r="D39" s="15" t="str">
        <x:f>'02 Formation Inputs'!E39</x:f>
        <x:v>Resilience information group</x:v>
      </x:c>
      <x:c r="E39" s="15" t="n">
        <x:f>'03 Campaign Demand'!O39</x:f>
        <x:v>59</x:v>
      </x:c>
      <x:c r="F39" s="31" t="n">
        <x:f>E39*(1+'01 Assumptions'!$D$6)</x:f>
        <x:v>70.8</x:v>
      </x:c>
      <x:c r="G39" s="31" t="n">
        <x:f>MIN('02 Formation Inputs'!K39:O39)</x:f>
        <x:v>0.78</x:v>
      </x:c>
      <x:c r="H39" s="31" t="n">
        <x:f>CEILING(F39/G39,1)</x:f>
        <x:v>91</x:v>
      </x:c>
      <x:c r="I39" s="31" t="n">
        <x:f>CEILING('03 Campaign Demand'!P39*'01 Assumptions'!$D$7,1)</x:f>
        <x:v>24</x:v>
      </x:c>
      <x:c r="J39" s="31" t="n">
        <x:f>MAX(H39:I39)</x:f>
        <x:v>91</x:v>
      </x:c>
      <x:c r="K39" s="31" t="n">
        <x:f>J39*G39</x:f>
        <x:v>70.98</x:v>
      </x:c>
      <x:c r="L39" s="31" t="n">
        <x:f>K39-F39</x:f>
        <x:v>0.18000000000000682</x:v>
      </x:c>
      <x:c r="M39" s="15" t="str">
        <x:f>IF(L39&gt;=0,"PASS","FAIL")</x:f>
        <x:v>PASS</x:v>
      </x:c>
    </x:row>
    <x:row r="40">
      <x:c r="C40" s="15" t="str">
        <x:f>'02 Formation Inputs'!C40</x:f>
        <x:v>M-MPG</x:v>
      </x:c>
      <x:c r="D40" s="15" t="str">
        <x:f>'02 Formation Inputs'!E40</x:f>
        <x:v>Maritime production group</x:v>
      </x:c>
      <x:c r="E40" s="15" t="n">
        <x:f>'03 Campaign Demand'!O40</x:f>
        <x:v>28</x:v>
      </x:c>
      <x:c r="F40" s="31" t="n">
        <x:f>E40*(1+'01 Assumptions'!$D$6)</x:f>
        <x:v>33.6</x:v>
      </x:c>
      <x:c r="G40" s="31" t="n">
        <x:f>MIN('02 Formation Inputs'!K40:O40)</x:f>
        <x:v>0.65</x:v>
      </x:c>
      <x:c r="H40" s="31" t="n">
        <x:f>CEILING(F40/G40,1)</x:f>
        <x:v>52</x:v>
      </x:c>
      <x:c r="I40" s="31" t="n">
        <x:f>CEILING('03 Campaign Demand'!P40*'01 Assumptions'!$D$7,1)</x:f>
        <x:v>12</x:v>
      </x:c>
      <x:c r="J40" s="31" t="n">
        <x:f>MAX(H40:I40)</x:f>
        <x:v>52</x:v>
      </x:c>
      <x:c r="K40" s="31" t="n">
        <x:f>J40*G40</x:f>
        <x:v>33.800000000000004</x:v>
      </x:c>
      <x:c r="L40" s="31" t="n">
        <x:f>K40-F40</x:f>
        <x:v>0.20000000000000284</x:v>
      </x:c>
      <x:c r="M40" s="15" t="str">
        <x:f>IF(L40&gt;=0,"PASS","FAIL")</x:f>
        <x:v>PASS</x:v>
      </x:c>
    </x:row>
    <x:row r="41">
      <x:c r="C41" s="15" t="str">
        <x:f>'02 Formation Inputs'!C41</x:f>
        <x:v>I-WRG</x:v>
      </x:c>
      <x:c r="D41" s="15" t="str">
        <x:f>'02 Formation Inputs'!E41</x:f>
        <x:v>Water restoration group</x:v>
      </x:c>
      <x:c r="E41" s="15" t="n">
        <x:f>'03 Campaign Demand'!O41</x:f>
        <x:v>54</x:v>
      </x:c>
      <x:c r="F41" s="31" t="n">
        <x:f>E41*(1+'01 Assumptions'!$D$6)</x:f>
        <x:v>64.8</x:v>
      </x:c>
      <x:c r="G41" s="31" t="n">
        <x:f>MIN('02 Formation Inputs'!K41:O41)</x:f>
        <x:v>0.7</x:v>
      </x:c>
      <x:c r="H41" s="31" t="n">
        <x:f>CEILING(F41/G41,1)</x:f>
        <x:v>93</x:v>
      </x:c>
      <x:c r="I41" s="31" t="n">
        <x:f>CEILING('03 Campaign Demand'!P41*'01 Assumptions'!$D$7,1)</x:f>
        <x:v>23</x:v>
      </x:c>
      <x:c r="J41" s="31" t="n">
        <x:f>MAX(H41:I41)</x:f>
        <x:v>93</x:v>
      </x:c>
      <x:c r="K41" s="31" t="n">
        <x:f>J41*G41</x:f>
        <x:v>65.1</x:v>
      </x:c>
      <x:c r="L41" s="31" t="n">
        <x:f>K41-F41</x:f>
        <x:v>0.29999999999999716</x:v>
      </x:c>
      <x:c r="M41" s="15" t="str">
        <x:f>IF(L41&gt;=0,"PASS","FAIL")</x:f>
        <x:v>PASS</x:v>
      </x:c>
    </x:row>
    <x:row r="42">
      <x:c r="C42" s="15" t="str">
        <x:f>'02 Formation Inputs'!C42</x:f>
        <x:v>I-PRG</x:v>
      </x:c>
      <x:c r="D42" s="15" t="str">
        <x:f>'02 Formation Inputs'!E42</x:f>
        <x:v>Power restoration group</x:v>
      </x:c>
      <x:c r="E42" s="15" t="n">
        <x:f>'03 Campaign Demand'!O42</x:f>
        <x:v>63</x:v>
      </x:c>
      <x:c r="F42" s="31" t="n">
        <x:f>E42*(1+'01 Assumptions'!$D$6)</x:f>
        <x:v>75.6</x:v>
      </x:c>
      <x:c r="G42" s="31" t="n">
        <x:f>MIN('02 Formation Inputs'!K42:O42)</x:f>
        <x:v>0.7</x:v>
      </x:c>
      <x:c r="H42" s="31" t="n">
        <x:f>CEILING(F42/G42,1)</x:f>
        <x:v>108</x:v>
      </x:c>
      <x:c r="I42" s="31" t="n">
        <x:f>CEILING('03 Campaign Demand'!P42*'01 Assumptions'!$D$7,1)</x:f>
        <x:v>23</x:v>
      </x:c>
      <x:c r="J42" s="31" t="n">
        <x:f>MAX(H42:I42)</x:f>
        <x:v>108</x:v>
      </x:c>
      <x:c r="K42" s="31" t="n">
        <x:f>J42*G42</x:f>
        <x:v>75.6</x:v>
      </x:c>
      <x:c r="L42" s="31" t="n">
        <x:f>K42-F42</x:f>
        <x:v>0</x:v>
      </x:c>
      <x:c r="M42" s="15" t="str">
        <x:f>IF(L42&gt;=0,"PASS","FAIL")</x:f>
        <x:v>PASS</x:v>
      </x:c>
    </x:row>
    <x:row r="43">
      <x:c r="C43" s="15" t="str">
        <x:f>'02 Formation Inputs'!C43</x:f>
        <x:v>I-GBG</x:v>
      </x:c>
      <x:c r="D43" s="15" t="str">
        <x:f>'02 Formation Inputs'!E43</x:f>
        <x:v>Grid bridge group</x:v>
      </x:c>
      <x:c r="E43" s="15" t="n">
        <x:f>'03 Campaign Demand'!O43</x:f>
        <x:v>48</x:v>
      </x:c>
      <x:c r="F43" s="31" t="n">
        <x:f>E43*(1+'01 Assumptions'!$D$6)</x:f>
        <x:v>57.599999999999994</x:v>
      </x:c>
      <x:c r="G43" s="31" t="n">
        <x:f>MIN('02 Formation Inputs'!K43:O43)</x:f>
        <x:v>0.7</x:v>
      </x:c>
      <x:c r="H43" s="31" t="n">
        <x:f>CEILING(F43/G43,1)</x:f>
        <x:v>83</x:v>
      </x:c>
      <x:c r="I43" s="31" t="n">
        <x:f>CEILING('03 Campaign Demand'!P43*'01 Assumptions'!$D$7,1)</x:f>
        <x:v>17</x:v>
      </x:c>
      <x:c r="J43" s="31" t="n">
        <x:f>MAX(H43:I43)</x:f>
        <x:v>83</x:v>
      </x:c>
      <x:c r="K43" s="31" t="n">
        <x:f>J43*G43</x:f>
        <x:v>58.099999999999994</x:v>
      </x:c>
      <x:c r="L43" s="31" t="n">
        <x:f>K43-F43</x:f>
        <x:v>0.5</x:v>
      </x:c>
      <x:c r="M43" s="15" t="str">
        <x:f>IF(L43&gt;=0,"PASS","FAIL")</x:f>
        <x:v>PASS</x:v>
      </x:c>
    </x:row>
    <x:row r="44">
      <x:c r="C44" s="15" t="str">
        <x:f>'02 Formation Inputs'!C44</x:f>
        <x:v>H-THC</x:v>
      </x:c>
      <x:c r="D44" s="15" t="str">
        <x:f>'02 Formation Inputs'!E44</x:f>
        <x:v>Theater hospital command</x:v>
      </x:c>
      <x:c r="E44" s="15" t="n">
        <x:f>'03 Campaign Demand'!O44</x:f>
        <x:v>28</x:v>
      </x:c>
      <x:c r="F44" s="31" t="n">
        <x:f>E44*(1+'01 Assumptions'!$D$6)</x:f>
        <x:v>33.6</x:v>
      </x:c>
      <x:c r="G44" s="31" t="n">
        <x:f>MIN('02 Formation Inputs'!K44:O44)</x:f>
        <x:v>0.65</x:v>
      </x:c>
      <x:c r="H44" s="31" t="n">
        <x:f>CEILING(F44/G44,1)</x:f>
        <x:v>52</x:v>
      </x:c>
      <x:c r="I44" s="31" t="n">
        <x:f>CEILING('03 Campaign Demand'!P44*'01 Assumptions'!$D$7,1)</x:f>
        <x:v>12</x:v>
      </x:c>
      <x:c r="J44" s="31" t="n">
        <x:f>MAX(H44:I44)</x:f>
        <x:v>52</x:v>
      </x:c>
      <x:c r="K44" s="31" t="n">
        <x:f>J44*G44</x:f>
        <x:v>33.800000000000004</x:v>
      </x:c>
      <x:c r="L44" s="31" t="n">
        <x:f>K44-F44</x:f>
        <x:v>0.20000000000000284</x:v>
      </x:c>
      <x:c r="M44" s="15" t="str">
        <x:f>IF(L44&gt;=0,"PASS","FAIL")</x:f>
        <x:v>PASS</x:v>
      </x:c>
    </x:row>
    <x:row r="45">
      <x:c r="C45" s="15" t="str">
        <x:f>'02 Formation Inputs'!C45</x:f>
        <x:v>H-PMG</x:v>
      </x:c>
      <x:c r="D45" s="15" t="str">
        <x:f>'02 Formation Inputs'!E45</x:f>
        <x:v>Patient movement group</x:v>
      </x:c>
      <x:c r="E45" s="15" t="n">
        <x:f>'03 Campaign Demand'!O45</x:f>
        <x:v>49</x:v>
      </x:c>
      <x:c r="F45" s="31" t="n">
        <x:f>E45*(1+'01 Assumptions'!$D$6)</x:f>
        <x:v>58.8</x:v>
      </x:c>
      <x:c r="G45" s="31" t="n">
        <x:f>MIN('02 Formation Inputs'!K45:O45)</x:f>
        <x:v>0.65</x:v>
      </x:c>
      <x:c r="H45" s="31" t="n">
        <x:f>CEILING(F45/G45,1)</x:f>
        <x:v>91</x:v>
      </x:c>
      <x:c r="I45" s="31" t="n">
        <x:f>CEILING('03 Campaign Demand'!P45*'01 Assumptions'!$D$7,1)</x:f>
        <x:v>21</x:v>
      </x:c>
      <x:c r="J45" s="31" t="n">
        <x:f>MAX(H45:I45)</x:f>
        <x:v>91</x:v>
      </x:c>
      <x:c r="K45" s="31" t="n">
        <x:f>J45*G45</x:f>
        <x:v>59.15</x:v>
      </x:c>
      <x:c r="L45" s="31" t="n">
        <x:f>K45-F45</x:f>
        <x:v>0.3500000000000014</x:v>
      </x:c>
      <x:c r="M45" s="15" t="str">
        <x:f>IF(L45&gt;=0,"PASS","FAIL")</x:f>
        <x:v>PASS</x:v>
      </x:c>
    </x:row>
    <x:row r="46">
      <x:c r="C46" s="15" t="str">
        <x:f>'02 Formation Inputs'!C46</x:f>
        <x:v>C-ERG</x:v>
      </x:c>
      <x:c r="D46" s="15" t="str">
        <x:f>'02 Formation Inputs'!E46</x:f>
        <x:v>Economic restart group</x:v>
      </x:c>
      <x:c r="E46" s="15" t="n">
        <x:f>'03 Campaign Demand'!O46</x:f>
        <x:v>55</x:v>
      </x:c>
      <x:c r="F46" s="31" t="n">
        <x:f>E46*(1+'01 Assumptions'!$D$6)</x:f>
        <x:v>66</x:v>
      </x:c>
      <x:c r="G46" s="31" t="n">
        <x:f>MIN('02 Formation Inputs'!K46:O46)</x:f>
        <x:v>0.75</x:v>
      </x:c>
      <x:c r="H46" s="31" t="n">
        <x:f>CEILING(F46/G46,1)</x:f>
        <x:v>88</x:v>
      </x:c>
      <x:c r="I46" s="31" t="n">
        <x:f>CEILING('03 Campaign Demand'!P46*'01 Assumptions'!$D$7,1)</x:f>
        <x:v>24</x:v>
      </x:c>
      <x:c r="J46" s="31" t="n">
        <x:f>MAX(H46:I46)</x:f>
        <x:v>88</x:v>
      </x:c>
      <x:c r="K46" s="31" t="n">
        <x:f>J46*G46</x:f>
        <x:v>66</x:v>
      </x:c>
      <x:c r="L46" s="31" t="n">
        <x:f>K46-F46</x:f>
        <x:v>0</x:v>
      </x:c>
      <x:c r="M46" s="15" t="str">
        <x:f>IF(L46&gt;=0,"PASS","FAIL")</x:f>
        <x:v>PASS</x:v>
      </x:c>
    </x:row>
    <x:row r="47">
      <x:c r="C47" s="15" t="str">
        <x:f>'02 Formation Inputs'!C47</x:f>
        <x:v>CM-HCG</x:v>
      </x:c>
      <x:c r="D47" s="15" t="str">
        <x:f>'02 Formation Inputs'!E47</x:f>
        <x:v>Household collection group</x:v>
      </x:c>
      <x:c r="E47" s="15" t="n">
        <x:f>'03 Campaign Demand'!O47</x:f>
        <x:v>69</x:v>
      </x:c>
      <x:c r="F47" s="31" t="n">
        <x:f>E47*(1+'01 Assumptions'!$D$6)</x:f>
        <x:v>82.8</x:v>
      </x:c>
      <x:c r="G47" s="31" t="n">
        <x:f>MIN('02 Formation Inputs'!K47:O47)</x:f>
        <x:v>0.65</x:v>
      </x:c>
      <x:c r="H47" s="31" t="n">
        <x:f>CEILING(F47/G47,1)</x:f>
        <x:v>128</x:v>
      </x:c>
      <x:c r="I47" s="31" t="n">
        <x:f>CEILING('03 Campaign Demand'!P47*'01 Assumptions'!$D$7,1)</x:f>
        <x:v>30</x:v>
      </x:c>
      <x:c r="J47" s="31" t="n">
        <x:f>MAX(H47:I47)</x:f>
        <x:v>128</x:v>
      </x:c>
      <x:c r="K47" s="31" t="n">
        <x:f>J47*G47</x:f>
        <x:v>83.2</x:v>
      </x:c>
      <x:c r="L47" s="31" t="n">
        <x:f>K47-F47</x:f>
        <x:v>0.4000000000000057</x:v>
      </x:c>
      <x:c r="M47" s="15" t="str">
        <x:f>IF(L47&gt;=0,"PASS","FAIL")</x:f>
        <x:v>PASS</x:v>
      </x:c>
    </x:row>
    <x:row r="48">
      <x:c r="C48" s="15" t="str">
        <x:f>'02 Formation Inputs'!C48</x:f>
        <x:v>CM-CTN</x:v>
      </x:c>
      <x:c r="D48" s="15" t="str">
        <x:f>'02 Formation Inputs'!E48</x:f>
        <x:v>Continuity transfer-node group</x:v>
      </x:c>
      <x:c r="E48" s="15" t="n">
        <x:f>'03 Campaign Demand'!O48</x:f>
        <x:v>54</x:v>
      </x:c>
      <x:c r="F48" s="31" t="n">
        <x:f>E48*(1+'01 Assumptions'!$D$6)</x:f>
        <x:v>64.8</x:v>
      </x:c>
      <x:c r="G48" s="31" t="n">
        <x:f>MIN('02 Formation Inputs'!K48:O48)</x:f>
        <x:v>0.65</x:v>
      </x:c>
      <x:c r="H48" s="31" t="n">
        <x:f>CEILING(F48/G48,1)</x:f>
        <x:v>100</x:v>
      </x:c>
      <x:c r="I48" s="31" t="n">
        <x:f>CEILING('03 Campaign Demand'!P48*'01 Assumptions'!$D$7,1)</x:f>
        <x:v>24</x:v>
      </x:c>
      <x:c r="J48" s="31" t="n">
        <x:f>MAX(H48:I48)</x:f>
        <x:v>100</x:v>
      </x:c>
      <x:c r="K48" s="31" t="n">
        <x:f>J48*G48</x:f>
        <x:v>65</x:v>
      </x:c>
      <x:c r="L48" s="31" t="n">
        <x:f>K48-F48</x:f>
        <x:v>0.20000000000000284</x:v>
      </x:c>
      <x:c r="M48" s="15" t="str">
        <x:f>IF(L48&gt;=0,"PASS","FAIL")</x:f>
        <x:v>PASS</x:v>
      </x:c>
    </x:row>
    <x:row r="49">
      <x:c r="C49" s="15" t="str">
        <x:f>'02 Formation Inputs'!C49</x:f>
        <x:v>CM-RMG</x:v>
      </x:c>
      <x:c r="D49" s="15" t="str">
        <x:f>'02 Formation Inputs'!E49</x:f>
        <x:v>Civil road-mobility group</x:v>
      </x:c>
      <x:c r="E49" s="15" t="n">
        <x:f>'03 Campaign Demand'!O49</x:f>
        <x:v>86</x:v>
      </x:c>
      <x:c r="F49" s="31" t="n">
        <x:f>E49*(1+'01 Assumptions'!$D$6)</x:f>
        <x:v>103.2</x:v>
      </x:c>
      <x:c r="G49" s="31" t="n">
        <x:f>MIN('02 Formation Inputs'!K49:O49)</x:f>
        <x:v>0.65</x:v>
      </x:c>
      <x:c r="H49" s="31" t="n">
        <x:f>CEILING(F49/G49,1)</x:f>
        <x:v>159</x:v>
      </x:c>
      <x:c r="I49" s="31" t="n">
        <x:f>CEILING('03 Campaign Demand'!P49*'01 Assumptions'!$D$7,1)</x:f>
        <x:v>36</x:v>
      </x:c>
      <x:c r="J49" s="31" t="n">
        <x:f>MAX(H49:I49)</x:f>
        <x:v>159</x:v>
      </x:c>
      <x:c r="K49" s="31" t="n">
        <x:f>J49*G49</x:f>
        <x:v>103.35000000000001</x:v>
      </x:c>
      <x:c r="L49" s="31" t="n">
        <x:f>K49-F49</x:f>
        <x:v>0.15000000000000568</x:v>
      </x:c>
      <x:c r="M49" s="15" t="str">
        <x:f>IF(L49&gt;=0,"PASS","FAIL")</x:f>
        <x:v>PASS</x:v>
      </x:c>
    </x:row>
    <x:row r="50">
      <x:c r="C50" s="15" t="str">
        <x:f>'02 Formation Inputs'!C50</x:f>
        <x:v>CM-RLG</x:v>
      </x:c>
      <x:c r="D50" s="15" t="str">
        <x:f>'02 Formation Inputs'!E50</x:f>
        <x:v>Civil rail-mobility group</x:v>
      </x:c>
      <x:c r="E50" s="15" t="n">
        <x:f>'03 Campaign Demand'!O50</x:f>
        <x:v>32</x:v>
      </x:c>
      <x:c r="F50" s="31" t="n">
        <x:f>E50*(1+'01 Assumptions'!$D$6)</x:f>
        <x:v>38.4</x:v>
      </x:c>
      <x:c r="G50" s="31" t="n">
        <x:f>MIN('02 Formation Inputs'!K50:O50)</x:f>
        <x:v>0.65</x:v>
      </x:c>
      <x:c r="H50" s="31" t="n">
        <x:f>CEILING(F50/G50,1)</x:f>
        <x:v>60</x:v>
      </x:c>
      <x:c r="I50" s="31" t="n">
        <x:f>CEILING('03 Campaign Demand'!P50*'01 Assumptions'!$D$7,1)</x:f>
        <x:v>15</x:v>
      </x:c>
      <x:c r="J50" s="31" t="n">
        <x:f>MAX(H50:I50)</x:f>
        <x:v>60</x:v>
      </x:c>
      <x:c r="K50" s="31" t="n">
        <x:f>J50*G50</x:f>
        <x:v>39</x:v>
      </x:c>
      <x:c r="L50" s="31" t="n">
        <x:f>K50-F50</x:f>
        <x:v>0.6000000000000014</x:v>
      </x:c>
      <x:c r="M50" s="15" t="str">
        <x:f>IF(L50&gt;=0,"PASS","FAIL")</x:f>
        <x:v>PASS</x:v>
      </x:c>
    </x:row>
    <x:row r="51">
      <x:c r="C51" s="15" t="str">
        <x:f>'02 Formation Inputs'!C51</x:f>
        <x:v>CM-AMG</x:v>
      </x:c>
      <x:c r="D51" s="15" t="str">
        <x:f>'02 Formation Inputs'!E51</x:f>
        <x:v>Civil air-mobility group</x:v>
      </x:c>
      <x:c r="E51" s="15" t="n">
        <x:f>'03 Campaign Demand'!O51</x:f>
        <x:v>31</x:v>
      </x:c>
      <x:c r="F51" s="31" t="n">
        <x:f>E51*(1+'01 Assumptions'!$D$6)</x:f>
        <x:v>37.199999999999996</x:v>
      </x:c>
      <x:c r="G51" s="31" t="n">
        <x:f>MIN('02 Formation Inputs'!K51:O51)</x:f>
        <x:v>0.65</x:v>
      </x:c>
      <x:c r="H51" s="31" t="n">
        <x:f>CEILING(F51/G51,1)</x:f>
        <x:v>58</x:v>
      </x:c>
      <x:c r="I51" s="31" t="n">
        <x:f>CEILING('03 Campaign Demand'!P51*'01 Assumptions'!$D$7,1)</x:f>
        <x:v>15</x:v>
      </x:c>
      <x:c r="J51" s="31" t="n">
        <x:f>MAX(H51:I51)</x:f>
        <x:v>58</x:v>
      </x:c>
      <x:c r="K51" s="31" t="n">
        <x:f>J51*G51</x:f>
        <x:v>37.7</x:v>
      </x:c>
      <x:c r="L51" s="31" t="n">
        <x:f>K51-F51</x:f>
        <x:v>0.5000000000000071</x:v>
      </x:c>
      <x:c r="M51" s="15" t="str">
        <x:f>IF(L51&gt;=0,"PASS","FAIL")</x:f>
        <x:v>PASS</x:v>
      </x:c>
    </x:row>
    <x:row r="52">
      <x:c r="C52" s="15" t="str">
        <x:f>'02 Formation Inputs'!C52</x:f>
        <x:v>CM-WMG</x:v>
      </x:c>
      <x:c r="D52" s="15" t="str">
        <x:f>'02 Formation Inputs'!E52</x:f>
        <x:v>Civil water-mobility group</x:v>
      </x:c>
      <x:c r="E52" s="15" t="n">
        <x:f>'03 Campaign Demand'!O52</x:f>
        <x:v>32</x:v>
      </x:c>
      <x:c r="F52" s="31" t="n">
        <x:f>E52*(1+'01 Assumptions'!$D$6)</x:f>
        <x:v>38.4</x:v>
      </x:c>
      <x:c r="G52" s="31" t="n">
        <x:f>MIN('02 Formation Inputs'!K52:O52)</x:f>
        <x:v>0.65</x:v>
      </x:c>
      <x:c r="H52" s="31" t="n">
        <x:f>CEILING(F52/G52,1)</x:f>
        <x:v>60</x:v>
      </x:c>
      <x:c r="I52" s="31" t="n">
        <x:f>CEILING('03 Campaign Demand'!P52*'01 Assumptions'!$D$7,1)</x:f>
        <x:v>17</x:v>
      </x:c>
      <x:c r="J52" s="31" t="n">
        <x:f>MAX(H52:I52)</x:f>
        <x:v>60</x:v>
      </x:c>
      <x:c r="K52" s="31" t="n">
        <x:f>J52*G52</x:f>
        <x:v>39</x:v>
      </x:c>
      <x:c r="L52" s="31" t="n">
        <x:f>K52-F52</x:f>
        <x:v>0.6000000000000014</x:v>
      </x:c>
      <x:c r="M52" s="15" t="str">
        <x:f>IF(L52&gt;=0,"PASS","FAIL")</x:f>
        <x:v>PASS</x:v>
      </x:c>
    </x:row>
    <x:row r="53">
      <x:c r="C53" s="15" t="str">
        <x:f>'02 Formation Inputs'!C53</x:f>
        <x:v>CM-RDC</x:v>
      </x:c>
      <x:c r="D53" s="15" t="str">
        <x:f>'02 Formation Inputs'!E53</x:f>
        <x:v>Return and durable-continuity group</x:v>
      </x:c>
      <x:c r="E53" s="15" t="n">
        <x:f>'03 Campaign Demand'!O53</x:f>
        <x:v>58</x:v>
      </x:c>
      <x:c r="F53" s="31" t="n">
        <x:f>E53*(1+'01 Assumptions'!$D$6)</x:f>
        <x:v>69.6</x:v>
      </x:c>
      <x:c r="G53" s="31" t="n">
        <x:f>MIN('02 Formation Inputs'!K53:O53)</x:f>
        <x:v>0.75</x:v>
      </x:c>
      <x:c r="H53" s="31" t="n">
        <x:f>CEILING(F53/G53,1)</x:f>
        <x:v>93</x:v>
      </x:c>
      <x:c r="I53" s="31" t="n">
        <x:f>CEILING('03 Campaign Demand'!P53*'01 Assumptions'!$D$7,1)</x:f>
        <x:v>27</x:v>
      </x:c>
      <x:c r="J53" s="31" t="n">
        <x:f>MAX(H53:I53)</x:f>
        <x:v>93</x:v>
      </x:c>
      <x:c r="K53" s="31" t="n">
        <x:f>J53*G53</x:f>
        <x:v>69.75</x:v>
      </x:c>
      <x:c r="L53" s="31" t="n">
        <x:f>K53-F53</x:f>
        <x:v>0.15000000000000568</x:v>
      </x:c>
      <x:c r="M53" s="15" t="str">
        <x:f>IF(L53&gt;=0,"PASS","FAIL")</x:f>
        <x:v>PASS</x:v>
      </x:c>
    </x:row>
  </x:sheetData>
  <x:conditionalFormatting sqref="M6:M53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d705063ccb3243f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3" max="3" width="12" hidden="0" customWidth="1"/>
    <x:col min="4" max="4" width="24" hidden="0" customWidth="1"/>
    <x:col min="5" max="5" width="31" hidden="0" customWidth="1"/>
    <x:col min="6" max="6" width="11" hidden="0" customWidth="1"/>
    <x:col min="7" max="7" width="13" hidden="0" customWidth="1"/>
    <x:col min="8" max="8" width="11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8" hidden="0" customWidth="1"/>
    <x:col min="21" max="21" width="23" hidden="0" customWidth="1"/>
    <x:col min="22" max="22" width="13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Workforce and Component Structure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C3" s="3" t="str">
        <x:v>Formation billets use net people after explicit shared-crew credit. NUPS enterprise labor remains one common line; institutional depth is applied once.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5" ht="32" customHeight="1">
      <x:c r="C5" s="9" t="str">
        <x:v>ID</x:v>
      </x:c>
      <x:c r="D5" s="9" t="str">
        <x:v>Service</x:v>
      </x:c>
      <x:c r="E5" s="9" t="str">
        <x:v>Formation</x:v>
      </x:c>
      <x:c r="F5" s="9" t="str">
        <x:v>Inventory</x:v>
      </x:c>
      <x:c r="G5" s="9" t="str">
        <x:v>Net people</x:v>
      </x:c>
      <x:c r="H5" s="9" t="str">
        <x:v>Crew sets</x:v>
      </x:c>
      <x:c r="I5" s="9" t="str">
        <x:v>Direct billets</x:v>
      </x:c>
      <x:c r="J5" s="9" t="str">
        <x:v>Permanent share</x:v>
      </x:c>
      <x:c r="K5" s="9" t="str">
        <x:v>Reserve share</x:v>
      </x:c>
      <x:c r="L5" s="9" t="str">
        <x:v>State share</x:v>
      </x:c>
      <x:c r="M5" s="9" t="str">
        <x:v>Industry share</x:v>
      </x:c>
      <x:c r="N5" s="9" t="str">
        <x:v>Partner share</x:v>
      </x:c>
      <x:c r="O5" s="9" t="str">
        <x:v>Permanent billets</x:v>
      </x:c>
      <x:c r="P5" s="9" t="str">
        <x:v>Reserve billets</x:v>
      </x:c>
      <x:c r="Q5" s="9" t="str">
        <x:v>State billets</x:v>
      </x:c>
      <x:c r="R5" s="9" t="str">
        <x:v>Industry billets</x:v>
      </x:c>
      <x:c r="S5" s="9" t="str">
        <x:v>Partner billets</x:v>
      </x:c>
      <x:c r="T5" s="9" t="str">
        <x:v>Annual personnel $B</x:v>
      </x:c>
      <x:c r="U5" s="9" t="str">
        <x:v>Lineage</x:v>
      </x:c>
      <x:c r="V5" s="9" t="str">
        <x:v>Mix status</x:v>
      </x:c>
    </x:row>
    <x:row r="6" ht="32" customHeight="1">
      <x:c r="C6" s="15" t="str">
        <x:f>'02 Formation Inputs'!C6</x:f>
        <x:v>J-CIE</x:v>
      </x:c>
      <x:c r="D6" s="15" t="str">
        <x:f>'02 Formation Inputs'!D6</x:f>
        <x:v>Joint</x:v>
      </x:c>
      <x:c r="E6" s="24" t="str">
        <x:f>'02 Formation Inputs'!E6</x:f>
        <x:v>Civil integration and effects group</x:v>
      </x:c>
      <x:c r="F6" s="24" t="n">
        <x:f>'04 Inventory'!J6</x:f>
        <x:v>53</x:v>
      </x:c>
      <x:c r="G6" s="24" t="n">
        <x:f>'02 Formation Inputs'!I6</x:f>
        <x:v>120</x:v>
      </x:c>
      <x:c r="H6" s="24" t="n">
        <x:f>'02 Formation Inputs'!J6</x:f>
        <x:v>2.5</x:v>
      </x:c>
      <x:c r="I6" s="24" t="n">
        <x:f>F6*G6*H6</x:f>
        <x:v>15900</x:v>
      </x:c>
      <x:c r="J6" s="25" t="n">
        <x:v>0.6</x:v>
      </x:c>
      <x:c r="K6" s="25" t="n">
        <x:v>0.2</x:v>
      </x:c>
      <x:c r="L6" s="25" t="n">
        <x:v>0.1</x:v>
      </x:c>
      <x:c r="M6" s="25" t="n">
        <x:v>0.05</x:v>
      </x:c>
      <x:c r="N6" s="25" t="n">
        <x:v>0.05</x:v>
      </x:c>
      <x:c r="O6" s="24" t="n">
        <x:f>I6*J6</x:f>
        <x:v>9540</x:v>
      </x:c>
      <x:c r="P6" s="24" t="n">
        <x:f>I6*K6</x:f>
        <x:v>3180</x:v>
      </x:c>
      <x:c r="Q6" s="24" t="n">
        <x:f>I6*L6</x:f>
        <x:v>1590</x:v>
      </x:c>
      <x:c r="R6" s="24" t="n">
        <x:f>I6*M6</x:f>
        <x:v>795</x:v>
      </x:c>
      <x:c r="S6" s="24" t="n">
        <x:f>I6*N6</x:f>
        <x:v>795</x:v>
      </x:c>
      <x:c r="T6" s="34" t="n">
        <x:f>(O6*'01 Assumptions'!$D$28+P6*'01 Assumptions'!$D$29+Q6*'01 Assumptions'!$D$30+R6*'01 Assumptions'!$D$31+S6*'01 Assumptions'!$D$32)/1000000000</x:f>
        <x:v>1.8603</x:v>
      </x:c>
      <x:c r="U6" s="14" t="str">
        <x:v>Pass 23 retained</x:v>
      </x:c>
      <x:c r="V6" s="24" t="str">
        <x:f>IF(ABS(SUM(J6:N6)-1)&lt;0.000001,"PASS","FAIL")</x:f>
        <x:v>PASS</x:v>
      </x:c>
    </x:row>
    <x:row r="7" ht="32" customHeight="1">
      <x:c r="C7" s="15" t="str">
        <x:f>'02 Formation Inputs'!C7</x:f>
        <x:v>J-TOC</x:v>
      </x:c>
      <x:c r="D7" s="15" t="str">
        <x:f>'02 Formation Inputs'!D7</x:f>
        <x:v>Joint</x:v>
      </x:c>
      <x:c r="E7" s="24" t="str">
        <x:f>'02 Formation Inputs'!E7</x:f>
        <x:v>Theater-opening command</x:v>
      </x:c>
      <x:c r="F7" s="24" t="n">
        <x:f>'04 Inventory'!J7</x:f>
        <x:v>36</x:v>
      </x:c>
      <x:c r="G7" s="24" t="n">
        <x:f>'02 Formation Inputs'!I7</x:f>
        <x:v>600</x:v>
      </x:c>
      <x:c r="H7" s="24" t="n">
        <x:f>'02 Formation Inputs'!J7</x:f>
        <x:v>2.5</x:v>
      </x:c>
      <x:c r="I7" s="24" t="n">
        <x:f>F7*G7*H7</x:f>
        <x:v>54000</x:v>
      </x:c>
      <x:c r="J7" s="25" t="n">
        <x:v>0.6</x:v>
      </x:c>
      <x:c r="K7" s="25" t="n">
        <x:v>0.2</x:v>
      </x:c>
      <x:c r="L7" s="25" t="n">
        <x:v>0.1</x:v>
      </x:c>
      <x:c r="M7" s="25" t="n">
        <x:v>0.05</x:v>
      </x:c>
      <x:c r="N7" s="25" t="n">
        <x:v>0.05</x:v>
      </x:c>
      <x:c r="O7" s="24" t="n">
        <x:f>I7*J7</x:f>
        <x:v>32400</x:v>
      </x:c>
      <x:c r="P7" s="24" t="n">
        <x:f>I7*K7</x:f>
        <x:v>10800</x:v>
      </x:c>
      <x:c r="Q7" s="24" t="n">
        <x:f>I7*L7</x:f>
        <x:v>5400</x:v>
      </x:c>
      <x:c r="R7" s="24" t="n">
        <x:f>I7*M7</x:f>
        <x:v>2700</x:v>
      </x:c>
      <x:c r="S7" s="24" t="n">
        <x:f>I7*N7</x:f>
        <x:v>2700</x:v>
      </x:c>
      <x:c r="T7" s="34" t="n">
        <x:f>(O7*'01 Assumptions'!$D$28+P7*'01 Assumptions'!$D$29+Q7*'01 Assumptions'!$D$30+R7*'01 Assumptions'!$D$31+S7*'01 Assumptions'!$D$32)/1000000000</x:f>
        <x:v>6.318</x:v>
      </x:c>
      <x:c r="U7" s="14" t="str">
        <x:v>Pass 23 retained</x:v>
      </x:c>
      <x:c r="V7" s="24" t="str">
        <x:f>IF(ABS(SUM(J7:N7)-1)&lt;0.000001,"PASS","FAIL")</x:f>
        <x:v>PASS</x:v>
      </x:c>
    </x:row>
    <x:row r="8" ht="32" customHeight="1">
      <x:c r="C8" s="15" t="str">
        <x:f>'02 Formation Inputs'!C8</x:f>
        <x:v>J-TSC</x:v>
      </x:c>
      <x:c r="D8" s="15" t="str">
        <x:f>'02 Formation Inputs'!D8</x:f>
        <x:v>Joint</x:v>
      </x:c>
      <x:c r="E8" s="24" t="str">
        <x:f>'02 Formation Inputs'!E8</x:f>
        <x:v>Theater sustainment command</x:v>
      </x:c>
      <x:c r="F8" s="24" t="n">
        <x:f>'04 Inventory'!J8</x:f>
        <x:v>51</x:v>
      </x:c>
      <x:c r="G8" s="24" t="n">
        <x:f>'02 Formation Inputs'!I8</x:f>
        <x:v>900</x:v>
      </x:c>
      <x:c r="H8" s="24" t="n">
        <x:f>'02 Formation Inputs'!J8</x:f>
        <x:v>2.5</x:v>
      </x:c>
      <x:c r="I8" s="24" t="n">
        <x:f>F8*G8*H8</x:f>
        <x:v>114750</x:v>
      </x:c>
      <x:c r="J8" s="25" t="n">
        <x:v>0.6</x:v>
      </x:c>
      <x:c r="K8" s="25" t="n">
        <x:v>0.2</x:v>
      </x:c>
      <x:c r="L8" s="25" t="n">
        <x:v>0.1</x:v>
      </x:c>
      <x:c r="M8" s="25" t="n">
        <x:v>0.05</x:v>
      </x:c>
      <x:c r="N8" s="25" t="n">
        <x:v>0.05</x:v>
      </x:c>
      <x:c r="O8" s="24" t="n">
        <x:f>I8*J8</x:f>
        <x:v>68850</x:v>
      </x:c>
      <x:c r="P8" s="24" t="n">
        <x:f>I8*K8</x:f>
        <x:v>22950</x:v>
      </x:c>
      <x:c r="Q8" s="24" t="n">
        <x:f>I8*L8</x:f>
        <x:v>11475</x:v>
      </x:c>
      <x:c r="R8" s="24" t="n">
        <x:f>I8*M8</x:f>
        <x:v>5737.5</x:v>
      </x:c>
      <x:c r="S8" s="24" t="n">
        <x:f>I8*N8</x:f>
        <x:v>5737.5</x:v>
      </x:c>
      <x:c r="T8" s="34" t="n">
        <x:f>(O8*'01 Assumptions'!$D$28+P8*'01 Assumptions'!$D$29+Q8*'01 Assumptions'!$D$30+R8*'01 Assumptions'!$D$31+S8*'01 Assumptions'!$D$32)/1000000000</x:f>
        <x:v>13.42575</x:v>
      </x:c>
      <x:c r="U8" s="14" t="str">
        <x:v>Pass 23 retained</x:v>
      </x:c>
      <x:c r="V8" s="24" t="str">
        <x:f>IF(ABS(SUM(J8:N8)-1)&lt;0.000001,"PASS","FAIL")</x:f>
        <x:v>PASS</x:v>
      </x:c>
    </x:row>
    <x:row r="9" ht="32" customHeight="1">
      <x:c r="C9" s="15" t="str">
        <x:f>'02 Formation Inputs'!C9</x:f>
        <x:v>J-RRG</x:v>
      </x:c>
      <x:c r="D9" s="15" t="str">
        <x:f>'02 Formation Inputs'!D9</x:f>
        <x:v>Joint</x:v>
      </x:c>
      <x:c r="E9" s="24" t="str">
        <x:f>'02 Formation Inputs'!E9</x:f>
        <x:v>Replacement and reconstitution group</x:v>
      </x:c>
      <x:c r="F9" s="24" t="n">
        <x:f>'04 Inventory'!J9</x:f>
        <x:v>51</x:v>
      </x:c>
      <x:c r="G9" s="24" t="n">
        <x:f>'02 Formation Inputs'!I9</x:f>
        <x:v>400</x:v>
      </x:c>
      <x:c r="H9" s="24" t="n">
        <x:f>'02 Formation Inputs'!J9</x:f>
        <x:v>2.5</x:v>
      </x:c>
      <x:c r="I9" s="24" t="n">
        <x:f>F9*G9*H9</x:f>
        <x:v>51000</x:v>
      </x:c>
      <x:c r="J9" s="25" t="n">
        <x:v>0.6</x:v>
      </x:c>
      <x:c r="K9" s="25" t="n">
        <x:v>0.2</x:v>
      </x:c>
      <x:c r="L9" s="25" t="n">
        <x:v>0.1</x:v>
      </x:c>
      <x:c r="M9" s="25" t="n">
        <x:v>0.05</x:v>
      </x:c>
      <x:c r="N9" s="25" t="n">
        <x:v>0.05</x:v>
      </x:c>
      <x:c r="O9" s="24" t="n">
        <x:f>I9*J9</x:f>
        <x:v>30600</x:v>
      </x:c>
      <x:c r="P9" s="24" t="n">
        <x:f>I9*K9</x:f>
        <x:v>10200</x:v>
      </x:c>
      <x:c r="Q9" s="24" t="n">
        <x:f>I9*L9</x:f>
        <x:v>5100</x:v>
      </x:c>
      <x:c r="R9" s="24" t="n">
        <x:f>I9*M9</x:f>
        <x:v>2550</x:v>
      </x:c>
      <x:c r="S9" s="24" t="n">
        <x:f>I9*N9</x:f>
        <x:v>2550</x:v>
      </x:c>
      <x:c r="T9" s="34" t="n">
        <x:f>(O9*'01 Assumptions'!$D$28+P9*'01 Assumptions'!$D$29+Q9*'01 Assumptions'!$D$30+R9*'01 Assumptions'!$D$31+S9*'01 Assumptions'!$D$32)/1000000000</x:f>
        <x:v>5.967</x:v>
      </x:c>
      <x:c r="U9" s="14" t="str">
        <x:v>Pass 23 retained</x:v>
      </x:c>
      <x:c r="V9" s="24" t="str">
        <x:f>IF(ABS(SUM(J9:N9)-1)&lt;0.000001,"PASS","FAIL")</x:f>
        <x:v>PASS</x:v>
      </x:c>
    </x:row>
    <x:row r="10" ht="32" customHeight="1">
      <x:c r="C10" s="15" t="str">
        <x:f>'02 Formation Inputs'!C10</x:f>
        <x:v>J-TDG</x:v>
      </x:c>
      <x:c r="D10" s="15" t="str">
        <x:f>'02 Formation Inputs'!D10</x:f>
        <x:v>Joint</x:v>
      </x:c>
      <x:c r="E10" s="24" t="str">
        <x:f>'02 Formation Inputs'!E10</x:f>
        <x:v>Transfer and demobilization group</x:v>
      </x:c>
      <x:c r="F10" s="24" t="n">
        <x:f>'04 Inventory'!J10</x:f>
        <x:v>36</x:v>
      </x:c>
      <x:c r="G10" s="24" t="n">
        <x:f>'02 Formation Inputs'!I10</x:f>
        <x:v>150</x:v>
      </x:c>
      <x:c r="H10" s="24" t="n">
        <x:f>'02 Formation Inputs'!J10</x:f>
        <x:v>2.5</x:v>
      </x:c>
      <x:c r="I10" s="24" t="n">
        <x:f>F10*G10*H10</x:f>
        <x:v>13500</x:v>
      </x:c>
      <x:c r="J10" s="25" t="n">
        <x:v>0.6</x:v>
      </x:c>
      <x:c r="K10" s="25" t="n">
        <x:v>0.2</x:v>
      </x:c>
      <x:c r="L10" s="25" t="n">
        <x:v>0.1</x:v>
      </x:c>
      <x:c r="M10" s="25" t="n">
        <x:v>0.05</x:v>
      </x:c>
      <x:c r="N10" s="25" t="n">
        <x:v>0.05</x:v>
      </x:c>
      <x:c r="O10" s="24" t="n">
        <x:f>I10*J10</x:f>
        <x:v>8100</x:v>
      </x:c>
      <x:c r="P10" s="24" t="n">
        <x:f>I10*K10</x:f>
        <x:v>2700</x:v>
      </x:c>
      <x:c r="Q10" s="24" t="n">
        <x:f>I10*L10</x:f>
        <x:v>1350</x:v>
      </x:c>
      <x:c r="R10" s="24" t="n">
        <x:f>I10*M10</x:f>
        <x:v>675</x:v>
      </x:c>
      <x:c r="S10" s="24" t="n">
        <x:f>I10*N10</x:f>
        <x:v>675</x:v>
      </x:c>
      <x:c r="T10" s="34" t="n">
        <x:f>(O10*'01 Assumptions'!$D$28+P10*'01 Assumptions'!$D$29+Q10*'01 Assumptions'!$D$30+R10*'01 Assumptions'!$D$31+S10*'01 Assumptions'!$D$32)/1000000000</x:f>
        <x:v>1.5795</x:v>
      </x:c>
      <x:c r="U10" s="14" t="str">
        <x:v>Pass 23 retained</x:v>
      </x:c>
      <x:c r="V10" s="24" t="str">
        <x:f>IF(ABS(SUM(J10:N10)-1)&lt;0.000001,"PASS","FAIL")</x:f>
        <x:v>PASS</x:v>
      </x:c>
    </x:row>
    <x:row r="11" ht="32" customHeight="1">
      <x:c r="C11" s="15" t="str">
        <x:f>'02 Formation Inputs'!C11</x:f>
        <x:v>L-ROG</x:v>
      </x:c>
      <x:c r="D11" s="15" t="str">
        <x:f>'02 Formation Inputs'!D11</x:f>
        <x:v>Land Engineering</x:v>
      </x:c>
      <x:c r="E11" s="24" t="str">
        <x:f>'02 Formation Inputs'!E11</x:f>
        <x:v>Access and route-opening group</x:v>
      </x:c>
      <x:c r="F11" s="24" t="n">
        <x:f>'04 Inventory'!J11</x:f>
        <x:v>121</x:v>
      </x:c>
      <x:c r="G11" s="24" t="n">
        <x:f>'02 Formation Inputs'!I11</x:f>
        <x:v>350</x:v>
      </x:c>
      <x:c r="H11" s="24" t="n">
        <x:f>'02 Formation Inputs'!J11</x:f>
        <x:v>2.6</x:v>
      </x:c>
      <x:c r="I11" s="24" t="n">
        <x:f>F11*G11*H11</x:f>
        <x:v>110110</x:v>
      </x:c>
      <x:c r="J11" s="25" t="n">
        <x:v>0.35</x:v>
      </x:c>
      <x:c r="K11" s="25" t="n">
        <x:v>0.25</x:v>
      </x:c>
      <x:c r="L11" s="25" t="n">
        <x:v>0.25</x:v>
      </x:c>
      <x:c r="M11" s="25" t="n">
        <x:v>0.15</x:v>
      </x:c>
      <x:c r="N11" s="25" t="n">
        <x:v>0</x:v>
      </x:c>
      <x:c r="O11" s="24" t="n">
        <x:f>I11*J11</x:f>
        <x:v>38538.5</x:v>
      </x:c>
      <x:c r="P11" s="24" t="n">
        <x:f>I11*K11</x:f>
        <x:v>27527.5</x:v>
      </x:c>
      <x:c r="Q11" s="24" t="n">
        <x:f>I11*L11</x:f>
        <x:v>27527.5</x:v>
      </x:c>
      <x:c r="R11" s="24" t="n">
        <x:f>I11*M11</x:f>
        <x:v>16516.5</x:v>
      </x:c>
      <x:c r="S11" s="24" t="n">
        <x:f>I11*N11</x:f>
        <x:v>0</x:v>
      </x:c>
      <x:c r="T11" s="34" t="n">
        <x:f>(O11*'01 Assumptions'!$D$28+P11*'01 Assumptions'!$D$29+Q11*'01 Assumptions'!$D$30+R11*'01 Assumptions'!$D$31+S11*'01 Assumptions'!$D$32)/1000000000</x:f>
        <x:v>10.5430325</x:v>
      </x:c>
      <x:c r="U11" s="14" t="str">
        <x:v>Pass 23 retained</x:v>
      </x:c>
      <x:c r="V11" s="24" t="str">
        <x:f>IF(ABS(SUM(J11:N11)-1)&lt;0.000001,"PASS","FAIL")</x:f>
        <x:v>PASS</x:v>
      </x:c>
    </x:row>
    <x:row r="12" ht="32" customHeight="1">
      <x:c r="C12" s="15" t="str">
        <x:f>'02 Formation Inputs'!C12</x:f>
        <x:v>L-HCG</x:v>
      </x:c>
      <x:c r="D12" s="15" t="str">
        <x:f>'02 Formation Inputs'!D12</x:f>
        <x:v>Land Engineering</x:v>
      </x:c>
      <x:c r="E12" s="24" t="str">
        <x:f>'02 Formation Inputs'!E12</x:f>
        <x:v>Flood and hydraulic-control group</x:v>
      </x:c>
      <x:c r="F12" s="24" t="n">
        <x:f>'04 Inventory'!J12</x:f>
        <x:v>86</x:v>
      </x:c>
      <x:c r="G12" s="24" t="n">
        <x:f>'02 Formation Inputs'!I12</x:f>
        <x:v>500</x:v>
      </x:c>
      <x:c r="H12" s="24" t="n">
        <x:f>'02 Formation Inputs'!J12</x:f>
        <x:v>2.6</x:v>
      </x:c>
      <x:c r="I12" s="24" t="n">
        <x:f>F12*G12*H12</x:f>
        <x:v>111800</x:v>
      </x:c>
      <x:c r="J12" s="25" t="n">
        <x:v>0.35</x:v>
      </x:c>
      <x:c r="K12" s="25" t="n">
        <x:v>0.25</x:v>
      </x:c>
      <x:c r="L12" s="25" t="n">
        <x:v>0.25</x:v>
      </x:c>
      <x:c r="M12" s="25" t="n">
        <x:v>0.15</x:v>
      </x:c>
      <x:c r="N12" s="25" t="n">
        <x:v>0</x:v>
      </x:c>
      <x:c r="O12" s="24" t="n">
        <x:f>I12*J12</x:f>
        <x:v>39130</x:v>
      </x:c>
      <x:c r="P12" s="24" t="n">
        <x:f>I12*K12</x:f>
        <x:v>27950</x:v>
      </x:c>
      <x:c r="Q12" s="24" t="n">
        <x:f>I12*L12</x:f>
        <x:v>27950</x:v>
      </x:c>
      <x:c r="R12" s="24" t="n">
        <x:f>I12*M12</x:f>
        <x:v>16770</x:v>
      </x:c>
      <x:c r="S12" s="24" t="n">
        <x:f>I12*N12</x:f>
        <x:v>0</x:v>
      </x:c>
      <x:c r="T12" s="34" t="n">
        <x:f>(O12*'01 Assumptions'!$D$28+P12*'01 Assumptions'!$D$29+Q12*'01 Assumptions'!$D$30+R12*'01 Assumptions'!$D$31+S12*'01 Assumptions'!$D$32)/1000000000</x:f>
        <x:v>10.70485</x:v>
      </x:c>
      <x:c r="U12" s="14" t="str">
        <x:v>Pass 23 retained</x:v>
      </x:c>
      <x:c r="V12" s="24" t="str">
        <x:f>IF(ABS(SUM(J12:N12)-1)&lt;0.000001,"PASS","FAIL")</x:f>
        <x:v>PASS</x:v>
      </x:c>
    </x:row>
    <x:row r="13" ht="32" customHeight="1">
      <x:c r="C13" s="15" t="str">
        <x:f>'02 Formation Inputs'!C13</x:f>
        <x:v>L-DMG</x:v>
      </x:c>
      <x:c r="D13" s="15" t="str">
        <x:f>'02 Formation Inputs'!D13</x:f>
        <x:v>Land Engineering</x:v>
      </x:c>
      <x:c r="E13" s="24" t="str">
        <x:f>'02 Formation Inputs'!E13</x:f>
        <x:v>Debris and materials group</x:v>
      </x:c>
      <x:c r="F13" s="24" t="n">
        <x:f>'04 Inventory'!J13</x:f>
        <x:v>112</x:v>
      </x:c>
      <x:c r="G13" s="24" t="n">
        <x:f>'02 Formation Inputs'!I13</x:f>
        <x:v>400</x:v>
      </x:c>
      <x:c r="H13" s="24" t="n">
        <x:f>'02 Formation Inputs'!J13</x:f>
        <x:v>2.6</x:v>
      </x:c>
      <x:c r="I13" s="24" t="n">
        <x:f>F13*G13*H13</x:f>
        <x:v>116480</x:v>
      </x:c>
      <x:c r="J13" s="25" t="n">
        <x:v>0.35</x:v>
      </x:c>
      <x:c r="K13" s="25" t="n">
        <x:v>0.25</x:v>
      </x:c>
      <x:c r="L13" s="25" t="n">
        <x:v>0.25</x:v>
      </x:c>
      <x:c r="M13" s="25" t="n">
        <x:v>0.15</x:v>
      </x:c>
      <x:c r="N13" s="25" t="n">
        <x:v>0</x:v>
      </x:c>
      <x:c r="O13" s="24" t="n">
        <x:f>I13*J13</x:f>
        <x:v>40768</x:v>
      </x:c>
      <x:c r="P13" s="24" t="n">
        <x:f>I13*K13</x:f>
        <x:v>29120</x:v>
      </x:c>
      <x:c r="Q13" s="24" t="n">
        <x:f>I13*L13</x:f>
        <x:v>29120</x:v>
      </x:c>
      <x:c r="R13" s="24" t="n">
        <x:f>I13*M13</x:f>
        <x:v>17472</x:v>
      </x:c>
      <x:c r="S13" s="24" t="n">
        <x:f>I13*N13</x:f>
        <x:v>0</x:v>
      </x:c>
      <x:c r="T13" s="34" t="n">
        <x:f>(O13*'01 Assumptions'!$D$28+P13*'01 Assumptions'!$D$29+Q13*'01 Assumptions'!$D$30+R13*'01 Assumptions'!$D$31+S13*'01 Assumptions'!$D$32)/1000000000</x:f>
        <x:v>11.15296</x:v>
      </x:c>
      <x:c r="U13" s="14" t="str">
        <x:v>Pass 23 retained</x:v>
      </x:c>
      <x:c r="V13" s="24" t="str">
        <x:f>IF(ABS(SUM(J13:N13)-1)&lt;0.000001,"PASS","FAIL")</x:f>
        <x:v>PASS</x:v>
      </x:c>
    </x:row>
    <x:row r="14" ht="32" customHeight="1">
      <x:c r="C14" s="15" t="str">
        <x:f>'02 Formation Inputs'!C14</x:f>
        <x:v>L-TWG</x:v>
      </x:c>
      <x:c r="D14" s="15" t="str">
        <x:f>'02 Formation Inputs'!D14</x:f>
        <x:v>Land Engineering</x:v>
      </x:c>
      <x:c r="E14" s="24" t="str">
        <x:f>'02 Formation Inputs'!E14</x:f>
        <x:v>Temporary works and crossing group</x:v>
      </x:c>
      <x:c r="F14" s="24" t="n">
        <x:f>'04 Inventory'!J14</x:f>
        <x:v>91</x:v>
      </x:c>
      <x:c r="G14" s="24" t="n">
        <x:f>'02 Formation Inputs'!I14</x:f>
        <x:v>350</x:v>
      </x:c>
      <x:c r="H14" s="24" t="n">
        <x:f>'02 Formation Inputs'!J14</x:f>
        <x:v>2.6</x:v>
      </x:c>
      <x:c r="I14" s="24" t="n">
        <x:f>F14*G14*H14</x:f>
        <x:v>82810</x:v>
      </x:c>
      <x:c r="J14" s="25" t="n">
        <x:v>0.35</x:v>
      </x:c>
      <x:c r="K14" s="25" t="n">
        <x:v>0.25</x:v>
      </x:c>
      <x:c r="L14" s="25" t="n">
        <x:v>0.25</x:v>
      </x:c>
      <x:c r="M14" s="25" t="n">
        <x:v>0.15</x:v>
      </x:c>
      <x:c r="N14" s="25" t="n">
        <x:v>0</x:v>
      </x:c>
      <x:c r="O14" s="24" t="n">
        <x:f>I14*J14</x:f>
        <x:v>28983.499999999996</x:v>
      </x:c>
      <x:c r="P14" s="24" t="n">
        <x:f>I14*K14</x:f>
        <x:v>20702.5</x:v>
      </x:c>
      <x:c r="Q14" s="24" t="n">
        <x:f>I14*L14</x:f>
        <x:v>20702.5</x:v>
      </x:c>
      <x:c r="R14" s="24" t="n">
        <x:f>I14*M14</x:f>
        <x:v>12421.5</x:v>
      </x:c>
      <x:c r="S14" s="24" t="n">
        <x:f>I14*N14</x:f>
        <x:v>0</x:v>
      </x:c>
      <x:c r="T14" s="34" t="n">
        <x:f>(O14*'01 Assumptions'!$D$28+P14*'01 Assumptions'!$D$29+Q14*'01 Assumptions'!$D$30+R14*'01 Assumptions'!$D$31+S14*'01 Assumptions'!$D$32)/1000000000</x:f>
        <x:v>7.929057499999999</x:v>
      </x:c>
      <x:c r="U14" s="14" t="str">
        <x:v>Pass 23 retained</x:v>
      </x:c>
      <x:c r="V14" s="24" t="str">
        <x:f>IF(ABS(SUM(J14:N14)-1)&lt;0.000001,"PASS","FAIL")</x:f>
        <x:v>PASS</x:v>
      </x:c>
    </x:row>
    <x:row r="15" ht="32" customHeight="1">
      <x:c r="C15" s="15" t="str">
        <x:f>'02 Formation Inputs'!C15</x:f>
        <x:v>L-GFG</x:v>
      </x:c>
      <x:c r="D15" s="15" t="str">
        <x:f>'02 Formation Inputs'!D15</x:f>
        <x:v>Land Engineering</x:v>
      </x:c>
      <x:c r="E15" s="24" t="str">
        <x:f>'02 Formation Inputs'!E15</x:f>
        <x:v>Ground fire and landscape group</x:v>
      </x:c>
      <x:c r="F15" s="24" t="n">
        <x:f>'04 Inventory'!J15</x:f>
        <x:v>57</x:v>
      </x:c>
      <x:c r="G15" s="24" t="n">
        <x:f>'02 Formation Inputs'!I15</x:f>
        <x:v>450</x:v>
      </x:c>
      <x:c r="H15" s="24" t="n">
        <x:f>'02 Formation Inputs'!J15</x:f>
        <x:v>2.6</x:v>
      </x:c>
      <x:c r="I15" s="24" t="n">
        <x:f>F15*G15*H15</x:f>
        <x:v>66690</x:v>
      </x:c>
      <x:c r="J15" s="25" t="n">
        <x:v>0.35</x:v>
      </x:c>
      <x:c r="K15" s="25" t="n">
        <x:v>0.25</x:v>
      </x:c>
      <x:c r="L15" s="25" t="n">
        <x:v>0.25</x:v>
      </x:c>
      <x:c r="M15" s="25" t="n">
        <x:v>0.15</x:v>
      </x:c>
      <x:c r="N15" s="25" t="n">
        <x:v>0</x:v>
      </x:c>
      <x:c r="O15" s="24" t="n">
        <x:f>I15*J15</x:f>
        <x:v>23341.5</x:v>
      </x:c>
      <x:c r="P15" s="24" t="n">
        <x:f>I15*K15</x:f>
        <x:v>16672.5</x:v>
      </x:c>
      <x:c r="Q15" s="24" t="n">
        <x:f>I15*L15</x:f>
        <x:v>16672.5</x:v>
      </x:c>
      <x:c r="R15" s="24" t="n">
        <x:f>I15*M15</x:f>
        <x:v>10003.5</x:v>
      </x:c>
      <x:c r="S15" s="24" t="n">
        <x:f>I15*N15</x:f>
        <x:v>0</x:v>
      </x:c>
      <x:c r="T15" s="34" t="n">
        <x:f>(O15*'01 Assumptions'!$D$28+P15*'01 Assumptions'!$D$29+Q15*'01 Assumptions'!$D$30+R15*'01 Assumptions'!$D$31+S15*'01 Assumptions'!$D$32)/1000000000</x:f>
        <x:v>6.3855675</x:v>
      </x:c>
      <x:c r="U15" s="14" t="str">
        <x:v>Pass 23 retained</x:v>
      </x:c>
      <x:c r="V15" s="24" t="str">
        <x:f>IF(ABS(SUM(J15:N15)-1)&lt;0.000001,"PASS","FAIL")</x:f>
        <x:v>PASS</x:v>
      </x:c>
    </x:row>
    <x:row r="16" ht="32" customHeight="1">
      <x:c r="C16" s="15" t="str">
        <x:f>'02 Formation Inputs'!C16</x:f>
        <x:v>A-SMW</x:v>
      </x:c>
      <x:c r="D16" s="15" t="str">
        <x:f>'02 Formation Inputs'!D16</x:f>
        <x:v>Air Response</x:v>
      </x:c>
      <x:c r="E16" s="24" t="str">
        <x:f>'02 Formation Inputs'!E16</x:f>
        <x:v>Strategic mobility wing</x:v>
      </x:c>
      <x:c r="F16" s="24" t="n">
        <x:f>'04 Inventory'!J16</x:f>
        <x:v>58</x:v>
      </x:c>
      <x:c r="G16" s="24" t="n">
        <x:f>'02 Formation Inputs'!I16</x:f>
        <x:v>900</x:v>
      </x:c>
      <x:c r="H16" s="24" t="n">
        <x:f>'02 Formation Inputs'!J16</x:f>
        <x:v>3</x:v>
      </x:c>
      <x:c r="I16" s="24" t="n">
        <x:f>F16*G16*H16</x:f>
        <x:v>156600</x:v>
      </x:c>
      <x:c r="J16" s="25" t="n">
        <x:v>0.65</x:v>
      </x:c>
      <x:c r="K16" s="25" t="n">
        <x:v>0.25</x:v>
      </x:c>
      <x:c r="L16" s="25" t="n">
        <x:v>0.05</x:v>
      </x:c>
      <x:c r="M16" s="25" t="n">
        <x:v>0.05</x:v>
      </x:c>
      <x:c r="N16" s="25" t="n">
        <x:v>0</x:v>
      </x:c>
      <x:c r="O16" s="24" t="n">
        <x:f>I16*J16</x:f>
        <x:v>101790</x:v>
      </x:c>
      <x:c r="P16" s="24" t="n">
        <x:f>I16*K16</x:f>
        <x:v>39150</x:v>
      </x:c>
      <x:c r="Q16" s="24" t="n">
        <x:f>I16*L16</x:f>
        <x:v>7830</x:v>
      </x:c>
      <x:c r="R16" s="24" t="n">
        <x:f>I16*M16</x:f>
        <x:v>7830</x:v>
      </x:c>
      <x:c r="S16" s="24" t="n">
        <x:f>I16*N16</x:f>
        <x:v>0</x:v>
      </x:c>
      <x:c r="T16" s="34" t="n">
        <x:f>(O16*'01 Assumptions'!$D$28+P16*'01 Assumptions'!$D$29+Q16*'01 Assumptions'!$D$30+R16*'01 Assumptions'!$D$31+S16*'01 Assumptions'!$D$32)/1000000000</x:f>
        <x:v>19.37925</x:v>
      </x:c>
      <x:c r="U16" s="14" t="str">
        <x:v>Pass 23 retained</x:v>
      </x:c>
      <x:c r="V16" s="24" t="str">
        <x:f>IF(ABS(SUM(J16:N16)-1)&lt;0.000001,"PASS","FAIL")</x:f>
        <x:v>PASS</x:v>
      </x:c>
    </x:row>
    <x:row r="17" ht="32" customHeight="1">
      <x:c r="C17" s="15" t="str">
        <x:f>'02 Formation Inputs'!C17</x:f>
        <x:v>A-AAG</x:v>
      </x:c>
      <x:c r="D17" s="15" t="str">
        <x:f>'02 Formation Inputs'!D17</x:f>
        <x:v>Air Response</x:v>
      </x:c>
      <x:c r="E17" s="24" t="str">
        <x:f>'02 Formation Inputs'!E17</x:f>
        <x:v>Austere air-access group</x:v>
      </x:c>
      <x:c r="F17" s="24" t="n">
        <x:f>'04 Inventory'!J17</x:f>
        <x:v>67</x:v>
      </x:c>
      <x:c r="G17" s="24" t="n">
        <x:f>'02 Formation Inputs'!I17</x:f>
        <x:v>350</x:v>
      </x:c>
      <x:c r="H17" s="24" t="n">
        <x:f>'02 Formation Inputs'!J17</x:f>
        <x:v>3</x:v>
      </x:c>
      <x:c r="I17" s="24" t="n">
        <x:f>F17*G17*H17</x:f>
        <x:v>70350</x:v>
      </x:c>
      <x:c r="J17" s="25" t="n">
        <x:v>0.65</x:v>
      </x:c>
      <x:c r="K17" s="25" t="n">
        <x:v>0.25</x:v>
      </x:c>
      <x:c r="L17" s="25" t="n">
        <x:v>0.05</x:v>
      </x:c>
      <x:c r="M17" s="25" t="n">
        <x:v>0.05</x:v>
      </x:c>
      <x:c r="N17" s="25" t="n">
        <x:v>0</x:v>
      </x:c>
      <x:c r="O17" s="24" t="n">
        <x:f>I17*J17</x:f>
        <x:v>45727.5</x:v>
      </x:c>
      <x:c r="P17" s="24" t="n">
        <x:f>I17*K17</x:f>
        <x:v>17587.5</x:v>
      </x:c>
      <x:c r="Q17" s="24" t="n">
        <x:f>I17*L17</x:f>
        <x:v>3517.5</x:v>
      </x:c>
      <x:c r="R17" s="24" t="n">
        <x:f>I17*M17</x:f>
        <x:v>3517.5</x:v>
      </x:c>
      <x:c r="S17" s="24" t="n">
        <x:f>I17*N17</x:f>
        <x:v>0</x:v>
      </x:c>
      <x:c r="T17" s="34" t="n">
        <x:f>(O17*'01 Assumptions'!$D$28+P17*'01 Assumptions'!$D$29+Q17*'01 Assumptions'!$D$30+R17*'01 Assumptions'!$D$31+S17*'01 Assumptions'!$D$32)/1000000000</x:f>
        <x:v>8.7058125</x:v>
      </x:c>
      <x:c r="U17" s="14" t="str">
        <x:v>Pass 23 retained</x:v>
      </x:c>
      <x:c r="V17" s="24" t="str">
        <x:f>IF(ABS(SUM(J17:N17)-1)&lt;0.000001,"PASS","FAIL")</x:f>
        <x:v>PASS</x:v>
      </x:c>
    </x:row>
    <x:row r="18" ht="32" customHeight="1">
      <x:c r="C18" s="15" t="str">
        <x:f>'02 Formation Inputs'!C18</x:f>
        <x:v>A-AHW</x:v>
      </x:c>
      <x:c r="D18" s="15" t="str">
        <x:f>'02 Formation Inputs'!D18</x:f>
        <x:v>Air Response</x:v>
      </x:c>
      <x:c r="E18" s="24" t="str">
        <x:f>'02 Formation Inputs'!E18</x:f>
        <x:v>Aerial hazard-control wing</x:v>
      </x:c>
      <x:c r="F18" s="24" t="n">
        <x:f>'04 Inventory'!J18</x:f>
        <x:v>41</x:v>
      </x:c>
      <x:c r="G18" s="24" t="n">
        <x:f>'02 Formation Inputs'!I18</x:f>
        <x:v>600</x:v>
      </x:c>
      <x:c r="H18" s="24" t="n">
        <x:f>'02 Formation Inputs'!J18</x:f>
        <x:v>3</x:v>
      </x:c>
      <x:c r="I18" s="24" t="n">
        <x:f>F18*G18*H18</x:f>
        <x:v>73800</x:v>
      </x:c>
      <x:c r="J18" s="25" t="n">
        <x:v>0.65</x:v>
      </x:c>
      <x:c r="K18" s="25" t="n">
        <x:v>0.25</x:v>
      </x:c>
      <x:c r="L18" s="25" t="n">
        <x:v>0.05</x:v>
      </x:c>
      <x:c r="M18" s="25" t="n">
        <x:v>0.05</x:v>
      </x:c>
      <x:c r="N18" s="25" t="n">
        <x:v>0</x:v>
      </x:c>
      <x:c r="O18" s="24" t="n">
        <x:f>I18*J18</x:f>
        <x:v>47970</x:v>
      </x:c>
      <x:c r="P18" s="24" t="n">
        <x:f>I18*K18</x:f>
        <x:v>18450</x:v>
      </x:c>
      <x:c r="Q18" s="24" t="n">
        <x:f>I18*L18</x:f>
        <x:v>3690</x:v>
      </x:c>
      <x:c r="R18" s="24" t="n">
        <x:f>I18*M18</x:f>
        <x:v>3690</x:v>
      </x:c>
      <x:c r="S18" s="24" t="n">
        <x:f>I18*N18</x:f>
        <x:v>0</x:v>
      </x:c>
      <x:c r="T18" s="34" t="n">
        <x:f>(O18*'01 Assumptions'!$D$28+P18*'01 Assumptions'!$D$29+Q18*'01 Assumptions'!$D$30+R18*'01 Assumptions'!$D$31+S18*'01 Assumptions'!$D$32)/1000000000</x:f>
        <x:v>9.13275</x:v>
      </x:c>
      <x:c r="U18" s="14" t="str">
        <x:v>Pass 23 retained</x:v>
      </x:c>
      <x:c r="V18" s="24" t="str">
        <x:f>IF(ABS(SUM(J18:N18)-1)&lt;0.000001,"PASS","FAIL")</x:f>
        <x:v>PASS</x:v>
      </x:c>
    </x:row>
    <x:row r="19" ht="32" customHeight="1">
      <x:c r="C19" s="15" t="str">
        <x:f>'02 Formation Inputs'!C19</x:f>
        <x:v>A-TDG</x:v>
      </x:c>
      <x:c r="D19" s="15" t="str">
        <x:f>'02 Formation Inputs'!D19</x:f>
        <x:v>Air Response</x:v>
      </x:c>
      <x:c r="E19" s="24" t="str">
        <x:f>'02 Formation Inputs'!E19</x:f>
        <x:v>Tactical distribution group</x:v>
      </x:c>
      <x:c r="F19" s="24" t="n">
        <x:f>'04 Inventory'!J19</x:f>
        <x:v>108</x:v>
      </x:c>
      <x:c r="G19" s="24" t="n">
        <x:f>'02 Formation Inputs'!I19</x:f>
        <x:v>450</x:v>
      </x:c>
      <x:c r="H19" s="24" t="n">
        <x:f>'02 Formation Inputs'!J19</x:f>
        <x:v>3</x:v>
      </x:c>
      <x:c r="I19" s="24" t="n">
        <x:f>F19*G19*H19</x:f>
        <x:v>145800</x:v>
      </x:c>
      <x:c r="J19" s="25" t="n">
        <x:v>0.65</x:v>
      </x:c>
      <x:c r="K19" s="25" t="n">
        <x:v>0.25</x:v>
      </x:c>
      <x:c r="L19" s="25" t="n">
        <x:v>0.05</x:v>
      </x:c>
      <x:c r="M19" s="25" t="n">
        <x:v>0.05</x:v>
      </x:c>
      <x:c r="N19" s="25" t="n">
        <x:v>0</x:v>
      </x:c>
      <x:c r="O19" s="24" t="n">
        <x:f>I19*J19</x:f>
        <x:v>94770</x:v>
      </x:c>
      <x:c r="P19" s="24" t="n">
        <x:f>I19*K19</x:f>
        <x:v>36450</x:v>
      </x:c>
      <x:c r="Q19" s="24" t="n">
        <x:f>I19*L19</x:f>
        <x:v>7290</x:v>
      </x:c>
      <x:c r="R19" s="24" t="n">
        <x:f>I19*M19</x:f>
        <x:v>7290</x:v>
      </x:c>
      <x:c r="S19" s="24" t="n">
        <x:f>I19*N19</x:f>
        <x:v>0</x:v>
      </x:c>
      <x:c r="T19" s="34" t="n">
        <x:f>(O19*'01 Assumptions'!$D$28+P19*'01 Assumptions'!$D$29+Q19*'01 Assumptions'!$D$30+R19*'01 Assumptions'!$D$31+S19*'01 Assumptions'!$D$32)/1000000000</x:f>
        <x:v>18.04275</x:v>
      </x:c>
      <x:c r="U19" s="14" t="str">
        <x:v>Pass 23 retained</x:v>
      </x:c>
      <x:c r="V19" s="24" t="str">
        <x:f>IF(ABS(SUM(J19:N19)-1)&lt;0.000001,"PASS","FAIL")</x:f>
        <x:v>PASS</x:v>
      </x:c>
    </x:row>
    <x:row r="20" ht="32" customHeight="1">
      <x:c r="C20" s="15" t="str">
        <x:f>'02 Formation Inputs'!C20</x:f>
        <x:v>A-SRG</x:v>
      </x:c>
      <x:c r="D20" s="15" t="str">
        <x:f>'02 Formation Inputs'!D20</x:f>
        <x:v>Air Response</x:v>
      </x:c>
      <x:c r="E20" s="24" t="str">
        <x:f>'02 Formation Inputs'!E20</x:f>
        <x:v>Air sensing and relay group</x:v>
      </x:c>
      <x:c r="F20" s="24" t="n">
        <x:f>'04 Inventory'!J20</x:f>
        <x:v>74</x:v>
      </x:c>
      <x:c r="G20" s="24" t="n">
        <x:f>'02 Formation Inputs'!I20</x:f>
        <x:v>180</x:v>
      </x:c>
      <x:c r="H20" s="24" t="n">
        <x:f>'02 Formation Inputs'!J20</x:f>
        <x:v>3</x:v>
      </x:c>
      <x:c r="I20" s="24" t="n">
        <x:f>F20*G20*H20</x:f>
        <x:v>39960</x:v>
      </x:c>
      <x:c r="J20" s="25" t="n">
        <x:v>0.65</x:v>
      </x:c>
      <x:c r="K20" s="25" t="n">
        <x:v>0.25</x:v>
      </x:c>
      <x:c r="L20" s="25" t="n">
        <x:v>0.05</x:v>
      </x:c>
      <x:c r="M20" s="25" t="n">
        <x:v>0.05</x:v>
      </x:c>
      <x:c r="N20" s="25" t="n">
        <x:v>0</x:v>
      </x:c>
      <x:c r="O20" s="24" t="n">
        <x:f>I20*J20</x:f>
        <x:v>25974</x:v>
      </x:c>
      <x:c r="P20" s="24" t="n">
        <x:f>I20*K20</x:f>
        <x:v>9990</x:v>
      </x:c>
      <x:c r="Q20" s="24" t="n">
        <x:f>I20*L20</x:f>
        <x:v>1998</x:v>
      </x:c>
      <x:c r="R20" s="24" t="n">
        <x:f>I20*M20</x:f>
        <x:v>1998</x:v>
      </x:c>
      <x:c r="S20" s="24" t="n">
        <x:f>I20*N20</x:f>
        <x:v>0</x:v>
      </x:c>
      <x:c r="T20" s="34" t="n">
        <x:f>(O20*'01 Assumptions'!$D$28+P20*'01 Assumptions'!$D$29+Q20*'01 Assumptions'!$D$30+R20*'01 Assumptions'!$D$31+S20*'01 Assumptions'!$D$32)/1000000000</x:f>
        <x:v>4.94505</x:v>
      </x:c>
      <x:c r="U20" s="14" t="str">
        <x:v>Pass 23 retained</x:v>
      </x:c>
      <x:c r="V20" s="24" t="str">
        <x:f>IF(ABS(SUM(J20:N20)-1)&lt;0.000001,"PASS","FAIL")</x:f>
        <x:v>PASS</x:v>
      </x:c>
    </x:row>
    <x:row r="21" ht="32" customHeight="1">
      <x:c r="C21" s="15" t="str">
        <x:f>'02 Formation Inputs'!C21</x:f>
        <x:v>A-AMG</x:v>
      </x:c>
      <x:c r="D21" s="15" t="str">
        <x:f>'02 Formation Inputs'!D21</x:f>
        <x:v>Air Response</x:v>
      </x:c>
      <x:c r="E21" s="24" t="str">
        <x:f>'02 Formation Inputs'!E21</x:f>
        <x:v>Aeromedical movement group</x:v>
      </x:c>
      <x:c r="F21" s="24" t="n">
        <x:f>'04 Inventory'!J21</x:f>
        <x:v>58</x:v>
      </x:c>
      <x:c r="G21" s="24" t="n">
        <x:f>'02 Formation Inputs'!I21</x:f>
        <x:v>300</x:v>
      </x:c>
      <x:c r="H21" s="24" t="n">
        <x:f>'02 Formation Inputs'!J21</x:f>
        <x:v>3</x:v>
      </x:c>
      <x:c r="I21" s="24" t="n">
        <x:f>F21*G21*H21</x:f>
        <x:v>52200</x:v>
      </x:c>
      <x:c r="J21" s="25" t="n">
        <x:v>0.65</x:v>
      </x:c>
      <x:c r="K21" s="25" t="n">
        <x:v>0.25</x:v>
      </x:c>
      <x:c r="L21" s="25" t="n">
        <x:v>0.05</x:v>
      </x:c>
      <x:c r="M21" s="25" t="n">
        <x:v>0.05</x:v>
      </x:c>
      <x:c r="N21" s="25" t="n">
        <x:v>0</x:v>
      </x:c>
      <x:c r="O21" s="24" t="n">
        <x:f>I21*J21</x:f>
        <x:v>33930</x:v>
      </x:c>
      <x:c r="P21" s="24" t="n">
        <x:f>I21*K21</x:f>
        <x:v>13050</x:v>
      </x:c>
      <x:c r="Q21" s="24" t="n">
        <x:f>I21*L21</x:f>
        <x:v>2610</x:v>
      </x:c>
      <x:c r="R21" s="24" t="n">
        <x:f>I21*M21</x:f>
        <x:v>2610</x:v>
      </x:c>
      <x:c r="S21" s="24" t="n">
        <x:f>I21*N21</x:f>
        <x:v>0</x:v>
      </x:c>
      <x:c r="T21" s="34" t="n">
        <x:f>(O21*'01 Assumptions'!$D$28+P21*'01 Assumptions'!$D$29+Q21*'01 Assumptions'!$D$30+R21*'01 Assumptions'!$D$31+S21*'01 Assumptions'!$D$32)/1000000000</x:f>
        <x:v>6.45975</x:v>
      </x:c>
      <x:c r="U21" s="14" t="str">
        <x:v>Pass 23 retained</x:v>
      </x:c>
      <x:c r="V21" s="24" t="str">
        <x:f>IF(ABS(SUM(J21:N21)-1)&lt;0.000001,"PASS","FAIL")</x:f>
        <x:v>PASS</x:v>
      </x:c>
    </x:row>
    <x:row r="22" ht="32" customHeight="1">
      <x:c r="C22" s="15" t="str">
        <x:f>'02 Formation Inputs'!C22</x:f>
        <x:v>M-POG</x:v>
      </x:c>
      <x:c r="D22" s="15" t="str">
        <x:f>'02 Formation Inputs'!D22</x:f>
        <x:v>Maritime Response</x:v>
      </x:c>
      <x:c r="E22" s="24" t="str">
        <x:f>'02 Formation Inputs'!E22</x:f>
        <x:v>Port-opening group</x:v>
      </x:c>
      <x:c r="F22" s="24" t="n">
        <x:f>'04 Inventory'!J22</x:f>
        <x:v>60</x:v>
      </x:c>
      <x:c r="G22" s="24" t="n">
        <x:f>'02 Formation Inputs'!I22</x:f>
        <x:v>450</x:v>
      </x:c>
      <x:c r="H22" s="24" t="n">
        <x:f>'02 Formation Inputs'!J22</x:f>
        <x:v>3</x:v>
      </x:c>
      <x:c r="I22" s="24" t="n">
        <x:f>F22*G22*H22</x:f>
        <x:v>81000</x:v>
      </x:c>
      <x:c r="J22" s="25" t="n">
        <x:v>0.7</x:v>
      </x:c>
      <x:c r="K22" s="25" t="n">
        <x:v>0.2</x:v>
      </x:c>
      <x:c r="L22" s="25" t="n">
        <x:v>0.02</x:v>
      </x:c>
      <x:c r="M22" s="25" t="n">
        <x:v>0.08</x:v>
      </x:c>
      <x:c r="N22" s="25" t="n">
        <x:v>0</x:v>
      </x:c>
      <x:c r="O22" s="24" t="n">
        <x:f>I22*J22</x:f>
        <x:v>56700</x:v>
      </x:c>
      <x:c r="P22" s="24" t="n">
        <x:f>I22*K22</x:f>
        <x:v>16200</x:v>
      </x:c>
      <x:c r="Q22" s="24" t="n">
        <x:f>I22*L22</x:f>
        <x:v>1620</x:v>
      </x:c>
      <x:c r="R22" s="24" t="n">
        <x:f>I22*M22</x:f>
        <x:v>6480</x:v>
      </x:c>
      <x:c r="S22" s="24" t="n">
        <x:f>I22*N22</x:f>
        <x:v>0</x:v>
      </x:c>
      <x:c r="T22" s="34" t="n">
        <x:f>(O22*'01 Assumptions'!$D$28+P22*'01 Assumptions'!$D$29+Q22*'01 Assumptions'!$D$30+R22*'01 Assumptions'!$D$31+S22*'01 Assumptions'!$D$32)/1000000000</x:f>
        <x:v>10.5543</x:v>
      </x:c>
      <x:c r="U22" s="14" t="str">
        <x:v>Pass 23 retained</x:v>
      </x:c>
      <x:c r="V22" s="24" t="str">
        <x:f>IF(ABS(SUM(J22:N22)-1)&lt;0.000001,"PASS","FAIL")</x:f>
        <x:v>PASS</x:v>
      </x:c>
    </x:row>
    <x:row r="23" ht="32" customHeight="1">
      <x:c r="C23" s="15" t="str">
        <x:f>'02 Formation Inputs'!C23</x:f>
        <x:v>M-LAG</x:v>
      </x:c>
      <x:c r="D23" s="15" t="str">
        <x:f>'02 Formation Inputs'!D23</x:f>
        <x:v>Maritime Response</x:v>
      </x:c>
      <x:c r="E23" s="24" t="str">
        <x:f>'02 Formation Inputs'!E23</x:f>
        <x:v>Littoral-access group</x:v>
      </x:c>
      <x:c r="F23" s="24" t="n">
        <x:f>'04 Inventory'!J23</x:f>
        <x:v>69</x:v>
      </x:c>
      <x:c r="G23" s="24" t="n">
        <x:f>'02 Formation Inputs'!I23</x:f>
        <x:v>350</x:v>
      </x:c>
      <x:c r="H23" s="24" t="n">
        <x:f>'02 Formation Inputs'!J23</x:f>
        <x:v>3</x:v>
      </x:c>
      <x:c r="I23" s="24" t="n">
        <x:f>F23*G23*H23</x:f>
        <x:v>72450</x:v>
      </x:c>
      <x:c r="J23" s="25" t="n">
        <x:v>0.7</x:v>
      </x:c>
      <x:c r="K23" s="25" t="n">
        <x:v>0.2</x:v>
      </x:c>
      <x:c r="L23" s="25" t="n">
        <x:v>0.02</x:v>
      </x:c>
      <x:c r="M23" s="25" t="n">
        <x:v>0.08</x:v>
      </x:c>
      <x:c r="N23" s="25" t="n">
        <x:v>0</x:v>
      </x:c>
      <x:c r="O23" s="24" t="n">
        <x:f>I23*J23</x:f>
        <x:v>50715</x:v>
      </x:c>
      <x:c r="P23" s="24" t="n">
        <x:f>I23*K23</x:f>
        <x:v>14490</x:v>
      </x:c>
      <x:c r="Q23" s="24" t="n">
        <x:f>I23*L23</x:f>
        <x:v>1449</x:v>
      </x:c>
      <x:c r="R23" s="24" t="n">
        <x:f>I23*M23</x:f>
        <x:v>5796</x:v>
      </x:c>
      <x:c r="S23" s="24" t="n">
        <x:f>I23*N23</x:f>
        <x:v>0</x:v>
      </x:c>
      <x:c r="T23" s="34" t="n">
        <x:f>(O23*'01 Assumptions'!$D$28+P23*'01 Assumptions'!$D$29+Q23*'01 Assumptions'!$D$30+R23*'01 Assumptions'!$D$31+S23*'01 Assumptions'!$D$32)/1000000000</x:f>
        <x:v>9.440235</x:v>
      </x:c>
      <x:c r="U23" s="14" t="str">
        <x:v>Pass 23 retained</x:v>
      </x:c>
      <x:c r="V23" s="24" t="str">
        <x:f>IF(ABS(SUM(J23:N23)-1)&lt;0.000001,"PASS","FAIL")</x:f>
        <x:v>PASS</x:v>
      </x:c>
    </x:row>
    <x:row r="24" ht="32" customHeight="1">
      <x:c r="C24" s="15" t="str">
        <x:f>'02 Formation Inputs'!C24</x:f>
        <x:v>M-IWG</x:v>
      </x:c>
      <x:c r="D24" s="15" t="str">
        <x:f>'02 Formation Inputs'!D24</x:f>
        <x:v>Maritime Response</x:v>
      </x:c>
      <x:c r="E24" s="24" t="str">
        <x:f>'02 Formation Inputs'!E24</x:f>
        <x:v>Inland-waterway group</x:v>
      </x:c>
      <x:c r="F24" s="24" t="n">
        <x:f>'04 Inventory'!J24</x:f>
        <x:v>54</x:v>
      </x:c>
      <x:c r="G24" s="24" t="n">
        <x:f>'02 Formation Inputs'!I24</x:f>
        <x:v>250</x:v>
      </x:c>
      <x:c r="H24" s="24" t="n">
        <x:f>'02 Formation Inputs'!J24</x:f>
        <x:v>3</x:v>
      </x:c>
      <x:c r="I24" s="24" t="n">
        <x:f>F24*G24*H24</x:f>
        <x:v>40500</x:v>
      </x:c>
      <x:c r="J24" s="25" t="n">
        <x:v>0.7</x:v>
      </x:c>
      <x:c r="K24" s="25" t="n">
        <x:v>0.2</x:v>
      </x:c>
      <x:c r="L24" s="25" t="n">
        <x:v>0.02</x:v>
      </x:c>
      <x:c r="M24" s="25" t="n">
        <x:v>0.08</x:v>
      </x:c>
      <x:c r="N24" s="25" t="n">
        <x:v>0</x:v>
      </x:c>
      <x:c r="O24" s="24" t="n">
        <x:f>I24*J24</x:f>
        <x:v>28350</x:v>
      </x:c>
      <x:c r="P24" s="24" t="n">
        <x:f>I24*K24</x:f>
        <x:v>8100</x:v>
      </x:c>
      <x:c r="Q24" s="24" t="n">
        <x:f>I24*L24</x:f>
        <x:v>810</x:v>
      </x:c>
      <x:c r="R24" s="24" t="n">
        <x:f>I24*M24</x:f>
        <x:v>3240</x:v>
      </x:c>
      <x:c r="S24" s="24" t="n">
        <x:f>I24*N24</x:f>
        <x:v>0</x:v>
      </x:c>
      <x:c r="T24" s="34" t="n">
        <x:f>(O24*'01 Assumptions'!$D$28+P24*'01 Assumptions'!$D$29+Q24*'01 Assumptions'!$D$30+R24*'01 Assumptions'!$D$31+S24*'01 Assumptions'!$D$32)/1000000000</x:f>
        <x:v>5.27715</x:v>
      </x:c>
      <x:c r="U24" s="14" t="str">
        <x:v>Pass 23 retained</x:v>
      </x:c>
      <x:c r="V24" s="24" t="str">
        <x:f>IF(ABS(SUM(J24:N24)-1)&lt;0.000001,"PASS","FAIL")</x:f>
        <x:v>PASS</x:v>
      </x:c>
    </x:row>
    <x:row r="25" ht="32" customHeight="1">
      <x:c r="C25" s="15" t="str">
        <x:f>'02 Formation Inputs'!C25</x:f>
        <x:v>M-OSG</x:v>
      </x:c>
      <x:c r="D25" s="15" t="str">
        <x:f>'02 Formation Inputs'!D25</x:f>
        <x:v>Maritime Response</x:v>
      </x:c>
      <x:c r="E25" s="24" t="str">
        <x:f>'02 Formation Inputs'!E25</x:f>
        <x:v>Offshore-support group</x:v>
      </x:c>
      <x:c r="F25" s="24" t="n">
        <x:f>'04 Inventory'!J25</x:f>
        <x:v>45</x:v>
      </x:c>
      <x:c r="G25" s="24" t="n">
        <x:f>'02 Formation Inputs'!I25</x:f>
        <x:v>700</x:v>
      </x:c>
      <x:c r="H25" s="24" t="n">
        <x:f>'02 Formation Inputs'!J25</x:f>
        <x:v>3</x:v>
      </x:c>
      <x:c r="I25" s="24" t="n">
        <x:f>F25*G25*H25</x:f>
        <x:v>94500</x:v>
      </x:c>
      <x:c r="J25" s="25" t="n">
        <x:v>0.7</x:v>
      </x:c>
      <x:c r="K25" s="25" t="n">
        <x:v>0.2</x:v>
      </x:c>
      <x:c r="L25" s="25" t="n">
        <x:v>0.02</x:v>
      </x:c>
      <x:c r="M25" s="25" t="n">
        <x:v>0.08</x:v>
      </x:c>
      <x:c r="N25" s="25" t="n">
        <x:v>0</x:v>
      </x:c>
      <x:c r="O25" s="24" t="n">
        <x:f>I25*J25</x:f>
        <x:v>66150</x:v>
      </x:c>
      <x:c r="P25" s="24" t="n">
        <x:f>I25*K25</x:f>
        <x:v>18900</x:v>
      </x:c>
      <x:c r="Q25" s="24" t="n">
        <x:f>I25*L25</x:f>
        <x:v>1890</x:v>
      </x:c>
      <x:c r="R25" s="24" t="n">
        <x:f>I25*M25</x:f>
        <x:v>7560</x:v>
      </x:c>
      <x:c r="S25" s="24" t="n">
        <x:f>I25*N25</x:f>
        <x:v>0</x:v>
      </x:c>
      <x:c r="T25" s="34" t="n">
        <x:f>(O25*'01 Assumptions'!$D$28+P25*'01 Assumptions'!$D$29+Q25*'01 Assumptions'!$D$30+R25*'01 Assumptions'!$D$31+S25*'01 Assumptions'!$D$32)/1000000000</x:f>
        <x:v>12.31335</x:v>
      </x:c>
      <x:c r="U25" s="14" t="str">
        <x:v>Pass 23 retained</x:v>
      </x:c>
      <x:c r="V25" s="24" t="str">
        <x:f>IF(ABS(SUM(J25:N25)-1)&lt;0.000001,"PASS","FAIL")</x:f>
        <x:v>PASS</x:v>
      </x:c>
    </x:row>
    <x:row r="26" ht="32" customHeight="1">
      <x:c r="C26" s="15" t="str">
        <x:f>'02 Formation Inputs'!C26</x:f>
        <x:v>M-SSG</x:v>
      </x:c>
      <x:c r="D26" s="15" t="str">
        <x:f>'02 Formation Inputs'!D26</x:f>
        <x:v>Maritime Response</x:v>
      </x:c>
      <x:c r="E26" s="24" t="str">
        <x:f>'02 Formation Inputs'!E26</x:f>
        <x:v>Ocean sustainment group</x:v>
      </x:c>
      <x:c r="F26" s="24" t="n">
        <x:f>'04 Inventory'!J26</x:f>
        <x:v>71</x:v>
      </x:c>
      <x:c r="G26" s="24" t="n">
        <x:f>'02 Formation Inputs'!I26</x:f>
        <x:v>650</x:v>
      </x:c>
      <x:c r="H26" s="24" t="n">
        <x:f>'02 Formation Inputs'!J26</x:f>
        <x:v>3</x:v>
      </x:c>
      <x:c r="I26" s="24" t="n">
        <x:f>F26*G26*H26</x:f>
        <x:v>138450</x:v>
      </x:c>
      <x:c r="J26" s="25" t="n">
        <x:v>0.7</x:v>
      </x:c>
      <x:c r="K26" s="25" t="n">
        <x:v>0.2</x:v>
      </x:c>
      <x:c r="L26" s="25" t="n">
        <x:v>0.02</x:v>
      </x:c>
      <x:c r="M26" s="25" t="n">
        <x:v>0.08</x:v>
      </x:c>
      <x:c r="N26" s="25" t="n">
        <x:v>0</x:v>
      </x:c>
      <x:c r="O26" s="24" t="n">
        <x:f>I26*J26</x:f>
        <x:v>96915</x:v>
      </x:c>
      <x:c r="P26" s="24" t="n">
        <x:f>I26*K26</x:f>
        <x:v>27690</x:v>
      </x:c>
      <x:c r="Q26" s="24" t="n">
        <x:f>I26*L26</x:f>
        <x:v>2769</x:v>
      </x:c>
      <x:c r="R26" s="24" t="n">
        <x:f>I26*M26</x:f>
        <x:v>11076</x:v>
      </x:c>
      <x:c r="S26" s="24" t="n">
        <x:f>I26*N26</x:f>
        <x:v>0</x:v>
      </x:c>
      <x:c r="T26" s="34" t="n">
        <x:f>(O26*'01 Assumptions'!$D$28+P26*'01 Assumptions'!$D$29+Q26*'01 Assumptions'!$D$30+R26*'01 Assumptions'!$D$31+S26*'01 Assumptions'!$D$32)/1000000000</x:f>
        <x:v>18.040035</x:v>
      </x:c>
      <x:c r="U26" s="14" t="str">
        <x:v>Pass 23 retained</x:v>
      </x:c>
      <x:c r="V26" s="24" t="str">
        <x:f>IF(ABS(SUM(J26:N26)-1)&lt;0.000001,"PASS","FAIL")</x:f>
        <x:v>PASS</x:v>
      </x:c>
    </x:row>
    <x:row r="27" ht="32" customHeight="1">
      <x:c r="C27" s="15" t="str">
        <x:f>'02 Formation Inputs'!C27</x:f>
        <x:v>I-CUG</x:v>
      </x:c>
      <x:c r="D27" s="15" t="str">
        <x:f>'02 Formation Inputs'!D27</x:f>
        <x:v>Infrastructure Restoration</x:v>
      </x:c>
      <x:c r="E27" s="24" t="str">
        <x:f>'02 Formation Inputs'!E27</x:f>
        <x:v>Communications utility group</x:v>
      </x:c>
      <x:c r="F27" s="24" t="n">
        <x:f>'04 Inventory'!J27</x:f>
        <x:v>102</x:v>
      </x:c>
      <x:c r="G27" s="24" t="n">
        <x:f>'02 Formation Inputs'!I27</x:f>
        <x:v>250</x:v>
      </x:c>
      <x:c r="H27" s="24" t="n">
        <x:f>'02 Formation Inputs'!J27</x:f>
        <x:v>3</x:v>
      </x:c>
      <x:c r="I27" s="24" t="n">
        <x:f>F27*G27*H27</x:f>
        <x:v>76500</x:v>
      </x:c>
      <x:c r="J27" s="25" t="n">
        <x:v>0.35</x:v>
      </x:c>
      <x:c r="K27" s="25" t="n">
        <x:v>0.25</x:v>
      </x:c>
      <x:c r="L27" s="25" t="n">
        <x:v>0.15</x:v>
      </x:c>
      <x:c r="M27" s="25" t="n">
        <x:v>0.25</x:v>
      </x:c>
      <x:c r="N27" s="25" t="n">
        <x:v>0</x:v>
      </x:c>
      <x:c r="O27" s="24" t="n">
        <x:f>I27*J27</x:f>
        <x:v>26775</x:v>
      </x:c>
      <x:c r="P27" s="24" t="n">
        <x:f>I27*K27</x:f>
        <x:v>19125</x:v>
      </x:c>
      <x:c r="Q27" s="24" t="n">
        <x:f>I27*L27</x:f>
        <x:v>11475</x:v>
      </x:c>
      <x:c r="R27" s="24" t="n">
        <x:f>I27*M27</x:f>
        <x:v>19125</x:v>
      </x:c>
      <x:c r="S27" s="24" t="n">
        <x:f>I27*N27</x:f>
        <x:v>0</x:v>
      </x:c>
      <x:c r="T27" s="34" t="n">
        <x:f>(O27*'01 Assumptions'!$D$28+P27*'01 Assumptions'!$D$29+Q27*'01 Assumptions'!$D$30+R27*'01 Assumptions'!$D$31+S27*'01 Assumptions'!$D$32)/1000000000</x:f>
        <x:v>7.592625</x:v>
      </x:c>
      <x:c r="U27" s="14" t="str">
        <x:v>Pass 23 retained</x:v>
      </x:c>
      <x:c r="V27" s="24" t="str">
        <x:f>IF(ABS(SUM(J27:N27)-1)&lt;0.000001,"PASS","FAIL")</x:f>
        <x:v>PASS</x:v>
      </x:c>
    </x:row>
    <x:row r="28" ht="32" customHeight="1">
      <x:c r="C28" s="15" t="str">
        <x:f>'02 Formation Inputs'!C28</x:f>
        <x:v>I-TSG</x:v>
      </x:c>
      <x:c r="D28" s="15" t="str">
        <x:f>'02 Formation Inputs'!D28</x:f>
        <x:v>Infrastructure Restoration</x:v>
      </x:c>
      <x:c r="E28" s="24" t="str">
        <x:f>'02 Formation Inputs'!E28</x:f>
        <x:v>Thermal safety group</x:v>
      </x:c>
      <x:c r="F28" s="24" t="n">
        <x:f>'04 Inventory'!J28</x:f>
        <x:v>108</x:v>
      </x:c>
      <x:c r="G28" s="24" t="n">
        <x:f>'02 Formation Inputs'!I28</x:f>
        <x:v>250</x:v>
      </x:c>
      <x:c r="H28" s="24" t="n">
        <x:f>'02 Formation Inputs'!J28</x:f>
        <x:v>3</x:v>
      </x:c>
      <x:c r="I28" s="24" t="n">
        <x:f>F28*G28*H28</x:f>
        <x:v>81000</x:v>
      </x:c>
      <x:c r="J28" s="25" t="n">
        <x:v>0.35</x:v>
      </x:c>
      <x:c r="K28" s="25" t="n">
        <x:v>0.25</x:v>
      </x:c>
      <x:c r="L28" s="25" t="n">
        <x:v>0.15</x:v>
      </x:c>
      <x:c r="M28" s="25" t="n">
        <x:v>0.25</x:v>
      </x:c>
      <x:c r="N28" s="25" t="n">
        <x:v>0</x:v>
      </x:c>
      <x:c r="O28" s="24" t="n">
        <x:f>I28*J28</x:f>
        <x:v>28350</x:v>
      </x:c>
      <x:c r="P28" s="24" t="n">
        <x:f>I28*K28</x:f>
        <x:v>20250</x:v>
      </x:c>
      <x:c r="Q28" s="24" t="n">
        <x:f>I28*L28</x:f>
        <x:v>12150</x:v>
      </x:c>
      <x:c r="R28" s="24" t="n">
        <x:f>I28*M28</x:f>
        <x:v>20250</x:v>
      </x:c>
      <x:c r="S28" s="24" t="n">
        <x:f>I28*N28</x:f>
        <x:v>0</x:v>
      </x:c>
      <x:c r="T28" s="34" t="n">
        <x:f>(O28*'01 Assumptions'!$D$28+P28*'01 Assumptions'!$D$29+Q28*'01 Assumptions'!$D$30+R28*'01 Assumptions'!$D$31+S28*'01 Assumptions'!$D$32)/1000000000</x:f>
        <x:v>8.03925</x:v>
      </x:c>
      <x:c r="U28" s="14" t="str">
        <x:v>Pass 23 retained</x:v>
      </x:c>
      <x:c r="V28" s="24" t="str">
        <x:f>IF(ABS(SUM(J28:N28)-1)&lt;0.000001,"PASS","FAIL")</x:f>
        <x:v>PASS</x:v>
      </x:c>
    </x:row>
    <x:row r="29" ht="32" customHeight="1">
      <x:c r="C29" s="15" t="str">
        <x:f>'02 Formation Inputs'!C29</x:f>
        <x:v>I-URG</x:v>
      </x:c>
      <x:c r="D29" s="15" t="str">
        <x:f>'02 Formation Inputs'!D29</x:f>
        <x:v>Infrastructure Restoration</x:v>
      </x:c>
      <x:c r="E29" s="24" t="str">
        <x:f>'02 Formation Inputs'!E29</x:f>
        <x:v>Utility reconstruction group</x:v>
      </x:c>
      <x:c r="F29" s="24" t="n">
        <x:f>'04 Inventory'!J29</x:f>
        <x:v>126</x:v>
      </x:c>
      <x:c r="G29" s="24" t="n">
        <x:f>'02 Formation Inputs'!I29</x:f>
        <x:v>450</x:v>
      </x:c>
      <x:c r="H29" s="24" t="n">
        <x:f>'02 Formation Inputs'!J29</x:f>
        <x:v>3</x:v>
      </x:c>
      <x:c r="I29" s="24" t="n">
        <x:f>F29*G29*H29</x:f>
        <x:v>170100</x:v>
      </x:c>
      <x:c r="J29" s="25" t="n">
        <x:v>0.35</x:v>
      </x:c>
      <x:c r="K29" s="25" t="n">
        <x:v>0.25</x:v>
      </x:c>
      <x:c r="L29" s="25" t="n">
        <x:v>0.15</x:v>
      </x:c>
      <x:c r="M29" s="25" t="n">
        <x:v>0.25</x:v>
      </x:c>
      <x:c r="N29" s="25" t="n">
        <x:v>0</x:v>
      </x:c>
      <x:c r="O29" s="24" t="n">
        <x:f>I29*J29</x:f>
        <x:v>59534.99999999999</x:v>
      </x:c>
      <x:c r="P29" s="24" t="n">
        <x:f>I29*K29</x:f>
        <x:v>42525</x:v>
      </x:c>
      <x:c r="Q29" s="24" t="n">
        <x:f>I29*L29</x:f>
        <x:v>25515</x:v>
      </x:c>
      <x:c r="R29" s="24" t="n">
        <x:f>I29*M29</x:f>
        <x:v>42525</x:v>
      </x:c>
      <x:c r="S29" s="24" t="n">
        <x:f>I29*N29</x:f>
        <x:v>0</x:v>
      </x:c>
      <x:c r="T29" s="34" t="n">
        <x:f>(O29*'01 Assumptions'!$D$28+P29*'01 Assumptions'!$D$29+Q29*'01 Assumptions'!$D$30+R29*'01 Assumptions'!$D$31+S29*'01 Assumptions'!$D$32)/1000000000</x:f>
        <x:v>16.882424999999998</x:v>
      </x:c>
      <x:c r="U29" s="14" t="str">
        <x:v>Pass 23 retained</x:v>
      </x:c>
      <x:c r="V29" s="24" t="str">
        <x:f>IF(ABS(SUM(J29:N29)-1)&lt;0.000001,"PASS","FAIL")</x:f>
        <x:v>PASS</x:v>
      </x:c>
    </x:row>
    <x:row r="30" ht="32" customHeight="1">
      <x:c r="C30" s="15" t="str">
        <x:f>'02 Formation Inputs'!C30</x:f>
        <x:v>H-CHC</x:v>
      </x:c>
      <x:c r="D30" s="15" t="str">
        <x:f>'02 Formation Inputs'!D30</x:f>
        <x:v>Health Protection</x:v>
      </x:c>
      <x:c r="E30" s="24" t="str">
        <x:f>'02 Formation Inputs'!E30</x:f>
        <x:v>Community health continuity group</x:v>
      </x:c>
      <x:c r="F30" s="24" t="n">
        <x:f>'04 Inventory'!J30</x:f>
        <x:v>139</x:v>
      </x:c>
      <x:c r="G30" s="24" t="n">
        <x:f>'02 Formation Inputs'!I30</x:f>
        <x:v>500</x:v>
      </x:c>
      <x:c r="H30" s="24" t="n">
        <x:f>'02 Formation Inputs'!J30</x:f>
        <x:v>3.4</x:v>
      </x:c>
      <x:c r="I30" s="24" t="n">
        <x:f>F30*G30*H30</x:f>
        <x:v>236300</x:v>
      </x:c>
      <x:c r="J30" s="25" t="n">
        <x:v>0.35</x:v>
      </x:c>
      <x:c r="K30" s="25" t="n">
        <x:v>0.35</x:v>
      </x:c>
      <x:c r="L30" s="25" t="n">
        <x:v>0.15</x:v>
      </x:c>
      <x:c r="M30" s="25" t="n">
        <x:v>0.15</x:v>
      </x:c>
      <x:c r="N30" s="25" t="n">
        <x:v>0</x:v>
      </x:c>
      <x:c r="O30" s="24" t="n">
        <x:f>I30*J30</x:f>
        <x:v>82705</x:v>
      </x:c>
      <x:c r="P30" s="24" t="n">
        <x:f>I30*K30</x:f>
        <x:v>82705</x:v>
      </x:c>
      <x:c r="Q30" s="24" t="n">
        <x:f>I30*L30</x:f>
        <x:v>35445</x:v>
      </x:c>
      <x:c r="R30" s="24" t="n">
        <x:f>I30*M30</x:f>
        <x:v>35445</x:v>
      </x:c>
      <x:c r="S30" s="24" t="n">
        <x:f>I30*N30</x:f>
        <x:v>0</x:v>
      </x:c>
      <x:c r="T30" s="34" t="n">
        <x:f>(O30*'01 Assumptions'!$D$28+P30*'01 Assumptions'!$D$29+Q30*'01 Assumptions'!$D$30+R30*'01 Assumptions'!$D$31+S30*'01 Assumptions'!$D$32)/1000000000</x:f>
        <x:v>22.507575</x:v>
      </x:c>
      <x:c r="U30" s="14" t="str">
        <x:v>Pass 23 retained</x:v>
      </x:c>
      <x:c r="V30" s="24" t="str">
        <x:f>IF(ABS(SUM(J30:N30)-1)&lt;0.000001,"PASS","FAIL")</x:f>
        <x:v>PASS</x:v>
      </x:c>
    </x:row>
    <x:row r="31" ht="32" customHeight="1">
      <x:c r="C31" s="15" t="str">
        <x:f>'02 Formation Inputs'!C31</x:f>
        <x:v>H-MAC</x:v>
      </x:c>
      <x:c r="D31" s="15" t="str">
        <x:f>'02 Formation Inputs'!D31</x:f>
        <x:v>Health Protection</x:v>
      </x:c>
      <x:c r="E31" s="24" t="str">
        <x:f>'02 Formation Inputs'!E31</x:f>
        <x:v>Mobile acute-care group</x:v>
      </x:c>
      <x:c r="F31" s="24" t="n">
        <x:f>'04 Inventory'!J31</x:f>
        <x:v>91</x:v>
      </x:c>
      <x:c r="G31" s="24" t="n">
        <x:f>'02 Formation Inputs'!I31</x:f>
        <x:v>600</x:v>
      </x:c>
      <x:c r="H31" s="24" t="n">
        <x:f>'02 Formation Inputs'!J31</x:f>
        <x:v>3.4</x:v>
      </x:c>
      <x:c r="I31" s="24" t="n">
        <x:f>F31*G31*H31</x:f>
        <x:v>185640</x:v>
      </x:c>
      <x:c r="J31" s="25" t="n">
        <x:v>0.35</x:v>
      </x:c>
      <x:c r="K31" s="25" t="n">
        <x:v>0.35</x:v>
      </x:c>
      <x:c r="L31" s="25" t="n">
        <x:v>0.15</x:v>
      </x:c>
      <x:c r="M31" s="25" t="n">
        <x:v>0.15</x:v>
      </x:c>
      <x:c r="N31" s="25" t="n">
        <x:v>0</x:v>
      </x:c>
      <x:c r="O31" s="24" t="n">
        <x:f>I31*J31</x:f>
        <x:v>64973.99999999999</x:v>
      </x:c>
      <x:c r="P31" s="24" t="n">
        <x:f>I31*K31</x:f>
        <x:v>64973.99999999999</x:v>
      </x:c>
      <x:c r="Q31" s="24" t="n">
        <x:f>I31*L31</x:f>
        <x:v>27846</x:v>
      </x:c>
      <x:c r="R31" s="24" t="n">
        <x:f>I31*M31</x:f>
        <x:v>27846</x:v>
      </x:c>
      <x:c r="S31" s="24" t="n">
        <x:f>I31*N31</x:f>
        <x:v>0</x:v>
      </x:c>
      <x:c r="T31" s="34" t="n">
        <x:f>(O31*'01 Assumptions'!$D$28+P31*'01 Assumptions'!$D$29+Q31*'01 Assumptions'!$D$30+R31*'01 Assumptions'!$D$31+S31*'01 Assumptions'!$D$32)/1000000000</x:f>
        <x:v>17.68221</x:v>
      </x:c>
      <x:c r="U31" s="14" t="str">
        <x:v>Pass 23 retained</x:v>
      </x:c>
      <x:c r="V31" s="24" t="str">
        <x:f>IF(ABS(SUM(J31:N31)-1)&lt;0.000001,"PASS","FAIL")</x:f>
        <x:v>PASS</x:v>
      </x:c>
    </x:row>
    <x:row r="32" ht="32" customHeight="1">
      <x:c r="C32" s="15" t="str">
        <x:f>'02 Formation Inputs'!C32</x:f>
        <x:v>H-PHC</x:v>
      </x:c>
      <x:c r="D32" s="15" t="str">
        <x:f>'02 Formation Inputs'!D32</x:f>
        <x:v>Health Protection</x:v>
      </x:c>
      <x:c r="E32" s="24" t="str">
        <x:f>'02 Formation Inputs'!E32</x:f>
        <x:v>Public-health control group</x:v>
      </x:c>
      <x:c r="F32" s="24" t="n">
        <x:f>'04 Inventory'!J32</x:f>
        <x:v>78</x:v>
      </x:c>
      <x:c r="G32" s="24" t="n">
        <x:f>'02 Formation Inputs'!I32</x:f>
        <x:v>250</x:v>
      </x:c>
      <x:c r="H32" s="24" t="n">
        <x:f>'02 Formation Inputs'!J32</x:f>
        <x:v>3.4</x:v>
      </x:c>
      <x:c r="I32" s="24" t="n">
        <x:f>F32*G32*H32</x:f>
        <x:v>66300</x:v>
      </x:c>
      <x:c r="J32" s="25" t="n">
        <x:v>0.35</x:v>
      </x:c>
      <x:c r="K32" s="25" t="n">
        <x:v>0.35</x:v>
      </x:c>
      <x:c r="L32" s="25" t="n">
        <x:v>0.15</x:v>
      </x:c>
      <x:c r="M32" s="25" t="n">
        <x:v>0.15</x:v>
      </x:c>
      <x:c r="N32" s="25" t="n">
        <x:v>0</x:v>
      </x:c>
      <x:c r="O32" s="24" t="n">
        <x:f>I32*J32</x:f>
        <x:v>23205</x:v>
      </x:c>
      <x:c r="P32" s="24" t="n">
        <x:f>I32*K32</x:f>
        <x:v>23205</x:v>
      </x:c>
      <x:c r="Q32" s="24" t="n">
        <x:f>I32*L32</x:f>
        <x:v>9945</x:v>
      </x:c>
      <x:c r="R32" s="24" t="n">
        <x:f>I32*M32</x:f>
        <x:v>9945</x:v>
      </x:c>
      <x:c r="S32" s="24" t="n">
        <x:f>I32*N32</x:f>
        <x:v>0</x:v>
      </x:c>
      <x:c r="T32" s="34" t="n">
        <x:f>(O32*'01 Assumptions'!$D$28+P32*'01 Assumptions'!$D$29+Q32*'01 Assumptions'!$D$30+R32*'01 Assumptions'!$D$31+S32*'01 Assumptions'!$D$32)/1000000000</x:f>
        <x:v>6.315075</x:v>
      </x:c>
      <x:c r="U32" s="14" t="str">
        <x:v>Pass 23 retained</x:v>
      </x:c>
      <x:c r="V32" s="24" t="str">
        <x:f>IF(ABS(SUM(J32:N32)-1)&lt;0.000001,"PASS","FAIL")</x:f>
        <x:v>PASS</x:v>
      </x:c>
    </x:row>
    <x:row r="33" ht="32" customHeight="1">
      <x:c r="C33" s="15" t="str">
        <x:f>'02 Formation Inputs'!C33</x:f>
        <x:v>H-HWR</x:v>
      </x:c>
      <x:c r="D33" s="15" t="str">
        <x:f>'02 Formation Inputs'!D33</x:f>
        <x:v>Health Protection</x:v>
      </x:c>
      <x:c r="E33" s="24" t="str">
        <x:f>'02 Formation Inputs'!E33</x:f>
        <x:v>Health workforce replacement group</x:v>
      </x:c>
      <x:c r="F33" s="24" t="n">
        <x:f>'04 Inventory'!J33</x:f>
        <x:v>139</x:v>
      </x:c>
      <x:c r="G33" s="24" t="n">
        <x:f>'02 Formation Inputs'!I33</x:f>
        <x:v>550</x:v>
      </x:c>
      <x:c r="H33" s="24" t="n">
        <x:f>'02 Formation Inputs'!J33</x:f>
        <x:v>3.4</x:v>
      </x:c>
      <x:c r="I33" s="24" t="n">
        <x:f>F33*G33*H33</x:f>
        <x:v>259930</x:v>
      </x:c>
      <x:c r="J33" s="25" t="n">
        <x:v>0.35</x:v>
      </x:c>
      <x:c r="K33" s="25" t="n">
        <x:v>0.35</x:v>
      </x:c>
      <x:c r="L33" s="25" t="n">
        <x:v>0.15</x:v>
      </x:c>
      <x:c r="M33" s="25" t="n">
        <x:v>0.15</x:v>
      </x:c>
      <x:c r="N33" s="25" t="n">
        <x:v>0</x:v>
      </x:c>
      <x:c r="O33" s="24" t="n">
        <x:f>I33*J33</x:f>
        <x:v>90975.5</x:v>
      </x:c>
      <x:c r="P33" s="24" t="n">
        <x:f>I33*K33</x:f>
        <x:v>90975.5</x:v>
      </x:c>
      <x:c r="Q33" s="24" t="n">
        <x:f>I33*L33</x:f>
        <x:v>38989.5</x:v>
      </x:c>
      <x:c r="R33" s="24" t="n">
        <x:f>I33*M33</x:f>
        <x:v>38989.5</x:v>
      </x:c>
      <x:c r="S33" s="24" t="n">
        <x:f>I33*N33</x:f>
        <x:v>0</x:v>
      </x:c>
      <x:c r="T33" s="34" t="n">
        <x:f>(O33*'01 Assumptions'!$D$28+P33*'01 Assumptions'!$D$29+Q33*'01 Assumptions'!$D$30+R33*'01 Assumptions'!$D$31+S33*'01 Assumptions'!$D$32)/1000000000</x:f>
        <x:v>24.7583325</x:v>
      </x:c>
      <x:c r="U33" s="14" t="str">
        <x:v>Pass 23 retained</x:v>
      </x:c>
      <x:c r="V33" s="24" t="str">
        <x:f>IF(ABS(SUM(J33:N33)-1)&lt;0.000001,"PASS","FAIL")</x:f>
        <x:v>PASS</x:v>
      </x:c>
    </x:row>
    <x:row r="34" ht="32" customHeight="1">
      <x:c r="C34" s="15" t="str">
        <x:f>'02 Formation Inputs'!C34</x:f>
        <x:v>C-PSG</x:v>
      </x:c>
      <x:c r="D34" s="15" t="str">
        <x:f>'02 Formation Inputs'!D34</x:f>
        <x:v>Community Stabilization</x:v>
      </x:c>
      <x:c r="E34" s="24" t="str">
        <x:f>'02 Formation Inputs'!E34</x:f>
        <x:v>Population support group</x:v>
      </x:c>
      <x:c r="F34" s="24" t="n">
        <x:f>'04 Inventory'!J34</x:f>
        <x:v>173</x:v>
      </x:c>
      <x:c r="G34" s="24" t="n">
        <x:f>'02 Formation Inputs'!I34</x:f>
        <x:v>450</x:v>
      </x:c>
      <x:c r="H34" s="24" t="n">
        <x:f>'02 Formation Inputs'!J34</x:f>
        <x:v>2.5</x:v>
      </x:c>
      <x:c r="I34" s="24" t="n">
        <x:f>F34*G34*H34</x:f>
        <x:v>194625</x:v>
      </x:c>
      <x:c r="J34" s="25" t="n">
        <x:v>0.2</x:v>
      </x:c>
      <x:c r="K34" s="25" t="n">
        <x:v>0.25</x:v>
      </x:c>
      <x:c r="L34" s="25" t="n">
        <x:v>0.35</x:v>
      </x:c>
      <x:c r="M34" s="25" t="n">
        <x:v>0.2</x:v>
      </x:c>
      <x:c r="N34" s="25" t="n">
        <x:v>0</x:v>
      </x:c>
      <x:c r="O34" s="24" t="n">
        <x:f>I34*J34</x:f>
        <x:v>38925</x:v>
      </x:c>
      <x:c r="P34" s="24" t="n">
        <x:f>I34*K34</x:f>
        <x:v>48656.25</x:v>
      </x:c>
      <x:c r="Q34" s="24" t="n">
        <x:f>I34*L34</x:f>
        <x:v>68118.75</x:v>
      </x:c>
      <x:c r="R34" s="24" t="n">
        <x:f>I34*M34</x:f>
        <x:v>38925</x:v>
      </x:c>
      <x:c r="S34" s="24" t="n">
        <x:f>I34*N34</x:f>
        <x:v>0</x:v>
      </x:c>
      <x:c r="T34" s="34" t="n">
        <x:f>(O34*'01 Assumptions'!$D$28+P34*'01 Assumptions'!$D$29+Q34*'01 Assumptions'!$D$30+R34*'01 Assumptions'!$D$31+S34*'01 Assumptions'!$D$32)/1000000000</x:f>
        <x:v>15.91059375</x:v>
      </x:c>
      <x:c r="U34" s="14" t="str">
        <x:v>Pass 23 retained</x:v>
      </x:c>
      <x:c r="V34" s="24" t="str">
        <x:f>IF(ABS(SUM(J34:N34)-1)&lt;0.000001,"PASS","FAIL")</x:f>
        <x:v>PASS</x:v>
      </x:c>
    </x:row>
    <x:row r="35" ht="32" customHeight="1">
      <x:c r="C35" s="15" t="str">
        <x:f>'02 Formation Inputs'!C35</x:f>
        <x:v>C-EGG</x:v>
      </x:c>
      <x:c r="D35" s="15" t="str">
        <x:f>'02 Formation Inputs'!D35</x:f>
        <x:v>Community Stabilization</x:v>
      </x:c>
      <x:c r="E35" s="24" t="str">
        <x:f>'02 Formation Inputs'!E35</x:f>
        <x:v>Essential-goods group</x:v>
      </x:c>
      <x:c r="F35" s="24" t="n">
        <x:f>'04 Inventory'!J35</x:f>
        <x:v>173</x:v>
      </x:c>
      <x:c r="G35" s="24" t="n">
        <x:f>'02 Formation Inputs'!I35</x:f>
        <x:v>350</x:v>
      </x:c>
      <x:c r="H35" s="24" t="n">
        <x:f>'02 Formation Inputs'!J35</x:f>
        <x:v>2.5</x:v>
      </x:c>
      <x:c r="I35" s="24" t="n">
        <x:f>F35*G35*H35</x:f>
        <x:v>151375</x:v>
      </x:c>
      <x:c r="J35" s="25" t="n">
        <x:v>0.2</x:v>
      </x:c>
      <x:c r="K35" s="25" t="n">
        <x:v>0.25</x:v>
      </x:c>
      <x:c r="L35" s="25" t="n">
        <x:v>0.35</x:v>
      </x:c>
      <x:c r="M35" s="25" t="n">
        <x:v>0.2</x:v>
      </x:c>
      <x:c r="N35" s="25" t="n">
        <x:v>0</x:v>
      </x:c>
      <x:c r="O35" s="24" t="n">
        <x:f>I35*J35</x:f>
        <x:v>30275</x:v>
      </x:c>
      <x:c r="P35" s="24" t="n">
        <x:f>I35*K35</x:f>
        <x:v>37843.75</x:v>
      </x:c>
      <x:c r="Q35" s="24" t="n">
        <x:f>I35*L35</x:f>
        <x:v>52981.25</x:v>
      </x:c>
      <x:c r="R35" s="24" t="n">
        <x:f>I35*M35</x:f>
        <x:v>30275</x:v>
      </x:c>
      <x:c r="S35" s="24" t="n">
        <x:f>I35*N35</x:f>
        <x:v>0</x:v>
      </x:c>
      <x:c r="T35" s="34" t="n">
        <x:f>(O35*'01 Assumptions'!$D$28+P35*'01 Assumptions'!$D$29+Q35*'01 Assumptions'!$D$30+R35*'01 Assumptions'!$D$31+S35*'01 Assumptions'!$D$32)/1000000000</x:f>
        <x:v>12.37490625</x:v>
      </x:c>
      <x:c r="U35" s="14" t="str">
        <x:v>Pass 23 retained</x:v>
      </x:c>
      <x:c r="V35" s="24" t="str">
        <x:f>IF(ABS(SUM(J35:N35)-1)&lt;0.000001,"PASS","FAIL")</x:f>
        <x:v>PASS</x:v>
      </x:c>
    </x:row>
    <x:row r="36" ht="32" customHeight="1">
      <x:c r="C36" s="15" t="str">
        <x:f>'02 Formation Inputs'!C36</x:f>
        <x:v>C-CAG</x:v>
      </x:c>
      <x:c r="D36" s="15" t="str">
        <x:f>'02 Formation Inputs'!D36</x:f>
        <x:v>Community Stabilization</x:v>
      </x:c>
      <x:c r="E36" s="24" t="str">
        <x:f>'02 Formation Inputs'!E36</x:f>
        <x:v>Civil access group</x:v>
      </x:c>
      <x:c r="F36" s="24" t="n">
        <x:f>'04 Inventory'!J36</x:f>
        <x:v>132</x:v>
      </x:c>
      <x:c r="G36" s="24" t="n">
        <x:f>'02 Formation Inputs'!I36</x:f>
        <x:v>180</x:v>
      </x:c>
      <x:c r="H36" s="24" t="n">
        <x:f>'02 Formation Inputs'!J36</x:f>
        <x:v>2.5</x:v>
      </x:c>
      <x:c r="I36" s="24" t="n">
        <x:f>F36*G36*H36</x:f>
        <x:v>59400</x:v>
      </x:c>
      <x:c r="J36" s="25" t="n">
        <x:v>0.2</x:v>
      </x:c>
      <x:c r="K36" s="25" t="n">
        <x:v>0.25</x:v>
      </x:c>
      <x:c r="L36" s="25" t="n">
        <x:v>0.35</x:v>
      </x:c>
      <x:c r="M36" s="25" t="n">
        <x:v>0.2</x:v>
      </x:c>
      <x:c r="N36" s="25" t="n">
        <x:v>0</x:v>
      </x:c>
      <x:c r="O36" s="24" t="n">
        <x:f>I36*J36</x:f>
        <x:v>11880</x:v>
      </x:c>
      <x:c r="P36" s="24" t="n">
        <x:f>I36*K36</x:f>
        <x:v>14850</x:v>
      </x:c>
      <x:c r="Q36" s="24" t="n">
        <x:f>I36*L36</x:f>
        <x:v>20790</x:v>
      </x:c>
      <x:c r="R36" s="24" t="n">
        <x:f>I36*M36</x:f>
        <x:v>11880</x:v>
      </x:c>
      <x:c r="S36" s="24" t="n">
        <x:f>I36*N36</x:f>
        <x:v>0</x:v>
      </x:c>
      <x:c r="T36" s="34" t="n">
        <x:f>(O36*'01 Assumptions'!$D$28+P36*'01 Assumptions'!$D$29+Q36*'01 Assumptions'!$D$30+R36*'01 Assumptions'!$D$31+S36*'01 Assumptions'!$D$32)/1000000000</x:f>
        <x:v>4.85595</x:v>
      </x:c>
      <x:c r="U36" s="14" t="str">
        <x:v>Pass 23 retained</x:v>
      </x:c>
      <x:c r="V36" s="24" t="str">
        <x:f>IF(ABS(SUM(J36:N36)-1)&lt;0.000001,"PASS","FAIL")</x:f>
        <x:v>PASS</x:v>
      </x:c>
    </x:row>
    <x:row r="37" ht="32" customHeight="1">
      <x:c r="C37" s="15" t="str">
        <x:f>'02 Formation Inputs'!C37</x:f>
        <x:v>C-DTG</x:v>
      </x:c>
      <x:c r="D37" s="15" t="str">
        <x:f>'02 Formation Inputs'!D37</x:f>
        <x:v>Community Stabilization</x:v>
      </x:c>
      <x:c r="E37" s="24" t="str">
        <x:f>'02 Formation Inputs'!E37</x:f>
        <x:v>Displacement transition group</x:v>
      </x:c>
      <x:c r="F37" s="24" t="n">
        <x:f>'04 Inventory'!J37</x:f>
        <x:v>127</x:v>
      </x:c>
      <x:c r="G37" s="24" t="n">
        <x:f>'02 Formation Inputs'!I37</x:f>
        <x:v>300</x:v>
      </x:c>
      <x:c r="H37" s="24" t="n">
        <x:f>'02 Formation Inputs'!J37</x:f>
        <x:v>2.5</x:v>
      </x:c>
      <x:c r="I37" s="24" t="n">
        <x:f>F37*G37*H37</x:f>
        <x:v>95250</x:v>
      </x:c>
      <x:c r="J37" s="25" t="n">
        <x:v>0.2</x:v>
      </x:c>
      <x:c r="K37" s="25" t="n">
        <x:v>0.25</x:v>
      </x:c>
      <x:c r="L37" s="25" t="n">
        <x:v>0.35</x:v>
      </x:c>
      <x:c r="M37" s="25" t="n">
        <x:v>0.2</x:v>
      </x:c>
      <x:c r="N37" s="25" t="n">
        <x:v>0</x:v>
      </x:c>
      <x:c r="O37" s="24" t="n">
        <x:f>I37*J37</x:f>
        <x:v>19050</x:v>
      </x:c>
      <x:c r="P37" s="24" t="n">
        <x:f>I37*K37</x:f>
        <x:v>23812.5</x:v>
      </x:c>
      <x:c r="Q37" s="24" t="n">
        <x:f>I37*L37</x:f>
        <x:v>33337.5</x:v>
      </x:c>
      <x:c r="R37" s="24" t="n">
        <x:f>I37*M37</x:f>
        <x:v>19050</x:v>
      </x:c>
      <x:c r="S37" s="24" t="n">
        <x:f>I37*N37</x:f>
        <x:v>0</x:v>
      </x:c>
      <x:c r="T37" s="34" t="n">
        <x:f>(O37*'01 Assumptions'!$D$28+P37*'01 Assumptions'!$D$29+Q37*'01 Assumptions'!$D$30+R37*'01 Assumptions'!$D$31+S37*'01 Assumptions'!$D$32)/1000000000</x:f>
        <x:v>7.7866875</x:v>
      </x:c>
      <x:c r="U37" s="14" t="str">
        <x:v>Pass 23 retained</x:v>
      </x:c>
      <x:c r="V37" s="24" t="str">
        <x:f>IF(ABS(SUM(J37:N37)-1)&lt;0.000001,"PASS","FAIL")</x:f>
        <x:v>PASS</x:v>
      </x:c>
    </x:row>
    <x:row r="38" ht="32" customHeight="1">
      <x:c r="C38" s="15" t="str">
        <x:f>'02 Formation Inputs'!C38</x:f>
        <x:v>C-CIG</x:v>
      </x:c>
      <x:c r="D38" s="15" t="str">
        <x:f>'02 Formation Inputs'!D38</x:f>
        <x:v>Community Stabilization</x:v>
      </x:c>
      <x:c r="E38" s="24" t="str">
        <x:f>'02 Formation Inputs'!E38</x:f>
        <x:v>Community institutions group</x:v>
      </x:c>
      <x:c r="F38" s="24" t="n">
        <x:f>'04 Inventory'!J38</x:f>
        <x:v>106</x:v>
      </x:c>
      <x:c r="G38" s="24" t="n">
        <x:f>'02 Formation Inputs'!I38</x:f>
        <x:v>250</x:v>
      </x:c>
      <x:c r="H38" s="24" t="n">
        <x:f>'02 Formation Inputs'!J38</x:f>
        <x:v>2.5</x:v>
      </x:c>
      <x:c r="I38" s="24" t="n">
        <x:f>F38*G38*H38</x:f>
        <x:v>66250</x:v>
      </x:c>
      <x:c r="J38" s="25" t="n">
        <x:v>0.2</x:v>
      </x:c>
      <x:c r="K38" s="25" t="n">
        <x:v>0.25</x:v>
      </x:c>
      <x:c r="L38" s="25" t="n">
        <x:v>0.35</x:v>
      </x:c>
      <x:c r="M38" s="25" t="n">
        <x:v>0.2</x:v>
      </x:c>
      <x:c r="N38" s="25" t="n">
        <x:v>0</x:v>
      </x:c>
      <x:c r="O38" s="24" t="n">
        <x:f>I38*J38</x:f>
        <x:v>13250</x:v>
      </x:c>
      <x:c r="P38" s="24" t="n">
        <x:f>I38*K38</x:f>
        <x:v>16562.5</x:v>
      </x:c>
      <x:c r="Q38" s="24" t="n">
        <x:f>I38*L38</x:f>
        <x:v>23187.5</x:v>
      </x:c>
      <x:c r="R38" s="24" t="n">
        <x:f>I38*M38</x:f>
        <x:v>13250</x:v>
      </x:c>
      <x:c r="S38" s="24" t="n">
        <x:f>I38*N38</x:f>
        <x:v>0</x:v>
      </x:c>
      <x:c r="T38" s="34" t="n">
        <x:f>(O38*'01 Assumptions'!$D$28+P38*'01 Assumptions'!$D$29+Q38*'01 Assumptions'!$D$30+R38*'01 Assumptions'!$D$31+S38*'01 Assumptions'!$D$32)/1000000000</x:f>
        <x:v>5.4159375</x:v>
      </x:c>
      <x:c r="U38" s="14" t="str">
        <x:v>Pass 23 retained</x:v>
      </x:c>
      <x:c r="V38" s="24" t="str">
        <x:f>IF(ABS(SUM(J38:N38)-1)&lt;0.000001,"PASS","FAIL")</x:f>
        <x:v>PASS</x:v>
      </x:c>
    </x:row>
    <x:row r="39" ht="32" customHeight="1">
      <x:c r="C39" s="15" t="str">
        <x:f>'02 Formation Inputs'!C39</x:f>
        <x:v>J-RIG</x:v>
      </x:c>
      <x:c r="D39" s="15" t="str">
        <x:f>'02 Formation Inputs'!D39</x:f>
        <x:v>Joint</x:v>
      </x:c>
      <x:c r="E39" s="24" t="str">
        <x:f>'02 Formation Inputs'!E39</x:f>
        <x:v>Resilience information group</x:v>
      </x:c>
      <x:c r="F39" s="24" t="n">
        <x:f>'04 Inventory'!J39</x:f>
        <x:v>91</x:v>
      </x:c>
      <x:c r="G39" s="24" t="n">
        <x:f>'02 Formation Inputs'!I39</x:f>
        <x:v>360</x:v>
      </x:c>
      <x:c r="H39" s="24" t="n">
        <x:f>'02 Formation Inputs'!J39</x:f>
        <x:v>2.5</x:v>
      </x:c>
      <x:c r="I39" s="24" t="n">
        <x:f>F39*G39*H39</x:f>
        <x:v>81900</x:v>
      </x:c>
      <x:c r="J39" s="25" t="n">
        <x:v>0.6</x:v>
      </x:c>
      <x:c r="K39" s="25" t="n">
        <x:v>0.2</x:v>
      </x:c>
      <x:c r="L39" s="25" t="n">
        <x:v>0.1</x:v>
      </x:c>
      <x:c r="M39" s="25" t="n">
        <x:v>0.05</x:v>
      </x:c>
      <x:c r="N39" s="25" t="n">
        <x:v>0.05</x:v>
      </x:c>
      <x:c r="O39" s="24" t="n">
        <x:f>I39*J39</x:f>
        <x:v>49140</x:v>
      </x:c>
      <x:c r="P39" s="24" t="n">
        <x:f>I39*K39</x:f>
        <x:v>16380</x:v>
      </x:c>
      <x:c r="Q39" s="24" t="n">
        <x:f>I39*L39</x:f>
        <x:v>8190</x:v>
      </x:c>
      <x:c r="R39" s="24" t="n">
        <x:f>I39*M39</x:f>
        <x:v>4095</x:v>
      </x:c>
      <x:c r="S39" s="24" t="n">
        <x:f>I39*N39</x:f>
        <x:v>4095</x:v>
      </x:c>
      <x:c r="T39" s="34" t="n">
        <x:f>(O39*'01 Assumptions'!$D$28+P39*'01 Assumptions'!$D$29+Q39*'01 Assumptions'!$D$30+R39*'01 Assumptions'!$D$31+S39*'01 Assumptions'!$D$32)/1000000000</x:f>
        <x:v>9.5823</x:v>
      </x:c>
      <x:c r="U39" s="14" t="str">
        <x:v>Pass 58 canonical addition</x:v>
      </x:c>
      <x:c r="V39" s="24" t="str">
        <x:f>IF(ABS(SUM(J39:N39)-1)&lt;0.000001,"PASS","FAIL")</x:f>
        <x:v>PASS</x:v>
      </x:c>
    </x:row>
    <x:row r="40" ht="32" customHeight="1">
      <x:c r="C40" s="15" t="str">
        <x:f>'02 Formation Inputs'!C40</x:f>
        <x:v>M-MPG</x:v>
      </x:c>
      <x:c r="D40" s="15" t="str">
        <x:f>'02 Formation Inputs'!D40</x:f>
        <x:v>Maritime Response</x:v>
      </x:c>
      <x:c r="E40" s="24" t="str">
        <x:f>'02 Formation Inputs'!E40</x:f>
        <x:v>Maritime production group</x:v>
      </x:c>
      <x:c r="F40" s="24" t="n">
        <x:f>'04 Inventory'!J40</x:f>
        <x:v>52</x:v>
      </x:c>
      <x:c r="G40" s="24" t="n">
        <x:f>'02 Formation Inputs'!I40</x:f>
        <x:v>900</x:v>
      </x:c>
      <x:c r="H40" s="24" t="n">
        <x:f>'02 Formation Inputs'!J40</x:f>
        <x:v>3</x:v>
      </x:c>
      <x:c r="I40" s="24" t="n">
        <x:f>F40*G40*H40</x:f>
        <x:v>140400</x:v>
      </x:c>
      <x:c r="J40" s="25" t="n">
        <x:v>0.7</x:v>
      </x:c>
      <x:c r="K40" s="25" t="n">
        <x:v>0.2</x:v>
      </x:c>
      <x:c r="L40" s="25" t="n">
        <x:v>0.02</x:v>
      </x:c>
      <x:c r="M40" s="25" t="n">
        <x:v>0.08</x:v>
      </x:c>
      <x:c r="N40" s="25" t="n">
        <x:v>0</x:v>
      </x:c>
      <x:c r="O40" s="24" t="n">
        <x:f>I40*J40</x:f>
        <x:v>98280</x:v>
      </x:c>
      <x:c r="P40" s="24" t="n">
        <x:f>I40*K40</x:f>
        <x:v>28080</x:v>
      </x:c>
      <x:c r="Q40" s="24" t="n">
        <x:f>I40*L40</x:f>
        <x:v>2808</x:v>
      </x:c>
      <x:c r="R40" s="24" t="n">
        <x:f>I40*M40</x:f>
        <x:v>11232</x:v>
      </x:c>
      <x:c r="S40" s="24" t="n">
        <x:f>I40*N40</x:f>
        <x:v>0</x:v>
      </x:c>
      <x:c r="T40" s="34" t="n">
        <x:f>(O40*'01 Assumptions'!$D$28+P40*'01 Assumptions'!$D$29+Q40*'01 Assumptions'!$D$30+R40*'01 Assumptions'!$D$31+S40*'01 Assumptions'!$D$32)/1000000000</x:f>
        <x:v>18.29412</x:v>
      </x:c>
      <x:c r="U40" s="14" t="str">
        <x:v>Pass 58 canonical addition</x:v>
      </x:c>
      <x:c r="V40" s="24" t="str">
        <x:f>IF(ABS(SUM(J40:N40)-1)&lt;0.000001,"PASS","FAIL")</x:f>
        <x:v>PASS</x:v>
      </x:c>
    </x:row>
    <x:row r="41" ht="32" customHeight="1">
      <x:c r="C41" s="15" t="str">
        <x:f>'02 Formation Inputs'!C41</x:f>
        <x:v>I-WRG</x:v>
      </x:c>
      <x:c r="D41" s="15" t="str">
        <x:f>'02 Formation Inputs'!D41</x:f>
        <x:v>Infrastructure Restoration</x:v>
      </x:c>
      <x:c r="E41" s="24" t="str">
        <x:f>'02 Formation Inputs'!E41</x:f>
        <x:v>Water restoration group</x:v>
      </x:c>
      <x:c r="F41" s="24" t="n">
        <x:f>'04 Inventory'!J41</x:f>
        <x:v>93</x:v>
      </x:c>
      <x:c r="G41" s="24" t="n">
        <x:f>'02 Formation Inputs'!I41</x:f>
        <x:v>2120</x:v>
      </x:c>
      <x:c r="H41" s="24" t="n">
        <x:f>'02 Formation Inputs'!J41</x:f>
        <x:v>3</x:v>
      </x:c>
      <x:c r="I41" s="24" t="n">
        <x:f>F41*G41*H41</x:f>
        <x:v>591480</x:v>
      </x:c>
      <x:c r="J41" s="25" t="n">
        <x:v>0.35</x:v>
      </x:c>
      <x:c r="K41" s="25" t="n">
        <x:v>0.25</x:v>
      </x:c>
      <x:c r="L41" s="25" t="n">
        <x:v>0.15</x:v>
      </x:c>
      <x:c r="M41" s="25" t="n">
        <x:v>0.25</x:v>
      </x:c>
      <x:c r="N41" s="25" t="n">
        <x:v>0</x:v>
      </x:c>
      <x:c r="O41" s="24" t="n">
        <x:f>I41*J41</x:f>
        <x:v>207018</x:v>
      </x:c>
      <x:c r="P41" s="24" t="n">
        <x:f>I41*K41</x:f>
        <x:v>147870</x:v>
      </x:c>
      <x:c r="Q41" s="24" t="n">
        <x:f>I41*L41</x:f>
        <x:v>88722</x:v>
      </x:c>
      <x:c r="R41" s="24" t="n">
        <x:f>I41*M41</x:f>
        <x:v>147870</x:v>
      </x:c>
      <x:c r="S41" s="24" t="n">
        <x:f>I41*N41</x:f>
        <x:v>0</x:v>
      </x:c>
      <x:c r="T41" s="34" t="n">
        <x:f>(O41*'01 Assumptions'!$D$28+P41*'01 Assumptions'!$D$29+Q41*'01 Assumptions'!$D$30+R41*'01 Assumptions'!$D$31+S41*'01 Assumptions'!$D$32)/1000000000</x:f>
        <x:v>58.70439</x:v>
      </x:c>
      <x:c r="U41" s="14" t="str">
        <x:v>Pass 58 canonical addition</x:v>
      </x:c>
      <x:c r="V41" s="24" t="str">
        <x:f>IF(ABS(SUM(J41:N41)-1)&lt;0.000001,"PASS","FAIL")</x:f>
        <x:v>PASS</x:v>
      </x:c>
    </x:row>
    <x:row r="42" ht="32" customHeight="1">
      <x:c r="C42" s="15" t="str">
        <x:f>'02 Formation Inputs'!C42</x:f>
        <x:v>I-PRG</x:v>
      </x:c>
      <x:c r="D42" s="15" t="str">
        <x:f>'02 Formation Inputs'!D42</x:f>
        <x:v>Infrastructure Restoration</x:v>
      </x:c>
      <x:c r="E42" s="24" t="str">
        <x:f>'02 Formation Inputs'!E42</x:f>
        <x:v>Power restoration group</x:v>
      </x:c>
      <x:c r="F42" s="24" t="n">
        <x:f>'04 Inventory'!J42</x:f>
        <x:v>108</x:v>
      </x:c>
      <x:c r="G42" s="24" t="n">
        <x:f>'02 Formation Inputs'!I42</x:f>
        <x:v>2200</x:v>
      </x:c>
      <x:c r="H42" s="24" t="n">
        <x:f>'02 Formation Inputs'!J42</x:f>
        <x:v>3</x:v>
      </x:c>
      <x:c r="I42" s="24" t="n">
        <x:f>F42*G42*H42</x:f>
        <x:v>712800</x:v>
      </x:c>
      <x:c r="J42" s="25" t="n">
        <x:v>0.35</x:v>
      </x:c>
      <x:c r="K42" s="25" t="n">
        <x:v>0.25</x:v>
      </x:c>
      <x:c r="L42" s="25" t="n">
        <x:v>0.15</x:v>
      </x:c>
      <x:c r="M42" s="25" t="n">
        <x:v>0.25</x:v>
      </x:c>
      <x:c r="N42" s="25" t="n">
        <x:v>0</x:v>
      </x:c>
      <x:c r="O42" s="24" t="n">
        <x:f>I42*J42</x:f>
        <x:v>249479.99999999997</x:v>
      </x:c>
      <x:c r="P42" s="24" t="n">
        <x:f>I42*K42</x:f>
        <x:v>178200</x:v>
      </x:c>
      <x:c r="Q42" s="24" t="n">
        <x:f>I42*L42</x:f>
        <x:v>106920</x:v>
      </x:c>
      <x:c r="R42" s="24" t="n">
        <x:f>I42*M42</x:f>
        <x:v>178200</x:v>
      </x:c>
      <x:c r="S42" s="24" t="n">
        <x:f>I42*N42</x:f>
        <x:v>0</x:v>
      </x:c>
      <x:c r="T42" s="34" t="n">
        <x:f>(O42*'01 Assumptions'!$D$28+P42*'01 Assumptions'!$D$29+Q42*'01 Assumptions'!$D$30+R42*'01 Assumptions'!$D$31+S42*'01 Assumptions'!$D$32)/1000000000</x:f>
        <x:v>70.7454</x:v>
      </x:c>
      <x:c r="U42" s="14" t="str">
        <x:v>Pass 58 canonical addition</x:v>
      </x:c>
      <x:c r="V42" s="24" t="str">
        <x:f>IF(ABS(SUM(J42:N42)-1)&lt;0.000001,"PASS","FAIL")</x:f>
        <x:v>PASS</x:v>
      </x:c>
    </x:row>
    <x:row r="43" ht="32" customHeight="1">
      <x:c r="C43" s="15" t="str">
        <x:f>'02 Formation Inputs'!C43</x:f>
        <x:v>I-GBG</x:v>
      </x:c>
      <x:c r="D43" s="15" t="str">
        <x:f>'02 Formation Inputs'!D43</x:f>
        <x:v>Infrastructure Restoration</x:v>
      </x:c>
      <x:c r="E43" s="24" t="str">
        <x:f>'02 Formation Inputs'!E43</x:f>
        <x:v>Grid bridge group</x:v>
      </x:c>
      <x:c r="F43" s="24" t="n">
        <x:f>'04 Inventory'!J43</x:f>
        <x:v>83</x:v>
      </x:c>
      <x:c r="G43" s="24" t="n">
        <x:f>'02 Formation Inputs'!I43</x:f>
        <x:v>1400</x:v>
      </x:c>
      <x:c r="H43" s="24" t="n">
        <x:f>'02 Formation Inputs'!J43</x:f>
        <x:v>3</x:v>
      </x:c>
      <x:c r="I43" s="24" t="n">
        <x:f>F43*G43*H43</x:f>
        <x:v>348600</x:v>
      </x:c>
      <x:c r="J43" s="25" t="n">
        <x:v>0.35</x:v>
      </x:c>
      <x:c r="K43" s="25" t="n">
        <x:v>0.25</x:v>
      </x:c>
      <x:c r="L43" s="25" t="n">
        <x:v>0.15</x:v>
      </x:c>
      <x:c r="M43" s="25" t="n">
        <x:v>0.25</x:v>
      </x:c>
      <x:c r="N43" s="25" t="n">
        <x:v>0</x:v>
      </x:c>
      <x:c r="O43" s="24" t="n">
        <x:f>I43*J43</x:f>
        <x:v>122009.99999999999</x:v>
      </x:c>
      <x:c r="P43" s="24" t="n">
        <x:f>I43*K43</x:f>
        <x:v>87150</x:v>
      </x:c>
      <x:c r="Q43" s="24" t="n">
        <x:f>I43*L43</x:f>
        <x:v>52290</x:v>
      </x:c>
      <x:c r="R43" s="24" t="n">
        <x:f>I43*M43</x:f>
        <x:v>87150</x:v>
      </x:c>
      <x:c r="S43" s="24" t="n">
        <x:f>I43*N43</x:f>
        <x:v>0</x:v>
      </x:c>
      <x:c r="T43" s="34" t="n">
        <x:f>(O43*'01 Assumptions'!$D$28+P43*'01 Assumptions'!$D$29+Q43*'01 Assumptions'!$D$30+R43*'01 Assumptions'!$D$31+S43*'01 Assumptions'!$D$32)/1000000000</x:f>
        <x:v>34.59855</x:v>
      </x:c>
      <x:c r="U43" s="14" t="str">
        <x:v>Pass 58 canonical addition</x:v>
      </x:c>
      <x:c r="V43" s="24" t="str">
        <x:f>IF(ABS(SUM(J43:N43)-1)&lt;0.000001,"PASS","FAIL")</x:f>
        <x:v>PASS</x:v>
      </x:c>
    </x:row>
    <x:row r="44" ht="32" customHeight="1">
      <x:c r="C44" s="15" t="str">
        <x:f>'02 Formation Inputs'!C44</x:f>
        <x:v>H-THC</x:v>
      </x:c>
      <x:c r="D44" s="15" t="str">
        <x:f>'02 Formation Inputs'!D44</x:f>
        <x:v>Health Protection</x:v>
      </x:c>
      <x:c r="E44" s="24" t="str">
        <x:f>'02 Formation Inputs'!E44</x:f>
        <x:v>Theater hospital command</x:v>
      </x:c>
      <x:c r="F44" s="24" t="n">
        <x:f>'04 Inventory'!J44</x:f>
        <x:v>52</x:v>
      </x:c>
      <x:c r="G44" s="24" t="n">
        <x:f>'02 Formation Inputs'!I44</x:f>
        <x:v>900</x:v>
      </x:c>
      <x:c r="H44" s="24" t="n">
        <x:f>'02 Formation Inputs'!J44</x:f>
        <x:v>3.4</x:v>
      </x:c>
      <x:c r="I44" s="24" t="n">
        <x:f>F44*G44*H44</x:f>
        <x:v>159120</x:v>
      </x:c>
      <x:c r="J44" s="25" t="n">
        <x:v>0.35</x:v>
      </x:c>
      <x:c r="K44" s="25" t="n">
        <x:v>0.35</x:v>
      </x:c>
      <x:c r="L44" s="25" t="n">
        <x:v>0.15</x:v>
      </x:c>
      <x:c r="M44" s="25" t="n">
        <x:v>0.15</x:v>
      </x:c>
      <x:c r="N44" s="25" t="n">
        <x:v>0</x:v>
      </x:c>
      <x:c r="O44" s="24" t="n">
        <x:f>I44*J44</x:f>
        <x:v>55692</x:v>
      </x:c>
      <x:c r="P44" s="24" t="n">
        <x:f>I44*K44</x:f>
        <x:v>55692</x:v>
      </x:c>
      <x:c r="Q44" s="24" t="n">
        <x:f>I44*L44</x:f>
        <x:v>23868</x:v>
      </x:c>
      <x:c r="R44" s="24" t="n">
        <x:f>I44*M44</x:f>
        <x:v>23868</x:v>
      </x:c>
      <x:c r="S44" s="24" t="n">
        <x:f>I44*N44</x:f>
        <x:v>0</x:v>
      </x:c>
      <x:c r="T44" s="34" t="n">
        <x:f>(O44*'01 Assumptions'!$D$28+P44*'01 Assumptions'!$D$29+Q44*'01 Assumptions'!$D$30+R44*'01 Assumptions'!$D$31+S44*'01 Assumptions'!$D$32)/1000000000</x:f>
        <x:v>15.15618</x:v>
      </x:c>
      <x:c r="U44" s="14" t="str">
        <x:v>Pass 58 canonical addition</x:v>
      </x:c>
      <x:c r="V44" s="24" t="str">
        <x:f>IF(ABS(SUM(J44:N44)-1)&lt;0.000001,"PASS","FAIL")</x:f>
        <x:v>PASS</x:v>
      </x:c>
    </x:row>
    <x:row r="45" ht="32" customHeight="1">
      <x:c r="C45" s="15" t="str">
        <x:f>'02 Formation Inputs'!C45</x:f>
        <x:v>H-PMG</x:v>
      </x:c>
      <x:c r="D45" s="15" t="str">
        <x:f>'02 Formation Inputs'!D45</x:f>
        <x:v>Health Protection</x:v>
      </x:c>
      <x:c r="E45" s="24" t="str">
        <x:f>'02 Formation Inputs'!E45</x:f>
        <x:v>Patient movement group</x:v>
      </x:c>
      <x:c r="F45" s="24" t="n">
        <x:f>'04 Inventory'!J45</x:f>
        <x:v>91</x:v>
      </x:c>
      <x:c r="G45" s="24" t="n">
        <x:f>'02 Formation Inputs'!I45</x:f>
        <x:v>450</x:v>
      </x:c>
      <x:c r="H45" s="24" t="n">
        <x:f>'02 Formation Inputs'!J45</x:f>
        <x:v>3.4</x:v>
      </x:c>
      <x:c r="I45" s="24" t="n">
        <x:f>F45*G45*H45</x:f>
        <x:v>139230</x:v>
      </x:c>
      <x:c r="J45" s="25" t="n">
        <x:v>0.35</x:v>
      </x:c>
      <x:c r="K45" s="25" t="n">
        <x:v>0.35</x:v>
      </x:c>
      <x:c r="L45" s="25" t="n">
        <x:v>0.15</x:v>
      </x:c>
      <x:c r="M45" s="25" t="n">
        <x:v>0.15</x:v>
      </x:c>
      <x:c r="N45" s="25" t="n">
        <x:v>0</x:v>
      </x:c>
      <x:c r="O45" s="24" t="n">
        <x:f>I45*J45</x:f>
        <x:v>48730.5</x:v>
      </x:c>
      <x:c r="P45" s="24" t="n">
        <x:f>I45*K45</x:f>
        <x:v>48730.5</x:v>
      </x:c>
      <x:c r="Q45" s="24" t="n">
        <x:f>I45*L45</x:f>
        <x:v>20884.5</x:v>
      </x:c>
      <x:c r="R45" s="24" t="n">
        <x:f>I45*M45</x:f>
        <x:v>20884.5</x:v>
      </x:c>
      <x:c r="S45" s="24" t="n">
        <x:f>I45*N45</x:f>
        <x:v>0</x:v>
      </x:c>
      <x:c r="T45" s="34" t="n">
        <x:f>(O45*'01 Assumptions'!$D$28+P45*'01 Assumptions'!$D$29+Q45*'01 Assumptions'!$D$30+R45*'01 Assumptions'!$D$31+S45*'01 Assumptions'!$D$32)/1000000000</x:f>
        <x:v>13.2616575</x:v>
      </x:c>
      <x:c r="U45" s="14" t="str">
        <x:v>Pass 58 canonical addition</x:v>
      </x:c>
      <x:c r="V45" s="24" t="str">
        <x:f>IF(ABS(SUM(J45:N45)-1)&lt;0.000001,"PASS","FAIL")</x:f>
        <x:v>PASS</x:v>
      </x:c>
    </x:row>
    <x:row r="46" ht="32" customHeight="1">
      <x:c r="C46" s="15" t="str">
        <x:f>'02 Formation Inputs'!C46</x:f>
        <x:v>C-ERG</x:v>
      </x:c>
      <x:c r="D46" s="15" t="str">
        <x:f>'02 Formation Inputs'!D46</x:f>
        <x:v>Community Stabilization</x:v>
      </x:c>
      <x:c r="E46" s="24" t="str">
        <x:f>'02 Formation Inputs'!E46</x:f>
        <x:v>Economic restart group</x:v>
      </x:c>
      <x:c r="F46" s="24" t="n">
        <x:f>'04 Inventory'!J46</x:f>
        <x:v>88</x:v>
      </x:c>
      <x:c r="G46" s="24" t="n">
        <x:f>'02 Formation Inputs'!I46</x:f>
        <x:v>350</x:v>
      </x:c>
      <x:c r="H46" s="24" t="n">
        <x:f>'02 Formation Inputs'!J46</x:f>
        <x:v>2.5</x:v>
      </x:c>
      <x:c r="I46" s="24" t="n">
        <x:f>F46*G46*H46</x:f>
        <x:v>77000</x:v>
      </x:c>
      <x:c r="J46" s="25" t="n">
        <x:v>0.2</x:v>
      </x:c>
      <x:c r="K46" s="25" t="n">
        <x:v>0.25</x:v>
      </x:c>
      <x:c r="L46" s="25" t="n">
        <x:v>0.35</x:v>
      </x:c>
      <x:c r="M46" s="25" t="n">
        <x:v>0.2</x:v>
      </x:c>
      <x:c r="N46" s="25" t="n">
        <x:v>0</x:v>
      </x:c>
      <x:c r="O46" s="24" t="n">
        <x:f>I46*J46</x:f>
        <x:v>15400</x:v>
      </x:c>
      <x:c r="P46" s="24" t="n">
        <x:f>I46*K46</x:f>
        <x:v>19250</x:v>
      </x:c>
      <x:c r="Q46" s="24" t="n">
        <x:f>I46*L46</x:f>
        <x:v>26950</x:v>
      </x:c>
      <x:c r="R46" s="24" t="n">
        <x:f>I46*M46</x:f>
        <x:v>15400</x:v>
      </x:c>
      <x:c r="S46" s="24" t="n">
        <x:f>I46*N46</x:f>
        <x:v>0</x:v>
      </x:c>
      <x:c r="T46" s="34" t="n">
        <x:f>(O46*'01 Assumptions'!$D$28+P46*'01 Assumptions'!$D$29+Q46*'01 Assumptions'!$D$30+R46*'01 Assumptions'!$D$31+S46*'01 Assumptions'!$D$32)/1000000000</x:f>
        <x:v>6.29475</x:v>
      </x:c>
      <x:c r="U46" s="14" t="str">
        <x:v>Pass 58 canonical addition</x:v>
      </x:c>
      <x:c r="V46" s="24" t="str">
        <x:f>IF(ABS(SUM(J46:N46)-1)&lt;0.000001,"PASS","FAIL")</x:f>
        <x:v>PASS</x:v>
      </x:c>
    </x:row>
    <x:row r="47" ht="32" customHeight="1">
      <x:c r="C47" s="15" t="str">
        <x:f>'02 Formation Inputs'!C47</x:f>
        <x:v>CM-HCG</x:v>
      </x:c>
      <x:c r="D47" s="15" t="str">
        <x:f>'02 Formation Inputs'!D47</x:f>
        <x:v>Civil Mobility and Continuity</x:v>
      </x:c>
      <x:c r="E47" s="24" t="str">
        <x:f>'02 Formation Inputs'!E47</x:f>
        <x:v>Household collection group</x:v>
      </x:c>
      <x:c r="F47" s="24" t="n">
        <x:f>'04 Inventory'!J47</x:f>
        <x:v>128</x:v>
      </x:c>
      <x:c r="G47" s="24" t="n">
        <x:f>'02 Formation Inputs'!I47</x:f>
        <x:v>5587</x:v>
      </x:c>
      <x:c r="H47" s="24" t="n">
        <x:f>'02 Formation Inputs'!J47</x:f>
        <x:v>3.4</x:v>
      </x:c>
      <x:c r="I47" s="24" t="n">
        <x:f>F47*G47*H47</x:f>
        <x:v>2431462.4</x:v>
      </x:c>
      <x:c r="J47" s="25" t="n">
        <x:v>0.25</x:v>
      </x:c>
      <x:c r="K47" s="25" t="n">
        <x:v>0.25</x:v>
      </x:c>
      <x:c r="L47" s="25" t="n">
        <x:v>0.3</x:v>
      </x:c>
      <x:c r="M47" s="25" t="n">
        <x:v>0.2</x:v>
      </x:c>
      <x:c r="N47" s="25" t="n">
        <x:v>0</x:v>
      </x:c>
      <x:c r="O47" s="24" t="n">
        <x:f>I47*J47</x:f>
        <x:v>607865.6</x:v>
      </x:c>
      <x:c r="P47" s="24" t="n">
        <x:f>I47*K47</x:f>
        <x:v>607865.6</x:v>
      </x:c>
      <x:c r="Q47" s="24" t="n">
        <x:f>I47*L47</x:f>
        <x:v>729438.72</x:v>
      </x:c>
      <x:c r="R47" s="24" t="n">
        <x:f>I47*M47</x:f>
        <x:v>486292.48</x:v>
      </x:c>
      <x:c r="S47" s="24" t="n">
        <x:f>I47*N47</x:f>
        <x:v>0</x:v>
      </x:c>
      <x:c r="T47" s="34" t="n">
        <x:f>(O47*'01 Assumptions'!$D$28+P47*'01 Assumptions'!$D$29+Q47*'01 Assumptions'!$D$30+R47*'01 Assumptions'!$D$31+S47*'01 Assumptions'!$D$32)/1000000000</x:f>
        <x:v>211.5372288</x:v>
      </x:c>
      <x:c r="U47" s="14" t="str">
        <x:v>Pass 58 canonical addition</x:v>
      </x:c>
      <x:c r="V47" s="24" t="str">
        <x:f>IF(ABS(SUM(J47:N47)-1)&lt;0.000001,"PASS","FAIL")</x:f>
        <x:v>PASS</x:v>
      </x:c>
    </x:row>
    <x:row r="48" ht="32" customHeight="1">
      <x:c r="C48" s="15" t="str">
        <x:f>'02 Formation Inputs'!C48</x:f>
        <x:v>CM-CTN</x:v>
      </x:c>
      <x:c r="D48" s="15" t="str">
        <x:f>'02 Formation Inputs'!D48</x:f>
        <x:v>Civil Mobility and Continuity</x:v>
      </x:c>
      <x:c r="E48" s="24" t="str">
        <x:f>'02 Formation Inputs'!E48</x:f>
        <x:v>Continuity transfer-node group</x:v>
      </x:c>
      <x:c r="F48" s="24" t="n">
        <x:f>'04 Inventory'!J48</x:f>
        <x:v>100</x:v>
      </x:c>
      <x:c r="G48" s="24" t="n">
        <x:f>'02 Formation Inputs'!I48</x:f>
        <x:v>1800</x:v>
      </x:c>
      <x:c r="H48" s="24" t="n">
        <x:f>'02 Formation Inputs'!J48</x:f>
        <x:v>3</x:v>
      </x:c>
      <x:c r="I48" s="24" t="n">
        <x:f>F48*G48*H48</x:f>
        <x:v>540000</x:v>
      </x:c>
      <x:c r="J48" s="25" t="n">
        <x:v>0.25</x:v>
      </x:c>
      <x:c r="K48" s="25" t="n">
        <x:v>0.25</x:v>
      </x:c>
      <x:c r="L48" s="25" t="n">
        <x:v>0.3</x:v>
      </x:c>
      <x:c r="M48" s="25" t="n">
        <x:v>0.2</x:v>
      </x:c>
      <x:c r="N48" s="25" t="n">
        <x:v>0</x:v>
      </x:c>
      <x:c r="O48" s="24" t="n">
        <x:f>I48*J48</x:f>
        <x:v>135000</x:v>
      </x:c>
      <x:c r="P48" s="24" t="n">
        <x:f>I48*K48</x:f>
        <x:v>135000</x:v>
      </x:c>
      <x:c r="Q48" s="24" t="n">
        <x:f>I48*L48</x:f>
        <x:v>162000</x:v>
      </x:c>
      <x:c r="R48" s="24" t="n">
        <x:f>I48*M48</x:f>
        <x:v>108000</x:v>
      </x:c>
      <x:c r="S48" s="24" t="n">
        <x:f>I48*N48</x:f>
        <x:v>0</x:v>
      </x:c>
      <x:c r="T48" s="34" t="n">
        <x:f>(O48*'01 Assumptions'!$D$28+P48*'01 Assumptions'!$D$29+Q48*'01 Assumptions'!$D$30+R48*'01 Assumptions'!$D$31+S48*'01 Assumptions'!$D$32)/1000000000</x:f>
        <x:v>46.98</x:v>
      </x:c>
      <x:c r="U48" s="14" t="str">
        <x:v>Pass 58 canonical addition</x:v>
      </x:c>
      <x:c r="V48" s="24" t="str">
        <x:f>IF(ABS(SUM(J48:N48)-1)&lt;0.000001,"PASS","FAIL")</x:f>
        <x:v>PASS</x:v>
      </x:c>
    </x:row>
    <x:row r="49" ht="32" customHeight="1">
      <x:c r="C49" s="15" t="str">
        <x:f>'02 Formation Inputs'!C49</x:f>
        <x:v>CM-RMG</x:v>
      </x:c>
      <x:c r="D49" s="15" t="str">
        <x:f>'02 Formation Inputs'!D49</x:f>
        <x:v>Civil Mobility and Continuity</x:v>
      </x:c>
      <x:c r="E49" s="24" t="str">
        <x:f>'02 Formation Inputs'!E49</x:f>
        <x:v>Civil road-mobility group</x:v>
      </x:c>
      <x:c r="F49" s="24" t="n">
        <x:f>'04 Inventory'!J49</x:f>
        <x:v>159</x:v>
      </x:c>
      <x:c r="G49" s="24" t="n">
        <x:f>'02 Formation Inputs'!I49</x:f>
        <x:v>650</x:v>
      </x:c>
      <x:c r="H49" s="24" t="n">
        <x:f>'02 Formation Inputs'!J49</x:f>
        <x:v>3</x:v>
      </x:c>
      <x:c r="I49" s="24" t="n">
        <x:f>F49*G49*H49</x:f>
        <x:v>310050</x:v>
      </x:c>
      <x:c r="J49" s="25" t="n">
        <x:v>0.25</x:v>
      </x:c>
      <x:c r="K49" s="25" t="n">
        <x:v>0.25</x:v>
      </x:c>
      <x:c r="L49" s="25" t="n">
        <x:v>0.3</x:v>
      </x:c>
      <x:c r="M49" s="25" t="n">
        <x:v>0.2</x:v>
      </x:c>
      <x:c r="N49" s="25" t="n">
        <x:v>0</x:v>
      </x:c>
      <x:c r="O49" s="24" t="n">
        <x:f>I49*J49</x:f>
        <x:v>77512.5</x:v>
      </x:c>
      <x:c r="P49" s="24" t="n">
        <x:f>I49*K49</x:f>
        <x:v>77512.5</x:v>
      </x:c>
      <x:c r="Q49" s="24" t="n">
        <x:f>I49*L49</x:f>
        <x:v>93015</x:v>
      </x:c>
      <x:c r="R49" s="24" t="n">
        <x:f>I49*M49</x:f>
        <x:v>62010</x:v>
      </x:c>
      <x:c r="S49" s="24" t="n">
        <x:f>I49*N49</x:f>
        <x:v>0</x:v>
      </x:c>
      <x:c r="T49" s="34" t="n">
        <x:f>(O49*'01 Assumptions'!$D$28+P49*'01 Assumptions'!$D$29+Q49*'01 Assumptions'!$D$30+R49*'01 Assumptions'!$D$31+S49*'01 Assumptions'!$D$32)/1000000000</x:f>
        <x:v>26.97435</x:v>
      </x:c>
      <x:c r="U49" s="14" t="str">
        <x:v>Pass 58 canonical addition</x:v>
      </x:c>
      <x:c r="V49" s="24" t="str">
        <x:f>IF(ABS(SUM(J49:N49)-1)&lt;0.000001,"PASS","FAIL")</x:f>
        <x:v>PASS</x:v>
      </x:c>
    </x:row>
    <x:row r="50" ht="32" customHeight="1">
      <x:c r="C50" s="15" t="str">
        <x:f>'02 Formation Inputs'!C50</x:f>
        <x:v>CM-RLG</x:v>
      </x:c>
      <x:c r="D50" s="15" t="str">
        <x:f>'02 Formation Inputs'!D50</x:f>
        <x:v>Civil Mobility and Continuity</x:v>
      </x:c>
      <x:c r="E50" s="24" t="str">
        <x:f>'02 Formation Inputs'!E50</x:f>
        <x:v>Civil rail-mobility group</x:v>
      </x:c>
      <x:c r="F50" s="24" t="n">
        <x:f>'04 Inventory'!J50</x:f>
        <x:v>60</x:v>
      </x:c>
      <x:c r="G50" s="24" t="n">
        <x:f>'02 Formation Inputs'!I50</x:f>
        <x:v>400</x:v>
      </x:c>
      <x:c r="H50" s="24" t="n">
        <x:f>'02 Formation Inputs'!J50</x:f>
        <x:v>3</x:v>
      </x:c>
      <x:c r="I50" s="24" t="n">
        <x:f>F50*G50*H50</x:f>
        <x:v>72000</x:v>
      </x:c>
      <x:c r="J50" s="25" t="n">
        <x:v>0.25</x:v>
      </x:c>
      <x:c r="K50" s="25" t="n">
        <x:v>0.25</x:v>
      </x:c>
      <x:c r="L50" s="25" t="n">
        <x:v>0.3</x:v>
      </x:c>
      <x:c r="M50" s="25" t="n">
        <x:v>0.2</x:v>
      </x:c>
      <x:c r="N50" s="25" t="n">
        <x:v>0</x:v>
      </x:c>
      <x:c r="O50" s="24" t="n">
        <x:f>I50*J50</x:f>
        <x:v>18000</x:v>
      </x:c>
      <x:c r="P50" s="24" t="n">
        <x:f>I50*K50</x:f>
        <x:v>18000</x:v>
      </x:c>
      <x:c r="Q50" s="24" t="n">
        <x:f>I50*L50</x:f>
        <x:v>21600</x:v>
      </x:c>
      <x:c r="R50" s="24" t="n">
        <x:f>I50*M50</x:f>
        <x:v>14400</x:v>
      </x:c>
      <x:c r="S50" s="24" t="n">
        <x:f>I50*N50</x:f>
        <x:v>0</x:v>
      </x:c>
      <x:c r="T50" s="34" t="n">
        <x:f>(O50*'01 Assumptions'!$D$28+P50*'01 Assumptions'!$D$29+Q50*'01 Assumptions'!$D$30+R50*'01 Assumptions'!$D$31+S50*'01 Assumptions'!$D$32)/1000000000</x:f>
        <x:v>6.264</x:v>
      </x:c>
      <x:c r="U50" s="14" t="str">
        <x:v>Pass 58 canonical addition</x:v>
      </x:c>
      <x:c r="V50" s="24" t="str">
        <x:f>IF(ABS(SUM(J50:N50)-1)&lt;0.000001,"PASS","FAIL")</x:f>
        <x:v>PASS</x:v>
      </x:c>
    </x:row>
    <x:row r="51" ht="32" customHeight="1">
      <x:c r="C51" s="15" t="str">
        <x:f>'02 Formation Inputs'!C51</x:f>
        <x:v>CM-AMG</x:v>
      </x:c>
      <x:c r="D51" s="15" t="str">
        <x:f>'02 Formation Inputs'!D51</x:f>
        <x:v>Civil Mobility and Continuity</x:v>
      </x:c>
      <x:c r="E51" s="24" t="str">
        <x:f>'02 Formation Inputs'!E51</x:f>
        <x:v>Civil air-mobility group</x:v>
      </x:c>
      <x:c r="F51" s="24" t="n">
        <x:f>'04 Inventory'!J51</x:f>
        <x:v>58</x:v>
      </x:c>
      <x:c r="G51" s="24" t="n">
        <x:f>'02 Formation Inputs'!I51</x:f>
        <x:v>400</x:v>
      </x:c>
      <x:c r="H51" s="24" t="n">
        <x:f>'02 Formation Inputs'!J51</x:f>
        <x:v>3</x:v>
      </x:c>
      <x:c r="I51" s="24" t="n">
        <x:f>F51*G51*H51</x:f>
        <x:v>69600</x:v>
      </x:c>
      <x:c r="J51" s="25" t="n">
        <x:v>0.25</x:v>
      </x:c>
      <x:c r="K51" s="25" t="n">
        <x:v>0.25</x:v>
      </x:c>
      <x:c r="L51" s="25" t="n">
        <x:v>0.3</x:v>
      </x:c>
      <x:c r="M51" s="25" t="n">
        <x:v>0.2</x:v>
      </x:c>
      <x:c r="N51" s="25" t="n">
        <x:v>0</x:v>
      </x:c>
      <x:c r="O51" s="24" t="n">
        <x:f>I51*J51</x:f>
        <x:v>17400</x:v>
      </x:c>
      <x:c r="P51" s="24" t="n">
        <x:f>I51*K51</x:f>
        <x:v>17400</x:v>
      </x:c>
      <x:c r="Q51" s="24" t="n">
        <x:f>I51*L51</x:f>
        <x:v>20880</x:v>
      </x:c>
      <x:c r="R51" s="24" t="n">
        <x:f>I51*M51</x:f>
        <x:v>13920</x:v>
      </x:c>
      <x:c r="S51" s="24" t="n">
        <x:f>I51*N51</x:f>
        <x:v>0</x:v>
      </x:c>
      <x:c r="T51" s="34" t="n">
        <x:f>(O51*'01 Assumptions'!$D$28+P51*'01 Assumptions'!$D$29+Q51*'01 Assumptions'!$D$30+R51*'01 Assumptions'!$D$31+S51*'01 Assumptions'!$D$32)/1000000000</x:f>
        <x:v>6.0552</x:v>
      </x:c>
      <x:c r="U51" s="14" t="str">
        <x:v>Pass 58 canonical addition</x:v>
      </x:c>
      <x:c r="V51" s="24" t="str">
        <x:f>IF(ABS(SUM(J51:N51)-1)&lt;0.000001,"PASS","FAIL")</x:f>
        <x:v>PASS</x:v>
      </x:c>
    </x:row>
    <x:row r="52" ht="32" customHeight="1">
      <x:c r="C52" s="15" t="str">
        <x:f>'02 Formation Inputs'!C52</x:f>
        <x:v>CM-WMG</x:v>
      </x:c>
      <x:c r="D52" s="15" t="str">
        <x:f>'02 Formation Inputs'!D52</x:f>
        <x:v>Civil Mobility and Continuity</x:v>
      </x:c>
      <x:c r="E52" s="24" t="str">
        <x:f>'02 Formation Inputs'!E52</x:f>
        <x:v>Civil water-mobility group</x:v>
      </x:c>
      <x:c r="F52" s="24" t="n">
        <x:f>'04 Inventory'!J52</x:f>
        <x:v>60</x:v>
      </x:c>
      <x:c r="G52" s="24" t="n">
        <x:f>'02 Formation Inputs'!I52</x:f>
        <x:v>400</x:v>
      </x:c>
      <x:c r="H52" s="24" t="n">
        <x:f>'02 Formation Inputs'!J52</x:f>
        <x:v>3</x:v>
      </x:c>
      <x:c r="I52" s="24" t="n">
        <x:f>F52*G52*H52</x:f>
        <x:v>72000</x:v>
      </x:c>
      <x:c r="J52" s="25" t="n">
        <x:v>0.25</x:v>
      </x:c>
      <x:c r="K52" s="25" t="n">
        <x:v>0.25</x:v>
      </x:c>
      <x:c r="L52" s="25" t="n">
        <x:v>0.3</x:v>
      </x:c>
      <x:c r="M52" s="25" t="n">
        <x:v>0.2</x:v>
      </x:c>
      <x:c r="N52" s="25" t="n">
        <x:v>0</x:v>
      </x:c>
      <x:c r="O52" s="24" t="n">
        <x:f>I52*J52</x:f>
        <x:v>18000</x:v>
      </x:c>
      <x:c r="P52" s="24" t="n">
        <x:f>I52*K52</x:f>
        <x:v>18000</x:v>
      </x:c>
      <x:c r="Q52" s="24" t="n">
        <x:f>I52*L52</x:f>
        <x:v>21600</x:v>
      </x:c>
      <x:c r="R52" s="24" t="n">
        <x:f>I52*M52</x:f>
        <x:v>14400</x:v>
      </x:c>
      <x:c r="S52" s="24" t="n">
        <x:f>I52*N52</x:f>
        <x:v>0</x:v>
      </x:c>
      <x:c r="T52" s="34" t="n">
        <x:f>(O52*'01 Assumptions'!$D$28+P52*'01 Assumptions'!$D$29+Q52*'01 Assumptions'!$D$30+R52*'01 Assumptions'!$D$31+S52*'01 Assumptions'!$D$32)/1000000000</x:f>
        <x:v>6.264</x:v>
      </x:c>
      <x:c r="U52" s="14" t="str">
        <x:v>Pass 58 canonical addition</x:v>
      </x:c>
      <x:c r="V52" s="24" t="str">
        <x:f>IF(ABS(SUM(J52:N52)-1)&lt;0.000001,"PASS","FAIL")</x:f>
        <x:v>PASS</x:v>
      </x:c>
    </x:row>
    <x:row r="53" ht="32" customHeight="1">
      <x:c r="C53" s="15" t="str">
        <x:f>'02 Formation Inputs'!C53</x:f>
        <x:v>CM-RDC</x:v>
      </x:c>
      <x:c r="D53" s="15" t="str">
        <x:f>'02 Formation Inputs'!D53</x:f>
        <x:v>Civil Mobility and Continuity</x:v>
      </x:c>
      <x:c r="E53" s="24" t="str">
        <x:f>'02 Formation Inputs'!E53</x:f>
        <x:v>Return and durable-continuity group</x:v>
      </x:c>
      <x:c r="F53" s="24" t="n">
        <x:f>'04 Inventory'!J53</x:f>
        <x:v>93</x:v>
      </x:c>
      <x:c r="G53" s="24" t="n">
        <x:f>'02 Formation Inputs'!I53</x:f>
        <x:v>400</x:v>
      </x:c>
      <x:c r="H53" s="24" t="n">
        <x:f>'02 Formation Inputs'!J53</x:f>
        <x:v>2.5</x:v>
      </x:c>
      <x:c r="I53" s="24" t="n">
        <x:f>F53*G53*H53</x:f>
        <x:v>93000</x:v>
      </x:c>
      <x:c r="J53" s="25" t="n">
        <x:v>0.25</x:v>
      </x:c>
      <x:c r="K53" s="25" t="n">
        <x:v>0.25</x:v>
      </x:c>
      <x:c r="L53" s="25" t="n">
        <x:v>0.3</x:v>
      </x:c>
      <x:c r="M53" s="25" t="n">
        <x:v>0.2</x:v>
      </x:c>
      <x:c r="N53" s="25" t="n">
        <x:v>0</x:v>
      </x:c>
      <x:c r="O53" s="24" t="n">
        <x:f>I53*J53</x:f>
        <x:v>23250</x:v>
      </x:c>
      <x:c r="P53" s="24" t="n">
        <x:f>I53*K53</x:f>
        <x:v>23250</x:v>
      </x:c>
      <x:c r="Q53" s="24" t="n">
        <x:f>I53*L53</x:f>
        <x:v>27900</x:v>
      </x:c>
      <x:c r="R53" s="24" t="n">
        <x:f>I53*M53</x:f>
        <x:v>18600</x:v>
      </x:c>
      <x:c r="S53" s="24" t="n">
        <x:f>I53*N53</x:f>
        <x:v>0</x:v>
      </x:c>
      <x:c r="T53" s="34" t="n">
        <x:f>(O53*'01 Assumptions'!$D$28+P53*'01 Assumptions'!$D$29+Q53*'01 Assumptions'!$D$30+R53*'01 Assumptions'!$D$31+S53*'01 Assumptions'!$D$32)/1000000000</x:f>
        <x:v>8.091</x:v>
      </x:c>
      <x:c r="U53" s="14" t="str">
        <x:v>Pass 58 canonical addition</x:v>
      </x:c>
      <x:c r="V53" s="24" t="str">
        <x:f>IF(ABS(SUM(J53:N53)-1)&lt;0.000001,"PASS","FAIL")</x:f>
        <x:v>PASS</x:v>
      </x:c>
    </x:row>
    <x:row r="57">
      <x:c r="C57" s="9" t="str">
        <x:v>Workforce reconciliation</x:v>
      </x:c>
      <x:c r="D57" s="9" t="str">
        <x:v>Billet-equivalents</x:v>
      </x:c>
      <x:c r="E57" s="9" t="str">
        <x:v>Annual personnel $B</x:v>
      </x:c>
      <x:c r="F57" s="9" t="str">
        <x:v>Boundary</x:v>
      </x:c>
    </x:row>
    <x:row r="58">
      <x:c r="C58" s="11" t="str">
        <x:v>Retained formation direct</x:v>
      </x:c>
      <x:c r="D58" s="33" t="n">
        <x:f>SUM(I6:I38)</x:f>
        <x:v>3345320</x:v>
      </x:c>
      <x:c r="E58" s="33" t="n">
        <x:f>SUM(T6:T38)</x:f>
        <x:v>348.2780175</x:v>
      </x:c>
      <x:c r="F58" s="11" t="str">
        <x:v>33 canonical predecessor lines</x:v>
      </x:c>
    </x:row>
    <x:row r="59">
      <x:c r="C59" s="11" t="str">
        <x:v>New family direct</x:v>
      </x:c>
      <x:c r="D59" s="33" t="n">
        <x:f>SUM(I39:I53)</x:f>
        <x:v>5838642.4</x:v>
      </x:c>
      <x:c r="E59" s="33" t="n">
        <x:f>SUM(T39:T53)</x:f>
        <x:v>538.8031263</x:v>
      </x:c>
      <x:c r="F59" s="11" t="str">
        <x:v>15 added families after shared-crew credits</x:v>
      </x:c>
    </x:row>
    <x:row r="60">
      <x:c r="C60" s="11" t="str">
        <x:v>NUPS common enterprise</x:v>
      </x:c>
      <x:c r="D60" s="33" t="n">
        <x:f>'01 Assumptions'!D27</x:f>
        <x:v>198197.55</x:v>
      </x:c>
      <x:c r="E60" s="33" t="n">
        <x:f>0</x:f>
        <x:v>0</x:v>
      </x:c>
      <x:c r="F60" s="11" t="str">
        <x:v>Held once; not repeated inside three utility children</x:v>
      </x:c>
    </x:row>
    <x:row r="61">
      <x:c r="C61" s="11" t="str">
        <x:v>Institutional depth</x:v>
      </x:c>
      <x:c r="D61" s="33" t="n">
        <x:f>SUM(I6:I53)*'01 Assumptions'!D8</x:f>
        <x:v>1102075.488</x:v>
      </x:c>
      <x:c r="E61" s="33" t="n">
        <x:f>D61*'01 Assumptions'!D28/1000000000</x:f>
        <x:v>176.33207807999997</x:v>
      </x:c>
      <x:c r="F61" s="11" t="str">
        <x:v>12% of formation-direct billets; held in permanent component</x:v>
      </x:c>
    </x:row>
    <x:row r="62">
      <x:c r="C62" s="11" t="str">
        <x:v>Canonical establishment</x:v>
      </x:c>
      <x:c r="D62" s="33" t="n">
        <x:f>SUM(D58:D61)</x:f>
        <x:v>10484235.438000001</x:v>
      </x:c>
      <x:c r="E62" s="33" t="n">
        <x:f>SUM(E58:E61)</x:f>
        <x:v>1063.41322188</x:v>
      </x:c>
      <x:c r="F62" s="11" t="str">
        <x:v>Affiliated billet-equivalents, not employee headcount</x:v>
      </x:c>
    </x:row>
    <x:row r="63">
      <x:c r="C63" s="11" t="str">
        <x:v>Pass 23 predecessor</x:v>
      </x:c>
      <x:c r="D63" s="33" t="n">
        <x:f>'01 Assumptions'!D26</x:f>
        <x:v>3944955.95</x:v>
      </x:c>
      <x:c r="E63" s="33" t="n">
        <x:f>0</x:f>
        <x:v>0</x:v>
      </x:c>
      <x:c r="F63" s="11" t="str">
        <x:v>Published Pass 23 headline</x:v>
      </x:c>
    </x:row>
  </x:sheetData>
  <x:conditionalFormatting sqref="V6:V53">
    <x:cfRule type="containsText" dxfId="2" priority="1" operator="containsText" text="FAIL"/>
    <x:cfRule type="containsText" dxfId="3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f7663a13cdfa4c2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6" hidden="0" customWidth="1"/>
    <x:col min="4" max="4" width="25" hidden="0" customWidth="1"/>
    <x:col min="5" max="5" width="31" hidden="0" customWidth="1"/>
    <x:col min="6" max="6" width="11" hidden="0" customWidth="1"/>
    <x:col min="7" max="7" width="15" hidden="0" customWidth="1"/>
    <x:col min="8" max="8" width="18" hidden="0" customWidth="1"/>
    <x:col min="9" max="9" width="19" hidden="0" customWidth="1"/>
    <x:col min="10" max="10" width="15" hidden="0" customWidth="1"/>
    <x:col min="11" max="11" width="15" hidden="0" customWidth="1"/>
    <x:col min="12" max="12" width="52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Canonical Capital Work Breakdown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C3" s="3" t="str">
        <x:v>Gross formation capital, shared-system credit, and net addition remain visible. Common capacity is carried once below the formation ledger.</x:v>
      </x:c>
      <x:c r="D3" s="3"/>
      <x:c r="E3" s="3"/>
      <x:c r="F3" s="3"/>
      <x:c r="G3" s="3"/>
      <x:c r="H3" s="3"/>
      <x:c r="I3" s="3"/>
      <x:c r="J3" s="3"/>
      <x:c r="K3" s="3"/>
      <x:c r="L3" s="3"/>
    </x:row>
    <x:row r="5">
      <x:c r="C5" s="9" t="str">
        <x:v>ID / line</x:v>
      </x:c>
      <x:c r="D5" s="9" t="str">
        <x:v>Category</x:v>
      </x:c>
      <x:c r="E5" s="9" t="str">
        <x:v>Formation / common system</x:v>
      </x:c>
      <x:c r="F5" s="9" t="str">
        <x:v>Inventory</x:v>
      </x:c>
      <x:c r="G5" s="9" t="str">
        <x:v>Gross $B</x:v>
      </x:c>
      <x:c r="H5" s="9" t="str">
        <x:v>Shared credit $B</x:v>
      </x:c>
      <x:c r="I5" s="9" t="str">
        <x:v>Net pre-reserve $B</x:v>
      </x:c>
      <x:c r="J5" s="9" t="str">
        <x:v>Reserve $B</x:v>
      </x:c>
      <x:c r="K5" s="9" t="str">
        <x:v>Total $B</x:v>
      </x:c>
      <x:c r="L5" s="9" t="str">
        <x:v>Boundary</x:v>
      </x:c>
    </x:row>
    <x:row r="6">
      <x:c r="C6" s="15" t="str">
        <x:f>'02 Formation Inputs'!C6</x:f>
        <x:v>J-CIE</x:v>
      </x:c>
      <x:c r="D6" s="15" t="str">
        <x:f>'02 Formation Inputs'!D6</x:f>
        <x:v>Joint</x:v>
      </x:c>
      <x:c r="E6" s="15" t="str">
        <x:f>'02 Formation Inputs'!E6</x:f>
        <x:v>Civil integration and effects group</x:v>
      </x:c>
      <x:c r="F6" s="15" t="n">
        <x:f>'04 Inventory'!J6</x:f>
        <x:v>53</x:v>
      </x:c>
      <x:c r="G6" s="35" t="n">
        <x:f>F6*'02 Formation Inputs'!S6</x:f>
        <x:v>13.25</x:v>
      </x:c>
      <x:c r="H6" s="35" t="n">
        <x:f>F6*'02 Formation Inputs'!T6</x:f>
        <x:v>0</x:v>
      </x:c>
      <x:c r="I6" s="35" t="n">
        <x:f>G6-H6</x:f>
        <x:v>13.25</x:v>
      </x:c>
      <x:c r="J6" s="35" t="n">
        <x:f>I6*'01 Assumptions'!$D$23</x:f>
        <x:v>2.6500000000000004</x:v>
      </x:c>
      <x:c r="K6" s="35" t="n">
        <x:f>I6+J6</x:f>
        <x:v>15.9</x:v>
      </x:c>
      <x:c r="L6" s="14" t="str">
        <x:v>Retained Pass 23 formation capital</x:v>
      </x:c>
    </x:row>
    <x:row r="7">
      <x:c r="C7" s="15" t="str">
        <x:f>'02 Formation Inputs'!C7</x:f>
        <x:v>J-TOC</x:v>
      </x:c>
      <x:c r="D7" s="15" t="str">
        <x:f>'02 Formation Inputs'!D7</x:f>
        <x:v>Joint</x:v>
      </x:c>
      <x:c r="E7" s="15" t="str">
        <x:f>'02 Formation Inputs'!E7</x:f>
        <x:v>Theater-opening command</x:v>
      </x:c>
      <x:c r="F7" s="15" t="n">
        <x:f>'04 Inventory'!J7</x:f>
        <x:v>36</x:v>
      </x:c>
      <x:c r="G7" s="35" t="n">
        <x:f>F7*'02 Formation Inputs'!S7</x:f>
        <x:v>43.199999999999996</x:v>
      </x:c>
      <x:c r="H7" s="35" t="n">
        <x:f>F7*'02 Formation Inputs'!T7</x:f>
        <x:v>0</x:v>
      </x:c>
      <x:c r="I7" s="35" t="n">
        <x:f>G7-H7</x:f>
        <x:v>43.199999999999996</x:v>
      </x:c>
      <x:c r="J7" s="35" t="n">
        <x:f>I7*'01 Assumptions'!$D$23</x:f>
        <x:v>8.639999999999999</x:v>
      </x:c>
      <x:c r="K7" s="35" t="n">
        <x:f>I7+J7</x:f>
        <x:v>51.839999999999996</x:v>
      </x:c>
      <x:c r="L7" s="14" t="str">
        <x:v>Retained Pass 23 formation capital</x:v>
      </x:c>
    </x:row>
    <x:row r="8">
      <x:c r="C8" s="15" t="str">
        <x:f>'02 Formation Inputs'!C8</x:f>
        <x:v>J-TSC</x:v>
      </x:c>
      <x:c r="D8" s="15" t="str">
        <x:f>'02 Formation Inputs'!D8</x:f>
        <x:v>Joint</x:v>
      </x:c>
      <x:c r="E8" s="15" t="str">
        <x:f>'02 Formation Inputs'!E8</x:f>
        <x:v>Theater sustainment command</x:v>
      </x:c>
      <x:c r="F8" s="15" t="n">
        <x:f>'04 Inventory'!J8</x:f>
        <x:v>51</x:v>
      </x:c>
      <x:c r="G8" s="35" t="n">
        <x:f>F8*'02 Formation Inputs'!S8</x:f>
        <x:v>76.5</x:v>
      </x:c>
      <x:c r="H8" s="35" t="n">
        <x:f>F8*'02 Formation Inputs'!T8</x:f>
        <x:v>0</x:v>
      </x:c>
      <x:c r="I8" s="35" t="n">
        <x:f>G8-H8</x:f>
        <x:v>76.5</x:v>
      </x:c>
      <x:c r="J8" s="35" t="n">
        <x:f>I8*'01 Assumptions'!$D$23</x:f>
        <x:v>15.3</x:v>
      </x:c>
      <x:c r="K8" s="35" t="n">
        <x:f>I8+J8</x:f>
        <x:v>91.8</x:v>
      </x:c>
      <x:c r="L8" s="14" t="str">
        <x:v>Retained Pass 23 formation capital</x:v>
      </x:c>
    </x:row>
    <x:row r="9">
      <x:c r="C9" s="15" t="str">
        <x:f>'02 Formation Inputs'!C9</x:f>
        <x:v>J-RRG</x:v>
      </x:c>
      <x:c r="D9" s="15" t="str">
        <x:f>'02 Formation Inputs'!D9</x:f>
        <x:v>Joint</x:v>
      </x:c>
      <x:c r="E9" s="15" t="str">
        <x:f>'02 Formation Inputs'!E9</x:f>
        <x:v>Replacement and reconstitution group</x:v>
      </x:c>
      <x:c r="F9" s="15" t="n">
        <x:f>'04 Inventory'!J9</x:f>
        <x:v>51</x:v>
      </x:c>
      <x:c r="G9" s="35" t="n">
        <x:f>F9*'02 Formation Inputs'!S9</x:f>
        <x:v>40.800000000000004</x:v>
      </x:c>
      <x:c r="H9" s="35" t="n">
        <x:f>F9*'02 Formation Inputs'!T9</x:f>
        <x:v>0</x:v>
      </x:c>
      <x:c r="I9" s="35" t="n">
        <x:f>G9-H9</x:f>
        <x:v>40.800000000000004</x:v>
      </x:c>
      <x:c r="J9" s="35" t="n">
        <x:f>I9*'01 Assumptions'!$D$23</x:f>
        <x:v>8.160000000000002</x:v>
      </x:c>
      <x:c r="K9" s="35" t="n">
        <x:f>I9+J9</x:f>
        <x:v>48.96000000000001</x:v>
      </x:c>
      <x:c r="L9" s="14" t="str">
        <x:v>Retained Pass 23 formation capital</x:v>
      </x:c>
    </x:row>
    <x:row r="10">
      <x:c r="C10" s="15" t="str">
        <x:f>'02 Formation Inputs'!C10</x:f>
        <x:v>J-TDG</x:v>
      </x:c>
      <x:c r="D10" s="15" t="str">
        <x:f>'02 Formation Inputs'!D10</x:f>
        <x:v>Joint</x:v>
      </x:c>
      <x:c r="E10" s="15" t="str">
        <x:f>'02 Formation Inputs'!E10</x:f>
        <x:v>Transfer and demobilization group</x:v>
      </x:c>
      <x:c r="F10" s="15" t="n">
        <x:f>'04 Inventory'!J10</x:f>
        <x:v>36</x:v>
      </x:c>
      <x:c r="G10" s="35" t="n">
        <x:f>F10*'02 Formation Inputs'!S10</x:f>
        <x:v>10.799999999999999</x:v>
      </x:c>
      <x:c r="H10" s="35" t="n">
        <x:f>F10*'02 Formation Inputs'!T10</x:f>
        <x:v>0</x:v>
      </x:c>
      <x:c r="I10" s="35" t="n">
        <x:f>G10-H10</x:f>
        <x:v>10.799999999999999</x:v>
      </x:c>
      <x:c r="J10" s="35" t="n">
        <x:f>I10*'01 Assumptions'!$D$23</x:f>
        <x:v>2.1599999999999997</x:v>
      </x:c>
      <x:c r="K10" s="35" t="n">
        <x:f>I10+J10</x:f>
        <x:v>12.959999999999999</x:v>
      </x:c>
      <x:c r="L10" s="14" t="str">
        <x:v>Retained Pass 23 formation capital</x:v>
      </x:c>
    </x:row>
    <x:row r="11">
      <x:c r="C11" s="15" t="str">
        <x:f>'02 Formation Inputs'!C11</x:f>
        <x:v>L-ROG</x:v>
      </x:c>
      <x:c r="D11" s="15" t="str">
        <x:f>'02 Formation Inputs'!D11</x:f>
        <x:v>Land Engineering</x:v>
      </x:c>
      <x:c r="E11" s="15" t="str">
        <x:f>'02 Formation Inputs'!E11</x:f>
        <x:v>Access and route-opening group</x:v>
      </x:c>
      <x:c r="F11" s="15" t="n">
        <x:f>'04 Inventory'!J11</x:f>
        <x:v>121</x:v>
      </x:c>
      <x:c r="G11" s="35" t="n">
        <x:f>F11*'02 Formation Inputs'!S11</x:f>
        <x:v>145.2</x:v>
      </x:c>
      <x:c r="H11" s="35" t="n">
        <x:f>F11*'02 Formation Inputs'!T11</x:f>
        <x:v>0</x:v>
      </x:c>
      <x:c r="I11" s="35" t="n">
        <x:f>G11-H11</x:f>
        <x:v>145.2</x:v>
      </x:c>
      <x:c r="J11" s="35" t="n">
        <x:f>I11*'01 Assumptions'!$D$23</x:f>
        <x:v>29.04</x:v>
      </x:c>
      <x:c r="K11" s="35" t="n">
        <x:f>I11+J11</x:f>
        <x:v>174.23999999999998</x:v>
      </x:c>
      <x:c r="L11" s="14" t="str">
        <x:v>Retained Pass 23 formation capital</x:v>
      </x:c>
    </x:row>
    <x:row r="12">
      <x:c r="C12" s="15" t="str">
        <x:f>'02 Formation Inputs'!C12</x:f>
        <x:v>L-HCG</x:v>
      </x:c>
      <x:c r="D12" s="15" t="str">
        <x:f>'02 Formation Inputs'!D12</x:f>
        <x:v>Land Engineering</x:v>
      </x:c>
      <x:c r="E12" s="15" t="str">
        <x:f>'02 Formation Inputs'!E12</x:f>
        <x:v>Flood and hydraulic-control group</x:v>
      </x:c>
      <x:c r="F12" s="15" t="n">
        <x:f>'04 Inventory'!J12</x:f>
        <x:v>86</x:v>
      </x:c>
      <x:c r="G12" s="35" t="n">
        <x:f>F12*'02 Formation Inputs'!S12</x:f>
        <x:v>154.8</x:v>
      </x:c>
      <x:c r="H12" s="35" t="n">
        <x:f>F12*'02 Formation Inputs'!T12</x:f>
        <x:v>0</x:v>
      </x:c>
      <x:c r="I12" s="35" t="n">
        <x:f>G12-H12</x:f>
        <x:v>154.8</x:v>
      </x:c>
      <x:c r="J12" s="35" t="n">
        <x:f>I12*'01 Assumptions'!$D$23</x:f>
        <x:v>30.960000000000004</x:v>
      </x:c>
      <x:c r="K12" s="35" t="n">
        <x:f>I12+J12</x:f>
        <x:v>185.76000000000002</x:v>
      </x:c>
      <x:c r="L12" s="14" t="str">
        <x:v>Retained Pass 23 formation capital</x:v>
      </x:c>
    </x:row>
    <x:row r="13">
      <x:c r="C13" s="15" t="str">
        <x:f>'02 Formation Inputs'!C13</x:f>
        <x:v>L-DMG</x:v>
      </x:c>
      <x:c r="D13" s="15" t="str">
        <x:f>'02 Formation Inputs'!D13</x:f>
        <x:v>Land Engineering</x:v>
      </x:c>
      <x:c r="E13" s="15" t="str">
        <x:f>'02 Formation Inputs'!E13</x:f>
        <x:v>Debris and materials group</x:v>
      </x:c>
      <x:c r="F13" s="15" t="n">
        <x:f>'04 Inventory'!J13</x:f>
        <x:v>112</x:v>
      </x:c>
      <x:c r="G13" s="35" t="n">
        <x:f>F13*'02 Formation Inputs'!S13</x:f>
        <x:v>156.79999999999998</x:v>
      </x:c>
      <x:c r="H13" s="35" t="n">
        <x:f>F13*'02 Formation Inputs'!T13</x:f>
        <x:v>0</x:v>
      </x:c>
      <x:c r="I13" s="35" t="n">
        <x:f>G13-H13</x:f>
        <x:v>156.79999999999998</x:v>
      </x:c>
      <x:c r="J13" s="35" t="n">
        <x:f>I13*'01 Assumptions'!$D$23</x:f>
        <x:v>31.36</x:v>
      </x:c>
      <x:c r="K13" s="35" t="n">
        <x:f>I13+J13</x:f>
        <x:v>188.15999999999997</x:v>
      </x:c>
      <x:c r="L13" s="14" t="str">
        <x:v>Retained Pass 23 formation capital</x:v>
      </x:c>
    </x:row>
    <x:row r="14">
      <x:c r="C14" s="15" t="str">
        <x:f>'02 Formation Inputs'!C14</x:f>
        <x:v>L-TWG</x:v>
      </x:c>
      <x:c r="D14" s="15" t="str">
        <x:f>'02 Formation Inputs'!D14</x:f>
        <x:v>Land Engineering</x:v>
      </x:c>
      <x:c r="E14" s="15" t="str">
        <x:f>'02 Formation Inputs'!E14</x:f>
        <x:v>Temporary works and crossing group</x:v>
      </x:c>
      <x:c r="F14" s="15" t="n">
        <x:f>'04 Inventory'!J14</x:f>
        <x:v>91</x:v>
      </x:c>
      <x:c r="G14" s="35" t="n">
        <x:f>F14*'02 Formation Inputs'!S14</x:f>
        <x:v>109.2</x:v>
      </x:c>
      <x:c r="H14" s="35" t="n">
        <x:f>F14*'02 Formation Inputs'!T14</x:f>
        <x:v>0</x:v>
      </x:c>
      <x:c r="I14" s="35" t="n">
        <x:f>G14-H14</x:f>
        <x:v>109.2</x:v>
      </x:c>
      <x:c r="J14" s="35" t="n">
        <x:f>I14*'01 Assumptions'!$D$23</x:f>
        <x:v>21.840000000000003</x:v>
      </x:c>
      <x:c r="K14" s="35" t="n">
        <x:f>I14+J14</x:f>
        <x:v>131.04000000000002</x:v>
      </x:c>
      <x:c r="L14" s="14" t="str">
        <x:v>Retained Pass 23 formation capital</x:v>
      </x:c>
    </x:row>
    <x:row r="15">
      <x:c r="C15" s="15" t="str">
        <x:f>'02 Formation Inputs'!C15</x:f>
        <x:v>L-GFG</x:v>
      </x:c>
      <x:c r="D15" s="15" t="str">
        <x:f>'02 Formation Inputs'!D15</x:f>
        <x:v>Land Engineering</x:v>
      </x:c>
      <x:c r="E15" s="15" t="str">
        <x:f>'02 Formation Inputs'!E15</x:f>
        <x:v>Ground fire and landscape group</x:v>
      </x:c>
      <x:c r="F15" s="15" t="n">
        <x:f>'04 Inventory'!J15</x:f>
        <x:v>57</x:v>
      </x:c>
      <x:c r="G15" s="35" t="n">
        <x:f>F15*'02 Formation Inputs'!S15</x:f>
        <x:v>57</x:v>
      </x:c>
      <x:c r="H15" s="35" t="n">
        <x:f>F15*'02 Formation Inputs'!T15</x:f>
        <x:v>0</x:v>
      </x:c>
      <x:c r="I15" s="35" t="n">
        <x:f>G15-H15</x:f>
        <x:v>57</x:v>
      </x:c>
      <x:c r="J15" s="35" t="n">
        <x:f>I15*'01 Assumptions'!$D$23</x:f>
        <x:v>11.4</x:v>
      </x:c>
      <x:c r="K15" s="35" t="n">
        <x:f>I15+J15</x:f>
        <x:v>68.4</x:v>
      </x:c>
      <x:c r="L15" s="14" t="str">
        <x:v>Retained Pass 23 formation capital</x:v>
      </x:c>
    </x:row>
    <x:row r="16">
      <x:c r="C16" s="15" t="str">
        <x:f>'02 Formation Inputs'!C16</x:f>
        <x:v>A-SMW</x:v>
      </x:c>
      <x:c r="D16" s="15" t="str">
        <x:f>'02 Formation Inputs'!D16</x:f>
        <x:v>Air Response</x:v>
      </x:c>
      <x:c r="E16" s="15" t="str">
        <x:f>'02 Formation Inputs'!E16</x:f>
        <x:v>Strategic mobility wing</x:v>
      </x:c>
      <x:c r="F16" s="15" t="n">
        <x:f>'04 Inventory'!J16</x:f>
        <x:v>58</x:v>
      </x:c>
      <x:c r="G16" s="35" t="n">
        <x:f>F16*'02 Formation Inputs'!S16</x:f>
        <x:v>464</x:v>
      </x:c>
      <x:c r="H16" s="35" t="n">
        <x:f>F16*'02 Formation Inputs'!T16</x:f>
        <x:v>0</x:v>
      </x:c>
      <x:c r="I16" s="35" t="n">
        <x:f>G16-H16</x:f>
        <x:v>464</x:v>
      </x:c>
      <x:c r="J16" s="35" t="n">
        <x:f>I16*'01 Assumptions'!$D$23</x:f>
        <x:v>92.80000000000001</x:v>
      </x:c>
      <x:c r="K16" s="35" t="n">
        <x:f>I16+J16</x:f>
        <x:v>556.8</x:v>
      </x:c>
      <x:c r="L16" s="14" t="str">
        <x:v>Retained Pass 23 formation capital</x:v>
      </x:c>
    </x:row>
    <x:row r="17">
      <x:c r="C17" s="15" t="str">
        <x:f>'02 Formation Inputs'!C17</x:f>
        <x:v>A-AAG</x:v>
      </x:c>
      <x:c r="D17" s="15" t="str">
        <x:f>'02 Formation Inputs'!D17</x:f>
        <x:v>Air Response</x:v>
      </x:c>
      <x:c r="E17" s="15" t="str">
        <x:f>'02 Formation Inputs'!E17</x:f>
        <x:v>Austere air-access group</x:v>
      </x:c>
      <x:c r="F17" s="15" t="n">
        <x:f>'04 Inventory'!J17</x:f>
        <x:v>67</x:v>
      </x:c>
      <x:c r="G17" s="35" t="n">
        <x:f>F17*'02 Formation Inputs'!S17</x:f>
        <x:v>167.5</x:v>
      </x:c>
      <x:c r="H17" s="35" t="n">
        <x:f>F17*'02 Formation Inputs'!T17</x:f>
        <x:v>0</x:v>
      </x:c>
      <x:c r="I17" s="35" t="n">
        <x:f>G17-H17</x:f>
        <x:v>167.5</x:v>
      </x:c>
      <x:c r="J17" s="35" t="n">
        <x:f>I17*'01 Assumptions'!$D$23</x:f>
        <x:v>33.5</x:v>
      </x:c>
      <x:c r="K17" s="35" t="n">
        <x:f>I17+J17</x:f>
        <x:v>201</x:v>
      </x:c>
      <x:c r="L17" s="14" t="str">
        <x:v>Retained Pass 23 formation capital</x:v>
      </x:c>
    </x:row>
    <x:row r="18">
      <x:c r="C18" s="15" t="str">
        <x:f>'02 Formation Inputs'!C18</x:f>
        <x:v>A-AHW</x:v>
      </x:c>
      <x:c r="D18" s="15" t="str">
        <x:f>'02 Formation Inputs'!D18</x:f>
        <x:v>Air Response</x:v>
      </x:c>
      <x:c r="E18" s="15" t="str">
        <x:f>'02 Formation Inputs'!E18</x:f>
        <x:v>Aerial hazard-control wing</x:v>
      </x:c>
      <x:c r="F18" s="15" t="n">
        <x:f>'04 Inventory'!J18</x:f>
        <x:v>41</x:v>
      </x:c>
      <x:c r="G18" s="35" t="n">
        <x:f>F18*'02 Formation Inputs'!S18</x:f>
        <x:v>246</x:v>
      </x:c>
      <x:c r="H18" s="35" t="n">
        <x:f>F18*'02 Formation Inputs'!T18</x:f>
        <x:v>0</x:v>
      </x:c>
      <x:c r="I18" s="35" t="n">
        <x:f>G18-H18</x:f>
        <x:v>246</x:v>
      </x:c>
      <x:c r="J18" s="35" t="n">
        <x:f>I18*'01 Assumptions'!$D$23</x:f>
        <x:v>49.2</x:v>
      </x:c>
      <x:c r="K18" s="35" t="n">
        <x:f>I18+J18</x:f>
        <x:v>295.2</x:v>
      </x:c>
      <x:c r="L18" s="14" t="str">
        <x:v>Retained Pass 23 formation capital</x:v>
      </x:c>
    </x:row>
    <x:row r="19">
      <x:c r="C19" s="15" t="str">
        <x:f>'02 Formation Inputs'!C19</x:f>
        <x:v>A-TDG</x:v>
      </x:c>
      <x:c r="D19" s="15" t="str">
        <x:f>'02 Formation Inputs'!D19</x:f>
        <x:v>Air Response</x:v>
      </x:c>
      <x:c r="E19" s="15" t="str">
        <x:f>'02 Formation Inputs'!E19</x:f>
        <x:v>Tactical distribution group</x:v>
      </x:c>
      <x:c r="F19" s="15" t="n">
        <x:f>'04 Inventory'!J19</x:f>
        <x:v>108</x:v>
      </x:c>
      <x:c r="G19" s="35" t="n">
        <x:f>F19*'02 Formation Inputs'!S19</x:f>
        <x:v>324</x:v>
      </x:c>
      <x:c r="H19" s="35" t="n">
        <x:f>F19*'02 Formation Inputs'!T19</x:f>
        <x:v>0</x:v>
      </x:c>
      <x:c r="I19" s="35" t="n">
        <x:f>G19-H19</x:f>
        <x:v>324</x:v>
      </x:c>
      <x:c r="J19" s="35" t="n">
        <x:f>I19*'01 Assumptions'!$D$23</x:f>
        <x:v>64.8</x:v>
      </x:c>
      <x:c r="K19" s="35" t="n">
        <x:f>I19+J19</x:f>
        <x:v>388.8</x:v>
      </x:c>
      <x:c r="L19" s="14" t="str">
        <x:v>Retained Pass 23 formation capital</x:v>
      </x:c>
    </x:row>
    <x:row r="20">
      <x:c r="C20" s="15" t="str">
        <x:f>'02 Formation Inputs'!C20</x:f>
        <x:v>A-SRG</x:v>
      </x:c>
      <x:c r="D20" s="15" t="str">
        <x:f>'02 Formation Inputs'!D20</x:f>
        <x:v>Air Response</x:v>
      </x:c>
      <x:c r="E20" s="15" t="str">
        <x:f>'02 Formation Inputs'!E20</x:f>
        <x:v>Air sensing and relay group</x:v>
      </x:c>
      <x:c r="F20" s="15" t="n">
        <x:f>'04 Inventory'!J20</x:f>
        <x:v>74</x:v>
      </x:c>
      <x:c r="G20" s="35" t="n">
        <x:f>F20*'02 Formation Inputs'!S20</x:f>
        <x:v>88.8</x:v>
      </x:c>
      <x:c r="H20" s="35" t="n">
        <x:f>F20*'02 Formation Inputs'!T20</x:f>
        <x:v>0</x:v>
      </x:c>
      <x:c r="I20" s="35" t="n">
        <x:f>G20-H20</x:f>
        <x:v>88.8</x:v>
      </x:c>
      <x:c r="J20" s="35" t="n">
        <x:f>I20*'01 Assumptions'!$D$23</x:f>
        <x:v>17.76</x:v>
      </x:c>
      <x:c r="K20" s="35" t="n">
        <x:f>I20+J20</x:f>
        <x:v>106.56</x:v>
      </x:c>
      <x:c r="L20" s="14" t="str">
        <x:v>Retained Pass 23 formation capital</x:v>
      </x:c>
    </x:row>
    <x:row r="21">
      <x:c r="C21" s="15" t="str">
        <x:f>'02 Formation Inputs'!C21</x:f>
        <x:v>A-AMG</x:v>
      </x:c>
      <x:c r="D21" s="15" t="str">
        <x:f>'02 Formation Inputs'!D21</x:f>
        <x:v>Air Response</x:v>
      </x:c>
      <x:c r="E21" s="15" t="str">
        <x:f>'02 Formation Inputs'!E21</x:f>
        <x:v>Aeromedical movement group</x:v>
      </x:c>
      <x:c r="F21" s="15" t="n">
        <x:f>'04 Inventory'!J21</x:f>
        <x:v>58</x:v>
      </x:c>
      <x:c r="G21" s="35" t="n">
        <x:f>F21*'02 Formation Inputs'!S21</x:f>
        <x:v>145</x:v>
      </x:c>
      <x:c r="H21" s="35" t="n">
        <x:f>F21*'02 Formation Inputs'!T21</x:f>
        <x:v>0</x:v>
      </x:c>
      <x:c r="I21" s="35" t="n">
        <x:f>G21-H21</x:f>
        <x:v>145</x:v>
      </x:c>
      <x:c r="J21" s="35" t="n">
        <x:f>I21*'01 Assumptions'!$D$23</x:f>
        <x:v>29</x:v>
      </x:c>
      <x:c r="K21" s="35" t="n">
        <x:f>I21+J21</x:f>
        <x:v>174</x:v>
      </x:c>
      <x:c r="L21" s="14" t="str">
        <x:v>Retained Pass 23 formation capital</x:v>
      </x:c>
    </x:row>
    <x:row r="22">
      <x:c r="C22" s="15" t="str">
        <x:f>'02 Formation Inputs'!C22</x:f>
        <x:v>M-POG</x:v>
      </x:c>
      <x:c r="D22" s="15" t="str">
        <x:f>'02 Formation Inputs'!D22</x:f>
        <x:v>Maritime Response</x:v>
      </x:c>
      <x:c r="E22" s="15" t="str">
        <x:f>'02 Formation Inputs'!E22</x:f>
        <x:v>Port-opening group</x:v>
      </x:c>
      <x:c r="F22" s="15" t="n">
        <x:f>'04 Inventory'!J22</x:f>
        <x:v>60</x:v>
      </x:c>
      <x:c r="G22" s="35" t="n">
        <x:f>F22*'02 Formation Inputs'!S22</x:f>
        <x:v>180</x:v>
      </x:c>
      <x:c r="H22" s="35" t="n">
        <x:f>F22*'02 Formation Inputs'!T22</x:f>
        <x:v>0</x:v>
      </x:c>
      <x:c r="I22" s="35" t="n">
        <x:f>G22-H22</x:f>
        <x:v>180</x:v>
      </x:c>
      <x:c r="J22" s="35" t="n">
        <x:f>I22*'01 Assumptions'!$D$23</x:f>
        <x:v>36</x:v>
      </x:c>
      <x:c r="K22" s="35" t="n">
        <x:f>I22+J22</x:f>
        <x:v>216</x:v>
      </x:c>
      <x:c r="L22" s="14" t="str">
        <x:v>Retained Pass 23 formation capital</x:v>
      </x:c>
    </x:row>
    <x:row r="23">
      <x:c r="C23" s="15" t="str">
        <x:f>'02 Formation Inputs'!C23</x:f>
        <x:v>M-LAG</x:v>
      </x:c>
      <x:c r="D23" s="15" t="str">
        <x:f>'02 Formation Inputs'!D23</x:f>
        <x:v>Maritime Response</x:v>
      </x:c>
      <x:c r="E23" s="15" t="str">
        <x:f>'02 Formation Inputs'!E23</x:f>
        <x:v>Littoral-access group</x:v>
      </x:c>
      <x:c r="F23" s="15" t="n">
        <x:f>'04 Inventory'!J23</x:f>
        <x:v>69</x:v>
      </x:c>
      <x:c r="G23" s="35" t="n">
        <x:f>F23*'02 Formation Inputs'!S23</x:f>
        <x:v>138</x:v>
      </x:c>
      <x:c r="H23" s="35" t="n">
        <x:f>F23*'02 Formation Inputs'!T23</x:f>
        <x:v>0</x:v>
      </x:c>
      <x:c r="I23" s="35" t="n">
        <x:f>G23-H23</x:f>
        <x:v>138</x:v>
      </x:c>
      <x:c r="J23" s="35" t="n">
        <x:f>I23*'01 Assumptions'!$D$23</x:f>
        <x:v>27.6</x:v>
      </x:c>
      <x:c r="K23" s="35" t="n">
        <x:f>I23+J23</x:f>
        <x:v>165.6</x:v>
      </x:c>
      <x:c r="L23" s="14" t="str">
        <x:v>Retained Pass 23 formation capital</x:v>
      </x:c>
    </x:row>
    <x:row r="24">
      <x:c r="C24" s="15" t="str">
        <x:f>'02 Formation Inputs'!C24</x:f>
        <x:v>M-IWG</x:v>
      </x:c>
      <x:c r="D24" s="15" t="str">
        <x:f>'02 Formation Inputs'!D24</x:f>
        <x:v>Maritime Response</x:v>
      </x:c>
      <x:c r="E24" s="15" t="str">
        <x:f>'02 Formation Inputs'!E24</x:f>
        <x:v>Inland-waterway group</x:v>
      </x:c>
      <x:c r="F24" s="15" t="n">
        <x:f>'04 Inventory'!J24</x:f>
        <x:v>54</x:v>
      </x:c>
      <x:c r="G24" s="35" t="n">
        <x:f>F24*'02 Formation Inputs'!S24</x:f>
        <x:v>81</x:v>
      </x:c>
      <x:c r="H24" s="35" t="n">
        <x:f>F24*'02 Formation Inputs'!T24</x:f>
        <x:v>0</x:v>
      </x:c>
      <x:c r="I24" s="35" t="n">
        <x:f>G24-H24</x:f>
        <x:v>81</x:v>
      </x:c>
      <x:c r="J24" s="35" t="n">
        <x:f>I24*'01 Assumptions'!$D$23</x:f>
        <x:v>16.2</x:v>
      </x:c>
      <x:c r="K24" s="35" t="n">
        <x:f>I24+J24</x:f>
        <x:v>97.2</x:v>
      </x:c>
      <x:c r="L24" s="14" t="str">
        <x:v>Retained Pass 23 formation capital</x:v>
      </x:c>
    </x:row>
    <x:row r="25">
      <x:c r="C25" s="15" t="str">
        <x:f>'02 Formation Inputs'!C25</x:f>
        <x:v>M-OSG</x:v>
      </x:c>
      <x:c r="D25" s="15" t="str">
        <x:f>'02 Formation Inputs'!D25</x:f>
        <x:v>Maritime Response</x:v>
      </x:c>
      <x:c r="E25" s="15" t="str">
        <x:f>'02 Formation Inputs'!E25</x:f>
        <x:v>Offshore-support group</x:v>
      </x:c>
      <x:c r="F25" s="15" t="n">
        <x:f>'04 Inventory'!J25</x:f>
        <x:v>45</x:v>
      </x:c>
      <x:c r="G25" s="35" t="n">
        <x:f>F25*'02 Formation Inputs'!S25</x:f>
        <x:v>315</x:v>
      </x:c>
      <x:c r="H25" s="35" t="n">
        <x:f>F25*'02 Formation Inputs'!T25</x:f>
        <x:v>0</x:v>
      </x:c>
      <x:c r="I25" s="35" t="n">
        <x:f>G25-H25</x:f>
        <x:v>315</x:v>
      </x:c>
      <x:c r="J25" s="35" t="n">
        <x:f>I25*'01 Assumptions'!$D$23</x:f>
        <x:v>63</x:v>
      </x:c>
      <x:c r="K25" s="35" t="n">
        <x:f>I25+J25</x:f>
        <x:v>378</x:v>
      </x:c>
      <x:c r="L25" s="14" t="str">
        <x:v>Retained Pass 23 formation capital</x:v>
      </x:c>
    </x:row>
    <x:row r="26">
      <x:c r="C26" s="15" t="str">
        <x:f>'02 Formation Inputs'!C26</x:f>
        <x:v>M-SSG</x:v>
      </x:c>
      <x:c r="D26" s="15" t="str">
        <x:f>'02 Formation Inputs'!D26</x:f>
        <x:v>Maritime Response</x:v>
      </x:c>
      <x:c r="E26" s="15" t="str">
        <x:f>'02 Formation Inputs'!E26</x:f>
        <x:v>Ocean sustainment group</x:v>
      </x:c>
      <x:c r="F26" s="15" t="n">
        <x:f>'04 Inventory'!J26</x:f>
        <x:v>71</x:v>
      </x:c>
      <x:c r="G26" s="35" t="n">
        <x:f>F26*'02 Formation Inputs'!S26</x:f>
        <x:v>639</x:v>
      </x:c>
      <x:c r="H26" s="35" t="n">
        <x:f>F26*'02 Formation Inputs'!T26</x:f>
        <x:v>0</x:v>
      </x:c>
      <x:c r="I26" s="35" t="n">
        <x:f>G26-H26</x:f>
        <x:v>639</x:v>
      </x:c>
      <x:c r="J26" s="35" t="n">
        <x:f>I26*'01 Assumptions'!$D$23</x:f>
        <x:v>127.80000000000001</x:v>
      </x:c>
      <x:c r="K26" s="35" t="n">
        <x:f>I26+J26</x:f>
        <x:v>766.8</x:v>
      </x:c>
      <x:c r="L26" s="14" t="str">
        <x:v>Retained Pass 23 formation capital</x:v>
      </x:c>
    </x:row>
    <x:row r="27">
      <x:c r="C27" s="15" t="str">
        <x:f>'02 Formation Inputs'!C27</x:f>
        <x:v>I-CUG</x:v>
      </x:c>
      <x:c r="D27" s="15" t="str">
        <x:f>'02 Formation Inputs'!D27</x:f>
        <x:v>Infrastructure Restoration</x:v>
      </x:c>
      <x:c r="E27" s="15" t="str">
        <x:f>'02 Formation Inputs'!E27</x:f>
        <x:v>Communications utility group</x:v>
      </x:c>
      <x:c r="F27" s="15" t="n">
        <x:f>'04 Inventory'!J27</x:f>
        <x:v>102</x:v>
      </x:c>
      <x:c r="G27" s="35" t="n">
        <x:f>F27*'02 Formation Inputs'!S27</x:f>
        <x:v>102</x:v>
      </x:c>
      <x:c r="H27" s="35" t="n">
        <x:f>F27*'02 Formation Inputs'!T27</x:f>
        <x:v>0</x:v>
      </x:c>
      <x:c r="I27" s="35" t="n">
        <x:f>G27-H27</x:f>
        <x:v>102</x:v>
      </x:c>
      <x:c r="J27" s="35" t="n">
        <x:f>I27*'01 Assumptions'!$D$23</x:f>
        <x:v>20.400000000000002</x:v>
      </x:c>
      <x:c r="K27" s="35" t="n">
        <x:f>I27+J27</x:f>
        <x:v>122.4</x:v>
      </x:c>
      <x:c r="L27" s="14" t="str">
        <x:v>Retained Pass 23 formation capital</x:v>
      </x:c>
    </x:row>
    <x:row r="28">
      <x:c r="C28" s="15" t="str">
        <x:f>'02 Formation Inputs'!C28</x:f>
        <x:v>I-TSG</x:v>
      </x:c>
      <x:c r="D28" s="15" t="str">
        <x:f>'02 Formation Inputs'!D28</x:f>
        <x:v>Infrastructure Restoration</x:v>
      </x:c>
      <x:c r="E28" s="15" t="str">
        <x:f>'02 Formation Inputs'!E28</x:f>
        <x:v>Thermal safety group</x:v>
      </x:c>
      <x:c r="F28" s="15" t="n">
        <x:f>'04 Inventory'!J28</x:f>
        <x:v>108</x:v>
      </x:c>
      <x:c r="G28" s="35" t="n">
        <x:f>F28*'02 Formation Inputs'!S28</x:f>
        <x:v>86.4</x:v>
      </x:c>
      <x:c r="H28" s="35" t="n">
        <x:f>F28*'02 Formation Inputs'!T28</x:f>
        <x:v>0</x:v>
      </x:c>
      <x:c r="I28" s="35" t="n">
        <x:f>G28-H28</x:f>
        <x:v>86.4</x:v>
      </x:c>
      <x:c r="J28" s="35" t="n">
        <x:f>I28*'01 Assumptions'!$D$23</x:f>
        <x:v>17.28</x:v>
      </x:c>
      <x:c r="K28" s="35" t="n">
        <x:f>I28+J28</x:f>
        <x:v>103.68</x:v>
      </x:c>
      <x:c r="L28" s="14" t="str">
        <x:v>Retained Pass 23 formation capital</x:v>
      </x:c>
    </x:row>
    <x:row r="29">
      <x:c r="C29" s="15" t="str">
        <x:f>'02 Formation Inputs'!C29</x:f>
        <x:v>I-URG</x:v>
      </x:c>
      <x:c r="D29" s="15" t="str">
        <x:f>'02 Formation Inputs'!D29</x:f>
        <x:v>Infrastructure Restoration</x:v>
      </x:c>
      <x:c r="E29" s="15" t="str">
        <x:f>'02 Formation Inputs'!E29</x:f>
        <x:v>Utility reconstruction group</x:v>
      </x:c>
      <x:c r="F29" s="15" t="n">
        <x:f>'04 Inventory'!J29</x:f>
        <x:v>126</x:v>
      </x:c>
      <x:c r="G29" s="35" t="n">
        <x:f>F29*'02 Formation Inputs'!S29</x:f>
        <x:v>252</x:v>
      </x:c>
      <x:c r="H29" s="35" t="n">
        <x:f>F29*'02 Formation Inputs'!T29</x:f>
        <x:v>0</x:v>
      </x:c>
      <x:c r="I29" s="35" t="n">
        <x:f>G29-H29</x:f>
        <x:v>252</x:v>
      </x:c>
      <x:c r="J29" s="35" t="n">
        <x:f>I29*'01 Assumptions'!$D$23</x:f>
        <x:v>50.400000000000006</x:v>
      </x:c>
      <x:c r="K29" s="35" t="n">
        <x:f>I29+J29</x:f>
        <x:v>302.4</x:v>
      </x:c>
      <x:c r="L29" s="14" t="str">
        <x:v>Retained Pass 23 formation capital</x:v>
      </x:c>
    </x:row>
    <x:row r="30">
      <x:c r="C30" s="15" t="str">
        <x:f>'02 Formation Inputs'!C30</x:f>
        <x:v>H-CHC</x:v>
      </x:c>
      <x:c r="D30" s="15" t="str">
        <x:f>'02 Formation Inputs'!D30</x:f>
        <x:v>Health Protection</x:v>
      </x:c>
      <x:c r="E30" s="15" t="str">
        <x:f>'02 Formation Inputs'!E30</x:f>
        <x:v>Community health continuity group</x:v>
      </x:c>
      <x:c r="F30" s="15" t="n">
        <x:f>'04 Inventory'!J30</x:f>
        <x:v>139</x:v>
      </x:c>
      <x:c r="G30" s="35" t="n">
        <x:f>F30*'02 Formation Inputs'!S30</x:f>
        <x:v>166.79999999999998</x:v>
      </x:c>
      <x:c r="H30" s="35" t="n">
        <x:f>F30*'02 Formation Inputs'!T30</x:f>
        <x:v>0</x:v>
      </x:c>
      <x:c r="I30" s="35" t="n">
        <x:f>G30-H30</x:f>
        <x:v>166.79999999999998</x:v>
      </x:c>
      <x:c r="J30" s="35" t="n">
        <x:f>I30*'01 Assumptions'!$D$23</x:f>
        <x:v>33.36</x:v>
      </x:c>
      <x:c r="K30" s="35" t="n">
        <x:f>I30+J30</x:f>
        <x:v>200.15999999999997</x:v>
      </x:c>
      <x:c r="L30" s="14" t="str">
        <x:v>Retained Pass 23 formation capital</x:v>
      </x:c>
    </x:row>
    <x:row r="31">
      <x:c r="C31" s="15" t="str">
        <x:f>'02 Formation Inputs'!C31</x:f>
        <x:v>H-MAC</x:v>
      </x:c>
      <x:c r="D31" s="15" t="str">
        <x:f>'02 Formation Inputs'!D31</x:f>
        <x:v>Health Protection</x:v>
      </x:c>
      <x:c r="E31" s="15" t="str">
        <x:f>'02 Formation Inputs'!E31</x:f>
        <x:v>Mobile acute-care group</x:v>
      </x:c>
      <x:c r="F31" s="15" t="n">
        <x:f>'04 Inventory'!J31</x:f>
        <x:v>91</x:v>
      </x:c>
      <x:c r="G31" s="35" t="n">
        <x:f>F31*'02 Formation Inputs'!S31</x:f>
        <x:v>227.5</x:v>
      </x:c>
      <x:c r="H31" s="35" t="n">
        <x:f>F31*'02 Formation Inputs'!T31</x:f>
        <x:v>0</x:v>
      </x:c>
      <x:c r="I31" s="35" t="n">
        <x:f>G31-H31</x:f>
        <x:v>227.5</x:v>
      </x:c>
      <x:c r="J31" s="35" t="n">
        <x:f>I31*'01 Assumptions'!$D$23</x:f>
        <x:v>45.5</x:v>
      </x:c>
      <x:c r="K31" s="35" t="n">
        <x:f>I31+J31</x:f>
        <x:v>273</x:v>
      </x:c>
      <x:c r="L31" s="14" t="str">
        <x:v>Retained Pass 23 formation capital</x:v>
      </x:c>
    </x:row>
    <x:row r="32">
      <x:c r="C32" s="15" t="str">
        <x:f>'02 Formation Inputs'!C32</x:f>
        <x:v>H-PHC</x:v>
      </x:c>
      <x:c r="D32" s="15" t="str">
        <x:f>'02 Formation Inputs'!D32</x:f>
        <x:v>Health Protection</x:v>
      </x:c>
      <x:c r="E32" s="15" t="str">
        <x:f>'02 Formation Inputs'!E32</x:f>
        <x:v>Public-health control group</x:v>
      </x:c>
      <x:c r="F32" s="15" t="n">
        <x:f>'04 Inventory'!J32</x:f>
        <x:v>78</x:v>
      </x:c>
      <x:c r="G32" s="35" t="n">
        <x:f>F32*'02 Formation Inputs'!S32</x:f>
        <x:v>78</x:v>
      </x:c>
      <x:c r="H32" s="35" t="n">
        <x:f>F32*'02 Formation Inputs'!T32</x:f>
        <x:v>0</x:v>
      </x:c>
      <x:c r="I32" s="35" t="n">
        <x:f>G32-H32</x:f>
        <x:v>78</x:v>
      </x:c>
      <x:c r="J32" s="35" t="n">
        <x:f>I32*'01 Assumptions'!$D$23</x:f>
        <x:v>15.600000000000001</x:v>
      </x:c>
      <x:c r="K32" s="35" t="n">
        <x:f>I32+J32</x:f>
        <x:v>93.6</x:v>
      </x:c>
      <x:c r="L32" s="14" t="str">
        <x:v>Retained Pass 23 formation capital</x:v>
      </x:c>
    </x:row>
    <x:row r="33">
      <x:c r="C33" s="15" t="str">
        <x:f>'02 Formation Inputs'!C33</x:f>
        <x:v>H-HWR</x:v>
      </x:c>
      <x:c r="D33" s="15" t="str">
        <x:f>'02 Formation Inputs'!D33</x:f>
        <x:v>Health Protection</x:v>
      </x:c>
      <x:c r="E33" s="15" t="str">
        <x:f>'02 Formation Inputs'!E33</x:f>
        <x:v>Health workforce replacement group</x:v>
      </x:c>
      <x:c r="F33" s="15" t="n">
        <x:f>'04 Inventory'!J33</x:f>
        <x:v>139</x:v>
      </x:c>
      <x:c r="G33" s="35" t="n">
        <x:f>F33*'02 Formation Inputs'!S33</x:f>
        <x:v>111.2</x:v>
      </x:c>
      <x:c r="H33" s="35" t="n">
        <x:f>F33*'02 Formation Inputs'!T33</x:f>
        <x:v>0</x:v>
      </x:c>
      <x:c r="I33" s="35" t="n">
        <x:f>G33-H33</x:f>
        <x:v>111.2</x:v>
      </x:c>
      <x:c r="J33" s="35" t="n">
        <x:f>I33*'01 Assumptions'!$D$23</x:f>
        <x:v>22.240000000000002</x:v>
      </x:c>
      <x:c r="K33" s="35" t="n">
        <x:f>I33+J33</x:f>
        <x:v>133.44</x:v>
      </x:c>
      <x:c r="L33" s="14" t="str">
        <x:v>Retained Pass 23 formation capital</x:v>
      </x:c>
    </x:row>
    <x:row r="34">
      <x:c r="C34" s="15" t="str">
        <x:f>'02 Formation Inputs'!C34</x:f>
        <x:v>C-PSG</x:v>
      </x:c>
      <x:c r="D34" s="15" t="str">
        <x:f>'02 Formation Inputs'!D34</x:f>
        <x:v>Community Stabilization</x:v>
      </x:c>
      <x:c r="E34" s="15" t="str">
        <x:f>'02 Formation Inputs'!E34</x:f>
        <x:v>Population support group</x:v>
      </x:c>
      <x:c r="F34" s="15" t="n">
        <x:f>'04 Inventory'!J34</x:f>
        <x:v>173</x:v>
      </x:c>
      <x:c r="G34" s="35" t="n">
        <x:f>F34*'02 Formation Inputs'!S34</x:f>
        <x:v>103.8</x:v>
      </x:c>
      <x:c r="H34" s="35" t="n">
        <x:f>F34*'02 Formation Inputs'!T34</x:f>
        <x:v>0</x:v>
      </x:c>
      <x:c r="I34" s="35" t="n">
        <x:f>G34-H34</x:f>
        <x:v>103.8</x:v>
      </x:c>
      <x:c r="J34" s="35" t="n">
        <x:f>I34*'01 Assumptions'!$D$23</x:f>
        <x:v>20.76</x:v>
      </x:c>
      <x:c r="K34" s="35" t="n">
        <x:f>I34+J34</x:f>
        <x:v>124.56</x:v>
      </x:c>
      <x:c r="L34" s="14" t="str">
        <x:v>Retained Pass 23 formation capital</x:v>
      </x:c>
    </x:row>
    <x:row r="35">
      <x:c r="C35" s="15" t="str">
        <x:f>'02 Formation Inputs'!C35</x:f>
        <x:v>C-EGG</x:v>
      </x:c>
      <x:c r="D35" s="15" t="str">
        <x:f>'02 Formation Inputs'!D35</x:f>
        <x:v>Community Stabilization</x:v>
      </x:c>
      <x:c r="E35" s="15" t="str">
        <x:f>'02 Formation Inputs'!E35</x:f>
        <x:v>Essential-goods group</x:v>
      </x:c>
      <x:c r="F35" s="15" t="n">
        <x:f>'04 Inventory'!J35</x:f>
        <x:v>173</x:v>
      </x:c>
      <x:c r="G35" s="35" t="n">
        <x:f>F35*'02 Formation Inputs'!S35</x:f>
        <x:v>86.5</x:v>
      </x:c>
      <x:c r="H35" s="35" t="n">
        <x:f>F35*'02 Formation Inputs'!T35</x:f>
        <x:v>0</x:v>
      </x:c>
      <x:c r="I35" s="35" t="n">
        <x:f>G35-H35</x:f>
        <x:v>86.5</x:v>
      </x:c>
      <x:c r="J35" s="35" t="n">
        <x:f>I35*'01 Assumptions'!$D$23</x:f>
        <x:v>17.3</x:v>
      </x:c>
      <x:c r="K35" s="35" t="n">
        <x:f>I35+J35</x:f>
        <x:v>103.8</x:v>
      </x:c>
      <x:c r="L35" s="14" t="str">
        <x:v>Retained Pass 23 formation capital</x:v>
      </x:c>
    </x:row>
    <x:row r="36">
      <x:c r="C36" s="15" t="str">
        <x:f>'02 Formation Inputs'!C36</x:f>
        <x:v>C-CAG</x:v>
      </x:c>
      <x:c r="D36" s="15" t="str">
        <x:f>'02 Formation Inputs'!D36</x:f>
        <x:v>Community Stabilization</x:v>
      </x:c>
      <x:c r="E36" s="15" t="str">
        <x:f>'02 Formation Inputs'!E36</x:f>
        <x:v>Civil access group</x:v>
      </x:c>
      <x:c r="F36" s="15" t="n">
        <x:f>'04 Inventory'!J36</x:f>
        <x:v>132</x:v>
      </x:c>
      <x:c r="G36" s="35" t="n">
        <x:f>F36*'02 Formation Inputs'!S36</x:f>
        <x:v>39.6</x:v>
      </x:c>
      <x:c r="H36" s="35" t="n">
        <x:f>F36*'02 Formation Inputs'!T36</x:f>
        <x:v>0</x:v>
      </x:c>
      <x:c r="I36" s="35" t="n">
        <x:f>G36-H36</x:f>
        <x:v>39.6</x:v>
      </x:c>
      <x:c r="J36" s="35" t="n">
        <x:f>I36*'01 Assumptions'!$D$23</x:f>
        <x:v>7.920000000000001</x:v>
      </x:c>
      <x:c r="K36" s="35" t="n">
        <x:f>I36+J36</x:f>
        <x:v>47.52</x:v>
      </x:c>
      <x:c r="L36" s="14" t="str">
        <x:v>Retained Pass 23 formation capital</x:v>
      </x:c>
    </x:row>
    <x:row r="37">
      <x:c r="C37" s="15" t="str">
        <x:f>'02 Formation Inputs'!C37</x:f>
        <x:v>C-DTG</x:v>
      </x:c>
      <x:c r="D37" s="15" t="str">
        <x:f>'02 Formation Inputs'!D37</x:f>
        <x:v>Community Stabilization</x:v>
      </x:c>
      <x:c r="E37" s="15" t="str">
        <x:f>'02 Formation Inputs'!E37</x:f>
        <x:v>Displacement transition group</x:v>
      </x:c>
      <x:c r="F37" s="15" t="n">
        <x:f>'04 Inventory'!J37</x:f>
        <x:v>127</x:v>
      </x:c>
      <x:c r="G37" s="35" t="n">
        <x:f>F37*'02 Formation Inputs'!S37</x:f>
        <x:v>50.800000000000004</x:v>
      </x:c>
      <x:c r="H37" s="35" t="n">
        <x:f>F37*'02 Formation Inputs'!T37</x:f>
        <x:v>0</x:v>
      </x:c>
      <x:c r="I37" s="35" t="n">
        <x:f>G37-H37</x:f>
        <x:v>50.800000000000004</x:v>
      </x:c>
      <x:c r="J37" s="35" t="n">
        <x:f>I37*'01 Assumptions'!$D$23</x:f>
        <x:v>10.160000000000002</x:v>
      </x:c>
      <x:c r="K37" s="35" t="n">
        <x:f>I37+J37</x:f>
        <x:v>60.96000000000001</x:v>
      </x:c>
      <x:c r="L37" s="14" t="str">
        <x:v>Retained Pass 23 formation capital</x:v>
      </x:c>
    </x:row>
    <x:row r="38">
      <x:c r="C38" s="15" t="str">
        <x:f>'02 Formation Inputs'!C38</x:f>
        <x:v>C-CIG</x:v>
      </x:c>
      <x:c r="D38" s="15" t="str">
        <x:f>'02 Formation Inputs'!D38</x:f>
        <x:v>Community Stabilization</x:v>
      </x:c>
      <x:c r="E38" s="15" t="str">
        <x:f>'02 Formation Inputs'!E38</x:f>
        <x:v>Community institutions group</x:v>
      </x:c>
      <x:c r="F38" s="15" t="n">
        <x:f>'04 Inventory'!J38</x:f>
        <x:v>106</x:v>
      </x:c>
      <x:c r="G38" s="35" t="n">
        <x:f>F38*'02 Formation Inputs'!S38</x:f>
        <x:v>42.400000000000006</x:v>
      </x:c>
      <x:c r="H38" s="35" t="n">
        <x:f>F38*'02 Formation Inputs'!T38</x:f>
        <x:v>0</x:v>
      </x:c>
      <x:c r="I38" s="35" t="n">
        <x:f>G38-H38</x:f>
        <x:v>42.400000000000006</x:v>
      </x:c>
      <x:c r="J38" s="35" t="n">
        <x:f>I38*'01 Assumptions'!$D$23</x:f>
        <x:v>8.480000000000002</x:v>
      </x:c>
      <x:c r="K38" s="35" t="n">
        <x:f>I38+J38</x:f>
        <x:v>50.88000000000001</x:v>
      </x:c>
      <x:c r="L38" s="14" t="str">
        <x:v>Retained Pass 23 formation capital</x:v>
      </x:c>
    </x:row>
    <x:row r="39">
      <x:c r="C39" s="15" t="str">
        <x:f>'02 Formation Inputs'!C39</x:f>
        <x:v>J-RIG</x:v>
      </x:c>
      <x:c r="D39" s="15" t="str">
        <x:f>'02 Formation Inputs'!D39</x:f>
        <x:v>Joint</x:v>
      </x:c>
      <x:c r="E39" s="15" t="str">
        <x:f>'02 Formation Inputs'!E39</x:f>
        <x:v>Resilience information group</x:v>
      </x:c>
      <x:c r="F39" s="15" t="n">
        <x:f>'04 Inventory'!J39</x:f>
        <x:v>91</x:v>
      </x:c>
      <x:c r="G39" s="35" t="n">
        <x:f>F39*'02 Formation Inputs'!S39</x:f>
        <x:v>109.2</x:v>
      </x:c>
      <x:c r="H39" s="35" t="n">
        <x:f>F39*'02 Formation Inputs'!T39</x:f>
        <x:v>27.3</x:v>
      </x:c>
      <x:c r="I39" s="35" t="n">
        <x:f>G39-H39</x:f>
        <x:v>81.9</x:v>
      </x:c>
      <x:c r="J39" s="35" t="n">
        <x:f>I39*'01 Assumptions'!$D$23</x:f>
        <x:v>16.380000000000003</x:v>
      </x:c>
      <x:c r="K39" s="35" t="n">
        <x:f>I39+J39</x:f>
        <x:v>98.28</x:v>
      </x:c>
      <x:c r="L39" s="14" t="str">
        <x:v>Pass 57 registry; bounded design hypothesis</x:v>
      </x:c>
    </x:row>
    <x:row r="40">
      <x:c r="C40" s="15" t="str">
        <x:f>'02 Formation Inputs'!C40</x:f>
        <x:v>M-MPG</x:v>
      </x:c>
      <x:c r="D40" s="15" t="str">
        <x:f>'02 Formation Inputs'!D40</x:f>
        <x:v>Maritime Response</x:v>
      </x:c>
      <x:c r="E40" s="15" t="str">
        <x:f>'02 Formation Inputs'!E40</x:f>
        <x:v>Maritime production group</x:v>
      </x:c>
      <x:c r="F40" s="15" t="n">
        <x:f>'04 Inventory'!J40</x:f>
        <x:v>52</x:v>
      </x:c>
      <x:c r="G40" s="35" t="n">
        <x:f>F40*'02 Formation Inputs'!S40</x:f>
        <x:v>364</x:v>
      </x:c>
      <x:c r="H40" s="35" t="n">
        <x:f>F40*'02 Formation Inputs'!T40</x:f>
        <x:v>286</x:v>
      </x:c>
      <x:c r="I40" s="35" t="n">
        <x:f>G40-H40</x:f>
        <x:v>78</x:v>
      </x:c>
      <x:c r="J40" s="35" t="n">
        <x:f>I40*'01 Assumptions'!$D$23</x:f>
        <x:v>15.600000000000001</x:v>
      </x:c>
      <x:c r="K40" s="35" t="n">
        <x:f>I40+J40</x:f>
        <x:v>93.6</x:v>
      </x:c>
      <x:c r="L40" s="14" t="str">
        <x:v>N-WES/Pass 57 proxy; embedded plant credit</x:v>
      </x:c>
    </x:row>
    <x:row r="41">
      <x:c r="C41" s="15" t="str">
        <x:f>'02 Formation Inputs'!C41</x:f>
        <x:v>I-WRG</x:v>
      </x:c>
      <x:c r="D41" s="15" t="str">
        <x:f>'02 Formation Inputs'!D41</x:f>
        <x:v>Infrastructure Restoration</x:v>
      </x:c>
      <x:c r="E41" s="15" t="str">
        <x:f>'02 Formation Inputs'!E41</x:f>
        <x:v>Water restoration group</x:v>
      </x:c>
      <x:c r="F41" s="15" t="n">
        <x:f>'04 Inventory'!J41</x:f>
        <x:v>93</x:v>
      </x:c>
      <x:c r="G41" s="35" t="n">
        <x:f>F41*'02 Formation Inputs'!S41</x:f>
        <x:v>372</x:v>
      </x:c>
      <x:c r="H41" s="35" t="n">
        <x:f>F41*'02 Formation Inputs'!T41</x:f>
        <x:v>232.5</x:v>
      </x:c>
      <x:c r="I41" s="35" t="n">
        <x:f>G41-H41</x:f>
        <x:v>139.5</x:v>
      </x:c>
      <x:c r="J41" s="35" t="n">
        <x:f>I41*'01 Assumptions'!$D$23</x:f>
        <x:v>27.900000000000002</x:v>
      </x:c>
      <x:c r="K41" s="35" t="n">
        <x:f>I41+J41</x:f>
        <x:v>167.4</x:v>
      </x:c>
      <x:c r="L41" s="14" t="str">
        <x:v>WRG-50 configuration; NUPS embedded credit</x:v>
      </x:c>
    </x:row>
    <x:row r="42">
      <x:c r="C42" s="15" t="str">
        <x:f>'02 Formation Inputs'!C42</x:f>
        <x:v>I-PRG</x:v>
      </x:c>
      <x:c r="D42" s="15" t="str">
        <x:f>'02 Formation Inputs'!D42</x:f>
        <x:v>Infrastructure Restoration</x:v>
      </x:c>
      <x:c r="E42" s="15" t="str">
        <x:f>'02 Formation Inputs'!E42</x:f>
        <x:v>Power restoration group</x:v>
      </x:c>
      <x:c r="F42" s="15" t="n">
        <x:f>'04 Inventory'!J42</x:f>
        <x:v>108</x:v>
      </x:c>
      <x:c r="G42" s="35" t="n">
        <x:f>F42*'02 Formation Inputs'!S42</x:f>
        <x:v>540</x:v>
      </x:c>
      <x:c r="H42" s="35" t="n">
        <x:f>F42*'02 Formation Inputs'!T42</x:f>
        <x:v>324</x:v>
      </x:c>
      <x:c r="I42" s="35" t="n">
        <x:f>G42-H42</x:f>
        <x:v>216</x:v>
      </x:c>
      <x:c r="J42" s="35" t="n">
        <x:f>I42*'01 Assumptions'!$D$23</x:f>
        <x:v>43.2</x:v>
      </x:c>
      <x:c r="K42" s="35" t="n">
        <x:f>I42+J42</x:f>
        <x:v>259.2</x:v>
      </x:c>
      <x:c r="L42" s="14" t="str">
        <x:v>PRG-100 configuration; NUPS embedded credit</x:v>
      </x:c>
    </x:row>
    <x:row r="43">
      <x:c r="C43" s="15" t="str">
        <x:f>'02 Formation Inputs'!C43</x:f>
        <x:v>I-GBG</x:v>
      </x:c>
      <x:c r="D43" s="15" t="str">
        <x:f>'02 Formation Inputs'!D43</x:f>
        <x:v>Infrastructure Restoration</x:v>
      </x:c>
      <x:c r="E43" s="15" t="str">
        <x:f>'02 Formation Inputs'!E43</x:f>
        <x:v>Grid bridge group</x:v>
      </x:c>
      <x:c r="F43" s="15" t="n">
        <x:f>'04 Inventory'!J43</x:f>
        <x:v>83</x:v>
      </x:c>
      <x:c r="G43" s="35" t="n">
        <x:f>F43*'02 Formation Inputs'!S43</x:f>
        <x:v>249</x:v>
      </x:c>
      <x:c r="H43" s="35" t="n">
        <x:f>F43*'02 Formation Inputs'!T43</x:f>
        <x:v>124.5</x:v>
      </x:c>
      <x:c r="I43" s="35" t="n">
        <x:f>G43-H43</x:f>
        <x:v>124.5</x:v>
      </x:c>
      <x:c r="J43" s="35" t="n">
        <x:f>I43*'01 Assumptions'!$D$23</x:f>
        <x:v>24.900000000000002</x:v>
      </x:c>
      <x:c r="K43" s="35" t="n">
        <x:f>I43+J43</x:f>
        <x:v>149.4</x:v>
      </x:c>
      <x:c r="L43" s="14" t="str">
        <x:v>Pass 57 system proxy; NUPS embedded credit</x:v>
      </x:c>
    </x:row>
    <x:row r="44">
      <x:c r="C44" s="15" t="str">
        <x:f>'02 Formation Inputs'!C44</x:f>
        <x:v>H-THC</x:v>
      </x:c>
      <x:c r="D44" s="15" t="str">
        <x:f>'02 Formation Inputs'!D44</x:f>
        <x:v>Health Protection</x:v>
      </x:c>
      <x:c r="E44" s="15" t="str">
        <x:f>'02 Formation Inputs'!E44</x:f>
        <x:v>Theater hospital command</x:v>
      </x:c>
      <x:c r="F44" s="15" t="n">
        <x:f>'04 Inventory'!J44</x:f>
        <x:v>52</x:v>
      </x:c>
      <x:c r="G44" s="35" t="n">
        <x:f>F44*'02 Formation Inputs'!S44</x:f>
        <x:v>78</x:v>
      </x:c>
      <x:c r="H44" s="35" t="n">
        <x:f>F44*'02 Formation Inputs'!T44</x:f>
        <x:v>0</x:v>
      </x:c>
      <x:c r="I44" s="35" t="n">
        <x:f>G44-H44</x:f>
        <x:v>78</x:v>
      </x:c>
      <x:c r="J44" s="35" t="n">
        <x:f>I44*'01 Assumptions'!$D$23</x:f>
        <x:v>15.600000000000001</x:v>
      </x:c>
      <x:c r="K44" s="35" t="n">
        <x:f>I44+J44</x:f>
        <x:v>93.6</x:v>
      </x:c>
      <x:c r="L44" s="14" t="str">
        <x:v>Pass 57 bounded design hypothesis</x:v>
      </x:c>
    </x:row>
    <x:row r="45">
      <x:c r="C45" s="15" t="str">
        <x:f>'02 Formation Inputs'!C45</x:f>
        <x:v>H-PMG</x:v>
      </x:c>
      <x:c r="D45" s="15" t="str">
        <x:f>'02 Formation Inputs'!D45</x:f>
        <x:v>Health Protection</x:v>
      </x:c>
      <x:c r="E45" s="15" t="str">
        <x:f>'02 Formation Inputs'!E45</x:f>
        <x:v>Patient movement group</x:v>
      </x:c>
      <x:c r="F45" s="15" t="n">
        <x:f>'04 Inventory'!J45</x:f>
        <x:v>91</x:v>
      </x:c>
      <x:c r="G45" s="35" t="n">
        <x:f>F45*'02 Formation Inputs'!S45</x:f>
        <x:v>227.5</x:v>
      </x:c>
      <x:c r="H45" s="35" t="n">
        <x:f>F45*'02 Formation Inputs'!T45</x:f>
        <x:v>136.5</x:v>
      </x:c>
      <x:c r="I45" s="35" t="n">
        <x:f>G45-H45</x:f>
        <x:v>91</x:v>
      </x:c>
      <x:c r="J45" s="35" t="n">
        <x:f>I45*'01 Assumptions'!$D$23</x:f>
        <x:v>18.2</x:v>
      </x:c>
      <x:c r="K45" s="35" t="n">
        <x:f>I45+J45</x:f>
        <x:v>109.2</x:v>
      </x:c>
      <x:c r="L45" s="14" t="str">
        <x:v>Pass 57 and civil mobility; shared carrier credit</x:v>
      </x:c>
    </x:row>
    <x:row r="46">
      <x:c r="C46" s="15" t="str">
        <x:f>'02 Formation Inputs'!C46</x:f>
        <x:v>C-ERG</x:v>
      </x:c>
      <x:c r="D46" s="15" t="str">
        <x:f>'02 Formation Inputs'!D46</x:f>
        <x:v>Community Stabilization</x:v>
      </x:c>
      <x:c r="E46" s="15" t="str">
        <x:f>'02 Formation Inputs'!E46</x:f>
        <x:v>Economic restart group</x:v>
      </x:c>
      <x:c r="F46" s="15" t="n">
        <x:f>'04 Inventory'!J46</x:f>
        <x:v>88</x:v>
      </x:c>
      <x:c r="G46" s="35" t="n">
        <x:f>F46*'02 Formation Inputs'!S46</x:f>
        <x:v>30.799999999999997</x:v>
      </x:c>
      <x:c r="H46" s="35" t="n">
        <x:f>F46*'02 Formation Inputs'!T46</x:f>
        <x:v>0</x:v>
      </x:c>
      <x:c r="I46" s="35" t="n">
        <x:f>G46-H46</x:f>
        <x:v>30.799999999999997</x:v>
      </x:c>
      <x:c r="J46" s="35" t="n">
        <x:f>I46*'01 Assumptions'!$D$23</x:f>
        <x:v>6.16</x:v>
      </x:c>
      <x:c r="K46" s="35" t="n">
        <x:f>I46+J46</x:f>
        <x:v>36.959999999999994</x:v>
      </x:c>
      <x:c r="L46" s="14" t="str">
        <x:v>Pass 57 bounded design hypothesis</x:v>
      </x:c>
    </x:row>
    <x:row r="47">
      <x:c r="C47" s="15" t="str">
        <x:f>'02 Formation Inputs'!C47</x:f>
        <x:v>CM-HCG</x:v>
      </x:c>
      <x:c r="D47" s="15" t="str">
        <x:f>'02 Formation Inputs'!D47</x:f>
        <x:v>Civil Mobility and Continuity</x:v>
      </x:c>
      <x:c r="E47" s="15" t="str">
        <x:f>'02 Formation Inputs'!E47</x:f>
        <x:v>Household collection group</x:v>
      </x:c>
      <x:c r="F47" s="15" t="n">
        <x:f>'04 Inventory'!J47</x:f>
        <x:v>128</x:v>
      </x:c>
      <x:c r="G47" s="35" t="n">
        <x:f>F47*'02 Formation Inputs'!S47</x:f>
        <x:v>878.848</x:v>
      </x:c>
      <x:c r="H47" s="35" t="n">
        <x:f>F47*'02 Formation Inputs'!T47</x:f>
        <x:v>0</x:v>
      </x:c>
      <x:c r="I47" s="35" t="n">
        <x:f>G47-H47</x:f>
        <x:v>878.848</x:v>
      </x:c>
      <x:c r="J47" s="35" t="n">
        <x:f>I47*'01 Assumptions'!$D$23</x:f>
        <x:v>175.7696</x:v>
      </x:c>
      <x:c r="K47" s="35" t="n">
        <x:f>I47+J47</x:f>
        <x:v>1054.6176</x:v>
      </x:c>
      <x:c r="L47" s="14" t="str">
        <x:v>NCAC-35 A2 proxy; shared district-service crew credit</x:v>
      </x:c>
    </x:row>
    <x:row r="48">
      <x:c r="C48" s="15" t="str">
        <x:f>'02 Formation Inputs'!C48</x:f>
        <x:v>CM-CTN</x:v>
      </x:c>
      <x:c r="D48" s="15" t="str">
        <x:f>'02 Formation Inputs'!D48</x:f>
        <x:v>Civil Mobility and Continuity</x:v>
      </x:c>
      <x:c r="E48" s="15" t="str">
        <x:f>'02 Formation Inputs'!E48</x:f>
        <x:v>Continuity transfer-node group</x:v>
      </x:c>
      <x:c r="F48" s="15" t="n">
        <x:f>'04 Inventory'!J48</x:f>
        <x:v>100</x:v>
      </x:c>
      <x:c r="G48" s="35" t="n">
        <x:f>F48*'02 Formation Inputs'!S48</x:f>
        <x:v>300</x:v>
      </x:c>
      <x:c r="H48" s="35" t="n">
        <x:f>F48*'02 Formation Inputs'!T48</x:f>
        <x:v>100</x:v>
      </x:c>
      <x:c r="I48" s="35" t="n">
        <x:f>G48-H48</x:f>
        <x:v>200</x:v>
      </x:c>
      <x:c r="J48" s="35" t="n">
        <x:f>I48*'01 Assumptions'!$D$23</x:f>
        <x:v>40</x:v>
      </x:c>
      <x:c r="K48" s="35" t="n">
        <x:f>I48+J48</x:f>
        <x:v>240</x:v>
      </x:c>
      <x:c r="L48" s="14" t="str">
        <x:v>CTN-10 proxy; shared utility/base credit</x:v>
      </x:c>
    </x:row>
    <x:row r="49">
      <x:c r="C49" s="15" t="str">
        <x:f>'02 Formation Inputs'!C49</x:f>
        <x:v>CM-RMG</x:v>
      </x:c>
      <x:c r="D49" s="15" t="str">
        <x:f>'02 Formation Inputs'!D49</x:f>
        <x:v>Civil Mobility and Continuity</x:v>
      </x:c>
      <x:c r="E49" s="15" t="str">
        <x:f>'02 Formation Inputs'!E49</x:f>
        <x:v>Civil road-mobility group</x:v>
      </x:c>
      <x:c r="F49" s="15" t="n">
        <x:f>'04 Inventory'!J49</x:f>
        <x:v>159</x:v>
      </x:c>
      <x:c r="G49" s="35" t="n">
        <x:f>F49*'02 Formation Inputs'!S49</x:f>
        <x:v>556.5</x:v>
      </x:c>
      <x:c r="H49" s="35" t="n">
        <x:f>F49*'02 Formation Inputs'!T49</x:f>
        <x:v>318</x:v>
      </x:c>
      <x:c r="I49" s="35" t="n">
        <x:f>G49-H49</x:f>
        <x:v>238.5</x:v>
      </x:c>
      <x:c r="J49" s="35" t="n">
        <x:f>I49*'01 Assumptions'!$D$23</x:f>
        <x:v>47.7</x:v>
      </x:c>
      <x:c r="K49" s="35" t="n">
        <x:f>I49+J49</x:f>
        <x:v>286.2</x:v>
      </x:c>
      <x:c r="L49" s="14" t="str">
        <x:v>NCMF architecture; shared road fleet credit</x:v>
      </x:c>
    </x:row>
    <x:row r="50">
      <x:c r="C50" s="15" t="str">
        <x:f>'02 Formation Inputs'!C50</x:f>
        <x:v>CM-RLG</x:v>
      </x:c>
      <x:c r="D50" s="15" t="str">
        <x:f>'02 Formation Inputs'!D50</x:f>
        <x:v>Civil Mobility and Continuity</x:v>
      </x:c>
      <x:c r="E50" s="15" t="str">
        <x:f>'02 Formation Inputs'!E50</x:f>
        <x:v>Civil rail-mobility group</x:v>
      </x:c>
      <x:c r="F50" s="15" t="n">
        <x:f>'04 Inventory'!J50</x:f>
        <x:v>60</x:v>
      </x:c>
      <x:c r="G50" s="35" t="n">
        <x:f>F50*'02 Formation Inputs'!S50</x:f>
        <x:v>360</x:v>
      </x:c>
      <x:c r="H50" s="35" t="n">
        <x:f>F50*'02 Formation Inputs'!T50</x:f>
        <x:v>240</x:v>
      </x:c>
      <x:c r="I50" s="35" t="n">
        <x:f>G50-H50</x:f>
        <x:v>120</x:v>
      </x:c>
      <x:c r="J50" s="35" t="n">
        <x:f>I50*'01 Assumptions'!$D$23</x:f>
        <x:v>24</x:v>
      </x:c>
      <x:c r="K50" s="35" t="n">
        <x:f>I50+J50</x:f>
        <x:v>144</x:v>
      </x:c>
      <x:c r="L50" s="14" t="str">
        <x:v>NCMF architecture; shared rail stock credit</x:v>
      </x:c>
    </x:row>
    <x:row r="51">
      <x:c r="C51" s="15" t="str">
        <x:f>'02 Formation Inputs'!C51</x:f>
        <x:v>CM-AMG</x:v>
      </x:c>
      <x:c r="D51" s="15" t="str">
        <x:f>'02 Formation Inputs'!D51</x:f>
        <x:v>Civil Mobility and Continuity</x:v>
      </x:c>
      <x:c r="E51" s="15" t="str">
        <x:f>'02 Formation Inputs'!E51</x:f>
        <x:v>Civil air-mobility group</x:v>
      </x:c>
      <x:c r="F51" s="15" t="n">
        <x:f>'04 Inventory'!J51</x:f>
        <x:v>58</x:v>
      </x:c>
      <x:c r="G51" s="35" t="n">
        <x:f>F51*'02 Formation Inputs'!S51</x:f>
        <x:v>464</x:v>
      </x:c>
      <x:c r="H51" s="35" t="n">
        <x:f>F51*'02 Formation Inputs'!T51</x:f>
        <x:v>290</x:v>
      </x:c>
      <x:c r="I51" s="35" t="n">
        <x:f>G51-H51</x:f>
        <x:v>174</x:v>
      </x:c>
      <x:c r="J51" s="35" t="n">
        <x:f>I51*'01 Assumptions'!$D$23</x:f>
        <x:v>34.800000000000004</x:v>
      </x:c>
      <x:c r="K51" s="35" t="n">
        <x:f>I51+J51</x:f>
        <x:v>208.8</x:v>
      </x:c>
      <x:c r="L51" s="14" t="str">
        <x:v>NCMF architecture; shared strategic air credit</x:v>
      </x:c>
    </x:row>
    <x:row r="52">
      <x:c r="C52" s="15" t="str">
        <x:f>'02 Formation Inputs'!C52</x:f>
        <x:v>CM-WMG</x:v>
      </x:c>
      <x:c r="D52" s="15" t="str">
        <x:f>'02 Formation Inputs'!D52</x:f>
        <x:v>Civil Mobility and Continuity</x:v>
      </x:c>
      <x:c r="E52" s="15" t="str">
        <x:f>'02 Formation Inputs'!E52</x:f>
        <x:v>Civil water-mobility group</x:v>
      </x:c>
      <x:c r="F52" s="15" t="n">
        <x:f>'04 Inventory'!J52</x:f>
        <x:v>60</x:v>
      </x:c>
      <x:c r="G52" s="35" t="n">
        <x:f>F52*'02 Formation Inputs'!S52</x:f>
        <x:v>300</x:v>
      </x:c>
      <x:c r="H52" s="35" t="n">
        <x:f>F52*'02 Formation Inputs'!T52</x:f>
        <x:v>180</x:v>
      </x:c>
      <x:c r="I52" s="35" t="n">
        <x:f>G52-H52</x:f>
        <x:v>120</x:v>
      </x:c>
      <x:c r="J52" s="35" t="n">
        <x:f>I52*'01 Assumptions'!$D$23</x:f>
        <x:v>24</x:v>
      </x:c>
      <x:c r="K52" s="35" t="n">
        <x:f>I52+J52</x:f>
        <x:v>144</x:v>
      </x:c>
      <x:c r="L52" s="14" t="str">
        <x:v>NCMF architecture; shared maritime credit</x:v>
      </x:c>
    </x:row>
    <x:row r="53">
      <x:c r="C53" s="15" t="str">
        <x:f>'02 Formation Inputs'!C53</x:f>
        <x:v>CM-RDC</x:v>
      </x:c>
      <x:c r="D53" s="15" t="str">
        <x:f>'02 Formation Inputs'!D53</x:f>
        <x:v>Civil Mobility and Continuity</x:v>
      </x:c>
      <x:c r="E53" s="15" t="str">
        <x:f>'02 Formation Inputs'!E53</x:f>
        <x:v>Return and durable-continuity group</x:v>
      </x:c>
      <x:c r="F53" s="15" t="n">
        <x:f>'04 Inventory'!J53</x:f>
        <x:v>93</x:v>
      </x:c>
      <x:c r="G53" s="35" t="n">
        <x:f>F53*'02 Formation Inputs'!S53</x:f>
        <x:v>46.5</x:v>
      </x:c>
      <x:c r="H53" s="35" t="n">
        <x:f>F53*'02 Formation Inputs'!T53</x:f>
        <x:v>9.3</x:v>
      </x:c>
      <x:c r="I53" s="35" t="n">
        <x:f>G53-H53</x:f>
        <x:v>37.2</x:v>
      </x:c>
      <x:c r="J53" s="35" t="n">
        <x:f>I53*'01 Assumptions'!$D$23</x:f>
        <x:v>7.440000000000001</x:v>
      </x:c>
      <x:c r="K53" s="35" t="n">
        <x:f>I53+J53</x:f>
        <x:v>44.64</x:v>
      </x:c>
      <x:c r="L53" s="14" t="str">
        <x:v>Pass 57 bounded design hypothesis</x:v>
      </x:c>
    </x:row>
    <x:row r="54">
      <x:c r="C54" s="15"/>
      <x:c r="D54" s="15"/>
      <x:c r="E54" s="15"/>
      <x:c r="F54" s="15"/>
      <x:c r="G54" s="35"/>
      <x:c r="H54" s="35"/>
      <x:c r="I54" s="35"/>
      <x:c r="J54" s="35"/>
      <x:c r="K54" s="35"/>
      <x:c r="L54" s="14"/>
    </x:row>
    <x:row r="55">
      <x:c r="C55" s="15"/>
      <x:c r="D55" s="15"/>
      <x:c r="E55" s="15"/>
      <x:c r="F55" s="15"/>
      <x:c r="G55" s="35"/>
      <x:c r="H55" s="35"/>
      <x:c r="I55" s="35"/>
      <x:c r="J55" s="35"/>
      <x:c r="K55" s="35"/>
      <x:c r="L55" s="14"/>
    </x:row>
    <x:row r="56">
      <x:c r="C56" s="15"/>
      <x:c r="D56" s="15"/>
      <x:c r="E56" s="15"/>
      <x:c r="F56" s="15"/>
      <x:c r="G56" s="35"/>
      <x:c r="H56" s="35"/>
      <x:c r="I56" s="35"/>
      <x:c r="J56" s="35"/>
      <x:c r="K56" s="35"/>
      <x:c r="L56" s="14"/>
    </x:row>
    <x:row r="57">
      <x:c r="C57" s="15" t="str">
        <x:v>COMMON-NUPS</x:v>
      </x:c>
      <x:c r="D57" s="15" t="str">
        <x:v>Common</x:v>
      </x:c>
      <x:c r="E57" s="15" t="str">
        <x:v>NUPS utility enterprise</x:v>
      </x:c>
      <x:c r="F57" s="15" t="n">
        <x:v>1</x:v>
      </x:c>
      <x:c r="G57" s="35" t="n">
        <x:f>'01 Assumptions'!D17</x:f>
        <x:v>1698</x:v>
      </x:c>
      <x:c r="H57" s="35" t="n">
        <x:f>0</x:f>
        <x:v>0</x:v>
      </x:c>
      <x:c r="I57" s="35" t="n">
        <x:f>G57-H57</x:f>
        <x:v>1698</x:v>
      </x:c>
      <x:c r="J57" s="35" t="n">
        <x:f>I57*'01 Assumptions'!$D$23</x:f>
        <x:v>339.6</x:v>
      </x:c>
      <x:c r="K57" s="35" t="n">
        <x:f>I57+J57</x:f>
        <x:v>2037.6</x:v>
      </x:c>
      <x:c r="L57" s="14" t="str">
        <x:v>Held once across I-WRG, I-PRG, I-GBG and M-MPG</x:v>
      </x:c>
    </x:row>
    <x:row r="58">
      <x:c r="C58" s="15" t="str">
        <x:v>COMMON-BASE</x:v>
      </x:c>
      <x:c r="D58" s="15" t="str">
        <x:v>Common</x:v>
      </x:c>
      <x:c r="E58" s="15" t="str">
        <x:v>Bases, depots and ranges</x:v>
      </x:c>
      <x:c r="F58" s="15" t="n">
        <x:v>1</x:v>
      </x:c>
      <x:c r="G58" s="35" t="n">
        <x:f>'01 Assumptions'!D18</x:f>
        <x:v>650</x:v>
      </x:c>
      <x:c r="H58" s="35" t="n">
        <x:f>0</x:f>
        <x:v>0</x:v>
      </x:c>
      <x:c r="I58" s="35" t="n">
        <x:f>G58-H58</x:f>
        <x:v>650</x:v>
      </x:c>
      <x:c r="J58" s="35" t="n">
        <x:f>I58*'01 Assumptions'!$D$23</x:f>
        <x:v>130</x:v>
      </x:c>
      <x:c r="K58" s="35" t="n">
        <x:f>I58+J58</x:f>
        <x:v>780</x:v>
      </x:c>
      <x:c r="L58" s="14" t="str">
        <x:v>Held once across all generating services</x:v>
      </x:c>
    </x:row>
    <x:row r="59">
      <x:c r="C59" s="15" t="str">
        <x:v>COMMON-ST</x:v>
      </x:c>
      <x:c r="D59" s="15" t="str">
        <x:v>Common</x:v>
      </x:c>
      <x:c r="E59" s="15" t="str">
        <x:v>Science, technology and proving</x:v>
      </x:c>
      <x:c r="F59" s="15" t="n">
        <x:v>1</x:v>
      </x:c>
      <x:c r="G59" s="35" t="n">
        <x:f>'01 Assumptions'!D19</x:f>
        <x:v>1500</x:v>
      </x:c>
      <x:c r="H59" s="35" t="n">
        <x:f>0</x:f>
        <x:v>0</x:v>
      </x:c>
      <x:c r="I59" s="35" t="n">
        <x:f>G59-H59</x:f>
        <x:v>1500</x:v>
      </x:c>
      <x:c r="J59" s="35" t="n">
        <x:f>I59*'01 Assumptions'!$D$23</x:f>
        <x:v>300</x:v>
      </x:c>
      <x:c r="K59" s="35" t="n">
        <x:f>I59+J59</x:f>
        <x:v>1800</x:v>
      </x:c>
      <x:c r="L59" s="14" t="str">
        <x:v>Portfolio capacity; not allocated again to programs</x:v>
      </x:c>
    </x:row>
    <x:row r="60">
      <x:c r="C60" s="15" t="str">
        <x:v>COMMON-EDU</x:v>
      </x:c>
      <x:c r="D60" s="15" t="str">
        <x:v>Common</x:v>
      </x:c>
      <x:c r="E60" s="15" t="str">
        <x:v>Education and workforce infrastructure</x:v>
      </x:c>
      <x:c r="F60" s="15" t="n">
        <x:v>1</x:v>
      </x:c>
      <x:c r="G60" s="35" t="n">
        <x:f>'01 Assumptions'!D20</x:f>
        <x:v>350</x:v>
      </x:c>
      <x:c r="H60" s="35" t="n">
        <x:f>0</x:f>
        <x:v>0</x:v>
      </x:c>
      <x:c r="I60" s="35" t="n">
        <x:f>G60-H60</x:f>
        <x:v>350</x:v>
      </x:c>
      <x:c r="J60" s="35" t="n">
        <x:f>I60*'01 Assumptions'!$D$23</x:f>
        <x:v>70</x:v>
      </x:c>
      <x:c r="K60" s="35" t="n">
        <x:f>I60+J60</x:f>
        <x:v>420</x:v>
      </x:c>
      <x:c r="L60" s="14" t="str">
        <x:v>Schoolhouses and occupation pipelines</x:v>
      </x:c>
    </x:row>
    <x:row r="61">
      <x:c r="C61" s="15" t="str">
        <x:v>COMMON-INFO</x:v>
      </x:c>
      <x:c r="D61" s="15" t="str">
        <x:v>Common</x:v>
      </x:c>
      <x:c r="E61" s="15" t="str">
        <x:v>Information and common digital</x:v>
      </x:c>
      <x:c r="F61" s="15" t="n">
        <x:v>1</x:v>
      </x:c>
      <x:c r="G61" s="35" t="n">
        <x:f>'01 Assumptions'!D21</x:f>
        <x:v>400</x:v>
      </x:c>
      <x:c r="H61" s="35" t="n">
        <x:f>0</x:f>
        <x:v>0</x:v>
      </x:c>
      <x:c r="I61" s="35" t="n">
        <x:f>G61-H61</x:f>
        <x:v>400</x:v>
      </x:c>
      <x:c r="J61" s="35" t="n">
        <x:f>I61*'01 Assumptions'!$D$23</x:f>
        <x:v>80</x:v>
      </x:c>
      <x:c r="K61" s="35" t="n">
        <x:f>I61+J61</x:f>
        <x:v>480</x:v>
      </x:c>
      <x:c r="L61" s="14" t="str">
        <x:v>Shared data and forecast systems</x:v>
      </x:c>
    </x:row>
    <x:row r="62">
      <x:c r="C62" s="15" t="str">
        <x:v>COMMON-IND</x:v>
      </x:c>
      <x:c r="D62" s="15" t="str">
        <x:v>Common</x:v>
      </x:c>
      <x:c r="E62" s="15" t="str">
        <x:v>Strategic industry and materials</x:v>
      </x:c>
      <x:c r="F62" s="15" t="n">
        <x:v>1</x:v>
      </x:c>
      <x:c r="G62" s="35" t="n">
        <x:f>'01 Assumptions'!D22</x:f>
        <x:v>500</x:v>
      </x:c>
      <x:c r="H62" s="35" t="n">
        <x:f>0</x:f>
        <x:v>0</x:v>
      </x:c>
      <x:c r="I62" s="35" t="n">
        <x:f>G62-H62</x:f>
        <x:v>500</x:v>
      </x:c>
      <x:c r="J62" s="35" t="n">
        <x:f>I62*'01 Assumptions'!$D$23</x:f>
        <x:v>100</x:v>
      </x:c>
      <x:c r="K62" s="35" t="n">
        <x:f>I62+J62</x:f>
        <x:v>600</x:v>
      </x:c>
      <x:c r="L62" s="14" t="str">
        <x:v>Cross-program supplier and tooling capacity</x:v>
      </x:c>
    </x:row>
    <x:row r="63">
      <x:c r="C63" s="15"/>
      <x:c r="D63" s="15"/>
      <x:c r="E63" s="15"/>
      <x:c r="F63" s="15"/>
      <x:c r="G63" s="35"/>
      <x:c r="H63" s="35"/>
      <x:c r="I63" s="35"/>
      <x:c r="J63" s="35"/>
      <x:c r="K63" s="35"/>
      <x:c r="L63" s="14"/>
    </x:row>
    <x:row r="64">
      <x:c r="C64" s="15"/>
      <x:c r="D64" s="15"/>
      <x:c r="E64" s="15"/>
      <x:c r="F64" s="15"/>
      <x:c r="G64" s="35"/>
      <x:c r="H64" s="35"/>
      <x:c r="I64" s="35"/>
      <x:c r="J64" s="35"/>
      <x:c r="K64" s="35"/>
      <x:c r="L64" s="14"/>
    </x:row>
    <x:row r="65">
      <x:c r="C65" s="39" t="str">
        <x:v>TOTAL</x:v>
      </x:c>
      <x:c r="D65" s="39" t="str">
        <x:v>Canonical portfolio</x:v>
      </x:c>
      <x:c r="E65" s="39"/>
      <x:c r="F65" s="39"/>
      <x:c r="G65" s="40" t="n">
        <x:f>SUM(G6:G53)+SUM(G57:G62)</x:f>
        <x:v>14917.198</x:v>
      </x:c>
      <x:c r="H65" s="40" t="n">
        <x:f>SUM(H6:H53)+SUM(H57:H62)</x:f>
        <x:v>2268.1000000000004</x:v>
      </x:c>
      <x:c r="I65" s="40" t="n">
        <x:f>SUM(I6:I53)+SUM(I57:I62)</x:f>
        <x:v>12649.098</x:v>
      </x:c>
      <x:c r="J65" s="40" t="n">
        <x:f>SUM(J6:J53)+SUM(J57:J62)</x:f>
        <x:v>2529.8196000000003</x:v>
      </x:c>
      <x:c r="K65" s="40" t="n">
        <x:f>SUM(K6:K53)+SUM(K57:K62)</x:f>
        <x:v>15178.917599999999</x:v>
      </x:c>
      <x:c r="L65" s="41" t="str">
        <x:v>Planning successor; not an independent cost estimate</x:v>
      </x:c>
    </x:row>
  </x:sheetData>
  <x:pageMargins left="0.7" right="0.7" top="0.75" bottom="0.75" header="0.3" footer="0.3"/>
  <x:tableParts count="1">
    <x:tablePart xmlns:r="http://schemas.openxmlformats.org/officeDocument/2006/relationships" r:id="R3207163a63c54ac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2" hidden="0" customWidth="1"/>
    <x:col min="4" max="4" width="31" hidden="0" customWidth="1"/>
    <x:col min="5" max="5" width="23" hidden="0" customWidth="1"/>
    <x:col min="6" max="6" width="11" hidden="0" customWidth="1"/>
    <x:col min="7" max="7" width="16" hidden="0" customWidth="1"/>
    <x:col min="8" max="8" width="12" hidden="0" customWidth="1"/>
    <x:col min="9" max="9" width="16" hidden="0" customWidth="1"/>
    <x:col min="10" max="10" width="17" hidden="0" customWidth="1"/>
    <x:col min="11" max="11" width="18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Mature Annual Operating Screen</x:v>
      </x:c>
      <x:c r="D2" s="1"/>
      <x:c r="E2" s="1"/>
      <x:c r="F2" s="1"/>
      <x:c r="G2" s="1"/>
      <x:c r="H2" s="1"/>
      <x:c r="I2" s="1"/>
      <x:c r="J2" s="1"/>
      <x:c r="K2" s="1"/>
    </x:row>
    <x:row r="3">
      <x:c r="C3" s="3" t="str">
        <x:v>The Pass 23 $858B predecessor is held as the base. Only incremental people and net formation O&amp;M from fifteen additions are layered on it.</x:v>
      </x:c>
      <x:c r="D3" s="3"/>
      <x:c r="E3" s="3"/>
      <x:c r="F3" s="3"/>
      <x:c r="G3" s="3"/>
      <x:c r="H3" s="3"/>
      <x:c r="I3" s="3"/>
      <x:c r="J3" s="3"/>
      <x:c r="K3" s="3"/>
    </x:row>
    <x:row r="5">
      <x:c r="C5" s="9" t="str">
        <x:v>ID</x:v>
      </x:c>
      <x:c r="D5" s="9" t="str">
        <x:v>Formation</x:v>
      </x:c>
      <x:c r="E5" s="9" t="str">
        <x:v>Lineage</x:v>
      </x:c>
      <x:c r="F5" s="9" t="str">
        <x:v>Inventory</x:v>
      </x:c>
      <x:c r="G5" s="9" t="str">
        <x:v>Net capital $B</x:v>
      </x:c>
      <x:c r="H5" s="9" t="str">
        <x:v>O&amp;M rate</x:v>
      </x:c>
      <x:c r="I5" s="9" t="str">
        <x:v>Annual O&amp;M $B</x:v>
      </x:c>
      <x:c r="J5" s="9" t="str">
        <x:v>Annual people $B</x:v>
      </x:c>
      <x:c r="K5" s="9" t="str">
        <x:v>Incremental total $B</x:v>
      </x:c>
    </x:row>
    <x:row r="6">
      <x:c r="C6" s="15" t="str">
        <x:f>'02 Formation Inputs'!C6</x:f>
        <x:v>J-CIE</x:v>
      </x:c>
      <x:c r="D6" s="15" t="str">
        <x:f>'02 Formation Inputs'!E6</x:f>
        <x:v>Civil integration and effects group</x:v>
      </x:c>
      <x:c r="E6" s="24" t="str">
        <x:f>'02 Formation Inputs'!F6</x:f>
        <x:v>Pass 23 retained</x:v>
      </x:c>
      <x:c r="F6" s="45" t="n">
        <x:f>'04 Inventory'!J6</x:f>
        <x:v>53</x:v>
      </x:c>
      <x:c r="G6" s="34" t="n">
        <x:f>'06 Capital'!I6</x:f>
        <x:v>13.25</x:v>
      </x:c>
      <x:c r="H6" s="46" t="n">
        <x:f>'02 Formation Inputs'!V6</x:f>
        <x:v>0.045</x:v>
      </x:c>
      <x:c r="I6" s="34" t="n">
        <x:f>G6*H6</x:f>
        <x:v>0.59625</x:v>
      </x:c>
      <x:c r="J6" s="34" t="n">
        <x:f>'05 Workforce'!T6</x:f>
        <x:v>1.8603</x:v>
      </x:c>
      <x:c r="K6" s="34" t="n">
        <x:f>IF(E6="Pass 58 canonical addition",I6+J6,0)</x:f>
        <x:v>0</x:v>
      </x:c>
    </x:row>
    <x:row r="7">
      <x:c r="C7" s="15" t="str">
        <x:f>'02 Formation Inputs'!C7</x:f>
        <x:v>J-TOC</x:v>
      </x:c>
      <x:c r="D7" s="15" t="str">
        <x:f>'02 Formation Inputs'!E7</x:f>
        <x:v>Theater-opening command</x:v>
      </x:c>
      <x:c r="E7" s="24" t="str">
        <x:f>'02 Formation Inputs'!F7</x:f>
        <x:v>Pass 23 retained</x:v>
      </x:c>
      <x:c r="F7" s="45" t="n">
        <x:f>'04 Inventory'!J7</x:f>
        <x:v>36</x:v>
      </x:c>
      <x:c r="G7" s="34" t="n">
        <x:f>'06 Capital'!I7</x:f>
        <x:v>43.199999999999996</x:v>
      </x:c>
      <x:c r="H7" s="46" t="n">
        <x:f>'02 Formation Inputs'!V7</x:f>
        <x:v>0.045</x:v>
      </x:c>
      <x:c r="I7" s="34" t="n">
        <x:f>G7*H7</x:f>
        <x:v>1.9439999999999997</x:v>
      </x:c>
      <x:c r="J7" s="34" t="n">
        <x:f>'05 Workforce'!T7</x:f>
        <x:v>6.318</x:v>
      </x:c>
      <x:c r="K7" s="34" t="n">
        <x:f>IF(E7="Pass 58 canonical addition",I7+J7,0)</x:f>
        <x:v>0</x:v>
      </x:c>
    </x:row>
    <x:row r="8">
      <x:c r="C8" s="15" t="str">
        <x:f>'02 Formation Inputs'!C8</x:f>
        <x:v>J-TSC</x:v>
      </x:c>
      <x:c r="D8" s="15" t="str">
        <x:f>'02 Formation Inputs'!E8</x:f>
        <x:v>Theater sustainment command</x:v>
      </x:c>
      <x:c r="E8" s="24" t="str">
        <x:f>'02 Formation Inputs'!F8</x:f>
        <x:v>Pass 23 retained</x:v>
      </x:c>
      <x:c r="F8" s="45" t="n">
        <x:f>'04 Inventory'!J8</x:f>
        <x:v>51</x:v>
      </x:c>
      <x:c r="G8" s="34" t="n">
        <x:f>'06 Capital'!I8</x:f>
        <x:v>76.5</x:v>
      </x:c>
      <x:c r="H8" s="46" t="n">
        <x:f>'02 Formation Inputs'!V8</x:f>
        <x:v>0.045</x:v>
      </x:c>
      <x:c r="I8" s="34" t="n">
        <x:f>G8*H8</x:f>
        <x:v>3.4425</x:v>
      </x:c>
      <x:c r="J8" s="34" t="n">
        <x:f>'05 Workforce'!T8</x:f>
        <x:v>13.42575</x:v>
      </x:c>
      <x:c r="K8" s="34" t="n">
        <x:f>IF(E8="Pass 58 canonical addition",I8+J8,0)</x:f>
        <x:v>0</x:v>
      </x:c>
    </x:row>
    <x:row r="9">
      <x:c r="C9" s="15" t="str">
        <x:f>'02 Formation Inputs'!C9</x:f>
        <x:v>J-RRG</x:v>
      </x:c>
      <x:c r="D9" s="15" t="str">
        <x:f>'02 Formation Inputs'!E9</x:f>
        <x:v>Replacement and reconstitution group</x:v>
      </x:c>
      <x:c r="E9" s="24" t="str">
        <x:f>'02 Formation Inputs'!F9</x:f>
        <x:v>Pass 23 retained</x:v>
      </x:c>
      <x:c r="F9" s="45" t="n">
        <x:f>'04 Inventory'!J9</x:f>
        <x:v>51</x:v>
      </x:c>
      <x:c r="G9" s="34" t="n">
        <x:f>'06 Capital'!I9</x:f>
        <x:v>40.800000000000004</x:v>
      </x:c>
      <x:c r="H9" s="46" t="n">
        <x:f>'02 Formation Inputs'!V9</x:f>
        <x:v>0.045</x:v>
      </x:c>
      <x:c r="I9" s="34" t="n">
        <x:f>G9*H9</x:f>
        <x:v>1.836</x:v>
      </x:c>
      <x:c r="J9" s="34" t="n">
        <x:f>'05 Workforce'!T9</x:f>
        <x:v>5.967</x:v>
      </x:c>
      <x:c r="K9" s="34" t="n">
        <x:f>IF(E9="Pass 58 canonical addition",I9+J9,0)</x:f>
        <x:v>0</x:v>
      </x:c>
    </x:row>
    <x:row r="10">
      <x:c r="C10" s="15" t="str">
        <x:f>'02 Formation Inputs'!C10</x:f>
        <x:v>J-TDG</x:v>
      </x:c>
      <x:c r="D10" s="15" t="str">
        <x:f>'02 Formation Inputs'!E10</x:f>
        <x:v>Transfer and demobilization group</x:v>
      </x:c>
      <x:c r="E10" s="24" t="str">
        <x:f>'02 Formation Inputs'!F10</x:f>
        <x:v>Pass 23 retained</x:v>
      </x:c>
      <x:c r="F10" s="45" t="n">
        <x:f>'04 Inventory'!J10</x:f>
        <x:v>36</x:v>
      </x:c>
      <x:c r="G10" s="34" t="n">
        <x:f>'06 Capital'!I10</x:f>
        <x:v>10.799999999999999</x:v>
      </x:c>
      <x:c r="H10" s="46" t="n">
        <x:f>'02 Formation Inputs'!V10</x:f>
        <x:v>0.045</x:v>
      </x:c>
      <x:c r="I10" s="34" t="n">
        <x:f>G10*H10</x:f>
        <x:v>0.48599999999999993</x:v>
      </x:c>
      <x:c r="J10" s="34" t="n">
        <x:f>'05 Workforce'!T10</x:f>
        <x:v>1.5795</x:v>
      </x:c>
      <x:c r="K10" s="34" t="n">
        <x:f>IF(E10="Pass 58 canonical addition",I10+J10,0)</x:f>
        <x:v>0</x:v>
      </x:c>
    </x:row>
    <x:row r="11">
      <x:c r="C11" s="15" t="str">
        <x:f>'02 Formation Inputs'!C11</x:f>
        <x:v>L-ROG</x:v>
      </x:c>
      <x:c r="D11" s="15" t="str">
        <x:f>'02 Formation Inputs'!E11</x:f>
        <x:v>Access and route-opening group</x:v>
      </x:c>
      <x:c r="E11" s="24" t="str">
        <x:f>'02 Formation Inputs'!F11</x:f>
        <x:v>Pass 23 retained</x:v>
      </x:c>
      <x:c r="F11" s="45" t="n">
        <x:f>'04 Inventory'!J11</x:f>
        <x:v>121</x:v>
      </x:c>
      <x:c r="G11" s="34" t="n">
        <x:f>'06 Capital'!I11</x:f>
        <x:v>145.2</x:v>
      </x:c>
      <x:c r="H11" s="46" t="n">
        <x:f>'02 Formation Inputs'!V11</x:f>
        <x:v>0.05</x:v>
      </x:c>
      <x:c r="I11" s="34" t="n">
        <x:f>G11*H11</x:f>
        <x:v>7.26</x:v>
      </x:c>
      <x:c r="J11" s="34" t="n">
        <x:f>'05 Workforce'!T11</x:f>
        <x:v>10.5430325</x:v>
      </x:c>
      <x:c r="K11" s="34" t="n">
        <x:f>IF(E11="Pass 58 canonical addition",I11+J11,0)</x:f>
        <x:v>0</x:v>
      </x:c>
    </x:row>
    <x:row r="12">
      <x:c r="C12" s="15" t="str">
        <x:f>'02 Formation Inputs'!C12</x:f>
        <x:v>L-HCG</x:v>
      </x:c>
      <x:c r="D12" s="15" t="str">
        <x:f>'02 Formation Inputs'!E12</x:f>
        <x:v>Flood and hydraulic-control group</x:v>
      </x:c>
      <x:c r="E12" s="24" t="str">
        <x:f>'02 Formation Inputs'!F12</x:f>
        <x:v>Pass 23 retained</x:v>
      </x:c>
      <x:c r="F12" s="45" t="n">
        <x:f>'04 Inventory'!J12</x:f>
        <x:v>86</x:v>
      </x:c>
      <x:c r="G12" s="34" t="n">
        <x:f>'06 Capital'!I12</x:f>
        <x:v>154.8</x:v>
      </x:c>
      <x:c r="H12" s="46" t="n">
        <x:f>'02 Formation Inputs'!V12</x:f>
        <x:v>0.05</x:v>
      </x:c>
      <x:c r="I12" s="34" t="n">
        <x:f>G12*H12</x:f>
        <x:v>7.740000000000001</x:v>
      </x:c>
      <x:c r="J12" s="34" t="n">
        <x:f>'05 Workforce'!T12</x:f>
        <x:v>10.70485</x:v>
      </x:c>
      <x:c r="K12" s="34" t="n">
        <x:f>IF(E12="Pass 58 canonical addition",I12+J12,0)</x:f>
        <x:v>0</x:v>
      </x:c>
    </x:row>
    <x:row r="13">
      <x:c r="C13" s="15" t="str">
        <x:f>'02 Formation Inputs'!C13</x:f>
        <x:v>L-DMG</x:v>
      </x:c>
      <x:c r="D13" s="15" t="str">
        <x:f>'02 Formation Inputs'!E13</x:f>
        <x:v>Debris and materials group</x:v>
      </x:c>
      <x:c r="E13" s="24" t="str">
        <x:f>'02 Formation Inputs'!F13</x:f>
        <x:v>Pass 23 retained</x:v>
      </x:c>
      <x:c r="F13" s="45" t="n">
        <x:f>'04 Inventory'!J13</x:f>
        <x:v>112</x:v>
      </x:c>
      <x:c r="G13" s="34" t="n">
        <x:f>'06 Capital'!I13</x:f>
        <x:v>156.79999999999998</x:v>
      </x:c>
      <x:c r="H13" s="46" t="n">
        <x:f>'02 Formation Inputs'!V13</x:f>
        <x:v>0.05</x:v>
      </x:c>
      <x:c r="I13" s="34" t="n">
        <x:f>G13*H13</x:f>
        <x:v>7.84</x:v>
      </x:c>
      <x:c r="J13" s="34" t="n">
        <x:f>'05 Workforce'!T13</x:f>
        <x:v>11.15296</x:v>
      </x:c>
      <x:c r="K13" s="34" t="n">
        <x:f>IF(E13="Pass 58 canonical addition",I13+J13,0)</x:f>
        <x:v>0</x:v>
      </x:c>
    </x:row>
    <x:row r="14">
      <x:c r="C14" s="15" t="str">
        <x:f>'02 Formation Inputs'!C14</x:f>
        <x:v>L-TWG</x:v>
      </x:c>
      <x:c r="D14" s="15" t="str">
        <x:f>'02 Formation Inputs'!E14</x:f>
        <x:v>Temporary works and crossing group</x:v>
      </x:c>
      <x:c r="E14" s="24" t="str">
        <x:f>'02 Formation Inputs'!F14</x:f>
        <x:v>Pass 23 retained</x:v>
      </x:c>
      <x:c r="F14" s="45" t="n">
        <x:f>'04 Inventory'!J14</x:f>
        <x:v>91</x:v>
      </x:c>
      <x:c r="G14" s="34" t="n">
        <x:f>'06 Capital'!I14</x:f>
        <x:v>109.2</x:v>
      </x:c>
      <x:c r="H14" s="46" t="n">
        <x:f>'02 Formation Inputs'!V14</x:f>
        <x:v>0.05</x:v>
      </x:c>
      <x:c r="I14" s="34" t="n">
        <x:f>G14*H14</x:f>
        <x:v>5.460000000000001</x:v>
      </x:c>
      <x:c r="J14" s="34" t="n">
        <x:f>'05 Workforce'!T14</x:f>
        <x:v>7.929057499999999</x:v>
      </x:c>
      <x:c r="K14" s="34" t="n">
        <x:f>IF(E14="Pass 58 canonical addition",I14+J14,0)</x:f>
        <x:v>0</x:v>
      </x:c>
    </x:row>
    <x:row r="15">
      <x:c r="C15" s="15" t="str">
        <x:f>'02 Formation Inputs'!C15</x:f>
        <x:v>L-GFG</x:v>
      </x:c>
      <x:c r="D15" s="15" t="str">
        <x:f>'02 Formation Inputs'!E15</x:f>
        <x:v>Ground fire and landscape group</x:v>
      </x:c>
      <x:c r="E15" s="24" t="str">
        <x:f>'02 Formation Inputs'!F15</x:f>
        <x:v>Pass 23 retained</x:v>
      </x:c>
      <x:c r="F15" s="45" t="n">
        <x:f>'04 Inventory'!J15</x:f>
        <x:v>57</x:v>
      </x:c>
      <x:c r="G15" s="34" t="n">
        <x:f>'06 Capital'!I15</x:f>
        <x:v>57</x:v>
      </x:c>
      <x:c r="H15" s="46" t="n">
        <x:f>'02 Formation Inputs'!V15</x:f>
        <x:v>0.05</x:v>
      </x:c>
      <x:c r="I15" s="34" t="n">
        <x:f>G15*H15</x:f>
        <x:v>2.85</x:v>
      </x:c>
      <x:c r="J15" s="34" t="n">
        <x:f>'05 Workforce'!T15</x:f>
        <x:v>6.3855675</x:v>
      </x:c>
      <x:c r="K15" s="34" t="n">
        <x:f>IF(E15="Pass 58 canonical addition",I15+J15,0)</x:f>
        <x:v>0</x:v>
      </x:c>
    </x:row>
    <x:row r="16">
      <x:c r="C16" s="15" t="str">
        <x:f>'02 Formation Inputs'!C16</x:f>
        <x:v>A-SMW</x:v>
      </x:c>
      <x:c r="D16" s="15" t="str">
        <x:f>'02 Formation Inputs'!E16</x:f>
        <x:v>Strategic mobility wing</x:v>
      </x:c>
      <x:c r="E16" s="24" t="str">
        <x:f>'02 Formation Inputs'!F16</x:f>
        <x:v>Pass 23 retained</x:v>
      </x:c>
      <x:c r="F16" s="45" t="n">
        <x:f>'04 Inventory'!J16</x:f>
        <x:v>58</x:v>
      </x:c>
      <x:c r="G16" s="34" t="n">
        <x:f>'06 Capital'!I16</x:f>
        <x:v>464</x:v>
      </x:c>
      <x:c r="H16" s="46" t="n">
        <x:f>'02 Formation Inputs'!V16</x:f>
        <x:v>0.07</x:v>
      </x:c>
      <x:c r="I16" s="34" t="n">
        <x:f>G16*H16</x:f>
        <x:v>32.480000000000004</x:v>
      </x:c>
      <x:c r="J16" s="34" t="n">
        <x:f>'05 Workforce'!T16</x:f>
        <x:v>19.37925</x:v>
      </x:c>
      <x:c r="K16" s="34" t="n">
        <x:f>IF(E16="Pass 58 canonical addition",I16+J16,0)</x:f>
        <x:v>0</x:v>
      </x:c>
    </x:row>
    <x:row r="17">
      <x:c r="C17" s="15" t="str">
        <x:f>'02 Formation Inputs'!C17</x:f>
        <x:v>A-AAG</x:v>
      </x:c>
      <x:c r="D17" s="15" t="str">
        <x:f>'02 Formation Inputs'!E17</x:f>
        <x:v>Austere air-access group</x:v>
      </x:c>
      <x:c r="E17" s="24" t="str">
        <x:f>'02 Formation Inputs'!F17</x:f>
        <x:v>Pass 23 retained</x:v>
      </x:c>
      <x:c r="F17" s="45" t="n">
        <x:f>'04 Inventory'!J17</x:f>
        <x:v>67</x:v>
      </x:c>
      <x:c r="G17" s="34" t="n">
        <x:f>'06 Capital'!I17</x:f>
        <x:v>167.5</x:v>
      </x:c>
      <x:c r="H17" s="46" t="n">
        <x:f>'02 Formation Inputs'!V17</x:f>
        <x:v>0.07</x:v>
      </x:c>
      <x:c r="I17" s="34" t="n">
        <x:f>G17*H17</x:f>
        <x:v>11.725000000000001</x:v>
      </x:c>
      <x:c r="J17" s="34" t="n">
        <x:f>'05 Workforce'!T17</x:f>
        <x:v>8.7058125</x:v>
      </x:c>
      <x:c r="K17" s="34" t="n">
        <x:f>IF(E17="Pass 58 canonical addition",I17+J17,0)</x:f>
        <x:v>0</x:v>
      </x:c>
    </x:row>
    <x:row r="18">
      <x:c r="C18" s="15" t="str">
        <x:f>'02 Formation Inputs'!C18</x:f>
        <x:v>A-AHW</x:v>
      </x:c>
      <x:c r="D18" s="15" t="str">
        <x:f>'02 Formation Inputs'!E18</x:f>
        <x:v>Aerial hazard-control wing</x:v>
      </x:c>
      <x:c r="E18" s="24" t="str">
        <x:f>'02 Formation Inputs'!F18</x:f>
        <x:v>Pass 23 retained</x:v>
      </x:c>
      <x:c r="F18" s="45" t="n">
        <x:f>'04 Inventory'!J18</x:f>
        <x:v>41</x:v>
      </x:c>
      <x:c r="G18" s="34" t="n">
        <x:f>'06 Capital'!I18</x:f>
        <x:v>246</x:v>
      </x:c>
      <x:c r="H18" s="46" t="n">
        <x:f>'02 Formation Inputs'!V18</x:f>
        <x:v>0.07</x:v>
      </x:c>
      <x:c r="I18" s="34" t="n">
        <x:f>G18*H18</x:f>
        <x:v>17.220000000000002</x:v>
      </x:c>
      <x:c r="J18" s="34" t="n">
        <x:f>'05 Workforce'!T18</x:f>
        <x:v>9.13275</x:v>
      </x:c>
      <x:c r="K18" s="34" t="n">
        <x:f>IF(E18="Pass 58 canonical addition",I18+J18,0)</x:f>
        <x:v>0</x:v>
      </x:c>
    </x:row>
    <x:row r="19">
      <x:c r="C19" s="15" t="str">
        <x:f>'02 Formation Inputs'!C19</x:f>
        <x:v>A-TDG</x:v>
      </x:c>
      <x:c r="D19" s="15" t="str">
        <x:f>'02 Formation Inputs'!E19</x:f>
        <x:v>Tactical distribution group</x:v>
      </x:c>
      <x:c r="E19" s="24" t="str">
        <x:f>'02 Formation Inputs'!F19</x:f>
        <x:v>Pass 23 retained</x:v>
      </x:c>
      <x:c r="F19" s="45" t="n">
        <x:f>'04 Inventory'!J19</x:f>
        <x:v>108</x:v>
      </x:c>
      <x:c r="G19" s="34" t="n">
        <x:f>'06 Capital'!I19</x:f>
        <x:v>324</x:v>
      </x:c>
      <x:c r="H19" s="46" t="n">
        <x:f>'02 Formation Inputs'!V19</x:f>
        <x:v>0.07</x:v>
      </x:c>
      <x:c r="I19" s="34" t="n">
        <x:f>G19*H19</x:f>
        <x:v>22.680000000000003</x:v>
      </x:c>
      <x:c r="J19" s="34" t="n">
        <x:f>'05 Workforce'!T19</x:f>
        <x:v>18.04275</x:v>
      </x:c>
      <x:c r="K19" s="34" t="n">
        <x:f>IF(E19="Pass 58 canonical addition",I19+J19,0)</x:f>
        <x:v>0</x:v>
      </x:c>
    </x:row>
    <x:row r="20">
      <x:c r="C20" s="15" t="str">
        <x:f>'02 Formation Inputs'!C20</x:f>
        <x:v>A-SRG</x:v>
      </x:c>
      <x:c r="D20" s="15" t="str">
        <x:f>'02 Formation Inputs'!E20</x:f>
        <x:v>Air sensing and relay group</x:v>
      </x:c>
      <x:c r="E20" s="24" t="str">
        <x:f>'02 Formation Inputs'!F20</x:f>
        <x:v>Pass 23 retained</x:v>
      </x:c>
      <x:c r="F20" s="45" t="n">
        <x:f>'04 Inventory'!J20</x:f>
        <x:v>74</x:v>
      </x:c>
      <x:c r="G20" s="34" t="n">
        <x:f>'06 Capital'!I20</x:f>
        <x:v>88.8</x:v>
      </x:c>
      <x:c r="H20" s="46" t="n">
        <x:f>'02 Formation Inputs'!V20</x:f>
        <x:v>0.07</x:v>
      </x:c>
      <x:c r="I20" s="34" t="n">
        <x:f>G20*H20</x:f>
        <x:v>6.216</x:v>
      </x:c>
      <x:c r="J20" s="34" t="n">
        <x:f>'05 Workforce'!T20</x:f>
        <x:v>4.94505</x:v>
      </x:c>
      <x:c r="K20" s="34" t="n">
        <x:f>IF(E20="Pass 58 canonical addition",I20+J20,0)</x:f>
        <x:v>0</x:v>
      </x:c>
    </x:row>
    <x:row r="21">
      <x:c r="C21" s="15" t="str">
        <x:f>'02 Formation Inputs'!C21</x:f>
        <x:v>A-AMG</x:v>
      </x:c>
      <x:c r="D21" s="15" t="str">
        <x:f>'02 Formation Inputs'!E21</x:f>
        <x:v>Aeromedical movement group</x:v>
      </x:c>
      <x:c r="E21" s="24" t="str">
        <x:f>'02 Formation Inputs'!F21</x:f>
        <x:v>Pass 23 retained</x:v>
      </x:c>
      <x:c r="F21" s="45" t="n">
        <x:f>'04 Inventory'!J21</x:f>
        <x:v>58</x:v>
      </x:c>
      <x:c r="G21" s="34" t="n">
        <x:f>'06 Capital'!I21</x:f>
        <x:v>145</x:v>
      </x:c>
      <x:c r="H21" s="46" t="n">
        <x:f>'02 Formation Inputs'!V21</x:f>
        <x:v>0.07</x:v>
      </x:c>
      <x:c r="I21" s="34" t="n">
        <x:f>G21*H21</x:f>
        <x:v>10.15</x:v>
      </x:c>
      <x:c r="J21" s="34" t="n">
        <x:f>'05 Workforce'!T21</x:f>
        <x:v>6.45975</x:v>
      </x:c>
      <x:c r="K21" s="34" t="n">
        <x:f>IF(E21="Pass 58 canonical addition",I21+J21,0)</x:f>
        <x:v>0</x:v>
      </x:c>
    </x:row>
    <x:row r="22">
      <x:c r="C22" s="15" t="str">
        <x:f>'02 Formation Inputs'!C22</x:f>
        <x:v>M-POG</x:v>
      </x:c>
      <x:c r="D22" s="15" t="str">
        <x:f>'02 Formation Inputs'!E22</x:f>
        <x:v>Port-opening group</x:v>
      </x:c>
      <x:c r="E22" s="24" t="str">
        <x:f>'02 Formation Inputs'!F22</x:f>
        <x:v>Pass 23 retained</x:v>
      </x:c>
      <x:c r="F22" s="45" t="n">
        <x:f>'04 Inventory'!J22</x:f>
        <x:v>60</x:v>
      </x:c>
      <x:c r="G22" s="34" t="n">
        <x:f>'06 Capital'!I22</x:f>
        <x:v>180</x:v>
      </x:c>
      <x:c r="H22" s="46" t="n">
        <x:f>'02 Formation Inputs'!V22</x:f>
        <x:v>0.065</x:v>
      </x:c>
      <x:c r="I22" s="34" t="n">
        <x:f>G22*H22</x:f>
        <x:v>11.700000000000001</x:v>
      </x:c>
      <x:c r="J22" s="34" t="n">
        <x:f>'05 Workforce'!T22</x:f>
        <x:v>10.5543</x:v>
      </x:c>
      <x:c r="K22" s="34" t="n">
        <x:f>IF(E22="Pass 58 canonical addition",I22+J22,0)</x:f>
        <x:v>0</x:v>
      </x:c>
    </x:row>
    <x:row r="23">
      <x:c r="C23" s="15" t="str">
        <x:f>'02 Formation Inputs'!C23</x:f>
        <x:v>M-LAG</x:v>
      </x:c>
      <x:c r="D23" s="15" t="str">
        <x:f>'02 Formation Inputs'!E23</x:f>
        <x:v>Littoral-access group</x:v>
      </x:c>
      <x:c r="E23" s="24" t="str">
        <x:f>'02 Formation Inputs'!F23</x:f>
        <x:v>Pass 23 retained</x:v>
      </x:c>
      <x:c r="F23" s="45" t="n">
        <x:f>'04 Inventory'!J23</x:f>
        <x:v>69</x:v>
      </x:c>
      <x:c r="G23" s="34" t="n">
        <x:f>'06 Capital'!I23</x:f>
        <x:v>138</x:v>
      </x:c>
      <x:c r="H23" s="46" t="n">
        <x:f>'02 Formation Inputs'!V23</x:f>
        <x:v>0.065</x:v>
      </x:c>
      <x:c r="I23" s="34" t="n">
        <x:f>G23*H23</x:f>
        <x:v>8.97</x:v>
      </x:c>
      <x:c r="J23" s="34" t="n">
        <x:f>'05 Workforce'!T23</x:f>
        <x:v>9.440235</x:v>
      </x:c>
      <x:c r="K23" s="34" t="n">
        <x:f>IF(E23="Pass 58 canonical addition",I23+J23,0)</x:f>
        <x:v>0</x:v>
      </x:c>
    </x:row>
    <x:row r="24">
      <x:c r="C24" s="15" t="str">
        <x:f>'02 Formation Inputs'!C24</x:f>
        <x:v>M-IWG</x:v>
      </x:c>
      <x:c r="D24" s="15" t="str">
        <x:f>'02 Formation Inputs'!E24</x:f>
        <x:v>Inland-waterway group</x:v>
      </x:c>
      <x:c r="E24" s="24" t="str">
        <x:f>'02 Formation Inputs'!F24</x:f>
        <x:v>Pass 23 retained</x:v>
      </x:c>
      <x:c r="F24" s="45" t="n">
        <x:f>'04 Inventory'!J24</x:f>
        <x:v>54</x:v>
      </x:c>
      <x:c r="G24" s="34" t="n">
        <x:f>'06 Capital'!I24</x:f>
        <x:v>81</x:v>
      </x:c>
      <x:c r="H24" s="46" t="n">
        <x:f>'02 Formation Inputs'!V24</x:f>
        <x:v>0.065</x:v>
      </x:c>
      <x:c r="I24" s="34" t="n">
        <x:f>G24*H24</x:f>
        <x:v>5.265000000000001</x:v>
      </x:c>
      <x:c r="J24" s="34" t="n">
        <x:f>'05 Workforce'!T24</x:f>
        <x:v>5.27715</x:v>
      </x:c>
      <x:c r="K24" s="34" t="n">
        <x:f>IF(E24="Pass 58 canonical addition",I24+J24,0)</x:f>
        <x:v>0</x:v>
      </x:c>
    </x:row>
    <x:row r="25">
      <x:c r="C25" s="15" t="str">
        <x:f>'02 Formation Inputs'!C25</x:f>
        <x:v>M-OSG</x:v>
      </x:c>
      <x:c r="D25" s="15" t="str">
        <x:f>'02 Formation Inputs'!E25</x:f>
        <x:v>Offshore-support group</x:v>
      </x:c>
      <x:c r="E25" s="24" t="str">
        <x:f>'02 Formation Inputs'!F25</x:f>
        <x:v>Pass 23 retained</x:v>
      </x:c>
      <x:c r="F25" s="45" t="n">
        <x:f>'04 Inventory'!J25</x:f>
        <x:v>45</x:v>
      </x:c>
      <x:c r="G25" s="34" t="n">
        <x:f>'06 Capital'!I25</x:f>
        <x:v>315</x:v>
      </x:c>
      <x:c r="H25" s="46" t="n">
        <x:f>'02 Formation Inputs'!V25</x:f>
        <x:v>0.065</x:v>
      </x:c>
      <x:c r="I25" s="34" t="n">
        <x:f>G25*H25</x:f>
        <x:v>20.475</x:v>
      </x:c>
      <x:c r="J25" s="34" t="n">
        <x:f>'05 Workforce'!T25</x:f>
        <x:v>12.31335</x:v>
      </x:c>
      <x:c r="K25" s="34" t="n">
        <x:f>IF(E25="Pass 58 canonical addition",I25+J25,0)</x:f>
        <x:v>0</x:v>
      </x:c>
    </x:row>
    <x:row r="26">
      <x:c r="C26" s="15" t="str">
        <x:f>'02 Formation Inputs'!C26</x:f>
        <x:v>M-SSG</x:v>
      </x:c>
      <x:c r="D26" s="15" t="str">
        <x:f>'02 Formation Inputs'!E26</x:f>
        <x:v>Ocean sustainment group</x:v>
      </x:c>
      <x:c r="E26" s="24" t="str">
        <x:f>'02 Formation Inputs'!F26</x:f>
        <x:v>Pass 23 retained</x:v>
      </x:c>
      <x:c r="F26" s="45" t="n">
        <x:f>'04 Inventory'!J26</x:f>
        <x:v>71</x:v>
      </x:c>
      <x:c r="G26" s="34" t="n">
        <x:f>'06 Capital'!I26</x:f>
        <x:v>639</x:v>
      </x:c>
      <x:c r="H26" s="46" t="n">
        <x:f>'02 Formation Inputs'!V26</x:f>
        <x:v>0.065</x:v>
      </x:c>
      <x:c r="I26" s="34" t="n">
        <x:f>G26*H26</x:f>
        <x:v>41.535000000000004</x:v>
      </x:c>
      <x:c r="J26" s="34" t="n">
        <x:f>'05 Workforce'!T26</x:f>
        <x:v>18.040035</x:v>
      </x:c>
      <x:c r="K26" s="34" t="n">
        <x:f>IF(E26="Pass 58 canonical addition",I26+J26,0)</x:f>
        <x:v>0</x:v>
      </x:c>
    </x:row>
    <x:row r="27">
      <x:c r="C27" s="15" t="str">
        <x:f>'02 Formation Inputs'!C27</x:f>
        <x:v>I-CUG</x:v>
      </x:c>
      <x:c r="D27" s="15" t="str">
        <x:f>'02 Formation Inputs'!E27</x:f>
        <x:v>Communications utility group</x:v>
      </x:c>
      <x:c r="E27" s="24" t="str">
        <x:f>'02 Formation Inputs'!F27</x:f>
        <x:v>Pass 23 retained</x:v>
      </x:c>
      <x:c r="F27" s="45" t="n">
        <x:f>'04 Inventory'!J27</x:f>
        <x:v>102</x:v>
      </x:c>
      <x:c r="G27" s="34" t="n">
        <x:f>'06 Capital'!I27</x:f>
        <x:v>102</x:v>
      </x:c>
      <x:c r="H27" s="46" t="n">
        <x:f>'02 Formation Inputs'!V27</x:f>
        <x:v>0.05</x:v>
      </x:c>
      <x:c r="I27" s="34" t="n">
        <x:f>G27*H27</x:f>
        <x:v>5.1000000000000005</x:v>
      </x:c>
      <x:c r="J27" s="34" t="n">
        <x:f>'05 Workforce'!T27</x:f>
        <x:v>7.592625</x:v>
      </x:c>
      <x:c r="K27" s="34" t="n">
        <x:f>IF(E27="Pass 58 canonical addition",I27+J27,0)</x:f>
        <x:v>0</x:v>
      </x:c>
    </x:row>
    <x:row r="28">
      <x:c r="C28" s="15" t="str">
        <x:f>'02 Formation Inputs'!C28</x:f>
        <x:v>I-TSG</x:v>
      </x:c>
      <x:c r="D28" s="15" t="str">
        <x:f>'02 Formation Inputs'!E28</x:f>
        <x:v>Thermal safety group</x:v>
      </x:c>
      <x:c r="E28" s="24" t="str">
        <x:f>'02 Formation Inputs'!F28</x:f>
        <x:v>Pass 23 retained</x:v>
      </x:c>
      <x:c r="F28" s="45" t="n">
        <x:f>'04 Inventory'!J28</x:f>
        <x:v>108</x:v>
      </x:c>
      <x:c r="G28" s="34" t="n">
        <x:f>'06 Capital'!I28</x:f>
        <x:v>86.4</x:v>
      </x:c>
      <x:c r="H28" s="46" t="n">
        <x:f>'02 Formation Inputs'!V28</x:f>
        <x:v>0.05</x:v>
      </x:c>
      <x:c r="I28" s="34" t="n">
        <x:f>G28*H28</x:f>
        <x:v>4.32</x:v>
      </x:c>
      <x:c r="J28" s="34" t="n">
        <x:f>'05 Workforce'!T28</x:f>
        <x:v>8.03925</x:v>
      </x:c>
      <x:c r="K28" s="34" t="n">
        <x:f>IF(E28="Pass 58 canonical addition",I28+J28,0)</x:f>
        <x:v>0</x:v>
      </x:c>
    </x:row>
    <x:row r="29">
      <x:c r="C29" s="15" t="str">
        <x:f>'02 Formation Inputs'!C29</x:f>
        <x:v>I-URG</x:v>
      </x:c>
      <x:c r="D29" s="15" t="str">
        <x:f>'02 Formation Inputs'!E29</x:f>
        <x:v>Utility reconstruction group</x:v>
      </x:c>
      <x:c r="E29" s="24" t="str">
        <x:f>'02 Formation Inputs'!F29</x:f>
        <x:v>Pass 23 retained</x:v>
      </x:c>
      <x:c r="F29" s="45" t="n">
        <x:f>'04 Inventory'!J29</x:f>
        <x:v>126</x:v>
      </x:c>
      <x:c r="G29" s="34" t="n">
        <x:f>'06 Capital'!I29</x:f>
        <x:v>252</x:v>
      </x:c>
      <x:c r="H29" s="46" t="n">
        <x:f>'02 Formation Inputs'!V29</x:f>
        <x:v>0.05</x:v>
      </x:c>
      <x:c r="I29" s="34" t="n">
        <x:f>G29*H29</x:f>
        <x:v>12.600000000000001</x:v>
      </x:c>
      <x:c r="J29" s="34" t="n">
        <x:f>'05 Workforce'!T29</x:f>
        <x:v>16.882424999999998</x:v>
      </x:c>
      <x:c r="K29" s="34" t="n">
        <x:f>IF(E29="Pass 58 canonical addition",I29+J29,0)</x:f>
        <x:v>0</x:v>
      </x:c>
    </x:row>
    <x:row r="30">
      <x:c r="C30" s="15" t="str">
        <x:f>'02 Formation Inputs'!C30</x:f>
        <x:v>H-CHC</x:v>
      </x:c>
      <x:c r="D30" s="15" t="str">
        <x:f>'02 Formation Inputs'!E30</x:f>
        <x:v>Community health continuity group</x:v>
      </x:c>
      <x:c r="E30" s="24" t="str">
        <x:f>'02 Formation Inputs'!F30</x:f>
        <x:v>Pass 23 retained</x:v>
      </x:c>
      <x:c r="F30" s="45" t="n">
        <x:f>'04 Inventory'!J30</x:f>
        <x:v>139</x:v>
      </x:c>
      <x:c r="G30" s="34" t="n">
        <x:f>'06 Capital'!I30</x:f>
        <x:v>166.79999999999998</x:v>
      </x:c>
      <x:c r="H30" s="46" t="n">
        <x:f>'02 Formation Inputs'!V30</x:f>
        <x:v>0.055</x:v>
      </x:c>
      <x:c r="I30" s="34" t="n">
        <x:f>G30*H30</x:f>
        <x:v>9.174</x:v>
      </x:c>
      <x:c r="J30" s="34" t="n">
        <x:f>'05 Workforce'!T30</x:f>
        <x:v>22.507575</x:v>
      </x:c>
      <x:c r="K30" s="34" t="n">
        <x:f>IF(E30="Pass 58 canonical addition",I30+J30,0)</x:f>
        <x:v>0</x:v>
      </x:c>
    </x:row>
    <x:row r="31">
      <x:c r="C31" s="15" t="str">
        <x:f>'02 Formation Inputs'!C31</x:f>
        <x:v>H-MAC</x:v>
      </x:c>
      <x:c r="D31" s="15" t="str">
        <x:f>'02 Formation Inputs'!E31</x:f>
        <x:v>Mobile acute-care group</x:v>
      </x:c>
      <x:c r="E31" s="24" t="str">
        <x:f>'02 Formation Inputs'!F31</x:f>
        <x:v>Pass 23 retained</x:v>
      </x:c>
      <x:c r="F31" s="45" t="n">
        <x:f>'04 Inventory'!J31</x:f>
        <x:v>91</x:v>
      </x:c>
      <x:c r="G31" s="34" t="n">
        <x:f>'06 Capital'!I31</x:f>
        <x:v>227.5</x:v>
      </x:c>
      <x:c r="H31" s="46" t="n">
        <x:f>'02 Formation Inputs'!V31</x:f>
        <x:v>0.055</x:v>
      </x:c>
      <x:c r="I31" s="34" t="n">
        <x:f>G31*H31</x:f>
        <x:v>12.5125</x:v>
      </x:c>
      <x:c r="J31" s="34" t="n">
        <x:f>'05 Workforce'!T31</x:f>
        <x:v>17.68221</x:v>
      </x:c>
      <x:c r="K31" s="34" t="n">
        <x:f>IF(E31="Pass 58 canonical addition",I31+J31,0)</x:f>
        <x:v>0</x:v>
      </x:c>
    </x:row>
    <x:row r="32">
      <x:c r="C32" s="15" t="str">
        <x:f>'02 Formation Inputs'!C32</x:f>
        <x:v>H-PHC</x:v>
      </x:c>
      <x:c r="D32" s="15" t="str">
        <x:f>'02 Formation Inputs'!E32</x:f>
        <x:v>Public-health control group</x:v>
      </x:c>
      <x:c r="E32" s="24" t="str">
        <x:f>'02 Formation Inputs'!F32</x:f>
        <x:v>Pass 23 retained</x:v>
      </x:c>
      <x:c r="F32" s="45" t="n">
        <x:f>'04 Inventory'!J32</x:f>
        <x:v>78</x:v>
      </x:c>
      <x:c r="G32" s="34" t="n">
        <x:f>'06 Capital'!I32</x:f>
        <x:v>78</x:v>
      </x:c>
      <x:c r="H32" s="46" t="n">
        <x:f>'02 Formation Inputs'!V32</x:f>
        <x:v>0.055</x:v>
      </x:c>
      <x:c r="I32" s="34" t="n">
        <x:f>G32*H32</x:f>
        <x:v>4.29</x:v>
      </x:c>
      <x:c r="J32" s="34" t="n">
        <x:f>'05 Workforce'!T32</x:f>
        <x:v>6.315075</x:v>
      </x:c>
      <x:c r="K32" s="34" t="n">
        <x:f>IF(E32="Pass 58 canonical addition",I32+J32,0)</x:f>
        <x:v>0</x:v>
      </x:c>
    </x:row>
    <x:row r="33">
      <x:c r="C33" s="15" t="str">
        <x:f>'02 Formation Inputs'!C33</x:f>
        <x:v>H-HWR</x:v>
      </x:c>
      <x:c r="D33" s="15" t="str">
        <x:f>'02 Formation Inputs'!E33</x:f>
        <x:v>Health workforce replacement group</x:v>
      </x:c>
      <x:c r="E33" s="24" t="str">
        <x:f>'02 Formation Inputs'!F33</x:f>
        <x:v>Pass 23 retained</x:v>
      </x:c>
      <x:c r="F33" s="45" t="n">
        <x:f>'04 Inventory'!J33</x:f>
        <x:v>139</x:v>
      </x:c>
      <x:c r="G33" s="34" t="n">
        <x:f>'06 Capital'!I33</x:f>
        <x:v>111.2</x:v>
      </x:c>
      <x:c r="H33" s="46" t="n">
        <x:f>'02 Formation Inputs'!V33</x:f>
        <x:v>0.055</x:v>
      </x:c>
      <x:c r="I33" s="34" t="n">
        <x:f>G33*H33</x:f>
        <x:v>6.1160000000000005</x:v>
      </x:c>
      <x:c r="J33" s="34" t="n">
        <x:f>'05 Workforce'!T33</x:f>
        <x:v>24.7583325</x:v>
      </x:c>
      <x:c r="K33" s="34" t="n">
        <x:f>IF(E33="Pass 58 canonical addition",I33+J33,0)</x:f>
        <x:v>0</x:v>
      </x:c>
    </x:row>
    <x:row r="34">
      <x:c r="C34" s="15" t="str">
        <x:f>'02 Formation Inputs'!C34</x:f>
        <x:v>C-PSG</x:v>
      </x:c>
      <x:c r="D34" s="15" t="str">
        <x:f>'02 Formation Inputs'!E34</x:f>
        <x:v>Population support group</x:v>
      </x:c>
      <x:c r="E34" s="24" t="str">
        <x:f>'02 Formation Inputs'!F34</x:f>
        <x:v>Pass 23 retained</x:v>
      </x:c>
      <x:c r="F34" s="45" t="n">
        <x:f>'04 Inventory'!J34</x:f>
        <x:v>173</x:v>
      </x:c>
      <x:c r="G34" s="34" t="n">
        <x:f>'06 Capital'!I34</x:f>
        <x:v>103.8</x:v>
      </x:c>
      <x:c r="H34" s="46" t="n">
        <x:f>'02 Formation Inputs'!V34</x:f>
        <x:v>0.05</x:v>
      </x:c>
      <x:c r="I34" s="34" t="n">
        <x:f>G34*H34</x:f>
        <x:v>5.19</x:v>
      </x:c>
      <x:c r="J34" s="34" t="n">
        <x:f>'05 Workforce'!T34</x:f>
        <x:v>15.91059375</x:v>
      </x:c>
      <x:c r="K34" s="34" t="n">
        <x:f>IF(E34="Pass 58 canonical addition",I34+J34,0)</x:f>
        <x:v>0</x:v>
      </x:c>
    </x:row>
    <x:row r="35">
      <x:c r="C35" s="15" t="str">
        <x:f>'02 Formation Inputs'!C35</x:f>
        <x:v>C-EGG</x:v>
      </x:c>
      <x:c r="D35" s="15" t="str">
        <x:f>'02 Formation Inputs'!E35</x:f>
        <x:v>Essential-goods group</x:v>
      </x:c>
      <x:c r="E35" s="24" t="str">
        <x:f>'02 Formation Inputs'!F35</x:f>
        <x:v>Pass 23 retained</x:v>
      </x:c>
      <x:c r="F35" s="45" t="n">
        <x:f>'04 Inventory'!J35</x:f>
        <x:v>173</x:v>
      </x:c>
      <x:c r="G35" s="34" t="n">
        <x:f>'06 Capital'!I35</x:f>
        <x:v>86.5</x:v>
      </x:c>
      <x:c r="H35" s="46" t="n">
        <x:f>'02 Formation Inputs'!V35</x:f>
        <x:v>0.05</x:v>
      </x:c>
      <x:c r="I35" s="34" t="n">
        <x:f>G35*H35</x:f>
        <x:v>4.325</x:v>
      </x:c>
      <x:c r="J35" s="34" t="n">
        <x:f>'05 Workforce'!T35</x:f>
        <x:v>12.37490625</x:v>
      </x:c>
      <x:c r="K35" s="34" t="n">
        <x:f>IF(E35="Pass 58 canonical addition",I35+J35,0)</x:f>
        <x:v>0</x:v>
      </x:c>
    </x:row>
    <x:row r="36">
      <x:c r="C36" s="15" t="str">
        <x:f>'02 Formation Inputs'!C36</x:f>
        <x:v>C-CAG</x:v>
      </x:c>
      <x:c r="D36" s="15" t="str">
        <x:f>'02 Formation Inputs'!E36</x:f>
        <x:v>Civil access group</x:v>
      </x:c>
      <x:c r="E36" s="24" t="str">
        <x:f>'02 Formation Inputs'!F36</x:f>
        <x:v>Pass 23 retained</x:v>
      </x:c>
      <x:c r="F36" s="45" t="n">
        <x:f>'04 Inventory'!J36</x:f>
        <x:v>132</x:v>
      </x:c>
      <x:c r="G36" s="34" t="n">
        <x:f>'06 Capital'!I36</x:f>
        <x:v>39.6</x:v>
      </x:c>
      <x:c r="H36" s="46" t="n">
        <x:f>'02 Formation Inputs'!V36</x:f>
        <x:v>0.05</x:v>
      </x:c>
      <x:c r="I36" s="34" t="n">
        <x:f>G36*H36</x:f>
        <x:v>1.9800000000000002</x:v>
      </x:c>
      <x:c r="J36" s="34" t="n">
        <x:f>'05 Workforce'!T36</x:f>
        <x:v>4.85595</x:v>
      </x:c>
      <x:c r="K36" s="34" t="n">
        <x:f>IF(E36="Pass 58 canonical addition",I36+J36,0)</x:f>
        <x:v>0</x:v>
      </x:c>
    </x:row>
    <x:row r="37">
      <x:c r="C37" s="15" t="str">
        <x:f>'02 Formation Inputs'!C37</x:f>
        <x:v>C-DTG</x:v>
      </x:c>
      <x:c r="D37" s="15" t="str">
        <x:f>'02 Formation Inputs'!E37</x:f>
        <x:v>Displacement transition group</x:v>
      </x:c>
      <x:c r="E37" s="24" t="str">
        <x:f>'02 Formation Inputs'!F37</x:f>
        <x:v>Pass 23 retained</x:v>
      </x:c>
      <x:c r="F37" s="45" t="n">
        <x:f>'04 Inventory'!J37</x:f>
        <x:v>127</x:v>
      </x:c>
      <x:c r="G37" s="34" t="n">
        <x:f>'06 Capital'!I37</x:f>
        <x:v>50.800000000000004</x:v>
      </x:c>
      <x:c r="H37" s="46" t="n">
        <x:f>'02 Formation Inputs'!V37</x:f>
        <x:v>0.05</x:v>
      </x:c>
      <x:c r="I37" s="34" t="n">
        <x:f>G37*H37</x:f>
        <x:v>2.5400000000000005</x:v>
      </x:c>
      <x:c r="J37" s="34" t="n">
        <x:f>'05 Workforce'!T37</x:f>
        <x:v>7.7866875</x:v>
      </x:c>
      <x:c r="K37" s="34" t="n">
        <x:f>IF(E37="Pass 58 canonical addition",I37+J37,0)</x:f>
        <x:v>0</x:v>
      </x:c>
    </x:row>
    <x:row r="38">
      <x:c r="C38" s="15" t="str">
        <x:f>'02 Formation Inputs'!C38</x:f>
        <x:v>C-CIG</x:v>
      </x:c>
      <x:c r="D38" s="15" t="str">
        <x:f>'02 Formation Inputs'!E38</x:f>
        <x:v>Community institutions group</x:v>
      </x:c>
      <x:c r="E38" s="24" t="str">
        <x:f>'02 Formation Inputs'!F38</x:f>
        <x:v>Pass 23 retained</x:v>
      </x:c>
      <x:c r="F38" s="45" t="n">
        <x:f>'04 Inventory'!J38</x:f>
        <x:v>106</x:v>
      </x:c>
      <x:c r="G38" s="34" t="n">
        <x:f>'06 Capital'!I38</x:f>
        <x:v>42.400000000000006</x:v>
      </x:c>
      <x:c r="H38" s="46" t="n">
        <x:f>'02 Formation Inputs'!V38</x:f>
        <x:v>0.05</x:v>
      </x:c>
      <x:c r="I38" s="34" t="n">
        <x:f>G38*H38</x:f>
        <x:v>2.1200000000000006</x:v>
      </x:c>
      <x:c r="J38" s="34" t="n">
        <x:f>'05 Workforce'!T38</x:f>
        <x:v>5.4159375</x:v>
      </x:c>
      <x:c r="K38" s="34" t="n">
        <x:f>IF(E38="Pass 58 canonical addition",I38+J38,0)</x:f>
        <x:v>0</x:v>
      </x:c>
    </x:row>
    <x:row r="39">
      <x:c r="C39" s="15" t="str">
        <x:f>'02 Formation Inputs'!C39</x:f>
        <x:v>J-RIG</x:v>
      </x:c>
      <x:c r="D39" s="15" t="str">
        <x:f>'02 Formation Inputs'!E39</x:f>
        <x:v>Resilience information group</x:v>
      </x:c>
      <x:c r="E39" s="24" t="str">
        <x:f>'02 Formation Inputs'!F39</x:f>
        <x:v>Pass 58 canonical addition</x:v>
      </x:c>
      <x:c r="F39" s="45" t="n">
        <x:f>'04 Inventory'!J39</x:f>
        <x:v>91</x:v>
      </x:c>
      <x:c r="G39" s="34" t="n">
        <x:f>'06 Capital'!I39</x:f>
        <x:v>81.9</x:v>
      </x:c>
      <x:c r="H39" s="46" t="n">
        <x:f>'02 Formation Inputs'!V39</x:f>
        <x:v>0.05</x:v>
      </x:c>
      <x:c r="I39" s="34" t="n">
        <x:f>G39*H39</x:f>
        <x:v>4.095000000000001</x:v>
      </x:c>
      <x:c r="J39" s="34" t="n">
        <x:f>'05 Workforce'!T39</x:f>
        <x:v>9.5823</x:v>
      </x:c>
      <x:c r="K39" s="34" t="n">
        <x:f>IF(E39="Pass 58 canonical addition",I39+J39,0)</x:f>
        <x:v>13.6773</x:v>
      </x:c>
    </x:row>
    <x:row r="40">
      <x:c r="C40" s="15" t="str">
        <x:f>'02 Formation Inputs'!C40</x:f>
        <x:v>M-MPG</x:v>
      </x:c>
      <x:c r="D40" s="15" t="str">
        <x:f>'02 Formation Inputs'!E40</x:f>
        <x:v>Maritime production group</x:v>
      </x:c>
      <x:c r="E40" s="24" t="str">
        <x:f>'02 Formation Inputs'!F40</x:f>
        <x:v>Pass 58 canonical addition</x:v>
      </x:c>
      <x:c r="F40" s="45" t="n">
        <x:f>'04 Inventory'!J40</x:f>
        <x:v>52</x:v>
      </x:c>
      <x:c r="G40" s="34" t="n">
        <x:f>'06 Capital'!I40</x:f>
        <x:v>78</x:v>
      </x:c>
      <x:c r="H40" s="46" t="n">
        <x:f>'02 Formation Inputs'!V40</x:f>
        <x:v>0.065</x:v>
      </x:c>
      <x:c r="I40" s="34" t="n">
        <x:f>G40*H40</x:f>
        <x:v>5.07</x:v>
      </x:c>
      <x:c r="J40" s="34" t="n">
        <x:f>'05 Workforce'!T40</x:f>
        <x:v>18.29412</x:v>
      </x:c>
      <x:c r="K40" s="34" t="n">
        <x:f>IF(E40="Pass 58 canonical addition",I40+J40,0)</x:f>
        <x:v>23.36412</x:v>
      </x:c>
    </x:row>
    <x:row r="41">
      <x:c r="C41" s="15" t="str">
        <x:f>'02 Formation Inputs'!C41</x:f>
        <x:v>I-WRG</x:v>
      </x:c>
      <x:c r="D41" s="15" t="str">
        <x:f>'02 Formation Inputs'!E41</x:f>
        <x:v>Water restoration group</x:v>
      </x:c>
      <x:c r="E41" s="24" t="str">
        <x:f>'02 Formation Inputs'!F41</x:f>
        <x:v>Pass 58 canonical addition</x:v>
      </x:c>
      <x:c r="F41" s="45" t="n">
        <x:f>'04 Inventory'!J41</x:f>
        <x:v>93</x:v>
      </x:c>
      <x:c r="G41" s="34" t="n">
        <x:f>'06 Capital'!I41</x:f>
        <x:v>139.5</x:v>
      </x:c>
      <x:c r="H41" s="46" t="n">
        <x:f>'02 Formation Inputs'!V41</x:f>
        <x:v>0.055</x:v>
      </x:c>
      <x:c r="I41" s="34" t="n">
        <x:f>G41*H41</x:f>
        <x:v>7.6725</x:v>
      </x:c>
      <x:c r="J41" s="34" t="n">
        <x:f>'05 Workforce'!T41</x:f>
        <x:v>58.70439</x:v>
      </x:c>
      <x:c r="K41" s="34" t="n">
        <x:f>IF(E41="Pass 58 canonical addition",I41+J41,0)</x:f>
        <x:v>66.37689</x:v>
      </x:c>
    </x:row>
    <x:row r="42">
      <x:c r="C42" s="15" t="str">
        <x:f>'02 Formation Inputs'!C42</x:f>
        <x:v>I-PRG</x:v>
      </x:c>
      <x:c r="D42" s="15" t="str">
        <x:f>'02 Formation Inputs'!E42</x:f>
        <x:v>Power restoration group</x:v>
      </x:c>
      <x:c r="E42" s="24" t="str">
        <x:f>'02 Formation Inputs'!F42</x:f>
        <x:v>Pass 58 canonical addition</x:v>
      </x:c>
      <x:c r="F42" s="45" t="n">
        <x:f>'04 Inventory'!J42</x:f>
        <x:v>108</x:v>
      </x:c>
      <x:c r="G42" s="34" t="n">
        <x:f>'06 Capital'!I42</x:f>
        <x:v>216</x:v>
      </x:c>
      <x:c r="H42" s="46" t="n">
        <x:f>'02 Formation Inputs'!V42</x:f>
        <x:v>0.06</x:v>
      </x:c>
      <x:c r="I42" s="34" t="n">
        <x:f>G42*H42</x:f>
        <x:v>12.959999999999999</x:v>
      </x:c>
      <x:c r="J42" s="34" t="n">
        <x:f>'05 Workforce'!T42</x:f>
        <x:v>70.7454</x:v>
      </x:c>
      <x:c r="K42" s="34" t="n">
        <x:f>IF(E42="Pass 58 canonical addition",I42+J42,0)</x:f>
        <x:v>83.7054</x:v>
      </x:c>
    </x:row>
    <x:row r="43">
      <x:c r="C43" s="15" t="str">
        <x:f>'02 Formation Inputs'!C43</x:f>
        <x:v>I-GBG</x:v>
      </x:c>
      <x:c r="D43" s="15" t="str">
        <x:f>'02 Formation Inputs'!E43</x:f>
        <x:v>Grid bridge group</x:v>
      </x:c>
      <x:c r="E43" s="24" t="str">
        <x:f>'02 Formation Inputs'!F43</x:f>
        <x:v>Pass 58 canonical addition</x:v>
      </x:c>
      <x:c r="F43" s="45" t="n">
        <x:f>'04 Inventory'!J43</x:f>
        <x:v>83</x:v>
      </x:c>
      <x:c r="G43" s="34" t="n">
        <x:f>'06 Capital'!I43</x:f>
        <x:v>124.5</x:v>
      </x:c>
      <x:c r="H43" s="46" t="n">
        <x:f>'02 Formation Inputs'!V43</x:f>
        <x:v>0.055</x:v>
      </x:c>
      <x:c r="I43" s="34" t="n">
        <x:f>G43*H43</x:f>
        <x:v>6.8475</x:v>
      </x:c>
      <x:c r="J43" s="34" t="n">
        <x:f>'05 Workforce'!T43</x:f>
        <x:v>34.59855</x:v>
      </x:c>
      <x:c r="K43" s="34" t="n">
        <x:f>IF(E43="Pass 58 canonical addition",I43+J43,0)</x:f>
        <x:v>41.44605</x:v>
      </x:c>
    </x:row>
    <x:row r="44">
      <x:c r="C44" s="15" t="str">
        <x:f>'02 Formation Inputs'!C44</x:f>
        <x:v>H-THC</x:v>
      </x:c>
      <x:c r="D44" s="15" t="str">
        <x:f>'02 Formation Inputs'!E44</x:f>
        <x:v>Theater hospital command</x:v>
      </x:c>
      <x:c r="E44" s="24" t="str">
        <x:f>'02 Formation Inputs'!F44</x:f>
        <x:v>Pass 58 canonical addition</x:v>
      </x:c>
      <x:c r="F44" s="45" t="n">
        <x:f>'04 Inventory'!J44</x:f>
        <x:v>52</x:v>
      </x:c>
      <x:c r="G44" s="34" t="n">
        <x:f>'06 Capital'!I44</x:f>
        <x:v>78</x:v>
      </x:c>
      <x:c r="H44" s="46" t="n">
        <x:f>'02 Formation Inputs'!V44</x:f>
        <x:v>0.05</x:v>
      </x:c>
      <x:c r="I44" s="34" t="n">
        <x:f>G44*H44</x:f>
        <x:v>3.9000000000000004</x:v>
      </x:c>
      <x:c r="J44" s="34" t="n">
        <x:f>'05 Workforce'!T44</x:f>
        <x:v>15.15618</x:v>
      </x:c>
      <x:c r="K44" s="34" t="n">
        <x:f>IF(E44="Pass 58 canonical addition",I44+J44,0)</x:f>
        <x:v>19.05618</x:v>
      </x:c>
    </x:row>
    <x:row r="45">
      <x:c r="C45" s="15" t="str">
        <x:f>'02 Formation Inputs'!C45</x:f>
        <x:v>H-PMG</x:v>
      </x:c>
      <x:c r="D45" s="15" t="str">
        <x:f>'02 Formation Inputs'!E45</x:f>
        <x:v>Patient movement group</x:v>
      </x:c>
      <x:c r="E45" s="24" t="str">
        <x:f>'02 Formation Inputs'!F45</x:f>
        <x:v>Pass 58 canonical addition</x:v>
      </x:c>
      <x:c r="F45" s="45" t="n">
        <x:f>'04 Inventory'!J45</x:f>
        <x:v>91</x:v>
      </x:c>
      <x:c r="G45" s="34" t="n">
        <x:f>'06 Capital'!I45</x:f>
        <x:v>91</x:v>
      </x:c>
      <x:c r="H45" s="46" t="n">
        <x:f>'02 Formation Inputs'!V45</x:f>
        <x:v>0.06</x:v>
      </x:c>
      <x:c r="I45" s="34" t="n">
        <x:f>G45*H45</x:f>
        <x:v>5.46</x:v>
      </x:c>
      <x:c r="J45" s="34" t="n">
        <x:f>'05 Workforce'!T45</x:f>
        <x:v>13.2616575</x:v>
      </x:c>
      <x:c r="K45" s="34" t="n">
        <x:f>IF(E45="Pass 58 canonical addition",I45+J45,0)</x:f>
        <x:v>18.7216575</x:v>
      </x:c>
    </x:row>
    <x:row r="46">
      <x:c r="C46" s="15" t="str">
        <x:f>'02 Formation Inputs'!C46</x:f>
        <x:v>C-ERG</x:v>
      </x:c>
      <x:c r="D46" s="15" t="str">
        <x:f>'02 Formation Inputs'!E46</x:f>
        <x:v>Economic restart group</x:v>
      </x:c>
      <x:c r="E46" s="24" t="str">
        <x:f>'02 Formation Inputs'!F46</x:f>
        <x:v>Pass 58 canonical addition</x:v>
      </x:c>
      <x:c r="F46" s="45" t="n">
        <x:f>'04 Inventory'!J46</x:f>
        <x:v>88</x:v>
      </x:c>
      <x:c r="G46" s="34" t="n">
        <x:f>'06 Capital'!I46</x:f>
        <x:v>30.799999999999997</x:v>
      </x:c>
      <x:c r="H46" s="46" t="n">
        <x:f>'02 Formation Inputs'!V46</x:f>
        <x:v>0.05</x:v>
      </x:c>
      <x:c r="I46" s="34" t="n">
        <x:f>G46*H46</x:f>
        <x:v>1.54</x:v>
      </x:c>
      <x:c r="J46" s="34" t="n">
        <x:f>'05 Workforce'!T46</x:f>
        <x:v>6.29475</x:v>
      </x:c>
      <x:c r="K46" s="34" t="n">
        <x:f>IF(E46="Pass 58 canonical addition",I46+J46,0)</x:f>
        <x:v>7.83475</x:v>
      </x:c>
    </x:row>
    <x:row r="47">
      <x:c r="C47" s="15" t="str">
        <x:f>'02 Formation Inputs'!C47</x:f>
        <x:v>CM-HCG</x:v>
      </x:c>
      <x:c r="D47" s="15" t="str">
        <x:f>'02 Formation Inputs'!E47</x:f>
        <x:v>Household collection group</x:v>
      </x:c>
      <x:c r="E47" s="24" t="str">
        <x:f>'02 Formation Inputs'!F47</x:f>
        <x:v>Pass 58 canonical addition</x:v>
      </x:c>
      <x:c r="F47" s="45" t="n">
        <x:f>'04 Inventory'!J47</x:f>
        <x:v>128</x:v>
      </x:c>
      <x:c r="G47" s="34" t="n">
        <x:f>'06 Capital'!I47</x:f>
        <x:v>878.848</x:v>
      </x:c>
      <x:c r="H47" s="46" t="n">
        <x:f>'02 Formation Inputs'!V47</x:f>
        <x:v>0.065</x:v>
      </x:c>
      <x:c r="I47" s="34" t="n">
        <x:f>G47*H47</x:f>
        <x:v>57.12512</x:v>
      </x:c>
      <x:c r="J47" s="34" t="n">
        <x:f>'05 Workforce'!T47</x:f>
        <x:v>211.5372288</x:v>
      </x:c>
      <x:c r="K47" s="34" t="n">
        <x:f>IF(E47="Pass 58 canonical addition",I47+J47,0)</x:f>
        <x:v>268.6623488</x:v>
      </x:c>
    </x:row>
    <x:row r="48">
      <x:c r="C48" s="15" t="str">
        <x:f>'02 Formation Inputs'!C48</x:f>
        <x:v>CM-CTN</x:v>
      </x:c>
      <x:c r="D48" s="15" t="str">
        <x:f>'02 Formation Inputs'!E48</x:f>
        <x:v>Continuity transfer-node group</x:v>
      </x:c>
      <x:c r="E48" s="24" t="str">
        <x:f>'02 Formation Inputs'!F48</x:f>
        <x:v>Pass 58 canonical addition</x:v>
      </x:c>
      <x:c r="F48" s="45" t="n">
        <x:f>'04 Inventory'!J48</x:f>
        <x:v>100</x:v>
      </x:c>
      <x:c r="G48" s="34" t="n">
        <x:f>'06 Capital'!I48</x:f>
        <x:v>200</x:v>
      </x:c>
      <x:c r="H48" s="46" t="n">
        <x:f>'02 Formation Inputs'!V48</x:f>
        <x:v>0.06</x:v>
      </x:c>
      <x:c r="I48" s="34" t="n">
        <x:f>G48*H48</x:f>
        <x:v>12</x:v>
      </x:c>
      <x:c r="J48" s="34" t="n">
        <x:f>'05 Workforce'!T48</x:f>
        <x:v>46.98</x:v>
      </x:c>
      <x:c r="K48" s="34" t="n">
        <x:f>IF(E48="Pass 58 canonical addition",I48+J48,0)</x:f>
        <x:v>58.98</x:v>
      </x:c>
    </x:row>
    <x:row r="49">
      <x:c r="C49" s="15" t="str">
        <x:f>'02 Formation Inputs'!C49</x:f>
        <x:v>CM-RMG</x:v>
      </x:c>
      <x:c r="D49" s="15" t="str">
        <x:f>'02 Formation Inputs'!E49</x:f>
        <x:v>Civil road-mobility group</x:v>
      </x:c>
      <x:c r="E49" s="24" t="str">
        <x:f>'02 Formation Inputs'!F49</x:f>
        <x:v>Pass 58 canonical addition</x:v>
      </x:c>
      <x:c r="F49" s="45" t="n">
        <x:f>'04 Inventory'!J49</x:f>
        <x:v>159</x:v>
      </x:c>
      <x:c r="G49" s="34" t="n">
        <x:f>'06 Capital'!I49</x:f>
        <x:v>238.5</x:v>
      </x:c>
      <x:c r="H49" s="46" t="n">
        <x:f>'02 Formation Inputs'!V49</x:f>
        <x:v>0.065</x:v>
      </x:c>
      <x:c r="I49" s="34" t="n">
        <x:f>G49*H49</x:f>
        <x:v>15.502500000000001</x:v>
      </x:c>
      <x:c r="J49" s="34" t="n">
        <x:f>'05 Workforce'!T49</x:f>
        <x:v>26.97435</x:v>
      </x:c>
      <x:c r="K49" s="34" t="n">
        <x:f>IF(E49="Pass 58 canonical addition",I49+J49,0)</x:f>
        <x:v>42.47685</x:v>
      </x:c>
    </x:row>
    <x:row r="50">
      <x:c r="C50" s="15" t="str">
        <x:f>'02 Formation Inputs'!C50</x:f>
        <x:v>CM-RLG</x:v>
      </x:c>
      <x:c r="D50" s="15" t="str">
        <x:f>'02 Formation Inputs'!E50</x:f>
        <x:v>Civil rail-mobility group</x:v>
      </x:c>
      <x:c r="E50" s="24" t="str">
        <x:f>'02 Formation Inputs'!F50</x:f>
        <x:v>Pass 58 canonical addition</x:v>
      </x:c>
      <x:c r="F50" s="45" t="n">
        <x:f>'04 Inventory'!J50</x:f>
        <x:v>60</x:v>
      </x:c>
      <x:c r="G50" s="34" t="n">
        <x:f>'06 Capital'!I50</x:f>
        <x:v>120</x:v>
      </x:c>
      <x:c r="H50" s="46" t="n">
        <x:f>'02 Formation Inputs'!V50</x:f>
        <x:v>0.065</x:v>
      </x:c>
      <x:c r="I50" s="34" t="n">
        <x:f>G50*H50</x:f>
        <x:v>7.800000000000001</x:v>
      </x:c>
      <x:c r="J50" s="34" t="n">
        <x:f>'05 Workforce'!T50</x:f>
        <x:v>6.264</x:v>
      </x:c>
      <x:c r="K50" s="34" t="n">
        <x:f>IF(E50="Pass 58 canonical addition",I50+J50,0)</x:f>
        <x:v>14.064</x:v>
      </x:c>
    </x:row>
    <x:row r="51">
      <x:c r="C51" s="15" t="str">
        <x:f>'02 Formation Inputs'!C51</x:f>
        <x:v>CM-AMG</x:v>
      </x:c>
      <x:c r="D51" s="15" t="str">
        <x:f>'02 Formation Inputs'!E51</x:f>
        <x:v>Civil air-mobility group</x:v>
      </x:c>
      <x:c r="E51" s="24" t="str">
        <x:f>'02 Formation Inputs'!F51</x:f>
        <x:v>Pass 58 canonical addition</x:v>
      </x:c>
      <x:c r="F51" s="45" t="n">
        <x:f>'04 Inventory'!J51</x:f>
        <x:v>58</x:v>
      </x:c>
      <x:c r="G51" s="34" t="n">
        <x:f>'06 Capital'!I51</x:f>
        <x:v>174</x:v>
      </x:c>
      <x:c r="H51" s="46" t="n">
        <x:f>'02 Formation Inputs'!V51</x:f>
        <x:v>0.075</x:v>
      </x:c>
      <x:c r="I51" s="34" t="n">
        <x:f>G51*H51</x:f>
        <x:v>13.049999999999999</x:v>
      </x:c>
      <x:c r="J51" s="34" t="n">
        <x:f>'05 Workforce'!T51</x:f>
        <x:v>6.0552</x:v>
      </x:c>
      <x:c r="K51" s="34" t="n">
        <x:f>IF(E51="Pass 58 canonical addition",I51+J51,0)</x:f>
        <x:v>19.1052</x:v>
      </x:c>
    </x:row>
    <x:row r="52">
      <x:c r="C52" s="15" t="str">
        <x:f>'02 Formation Inputs'!C52</x:f>
        <x:v>CM-WMG</x:v>
      </x:c>
      <x:c r="D52" s="15" t="str">
        <x:f>'02 Formation Inputs'!E52</x:f>
        <x:v>Civil water-mobility group</x:v>
      </x:c>
      <x:c r="E52" s="24" t="str">
        <x:f>'02 Formation Inputs'!F52</x:f>
        <x:v>Pass 58 canonical addition</x:v>
      </x:c>
      <x:c r="F52" s="45" t="n">
        <x:f>'04 Inventory'!J52</x:f>
        <x:v>60</x:v>
      </x:c>
      <x:c r="G52" s="34" t="n">
        <x:f>'06 Capital'!I52</x:f>
        <x:v>120</x:v>
      </x:c>
      <x:c r="H52" s="46" t="n">
        <x:f>'02 Formation Inputs'!V52</x:f>
        <x:v>0.07</x:v>
      </x:c>
      <x:c r="I52" s="34" t="n">
        <x:f>G52*H52</x:f>
        <x:v>8.4</x:v>
      </x:c>
      <x:c r="J52" s="34" t="n">
        <x:f>'05 Workforce'!T52</x:f>
        <x:v>6.264</x:v>
      </x:c>
      <x:c r="K52" s="34" t="n">
        <x:f>IF(E52="Pass 58 canonical addition",I52+J52,0)</x:f>
        <x:v>14.664000000000001</x:v>
      </x:c>
    </x:row>
    <x:row r="53">
      <x:c r="C53" s="15" t="str">
        <x:f>'02 Formation Inputs'!C53</x:f>
        <x:v>CM-RDC</x:v>
      </x:c>
      <x:c r="D53" s="15" t="str">
        <x:f>'02 Formation Inputs'!E53</x:f>
        <x:v>Return and durable-continuity group</x:v>
      </x:c>
      <x:c r="E53" s="24" t="str">
        <x:f>'02 Formation Inputs'!F53</x:f>
        <x:v>Pass 58 canonical addition</x:v>
      </x:c>
      <x:c r="F53" s="45" t="n">
        <x:f>'04 Inventory'!J53</x:f>
        <x:v>93</x:v>
      </x:c>
      <x:c r="G53" s="34" t="n">
        <x:f>'06 Capital'!I53</x:f>
        <x:v>37.2</x:v>
      </x:c>
      <x:c r="H53" s="46" t="n">
        <x:f>'02 Formation Inputs'!V53</x:f>
        <x:v>0.05</x:v>
      </x:c>
      <x:c r="I53" s="34" t="n">
        <x:f>G53*H53</x:f>
        <x:v>1.8600000000000003</x:v>
      </x:c>
      <x:c r="J53" s="34" t="n">
        <x:f>'05 Workforce'!T53</x:f>
        <x:v>8.091</x:v>
      </x:c>
      <x:c r="K53" s="34" t="n">
        <x:f>IF(E53="Pass 58 canonical addition",I53+J53,0)</x:f>
        <x:v>9.951</x:v>
      </x:c>
    </x:row>
    <x:row r="57">
      <x:c r="C57" s="9" t="str">
        <x:v>Operating bridge</x:v>
      </x:c>
      <x:c r="D57" s="9" t="str">
        <x:v>Annual $B</x:v>
      </x:c>
      <x:c r="E57" s="9" t="str">
        <x:v>Boundary</x:v>
      </x:c>
    </x:row>
    <x:row r="58">
      <x:c r="C58" s="11" t="str">
        <x:v>Pass 23 mature operations</x:v>
      </x:c>
      <x:c r="D58" s="44" t="n">
        <x:f>'01 Assumptions'!D25</x:f>
        <x:v>858</x:v>
      </x:c>
      <x:c r="E58" s="11" t="str">
        <x:v>Published predecessor, held as integrated base</x:v>
      </x:c>
    </x:row>
    <x:row r="59">
      <x:c r="C59" s="11" t="str">
        <x:v>New direct personnel</x:v>
      </x:c>
      <x:c r="D59" s="44" t="n">
        <x:f>SUM('05 Workforce'!T39:T53)</x:f>
        <x:v>538.8031263</x:v>
      </x:c>
      <x:c r="E59" s="11" t="str">
        <x:v>Component-weighted planning factors after shared-crew credit</x:v>
      </x:c>
    </x:row>
    <x:row r="60">
      <x:c r="C60" s="11" t="str">
        <x:v>New institutional depth</x:v>
      </x:c>
      <x:c r="D60" s="44" t="n">
        <x:f>'05 Workforce'!D61*'01 Assumptions'!D28/1000000000</x:f>
        <x:v>176.33207807999997</x:v>
      </x:c>
      <x:c r="E60" s="11" t="str">
        <x:v>12% permanent institutional depth for new direct billets</x:v>
      </x:c>
    </x:row>
    <x:row r="61">
      <x:c r="C61" s="11" t="str">
        <x:v>New formation O&amp;M</x:v>
      </x:c>
      <x:c r="D61" s="44" t="n">
        <x:f>SUM(I39:I53)</x:f>
        <x:v>163.28262000000004</x:v>
      </x:c>
      <x:c r="E61" s="11" t="str">
        <x:v>Net capital after shared-system credit times formation O&amp;M rate</x:v>
      </x:c>
    </x:row>
    <x:row r="62">
      <x:c r="C62" s="11" t="str">
        <x:v>Canonical mature annual operations</x:v>
      </x:c>
      <x:c r="D62" s="44" t="n">
        <x:f>SUM(D58:D61)</x:f>
        <x:v>1736.41782438</x:v>
      </x:c>
      <x:c r="E62" s="11" t="str">
        <x:v>Successor run-rate screen, not a budget estimate</x:v>
      </x:c>
    </x:row>
  </x:sheetData>
  <x:pageMargins left="0.7" right="0.7" top="0.75" bottom="0.75" header="0.3" footer="0.3"/>
  <x:tableParts count="1">
    <x:tablePart xmlns:r="http://schemas.openxmlformats.org/officeDocument/2006/relationships" r:id="R453411b15c7b4a0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12" hidden="0" customWidth="1"/>
    <x:col min="8" max="8" width="16" hidden="0" customWidth="1"/>
    <x:col min="9" max="9" width="16" hidden="0" customWidth="1"/>
    <x:col min="10" max="10" width="12" hidden="0" customWidth="1"/>
    <x:col min="11" max="11" width="20" hidden="0" customWidth="1"/>
    <x:col min="12" max="12" width="16" hidden="0" customWidth="1"/>
    <x:col min="13" max="13" width="13" hidden="0" customWidth="1"/>
    <x:col min="14" max="14" width="13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Deployment, Reception and Sustainment Screens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C3" s="3" t="str">
        <x:v>These screens deliberately expose whether the enlarged force can enter and persist using inherited enabling capacities.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C5" s="9" t="str">
        <x:v>Campaign</x:v>
      </x:c>
      <x:c r="D5" s="9" t="str">
        <x:v>Deployed people</x:v>
      </x:c>
      <x:c r="E5" s="9" t="str">
        <x:v>Dry mass t</x:v>
      </x:c>
      <x:c r="F5" s="9" t="str">
        <x:v>Supply t/day</x:v>
      </x:c>
      <x:c r="G5" s="9" t="str">
        <x:v>J-TOC qty</x:v>
      </x:c>
      <x:c r="H5" s="9" t="str">
        <x:v>Base capacity</x:v>
      </x:c>
      <x:c r="I5" s="9" t="str">
        <x:v>Base margin</x:v>
      </x:c>
      <x:c r="J5" s="9" t="str">
        <x:v>J-TSC qty</x:v>
      </x:c>
      <x:c r="K5" s="9" t="str">
        <x:v>Sustain capacity t/day</x:v>
      </x:c>
      <x:c r="L5" s="9" t="str">
        <x:v>Sustain margin</x:v>
      </x:c>
      <x:c r="M5" s="9" t="str">
        <x:v>Reception</x:v>
      </x:c>
      <x:c r="N5" s="9" t="str">
        <x:v>Sustainment</x:v>
      </x:c>
    </x:row>
    <x:row r="6">
      <x:c r="C6" s="11" t="str">
        <x:v>C1 Grid failure</x:v>
      </x:c>
      <x:c r="D6" s="47" t="n">
        <x:f>SUMPRODUCT('03 Campaign Demand'!E$6:E$53,'02 Formation Inputs'!$I$6:$I$53)</x:f>
        <x:v>150512</x:v>
      </x:c>
      <x:c r="E6" s="47" t="n">
        <x:f>SUMPRODUCT('03 Campaign Demand'!E$6:E$53,'02 Formation Inputs'!$Q$6:$Q$53)</x:f>
        <x:v>1523932</x:v>
      </x:c>
      <x:c r="F6" s="47" t="n">
        <x:f>SUMPRODUCT('03 Campaign Demand'!E$6:E$53,'02 Formation Inputs'!$R$6:$R$53)</x:f>
        <x:v>14340</x:v>
      </x:c>
      <x:c r="G6" s="47" t="n">
        <x:f>INDEX('03 Campaign Demand'!E$6:E$53,MATCH("J-TOC",'03 Campaign Demand'!$C$6:$C$53,0))</x:f>
        <x:v>2</x:v>
      </x:c>
      <x:c r="H6" s="47" t="n">
        <x:f>G6*'01 Assumptions'!$D$14</x:f>
        <x:v>105600</x:v>
      </x:c>
      <x:c r="I6" s="47" t="n">
        <x:f>H6-D6</x:f>
        <x:v>-44912</x:v>
      </x:c>
      <x:c r="J6" s="47" t="n">
        <x:f>INDEX('03 Campaign Demand'!E$6:E$53,MATCH("J-TSC",'03 Campaign Demand'!$C$6:$C$53,0))</x:f>
        <x:v>3</x:v>
      </x:c>
      <x:c r="K6" s="47" t="n">
        <x:f>J6*'01 Assumptions'!$D$15*'01 Assumptions'!$D$16</x:f>
        <x:v>37800</x:v>
      </x:c>
      <x:c r="L6" s="47" t="n">
        <x:f>K6-F6</x:f>
        <x:v>23460</x:v>
      </x:c>
      <x:c r="M6" s="15" t="str">
        <x:f>IF(I6&gt;=0,"PASS","FAIL")</x:f>
        <x:v>FAIL</x:v>
      </x:c>
      <x:c r="N6" s="15" t="str">
        <x:f>IF(L6&gt;=0,"PASS","FAIL")</x:f>
        <x:v>PASS</x:v>
      </x:c>
    </x:row>
    <x:row r="7">
      <x:c r="C7" s="11" t="str">
        <x:v>C2 Gulf–Atlantic hurricane</x:v>
      </x:c>
      <x:c r="D7" s="47" t="n">
        <x:f>SUMPRODUCT('03 Campaign Demand'!F$6:F$53,'02 Formation Inputs'!$I$6:$I$53)</x:f>
        <x:v>193326</x:v>
      </x:c>
      <x:c r="E7" s="47" t="n">
        <x:f>SUMPRODUCT('03 Campaign Demand'!F$6:F$53,'02 Formation Inputs'!$Q$6:$Q$53)</x:f>
        <x:v>1982470</x:v>
      </x:c>
      <x:c r="F7" s="47" t="n">
        <x:f>SUMPRODUCT('03 Campaign Demand'!F$6:F$53,'02 Formation Inputs'!$R$6:$R$53)</x:f>
        <x:v>20175</x:v>
      </x:c>
      <x:c r="G7" s="47" t="n">
        <x:f>INDEX('03 Campaign Demand'!F$6:F$53,MATCH("J-TOC",'03 Campaign Demand'!$C$6:$C$53,0))</x:f>
        <x:v>3</x:v>
      </x:c>
      <x:c r="H7" s="47" t="n">
        <x:f>G7*'01 Assumptions'!$D$14</x:f>
        <x:v>158400</x:v>
      </x:c>
      <x:c r="I7" s="47" t="n">
        <x:f>H7-D7</x:f>
        <x:v>-34926</x:v>
      </x:c>
      <x:c r="J7" s="47" t="n">
        <x:f>INDEX('03 Campaign Demand'!F$6:F$53,MATCH("J-TSC",'03 Campaign Demand'!$C$6:$C$53,0))</x:f>
        <x:v>4</x:v>
      </x:c>
      <x:c r="K7" s="47" t="n">
        <x:f>J7*'01 Assumptions'!$D$15*'01 Assumptions'!$D$16</x:f>
        <x:v>50400</x:v>
      </x:c>
      <x:c r="L7" s="47" t="n">
        <x:f>K7-F7</x:f>
        <x:v>30225</x:v>
      </x:c>
      <x:c r="M7" s="15" t="str">
        <x:f>IF(I7&gt;=0,"PASS","FAIL")</x:f>
        <x:v>FAIL</x:v>
      </x:c>
      <x:c r="N7" s="15" t="str">
        <x:f>IF(L7&gt;=0,"PASS","FAIL")</x:f>
        <x:v>PASS</x:v>
      </x:c>
    </x:row>
    <x:row r="8">
      <x:c r="C8" s="11" t="str">
        <x:v>C3 Cascadia earthquake</x:v>
      </x:c>
      <x:c r="D8" s="47" t="n">
        <x:f>SUMPRODUCT('03 Campaign Demand'!G$6:G$53,'02 Formation Inputs'!$I$6:$I$53)</x:f>
        <x:v>254420</x:v>
      </x:c>
      <x:c r="E8" s="47" t="n">
        <x:f>SUMPRODUCT('03 Campaign Demand'!G$6:G$53,'02 Formation Inputs'!$Q$6:$Q$53)</x:f>
        <x:v>2605832</x:v>
      </x:c>
      <x:c r="F8" s="47" t="n">
        <x:f>SUMPRODUCT('03 Campaign Demand'!G$6:G$53,'02 Formation Inputs'!$R$6:$R$53)</x:f>
        <x:v>26260</x:v>
      </x:c>
      <x:c r="G8" s="47" t="n">
        <x:f>INDEX('03 Campaign Demand'!G$6:G$53,MATCH("J-TOC",'03 Campaign Demand'!$C$6:$C$53,0))</x:f>
        <x:v>4</x:v>
      </x:c>
      <x:c r="H8" s="47" t="n">
        <x:f>G8*'01 Assumptions'!$D$14</x:f>
        <x:v>211200</x:v>
      </x:c>
      <x:c r="I8" s="47" t="n">
        <x:f>H8-D8</x:f>
        <x:v>-43220</x:v>
      </x:c>
      <x:c r="J8" s="47" t="n">
        <x:f>INDEX('03 Campaign Demand'!G$6:G$53,MATCH("J-TSC",'03 Campaign Demand'!$C$6:$C$53,0))</x:f>
        <x:v>5</x:v>
      </x:c>
      <x:c r="K8" s="47" t="n">
        <x:f>J8*'01 Assumptions'!$D$15*'01 Assumptions'!$D$16</x:f>
        <x:v>62999.99999999999</x:v>
      </x:c>
      <x:c r="L8" s="47" t="n">
        <x:f>K8-F8</x:f>
        <x:v>36739.99999999999</x:v>
      </x:c>
      <x:c r="M8" s="15" t="str">
        <x:f>IF(I8&gt;=0,"PASS","FAIL")</x:f>
        <x:v>FAIL</x:v>
      </x:c>
      <x:c r="N8" s="15" t="str">
        <x:f>IF(L8&gt;=0,"PASS","FAIL")</x:f>
        <x:v>PASS</x:v>
      </x:c>
    </x:row>
    <x:row r="9">
      <x:c r="C9" s="11" t="str">
        <x:v>M1 Western fire/heat</x:v>
      </x:c>
      <x:c r="D9" s="47" t="n">
        <x:f>SUMPRODUCT('03 Campaign Demand'!H$6:H$53,'02 Formation Inputs'!$I$6:$I$53)</x:f>
        <x:v>87901</x:v>
      </x:c>
      <x:c r="E9" s="47" t="n">
        <x:f>SUMPRODUCT('03 Campaign Demand'!H$6:H$53,'02 Formation Inputs'!$Q$6:$Q$53)</x:f>
        <x:v>899431</x:v>
      </x:c>
      <x:c r="F9" s="47" t="n">
        <x:f>SUMPRODUCT('03 Campaign Demand'!H$6:H$53,'02 Formation Inputs'!$R$6:$R$53)</x:f>
        <x:v>9780</x:v>
      </x:c>
      <x:c r="G9" s="47" t="n">
        <x:f>INDEX('03 Campaign Demand'!H$6:H$53,MATCH("J-TOC",'03 Campaign Demand'!$C$6:$C$53,0))</x:f>
        <x:v>1</x:v>
      </x:c>
      <x:c r="H9" s="47" t="n">
        <x:f>G9*'01 Assumptions'!$D$14</x:f>
        <x:v>52800</x:v>
      </x:c>
      <x:c r="I9" s="47" t="n">
        <x:f>H9-D9</x:f>
        <x:v>-35101</x:v>
      </x:c>
      <x:c r="J9" s="47" t="n">
        <x:f>INDEX('03 Campaign Demand'!H$6:H$53,MATCH("J-TSC",'03 Campaign Demand'!$C$6:$C$53,0))</x:f>
        <x:v>2</x:v>
      </x:c>
      <x:c r="K9" s="47" t="n">
        <x:f>J9*'01 Assumptions'!$D$15*'01 Assumptions'!$D$16</x:f>
        <x:v>25200</x:v>
      </x:c>
      <x:c r="L9" s="47" t="n">
        <x:f>K9-F9</x:f>
        <x:v>15420</x:v>
      </x:c>
      <x:c r="M9" s="15" t="str">
        <x:f>IF(I9&gt;=0,"PASS","FAIL")</x:f>
        <x:v>FAIL</x:v>
      </x:c>
      <x:c r="N9" s="15" t="str">
        <x:f>IF(L9&gt;=0,"PASS","FAIL")</x:f>
        <x:v>PASS</x:v>
      </x:c>
    </x:row>
    <x:row r="10">
      <x:c r="C10" s="11" t="str">
        <x:v>M2 Urban heat</x:v>
      </x:c>
      <x:c r="D10" s="47" t="n">
        <x:f>SUMPRODUCT('03 Campaign Demand'!I$6:I$53,'02 Formation Inputs'!$I$6:$I$53)</x:f>
        <x:v>124212</x:v>
      </x:c>
      <x:c r="E10" s="47" t="n">
        <x:f>SUMPRODUCT('03 Campaign Demand'!I$6:I$53,'02 Formation Inputs'!$Q$6:$Q$53)</x:f>
        <x:v>1133704</x:v>
      </x:c>
      <x:c r="F10" s="47" t="n">
        <x:f>SUMPRODUCT('03 Campaign Demand'!I$6:I$53,'02 Formation Inputs'!$R$6:$R$53)</x:f>
        <x:v>11085</x:v>
      </x:c>
      <x:c r="G10" s="47" t="n">
        <x:f>INDEX('03 Campaign Demand'!I$6:I$53,MATCH("J-TOC",'03 Campaign Demand'!$C$6:$C$53,0))</x:f>
        <x:v>1</x:v>
      </x:c>
      <x:c r="H10" s="47" t="n">
        <x:f>G10*'01 Assumptions'!$D$14</x:f>
        <x:v>52800</x:v>
      </x:c>
      <x:c r="I10" s="47" t="n">
        <x:f>H10-D10</x:f>
        <x:v>-71412</x:v>
      </x:c>
      <x:c r="J10" s="47" t="n">
        <x:f>INDEX('03 Campaign Demand'!I$6:I$53,MATCH("J-TSC",'03 Campaign Demand'!$C$6:$C$53,0))</x:f>
        <x:v>2</x:v>
      </x:c>
      <x:c r="K10" s="47" t="n">
        <x:f>J10*'01 Assumptions'!$D$15*'01 Assumptions'!$D$16</x:f>
        <x:v>25200</x:v>
      </x:c>
      <x:c r="L10" s="47" t="n">
        <x:f>K10-F10</x:f>
        <x:v>14115</x:v>
      </x:c>
      <x:c r="M10" s="15" t="str">
        <x:f>IF(I10&gt;=0,"PASS","FAIL")</x:f>
        <x:v>FAIL</x:v>
      </x:c>
      <x:c r="N10" s="15" t="str">
        <x:f>IF(L10&gt;=0,"PASS","FAIL")</x:f>
        <x:v>PASS</x:v>
      </x:c>
    </x:row>
    <x:row r="11">
      <x:c r="C11" s="11" t="str">
        <x:v>M3 Inland flood</x:v>
      </x:c>
      <x:c r="D11" s="47" t="n">
        <x:f>SUMPRODUCT('03 Campaign Demand'!J$6:J$53,'02 Formation Inputs'!$I$6:$I$53)</x:f>
        <x:v>130295</x:v>
      </x:c>
      <x:c r="E11" s="47" t="n">
        <x:f>SUMPRODUCT('03 Campaign Demand'!J$6:J$53,'02 Formation Inputs'!$Q$6:$Q$53)</x:f>
        <x:v>1404016</x:v>
      </x:c>
      <x:c r="F11" s="47" t="n">
        <x:f>SUMPRODUCT('03 Campaign Demand'!J$6:J$53,'02 Formation Inputs'!$R$6:$R$53)</x:f>
        <x:v>14065</x:v>
      </x:c>
      <x:c r="G11" s="47" t="n">
        <x:f>INDEX('03 Campaign Demand'!J$6:J$53,MATCH("J-TOC",'03 Campaign Demand'!$C$6:$C$53,0))</x:f>
        <x:v>2</x:v>
      </x:c>
      <x:c r="H11" s="47" t="n">
        <x:f>G11*'01 Assumptions'!$D$14</x:f>
        <x:v>105600</x:v>
      </x:c>
      <x:c r="I11" s="47" t="n">
        <x:f>H11-D11</x:f>
        <x:v>-24695</x:v>
      </x:c>
      <x:c r="J11" s="47" t="n">
        <x:f>INDEX('03 Campaign Demand'!J$6:J$53,MATCH("J-TSC",'03 Campaign Demand'!$C$6:$C$53,0))</x:f>
        <x:v>3</x:v>
      </x:c>
      <x:c r="K11" s="47" t="n">
        <x:f>J11*'01 Assumptions'!$D$15*'01 Assumptions'!$D$16</x:f>
        <x:v>37800</x:v>
      </x:c>
      <x:c r="L11" s="47" t="n">
        <x:f>K11-F11</x:f>
        <x:v>23735</x:v>
      </x:c>
      <x:c r="M11" s="15" t="str">
        <x:f>IF(I11&gt;=0,"PASS","FAIL")</x:f>
        <x:v>FAIL</x:v>
      </x:c>
      <x:c r="N11" s="15" t="str">
        <x:f>IF(L11&gt;=0,"PASS","FAIL")</x:f>
        <x:v>PASS</x:v>
      </x:c>
    </x:row>
    <x:row r="12">
      <x:c r="C12" s="11" t="str">
        <x:v>M4 Tornado sequence</x:v>
      </x:c>
      <x:c r="D12" s="47" t="n">
        <x:f>SUMPRODUCT('03 Campaign Demand'!K$6:K$53,'02 Formation Inputs'!$I$6:$I$53)</x:f>
        <x:v>142752</x:v>
      </x:c>
      <x:c r="E12" s="47" t="n">
        <x:f>SUMPRODUCT('03 Campaign Demand'!K$6:K$53,'02 Formation Inputs'!$Q$6:$Q$53)</x:f>
        <x:v>1456869</x:v>
      </x:c>
      <x:c r="F12" s="47" t="n">
        <x:f>SUMPRODUCT('03 Campaign Demand'!K$6:K$53,'02 Formation Inputs'!$R$6:$R$53)</x:f>
        <x:v>15575</x:v>
      </x:c>
      <x:c r="G12" s="47" t="n">
        <x:f>INDEX('03 Campaign Demand'!K$6:K$53,MATCH("J-TOC",'03 Campaign Demand'!$C$6:$C$53,0))</x:f>
        <x:v>2</x:v>
      </x:c>
      <x:c r="H12" s="47" t="n">
        <x:f>G12*'01 Assumptions'!$D$14</x:f>
        <x:v>105600</x:v>
      </x:c>
      <x:c r="I12" s="47" t="n">
        <x:f>H12-D12</x:f>
        <x:v>-37152</x:v>
      </x:c>
      <x:c r="J12" s="47" t="n">
        <x:f>INDEX('03 Campaign Demand'!K$6:K$53,MATCH("J-TSC",'03 Campaign Demand'!$C$6:$C$53,0))</x:f>
        <x:v>3</x:v>
      </x:c>
      <x:c r="K12" s="47" t="n">
        <x:f>J12*'01 Assumptions'!$D$15*'01 Assumptions'!$D$16</x:f>
        <x:v>37800</x:v>
      </x:c>
      <x:c r="L12" s="47" t="n">
        <x:f>K12-F12</x:f>
        <x:v>22225</x:v>
      </x:c>
      <x:c r="M12" s="15" t="str">
        <x:f>IF(I12&gt;=0,"PASS","FAIL")</x:f>
        <x:v>FAIL</x:v>
      </x:c>
      <x:c r="N12" s="15" t="str">
        <x:f>IF(L12&gt;=0,"PASS","FAIL")</x:f>
        <x:v>PASS</x:v>
      </x:c>
    </x:row>
    <x:row r="13">
      <x:c r="C13" s="11" t="str">
        <x:v>M5 Drought/water</x:v>
      </x:c>
      <x:c r="D13" s="47" t="n">
        <x:f>SUMPRODUCT('03 Campaign Demand'!L$6:L$53,'02 Formation Inputs'!$I$6:$I$53)</x:f>
        <x:v>141775</x:v>
      </x:c>
      <x:c r="E13" s="47" t="n">
        <x:f>SUMPRODUCT('03 Campaign Demand'!L$6:L$53,'02 Formation Inputs'!$Q$6:$Q$53)</x:f>
        <x:v>1473212</x:v>
      </x:c>
      <x:c r="F13" s="47" t="n">
        <x:f>SUMPRODUCT('03 Campaign Demand'!L$6:L$53,'02 Formation Inputs'!$R$6:$R$53)</x:f>
        <x:v>13825</x:v>
      </x:c>
      <x:c r="G13" s="47" t="n">
        <x:f>INDEX('03 Campaign Demand'!L$6:L$53,MATCH("J-TOC",'03 Campaign Demand'!$C$6:$C$53,0))</x:f>
        <x:v>2</x:v>
      </x:c>
      <x:c r="H13" s="47" t="n">
        <x:f>G13*'01 Assumptions'!$D$14</x:f>
        <x:v>105600</x:v>
      </x:c>
      <x:c r="I13" s="47" t="n">
        <x:f>H13-D13</x:f>
        <x:v>-36175</x:v>
      </x:c>
      <x:c r="J13" s="47" t="n">
        <x:f>INDEX('03 Campaign Demand'!L$6:L$53,MATCH("J-TSC",'03 Campaign Demand'!$C$6:$C$53,0))</x:f>
        <x:v>3</x:v>
      </x:c>
      <x:c r="K13" s="47" t="n">
        <x:f>J13*'01 Assumptions'!$D$15*'01 Assumptions'!$D$16</x:f>
        <x:v>37800</x:v>
      </x:c>
      <x:c r="L13" s="47" t="n">
        <x:f>K13-F13</x:f>
        <x:v>23975</x:v>
      </x:c>
      <x:c r="M13" s="15" t="str">
        <x:f>IF(I13&gt;=0,"PASS","FAIL")</x:f>
        <x:v>FAIL</x:v>
      </x:c>
      <x:c r="N13" s="15" t="str">
        <x:f>IF(L13&gt;=0,"PASS","FAIL")</x:f>
        <x:v>PASS</x:v>
      </x:c>
    </x:row>
    <x:row r="14">
      <x:c r="C14" s="11" t="str">
        <x:v>G1 Allied megacity quake</x:v>
      </x:c>
      <x:c r="D14" s="47" t="n">
        <x:f>SUMPRODUCT('03 Campaign Demand'!M$6:M$53,'02 Formation Inputs'!$I$6:$I$53)</x:f>
        <x:v>240140</x:v>
      </x:c>
      <x:c r="E14" s="47" t="n">
        <x:f>SUMPRODUCT('03 Campaign Demand'!M$6:M$53,'02 Formation Inputs'!$Q$6:$Q$53)</x:f>
        <x:v>2380168</x:v>
      </x:c>
      <x:c r="F14" s="47" t="n">
        <x:f>SUMPRODUCT('03 Campaign Demand'!M$6:M$53,'02 Formation Inputs'!$R$6:$R$53)</x:f>
        <x:v>24145</x:v>
      </x:c>
      <x:c r="G14" s="47" t="n">
        <x:f>INDEX('03 Campaign Demand'!M$6:M$53,MATCH("J-TOC",'03 Campaign Demand'!$C$6:$C$53,0))</x:f>
        <x:v>3</x:v>
      </x:c>
      <x:c r="H14" s="47" t="n">
        <x:f>G14*'01 Assumptions'!$D$14</x:f>
        <x:v>158400</x:v>
      </x:c>
      <x:c r="I14" s="47" t="n">
        <x:f>H14-D14</x:f>
        <x:v>-81740</x:v>
      </x:c>
      <x:c r="J14" s="47" t="n">
        <x:f>INDEX('03 Campaign Demand'!M$6:M$53,MATCH("J-TSC",'03 Campaign Demand'!$C$6:$C$53,0))</x:f>
        <x:v>4</x:v>
      </x:c>
      <x:c r="K14" s="47" t="n">
        <x:f>J14*'01 Assumptions'!$D$15*'01 Assumptions'!$D$16</x:f>
        <x:v>50400</x:v>
      </x:c>
      <x:c r="L14" s="47" t="n">
        <x:f>K14-F14</x:f>
        <x:v>26255</x:v>
      </x:c>
      <x:c r="M14" s="15" t="str">
        <x:f>IF(I14&gt;=0,"PASS","FAIL")</x:f>
        <x:v>FAIL</x:v>
      </x:c>
      <x:c r="N14" s="15" t="str">
        <x:f>IF(L14&gt;=0,"PASS","FAIL")</x:f>
        <x:v>PASS</x:v>
      </x:c>
    </x:row>
    <x:row r="15">
      <x:c r="C15" s="11" t="str">
        <x:v>G2 Regional flood/displacement</x:v>
      </x:c>
      <x:c r="D15" s="47" t="n">
        <x:f>SUMPRODUCT('03 Campaign Demand'!N$6:N$53,'02 Formation Inputs'!$I$6:$I$53)</x:f>
        <x:v>236580</x:v>
      </x:c>
      <x:c r="E15" s="47" t="n">
        <x:f>SUMPRODUCT('03 Campaign Demand'!N$6:N$53,'02 Formation Inputs'!$Q$6:$Q$53)</x:f>
        <x:v>2356920</x:v>
      </x:c>
      <x:c r="F15" s="47" t="n">
        <x:f>SUMPRODUCT('03 Campaign Demand'!N$6:N$53,'02 Formation Inputs'!$R$6:$R$53)</x:f>
        <x:v>24645</x:v>
      </x:c>
      <x:c r="G15" s="47" t="n">
        <x:f>INDEX('03 Campaign Demand'!N$6:N$53,MATCH("J-TOC",'03 Campaign Demand'!$C$6:$C$53,0))</x:f>
        <x:v>3</x:v>
      </x:c>
      <x:c r="H15" s="47" t="n">
        <x:f>G15*'01 Assumptions'!$D$14</x:f>
        <x:v>158400</x:v>
      </x:c>
      <x:c r="I15" s="47" t="n">
        <x:f>H15-D15</x:f>
        <x:v>-78180</x:v>
      </x:c>
      <x:c r="J15" s="47" t="n">
        <x:f>INDEX('03 Campaign Demand'!N$6:N$53,MATCH("J-TSC",'03 Campaign Demand'!$C$6:$C$53,0))</x:f>
        <x:v>4</x:v>
      </x:c>
      <x:c r="K15" s="47" t="n">
        <x:f>J15*'01 Assumptions'!$D$15*'01 Assumptions'!$D$16</x:f>
        <x:v>50400</x:v>
      </x:c>
      <x:c r="L15" s="47" t="n">
        <x:f>K15-F15</x:f>
        <x:v>25755</x:v>
      </x:c>
      <x:c r="M15" s="15" t="str">
        <x:f>IF(I15&gt;=0,"PASS","FAIL")</x:f>
        <x:v>FAIL</x:v>
      </x:c>
      <x:c r="N15" s="15" t="str">
        <x:f>IF(L15&gt;=0,"PASS","FAIL")</x:f>
        <x:v>PASS</x:v>
      </x:c>
    </x:row>
    <x:row r="19">
      <x:c r="C19" s="9" t="str">
        <x:v>National early-mass screen</x:v>
      </x:c>
      <x:c r="D19" s="9" t="str">
        <x:v>Value</x:v>
      </x:c>
      <x:c r="E19" s="9" t="str">
        <x:v>Unit</x:v>
      </x:c>
      <x:c r="F19" s="9" t="str">
        <x:v>Status</x:v>
      </x:c>
    </x:row>
    <x:row r="20">
      <x:c r="C20" s="11" t="str">
        <x:v>Gross early mass</x:v>
      </x:c>
      <x:c r="D20" s="42" t="n">
        <x:f>SUMPRODUCT('03 Campaign Demand'!$O$6:$O$53,'02 Formation Inputs'!$P$6:$P$53,'02 Formation Inputs'!$Q$6:$Q$53)</x:f>
        <x:v>8902853.8</x:v>
      </x:c>
      <x:c r="E20" s="15" t="str">
        <x:v>tonnes</x:v>
      </x:c>
      <x:c r="F20" s="15" t="str">
        <x:f>"—"</x:f>
        <x:v>—</x:v>
      </x:c>
    </x:row>
    <x:row r="21">
      <x:c r="C21" s="11" t="str">
        <x:v>After preposition credit</x:v>
      </x:c>
      <x:c r="D21" s="42" t="n">
        <x:f>D20*(1-'01 Assumptions'!D9)</x:f>
        <x:v>6677140.350000001</x:v>
      </x:c>
      <x:c r="E21" s="15" t="str">
        <x:v>tonnes</x:v>
      </x:c>
      <x:c r="F21" s="15" t="str">
        <x:f>"—"</x:f>
        <x:v>—</x:v>
      </x:c>
    </x:row>
    <x:row r="22">
      <x:c r="C22" s="11" t="str">
        <x:v>72-hour inherited throughput</x:v>
      </x:c>
      <x:c r="D22" s="42" t="n">
        <x:f>3*SUM('01 Assumptions'!D10:D13)</x:f>
        <x:v>2462931</x:v>
      </x:c>
      <x:c r="E22" s="15" t="str">
        <x:v>tonnes</x:v>
      </x:c>
      <x:c r="F22" s="15" t="str">
        <x:f>"—"</x:f>
        <x:v>—</x:v>
      </x:c>
    </x:row>
    <x:row r="23">
      <x:c r="C23" s="11" t="str">
        <x:v>Transport margin</x:v>
      </x:c>
      <x:c r="D23" s="42" t="n">
        <x:f>D22-D21</x:f>
        <x:v>-4214209.350000001</x:v>
      </x:c>
      <x:c r="E23" s="15" t="str">
        <x:v>tonnes</x:v>
      </x:c>
      <x:c r="F23" s="15" t="str">
        <x:f>"—"</x:f>
        <x:v>—</x:v>
      </x:c>
    </x:row>
    <x:row r="24">
      <x:c r="C24" s="11" t="str">
        <x:v>Transport screen</x:v>
      </x:c>
      <x:c r="D24" s="15" t="str">
        <x:f>"—"</x:f>
        <x:v>—</x:v>
      </x:c>
      <x:c r="E24" s="15" t="str">
        <x:v>binary screen</x:v>
      </x:c>
      <x:c r="F24" s="15" t="str">
        <x:f>IF(D23&gt;=0,"PASS","FAIL")</x:f>
        <x:v>FAIL</x:v>
      </x:c>
    </x:row>
  </x:sheetData>
  <x:conditionalFormatting sqref="M6:N15">
    <x:cfRule type="containsText" dxfId="4" priority="1" operator="containsText" text="FAIL"/>
    <x:cfRule type="containsText" dxfId="5" priority="2" operator="containsText" text="PASS"/>
  </x:conditionalFormatting>
  <x:conditionalFormatting sqref="F20:F24">
    <x:cfRule type="containsText" dxfId="6" priority="3" operator="containsText" text="FAIL"/>
    <x:cfRule type="containsText" dxfId="7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3c20f90afb3347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4" hidden="0" customWidth="1"/>
    <x:col min="4" max="4" width="19" hidden="0" customWidth="1"/>
    <x:col min="5" max="5" width="24" hidden="0" customWidth="1"/>
    <x:col min="6" max="6" width="23" hidden="0" customWidth="1"/>
    <x:col min="7" max="7" width="21" hidden="0" customWidth="1"/>
    <x:col min="8" max="8" width="64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Pass 23 to Canonical Successor Bridge</x:v>
      </x:c>
      <x:c r="D2" s="1"/>
      <x:c r="E2" s="1"/>
      <x:c r="F2" s="1"/>
      <x:c r="G2" s="1"/>
      <x:c r="H2" s="1"/>
    </x:row>
    <x:row r="3">
      <x:c r="C3" s="3" t="str">
        <x:v>The predecessor remains visible. New family burdens and shared-system credits are separated so no improvement is manufactured by relabeling.</x:v>
      </x:c>
      <x:c r="D3" s="3"/>
      <x:c r="E3" s="3"/>
      <x:c r="F3" s="3"/>
      <x:c r="G3" s="3"/>
      <x:c r="H3" s="3"/>
    </x:row>
    <x:row r="5">
      <x:c r="C5" s="9" t="str">
        <x:v>Measure</x:v>
      </x:c>
      <x:c r="D5" s="9" t="str">
        <x:v>Pass 23</x:v>
      </x:c>
      <x:c r="E5" s="9" t="str">
        <x:v>Gross / additions</x:v>
      </x:c>
      <x:c r="F5" s="9" t="str">
        <x:v>Credit / retirements</x:v>
      </x:c>
      <x:c r="G5" s="9" t="str">
        <x:v>Canonical successor</x:v>
      </x:c>
      <x:c r="H5" s="9" t="str">
        <x:v>Interpretation</x:v>
      </x:c>
    </x:row>
    <x:row r="6">
      <x:c r="C6" s="11" t="str">
        <x:v>Capital $B</x:v>
      </x:c>
      <x:c r="D6" s="47" t="n">
        <x:f>'01 Assumptions'!D24</x:f>
        <x:v>12049</x:v>
      </x:c>
      <x:c r="E6" s="47" t="n">
        <x:f>SUM('06 Capital'!G39:G53)*(1+'01 Assumptions'!D23)</x:f>
        <x:v>5851.6176</x:v>
      </x:c>
      <x:c r="F6" s="47" t="n">
        <x:f>SUM('06 Capital'!H39:H53)*(1+'01 Assumptions'!D23)</x:f>
        <x:v>2721.7200000000003</x:v>
      </x:c>
      <x:c r="G6" s="47" t="n">
        <x:f>'06 Capital'!K65</x:f>
        <x:v>15178.917599999999</x:v>
      </x:c>
      <x:c r="H6" s="14" t="str">
        <x:v>Pass 23 plus gross new-family capital, less explicit shared-system credit; common systems remain once.</x:v>
      </x:c>
    </x:row>
    <x:row r="7">
      <x:c r="C7" s="11" t="str">
        <x:v>Affiliated billet-equivalents</x:v>
      </x:c>
      <x:c r="D7" s="47" t="n">
        <x:f>'01 Assumptions'!D26</x:f>
        <x:v>3944955.95</x:v>
      </x:c>
      <x:c r="E7" s="47" t="n">
        <x:f>SUMPRODUCT('04 Inventory'!J39:J53,'02 Formation Inputs'!G39:G53,'02 Formation Inputs'!J39:J53)*(1+'01 Assumptions'!D8)</x:f>
        <x:v>8539161.568000002</x:v>
      </x:c>
      <x:c r="F7" s="47" t="n">
        <x:f>SUMPRODUCT('04 Inventory'!J39:J53,'02 Formation Inputs'!H39:H53,'02 Formation Inputs'!J39:J53)*(1+'01 Assumptions'!D8)</x:f>
        <x:v>1999882.08</x:v>
      </x:c>
      <x:c r="G7" s="47" t="n">
        <x:f>'05 Workforce'!D62</x:f>
        <x:v>10484235.438000001</x:v>
      </x:c>
      <x:c r="H7" s="14" t="str">
        <x:v>Pass 23 plus gross new-family billets and depth, less explicit shared-crew credit and associated depth.</x:v>
      </x:c>
    </x:row>
    <x:row r="8">
      <x:c r="C8" s="11" t="str">
        <x:v>Mature annual operations $B</x:v>
      </x:c>
      <x:c r="D8" s="47" t="n">
        <x:f>'01 Assumptions'!D25</x:f>
        <x:v>858</x:v>
      </x:c>
      <x:c r="E8" s="47" t="n">
        <x:f>'07 Annual Ops'!D62-'01 Assumptions'!D25</x:f>
        <x:v>878.41782438</x:v>
      </x:c>
      <x:c r="F8" s="47" t="n">
        <x:f>0</x:f>
        <x:v>0</x:v>
      </x:c>
      <x:c r="G8" s="47" t="n">
        <x:f>'07 Annual Ops'!D62</x:f>
        <x:v>1736.41782438</x:v>
      </x:c>
      <x:c r="H8" s="14" t="str">
        <x:v>Incremental personnel and net-capital O&amp;M layer on the published $858B base.</x:v>
      </x:c>
    </x:row>
    <x:row r="9">
      <x:c r="C9" s="11" t="str">
        <x:v>Canonical formation families</x:v>
      </x:c>
      <x:c r="D9" s="42" t="n">
        <x:f>33</x:f>
        <x:v>33</x:v>
      </x:c>
      <x:c r="E9" s="42" t="n">
        <x:f>15</x:f>
        <x:v>15</x:v>
      </x:c>
      <x:c r="F9" s="42" t="n">
        <x:f>0</x:f>
        <x:v>0</x:v>
      </x:c>
      <x:c r="G9" s="42" t="n">
        <x:f>48</x:f>
        <x:v>48</x:v>
      </x:c>
      <x:c r="H9" s="14" t="str">
        <x:v>I-UPG retires; three child families plus twelve other gaps enter the model.</x:v>
      </x:c>
    </x:row>
    <x:row r="10">
      <x:c r="C10" s="11" t="str">
        <x:v>Ten-campaign formation commitments</x:v>
      </x:c>
      <x:c r="D10" s="42" t="n">
        <x:f>1750</x:f>
        <x:v>1750</x:v>
      </x:c>
      <x:c r="E10" s="42" t="n">
        <x:f>SUM('03 Campaign Demand'!O39:O53)</x:f>
        <x:v>746</x:v>
      </x:c>
      <x:c r="F10" s="42" t="n">
        <x:f>76</x:f>
        <x:v>76</x:v>
      </x:c>
      <x:c r="G10" s="42" t="n">
        <x:f>SUM('03 Campaign Demand'!O6:O53)</x:f>
        <x:v>2420</x:v>
      </x:c>
      <x:c r="H10" s="14" t="str">
        <x:v>The 76 legacy I-UPG commitments retire before 746 new-family commitments enter; family outputs are not comparable units.</x:v>
      </x:c>
    </x:row>
    <x:row r="11">
      <x:c r="D11" s="48"/>
      <x:c r="E11" s="48"/>
      <x:c r="F11" s="48"/>
      <x:c r="G11" s="48"/>
    </x:row>
    <x:row r="12">
      <x:c r="D12" s="48"/>
      <x:c r="E12" s="48"/>
      <x:c r="F12" s="48"/>
      <x:c r="G12" s="48"/>
    </x:row>
    <x:row r="13">
      <x:c r="D13" s="48"/>
      <x:c r="E13" s="48"/>
      <x:c r="F13" s="48"/>
      <x:c r="G13" s="48"/>
    </x:row>
    <x:row r="14">
      <x:c r="C14" s="9" t="str">
        <x:v>Reconciliation check</x:v>
      </x:c>
      <x:c r="D14" s="49" t="str">
        <x:v>Expected</x:v>
      </x:c>
      <x:c r="E14" s="49" t="str">
        <x:v>Actual</x:v>
      </x:c>
      <x:c r="F14" s="49" t="str">
        <x:v>Difference</x:v>
      </x:c>
      <x:c r="G14" s="49" t="str">
        <x:v>Status</x:v>
      </x:c>
    </x:row>
    <x:row r="15">
      <x:c r="C15" s="11" t="str">
        <x:v>Retained capital reproduces Pass 23</x:v>
      </x:c>
      <x:c r="D15" s="31" t="n">
        <x:f>'01 Assumptions'!D24</x:f>
        <x:v>12049</x:v>
      </x:c>
      <x:c r="E15" s="31" t="n">
        <x:f>SUM('06 Capital'!K6:K38)+SUM('06 Capital'!K57:K62)</x:f>
        <x:v>12049.02</x:v>
      </x:c>
      <x:c r="F15" s="31" t="n">
        <x:f>E15-D15</x:f>
        <x:v>0.020000000000436557</x:v>
      </x:c>
      <x:c r="G15" s="15" t="str">
        <x:f>IF(ABS(F15)&lt;=1,"PASS","FAIL")</x:f>
        <x:v>PASS</x:v>
      </x:c>
    </x:row>
    <x:row r="16">
      <x:c r="C16" s="11" t="str">
        <x:v>Retained workforce reproduces Pass 23</x:v>
      </x:c>
      <x:c r="D16" s="31" t="n">
        <x:f>'01 Assumptions'!D26</x:f>
        <x:v>3944955.95</x:v>
      </x:c>
      <x:c r="E16" s="31" t="n">
        <x:f>'05 Workforce'!D58+'05 Workforce'!D60+('05 Workforce'!D58*'01 Assumptions'!D8)</x:f>
        <x:v>3944955.9499999997</x:v>
      </x:c>
      <x:c r="F16" s="31" t="n">
        <x:f>E16-D16</x:f>
        <x:v>-4.656612873077393e-10</x:v>
      </x:c>
      <x:c r="G16" s="15" t="str">
        <x:f>IF(ABS(F16)&lt;=1,"PASS","FAIL")</x:f>
        <x:v>PASS</x:v>
      </x:c>
    </x:row>
    <x:row r="17">
      <x:c r="C17" s="11" t="str">
        <x:v>All 48 canonical families modeled</x:v>
      </x:c>
      <x:c r="D17" s="31" t="n">
        <x:f>48</x:f>
        <x:v>48</x:v>
      </x:c>
      <x:c r="E17" s="31" t="n">
        <x:f>COUNTA('02 Formation Inputs'!C6:C53)</x:f>
        <x:v>48</x:v>
      </x:c>
      <x:c r="F17" s="31" t="n">
        <x:f>E17-D17</x:f>
        <x:v>0</x:v>
      </x:c>
      <x:c r="G17" s="15" t="str">
        <x:f>IF(F17=0,"PASS","FAIL")</x:f>
        <x:v>PASS</x:v>
      </x:c>
    </x:row>
  </x:sheetData>
  <x:conditionalFormatting sqref="G15:G17">
    <x:cfRule type="containsText" dxfId="8" priority="1" operator="containsText" text="FAIL"/>
    <x:cfRule type="containsText" dxfId="9" priority="2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2" hidden="0" customWidth="1"/>
    <x:col min="4" max="4" width="46" hidden="0" customWidth="1"/>
    <x:col min="5" max="5" width="74" hidden="0" customWidth="1"/>
    <x:col min="6" max="6" width="14" hidden="0" customWidth="1"/>
    <x:col min="7" max="7" width="18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Internal Sources and Evidence Gates</x:v>
      </x:c>
      <x:c r="D2" s="1"/>
      <x:c r="E2" s="1"/>
      <x:c r="F2" s="1"/>
      <x:c r="G2" s="1"/>
      <x:c r="H2" s="1"/>
    </x:row>
    <x:row r="3">
      <x:c r="C3" s="3" t="str">
        <x:v>Repository authorities only. Every source is a design authority or lineage record; none makes the successor an independent estimate.</x:v>
      </x:c>
      <x:c r="D3" s="3"/>
      <x:c r="E3" s="3"/>
      <x:c r="F3" s="3"/>
      <x:c r="G3" s="3"/>
      <x:c r="H3" s="3"/>
    </x:row>
    <x:row r="5">
      <x:c r="C5" s="9" t="str">
        <x:v>ID</x:v>
      </x:c>
      <x:c r="D5" s="9" t="str">
        <x:v>Repository authority</x:v>
      </x:c>
      <x:c r="E5" s="9" t="str">
        <x:v>Use</x:v>
      </x:c>
    </x:row>
    <x:row r="6">
      <x:c r="C6" s="11" t="str">
        <x:v>S01</x:v>
      </x:c>
      <x:c r="D6" s="14" t="str">
        <x:v>models/force/generation/joint-force-allocation-model.xlsx</x:v>
      </x:c>
      <x:c r="E6" s="14" t="str">
        <x:v>Predecessor demand, readiness, components and headlines</x:v>
      </x:c>
    </x:row>
    <x:row r="7">
      <x:c r="C7" s="11" t="str">
        <x:v>S02</x:v>
      </x:c>
      <x:c r="D7" s="14" t="str">
        <x:v>research/force/generation/national-formation-registry.md</x:v>
      </x:c>
      <x:c r="E7" s="14" t="str">
        <x:v>Forty-eight canonical families and retirement of I-UPG</x:v>
      </x:c>
    </x:row>
    <x:row r="8">
      <x:c r="C8" s="11" t="str">
        <x:v>S03</x:v>
      </x:c>
      <x:c r="D8" s="14" t="str">
        <x:v>research/force/projection/joint-deployment-and-distribution-enterprise.md</x:v>
      </x:c>
      <x:c r="E8" s="14" t="str">
        <x:v>Transport, reception, base and sustainment screens</x:v>
      </x:c>
    </x:row>
    <x:row r="9">
      <x:c r="C9" s="11" t="str">
        <x:v>S04</x:v>
      </x:c>
      <x:c r="D9" s="14" t="str">
        <x:v>research/force/mobility/national-civil-mobility-and-continuity-force.md</x:v>
      </x:c>
      <x:c r="E9" s="14" t="str">
        <x:v>Civil mobility fleet, workforce, capital and technology architecture</x:v>
      </x:c>
    </x:row>
    <x:row r="10">
      <x:c r="C10" s="11" t="str">
        <x:v>S05</x:v>
      </x:c>
      <x:c r="D10" s="14" t="str">
        <x:v>research/force/mobility/neighborhood-continuity-and-access-cell.md</x:v>
      </x:c>
      <x:c r="E10" s="14" t="str">
        <x:v>CM-HCG configuration proxy</x:v>
      </x:c>
    </x:row>
    <x:row r="11">
      <x:c r="C11" s="11" t="str">
        <x:v>S06</x:v>
      </x:c>
      <x:c r="D11" s="14" t="str">
        <x:v>research/systems/water/configuration-model.md</x:v>
      </x:c>
      <x:c r="E11" s="14" t="str">
        <x:v>I-WRG people and mass proxy</x:v>
      </x:c>
    </x:row>
    <x:row r="12">
      <x:c r="C12" s="11" t="str">
        <x:v>S07</x:v>
      </x:c>
      <x:c r="D12" s="14" t="str">
        <x:v>research/systems/power/configuration-model.md</x:v>
      </x:c>
      <x:c r="E12" s="14" t="str">
        <x:v>I-PRG people and mass proxy</x:v>
      </x:c>
    </x:row>
    <x:row r="13">
      <x:c r="C13" s="11" t="str">
        <x:v>S08</x:v>
      </x:c>
      <x:c r="D13" s="14" t="str">
        <x:v>research/systems/water/nuclear-water-energy-system.md</x:v>
      </x:c>
      <x:c r="E13" s="14" t="str">
        <x:v>M-MPG/N-WES embedded-system proxy</x:v>
      </x:c>
    </x:row>
    <x:row r="17" ht="42" customHeight="1">
      <x:c r="C17" s="9" t="str">
        <x:v>Gate</x:v>
      </x:c>
      <x:c r="D17" s="9" t="str">
        <x:v>Question</x:v>
      </x:c>
      <x:c r="E17" s="9" t="str">
        <x:v>Admission evidence</x:v>
      </x:c>
      <x:c r="F17" s="9" t="str">
        <x:v>State</x:v>
      </x:c>
      <x:c r="G17" s="9" t="str">
        <x:v>Blocks rendering</x:v>
      </x:c>
    </x:row>
    <x:row r="18" ht="42" customHeight="1">
      <x:c r="C18" s="11" t="str">
        <x:v>G01</x:v>
      </x:c>
      <x:c r="D18" s="11" t="str">
        <x:v>Campaign calibration</x:v>
      </x:c>
      <x:c r="E18" s="14" t="str">
        <x:v>Observed time-phased service deficits replace expert package counts</x:v>
      </x:c>
      <x:c r="F18" s="21" t="str">
        <x:v>OPEN</x:v>
      </x:c>
      <x:c r="G18" s="21" t="str">
        <x:v>YES</x:v>
      </x:c>
    </x:row>
    <x:row r="19" ht="42" customHeight="1">
      <x:c r="C19" s="11" t="str">
        <x:v>G02</x:v>
      </x:c>
      <x:c r="D19" s="11" t="str">
        <x:v>Utility disaggregation</x:v>
      </x:c>
      <x:c r="E19" s="14" t="str">
        <x:v>WRG, PRG and GBG missions prove distinct demand and shared-system boundaries</x:v>
      </x:c>
      <x:c r="F19" s="21" t="str">
        <x:v>OPEN</x:v>
      </x:c>
      <x:c r="G19" s="21" t="str">
        <x:v>YES</x:v>
      </x:c>
    </x:row>
    <x:row r="20" ht="42" customHeight="1">
      <x:c r="C20" s="11" t="str">
        <x:v>G03</x:v>
      </x:c>
      <x:c r="D20" s="11" t="str">
        <x:v>Civil mobility scale</x:v>
      </x:c>
      <x:c r="E20" s="14" t="str">
        <x:v>Origin-to-admission simulations connect people, nodes, vehicles and receivers</x:v>
      </x:c>
      <x:c r="F20" s="21" t="str">
        <x:v>OPEN</x:v>
      </x:c>
      <x:c r="G20" s="21" t="str">
        <x:v>YES</x:v>
      </x:c>
    </x:row>
    <x:row r="21" ht="42" customHeight="1">
      <x:c r="C21" s="11" t="str">
        <x:v>G04</x:v>
      </x:c>
      <x:c r="D21" s="11" t="str">
        <x:v>Shared crew accounting</x:v>
      </x:c>
      <x:c r="E21" s="14" t="str">
        <x:v>Occupation-level rosters prove each deduction from gross people</x:v>
      </x:c>
      <x:c r="F21" s="21" t="str">
        <x:v>OPEN</x:v>
      </x:c>
      <x:c r="G21" s="21" t="str">
        <x:v>YES</x:v>
      </x:c>
    </x:row>
    <x:row r="22" ht="42" customHeight="1">
      <x:c r="C22" s="11" t="str">
        <x:v>G05</x:v>
      </x:c>
      <x:c r="D22" s="11" t="str">
        <x:v>Shared capital accounting</x:v>
      </x:c>
      <x:c r="E22" s="14" t="str">
        <x:v>Item-level WBS proves embedded plant, carrier and base credits</x:v>
      </x:c>
      <x:c r="F22" s="21" t="str">
        <x:v>OPEN</x:v>
      </x:c>
      <x:c r="G22" s="21" t="str">
        <x:v>YES</x:v>
      </x:c>
    </x:row>
    <x:row r="23" ht="42" customHeight="1">
      <x:c r="C23" s="11" t="str">
        <x:v>G06</x:v>
      </x:c>
      <x:c r="D23" s="11" t="str">
        <x:v>Correlated readiness</x:v>
      </x:c>
      <x:c r="E23" s="14" t="str">
        <x:v>Common suppliers, bases, routes, data and crews enter one covariance model</x:v>
      </x:c>
      <x:c r="F23" s="21" t="str">
        <x:v>OPEN</x:v>
      </x:c>
      <x:c r="G23" s="21" t="str">
        <x:v>YES</x:v>
      </x:c>
    </x:row>
    <x:row r="24" ht="42" customHeight="1">
      <x:c r="C24" s="11" t="str">
        <x:v>G07</x:v>
      </x:c>
      <x:c r="D24" s="11" t="str">
        <x:v>Strategic transport</x:v>
      </x:c>
      <x:c r="E24" s="14" t="str">
        <x:v>Item-level loads, cycles, networks and prepositioning close the early-mass deficit</x:v>
      </x:c>
      <x:c r="F24" s="21" t="str">
        <x:v>OPEN</x:v>
      </x:c>
      <x:c r="G24" s="21" t="str">
        <x:v>YES</x:v>
      </x:c>
    </x:row>
    <x:row r="25" ht="42" customHeight="1">
      <x:c r="C25" s="11" t="str">
        <x:v>G08</x:v>
      </x:c>
      <x:c r="D25" s="11" t="str">
        <x:v>Reception and basing</x:v>
      </x:c>
      <x:c r="E25" s="14" t="str">
        <x:v>Occupied nodes prove responder and public-service intake under damage</x:v>
      </x:c>
      <x:c r="F25" s="21" t="str">
        <x:v>OPEN</x:v>
      </x:c>
      <x:c r="G25" s="21" t="str">
        <x:v>YES</x:v>
      </x:c>
    </x:row>
    <x:row r="26" ht="42" customHeight="1">
      <x:c r="C26" s="11" t="str">
        <x:v>G09</x:v>
      </x:c>
      <x:c r="D26" s="11" t="str">
        <x:v>Sustainment and residuals</x:v>
      </x:c>
      <x:c r="E26" s="14" t="str">
        <x:v>Commodity, repair, fuel, waste and reverse flow are itemized</x:v>
      </x:c>
      <x:c r="F26" s="21" t="str">
        <x:v>OPEN</x:v>
      </x:c>
      <x:c r="G26" s="21" t="str">
        <x:v>YES</x:v>
      </x:c>
    </x:row>
    <x:row r="27" ht="42" customHeight="1">
      <x:c r="C27" s="11" t="str">
        <x:v>G10</x:v>
      </x:c>
      <x:c r="D27" s="11" t="str">
        <x:v>Independent cost</x:v>
      </x:c>
      <x:c r="E27" s="14" t="str">
        <x:v>Reference classes, schedules, learning, escalation and confidence are estimated</x:v>
      </x:c>
      <x:c r="F27" s="21" t="str">
        <x:v>OPEN</x:v>
      </x:c>
      <x:c r="G27" s="21" t="str">
        <x:v>YES</x:v>
      </x:c>
    </x:row>
    <x:row r="28" ht="42" customHeight="1">
      <x:c r="C28" s="11" t="str">
        <x:v>G11</x:v>
      </x:c>
      <x:c r="D28" s="11" t="str">
        <x:v>Occupation supply</x:v>
      </x:c>
      <x:c r="E28" s="14" t="str">
        <x:v>Schools, licenses, attrition and employer release generate the modeled force</x:v>
      </x:c>
      <x:c r="F28" s="21" t="str">
        <x:v>OPEN</x:v>
      </x:c>
      <x:c r="G28" s="21" t="str">
        <x:v>YES</x:v>
      </x:c>
    </x:row>
    <x:row r="29" ht="42" customHeight="1">
      <x:c r="C29" s="11" t="str">
        <x:v>G12</x:v>
      </x:c>
      <x:c r="D29" s="11" t="str">
        <x:v>Full regeneration</x:v>
      </x:c>
      <x:c r="E29" s="14" t="str">
        <x:v>A second campaign begins before the first force returns to readiness</x:v>
      </x:c>
      <x:c r="F29" s="21" t="str">
        <x:v>OPEN</x:v>
      </x:c>
      <x:c r="G29" s="21" t="str">
        <x:v>YES</x:v>
      </x:c>
    </x:row>
  </x:sheetData>
  <x:pageMargins left="0.7" right="0.7" top="0.75" bottom="0.75" header="0.3" footer="0.3"/>
  <x:tableParts count="2">
    <x:tablePart xmlns:r="http://schemas.openxmlformats.org/officeDocument/2006/relationships" r:id="Rb3b7df84ae82413f"/>
    <x:tablePart xmlns:r="http://schemas.openxmlformats.org/officeDocument/2006/relationships" r:id="R150c72572df245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1" max="1" width="3" hidden="0" customWidth="1"/>
    <x:col min="2" max="2" width="3" hidden="0" customWidth="1"/>
  </x:cols>
  <x:sheetData>
    <x:row r="1" ht="8" customHeight="1"/>
    <x:row r="2">
      <x:c r="C2" s="2" t="str">
        <x:v>Model Integrity</x:v>
      </x:c>
      <x:c r="D2" s="1"/>
      <x:c r="E2" s="1"/>
      <x:c r="F2" s="1"/>
    </x:row>
    <x:row r="3">
      <x:c r="C3" s="3" t="str">
        <x:v>Terminal checks test arithmetic and lineage only. PASS does not validate any input or operational claim.</x:v>
      </x:c>
      <x:c r="D3" s="3"/>
      <x:c r="E3" s="3"/>
      <x:c r="F3" s="3"/>
    </x:row>
    <x:row r="5">
      <x:c r="C5" s="9" t="str">
        <x:v>Check</x:v>
      </x:c>
      <x:c r="D5" s="9" t="str">
        <x:v>Expected</x:v>
      </x:c>
      <x:c r="E5" s="9" t="str">
        <x:v>Actual</x:v>
      </x:c>
      <x:c r="F5" s="9" t="str">
        <x:v>Status</x:v>
      </x:c>
    </x:row>
    <x:row r="6">
      <x:c r="C6" s="11" t="str">
        <x:v>Canonical families</x:v>
      </x:c>
      <x:c r="D6" s="11" t="n">
        <x:v>48</x:v>
      </x:c>
      <x:c r="E6" s="15" t="n">
        <x:f>COUNTA('02 Formation Inputs'!C6:C53)</x:f>
        <x:v>48</x:v>
      </x:c>
      <x:c r="F6" s="15" t="str">
        <x:f>IF(D6=E6,"PASS","FAIL")</x:f>
        <x:v>PASS</x:v>
      </x:c>
    </x:row>
    <x:row r="7">
      <x:c r="C7" s="11" t="str">
        <x:v>Retained families</x:v>
      </x:c>
      <x:c r="D7" s="11" t="n">
        <x:v>33</x:v>
      </x:c>
      <x:c r="E7" s="15" t="n">
        <x:f>COUNTIF('02 Formation Inputs'!F6:F53,"Pass 23 retained")</x:f>
        <x:v>33</x:v>
      </x:c>
      <x:c r="F7" s="15" t="str">
        <x:f>IF(D7=E7,"PASS","FAIL")</x:f>
        <x:v>PASS</x:v>
      </x:c>
    </x:row>
    <x:row r="8">
      <x:c r="C8" s="11" t="str">
        <x:v>New families</x:v>
      </x:c>
      <x:c r="D8" s="11" t="n">
        <x:v>15</x:v>
      </x:c>
      <x:c r="E8" s="15" t="n">
        <x:f>COUNTIF('02 Formation Inputs'!F6:F53,"Pass 58 canonical addition")</x:f>
        <x:v>15</x:v>
      </x:c>
      <x:c r="F8" s="15" t="str">
        <x:f>IF(D8=E8,"PASS","FAIL")</x:f>
        <x:v>PASS</x:v>
      </x:c>
    </x:row>
    <x:row r="9">
      <x:c r="C9" s="11" t="str">
        <x:v>Demand rows</x:v>
      </x:c>
      <x:c r="D9" s="11" t="n">
        <x:v>48</x:v>
      </x:c>
      <x:c r="E9" s="15" t="n">
        <x:f>COUNTA('03 Campaign Demand'!C6:C53)</x:f>
        <x:v>48</x:v>
      </x:c>
      <x:c r="F9" s="15" t="str">
        <x:f>IF(D9=E9,"PASS","FAIL")</x:f>
        <x:v>PASS</x:v>
      </x:c>
    </x:row>
    <x:row r="10">
      <x:c r="C10" s="11" t="str">
        <x:v>Inventory rows</x:v>
      </x:c>
      <x:c r="D10" s="11" t="n">
        <x:v>48</x:v>
      </x:c>
      <x:c r="E10" s="15" t="n">
        <x:f>COUNTA('04 Inventory'!C6:C53)</x:f>
        <x:v>48</x:v>
      </x:c>
      <x:c r="F10" s="15" t="str">
        <x:f>IF(D10=E10,"PASS","FAIL")</x:f>
        <x:v>PASS</x:v>
      </x:c>
    </x:row>
    <x:row r="11">
      <x:c r="C11" s="11" t="str">
        <x:v>All inventory screens pass</x:v>
      </x:c>
      <x:c r="D11" s="11" t="n">
        <x:v>48</x:v>
      </x:c>
      <x:c r="E11" s="15" t="n">
        <x:f>COUNTIF('04 Inventory'!M6:M53,"PASS")</x:f>
        <x:v>48</x:v>
      </x:c>
      <x:c r="F11" s="15" t="str">
        <x:f>IF(D11=E11,"PASS","FAIL")</x:f>
        <x:v>PASS</x:v>
      </x:c>
    </x:row>
    <x:row r="12">
      <x:c r="C12" s="11" t="str">
        <x:v>Component shares sum</x:v>
      </x:c>
      <x:c r="D12" s="11" t="n">
        <x:v>48</x:v>
      </x:c>
      <x:c r="E12" s="15" t="n">
        <x:f>COUNTIF('05 Workforce'!V6:V53,"PASS")</x:f>
        <x:v>48</x:v>
      </x:c>
      <x:c r="F12" s="15" t="str">
        <x:f>IF(D12=E12,"PASS","FAIL")</x:f>
        <x:v>PASS</x:v>
      </x:c>
    </x:row>
    <x:row r="13">
      <x:c r="C13" s="11" t="str">
        <x:v>Nonnegative net people</x:v>
      </x:c>
      <x:c r="D13" s="11" t="n">
        <x:v>48</x:v>
      </x:c>
      <x:c r="E13" s="15" t="n">
        <x:f>COUNTIF('02 Formation Inputs'!I6:I53,"&gt;=0")</x:f>
        <x:v>48</x:v>
      </x:c>
      <x:c r="F13" s="15" t="str">
        <x:f>IF(D13=E13,"PASS","FAIL")</x:f>
        <x:v>PASS</x:v>
      </x:c>
    </x:row>
    <x:row r="14">
      <x:c r="C14" s="11" t="str">
        <x:v>Nonnegative net capital</x:v>
      </x:c>
      <x:c r="D14" s="11" t="n">
        <x:v>48</x:v>
      </x:c>
      <x:c r="E14" s="15" t="n">
        <x:f>COUNTIF('02 Formation Inputs'!V6:V53,"&gt;=0")</x:f>
        <x:v>48</x:v>
      </x:c>
      <x:c r="F14" s="15" t="str">
        <x:f>IF(D14=E14,"PASS","FAIL")</x:f>
        <x:v>PASS</x:v>
      </x:c>
    </x:row>
    <x:row r="15">
      <x:c r="C15" s="11" t="str">
        <x:v>Capital bridge within $1B</x:v>
      </x:c>
      <x:c r="D15" s="11" t="n">
        <x:v>1</x:v>
      </x:c>
      <x:c r="E15" s="15" t="n">
        <x:f>--(ABS('09 Baseline Bridge'!F15)&lt;=1)</x:f>
        <x:v>1</x:v>
      </x:c>
      <x:c r="F15" s="15" t="str">
        <x:f>IF(D15=E15,"PASS","FAIL")</x:f>
        <x:v>PASS</x:v>
      </x:c>
    </x:row>
    <x:row r="16">
      <x:c r="C16" s="11" t="str">
        <x:v>Workforce bridge within one billet</x:v>
      </x:c>
      <x:c r="D16" s="11" t="n">
        <x:v>1</x:v>
      </x:c>
      <x:c r="E16" s="15" t="n">
        <x:f>--(ABS('09 Baseline Bridge'!F16)&lt;=1)</x:f>
        <x:v>1</x:v>
      </x:c>
      <x:c r="F16" s="15" t="str">
        <x:f>IF(D16=E16,"PASS","FAIL")</x:f>
        <x:v>PASS</x:v>
      </x:c>
    </x:row>
    <x:row r="17">
      <x:c r="C17" s="11" t="str">
        <x:v>Evidence gates</x:v>
      </x:c>
      <x:c r="D17" s="11" t="n">
        <x:v>12</x:v>
      </x:c>
      <x:c r="E17" s="15" t="n">
        <x:f>COUNTA('10 Sources &amp; Gates'!C18:C29)</x:f>
        <x:v>12</x:v>
      </x:c>
      <x:c r="F17" s="15" t="str">
        <x:f>IF(D17=E17,"PASS","FAIL")</x:f>
        <x:v>PASS</x:v>
      </x:c>
    </x:row>
    <x:row r="18">
      <x:c r="C18" s="11" t="str">
        <x:v>Open evidence gates</x:v>
      </x:c>
      <x:c r="D18" s="11" t="n">
        <x:v>12</x:v>
      </x:c>
      <x:c r="E18" s="15" t="n">
        <x:f>COUNTIF('10 Sources &amp; Gates'!F18:F29,"OPEN")</x:f>
        <x:v>12</x:v>
      </x:c>
      <x:c r="F18" s="15" t="str">
        <x:f>IF(D18=E18,"PASS","FAIL")</x:f>
        <x:v>PASS</x:v>
      </x:c>
    </x:row>
    <x:row r="19">
      <x:c r="C19" s="11" t="str">
        <x:v>Rendering blocks</x:v>
      </x:c>
      <x:c r="D19" s="11" t="n">
        <x:v>12</x:v>
      </x:c>
      <x:c r="E19" s="15" t="n">
        <x:f>COUNTIF('10 Sources &amp; Gates'!G18:G29,"YES")</x:f>
        <x:v>12</x:v>
      </x:c>
      <x:c r="F19" s="15" t="str">
        <x:f>IF(D19=E19,"PASS","FAIL")</x:f>
        <x:v>PASS</x:v>
      </x:c>
    </x:row>
  </x:sheetData>
  <x:conditionalFormatting sqref="F6:F19">
    <x:cfRule type="containsText" dxfId="10" priority="1" operator="containsText" text="FAIL"/>
    <x:cfRule type="containsText" dxfId="11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f90a1a02d3a0494e"/>
  </x:tableParts>
</x:worksheet>
</file>