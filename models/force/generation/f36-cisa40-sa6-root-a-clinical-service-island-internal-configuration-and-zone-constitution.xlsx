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e6894e25e4e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f0e46f815bc9494c"/>
    <x:sheet xmlns:r="http://schemas.openxmlformats.org/officeDocument/2006/relationships" name="01 Controls" sheetId="2" r:id="R119590c2ebfa4a7d"/>
    <x:sheet xmlns:r="http://schemas.openxmlformats.org/officeDocument/2006/relationships" name="02 Care cells" sheetId="3" r:id="Rd869765117b94c08"/>
    <x:sheet xmlns:r="http://schemas.openxmlformats.org/officeDocument/2006/relationships" name="03 Patient flow" sheetId="4" r:id="Ra6264be163e84e41"/>
    <x:sheet xmlns:r="http://schemas.openxmlformats.org/officeDocument/2006/relationships" name="04 Spatial program" sheetId="5" r:id="R3d4cbe77b96a4402"/>
    <x:sheet xmlns:r="http://schemas.openxmlformats.org/officeDocument/2006/relationships" name="05 Zone flows" sheetId="6" r:id="R55dfb33cdf244517"/>
    <x:sheet xmlns:r="http://schemas.openxmlformats.org/officeDocument/2006/relationships" name="06 Air balance" sheetId="7" r:id="Rc1253c00eedb4a8a"/>
    <x:sheet xmlns:r="http://schemas.openxmlformats.org/officeDocument/2006/relationships" name="07 Power one-line" sheetId="8" r:id="Rd49a6c3e695f4528"/>
    <x:sheet xmlns:r="http://schemas.openxmlformats.org/officeDocument/2006/relationships" name="08 No-break" sheetId="9" r:id="Rb9474152119b425c"/>
    <x:sheet xmlns:r="http://schemas.openxmlformats.org/officeDocument/2006/relationships" name="09 Clinical fluids" sheetId="10" r:id="Rf242c1546a93423b"/>
    <x:sheet xmlns:r="http://schemas.openxmlformats.org/officeDocument/2006/relationships" name="10 Workforce" sheetId="11" r:id="R1ad39bcba12c4ea0"/>
    <x:sheet xmlns:r="http://schemas.openxmlformats.org/officeDocument/2006/relationships" name="11 Article bill" sheetId="12" r:id="Rbed7068dd6b8491b"/>
    <x:sheet xmlns:r="http://schemas.openxmlformats.org/officeDocument/2006/relationships" name="12 Formation feedback" sheetId="13" r:id="R8e1d6939246e4c7a"/>
    <x:sheet xmlns:r="http://schemas.openxmlformats.org/officeDocument/2006/relationships" name="13 Failure worlds" sheetId="14" r:id="Rd18b6cf53be34961"/>
    <x:sheet xmlns:r="http://schemas.openxmlformats.org/officeDocument/2006/relationships" name="14 Deployment" sheetId="15" r:id="R5146d3056b0b41b6"/>
    <x:sheet xmlns:r="http://schemas.openxmlformats.org/officeDocument/2006/relationships" name="15 Technology" sheetId="16" r:id="Rf2fb8414260a4ce2"/>
    <x:sheet xmlns:r="http://schemas.openxmlformats.org/officeDocument/2006/relationships" name="16 Sensitivity" sheetId="17" r:id="R2321e4b42d754816"/>
    <x:sheet xmlns:r="http://schemas.openxmlformats.org/officeDocument/2006/relationships" name="17 Admissions" sheetId="18" r:id="Rc546f10a2f4d4804"/>
    <x:sheet xmlns:r="http://schemas.openxmlformats.org/officeDocument/2006/relationships" name="18 Audits" sheetId="19" r:id="R4b4be244dd544bad"/>
    <x:sheet xmlns:r="http://schemas.openxmlformats.org/officeDocument/2006/relationships" name="19 Sources" sheetId="20" r:id="R4dcb8165d0b9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.000"/>
    <x:numFmt numFmtId="202" formatCode="0.000000"/>
    <x:numFmt numFmtId="203" formatCode="#,##0.0000"/>
  </x:numFmts>
  <x:fonts count="9">
    <x:font>
      <x:sz val="11"/>
      <x:name val="Carlito"/>
    </x:font>
    <x:font>
      <x:b/>
      <x:sz val="15"/>
      <x:color rgb="FF17365D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  <x:font>
      <x:i/>
      <x:sz val="10"/>
      <x:color rgb="FF595959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2">
    <x:border/>
    <x:border>
      <x:top style="thin">
        <x:color rgb="FF17365D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5" fillId="4" borderId="1" xfId="0" applyNumberFormat="1" applyFont="1" applyFill="1" applyBorder="1"/>
    <x:xf numFmtId="203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3" fontId="8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203" fontId="8" fillId="0" borderId="0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203" fontId="8" fillId="0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/>
    </x:xf>
    <x:xf numFmtId="20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/>
    <x:xf numFmtId="201" fontId="8" fillId="0" borderId="0" xfId="0" applyNumberFormat="1" applyFont="1" applyFill="1" applyBorder="1" applyAlignment="1">
      <x:alignment vertical="top"/>
    </x:xf>
    <x:xf numFmtId="201" fontId="8" fillId="0" borderId="0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/>
    <x:xf numFmtId="200" fontId="8" fillId="0" borderId="0" xfId="0" applyNumberFormat="1" applyFont="1" applyFill="1" applyBorder="1" applyAlignment="1">
      <x:alignment vertical="top"/>
    </x:xf>
    <x:xf numFmtId="200" fontId="8" fillId="0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/>
    <x:xf numFmtId="202" fontId="8" fillId="0" borderId="0" xfId="0" applyNumberFormat="1" applyFont="1" applyFill="1" applyBorder="1" applyAlignment="1">
      <x:alignment vertical="top"/>
    </x:xf>
    <x:xf numFmtId="202" fontId="5" fillId="4" borderId="1" xfId="0" applyNumberFormat="1" applyFont="1" applyFill="1" applyBorder="1" applyAlignment="1">
      <x:alignment vertical="top"/>
    </x:xf>
    <x:xf numFmtId="202" fontId="8" fillId="0" borderId="0" xfId="0" applyNumberFormat="1" applyFont="1" applyFill="1" applyBorder="1" applyAlignment="1">
      <x:alignment vertical="top" wrapText="1"/>
    </x:xf>
    <x:xf numFmtId="202" fontId="5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C6E0B4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7222ba06824b69" /><Relationship Type="http://schemas.openxmlformats.org/officeDocument/2006/relationships/theme" Target="/xl/theme/theme1.xml" Id="R4e6c1bd3921b4b4b" /><Relationship Type="http://schemas.openxmlformats.org/officeDocument/2006/relationships/sharedStrings" Target="/xl/sharedStrings.xml" Id="Re8b4c3e355e24d15" /><Relationship Type="http://schemas.openxmlformats.org/officeDocument/2006/relationships/worksheet" Target="/xl/worksheets/sheet1.xml" Id="Rf0e46f815bc9494c" /><Relationship Type="http://schemas.openxmlformats.org/officeDocument/2006/relationships/worksheet" Target="/xl/worksheets/sheet2.xml" Id="R119590c2ebfa4a7d" /><Relationship Type="http://schemas.openxmlformats.org/officeDocument/2006/relationships/worksheet" Target="/xl/worksheets/sheet3.xml" Id="Rd869765117b94c08" /><Relationship Type="http://schemas.openxmlformats.org/officeDocument/2006/relationships/worksheet" Target="/xl/worksheets/sheet4.xml" Id="Ra6264be163e84e41" /><Relationship Type="http://schemas.openxmlformats.org/officeDocument/2006/relationships/worksheet" Target="/xl/worksheets/sheet5.xml" Id="R3d4cbe77b96a4402" /><Relationship Type="http://schemas.openxmlformats.org/officeDocument/2006/relationships/worksheet" Target="/xl/worksheets/sheet6.xml" Id="R55dfb33cdf244517" /><Relationship Type="http://schemas.openxmlformats.org/officeDocument/2006/relationships/worksheet" Target="/xl/worksheets/sheet7.xml" Id="Rc1253c00eedb4a8a" /><Relationship Type="http://schemas.openxmlformats.org/officeDocument/2006/relationships/worksheet" Target="/xl/worksheets/sheet8.xml" Id="Rd49a6c3e695f4528" /><Relationship Type="http://schemas.openxmlformats.org/officeDocument/2006/relationships/worksheet" Target="/xl/worksheets/sheet9.xml" Id="Rb9474152119b425c" /><Relationship Type="http://schemas.openxmlformats.org/officeDocument/2006/relationships/worksheet" Target="/xl/worksheets/sheet10.xml" Id="Rf242c1546a93423b" /><Relationship Type="http://schemas.openxmlformats.org/officeDocument/2006/relationships/worksheet" Target="/xl/worksheets/sheet11.xml" Id="R1ad39bcba12c4ea0" /><Relationship Type="http://schemas.openxmlformats.org/officeDocument/2006/relationships/worksheet" Target="/xl/worksheets/sheet12.xml" Id="Rbed7068dd6b8491b" /><Relationship Type="http://schemas.openxmlformats.org/officeDocument/2006/relationships/worksheet" Target="/xl/worksheets/sheet13.xml" Id="R8e1d6939246e4c7a" /><Relationship Type="http://schemas.openxmlformats.org/officeDocument/2006/relationships/worksheet" Target="/xl/worksheets/sheet14.xml" Id="Rd18b6cf53be34961" /><Relationship Type="http://schemas.openxmlformats.org/officeDocument/2006/relationships/worksheet" Target="/xl/worksheets/sheet15.xml" Id="R5146d3056b0b41b6" /><Relationship Type="http://schemas.openxmlformats.org/officeDocument/2006/relationships/worksheet" Target="/xl/worksheets/sheet16.xml" Id="Rf2fb8414260a4ce2" /><Relationship Type="http://schemas.openxmlformats.org/officeDocument/2006/relationships/worksheet" Target="/xl/worksheets/sheet17.xml" Id="R2321e4b42d754816" /><Relationship Type="http://schemas.openxmlformats.org/officeDocument/2006/relationships/worksheet" Target="/xl/worksheets/sheet18.xml" Id="Rc546f10a2f4d4804" /><Relationship Type="http://schemas.openxmlformats.org/officeDocument/2006/relationships/worksheet" Target="/xl/worksheets/sheet19.xml" Id="R4b4be244dd544bad" /><Relationship Type="http://schemas.openxmlformats.org/officeDocument/2006/relationships/worksheet" Target="/xl/worksheets/sheet20.xml" Id="R4dcb8165d0b946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5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" max="1" width="3" hidden="0" customWidth="1"/>
  </x:cols>
  <x:sheetData>
    <x:row r="2" ht="15" hidden="0" customHeight="1">
      <x:c r="B2" s="34" t="str">
        <x:v>RCA-1 — CSI-25 internal configuration and zone decision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Decision object: constitute the first clinical island internally, correct the HCSG-100 screen, and keep exterior form and force credit blocked.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6" t="str">
        <x:v>Decision summary</x:v>
      </x:c>
      <x:c r="C6" s="36"/>
      <x:c r="D6" s="36"/>
      <x:c r="E6" s="36"/>
      <x:c r="F6" s="36"/>
      <x:c r="G6" s="36"/>
      <x:c r="H6" s="36"/>
      <x:c r="I6" s="36"/>
      <x:c r="J6" s="36"/>
      <x:c r="K6" s="36"/>
      <x:c r="L6" s="36"/>
    </x:row>
    <x:row r="7" ht="15" hidden="0" customHeight="1">
      <x:c r="B7" s="31" t="str">
        <x:v>Measure</x:v>
      </x:c>
      <x:c r="C7" s="31" t="str">
        <x:v>RCA-1 result</x:v>
      </x:c>
      <x:c r="D7" s="31" t="str">
        <x:v>Unit</x:v>
      </x:c>
      <x:c r="E7" s="31" t="str">
        <x:v>Prior</x:v>
      </x:c>
      <x:c r="F7" s="31" t="str">
        <x:v>Decision meaning</x:v>
      </x:c>
      <x:c r="G7" s="35"/>
      <x:c r="H7" s="35"/>
      <x:c r="I7" s="35"/>
      <x:c r="J7" s="35"/>
      <x:c r="K7" s="35"/>
      <x:c r="L7" s="35"/>
    </x:row>
    <x:row r="8" ht="15" hidden="0" customHeight="1">
      <x:c r="B8" s="35" t="str">
        <x:v>Care / process positions</x:v>
      </x:c>
      <x:c r="C8" s="37" t="n">
        <x:f>'11 Article bill'!F38</x:f>
        <x:v>297</x:v>
      </x:c>
      <x:c r="D8" s="35" t="str">
        <x:v>positions</x:v>
      </x:c>
      <x:c r="E8" s="35" t="str">
        <x:v>240 care only</x:v>
      </x:c>
      <x:c r="F8" s="35" t="str">
        <x:v>240 care + 57 transient process</x:v>
      </x:c>
      <x:c r="G8" s="35"/>
      <x:c r="H8" s="35"/>
      <x:c r="I8" s="35"/>
      <x:c r="J8" s="35"/>
      <x:c r="K8" s="35"/>
      <x:c r="L8" s="35"/>
    </x:row>
    <x:row r="9" ht="15" hidden="0" customHeight="1">
      <x:c r="B9" s="35" t="str">
        <x:v>Nested article bill</x:v>
      </x:c>
      <x:c r="C9" s="37" t="n">
        <x:f>'11 Article bill'!D38</x:f>
        <x:v>119</x:v>
      </x:c>
      <x:c r="D9" s="35" t="str">
        <x:v>serials</x:v>
      </x:c>
      <x:c r="E9" s="35" t="str">
        <x:v>one-line proxy</x:v>
      </x:c>
      <x:c r="F9" s="35" t="str">
        <x:v>119 auditable subarticles</x:v>
      </x:c>
      <x:c r="G9" s="35"/>
      <x:c r="H9" s="35"/>
      <x:c r="I9" s="35"/>
      <x:c r="J9" s="35"/>
      <x:c r="K9" s="35"/>
      <x:c r="L9" s="35"/>
    </x:row>
    <x:row r="10" ht="15" hidden="0" customHeight="1">
      <x:c r="B10" s="35" t="str">
        <x:v>Enclosed / covered area</x:v>
      </x:c>
      <x:c r="C10" s="37" t="n">
        <x:f>'11 Article bill'!H38</x:f>
        <x:v>20060</x:v>
      </x:c>
      <x:c r="D10" s="35" t="str">
        <x:v>m2</x:v>
      </x:c>
      <x:c r="E10" s="35" t="str">
        <x:v>not stated</x:v>
      </x:c>
      <x:c r="F10" s="35" t="str">
        <x:v>double-loop campus program</x:v>
      </x:c>
      <x:c r="G10" s="35"/>
      <x:c r="H10" s="35"/>
      <x:c r="I10" s="35"/>
      <x:c r="J10" s="35"/>
      <x:c r="K10" s="35"/>
      <x:c r="L10" s="35"/>
    </x:row>
    <x:row r="11" ht="15" hidden="0" customHeight="1">
      <x:c r="B11" s="35" t="str">
        <x:v>CSI dry mass</x:v>
      </x:c>
      <x:c r="C11" s="37" t="n">
        <x:f>'11 Article bill'!J38</x:f>
        <x:v>2803</x:v>
      </x:c>
      <x:c r="D11" s="35" t="str">
        <x:v>t</x:v>
      </x:c>
      <x:c r="E11" s="35" t="str">
        <x:v>2,400</x:v>
      </x:c>
      <x:c r="F11" s="35" t="str">
        <x:v>proxy fails by 403 t</x:v>
      </x:c>
      <x:c r="G11" s="35"/>
      <x:c r="H11" s="35"/>
      <x:c r="I11" s="35"/>
      <x:c r="J11" s="35"/>
      <x:c r="K11" s="35"/>
      <x:c r="L11" s="35"/>
    </x:row>
    <x:row r="12" ht="15" hidden="0" customHeight="1">
      <x:c r="B12" s="35" t="str">
        <x:v>CSI first-unit capital</x:v>
      </x:c>
      <x:c r="C12" s="37" t="n">
        <x:f>'11 Article bill'!L38</x:f>
        <x:v>3284</x:v>
      </x:c>
      <x:c r="D12" s="35" t="str">
        <x:v>USD m</x:v>
      </x:c>
      <x:c r="E12" s="35" t="str">
        <x:v>2,200</x:v>
      </x:c>
      <x:c r="F12" s="35" t="str">
        <x:v>proxy fails by USD 1.084B</x:v>
      </x:c>
      <x:c r="G12" s="35"/>
      <x:c r="H12" s="35"/>
      <x:c r="I12" s="35"/>
      <x:c r="J12" s="35"/>
      <x:c r="K12" s="35"/>
      <x:c r="L12" s="35"/>
    </x:row>
    <x:row r="13" ht="15" hidden="0" customHeight="1">
      <x:c r="B13" s="35" t="str">
        <x:v>HCSG continuous / peak</x:v>
      </x:c>
      <x:c r="C13" s="37" t="n">
        <x:f>'07 Power one-line'!E11</x:f>
        <x:v>18.2808</x:v>
      </x:c>
      <x:c r="D13" s="35" t="str">
        <x:v>MW continuous</x:v>
      </x:c>
      <x:c r="E13" s="35" t="str">
        <x:v>17.4098</x:v>
      </x:c>
      <x:c r="F13" s="35" t="str">
        <x:v>18.2808 / 21.02292</x:v>
      </x:c>
      <x:c r="G13" s="35"/>
      <x:c r="H13" s="35"/>
      <x:c r="I13" s="35"/>
      <x:c r="J13" s="35"/>
      <x:c r="K13" s="35"/>
      <x:c r="L13" s="35"/>
    </x:row>
    <x:row r="14" ht="15" hidden="0" customHeight="1">
      <x:c r="B14" s="35" t="str">
        <x:v>HCSG source clusters</x:v>
      </x:c>
      <x:c r="C14" s="37" t="n">
        <x:f>'07 Power one-line'!D15</x:f>
        <x:v>6</x:v>
      </x:c>
      <x:c r="D14" s="35" t="str">
        <x:v>articles</x:v>
      </x:c>
      <x:c r="E14" s="35" t="str">
        <x:v>5</x:v>
      </x:c>
      <x:c r="F14" s="35" t="str">
        <x:v>six after standby + segmentation</x:v>
      </x:c>
      <x:c r="G14" s="35"/>
      <x:c r="H14" s="35"/>
      <x:c r="I14" s="35"/>
      <x:c r="J14" s="35"/>
      <x:c r="K14" s="35"/>
      <x:c r="L14" s="35"/>
    </x:row>
    <x:row r="15" ht="15" hidden="0" customHeight="1">
      <x:c r="B15" s="35" t="str">
        <x:v>HCSG formation mass</x:v>
      </x:c>
      <x:c r="C15" s="37" t="n">
        <x:f>'12 Formation feedback'!D13</x:f>
        <x:v>33377</x:v>
      </x:c>
      <x:c r="D15" s="35" t="str">
        <x:v>t</x:v>
      </x:c>
      <x:c r="E15" s="35" t="str">
        <x:v>31,217</x:v>
      </x:c>
      <x:c r="F15" s="35" t="str">
        <x:v>33,377 t</x:v>
      </x:c>
      <x:c r="G15" s="35"/>
      <x:c r="H15" s="35"/>
      <x:c r="I15" s="35"/>
      <x:c r="J15" s="35"/>
      <x:c r="K15" s="35"/>
      <x:c r="L15" s="35"/>
    </x:row>
    <x:row r="16" ht="15" hidden="0" customHeight="1">
      <x:c r="B16" s="35" t="str">
        <x:v>HCSG formation capital</x:v>
      </x:c>
      <x:c r="C16" s="37" t="n">
        <x:f>'12 Formation feedback'!D14</x:f>
        <x:v>30697</x:v>
      </x:c>
      <x:c r="D16" s="35" t="str">
        <x:v>USD m</x:v>
      </x:c>
      <x:c r="E16" s="35" t="str">
        <x:v>25,077</x:v>
      </x:c>
      <x:c r="F16" s="35" t="str">
        <x:v>USD 30.697B</x:v>
      </x:c>
      <x:c r="G16" s="35"/>
      <x:c r="H16" s="35"/>
      <x:c r="I16" s="35"/>
      <x:c r="J16" s="35"/>
      <x:c r="K16" s="35"/>
      <x:c r="L16" s="35"/>
    </x:row>
    <x:row r="17" ht="15" hidden="0" customHeight="1">
      <x:c r="B17" s="35" t="str">
        <x:v>Admitted credit</x:v>
      </x:c>
      <x:c r="C17" s="37" t="n">
        <x:f>SUM('17 Admissions'!E7:E15)</x:f>
        <x:v>0</x:v>
      </x:c>
      <x:c r="D17" s="35" t="str">
        <x:v>all units</x:v>
      </x:c>
      <x:c r="E17" s="35" t="str">
        <x:v>0</x:v>
      </x:c>
      <x:c r="F17" s="35" t="str">
        <x:v>remains zero</x:v>
      </x:c>
      <x:c r="G17" s="35"/>
      <x:c r="H17" s="35"/>
      <x:c r="I17" s="35"/>
      <x:c r="J17" s="35"/>
      <x:c r="K17" s="35"/>
      <x:c r="L17" s="35"/>
    </x:row>
    <x:row r="18" ht="15" hidden="0" customHeight="1"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</x:row>
    <x:row r="20" ht="15" hidden="0" customHeight="1">
      <x:c r="B20" s="36" t="str">
        <x:v>What the internal constitution changes</x:v>
      </x:c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 ht="15" hidden="0" customHeight="1">
      <x:c r="B21" s="35" t="str">
        <x:v>Topology</x:v>
      </x:c>
      <x:c r="C21" s="35" t="str">
        <x:v>An inner clean logistics/utility loop serves a controlled care band; contaminated care and dirty return occupy a separate outer loop.</x:v>
      </x:c>
      <x:c r="D21" s="35"/>
      <x:c r="E21" s="35"/>
      <x:c r="F21" s="35"/>
      <x:c r="G21" s="35"/>
      <x:c r="H21" s="35"/>
      <x:c r="I21" s="35"/>
      <x:c r="J21" s="35"/>
      <x:c r="K21" s="35"/>
      <x:c r="L21" s="35"/>
    </x:row>
    <x:row r="22" ht="15" hidden="0" customHeight="1">
      <x:c r="B22" s="35" t="str">
        <x:v>Flow</x:v>
      </x:c>
      <x:c r="C22" s="35" t="str">
        <x:v>Arrival, transfer and supported release require 57 process positions that were invisible in the prior 240-position care count.</x:v>
      </x:c>
      <x:c r="D22" s="35"/>
      <x:c r="E22" s="35"/>
      <x:c r="F22" s="35"/>
      <x:c r="G22" s="35"/>
      <x:c r="H22" s="35"/>
      <x:c r="I22" s="35"/>
      <x:c r="J22" s="35"/>
      <x:c r="K22" s="35"/>
      <x:c r="L22" s="35"/>
    </x:row>
    <x:row r="23" ht="15" hidden="0" customHeight="1">
      <x:c r="B23" s="35" t="str">
        <x:v>Air</x:v>
      </x:c>
      <x:c r="C23" s="35" t="str">
        <x:v>Nine domain-specific trains retain each domain after one same-domain loss; aggregate HVAC capacity is not accepted as isolation.</x:v>
      </x:c>
      <x:c r="D23" s="35"/>
      <x:c r="E23" s="35"/>
      <x:c r="F23" s="35"/>
      <x:c r="G23" s="35"/>
      <x:c r="H23" s="35"/>
      <x:c r="I23" s="35"/>
      <x:c r="J23" s="35"/>
      <x:c r="K23" s="35"/>
      <x:c r="L23" s="35"/>
    </x:row>
    <x:row r="24" ht="15" hidden="0" customHeight="1">
      <x:c r="B24" s="35" t="str">
        <x:v>Power</x:v>
      </x:c>
      <x:c r="C24" s="35" t="str">
        <x:v>Reserve-island standby and island-local loads restore the source requirement to six SPC-5 clusters and eight PTN nodes.</x:v>
      </x:c>
      <x:c r="D24" s="35"/>
      <x:c r="E24" s="35"/>
      <x:c r="F24" s="35"/>
      <x:c r="G24" s="35"/>
      <x:c r="H24" s="35"/>
      <x:c r="I24" s="35"/>
      <x:c r="J24" s="35"/>
      <x:c r="K24" s="35"/>
      <x:c r="L24" s="35"/>
    </x:row>
    <x:row r="25" ht="15" hidden="0" customHeight="1">
      <x:c r="B25" s="35" t="str">
        <x:v>Human system</x:v>
      </x:c>
      <x:c r="C25" s="35" t="str">
        <x:v>Four 829-person active islands, an 84-person ready-island watch and 1,000 common positions reconcile to 4,400 deployed people.</x:v>
      </x:c>
      <x:c r="D25" s="35"/>
      <x:c r="E25" s="35"/>
      <x:c r="F25" s="35"/>
      <x:c r="G25" s="35"/>
      <x:c r="H25" s="35"/>
      <x:c r="I25" s="35"/>
      <x:c r="J25" s="35"/>
      <x:c r="K25" s="35"/>
      <x:c r="L25" s="35"/>
    </x:row>
    <x:row r="26" ht="15" hidden="0" customHeight="1">
      <x:c r="B26" s="35" t="str">
        <x:v>Research posture</x:v>
      </x:c>
      <x:c r="C26" s="35" t="str">
        <x:v>Mass, capital, site area and interfaces are now falsifiable internal requirements; exterior form remains premature.</x:v>
      </x:c>
      <x:c r="D26" s="35"/>
      <x:c r="E26" s="35"/>
      <x:c r="F26" s="35"/>
      <x:c r="G26" s="35"/>
      <x:c r="H26" s="35"/>
      <x:c r="I26" s="35"/>
      <x:c r="J26" s="35"/>
      <x:c r="K26" s="35"/>
      <x:c r="L26" s="35"/>
    </x:row>
    <x:row r="27" ht="15" hidden="0" customHeight="1"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</x:row>
    <x:row r="28" ht="15" hidden="0" customHeight="1"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</x:row>
    <x:row r="29" ht="15" hidden="0" customHeight="1">
      <x:c r="B29" s="36" t="str">
        <x:v>Decision</x:v>
      </x:c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</x:row>
    <x:row r="30" ht="15" hidden="0" customHeight="1">
      <x:c r="B30" s="35" t="str">
        <x:v>Advance</x:v>
      </x:c>
      <x:c r="C30" s="35" t="str">
        <x:v>CSI-25 as a 119-subarticle, three-domain, double-loop clinical-service island candidate.</x:v>
      </x:c>
      <x:c r="D30" s="35"/>
      <x:c r="E30" s="35"/>
      <x:c r="F30" s="35"/>
      <x:c r="G30" s="35"/>
      <x:c r="H30" s="35"/>
      <x:c r="I30" s="35"/>
      <x:c r="J30" s="35"/>
      <x:c r="K30" s="35"/>
      <x:c r="L30" s="35"/>
    </x:row>
    <x:row r="31" ht="15" hidden="0" customHeight="1">
      <x:c r="B31" s="35" t="str">
        <x:v>Correct</x:v>
      </x:c>
      <x:c r="C31" s="35" t="str">
        <x:v>HCSG-100 to 146 top-level articles, 33,377 t and USD 30.697B for this first-unit screen.</x:v>
      </x:c>
      <x:c r="D31" s="35"/>
      <x:c r="E31" s="35"/>
      <x:c r="F31" s="35"/>
      <x:c r="G31" s="35"/>
      <x:c r="H31" s="35"/>
      <x:c r="I31" s="35"/>
      <x:c r="J31" s="35"/>
      <x:c r="K31" s="35"/>
      <x:c r="L31" s="35"/>
    </x:row>
    <x:row r="32" ht="15" hidden="0" customHeight="1">
      <x:c r="B32" s="35" t="str">
        <x:v>Do not authorize</x:v>
      </x:c>
      <x:c r="C32" s="35" t="str">
        <x:v>Fielding, procurement, clinical efficacy, national quantity, substitution or exterior rendering.</x:v>
      </x:c>
      <x:c r="D32" s="35"/>
      <x:c r="E32" s="35"/>
      <x:c r="F32" s="35"/>
      <x:c r="G32" s="35"/>
      <x:c r="H32" s="35"/>
      <x:c r="I32" s="35"/>
      <x:c r="J32" s="35"/>
      <x:c r="K32" s="35"/>
      <x:c r="L32" s="35"/>
    </x:row>
    <x:row r="33" ht="15" hidden="0" customHeight="1">
      <x:c r="B33" s="35" t="str">
        <x:v>Next object</x:v>
      </x:c>
      <x:c r="C33" s="35" t="str">
        <x:v>RCB-1 — rival Root A/Root B care-cell, zone-interface and utility-trunk build-release constitution.</x:v>
      </x:c>
      <x:c r="D33" s="35"/>
      <x:c r="E33" s="35"/>
      <x:c r="F33" s="35"/>
      <x:c r="G33" s="35"/>
      <x:c r="H33" s="35"/>
      <x:c r="I33" s="35"/>
      <x:c r="J33" s="35"/>
      <x:c r="K33" s="35"/>
      <x:c r="L33" s="35"/>
    </x:row>
    <x:row r="34" ht="15" hidden="0" customHeight="1">
      <x:c r="B34" s="35" t="str">
        <x:v>Core test</x:v>
      </x:c>
      <x:c r="C34" s="35" t="str">
        <x:v>Can two unlike roots preserve the same clinical service and custody state under assembly error, utility fault, contamination and relocation?</x:v>
      </x:c>
      <x:c r="D34" s="35"/>
      <x:c r="E34" s="35"/>
      <x:c r="F34" s="35"/>
      <x:c r="G34" s="35"/>
      <x:c r="H34" s="35"/>
      <x:c r="I34" s="35"/>
      <x:c r="J34" s="35"/>
      <x:c r="K34" s="35"/>
      <x:c r="L34" s="35"/>
    </x:row>
    <x:row r="35" ht="15" hidden="0" customHeight="1"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</x:row>
    <x:row r="36" ht="15" hidden="0" customHeight="1"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</x:row>
    <x:row r="37" ht="15" hidden="0" customHeight="1">
      <x:c r="B37" s="36" t="str">
        <x:v>Audit state</x:v>
      </x:c>
      <x:c r="C37" s="36"/>
      <x:c r="D37" s="36"/>
      <x:c r="E37" s="36"/>
      <x:c r="F37" s="36"/>
      <x:c r="G37" s="35"/>
      <x:c r="H37" s="35"/>
      <x:c r="I37" s="35"/>
      <x:c r="J37" s="35"/>
      <x:c r="K37" s="35"/>
      <x:c r="L37" s="35"/>
    </x:row>
    <x:row r="38" ht="15" hidden="0" customHeight="1">
      <x:c r="B38" s="38" t="str">
        <x:v>Audit passes</x:v>
      </x:c>
      <x:c r="C38" s="38"/>
      <x:c r="D38" s="38" t="n">
        <x:f>COUNTIF('18 Audits'!G7:G64,"PASS")</x:f>
        <x:v>58</x:v>
      </x:c>
      <x:c r="E38" s="35"/>
      <x:c r="F38" s="35"/>
      <x:c r="G38" s="35"/>
      <x:c r="H38" s="35"/>
      <x:c r="I38" s="35"/>
      <x:c r="J38" s="35"/>
      <x:c r="K38" s="35"/>
      <x:c r="L38" s="35"/>
    </x:row>
    <x:row r="39" ht="15" hidden="0" customHeight="1">
      <x:c r="B39" s="36" t="str">
        <x:v>Audit total</x:v>
      </x:c>
      <x:c r="C39" s="36"/>
      <x:c r="D39" s="36" t="n">
        <x:f>COUNTA('18 Audits'!G7:G64)</x:f>
        <x:v>58</x:v>
      </x:c>
      <x:c r="E39" s="35"/>
      <x:c r="F39" s="35"/>
      <x:c r="G39" s="35"/>
      <x:c r="H39" s="35"/>
      <x:c r="I39" s="35"/>
      <x:c r="J39" s="35"/>
      <x:c r="K39" s="35"/>
      <x:c r="L39" s="35"/>
    </x:row>
    <x:row r="40" ht="15" hidden="0" customHeight="1">
      <x:c r="B40" s="36" t="str">
        <x:v>Audit status</x:v>
      </x:c>
      <x:c r="C40" s="36"/>
      <x:c r="D40" s="36" t="str">
        <x:f>IF(D38=D39,"PASS","FAIL")</x:f>
        <x:v>PASS</x:v>
      </x:c>
      <x:c r="E40" s="35"/>
      <x:c r="F40" s="35"/>
      <x:c r="G40" s="35"/>
      <x:c r="H40" s="35"/>
      <x:c r="I40" s="35"/>
      <x:c r="J40" s="35"/>
      <x:c r="K40" s="35"/>
      <x:c r="L40" s="35"/>
    </x:row>
  </x:sheetData>
  <x:mergeCells>
    <x:mergeCell ref="B2:L2"/>
    <x:mergeCell ref="B3:L3"/>
    <x:mergeCell ref="B6:L6"/>
    <x:mergeCell ref="B20:L20"/>
    <x:mergeCell ref="C21:L21"/>
    <x:mergeCell ref="C22:L22"/>
    <x:mergeCell ref="C23:L23"/>
    <x:mergeCell ref="C24:L24"/>
    <x:mergeCell ref="C25:L25"/>
    <x:mergeCell ref="C26:L26"/>
    <x:mergeCell ref="B29:L29"/>
    <x:mergeCell ref="C30:L30"/>
    <x:mergeCell ref="C31:L31"/>
    <x:mergeCell ref="C32:L32"/>
    <x:mergeCell ref="C33:L33"/>
    <x:mergeCell ref="C34:L34"/>
    <x:mergeCell ref="B37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38" hidden="0" customWidth="1"/>
    <x:col min="4" max="4" width="16" hidden="0" customWidth="1"/>
    <x:col min="5" max="5" width="18" hidden="0" customWidth="1"/>
    <x:col min="6" max="6" width="22" hidden="0" customWidth="1"/>
    <x:col min="1" max="1" width="3" hidden="0" customWidth="1"/>
  </x:cols>
  <x:sheetData>
    <x:row r="2" ht="15" hidden="0" customHeight="1">
      <x:c r="B2" s="34" t="str">
        <x:v>RCA-1 control surface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Yellow values are research assumptions, inherited screens, or disclosed allocations. No value is clinical guidance or procurement authority.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Domain</x:v>
      </x:c>
      <x:c r="C6" s="31" t="str">
        <x:v>Control</x:v>
      </x:c>
      <x:c r="D6" s="31" t="str">
        <x:v>Value</x:v>
      </x:c>
      <x:c r="E6" s="31" t="str">
        <x:v>Unit</x:v>
      </x:c>
      <x:c r="F6" s="31" t="str">
        <x:v>Status</x:v>
      </x:c>
      <x:c r="G6" s="35"/>
      <x:c r="H6" s="35"/>
      <x:c r="I6" s="35"/>
      <x:c r="J6" s="35"/>
      <x:c r="K6" s="35"/>
      <x:c r="L6" s="35"/>
    </x:row>
    <x:row r="7" ht="15" hidden="0" customHeight="1">
      <x:c r="B7" s="35" t="str">
        <x:v>Mission</x:v>
      </x:c>
      <x:c r="C7" s="35" t="str">
        <x:v>Operating islands</x:v>
      </x:c>
      <x:c r="D7" s="41" t="n">
        <x:v>4</x:v>
      </x:c>
      <x:c r="E7" s="35" t="str">
        <x:v>islands</x:v>
      </x:c>
      <x:c r="F7" s="35" t="str">
        <x:v>INHERITED</x:v>
      </x:c>
      <x:c r="G7" s="35"/>
      <x:c r="H7" s="35"/>
      <x:c r="I7" s="35"/>
      <x:c r="J7" s="35"/>
      <x:c r="K7" s="35"/>
      <x:c r="L7" s="35"/>
    </x:row>
    <x:row r="8" ht="15" hidden="0" customHeight="1">
      <x:c r="B8" s="35" t="str">
        <x:v>Mission</x:v>
      </x:c>
      <x:c r="C8" s="35" t="str">
        <x:v>Ready replacement islands</x:v>
      </x:c>
      <x:c r="D8" s="41" t="n">
        <x:v>1</x:v>
      </x:c>
      <x:c r="E8" s="35" t="str">
        <x:v>island</x:v>
      </x:c>
      <x:c r="F8" s="35" t="str">
        <x:v>INHERITED</x:v>
      </x:c>
      <x:c r="G8" s="35"/>
      <x:c r="H8" s="35"/>
      <x:c r="I8" s="35"/>
      <x:c r="J8" s="35"/>
      <x:c r="K8" s="35"/>
      <x:c r="L8" s="35"/>
    </x:row>
    <x:row r="9" ht="15" hidden="0" customHeight="1">
      <x:c r="B9" s="35" t="str">
        <x:v>Mission</x:v>
      </x:c>
      <x:c r="C9" s="35" t="str">
        <x:v>Care positions / island</x:v>
      </x:c>
      <x:c r="D9" s="41" t="n">
        <x:v>240</x:v>
      </x:c>
      <x:c r="E9" s="35" t="str">
        <x:v>positions</x:v>
      </x:c>
      <x:c r="F9" s="35" t="str">
        <x:v>DERIVED PRIOR</x:v>
      </x:c>
      <x:c r="G9" s="35"/>
      <x:c r="H9" s="35"/>
      <x:c r="I9" s="35"/>
      <x:c r="J9" s="35"/>
      <x:c r="K9" s="35"/>
      <x:c r="L9" s="35"/>
    </x:row>
    <x:row r="10" ht="15" hidden="0" customHeight="1">
      <x:c r="B10" s="35" t="str">
        <x:v>Mission</x:v>
      </x:c>
      <x:c r="C10" s="35" t="str">
        <x:v>Campaign duration</x:v>
      </x:c>
      <x:c r="D10" s="41" t="n">
        <x:v>30</x:v>
      </x:c>
      <x:c r="E10" s="35" t="str">
        <x:v>days</x:v>
      </x:c>
      <x:c r="F10" s="35" t="str">
        <x:v>INHERITED</x:v>
      </x:c>
      <x:c r="G10" s="35"/>
      <x:c r="H10" s="35"/>
      <x:c r="I10" s="35"/>
      <x:c r="J10" s="35"/>
      <x:c r="K10" s="35"/>
      <x:c r="L10" s="35"/>
    </x:row>
    <x:row r="11" ht="15" hidden="0" customHeight="1">
      <x:c r="B11" s="35" t="str">
        <x:v>Flow</x:v>
      </x:c>
      <x:c r="C11" s="35" t="str">
        <x:v>Public presentations / island/day</x:v>
      </x:c>
      <x:c r="D11" s="41" t="n">
        <x:v>998.875</x:v>
      </x:c>
      <x:c r="E11" s="35" t="str">
        <x:v>presentations/day</x:v>
      </x:c>
      <x:c r="F11" s="35" t="str">
        <x:v>DERIVED</x:v>
      </x:c>
      <x:c r="G11" s="35"/>
      <x:c r="H11" s="35"/>
      <x:c r="I11" s="35"/>
      <x:c r="J11" s="35"/>
      <x:c r="K11" s="35"/>
      <x:c r="L11" s="35"/>
    </x:row>
    <x:row r="12" ht="15" hidden="0" customHeight="1">
      <x:c r="B12" s="35" t="str">
        <x:v>Flow</x:v>
      </x:c>
      <x:c r="C12" s="35" t="str">
        <x:v>Acute presentations / island/day</x:v>
      </x:c>
      <x:c r="D12" s="41" t="n">
        <x:v>111.875</x:v>
      </x:c>
      <x:c r="E12" s="35" t="str">
        <x:v>presentations/day</x:v>
      </x:c>
      <x:c r="F12" s="35" t="str">
        <x:v>DERIVED</x:v>
      </x:c>
      <x:c r="G12" s="35"/>
      <x:c r="H12" s="35"/>
      <x:c r="I12" s="35"/>
      <x:c r="J12" s="35"/>
      <x:c r="K12" s="35"/>
      <x:c r="L12" s="35"/>
    </x:row>
    <x:row r="13" ht="15" hidden="0" customHeight="1">
      <x:c r="B13" s="35" t="str">
        <x:v>Flow</x:v>
      </x:c>
      <x:c r="C13" s="35" t="str">
        <x:v>Public peak factor</x:v>
      </x:c>
      <x:c r="D13" s="41" t="n">
        <x:v>2</x:v>
      </x:c>
      <x:c r="E13" s="35" t="str">
        <x:v>multiple</x:v>
      </x:c>
      <x:c r="F13" s="35" t="str">
        <x:v>ASSUMPTION</x:v>
      </x:c>
      <x:c r="G13" s="35"/>
      <x:c r="H13" s="35"/>
      <x:c r="I13" s="35"/>
      <x:c r="J13" s="35"/>
      <x:c r="K13" s="35"/>
      <x:c r="L13" s="35"/>
    </x:row>
    <x:row r="14" ht="15" hidden="0" customHeight="1">
      <x:c r="B14" s="35" t="str">
        <x:v>Flow</x:v>
      </x:c>
      <x:c r="C14" s="35" t="str">
        <x:v>Acute peak factor</x:v>
      </x:c>
      <x:c r="D14" s="41" t="n">
        <x:v>2</x:v>
      </x:c>
      <x:c r="E14" s="35" t="str">
        <x:v>multiple</x:v>
      </x:c>
      <x:c r="F14" s="35" t="str">
        <x:v>ASSUMPTION</x:v>
      </x:c>
      <x:c r="G14" s="35"/>
      <x:c r="H14" s="35"/>
      <x:c r="I14" s="35"/>
      <x:c r="J14" s="35"/>
      <x:c r="K14" s="35"/>
      <x:c r="L14" s="35"/>
    </x:row>
    <x:row r="15" ht="15" hidden="0" customHeight="1">
      <x:c r="B15" s="35" t="str">
        <x:v>Flow</x:v>
      </x:c>
      <x:c r="C15" s="35" t="str">
        <x:v>Public operating window</x:v>
      </x:c>
      <x:c r="D15" s="41" t="n">
        <x:v>18</x:v>
      </x:c>
      <x:c r="E15" s="35" t="str">
        <x:v>hours/day</x:v>
      </x:c>
      <x:c r="F15" s="35" t="str">
        <x:v>ASSUMPTION</x:v>
      </x:c>
      <x:c r="G15" s="35"/>
      <x:c r="H15" s="35"/>
      <x:c r="I15" s="35"/>
      <x:c r="J15" s="35"/>
      <x:c r="K15" s="35"/>
      <x:c r="L15" s="35"/>
    </x:row>
    <x:row r="16" ht="15" hidden="0" customHeight="1">
      <x:c r="B16" s="35" t="str">
        <x:v>Flow</x:v>
      </x:c>
      <x:c r="C16" s="35" t="str">
        <x:v>Acute operating window</x:v>
      </x:c>
      <x:c r="D16" s="41" t="n">
        <x:v>24</x:v>
      </x:c>
      <x:c r="E16" s="35" t="str">
        <x:v>hours/day</x:v>
      </x:c>
      <x:c r="F16" s="35" t="str">
        <x:v>ASSUMPTION</x:v>
      </x:c>
      <x:c r="G16" s="35"/>
      <x:c r="H16" s="35"/>
      <x:c r="I16" s="35"/>
      <x:c r="J16" s="35"/>
      <x:c r="K16" s="35"/>
      <x:c r="L16" s="35"/>
    </x:row>
    <x:row r="17" ht="15" hidden="0" customHeight="1">
      <x:c r="B17" s="35" t="str">
        <x:v>Flow</x:v>
      </x:c>
      <x:c r="C17" s="35" t="str">
        <x:v>Public transaction time</x:v>
      </x:c>
      <x:c r="D17" s="41" t="n">
        <x:v>0.175</x:v>
      </x:c>
      <x:c r="E17" s="35" t="str">
        <x:v>hours</x:v>
      </x:c>
      <x:c r="F17" s="35" t="str">
        <x:v>ASSUMPTION</x:v>
      </x:c>
      <x:c r="G17" s="35"/>
      <x:c r="H17" s="35"/>
      <x:c r="I17" s="35"/>
      <x:c r="J17" s="35"/>
      <x:c r="K17" s="35"/>
      <x:c r="L17" s="35"/>
    </x:row>
    <x:row r="18" ht="15" hidden="0" customHeight="1">
      <x:c r="B18" s="35" t="str">
        <x:v>Flow</x:v>
      </x:c>
      <x:c r="C18" s="35" t="str">
        <x:v>Acute transaction time</x:v>
      </x:c>
      <x:c r="D18" s="41" t="n">
        <x:v>0.25</x:v>
      </x:c>
      <x:c r="E18" s="35" t="str">
        <x:v>hours</x:v>
      </x:c>
      <x:c r="F18" s="35" t="str">
        <x:v>ASSUMPTION</x:v>
      </x:c>
      <x:c r="G18" s="35"/>
      <x:c r="H18" s="35"/>
      <x:c r="I18" s="35"/>
      <x:c r="J18" s="35"/>
      <x:c r="K18" s="35"/>
      <x:c r="L18" s="35"/>
    </x:row>
    <x:row r="19" ht="15" hidden="0" customHeight="1">
      <x:c r="B19" s="35" t="str">
        <x:v>Flow</x:v>
      </x:c>
      <x:c r="C19" s="35" t="str">
        <x:v>Portal target utilization</x:v>
      </x:c>
      <x:c r="D19" s="42" t="n">
        <x:v>0.8</x:v>
      </x:c>
      <x:c r="E19" s="35" t="str">
        <x:v>fraction</x:v>
      </x:c>
      <x:c r="F19" s="35" t="str">
        <x:v>ASSUMPTION</x:v>
      </x:c>
      <x:c r="G19" s="35"/>
      <x:c r="H19" s="35"/>
      <x:c r="I19" s="35"/>
      <x:c r="J19" s="35"/>
      <x:c r="K19" s="35"/>
      <x:c r="L19" s="35"/>
    </x:row>
    <x:row r="20" ht="15" hidden="0" customHeight="1">
      <x:c r="B20" s="35" t="str">
        <x:v>Flow</x:v>
      </x:c>
      <x:c r="C20" s="35" t="str">
        <x:v>Public positions / module</x:v>
      </x:c>
      <x:c r="D20" s="41" t="n">
        <x:v>7</x:v>
      </x:c>
      <x:c r="E20" s="35" t="str">
        <x:v>positions</x:v>
      </x:c>
      <x:c r="F20" s="35" t="str">
        <x:v>ASSUMPTION</x:v>
      </x:c>
      <x:c r="G20" s="35"/>
      <x:c r="H20" s="35"/>
      <x:c r="I20" s="35"/>
      <x:c r="J20" s="35"/>
      <x:c r="K20" s="35"/>
      <x:c r="L20" s="35"/>
    </x:row>
    <x:row r="21" ht="15" hidden="0" customHeight="1">
      <x:c r="B21" s="35" t="str">
        <x:v>Flow</x:v>
      </x:c>
      <x:c r="C21" s="35" t="str">
        <x:v>Acute positions / module</x:v>
      </x:c>
      <x:c r="D21" s="41" t="n">
        <x:v>4</x:v>
      </x:c>
      <x:c r="E21" s="35" t="str">
        <x:v>positions</x:v>
      </x:c>
      <x:c r="F21" s="35" t="str">
        <x:v>ASSUMPTION</x:v>
      </x:c>
      <x:c r="G21" s="35"/>
      <x:c r="H21" s="35"/>
      <x:c r="I21" s="35"/>
      <x:c r="J21" s="35"/>
      <x:c r="K21" s="35"/>
      <x:c r="L21" s="35"/>
    </x:row>
    <x:row r="22" ht="15" hidden="0" customHeight="1">
      <x:c r="B22" s="35" t="str">
        <x:v>Flow</x:v>
      </x:c>
      <x:c r="C22" s="35" t="str">
        <x:v>Transfer journeys / island/day</x:v>
      </x:c>
      <x:c r="D22" s="41" t="n">
        <x:v>12.981875</x:v>
      </x:c>
      <x:c r="E22" s="35" t="str">
        <x:v>journeys/day</x:v>
      </x:c>
      <x:c r="F22" s="35" t="str">
        <x:v>DERIVED</x:v>
      </x:c>
      <x:c r="G22" s="35"/>
      <x:c r="H22" s="35"/>
      <x:c r="I22" s="35"/>
      <x:c r="J22" s="35"/>
      <x:c r="K22" s="35"/>
      <x:c r="L22" s="35"/>
    </x:row>
    <x:row r="23" ht="15" hidden="0" customHeight="1">
      <x:c r="B23" s="35" t="str">
        <x:v>Flow</x:v>
      </x:c>
      <x:c r="C23" s="35" t="str">
        <x:v>Transfer dwell</x:v>
      </x:c>
      <x:c r="D23" s="41" t="n">
        <x:v>1</x:v>
      </x:c>
      <x:c r="E23" s="35" t="str">
        <x:v>hours</x:v>
      </x:c>
      <x:c r="F23" s="35" t="str">
        <x:v>ASSUMPTION</x:v>
      </x:c>
      <x:c r="G23" s="35"/>
      <x:c r="H23" s="35"/>
      <x:c r="I23" s="35"/>
      <x:c r="J23" s="35"/>
      <x:c r="K23" s="35"/>
      <x:c r="L23" s="35"/>
    </x:row>
    <x:row r="24" ht="15" hidden="0" customHeight="1">
      <x:c r="B24" s="35" t="str">
        <x:v>Flow</x:v>
      </x:c>
      <x:c r="C24" s="35" t="str">
        <x:v>Transfer operating window</x:v>
      </x:c>
      <x:c r="D24" s="41" t="n">
        <x:v>24</x:v>
      </x:c>
      <x:c r="E24" s="35" t="str">
        <x:v>hours/day</x:v>
      </x:c>
      <x:c r="F24" s="35" t="str">
        <x:v>ASSUMPTION</x:v>
      </x:c>
      <x:c r="G24" s="35"/>
      <x:c r="H24" s="35"/>
      <x:c r="I24" s="35"/>
      <x:c r="J24" s="35"/>
      <x:c r="K24" s="35"/>
      <x:c r="L24" s="35"/>
    </x:row>
    <x:row r="25" ht="15" hidden="0" customHeight="1">
      <x:c r="B25" s="35" t="str">
        <x:v>Flow</x:v>
      </x:c>
      <x:c r="C25" s="35" t="str">
        <x:v>Transfer utilization</x:v>
      </x:c>
      <x:c r="D25" s="41" t="n">
        <x:v>0.75</x:v>
      </x:c>
      <x:c r="E25" s="35" t="str">
        <x:v>fraction</x:v>
      </x:c>
      <x:c r="F25" s="35" t="str">
        <x:v>ASSUMPTION</x:v>
      </x:c>
      <x:c r="G25" s="35"/>
      <x:c r="H25" s="35"/>
      <x:c r="I25" s="35"/>
      <x:c r="J25" s="35"/>
      <x:c r="K25" s="35"/>
      <x:c r="L25" s="35"/>
    </x:row>
    <x:row r="26" ht="15" hidden="0" customHeight="1">
      <x:c r="B26" s="35" t="str">
        <x:v>Flow</x:v>
      </x:c>
      <x:c r="C26" s="35" t="str">
        <x:v>Discharges / island/day</x:v>
      </x:c>
      <x:c r="D26" s="41" t="n">
        <x:v>132.2925</x:v>
      </x:c>
      <x:c r="E26" s="35" t="str">
        <x:v>handoffs/day</x:v>
      </x:c>
      <x:c r="F26" s="35" t="str">
        <x:v>DERIVED</x:v>
      </x:c>
      <x:c r="G26" s="35"/>
      <x:c r="H26" s="35"/>
      <x:c r="I26" s="35"/>
      <x:c r="J26" s="35"/>
      <x:c r="K26" s="35"/>
      <x:c r="L26" s="35"/>
    </x:row>
    <x:row r="27" ht="15" hidden="0" customHeight="1">
      <x:c r="B27" s="35" t="str">
        <x:v>Flow</x:v>
      </x:c>
      <x:c r="C27" s="35" t="str">
        <x:v>Discharge dwell</x:v>
      </x:c>
      <x:c r="D27" s="41" t="n">
        <x:v>0.5</x:v>
      </x:c>
      <x:c r="E27" s="35" t="str">
        <x:v>hours</x:v>
      </x:c>
      <x:c r="F27" s="35" t="str">
        <x:v>ASSUMPTION</x:v>
      </x:c>
      <x:c r="G27" s="35"/>
      <x:c r="H27" s="35"/>
      <x:c r="I27" s="35"/>
      <x:c r="J27" s="35"/>
      <x:c r="K27" s="35"/>
      <x:c r="L27" s="35"/>
    </x:row>
    <x:row r="28" ht="15" hidden="0" customHeight="1">
      <x:c r="B28" s="35" t="str">
        <x:v>Flow</x:v>
      </x:c>
      <x:c r="C28" s="35" t="str">
        <x:v>Discharge operating window</x:v>
      </x:c>
      <x:c r="D28" s="41" t="n">
        <x:v>16</x:v>
      </x:c>
      <x:c r="E28" s="35" t="str">
        <x:v>hours/day</x:v>
      </x:c>
      <x:c r="F28" s="35" t="str">
        <x:v>ASSUMPTION</x:v>
      </x:c>
      <x:c r="G28" s="35"/>
      <x:c r="H28" s="35"/>
      <x:c r="I28" s="35"/>
      <x:c r="J28" s="35"/>
      <x:c r="K28" s="35"/>
      <x:c r="L28" s="35"/>
    </x:row>
    <x:row r="29" ht="15" hidden="0" customHeight="1">
      <x:c r="B29" s="35" t="str">
        <x:v>Flow</x:v>
      </x:c>
      <x:c r="C29" s="35" t="str">
        <x:v>Discharge utilization</x:v>
      </x:c>
      <x:c r="D29" s="41" t="n">
        <x:v>0.8</x:v>
      </x:c>
      <x:c r="E29" s="35" t="str">
        <x:v>fraction</x:v>
      </x:c>
      <x:c r="F29" s="35" t="str">
        <x:v>ASSUMPTION</x:v>
      </x:c>
      <x:c r="G29" s="35"/>
      <x:c r="H29" s="35"/>
      <x:c r="I29" s="35"/>
      <x:c r="J29" s="35"/>
      <x:c r="K29" s="35"/>
      <x:c r="L29" s="35"/>
    </x:row>
    <x:row r="30" ht="15" hidden="0" customHeight="1">
      <x:c r="B30" s="35" t="str">
        <x:v>Space</x:v>
      </x:c>
      <x:c r="C30" s="35" t="str">
        <x:v>Mean clear height</x:v>
      </x:c>
      <x:c r="D30" s="41" t="n">
        <x:v>4</x:v>
      </x:c>
      <x:c r="E30" s="35" t="str">
        <x:v>m</x:v>
      </x:c>
      <x:c r="F30" s="35" t="str">
        <x:v>ASSUMPTION</x:v>
      </x:c>
      <x:c r="G30" s="35"/>
      <x:c r="H30" s="35"/>
      <x:c r="I30" s="35"/>
      <x:c r="J30" s="35"/>
      <x:c r="K30" s="35"/>
      <x:c r="L30" s="35"/>
    </x:row>
    <x:row r="31" ht="15" hidden="0" customHeight="1">
      <x:c r="B31" s="35" t="str">
        <x:v>Space</x:v>
      </x:c>
      <x:c r="C31" s="35" t="str">
        <x:v>Enclosed coverage ratio</x:v>
      </x:c>
      <x:c r="D31" s="42" t="n">
        <x:v>0.38</x:v>
      </x:c>
      <x:c r="E31" s="35" t="str">
        <x:v>fraction</x:v>
      </x:c>
      <x:c r="F31" s="35" t="str">
        <x:v>ASSUMPTION</x:v>
      </x:c>
      <x:c r="G31" s="35"/>
      <x:c r="H31" s="35"/>
      <x:c r="I31" s="35"/>
      <x:c r="J31" s="35"/>
      <x:c r="K31" s="35"/>
      <x:c r="L31" s="35"/>
    </x:row>
    <x:row r="32" ht="15" hidden="0" customHeight="1">
      <x:c r="B32" s="35" t="str">
        <x:v>Space</x:v>
      </x:c>
      <x:c r="C32" s="35" t="str">
        <x:v>Boundary allowance</x:v>
      </x:c>
      <x:c r="D32" s="41" t="n">
        <x:v>20</x:v>
      </x:c>
      <x:c r="E32" s="35" t="str">
        <x:v>m each side</x:v>
      </x:c>
      <x:c r="F32" s="35" t="str">
        <x:v>ASSUMPTION</x:v>
      </x:c>
      <x:c r="G32" s="35"/>
      <x:c r="H32" s="35"/>
      <x:c r="I32" s="35"/>
      <x:c r="J32" s="35"/>
      <x:c r="K32" s="35"/>
      <x:c r="L32" s="35"/>
    </x:row>
    <x:row r="33" ht="15" hidden="0" customHeight="1">
      <x:c r="B33" s="35" t="str">
        <x:v>Air</x:v>
      </x:c>
      <x:c r="C33" s="35" t="str">
        <x:v>Clean area share</x:v>
      </x:c>
      <x:c r="D33" s="42" t="n">
        <x:v>0.24</x:v>
      </x:c>
      <x:c r="E33" s="35" t="str">
        <x:v>fraction</x:v>
      </x:c>
      <x:c r="F33" s="35" t="str">
        <x:v>ASSUMPTION</x:v>
      </x:c>
      <x:c r="G33" s="35"/>
      <x:c r="H33" s="35"/>
      <x:c r="I33" s="35"/>
      <x:c r="J33" s="35"/>
      <x:c r="K33" s="35"/>
      <x:c r="L33" s="35"/>
    </x:row>
    <x:row r="34" ht="15" hidden="0" customHeight="1">
      <x:c r="B34" s="35" t="str">
        <x:v>Air</x:v>
      </x:c>
      <x:c r="C34" s="35" t="str">
        <x:v>Controlled area share</x:v>
      </x:c>
      <x:c r="D34" s="42" t="n">
        <x:v>0.56</x:v>
      </x:c>
      <x:c r="E34" s="35" t="str">
        <x:v>fraction</x:v>
      </x:c>
      <x:c r="F34" s="35" t="str">
        <x:v>ASSUMPTION</x:v>
      </x:c>
      <x:c r="G34" s="35"/>
      <x:c r="H34" s="35"/>
      <x:c r="I34" s="35"/>
      <x:c r="J34" s="35"/>
      <x:c r="K34" s="35"/>
      <x:c r="L34" s="35"/>
    </x:row>
    <x:row r="35" ht="15" hidden="0" customHeight="1">
      <x:c r="B35" s="35" t="str">
        <x:v>Air</x:v>
      </x:c>
      <x:c r="C35" s="35" t="str">
        <x:v>Contaminated area share</x:v>
      </x:c>
      <x:c r="D35" s="42" t="n">
        <x:v>0.2</x:v>
      </x:c>
      <x:c r="E35" s="35" t="str">
        <x:v>fraction</x:v>
      </x:c>
      <x:c r="F35" s="35" t="str">
        <x:v>ASSUMPTION</x:v>
      </x:c>
      <x:c r="G35" s="35"/>
      <x:c r="H35" s="35"/>
      <x:c r="I35" s="35"/>
      <x:c r="J35" s="35"/>
      <x:c r="K35" s="35"/>
      <x:c r="L35" s="35"/>
    </x:row>
    <x:row r="36" ht="15" hidden="0" customHeight="1">
      <x:c r="B36" s="35" t="str">
        <x:v>Air</x:v>
      </x:c>
      <x:c r="C36" s="35" t="str">
        <x:v>Clean air changes</x:v>
      </x:c>
      <x:c r="D36" s="41" t="n">
        <x:v>6</x:v>
      </x:c>
      <x:c r="E36" s="35" t="str">
        <x:v>ACH</x:v>
      </x:c>
      <x:c r="F36" s="35" t="str">
        <x:v>ASSUMPTION</x:v>
      </x:c>
      <x:c r="G36" s="35"/>
      <x:c r="H36" s="35"/>
      <x:c r="I36" s="35"/>
      <x:c r="J36" s="35"/>
      <x:c r="K36" s="35"/>
      <x:c r="L36" s="35"/>
    </x:row>
    <x:row r="37" ht="15" hidden="0" customHeight="1">
      <x:c r="B37" s="35" t="str">
        <x:v>Air</x:v>
      </x:c>
      <x:c r="C37" s="35" t="str">
        <x:v>Controlled air changes</x:v>
      </x:c>
      <x:c r="D37" s="41" t="n">
        <x:v>8</x:v>
      </x:c>
      <x:c r="E37" s="35" t="str">
        <x:v>ACH</x:v>
      </x:c>
      <x:c r="F37" s="35" t="str">
        <x:v>ASSUMPTION</x:v>
      </x:c>
      <x:c r="G37" s="35"/>
      <x:c r="H37" s="35"/>
      <x:c r="I37" s="35"/>
      <x:c r="J37" s="35"/>
      <x:c r="K37" s="35"/>
      <x:c r="L37" s="35"/>
    </x:row>
    <x:row r="38" ht="15" hidden="0" customHeight="1">
      <x:c r="B38" s="35" t="str">
        <x:v>Air</x:v>
      </x:c>
      <x:c r="C38" s="35" t="str">
        <x:v>Contaminated air changes</x:v>
      </x:c>
      <x:c r="D38" s="41" t="n">
        <x:v>12</x:v>
      </x:c>
      <x:c r="E38" s="35" t="str">
        <x:v>ACH</x:v>
      </x:c>
      <x:c r="F38" s="35" t="str">
        <x:v>ASSUMPTION</x:v>
      </x:c>
      <x:c r="G38" s="35"/>
      <x:c r="H38" s="35"/>
      <x:c r="I38" s="35"/>
      <x:c r="J38" s="35"/>
      <x:c r="K38" s="35"/>
      <x:c r="L38" s="35"/>
    </x:row>
    <x:row r="39" ht="15" hidden="0" customHeight="1">
      <x:c r="B39" s="35" t="str">
        <x:v>Air</x:v>
      </x:c>
      <x:c r="C39" s="35" t="str">
        <x:v>Clean train capacity</x:v>
      </x:c>
      <x:c r="D39" s="41" t="n">
        <x:v>120000</x:v>
      </x:c>
      <x:c r="E39" s="35" t="str">
        <x:v>m3/h</x:v>
      </x:c>
      <x:c r="F39" s="35" t="str">
        <x:v>ASSUMPTION</x:v>
      </x:c>
      <x:c r="G39" s="35"/>
      <x:c r="H39" s="35"/>
      <x:c r="I39" s="35"/>
      <x:c r="J39" s="35"/>
      <x:c r="K39" s="35"/>
      <x:c r="L39" s="35"/>
    </x:row>
    <x:row r="40" ht="15" hidden="0" customHeight="1">
      <x:c r="B40" s="35" t="str">
        <x:v>Air</x:v>
      </x:c>
      <x:c r="C40" s="35" t="str">
        <x:v>Controlled train capacity</x:v>
      </x:c>
      <x:c r="D40" s="41" t="n">
        <x:v>120000</x:v>
      </x:c>
      <x:c r="E40" s="35" t="str">
        <x:v>m3/h</x:v>
      </x:c>
      <x:c r="F40" s="35" t="str">
        <x:v>ASSUMPTION</x:v>
      </x:c>
      <x:c r="G40" s="35"/>
      <x:c r="H40" s="35"/>
      <x:c r="I40" s="35"/>
      <x:c r="J40" s="35"/>
      <x:c r="K40" s="35"/>
      <x:c r="L40" s="35"/>
    </x:row>
    <x:row r="41" ht="15" hidden="0" customHeight="1">
      <x:c r="B41" s="35" t="str">
        <x:v>Air</x:v>
      </x:c>
      <x:c r="C41" s="35" t="str">
        <x:v>Contaminated train capacity</x:v>
      </x:c>
      <x:c r="D41" s="41" t="n">
        <x:v>100000</x:v>
      </x:c>
      <x:c r="E41" s="35" t="str">
        <x:v>m3/h</x:v>
      </x:c>
      <x:c r="F41" s="35" t="str">
        <x:v>ASSUMPTION</x:v>
      </x:c>
      <x:c r="G41" s="35"/>
      <x:c r="H41" s="35"/>
      <x:c r="I41" s="35"/>
      <x:c r="J41" s="35"/>
      <x:c r="K41" s="35"/>
      <x:c r="L41" s="35"/>
    </x:row>
    <x:row r="42" ht="15" hidden="0" customHeight="1">
      <x:c r="B42" s="35" t="str">
        <x:v>Power</x:v>
      </x:c>
      <x:c r="C42" s="35" t="str">
        <x:v>Care direct MW / active island</x:v>
      </x:c>
      <x:c r="D42" s="41" t="n">
        <x:v>1.6702</x:v>
      </x:c>
      <x:c r="E42" s="35" t="str">
        <x:v>MW</x:v>
      </x:c>
      <x:c r="F42" s="35" t="str">
        <x:v>DERIVED</x:v>
      </x:c>
      <x:c r="G42" s="35"/>
      <x:c r="H42" s="35"/>
      <x:c r="I42" s="35"/>
      <x:c r="J42" s="35"/>
      <x:c r="K42" s="35"/>
      <x:c r="L42" s="35"/>
    </x:row>
    <x:row r="43" ht="15" hidden="0" customHeight="1">
      <x:c r="B43" s="35" t="str">
        <x:v>Power</x:v>
      </x:c>
      <x:c r="C43" s="35" t="str">
        <x:v>Local support MW / active island</x:v>
      </x:c>
      <x:c r="D43" s="41" t="n">
        <x:v>2.3</x:v>
      </x:c>
      <x:c r="E43" s="35" t="str">
        <x:v>MW</x:v>
      </x:c>
      <x:c r="F43" s="35" t="str">
        <x:v>ASSUMPTION</x:v>
      </x:c>
      <x:c r="G43" s="35"/>
      <x:c r="H43" s="35"/>
      <x:c r="I43" s="35"/>
      <x:c r="J43" s="35"/>
      <x:c r="K43" s="35"/>
      <x:c r="L43" s="35"/>
    </x:row>
    <x:row r="44" ht="15" hidden="0" customHeight="1">
      <x:c r="B44" s="35" t="str">
        <x:v>Power</x:v>
      </x:c>
      <x:c r="C44" s="35" t="str">
        <x:v>Common support MW</x:v>
      </x:c>
      <x:c r="D44" s="41" t="n">
        <x:v>1.75</x:v>
      </x:c>
      <x:c r="E44" s="35" t="str">
        <x:v>MW</x:v>
      </x:c>
      <x:c r="F44" s="35" t="str">
        <x:v>ASSUMPTION</x:v>
      </x:c>
      <x:c r="G44" s="35"/>
      <x:c r="H44" s="35"/>
      <x:c r="I44" s="35"/>
      <x:c r="J44" s="35"/>
      <x:c r="K44" s="35"/>
      <x:c r="L44" s="35"/>
    </x:row>
    <x:row r="45" ht="15" hidden="0" customHeight="1">
      <x:c r="B45" s="35" t="str">
        <x:v>Power</x:v>
      </x:c>
      <x:c r="C45" s="35" t="str">
        <x:v>Reserve-island standby MW</x:v>
      </x:c>
      <x:c r="D45" s="41" t="n">
        <x:v>0.65</x:v>
      </x:c>
      <x:c r="E45" s="35" t="str">
        <x:v>MW</x:v>
      </x:c>
      <x:c r="F45" s="35" t="str">
        <x:v>ASSUMPTION</x:v>
      </x:c>
      <x:c r="G45" s="35"/>
      <x:c r="H45" s="35"/>
      <x:c r="I45" s="35"/>
      <x:c r="J45" s="35"/>
      <x:c r="K45" s="35"/>
      <x:c r="L45" s="35"/>
    </x:row>
    <x:row r="46" ht="15" hidden="0" customHeight="1">
      <x:c r="B46" s="35" t="str">
        <x:v>Power</x:v>
      </x:c>
      <x:c r="C46" s="35" t="str">
        <x:v>Peak factor</x:v>
      </x:c>
      <x:c r="D46" s="41" t="n">
        <x:v>1.15</x:v>
      </x:c>
      <x:c r="E46" s="35" t="str">
        <x:v>multiple</x:v>
      </x:c>
      <x:c r="F46" s="35" t="str">
        <x:v>INHERITED</x:v>
      </x:c>
      <x:c r="G46" s="35"/>
      <x:c r="H46" s="35"/>
      <x:c r="I46" s="35"/>
      <x:c r="J46" s="35"/>
      <x:c r="K46" s="35"/>
      <x:c r="L46" s="35"/>
    </x:row>
    <x:row r="47" ht="15" hidden="0" customHeight="1">
      <x:c r="B47" s="35" t="str">
        <x:v>Power</x:v>
      </x:c>
      <x:c r="C47" s="35" t="str">
        <x:v>SPC continuous rating</x:v>
      </x:c>
      <x:c r="D47" s="41" t="n">
        <x:v>5</x:v>
      </x:c>
      <x:c r="E47" s="35" t="str">
        <x:v>MW</x:v>
      </x:c>
      <x:c r="F47" s="35" t="str">
        <x:v>INHERITED</x:v>
      </x:c>
      <x:c r="G47" s="35"/>
      <x:c r="H47" s="35"/>
      <x:c r="I47" s="35"/>
      <x:c r="J47" s="35"/>
      <x:c r="K47" s="35"/>
      <x:c r="L47" s="35"/>
    </x:row>
    <x:row r="48" ht="15" hidden="0" customHeight="1">
      <x:c r="B48" s="35" t="str">
        <x:v>Power</x:v>
      </x:c>
      <x:c r="C48" s="35" t="str">
        <x:v>SPC peak rating</x:v>
      </x:c>
      <x:c r="D48" s="41" t="n">
        <x:v>7</x:v>
      </x:c>
      <x:c r="E48" s="35" t="str">
        <x:v>MW</x:v>
      </x:c>
      <x:c r="F48" s="35" t="str">
        <x:v>INHERITED</x:v>
      </x:c>
      <x:c r="G48" s="35"/>
      <x:c r="H48" s="35"/>
      <x:c r="I48" s="35"/>
      <x:c r="J48" s="35"/>
      <x:c r="K48" s="35"/>
      <x:c r="L48" s="35"/>
    </x:row>
    <x:row r="49" ht="15" hidden="0" customHeight="1">
      <x:c r="B49" s="35" t="str">
        <x:v>Power</x:v>
      </x:c>
      <x:c r="C49" s="35" t="str">
        <x:v>SPC availability</x:v>
      </x:c>
      <x:c r="D49" s="42" t="n">
        <x:v>0.9</x:v>
      </x:c>
      <x:c r="E49" s="35" t="str">
        <x:v>fraction</x:v>
      </x:c>
      <x:c r="F49" s="35" t="str">
        <x:v>INHERITED</x:v>
      </x:c>
      <x:c r="G49" s="35"/>
      <x:c r="H49" s="35"/>
      <x:c r="I49" s="35"/>
      <x:c r="J49" s="35"/>
      <x:c r="K49" s="35"/>
      <x:c r="L49" s="35"/>
    </x:row>
    <x:row r="50" ht="15" hidden="0" customHeight="1">
      <x:c r="B50" s="35" t="str">
        <x:v>Power</x:v>
      </x:c>
      <x:c r="C50" s="35" t="str">
        <x:v>Capacity reserve</x:v>
      </x:c>
      <x:c r="D50" s="42" t="n">
        <x:v>0.2</x:v>
      </x:c>
      <x:c r="E50" s="35" t="str">
        <x:v>fraction</x:v>
      </x:c>
      <x:c r="F50" s="35" t="str">
        <x:v>INHERITED</x:v>
      </x:c>
      <x:c r="G50" s="35"/>
      <x:c r="H50" s="35"/>
      <x:c r="I50" s="35"/>
      <x:c r="J50" s="35"/>
      <x:c r="K50" s="35"/>
      <x:c r="L50" s="35"/>
    </x:row>
    <x:row r="51" ht="15" hidden="0" customHeight="1">
      <x:c r="B51" s="35" t="str">
        <x:v>Power</x:v>
      </x:c>
      <x:c r="C51" s="35" t="str">
        <x:v>Local feeder rating</x:v>
      </x:c>
      <x:c r="D51" s="41" t="n">
        <x:v>2.5</x:v>
      </x:c>
      <x:c r="E51" s="35" t="str">
        <x:v>MW</x:v>
      </x:c>
      <x:c r="F51" s="35" t="str">
        <x:v>ASSUMPTION</x:v>
      </x:c>
      <x:c r="G51" s="35"/>
      <x:c r="H51" s="35"/>
      <x:c r="I51" s="35"/>
      <x:c r="J51" s="35"/>
      <x:c r="K51" s="35"/>
      <x:c r="L51" s="35"/>
    </x:row>
    <x:row r="52" ht="15" hidden="0" customHeight="1">
      <x:c r="B52" s="35" t="str">
        <x:v>Power</x:v>
      </x:c>
      <x:c r="C52" s="35" t="str">
        <x:v>Local feeder count</x:v>
      </x:c>
      <x:c r="D52" s="41" t="n">
        <x:v>3</x:v>
      </x:c>
      <x:c r="E52" s="35" t="str">
        <x:v>trains</x:v>
      </x:c>
      <x:c r="F52" s="35" t="str">
        <x:v>DERIVED</x:v>
      </x:c>
      <x:c r="G52" s="35"/>
      <x:c r="H52" s="35"/>
      <x:c r="I52" s="35"/>
      <x:c r="J52" s="35"/>
      <x:c r="K52" s="35"/>
      <x:c r="L52" s="35"/>
    </x:row>
    <x:row r="53" ht="15" hidden="0" customHeight="1">
      <x:c r="B53" s="35" t="str">
        <x:v>No-break</x:v>
      </x:c>
      <x:c r="C53" s="35" t="str">
        <x:v>Care no-break MW / active island</x:v>
      </x:c>
      <x:c r="D53" s="41" t="n">
        <x:v>1.2735</x:v>
      </x:c>
      <x:c r="E53" s="35" t="str">
        <x:v>MW</x:v>
      </x:c>
      <x:c r="F53" s="35" t="str">
        <x:v>DERIVED</x:v>
      </x:c>
      <x:c r="G53" s="35"/>
      <x:c r="H53" s="35"/>
      <x:c r="I53" s="35"/>
      <x:c r="J53" s="35"/>
      <x:c r="K53" s="35"/>
      <x:c r="L53" s="35"/>
    </x:row>
    <x:row r="54" ht="15" hidden="0" customHeight="1">
      <x:c r="B54" s="35" t="str">
        <x:v>No-break</x:v>
      </x:c>
      <x:c r="C54" s="35" t="str">
        <x:v>Local support no-break / island</x:v>
      </x:c>
      <x:c r="D54" s="41" t="n">
        <x:v>1</x:v>
      </x:c>
      <x:c r="E54" s="35" t="str">
        <x:v>MW</x:v>
      </x:c>
      <x:c r="F54" s="35" t="str">
        <x:v>ASSUMPTION</x:v>
      </x:c>
      <x:c r="G54" s="35"/>
      <x:c r="H54" s="35"/>
      <x:c r="I54" s="35"/>
      <x:c r="J54" s="35"/>
      <x:c r="K54" s="35"/>
      <x:c r="L54" s="35"/>
    </x:row>
    <x:row r="55" ht="15" hidden="0" customHeight="1">
      <x:c r="B55" s="35" t="str">
        <x:v>No-break</x:v>
      </x:c>
      <x:c r="C55" s="35" t="str">
        <x:v>Common no-break MW</x:v>
      </x:c>
      <x:c r="D55" s="41" t="n">
        <x:v>0.9</x:v>
      </x:c>
      <x:c r="E55" s="35" t="str">
        <x:v>MW</x:v>
      </x:c>
      <x:c r="F55" s="35" t="str">
        <x:v>ASSUMPTION</x:v>
      </x:c>
      <x:c r="G55" s="35"/>
      <x:c r="H55" s="35"/>
      <x:c r="I55" s="35"/>
      <x:c r="J55" s="35"/>
      <x:c r="K55" s="35"/>
      <x:c r="L55" s="35"/>
    </x:row>
    <x:row r="56" ht="15" hidden="0" customHeight="1">
      <x:c r="B56" s="35" t="str">
        <x:v>No-break</x:v>
      </x:c>
      <x:c r="C56" s="35" t="str">
        <x:v>Reserve standby no-break MW</x:v>
      </x:c>
      <x:c r="D56" s="41" t="n">
        <x:v>0.25</x:v>
      </x:c>
      <x:c r="E56" s="35" t="str">
        <x:v>MW</x:v>
      </x:c>
      <x:c r="F56" s="35" t="str">
        <x:v>ASSUMPTION</x:v>
      </x:c>
      <x:c r="G56" s="35"/>
      <x:c r="H56" s="35"/>
      <x:c r="I56" s="35"/>
      <x:c r="J56" s="35"/>
      <x:c r="K56" s="35"/>
      <x:c r="L56" s="35"/>
    </x:row>
    <x:row r="57" ht="15" hidden="0" customHeight="1">
      <x:c r="B57" s="35" t="str">
        <x:v>No-break</x:v>
      </x:c>
      <x:c r="C57" s="35" t="str">
        <x:v>Duration</x:v>
      </x:c>
      <x:c r="D57" s="41" t="n">
        <x:v>0.5</x:v>
      </x:c>
      <x:c r="E57" s="35" t="str">
        <x:v>hours</x:v>
      </x:c>
      <x:c r="F57" s="35" t="str">
        <x:v>INHERITED</x:v>
      </x:c>
      <x:c r="G57" s="35"/>
      <x:c r="H57" s="35"/>
      <x:c r="I57" s="35"/>
      <x:c r="J57" s="35"/>
      <x:c r="K57" s="35"/>
      <x:c r="L57" s="35"/>
    </x:row>
    <x:row r="58" ht="15" hidden="0" customHeight="1">
      <x:c r="B58" s="35" t="str">
        <x:v>No-break</x:v>
      </x:c>
      <x:c r="C58" s="35" t="str">
        <x:v>Energy reserve</x:v>
      </x:c>
      <x:c r="D58" s="42" t="n">
        <x:v>0.2</x:v>
      </x:c>
      <x:c r="E58" s="35" t="str">
        <x:v>fraction</x:v>
      </x:c>
      <x:c r="F58" s="35" t="str">
        <x:v>INHERITED</x:v>
      </x:c>
      <x:c r="G58" s="35"/>
      <x:c r="H58" s="35"/>
      <x:c r="I58" s="35"/>
      <x:c r="J58" s="35"/>
      <x:c r="K58" s="35"/>
      <x:c r="L58" s="35"/>
    </x:row>
    <x:row r="59" ht="15" hidden="0" customHeight="1">
      <x:c r="B59" s="35" t="str">
        <x:v>No-break</x:v>
      </x:c>
      <x:c r="C59" s="35" t="str">
        <x:v>Usable fraction</x:v>
      </x:c>
      <x:c r="D59" s="42" t="n">
        <x:v>0.8</x:v>
      </x:c>
      <x:c r="E59" s="35" t="str">
        <x:v>fraction</x:v>
      </x:c>
      <x:c r="F59" s="35" t="str">
        <x:v>INHERITED</x:v>
      </x:c>
      <x:c r="G59" s="35"/>
      <x:c r="H59" s="35"/>
      <x:c r="I59" s="35"/>
      <x:c r="J59" s="35"/>
      <x:c r="K59" s="35"/>
      <x:c r="L59" s="35"/>
    </x:row>
    <x:row r="60" ht="15" hidden="0" customHeight="1">
      <x:c r="B60" s="35" t="str">
        <x:v>No-break</x:v>
      </x:c>
      <x:c r="C60" s="35" t="str">
        <x:v>Efficiency</x:v>
      </x:c>
      <x:c r="D60" s="42" t="n">
        <x:v>0.92</x:v>
      </x:c>
      <x:c r="E60" s="35" t="str">
        <x:v>fraction</x:v>
      </x:c>
      <x:c r="F60" s="35" t="str">
        <x:v>INHERITED</x:v>
      </x:c>
      <x:c r="G60" s="35"/>
      <x:c r="H60" s="35"/>
      <x:c r="I60" s="35"/>
      <x:c r="J60" s="35"/>
      <x:c r="K60" s="35"/>
      <x:c r="L60" s="35"/>
    </x:row>
    <x:row r="61" ht="15" hidden="0" customHeight="1">
      <x:c r="B61" s="35" t="str">
        <x:v>No-break</x:v>
      </x:c>
      <x:c r="C61" s="35" t="str">
        <x:v>BSS power rating</x:v>
      </x:c>
      <x:c r="D61" s="41" t="n">
        <x:v>10</x:v>
      </x:c>
      <x:c r="E61" s="35" t="str">
        <x:v>MW</x:v>
      </x:c>
      <x:c r="F61" s="35" t="str">
        <x:v>INHERITED</x:v>
      </x:c>
      <x:c r="G61" s="35"/>
      <x:c r="H61" s="35"/>
      <x:c r="I61" s="35"/>
      <x:c r="J61" s="35"/>
      <x:c r="K61" s="35"/>
      <x:c r="L61" s="35"/>
    </x:row>
    <x:row r="62" ht="15" hidden="0" customHeight="1">
      <x:c r="B62" s="35" t="str">
        <x:v>No-break</x:v>
      </x:c>
      <x:c r="C62" s="35" t="str">
        <x:v>BSS energy rating</x:v>
      </x:c>
      <x:c r="D62" s="41" t="n">
        <x:v>5</x:v>
      </x:c>
      <x:c r="E62" s="35" t="str">
        <x:v>MWh</x:v>
      </x:c>
      <x:c r="F62" s="35" t="str">
        <x:v>INHERITED</x:v>
      </x:c>
      <x:c r="G62" s="35"/>
      <x:c r="H62" s="35"/>
      <x:c r="I62" s="35"/>
      <x:c r="J62" s="35"/>
      <x:c r="K62" s="35"/>
      <x:c r="L62" s="35"/>
    </x:row>
    <x:row r="63" ht="15" hidden="0" customHeight="1">
      <x:c r="B63" s="35" t="str">
        <x:v>Fluids</x:v>
      </x:c>
      <x:c r="C63" s="35" t="str">
        <x:v>Clinical water / island/day</x:v>
      </x:c>
      <x:c r="D63" s="41" t="n">
        <x:v>47.7725</x:v>
      </x:c>
      <x:c r="E63" s="35" t="str">
        <x:v>m3/day</x:v>
      </x:c>
      <x:c r="F63" s="35" t="str">
        <x:v>DERIVED</x:v>
      </x:c>
      <x:c r="G63" s="35"/>
      <x:c r="H63" s="35"/>
      <x:c r="I63" s="35"/>
      <x:c r="J63" s="35"/>
      <x:c r="K63" s="35"/>
      <x:c r="L63" s="35"/>
    </x:row>
    <x:row r="64" ht="15" hidden="0" customHeight="1">
      <x:c r="B64" s="35" t="str">
        <x:v>Fluids</x:v>
      </x:c>
      <x:c r="C64" s="35" t="str">
        <x:v>Active island staff</x:v>
      </x:c>
      <x:c r="D64" s="41" t="n">
        <x:v>829</x:v>
      </x:c>
      <x:c r="E64" s="35" t="str">
        <x:v>people</x:v>
      </x:c>
      <x:c r="F64" s="35" t="str">
        <x:v>DERIVED</x:v>
      </x:c>
      <x:c r="G64" s="35"/>
      <x:c r="H64" s="35"/>
      <x:c r="I64" s="35"/>
      <x:c r="J64" s="35"/>
      <x:c r="K64" s="35"/>
      <x:c r="L64" s="35"/>
    </x:row>
    <x:row r="65" ht="15" hidden="0" customHeight="1">
      <x:c r="B65" s="35" t="str">
        <x:v>Fluids</x:v>
      </x:c>
      <x:c r="C65" s="35" t="str">
        <x:v>Staff water</x:v>
      </x:c>
      <x:c r="D65" s="41" t="n">
        <x:v>80</x:v>
      </x:c>
      <x:c r="E65" s="35" t="str">
        <x:v>L/person/day</x:v>
      </x:c>
      <x:c r="F65" s="35" t="str">
        <x:v>INHERITED</x:v>
      </x:c>
      <x:c r="G65" s="35"/>
      <x:c r="H65" s="35"/>
      <x:c r="I65" s="35"/>
      <x:c r="J65" s="35"/>
      <x:c r="K65" s="35"/>
      <x:c r="L65" s="35"/>
    </x:row>
    <x:row r="66" ht="15" hidden="0" customHeight="1">
      <x:c r="B66" s="35" t="str">
        <x:v>Fluids</x:v>
      </x:c>
      <x:c r="C66" s="35" t="str">
        <x:v>Process water / island/day</x:v>
      </x:c>
      <x:c r="D66" s="41" t="n">
        <x:v>75</x:v>
      </x:c>
      <x:c r="E66" s="35" t="str">
        <x:v>m3/day</x:v>
      </x:c>
      <x:c r="F66" s="35" t="str">
        <x:v>ALLOCATED</x:v>
      </x:c>
      <x:c r="G66" s="35"/>
      <x:c r="H66" s="35"/>
      <x:c r="I66" s="35"/>
      <x:c r="J66" s="35"/>
      <x:c r="K66" s="35"/>
      <x:c r="L66" s="35"/>
    </x:row>
    <x:row r="67" ht="15" hidden="0" customHeight="1">
      <x:c r="B67" s="35" t="str">
        <x:v>Fluids</x:v>
      </x:c>
      <x:c r="C67" s="35" t="str">
        <x:v>Water reserve</x:v>
      </x:c>
      <x:c r="D67" s="42" t="n">
        <x:v>0.25</x:v>
      </x:c>
      <x:c r="E67" s="35" t="str">
        <x:v>fraction</x:v>
      </x:c>
      <x:c r="F67" s="35" t="str">
        <x:v>INHERITED</x:v>
      </x:c>
      <x:c r="G67" s="35"/>
      <x:c r="H67" s="35"/>
      <x:c r="I67" s="35"/>
      <x:c r="J67" s="35"/>
      <x:c r="K67" s="35"/>
      <x:c r="L67" s="35"/>
    </x:row>
    <x:row r="68" ht="15" hidden="0" customHeight="1">
      <x:c r="B68" s="35" t="str">
        <x:v>Fluids</x:v>
      </x:c>
      <x:c r="C68" s="35" t="str">
        <x:v>Local water buffer</x:v>
      </x:c>
      <x:c r="D68" s="41" t="n">
        <x:v>8</x:v>
      </x:c>
      <x:c r="E68" s="35" t="str">
        <x:v>hours</x:v>
      </x:c>
      <x:c r="F68" s="35" t="str">
        <x:v>ASSUMPTION</x:v>
      </x:c>
      <x:c r="G68" s="35"/>
      <x:c r="H68" s="35"/>
      <x:c r="I68" s="35"/>
      <x:c r="J68" s="35"/>
      <x:c r="K68" s="35"/>
      <x:c r="L68" s="35"/>
    </x:row>
    <x:row r="69" ht="15" hidden="0" customHeight="1">
      <x:c r="B69" s="35" t="str">
        <x:v>Fluids</x:v>
      </x:c>
      <x:c r="C69" s="35" t="str">
        <x:v>Water pod capacity</x:v>
      </x:c>
      <x:c r="D69" s="41" t="n">
        <x:v>40</x:v>
      </x:c>
      <x:c r="E69" s="35" t="str">
        <x:v>m3</x:v>
      </x:c>
      <x:c r="F69" s="35" t="str">
        <x:v>ASSUMPTION</x:v>
      </x:c>
      <x:c r="G69" s="35"/>
      <x:c r="H69" s="35"/>
      <x:c r="I69" s="35"/>
      <x:c r="J69" s="35"/>
      <x:c r="K69" s="35"/>
      <x:c r="L69" s="35"/>
    </x:row>
    <x:row r="70" ht="15" hidden="0" customHeight="1">
      <x:c r="B70" s="35" t="str">
        <x:v>Fluids</x:v>
      </x:c>
      <x:c r="C70" s="35" t="str">
        <x:v>Wastewater return</x:v>
      </x:c>
      <x:c r="D70" s="42" t="n">
        <x:v>0.9</x:v>
      </x:c>
      <x:c r="E70" s="35" t="str">
        <x:v>fraction</x:v>
      </x:c>
      <x:c r="F70" s="35" t="str">
        <x:v>INHERITED</x:v>
      </x:c>
      <x:c r="G70" s="35"/>
      <x:c r="H70" s="35"/>
      <x:c r="I70" s="35"/>
      <x:c r="J70" s="35"/>
      <x:c r="K70" s="35"/>
      <x:c r="L70" s="35"/>
    </x:row>
    <x:row r="71" ht="15" hidden="0" customHeight="1">
      <x:c r="B71" s="35" t="str">
        <x:v>Fluids</x:v>
      </x:c>
      <x:c r="C71" s="35" t="str">
        <x:v>Wastewater pod capacity</x:v>
      </x:c>
      <x:c r="D71" s="41" t="n">
        <x:v>40</x:v>
      </x:c>
      <x:c r="E71" s="35" t="str">
        <x:v>m3</x:v>
      </x:c>
      <x:c r="F71" s="35" t="str">
        <x:v>ASSUMPTION</x:v>
      </x:c>
      <x:c r="G71" s="35"/>
      <x:c r="H71" s="35"/>
      <x:c r="I71" s="35"/>
      <x:c r="J71" s="35"/>
      <x:c r="K71" s="35"/>
      <x:c r="L71" s="35"/>
    </x:row>
    <x:row r="72" ht="15" hidden="0" customHeight="1">
      <x:c r="B72" s="35" t="str">
        <x:v>Fluids</x:v>
      </x:c>
      <x:c r="C72" s="35" t="str">
        <x:v>Oxygen / island/day</x:v>
      </x:c>
      <x:c r="D72" s="41" t="n">
        <x:v>1539.25</x:v>
      </x:c>
      <x:c r="E72" s="35" t="str">
        <x:v>m3/day</x:v>
      </x:c>
      <x:c r="F72" s="35" t="str">
        <x:v>DERIVED</x:v>
      </x:c>
      <x:c r="G72" s="35"/>
      <x:c r="H72" s="35"/>
      <x:c r="I72" s="35"/>
      <x:c r="J72" s="35"/>
      <x:c r="K72" s="35"/>
      <x:c r="L72" s="35"/>
    </x:row>
    <x:row r="73" ht="15" hidden="0" customHeight="1">
      <x:c r="B73" s="35" t="str">
        <x:v>Fluids</x:v>
      </x:c>
      <x:c r="C73" s="35" t="str">
        <x:v>Oxygen reserve</x:v>
      </x:c>
      <x:c r="D73" s="42" t="n">
        <x:v>0.25</x:v>
      </x:c>
      <x:c r="E73" s="35" t="str">
        <x:v>fraction</x:v>
      </x:c>
      <x:c r="F73" s="35" t="str">
        <x:v>INHERITED</x:v>
      </x:c>
      <x:c r="G73" s="35"/>
      <x:c r="H73" s="35"/>
      <x:c r="I73" s="35"/>
      <x:c r="J73" s="35"/>
      <x:c r="K73" s="35"/>
      <x:c r="L73" s="35"/>
    </x:row>
    <x:row r="74" ht="15" hidden="0" customHeight="1">
      <x:c r="B74" s="35" t="str">
        <x:v>Fluids</x:v>
      </x:c>
      <x:c r="C74" s="35" t="str">
        <x:v>Local oxygen buffer</x:v>
      </x:c>
      <x:c r="D74" s="41" t="n">
        <x:v>4</x:v>
      </x:c>
      <x:c r="E74" s="35" t="str">
        <x:v>hours</x:v>
      </x:c>
      <x:c r="F74" s="35" t="str">
        <x:v>ASSUMPTION</x:v>
      </x:c>
      <x:c r="G74" s="35"/>
      <x:c r="H74" s="35"/>
      <x:c r="I74" s="35"/>
      <x:c r="J74" s="35"/>
      <x:c r="K74" s="35"/>
      <x:c r="L74" s="35"/>
    </x:row>
    <x:row r="75" ht="15" hidden="0" customHeight="1">
      <x:c r="B75" s="35" t="str">
        <x:v>Fluids</x:v>
      </x:c>
      <x:c r="C75" s="35" t="str">
        <x:v>Oxygen pod capacity</x:v>
      </x:c>
      <x:c r="D75" s="41" t="n">
        <x:v>200</x:v>
      </x:c>
      <x:c r="E75" s="35" t="str">
        <x:v>m3</x:v>
      </x:c>
      <x:c r="F75" s="35" t="str">
        <x:v>ASSUMPTION</x:v>
      </x:c>
      <x:c r="G75" s="35"/>
      <x:c r="H75" s="35"/>
      <x:c r="I75" s="35"/>
      <x:c r="J75" s="35"/>
      <x:c r="K75" s="35"/>
      <x:c r="L75" s="35"/>
    </x:row>
    <x:row r="76" ht="15" hidden="0" customHeight="1">
      <x:c r="B76" s="35" t="str">
        <x:v>Fluids</x:v>
      </x:c>
      <x:c r="C76" s="35" t="str">
        <x:v>Medical waste / island/day</x:v>
      </x:c>
      <x:c r="D76" s="41" t="n">
        <x:v>0.88825625</x:v>
      </x:c>
      <x:c r="E76" s="35" t="str">
        <x:v>t/day</x:v>
      </x:c>
      <x:c r="F76" s="35" t="str">
        <x:v>DERIVED</x:v>
      </x:c>
      <x:c r="G76" s="35"/>
      <x:c r="H76" s="35"/>
      <x:c r="I76" s="35"/>
      <x:c r="J76" s="35"/>
      <x:c r="K76" s="35"/>
      <x:c r="L76" s="35"/>
    </x:row>
    <x:row r="77" ht="15" hidden="0" customHeight="1">
      <x:c r="B77" s="35" t="str">
        <x:v>Fluids</x:v>
      </x:c>
      <x:c r="C77" s="35" t="str">
        <x:v>Medical waste reserve</x:v>
      </x:c>
      <x:c r="D77" s="42" t="n">
        <x:v>0.25</x:v>
      </x:c>
      <x:c r="E77" s="35" t="str">
        <x:v>fraction</x:v>
      </x:c>
      <x:c r="F77" s="35" t="str">
        <x:v>INHERITED</x:v>
      </x:c>
      <x:c r="G77" s="35"/>
      <x:c r="H77" s="35"/>
      <x:c r="I77" s="35"/>
      <x:c r="J77" s="35"/>
      <x:c r="K77" s="35"/>
      <x:c r="L77" s="35"/>
    </x:row>
    <x:row r="78" ht="15" hidden="0" customHeight="1">
      <x:c r="B78" s="35" t="str">
        <x:v>Fluids</x:v>
      </x:c>
      <x:c r="C78" s="35" t="str">
        <x:v>Medical-waste pod capacity</x:v>
      </x:c>
      <x:c r="D78" s="41" t="n">
        <x:v>0.6</x:v>
      </x:c>
      <x:c r="E78" s="35" t="str">
        <x:v>t</x:v>
      </x:c>
      <x:c r="F78" s="35" t="str">
        <x:v>ASSUMPTION</x:v>
      </x:c>
      <x:c r="G78" s="35"/>
      <x:c r="H78" s="35"/>
      <x:c r="I78" s="35"/>
      <x:c r="J78" s="35"/>
      <x:c r="K78" s="35"/>
      <x:c r="L78" s="35"/>
    </x:row>
    <x:row r="79" ht="15" hidden="0" customHeight="1">
      <x:c r="B79" s="35" t="str">
        <x:v>Formation</x:v>
      </x:c>
      <x:c r="C79" s="35" t="str">
        <x:v>Prior HCSG articles</x:v>
      </x:c>
      <x:c r="D79" s="41" t="n">
        <x:v>144</x:v>
      </x:c>
      <x:c r="E79" s="35" t="str">
        <x:v>top-level articles</x:v>
      </x:c>
      <x:c r="F79" s="35" t="str">
        <x:v>INHERITED</x:v>
      </x:c>
      <x:c r="G79" s="35"/>
      <x:c r="H79" s="35"/>
      <x:c r="I79" s="35"/>
      <x:c r="J79" s="35"/>
      <x:c r="K79" s="35"/>
      <x:c r="L79" s="35"/>
    </x:row>
    <x:row r="80" ht="15" hidden="0" customHeight="1">
      <x:c r="B80" s="35" t="str">
        <x:v>Formation</x:v>
      </x:c>
      <x:c r="C80" s="35" t="str">
        <x:v>Prior HCSG dry mass</x:v>
      </x:c>
      <x:c r="D80" s="41" t="n">
        <x:v>31217</x:v>
      </x:c>
      <x:c r="E80" s="35" t="str">
        <x:v>t</x:v>
      </x:c>
      <x:c r="F80" s="35" t="str">
        <x:v>INHERITED</x:v>
      </x:c>
      <x:c r="G80" s="35"/>
      <x:c r="H80" s="35"/>
      <x:c r="I80" s="35"/>
      <x:c r="J80" s="35"/>
      <x:c r="K80" s="35"/>
      <x:c r="L80" s="35"/>
    </x:row>
    <x:row r="81" ht="15" hidden="0" customHeight="1">
      <x:c r="B81" s="35" t="str">
        <x:v>Formation</x:v>
      </x:c>
      <x:c r="C81" s="35" t="str">
        <x:v>Prior HCSG capital</x:v>
      </x:c>
      <x:c r="D81" s="41" t="n">
        <x:v>25077</x:v>
      </x:c>
      <x:c r="E81" s="35" t="str">
        <x:v>USD m</x:v>
      </x:c>
      <x:c r="F81" s="35" t="str">
        <x:v>INHERITED</x:v>
      </x:c>
      <x:c r="G81" s="35"/>
      <x:c r="H81" s="35"/>
      <x:c r="I81" s="35"/>
      <x:c r="J81" s="35"/>
      <x:c r="K81" s="35"/>
      <x:c r="L81" s="35"/>
    </x:row>
    <x:row r="82" ht="15" hidden="0" customHeight="1">
      <x:c r="B82" s="35" t="str">
        <x:v>Formation</x:v>
      </x:c>
      <x:c r="C82" s="35" t="str">
        <x:v>Prior CSI unit mass</x:v>
      </x:c>
      <x:c r="D82" s="41" t="n">
        <x:v>2400</x:v>
      </x:c>
      <x:c r="E82" s="35" t="str">
        <x:v>t</x:v>
      </x:c>
      <x:c r="F82" s="35" t="str">
        <x:v>INHERITED PROXY</x:v>
      </x:c>
      <x:c r="G82" s="35"/>
      <x:c r="H82" s="35"/>
      <x:c r="I82" s="35"/>
      <x:c r="J82" s="35"/>
      <x:c r="K82" s="35"/>
      <x:c r="L82" s="35"/>
    </x:row>
    <x:row r="83" ht="15" hidden="0" customHeight="1">
      <x:c r="B83" s="35" t="str">
        <x:v>Formation</x:v>
      </x:c>
      <x:c r="C83" s="35" t="str">
        <x:v>Prior CSI unit capital</x:v>
      </x:c>
      <x:c r="D83" s="41" t="n">
        <x:v>2200</x:v>
      </x:c>
      <x:c r="E83" s="35" t="str">
        <x:v>USD m</x:v>
      </x:c>
      <x:c r="F83" s="35" t="str">
        <x:v>INHERITED PROXY</x:v>
      </x:c>
      <x:c r="G83" s="35"/>
      <x:c r="H83" s="35"/>
      <x:c r="I83" s="35"/>
      <x:c r="J83" s="35"/>
      <x:c r="K83" s="35"/>
      <x:c r="L83" s="35"/>
    </x:row>
    <x:row r="84" ht="15" hidden="0" customHeight="1">
      <x:c r="B84" s="35" t="str">
        <x:v>Formation</x:v>
      </x:c>
      <x:c r="C84" s="35" t="str">
        <x:v>SPC unit mass</x:v>
      </x:c>
      <x:c r="D84" s="41" t="n">
        <x:v>110</x:v>
      </x:c>
      <x:c r="E84" s="35" t="str">
        <x:v>t</x:v>
      </x:c>
      <x:c r="F84" s="35" t="str">
        <x:v>INHERITED</x:v>
      </x:c>
      <x:c r="G84" s="35"/>
      <x:c r="H84" s="35"/>
      <x:c r="I84" s="35"/>
      <x:c r="J84" s="35"/>
      <x:c r="K84" s="35"/>
      <x:c r="L84" s="35"/>
    </x:row>
    <x:row r="85" ht="15" hidden="0" customHeight="1">
      <x:c r="B85" s="35" t="str">
        <x:v>Formation</x:v>
      </x:c>
      <x:c r="C85" s="35" t="str">
        <x:v>SPC unit capital</x:v>
      </x:c>
      <x:c r="D85" s="41" t="n">
        <x:v>180</x:v>
      </x:c>
      <x:c r="E85" s="35" t="str">
        <x:v>USD m</x:v>
      </x:c>
      <x:c r="F85" s="35" t="str">
        <x:v>INHERITED</x:v>
      </x:c>
      <x:c r="G85" s="35"/>
      <x:c r="H85" s="35"/>
      <x:c r="I85" s="35"/>
      <x:c r="J85" s="35"/>
      <x:c r="K85" s="35"/>
      <x:c r="L85" s="35"/>
    </x:row>
    <x:row r="86" ht="15" hidden="0" customHeight="1">
      <x:c r="B86" s="35" t="str">
        <x:v>Formation</x:v>
      </x:c>
      <x:c r="C86" s="35" t="str">
        <x:v>PTN unit mass</x:v>
      </x:c>
      <x:c r="D86" s="41" t="n">
        <x:v>35</x:v>
      </x:c>
      <x:c r="E86" s="35" t="str">
        <x:v>t</x:v>
      </x:c>
      <x:c r="F86" s="35" t="str">
        <x:v>INHERITED</x:v>
      </x:c>
      <x:c r="G86" s="35"/>
      <x:c r="H86" s="35"/>
      <x:c r="I86" s="35"/>
      <x:c r="J86" s="35"/>
      <x:c r="K86" s="35"/>
      <x:c r="L86" s="35"/>
    </x:row>
    <x:row r="87" ht="15" hidden="0" customHeight="1">
      <x:c r="B87" s="35" t="str">
        <x:v>Formation</x:v>
      </x:c>
      <x:c r="C87" s="35" t="str">
        <x:v>PTN unit capital</x:v>
      </x:c>
      <x:c r="D87" s="41" t="n">
        <x:v>20</x:v>
      </x:c>
      <x:c r="E87" s="35" t="str">
        <x:v>USD m</x:v>
      </x:c>
      <x:c r="F87" s="35" t="str">
        <x:v>INHERITED</x:v>
      </x:c>
      <x:c r="G87" s="35"/>
      <x:c r="H87" s="35"/>
      <x:c r="I87" s="35"/>
      <x:c r="J87" s="35"/>
      <x:c r="K87" s="35"/>
      <x:c r="L87" s="35"/>
    </x:row>
    <x:row r="88" ht="15" hidden="0" customHeight="1">
      <x:c r="B88" s="35" t="str">
        <x:v>Transport</x:v>
      </x:c>
      <x:c r="C88" s="35" t="str">
        <x:v>Packaging factor</x:v>
      </x:c>
      <x:c r="D88" s="41" t="n">
        <x:v>1.12</x:v>
      </x:c>
      <x:c r="E88" s="35" t="str">
        <x:v>multiple</x:v>
      </x:c>
      <x:c r="F88" s="35" t="str">
        <x:v>ASSUMPTION</x:v>
      </x:c>
      <x:c r="G88" s="35"/>
      <x:c r="H88" s="35"/>
      <x:c r="I88" s="35"/>
      <x:c r="J88" s="35"/>
      <x:c r="K88" s="35"/>
      <x:c r="L88" s="35"/>
    </x:row>
    <x:row r="89" ht="15" hidden="0" customHeight="1">
      <x:c r="B89" s="35" t="str">
        <x:v>Transport</x:v>
      </x:c>
      <x:c r="C89" s="35" t="str">
        <x:v>Heavy cargo position payload</x:v>
      </x:c>
      <x:c r="D89" s="41" t="n">
        <x:v>18</x:v>
      </x:c>
      <x:c r="E89" s="35" t="str">
        <x:v>t</x:v>
      </x:c>
      <x:c r="F89" s="35" t="str">
        <x:v>ASSUMPTION</x:v>
      </x:c>
      <x:c r="G89" s="35"/>
      <x:c r="H89" s="35"/>
      <x:c r="I89" s="35"/>
      <x:c r="J89" s="35"/>
      <x:c r="K89" s="35"/>
      <x:c r="L89" s="35"/>
    </x:row>
    <x:row r="90" ht="15" hidden="0" customHeight="1">
      <x:c r="B90" s="35" t="str">
        <x:v>Program</x:v>
      </x:c>
      <x:c r="C90" s="35" t="str">
        <x:v>RCA cross-classified allocation</x:v>
      </x:c>
      <x:c r="D90" s="41" t="n">
        <x:v>32</x:v>
      </x:c>
      <x:c r="E90" s="35" t="str">
        <x:v>USD b</x:v>
      </x:c>
      <x:c r="F90" s="35" t="str">
        <x:v>ALLOCATED WITHIN TCP-06</x:v>
      </x:c>
      <x:c r="G90" s="35"/>
      <x:c r="H90" s="35"/>
      <x:c r="I90" s="35"/>
      <x:c r="J90" s="35"/>
      <x:c r="K90" s="35"/>
      <x:c r="L90" s="35"/>
    </x:row>
    <x:row r="91" ht="15" hidden="0" customHeight="1">
      <x:c r="B91" s="35" t="str">
        <x:v>Program</x:v>
      </x:c>
      <x:c r="C91" s="35" t="str">
        <x:v>Parent TCP-06</x:v>
      </x:c>
      <x:c r="D91" s="41" t="n">
        <x:v>75</x:v>
      </x:c>
      <x:c r="E91" s="35" t="str">
        <x:v>USD b</x:v>
      </x:c>
      <x:c r="F91" s="35" t="str">
        <x:v>INHERITED</x:v>
      </x:c>
      <x:c r="G91" s="35"/>
      <x:c r="H91" s="35"/>
      <x:c r="I91" s="35"/>
      <x:c r="J91" s="35"/>
      <x:c r="K91" s="35"/>
      <x:c r="L91" s="35"/>
    </x:row>
    <x:row r="92" ht="15" hidden="0" customHeight="1">
      <x:c r="B92" s="35" t="str">
        <x:v>Program</x:v>
      </x:c>
      <x:c r="C92" s="35" t="str">
        <x:v>Campaign island articles</x:v>
      </x:c>
      <x:c r="D92" s="41" t="n">
        <x:v>8</x:v>
      </x:c>
      <x:c r="E92" s="35" t="str">
        <x:v>top-level articles</x:v>
      </x:c>
      <x:c r="F92" s="35" t="str">
        <x:v>INHERITED</x:v>
      </x:c>
      <x:c r="G92" s="35"/>
      <x:c r="H92" s="35"/>
      <x:c r="I92" s="35"/>
      <x:c r="J92" s="35"/>
      <x:c r="K92" s="35"/>
      <x:c r="L92" s="35"/>
    </x:row>
    <x:row r="93" ht="15" hidden="0" customHeight="1">
      <x:c r="B93" s="35" t="str">
        <x:v>Program</x:v>
      </x:c>
      <x:c r="C93" s="35" t="str">
        <x:v>Campaign duration</x:v>
      </x:c>
      <x:c r="D93" s="41" t="n">
        <x:v>66</x:v>
      </x:c>
      <x:c r="E93" s="35" t="str">
        <x:v>months</x:v>
      </x:c>
      <x:c r="F93" s="35" t="str">
        <x:v>ALLOCATED</x:v>
      </x:c>
      <x:c r="G93" s="35"/>
      <x:c r="H93" s="35"/>
      <x:c r="I93" s="35"/>
      <x:c r="J93" s="35"/>
      <x:c r="K93" s="35"/>
      <x:c r="L93" s="35"/>
    </x:row>
    <x:row r="94" ht="15" hidden="0" customHeight="1">
      <x:c r="B94" s="35" t="str">
        <x:v>Program</x:v>
      </x:c>
      <x:c r="C94" s="35" t="str">
        <x:v>Peak RCA workforce</x:v>
      </x:c>
      <x:c r="D94" s="41" t="n">
        <x:v>8400</x:v>
      </x:c>
      <x:c r="E94" s="35" t="str">
        <x:v>positions</x:v>
      </x:c>
      <x:c r="F94" s="35" t="str">
        <x:v>ASSUMPTION</x:v>
      </x:c>
      <x:c r="G94" s="35"/>
      <x:c r="H94" s="35"/>
      <x:c r="I94" s="35"/>
      <x:c r="J94" s="35"/>
      <x:c r="K94" s="35"/>
      <x:c r="L94" s="35"/>
    </x:row>
    <x:row r="95" ht="15" hidden="0" customHeight="1">
      <x:c r="B95" s="35" t="str">
        <x:v>Admissions</x:v>
      </x:c>
      <x:c r="C95" s="35" t="str">
        <x:v>Admitted force credit</x:v>
      </x:c>
      <x:c r="D95" s="41" t="n">
        <x:v>0</x:v>
      </x:c>
      <x:c r="E95" s="35" t="str">
        <x:v>all units</x:v>
      </x:c>
      <x:c r="F95" s="35" t="str">
        <x:v>BOUNDARY</x:v>
      </x:c>
      <x:c r="G95" s="35"/>
      <x:c r="H95" s="35"/>
      <x:c r="I95" s="35"/>
      <x:c r="J95" s="35"/>
      <x:c r="K95" s="35"/>
      <x:c r="L95" s="35"/>
    </x:row>
  </x:sheetData>
  <x:mergeCells>
    <x:mergeCell ref="B2:L2"/>
    <x:mergeCell ref="B3:L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28" hidden="0" customWidth="1"/>
    <x:col min="4" max="4" width="15" hidden="0" customWidth="1"/>
    <x:col min="5" max="5" width="15" hidden="0" customWidth="1"/>
    <x:col min="6" max="6" width="15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" max="1" width="3" hidden="0" customWidth="1"/>
  </x:cols>
  <x:sheetData>
    <x:row r="2" ht="15" hidden="0" customHeight="1">
      <x:c r="B2" s="34" t="str">
        <x:v>CSI-25 care-cell constitution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Twenty-eight care cells install exactly 240 unlike care positions. A cell is a service and fault boundary, not a room-count abstraction.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Cell family</x:v>
      </x:c>
      <x:c r="C6" s="31" t="str">
        <x:v>Care line</x:v>
      </x:c>
      <x:c r="D6" s="31" t="str">
        <x:v>Count</x:v>
      </x:c>
      <x:c r="E6" s="31" t="str">
        <x:v>Positions / cell</x:v>
      </x:c>
      <x:c r="F6" s="31" t="str">
        <x:v>Installed positions</x:v>
      </x:c>
      <x:c r="G6" s="31" t="str">
        <x:v>Area / cell m2</x:v>
      </x:c>
      <x:c r="H6" s="31" t="str">
        <x:v>Total area m2</x:v>
      </x:c>
      <x:c r="I6" s="31" t="str">
        <x:v>Mass / cell t</x:v>
      </x:c>
      <x:c r="J6" s="31" t="str">
        <x:v>Total mass t</x:v>
      </x:c>
      <x:c r="K6" s="31" t="str">
        <x:v>Capital / cell USD m</x:v>
      </x:c>
      <x:c r="L6" s="31" t="str">
        <x:v>Total capital USD m</x:v>
      </x:c>
    </x:row>
    <x:row r="7" ht="15" hidden="0" customHeight="1">
      <x:c r="B7" s="35" t="str">
        <x:v>PCC-19</x:v>
      </x:c>
      <x:c r="C7" s="35" t="str">
        <x:v>Community continuity</x:v>
      </x:c>
      <x:c r="D7" s="35" t="n">
        <x:v>1</x:v>
      </x:c>
      <x:c r="E7" s="35" t="n">
        <x:v>19</x:v>
      </x:c>
      <x:c r="F7" s="35" t="n">
        <x:f>D7*E7</x:f>
        <x:v>19</x:v>
      </x:c>
      <x:c r="G7" s="35" t="n">
        <x:v>700</x:v>
      </x:c>
      <x:c r="H7" s="35" t="n">
        <x:f>D7*G7</x:f>
        <x:v>700</x:v>
      </x:c>
      <x:c r="I7" s="35" t="n">
        <x:v>50</x:v>
      </x:c>
      <x:c r="J7" s="35" t="n">
        <x:f>D7*I7</x:f>
        <x:v>50</x:v>
      </x:c>
      <x:c r="K7" s="35" t="n">
        <x:v>45</x:v>
      </x:c>
      <x:c r="L7" s="35" t="n">
        <x:f>D7*K7</x:f>
        <x:v>45</x:v>
      </x:c>
    </x:row>
    <x:row r="8" ht="15" hidden="0" customHeight="1">
      <x:c r="B8" s="35" t="str">
        <x:v>ERC-6</x:v>
      </x:c>
      <x:c r="C8" s="35" t="str">
        <x:v>Emergency / resuscitation</x:v>
      </x:c>
      <x:c r="D8" s="35" t="n">
        <x:v>2</x:v>
      </x:c>
      <x:c r="E8" s="35" t="n">
        <x:v>6</x:v>
      </x:c>
      <x:c r="F8" s="35" t="n">
        <x:f>D8*E8</x:f>
        <x:v>12</x:v>
      </x:c>
      <x:c r="G8" s="35" t="n">
        <x:v>420</x:v>
      </x:c>
      <x:c r="H8" s="35" t="n">
        <x:f>D8*G8</x:f>
        <x:v>840</x:v>
      </x:c>
      <x:c r="I8" s="35" t="n">
        <x:v>60</x:v>
      </x:c>
      <x:c r="J8" s="35" t="n">
        <x:f>D8*I8</x:f>
        <x:v>120</x:v>
      </x:c>
      <x:c r="K8" s="35" t="n">
        <x:v>90</x:v>
      </x:c>
      <x:c r="L8" s="35" t="n">
        <x:f>D8*K8</x:f>
        <x:v>180</x:v>
      </x:c>
    </x:row>
    <x:row r="9" ht="15" hidden="0" customHeight="1">
      <x:c r="B9" s="35" t="str">
        <x:v>OBC-7</x:v>
      </x:c>
      <x:c r="C9" s="35" t="str">
        <x:v>Observation</x:v>
      </x:c>
      <x:c r="D9" s="35" t="n">
        <x:v>3</x:v>
      </x:c>
      <x:c r="E9" s="35" t="n">
        <x:v>7</x:v>
      </x:c>
      <x:c r="F9" s="35" t="n">
        <x:f>D9*E9</x:f>
        <x:v>21</x:v>
      </x:c>
      <x:c r="G9" s="35" t="n">
        <x:v>320</x:v>
      </x:c>
      <x:c r="H9" s="35" t="n">
        <x:f>D9*G9</x:f>
        <x:v>960</x:v>
      </x:c>
      <x:c r="I9" s="35" t="n">
        <x:v>38</x:v>
      </x:c>
      <x:c r="J9" s="35" t="n">
        <x:f>D9*I9</x:f>
        <x:v>114</x:v>
      </x:c>
      <x:c r="K9" s="35" t="n">
        <x:v>30</x:v>
      </x:c>
      <x:c r="L9" s="35" t="n">
        <x:f>D9*K9</x:f>
        <x:v>90</x:v>
      </x:c>
    </x:row>
    <x:row r="10" ht="15" hidden="0" customHeight="1">
      <x:c r="B10" s="35" t="str">
        <x:v>WDC-27</x:v>
      </x:c>
      <x:c r="C10" s="35" t="str">
        <x:v>Ward</x:v>
      </x:c>
      <x:c r="D10" s="35" t="n">
        <x:v>2</x:v>
      </x:c>
      <x:c r="E10" s="35" t="n">
        <x:v>27</x:v>
      </x:c>
      <x:c r="F10" s="35" t="n">
        <x:f>D10*E10</x:f>
        <x:v>54</x:v>
      </x:c>
      <x:c r="G10" s="35" t="n">
        <x:v>1100</x:v>
      </x:c>
      <x:c r="H10" s="35" t="n">
        <x:f>D10*G10</x:f>
        <x:v>2200</x:v>
      </x:c>
      <x:c r="I10" s="35" t="n">
        <x:v>86</x:v>
      </x:c>
      <x:c r="J10" s="35" t="n">
        <x:f>D10*I10</x:f>
        <x:v>172</x:v>
      </x:c>
      <x:c r="K10" s="35" t="n">
        <x:v>72</x:v>
      </x:c>
      <x:c r="L10" s="35" t="n">
        <x:f>D10*K10</x:f>
        <x:v>144</x:v>
      </x:c>
    </x:row>
    <x:row r="11" ht="15" hidden="0" customHeight="1">
      <x:c r="B11" s="35" t="str">
        <x:v>WDC-26</x:v>
      </x:c>
      <x:c r="C11" s="35" t="str">
        <x:v>Ward</x:v>
      </x:c>
      <x:c r="D11" s="35" t="n">
        <x:v>2</x:v>
      </x:c>
      <x:c r="E11" s="35" t="n">
        <x:v>26</x:v>
      </x:c>
      <x:c r="F11" s="35" t="n">
        <x:f>D11*E11</x:f>
        <x:v>52</x:v>
      </x:c>
      <x:c r="G11" s="35" t="n">
        <x:v>1040</x:v>
      </x:c>
      <x:c r="H11" s="35" t="n">
        <x:f>D11*G11</x:f>
        <x:v>2080</x:v>
      </x:c>
      <x:c r="I11" s="35" t="n">
        <x:v>83</x:v>
      </x:c>
      <x:c r="J11" s="35" t="n">
        <x:f>D11*I11</x:f>
        <x:v>166</x:v>
      </x:c>
      <x:c r="K11" s="35" t="n">
        <x:v>70</x:v>
      </x:c>
      <x:c r="L11" s="35" t="n">
        <x:f>D11*K11</x:f>
        <x:v>140</x:v>
      </x:c>
    </x:row>
    <x:row r="12" ht="15" hidden="0" customHeight="1">
      <x:c r="B12" s="35" t="str">
        <x:v>ICC-7</x:v>
      </x:c>
      <x:c r="C12" s="35" t="str">
        <x:v>Critical care</x:v>
      </x:c>
      <x:c r="D12" s="35" t="n">
        <x:v>5</x:v>
      </x:c>
      <x:c r="E12" s="35" t="n">
        <x:v>7</x:v>
      </x:c>
      <x:c r="F12" s="35" t="n">
        <x:f>D12*E12</x:f>
        <x:v>35</x:v>
      </x:c>
      <x:c r="G12" s="35" t="n">
        <x:v>400</x:v>
      </x:c>
      <x:c r="H12" s="35" t="n">
        <x:f>D12*G12</x:f>
        <x:v>2000</x:v>
      </x:c>
      <x:c r="I12" s="35" t="n">
        <x:v>65</x:v>
      </x:c>
      <x:c r="J12" s="35" t="n">
        <x:f>D12*I12</x:f>
        <x:v>325</x:v>
      </x:c>
      <x:c r="K12" s="35" t="n">
        <x:v>110</x:v>
      </x:c>
      <x:c r="L12" s="35" t="n">
        <x:f>D12*K12</x:f>
        <x:v>550</x:v>
      </x:c>
    </x:row>
    <x:row r="13" ht="15" hidden="0" customHeight="1">
      <x:c r="B13" s="35" t="str">
        <x:v>PSC-1</x:v>
      </x:c>
      <x:c r="C13" s="35" t="str">
        <x:v>Procedural suite</x:v>
      </x:c>
      <x:c r="D13" s="35" t="n">
        <x:v>3</x:v>
      </x:c>
      <x:c r="E13" s="35" t="n">
        <x:v>1</x:v>
      </x:c>
      <x:c r="F13" s="35" t="n">
        <x:f>D13*E13</x:f>
        <x:v>3</x:v>
      </x:c>
      <x:c r="G13" s="35" t="n">
        <x:v>300</x:v>
      </x:c>
      <x:c r="H13" s="35" t="n">
        <x:f>D13*G13</x:f>
        <x:v>900</x:v>
      </x:c>
      <x:c r="I13" s="35" t="n">
        <x:v>55</x:v>
      </x:c>
      <x:c r="J13" s="35" t="n">
        <x:f>D13*I13</x:f>
        <x:v>165</x:v>
      </x:c>
      <x:c r="K13" s="35" t="n">
        <x:v>100</x:v>
      </x:c>
      <x:c r="L13" s="35" t="n">
        <x:f>D13*K13</x:f>
        <x:v>300</x:v>
      </x:c>
    </x:row>
    <x:row r="14" ht="15" hidden="0" customHeight="1">
      <x:c r="B14" s="35" t="str">
        <x:v>MNC-1</x:v>
      </x:c>
      <x:c r="C14" s="35" t="str">
        <x:v>Maternal / neonatal</x:v>
      </x:c>
      <x:c r="D14" s="35" t="n">
        <x:v>1</x:v>
      </x:c>
      <x:c r="E14" s="35" t="n">
        <x:v>1</x:v>
      </x:c>
      <x:c r="F14" s="35" t="n">
        <x:f>D14*E14</x:f>
        <x:v>1</x:v>
      </x:c>
      <x:c r="G14" s="35" t="n">
        <x:v>350</x:v>
      </x:c>
      <x:c r="H14" s="35" t="n">
        <x:f>D14*G14</x:f>
        <x:v>350</x:v>
      </x:c>
      <x:c r="I14" s="35" t="n">
        <x:v>55</x:v>
      </x:c>
      <x:c r="J14" s="35" t="n">
        <x:f>D14*I14</x:f>
        <x:v>55</x:v>
      </x:c>
      <x:c r="K14" s="35" t="n">
        <x:v>85</x:v>
      </x:c>
      <x:c r="L14" s="35" t="n">
        <x:f>D14*K14</x:f>
        <x:v>85</x:v>
      </x:c>
    </x:row>
    <x:row r="15" ht="15" hidden="0" customHeight="1">
      <x:c r="B15" s="35" t="str">
        <x:v>DXC-1</x:v>
      </x:c>
      <x:c r="C15" s="35" t="str">
        <x:v>Dialysis</x:v>
      </x:c>
      <x:c r="D15" s="35" t="n">
        <x:v>3</x:v>
      </x:c>
      <x:c r="E15" s="35" t="n">
        <x:v>1</x:v>
      </x:c>
      <x:c r="F15" s="35" t="n">
        <x:f>D15*E15</x:f>
        <x:v>3</x:v>
      </x:c>
      <x:c r="G15" s="35" t="n">
        <x:v>130</x:v>
      </x:c>
      <x:c r="H15" s="35" t="n">
        <x:f>D15*G15</x:f>
        <x:v>390</x:v>
      </x:c>
      <x:c r="I15" s="35" t="n">
        <x:v>30</x:v>
      </x:c>
      <x:c r="J15" s="35" t="n">
        <x:f>D15*I15</x:f>
        <x:v>90</x:v>
      </x:c>
      <x:c r="K15" s="35" t="n">
        <x:v>25</x:v>
      </x:c>
      <x:c r="L15" s="35" t="n">
        <x:f>D15*K15</x:f>
        <x:v>75</x:v>
      </x:c>
    </x:row>
    <x:row r="16" ht="15" hidden="0" customHeight="1">
      <x:c r="B16" s="35" t="str">
        <x:v>ISC-9</x:v>
      </x:c>
      <x:c r="C16" s="35" t="str">
        <x:v>Isolation</x:v>
      </x:c>
      <x:c r="D16" s="35" t="n">
        <x:v>4</x:v>
      </x:c>
      <x:c r="E16" s="35" t="n">
        <x:v>9</x:v>
      </x:c>
      <x:c r="F16" s="35" t="n">
        <x:f>D16*E16</x:f>
        <x:v>36</x:v>
      </x:c>
      <x:c r="G16" s="35" t="n">
        <x:v>520</x:v>
      </x:c>
      <x:c r="H16" s="35" t="n">
        <x:f>D16*G16</x:f>
        <x:v>2080</x:v>
      </x:c>
      <x:c r="I16" s="35" t="n">
        <x:v>60</x:v>
      </x:c>
      <x:c r="J16" s="35" t="n">
        <x:f>D16*I16</x:f>
        <x:v>240</x:v>
      </x:c>
      <x:c r="K16" s="35" t="n">
        <x:v>70</x:v>
      </x:c>
      <x:c r="L16" s="35" t="n">
        <x:f>D16*K16</x:f>
        <x:v>280</x:v>
      </x:c>
    </x:row>
    <x:row r="17" ht="15" hidden="0" customHeight="1">
      <x:c r="B17" s="35" t="str">
        <x:v>BHC-2</x:v>
      </x:c>
      <x:c r="C17" s="35" t="str">
        <x:v>Behavioral health</x:v>
      </x:c>
      <x:c r="D17" s="35" t="n">
        <x:v>2</x:v>
      </x:c>
      <x:c r="E17" s="35" t="n">
        <x:v>2</x:v>
      </x:c>
      <x:c r="F17" s="35" t="n">
        <x:f>D17*E17</x:f>
        <x:v>4</x:v>
      </x:c>
      <x:c r="G17" s="35" t="n">
        <x:v>160</x:v>
      </x:c>
      <x:c r="H17" s="35" t="n">
        <x:f>D17*G17</x:f>
        <x:v>320</x:v>
      </x:c>
      <x:c r="I17" s="35" t="n">
        <x:v>25</x:v>
      </x:c>
      <x:c r="J17" s="35" t="n">
        <x:f>D17*I17</x:f>
        <x:v>50</x:v>
      </x:c>
      <x:c r="K17" s="35" t="n">
        <x:v>15</x:v>
      </x:c>
      <x:c r="L17" s="35" t="n">
        <x:f>D17*K17</x:f>
        <x:v>30</x:v>
      </x:c>
    </x:row>
    <x:row r="18" ht="15" hidden="0" customHeight="1">
      <x:c r="B18" s="38" t="str">
        <x:v>TOTAL</x:v>
      </x:c>
      <x:c r="C18" s="38" t="str">
        <x:v>Care cells</x:v>
      </x:c>
      <x:c r="D18" s="38" t="n">
        <x:f>SUM(D7:D17)</x:f>
        <x:v>28</x:v>
      </x:c>
      <x:c r="E18" s="38"/>
      <x:c r="F18" s="38" t="n">
        <x:f>SUM(F7:F17)</x:f>
        <x:v>240</x:v>
      </x:c>
      <x:c r="G18" s="38"/>
      <x:c r="H18" s="38" t="n">
        <x:f>SUM(H7:H17)</x:f>
        <x:v>12820</x:v>
      </x:c>
      <x:c r="I18" s="38"/>
      <x:c r="J18" s="38" t="n">
        <x:f>SUM(J7:J17)</x:f>
        <x:v>1547</x:v>
      </x:c>
      <x:c r="K18" s="38"/>
      <x:c r="L18" s="38" t="n">
        <x:f>SUM(L7:L17)</x:f>
        <x:v>1919</x:v>
      </x:c>
    </x:row>
    <x:row r="19" ht="15" hidden="0" customHeight="1"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</x:row>
    <x:row r="20" ht="15" hidden="0" customHeight="1"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</x:row>
    <x:row r="21" ht="15" hidden="0" customHeight="1">
      <x:c r="B21" s="36" t="str">
        <x:v>Care-cell rules</x:v>
      </x:c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 ht="15" hidden="0" customHeight="1">
      <x:c r="B22" s="35" t="str">
        <x:v>Isolation</x:v>
      </x:c>
      <x:c r="C22" s="35" t="str">
        <x:v>Any cell may be removed from clinical service without exporting air, wastewater, instruments, linens, waste, records or people into another custody domain.</x:v>
      </x:c>
      <x:c r="D22" s="35"/>
      <x:c r="E22" s="35"/>
      <x:c r="F22" s="35"/>
      <x:c r="G22" s="35"/>
      <x:c r="H22" s="35"/>
      <x:c r="I22" s="35"/>
      <x:c r="J22" s="35"/>
      <x:c r="K22" s="35"/>
      <x:c r="L22" s="35"/>
    </x:row>
    <x:row r="23" ht="15" hidden="0" customHeight="1">
      <x:c r="B23" s="35" t="str">
        <x:v>Clinical continuity</x:v>
      </x:c>
      <x:c r="C23" s="35" t="str">
        <x:v>Cell loss does not disappear demand. The ready fifth island accepts the affected care line or the whole island is exchanged.</x:v>
      </x:c>
      <x:c r="D23" s="35"/>
      <x:c r="E23" s="35"/>
      <x:c r="F23" s="35"/>
      <x:c r="G23" s="35"/>
      <x:c r="H23" s="35"/>
      <x:c r="I23" s="35"/>
      <x:c r="J23" s="35"/>
      <x:c r="K23" s="35"/>
      <x:c r="L23" s="35"/>
    </x:row>
    <x:row r="24" ht="24" hidden="0" customHeight="1">
      <x:c r="B24" s="35" t="str">
        <x:v>False interchangeability</x:v>
      </x:c>
      <x:c r="C24" s="35" t="str">
        <x:v>Ward, critical, isolation, dialysis, maternity and procedural positions are not mutually substitutable merely because their floor areas fit.</x:v>
      </x:c>
      <x:c r="D24" s="35"/>
      <x:c r="E24" s="35"/>
      <x:c r="F24" s="35"/>
      <x:c r="G24" s="35"/>
      <x:c r="H24" s="35"/>
      <x:c r="I24" s="35"/>
      <x:c r="J24" s="35"/>
      <x:c r="K24" s="35"/>
      <x:c r="L24" s="35"/>
    </x:row>
    <x:row r="25" ht="15" hidden="0" customHeight="1">
      <x:c r="B25" s="35" t="str">
        <x:v>Evidence boundary</x:v>
      </x:c>
      <x:c r="C25" s="35" t="str">
        <x:v>Counts, dimensions, masses and prices are planning hypotheses. No cell has completed representative clinical use.</x:v>
      </x:c>
      <x:c r="D25" s="35"/>
      <x:c r="E25" s="35"/>
      <x:c r="F25" s="35"/>
      <x:c r="G25" s="35"/>
      <x:c r="H25" s="35"/>
      <x:c r="I25" s="35"/>
      <x:c r="J25" s="35"/>
      <x:c r="K25" s="35"/>
      <x:c r="L25" s="35"/>
    </x:row>
  </x:sheetData>
  <x:mergeCells>
    <x:mergeCell ref="B2:L2"/>
    <x:mergeCell ref="B3:L3"/>
    <x:mergeCell ref="B21:L21"/>
    <x:mergeCell ref="C22:L22"/>
    <x:mergeCell ref="C23:L23"/>
    <x:mergeCell ref="C24:L24"/>
    <x:mergeCell ref="C25:L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" max="1" width="3" hidden="0" customWidth="1"/>
  </x:cols>
  <x:sheetData>
    <x:row r="2" ht="15" hidden="0" customHeight="1">
      <x:c r="B2" s="34" t="str">
        <x:v>Patient-flow and portal closure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5"/>
      <x:c r="N2" s="35"/>
    </x:row>
    <x:row r="3" ht="15" hidden="0" customHeight="1">
      <x:c r="B3" s="28" t="str">
        <x:v>The island requires 57 transient process positions in addition to 240 care positions. Arrival, transfer and supported release are capacity objects.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35"/>
      <x:c r="N3" s="35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</x:row>
    <x:row r="6" ht="24" hidden="0" customHeight="1">
      <x:c r="B6" s="31" t="str">
        <x:v>Flow</x:v>
      </x:c>
      <x:c r="C6" s="31" t="str">
        <x:v>Demand/day</x:v>
      </x:c>
      <x:c r="D6" s="31" t="str">
        <x:v>Peak factor</x:v>
      </x:c>
      <x:c r="E6" s="31" t="str">
        <x:v>Window h</x:v>
      </x:c>
      <x:c r="F6" s="31" t="str">
        <x:v>Transaction h</x:v>
      </x:c>
      <x:c r="G6" s="31" t="str">
        <x:v>Utilization</x:v>
      </x:c>
      <x:c r="H6" s="31" t="str">
        <x:v>Required positions</x:v>
      </x:c>
      <x:c r="I6" s="31" t="str">
        <x:v>Positions/module</x:v>
      </x:c>
      <x:c r="J6" s="31" t="str">
        <x:v>Required modules</x:v>
      </x:c>
      <x:c r="K6" s="31" t="str">
        <x:v>Installed modules</x:v>
      </x:c>
      <x:c r="L6" s="31" t="str">
        <x:v>Installed positions</x:v>
      </x:c>
      <x:c r="M6" s="31" t="str">
        <x:v>After module loss</x:v>
      </x:c>
      <x:c r="N6" s="35" t="str">
        <x:v>Margin after loss</x:v>
      </x:c>
    </x:row>
    <x:row r="7" ht="15" hidden="0" customHeight="1">
      <x:c r="B7" s="35" t="str">
        <x:v>Public continuity portal</x:v>
      </x:c>
      <x:c r="C7" s="35" t="n">
        <x:f>'01 Controls'!$D$11</x:f>
        <x:v>998.875</x:v>
      </x:c>
      <x:c r="D7" s="35" t="n">
        <x:f>'01 Controls'!$D$13</x:f>
        <x:v>2</x:v>
      </x:c>
      <x:c r="E7" s="35" t="n">
        <x:f>'01 Controls'!$D$15</x:f>
        <x:v>18</x:v>
      </x:c>
      <x:c r="F7" s="35" t="n">
        <x:f>'01 Controls'!$D$17</x:f>
        <x:v>0.175</x:v>
      </x:c>
      <x:c r="G7" s="35" t="n">
        <x:f>'01 Controls'!$D$19</x:f>
        <x:v>0.8</x:v>
      </x:c>
      <x:c r="H7" s="35" t="n">
        <x:f>ROUNDUP(C7*D7*F7/(E7*G7),0)</x:f>
        <x:v>25</x:v>
      </x:c>
      <x:c r="I7" s="35" t="n">
        <x:f>'01 Controls'!$D$20</x:f>
        <x:v>7</x:v>
      </x:c>
      <x:c r="J7" s="35" t="n">
        <x:f>ROUNDUP(H7/I7,0)+1</x:f>
        <x:v>5</x:v>
      </x:c>
      <x:c r="K7" s="35" t="n">
        <x:v>5</x:v>
      </x:c>
      <x:c r="L7" s="35" t="n">
        <x:f>I7*K7</x:f>
        <x:v>35</x:v>
      </x:c>
      <x:c r="M7" s="35" t="n">
        <x:f>(K7-1)*I7</x:f>
        <x:v>28</x:v>
      </x:c>
      <x:c r="N7" s="35" t="n">
        <x:f>M7-H7</x:f>
        <x:v>3</x:v>
      </x:c>
    </x:row>
    <x:row r="8" ht="15" hidden="0" customHeight="1">
      <x:c r="B8" s="35" t="str">
        <x:v>Acute portal</x:v>
      </x:c>
      <x:c r="C8" s="35" t="n">
        <x:f>'01 Controls'!$D$12</x:f>
        <x:v>111.875</x:v>
      </x:c>
      <x:c r="D8" s="35" t="n">
        <x:f>'01 Controls'!$D$14</x:f>
        <x:v>2</x:v>
      </x:c>
      <x:c r="E8" s="35" t="n">
        <x:f>'01 Controls'!$D$16</x:f>
        <x:v>24</x:v>
      </x:c>
      <x:c r="F8" s="35" t="n">
        <x:f>'01 Controls'!$D$18</x:f>
        <x:v>0.25</x:v>
      </x:c>
      <x:c r="G8" s="35" t="n">
        <x:v>0.75</x:v>
      </x:c>
      <x:c r="H8" s="35" t="n">
        <x:f>ROUNDUP(C8*D8*F8/(E8*G8),0)</x:f>
        <x:v>4</x:v>
      </x:c>
      <x:c r="I8" s="35" t="n">
        <x:f>'01 Controls'!$D$21</x:f>
        <x:v>4</x:v>
      </x:c>
      <x:c r="J8" s="35" t="n">
        <x:f>ROUNDUP(H8/I8,0)+1</x:f>
        <x:v>2</x:v>
      </x:c>
      <x:c r="K8" s="35" t="n">
        <x:v>2</x:v>
      </x:c>
      <x:c r="L8" s="35" t="n">
        <x:f>I8*K8</x:f>
        <x:v>8</x:v>
      </x:c>
      <x:c r="M8" s="35" t="n">
        <x:f>(K8-1)*I8</x:f>
        <x:v>4</x:v>
      </x:c>
      <x:c r="N8" s="35" t="n">
        <x:f>L8-H8</x:f>
        <x:v>4</x:v>
      </x:c>
    </x:row>
    <x:row r="9" ht="15" hidden="0" customHeight="1">
      <x:c r="B9" s="35" t="str">
        <x:v>Accepted transfer stage</x:v>
      </x:c>
      <x:c r="C9" s="35" t="n">
        <x:f>'01 Controls'!$D$22</x:f>
        <x:v>12.981875</x:v>
      </x:c>
      <x:c r="D9" s="35" t="n">
        <x:v>1</x:v>
      </x:c>
      <x:c r="E9" s="35" t="n">
        <x:f>'01 Controls'!$D$24</x:f>
        <x:v>24</x:v>
      </x:c>
      <x:c r="F9" s="35" t="n">
        <x:f>'01 Controls'!$D$23</x:f>
        <x:v>1</x:v>
      </x:c>
      <x:c r="G9" s="35" t="n">
        <x:f>'01 Controls'!$D$25</x:f>
        <x:v>0.75</x:v>
      </x:c>
      <x:c r="H9" s="35" t="n">
        <x:f>ROUNDUP(C9*F9/(E9*G9),0)</x:f>
        <x:v>1</x:v>
      </x:c>
      <x:c r="I9" s="35" t="n">
        <x:v>1</x:v>
      </x:c>
      <x:c r="J9" s="35" t="n">
        <x:f>ROUNDUP(H9/I9,0)+1</x:f>
        <x:v>2</x:v>
      </x:c>
      <x:c r="K9" s="35" t="n">
        <x:v>2</x:v>
      </x:c>
      <x:c r="L9" s="35" t="n">
        <x:f>I9*K9</x:f>
        <x:v>2</x:v>
      </x:c>
      <x:c r="M9" s="35" t="n">
        <x:f>(K9-1)*I9</x:f>
        <x:v>1</x:v>
      </x:c>
      <x:c r="N9" s="35" t="n">
        <x:f>L9-H9</x:f>
        <x:v>1</x:v>
      </x:c>
    </x:row>
    <x:row r="10" ht="15" hidden="0" customHeight="1">
      <x:c r="B10" s="35" t="str">
        <x:v>Supported release stage</x:v>
      </x:c>
      <x:c r="C10" s="35" t="n">
        <x:f>'01 Controls'!$D$26</x:f>
        <x:v>132.2925</x:v>
      </x:c>
      <x:c r="D10" s="35" t="n">
        <x:v>1</x:v>
      </x:c>
      <x:c r="E10" s="35" t="n">
        <x:f>'01 Controls'!$D$28</x:f>
        <x:v>16</x:v>
      </x:c>
      <x:c r="F10" s="35" t="n">
        <x:f>'01 Controls'!$D$27</x:f>
        <x:v>0.5</x:v>
      </x:c>
      <x:c r="G10" s="35" t="n">
        <x:f>'01 Controls'!$D$29</x:f>
        <x:v>0.8</x:v>
      </x:c>
      <x:c r="H10" s="35" t="n">
        <x:f>ROUNDUP(C10*F10/(E10*G10),0)</x:f>
        <x:v>6</x:v>
      </x:c>
      <x:c r="I10" s="35" t="n">
        <x:v>6</x:v>
      </x:c>
      <x:c r="J10" s="35" t="n">
        <x:f>ROUNDUP(H10/I10,0)+1</x:f>
        <x:v>2</x:v>
      </x:c>
      <x:c r="K10" s="35" t="n">
        <x:v>2</x:v>
      </x:c>
      <x:c r="L10" s="35" t="n">
        <x:f>I10*K10</x:f>
        <x:v>12</x:v>
      </x:c>
      <x:c r="M10" s="35" t="n">
        <x:f>(K10-1)*I10</x:f>
        <x:v>6</x:v>
      </x:c>
      <x:c r="N10" s="35" t="n">
        <x:f>L10-H10</x:f>
        <x:v>6</x:v>
      </x:c>
    </x:row>
    <x:row r="11" ht="15" hidden="0" customHeight="1">
      <x:c r="B11" s="38" t="str">
        <x:v>TOTAL</x:v>
      </x:c>
      <x:c r="C11" s="38" t="str"/>
      <x:c r="D11" s="38" t="str"/>
      <x:c r="E11" s="38" t="str"/>
      <x:c r="F11" s="38" t="str"/>
      <x:c r="G11" s="38" t="str"/>
      <x:c r="H11" s="38" t="n">
        <x:f>SUM(H7:H10)</x:f>
        <x:v>36</x:v>
      </x:c>
      <x:c r="I11" s="38"/>
      <x:c r="J11" s="38"/>
      <x:c r="K11" s="38" t="n">
        <x:f>SUM(K7:K10)</x:f>
        <x:v>11</x:v>
      </x:c>
      <x:c r="L11" s="38" t="n">
        <x:f>SUM(L7:L10)</x:f>
        <x:v>57</x:v>
      </x:c>
      <x:c r="M11" s="38"/>
      <x:c r="N11" s="38"/>
    </x:row>
    <x:row r="12" ht="15" hidden="0" customHeight="1"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</x:row>
    <x:row r="13" ht="15" hidden="0" customHeight="1"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</x:row>
    <x:row r="14" ht="15" hidden="0" customHeight="1">
      <x:c r="B14" s="36" t="str">
        <x:v>Custody sequence</x:v>
      </x:c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5"/>
    </x:row>
    <x:row r="15" ht="15" hidden="0" customHeight="1">
      <x:c r="B15" s="35" t="str">
        <x:v>1</x:v>
      </x:c>
      <x:c r="C15" s="35" t="str">
        <x:v>Public / acute arrival → identity, consent, infection screen and acuity state.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</x:row>
    <x:row r="16" ht="15" hidden="0" customHeight="1">
      <x:c r="B16" s="35" t="str">
        <x:v>2</x:v>
      </x:c>
      <x:c r="C16" s="35" t="str">
        <x:v>Portal → correct care cell; no uncontrolled shortcut through clean logistics.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 ht="15" hidden="0" customHeight="1">
      <x:c r="B17" s="35" t="str">
        <x:v>3</x:v>
      </x:c>
      <x:c r="C17" s="35" t="str">
        <x:v>Care cell → diagnostics, procedure or higher acuity by controlled patient corridor.</x:v>
      </x:c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</x:row>
    <x:row r="18" ht="15" hidden="0" customHeight="1">
      <x:c r="B18" s="35" t="str">
        <x:v>4</x:v>
      </x:c>
      <x:c r="C18" s="35" t="str">
        <x:v>Contaminated care → dedicated transfer lock; staff and instruments exit by separate transitions.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</x:row>
    <x:row r="19" ht="15" hidden="0" customHeight="1">
      <x:c r="B19" s="35" t="str">
        <x:v>5</x:v>
      </x:c>
      <x:c r="C19" s="35" t="str">
        <x:v>Release occurs only to an accepted receiver or a supported destination with medicines, power, water and follow-up.</x:v>
      </x:c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</x:row>
    <x:row r="20" ht="15" hidden="0" customHeight="1">
      <x:c r="B20" s="35" t="str">
        <x:v>6</x:v>
      </x:c>
      <x:c r="C20" s="35" t="str">
        <x:v>Every handoff binds identity, record, medications, devices, caregiver, destination and adverse state.</x:v>
      </x:c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</x:row>
  </x:sheetData>
  <x:mergeCells>
    <x:mergeCell ref="B2:L2"/>
    <x:mergeCell ref="B3:L3"/>
    <x:mergeCell ref="B14:M14"/>
    <x:mergeCell ref="C15:M15"/>
    <x:mergeCell ref="C16:M16"/>
    <x:mergeCell ref="C17:M17"/>
    <x:mergeCell ref="C18:M18"/>
    <x:mergeCell ref="C19:M19"/>
    <x:mergeCell ref="C20:M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" max="1" width="3" hidden="0" customWidth="1"/>
  </x:cols>
  <x:sheetData>
    <x:row r="2" ht="15" hidden="0" customHeight="1">
      <x:c r="B2" s="34" t="str">
        <x:v>Spatial program and site envelope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The island is a separated care campus: an inner clean service loop, controlled care band and outer contaminated return loop.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24" hidden="0" customHeight="1">
      <x:c r="B6" s="31" t="str">
        <x:v>Program family</x:v>
      </x:c>
      <x:c r="C6" s="31" t="str">
        <x:v>Domain</x:v>
      </x:c>
      <x:c r="D6" s="31" t="str">
        <x:v>Count</x:v>
      </x:c>
      <x:c r="E6" s="31" t="str">
        <x:v>Positions</x:v>
      </x:c>
      <x:c r="F6" s="31" t="str">
        <x:v>Area / article m2</x:v>
      </x:c>
      <x:c r="G6" s="31" t="str">
        <x:v>Total area m2</x:v>
      </x:c>
      <x:c r="H6" s="31" t="str">
        <x:v>Mass / article t</x:v>
      </x:c>
      <x:c r="I6" s="31" t="str">
        <x:v>Total mass t</x:v>
      </x:c>
      <x:c r="J6" s="31" t="str">
        <x:v>Capital / article USD m</x:v>
      </x:c>
      <x:c r="K6" s="31" t="str">
        <x:v>Total capital USD m</x:v>
      </x:c>
      <x:c r="L6" s="35"/>
    </x:row>
    <x:row r="7" ht="15" hidden="0" customHeight="1">
      <x:c r="B7" s="35" t="str">
        <x:v>PCC-19</x:v>
      </x:c>
      <x:c r="C7" s="35" t="str">
        <x:v>Controlled</x:v>
      </x:c>
      <x:c r="D7" s="35" t="n">
        <x:v>1</x:v>
      </x:c>
      <x:c r="E7" s="35" t="n">
        <x:v>19</x:v>
      </x:c>
      <x:c r="F7" s="35" t="n">
        <x:v>700</x:v>
      </x:c>
      <x:c r="G7" s="35" t="n">
        <x:v>700</x:v>
      </x:c>
      <x:c r="H7" s="35" t="n">
        <x:v>50</x:v>
      </x:c>
      <x:c r="I7" s="35" t="n">
        <x:v>50</x:v>
      </x:c>
      <x:c r="J7" s="35" t="n">
        <x:v>45</x:v>
      </x:c>
      <x:c r="K7" s="35" t="n">
        <x:v>45</x:v>
      </x:c>
      <x:c r="L7" s="35"/>
    </x:row>
    <x:row r="8" ht="15" hidden="0" customHeight="1">
      <x:c r="B8" s="35" t="str">
        <x:v>ERC-6</x:v>
      </x:c>
      <x:c r="C8" s="35" t="str">
        <x:v>Controlled</x:v>
      </x:c>
      <x:c r="D8" s="35" t="n">
        <x:v>2</x:v>
      </x:c>
      <x:c r="E8" s="35" t="n">
        <x:v>12</x:v>
      </x:c>
      <x:c r="F8" s="35" t="n">
        <x:v>420</x:v>
      </x:c>
      <x:c r="G8" s="35" t="n">
        <x:v>840</x:v>
      </x:c>
      <x:c r="H8" s="35" t="n">
        <x:v>60</x:v>
      </x:c>
      <x:c r="I8" s="35" t="n">
        <x:v>120</x:v>
      </x:c>
      <x:c r="J8" s="35" t="n">
        <x:v>90</x:v>
      </x:c>
      <x:c r="K8" s="35" t="n">
        <x:v>180</x:v>
      </x:c>
      <x:c r="L8" s="35"/>
    </x:row>
    <x:row r="9" ht="15" hidden="0" customHeight="1">
      <x:c r="B9" s="35" t="str">
        <x:v>OBC-7</x:v>
      </x:c>
      <x:c r="C9" s="35" t="str">
        <x:v>Controlled</x:v>
      </x:c>
      <x:c r="D9" s="35" t="n">
        <x:v>3</x:v>
      </x:c>
      <x:c r="E9" s="35" t="n">
        <x:v>21</x:v>
      </x:c>
      <x:c r="F9" s="35" t="n">
        <x:v>320</x:v>
      </x:c>
      <x:c r="G9" s="35" t="n">
        <x:v>960</x:v>
      </x:c>
      <x:c r="H9" s="35" t="n">
        <x:v>38</x:v>
      </x:c>
      <x:c r="I9" s="35" t="n">
        <x:v>114</x:v>
      </x:c>
      <x:c r="J9" s="35" t="n">
        <x:v>30</x:v>
      </x:c>
      <x:c r="K9" s="35" t="n">
        <x:v>90</x:v>
      </x:c>
      <x:c r="L9" s="35"/>
    </x:row>
    <x:row r="10" ht="15" hidden="0" customHeight="1">
      <x:c r="B10" s="35" t="str">
        <x:v>WDC-27</x:v>
      </x:c>
      <x:c r="C10" s="35" t="str">
        <x:v>Controlled</x:v>
      </x:c>
      <x:c r="D10" s="35" t="n">
        <x:v>2</x:v>
      </x:c>
      <x:c r="E10" s="35" t="n">
        <x:v>54</x:v>
      </x:c>
      <x:c r="F10" s="35" t="n">
        <x:v>1100</x:v>
      </x:c>
      <x:c r="G10" s="35" t="n">
        <x:v>2200</x:v>
      </x:c>
      <x:c r="H10" s="35" t="n">
        <x:v>86</x:v>
      </x:c>
      <x:c r="I10" s="35" t="n">
        <x:v>172</x:v>
      </x:c>
      <x:c r="J10" s="35" t="n">
        <x:v>72</x:v>
      </x:c>
      <x:c r="K10" s="35" t="n">
        <x:v>144</x:v>
      </x:c>
      <x:c r="L10" s="35"/>
    </x:row>
    <x:row r="11" ht="15" hidden="0" customHeight="1">
      <x:c r="B11" s="35" t="str">
        <x:v>WDC-26</x:v>
      </x:c>
      <x:c r="C11" s="35" t="str">
        <x:v>Controlled</x:v>
      </x:c>
      <x:c r="D11" s="35" t="n">
        <x:v>2</x:v>
      </x:c>
      <x:c r="E11" s="35" t="n">
        <x:v>52</x:v>
      </x:c>
      <x:c r="F11" s="35" t="n">
        <x:v>1040</x:v>
      </x:c>
      <x:c r="G11" s="35" t="n">
        <x:v>2080</x:v>
      </x:c>
      <x:c r="H11" s="35" t="n">
        <x:v>83</x:v>
      </x:c>
      <x:c r="I11" s="35" t="n">
        <x:v>166</x:v>
      </x:c>
      <x:c r="J11" s="35" t="n">
        <x:v>70</x:v>
      </x:c>
      <x:c r="K11" s="35" t="n">
        <x:v>140</x:v>
      </x:c>
      <x:c r="L11" s="35"/>
    </x:row>
    <x:row r="12" ht="15" hidden="0" customHeight="1">
      <x:c r="B12" s="35" t="str">
        <x:v>ICC-7</x:v>
      </x:c>
      <x:c r="C12" s="35" t="str">
        <x:v>Controlled</x:v>
      </x:c>
      <x:c r="D12" s="35" t="n">
        <x:v>5</x:v>
      </x:c>
      <x:c r="E12" s="35" t="n">
        <x:v>35</x:v>
      </x:c>
      <x:c r="F12" s="35" t="n">
        <x:v>400</x:v>
      </x:c>
      <x:c r="G12" s="35" t="n">
        <x:v>2000</x:v>
      </x:c>
      <x:c r="H12" s="35" t="n">
        <x:v>65</x:v>
      </x:c>
      <x:c r="I12" s="35" t="n">
        <x:v>325</x:v>
      </x:c>
      <x:c r="J12" s="35" t="n">
        <x:v>110</x:v>
      </x:c>
      <x:c r="K12" s="35" t="n">
        <x:v>550</x:v>
      </x:c>
      <x:c r="L12" s="35"/>
    </x:row>
    <x:row r="13" ht="15" hidden="0" customHeight="1">
      <x:c r="B13" s="35" t="str">
        <x:v>PSC-1</x:v>
      </x:c>
      <x:c r="C13" s="35" t="str">
        <x:v>Controlled</x:v>
      </x:c>
      <x:c r="D13" s="35" t="n">
        <x:v>3</x:v>
      </x:c>
      <x:c r="E13" s="35" t="n">
        <x:v>3</x:v>
      </x:c>
      <x:c r="F13" s="35" t="n">
        <x:v>300</x:v>
      </x:c>
      <x:c r="G13" s="35" t="n">
        <x:v>900</x:v>
      </x:c>
      <x:c r="H13" s="35" t="n">
        <x:v>55</x:v>
      </x:c>
      <x:c r="I13" s="35" t="n">
        <x:v>165</x:v>
      </x:c>
      <x:c r="J13" s="35" t="n">
        <x:v>100</x:v>
      </x:c>
      <x:c r="K13" s="35" t="n">
        <x:v>300</x:v>
      </x:c>
      <x:c r="L13" s="35"/>
    </x:row>
    <x:row r="14" ht="15" hidden="0" customHeight="1">
      <x:c r="B14" s="35" t="str">
        <x:v>MNC-1</x:v>
      </x:c>
      <x:c r="C14" s="35" t="str">
        <x:v>Controlled</x:v>
      </x:c>
      <x:c r="D14" s="35" t="n">
        <x:v>1</x:v>
      </x:c>
      <x:c r="E14" s="35" t="n">
        <x:v>1</x:v>
      </x:c>
      <x:c r="F14" s="35" t="n">
        <x:v>350</x:v>
      </x:c>
      <x:c r="G14" s="35" t="n">
        <x:v>350</x:v>
      </x:c>
      <x:c r="H14" s="35" t="n">
        <x:v>55</x:v>
      </x:c>
      <x:c r="I14" s="35" t="n">
        <x:v>55</x:v>
      </x:c>
      <x:c r="J14" s="35" t="n">
        <x:v>85</x:v>
      </x:c>
      <x:c r="K14" s="35" t="n">
        <x:v>85</x:v>
      </x:c>
      <x:c r="L14" s="35"/>
    </x:row>
    <x:row r="15" ht="15" hidden="0" customHeight="1">
      <x:c r="B15" s="35" t="str">
        <x:v>DXC-1</x:v>
      </x:c>
      <x:c r="C15" s="35" t="str">
        <x:v>Controlled</x:v>
      </x:c>
      <x:c r="D15" s="35" t="n">
        <x:v>3</x:v>
      </x:c>
      <x:c r="E15" s="35" t="n">
        <x:v>3</x:v>
      </x:c>
      <x:c r="F15" s="35" t="n">
        <x:v>130</x:v>
      </x:c>
      <x:c r="G15" s="35" t="n">
        <x:v>390</x:v>
      </x:c>
      <x:c r="H15" s="35" t="n">
        <x:v>30</x:v>
      </x:c>
      <x:c r="I15" s="35" t="n">
        <x:v>90</x:v>
      </x:c>
      <x:c r="J15" s="35" t="n">
        <x:v>25</x:v>
      </x:c>
      <x:c r="K15" s="35" t="n">
        <x:v>75</x:v>
      </x:c>
      <x:c r="L15" s="35"/>
    </x:row>
    <x:row r="16" ht="15" hidden="0" customHeight="1">
      <x:c r="B16" s="35" t="str">
        <x:v>ISC-9</x:v>
      </x:c>
      <x:c r="C16" s="35" t="str">
        <x:v>Contaminated</x:v>
      </x:c>
      <x:c r="D16" s="35" t="n">
        <x:v>4</x:v>
      </x:c>
      <x:c r="E16" s="35" t="n">
        <x:v>36</x:v>
      </x:c>
      <x:c r="F16" s="35" t="n">
        <x:v>520</x:v>
      </x:c>
      <x:c r="G16" s="35" t="n">
        <x:v>2080</x:v>
      </x:c>
      <x:c r="H16" s="35" t="n">
        <x:v>60</x:v>
      </x:c>
      <x:c r="I16" s="35" t="n">
        <x:v>240</x:v>
      </x:c>
      <x:c r="J16" s="35" t="n">
        <x:v>70</x:v>
      </x:c>
      <x:c r="K16" s="35" t="n">
        <x:v>280</x:v>
      </x:c>
      <x:c r="L16" s="35"/>
    </x:row>
    <x:row r="17" ht="15" hidden="0" customHeight="1">
      <x:c r="B17" s="35" t="str">
        <x:v>BHC-2</x:v>
      </x:c>
      <x:c r="C17" s="35" t="str">
        <x:v>Controlled</x:v>
      </x:c>
      <x:c r="D17" s="35" t="n">
        <x:v>2</x:v>
      </x:c>
      <x:c r="E17" s="35" t="n">
        <x:v>4</x:v>
      </x:c>
      <x:c r="F17" s="35" t="n">
        <x:v>160</x:v>
      </x:c>
      <x:c r="G17" s="35" t="n">
        <x:v>320</x:v>
      </x:c>
      <x:c r="H17" s="35" t="n">
        <x:v>25</x:v>
      </x:c>
      <x:c r="I17" s="35" t="n">
        <x:v>50</x:v>
      </x:c>
      <x:c r="J17" s="35" t="n">
        <x:v>15</x:v>
      </x:c>
      <x:c r="K17" s="35" t="n">
        <x:v>30</x:v>
      </x:c>
      <x:c r="L17" s="35"/>
    </x:row>
    <x:row r="18" ht="15" hidden="0" customHeight="1">
      <x:c r="B18" s="35" t="str">
        <x:v>PPP-7</x:v>
      </x:c>
      <x:c r="C18" s="35" t="str">
        <x:v>Controlled</x:v>
      </x:c>
      <x:c r="D18" s="35" t="n">
        <x:v>5</x:v>
      </x:c>
      <x:c r="E18" s="35" t="n">
        <x:v>35</x:v>
      </x:c>
      <x:c r="F18" s="35" t="n">
        <x:v>110</x:v>
      </x:c>
      <x:c r="G18" s="35" t="n">
        <x:v>550</x:v>
      </x:c>
      <x:c r="H18" s="35" t="n">
        <x:v>20</x:v>
      </x:c>
      <x:c r="I18" s="35" t="n">
        <x:v>100</x:v>
      </x:c>
      <x:c r="J18" s="35" t="n">
        <x:v>12</x:v>
      </x:c>
      <x:c r="K18" s="35" t="n">
        <x:v>60</x:v>
      </x:c>
      <x:c r="L18" s="35"/>
    </x:row>
    <x:row r="19" ht="15" hidden="0" customHeight="1">
      <x:c r="B19" s="35" t="str">
        <x:v>APP-4</x:v>
      </x:c>
      <x:c r="C19" s="35" t="str">
        <x:v>Controlled</x:v>
      </x:c>
      <x:c r="D19" s="35" t="n">
        <x:v>2</x:v>
      </x:c>
      <x:c r="E19" s="35" t="n">
        <x:v>8</x:v>
      </x:c>
      <x:c r="F19" s="35" t="n">
        <x:v>130</x:v>
      </x:c>
      <x:c r="G19" s="35" t="n">
        <x:v>260</x:v>
      </x:c>
      <x:c r="H19" s="35" t="n">
        <x:v>25</x:v>
      </x:c>
      <x:c r="I19" s="35" t="n">
        <x:v>50</x:v>
      </x:c>
      <x:c r="J19" s="35" t="n">
        <x:v>20</x:v>
      </x:c>
      <x:c r="K19" s="35" t="n">
        <x:v>40</x:v>
      </x:c>
      <x:c r="L19" s="35"/>
    </x:row>
    <x:row r="20" ht="15" hidden="0" customHeight="1">
      <x:c r="B20" s="35" t="str">
        <x:v>ATS-1</x:v>
      </x:c>
      <x:c r="C20" s="35" t="str">
        <x:v>Controlled</x:v>
      </x:c>
      <x:c r="D20" s="35" t="n">
        <x:v>2</x:v>
      </x:c>
      <x:c r="E20" s="35" t="n">
        <x:v>2</x:v>
      </x:c>
      <x:c r="F20" s="35" t="n">
        <x:v>70</x:v>
      </x:c>
      <x:c r="G20" s="35" t="n">
        <x:v>140</x:v>
      </x:c>
      <x:c r="H20" s="35" t="n">
        <x:v>15</x:v>
      </x:c>
      <x:c r="I20" s="35" t="n">
        <x:v>30</x:v>
      </x:c>
      <x:c r="J20" s="35" t="n">
        <x:v>10</x:v>
      </x:c>
      <x:c r="K20" s="35" t="n">
        <x:v>20</x:v>
      </x:c>
      <x:c r="L20" s="35"/>
    </x:row>
    <x:row r="21" ht="15" hidden="0" customHeight="1">
      <x:c r="B21" s="35" t="str">
        <x:v>SRS-6</x:v>
      </x:c>
      <x:c r="C21" s="35" t="str">
        <x:v>Controlled</x:v>
      </x:c>
      <x:c r="D21" s="35" t="n">
        <x:v>2</x:v>
      </x:c>
      <x:c r="E21" s="35" t="n">
        <x:v>12</x:v>
      </x:c>
      <x:c r="F21" s="35" t="n">
        <x:v>140</x:v>
      </x:c>
      <x:c r="G21" s="35" t="n">
        <x:v>280</x:v>
      </x:c>
      <x:c r="H21" s="35" t="n">
        <x:v>25</x:v>
      </x:c>
      <x:c r="I21" s="35" t="n">
        <x:v>50</x:v>
      </x:c>
      <x:c r="J21" s="35" t="n">
        <x:v>12</x:v>
      </x:c>
      <x:c r="K21" s="35" t="n">
        <x:v>24</x:v>
      </x:c>
      <x:c r="L21" s="35"/>
    </x:row>
    <x:row r="22" ht="15" hidden="0" customHeight="1">
      <x:c r="B22" s="35" t="str">
        <x:v>AHZ</x:v>
      </x:c>
      <x:c r="C22" s="35" t="str">
        <x:v>Domain-specific</x:v>
      </x:c>
      <x:c r="D22" s="35" t="n">
        <x:v>9</x:v>
      </x:c>
      <x:c r="E22" s="35" t="n">
        <x:v>0</x:v>
      </x:c>
      <x:c r="F22" s="35" t="n">
        <x:v>100</x:v>
      </x:c>
      <x:c r="G22" s="35" t="n">
        <x:v>900</x:v>
      </x:c>
      <x:c r="H22" s="35" t="n">
        <x:v>25</x:v>
      </x:c>
      <x:c r="I22" s="35" t="n">
        <x:v>225</x:v>
      </x:c>
      <x:c r="J22" s="35" t="n">
        <x:v>25</x:v>
      </x:c>
      <x:c r="K22" s="35" t="n">
        <x:v>225</x:v>
      </x:c>
      <x:c r="L22" s="35"/>
    </x:row>
    <x:row r="23" ht="15" hidden="0" customHeight="1">
      <x:c r="B23" s="35" t="str">
        <x:v>LFD-2.5</x:v>
      </x:c>
      <x:c r="C23" s="35" t="str">
        <x:v>Clean</x:v>
      </x:c>
      <x:c r="D23" s="35" t="n">
        <x:v>3</x:v>
      </x:c>
      <x:c r="E23" s="35" t="n">
        <x:v>0</x:v>
      </x:c>
      <x:c r="F23" s="35" t="n">
        <x:v>60</x:v>
      </x:c>
      <x:c r="G23" s="35" t="n">
        <x:v>180</x:v>
      </x:c>
      <x:c r="H23" s="35" t="n">
        <x:v>20</x:v>
      </x:c>
      <x:c r="I23" s="35" t="n">
        <x:v>60</x:v>
      </x:c>
      <x:c r="J23" s="35" t="n">
        <x:v>25</x:v>
      </x:c>
      <x:c r="K23" s="35" t="n">
        <x:v>75</x:v>
      </x:c>
      <x:c r="L23" s="35"/>
    </x:row>
    <x:row r="24" ht="15" hidden="0" customHeight="1">
      <x:c r="B24" s="35" t="str">
        <x:v>SBR</x:v>
      </x:c>
      <x:c r="C24" s="35" t="str">
        <x:v>Clean</x:v>
      </x:c>
      <x:c r="D24" s="35" t="n">
        <x:v>8</x:v>
      </x:c>
      <x:c r="E24" s="35" t="n">
        <x:v>0</x:v>
      </x:c>
      <x:c r="F24" s="35" t="n">
        <x:v>25</x:v>
      </x:c>
      <x:c r="G24" s="35" t="n">
        <x:v>200</x:v>
      </x:c>
      <x:c r="H24" s="35" t="n">
        <x:v>6</x:v>
      </x:c>
      <x:c r="I24" s="35" t="n">
        <x:v>48</x:v>
      </x:c>
      <x:c r="J24" s="35" t="n">
        <x:v>8</x:v>
      </x:c>
      <x:c r="K24" s="35" t="n">
        <x:v>64</x:v>
      </x:c>
      <x:c r="L24" s="35"/>
    </x:row>
    <x:row r="25" ht="15" hidden="0" customHeight="1">
      <x:c r="B25" s="35" t="str">
        <x:v>LUP-0.2</x:v>
      </x:c>
      <x:c r="C25" s="35" t="str">
        <x:v>Clean</x:v>
      </x:c>
      <x:c r="D25" s="35" t="n">
        <x:v>3</x:v>
      </x:c>
      <x:c r="E25" s="35" t="n">
        <x:v>0</x:v>
      </x:c>
      <x:c r="F25" s="35" t="n">
        <x:v>30</x:v>
      </x:c>
      <x:c r="G25" s="35" t="n">
        <x:v>90</x:v>
      </x:c>
      <x:c r="H25" s="35" t="n">
        <x:v>8</x:v>
      </x:c>
      <x:c r="I25" s="35" t="n">
        <x:v>24</x:v>
      </x:c>
      <x:c r="J25" s="35" t="n">
        <x:v>12</x:v>
      </x:c>
      <x:c r="K25" s="35" t="n">
        <x:v>36</x:v>
      </x:c>
      <x:c r="L25" s="35"/>
    </x:row>
    <x:row r="26" ht="15" hidden="0" customHeight="1">
      <x:c r="B26" s="35" t="str">
        <x:v>MGR</x:v>
      </x:c>
      <x:c r="C26" s="35" t="str">
        <x:v>Clean</x:v>
      </x:c>
      <x:c r="D26" s="35" t="n">
        <x:v>5</x:v>
      </x:c>
      <x:c r="E26" s="35" t="n">
        <x:v>0</x:v>
      </x:c>
      <x:c r="F26" s="35" t="n">
        <x:v>40</x:v>
      </x:c>
      <x:c r="G26" s="35" t="n">
        <x:v>200</x:v>
      </x:c>
      <x:c r="H26" s="35" t="n">
        <x:v>8</x:v>
      </x:c>
      <x:c r="I26" s="35" t="n">
        <x:v>40</x:v>
      </x:c>
      <x:c r="J26" s="35" t="n">
        <x:v>12</x:v>
      </x:c>
      <x:c r="K26" s="35" t="n">
        <x:v>60</x:v>
      </x:c>
      <x:c r="L26" s="35"/>
    </x:row>
    <x:row r="27" ht="15" hidden="0" customHeight="1">
      <x:c r="B27" s="35" t="str">
        <x:v>WGR</x:v>
      </x:c>
      <x:c r="C27" s="35" t="str">
        <x:v>Clean</x:v>
      </x:c>
      <x:c r="D27" s="35" t="n">
        <x:v>5</x:v>
      </x:c>
      <x:c r="E27" s="35" t="n">
        <x:v>0</x:v>
      </x:c>
      <x:c r="F27" s="35" t="n">
        <x:v>60</x:v>
      </x:c>
      <x:c r="G27" s="35" t="n">
        <x:v>300</x:v>
      </x:c>
      <x:c r="H27" s="35" t="n">
        <x:v>10</x:v>
      </x:c>
      <x:c r="I27" s="35" t="n">
        <x:v>50</x:v>
      </x:c>
      <x:c r="J27" s="35" t="n">
        <x:v>15</x:v>
      </x:c>
      <x:c r="K27" s="35" t="n">
        <x:v>75</x:v>
      </x:c>
      <x:c r="L27" s="35"/>
    </x:row>
    <x:row r="28" ht="15" hidden="0" customHeight="1">
      <x:c r="B28" s="35" t="str">
        <x:v>WMI</x:v>
      </x:c>
      <x:c r="C28" s="35" t="str">
        <x:v>Contaminated</x:v>
      </x:c>
      <x:c r="D28" s="35" t="n">
        <x:v>4</x:v>
      </x:c>
      <x:c r="E28" s="35" t="n">
        <x:v>0</x:v>
      </x:c>
      <x:c r="F28" s="35" t="n">
        <x:v>80</x:v>
      </x:c>
      <x:c r="G28" s="35" t="n">
        <x:v>320</x:v>
      </x:c>
      <x:c r="H28" s="35" t="n">
        <x:v>12</x:v>
      </x:c>
      <x:c r="I28" s="35" t="n">
        <x:v>48</x:v>
      </x:c>
      <x:c r="J28" s="35" t="n">
        <x:v>18</x:v>
      </x:c>
      <x:c r="K28" s="35" t="n">
        <x:v>72</x:v>
      </x:c>
      <x:c r="L28" s="35"/>
    </x:row>
    <x:row r="29" ht="15" hidden="0" customHeight="1">
      <x:c r="B29" s="35" t="str">
        <x:v>SIT</x:v>
      </x:c>
      <x:c r="C29" s="35" t="str">
        <x:v>Clean↔controlled</x:v>
      </x:c>
      <x:c r="D29" s="35" t="n">
        <x:v>4</x:v>
      </x:c>
      <x:c r="E29" s="35" t="n">
        <x:v>0</x:v>
      </x:c>
      <x:c r="F29" s="35" t="n">
        <x:v>100</x:v>
      </x:c>
      <x:c r="G29" s="35" t="n">
        <x:v>400</x:v>
      </x:c>
      <x:c r="H29" s="35" t="n">
        <x:v>8</x:v>
      </x:c>
      <x:c r="I29" s="35" t="n">
        <x:v>32</x:v>
      </x:c>
      <x:c r="J29" s="35" t="n">
        <x:v>14</x:v>
      </x:c>
      <x:c r="K29" s="35" t="n">
        <x:v>56</x:v>
      </x:c>
      <x:c r="L29" s="35"/>
    </x:row>
    <x:row r="30" ht="15" hidden="0" customHeight="1">
      <x:c r="B30" s="35" t="str">
        <x:v>CLD</x:v>
      </x:c>
      <x:c r="C30" s="35" t="str">
        <x:v>Clean</x:v>
      </x:c>
      <x:c r="D30" s="35" t="n">
        <x:v>4</x:v>
      </x:c>
      <x:c r="E30" s="35" t="n">
        <x:v>0</x:v>
      </x:c>
      <x:c r="F30" s="35" t="n">
        <x:v>120</x:v>
      </x:c>
      <x:c r="G30" s="35" t="n">
        <x:v>480</x:v>
      </x:c>
      <x:c r="H30" s="35" t="n">
        <x:v>10</x:v>
      </x:c>
      <x:c r="I30" s="35" t="n">
        <x:v>40</x:v>
      </x:c>
      <x:c r="J30" s="35" t="n">
        <x:v>10</x:v>
      </x:c>
      <x:c r="K30" s="35" t="n">
        <x:v>40</x:v>
      </x:c>
      <x:c r="L30" s="35"/>
    </x:row>
    <x:row r="31" ht="15" hidden="0" customHeight="1">
      <x:c r="B31" s="35" t="str">
        <x:v>DRD</x:v>
      </x:c>
      <x:c r="C31" s="35" t="str">
        <x:v>Contaminated</x:v>
      </x:c>
      <x:c r="D31" s="35" t="n">
        <x:v>4</x:v>
      </x:c>
      <x:c r="E31" s="35" t="n">
        <x:v>0</x:v>
      </x:c>
      <x:c r="F31" s="35" t="n">
        <x:v>120</x:v>
      </x:c>
      <x:c r="G31" s="35" t="n">
        <x:v>480</x:v>
      </x:c>
      <x:c r="H31" s="35" t="n">
        <x:v>12</x:v>
      </x:c>
      <x:c r="I31" s="35" t="n">
        <x:v>48</x:v>
      </x:c>
      <x:c r="J31" s="35" t="n">
        <x:v>15</x:v>
      </x:c>
      <x:c r="K31" s="35" t="n">
        <x:v>60</x:v>
      </x:c>
      <x:c r="L31" s="35"/>
    </x:row>
    <x:row r="32" ht="15" hidden="0" customHeight="1">
      <x:c r="B32" s="35" t="str">
        <x:v>CDR</x:v>
      </x:c>
      <x:c r="C32" s="35" t="str">
        <x:v>Clean</x:v>
      </x:c>
      <x:c r="D32" s="35" t="n">
        <x:v>2</x:v>
      </x:c>
      <x:c r="E32" s="35" t="n">
        <x:v>0</x:v>
      </x:c>
      <x:c r="F32" s="35" t="n">
        <x:v>120</x:v>
      </x:c>
      <x:c r="G32" s="35" t="n">
        <x:v>240</x:v>
      </x:c>
      <x:c r="H32" s="35" t="n">
        <x:v>10</x:v>
      </x:c>
      <x:c r="I32" s="35" t="n">
        <x:v>20</x:v>
      </x:c>
      <x:c r="J32" s="35" t="n">
        <x:v>20</x:v>
      </x:c>
      <x:c r="K32" s="35" t="n">
        <x:v>40</x:v>
      </x:c>
      <x:c r="L32" s="35"/>
    </x:row>
    <x:row r="33" ht="15" hidden="0" customHeight="1">
      <x:c r="B33" s="35" t="str">
        <x:v>STH</x:v>
      </x:c>
      <x:c r="C33" s="35" t="str">
        <x:v>Clean↔controlled</x:v>
      </x:c>
      <x:c r="D33" s="35" t="n">
        <x:v>4</x:v>
      </x:c>
      <x:c r="E33" s="35" t="n">
        <x:v>0</x:v>
      </x:c>
      <x:c r="F33" s="35" t="n">
        <x:v>250</x:v>
      </x:c>
      <x:c r="G33" s="35" t="n">
        <x:v>1000</x:v>
      </x:c>
      <x:c r="H33" s="35" t="n">
        <x:v>12</x:v>
      </x:c>
      <x:c r="I33" s="35" t="n">
        <x:v>48</x:v>
      </x:c>
      <x:c r="J33" s="35" t="n">
        <x:v>10</x:v>
      </x:c>
      <x:c r="K33" s="35" t="n">
        <x:v>40</x:v>
      </x:c>
      <x:c r="L33" s="35"/>
    </x:row>
    <x:row r="34" ht="15" hidden="0" customHeight="1">
      <x:c r="B34" s="35" t="str">
        <x:v>BMR</x:v>
      </x:c>
      <x:c r="C34" s="35" t="str">
        <x:v>Clean</x:v>
      </x:c>
      <x:c r="D34" s="35" t="n">
        <x:v>2</x:v>
      </x:c>
      <x:c r="E34" s="35" t="n">
        <x:v>0</x:v>
      </x:c>
      <x:c r="F34" s="35" t="n">
        <x:v>150</x:v>
      </x:c>
      <x:c r="G34" s="35" t="n">
        <x:v>300</x:v>
      </x:c>
      <x:c r="H34" s="35" t="n">
        <x:v>10</x:v>
      </x:c>
      <x:c r="I34" s="35" t="n">
        <x:v>20</x:v>
      </x:c>
      <x:c r="J34" s="35" t="n">
        <x:v>20</x:v>
      </x:c>
      <x:c r="K34" s="35" t="n">
        <x:v>40</x:v>
      </x:c>
      <x:c r="L34" s="35"/>
    </x:row>
    <x:row r="35" ht="15" hidden="0" customHeight="1">
      <x:c r="B35" s="35" t="str">
        <x:v>ATB</x:v>
      </x:c>
      <x:c r="C35" s="35" t="str">
        <x:v>Controlled</x:v>
      </x:c>
      <x:c r="D35" s="35" t="n">
        <x:v>12</x:v>
      </x:c>
      <x:c r="E35" s="35" t="n">
        <x:v>0</x:v>
      </x:c>
      <x:c r="F35" s="35" t="n">
        <x:v>60</x:v>
      </x:c>
      <x:c r="G35" s="35" t="n">
        <x:v>720</x:v>
      </x:c>
      <x:c r="H35" s="35" t="n">
        <x:v>4</x:v>
      </x:c>
      <x:c r="I35" s="35" t="n">
        <x:v>48</x:v>
      </x:c>
      <x:c r="J35" s="35" t="n">
        <x:v>4</x:v>
      </x:c>
      <x:c r="K35" s="35" t="n">
        <x:v>48</x:v>
      </x:c>
      <x:c r="L35" s="35"/>
    </x:row>
    <x:row r="36" ht="15" hidden="0" customHeight="1">
      <x:c r="B36" s="35" t="str">
        <x:v>FAH</x:v>
      </x:c>
      <x:c r="C36" s="35" t="str">
        <x:v>External</x:v>
      </x:c>
      <x:c r="D36" s="35" t="n">
        <x:v>1</x:v>
      </x:c>
      <x:c r="E36" s="35" t="n">
        <x:v>0</x:v>
      </x:c>
      <x:c r="F36" s="35" t="n">
        <x:v>0</x:v>
      </x:c>
      <x:c r="G36" s="35" t="n">
        <x:v>0</x:v>
      </x:c>
      <x:c r="H36" s="35" t="n">
        <x:v>200</x:v>
      </x:c>
      <x:c r="I36" s="35" t="n">
        <x:v>200</x:v>
      </x:c>
      <x:c r="J36" s="35" t="n">
        <x:v>200</x:v>
      </x:c>
      <x:c r="K36" s="35" t="n">
        <x:v>200</x:v>
      </x:c>
      <x:c r="L36" s="35"/>
    </x:row>
    <x:row r="37" ht="15" hidden="0" customHeight="1">
      <x:c r="B37" s="35" t="str">
        <x:v>RTS</x:v>
      </x:c>
      <x:c r="C37" s="35" t="str">
        <x:v>Clean</x:v>
      </x:c>
      <x:c r="D37" s="35" t="n">
        <x:v>10</x:v>
      </x:c>
      <x:c r="E37" s="35" t="n">
        <x:v>0</x:v>
      </x:c>
      <x:c r="F37" s="35" t="n">
        <x:v>20</x:v>
      </x:c>
      <x:c r="G37" s="35" t="n">
        <x:v>200</x:v>
      </x:c>
      <x:c r="H37" s="35" t="n">
        <x:v>7.5</x:v>
      </x:c>
      <x:c r="I37" s="35" t="n">
        <x:v>75</x:v>
      </x:c>
      <x:c r="J37" s="35" t="n">
        <x:v>9</x:v>
      </x:c>
      <x:c r="K37" s="35" t="n">
        <x:v>90</x:v>
      </x:c>
      <x:c r="L37" s="35"/>
    </x:row>
    <x:row r="38" ht="15" hidden="0" customHeight="1">
      <x:c r="B38" s="38" t="str">
        <x:v>TOTAL</x:v>
      </x:c>
      <x:c r="C38" s="38" t="str">
        <x:v>Nested article program</x:v>
      </x:c>
      <x:c r="D38" s="38" t="n">
        <x:f>SUM(D7:D37)</x:f>
        <x:v>119</x:v>
      </x:c>
      <x:c r="E38" s="38" t="n">
        <x:f>SUM(E7:E37)</x:f>
        <x:v>297</x:v>
      </x:c>
      <x:c r="F38" s="38"/>
      <x:c r="G38" s="38" t="n">
        <x:f>SUM(G7:G37)</x:f>
        <x:v>20060</x:v>
      </x:c>
      <x:c r="H38" s="38"/>
      <x:c r="I38" s="38" t="n">
        <x:f>SUM(I7:I37)</x:f>
        <x:v>2803</x:v>
      </x:c>
      <x:c r="J38" s="38"/>
      <x:c r="K38" s="38" t="n">
        <x:f>SUM(K7:K37)</x:f>
        <x:v>3284</x:v>
      </x:c>
      <x:c r="L38" s="35"/>
    </x:row>
    <x:row r="39" ht="15" hidden="0" customHeight="1"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</x:row>
    <x:row r="40" ht="15" hidden="0" customHeight="1"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</x:row>
    <x:row r="41" ht="15" hidden="0" customHeight="1">
      <x:c r="B41" s="36" t="str">
        <x:v>Site-envelope derivation</x:v>
      </x:c>
      <x:c r="C41" s="36"/>
      <x:c r="D41" s="36"/>
      <x:c r="E41" s="36"/>
      <x:c r="F41" s="36"/>
      <x:c r="G41" s="36"/>
      <x:c r="H41" s="36"/>
      <x:c r="I41" s="36"/>
      <x:c r="J41" s="36"/>
      <x:c r="K41" s="36"/>
      <x:c r="L41" s="35"/>
    </x:row>
    <x:row r="42" ht="15" hidden="0" customHeight="1">
      <x:c r="B42" s="35" t="str">
        <x:v>Enclosed / covered area</x:v>
      </x:c>
      <x:c r="C42" s="35"/>
      <x:c r="D42" s="35" t="n">
        <x:f>G38</x:f>
        <x:v>20060</x:v>
      </x:c>
      <x:c r="E42" s="35" t="str">
        <x:v>m2</x:v>
      </x:c>
      <x:c r="F42" s="35"/>
      <x:c r="G42" s="35"/>
      <x:c r="H42" s="35"/>
      <x:c r="I42" s="35"/>
      <x:c r="J42" s="35"/>
      <x:c r="K42" s="35"/>
      <x:c r="L42" s="35"/>
    </x:row>
    <x:row r="43" ht="15" hidden="0" customHeight="1">
      <x:c r="B43" s="35" t="str">
        <x:v>Gross working area</x:v>
      </x:c>
      <x:c r="C43" s="35"/>
      <x:c r="D43" s="35" t="n">
        <x:f>D42/'01 Controls'!$D$31</x:f>
        <x:v>52789.47368421053</x:v>
      </x:c>
      <x:c r="E43" s="35" t="str">
        <x:v>m2</x:v>
      </x:c>
      <x:c r="F43" s="35"/>
      <x:c r="G43" s="35"/>
      <x:c r="H43" s="35"/>
      <x:c r="I43" s="35"/>
      <x:c r="J43" s="35"/>
      <x:c r="K43" s="35"/>
      <x:c r="L43" s="35"/>
    </x:row>
    <x:row r="44" ht="24" hidden="0" customHeight="1">
      <x:c r="B44" s="35" t="str">
        <x:v>Equivalent working-square side</x:v>
      </x:c>
      <x:c r="C44" s="35"/>
      <x:c r="D44" s="35" t="n">
        <x:f>SQRT(D43)</x:f>
        <x:v>229.7595997650817</x:v>
      </x:c>
      <x:c r="E44" s="35" t="str">
        <x:v>m</x:v>
      </x:c>
      <x:c r="F44" s="35"/>
      <x:c r="G44" s="35"/>
      <x:c r="H44" s="35"/>
      <x:c r="I44" s="35"/>
      <x:c r="J44" s="35"/>
      <x:c r="K44" s="35"/>
      <x:c r="L44" s="35"/>
    </x:row>
    <x:row r="45" ht="15" hidden="0" customHeight="1">
      <x:c r="B45" s="35" t="str">
        <x:v>Controlled boundary side</x:v>
      </x:c>
      <x:c r="C45" s="35"/>
      <x:c r="D45" s="35" t="n">
        <x:f>D44+2*'01 Controls'!$D$32</x:f>
        <x:v>269.7595997650817</x:v>
      </x:c>
      <x:c r="E45" s="35" t="str">
        <x:v>m</x:v>
      </x:c>
      <x:c r="F45" s="35"/>
      <x:c r="G45" s="35"/>
      <x:c r="H45" s="35"/>
      <x:c r="I45" s="35"/>
      <x:c r="J45" s="35"/>
      <x:c r="K45" s="35"/>
      <x:c r="L45" s="35"/>
    </x:row>
    <x:row r="46" ht="15" hidden="0" customHeight="1">
      <x:c r="B46" s="35" t="str">
        <x:v>Controlled site envelope</x:v>
      </x:c>
      <x:c r="C46" s="35"/>
      <x:c r="D46" s="35" t="n">
        <x:f>D45^2</x:f>
        <x:v>72770.24166541707</x:v>
      </x:c>
      <x:c r="E46" s="35" t="str">
        <x:v>m2</x:v>
      </x:c>
      <x:c r="F46" s="35"/>
      <x:c r="G46" s="35"/>
      <x:c r="H46" s="35"/>
      <x:c r="I46" s="35"/>
      <x:c r="J46" s="35"/>
      <x:c r="K46" s="35"/>
      <x:c r="L46" s="35"/>
    </x:row>
  </x:sheetData>
  <x:mergeCells>
    <x:mergeCell ref="B2:L2"/>
    <x:mergeCell ref="B3:L3"/>
    <x:mergeCell ref="B41:K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24" hidden="0" customWidth="1"/>
    <x:col min="4" max="4" width="24" hidden="0" customWidth="1"/>
    <x:col min="5" max="5" width="34" hidden="0" customWidth="1"/>
    <x:col min="6" max="6" width="34" hidden="0" customWidth="1"/>
    <x:col min="7" max="7" width="34" hidden="0" customWidth="1"/>
    <x:col min="8" max="8" width="24" hidden="0" customWidth="1"/>
    <x:col min="1" max="1" width="3" hidden="0" customWidth="1"/>
  </x:cols>
  <x:sheetData>
    <x:row r="2" ht="15" hidden="0" customHeight="1">
      <x:c r="B2" s="34" t="str">
        <x:v>Clean–controlled–contaminated constitution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The physical topology is a double-loop campus. Ten custody streams receive explicit direction, interface and stop rules.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Stream</x:v>
      </x:c>
      <x:c r="C6" s="31" t="str">
        <x:v>Origin</x:v>
      </x:c>
      <x:c r="D6" s="31" t="str">
        <x:v>Destination</x:v>
      </x:c>
      <x:c r="E6" s="31" t="str">
        <x:v>Permitted interface</x:v>
      </x:c>
      <x:c r="F6" s="31" t="str">
        <x:v>Return path</x:v>
      </x:c>
      <x:c r="G6" s="31" t="str">
        <x:v>Automatic stop</x:v>
      </x:c>
      <x:c r="H6" s="31" t="str">
        <x:v>Manual authority</x:v>
      </x:c>
      <x:c r="I6" s="35"/>
      <x:c r="J6" s="35"/>
      <x:c r="K6" s="35"/>
      <x:c r="L6" s="35"/>
    </x:row>
    <x:row r="7" ht="15" hidden="0" customHeight="1">
      <x:c r="B7" s="35" t="str">
        <x:v>Patients</x:v>
      </x:c>
      <x:c r="C7" s="35" t="str">
        <x:v>Public/acute portal</x:v>
      </x:c>
      <x:c r="D7" s="35" t="str">
        <x:v>Controlled care</x:v>
      </x:c>
      <x:c r="E7" s="35" t="str">
        <x:v>identity + acuity gate</x:v>
      </x:c>
      <x:c r="F7" s="35" t="str">
        <x:v>separate release route</x:v>
      </x:c>
      <x:c r="G7" s="35" t="str">
        <x:v>unknown identity or zone state</x:v>
      </x:c>
      <x:c r="H7" s="35" t="str">
        <x:v>clinical regulation</x:v>
      </x:c>
      <x:c r="I7" s="35"/>
      <x:c r="J7" s="35"/>
      <x:c r="K7" s="35"/>
      <x:c r="L7" s="35"/>
    </x:row>
    <x:row r="8" ht="15" hidden="0" customHeight="1">
      <x:c r="B8" s="35" t="str">
        <x:v>Isolation patients</x:v>
      </x:c>
      <x:c r="C8" s="35" t="str">
        <x:v>Acute portal</x:v>
      </x:c>
      <x:c r="D8" s="35" t="str">
        <x:v>Contaminated care</x:v>
      </x:c>
      <x:c r="E8" s="35" t="str">
        <x:v>patient transfer lock</x:v>
      </x:c>
      <x:c r="F8" s="35" t="str">
        <x:v>dedicated contaminated exit</x:v>
      </x:c>
      <x:c r="G8" s="35" t="str">
        <x:v>air boundary unavailable</x:v>
      </x:c>
      <x:c r="H8" s="35" t="str">
        <x:v>infection authority</x:v>
      </x:c>
      <x:c r="I8" s="35"/>
      <x:c r="J8" s="35"/>
      <x:c r="K8" s="35"/>
      <x:c r="L8" s="35"/>
    </x:row>
    <x:row r="9" ht="15" hidden="0" customHeight="1">
      <x:c r="B9" s="35" t="str">
        <x:v>Staff</x:v>
      </x:c>
      <x:c r="C9" s="35" t="str">
        <x:v>Clean staff entry</x:v>
      </x:c>
      <x:c r="D9" s="35" t="str">
        <x:v>Controlled care</x:v>
      </x:c>
      <x:c r="E9" s="35" t="str">
        <x:v>PPE / hygiene transition</x:v>
      </x:c>
      <x:c r="F9" s="35" t="str">
        <x:v>dirty staff transition</x:v>
      </x:c>
      <x:c r="G9" s="35" t="str">
        <x:v>credential or PPE failure</x:v>
      </x:c>
      <x:c r="H9" s="35" t="str">
        <x:v>clinical command</x:v>
      </x:c>
      <x:c r="I9" s="35"/>
      <x:c r="J9" s="35"/>
      <x:c r="K9" s="35"/>
      <x:c r="L9" s="35"/>
    </x:row>
    <x:row r="10" ht="15" hidden="0" customHeight="1">
      <x:c r="B10" s="35" t="str">
        <x:v>Sterile supplies</x:v>
      </x:c>
      <x:c r="C10" s="35" t="str">
        <x:v>Clean dock</x:v>
      </x:c>
      <x:c r="D10" s="35" t="str">
        <x:v>Care cells</x:v>
      </x:c>
      <x:c r="E10" s="35" t="str">
        <x:v>one-way pass-through</x:v>
      </x:c>
      <x:c r="F10" s="35" t="str">
        <x:v>none</x:v>
      </x:c>
      <x:c r="G10" s="35" t="str">
        <x:v>seal or custody failure</x:v>
      </x:c>
      <x:c r="H10" s="35" t="str">
        <x:v>sterile service</x:v>
      </x:c>
      <x:c r="I10" s="35"/>
      <x:c r="J10" s="35"/>
      <x:c r="K10" s="35"/>
      <x:c r="L10" s="35"/>
    </x:row>
    <x:row r="11" ht="15" hidden="0" customHeight="1">
      <x:c r="B11" s="35" t="str">
        <x:v>Instruments</x:v>
      </x:c>
      <x:c r="C11" s="35" t="str">
        <x:v>Care cells</x:v>
      </x:c>
      <x:c r="D11" s="35" t="str">
        <x:v>Sterile service</x:v>
      </x:c>
      <x:c r="E11" s="35" t="str">
        <x:v>closed dirty container</x:v>
      </x:c>
      <x:c r="F11" s="35" t="str">
        <x:v>clean pass-through after release</x:v>
      </x:c>
      <x:c r="G11" s="35" t="str">
        <x:v>container breach</x:v>
      </x:c>
      <x:c r="H11" s="35" t="str">
        <x:v>sterile service</x:v>
      </x:c>
      <x:c r="I11" s="35"/>
      <x:c r="J11" s="35"/>
      <x:c r="K11" s="35"/>
      <x:c r="L11" s="35"/>
    </x:row>
    <x:row r="12" ht="15" hidden="0" customHeight="1">
      <x:c r="B12" s="35" t="str">
        <x:v>Linen</x:v>
      </x:c>
      <x:c r="C12" s="35" t="str">
        <x:v>Clean store</x:v>
      </x:c>
      <x:c r="D12" s="35" t="str">
        <x:v>Care cells</x:v>
      </x:c>
      <x:c r="E12" s="35" t="str">
        <x:v>clean pass-through</x:v>
      </x:c>
      <x:c r="F12" s="35" t="str">
        <x:v>sealed dirty route</x:v>
      </x:c>
      <x:c r="G12" s="35" t="str">
        <x:v>route or bag breach</x:v>
      </x:c>
      <x:c r="H12" s="35" t="str">
        <x:v>environmental service</x:v>
      </x:c>
      <x:c r="I12" s="35"/>
      <x:c r="J12" s="35"/>
      <x:c r="K12" s="35"/>
      <x:c r="L12" s="35"/>
    </x:row>
    <x:row r="13" ht="15" hidden="0" customHeight="1">
      <x:c r="B13" s="35" t="str">
        <x:v>Waste</x:v>
      </x:c>
      <x:c r="C13" s="35" t="str">
        <x:v>Care cells</x:v>
      </x:c>
      <x:c r="D13" s="35" t="str">
        <x:v>Dirty return</x:v>
      </x:c>
      <x:c r="E13" s="35" t="str">
        <x:v>sealed tracked container</x:v>
      </x:c>
      <x:c r="F13" s="35" t="str">
        <x:v>none</x:v>
      </x:c>
      <x:c r="G13" s="35" t="str">
        <x:v>custody or capacity failure</x:v>
      </x:c>
      <x:c r="H13" s="35" t="str">
        <x:v>environmental authority</x:v>
      </x:c>
      <x:c r="I13" s="35"/>
      <x:c r="J13" s="35"/>
      <x:c r="K13" s="35"/>
      <x:c r="L13" s="35"/>
    </x:row>
    <x:row r="14" ht="15" hidden="0" customHeight="1">
      <x:c r="B14" s="35" t="str">
        <x:v>Air</x:v>
      </x:c>
      <x:c r="C14" s="35" t="str">
        <x:v>Clean-side plant</x:v>
      </x:c>
      <x:c r="D14" s="35" t="str">
        <x:v>Domain terminal</x:v>
      </x:c>
      <x:c r="E14" s="35" t="str">
        <x:v>dedicated supply/exhaust</x:v>
      </x:c>
      <x:c r="F14" s="35" t="str">
        <x:v>no contaminated recirculation</x:v>
      </x:c>
      <x:c r="G14" s="35" t="str">
        <x:v>differential or filter failure</x:v>
      </x:c>
      <x:c r="H14" s="35" t="str">
        <x:v>facility safety</x:v>
      </x:c>
      <x:c r="I14" s="35"/>
      <x:c r="J14" s="35"/>
      <x:c r="K14" s="35"/>
      <x:c r="L14" s="35"/>
    </x:row>
    <x:row r="15" ht="15" hidden="0" customHeight="1">
      <x:c r="B15" s="35" t="str">
        <x:v>Water/gas</x:v>
      </x:c>
      <x:c r="C15" s="35" t="str">
        <x:v>Clean utility root</x:v>
      </x:c>
      <x:c r="D15" s="35" t="str">
        <x:v>Care-cell terminal</x:v>
      </x:c>
      <x:c r="E15" s="35" t="str">
        <x:v>double-isolation branch</x:v>
      </x:c>
      <x:c r="F15" s="35" t="str">
        <x:v>segregated drain/vent</x:v>
      </x:c>
      <x:c r="G15" s="35" t="str">
        <x:v>quality or pressure failure</x:v>
      </x:c>
      <x:c r="H15" s="35" t="str">
        <x:v>clinical utility authority</x:v>
      </x:c>
      <x:c r="I15" s="35"/>
      <x:c r="J15" s="35"/>
      <x:c r="K15" s="35"/>
      <x:c r="L15" s="35"/>
    </x:row>
    <x:row r="16" ht="15" hidden="0" customHeight="1">
      <x:c r="B16" s="35" t="str">
        <x:v>Data/medication</x:v>
      </x:c>
      <x:c r="C16" s="35" t="str">
        <x:v>Identity/pharmacy root</x:v>
      </x:c>
      <x:c r="D16" s="35" t="str">
        <x:v>Authorized care point</x:v>
      </x:c>
      <x:c r="E16" s="35" t="str">
        <x:v>signed local transaction</x:v>
      </x:c>
      <x:c r="F16" s="35" t="str">
        <x:v>audited reconciliation</x:v>
      </x:c>
      <x:c r="G16" s="35" t="str">
        <x:v>identity, consent or custody mismatch</x:v>
      </x:c>
      <x:c r="H16" s="35" t="str">
        <x:v>clinical authority</x:v>
      </x:c>
      <x:c r="I16" s="35"/>
      <x:c r="J16" s="35"/>
      <x:c r="K16" s="35"/>
      <x:c r="L16" s="35"/>
    </x:row>
    <x:row r="17" ht="15" hidden="0" customHeight="1"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</x:row>
    <x:row r="18" ht="15" hidden="0" customHeight="1"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6" t="str">
        <x:v>Topology laws</x:v>
      </x:c>
      <x:c r="C19" s="36"/>
      <x:c r="D19" s="36"/>
      <x:c r="E19" s="36"/>
      <x:c r="F19" s="36"/>
      <x:c r="G19" s="36"/>
      <x:c r="H19" s="36"/>
      <x:c r="I19" s="35"/>
      <x:c r="J19" s="35"/>
      <x:c r="K19" s="35"/>
      <x:c r="L19" s="35"/>
    </x:row>
    <x:row r="20" ht="15" hidden="0" customHeight="1">
      <x:c r="B20" s="35" t="str">
        <x:v>Z0 clean</x:v>
      </x:c>
      <x:c r="C20" s="35" t="str">
        <x:v>Unopened supplies, sterile processing, pharmacy, utility product, staff entry, data roots and maintenance.</x:v>
      </x:c>
      <x:c r="D20" s="35"/>
      <x:c r="E20" s="35"/>
      <x:c r="F20" s="35"/>
      <x:c r="G20" s="35"/>
      <x:c r="H20" s="35"/>
      <x:c r="I20" s="35"/>
      <x:c r="J20" s="35"/>
      <x:c r="K20" s="35"/>
      <x:c r="L20" s="35"/>
    </x:row>
    <x:row r="21" ht="15" hidden="0" customHeight="1">
      <x:c r="B21" s="35" t="str">
        <x:v>Z1 controlled</x:v>
      </x:c>
      <x:c r="C21" s="35" t="str">
        <x:v>Non-isolation patient care, diagnostics, transfer bridges and supported-release staging.</x:v>
      </x:c>
      <x:c r="D21" s="35"/>
      <x:c r="E21" s="35"/>
      <x:c r="F21" s="35"/>
      <x:c r="G21" s="35"/>
      <x:c r="H21" s="35"/>
      <x:c r="I21" s="35"/>
      <x:c r="J21" s="35"/>
      <x:c r="K21" s="35"/>
      <x:c r="L21" s="35"/>
    </x:row>
    <x:row r="22" ht="15" hidden="0" customHeight="1">
      <x:c r="B22" s="35" t="str">
        <x:v>Z2 contaminated</x:v>
      </x:c>
      <x:c r="C22" s="35" t="str">
        <x:v>Isolation care, decontamination, dirty return, segregated effluent and clinical waste custody.</x:v>
      </x:c>
      <x:c r="D22" s="35"/>
      <x:c r="E22" s="35"/>
      <x:c r="F22" s="35"/>
      <x:c r="G22" s="35"/>
      <x:c r="H22" s="35"/>
      <x:c r="I22" s="35"/>
      <x:c r="J22" s="35"/>
      <x:c r="K22" s="35"/>
      <x:c r="L22" s="35"/>
    </x:row>
    <x:row r="23" ht="15" hidden="0" customHeight="1">
      <x:c r="B23" s="35" t="str">
        <x:v>Inner loop</x:v>
      </x:c>
      <x:c r="C23" s="35" t="str">
        <x:v>Clean logistics and utilities deliver outward through pass-throughs; patients never enter it.</x:v>
      </x:c>
      <x:c r="D23" s="35"/>
      <x:c r="E23" s="35"/>
      <x:c r="F23" s="35"/>
      <x:c r="G23" s="35"/>
      <x:c r="H23" s="35"/>
      <x:c r="I23" s="35"/>
      <x:c r="J23" s="35"/>
      <x:c r="K23" s="35"/>
      <x:c r="L23" s="35"/>
    </x:row>
    <x:row r="24" ht="15" hidden="0" customHeight="1">
      <x:c r="B24" s="35" t="str">
        <x:v>Outer loop</x:v>
      </x:c>
      <x:c r="C24" s="35" t="str">
        <x:v>Dirty return and contaminated exit move outward without crossing clean delivery.</x:v>
      </x:c>
      <x:c r="D24" s="35"/>
      <x:c r="E24" s="35"/>
      <x:c r="F24" s="35"/>
      <x:c r="G24" s="35"/>
      <x:c r="H24" s="35"/>
      <x:c r="I24" s="35"/>
      <x:c r="J24" s="35"/>
      <x:c r="K24" s="35"/>
      <x:c r="L24" s="35"/>
    </x:row>
    <x:row r="25" ht="15" hidden="0" customHeight="1">
      <x:c r="B25" s="35" t="str">
        <x:v>Loss rule</x:v>
      </x:c>
      <x:c r="C25" s="35" t="str">
        <x:v>A failed zone closes at its interfaces; it cannot borrow air, drains or staff paths from an unlike domain.</x:v>
      </x:c>
      <x:c r="D25" s="35"/>
      <x:c r="E25" s="35"/>
      <x:c r="F25" s="35"/>
      <x:c r="G25" s="35"/>
      <x:c r="H25" s="35"/>
      <x:c r="I25" s="35"/>
      <x:c r="J25" s="35"/>
      <x:c r="K25" s="35"/>
      <x:c r="L25" s="35"/>
    </x:row>
  </x:sheetData>
  <x:mergeCells>
    <x:mergeCell ref="B2:L2"/>
    <x:mergeCell ref="B3:L3"/>
    <x:mergeCell ref="B19:H19"/>
    <x:mergeCell ref="C20:H20"/>
    <x:mergeCell ref="C21:H21"/>
    <x:mergeCell ref="C22:H22"/>
    <x:mergeCell ref="C23:H23"/>
    <x:mergeCell ref="C24:H24"/>
    <x:mergeCell ref="C25:H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" max="1" width="3" hidden="0" customWidth="1"/>
  </x:cols>
  <x:sheetData>
    <x:row r="2" ht="15" hidden="0" customHeight="1">
      <x:c r="B2" s="34" t="str">
        <x:v>Air-domain balance and isolation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Air capacity is separately closed by domain after one train loss; aggregate airflow is not allowed to conceal cross-domain substitution.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Domain</x:v>
      </x:c>
      <x:c r="C6" s="31" t="str">
        <x:v>Area share</x:v>
      </x:c>
      <x:c r="D6" s="31" t="str">
        <x:v>Area m2</x:v>
      </x:c>
      <x:c r="E6" s="31" t="str">
        <x:v>Volume m3</x:v>
      </x:c>
      <x:c r="F6" s="31" t="str">
        <x:v>ACH</x:v>
      </x:c>
      <x:c r="G6" s="31" t="str">
        <x:v>Required m3/h</x:v>
      </x:c>
      <x:c r="H6" s="31" t="str">
        <x:v>Train capacity</x:v>
      </x:c>
      <x:c r="I6" s="31" t="str">
        <x:v>Installed trains</x:v>
      </x:c>
      <x:c r="J6" s="31" t="str">
        <x:v>After-loss capacity</x:v>
      </x:c>
      <x:c r="K6" s="31" t="str">
        <x:v>Margin</x:v>
      </x:c>
      <x:c r="L6" s="35"/>
    </x:row>
    <x:row r="7" ht="15" hidden="0" customHeight="1">
      <x:c r="B7" s="35" t="str">
        <x:v>Clean</x:v>
      </x:c>
      <x:c r="C7" s="35" t="n">
        <x:f>'01 Controls'!$D$33</x:f>
        <x:v>0.24</x:v>
      </x:c>
      <x:c r="D7" s="35" t="n">
        <x:f>C7*'04 Spatial program'!$D$42</x:f>
        <x:v>4814.4</x:v>
      </x:c>
      <x:c r="E7" s="35" t="n">
        <x:f>D7*'01 Controls'!$D$30</x:f>
        <x:v>19257.6</x:v>
      </x:c>
      <x:c r="F7" s="35" t="n">
        <x:f>'01 Controls'!$D$36</x:f>
        <x:v>6</x:v>
      </x:c>
      <x:c r="G7" s="35" t="n">
        <x:f>E7*F7</x:f>
        <x:v>115545.59999999999</x:v>
      </x:c>
      <x:c r="H7" s="35" t="n">
        <x:f>'01 Controls'!$D$39</x:f>
        <x:v>120000</x:v>
      </x:c>
      <x:c r="I7" s="35" t="n">
        <x:v>2</x:v>
      </x:c>
      <x:c r="J7" s="35" t="n">
        <x:f>(I7-1)*H7</x:f>
        <x:v>120000</x:v>
      </x:c>
      <x:c r="K7" s="35" t="n">
        <x:f>J7-G7</x:f>
        <x:v>4454.400000000009</x:v>
      </x:c>
      <x:c r="L7" s="35"/>
    </x:row>
    <x:row r="8" ht="15" hidden="0" customHeight="1">
      <x:c r="B8" s="35" t="str">
        <x:v>Controlled</x:v>
      </x:c>
      <x:c r="C8" s="35" t="n">
        <x:f>'01 Controls'!$D$34</x:f>
        <x:v>0.56</x:v>
      </x:c>
      <x:c r="D8" s="35" t="n">
        <x:f>C8*'04 Spatial program'!$D$42</x:f>
        <x:v>11233.6</x:v>
      </x:c>
      <x:c r="E8" s="35" t="n">
        <x:f>D8*'01 Controls'!$D$30</x:f>
        <x:v>44934.4</x:v>
      </x:c>
      <x:c r="F8" s="35" t="n">
        <x:f>'01 Controls'!$D$37</x:f>
        <x:v>8</x:v>
      </x:c>
      <x:c r="G8" s="35" t="n">
        <x:f>E8*F8</x:f>
        <x:v>359475.2</x:v>
      </x:c>
      <x:c r="H8" s="35" t="n">
        <x:f>'01 Controls'!$D$40</x:f>
        <x:v>120000</x:v>
      </x:c>
      <x:c r="I8" s="35" t="n">
        <x:v>4</x:v>
      </x:c>
      <x:c r="J8" s="35" t="n">
        <x:f>(I8-1)*H8</x:f>
        <x:v>360000</x:v>
      </x:c>
      <x:c r="K8" s="35" t="n">
        <x:f>J8-G8</x:f>
        <x:v>524.7999999999884</x:v>
      </x:c>
      <x:c r="L8" s="35"/>
    </x:row>
    <x:row r="9" ht="15" hidden="0" customHeight="1">
      <x:c r="B9" s="35" t="str">
        <x:v>Contaminated</x:v>
      </x:c>
      <x:c r="C9" s="35" t="n">
        <x:f>'01 Controls'!$D$35</x:f>
        <x:v>0.2</x:v>
      </x:c>
      <x:c r="D9" s="35" t="n">
        <x:f>C9*'04 Spatial program'!$D$42</x:f>
        <x:v>4012</x:v>
      </x:c>
      <x:c r="E9" s="35" t="n">
        <x:f>D9*'01 Controls'!$D$30</x:f>
        <x:v>16048</x:v>
      </x:c>
      <x:c r="F9" s="35" t="n">
        <x:f>'01 Controls'!$D$38</x:f>
        <x:v>12</x:v>
      </x:c>
      <x:c r="G9" s="35" t="n">
        <x:f>E9*F9</x:f>
        <x:v>192576</x:v>
      </x:c>
      <x:c r="H9" s="35" t="n">
        <x:f>'01 Controls'!$D$41</x:f>
        <x:v>100000</x:v>
      </x:c>
      <x:c r="I9" s="35" t="n">
        <x:v>3</x:v>
      </x:c>
      <x:c r="J9" s="35" t="n">
        <x:f>(I9-1)*H9</x:f>
        <x:v>200000</x:v>
      </x:c>
      <x:c r="K9" s="35" t="n">
        <x:f>J9-G9</x:f>
        <x:v>7424</x:v>
      </x:c>
      <x:c r="L9" s="35"/>
    </x:row>
    <x:row r="10" ht="15" hidden="0" customHeight="1">
      <x:c r="B10" s="38" t="str">
        <x:v>TOTAL</x:v>
      </x:c>
      <x:c r="C10" s="38" t="n">
        <x:f>SUM(C7:C9)</x:f>
        <x:v>1</x:v>
      </x:c>
      <x:c r="D10" s="38" t="n">
        <x:f>SUM(D7:D9)</x:f>
        <x:v>20060</x:v>
      </x:c>
      <x:c r="E10" s="38" t="n">
        <x:f>SUM(E7:E9)</x:f>
        <x:v>80240</x:v>
      </x:c>
      <x:c r="F10" s="38"/>
      <x:c r="G10" s="38" t="n">
        <x:f>SUM(G7:G9)</x:f>
        <x:v>667596.8</x:v>
      </x:c>
      <x:c r="H10" s="38"/>
      <x:c r="I10" s="38" t="n">
        <x:f>SUM(I7:I9)</x:f>
        <x:v>9</x:v>
      </x:c>
      <x:c r="J10" s="38"/>
      <x:c r="K10" s="38"/>
      <x:c r="L10" s="35"/>
    </x:row>
    <x:row r="11" ht="15" hidden="0" customHeight="1"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</x:row>
    <x:row r="12" ht="15" hidden="0" customHeight="1"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</x:row>
    <x:row r="13" ht="15" hidden="0" customHeight="1">
      <x:c r="B13" s="36" t="str">
        <x:v>Control criteria</x:v>
      </x:c>
      <x:c r="C13" s="36"/>
      <x:c r="D13" s="36"/>
      <x:c r="E13" s="36"/>
      <x:c r="F13" s="36"/>
      <x:c r="G13" s="36"/>
      <x:c r="H13" s="36"/>
      <x:c r="I13" s="36"/>
      <x:c r="J13" s="36"/>
      <x:c r="K13" s="36"/>
      <x:c r="L13" s="35"/>
    </x:row>
    <x:row r="14" ht="15" hidden="0" customHeight="1">
      <x:c r="B14" s="35" t="str">
        <x:v>Pressure order</x:v>
      </x:c>
      <x:c r="C14" s="35" t="str">
        <x:v>Clean positive to controlled; contaminated negative to controlled. Absolute setpoints depend on clinical trial and code review.</x:v>
      </x:c>
      <x:c r="D14" s="35"/>
      <x:c r="E14" s="35"/>
      <x:c r="F14" s="35"/>
      <x:c r="G14" s="35"/>
      <x:c r="H14" s="35"/>
      <x:c r="I14" s="35"/>
      <x:c r="J14" s="35"/>
      <x:c r="K14" s="35"/>
      <x:c r="L14" s="35"/>
    </x:row>
    <x:row r="15" ht="15" hidden="0" customHeight="1">
      <x:c r="B15" s="35" t="str">
        <x:v>Cross-connect</x:v>
      </x:c>
      <x:c r="C15" s="35" t="str">
        <x:v>Only clean-side supply may cross-connect, behind isolation and contamination sensing; contaminated return never cross-connects.</x:v>
      </x:c>
      <x:c r="D15" s="35"/>
      <x:c r="E15" s="35"/>
      <x:c r="F15" s="35"/>
      <x:c r="G15" s="35"/>
      <x:c r="H15" s="35"/>
      <x:c r="I15" s="35"/>
      <x:c r="J15" s="35"/>
      <x:c r="K15" s="35"/>
      <x:c r="L15" s="35"/>
    </x:row>
    <x:row r="16" ht="15" hidden="0" customHeight="1">
      <x:c r="B16" s="35" t="str">
        <x:v>Failure detection</x:v>
      </x:c>
      <x:c r="C16" s="35" t="str">
        <x:v>Differential, airflow, filter, door and contaminant state must be locally visible while networks are absent.</x:v>
      </x:c>
      <x:c r="D16" s="35"/>
      <x:c r="E16" s="35"/>
      <x:c r="F16" s="35"/>
      <x:c r="G16" s="35"/>
      <x:c r="H16" s="35"/>
      <x:c r="I16" s="35"/>
      <x:c r="J16" s="35"/>
      <x:c r="K16" s="35"/>
      <x:c r="L16" s="35"/>
    </x:row>
    <x:row r="17" ht="15" hidden="0" customHeight="1">
      <x:c r="B17" s="35" t="str">
        <x:v>Safe transition</x:v>
      </x:c>
      <x:c r="C17" s="35" t="str">
        <x:v>Air boundary target is restored within three minutes or the affected cell stops admissions and enters transfer state.</x:v>
      </x:c>
      <x:c r="D17" s="35"/>
      <x:c r="E17" s="35"/>
      <x:c r="F17" s="35"/>
      <x:c r="G17" s="35"/>
      <x:c r="H17" s="35"/>
      <x:c r="I17" s="35"/>
      <x:c r="J17" s="35"/>
      <x:c r="K17" s="35"/>
      <x:c r="L17" s="35"/>
    </x:row>
    <x:row r="18" ht="15" hidden="0" customHeight="1">
      <x:c r="B18" s="35" t="str">
        <x:v>Heat/smoke</x:v>
      </x:c>
      <x:c r="C18" s="35" t="str">
        <x:v>Thermal rejection, smoke loading and filter change are distinct test worlds; airflow closure alone is insufficient.</x:v>
      </x:c>
      <x:c r="D18" s="35"/>
      <x:c r="E18" s="35"/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5" t="str">
        <x:v>Evidence</x:v>
      </x:c>
      <x:c r="C19" s="35" t="str">
        <x:v>All area shares, air-change rates and train ratings remain design hypotheses.</x:v>
      </x:c>
      <x:c r="D19" s="35"/>
      <x:c r="E19" s="35"/>
      <x:c r="F19" s="35"/>
      <x:c r="G19" s="35"/>
      <x:c r="H19" s="35"/>
      <x:c r="I19" s="35"/>
      <x:c r="J19" s="35"/>
      <x:c r="K19" s="35"/>
      <x:c r="L19" s="35"/>
    </x:row>
  </x:sheetData>
  <x:mergeCells>
    <x:mergeCell ref="B2:L2"/>
    <x:mergeCell ref="B3:L3"/>
    <x:mergeCell ref="B13:K13"/>
    <x:mergeCell ref="C14:K14"/>
    <x:mergeCell ref="C15:K15"/>
    <x:mergeCell ref="C16:K16"/>
    <x:mergeCell ref="C17:K17"/>
    <x:mergeCell ref="C18:K18"/>
    <x:mergeCell ref="C19:K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6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1" max="1" width="3" hidden="0" customWidth="1"/>
  </x:cols>
  <x:sheetData>
    <x:row r="2" ht="15" hidden="0" customHeight="1">
      <x:c r="B2" s="34" t="str">
        <x:v>Electrical one-line and formation correction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Counting island-local support, modular rounding and reserve-island standby changes the HCSG-100 source result from five to six SPC-5 clusters.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Load block</x:v>
      </x:c>
      <x:c r="C6" s="31" t="str">
        <x:v>Quantity</x:v>
      </x:c>
      <x:c r="D6" s="31" t="str">
        <x:v>MW / unit</x:v>
      </x:c>
      <x:c r="E6" s="31" t="str">
        <x:v>Continuous MW</x:v>
      </x:c>
      <x:c r="F6" s="31" t="str">
        <x:v>Peak factor</x:v>
      </x:c>
      <x:c r="G6" s="31" t="str">
        <x:v>Peak MW</x:v>
      </x:c>
      <x:c r="H6" s="35"/>
      <x:c r="I6" s="35"/>
      <x:c r="J6" s="35"/>
      <x:c r="K6" s="35"/>
      <x:c r="L6" s="35"/>
    </x:row>
    <x:row r="7" ht="15" hidden="0" customHeight="1">
      <x:c r="B7" s="35" t="str">
        <x:v>Active-island direct care</x:v>
      </x:c>
      <x:c r="C7" s="35" t="n">
        <x:f>'01 Controls'!$D$7</x:f>
        <x:v>4</x:v>
      </x:c>
      <x:c r="D7" s="35" t="n">
        <x:f>'01 Controls'!$D$42</x:f>
        <x:v>1.6702</x:v>
      </x:c>
      <x:c r="E7" s="35" t="n">
        <x:f>C7*D7</x:f>
        <x:v>6.6808</x:v>
      </x:c>
      <x:c r="F7" s="35" t="n">
        <x:f>'01 Controls'!$D$46</x:f>
        <x:v>1.15</x:v>
      </x:c>
      <x:c r="G7" s="35" t="n">
        <x:f>E7*F7</x:f>
        <x:v>7.682919999999999</x:v>
      </x:c>
      <x:c r="H7" s="35"/>
      <x:c r="I7" s="35"/>
      <x:c r="J7" s="35"/>
      <x:c r="K7" s="35"/>
      <x:c r="L7" s="35"/>
    </x:row>
    <x:row r="8" ht="15" hidden="0" customHeight="1">
      <x:c r="B8" s="35" t="str">
        <x:v>Active-island local support</x:v>
      </x:c>
      <x:c r="C8" s="35" t="n">
        <x:f>'01 Controls'!$D$7</x:f>
        <x:v>4</x:v>
      </x:c>
      <x:c r="D8" s="35" t="n">
        <x:f>'01 Controls'!$D$43</x:f>
        <x:v>2.3</x:v>
      </x:c>
      <x:c r="E8" s="35" t="n">
        <x:f>C8*D8</x:f>
        <x:v>9.2</x:v>
      </x:c>
      <x:c r="F8" s="35" t="n">
        <x:f>'01 Controls'!$D$46</x:f>
        <x:v>1.15</x:v>
      </x:c>
      <x:c r="G8" s="35" t="n">
        <x:f>E8*F8</x:f>
        <x:v>10.579999999999998</x:v>
      </x:c>
      <x:c r="H8" s="35"/>
      <x:c r="I8" s="35"/>
      <x:c r="J8" s="35"/>
      <x:c r="K8" s="35"/>
      <x:c r="L8" s="35"/>
    </x:row>
    <x:row r="9" ht="15" hidden="0" customHeight="1">
      <x:c r="B9" s="35" t="str">
        <x:v>HCSG common support</x:v>
      </x:c>
      <x:c r="C9" s="35" t="n">
        <x:f>1</x:f>
        <x:v>1</x:v>
      </x:c>
      <x:c r="D9" s="35" t="n">
        <x:f>'01 Controls'!$D$44</x:f>
        <x:v>1.75</x:v>
      </x:c>
      <x:c r="E9" s="35" t="n">
        <x:f>C9*D9</x:f>
        <x:v>1.75</x:v>
      </x:c>
      <x:c r="F9" s="35" t="n">
        <x:f>'01 Controls'!$D$46</x:f>
        <x:v>1.15</x:v>
      </x:c>
      <x:c r="G9" s="35" t="n">
        <x:f>E9*F9</x:f>
        <x:v>2.0124999999999997</x:v>
      </x:c>
      <x:c r="H9" s="35"/>
      <x:c r="I9" s="35"/>
      <x:c r="J9" s="35"/>
      <x:c r="K9" s="35"/>
      <x:c r="L9" s="35"/>
    </x:row>
    <x:row r="10" ht="15" hidden="0" customHeight="1">
      <x:c r="B10" s="35" t="str">
        <x:v>Ready-island standby</x:v>
      </x:c>
      <x:c r="C10" s="35" t="n">
        <x:f>'01 Controls'!$D$8</x:f>
        <x:v>1</x:v>
      </x:c>
      <x:c r="D10" s="35" t="n">
        <x:f>'01 Controls'!$D$45</x:f>
        <x:v>0.65</x:v>
      </x:c>
      <x:c r="E10" s="35" t="n">
        <x:f>C10*D10</x:f>
        <x:v>0.65</x:v>
      </x:c>
      <x:c r="F10" s="35" t="n">
        <x:f>'01 Controls'!$D$46</x:f>
        <x:v>1.15</x:v>
      </x:c>
      <x:c r="G10" s="35" t="n">
        <x:f>E10*F10</x:f>
        <x:v>0.7474999999999999</x:v>
      </x:c>
      <x:c r="H10" s="35"/>
      <x:c r="I10" s="35"/>
      <x:c r="J10" s="35"/>
      <x:c r="K10" s="35"/>
      <x:c r="L10" s="35"/>
    </x:row>
    <x:row r="11" ht="15" hidden="0" customHeight="1">
      <x:c r="B11" s="38" t="str">
        <x:v>TOTAL</x:v>
      </x:c>
      <x:c r="C11" s="38" t="str"/>
      <x:c r="D11" s="38" t="str"/>
      <x:c r="E11" s="38" t="n">
        <x:f>SUM(E7:E10)</x:f>
        <x:v>18.2808</x:v>
      </x:c>
      <x:c r="F11" s="38"/>
      <x:c r="G11" s="38" t="n">
        <x:f>SUM(G7:G10)</x:f>
        <x:v>21.022919999999996</x:v>
      </x:c>
      <x:c r="H11" s="35"/>
      <x:c r="I11" s="35"/>
      <x:c r="J11" s="35"/>
      <x:c r="K11" s="35"/>
      <x:c r="L11" s="35"/>
    </x:row>
    <x:row r="12" ht="15" hidden="0" customHeight="1"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</x:row>
    <x:row r="13" ht="15" hidden="0" customHeight="1"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</x:row>
    <x:row r="14" ht="15" hidden="0" customHeight="1">
      <x:c r="B14" s="36" t="str">
        <x:v>Common source and protection screen</x:v>
      </x:c>
      <x:c r="C14" s="36"/>
      <x:c r="D14" s="36"/>
      <x:c r="E14" s="36"/>
      <x:c r="F14" s="36"/>
      <x:c r="G14" s="36"/>
      <x:c r="H14" s="35"/>
      <x:c r="I14" s="35"/>
      <x:c r="J14" s="35"/>
      <x:c r="K14" s="35"/>
      <x:c r="L14" s="35"/>
    </x:row>
    <x:row r="15" ht="15" hidden="0" customHeight="1">
      <x:c r="B15" s="35" t="str">
        <x:v>Required source clusters</x:v>
      </x:c>
      <x:c r="C15" s="35"/>
      <x:c r="D15" s="35" t="n">
        <x:f>MAX(ROUNDUP(E11*(1+'01 Controls'!$D$50)/('01 Controls'!$D$47*'01 Controls'!$D$49),0),ROUNDUP(E11/('01 Controls'!$D$47*'01 Controls'!$D$49),0)+1,ROUNDUP(G11/('01 Controls'!$D$48*'01 Controls'!$D$49),0)+1)</x:f>
        <x:v>6</x:v>
      </x:c>
      <x:c r="E15" s="35" t="str">
        <x:v>articles</x:v>
      </x:c>
      <x:c r="F15" s="35"/>
      <x:c r="G15" s="35"/>
      <x:c r="H15" s="35"/>
      <x:c r="I15" s="35"/>
      <x:c r="J15" s="35"/>
      <x:c r="K15" s="35"/>
      <x:c r="L15" s="35"/>
    </x:row>
    <x:row r="16" ht="15" hidden="0" customHeight="1">
      <x:c r="B16" s="35" t="str">
        <x:v>Installed continuous</x:v>
      </x:c>
      <x:c r="C16" s="35"/>
      <x:c r="D16" s="35" t="n">
        <x:f>D15*'01 Controls'!$D$47</x:f>
        <x:v>30</x:v>
      </x:c>
      <x:c r="E16" s="35" t="str">
        <x:v>MW</x:v>
      </x:c>
      <x:c r="F16" s="35"/>
      <x:c r="G16" s="35"/>
      <x:c r="H16" s="35"/>
      <x:c r="I16" s="35"/>
      <x:c r="J16" s="35"/>
      <x:c r="K16" s="35"/>
      <x:c r="L16" s="35"/>
    </x:row>
    <x:row r="17" ht="15" hidden="0" customHeight="1">
      <x:c r="B17" s="35" t="str">
        <x:v>After-loss continuous</x:v>
      </x:c>
      <x:c r="C17" s="35"/>
      <x:c r="D17" s="35" t="n">
        <x:f>(D15-1)*'01 Controls'!$D$47*'01 Controls'!$D$49</x:f>
        <x:v>22.5</x:v>
      </x:c>
      <x:c r="E17" s="35" t="str">
        <x:v>MW</x:v>
      </x:c>
      <x:c r="F17" s="35"/>
      <x:c r="G17" s="35"/>
      <x:c r="H17" s="35"/>
      <x:c r="I17" s="35"/>
      <x:c r="J17" s="35"/>
      <x:c r="K17" s="35"/>
      <x:c r="L17" s="35"/>
    </x:row>
    <x:row r="18" ht="15" hidden="0" customHeight="1">
      <x:c r="B18" s="35" t="str">
        <x:v>Continuous margin</x:v>
      </x:c>
      <x:c r="C18" s="35"/>
      <x:c r="D18" s="35" t="n">
        <x:f>D17-E11</x:f>
        <x:v>4.219200000000001</x:v>
      </x:c>
      <x:c r="E18" s="35" t="str">
        <x:v>MW</x:v>
      </x:c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5" t="str">
        <x:v>After-loss peak</x:v>
      </x:c>
      <x:c r="C19" s="35"/>
      <x:c r="D19" s="35" t="n">
        <x:f>(D15-1)*'01 Controls'!$D$48*'01 Controls'!$D$49</x:f>
        <x:v>31.5</x:v>
      </x:c>
      <x:c r="E19" s="35" t="str">
        <x:v>MW</x:v>
      </x:c>
      <x:c r="F19" s="35"/>
      <x:c r="G19" s="35"/>
      <x:c r="H19" s="35"/>
      <x:c r="I19" s="35"/>
      <x:c r="J19" s="35"/>
      <x:c r="K19" s="35"/>
      <x:c r="L19" s="35"/>
    </x:row>
    <x:row r="20" ht="15" hidden="0" customHeight="1">
      <x:c r="B20" s="35" t="str">
        <x:v>Peak margin</x:v>
      </x:c>
      <x:c r="C20" s="35"/>
      <x:c r="D20" s="35" t="n">
        <x:f>D19-G11</x:f>
        <x:v>10.477080000000004</x:v>
      </x:c>
      <x:c r="E20" s="35" t="str">
        <x:v>MW</x:v>
      </x:c>
      <x:c r="F20" s="35"/>
      <x:c r="G20" s="35"/>
      <x:c r="H20" s="35"/>
      <x:c r="I20" s="35"/>
      <x:c r="J20" s="35"/>
      <x:c r="K20" s="35"/>
      <x:c r="L20" s="35"/>
    </x:row>
    <x:row r="21" ht="15" hidden="0" customHeight="1">
      <x:c r="B21" s="35" t="str">
        <x:v>Protection nodes</x:v>
      </x:c>
      <x:c r="C21" s="35"/>
      <x:c r="D21" s="35" t="n">
        <x:f>ROUNDUP(D16/4.75,0)+1</x:f>
        <x:v>8</x:v>
      </x:c>
      <x:c r="E21" s="35" t="str">
        <x:v>nodes</x:v>
      </x:c>
      <x:c r="F21" s="35"/>
      <x:c r="G21" s="35"/>
      <x:c r="H21" s="35"/>
      <x:c r="I21" s="35"/>
      <x:c r="J21" s="35"/>
      <x:c r="K21" s="35"/>
      <x:c r="L21" s="35"/>
    </x:row>
    <x:row r="22" ht="15" hidden="0" customHeight="1">
      <x:c r="B22" s="35" t="str">
        <x:v>Control cells</x:v>
      </x:c>
      <x:c r="C22" s="35"/>
      <x:c r="D22" s="35" t="n">
        <x:f>6</x:f>
        <x:v>6</x:v>
      </x:c>
      <x:c r="E22" s="35" t="str">
        <x:v>cells</x:v>
      </x:c>
      <x:c r="F22" s="35"/>
      <x:c r="G22" s="35"/>
      <x:c r="H22" s="35"/>
      <x:c r="I22" s="35"/>
      <x:c r="J22" s="35"/>
      <x:c r="K22" s="35"/>
      <x:c r="L22" s="35"/>
    </x:row>
    <x:row r="23" ht="15" hidden="0" customHeight="1">
      <x:c r="B23" s="35" t="str">
        <x:v>Common electrical articles</x:v>
      </x:c>
      <x:c r="C23" s="35"/>
      <x:c r="D23" s="35" t="n">
        <x:f>D15+'08 No-break'!D15+D21+D22</x:f>
        <x:v>23</x:v>
      </x:c>
      <x:c r="E23" s="35" t="str">
        <x:v>articles</x:v>
      </x:c>
      <x:c r="F23" s="35"/>
      <x:c r="G23" s="35"/>
      <x:c r="H23" s="35"/>
      <x:c r="I23" s="35"/>
      <x:c r="J23" s="35"/>
      <x:c r="K23" s="35"/>
      <x:c r="L23" s="35"/>
    </x:row>
    <x:row r="24" ht="15" hidden="0" customHeight="1"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</x:row>
    <x:row r="25" ht="15" hidden="0" customHeight="1"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</x:row>
    <x:row r="26" ht="15" hidden="0" customHeight="1">
      <x:c r="B26" s="36" t="str">
        <x:v>Island-local one-line</x:v>
      </x:c>
      <x:c r="C26" s="36"/>
      <x:c r="D26" s="36"/>
      <x:c r="E26" s="36"/>
      <x:c r="F26" s="36"/>
      <x:c r="G26" s="36"/>
      <x:c r="H26" s="35"/>
      <x:c r="I26" s="35"/>
      <x:c r="J26" s="35"/>
      <x:c r="K26" s="35"/>
      <x:c r="L26" s="35"/>
    </x:row>
    <x:row r="27" ht="15" hidden="0" customHeight="1">
      <x:c r="B27" s="35" t="str">
        <x:v>Source</x:v>
      </x:c>
      <x:c r="C27" s="35" t="str">
        <x:v>Two physically separated HCSG medium-voltage ring entries.</x:v>
      </x:c>
      <x:c r="D27" s="35"/>
      <x:c r="E27" s="35"/>
      <x:c r="F27" s="35"/>
      <x:c r="G27" s="35"/>
      <x:c r="H27" s="35"/>
      <x:c r="I27" s="35"/>
      <x:c r="J27" s="35"/>
      <x:c r="K27" s="35"/>
      <x:c r="L27" s="35"/>
    </x:row>
    <x:row r="28" ht="15" hidden="0" customHeight="1">
      <x:c r="B28" s="35" t="str">
        <x:v>Feeder root</x:v>
      </x:c>
      <x:c r="C28" s="35" t="str">
        <x:v>Three 2.5 MW feeder trains; any two retain 5 MW against the 4.56573 MW island peak.</x:v>
      </x:c>
      <x:c r="D28" s="35"/>
      <x:c r="E28" s="35"/>
      <x:c r="F28" s="35"/>
      <x:c r="G28" s="35"/>
      <x:c r="H28" s="35"/>
      <x:c r="I28" s="35"/>
      <x:c r="J28" s="35"/>
      <x:c r="K28" s="35"/>
      <x:c r="L28" s="35"/>
    </x:row>
    <x:row r="29" ht="15" hidden="0" customHeight="1">
      <x:c r="B29" s="35" t="str">
        <x:v>Branching</x:v>
      </x:c>
      <x:c r="C29" s="35" t="str">
        <x:v>Eight sector switchboards; clinical and facility branches never share an unisolated single point.</x:v>
      </x:c>
      <x:c r="D29" s="35"/>
      <x:c r="E29" s="35"/>
      <x:c r="F29" s="35"/>
      <x:c r="G29" s="35"/>
      <x:c r="H29" s="35"/>
      <x:c r="I29" s="35"/>
      <x:c r="J29" s="35"/>
      <x:c r="K29" s="35"/>
      <x:c r="L29" s="35"/>
    </x:row>
    <x:row r="30" ht="15" hidden="0" customHeight="1">
      <x:c r="B30" s="35" t="str">
        <x:v>No-break</x:v>
      </x:c>
      <x:c r="C30" s="35" t="str">
        <x:v>Three 0.2 MWh local ride-through pods bridge local switching; formation BSS owns the 30-minute service.</x:v>
      </x:c>
      <x:c r="D30" s="35"/>
      <x:c r="E30" s="35"/>
      <x:c r="F30" s="35"/>
      <x:c r="G30" s="35"/>
      <x:c r="H30" s="35"/>
      <x:c r="I30" s="35"/>
      <x:c r="J30" s="35"/>
      <x:c r="K30" s="35"/>
      <x:c r="L30" s="35"/>
    </x:row>
    <x:row r="31" ht="15" hidden="0" customHeight="1">
      <x:c r="B31" s="35" t="str">
        <x:v>Protection</x:v>
      </x:c>
      <x:c r="C31" s="35" t="str">
        <x:v>Selective trip must isolate a cell without taking an unlike care line or the clean utility loop.</x:v>
      </x:c>
      <x:c r="D31" s="35"/>
      <x:c r="E31" s="35"/>
      <x:c r="F31" s="35"/>
      <x:c r="G31" s="35"/>
      <x:c r="H31" s="35"/>
      <x:c r="I31" s="35"/>
      <x:c r="J31" s="35"/>
      <x:c r="K31" s="35"/>
      <x:c r="L31" s="35"/>
    </x:row>
    <x:row r="32" ht="15" hidden="0" customHeight="1">
      <x:c r="B32" s="35" t="str">
        <x:v>Manual state</x:v>
      </x:c>
      <x:c r="C32" s="35" t="str">
        <x:v>Local operation remains possible with the HCSG controller and external network absent.</x:v>
      </x:c>
      <x:c r="D32" s="35"/>
      <x:c r="E32" s="35"/>
      <x:c r="F32" s="35"/>
      <x:c r="G32" s="35"/>
      <x:c r="H32" s="35"/>
      <x:c r="I32" s="35"/>
      <x:c r="J32" s="35"/>
      <x:c r="K32" s="35"/>
      <x:c r="L32" s="35"/>
    </x:row>
    <x:row r="33" ht="15" hidden="0" customHeight="1">
      <x:c r="B33" s="35" t="str">
        <x:v>Release</x:v>
      </x:c>
      <x:c r="C33" s="35" t="str">
        <x:v>Energization requires receiver grounding, arc-flash, inspection and clinical utility authority.</x:v>
      </x:c>
      <x:c r="D33" s="35"/>
      <x:c r="E33" s="35"/>
      <x:c r="F33" s="35"/>
      <x:c r="G33" s="35"/>
      <x:c r="H33" s="35"/>
      <x:c r="I33" s="35"/>
      <x:c r="J33" s="35"/>
      <x:c r="K33" s="35"/>
      <x:c r="L33" s="35"/>
    </x:row>
  </x:sheetData>
  <x:mergeCells>
    <x:mergeCell ref="B2:L2"/>
    <x:mergeCell ref="B3:L3"/>
    <x:mergeCell ref="B14:G14"/>
    <x:mergeCell ref="B26:G26"/>
    <x:mergeCell ref="C27:G27"/>
    <x:mergeCell ref="C28:G28"/>
    <x:mergeCell ref="C29:G29"/>
    <x:mergeCell ref="C30:G30"/>
    <x:mergeCell ref="C31:G31"/>
    <x:mergeCell ref="C32:G32"/>
    <x:mergeCell ref="C33:G3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43" hidden="0" customWidth="1"/>
    <x:col min="3" max="3" width="18" hidden="0" customWidth="1"/>
    <x:col min="4" max="4" width="20" hidden="0" customWidth="1"/>
    <x:col min="5" max="5" width="20" hidden="0" customWidth="1"/>
    <x:col min="1" max="1" width="3" hidden="0" customWidth="1"/>
  </x:cols>
  <x:sheetData>
    <x:row r="2" ht="15" hidden="0" customHeight="1">
      <x:c r="B2" s="34" t="str">
        <x:v>No-break service and local ride-through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Clinical safe state is a service promise, not simply stored energy. The reserve island and segmentation overhead raise HCSG no-break demand to 10.244 MW.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Load block</x:v>
      </x:c>
      <x:c r="C6" s="31" t="str">
        <x:v>Quantity</x:v>
      </x:c>
      <x:c r="D6" s="31" t="str">
        <x:v>MW / unit</x:v>
      </x:c>
      <x:c r="E6" s="31" t="str">
        <x:v>No-break MW</x:v>
      </x:c>
      <x:c r="F6" s="35"/>
      <x:c r="G6" s="35"/>
      <x:c r="H6" s="35"/>
      <x:c r="I6" s="35"/>
      <x:c r="J6" s="35"/>
      <x:c r="K6" s="35"/>
      <x:c r="L6" s="35"/>
    </x:row>
    <x:row r="7" ht="15" hidden="0" customHeight="1">
      <x:c r="B7" s="35" t="str">
        <x:v>Active-island direct care</x:v>
      </x:c>
      <x:c r="C7" s="35" t="n">
        <x:f>'01 Controls'!$D$7</x:f>
        <x:v>4</x:v>
      </x:c>
      <x:c r="D7" s="35" t="n">
        <x:f>'01 Controls'!$D$53</x:f>
        <x:v>1.2735</x:v>
      </x:c>
      <x:c r="E7" s="35" t="n">
        <x:f>C7*D7</x:f>
        <x:v>5.094</x:v>
      </x:c>
      <x:c r="F7" s="35"/>
      <x:c r="G7" s="35"/>
      <x:c r="H7" s="35"/>
      <x:c r="I7" s="35"/>
      <x:c r="J7" s="35"/>
      <x:c r="K7" s="35"/>
      <x:c r="L7" s="35"/>
    </x:row>
    <x:row r="8" ht="15" hidden="0" customHeight="1">
      <x:c r="B8" s="35" t="str">
        <x:v>Active-island local support</x:v>
      </x:c>
      <x:c r="C8" s="35" t="n">
        <x:f>'01 Controls'!$D$7</x:f>
        <x:v>4</x:v>
      </x:c>
      <x:c r="D8" s="35" t="n">
        <x:f>'01 Controls'!$D$54</x:f>
        <x:v>1</x:v>
      </x:c>
      <x:c r="E8" s="35" t="n">
        <x:f>C8*D8</x:f>
        <x:v>4</x:v>
      </x:c>
      <x:c r="F8" s="35"/>
      <x:c r="G8" s="35"/>
      <x:c r="H8" s="35"/>
      <x:c r="I8" s="35"/>
      <x:c r="J8" s="35"/>
      <x:c r="K8" s="35"/>
      <x:c r="L8" s="35"/>
    </x:row>
    <x:row r="9" ht="15" hidden="0" customHeight="1">
      <x:c r="B9" s="35" t="str">
        <x:v>HCSG common no-break</x:v>
      </x:c>
      <x:c r="C9" s="35" t="n">
        <x:f>1</x:f>
        <x:v>1</x:v>
      </x:c>
      <x:c r="D9" s="35" t="n">
        <x:f>'01 Controls'!$D$55</x:f>
        <x:v>0.9</x:v>
      </x:c>
      <x:c r="E9" s="35" t="n">
        <x:f>C9*D9</x:f>
        <x:v>0.9</x:v>
      </x:c>
      <x:c r="F9" s="35"/>
      <x:c r="G9" s="35"/>
      <x:c r="H9" s="35"/>
      <x:c r="I9" s="35"/>
      <x:c r="J9" s="35"/>
      <x:c r="K9" s="35"/>
      <x:c r="L9" s="35"/>
    </x:row>
    <x:row r="10" ht="15" hidden="0" customHeight="1">
      <x:c r="B10" s="35" t="str">
        <x:v>Ready-island standby no-break</x:v>
      </x:c>
      <x:c r="C10" s="35" t="n">
        <x:f>1</x:f>
        <x:v>1</x:v>
      </x:c>
      <x:c r="D10" s="35" t="n">
        <x:f>'01 Controls'!$D$56</x:f>
        <x:v>0.25</x:v>
      </x:c>
      <x:c r="E10" s="35" t="n">
        <x:f>C10*D10</x:f>
        <x:v>0.25</x:v>
      </x:c>
      <x:c r="F10" s="35"/>
      <x:c r="G10" s="35"/>
      <x:c r="H10" s="35"/>
      <x:c r="I10" s="35"/>
      <x:c r="J10" s="35"/>
      <x:c r="K10" s="35"/>
      <x:c r="L10" s="35"/>
    </x:row>
    <x:row r="11" ht="15" hidden="0" customHeight="1">
      <x:c r="B11" s="38" t="str">
        <x:v>TOTAL</x:v>
      </x:c>
      <x:c r="C11" s="38" t="str"/>
      <x:c r="D11" s="38" t="str">
        <x:v>NO-BREAK</x:v>
      </x:c>
      <x:c r="E11" s="38" t="n">
        <x:f>SUM(E7:E10)</x:f>
        <x:v>10.244000000000002</x:v>
      </x:c>
      <x:c r="F11" s="35"/>
      <x:c r="G11" s="35"/>
      <x:c r="H11" s="35"/>
      <x:c r="I11" s="35"/>
      <x:c r="J11" s="35"/>
      <x:c r="K11" s="35"/>
      <x:c r="L11" s="35"/>
    </x:row>
    <x:row r="12" ht="15" hidden="0" customHeight="1"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</x:row>
    <x:row r="13" ht="15" hidden="0" customHeight="1"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</x:row>
    <x:row r="14" ht="15" hidden="0" customHeight="1">
      <x:c r="B14" s="36" t="str">
        <x:v>Formation storage screen</x:v>
      </x:c>
      <x:c r="C14" s="36"/>
      <x:c r="D14" s="36"/>
      <x:c r="E14" s="36"/>
      <x:c r="F14" s="35"/>
      <x:c r="G14" s="35"/>
      <x:c r="H14" s="35"/>
      <x:c r="I14" s="35"/>
      <x:c r="J14" s="35"/>
      <x:c r="K14" s="35"/>
      <x:c r="L14" s="35"/>
    </x:row>
    <x:row r="15" ht="15" hidden="0" customHeight="1">
      <x:c r="B15" s="35" t="str">
        <x:v>BSS articles</x:v>
      </x:c>
      <x:c r="C15" s="35"/>
      <x:c r="D15" s="35" t="n">
        <x:f>MAX(ROUNDUP(E11/'01 Controls'!$D$61,0)+1,ROUNDUP(D16/'01 Controls'!$D$62,0)+1)</x:f>
        <x:v>3</x:v>
      </x:c>
      <x:c r="E15" s="35" t="str">
        <x:v>articles</x:v>
      </x:c>
      <x:c r="F15" s="35"/>
      <x:c r="G15" s="35"/>
      <x:c r="H15" s="35"/>
      <x:c r="I15" s="35"/>
      <x:c r="J15" s="35"/>
      <x:c r="K15" s="35"/>
      <x:c r="L15" s="35"/>
    </x:row>
    <x:row r="16" ht="15" hidden="0" customHeight="1">
      <x:c r="B16" s="35" t="str">
        <x:v>Required nameplate energy</x:v>
      </x:c>
      <x:c r="C16" s="35"/>
      <x:c r="D16" s="35" t="n">
        <x:f>E11*'01 Controls'!$D$57*(1+'01 Controls'!$D$58)/('01 Controls'!$D$59*'01 Controls'!$D$60)</x:f>
        <x:v>8.351086956521739</x:v>
      </x:c>
      <x:c r="E16" s="35" t="str">
        <x:v>MWh</x:v>
      </x:c>
      <x:c r="F16" s="35"/>
      <x:c r="G16" s="35"/>
      <x:c r="H16" s="35"/>
      <x:c r="I16" s="35"/>
      <x:c r="J16" s="35"/>
      <x:c r="K16" s="35"/>
      <x:c r="L16" s="35"/>
    </x:row>
    <x:row r="17" ht="15" hidden="0" customHeight="1">
      <x:c r="B17" s="35" t="str">
        <x:v>After-loss power</x:v>
      </x:c>
      <x:c r="C17" s="35"/>
      <x:c r="D17" s="35" t="n">
        <x:f>(D15-1)*'01 Controls'!$D$61</x:f>
        <x:v>20</x:v>
      </x:c>
      <x:c r="E17" s="35" t="str">
        <x:v>MW</x:v>
      </x:c>
      <x:c r="F17" s="35"/>
      <x:c r="G17" s="35"/>
      <x:c r="H17" s="35"/>
      <x:c r="I17" s="35"/>
      <x:c r="J17" s="35"/>
      <x:c r="K17" s="35"/>
      <x:c r="L17" s="35"/>
    </x:row>
    <x:row r="18" ht="15" hidden="0" customHeight="1">
      <x:c r="B18" s="35" t="str">
        <x:v>After-loss energy</x:v>
      </x:c>
      <x:c r="C18" s="35"/>
      <x:c r="D18" s="35" t="n">
        <x:f>(D15-1)*'01 Controls'!$D$62</x:f>
        <x:v>10</x:v>
      </x:c>
      <x:c r="E18" s="35" t="str">
        <x:v>MWh</x:v>
      </x:c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5" t="str">
        <x:v>Power margin</x:v>
      </x:c>
      <x:c r="C19" s="35"/>
      <x:c r="D19" s="35" t="n">
        <x:f>D17-E11</x:f>
        <x:v>9.755999999999998</x:v>
      </x:c>
      <x:c r="E19" s="35" t="str">
        <x:v>MW</x:v>
      </x:c>
      <x:c r="F19" s="35"/>
      <x:c r="G19" s="35"/>
      <x:c r="H19" s="35"/>
      <x:c r="I19" s="35"/>
      <x:c r="J19" s="35"/>
      <x:c r="K19" s="35"/>
      <x:c r="L19" s="35"/>
    </x:row>
    <x:row r="20" ht="15" hidden="0" customHeight="1">
      <x:c r="B20" s="35" t="str">
        <x:v>Energy margin</x:v>
      </x:c>
      <x:c r="C20" s="35"/>
      <x:c r="D20" s="35" t="n">
        <x:f>D18-D16</x:f>
        <x:v>1.6489130434782613</x:v>
      </x:c>
      <x:c r="E20" s="35" t="str">
        <x:v>MWh</x:v>
      </x:c>
      <x:c r="F20" s="35"/>
      <x:c r="G20" s="35"/>
      <x:c r="H20" s="35"/>
      <x:c r="I20" s="35"/>
      <x:c r="J20" s="35"/>
      <x:c r="K20" s="35"/>
      <x:c r="L20" s="35"/>
    </x:row>
    <x:row r="21" ht="15" hidden="0" customHeight="1">
      <x:c r="B21" s="35" t="str">
        <x:v>Local ride-through requirement / island</x:v>
      </x:c>
      <x:c r="C21" s="35"/>
      <x:c r="D21" s="35" t="n">
        <x:f>('01 Controls'!$D$53+'01 Controls'!$D$54)*5/60*(1+'01 Controls'!$D$58)/('01 Controls'!$D$59*'01 Controls'!$D$60)</x:f>
        <x:v>0.3088994565217391</x:v>
      </x:c>
      <x:c r="E21" s="35" t="str">
        <x:v>MWh</x:v>
      </x:c>
      <x:c r="F21" s="35"/>
      <x:c r="G21" s="35"/>
      <x:c r="H21" s="35"/>
      <x:c r="I21" s="35"/>
      <x:c r="J21" s="35"/>
      <x:c r="K21" s="35"/>
      <x:c r="L21" s="35"/>
    </x:row>
  </x:sheetData>
  <x:mergeCells>
    <x:mergeCell ref="B2:L2"/>
    <x:mergeCell ref="B3:L3"/>
    <x:mergeCell ref="B14:E1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3" hidden="0" customWidth="1"/>
    <x:col min="1" max="1" width="3" hidden="0" customWidth="1"/>
  </x:cols>
  <x:sheetData>
    <x:row r="2" ht="15" hidden="0" customHeight="1">
      <x:c r="B2" s="34" t="str">
        <x:v>Island-local oxygen, water and residual custody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Local buffers cover isolation and switchover; they do not replace HCSG production or environmental release systems.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Service</x:v>
      </x:c>
      <x:c r="C6" s="31" t="str">
        <x:v>Base/day</x:v>
      </x:c>
      <x:c r="D6" s="31" t="str">
        <x:v>Protected/day</x:v>
      </x:c>
      <x:c r="E6" s="31" t="str">
        <x:v>Buffer h</x:v>
      </x:c>
      <x:c r="F6" s="31" t="str">
        <x:v>Required buffer</x:v>
      </x:c>
      <x:c r="G6" s="31" t="str">
        <x:v>Pod capacity</x:v>
      </x:c>
      <x:c r="H6" s="31" t="str">
        <x:v>Pods</x:v>
      </x:c>
      <x:c r="I6" s="31" t="str">
        <x:v>After one loss</x:v>
      </x:c>
      <x:c r="J6" s="31" t="str">
        <x:v>Margin</x:v>
      </x:c>
      <x:c r="K6" s="31" t="str">
        <x:v>Unit</x:v>
      </x:c>
      <x:c r="L6" s="35"/>
    </x:row>
    <x:row r="7" ht="15" hidden="0" customHeight="1">
      <x:c r="B7" s="35" t="str">
        <x:v>Clinical water</x:v>
      </x:c>
      <x:c r="C7" s="35" t="n">
        <x:f>'01 Controls'!$D$63</x:f>
        <x:v>47.7725</x:v>
      </x:c>
      <x:c r="D7" s="35" t="n">
        <x:f>(C7+'01 Controls'!$D$64*'01 Controls'!$D$65/1000+'01 Controls'!$D$66)*(1+'01 Controls'!$D$67)</x:f>
        <x:v>236.365625</x:v>
      </x:c>
      <x:c r="E7" s="35" t="n">
        <x:f>'01 Controls'!$D$68</x:f>
        <x:v>8</x:v>
      </x:c>
      <x:c r="F7" s="35" t="n">
        <x:f>D7*E7/24</x:f>
        <x:v>78.78854166666666</x:v>
      </x:c>
      <x:c r="G7" s="35" t="n">
        <x:f>'01 Controls'!$D$69</x:f>
        <x:v>40</x:v>
      </x:c>
      <x:c r="H7" s="35" t="n">
        <x:f>ROUNDUP(F7/G7,0)+1</x:f>
        <x:v>3</x:v>
      </x:c>
      <x:c r="I7" s="35" t="n">
        <x:f>(H7-1)*G7</x:f>
        <x:v>80</x:v>
      </x:c>
      <x:c r="J7" s="35" t="n">
        <x:f>I7-F7</x:f>
        <x:v>1.21145833333334</x:v>
      </x:c>
      <x:c r="K7" s="35" t="str">
        <x:v>m3</x:v>
      </x:c>
      <x:c r="L7" s="35"/>
    </x:row>
    <x:row r="8" ht="15" hidden="0" customHeight="1">
      <x:c r="B8" s="35" t="str">
        <x:v>Wastewater</x:v>
      </x:c>
      <x:c r="C8" s="35" t="n">
        <x:f>(C7+'01 Controls'!$D$64*'01 Controls'!$D$65/1000+'01 Controls'!$D$66)*'01 Controls'!$D$70</x:f>
        <x:v>170.18325000000002</x:v>
      </x:c>
      <x:c r="D8" s="35" t="n">
        <x:f>C8*(1+'01 Controls'!$D$67)</x:f>
        <x:v>212.72906250000003</x:v>
      </x:c>
      <x:c r="E8" s="35" t="n">
        <x:f>'01 Controls'!$D$68</x:f>
        <x:v>8</x:v>
      </x:c>
      <x:c r="F8" s="35" t="n">
        <x:f>D8*E8/24</x:f>
        <x:v>70.9096875</x:v>
      </x:c>
      <x:c r="G8" s="35" t="n">
        <x:f>'01 Controls'!$D$71</x:f>
        <x:v>40</x:v>
      </x:c>
      <x:c r="H8" s="35" t="n">
        <x:f>ROUNDUP(F8/G8,0)+1</x:f>
        <x:v>3</x:v>
      </x:c>
      <x:c r="I8" s="35" t="n">
        <x:f>(H8-1)*G8</x:f>
        <x:v>80</x:v>
      </x:c>
      <x:c r="J8" s="35" t="n">
        <x:f>I8-F8</x:f>
        <x:v>9.090312499999996</x:v>
      </x:c>
      <x:c r="K8" s="35" t="str">
        <x:v>m3</x:v>
      </x:c>
      <x:c r="L8" s="35"/>
    </x:row>
    <x:row r="9" ht="15" hidden="0" customHeight="1">
      <x:c r="B9" s="35" t="str">
        <x:v>Medical oxygen</x:v>
      </x:c>
      <x:c r="C9" s="35" t="n">
        <x:f>'01 Controls'!$D$72</x:f>
        <x:v>1539.25</x:v>
      </x:c>
      <x:c r="D9" s="35" t="n">
        <x:f>C9*(1+'01 Controls'!$D$73)</x:f>
        <x:v>1924.0625</x:v>
      </x:c>
      <x:c r="E9" s="35" t="n">
        <x:f>'01 Controls'!$D$74</x:f>
        <x:v>4</x:v>
      </x:c>
      <x:c r="F9" s="35" t="n">
        <x:f>D9*E9/24</x:f>
        <x:v>320.6770833333333</x:v>
      </x:c>
      <x:c r="G9" s="35" t="n">
        <x:f>'01 Controls'!$D$75</x:f>
        <x:v>200</x:v>
      </x:c>
      <x:c r="H9" s="35" t="n">
        <x:f>ROUNDUP(F9/G9,0)+1</x:f>
        <x:v>3</x:v>
      </x:c>
      <x:c r="I9" s="35" t="n">
        <x:f>(H9-1)*G9</x:f>
        <x:v>400</x:v>
      </x:c>
      <x:c r="J9" s="35" t="n">
        <x:f>I9-F9</x:f>
        <x:v>79.32291666666669</x:v>
      </x:c>
      <x:c r="K9" s="35" t="str">
        <x:v>m3</x:v>
      </x:c>
      <x:c r="L9" s="35"/>
    </x:row>
    <x:row r="10" ht="15" hidden="0" customHeight="1">
      <x:c r="B10" s="35" t="str">
        <x:v>Medical waste</x:v>
      </x:c>
      <x:c r="C10" s="35" t="n">
        <x:f>'01 Controls'!$D$76</x:f>
        <x:v>0.88825625</x:v>
      </x:c>
      <x:c r="D10" s="35" t="n">
        <x:f>C10*(1+'01 Controls'!$D$77)</x:f>
        <x:v>1.1103203124999999</x:v>
      </x:c>
      <x:c r="E10" s="35" t="n">
        <x:v>24</x:v>
      </x:c>
      <x:c r="F10" s="35" t="n">
        <x:f>D10*E10/24</x:f>
        <x:v>1.1103203124999999</x:v>
      </x:c>
      <x:c r="G10" s="35" t="n">
        <x:f>'01 Controls'!$D$78</x:f>
        <x:v>0.6</x:v>
      </x:c>
      <x:c r="H10" s="35" t="n">
        <x:f>ROUNDUP(F10/G10,0)+1</x:f>
        <x:v>3</x:v>
      </x:c>
      <x:c r="I10" s="35" t="n">
        <x:f>(H10-1)*G10</x:f>
        <x:v>1.2</x:v>
      </x:c>
      <x:c r="J10" s="35" t="n">
        <x:f>I10-F10</x:f>
        <x:v>0.0896796875000001</x:v>
      </x:c>
      <x:c r="K10" s="35" t="str">
        <x:v>t</x:v>
      </x:c>
      <x:c r="L10" s="35"/>
    </x:row>
    <x:row r="11" ht="15" hidden="0" customHeight="1"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</x:row>
    <x:row r="12" ht="15" hidden="0" customHeight="1"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</x:row>
    <x:row r="13" ht="15" hidden="0" customHeight="1"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</x:row>
    <x:row r="14" ht="15" hidden="0" customHeight="1">
      <x:c r="B14" s="36" t="str">
        <x:v>Local constitution</x:v>
      </x:c>
      <x:c r="C14" s="36"/>
      <x:c r="D14" s="36"/>
      <x:c r="E14" s="36"/>
      <x:c r="F14" s="36"/>
      <x:c r="G14" s="36"/>
      <x:c r="H14" s="36"/>
      <x:c r="I14" s="36"/>
      <x:c r="J14" s="36"/>
      <x:c r="K14" s="36"/>
      <x:c r="L14" s="35"/>
    </x:row>
    <x:row r="15" ht="15" hidden="0" customHeight="1">
      <x:c r="B15" s="35" t="str">
        <x:v>Water</x:v>
      </x:c>
      <x:c r="C15" s="35" t="str">
        <x:v>Three 40 m3 protected storage nodes plus two grade-polishing nodes; one storage-node loss retains the eight-hour buffer.</x:v>
      </x:c>
      <x:c r="D15" s="35"/>
      <x:c r="E15" s="35"/>
      <x:c r="F15" s="35"/>
      <x:c r="G15" s="35"/>
      <x:c r="H15" s="35"/>
      <x:c r="I15" s="35"/>
      <x:c r="J15" s="35"/>
      <x:c r="K15" s="35"/>
      <x:c r="L15" s="35"/>
    </x:row>
    <x:row r="16" ht="15" hidden="0" customHeight="1">
      <x:c r="B16" s="35" t="str">
        <x:v>Wastewater</x:v>
      </x:c>
      <x:c r="C16" s="35" t="str">
        <x:v>Three 40 m3 segregated tanks plus one release interface; contaminated and noncontaminated streams do not silently mix.</x:v>
      </x:c>
      <x:c r="D16" s="35"/>
      <x:c r="E16" s="35"/>
      <x:c r="F16" s="35"/>
      <x:c r="G16" s="35"/>
      <x:c r="H16" s="35"/>
      <x:c r="I16" s="35"/>
      <x:c r="J16" s="35"/>
      <x:c r="K16" s="35"/>
      <x:c r="L16" s="35"/>
    </x:row>
    <x:row r="17" ht="15" hidden="0" customHeight="1">
      <x:c r="B17" s="35" t="str">
        <x:v>Oxygen</x:v>
      </x:c>
      <x:c r="C17" s="35" t="str">
        <x:v>Two isolated headers plus three 200 m3 reserve pods; one reserve-pod loss retains the four-hour protected buffer.</x:v>
      </x:c>
      <x:c r="D17" s="35"/>
      <x:c r="E17" s="35"/>
      <x:c r="F17" s="35"/>
      <x:c r="G17" s="35"/>
      <x:c r="H17" s="35"/>
      <x:c r="I17" s="35"/>
      <x:c r="J17" s="35"/>
      <x:c r="K17" s="35"/>
      <x:c r="L17" s="35"/>
    </x:row>
    <x:row r="18" ht="15" hidden="0" customHeight="1">
      <x:c r="B18" s="35" t="str">
        <x:v>Medical waste</x:v>
      </x:c>
      <x:c r="C18" s="35" t="str">
        <x:v>Three 0.6 t custody pods plus the wastewater/release interface; one pod loss retains a protected day.</x:v>
      </x:c>
      <x:c r="D18" s="35"/>
      <x:c r="E18" s="35"/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5" t="str">
        <x:v>Quality</x:v>
      </x:c>
      <x:c r="C19" s="35" t="str">
        <x:v>Quantity is zero capacity when purity, temperature, pressure, chain of custody or lawful disposal state is unknown.</x:v>
      </x:c>
      <x:c r="D19" s="35"/>
      <x:c r="E19" s="35"/>
      <x:c r="F19" s="35"/>
      <x:c r="G19" s="35"/>
      <x:c r="H19" s="35"/>
      <x:c r="I19" s="35"/>
      <x:c r="J19" s="35"/>
      <x:c r="K19" s="35"/>
      <x:c r="L19" s="35"/>
    </x:row>
    <x:row r="20" ht="15" hidden="0" customHeight="1">
      <x:c r="B20" s="35" t="str">
        <x:v>Evidence</x:v>
      </x:c>
      <x:c r="C20" s="35" t="str">
        <x:v>Source chemistry, dialysis water, oxygen purity, residual class and treatment rates require representative trials.</x:v>
      </x:c>
      <x:c r="D20" s="35"/>
      <x:c r="E20" s="35"/>
      <x:c r="F20" s="35"/>
      <x:c r="G20" s="35"/>
      <x:c r="H20" s="35"/>
      <x:c r="I20" s="35"/>
      <x:c r="J20" s="35"/>
      <x:c r="K20" s="35"/>
      <x:c r="L20" s="35"/>
    </x:row>
  </x:sheetData>
  <x:mergeCells>
    <x:mergeCell ref="B2:L2"/>
    <x:mergeCell ref="B3:L3"/>
    <x:mergeCell ref="B14:K14"/>
    <x:mergeCell ref="C15:K15"/>
    <x:mergeCell ref="C16:K16"/>
    <x:mergeCell ref="C17:K17"/>
    <x:mergeCell ref="C18:K18"/>
    <x:mergeCell ref="C19:K19"/>
    <x:mergeCell ref="C20:K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42" hidden="0" customWidth="1"/>
    <x:col min="1" max="1" width="3" hidden="0" customWidth="1"/>
  </x:cols>
  <x:sheetData>
    <x:row r="2" ht="15" hidden="0" customHeight="1">
      <x:c r="B2" s="34" t="str">
        <x:v>Active-island and reserve-island workforce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The island requires 829 people in active service, but the fifth island holds a small custodial watch and is activated by transfer, not a hidden fifth full roster.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Workforce family</x:v>
      </x:c>
      <x:c r="C6" s="31" t="str">
        <x:v>Active island</x:v>
      </x:c>
      <x:c r="D6" s="31" t="str">
        <x:v>Ready-island watch</x:v>
      </x:c>
      <x:c r="E6" s="31" t="str">
        <x:v>Transfer on activation</x:v>
      </x:c>
      <x:c r="F6" s="31" t="str">
        <x:v>Function</x:v>
      </x:c>
      <x:c r="G6" s="35"/>
      <x:c r="H6" s="35"/>
      <x:c r="I6" s="35"/>
      <x:c r="J6" s="35"/>
      <x:c r="K6" s="35"/>
      <x:c r="L6" s="35"/>
    </x:row>
    <x:row r="7" ht="15" hidden="0" customHeight="1">
      <x:c r="B7" s="35" t="str">
        <x:v>Direct clinical</x:v>
      </x:c>
      <x:c r="C7" s="35" t="n">
        <x:v>404</x:v>
      </x:c>
      <x:c r="D7" s="35" t="n">
        <x:v>0</x:v>
      </x:c>
      <x:c r="E7" s="35" t="n">
        <x:v>404</x:v>
      </x:c>
      <x:c r="F7" s="35" t="str">
        <x:v>care-line delivery</x:v>
      </x:c>
      <x:c r="G7" s="35"/>
      <x:c r="H7" s="35"/>
      <x:c r="I7" s="35"/>
      <x:c r="J7" s="35"/>
      <x:c r="K7" s="35"/>
      <x:c r="L7" s="35"/>
    </x:row>
    <x:row r="8" ht="15" hidden="0" customHeight="1">
      <x:c r="B8" s="35" t="str">
        <x:v>Portal, transfer and release</x:v>
      </x:c>
      <x:c r="C8" s="35" t="n">
        <x:v>40</x:v>
      </x:c>
      <x:c r="D8" s="35" t="n">
        <x:v>4</x:v>
      </x:c>
      <x:c r="E8" s="35" t="n">
        <x:v>36</x:v>
      </x:c>
      <x:c r="F8" s="35" t="str">
        <x:v>arrival and completed handoff</x:v>
      </x:c>
      <x:c r="G8" s="35"/>
      <x:c r="H8" s="35"/>
      <x:c r="I8" s="35"/>
      <x:c r="J8" s="35"/>
      <x:c r="K8" s="35"/>
      <x:c r="L8" s="35"/>
    </x:row>
    <x:row r="9" ht="15" hidden="0" customHeight="1">
      <x:c r="B9" s="35" t="str">
        <x:v>Diagnostics, pharmacy and blood</x:v>
      </x:c>
      <x:c r="C9" s="35" t="n">
        <x:v>55</x:v>
      </x:c>
      <x:c r="D9" s="35" t="n">
        <x:v>4</x:v>
      </x:c>
      <x:c r="E9" s="35" t="n">
        <x:v>51</x:v>
      </x:c>
      <x:c r="F9" s="35" t="str">
        <x:v>clinical support</x:v>
      </x:c>
      <x:c r="G9" s="35"/>
      <x:c r="H9" s="35"/>
      <x:c r="I9" s="35"/>
      <x:c r="J9" s="35"/>
      <x:c r="K9" s="35"/>
      <x:c r="L9" s="35"/>
    </x:row>
    <x:row r="10" ht="15" hidden="0" customHeight="1">
      <x:c r="B10" s="35" t="str">
        <x:v>Sterile, biomed and respiratory</x:v>
      </x:c>
      <x:c r="C10" s="35" t="n">
        <x:v>60</x:v>
      </x:c>
      <x:c r="D10" s="35" t="n">
        <x:v>8</x:v>
      </x:c>
      <x:c r="E10" s="35" t="n">
        <x:v>52</x:v>
      </x:c>
      <x:c r="F10" s="35" t="str">
        <x:v>turnover and repair</x:v>
      </x:c>
      <x:c r="G10" s="35"/>
      <x:c r="H10" s="35"/>
      <x:c r="I10" s="35"/>
      <x:c r="J10" s="35"/>
      <x:c r="K10" s="35"/>
      <x:c r="L10" s="35"/>
    </x:row>
    <x:row r="11" ht="15" hidden="0" customHeight="1">
      <x:c r="B11" s="35" t="str">
        <x:v>Utility and environmental</x:v>
      </x:c>
      <x:c r="C11" s="35" t="n">
        <x:v>75</x:v>
      </x:c>
      <x:c r="D11" s="35" t="n">
        <x:v>22</x:v>
      </x:c>
      <x:c r="E11" s="35" t="n">
        <x:v>53</x:v>
      </x:c>
      <x:c r="F11" s="35" t="str">
        <x:v>power, air, fluids and waste</x:v>
      </x:c>
      <x:c r="G11" s="35"/>
      <x:c r="H11" s="35"/>
      <x:c r="I11" s="35"/>
      <x:c r="J11" s="35"/>
      <x:c r="K11" s="35"/>
      <x:c r="L11" s="35"/>
    </x:row>
    <x:row r="12" ht="15" hidden="0" customHeight="1">
      <x:c r="B12" s="35" t="str">
        <x:v>Logistics and records</x:v>
      </x:c>
      <x:c r="C12" s="35" t="n">
        <x:v>65</x:v>
      </x:c>
      <x:c r="D12" s="35" t="n">
        <x:v>18</x:v>
      </x:c>
      <x:c r="E12" s="35" t="n">
        <x:v>47</x:v>
      </x:c>
      <x:c r="F12" s="35" t="str">
        <x:v>supply, identity and data</x:v>
      </x:c>
      <x:c r="G12" s="35"/>
      <x:c r="H12" s="35"/>
      <x:c r="I12" s="35"/>
      <x:c r="J12" s="35"/>
      <x:c r="K12" s="35"/>
      <x:c r="L12" s="35"/>
    </x:row>
    <x:row r="13" ht="15" hidden="0" customHeight="1">
      <x:c r="B13" s="35" t="str">
        <x:v>Command, quality and access</x:v>
      </x:c>
      <x:c r="C13" s="35" t="n">
        <x:v>50</x:v>
      </x:c>
      <x:c r="D13" s="35" t="n">
        <x:v>10</x:v>
      </x:c>
      <x:c r="E13" s="35" t="n">
        <x:v>40</x:v>
      </x:c>
      <x:c r="F13" s="35" t="str">
        <x:v>authority and safety</x:v>
      </x:c>
      <x:c r="G13" s="35"/>
      <x:c r="H13" s="35"/>
      <x:c r="I13" s="35"/>
      <x:c r="J13" s="35"/>
      <x:c r="K13" s="35"/>
      <x:c r="L13" s="35"/>
    </x:row>
    <x:row r="14" ht="15" hidden="0" customHeight="1">
      <x:c r="B14" s="35" t="str">
        <x:v>Staff services</x:v>
      </x:c>
      <x:c r="C14" s="35" t="n">
        <x:v>80</x:v>
      </x:c>
      <x:c r="D14" s="35" t="n">
        <x:v>18</x:v>
      </x:c>
      <x:c r="E14" s="35" t="n">
        <x:v>62</x:v>
      </x:c>
      <x:c r="F14" s="35" t="str">
        <x:v>food, rest, hygiene and welfare</x:v>
      </x:c>
      <x:c r="G14" s="35"/>
      <x:c r="H14" s="35"/>
      <x:c r="I14" s="35"/>
      <x:c r="J14" s="35"/>
      <x:c r="K14" s="35"/>
      <x:c r="L14" s="35"/>
    </x:row>
    <x:row r="15" ht="15" hidden="0" customHeight="1">
      <x:c r="B15" s="38" t="str">
        <x:v>TOTAL</x:v>
      </x:c>
      <x:c r="C15" s="38" t="n">
        <x:f>SUM(C7:C14)</x:f>
        <x:v>829</x:v>
      </x:c>
      <x:c r="D15" s="38" t="n">
        <x:f>SUM(D7:D14)</x:f>
        <x:v>84</x:v>
      </x:c>
      <x:c r="E15" s="38" t="n">
        <x:f>SUM(E7:E14)</x:f>
        <x:v>745</x:v>
      </x:c>
      <x:c r="F15" s="38"/>
      <x:c r="G15" s="35"/>
      <x:c r="H15" s="35"/>
      <x:c r="I15" s="35"/>
      <x:c r="J15" s="35"/>
      <x:c r="K15" s="35"/>
      <x:c r="L15" s="35"/>
    </x:row>
    <x:row r="16" ht="15" hidden="0" customHeight="1"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</x:row>
    <x:row r="17" ht="15" hidden="0" customHeight="1"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</x:row>
    <x:row r="18" ht="15" hidden="0" customHeight="1">
      <x:c r="B18" s="36" t="str">
        <x:v>Formation reconciliation</x:v>
      </x:c>
      <x:c r="C18" s="36"/>
      <x:c r="D18" s="36"/>
      <x:c r="E18" s="36"/>
      <x:c r="F18" s="36"/>
      <x:c r="G18" s="35"/>
      <x:c r="H18" s="35"/>
      <x:c r="I18" s="35"/>
      <x:c r="J18" s="35"/>
      <x:c r="K18" s="35"/>
      <x:c r="L18" s="35"/>
    </x:row>
    <x:row r="19" ht="15" hidden="0" customHeight="1">
      <x:c r="B19" s="35" t="str">
        <x:v>Four active islands</x:v>
      </x:c>
      <x:c r="C19" s="35"/>
      <x:c r="D19" s="35" t="n">
        <x:f>C15*'01 Controls'!$D$7</x:f>
        <x:v>3316</x:v>
      </x:c>
      <x:c r="E19" s="35" t="str">
        <x:v>people</x:v>
      </x:c>
      <x:c r="F19" s="35"/>
      <x:c r="G19" s="35"/>
      <x:c r="H19" s="35"/>
      <x:c r="I19" s="35"/>
      <x:c r="J19" s="35"/>
      <x:c r="K19" s="35"/>
      <x:c r="L19" s="35"/>
    </x:row>
    <x:row r="20" ht="15" hidden="0" customHeight="1">
      <x:c r="B20" s="35" t="str">
        <x:v>Ready-island watch</x:v>
      </x:c>
      <x:c r="C20" s="35"/>
      <x:c r="D20" s="35" t="n">
        <x:f>D15</x:f>
        <x:v>84</x:v>
      </x:c>
      <x:c r="E20" s="35" t="str">
        <x:v>people</x:v>
      </x:c>
      <x:c r="F20" s="35"/>
      <x:c r="G20" s="35"/>
      <x:c r="H20" s="35"/>
      <x:c r="I20" s="35"/>
      <x:c r="J20" s="35"/>
      <x:c r="K20" s="35"/>
      <x:c r="L20" s="35"/>
    </x:row>
    <x:row r="21" ht="15" hidden="0" customHeight="1">
      <x:c r="B21" s="35" t="str">
        <x:v>HCSG common workforce</x:v>
      </x:c>
      <x:c r="C21" s="35"/>
      <x:c r="D21" s="35" t="n">
        <x:f>1000</x:f>
        <x:v>1000</x:v>
      </x:c>
      <x:c r="E21" s="35" t="str">
        <x:v>people</x:v>
      </x:c>
      <x:c r="F21" s="35"/>
      <x:c r="G21" s="35"/>
      <x:c r="H21" s="35"/>
      <x:c r="I21" s="35"/>
      <x:c r="J21" s="35"/>
      <x:c r="K21" s="35"/>
      <x:c r="L21" s="35"/>
    </x:row>
    <x:row r="22" ht="15" hidden="0" customHeight="1">
      <x:c r="B22" s="35" t="str">
        <x:v>Total deployed</x:v>
      </x:c>
      <x:c r="C22" s="35"/>
      <x:c r="D22" s="35" t="n">
        <x:f>SUM(D19:D21)</x:f>
        <x:v>4400</x:v>
      </x:c>
      <x:c r="E22" s="35" t="str">
        <x:v>people</x:v>
      </x:c>
      <x:c r="F22" s="35"/>
      <x:c r="G22" s="35"/>
      <x:c r="H22" s="35"/>
      <x:c r="I22" s="35"/>
      <x:c r="J22" s="35"/>
      <x:c r="K22" s="35"/>
      <x:c r="L22" s="35"/>
    </x:row>
    <x:row r="23" ht="15" hidden="0" customHeight="1">
      <x:c r="B23" s="35" t="str">
        <x:v>Activation transfer requirement</x:v>
      </x:c>
      <x:c r="C23" s="35"/>
      <x:c r="D23" s="35" t="n">
        <x:f>E15</x:f>
        <x:v>745</x:v>
      </x:c>
      <x:c r="E23" s="35" t="str">
        <x:v>people</x:v>
      </x:c>
      <x:c r="F23" s="35"/>
      <x:c r="G23" s="35"/>
      <x:c r="H23" s="35"/>
      <x:c r="I23" s="35"/>
      <x:c r="J23" s="35"/>
      <x:c r="K23" s="35"/>
      <x:c r="L23" s="35"/>
    </x:row>
    <x:row r="24" ht="15" hidden="0" customHeight="1"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</x:row>
    <x:row r="25" ht="15" hidden="0" customHeight="1"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</x:row>
    <x:row r="26" ht="15" hidden="0" customHeight="1">
      <x:c r="B26" s="36" t="str">
        <x:v>Human-system limits</x:v>
      </x:c>
      <x:c r="C26" s="36"/>
      <x:c r="D26" s="36"/>
      <x:c r="E26" s="36"/>
      <x:c r="F26" s="36"/>
      <x:c r="G26" s="35"/>
      <x:c r="H26" s="35"/>
      <x:c r="I26" s="35"/>
      <x:c r="J26" s="35"/>
      <x:c r="K26" s="35"/>
      <x:c r="L26" s="35"/>
    </x:row>
    <x:row r="27" ht="15" hidden="0" customHeight="1">
      <x:c r="B27" s="35" t="str">
        <x:v>Staff survival</x:v>
      </x:c>
      <x:c r="C27" s="35" t="str">
        <x:v>A reserve island is not a staffing reserve if the failed island's people are injured, contaminated or inaccessible.</x:v>
      </x:c>
      <x:c r="D27" s="35"/>
      <x:c r="E27" s="35"/>
      <x:c r="F27" s="35"/>
      <x:c r="G27" s="35"/>
      <x:c r="H27" s="35"/>
      <x:c r="I27" s="35"/>
      <x:c r="J27" s="35"/>
      <x:c r="K27" s="35"/>
      <x:c r="L27" s="35"/>
    </x:row>
    <x:row r="28" ht="15" hidden="0" customHeight="1">
      <x:c r="B28" s="35" t="str">
        <x:v>Credential</x:v>
      </x:c>
      <x:c r="C28" s="35" t="str">
        <x:v>Automation may reduce tasks; it cannot invent specialty authority, judgment or accountable practice.</x:v>
      </x:c>
      <x:c r="D28" s="35"/>
      <x:c r="E28" s="35"/>
      <x:c r="F28" s="35"/>
      <x:c r="G28" s="35"/>
      <x:c r="H28" s="35"/>
      <x:c r="I28" s="35"/>
      <x:c r="J28" s="35"/>
      <x:c r="K28" s="35"/>
      <x:c r="L28" s="35"/>
    </x:row>
    <x:row r="29" ht="15" hidden="0" customHeight="1">
      <x:c r="B29" s="35" t="str">
        <x:v>Fatigue</x:v>
      </x:c>
      <x:c r="C29" s="35" t="str">
        <x:v>Thirty-day operation requires rotations outside this unit-level deployed headcount.</x:v>
      </x:c>
      <x:c r="D29" s="35"/>
      <x:c r="E29" s="35"/>
      <x:c r="F29" s="35"/>
      <x:c r="G29" s="35"/>
      <x:c r="H29" s="35"/>
      <x:c r="I29" s="35"/>
      <x:c r="J29" s="35"/>
      <x:c r="K29" s="35"/>
      <x:c r="L29" s="35"/>
    </x:row>
    <x:row r="30" ht="15" hidden="0" customHeight="1">
      <x:c r="B30" s="35" t="str">
        <x:v>Accessibility</x:v>
      </x:c>
      <x:c r="C30" s="35" t="str">
        <x:v>Staff and patient routes, hygiene, communications and controls must work for varied bodies and abilities.</x:v>
      </x:c>
      <x:c r="D30" s="35"/>
      <x:c r="E30" s="35"/>
      <x:c r="F30" s="35"/>
      <x:c r="G30" s="35"/>
      <x:c r="H30" s="35"/>
      <x:c r="I30" s="35"/>
      <x:c r="J30" s="35"/>
      <x:c r="K30" s="35"/>
      <x:c r="L30" s="35"/>
    </x:row>
    <x:row r="31" ht="15" hidden="0" customHeight="1">
      <x:c r="B31" s="35" t="str">
        <x:v>Evidence</x:v>
      </x:c>
      <x:c r="C31" s="35" t="str">
        <x:v>The 829/84 split is an allocation screen; task analysis, shifts, error rates and accommodation remain open.</x:v>
      </x:c>
      <x:c r="D31" s="35"/>
      <x:c r="E31" s="35"/>
      <x:c r="F31" s="35"/>
      <x:c r="G31" s="35"/>
      <x:c r="H31" s="35"/>
      <x:c r="I31" s="35"/>
      <x:c r="J31" s="35"/>
      <x:c r="K31" s="35"/>
      <x:c r="L31" s="35"/>
    </x:row>
  </x:sheetData>
  <x:mergeCells>
    <x:mergeCell ref="B2:L2"/>
    <x:mergeCell ref="B3:L3"/>
    <x:mergeCell ref="B18:F18"/>
    <x:mergeCell ref="B26:F26"/>
    <x:mergeCell ref="C27:F27"/>
    <x:mergeCell ref="C28:F28"/>
    <x:mergeCell ref="C29:F29"/>
    <x:mergeCell ref="C30:F30"/>
    <x:mergeCell ref="C31:F3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" max="1" width="3" hidden="0" customWidth="1"/>
  </x:cols>
  <x:sheetData>
    <x:row r="2" ht="15" hidden="0" customHeight="1">
      <x:c r="B2" s="34" t="str">
        <x:v>CSI-25 nested article bill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The first internal build screen is 119 serialized subarticles, 2,803 dry tonnes and USD 3.284B—materially above the inherited one-line proxy.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Family</x:v>
      </x:c>
      <x:c r="C6" s="31" t="str">
        <x:v>Description</x:v>
      </x:c>
      <x:c r="D6" s="31" t="str">
        <x:v>Count</x:v>
      </x:c>
      <x:c r="E6" s="31" t="str">
        <x:v>Positions/article</x:v>
      </x:c>
      <x:c r="F6" s="31" t="str">
        <x:v>Total positions</x:v>
      </x:c>
      <x:c r="G6" s="31" t="str">
        <x:v>Area/article m2</x:v>
      </x:c>
      <x:c r="H6" s="31" t="str">
        <x:v>Total area m2</x:v>
      </x:c>
      <x:c r="I6" s="31" t="str">
        <x:v>Mass/article t</x:v>
      </x:c>
      <x:c r="J6" s="31" t="str">
        <x:v>Total mass t</x:v>
      </x:c>
      <x:c r="K6" s="31" t="str">
        <x:v>Capital/article USD m</x:v>
      </x:c>
      <x:c r="L6" s="31" t="str">
        <x:v>Total capital USD m</x:v>
      </x:c>
    </x:row>
    <x:row r="7" ht="15" hidden="0" customHeight="1">
      <x:c r="B7" s="35" t="str">
        <x:v>PCC-19</x:v>
      </x:c>
      <x:c r="C7" s="35" t="str">
        <x:v>Community continuity</x:v>
      </x:c>
      <x:c r="D7" s="35" t="n">
        <x:v>1</x:v>
      </x:c>
      <x:c r="E7" s="35" t="n">
        <x:v>19</x:v>
      </x:c>
      <x:c r="F7" s="35" t="n">
        <x:v>19</x:v>
      </x:c>
      <x:c r="G7" s="35" t="n">
        <x:v>700</x:v>
      </x:c>
      <x:c r="H7" s="35" t="n">
        <x:v>700</x:v>
      </x:c>
      <x:c r="I7" s="35" t="n">
        <x:v>50</x:v>
      </x:c>
      <x:c r="J7" s="35" t="n">
        <x:v>50</x:v>
      </x:c>
      <x:c r="K7" s="35" t="n">
        <x:v>45</x:v>
      </x:c>
      <x:c r="L7" s="35" t="n">
        <x:v>45</x:v>
      </x:c>
    </x:row>
    <x:row r="8" ht="15" hidden="0" customHeight="1">
      <x:c r="B8" s="35" t="str">
        <x:v>ERC-6</x:v>
      </x:c>
      <x:c r="C8" s="35" t="str">
        <x:v>Emergency / resuscitation</x:v>
      </x:c>
      <x:c r="D8" s="35" t="n">
        <x:v>2</x:v>
      </x:c>
      <x:c r="E8" s="35" t="n">
        <x:v>6</x:v>
      </x:c>
      <x:c r="F8" s="35" t="n">
        <x:v>12</x:v>
      </x:c>
      <x:c r="G8" s="35" t="n">
        <x:v>420</x:v>
      </x:c>
      <x:c r="H8" s="35" t="n">
        <x:v>840</x:v>
      </x:c>
      <x:c r="I8" s="35" t="n">
        <x:v>60</x:v>
      </x:c>
      <x:c r="J8" s="35" t="n">
        <x:v>120</x:v>
      </x:c>
      <x:c r="K8" s="35" t="n">
        <x:v>90</x:v>
      </x:c>
      <x:c r="L8" s="35" t="n">
        <x:v>180</x:v>
      </x:c>
    </x:row>
    <x:row r="9" ht="15" hidden="0" customHeight="1">
      <x:c r="B9" s="35" t="str">
        <x:v>OBC-7</x:v>
      </x:c>
      <x:c r="C9" s="35" t="str">
        <x:v>Observation</x:v>
      </x:c>
      <x:c r="D9" s="35" t="n">
        <x:v>3</x:v>
      </x:c>
      <x:c r="E9" s="35" t="n">
        <x:v>7</x:v>
      </x:c>
      <x:c r="F9" s="35" t="n">
        <x:v>21</x:v>
      </x:c>
      <x:c r="G9" s="35" t="n">
        <x:v>320</x:v>
      </x:c>
      <x:c r="H9" s="35" t="n">
        <x:v>960</x:v>
      </x:c>
      <x:c r="I9" s="35" t="n">
        <x:v>38</x:v>
      </x:c>
      <x:c r="J9" s="35" t="n">
        <x:v>114</x:v>
      </x:c>
      <x:c r="K9" s="35" t="n">
        <x:v>30</x:v>
      </x:c>
      <x:c r="L9" s="35" t="n">
        <x:v>90</x:v>
      </x:c>
    </x:row>
    <x:row r="10" ht="15" hidden="0" customHeight="1">
      <x:c r="B10" s="35" t="str">
        <x:v>WDC-27</x:v>
      </x:c>
      <x:c r="C10" s="35" t="str">
        <x:v>Ward</x:v>
      </x:c>
      <x:c r="D10" s="35" t="n">
        <x:v>2</x:v>
      </x:c>
      <x:c r="E10" s="35" t="n">
        <x:v>27</x:v>
      </x:c>
      <x:c r="F10" s="35" t="n">
        <x:v>54</x:v>
      </x:c>
      <x:c r="G10" s="35" t="n">
        <x:v>1100</x:v>
      </x:c>
      <x:c r="H10" s="35" t="n">
        <x:v>2200</x:v>
      </x:c>
      <x:c r="I10" s="35" t="n">
        <x:v>86</x:v>
      </x:c>
      <x:c r="J10" s="35" t="n">
        <x:v>172</x:v>
      </x:c>
      <x:c r="K10" s="35" t="n">
        <x:v>72</x:v>
      </x:c>
      <x:c r="L10" s="35" t="n">
        <x:v>144</x:v>
      </x:c>
    </x:row>
    <x:row r="11" ht="15" hidden="0" customHeight="1">
      <x:c r="B11" s="35" t="str">
        <x:v>WDC-26</x:v>
      </x:c>
      <x:c r="C11" s="35" t="str">
        <x:v>Ward</x:v>
      </x:c>
      <x:c r="D11" s="35" t="n">
        <x:v>2</x:v>
      </x:c>
      <x:c r="E11" s="35" t="n">
        <x:v>26</x:v>
      </x:c>
      <x:c r="F11" s="35" t="n">
        <x:v>52</x:v>
      </x:c>
      <x:c r="G11" s="35" t="n">
        <x:v>1040</x:v>
      </x:c>
      <x:c r="H11" s="35" t="n">
        <x:v>2080</x:v>
      </x:c>
      <x:c r="I11" s="35" t="n">
        <x:v>83</x:v>
      </x:c>
      <x:c r="J11" s="35" t="n">
        <x:v>166</x:v>
      </x:c>
      <x:c r="K11" s="35" t="n">
        <x:v>70</x:v>
      </x:c>
      <x:c r="L11" s="35" t="n">
        <x:v>140</x:v>
      </x:c>
    </x:row>
    <x:row r="12" ht="15" hidden="0" customHeight="1">
      <x:c r="B12" s="35" t="str">
        <x:v>ICC-7</x:v>
      </x:c>
      <x:c r="C12" s="35" t="str">
        <x:v>Critical care</x:v>
      </x:c>
      <x:c r="D12" s="35" t="n">
        <x:v>5</x:v>
      </x:c>
      <x:c r="E12" s="35" t="n">
        <x:v>7</x:v>
      </x:c>
      <x:c r="F12" s="35" t="n">
        <x:v>35</x:v>
      </x:c>
      <x:c r="G12" s="35" t="n">
        <x:v>400</x:v>
      </x:c>
      <x:c r="H12" s="35" t="n">
        <x:v>2000</x:v>
      </x:c>
      <x:c r="I12" s="35" t="n">
        <x:v>65</x:v>
      </x:c>
      <x:c r="J12" s="35" t="n">
        <x:v>325</x:v>
      </x:c>
      <x:c r="K12" s="35" t="n">
        <x:v>110</x:v>
      </x:c>
      <x:c r="L12" s="35" t="n">
        <x:v>550</x:v>
      </x:c>
    </x:row>
    <x:row r="13" ht="15" hidden="0" customHeight="1">
      <x:c r="B13" s="35" t="str">
        <x:v>PSC-1</x:v>
      </x:c>
      <x:c r="C13" s="35" t="str">
        <x:v>Procedural suite</x:v>
      </x:c>
      <x:c r="D13" s="35" t="n">
        <x:v>3</x:v>
      </x:c>
      <x:c r="E13" s="35" t="n">
        <x:v>1</x:v>
      </x:c>
      <x:c r="F13" s="35" t="n">
        <x:v>3</x:v>
      </x:c>
      <x:c r="G13" s="35" t="n">
        <x:v>300</x:v>
      </x:c>
      <x:c r="H13" s="35" t="n">
        <x:v>900</x:v>
      </x:c>
      <x:c r="I13" s="35" t="n">
        <x:v>55</x:v>
      </x:c>
      <x:c r="J13" s="35" t="n">
        <x:v>165</x:v>
      </x:c>
      <x:c r="K13" s="35" t="n">
        <x:v>100</x:v>
      </x:c>
      <x:c r="L13" s="35" t="n">
        <x:v>300</x:v>
      </x:c>
    </x:row>
    <x:row r="14" ht="15" hidden="0" customHeight="1">
      <x:c r="B14" s="35" t="str">
        <x:v>MNC-1</x:v>
      </x:c>
      <x:c r="C14" s="35" t="str">
        <x:v>Maternal / neonatal</x:v>
      </x:c>
      <x:c r="D14" s="35" t="n">
        <x:v>1</x:v>
      </x:c>
      <x:c r="E14" s="35" t="n">
        <x:v>1</x:v>
      </x:c>
      <x:c r="F14" s="35" t="n">
        <x:v>1</x:v>
      </x:c>
      <x:c r="G14" s="35" t="n">
        <x:v>350</x:v>
      </x:c>
      <x:c r="H14" s="35" t="n">
        <x:v>350</x:v>
      </x:c>
      <x:c r="I14" s="35" t="n">
        <x:v>55</x:v>
      </x:c>
      <x:c r="J14" s="35" t="n">
        <x:v>55</x:v>
      </x:c>
      <x:c r="K14" s="35" t="n">
        <x:v>85</x:v>
      </x:c>
      <x:c r="L14" s="35" t="n">
        <x:v>85</x:v>
      </x:c>
    </x:row>
    <x:row r="15" ht="15" hidden="0" customHeight="1">
      <x:c r="B15" s="35" t="str">
        <x:v>DXC-1</x:v>
      </x:c>
      <x:c r="C15" s="35" t="str">
        <x:v>Dialysis</x:v>
      </x:c>
      <x:c r="D15" s="35" t="n">
        <x:v>3</x:v>
      </x:c>
      <x:c r="E15" s="35" t="n">
        <x:v>1</x:v>
      </x:c>
      <x:c r="F15" s="35" t="n">
        <x:v>3</x:v>
      </x:c>
      <x:c r="G15" s="35" t="n">
        <x:v>130</x:v>
      </x:c>
      <x:c r="H15" s="35" t="n">
        <x:v>390</x:v>
      </x:c>
      <x:c r="I15" s="35" t="n">
        <x:v>30</x:v>
      </x:c>
      <x:c r="J15" s="35" t="n">
        <x:v>90</x:v>
      </x:c>
      <x:c r="K15" s="35" t="n">
        <x:v>25</x:v>
      </x:c>
      <x:c r="L15" s="35" t="n">
        <x:v>75</x:v>
      </x:c>
    </x:row>
    <x:row r="16" ht="15" hidden="0" customHeight="1">
      <x:c r="B16" s="35" t="str">
        <x:v>ISC-9</x:v>
      </x:c>
      <x:c r="C16" s="35" t="str">
        <x:v>Isolation</x:v>
      </x:c>
      <x:c r="D16" s="35" t="n">
        <x:v>4</x:v>
      </x:c>
      <x:c r="E16" s="35" t="n">
        <x:v>9</x:v>
      </x:c>
      <x:c r="F16" s="35" t="n">
        <x:v>36</x:v>
      </x:c>
      <x:c r="G16" s="35" t="n">
        <x:v>520</x:v>
      </x:c>
      <x:c r="H16" s="35" t="n">
        <x:v>2080</x:v>
      </x:c>
      <x:c r="I16" s="35" t="n">
        <x:v>60</x:v>
      </x:c>
      <x:c r="J16" s="35" t="n">
        <x:v>240</x:v>
      </x:c>
      <x:c r="K16" s="35" t="n">
        <x:v>70</x:v>
      </x:c>
      <x:c r="L16" s="35" t="n">
        <x:v>280</x:v>
      </x:c>
    </x:row>
    <x:row r="17" ht="15" hidden="0" customHeight="1">
      <x:c r="B17" s="35" t="str">
        <x:v>BHC-2</x:v>
      </x:c>
      <x:c r="C17" s="35" t="str">
        <x:v>Behavioral health</x:v>
      </x:c>
      <x:c r="D17" s="35" t="n">
        <x:v>2</x:v>
      </x:c>
      <x:c r="E17" s="35" t="n">
        <x:v>2</x:v>
      </x:c>
      <x:c r="F17" s="35" t="n">
        <x:v>4</x:v>
      </x:c>
      <x:c r="G17" s="35" t="n">
        <x:v>160</x:v>
      </x:c>
      <x:c r="H17" s="35" t="n">
        <x:v>320</x:v>
      </x:c>
      <x:c r="I17" s="35" t="n">
        <x:v>25</x:v>
      </x:c>
      <x:c r="J17" s="35" t="n">
        <x:v>50</x:v>
      </x:c>
      <x:c r="K17" s="35" t="n">
        <x:v>15</x:v>
      </x:c>
      <x:c r="L17" s="35" t="n">
        <x:v>30</x:v>
      </x:c>
    </x:row>
    <x:row r="18" ht="15" hidden="0" customHeight="1">
      <x:c r="B18" s="35" t="str">
        <x:v>PPP-7</x:v>
      </x:c>
      <x:c r="C18" s="35" t="str">
        <x:v>Public portal</x:v>
      </x:c>
      <x:c r="D18" s="35" t="n">
        <x:v>5</x:v>
      </x:c>
      <x:c r="E18" s="35" t="n">
        <x:v>7</x:v>
      </x:c>
      <x:c r="F18" s="35" t="n">
        <x:v>35</x:v>
      </x:c>
      <x:c r="G18" s="35" t="n">
        <x:v>110</x:v>
      </x:c>
      <x:c r="H18" s="35" t="n">
        <x:v>550</x:v>
      </x:c>
      <x:c r="I18" s="35" t="n">
        <x:v>20</x:v>
      </x:c>
      <x:c r="J18" s="35" t="n">
        <x:v>100</x:v>
      </x:c>
      <x:c r="K18" s="35" t="n">
        <x:v>12</x:v>
      </x:c>
      <x:c r="L18" s="35" t="n">
        <x:v>60</x:v>
      </x:c>
    </x:row>
    <x:row r="19" ht="15" hidden="0" customHeight="1">
      <x:c r="B19" s="35" t="str">
        <x:v>APP-4</x:v>
      </x:c>
      <x:c r="C19" s="35" t="str">
        <x:v>Acute portal</x:v>
      </x:c>
      <x:c r="D19" s="35" t="n">
        <x:v>2</x:v>
      </x:c>
      <x:c r="E19" s="35" t="n">
        <x:v>4</x:v>
      </x:c>
      <x:c r="F19" s="35" t="n">
        <x:v>8</x:v>
      </x:c>
      <x:c r="G19" s="35" t="n">
        <x:v>130</x:v>
      </x:c>
      <x:c r="H19" s="35" t="n">
        <x:v>260</x:v>
      </x:c>
      <x:c r="I19" s="35" t="n">
        <x:v>25</x:v>
      </x:c>
      <x:c r="J19" s="35" t="n">
        <x:v>50</x:v>
      </x:c>
      <x:c r="K19" s="35" t="n">
        <x:v>20</x:v>
      </x:c>
      <x:c r="L19" s="35" t="n">
        <x:v>40</x:v>
      </x:c>
    </x:row>
    <x:row r="20" ht="15" hidden="0" customHeight="1">
      <x:c r="B20" s="35" t="str">
        <x:v>ATS-1</x:v>
      </x:c>
      <x:c r="C20" s="35" t="str">
        <x:v>Accepted transfer stage</x:v>
      </x:c>
      <x:c r="D20" s="35" t="n">
        <x:v>2</x:v>
      </x:c>
      <x:c r="E20" s="35" t="n">
        <x:v>1</x:v>
      </x:c>
      <x:c r="F20" s="35" t="n">
        <x:v>2</x:v>
      </x:c>
      <x:c r="G20" s="35" t="n">
        <x:v>70</x:v>
      </x:c>
      <x:c r="H20" s="35" t="n">
        <x:v>140</x:v>
      </x:c>
      <x:c r="I20" s="35" t="n">
        <x:v>15</x:v>
      </x:c>
      <x:c r="J20" s="35" t="n">
        <x:v>30</x:v>
      </x:c>
      <x:c r="K20" s="35" t="n">
        <x:v>10</x:v>
      </x:c>
      <x:c r="L20" s="35" t="n">
        <x:v>20</x:v>
      </x:c>
    </x:row>
    <x:row r="21" ht="15" hidden="0" customHeight="1">
      <x:c r="B21" s="35" t="str">
        <x:v>SRS-6</x:v>
      </x:c>
      <x:c r="C21" s="35" t="str">
        <x:v>Supported release stage</x:v>
      </x:c>
      <x:c r="D21" s="35" t="n">
        <x:v>2</x:v>
      </x:c>
      <x:c r="E21" s="35" t="n">
        <x:v>6</x:v>
      </x:c>
      <x:c r="F21" s="35" t="n">
        <x:v>12</x:v>
      </x:c>
      <x:c r="G21" s="35" t="n">
        <x:v>140</x:v>
      </x:c>
      <x:c r="H21" s="35" t="n">
        <x:v>280</x:v>
      </x:c>
      <x:c r="I21" s="35" t="n">
        <x:v>25</x:v>
      </x:c>
      <x:c r="J21" s="35" t="n">
        <x:v>50</x:v>
      </x:c>
      <x:c r="K21" s="35" t="n">
        <x:v>12</x:v>
      </x:c>
      <x:c r="L21" s="35" t="n">
        <x:v>24</x:v>
      </x:c>
    </x:row>
    <x:row r="22" ht="15" hidden="0" customHeight="1">
      <x:c r="B22" s="35" t="str">
        <x:v>AHZ</x:v>
      </x:c>
      <x:c r="C22" s="35" t="str">
        <x:v>Air-control train</x:v>
      </x:c>
      <x:c r="D22" s="35" t="n">
        <x:v>9</x:v>
      </x:c>
      <x:c r="E22" s="35" t="n">
        <x:v>0</x:v>
      </x:c>
      <x:c r="F22" s="35" t="n">
        <x:v>0</x:v>
      </x:c>
      <x:c r="G22" s="35" t="n">
        <x:v>100</x:v>
      </x:c>
      <x:c r="H22" s="35" t="n">
        <x:v>900</x:v>
      </x:c>
      <x:c r="I22" s="35" t="n">
        <x:v>25</x:v>
      </x:c>
      <x:c r="J22" s="35" t="n">
        <x:v>225</x:v>
      </x:c>
      <x:c r="K22" s="35" t="n">
        <x:v>25</x:v>
      </x:c>
      <x:c r="L22" s="35" t="n">
        <x:v>225</x:v>
      </x:c>
    </x:row>
    <x:row r="23" ht="15" hidden="0" customHeight="1">
      <x:c r="B23" s="35" t="str">
        <x:v>LFD-2.5</x:v>
      </x:c>
      <x:c r="C23" s="35" t="str">
        <x:v>Local feeder train</x:v>
      </x:c>
      <x:c r="D23" s="35" t="n">
        <x:v>3</x:v>
      </x:c>
      <x:c r="E23" s="35" t="n">
        <x:v>0</x:v>
      </x:c>
      <x:c r="F23" s="35" t="n">
        <x:v>0</x:v>
      </x:c>
      <x:c r="G23" s="35" t="n">
        <x:v>60</x:v>
      </x:c>
      <x:c r="H23" s="35" t="n">
        <x:v>180</x:v>
      </x:c>
      <x:c r="I23" s="35" t="n">
        <x:v>20</x:v>
      </x:c>
      <x:c r="J23" s="35" t="n">
        <x:v>60</x:v>
      </x:c>
      <x:c r="K23" s="35" t="n">
        <x:v>25</x:v>
      </x:c>
      <x:c r="L23" s="35" t="n">
        <x:v>75</x:v>
      </x:c>
    </x:row>
    <x:row r="24" ht="15" hidden="0" customHeight="1">
      <x:c r="B24" s="35" t="str">
        <x:v>SBR</x:v>
      </x:c>
      <x:c r="C24" s="35" t="str">
        <x:v>Sector branch panel</x:v>
      </x:c>
      <x:c r="D24" s="35" t="n">
        <x:v>8</x:v>
      </x:c>
      <x:c r="E24" s="35" t="n">
        <x:v>0</x:v>
      </x:c>
      <x:c r="F24" s="35" t="n">
        <x:v>0</x:v>
      </x:c>
      <x:c r="G24" s="35" t="n">
        <x:v>25</x:v>
      </x:c>
      <x:c r="H24" s="35" t="n">
        <x:v>200</x:v>
      </x:c>
      <x:c r="I24" s="35" t="n">
        <x:v>6</x:v>
      </x:c>
      <x:c r="J24" s="35" t="n">
        <x:v>48</x:v>
      </x:c>
      <x:c r="K24" s="35" t="n">
        <x:v>8</x:v>
      </x:c>
      <x:c r="L24" s="35" t="n">
        <x:v>64</x:v>
      </x:c>
    </x:row>
    <x:row r="25" ht="15" hidden="0" customHeight="1">
      <x:c r="B25" s="35" t="str">
        <x:v>LUP-0.2</x:v>
      </x:c>
      <x:c r="C25" s="35" t="str">
        <x:v>Local no-break pod</x:v>
      </x:c>
      <x:c r="D25" s="35" t="n">
        <x:v>3</x:v>
      </x:c>
      <x:c r="E25" s="35" t="n">
        <x:v>0</x:v>
      </x:c>
      <x:c r="F25" s="35" t="n">
        <x:v>0</x:v>
      </x:c>
      <x:c r="G25" s="35" t="n">
        <x:v>30</x:v>
      </x:c>
      <x:c r="H25" s="35" t="n">
        <x:v>90</x:v>
      </x:c>
      <x:c r="I25" s="35" t="n">
        <x:v>8</x:v>
      </x:c>
      <x:c r="J25" s="35" t="n">
        <x:v>24</x:v>
      </x:c>
      <x:c r="K25" s="35" t="n">
        <x:v>12</x:v>
      </x:c>
      <x:c r="L25" s="35" t="n">
        <x:v>36</x:v>
      </x:c>
    </x:row>
    <x:row r="26" ht="15" hidden="0" customHeight="1">
      <x:c r="B26" s="35" t="str">
        <x:v>MGR</x:v>
      </x:c>
      <x:c r="C26" s="35" t="str">
        <x:v>Medical-gas header/reserve</x:v>
      </x:c>
      <x:c r="D26" s="35" t="n">
        <x:v>5</x:v>
      </x:c>
      <x:c r="E26" s="35" t="n">
        <x:v>0</x:v>
      </x:c>
      <x:c r="F26" s="35" t="n">
        <x:v>0</x:v>
      </x:c>
      <x:c r="G26" s="35" t="n">
        <x:v>40</x:v>
      </x:c>
      <x:c r="H26" s="35" t="n">
        <x:v>200</x:v>
      </x:c>
      <x:c r="I26" s="35" t="n">
        <x:v>8</x:v>
      </x:c>
      <x:c r="J26" s="35" t="n">
        <x:v>40</x:v>
      </x:c>
      <x:c r="K26" s="35" t="n">
        <x:v>12</x:v>
      </x:c>
      <x:c r="L26" s="35" t="n">
        <x:v>60</x:v>
      </x:c>
    </x:row>
    <x:row r="27" ht="15" hidden="0" customHeight="1">
      <x:c r="B27" s="35" t="str">
        <x:v>WGR</x:v>
      </x:c>
      <x:c r="C27" s="35" t="str">
        <x:v>Clinical-water grade/storage</x:v>
      </x:c>
      <x:c r="D27" s="35" t="n">
        <x:v>5</x:v>
      </x:c>
      <x:c r="E27" s="35" t="n">
        <x:v>0</x:v>
      </x:c>
      <x:c r="F27" s="35" t="n">
        <x:v>0</x:v>
      </x:c>
      <x:c r="G27" s="35" t="n">
        <x:v>60</x:v>
      </x:c>
      <x:c r="H27" s="35" t="n">
        <x:v>300</x:v>
      </x:c>
      <x:c r="I27" s="35" t="n">
        <x:v>10</x:v>
      </x:c>
      <x:c r="J27" s="35" t="n">
        <x:v>50</x:v>
      </x:c>
      <x:c r="K27" s="35" t="n">
        <x:v>15</x:v>
      </x:c>
      <x:c r="L27" s="35" t="n">
        <x:v>75</x:v>
      </x:c>
    </x:row>
    <x:row r="28" ht="15" hidden="0" customHeight="1">
      <x:c r="B28" s="35" t="str">
        <x:v>WMI</x:v>
      </x:c>
      <x:c r="C28" s="35" t="str">
        <x:v>Wastewater/medical-waste interface</x:v>
      </x:c>
      <x:c r="D28" s="35" t="n">
        <x:v>4</x:v>
      </x:c>
      <x:c r="E28" s="35" t="n">
        <x:v>0</x:v>
      </x:c>
      <x:c r="F28" s="35" t="n">
        <x:v>0</x:v>
      </x:c>
      <x:c r="G28" s="35" t="n">
        <x:v>80</x:v>
      </x:c>
      <x:c r="H28" s="35" t="n">
        <x:v>320</x:v>
      </x:c>
      <x:c r="I28" s="35" t="n">
        <x:v>12</x:v>
      </x:c>
      <x:c r="J28" s="35" t="n">
        <x:v>48</x:v>
      </x:c>
      <x:c r="K28" s="35" t="n">
        <x:v>18</x:v>
      </x:c>
      <x:c r="L28" s="35" t="n">
        <x:v>72</x:v>
      </x:c>
    </x:row>
    <x:row r="29" ht="15" hidden="0" customHeight="1">
      <x:c r="B29" s="35" t="str">
        <x:v>SIT</x:v>
      </x:c>
      <x:c r="C29" s="35" t="str">
        <x:v>Sterile/instrument transition</x:v>
      </x:c>
      <x:c r="D29" s="35" t="n">
        <x:v>4</x:v>
      </x:c>
      <x:c r="E29" s="35" t="n">
        <x:v>0</x:v>
      </x:c>
      <x:c r="F29" s="35" t="n">
        <x:v>0</x:v>
      </x:c>
      <x:c r="G29" s="35" t="n">
        <x:v>100</x:v>
      </x:c>
      <x:c r="H29" s="35" t="n">
        <x:v>400</x:v>
      </x:c>
      <x:c r="I29" s="35" t="n">
        <x:v>8</x:v>
      </x:c>
      <x:c r="J29" s="35" t="n">
        <x:v>32</x:v>
      </x:c>
      <x:c r="K29" s="35" t="n">
        <x:v>14</x:v>
      </x:c>
      <x:c r="L29" s="35" t="n">
        <x:v>56</x:v>
      </x:c>
    </x:row>
    <x:row r="30" ht="15" hidden="0" customHeight="1">
      <x:c r="B30" s="35" t="str">
        <x:v>CLD</x:v>
      </x:c>
      <x:c r="C30" s="35" t="str">
        <x:v>Clean logistics dock</x:v>
      </x:c>
      <x:c r="D30" s="35" t="n">
        <x:v>4</x:v>
      </x:c>
      <x:c r="E30" s="35" t="n">
        <x:v>0</x:v>
      </x:c>
      <x:c r="F30" s="35" t="n">
        <x:v>0</x:v>
      </x:c>
      <x:c r="G30" s="35" t="n">
        <x:v>120</x:v>
      </x:c>
      <x:c r="H30" s="35" t="n">
        <x:v>480</x:v>
      </x:c>
      <x:c r="I30" s="35" t="n">
        <x:v>10</x:v>
      </x:c>
      <x:c r="J30" s="35" t="n">
        <x:v>40</x:v>
      </x:c>
      <x:c r="K30" s="35" t="n">
        <x:v>10</x:v>
      </x:c>
      <x:c r="L30" s="35" t="n">
        <x:v>40</x:v>
      </x:c>
    </x:row>
    <x:row r="31" ht="15" hidden="0" customHeight="1">
      <x:c r="B31" s="35" t="str">
        <x:v>DRD</x:v>
      </x:c>
      <x:c r="C31" s="35" t="str">
        <x:v>Dirty return/decontamination</x:v>
      </x:c>
      <x:c r="D31" s="35" t="n">
        <x:v>4</x:v>
      </x:c>
      <x:c r="E31" s="35" t="n">
        <x:v>0</x:v>
      </x:c>
      <x:c r="F31" s="35" t="n">
        <x:v>0</x:v>
      </x:c>
      <x:c r="G31" s="35" t="n">
        <x:v>120</x:v>
      </x:c>
      <x:c r="H31" s="35" t="n">
        <x:v>480</x:v>
      </x:c>
      <x:c r="I31" s="35" t="n">
        <x:v>12</x:v>
      </x:c>
      <x:c r="J31" s="35" t="n">
        <x:v>48</x:v>
      </x:c>
      <x:c r="K31" s="35" t="n">
        <x:v>15</x:v>
      </x:c>
      <x:c r="L31" s="35" t="n">
        <x:v>60</x:v>
      </x:c>
    </x:row>
    <x:row r="32" ht="15" hidden="0" customHeight="1">
      <x:c r="B32" s="35" t="str">
        <x:v>CDR</x:v>
      </x:c>
      <x:c r="C32" s="35" t="str">
        <x:v>Command/data/identity root</x:v>
      </x:c>
      <x:c r="D32" s="35" t="n">
        <x:v>2</x:v>
      </x:c>
      <x:c r="E32" s="35" t="n">
        <x:v>0</x:v>
      </x:c>
      <x:c r="F32" s="35" t="n">
        <x:v>0</x:v>
      </x:c>
      <x:c r="G32" s="35" t="n">
        <x:v>120</x:v>
      </x:c>
      <x:c r="H32" s="35" t="n">
        <x:v>240</x:v>
      </x:c>
      <x:c r="I32" s="35" t="n">
        <x:v>10</x:v>
      </x:c>
      <x:c r="J32" s="35" t="n">
        <x:v>20</x:v>
      </x:c>
      <x:c r="K32" s="35" t="n">
        <x:v>20</x:v>
      </x:c>
      <x:c r="L32" s="35" t="n">
        <x:v>40</x:v>
      </x:c>
    </x:row>
    <x:row r="33" ht="15" hidden="0" customHeight="1">
      <x:c r="B33" s="35" t="str">
        <x:v>STH</x:v>
      </x:c>
      <x:c r="C33" s="35" t="str">
        <x:v>Staff transition/hygiene</x:v>
      </x:c>
      <x:c r="D33" s="35" t="n">
        <x:v>4</x:v>
      </x:c>
      <x:c r="E33" s="35" t="n">
        <x:v>0</x:v>
      </x:c>
      <x:c r="F33" s="35" t="n">
        <x:v>0</x:v>
      </x:c>
      <x:c r="G33" s="35" t="n">
        <x:v>250</x:v>
      </x:c>
      <x:c r="H33" s="35" t="n">
        <x:v>1000</x:v>
      </x:c>
      <x:c r="I33" s="35" t="n">
        <x:v>12</x:v>
      </x:c>
      <x:c r="J33" s="35" t="n">
        <x:v>48</x:v>
      </x:c>
      <x:c r="K33" s="35" t="n">
        <x:v>10</x:v>
      </x:c>
      <x:c r="L33" s="35" t="n">
        <x:v>40</x:v>
      </x:c>
    </x:row>
    <x:row r="34" ht="15" hidden="0" customHeight="1">
      <x:c r="B34" s="35" t="str">
        <x:v>BMR</x:v>
      </x:c>
      <x:c r="C34" s="35" t="str">
        <x:v>Biomedical repair root</x:v>
      </x:c>
      <x:c r="D34" s="35" t="n">
        <x:v>2</x:v>
      </x:c>
      <x:c r="E34" s="35" t="n">
        <x:v>0</x:v>
      </x:c>
      <x:c r="F34" s="35" t="n">
        <x:v>0</x:v>
      </x:c>
      <x:c r="G34" s="35" t="n">
        <x:v>150</x:v>
      </x:c>
      <x:c r="H34" s="35" t="n">
        <x:v>300</x:v>
      </x:c>
      <x:c r="I34" s="35" t="n">
        <x:v>10</x:v>
      </x:c>
      <x:c r="J34" s="35" t="n">
        <x:v>20</x:v>
      </x:c>
      <x:c r="K34" s="35" t="n">
        <x:v>20</x:v>
      </x:c>
      <x:c r="L34" s="35" t="n">
        <x:v>40</x:v>
      </x:c>
    </x:row>
    <x:row r="35" ht="15" hidden="0" customHeight="1">
      <x:c r="B35" s="35" t="str">
        <x:v>ATB</x:v>
      </x:c>
      <x:c r="C35" s="35" t="str">
        <x:v>Accessible transfer bridge</x:v>
      </x:c>
      <x:c r="D35" s="35" t="n">
        <x:v>12</x:v>
      </x:c>
      <x:c r="E35" s="35" t="n">
        <x:v>0</x:v>
      </x:c>
      <x:c r="F35" s="35" t="n">
        <x:v>0</x:v>
      </x:c>
      <x:c r="G35" s="35" t="n">
        <x:v>60</x:v>
      </x:c>
      <x:c r="H35" s="35" t="n">
        <x:v>720</x:v>
      </x:c>
      <x:c r="I35" s="35" t="n">
        <x:v>4</x:v>
      </x:c>
      <x:c r="J35" s="35" t="n">
        <x:v>48</x:v>
      </x:c>
      <x:c r="K35" s="35" t="n">
        <x:v>4</x:v>
      </x:c>
      <x:c r="L35" s="35" t="n">
        <x:v>48</x:v>
      </x:c>
    </x:row>
    <x:row r="36" ht="15" hidden="0" customHeight="1">
      <x:c r="B36" s="35" t="str">
        <x:v>FAH</x:v>
      </x:c>
      <x:c r="C36" s="35" t="str">
        <x:v>Foundation/assembly/handling set</x:v>
      </x:c>
      <x:c r="D36" s="35" t="n">
        <x:v>1</x:v>
      </x:c>
      <x:c r="E36" s="35" t="n">
        <x:v>0</x:v>
      </x:c>
      <x:c r="F36" s="35" t="n">
        <x:v>0</x:v>
      </x:c>
      <x:c r="G36" s="35" t="n">
        <x:v>0</x:v>
      </x:c>
      <x:c r="H36" s="35" t="n">
        <x:v>0</x:v>
      </x:c>
      <x:c r="I36" s="35" t="n">
        <x:v>200</x:v>
      </x:c>
      <x:c r="J36" s="35" t="n">
        <x:v>200</x:v>
      </x:c>
      <x:c r="K36" s="35" t="n">
        <x:v>200</x:v>
      </x:c>
      <x:c r="L36" s="35" t="n">
        <x:v>200</x:v>
      </x:c>
    </x:row>
    <x:row r="37" ht="15" hidden="0" customHeight="1">
      <x:c r="B37" s="35" t="str">
        <x:v>RTS</x:v>
      </x:c>
      <x:c r="C37" s="35" t="str">
        <x:v>Reserve tools/spares kit</x:v>
      </x:c>
      <x:c r="D37" s="35" t="n">
        <x:v>10</x:v>
      </x:c>
      <x:c r="E37" s="35" t="n">
        <x:v>0</x:v>
      </x:c>
      <x:c r="F37" s="35" t="n">
        <x:v>0</x:v>
      </x:c>
      <x:c r="G37" s="35" t="n">
        <x:v>20</x:v>
      </x:c>
      <x:c r="H37" s="35" t="n">
        <x:v>200</x:v>
      </x:c>
      <x:c r="I37" s="35" t="n">
        <x:v>7.5</x:v>
      </x:c>
      <x:c r="J37" s="35" t="n">
        <x:v>75</x:v>
      </x:c>
      <x:c r="K37" s="35" t="n">
        <x:v>9</x:v>
      </x:c>
      <x:c r="L37" s="35" t="n">
        <x:v>90</x:v>
      </x:c>
    </x:row>
    <x:row r="38" ht="15" hidden="0" customHeight="1">
      <x:c r="B38" s="38" t="str">
        <x:v>TOTAL</x:v>
      </x:c>
      <x:c r="C38" s="38" t="str">
        <x:v>CSI-25 nested bill</x:v>
      </x:c>
      <x:c r="D38" s="38" t="n">
        <x:f>SUM(D7:D37)</x:f>
        <x:v>119</x:v>
      </x:c>
      <x:c r="E38" s="38"/>
      <x:c r="F38" s="38" t="n">
        <x:f>SUM(F7:F37)</x:f>
        <x:v>297</x:v>
      </x:c>
      <x:c r="G38" s="38"/>
      <x:c r="H38" s="38" t="n">
        <x:f>SUM(H7:H37)</x:f>
        <x:v>20060</x:v>
      </x:c>
      <x:c r="I38" s="38"/>
      <x:c r="J38" s="38" t="n">
        <x:f>SUM(J7:J37)</x:f>
        <x:v>2803</x:v>
      </x:c>
      <x:c r="K38" s="38"/>
      <x:c r="L38" s="38" t="n">
        <x:f>SUM(L7:L37)</x:f>
        <x:v>3284</x:v>
      </x:c>
    </x:row>
    <x:row r="39" ht="15" hidden="0" customHeight="1"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</x:row>
    <x:row r="40" ht="15" hidden="0" customHeight="1"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</x:row>
    <x:row r="41" ht="15" hidden="0" customHeight="1">
      <x:c r="B41" s="36" t="str">
        <x:v>Proxy test</x:v>
      </x:c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</x:row>
    <x:row r="42" ht="15" hidden="0" customHeight="1">
      <x:c r="B42" s="35" t="str">
        <x:v>Prior unit mass</x:v>
      </x:c>
      <x:c r="C42" s="35"/>
      <x:c r="D42" s="35" t="n">
        <x:f>'01 Controls'!$D$82</x:f>
        <x:v>2400</x:v>
      </x:c>
      <x:c r="E42" s="35" t="str">
        <x:v>t</x:v>
      </x:c>
      <x:c r="F42" s="35"/>
      <x:c r="G42" s="35"/>
      <x:c r="H42" s="35"/>
      <x:c r="I42" s="35"/>
      <x:c r="J42" s="35"/>
      <x:c r="K42" s="35"/>
      <x:c r="L42" s="35"/>
    </x:row>
    <x:row r="43" ht="15" hidden="0" customHeight="1">
      <x:c r="B43" s="35" t="str">
        <x:v>Internal unit mass</x:v>
      </x:c>
      <x:c r="C43" s="35"/>
      <x:c r="D43" s="35" t="n">
        <x:f>J38</x:f>
        <x:v>2803</x:v>
      </x:c>
      <x:c r="E43" s="35" t="str">
        <x:v>t</x:v>
      </x:c>
      <x:c r="F43" s="35"/>
      <x:c r="G43" s="35"/>
      <x:c r="H43" s="35"/>
      <x:c r="I43" s="35"/>
      <x:c r="J43" s="35"/>
      <x:c r="K43" s="35"/>
      <x:c r="L43" s="35"/>
    </x:row>
    <x:row r="44" ht="15" hidden="0" customHeight="1">
      <x:c r="B44" s="35" t="str">
        <x:v>Mass correction</x:v>
      </x:c>
      <x:c r="C44" s="35"/>
      <x:c r="D44" s="35" t="n">
        <x:f>D43-D42</x:f>
        <x:v>403</x:v>
      </x:c>
      <x:c r="E44" s="35" t="str">
        <x:v>t</x:v>
      </x:c>
      <x:c r="F44" s="35"/>
      <x:c r="G44" s="35"/>
      <x:c r="H44" s="35"/>
      <x:c r="I44" s="35"/>
      <x:c r="J44" s="35"/>
      <x:c r="K44" s="35"/>
      <x:c r="L44" s="35"/>
    </x:row>
    <x:row r="45" ht="15" hidden="0" customHeight="1">
      <x:c r="B45" s="35" t="str">
        <x:v>Prior unit capital</x:v>
      </x:c>
      <x:c r="C45" s="35"/>
      <x:c r="D45" s="35" t="n">
        <x:f>'01 Controls'!$D$83</x:f>
        <x:v>2200</x:v>
      </x:c>
      <x:c r="E45" s="35" t="str">
        <x:v>USD m</x:v>
      </x:c>
      <x:c r="F45" s="35"/>
      <x:c r="G45" s="35"/>
      <x:c r="H45" s="35"/>
      <x:c r="I45" s="35"/>
      <x:c r="J45" s="35"/>
      <x:c r="K45" s="35"/>
      <x:c r="L45" s="35"/>
    </x:row>
    <x:row r="46" ht="15" hidden="0" customHeight="1">
      <x:c r="B46" s="35" t="str">
        <x:v>Internal unit capital</x:v>
      </x:c>
      <x:c r="C46" s="35"/>
      <x:c r="D46" s="35" t="n">
        <x:f>L38</x:f>
        <x:v>3284</x:v>
      </x:c>
      <x:c r="E46" s="35" t="str">
        <x:v>USD m</x:v>
      </x:c>
      <x:c r="F46" s="35"/>
      <x:c r="G46" s="35"/>
      <x:c r="H46" s="35"/>
      <x:c r="I46" s="35"/>
      <x:c r="J46" s="35"/>
      <x:c r="K46" s="35"/>
      <x:c r="L46" s="35"/>
    </x:row>
    <x:row r="47" ht="15" hidden="0" customHeight="1">
      <x:c r="B47" s="35" t="str">
        <x:v>Capital correction</x:v>
      </x:c>
      <x:c r="C47" s="35"/>
      <x:c r="D47" s="35" t="n">
        <x:f>D46-D45</x:f>
        <x:v>1084</x:v>
      </x:c>
      <x:c r="E47" s="35" t="str">
        <x:v>USD m</x:v>
      </x:c>
      <x:c r="F47" s="35"/>
      <x:c r="G47" s="35"/>
      <x:c r="H47" s="35"/>
      <x:c r="I47" s="35"/>
      <x:c r="J47" s="35"/>
      <x:c r="K47" s="35"/>
      <x:c r="L47" s="35"/>
    </x:row>
  </x:sheetData>
  <x:mergeCells>
    <x:mergeCell ref="B2:L2"/>
    <x:mergeCell ref="B3:L3"/>
    <x:mergeCell ref="B41:L4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  <x:col min="7" max="7" width="27" hidden="0" customWidth="1"/>
    <x:col min="8" max="8" width="16" hidden="0" customWidth="1"/>
    <x:col min="1" max="1" width="3" hidden="0" customWidth="1"/>
  </x:cols>
  <x:sheetData>
    <x:row r="2" ht="15" hidden="0" customHeight="1">
      <x:c r="B2" s="34" t="str">
        <x:v>HCSG-100 feedback from the internal island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RCA-1 replaces the five CSI proxy lines and corrects common electrical counts. This remains a unit screen, not a national quantity.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Measure</x:v>
      </x:c>
      <x:c r="C6" s="31" t="str">
        <x:v>Prior RBZ-1</x:v>
      </x:c>
      <x:c r="D6" s="31" t="str">
        <x:v>RCA-1</x:v>
      </x:c>
      <x:c r="E6" s="31" t="str">
        <x:v>Change</x:v>
      </x:c>
      <x:c r="F6" s="31" t="str">
        <x:v>Cause</x:v>
      </x:c>
      <x:c r="G6" s="31" t="str">
        <x:v>Boundary</x:v>
      </x:c>
      <x:c r="H6" s="31" t="str">
        <x:v>Status</x:v>
      </x:c>
      <x:c r="I6" s="35"/>
      <x:c r="J6" s="35"/>
      <x:c r="K6" s="35"/>
      <x:c r="L6" s="35"/>
    </x:row>
    <x:row r="7" ht="15" hidden="0" customHeight="1">
      <x:c r="B7" s="35" t="str">
        <x:v>CSI unit mass</x:v>
      </x:c>
      <x:c r="C7" s="46" t="n">
        <x:f>'01 Controls'!$D$82</x:f>
        <x:v>2400</x:v>
      </x:c>
      <x:c r="D7" s="46" t="n">
        <x:f>'11 Article bill'!$J$38</x:f>
        <x:v>2803</x:v>
      </x:c>
      <x:c r="E7" s="46" t="n">
        <x:f>D7-C7</x:f>
        <x:v>403</x:v>
      </x:c>
      <x:c r="F7" s="35" t="str">
        <x:v>arrival, zoning and local utilities</x:v>
      </x:c>
      <x:c r="G7" s="35" t="str">
        <x:v>five-island unit</x:v>
      </x:c>
      <x:c r="H7" s="35" t="str">
        <x:v>REVISED</x:v>
      </x:c>
      <x:c r="I7" s="35"/>
      <x:c r="J7" s="35"/>
      <x:c r="K7" s="35"/>
      <x:c r="L7" s="35"/>
    </x:row>
    <x:row r="8" ht="15" hidden="0" customHeight="1">
      <x:c r="B8" s="35" t="str">
        <x:v>CSI unit capital</x:v>
      </x:c>
      <x:c r="C8" s="46" t="n">
        <x:f>'01 Controls'!$D$83</x:f>
        <x:v>2200</x:v>
      </x:c>
      <x:c r="D8" s="46" t="n">
        <x:f>'11 Article bill'!$L$38</x:f>
        <x:v>3284</x:v>
      </x:c>
      <x:c r="E8" s="46" t="n">
        <x:f>D8-C8</x:f>
        <x:v>1084</x:v>
      </x:c>
      <x:c r="F8" s="35" t="str">
        <x:v>internal service articles</x:v>
      </x:c>
      <x:c r="G8" s="35" t="str">
        <x:v>first-unit screen</x:v>
      </x:c>
      <x:c r="H8" s="35" t="str">
        <x:v>REVISED</x:v>
      </x:c>
      <x:c r="I8" s="35"/>
      <x:c r="J8" s="35"/>
      <x:c r="K8" s="35"/>
      <x:c r="L8" s="35"/>
    </x:row>
    <x:row r="9" ht="15" hidden="0" customHeight="1">
      <x:c r="B9" s="35" t="str">
        <x:v>SPC count</x:v>
      </x:c>
      <x:c r="C9" s="46" t="n">
        <x:v>5</x:v>
      </x:c>
      <x:c r="D9" s="46" t="n">
        <x:f>'07 Power one-line'!D15</x:f>
        <x:v>6</x:v>
      </x:c>
      <x:c r="E9" s="46" t="n">
        <x:f>D9-C9</x:f>
        <x:v>1</x:v>
      </x:c>
      <x:c r="F9" s="35" t="str">
        <x:v>standby + segmentation power</x:v>
      </x:c>
      <x:c r="G9" s="35" t="str">
        <x:v>common electrical</x:v>
      </x:c>
      <x:c r="H9" s="35" t="str">
        <x:v>REVISED</x:v>
      </x:c>
      <x:c r="I9" s="35"/>
      <x:c r="J9" s="35"/>
      <x:c r="K9" s="35"/>
      <x:c r="L9" s="35"/>
    </x:row>
    <x:row r="10" ht="15" hidden="0" customHeight="1">
      <x:c r="B10" s="35" t="str">
        <x:v>PTN count</x:v>
      </x:c>
      <x:c r="C10" s="46" t="n">
        <x:v>7</x:v>
      </x:c>
      <x:c r="D10" s="46" t="n">
        <x:f>'07 Power one-line'!D21</x:f>
        <x:v>8</x:v>
      </x:c>
      <x:c r="E10" s="46" t="n">
        <x:f>D10-C10</x:f>
        <x:v>1</x:v>
      </x:c>
      <x:c r="F10" s="35" t="str">
        <x:v>larger installed source root</x:v>
      </x:c>
      <x:c r="G10" s="35" t="str">
        <x:v>common electrical</x:v>
      </x:c>
      <x:c r="H10" s="35" t="str">
        <x:v>REVISED</x:v>
      </x:c>
      <x:c r="I10" s="35"/>
      <x:c r="J10" s="35"/>
      <x:c r="K10" s="35"/>
      <x:c r="L10" s="35"/>
    </x:row>
    <x:row r="11" ht="15" hidden="0" customHeight="1">
      <x:c r="B11" s="35" t="str">
        <x:v>Electrical articles</x:v>
      </x:c>
      <x:c r="C11" s="46" t="n">
        <x:v>21</x:v>
      </x:c>
      <x:c r="D11" s="46" t="n">
        <x:f>'07 Power one-line'!D23</x:f>
        <x:v>23</x:v>
      </x:c>
      <x:c r="E11" s="46" t="n">
        <x:f>D11-C11</x:f>
        <x:v>2</x:v>
      </x:c>
      <x:c r="F11" s="35" t="str">
        <x:v>source + protection</x:v>
      </x:c>
      <x:c r="G11" s="35" t="str">
        <x:v>common electrical</x:v>
      </x:c>
      <x:c r="H11" s="35" t="str">
        <x:v>REVISED</x:v>
      </x:c>
      <x:c r="I11" s="35"/>
      <x:c r="J11" s="35"/>
      <x:c r="K11" s="35"/>
      <x:c r="L11" s="35"/>
    </x:row>
    <x:row r="12" ht="15" hidden="0" customHeight="1">
      <x:c r="B12" s="35" t="str">
        <x:v>HCSG top-level articles</x:v>
      </x:c>
      <x:c r="C12" s="46" t="n">
        <x:f>'01 Controls'!$D$79</x:f>
        <x:v>144</x:v>
      </x:c>
      <x:c r="D12" s="46" t="n">
        <x:f>'01 Controls'!$D$79+D9-C9+D10-C10</x:f>
        <x:v>146</x:v>
      </x:c>
      <x:c r="E12" s="46" t="n">
        <x:f>D12-C12</x:f>
        <x:v>2</x:v>
      </x:c>
      <x:c r="F12" s="35" t="str">
        <x:v>two common electrical articles</x:v>
      </x:c>
      <x:c r="G12" s="35" t="str">
        <x:v>nested CSI articles not added</x:v>
      </x:c>
      <x:c r="H12" s="35" t="str">
        <x:v>REVISED</x:v>
      </x:c>
      <x:c r="I12" s="35"/>
      <x:c r="J12" s="35"/>
      <x:c r="K12" s="35"/>
      <x:c r="L12" s="35"/>
    </x:row>
    <x:row r="13" ht="15" hidden="0" customHeight="1">
      <x:c r="B13" s="35" t="str">
        <x:v>HCSG dry mass</x:v>
      </x:c>
      <x:c r="C13" s="46" t="n">
        <x:f>'01 Controls'!$D$80</x:f>
        <x:v>31217</x:v>
      </x:c>
      <x:c r="D13" s="46" t="n">
        <x:f>'01 Controls'!$D$80+5*('11 Article bill'!$J$38-'01 Controls'!$D$82)+(D9-C9)*'01 Controls'!$D$84+(D10-C10)*'01 Controls'!$D$86</x:f>
        <x:v>33377</x:v>
      </x:c>
      <x:c r="E13" s="46" t="n">
        <x:f>D13-C13</x:f>
        <x:v>2160</x:v>
      </x:c>
      <x:c r="F13" s="35" t="str">
        <x:v>five CSI corrections + electrical</x:v>
      </x:c>
      <x:c r="G13" s="35" t="str">
        <x:v>formation screen</x:v>
      </x:c>
      <x:c r="H13" s="35" t="str">
        <x:v>REVISED</x:v>
      </x:c>
      <x:c r="I13" s="35"/>
      <x:c r="J13" s="35"/>
      <x:c r="K13" s="35"/>
      <x:c r="L13" s="35"/>
    </x:row>
    <x:row r="14" ht="15" hidden="0" customHeight="1">
      <x:c r="B14" s="35" t="str">
        <x:v>HCSG capital</x:v>
      </x:c>
      <x:c r="C14" s="46" t="n">
        <x:f>'01 Controls'!$D$81</x:f>
        <x:v>25077</x:v>
      </x:c>
      <x:c r="D14" s="46" t="n">
        <x:f>'01 Controls'!$D$81+5*('11 Article bill'!$L$38-'01 Controls'!$D$83)+(D9-C9)*'01 Controls'!$D$85+(D10-C10)*'01 Controls'!$D$87</x:f>
        <x:v>30697</x:v>
      </x:c>
      <x:c r="E14" s="46" t="n">
        <x:f>D14-C14</x:f>
        <x:v>5620</x:v>
      </x:c>
      <x:c r="F14" s="35" t="str">
        <x:v>five CSI corrections + electrical</x:v>
      </x:c>
      <x:c r="G14" s="35" t="str">
        <x:v>USD m first-unit</x:v>
      </x:c>
      <x:c r="H14" s="35" t="str">
        <x:v>REVISED</x:v>
      </x:c>
      <x:c r="I14" s="35"/>
      <x:c r="J14" s="35"/>
      <x:c r="K14" s="35"/>
      <x:c r="L14" s="35"/>
    </x:row>
    <x:row r="15" ht="15" hidden="0" customHeight="1"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</x:row>
    <x:row r="16" ht="15" hidden="0" customHeight="1"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</x:row>
    <x:row r="17" ht="15" hidden="0" customHeight="1">
      <x:c r="B17" s="36" t="str">
        <x:v>Interpretation</x:v>
      </x:c>
      <x:c r="C17" s="36"/>
      <x:c r="D17" s="36"/>
      <x:c r="E17" s="36"/>
      <x:c r="F17" s="36"/>
      <x:c r="G17" s="36"/>
      <x:c r="H17" s="36"/>
      <x:c r="I17" s="35"/>
      <x:c r="J17" s="35"/>
      <x:c r="K17" s="35"/>
      <x:c r="L17" s="35"/>
    </x:row>
    <x:row r="18" ht="15" hidden="0" customHeight="1">
      <x:c r="B18" s="35" t="str">
        <x:v>Correction</x:v>
      </x:c>
      <x:c r="C18" s="35" t="str">
        <x:v>The prior 2,400 t / USD 2.2B island was a proxy. Internal service accounting falsifies both values.</x:v>
      </x:c>
      <x:c r="D18" s="35"/>
      <x:c r="E18" s="35"/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5" t="str">
        <x:v>Power</x:v>
      </x:c>
      <x:c r="C19" s="35" t="str">
        <x:v>Five sources fail after reserve-island standby and per-island service loads are made explicit; six close the scalar screen.</x:v>
      </x:c>
      <x:c r="D19" s="35"/>
      <x:c r="E19" s="35"/>
      <x:c r="F19" s="35"/>
      <x:c r="G19" s="35"/>
      <x:c r="H19" s="35"/>
      <x:c r="I19" s="35"/>
      <x:c r="J19" s="35"/>
      <x:c r="K19" s="35"/>
      <x:c r="L19" s="35"/>
    </x:row>
    <x:row r="20" ht="15" hidden="0" customHeight="1">
      <x:c r="B20" s="35" t="str">
        <x:v>Hierarchy</x:v>
      </x:c>
      <x:c r="C20" s="35" t="str">
        <x:v>A CSI remains one top-level formation article while its 119 nested serials remain auditable beneath it.</x:v>
      </x:c>
      <x:c r="D20" s="35"/>
      <x:c r="E20" s="35"/>
      <x:c r="F20" s="35"/>
      <x:c r="G20" s="35"/>
      <x:c r="H20" s="35"/>
      <x:c r="I20" s="35"/>
      <x:c r="J20" s="35"/>
      <x:c r="K20" s="35"/>
      <x:c r="L20" s="35"/>
    </x:row>
    <x:row r="21" ht="15" hidden="0" customHeight="1">
      <x:c r="B21" s="35" t="str">
        <x:v>No multiplier</x:v>
      </x:c>
      <x:c r="C21" s="35" t="str">
        <x:v>The revised formation is not multiplied by H-THC, H-PMG or any national proxy.</x:v>
      </x:c>
      <x:c r="D21" s="35"/>
      <x:c r="E21" s="35"/>
      <x:c r="F21" s="35"/>
      <x:c r="G21" s="35"/>
      <x:c r="H21" s="35"/>
      <x:c r="I21" s="35"/>
      <x:c r="J21" s="35"/>
      <x:c r="K21" s="35"/>
      <x:c r="L21" s="35"/>
    </x:row>
    <x:row r="22" ht="15" hidden="0" customHeight="1">
      <x:c r="B22" s="35" t="str">
        <x:v>No release</x:v>
      </x:c>
      <x:c r="C22" s="35" t="str">
        <x:v>All force and substitution credit remains zero pending representative evidence.</x:v>
      </x:c>
      <x:c r="D22" s="35"/>
      <x:c r="E22" s="35"/>
      <x:c r="F22" s="35"/>
      <x:c r="G22" s="35"/>
      <x:c r="H22" s="35"/>
      <x:c r="I22" s="35"/>
      <x:c r="J22" s="35"/>
      <x:c r="K22" s="35"/>
      <x:c r="L22" s="35"/>
    </x:row>
  </x:sheetData>
  <x:mergeCells>
    <x:mergeCell ref="B2:L2"/>
    <x:mergeCell ref="B3:L3"/>
    <x:mergeCell ref="B17:H17"/>
    <x:mergeCell ref="C18:H18"/>
    <x:mergeCell ref="C19:H19"/>
    <x:mergeCell ref="C20:H20"/>
    <x:mergeCell ref="C21:H21"/>
    <x:mergeCell ref="C22:H2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0" hidden="0" customWidth="1"/>
    <x:col min="3" max="3" width="34" hidden="0" customWidth="1"/>
    <x:col min="4" max="4" width="17" hidden="0" customWidth="1"/>
    <x:col min="5" max="5" width="42" hidden="0" customWidth="1"/>
    <x:col min="6" max="6" width="20" hidden="0" customWidth="1"/>
    <x:col min="7" max="7" width="36" hidden="0" customWidth="1"/>
    <x:col min="8" max="8" width="10" hidden="0" customWidth="1"/>
    <x:col min="1" max="1" width="3" hidden="0" customWidth="1"/>
  </x:cols>
  <x:sheetData>
    <x:row r="2" ht="15" hidden="0" customHeight="1">
      <x:c r="B2" s="34" t="str">
        <x:v>CSI-25 failure-world register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Scalar closure and physical closure are distinct. A planning pass never becomes clinical or procurement credit.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ID</x:v>
      </x:c>
      <x:c r="C6" s="31" t="str">
        <x:v>Failure world</x:v>
      </x:c>
      <x:c r="D6" s="31" t="str">
        <x:v>Scalar state</x:v>
      </x:c>
      <x:c r="E6" s="31" t="str">
        <x:v>Required response</x:v>
      </x:c>
      <x:c r="F6" s="31" t="str">
        <x:v>Time objective</x:v>
      </x:c>
      <x:c r="G6" s="31" t="str">
        <x:v>Required evidence</x:v>
      </x:c>
      <x:c r="H6" s="31" t="str">
        <x:v>Credit</x:v>
      </x:c>
      <x:c r="I6" s="35"/>
      <x:c r="J6" s="35"/>
      <x:c r="K6" s="35"/>
      <x:c r="L6" s="35"/>
    </x:row>
    <x:row r="7" ht="15" hidden="0" customHeight="1">
      <x:c r="B7" s="35" t="str">
        <x:v>IW0</x:v>
      </x:c>
      <x:c r="C7" s="35" t="str">
        <x:v>Reference operation</x:v>
      </x:c>
      <x:c r="D7" s="35" t="str">
        <x:v>CLOSED</x:v>
      </x:c>
      <x:c r="E7" s="35" t="str">
        <x:v>four active + one ready island</x:v>
      </x:c>
      <x:c r="F7" s="35" t="str">
        <x:v>72 h full lattice</x:v>
      </x:c>
      <x:c r="G7" s="35" t="str">
        <x:v>complete mission trial</x:v>
      </x:c>
      <x:c r="H7" s="35" t="n">
        <x:v>0</x:v>
      </x:c>
      <x:c r="I7" s="35"/>
      <x:c r="J7" s="35"/>
      <x:c r="K7" s="35"/>
      <x:c r="L7" s="35"/>
    </x:row>
    <x:row r="8" ht="15" hidden="0" customHeight="1">
      <x:c r="B8" s="35" t="str">
        <x:v>IW1</x:v>
      </x:c>
      <x:c r="C8" s="35" t="str">
        <x:v>One care cell unavailable</x:v>
      </x:c>
      <x:c r="D8" s="35" t="str">
        <x:v>OPEN</x:v>
      </x:c>
      <x:c r="E8" s="35" t="str">
        <x:v>isolate cell; activate matching reserve-island line</x:v>
      </x:c>
      <x:c r="F8" s="35" t="str">
        <x:v>2 h</x:v>
      </x:c>
      <x:c r="G8" s="35" t="str">
        <x:v>patient-safe transfer trial</x:v>
      </x:c>
      <x:c r="H8" s="35" t="n">
        <x:v>0</x:v>
      </x:c>
      <x:c r="I8" s="35"/>
      <x:c r="J8" s="35"/>
      <x:c r="K8" s="35"/>
      <x:c r="L8" s="35"/>
    </x:row>
    <x:row r="9" ht="15" hidden="0" customHeight="1">
      <x:c r="B9" s="35" t="str">
        <x:v>IW2</x:v>
      </x:c>
      <x:c r="C9" s="35" t="str">
        <x:v>Whole active island unavailable</x:v>
      </x:c>
      <x:c r="D9" s="35" t="str">
        <x:v>CLOSED</x:v>
      </x:c>
      <x:c r="E9" s="35" t="str">
        <x:v>exchange to ready island</x:v>
      </x:c>
      <x:c r="F9" s="35" t="str">
        <x:v>6 h</x:v>
      </x:c>
      <x:c r="G9" s="35" t="str">
        <x:v>whole-island exchange</x:v>
      </x:c>
      <x:c r="H9" s="35" t="n">
        <x:v>0</x:v>
      </x:c>
      <x:c r="I9" s="35"/>
      <x:c r="J9" s="35"/>
      <x:c r="K9" s="35"/>
      <x:c r="L9" s="35"/>
    </x:row>
    <x:row r="10" ht="15" hidden="0" customHeight="1">
      <x:c r="B10" s="35" t="str">
        <x:v>IW3</x:v>
      </x:c>
      <x:c r="C10" s="35" t="str">
        <x:v>One local feeder lost</x:v>
      </x:c>
      <x:c r="D10" s="35" t="str">
        <x:v>CLOSED</x:v>
      </x:c>
      <x:c r="E10" s="35" t="str">
        <x:v>two feeders retain island peak</x:v>
      </x:c>
      <x:c r="F10" s="35" t="str">
        <x:v>sub-cycle / no-break</x:v>
      </x:c>
      <x:c r="G10" s="35" t="str">
        <x:v>fault and transient trial</x:v>
      </x:c>
      <x:c r="H10" s="35" t="n">
        <x:v>0</x:v>
      </x:c>
      <x:c r="I10" s="35"/>
      <x:c r="J10" s="35"/>
      <x:c r="K10" s="35"/>
      <x:c r="L10" s="35"/>
    </x:row>
    <x:row r="11" ht="15" hidden="0" customHeight="1">
      <x:c r="B11" s="35" t="str">
        <x:v>IW4</x:v>
      </x:c>
      <x:c r="C11" s="35" t="str">
        <x:v>One domain air train lost</x:v>
      </x:c>
      <x:c r="D11" s="35" t="str">
        <x:v>CLOSED</x:v>
      </x:c>
      <x:c r="E11" s="35" t="str">
        <x:v>remaining same-domain trains retain airflow</x:v>
      </x:c>
      <x:c r="F11" s="35" t="str">
        <x:v>3 min boundary</x:v>
      </x:c>
      <x:c r="G11" s="35" t="str">
        <x:v>aerosol and thermal trial</x:v>
      </x:c>
      <x:c r="H11" s="35" t="n">
        <x:v>0</x:v>
      </x:c>
      <x:c r="I11" s="35"/>
      <x:c r="J11" s="35"/>
      <x:c r="K11" s="35"/>
      <x:c r="L11" s="35"/>
    </x:row>
    <x:row r="12" ht="15" hidden="0" customHeight="1">
      <x:c r="B12" s="35" t="str">
        <x:v>IW5</x:v>
      </x:c>
      <x:c r="C12" s="35" t="str">
        <x:v>Contaminated air cross-connect</x:v>
      </x:c>
      <x:c r="D12" s="35" t="str">
        <x:v>PROHIBITED</x:v>
      </x:c>
      <x:c r="E12" s="35" t="str">
        <x:v>stop admissions; isolate and evacuate sector</x:v>
      </x:c>
      <x:c r="F12" s="35" t="str">
        <x:v>immediate</x:v>
      </x:c>
      <x:c r="G12" s="35" t="str">
        <x:v>tracer and failure insertion</x:v>
      </x:c>
      <x:c r="H12" s="35" t="n">
        <x:v>0</x:v>
      </x:c>
      <x:c r="I12" s="35"/>
      <x:c r="J12" s="35"/>
      <x:c r="K12" s="35"/>
      <x:c r="L12" s="35"/>
    </x:row>
    <x:row r="13" ht="15" hidden="0" customHeight="1">
      <x:c r="B13" s="35" t="str">
        <x:v>IW6</x:v>
      </x:c>
      <x:c r="C13" s="35" t="str">
        <x:v>One local water pod lost</x:v>
      </x:c>
      <x:c r="D13" s="35" t="str">
        <x:v>CLOSED</x:v>
      </x:c>
      <x:c r="E13" s="35" t="str">
        <x:v>80 m3 remains</x:v>
      </x:c>
      <x:c r="F13" s="35" t="str">
        <x:v>8 h buffer</x:v>
      </x:c>
      <x:c r="G13" s="35" t="str">
        <x:v>quality and switchover</x:v>
      </x:c>
      <x:c r="H13" s="35" t="n">
        <x:v>0</x:v>
      </x:c>
      <x:c r="I13" s="35"/>
      <x:c r="J13" s="35"/>
      <x:c r="K13" s="35"/>
      <x:c r="L13" s="35"/>
    </x:row>
    <x:row r="14" ht="15" hidden="0" customHeight="1">
      <x:c r="B14" s="35" t="str">
        <x:v>IW7</x:v>
      </x:c>
      <x:c r="C14" s="35" t="str">
        <x:v>One oxygen pod lost</x:v>
      </x:c>
      <x:c r="D14" s="35" t="str">
        <x:v>CLOSED</x:v>
      </x:c>
      <x:c r="E14" s="35" t="str">
        <x:v>400 m3 remains</x:v>
      </x:c>
      <x:c r="F14" s="35" t="str">
        <x:v>4 h buffer</x:v>
      </x:c>
      <x:c r="G14" s="35" t="str">
        <x:v>purity and pressure trial</x:v>
      </x:c>
      <x:c r="H14" s="35" t="n">
        <x:v>0</x:v>
      </x:c>
      <x:c r="I14" s="35"/>
      <x:c r="J14" s="35"/>
      <x:c r="K14" s="35"/>
      <x:c r="L14" s="35"/>
    </x:row>
    <x:row r="15" ht="15" hidden="0" customHeight="1">
      <x:c r="B15" s="35" t="str">
        <x:v>IW8</x:v>
      </x:c>
      <x:c r="C15" s="35" t="str">
        <x:v>One wastewater pod lost</x:v>
      </x:c>
      <x:c r="D15" s="35" t="str">
        <x:v>CLOSED</x:v>
      </x:c>
      <x:c r="E15" s="35" t="str">
        <x:v>80 m3 remains</x:v>
      </x:c>
      <x:c r="F15" s="35" t="str">
        <x:v>8 h buffer</x:v>
      </x:c>
      <x:c r="G15" s="35" t="str">
        <x:v>segregation and disposal</x:v>
      </x:c>
      <x:c r="H15" s="35" t="n">
        <x:v>0</x:v>
      </x:c>
      <x:c r="I15" s="35"/>
      <x:c r="J15" s="35"/>
      <x:c r="K15" s="35"/>
      <x:c r="L15" s="35"/>
    </x:row>
    <x:row r="16" ht="15" hidden="0" customHeight="1">
      <x:c r="B16" s="35" t="str">
        <x:v>IW9</x:v>
      </x:c>
      <x:c r="C16" s="35" t="str">
        <x:v>One public portal module lost</x:v>
      </x:c>
      <x:c r="D16" s="35" t="str">
        <x:v>CLOSED</x:v>
      </x:c>
      <x:c r="E16" s="35" t="str">
        <x:v>28 positions retain peak requirement</x:v>
      </x:c>
      <x:c r="F16" s="35" t="str">
        <x:v>continuous</x:v>
      </x:c>
      <x:c r="G16" s="35" t="str">
        <x:v>queue and identity trial</x:v>
      </x:c>
      <x:c r="H16" s="35" t="n">
        <x:v>0</x:v>
      </x:c>
      <x:c r="I16" s="35"/>
      <x:c r="J16" s="35"/>
      <x:c r="K16" s="35"/>
      <x:c r="L16" s="35"/>
    </x:row>
    <x:row r="17" ht="15" hidden="0" customHeight="1">
      <x:c r="B17" s="35" t="str">
        <x:v>IW10</x:v>
      </x:c>
      <x:c r="C17" s="35" t="str">
        <x:v>One acute portal module lost</x:v>
      </x:c>
      <x:c r="D17" s="35" t="str">
        <x:v>CLOSED</x:v>
      </x:c>
      <x:c r="E17" s="35" t="str">
        <x:v>four positions retain requirement</x:v>
      </x:c>
      <x:c r="F17" s="35" t="str">
        <x:v>continuous</x:v>
      </x:c>
      <x:c r="G17" s="35" t="str">
        <x:v>acuity and surge trial</x:v>
      </x:c>
      <x:c r="H17" s="35" t="n">
        <x:v>0</x:v>
      </x:c>
      <x:c r="I17" s="35"/>
      <x:c r="J17" s="35"/>
      <x:c r="K17" s="35"/>
      <x:c r="L17" s="35"/>
    </x:row>
    <x:row r="18" ht="15" hidden="0" customHeight="1">
      <x:c r="B18" s="35" t="str">
        <x:v>IW11</x:v>
      </x:c>
      <x:c r="C18" s="35" t="str">
        <x:v>One data root lost</x:v>
      </x:c>
      <x:c r="D18" s="35" t="str">
        <x:v>OPEN</x:v>
      </x:c>
      <x:c r="E18" s="35" t="str">
        <x:v>local second root preserves signed state</x:v>
      </x:c>
      <x:c r="F18" s="35" t="str">
        <x:v>30 s</x:v>
      </x:c>
      <x:c r="G18" s="35" t="str">
        <x:v>offline reconstruction</x:v>
      </x:c>
      <x:c r="H18" s="35" t="n">
        <x:v>0</x:v>
      </x:c>
      <x:c r="I18" s="35"/>
      <x:c r="J18" s="35"/>
      <x:c r="K18" s="35"/>
      <x:c r="L18" s="35"/>
    </x:row>
    <x:row r="19" ht="15" hidden="0" customHeight="1">
      <x:c r="B19" s="35" t="str">
        <x:v>IW12</x:v>
      </x:c>
      <x:c r="C19" s="35" t="str">
        <x:v>Network and time source absent</x:v>
      </x:c>
      <x:c r="D19" s="35" t="str">
        <x:v>OPEN</x:v>
      </x:c>
      <x:c r="E19" s="35" t="str">
        <x:v>local authority and reconciliation</x:v>
      </x:c>
      <x:c r="F19" s="35" t="str">
        <x:v>72 h</x:v>
      </x:c>
      <x:c r="G19" s="35" t="str">
        <x:v>disconnected operation</x:v>
      </x:c>
      <x:c r="H19" s="35" t="n">
        <x:v>0</x:v>
      </x:c>
      <x:c r="I19" s="35"/>
      <x:c r="J19" s="35"/>
      <x:c r="K19" s="35"/>
      <x:c r="L19" s="35"/>
    </x:row>
    <x:row r="20" ht="15" hidden="0" customHeight="1">
      <x:c r="B20" s="35" t="str">
        <x:v>IW13</x:v>
      </x:c>
      <x:c r="C20" s="35" t="str">
        <x:v>Staff cohort unavailable</x:v>
      </x:c>
      <x:c r="D20" s="35" t="str">
        <x:v>OPEN</x:v>
      </x:c>
      <x:c r="E20" s="35" t="str">
        <x:v>safe downscope or replacement</x:v>
      </x:c>
      <x:c r="F20" s="35" t="str">
        <x:v>before shift failure</x:v>
      </x:c>
      <x:c r="G20" s="35" t="str">
        <x:v>task/fatigue trial</x:v>
      </x:c>
      <x:c r="H20" s="35" t="n">
        <x:v>0</x:v>
      </x:c>
      <x:c r="I20" s="35"/>
      <x:c r="J20" s="35"/>
      <x:c r="K20" s="35"/>
      <x:c r="L20" s="35"/>
    </x:row>
    <x:row r="21" ht="15" hidden="0" customHeight="1">
      <x:c r="B21" s="35" t="str">
        <x:v>IW14</x:v>
      </x:c>
      <x:c r="C21" s="35" t="str">
        <x:v>Extreme heat plus smoke</x:v>
      </x:c>
      <x:c r="D21" s="35" t="str">
        <x:v>OPEN</x:v>
      </x:c>
      <x:c r="E21" s="35" t="str">
        <x:v>air and power loads remain within service</x:v>
      </x:c>
      <x:c r="F21" s="35" t="str">
        <x:v>30 days</x:v>
      </x:c>
      <x:c r="G21" s="35" t="str">
        <x:v>combined-environment trial</x:v>
      </x:c>
      <x:c r="H21" s="35" t="n">
        <x:v>0</x:v>
      </x:c>
      <x:c r="I21" s="35"/>
      <x:c r="J21" s="35"/>
      <x:c r="K21" s="35"/>
      <x:c r="L21" s="35"/>
    </x:row>
    <x:row r="22" ht="15" hidden="0" customHeight="1">
      <x:c r="B22" s="35" t="str">
        <x:v>IW15</x:v>
      </x:c>
      <x:c r="C22" s="35" t="str">
        <x:v>Receiver refuses transfers</x:v>
      </x:c>
      <x:c r="D22" s="35" t="str">
        <x:v>OPEN</x:v>
      </x:c>
      <x:c r="E22" s="35" t="str">
        <x:v>retain safe care or find accepted destination</x:v>
      </x:c>
      <x:c r="F22" s="35" t="str">
        <x:v>clinical clock</x:v>
      </x:c>
      <x:c r="G22" s="35" t="str">
        <x:v>receiver network trial</x:v>
      </x:c>
      <x:c r="H22" s="35" t="n">
        <x:v>0</x:v>
      </x:c>
      <x:c r="I22" s="35"/>
      <x:c r="J22" s="35"/>
      <x:c r="K22" s="35"/>
      <x:c r="L22" s="35"/>
    </x:row>
    <x:row r="23" ht="15" hidden="0" customHeight="1">
      <x:c r="B23" s="35" t="str">
        <x:v>IW16</x:v>
      </x:c>
      <x:c r="C23" s="35" t="str">
        <x:v>Release destination loses utilities</x:v>
      </x:c>
      <x:c r="D23" s="35" t="str">
        <x:v>OPEN</x:v>
      </x:c>
      <x:c r="E23" s="35" t="str">
        <x:v>hold release; restore destination continuity</x:v>
      </x:c>
      <x:c r="F23" s="35" t="str">
        <x:v>before departure</x:v>
      </x:c>
      <x:c r="G23" s="35" t="str">
        <x:v>end-to-end handoff</x:v>
      </x:c>
      <x:c r="H23" s="35" t="n">
        <x:v>0</x:v>
      </x:c>
      <x:c r="I23" s="35"/>
      <x:c r="J23" s="35"/>
      <x:c r="K23" s="35"/>
      <x:c r="L23" s="35"/>
    </x:row>
    <x:row r="24" ht="15" hidden="0" customHeight="1">
      <x:c r="B24" s="35" t="str">
        <x:v>IW17</x:v>
      </x:c>
      <x:c r="C24" s="35" t="str">
        <x:v>Isolation census doubles</x:v>
      </x:c>
      <x:c r="D24" s="35" t="str">
        <x:v>OPEN</x:v>
      </x:c>
      <x:c r="E24" s="35" t="str">
        <x:v>split contaminated domain or add island line</x:v>
      </x:c>
      <x:c r="F24" s="35" t="str">
        <x:v>before saturation</x:v>
      </x:c>
      <x:c r="G24" s="35" t="str">
        <x:v>infection surge trial</x:v>
      </x:c>
      <x:c r="H24" s="35" t="n">
        <x:v>0</x:v>
      </x:c>
      <x:c r="I24" s="35"/>
      <x:c r="J24" s="35"/>
      <x:c r="K24" s="35"/>
      <x:c r="L24" s="35"/>
    </x:row>
    <x:row r="25" ht="15" hidden="0" customHeight="1">
      <x:c r="B25" s="35" t="str">
        <x:v>IW18</x:v>
      </x:c>
      <x:c r="C25" s="35" t="str">
        <x:v>Second region activates</x:v>
      </x:c>
      <x:c r="D25" s="35" t="str">
        <x:v>OPEN</x:v>
      </x:c>
      <x:c r="E25" s="35" t="str">
        <x:v>protect reserve and staff regeneration</x:v>
      </x:c>
      <x:c r="F25" s="35" t="str">
        <x:v>campaign clock</x:v>
      </x:c>
      <x:c r="G25" s="35" t="str">
        <x:v>concurrent mission trial</x:v>
      </x:c>
      <x:c r="H25" s="35" t="n">
        <x:v>0</x:v>
      </x:c>
      <x:c r="I25" s="35"/>
      <x:c r="J25" s="35"/>
      <x:c r="K25" s="35"/>
      <x:c r="L25" s="35"/>
    </x:row>
    <x:row r="26" ht="15" hidden="0" customHeight="1">
      <x:c r="B26" s="35" t="str">
        <x:v>IW19</x:v>
      </x:c>
      <x:c r="C26" s="35" t="str">
        <x:v>Root-wide latent defect</x:v>
      </x:c>
      <x:c r="D26" s="35" t="str">
        <x:v>OPEN</x:v>
      </x:c>
      <x:c r="E26" s="35" t="str">
        <x:v>unlike root substitutes without shared defect</x:v>
      </x:c>
      <x:c r="F26" s="35" t="str">
        <x:v>before field release</x:v>
      </x:c>
      <x:c r="G26" s="35" t="str">
        <x:v>two-root destructive campaign</x:v>
      </x:c>
      <x:c r="H26" s="35" t="n">
        <x:v>0</x:v>
      </x:c>
      <x:c r="I26" s="35"/>
      <x:c r="J26" s="35"/>
      <x:c r="K26" s="35"/>
      <x:c r="L26" s="35"/>
    </x:row>
  </x:sheetData>
  <x:mergeCells>
    <x:mergeCell ref="B2:L2"/>
    <x:mergeCell ref="B3:L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  <x:col min="7" max="7" width="40" hidden="0" customWidth="1"/>
    <x:col min="8" max="8" width="15" hidden="0" customWidth="1"/>
    <x:col min="1" max="1" width="3" hidden="0" customWidth="1"/>
  </x:cols>
  <x:sheetData>
    <x:row r="2" ht="15" hidden="0" customHeight="1">
      <x:c r="B2" s="34" t="str">
        <x:v>Island activation and transport screen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The deployment sequence protects an early complete acute path while preserving full-island closure by hour 72. Exterior carrier form remains open.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Tranche</x:v>
      </x:c>
      <x:c r="C6" s="31" t="str">
        <x:v>Window</x:v>
      </x:c>
      <x:c r="D6" s="31" t="str">
        <x:v>Dry mass t</x:v>
      </x:c>
      <x:c r="E6" s="31" t="str">
        <x:v>Cumulative t</x:v>
      </x:c>
      <x:c r="F6" s="31" t="str">
        <x:v>Primary service</x:v>
      </x:c>
      <x:c r="G6" s="31" t="str">
        <x:v>Release condition</x:v>
      </x:c>
      <x:c r="H6" s="31" t="str">
        <x:v>Status</x:v>
      </x:c>
      <x:c r="I6" s="35"/>
      <x:c r="J6" s="35"/>
      <x:c r="K6" s="35"/>
      <x:c r="L6" s="35"/>
    </x:row>
    <x:row r="7" ht="15" hidden="0" customHeight="1">
      <x:c r="B7" s="35" t="str">
        <x:v>T0 authority and portal</x:v>
      </x:c>
      <x:c r="C7" s="35" t="str">
        <x:v>0–6 h</x:v>
      </x:c>
      <x:c r="D7" s="35" t="n">
        <x:v>340</x:v>
      </x:c>
      <x:c r="E7" s="35" t="n">
        <x:f>D7</x:f>
        <x:v>340</x:v>
      </x:c>
      <x:c r="F7" s="35" t="str">
        <x:v>command, identity, public/acute portals</x:v>
      </x:c>
      <x:c r="G7" s="35" t="str">
        <x:v>receiver compact + site safety</x:v>
      </x:c>
      <x:c r="H7" s="35" t="str">
        <x:v>PLANNING</x:v>
      </x:c>
      <x:c r="I7" s="35"/>
      <x:c r="J7" s="35"/>
      <x:c r="K7" s="35"/>
      <x:c r="L7" s="35"/>
    </x:row>
    <x:row r="8" ht="15" hidden="0" customHeight="1">
      <x:c r="B8" s="35" t="str">
        <x:v>T1 acute utility kernel</x:v>
      </x:c>
      <x:c r="C8" s="35" t="str">
        <x:v>6–18 h</x:v>
      </x:c>
      <x:c r="D8" s="35" t="n">
        <x:v>620</x:v>
      </x:c>
      <x:c r="E8" s="35" t="n">
        <x:f>E7+D8</x:f>
        <x:v>960</x:v>
      </x:c>
      <x:c r="F8" s="35" t="str">
        <x:v>power, air, oxygen, emergency and critical</x:v>
      </x:c>
      <x:c r="G8" s="35" t="str">
        <x:v>complete acute path</x:v>
      </x:c>
      <x:c r="H8" s="35" t="str">
        <x:v>PLANNING</x:v>
      </x:c>
      <x:c r="I8" s="35"/>
      <x:c r="J8" s="35"/>
      <x:c r="K8" s="35"/>
      <x:c r="L8" s="35"/>
    </x:row>
    <x:row r="9" ht="15" hidden="0" customHeight="1">
      <x:c r="B9" s="35" t="str">
        <x:v>T2 controlled care</x:v>
      </x:c>
      <x:c r="C9" s="35" t="str">
        <x:v>18–36 h</x:v>
      </x:c>
      <x:c r="D9" s="35" t="n">
        <x:v>880</x:v>
      </x:c>
      <x:c r="E9" s="35" t="n">
        <x:f>E8+D9</x:f>
        <x:v>1840</x:v>
      </x:c>
      <x:c r="F9" s="35" t="str">
        <x:v>observation, procedure, isolation and transfer</x:v>
      </x:c>
      <x:c r="G9" s="35" t="str">
        <x:v>zone separation</x:v>
      </x:c>
      <x:c r="H9" s="35" t="str">
        <x:v>PLANNING</x:v>
      </x:c>
      <x:c r="I9" s="35"/>
      <x:c r="J9" s="35"/>
      <x:c r="K9" s="35"/>
      <x:c r="L9" s="35"/>
    </x:row>
    <x:row r="10" ht="15" hidden="0" customHeight="1">
      <x:c r="B10" s="35" t="str">
        <x:v>T3 full care lattice</x:v>
      </x:c>
      <x:c r="C10" s="35" t="str">
        <x:v>36–60 h</x:v>
      </x:c>
      <x:c r="D10" s="35" t="n">
        <x:v>700</x:v>
      </x:c>
      <x:c r="E10" s="35" t="n">
        <x:f>E9+D10</x:f>
        <x:v>2540</x:v>
      </x:c>
      <x:c r="F10" s="35" t="str">
        <x:v>ward, renal, maternal, behavioral and sterile</x:v>
      </x:c>
      <x:c r="G10" s="35" t="str">
        <x:v>240 care positions</x:v>
      </x:c>
      <x:c r="H10" s="35" t="str">
        <x:v>PLANNING</x:v>
      </x:c>
      <x:c r="I10" s="35"/>
      <x:c r="J10" s="35"/>
      <x:c r="K10" s="35"/>
      <x:c r="L10" s="35"/>
    </x:row>
    <x:row r="11" ht="15" hidden="0" customHeight="1">
      <x:c r="B11" s="35" t="str">
        <x:v>T4 repair and relocation reserve</x:v>
      </x:c>
      <x:c r="C11" s="35" t="str">
        <x:v>60–72 h</x:v>
      </x:c>
      <x:c r="D11" s="35" t="n">
        <x:v>263</x:v>
      </x:c>
      <x:c r="E11" s="35" t="n">
        <x:f>E10+D11</x:f>
        <x:v>2803</x:v>
      </x:c>
      <x:c r="F11" s="35" t="str">
        <x:v>spares, handling and regeneration</x:v>
      </x:c>
      <x:c r="G11" s="35" t="str">
        <x:v>whole-island readiness</x:v>
      </x:c>
      <x:c r="H11" s="35" t="str">
        <x:v>PLANNING</x:v>
      </x:c>
      <x:c r="I11" s="35"/>
      <x:c r="J11" s="35"/>
      <x:c r="K11" s="35"/>
      <x:c r="L11" s="35"/>
    </x:row>
    <x:row r="12" ht="15" hidden="0" customHeight="1">
      <x:c r="B12" s="38" t="str">
        <x:v>TOTAL</x:v>
      </x:c>
      <x:c r="C12" s="38" t="str">
        <x:v>CSI-25</x:v>
      </x:c>
      <x:c r="D12" s="38" t="n">
        <x:f>SUM(D7:D11)</x:f>
        <x:v>2803</x:v>
      </x:c>
      <x:c r="E12" s="38" t="n">
        <x:f>E11</x:f>
        <x:v>2803</x:v>
      </x:c>
      <x:c r="F12" s="38"/>
      <x:c r="G12" s="38"/>
      <x:c r="H12" s="38"/>
      <x:c r="I12" s="35"/>
      <x:c r="J12" s="35"/>
      <x:c r="K12" s="35"/>
      <x:c r="L12" s="35"/>
    </x:row>
    <x:row r="13" ht="15" hidden="0" customHeight="1"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</x:row>
    <x:row r="14" ht="15" hidden="0" customHeight="1"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</x:row>
    <x:row r="15" ht="15" hidden="0" customHeight="1">
      <x:c r="B15" s="36" t="str">
        <x:v>Transport-position screen</x:v>
      </x:c>
      <x:c r="C15" s="36"/>
      <x:c r="D15" s="36"/>
      <x:c r="E15" s="36"/>
      <x:c r="F15" s="36"/>
      <x:c r="G15" s="36"/>
      <x:c r="H15" s="36"/>
      <x:c r="I15" s="35"/>
      <x:c r="J15" s="35"/>
      <x:c r="K15" s="35"/>
      <x:c r="L15" s="35"/>
    </x:row>
    <x:row r="16" ht="15" hidden="0" customHeight="1">
      <x:c r="B16" s="35" t="str">
        <x:v>Packaged mass</x:v>
      </x:c>
      <x:c r="C16" s="35"/>
      <x:c r="D16" s="35" t="n">
        <x:f>D12*'01 Controls'!$D$88</x:f>
        <x:v>3139.36</x:v>
      </x:c>
      <x:c r="E16" s="35" t="str">
        <x:v>t</x:v>
      </x:c>
      <x:c r="F16" s="35"/>
      <x:c r="G16" s="35"/>
      <x:c r="H16" s="35"/>
      <x:c r="I16" s="35"/>
      <x:c r="J16" s="35"/>
      <x:c r="K16" s="35"/>
      <x:c r="L16" s="35"/>
    </x:row>
    <x:row r="17" ht="15" hidden="0" customHeight="1">
      <x:c r="B17" s="35" t="str">
        <x:v>Heavy cargo positions</x:v>
      </x:c>
      <x:c r="C17" s="35"/>
      <x:c r="D17" s="35" t="n">
        <x:f>ROUNDUP(D16/'01 Controls'!$D$89,0)</x:f>
        <x:v>175</x:v>
      </x:c>
      <x:c r="E17" s="35" t="str">
        <x:v>positions</x:v>
      </x:c>
      <x:c r="F17" s="35"/>
      <x:c r="G17" s="35"/>
      <x:c r="H17" s="35"/>
      <x:c r="I17" s="35"/>
      <x:c r="J17" s="35"/>
      <x:c r="K17" s="35"/>
      <x:c r="L17" s="35"/>
    </x:row>
    <x:row r="18" ht="15" hidden="0" customHeight="1">
      <x:c r="B18" s="35" t="str">
        <x:v>Nested serialized articles</x:v>
      </x:c>
      <x:c r="C18" s="35"/>
      <x:c r="D18" s="35" t="n">
        <x:f>'11 Article bill'!D38</x:f>
        <x:v>119</x:v>
      </x:c>
      <x:c r="E18" s="35" t="str">
        <x:v>articles</x:v>
      </x:c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5" t="str">
        <x:v>Exterior vehicle decision</x:v>
      </x:c>
      <x:c r="C19" s="35"/>
      <x:c r="D19" s="35" t="str">
        <x:v>BLOCKED</x:v>
      </x:c>
      <x:c r="E19" s="35" t="str">
        <x:v>until requirements mature</x:v>
      </x:c>
      <x:c r="F19" s="35"/>
      <x:c r="G19" s="35"/>
      <x:c r="H19" s="35"/>
      <x:c r="I19" s="35"/>
      <x:c r="J19" s="35"/>
      <x:c r="K19" s="35"/>
      <x:c r="L19" s="35"/>
    </x:row>
  </x:sheetData>
  <x:mergeCells>
    <x:mergeCell ref="B2:L2"/>
    <x:mergeCell ref="B3:L3"/>
    <x:mergeCell ref="B15:H15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18" hidden="0" customWidth="1"/>
    <x:col min="4" max="4" width="42" hidden="0" customWidth="1"/>
    <x:col min="5" max="5" width="42" hidden="0" customWidth="1"/>
    <x:col min="6" max="6" width="30" hidden="0" customWidth="1"/>
    <x:col min="1" max="1" width="3" hidden="0" customWidth="1"/>
  </x:cols>
  <x:sheetData>
    <x:row r="2" ht="15" hidden="0" customHeight="1">
      <x:c r="B2" s="34" t="str">
        <x:v>RCA-1 technology and proving portfolio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USD 32B is cross-classified inside the inherited USD 75B TCP-06. It is not additional spending and does not field a force.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Program</x:v>
      </x:c>
      <x:c r="C6" s="31" t="str">
        <x:v>Allocation USD b</x:v>
      </x:c>
      <x:c r="D6" s="31" t="str">
        <x:v>Needed advance</x:v>
      </x:c>
      <x:c r="E6" s="31" t="str">
        <x:v>Kill criterion</x:v>
      </x:c>
      <x:c r="F6" s="31" t="str">
        <x:v>Parent boundary</x:v>
      </x:c>
      <x:c r="G6" s="35"/>
      <x:c r="H6" s="35"/>
      <x:c r="I6" s="35"/>
      <x:c r="J6" s="35"/>
      <x:c r="K6" s="35"/>
      <x:c r="L6" s="35"/>
    </x:row>
    <x:row r="7" ht="15" hidden="0" customHeight="1">
      <x:c r="B7" s="35" t="str">
        <x:v>Reversible care cells</x:v>
      </x:c>
      <x:c r="C7" s="41" t="n">
        <x:v>7</x:v>
      </x:c>
      <x:c r="D7" s="35" t="str">
        <x:v>fast assembly without clinical compromise</x:v>
      </x:c>
      <x:c r="E7" s="35" t="str">
        <x:v>cannot preserve care quality after repeated moves</x:v>
      </x:c>
      <x:c r="F7" s="35" t="str">
        <x:v>TCP-06 clinical islands</x:v>
      </x:c>
      <x:c r="G7" s="35"/>
      <x:c r="H7" s="35"/>
      <x:c r="I7" s="35"/>
      <x:c r="J7" s="35"/>
      <x:c r="K7" s="35"/>
      <x:c r="L7" s="35"/>
    </x:row>
    <x:row r="8" ht="15" hidden="0" customHeight="1">
      <x:c r="B8" s="35" t="str">
        <x:v>Air and infection separation</x:v>
      </x:c>
      <x:c r="C8" s="41" t="n">
        <x:v>4</x:v>
      </x:c>
      <x:c r="D8" s="35" t="str">
        <x:v>domain-specific adaptive ventilation and sensing</x:v>
      </x:c>
      <x:c r="E8" s="35" t="str">
        <x:v>cross-domain contamination under one-train loss</x:v>
      </x:c>
      <x:c r="F8" s="35" t="str">
        <x:v>TCP-06 infection</x:v>
      </x:c>
      <x:c r="G8" s="35"/>
      <x:c r="H8" s="35"/>
      <x:c r="I8" s="35"/>
      <x:c r="J8" s="35"/>
      <x:c r="K8" s="35"/>
      <x:c r="L8" s="35"/>
    </x:row>
    <x:row r="9" ht="15" hidden="0" customHeight="1">
      <x:c r="B9" s="35" t="str">
        <x:v>Local power and no-break</x:v>
      </x:c>
      <x:c r="C9" s="41" t="n">
        <x:v>4</x:v>
      </x:c>
      <x:c r="D9" s="35" t="str">
        <x:v>fault-contained three-feeder clinical lattice</x:v>
      </x:c>
      <x:c r="E9" s="35" t="str">
        <x:v>selective isolation or manual state fails</x:v>
      </x:c>
      <x:c r="F9" s="35" t="str">
        <x:v>TCP-06 utilities</x:v>
      </x:c>
      <x:c r="G9" s="35"/>
      <x:c r="H9" s="35"/>
      <x:c r="I9" s="35"/>
      <x:c r="J9" s="35"/>
      <x:c r="K9" s="35"/>
      <x:c r="L9" s="35"/>
    </x:row>
    <x:row r="10" ht="15" hidden="0" customHeight="1">
      <x:c r="B10" s="35" t="str">
        <x:v>Clinical fluids and residuals</x:v>
      </x:c>
      <x:c r="C10" s="41" t="n">
        <x:v>3</x:v>
      </x:c>
      <x:c r="D10" s="35" t="str">
        <x:v>compact oxygen, high-grade water and closed residual custody</x:v>
      </x:c>
      <x:c r="E10" s="35" t="str">
        <x:v>purity or release state cannot be proven</x:v>
      </x:c>
      <x:c r="F10" s="35" t="str">
        <x:v>TCP-06 utilities</x:v>
      </x:c>
      <x:c r="G10" s="35"/>
      <x:c r="H10" s="35"/>
      <x:c r="I10" s="35"/>
      <x:c r="J10" s="35"/>
      <x:c r="K10" s="35"/>
      <x:c r="L10" s="35"/>
    </x:row>
    <x:row r="11" ht="15" hidden="0" customHeight="1">
      <x:c r="B11" s="35" t="str">
        <x:v>Patient portals and custody</x:v>
      </x:c>
      <x:c r="C11" s="41" t="n">
        <x:v>3</x:v>
      </x:c>
      <x:c r="D11" s="35" t="str">
        <x:v>high-rate identity, acuity and accessible intake</x:v>
      </x:c>
      <x:c r="E11" s="35" t="str">
        <x:v>peak queue breaks identity or rights</x:v>
      </x:c>
      <x:c r="F11" s="35" t="str">
        <x:v>TCP-06 patient flow</x:v>
      </x:c>
      <x:c r="G11" s="35"/>
      <x:c r="H11" s="35"/>
      <x:c r="I11" s="35"/>
      <x:c r="J11" s="35"/>
      <x:c r="K11" s="35"/>
      <x:c r="L11" s="35"/>
    </x:row>
    <x:row r="12" ht="24" hidden="0" customHeight="1">
      <x:c r="B12" s="35" t="str">
        <x:v>Workload reduction</x:v>
      </x:c>
      <x:c r="C12" s="41" t="n">
        <x:v>3</x:v>
      </x:c>
      <x:c r="D12" s="35" t="str">
        <x:v>supervised automation for logistics, monitoring and documentation</x:v>
      </x:c>
      <x:c r="E12" s="35" t="str">
        <x:v>safety case depends on absent network or staff</x:v>
      </x:c>
      <x:c r="F12" s="35" t="str">
        <x:v>TCP-06 workforce</x:v>
      </x:c>
      <x:c r="G12" s="35"/>
      <x:c r="H12" s="35"/>
      <x:c r="I12" s="35"/>
      <x:c r="J12" s="35"/>
      <x:c r="K12" s="35"/>
      <x:c r="L12" s="35"/>
    </x:row>
    <x:row r="13" ht="15" hidden="0" customHeight="1">
      <x:c r="B13" s="35" t="str">
        <x:v>Offline clinical state</x:v>
      </x:c>
      <x:c r="C13" s="41" t="n">
        <x:v>2</x:v>
      </x:c>
      <x:c r="D13" s="35" t="str">
        <x:v>signed local records and later reconciliation</x:v>
      </x:c>
      <x:c r="E13" s="35" t="str">
        <x:v>split identity or medication state</x:v>
      </x:c>
      <x:c r="F13" s="35" t="str">
        <x:v>TCP-06 data</x:v>
      </x:c>
      <x:c r="G13" s="35"/>
      <x:c r="H13" s="35"/>
      <x:c r="I13" s="35"/>
      <x:c r="J13" s="35"/>
      <x:c r="K13" s="35"/>
      <x:c r="L13" s="35"/>
    </x:row>
    <x:row r="14" ht="15" hidden="0" customHeight="1">
      <x:c r="B14" s="35" t="str">
        <x:v>Assembly and manufacturing</x:v>
      </x:c>
      <x:c r="C14" s="41" t="n">
        <x:v>3</x:v>
      </x:c>
      <x:c r="D14" s="35" t="str">
        <x:v>two unlike roots, rapid interfaces and repair</x:v>
      </x:c>
      <x:c r="E14" s="35" t="str">
        <x:v>latent root defect or unrepairable interface</x:v>
      </x:c>
      <x:c r="F14" s="35" t="str">
        <x:v>TCP-06 clinical islands</x:v>
      </x:c>
      <x:c r="G14" s="35"/>
      <x:c r="H14" s="35"/>
      <x:c r="I14" s="35"/>
      <x:c r="J14" s="35"/>
      <x:c r="K14" s="35"/>
      <x:c r="L14" s="35"/>
    </x:row>
    <x:row r="15" ht="15" hidden="0" customHeight="1">
      <x:c r="B15" s="35" t="str">
        <x:v>Independent proving</x:v>
      </x:c>
      <x:c r="C15" s="41" t="n">
        <x:v>3</x:v>
      </x:c>
      <x:c r="D15" s="35" t="str">
        <x:v>tracer, fault insertion, human factors and reconstruction</x:v>
      </x:c>
      <x:c r="E15" s="35" t="str">
        <x:v>operator controls evidence or adverse record</x:v>
      </x:c>
      <x:c r="F15" s="35" t="str">
        <x:v>TCP-06 evidence</x:v>
      </x:c>
      <x:c r="G15" s="35"/>
      <x:c r="H15" s="35"/>
      <x:c r="I15" s="35"/>
      <x:c r="J15" s="35"/>
      <x:c r="K15" s="35"/>
      <x:c r="L15" s="35"/>
    </x:row>
    <x:row r="16" ht="15" hidden="0" customHeight="1">
      <x:c r="B16" s="38" t="str">
        <x:v>TOTAL</x:v>
      </x:c>
      <x:c r="C16" s="38" t="n">
        <x:f>SUM(C7:C15)</x:f>
        <x:v>32</x:v>
      </x:c>
      <x:c r="D16" s="38"/>
      <x:c r="E16" s="38"/>
      <x:c r="F16" s="38"/>
      <x:c r="G16" s="35"/>
      <x:c r="H16" s="35"/>
      <x:c r="I16" s="35"/>
      <x:c r="J16" s="35"/>
      <x:c r="K16" s="35"/>
      <x:c r="L16" s="35"/>
    </x:row>
    <x:row r="17" ht="15" hidden="0" customHeight="1"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</x:row>
    <x:row r="18" ht="15" hidden="0" customHeight="1"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6" t="str">
        <x:v>Representative campaign</x:v>
      </x:c>
      <x:c r="C19" s="36"/>
      <x:c r="D19" s="36"/>
      <x:c r="E19" s="36"/>
      <x:c r="F19" s="36"/>
      <x:c r="G19" s="35"/>
      <x:c r="H19" s="35"/>
      <x:c r="I19" s="35"/>
      <x:c r="J19" s="35"/>
      <x:c r="K19" s="35"/>
      <x:c r="L19" s="35"/>
    </x:row>
    <x:row r="20" ht="15" hidden="0" customHeight="1">
      <x:c r="B20" s="35" t="str">
        <x:v>Top-level CSI experiment articles</x:v>
      </x:c>
      <x:c r="C20" s="35"/>
      <x:c r="D20" s="35" t="n">
        <x:f>'01 Controls'!$D$92</x:f>
        <x:v>8</x:v>
      </x:c>
      <x:c r="E20" s="35" t="str">
        <x:v>islands</x:v>
      </x:c>
      <x:c r="F20" s="35"/>
      <x:c r="G20" s="35"/>
      <x:c r="H20" s="35"/>
      <x:c r="I20" s="35"/>
      <x:c r="J20" s="35"/>
      <x:c r="K20" s="35"/>
      <x:c r="L20" s="35"/>
    </x:row>
    <x:row r="21" ht="15" hidden="0" customHeight="1">
      <x:c r="B21" s="35" t="str">
        <x:v>Installed nested serials</x:v>
      </x:c>
      <x:c r="C21" s="35"/>
      <x:c r="D21" s="35" t="n">
        <x:f>D20*'11 Article bill'!D38</x:f>
        <x:v>952</x:v>
      </x:c>
      <x:c r="E21" s="35" t="str">
        <x:v>nested serials</x:v>
      </x:c>
      <x:c r="F21" s="35"/>
      <x:c r="G21" s="35"/>
      <x:c r="H21" s="35"/>
      <x:c r="I21" s="35"/>
      <x:c r="J21" s="35"/>
      <x:c r="K21" s="35"/>
      <x:c r="L21" s="35"/>
    </x:row>
    <x:row r="22" ht="15" hidden="0" customHeight="1">
      <x:c r="B22" s="35" t="str">
        <x:v>Controlled defect insertions</x:v>
      </x:c>
      <x:c r="C22" s="35"/>
      <x:c r="D22" s="35" t="n">
        <x:f>240</x:f>
        <x:v>240</x:v>
      </x:c>
      <x:c r="E22" s="35" t="str">
        <x:v>insertions</x:v>
      </x:c>
      <x:c r="F22" s="35"/>
      <x:c r="G22" s="35"/>
      <x:c r="H22" s="35"/>
      <x:c r="I22" s="35"/>
      <x:c r="J22" s="35"/>
      <x:c r="K22" s="35"/>
      <x:c r="L22" s="35"/>
    </x:row>
    <x:row r="23" ht="15" hidden="0" customHeight="1">
      <x:c r="B23" s="35" t="str">
        <x:v>Complete service runs</x:v>
      </x:c>
      <x:c r="C23" s="35"/>
      <x:c r="D23" s="35" t="n">
        <x:f>72</x:f>
        <x:v>72</x:v>
      </x:c>
      <x:c r="E23" s="35" t="str">
        <x:v>runs</x:v>
      </x:c>
      <x:c r="F23" s="35"/>
      <x:c r="G23" s="35"/>
      <x:c r="H23" s="35"/>
      <x:c r="I23" s="35"/>
      <x:c r="J23" s="35"/>
      <x:c r="K23" s="35"/>
      <x:c r="L23" s="35"/>
    </x:row>
    <x:row r="24" ht="15" hidden="0" customHeight="1">
      <x:c r="B24" s="35" t="str">
        <x:v>RCA campaign months</x:v>
      </x:c>
      <x:c r="C24" s="35"/>
      <x:c r="D24" s="35" t="n">
        <x:f>'01 Controls'!$D$93</x:f>
        <x:v>66</x:v>
      </x:c>
      <x:c r="E24" s="35" t="str">
        <x:v>months</x:v>
      </x:c>
      <x:c r="F24" s="35"/>
      <x:c r="G24" s="35"/>
      <x:c r="H24" s="35"/>
      <x:c r="I24" s="35"/>
      <x:c r="J24" s="35"/>
      <x:c r="K24" s="35"/>
      <x:c r="L24" s="35"/>
    </x:row>
    <x:row r="25" ht="15" hidden="0" customHeight="1">
      <x:c r="B25" s="35" t="str">
        <x:v>Peak RCA workforce</x:v>
      </x:c>
      <x:c r="C25" s="35"/>
      <x:c r="D25" s="35" t="n">
        <x:f>'01 Controls'!$D$94</x:f>
        <x:v>8400</x:v>
      </x:c>
      <x:c r="E25" s="35" t="str">
        <x:v>positions</x:v>
      </x:c>
      <x:c r="F25" s="35"/>
      <x:c r="G25" s="35"/>
      <x:c r="H25" s="35"/>
      <x:c r="I25" s="35"/>
      <x:c r="J25" s="35"/>
      <x:c r="K25" s="35"/>
      <x:c r="L25" s="35"/>
    </x:row>
  </x:sheetData>
  <x:mergeCells>
    <x:mergeCell ref="B2:L2"/>
    <x:mergeCell ref="B3:L3"/>
    <x:mergeCell ref="B19:F1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30" hidden="0" customWidth="1"/>
    <x:col min="1" max="1" width="3" hidden="0" customWidth="1"/>
  </x:cols>
  <x:sheetData>
    <x:row r="2" ht="15" hidden="0" customHeight="1">
      <x:c r="B2" s="34" t="str">
        <x:v>Requirements sensitivity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The reference closes narrowly in several places. These cases identify where the next configuration must add capacity or reduce demand.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24" hidden="0" customHeight="1">
      <x:c r="B6" s="31" t="str">
        <x:v>Case</x:v>
      </x:c>
      <x:c r="C6" s="31" t="str">
        <x:v>Public peak</x:v>
      </x:c>
      <x:c r="D6" s="31" t="str">
        <x:v>Contam share</x:v>
      </x:c>
      <x:c r="E6" s="31" t="str">
        <x:v>Contam ACH</x:v>
      </x:c>
      <x:c r="F6" s="31" t="str">
        <x:v>Support scale</x:v>
      </x:c>
      <x:c r="G6" s="31" t="str">
        <x:v>Reserve island state</x:v>
      </x:c>
      <x:c r="H6" s="31" t="str">
        <x:v>Required public positions</x:v>
      </x:c>
      <x:c r="I6" s="31" t="str">
        <x:v>Required contam airflow</x:v>
      </x:c>
      <x:c r="J6" s="31" t="str">
        <x:v>Continuous MW</x:v>
      </x:c>
      <x:c r="K6" s="31" t="str">
        <x:v>Finding</x:v>
      </x:c>
      <x:c r="L6" s="35"/>
    </x:row>
    <x:row r="7" ht="15" hidden="0" customHeight="1">
      <x:c r="B7" s="35" t="str">
        <x:v>Reference</x:v>
      </x:c>
      <x:c r="C7" s="35" t="n">
        <x:v>2</x:v>
      </x:c>
      <x:c r="D7" s="49" t="n">
        <x:v>0.2</x:v>
      </x:c>
      <x:c r="E7" s="35" t="n">
        <x:v>12</x:v>
      </x:c>
      <x:c r="F7" s="35" t="n">
        <x:v>1</x:v>
      </x:c>
      <x:c r="G7" s="35" t="str">
        <x:v>standby</x:v>
      </x:c>
      <x:c r="H7" s="35" t="n">
        <x:f>ROUNDUP('01 Controls'!$D$11 / '01 Controls'!$D$15 * C7 * '01 Controls'!$D$17 / '01 Controls'!$D$19,0)</x:f>
        <x:v>25</x:v>
      </x:c>
      <x:c r="I7" s="35" t="n">
        <x:f>'04 Spatial program'!D42*'01 Controls'!$D$30*D7*E7</x:f>
        <x:v>192576</x:v>
      </x:c>
      <x:c r="J7" s="35" t="n">
        <x:f>'01 Controls'!$D$7*'01 Controls'!$D$42+F7*('01 Controls'!$D$7*'01 Controls'!$D$43+'01 Controls'!$D$44+'01 Controls'!$D$45)+IF(G7="active",'01 Controls'!$D$42+'01 Controls'!$D$43-'01 Controls'!$D$45,0)</x:f>
        <x:v>18.2808</x:v>
      </x:c>
      <x:c r="K7" s="35" t="str">
        <x:f>IF(H7&gt;28,"add public portal",IF(I7&gt;200000,"add contaminated-air train",IF(ROUNDUP(J7/('01 Controls'!$D$47*'01 Controls'!$D$49),0)+1&gt;6,"add source cluster","reference hardware count closes")))</x:f>
        <x:v>reference hardware count closes</x:v>
      </x:c>
      <x:c r="L7" s="35"/>
    </x:row>
    <x:row r="8" ht="15" hidden="0" customHeight="1">
      <x:c r="B8" s="35" t="str">
        <x:v>Public peak 2.5x</x:v>
      </x:c>
      <x:c r="C8" s="35" t="n">
        <x:v>2.5</x:v>
      </x:c>
      <x:c r="D8" s="49" t="n">
        <x:v>0.2</x:v>
      </x:c>
      <x:c r="E8" s="35" t="n">
        <x:v>12</x:v>
      </x:c>
      <x:c r="F8" s="35" t="n">
        <x:v>1</x:v>
      </x:c>
      <x:c r="G8" s="35" t="str">
        <x:v>standby</x:v>
      </x:c>
      <x:c r="H8" s="35" t="n">
        <x:f>ROUNDUP('01 Controls'!$D$11 / '01 Controls'!$D$15 * C8 * '01 Controls'!$D$17 / '01 Controls'!$D$19,0)</x:f>
        <x:v>31</x:v>
      </x:c>
      <x:c r="I8" s="35" t="n">
        <x:f>'04 Spatial program'!D42*'01 Controls'!$D$30*D8*E8</x:f>
        <x:v>192576</x:v>
      </x:c>
      <x:c r="J8" s="35" t="n">
        <x:f>'01 Controls'!$D$7*'01 Controls'!$D$42+F8*('01 Controls'!$D$7*'01 Controls'!$D$43+'01 Controls'!$D$44+'01 Controls'!$D$45)+IF(G8="active",'01 Controls'!$D$42+'01 Controls'!$D$43-'01 Controls'!$D$45,0)</x:f>
        <x:v>18.2808</x:v>
      </x:c>
      <x:c r="K8" s="35" t="str">
        <x:f>IF(H8&gt;28,"add public portal",IF(I8&gt;200000,"add contaminated-air train",IF(ROUNDUP(J8/('01 Controls'!$D$47*'01 Controls'!$D$49),0)+1&gt;6,"add source cluster","reference hardware count closes")))</x:f>
        <x:v>add public portal</x:v>
      </x:c>
      <x:c r="L8" s="35"/>
    </x:row>
    <x:row r="9" ht="15" hidden="0" customHeight="1">
      <x:c r="B9" s="35" t="str">
        <x:v>High infection</x:v>
      </x:c>
      <x:c r="C9" s="35" t="n">
        <x:v>2</x:v>
      </x:c>
      <x:c r="D9" s="49" t="n">
        <x:v>0.3</x:v>
      </x:c>
      <x:c r="E9" s="35" t="n">
        <x:v>15</x:v>
      </x:c>
      <x:c r="F9" s="35" t="n">
        <x:v>1</x:v>
      </x:c>
      <x:c r="G9" s="35" t="str">
        <x:v>standby</x:v>
      </x:c>
      <x:c r="H9" s="35" t="n">
        <x:f>ROUNDUP('01 Controls'!$D$11 / '01 Controls'!$D$15 * C9 * '01 Controls'!$D$17 / '01 Controls'!$D$19,0)</x:f>
        <x:v>25</x:v>
      </x:c>
      <x:c r="I9" s="35" t="n">
        <x:f>'04 Spatial program'!D42*'01 Controls'!$D$30*D9*E9</x:f>
        <x:v>361080</x:v>
      </x:c>
      <x:c r="J9" s="35" t="n">
        <x:f>'01 Controls'!$D$7*'01 Controls'!$D$42+F9*('01 Controls'!$D$7*'01 Controls'!$D$43+'01 Controls'!$D$44+'01 Controls'!$D$45)+IF(G9="active",'01 Controls'!$D$42+'01 Controls'!$D$43-'01 Controls'!$D$45,0)</x:f>
        <x:v>18.2808</x:v>
      </x:c>
      <x:c r="K9" s="35" t="str">
        <x:f>IF(H9&gt;28,"add public portal",IF(I9&gt;200000,"add contaminated-air train",IF(ROUNDUP(J9/('01 Controls'!$D$47*'01 Controls'!$D$49),0)+1&gt;6,"add source cluster","reference hardware count closes")))</x:f>
        <x:v>add contaminated-air train</x:v>
      </x:c>
      <x:c r="L9" s="35"/>
    </x:row>
    <x:row r="10" ht="15" hidden="0" customHeight="1">
      <x:c r="B10" s="35" t="str">
        <x:v>Extreme thermal duty</x:v>
      </x:c>
      <x:c r="C10" s="35" t="n">
        <x:v>2</x:v>
      </x:c>
      <x:c r="D10" s="49" t="n">
        <x:v>0.2</x:v>
      </x:c>
      <x:c r="E10" s="35" t="n">
        <x:v>12</x:v>
      </x:c>
      <x:c r="F10" s="35" t="n">
        <x:v>1.25</x:v>
      </x:c>
      <x:c r="G10" s="35" t="str">
        <x:v>standby</x:v>
      </x:c>
      <x:c r="H10" s="35" t="n">
        <x:f>ROUNDUP('01 Controls'!$D$11 / '01 Controls'!$D$15 * C10 * '01 Controls'!$D$17 / '01 Controls'!$D$19,0)</x:f>
        <x:v>25</x:v>
      </x:c>
      <x:c r="I10" s="35" t="n">
        <x:f>'04 Spatial program'!D42*'01 Controls'!$D$30*D10*E10</x:f>
        <x:v>192576</x:v>
      </x:c>
      <x:c r="J10" s="35" t="n">
        <x:f>'01 Controls'!$D$7*'01 Controls'!$D$42+F10*('01 Controls'!$D$7*'01 Controls'!$D$43+'01 Controls'!$D$44+'01 Controls'!$D$45)+IF(G10="active",'01 Controls'!$D$42+'01 Controls'!$D$43-'01 Controls'!$D$45,0)</x:f>
        <x:v>21.180799999999998</x:v>
      </x:c>
      <x:c r="K10" s="35" t="str">
        <x:f>IF(H10&gt;28,"add public portal",IF(I10&gt;200000,"add contaminated-air train",IF(ROUNDUP(J10/('01 Controls'!$D$47*'01 Controls'!$D$49),0)+1&gt;6,"add source cluster","reference hardware count closes")))</x:f>
        <x:v>reference hardware count closes</x:v>
      </x:c>
      <x:c r="L10" s="35"/>
    </x:row>
    <x:row r="11" ht="15" hidden="0" customHeight="1">
      <x:c r="B11" s="35" t="str">
        <x:v>Fifth island fully hot</x:v>
      </x:c>
      <x:c r="C11" s="35" t="n">
        <x:v>2</x:v>
      </x:c>
      <x:c r="D11" s="49" t="n">
        <x:v>0.2</x:v>
      </x:c>
      <x:c r="E11" s="35" t="n">
        <x:v>12</x:v>
      </x:c>
      <x:c r="F11" s="35" t="n">
        <x:v>1</x:v>
      </x:c>
      <x:c r="G11" s="35" t="str">
        <x:v>active</x:v>
      </x:c>
      <x:c r="H11" s="35" t="n">
        <x:f>ROUNDUP('01 Controls'!$D$11 / '01 Controls'!$D$15 * C11 * '01 Controls'!$D$17 / '01 Controls'!$D$19,0)</x:f>
        <x:v>25</x:v>
      </x:c>
      <x:c r="I11" s="35" t="n">
        <x:f>'04 Spatial program'!D42*'01 Controls'!$D$30*D11*E11</x:f>
        <x:v>192576</x:v>
      </x:c>
      <x:c r="J11" s="35" t="n">
        <x:f>'01 Controls'!$D$7*'01 Controls'!$D$42+F11*('01 Controls'!$D$7*'01 Controls'!$D$43+'01 Controls'!$D$44+'01 Controls'!$D$45)+IF(G11="active",'01 Controls'!$D$42+'01 Controls'!$D$43-'01 Controls'!$D$45,0)</x:f>
        <x:v>21.601</x:v>
      </x:c>
      <x:c r="K11" s="35" t="str">
        <x:f>IF(H11&gt;28,"add public portal",IF(I11&gt;200000,"add contaminated-air train",IF(ROUNDUP(J11/('01 Controls'!$D$47*'01 Controls'!$D$49),0)+1&gt;6,"add source cluster","reference hardware count closes")))</x:f>
        <x:v>reference hardware count closes</x:v>
      </x:c>
      <x:c r="L11" s="35"/>
    </x:row>
    <x:row r="12" ht="15" hidden="0" customHeight="1"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</x:row>
    <x:row r="13" ht="15" hidden="0" customHeight="1"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</x:row>
    <x:row r="14" ht="15" hidden="0" customHeight="1">
      <x:c r="B14" s="36" t="str">
        <x:v>Interpretation</x:v>
      </x:c>
      <x:c r="C14" s="36"/>
      <x:c r="D14" s="36"/>
      <x:c r="E14" s="36"/>
      <x:c r="F14" s="36"/>
      <x:c r="G14" s="36"/>
      <x:c r="H14" s="36"/>
      <x:c r="I14" s="36"/>
      <x:c r="J14" s="36"/>
      <x:c r="K14" s="36"/>
      <x:c r="L14" s="35"/>
    </x:row>
    <x:row r="15" ht="15" hidden="0" customHeight="1">
      <x:c r="B15" s="35" t="str">
        <x:v>Public arrival</x:v>
      </x:c>
      <x:c r="C15" s="35" t="str">
        <x:v>The 2.5x peak requires 31 concurrent positions. The reference leaves 28 after one module loss, so a sixth seven-position module is required.</x:v>
      </x:c>
      <x:c r="D15" s="35"/>
      <x:c r="E15" s="35"/>
      <x:c r="F15" s="35"/>
      <x:c r="G15" s="35"/>
      <x:c r="H15" s="35"/>
      <x:c r="I15" s="35"/>
      <x:c r="J15" s="35"/>
      <x:c r="K15" s="35"/>
      <x:c r="L15" s="35"/>
    </x:row>
    <x:row r="16" ht="15" hidden="0" customHeight="1">
      <x:c r="B16" s="35" t="str">
        <x:v>High infection</x:v>
      </x:c>
      <x:c r="C16" s="35" t="str">
        <x:v>Thirty-percent contaminated area at 15 ACH requires 361,080 m3/h; three 100,000 m3/h trains do not retain it after loss.</x:v>
      </x:c>
      <x:c r="D16" s="35"/>
      <x:c r="E16" s="35"/>
      <x:c r="F16" s="35"/>
      <x:c r="G16" s="35"/>
      <x:c r="H16" s="35"/>
      <x:c r="I16" s="35"/>
      <x:c r="J16" s="35"/>
      <x:c r="K16" s="35"/>
      <x:c r="L16" s="35"/>
    </x:row>
    <x:row r="17" ht="15" hidden="0" customHeight="1">
      <x:c r="B17" s="35" t="str">
        <x:v>Thermal duty</x:v>
      </x:c>
      <x:c r="C17" s="35" t="str">
        <x:v>A 25-percent support-load rise remains inside six SPC clusters in this scalar case but consumes much of the margin.</x:v>
      </x:c>
      <x:c r="D17" s="35"/>
      <x:c r="E17" s="35"/>
      <x:c r="F17" s="35"/>
      <x:c r="G17" s="35"/>
      <x:c r="H17" s="35"/>
      <x:c r="I17" s="35"/>
      <x:c r="J17" s="35"/>
      <x:c r="K17" s="35"/>
      <x:c r="L17" s="35"/>
    </x:row>
    <x:row r="18" ht="15" hidden="0" customHeight="1">
      <x:c r="B18" s="35" t="str">
        <x:v>Hot reserve</x:v>
      </x:c>
      <x:c r="C18" s="35" t="str">
        <x:v>Keeping the fifth island fully clinical raises continuous demand materially while six sources still close this isolated screen.</x:v>
      </x:c>
      <x:c r="D18" s="35"/>
      <x:c r="E18" s="35"/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5" t="str">
        <x:v>Boundary</x:v>
      </x:c>
      <x:c r="C19" s="35" t="str">
        <x:v>Cases are deterministic requirement probes, not probabilities or outcome estimates.</x:v>
      </x:c>
      <x:c r="D19" s="35"/>
      <x:c r="E19" s="35"/>
      <x:c r="F19" s="35"/>
      <x:c r="G19" s="35"/>
      <x:c r="H19" s="35"/>
      <x:c r="I19" s="35"/>
      <x:c r="J19" s="35"/>
      <x:c r="K19" s="35"/>
      <x:c r="L19" s="35"/>
    </x:row>
  </x:sheetData>
  <x:mergeCells>
    <x:mergeCell ref="B2:L2"/>
    <x:mergeCell ref="B3:L3"/>
    <x:mergeCell ref="B14:K14"/>
    <x:mergeCell ref="C15:K15"/>
    <x:mergeCell ref="C16:K16"/>
    <x:mergeCell ref="C17:K17"/>
    <x:mergeCell ref="C18:K18"/>
    <x:mergeCell ref="C19:K19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46" hidden="0" customWidth="1"/>
    <x:col min="7" max="7" width="18" hidden="0" customWidth="1"/>
    <x:col min="1" max="1" width="3" hidden="0" customWidth="1"/>
  </x:cols>
  <x:sheetData>
    <x:row r="2" ht="15" hidden="0" customHeight="1">
      <x:c r="B2" s="34" t="str">
        <x:v>No-release admissions ledger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RCA-1 may revise planning values while force, clinical, substitution and procurement credit remain zero.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Candidate claim</x:v>
      </x:c>
      <x:c r="C6" s="31" t="str">
        <x:v>Planning value</x:v>
      </x:c>
      <x:c r="D6" s="31" t="str">
        <x:v>Unit</x:v>
      </x:c>
      <x:c r="E6" s="31" t="str">
        <x:v>Admitted value</x:v>
      </x:c>
      <x:c r="F6" s="31" t="str">
        <x:v>Admission condition</x:v>
      </x:c>
      <x:c r="G6" s="31" t="str">
        <x:v>Status</x:v>
      </x:c>
      <x:c r="H6" s="35"/>
      <x:c r="I6" s="35"/>
      <x:c r="J6" s="35"/>
      <x:c r="K6" s="35"/>
      <x:c r="L6" s="35"/>
    </x:row>
    <x:row r="7" ht="15" hidden="0" customHeight="1">
      <x:c r="B7" s="35" t="str">
        <x:v>CSI-25 internal configuration</x:v>
      </x:c>
      <x:c r="C7" s="35" t="n">
        <x:v>1</x:v>
      </x:c>
      <x:c r="D7" s="35" t="str">
        <x:v>reference</x:v>
      </x:c>
      <x:c r="E7" s="51" t="n">
        <x:v>0</x:v>
      </x:c>
      <x:c r="F7" s="35" t="str">
        <x:v>representative two-root service evidence</x:v>
      </x:c>
      <x:c r="G7" s="35" t="str">
        <x:v>NOT ADMITTED</x:v>
      </x:c>
      <x:c r="H7" s="35"/>
      <x:c r="I7" s="35"/>
      <x:c r="J7" s="35"/>
      <x:c r="K7" s="35"/>
      <x:c r="L7" s="35"/>
    </x:row>
    <x:row r="8" ht="15" hidden="0" customHeight="1">
      <x:c r="B8" s="35" t="str">
        <x:v>CSI-25 nested articles</x:v>
      </x:c>
      <x:c r="C8" s="35" t="n">
        <x:v>119</x:v>
      </x:c>
      <x:c r="D8" s="35" t="str">
        <x:v>articles</x:v>
      </x:c>
      <x:c r="E8" s="51" t="n">
        <x:v>0</x:v>
      </x:c>
      <x:c r="F8" s="35" t="str">
        <x:v>serial manifest + acceptance</x:v>
      </x:c>
      <x:c r="G8" s="35" t="str">
        <x:v>NOT ADMITTED</x:v>
      </x:c>
      <x:c r="H8" s="35"/>
      <x:c r="I8" s="35"/>
      <x:c r="J8" s="35"/>
      <x:c r="K8" s="35"/>
      <x:c r="L8" s="35"/>
    </x:row>
    <x:row r="9" ht="15" hidden="0" customHeight="1">
      <x:c r="B9" s="35" t="str">
        <x:v>CSI-25 dry mass</x:v>
      </x:c>
      <x:c r="C9" s="35" t="n">
        <x:v>2803</x:v>
      </x:c>
      <x:c r="D9" s="35" t="str">
        <x:v>t</x:v>
      </x:c>
      <x:c r="E9" s="51" t="n">
        <x:v>0</x:v>
      </x:c>
      <x:c r="F9" s="35" t="str">
        <x:v>weighed production-equivalent article</x:v>
      </x:c>
      <x:c r="G9" s="35" t="str">
        <x:v>NOT ADMITTED</x:v>
      </x:c>
      <x:c r="H9" s="35"/>
      <x:c r="I9" s="35"/>
      <x:c r="J9" s="35"/>
      <x:c r="K9" s="35"/>
      <x:c r="L9" s="35"/>
    </x:row>
    <x:row r="10" ht="15" hidden="0" customHeight="1">
      <x:c r="B10" s="35" t="str">
        <x:v>CSI-25 capital</x:v>
      </x:c>
      <x:c r="C10" s="35" t="n">
        <x:v>3284</x:v>
      </x:c>
      <x:c r="D10" s="35" t="str">
        <x:v>USD m</x:v>
      </x:c>
      <x:c r="E10" s="51" t="n">
        <x:v>0</x:v>
      </x:c>
      <x:c r="F10" s="35" t="str">
        <x:v>independent cost basis</x:v>
      </x:c>
      <x:c r="G10" s="35" t="str">
        <x:v>NOT ADMITTED</x:v>
      </x:c>
      <x:c r="H10" s="35"/>
      <x:c r="I10" s="35"/>
      <x:c r="J10" s="35"/>
      <x:c r="K10" s="35"/>
      <x:c r="L10" s="35"/>
    </x:row>
    <x:row r="11" ht="15" hidden="0" customHeight="1">
      <x:c r="B11" s="35" t="str">
        <x:v>HCSG source count</x:v>
      </x:c>
      <x:c r="C11" s="35" t="n">
        <x:v>6</x:v>
      </x:c>
      <x:c r="D11" s="35" t="str">
        <x:v>articles</x:v>
      </x:c>
      <x:c r="E11" s="51" t="n">
        <x:v>0</x:v>
      </x:c>
      <x:c r="F11" s="35" t="str">
        <x:v>power + protection trial</x:v>
      </x:c>
      <x:c r="G11" s="35" t="str">
        <x:v>NOT ADMITTED</x:v>
      </x:c>
      <x:c r="H11" s="35"/>
      <x:c r="I11" s="35"/>
      <x:c r="J11" s="35"/>
      <x:c r="K11" s="35"/>
      <x:c r="L11" s="35"/>
    </x:row>
    <x:row r="12" ht="15" hidden="0" customHeight="1">
      <x:c r="B12" s="35" t="str">
        <x:v>HCSG formation</x:v>
      </x:c>
      <x:c r="C12" s="35" t="n">
        <x:v>146</x:v>
      </x:c>
      <x:c r="D12" s="35" t="str">
        <x:v>articles</x:v>
      </x:c>
      <x:c r="E12" s="51" t="n">
        <x:v>0</x:v>
      </x:c>
      <x:c r="F12" s="35" t="str">
        <x:v>complete service trial</x:v>
      </x:c>
      <x:c r="G12" s="35" t="str">
        <x:v>NOT ADMITTED</x:v>
      </x:c>
      <x:c r="H12" s="35"/>
      <x:c r="I12" s="35"/>
      <x:c r="J12" s="35"/>
      <x:c r="K12" s="35"/>
      <x:c r="L12" s="35"/>
    </x:row>
    <x:row r="13" ht="15" hidden="0" customHeight="1">
      <x:c r="B13" s="35" t="str">
        <x:v>HCSG capital</x:v>
      </x:c>
      <x:c r="C13" s="35" t="n">
        <x:v>30697</x:v>
      </x:c>
      <x:c r="D13" s="35" t="str">
        <x:v>USD m</x:v>
      </x:c>
      <x:c r="E13" s="51" t="n">
        <x:v>0</x:v>
      </x:c>
      <x:c r="F13" s="35" t="str">
        <x:v>validated configuration cost</x:v>
      </x:c>
      <x:c r="G13" s="35" t="str">
        <x:v>NOT ADMITTED</x:v>
      </x:c>
      <x:c r="H13" s="35"/>
      <x:c r="I13" s="35"/>
      <x:c r="J13" s="35"/>
      <x:c r="K13" s="35"/>
      <x:c r="L13" s="35"/>
    </x:row>
    <x:row r="14" ht="15" hidden="0" customHeight="1">
      <x:c r="B14" s="35" t="str">
        <x:v>RCA campaign</x:v>
      </x:c>
      <x:c r="C14" s="35" t="n">
        <x:v>8</x:v>
      </x:c>
      <x:c r="D14" s="35" t="str">
        <x:v>islands</x:v>
      </x:c>
      <x:c r="E14" s="51" t="n">
        <x:v>0</x:v>
      </x:c>
      <x:c r="F14" s="35" t="str">
        <x:v>approved experiment plan</x:v>
      </x:c>
      <x:c r="G14" s="35" t="str">
        <x:v>NOT ADMITTED</x:v>
      </x:c>
      <x:c r="H14" s="35"/>
      <x:c r="I14" s="35"/>
      <x:c r="J14" s="35"/>
      <x:c r="K14" s="35"/>
      <x:c r="L14" s="35"/>
    </x:row>
    <x:row r="15" ht="15" hidden="0" customHeight="1">
      <x:c r="B15" s="35" t="str">
        <x:v>Exterior form</x:v>
      </x:c>
      <x:c r="C15" s="35" t="n">
        <x:v>0</x:v>
      </x:c>
      <x:c r="D15" s="35" t="str">
        <x:v>designs</x:v>
      </x:c>
      <x:c r="E15" s="51" t="n">
        <x:v>0</x:v>
      </x:c>
      <x:c r="F15" s="35" t="str">
        <x:v>mission and interface closure</x:v>
      </x:c>
      <x:c r="G15" s="35" t="str">
        <x:v>BLOCKED</x:v>
      </x:c>
      <x:c r="H15" s="35"/>
      <x:c r="I15" s="35"/>
      <x:c r="J15" s="35"/>
      <x:c r="K15" s="35"/>
      <x:c r="L15" s="35"/>
    </x:row>
  </x:sheetData>
  <x:mergeCells>
    <x:mergeCell ref="B2:L2"/>
    <x:mergeCell ref="B3:L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1" max="1" width="3" hidden="0" customWidth="1"/>
  </x:cols>
  <x:sheetData>
    <x:row r="2" ht="15" hidden="0" customHeight="1">
      <x:c r="B2" s="34" t="str">
        <x:v>Independent model audits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Audits compare calculated values with independently stated expected results. Audit outputs do not feed any operational or financial cell.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Domain</x:v>
      </x:c>
      <x:c r="C6" s="31" t="str">
        <x:v>Check</x:v>
      </x:c>
      <x:c r="D6" s="31" t="str">
        <x:v>Actual</x:v>
      </x:c>
      <x:c r="E6" s="31" t="str">
        <x:v>Expected</x:v>
      </x:c>
      <x:c r="F6" s="31" t="str">
        <x:v>Tolerance</x:v>
      </x:c>
      <x:c r="G6" s="31" t="str">
        <x:v>Result</x:v>
      </x:c>
      <x:c r="H6" s="35"/>
      <x:c r="I6" s="35"/>
      <x:c r="J6" s="35"/>
      <x:c r="K6" s="35"/>
      <x:c r="L6" s="35"/>
    </x:row>
    <x:row r="7" ht="15" hidden="0" customHeight="1">
      <x:c r="B7" s="35" t="str">
        <x:v>Care</x:v>
      </x:c>
      <x:c r="C7" s="35" t="str">
        <x:v>Care cells</x:v>
      </x:c>
      <x:c r="D7" s="55" t="n">
        <x:f>'02 Care cells'!D18</x:f>
        <x:v>28</x:v>
      </x:c>
      <x:c r="E7" s="55" t="n">
        <x:v>28</x:v>
      </x:c>
      <x:c r="F7" s="55" t="n">
        <x:v>0.0001</x:v>
      </x:c>
      <x:c r="G7" s="35" t="str">
        <x:f>IF(ABS(D7-E7)&lt;=F7,"PASS","FAIL")</x:f>
        <x:v>PASS</x:v>
      </x:c>
      <x:c r="H7" s="35"/>
      <x:c r="I7" s="35"/>
      <x:c r="J7" s="35"/>
      <x:c r="K7" s="35"/>
      <x:c r="L7" s="35"/>
    </x:row>
    <x:row r="8" ht="15" hidden="0" customHeight="1">
      <x:c r="B8" s="35" t="str">
        <x:v>Care</x:v>
      </x:c>
      <x:c r="C8" s="35" t="str">
        <x:v>Care positions</x:v>
      </x:c>
      <x:c r="D8" s="55" t="n">
        <x:f>'02 Care cells'!F18</x:f>
        <x:v>240</x:v>
      </x:c>
      <x:c r="E8" s="55" t="n">
        <x:v>240</x:v>
      </x:c>
      <x:c r="F8" s="55" t="n">
        <x:v>0.0001</x:v>
      </x:c>
      <x:c r="G8" s="35" t="str">
        <x:f>IF(ABS(D8-E8)&lt;=F8,"PASS","FAIL")</x:f>
        <x:v>PASS</x:v>
      </x:c>
      <x:c r="H8" s="35"/>
      <x:c r="I8" s="35"/>
      <x:c r="J8" s="35"/>
      <x:c r="K8" s="35"/>
      <x:c r="L8" s="35"/>
    </x:row>
    <x:row r="9" ht="15" hidden="0" customHeight="1">
      <x:c r="B9" s="35" t="str">
        <x:v>Flow</x:v>
      </x:c>
      <x:c r="C9" s="35" t="str">
        <x:v>Required public positions</x:v>
      </x:c>
      <x:c r="D9" s="55" t="n">
        <x:f>'03 Patient flow'!H7</x:f>
        <x:v>25</x:v>
      </x:c>
      <x:c r="E9" s="55" t="n">
        <x:v>25</x:v>
      </x:c>
      <x:c r="F9" s="55" t="n">
        <x:v>0.0001</x:v>
      </x:c>
      <x:c r="G9" s="35" t="str">
        <x:f>IF(ABS(D9-E9)&lt;=F9,"PASS","FAIL")</x:f>
        <x:v>PASS</x:v>
      </x:c>
      <x:c r="H9" s="35"/>
      <x:c r="I9" s="35"/>
      <x:c r="J9" s="35"/>
      <x:c r="K9" s="35"/>
      <x:c r="L9" s="35"/>
    </x:row>
    <x:row r="10" ht="15" hidden="0" customHeight="1">
      <x:c r="B10" s="35" t="str">
        <x:v>Flow</x:v>
      </x:c>
      <x:c r="C10" s="35" t="str">
        <x:v>Public installed positions</x:v>
      </x:c>
      <x:c r="D10" s="55" t="n">
        <x:f>'03 Patient flow'!L7</x:f>
        <x:v>35</x:v>
      </x:c>
      <x:c r="E10" s="55" t="n">
        <x:v>35</x:v>
      </x:c>
      <x:c r="F10" s="55" t="n">
        <x:v>0.0001</x:v>
      </x:c>
      <x:c r="G10" s="35" t="str">
        <x:f>IF(ABS(D10-E10)&lt;=F10,"PASS","FAIL")</x:f>
        <x:v>PASS</x:v>
      </x:c>
      <x:c r="H10" s="35"/>
      <x:c r="I10" s="35"/>
      <x:c r="J10" s="35"/>
      <x:c r="K10" s="35"/>
      <x:c r="L10" s="35"/>
    </x:row>
    <x:row r="11" ht="15" hidden="0" customHeight="1">
      <x:c r="B11" s="35" t="str">
        <x:v>Flow</x:v>
      </x:c>
      <x:c r="C11" s="35" t="str">
        <x:v>Acute required positions</x:v>
      </x:c>
      <x:c r="D11" s="55" t="n">
        <x:f>'03 Patient flow'!H8</x:f>
        <x:v>4</x:v>
      </x:c>
      <x:c r="E11" s="55" t="n">
        <x:v>4</x:v>
      </x:c>
      <x:c r="F11" s="55" t="n">
        <x:v>0.0001</x:v>
      </x:c>
      <x:c r="G11" s="35" t="str">
        <x:f>IF(ABS(D11-E11)&lt;=F11,"PASS","FAIL")</x:f>
        <x:v>PASS</x:v>
      </x:c>
      <x:c r="H11" s="35"/>
      <x:c r="I11" s="35"/>
      <x:c r="J11" s="35"/>
      <x:c r="K11" s="35"/>
      <x:c r="L11" s="35"/>
    </x:row>
    <x:row r="12" ht="15" hidden="0" customHeight="1">
      <x:c r="B12" s="35" t="str">
        <x:v>Flow</x:v>
      </x:c>
      <x:c r="C12" s="35" t="str">
        <x:v>Transient process positions</x:v>
      </x:c>
      <x:c r="D12" s="55" t="n">
        <x:f>'03 Patient flow'!L11</x:f>
        <x:v>57</x:v>
      </x:c>
      <x:c r="E12" s="55" t="n">
        <x:v>57</x:v>
      </x:c>
      <x:c r="F12" s="55" t="n">
        <x:v>0.0001</x:v>
      </x:c>
      <x:c r="G12" s="35" t="str">
        <x:f>IF(ABS(D12-E12)&lt;=F12,"PASS","FAIL")</x:f>
        <x:v>PASS</x:v>
      </x:c>
      <x:c r="H12" s="35"/>
      <x:c r="I12" s="35"/>
      <x:c r="J12" s="35"/>
      <x:c r="K12" s="35"/>
      <x:c r="L12" s="35"/>
    </x:row>
    <x:row r="13" ht="15" hidden="0" customHeight="1">
      <x:c r="B13" s="35" t="str">
        <x:v>Space</x:v>
      </x:c>
      <x:c r="C13" s="35" t="str">
        <x:v>Total enclosed area</x:v>
      </x:c>
      <x:c r="D13" s="55" t="n">
        <x:f>'04 Spatial program'!D42</x:f>
        <x:v>20060</x:v>
      </x:c>
      <x:c r="E13" s="55" t="n">
        <x:v>20060</x:v>
      </x:c>
      <x:c r="F13" s="55" t="n">
        <x:v>0.0001</x:v>
      </x:c>
      <x:c r="G13" s="35" t="str">
        <x:f>IF(ABS(D13-E13)&lt;=F13,"PASS","FAIL")</x:f>
        <x:v>PASS</x:v>
      </x:c>
      <x:c r="H13" s="35"/>
      <x:c r="I13" s="35"/>
      <x:c r="J13" s="35"/>
      <x:c r="K13" s="35"/>
      <x:c r="L13" s="35"/>
    </x:row>
    <x:row r="14" ht="15" hidden="0" customHeight="1">
      <x:c r="B14" s="35" t="str">
        <x:v>Space</x:v>
      </x:c>
      <x:c r="C14" s="35" t="str">
        <x:v>Gross working area</x:v>
      </x:c>
      <x:c r="D14" s="55" t="n">
        <x:f>'04 Spatial program'!D43</x:f>
        <x:v>52789.47368421053</x:v>
      </x:c>
      <x:c r="E14" s="55" t="n">
        <x:v>52789.473684</x:v>
      </x:c>
      <x:c r="F14" s="55" t="n">
        <x:v>0.001</x:v>
      </x:c>
      <x:c r="G14" s="35" t="str">
        <x:f>IF(ABS(D14-E14)&lt;=F14,"PASS","FAIL")</x:f>
        <x:v>PASS</x:v>
      </x:c>
      <x:c r="H14" s="35"/>
      <x:c r="I14" s="35"/>
      <x:c r="J14" s="35"/>
      <x:c r="K14" s="35"/>
      <x:c r="L14" s="35"/>
    </x:row>
    <x:row r="15" ht="15" hidden="0" customHeight="1">
      <x:c r="B15" s="35" t="str">
        <x:v>Space</x:v>
      </x:c>
      <x:c r="C15" s="35" t="str">
        <x:v>Site envelope</x:v>
      </x:c>
      <x:c r="D15" s="55" t="n">
        <x:f>'04 Spatial program'!D46</x:f>
        <x:v>72770.24166541707</x:v>
      </x:c>
      <x:c r="E15" s="55" t="n">
        <x:v>72770.241665</x:v>
      </x:c>
      <x:c r="F15" s="55" t="n">
        <x:v>0.1</x:v>
      </x:c>
      <x:c r="G15" s="35" t="str">
        <x:f>IF(ABS(D15-E15)&lt;=F15,"PASS","FAIL")</x:f>
        <x:v>PASS</x:v>
      </x:c>
      <x:c r="H15" s="35"/>
      <x:c r="I15" s="35"/>
      <x:c r="J15" s="35"/>
      <x:c r="K15" s="35"/>
      <x:c r="L15" s="35"/>
    </x:row>
    <x:row r="16" ht="15" hidden="0" customHeight="1">
      <x:c r="B16" s="35" t="str">
        <x:v>Air</x:v>
      </x:c>
      <x:c r="C16" s="35" t="str">
        <x:v>Clean flow</x:v>
      </x:c>
      <x:c r="D16" s="55" t="n">
        <x:f>'06 Air balance'!G7</x:f>
        <x:v>115545.59999999999</x:v>
      </x:c>
      <x:c r="E16" s="55" t="n">
        <x:v>115545.6</x:v>
      </x:c>
      <x:c r="F16" s="55" t="n">
        <x:v>0.1</x:v>
      </x:c>
      <x:c r="G16" s="35" t="str">
        <x:f>IF(ABS(D16-E16)&lt;=F16,"PASS","FAIL")</x:f>
        <x:v>PASS</x:v>
      </x:c>
      <x:c r="H16" s="35"/>
      <x:c r="I16" s="35"/>
      <x:c r="J16" s="35"/>
      <x:c r="K16" s="35"/>
      <x:c r="L16" s="35"/>
    </x:row>
    <x:row r="17" ht="15" hidden="0" customHeight="1">
      <x:c r="B17" s="35" t="str">
        <x:v>Air</x:v>
      </x:c>
      <x:c r="C17" s="35" t="str">
        <x:v>Controlled flow</x:v>
      </x:c>
      <x:c r="D17" s="55" t="n">
        <x:f>'06 Air balance'!G8</x:f>
        <x:v>359475.2</x:v>
      </x:c>
      <x:c r="E17" s="55" t="n">
        <x:v>359475.2</x:v>
      </x:c>
      <x:c r="F17" s="55" t="n">
        <x:v>0.1</x:v>
      </x:c>
      <x:c r="G17" s="35" t="str">
        <x:f>IF(ABS(D17-E17)&lt;=F17,"PASS","FAIL")</x:f>
        <x:v>PASS</x:v>
      </x:c>
      <x:c r="H17" s="35"/>
      <x:c r="I17" s="35"/>
      <x:c r="J17" s="35"/>
      <x:c r="K17" s="35"/>
      <x:c r="L17" s="35"/>
    </x:row>
    <x:row r="18" ht="15" hidden="0" customHeight="1">
      <x:c r="B18" s="35" t="str">
        <x:v>Air</x:v>
      </x:c>
      <x:c r="C18" s="35" t="str">
        <x:v>Contaminated flow</x:v>
      </x:c>
      <x:c r="D18" s="55" t="n">
        <x:f>'06 Air balance'!G9</x:f>
        <x:v>192576</x:v>
      </x:c>
      <x:c r="E18" s="55" t="n">
        <x:v>192576</x:v>
      </x:c>
      <x:c r="F18" s="55" t="n">
        <x:v>0.1</x:v>
      </x:c>
      <x:c r="G18" s="35" t="str">
        <x:f>IF(ABS(D18-E18)&lt;=F18,"PASS","FAIL")</x:f>
        <x:v>PASS</x:v>
      </x:c>
      <x:c r="H18" s="35"/>
      <x:c r="I18" s="35"/>
      <x:c r="J18" s="35"/>
      <x:c r="K18" s="35"/>
      <x:c r="L18" s="35"/>
    </x:row>
    <x:row r="19" ht="15" hidden="0" customHeight="1">
      <x:c r="B19" s="35" t="str">
        <x:v>Air</x:v>
      </x:c>
      <x:c r="C19" s="35" t="str">
        <x:v>Clean loss margin</x:v>
      </x:c>
      <x:c r="D19" s="55" t="n">
        <x:f>'06 Air balance'!K7</x:f>
        <x:v>4454.400000000009</x:v>
      </x:c>
      <x:c r="E19" s="55" t="n">
        <x:v>4454.4</x:v>
      </x:c>
      <x:c r="F19" s="55" t="n">
        <x:v>0.1</x:v>
      </x:c>
      <x:c r="G19" s="35" t="str">
        <x:f>IF(ABS(D19-E19)&lt;=F19,"PASS","FAIL")</x:f>
        <x:v>PASS</x:v>
      </x:c>
      <x:c r="H19" s="35"/>
      <x:c r="I19" s="35"/>
      <x:c r="J19" s="35"/>
      <x:c r="K19" s="35"/>
      <x:c r="L19" s="35"/>
    </x:row>
    <x:row r="20" ht="15" hidden="0" customHeight="1">
      <x:c r="B20" s="35" t="str">
        <x:v>Air</x:v>
      </x:c>
      <x:c r="C20" s="35" t="str">
        <x:v>Controlled loss margin</x:v>
      </x:c>
      <x:c r="D20" s="55" t="n">
        <x:f>'06 Air balance'!K8</x:f>
        <x:v>524.7999999999884</x:v>
      </x:c>
      <x:c r="E20" s="55" t="n">
        <x:v>524.8</x:v>
      </x:c>
      <x:c r="F20" s="55" t="n">
        <x:v>0.1</x:v>
      </x:c>
      <x:c r="G20" s="35" t="str">
        <x:f>IF(ABS(D20-E20)&lt;=F20,"PASS","FAIL")</x:f>
        <x:v>PASS</x:v>
      </x:c>
      <x:c r="H20" s="35"/>
      <x:c r="I20" s="35"/>
      <x:c r="J20" s="35"/>
      <x:c r="K20" s="35"/>
      <x:c r="L20" s="35"/>
    </x:row>
    <x:row r="21" ht="15" hidden="0" customHeight="1">
      <x:c r="B21" s="35" t="str">
        <x:v>Air</x:v>
      </x:c>
      <x:c r="C21" s="35" t="str">
        <x:v>Contaminated loss margin</x:v>
      </x:c>
      <x:c r="D21" s="55" t="n">
        <x:f>'06 Air balance'!K9</x:f>
        <x:v>7424</x:v>
      </x:c>
      <x:c r="E21" s="55" t="n">
        <x:v>7424</x:v>
      </x:c>
      <x:c r="F21" s="55" t="n">
        <x:v>0.1</x:v>
      </x:c>
      <x:c r="G21" s="35" t="str">
        <x:f>IF(ABS(D21-E21)&lt;=F21,"PASS","FAIL")</x:f>
        <x:v>PASS</x:v>
      </x:c>
      <x:c r="H21" s="35"/>
      <x:c r="I21" s="35"/>
      <x:c r="J21" s="35"/>
      <x:c r="K21" s="35"/>
      <x:c r="L21" s="35"/>
    </x:row>
    <x:row r="22" ht="15" hidden="0" customHeight="1">
      <x:c r="B22" s="35" t="str">
        <x:v>Air</x:v>
      </x:c>
      <x:c r="C22" s="35" t="str">
        <x:v>Air trains</x:v>
      </x:c>
      <x:c r="D22" s="55" t="n">
        <x:f>'06 Air balance'!I10</x:f>
        <x:v>9</x:v>
      </x:c>
      <x:c r="E22" s="55" t="n">
        <x:v>9</x:v>
      </x:c>
      <x:c r="F22" s="55" t="n">
        <x:v>0.0001</x:v>
      </x:c>
      <x:c r="G22" s="35" t="str">
        <x:f>IF(ABS(D22-E22)&lt;=F22,"PASS","FAIL")</x:f>
        <x:v>PASS</x:v>
      </x:c>
      <x:c r="H22" s="35"/>
      <x:c r="I22" s="35"/>
      <x:c r="J22" s="35"/>
      <x:c r="K22" s="35"/>
      <x:c r="L22" s="35"/>
    </x:row>
    <x:row r="23" ht="15" hidden="0" customHeight="1">
      <x:c r="B23" s="35" t="str">
        <x:v>Power</x:v>
      </x:c>
      <x:c r="C23" s="35" t="str">
        <x:v>Continuous MW</x:v>
      </x:c>
      <x:c r="D23" s="55" t="n">
        <x:f>'07 Power one-line'!E11</x:f>
        <x:v>18.2808</x:v>
      </x:c>
      <x:c r="E23" s="55" t="n">
        <x:v>18.2808</x:v>
      </x:c>
      <x:c r="F23" s="55" t="n">
        <x:v>0.0001</x:v>
      </x:c>
      <x:c r="G23" s="35" t="str">
        <x:f>IF(ABS(D23-E23)&lt;=F23,"PASS","FAIL")</x:f>
        <x:v>PASS</x:v>
      </x:c>
      <x:c r="H23" s="35"/>
      <x:c r="I23" s="35"/>
      <x:c r="J23" s="35"/>
      <x:c r="K23" s="35"/>
      <x:c r="L23" s="35"/>
    </x:row>
    <x:row r="24" ht="15" hidden="0" customHeight="1">
      <x:c r="B24" s="35" t="str">
        <x:v>Power</x:v>
      </x:c>
      <x:c r="C24" s="35" t="str">
        <x:v>Peak MW</x:v>
      </x:c>
      <x:c r="D24" s="55" t="n">
        <x:f>'07 Power one-line'!G11</x:f>
        <x:v>21.022919999999996</x:v>
      </x:c>
      <x:c r="E24" s="55" t="n">
        <x:v>21.02292</x:v>
      </x:c>
      <x:c r="F24" s="55" t="n">
        <x:v>0.0001</x:v>
      </x:c>
      <x:c r="G24" s="35" t="str">
        <x:f>IF(ABS(D24-E24)&lt;=F24,"PASS","FAIL")</x:f>
        <x:v>PASS</x:v>
      </x:c>
      <x:c r="H24" s="35"/>
      <x:c r="I24" s="35"/>
      <x:c r="J24" s="35"/>
      <x:c r="K24" s="35"/>
      <x:c r="L24" s="35"/>
    </x:row>
    <x:row r="25" ht="15" hidden="0" customHeight="1">
      <x:c r="B25" s="35" t="str">
        <x:v>Power</x:v>
      </x:c>
      <x:c r="C25" s="35" t="str">
        <x:v>SPC count</x:v>
      </x:c>
      <x:c r="D25" s="55" t="n">
        <x:f>'07 Power one-line'!D15</x:f>
        <x:v>6</x:v>
      </x:c>
      <x:c r="E25" s="55" t="n">
        <x:v>6</x:v>
      </x:c>
      <x:c r="F25" s="55" t="n">
        <x:v>0.0001</x:v>
      </x:c>
      <x:c r="G25" s="35" t="str">
        <x:f>IF(ABS(D25-E25)&lt;=F25,"PASS","FAIL")</x:f>
        <x:v>PASS</x:v>
      </x:c>
      <x:c r="H25" s="35"/>
      <x:c r="I25" s="35"/>
      <x:c r="J25" s="35"/>
      <x:c r="K25" s="35"/>
      <x:c r="L25" s="35"/>
    </x:row>
    <x:row r="26" ht="15" hidden="0" customHeight="1">
      <x:c r="B26" s="35" t="str">
        <x:v>Power</x:v>
      </x:c>
      <x:c r="C26" s="35" t="str">
        <x:v>After-loss continuous</x:v>
      </x:c>
      <x:c r="D26" s="55" t="n">
        <x:f>'07 Power one-line'!D17</x:f>
        <x:v>22.5</x:v>
      </x:c>
      <x:c r="E26" s="55" t="n">
        <x:v>22.5</x:v>
      </x:c>
      <x:c r="F26" s="55" t="n">
        <x:v>0.0001</x:v>
      </x:c>
      <x:c r="G26" s="35" t="str">
        <x:f>IF(ABS(D26-E26)&lt;=F26,"PASS","FAIL")</x:f>
        <x:v>PASS</x:v>
      </x:c>
      <x:c r="H26" s="35"/>
      <x:c r="I26" s="35"/>
      <x:c r="J26" s="35"/>
      <x:c r="K26" s="35"/>
      <x:c r="L26" s="35"/>
    </x:row>
    <x:row r="27" ht="15" hidden="0" customHeight="1">
      <x:c r="B27" s="35" t="str">
        <x:v>Power</x:v>
      </x:c>
      <x:c r="C27" s="35" t="str">
        <x:v>Continuous margin</x:v>
      </x:c>
      <x:c r="D27" s="55" t="n">
        <x:f>'07 Power one-line'!D18</x:f>
        <x:v>4.219200000000001</x:v>
      </x:c>
      <x:c r="E27" s="55" t="n">
        <x:v>4.2192</x:v>
      </x:c>
      <x:c r="F27" s="55" t="n">
        <x:v>0.0001</x:v>
      </x:c>
      <x:c r="G27" s="35" t="str">
        <x:f>IF(ABS(D27-E27)&lt;=F27,"PASS","FAIL")</x:f>
        <x:v>PASS</x:v>
      </x:c>
      <x:c r="H27" s="35"/>
      <x:c r="I27" s="35"/>
      <x:c r="J27" s="35"/>
      <x:c r="K27" s="35"/>
      <x:c r="L27" s="35"/>
    </x:row>
    <x:row r="28" ht="15" hidden="0" customHeight="1">
      <x:c r="B28" s="35" t="str">
        <x:v>Power</x:v>
      </x:c>
      <x:c r="C28" s="35" t="str">
        <x:v>PTN count</x:v>
      </x:c>
      <x:c r="D28" s="55" t="n">
        <x:f>'07 Power one-line'!D21</x:f>
        <x:v>8</x:v>
      </x:c>
      <x:c r="E28" s="55" t="n">
        <x:v>8</x:v>
      </x:c>
      <x:c r="F28" s="55" t="n">
        <x:v>0.0001</x:v>
      </x:c>
      <x:c r="G28" s="35" t="str">
        <x:f>IF(ABS(D28-E28)&lt;=F28,"PASS","FAIL")</x:f>
        <x:v>PASS</x:v>
      </x:c>
      <x:c r="H28" s="35"/>
      <x:c r="I28" s="35"/>
      <x:c r="J28" s="35"/>
      <x:c r="K28" s="35"/>
      <x:c r="L28" s="35"/>
    </x:row>
    <x:row r="29" ht="15" hidden="0" customHeight="1">
      <x:c r="B29" s="35" t="str">
        <x:v>Power</x:v>
      </x:c>
      <x:c r="C29" s="35" t="str">
        <x:v>Electrical articles</x:v>
      </x:c>
      <x:c r="D29" s="55" t="n">
        <x:f>'07 Power one-line'!D23</x:f>
        <x:v>23</x:v>
      </x:c>
      <x:c r="E29" s="55" t="n">
        <x:v>23</x:v>
      </x:c>
      <x:c r="F29" s="55" t="n">
        <x:v>0.0001</x:v>
      </x:c>
      <x:c r="G29" s="35" t="str">
        <x:f>IF(ABS(D29-E29)&lt;=F29,"PASS","FAIL")</x:f>
        <x:v>PASS</x:v>
      </x:c>
      <x:c r="H29" s="35"/>
      <x:c r="I29" s="35"/>
      <x:c r="J29" s="35"/>
      <x:c r="K29" s="35"/>
      <x:c r="L29" s="35"/>
    </x:row>
    <x:row r="30" ht="15" hidden="0" customHeight="1">
      <x:c r="B30" s="35" t="str">
        <x:v>No-break</x:v>
      </x:c>
      <x:c r="C30" s="35" t="str">
        <x:v>No-break MW</x:v>
      </x:c>
      <x:c r="D30" s="55" t="n">
        <x:f>'08 No-break'!E11</x:f>
        <x:v>10.244000000000002</x:v>
      </x:c>
      <x:c r="E30" s="55" t="n">
        <x:v>10.244</x:v>
      </x:c>
      <x:c r="F30" s="55" t="n">
        <x:v>0.0001</x:v>
      </x:c>
      <x:c r="G30" s="35" t="str">
        <x:f>IF(ABS(D30-E30)&lt;=F30,"PASS","FAIL")</x:f>
        <x:v>PASS</x:v>
      </x:c>
      <x:c r="H30" s="35"/>
      <x:c r="I30" s="35"/>
      <x:c r="J30" s="35"/>
      <x:c r="K30" s="35"/>
      <x:c r="L30" s="35"/>
    </x:row>
    <x:row r="31" ht="15" hidden="0" customHeight="1">
      <x:c r="B31" s="35" t="str">
        <x:v>No-break</x:v>
      </x:c>
      <x:c r="C31" s="35" t="str">
        <x:v>Required energy</x:v>
      </x:c>
      <x:c r="D31" s="55" t="n">
        <x:f>'08 No-break'!D16</x:f>
        <x:v>8.351086956521739</x:v>
      </x:c>
      <x:c r="E31" s="55" t="n">
        <x:v>8.351086957</x:v>
      </x:c>
      <x:c r="F31" s="55" t="n">
        <x:v>0.000001</x:v>
      </x:c>
      <x:c r="G31" s="35" t="str">
        <x:f>IF(ABS(D31-E31)&lt;=F31,"PASS","FAIL")</x:f>
        <x:v>PASS</x:v>
      </x:c>
      <x:c r="H31" s="35"/>
      <x:c r="I31" s="35"/>
      <x:c r="J31" s="35"/>
      <x:c r="K31" s="35"/>
      <x:c r="L31" s="35"/>
    </x:row>
    <x:row r="32" ht="15" hidden="0" customHeight="1">
      <x:c r="B32" s="35" t="str">
        <x:v>No-break</x:v>
      </x:c>
      <x:c r="C32" s="35" t="str">
        <x:v>BSS count</x:v>
      </x:c>
      <x:c r="D32" s="55" t="n">
        <x:f>'08 No-break'!D15</x:f>
        <x:v>3</x:v>
      </x:c>
      <x:c r="E32" s="55" t="n">
        <x:v>3</x:v>
      </x:c>
      <x:c r="F32" s="55" t="n">
        <x:v>0.0001</x:v>
      </x:c>
      <x:c r="G32" s="35" t="str">
        <x:f>IF(ABS(D32-E32)&lt;=F32,"PASS","FAIL")</x:f>
        <x:v>PASS</x:v>
      </x:c>
      <x:c r="H32" s="35"/>
      <x:c r="I32" s="35"/>
      <x:c r="J32" s="35"/>
      <x:c r="K32" s="35"/>
      <x:c r="L32" s="35"/>
    </x:row>
    <x:row r="33" ht="15" hidden="0" customHeight="1">
      <x:c r="B33" s="35" t="str">
        <x:v>No-break</x:v>
      </x:c>
      <x:c r="C33" s="35" t="str">
        <x:v>Local ride-through</x:v>
      </x:c>
      <x:c r="D33" s="55" t="n">
        <x:f>'08 No-break'!D21</x:f>
        <x:v>0.3088994565217391</x:v>
      </x:c>
      <x:c r="E33" s="55" t="n">
        <x:v>0.308899457</x:v>
      </x:c>
      <x:c r="F33" s="55" t="n">
        <x:v>0.000001</x:v>
      </x:c>
      <x:c r="G33" s="35" t="str">
        <x:f>IF(ABS(D33-E33)&lt;=F33,"PASS","FAIL")</x:f>
        <x:v>PASS</x:v>
      </x:c>
      <x:c r="H33" s="35"/>
      <x:c r="I33" s="35"/>
      <x:c r="J33" s="35"/>
      <x:c r="K33" s="35"/>
      <x:c r="L33" s="35"/>
    </x:row>
    <x:row r="34" ht="15" hidden="0" customHeight="1">
      <x:c r="B34" s="35" t="str">
        <x:v>Fluids</x:v>
      </x:c>
      <x:c r="C34" s="35" t="str">
        <x:v>Protected water/day</x:v>
      </x:c>
      <x:c r="D34" s="55" t="n">
        <x:f>'09 Clinical fluids'!D7</x:f>
        <x:v>236.365625</x:v>
      </x:c>
      <x:c r="E34" s="55" t="n">
        <x:v>236.365625</x:v>
      </x:c>
      <x:c r="F34" s="55" t="n">
        <x:v>0.0001</x:v>
      </x:c>
      <x:c r="G34" s="35" t="str">
        <x:f>IF(ABS(D34-E34)&lt;=F34,"PASS","FAIL")</x:f>
        <x:v>PASS</x:v>
      </x:c>
      <x:c r="H34" s="35"/>
      <x:c r="I34" s="35"/>
      <x:c r="J34" s="35"/>
      <x:c r="K34" s="35"/>
      <x:c r="L34" s="35"/>
    </x:row>
    <x:row r="35" ht="15" hidden="0" customHeight="1">
      <x:c r="B35" s="35" t="str">
        <x:v>Fluids</x:v>
      </x:c>
      <x:c r="C35" s="35" t="str">
        <x:v>Water buffer</x:v>
      </x:c>
      <x:c r="D35" s="55" t="n">
        <x:f>'09 Clinical fluids'!F7</x:f>
        <x:v>78.78854166666666</x:v>
      </x:c>
      <x:c r="E35" s="55" t="n">
        <x:v>78.78854167</x:v>
      </x:c>
      <x:c r="F35" s="55" t="n">
        <x:v>0.0001</x:v>
      </x:c>
      <x:c r="G35" s="35" t="str">
        <x:f>IF(ABS(D35-E35)&lt;=F35,"PASS","FAIL")</x:f>
        <x:v>PASS</x:v>
      </x:c>
      <x:c r="H35" s="35"/>
      <x:c r="I35" s="35"/>
      <x:c r="J35" s="35"/>
      <x:c r="K35" s="35"/>
      <x:c r="L35" s="35"/>
    </x:row>
    <x:row r="36" ht="15" hidden="0" customHeight="1">
      <x:c r="B36" s="35" t="str">
        <x:v>Fluids</x:v>
      </x:c>
      <x:c r="C36" s="35" t="str">
        <x:v>Water pods</x:v>
      </x:c>
      <x:c r="D36" s="55" t="n">
        <x:f>'09 Clinical fluids'!H7</x:f>
        <x:v>3</x:v>
      </x:c>
      <x:c r="E36" s="55" t="n">
        <x:v>3</x:v>
      </x:c>
      <x:c r="F36" s="55" t="n">
        <x:v>0.0001</x:v>
      </x:c>
      <x:c r="G36" s="35" t="str">
        <x:f>IF(ABS(D36-E36)&lt;=F36,"PASS","FAIL")</x:f>
        <x:v>PASS</x:v>
      </x:c>
      <x:c r="H36" s="35"/>
      <x:c r="I36" s="35"/>
      <x:c r="J36" s="35"/>
      <x:c r="K36" s="35"/>
      <x:c r="L36" s="35"/>
    </x:row>
    <x:row r="37" ht="15" hidden="0" customHeight="1">
      <x:c r="B37" s="35" t="str">
        <x:v>Fluids</x:v>
      </x:c>
      <x:c r="C37" s="35" t="str">
        <x:v>Wastewater buffer</x:v>
      </x:c>
      <x:c r="D37" s="55" t="n">
        <x:f>'09 Clinical fluids'!F8</x:f>
        <x:v>70.9096875</x:v>
      </x:c>
      <x:c r="E37" s="55" t="n">
        <x:v>70.9096875</x:v>
      </x:c>
      <x:c r="F37" s="55" t="n">
        <x:v>0.0001</x:v>
      </x:c>
      <x:c r="G37" s="35" t="str">
        <x:f>IF(ABS(D37-E37)&lt;=F37,"PASS","FAIL")</x:f>
        <x:v>PASS</x:v>
      </x:c>
      <x:c r="H37" s="35"/>
      <x:c r="I37" s="35"/>
      <x:c r="J37" s="35"/>
      <x:c r="K37" s="35"/>
      <x:c r="L37" s="35"/>
    </x:row>
    <x:row r="38" ht="15" hidden="0" customHeight="1">
      <x:c r="B38" s="35" t="str">
        <x:v>Fluids</x:v>
      </x:c>
      <x:c r="C38" s="35" t="str">
        <x:v>Oxygen buffer</x:v>
      </x:c>
      <x:c r="D38" s="55" t="n">
        <x:f>'09 Clinical fluids'!F9</x:f>
        <x:v>320.6770833333333</x:v>
      </x:c>
      <x:c r="E38" s="55" t="n">
        <x:v>320.6770833</x:v>
      </x:c>
      <x:c r="F38" s="55" t="n">
        <x:v>0.0001</x:v>
      </x:c>
      <x:c r="G38" s="35" t="str">
        <x:f>IF(ABS(D38-E38)&lt;=F38,"PASS","FAIL")</x:f>
        <x:v>PASS</x:v>
      </x:c>
      <x:c r="H38" s="35"/>
      <x:c r="I38" s="35"/>
      <x:c r="J38" s="35"/>
      <x:c r="K38" s="35"/>
      <x:c r="L38" s="35"/>
    </x:row>
    <x:row r="39" ht="15" hidden="0" customHeight="1">
      <x:c r="B39" s="35" t="str">
        <x:v>Fluids</x:v>
      </x:c>
      <x:c r="C39" s="35" t="str">
        <x:v>Oxygen pods</x:v>
      </x:c>
      <x:c r="D39" s="55" t="n">
        <x:f>'09 Clinical fluids'!H9</x:f>
        <x:v>3</x:v>
      </x:c>
      <x:c r="E39" s="55" t="n">
        <x:v>3</x:v>
      </x:c>
      <x:c r="F39" s="55" t="n">
        <x:v>0.0001</x:v>
      </x:c>
      <x:c r="G39" s="35" t="str">
        <x:f>IF(ABS(D39-E39)&lt;=F39,"PASS","FAIL")</x:f>
        <x:v>PASS</x:v>
      </x:c>
      <x:c r="H39" s="35"/>
      <x:c r="I39" s="35"/>
      <x:c r="J39" s="35"/>
      <x:c r="K39" s="35"/>
      <x:c r="L39" s="35"/>
    </x:row>
    <x:row r="40" ht="15" hidden="0" customHeight="1">
      <x:c r="B40" s="35" t="str">
        <x:v>Fluids</x:v>
      </x:c>
      <x:c r="C40" s="35" t="str">
        <x:v>Medical waste protected</x:v>
      </x:c>
      <x:c r="D40" s="55" t="n">
        <x:f>'09 Clinical fluids'!D10</x:f>
        <x:v>1.1103203124999999</x:v>
      </x:c>
      <x:c r="E40" s="55" t="n">
        <x:v>1.110320313</x:v>
      </x:c>
      <x:c r="F40" s="55" t="n">
        <x:v>0.000001</x:v>
      </x:c>
      <x:c r="G40" s="35" t="str">
        <x:f>IF(ABS(D40-E40)&lt;=F40,"PASS","FAIL")</x:f>
        <x:v>PASS</x:v>
      </x:c>
      <x:c r="H40" s="35"/>
      <x:c r="I40" s="35"/>
      <x:c r="J40" s="35"/>
      <x:c r="K40" s="35"/>
      <x:c r="L40" s="35"/>
    </x:row>
    <x:row r="41" ht="15" hidden="0" customHeight="1">
      <x:c r="B41" s="35" t="str">
        <x:v>Workforce</x:v>
      </x:c>
      <x:c r="C41" s="35" t="str">
        <x:v>Active island</x:v>
      </x:c>
      <x:c r="D41" s="55" t="n">
        <x:f>'10 Workforce'!C15</x:f>
        <x:v>829</x:v>
      </x:c>
      <x:c r="E41" s="55" t="n">
        <x:v>829</x:v>
      </x:c>
      <x:c r="F41" s="55" t="n">
        <x:v>0.0001</x:v>
      </x:c>
      <x:c r="G41" s="35" t="str">
        <x:f>IF(ABS(D41-E41)&lt;=F41,"PASS","FAIL")</x:f>
        <x:v>PASS</x:v>
      </x:c>
      <x:c r="H41" s="35"/>
      <x:c r="I41" s="35"/>
      <x:c r="J41" s="35"/>
      <x:c r="K41" s="35"/>
      <x:c r="L41" s="35"/>
    </x:row>
    <x:row r="42" ht="15" hidden="0" customHeight="1">
      <x:c r="B42" s="35" t="str">
        <x:v>Workforce</x:v>
      </x:c>
      <x:c r="C42" s="35" t="str">
        <x:v>Ready watch</x:v>
      </x:c>
      <x:c r="D42" s="55" t="n">
        <x:f>'10 Workforce'!D15</x:f>
        <x:v>84</x:v>
      </x:c>
      <x:c r="E42" s="55" t="n">
        <x:v>84</x:v>
      </x:c>
      <x:c r="F42" s="55" t="n">
        <x:v>0.0001</x:v>
      </x:c>
      <x:c r="G42" s="35" t="str">
        <x:f>IF(ABS(D42-E42)&lt;=F42,"PASS","FAIL")</x:f>
        <x:v>PASS</x:v>
      </x:c>
      <x:c r="H42" s="35"/>
      <x:c r="I42" s="35"/>
      <x:c r="J42" s="35"/>
      <x:c r="K42" s="35"/>
      <x:c r="L42" s="35"/>
    </x:row>
    <x:row r="43" ht="15" hidden="0" customHeight="1">
      <x:c r="B43" s="35" t="str">
        <x:v>Workforce</x:v>
      </x:c>
      <x:c r="C43" s="35" t="str">
        <x:v>Activation transfer</x:v>
      </x:c>
      <x:c r="D43" s="55" t="n">
        <x:f>'10 Workforce'!E15</x:f>
        <x:v>745</x:v>
      </x:c>
      <x:c r="E43" s="55" t="n">
        <x:v>745</x:v>
      </x:c>
      <x:c r="F43" s="55" t="n">
        <x:v>0.0001</x:v>
      </x:c>
      <x:c r="G43" s="35" t="str">
        <x:f>IF(ABS(D43-E43)&lt;=F43,"PASS","FAIL")</x:f>
        <x:v>PASS</x:v>
      </x:c>
      <x:c r="H43" s="35"/>
      <x:c r="I43" s="35"/>
      <x:c r="J43" s="35"/>
      <x:c r="K43" s="35"/>
      <x:c r="L43" s="35"/>
    </x:row>
    <x:row r="44" ht="15" hidden="0" customHeight="1">
      <x:c r="B44" s="35" t="str">
        <x:v>Workforce</x:v>
      </x:c>
      <x:c r="C44" s="35" t="str">
        <x:v>HCSG deployed</x:v>
      </x:c>
      <x:c r="D44" s="55" t="n">
        <x:f>'10 Workforce'!D22</x:f>
        <x:v>4400</x:v>
      </x:c>
      <x:c r="E44" s="55" t="n">
        <x:v>4400</x:v>
      </x:c>
      <x:c r="F44" s="55" t="n">
        <x:v>0.0001</x:v>
      </x:c>
      <x:c r="G44" s="35" t="str">
        <x:f>IF(ABS(D44-E44)&lt;=F44,"PASS","FAIL")</x:f>
        <x:v>PASS</x:v>
      </x:c>
      <x:c r="H44" s="35"/>
      <x:c r="I44" s="35"/>
      <x:c r="J44" s="35"/>
      <x:c r="K44" s="35"/>
      <x:c r="L44" s="35"/>
    </x:row>
    <x:row r="45" ht="15" hidden="0" customHeight="1">
      <x:c r="B45" s="35" t="str">
        <x:v>Bill</x:v>
      </x:c>
      <x:c r="C45" s="35" t="str">
        <x:v>Nested articles</x:v>
      </x:c>
      <x:c r="D45" s="55" t="n">
        <x:f>'11 Article bill'!D38</x:f>
        <x:v>119</x:v>
      </x:c>
      <x:c r="E45" s="55" t="n">
        <x:v>119</x:v>
      </x:c>
      <x:c r="F45" s="55" t="n">
        <x:v>0.0001</x:v>
      </x:c>
      <x:c r="G45" s="35" t="str">
        <x:f>IF(ABS(D45-E45)&lt;=F45,"PASS","FAIL")</x:f>
        <x:v>PASS</x:v>
      </x:c>
      <x:c r="H45" s="35"/>
      <x:c r="I45" s="35"/>
      <x:c r="J45" s="35"/>
      <x:c r="K45" s="35"/>
      <x:c r="L45" s="35"/>
    </x:row>
    <x:row r="46" ht="15" hidden="0" customHeight="1">
      <x:c r="B46" s="35" t="str">
        <x:v>Bill</x:v>
      </x:c>
      <x:c r="C46" s="35" t="str">
        <x:v>Service positions</x:v>
      </x:c>
      <x:c r="D46" s="55" t="n">
        <x:f>'11 Article bill'!F38</x:f>
        <x:v>297</x:v>
      </x:c>
      <x:c r="E46" s="55" t="n">
        <x:v>297</x:v>
      </x:c>
      <x:c r="F46" s="55" t="n">
        <x:v>0.0001</x:v>
      </x:c>
      <x:c r="G46" s="35" t="str">
        <x:f>IF(ABS(D46-E46)&lt;=F46,"PASS","FAIL")</x:f>
        <x:v>PASS</x:v>
      </x:c>
      <x:c r="H46" s="35"/>
      <x:c r="I46" s="35"/>
      <x:c r="J46" s="35"/>
      <x:c r="K46" s="35"/>
      <x:c r="L46" s="35"/>
    </x:row>
    <x:row r="47" ht="15" hidden="0" customHeight="1">
      <x:c r="B47" s="35" t="str">
        <x:v>Bill</x:v>
      </x:c>
      <x:c r="C47" s="35" t="str">
        <x:v>Area</x:v>
      </x:c>
      <x:c r="D47" s="55" t="n">
        <x:f>'11 Article bill'!H38</x:f>
        <x:v>20060</x:v>
      </x:c>
      <x:c r="E47" s="55" t="n">
        <x:v>20060</x:v>
      </x:c>
      <x:c r="F47" s="55" t="n">
        <x:v>0.0001</x:v>
      </x:c>
      <x:c r="G47" s="35" t="str">
        <x:f>IF(ABS(D47-E47)&lt;=F47,"PASS","FAIL")</x:f>
        <x:v>PASS</x:v>
      </x:c>
      <x:c r="H47" s="35"/>
      <x:c r="I47" s="35"/>
      <x:c r="J47" s="35"/>
      <x:c r="K47" s="35"/>
      <x:c r="L47" s="35"/>
    </x:row>
    <x:row r="48" ht="15" hidden="0" customHeight="1">
      <x:c r="B48" s="35" t="str">
        <x:v>Bill</x:v>
      </x:c>
      <x:c r="C48" s="35" t="str">
        <x:v>Dry mass</x:v>
      </x:c>
      <x:c r="D48" s="55" t="n">
        <x:f>'11 Article bill'!J38</x:f>
        <x:v>2803</x:v>
      </x:c>
      <x:c r="E48" s="55" t="n">
        <x:v>2803</x:v>
      </x:c>
      <x:c r="F48" s="55" t="n">
        <x:v>0.0001</x:v>
      </x:c>
      <x:c r="G48" s="35" t="str">
        <x:f>IF(ABS(D48-E48)&lt;=F48,"PASS","FAIL")</x:f>
        <x:v>PASS</x:v>
      </x:c>
      <x:c r="H48" s="35"/>
      <x:c r="I48" s="35"/>
      <x:c r="J48" s="35"/>
      <x:c r="K48" s="35"/>
      <x:c r="L48" s="35"/>
    </x:row>
    <x:row r="49" ht="15" hidden="0" customHeight="1">
      <x:c r="B49" s="35" t="str">
        <x:v>Bill</x:v>
      </x:c>
      <x:c r="C49" s="35" t="str">
        <x:v>Capital</x:v>
      </x:c>
      <x:c r="D49" s="55" t="n">
        <x:f>'11 Article bill'!L38</x:f>
        <x:v>3284</x:v>
      </x:c>
      <x:c r="E49" s="55" t="n">
        <x:v>3284</x:v>
      </x:c>
      <x:c r="F49" s="55" t="n">
        <x:v>0.0001</x:v>
      </x:c>
      <x:c r="G49" s="35" t="str">
        <x:f>IF(ABS(D49-E49)&lt;=F49,"PASS","FAIL")</x:f>
        <x:v>PASS</x:v>
      </x:c>
      <x:c r="H49" s="35"/>
      <x:c r="I49" s="35"/>
      <x:c r="J49" s="35"/>
      <x:c r="K49" s="35"/>
      <x:c r="L49" s="35"/>
    </x:row>
    <x:row r="50" ht="15" hidden="0" customHeight="1">
      <x:c r="B50" s="35" t="str">
        <x:v>Bill</x:v>
      </x:c>
      <x:c r="C50" s="35" t="str">
        <x:v>Mass correction</x:v>
      </x:c>
      <x:c r="D50" s="55" t="n">
        <x:f>'11 Article bill'!D44</x:f>
        <x:v>403</x:v>
      </x:c>
      <x:c r="E50" s="55" t="n">
        <x:v>403</x:v>
      </x:c>
      <x:c r="F50" s="55" t="n">
        <x:v>0.0001</x:v>
      </x:c>
      <x:c r="G50" s="35" t="str">
        <x:f>IF(ABS(D50-E50)&lt;=F50,"PASS","FAIL")</x:f>
        <x:v>PASS</x:v>
      </x:c>
      <x:c r="H50" s="35"/>
      <x:c r="I50" s="35"/>
      <x:c r="J50" s="35"/>
      <x:c r="K50" s="35"/>
      <x:c r="L50" s="35"/>
    </x:row>
    <x:row r="51" ht="15" hidden="0" customHeight="1">
      <x:c r="B51" s="35" t="str">
        <x:v>Bill</x:v>
      </x:c>
      <x:c r="C51" s="35" t="str">
        <x:v>Capital correction</x:v>
      </x:c>
      <x:c r="D51" s="55" t="n">
        <x:f>'11 Article bill'!D47</x:f>
        <x:v>1084</x:v>
      </x:c>
      <x:c r="E51" s="55" t="n">
        <x:v>1084</x:v>
      </x:c>
      <x:c r="F51" s="55" t="n">
        <x:v>0.0001</x:v>
      </x:c>
      <x:c r="G51" s="35" t="str">
        <x:f>IF(ABS(D51-E51)&lt;=F51,"PASS","FAIL")</x:f>
        <x:v>PASS</x:v>
      </x:c>
      <x:c r="H51" s="35"/>
      <x:c r="I51" s="35"/>
      <x:c r="J51" s="35"/>
      <x:c r="K51" s="35"/>
      <x:c r="L51" s="35"/>
    </x:row>
    <x:row r="52" ht="15" hidden="0" customHeight="1">
      <x:c r="B52" s="35" t="str">
        <x:v>Formation</x:v>
      </x:c>
      <x:c r="C52" s="35" t="str">
        <x:v>HCSG articles</x:v>
      </x:c>
      <x:c r="D52" s="55" t="n">
        <x:f>'12 Formation feedback'!D12</x:f>
        <x:v>146</x:v>
      </x:c>
      <x:c r="E52" s="55" t="n">
        <x:v>146</x:v>
      </x:c>
      <x:c r="F52" s="55" t="n">
        <x:v>0.0001</x:v>
      </x:c>
      <x:c r="G52" s="35" t="str">
        <x:f>IF(ABS(D52-E52)&lt;=F52,"PASS","FAIL")</x:f>
        <x:v>PASS</x:v>
      </x:c>
      <x:c r="H52" s="35"/>
      <x:c r="I52" s="35"/>
      <x:c r="J52" s="35"/>
      <x:c r="K52" s="35"/>
      <x:c r="L52" s="35"/>
    </x:row>
    <x:row r="53" ht="15" hidden="0" customHeight="1">
      <x:c r="B53" s="35" t="str">
        <x:v>Formation</x:v>
      </x:c>
      <x:c r="C53" s="35" t="str">
        <x:v>HCSG mass</x:v>
      </x:c>
      <x:c r="D53" s="55" t="n">
        <x:f>'12 Formation feedback'!D13</x:f>
        <x:v>33377</x:v>
      </x:c>
      <x:c r="E53" s="55" t="n">
        <x:v>33377</x:v>
      </x:c>
      <x:c r="F53" s="55" t="n">
        <x:v>0.0001</x:v>
      </x:c>
      <x:c r="G53" s="35" t="str">
        <x:f>IF(ABS(D53-E53)&lt;=F53,"PASS","FAIL")</x:f>
        <x:v>PASS</x:v>
      </x:c>
      <x:c r="H53" s="35"/>
      <x:c r="I53" s="35"/>
      <x:c r="J53" s="35"/>
      <x:c r="K53" s="35"/>
      <x:c r="L53" s="35"/>
    </x:row>
    <x:row r="54" ht="15" hidden="0" customHeight="1">
      <x:c r="B54" s="35" t="str">
        <x:v>Formation</x:v>
      </x:c>
      <x:c r="C54" s="35" t="str">
        <x:v>HCSG capital</x:v>
      </x:c>
      <x:c r="D54" s="55" t="n">
        <x:f>'12 Formation feedback'!D14</x:f>
        <x:v>30697</x:v>
      </x:c>
      <x:c r="E54" s="55" t="n">
        <x:v>30697</x:v>
      </x:c>
      <x:c r="F54" s="55" t="n">
        <x:v>0.0001</x:v>
      </x:c>
      <x:c r="G54" s="35" t="str">
        <x:f>IF(ABS(D54-E54)&lt;=F54,"PASS","FAIL")</x:f>
        <x:v>PASS</x:v>
      </x:c>
      <x:c r="H54" s="35"/>
      <x:c r="I54" s="35"/>
      <x:c r="J54" s="35"/>
      <x:c r="K54" s="35"/>
      <x:c r="L54" s="35"/>
    </x:row>
    <x:row r="55" ht="15" hidden="0" customHeight="1">
      <x:c r="B55" s="35" t="str">
        <x:v>Deploy</x:v>
      </x:c>
      <x:c r="C55" s="35" t="str">
        <x:v>Tranche mass</x:v>
      </x:c>
      <x:c r="D55" s="55" t="n">
        <x:f>'14 Deployment'!D12</x:f>
        <x:v>2803</x:v>
      </x:c>
      <x:c r="E55" s="55" t="n">
        <x:v>2803</x:v>
      </x:c>
      <x:c r="F55" s="55" t="n">
        <x:v>0.0001</x:v>
      </x:c>
      <x:c r="G55" s="35" t="str">
        <x:f>IF(ABS(D55-E55)&lt;=F55,"PASS","FAIL")</x:f>
        <x:v>PASS</x:v>
      </x:c>
      <x:c r="H55" s="35"/>
      <x:c r="I55" s="35"/>
      <x:c r="J55" s="35"/>
      <x:c r="K55" s="35"/>
      <x:c r="L55" s="35"/>
    </x:row>
    <x:row r="56" ht="15" hidden="0" customHeight="1">
      <x:c r="B56" s="35" t="str">
        <x:v>Deploy</x:v>
      </x:c>
      <x:c r="C56" s="35" t="str">
        <x:v>Packaged mass</x:v>
      </x:c>
      <x:c r="D56" s="55" t="n">
        <x:f>'14 Deployment'!D16</x:f>
        <x:v>3139.36</x:v>
      </x:c>
      <x:c r="E56" s="55" t="n">
        <x:v>3139.36</x:v>
      </x:c>
      <x:c r="F56" s="55" t="n">
        <x:v>0.0001</x:v>
      </x:c>
      <x:c r="G56" s="35" t="str">
        <x:f>IF(ABS(D56-E56)&lt;=F56,"PASS","FAIL")</x:f>
        <x:v>PASS</x:v>
      </x:c>
      <x:c r="H56" s="35"/>
      <x:c r="I56" s="35"/>
      <x:c r="J56" s="35"/>
      <x:c r="K56" s="35"/>
      <x:c r="L56" s="35"/>
    </x:row>
    <x:row r="57" ht="15" hidden="0" customHeight="1">
      <x:c r="B57" s="35" t="str">
        <x:v>Deploy</x:v>
      </x:c>
      <x:c r="C57" s="35" t="str">
        <x:v>Heavy positions</x:v>
      </x:c>
      <x:c r="D57" s="55" t="n">
        <x:f>'14 Deployment'!D17</x:f>
        <x:v>175</x:v>
      </x:c>
      <x:c r="E57" s="55" t="n">
        <x:v>175</x:v>
      </x:c>
      <x:c r="F57" s="55" t="n">
        <x:v>0.0001</x:v>
      </x:c>
      <x:c r="G57" s="35" t="str">
        <x:f>IF(ABS(D57-E57)&lt;=F57,"PASS","FAIL")</x:f>
        <x:v>PASS</x:v>
      </x:c>
      <x:c r="H57" s="35"/>
      <x:c r="I57" s="35"/>
      <x:c r="J57" s="35"/>
      <x:c r="K57" s="35"/>
      <x:c r="L57" s="35"/>
    </x:row>
    <x:row r="58" ht="15" hidden="0" customHeight="1">
      <x:c r="B58" s="35" t="str">
        <x:v>Program</x:v>
      </x:c>
      <x:c r="C58" s="35" t="str">
        <x:v>RCA allocation</x:v>
      </x:c>
      <x:c r="D58" s="55" t="n">
        <x:f>'15 Technology'!C16</x:f>
        <x:v>32</x:v>
      </x:c>
      <x:c r="E58" s="55" t="n">
        <x:v>32</x:v>
      </x:c>
      <x:c r="F58" s="55" t="n">
        <x:v>0.0001</x:v>
      </x:c>
      <x:c r="G58" s="35" t="str">
        <x:f>IF(ABS(D58-E58)&lt;=F58,"PASS","FAIL")</x:f>
        <x:v>PASS</x:v>
      </x:c>
      <x:c r="H58" s="35"/>
      <x:c r="I58" s="35"/>
      <x:c r="J58" s="35"/>
      <x:c r="K58" s="35"/>
      <x:c r="L58" s="35"/>
    </x:row>
    <x:row r="59" ht="15" hidden="0" customHeight="1">
      <x:c r="B59" s="35" t="str">
        <x:v>Program</x:v>
      </x:c>
      <x:c r="C59" s="35" t="str">
        <x:v>Nested campaign serials</x:v>
      </x:c>
      <x:c r="D59" s="55" t="n">
        <x:f>'15 Technology'!D21</x:f>
        <x:v>952</x:v>
      </x:c>
      <x:c r="E59" s="55" t="n">
        <x:v>952</x:v>
      </x:c>
      <x:c r="F59" s="55" t="n">
        <x:v>0.0001</x:v>
      </x:c>
      <x:c r="G59" s="35" t="str">
        <x:f>IF(ABS(D59-E59)&lt;=F59,"PASS","FAIL")</x:f>
        <x:v>PASS</x:v>
      </x:c>
      <x:c r="H59" s="35"/>
      <x:c r="I59" s="35"/>
      <x:c r="J59" s="35"/>
      <x:c r="K59" s="35"/>
      <x:c r="L59" s="35"/>
    </x:row>
    <x:row r="60" ht="15" hidden="0" customHeight="1">
      <x:c r="B60" s="35" t="str">
        <x:v>Program</x:v>
      </x:c>
      <x:c r="C60" s="35" t="str">
        <x:v>Campaign months</x:v>
      </x:c>
      <x:c r="D60" s="55" t="n">
        <x:f>'15 Technology'!D24</x:f>
        <x:v>66</x:v>
      </x:c>
      <x:c r="E60" s="55" t="n">
        <x:v>66</x:v>
      </x:c>
      <x:c r="F60" s="55" t="n">
        <x:v>0.0001</x:v>
      </x:c>
      <x:c r="G60" s="35" t="str">
        <x:f>IF(ABS(D60-E60)&lt;=F60,"PASS","FAIL")</x:f>
        <x:v>PASS</x:v>
      </x:c>
      <x:c r="H60" s="35"/>
      <x:c r="I60" s="35"/>
      <x:c r="J60" s="35"/>
      <x:c r="K60" s="35"/>
      <x:c r="L60" s="35"/>
    </x:row>
    <x:row r="61" ht="15" hidden="0" customHeight="1">
      <x:c r="B61" s="35" t="str">
        <x:v>Program</x:v>
      </x:c>
      <x:c r="C61" s="35" t="str">
        <x:v>Peak workforce</x:v>
      </x:c>
      <x:c r="D61" s="55" t="n">
        <x:f>'15 Technology'!D25</x:f>
        <x:v>8400</x:v>
      </x:c>
      <x:c r="E61" s="55" t="n">
        <x:v>8400</x:v>
      </x:c>
      <x:c r="F61" s="55" t="n">
        <x:v>0.0001</x:v>
      </x:c>
      <x:c r="G61" s="35" t="str">
        <x:f>IF(ABS(D61-E61)&lt;=F61,"PASS","FAIL")</x:f>
        <x:v>PASS</x:v>
      </x:c>
      <x:c r="H61" s="35"/>
      <x:c r="I61" s="35"/>
      <x:c r="J61" s="35"/>
      <x:c r="K61" s="35"/>
      <x:c r="L61" s="35"/>
    </x:row>
    <x:row r="62" ht="15" hidden="0" customHeight="1">
      <x:c r="B62" s="35" t="str">
        <x:v>Sensitivity</x:v>
      </x:c>
      <x:c r="C62" s="35" t="str">
        <x:v>2.5x public positions</x:v>
      </x:c>
      <x:c r="D62" s="55" t="n">
        <x:f>'16 Sensitivity'!H8</x:f>
        <x:v>31</x:v>
      </x:c>
      <x:c r="E62" s="55" t="n">
        <x:v>31</x:v>
      </x:c>
      <x:c r="F62" s="55" t="n">
        <x:v>0.0001</x:v>
      </x:c>
      <x:c r="G62" s="35" t="str">
        <x:f>IF(ABS(D62-E62)&lt;=F62,"PASS","FAIL")</x:f>
        <x:v>PASS</x:v>
      </x:c>
      <x:c r="H62" s="35"/>
      <x:c r="I62" s="35"/>
      <x:c r="J62" s="35"/>
      <x:c r="K62" s="35"/>
      <x:c r="L62" s="35"/>
    </x:row>
    <x:row r="63" ht="15" hidden="0" customHeight="1">
      <x:c r="B63" s="35" t="str">
        <x:v>Sensitivity</x:v>
      </x:c>
      <x:c r="C63" s="35" t="str">
        <x:v>High infection airflow</x:v>
      </x:c>
      <x:c r="D63" s="55" t="n">
        <x:f>'16 Sensitivity'!I9</x:f>
        <x:v>361080</x:v>
      </x:c>
      <x:c r="E63" s="55" t="n">
        <x:v>361080</x:v>
      </x:c>
      <x:c r="F63" s="55" t="n">
        <x:v>0.1</x:v>
      </x:c>
      <x:c r="G63" s="35" t="str">
        <x:f>IF(ABS(D63-E63)&lt;=F63,"PASS","FAIL")</x:f>
        <x:v>PASS</x:v>
      </x:c>
      <x:c r="H63" s="35"/>
      <x:c r="I63" s="35"/>
      <x:c r="J63" s="35"/>
      <x:c r="K63" s="35"/>
      <x:c r="L63" s="35"/>
    </x:row>
    <x:row r="64" ht="15" hidden="0" customHeight="1">
      <x:c r="B64" s="35" t="str">
        <x:v>Admissions</x:v>
      </x:c>
      <x:c r="C64" s="35" t="str">
        <x:v>Admitted sum</x:v>
      </x:c>
      <x:c r="D64" s="55" t="n">
        <x:f>SUM('17 Admissions'!E7:E15)</x:f>
        <x:v>0</x:v>
      </x:c>
      <x:c r="E64" s="55" t="n">
        <x:v>0</x:v>
      </x:c>
      <x:c r="F64" s="55" t="n">
        <x:v>0.0001</x:v>
      </x:c>
      <x:c r="G64" s="35" t="str">
        <x:f>IF(ABS(D64-E64)&lt;=F64,"PASS","FAIL")</x:f>
        <x:v>PASS</x:v>
      </x:c>
      <x:c r="H64" s="35"/>
      <x:c r="I64" s="35"/>
      <x:c r="J64" s="35"/>
      <x:c r="K64" s="35"/>
      <x:c r="L64" s="35"/>
    </x:row>
    <x:row r="65" ht="15" hidden="0" customHeight="1">
      <x:c r="B65" s="38" t="str">
        <x:v>PASS COUNT</x:v>
      </x:c>
      <x:c r="C65" s="38"/>
      <x:c r="D65" s="56" t="n">
        <x:f>COUNTIF(G7:G64,"PASS")</x:f>
        <x:v>58</x:v>
      </x:c>
      <x:c r="E65" s="56" t="n">
        <x:v>58</x:v>
      </x:c>
      <x:c r="F65" s="56"/>
      <x:c r="G65" s="38" t="str">
        <x:f>IF(D65=E65,"PASS","FAIL")</x:f>
        <x:v>PASS</x:v>
      </x:c>
      <x:c r="H65" s="35"/>
      <x:c r="I65" s="35"/>
      <x:c r="J65" s="35"/>
      <x:c r="K65" s="35"/>
      <x:c r="L65" s="35"/>
    </x:row>
  </x:sheetData>
  <x:mergeCells>
    <x:mergeCell ref="B2:L2"/>
    <x:mergeCell ref="B3:L3"/>
  </x:mergeCells>
  <x:conditionalFormatting sqref="G7:G65">
    <x:cfRule type="expression" dxfId="0" priority="1">
      <x:formula>G7="PASS"</x:formula>
    </x:cfRule>
    <x:cfRule type="expression" dxfId="1" priority="2">
      <x:formula>G7="FAIL"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6" hidden="0" customWidth="1"/>
    <x:col min="3" max="3" width="78" hidden="0" customWidth="1"/>
    <x:col min="4" max="4" width="48" hidden="0" customWidth="1"/>
    <x:col min="5" max="5" width="22" hidden="0" customWidth="1"/>
    <x:col min="1" max="1" width="3" hidden="0" customWidth="1"/>
  </x:cols>
  <x:sheetData>
    <x:row r="2" ht="15" hidden="0" customHeight="1">
      <x:c r="B2" s="34" t="str">
        <x:v>Internal sources and evidence boundary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</x:row>
    <x:row r="3" ht="15" hidden="0" customHeight="1">
      <x:c r="B3" s="28" t="str">
        <x:v>This pass uses repository research only. No external source, clinical observation or current-product specification is introduced.</x:v>
      </x:c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</x:row>
    <x:row r="5" ht="15" hidden="0" customHeight="1"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</x:row>
    <x:row r="6" ht="15" hidden="0" customHeight="1">
      <x:c r="B6" s="31" t="str">
        <x:v>Source</x:v>
      </x:c>
      <x:c r="C6" s="31" t="str">
        <x:v>Repository path</x:v>
      </x:c>
      <x:c r="D6" s="31" t="str">
        <x:v>Contribution</x:v>
      </x:c>
      <x:c r="E6" s="31" t="str">
        <x:v>Boundary</x:v>
      </x:c>
      <x:c r="F6" s="35"/>
      <x:c r="G6" s="35"/>
      <x:c r="H6" s="35"/>
      <x:c r="I6" s="35"/>
      <x:c r="J6" s="35"/>
      <x:c r="K6" s="35"/>
      <x:c r="L6" s="35"/>
    </x:row>
    <x:row r="7" ht="15" hidden="0" customHeight="1">
      <x:c r="B7" s="35" t="str">
        <x:v>RBZ-1 / HCSG-100</x:v>
      </x:c>
      <x:c r="C7" s="35" t="str">
        <x:v>research/force/generation/f36-cisa40-sa6-root-a-clinical-utility-acuity-and-medical-continuity-service-contract.md</x:v>
      </x:c>
      <x:c r="D7" s="35" t="str">
        <x:v>care lines, island count, workforce, utilities and prior bill</x:v>
      </x:c>
      <x:c r="E7" s="35" t="str">
        <x:v>internal research</x:v>
      </x:c>
      <x:c r="F7" s="35"/>
      <x:c r="G7" s="35"/>
      <x:c r="H7" s="35"/>
      <x:c r="I7" s="35"/>
      <x:c r="J7" s="35"/>
      <x:c r="K7" s="35"/>
      <x:c r="L7" s="35"/>
    </x:row>
    <x:row r="8" ht="24" hidden="0" customHeight="1">
      <x:c r="B8" s="35" t="str">
        <x:v>Maritime, air-mobility and medical</x:v>
      </x:c>
      <x:c r="C8" s="35" t="str">
        <x:v>research/systems/maritime-air-mobility-and-medical.md</x:v>
      </x:c>
      <x:c r="D8" s="35" t="str">
        <x:v>independent clinical blocks, common utility/logistics spine, complete pathway</x:v>
      </x:c>
      <x:c r="E8" s="35" t="str">
        <x:v>internal concept</x:v>
      </x:c>
      <x:c r="F8" s="35"/>
      <x:c r="G8" s="35"/>
      <x:c r="H8" s="35"/>
      <x:c r="I8" s="35"/>
      <x:c r="J8" s="35"/>
      <x:c r="K8" s="35"/>
      <x:c r="L8" s="35"/>
    </x:row>
    <x:row r="9" ht="15" hidden="0" customHeight="1">
      <x:c r="B9" s="35" t="str">
        <x:v>Service-entry pod configuration</x:v>
      </x:c>
      <x:c r="C9" s="35" t="str">
        <x:v>research/force/projection/service-entry-pod-configuration.md</x:v>
      </x:c>
      <x:c r="D9" s="35" t="str">
        <x:v>complete-service object and dependency envelope</x:v>
      </x:c>
      <x:c r="E9" s="35" t="str">
        <x:v>internal research</x:v>
      </x:c>
      <x:c r="F9" s="35"/>
      <x:c r="G9" s="35"/>
      <x:c r="H9" s="35"/>
      <x:c r="I9" s="35"/>
      <x:c r="J9" s="35"/>
      <x:c r="K9" s="35"/>
      <x:c r="L9" s="35"/>
    </x:row>
    <x:row r="10" ht="15" hidden="0" customHeight="1">
      <x:c r="B10" s="35" t="str">
        <x:v>Common technical architecture</x:v>
      </x:c>
      <x:c r="C10" s="35" t="str">
        <x:v>research/systems/common-technical-architecture.md</x:v>
      </x:c>
      <x:c r="D10" s="35" t="str">
        <x:v>interfaces, degraded state and fault isolation</x:v>
      </x:c>
      <x:c r="E10" s="35" t="str">
        <x:v>internal concept</x:v>
      </x:c>
      <x:c r="F10" s="35"/>
      <x:c r="G10" s="35"/>
      <x:c r="H10" s="35"/>
      <x:c r="I10" s="35"/>
      <x:c r="J10" s="35"/>
      <x:c r="K10" s="35"/>
      <x:c r="L10" s="35"/>
    </x:row>
    <x:row r="11" ht="15" hidden="0" customHeight="1">
      <x:c r="B11" s="35" t="str">
        <x:v>Resilience arsenal</x:v>
      </x:c>
      <x:c r="C11" s="35" t="str">
        <x:v>research/systems/resilience-arsenal.md</x:v>
      </x:c>
      <x:c r="D11" s="35" t="str">
        <x:v>contamination, clinical gases, records, pharmacy and repair</x:v>
      </x:c>
      <x:c r="E11" s="35" t="str">
        <x:v>internal concept</x:v>
      </x:c>
      <x:c r="F11" s="35"/>
      <x:c r="G11" s="35"/>
      <x:c r="H11" s="35"/>
      <x:c r="I11" s="35"/>
      <x:c r="J11" s="35"/>
      <x:c r="K11" s="35"/>
      <x:c r="L11" s="35"/>
    </x:row>
    <x:row r="12" ht="15" hidden="0" customHeight="1">
      <x:c r="B12" s="35" t="str">
        <x:v>National receiving geography</x:v>
      </x:c>
      <x:c r="C12" s="35" t="str">
        <x:v>research/force/reception/national-receiving-geography.md</x:v>
      </x:c>
      <x:c r="D12" s="35" t="str">
        <x:v>accepted destinations, accessibility and clinical continuity</x:v>
      </x:c>
      <x:c r="E12" s="35" t="str">
        <x:v>internal research</x:v>
      </x:c>
      <x:c r="F12" s="35"/>
      <x:c r="G12" s="35"/>
      <x:c r="H12" s="35"/>
      <x:c r="I12" s="35"/>
      <x:c r="J12" s="35"/>
      <x:c r="K12" s="35"/>
      <x:c r="L12" s="35"/>
    </x:row>
    <x:row r="13" ht="15" hidden="0" customHeight="1">
      <x:c r="B13" s="35" t="str">
        <x:v>Platform requirement register</x:v>
      </x:c>
      <x:c r="C13" s="35" t="str">
        <x:v>research/systems/platform-requirement-register.md</x:v>
      </x:c>
      <x:c r="D13" s="35" t="str">
        <x:v>medical and utility maturity constraints</x:v>
      </x:c>
      <x:c r="E13" s="35" t="str">
        <x:v>internal register</x:v>
      </x:c>
      <x:c r="F13" s="35"/>
      <x:c r="G13" s="35"/>
      <x:c r="H13" s="35"/>
      <x:c r="I13" s="35"/>
      <x:c r="J13" s="35"/>
      <x:c r="K13" s="35"/>
      <x:c r="L13" s="35"/>
    </x:row>
    <x:row r="14" ht="24" hidden="0" customHeight="1">
      <x:c r="B14" s="35" t="str">
        <x:v>Evidence ledger</x:v>
      </x:c>
      <x:c r="C14" s="35" t="str">
        <x:v>research/proving/assurance/evidence-ledger.md</x:v>
      </x:c>
      <x:c r="D14" s="35" t="str">
        <x:v>unresolved acuity, staff, oxygen, utilities, receiver and discharge evidence</x:v>
      </x:c>
      <x:c r="E14" s="35" t="str">
        <x:v>internal register</x:v>
      </x:c>
      <x:c r="F14" s="35"/>
      <x:c r="G14" s="35"/>
      <x:c r="H14" s="35"/>
      <x:c r="I14" s="35"/>
      <x:c r="J14" s="35"/>
      <x:c r="K14" s="35"/>
      <x:c r="L14" s="35"/>
    </x:row>
    <x:row r="15" ht="15" hidden="0" customHeight="1"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</x:row>
    <x:row r="16" ht="15" hidden="0" customHeight="1"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</x:row>
    <x:row r="17" ht="15" hidden="0" customHeight="1">
      <x:c r="B17" s="36" t="str">
        <x:v>Definitions</x:v>
      </x:c>
      <x:c r="C17" s="36"/>
      <x:c r="D17" s="36"/>
      <x:c r="E17" s="36"/>
      <x:c r="F17" s="35"/>
      <x:c r="G17" s="35"/>
      <x:c r="H17" s="35"/>
      <x:c r="I17" s="35"/>
      <x:c r="J17" s="35"/>
      <x:c r="K17" s="35"/>
      <x:c r="L17" s="35"/>
    </x:row>
    <x:row r="18" ht="15" hidden="0" customHeight="1">
      <x:c r="B18" s="31" t="str">
        <x:v>Term</x:v>
      </x:c>
      <x:c r="C18" s="31" t="str">
        <x:v>Meaning</x:v>
      </x:c>
      <x:c r="D18" s="31" t="str">
        <x:v>Non-substitute</x:v>
      </x:c>
      <x:c r="E18" s="35"/>
      <x:c r="F18" s="35"/>
      <x:c r="G18" s="35"/>
      <x:c r="H18" s="35"/>
      <x:c r="I18" s="35"/>
      <x:c r="J18" s="35"/>
      <x:c r="K18" s="35"/>
      <x:c r="L18" s="35"/>
    </x:row>
    <x:row r="19" ht="15" hidden="0" customHeight="1">
      <x:c r="B19" s="35" t="str">
        <x:v>Clinical service island</x:v>
      </x:c>
      <x:c r="C19" s="35" t="str">
        <x:v>separable care, custody and utility fault domain</x:v>
      </x:c>
      <x:c r="D19" s="35" t="str">
        <x:v>building, tent or nominal bed count</x:v>
      </x:c>
      <x:c r="E19" s="35"/>
      <x:c r="F19" s="35"/>
      <x:c r="G19" s="35"/>
      <x:c r="H19" s="35"/>
      <x:c r="I19" s="35"/>
      <x:c r="J19" s="35"/>
      <x:c r="K19" s="35"/>
      <x:c r="L19" s="35"/>
    </x:row>
    <x:row r="20" ht="15" hidden="0" customHeight="1">
      <x:c r="B20" s="35" t="str">
        <x:v>Care position</x:v>
      </x:c>
      <x:c r="C20" s="35" t="str">
        <x:v>staffed, supplied and utility-ready specialty position</x:v>
      </x:c>
      <x:c r="D20" s="35" t="str">
        <x:v>empty shell space</x:v>
      </x:c>
      <x:c r="E20" s="35"/>
      <x:c r="F20" s="35"/>
      <x:c r="G20" s="35"/>
      <x:c r="H20" s="35"/>
      <x:c r="I20" s="35"/>
      <x:c r="J20" s="35"/>
      <x:c r="K20" s="35"/>
      <x:c r="L20" s="35"/>
    </x:row>
    <x:row r="21" ht="15" hidden="0" customHeight="1">
      <x:c r="B21" s="35" t="str">
        <x:v>Process position</x:v>
      </x:c>
      <x:c r="C21" s="35" t="str">
        <x:v>arrival, transfer or release transaction capacity</x:v>
      </x:c>
      <x:c r="D21" s="35" t="str">
        <x:v>care position</x:v>
      </x:c>
      <x:c r="E21" s="35"/>
      <x:c r="F21" s="35"/>
      <x:c r="G21" s="35"/>
      <x:c r="H21" s="35"/>
      <x:c r="I21" s="35"/>
      <x:c r="J21" s="35"/>
      <x:c r="K21" s="35"/>
      <x:c r="L21" s="35"/>
    </x:row>
    <x:row r="22" ht="15" hidden="0" customHeight="1">
      <x:c r="B22" s="35" t="str">
        <x:v>Domain</x:v>
      </x:c>
      <x:c r="C22" s="35" t="str">
        <x:v>air, custody and route boundary with explicit interfaces</x:v>
      </x:c>
      <x:c r="D22" s="35" t="str">
        <x:v>paint color or signage</x:v>
      </x:c>
      <x:c r="E22" s="35"/>
      <x:c r="F22" s="35"/>
      <x:c r="G22" s="35"/>
      <x:c r="H22" s="35"/>
      <x:c r="I22" s="35"/>
      <x:c r="J22" s="35"/>
      <x:c r="K22" s="35"/>
      <x:c r="L22" s="35"/>
    </x:row>
    <x:row r="23" ht="15" hidden="0" customHeight="1">
      <x:c r="B23" s="35" t="str">
        <x:v>Planning closure</x:v>
      </x:c>
      <x:c r="C23" s="35" t="str">
        <x:v>declared formulas close under stated assumptions</x:v>
      </x:c>
      <x:c r="D23" s="35" t="str">
        <x:v>representative evidence</x:v>
      </x:c>
      <x:c r="E23" s="35"/>
      <x:c r="F23" s="35"/>
      <x:c r="G23" s="35"/>
      <x:c r="H23" s="35"/>
      <x:c r="I23" s="35"/>
      <x:c r="J23" s="35"/>
      <x:c r="K23" s="35"/>
      <x:c r="L23" s="35"/>
    </x:row>
    <x:row r="24" ht="15" hidden="0" customHeight="1">
      <x:c r="B24" s="35" t="str">
        <x:v>Admission</x:v>
      </x:c>
      <x:c r="C24" s="35" t="str">
        <x:v>independent authority accepts evidence into the force ledger</x:v>
      </x:c>
      <x:c r="D24" s="35" t="str">
        <x:v>audit pass</x:v>
      </x:c>
      <x:c r="E24" s="35"/>
      <x:c r="F24" s="35"/>
      <x:c r="G24" s="35"/>
      <x:c r="H24" s="35"/>
      <x:c r="I24" s="35"/>
      <x:c r="J24" s="35"/>
      <x:c r="K24" s="35"/>
      <x:c r="L24" s="35"/>
    </x:row>
    <x:row r="25" ht="15" hidden="0" customHeight="1"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</x:row>
    <x:row r="26" ht="15" hidden="0" customHeight="1"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</x:row>
    <x:row r="27" ht="15" hidden="0" customHeight="1">
      <x:c r="B27" s="36" t="str">
        <x:v>Next object</x:v>
      </x:c>
      <x:c r="C27" s="36"/>
      <x:c r="D27" s="36"/>
      <x:c r="E27" s="36"/>
      <x:c r="F27" s="35"/>
      <x:c r="G27" s="35"/>
      <x:c r="H27" s="35"/>
      <x:c r="I27" s="35"/>
      <x:c r="J27" s="35"/>
      <x:c r="K27" s="35"/>
      <x:c r="L27" s="35"/>
    </x:row>
    <x:row r="28" ht="15" hidden="0" customHeight="1">
      <x:c r="B28" s="35" t="str">
        <x:v>RCB-1 — CSI-25 Root A/Root B Care-Cell, Zone-Interface and Utility-Trunk Build-Release Constitution.</x:v>
      </x:c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</x:row>
    <x:row r="29" ht="15" hidden="0" customHeight="1">
      <x:c r="B29" s="35" t="str">
        <x:v>Exterior rendering remains blocked. The next useful geometry is an engineering section and interface map after rival roots are constituted.</x:v>
      </x:c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</x:row>
    <x:row r="30" ht="15" hidden="0" customHeight="1">
      <x:c r="B30" s="35" t="str">
        <x:v>No national medical quantity, ship, aircraft, vehicle or hospital design is authorized.</x:v>
      </x:c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</x:row>
  </x:sheetData>
  <x:mergeCells>
    <x:mergeCell ref="B2:L2"/>
    <x:mergeCell ref="B3:L3"/>
    <x:mergeCell ref="B17:E17"/>
    <x:mergeCell ref="B27:E27"/>
    <x:mergeCell ref="B28:E28"/>
    <x:mergeCell ref="B29:E29"/>
    <x:mergeCell ref="B30:E30"/>
  </x:mergeCells>
  <x:pageMargins left="0.7" right="0.7" top="0.75" bottom="0.75" header="0.3" footer="0.3"/>
</x:worksheet>
</file>